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0e11fa150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ly 2 2026" sheetId="1" r:id="R6197d0091e774c62"/>
    <x:sheet xmlns:r="http://schemas.openxmlformats.org/officeDocument/2006/relationships" name="Apr May June July 26" sheetId="2" r:id="Rc5fcdd97eaf94bd4"/>
    <x:sheet xmlns:r="http://schemas.openxmlformats.org/officeDocument/2006/relationships" name="Mar 26" sheetId="3" r:id="R1f3e670a9edb4a49"/>
    <x:sheet xmlns:r="http://schemas.openxmlformats.org/officeDocument/2006/relationships" name="Jan 26" sheetId="4" r:id="R9215d9d47c8646c5"/>
    <x:sheet xmlns:r="http://schemas.openxmlformats.org/officeDocument/2006/relationships" name="Dec 2025" sheetId="5" r:id="R7274d534d6884680"/>
    <x:sheet xmlns:r="http://schemas.openxmlformats.org/officeDocument/2006/relationships" name="Nov 2025" sheetId="6" r:id="R213b1a86d03f4625"/>
    <x:sheet xmlns:r="http://schemas.openxmlformats.org/officeDocument/2006/relationships" name="Oct 2025" sheetId="7" r:id="R3ccbb4e825b84ceb"/>
    <x:sheet xmlns:r="http://schemas.openxmlformats.org/officeDocument/2006/relationships" name="Sep 2025" sheetId="8" r:id="R427ad5a336094856"/>
    <x:sheet xmlns:r="http://schemas.openxmlformats.org/officeDocument/2006/relationships" name="Aug 2025" sheetId="9" r:id="R29cf2b06683b4db8"/>
    <x:sheet xmlns:r="http://schemas.openxmlformats.org/officeDocument/2006/relationships" name="Jul 2025" sheetId="10" r:id="Rc77de5955c124a12"/>
    <x:sheet xmlns:r="http://schemas.openxmlformats.org/officeDocument/2006/relationships" name="Jun 2025" sheetId="11" r:id="R20e55172c73f4ed4"/>
    <x:sheet xmlns:r="http://schemas.openxmlformats.org/officeDocument/2006/relationships" name="May 2025" sheetId="12" r:id="Re2a157cd80b64441"/>
    <x:sheet xmlns:r="http://schemas.openxmlformats.org/officeDocument/2006/relationships" name="Apr 2025" sheetId="13" r:id="Ra7550bd47adb4b24"/>
    <x:sheet xmlns:r="http://schemas.openxmlformats.org/officeDocument/2006/relationships" name="Mar 2025" sheetId="14" r:id="R9012192297094995"/>
    <x:sheet xmlns:r="http://schemas.openxmlformats.org/officeDocument/2006/relationships" name="Feb 2025" sheetId="15" r:id="Rec75b8ff01824915"/>
    <x:sheet xmlns:r="http://schemas.openxmlformats.org/officeDocument/2006/relationships" name="Jan 2025" sheetId="16" r:id="R919aad257beb431e"/>
    <x:sheet xmlns:r="http://schemas.openxmlformats.org/officeDocument/2006/relationships" name="Dec 2024" sheetId="17" r:id="R40d9f72508bf4b64"/>
    <x:sheet xmlns:r="http://schemas.openxmlformats.org/officeDocument/2006/relationships" name="Nov 2024" sheetId="18" r:id="R6e1c822fb7d6409d"/>
    <x:sheet xmlns:r="http://schemas.openxmlformats.org/officeDocument/2006/relationships" name="Inventory_batches" sheetId="19" r:id="R2c433f4322ab44f0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<x:sst xmlns:x="http://schemas.openxmlformats.org/spreadsheetml/2006/main">
  <x:si>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STT</x:t>
  </x:si>
  <x:si>
    <x:t xml:space="preserve">Khách</x:t>
  </x:si>
  <x:si>
    <x:t xml:space="preserve">Date</x:t>
  </x:si>
  <x:si>
    <x:t xml:space="preserve">Link</x:t>
  </x:si>
  <x:si>
    <x:t xml:space="preserve">Koda200</x:t>
  </x:si>
  <x:si>
    <x:t xml:space="preserve">Fuji 400</x:t>
  </x:si>
  <x:si>
    <x:t xml:space="preserve">Proimage</x:t>
  </x:si>
  <x:si>
    <x:t xml:space="preserve">Ultramax (36e)</x:t>
  </x:si>
  <x:si>
    <x:t xml:space="preserve">Portra 800</x:t>
  </x:si>
  <x:si>
    <x:t xml:space="preserve">Portra 400</x:t>
  </x:si>
  <x:si>
    <x:t xml:space="preserve">Potra 160</x:t>
  </x:si>
  <x:si>
    <x:t xml:space="preserve">E100</x:t>
  </x:si>
  <x:si>
    <x:t xml:space="preserve">Gold 200 (36e)</x:t>
  </x:si>
  <x:si>
    <x:t xml:space="preserve">ColorPlus 200</x:t>
  </x:si>
  <x:si>
    <x:t xml:space="preserve">Ektar</x:t>
  </x:si>
  <x:si>
    <x:t xml:space="preserve">P3200</x:t>
  </x:si>
  <x:si>
    <x:t xml:space="preserve">Tmax 400/100</x:t>
  </x:si>
  <x:si>
    <x:t xml:space="preserve">Trix 400</x:t>
  </x:si>
  <x:si>
    <x:t xml:space="preserve">Lomo 92</x:t>
  </x:si>
  <x:si>
    <x:t xml:space="preserve">Lomo 92 sun-kissed</x:t>
  </x:si>
  <x:si>
    <x:t xml:space="preserve">Lomo Metropolis</x:t>
  </x:si>
  <x:si>
    <x:t xml:space="preserve">Thành tiền</x:t>
  </x:si>
  <x:si>
    <x:t xml:space="preserve">Giờ hẹn</x:t>
  </x:si>
  <x:si>
    <x:t xml:space="preserve">Viettel post</x:t>
  </x:si>
  <x:si>
    <x:t xml:space="preserve">Thanh toán</x:t>
  </x:si>
  <x:si>
    <x:t xml:space="preserve">Note</x:t>
  </x:si>
  <x:si>
    <x:t xml:space="preserve">Đơn giá</x:t>
  </x:si>
  <x:si>
    <x:t xml:space="preserve">Tổng cuộn</x:t>
  </x:si>
  <x:si>
    <x:t xml:space="preserve">Dev</x:t>
  </x:si>
  <x:si>
    <x:t xml:space="preserve">https://www.instagram.com/direct/t/108794783849759/</x:t>
  </x:si>
  <x:si>
    <x:t xml:space="preserve">Đã gửi đơn</x:t>
  </x:si>
  <x:si>
    <x:t xml:space="preserve">Đã CK Em</x:t>
  </x:si>
  <x:si>
    <x:t xml:space="preserve">Phạm Ngọc HIếu</x:t>
  </x:si>
  <x:si>
    <x:t xml:space="preserve">https://www.facebook.com/messages/e2ee/t/10062787703752923</x:t>
  </x:si>
  <x:si>
    <x:t xml:space="preserve">Đã CK Anh</x:t>
  </x:si>
  <x:si>
    <x:t xml:space="preserve">Huy Hạo</x:t>
  </x:si>
  <x:si>
    <x:t xml:space="preserve">https://www.facebook.com/messages/t/1461398485753614</x:t>
  </x:si>
  <x:si>
    <x:t xml:space="preserve">done</x:t>
  </x:si>
  <x:si>
    <x:t xml:space="preserve">Minh Anh</x:t>
  </x:si>
  <x:si>
    <x:t xml:space="preserve">https://www.facebook.com/messages/t/1030606272896364</x:t>
  </x:si>
  <x:si>
    <x:t xml:space="preserve">Chưa lên đơn</x:t>
  </x:si>
  <x:si>
    <x:t xml:space="preserve">Minh Thu</x:t>
  </x:si>
  <x:si>
    <x:t xml:space="preserve">https://www.facebook.com/messages/t/1692408745417550</x:t>
  </x:si>
  <x:si>
    <x:t xml:space="preserve">Bao Chau</x:t>
  </x:si>
  <x:si>
    <x:t xml:space="preserve">https://www.facebook.com/messages/t/1394289495940643</x:t>
  </x:si>
  <x:si>
    <x:t xml:space="preserve">Phương Thảo</x:t>
  </x:si>
  <x:si>
    <x:t xml:space="preserve">https://www.facebook.com/messages/t/1270140171729712</x:t>
  </x:si>
  <x:si>
    <x:t xml:space="preserve">Ngân</x:t>
  </x:si>
  <x:si>
    <x:t xml:space="preserve">https://www.facebook.com/messages/t/1483577633454458</x:t>
  </x:si>
  <x:si>
    <x:t xml:space="preserve">Hoàng</x:t>
  </x:si>
  <x:si>
    <x:t xml:space="preserve">https://www.facebook.com/messages/t/4559617104320045</x:t>
  </x:si>
  <x:si>
    <x:t xml:space="preserve">Tổng nhập</x:t>
  </x:si>
  <x:si>
    <x:t xml:space="preserve">Ngọc Luân</x:t>
  </x:si>
  <x:si>
    <x:t xml:space="preserve">https://www.threads.com/messages/t/1201261115556170</x:t>
  </x:si>
  <x:si>
    <x:t xml:space="preserve">Tổng CK</x:t>
  </x:si>
  <x:si>
    <x:t xml:space="preserve">Chưa CK</x:t>
  </x:si>
  <x:si>
    <x:t xml:space="preserve">inlovewithlausatedauphong</x:t>
  </x:si>
  <x:si>
    <x:t xml:space="preserve">https://www.instagram.com/direct/t/17850637805773260/</x:t>
  </x:si>
  <x:si>
    <x:t xml:space="preserve">my</x:t>
  </x:si>
  <x:si>
    <x:t xml:space="preserve">sani</x:t>
  </x:si>
  <x:si>
    <x:t xml:space="preserve">https://www.instagram.com/direct/t/100593294675045/</x:t>
  </x:si>
  <x:si>
    <x:t xml:space="preserve">Hằng</x:t>
  </x:si>
  <x:si>
    <x:t xml:space="preserve">https://www.instagram.com/direct/t/100491564682244/</x:t>
  </x:si>
  <x:si>
    <x:t xml:space="preserve">Huỳnh Nhi</x:t>
  </x:si>
  <x:si>
    <x:t xml:space="preserve">https://www.instagram.com/direct/t/17846850908803660/</x:t>
  </x:si>
  <x:si>
    <x:t xml:space="preserve">tiền mặt</x:t>
  </x:si>
  <x:si>
    <x:t xml:space="preserve">iam.vannn</x:t>
  </x:si>
  <x:si>
    <x:t xml:space="preserve">https://www.instagram.com/direct/t/17842893248061229/</x:t>
  </x:si>
  <x:si>
    <x:t xml:space="preserve">Bích Ngọc</x:t>
  </x:si>
  <x:si>
    <x:t xml:space="preserve">https://www.instagram.com/direct/t/103627121031669/</x:t>
  </x:si>
  <x:si>
    <x:t xml:space="preserve">Bảo Nghi</x:t>
  </x:si>
  <x:si>
    <x:t xml:space="preserve">https://www.instagram.com/direct/t/17847233042496197/</x:t>
  </x:si>
  <x:si>
    <x:t xml:space="preserve">Thien Phuc</x:t>
  </x:si>
  <x:si>
    <x:t xml:space="preserve">https://www.facebook.com/messages/e2ee/t/823048433557355</x:t>
  </x:si>
  <x:si>
    <x:t xml:space="preserve">Done</x:t>
  </x:si>
  <x:si>
    <x:t xml:space="preserve">Dan</x:t>
  </x:si>
  <x:si>
    <x:t xml:space="preserve">Voi</x:t>
  </x:si>
  <x:si>
    <x:t xml:space="preserve">Nguyễn Thị Phương Thảo</x:t>
  </x:si>
  <x:si>
    <x:t xml:space="preserve">https://www.facebook.com/messages/e2ee/t/1483861429762964</x:t>
  </x:si>
  <x:si>
    <x:t xml:space="preserve">Anh Thư</x:t>
  </x:si>
  <x:si>
    <x:t xml:space="preserve">https://www.facebook.com/messages/e2ee/t/9343656032311242</x:t>
  </x:si>
  <x:si>
    <x:t xml:space="preserve">Trung Đoàn</x:t>
  </x:si>
  <x:si>
    <x:t xml:space="preserve">https://www.instagram.com/direct/t/115448799845404/</x:t>
  </x:si>
  <x:si>
    <x:t xml:space="preserve">Phạm Thư</x:t>
  </x:si>
  <x:si>
    <x:t xml:space="preserve">https://www.instagram.com/direct/t/17848411991835978/</x:t>
  </x:si>
  <x:si>
    <x:t xml:space="preserve">hcchau</x:t>
  </x:si>
  <x:si>
    <x:t xml:space="preserve">https://www.instagram.com/direct/t/17849240579757754/</x:t>
  </x:si>
  <x:si>
    <x:t xml:space="preserve">Mạnh Linh</x:t>
  </x:si>
  <x:si>
    <x:t xml:space="preserve">https://www.facebook.com/messages/e2ee/t/1602862084123387</x:t>
  </x:si>
  <x:si>
    <x:t xml:space="preserve">khánh hạ</x:t>
  </x:si>
  <x:si>
    <x:t xml:space="preserve">https://www.instagram.com/direct/t/110485250343941/</x:t>
  </x:si>
  <x:si>
    <x:t xml:space="preserve">Threads</x:t>
  </x:si>
  <x:si>
    <x:t xml:space="preserve">Dương Đình Anh Tú</x:t>
  </x:si>
  <x:si>
    <x:t xml:space="preserve">https://www.facebook.com/messages/e2ee/t/1360414382796805</x:t>
  </x:si>
  <x:si>
    <x:t xml:space="preserve">Nguyễn Phục</x:t>
  </x:si>
  <x:si>
    <x:t xml:space="preserve">https://www.facebook.com/messages/e2ee/t/2419972775122024</x:t>
  </x:si>
  <x:si>
    <x:t xml:space="preserve">Tag Tom</x:t>
  </x:si>
  <x:si>
    <x:t xml:space="preserve">https://www.facebook.com/messages/e2ee/t/2089100938299867/</x:t>
  </x:si>
  <x:si>
    <x:t xml:space="preserve">Minh Chau</x:t>
  </x:si>
  <x:si>
    <x:t xml:space="preserve">https://www.facebook.com/messages/e2ee/t/1470127008003339</x:t>
  </x:si>
  <x:si>
    <x:t xml:space="preserve">Huong Thu Vo</x:t>
  </x:si>
  <x:si>
    <x:t xml:space="preserve">Phuong Thao</x:t>
  </x:si>
  <x:si>
    <x:t xml:space="preserve">https://www.facebook.com/messages/e2ee/t/1501130184767896</x:t>
  </x:si>
  <x:si>
    <x:t xml:space="preserve">Ng Nguyen</x:t>
  </x:si>
  <x:si>
    <x:t xml:space="preserve">Maddie Ngan tran</x:t>
  </x:si>
  <x:si>
    <x:t xml:space="preserve">Bảo San</x:t>
  </x:si>
  <x:si>
    <x:t xml:space="preserve">https://www.instagram.com/direct/t/106996437565205/</x:t>
  </x:si>
  <x:si>
    <x:t xml:space="preserve">vtp</x:t>
  </x:si>
  <x:si>
    <x:t xml:space="preserve">Tran Viet ha</x:t>
  </x:si>
  <x:si>
    <x:t xml:space="preserve">https://www.facebook.com/messages/e2ee/t/1676061780055976/</x:t>
  </x:si>
  <x:si>
    <x:t xml:space="preserve">Huy Tran</x:t>
  </x:si>
  <x:si>
    <x:t xml:space="preserve">https://www.instagram.com/direct/t/17842302572995320/</x:t>
  </x:si>
  <x:si>
    <x:t xml:space="preserve">hard 2 face reality</x:t>
  </x:si>
  <x:si>
    <x:t xml:space="preserve">https://www.instagram.com/direct/t/17847622218194530/</x:t>
  </x:si>
  <x:si>
    <x:t xml:space="preserve">Vien Nguyen</x:t>
  </x:si>
  <x:si>
    <x:t xml:space="preserve">https://www.facebook.com/messages/e2ee/t/8780917572005444</x:t>
  </x:si>
  <x:si>
    <x:t xml:space="preserve">Pham Ngoc Hieu</x:t>
  </x:si>
  <x:si>
    <x:t xml:space="preserve">Tu Quyen</x:t>
  </x:si>
  <x:si>
    <x:t xml:space="preserve">Huu Phuoc Tran</x:t>
  </x:si>
  <x:si>
    <x:t xml:space="preserve">https://www.facebook.com/messages/e2ee/t/2154376252067307</x:t>
  </x:si>
  <x:si>
    <x:t xml:space="preserve">Tung Dao</x:t>
  </x:si>
  <x:si>
    <x:t xml:space="preserve">https://www.facebook.com/messages/e2ee/t/3986903108267839</x:t>
  </x:si>
  <x:si>
    <x:t xml:space="preserve">coc 100</x:t>
  </x:si>
  <x:si>
    <x:t xml:space="preserve">Ngoc Luan</x:t>
  </x:si>
  <x:si>
    <x:t xml:space="preserve">Truong Thanh Dat</x:t>
  </x:si>
  <x:si>
    <x:t xml:space="preserve">https://www.facebook.com/messages/e2ee/t/1519688006157191</x:t>
  </x:si>
  <x:si>
    <x:t xml:space="preserve">Kim Long</x:t>
  </x:si>
  <x:si>
    <x:t xml:space="preserve">https://www.facebook.com/messages/e2ee/t/1216822393601009</x:t>
  </x:si>
  <x:si>
    <x:t xml:space="preserve">lilmkei</x:t>
  </x:si>
  <x:si>
    <x:t xml:space="preserve">https://www.instagram.com/direct/t/113588273371599/</x:t>
  </x:si>
  <x:si>
    <x:t xml:space="preserve">Lam Hoang</x:t>
  </x:si>
  <x:si>
    <x:t xml:space="preserve">https://www.instagram.com/direct/t/108412750575388/</x:t>
  </x:si>
  <x:si>
    <x:t xml:space="preserve">vtp lam mat don</x:t>
  </x:si>
  <x:si>
    <x:t xml:space="preserve">Nhân vật khó lường</x:t>
  </x:si>
  <x:si>
    <x:t xml:space="preserve">Mai Thanh Yến Ngọc</x:t>
  </x:si>
  <x:si>
    <x:t xml:space="preserve">https://www.facebook.com/messages/e2ee/t/4308925512671487</x:t>
  </x:si>
  <x:si>
    <x:t xml:space="preserve">Cam Huong</x:t>
  </x:si>
  <x:si>
    <x:t xml:space="preserve">https://www.facebook.com/messages/e2ee/t/3054555914717294</x:t>
  </x:si>
  <x:si>
    <x:t xml:space="preserve">Phú Thịnh</x:t>
  </x:si>
  <x:si>
    <x:t xml:space="preserve">https://www.facebook.com/messages/e2ee/t/1260471142565204</x:t>
  </x:si>
  <x:si>
    <x:t xml:space="preserve">Em mi</x:t>
  </x:si>
  <x:si>
    <x:t xml:space="preserve">https://www.instagram.com/direct/t/103645007704663/</x:t>
  </x:si>
  <x:si>
    <x:t xml:space="preserve">Thanh Nam Bui</x:t>
  </x:si>
  <x:si>
    <x:t xml:space="preserve">https://www.facebook.com/messages/e2ee/t/1363969592414456</x:t>
  </x:si>
  <x:si>
    <x:t xml:space="preserve">Trung Doan</x:t>
  </x:si>
  <x:si>
    <x:t xml:space="preserve">Nguyễn Eighty Six</x:t>
  </x:si>
  <x:si>
    <x:t xml:space="preserve">https://www.facebook.com/messages/e2ee/t/9909328772412826</x:t>
  </x:si>
  <x:si>
    <x:t xml:space="preserve">Daes</x:t>
  </x:si>
  <x:si>
    <x:t xml:space="preserve">Lee Chill</x:t>
  </x:si>
  <x:si>
    <x:t xml:space="preserve">https://www.facebook.com/messages/e2ee/t/8894359367286643</x:t>
  </x:si>
  <x:si>
    <x:t xml:space="preserve">Chou Duong</x:t>
  </x:si>
  <x:si>
    <x:t xml:space="preserve">https://www.facebook.com/messages/e2ee/t/9581769995188055</x:t>
  </x:si>
  <x:si>
    <x:t xml:space="preserve">Minh Huyen</x:t>
  </x:si>
  <x:si>
    <x:t xml:space="preserve">https://www.instagram.com/direct/t/105212137541452/</x:t>
  </x:si>
  <x:si>
    <x:t xml:space="preserve">Vân Ngọc</x:t>
  </x:si>
  <x:si>
    <x:t xml:space="preserve">https://www.instagram.com/direct/t/17842044743751189/</x:t>
  </x:si>
  <x:si>
    <x:t xml:space="preserve">Anh Thu Doan</x:t>
  </x:si>
  <x:si>
    <x:t xml:space="preserve">https://www.facebook.com/messages/e2ee/t/2060600361362753</x:t>
  </x:si>
  <x:si>
    <x:t xml:space="preserve">Nguyễn Thảo</x:t>
  </x:si>
  <x:si>
    <x:t xml:space="preserve">https://www.instagram.com/direct/t/17845504529635214/</x:t>
  </x:si>
  <x:si>
    <x:t xml:space="preserve">Nguyễn Chí Thành</x:t>
  </x:si>
  <x:si>
    <x:t xml:space="preserve">https://www.facebook.com/messages/e2ee/t/910242011526413</x:t>
  </x:si>
  <x:si>
    <x:t xml:space="preserve">gi</x:t>
  </x:si>
  <x:si>
    <x:t xml:space="preserve">https://www.instagram.com/direct/t/17842140071117647/</x:t>
  </x:si>
  <x:si>
    <x:t xml:space="preserve">Hung Tran Quan</x:t>
  </x:si>
  <x:si>
    <x:t xml:space="preserve">https://www.facebook.com/messages/e2ee/t/699479183101174</x:t>
  </x:si>
  <x:si>
    <x:t xml:space="preserve">Phuong Nhu</x:t>
  </x:si>
  <x:si>
    <x:t xml:space="preserve">https://www.facebook.com/messages/e2ee/t/804453785541287</x:t>
  </x:si>
  <x:si>
    <x:t xml:space="preserve">Ngan Ha</x:t>
  </x:si>
  <x:si>
    <x:t xml:space="preserve">https://www.facebook.com/messages/e2ee/t/25491112997197092</x:t>
  </x:si>
  <x:si>
    <x:t xml:space="preserve">Thai Son</x:t>
  </x:si>
  <x:si>
    <x:t xml:space="preserve">https://www.facebook.com/messages/e2ee/t/1406332427942781</x:t>
  </x:si>
  <x:si>
    <x:t xml:space="preserve">NT Phuc</x:t>
  </x:si>
  <x:si>
    <x:t xml:space="preserve">https://www.facebook.com/messages/t/100001692826480</x:t>
  </x:si>
  <x:si>
    <x:t xml:space="preserve">Nguyen Anh Thu</x:t>
  </x:si>
  <x:si>
    <x:t xml:space="preserve">https://www.facebook.com/messages/e2ee/t/25651695631146994</x:t>
  </x:si>
  <x:si>
    <x:t xml:space="preserve">Linh</x:t>
  </x:si>
  <x:si>
    <x:t xml:space="preserve">https://www.instagram.com/direct/t/17842459148174054/</x:t>
  </x:si>
  <x:si>
    <x:t xml:space="preserve">Duong Tien Thuan</x:t>
  </x:si>
  <x:si>
    <x:t xml:space="preserve">https://www.facebook.com/messages/e2ee/t/2018213822414054</x:t>
  </x:si>
  <x:si>
    <x:t xml:space="preserve">Phuc Dong</x:t>
  </x:si>
  <x:si>
    <x:t xml:space="preserve">https://www.facebook.com/messages/e2ee/t/2072343779972931</x:t>
  </x:si>
  <x:si>
    <x:t xml:space="preserve">Chau Minh</x:t>
  </x:si>
  <x:si>
    <x:t xml:space="preserve">https://www.instagram.com/direct/t/17842056476360336/</x:t>
  </x:si>
  <x:si>
    <x:t xml:space="preserve">Hien Doan</x:t>
  </x:si>
  <x:si>
    <x:t xml:space="preserve">https://www.facebook.com/messages/e2ee/t/1283535996317183</x:t>
  </x:si>
  <x:si>
    <x:t xml:space="preserve">Đã tạo đơn</x:t>
  </x:si>
  <x:si>
    <x:t xml:space="preserve">Khalid Muhammad Abdallah Al-Mihdhar</x:t>
  </x:si>
  <x:si>
    <x:t xml:space="preserve">https://www.facebook.com/messages/e2ee/t/1367780918170526</x:t>
  </x:si>
  <x:si>
    <x:t xml:space="preserve">Bao Nguyen</x:t>
  </x:si>
  <x:si>
    <x:t xml:space="preserve">https://www.facebook.com/messages/e2ee/t/710282285204255</x:t>
  </x:si>
  <x:si>
    <x:t xml:space="preserve">Phương Uyên Trần</x:t>
  </x:si>
  <x:si>
    <x:t xml:space="preserve">https://www.facebook.com/messages/e2ee/t/825240636968817</x:t>
  </x:si>
  <x:si>
    <x:t xml:space="preserve">Danny Lưu</x:t>
  </x:si>
  <x:si>
    <x:t xml:space="preserve">https://www.facebook.com/messages/e2ee/t/1530207301441289</x:t>
  </x:si>
  <x:si>
    <x:t xml:space="preserve">Dương Tân</x:t>
  </x:si>
  <x:si>
    <x:t xml:space="preserve">https://www.facebook.com/messages/e2ee/t/1299571038599696</x:t>
  </x:si>
  <x:si>
    <x:t xml:space="preserve">Hạnnh Nguyn</x:t>
  </x:si>
  <x:si>
    <x:t xml:space="preserve">https://www.instagram.com/direct/t/111722733552492/</x:t>
  </x:si>
  <x:si>
    <x:t xml:space="preserve">Minnie</x:t>
  </x:si>
  <x:si>
    <x:t xml:space="preserve">https://www.instagram.com/direct/t/17849933018786962/</x:t>
  </x:si>
  <x:si>
    <x:t xml:space="preserve">stop making nonsense</x:t>
  </x:si>
  <x:si>
    <x:t xml:space="preserve">Nguyễn Đình Trọng</x:t>
  </x:si>
  <x:si>
    <x:t xml:space="preserve">https://www.instagram.com/direct/t/17850271916656352/</x:t>
  </x:si>
  <x:si>
    <x:t xml:space="preserve">Vy Vy</x:t>
  </x:si>
  <x:si>
    <x:t xml:space="preserve">https://www.instagram.com/direct/t/118914189501181/</x:t>
  </x:si>
  <x:si>
    <x:t xml:space="preserve">Van Vuong</x:t>
  </x:si>
  <x:si>
    <x:t xml:space="preserve">https://www.facebook.com/messages/e2ee/t/822532060411878</x:t>
  </x:si>
  <x:si>
    <x:t xml:space="preserve">Ngo Nhat Phuong Anh</x:t>
  </x:si>
  <x:si>
    <x:t xml:space="preserve">https://www.facebook.com/messages/e2ee/t/1280476157217370</x:t>
  </x:si>
  <x:si>
    <x:t xml:space="preserve">Thai Minh Anh</x:t>
  </x:si>
  <x:si>
    <x:t xml:space="preserve">https://www.facebook.com/messages/e2ee/t/1307005631194651/</x:t>
  </x:si>
  <x:si>
    <x:t xml:space="preserve">Ha Ly</x:t>
  </x:si>
  <x:si>
    <x:t xml:space="preserve">https://www.facebook.com/messages/e2ee/t/28676048745312688</x:t>
  </x:si>
  <x:si>
    <x:t xml:space="preserve">Thái Anh</x:t>
  </x:si>
  <x:si>
    <x:t xml:space="preserve">https://www.facebook.com/messages/e2ee/t/3429362210535157</x:t>
  </x:si>
  <x:si>
    <x:t xml:space="preserve">Nguyễn Diệu Anh</x:t>
  </x:si>
  <x:si>
    <x:t xml:space="preserve">https://www.instagram.com/direct/t/17843366531172060/</x:t>
  </x:si>
  <x:si>
    <x:t xml:space="preserve">tam.tamsstory</x:t>
  </x:si>
  <x:si>
    <x:t xml:space="preserve">Tran Minh Thu</x:t>
  </x:si>
  <x:si>
    <x:t xml:space="preserve">https://www.facebook.com/messages/e2ee/t/1130720889271353</x:t>
  </x:si>
  <x:si>
    <x:t xml:space="preserve">Nguyễn Huỳnh Phươc Thiện</x:t>
  </x:si>
  <x:si>
    <x:t xml:space="preserve">Vance's corner</x:t>
  </x:si>
  <x:si>
    <x:t xml:space="preserve">https://www.instagram.com/direct/t/103427847723371/</x:t>
  </x:si>
  <x:si>
    <x:t xml:space="preserve">https://www.facebook.com/messages/e2ee/t/2336182476818629</x:t>
  </x:si>
  <x:si>
    <x:t xml:space="preserve">Tú Hảo</x:t>
  </x:si>
  <x:si>
    <x:t xml:space="preserve">https://www.instagram.com/direct/t/120265959366717/</x:t>
  </x:si>
  <x:si>
    <x:t xml:space="preserve">Tuệ Minh</x:t>
  </x:si>
  <x:si>
    <x:t xml:space="preserve">https://www.instagram.com/direct/t/17850361442585787/</x:t>
  </x:si>
  <x:si>
    <x:t xml:space="preserve">Thu Trang Thread</x:t>
  </x:si>
  <x:si>
    <x:t xml:space="preserve">Julie</x:t>
  </x:si>
  <x:si>
    <x:t xml:space="preserve">https://www.instagram.com/direct/t/107742537312472/</x:t>
  </x:si>
  <x:si>
    <x:t xml:space="preserve">chloe</x:t>
  </x:si>
  <x:si>
    <x:t xml:space="preserve">https://www.instagram.com/direct/t/119870726066098/</x:t>
  </x:si>
  <x:si>
    <x:t xml:space="preserve">susiwdaa</x:t>
  </x:si>
  <x:si>
    <x:t xml:space="preserve">https://www.instagram.com/direct/t/17844063446711946/</x:t>
  </x:si>
  <x:si>
    <x:t xml:space="preserve">Le Nguyen Anh Thu</x:t>
  </x:si>
  <x:si>
    <x:t xml:space="preserve">https://www.facebook.com/messages/e2ee/t/1554403145696354</x:t>
  </x:si>
  <x:si>
    <x:t xml:space="preserve">Bao Khang Nguyen</x:t>
  </x:si>
  <x:si>
    <x:t xml:space="preserve">https://www.facebook.com/messages/e2ee/t/1920716258864522</x:t>
  </x:si>
  <x:si>
    <x:t xml:space="preserve">Ngoc Phan To</x:t>
  </x:si>
  <x:si>
    <x:t xml:space="preserve">https://www.instagram.com/direct/t/103211571078866/</x:t>
  </x:si>
  <x:si>
    <x:t xml:space="preserve">Ngọc Nhi</x:t>
  </x:si>
  <x:si>
    <x:t xml:space="preserve">https://www.instagram.com/direct/t/113587973364237/</x:t>
  </x:si>
  <x:si>
    <x:t xml:space="preserve">Cẩm Tú</x:t>
  </x:si>
  <x:si>
    <x:t xml:space="preserve">https://www.instagram.com/direct/t/105020114231948/</x:t>
  </x:si>
  <x:si>
    <x:t xml:space="preserve">Hạnh Nguyn</x:t>
  </x:si>
  <x:si>
    <x:t xml:space="preserve">Lốp Trưởng Quốc Dân</x:t>
  </x:si>
  <x:si>
    <x:t xml:space="preserve">https://www.instagram.com/direct/t/17850084458658976/</x:t>
  </x:si>
  <x:si>
    <x:t xml:space="preserve">5h15 qua lấy</x:t>
  </x:si>
  <x:si>
    <x:t xml:space="preserve">Thái Huy Hoàng</x:t>
  </x:si>
  <x:si>
    <x:t xml:space="preserve">https://www.facebook.com/messages/e2ee/t/2073833413363381</x:t>
  </x:si>
  <x:si>
    <x:t xml:space="preserve">Vương Khánh Kiệt</x:t>
  </x:si>
  <x:si>
    <x:t xml:space="preserve">https://www.facebook.com/messages/e2ee/t/1637417907425262</x:t>
  </x:si>
  <x:si>
    <x:t xml:space="preserve">Đặng Nguyễn Kiểu Nhi</x:t>
  </x:si>
  <x:si>
    <x:t xml:space="preserve">https://www.instagram.com/direct/t/112679470127753/</x:t>
  </x:si>
  <x:si>
    <x:t xml:space="preserve">iam.van threads</x:t>
  </x:si>
  <x:si>
    <x:t xml:space="preserve">Trà Đá Thuốc Lào</x:t>
  </x:si>
  <x:si>
    <x:t xml:space="preserve">Lifmiele</x:t>
  </x:si>
  <x:si>
    <x:t xml:space="preserve">Maphdu - threads</x:t>
  </x:si>
  <x:si>
    <x:t xml:space="preserve">Hong Hanh</x:t>
  </x:si>
  <x:si>
    <x:t xml:space="preserve">https://www.facebook.com/messages/e2ee/t/660336380209837</x:t>
  </x:si>
  <x:si>
    <x:t xml:space="preserve">HIen Doan</x:t>
  </x:si>
  <x:si>
    <x:t xml:space="preserve">Nguyễn Eightysix</x:t>
  </x:si>
  <x:si>
    <x:t xml:space="preserve">_matchakitkattttt</x:t>
  </x:si>
  <x:si>
    <x:t xml:space="preserve">_.tnma
</x:t>
  </x:si>
  <x:si>
    <x:t xml:space="preserve">https://www.instagram.com/direct/t/117547216303160/</x:t>
  </x:si>
  <x:si>
    <x:t xml:space="preserve">Cường Đỗ Mạnh</x:t>
  </x:si>
  <x:si>
    <x:t xml:space="preserve">https://www.instagram.com/direct/t/115714316492519/</x:t>
  </x:si>
  <x:si>
    <x:t xml:space="preserve">Đặng Trọng Pháp</x:t>
  </x:si>
  <x:si>
    <x:t xml:space="preserve">https://www.facebook.com/messages/t/100009264529495</x:t>
  </x:si>
  <x:si>
    <x:t xml:space="preserve">DanT</x:t>
  </x:si>
  <x:si>
    <x:t xml:space="preserve">https://www.instagram.com/direct/t/107020374028013/</x:t>
  </x:si>
  <x:si>
    <x:t xml:space="preserve">Dương Phạm</x:t>
  </x:si>
  <x:si>
    <x:t xml:space="preserve">https://www.facebook.com/messages/e2ee/t/1327927189116009</x:t>
  </x:si>
  <x:si>
    <x:t xml:space="preserve">Thiên Phúc</x:t>
  </x:si>
  <x:si>
    <x:t xml:space="preserve">Minh Huyền</x:t>
  </x:si>
  <x:si>
    <x:t xml:space="preserve">https://www.instagram.com/direct/t/17848041362662658/</x:t>
  </x:si>
  <x:si>
    <x:t xml:space="preserve">https://www.instagram.com/direct/t/111136367189369/</x:t>
  </x:si>
  <x:si>
    <x:t xml:space="preserve">Thuy Nguyen</x:t>
  </x:si>
  <x:si>
    <x:t xml:space="preserve">https://www.facebook.com/messages/e2ee/t/1130349375415777</x:t>
  </x:si>
  <x:si>
    <x:t xml:space="preserve">Van Nguyen</x:t>
  </x:si>
  <x:si>
    <x:t xml:space="preserve">https://www.facebook.com/messages/e2ee/t/1348119223520245</x:t>
  </x:si>
  <x:si>
    <x:t xml:space="preserve">_qunghiaa_</x:t>
  </x:si>
  <x:si>
    <x:t xml:space="preserve">https://www.instagram.com/direct/t/113016506754541/</x:t>
  </x:si>
  <x:si>
    <x:t xml:space="preserve">Duong Tan</x:t>
  </x:si>
  <x:si>
    <x:t xml:space="preserve">Minh Pham</x:t>
  </x:si>
  <x:si>
    <x:t xml:space="preserve">https://www.facebook.com/messages/e2ee/t/2571414263241104</x:t>
  </x:si>
  <x:si>
    <x:t xml:space="preserve">Hạnh Vy</x:t>
  </x:si>
  <x:si>
    <x:t xml:space="preserve">https://www.facebook.com/messages/e2ee/t/855180293689046</x:t>
  </x:si>
  <x:si>
    <x:t xml:space="preserve">Phan Xuân Nhật</x:t>
  </x:si>
  <x:si>
    <x:t xml:space="preserve">https://www.facebook.com/messages/t/100004827000454</x:t>
  </x:si>
  <x:si>
    <x:t xml:space="preserve">Bich Quân</x:t>
  </x:si>
  <x:si>
    <x:t xml:space="preserve">https://www.facebook.com/messages/e2ee/t/4351619191782258/</x:t>
  </x:si>
  <x:si>
    <x:t xml:space="preserve">Danny Luu</x:t>
  </x:si>
  <x:si>
    <x:t xml:space="preserve">Ngô Thanh Thủy Chi</x:t>
  </x:si>
  <x:si>
    <x:t xml:space="preserve">https://www.facebook.com/messages/e2ee/t/672848878871663</x:t>
  </x:si>
  <x:si>
    <x:t xml:space="preserve">Phở Trộn Gà</x:t>
  </x:si>
  <x:si>
    <x:t xml:space="preserve">https://www.instagram.com/direct/t/17849418557785475/</x:t>
  </x:si>
  <x:si>
    <x:t xml:space="preserve">An Vi</x:t>
  </x:si>
  <x:si>
    <x:t xml:space="preserve">https://www.facebook.com/messages/e2ee/t/1342432783900315</x:t>
  </x:si>
  <x:si>
    <x:t xml:space="preserve">Thu Le Anh</x:t>
  </x:si>
  <x:si>
    <x:t xml:space="preserve">https://www.facebook.com/messages/e2ee/t/2636206163399858</x:t>
  </x:si>
  <x:si>
    <x:t xml:space="preserve">Lunh</x:t>
  </x:si>
  <x:si>
    <x:t xml:space="preserve">https://www.instagram.com/direct/t/120350046017752/</x:t>
  </x:si>
  <x:si>
    <x:t xml:space="preserve">Thien Y Nguyen</x:t>
  </x:si>
  <x:si>
    <x:t xml:space="preserve">https://www.facebook.com/messages/e2ee/t/1562470784757031</x:t>
  </x:si>
  <x:si>
    <x:t xml:space="preserve">Baoh</x:t>
  </x:si>
  <x:si>
    <x:t xml:space="preserve">https://www.instagram.com/direct/t/116793403047798/</x:t>
  </x:si>
  <x:si>
    <x:t xml:space="preserve">Trần Phan Thiên Phú</x:t>
  </x:si>
  <x:si>
    <x:t xml:space="preserve">https://www.facebook.com/messages/e2ee/t/1165043782388256</x:t>
  </x:si>
  <x:si>
    <x:t xml:space="preserve">Trương Đoàn Bảo Ngọc</x:t>
  </x:si>
  <x:si>
    <x:t xml:space="preserve">https://www.facebook.com/messages/e2ee/t/1468551057585087</x:t>
  </x:si>
  <x:si>
    <x:t xml:space="preserve">Pou</x:t>
  </x:si>
  <x:si>
    <x:t xml:space="preserve">https://www.instagram.com/direct/t/113408363405459/</x:t>
  </x:si>
  <x:si>
    <x:t xml:space="preserve">Lê Quỳnh Như</x:t>
  </x:si>
  <x:si>
    <x:t xml:space="preserve">https://www.instagram.com/direct/t/17843534679496025/</x:t>
  </x:si>
  <x:si>
    <x:t xml:space="preserve">Nguyễn Ngọc Duy</x:t>
  </x:si>
  <x:si>
    <x:t xml:space="preserve">https://www.facebook.com/messages/e2ee/t/1132954489025653</x:t>
  </x:si>
  <x:si>
    <x:t xml:space="preserve">Duc Huy</x:t>
  </x:si>
  <x:si>
    <x:t xml:space="preserve">https://www.facebook.com/messages/e2ee/t/1504883420759092</x:t>
  </x:si>
  <x:si>
    <x:t xml:space="preserve">Gold (24e)</x:t>
  </x:si>
  <x:si>
    <x:t xml:space="preserve">Tmax100</x:t>
  </x:si>
  <x:si>
    <x:t xml:space="preserve">Tmax400</x:t>
  </x:si>
  <x:si>
    <x:t xml:space="preserve">TriX 400</x:t>
  </x:si>
  <x:si>
    <x:t xml:space="preserve">Phuoc Pham</x:t>
  </x:si>
  <x:si>
    <x:t xml:space="preserve">https://www.facebook.com/messages/e2ee/t/777531184962720</x:t>
  </x:si>
  <x:si>
    <x:t xml:space="preserve">Nhi Nguyen</x:t>
  </x:si>
  <x:si>
    <x:t xml:space="preserve">https://www.facebook.com/messages/e2ee/t/1815898616478355</x:t>
  </x:si>
  <x:si>
    <x:t xml:space="preserve">Linh Dang</x:t>
  </x:si>
  <x:si>
    <x:t xml:space="preserve">https://www.facebook.com/messages/e2ee/t/1557979415172064</x:t>
  </x:si>
  <x:si>
    <x:t xml:space="preserve">Tran Khanh Anh Duy</x:t>
  </x:si>
  <x:si>
    <x:t xml:space="preserve">https://www.facebook.com/messages/e2ee/t/2004055233464838</x:t>
  </x:si>
  <x:si>
    <x:t xml:space="preserve">Quang Huy</x:t>
  </x:si>
  <x:si>
    <x:t xml:space="preserve">https://www.facebook.com/messages/e2ee/t/1542469030246828</x:t>
  </x:si>
  <x:si>
    <x:t xml:space="preserve">Quynh Do</x:t>
  </x:si>
  <x:si>
    <x:t xml:space="preserve">https://www.facebook.com/messages/e2ee/t/2303870456735530</x:t>
  </x:si>
  <x:si>
    <x:t xml:space="preserve">MG Nguyen</x:t>
  </x:si>
  <x:si>
    <x:t xml:space="preserve">https://www.facebook.com/messages/e2ee/t/771180275510112</x:t>
  </x:si>
  <x:si>
    <x:t xml:space="preserve">Phượng Võ</x:t>
  </x:si>
  <x:si>
    <x:t xml:space="preserve">https://www.facebook.com/messages/e2ee/t/1967853067484302</x:t>
  </x:si>
  <x:si>
    <x:t xml:space="preserve">Nguyễn Phương Hoa</x:t>
  </x:si>
  <x:si>
    <x:t xml:space="preserve">https://www.facebook.com/messages/e2ee/t/1106550947773397</x:t>
  </x:si>
  <x:si>
    <x:t xml:space="preserve">Phạm Văn Nam</x:t>
  </x:si>
  <x:si>
    <x:t xml:space="preserve">https://www.facebook.com/messages/e2ee/t/3333084193495989</x:t>
  </x:si>
  <x:si>
    <x:t xml:space="preserve">Lê Cường</x:t>
  </x:si>
  <x:si>
    <x:t xml:space="preserve">https://www.facebook.com/messages/t/100009723341917</x:t>
  </x:si>
  <x:si>
    <x:t xml:space="preserve">Ngô Xuân Bắch</x:t>
  </x:si>
  <x:si>
    <x:t xml:space="preserve">https://www.instagram.com/direct/t/113814596675332/</x:t>
  </x:si>
  <x:si>
    <x:t xml:space="preserve">Anh Nguyen</x:t>
  </x:si>
  <x:si>
    <x:t xml:space="preserve">https://www.facebook.com/messages/e2ee/t/1962009474592156</x:t>
  </x:si>
  <x:si>
    <x:t xml:space="preserve">Tạ</x:t>
  </x:si>
  <x:si>
    <x:t xml:space="preserve">Anh Voi</x:t>
  </x:si>
  <x:si>
    <x:t xml:space="preserve">Triminhowo</x:t>
  </x:si>
  <x:si>
    <x:t xml:space="preserve">https://www.instagram.com/direct/t/17849614451757107/</x:t>
  </x:si>
  <x:si>
    <x:t xml:space="preserve">Cún Cưng</x:t>
  </x:si>
  <x:si>
    <x:t xml:space="preserve">https://www.facebook.com/messages/e2ee/t/24111982538433190</x:t>
  </x:si>
  <x:si>
    <x:t xml:space="preserve">Dang Vy</x:t>
  </x:si>
  <x:si>
    <x:t xml:space="preserve">https://www.facebook.com/messages/e2ee/t/24470581495870272</x:t>
  </x:si>
  <x:si>
    <x:t xml:space="preserve">Ngô Quỳnh Anh</x:t>
  </x:si>
  <x:si>
    <x:t xml:space="preserve">https://www.facebook.com/messages/e2ee/t/24183969284604469</x:t>
  </x:si>
  <x:si>
    <x:t xml:space="preserve">Lo Meme</x:t>
  </x:si>
  <x:si>
    <x:t xml:space="preserve">https://www.instagram.com/direct/t/17851308914752077/</x:t>
  </x:si>
  <x:si>
    <x:t xml:space="preserve">Tu Hoang Quynh Anh</x:t>
  </x:si>
  <x:si>
    <x:t xml:space="preserve">https://www.facebook.com/messages/e2ee/t/1895707331275621</x:t>
  </x:si>
  <x:si>
    <x:t xml:space="preserve">Viên Nguyễn</x:t>
  </x:si>
  <x:si>
    <x:t xml:space="preserve">Nguyễn Sơn Tùng</x:t>
  </x:si>
  <x:si>
    <x:t xml:space="preserve">https://www.facebook.com/messages/e2ee/t/788928567022538</x:t>
  </x:si>
  <x:si>
    <x:t xml:space="preserve">Rolls</x:t>
  </x:si>
  <x:si>
    <x:t xml:space="preserve">Amount</x:t>
  </x:si>
  <x:si>
    <x:t xml:space="preserve">Phan Hue</x:t>
  </x:si>
  <x:si>
    <x:t xml:space="preserve">https://www.facebook.com/messages/e2ee/t/1389292302169054</x:t>
  </x:si>
  <x:si>
    <x:t xml:space="preserve">Bảo Linh</x:t>
  </x:si>
  <x:si>
    <x:t xml:space="preserve">https://www.instagram.com/direct/t/17843073032705699/</x:t>
  </x:si>
  <x:si>
    <x:t xml:space="preserve">Mai Phương</x:t>
  </x:si>
  <x:si>
    <x:t xml:space="preserve">https://www.facebook.com/messages/e2ee/t/1924262708362257</x:t>
  </x:si>
  <x:si>
    <x:t xml:space="preserve">Đỗ Hoàng Nam</x:t>
  </x:si>
  <x:si>
    <x:t xml:space="preserve">https://www.facebook.com/messages/e2ee/t/1099796044927917</x:t>
  </x:si>
  <x:si>
    <x:t xml:space="preserve">Khánh Phương</x:t>
  </x:si>
  <x:si>
    <x:t xml:space="preserve">https://www.facebook.com/messages/e2ee/t/1285504629686757</x:t>
  </x:si>
  <x:si>
    <x:t xml:space="preserve">Just minh quan</x:t>
  </x:si>
  <x:si>
    <x:t xml:space="preserve">https://www.instagram.com/direct/t/17842042925335599/</x:t>
  </x:si>
  <x:si>
    <x:t xml:space="preserve">Emineoeo</x:t>
  </x:si>
  <x:si>
    <x:t xml:space="preserve">https://www.instagram.com/direct/t/17847387069509001/</x:t>
  </x:si>
  <x:si>
    <x:t xml:space="preserve">Dinh Pham Phuong Linh</x:t>
  </x:si>
  <x:si>
    <x:t xml:space="preserve">https://www.facebook.com/messages/e2ee/t/813866950963137</x:t>
  </x:si>
  <x:si>
    <x:t xml:space="preserve">Lại Vũ</x:t>
  </x:si>
  <x:si>
    <x:t xml:space="preserve">https://www.facebook.com/messages/e2ee/t/1679991896018485</x:t>
  </x:si>
  <x:si>
    <x:t xml:space="preserve">Cookies and Creams</x:t>
  </x:si>
  <x:si>
    <x:t xml:space="preserve">https://www.instagram.com/direct/t/17843558420527857/</x:t>
  </x:si>
  <x:si>
    <x:t xml:space="preserve">Chị Khánh Hà</x:t>
  </x:si>
  <x:si>
    <x:t xml:space="preserve">Hồ Hải Đăng</x:t>
  </x:si>
  <x:si>
    <x:t xml:space="preserve">https://www.instagram.com/direct/t/109253397137709/</x:t>
  </x:si>
  <x:si>
    <x:t xml:space="preserve">Subeo Nguyễn Đặng</x:t>
  </x:si>
  <x:si>
    <x:t xml:space="preserve">https://www.facebook.com/messages/e2ee/t/1125972582757391</x:t>
  </x:si>
  <x:si>
    <x:t xml:space="preserve">Minh Nguyễn</x:t>
  </x:si>
  <x:si>
    <x:t xml:space="preserve">https://www.facebook.com/messages/e2ee/t/24222885597337422</x:t>
  </x:si>
  <x:si>
    <x:t xml:space="preserve">Dũng</x:t>
  </x:si>
  <x:si>
    <x:t xml:space="preserve">\</x:t>
  </x:si>
  <x:si>
    <x:t xml:space="preserve">Ultramax (24e)</x:t>
  </x:si>
  <x:si>
    <x:t xml:space="preserve">https://www.facebook.com/messages/t/24270112969258163</x:t>
  </x:si>
  <x:si>
    <x:t xml:space="preserve">Nguyễn Đức Trung</x:t>
  </x:si>
  <x:si>
    <x:t xml:space="preserve">https://www.facebook.com/messages/e2ee/t/30012274418416195</x:t>
  </x:si>
  <x:si>
    <x:t xml:space="preserve">Khanh Chi Doan</x:t>
  </x:si>
  <x:si>
    <x:t xml:space="preserve">https://www.facebook.com/messages/e2ee/t/24335868662712237</x:t>
  </x:si>
  <x:si>
    <x:t xml:space="preserve">Nguyễn Giang</x:t>
  </x:si>
  <x:si>
    <x:t xml:space="preserve">https://www.facebook.com/messages/e2ee/t/24142177622085827</x:t>
  </x:si>
  <x:si>
    <x:t xml:space="preserve">Nataliee</x:t>
  </x:si>
  <x:si>
    <x:t xml:space="preserve">https://www.instagram.com/direct/t/17848038167631656/</x:t>
  </x:si>
  <x:si>
    <x:t xml:space="preserve">Linh Nguyễn</x:t>
  </x:si>
  <x:si>
    <x:t xml:space="preserve">https://www.facebook.com/messages/e2ee/t/24096543949983226</x:t>
  </x:si>
  <x:si>
    <x:t xml:space="preserve">Nguyen Ha Phuong</x:t>
  </x:si>
  <x:si>
    <x:t xml:space="preserve">https://www.facebook.com/messages/e2ee/t/24303678449238067</x:t>
  </x:si>
  <x:si>
    <x:t xml:space="preserve">Minh Ánh Lê</x:t>
  </x:si>
  <x:si>
    <x:t xml:space="preserve">https://www.facebook.com/messages/e2ee/t/30611693911755209</x:t>
  </x:si>
  <x:si>
    <x:t xml:space="preserve">Hưng</x:t>
  </x:si>
  <x:si>
    <x:t xml:space="preserve">https://www.facebook.com/messages/e2ee/t/23871265875888119</x:t>
  </x:si>
  <x:si>
    <x:t xml:space="preserve">Yến Hoàng</x:t>
  </x:si>
  <x:si>
    <x:t xml:space="preserve">https://www.instagram.com/direct/t/109749027165825/</x:t>
  </x:si>
  <x:si>
    <x:t xml:space="preserve">Khanhuyennn</x:t>
  </x:si>
  <x:si>
    <x:t xml:space="preserve">https://www.instagram.com/direct/t/17844294389642107/</x:t>
  </x:si>
  <x:si>
    <x:t xml:space="preserve">Ngọc Quỳnh</x:t>
  </x:si>
  <x:si>
    <x:t xml:space="preserve">https://www.instagram.com/direct/t/104455850947195/</x:t>
  </x:si>
  <x:si>
    <x:t xml:space="preserve">Minh Thư</x:t>
  </x:si>
  <x:si>
    <x:t xml:space="preserve">https://www.instagram.com/direct/t/111122990283615/</x:t>
  </x:si>
  <x:si>
    <x:t xml:space="preserve">Đăng Nguyễn</x:t>
  </x:si>
  <x:si>
    <x:t xml:space="preserve">https://www.instagram.com/direct/t/101563057905747/</x:t>
  </x:si>
  <x:si>
    <x:t xml:space="preserve">Ngoclinh</x:t>
  </x:si>
  <x:si>
    <x:t xml:space="preserve">Doãn Minh Tiến</x:t>
  </x:si>
  <x:si>
    <x:t xml:space="preserve">https://www.instagram.com/direct/t/17847928973816545/</x:t>
  </x:si>
  <x:si>
    <x:t xml:space="preserve">Matche latta</x:t>
  </x:si>
  <x:si>
    <x:t xml:space="preserve">https://www.instagram.com/direct/t/17842051736519642/</x:t>
  </x:si>
  <x:si>
    <x:t xml:space="preserve">Trần Ng Khanh Linh</x:t>
  </x:si>
  <x:si>
    <x:t xml:space="preserve">https://www.facebook.com/messages/e2ee/t/25298276106428139</x:t>
  </x:si>
  <x:si>
    <x:t xml:space="preserve">Bi</x:t>
  </x:si>
  <x:si>
    <x:t xml:space="preserve">Lưu Dương</x:t>
  </x:si>
  <x:si>
    <x:t xml:space="preserve">Phan Le Minh Anh</x:t>
  </x:si>
  <x:si>
    <x:t xml:space="preserve">https://www.instagram.com/direct/t/101790937888000/</x:t>
  </x:si>
  <x:si>
    <x:t xml:space="preserve">Nguyễn Năng Tuấn Anh</x:t>
  </x:si>
  <x:si>
    <x:t xml:space="preserve">https://www.facebook.com/messages/e2ee/t/31041562015435087</x:t>
  </x:si>
  <x:si>
    <x:t xml:space="preserve">Ngô Hoàng Tuấn</x:t>
  </x:si>
  <x:si>
    <x:t xml:space="preserve">https://www.facebook.com/messages/e2ee/t/9984590068335280</x:t>
  </x:si>
  <x:si>
    <x:t xml:space="preserve">Ultramax </x:t>
  </x:si>
  <x:si>
    <x:t xml:space="preserve">Portra 160</x:t>
  </x:si>
  <x:si>
    <x:t xml:space="preserve">Chị Ngọc</x:t>
  </x:si>
  <x:si>
    <x:t xml:space="preserve">Ultramax</x:t>
  </x:si>
  <x:si>
    <x:t xml:space="preserve">Châu (Sơn Bắc)</x:t>
  </x:si>
  <x:si>
    <x:t xml:space="preserve">https://www.messenger.com/marketplace/t/23926656466919044</x:t>
  </x:si>
  <x:si>
    <x:t xml:space="preserve">Thảo Nguyên</x:t>
  </x:si>
  <x:si>
    <x:t xml:space="preserve">https://www.messenger.com/marketplace/t/24031812749736920</x:t>
  </x:si>
  <x:si>
    <x:t xml:space="preserve">Đinh Yến Nhi</x:t>
  </x:si>
  <x:si>
    <x:t xml:space="preserve">https://www.messenger.com/marketplace/t/9304419653014194</x:t>
  </x:si>
  <x:si>
    <x:t xml:space="preserve">Huu Chi</x:t>
  </x:si>
  <x:si>
    <x:t xml:space="preserve">https://www.instagram.com/direct/t/103740397687443/</x:t>
  </x:si>
  <x:si>
    <x:t xml:space="preserve">Phó</x:t>
  </x:si>
  <x:si>
    <x:t xml:space="preserve">Ýý (Thiên Ý)</x:t>
  </x:si>
  <x:si>
    <x:t xml:space="preserve">https://www.messenger.com/marketplace/t/9574049832706431</x:t>
  </x:si>
  <x:si>
    <x:t xml:space="preserve">Lii</x:t>
  </x:si>
  <x:si>
    <x:t xml:space="preserve">https://www.instagram.com/direct/t/119493569437484/</x:t>
  </x:si>
  <x:si>
    <x:t xml:space="preserve">tao</x:t>
  </x:si>
  <x:si>
    <x:t xml:space="preserve">FB em</x:t>
  </x:si>
  <x:si>
    <x:t xml:space="preserve">morrix07 (Thùy Linh)</x:t>
  </x:si>
  <x:si>
    <x:t xml:space="preserve">https://www.instagram.com/direct/t/17843790084430258/</x:t>
  </x:si>
  <x:si>
    <x:t xml:space="preserve">Minh Vo</x:t>
  </x:si>
  <x:si>
    <x:t xml:space="preserve">https://www.instagram.com/direct/t/17845419677311588/</x:t>
  </x:si>
  <x:si>
    <x:t xml:space="preserve">khanh chi</x:t>
  </x:si>
  <x:si>
    <x:t xml:space="preserve">https://www.instagram.com/direct/t/17849513462502386/</x:t>
  </x:si>
  <x:si>
    <x:t xml:space="preserve">Iteryand_</x:t>
  </x:si>
  <x:si>
    <x:t xml:space="preserve">https://www.instagram.com/direct/t/17844285398280666/</x:t>
  </x:si>
  <x:si>
    <x:t xml:space="preserve">https://www.instagram.com/direct/t/107644523970728/</x:t>
  </x:si>
  <x:si>
    <x:t xml:space="preserve">Thảo Hoàng</x:t>
  </x:si>
  <x:si>
    <x:t xml:space="preserve">Bạn Thảo</x:t>
  </x:si>
  <x:si>
    <x:t xml:space="preserve">dvi an cut (Thu Phương)</x:t>
  </x:si>
  <x:si>
    <x:t xml:space="preserve">https://www.instagram.com/direct/t/17842314347651401/</x:t>
  </x:si>
  <x:si>
    <x:t xml:space="preserve">bún</x:t>
  </x:si>
  <x:si>
    <x:t xml:space="preserve">https://www.instagram.com/direct/t/17849518673675581/</x:t>
  </x:si>
  <x:si>
    <x:t xml:space="preserve">Liên</x:t>
  </x:si>
  <x:si>
    <x:t xml:space="preserve">https://www.messenger.com/marketplace/t/9679770122113149</x:t>
  </x:si>
  <x:si>
    <x:t xml:space="preserve">Fia béo (Hoa)</x:t>
  </x:si>
  <x:si>
    <x:t xml:space="preserve">https://www.instagram.com/direct/t/117679856287078/</x:t>
  </x:si>
  <x:si>
    <x:t xml:space="preserve">suplow_</x:t>
  </x:si>
  <x:si>
    <x:t xml:space="preserve">https://www.instagram.com/direct/t/101396024596881/</x:t>
  </x:si>
  <x:si>
    <x:t xml:space="preserve">zg.nqoc (Minh Ngọc)</x:t>
  </x:si>
  <x:si>
    <x:t xml:space="preserve">hanoicuabi</x:t>
  </x:si>
  <x:si>
    <x:t xml:space="preserve">https://www.instagram.com/direct/t/106368780754006/</x:t>
  </x:si>
  <x:si>
    <x:t xml:space="preserve">thatssosean</x:t>
  </x:si>
  <x:si>
    <x:t xml:space="preserve">https://www.instagram.com/direct/t/119999129389466/</x:t>
  </x:si>
  <x:si>
    <x:t xml:space="preserve">Đào Lê Huy</x:t>
  </x:si>
  <x:si>
    <x:t xml:space="preserve">https://www.instagram.com/direct/t/105227564308024/</x:t>
  </x:si>
  <x:si>
    <x:t xml:space="preserve">Eightysix</x:t>
  </x:si>
  <x:si>
    <x:t xml:space="preserve">https://www.messenger.com/e2ee/t/9909328772412826</x:t>
  </x:si>
  <x:si>
    <x:t xml:space="preserve">Hà My</x:t>
  </x:si>
  <x:si>
    <x:t xml:space="preserve">https://www.messenger.com/marketplace/t/9831782760219730</x:t>
  </x:si>
  <x:si>
    <x:t xml:space="preserve">Nguyễn Hoàng Anh</x:t>
  </x:si>
  <x:si>
    <x:t xml:space="preserve">https://www.messenger.com/e2ee/t/9333428166688094</x:t>
  </x:si>
  <x:si>
    <x:t xml:space="preserve">Nguyen Hai Anh</x:t>
  </x:si>
  <x:si>
    <x:t xml:space="preserve">https://www.messenger.com/e2ee/t/9221524741276424</x:t>
  </x:si>
  <x:si>
    <x:t xml:space="preserve">Quynh Anh</x:t>
  </x:si>
  <x:si>
    <x:t xml:space="preserve">https://www.messenger.com/e2ee/t/9669156793202168</x:t>
  </x:si>
  <x:si>
    <x:t xml:space="preserve">kity</x:t>
  </x:si>
  <x:si>
    <x:t xml:space="preserve">https://www.instagram.com/direct/t/105984074258721/</x:t>
  </x:si>
  <x:si>
    <x:t xml:space="preserve">cogchuakhocnhef</x:t>
  </x:si>
  <x:si>
    <x:t xml:space="preserve">https://www.instagram.com/direct/t/17844791717491500/</x:t>
  </x:si>
  <x:si>
    <x:t xml:space="preserve">Hoàng Xung</x:t>
  </x:si>
  <x:si>
    <x:t xml:space="preserve">https://www.messenger.com/marketplace/t/9646160158772343</x:t>
  </x:si>
  <x:si>
    <x:t xml:space="preserve">Quang Ng</x:t>
  </x:si>
  <x:si>
    <x:t xml:space="preserve">https://www.messenger.com/e2ee/t/29364157503229024</x:t>
  </x:si>
  <x:si>
    <x:t xml:space="preserve">Hoàng Hùng</x:t>
  </x:si>
  <x:si>
    <x:t xml:space="preserve">thuc anh</x:t>
  </x:si>
  <x:si>
    <x:t xml:space="preserve">https://www.instagram.com/direct/t/104576217607385/</x:t>
  </x:si>
  <x:si>
    <x:t xml:space="preserve">Ngâm Châu</x:t>
  </x:si>
  <x:si>
    <x:t xml:space="preserve">https://www.messenger.com/marketplace/t/9626421587465755</x:t>
  </x:si>
  <x:si>
    <x:t xml:space="preserve">nk (Ngọc Khánh)</x:t>
  </x:si>
  <x:si>
    <x:t xml:space="preserve">https://www.instagram.com/direct/t/17844312953279223/</x:t>
  </x:si>
  <x:si>
    <x:t xml:space="preserve">chichupchoet.jpg</x:t>
  </x:si>
  <x:si>
    <x:t xml:space="preserve">https://www.instagram.com/direct/t/17842153089192825/</x:t>
  </x:si>
  <x:si>
    <x:t xml:space="preserve">Sơn Đinh</x:t>
  </x:si>
  <x:si>
    <x:t xml:space="preserve">https://www.instagram.com/direct/t/111633823561372/</x:t>
  </x:si>
  <x:si>
    <x:t xml:space="preserve">Phương Ngân</x:t>
  </x:si>
  <x:si>
    <x:t xml:space="preserve">https://www.instagram.com/direct/t/115045566559413/</x:t>
  </x:si>
  <x:si>
    <x:t xml:space="preserve">Hải Nam</x:t>
  </x:si>
  <x:si>
    <x:t xml:space="preserve">https://www.instagram.com/direct/t/101200784613507/</x:t>
  </x:si>
  <x:si>
    <x:t xml:space="preserve">Nguyen Phuong</x:t>
  </x:si>
  <x:si>
    <x:t xml:space="preserve">https://www.instagram.com/direct/t/119553426098426/</x:t>
  </x:si>
  <x:si>
    <x:t xml:space="preserve">Hải</x:t>
  </x:si>
  <x:si>
    <x:t xml:space="preserve">https://www.messenger.com/marketplace/t/9814225238635625</x:t>
  </x:si>
  <x:si>
    <x:t xml:space="preserve">Văn</x:t>
  </x:si>
  <x:si>
    <x:t xml:space="preserve">https://www.messenger.com/marketplace/t/24389048777362160</x:t>
  </x:si>
  <x:si>
    <x:t xml:space="preserve">bin</x:t>
  </x:si>
  <x:si>
    <x:t xml:space="preserve">https://www.instagram.com/direct/t/109863363736319/</x:t>
  </x:si>
  <x:si>
    <x:t xml:space="preserve">bướng</x:t>
  </x:si>
  <x:si>
    <x:t xml:space="preserve">https://www.instagram.com/direct/t/17843174576912230/</x:t>
  </x:si>
  <x:si>
    <x:t xml:space="preserve">emchip.oiii</x:t>
  </x:si>
  <x:si>
    <x:t xml:space="preserve">https://www.instagram.com/direct/t/103289954404159/</x:t>
  </x:si>
  <x:si>
    <x:t xml:space="preserve">ssld012._</x:t>
  </x:si>
  <x:si>
    <x:t xml:space="preserve">https://www.instagram.com/direct/t/102095494526374/</x:t>
  </x:si>
  <x:si>
    <x:t xml:space="preserve">ngnbthyy</x:t>
  </x:si>
  <x:si>
    <x:t xml:space="preserve">https://www.instagram.com/direct/t/120427606012125/</x:t>
  </x:si>
  <x:si>
    <x:t xml:space="preserve">phuong nhi</x:t>
  </x:si>
  <x:si>
    <x:t xml:space="preserve">https://www.instagram.com/direct/t/105853447483136/</x:t>
  </x:si>
  <x:si>
    <x:t xml:space="preserve">Nhật Minh</x:t>
  </x:si>
  <x:si>
    <x:t xml:space="preserve">https://www.instagram.com/direct/t/17842181672560493/</x:t>
  </x:si>
  <x:si>
    <x:t xml:space="preserve">baro</x:t>
  </x:si>
  <x:si>
    <x:t xml:space="preserve">https://www.instagram.com/direct/t/117402246314028/</x:t>
  </x:si>
  <x:si>
    <x:t xml:space="preserve">nguyên hằng</x:t>
  </x:si>
  <x:si>
    <x:t xml:space="preserve">https://www.instagram.com/direct/t/104799940921441/</x:t>
  </x:si>
  <x:si>
    <x:t xml:space="preserve">uyen minh</x:t>
  </x:si>
  <x:si>
    <x:t xml:space="preserve">https://www.instagram.com/direct/t/100165288256987/</x:t>
  </x:si>
  <x:si>
    <x:t xml:space="preserve">thoonguuu</x:t>
  </x:si>
  <x:si>
    <x:t xml:space="preserve">nhu ngoc</x:t>
  </x:si>
  <x:si>
    <x:t xml:space="preserve">https://www.instagram.com/direct/t/17850352040678536/</x:t>
  </x:si>
  <x:si>
    <x:t xml:space="preserve">Lê Quang Đạo</x:t>
  </x:si>
  <x:si>
    <x:t xml:space="preserve">https://www.instagram.com/direct/t/104785184257078/</x:t>
  </x:si>
  <x:si>
    <x:t xml:space="preserve">Tâm</x:t>
  </x:si>
  <x:si>
    <x:t xml:space="preserve">https://www.messenger.com/marketplace/t/8690102221092517</x:t>
  </x:si>
  <x:si>
    <x:t xml:space="preserve">Lingg Doan</x:t>
  </x:si>
  <x:si>
    <x:t xml:space="preserve">https://www.messenger.com/e2ee/t/9965841446811523</x:t>
  </x:si>
  <x:si>
    <x:t xml:space="preserve">Tran Khanh Thu</x:t>
  </x:si>
  <x:si>
    <x:t xml:space="preserve">https://www.messenger.com/e2ee/t/29855267544087111</x:t>
  </x:si>
  <x:si>
    <x:t xml:space="preserve">Woo Ok Yeong</x:t>
  </x:si>
  <x:si>
    <x:t xml:space="preserve">https://www.instagram.com/direct/t/115841696479311/</x:t>
  </x:si>
  <x:si>
    <x:t xml:space="preserve">urcocagf</x:t>
  </x:si>
  <x:si>
    <x:t xml:space="preserve">https://www.instagram.com/direct/t/17846132192724581/</x:t>
  </x:si>
  <x:si>
    <x:t xml:space="preserve">Nguyễn Ngọc Minh</x:t>
  </x:si>
  <x:si>
    <x:t xml:space="preserve">https://www.messenger.com/e2ee/t/9615287218564559</x:t>
  </x:si>
  <x:si>
    <x:t xml:space="preserve">Hoài An</x:t>
  </x:si>
  <x:si>
    <x:t xml:space="preserve">https://www.messenger.com/e2ee/t/9197697760335209</x:t>
  </x:si>
  <x:si>
    <x:t xml:space="preserve">cuns</x:t>
  </x:si>
  <x:si>
    <x:t xml:space="preserve">https://www.instagram.com/direct/t/17845778207586221/</x:t>
  </x:si>
  <x:si>
    <x:t xml:space="preserve">Việt Anh</x:t>
  </x:si>
  <x:si>
    <x:t xml:space="preserve">https://www.messenger.com/marketplace/t/24959935646929946</x:t>
  </x:si>
  <x:si>
    <x:t xml:space="preserve">Tehehe Hana</x:t>
  </x:si>
  <x:si>
    <x:t xml:space="preserve">https://www.messenger.com/e2ee/t/9910374195686016</x:t>
  </x:si>
  <x:si>
    <x:t xml:space="preserve">mnngoc</x:t>
  </x:si>
  <x:si>
    <x:t xml:space="preserve">https://www.instagram.com/direct/t/113109896754405/</x:t>
  </x:si>
  <x:si>
    <x:t xml:space="preserve">Baongoc Nguyen</x:t>
  </x:si>
  <x:si>
    <x:t xml:space="preserve">https://www.messenger.com/e2ee/t/9865450796905569</x:t>
  </x:si>
  <x:si>
    <x:t xml:space="preserve">lex</x:t>
  </x:si>
  <x:si>
    <x:t xml:space="preserve">https://www.instagram.com/direct/t/17843425040414089/</x:t>
  </x:si>
  <x:si>
    <x:t xml:space="preserve">Zoe</x:t>
  </x:si>
  <x:si>
    <x:t xml:space="preserve">https://www.instagram.com/direct/t/17845546826926324/</x:t>
  </x:si>
  <x:si>
    <x:t xml:space="preserve">Nguyễn Tiến</x:t>
  </x:si>
  <x:si>
    <x:t xml:space="preserve">https://www.messenger.com/e2ee/t/29608872698704103</x:t>
  </x:si>
  <x:si>
    <x:t xml:space="preserve">bspm</x:t>
  </x:si>
  <x:si>
    <x:t xml:space="preserve">https://www.instagram.com/direct/t/114529566607518/</x:t>
  </x:si>
  <x:si>
    <x:t xml:space="preserve">Hoài Nam</x:t>
  </x:si>
  <x:si>
    <x:t xml:space="preserve">https://www.messenger.com/t/100004428454557</x:t>
  </x:si>
  <x:si>
    <x:t xml:space="preserve">ghét cuộc sống</x:t>
  </x:si>
  <x:si>
    <x:t xml:space="preserve">https://www.instagram.com/direct/t/17846367467553572/</x:t>
  </x:si>
  <x:si>
    <x:t xml:space="preserve">dontcallmepookieimgangsta</x:t>
  </x:si>
  <x:si>
    <x:t xml:space="preserve">https://www.instagram.com/direct/t/17845461215556574/</x:t>
  </x:si>
  <x:si>
    <x:t xml:space="preserve">ningzh_11</x:t>
  </x:si>
  <x:si>
    <x:t xml:space="preserve">https://www.instagram.com/direct/t/108053667262145/</x:t>
  </x:si>
  <x:si>
    <x:t xml:space="preserve">Chloe Ng</x:t>
  </x:si>
  <x:si>
    <x:t xml:space="preserve">https://www.instagram.com/direct/t/118655069525578/</x:t>
  </x:si>
  <x:si>
    <x:t xml:space="preserve">Nguyễn Ngọc Mai</x:t>
  </x:si>
  <x:si>
    <x:t xml:space="preserve">https://www.messenger.com/e2ee/t/10059407507430206</x:t>
  </x:si>
  <x:si>
    <x:t xml:space="preserve">Bảo Trang</x:t>
  </x:si>
  <x:si>
    <x:t xml:space="preserve">https://www.messenger.com/marketplace/t/9924431127603513</x:t>
  </x:si>
  <x:si>
    <x:t xml:space="preserve">idkhahahaha</x:t>
  </x:si>
  <x:si>
    <x:t xml:space="preserve">https://www.instagram.com/direct/t/104869907595663/</x:t>
  </x:si>
  <x:si>
    <x:t xml:space="preserve">iamchippp__</x:t>
  </x:si>
  <x:si>
    <x:t xml:space="preserve">https://www.instagram.com/direct/t/17848354058927557/</x:t>
  </x:si>
  <x:si>
    <x:t xml:space="preserve">Bảo Khánh Linh</x:t>
  </x:si>
  <x:si>
    <x:t xml:space="preserve">https://www.messenger.com/e2ee/t/9021941271200814</x:t>
  </x:si>
  <x:si>
    <x:t xml:space="preserve">bông</x:t>
  </x:si>
  <x:si>
    <x:t xml:space="preserve">https://www.instagram.com/direct/t/110877843643141/</x:t>
  </x:si>
  <x:si>
    <x:t xml:space="preserve">Tưởng thế là hay</x:t>
  </x:si>
  <x:si>
    <x:t xml:space="preserve">https://www.instagram.com/direct/t/17848912151694424/</x:t>
  </x:si>
  <x:si>
    <x:t xml:space="preserve">Thanh</x:t>
  </x:si>
  <x:si>
    <x:t xml:space="preserve">https://www.facebook.com/messages/t/8003234953134238</x:t>
  </x:si>
  <x:si>
    <x:t xml:space="preserve">My An</x:t>
  </x:si>
  <x:si>
    <x:t xml:space="preserve">https://www.instagram.com/direct/t/104256944446349/</x:t>
  </x:si>
  <x:si>
    <x:t xml:space="preserve">Nguyễn Sáng</x:t>
  </x:si>
  <x:si>
    <x:t xml:space="preserve">https://www.instagram.com/direct/t/17843269346138564/</x:t>
  </x:si>
  <x:si>
    <x:t xml:space="preserve">Khuê</x:t>
  </x:si>
  <x:si>
    <x:t xml:space="preserve">https://www.messenger.com/marketplace/t/9716278748462330</x:t>
  </x:si>
  <x:si>
    <x:t xml:space="preserve">Phuong Chi</x:t>
  </x:si>
  <x:si>
    <x:t xml:space="preserve">https://www.instagram.com/direct/t/17843350691519960/</x:t>
  </x:si>
  <x:si>
    <x:t xml:space="preserve">Châu</x:t>
  </x:si>
  <x:si>
    <x:t xml:space="preserve">https://www.instagram.com/direct/t/17845489898526790/</x:t>
  </x:si>
  <x:si>
    <x:t xml:space="preserve">.___.</x:t>
  </x:si>
  <x:si>
    <x:t xml:space="preserve">https://www.instagram.com/direct/t/118207162903251/</x:t>
  </x:si>
  <x:si>
    <x:t xml:space="preserve">My Kiều</x:t>
  </x:si>
  <x:si>
    <x:t xml:space="preserve">https://www.instagram.com/direct/t/123017969090627/</x:t>
  </x:si>
  <x:si>
    <x:t xml:space="preserve">Nguyễn Huyền</x:t>
  </x:si>
  <x:si>
    <x:t xml:space="preserve">https://www.messenger.com/e2ee/t/10039049306184188</x:t>
  </x:si>
  <x:si>
    <x:t xml:space="preserve">Thanh Ha</x:t>
  </x:si>
  <x:si>
    <x:t xml:space="preserve">https://www.facebook.com/messages/e2ee/t/10008998895823474</x:t>
  </x:si>
  <x:si>
    <x:t xml:space="preserve">Van Nhi Mai</x:t>
  </x:si>
  <x:si>
    <x:t xml:space="preserve">https://www.facebook.com/messages/e2ee/t/9324707130915449</x:t>
  </x:si>
  <x:si>
    <x:t xml:space="preserve">Ta</x:t>
  </x:si>
  <x:si>
    <x:t xml:space="preserve">https://www.instagram.com/direct/t/17845966862677044/</x:t>
  </x:si>
  <x:si>
    <x:t xml:space="preserve">Luc Linh Dan</x:t>
  </x:si>
  <x:si>
    <x:t xml:space="preserve">https://www.instagram.com/direct/t/111099537155768/</x:t>
  </x:si>
  <x:si>
    <x:t xml:space="preserve">Tran Thao Quyen</x:t>
  </x:si>
  <x:si>
    <x:t xml:space="preserve">https://www.instagram.com/direct/t/104713407591686/</x:t>
  </x:si>
  <x:si>
    <x:t xml:space="preserve">Liem Kinh</x:t>
  </x:si>
  <x:si>
    <x:t xml:space="preserve">https://www.instagram.com/direct/t/17849755571746524/</x:t>
  </x:si>
  <x:si>
    <x:t xml:space="preserve">Uyển Nhi</x:t>
  </x:si>
  <x:si>
    <x:t xml:space="preserve">https://www.messenger.com/e2ee/t/29624416190536475</x:t>
  </x:si>
  <x:si>
    <x:t xml:space="preserve">Cục Đá</x:t>
  </x:si>
  <x:si>
    <x:t xml:space="preserve">https://www.messenger.com/marketplace/t/9515259691933257</x:t>
  </x:si>
  <x:si>
    <x:t xml:space="preserve">Hiền Anh</x:t>
  </x:si>
  <x:si>
    <x:t xml:space="preserve">Công Ng</x:t>
  </x:si>
  <x:si>
    <x:t xml:space="preserve">https://www.messenger.com/e2ee/t/24295320953394358</x:t>
  </x:si>
  <x:si>
    <x:t xml:space="preserve">indecisive 24/7</x:t>
  </x:si>
  <x:si>
    <x:t xml:space="preserve">https://www.instagram.com/direct/t/17844696113503240/</x:t>
  </x:si>
  <x:si>
    <x:t xml:space="preserve">Ngức Minh Đuyễn</x:t>
  </x:si>
  <x:si>
    <x:t xml:space="preserve">https://www.instagram.com/direct/t/104846360914326/</x:t>
  </x:si>
  <x:si>
    <x:t xml:space="preserve">Tung Anh</x:t>
  </x:si>
  <x:si>
    <x:t xml:space="preserve">https://www.messenger.com/e2ee/t/24715979821324074</x:t>
  </x:si>
  <x:si>
    <x:t xml:space="preserve">Duc Le</x:t>
  </x:si>
  <x:si>
    <x:t xml:space="preserve">https://www.messenger.com/e2ee/t/9632922720169268</x:t>
  </x:si>
  <x:si>
    <x:t xml:space="preserve">Phương Nguyễn</x:t>
  </x:si>
  <x:si>
    <x:t xml:space="preserve">https://www.messenger.com/e2ee/t/23962528590008033</x:t>
  </x:si>
  <x:si>
    <x:t xml:space="preserve">Ngọc Linh</x:t>
  </x:si>
  <x:si>
    <x:t xml:space="preserve">https://www.messenger.com/e2ee/t/29575466102101085</x:t>
  </x:si>
  <x:si>
    <x:t xml:space="preserve">Khánh Linh</x:t>
  </x:si>
  <x:si>
    <x:t xml:space="preserve">https://www.messenger.com/e2ee/t/9722866237768877</x:t>
  </x:si>
  <x:si>
    <x:t xml:space="preserve">bao han</x:t>
  </x:si>
  <x:si>
    <x:t xml:space="preserve">https://www.instagram.com/direct/t/17842785143590226/</x:t>
  </x:si>
  <x:si>
    <x:t xml:space="preserve">Lidii</x:t>
  </x:si>
  <x:si>
    <x:t xml:space="preserve">https://www.instagram.com/direct/t/17845320131861594/</x:t>
  </x:si>
  <x:si>
    <x:t xml:space="preserve">bobibbo</x:t>
  </x:si>
  <x:si>
    <x:t xml:space="preserve">emchip</x:t>
  </x:si>
  <x:si>
    <x:t xml:space="preserve">Cao Thanh Hậu</x:t>
  </x:si>
  <x:si>
    <x:t xml:space="preserve">https://www.instagram.com/direct/t/104238714492823/</x:t>
  </x:si>
  <x:si>
    <x:t xml:space="preserve">Vũ Nguyễn Khánh Ngọc</x:t>
  </x:si>
  <x:si>
    <x:t xml:space="preserve">https://www.messenger.com/t/100022299930903</x:t>
  </x:si>
  <x:si>
    <x:t xml:space="preserve">Bảo Thư</x:t>
  </x:si>
  <x:si>
    <x:t xml:space="preserve">https://www.instagram.com/direct/t/106952200829833/</x:t>
  </x:si>
  <x:si>
    <x:t xml:space="preserve">cinderelowkeyla</x:t>
  </x:si>
  <x:si>
    <x:t xml:space="preserve">https://www.instagram.com/direct/t/114140416650709/</x:t>
  </x:si>
  <x:si>
    <x:t xml:space="preserve">cũ nhưng không bao giờ quên</x:t>
  </x:si>
  <x:si>
    <x:t xml:space="preserve">https://www.instagram.com/direct/t/17842729493914839/</x:t>
  </x:si>
  <x:si>
    <x:t xml:space="preserve">Mai Nguyen</x:t>
  </x:si>
  <x:si>
    <x:t xml:space="preserve">https://www.instagram.com/direct/t/107998623925732/</x:t>
  </x:si>
  <x:si>
    <x:t xml:space="preserve">củ lạc giòn tan</x:t>
  </x:si>
  <x:si>
    <x:t xml:space="preserve">https://www.instagram.com/direct/t/17843840370095170/</x:t>
  </x:si>
  <x:si>
    <x:t xml:space="preserve">pa</x:t>
  </x:si>
  <x:si>
    <x:t xml:space="preserve">https://www.instagram.com/direct/t/105641174162835/</x:t>
  </x:si>
  <x:si>
    <x:t xml:space="preserve">Minh Trang</x:t>
  </x:si>
  <x:si>
    <x:t xml:space="preserve">https://www.instagram.com/direct/t/17843070854950321/</x:t>
  </x:si>
  <x:si>
    <x:t xml:space="preserve">thelensofluyn (Khánh Ly)</x:t>
  </x:si>
  <x:si>
    <x:t xml:space="preserve">https://www.instagram.com/direct/t/17845582512175951/</x:t>
  </x:si>
  <x:si>
    <x:t xml:space="preserve">hhhann___</x:t>
  </x:si>
  <x:si>
    <x:t xml:space="preserve">https://www.instagram.com/direct/t/119222576136671/</x:t>
  </x:si>
  <x:si>
    <x:t xml:space="preserve">lteryand_</x:t>
  </x:si>
  <x:si>
    <x:t xml:space="preserve">Vũ Trà My</x:t>
  </x:si>
  <x:si>
    <x:t xml:space="preserve">https://www.messenger.com/e2ee/t/28164991226481034</x:t>
  </x:si>
  <x:si>
    <x:t xml:space="preserve">Bao Anh</x:t>
  </x:si>
  <x:si>
    <x:t xml:space="preserve">https://www.messenger.com/e2ee/t/24596366013285663</x:t>
  </x:si>
  <x:si>
    <x:t xml:space="preserve">https://www.messenger.com/e2ee/t/9466014793508562</x:t>
  </x:si>
  <x:si>
    <x:t xml:space="preserve">Mei Anh</x:t>
  </x:si>
  <x:si>
    <x:t xml:space="preserve">https://www.instagram.com/direct/t/17842502339461449/</x:t>
  </x:si>
  <x:si>
    <x:t xml:space="preserve">Phạm Ngọc Linh</x:t>
  </x:si>
  <x:si>
    <x:t xml:space="preserve">https://www.messenger.com/e2ee/t/9579591538832904</x:t>
  </x:si>
  <x:si>
    <x:t xml:space="preserve">Bao Khanh</x:t>
  </x:si>
  <x:si>
    <x:t xml:space="preserve">https://www.instagram.com/direct/t/17842946627707051/</x:t>
  </x:si>
  <x:si>
    <x:t xml:space="preserve">Hoàng Thư</x:t>
  </x:si>
  <x:si>
    <x:t xml:space="preserve">https://www.messenger.com/e2ee/t/29114121594898947</x:t>
  </x:si>
  <x:si>
    <x:t xml:space="preserve">kh huyen</x:t>
  </x:si>
  <x:si>
    <x:t xml:space="preserve">https://www.instagram.com/direct/t/107414933988944/</x:t>
  </x:si>
  <x:si>
    <x:t xml:space="preserve">Đỗ Nguyên Khánh</x:t>
  </x:si>
  <x:si>
    <x:t xml:space="preserve">https://www.messenger.com/e2ee/t/9943123575770893</x:t>
  </x:si>
  <x:si>
    <x:t xml:space="preserve">Minh Phương</x:t>
  </x:si>
  <x:si>
    <x:t xml:space="preserve">https://www.instagram.com/direct/t/108371203898042/</x:t>
  </x:si>
  <x:si>
    <x:t xml:space="preserve">hanh chan canh</x:t>
  </x:si>
  <x:si>
    <x:t xml:space="preserve">https://www.instagram.com/direct/t/17843917211336129/</x:t>
  </x:si>
  <x:si>
    <x:t xml:space="preserve">Nguyen Huong Anh</x:t>
  </x:si>
  <x:si>
    <x:t xml:space="preserve">https://www.instagram.com/direct/t/102924217776060/</x:t>
  </x:si>
  <x:si>
    <x:t xml:space="preserve">Trong Thap</x:t>
  </x:si>
  <x:si>
    <x:t xml:space="preserve">https://www.instagram.com/direct/t/17842009121227026/</x:t>
  </x:si>
  <x:si>
    <x:t xml:space="preserve">Trang Nguyen Thuy</x:t>
  </x:si>
  <x:si>
    <x:t xml:space="preserve">https://www.instagram.com/direct/t/110299903816024/</x:t>
  </x:si>
  <x:si>
    <x:t xml:space="preserve">Nguyễn Minh Quang</x:t>
  </x:si>
  <x:si>
    <x:t xml:space="preserve">https://www.messenger.com/e2ee/t/9803770019698878</x:t>
  </x:si>
  <x:si>
    <x:t xml:space="preserve">Lê Hằng</x:t>
  </x:si>
  <x:si>
    <x:t xml:space="preserve">https://www.instagram.com/direct/t/115841413132870/</x:t>
  </x:si>
  <x:si>
    <x:t xml:space="preserve">su (Châu)</x:t>
  </x:si>
  <x:si>
    <x:t xml:space="preserve">https://www.instagram.com/direct/t/17846885957910339/</x:t>
  </x:si>
  <x:si>
    <x:t xml:space="preserve">vũ ngọc hà</x:t>
  </x:si>
  <x:si>
    <x:t xml:space="preserve">https://www.instagram.com/direct/t/114733359911489/</x:t>
  </x:si>
  <x:si>
    <x:t xml:space="preserve">Thuy Tien</x:t>
  </x:si>
  <x:si>
    <x:t xml:space="preserve">https://www.instagram.com/direct/t/103406921055973/</x:t>
  </x:si>
  <x:si>
    <x:t xml:space="preserve">Tuyet Nhung</x:t>
  </x:si>
  <x:si>
    <x:t xml:space="preserve">https://www.instagram.com/direct/t/17846098466656069/</x:t>
  </x:si>
  <x:si>
    <x:t xml:space="preserve">Tam Anh</x:t>
  </x:si>
  <x:si>
    <x:t xml:space="preserve">https://www.instagram.com/direct/t/109680270427000/</x:t>
  </x:si>
  <x:si>
    <x:t xml:space="preserve">Uyen Nhi</x:t>
  </x:si>
  <x:si>
    <x:t xml:space="preserve">https://www.messenger.com/e2ee/t/9547249328643079</x:t>
  </x:si>
  <x:si>
    <x:t xml:space="preserve">gaothespirit</x:t>
  </x:si>
  <x:si>
    <x:t xml:space="preserve">https://www.instagram.com/direct/t/17845442247107402/</x:t>
  </x:si>
  <x:si>
    <x:t xml:space="preserve">Nguyen Tuan Minh</x:t>
  </x:si>
  <x:si>
    <x:t xml:space="preserve">https://www.messenger.com/e2ee/t/9798438616865500</x:t>
  </x:si>
  <x:si>
    <x:t xml:space="preserve">Hana Bi</x:t>
  </x:si>
  <x:si>
    <x:t xml:space="preserve">https://www.messenger.com/e2ee/t/29682384581404806</x:t>
  </x:si>
  <x:si>
    <x:t xml:space="preserve">Nhật Linh</x:t>
  </x:si>
  <x:si>
    <x:t xml:space="preserve">https://www.messenger.com/e2ee/t/10014731541893393</x:t>
  </x:si>
  <x:si>
    <x:t xml:space="preserve">Vũ Mai Anh</x:t>
  </x:si>
  <x:si>
    <x:t xml:space="preserve">https://www.instagram.com/direct/t/17844153452308879/</x:t>
  </x:si>
  <x:si>
    <x:t xml:space="preserve">https://www.messenger.com/e2ee/t/10062787703752923</x:t>
  </x:si>
  <x:si>
    <x:t xml:space="preserve">Tu Anh Tran</x:t>
  </x:si>
  <x:si>
    <x:t xml:space="preserve">https://www.messenger.com/e2ee/t/9354567681337371</x:t>
  </x:si>
  <x:si>
    <x:t xml:space="preserve">Syrena Nguyen</x:t>
  </x:si>
  <x:si>
    <x:t xml:space="preserve">https://www.messenger.com/e2ee/t/9715970311757655</x:t>
  </x:si>
  <x:si>
    <x:t xml:space="preserve">Loc Lam Duc</x:t>
  </x:si>
  <x:si>
    <x:t xml:space="preserve">https://www.messenger.com/e2ee/t/9498898250221082</x:t>
  </x:si>
  <x:si>
    <x:t xml:space="preserve">Bon silvv</x:t>
  </x:si>
  <x:si>
    <x:t xml:space="preserve">https://www.messenger.com/e2ee/t/9895575220454631</x:t>
  </x:si>
  <x:si>
    <x:t xml:space="preserve">doan tu anh</x:t>
  </x:si>
  <x:si>
    <x:t xml:space="preserve">https://www.instagram.com/direct/t/116007669791458/</x:t>
  </x:si>
  <x:si>
    <x:t xml:space="preserve">Tùng Lâm</x:t>
  </x:si>
  <x:si>
    <x:t xml:space="preserve">https://www.instagram.com/direct/t/117529942974970/</x:t>
  </x:si>
  <x:si>
    <x:t xml:space="preserve">tuiiumuadong</x:t>
  </x:si>
  <x:si>
    <x:t xml:space="preserve">https://www.instagram.com/direct/t/17849605565887404/</x:t>
  </x:si>
  <x:si>
    <x:t xml:space="preserve">Anh Tuan</x:t>
  </x:si>
  <x:si>
    <x:t xml:space="preserve">https://www.instagram.com/direct/t/106713210720865/</x:t>
  </x:si>
  <x:si>
    <x:t xml:space="preserve">Khanh Chi</x:t>
  </x:si>
  <x:si>
    <x:t xml:space="preserve">https://www.instagram.com/direct/t/119222156135863/</x:t>
  </x:si>
  <x:si>
    <x:t xml:space="preserve">hien minh</x:t>
  </x:si>
  <x:si>
    <x:t xml:space="preserve">https://www.instagram.com/direct/t/117412649641991/</x:t>
  </x:si>
  <x:si>
    <x:t xml:space="preserve">Nguyễn Phương</x:t>
  </x:si>
  <x:si>
    <x:t xml:space="preserve">https://www.instagram.com/direct/t/17842016567331774/</x:t>
  </x:si>
  <x:si>
    <x:t xml:space="preserve">linh trang</x:t>
  </x:si>
  <x:si>
    <x:t xml:space="preserve">https://www.instagram.com/direct/t/17856851486611358/</x:t>
  </x:si>
  <x:si>
    <x:t xml:space="preserve">Ha Phuong</x:t>
  </x:si>
  <x:si>
    <x:t xml:space="preserve">https://www.messenger.com/e2ee/t/28866618716315544</x:t>
  </x:si>
  <x:si>
    <x:t xml:space="preserve">Nguyễn Minh Châu</x:t>
  </x:si>
  <x:si>
    <x:t xml:space="preserve">https://www.instagram.com/direct/t/109804893746770/</x:t>
  </x:si>
  <x:si>
    <x:t xml:space="preserve">Nhi Pham</x:t>
  </x:si>
  <x:si>
    <x:t xml:space="preserve">https://www.messenger.com/e2ee/t/24089450293976348</x:t>
  </x:si>
  <x:si>
    <x:t xml:space="preserve">Duong Khanh</x:t>
  </x:si>
  <x:si>
    <x:t xml:space="preserve">https://www.messenger.com/e2ee/t/9205666042895690</x:t>
  </x:si>
  <x:si>
    <x:t xml:space="preserve">Tan Kiet</x:t>
  </x:si>
  <x:si>
    <x:t xml:space="preserve">https://www.messenger.com/e2ee/t/24389351413986642</x:t>
  </x:si>
  <x:si>
    <x:t xml:space="preserve">Nguyên Hà</x:t>
  </x:si>
  <x:si>
    <x:t xml:space="preserve">https://www.messenger.com/e2ee/t/9655895324490620</x:t>
  </x:si>
  <x:si>
    <x:t xml:space="preserve">Beop (Yến Linh)</x:t>
  </x:si>
  <x:si>
    <x:t xml:space="preserve">https://www.instagram.com/direct/t/100556128015484/</x:t>
  </x:si>
  <x:si>
    <x:t xml:space="preserve">Khôi Phùng</x:t>
  </x:si>
  <x:si>
    <x:t xml:space="preserve">https://www.instagram.com/direct/t/17843135639618124/</x:t>
  </x:si>
  <x:si>
    <x:t xml:space="preserve">Phanh Mit</x:t>
  </x:si>
  <x:si>
    <x:t xml:space="preserve">https://www.instagram.com/direct/t/104978034237098/</x:t>
  </x:si>
  <x:si>
    <x:t xml:space="preserve">Nguyen Dieu Linh</x:t>
  </x:si>
  <x:si>
    <x:t xml:space="preserve">https://www.messenger.com/e2ee/t/9464854956925343</x:t>
  </x:si>
  <x:si>
    <x:t xml:space="preserve">Cao Minh Nhat</x:t>
  </x:si>
  <x:si>
    <x:t xml:space="preserve">https://www.messenger.com/e2ee/t/9263383003771633</x:t>
  </x:si>
  <x:si>
    <x:t xml:space="preserve">làn khói phê (Thành Trung)</x:t>
  </x:si>
  <x:si>
    <x:t xml:space="preserve">https://www.instagram.com/direct/t/17845957685941684/</x:t>
  </x:si>
  <x:si>
    <x:t xml:space="preserve">Ngo Hoang Thuy Linh</x:t>
  </x:si>
  <x:si>
    <x:t xml:space="preserve">https://www.messenger.com/e2ee/t/9474497739308542</x:t>
  </x:si>
  <x:si>
    <x:t xml:space="preserve">wnrkd (Giang)</x:t>
  </x:si>
  <x:si>
    <x:t xml:space="preserve">https://www.instagram.com/direct/t/17842289924890294/</x:t>
  </x:si>
  <x:si>
    <x:t xml:space="preserve">Khanh Linh</x:t>
  </x:si>
  <x:si>
    <x:t xml:space="preserve">https://www.instagram.com/direct/t/112333213487176/</x:t>
  </x:si>
  <x:si>
    <x:t xml:space="preserve">Nguyen Khanh Ly</x:t>
  </x:si>
  <x:si>
    <x:t xml:space="preserve">https://www.instagram.com/direct/t/118420502883782/</x:t>
  </x:si>
  <x:si>
    <x:t xml:space="preserve">玉簪 (Chấm)</x:t>
  </x:si>
  <x:si>
    <x:t xml:space="preserve">https://www.instagram.com/direct/t/17844051743986439/</x:t>
  </x:si>
  <x:si>
    <x:t xml:space="preserve">Linh HP</x:t>
  </x:si>
  <x:si>
    <x:t xml:space="preserve">https://www.instagram.com/direct/t/121111675948377/</x:t>
  </x:si>
  <x:si>
    <x:t xml:space="preserve">L</x:t>
  </x:si>
  <x:si>
    <x:t xml:space="preserve">https://www.instagram.com/direct/t/17846472521761974/</x:t>
  </x:si>
  <x:si>
    <x:t xml:space="preserve">Khách của Bi</x:t>
  </x:si>
  <x:si>
    <x:t xml:space="preserve">Nguyễn Tú</x:t>
  </x:si>
  <x:si>
    <x:t xml:space="preserve">https://www.messenger.com/e2ee/t/9396612150369638</x:t>
  </x:si>
  <x:si>
    <x:t xml:space="preserve">Hạ Vy</x:t>
  </x:si>
  <x:si>
    <x:t xml:space="preserve">https://www.messenger.com/e2ee/t/9441403409246028</x:t>
  </x:si>
  <x:si>
    <x:t xml:space="preserve">Mai Phuong</x:t>
  </x:si>
  <x:si>
    <x:t xml:space="preserve">https://www.messenger.com/e2ee/t/9507903055929637</x:t>
  </x:si>
  <x:si>
    <x:t xml:space="preserve">Linh Huyen</x:t>
  </x:si>
  <x:si>
    <x:t xml:space="preserve">https://www.messenger.com/e2ee/t/9327211257389441</x:t>
  </x:si>
  <x:si>
    <x:t xml:space="preserve">https://www.messenger.com/marketplace/t/9371383496303644</x:t>
  </x:si>
  <x:si>
    <x:t xml:space="preserve">lex (Lan Anh)</x:t>
  </x:si>
  <x:si>
    <x:t xml:space="preserve">Ig twinkbleeping</x:t>
  </x:si>
  <x:si>
    <x:t xml:space="preserve">Sơn Tùng</x:t>
  </x:si>
  <x:si>
    <x:t xml:space="preserve">https://www.instagram.com/direct/t/119656202755219/</x:t>
  </x:si>
  <x:si>
    <x:t xml:space="preserve">Đan Vi</x:t>
  </x:si>
  <x:si>
    <x:t xml:space="preserve">https://www.instagram.com/direct/t/117087086344390/</x:t>
  </x:si>
  <x:si>
    <x:t xml:space="preserve">Youhei</x:t>
  </x:si>
  <x:si>
    <x:t xml:space="preserve">https://www.messenger.com/marketplace/t/9727374370678321</x:t>
  </x:si>
  <x:si>
    <x:t xml:space="preserve">Duy Lợi</x:t>
  </x:si>
  <x:si>
    <x:t xml:space="preserve">https://www.instagram.com/direct/t/17846454137742662/</x:t>
  </x:si>
  <x:si>
    <x:t xml:space="preserve">ha minh khue</x:t>
  </x:si>
  <x:si>
    <x:t xml:space="preserve">https://www.instagram.com/direct/t/118163862905736/</x:t>
  </x:si>
  <x:si>
    <x:t xml:space="preserve">Pham Duy Tung Khang</x:t>
  </x:si>
  <x:si>
    <x:t xml:space="preserve">https://www.messenger.com/e2ee/t/10003392719694642</x:t>
  </x:si>
  <x:si>
    <x:t xml:space="preserve">Le Thanh Hai</x:t>
  </x:si>
  <x:si>
    <x:t xml:space="preserve">https://www.messenger.com/marketplace/t/8298621506929686</x:t>
  </x:si>
  <x:si>
    <x:t xml:space="preserve">Ngan</x:t>
  </x:si>
  <x:si>
    <x:t xml:space="preserve">https://www.messenger.com/marketplace/t/9073489082755630</x:t>
  </x:si>
  <x:si>
    <x:t xml:space="preserve">https://www.instagram.com/direct/t/104450744289488/</x:t>
  </x:si>
  <x:si>
    <x:t xml:space="preserve">Nguyễn Khánh Vy</x:t>
  </x:si>
  <x:si>
    <x:t xml:space="preserve">https://www.messenger.com/e2ee/t/9652723651450467</x:t>
  </x:si>
  <x:si>
    <x:t xml:space="preserve">Đăng</x:t>
  </x:si>
  <x:si>
    <x:t xml:space="preserve">https://www.messenger.com/t/9758113270934313/</x:t>
  </x:si>
  <x:si>
    <x:t xml:space="preserve">Nguyen Phuc Tam</x:t>
  </x:si>
  <x:si>
    <x:t xml:space="preserve">Bach Hoang</x:t>
  </x:si>
  <x:si>
    <x:t xml:space="preserve">https://www.instagram.com/direct/t/17843763032420277/</x:t>
  </x:si>
  <x:si>
    <x:t xml:space="preserve">Minigame</x:t>
  </x:si>
  <x:si>
    <x:t xml:space="preserve">khuất lê anh thư</x:t>
  </x:si>
  <x:si>
    <x:t xml:space="preserve">https://www.instagram.com/direct/t/101017388105185/</x:t>
  </x:si>
  <x:si>
    <x:t xml:space="preserve">Nhun Nhun</x:t>
  </x:si>
  <x:si>
    <x:t xml:space="preserve">https://www.instagram.com/direct/t/105487274177933/</x:t>
  </x:si>
  <x:si>
    <x:t xml:space="preserve">Le Nguyen Vu</x:t>
  </x:si>
  <x:si>
    <x:t xml:space="preserve">https://www.facebook.com/messages/t/8703570713023465</x:t>
  </x:si>
  <x:si>
    <x:t xml:space="preserve">Tố Linh</x:t>
  </x:si>
  <x:si>
    <x:t xml:space="preserve">https://www.instagram.com/direct/t/105841960816331/</x:t>
  </x:si>
  <x:si>
    <x:t xml:space="preserve">Viên</x:t>
  </x:si>
  <x:si>
    <x:t xml:space="preserve">https://www.messenger.com/e2ee/t/8780917572005444</x:t>
  </x:si>
  <x:si>
    <x:t xml:space="preserve">Hiếu</x:t>
  </x:si>
  <x:si>
    <x:t xml:space="preserve">https://www.messenger.com/marketplace/t/9709914075725927</x:t>
  </x:si>
  <x:si>
    <x:t xml:space="preserve">Minh Sơn</x:t>
  </x:si>
  <x:si>
    <x:t xml:space="preserve">https://www.instagram.com/direct/t/111342873589680/</x:t>
  </x:si>
  <x:si>
    <x:t xml:space="preserve">hờ chi</x:t>
  </x:si>
  <x:si>
    <x:t xml:space="preserve">https://www.instagram.com/direct/t/101437871298135/</x:t>
  </x:si>
  <x:si>
    <x:t xml:space="preserve">Ly Nguyen</x:t>
  </x:si>
  <x:si>
    <x:t xml:space="preserve">https://www.instagram.com/direct/t/124684378922346/</x:t>
  </x:si>
  <x:si>
    <x:t xml:space="preserve">Phanh mít</x:t>
  </x:si>
  <x:si>
    <x:t xml:space="preserve">mi nhồi bông</x:t>
  </x:si>
  <x:si>
    <x:t xml:space="preserve">https://www.instagram.com/direct/t/17847426941607753/</x:t>
  </x:si>
  <x:si>
    <x:t xml:space="preserve">spamfromblinh (Bảo Linh)</x:t>
  </x:si>
  <x:si>
    <x:t xml:space="preserve">minhthuyoi</x:t>
  </x:si>
  <x:si>
    <x:t xml:space="preserve">https://www.instagram.com/direct/t/118356636222674/</x:t>
  </x:si>
  <x:si>
    <x:t xml:space="preserve">elise</x:t>
  </x:si>
  <x:si>
    <x:t xml:space="preserve">https://www.instagram.com/direct/t/105655510826720/</x:t>
  </x:si>
  <x:si>
    <x:t xml:space="preserve">fluffy cotttonie (Song Hà)</x:t>
  </x:si>
  <x:si>
    <x:t xml:space="preserve">https://www.instagram.com/direct/t/17843670665091261/</x:t>
  </x:si>
  <x:si>
    <x:t xml:space="preserve">Hoang Linh</x:t>
  </x:si>
  <x:si>
    <x:t xml:space="preserve">https://www.instagram.com/direct/t/116371443082696/</x:t>
  </x:si>
  <x:si>
    <x:t xml:space="preserve">em be thien than (Thu Uyên)</x:t>
  </x:si>
  <x:si>
    <x:t xml:space="preserve">https://www.instagram.com/direct/t/104827607582344/</x:t>
  </x:si>
  <x:si>
    <x:t xml:space="preserve">https://www.messenger.com/e2ee/t/9343656032311242</x:t>
  </x:si>
  <x:si>
    <x:t xml:space="preserve">chốp</x:t>
  </x:si>
  <x:si>
    <x:t xml:space="preserve">https://www.instagram.com/direct/t/17846129231826991/</x:t>
  </x:si>
  <x:si>
    <x:t xml:space="preserve">halinh</x:t>
  </x:si>
  <x:si>
    <x:t xml:space="preserve">https://www.instagram.com/direct/t/101741564556299/</x:t>
  </x:si>
  <x:si>
    <x:t xml:space="preserve">itstillraining</x:t>
  </x:si>
  <x:si>
    <x:t xml:space="preserve">https://www.instagram.com/direct/t/17842246803253713/</x:t>
  </x:si>
  <x:si>
    <x:t xml:space="preserve">Xuân Mai</x:t>
  </x:si>
  <x:si>
    <x:t xml:space="preserve">https://www.instagram.com/direct/t/103327297729258/</x:t>
  </x:si>
  <x:si>
    <x:t xml:space="preserve">Gia Linh</x:t>
  </x:si>
  <x:si>
    <x:t xml:space="preserve">https://www.messenger.com/marketplace/t/9421532787885326</x:t>
  </x:si>
  <x:si>
    <x:t xml:space="preserve">joyohero</x:t>
  </x:si>
  <x:si>
    <x:t xml:space="preserve">https://www.instagram.com/direct/t/114923036564993/</x:t>
  </x:si>
  <x:si>
    <x:t xml:space="preserve">A.</x:t>
  </x:si>
  <x:si>
    <x:t xml:space="preserve">https://www.instagram.com/direct/t/17844107483677885/</x:t>
  </x:si>
  <x:si>
    <x:t xml:space="preserve">Phương Hoàng Vy</x:t>
  </x:si>
  <x:si>
    <x:t xml:space="preserve">https://www.messenger.com/t/100014759744261</x:t>
  </x:si>
  <x:si>
    <x:t xml:space="preserve">trân</x:t>
  </x:si>
  <x:si>
    <x:t xml:space="preserve">https://www.instagram.com/direct/t/17842090844400247/</x:t>
  </x:si>
  <x:si>
    <x:t xml:space="preserve">Thảo Vân</x:t>
  </x:si>
  <x:si>
    <x:t xml:space="preserve">https://www.instagram.com/direct/t/105174844217469/</x:t>
  </x:si>
  <x:si>
    <x:t xml:space="preserve">Vi Anh</x:t>
  </x:si>
  <x:si>
    <x:t xml:space="preserve">https://www.instagram.com/direct/t/117191109665700/</x:t>
  </x:si>
  <x:si>
    <x:t xml:space="preserve">Nguyễn EightySix</x:t>
  </x:si>
  <x:si>
    <x:t xml:space="preserve">https://www.messenger.com/t/100012836147911</x:t>
  </x:si>
  <x:si>
    <x:t xml:space="preserve">Bui Dinh Loc</x:t>
  </x:si>
  <x:si>
    <x:t xml:space="preserve">https://www.messenger.com/t/100008212831224</x:t>
  </x:si>
  <x:si>
    <x:t xml:space="preserve">https://www.messenger.com/t/100007811915343</x:t>
  </x:si>
  <x:si>
    <x:t xml:space="preserve">didlne</x:t>
  </x:si>
  <x:si>
    <x:t xml:space="preserve">https://www.instagram.com/direct/t/107939560603024/</x:t>
  </x:si>
  <x:si>
    <x:t xml:space="preserve">Lê Nguyên Vũ</x:t>
  </x:si>
  <x:si>
    <x:t xml:space="preserve">https://www.messenger.com/marketplace/t/8703570713023465</x:t>
  </x:si>
  <x:si>
    <x:t xml:space="preserve">ce qui se passe</x:t>
  </x:si>
  <x:si>
    <x:t xml:space="preserve">https://www.instagram.com/direct/t/17842222514859190/</x:t>
  </x:si>
  <x:si>
    <x:t xml:space="preserve">Chu Minh Đức</x:t>
  </x:si>
  <x:si>
    <x:t xml:space="preserve">https://www.instagram.com/direct/t/112649550130370/</x:t>
  </x:si>
  <x:si>
    <x:t xml:space="preserve">Minh Nguyen</x:t>
  </x:si>
  <x:si>
    <x:t xml:space="preserve">https://www.messenger.com/e2ee/t/9261899607201527</x:t>
  </x:si>
  <x:si>
    <x:t xml:space="preserve">phong</x:t>
  </x:si>
  <x:si>
    <x:t xml:space="preserve">https://www.instagram.com/direct/t/106430094081477/</x:t>
  </x:si>
  <x:si>
    <x:t xml:space="preserve">Hiền Minh</x:t>
  </x:si>
  <x:si>
    <x:t xml:space="preserve">Khánh Hà</x:t>
  </x:si>
  <x:si>
    <x:t xml:space="preserve">hnguyenn_ (Hải Anh)</x:t>
  </x:si>
  <x:si>
    <x:t xml:space="preserve">https://www.instagram.com/direct/t/107635057304689/</x:t>
  </x:si>
  <x:si>
    <x:t xml:space="preserve">Nguyễn Linh Chi</x:t>
  </x:si>
  <x:si>
    <x:t xml:space="preserve">https://www.instagram.com/direct/t/118253216229250/</x:t>
  </x:si>
  <x:si>
    <x:t xml:space="preserve">Thùy Linh</x:t>
  </x:si>
  <x:si>
    <x:t xml:space="preserve">Ins em</x:t>
  </x:si>
  <x:si>
    <x:t xml:space="preserve">https://www.instagram.com/direct/t/103180574419303/</x:t>
  </x:si>
  <x:si>
    <x:t xml:space="preserve">Đỗ Nguyễn Minh Ánh</x:t>
  </x:si>
  <x:si>
    <x:t xml:space="preserve">https://www.instagram.com/direct/t/116012219791559/</x:t>
  </x:si>
  <x:si>
    <x:t xml:space="preserve">Chou Doung</x:t>
  </x:si>
  <x:si>
    <x:t xml:space="preserve">https://www.facebook.com/messages/t/100070624532363</x:t>
  </x:si>
  <x:si>
    <x:t xml:space="preserve">Đặng Thu Giang</x:t>
  </x:si>
  <x:si>
    <x:t xml:space="preserve">https://www.facebook.com/messages/t/100072770461298</x:t>
  </x:si>
  <x:si>
    <x:t xml:space="preserve">Hữu Chí</x:t>
  </x:si>
  <x:si>
    <x:t xml:space="preserve">Đạt Phạm</x:t>
  </x:si>
  <x:si>
    <x:t xml:space="preserve">https://www.instagram.com/direct/t/111403280246812/</x:t>
  </x:si>
  <x:si>
    <x:t xml:space="preserve">MDee</x:t>
  </x:si>
  <x:si>
    <x:t xml:space="preserve">https://www.instagram.com/direct/t/111686503562933/</x:t>
  </x:si>
  <x:si>
    <x:t xml:space="preserve">Duy</x:t>
  </x:si>
  <x:si>
    <x:t xml:space="preserve">https://www.instagram.com/direct/t/112709663454506/</x:t>
  </x:si>
  <x:si>
    <x:t xml:space="preserve">https://www.facebook.com/messages/t/100013503515213</x:t>
  </x:si>
  <x:si>
    <x:t xml:space="preserve">Đức Long</x:t>
  </x:si>
  <x:si>
    <x:t xml:space="preserve">https://www.instagram.com/direct/t/107530597303936/</x:t>
  </x:si>
  <x:si>
    <x:t xml:space="preserve">Khổng Tường Vy</x:t>
  </x:si>
  <x:si>
    <x:t xml:space="preserve">https://www.instagram.com/direct/t/17844328802815078/</x:t>
  </x:si>
  <x:si>
    <x:t xml:space="preserve">Lê Ngọc Trang</x:t>
  </x:si>
  <x:si>
    <x:t xml:space="preserve">https://www.facebook.com/messages/t/100005233877779?locale=vi_VN</x:t>
  </x:si>
  <x:si>
    <x:t xml:space="preserve">Pé Thi</x:t>
  </x:si>
  <x:si>
    <x:t xml:space="preserve">https://www.facebook.com/messages/t/100024213277043?locale=vi_VN</x:t>
  </x:si>
  <x:si>
    <x:t xml:space="preserve">Tăng Trang</x:t>
  </x:si>
  <x:si>
    <x:t xml:space="preserve">https://www.facebook.com/messages/t/100014126295787?locale=vi_VN</x:t>
  </x:si>
  <x:si>
    <x:t xml:space="preserve">Thao Le Phuong</x:t>
  </x:si>
  <x:si>
    <x:t xml:space="preserve">https://www.facebook.com/messages/t/100025287369688?locale=vi_VN</x:t>
  </x:si>
  <x:si>
    <x:t xml:space="preserve">ntpa</x:t>
  </x:si>
  <x:si>
    <x:t xml:space="preserve">https://www.instagram.com/direct/t/112372720159352/</x:t>
  </x:si>
  <x:si>
    <x:t xml:space="preserve">Khắc Trường</x:t>
  </x:si>
  <x:si>
    <x:t xml:space="preserve">https://www.instagram.com/direct/t/108169843912091/</x:t>
  </x:si>
  <x:si>
    <x:t xml:space="preserve">Lang Lang</x:t>
  </x:si>
  <x:si>
    <x:t xml:space="preserve">https://www.instagram.com/direct/t/103271207739334/</x:t>
  </x:si>
  <x:si>
    <x:t xml:space="preserve">Bông</x:t>
  </x:si>
  <x:si>
    <x:t xml:space="preserve">https://www.instagram.com/direct/t/114124663307994/</x:t>
  </x:si>
  <x:si>
    <x:t xml:space="preserve">Jpg chou</x:t>
  </x:si>
  <x:si>
    <x:t xml:space="preserve">https://www.instagram.com/direct/t/106426187422075/</x:t>
  </x:si>
  <x:si>
    <x:t xml:space="preserve">dkthu25</x:t>
  </x:si>
  <x:si>
    <x:t xml:space="preserve">https://www.instagram.com/direct/t/17843074986033610/</x:t>
  </x:si>
  <x:si>
    <x:t xml:space="preserve">Nguyễn Ngọc Mai Trang</x:t>
  </x:si>
  <x:si>
    <x:t xml:space="preserve">https://www.facebook.com/messages/t/100084008475340</x:t>
  </x:si>
  <x:si>
    <x:t xml:space="preserve">Uyên Tr</x:t>
  </x:si>
  <x:si>
    <x:t xml:space="preserve">https://www.facebook.com/messages/t/100041760414258</x:t>
  </x:si>
  <x:si>
    <x:t xml:space="preserve">https://www.facebook.com/messages/t/100004070855092/</x:t>
  </x:si>
  <x:si>
    <x:t xml:space="preserve">T</x:t>
  </x:si>
  <x:si>
    <x:t xml:space="preserve">https://www.instagram.com/direct/t/116512346408062/</x:t>
  </x:si>
  <x:si>
    <x:t xml:space="preserve">Trieu Bich Lien</x:t>
  </x:si>
  <x:si>
    <x:t xml:space="preserve">https://www.facebook.com/messages/e2ee/t/9848753918487277</x:t>
  </x:si>
  <x:si>
    <x:t xml:space="preserve">Hương Giang</x:t>
  </x:si>
  <x:si>
    <x:t xml:space="preserve">https://www.facebook.com/messages/t/100006567610649</x:t>
  </x:si>
  <x:si>
    <x:t xml:space="preserve">Phan Trung Hải Nam</x:t>
  </x:si>
  <x:si>
    <x:t xml:space="preserve">Thảo Vy</x:t>
  </x:si>
  <x:si>
    <x:t xml:space="preserve">https://www.instagram.com/direct/t/102968924438791/</x:t>
  </x:si>
  <x:si>
    <x:t xml:space="preserve">Chi Mai</x:t>
  </x:si>
  <x:si>
    <x:t xml:space="preserve">https://www.instagram.com/direct/t/104842630917346/</x:t>
  </x:si>
  <x:si>
    <x:t xml:space="preserve">Dâu dâu</x:t>
  </x:si>
  <x:si>
    <x:t xml:space="preserve">https://www.facebook.com/messages/e2ee/t/9000157123413206</x:t>
  </x:si>
  <x:si>
    <x:t xml:space="preserve">Chloe</x:t>
  </x:si>
  <x:si>
    <x:t xml:space="preserve">Phùng Gia Đoan Trang</x:t>
  </x:si>
  <x:si>
    <x:t xml:space="preserve">https://www.facebook.com/messages/e2ee/t/8600709903364311</x:t>
  </x:si>
  <x:si>
    <x:t xml:space="preserve">Mỹ</x:t>
  </x:si>
  <x:si>
    <x:t xml:space="preserve">https://www.facebook.com/messages/t/9410180429004564</x:t>
  </x:si>
  <x:si>
    <x:t xml:space="preserve">Elxaaa</x:t>
  </x:si>
  <x:si>
    <x:t xml:space="preserve">https://www.instagram.com/direct/t/17849159339622263/</x:t>
  </x:si>
  <x:si>
    <x:t xml:space="preserve">Chhauu</x:t>
  </x:si>
  <x:si>
    <x:t xml:space="preserve">https://www.instagram.com/direct/t/115917973137317/</x:t>
  </x:si>
  <x:si>
    <x:t xml:space="preserve">Đặt ship</x:t>
  </x:si>
  <x:si>
    <x:t xml:space="preserve">Chucan (ins em)</x:t>
  </x:si>
  <x:si>
    <x:t xml:space="preserve">https://www.facebook.com/messages/e2ee/t/9679925028692612</x:t>
  </x:si>
  <x:si>
    <x:t xml:space="preserve">Chu Viet Hung</x:t>
  </x:si>
  <x:si>
    <x:t xml:space="preserve">https://www.facebook.com/messages/e2ee/t/28479176721731059</x:t>
  </x:si>
  <x:si>
    <x:t xml:space="preserve">Urfavfried</x:t>
  </x:si>
  <x:si>
    <x:t xml:space="preserve">https://www.instagram.com/direct/t/17842267635058025/</x:t>
  </x:si>
  <x:si>
    <x:t xml:space="preserve">Lê Bảo Châu</x:t>
  </x:si>
  <x:si>
    <x:t xml:space="preserve">https://www.facebook.com/messages/t/100087157986190</x:t>
  </x:si>
  <x:si>
    <x:t xml:space="preserve">Bánh mì nem khoai</x:t>
  </x:si>
  <x:si>
    <x:t xml:space="preserve">https://www.instagram.com/direct/t/115013216562629/</x:t>
  </x:si>
  <x:si>
    <x:t xml:space="preserve">Phan Minh CHau</x:t>
  </x:si>
  <x:si>
    <x:t xml:space="preserve">https://www.facebook.com/messages/t/100054954180178</x:t>
  </x:si>
  <x:si>
    <x:t xml:space="preserve">dhkin__</x:t>
  </x:si>
  <x:si>
    <x:t xml:space="preserve">https://www.instagram.com/direct/t/123323179057365/</x:t>
  </x:si>
  <x:si>
    <x:t xml:space="preserve">Ng Phương Anh</x:t>
  </x:si>
  <x:si>
    <x:t xml:space="preserve">https://www.instagram.com/direct/t/17844488855588225/</x:t>
  </x:si>
  <x:si>
    <x:t xml:space="preserve">Đức Hoàng</x:t>
  </x:si>
  <x:si>
    <x:t xml:space="preserve">https://www.instagram.com/direct/t/121904985865127/</x:t>
  </x:si>
  <x:si>
    <x:t xml:space="preserve">Ship 5/3 để 8/3 nhận</x:t>
  </x:si>
  <x:si>
    <x:t xml:space="preserve">Minh Lưu</x:t>
  </x:si>
  <x:si>
    <x:t xml:space="preserve">https://www.instagram.com/direct/t/106725454243917/</x:t>
  </x:si>
  <x:si>
    <x:t xml:space="preserve">Tùng Chi</x:t>
  </x:si>
  <x:si>
    <x:t xml:space="preserve">https://instagram.com/direct/t/100516454686399/</x:t>
  </x:si>
  <x:si>
    <x:t xml:space="preserve">Vũ Kim Thành</x:t>
  </x:si>
  <x:si>
    <x:t xml:space="preserve">https://www.messenger.com/e2ee/t/23898448033078759</x:t>
  </x:si>
  <x:si>
    <x:t xml:space="preserve">Vu Duc</x:t>
  </x:si>
  <x:si>
    <x:t xml:space="preserve">https://www.messenger.com/e2ee/t/28876167181998927</x:t>
  </x:si>
  <x:si>
    <x:t xml:space="preserve">Kiên</x:t>
  </x:si>
  <x:si>
    <x:t xml:space="preserve">https://www.messenger.com/e2ee/t/9345385402208465</x:t>
  </x:si>
  <x:si>
    <x:t xml:space="preserve">Thao Phuong</x:t>
  </x:si>
  <x:si>
    <x:t xml:space="preserve">https://www.messenger.com/e2ee/t/9154123268039809</x:t>
  </x:si>
  <x:si>
    <x:t xml:space="preserve">Quốc Đức</x:t>
  </x:si>
  <x:si>
    <x:t xml:space="preserve">https://www.messenger.com/e2ee/t/28715000481448148</x:t>
  </x:si>
  <x:si>
    <x:t xml:space="preserve">Bảo Phương</x:t>
  </x:si>
  <x:si>
    <x:t xml:space="preserve">https://www.messenger.com/e2ee/t/9305494002861029</x:t>
  </x:si>
  <x:si>
    <x:t xml:space="preserve">https://www.messenger.com/e2ee/t/9025856294209186</x:t>
  </x:si>
  <x:si>
    <x:t xml:space="preserve">Ektar 100</x:t>
  </x:si>
  <x:si>
    <x:t xml:space="preserve">https://www.messenger.com/t/100009827619597</x:t>
  </x:si>
  <x:si>
    <x:t xml:space="preserve">Ngoc</x:t>
  </x:si>
  <x:si>
    <x:t xml:space="preserve">https://www.messenger.com/marketplace/t/28004675809177840</x:t>
  </x:si>
  <x:si>
    <x:t xml:space="preserve">Mỹ Kim</x:t>
  </x:si>
  <x:si>
    <x:t xml:space="preserve">https://www.messenger.com/t/100047586721879</x:t>
  </x:si>
  <x:si>
    <x:t xml:space="preserve">Bảo Anh</x:t>
  </x:si>
  <x:si>
    <x:t xml:space="preserve">https://www.messenger.com/marketplace/t/9472273022804976</x:t>
  </x:si>
  <x:si>
    <x:t xml:space="preserve">Trinh</x:t>
  </x:si>
  <x:si>
    <x:t xml:space="preserve">https://www.messenger.com/marketplace/t/8282508921848857</x:t>
  </x:si>
  <x:si>
    <x:t xml:space="preserve">trang</x:t>
  </x:si>
  <x:si>
    <x:t xml:space="preserve">https://www.instagram.com/direct/t/103862871016656/</x:t>
  </x:si>
  <x:si>
    <x:t xml:space="preserve">https://www.messenger.com/marketplace/t/9086979308007688</x:t>
  </x:si>
  <x:si>
    <x:t xml:space="preserve">Ng Anh Thu</x:t>
  </x:si>
  <x:si>
    <x:t xml:space="preserve">https://www.messenger.com/marketplace/t/9412528635459110</x:t>
  </x:si>
  <x:si>
    <x:t xml:space="preserve">Lam Anh (Thương)</x:t>
  </x:si>
  <x:si>
    <x:t xml:space="preserve">https://www.messenger.com/t/100047275630933</x:t>
  </x:si>
  <x:si>
    <x:t xml:space="preserve">lemon</x:t>
  </x:si>
  <x:si>
    <x:t xml:space="preserve">https://www.instagram.com/direct/t/110680693664737/</x:t>
  </x:si>
  <x:si>
    <x:t xml:space="preserve">Chiclickcam</x:t>
  </x:si>
  <x:si>
    <x:t xml:space="preserve">https://www.instagram.com/direct/t/17842870367758603/</x:t>
  </x:si>
  <x:si>
    <x:t xml:space="preserve">eatingcottoncandy (Linh)</x:t>
  </x:si>
  <x:si>
    <x:t xml:space="preserve">https://www.instagram.com/direct/t/119383572782539/</x:t>
  </x:si>
  <x:si>
    <x:t xml:space="preserve">Pham Tu Anh</x:t>
  </x:si>
  <x:si>
    <x:t xml:space="preserve">https://www.messenger.com/marketplace/t/8341425235961909</x:t>
  </x:si>
  <x:si>
    <x:t xml:space="preserve">Phương Linh</x:t>
  </x:si>
  <x:si>
    <x:t xml:space="preserve">https://www.messenger.com/t/100010190734337</x:t>
  </x:si>
  <x:si>
    <x:t xml:space="preserve">Quanhbeee</x:t>
  </x:si>
  <x:si>
    <x:t xml:space="preserve">https://www.instagram.com/direct/t/17847328913802923/</x:t>
  </x:si>
  <x:si>
    <x:t xml:space="preserve">Vũ Như Hằng</x:t>
  </x:si>
  <x:si>
    <x:t xml:space="preserve">https://www.messenger.com/t/100016682658217</x:t>
  </x:si>
  <x:si>
    <x:t xml:space="preserve">Gia Huy</x:t>
  </x:si>
  <x:si>
    <x:t xml:space="preserve">https://www.messenger.com/marketplace/t/8998658316895486</x:t>
  </x:si>
  <x:si>
    <x:t xml:space="preserve">Dương</x:t>
  </x:si>
  <x:si>
    <x:t xml:space="preserve">https://www.messenger.com/t/100003533265950</x:t>
  </x:si>
  <x:si>
    <x:t xml:space="preserve">https://www.messenger.com/t/100011485172748</x:t>
  </x:si>
  <x:si>
    <x:t xml:space="preserve">Lê Thủy Trang</x:t>
  </x:si>
  <x:si>
    <x:t xml:space="preserve">https://www.messenger.com/t/100008784677096</x:t>
  </x:si>
  <x:si>
    <x:t xml:space="preserve">Minh Hạnh</x:t>
  </x:si>
  <x:si>
    <x:t xml:space="preserve">https://www.messenger.com/marketplace/t/8781123925315854</x:t>
  </x:si>
  <x:si>
    <x:t xml:space="preserve">Mai Dương</x:t>
  </x:si>
  <x:si>
    <x:t xml:space="preserve">https://www.messenger.com/marketplace/t/9172960876101662</x:t>
  </x:si>
  <x:si>
    <x:t xml:space="preserve">beop (Yến Linh)</x:t>
  </x:si>
  <x:si>
    <x:t xml:space="preserve">Trieu Hieu</x:t>
  </x:si>
  <x:si>
    <x:t xml:space="preserve">https://www.messenger.com/t/100074432654925</x:t>
  </x:si>
  <x:si>
    <x:t xml:space="preserve">Nguyen T Thuy Linh</x:t>
  </x:si>
  <x:si>
    <x:t xml:space="preserve">https://www.messenger.com/t/100008252984402</x:t>
  </x:si>
  <x:si>
    <x:t xml:space="preserve">Duong Phu</x:t>
  </x:si>
  <x:si>
    <x:t xml:space="preserve">https://www.messenger.com/marketplace/t/8754383974611526</x:t>
  </x:si>
  <x:si>
    <x:t xml:space="preserve">Khanh Bom</x:t>
  </x:si>
  <x:si>
    <x:t xml:space="preserve">https://www.messenger.com/t/100069170357119</x:t>
  </x:si>
  <x:si>
    <x:t xml:space="preserve">Trang</x:t>
  </x:si>
  <x:si>
    <x:t xml:space="preserve">https://www.messenger.com/marketplace/t/9300575443336674</x:t>
  </x:si>
  <x:si>
    <x:t xml:space="preserve">Huyen Trang</x:t>
  </x:si>
  <x:si>
    <x:t xml:space="preserve">https://www.messenger.com/marketplace/t/9017690408312745</x:t>
  </x:si>
  <x:si>
    <x:t xml:space="preserve">Ngoc Han</x:t>
  </x:si>
  <x:si>
    <x:t xml:space="preserve">https://www.messenger.com/e2ee/t/9131607726878782</x:t>
  </x:si>
  <x:si>
    <x:t xml:space="preserve">Gia Phú</x:t>
  </x:si>
  <x:si>
    <x:t xml:space="preserve">https://www.messenger.com/t/100052484478039</x:t>
  </x:si>
  <x:si>
    <x:t xml:space="preserve">Coongt Ngyuen</x:t>
  </x:si>
  <x:si>
    <x:t xml:space="preserve">https://www.messenger.com/t/100020274726059</x:t>
  </x:si>
  <x:si>
    <x:t xml:space="preserve">Nguyen Mai Anh</x:t>
  </x:si>
  <x:si>
    <x:t xml:space="preserve">https://www.messenger.com/t/100012332134573</x:t>
  </x:si>
  <x:si>
    <x:t xml:space="preserve">chudesw</x:t>
  </x:si>
  <x:si>
    <x:t xml:space="preserve">https://www.instagram.com/direct/t/122647435792746/</x:t>
  </x:si>
  <x:si>
    <x:t xml:space="preserve">Diem</x:t>
  </x:si>
  <x:si>
    <x:t xml:space="preserve">https://www.messenger.com/marketplace/t/9162063763832128</x:t>
  </x:si>
  <x:si>
    <x:t xml:space="preserve">Phuong Anh</x:t>
  </x:si>
  <x:si>
    <x:t xml:space="preserve">https://www.messenger.com/t/100034315690910</x:t>
  </x:si>
  <x:si>
    <x:t xml:space="preserve">Đỗ Quyên</x:t>
  </x:si>
  <x:si>
    <x:t xml:space="preserve">Zalo</x:t>
  </x:si>
  <x:si>
    <x:t xml:space="preserve">Ly Lưu</x:t>
  </x:si>
  <x:si>
    <x:t xml:space="preserve">https://www.messenger.com/marketplace/t/8965017676880825</x:t>
  </x:si>
  <x:si>
    <x:t xml:space="preserve">https://www.messenger.com/marketplace/t/8828140273907147</x:t>
  </x:si>
  <x:si>
    <x:t xml:space="preserve">Stella Nguyen</x:t>
  </x:si>
  <x:si>
    <x:t xml:space="preserve">https://www.messenger.com/t/100056884267415</x:t>
  </x:si>
  <x:si>
    <x:t xml:space="preserve">aliboo.boo_</x:t>
  </x:si>
  <x:si>
    <x:t xml:space="preserve">https://www.instagram.com/direct/t/107026327356278/</x:t>
  </x:si>
  <x:si>
    <x:t xml:space="preserve">Yen San</x:t>
  </x:si>
  <x:si>
    <x:t xml:space="preserve">https://www.messenger.com/t/100003107486150</x:t>
  </x:si>
  <x:si>
    <x:t xml:space="preserve">Vi Anh Nguyen</x:t>
  </x:si>
  <x:si>
    <x:t xml:space="preserve">https://www.messenger.com/t/100027399909076</x:t>
  </x:si>
  <x:si>
    <x:t xml:space="preserve">Mih Ly</x:t>
  </x:si>
  <x:si>
    <x:t xml:space="preserve">https://www.messenger.com/t/100050583130575</x:t>
  </x:si>
  <x:si>
    <x:t xml:space="preserve">t.pnga_</x:t>
  </x:si>
  <x:si>
    <x:t xml:space="preserve">Ng Ngoc Anh</x:t>
  </x:si>
  <x:si>
    <x:t xml:space="preserve">https://www.instagram.com/direct/t/17843905724464162/</x:t>
  </x:si>
  <x:si>
    <x:t xml:space="preserve">Phu Trong</x:t>
  </x:si>
  <x:si>
    <x:t xml:space="preserve">https://www.messenger.com/t/100017522616800</x:t>
  </x:si>
  <x:si>
    <x:t xml:space="preserve">Đỗ Giang</x:t>
  </x:si>
  <x:si>
    <x:t xml:space="preserve">https://www.messenger.com/t/100069161615080</x:t>
  </x:si>
  <x:si>
    <x:t xml:space="preserve">Minh Thu Vo</x:t>
  </x:si>
  <x:si>
    <x:t xml:space="preserve">https://www.messenger.com/t/100038901171471</x:t>
  </x:si>
  <x:si>
    <x:t xml:space="preserve">Linh Tú</x:t>
  </x:si>
  <x:si>
    <x:t xml:space="preserve">https://www.instagram.com/direct/t/17847478110292383/</x:t>
  </x:si>
  <x:si>
    <x:t xml:space="preserve">Giang Ngô</x:t>
  </x:si>
  <x:si>
    <x:t xml:space="preserve">https://www.messenger.com/t/100036680778664</x:t>
  </x:si>
  <x:si>
    <x:t xml:space="preserve">Đỗ Minh Ngọc</x:t>
  </x:si>
  <x:si>
    <x:t xml:space="preserve">https://www.messenger.com/marketplace/t/8772408159555111</x:t>
  </x:si>
  <x:si>
    <x:t xml:space="preserve">Mai Phuong Tran</x:t>
  </x:si>
  <x:si>
    <x:t xml:space="preserve">https://www.messenger.com/t/100059715373163</x:t>
  </x:si>
  <x:si>
    <x:t xml:space="preserve">Bảo Ngọc</x:t>
  </x:si>
  <x:si>
    <x:t xml:space="preserve">https://www.messenger.com/t/100022927633213</x:t>
  </x:si>
  <x:si>
    <x:t xml:space="preserve">thatssosean__</x:t>
  </x:si>
  <x:si>
    <x:t xml:space="preserve">Lan Anh</x:t>
  </x:si>
  <x:si>
    <x:t xml:space="preserve">Sđt</x:t>
  </x:si>
  <x:si>
    <x:t xml:space="preserve">Vũ Ngọc</x:t>
  </x:si>
  <x:si>
    <x:t xml:space="preserve">https://www.messenger.com/t/100025504323238</x:t>
  </x:si>
  <x:si>
    <x:t xml:space="preserve">mphgdangieu</x:t>
  </x:si>
  <x:si>
    <x:t xml:space="preserve">https://www.instagram.com/direct/t/17843391335436951/</x:t>
  </x:si>
  <x:si>
    <x:t xml:space="preserve">Chloe Pham</x:t>
  </x:si>
  <x:si>
    <x:t xml:space="preserve">https://www.messenger.com/t/100014710380515</x:t>
  </x:si>
  <x:si>
    <x:t xml:space="preserve">Hà Ly</x:t>
  </x:si>
  <x:si>
    <x:t xml:space="preserve">https://www.messenger.com/t/100063645662763</x:t>
  </x:si>
  <x:si>
    <x:t xml:space="preserve">Dinh Lam</x:t>
  </x:si>
  <x:si>
    <x:t xml:space="preserve">https://www.messenger.com/t/100005054289805</x:t>
  </x:si>
  <x:si>
    <x:t xml:space="preserve">https://www.messenger.com/marketplace/t/9868463113182437</x:t>
  </x:si>
  <x:si>
    <x:t xml:space="preserve">Lex</x:t>
  </x:si>
  <x:si>
    <x:t xml:space="preserve">https://www.facebook.com/messages/t/8895628423878564</x:t>
  </x:si>
  <x:si>
    <x:t xml:space="preserve">Hoang Anh Nguyen</x:t>
  </x:si>
  <x:si>
    <x:t xml:space="preserve">https://www.messenger.com/t/100030272572513</x:t>
  </x:si>
  <x:si>
    <x:t xml:space="preserve">nnuwxx (Quyên)</x:t>
  </x:si>
  <x:si>
    <x:t xml:space="preserve">https://www.instagram.com/direct/t/115179376532848/</x:t>
  </x:si>
  <x:si>
    <x:t xml:space="preserve">Tùng Béo</x:t>
  </x:si>
  <x:si>
    <x:t xml:space="preserve">https://www.messenger.com/t/100002776899843</x:t>
  </x:si>
  <x:si>
    <x:t xml:space="preserve">Duy Thái</x:t>
  </x:si>
  <x:si>
    <x:t xml:space="preserve">https://www.facebook.com/messages/t/100006071193659</x:t>
  </x:si>
  <x:si>
    <x:t xml:space="preserve">https://www.facebook.com/messages/t/8649482368512026</x:t>
  </x:si>
  <x:si>
    <x:t xml:space="preserve">aroundchii</x:t>
  </x:si>
  <x:si>
    <x:t xml:space="preserve">https://www.instagram.com/direct/t/17843538984271979/</x:t>
  </x:si>
  <x:si>
    <x:t xml:space="preserve">manhmanh</x:t>
  </x:si>
  <x:si>
    <x:t xml:space="preserve">https://www.instagram.com/direct/t/101693151227984/</x:t>
  </x:si>
  <x:si>
    <x:t xml:space="preserve">aliboo.boo</x:t>
  </x:si>
  <x:si>
    <x:t xml:space="preserve">Ánh</x:t>
  </x:si>
  <x:si>
    <x:t xml:space="preserve">Hưng Vũ</x:t>
  </x:si>
  <x:si>
    <x:t xml:space="preserve">https://www.facebook.com/messages/t/100050066464655</x:t>
  </x:si>
  <x:si>
    <x:t xml:space="preserve">Chacytruong</x:t>
  </x:si>
  <x:si>
    <x:t xml:space="preserve">https://www.instagram.com/direct/t/17845122869514416/</x:t>
  </x:si>
  <x:si>
    <x:t xml:space="preserve">Chi Vũ</x:t>
  </x:si>
  <x:si>
    <x:t xml:space="preserve">https://www.facebook.com/messages/t/100081457541821/</x:t>
  </x:si>
  <x:si>
    <x:t xml:space="preserve">Hieu Vu</x:t>
  </x:si>
  <x:si>
    <x:t xml:space="preserve">https://www.facebook.com/messages/t/9405404146193394</x:t>
  </x:si>
  <x:si>
    <x:t xml:space="preserve">Hoàng Yến</x:t>
  </x:si>
  <x:si>
    <x:t xml:space="preserve">__thes__ (Vy)</x:t>
  </x:si>
  <x:si>
    <x:t xml:space="preserve">https://www.instagram.com/direct/t/17848664537602372/</x:t>
  </x:si>
  <x:si>
    <x:t xml:space="preserve">xíu</x:t>
  </x:si>
  <x:si>
    <x:t xml:space="preserve">https://www.instagram.com/direct/t/110852293644080/</x:t>
  </x:si>
  <x:si>
    <x:t xml:space="preserve">Huệ Nguyễn</x:t>
  </x:si>
  <x:si>
    <x:t xml:space="preserve">https://www.instagram.com/direct/t/105869690809096/</x:t>
  </x:si>
  <x:si>
    <x:t xml:space="preserve">Tăng Cao Anh Thái</x:t>
  </x:si>
  <x:si>
    <x:t xml:space="preserve">https://www.instagram.com/direct/t/17842124201154832/</x:t>
  </x:si>
  <x:si>
    <x:t xml:space="preserve">người tìnk (Hương)</x:t>
  </x:si>
  <x:si>
    <x:t xml:space="preserve">https://www.instagram.com/direct/t/17848388744628034/</x:t>
  </x:si>
  <x:si>
    <x:t xml:space="preserve">Trần Nhật</x:t>
  </x:si>
  <x:si>
    <x:t xml:space="preserve">https://www.messenger.com/marketplace/t/9253160608048552</x:t>
  </x:si>
  <x:si>
    <x:t xml:space="preserve">bibroskii (Ánh Vy)</x:t>
  </x:si>
  <x:si>
    <x:t xml:space="preserve">https://www.instagram.com/direct/t/17843478881895434/</x:t>
  </x:si>
  <x:si>
    <x:t xml:space="preserve">https://www.messenger.com/t/100045865284257</x:t>
  </x:si>
  <x:si>
    <x:t xml:space="preserve">An Le</x:t>
  </x:si>
  <x:si>
    <x:t xml:space="preserve">https://www.messenger.com/e2ee/t/8733609650082639</x:t>
  </x:si>
  <x:si>
    <x:t xml:space="preserve">Bao Dang</x:t>
  </x:si>
  <x:si>
    <x:t xml:space="preserve">https://www.messenger.com/marketplace/t/8746631152130645</x:t>
  </x:si>
  <x:si>
    <x:t xml:space="preserve">Quỳnh Chi</x:t>
  </x:si>
  <x:si>
    <x:t xml:space="preserve">Insta em</x:t>
  </x:si>
  <x:si>
    <x:t xml:space="preserve">N</x:t>
  </x:si>
  <x:si>
    <x:t xml:space="preserve">Kim Ánh</x:t>
  </x:si>
  <x:si>
    <x:t xml:space="preserve">https://www.instagram.com/direct/t/110239867037633/</x:t>
  </x:si>
  <x:si>
    <x:t xml:space="preserve">Ngdanle</x:t>
  </x:si>
  <x:si>
    <x:t xml:space="preserve">https://www.instagram.com/direct/t/17846831420480586/</x:t>
  </x:si>
  <x:si>
    <x:t xml:space="preserve">Ngọc</x:t>
  </x:si>
  <x:si>
    <x:t xml:space="preserve">Fb Anh</x:t>
  </x:si>
  <x:si>
    <x:t xml:space="preserve">https://www.facebook.com/messages/t/100054594387044</x:t>
  </x:si>
  <x:si>
    <x:t xml:space="preserve">Vân Khánh</x:t>
  </x:si>
  <x:si>
    <x:t xml:space="preserve">Bắp</x:t>
  </x:si>
  <x:si>
    <x:t xml:space="preserve">gabonginfilm</x:t>
  </x:si>
  <x:si>
    <x:t xml:space="preserve">https://www.instagram.com/direct/t/17842174674401333/</x:t>
  </x:si>
  <x:si>
    <x:t xml:space="preserve">Loan</x:t>
  </x:si>
  <x:si>
    <x:t xml:space="preserve">Linh Linh</x:t>
  </x:si>
  <x:si>
    <x:t xml:space="preserve">https://www.instagram.com/direct/t/101091021287340/</x:t>
  </x:si>
  <x:si>
    <x:t xml:space="preserve">Thanh Tâm</x:t>
  </x:si>
  <x:si>
    <x:t xml:space="preserve">https://www.messenger.com/e2ee/t/27687115360936607</x:t>
  </x:si>
  <x:si>
    <x:t xml:space="preserve">‭+84 86 6860305‬</x:t>
  </x:si>
  <x:si>
    <x:t xml:space="preserve">Anh Thy</x:t>
  </x:si>
  <x:si>
    <x:t xml:space="preserve">https://www.messenger.com/t/100026327464583</x:t>
  </x:si>
  <x:si>
    <x:t xml:space="preserve">Quỳnh Hương</x:t>
  </x:si>
  <x:si>
    <x:t xml:space="preserve">https://www.messenger.com/e2ee/t/8945996448827102</x:t>
  </x:si>
  <x:si>
    <x:t xml:space="preserve">Khánh Khánhh</x:t>
  </x:si>
  <x:si>
    <x:t xml:space="preserve">https://www.messenger.com/e2ee/t/8689038357892124</x:t>
  </x:si>
  <x:si>
    <x:t xml:space="preserve">Disposable</x:t>
  </x:si>
  <x:si>
    <x:t xml:space="preserve">Khánh</x:t>
  </x:si>
  <x:si>
    <x:t xml:space="preserve">https://www.facebook.com/messages/t/9612580345436964</x:t>
  </x:si>
  <x:si>
    <x:t xml:space="preserve">lnhicutehehe</x:t>
  </x:si>
  <x:si>
    <x:t xml:space="preserve">https://www.instagram.com/llinhnhicute/</x:t>
  </x:si>
  <x:si>
    <x:t xml:space="preserve">Tuyết Nhung</x:t>
  </x:si>
  <x:si>
    <x:t xml:space="preserve">https://www.instagram.com/ngtnhn.y/</x:t>
  </x:si>
  <x:si>
    <x:t xml:space="preserve">nhi nguyễn liên</x:t>
  </x:si>
  <x:si>
    <x:t xml:space="preserve">https://www.instagram.com/direct/t/122361369152415/</x:t>
  </x:si>
  <x:si>
    <x:t xml:space="preserve">Nguyễn Mạnh Hà Phương</x:t>
  </x:si>
  <x:si>
    <x:t xml:space="preserve">https://www.facebook.com/messages/t/100012859329651</x:t>
  </x:si>
  <x:si>
    <x:t xml:space="preserve">Orders</x:t>
  </x:si>
  <x:si>
    <x:t xml:space="preserve">https://www.facebook.com/messages/t/100045670412938</x:t>
  </x:si>
  <x:si>
    <x:t xml:space="preserve">Nguyễn Bảo Trang</x:t>
  </x:si>
  <x:si>
    <x:t xml:space="preserve">https://www.facebook.com/messages/t/100013380874231</x:t>
  </x:si>
  <x:si>
    <x:t xml:space="preserve">https://www.facebook.com/messages/t/100012419386552</x:t>
  </x:si>
  <x:si>
    <x:t xml:space="preserve">Ng Hien Trang</x:t>
  </x:si>
  <x:si>
    <x:t xml:space="preserve">https://www.messenger.com/t/100045048170398</x:t>
  </x:si>
  <x:si>
    <x:t xml:space="preserve">Huyen Anh</x:t>
  </x:si>
  <x:si>
    <x:t xml:space="preserve">https://www.messenger.com/t/100062217790449</x:t>
  </x:si>
  <x:si>
    <x:t xml:space="preserve">Anh</x:t>
  </x:si>
  <x:si>
    <x:t xml:space="preserve">https://www.facebook.com/messages/t/8341425235961909</x:t>
  </x:si>
  <x:si>
    <x:t xml:space="preserve">Thuỳ An</x:t>
  </x:si>
  <x:si>
    <x:t xml:space="preserve">https://www.facebook.com/messages/t/100001413034525</x:t>
  </x:si>
  <x:si>
    <x:t xml:space="preserve">Nguyen The Dung</x:t>
  </x:si>
  <x:si>
    <x:t xml:space="preserve">https://www.instagram.com/direct/t/17843155556824574/</x:t>
  </x:si>
  <x:si>
    <x:t xml:space="preserve">https://www.facebook.com/kc.9302?mibextid=ZbWKwL</x:t>
  </x:si>
  <x:si>
    <x:t xml:space="preserve">Phuong Anh Tran</x:t>
  </x:si>
  <x:si>
    <x:t xml:space="preserve">https://www.instagram.com/direct/t/107673613959596/</x:t>
  </x:si>
  <x:si>
    <x:t xml:space="preserve">https://www.messenger.com/t/100001892792328</x:t>
  </x:si>
  <x:si>
    <x:t xml:space="preserve">Huyền Trang</x:t>
  </x:si>
  <x:si>
    <x:t xml:space="preserve">Anh Đỗ Minh</x:t>
  </x:si>
  <x:si>
    <x:t xml:space="preserve">https://www.facebook.com/min.ah.399</x:t>
  </x:si>
  <x:si>
    <x:t xml:space="preserve">San San</x:t>
  </x:si>
  <x:si>
    <x:t xml:space="preserve">https://www.messenger.com/marketplace/t/8992655270828654</x:t>
  </x:si>
  <x:si>
    <x:t xml:space="preserve">Hà An</x:t>
  </x:si>
  <x:si>
    <x:t xml:space="preserve">https://www.instagram.com/direct/t/17842636691682951/</x:t>
  </x:si>
  <x:si>
    <x:t xml:space="preserve">Duy Hoàng</x:t>
  </x:si>
  <x:si>
    <x:t xml:space="preserve">https://www.facebook.com/messages/t/100053017892797</x:t>
  </x:si>
  <x:si>
    <x:t xml:space="preserve">Huỳnh Bích Ngọc</x:t>
  </x:si>
  <x:si>
    <x:t xml:space="preserve">https://www.facebook.com/messages/t/100038212295630</x:t>
  </x:si>
  <x:si>
    <x:t xml:space="preserve">phuonglinh</x:t>
  </x:si>
  <x:si>
    <x:t xml:space="preserve">https://www.instagram.com/ldplinh/</x:t>
  </x:si>
  <x:si>
    <x:t xml:space="preserve">Nguyen Vien</x:t>
  </x:si>
  <x:si>
    <x:t xml:space="preserve">https://www.messenger.com/t/100006120873056</x:t>
  </x:si>
  <x:si>
    <x:t xml:space="preserve">Jamie</x:t>
  </x:si>
  <x:si>
    <x:t xml:space="preserve">https://www.instagram.com/direct/t/119091119485743/</x:t>
  </x:si>
  <x:si>
    <x:t xml:space="preserve">Luật</x:t>
  </x:si>
  <x:si>
    <x:t xml:space="preserve">https://www.facebook.com/messages/t/9745295532152566</x:t>
  </x:si>
  <x:si>
    <x:t xml:space="preserve">Hà Phương</x:t>
  </x:si>
  <x:si>
    <x:t xml:space="preserve">https://www.facebook.com/messages/t/100004926705715</x:t>
  </x:si>
  <x:si>
    <x:t xml:space="preserve">Han Duong</x:t>
  </x:si>
  <x:si>
    <x:t xml:space="preserve">https://www.facebook.com/messages/t/100066550301358</x:t>
  </x:si>
  <x:si>
    <x:t xml:space="preserve">Vy</x:t>
  </x:si>
  <x:si>
    <x:t xml:space="preserve">https://www.instagram.com/direct/t/105215837548160/</x:t>
  </x:si>
  <x:si>
    <x:t xml:space="preserve">Anhh Van</x:t>
  </x:si>
  <x:si>
    <x:t xml:space="preserve">https://www.messenger.com/t/100005135204818</x:t>
  </x:si>
  <x:si>
    <x:t xml:space="preserve">https://www.messenger.com/t/100035947082658</x:t>
  </x:si>
  <x:si>
    <x:t xml:space="preserve">Thu Lê</x:t>
  </x:si>
  <x:si>
    <x:t xml:space="preserve">Ngan Ly</x:t>
  </x:si>
  <x:si>
    <x:t xml:space="preserve">https://www.instagram.com/direct/t/101825021219614/</x:t>
  </x:si>
  <x:si>
    <x:t xml:space="preserve">ttn.hnil_</x:t>
  </x:si>
  <x:si>
    <x:t xml:space="preserve">https://www.instagram.com/direct/t/114441779943337/</x:t>
  </x:si>
  <x:si>
    <x:t xml:space="preserve">https://www.facebook.com/messages/t/100015206536632</x:t>
  </x:si>
  <x:si>
    <x:t xml:space="preserve">nal.leb</x:t>
  </x:si>
  <x:si>
    <x:t xml:space="preserve">https://www.instagram.com/direct/t/102648731129250/</x:t>
  </x:si>
  <x:si>
    <x:t xml:space="preserve">chiingx</x:t>
  </x:si>
  <x:si>
    <x:t xml:space="preserve">amino.acun</x:t>
  </x:si>
  <x:si>
    <x:t xml:space="preserve">https://www.instagram.com/direct/t/117439152978051/</x:t>
  </x:si>
  <x:si>
    <x:t xml:space="preserve">Dâu Dâu</x:t>
  </x:si>
  <x:si>
    <x:t xml:space="preserve">https://www.facebook.com/messages/t/9273137746063636</x:t>
  </x:si>
  <x:si>
    <x:t xml:space="preserve">Trần Phong</x:t>
  </x:si>
  <x:si>
    <x:t xml:space="preserve">https://www.facebook.com/messages/t/100063676285504</x:t>
  </x:si>
  <x:si>
    <x:t xml:space="preserve">https://www.facebook.com/messages/t/100003027462153</x:t>
  </x:si>
  <x:si>
    <x:t xml:space="preserve">https://www.facebook.com/messages/t/100003293121531</x:t>
  </x:si>
  <x:si>
    <x:t xml:space="preserve">Lã</x:t>
  </x:si>
  <x:si>
    <x:t xml:space="preserve">https://www.facebook.com/messages/t/9705275776166499</x:t>
  </x:si>
  <x:si>
    <x:t xml:space="preserve">Van Anh</x:t>
  </x:si>
  <x:si>
    <x:t xml:space="preserve">https://www.facebook.com/messages/t/9283289205070857</x:t>
  </x:si>
  <x:si>
    <x:t xml:space="preserve">Minh</x:t>
  </x:si>
  <x:si>
    <x:t xml:space="preserve">https://www.facebook.com/messages/t/8849838415109104</x:t>
  </x:si>
  <x:si>
    <x:t xml:space="preserve">Thu</x:t>
  </x:si>
  <x:si>
    <x:t xml:space="preserve">https://www.facebook.com/messages/t/9417508321601645</x:t>
  </x:si>
  <x:si>
    <x:t xml:space="preserve">cá thể girl vượt trội</x:t>
  </x:si>
  <x:si>
    <x:t xml:space="preserve">https://www.instagram.com/direct/t/17842495469350845/</x:t>
  </x:si>
  <x:si>
    <x:t xml:space="preserve">con mẹ yến</x:t>
  </x:si>
  <x:si>
    <x:t xml:space="preserve">https://www.instagram.com/direct/t/17842253330128494/</x:t>
  </x:si>
  <x:si>
    <x:t xml:space="preserve">Kim Chii</x:t>
  </x:si>
  <x:si>
    <x:t xml:space="preserve">https://www.messenger.com/t/100014332573967</x:t>
  </x:si>
  <x:si>
    <x:t xml:space="preserve">https://www.messenger.com/marketplace/t/8973552102763339</x:t>
  </x:si>
  <x:si>
    <x:t xml:space="preserve">quyts</x:t>
  </x:si>
  <x:si>
    <x:t xml:space="preserve">https://www.instagram.com/direct/t/106603094074590/</x:t>
  </x:si>
  <x:si>
    <x:t xml:space="preserve">Minh Hiếu</x:t>
  </x:si>
  <x:si>
    <x:t xml:space="preserve">https://www.messenger.com/t/100000018016668</x:t>
  </x:si>
  <x:si>
    <x:t xml:space="preserve">Hoang Phuong Linh</x:t>
  </x:si>
  <x:si>
    <x:t xml:space="preserve">https://www.messenger.com/t/100071636216467</x:t>
  </x:si>
  <x:si>
    <x:t xml:space="preserve">Qqminh</x:t>
  </x:si>
  <x:si>
    <x:t xml:space="preserve">Thu Giang</x:t>
  </x:si>
  <x:si>
    <x:t xml:space="preserve">https://www.messenger.com/t/100040522362786</x:t>
  </x:si>
  <x:si>
    <x:t xml:space="preserve">Quynh Huong</x:t>
  </x:si>
  <x:si>
    <x:t xml:space="preserve">https://www.messenger.com/t/100012405286812</x:t>
  </x:si>
  <x:si>
    <x:t xml:space="preserve">https://www.messenger.com/marketplace/t/9273137746063636</x:t>
  </x:si>
  <x:si>
    <x:t xml:space="preserve">hằng</x:t>
  </x:si>
  <x:si>
    <x:t xml:space="preserve">https://www.instagram.com/direct/t/120702052655077/</x:t>
  </x:si>
  <x:si>
    <x:t xml:space="preserve">Lam Bao</x:t>
  </x:si>
  <x:si>
    <x:t xml:space="preserve">https://www.messenger.com/t/100064300761593</x:t>
  </x:si>
  <x:si>
    <x:t xml:space="preserve">https://www.facebook.com/Duong.VN234?mibextid=LQQJ4d&amp;mibextid=LQQJ4d</x:t>
  </x:si>
  <x:si>
    <x:t xml:space="preserve">Hưng Đặng</x:t>
  </x:si>
  <x:si>
    <x:t xml:space="preserve">https://www.facebook.com/messages/t/100001260623195</x:t>
  </x:si>
  <x:si>
    <x:t xml:space="preserve">An Bình</x:t>
  </x:si>
  <x:si>
    <x:t xml:space="preserve">https://www.facebook.com/messages/t/100054344600283</x:t>
  </x:si>
  <x:si>
    <x:t xml:space="preserve">Soda Chanh Đá II</x:t>
  </x:si>
  <x:si>
    <x:t xml:space="preserve">https://www.facebook.com/messages/t/100076985137634</x:t>
  </x:si>
  <x:si>
    <x:t xml:space="preserve">Bu</x:t>
  </x:si>
  <x:si>
    <x:t xml:space="preserve">https://www.instagram.com/blabu.u?igsh=MWloODY1dGNicWYwbA==</x:t>
  </x:si>
  <x:si>
    <x:t xml:space="preserve">fwnhi.ng</x:t>
  </x:si>
  <x:si>
    <x:t xml:space="preserve">chloe.ng</x:t>
  </x:si>
  <x:si>
    <x:t xml:space="preserve">https://www.facebook.com/messages/t/100078514568594</x:t>
  </x:si>
  <x:si>
    <x:t xml:space="preserve">Ha</x:t>
  </x:si>
  <x:si>
    <x:t xml:space="preserve">https://www.messenger.com/marketplace/t/8854243884645068</x:t>
  </x:si>
  <x:si>
    <x:t xml:space="preserve">Jaycee</x:t>
  </x:si>
  <x:si>
    <x:t xml:space="preserve">https://www.facebook.com/messages/t/28799256779673865</x:t>
  </x:si>
  <x:si>
    <x:t xml:space="preserve">Kim</x:t>
  </x:si>
  <x:si>
    <x:t xml:space="preserve">https://www.facebook.com/messages/t/9004960736283586</x:t>
  </x:si>
  <x:si>
    <x:t xml:space="preserve">Ngọc Ngọc</x:t>
  </x:si>
  <x:si>
    <x:t xml:space="preserve">https://www.messenger.com/t/100042808668685</x:t>
  </x:si>
  <x:si>
    <x:t xml:space="preserve">Linh Đan</x:t>
  </x:si>
  <x:si>
    <x:t xml:space="preserve">https://www.facebook.com/ldan.0312?mibextid=LQQJ4d&amp;mibextid=LQQJ4d</x:t>
  </x:si>
  <x:si>
    <x:t xml:space="preserve">_chichichic_</x:t>
  </x:si>
  <x:si>
    <x:t xml:space="preserve">https://www.instagram.com/direct/t/115544026501910/</x:t>
  </x:si>
  <x:si>
    <x:t xml:space="preserve">Lan Hoàng</x:t>
  </x:si>
  <x:si>
    <x:t xml:space="preserve">https://www.messenger.com/t/100003917898051</x:t>
  </x:si>
  <x:si>
    <x:t xml:space="preserve">Hồng Anh</x:t>
  </x:si>
  <x:si>
    <x:t xml:space="preserve">https://www.messenger.com/t/100023939262459</x:t>
  </x:si>
  <x:si>
    <x:t xml:space="preserve">Hẹn tối thứ 6</x:t>
  </x:si>
  <x:si>
    <x:t xml:space="preserve">Charlie Austine</x:t>
  </x:si>
  <x:si>
    <x:t xml:space="preserve">https://www.facebook.com/messages/t/100083023486916/</x:t>
  </x:si>
  <x:si>
    <x:t xml:space="preserve">https://www.messenger.com/t/100080140908423</x:t>
  </x:si>
  <x:si>
    <x:t xml:space="preserve">https://www.facebook.com/messages/t/8897360250348389</x:t>
  </x:si>
  <x:si>
    <x:t xml:space="preserve">Vy Ngọc Yến Quỳnh</x:t>
  </x:si>
  <x:si>
    <x:t xml:space="preserve">https://www.facebook.com/messages/t/100018148414343</x:t>
  </x:si>
  <x:si>
    <x:t xml:space="preserve">minh anh</x:t>
  </x:si>
  <x:si>
    <x:t xml:space="preserve">https://www.instagram.com/direct/t/117251699665466/</x:t>
  </x:si>
  <x:si>
    <x:t xml:space="preserve">hpp</x:t>
  </x:si>
  <x:si>
    <x:t xml:space="preserve">https://www.instagram.com/direct/t/102099931194241/</x:t>
  </x:si>
  <x:si>
    <x:t xml:space="preserve">Yen Chi</x:t>
  </x:si>
  <x:si>
    <x:t xml:space="preserve">https://www.messenger.com/t/100009934724517</x:t>
  </x:si>
  <x:si>
    <x:t xml:space="preserve">Bảo Châu</x:t>
  </x:si>
  <x:si>
    <x:t xml:space="preserve">https://www.messenger.com/t/100054680311187</x:t>
  </x:si>
  <x:si>
    <x:t xml:space="preserve">Đỗ Thu</x:t>
  </x:si>
  <x:si>
    <x:t xml:space="preserve">https://www.messenger.com/t/100008571695948</x:t>
  </x:si>
  <x:si>
    <x:t xml:space="preserve">Tiểu Linh</x:t>
  </x:si>
  <x:si>
    <x:t xml:space="preserve">https://www.messenger.com/e2ee/t/27921204670828829</x:t>
  </x:si>
  <x:si>
    <x:t xml:space="preserve">Hong Minh Vu</x:t>
  </x:si>
  <x:si>
    <x:t xml:space="preserve">https://www.messenger.com/t/100004262833827</x:t>
  </x:si>
  <x:si>
    <x:t xml:space="preserve">Phuc Baso</x:t>
  </x:si>
  <x:si>
    <x:t xml:space="preserve">https://www.messenger.com/marketplace/t/9257469320931844</x:t>
  </x:si>
  <x:si>
    <x:t xml:space="preserve">Nguyen Tran</x:t>
  </x:si>
  <x:si>
    <x:t xml:space="preserve">https://www.messenger.com/t/100028408021563</x:t>
  </x:si>
  <x:si>
    <x:t xml:space="preserve">Phạm Đức Thắng</x:t>
  </x:si>
  <x:si>
    <x:t xml:space="preserve">https://www.facebook.com/messages/t/100006452753572</x:t>
  </x:si>
  <x:si>
    <x:t xml:space="preserve">Hien Anh Dang</x:t>
  </x:si>
  <x:si>
    <x:t xml:space="preserve">https://www.facebook.com/messages/t/100063785823213</x:t>
  </x:si>
  <x:si>
    <x:t xml:space="preserve">Gold (24exp)</x:t>
  </x:si>
  <x:si>
    <x:t xml:space="preserve">Dũng Lê</x:t>
  </x:si>
  <x:si>
    <x:t xml:space="preserve">https://www.facebook.com/messages/t/100000068177904</x:t>
  </x:si>
  <x:si>
    <x:t xml:space="preserve">Ngọc Lan</x:t>
  </x:si>
  <x:si>
    <x:t xml:space="preserve">https://www.facebook.com/banhwuay?mibextid=ZbWKwL</x:t>
  </x:si>
  <x:si>
    <x:t xml:space="preserve">Nguyen Truong</x:t>
  </x:si>
  <x:si>
    <x:t xml:space="preserve">https://www.facebook.com/messages/t/100057513403516</x:t>
  </x:si>
  <x:si>
    <x:t xml:space="preserve">Ng Quynh An</x:t>
  </x:si>
  <x:si>
    <x:t xml:space="preserve">https://www.facebook.com/profile.php?id=100081320524740</x:t>
  </x:si>
  <x:si>
    <x:t xml:space="preserve">Vũ Hạnh Lê</x:t>
  </x:si>
  <x:si>
    <x:t xml:space="preserve">https://www.facebook.com/xhimlexjeonghaniyoon</x:t>
  </x:si>
  <x:si>
    <x:t xml:space="preserve">Trần Thu Hà</x:t>
  </x:si>
  <x:si>
    <x:t xml:space="preserve">https://www.facebook.com/messages/t/9217578104920589</x:t>
  </x:si>
  <x:si>
    <x:t xml:space="preserve">Ngân Giang</x:t>
  </x:si>
  <x:si>
    <x:t xml:space="preserve">https://www.facebook.com/messages/t/27698775893103483</x:t>
  </x:si>
  <x:si>
    <x:t xml:space="preserve">Long Trần</x:t>
  </x:si>
  <x:si>
    <x:t xml:space="preserve">https://www.facebook.com/profile.php?id=100034378483732</x:t>
  </x:si>
  <x:si>
    <x:t xml:space="preserve">Hang</x:t>
  </x:si>
  <x:si>
    <x:t xml:space="preserve">https://www.instagram.com/hpmhehhehehe/</x:t>
  </x:si>
  <x:si>
    <x:t xml:space="preserve">Mai Hoa</x:t>
  </x:si>
  <x:si>
    <x:t xml:space="preserve">https://www.instagram.com/mhoamoa/</x:t>
  </x:si>
  <x:si>
    <x:t xml:space="preserve">Tao</x:t>
  </x:si>
  <x:si>
    <x:t xml:space="preserve">https://www.instagram.com/htao2804/</x:t>
  </x:si>
  <x:si>
    <x:t xml:space="preserve">Ninh</x:t>
  </x:si>
  <x:si>
    <x:t xml:space="preserve">https://www.instagram.com/oneperroll/</x:t>
  </x:si>
  <x:si>
    <x:t xml:space="preserve">Mỹ Hằng</x:t>
  </x:si>
  <x:si>
    <x:t xml:space="preserve">https://www.instagram.com/22hmxxhs/</x:t>
  </x:si>
  <x:si>
    <x:t xml:space="preserve">Hạ Linh</x:t>
  </x:si>
  <x:si>
    <x:t xml:space="preserve">https://www.instagram.com/lihnng__/</x:t>
  </x:si>
  <x:si>
    <x:t xml:space="preserve">shynishynii</x:t>
  </x:si>
  <x:si>
    <x:t xml:space="preserve">https://www.instagram.com/shynishynii/</x:t>
  </x:si>
  <x:si>
    <x:t xml:space="preserve">Hoàng Nguyễn LNhi</x:t>
  </x:si>
  <x:si>
    <x:t xml:space="preserve">https://www.facebook.com/profile.php?id=100026083301429&amp;mibextid=ZbWKwL</x:t>
  </x:si>
  <x:si>
    <x:t xml:space="preserve">Yến Vy</x:t>
  </x:si>
  <x:si>
    <x:t xml:space="preserve">https://www.facebook.com/profile.php?id=100036236858931&amp;mibextid=ZbWKwL</x:t>
  </x:si>
  <x:si>
    <x:t xml:space="preserve">Cal</x:t>
  </x:si>
  <x:si>
    <x:t xml:space="preserve">https://www.instagram.com/_chaauahn_?igsh=MW04eXFwdGF1YnFhcQ==</x:t>
  </x:si>
  <x:si>
    <x:t xml:space="preserve">Klinhn</x:t>
  </x:si>
  <x:si>
    <x:t xml:space="preserve">https://www.instagram.com/klnih.n?igsh=MWM1Z280eWI4b3hqNA==</x:t>
  </x:si>
  <x:si>
    <x:t xml:space="preserve">Qqminh_</x:t>
  </x:si>
  <x:si>
    <x:t xml:space="preserve">https://www.instagram.com/qqminh_?igsh=bnZ0dGlheTJhejJh</x:t>
  </x:si>
  <x:si>
    <x:t xml:space="preserve">Như Quỳnh</x:t>
  </x:si>
  <x:si>
    <x:t xml:space="preserve">https://www.instagram.com/nqkhongcotht?igsh=MTlrd2I5c3MyeWQxNw==</x:t>
  </x:si>
  <x:si>
    <x:t xml:space="preserve">0301oo</x:t>
  </x:si>
  <x:si>
    <x:t xml:space="preserve">https://www.instagram.com/0301oo/</x:t>
  </x:si>
  <x:si>
    <x:t xml:space="preserve">Grace</x:t>
  </x:si>
  <x:si>
    <x:t xml:space="preserve">https://www.instagram.com/nguynlinh2108/</x:t>
  </x:si>
  <x:si>
    <x:t xml:space="preserve">Jpg.choung</x:t>
  </x:si>
  <x:si>
    <x:t xml:space="preserve">https://www.instagram.com/jpg.choung?igsh=cGZlN2t0dzZjYXpj</x:t>
  </x:si>
  <x:si>
    <x:t xml:space="preserve">https://www.instagram.com/fwnhi.ng?igsh=MXJmaDFycjk2cm0ycg==</x:t>
  </x:si>
  <x:si>
    <x:t xml:space="preserve">https://www.facebook.com/phuonganhhbong?mibextid=LQQJ4d&amp;mibextid=LQQJ4d</x:t>
  </x:si>
  <x:si>
    <x:t xml:space="preserve">Toan Nguyen</x:t>
  </x:si>
  <x:si>
    <x:t xml:space="preserve">https://www.facebook.com/toannguyen0323</x:t>
  </x:si>
  <x:si>
    <x:t xml:space="preserve">Thùy Dương</x:t>
  </x:si>
  <x:si>
    <x:t xml:space="preserve">https://www.instagram.com/_hello.kitt_double.y__/</x:t>
  </x:si>
  <x:si>
    <x:t xml:space="preserve">em bé tí hon vô tri</x:t>
  </x:si>
  <x:si>
    <x:t xml:space="preserve">https://www.instagram.com/thodangbanchoi/</x:t>
  </x:si>
  <x:si>
    <x:t xml:space="preserve">https://www.instagram.com/t.pnga__?igsh=MWNxMmsyaDFmeTZuOA==</x:t>
  </x:si>
  <x:si>
    <x:t xml:space="preserve">Thuc Anh</x:t>
  </x:si>
  <x:si>
    <x:t xml:space="preserve">https://www.instagram.com/xantanotclaus?igsh=ZDZ4N2g3cngzZjB2</x:t>
  </x:si>
  <x:si>
    <x:t xml:space="preserve">Khank ngok</x:t>
  </x:si>
  <x:si>
    <x:t xml:space="preserve">https://www.instagram.com/hngkngc?igsh=MW1mMzM1cGJpbHVneg==</x:t>
  </x:si>
  <x:si>
    <x:t xml:space="preserve">Vy Ha</x:t>
  </x:si>
  <x:si>
    <x:t xml:space="preserve">https://www.facebook.com/profile.php?id=100077712919079&amp;mibextid=LQQJ4d&amp;mibextid=LQQJ4d</x:t>
  </x:si>
  <x:si>
    <x:t xml:space="preserve">Thuy Trang</x:t>
  </x:si>
  <x:si>
    <x:t xml:space="preserve">https://www.instagram.com/direct/t/119757819418957/</x:t>
  </x:si>
  <x:si>
    <x:t xml:space="preserve">Lý Nhật Hạ</x:t>
  </x:si>
  <x:si>
    <x:t xml:space="preserve">https://www.facebook.com/Ly.Nhat.Ha.607</x:t>
  </x:si>
  <x:si>
    <x:t xml:space="preserve">Tuấn Kiệt</x:t>
  </x:si>
  <x:si>
    <x:t xml:space="preserve">https://www.facebook.com/profile.php?id=100054708591396</x:t>
  </x:si>
  <x:si>
    <x:t xml:space="preserve">https://www.facebook.com/messages/t/8635784546505185</x:t>
  </x:si>
  <x:si>
    <x:t xml:space="preserve">https://www.facebook.com/messages/t/100004675478687</x:t>
  </x:si>
  <x:si>
    <x:t xml:space="preserve">Lan Nhi Tran</x:t>
  </x:si>
  <x:si>
    <x:t xml:space="preserve">https://www.facebook.com/messages/t/100005169189390</x:t>
  </x:si>
  <x:si>
    <x:t xml:space="preserve">https://www.facebook.com/messages/t/100048087491502</x:t>
  </x:si>
  <x:si>
    <x:t xml:space="preserve">Phanh Mít</x:t>
  </x:si>
  <x:si>
    <x:t xml:space="preserve">ngovuuu</x:t>
  </x:si>
  <x:si>
    <x:t xml:space="preserve">https://www.instagram.com/direct/t/17845269486232114/</x:t>
  </x:si>
  <x:si>
    <x:t xml:space="preserve">Gia Han</x:t>
  </x:si>
  <x:si>
    <x:t xml:space="preserve">https://www.facebook.com/vu.hann.98?mibextid=LQQJ4d&amp;mibextid=LQQJ4d</x:t>
  </x:si>
  <x:si>
    <x:t xml:space="preserve">dli</x:t>
  </x:si>
  <x:si>
    <x:t xml:space="preserve">https://www.instagram.com/direct/t/114146933305748/</x:t>
  </x:si>
  <x:si>
    <x:t xml:space="preserve">Oanh</x:t>
  </x:si>
  <x:si>
    <x:t xml:space="preserve">https://www.facebook.com/messages/t/8701766323250973</x:t>
  </x:si>
  <x:si>
    <x:t xml:space="preserve">teydrrwa</x:t>
  </x:si>
  <x:si>
    <x:t xml:space="preserve">https://www.instagram.com/teydrrwa/</x:t>
  </x:si>
  <x:si>
    <x:t xml:space="preserve">https://www.instagram.com/ag.minhthuw/</x:t>
  </x:si>
  <x:si>
    <x:t xml:space="preserve">https://www.facebook.com/messages/t/100026155253904</x:t>
  </x:si>
  <x:si>
    <x:t xml:space="preserve">Nguyễn Tấn</x:t>
  </x:si>
  <x:si>
    <x:t xml:space="preserve">https://www.facebook.com/tan1809?mibextid=LQQJ4d&amp;mibextid=LQQJ4d</x:t>
  </x:si>
  <x:si>
    <x:t xml:space="preserve">Vyn</x:t>
  </x:si>
  <x:si>
    <x:t xml:space="preserve">https://www.instagram.com/g.uenvy?igsh=MW82eDNycW9vejVmMA==</x:t>
  </x:si>
  <x:si>
    <x:t xml:space="preserve">https://www.facebook.com/profile.php?id=100040109130045</x:t>
  </x:si>
  <x:si>
    <x:t xml:space="preserve">Nguyen Phuc Baso</x:t>
  </x:si>
  <x:si>
    <x:t xml:space="preserve">https://www.facebook.com/nguyenphuc.baso</x:t>
  </x:si>
  <x:si>
    <x:t xml:space="preserve">chlllllaui</x:t>
  </x:si>
  <x:si>
    <x:t xml:space="preserve">https://www.instagram.com/chlllllaui/</x:t>
  </x:si>
  <x:si>
    <x:t xml:space="preserve">Thanh Bắc</x:t>
  </x:si>
  <x:si>
    <x:t xml:space="preserve">https://www.facebook.com/messages/t/100002729202593</x:t>
  </x:si>
  <x:si>
    <x:t xml:space="preserve">Khánh Minh</x:t>
  </x:si>
  <x:si>
    <x:t xml:space="preserve">https://www.facebook.com/messages/t/100054646971044</x:t>
  </x:si>
  <x:si>
    <x:t xml:space="preserve">https://www.facebook.com/messages/t/9051745911555812</x:t>
  </x:si>
  <x:si>
    <x:t xml:space="preserve">Nghiêm Linh Giang</x:t>
  </x:si>
  <x:si>
    <x:t xml:space="preserve">https://www.facebook.com/messages/t/100005912653295</x:t>
  </x:si>
  <x:si>
    <x:t xml:space="preserve">Đỉnh Trần</x:t>
  </x:si>
  <x:si>
    <x:t xml:space="preserve">https://www.facebook.com/messages/t/100009753256482</x:t>
  </x:si>
  <x:si>
    <x:t xml:space="preserve">Hoàng Hương Ly</x:t>
  </x:si>
  <x:si>
    <x:t xml:space="preserve">https://www.facebook.com/messages/t/100021911541341</x:t>
  </x:si>
  <x:si>
    <x:t xml:space="preserve">Nguyen Trong Dai</x:t>
  </x:si>
  <x:si>
    <x:t xml:space="preserve">https://www.facebook.com/messages/t/100006672134812</x:t>
  </x:si>
  <x:si>
    <x:t xml:space="preserve">https://www.facebook.com/messages/t/8087438431357410</x:t>
  </x:si>
  <x:si>
    <x:t xml:space="preserve">Lê</x:t>
  </x:si>
  <x:si>
    <x:t xml:space="preserve">Phương</x:t>
  </x:si>
  <x:si>
    <x:t xml:space="preserve">https://www.facebook.com/messages/t/8170876333018593</x:t>
  </x:si>
  <x:si>
    <x:t xml:space="preserve">Akashi Yang</x:t>
  </x:si>
  <x:si>
    <x:t xml:space="preserve">https://www.facebook.com/messages/e2ee/t/8739901606058970</x:t>
  </x:si>
  <x:si>
    <x:t xml:space="preserve">SAT</x:t>
  </x:si>
  <x:si>
    <x:t xml:space="preserve">https://www.instagram.com/direct/t/115608903164723/</x:t>
  </x:si>
  <x:si>
    <x:t xml:space="preserve">Lê Minh Phúc</x:t>
  </x:si>
  <x:si>
    <x:t xml:space="preserve">https://www.facebook.com/messages/t/100009371625086</x:t>
  </x:si>
  <x:si>
    <x:t xml:space="preserve">Thuan Hoa</x:t>
  </x:si>
  <x:si>
    <x:t xml:space="preserve">https://www.facebook.com/messages/t/100072234122667</x:t>
  </x:si>
  <x:si>
    <x:t xml:space="preserve">Lam Ng</x:t>
  </x:si>
  <x:si>
    <x:t xml:space="preserve">https://www.facebook.com/messages/t/100027742960294</x:t>
  </x:si>
  <x:si>
    <x:t xml:space="preserve">Cost</x:t>
  </x:si>
  <x:si>
    <x:t xml:space="preserve">Gold 200 24exp</x:t>
  </x:si>
  <x:si>
    <x:t xml:space="preserve">Shipping</x:t>
  </x:si>
  <x:si>
    <x:t xml:space="preserve">UltraMax 24exp</x:t>
  </x:si>
  <x:si>
    <x:t xml:space="preserve">Kodak 800</x:t>
  </x:si>
  <x:si>
    <x:t xml:space="preserve">Price per roll</x:t>
  </x:si>
  <x:si>
    <x:t xml:space="preserve">Total rolls</x:t>
  </x:si>
  <x:si>
    <x:t xml:space="preserve">Price per roll w/ shipping</x:t>
  </x:si>
  <x:si>
    <x:t xml:space="preserve">Pro Image</x:t>
  </x:si>
  <x:si>
    <x:t xml:space="preserve">UltraMax</x:t>
  </x:si>
  <x:si>
    <x:t xml:space="preserve">Gold</x:t>
  </x:si>
  <x:si>
    <x:t xml:space="preserve">Gold 24exp</x:t>
  </x:si>
  <x:si>
    <x:t xml:space="preserve">Price per rolls</x:t>
  </x:si>
  <x:si>
    <x:t xml:space="preserve">Gold 36exp</x:t>
  </x:si>
  <x:si>
    <x:t xml:space="preserve">Color Plus</x:t>
  </x:si>
  <x:si>
    <x:t xml:space="preserve">Ultra Max</x:t>
  </x:si>
  <x:si>
    <x:t xml:space="preserve">Tmax 100</x:t>
  </x:si>
  <x:si>
    <x:t xml:space="preserve">Tmax 400</x:t>
  </x:si>
  <x:si>
    <x:t xml:space="preserve">Tmax P3200</x:t>
  </x:si>
  <x:si>
    <x:t xml:space="preserve">TriX400</x:t>
  </x:si>
  <x:si>
    <x:t xml:space="preserve">Ultra Max (24e)</x:t>
  </x:si>
  <x:si>
    <x:t xml:space="preserve">Gold (36e)</x:t>
  </x:si>
  <x:si>
    <x:t xml:space="preserve">Discount</x:t>
  </x:si>
  <x:si>
    <x:t xml:space="preserve">Fujifilm 400</x:t>
  </x:si>
  <x:si>
    <x:t xml:space="preserve">Kodacolor 200</x:t>
  </x:si>
</x:sst>
</file>

<file path=xl/styles.xml><?xml version="1.0" encoding="utf-8"?>
<x:styleSheet xmlns:x="http://schemas.openxmlformats.org/spreadsheetml/2006/main">
  <x:numFmts count="5">
    <x:numFmt numFmtId="164" formatCode="#,##0\ [$đ-42A]"/>
    <x:numFmt numFmtId="165" formatCode="d/m/yyyy"/>
    <x:numFmt numFmtId="166" formatCode="dd/mm/yyyy"/>
    <x:numFmt numFmtId="167" formatCode="#,##0.000\ [$đ-42A]"/>
    <x:numFmt numFmtId="168" formatCode="#,##0.0000\ [$đ-42A]"/>
  </x:numFmts>
  <x:fonts count="17">
    <x:font>
      <x:sz val="10"/>
      <x:color rgb="FF000000"/>
      <x:name val="Arial"/>
    </x:font>
    <x:font>
      <x:b/>
      <x:color rgb="FF980000"/>
      <x:name val="Arial"/>
    </x:font>
    <x:font>
      <x:b/>
      <x:color theme="1"/>
      <x:name val="Arial"/>
    </x:font>
    <x:font>
      <x:b/>
      <x:i/>
      <x:color theme="1"/>
      <x:name val="Arial"/>
    </x:font>
    <x:font/>
    <x:font>
      <x:b/>
      <x:i/>
      <x:color rgb="FFCC0000"/>
      <x:name val="Arial"/>
    </x:font>
    <x:font>
      <x:color theme="1"/>
      <x:name val="Arial"/>
    </x:font>
    <x:font>
      <x:color rgb="FF0000FF"/>
    </x:font>
    <x:font>
      <x:b/>
      <x:color rgb="FFCC0000"/>
      <x:name val="Arial"/>
    </x:font>
    <x:font>
      <x:color theme="1"/>
      <x:name val="Arial"/>
    </x:font>
    <x:font>
      <x:color rgb="FF1155CC"/>
      <x:name val="Arial"/>
    </x:font>
    <x:font>
      <x:b/>
      <x:color theme="1"/>
      <x:name val="Arial"/>
    </x:font>
    <x:font>
      <x:color rgb="FF0000FF"/>
    </x:font>
    <x:font>
      <x:color rgb="FF0000FF"/>
    </x:font>
    <x:font>
      <x:color rgb="FF0000FF"/>
    </x:font>
    <x:font>
      <x:color rgb="FF0000FF"/>
    </x:font>
    <x:font>
      <x:b/>
      <x:color rgb="FFFF0000"/>
      <x:name val="Arial"/>
    </x:font>
  </x:fonts>
  <x:fills count="10">
    <x:fill>
      <x:patternFill patternType="none"/>
    </x:fill>
    <x:fill>
      <x:patternFill patternType="lightGray"/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980000"/>
      </x:patternFill>
    </x:fill>
    <x:fill>
      <x:patternFill patternType="solid">
        <x:fgColor rgb="FFB6E1CD"/>
      </x:patternFill>
    </x:fill>
    <x:fill>
      <x:patternFill patternType="solid">
        <x:fgColor rgb="FFF3F3F3"/>
      </x:patternFill>
    </x:fill>
    <x:fill>
      <x:patternFill patternType="solid">
        <x:fgColor rgb="FFB7E1CD"/>
      </x:patternFill>
    </x:fill>
    <x:fill>
      <x:patternFill patternType="solid">
        <x:fgColor rgb="FFFF0000"/>
      </x:patternFill>
    </x:fill>
    <x:fill>
      <x:patternFill patternType="solid">
        <x:fgColor rgb="FFFCE5CD"/>
      </x:patternFill>
    </x:fill>
  </x:fills>
  <x:borders count="5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123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1" fillId="2" borderId="1" xfId="0" applyFont="1" applyBorder="1" applyAlignment="1">
      <x:alignment horizontal="left" vertical="center"/>
    </x:xf>
    <x:xf numFmtId="0" fontId="1" fillId="2" borderId="1" xfId="0" applyFont="1" applyBorder="1" applyAlignment="1">
      <x:alignment horizontal="center" vertical="center" wrapText="0"/>
    </x:xf>
    <x:xf numFmtId="3" fontId="1" fillId="2" borderId="1" xfId="0" applyNumberFormat="1" applyFont="1" applyBorder="1" applyAlignment="1">
      <x:alignment horizontal="center" vertical="center"/>
    </x:xf>
    <x:xf numFmtId="164" fontId="1" fillId="2" borderId="1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 wrapText="0"/>
    </x:xf>
    <x:xf numFmtId="0" fontId="2" fillId="0" borderId="0" xfId="0" applyFont="1" applyAlignment="1">
      <x:alignment horizontal="center" vertical="center"/>
    </x:xf>
    <x:xf numFmtId="0" fontId="3" fillId="3" borderId="2" xfId="0" applyFont="1" applyFill="1" applyBorder="1" applyAlignment="1">
      <x:alignment horizontal="center"/>
    </x:xf>
    <x:xf numFmtId="0" fontId="4" fillId="0" borderId="3" xfId="0" applyFont="1" applyBorder="1"/>
    <x:xf numFmtId="165" fontId="3" fillId="3" borderId="1" xfId="0" applyNumberFormat="1" applyFont="1" applyBorder="1" applyAlignment="1"/>
    <x:xf numFmtId="0" fontId="3" fillId="3" borderId="1" xfId="0" applyFont="1" applyBorder="1" applyAlignment="1">
      <x:alignment wrapText="0"/>
    </x:xf>
    <x:xf numFmtId="3" fontId="3" fillId="3" borderId="1" xfId="0" applyNumberFormat="1" applyFont="1" applyBorder="1" applyAlignment="1"/>
    <x:xf numFmtId="164" fontId="3" fillId="3" borderId="1" xfId="0" applyNumberFormat="1" applyFont="1" applyBorder="1" applyAlignment="1"/>
    <x:xf numFmtId="164" fontId="3" fillId="3" borderId="1" xfId="0" applyNumberFormat="1" applyFont="1" applyBorder="1"/>
    <x:xf numFmtId="0" fontId="3" fillId="3" borderId="1" xfId="0" applyFont="1" applyBorder="1" applyAlignment="1"/>
    <x:xf numFmtId="0" fontId="3" fillId="0" borderId="0" xfId="0" applyFont="1"/>
    <x:xf numFmtId="0" fontId="5" fillId="2" borderId="0" xfId="0" applyFont="1" applyAlignment="1">
      <x:alignment horizontal="center"/>
    </x:xf>
    <x:xf numFmtId="3" fontId="3" fillId="4" borderId="1" xfId="0" applyNumberFormat="1" applyFont="1" applyFill="1" applyBorder="1" applyAlignment="1"/>
    <x:xf numFmtId="0" fontId="6" fillId="0" borderId="1" xfId="0" applyFont="1" applyBorder="1" applyAlignment="1">
      <x:alignment horizontal="center"/>
    </x:xf>
    <x:xf numFmtId="0" fontId="6" fillId="0" borderId="1" xfId="0" applyFont="1" applyBorder="1" applyAlignment="1">
      <x:alignment horizontal="left"/>
    </x:xf>
    <x:xf numFmtId="165" fontId="6" fillId="0" borderId="1" xfId="0" applyNumberFormat="1" applyFont="1" applyBorder="1" applyAlignment="1"/>
    <x:xf numFmtId="0" fontId="7" fillId="0" borderId="1" xfId="0" applyFont="1" applyBorder="1" applyAlignment="1">
      <x:alignment wrapText="0"/>
    </x:xf>
    <x:xf numFmtId="0" fontId="6" fillId="0" borderId="1" xfId="0" applyFont="1" applyBorder="1" applyAlignment="1"/>
    <x:xf numFmtId="3" fontId="6" fillId="0" borderId="1" xfId="0" applyNumberFormat="1" applyFont="1" applyBorder="1" applyAlignment="1"/>
    <x:xf numFmtId="3" fontId="6" fillId="0" borderId="1" xfId="0" applyNumberFormat="1" applyFont="1" applyBorder="1"/>
    <x:xf numFmtId="164" fontId="6" fillId="0" borderId="1" xfId="0" applyNumberFormat="1" applyFont="1" applyBorder="1"/>
    <x:xf numFmtId="0" fontId="6" fillId="5" borderId="1" xfId="0" applyFont="1" applyFill="1" applyBorder="1" applyAlignment="1"/>
    <x:xf numFmtId="0" fontId="8" fillId="2" borderId="4" xfId="0" applyFont="1" applyBorder="1" applyAlignment="1">
      <x:alignment horizontal="center"/>
    </x:xf>
    <x:xf numFmtId="0" fontId="6" fillId="0" borderId="1" xfId="0" applyFont="1" applyBorder="1" applyAlignment="1">
      <x:alignment horizontal="left"/>
    </x:xf>
    <x:xf numFmtId="0" fontId="6" fillId="0" borderId="1" xfId="0" applyFont="1" applyBorder="1" applyAlignment="1">
      <x:alignment horizontal="left" wrapText="1"/>
    </x:xf>
    <x:xf numFmtId="164" fontId="2" fillId="6" borderId="4" xfId="0" applyNumberFormat="1" applyFont="1" applyFill="1" applyBorder="1" applyAlignment="1">
      <x:alignment horizontal="center"/>
    </x:xf>
    <x:xf numFmtId="0" fontId="6" fillId="0" borderId="0" xfId="0" applyFont="1" applyAlignment="1">
      <x:alignment wrapText="0"/>
    </x:xf>
    <x:xf numFmtId="165" fontId="2" fillId="6" borderId="4" xfId="0" applyNumberFormat="1" applyFont="1" applyBorder="1" applyAlignment="1">
      <x:alignment horizontal="center"/>
    </x:xf>
    <x:xf numFmtId="0" fontId="2" fillId="6" borderId="4" xfId="0" applyFont="1" applyBorder="1" applyAlignment="1">
      <x:alignment horizontal="center"/>
    </x:xf>
    <x:xf numFmtId="0" fontId="6" fillId="0" borderId="1" xfId="0" applyFont="1" applyBorder="1" applyAlignment="1">
      <x:alignment wrapText="0"/>
    </x:xf>
    <x:xf numFmtId="166" fontId="6" fillId="0" borderId="1" xfId="0" applyNumberFormat="1" applyFont="1" applyBorder="1" applyAlignment="1"/>
    <x:xf numFmtId="0" fontId="8" fillId="2" borderId="0" xfId="0" applyFont="1" applyAlignment="1">
      <x:alignment horizontal="center"/>
    </x:xf>
    <x:xf numFmtId="166" fontId="2" fillId="6" borderId="4" xfId="0" applyNumberFormat="1" applyFont="1" applyBorder="1" applyAlignment="1">
      <x:alignment horizontal="center"/>
    </x:xf>
    <x:xf numFmtId="0" fontId="6" fillId="0" borderId="0" xfId="0" applyFont="1" applyAlignment="1"/>
    <x:xf numFmtId="0" fontId="9" fillId="7" borderId="1" xfId="0" applyFont="1" applyFill="1" applyBorder="1" applyAlignment="1">
      <x:alignment horizontal="center" vertical="bottom"/>
    </x:xf>
    <x:xf numFmtId="0" fontId="9" fillId="7" borderId="1" xfId="0" applyFont="1" applyBorder="1" applyAlignment="1">
      <x:alignment vertical="bottom"/>
    </x:xf>
    <x:xf numFmtId="166" fontId="9" fillId="7" borderId="1" xfId="0" applyNumberFormat="1" applyFont="1" applyBorder="1" applyAlignment="1">
      <x:alignment horizontal="right" vertical="bottom"/>
    </x:xf>
    <x:xf numFmtId="0" fontId="10" fillId="7" borderId="1" xfId="0" applyFont="1" applyBorder="1" applyAlignment="1">
      <x:alignment vertical="bottom" wrapText="0"/>
    </x:xf>
    <x:xf numFmtId="3" fontId="9" fillId="7" borderId="1" xfId="0" applyNumberFormat="1" applyFont="1" applyBorder="1" applyAlignment="1">
      <x:alignment vertical="bottom"/>
    </x:xf>
    <x:xf numFmtId="3" fontId="9" fillId="7" borderId="1" xfId="0" applyNumberFormat="1" applyFont="1" applyBorder="1" applyAlignment="1">
      <x:alignment horizontal="right" vertical="bottom"/>
    </x:xf>
    <x:xf numFmtId="164" fontId="9" fillId="7" borderId="1" xfId="0" applyNumberFormat="1" applyFont="1" applyBorder="1" applyAlignment="1">
      <x:alignment horizontal="right" vertical="bottom"/>
    </x:xf>
    <x:xf numFmtId="0" fontId="9" fillId="0" borderId="1" xfId="0" applyFont="1" applyBorder="1" applyAlignment="1">
      <x:alignment vertical="bottom"/>
    </x:xf>
    <x:xf numFmtId="0" fontId="9" fillId="0" borderId="0" xfId="0" applyFont="1" applyAlignment="1">
      <x:alignment vertical="bottom"/>
    </x:xf>
    <x:xf numFmtId="165" fontId="9" fillId="6" borderId="4" xfId="0" applyNumberFormat="1" applyFont="1" applyBorder="1" applyAlignment="1">
      <x:alignment vertical="bottom"/>
    </x:xf>
    <x:xf numFmtId="0" fontId="11" fillId="6" borderId="4" xfId="0" applyFont="1" applyBorder="1" applyAlignment="1">
      <x:alignment horizontal="center" vertical="bottom"/>
    </x:xf>
    <x:xf numFmtId="164" fontId="11" fillId="6" borderId="4" xfId="0" applyNumberFormat="1" applyFont="1" applyBorder="1" applyAlignment="1">
      <x:alignment horizontal="center" vertical="bottom"/>
    </x:xf>
    <x:xf numFmtId="0" fontId="9" fillId="7" borderId="1" xfId="0" applyFont="1" applyBorder="1" applyAlignment="1">
      <x:alignment horizontal="right" vertical="bottom"/>
    </x:xf>
    <x:xf numFmtId="0" fontId="9" fillId="6" borderId="4" xfId="0" applyFont="1" applyBorder="1" applyAlignment="1">
      <x:alignment vertical="bottom"/>
    </x:xf>
    <x:xf numFmtId="164" fontId="9" fillId="6" borderId="4" xfId="0" applyNumberFormat="1" applyFont="1" applyBorder="1" applyAlignment="1">
      <x:alignment vertical="bottom"/>
    </x:xf>
    <x:xf numFmtId="0" fontId="6" fillId="0" borderId="1" xfId="0" applyFont="1" applyBorder="1" applyAlignment="1">
      <x:alignment wrapText="0"/>
    </x:xf>
    <x:xf numFmtId="0" fontId="6" fillId="0" borderId="1" xfId="0" applyFont="1" applyBorder="1"/>
    <x:xf numFmtId="0" fontId="6" fillId="0" borderId="0" xfId="0" applyFont="1" applyAlignment="1">
      <x:alignment wrapText="0"/>
    </x:xf>
    <x:xf numFmtId="0" fontId="12" fillId="0" borderId="1" xfId="0" applyFont="1" applyBorder="1" applyAlignment="1">
      <x:alignment wrapText="0"/>
    </x:xf>
    <x:xf numFmtId="0" fontId="6" fillId="8" borderId="1" xfId="0" applyFont="1" applyFill="1" applyBorder="1" applyAlignment="1">
      <x:alignment horizontal="center"/>
    </x:xf>
    <x:xf numFmtId="0" fontId="6" fillId="8" borderId="1" xfId="0" applyFont="1" applyBorder="1" applyAlignment="1">
      <x:alignment horizontal="left"/>
    </x:xf>
    <x:xf numFmtId="165" fontId="6" fillId="8" borderId="1" xfId="0" applyNumberFormat="1" applyFont="1" applyBorder="1" applyAlignment="1"/>
    <x:xf numFmtId="0" fontId="6" fillId="8" borderId="1" xfId="0" applyFont="1" applyBorder="1" applyAlignment="1">
      <x:alignment wrapText="0"/>
    </x:xf>
    <x:xf numFmtId="0" fontId="6" fillId="8" borderId="1" xfId="0" applyFont="1" applyBorder="1" applyAlignment="1"/>
    <x:xf numFmtId="3" fontId="6" fillId="8" borderId="1" xfId="0" applyNumberFormat="1" applyFont="1" applyBorder="1" applyAlignment="1"/>
    <x:xf numFmtId="3" fontId="6" fillId="8" borderId="1" xfId="0" applyNumberFormat="1" applyFont="1" applyBorder="1"/>
    <x:xf numFmtId="0" fontId="6" fillId="8" borderId="0" xfId="0" applyFont="1" applyAlignment="1">
      <x:alignment wrapText="0"/>
    </x:xf>
    <x:xf numFmtId="165" fontId="2" fillId="8" borderId="4" xfId="0" applyNumberFormat="1" applyFont="1" applyBorder="1" applyAlignment="1">
      <x:alignment horizontal="center"/>
    </x:xf>
    <x:xf numFmtId="0" fontId="2" fillId="8" borderId="4" xfId="0" applyFont="1" applyBorder="1" applyAlignment="1">
      <x:alignment horizontal="center"/>
    </x:xf>
    <x:xf numFmtId="164" fontId="2" fillId="8" borderId="4" xfId="0" applyNumberFormat="1" applyFont="1" applyBorder="1" applyAlignment="1">
      <x:alignment horizontal="center"/>
    </x:xf>
    <x:xf numFmtId="0" fontId="6" fillId="8" borderId="0" xfId="0" applyFont="1"/>
    <x:xf numFmtId="0" fontId="6" fillId="0" borderId="0" xfId="0" applyFont="1" applyAlignment="1">
      <x:alignment horizontal="left"/>
    </x:xf>
    <x:xf numFmtId="0" fontId="13" fillId="8" borderId="1" xfId="0" applyFont="1" applyBorder="1" applyAlignment="1">
      <x:alignment wrapText="0"/>
    </x:xf>
    <x:xf numFmtId="164" fontId="6" fillId="8" borderId="1" xfId="0" applyNumberFormat="1" applyFont="1" applyBorder="1"/>
    <x:xf numFmtId="3" fontId="6" fillId="0" borderId="0" xfId="0" applyNumberFormat="1" applyFont="1"/>
    <x:xf numFmtId="0" fontId="2" fillId="3" borderId="1" xfId="0" applyFont="1" applyBorder="1" applyAlignment="1">
      <x:alignment horizontal="center"/>
    </x:xf>
    <x:xf numFmtId="0" fontId="2" fillId="3" borderId="1" xfId="0" applyFont="1" applyBorder="1" applyAlignment="1">
      <x:alignment horizontal="left"/>
    </x:xf>
    <x:xf numFmtId="0" fontId="2" fillId="3" borderId="1" xfId="0" applyFont="1" applyBorder="1"/>
    <x:xf numFmtId="0" fontId="2" fillId="3" borderId="1" xfId="0" applyFont="1" applyBorder="1" applyAlignment="1">
      <x:alignment wrapText="0"/>
    </x:xf>
    <x:xf numFmtId="3" fontId="2" fillId="3" borderId="1" xfId="0" applyNumberFormat="1" applyFont="1" applyBorder="1"/>
    <x:xf numFmtId="164" fontId="2" fillId="3" borderId="1" xfId="0" applyNumberFormat="1" applyFont="1" applyBorder="1"/>
    <x:xf numFmtId="0" fontId="6" fillId="3" borderId="0" xfId="0" applyFont="1"/>
    <x:xf numFmtId="0" fontId="6" fillId="3" borderId="0" xfId="0" applyFont="1" applyAlignment="1">
      <x:alignment wrapText="0"/>
    </x:xf>
    <x:xf numFmtId="164" fontId="2" fillId="3" borderId="0" xfId="0" applyNumberFormat="1" applyFont="1"/>
    <x:xf numFmtId="3" fontId="2" fillId="3" borderId="0" xfId="0" applyNumberFormat="1" applyFont="1"/>
    <x:xf numFmtId="164" fontId="6" fillId="0" borderId="0" xfId="0" applyNumberFormat="1" applyFont="1"/>
    <x:xf numFmtId="0" fontId="6" fillId="0" borderId="0" xfId="0" applyFont="1"/>
    <x:xf numFmtId="0" fontId="6" fillId="0" borderId="0" xfId="0" applyFont="1" applyAlignment="1">
      <x:alignment horizontal="center"/>
    </x:xf>
    <x:xf numFmtId="0" fontId="6" fillId="0" borderId="0" xfId="0" applyFont="1" applyAlignment="1">
      <x:alignment horizontal="left"/>
    </x:xf>
    <x:xf numFmtId="0" fontId="2" fillId="0" borderId="0" xfId="0" applyFont="1"/>
    <x:xf numFmtId="164" fontId="2" fillId="0" borderId="0" xfId="0" applyNumberFormat="1" applyFont="1"/>
    <x:xf numFmtId="0" fontId="6" fillId="0" borderId="0" xfId="0" applyFont="1"/>
    <x:xf numFmtId="0" fontId="2" fillId="3" borderId="1" xfId="0" applyFont="1" applyBorder="1" applyAlignment="1"/>
    <x:xf numFmtId="3" fontId="2" fillId="3" borderId="1" xfId="0" applyNumberFormat="1" applyFont="1" applyBorder="1" applyAlignment="1"/>
    <x:xf numFmtId="0" fontId="6" fillId="0" borderId="1" xfId="0" applyFont="1" applyBorder="1"/>
    <x:xf numFmtId="0" fontId="3" fillId="4" borderId="1" xfId="0" applyFont="1" applyBorder="1" applyAlignment="1"/>
    <x:xf numFmtId="0" fontId="6" fillId="3" borderId="0" xfId="0" applyFont="1" applyAlignment="1">
      <x:alignment wrapText="0"/>
    </x:xf>
    <x:xf numFmtId="0" fontId="14" fillId="0" borderId="1" xfId="0" applyFont="1" applyBorder="1" applyAlignment="1"/>
    <x:xf numFmtId="0" fontId="6" fillId="0" borderId="1" xfId="0" applyFont="1" applyBorder="1" applyAlignment="1"/>
    <x:xf numFmtId="0" fontId="6" fillId="0" borderId="1" xfId="0" applyFont="1" applyBorder="1" applyAlignment="1">
      <x:alignment wrapText="1"/>
    </x:xf>
    <x:xf numFmtId="164" fontId="6" fillId="0" borderId="1" xfId="0" applyNumberFormat="1" applyFont="1" applyBorder="1" applyAlignment="1"/>
    <x:xf numFmtId="0" fontId="2" fillId="3" borderId="1" xfId="0" applyFont="1" applyBorder="1"/>
    <x:xf numFmtId="0" fontId="2" fillId="3" borderId="0" xfId="0" applyFont="1"/>
    <x:xf numFmtId="165" fontId="6" fillId="0" borderId="0" xfId="0" applyNumberFormat="1" applyFont="1"/>
    <x:xf numFmtId="166" fontId="2" fillId="9" borderId="0" xfId="0" applyNumberFormat="1" applyFont="1" applyFill="1" applyAlignment="1">
      <x:alignment horizontal="center" vertical="center"/>
    </x:xf>
    <x:xf numFmtId="0" fontId="6" fillId="9" borderId="0" xfId="0" applyFont="1" applyAlignment="1"/>
    <x:xf numFmtId="0" fontId="6" fillId="9" borderId="0" xfId="0" applyFont="1"/>
    <x:xf numFmtId="164" fontId="6" fillId="9" borderId="0" xfId="0" applyNumberFormat="1" applyFont="1"/>
    <x:xf numFmtId="0" fontId="2" fillId="9" borderId="0" xfId="0" applyFont="1" applyAlignment="1"/>
    <x:xf numFmtId="164" fontId="2" fillId="9" borderId="0" xfId="0" applyNumberFormat="1" applyFont="1"/>
    <x:xf numFmtId="166" fontId="2" fillId="0" borderId="0" xfId="0" applyNumberFormat="1" applyFont="1" applyAlignment="1">
      <x:alignment horizontal="center" vertical="center"/>
    </x:xf>
    <x:xf numFmtId="166" fontId="6" fillId="0" borderId="0" xfId="0" applyNumberFormat="1" applyFont="1" applyAlignment="1">
      <x:alignment horizontal="center" vertical="center"/>
    </x:xf>
    <x:xf numFmtId="164" fontId="6" fillId="9" borderId="0" xfId="0" applyNumberFormat="1" applyFont="1" applyAlignment="1"/>
    <x:xf numFmtId="0" fontId="2" fillId="9" borderId="0" xfId="0" applyFont="1"/>
    <x:xf numFmtId="165" fontId="2" fillId="9" borderId="0" xfId="0" applyNumberFormat="1" applyFont="1" applyAlignment="1">
      <x:alignment horizontal="center" vertical="center"/>
    </x:xf>
    <x:xf numFmtId="0" fontId="6" fillId="9" borderId="0" xfId="0" applyFont="1" applyAlignment="1">
      <x:alignment vertical="center"/>
    </x:xf>
    <x:xf numFmtId="0" fontId="2" fillId="9" borderId="0" xfId="0" applyFont="1" applyAlignment="1">
      <x:alignment vertical="center"/>
    </x:xf>
    <x:xf numFmtId="167" fontId="6" fillId="9" borderId="0" xfId="0" applyNumberFormat="1" applyFont="1"/>
    <x:xf numFmtId="168" fontId="6" fillId="9" borderId="0" xfId="0" applyNumberFormat="1" applyFont="1"/>
    <x:xf numFmtId="0" fontId="15" fillId="0" borderId="1" xfId="0" applyFont="1" applyBorder="1" applyAlignment="1"/>
    <x:xf numFmtId="0" fontId="6" fillId="3" borderId="0" xfId="0" applyFont="1" applyAlignment="1">
      <x:alignment horizontal="center"/>
    </x:xf>
    <x:xf numFmtId="3" fontId="6" fillId="3" borderId="0" xfId="0" applyNumberFormat="1" applyFont="1"/>
    <x:xf numFmtId="164" fontId="16" fillId="3" borderId="1" xfId="0" applyNumberFormat="1" applyFont="1" applyBorder="1"/>
  </x:cellXfs>
  <x:cellStyles count="1">
    <x:cellStyle name="Normal" xfId="0"/>
  </x:cellStyles>
  <x:dxfs count="2">
    <x:dxf>
      <x:fill>
        <x:patternFill>
          <x:bgColor rgb="FFB7E1CD"/>
        </x:patternFill>
      </x:fill>
      <x:border/>
    </x:dxf>
    <x:dxf>
      <x:fill>
        <x:patternFill>
          <x:bgColor rgb="FFFFD966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a6ca64b2245ad" /><Relationship Type="http://schemas.openxmlformats.org/officeDocument/2006/relationships/theme" Target="/xl/theme/theme1.xml" Id="Rbfd1cdba67154777" /><Relationship Type="http://schemas.openxmlformats.org/officeDocument/2006/relationships/sheetMetadata" Target="/xl/metadata1.xml" Id="Rd3bcf9c7645c4d7c" /><Relationship Type="http://schemas.openxmlformats.org/officeDocument/2006/relationships/sharedStrings" Target="/xl/sharedStrings.xml" Id="R140cb0fc689242f4" /><Relationship Type="http://schemas.openxmlformats.org/officeDocument/2006/relationships/worksheet" Target="/xl/worksheets/sheet1.xml" Id="R6197d0091e774c62" /><Relationship Type="http://schemas.openxmlformats.org/officeDocument/2006/relationships/worksheet" Target="/xl/worksheets/sheet2.xml" Id="Rc5fcdd97eaf94bd4" /><Relationship Type="http://schemas.openxmlformats.org/officeDocument/2006/relationships/worksheet" Target="/xl/worksheets/sheet3.xml" Id="R1f3e670a9edb4a49" /><Relationship Type="http://schemas.openxmlformats.org/officeDocument/2006/relationships/worksheet" Target="/xl/worksheets/sheet4.xml" Id="R9215d9d47c8646c5" /><Relationship Type="http://schemas.openxmlformats.org/officeDocument/2006/relationships/worksheet" Target="/xl/worksheets/sheet5.xml" Id="R7274d534d6884680" /><Relationship Type="http://schemas.openxmlformats.org/officeDocument/2006/relationships/worksheet" Target="/xl/worksheets/sheet6.xml" Id="R213b1a86d03f4625" /><Relationship Type="http://schemas.openxmlformats.org/officeDocument/2006/relationships/worksheet" Target="/xl/worksheets/sheet7.xml" Id="R3ccbb4e825b84ceb" /><Relationship Type="http://schemas.openxmlformats.org/officeDocument/2006/relationships/worksheet" Target="/xl/worksheets/sheet8.xml" Id="R427ad5a336094856" /><Relationship Type="http://schemas.openxmlformats.org/officeDocument/2006/relationships/worksheet" Target="/xl/worksheets/sheet9.xml" Id="R29cf2b06683b4db8" /><Relationship Type="http://schemas.openxmlformats.org/officeDocument/2006/relationships/worksheet" Target="/xl/worksheets/sheet10.xml" Id="Rc77de5955c124a12" /><Relationship Type="http://schemas.openxmlformats.org/officeDocument/2006/relationships/worksheet" Target="/xl/worksheets/sheet11.xml" Id="R20e55172c73f4ed4" /><Relationship Type="http://schemas.openxmlformats.org/officeDocument/2006/relationships/worksheet" Target="/xl/worksheets/sheet12.xml" Id="Re2a157cd80b64441" /><Relationship Type="http://schemas.openxmlformats.org/officeDocument/2006/relationships/worksheet" Target="/xl/worksheets/sheet13.xml" Id="Ra7550bd47adb4b24" /><Relationship Type="http://schemas.openxmlformats.org/officeDocument/2006/relationships/worksheet" Target="/xl/worksheets/sheet14.xml" Id="R9012192297094995" /><Relationship Type="http://schemas.openxmlformats.org/officeDocument/2006/relationships/worksheet" Target="/xl/worksheets/sheet15.xml" Id="Rec75b8ff01824915" /><Relationship Type="http://schemas.openxmlformats.org/officeDocument/2006/relationships/worksheet" Target="/xl/worksheets/sheet16.xml" Id="R919aad257beb431e" /><Relationship Type="http://schemas.openxmlformats.org/officeDocument/2006/relationships/worksheet" Target="/xl/worksheets/sheet17.xml" Id="R40d9f72508bf4b64" /><Relationship Type="http://schemas.openxmlformats.org/officeDocument/2006/relationships/worksheet" Target="/xl/worksheets/sheet18.xml" Id="R6e1c822fb7d6409d" /><Relationship Type="http://schemas.openxmlformats.org/officeDocument/2006/relationships/worksheet" Target="/xl/worksheets/sheet19.xml" Id="R2c433f4322ab44f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instagram.com/direct/t/108794783849759/" TargetMode="External" Id="R496523cc86c9476c" /><Relationship Type="http://schemas.openxmlformats.org/officeDocument/2006/relationships/hyperlink" Target="https://www.facebook.com/messages/e2ee/t/10062787703752923" TargetMode="External" Id="R78db3c56e30848aa" /><Relationship Type="http://schemas.openxmlformats.org/officeDocument/2006/relationships/hyperlink" Target="https://www.facebook.com/messages/t/1461398485753614" TargetMode="External" Id="Rb68c24242fea4300" /><Relationship Type="http://schemas.openxmlformats.org/officeDocument/2006/relationships/hyperlink" Target="https://www.facebook.com/messages/t/1030606272896364" TargetMode="External" Id="Rd688dae40f2a4a1c" /><Relationship Type="http://schemas.openxmlformats.org/officeDocument/2006/relationships/hyperlink" Target="https://www.facebook.com/messages/t/1692408745417550" TargetMode="External" Id="Red675d22a6c1434b" /><Relationship Type="http://schemas.openxmlformats.org/officeDocument/2006/relationships/hyperlink" Target="https://www.facebook.com/messages/t/1394289495940643" TargetMode="External" Id="Ra97f834cbc7c4d5f" /><Relationship Type="http://schemas.openxmlformats.org/officeDocument/2006/relationships/hyperlink" Target="https://www.facebook.com/messages/t/1270140171729712" TargetMode="External" Id="Rd55d2fe334664b2a" /><Relationship Type="http://schemas.openxmlformats.org/officeDocument/2006/relationships/hyperlink" Target="https://www.facebook.com/messages/t/1483577633454458" TargetMode="External" Id="R4a80f8c902734d2b" /><Relationship Type="http://schemas.openxmlformats.org/officeDocument/2006/relationships/hyperlink" Target="https://www.facebook.com/messages/t/4559617104320045" TargetMode="External" Id="R10e3a15ed3a848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threads.com/messages/t/1201261115556170" TargetMode="External" Id="R2ff387729d964cf8" /><Relationship Type="http://schemas.openxmlformats.org/officeDocument/2006/relationships/hyperlink" Target="https://www.instagram.com/direct/t/17850637805773260/" TargetMode="External" Id="R51aaee8cafd841ab" /><Relationship Type="http://schemas.openxmlformats.org/officeDocument/2006/relationships/hyperlink" Target="https://www.instagram.com/direct/t/100593294675045/" TargetMode="External" Id="R03fdfbe790e84e16" /><Relationship Type="http://schemas.openxmlformats.org/officeDocument/2006/relationships/hyperlink" Target="https://www.instagram.com/direct/t/100491564682244/" TargetMode="External" Id="R5a00d2714c824202" /><Relationship Type="http://schemas.openxmlformats.org/officeDocument/2006/relationships/hyperlink" Target="https://www.instagram.com/direct/t/108794783849759/" TargetMode="External" Id="R314de28da60a48e8" /><Relationship Type="http://schemas.openxmlformats.org/officeDocument/2006/relationships/hyperlink" Target="https://www.instagram.com/direct/t/17846850908803660/" TargetMode="External" Id="Rb1ba826ea0f647f7" /><Relationship Type="http://schemas.openxmlformats.org/officeDocument/2006/relationships/hyperlink" Target="https://www.instagram.com/direct/t/17842893248061229/" TargetMode="External" Id="R3197eac66adf4078" /><Relationship Type="http://schemas.openxmlformats.org/officeDocument/2006/relationships/hyperlink" Target="https://www.instagram.com/direct/t/17842893248061229/" TargetMode="External" Id="R4ccea24f74414e5e" /><Relationship Type="http://schemas.openxmlformats.org/officeDocument/2006/relationships/hyperlink" Target="https://www.instagram.com/direct/t/103627121031669/" TargetMode="External" Id="R49cd9cdd204242ee" /><Relationship Type="http://schemas.openxmlformats.org/officeDocument/2006/relationships/hyperlink" Target="https://www.instagram.com/direct/t/17847233042496197/" TargetMode="External" Id="R7c2d761add1f4084" /><Relationship Type="http://schemas.openxmlformats.org/officeDocument/2006/relationships/hyperlink" Target="https://www.facebook.com/messages/e2ee/t/10062787703752923" TargetMode="External" Id="R657ebdd35fc049a0" /><Relationship Type="http://schemas.openxmlformats.org/officeDocument/2006/relationships/hyperlink" Target="https://www.facebook.com/messages/t/1461398485753614" TargetMode="External" Id="R2c09591a79d34953" /><Relationship Type="http://schemas.openxmlformats.org/officeDocument/2006/relationships/hyperlink" Target="https://www.facebook.com/messages/t/1030606272896364" TargetMode="External" Id="Raa827c6a45064d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www.facebook.com/messages/e2ee/t/823048433557355" TargetMode="External" Id="R58214ac300f34740" /><Relationship Type="http://schemas.openxmlformats.org/officeDocument/2006/relationships/hyperlink" Target="https://www.facebook.com/messages/e2ee/t/1483861429762964" TargetMode="External" Id="R2114ae4cc81c4269" /><Relationship Type="http://schemas.openxmlformats.org/officeDocument/2006/relationships/hyperlink" Target="https://www.facebook.com/messages/e2ee/t/9343656032311242" TargetMode="External" Id="R4c76e438c2df4992" /><Relationship Type="http://schemas.openxmlformats.org/officeDocument/2006/relationships/hyperlink" Target="https://www.instagram.com/direct/t/115448799845404/" TargetMode="External" Id="Rcf4fcacb3cf546cf" /><Relationship Type="http://schemas.openxmlformats.org/officeDocument/2006/relationships/hyperlink" Target="https://www.instagram.com/direct/t/17848411991835978/" TargetMode="External" Id="R6c697f0e999d4c4a" /><Relationship Type="http://schemas.openxmlformats.org/officeDocument/2006/relationships/hyperlink" Target="https://www.instagram.com/direct/t/17849240579757754/" TargetMode="External" Id="R681356cd5f774645" /><Relationship Type="http://schemas.openxmlformats.org/officeDocument/2006/relationships/hyperlink" Target="https://www.facebook.com/messages/e2ee/t/1602862084123387" TargetMode="External" Id="Rcaf093cd88eb4a8b" /><Relationship Type="http://schemas.openxmlformats.org/officeDocument/2006/relationships/hyperlink" Target="https://www.instagram.com/direct/t/110485250343941/" TargetMode="External" Id="R823c70b0cb7d4689" /><Relationship Type="http://schemas.openxmlformats.org/officeDocument/2006/relationships/hyperlink" Target="https://www.facebook.com/messages/e2ee/t/1360414382796805" TargetMode="External" Id="Rda3c652620e3496e" /><Relationship Type="http://schemas.openxmlformats.org/officeDocument/2006/relationships/hyperlink" Target="https://www.facebook.com/messages/e2ee/t/2419972775122024" TargetMode="External" Id="R10647506cede42be" /><Relationship Type="http://schemas.openxmlformats.org/officeDocument/2006/relationships/hyperlink" Target="https://www.facebook.com/messages/e2ee/t/2089100938299867/" TargetMode="External" Id="Rf9f32d1c51314bf9" /><Relationship Type="http://schemas.openxmlformats.org/officeDocument/2006/relationships/hyperlink" Target="https://www.facebook.com/messages/e2ee/t/1470127008003339" TargetMode="External" Id="R15ff2cebb313419e" /><Relationship Type="http://schemas.openxmlformats.org/officeDocument/2006/relationships/hyperlink" Target="https://www.facebook.com/messages/e2ee/t/1501130184767896" TargetMode="External" Id="Rd1d511f38bde4df7" /><Relationship Type="http://schemas.openxmlformats.org/officeDocument/2006/relationships/hyperlink" Target="https://www.instagram.com/direct/t/106996437565205/" TargetMode="External" Id="Rfcf566a379bb40f2" /><Relationship Type="http://schemas.openxmlformats.org/officeDocument/2006/relationships/hyperlink" Target="https://www.instagram.com/direct/t/108794783849759/" TargetMode="External" Id="R4781960f9e664086" /><Relationship Type="http://schemas.openxmlformats.org/officeDocument/2006/relationships/hyperlink" Target="https://www.facebook.com/messages/e2ee/t/1676061780055976/" TargetMode="External" Id="Re270e348c4db467f" /><Relationship Type="http://schemas.openxmlformats.org/officeDocument/2006/relationships/hyperlink" Target="https://www.instagram.com/direct/t/17842302572995320/" TargetMode="External" Id="Rb48b816078d6407b" /><Relationship Type="http://schemas.openxmlformats.org/officeDocument/2006/relationships/hyperlink" Target="https://www.instagram.com/direct/t/17847622218194530/" TargetMode="External" Id="R6a03ce7f6b54470d" /><Relationship Type="http://schemas.openxmlformats.org/officeDocument/2006/relationships/hyperlink" Target="https://www.facebook.com/messages/e2ee/t/8780917572005444" TargetMode="External" Id="R3133fe86831645e7" /><Relationship Type="http://schemas.openxmlformats.org/officeDocument/2006/relationships/hyperlink" Target="https://www.facebook.com/messages/e2ee/t/10062787703752923" TargetMode="External" Id="R16addb01243d42b7" /><Relationship Type="http://schemas.openxmlformats.org/officeDocument/2006/relationships/hyperlink" Target="https://www.facebook.com/messages/e2ee/t/2154376252067307" TargetMode="External" Id="R65bae0de4b7b474a" /><Relationship Type="http://schemas.openxmlformats.org/officeDocument/2006/relationships/hyperlink" Target="https://www.facebook.com/messages/e2ee/t/3986903108267839" TargetMode="External" Id="R5b0a33937d4046c5" /><Relationship Type="http://schemas.openxmlformats.org/officeDocument/2006/relationships/hyperlink" Target="https://www.instagram.com/direct/t/17850637805773260/" TargetMode="External" Id="R6d85a09523984881" /><Relationship Type="http://schemas.openxmlformats.org/officeDocument/2006/relationships/hyperlink" Target="https://www.facebook.com/messages/e2ee/t/1519688006157191" TargetMode="External" Id="R4c613dee63dd45ac" /><Relationship Type="http://schemas.openxmlformats.org/officeDocument/2006/relationships/hyperlink" Target="https://www.facebook.com/messages/e2ee/t/1216822393601009" TargetMode="External" Id="Reeb80d80fcb14e6b" /><Relationship Type="http://schemas.openxmlformats.org/officeDocument/2006/relationships/hyperlink" Target="https://www.instagram.com/direct/t/113588273371599/" TargetMode="External" Id="Ra0bc0c8ebd884d91" /><Relationship Type="http://schemas.openxmlformats.org/officeDocument/2006/relationships/hyperlink" Target="https://www.instagram.com/direct/t/108412750575388/" TargetMode="External" Id="Re46bd1650a4b40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www.facebook.com/messages/e2ee/t/4308925512671487" TargetMode="External" Id="Rf5dd246bc9514012" /><Relationship Type="http://schemas.openxmlformats.org/officeDocument/2006/relationships/hyperlink" Target="https://www.facebook.com/messages/e2ee/t/3054555914717294" TargetMode="External" Id="R30fd023cad5e4cca" /><Relationship Type="http://schemas.openxmlformats.org/officeDocument/2006/relationships/hyperlink" Target="https://www.facebook.com/messages/e2ee/t/1260471142565204" TargetMode="External" Id="Rdc47ef14d50f49d7" /><Relationship Type="http://schemas.openxmlformats.org/officeDocument/2006/relationships/hyperlink" Target="https://www.instagram.com/direct/t/103645007704663/" TargetMode="External" Id="Rb7aa0ba78a774085" /><Relationship Type="http://schemas.openxmlformats.org/officeDocument/2006/relationships/hyperlink" Target="https://www.facebook.com/messages/e2ee/t/1363969592414456" TargetMode="External" Id="R71fcba52cd844898" /><Relationship Type="http://schemas.openxmlformats.org/officeDocument/2006/relationships/hyperlink" Target="https://www.instagram.com/direct/t/115448799845404/" TargetMode="External" Id="R10f4428022a740e0" /><Relationship Type="http://schemas.openxmlformats.org/officeDocument/2006/relationships/hyperlink" Target="https://www.facebook.com/messages/e2ee/t/9909328772412826" TargetMode="External" Id="R7ec49ea4764e4538" /><Relationship Type="http://schemas.openxmlformats.org/officeDocument/2006/relationships/hyperlink" Target="https://www.facebook.com/messages/e2ee/t/8894359367286643" TargetMode="External" Id="Rfcd67a77af5b4138" /><Relationship Type="http://schemas.openxmlformats.org/officeDocument/2006/relationships/hyperlink" Target="https://www.facebook.com/messages/e2ee/t/9581769995188055" TargetMode="External" Id="Rf2a7b2ef0f5143b8" /><Relationship Type="http://schemas.openxmlformats.org/officeDocument/2006/relationships/hyperlink" Target="https://www.instagram.com/direct/t/105212137541452/" TargetMode="External" Id="Rfb27ddd389204ef9" /><Relationship Type="http://schemas.openxmlformats.org/officeDocument/2006/relationships/hyperlink" Target="https://www.instagram.com/direct/t/17842044743751189/" TargetMode="External" Id="R43fac8a690e74ac6" /><Relationship Type="http://schemas.openxmlformats.org/officeDocument/2006/relationships/hyperlink" Target="https://www.facebook.com/messages/e2ee/t/9343656032311242" TargetMode="External" Id="Rf9512c2d572d49df" /><Relationship Type="http://schemas.openxmlformats.org/officeDocument/2006/relationships/hyperlink" Target="https://www.facebook.com/messages/e2ee/t/2060600361362753" TargetMode="External" Id="Ra9850d6096354842" /><Relationship Type="http://schemas.openxmlformats.org/officeDocument/2006/relationships/hyperlink" Target="https://www.instagram.com/direct/t/17845504529635214/" TargetMode="External" Id="R8b52f428ca58467c" /><Relationship Type="http://schemas.openxmlformats.org/officeDocument/2006/relationships/hyperlink" Target="https://www.facebook.com/messages/e2ee/t/910242011526413" TargetMode="External" Id="Rb9e61490d1b74757" /><Relationship Type="http://schemas.openxmlformats.org/officeDocument/2006/relationships/hyperlink" Target="https://www.instagram.com/direct/t/17842140071117647/" TargetMode="External" Id="Rb44946306a984599" /><Relationship Type="http://schemas.openxmlformats.org/officeDocument/2006/relationships/hyperlink" Target="https://www.facebook.com/messages/e2ee/t/699479183101174" TargetMode="External" Id="Re97cc13768e04958" /><Relationship Type="http://schemas.openxmlformats.org/officeDocument/2006/relationships/hyperlink" Target="https://www.facebook.com/messages/e2ee/t/804453785541287" TargetMode="External" Id="R3f90ac1407f74fa4" /><Relationship Type="http://schemas.openxmlformats.org/officeDocument/2006/relationships/hyperlink" Target="https://www.facebook.com/messages/e2ee/t/25491112997197092" TargetMode="External" Id="Rd80ca37720b04445" /><Relationship Type="http://schemas.openxmlformats.org/officeDocument/2006/relationships/hyperlink" Target="https://www.facebook.com/messages/e2ee/t/1406332427942781" TargetMode="External" Id="R6dbfeabcb0e24d7e" /><Relationship Type="http://schemas.openxmlformats.org/officeDocument/2006/relationships/hyperlink" Target="https://www.facebook.com/messages/t/100001692826480" TargetMode="External" Id="Read22cbc5b644b5d" /><Relationship Type="http://schemas.openxmlformats.org/officeDocument/2006/relationships/hyperlink" Target="https://www.facebook.com/messages/e2ee/t/25651695631146994" TargetMode="External" Id="R962f6801bf774747" /><Relationship Type="http://schemas.openxmlformats.org/officeDocument/2006/relationships/hyperlink" Target="https://www.instagram.com/direct/t/17842459148174054/" TargetMode="External" Id="R98b02668d9934b00" /><Relationship Type="http://schemas.openxmlformats.org/officeDocument/2006/relationships/hyperlink" Target="https://www.facebook.com/messages/e2ee/t/2018213822414054" TargetMode="External" Id="R04985800a9534515" /><Relationship Type="http://schemas.openxmlformats.org/officeDocument/2006/relationships/hyperlink" Target="https://www.facebook.com/messages/e2ee/t/2072343779972931" TargetMode="External" Id="R647993492f3e4025" /><Relationship Type="http://schemas.openxmlformats.org/officeDocument/2006/relationships/hyperlink" Target="https://www.instagram.com/direct/t/17842056476360336/" TargetMode="External" Id="R694b5fe56d1649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www.facebook.com/messages/e2ee/t/1283535996317183" TargetMode="External" Id="Rfacc10906c514aa1" /><Relationship Type="http://schemas.openxmlformats.org/officeDocument/2006/relationships/hyperlink" Target="https://www.facebook.com/messages/e2ee/t/1367780918170526" TargetMode="External" Id="Rf384fbb22ff346c3" /><Relationship Type="http://schemas.openxmlformats.org/officeDocument/2006/relationships/hyperlink" Target="https://www.facebook.com/messages/e2ee/t/710282285204255" TargetMode="External" Id="Rb9cf5af6e4154b28" /><Relationship Type="http://schemas.openxmlformats.org/officeDocument/2006/relationships/hyperlink" Target="https://www.facebook.com/messages/e2ee/t/825240636968817" TargetMode="External" Id="Rd1347e3275b84ab5" /><Relationship Type="http://schemas.openxmlformats.org/officeDocument/2006/relationships/hyperlink" Target="https://www.facebook.com/messages/e2ee/t/1530207301441289" TargetMode="External" Id="R20a1b7fc133e4b00" /><Relationship Type="http://schemas.openxmlformats.org/officeDocument/2006/relationships/hyperlink" Target="https://www.facebook.com/messages/e2ee/t/1299571038599696" TargetMode="External" Id="R19206c530333486a" /><Relationship Type="http://schemas.openxmlformats.org/officeDocument/2006/relationships/hyperlink" Target="https://www.instagram.com/direct/t/111722733552492/" TargetMode="External" Id="Rcbcfb7e217cf42f5" /><Relationship Type="http://schemas.openxmlformats.org/officeDocument/2006/relationships/hyperlink" Target="https://www.instagram.com/direct/t/17849933018786962/" TargetMode="External" Id="Rc3d4413ec0954d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www.instagram.com/direct/t/17850271916656352/" TargetMode="External" Id="Re9e24c60a08248ab" /><Relationship Type="http://schemas.openxmlformats.org/officeDocument/2006/relationships/hyperlink" Target="https://www.instagram.com/direct/t/118914189501181/" TargetMode="External" Id="Rbd60a4958a6640d1" /><Relationship Type="http://schemas.openxmlformats.org/officeDocument/2006/relationships/hyperlink" Target="https://www.facebook.com/messages/e2ee/t/822532060411878" TargetMode="External" Id="Rc76a7d9aae334cc1" /><Relationship Type="http://schemas.openxmlformats.org/officeDocument/2006/relationships/hyperlink" Target="https://www.facebook.com/messages/e2ee/t/1280476157217370" TargetMode="External" Id="R2ad03a5dfd954bd0" /><Relationship Type="http://schemas.openxmlformats.org/officeDocument/2006/relationships/hyperlink" Target="https://www.facebook.com/messages/e2ee/t/1307005631194651/" TargetMode="External" Id="Rac4f3562d7c048db" /><Relationship Type="http://schemas.openxmlformats.org/officeDocument/2006/relationships/hyperlink" Target="https://www.facebook.com/messages/e2ee/t/28676048745312688" TargetMode="External" Id="R222f37273d614d91" /><Relationship Type="http://schemas.openxmlformats.org/officeDocument/2006/relationships/hyperlink" Target="https://www.facebook.com/messages/e2ee/t/3429362210535157" TargetMode="External" Id="R4119cc3dec154757" /><Relationship Type="http://schemas.openxmlformats.org/officeDocument/2006/relationships/hyperlink" Target="https://www.instagram.com/direct/t/17843366531172060/" TargetMode="External" Id="Re065dff2db8748fa" /><Relationship Type="http://schemas.openxmlformats.org/officeDocument/2006/relationships/hyperlink" Target="https://www.facebook.com/messages/e2ee/t/1130720889271353" TargetMode="External" Id="Rdbb6c4c0b70844ed" /><Relationship Type="http://schemas.openxmlformats.org/officeDocument/2006/relationships/hyperlink" Target="https://www.facebook.com/messages/e2ee/t/1130720889271353" TargetMode="External" Id="R8b716309439644be" /><Relationship Type="http://schemas.openxmlformats.org/officeDocument/2006/relationships/hyperlink" Target="https://www.instagram.com/direct/t/103427847723371/" TargetMode="External" Id="R81d5ad5a24fe4822" /><Relationship Type="http://schemas.openxmlformats.org/officeDocument/2006/relationships/hyperlink" Target="https://www.facebook.com/messages/e2ee/t/2336182476818629" TargetMode="External" Id="R2565dbe3df1a4130" /><Relationship Type="http://schemas.openxmlformats.org/officeDocument/2006/relationships/hyperlink" Target="https://www.instagram.com/direct/t/120265959366717/" TargetMode="External" Id="R238ad4b016cf4499" /><Relationship Type="http://schemas.openxmlformats.org/officeDocument/2006/relationships/hyperlink" Target="https://www.instagram.com/direct/t/17850361442585787/" TargetMode="External" Id="R959eee01501b4bf8" /><Relationship Type="http://schemas.openxmlformats.org/officeDocument/2006/relationships/hyperlink" Target="https://www.instagram.com/direct/t/107742537312472/" TargetMode="External" Id="R0e21741df8ff4b6e" /><Relationship Type="http://schemas.openxmlformats.org/officeDocument/2006/relationships/hyperlink" Target="https://www.instagram.com/direct/t/119870726066098/" TargetMode="External" Id="Rde927ec22b504a7b" /><Relationship Type="http://schemas.openxmlformats.org/officeDocument/2006/relationships/hyperlink" Target="https://www.instagram.com/direct/t/17844063446711946/" TargetMode="External" Id="R68169b834d704d3d" /><Relationship Type="http://schemas.openxmlformats.org/officeDocument/2006/relationships/hyperlink" Target="https://www.facebook.com/messages/e2ee/t/1554403145696354" TargetMode="External" Id="R03f5d057615644d1" /><Relationship Type="http://schemas.openxmlformats.org/officeDocument/2006/relationships/hyperlink" Target="https://www.facebook.com/messages/e2ee/t/1920716258864522" TargetMode="External" Id="R25d29a8071b247fe" /><Relationship Type="http://schemas.openxmlformats.org/officeDocument/2006/relationships/hyperlink" Target="https://www.instagram.com/direct/t/103211571078866/" TargetMode="External" Id="R3f343f86f7b34c6d" /><Relationship Type="http://schemas.openxmlformats.org/officeDocument/2006/relationships/hyperlink" Target="https://www.instagram.com/direct/t/113587973364237/" TargetMode="External" Id="Rd35a6f7599274ff9" /><Relationship Type="http://schemas.openxmlformats.org/officeDocument/2006/relationships/hyperlink" Target="https://www.instagram.com/direct/t/105020114231948/" TargetMode="External" Id="Rad17326bcb844f69" /><Relationship Type="http://schemas.openxmlformats.org/officeDocument/2006/relationships/hyperlink" Target="https://www.instagram.com/direct/t/111722733552492/" TargetMode="External" Id="Ra5e6f2b598b54715" /><Relationship Type="http://schemas.openxmlformats.org/officeDocument/2006/relationships/hyperlink" Target="https://www.instagram.com/direct/t/17850084458658976/" TargetMode="External" Id="Rc8e9b6cb6fac4df4" /><Relationship Type="http://schemas.openxmlformats.org/officeDocument/2006/relationships/hyperlink" Target="https://www.facebook.com/messages/e2ee/t/2073833413363381" TargetMode="External" Id="R6a446bc09a244ef0" /><Relationship Type="http://schemas.openxmlformats.org/officeDocument/2006/relationships/hyperlink" Target="https://www.facebook.com/messages/e2ee/t/1637417907425262" TargetMode="External" Id="Rae77d34158114604" /><Relationship Type="http://schemas.openxmlformats.org/officeDocument/2006/relationships/hyperlink" Target="https://www.instagram.com/direct/t/112679470127753/" TargetMode="External" Id="Rd26c2769a68a42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https://www.facebook.com/messages/e2ee/t/8780917572005444" TargetMode="External" Id="R3690321c44584f9b" /><Relationship Type="http://schemas.openxmlformats.org/officeDocument/2006/relationships/hyperlink" Target="https://www.facebook.com/messages/e2ee/t/660336380209837" TargetMode="External" Id="R79869e2d06e74a49" /><Relationship Type="http://schemas.openxmlformats.org/officeDocument/2006/relationships/hyperlink" Target="https://www.facebook.com/messages/e2ee/t/1283535996317183" TargetMode="External" Id="Rafa124d0e7c84dd0" /><Relationship Type="http://schemas.openxmlformats.org/officeDocument/2006/relationships/hyperlink" Target="https://www.facebook.com/messages/e2ee/t/9909328772412826" TargetMode="External" Id="Ra08e9c2f771d4275" /><Relationship Type="http://schemas.openxmlformats.org/officeDocument/2006/relationships/hyperlink" Target="https://www.instagram.com/direct/t/17842044743751189/" TargetMode="External" Id="R6a0dd523d9c146e1" /><Relationship Type="http://schemas.openxmlformats.org/officeDocument/2006/relationships/hyperlink" Target="https://www.instagram.com/direct/t/117547216303160/" TargetMode="External" Id="R1c7525d16ef843b7" /><Relationship Type="http://schemas.openxmlformats.org/officeDocument/2006/relationships/hyperlink" Target="https://www.instagram.com/direct/t/115714316492519/" TargetMode="External" Id="Rd37edb02433c49be" /><Relationship Type="http://schemas.openxmlformats.org/officeDocument/2006/relationships/hyperlink" Target="https://www.facebook.com/messages/t/100009264529495" TargetMode="External" Id="R9271d3d7d0d045a9" /><Relationship Type="http://schemas.openxmlformats.org/officeDocument/2006/relationships/hyperlink" Target="https://www.instagram.com/direct/t/107020374028013/" TargetMode="External" Id="R6c5925b471ea4717" /><Relationship Type="http://schemas.openxmlformats.org/officeDocument/2006/relationships/hyperlink" Target="https://www.instagram.com/direct/t/17844063446711946/" TargetMode="External" Id="Rd73f7f963ae744fa" /><Relationship Type="http://schemas.openxmlformats.org/officeDocument/2006/relationships/hyperlink" Target="https://www.facebook.com/messages/e2ee/t/1327927189116009" TargetMode="External" Id="R93c0ba6de6c94e08" /><Relationship Type="http://schemas.openxmlformats.org/officeDocument/2006/relationships/hyperlink" Target="https://www.facebook.com/messages/e2ee/t/823048433557355" TargetMode="External" Id="R4e99b510fbe24281" /><Relationship Type="http://schemas.openxmlformats.org/officeDocument/2006/relationships/hyperlink" Target="https://www.instagram.com/direct/t/17848041362662658/" TargetMode="External" Id="Rfd1718540a8c44be" /><Relationship Type="http://schemas.openxmlformats.org/officeDocument/2006/relationships/hyperlink" Target="https://www.instagram.com/direct/t/111136367189369/" TargetMode="External" Id="R0cbc3aeb7e2f43fc" /><Relationship Type="http://schemas.openxmlformats.org/officeDocument/2006/relationships/hyperlink" Target="https://www.facebook.com/messages/e2ee/t/1130349375415777" TargetMode="External" Id="Re6686c285da14395" /><Relationship Type="http://schemas.openxmlformats.org/officeDocument/2006/relationships/hyperlink" Target="https://www.facebook.com/messages/e2ee/t/1348119223520245" TargetMode="External" Id="Re07d4a84d95c4ad7" /><Relationship Type="http://schemas.openxmlformats.org/officeDocument/2006/relationships/hyperlink" Target="https://www.instagram.com/direct/t/113016506754541/" TargetMode="External" Id="R62ad9b730bf84424" /><Relationship Type="http://schemas.openxmlformats.org/officeDocument/2006/relationships/hyperlink" Target="https://www.facebook.com/messages/e2ee/t/1299571038599696" TargetMode="External" Id="Rb78a6a7b5da04d8d" /><Relationship Type="http://schemas.openxmlformats.org/officeDocument/2006/relationships/hyperlink" Target="https://www.facebook.com/messages/e2ee/t/2571414263241104" TargetMode="External" Id="R87817773ecd54a47" /><Relationship Type="http://schemas.openxmlformats.org/officeDocument/2006/relationships/hyperlink" Target="https://www.facebook.com/messages/e2ee/t/804453785541287" TargetMode="External" Id="Rc5ece721a3974564" /><Relationship Type="http://schemas.openxmlformats.org/officeDocument/2006/relationships/hyperlink" Target="https://www.facebook.com/messages/e2ee/t/855180293689046" TargetMode="External" Id="R8c4f9af2897a48ac" /><Relationship Type="http://schemas.openxmlformats.org/officeDocument/2006/relationships/hyperlink" Target="https://www.facebook.com/messages/t/100004827000454" TargetMode="External" Id="Rbe12264ce198404f" /><Relationship Type="http://schemas.openxmlformats.org/officeDocument/2006/relationships/hyperlink" Target="https://www.facebook.com/messages/e2ee/t/4351619191782258/" TargetMode="External" Id="R3c013e3836cf4418" /><Relationship Type="http://schemas.openxmlformats.org/officeDocument/2006/relationships/hyperlink" Target="https://www.facebook.com/messages/e2ee/t/1530207301441289" TargetMode="External" Id="Reef6b4d257af4754" /><Relationship Type="http://schemas.openxmlformats.org/officeDocument/2006/relationships/hyperlink" Target="https://www.facebook.com/messages/e2ee/t/672848878871663" TargetMode="External" Id="R26d51b4d605641a8" /><Relationship Type="http://schemas.openxmlformats.org/officeDocument/2006/relationships/hyperlink" Target="https://www.instagram.com/direct/t/17849418557785475/" TargetMode="External" Id="R2b9d95edb2724163" /><Relationship Type="http://schemas.openxmlformats.org/officeDocument/2006/relationships/hyperlink" Target="https://www.facebook.com/messages/e2ee/t/1342432783900315" TargetMode="External" Id="R544ecf16b7d84716" /><Relationship Type="http://schemas.openxmlformats.org/officeDocument/2006/relationships/hyperlink" Target="https://www.facebook.com/messages/e2ee/t/2636206163399858" TargetMode="External" Id="Rf5466d30674d4991" /><Relationship Type="http://schemas.openxmlformats.org/officeDocument/2006/relationships/hyperlink" Target="https://www.instagram.com/direct/t/120350046017752/" TargetMode="External" Id="R22ba3e74d7d04174" /><Relationship Type="http://schemas.openxmlformats.org/officeDocument/2006/relationships/hyperlink" Target="https://www.facebook.com/messages/e2ee/t/1562470784757031" TargetMode="External" Id="Rcf550e9e877b4558" /><Relationship Type="http://schemas.openxmlformats.org/officeDocument/2006/relationships/hyperlink" Target="https://www.instagram.com/direct/t/116793403047798/" TargetMode="External" Id="Rb61c7db9ccea45eb" /><Relationship Type="http://schemas.openxmlformats.org/officeDocument/2006/relationships/hyperlink" Target="https://www.facebook.com/messages/e2ee/t/1165043782388256" TargetMode="External" Id="Ra02c575d20c746e2" /><Relationship Type="http://schemas.openxmlformats.org/officeDocument/2006/relationships/hyperlink" Target="https://www.facebook.com/messages/e2ee/t/1468551057585087" TargetMode="External" Id="R6c5e072c9dd64640" /><Relationship Type="http://schemas.openxmlformats.org/officeDocument/2006/relationships/hyperlink" Target="https://www.instagram.com/direct/t/113408363405459/" TargetMode="External" Id="R00bcd6c255784ca6" /><Relationship Type="http://schemas.openxmlformats.org/officeDocument/2006/relationships/hyperlink" Target="https://www.instagram.com/direct/t/17843534679496025/" TargetMode="External" Id="R0168b91da5324580" /><Relationship Type="http://schemas.openxmlformats.org/officeDocument/2006/relationships/hyperlink" Target="https://www.facebook.com/messages/e2ee/t/1132954489025653" TargetMode="External" Id="Ra839fb9d73104e7e" /><Relationship Type="http://schemas.openxmlformats.org/officeDocument/2006/relationships/hyperlink" Target="https://www.facebook.com/messages/e2ee/t/1504883420759092" TargetMode="External" Id="R54f0a20ef13748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https://www.facebook.com/messages/e2ee/t/777531184962720" TargetMode="External" Id="R7ab0d6f8d4dc4cec" /><Relationship Type="http://schemas.openxmlformats.org/officeDocument/2006/relationships/hyperlink" Target="https://www.facebook.com/messages/e2ee/t/1283535996317183" TargetMode="External" Id="R135fa112860846d6" /><Relationship Type="http://schemas.openxmlformats.org/officeDocument/2006/relationships/hyperlink" Target="https://www.facebook.com/messages/e2ee/t/1815898616478355" TargetMode="External" Id="R4f4c94b5eaa8495b" /><Relationship Type="http://schemas.openxmlformats.org/officeDocument/2006/relationships/hyperlink" Target="https://www.facebook.com/messages/e2ee/t/1557979415172064" TargetMode="External" Id="R2c007806255342fe" /><Relationship Type="http://schemas.openxmlformats.org/officeDocument/2006/relationships/hyperlink" Target="https://www.facebook.com/messages/e2ee/t/2004055233464838" TargetMode="External" Id="R658cce5f61484b76" /><Relationship Type="http://schemas.openxmlformats.org/officeDocument/2006/relationships/hyperlink" Target="https://www.facebook.com/messages/e2ee/t/1542469030246828" TargetMode="External" Id="R177b039e3cfb4af1" /><Relationship Type="http://schemas.openxmlformats.org/officeDocument/2006/relationships/hyperlink" Target="https://www.facebook.com/messages/e2ee/t/2303870456735530" TargetMode="External" Id="R6d6eca2e8275422c" /><Relationship Type="http://schemas.openxmlformats.org/officeDocument/2006/relationships/hyperlink" Target="https://www.facebook.com/messages/e2ee/t/771180275510112" TargetMode="External" Id="R4c275d4f2a2849b5" /><Relationship Type="http://schemas.openxmlformats.org/officeDocument/2006/relationships/hyperlink" Target="https://www.facebook.com/messages/e2ee/t/1967853067484302" TargetMode="External" Id="R1cae8ccdc16e4d45" /><Relationship Type="http://schemas.openxmlformats.org/officeDocument/2006/relationships/hyperlink" Target="https://www.facebook.com/messages/e2ee/t/9343656032311242" TargetMode="External" Id="Rac7109a340f24a51" /><Relationship Type="http://schemas.openxmlformats.org/officeDocument/2006/relationships/hyperlink" Target="https://www.facebook.com/messages/e2ee/t/1106550947773397" TargetMode="External" Id="R5befb0bcc63749c3" /><Relationship Type="http://schemas.openxmlformats.org/officeDocument/2006/relationships/hyperlink" Target="https://www.facebook.com/messages/e2ee/t/3333084193495989" TargetMode="External" Id="R54a5109c93464d08" /><Relationship Type="http://schemas.openxmlformats.org/officeDocument/2006/relationships/hyperlink" Target="https://www.facebook.com/messages/t/100009723341917" TargetMode="External" Id="Rae091bd388674253" /><Relationship Type="http://schemas.openxmlformats.org/officeDocument/2006/relationships/hyperlink" Target="https://www.instagram.com/direct/t/113814596675332/" TargetMode="External" Id="Rcc98a904acd74472" /><Relationship Type="http://schemas.openxmlformats.org/officeDocument/2006/relationships/hyperlink" Target="https://www.facebook.com/messages/e2ee/t/1962009474592156" TargetMode="External" Id="R8c26aae2bc8448c6" /><Relationship Type="http://schemas.openxmlformats.org/officeDocument/2006/relationships/hyperlink" Target="https://www.instagram.com/direct/t/17849614451757107/" TargetMode="External" Id="R34bf7a993cac43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hyperlink" Target="https://www.facebook.com/messages/e2ee/t/24111982538433190" TargetMode="External" Id="R32361a80b15b4e3b" /><Relationship Type="http://schemas.openxmlformats.org/officeDocument/2006/relationships/hyperlink" Target="https://www.facebook.com/messages/e2ee/t/24470581495870272" TargetMode="External" Id="Rc681284e52f7482f" /><Relationship Type="http://schemas.openxmlformats.org/officeDocument/2006/relationships/hyperlink" Target="https://www.facebook.com/messages/e2ee/t/24183969284604469" TargetMode="External" Id="Rcc8151d8b98e4e1c" /><Relationship Type="http://schemas.openxmlformats.org/officeDocument/2006/relationships/hyperlink" Target="https://www.instagram.com/direct/t/17851308914752077/" TargetMode="External" Id="Rd89821b2be0a4136" /><Relationship Type="http://schemas.openxmlformats.org/officeDocument/2006/relationships/hyperlink" Target="https://www.facebook.com/messages/e2ee/t/1895707331275621" TargetMode="External" Id="Rb322585fffeb48f1" /><Relationship Type="http://schemas.openxmlformats.org/officeDocument/2006/relationships/hyperlink" Target="https://www.instagram.com/direct/t/115448799845404/" TargetMode="External" Id="Rd1b95e28e741483d" /><Relationship Type="http://schemas.openxmlformats.org/officeDocument/2006/relationships/hyperlink" Target="https://www.facebook.com/messages/e2ee/t/8780917572005444" TargetMode="External" Id="R7ab438579a5f47aa" /><Relationship Type="http://schemas.openxmlformats.org/officeDocument/2006/relationships/hyperlink" Target="https://www.facebook.com/messages/e2ee/t/788928567022538" TargetMode="External" Id="R8b7ae1930f8c4e81" /><Relationship Type="http://schemas.openxmlformats.org/officeDocument/2006/relationships/hyperlink" Target="https://www.facebook.com/messages/e2ee/t/1389292302169054" TargetMode="External" Id="Rce007c3eef66423b" /><Relationship Type="http://schemas.openxmlformats.org/officeDocument/2006/relationships/hyperlink" Target="https://www.instagram.com/direct/t/17843073032705699/" TargetMode="External" Id="Ra001902648f8414f" /><Relationship Type="http://schemas.openxmlformats.org/officeDocument/2006/relationships/hyperlink" Target="https://www.facebook.com/messages/e2ee/t/1924262708362257" TargetMode="External" Id="R82e36710658d4a23" /><Relationship Type="http://schemas.openxmlformats.org/officeDocument/2006/relationships/hyperlink" Target="https://www.facebook.com/messages/e2ee/t/1099796044927917" TargetMode="External" Id="R736c0066939d4340" /><Relationship Type="http://schemas.openxmlformats.org/officeDocument/2006/relationships/hyperlink" Target="https://www.facebook.com/messages/e2ee/t/1285504629686757" TargetMode="External" Id="Rc201a4103e8d4075" /><Relationship Type="http://schemas.openxmlformats.org/officeDocument/2006/relationships/hyperlink" Target="https://www.instagram.com/direct/t/17842042925335599/" TargetMode="External" Id="Rfc65690905fd40c3" /><Relationship Type="http://schemas.openxmlformats.org/officeDocument/2006/relationships/hyperlink" Target="https://www.instagram.com/direct/t/17847387069509001/" TargetMode="External" Id="R8bbf1f02e19a4d62" /><Relationship Type="http://schemas.openxmlformats.org/officeDocument/2006/relationships/hyperlink" Target="https://www.facebook.com/messages/e2ee/t/813866950963137" TargetMode="External" Id="R7fe3e2e00b7c4961" /><Relationship Type="http://schemas.openxmlformats.org/officeDocument/2006/relationships/hyperlink" Target="https://www.facebook.com/messages/e2ee/t/1679991896018485" TargetMode="External" Id="Rbbe2584bf29c4113" /><Relationship Type="http://schemas.openxmlformats.org/officeDocument/2006/relationships/hyperlink" Target="https://www.instagram.com/direct/t/17843558420527857/" TargetMode="External" Id="Rb9da8374b1ba4ca2" /><Relationship Type="http://schemas.openxmlformats.org/officeDocument/2006/relationships/hyperlink" Target="https://www.instagram.com/direct/t/109253397137709/" TargetMode="External" Id="Recceff67c13e42a3" /><Relationship Type="http://schemas.openxmlformats.org/officeDocument/2006/relationships/hyperlink" Target="https://www.facebook.com/messages/e2ee/t/1125972582757391" TargetMode="External" Id="R61c08f5c2bd14673" /><Relationship Type="http://schemas.openxmlformats.org/officeDocument/2006/relationships/hyperlink" Target="https://www.facebook.com/messages/e2ee/t/24222885597337422" TargetMode="External" Id="R26b6bde6d81a455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hyperlink" Target="https://www.facebook.com/messages/t/24270112969258163" TargetMode="External" Id="R36b6f1c769b641ec" /><Relationship Type="http://schemas.openxmlformats.org/officeDocument/2006/relationships/hyperlink" Target="https://www.facebook.com/messages/e2ee/t/30012274418416195" TargetMode="External" Id="R259f3d7d6621475f" /><Relationship Type="http://schemas.openxmlformats.org/officeDocument/2006/relationships/hyperlink" Target="https://www.facebook.com/messages/e2ee/t/24335868662712237" TargetMode="External" Id="Rdc7f60018bf74eea" /><Relationship Type="http://schemas.openxmlformats.org/officeDocument/2006/relationships/hyperlink" Target="https://www.facebook.com/messages/e2ee/t/24142177622085827" TargetMode="External" Id="R98cc6fa7617c4009" /><Relationship Type="http://schemas.openxmlformats.org/officeDocument/2006/relationships/hyperlink" Target="https://www.instagram.com/direct/t/17848038167631656/" TargetMode="External" Id="R71dd9127f1ee4055" /><Relationship Type="http://schemas.openxmlformats.org/officeDocument/2006/relationships/hyperlink" Target="https://www.facebook.com/messages/e2ee/t/24096543949983226" TargetMode="External" Id="Rc8ea6a24829347b8" /><Relationship Type="http://schemas.openxmlformats.org/officeDocument/2006/relationships/hyperlink" Target="https://www.facebook.com/messages/e2ee/t/24303678449238067" TargetMode="External" Id="R4e8f774c347d40fd" /><Relationship Type="http://schemas.openxmlformats.org/officeDocument/2006/relationships/hyperlink" Target="https://www.facebook.com/messages/e2ee/t/30611693911755209" TargetMode="External" Id="Rc795a73fa4444ab1" /><Relationship Type="http://schemas.openxmlformats.org/officeDocument/2006/relationships/hyperlink" Target="https://www.facebook.com/messages/e2ee/t/23871265875888119" TargetMode="External" Id="Rcef5bfc2f6bf42b6" /><Relationship Type="http://schemas.openxmlformats.org/officeDocument/2006/relationships/hyperlink" Target="https://www.instagram.com/direct/t/109749027165825/" TargetMode="External" Id="R777bd6a626cb4df9" /><Relationship Type="http://schemas.openxmlformats.org/officeDocument/2006/relationships/hyperlink" Target="https://www.instagram.com/direct/t/17844294389642107/" TargetMode="External" Id="Rf6d9bbbb031d429e" /><Relationship Type="http://schemas.openxmlformats.org/officeDocument/2006/relationships/hyperlink" Target="https://www.instagram.com/direct/t/104455850947195/" TargetMode="External" Id="R315870c1cae9451d" /><Relationship Type="http://schemas.openxmlformats.org/officeDocument/2006/relationships/hyperlink" Target="https://www.instagram.com/direct/t/111122990283615/" TargetMode="External" Id="R668b5602ef7e4cf3" /><Relationship Type="http://schemas.openxmlformats.org/officeDocument/2006/relationships/hyperlink" Target="https://www.instagram.com/direct/t/101563057905747/" TargetMode="External" Id="R2d344b9e7b3b4fb4" /><Relationship Type="http://schemas.openxmlformats.org/officeDocument/2006/relationships/hyperlink" Target="https://www.instagram.com/direct/t/17847928973816545/" TargetMode="External" Id="Rb43d06c07f9a4889" /><Relationship Type="http://schemas.openxmlformats.org/officeDocument/2006/relationships/hyperlink" Target="https://www.instagram.com/direct/t/17842051736519642/" TargetMode="External" Id="Ra57c21dcceb94ff7" /><Relationship Type="http://schemas.openxmlformats.org/officeDocument/2006/relationships/hyperlink" Target="https://www.facebook.com/messages/e2ee/t/25298276106428139" TargetMode="External" Id="R26aa606c1a6c497a" /><Relationship Type="http://schemas.openxmlformats.org/officeDocument/2006/relationships/hyperlink" Target="https://www.instagram.com/direct/t/115448799845404/" TargetMode="External" Id="Re29527c158594200" /><Relationship Type="http://schemas.openxmlformats.org/officeDocument/2006/relationships/hyperlink" Target="https://www.instagram.com/direct/t/101790937888000/" TargetMode="External" Id="Rddcea43228024633" /><Relationship Type="http://schemas.openxmlformats.org/officeDocument/2006/relationships/hyperlink" Target="https://www.facebook.com/messages/e2ee/t/31041562015435087" TargetMode="External" Id="R4956409bee7c4dad" /><Relationship Type="http://schemas.openxmlformats.org/officeDocument/2006/relationships/hyperlink" Target="https://www.facebook.com/messages/e2ee/t/9984590068335280" TargetMode="External" Id="R572d4b2e4fe0440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hyperlink" Target="https://www.messenger.com/marketplace/t/23926656466919044" TargetMode="External" Id="Radf688c5e067468c" /><Relationship Type="http://schemas.openxmlformats.org/officeDocument/2006/relationships/hyperlink" Target="https://www.messenger.com/marketplace/t/24031812749736920" TargetMode="External" Id="R82469badeee348b3" /><Relationship Type="http://schemas.openxmlformats.org/officeDocument/2006/relationships/hyperlink" Target="https://www.messenger.com/marketplace/t/9304419653014194" TargetMode="External" Id="R3b080bc17a0f4dac" /><Relationship Type="http://schemas.openxmlformats.org/officeDocument/2006/relationships/hyperlink" Target="https://www.instagram.com/direct/t/103740397687443/" TargetMode="External" Id="R4489137447e649df" /><Relationship Type="http://schemas.openxmlformats.org/officeDocument/2006/relationships/hyperlink" Target="https://www.messenger.com/marketplace/t/9304419653014194" TargetMode="External" Id="R8970bd7d9bb747a6" /><Relationship Type="http://schemas.openxmlformats.org/officeDocument/2006/relationships/hyperlink" Target="https://www.messenger.com/marketplace/t/9574049832706431" TargetMode="External" Id="R6d64188c61fe41d2" /><Relationship Type="http://schemas.openxmlformats.org/officeDocument/2006/relationships/hyperlink" Target="https://www.instagram.com/direct/t/119493569437484/" TargetMode="External" Id="Rd39f935cccfe4301" /><Relationship Type="http://schemas.openxmlformats.org/officeDocument/2006/relationships/hyperlink" Target="https://www.instagram.com/direct/t/17843790084430258/" TargetMode="External" Id="R18119e6375b445ec" /><Relationship Type="http://schemas.openxmlformats.org/officeDocument/2006/relationships/hyperlink" Target="https://www.instagram.com/direct/t/17845419677311588/" TargetMode="External" Id="R350f6114411c475f" /><Relationship Type="http://schemas.openxmlformats.org/officeDocument/2006/relationships/hyperlink" Target="https://www.instagram.com/direct/t/17849513462502386/" TargetMode="External" Id="R2e86e5d311154841" /><Relationship Type="http://schemas.openxmlformats.org/officeDocument/2006/relationships/hyperlink" Target="https://www.instagram.com/direct/t/17844285398280666/" TargetMode="External" Id="Rae98ade09af54196" /><Relationship Type="http://schemas.openxmlformats.org/officeDocument/2006/relationships/hyperlink" Target="https://www.instagram.com/direct/t/107644523970728/" TargetMode="External" Id="Re9856efec1ae4a12" /><Relationship Type="http://schemas.openxmlformats.org/officeDocument/2006/relationships/hyperlink" Target="https://www.instagram.com/direct/t/17842314347651401/" TargetMode="External" Id="Rc4610b53eea84599" /><Relationship Type="http://schemas.openxmlformats.org/officeDocument/2006/relationships/hyperlink" Target="https://www.instagram.com/direct/t/17849518673675581/" TargetMode="External" Id="R69ee815a6d584109" /><Relationship Type="http://schemas.openxmlformats.org/officeDocument/2006/relationships/hyperlink" Target="https://www.messenger.com/marketplace/t/9679770122113149" TargetMode="External" Id="R5c164cc200cd483e" /><Relationship Type="http://schemas.openxmlformats.org/officeDocument/2006/relationships/hyperlink" Target="https://www.instagram.com/direct/t/117679856287078/" TargetMode="External" Id="Ra142cb7bfe0043ac" /><Relationship Type="http://schemas.openxmlformats.org/officeDocument/2006/relationships/hyperlink" Target="https://www.instagram.com/direct/t/101396024596881/" TargetMode="External" Id="Rf7724b1376c244d6" /><Relationship Type="http://schemas.openxmlformats.org/officeDocument/2006/relationships/hyperlink" Target="https://www.instagram.com/direct/t/106368780754006/" TargetMode="External" Id="Rc09cf8d70c5f4fac" /><Relationship Type="http://schemas.openxmlformats.org/officeDocument/2006/relationships/hyperlink" Target="https://www.instagram.com/direct/t/119999129389466/" TargetMode="External" Id="Rd08d4816464e437d" /><Relationship Type="http://schemas.openxmlformats.org/officeDocument/2006/relationships/hyperlink" Target="https://www.instagram.com/direct/t/105227564308024/" TargetMode="External" Id="R5593af2cdbe64b2e" /><Relationship Type="http://schemas.openxmlformats.org/officeDocument/2006/relationships/hyperlink" Target="https://www.messenger.com/e2ee/t/9909328772412826" TargetMode="External" Id="R9a7b4d088eed47de" /><Relationship Type="http://schemas.openxmlformats.org/officeDocument/2006/relationships/hyperlink" Target="https://www.messenger.com/marketplace/t/9831782760219730" TargetMode="External" Id="Rc263c06d56754b15" /><Relationship Type="http://schemas.openxmlformats.org/officeDocument/2006/relationships/hyperlink" Target="https://www.messenger.com/e2ee/t/9333428166688094" TargetMode="External" Id="Rcadcacb1065640ab" /><Relationship Type="http://schemas.openxmlformats.org/officeDocument/2006/relationships/hyperlink" Target="https://www.messenger.com/e2ee/t/9221524741276424" TargetMode="External" Id="Ra3d9b4de7c344648" /><Relationship Type="http://schemas.openxmlformats.org/officeDocument/2006/relationships/hyperlink" Target="https://www.messenger.com/e2ee/t/9669156793202168" TargetMode="External" Id="Rb73eafc8dd7d47f8" /><Relationship Type="http://schemas.openxmlformats.org/officeDocument/2006/relationships/hyperlink" Target="https://www.instagram.com/direct/t/105984074258721/" TargetMode="External" Id="R204b0ed879b447d4" /><Relationship Type="http://schemas.openxmlformats.org/officeDocument/2006/relationships/hyperlink" Target="https://www.instagram.com/direct/t/17844791717491500/" TargetMode="External" Id="R4717c975ced3447c" /><Relationship Type="http://schemas.openxmlformats.org/officeDocument/2006/relationships/hyperlink" Target="https://www.messenger.com/marketplace/t/9646160158772343" TargetMode="External" Id="Rc0328c5c14fa44c8" /><Relationship Type="http://schemas.openxmlformats.org/officeDocument/2006/relationships/hyperlink" Target="https://www.messenger.com/e2ee/t/29364157503229024" TargetMode="External" Id="Rddd89c8a83b644e6" /><Relationship Type="http://schemas.openxmlformats.org/officeDocument/2006/relationships/hyperlink" Target="https://www.messenger.com/marketplace/t/9646160158772343" TargetMode="External" Id="R47613faa4fbb41af" /><Relationship Type="http://schemas.openxmlformats.org/officeDocument/2006/relationships/hyperlink" Target="https://www.instagram.com/direct/t/104576217607385/" TargetMode="External" Id="Rd17fdef73af94753" /><Relationship Type="http://schemas.openxmlformats.org/officeDocument/2006/relationships/hyperlink" Target="https://www.messenger.com/marketplace/t/9626421587465755" TargetMode="External" Id="Rda10bf38ff934428" /><Relationship Type="http://schemas.openxmlformats.org/officeDocument/2006/relationships/hyperlink" Target="https://www.instagram.com/direct/t/17844312953279223/" TargetMode="External" Id="R18369da30e484cab" /><Relationship Type="http://schemas.openxmlformats.org/officeDocument/2006/relationships/hyperlink" Target="https://www.instagram.com/direct/t/17842153089192825/" TargetMode="External" Id="R91ccc6d5529f4e2a" /><Relationship Type="http://schemas.openxmlformats.org/officeDocument/2006/relationships/hyperlink" Target="https://www.instagram.com/direct/t/111633823561372/" TargetMode="External" Id="R86d1d82e2c834da2" /><Relationship Type="http://schemas.openxmlformats.org/officeDocument/2006/relationships/hyperlink" Target="https://www.instagram.com/direct/t/115045566559413/" TargetMode="External" Id="R3db44aca78d94422" /><Relationship Type="http://schemas.openxmlformats.org/officeDocument/2006/relationships/hyperlink" Target="https://www.instagram.com/direct/t/101200784613507/" TargetMode="External" Id="R0bd75b71df2541ea" /><Relationship Type="http://schemas.openxmlformats.org/officeDocument/2006/relationships/hyperlink" Target="https://www.instagram.com/direct/t/119553426098426/" TargetMode="External" Id="R97535550a58c49a3" /><Relationship Type="http://schemas.openxmlformats.org/officeDocument/2006/relationships/hyperlink" Target="https://www.messenger.com/marketplace/t/9814225238635625" TargetMode="External" Id="R76f1c40786094635" /><Relationship Type="http://schemas.openxmlformats.org/officeDocument/2006/relationships/hyperlink" Target="https://www.messenger.com/marketplace/t/24389048777362160" TargetMode="External" Id="R6b11697f95ad4863" /><Relationship Type="http://schemas.openxmlformats.org/officeDocument/2006/relationships/hyperlink" Target="https://www.instagram.com/direct/t/109863363736319/" TargetMode="External" Id="R75a531e4ee7e479c" /><Relationship Type="http://schemas.openxmlformats.org/officeDocument/2006/relationships/hyperlink" Target="https://www.instagram.com/direct/t/17843174576912230/" TargetMode="External" Id="R47a78f764fbd4fde" /><Relationship Type="http://schemas.openxmlformats.org/officeDocument/2006/relationships/hyperlink" Target="https://www.instagram.com/direct/t/103289954404159/" TargetMode="External" Id="R02da98223388436f" /><Relationship Type="http://schemas.openxmlformats.org/officeDocument/2006/relationships/hyperlink" Target="https://www.instagram.com/direct/t/102095494526374/" TargetMode="External" Id="Rc205ef16520f4538" /><Relationship Type="http://schemas.openxmlformats.org/officeDocument/2006/relationships/hyperlink" Target="https://www.instagram.com/direct/t/120427606012125/" TargetMode="External" Id="Re223e9f338b84cc6" /><Relationship Type="http://schemas.openxmlformats.org/officeDocument/2006/relationships/hyperlink" Target="https://www.instagram.com/direct/t/105853447483136/" TargetMode="External" Id="R85624dd94a014ca9" /><Relationship Type="http://schemas.openxmlformats.org/officeDocument/2006/relationships/hyperlink" Target="https://www.instagram.com/direct/t/17842181672560493/" TargetMode="External" Id="R0a577adf298345c6" /><Relationship Type="http://schemas.openxmlformats.org/officeDocument/2006/relationships/hyperlink" Target="https://www.instagram.com/direct/t/117402246314028/" TargetMode="External" Id="Rf782dcca463441af" /><Relationship Type="http://schemas.openxmlformats.org/officeDocument/2006/relationships/hyperlink" Target="https://www.instagram.com/direct/t/104799940921441/" TargetMode="External" Id="Rb3445ec216f34f97" /><Relationship Type="http://schemas.openxmlformats.org/officeDocument/2006/relationships/hyperlink" Target="https://www.instagram.com/direct/t/100165288256987/" TargetMode="External" Id="R3f523dfed201433e" /><Relationship Type="http://schemas.openxmlformats.org/officeDocument/2006/relationships/hyperlink" Target="https://www.instagram.com/direct/t/100165288256987/" TargetMode="External" Id="R7bd3714da9404c84" /><Relationship Type="http://schemas.openxmlformats.org/officeDocument/2006/relationships/hyperlink" Target="https://www.instagram.com/direct/t/17850352040678536/" TargetMode="External" Id="R278f6a25531f4c7b" /><Relationship Type="http://schemas.openxmlformats.org/officeDocument/2006/relationships/hyperlink" Target="https://www.instagram.com/direct/t/104785184257078/" TargetMode="External" Id="R02ffb96bc61a45d8" /><Relationship Type="http://schemas.openxmlformats.org/officeDocument/2006/relationships/hyperlink" Target="https://www.messenger.com/marketplace/t/8690102221092517" TargetMode="External" Id="Rb977dd3934844608" /><Relationship Type="http://schemas.openxmlformats.org/officeDocument/2006/relationships/hyperlink" Target="https://www.messenger.com/e2ee/t/9965841446811523" TargetMode="External" Id="R0169a05bac0e4beb" /><Relationship Type="http://schemas.openxmlformats.org/officeDocument/2006/relationships/hyperlink" Target="https://www.messenger.com/e2ee/t/29855267544087111" TargetMode="External" Id="R6e34f5ef1f0c4694" /><Relationship Type="http://schemas.openxmlformats.org/officeDocument/2006/relationships/hyperlink" Target="https://www.instagram.com/direct/t/115841696479311/" TargetMode="External" Id="Rea833146200749e2" /><Relationship Type="http://schemas.openxmlformats.org/officeDocument/2006/relationships/hyperlink" Target="https://www.instagram.com/direct/t/17846132192724581/" TargetMode="External" Id="R6f16bbc7b1654768" /><Relationship Type="http://schemas.openxmlformats.org/officeDocument/2006/relationships/hyperlink" Target="https://www.messenger.com/e2ee/t/9615287218564559" TargetMode="External" Id="R712e530151394314" /><Relationship Type="http://schemas.openxmlformats.org/officeDocument/2006/relationships/hyperlink" Target="https://www.messenger.com/e2ee/t/9197697760335209" TargetMode="External" Id="Rae79747acc8246df" /><Relationship Type="http://schemas.openxmlformats.org/officeDocument/2006/relationships/hyperlink" Target="https://www.instagram.com/direct/t/17845778207586221/" TargetMode="External" Id="R26f54e003a824c64" /><Relationship Type="http://schemas.openxmlformats.org/officeDocument/2006/relationships/hyperlink" Target="https://www.messenger.com/marketplace/t/24959935646929946" TargetMode="External" Id="Rf6cab33d4768401d" /><Relationship Type="http://schemas.openxmlformats.org/officeDocument/2006/relationships/hyperlink" Target="https://www.messenger.com/e2ee/t/9910374195686016" TargetMode="External" Id="Rdcfa41f1d7d34bbb" /><Relationship Type="http://schemas.openxmlformats.org/officeDocument/2006/relationships/hyperlink" Target="https://www.instagram.com/direct/t/113109896754405/" TargetMode="External" Id="R4be9e326fdd24db8" /><Relationship Type="http://schemas.openxmlformats.org/officeDocument/2006/relationships/hyperlink" Target="https://www.messenger.com/e2ee/t/9865450796905569" TargetMode="External" Id="R50a4edcb48fe438a" /><Relationship Type="http://schemas.openxmlformats.org/officeDocument/2006/relationships/hyperlink" Target="https://www.instagram.com/direct/t/17843425040414089/" TargetMode="External" Id="R8f5bd71f04d74e14" /><Relationship Type="http://schemas.openxmlformats.org/officeDocument/2006/relationships/hyperlink" Target="https://www.instagram.com/direct/t/17845546826926324/" TargetMode="External" Id="R76b48baba1a84f89" /><Relationship Type="http://schemas.openxmlformats.org/officeDocument/2006/relationships/hyperlink" Target="https://www.messenger.com/e2ee/t/29608872698704103" TargetMode="External" Id="Rfec26252b86c465d" /><Relationship Type="http://schemas.openxmlformats.org/officeDocument/2006/relationships/hyperlink" Target="https://www.instagram.com/direct/t/114529566607518/" TargetMode="External" Id="Ra36430ecbb454df2" /><Relationship Type="http://schemas.openxmlformats.org/officeDocument/2006/relationships/hyperlink" Target="https://www.messenger.com/t/100004428454557" TargetMode="External" Id="R4602c60bb6ed4370" /><Relationship Type="http://schemas.openxmlformats.org/officeDocument/2006/relationships/hyperlink" Target="https://www.instagram.com/direct/t/17846367467553572/" TargetMode="External" Id="R7ea4496ee7d349cb" /><Relationship Type="http://schemas.openxmlformats.org/officeDocument/2006/relationships/hyperlink" Target="https://www.instagram.com/direct/t/17845461215556574/" TargetMode="External" Id="R632167dc11754fe7" /><Relationship Type="http://schemas.openxmlformats.org/officeDocument/2006/relationships/hyperlink" Target="https://www.instagram.com/direct/t/108053667262145/" TargetMode="External" Id="R85c951286e744430" /><Relationship Type="http://schemas.openxmlformats.org/officeDocument/2006/relationships/hyperlink" Target="https://www.instagram.com/direct/t/118655069525578/" TargetMode="External" Id="Ra6a8ebc6b47848b2" /><Relationship Type="http://schemas.openxmlformats.org/officeDocument/2006/relationships/hyperlink" Target="https://www.messenger.com/e2ee/t/10059407507430206" TargetMode="External" Id="R77b69082c08542cd" /><Relationship Type="http://schemas.openxmlformats.org/officeDocument/2006/relationships/hyperlink" Target="https://www.messenger.com/marketplace/t/9924431127603513" TargetMode="External" Id="R8b3a75687e504b21" /><Relationship Type="http://schemas.openxmlformats.org/officeDocument/2006/relationships/hyperlink" Target="https://www.messenger.com/e2ee/t/29608872698704103" TargetMode="External" Id="R2b598e2334f44f0e" /><Relationship Type="http://schemas.openxmlformats.org/officeDocument/2006/relationships/hyperlink" Target="https://www.messenger.com/e2ee/t/29608872698704103" TargetMode="External" Id="R729c39faa77a4831" /><Relationship Type="http://schemas.openxmlformats.org/officeDocument/2006/relationships/hyperlink" Target="https://www.instagram.com/direct/t/104869907595663/" TargetMode="External" Id="R1570e15fab804b1b" /><Relationship Type="http://schemas.openxmlformats.org/officeDocument/2006/relationships/hyperlink" Target="https://www.instagram.com/direct/t/17848354058927557/" TargetMode="External" Id="R9f1e7be59d5745f1" /><Relationship Type="http://schemas.openxmlformats.org/officeDocument/2006/relationships/hyperlink" Target="https://www.messenger.com/e2ee/t/29608872698704103" TargetMode="External" Id="Radd47d6f878a43b4" /><Relationship Type="http://schemas.openxmlformats.org/officeDocument/2006/relationships/hyperlink" Target="https://www.messenger.com/e2ee/t/9021941271200814" TargetMode="External" Id="R46d05423967c4d8a" /><Relationship Type="http://schemas.openxmlformats.org/officeDocument/2006/relationships/hyperlink" Target="https://www.instagram.com/direct/t/110877843643141/" TargetMode="External" Id="R64544abaa1a74cbc" /><Relationship Type="http://schemas.openxmlformats.org/officeDocument/2006/relationships/hyperlink" Target="https://www.instagram.com/direct/t/17848912151694424/" TargetMode="External" Id="R7384533dcba14d53" /><Relationship Type="http://schemas.openxmlformats.org/officeDocument/2006/relationships/hyperlink" Target="https://www.facebook.com/messages/t/8003234953134238" TargetMode="External" Id="R61941ef915414e53" /><Relationship Type="http://schemas.openxmlformats.org/officeDocument/2006/relationships/hyperlink" Target="https://www.instagram.com/direct/t/104256944446349/" TargetMode="External" Id="R23382ebb875649e1" /><Relationship Type="http://schemas.openxmlformats.org/officeDocument/2006/relationships/hyperlink" Target="https://www.instagram.com/direct/t/17843269346138564/" TargetMode="External" Id="Rdbe75f25b521449d" /><Relationship Type="http://schemas.openxmlformats.org/officeDocument/2006/relationships/hyperlink" Target="https://www.messenger.com/marketplace/t/9716278748462330" TargetMode="External" Id="R45deb2f8cdf64c52" /><Relationship Type="http://schemas.openxmlformats.org/officeDocument/2006/relationships/hyperlink" Target="https://www.instagram.com/direct/t/17843350691519960/" TargetMode="External" Id="Rcd1b693f0f654a43" /><Relationship Type="http://schemas.openxmlformats.org/officeDocument/2006/relationships/hyperlink" Target="https://www.instagram.com/direct/t/17845489898526790/" TargetMode="External" Id="Ra0281cddb8af469f" /><Relationship Type="http://schemas.openxmlformats.org/officeDocument/2006/relationships/hyperlink" Target="https://www.instagram.com/direct/t/118207162903251/" TargetMode="External" Id="R2778a8e819bf4dc5" /><Relationship Type="http://schemas.openxmlformats.org/officeDocument/2006/relationships/hyperlink" Target="https://www.instagram.com/direct/t/123017969090627/" TargetMode="External" Id="R0ad0468530a3437e" /><Relationship Type="http://schemas.openxmlformats.org/officeDocument/2006/relationships/hyperlink" Target="https://www.messenger.com/e2ee/t/10039049306184188" TargetMode="External" Id="R60c3aa49554b4fc7" /><Relationship Type="http://schemas.openxmlformats.org/officeDocument/2006/relationships/hyperlink" Target="https://www.facebook.com/messages/e2ee/t/10008998895823474" TargetMode="External" Id="R2a500590129d44e8" /><Relationship Type="http://schemas.openxmlformats.org/officeDocument/2006/relationships/hyperlink" Target="https://www.facebook.com/messages/e2ee/t/9324707130915449" TargetMode="External" Id="R1f9bc1b6aa4d4e8e" /><Relationship Type="http://schemas.openxmlformats.org/officeDocument/2006/relationships/hyperlink" Target="https://www.instagram.com/direct/t/17845966862677044/" TargetMode="External" Id="R12f4741fcc2747a4" /><Relationship Type="http://schemas.openxmlformats.org/officeDocument/2006/relationships/hyperlink" Target="https://www.instagram.com/direct/t/111099537155768/" TargetMode="External" Id="Rdc3bdce2dfaf49c3" /><Relationship Type="http://schemas.openxmlformats.org/officeDocument/2006/relationships/hyperlink" Target="https://www.instagram.com/direct/t/104713407591686/" TargetMode="External" Id="R9a7c2be5dfee46a6" /><Relationship Type="http://schemas.openxmlformats.org/officeDocument/2006/relationships/hyperlink" Target="https://www.instagram.com/direct/t/17849755571746524/" TargetMode="External" Id="R74c0c14bcfc24e29" /><Relationship Type="http://schemas.openxmlformats.org/officeDocument/2006/relationships/hyperlink" Target="https://www.messenger.com/e2ee/t/29624416190536475" TargetMode="External" Id="Ra5b65f9be7c746b5" /><Relationship Type="http://schemas.openxmlformats.org/officeDocument/2006/relationships/hyperlink" Target="https://www.messenger.com/marketplace/t/9515259691933257" TargetMode="External" Id="R21772541044941d8" /><Relationship Type="http://schemas.openxmlformats.org/officeDocument/2006/relationships/hyperlink" Target="https://www.messenger.com/e2ee/t/24295320953394358" TargetMode="External" Id="Rbf9644d26d0040cd" /><Relationship Type="http://schemas.openxmlformats.org/officeDocument/2006/relationships/hyperlink" Target="https://www.messenger.com/e2ee/t/29608872698704103" TargetMode="External" Id="R20e26313de104d68" /><Relationship Type="http://schemas.openxmlformats.org/officeDocument/2006/relationships/hyperlink" Target="https://www.instagram.com/direct/t/17844696113503240/" TargetMode="External" Id="R76ca0b716a374e45" /><Relationship Type="http://schemas.openxmlformats.org/officeDocument/2006/relationships/hyperlink" Target="https://www.instagram.com/direct/t/104846360914326/" TargetMode="External" Id="Rf1ab7592ed474256" /><Relationship Type="http://schemas.openxmlformats.org/officeDocument/2006/relationships/hyperlink" Target="https://www.messenger.com/e2ee/t/24715979821324074" TargetMode="External" Id="Rb3887f84d0f24eb2" /><Relationship Type="http://schemas.openxmlformats.org/officeDocument/2006/relationships/hyperlink" Target="https://www.messenger.com/e2ee/t/9632922720169268" TargetMode="External" Id="Rf8a85a6ae9194e1c" /><Relationship Type="http://schemas.openxmlformats.org/officeDocument/2006/relationships/hyperlink" Target="https://www.messenger.com/e2ee/t/23962528590008033" TargetMode="External" Id="R37e6f31a24b0490a" /><Relationship Type="http://schemas.openxmlformats.org/officeDocument/2006/relationships/hyperlink" Target="https://www.messenger.com/e2ee/t/29575466102101085" TargetMode="External" Id="R7cc45038481f455d" /><Relationship Type="http://schemas.openxmlformats.org/officeDocument/2006/relationships/hyperlink" Target="https://www.messenger.com/e2ee/t/9722866237768877" TargetMode="External" Id="Rcd3955a9e9334a17" /><Relationship Type="http://schemas.openxmlformats.org/officeDocument/2006/relationships/hyperlink" Target="https://www.instagram.com/direct/t/17842785143590226/" TargetMode="External" Id="R14426f507da94e7b" /><Relationship Type="http://schemas.openxmlformats.org/officeDocument/2006/relationships/hyperlink" Target="https://www.instagram.com/direct/t/17845320131861594/" TargetMode="External" Id="R2e38c5d4c53b4467" /><Relationship Type="http://schemas.openxmlformats.org/officeDocument/2006/relationships/hyperlink" Target="https://www.instagram.com/direct/t/103289954404159/" TargetMode="External" Id="Ra5fb4961da9e4da8" /><Relationship Type="http://schemas.openxmlformats.org/officeDocument/2006/relationships/hyperlink" Target="https://www.instagram.com/direct/t/103289954404159/" TargetMode="External" Id="R32dbf20b549b404b" /><Relationship Type="http://schemas.openxmlformats.org/officeDocument/2006/relationships/hyperlink" Target="https://www.instagram.com/direct/t/103289954404159/" TargetMode="External" Id="R2756cddff1274adb" /><Relationship Type="http://schemas.openxmlformats.org/officeDocument/2006/relationships/hyperlink" Target="https://www.instagram.com/direct/t/104869907595663/" TargetMode="External" Id="R67b340df6ead472c" /><Relationship Type="http://schemas.openxmlformats.org/officeDocument/2006/relationships/hyperlink" Target="https://www.instagram.com/direct/t/104238714492823/" TargetMode="External" Id="Ra343904917224d52" /><Relationship Type="http://schemas.openxmlformats.org/officeDocument/2006/relationships/hyperlink" Target="https://www.messenger.com/t/100022299930903" TargetMode="External" Id="R3dd85dff57a54da4" /><Relationship Type="http://schemas.openxmlformats.org/officeDocument/2006/relationships/hyperlink" Target="https://www.instagram.com/direct/t/106952200829833/" TargetMode="External" Id="Rcbcc375d5244442f" /><Relationship Type="http://schemas.openxmlformats.org/officeDocument/2006/relationships/hyperlink" Target="https://www.instagram.com/direct/t/114140416650709/" TargetMode="External" Id="R020a6cd022644ce8" /><Relationship Type="http://schemas.openxmlformats.org/officeDocument/2006/relationships/hyperlink" Target="https://www.instagram.com/direct/t/17842729493914839/" TargetMode="External" Id="Rbf0a6dd0e8ac44e7" /><Relationship Type="http://schemas.openxmlformats.org/officeDocument/2006/relationships/hyperlink" Target="https://www.instagram.com/direct/t/107998623925732/" TargetMode="External" Id="Rb36b37b0e1224cee" /><Relationship Type="http://schemas.openxmlformats.org/officeDocument/2006/relationships/hyperlink" Target="https://www.instagram.com/direct/t/17843840370095170/" TargetMode="External" Id="R997f9654e7c649c5" /><Relationship Type="http://schemas.openxmlformats.org/officeDocument/2006/relationships/hyperlink" Target="https://www.instagram.com/direct/t/105641174162835/" TargetMode="External" Id="R9e46d5408bae48ce" /><Relationship Type="http://schemas.openxmlformats.org/officeDocument/2006/relationships/hyperlink" Target="https://www.instagram.com/direct/t/17843070854950321/" TargetMode="External" Id="Re38cdb09faf841e6" /><Relationship Type="http://schemas.openxmlformats.org/officeDocument/2006/relationships/hyperlink" Target="https://www.instagram.com/direct/t/17845582512175951/" TargetMode="External" Id="R5e2171c69ebe4849" /><Relationship Type="http://schemas.openxmlformats.org/officeDocument/2006/relationships/hyperlink" Target="https://www.instagram.com/direct/t/119222576136671/" TargetMode="External" Id="R3bd2b022bce14fdd" /><Relationship Type="http://schemas.openxmlformats.org/officeDocument/2006/relationships/hyperlink" Target="https://www.messenger.com/t/100004428454557" TargetMode="External" Id="R3650b9c97843471c" /><Relationship Type="http://schemas.openxmlformats.org/officeDocument/2006/relationships/hyperlink" Target="https://www.instagram.com/direct/t/17844285398280666/" TargetMode="External" Id="Re6cdf4e4bae54e0c" /><Relationship Type="http://schemas.openxmlformats.org/officeDocument/2006/relationships/hyperlink" Target="https://www.messenger.com/e2ee/t/28164991226481034" TargetMode="External" Id="R631d45e168fc4c08" /><Relationship Type="http://schemas.openxmlformats.org/officeDocument/2006/relationships/hyperlink" Target="https://www.messenger.com/e2ee/t/24596366013285663" TargetMode="External" Id="R51c120d07f614321" /><Relationship Type="http://schemas.openxmlformats.org/officeDocument/2006/relationships/hyperlink" Target="https://www.messenger.com/e2ee/t/9466014793508562" TargetMode="External" Id="R00cd873e73374134" /><Relationship Type="http://schemas.openxmlformats.org/officeDocument/2006/relationships/hyperlink" Target="https://www.instagram.com/direct/t/17842502339461449/" TargetMode="External" Id="R466bd9718a3c4e99" /><Relationship Type="http://schemas.openxmlformats.org/officeDocument/2006/relationships/hyperlink" Target="https://www.messenger.com/e2ee/t/9579591538832904" TargetMode="External" Id="R22afee2cb7494754" /><Relationship Type="http://schemas.openxmlformats.org/officeDocument/2006/relationships/hyperlink" Target="https://www.instagram.com/direct/t/17842946627707051/" TargetMode="External" Id="Rf4f412eed40548b2" /><Relationship Type="http://schemas.openxmlformats.org/officeDocument/2006/relationships/hyperlink" Target="https://www.messenger.com/e2ee/t/29114121594898947" TargetMode="External" Id="R4426feb617e04847" /><Relationship Type="http://schemas.openxmlformats.org/officeDocument/2006/relationships/hyperlink" Target="https://www.instagram.com/direct/t/17848354058927557/" TargetMode="External" Id="R92d1cb2834594cdf" /><Relationship Type="http://schemas.openxmlformats.org/officeDocument/2006/relationships/hyperlink" Target="https://www.instagram.com/direct/t/107414933988944/" TargetMode="External" Id="R8609c600ea484f72" /><Relationship Type="http://schemas.openxmlformats.org/officeDocument/2006/relationships/hyperlink" Target="https://www.instagram.com/direct/t/119493569437484/" TargetMode="External" Id="R7b87029aaa944f38" /><Relationship Type="http://schemas.openxmlformats.org/officeDocument/2006/relationships/hyperlink" Target="https://www.messenger.com/e2ee/t/10039049306184188" TargetMode="External" Id="R4f9a8c7b07cd4cc5" /><Relationship Type="http://schemas.openxmlformats.org/officeDocument/2006/relationships/hyperlink" Target="https://www.messenger.com/e2ee/t/9943123575770893" TargetMode="External" Id="R45b2c968c24a464c" /><Relationship Type="http://schemas.openxmlformats.org/officeDocument/2006/relationships/hyperlink" Target="https://www.instagram.com/direct/t/108371203898042/" TargetMode="External" Id="R6459a521b56740ee" /><Relationship Type="http://schemas.openxmlformats.org/officeDocument/2006/relationships/hyperlink" Target="https://www.instagram.com/direct/t/17843917211336129/" TargetMode="External" Id="R7fbd414fc5bc4cda" /><Relationship Type="http://schemas.openxmlformats.org/officeDocument/2006/relationships/hyperlink" Target="https://www.instagram.com/direct/t/102924217776060/" TargetMode="External" Id="R39bbbb9a5d834006" /><Relationship Type="http://schemas.openxmlformats.org/officeDocument/2006/relationships/hyperlink" Target="https://www.instagram.com/direct/t/17842009121227026/" TargetMode="External" Id="R061326730b524763" /><Relationship Type="http://schemas.openxmlformats.org/officeDocument/2006/relationships/hyperlink" Target="https://www.instagram.com/direct/t/110299903816024/" TargetMode="External" Id="R7cbb650c06854e4b" /><Relationship Type="http://schemas.openxmlformats.org/officeDocument/2006/relationships/hyperlink" Target="https://www.messenger.com/e2ee/t/9803770019698878" TargetMode="External" Id="R1055d88b40d8406e" /><Relationship Type="http://schemas.openxmlformats.org/officeDocument/2006/relationships/hyperlink" Target="https://www.instagram.com/direct/t/115841413132870/" TargetMode="External" Id="R999e7837bcb143c8" /><Relationship Type="http://schemas.openxmlformats.org/officeDocument/2006/relationships/hyperlink" Target="https://www.instagram.com/direct/t/17846885957910339/" TargetMode="External" Id="R59675036e8c241e3" /><Relationship Type="http://schemas.openxmlformats.org/officeDocument/2006/relationships/hyperlink" Target="https://www.instagram.com/direct/t/114733359911489/" TargetMode="External" Id="R8b5da07647e2490c" /><Relationship Type="http://schemas.openxmlformats.org/officeDocument/2006/relationships/hyperlink" Target="https://www.instagram.com/direct/t/103406921055973/" TargetMode="External" Id="R8404610f4d7d4953" /><Relationship Type="http://schemas.openxmlformats.org/officeDocument/2006/relationships/hyperlink" Target="https://www.instagram.com/direct/t/17846098466656069/" TargetMode="External" Id="R3682d4699cc64526" /><Relationship Type="http://schemas.openxmlformats.org/officeDocument/2006/relationships/hyperlink" Target="https://www.instagram.com/direct/t/109680270427000/" TargetMode="External" Id="R621e98169e4c4159" /><Relationship Type="http://schemas.openxmlformats.org/officeDocument/2006/relationships/hyperlink" Target="https://www.messenger.com/e2ee/t/9547249328643079" TargetMode="External" Id="R22564b00abe54afa" /><Relationship Type="http://schemas.openxmlformats.org/officeDocument/2006/relationships/hyperlink" Target="https://www.instagram.com/direct/t/17844696113503240/" TargetMode="External" Id="R96b216a54ab146c6" /><Relationship Type="http://schemas.openxmlformats.org/officeDocument/2006/relationships/hyperlink" Target="https://www.instagram.com/direct/t/17845442247107402/" TargetMode="External" Id="R0cefea003e6f4de8" /><Relationship Type="http://schemas.openxmlformats.org/officeDocument/2006/relationships/hyperlink" Target="https://www.messenger.com/e2ee/t/9798438616865500" TargetMode="External" Id="Rfb4f0f893aa44a8a" /><Relationship Type="http://schemas.openxmlformats.org/officeDocument/2006/relationships/hyperlink" Target="https://www.messenger.com/e2ee/t/29682384581404806" TargetMode="External" Id="Refea7b6f7fd74789" /><Relationship Type="http://schemas.openxmlformats.org/officeDocument/2006/relationships/hyperlink" Target="https://www.messenger.com/e2ee/t/10014731541893393" TargetMode="External" Id="R40fa80c4b0514dcc" /><Relationship Type="http://schemas.openxmlformats.org/officeDocument/2006/relationships/hyperlink" Target="https://www.instagram.com/direct/t/115841696479311/" TargetMode="External" Id="Rc438808206604d49" /><Relationship Type="http://schemas.openxmlformats.org/officeDocument/2006/relationships/hyperlink" Target="https://www.instagram.com/direct/t/17844153452308879/" TargetMode="External" Id="R1cbcccba7e24456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hyperlink" Target="https://www.messenger.com/e2ee/t/10062787703752923" TargetMode="External" Id="R2c0cd4bf635c47ee" /><Relationship Type="http://schemas.openxmlformats.org/officeDocument/2006/relationships/hyperlink" Target="https://www.messenger.com/e2ee/t/9354567681337371" TargetMode="External" Id="R94ee3d7443514f45" /><Relationship Type="http://schemas.openxmlformats.org/officeDocument/2006/relationships/hyperlink" Target="https://www.messenger.com/e2ee/t/9715970311757655" TargetMode="External" Id="R9284ec7f17264a76" /><Relationship Type="http://schemas.openxmlformats.org/officeDocument/2006/relationships/hyperlink" Target="https://www.messenger.com/e2ee/t/9498898250221082" TargetMode="External" Id="R67492f86128e44a2" /><Relationship Type="http://schemas.openxmlformats.org/officeDocument/2006/relationships/hyperlink" Target="https://www.messenger.com/e2ee/t/9895575220454631" TargetMode="External" Id="Rfae1d517606648b0" /><Relationship Type="http://schemas.openxmlformats.org/officeDocument/2006/relationships/hyperlink" Target="https://www.instagram.com/direct/t/116007669791458/" TargetMode="External" Id="Rf4eee1dfa5a14d9e" /><Relationship Type="http://schemas.openxmlformats.org/officeDocument/2006/relationships/hyperlink" Target="https://www.instagram.com/direct/t/117529942974970/" TargetMode="External" Id="R22053ca6535d4a62" /><Relationship Type="http://schemas.openxmlformats.org/officeDocument/2006/relationships/hyperlink" Target="https://www.instagram.com/direct/t/17849605565887404/" TargetMode="External" Id="R6afbc5abd1304345" /><Relationship Type="http://schemas.openxmlformats.org/officeDocument/2006/relationships/hyperlink" Target="https://www.instagram.com/direct/t/106713210720865/" TargetMode="External" Id="Rb8e2e3771fa04b6c" /><Relationship Type="http://schemas.openxmlformats.org/officeDocument/2006/relationships/hyperlink" Target="https://www.instagram.com/direct/t/119222156135863/" TargetMode="External" Id="R0955b9affd394434" /><Relationship Type="http://schemas.openxmlformats.org/officeDocument/2006/relationships/hyperlink" Target="https://www.instagram.com/direct/t/117412649641991/" TargetMode="External" Id="R3c03a70aac9346da" /><Relationship Type="http://schemas.openxmlformats.org/officeDocument/2006/relationships/hyperlink" Target="https://www.instagram.com/direct/t/17842016567331774/" TargetMode="External" Id="Rf95f0e07b703481b" /><Relationship Type="http://schemas.openxmlformats.org/officeDocument/2006/relationships/hyperlink" Target="https://www.instagram.com/direct/t/17856851486611358/" TargetMode="External" Id="R1bb8695deb30480d" /><Relationship Type="http://schemas.openxmlformats.org/officeDocument/2006/relationships/hyperlink" Target="https://www.messenger.com/e2ee/t/28866618716315544" TargetMode="External" Id="Rbd15e945acdb4711" /><Relationship Type="http://schemas.openxmlformats.org/officeDocument/2006/relationships/hyperlink" Target="https://www.instagram.com/direct/t/109804893746770/" TargetMode="External" Id="R9d1c2211fcb34aca" /><Relationship Type="http://schemas.openxmlformats.org/officeDocument/2006/relationships/hyperlink" Target="https://www.messenger.com/e2ee/t/24089450293976348" TargetMode="External" Id="Rf1c8413ef3874ad0" /><Relationship Type="http://schemas.openxmlformats.org/officeDocument/2006/relationships/hyperlink" Target="https://www.messenger.com/e2ee/t/9205666042895690" TargetMode="External" Id="Rceda8528335143df" /><Relationship Type="http://schemas.openxmlformats.org/officeDocument/2006/relationships/hyperlink" Target="https://www.messenger.com/e2ee/t/24389351413986642" TargetMode="External" Id="Rac301b3c943448df" /><Relationship Type="http://schemas.openxmlformats.org/officeDocument/2006/relationships/hyperlink" Target="https://www.messenger.com/e2ee/t/9655895324490620" TargetMode="External" Id="Ra656e4bf43c24358" /><Relationship Type="http://schemas.openxmlformats.org/officeDocument/2006/relationships/hyperlink" Target="https://www.instagram.com/direct/t/100556128015484/" TargetMode="External" Id="Rf5f0edcdd89c4d1f" /><Relationship Type="http://schemas.openxmlformats.org/officeDocument/2006/relationships/hyperlink" Target="https://www.instagram.com/direct/t/17843135639618124/" TargetMode="External" Id="Rb1e806a254724d99" /><Relationship Type="http://schemas.openxmlformats.org/officeDocument/2006/relationships/hyperlink" Target="https://www.instagram.com/direct/t/104978034237098/" TargetMode="External" Id="Rabe8b73dd7b24d95" /><Relationship Type="http://schemas.openxmlformats.org/officeDocument/2006/relationships/hyperlink" Target="https://www.messenger.com/e2ee/t/9464854956925343" TargetMode="External" Id="Ra990d73734944c70" /><Relationship Type="http://schemas.openxmlformats.org/officeDocument/2006/relationships/hyperlink" Target="https://www.messenger.com/e2ee/t/9263383003771633" TargetMode="External" Id="Re4e39ec583914b36" /><Relationship Type="http://schemas.openxmlformats.org/officeDocument/2006/relationships/hyperlink" Target="https://www.instagram.com/direct/t/17845957685941684/" TargetMode="External" Id="R04a662b722af464d" /><Relationship Type="http://schemas.openxmlformats.org/officeDocument/2006/relationships/hyperlink" Target="https://www.messenger.com/e2ee/t/9474497739308542" TargetMode="External" Id="Rbec92a7a77bc49ff" /><Relationship Type="http://schemas.openxmlformats.org/officeDocument/2006/relationships/hyperlink" Target="https://www.instagram.com/direct/t/17842289924890294/" TargetMode="External" Id="R8715425994d145d7" /><Relationship Type="http://schemas.openxmlformats.org/officeDocument/2006/relationships/hyperlink" Target="https://www.instagram.com/direct/t/112333213487176/" TargetMode="External" Id="Rafada4911bb94f98" /><Relationship Type="http://schemas.openxmlformats.org/officeDocument/2006/relationships/hyperlink" Target="https://www.instagram.com/direct/t/118420502883782/" TargetMode="External" Id="R753ea544efc8496a" /><Relationship Type="http://schemas.openxmlformats.org/officeDocument/2006/relationships/hyperlink" Target="https://www.instagram.com/direct/t/17844051743986439/" TargetMode="External" Id="R6eb46ad7220f4953" /><Relationship Type="http://schemas.openxmlformats.org/officeDocument/2006/relationships/hyperlink" Target="https://www.instagram.com/direct/t/121111675948377/" TargetMode="External" Id="R8f466c261d354b8b" /><Relationship Type="http://schemas.openxmlformats.org/officeDocument/2006/relationships/hyperlink" Target="https://www.instagram.com/direct/t/17846472521761974/" TargetMode="External" Id="R82a9a8163ee84fd7" /><Relationship Type="http://schemas.openxmlformats.org/officeDocument/2006/relationships/hyperlink" Target="https://www.messenger.com/e2ee/t/9396612150369638" TargetMode="External" Id="R400ef2e8920f4089" /><Relationship Type="http://schemas.openxmlformats.org/officeDocument/2006/relationships/hyperlink" Target="https://www.messenger.com/e2ee/t/9441403409246028" TargetMode="External" Id="Re19aebd303ea454f" /><Relationship Type="http://schemas.openxmlformats.org/officeDocument/2006/relationships/hyperlink" Target="https://www.messenger.com/e2ee/t/9507903055929637" TargetMode="External" Id="R7710c0a39c9a4d62" /><Relationship Type="http://schemas.openxmlformats.org/officeDocument/2006/relationships/hyperlink" Target="https://www.messenger.com/e2ee/t/9327211257389441" TargetMode="External" Id="R90adf8adbb5d4dba" /><Relationship Type="http://schemas.openxmlformats.org/officeDocument/2006/relationships/hyperlink" Target="https://www.messenger.com/marketplace/t/9371383496303644" TargetMode="External" Id="R90891d4d44d94856" /><Relationship Type="http://schemas.openxmlformats.org/officeDocument/2006/relationships/hyperlink" Target="https://www.instagram.com/direct/t/17843425040414089/" TargetMode="External" Id="R94bb95158eee4849" /><Relationship Type="http://schemas.openxmlformats.org/officeDocument/2006/relationships/hyperlink" Target="https://www.instagram.com/direct/t/119656202755219/" TargetMode="External" Id="R6631374c7a364196" /><Relationship Type="http://schemas.openxmlformats.org/officeDocument/2006/relationships/hyperlink" Target="https://www.instagram.com/direct/t/117087086344390/" TargetMode="External" Id="Rb1d00d8a4bf94ce7" /><Relationship Type="http://schemas.openxmlformats.org/officeDocument/2006/relationships/hyperlink" Target="https://www.messenger.com/marketplace/t/9727374370678321" TargetMode="External" Id="Rf4939381a13643e6" /><Relationship Type="http://schemas.openxmlformats.org/officeDocument/2006/relationships/hyperlink" Target="https://www.instagram.com/direct/t/17846454137742662/" TargetMode="External" Id="R4a7d5b311a87455b" /><Relationship Type="http://schemas.openxmlformats.org/officeDocument/2006/relationships/hyperlink" Target="https://www.instagram.com/direct/t/118163862905736/" TargetMode="External" Id="R672c7da5c4584645" /><Relationship Type="http://schemas.openxmlformats.org/officeDocument/2006/relationships/hyperlink" Target="https://www.messenger.com/e2ee/t/29114121594898947" TargetMode="External" Id="R1f9c639a33ea4597" /><Relationship Type="http://schemas.openxmlformats.org/officeDocument/2006/relationships/hyperlink" Target="https://www.messenger.com/e2ee/t/10003392719694642" TargetMode="External" Id="R332cbc5aab3047e8" /><Relationship Type="http://schemas.openxmlformats.org/officeDocument/2006/relationships/hyperlink" Target="https://www.messenger.com/marketplace/t/8298621506929686" TargetMode="External" Id="R5c4dd0aca3514de1" /><Relationship Type="http://schemas.openxmlformats.org/officeDocument/2006/relationships/hyperlink" Target="https://www.messenger.com/marketplace/t/9073489082755630" TargetMode="External" Id="R70f65afd78f849e9" /><Relationship Type="http://schemas.openxmlformats.org/officeDocument/2006/relationships/hyperlink" Target="https://www.instagram.com/direct/t/104450744289488/" TargetMode="External" Id="R5ba8d4bf0dd243cc" /><Relationship Type="http://schemas.openxmlformats.org/officeDocument/2006/relationships/hyperlink" Target="https://www.messenger.com/e2ee/t/9652723651450467" TargetMode="External" Id="R64e0db816ed64000" /><Relationship Type="http://schemas.openxmlformats.org/officeDocument/2006/relationships/hyperlink" Target="https://www.messenger.com/t/9758113270934313/" TargetMode="External" Id="Rfd7f5a3f71ea4dd8" /><Relationship Type="http://schemas.openxmlformats.org/officeDocument/2006/relationships/hyperlink" Target="https://www.messenger.com/marketplace/t/8690102221092517" TargetMode="External" Id="Rd9cc33ee96d1467c" /><Relationship Type="http://schemas.openxmlformats.org/officeDocument/2006/relationships/hyperlink" Target="https://www.instagram.com/direct/t/17843763032420277/" TargetMode="External" Id="Re4ab0e1fedbe4ab7" /><Relationship Type="http://schemas.openxmlformats.org/officeDocument/2006/relationships/hyperlink" Target="https://www.instagram.com/direct/t/101017388105185/" TargetMode="External" Id="R405d8612c1cb4718" /><Relationship Type="http://schemas.openxmlformats.org/officeDocument/2006/relationships/hyperlink" Target="https://www.instagram.com/direct/t/105487274177933/" TargetMode="External" Id="R42a18bc970224ee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hyperlink" Target="https://www.messenger.com/e2ee/t/9221524741276424" TargetMode="External" Id="R2aca75f41b284ec0" /><Relationship Type="http://schemas.openxmlformats.org/officeDocument/2006/relationships/hyperlink" Target="https://www.facebook.com/messages/t/8703570713023465" TargetMode="External" Id="Rf903340dc1854afe" /><Relationship Type="http://schemas.openxmlformats.org/officeDocument/2006/relationships/hyperlink" Target="https://www.instagram.com/direct/t/105841960816331/" TargetMode="External" Id="R9f9cea18ae084c3b" /><Relationship Type="http://schemas.openxmlformats.org/officeDocument/2006/relationships/hyperlink" Target="https://www.messenger.com/e2ee/t/8780917572005444" TargetMode="External" Id="Rc345fa0350c9422a" /><Relationship Type="http://schemas.openxmlformats.org/officeDocument/2006/relationships/hyperlink" Target="https://www.messenger.com/marketplace/t/9709914075725927" TargetMode="External" Id="R8c81a623242b4e7f" /><Relationship Type="http://schemas.openxmlformats.org/officeDocument/2006/relationships/hyperlink" Target="https://www.instagram.com/direct/t/105841960816331/" TargetMode="External" Id="R34d8e63a4576443f" /><Relationship Type="http://schemas.openxmlformats.org/officeDocument/2006/relationships/hyperlink" Target="https://www.instagram.com/direct/t/111342873589680/" TargetMode="External" Id="Rcade445f01814e78" /><Relationship Type="http://schemas.openxmlformats.org/officeDocument/2006/relationships/hyperlink" Target="https://www.instagram.com/direct/t/101437871298135/" TargetMode="External" Id="Ra3097734d11b4bed" /><Relationship Type="http://schemas.openxmlformats.org/officeDocument/2006/relationships/hyperlink" Target="https://www.instagram.com/direct/t/124684378922346/" TargetMode="External" Id="Rc25fd1674530445b" /><Relationship Type="http://schemas.openxmlformats.org/officeDocument/2006/relationships/hyperlink" Target="https://www.instagram.com/direct/t/104978034237098/" TargetMode="External" Id="R99810540f8af48d8" /><Relationship Type="http://schemas.openxmlformats.org/officeDocument/2006/relationships/hyperlink" Target="https://www.instagram.com/direct/t/17847426941607753/" TargetMode="External" Id="Rd880c0b897f34cac" /><Relationship Type="http://schemas.openxmlformats.org/officeDocument/2006/relationships/hyperlink" Target="https://www.instagram.com/direct/t/17843073032705699/" TargetMode="External" Id="R1f21ca2085524773" /><Relationship Type="http://schemas.openxmlformats.org/officeDocument/2006/relationships/hyperlink" Target="https://www.instagram.com/direct/t/105487274177933/" TargetMode="External" Id="R3fb762735b074a71" /><Relationship Type="http://schemas.openxmlformats.org/officeDocument/2006/relationships/hyperlink" Target="https://www.instagram.com/direct/t/118356636222674/" TargetMode="External" Id="Rdbf79271fd204049" /><Relationship Type="http://schemas.openxmlformats.org/officeDocument/2006/relationships/hyperlink" Target="https://www.instagram.com/direct/t/105655510826720/" TargetMode="External" Id="R34cf464f686e4b0b" /><Relationship Type="http://schemas.openxmlformats.org/officeDocument/2006/relationships/hyperlink" Target="https://www.instagram.com/direct/t/17843670665091261/" TargetMode="External" Id="Rbdaeea8eb30e4a27" /><Relationship Type="http://schemas.openxmlformats.org/officeDocument/2006/relationships/hyperlink" Target="https://www.instagram.com/direct/t/116371443082696/" TargetMode="External" Id="Rc67ec7cd373347f0" /><Relationship Type="http://schemas.openxmlformats.org/officeDocument/2006/relationships/hyperlink" Target="https://www.instagram.com/direct/t/104827607582344/" TargetMode="External" Id="R563ed01a46094e12" /><Relationship Type="http://schemas.openxmlformats.org/officeDocument/2006/relationships/hyperlink" Target="https://www.messenger.com/e2ee/t/9343656032311242" TargetMode="External" Id="R1ebce1c200f349d4" /><Relationship Type="http://schemas.openxmlformats.org/officeDocument/2006/relationships/hyperlink" Target="https://www.instagram.com/direct/t/17846129231826991/" TargetMode="External" Id="R49cd97e22b9949a9" /><Relationship Type="http://schemas.openxmlformats.org/officeDocument/2006/relationships/hyperlink" Target="https://www.instagram.com/direct/t/101741564556299/" TargetMode="External" Id="R6d519b053f184f46" /><Relationship Type="http://schemas.openxmlformats.org/officeDocument/2006/relationships/hyperlink" Target="https://www.instagram.com/direct/t/17842246803253713/" TargetMode="External" Id="Rb5246e1a81ea43fc" /><Relationship Type="http://schemas.openxmlformats.org/officeDocument/2006/relationships/hyperlink" Target="https://www.instagram.com/direct/t/103327297729258/" TargetMode="External" Id="Rb9ded83954074608" /><Relationship Type="http://schemas.openxmlformats.org/officeDocument/2006/relationships/hyperlink" Target="https://www.messenger.com/marketplace/t/9421532787885326" TargetMode="External" Id="R087e8d7c5e7246b4" /><Relationship Type="http://schemas.openxmlformats.org/officeDocument/2006/relationships/hyperlink" Target="https://www.instagram.com/direct/t/114923036564993/" TargetMode="External" Id="R5bda913a1b2349d2" /><Relationship Type="http://schemas.openxmlformats.org/officeDocument/2006/relationships/hyperlink" Target="https://www.instagram.com/direct/t/17844107483677885/" TargetMode="External" Id="R7e95883e0d8342a6" /><Relationship Type="http://schemas.openxmlformats.org/officeDocument/2006/relationships/hyperlink" Target="https://www.messenger.com/t/100014759744261" TargetMode="External" Id="R0c5d0ab6a9ff460d" /><Relationship Type="http://schemas.openxmlformats.org/officeDocument/2006/relationships/hyperlink" Target="https://www.instagram.com/direct/t/17842090844400247/" TargetMode="External" Id="R10f69bd02d4d4fc1" /><Relationship Type="http://schemas.openxmlformats.org/officeDocument/2006/relationships/hyperlink" Target="https://www.instagram.com/direct/t/105174844217469/" TargetMode="External" Id="R634390420f1b419a" /><Relationship Type="http://schemas.openxmlformats.org/officeDocument/2006/relationships/hyperlink" Target="https://www.instagram.com/direct/t/117191109665700/" TargetMode="External" Id="Rccae9f5f1a0d4af6" /><Relationship Type="http://schemas.openxmlformats.org/officeDocument/2006/relationships/hyperlink" Target="https://www.messenger.com/t/100012836147911" TargetMode="External" Id="Rc2dd47d6563d473f" /><Relationship Type="http://schemas.openxmlformats.org/officeDocument/2006/relationships/hyperlink" Target="https://www.messenger.com/t/100008212831224" TargetMode="External" Id="Ra0d08059b93948c4" /><Relationship Type="http://schemas.openxmlformats.org/officeDocument/2006/relationships/hyperlink" Target="https://www.messenger.com/t/100007811915343" TargetMode="External" Id="Rb2b6a482831d4bbf" /><Relationship Type="http://schemas.openxmlformats.org/officeDocument/2006/relationships/hyperlink" Target="https://www.instagram.com/direct/t/117087086344390/" TargetMode="External" Id="Rd64bf042094b460d" /><Relationship Type="http://schemas.openxmlformats.org/officeDocument/2006/relationships/hyperlink" Target="https://www.instagram.com/direct/t/107939560603024/" TargetMode="External" Id="R1d00a69d42aa4c27" /><Relationship Type="http://schemas.openxmlformats.org/officeDocument/2006/relationships/hyperlink" Target="https://www.instagram.com/direct/t/17846472521761974/" TargetMode="External" Id="Rc9855a60fd8e4d53" /><Relationship Type="http://schemas.openxmlformats.org/officeDocument/2006/relationships/hyperlink" Target="https://www.messenger.com/marketplace/t/8703570713023465" TargetMode="External" Id="Ra882783f5b6c4486" /><Relationship Type="http://schemas.openxmlformats.org/officeDocument/2006/relationships/hyperlink" Target="https://www.instagram.com/direct/t/17842222514859190/" TargetMode="External" Id="R3a26acd96e0f43a1" /><Relationship Type="http://schemas.openxmlformats.org/officeDocument/2006/relationships/hyperlink" Target="https://www.instagram.com/direct/t/112649550130370/" TargetMode="External" Id="R3c5ed467b90245f3" /><Relationship Type="http://schemas.openxmlformats.org/officeDocument/2006/relationships/hyperlink" Target="https://www.instagram.com/direct/t/17844153452308879/" TargetMode="External" Id="Re5775905d9b444f8" /><Relationship Type="http://schemas.openxmlformats.org/officeDocument/2006/relationships/hyperlink" Target="https://www.messenger.com/e2ee/t/9261899607201527" TargetMode="External" Id="R84696fab86bb40c2" /><Relationship Type="http://schemas.openxmlformats.org/officeDocument/2006/relationships/hyperlink" Target="https://www.instagram.com/direct/t/106430094081477/" TargetMode="External" Id="Ra50439bfc99949ba" /><Relationship Type="http://schemas.openxmlformats.org/officeDocument/2006/relationships/hyperlink" Target="https://www.messenger.com/e2ee/t/8780917572005444" TargetMode="External" Id="R165e4c8e556b4808" /><Relationship Type="http://schemas.openxmlformats.org/officeDocument/2006/relationships/hyperlink" Target="https://www.instagram.com/direct/t/117412649641991/" TargetMode="External" Id="R9ad10ddbee7c4b2e" /><Relationship Type="http://schemas.openxmlformats.org/officeDocument/2006/relationships/hyperlink" Target="https://www.instagram.com/direct/t/107635057304689/" TargetMode="External" Id="R109fd868ae034f5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hyperlink" Target="https://www.instagram.com/direct/t/118253216229250/" TargetMode="External" Id="R8fe407723ee74bd9" /><Relationship Type="http://schemas.openxmlformats.org/officeDocument/2006/relationships/hyperlink" Target="https://www.instagram.com/direct/t/108794783849759/" TargetMode="External" Id="R9f44a67a7f444ba2" /><Relationship Type="http://schemas.openxmlformats.org/officeDocument/2006/relationships/hyperlink" Target="https://www.instagram.com/direct/t/104785184257078/" TargetMode="External" Id="Rc2bcbb684364406c" /><Relationship Type="http://schemas.openxmlformats.org/officeDocument/2006/relationships/hyperlink" Target="https://www.instagram.com/direct/t/103180574419303/" TargetMode="External" Id="R27b7adb1eafd41df" /><Relationship Type="http://schemas.openxmlformats.org/officeDocument/2006/relationships/hyperlink" Target="https://www.instagram.com/direct/t/116012219791559/" TargetMode="External" Id="R6418597e147c461f" /><Relationship Type="http://schemas.openxmlformats.org/officeDocument/2006/relationships/hyperlink" Target="https://www.facebook.com/messages/t/100070624532363" TargetMode="External" Id="R3f4b802dd3e24d6e" /><Relationship Type="http://schemas.openxmlformats.org/officeDocument/2006/relationships/hyperlink" Target="https://www.facebook.com/messages/t/100072770461298" TargetMode="External" Id="R4c92235588254f38" /><Relationship Type="http://schemas.openxmlformats.org/officeDocument/2006/relationships/hyperlink" Target="https://www.instagram.com/direct/t/103740397687443/" TargetMode="External" Id="Rb3020130360a4791" /><Relationship Type="http://schemas.openxmlformats.org/officeDocument/2006/relationships/hyperlink" Target="https://www.instagram.com/direct/t/111403280246812/" TargetMode="External" Id="R11d47834760c42d9" /><Relationship Type="http://schemas.openxmlformats.org/officeDocument/2006/relationships/hyperlink" Target="https://www.instagram.com/direct/t/111686503562933/" TargetMode="External" Id="R6a55c1dc3ad745f5" /><Relationship Type="http://schemas.openxmlformats.org/officeDocument/2006/relationships/hyperlink" Target="https://www.instagram.com/direct/t/112709663454506/" TargetMode="External" Id="R1c8305a07d0a468b" /><Relationship Type="http://schemas.openxmlformats.org/officeDocument/2006/relationships/hyperlink" Target="https://www.facebook.com/messages/t/100013503515213" TargetMode="External" Id="Radfd56b5fbac4c3e" /><Relationship Type="http://schemas.openxmlformats.org/officeDocument/2006/relationships/hyperlink" Target="https://www.instagram.com/direct/t/107530597303936/" TargetMode="External" Id="R8fac2b3e6791435a" /><Relationship Type="http://schemas.openxmlformats.org/officeDocument/2006/relationships/hyperlink" Target="https://www.instagram.com/direct/t/17844328802815078/" TargetMode="External" Id="R764628dba7b54cab" /><Relationship Type="http://schemas.openxmlformats.org/officeDocument/2006/relationships/hyperlink" Target="https://www.facebook.com/messages/t/100005233877779?locale=vi_VN" TargetMode="External" Id="Rd4233bb83c1844ef" /><Relationship Type="http://schemas.openxmlformats.org/officeDocument/2006/relationships/hyperlink" Target="https://www.facebook.com/messages/t/100024213277043?locale=vi_VN" TargetMode="External" Id="R9f92ebb29b934333" /><Relationship Type="http://schemas.openxmlformats.org/officeDocument/2006/relationships/hyperlink" Target="https://www.facebook.com/messages/t/100014126295787?locale=vi_VN" TargetMode="External" Id="Rfd4914754e124f9b" /><Relationship Type="http://schemas.openxmlformats.org/officeDocument/2006/relationships/hyperlink" Target="https://www.facebook.com/messages/t/100025287369688?locale=vi_VN" TargetMode="External" Id="R985471916154441b" /><Relationship Type="http://schemas.openxmlformats.org/officeDocument/2006/relationships/hyperlink" Target="https://www.instagram.com/direct/t/112372720159352/" TargetMode="External" Id="R75fa50621d1b4bae" /><Relationship Type="http://schemas.openxmlformats.org/officeDocument/2006/relationships/hyperlink" Target="https://www.instagram.com/direct/t/17847426941607753/" TargetMode="External" Id="Ra7e5678d73df4451" /><Relationship Type="http://schemas.openxmlformats.org/officeDocument/2006/relationships/hyperlink" Target="https://www.instagram.com/direct/t/108169843912091/" TargetMode="External" Id="R41983099fb49476b" /><Relationship Type="http://schemas.openxmlformats.org/officeDocument/2006/relationships/hyperlink" Target="https://www.instagram.com/direct/t/103271207739334/" TargetMode="External" Id="R34b5698e0d824cb1" /><Relationship Type="http://schemas.openxmlformats.org/officeDocument/2006/relationships/hyperlink" Target="https://www.instagram.com/direct/t/114124663307994/" TargetMode="External" Id="R5249bdd025f64026" /><Relationship Type="http://schemas.openxmlformats.org/officeDocument/2006/relationships/hyperlink" Target="https://www.instagram.com/direct/t/106426187422075/" TargetMode="External" Id="R05b6e976a1404702" /><Relationship Type="http://schemas.openxmlformats.org/officeDocument/2006/relationships/hyperlink" Target="https://www.instagram.com/direct/t/17843074986033610/" TargetMode="External" Id="Rb9908f56a8634ec9" /><Relationship Type="http://schemas.openxmlformats.org/officeDocument/2006/relationships/hyperlink" Target="https://www.facebook.com/messages/t/100084008475340" TargetMode="External" Id="Rdc3a94ab03c0424f" /><Relationship Type="http://schemas.openxmlformats.org/officeDocument/2006/relationships/hyperlink" Target="https://www.facebook.com/messages/t/100041760414258" TargetMode="External" Id="R4f325fead7bb4dd2" /><Relationship Type="http://schemas.openxmlformats.org/officeDocument/2006/relationships/hyperlink" Target="https://www.facebook.com/messages/t/100004070855092/" TargetMode="External" Id="Rc478c2e14d1e4853" /><Relationship Type="http://schemas.openxmlformats.org/officeDocument/2006/relationships/hyperlink" Target="https://www.instagram.com/direct/t/116512346408062/" TargetMode="External" Id="Rf0ab82a058ca42e6" /><Relationship Type="http://schemas.openxmlformats.org/officeDocument/2006/relationships/hyperlink" Target="https://www.facebook.com/messages/e2ee/t/9848753918487277" TargetMode="External" Id="R5d9f3a69ea484b7b" /><Relationship Type="http://schemas.openxmlformats.org/officeDocument/2006/relationships/hyperlink" Target="https://www.facebook.com/messages/t/100006567610649" TargetMode="External" Id="R88e306300c584688" /><Relationship Type="http://schemas.openxmlformats.org/officeDocument/2006/relationships/hyperlink" Target="https://www.instagram.com/direct/t/101200784613507/" TargetMode="External" Id="R93b7781b31f5459f" /><Relationship Type="http://schemas.openxmlformats.org/officeDocument/2006/relationships/hyperlink" Target="https://www.instagram.com/direct/t/102968924438791/" TargetMode="External" Id="Rfeefe5a395a14b93" /><Relationship Type="http://schemas.openxmlformats.org/officeDocument/2006/relationships/hyperlink" Target="https://www.instagram.com/direct/t/104842630917346/" TargetMode="External" Id="Re721897a17704a2c" /><Relationship Type="http://schemas.openxmlformats.org/officeDocument/2006/relationships/hyperlink" Target="https://www.facebook.com/messages/e2ee/t/9000157123413206" TargetMode="External" Id="R52b213e64a474594" /><Relationship Type="http://schemas.openxmlformats.org/officeDocument/2006/relationships/hyperlink" Target="https://www.instagram.com/direct/t/118655069525578/" TargetMode="External" Id="Ra3ab58ec47e848df" /><Relationship Type="http://schemas.openxmlformats.org/officeDocument/2006/relationships/hyperlink" Target="https://www.facebook.com/messages/e2ee/t/8600709903364311" TargetMode="External" Id="R1d8dc32070f24d19" /><Relationship Type="http://schemas.openxmlformats.org/officeDocument/2006/relationships/hyperlink" Target="https://www.facebook.com/messages/t/9410180429004564" TargetMode="External" Id="R119f014a9e43412d" /><Relationship Type="http://schemas.openxmlformats.org/officeDocument/2006/relationships/hyperlink" Target="https://www.instagram.com/direct/t/17849159339622263/" TargetMode="External" Id="R1cfaa64b6b64400c" /><Relationship Type="http://schemas.openxmlformats.org/officeDocument/2006/relationships/hyperlink" Target="https://www.instagram.com/direct/t/115917973137317/" TargetMode="External" Id="Rfaf9c50a72114e7c" /><Relationship Type="http://schemas.openxmlformats.org/officeDocument/2006/relationships/hyperlink" Target="https://www.facebook.com/messages/e2ee/t/9679925028692612" TargetMode="External" Id="R8f94be99e96948c7" /><Relationship Type="http://schemas.openxmlformats.org/officeDocument/2006/relationships/hyperlink" Target="https://www.facebook.com/messages/e2ee/t/28479176721731059" TargetMode="External" Id="R128948bcd3c74eaa" /><Relationship Type="http://schemas.openxmlformats.org/officeDocument/2006/relationships/hyperlink" Target="https://www.instagram.com/direct/t/17842267635058025/" TargetMode="External" Id="Rf0ea055679d54a9b" /><Relationship Type="http://schemas.openxmlformats.org/officeDocument/2006/relationships/hyperlink" Target="https://www.facebook.com/messages/t/100087157986190" TargetMode="External" Id="R838bf7ece5654f8c" /><Relationship Type="http://schemas.openxmlformats.org/officeDocument/2006/relationships/hyperlink" Target="https://www.instagram.com/direct/t/115013216562629/" TargetMode="External" Id="Ra713580e7c9e436a" /><Relationship Type="http://schemas.openxmlformats.org/officeDocument/2006/relationships/hyperlink" Target="https://www.facebook.com/messages/t/100054954180178" TargetMode="External" Id="R0f030657f5c547c4" /><Relationship Type="http://schemas.openxmlformats.org/officeDocument/2006/relationships/hyperlink" Target="https://www.instagram.com/direct/t/123323179057365/" TargetMode="External" Id="R1b4adced3395402e" /><Relationship Type="http://schemas.openxmlformats.org/officeDocument/2006/relationships/hyperlink" Target="https://www.instagram.com/direct/t/17844488855588225/" TargetMode="External" Id="R3f7da791db5145c1" /><Relationship Type="http://schemas.openxmlformats.org/officeDocument/2006/relationships/hyperlink" Target="https://www.instagram.com/direct/t/121904985865127/" TargetMode="External" Id="R3e8c5e0b392c4d13" /><Relationship Type="http://schemas.openxmlformats.org/officeDocument/2006/relationships/hyperlink" Target="https://www.instagram.com/direct/t/106725454243917/" TargetMode="External" Id="R52b779f8c7864c6f" /><Relationship Type="http://schemas.openxmlformats.org/officeDocument/2006/relationships/hyperlink" Target="https://instagram.com/direct/t/100516454686399/" TargetMode="External" Id="R194b5887784d494e" /><Relationship Type="http://schemas.openxmlformats.org/officeDocument/2006/relationships/hyperlink" Target="https://www.instagram.com/direct/t/117412649641991/" TargetMode="External" Id="R6f527a3284994cad" /><Relationship Type="http://schemas.openxmlformats.org/officeDocument/2006/relationships/hyperlink" Target="https://www.messenger.com/e2ee/t/23898448033078759" TargetMode="External" Id="Rd616243514814451" /><Relationship Type="http://schemas.openxmlformats.org/officeDocument/2006/relationships/hyperlink" Target="https://www.messenger.com/e2ee/t/28876167181998927" TargetMode="External" Id="Rc472d8f6a8f64e4c" /><Relationship Type="http://schemas.openxmlformats.org/officeDocument/2006/relationships/hyperlink" Target="https://www.messenger.com/e2ee/t/9345385402208465" TargetMode="External" Id="R15c6a46705d84fed" /><Relationship Type="http://schemas.openxmlformats.org/officeDocument/2006/relationships/hyperlink" Target="https://www.messenger.com/e2ee/t/9154123268039809" TargetMode="External" Id="R008d59448de6442d" /><Relationship Type="http://schemas.openxmlformats.org/officeDocument/2006/relationships/hyperlink" Target="https://www.messenger.com/e2ee/t/28715000481448148" TargetMode="External" Id="Rcc54664b96414521" /><Relationship Type="http://schemas.openxmlformats.org/officeDocument/2006/relationships/hyperlink" Target="https://www.messenger.com/e2ee/t/9305494002861029" TargetMode="External" Id="Rf1fb6a5cd90f4d89" /><Relationship Type="http://schemas.openxmlformats.org/officeDocument/2006/relationships/hyperlink" Target="https://www.messenger.com/e2ee/t/9547249328643079" TargetMode="External" Id="Re984fe7c106e4ea5" /><Relationship Type="http://schemas.openxmlformats.org/officeDocument/2006/relationships/hyperlink" Target="https://www.messenger.com/e2ee/t/9025856294209186" TargetMode="External" Id="Ra6589034c5214e9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hyperlink" Target="https://www.messenger.com/t/100009827619597" TargetMode="External" Id="Rbba16dd4d3ac4cdc" /><Relationship Type="http://schemas.openxmlformats.org/officeDocument/2006/relationships/hyperlink" Target="https://www.messenger.com/marketplace/t/28004675809177840" TargetMode="External" Id="Ref961ae0be124a28" /><Relationship Type="http://schemas.openxmlformats.org/officeDocument/2006/relationships/hyperlink" Target="https://www.instagram.com/direct/t/101200784613507/" TargetMode="External" Id="Rf321cd333e9a4ed4" /><Relationship Type="http://schemas.openxmlformats.org/officeDocument/2006/relationships/hyperlink" Target="https://www.messenger.com/t/100047586721879" TargetMode="External" Id="R55548badd7724ef7" /><Relationship Type="http://schemas.openxmlformats.org/officeDocument/2006/relationships/hyperlink" Target="https://www.messenger.com/marketplace/t/9472273022804976" TargetMode="External" Id="Rc2cb4d8253784449" /><Relationship Type="http://schemas.openxmlformats.org/officeDocument/2006/relationships/hyperlink" Target="https://www.messenger.com/marketplace/t/8282508921848857" TargetMode="External" Id="Rfa75b74ec5aa4339" /><Relationship Type="http://schemas.openxmlformats.org/officeDocument/2006/relationships/hyperlink" Target="https://www.instagram.com/direct/t/103862871016656/" TargetMode="External" Id="Re7921759a85f42cf" /><Relationship Type="http://schemas.openxmlformats.org/officeDocument/2006/relationships/hyperlink" Target="https://www.messenger.com/marketplace/t/9086979308007688" TargetMode="External" Id="Rcd5d4e349fe7417b" /><Relationship Type="http://schemas.openxmlformats.org/officeDocument/2006/relationships/hyperlink" Target="https://www.messenger.com/marketplace/t/9412528635459110" TargetMode="External" Id="Rdafc0303ad9b4578" /><Relationship Type="http://schemas.openxmlformats.org/officeDocument/2006/relationships/hyperlink" Target="https://www.messenger.com/t/100047275630933" TargetMode="External" Id="Re38cf37108a84cc6" /><Relationship Type="http://schemas.openxmlformats.org/officeDocument/2006/relationships/hyperlink" Target="https://www.instagram.com/direct/t/110680693664737/" TargetMode="External" Id="R69852d47ba87485a" /><Relationship Type="http://schemas.openxmlformats.org/officeDocument/2006/relationships/hyperlink" Target="https://www.instagram.com/direct/t/17842870367758603/" TargetMode="External" Id="Rf2fd7759d58d4117" /><Relationship Type="http://schemas.openxmlformats.org/officeDocument/2006/relationships/hyperlink" Target="https://www.instagram.com/direct/t/119383572782539/" TargetMode="External" Id="R190f4e985d744b59" /><Relationship Type="http://schemas.openxmlformats.org/officeDocument/2006/relationships/hyperlink" Target="https://www.messenger.com/marketplace/t/8341425235961909" TargetMode="External" Id="R501316cc4bad4d39" /><Relationship Type="http://schemas.openxmlformats.org/officeDocument/2006/relationships/hyperlink" Target="https://www.messenger.com/t/100010190734337" TargetMode="External" Id="Rd5c65d99d47040b5" /><Relationship Type="http://schemas.openxmlformats.org/officeDocument/2006/relationships/hyperlink" Target="https://www.messenger.com/e2ee/t/9021941271200814" TargetMode="External" Id="R1100733cf55c4cc4" /><Relationship Type="http://schemas.openxmlformats.org/officeDocument/2006/relationships/hyperlink" Target="https://www.instagram.com/direct/t/17847328913802923/" TargetMode="External" Id="R85bfd8a04c464036" /><Relationship Type="http://schemas.openxmlformats.org/officeDocument/2006/relationships/hyperlink" Target="https://www.messenger.com/t/100016682658217" TargetMode="External" Id="R7077562a0d174c28" /><Relationship Type="http://schemas.openxmlformats.org/officeDocument/2006/relationships/hyperlink" Target="https://www.messenger.com/marketplace/t/8998658316895486" TargetMode="External" Id="R400239affde94520" /><Relationship Type="http://schemas.openxmlformats.org/officeDocument/2006/relationships/hyperlink" Target="https://www.messenger.com/t/100003533265950" TargetMode="External" Id="R7ca22d1fc2384b6c" /><Relationship Type="http://schemas.openxmlformats.org/officeDocument/2006/relationships/hyperlink" Target="https://www.messenger.com/t/100011485172748" TargetMode="External" Id="Re3c37ec069e44124" /><Relationship Type="http://schemas.openxmlformats.org/officeDocument/2006/relationships/hyperlink" Target="https://www.messenger.com/t/100008784677096" TargetMode="External" Id="R2ca656dd49654a39" /><Relationship Type="http://schemas.openxmlformats.org/officeDocument/2006/relationships/hyperlink" Target="https://www.messenger.com/marketplace/t/8781123925315854" TargetMode="External" Id="Red77e7c0c0114ace" /><Relationship Type="http://schemas.openxmlformats.org/officeDocument/2006/relationships/hyperlink" Target="https://www.messenger.com/marketplace/t/9172960876101662" TargetMode="External" Id="Rceb45bc2ff8e43a4" /><Relationship Type="http://schemas.openxmlformats.org/officeDocument/2006/relationships/hyperlink" Target="https://www.instagram.com/direct/t/100556128015484/" TargetMode="External" Id="Ra8304f8756d24afd" /><Relationship Type="http://schemas.openxmlformats.org/officeDocument/2006/relationships/hyperlink" Target="https://www.messenger.com/t/100074432654925" TargetMode="External" Id="Ra2ebf046c1c34f94" /><Relationship Type="http://schemas.openxmlformats.org/officeDocument/2006/relationships/hyperlink" Target="https://www.messenger.com/t/100008252984402" TargetMode="External" Id="Re80394c8254f4728" /><Relationship Type="http://schemas.openxmlformats.org/officeDocument/2006/relationships/hyperlink" Target="https://www.messenger.com/marketplace/t/8754383974611526" TargetMode="External" Id="R313c86ebee574e42" /><Relationship Type="http://schemas.openxmlformats.org/officeDocument/2006/relationships/hyperlink" Target="https://www.messenger.com/t/100016682658217" TargetMode="External" Id="R0673783199464bb7" /><Relationship Type="http://schemas.openxmlformats.org/officeDocument/2006/relationships/hyperlink" Target="https://www.messenger.com/t/100069170357119" TargetMode="External" Id="R36e6974f42b641a3" /><Relationship Type="http://schemas.openxmlformats.org/officeDocument/2006/relationships/hyperlink" Target="https://www.messenger.com/marketplace/t/9300575443336674" TargetMode="External" Id="R699c17b592de4aa8" /><Relationship Type="http://schemas.openxmlformats.org/officeDocument/2006/relationships/hyperlink" Target="https://www.messenger.com/marketplace/t/9017690408312745" TargetMode="External" Id="R9a42f24d18cc4c77" /><Relationship Type="http://schemas.openxmlformats.org/officeDocument/2006/relationships/hyperlink" Target="https://www.messenger.com/e2ee/t/9131607726878782" TargetMode="External" Id="Rf270af1f2c1c4487" /><Relationship Type="http://schemas.openxmlformats.org/officeDocument/2006/relationships/hyperlink" Target="https://www.messenger.com/t/100052484478039" TargetMode="External" Id="R60d6582afe3546e1" /><Relationship Type="http://schemas.openxmlformats.org/officeDocument/2006/relationships/hyperlink" Target="https://www.messenger.com/t/100020274726059" TargetMode="External" Id="Ra5e83d219d864519" /><Relationship Type="http://schemas.openxmlformats.org/officeDocument/2006/relationships/hyperlink" Target="https://www.messenger.com/t/100012332134573" TargetMode="External" Id="R6b0ee901a21e4b57" /><Relationship Type="http://schemas.openxmlformats.org/officeDocument/2006/relationships/hyperlink" Target="https://www.instagram.com/direct/t/122647435792746/" TargetMode="External" Id="Ra2c55c91f0bb48ec" /><Relationship Type="http://schemas.openxmlformats.org/officeDocument/2006/relationships/hyperlink" Target="https://www.messenger.com/marketplace/t/9162063763832128" TargetMode="External" Id="R0398b630fa9c4273" /><Relationship Type="http://schemas.openxmlformats.org/officeDocument/2006/relationships/hyperlink" Target="https://www.messenger.com/t/100034315690910" TargetMode="External" Id="R49599b96e65f4daf" /><Relationship Type="http://schemas.openxmlformats.org/officeDocument/2006/relationships/hyperlink" Target="https://www.messenger.com/marketplace/t/8965017676880825" TargetMode="External" Id="R7d5386339ff940bf" /><Relationship Type="http://schemas.openxmlformats.org/officeDocument/2006/relationships/hyperlink" Target="https://www.messenger.com/marketplace/t/8828140273907147" TargetMode="External" Id="R0c8862407da94282" /><Relationship Type="http://schemas.openxmlformats.org/officeDocument/2006/relationships/hyperlink" Target="https://www.messenger.com/t/100056884267415" TargetMode="External" Id="R9f320d7fddc04c31" /><Relationship Type="http://schemas.openxmlformats.org/officeDocument/2006/relationships/hyperlink" Target="https://www.instagram.com/direct/t/107026327356278/" TargetMode="External" Id="Ra20ba4c6d75f4647" /><Relationship Type="http://schemas.openxmlformats.org/officeDocument/2006/relationships/hyperlink" Target="https://www.messenger.com/t/100003107486150" TargetMode="External" Id="R4b668ef2bff04cfc" /><Relationship Type="http://schemas.openxmlformats.org/officeDocument/2006/relationships/hyperlink" Target="https://www.messenger.com/t/100027399909076" TargetMode="External" Id="R304da8fb17804883" /><Relationship Type="http://schemas.openxmlformats.org/officeDocument/2006/relationships/hyperlink" Target="https://www.messenger.com/t/100050583130575" TargetMode="External" Id="R408acd775f8946e3" /><Relationship Type="http://schemas.openxmlformats.org/officeDocument/2006/relationships/hyperlink" Target="https://www.messenger.com/t/100050583130575" TargetMode="External" Id="R81b681272c004b54" /><Relationship Type="http://schemas.openxmlformats.org/officeDocument/2006/relationships/hyperlink" Target="https://www.instagram.com/direct/t/17843905724464162/" TargetMode="External" Id="R84f7283236954b2f" /><Relationship Type="http://schemas.openxmlformats.org/officeDocument/2006/relationships/hyperlink" Target="https://www.messenger.com/t/100017522616800" TargetMode="External" Id="R3e856c711142451b" /><Relationship Type="http://schemas.openxmlformats.org/officeDocument/2006/relationships/hyperlink" Target="https://www.messenger.com/t/100069161615080" TargetMode="External" Id="Rd3dd6539b7c5489c" /><Relationship Type="http://schemas.openxmlformats.org/officeDocument/2006/relationships/hyperlink" Target="https://www.instagram.com/direct/t/17846885957910339/" TargetMode="External" Id="R251f4e8886394e9a" /><Relationship Type="http://schemas.openxmlformats.org/officeDocument/2006/relationships/hyperlink" Target="https://www.messenger.com/t/100038901171471" TargetMode="External" Id="Rc286bfaa2b6f4ccb" /><Relationship Type="http://schemas.openxmlformats.org/officeDocument/2006/relationships/hyperlink" Target="https://www.instagram.com/direct/t/17847478110292383/" TargetMode="External" Id="Rf966e18fd8eb4dfc" /><Relationship Type="http://schemas.openxmlformats.org/officeDocument/2006/relationships/hyperlink" Target="https://www.messenger.com/t/100036680778664" TargetMode="External" Id="R980121a152094b00" /><Relationship Type="http://schemas.openxmlformats.org/officeDocument/2006/relationships/hyperlink" Target="https://www.messenger.com/marketplace/t/8772408159555111" TargetMode="External" Id="Rd51bb5d7d10f4c09" /><Relationship Type="http://schemas.openxmlformats.org/officeDocument/2006/relationships/hyperlink" Target="https://www.messenger.com/t/100059715373163" TargetMode="External" Id="R793730102e484344" /><Relationship Type="http://schemas.openxmlformats.org/officeDocument/2006/relationships/hyperlink" Target="https://www.messenger.com/t/100022927633213" TargetMode="External" Id="Rc514f6d7769e4899" /><Relationship Type="http://schemas.openxmlformats.org/officeDocument/2006/relationships/hyperlink" Target="https://www.instagram.com/direct/t/119999129389466/" TargetMode="External" Id="Re1841820c4144b42" /><Relationship Type="http://schemas.openxmlformats.org/officeDocument/2006/relationships/hyperlink" Target="https://www.messenger.com/t/100025504323238" TargetMode="External" Id="R2e59ebb0bc5a4c32" /><Relationship Type="http://schemas.openxmlformats.org/officeDocument/2006/relationships/hyperlink" Target="https://www.instagram.com/direct/t/17843391335436951/" TargetMode="External" Id="R36c86b357f384036" /><Relationship Type="http://schemas.openxmlformats.org/officeDocument/2006/relationships/hyperlink" Target="https://www.messenger.com/t/100014710380515" TargetMode="External" Id="R718fd97cd91644f7" /><Relationship Type="http://schemas.openxmlformats.org/officeDocument/2006/relationships/hyperlink" Target="https://www.messenger.com/t/100063645662763" TargetMode="External" Id="Rafbe376ccaf5453c" /><Relationship Type="http://schemas.openxmlformats.org/officeDocument/2006/relationships/hyperlink" Target="https://www.messenger.com/t/100005054289805" TargetMode="External" Id="R237505233eb34e0f" /><Relationship Type="http://schemas.openxmlformats.org/officeDocument/2006/relationships/hyperlink" Target="https://www.messenger.com/marketplace/t/9868463113182437" TargetMode="External" Id="R5ebf37d623b34ff9" /><Relationship Type="http://schemas.openxmlformats.org/officeDocument/2006/relationships/hyperlink" Target="https://www.instagram.com/direct/t/17843425040414089/" TargetMode="External" Id="R47d0e635e4324c76" /><Relationship Type="http://schemas.openxmlformats.org/officeDocument/2006/relationships/hyperlink" Target="https://www.facebook.com/messages/t/8895628423878564" TargetMode="External" Id="Rfc1834a95da141ee" /><Relationship Type="http://schemas.openxmlformats.org/officeDocument/2006/relationships/hyperlink" Target="https://www.messenger.com/t/100030272572513" TargetMode="External" Id="R082cfa61969b4e62" /><Relationship Type="http://schemas.openxmlformats.org/officeDocument/2006/relationships/hyperlink" Target="https://www.instagram.com/direct/t/115179376532848/" TargetMode="External" Id="R4b7e1ffb8e984520" /><Relationship Type="http://schemas.openxmlformats.org/officeDocument/2006/relationships/hyperlink" Target="https://www.messenger.com/t/100002776899843" TargetMode="External" Id="Rb4cc794189cc4535" /><Relationship Type="http://schemas.openxmlformats.org/officeDocument/2006/relationships/hyperlink" Target="https://www.facebook.com/messages/t/100006071193659" TargetMode="External" Id="Rd9e3dcbb45ec4a6a" /><Relationship Type="http://schemas.openxmlformats.org/officeDocument/2006/relationships/hyperlink" Target="https://www.facebook.com/messages/t/8649482368512026" TargetMode="External" Id="R2ff9534f089a409e" /><Relationship Type="http://schemas.openxmlformats.org/officeDocument/2006/relationships/hyperlink" Target="https://www.instagram.com/direct/t/17843538984271979/" TargetMode="External" Id="R0cfcfce1ade54e70" /><Relationship Type="http://schemas.openxmlformats.org/officeDocument/2006/relationships/hyperlink" Target="https://www.instagram.com/direct/t/101693151227984/" TargetMode="External" Id="R13e07bdc53864363" /><Relationship Type="http://schemas.openxmlformats.org/officeDocument/2006/relationships/hyperlink" Target="https://www.instagram.com/direct/t/107026327356278/" TargetMode="External" Id="R58e7325e8a904284" /><Relationship Type="http://schemas.openxmlformats.org/officeDocument/2006/relationships/hyperlink" Target="https://www.facebook.com/messages/t/100050066464655" TargetMode="External" Id="R203ca924bf674f9f" /><Relationship Type="http://schemas.openxmlformats.org/officeDocument/2006/relationships/hyperlink" Target="https://www.instagram.com/direct/t/17845122869514416/" TargetMode="External" Id="R3776221db53e4af4" /><Relationship Type="http://schemas.openxmlformats.org/officeDocument/2006/relationships/hyperlink" Target="https://www.facebook.com/messages/t/100081457541821/" TargetMode="External" Id="Rb219981079ee4ec4" /><Relationship Type="http://schemas.openxmlformats.org/officeDocument/2006/relationships/hyperlink" Target="https://www.facebook.com/messages/t/9405404146193394" TargetMode="External" Id="Raa1c30dea9194672" /><Relationship Type="http://schemas.openxmlformats.org/officeDocument/2006/relationships/hyperlink" Target="https://www.instagram.com/direct/t/103180574419303/" TargetMode="External" Id="Rdf39fa563db54441" /><Relationship Type="http://schemas.openxmlformats.org/officeDocument/2006/relationships/hyperlink" Target="https://www.instagram.com/direct/t/17848664537602372/" TargetMode="External" Id="Ra8f9d4db4381412e" /><Relationship Type="http://schemas.openxmlformats.org/officeDocument/2006/relationships/hyperlink" Target="https://www.instagram.com/direct/t/110852293644080/" TargetMode="External" Id="Rbdeb5c8a0d6d47b8" /><Relationship Type="http://schemas.openxmlformats.org/officeDocument/2006/relationships/hyperlink" Target="https://www.instagram.com/direct/t/105869690809096/" TargetMode="External" Id="R2c56f2ce71ff4546" /><Relationship Type="http://schemas.openxmlformats.org/officeDocument/2006/relationships/hyperlink" Target="https://www.instagram.com/direct/t/17842124201154832/" TargetMode="External" Id="R68b1e6be11584c4f" /><Relationship Type="http://schemas.openxmlformats.org/officeDocument/2006/relationships/hyperlink" Target="https://www.instagram.com/direct/t/17848388744628034/" TargetMode="External" Id="R184dfbf9debb4a74" /><Relationship Type="http://schemas.openxmlformats.org/officeDocument/2006/relationships/hyperlink" Target="https://www.messenger.com/marketplace/t/9253160608048552" TargetMode="External" Id="Rff9bdd834cba4e8d" /><Relationship Type="http://schemas.openxmlformats.org/officeDocument/2006/relationships/hyperlink" Target="https://www.instagram.com/direct/t/17843478881895434/" TargetMode="External" Id="Rf71ebc5b42d441f8" /><Relationship Type="http://schemas.openxmlformats.org/officeDocument/2006/relationships/hyperlink" Target="https://www.messenger.com/t/100045865284257" TargetMode="External" Id="R2692236172ac4bf8" /><Relationship Type="http://schemas.openxmlformats.org/officeDocument/2006/relationships/hyperlink" Target="https://www.messenger.com/e2ee/t/8733609650082639" TargetMode="External" Id="Rc0d1490ba25843cc" /><Relationship Type="http://schemas.openxmlformats.org/officeDocument/2006/relationships/hyperlink" Target="https://www.messenger.com/marketplace/t/8746631152130645" TargetMode="External" Id="Rd96f4e3d872e47b1" /><Relationship Type="http://schemas.openxmlformats.org/officeDocument/2006/relationships/hyperlink" Target="https://www.instagram.com/direct/t/110239867037633/" TargetMode="External" Id="R00c9d2bc51ec447b" /><Relationship Type="http://schemas.openxmlformats.org/officeDocument/2006/relationships/hyperlink" Target="https://www.instagram.com/direct/t/17846831420480586/" TargetMode="External" Id="R5d13b3119e8a4877" /><Relationship Type="http://schemas.openxmlformats.org/officeDocument/2006/relationships/hyperlink" Target="https://www.facebook.com/messages/t/100054594387044" TargetMode="External" Id="Rf616b09d76f54a2a" /><Relationship Type="http://schemas.openxmlformats.org/officeDocument/2006/relationships/hyperlink" Target="https://www.instagram.com/direct/t/17842174674401333/" TargetMode="External" Id="Rad551c8540b14dbb" /><Relationship Type="http://schemas.openxmlformats.org/officeDocument/2006/relationships/hyperlink" Target="https://www.instagram.com/direct/t/101091021287340/" TargetMode="External" Id="R95af40ef809e4889" /><Relationship Type="http://schemas.openxmlformats.org/officeDocument/2006/relationships/hyperlink" Target="https://www.messenger.com/e2ee/t/27687115360936607" TargetMode="External" Id="R7ce2aca5856d496f" /><Relationship Type="http://schemas.openxmlformats.org/officeDocument/2006/relationships/hyperlink" Target="https://www.messenger.com/t/100026327464583" TargetMode="External" Id="Rebfbc1fb60f944c3" /><Relationship Type="http://schemas.openxmlformats.org/officeDocument/2006/relationships/hyperlink" Target="https://www.messenger.com/e2ee/t/8945996448827102" TargetMode="External" Id="R249258694d984652" /><Relationship Type="http://schemas.openxmlformats.org/officeDocument/2006/relationships/hyperlink" Target="https://www.instagram.com/direct/t/106430094081477/" TargetMode="External" Id="Rc77d4280448c40e3" /><Relationship Type="http://schemas.openxmlformats.org/officeDocument/2006/relationships/hyperlink" Target="https://www.messenger.com/e2ee/t/8689038357892124" TargetMode="External" Id="Re621c6a0dcec411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hyperlink" Target="https://www.facebook.com/messages/t/9612580345436964" TargetMode="External" Id="R643740725940416a" /><Relationship Type="http://schemas.openxmlformats.org/officeDocument/2006/relationships/hyperlink" Target="https://www.instagram.com/llinhnhicute/" TargetMode="External" Id="R83922dcf67b243d3" /><Relationship Type="http://schemas.openxmlformats.org/officeDocument/2006/relationships/hyperlink" Target="https://www.instagram.com/ngtnhn.y/" TargetMode="External" Id="R70b241205aac43b4" /><Relationship Type="http://schemas.openxmlformats.org/officeDocument/2006/relationships/hyperlink" Target="https://www.instagram.com/direct/t/122361369152415/" TargetMode="External" Id="R1716286cc3e343d1" /><Relationship Type="http://schemas.openxmlformats.org/officeDocument/2006/relationships/hyperlink" Target="https://www.facebook.com/messages/t/100012859329651" TargetMode="External" Id="R8fa1d2b014cb44c4" /><Relationship Type="http://schemas.openxmlformats.org/officeDocument/2006/relationships/hyperlink" Target="https://www.facebook.com/messages/t/100045670412938" TargetMode="External" Id="Redbfa9847e3c4d83" /><Relationship Type="http://schemas.openxmlformats.org/officeDocument/2006/relationships/hyperlink" Target="https://www.facebook.com/messages/t/100013380874231" TargetMode="External" Id="R618d6f20b7ac46dc" /><Relationship Type="http://schemas.openxmlformats.org/officeDocument/2006/relationships/hyperlink" Target="https://www.facebook.com/messages/t/100012419386552" TargetMode="External" Id="R4035dff455c24bd7" /><Relationship Type="http://schemas.openxmlformats.org/officeDocument/2006/relationships/hyperlink" Target="https://www.messenger.com/t/100045048170398" TargetMode="External" Id="R4fca7efa51644476" /><Relationship Type="http://schemas.openxmlformats.org/officeDocument/2006/relationships/hyperlink" Target="https://www.messenger.com/t/100062217790449" TargetMode="External" Id="R57056b7fc92045a6" /><Relationship Type="http://schemas.openxmlformats.org/officeDocument/2006/relationships/hyperlink" Target="https://www.facebook.com/messages/t/8341425235961909" TargetMode="External" Id="R4d2523fd9d814f48" /><Relationship Type="http://schemas.openxmlformats.org/officeDocument/2006/relationships/hyperlink" Target="https://www.facebook.com/messages/t/100001413034525" TargetMode="External" Id="Rd3c318a4ada44295" /><Relationship Type="http://schemas.openxmlformats.org/officeDocument/2006/relationships/hyperlink" Target="https://www.instagram.com/direct/t/17843155556824574/" TargetMode="External" Id="Re5473ba84e3b4304" /><Relationship Type="http://schemas.openxmlformats.org/officeDocument/2006/relationships/hyperlink" Target="https://www.facebook.com/kc.9302?mibextid=ZbWKwL" TargetMode="External" Id="R6064cc5a9a0f4aaf" /><Relationship Type="http://schemas.openxmlformats.org/officeDocument/2006/relationships/hyperlink" Target="https://www.instagram.com/direct/t/107673613959596/" TargetMode="External" Id="R635f2816f4804e25" /><Relationship Type="http://schemas.openxmlformats.org/officeDocument/2006/relationships/hyperlink" Target="https://www.messenger.com/t/100045048170398" TargetMode="External" Id="R720d0ea795254c7e" /><Relationship Type="http://schemas.openxmlformats.org/officeDocument/2006/relationships/hyperlink" Target="https://www.messenger.com/t/100001892792328" TargetMode="External" Id="R0493eadb5e2f4e0e" /><Relationship Type="http://schemas.openxmlformats.org/officeDocument/2006/relationships/hyperlink" Target="https://www.facebook.com/min.ah.399" TargetMode="External" Id="R8a4bc5bca8f34d1c" /><Relationship Type="http://schemas.openxmlformats.org/officeDocument/2006/relationships/hyperlink" Target="https://www.messenger.com/marketplace/t/8992655270828654" TargetMode="External" Id="R5059c58c5b9944d7" /><Relationship Type="http://schemas.openxmlformats.org/officeDocument/2006/relationships/hyperlink" Target="https://www.instagram.com/direct/t/17842636691682951/" TargetMode="External" Id="Rce88bbd2b3284ad7" /><Relationship Type="http://schemas.openxmlformats.org/officeDocument/2006/relationships/hyperlink" Target="https://www.facebook.com/messages/t/100053017892797" TargetMode="External" Id="R17fc3c0b88fb4f4b" /><Relationship Type="http://schemas.openxmlformats.org/officeDocument/2006/relationships/hyperlink" Target="https://www.facebook.com/messages/t/100038212295630" TargetMode="External" Id="Raf8d5baede4c4b62" /><Relationship Type="http://schemas.openxmlformats.org/officeDocument/2006/relationships/hyperlink" Target="https://www.instagram.com/ldplinh/" TargetMode="External" Id="R6e9326aa6c074de0" /><Relationship Type="http://schemas.openxmlformats.org/officeDocument/2006/relationships/hyperlink" Target="https://www.messenger.com/t/100006120873056" TargetMode="External" Id="R517e1c6f2c6847be" /><Relationship Type="http://schemas.openxmlformats.org/officeDocument/2006/relationships/hyperlink" Target="https://www.instagram.com/direct/t/119091119485743/" TargetMode="External" Id="R14d22e0cc05442f6" /><Relationship Type="http://schemas.openxmlformats.org/officeDocument/2006/relationships/hyperlink" Target="https://www.facebook.com/messages/t/9745295532152566" TargetMode="External" Id="R14c3cadc9039428b" /><Relationship Type="http://schemas.openxmlformats.org/officeDocument/2006/relationships/hyperlink" Target="https://www.facebook.com/messages/t/100004926705715" TargetMode="External" Id="R12f1ac77b01243f2" /><Relationship Type="http://schemas.openxmlformats.org/officeDocument/2006/relationships/hyperlink" Target="https://www.facebook.com/messages/t/100066550301358" TargetMode="External" Id="R0646b5e2a3d44cf5" /><Relationship Type="http://schemas.openxmlformats.org/officeDocument/2006/relationships/hyperlink" Target="https://www.instagram.com/direct/t/105215837548160/" TargetMode="External" Id="R4aecb9651a4d401c" /><Relationship Type="http://schemas.openxmlformats.org/officeDocument/2006/relationships/hyperlink" Target="https://www.messenger.com/t/100005135204818" TargetMode="External" Id="R97954778c7904c7e" /><Relationship Type="http://schemas.openxmlformats.org/officeDocument/2006/relationships/hyperlink" Target="https://www.messenger.com/t/100035947082658" TargetMode="External" Id="R4ba2d354f2b54818" /><Relationship Type="http://schemas.openxmlformats.org/officeDocument/2006/relationships/hyperlink" Target="https://www.instagram.com/direct/t/101825021219614/" TargetMode="External" Id="Re20e55dcef8940f1" /><Relationship Type="http://schemas.openxmlformats.org/officeDocument/2006/relationships/hyperlink" Target="https://www.messenger.com/e2ee/t/9343656032311242" TargetMode="External" Id="R4c14856413894cb8" /><Relationship Type="http://schemas.openxmlformats.org/officeDocument/2006/relationships/hyperlink" Target="https://www.instagram.com/direct/t/114441779943337/" TargetMode="External" Id="R2cb1c2b96685472f" /><Relationship Type="http://schemas.openxmlformats.org/officeDocument/2006/relationships/hyperlink" Target="https://www.facebook.com/messages/t/100015206536632" TargetMode="External" Id="R690ee7d8425644a8" /><Relationship Type="http://schemas.openxmlformats.org/officeDocument/2006/relationships/hyperlink" Target="https://www.instagram.com/direct/t/102648731129250/" TargetMode="External" Id="R27f51429b55d494d" /><Relationship Type="http://schemas.openxmlformats.org/officeDocument/2006/relationships/hyperlink" Target="https://www.instagram.com/direct/t/116512346408062/" TargetMode="External" Id="R5b925031680b46bc" /><Relationship Type="http://schemas.openxmlformats.org/officeDocument/2006/relationships/hyperlink" Target="https://www.instagram.com/direct/t/117439152978051/" TargetMode="External" Id="R01bb81835aa14301" /><Relationship Type="http://schemas.openxmlformats.org/officeDocument/2006/relationships/hyperlink" Target="https://www.facebook.com/messages/t/9273137746063636" TargetMode="External" Id="R0d00beea70a84d65" /><Relationship Type="http://schemas.openxmlformats.org/officeDocument/2006/relationships/hyperlink" Target="https://www.instagram.com/direct/t/118420502883782/" TargetMode="External" Id="Rb636d21ed8d54e10" /><Relationship Type="http://schemas.openxmlformats.org/officeDocument/2006/relationships/hyperlink" Target="https://www.facebook.com/messages/t/100063676285504" TargetMode="External" Id="R5b6e2e011861479b" /><Relationship Type="http://schemas.openxmlformats.org/officeDocument/2006/relationships/hyperlink" Target="https://www.facebook.com/messages/t/100003027462153" TargetMode="External" Id="R7a6384608a1444cd" /><Relationship Type="http://schemas.openxmlformats.org/officeDocument/2006/relationships/hyperlink" Target="https://www.facebook.com/messages/t/100003293121531" TargetMode="External" Id="R093a53f40856454f" /><Relationship Type="http://schemas.openxmlformats.org/officeDocument/2006/relationships/hyperlink" Target="https://www.facebook.com/messages/t/9705275776166499" TargetMode="External" Id="R042bccaf8369430e" /><Relationship Type="http://schemas.openxmlformats.org/officeDocument/2006/relationships/hyperlink" Target="https://www.facebook.com/messages/t/9283289205070857" TargetMode="External" Id="Re85ba2a966fe4640" /><Relationship Type="http://schemas.openxmlformats.org/officeDocument/2006/relationships/hyperlink" Target="https://www.facebook.com/messages/t/8849838415109104" TargetMode="External" Id="R3ffe8ec788af43e6" /><Relationship Type="http://schemas.openxmlformats.org/officeDocument/2006/relationships/hyperlink" Target="https://www.facebook.com/messages/t/9417508321601645" TargetMode="External" Id="R6a9dd2e0fec94595" /><Relationship Type="http://schemas.openxmlformats.org/officeDocument/2006/relationships/hyperlink" Target="https://www.instagram.com/direct/t/17842495469350845/" TargetMode="External" Id="R21c4c2880c9b4a4b" /><Relationship Type="http://schemas.openxmlformats.org/officeDocument/2006/relationships/hyperlink" Target="https://www.instagram.com/direct/t/17842253330128494/" TargetMode="External" Id="R857a6ce9b4924cfb" /><Relationship Type="http://schemas.openxmlformats.org/officeDocument/2006/relationships/hyperlink" Target="https://www.messenger.com/t/100014332573967" TargetMode="External" Id="Rddea93c84fed4098" /><Relationship Type="http://schemas.openxmlformats.org/officeDocument/2006/relationships/hyperlink" Target="https://www.messenger.com/marketplace/t/8973552102763339" TargetMode="External" Id="Ra66c1ea5eb4c49da" /><Relationship Type="http://schemas.openxmlformats.org/officeDocument/2006/relationships/hyperlink" Target="https://www.instagram.com/direct/t/106603094074590/" TargetMode="External" Id="R4b84460f08bd4ae6" /><Relationship Type="http://schemas.openxmlformats.org/officeDocument/2006/relationships/hyperlink" Target="https://www.messenger.com/t/100000018016668" TargetMode="External" Id="R60050d0b646b4baf" /><Relationship Type="http://schemas.openxmlformats.org/officeDocument/2006/relationships/hyperlink" Target="https://www.messenger.com/t/100071636216467" TargetMode="External" Id="Rc586147e99624cfd" /><Relationship Type="http://schemas.openxmlformats.org/officeDocument/2006/relationships/hyperlink" Target="https://www.messenger.com/t/100040522362786" TargetMode="External" Id="Rdefb5d45f0924f98" /><Relationship Type="http://schemas.openxmlformats.org/officeDocument/2006/relationships/hyperlink" Target="https://www.messenger.com/t/100012405286812" TargetMode="External" Id="Rb59cd926a10b4385" /><Relationship Type="http://schemas.openxmlformats.org/officeDocument/2006/relationships/hyperlink" Target="https://www.messenger.com/marketplace/t/9273137746063636" TargetMode="External" Id="Rc74055a106784dee" /><Relationship Type="http://schemas.openxmlformats.org/officeDocument/2006/relationships/hyperlink" Target="https://www.instagram.com/direct/t/120702052655077/" TargetMode="External" Id="Rd610fb1a39fc4460" /><Relationship Type="http://schemas.openxmlformats.org/officeDocument/2006/relationships/hyperlink" Target="https://www.messenger.com/t/100064300761593" TargetMode="External" Id="R27ab6703f67c4142" /><Relationship Type="http://schemas.openxmlformats.org/officeDocument/2006/relationships/hyperlink" Target="https://www.facebook.com/Duong.VN234?mibextid=LQQJ4d&amp;mibextid=LQQJ4d" TargetMode="External" Id="R3b00a7b9c41f4b1c" /><Relationship Type="http://schemas.openxmlformats.org/officeDocument/2006/relationships/hyperlink" Target="https://www.facebook.com/messages/t/100001260623195" TargetMode="External" Id="Rd64d0e5d98114f85" /><Relationship Type="http://schemas.openxmlformats.org/officeDocument/2006/relationships/hyperlink" Target="https://www.facebook.com/messages/t/100054344600283" TargetMode="External" Id="R81ac3917893a414d" /><Relationship Type="http://schemas.openxmlformats.org/officeDocument/2006/relationships/hyperlink" Target="https://www.facebook.com/messages/t/100076985137634" TargetMode="External" Id="Rf2249bc8e9d34bfe" /><Relationship Type="http://schemas.openxmlformats.org/officeDocument/2006/relationships/hyperlink" Target="https://www.instagram.com/blabu.u?igsh=MWloODY1dGNicWYwbA==" TargetMode="External" Id="Rd4e2d4993d384095" /><Relationship Type="http://schemas.openxmlformats.org/officeDocument/2006/relationships/hyperlink" Target="http://fwnhi.ng/" TargetMode="External" Id="R3eaa969c41564e2d" /><Relationship Type="http://schemas.openxmlformats.org/officeDocument/2006/relationships/hyperlink" Target="http://chloe.ng/" TargetMode="External" Id="Rc46137cb693f40ac" /><Relationship Type="http://schemas.openxmlformats.org/officeDocument/2006/relationships/hyperlink" Target="https://www.facebook.com/messages/t/100078514568594" TargetMode="External" Id="Rc83edccb850f446e" /><Relationship Type="http://schemas.openxmlformats.org/officeDocument/2006/relationships/hyperlink" Target="https://www.messenger.com/marketplace/t/8854243884645068" TargetMode="External" Id="Rb7dfbed7a63c4476" /><Relationship Type="http://schemas.openxmlformats.org/officeDocument/2006/relationships/hyperlink" Target="https://www.facebook.com/messages/t/28799256779673865" TargetMode="External" Id="R7d469355de7947e6" /><Relationship Type="http://schemas.openxmlformats.org/officeDocument/2006/relationships/hyperlink" Target="https://www.facebook.com/messages/t/9004960736283586" TargetMode="External" Id="R97f7062e3c9a4bad" /><Relationship Type="http://schemas.openxmlformats.org/officeDocument/2006/relationships/hyperlink" Target="https://www.messenger.com/t/100042808668685" TargetMode="External" Id="R2c802072ea514f91" /><Relationship Type="http://schemas.openxmlformats.org/officeDocument/2006/relationships/hyperlink" Target="https://www.messenger.com/e2ee/t/9131607726878782" TargetMode="External" Id="R1130518127f24511" /><Relationship Type="http://schemas.openxmlformats.org/officeDocument/2006/relationships/hyperlink" Target="https://www.facebook.com/ldan.0312?mibextid=LQQJ4d&amp;mibextid=LQQJ4d" TargetMode="External" Id="R351c04b8305f4833" /><Relationship Type="http://schemas.openxmlformats.org/officeDocument/2006/relationships/hyperlink" Target="https://www.instagram.com/direct/t/115544026501910/" TargetMode="External" Id="R38823e1b096d49a8" /><Relationship Type="http://schemas.openxmlformats.org/officeDocument/2006/relationships/hyperlink" Target="https://www.messenger.com/t/100003917898051" TargetMode="External" Id="R32e6422eee7542f4" /><Relationship Type="http://schemas.openxmlformats.org/officeDocument/2006/relationships/hyperlink" Target="https://www.messenger.com/t/100023939262459" TargetMode="External" Id="R35ecdc4bef724b9a" /><Relationship Type="http://schemas.openxmlformats.org/officeDocument/2006/relationships/hyperlink" Target="https://www.facebook.com/messages/t/100083023486916/" TargetMode="External" Id="Rf0078bd27e2f47a9" /><Relationship Type="http://schemas.openxmlformats.org/officeDocument/2006/relationships/hyperlink" Target="https://www.messenger.com/t/100080140908423" TargetMode="External" Id="Rc559f65f19014d7c" /><Relationship Type="http://schemas.openxmlformats.org/officeDocument/2006/relationships/hyperlink" Target="https://www.facebook.com/messages/t/8897360250348389" TargetMode="External" Id="R20b036bf3f5945f5" /><Relationship Type="http://schemas.openxmlformats.org/officeDocument/2006/relationships/hyperlink" Target="https://www.facebook.com/messages/t/100018148414343" TargetMode="External" Id="R47a578fd31644ef5" /><Relationship Type="http://schemas.openxmlformats.org/officeDocument/2006/relationships/hyperlink" Target="https://www.instagram.com/direct/t/117251699665466/" TargetMode="External" Id="R62a6b679f8b04381" /><Relationship Type="http://schemas.openxmlformats.org/officeDocument/2006/relationships/hyperlink" Target="https://www.messenger.com/t/100020274726059" TargetMode="External" Id="Raf2b3743bc1c4da9" /><Relationship Type="http://schemas.openxmlformats.org/officeDocument/2006/relationships/hyperlink" Target="https://www.instagram.com/direct/t/102099931194241/" TargetMode="External" Id="Re1b7c86fcbe046aa" /><Relationship Type="http://schemas.openxmlformats.org/officeDocument/2006/relationships/hyperlink" Target="https://www.messenger.com/t/100009934724517" TargetMode="External" Id="R69f86a331b6b4ba3" /><Relationship Type="http://schemas.openxmlformats.org/officeDocument/2006/relationships/hyperlink" Target="https://www.messenger.com/t/100054680311187" TargetMode="External" Id="R755962f611bd4f7e" /><Relationship Type="http://schemas.openxmlformats.org/officeDocument/2006/relationships/hyperlink" Target="https://www.messenger.com/t/100008571695948" TargetMode="External" Id="Raab314edeb6c4581" /><Relationship Type="http://schemas.openxmlformats.org/officeDocument/2006/relationships/hyperlink" Target="https://www.messenger.com/e2ee/t/27921204670828829" TargetMode="External" Id="Re831faf1688e4361" /><Relationship Type="http://schemas.openxmlformats.org/officeDocument/2006/relationships/hyperlink" Target="https://www.messenger.com/t/100004262833827" TargetMode="External" Id="Rcc7d3a132dd44441" /><Relationship Type="http://schemas.openxmlformats.org/officeDocument/2006/relationships/hyperlink" Target="https://www.messenger.com/marketplace/t/9257469320931844" TargetMode="External" Id="R03f17fc100814b05" /><Relationship Type="http://schemas.openxmlformats.org/officeDocument/2006/relationships/hyperlink" Target="https://www.messenger.com/t/100028408021563" TargetMode="External" Id="R54b3c7b1f9e44a11" /><Relationship Type="http://schemas.openxmlformats.org/officeDocument/2006/relationships/hyperlink" Target="https://www.facebook.com/messages/t/100006452753572" TargetMode="External" Id="R128789878b3c469a" /><Relationship Type="http://schemas.openxmlformats.org/officeDocument/2006/relationships/hyperlink" Target="https://www.facebook.com/messages/t/100063785823213" TargetMode="External" Id="R8d1dad162c204c9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hyperlink" Target="https://www.facebook.com/messages/t/100000068177904" TargetMode="External" Id="Ra23c9417f7d941ea" /><Relationship Type="http://schemas.openxmlformats.org/officeDocument/2006/relationships/hyperlink" Target="https://www.facebook.com/banhwuay?mibextid=ZbWKwL" TargetMode="External" Id="R3e7cf6e7aeb949b9" /><Relationship Type="http://schemas.openxmlformats.org/officeDocument/2006/relationships/hyperlink" Target="https://www.facebook.com/messages/t/100057513403516" TargetMode="External" Id="R5f8fbec5ea05450f" /><Relationship Type="http://schemas.openxmlformats.org/officeDocument/2006/relationships/hyperlink" Target="https://www.facebook.com/profile.php?id=100081320524740" TargetMode="External" Id="Re737e4417bda4055" /><Relationship Type="http://schemas.openxmlformats.org/officeDocument/2006/relationships/hyperlink" Target="https://www.facebook.com/xhimlexjeonghaniyoon" TargetMode="External" Id="R6931cb0b5ed24837" /><Relationship Type="http://schemas.openxmlformats.org/officeDocument/2006/relationships/hyperlink" Target="https://www.facebook.com/messages/t/9217578104920589" TargetMode="External" Id="Re84c61c9c274481f" /><Relationship Type="http://schemas.openxmlformats.org/officeDocument/2006/relationships/hyperlink" Target="https://www.facebook.com/messages/t/27698775893103483" TargetMode="External" Id="R93082f2b97094acc" /><Relationship Type="http://schemas.openxmlformats.org/officeDocument/2006/relationships/hyperlink" Target="https://www.facebook.com/profile.php?id=100034378483732" TargetMode="External" Id="R48e470b94d0e41ca" /><Relationship Type="http://schemas.openxmlformats.org/officeDocument/2006/relationships/hyperlink" Target="https://www.instagram.com/hpmhehhehehe/" TargetMode="External" Id="R694edd05d79a4a19" /><Relationship Type="http://schemas.openxmlformats.org/officeDocument/2006/relationships/hyperlink" Target="https://www.instagram.com/mhoamoa/" TargetMode="External" Id="Rebc6fcac6f034025" /><Relationship Type="http://schemas.openxmlformats.org/officeDocument/2006/relationships/hyperlink" Target="https://www.instagram.com/htao2804/" TargetMode="External" Id="R3b8a76dcb919488a" /><Relationship Type="http://schemas.openxmlformats.org/officeDocument/2006/relationships/hyperlink" Target="https://www.instagram.com/oneperroll/" TargetMode="External" Id="R5629f3c7602345eb" /><Relationship Type="http://schemas.openxmlformats.org/officeDocument/2006/relationships/hyperlink" Target="https://www.instagram.com/22hmxxhs/" TargetMode="External" Id="R8237f9eea9b742ac" /><Relationship Type="http://schemas.openxmlformats.org/officeDocument/2006/relationships/hyperlink" Target="https://www.instagram.com/lihnng__/" TargetMode="External" Id="R778233df11784d48" /><Relationship Type="http://schemas.openxmlformats.org/officeDocument/2006/relationships/hyperlink" Target="https://www.instagram.com/shynishynii/" TargetMode="External" Id="R72e4ca88b4da44ba" /><Relationship Type="http://schemas.openxmlformats.org/officeDocument/2006/relationships/hyperlink" Target="https://www.facebook.com/profile.php?id=100026083301429&amp;mibextid=ZbWKwL" TargetMode="External" Id="R6ad8390d59f44dcb" /><Relationship Type="http://schemas.openxmlformats.org/officeDocument/2006/relationships/hyperlink" Target="https://www.facebook.com/profile.php?id=100036236858931&amp;mibextid=ZbWKwL" TargetMode="External" Id="Ra41ca47a0c544972" /><Relationship Type="http://schemas.openxmlformats.org/officeDocument/2006/relationships/hyperlink" Target="https://www.instagram.com/_chaauahn_?igsh=MW04eXFwdGF1YnFhcQ==" TargetMode="External" Id="Re311e564d1d249f6" /><Relationship Type="http://schemas.openxmlformats.org/officeDocument/2006/relationships/hyperlink" Target="https://www.instagram.com/klnih.n?igsh=MWM1Z280eWI4b3hqNA==" TargetMode="External" Id="R2ad3b8ab75734b14" /><Relationship Type="http://schemas.openxmlformats.org/officeDocument/2006/relationships/hyperlink" Target="https://www.instagram.com/qqminh_?igsh=bnZ0dGlheTJhejJh" TargetMode="External" Id="R1b77e6fa714643aa" /><Relationship Type="http://schemas.openxmlformats.org/officeDocument/2006/relationships/hyperlink" Target="https://www.instagram.com/nqkhongcotht?igsh=MTlrd2I5c3MyeWQxNw==" TargetMode="External" Id="R454222b21f4b4210" /><Relationship Type="http://schemas.openxmlformats.org/officeDocument/2006/relationships/hyperlink" Target="https://www.instagram.com/0301oo/" TargetMode="External" Id="R0fb1f6a4eae7498b" /><Relationship Type="http://schemas.openxmlformats.org/officeDocument/2006/relationships/hyperlink" Target="https://www.instagram.com/nguynlinh2108/" TargetMode="External" Id="Rd732337654804deb" /><Relationship Type="http://schemas.openxmlformats.org/officeDocument/2006/relationships/hyperlink" Target="https://www.instagram.com/jpg.choung?igsh=cGZlN2t0dzZjYXpj" TargetMode="External" Id="Rd818ed5112564df6" /><Relationship Type="http://schemas.openxmlformats.org/officeDocument/2006/relationships/hyperlink" Target="https://www.instagram.com/fwnhi.ng?igsh=MXJmaDFycjk2cm0ycg==" TargetMode="External" Id="Rba6227bf32b6421c" /><Relationship Type="http://schemas.openxmlformats.org/officeDocument/2006/relationships/hyperlink" Target="https://www.facebook.com/phuonganhhbong?mibextid=LQQJ4d&amp;mibextid=LQQJ4d" TargetMode="External" Id="R2cb17615e441493d" /><Relationship Type="http://schemas.openxmlformats.org/officeDocument/2006/relationships/hyperlink" Target="https://www.facebook.com/toannguyen0323" TargetMode="External" Id="Rd63e34c73a77418f" /><Relationship Type="http://schemas.openxmlformats.org/officeDocument/2006/relationships/hyperlink" Target="https://www.instagram.com/_hello.kitt_double.y__/" TargetMode="External" Id="Racc7f013d2f1410c" /><Relationship Type="http://schemas.openxmlformats.org/officeDocument/2006/relationships/hyperlink" Target="https://www.instagram.com/thodangbanchoi/" TargetMode="External" Id="R134cc923287140bb" /><Relationship Type="http://schemas.openxmlformats.org/officeDocument/2006/relationships/hyperlink" Target="https://www.instagram.com/t.pnga__?igsh=MWNxMmsyaDFmeTZuOA==" TargetMode="External" Id="R6c768ce3a82b4aa8" /><Relationship Type="http://schemas.openxmlformats.org/officeDocument/2006/relationships/hyperlink" Target="https://www.instagram.com/xantanotclaus?igsh=ZDZ4N2g3cngzZjB2" TargetMode="External" Id="R642e2f373b6e4f9c" /><Relationship Type="http://schemas.openxmlformats.org/officeDocument/2006/relationships/hyperlink" Target="https://www.instagram.com/hngkngc?igsh=MW1mMzM1cGJpbHVneg==" TargetMode="External" Id="Re71a1754c51f4343" /><Relationship Type="http://schemas.openxmlformats.org/officeDocument/2006/relationships/hyperlink" Target="https://www.facebook.com/profile.php?id=100077712919079&amp;mibextid=LQQJ4d&amp;mibextid=LQQJ4d" TargetMode="External" Id="R89f1e5695bed46fe" /><Relationship Type="http://schemas.openxmlformats.org/officeDocument/2006/relationships/hyperlink" Target="https://www.instagram.com/direct/t/119757819418957/" TargetMode="External" Id="R80e6349157004275" /><Relationship Type="http://schemas.openxmlformats.org/officeDocument/2006/relationships/hyperlink" Target="https://www.facebook.com/Ly.Nhat.Ha.607" TargetMode="External" Id="Ra5ec6f3a5ae9497f" /><Relationship Type="http://schemas.openxmlformats.org/officeDocument/2006/relationships/hyperlink" Target="https://www.facebook.com/profile.php?id=100054708591396" TargetMode="External" Id="R47bcae0cfeb24e8a" /><Relationship Type="http://schemas.openxmlformats.org/officeDocument/2006/relationships/hyperlink" Target="https://www.facebook.com/messages/t/8635784546505185" TargetMode="External" Id="Rd718b17ef9c641bb" /><Relationship Type="http://schemas.openxmlformats.org/officeDocument/2006/relationships/hyperlink" Target="https://www.facebook.com/messages/t/100004675478687" TargetMode="External" Id="Rd397b91e56c54b93" /><Relationship Type="http://schemas.openxmlformats.org/officeDocument/2006/relationships/hyperlink" Target="https://www.facebook.com/messages/t/100005169189390" TargetMode="External" Id="R03b99e362841401c" /><Relationship Type="http://schemas.openxmlformats.org/officeDocument/2006/relationships/hyperlink" Target="https://www.facebook.com/messages/t/100048087491502" TargetMode="External" Id="R950682db33c24f93" /><Relationship Type="http://schemas.openxmlformats.org/officeDocument/2006/relationships/hyperlink" Target="https://www.instagram.com/direct/t/104978034237098/" TargetMode="External" Id="Rccb72078dfdf463b" /><Relationship Type="http://schemas.openxmlformats.org/officeDocument/2006/relationships/hyperlink" Target="https://www.instagram.com/direct/t/17845269486232114/" TargetMode="External" Id="R3bec74bf774048a4" /><Relationship Type="http://schemas.openxmlformats.org/officeDocument/2006/relationships/hyperlink" Target="https://www.facebook.com/vu.hann.98?mibextid=LQQJ4d&amp;mibextid=LQQJ4d" TargetMode="External" Id="Rae0444031cd848fc" /><Relationship Type="http://schemas.openxmlformats.org/officeDocument/2006/relationships/hyperlink" Target="https://www.instagram.com/direct/t/114146933305748/" TargetMode="External" Id="Reea10d3adb9b4a9f" /><Relationship Type="http://schemas.openxmlformats.org/officeDocument/2006/relationships/hyperlink" Target="https://www.facebook.com/messages/t/8701766323250973" TargetMode="External" Id="Re0401a173fb441d0" /><Relationship Type="http://schemas.openxmlformats.org/officeDocument/2006/relationships/hyperlink" Target="https://www.instagram.com/teydrrwa/" TargetMode="External" Id="Rb6735a54375c403c" /><Relationship Type="http://schemas.openxmlformats.org/officeDocument/2006/relationships/hyperlink" Target="https://www.instagram.com/ag.minhthuw/" TargetMode="External" Id="R7404c0ad8349491e" /><Relationship Type="http://schemas.openxmlformats.org/officeDocument/2006/relationships/hyperlink" Target="https://www.facebook.com/messages/t/100026155253904" TargetMode="External" Id="R25fb69f888f4458d" /><Relationship Type="http://schemas.openxmlformats.org/officeDocument/2006/relationships/hyperlink" Target="https://www.facebook.com/tan1809?mibextid=LQQJ4d&amp;mibextid=LQQJ4d" TargetMode="External" Id="Ra15df875a3b1460b" /><Relationship Type="http://schemas.openxmlformats.org/officeDocument/2006/relationships/hyperlink" Target="https://www.instagram.com/g.uenvy?igsh=MW82eDNycW9vejVmMA==" TargetMode="External" Id="R90fb75a8a1404653" /><Relationship Type="http://schemas.openxmlformats.org/officeDocument/2006/relationships/hyperlink" Target="https://www.facebook.com/profile.php?id=100040109130045" TargetMode="External" Id="R13f727dbc63b4608" /><Relationship Type="http://schemas.openxmlformats.org/officeDocument/2006/relationships/hyperlink" Target="https://www.facebook.com/nguyenphuc.baso" TargetMode="External" Id="R1b0608ba8a9346dd" /><Relationship Type="http://schemas.openxmlformats.org/officeDocument/2006/relationships/hyperlink" Target="https://www.instagram.com/chlllllaui/" TargetMode="External" Id="R83db91c0bd754430" /><Relationship Type="http://schemas.openxmlformats.org/officeDocument/2006/relationships/hyperlink" Target="https://www.facebook.com/messages/t/100002729202593" TargetMode="External" Id="R3be3ea6eeba2458a" /><Relationship Type="http://schemas.openxmlformats.org/officeDocument/2006/relationships/hyperlink" Target="https://www.facebook.com/messages/t/100054646971044" TargetMode="External" Id="R3a6a171948bd4b93" /><Relationship Type="http://schemas.openxmlformats.org/officeDocument/2006/relationships/hyperlink" Target="https://www.facebook.com/messages/t/9051745911555812" TargetMode="External" Id="Rfee13df56eba46f4" /><Relationship Type="http://schemas.openxmlformats.org/officeDocument/2006/relationships/hyperlink" Target="https://www.facebook.com/messages/t/100005912653295" TargetMode="External" Id="R5e33b88ab8cf44c3" /><Relationship Type="http://schemas.openxmlformats.org/officeDocument/2006/relationships/hyperlink" Target="https://www.facebook.com/messages/t/100009753256482" TargetMode="External" Id="R05fd167e91264edf" /><Relationship Type="http://schemas.openxmlformats.org/officeDocument/2006/relationships/hyperlink" Target="https://www.facebook.com/messages/t/100021911541341" TargetMode="External" Id="R43a9e0a8d8d14851" /><Relationship Type="http://schemas.openxmlformats.org/officeDocument/2006/relationships/hyperlink" Target="https://www.facebook.com/messages/t/100006672134812" TargetMode="External" Id="R27ba5d218de04d94" /><Relationship Type="http://schemas.openxmlformats.org/officeDocument/2006/relationships/hyperlink" Target="https://www.facebook.com/messages/t/8087438431357410" TargetMode="External" Id="Rd383c6bc4f8a4670" /><Relationship Type="http://schemas.openxmlformats.org/officeDocument/2006/relationships/hyperlink" Target="https://www.facebook.com/messages/t/8703570713023465" TargetMode="External" Id="Rdb0a1d33b0e34644" /><Relationship Type="http://schemas.openxmlformats.org/officeDocument/2006/relationships/hyperlink" Target="https://www.facebook.com/messages/t/8170876333018593" TargetMode="External" Id="R2348cc17a59d4d0c" /><Relationship Type="http://schemas.openxmlformats.org/officeDocument/2006/relationships/hyperlink" Target="https://www.facebook.com/messages/e2ee/t/8739901606058970" TargetMode="External" Id="R34fc102f48ea455a" /><Relationship Type="http://schemas.openxmlformats.org/officeDocument/2006/relationships/hyperlink" Target="https://www.instagram.com/direct/t/115608903164723/" TargetMode="External" Id="R88a14d8fddac4b68" /><Relationship Type="http://schemas.openxmlformats.org/officeDocument/2006/relationships/hyperlink" Target="https://www.facebook.com/messages/t/100009371625086" TargetMode="External" Id="R6e7978d3769c4ec6" /><Relationship Type="http://schemas.openxmlformats.org/officeDocument/2006/relationships/hyperlink" Target="https://www.facebook.com/messages/t/100072234122667" TargetMode="External" Id="Ref9edb3584b14c10" /><Relationship Type="http://schemas.openxmlformats.org/officeDocument/2006/relationships/hyperlink" Target="https://www.facebook.com/messages/t/100027742960294" TargetMode="External" Id="Rd8b95cbf83ad42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7" width="12.380000114440918" customWidth="1"/>
    <x:col min="8" max="8" width="14.5" customWidth="1"/>
    <x:col min="9" max="10" width="12.380000114440918" customWidth="1"/>
    <x:col min="11" max="12" width="12.380000114440918" hidden="1" customWidth="1"/>
    <x:col min="13" max="13" width="14.880000114440918" customWidth="1"/>
    <x:col min="14" max="14" width="14.630000114440918" hidden="1" customWidth="1"/>
    <x:col min="24" max="24" width="9.880000114440918" customWidth="1"/>
    <x:col min="25" max="25" width="15.75" customWidth="1"/>
    <x:col min="26" max="26" width="18.5" customWidth="1"/>
  </x:cols>
  <x:sheetData>
    <x:row r="1" ht="21" customHeight="1">
      <x:c r="A1" s="1" t="s">
        <x:v>0</x:v>
      </x:c>
      <x:c r="B1" s="2" t="s">
        <x:v>1</x:v>
      </x:c>
      <x:c r="C1" s="1" t="s">
        <x:v>2</x:v>
      </x:c>
      <x:c r="D1" s="3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1" t="s">
        <x:v>14</x:v>
      </x:c>
      <x:c r="P1" s="1" t="s">
        <x:v>15</x:v>
      </x:c>
      <x:c r="Q1" s="5" t="s">
        <x:v>11</x:v>
      </x:c>
      <x:c r="R1" s="5" t="s">
        <x:v>16</x:v>
      </x:c>
      <x:c r="S1" s="5" t="s">
        <x:v>17</x:v>
      </x:c>
      <x:c r="T1" s="5" t="s">
        <x:v>18</x:v>
      </x:c>
      <x:c r="U1" s="5" t="s">
        <x:v>19</x:v>
      </x:c>
      <x:c r="V1" s="5" t="s">
        <x:v>20</x:v>
      </x:c>
      <x:c r="W1" s="5" t="s">
        <x:v>21</x:v>
      </x:c>
      <x:c r="X1" s="1" t="s">
        <x:v>22</x:v>
      </x:c>
      <x:c r="Y1" s="1" t="s">
        <x:v>23</x:v>
      </x:c>
      <x:c r="Z1" s="1" t="s">
        <x:v>24</x:v>
      </x:c>
      <x:c r="AA1" s="6" t="s">
        <x:v>25</x:v>
      </x:c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  <x:c r="AO1" s="7"/>
      <x:c r="AP1" s="7"/>
    </x:row>
    <x:row r="2" ht="18.75" customHeight="1">
      <x:c r="A2" s="8" t="s">
        <x:v>26</x:v>
      </x:c>
      <x:c r="B2" s="9"/>
      <x:c r="C2" s="10"/>
      <x:c r="D2" s="11"/>
      <x:c r="E2" s="12">
        <x:v>280000.0</x:v>
      </x:c>
      <x:c r="F2" s="12">
        <x:v>280000.0</x:v>
      </x:c>
      <x:c r="G2" s="12">
        <x:v>305000.0</x:v>
      </x:c>
      <x:c r="H2" s="12">
        <x:v>280000.0</x:v>
      </x:c>
      <x:c r="I2" s="12">
        <x:v>530000.0</x:v>
      </x:c>
      <x:c r="J2" s="12">
        <x:v>500000.0</x:v>
      </x:c>
      <x:c r="K2" s="12">
        <x:v>370000.0</x:v>
      </x:c>
      <x:c r="L2" s="12">
        <x:v>615000.0</x:v>
      </x:c>
      <x:c r="M2" s="12">
        <x:v>255000.0</x:v>
      </x:c>
      <x:c r="N2" s="12">
        <x:v>245000.0</x:v>
      </x:c>
      <x:c r="O2" s="12">
        <x:v>430000.0</x:v>
      </x:c>
      <x:c r="P2" s="12">
        <x:v>350000.0</x:v>
      </x:c>
      <x:c r="Q2" s="13">
        <x:v>605000.0</x:v>
      </x:c>
      <x:c r="R2" s="13">
        <x:v>280000.0</x:v>
      </x:c>
      <x:c r="S2" s="13">
        <x:v>280000.0</x:v>
      </x:c>
      <x:c r="T2" s="13">
        <x:v>399000.0</x:v>
      </x:c>
      <x:c r="U2" s="13">
        <x:v>399000.0</x:v>
      </x:c>
      <x:c r="V2" s="13">
        <x:v>409000.0</x:v>
      </x:c>
      <x:c r="W2" s="14"/>
      <x:c r="X2" s="15"/>
      <x:c r="Y2" s="15"/>
      <x:c r="Z2" s="15"/>
      <x:c r="AA2" s="16"/>
      <x:c r="AB2" s="17"/>
      <x:c r="AC2" s="17"/>
      <x:c r="AD2" s="17"/>
      <x:c r="AE2" s="17"/>
      <x:c r="AF2" s="16"/>
      <x:c r="AG2" s="16"/>
      <x:c r="AH2" s="16"/>
      <x:c r="AI2" s="16"/>
      <x:c r="AJ2" s="16"/>
      <x:c r="AK2" s="16"/>
      <x:c r="AL2" s="16"/>
      <x:c r="AM2" s="16"/>
      <x:c r="AN2" s="16"/>
      <x:c r="AO2" s="16"/>
      <x:c r="AP2" s="16"/>
    </x:row>
    <x:row r="3" ht="18.75" customHeight="1">
      <x:c r="A3" s="8" t="s">
        <x:v>27</x:v>
      </x:c>
      <x:c r="B3" s="9"/>
      <x:c r="C3" s="10"/>
      <x:c r="D3" s="11"/>
      <x:c r="E3" s="15" t="n">
        <x:f t="shared" ref="E3:S3" si="1">E158</x:f>
        <x:v>0</x:v>
      </x:c>
      <x:c r="F3" s="15">
        <x:f t="shared" si="1"/>
        <x:v>7</x:v>
      </x:c>
      <x:c r="G3" s="15">
        <x:f t="shared" si="1"/>
        <x:v>0</x:v>
      </x:c>
      <x:c r="H3" s="12">
        <x:f t="shared" si="1"/>
        <x:v>0</x:v>
      </x:c>
      <x:c r="I3" s="12">
        <x:f t="shared" si="1"/>
        <x:v>1</x:v>
      </x:c>
      <x:c r="J3" s="12">
        <x:f t="shared" si="1"/>
        <x:v>1</x:v>
      </x:c>
      <x:c r="K3" s="12">
        <x:f t="shared" si="1"/>
        <x:v>0</x:v>
      </x:c>
      <x:c r="L3" s="18">
        <x:f t="shared" si="1"/>
        <x:v>0</x:v>
      </x:c>
      <x:c r="M3" s="12">
        <x:f t="shared" si="1"/>
        <x:v>4</x:v>
      </x:c>
      <x:c r="N3" s="18">
        <x:f t="shared" si="1"/>
        <x:v>0</x:v>
      </x:c>
      <x:c r="O3" s="12">
        <x:f t="shared" si="1"/>
        <x:v>1</x:v>
      </x:c>
      <x:c r="P3" s="12">
        <x:f t="shared" si="1"/>
        <x:v>0</x:v>
      </x:c>
      <x:c r="Q3" s="18">
        <x:f t="shared" si="1"/>
        <x:v>0</x:v>
      </x:c>
      <x:c r="R3" s="12">
        <x:f t="shared" si="1"/>
        <x:v>20</x:v>
      </x:c>
      <x:c r="S3" s="18">
        <x:f t="shared" si="1"/>
        <x:v>0</x:v>
      </x:c>
      <x:c r="T3" s="15"/>
      <x:c r="U3" s="15"/>
      <x:c r="V3" s="15"/>
      <x:c r="W3" s="14"/>
      <x:c r="X3" s="15"/>
      <x:c r="Y3" s="15"/>
      <x:c r="Z3" s="15"/>
      <x:c r="AA3" s="16"/>
      <x:c r="AB3" s="17"/>
      <x:c r="AC3" s="17"/>
      <x:c r="AD3" s="17"/>
      <x:c r="AE3" s="17"/>
      <x:c r="AF3" s="16"/>
      <x:c r="AG3" s="16"/>
      <x:c r="AH3" s="16"/>
      <x:c r="AI3" s="16"/>
      <x:c r="AJ3" s="16"/>
      <x:c r="AK3" s="16"/>
      <x:c r="AL3" s="16"/>
      <x:c r="AM3" s="16"/>
      <x:c r="AN3" s="16"/>
      <x:c r="AO3" s="16"/>
      <x:c r="AP3" s="16"/>
    </x:row>
    <x:row r="4" ht="18.75" customHeight="1">
      <x:c r="A4" s="19">
        <x:v>1.0</x:v>
      </x:c>
      <x:c r="B4" s="29" t="s">
        <x:v>28</x:v>
      </x:c>
      <x:c r="C4" s="21">
        <x:v>46224.0</x:v>
      </x:c>
      <x:c r="D4" s="22" t="s">
        <x:v>29</x:v>
      </x:c>
      <x:c r="E4" s="23"/>
      <x:c r="F4" s="23"/>
      <x:c r="G4" s="23"/>
      <x:c r="H4" s="24"/>
      <x:c r="I4" s="24">
        <x:v>1.0</x:v>
      </x:c>
      <x:c r="J4" s="24"/>
      <x:c r="K4" s="24"/>
      <x:c r="L4" s="24"/>
      <x:c r="M4" s="24"/>
      <x:c r="N4" s="24"/>
      <x:c r="O4" s="24">
        <x:v>1.0</x:v>
      </x:c>
      <x:c r="P4" s="25"/>
      <x:c r="Q4" s="25"/>
      <x:c r="R4" s="24"/>
      <x:c r="S4" s="25"/>
      <x:c r="T4" s="25"/>
      <x:c r="U4" s="25"/>
      <x:c r="V4" s="25"/>
      <x:c r="W4" s="26" t="n">
        <x:f>SUMPRODUCT(E4:V4,$E$2:$V$2)</x:f>
        <x:v>960000</x:v>
      </x:c>
      <x:c r="X4" s="23"/>
      <x:c r="Y4" s="23" t="s">
        <x:v>30</x:v>
      </x:c>
      <x:c r="Z4" s="23" t="s">
        <x:v>31</x:v>
      </x:c>
      <x:c r="AA4" s="32"/>
      <x:c r="AB4" s="33"/>
      <x:c r="AC4" s="34" t="e">
        <x:f>IFERROR(__xludf.DUMMYFUNCTION("SUM(FILTER($G$4:$P$1106, $C$4:$C$1106 = AB4))"),1407491.108647935)</x:f>
        <x:v>#NAME?</x:v>
      </x:c>
      <x:c r="AD4" s="34" t="e">
        <x:f>IFERROR(__xludf.DUMMYFUNCTION("COUNT(FILTER($C$4:$C$1106, $C$4:$C$1106 = AB4))"),0.0)</x:f>
        <x:v>#NAME?</x:v>
      </x:c>
      <x:c r="AE4" s="31" t="n">
        <x:f t="shared" ref="AE4:AE5" si="2">SUMIF($C$4:$C$1106, $AB4 , $W$4:$W$1106)</x:f>
        <x:v>19832000</x:v>
      </x:c>
    </x:row>
    <x:row r="5">
      <x:c r="A5" s="19">
        <x:v>2.0</x:v>
      </x:c>
      <x:c r="B5" s="29" t="s">
        <x:v>32</x:v>
      </x:c>
      <x:c r="C5" s="21">
        <x:v>46224.0</x:v>
      </x:c>
      <x:c r="D5" s="22" t="s">
        <x:v>33</x:v>
      </x:c>
      <x:c r="E5" s="23"/>
      <x:c r="F5" s="23"/>
      <x:c r="G5" s="23"/>
      <x:c r="H5" s="24"/>
      <x:c r="I5" s="24"/>
      <x:c r="J5" s="24"/>
      <x:c r="K5" s="24"/>
      <x:c r="L5" s="24"/>
      <x:c r="M5" s="24"/>
      <x:c r="N5" s="24"/>
      <x:c r="O5" s="24"/>
      <x:c r="P5" s="25"/>
      <x:c r="Q5" s="25"/>
      <x:c r="R5" s="24">
        <x:v>20.0</x:v>
      </x:c>
      <x:c r="S5" s="25"/>
      <x:c r="T5" s="25"/>
      <x:c r="U5" s="25"/>
      <x:c r="V5" s="25"/>
      <x:c r="W5" s="26" t="n">
        <x:f>SUMPRODUCT(E5:V5,$E$2:$V$2) - 100000</x:f>
        <x:v>5500000</x:v>
      </x:c>
      <x:c r="X5" s="23"/>
      <x:c r="Y5" s="23" t="s">
        <x:v>30</x:v>
      </x:c>
      <x:c r="Z5" s="23" t="s">
        <x:v>34</x:v>
      </x:c>
      <x:c r="AA5" s="32"/>
      <x:c r="AB5" s="33"/>
      <x:c r="AC5" s="34" t="e">
        <x:f>IFERROR(__xludf.DUMMYFUNCTION("SUM(FILTER($G$4:$P$1106, $C$4:$C$1106 = AB5))"),1407491.108647935)</x:f>
        <x:v>#NAME?</x:v>
      </x:c>
      <x:c r="AD5" s="34" t="e">
        <x:f>IFERROR(__xludf.DUMMYFUNCTION("COUNT(FILTER($C$4:$C$1106, $C$4:$C$1106 = AB5))"),0.0)</x:f>
        <x:v>#NAME?</x:v>
      </x:c>
      <x:c r="AE5" s="31">
        <x:f t="shared" si="2"/>
        <x:v>0</x:v>
      </x:c>
    </x:row>
    <x:row r="6">
      <x:c r="A6" s="19">
        <x:v>3.0</x:v>
      </x:c>
      <x:c r="B6" s="29" t="s">
        <x:v>35</x:v>
      </x:c>
      <x:c r="C6" s="21">
        <x:v>46225.0</x:v>
      </x:c>
      <x:c r="D6" s="22" t="s">
        <x:v>36</x:v>
      </x:c>
      <x:c r="E6" s="23"/>
      <x:c r="F6" s="23">
        <x:v>1.0</x:v>
      </x:c>
      <x:c r="G6" s="23"/>
      <x:c r="H6" s="24"/>
      <x:c r="I6" s="24"/>
      <x:c r="J6" s="24"/>
      <x:c r="K6" s="24"/>
      <x:c r="L6" s="24"/>
      <x:c r="M6" s="24">
        <x:v>1.0</x:v>
      </x:c>
      <x:c r="N6" s="24"/>
      <x:c r="O6" s="24"/>
      <x:c r="P6" s="24"/>
      <x:c r="Q6" s="25"/>
      <x:c r="R6" s="24"/>
      <x:c r="S6" s="25"/>
      <x:c r="T6" s="25"/>
      <x:c r="U6" s="25"/>
      <x:c r="V6" s="25"/>
      <x:c r="W6" s="26" t="n">
        <x:f>SUMPRODUCT(E6:V6,$E$2:$V$2) - 8000</x:f>
        <x:v>527000</x:v>
      </x:c>
      <x:c r="X6" s="23" t="s">
        <x:v>37</x:v>
      </x:c>
      <x:c r="Y6" s="23"/>
      <x:c r="Z6" s="23" t="s">
        <x:v>31</x:v>
      </x:c>
      <x:c r="AA6" s="32"/>
      <x:c r="AB6" s="33"/>
      <x:c r="AC6" s="34"/>
      <x:c r="AD6" s="34"/>
      <x:c r="AE6" s="31"/>
    </x:row>
    <x:row r="7">
      <x:c r="A7" s="19">
        <x:v>4.0</x:v>
      </x:c>
      <x:c r="B7" s="29" t="s">
        <x:v>38</x:v>
      </x:c>
      <x:c r="C7" s="21">
        <x:v>46225.0</x:v>
      </x:c>
      <x:c r="D7" s="22" t="s">
        <x:v>39</x:v>
      </x:c>
      <x:c r="E7" s="23"/>
      <x:c r="F7" s="23">
        <x:v>1.0</x:v>
      </x:c>
      <x:c r="G7" s="23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5"/>
      <x:c r="T7" s="25"/>
      <x:c r="U7" s="25"/>
      <x:c r="V7" s="25"/>
      <x:c r="W7" s="26" t="n">
        <x:f t="shared" ref="W7:W9" si="3">SUMPRODUCT(E7:V7,$E$2:$V$2)</x:f>
        <x:v>280000</x:v>
      </x:c>
      <x:c r="X7" s="23" t="s">
        <x:v>37</x:v>
      </x:c>
      <x:c r="Y7" s="23" t="s">
        <x:v>40</x:v>
      </x:c>
      <x:c r="Z7" s="23" t="s">
        <x:v>31</x:v>
      </x:c>
      <x:c r="AA7" s="32"/>
      <x:c r="AB7" s="33"/>
      <x:c r="AC7" s="34"/>
      <x:c r="AD7" s="34"/>
      <x:c r="AE7" s="31"/>
    </x:row>
    <x:row r="8" ht="18.75" customHeight="1">
      <x:c r="A8" s="19">
        <x:v>5.0</x:v>
      </x:c>
      <x:c r="B8" s="29" t="s">
        <x:v>41</x:v>
      </x:c>
      <x:c r="C8" s="21">
        <x:v>46225.0</x:v>
      </x:c>
      <x:c r="D8" s="22" t="s">
        <x:v>42</x:v>
      </x:c>
      <x:c r="E8" s="23"/>
      <x:c r="F8" s="23"/>
      <x:c r="G8" s="23"/>
      <x:c r="H8" s="24"/>
      <x:c r="I8" s="24"/>
      <x:c r="J8" s="24">
        <x:v>1.0</x:v>
      </x:c>
      <x:c r="K8" s="24"/>
      <x:c r="L8" s="24"/>
      <x:c r="M8" s="24"/>
      <x:c r="N8" s="24"/>
      <x:c r="O8" s="24"/>
      <x:c r="P8" s="24"/>
      <x:c r="Q8" s="25"/>
      <x:c r="R8" s="25"/>
      <x:c r="S8" s="25"/>
      <x:c r="T8" s="25"/>
      <x:c r="U8" s="25"/>
      <x:c r="V8" s="25"/>
      <x:c r="W8" s="26">
        <x:f t="shared" si="3"/>
        <x:v>500000</x:v>
      </x:c>
      <x:c r="X8" s="23" t="s">
        <x:v>37</x:v>
      </x:c>
      <x:c r="Y8" s="23"/>
      <x:c r="Z8" s="23" t="s">
        <x:v>31</x:v>
      </x:c>
      <x:c r="AA8" s="32"/>
      <x:c r="AB8" s="33"/>
      <x:c r="AC8" s="34" t="e">
        <x:f>IFERROR(__xludf.DUMMYFUNCTION("SUM(FILTER($G$4:$P$1106, $C$4:$C$1106 = AB8))"),1407491.108647935)</x:f>
        <x:v>#NAME?</x:v>
      </x:c>
      <x:c r="AD8" s="34" t="e">
        <x:f>IFERROR(__xludf.DUMMYFUNCTION("COUNT(FILTER($C$4:$C$1106, $C$4:$C$1106 = AB8))"),0.0)</x:f>
        <x:v>#NAME?</x:v>
      </x:c>
      <x:c r="AE8" s="31" t="n">
        <x:f t="shared" ref="AE8:AE11" si="4">SUMIF($C$4:$C$1106, $AB8 , $W$4:$W$1106)</x:f>
        <x:v>19832000</x:v>
      </x:c>
    </x:row>
    <x:row r="9" ht="18.75" customHeight="1">
      <x:c r="A9" s="19">
        <x:v>6.0</x:v>
      </x:c>
      <x:c r="B9" s="29" t="s">
        <x:v>43</x:v>
      </x:c>
      <x:c r="C9" s="36">
        <x:v>46226.0</x:v>
      </x:c>
      <x:c r="D9" s="22" t="s">
        <x:v>44</x:v>
      </x:c>
      <x:c r="E9" s="23"/>
      <x:c r="F9" s="23">
        <x:v>1.0</x:v>
      </x:c>
      <x:c r="G9" s="23"/>
      <x:c r="H9" s="24"/>
      <x:c r="I9" s="24"/>
      <x:c r="J9" s="25"/>
      <x:c r="K9" s="24"/>
      <x:c r="L9" s="25"/>
      <x:c r="M9" s="24"/>
      <x:c r="N9" s="24"/>
      <x:c r="O9" s="25"/>
      <x:c r="P9" s="25"/>
      <x:c r="Q9" s="25"/>
      <x:c r="R9" s="25"/>
      <x:c r="S9" s="24"/>
      <x:c r="T9" s="25"/>
      <x:c r="U9" s="25"/>
      <x:c r="V9" s="25"/>
      <x:c r="W9" s="26">
        <x:f t="shared" si="3"/>
        <x:v>280000</x:v>
      </x:c>
      <x:c r="X9" s="23" t="s">
        <x:v>37</x:v>
      </x:c>
      <x:c r="Y9" s="23"/>
      <x:c r="Z9" s="23" t="s">
        <x:v>31</x:v>
      </x:c>
      <x:c r="AA9" s="32"/>
      <x:c r="AB9" s="33"/>
      <x:c r="AC9" s="34" t="e">
        <x:f>IFERROR(__xludf.DUMMYFUNCTION("SUM(FILTER($G$4:$P$1106, $C$4:$C$1106 = AB9))"),1407491.108647935)</x:f>
        <x:v>#NAME?</x:v>
      </x:c>
      <x:c r="AD9" s="34" t="e">
        <x:f>IFERROR(__xludf.DUMMYFUNCTION("COUNT(FILTER($C$4:$C$1106, $C$4:$C$1106 = AB9))"),0.0)</x:f>
        <x:v>#NAME?</x:v>
      </x:c>
      <x:c r="AE9" s="31">
        <x:f t="shared" si="4"/>
        <x:v>0</x:v>
      </x:c>
    </x:row>
    <x:row r="10" ht="18.75" customHeight="1">
      <x:c r="A10" s="19">
        <x:v>7.0</x:v>
      </x:c>
      <x:c r="B10" s="29" t="s">
        <x:v>45</x:v>
      </x:c>
      <x:c r="C10" s="36">
        <x:v>46226.0</x:v>
      </x:c>
      <x:c r="D10" s="22" t="s">
        <x:v>46</x:v>
      </x:c>
      <x:c r="E10" s="23"/>
      <x:c r="F10" s="23">
        <x:v>1.0</x:v>
      </x:c>
      <x:c r="G10" s="23"/>
      <x:c r="H10" s="24"/>
      <x:c r="I10" s="24"/>
      <x:c r="J10" s="24"/>
      <x:c r="K10" s="24"/>
      <x:c r="L10" s="24"/>
      <x:c r="M10" s="24">
        <x:v>1.0</x:v>
      </x:c>
      <x:c r="N10" s="24"/>
      <x:c r="O10" s="24"/>
      <x:c r="P10" s="25"/>
      <x:c r="Q10" s="25"/>
      <x:c r="R10" s="25"/>
      <x:c r="S10" s="25"/>
      <x:c r="T10" s="24"/>
      <x:c r="U10" s="24"/>
      <x:c r="V10" s="25"/>
      <x:c r="W10" s="26" t="n">
        <x:f>SUMPRODUCT(E10:V10,$E$2:$V$2) - 8000</x:f>
        <x:v>527000</x:v>
      </x:c>
      <x:c r="X10" s="23" t="s">
        <x:v>37</x:v>
      </x:c>
      <x:c r="Y10" s="23"/>
      <x:c r="Z10" s="23" t="s">
        <x:v>31</x:v>
      </x:c>
      <x:c r="AA10" s="32"/>
      <x:c r="AB10" s="33"/>
      <x:c r="AC10" s="34" t="e">
        <x:f>IFERROR(__xludf.DUMMYFUNCTION("SUM(FILTER($G$4:$P$1106, $C$4:$C$1106 = AB10))"),1407491.108647935)</x:f>
        <x:v>#NAME?</x:v>
      </x:c>
      <x:c r="AD10" s="34" t="e">
        <x:f>IFERROR(__xludf.DUMMYFUNCTION("COUNT(FILTER($C$4:$C$1106, $C$4:$C$1106 = AB10))"),0.0)</x:f>
        <x:v>#NAME?</x:v>
      </x:c>
      <x:c r="AE10" s="31">
        <x:f t="shared" si="4"/>
        <x:v>0</x:v>
      </x:c>
    </x:row>
    <x:row r="11" ht="18.75" customHeight="1">
      <x:c r="A11" s="40">
        <x:v>8.0</x:v>
      </x:c>
      <x:c r="B11" s="41" t="s">
        <x:v>47</x:v>
      </x:c>
      <x:c r="C11" s="42">
        <x:v>46227.0</x:v>
      </x:c>
      <x:c r="D11" s="43" t="s">
        <x:v>48</x:v>
      </x:c>
      <x:c r="E11" s="41"/>
      <x:c r="F11" s="41"/>
      <x:c r="G11" s="41"/>
      <x:c r="H11" s="44"/>
      <x:c r="I11" s="44"/>
      <x:c r="J11" s="44"/>
      <x:c r="K11" s="44"/>
      <x:c r="L11" s="44"/>
      <x:c r="M11" s="45">
        <x:v>1.0</x:v>
      </x:c>
      <x:c r="N11" s="44"/>
      <x:c r="O11" s="44"/>
      <x:c r="P11" s="44"/>
      <x:c r="Q11" s="44"/>
      <x:c r="R11" s="44"/>
      <x:c r="S11" s="44"/>
      <x:c r="T11" s="44"/>
      <x:c r="U11" s="44"/>
      <x:c r="V11" s="44"/>
      <x:c r="W11" s="46" t="n">
        <x:f>SUMPRODUCT(E11:V11,$E$2:$V$2)</x:f>
        <x:v>255000</x:v>
      </x:c>
      <x:c r="X11" s="41" t="s">
        <x:v>37</x:v>
      </x:c>
      <x:c r="Y11" s="47"/>
      <x:c r="Z11" s="47" t="s">
        <x:v>31</x:v>
      </x:c>
      <x:c r="AA11" s="48"/>
      <x:c r="AB11" s="49"/>
      <x:c r="AC11" s="50" t="e">
        <x:f>IFERROR(__xludf.DUMMYFUNCTION("SUM(FILTER($G$4:$P$1106, $C$4:$C$1106 = AB11))"),1407491.108647935)</x:f>
        <x:v>#NAME?</x:v>
      </x:c>
      <x:c r="AD11" s="50" t="e">
        <x:f>IFERROR(__xludf.DUMMYFUNCTION("COUNT(FILTER($C$4:$C$1106, $C$4:$C$1106 = AB11))"),0.0)</x:f>
        <x:v>#NAME?</x:v>
      </x:c>
      <x:c r="AE11" s="51">
        <x:f t="shared" si="4"/>
        <x:v>0</x:v>
      </x:c>
      <x:c r="AF11" s="48"/>
      <x:c r="AG11" s="48"/>
      <x:c r="AH11" s="48"/>
      <x:c r="AI11" s="48"/>
      <x:c r="AJ11" s="48"/>
      <x:c r="AK11" s="48"/>
      <x:c r="AL11" s="48"/>
      <x:c r="AM11" s="48"/>
      <x:c r="AN11" s="48"/>
      <x:c r="AO11" s="48"/>
      <x:c r="AP11" s="48"/>
    </x:row>
    <x:row r="12" ht="18.75" customHeight="1">
      <x:c r="A12" s="40">
        <x:v>9.0</x:v>
      </x:c>
      <x:c r="B12" s="41" t="s">
        <x:v>49</x:v>
      </x:c>
      <x:c r="C12" s="42">
        <x:v>46228.0</x:v>
      </x:c>
      <x:c r="D12" s="43" t="s">
        <x:v>50</x:v>
      </x:c>
      <x:c r="E12" s="41"/>
      <x:c r="F12" s="52">
        <x:v>3.0</x:v>
      </x:c>
      <x:c r="G12" s="41"/>
      <x:c r="H12" s="44"/>
      <x:c r="I12" s="44"/>
      <x:c r="J12" s="44"/>
      <x:c r="K12" s="44"/>
      <x:c r="L12" s="44"/>
      <x:c r="M12" s="45">
        <x:v>1.0</x:v>
      </x:c>
      <x:c r="N12" s="44"/>
      <x:c r="O12" s="44"/>
      <x:c r="P12" s="44"/>
      <x:c r="Q12" s="44"/>
      <x:c r="R12" s="44"/>
      <x:c r="S12" s="44"/>
      <x:c r="T12" s="44"/>
      <x:c r="U12" s="44"/>
      <x:c r="V12" s="44"/>
      <x:c r="W12" s="46" t="n">
        <x:f>SUMPRODUCT(E12:V12,$E$2:$V$2) - 8000</x:f>
        <x:v>1087000</x:v>
      </x:c>
      <x:c r="X12" s="41" t="s">
        <x:v>37</x:v>
      </x:c>
      <x:c r="Y12" s="47"/>
      <x:c r="Z12" s="47" t="s">
        <x:v>31</x:v>
      </x:c>
      <x:c r="AA12" s="48"/>
      <x:c r="AB12" s="49"/>
      <x:c r="AC12" s="53"/>
      <x:c r="AD12" s="53"/>
      <x:c r="AE12" s="54"/>
      <x:c r="AF12" s="48"/>
      <x:c r="AG12" s="48"/>
      <x:c r="AH12" s="48"/>
      <x:c r="AI12" s="48"/>
      <x:c r="AJ12" s="48"/>
      <x:c r="AK12" s="48"/>
      <x:c r="AL12" s="48"/>
      <x:c r="AM12" s="48"/>
      <x:c r="AN12" s="48"/>
      <x:c r="AO12" s="48"/>
      <x:c r="AP12" s="48"/>
    </x:row>
    <x:row r="13" ht="18.75" customHeight="1">
      <x:c r="A13" s="19"/>
      <x:c r="B13" s="29"/>
      <x:c r="C13" s="36"/>
      <x:c r="D13" s="35"/>
      <x:c r="E13" s="23"/>
      <x:c r="F13" s="23"/>
      <x:c r="G13" s="23"/>
      <x:c r="H13" s="24"/>
      <x:c r="I13" s="24"/>
      <x:c r="J13" s="24"/>
      <x:c r="K13" s="24"/>
      <x:c r="L13" s="24"/>
      <x:c r="M13" s="24"/>
      <x:c r="N13" s="24"/>
      <x:c r="O13" s="24"/>
      <x:c r="P13" s="25"/>
      <x:c r="Q13" s="24"/>
      <x:c r="R13" s="25"/>
      <x:c r="S13" s="25"/>
      <x:c r="T13" s="25"/>
      <x:c r="U13" s="25"/>
      <x:c r="V13" s="25"/>
      <x:c r="W13" s="26" t="n">
        <x:f t="shared" ref="W13:W157" si="5">SUMPRODUCT(E13:V13,$E$2:$V$2)</x:f>
        <x:v>0</x:v>
      </x:c>
      <x:c r="X13" s="23"/>
      <x:c r="Y13" s="23"/>
      <x:c r="Z13" s="23"/>
      <x:c r="AA13" s="32"/>
      <x:c r="AB13" s="33"/>
      <x:c r="AC13" s="34"/>
      <x:c r="AD13" s="34"/>
      <x:c r="AE13" s="31"/>
    </x:row>
    <x:row r="14" ht="18.75" customHeight="1">
      <x:c r="A14" s="19"/>
      <x:c r="B14" s="29"/>
      <x:c r="C14" s="36"/>
      <x:c r="D14" s="35"/>
      <x:c r="E14" s="23"/>
      <x:c r="F14" s="23"/>
      <x:c r="G14" s="23"/>
      <x:c r="H14" s="24"/>
      <x:c r="I14" s="25"/>
      <x:c r="J14" s="24"/>
      <x:c r="K14" s="24"/>
      <x:c r="L14" s="24"/>
      <x:c r="M14" s="24"/>
      <x:c r="N14" s="24"/>
      <x:c r="O14" s="24"/>
      <x:c r="P14" s="25"/>
      <x:c r="Q14" s="24"/>
      <x:c r="R14" s="25"/>
      <x:c r="S14" s="25"/>
      <x:c r="T14" s="25"/>
      <x:c r="U14" s="25"/>
      <x:c r="V14" s="25"/>
      <x:c r="W14" s="26">
        <x:f t="shared" si="5"/>
        <x:v>0</x:v>
      </x:c>
      <x:c r="X14" s="23"/>
      <x:c r="Y14" s="23"/>
      <x:c r="Z14" s="23"/>
      <x:c r="AA14" s="32"/>
      <x:c r="AB14" s="33"/>
      <x:c r="AC14" s="34" t="e">
        <x:f>IFERROR(__xludf.DUMMYFUNCTION("SUM(FILTER($G$4:$P$1106, $C$4:$C$1106 = AB14))"),1407491.108647935)</x:f>
        <x:v>#NAME?</x:v>
      </x:c>
      <x:c r="AD14" s="34" t="e">
        <x:f>IFERROR(__xludf.DUMMYFUNCTION("COUNT(FILTER($C$4:$C$1106, $C$4:$C$1106 = AB14))"),0.0)</x:f>
        <x:v>#NAME?</x:v>
      </x:c>
      <x:c r="AE14" s="31" t="n">
        <x:f t="shared" ref="AE14:AE27" si="6">SUMIF($C$4:$C$1106, $AB14 , $W$4:$W$1106)</x:f>
        <x:v>19832000</x:v>
      </x:c>
    </x:row>
    <x:row r="15">
      <x:c r="A15" s="19"/>
      <x:c r="B15" s="29"/>
      <x:c r="C15" s="36"/>
      <x:c r="D15" s="55"/>
      <x:c r="E15" s="56"/>
      <x:c r="F15" s="56"/>
      <x:c r="G15" s="56"/>
      <x:c r="H15" s="24"/>
      <x:c r="I15" s="24"/>
      <x:c r="J15" s="25"/>
      <x:c r="K15" s="25"/>
      <x:c r="L15" s="25"/>
      <x:c r="M15" s="24"/>
      <x:c r="N15" s="24"/>
      <x:c r="O15" s="24"/>
      <x:c r="P15" s="24"/>
      <x:c r="Q15" s="24"/>
      <x:c r="R15" s="24"/>
      <x:c r="S15" s="25"/>
      <x:c r="T15" s="25"/>
      <x:c r="U15" s="25"/>
      <x:c r="V15" s="25"/>
      <x:c r="W15" s="26">
        <x:f t="shared" si="5"/>
        <x:v>0</x:v>
      </x:c>
      <x:c r="X15" s="23"/>
      <x:c r="Y15" s="23"/>
      <x:c r="Z15" s="23"/>
      <x:c r="AA15" s="57"/>
      <x:c r="AB15" s="33"/>
      <x:c r="AC15" s="34" t="e">
        <x:f>IFERROR(__xludf.DUMMYFUNCTION("SUM(FILTER($G$4:$P$1106, $C$4:$C$1106 = AB15))"),1407491.108647935)</x:f>
        <x:v>#NAME?</x:v>
      </x:c>
      <x:c r="AD15" s="34" t="e">
        <x:f>IFERROR(__xludf.DUMMYFUNCTION("COUNT(FILTER($C$4:$C$1106, $C$4:$C$1106 = AB15))"),0.0)</x:f>
        <x:v>#NAME?</x:v>
      </x:c>
      <x:c r="AE15" s="31">
        <x:f t="shared" si="6"/>
        <x:v>0</x:v>
      </x:c>
    </x:row>
    <x:row r="16" ht="18.75" customHeight="1">
      <x:c r="A16" s="19"/>
      <x:c r="B16" s="29"/>
      <x:c r="C16" s="36"/>
      <x:c r="D16" s="35"/>
      <x:c r="E16" s="56"/>
      <x:c r="F16" s="56"/>
      <x:c r="G16" s="56"/>
      <x:c r="H16" s="24"/>
      <x:c r="I16" s="24"/>
      <x:c r="J16" s="24"/>
      <x:c r="K16" s="24"/>
      <x:c r="L16" s="24"/>
      <x:c r="M16" s="24"/>
      <x:c r="N16" s="24"/>
      <x:c r="O16" s="25"/>
      <x:c r="P16" s="24"/>
      <x:c r="Q16" s="25"/>
      <x:c r="R16" s="25"/>
      <x:c r="S16" s="25"/>
      <x:c r="T16" s="25"/>
      <x:c r="U16" s="25"/>
      <x:c r="V16" s="25"/>
      <x:c r="W16" s="26">
        <x:f t="shared" si="5"/>
        <x:v>0</x:v>
      </x:c>
      <x:c r="X16" s="23"/>
      <x:c r="Y16" s="23"/>
      <x:c r="Z16" s="23"/>
      <x:c r="AA16" s="32"/>
      <x:c r="AB16" s="33"/>
      <x:c r="AC16" s="34" t="e">
        <x:f>IFERROR(__xludf.DUMMYFUNCTION("SUM(FILTER($G$4:$P$1106, $C$4:$C$1106 = AB16))"),1407491.108647935)</x:f>
        <x:v>#NAME?</x:v>
      </x:c>
      <x:c r="AD16" s="34" t="e">
        <x:f>IFERROR(__xludf.DUMMYFUNCTION("COUNT(FILTER($C$4:$C$1106, $C$4:$C$1106 = AB16))"),0.0)</x:f>
        <x:v>#NAME?</x:v>
      </x:c>
      <x:c r="AE16" s="31">
        <x:f t="shared" si="6"/>
        <x:v>0</x:v>
      </x:c>
    </x:row>
    <x:row r="17" ht="18.75" customHeight="1">
      <x:c r="A17" s="19"/>
      <x:c r="B17" s="29"/>
      <x:c r="C17" s="36"/>
      <x:c r="D17" s="35"/>
      <x:c r="E17" s="23"/>
      <x:c r="F17" s="23"/>
      <x:c r="G17" s="23"/>
      <x:c r="H17" s="24"/>
      <x:c r="I17" s="24"/>
      <x:c r="J17" s="25"/>
      <x:c r="K17" s="25"/>
      <x:c r="L17" s="25"/>
      <x:c r="M17" s="24"/>
      <x:c r="N17" s="24"/>
      <x:c r="O17" s="25"/>
      <x:c r="P17" s="25"/>
      <x:c r="Q17" s="25"/>
      <x:c r="R17" s="24"/>
      <x:c r="S17" s="25"/>
      <x:c r="T17" s="25"/>
      <x:c r="U17" s="25"/>
      <x:c r="V17" s="25"/>
      <x:c r="W17" s="26">
        <x:f t="shared" si="5"/>
        <x:v>0</x:v>
      </x:c>
      <x:c r="X17" s="23"/>
      <x:c r="Y17" s="23"/>
      <x:c r="Z17" s="23"/>
      <x:c r="AA17" s="32"/>
      <x:c r="AB17" s="33"/>
      <x:c r="AC17" s="34" t="e">
        <x:f>IFERROR(__xludf.DUMMYFUNCTION("SUM(FILTER($G$4:$P$1106, $C$4:$C$1106 = AB17))"),1407491.108647935)</x:f>
        <x:v>#NAME?</x:v>
      </x:c>
      <x:c r="AD17" s="34" t="e">
        <x:f>IFERROR(__xludf.DUMMYFUNCTION("COUNT(FILTER($C$4:$C$1106, $C$4:$C$1106 = AB17))"),0.0)</x:f>
        <x:v>#NAME?</x:v>
      </x:c>
      <x:c r="AE17" s="31">
        <x:f t="shared" si="6"/>
        <x:v>0</x:v>
      </x:c>
    </x:row>
    <x:row r="18" ht="18.75" customHeight="1">
      <x:c r="A18" s="19"/>
      <x:c r="B18" s="29"/>
      <x:c r="C18" s="36"/>
      <x:c r="D18" s="35"/>
      <x:c r="E18" s="23"/>
      <x:c r="F18" s="23"/>
      <x:c r="G18" s="23"/>
      <x:c r="H18" s="24"/>
      <x:c r="I18" s="25"/>
      <x:c r="J18" s="25"/>
      <x:c r="K18" s="25"/>
      <x:c r="L18" s="25"/>
      <x:c r="M18" s="24"/>
      <x:c r="N18" s="24"/>
      <x:c r="O18" s="25"/>
      <x:c r="P18" s="25"/>
      <x:c r="Q18" s="24"/>
      <x:c r="R18" s="25"/>
      <x:c r="S18" s="25"/>
      <x:c r="T18" s="25"/>
      <x:c r="U18" s="25"/>
      <x:c r="V18" s="25"/>
      <x:c r="W18" s="26">
        <x:f t="shared" si="5"/>
        <x:v>0</x:v>
      </x:c>
      <x:c r="X18" s="23"/>
      <x:c r="Y18" s="23"/>
      <x:c r="Z18" s="23"/>
      <x:c r="AA18" s="32"/>
      <x:c r="AB18" s="33"/>
      <x:c r="AC18" s="34" t="e">
        <x:f>IFERROR(__xludf.DUMMYFUNCTION("SUM(FILTER($G$4:$P$1106, $C$4:$C$1106 = AB18))"),1407491.108647935)</x:f>
        <x:v>#NAME?</x:v>
      </x:c>
      <x:c r="AD18" s="34" t="e">
        <x:f>IFERROR(__xludf.DUMMYFUNCTION("COUNT(FILTER($C$4:$C$1106, $C$4:$C$1106 = AB18))"),0.0)</x:f>
        <x:v>#NAME?</x:v>
      </x:c>
      <x:c r="AE18" s="31">
        <x:f t="shared" si="6"/>
        <x:v>0</x:v>
      </x:c>
    </x:row>
    <x:row r="19" ht="18.75" customHeight="1">
      <x:c r="A19" s="19"/>
      <x:c r="B19" s="29"/>
      <x:c r="C19" s="21"/>
      <x:c r="D19" s="35"/>
      <x:c r="E19" s="23"/>
      <x:c r="F19" s="23"/>
      <x:c r="G19" s="23"/>
      <x:c r="H19" s="24"/>
      <x:c r="I19" s="24"/>
      <x:c r="J19" s="24"/>
      <x:c r="K19" s="24"/>
      <x:c r="L19" s="24"/>
      <x:c r="M19" s="25"/>
      <x:c r="N19" s="24"/>
      <x:c r="O19" s="24"/>
      <x:c r="P19" s="25"/>
      <x:c r="Q19" s="24"/>
      <x:c r="R19" s="25"/>
      <x:c r="S19" s="25"/>
      <x:c r="T19" s="25"/>
      <x:c r="U19" s="25"/>
      <x:c r="V19" s="25"/>
      <x:c r="W19" s="26">
        <x:f t="shared" si="5"/>
        <x:v>0</x:v>
      </x:c>
      <x:c r="X19" s="23"/>
      <x:c r="Y19" s="23"/>
      <x:c r="Z19" s="23"/>
      <x:c r="AA19" s="32"/>
      <x:c r="AB19" s="33"/>
      <x:c r="AC19" s="34" t="e">
        <x:f>IFERROR(__xludf.DUMMYFUNCTION("SUM(FILTER($G$4:$P$1106, $C$4:$C$1106 = AB19))"),1407491.108647935)</x:f>
        <x:v>#NAME?</x:v>
      </x:c>
      <x:c r="AD19" s="34" t="e">
        <x:f>IFERROR(__xludf.DUMMYFUNCTION("COUNT(FILTER($C$4:$C$1106, $C$4:$C$1106 = AB19))"),0.0)</x:f>
        <x:v>#NAME?</x:v>
      </x:c>
      <x:c r="AE19" s="31">
        <x:f t="shared" si="6"/>
        <x:v>0</x:v>
      </x:c>
    </x:row>
    <x:row r="20" ht="18.75" customHeight="1">
      <x:c r="A20" s="19"/>
      <x:c r="B20" s="29"/>
      <x:c r="C20" s="21"/>
      <x:c r="D20" s="35"/>
      <x:c r="E20" s="23"/>
      <x:c r="F20" s="23"/>
      <x:c r="G20" s="23"/>
      <x:c r="H20" s="24"/>
      <x:c r="I20" s="24"/>
      <x:c r="J20" s="24"/>
      <x:c r="K20" s="24"/>
      <x:c r="L20" s="24"/>
      <x:c r="M20" s="25"/>
      <x:c r="N20" s="24"/>
      <x:c r="O20" s="25"/>
      <x:c r="P20" s="25"/>
      <x:c r="Q20" s="24"/>
      <x:c r="R20" s="25"/>
      <x:c r="S20" s="25"/>
      <x:c r="T20" s="25"/>
      <x:c r="U20" s="25"/>
      <x:c r="V20" s="25"/>
      <x:c r="W20" s="26">
        <x:f t="shared" si="5"/>
        <x:v>0</x:v>
      </x:c>
      <x:c r="X20" s="23"/>
      <x:c r="Y20" s="23"/>
      <x:c r="Z20" s="23"/>
      <x:c r="AA20" s="32"/>
      <x:c r="AB20" s="33"/>
      <x:c r="AC20" s="34" t="e">
        <x:f>IFERROR(__xludf.DUMMYFUNCTION("SUM(FILTER($G$4:$P$1106, $C$4:$C$1106 = AB20))"),1407491.108647935)</x:f>
        <x:v>#NAME?</x:v>
      </x:c>
      <x:c r="AD20" s="34" t="e">
        <x:f>IFERROR(__xludf.DUMMYFUNCTION("COUNT(FILTER($C$4:$C$1106, $C$4:$C$1106 = AB20))"),0.0)</x:f>
        <x:v>#NAME?</x:v>
      </x:c>
      <x:c r="AE20" s="31">
        <x:f t="shared" si="6"/>
        <x:v>0</x:v>
      </x:c>
    </x:row>
    <x:row r="21">
      <x:c r="A21" s="19"/>
      <x:c r="B21" s="29"/>
      <x:c r="C21" s="21"/>
      <x:c r="D21" s="35"/>
      <x:c r="E21" s="23"/>
      <x:c r="F21" s="23"/>
      <x:c r="G21" s="23"/>
      <x:c r="H21" s="24"/>
      <x:c r="I21" s="25"/>
      <x:c r="J21" s="25"/>
      <x:c r="K21" s="25"/>
      <x:c r="L21" s="25"/>
      <x:c r="M21" s="24"/>
      <x:c r="N21" s="24"/>
      <x:c r="O21" s="25"/>
      <x:c r="P21" s="25"/>
      <x:c r="Q21" s="24"/>
      <x:c r="R21" s="25"/>
      <x:c r="S21" s="25"/>
      <x:c r="T21" s="25"/>
      <x:c r="U21" s="25"/>
      <x:c r="V21" s="25"/>
      <x:c r="W21" s="26">
        <x:f t="shared" si="5"/>
        <x:v>0</x:v>
      </x:c>
      <x:c r="X21" s="23"/>
      <x:c r="Y21" s="23"/>
      <x:c r="Z21" s="23"/>
      <x:c r="AA21" s="57"/>
      <x:c r="AB21" s="33"/>
      <x:c r="AC21" s="34" t="e">
        <x:f>IFERROR(__xludf.DUMMYFUNCTION("SUM(FILTER($G$4:$P$1106, $C$4:$C$1106 = AB21))"),1407491.108647935)</x:f>
        <x:v>#NAME?</x:v>
      </x:c>
      <x:c r="AD21" s="34" t="e">
        <x:f>IFERROR(__xludf.DUMMYFUNCTION("COUNT(FILTER($C$4:$C$1106, $C$4:$C$1106 = AB21))"),0.0)</x:f>
        <x:v>#NAME?</x:v>
      </x:c>
      <x:c r="AE21" s="31">
        <x:f t="shared" si="6"/>
        <x:v>0</x:v>
      </x:c>
    </x:row>
    <x:row r="22" ht="18.75" customHeight="1">
      <x:c r="A22" s="19"/>
      <x:c r="B22" s="29"/>
      <x:c r="C22" s="21"/>
      <x:c r="D22" s="35"/>
      <x:c r="E22" s="23"/>
      <x:c r="F22" s="23"/>
      <x:c r="G22" s="23"/>
      <x:c r="H22" s="24"/>
      <x:c r="I22" s="24"/>
      <x:c r="J22" s="24"/>
      <x:c r="K22" s="24"/>
      <x:c r="L22" s="24"/>
      <x:c r="M22" s="24"/>
      <x:c r="N22" s="24"/>
      <x:c r="O22" s="24"/>
      <x:c r="P22" s="25"/>
      <x:c r="Q22" s="24"/>
      <x:c r="R22" s="25"/>
      <x:c r="S22" s="25"/>
      <x:c r="T22" s="25"/>
      <x:c r="U22" s="25"/>
      <x:c r="V22" s="25"/>
      <x:c r="W22" s="26">
        <x:f t="shared" si="5"/>
        <x:v>0</x:v>
      </x:c>
      <x:c r="X22" s="23"/>
      <x:c r="Y22" s="23"/>
      <x:c r="Z22" s="23"/>
      <x:c r="AA22" s="57"/>
      <x:c r="AB22" s="33"/>
      <x:c r="AC22" s="34" t="e">
        <x:f>IFERROR(__xludf.DUMMYFUNCTION("SUM(FILTER($G$4:$P$1106, $C$4:$C$1106 = AB22))"),1407491.108647935)</x:f>
        <x:v>#NAME?</x:v>
      </x:c>
      <x:c r="AD22" s="34" t="e">
        <x:f>IFERROR(__xludf.DUMMYFUNCTION("COUNT(FILTER($C$4:$C$1106, $C$4:$C$1106 = AB22))"),0.0)</x:f>
        <x:v>#NAME?</x:v>
      </x:c>
      <x:c r="AE22" s="31">
        <x:f t="shared" si="6"/>
        <x:v>0</x:v>
      </x:c>
    </x:row>
    <x:row r="23" ht="18.75" customHeight="1">
      <x:c r="A23" s="19"/>
      <x:c r="B23" s="29"/>
      <x:c r="C23" s="21"/>
      <x:c r="D23" s="35"/>
      <x:c r="E23" s="23"/>
      <x:c r="F23" s="23"/>
      <x:c r="G23" s="23"/>
      <x:c r="H23" s="24"/>
      <x:c r="I23" s="24"/>
      <x:c r="J23" s="24"/>
      <x:c r="K23" s="24"/>
      <x:c r="L23" s="24"/>
      <x:c r="M23" s="24"/>
      <x:c r="N23" s="24"/>
      <x:c r="O23" s="24"/>
      <x:c r="P23" s="25"/>
      <x:c r="Q23" s="24"/>
      <x:c r="R23" s="25"/>
      <x:c r="S23" s="25"/>
      <x:c r="T23" s="25"/>
      <x:c r="U23" s="25"/>
      <x:c r="V23" s="25"/>
      <x:c r="W23" s="26">
        <x:f t="shared" si="5"/>
        <x:v>0</x:v>
      </x:c>
      <x:c r="X23" s="23"/>
      <x:c r="Y23" s="23"/>
      <x:c r="Z23" s="23"/>
      <x:c r="AA23" s="32"/>
      <x:c r="AB23" s="33"/>
      <x:c r="AC23" s="34" t="e">
        <x:f>IFERROR(__xludf.DUMMYFUNCTION("SUM(FILTER($G$4:$P$1106, $C$4:$C$1106 = AB23))"),1407491.108647935)</x:f>
        <x:v>#NAME?</x:v>
      </x:c>
      <x:c r="AD23" s="34" t="e">
        <x:f>IFERROR(__xludf.DUMMYFUNCTION("COUNT(FILTER($C$4:$C$1106, $C$4:$C$1106 = AB23))"),0.0)</x:f>
        <x:v>#NAME?</x:v>
      </x:c>
      <x:c r="AE23" s="31">
        <x:f t="shared" si="6"/>
        <x:v>0</x:v>
      </x:c>
    </x:row>
    <x:row r="24" ht="18.75" customHeight="1">
      <x:c r="A24" s="19"/>
      <x:c r="B24" s="29"/>
      <x:c r="C24" s="21"/>
      <x:c r="D24" s="35"/>
      <x:c r="E24" s="23"/>
      <x:c r="F24" s="23"/>
      <x:c r="G24" s="23"/>
      <x:c r="H24" s="24"/>
      <x:c r="I24" s="24"/>
      <x:c r="J24" s="24"/>
      <x:c r="K24" s="24"/>
      <x:c r="L24" s="24"/>
      <x:c r="M24" s="24"/>
      <x:c r="N24" s="24"/>
      <x:c r="O24" s="24"/>
      <x:c r="P24" s="24"/>
      <x:c r="Q24" s="25"/>
      <x:c r="R24" s="24"/>
      <x:c r="S24" s="25"/>
      <x:c r="T24" s="25"/>
      <x:c r="U24" s="25"/>
      <x:c r="V24" s="25"/>
      <x:c r="W24" s="26">
        <x:f t="shared" si="5"/>
        <x:v>0</x:v>
      </x:c>
      <x:c r="X24" s="23"/>
      <x:c r="Y24" s="23"/>
      <x:c r="Z24" s="23"/>
      <x:c r="AA24" s="32"/>
      <x:c r="AB24" s="33"/>
      <x:c r="AC24" s="34" t="e">
        <x:f>IFERROR(__xludf.DUMMYFUNCTION("SUM(FILTER($G$4:$P$1106, $C$4:$C$1106 = AB24))"),1407491.108647935)</x:f>
        <x:v>#NAME?</x:v>
      </x:c>
      <x:c r="AD24" s="34" t="e">
        <x:f>IFERROR(__xludf.DUMMYFUNCTION("COUNT(FILTER($C$4:$C$1106, $C$4:$C$1106 = AB24))"),0.0)</x:f>
        <x:v>#NAME?</x:v>
      </x:c>
      <x:c r="AE24" s="31">
        <x:f t="shared" si="6"/>
        <x:v>0</x:v>
      </x:c>
    </x:row>
    <x:row r="25" ht="18.75" customHeight="1">
      <x:c r="A25" s="19"/>
      <x:c r="B25" s="29"/>
      <x:c r="C25" s="21"/>
      <x:c r="D25" s="35"/>
      <x:c r="E25" s="56"/>
      <x:c r="F25" s="56"/>
      <x:c r="G25" s="56"/>
      <x:c r="H25" s="24"/>
      <x:c r="I25" s="25"/>
      <x:c r="J25" s="25"/>
      <x:c r="K25" s="25"/>
      <x:c r="L25" s="25"/>
      <x:c r="M25" s="24"/>
      <x:c r="N25" s="25"/>
      <x:c r="O25" s="24"/>
      <x:c r="P25" s="25"/>
      <x:c r="Q25" s="25"/>
      <x:c r="R25" s="25"/>
      <x:c r="S25" s="25"/>
      <x:c r="T25" s="25"/>
      <x:c r="U25" s="25"/>
      <x:c r="V25" s="25"/>
      <x:c r="W25" s="26">
        <x:f t="shared" si="5"/>
        <x:v>0</x:v>
      </x:c>
      <x:c r="X25" s="23"/>
      <x:c r="Y25" s="23"/>
      <x:c r="Z25" s="23"/>
      <x:c r="AA25" s="32"/>
      <x:c r="AB25" s="33"/>
      <x:c r="AC25" s="34" t="e">
        <x:f>IFERROR(__xludf.DUMMYFUNCTION("SUM(FILTER($G$4:$P$1106, $C$4:$C$1106 = AB25))"),1407491.108647935)</x:f>
        <x:v>#NAME?</x:v>
      </x:c>
      <x:c r="AD25" s="34" t="e">
        <x:f>IFERROR(__xludf.DUMMYFUNCTION("COUNT(FILTER($C$4:$C$1106, $C$4:$C$1106 = AB25))"),0.0)</x:f>
        <x:v>#NAME?</x:v>
      </x:c>
      <x:c r="AE25" s="31">
        <x:f t="shared" si="6"/>
        <x:v>0</x:v>
      </x:c>
    </x:row>
    <x:row r="26" ht="18.75" customHeight="1">
      <x:c r="A26" s="59"/>
      <x:c r="B26" s="60"/>
      <x:c r="C26" s="61"/>
      <x:c r="D26" s="62"/>
      <x:c r="E26" s="63"/>
      <x:c r="F26" s="63"/>
      <x:c r="G26" s="63"/>
      <x:c r="H26" s="64"/>
      <x:c r="I26" s="64"/>
      <x:c r="J26" s="64"/>
      <x:c r="K26" s="64"/>
      <x:c r="L26" s="64"/>
      <x:c r="M26" s="64"/>
      <x:c r="N26" s="64"/>
      <x:c r="O26" s="65"/>
      <x:c r="P26" s="65"/>
      <x:c r="Q26" s="65"/>
      <x:c r="R26" s="65"/>
      <x:c r="S26" s="65"/>
      <x:c r="T26" s="65"/>
      <x:c r="U26" s="65"/>
      <x:c r="V26" s="65"/>
      <x:c r="W26" s="26">
        <x:f t="shared" si="5"/>
        <x:v>0</x:v>
      </x:c>
      <x:c r="X26" s="63"/>
      <x:c r="Y26" s="63"/>
      <x:c r="Z26" s="63"/>
      <x:c r="AA26" s="66"/>
      <x:c r="AB26" s="67"/>
      <x:c r="AC26" s="68" t="e">
        <x:f>IFERROR(__xludf.DUMMYFUNCTION("SUM(FILTER($G$4:$P$1106, $C$4:$C$1106 = AB26))"),1407491.108647935)</x:f>
        <x:v>#NAME?</x:v>
      </x:c>
      <x:c r="AD26" s="68" t="e">
        <x:f>IFERROR(__xludf.DUMMYFUNCTION("COUNT(FILTER($C$4:$C$1106, $C$4:$C$1106 = AB26))"),0.0)</x:f>
        <x:v>#NAME?</x:v>
      </x:c>
      <x:c r="AE26" s="69">
        <x:f t="shared" si="6"/>
        <x:v>0</x:v>
      </x:c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</x:row>
    <x:row r="27" ht="18.75" customHeight="1">
      <x:c r="A27" s="19"/>
      <x:c r="B27" s="29"/>
      <x:c r="C27" s="21"/>
      <x:c r="D27" s="35"/>
      <x:c r="E27" s="23"/>
      <x:c r="F27" s="23"/>
      <x:c r="G27" s="23"/>
      <x:c r="H27" s="24"/>
      <x:c r="I27" s="25"/>
      <x:c r="J27" s="25"/>
      <x:c r="K27" s="25"/>
      <x:c r="L27" s="25"/>
      <x:c r="M27" s="24"/>
      <x:c r="N27" s="24"/>
      <x:c r="O27" s="24"/>
      <x:c r="P27" s="25"/>
      <x:c r="Q27" s="25"/>
      <x:c r="R27" s="25"/>
      <x:c r="S27" s="25"/>
      <x:c r="T27" s="25"/>
      <x:c r="U27" s="25"/>
      <x:c r="V27" s="25"/>
      <x:c r="W27" s="26">
        <x:f t="shared" si="5"/>
        <x:v>0</x:v>
      </x:c>
      <x:c r="X27" s="23"/>
      <x:c r="Y27" s="23"/>
      <x:c r="Z27" s="23"/>
      <x:c r="AB27" s="33"/>
      <x:c r="AC27" s="34" t="e">
        <x:f>IFERROR(__xludf.DUMMYFUNCTION("SUM(FILTER($G$4:$P$1106, $C$4:$C$1106 = AB27))"),1407491.108647935)</x:f>
        <x:v>#NAME?</x:v>
      </x:c>
      <x:c r="AD27" s="34" t="e">
        <x:f>IFERROR(__xludf.DUMMYFUNCTION("COUNT(FILTER($C$4:$C$1106, $C$4:$C$1106 = AB27))"),0.0)</x:f>
        <x:v>#NAME?</x:v>
      </x:c>
      <x:c r="AE27" s="31">
        <x:f t="shared" si="6"/>
        <x:v>0</x:v>
      </x:c>
    </x:row>
    <x:row r="28" ht="18.75" customHeight="1">
      <x:c r="A28" s="19"/>
      <x:c r="B28" s="29"/>
      <x:c r="C28" s="21"/>
      <x:c r="D28" s="35"/>
      <x:c r="E28" s="23"/>
      <x:c r="F28" s="23"/>
      <x:c r="G28" s="23"/>
      <x:c r="H28" s="24"/>
      <x:c r="I28" s="25"/>
      <x:c r="J28" s="25"/>
      <x:c r="K28" s="25"/>
      <x:c r="L28" s="25"/>
      <x:c r="M28" s="24"/>
      <x:c r="N28" s="24"/>
      <x:c r="O28" s="25"/>
      <x:c r="P28" s="25"/>
      <x:c r="Q28" s="25"/>
      <x:c r="R28" s="25"/>
      <x:c r="S28" s="25"/>
      <x:c r="T28" s="25"/>
      <x:c r="U28" s="25"/>
      <x:c r="V28" s="25"/>
      <x:c r="W28" s="26">
        <x:f t="shared" si="5"/>
        <x:v>0</x:v>
      </x:c>
      <x:c r="X28" s="23"/>
      <x:c r="Y28" s="23"/>
      <x:c r="Z28" s="23"/>
    </x:row>
    <x:row r="29">
      <x:c r="A29" s="19"/>
      <x:c r="B29" s="29"/>
      <x:c r="C29" s="21"/>
      <x:c r="D29" s="35"/>
      <x:c r="E29" s="56"/>
      <x:c r="F29" s="56"/>
      <x:c r="G29" s="56"/>
      <x:c r="H29" s="24"/>
      <x:c r="I29" s="24"/>
      <x:c r="J29" s="24"/>
      <x:c r="K29" s="24"/>
      <x:c r="L29" s="24"/>
      <x:c r="M29" s="24"/>
      <x:c r="N29" s="24"/>
      <x:c r="O29" s="25"/>
      <x:c r="P29" s="25"/>
      <x:c r="Q29" s="25"/>
      <x:c r="R29" s="25"/>
      <x:c r="S29" s="25"/>
      <x:c r="T29" s="25"/>
      <x:c r="U29" s="25"/>
      <x:c r="V29" s="25"/>
      <x:c r="W29" s="26">
        <x:f t="shared" si="5"/>
        <x:v>0</x:v>
      </x:c>
      <x:c r="X29" s="23"/>
      <x:c r="Y29" s="23"/>
      <x:c r="Z29" s="23"/>
      <x:c r="AA29" s="32"/>
    </x:row>
    <x:row r="30" ht="18.75" customHeight="1">
      <x:c r="A30" s="19"/>
      <x:c r="B30" s="29"/>
      <x:c r="C30" s="21"/>
      <x:c r="D30" s="35"/>
      <x:c r="E30" s="23"/>
      <x:c r="F30" s="23"/>
      <x:c r="G30" s="23"/>
      <x:c r="H30" s="24"/>
      <x:c r="I30" s="25"/>
      <x:c r="J30" s="25"/>
      <x:c r="K30" s="25"/>
      <x:c r="L30" s="25"/>
      <x:c r="M30" s="24"/>
      <x:c r="N30" s="24"/>
      <x:c r="O30" s="25"/>
      <x:c r="P30" s="25"/>
      <x:c r="Q30" s="25"/>
      <x:c r="R30" s="25"/>
      <x:c r="S30" s="25"/>
      <x:c r="T30" s="25"/>
      <x:c r="U30" s="25"/>
      <x:c r="V30" s="25"/>
      <x:c r="W30" s="26">
        <x:f t="shared" si="5"/>
        <x:v>0</x:v>
      </x:c>
      <x:c r="X30" s="23"/>
      <x:c r="Y30" s="23"/>
      <x:c r="Z30" s="23"/>
    </x:row>
    <x:row r="31" ht="18.75" customHeight="1">
      <x:c r="A31" s="19"/>
      <x:c r="B31" s="29"/>
      <x:c r="C31" s="21"/>
      <x:c r="D31" s="35"/>
      <x:c r="E31" s="23"/>
      <x:c r="F31" s="23"/>
      <x:c r="G31" s="23"/>
      <x:c r="H31" s="24"/>
      <x:c r="I31" s="25"/>
      <x:c r="J31" s="25"/>
      <x:c r="K31" s="25"/>
      <x:c r="L31" s="25"/>
      <x:c r="M31" s="24"/>
      <x:c r="N31" s="24"/>
      <x:c r="O31" s="25"/>
      <x:c r="P31" s="25"/>
      <x:c r="Q31" s="25"/>
      <x:c r="R31" s="25"/>
      <x:c r="S31" s="25"/>
      <x:c r="T31" s="25"/>
      <x:c r="U31" s="25"/>
      <x:c r="V31" s="25"/>
      <x:c r="W31" s="26">
        <x:f t="shared" si="5"/>
        <x:v>0</x:v>
      </x:c>
      <x:c r="X31" s="23"/>
      <x:c r="Y31" s="23"/>
      <x:c r="Z31" s="23"/>
    </x:row>
    <x:row r="32" ht="18.75" customHeight="1">
      <x:c r="A32" s="19"/>
      <x:c r="B32" s="29"/>
      <x:c r="C32" s="21"/>
      <x:c r="D32" s="35"/>
      <x:c r="E32" s="23"/>
      <x:c r="F32" s="23"/>
      <x:c r="G32" s="23"/>
      <x:c r="H32" s="24"/>
      <x:c r="I32" s="24"/>
      <x:c r="J32" s="24"/>
      <x:c r="K32" s="24"/>
      <x:c r="L32" s="24"/>
      <x:c r="M32" s="24"/>
      <x:c r="N32" s="24"/>
      <x:c r="O32" s="25"/>
      <x:c r="P32" s="25"/>
      <x:c r="Q32" s="25"/>
      <x:c r="R32" s="25"/>
      <x:c r="S32" s="25"/>
      <x:c r="T32" s="25"/>
      <x:c r="U32" s="25"/>
      <x:c r="V32" s="25"/>
      <x:c r="W32" s="26">
        <x:f t="shared" si="5"/>
        <x:v>0</x:v>
      </x:c>
      <x:c r="X32" s="23"/>
      <x:c r="Y32" s="23"/>
      <x:c r="Z32" s="23"/>
    </x:row>
    <x:row r="33" ht="18.75" customHeight="1">
      <x:c r="A33" s="19"/>
      <x:c r="B33" s="29"/>
      <x:c r="C33" s="21"/>
      <x:c r="D33" s="35"/>
      <x:c r="E33" s="23"/>
      <x:c r="F33" s="23"/>
      <x:c r="G33" s="23"/>
      <x:c r="H33" s="24"/>
      <x:c r="I33" s="25"/>
      <x:c r="J33" s="25"/>
      <x:c r="K33" s="25"/>
      <x:c r="L33" s="25"/>
      <x:c r="M33" s="24"/>
      <x:c r="N33" s="24"/>
      <x:c r="O33" s="25"/>
      <x:c r="P33" s="25"/>
      <x:c r="Q33" s="25"/>
      <x:c r="R33" s="25"/>
      <x:c r="S33" s="25"/>
      <x:c r="T33" s="25"/>
      <x:c r="U33" s="25"/>
      <x:c r="V33" s="25"/>
      <x:c r="W33" s="26">
        <x:f t="shared" si="5"/>
        <x:v>0</x:v>
      </x:c>
      <x:c r="X33" s="23"/>
      <x:c r="Y33" s="23"/>
      <x:c r="Z33" s="23"/>
    </x:row>
    <x:row r="34" ht="18.75" customHeight="1">
      <x:c r="A34" s="19"/>
      <x:c r="B34" s="29"/>
      <x:c r="C34" s="21"/>
      <x:c r="D34" s="55"/>
      <x:c r="E34" s="23"/>
      <x:c r="F34" s="23"/>
      <x:c r="G34" s="23"/>
      <x:c r="H34" s="24"/>
      <x:c r="I34" s="25"/>
      <x:c r="J34" s="24"/>
      <x:c r="K34" s="24"/>
      <x:c r="L34" s="24"/>
      <x:c r="M34" s="24"/>
      <x:c r="N34" s="24"/>
      <x:c r="O34" s="25"/>
      <x:c r="P34" s="25"/>
      <x:c r="Q34" s="25"/>
      <x:c r="R34" s="25"/>
      <x:c r="S34" s="25"/>
      <x:c r="T34" s="25"/>
      <x:c r="U34" s="25"/>
      <x:c r="V34" s="25"/>
      <x:c r="W34" s="26">
        <x:f t="shared" si="5"/>
        <x:v>0</x:v>
      </x:c>
      <x:c r="X34" s="23"/>
      <x:c r="Y34" s="23"/>
      <x:c r="Z34" s="23"/>
    </x:row>
    <x:row r="35" ht="18.75" customHeight="1">
      <x:c r="A35" s="19"/>
      <x:c r="B35" s="71"/>
      <x:c r="C35" s="21"/>
      <x:c r="D35" s="35"/>
      <x:c r="E35" s="23"/>
      <x:c r="F35" s="23"/>
      <x:c r="G35" s="23"/>
      <x:c r="H35" s="24"/>
      <x:c r="I35" s="25"/>
      <x:c r="J35" s="25"/>
      <x:c r="K35" s="25"/>
      <x:c r="L35" s="25"/>
      <x:c r="M35" s="24"/>
      <x:c r="N35" s="24"/>
      <x:c r="O35" s="25"/>
      <x:c r="P35" s="25"/>
      <x:c r="Q35" s="25"/>
      <x:c r="R35" s="25"/>
      <x:c r="S35" s="25"/>
      <x:c r="T35" s="25"/>
      <x:c r="U35" s="25"/>
      <x:c r="V35" s="25"/>
      <x:c r="W35" s="26">
        <x:f t="shared" si="5"/>
        <x:v>0</x:v>
      </x:c>
      <x:c r="X35" s="23"/>
      <x:c r="Y35" s="23"/>
      <x:c r="Z35" s="23"/>
    </x:row>
    <x:row r="36" ht="18.75" customHeight="1">
      <x:c r="A36" s="19"/>
      <x:c r="B36" s="29"/>
      <x:c r="C36" s="21"/>
      <x:c r="D36" s="35"/>
      <x:c r="E36" s="56"/>
      <x:c r="F36" s="56"/>
      <x:c r="G36" s="56"/>
      <x:c r="H36" s="24"/>
      <x:c r="I36" s="25"/>
      <x:c r="J36" s="25"/>
      <x:c r="K36" s="25"/>
      <x:c r="L36" s="25"/>
      <x:c r="M36" s="24"/>
      <x:c r="N36" s="24"/>
      <x:c r="O36" s="25"/>
      <x:c r="P36" s="25"/>
      <x:c r="Q36" s="25"/>
      <x:c r="R36" s="25"/>
      <x:c r="S36" s="25"/>
      <x:c r="T36" s="25"/>
      <x:c r="U36" s="25"/>
      <x:c r="V36" s="25"/>
      <x:c r="W36" s="26">
        <x:f t="shared" si="5"/>
        <x:v>0</x:v>
      </x:c>
      <x:c r="X36" s="23"/>
      <x:c r="Y36" s="23"/>
      <x:c r="Z36" s="23"/>
    </x:row>
    <x:row r="37" ht="18.75" customHeight="1">
      <x:c r="A37" s="19"/>
      <x:c r="B37" s="29"/>
      <x:c r="C37" s="21"/>
      <x:c r="D37" s="35"/>
      <x:c r="E37" s="23"/>
      <x:c r="F37" s="23"/>
      <x:c r="G37" s="23"/>
      <x:c r="H37" s="24"/>
      <x:c r="I37" s="25"/>
      <x:c r="J37" s="25"/>
      <x:c r="K37" s="25"/>
      <x:c r="L37" s="25"/>
      <x:c r="M37" s="24"/>
      <x:c r="N37" s="25"/>
      <x:c r="O37" s="25"/>
      <x:c r="P37" s="25"/>
      <x:c r="Q37" s="25"/>
      <x:c r="R37" s="25"/>
      <x:c r="S37" s="25"/>
      <x:c r="T37" s="25"/>
      <x:c r="U37" s="25"/>
      <x:c r="V37" s="25"/>
      <x:c r="W37" s="26">
        <x:f t="shared" si="5"/>
        <x:v>0</x:v>
      </x:c>
      <x:c r="X37" s="23"/>
      <x:c r="Y37" s="23"/>
      <x:c r="Z37" s="23"/>
    </x:row>
    <x:row r="38" ht="18.75" customHeight="1">
      <x:c r="A38" s="19"/>
      <x:c r="B38" s="29"/>
      <x:c r="C38" s="21"/>
      <x:c r="D38" s="55"/>
      <x:c r="E38" s="23"/>
      <x:c r="F38" s="23"/>
      <x:c r="G38" s="23"/>
      <x:c r="H38" s="24"/>
      <x:c r="I38" s="25"/>
      <x:c r="J38" s="25"/>
      <x:c r="K38" s="25"/>
      <x:c r="L38" s="25"/>
      <x:c r="M38" s="24"/>
      <x:c r="N38" s="24"/>
      <x:c r="O38" s="25"/>
      <x:c r="P38" s="25"/>
      <x:c r="Q38" s="25"/>
      <x:c r="R38" s="25"/>
      <x:c r="S38" s="25"/>
      <x:c r="T38" s="25"/>
      <x:c r="U38" s="25"/>
      <x:c r="V38" s="25"/>
      <x:c r="W38" s="26">
        <x:f t="shared" si="5"/>
        <x:v>0</x:v>
      </x:c>
      <x:c r="X38" s="23"/>
      <x:c r="Y38" s="23"/>
      <x:c r="Z38" s="23"/>
    </x:row>
    <x:row r="39" ht="18.75" customHeight="1">
      <x:c r="A39" s="19"/>
      <x:c r="B39" s="29"/>
      <x:c r="C39" s="21"/>
      <x:c r="D39" s="55"/>
      <x:c r="E39" s="56"/>
      <x:c r="F39" s="56"/>
      <x:c r="G39" s="56"/>
      <x:c r="H39" s="24"/>
      <x:c r="I39" s="24"/>
      <x:c r="J39" s="24"/>
      <x:c r="K39" s="24"/>
      <x:c r="L39" s="24"/>
      <x:c r="M39" s="24"/>
      <x:c r="N39" s="24"/>
      <x:c r="O39" s="25"/>
      <x:c r="P39" s="25"/>
      <x:c r="Q39" s="25"/>
      <x:c r="R39" s="25"/>
      <x:c r="S39" s="25"/>
      <x:c r="T39" s="25"/>
      <x:c r="U39" s="25"/>
      <x:c r="V39" s="25"/>
      <x:c r="W39" s="26">
        <x:f t="shared" si="5"/>
        <x:v>0</x:v>
      </x:c>
      <x:c r="X39" s="23"/>
      <x:c r="Y39" s="23"/>
      <x:c r="Z39" s="23"/>
    </x:row>
    <x:row r="40" ht="18.75" customHeight="1">
      <x:c r="A40" s="19"/>
      <x:c r="B40" s="29"/>
      <x:c r="C40" s="21"/>
      <x:c r="D40" s="35"/>
      <x:c r="E40" s="56"/>
      <x:c r="F40" s="56"/>
      <x:c r="G40" s="56"/>
      <x:c r="H40" s="24"/>
      <x:c r="I40" s="24"/>
      <x:c r="J40" s="24"/>
      <x:c r="K40" s="24"/>
      <x:c r="L40" s="24"/>
      <x:c r="M40" s="24"/>
      <x:c r="N40" s="24"/>
      <x:c r="O40" s="25"/>
      <x:c r="P40" s="25"/>
      <x:c r="Q40" s="25"/>
      <x:c r="R40" s="25"/>
      <x:c r="S40" s="25"/>
      <x:c r="T40" s="25"/>
      <x:c r="U40" s="25"/>
      <x:c r="V40" s="25"/>
      <x:c r="W40" s="26">
        <x:f t="shared" si="5"/>
        <x:v>0</x:v>
      </x:c>
      <x:c r="X40" s="23"/>
      <x:c r="Y40" s="23"/>
      <x:c r="Z40" s="23"/>
    </x:row>
    <x:row r="41" ht="18.75" customHeight="1">
      <x:c r="A41" s="19"/>
      <x:c r="B41" s="29"/>
      <x:c r="C41" s="21"/>
      <x:c r="D41" s="55"/>
      <x:c r="E41" s="56"/>
      <x:c r="F41" s="56"/>
      <x:c r="G41" s="56"/>
      <x:c r="H41" s="24"/>
      <x:c r="I41" s="24"/>
      <x:c r="J41" s="24"/>
      <x:c r="K41" s="24"/>
      <x:c r="L41" s="24"/>
      <x:c r="M41" s="24"/>
      <x:c r="N41" s="24"/>
      <x:c r="O41" s="25"/>
      <x:c r="P41" s="25"/>
      <x:c r="Q41" s="25"/>
      <x:c r="R41" s="25"/>
      <x:c r="S41" s="25"/>
      <x:c r="T41" s="25"/>
      <x:c r="U41" s="25"/>
      <x:c r="V41" s="25"/>
      <x:c r="W41" s="26">
        <x:f t="shared" si="5"/>
        <x:v>0</x:v>
      </x:c>
      <x:c r="X41" s="23"/>
      <x:c r="Y41" s="23"/>
      <x:c r="Z41" s="23"/>
      <x:c r="AA41" s="39"/>
    </x:row>
    <x:row r="42" ht="18.75" customHeight="1">
      <x:c r="A42" s="19"/>
      <x:c r="B42" s="29"/>
      <x:c r="C42" s="21"/>
      <x:c r="D42" s="35"/>
      <x:c r="E42" s="56"/>
      <x:c r="F42" s="56"/>
      <x:c r="G42" s="56"/>
      <x:c r="H42" s="24"/>
      <x:c r="I42" s="24"/>
      <x:c r="J42" s="24"/>
      <x:c r="K42" s="24"/>
      <x:c r="L42" s="24"/>
      <x:c r="M42" s="24"/>
      <x:c r="N42" s="24"/>
      <x:c r="O42" s="24"/>
      <x:c r="P42" s="24"/>
      <x:c r="Q42" s="25"/>
      <x:c r="R42" s="25"/>
      <x:c r="S42" s="25"/>
      <x:c r="T42" s="25"/>
      <x:c r="U42" s="25"/>
      <x:c r="V42" s="25"/>
      <x:c r="W42" s="26">
        <x:f t="shared" si="5"/>
        <x:v>0</x:v>
      </x:c>
      <x:c r="X42" s="23"/>
      <x:c r="Y42" s="23"/>
      <x:c r="Z42" s="23"/>
    </x:row>
    <x:row r="43" ht="18.75" customHeight="1">
      <x:c r="A43" s="19"/>
      <x:c r="B43" s="29"/>
      <x:c r="C43" s="21"/>
      <x:c r="D43" s="35"/>
      <x:c r="E43" s="56"/>
      <x:c r="F43" s="56"/>
      <x:c r="G43" s="56"/>
      <x:c r="H43" s="24"/>
      <x:c r="I43" s="25"/>
      <x:c r="J43" s="25"/>
      <x:c r="K43" s="25"/>
      <x:c r="L43" s="25"/>
      <x:c r="M43" s="24"/>
      <x:c r="N43" s="24"/>
      <x:c r="O43" s="25"/>
      <x:c r="P43" s="25"/>
      <x:c r="Q43" s="25"/>
      <x:c r="R43" s="25"/>
      <x:c r="S43" s="25"/>
      <x:c r="T43" s="25"/>
      <x:c r="U43" s="25"/>
      <x:c r="V43" s="25"/>
      <x:c r="W43" s="26">
        <x:f t="shared" si="5"/>
        <x:v>0</x:v>
      </x:c>
      <x:c r="X43" s="23"/>
      <x:c r="Y43" s="23"/>
      <x:c r="Z43" s="23"/>
    </x:row>
    <x:row r="44" ht="18.75" customHeight="1">
      <x:c r="A44" s="19"/>
      <x:c r="B44" s="29"/>
      <x:c r="C44" s="21"/>
      <x:c r="D44" s="55"/>
      <x:c r="E44" s="23"/>
      <x:c r="F44" s="23"/>
      <x:c r="G44" s="23"/>
      <x:c r="H44" s="24"/>
      <x:c r="I44" s="25"/>
      <x:c r="J44" s="25"/>
      <x:c r="K44" s="25"/>
      <x:c r="L44" s="25"/>
      <x:c r="M44" s="24"/>
      <x:c r="N44" s="24"/>
      <x:c r="O44" s="25"/>
      <x:c r="P44" s="25"/>
      <x:c r="Q44" s="25"/>
      <x:c r="R44" s="25"/>
      <x:c r="S44" s="25"/>
      <x:c r="T44" s="25"/>
      <x:c r="U44" s="25"/>
      <x:c r="V44" s="25"/>
      <x:c r="W44" s="26">
        <x:f t="shared" si="5"/>
        <x:v>0</x:v>
      </x:c>
      <x:c r="X44" s="23"/>
      <x:c r="Y44" s="23"/>
      <x:c r="Z44" s="23"/>
    </x:row>
    <x:row r="45" ht="18.75" customHeight="1">
      <x:c r="A45" s="19"/>
      <x:c r="B45" s="29"/>
      <x:c r="C45" s="21"/>
      <x:c r="D45" s="35"/>
      <x:c r="E45" s="23"/>
      <x:c r="F45" s="23"/>
      <x:c r="G45" s="23"/>
      <x:c r="H45" s="24"/>
      <x:c r="I45" s="25"/>
      <x:c r="J45" s="25"/>
      <x:c r="K45" s="25"/>
      <x:c r="L45" s="25"/>
      <x:c r="M45" s="24"/>
      <x:c r="N45" s="24"/>
      <x:c r="O45" s="25"/>
      <x:c r="P45" s="25"/>
      <x:c r="Q45" s="25"/>
      <x:c r="R45" s="25"/>
      <x:c r="S45" s="25"/>
      <x:c r="T45" s="25"/>
      <x:c r="U45" s="25"/>
      <x:c r="V45" s="25"/>
      <x:c r="W45" s="26">
        <x:f t="shared" si="5"/>
        <x:v>0</x:v>
      </x:c>
      <x:c r="X45" s="23"/>
      <x:c r="Y45" s="23"/>
      <x:c r="Z45" s="23"/>
    </x:row>
    <x:row r="46" ht="18.75" customHeight="1">
      <x:c r="A46" s="19"/>
      <x:c r="B46" s="29"/>
      <x:c r="C46" s="21"/>
      <x:c r="D46" s="35"/>
      <x:c r="E46" s="56"/>
      <x:c r="F46" s="56"/>
      <x:c r="G46" s="56"/>
      <x:c r="H46" s="24"/>
      <x:c r="I46" s="25"/>
      <x:c r="J46" s="25"/>
      <x:c r="K46" s="25"/>
      <x:c r="L46" s="25"/>
      <x:c r="M46" s="24"/>
      <x:c r="N46" s="25"/>
      <x:c r="O46" s="25"/>
      <x:c r="P46" s="25"/>
      <x:c r="Q46" s="25"/>
      <x:c r="R46" s="25"/>
      <x:c r="S46" s="25"/>
      <x:c r="T46" s="25"/>
      <x:c r="U46" s="25"/>
      <x:c r="V46" s="25"/>
      <x:c r="W46" s="26">
        <x:f t="shared" si="5"/>
        <x:v>0</x:v>
      </x:c>
      <x:c r="X46" s="23"/>
      <x:c r="Y46" s="23"/>
      <x:c r="Z46" s="23"/>
    </x:row>
    <x:row r="47" ht="18.75" customHeight="1">
      <x:c r="A47" s="19"/>
      <x:c r="B47" s="29"/>
      <x:c r="C47" s="21"/>
      <x:c r="D47" s="35"/>
      <x:c r="E47" s="23"/>
      <x:c r="F47" s="23"/>
      <x:c r="G47" s="23"/>
      <x:c r="H47" s="24"/>
      <x:c r="I47" s="25"/>
      <x:c r="J47" s="25"/>
      <x:c r="K47" s="25"/>
      <x:c r="L47" s="25"/>
      <x:c r="M47" s="24"/>
      <x:c r="N47" s="24"/>
      <x:c r="O47" s="25"/>
      <x:c r="P47" s="25"/>
      <x:c r="Q47" s="25"/>
      <x:c r="R47" s="25"/>
      <x:c r="S47" s="25"/>
      <x:c r="T47" s="25"/>
      <x:c r="U47" s="25"/>
      <x:c r="V47" s="25"/>
      <x:c r="W47" s="26">
        <x:f t="shared" si="5"/>
        <x:v>0</x:v>
      </x:c>
      <x:c r="X47" s="23"/>
      <x:c r="Y47" s="23"/>
      <x:c r="Z47" s="23"/>
    </x:row>
    <x:row r="48" ht="18.75" customHeight="1">
      <x:c r="A48" s="19"/>
      <x:c r="B48" s="29"/>
      <x:c r="C48" s="21"/>
      <x:c r="D48" s="35"/>
      <x:c r="E48" s="23"/>
      <x:c r="F48" s="23"/>
      <x:c r="G48" s="23"/>
      <x:c r="H48" s="24"/>
      <x:c r="I48" s="25"/>
      <x:c r="J48" s="24"/>
      <x:c r="K48" s="24"/>
      <x:c r="L48" s="24"/>
      <x:c r="M48" s="24"/>
      <x:c r="N48" s="25"/>
      <x:c r="O48" s="25"/>
      <x:c r="P48" s="25"/>
      <x:c r="Q48" s="25"/>
      <x:c r="R48" s="25"/>
      <x:c r="S48" s="25"/>
      <x:c r="T48" s="25"/>
      <x:c r="U48" s="25"/>
      <x:c r="V48" s="25"/>
      <x:c r="W48" s="26">
        <x:f t="shared" si="5"/>
        <x:v>0</x:v>
      </x:c>
      <x:c r="X48" s="23"/>
      <x:c r="Y48" s="23"/>
      <x:c r="Z48" s="23"/>
    </x:row>
    <x:row r="49" ht="18.75" customHeight="1">
      <x:c r="A49" s="19"/>
      <x:c r="B49" s="29"/>
      <x:c r="C49" s="21"/>
      <x:c r="D49" s="35"/>
      <x:c r="E49" s="23"/>
      <x:c r="F49" s="23"/>
      <x:c r="G49" s="23"/>
      <x:c r="H49" s="24"/>
      <x:c r="I49" s="24"/>
      <x:c r="J49" s="24"/>
      <x:c r="K49" s="24"/>
      <x:c r="L49" s="24"/>
      <x:c r="M49" s="24"/>
      <x:c r="N49" s="24"/>
      <x:c r="O49" s="25"/>
      <x:c r="P49" s="25"/>
      <x:c r="Q49" s="25"/>
      <x:c r="R49" s="25"/>
      <x:c r="S49" s="25"/>
      <x:c r="T49" s="25"/>
      <x:c r="U49" s="25"/>
      <x:c r="V49" s="25"/>
      <x:c r="W49" s="26">
        <x:f t="shared" si="5"/>
        <x:v>0</x:v>
      </x:c>
      <x:c r="X49" s="23"/>
      <x:c r="Y49" s="23"/>
      <x:c r="Z49" s="23"/>
    </x:row>
    <x:row r="50" ht="18.75" customHeight="1">
      <x:c r="A50" s="19"/>
      <x:c r="B50" s="29"/>
      <x:c r="C50" s="21"/>
      <x:c r="D50" s="35"/>
      <x:c r="E50" s="23"/>
      <x:c r="F50" s="23"/>
      <x:c r="G50" s="23"/>
      <x:c r="H50" s="24"/>
      <x:c r="I50" s="24"/>
      <x:c r="J50" s="24"/>
      <x:c r="K50" s="24"/>
      <x:c r="L50" s="24"/>
      <x:c r="M50" s="24"/>
      <x:c r="N50" s="24"/>
      <x:c r="O50" s="25"/>
      <x:c r="P50" s="25"/>
      <x:c r="Q50" s="25"/>
      <x:c r="R50" s="25"/>
      <x:c r="S50" s="25"/>
      <x:c r="T50" s="25"/>
      <x:c r="U50" s="25"/>
      <x:c r="V50" s="25"/>
      <x:c r="W50" s="26">
        <x:f t="shared" si="5"/>
        <x:v>0</x:v>
      </x:c>
      <x:c r="X50" s="23"/>
      <x:c r="Y50" s="23"/>
      <x:c r="Z50" s="23"/>
    </x:row>
    <x:row r="51" ht="18.75" customHeight="1">
      <x:c r="A51" s="19"/>
      <x:c r="B51" s="29"/>
      <x:c r="C51" s="21"/>
      <x:c r="D51" s="55"/>
      <x:c r="E51" s="23"/>
      <x:c r="F51" s="23"/>
      <x:c r="G51" s="23"/>
      <x:c r="H51" s="24"/>
      <x:c r="I51" s="24"/>
      <x:c r="J51" s="24"/>
      <x:c r="K51" s="24"/>
      <x:c r="L51" s="24"/>
      <x:c r="M51" s="24"/>
      <x:c r="N51" s="24"/>
      <x:c r="O51" s="25"/>
      <x:c r="P51" s="25"/>
      <x:c r="Q51" s="25"/>
      <x:c r="R51" s="25"/>
      <x:c r="S51" s="25"/>
      <x:c r="T51" s="25"/>
      <x:c r="U51" s="25"/>
      <x:c r="V51" s="25"/>
      <x:c r="W51" s="26">
        <x:f t="shared" si="5"/>
        <x:v>0</x:v>
      </x:c>
      <x:c r="X51" s="23"/>
      <x:c r="Y51" s="23"/>
      <x:c r="Z51" s="23"/>
    </x:row>
    <x:row r="52" ht="18.75" customHeight="1">
      <x:c r="A52" s="19"/>
      <x:c r="B52" s="29"/>
      <x:c r="C52" s="21"/>
      <x:c r="D52" s="55"/>
      <x:c r="E52" s="23"/>
      <x:c r="F52" s="23"/>
      <x:c r="G52" s="23"/>
      <x:c r="H52" s="24"/>
      <x:c r="I52" s="24"/>
      <x:c r="J52" s="24"/>
      <x:c r="K52" s="24"/>
      <x:c r="L52" s="24"/>
      <x:c r="M52" s="25"/>
      <x:c r="N52" s="24"/>
      <x:c r="O52" s="25"/>
      <x:c r="P52" s="25"/>
      <x:c r="Q52" s="25"/>
      <x:c r="R52" s="25"/>
      <x:c r="S52" s="25"/>
      <x:c r="T52" s="25"/>
      <x:c r="U52" s="25"/>
      <x:c r="V52" s="25"/>
      <x:c r="W52" s="26">
        <x:f t="shared" si="5"/>
        <x:v>0</x:v>
      </x:c>
      <x:c r="X52" s="23"/>
      <x:c r="Y52" s="23"/>
      <x:c r="Z52" s="23"/>
    </x:row>
    <x:row r="53" ht="18.75" customHeight="1">
      <x:c r="A53" s="19"/>
      <x:c r="B53" s="29"/>
      <x:c r="C53" s="21"/>
      <x:c r="D53" s="55"/>
      <x:c r="E53" s="23"/>
      <x:c r="F53" s="23"/>
      <x:c r="G53" s="23"/>
      <x:c r="H53" s="24"/>
      <x:c r="I53" s="25"/>
      <x:c r="J53" s="25"/>
      <x:c r="K53" s="25"/>
      <x:c r="L53" s="25"/>
      <x:c r="M53" s="24"/>
      <x:c r="N53" s="24"/>
      <x:c r="O53" s="25"/>
      <x:c r="P53" s="25"/>
      <x:c r="Q53" s="25"/>
      <x:c r="R53" s="25"/>
      <x:c r="S53" s="25"/>
      <x:c r="T53" s="25"/>
      <x:c r="U53" s="25"/>
      <x:c r="V53" s="25"/>
      <x:c r="W53" s="26">
        <x:f t="shared" si="5"/>
        <x:v>0</x:v>
      </x:c>
      <x:c r="X53" s="23"/>
      <x:c r="Y53" s="23"/>
      <x:c r="Z53" s="23"/>
    </x:row>
    <x:row r="54" ht="18.75" customHeight="1">
      <x:c r="A54" s="19"/>
      <x:c r="B54" s="29"/>
      <x:c r="C54" s="21"/>
      <x:c r="D54" s="55"/>
      <x:c r="E54" s="23"/>
      <x:c r="F54" s="23"/>
      <x:c r="G54" s="23"/>
      <x:c r="H54" s="24"/>
      <x:c r="I54" s="24"/>
      <x:c r="J54" s="24"/>
      <x:c r="K54" s="24"/>
      <x:c r="L54" s="24"/>
      <x:c r="M54" s="24"/>
      <x:c r="N54" s="24"/>
      <x:c r="O54" s="25"/>
      <x:c r="P54" s="25"/>
      <x:c r="Q54" s="25"/>
      <x:c r="R54" s="25"/>
      <x:c r="S54" s="25"/>
      <x:c r="T54" s="25"/>
      <x:c r="U54" s="25"/>
      <x:c r="V54" s="25"/>
      <x:c r="W54" s="26">
        <x:f t="shared" si="5"/>
        <x:v>0</x:v>
      </x:c>
      <x:c r="X54" s="23"/>
      <x:c r="Y54" s="23"/>
      <x:c r="Z54" s="23"/>
    </x:row>
    <x:row r="55" ht="18.75" customHeight="1">
      <x:c r="A55" s="19"/>
      <x:c r="B55" s="29"/>
      <x:c r="C55" s="21"/>
      <x:c r="D55" s="55"/>
      <x:c r="E55" s="23"/>
      <x:c r="F55" s="23"/>
      <x:c r="G55" s="23"/>
      <x:c r="H55" s="24"/>
      <x:c r="I55" s="25"/>
      <x:c r="J55" s="25"/>
      <x:c r="K55" s="25"/>
      <x:c r="L55" s="25"/>
      <x:c r="M55" s="24"/>
      <x:c r="N55" s="25"/>
      <x:c r="O55" s="25"/>
      <x:c r="P55" s="25"/>
      <x:c r="Q55" s="25"/>
      <x:c r="R55" s="25"/>
      <x:c r="S55" s="25"/>
      <x:c r="T55" s="25"/>
      <x:c r="U55" s="25"/>
      <x:c r="V55" s="25"/>
      <x:c r="W55" s="26">
        <x:f t="shared" si="5"/>
        <x:v>0</x:v>
      </x:c>
      <x:c r="X55" s="23"/>
      <x:c r="Y55" s="23"/>
      <x:c r="Z55" s="23"/>
    </x:row>
    <x:row r="56" ht="18.75" customHeight="1">
      <x:c r="A56" s="19"/>
      <x:c r="B56" s="29"/>
      <x:c r="C56" s="21"/>
      <x:c r="D56" s="55"/>
      <x:c r="E56" s="23"/>
      <x:c r="F56" s="23"/>
      <x:c r="G56" s="23"/>
      <x:c r="H56" s="24"/>
      <x:c r="I56" s="24"/>
      <x:c r="J56" s="24"/>
      <x:c r="K56" s="24"/>
      <x:c r="L56" s="24"/>
      <x:c r="M56" s="24"/>
      <x:c r="N56" s="24"/>
      <x:c r="O56" s="25"/>
      <x:c r="P56" s="25"/>
      <x:c r="Q56" s="25"/>
      <x:c r="R56" s="25"/>
      <x:c r="S56" s="25"/>
      <x:c r="T56" s="25"/>
      <x:c r="U56" s="25"/>
      <x:c r="V56" s="25"/>
      <x:c r="W56" s="26">
        <x:f t="shared" si="5"/>
        <x:v>0</x:v>
      </x:c>
      <x:c r="X56" s="23"/>
      <x:c r="Y56" s="23"/>
      <x:c r="Z56" s="23"/>
    </x:row>
    <x:row r="57" ht="18.75" customHeight="1">
      <x:c r="A57" s="19"/>
      <x:c r="B57" s="29"/>
      <x:c r="C57" s="21"/>
      <x:c r="D57" s="35"/>
      <x:c r="E57" s="23"/>
      <x:c r="F57" s="23"/>
      <x:c r="G57" s="23"/>
      <x:c r="H57" s="24"/>
      <x:c r="I57" s="25"/>
      <x:c r="J57" s="25"/>
      <x:c r="K57" s="25"/>
      <x:c r="L57" s="25"/>
      <x:c r="M57" s="24"/>
      <x:c r="N57" s="24"/>
      <x:c r="O57" s="25"/>
      <x:c r="P57" s="25"/>
      <x:c r="Q57" s="25"/>
      <x:c r="R57" s="25"/>
      <x:c r="S57" s="25"/>
      <x:c r="T57" s="25"/>
      <x:c r="U57" s="25"/>
      <x:c r="V57" s="25"/>
      <x:c r="W57" s="26">
        <x:f t="shared" si="5"/>
        <x:v>0</x:v>
      </x:c>
      <x:c r="X57" s="23"/>
      <x:c r="Y57" s="23"/>
      <x:c r="Z57" s="23"/>
    </x:row>
    <x:row r="58" ht="18.75" customHeight="1">
      <x:c r="A58" s="19"/>
      <x:c r="B58" s="29"/>
      <x:c r="C58" s="21"/>
      <x:c r="D58" s="55"/>
      <x:c r="E58" s="23"/>
      <x:c r="F58" s="23"/>
      <x:c r="G58" s="23"/>
      <x:c r="H58" s="24"/>
      <x:c r="I58" s="25"/>
      <x:c r="J58" s="25"/>
      <x:c r="K58" s="25"/>
      <x:c r="L58" s="25"/>
      <x:c r="M58" s="25"/>
      <x:c r="N58" s="24"/>
      <x:c r="O58" s="25"/>
      <x:c r="P58" s="25"/>
      <x:c r="Q58" s="25"/>
      <x:c r="R58" s="25"/>
      <x:c r="S58" s="25"/>
      <x:c r="T58" s="25"/>
      <x:c r="U58" s="25"/>
      <x:c r="V58" s="25"/>
      <x:c r="W58" s="26">
        <x:f t="shared" si="5"/>
        <x:v>0</x:v>
      </x:c>
      <x:c r="X58" s="23"/>
      <x:c r="Y58" s="23"/>
      <x:c r="Z58" s="23"/>
    </x:row>
    <x:row r="59" ht="18.75" customHeight="1">
      <x:c r="A59" s="19"/>
      <x:c r="B59" s="29"/>
      <x:c r="C59" s="21"/>
      <x:c r="D59" s="55"/>
      <x:c r="E59" s="23"/>
      <x:c r="F59" s="23"/>
      <x:c r="G59" s="23"/>
      <x:c r="H59" s="24"/>
      <x:c r="I59" s="25"/>
      <x:c r="J59" s="25"/>
      <x:c r="K59" s="25"/>
      <x:c r="L59" s="25"/>
      <x:c r="M59" s="24"/>
      <x:c r="N59" s="25"/>
      <x:c r="O59" s="25"/>
      <x:c r="P59" s="25"/>
      <x:c r="Q59" s="25"/>
      <x:c r="R59" s="25"/>
      <x:c r="S59" s="25"/>
      <x:c r="T59" s="25"/>
      <x:c r="U59" s="25"/>
      <x:c r="V59" s="25"/>
      <x:c r="W59" s="26">
        <x:f t="shared" si="5"/>
        <x:v>0</x:v>
      </x:c>
      <x:c r="X59" s="23"/>
      <x:c r="Y59" s="23"/>
      <x:c r="Z59" s="23"/>
    </x:row>
    <x:row r="60" ht="18.75" customHeight="1">
      <x:c r="A60" s="19"/>
      <x:c r="B60" s="20"/>
      <x:c r="C60" s="21"/>
      <x:c r="D60" s="55"/>
      <x:c r="E60" s="23"/>
      <x:c r="F60" s="23"/>
      <x:c r="G60" s="23"/>
      <x:c r="H60" s="24"/>
      <x:c r="I60" s="25"/>
      <x:c r="J60" s="25"/>
      <x:c r="K60" s="25"/>
      <x:c r="L60" s="25"/>
      <x:c r="M60" s="24"/>
      <x:c r="N60" s="24"/>
      <x:c r="O60" s="25"/>
      <x:c r="P60" s="25"/>
      <x:c r="Q60" s="25"/>
      <x:c r="R60" s="25"/>
      <x:c r="S60" s="25"/>
      <x:c r="T60" s="25"/>
      <x:c r="U60" s="25"/>
      <x:c r="V60" s="25"/>
      <x:c r="W60" s="26">
        <x:f t="shared" si="5"/>
        <x:v>0</x:v>
      </x:c>
      <x:c r="X60" s="23"/>
      <x:c r="Y60" s="23"/>
      <x:c r="Z60" s="23"/>
    </x:row>
    <x:row r="61" ht="18.75" customHeight="1">
      <x:c r="A61" s="19"/>
      <x:c r="B61" s="20"/>
      <x:c r="C61" s="21"/>
      <x:c r="D61" s="55"/>
      <x:c r="E61" s="23"/>
      <x:c r="F61" s="23"/>
      <x:c r="G61" s="23"/>
      <x:c r="H61" s="24"/>
      <x:c r="I61" s="24"/>
      <x:c r="J61" s="24"/>
      <x:c r="K61" s="24"/>
      <x:c r="L61" s="24"/>
      <x:c r="M61" s="24"/>
      <x:c r="N61" s="24"/>
      <x:c r="O61" s="25"/>
      <x:c r="P61" s="25"/>
      <x:c r="Q61" s="25"/>
      <x:c r="R61" s="25"/>
      <x:c r="S61" s="25"/>
      <x:c r="T61" s="25"/>
      <x:c r="U61" s="25"/>
      <x:c r="V61" s="25"/>
      <x:c r="W61" s="26">
        <x:f t="shared" si="5"/>
        <x:v>0</x:v>
      </x:c>
      <x:c r="X61" s="23"/>
      <x:c r="Y61" s="23"/>
      <x:c r="Z61" s="23"/>
    </x:row>
    <x:row r="62" ht="18.75" customHeight="1">
      <x:c r="A62" s="19"/>
      <x:c r="B62" s="20"/>
      <x:c r="C62" s="21"/>
      <x:c r="D62" s="55"/>
      <x:c r="E62" s="23"/>
      <x:c r="F62" s="23"/>
      <x:c r="G62" s="23"/>
      <x:c r="H62" s="24"/>
      <x:c r="I62" s="25"/>
      <x:c r="J62" s="25"/>
      <x:c r="K62" s="25"/>
      <x:c r="L62" s="25"/>
      <x:c r="M62" s="24"/>
      <x:c r="N62" s="25"/>
      <x:c r="O62" s="25"/>
      <x:c r="P62" s="25"/>
      <x:c r="Q62" s="25"/>
      <x:c r="R62" s="25"/>
      <x:c r="S62" s="25"/>
      <x:c r="T62" s="25"/>
      <x:c r="U62" s="25"/>
      <x:c r="V62" s="25"/>
      <x:c r="W62" s="26">
        <x:f t="shared" si="5"/>
        <x:v>0</x:v>
      </x:c>
      <x:c r="X62" s="23"/>
      <x:c r="Y62" s="23"/>
      <x:c r="Z62" s="23"/>
    </x:row>
    <x:row r="63" ht="18.75" customHeight="1">
      <x:c r="A63" s="19"/>
      <x:c r="B63" s="20"/>
      <x:c r="C63" s="21"/>
      <x:c r="D63" s="55"/>
      <x:c r="E63" s="23"/>
      <x:c r="F63" s="23"/>
      <x:c r="G63" s="23"/>
      <x:c r="H63" s="24"/>
      <x:c r="I63" s="24"/>
      <x:c r="J63" s="25"/>
      <x:c r="K63" s="25"/>
      <x:c r="L63" s="25"/>
      <x:c r="M63" s="24"/>
      <x:c r="N63" s="25"/>
      <x:c r="O63" s="25"/>
      <x:c r="P63" s="25"/>
      <x:c r="Q63" s="25"/>
      <x:c r="R63" s="25"/>
      <x:c r="S63" s="25"/>
      <x:c r="T63" s="25"/>
      <x:c r="U63" s="25"/>
      <x:c r="V63" s="25"/>
      <x:c r="W63" s="26">
        <x:f t="shared" si="5"/>
        <x:v>0</x:v>
      </x:c>
      <x:c r="X63" s="23"/>
      <x:c r="Y63" s="23"/>
      <x:c r="Z63" s="23"/>
    </x:row>
    <x:row r="64" ht="18.75" customHeight="1">
      <x:c r="A64" s="19"/>
      <x:c r="B64" s="20"/>
      <x:c r="C64" s="21"/>
      <x:c r="D64" s="55"/>
      <x:c r="E64" s="23"/>
      <x:c r="F64" s="23"/>
      <x:c r="G64" s="23"/>
      <x:c r="H64" s="24"/>
      <x:c r="I64" s="25"/>
      <x:c r="J64" s="25"/>
      <x:c r="K64" s="25"/>
      <x:c r="L64" s="25"/>
      <x:c r="M64" s="24"/>
      <x:c r="N64" s="25"/>
      <x:c r="O64" s="25"/>
      <x:c r="P64" s="25"/>
      <x:c r="Q64" s="25"/>
      <x:c r="R64" s="25"/>
      <x:c r="S64" s="25"/>
      <x:c r="T64" s="25"/>
      <x:c r="U64" s="25"/>
      <x:c r="V64" s="25"/>
      <x:c r="W64" s="26">
        <x:f t="shared" si="5"/>
        <x:v>0</x:v>
      </x:c>
      <x:c r="X64" s="23"/>
      <x:c r="Y64" s="23"/>
      <x:c r="Z64" s="23"/>
    </x:row>
    <x:row r="65" ht="18.75" customHeight="1">
      <x:c r="A65" s="19"/>
      <x:c r="B65" s="20"/>
      <x:c r="C65" s="21"/>
      <x:c r="D65" s="55"/>
      <x:c r="E65" s="23"/>
      <x:c r="F65" s="23"/>
      <x:c r="G65" s="23"/>
      <x:c r="H65" s="24"/>
      <x:c r="I65" s="25"/>
      <x:c r="J65" s="25"/>
      <x:c r="K65" s="25"/>
      <x:c r="L65" s="25"/>
      <x:c r="M65" s="24"/>
      <x:c r="N65" s="25"/>
      <x:c r="O65" s="25"/>
      <x:c r="P65" s="25"/>
      <x:c r="Q65" s="25"/>
      <x:c r="R65" s="25"/>
      <x:c r="S65" s="25"/>
      <x:c r="T65" s="25"/>
      <x:c r="U65" s="25"/>
      <x:c r="V65" s="25"/>
      <x:c r="W65" s="26">
        <x:f t="shared" si="5"/>
        <x:v>0</x:v>
      </x:c>
      <x:c r="X65" s="23"/>
      <x:c r="Y65" s="23"/>
      <x:c r="Z65" s="23"/>
    </x:row>
    <x:row r="66" ht="18.75" customHeight="1">
      <x:c r="A66" s="19"/>
      <x:c r="B66" s="20"/>
      <x:c r="C66" s="21"/>
      <x:c r="D66" s="35"/>
      <x:c r="E66" s="23"/>
      <x:c r="F66" s="23"/>
      <x:c r="G66" s="23"/>
      <x:c r="H66" s="24"/>
      <x:c r="I66" s="25"/>
      <x:c r="J66" s="25"/>
      <x:c r="K66" s="25"/>
      <x:c r="L66" s="25"/>
      <x:c r="M66" s="25"/>
      <x:c r="N66" s="24"/>
      <x:c r="O66" s="25"/>
      <x:c r="P66" s="25"/>
      <x:c r="Q66" s="25"/>
      <x:c r="R66" s="25"/>
      <x:c r="S66" s="25"/>
      <x:c r="T66" s="25"/>
      <x:c r="U66" s="25"/>
      <x:c r="V66" s="25"/>
      <x:c r="W66" s="26">
        <x:f t="shared" si="5"/>
        <x:v>0</x:v>
      </x:c>
      <x:c r="X66" s="23"/>
      <x:c r="Y66" s="23"/>
      <x:c r="Z66" s="23"/>
    </x:row>
    <x:row r="67" ht="18.75" customHeight="1">
      <x:c r="A67" s="19"/>
      <x:c r="B67" s="20"/>
      <x:c r="C67" s="21"/>
      <x:c r="D67" s="55"/>
      <x:c r="E67" s="23"/>
      <x:c r="F67" s="23"/>
      <x:c r="G67" s="23"/>
      <x:c r="H67" s="24"/>
      <x:c r="I67" s="25"/>
      <x:c r="J67" s="25"/>
      <x:c r="K67" s="25"/>
      <x:c r="L67" s="25"/>
      <x:c r="M67" s="25"/>
      <x:c r="N67" s="24"/>
      <x:c r="O67" s="25"/>
      <x:c r="P67" s="25"/>
      <x:c r="Q67" s="25"/>
      <x:c r="R67" s="25"/>
      <x:c r="S67" s="25"/>
      <x:c r="T67" s="25"/>
      <x:c r="U67" s="25"/>
      <x:c r="V67" s="25"/>
      <x:c r="W67" s="26">
        <x:f t="shared" si="5"/>
        <x:v>0</x:v>
      </x:c>
      <x:c r="X67" s="23"/>
      <x:c r="Y67" s="23"/>
      <x:c r="Z67" s="23"/>
    </x:row>
    <x:row r="68" ht="18.75" customHeight="1">
      <x:c r="A68" s="19"/>
      <x:c r="B68" s="71"/>
      <x:c r="C68" s="21"/>
      <x:c r="D68" s="55"/>
      <x:c r="E68" s="23"/>
      <x:c r="F68" s="23"/>
      <x:c r="G68" s="23"/>
      <x:c r="H68" s="24"/>
      <x:c r="I68" s="25"/>
      <x:c r="J68" s="25"/>
      <x:c r="K68" s="25"/>
      <x:c r="L68" s="25"/>
      <x:c r="M68" s="24"/>
      <x:c r="N68" s="25"/>
      <x:c r="O68" s="25"/>
      <x:c r="P68" s="25"/>
      <x:c r="Q68" s="25"/>
      <x:c r="R68" s="25"/>
      <x:c r="S68" s="25"/>
      <x:c r="T68" s="25"/>
      <x:c r="U68" s="25"/>
      <x:c r="V68" s="25"/>
      <x:c r="W68" s="26">
        <x:f t="shared" si="5"/>
        <x:v>0</x:v>
      </x:c>
      <x:c r="X68" s="23"/>
      <x:c r="Y68" s="23"/>
      <x:c r="Z68" s="23"/>
    </x:row>
    <x:row r="69" ht="18.75" customHeight="1">
      <x:c r="A69" s="19"/>
      <x:c r="B69" s="20"/>
      <x:c r="C69" s="21"/>
      <x:c r="D69" s="35"/>
      <x:c r="E69" s="23"/>
      <x:c r="F69" s="23"/>
      <x:c r="G69" s="23"/>
      <x:c r="H69" s="24"/>
      <x:c r="I69" s="25"/>
      <x:c r="J69" s="25"/>
      <x:c r="K69" s="25"/>
      <x:c r="L69" s="25"/>
      <x:c r="M69" s="24"/>
      <x:c r="N69" s="24"/>
      <x:c r="O69" s="25"/>
      <x:c r="P69" s="25"/>
      <x:c r="Q69" s="25"/>
      <x:c r="R69" s="25"/>
      <x:c r="S69" s="25"/>
      <x:c r="T69" s="25"/>
      <x:c r="U69" s="25"/>
      <x:c r="V69" s="25"/>
      <x:c r="W69" s="26">
        <x:f t="shared" si="5"/>
        <x:v>0</x:v>
      </x:c>
      <x:c r="X69" s="23"/>
      <x:c r="Y69" s="23"/>
      <x:c r="Z69" s="23"/>
    </x:row>
    <x:row r="70" ht="18.75" customHeight="1">
      <x:c r="A70" s="19"/>
      <x:c r="B70" s="20"/>
      <x:c r="C70" s="21"/>
      <x:c r="D70" s="55"/>
      <x:c r="E70" s="23"/>
      <x:c r="F70" s="23"/>
      <x:c r="G70" s="23"/>
      <x:c r="H70" s="24"/>
      <x:c r="I70" s="24"/>
      <x:c r="J70" s="25"/>
      <x:c r="K70" s="25"/>
      <x:c r="L70" s="25"/>
      <x:c r="M70" s="24"/>
      <x:c r="N70" s="24"/>
      <x:c r="O70" s="25"/>
      <x:c r="P70" s="25"/>
      <x:c r="Q70" s="25"/>
      <x:c r="R70" s="25"/>
      <x:c r="S70" s="25"/>
      <x:c r="T70" s="25"/>
      <x:c r="U70" s="25"/>
      <x:c r="V70" s="25"/>
      <x:c r="W70" s="26">
        <x:f t="shared" si="5"/>
        <x:v>0</x:v>
      </x:c>
      <x:c r="X70" s="23"/>
      <x:c r="Y70" s="23"/>
      <x:c r="Z70" s="23"/>
    </x:row>
    <x:row r="71" ht="18.75" customHeight="1">
      <x:c r="A71" s="19"/>
      <x:c r="B71" s="20"/>
      <x:c r="C71" s="21"/>
      <x:c r="D71" s="35"/>
      <x:c r="E71" s="23"/>
      <x:c r="F71" s="23"/>
      <x:c r="G71" s="23"/>
      <x:c r="H71" s="24"/>
      <x:c r="I71" s="25"/>
      <x:c r="J71" s="25"/>
      <x:c r="K71" s="25"/>
      <x:c r="L71" s="25"/>
      <x:c r="M71" s="25"/>
      <x:c r="N71" s="24"/>
      <x:c r="O71" s="25"/>
      <x:c r="P71" s="25"/>
      <x:c r="Q71" s="25"/>
      <x:c r="R71" s="25"/>
      <x:c r="S71" s="25"/>
      <x:c r="T71" s="25"/>
      <x:c r="U71" s="25"/>
      <x:c r="V71" s="25"/>
      <x:c r="W71" s="26">
        <x:f t="shared" si="5"/>
        <x:v>0</x:v>
      </x:c>
      <x:c r="X71" s="23"/>
      <x:c r="Y71" s="23"/>
      <x:c r="Z71" s="23"/>
    </x:row>
    <x:row r="72" ht="18.75" customHeight="1">
      <x:c r="A72" s="19"/>
      <x:c r="B72" s="20"/>
      <x:c r="C72" s="21"/>
      <x:c r="D72" s="55"/>
      <x:c r="E72" s="23"/>
      <x:c r="F72" s="23"/>
      <x:c r="G72" s="23"/>
      <x:c r="H72" s="24"/>
      <x:c r="I72" s="25"/>
      <x:c r="J72" s="25"/>
      <x:c r="K72" s="25"/>
      <x:c r="L72" s="25"/>
      <x:c r="M72" s="24"/>
      <x:c r="N72" s="25"/>
      <x:c r="O72" s="25"/>
      <x:c r="P72" s="25"/>
      <x:c r="Q72" s="25"/>
      <x:c r="R72" s="25"/>
      <x:c r="S72" s="25"/>
      <x:c r="T72" s="25"/>
      <x:c r="U72" s="25"/>
      <x:c r="V72" s="25"/>
      <x:c r="W72" s="26">
        <x:f t="shared" si="5"/>
        <x:v>0</x:v>
      </x:c>
      <x:c r="X72" s="23"/>
      <x:c r="Y72" s="23"/>
      <x:c r="Z72" s="23"/>
    </x:row>
    <x:row r="73" ht="18.75" customHeight="1">
      <x:c r="A73" s="19"/>
      <x:c r="B73" s="20"/>
      <x:c r="C73" s="21"/>
      <x:c r="D73" s="55"/>
      <x:c r="E73" s="23"/>
      <x:c r="F73" s="23"/>
      <x:c r="G73" s="23"/>
      <x:c r="H73" s="24"/>
      <x:c r="I73" s="25"/>
      <x:c r="J73" s="25"/>
      <x:c r="K73" s="25"/>
      <x:c r="L73" s="25"/>
      <x:c r="M73" s="24"/>
      <x:c r="N73" s="25"/>
      <x:c r="O73" s="25"/>
      <x:c r="P73" s="25"/>
      <x:c r="Q73" s="25"/>
      <x:c r="R73" s="25"/>
      <x:c r="S73" s="25"/>
      <x:c r="T73" s="25"/>
      <x:c r="U73" s="25"/>
      <x:c r="V73" s="25"/>
      <x:c r="W73" s="26">
        <x:f t="shared" si="5"/>
        <x:v>0</x:v>
      </x:c>
      <x:c r="X73" s="23"/>
      <x:c r="Y73" s="23"/>
      <x:c r="Z73" s="23"/>
    </x:row>
    <x:row r="74" ht="18.75" customHeight="1">
      <x:c r="A74" s="19"/>
      <x:c r="B74" s="20"/>
      <x:c r="C74" s="21"/>
      <x:c r="D74" s="35"/>
      <x:c r="E74" s="23"/>
      <x:c r="F74" s="23"/>
      <x:c r="G74" s="23"/>
      <x:c r="H74" s="24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6">
        <x:f t="shared" si="5"/>
        <x:v>0</x:v>
      </x:c>
      <x:c r="X74" s="23"/>
      <x:c r="Y74" s="23"/>
      <x:c r="Z74" s="23"/>
    </x:row>
    <x:row r="75" ht="18.75" customHeight="1">
      <x:c r="A75" s="19"/>
      <x:c r="B75" s="29"/>
      <x:c r="C75" s="21"/>
      <x:c r="D75" s="55"/>
      <x:c r="E75" s="56"/>
      <x:c r="F75" s="56"/>
      <x:c r="G75" s="56"/>
      <x:c r="H75" s="24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6">
        <x:f t="shared" si="5"/>
        <x:v>0</x:v>
      </x:c>
      <x:c r="X75" s="23"/>
      <x:c r="Y75" s="23"/>
      <x:c r="Z75" s="23"/>
    </x:row>
    <x:row r="76" ht="18.75" customHeight="1">
      <x:c r="A76" s="19"/>
      <x:c r="B76" s="20"/>
      <x:c r="C76" s="21"/>
      <x:c r="D76" s="55"/>
      <x:c r="E76" s="56"/>
      <x:c r="F76" s="56"/>
      <x:c r="G76" s="56"/>
      <x:c r="H76" s="24"/>
      <x:c r="I76" s="25"/>
      <x:c r="J76" s="25"/>
      <x:c r="K76" s="25"/>
      <x:c r="L76" s="25"/>
      <x:c r="M76" s="24"/>
      <x:c r="N76" s="25"/>
      <x:c r="O76" s="25"/>
      <x:c r="P76" s="25"/>
      <x:c r="Q76" s="25"/>
      <x:c r="R76" s="25"/>
      <x:c r="S76" s="25"/>
      <x:c r="T76" s="25"/>
      <x:c r="U76" s="25"/>
      <x:c r="V76" s="25"/>
      <x:c r="W76" s="26">
        <x:f t="shared" si="5"/>
        <x:v>0</x:v>
      </x:c>
      <x:c r="X76" s="23"/>
      <x:c r="Y76" s="23"/>
      <x:c r="Z76" s="23"/>
    </x:row>
    <x:row r="77" ht="18.75" customHeight="1">
      <x:c r="A77" s="19"/>
      <x:c r="B77" s="29"/>
      <x:c r="C77" s="21"/>
      <x:c r="D77" s="23"/>
      <x:c r="E77" s="56"/>
      <x:c r="F77" s="56"/>
      <x:c r="G77" s="56"/>
      <x:c r="H77" s="24"/>
      <x:c r="I77" s="25"/>
      <x:c r="J77" s="25"/>
      <x:c r="K77" s="25"/>
      <x:c r="L77" s="25"/>
      <x:c r="M77" s="24"/>
      <x:c r="N77" s="24"/>
      <x:c r="O77" s="25"/>
      <x:c r="P77" s="25"/>
      <x:c r="Q77" s="25"/>
      <x:c r="R77" s="25"/>
      <x:c r="S77" s="25"/>
      <x:c r="T77" s="25"/>
      <x:c r="U77" s="25"/>
      <x:c r="V77" s="25"/>
      <x:c r="W77" s="26">
        <x:f t="shared" si="5"/>
        <x:v>0</x:v>
      </x:c>
      <x:c r="X77" s="23"/>
      <x:c r="Y77" s="23"/>
      <x:c r="Z77" s="23"/>
    </x:row>
    <x:row r="78" ht="18.75" customHeight="1">
      <x:c r="A78" s="19"/>
      <x:c r="B78" s="29"/>
      <x:c r="C78" s="21"/>
      <x:c r="D78" s="35"/>
      <x:c r="E78" s="56"/>
      <x:c r="F78" s="56"/>
      <x:c r="G78" s="56"/>
      <x:c r="H78" s="24"/>
      <x:c r="I78" s="25"/>
      <x:c r="J78" s="25"/>
      <x:c r="K78" s="25"/>
      <x:c r="L78" s="25"/>
      <x:c r="M78" s="24"/>
      <x:c r="N78" s="25"/>
      <x:c r="O78" s="25"/>
      <x:c r="P78" s="25"/>
      <x:c r="Q78" s="25"/>
      <x:c r="R78" s="25"/>
      <x:c r="S78" s="25"/>
      <x:c r="T78" s="25"/>
      <x:c r="U78" s="25"/>
      <x:c r="V78" s="25"/>
      <x:c r="W78" s="26">
        <x:f t="shared" si="5"/>
        <x:v>0</x:v>
      </x:c>
      <x:c r="X78" s="23"/>
      <x:c r="Y78" s="23"/>
      <x:c r="Z78" s="23"/>
    </x:row>
    <x:row r="79" ht="18.75" customHeight="1">
      <x:c r="A79" s="19"/>
      <x:c r="B79" s="29"/>
      <x:c r="C79" s="21"/>
      <x:c r="D79" s="55"/>
      <x:c r="E79" s="56"/>
      <x:c r="F79" s="56"/>
      <x:c r="G79" s="56"/>
      <x:c r="H79" s="24"/>
      <x:c r="I79" s="25"/>
      <x:c r="J79" s="25"/>
      <x:c r="K79" s="25"/>
      <x:c r="L79" s="25"/>
      <x:c r="M79" s="24"/>
      <x:c r="N79" s="25"/>
      <x:c r="O79" s="25"/>
      <x:c r="P79" s="25"/>
      <x:c r="Q79" s="25"/>
      <x:c r="R79" s="25"/>
      <x:c r="S79" s="25"/>
      <x:c r="T79" s="25"/>
      <x:c r="U79" s="25"/>
      <x:c r="V79" s="25"/>
      <x:c r="W79" s="26">
        <x:f t="shared" si="5"/>
        <x:v>0</x:v>
      </x:c>
      <x:c r="X79" s="23"/>
      <x:c r="Y79" s="23"/>
      <x:c r="Z79" s="23"/>
    </x:row>
    <x:row r="80" ht="18.75" customHeight="1">
      <x:c r="A80" s="19"/>
      <x:c r="B80" s="29"/>
      <x:c r="C80" s="21"/>
      <x:c r="D80" s="55"/>
      <x:c r="E80" s="23"/>
      <x:c r="F80" s="23"/>
      <x:c r="G80" s="23"/>
      <x:c r="H80" s="24"/>
      <x:c r="I80" s="25"/>
      <x:c r="J80" s="25"/>
      <x:c r="K80" s="25"/>
      <x:c r="L80" s="25"/>
      <x:c r="M80" s="24"/>
      <x:c r="N80" s="25"/>
      <x:c r="O80" s="25"/>
      <x:c r="P80" s="25"/>
      <x:c r="Q80" s="25"/>
      <x:c r="R80" s="25"/>
      <x:c r="S80" s="25"/>
      <x:c r="T80" s="25"/>
      <x:c r="U80" s="25"/>
      <x:c r="V80" s="25"/>
      <x:c r="W80" s="26">
        <x:f t="shared" si="5"/>
        <x:v>0</x:v>
      </x:c>
      <x:c r="X80" s="23"/>
      <x:c r="Y80" s="23"/>
      <x:c r="Z80" s="23"/>
    </x:row>
    <x:row r="81" ht="18.75" customHeight="1">
      <x:c r="A81" s="19"/>
      <x:c r="B81" s="29"/>
      <x:c r="C81" s="21"/>
      <x:c r="D81" s="35"/>
      <x:c r="E81" s="56"/>
      <x:c r="F81" s="56"/>
      <x:c r="G81" s="56"/>
      <x:c r="H81" s="24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6">
        <x:f t="shared" si="5"/>
        <x:v>0</x:v>
      </x:c>
      <x:c r="X81" s="23"/>
      <x:c r="Y81" s="23"/>
      <x:c r="Z81" s="23"/>
    </x:row>
    <x:row r="82" ht="18.75" customHeight="1">
      <x:c r="A82" s="19"/>
      <x:c r="B82" s="29"/>
      <x:c r="C82" s="21"/>
      <x:c r="D82" s="35"/>
      <x:c r="E82" s="56"/>
      <x:c r="F82" s="56"/>
      <x:c r="G82" s="56"/>
      <x:c r="H82" s="24"/>
      <x:c r="I82" s="25"/>
      <x:c r="J82" s="25"/>
      <x:c r="K82" s="25"/>
      <x:c r="L82" s="25"/>
      <x:c r="M82" s="25"/>
      <x:c r="N82" s="24"/>
      <x:c r="O82" s="25"/>
      <x:c r="P82" s="25"/>
      <x:c r="Q82" s="25"/>
      <x:c r="R82" s="25"/>
      <x:c r="S82" s="25"/>
      <x:c r="T82" s="25"/>
      <x:c r="U82" s="25"/>
      <x:c r="V82" s="25"/>
      <x:c r="W82" s="26">
        <x:f t="shared" si="5"/>
        <x:v>0</x:v>
      </x:c>
      <x:c r="X82" s="23"/>
      <x:c r="Y82" s="23"/>
      <x:c r="Z82" s="23"/>
    </x:row>
    <x:row r="83" ht="18.75" customHeight="1">
      <x:c r="A83" s="19"/>
      <x:c r="B83" s="29"/>
      <x:c r="C83" s="21"/>
      <x:c r="D83" s="55"/>
      <x:c r="E83" s="56"/>
      <x:c r="F83" s="56"/>
      <x:c r="G83" s="56"/>
      <x:c r="H83" s="24"/>
      <x:c r="I83" s="25"/>
      <x:c r="J83" s="25"/>
      <x:c r="K83" s="25"/>
      <x:c r="L83" s="25"/>
      <x:c r="M83" s="24"/>
      <x:c r="N83" s="25"/>
      <x:c r="O83" s="25"/>
      <x:c r="P83" s="25"/>
      <x:c r="Q83" s="25"/>
      <x:c r="R83" s="25"/>
      <x:c r="S83" s="25"/>
      <x:c r="T83" s="25"/>
      <x:c r="U83" s="25"/>
      <x:c r="V83" s="25"/>
      <x:c r="W83" s="26">
        <x:f t="shared" si="5"/>
        <x:v>0</x:v>
      </x:c>
      <x:c r="X83" s="23"/>
      <x:c r="Y83" s="23"/>
      <x:c r="Z83" s="23"/>
    </x:row>
    <x:row r="84" ht="18.75" customHeight="1">
      <x:c r="A84" s="19"/>
      <x:c r="B84" s="29"/>
      <x:c r="C84" s="21"/>
      <x:c r="D84" s="55"/>
      <x:c r="E84" s="23"/>
      <x:c r="F84" s="23"/>
      <x:c r="G84" s="23"/>
      <x:c r="H84" s="24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6">
        <x:f t="shared" si="5"/>
        <x:v>0</x:v>
      </x:c>
      <x:c r="X84" s="23"/>
      <x:c r="Y84" s="23"/>
      <x:c r="Z84" s="23"/>
    </x:row>
    <x:row r="85" ht="18.75" customHeight="1">
      <x:c r="A85" s="19"/>
      <x:c r="B85" s="29"/>
      <x:c r="C85" s="21"/>
      <x:c r="D85" s="55"/>
      <x:c r="E85" s="23"/>
      <x:c r="F85" s="23"/>
      <x:c r="G85" s="23"/>
      <x:c r="H85" s="24"/>
      <x:c r="I85" s="25"/>
      <x:c r="J85" s="25"/>
      <x:c r="K85" s="25"/>
      <x:c r="L85" s="25"/>
      <x:c r="M85" s="24"/>
      <x:c r="N85" s="24"/>
      <x:c r="O85" s="25"/>
      <x:c r="P85" s="25"/>
      <x:c r="Q85" s="25"/>
      <x:c r="R85" s="25"/>
      <x:c r="S85" s="25"/>
      <x:c r="T85" s="25"/>
      <x:c r="U85" s="25"/>
      <x:c r="V85" s="25"/>
      <x:c r="W85" s="26">
        <x:f t="shared" si="5"/>
        <x:v>0</x:v>
      </x:c>
      <x:c r="X85" s="23"/>
      <x:c r="Y85" s="23"/>
      <x:c r="Z85" s="23"/>
    </x:row>
    <x:row r="86" ht="18.75" customHeight="1">
      <x:c r="A86" s="19"/>
      <x:c r="B86" s="29"/>
      <x:c r="C86" s="21"/>
      <x:c r="D86" s="35"/>
      <x:c r="E86" s="56"/>
      <x:c r="F86" s="56"/>
      <x:c r="G86" s="56"/>
      <x:c r="H86" s="24"/>
      <x:c r="I86" s="25"/>
      <x:c r="J86" s="25"/>
      <x:c r="K86" s="25"/>
      <x:c r="L86" s="25"/>
      <x:c r="M86" s="25"/>
      <x:c r="N86" s="24"/>
      <x:c r="O86" s="25"/>
      <x:c r="P86" s="25"/>
      <x:c r="Q86" s="25"/>
      <x:c r="R86" s="25"/>
      <x:c r="S86" s="25"/>
      <x:c r="T86" s="25"/>
      <x:c r="U86" s="25"/>
      <x:c r="V86" s="25"/>
      <x:c r="W86" s="26">
        <x:f t="shared" si="5"/>
        <x:v>0</x:v>
      </x:c>
      <x:c r="X86" s="23"/>
      <x:c r="Y86" s="23"/>
      <x:c r="Z86" s="23"/>
    </x:row>
    <x:row r="87" ht="18.75" customHeight="1">
      <x:c r="A87" s="19"/>
      <x:c r="B87" s="29"/>
      <x:c r="C87" s="21"/>
      <x:c r="D87" s="35"/>
      <x:c r="E87" s="56"/>
      <x:c r="F87" s="56"/>
      <x:c r="G87" s="56"/>
      <x:c r="H87" s="24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6">
        <x:f t="shared" si="5"/>
        <x:v>0</x:v>
      </x:c>
      <x:c r="X87" s="23"/>
      <x:c r="Y87" s="23"/>
      <x:c r="Z87" s="23"/>
    </x:row>
    <x:row r="88" ht="18.75" customHeight="1">
      <x:c r="A88" s="19"/>
      <x:c r="B88" s="29"/>
      <x:c r="C88" s="21"/>
      <x:c r="D88" s="55"/>
      <x:c r="E88" s="23"/>
      <x:c r="F88" s="23"/>
      <x:c r="G88" s="23"/>
      <x:c r="H88" s="24"/>
      <x:c r="I88" s="25"/>
      <x:c r="J88" s="25"/>
      <x:c r="K88" s="25"/>
      <x:c r="L88" s="25"/>
      <x:c r="M88" s="24"/>
      <x:c r="N88" s="24"/>
      <x:c r="O88" s="25"/>
      <x:c r="P88" s="25"/>
      <x:c r="Q88" s="25"/>
      <x:c r="R88" s="25"/>
      <x:c r="S88" s="25"/>
      <x:c r="T88" s="25"/>
      <x:c r="U88" s="25"/>
      <x:c r="V88" s="25"/>
      <x:c r="W88" s="26">
        <x:f t="shared" si="5"/>
        <x:v>0</x:v>
      </x:c>
      <x:c r="X88" s="23"/>
      <x:c r="Y88" s="23"/>
      <x:c r="Z88" s="23"/>
    </x:row>
    <x:row r="89" ht="18.75" customHeight="1">
      <x:c r="A89" s="19"/>
      <x:c r="B89" s="29"/>
      <x:c r="C89" s="21"/>
      <x:c r="D89" s="55"/>
      <x:c r="E89" s="56"/>
      <x:c r="F89" s="56"/>
      <x:c r="G89" s="56"/>
      <x:c r="H89" s="24"/>
      <x:c r="I89" s="25"/>
      <x:c r="J89" s="25"/>
      <x:c r="K89" s="25"/>
      <x:c r="L89" s="25"/>
      <x:c r="M89" s="25"/>
      <x:c r="N89" s="24"/>
      <x:c r="O89" s="25"/>
      <x:c r="P89" s="25"/>
      <x:c r="Q89" s="25"/>
      <x:c r="R89" s="25"/>
      <x:c r="S89" s="25"/>
      <x:c r="T89" s="25"/>
      <x:c r="U89" s="25"/>
      <x:c r="V89" s="25"/>
      <x:c r="W89" s="26">
        <x:f t="shared" si="5"/>
        <x:v>0</x:v>
      </x:c>
      <x:c r="X89" s="23"/>
      <x:c r="Y89" s="23"/>
      <x:c r="Z89" s="23"/>
    </x:row>
    <x:row r="90" ht="18.75" customHeight="1">
      <x:c r="A90" s="19"/>
      <x:c r="B90" s="29"/>
      <x:c r="C90" s="21"/>
      <x:c r="D90" s="35"/>
      <x:c r="E90" s="56"/>
      <x:c r="F90" s="56"/>
      <x:c r="G90" s="56"/>
      <x:c r="H90" s="24"/>
      <x:c r="I90" s="25"/>
      <x:c r="J90" s="25"/>
      <x:c r="K90" s="25"/>
      <x:c r="L90" s="25"/>
      <x:c r="M90" s="25"/>
      <x:c r="N90" s="24"/>
      <x:c r="O90" s="25"/>
      <x:c r="P90" s="25"/>
      <x:c r="Q90" s="25"/>
      <x:c r="R90" s="25"/>
      <x:c r="S90" s="25"/>
      <x:c r="T90" s="25"/>
      <x:c r="U90" s="25"/>
      <x:c r="V90" s="25"/>
      <x:c r="W90" s="26">
        <x:f t="shared" si="5"/>
        <x:v>0</x:v>
      </x:c>
      <x:c r="X90" s="23"/>
      <x:c r="Y90" s="23"/>
      <x:c r="Z90" s="23"/>
    </x:row>
    <x:row r="91" ht="18.75" customHeight="1">
      <x:c r="A91" s="19"/>
      <x:c r="B91" s="29"/>
      <x:c r="C91" s="21"/>
      <x:c r="D91" s="55"/>
      <x:c r="E91" s="56"/>
      <x:c r="F91" s="56"/>
      <x:c r="G91" s="56"/>
      <x:c r="H91" s="24"/>
      <x:c r="I91" s="25"/>
      <x:c r="J91" s="25"/>
      <x:c r="K91" s="25"/>
      <x:c r="L91" s="25"/>
      <x:c r="M91" s="25"/>
      <x:c r="N91" s="24"/>
      <x:c r="O91" s="25"/>
      <x:c r="P91" s="25"/>
      <x:c r="Q91" s="25"/>
      <x:c r="R91" s="25"/>
      <x:c r="S91" s="25"/>
      <x:c r="T91" s="25"/>
      <x:c r="U91" s="25"/>
      <x:c r="V91" s="25"/>
      <x:c r="W91" s="26">
        <x:f t="shared" si="5"/>
        <x:v>0</x:v>
      </x:c>
      <x:c r="X91" s="23"/>
      <x:c r="Y91" s="23"/>
      <x:c r="Z91" s="23"/>
    </x:row>
    <x:row r="92" ht="18.75" customHeight="1">
      <x:c r="A92" s="19"/>
      <x:c r="B92" s="29"/>
      <x:c r="C92" s="21"/>
      <x:c r="D92" s="55"/>
      <x:c r="E92" s="56"/>
      <x:c r="F92" s="56"/>
      <x:c r="G92" s="56"/>
      <x:c r="H92" s="24"/>
      <x:c r="I92" s="25"/>
      <x:c r="J92" s="25"/>
      <x:c r="K92" s="25"/>
      <x:c r="L92" s="25"/>
      <x:c r="M92" s="24"/>
      <x:c r="N92" s="25"/>
      <x:c r="O92" s="25"/>
      <x:c r="P92" s="25"/>
      <x:c r="Q92" s="25"/>
      <x:c r="R92" s="25"/>
      <x:c r="S92" s="25"/>
      <x:c r="T92" s="25"/>
      <x:c r="U92" s="25"/>
      <x:c r="V92" s="25"/>
      <x:c r="W92" s="26">
        <x:f t="shared" si="5"/>
        <x:v>0</x:v>
      </x:c>
      <x:c r="X92" s="23"/>
      <x:c r="Y92" s="23"/>
      <x:c r="Z92" s="23"/>
    </x:row>
    <x:row r="93" ht="18.75" customHeight="1">
      <x:c r="A93" s="19"/>
      <x:c r="B93" s="29"/>
      <x:c r="C93" s="21"/>
      <x:c r="D93" s="55"/>
      <x:c r="E93" s="56"/>
      <x:c r="F93" s="56"/>
      <x:c r="G93" s="56"/>
      <x:c r="H93" s="24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6">
        <x:f t="shared" si="5"/>
        <x:v>0</x:v>
      </x:c>
      <x:c r="X93" s="23"/>
      <x:c r="Y93" s="23"/>
      <x:c r="Z93" s="23"/>
    </x:row>
    <x:row r="94" ht="18.75" customHeight="1">
      <x:c r="A94" s="19"/>
      <x:c r="B94" s="29"/>
      <x:c r="C94" s="21"/>
      <x:c r="D94" s="35"/>
      <x:c r="E94" s="56"/>
      <x:c r="F94" s="56"/>
      <x:c r="G94" s="56"/>
      <x:c r="H94" s="24"/>
      <x:c r="I94" s="25"/>
      <x:c r="J94" s="25"/>
      <x:c r="K94" s="25"/>
      <x:c r="L94" s="25"/>
      <x:c r="M94" s="24"/>
      <x:c r="N94" s="25"/>
      <x:c r="O94" s="25"/>
      <x:c r="P94" s="25"/>
      <x:c r="Q94" s="25"/>
      <x:c r="R94" s="25"/>
      <x:c r="S94" s="25"/>
      <x:c r="T94" s="25"/>
      <x:c r="U94" s="25"/>
      <x:c r="V94" s="25"/>
      <x:c r="W94" s="26">
        <x:f t="shared" si="5"/>
        <x:v>0</x:v>
      </x:c>
      <x:c r="X94" s="23"/>
      <x:c r="Y94" s="23"/>
      <x:c r="Z94" s="23"/>
    </x:row>
    <x:row r="95" ht="18.75" customHeight="1">
      <x:c r="A95" s="19"/>
      <x:c r="B95" s="29"/>
      <x:c r="C95" s="21"/>
      <x:c r="D95" s="55"/>
      <x:c r="E95" s="56"/>
      <x:c r="F95" s="56"/>
      <x:c r="G95" s="56"/>
      <x:c r="H95" s="24"/>
      <x:c r="I95" s="25"/>
      <x:c r="J95" s="25"/>
      <x:c r="K95" s="25"/>
      <x:c r="L95" s="25"/>
      <x:c r="M95" s="24"/>
      <x:c r="N95" s="25"/>
      <x:c r="O95" s="25"/>
      <x:c r="P95" s="25"/>
      <x:c r="Q95" s="25"/>
      <x:c r="R95" s="25"/>
      <x:c r="S95" s="25"/>
      <x:c r="T95" s="25"/>
      <x:c r="U95" s="25"/>
      <x:c r="V95" s="25"/>
      <x:c r="W95" s="26">
        <x:f t="shared" si="5"/>
        <x:v>0</x:v>
      </x:c>
      <x:c r="X95" s="23"/>
      <x:c r="Y95" s="23"/>
      <x:c r="Z95" s="23"/>
    </x:row>
    <x:row r="96" ht="18.75" customHeight="1">
      <x:c r="A96" s="19"/>
      <x:c r="B96" s="29"/>
      <x:c r="C96" s="21"/>
      <x:c r="D96" s="55"/>
      <x:c r="E96" s="56"/>
      <x:c r="F96" s="56"/>
      <x:c r="G96" s="56"/>
      <x:c r="H96" s="24"/>
      <x:c r="I96" s="24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6">
        <x:f t="shared" si="5"/>
        <x:v>0</x:v>
      </x:c>
      <x:c r="X96" s="23"/>
      <x:c r="Y96" s="23"/>
      <x:c r="Z96" s="23"/>
    </x:row>
    <x:row r="97" ht="18.75" customHeight="1">
      <x:c r="A97" s="19"/>
      <x:c r="B97" s="29"/>
      <x:c r="C97" s="21"/>
      <x:c r="D97" s="35"/>
      <x:c r="E97" s="56"/>
      <x:c r="F97" s="56"/>
      <x:c r="G97" s="56"/>
      <x:c r="H97" s="24"/>
      <x:c r="I97" s="25"/>
      <x:c r="J97" s="25"/>
      <x:c r="K97" s="25"/>
      <x:c r="L97" s="25"/>
      <x:c r="M97" s="25"/>
      <x:c r="N97" s="24"/>
      <x:c r="O97" s="25"/>
      <x:c r="P97" s="25"/>
      <x:c r="Q97" s="25"/>
      <x:c r="R97" s="25"/>
      <x:c r="S97" s="25"/>
      <x:c r="T97" s="25"/>
      <x:c r="U97" s="25"/>
      <x:c r="V97" s="25"/>
      <x:c r="W97" s="26">
        <x:f t="shared" si="5"/>
        <x:v>0</x:v>
      </x:c>
      <x:c r="X97" s="23"/>
      <x:c r="Y97" s="23"/>
      <x:c r="Z97" s="23"/>
    </x:row>
    <x:row r="98" ht="18.75" customHeight="1">
      <x:c r="A98" s="19"/>
      <x:c r="B98" s="29"/>
      <x:c r="C98" s="21"/>
      <x:c r="D98" s="55"/>
      <x:c r="E98" s="56"/>
      <x:c r="F98" s="56"/>
      <x:c r="G98" s="56"/>
      <x:c r="H98" s="24"/>
      <x:c r="I98" s="25"/>
      <x:c r="J98" s="25"/>
      <x:c r="K98" s="25"/>
      <x:c r="L98" s="25"/>
      <x:c r="M98" s="24"/>
      <x:c r="N98" s="24"/>
      <x:c r="O98" s="25"/>
      <x:c r="P98" s="25"/>
      <x:c r="Q98" s="25"/>
      <x:c r="R98" s="25"/>
      <x:c r="S98" s="25"/>
      <x:c r="T98" s="25"/>
      <x:c r="U98" s="25"/>
      <x:c r="V98" s="25"/>
      <x:c r="W98" s="26">
        <x:f t="shared" si="5"/>
        <x:v>0</x:v>
      </x:c>
      <x:c r="X98" s="23"/>
      <x:c r="Y98" s="23"/>
      <x:c r="Z98" s="23"/>
    </x:row>
    <x:row r="99" ht="18.75" customHeight="1">
      <x:c r="A99" s="19"/>
      <x:c r="B99" s="20"/>
      <x:c r="C99" s="21"/>
      <x:c r="D99" s="55"/>
      <x:c r="E99" s="56"/>
      <x:c r="F99" s="56"/>
      <x:c r="G99" s="56"/>
      <x:c r="H99" s="24"/>
      <x:c r="I99" s="24"/>
      <x:c r="J99" s="25"/>
      <x:c r="K99" s="25"/>
      <x:c r="L99" s="25"/>
      <x:c r="M99" s="24"/>
      <x:c r="N99" s="25"/>
      <x:c r="O99" s="25"/>
      <x:c r="P99" s="25"/>
      <x:c r="Q99" s="25"/>
      <x:c r="R99" s="25"/>
      <x:c r="S99" s="25"/>
      <x:c r="T99" s="25"/>
      <x:c r="U99" s="25"/>
      <x:c r="V99" s="25"/>
      <x:c r="W99" s="26">
        <x:f t="shared" si="5"/>
        <x:v>0</x:v>
      </x:c>
      <x:c r="X99" s="23"/>
      <x:c r="Y99" s="23"/>
      <x:c r="Z99" s="23"/>
    </x:row>
    <x:row r="100" ht="18.75" customHeight="1">
      <x:c r="A100" s="19"/>
      <x:c r="B100" s="29"/>
      <x:c r="C100" s="21"/>
      <x:c r="D100" s="35"/>
      <x:c r="E100" s="56"/>
      <x:c r="F100" s="56"/>
      <x:c r="G100" s="56"/>
      <x:c r="H100" s="24"/>
      <x:c r="I100" s="25"/>
      <x:c r="J100" s="25"/>
      <x:c r="K100" s="25"/>
      <x:c r="L100" s="25"/>
      <x:c r="M100" s="25"/>
      <x:c r="N100" s="24"/>
      <x:c r="O100" s="25"/>
      <x:c r="P100" s="25"/>
      <x:c r="Q100" s="25"/>
      <x:c r="R100" s="25"/>
      <x:c r="S100" s="25"/>
      <x:c r="T100" s="25"/>
      <x:c r="U100" s="25"/>
      <x:c r="V100" s="25"/>
      <x:c r="W100" s="26">
        <x:f t="shared" si="5"/>
        <x:v>0</x:v>
      </x:c>
      <x:c r="X100" s="23"/>
      <x:c r="Y100" s="23"/>
      <x:c r="Z100" s="23"/>
    </x:row>
    <x:row r="101" ht="18.75" customHeight="1">
      <x:c r="A101" s="19"/>
      <x:c r="B101" s="29"/>
      <x:c r="C101" s="21"/>
      <x:c r="D101" s="55"/>
      <x:c r="E101" s="56"/>
      <x:c r="F101" s="56"/>
      <x:c r="G101" s="56"/>
      <x:c r="H101" s="24"/>
      <x:c r="I101" s="25"/>
      <x:c r="J101" s="25"/>
      <x:c r="K101" s="25"/>
      <x:c r="L101" s="25"/>
      <x:c r="M101" s="25"/>
      <x:c r="N101" s="24"/>
      <x:c r="O101" s="25"/>
      <x:c r="P101" s="25"/>
      <x:c r="Q101" s="25"/>
      <x:c r="R101" s="25"/>
      <x:c r="S101" s="25"/>
      <x:c r="T101" s="25"/>
      <x:c r="U101" s="25"/>
      <x:c r="V101" s="25"/>
      <x:c r="W101" s="26">
        <x:f t="shared" si="5"/>
        <x:v>0</x:v>
      </x:c>
      <x:c r="X101" s="23"/>
      <x:c r="Y101" s="23"/>
      <x:c r="Z101" s="23"/>
    </x:row>
    <x:row r="102" ht="18.75" customHeight="1">
      <x:c r="A102" s="19"/>
      <x:c r="B102" s="29"/>
      <x:c r="C102" s="21"/>
      <x:c r="D102" s="55"/>
      <x:c r="E102" s="56"/>
      <x:c r="F102" s="56"/>
      <x:c r="G102" s="56"/>
      <x:c r="H102" s="24"/>
      <x:c r="I102" s="25"/>
      <x:c r="J102" s="25"/>
      <x:c r="K102" s="25"/>
      <x:c r="L102" s="25"/>
      <x:c r="M102" s="25"/>
      <x:c r="N102" s="24"/>
      <x:c r="O102" s="25"/>
      <x:c r="P102" s="25"/>
      <x:c r="Q102" s="25"/>
      <x:c r="R102" s="25"/>
      <x:c r="S102" s="25"/>
      <x:c r="T102" s="25"/>
      <x:c r="U102" s="25"/>
      <x:c r="V102" s="25"/>
      <x:c r="W102" s="26">
        <x:f t="shared" si="5"/>
        <x:v>0</x:v>
      </x:c>
      <x:c r="X102" s="23"/>
      <x:c r="Y102" s="23"/>
      <x:c r="Z102" s="23"/>
    </x:row>
    <x:row r="103" ht="18.75" customHeight="1">
      <x:c r="A103" s="19"/>
      <x:c r="B103" s="29"/>
      <x:c r="C103" s="21"/>
      <x:c r="D103" s="55"/>
      <x:c r="E103" s="56"/>
      <x:c r="F103" s="56"/>
      <x:c r="G103" s="56"/>
      <x:c r="H103" s="24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6">
        <x:f t="shared" si="5"/>
        <x:v>0</x:v>
      </x:c>
      <x:c r="X103" s="23"/>
      <x:c r="Y103" s="23"/>
      <x:c r="Z103" s="23"/>
    </x:row>
    <x:row r="104" ht="18.75" customHeight="1">
      <x:c r="A104" s="19"/>
      <x:c r="B104" s="29"/>
      <x:c r="C104" s="21"/>
      <x:c r="D104" s="55"/>
      <x:c r="E104" s="56"/>
      <x:c r="F104" s="56"/>
      <x:c r="G104" s="56"/>
      <x:c r="H104" s="24"/>
      <x:c r="I104" s="25"/>
      <x:c r="J104" s="25"/>
      <x:c r="K104" s="25"/>
      <x:c r="L104" s="25"/>
      <x:c r="M104" s="24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6">
        <x:f t="shared" si="5"/>
        <x:v>0</x:v>
      </x:c>
      <x:c r="X104" s="23"/>
      <x:c r="Y104" s="23"/>
      <x:c r="Z104" s="23"/>
    </x:row>
    <x:row r="105" ht="18.75" customHeight="1">
      <x:c r="A105" s="19"/>
      <x:c r="B105" s="29"/>
      <x:c r="C105" s="21"/>
      <x:c r="D105" s="55"/>
      <x:c r="E105" s="56"/>
      <x:c r="F105" s="56"/>
      <x:c r="G105" s="56"/>
      <x:c r="H105" s="24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6">
        <x:f t="shared" si="5"/>
        <x:v>0</x:v>
      </x:c>
      <x:c r="X105" s="23"/>
      <x:c r="Y105" s="23"/>
      <x:c r="Z105" s="23"/>
    </x:row>
    <x:row r="106" ht="18.75" customHeight="1">
      <x:c r="A106" s="19"/>
      <x:c r="B106" s="29"/>
      <x:c r="C106" s="21"/>
      <x:c r="D106" s="35"/>
      <x:c r="E106" s="56"/>
      <x:c r="F106" s="56"/>
      <x:c r="G106" s="56"/>
      <x:c r="H106" s="24"/>
      <x:c r="I106" s="25"/>
      <x:c r="J106" s="25"/>
      <x:c r="K106" s="25"/>
      <x:c r="L106" s="25"/>
      <x:c r="M106" s="24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6">
        <x:f t="shared" si="5"/>
        <x:v>0</x:v>
      </x:c>
      <x:c r="X106" s="23"/>
      <x:c r="Y106" s="23"/>
      <x:c r="Z106" s="23"/>
    </x:row>
    <x:row r="107" ht="18.75" customHeight="1">
      <x:c r="A107" s="19"/>
      <x:c r="B107" s="29"/>
      <x:c r="C107" s="21"/>
      <x:c r="D107" s="55"/>
      <x:c r="E107" s="56"/>
      <x:c r="F107" s="56"/>
      <x:c r="G107" s="56"/>
      <x:c r="H107" s="24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6">
        <x:f t="shared" si="5"/>
        <x:v>0</x:v>
      </x:c>
      <x:c r="X107" s="23"/>
      <x:c r="Y107" s="23"/>
      <x:c r="Z107" s="23"/>
    </x:row>
    <x:row r="108" ht="18.75" customHeight="1">
      <x:c r="A108" s="19"/>
      <x:c r="B108" s="29"/>
      <x:c r="C108" s="21"/>
      <x:c r="D108" s="55"/>
      <x:c r="E108" s="56"/>
      <x:c r="F108" s="56"/>
      <x:c r="G108" s="56"/>
      <x:c r="H108" s="24"/>
      <x:c r="I108" s="25"/>
      <x:c r="J108" s="25"/>
      <x:c r="K108" s="25"/>
      <x:c r="L108" s="25"/>
      <x:c r="M108" s="25"/>
      <x:c r="N108" s="24"/>
      <x:c r="O108" s="25"/>
      <x:c r="P108" s="25"/>
      <x:c r="Q108" s="25"/>
      <x:c r="R108" s="25"/>
      <x:c r="S108" s="25"/>
      <x:c r="T108" s="25"/>
      <x:c r="U108" s="25"/>
      <x:c r="V108" s="25"/>
      <x:c r="W108" s="26">
        <x:f t="shared" si="5"/>
        <x:v>0</x:v>
      </x:c>
      <x:c r="X108" s="23"/>
      <x:c r="Y108" s="23"/>
      <x:c r="Z108" s="23"/>
    </x:row>
    <x:row r="109" ht="18.75" customHeight="1">
      <x:c r="A109" s="19"/>
      <x:c r="B109" s="29"/>
      <x:c r="C109" s="21"/>
      <x:c r="D109" s="55"/>
      <x:c r="E109" s="56"/>
      <x:c r="F109" s="56"/>
      <x:c r="G109" s="56"/>
      <x:c r="H109" s="24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6">
        <x:f t="shared" si="5"/>
        <x:v>0</x:v>
      </x:c>
      <x:c r="X109" s="23"/>
      <x:c r="Y109" s="23"/>
      <x:c r="Z109" s="23"/>
    </x:row>
    <x:row r="110" ht="18.75" customHeight="1">
      <x:c r="A110" s="19"/>
      <x:c r="B110" s="29"/>
      <x:c r="C110" s="21"/>
      <x:c r="D110" s="55"/>
      <x:c r="E110" s="56"/>
      <x:c r="F110" s="56"/>
      <x:c r="G110" s="56"/>
      <x:c r="H110" s="24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6">
        <x:f t="shared" si="5"/>
        <x:v>0</x:v>
      </x:c>
      <x:c r="X110" s="23"/>
      <x:c r="Y110" s="23"/>
      <x:c r="Z110" s="23"/>
    </x:row>
    <x:row r="111" ht="18.75" customHeight="1">
      <x:c r="A111" s="19"/>
      <x:c r="B111" s="29"/>
      <x:c r="C111" s="21"/>
      <x:c r="D111" s="55"/>
      <x:c r="E111" s="56"/>
      <x:c r="F111" s="56"/>
      <x:c r="G111" s="56"/>
      <x:c r="H111" s="24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6">
        <x:f t="shared" si="5"/>
        <x:v>0</x:v>
      </x:c>
      <x:c r="X111" s="23"/>
      <x:c r="Y111" s="23"/>
      <x:c r="Z111" s="23"/>
    </x:row>
    <x:row r="112" ht="18.75" customHeight="1">
      <x:c r="A112" s="19"/>
      <x:c r="B112" s="29"/>
      <x:c r="C112" s="21"/>
      <x:c r="D112" s="55"/>
      <x:c r="E112" s="56"/>
      <x:c r="F112" s="56"/>
      <x:c r="G112" s="56"/>
      <x:c r="H112" s="24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6">
        <x:f t="shared" si="5"/>
        <x:v>0</x:v>
      </x:c>
      <x:c r="X112" s="23"/>
      <x:c r="Y112" s="23"/>
      <x:c r="Z112" s="23"/>
    </x:row>
    <x:row r="113" ht="18.75" customHeight="1">
      <x:c r="A113" s="19"/>
      <x:c r="B113" s="29"/>
      <x:c r="C113" s="21"/>
      <x:c r="D113" s="55"/>
      <x:c r="E113" s="56"/>
      <x:c r="F113" s="56"/>
      <x:c r="G113" s="56"/>
      <x:c r="H113" s="24"/>
      <x:c r="I113" s="25"/>
      <x:c r="J113" s="25"/>
      <x:c r="K113" s="25"/>
      <x:c r="L113" s="25"/>
      <x:c r="M113" s="25"/>
      <x:c r="N113" s="24"/>
      <x:c r="O113" s="25"/>
      <x:c r="P113" s="25"/>
      <x:c r="Q113" s="25"/>
      <x:c r="R113" s="25"/>
      <x:c r="S113" s="25"/>
      <x:c r="T113" s="25"/>
      <x:c r="U113" s="25"/>
      <x:c r="V113" s="25"/>
      <x:c r="W113" s="26">
        <x:f t="shared" si="5"/>
        <x:v>0</x:v>
      </x:c>
      <x:c r="X113" s="23"/>
      <x:c r="Y113" s="23"/>
      <x:c r="Z113" s="23"/>
    </x:row>
    <x:row r="114" ht="18.75" customHeight="1">
      <x:c r="A114" s="19"/>
      <x:c r="B114" s="29"/>
      <x:c r="C114" s="21"/>
      <x:c r="D114" s="55"/>
      <x:c r="E114" s="56"/>
      <x:c r="F114" s="56"/>
      <x:c r="G114" s="56"/>
      <x:c r="H114" s="24"/>
      <x:c r="I114" s="24"/>
      <x:c r="J114" s="25"/>
      <x:c r="K114" s="25"/>
      <x:c r="L114" s="25"/>
      <x:c r="M114" s="24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6">
        <x:f t="shared" si="5"/>
        <x:v>0</x:v>
      </x:c>
      <x:c r="X114" s="23"/>
      <x:c r="Y114" s="23"/>
      <x:c r="Z114" s="23"/>
    </x:row>
    <x:row r="115" ht="18.75" customHeight="1">
      <x:c r="A115" s="19"/>
      <x:c r="B115" s="29"/>
      <x:c r="C115" s="21"/>
      <x:c r="D115" s="55"/>
      <x:c r="E115" s="56"/>
      <x:c r="F115" s="56"/>
      <x:c r="G115" s="56"/>
      <x:c r="H115" s="24"/>
      <x:c r="I115" s="25"/>
      <x:c r="J115" s="25"/>
      <x:c r="K115" s="25"/>
      <x:c r="L115" s="25"/>
      <x:c r="M115" s="24"/>
      <x:c r="N115" s="24"/>
      <x:c r="O115" s="25"/>
      <x:c r="P115" s="25"/>
      <x:c r="Q115" s="25"/>
      <x:c r="R115" s="25"/>
      <x:c r="S115" s="25"/>
      <x:c r="T115" s="25"/>
      <x:c r="U115" s="25"/>
      <x:c r="V115" s="25"/>
      <x:c r="W115" s="26">
        <x:f t="shared" si="5"/>
        <x:v>0</x:v>
      </x:c>
      <x:c r="X115" s="23"/>
      <x:c r="Y115" s="23"/>
      <x:c r="Z115" s="23"/>
    </x:row>
    <x:row r="116" ht="18.75" customHeight="1">
      <x:c r="A116" s="19"/>
      <x:c r="B116" s="29"/>
      <x:c r="C116" s="21"/>
      <x:c r="D116" s="55"/>
      <x:c r="E116" s="56"/>
      <x:c r="F116" s="56"/>
      <x:c r="G116" s="56"/>
      <x:c r="H116" s="24"/>
      <x:c r="I116" s="25"/>
      <x:c r="J116" s="25"/>
      <x:c r="K116" s="25"/>
      <x:c r="L116" s="25"/>
      <x:c r="M116" s="24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6">
        <x:f t="shared" si="5"/>
        <x:v>0</x:v>
      </x:c>
      <x:c r="X116" s="23"/>
      <x:c r="Y116" s="23"/>
      <x:c r="Z116" s="23"/>
    </x:row>
    <x:row r="117" ht="18.75" customHeight="1">
      <x:c r="A117" s="19"/>
      <x:c r="B117" s="29"/>
      <x:c r="C117" s="21"/>
      <x:c r="D117" s="55"/>
      <x:c r="E117" s="56"/>
      <x:c r="F117" s="56"/>
      <x:c r="G117" s="56"/>
      <x:c r="H117" s="24"/>
      <x:c r="I117" s="25"/>
      <x:c r="J117" s="25"/>
      <x:c r="K117" s="25"/>
      <x:c r="L117" s="25"/>
      <x:c r="M117" s="25"/>
      <x:c r="N117" s="24"/>
      <x:c r="O117" s="25"/>
      <x:c r="P117" s="25"/>
      <x:c r="Q117" s="25"/>
      <x:c r="R117" s="25"/>
      <x:c r="S117" s="25"/>
      <x:c r="T117" s="25"/>
      <x:c r="U117" s="25"/>
      <x:c r="V117" s="25"/>
      <x:c r="W117" s="26">
        <x:f t="shared" si="5"/>
        <x:v>0</x:v>
      </x:c>
      <x:c r="X117" s="23"/>
      <x:c r="Y117" s="23"/>
      <x:c r="Z117" s="23"/>
    </x:row>
    <x:row r="118" ht="18.75" customHeight="1">
      <x:c r="A118" s="19"/>
      <x:c r="B118" s="29"/>
      <x:c r="C118" s="21"/>
      <x:c r="D118" s="35"/>
      <x:c r="E118" s="56"/>
      <x:c r="F118" s="56"/>
      <x:c r="G118" s="56"/>
      <x:c r="H118" s="24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6">
        <x:f t="shared" si="5"/>
        <x:v>0</x:v>
      </x:c>
      <x:c r="X118" s="23"/>
      <x:c r="Y118" s="23"/>
      <x:c r="Z118" s="23"/>
    </x:row>
    <x:row r="119" ht="18.75" customHeight="1">
      <x:c r="A119" s="19"/>
      <x:c r="B119" s="29"/>
      <x:c r="C119" s="21"/>
      <x:c r="D119" s="55"/>
      <x:c r="E119" s="56"/>
      <x:c r="F119" s="56"/>
      <x:c r="G119" s="56"/>
      <x:c r="H119" s="24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6">
        <x:f t="shared" si="5"/>
        <x:v>0</x:v>
      </x:c>
      <x:c r="X119" s="23"/>
      <x:c r="Y119" s="23"/>
      <x:c r="Z119" s="23"/>
    </x:row>
    <x:row r="120" ht="18.75" customHeight="1">
      <x:c r="A120" s="19"/>
      <x:c r="B120" s="29"/>
      <x:c r="C120" s="21"/>
      <x:c r="D120" s="55"/>
      <x:c r="E120" s="56"/>
      <x:c r="F120" s="56"/>
      <x:c r="G120" s="56"/>
      <x:c r="H120" s="24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6">
        <x:f t="shared" si="5"/>
        <x:v>0</x:v>
      </x:c>
      <x:c r="X120" s="23"/>
      <x:c r="Y120" s="23"/>
      <x:c r="Z120" s="23"/>
    </x:row>
    <x:row r="121" ht="18.75" customHeight="1">
      <x:c r="A121" s="19"/>
      <x:c r="B121" s="29"/>
      <x:c r="C121" s="21"/>
      <x:c r="D121" s="55"/>
      <x:c r="E121" s="56"/>
      <x:c r="F121" s="56"/>
      <x:c r="G121" s="56"/>
      <x:c r="H121" s="24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6">
        <x:f t="shared" si="5"/>
        <x:v>0</x:v>
      </x:c>
      <x:c r="X121" s="23"/>
      <x:c r="Y121" s="23"/>
      <x:c r="Z121" s="23"/>
    </x:row>
    <x:row r="122" ht="18.75" customHeight="1">
      <x:c r="A122" s="19"/>
      <x:c r="B122" s="29"/>
      <x:c r="C122" s="21"/>
      <x:c r="D122" s="55"/>
      <x:c r="E122" s="56"/>
      <x:c r="F122" s="56"/>
      <x:c r="G122" s="56"/>
      <x:c r="H122" s="24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6">
        <x:f t="shared" si="5"/>
        <x:v>0</x:v>
      </x:c>
      <x:c r="X122" s="23"/>
      <x:c r="Y122" s="23"/>
      <x:c r="Z122" s="23"/>
    </x:row>
    <x:row r="123" ht="18.75" customHeight="1">
      <x:c r="A123" s="19"/>
      <x:c r="B123" s="29"/>
      <x:c r="C123" s="21"/>
      <x:c r="D123" s="55"/>
      <x:c r="E123" s="56"/>
      <x:c r="F123" s="56"/>
      <x:c r="G123" s="56"/>
      <x:c r="H123" s="24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6">
        <x:f t="shared" si="5"/>
        <x:v>0</x:v>
      </x:c>
      <x:c r="X123" s="23"/>
      <x:c r="Y123" s="23"/>
      <x:c r="Z123" s="23"/>
    </x:row>
    <x:row r="124" ht="18.75" customHeight="1">
      <x:c r="A124" s="19"/>
      <x:c r="B124" s="29"/>
      <x:c r="C124" s="21"/>
      <x:c r="D124" s="55"/>
      <x:c r="E124" s="56"/>
      <x:c r="F124" s="56"/>
      <x:c r="G124" s="56"/>
      <x:c r="H124" s="24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6">
        <x:f t="shared" si="5"/>
        <x:v>0</x:v>
      </x:c>
      <x:c r="X124" s="23"/>
      <x:c r="Y124" s="23"/>
      <x:c r="Z124" s="23"/>
    </x:row>
    <x:row r="125" ht="18.75" customHeight="1">
      <x:c r="A125" s="19"/>
      <x:c r="B125" s="29"/>
      <x:c r="C125" s="21"/>
      <x:c r="D125" s="55"/>
      <x:c r="E125" s="56"/>
      <x:c r="F125" s="56"/>
      <x:c r="G125" s="56"/>
      <x:c r="H125" s="24"/>
      <x:c r="I125" s="25"/>
      <x:c r="J125" s="25"/>
      <x:c r="K125" s="25"/>
      <x:c r="L125" s="25"/>
      <x:c r="M125" s="25"/>
      <x:c r="N125" s="24"/>
      <x:c r="O125" s="25"/>
      <x:c r="P125" s="25"/>
      <x:c r="Q125" s="25"/>
      <x:c r="R125" s="25"/>
      <x:c r="S125" s="25"/>
      <x:c r="T125" s="25"/>
      <x:c r="U125" s="25"/>
      <x:c r="V125" s="25"/>
      <x:c r="W125" s="26">
        <x:f t="shared" si="5"/>
        <x:v>0</x:v>
      </x:c>
      <x:c r="X125" s="23"/>
      <x:c r="Y125" s="23"/>
      <x:c r="Z125" s="23"/>
    </x:row>
    <x:row r="126" ht="18.75" customHeight="1">
      <x:c r="A126" s="19"/>
      <x:c r="B126" s="29"/>
      <x:c r="C126" s="21"/>
      <x:c r="D126" s="55"/>
      <x:c r="E126" s="56"/>
      <x:c r="F126" s="56"/>
      <x:c r="G126" s="56"/>
      <x:c r="H126" s="24"/>
      <x:c r="I126" s="25"/>
      <x:c r="J126" s="25"/>
      <x:c r="K126" s="25"/>
      <x:c r="L126" s="25"/>
      <x:c r="M126" s="24"/>
      <x:c r="N126" s="24"/>
      <x:c r="O126" s="25"/>
      <x:c r="P126" s="25"/>
      <x:c r="Q126" s="25"/>
      <x:c r="R126" s="25"/>
      <x:c r="S126" s="25"/>
      <x:c r="T126" s="25"/>
      <x:c r="U126" s="25"/>
      <x:c r="V126" s="25"/>
      <x:c r="W126" s="26">
        <x:f t="shared" si="5"/>
        <x:v>0</x:v>
      </x:c>
      <x:c r="X126" s="23"/>
      <x:c r="Y126" s="23"/>
      <x:c r="Z126" s="23"/>
    </x:row>
    <x:row r="127" ht="18.75" customHeight="1">
      <x:c r="A127" s="19"/>
      <x:c r="B127" s="29"/>
      <x:c r="C127" s="21"/>
      <x:c r="D127" s="55"/>
      <x:c r="E127" s="56"/>
      <x:c r="F127" s="56"/>
      <x:c r="G127" s="56"/>
      <x:c r="H127" s="24"/>
      <x:c r="I127" s="24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6">
        <x:f t="shared" si="5"/>
        <x:v>0</x:v>
      </x:c>
      <x:c r="X127" s="23"/>
      <x:c r="Y127" s="23"/>
      <x:c r="Z127" s="23"/>
    </x:row>
    <x:row r="128" ht="18.75" customHeight="1">
      <x:c r="A128" s="19"/>
      <x:c r="B128" s="29"/>
      <x:c r="C128" s="21"/>
      <x:c r="D128" s="55"/>
      <x:c r="E128" s="56"/>
      <x:c r="F128" s="56"/>
      <x:c r="G128" s="56"/>
      <x:c r="H128" s="24"/>
      <x:c r="I128" s="25"/>
      <x:c r="J128" s="25"/>
      <x:c r="K128" s="25"/>
      <x:c r="L128" s="25"/>
      <x:c r="M128" s="25"/>
      <x:c r="N128" s="24"/>
      <x:c r="O128" s="25"/>
      <x:c r="P128" s="25"/>
      <x:c r="Q128" s="25"/>
      <x:c r="R128" s="25"/>
      <x:c r="S128" s="25"/>
      <x:c r="T128" s="25"/>
      <x:c r="U128" s="25"/>
      <x:c r="V128" s="25"/>
      <x:c r="W128" s="26">
        <x:f t="shared" si="5"/>
        <x:v>0</x:v>
      </x:c>
      <x:c r="X128" s="23"/>
      <x:c r="Y128" s="23"/>
      <x:c r="Z128" s="23"/>
    </x:row>
    <x:row r="129" ht="18.75" customHeight="1">
      <x:c r="A129" s="19"/>
      <x:c r="B129" s="29"/>
      <x:c r="C129" s="21"/>
      <x:c r="D129" s="55"/>
      <x:c r="E129" s="56"/>
      <x:c r="F129" s="56"/>
      <x:c r="G129" s="56"/>
      <x:c r="H129" s="24"/>
      <x:c r="I129" s="25"/>
      <x:c r="J129" s="25"/>
      <x:c r="K129" s="25"/>
      <x:c r="L129" s="25"/>
      <x:c r="M129" s="24"/>
      <x:c r="N129" s="24"/>
      <x:c r="O129" s="25"/>
      <x:c r="P129" s="25"/>
      <x:c r="Q129" s="25"/>
      <x:c r="R129" s="25"/>
      <x:c r="S129" s="25"/>
      <x:c r="T129" s="25"/>
      <x:c r="U129" s="25"/>
      <x:c r="V129" s="25"/>
      <x:c r="W129" s="26">
        <x:f t="shared" si="5"/>
        <x:v>0</x:v>
      </x:c>
      <x:c r="X129" s="23"/>
      <x:c r="Y129" s="23"/>
      <x:c r="Z129" s="23"/>
    </x:row>
    <x:row r="130" ht="18.75" customHeight="1">
      <x:c r="A130" s="19"/>
      <x:c r="B130" s="29"/>
      <x:c r="C130" s="21"/>
      <x:c r="D130" s="55"/>
      <x:c r="E130" s="56"/>
      <x:c r="F130" s="56"/>
      <x:c r="G130" s="56"/>
      <x:c r="H130" s="24"/>
      <x:c r="I130" s="25"/>
      <x:c r="J130" s="25"/>
      <x:c r="K130" s="25"/>
      <x:c r="L130" s="25"/>
      <x:c r="M130" s="25"/>
      <x:c r="N130" s="24"/>
      <x:c r="O130" s="25"/>
      <x:c r="P130" s="25"/>
      <x:c r="Q130" s="25"/>
      <x:c r="R130" s="25"/>
      <x:c r="S130" s="25"/>
      <x:c r="T130" s="25"/>
      <x:c r="U130" s="25"/>
      <x:c r="V130" s="25"/>
      <x:c r="W130" s="26">
        <x:f t="shared" si="5"/>
        <x:v>0</x:v>
      </x:c>
      <x:c r="X130" s="23"/>
      <x:c r="Y130" s="23"/>
      <x:c r="Z130" s="23"/>
    </x:row>
    <x:row r="131" ht="18.75" customHeight="1">
      <x:c r="A131" s="19"/>
      <x:c r="B131" s="29"/>
      <x:c r="C131" s="21"/>
      <x:c r="D131" s="55"/>
      <x:c r="E131" s="56"/>
      <x:c r="F131" s="56"/>
      <x:c r="G131" s="56"/>
      <x:c r="H131" s="24"/>
      <x:c r="I131" s="25"/>
      <x:c r="J131" s="25"/>
      <x:c r="K131" s="25"/>
      <x:c r="L131" s="25"/>
      <x:c r="M131" s="25"/>
      <x:c r="N131" s="24"/>
      <x:c r="O131" s="25"/>
      <x:c r="P131" s="25"/>
      <x:c r="Q131" s="25"/>
      <x:c r="R131" s="25"/>
      <x:c r="S131" s="25"/>
      <x:c r="T131" s="25"/>
      <x:c r="U131" s="25"/>
      <x:c r="V131" s="25"/>
      <x:c r="W131" s="26">
        <x:f t="shared" si="5"/>
        <x:v>0</x:v>
      </x:c>
      <x:c r="X131" s="23"/>
      <x:c r="Y131" s="23"/>
      <x:c r="Z131" s="23"/>
    </x:row>
    <x:row r="132" ht="18.75" customHeight="1">
      <x:c r="A132" s="19"/>
      <x:c r="B132" s="29"/>
      <x:c r="C132" s="21"/>
      <x:c r="D132" s="55"/>
      <x:c r="E132" s="56"/>
      <x:c r="F132" s="56"/>
      <x:c r="G132" s="56"/>
      <x:c r="H132" s="24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6">
        <x:f t="shared" si="5"/>
        <x:v>0</x:v>
      </x:c>
      <x:c r="X132" s="23"/>
      <x:c r="Y132" s="23"/>
      <x:c r="Z132" s="23"/>
    </x:row>
    <x:row r="133" ht="18.75" customHeight="1">
      <x:c r="A133" s="19"/>
      <x:c r="B133" s="29"/>
      <x:c r="C133" s="21"/>
      <x:c r="D133" s="55"/>
      <x:c r="E133" s="56"/>
      <x:c r="F133" s="56"/>
      <x:c r="G133" s="56"/>
      <x:c r="H133" s="24"/>
      <x:c r="I133" s="25"/>
      <x:c r="J133" s="25"/>
      <x:c r="K133" s="25"/>
      <x:c r="L133" s="25"/>
      <x:c r="M133" s="25"/>
      <x:c r="N133" s="24"/>
      <x:c r="O133" s="25"/>
      <x:c r="P133" s="25"/>
      <x:c r="Q133" s="25"/>
      <x:c r="R133" s="25"/>
      <x:c r="S133" s="25"/>
      <x:c r="T133" s="25"/>
      <x:c r="U133" s="25"/>
      <x:c r="V133" s="25"/>
      <x:c r="W133" s="26">
        <x:f t="shared" si="5"/>
        <x:v>0</x:v>
      </x:c>
      <x:c r="X133" s="23"/>
      <x:c r="Y133" s="23"/>
      <x:c r="Z133" s="23"/>
    </x:row>
    <x:row r="134" ht="18.75" customHeight="1">
      <x:c r="A134" s="19"/>
      <x:c r="B134" s="29"/>
      <x:c r="C134" s="21"/>
      <x:c r="D134" s="55"/>
      <x:c r="E134" s="56"/>
      <x:c r="F134" s="56"/>
      <x:c r="G134" s="56"/>
      <x:c r="H134" s="24"/>
      <x:c r="I134" s="25"/>
      <x:c r="J134" s="25"/>
      <x:c r="K134" s="25"/>
      <x:c r="L134" s="25"/>
      <x:c r="M134" s="25"/>
      <x:c r="N134" s="24"/>
      <x:c r="O134" s="25"/>
      <x:c r="P134" s="25"/>
      <x:c r="Q134" s="25"/>
      <x:c r="R134" s="25"/>
      <x:c r="S134" s="25"/>
      <x:c r="T134" s="25"/>
      <x:c r="U134" s="25"/>
      <x:c r="V134" s="25"/>
      <x:c r="W134" s="26">
        <x:f t="shared" si="5"/>
        <x:v>0</x:v>
      </x:c>
      <x:c r="X134" s="23"/>
      <x:c r="Y134" s="23"/>
      <x:c r="Z134" s="23"/>
    </x:row>
    <x:row r="135" ht="18.75" customHeight="1">
      <x:c r="A135" s="19"/>
      <x:c r="B135" s="29"/>
      <x:c r="C135" s="21"/>
      <x:c r="D135" s="55"/>
      <x:c r="E135" s="56"/>
      <x:c r="F135" s="56"/>
      <x:c r="G135" s="56"/>
      <x:c r="H135" s="24"/>
      <x:c r="I135" s="25"/>
      <x:c r="J135" s="24"/>
      <x:c r="K135" s="24"/>
      <x:c r="L135" s="24"/>
      <x:c r="M135" s="25"/>
      <x:c r="N135" s="24"/>
      <x:c r="O135" s="25"/>
      <x:c r="P135" s="25"/>
      <x:c r="Q135" s="25"/>
      <x:c r="R135" s="25"/>
      <x:c r="S135" s="25"/>
      <x:c r="T135" s="25"/>
      <x:c r="U135" s="25"/>
      <x:c r="V135" s="25"/>
      <x:c r="W135" s="26">
        <x:f t="shared" si="5"/>
        <x:v>0</x:v>
      </x:c>
      <x:c r="X135" s="23"/>
      <x:c r="Y135" s="23"/>
      <x:c r="Z135" s="23"/>
    </x:row>
    <x:row r="136" ht="18.75" customHeight="1">
      <x:c r="A136" s="19"/>
      <x:c r="B136" s="29"/>
      <x:c r="C136" s="21"/>
      <x:c r="D136" s="55"/>
      <x:c r="E136" s="56"/>
      <x:c r="F136" s="56"/>
      <x:c r="G136" s="56"/>
      <x:c r="H136" s="24"/>
      <x:c r="I136" s="25"/>
      <x:c r="J136" s="25"/>
      <x:c r="K136" s="25"/>
      <x:c r="L136" s="25"/>
      <x:c r="M136" s="24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6">
        <x:f t="shared" si="5"/>
        <x:v>0</x:v>
      </x:c>
      <x:c r="X136" s="23"/>
      <x:c r="Y136" s="23"/>
      <x:c r="Z136" s="23"/>
    </x:row>
    <x:row r="137" ht="18.75" customHeight="1">
      <x:c r="A137" s="19"/>
      <x:c r="B137" s="29"/>
      <x:c r="C137" s="21"/>
      <x:c r="D137" s="55"/>
      <x:c r="E137" s="56"/>
      <x:c r="F137" s="56"/>
      <x:c r="G137" s="56"/>
      <x:c r="H137" s="24"/>
      <x:c r="I137" s="25"/>
      <x:c r="J137" s="25"/>
      <x:c r="K137" s="25"/>
      <x:c r="L137" s="25"/>
      <x:c r="M137" s="25"/>
      <x:c r="N137" s="24"/>
      <x:c r="O137" s="25"/>
      <x:c r="P137" s="25"/>
      <x:c r="Q137" s="25"/>
      <x:c r="R137" s="25"/>
      <x:c r="S137" s="25"/>
      <x:c r="T137" s="25"/>
      <x:c r="U137" s="25"/>
      <x:c r="V137" s="25"/>
      <x:c r="W137" s="26">
        <x:f t="shared" si="5"/>
        <x:v>0</x:v>
      </x:c>
      <x:c r="X137" s="23"/>
      <x:c r="Y137" s="23"/>
      <x:c r="Z137" s="23"/>
    </x:row>
    <x:row r="138" ht="18.75" customHeight="1">
      <x:c r="A138" s="19"/>
      <x:c r="B138" s="29"/>
      <x:c r="C138" s="21"/>
      <x:c r="D138" s="55"/>
      <x:c r="E138" s="56"/>
      <x:c r="F138" s="56"/>
      <x:c r="G138" s="56"/>
      <x:c r="H138" s="24"/>
      <x:c r="I138" s="25"/>
      <x:c r="J138" s="25"/>
      <x:c r="K138" s="25"/>
      <x:c r="L138" s="25"/>
      <x:c r="M138" s="24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6">
        <x:f t="shared" si="5"/>
        <x:v>0</x:v>
      </x:c>
      <x:c r="X138" s="23"/>
      <x:c r="Y138" s="23"/>
      <x:c r="Z138" s="23"/>
    </x:row>
    <x:row r="139" ht="18.75" customHeight="1">
      <x:c r="A139" s="19"/>
      <x:c r="B139" s="29"/>
      <x:c r="C139" s="21"/>
      <x:c r="D139" s="55"/>
      <x:c r="E139" s="56"/>
      <x:c r="F139" s="56"/>
      <x:c r="G139" s="56"/>
      <x:c r="H139" s="24"/>
      <x:c r="I139" s="25"/>
      <x:c r="J139" s="25"/>
      <x:c r="K139" s="25"/>
      <x:c r="L139" s="25"/>
      <x:c r="M139" s="24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6">
        <x:f t="shared" si="5"/>
        <x:v>0</x:v>
      </x:c>
      <x:c r="X139" s="23"/>
      <x:c r="Y139" s="23"/>
      <x:c r="Z139" s="23"/>
    </x:row>
    <x:row r="140" ht="18.75" customHeight="1">
      <x:c r="A140" s="19"/>
      <x:c r="B140" s="29"/>
      <x:c r="C140" s="21"/>
      <x:c r="D140" s="55"/>
      <x:c r="E140" s="56"/>
      <x:c r="F140" s="56"/>
      <x:c r="G140" s="56"/>
      <x:c r="H140" s="24"/>
      <x:c r="I140" s="25"/>
      <x:c r="J140" s="25"/>
      <x:c r="K140" s="25"/>
      <x:c r="L140" s="25"/>
      <x:c r="M140" s="24"/>
      <x:c r="N140" s="24"/>
      <x:c r="O140" s="25"/>
      <x:c r="P140" s="25"/>
      <x:c r="Q140" s="25"/>
      <x:c r="R140" s="25"/>
      <x:c r="S140" s="25"/>
      <x:c r="T140" s="25"/>
      <x:c r="U140" s="25"/>
      <x:c r="V140" s="25"/>
      <x:c r="W140" s="26">
        <x:f t="shared" si="5"/>
        <x:v>0</x:v>
      </x:c>
      <x:c r="X140" s="23"/>
      <x:c r="Y140" s="23"/>
      <x:c r="Z140" s="23"/>
    </x:row>
    <x:row r="141" ht="18.75" customHeight="1">
      <x:c r="A141" s="19"/>
      <x:c r="B141" s="29"/>
      <x:c r="C141" s="21"/>
      <x:c r="D141" s="55"/>
      <x:c r="E141" s="56"/>
      <x:c r="F141" s="56"/>
      <x:c r="G141" s="56"/>
      <x:c r="H141" s="24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6">
        <x:f t="shared" si="5"/>
        <x:v>0</x:v>
      </x:c>
      <x:c r="X141" s="23"/>
      <x:c r="Y141" s="23"/>
      <x:c r="Z141" s="23"/>
    </x:row>
    <x:row r="142" ht="18.75" customHeight="1">
      <x:c r="A142" s="19"/>
      <x:c r="B142" s="29"/>
      <x:c r="C142" s="21"/>
      <x:c r="D142" s="55"/>
      <x:c r="E142" s="56"/>
      <x:c r="F142" s="56"/>
      <x:c r="G142" s="56"/>
      <x:c r="H142" s="24"/>
      <x:c r="I142" s="25"/>
      <x:c r="J142" s="25"/>
      <x:c r="K142" s="25"/>
      <x:c r="L142" s="25"/>
      <x:c r="M142" s="24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6">
        <x:f t="shared" si="5"/>
        <x:v>0</x:v>
      </x:c>
      <x:c r="X142" s="23"/>
      <x:c r="Y142" s="23"/>
      <x:c r="Z142" s="23"/>
    </x:row>
    <x:row r="143" ht="18.75" customHeight="1">
      <x:c r="A143" s="19"/>
      <x:c r="B143" s="29"/>
      <x:c r="C143" s="21"/>
      <x:c r="D143" s="55"/>
      <x:c r="E143" s="56"/>
      <x:c r="F143" s="56"/>
      <x:c r="G143" s="56"/>
      <x:c r="H143" s="24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6">
        <x:f t="shared" si="5"/>
        <x:v>0</x:v>
      </x:c>
      <x:c r="X143" s="23"/>
      <x:c r="Y143" s="23"/>
      <x:c r="Z143" s="23"/>
    </x:row>
    <x:row r="144" ht="18.75" customHeight="1">
      <x:c r="A144" s="19"/>
      <x:c r="B144" s="29"/>
      <x:c r="C144" s="21"/>
      <x:c r="D144" s="55"/>
      <x:c r="E144" s="56"/>
      <x:c r="F144" s="56"/>
      <x:c r="G144" s="56"/>
      <x:c r="H144" s="24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6">
        <x:f t="shared" si="5"/>
        <x:v>0</x:v>
      </x:c>
      <x:c r="X144" s="23"/>
      <x:c r="Y144" s="23"/>
      <x:c r="Z144" s="23"/>
    </x:row>
    <x:row r="145" ht="18.75" customHeight="1">
      <x:c r="A145" s="19"/>
      <x:c r="B145" s="29"/>
      <x:c r="C145" s="21"/>
      <x:c r="D145" s="55"/>
      <x:c r="E145" s="56"/>
      <x:c r="F145" s="56"/>
      <x:c r="G145" s="56"/>
      <x:c r="H145" s="24"/>
      <x:c r="I145" s="25"/>
      <x:c r="J145" s="25"/>
      <x:c r="K145" s="25"/>
      <x:c r="L145" s="25"/>
      <x:c r="M145" s="24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6">
        <x:f t="shared" si="5"/>
        <x:v>0</x:v>
      </x:c>
      <x:c r="X145" s="23"/>
      <x:c r="Y145" s="23"/>
      <x:c r="Z145" s="23"/>
    </x:row>
    <x:row r="146" ht="18.75" customHeight="1">
      <x:c r="A146" s="19"/>
      <x:c r="B146" s="29"/>
      <x:c r="C146" s="21"/>
      <x:c r="D146" s="55"/>
      <x:c r="E146" s="56"/>
      <x:c r="F146" s="56"/>
      <x:c r="G146" s="56"/>
      <x:c r="H146" s="24"/>
      <x:c r="I146" s="25"/>
      <x:c r="J146" s="24"/>
      <x:c r="K146" s="24"/>
      <x:c r="L146" s="24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6">
        <x:f t="shared" si="5"/>
        <x:v>0</x:v>
      </x:c>
      <x:c r="X146" s="23"/>
      <x:c r="Y146" s="23"/>
      <x:c r="Z146" s="23"/>
    </x:row>
    <x:row r="147" ht="18.75" customHeight="1">
      <x:c r="A147" s="19"/>
      <x:c r="B147" s="29"/>
      <x:c r="C147" s="21"/>
      <x:c r="D147" s="55"/>
      <x:c r="E147" s="56"/>
      <x:c r="F147" s="56"/>
      <x:c r="G147" s="56"/>
      <x:c r="H147" s="24"/>
      <x:c r="I147" s="25"/>
      <x:c r="J147" s="25"/>
      <x:c r="K147" s="25"/>
      <x:c r="L147" s="25"/>
      <x:c r="M147" s="25"/>
      <x:c r="N147" s="24"/>
      <x:c r="O147" s="25"/>
      <x:c r="P147" s="25"/>
      <x:c r="Q147" s="25"/>
      <x:c r="R147" s="25"/>
      <x:c r="S147" s="25"/>
      <x:c r="T147" s="25"/>
      <x:c r="U147" s="25"/>
      <x:c r="V147" s="25"/>
      <x:c r="W147" s="26">
        <x:f t="shared" si="5"/>
        <x:v>0</x:v>
      </x:c>
      <x:c r="X147" s="23"/>
      <x:c r="Y147" s="23"/>
      <x:c r="Z147" s="23"/>
    </x:row>
    <x:row r="148" ht="18.75" customHeight="1">
      <x:c r="A148" s="19"/>
      <x:c r="B148" s="29"/>
      <x:c r="C148" s="21"/>
      <x:c r="D148" s="55"/>
      <x:c r="E148" s="56"/>
      <x:c r="F148" s="56"/>
      <x:c r="G148" s="56"/>
      <x:c r="H148" s="24"/>
      <x:c r="I148" s="25"/>
      <x:c r="J148" s="25"/>
      <x:c r="K148" s="25"/>
      <x:c r="L148" s="25"/>
      <x:c r="M148" s="25"/>
      <x:c r="N148" s="24"/>
      <x:c r="O148" s="25"/>
      <x:c r="P148" s="25"/>
      <x:c r="Q148" s="25"/>
      <x:c r="R148" s="25"/>
      <x:c r="S148" s="25"/>
      <x:c r="T148" s="25"/>
      <x:c r="U148" s="25"/>
      <x:c r="V148" s="25"/>
      <x:c r="W148" s="26">
        <x:f t="shared" si="5"/>
        <x:v>0</x:v>
      </x:c>
      <x:c r="X148" s="23"/>
      <x:c r="Y148" s="23"/>
      <x:c r="Z148" s="23"/>
    </x:row>
    <x:row r="149" ht="18.75" customHeight="1">
      <x:c r="A149" s="19"/>
      <x:c r="B149" s="29"/>
      <x:c r="C149" s="21"/>
      <x:c r="D149" s="55"/>
      <x:c r="E149" s="56"/>
      <x:c r="F149" s="56"/>
      <x:c r="G149" s="56"/>
      <x:c r="H149" s="24"/>
      <x:c r="I149" s="25"/>
      <x:c r="J149" s="25"/>
      <x:c r="K149" s="25"/>
      <x:c r="L149" s="25"/>
      <x:c r="M149" s="25"/>
      <x:c r="N149" s="74"/>
      <x:c r="O149" s="74"/>
      <x:c r="P149" s="25"/>
      <x:c r="Q149" s="25"/>
      <x:c r="R149" s="25"/>
      <x:c r="S149" s="25"/>
      <x:c r="T149" s="25"/>
      <x:c r="U149" s="25"/>
      <x:c r="V149" s="25"/>
      <x:c r="W149" s="26">
        <x:f t="shared" si="5"/>
        <x:v>0</x:v>
      </x:c>
      <x:c r="X149" s="23"/>
      <x:c r="Y149" s="23"/>
      <x:c r="Z149" s="23"/>
    </x:row>
    <x:row r="150" ht="18.75" customHeight="1">
      <x:c r="A150" s="19"/>
      <x:c r="B150" s="29"/>
      <x:c r="C150" s="21"/>
      <x:c r="D150" s="55"/>
      <x:c r="E150" s="56"/>
      <x:c r="F150" s="56"/>
      <x:c r="G150" s="56"/>
      <x:c r="H150" s="24"/>
      <x:c r="I150" s="25"/>
      <x:c r="J150" s="25"/>
      <x:c r="K150" s="25"/>
      <x:c r="L150" s="25"/>
      <x:c r="M150" s="24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6">
        <x:f t="shared" si="5"/>
        <x:v>0</x:v>
      </x:c>
      <x:c r="X150" s="23"/>
      <x:c r="Y150" s="23"/>
      <x:c r="Z150" s="23"/>
    </x:row>
    <x:row r="151" ht="18.75" customHeight="1">
      <x:c r="A151" s="19"/>
      <x:c r="B151" s="29"/>
      <x:c r="C151" s="21"/>
      <x:c r="D151" s="55"/>
      <x:c r="E151" s="56"/>
      <x:c r="F151" s="56"/>
      <x:c r="G151" s="56"/>
      <x:c r="H151" s="24"/>
      <x:c r="I151" s="25"/>
      <x:c r="J151" s="25"/>
      <x:c r="K151" s="25"/>
      <x:c r="L151" s="25"/>
      <x:c r="M151" s="25"/>
      <x:c r="N151" s="24"/>
      <x:c r="O151" s="25"/>
      <x:c r="P151" s="25"/>
      <x:c r="Q151" s="25"/>
      <x:c r="R151" s="25"/>
      <x:c r="S151" s="25"/>
      <x:c r="T151" s="25"/>
      <x:c r="U151" s="25"/>
      <x:c r="V151" s="25"/>
      <x:c r="W151" s="26">
        <x:f t="shared" si="5"/>
        <x:v>0</x:v>
      </x:c>
      <x:c r="X151" s="23"/>
      <x:c r="Y151" s="23"/>
      <x:c r="Z151" s="23"/>
    </x:row>
    <x:row r="152" ht="18.75" customHeight="1">
      <x:c r="A152" s="19"/>
      <x:c r="B152" s="29"/>
      <x:c r="C152" s="21"/>
      <x:c r="D152" s="55"/>
      <x:c r="E152" s="56"/>
      <x:c r="F152" s="56"/>
      <x:c r="G152" s="56"/>
      <x:c r="H152" s="24"/>
      <x:c r="I152" s="25"/>
      <x:c r="J152" s="25"/>
      <x:c r="K152" s="25"/>
      <x:c r="L152" s="25"/>
      <x:c r="M152" s="25"/>
      <x:c r="N152" s="24"/>
      <x:c r="O152" s="25"/>
      <x:c r="P152" s="25"/>
      <x:c r="Q152" s="25"/>
      <x:c r="R152" s="25"/>
      <x:c r="S152" s="25"/>
      <x:c r="T152" s="25"/>
      <x:c r="U152" s="25"/>
      <x:c r="V152" s="25"/>
      <x:c r="W152" s="26">
        <x:f t="shared" si="5"/>
        <x:v>0</x:v>
      </x:c>
      <x:c r="X152" s="23"/>
      <x:c r="Y152" s="23"/>
      <x:c r="Z152" s="23"/>
    </x:row>
    <x:row r="153" ht="18.75" customHeight="1">
      <x:c r="A153" s="19"/>
      <x:c r="B153" s="29"/>
      <x:c r="C153" s="21"/>
      <x:c r="D153" s="55"/>
      <x:c r="E153" s="56"/>
      <x:c r="F153" s="56"/>
      <x:c r="G153" s="56"/>
      <x:c r="H153" s="24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6">
        <x:f t="shared" si="5"/>
        <x:v>0</x:v>
      </x:c>
      <x:c r="X153" s="23"/>
      <x:c r="Y153" s="23"/>
      <x:c r="Z153" s="23"/>
    </x:row>
    <x:row r="154" ht="18.75" customHeight="1">
      <x:c r="A154" s="19"/>
      <x:c r="B154" s="29"/>
      <x:c r="C154" s="21"/>
      <x:c r="D154" s="55"/>
      <x:c r="E154" s="56"/>
      <x:c r="F154" s="56"/>
      <x:c r="G154" s="56"/>
      <x:c r="H154" s="24"/>
      <x:c r="I154" s="25"/>
      <x:c r="J154" s="25"/>
      <x:c r="K154" s="25"/>
      <x:c r="L154" s="25"/>
      <x:c r="M154" s="25"/>
      <x:c r="N154" s="24"/>
      <x:c r="O154" s="25"/>
      <x:c r="P154" s="25"/>
      <x:c r="Q154" s="25"/>
      <x:c r="R154" s="25"/>
      <x:c r="S154" s="25"/>
      <x:c r="T154" s="25"/>
      <x:c r="U154" s="25"/>
      <x:c r="V154" s="25"/>
      <x:c r="W154" s="26">
        <x:f t="shared" si="5"/>
        <x:v>0</x:v>
      </x:c>
      <x:c r="X154" s="23"/>
      <x:c r="Y154" s="23"/>
      <x:c r="Z154" s="23"/>
    </x:row>
    <x:row r="155" ht="18.75" customHeight="1">
      <x:c r="A155" s="19"/>
      <x:c r="B155" s="29"/>
      <x:c r="C155" s="21"/>
      <x:c r="D155" s="55"/>
      <x:c r="E155" s="56"/>
      <x:c r="F155" s="56"/>
      <x:c r="G155" s="56"/>
      <x:c r="H155" s="24"/>
      <x:c r="I155" s="25"/>
      <x:c r="J155" s="25"/>
      <x:c r="K155" s="25"/>
      <x:c r="L155" s="25"/>
      <x:c r="M155" s="25"/>
      <x:c r="N155" s="24"/>
      <x:c r="O155" s="25"/>
      <x:c r="P155" s="25"/>
      <x:c r="Q155" s="25"/>
      <x:c r="R155" s="25"/>
      <x:c r="S155" s="25"/>
      <x:c r="T155" s="25"/>
      <x:c r="U155" s="25"/>
      <x:c r="V155" s="25"/>
      <x:c r="W155" s="26">
        <x:f t="shared" si="5"/>
        <x:v>0</x:v>
      </x:c>
      <x:c r="X155" s="23"/>
      <x:c r="Y155" s="23"/>
      <x:c r="Z155" s="23"/>
    </x:row>
    <x:row r="156" ht="18.75" customHeight="1">
      <x:c r="A156" s="19"/>
      <x:c r="B156" s="29"/>
      <x:c r="C156" s="21"/>
      <x:c r="D156" s="55"/>
      <x:c r="E156" s="56"/>
      <x:c r="F156" s="56"/>
      <x:c r="G156" s="56"/>
      <x:c r="H156" s="24"/>
      <x:c r="I156" s="25"/>
      <x:c r="J156" s="25"/>
      <x:c r="K156" s="25"/>
      <x:c r="L156" s="25"/>
      <x:c r="M156" s="24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6">
        <x:f t="shared" si="5"/>
        <x:v>0</x:v>
      </x:c>
      <x:c r="X156" s="23"/>
      <x:c r="Y156" s="23"/>
      <x:c r="Z156" s="23"/>
    </x:row>
    <x:row r="157" ht="18.75" customHeight="1">
      <x:c r="A157" s="19"/>
      <x:c r="B157" s="29"/>
      <x:c r="C157" s="21"/>
      <x:c r="D157" s="55"/>
      <x:c r="E157" s="56"/>
      <x:c r="F157" s="56"/>
      <x:c r="G157" s="56"/>
      <x:c r="H157" s="24"/>
      <x:c r="I157" s="25"/>
      <x:c r="J157" s="24"/>
      <x:c r="K157" s="24"/>
      <x:c r="L157" s="24"/>
      <x:c r="M157" s="25"/>
      <x:c r="N157" s="24"/>
      <x:c r="O157" s="25"/>
      <x:c r="P157" s="25"/>
      <x:c r="Q157" s="25"/>
      <x:c r="R157" s="25"/>
      <x:c r="S157" s="25"/>
      <x:c r="T157" s="25"/>
      <x:c r="U157" s="25"/>
      <x:c r="V157" s="25"/>
      <x:c r="W157" s="26">
        <x:f t="shared" si="5"/>
        <x:v>0</x:v>
      </x:c>
      <x:c r="X157" s="23"/>
      <x:c r="Y157" s="23"/>
      <x:c r="Z157" s="23"/>
    </x:row>
    <x:row r="158">
      <x:c r="A158" s="75"/>
      <x:c r="B158" s="76" t="s">
        <x:v>27</x:v>
      </x:c>
      <x:c r="C158" s="77"/>
      <x:c r="D158" s="78"/>
      <x:c r="E158" s="92" t="n">
        <x:f t="shared" ref="E158:W158" si="7">SUM(E4:E157)</x:f>
        <x:v>0</x:v>
      </x:c>
      <x:c r="F158" s="92">
        <x:f t="shared" si="7"/>
        <x:v>7</x:v>
      </x:c>
      <x:c r="G158" s="92">
        <x:f t="shared" si="7"/>
        <x:v>0</x:v>
      </x:c>
      <x:c r="H158" s="93">
        <x:f t="shared" si="7"/>
        <x:v>0</x:v>
      </x:c>
      <x:c r="I158" s="93">
        <x:f t="shared" si="7"/>
        <x:v>1</x:v>
      </x:c>
      <x:c r="J158" s="93">
        <x:f t="shared" si="7"/>
        <x:v>1</x:v>
      </x:c>
      <x:c r="K158" s="93">
        <x:f t="shared" si="7"/>
        <x:v>0</x:v>
      </x:c>
      <x:c r="L158" s="93">
        <x:f t="shared" si="7"/>
        <x:v>0</x:v>
      </x:c>
      <x:c r="M158" s="93">
        <x:f t="shared" si="7"/>
        <x:v>4</x:v>
      </x:c>
      <x:c r="N158" s="93">
        <x:f t="shared" si="7"/>
        <x:v>0</x:v>
      </x:c>
      <x:c r="O158" s="93">
        <x:f t="shared" si="7"/>
        <x:v>1</x:v>
      </x:c>
      <x:c r="P158" s="93">
        <x:f t="shared" si="7"/>
        <x:v>0</x:v>
      </x:c>
      <x:c r="Q158" s="93">
        <x:f t="shared" si="7"/>
        <x:v>0</x:v>
      </x:c>
      <x:c r="R158" s="93">
        <x:f t="shared" si="7"/>
        <x:v>20</x:v>
      </x:c>
      <x:c r="S158" s="93">
        <x:f t="shared" si="7"/>
        <x:v>0</x:v>
      </x:c>
      <x:c r="T158" s="93">
        <x:f t="shared" si="7"/>
        <x:v>0</x:v>
      </x:c>
      <x:c r="U158" s="93">
        <x:f t="shared" si="7"/>
        <x:v>0</x:v>
      </x:c>
      <x:c r="V158" s="93">
        <x:f t="shared" si="7"/>
        <x:v>0</x:v>
      </x:c>
      <x:c r="W158" s="80">
        <x:f t="shared" si="7"/>
        <x:v>9916000</x:v>
      </x:c>
      <x:c r="X158" s="77"/>
      <x:c r="Y158" s="77"/>
      <x:c r="Z158" s="77"/>
    </x:row>
    <x:row r="159">
      <x:c r="A159" s="75"/>
      <x:c r="B159" s="76" t="s">
        <x:v>51</x:v>
      </x:c>
      <x:c r="C159" s="81"/>
      <x:c r="D159" s="82">
        <x:v>300000.0</x:v>
      </x:c>
      <x:c r="E159" s="83" t="n">
        <x:f>E158*Inventory_batches!F161</x:f>
        <x:v>0</x:v>
      </x:c>
      <x:c r="F159" s="83" t="n">
        <x:f>F158*Inventory_batches!F160</x:f>
        <x:v>1471015</x:v>
      </x:c>
      <x:c r="G159" s="83" t="n">
        <x:f>G158*Inventory_batches!I133</x:f>
        <x:v>0</x:v>
      </x:c>
      <x:c r="H159" s="83" t="n">
        <x:f>H158*Inventory_batches!I124</x:f>
        <x:v>0</x:v>
      </x:c>
      <x:c r="I159" s="84" t="n">
        <x:f>I158*Inventory_batches!I135</x:f>
        <x:v>239678.5717</x:v>
      </x:c>
      <x:c r="J159" s="84" t="n">
        <x:f>J158*Inventory_batches!F159</x:f>
        <x:v>423735</x:v>
      </x:c>
      <x:c r="K159" s="84" t="n">
        <x:f>K158*Inventory_batches!I134</x:f>
        <x:v>0</x:v>
      </x:c>
      <x:c r="L159" s="84" t="n">
        <x:f>L158*Inventory_batches!I108</x:f>
        <x:v>0</x:v>
      </x:c>
      <x:c r="M159" s="84" t="n">
        <x:f>M158*Inventory_batches!F147</x:f>
        <x:v>530000</x:v>
      </x:c>
      <x:c r="N159" s="84" t="n">
        <x:f>N158*Inventory_batches!I131</x:f>
        <x:v>0</x:v>
      </x:c>
      <x:c r="O159" s="84" t="n">
        <x:f>O158*Inventory_batches!I136</x:f>
        <x:v>214070.537</x:v>
      </x:c>
      <x:c r="P159" s="83" t="n">
        <x:f>P158*Inventory_batches!I142</x:f>
        <x:v>0</x:v>
      </x:c>
      <x:c r="Q159" s="83" t="n">
        <x:f>Q158*Inventory_batches!I138</x:f>
        <x:v>0</x:v>
      </x:c>
      <x:c r="R159" s="83" t="n">
        <x:f>R158*Inventory_batches!I141</x:f>
        <x:v>3257089.35</x:v>
      </x:c>
      <x:c r="S159" s="83" t="n">
        <x:f>S158*Inventory_batches!I139</x:f>
        <x:v>0</x:v>
      </x:c>
      <x:c r="T159" s="83" t="n">
        <x:f t="shared" ref="T159:V159" si="8">(1890 * 170) * T158</x:f>
        <x:v>0</x:v>
      </x:c>
      <x:c r="U159" s="83">
        <x:f t="shared" si="8"/>
        <x:v>0</x:v>
      </x:c>
      <x:c r="V159" s="83">
        <x:f t="shared" si="8"/>
        <x:v>0</x:v>
      </x:c>
      <x:c r="W159" s="83" t="n">
        <x:f>SUM(E159:V159)</x:f>
        <x:v>6135588.4587</x:v>
      </x:c>
      <x:c r="Y159" s="86"/>
      <x:c r="Z159" s="86"/>
      <x:c r="AA159" s="32"/>
    </x:row>
    <x:row r="160">
      <x:c r="A160" s="87"/>
      <x:c r="B160" s="88"/>
      <x:c r="D160" s="32"/>
      <x:c r="I160" s="74"/>
      <x:c r="J160" s="74"/>
      <x:c r="K160" s="74"/>
      <x:c r="L160" s="74"/>
      <x:c r="M160" s="74"/>
      <x:c r="N160" s="74"/>
      <x:c r="O160" s="89"/>
      <x:c r="P160" s="89"/>
      <x:c r="Q160" s="90"/>
      <x:c r="R160" s="90"/>
      <x:c r="S160" s="90"/>
      <x:c r="T160" s="90"/>
      <x:c r="U160" s="90"/>
      <x:c r="V160" s="90"/>
      <x:c r="W160" s="90" t="n">
        <x:f>W158-W159</x:f>
        <x:v>3780411.5412999997</x:v>
      </x:c>
      <x:c r="Y160" s="86"/>
      <x:c r="Z160" s="86"/>
      <x:c r="AA160" s="32"/>
    </x:row>
    <x:row r="161">
      <x:c r="A161" s="87"/>
      <x:c r="B161" s="88"/>
      <x:c r="D161" s="32"/>
      <x:c r="I161" s="74"/>
      <x:c r="J161" s="74"/>
      <x:c r="K161" s="74"/>
      <x:c r="L161" s="74"/>
      <x:c r="M161" s="74"/>
      <x:c r="N161" s="74"/>
      <x:c r="O161" s="91"/>
      <x:c r="P161" s="91"/>
      <x:c r="Q161" s="85"/>
      <x:c r="R161" s="85"/>
      <x:c r="S161" s="85"/>
      <x:c r="T161" s="85"/>
      <x:c r="U161" s="85"/>
      <x:c r="V161" s="85"/>
      <x:c r="W161" s="85"/>
      <x:c r="Y161" s="86"/>
      <x:c r="Z161" s="86"/>
      <x:c r="AA161" s="32"/>
    </x:row>
    <x:row r="162">
      <x:c r="A162" s="87"/>
      <x:c r="B162" s="88"/>
      <x:c r="D162" s="32"/>
      <x:c r="I162" s="74"/>
      <x:c r="J162" s="74"/>
      <x:c r="K162" s="74"/>
      <x:c r="L162" s="74"/>
      <x:c r="M162" s="74"/>
      <x:c r="N162" s="74"/>
      <x:c r="O162" s="91"/>
      <x:c r="P162" s="91"/>
      <x:c r="Q162" s="85"/>
      <x:c r="R162" s="85"/>
      <x:c r="S162" s="85"/>
      <x:c r="T162" s="85"/>
      <x:c r="U162" s="85"/>
      <x:c r="V162" s="85"/>
      <x:c r="W162" s="85"/>
      <x:c r="Y162" s="86"/>
      <x:c r="Z162" s="86"/>
      <x:c r="AA162" s="32"/>
    </x:row>
    <x:row r="163">
      <x:c r="A163" s="87"/>
      <x:c r="B163" s="88"/>
      <x:c r="D163" s="32"/>
      <x:c r="I163" s="74"/>
      <x:c r="J163" s="74"/>
      <x:c r="K163" s="74"/>
      <x:c r="L163" s="74"/>
      <x:c r="M163" s="74"/>
      <x:c r="N163" s="74"/>
      <x:c r="O163" s="91"/>
      <x:c r="P163" s="91"/>
      <x:c r="Q163" s="85"/>
      <x:c r="R163" s="85"/>
      <x:c r="S163" s="85"/>
      <x:c r="T163" s="85"/>
      <x:c r="U163" s="85"/>
      <x:c r="V163" s="85"/>
      <x:c r="W163" s="85"/>
      <x:c r="Y163" s="86"/>
      <x:c r="Z163" s="86"/>
      <x:c r="AA163" s="32"/>
    </x:row>
    <x:row r="164">
      <x:c r="A164" s="87"/>
      <x:c r="B164" s="88"/>
      <x:c r="D164" s="32"/>
      <x:c r="I164" s="74"/>
      <x:c r="J164" s="74"/>
      <x:c r="K164" s="74"/>
      <x:c r="L164" s="74"/>
      <x:c r="M164" s="74"/>
      <x:c r="N164" s="74"/>
      <x:c r="O164" s="91"/>
      <x:c r="P164" s="91"/>
      <x:c r="Q164" s="85"/>
      <x:c r="R164" s="85"/>
      <x:c r="S164" s="85"/>
      <x:c r="T164" s="85"/>
      <x:c r="U164" s="85"/>
      <x:c r="V164" s="85"/>
      <x:c r="W164" s="85"/>
      <x:c r="Y164" s="86"/>
      <x:c r="Z164" s="86"/>
      <x:c r="AA164" s="32"/>
    </x:row>
    <x:row r="165">
      <x:c r="A165" s="87"/>
      <x:c r="B165" s="88"/>
      <x:c r="D165" s="32"/>
      <x:c r="I165" s="74"/>
      <x:c r="J165" s="74"/>
      <x:c r="K165" s="74"/>
      <x:c r="L165" s="74"/>
      <x:c r="M165" s="74"/>
      <x:c r="N165" s="74"/>
      <x:c r="O165" s="91"/>
      <x:c r="P165" s="91"/>
      <x:c r="Q165" s="85"/>
      <x:c r="R165" s="85"/>
      <x:c r="S165" s="85"/>
      <x:c r="T165" s="85"/>
      <x:c r="U165" s="85"/>
      <x:c r="V165" s="85"/>
      <x:c r="W165" s="85"/>
      <x:c r="Y165" s="86"/>
      <x:c r="Z165" s="86"/>
      <x:c r="AA165" s="32"/>
    </x:row>
    <x:row r="166">
      <x:c r="A166" s="87"/>
      <x:c r="B166" s="88"/>
      <x:c r="D166" s="32"/>
      <x:c r="I166" s="74"/>
      <x:c r="J166" s="74"/>
      <x:c r="K166" s="74"/>
      <x:c r="L166" s="74"/>
      <x:c r="M166" s="74"/>
      <x:c r="N166" s="74"/>
      <x:c r="O166" s="91"/>
      <x:c r="P166" s="91"/>
      <x:c r="Q166" s="85"/>
      <x:c r="R166" s="85"/>
      <x:c r="S166" s="85"/>
      <x:c r="T166" s="85"/>
      <x:c r="U166" s="85"/>
      <x:c r="V166" s="85"/>
      <x:c r="W166" s="85"/>
      <x:c r="Y166" s="86"/>
      <x:c r="Z166" s="86"/>
      <x:c r="AA166" s="32"/>
    </x:row>
    <x:row r="167">
      <x:c r="A167" s="87"/>
      <x:c r="B167" s="88"/>
      <x:c r="D167" s="32"/>
      <x:c r="I167" s="74"/>
      <x:c r="J167" s="74"/>
      <x:c r="K167" s="74"/>
      <x:c r="L167" s="74"/>
      <x:c r="M167" s="74"/>
      <x:c r="N167" s="74"/>
      <x:c r="O167" s="91"/>
      <x:c r="P167" s="91"/>
      <x:c r="Q167" s="85"/>
      <x:c r="R167" s="85"/>
      <x:c r="S167" s="85"/>
      <x:c r="T167" s="85"/>
      <x:c r="U167" s="85"/>
      <x:c r="V167" s="85"/>
      <x:c r="W167" s="85"/>
      <x:c r="Y167" s="86"/>
      <x:c r="Z167" s="86"/>
      <x:c r="AA167" s="32"/>
    </x:row>
    <x:row r="168">
      <x:c r="A168" s="87"/>
      <x:c r="B168" s="88"/>
      <x:c r="D168" s="32"/>
      <x:c r="I168" s="74"/>
      <x:c r="J168" s="74"/>
      <x:c r="K168" s="74"/>
      <x:c r="L168" s="74"/>
      <x:c r="M168" s="74"/>
      <x:c r="N168" s="74"/>
      <x:c r="O168" s="91"/>
      <x:c r="P168" s="91"/>
      <x:c r="Q168" s="85"/>
      <x:c r="R168" s="85"/>
      <x:c r="S168" s="85"/>
      <x:c r="T168" s="85"/>
      <x:c r="U168" s="85"/>
      <x:c r="V168" s="85"/>
      <x:c r="W168" s="85"/>
      <x:c r="Y168" s="86"/>
      <x:c r="Z168" s="86"/>
      <x:c r="AA168" s="32"/>
    </x:row>
    <x:row r="169">
      <x:c r="A169" s="87"/>
      <x:c r="B169" s="88"/>
      <x:c r="D169" s="32"/>
      <x:c r="I169" s="74"/>
      <x:c r="J169" s="74"/>
      <x:c r="K169" s="74"/>
      <x:c r="L169" s="74"/>
      <x:c r="M169" s="74"/>
      <x:c r="N169" s="74"/>
      <x:c r="O169" s="91"/>
      <x:c r="P169" s="91"/>
      <x:c r="Q169" s="85"/>
      <x:c r="R169" s="85"/>
      <x:c r="S169" s="85"/>
      <x:c r="T169" s="85"/>
      <x:c r="U169" s="85"/>
      <x:c r="V169" s="85"/>
      <x:c r="W169" s="85"/>
      <x:c r="Y169" s="86"/>
      <x:c r="Z169" s="86"/>
      <x:c r="AA169" s="32"/>
    </x:row>
    <x:row r="170">
      <x:c r="A170" s="87"/>
      <x:c r="B170" s="88"/>
      <x:c r="D170" s="32"/>
      <x:c r="I170" s="74"/>
      <x:c r="J170" s="74"/>
      <x:c r="K170" s="74"/>
      <x:c r="L170" s="74"/>
      <x:c r="M170" s="74"/>
      <x:c r="N170" s="74"/>
      <x:c r="O170" s="91"/>
      <x:c r="P170" s="91"/>
      <x:c r="Q170" s="85"/>
      <x:c r="R170" s="85"/>
      <x:c r="S170" s="85"/>
      <x:c r="T170" s="85"/>
      <x:c r="U170" s="85"/>
      <x:c r="V170" s="85"/>
      <x:c r="W170" s="85"/>
      <x:c r="Y170" s="86"/>
      <x:c r="Z170" s="86"/>
      <x:c r="AA170" s="32"/>
    </x:row>
    <x:row r="171">
      <x:c r="A171" s="87"/>
      <x:c r="B171" s="88"/>
      <x:c r="D171" s="32"/>
      <x:c r="I171" s="74"/>
      <x:c r="J171" s="74"/>
      <x:c r="K171" s="74"/>
      <x:c r="L171" s="74"/>
      <x:c r="M171" s="74"/>
      <x:c r="N171" s="74"/>
      <x:c r="O171" s="91"/>
      <x:c r="P171" s="91"/>
      <x:c r="Q171" s="85"/>
      <x:c r="R171" s="85"/>
      <x:c r="S171" s="85"/>
      <x:c r="T171" s="85"/>
      <x:c r="U171" s="85"/>
      <x:c r="V171" s="85"/>
      <x:c r="W171" s="85"/>
      <x:c r="Y171" s="86"/>
      <x:c r="Z171" s="86"/>
      <x:c r="AA171" s="32"/>
    </x:row>
    <x:row r="172">
      <x:c r="A172" s="87"/>
      <x:c r="B172" s="88"/>
      <x:c r="D172" s="32"/>
      <x:c r="I172" s="74"/>
      <x:c r="J172" s="74"/>
      <x:c r="K172" s="74"/>
      <x:c r="L172" s="74"/>
      <x:c r="M172" s="74"/>
      <x:c r="N172" s="74"/>
      <x:c r="O172" s="91"/>
      <x:c r="P172" s="91"/>
      <x:c r="Q172" s="85"/>
      <x:c r="R172" s="85"/>
      <x:c r="S172" s="85"/>
      <x:c r="T172" s="85"/>
      <x:c r="U172" s="85"/>
      <x:c r="V172" s="85"/>
      <x:c r="W172" s="85"/>
      <x:c r="Y172" s="86"/>
      <x:c r="Z172" s="86"/>
      <x:c r="AA172" s="32"/>
    </x:row>
    <x:row r="173">
      <x:c r="A173" s="87"/>
      <x:c r="B173" s="88"/>
      <x:c r="D173" s="32"/>
      <x:c r="I173" s="74"/>
      <x:c r="J173" s="74"/>
      <x:c r="K173" s="74"/>
      <x:c r="L173" s="74"/>
      <x:c r="M173" s="74"/>
      <x:c r="N173" s="74"/>
      <x:c r="O173" s="91"/>
      <x:c r="P173" s="91"/>
      <x:c r="Q173" s="85"/>
      <x:c r="R173" s="85"/>
      <x:c r="S173" s="85"/>
      <x:c r="T173" s="85"/>
      <x:c r="U173" s="85"/>
      <x:c r="V173" s="85"/>
      <x:c r="W173" s="85"/>
      <x:c r="Y173" s="86"/>
      <x:c r="Z173" s="86"/>
      <x:c r="AA173" s="32"/>
    </x:row>
    <x:row r="174">
      <x:c r="A174" s="87"/>
      <x:c r="B174" s="88"/>
      <x:c r="D174" s="32"/>
      <x:c r="I174" s="74"/>
      <x:c r="J174" s="74"/>
      <x:c r="K174" s="74"/>
      <x:c r="L174" s="74"/>
      <x:c r="M174" s="74"/>
      <x:c r="N174" s="74"/>
      <x:c r="O174" s="91"/>
      <x:c r="P174" s="91"/>
      <x:c r="Q174" s="85"/>
      <x:c r="R174" s="85"/>
      <x:c r="S174" s="85"/>
      <x:c r="T174" s="85"/>
      <x:c r="U174" s="85"/>
      <x:c r="V174" s="85"/>
      <x:c r="W174" s="85"/>
      <x:c r="Y174" s="86"/>
      <x:c r="Z174" s="86"/>
      <x:c r="AA174" s="32"/>
    </x:row>
    <x:row r="175">
      <x:c r="A175" s="87"/>
      <x:c r="B175" s="88"/>
      <x:c r="D175" s="32"/>
      <x:c r="I175" s="74"/>
      <x:c r="J175" s="74"/>
      <x:c r="K175" s="74"/>
      <x:c r="L175" s="74"/>
      <x:c r="M175" s="74"/>
      <x:c r="N175" s="74"/>
      <x:c r="O175" s="91"/>
      <x:c r="P175" s="91"/>
      <x:c r="Q175" s="85"/>
      <x:c r="R175" s="85"/>
      <x:c r="S175" s="85"/>
      <x:c r="T175" s="85"/>
      <x:c r="U175" s="85"/>
      <x:c r="V175" s="85"/>
      <x:c r="W175" s="85"/>
      <x:c r="Y175" s="86"/>
      <x:c r="Z175" s="86"/>
      <x:c r="AA175" s="32"/>
    </x:row>
    <x:row r="176">
      <x:c r="A176" s="87"/>
      <x:c r="B176" s="88"/>
      <x:c r="D176" s="32"/>
      <x:c r="I176" s="74"/>
      <x:c r="J176" s="74"/>
      <x:c r="K176" s="74"/>
      <x:c r="L176" s="74"/>
      <x:c r="M176" s="74"/>
      <x:c r="N176" s="74"/>
      <x:c r="O176" s="91"/>
      <x:c r="P176" s="91"/>
      <x:c r="Q176" s="85"/>
      <x:c r="R176" s="85"/>
      <x:c r="S176" s="85"/>
      <x:c r="T176" s="85"/>
      <x:c r="U176" s="85"/>
      <x:c r="V176" s="85"/>
      <x:c r="W176" s="85"/>
      <x:c r="Y176" s="86"/>
      <x:c r="Z176" s="86"/>
      <x:c r="AA176" s="32"/>
    </x:row>
    <x:row r="177">
      <x:c r="A177" s="87"/>
      <x:c r="B177" s="88"/>
      <x:c r="D177" s="32"/>
      <x:c r="I177" s="74"/>
      <x:c r="J177" s="74"/>
      <x:c r="K177" s="74"/>
      <x:c r="L177" s="74"/>
      <x:c r="M177" s="74"/>
      <x:c r="N177" s="74"/>
      <x:c r="O177" s="91"/>
      <x:c r="P177" s="91"/>
      <x:c r="Q177" s="85"/>
      <x:c r="R177" s="85"/>
      <x:c r="S177" s="85"/>
      <x:c r="T177" s="85"/>
      <x:c r="U177" s="85"/>
      <x:c r="V177" s="85"/>
      <x:c r="W177" s="85"/>
      <x:c r="Y177" s="86"/>
      <x:c r="Z177" s="86"/>
      <x:c r="AA177" s="32"/>
    </x:row>
    <x:row r="178">
      <x:c r="A178" s="87"/>
      <x:c r="B178" s="88"/>
      <x:c r="D178" s="32"/>
      <x:c r="I178" s="74"/>
      <x:c r="J178" s="74"/>
      <x:c r="K178" s="74"/>
      <x:c r="L178" s="74"/>
      <x:c r="M178" s="74"/>
      <x:c r="N178" s="74"/>
      <x:c r="O178" s="91"/>
      <x:c r="P178" s="91"/>
      <x:c r="Q178" s="85"/>
      <x:c r="R178" s="85"/>
      <x:c r="S178" s="85"/>
      <x:c r="T178" s="85"/>
      <x:c r="U178" s="85"/>
      <x:c r="V178" s="85"/>
      <x:c r="W178" s="85"/>
      <x:c r="Y178" s="86"/>
      <x:c r="Z178" s="86"/>
      <x:c r="AA178" s="32"/>
    </x:row>
    <x:row r="179">
      <x:c r="A179" s="87"/>
      <x:c r="B179" s="88"/>
      <x:c r="D179" s="32"/>
      <x:c r="I179" s="74"/>
      <x:c r="J179" s="74"/>
      <x:c r="K179" s="74"/>
      <x:c r="L179" s="74"/>
      <x:c r="M179" s="74"/>
      <x:c r="N179" s="74"/>
      <x:c r="O179" s="91"/>
      <x:c r="P179" s="91"/>
      <x:c r="Q179" s="85"/>
      <x:c r="R179" s="85"/>
      <x:c r="S179" s="85"/>
      <x:c r="T179" s="85"/>
      <x:c r="U179" s="85"/>
      <x:c r="V179" s="85"/>
      <x:c r="W179" s="85"/>
      <x:c r="Y179" s="86"/>
      <x:c r="Z179" s="86"/>
      <x:c r="AA179" s="32"/>
    </x:row>
    <x:row r="180">
      <x:c r="A180" s="87"/>
      <x:c r="B180" s="88"/>
      <x:c r="D180" s="32"/>
      <x:c r="I180" s="74"/>
      <x:c r="J180" s="74"/>
      <x:c r="K180" s="74"/>
      <x:c r="L180" s="74"/>
      <x:c r="M180" s="74"/>
      <x:c r="N180" s="74"/>
      <x:c r="O180" s="91"/>
      <x:c r="P180" s="91"/>
      <x:c r="Q180" s="85"/>
      <x:c r="R180" s="85"/>
      <x:c r="S180" s="85"/>
      <x:c r="T180" s="85"/>
      <x:c r="U180" s="85"/>
      <x:c r="V180" s="85"/>
      <x:c r="W180" s="85"/>
      <x:c r="Y180" s="86"/>
      <x:c r="Z180" s="86"/>
      <x:c r="AA180" s="32"/>
    </x:row>
    <x:row r="181">
      <x:c r="A181" s="87"/>
      <x:c r="B181" s="88"/>
      <x:c r="D181" s="32"/>
      <x:c r="I181" s="74"/>
      <x:c r="J181" s="74"/>
      <x:c r="K181" s="74"/>
      <x:c r="L181" s="74"/>
      <x:c r="M181" s="74"/>
      <x:c r="N181" s="74"/>
      <x:c r="O181" s="91"/>
      <x:c r="P181" s="91"/>
      <x:c r="Q181" s="85"/>
      <x:c r="R181" s="85"/>
      <x:c r="S181" s="85"/>
      <x:c r="T181" s="85"/>
      <x:c r="U181" s="85"/>
      <x:c r="V181" s="85"/>
      <x:c r="W181" s="85"/>
      <x:c r="Y181" s="86"/>
      <x:c r="Z181" s="86"/>
      <x:c r="AA181" s="32"/>
    </x:row>
    <x:row r="182">
      <x:c r="A182" s="87"/>
      <x:c r="B182" s="88"/>
      <x:c r="D182" s="32"/>
      <x:c r="I182" s="74"/>
      <x:c r="J182" s="74"/>
      <x:c r="K182" s="74"/>
      <x:c r="L182" s="74"/>
      <x:c r="M182" s="74"/>
      <x:c r="N182" s="74"/>
      <x:c r="O182" s="91"/>
      <x:c r="P182" s="91"/>
      <x:c r="Q182" s="85"/>
      <x:c r="R182" s="85"/>
      <x:c r="S182" s="85"/>
      <x:c r="T182" s="85"/>
      <x:c r="U182" s="85"/>
      <x:c r="V182" s="85"/>
      <x:c r="W182" s="85"/>
      <x:c r="Y182" s="86"/>
      <x:c r="Z182" s="86"/>
      <x:c r="AA182" s="32"/>
    </x:row>
    <x:row r="183">
      <x:c r="A183" s="87"/>
      <x:c r="B183" s="88"/>
      <x:c r="D183" s="32"/>
      <x:c r="I183" s="74"/>
      <x:c r="J183" s="74"/>
      <x:c r="K183" s="74"/>
      <x:c r="L183" s="74"/>
      <x:c r="M183" s="74"/>
      <x:c r="N183" s="74"/>
      <x:c r="O183" s="91"/>
      <x:c r="P183" s="91"/>
      <x:c r="Q183" s="85"/>
      <x:c r="R183" s="85"/>
      <x:c r="S183" s="85"/>
      <x:c r="T183" s="85"/>
      <x:c r="U183" s="85"/>
      <x:c r="V183" s="85"/>
      <x:c r="W183" s="85"/>
      <x:c r="Y183" s="86"/>
      <x:c r="Z183" s="86"/>
      <x:c r="AA183" s="32"/>
    </x:row>
    <x:row r="184">
      <x:c r="A184" s="87"/>
      <x:c r="B184" s="88"/>
      <x:c r="D184" s="32"/>
      <x:c r="I184" s="74"/>
      <x:c r="J184" s="74"/>
      <x:c r="K184" s="74"/>
      <x:c r="L184" s="74"/>
      <x:c r="M184" s="74"/>
      <x:c r="N184" s="74"/>
      <x:c r="O184" s="91"/>
      <x:c r="P184" s="91"/>
      <x:c r="Q184" s="85"/>
      <x:c r="R184" s="85"/>
      <x:c r="S184" s="85"/>
      <x:c r="T184" s="85"/>
      <x:c r="U184" s="85"/>
      <x:c r="V184" s="85"/>
      <x:c r="W184" s="85"/>
      <x:c r="Y184" s="86"/>
      <x:c r="Z184" s="86"/>
      <x:c r="AA184" s="32"/>
    </x:row>
    <x:row r="185">
      <x:c r="A185" s="87"/>
      <x:c r="B185" s="88"/>
      <x:c r="D185" s="32"/>
      <x:c r="I185" s="74"/>
      <x:c r="J185" s="74"/>
      <x:c r="K185" s="74"/>
      <x:c r="L185" s="74"/>
      <x:c r="M185" s="74"/>
      <x:c r="N185" s="74"/>
      <x:c r="O185" s="91"/>
      <x:c r="P185" s="91"/>
      <x:c r="Q185" s="85"/>
      <x:c r="R185" s="85"/>
      <x:c r="S185" s="85"/>
      <x:c r="T185" s="85"/>
      <x:c r="U185" s="85"/>
      <x:c r="V185" s="85"/>
      <x:c r="W185" s="85"/>
      <x:c r="Y185" s="86"/>
      <x:c r="Z185" s="86"/>
      <x:c r="AA185" s="32"/>
    </x:row>
    <x:row r="186">
      <x:c r="A186" s="87"/>
      <x:c r="B186" s="88"/>
      <x:c r="D186" s="32"/>
      <x:c r="I186" s="74"/>
      <x:c r="J186" s="74"/>
      <x:c r="K186" s="74"/>
      <x:c r="L186" s="74"/>
      <x:c r="M186" s="74"/>
      <x:c r="N186" s="74"/>
      <x:c r="O186" s="91"/>
      <x:c r="P186" s="91"/>
      <x:c r="Q186" s="85"/>
      <x:c r="R186" s="85"/>
      <x:c r="S186" s="85"/>
      <x:c r="T186" s="85"/>
      <x:c r="U186" s="85"/>
      <x:c r="V186" s="85"/>
      <x:c r="W186" s="85"/>
      <x:c r="Y186" s="86"/>
      <x:c r="Z186" s="86"/>
      <x:c r="AA186" s="32"/>
    </x:row>
    <x:row r="187">
      <x:c r="A187" s="87"/>
      <x:c r="B187" s="88"/>
      <x:c r="D187" s="32"/>
      <x:c r="I187" s="74"/>
      <x:c r="J187" s="74"/>
      <x:c r="K187" s="74"/>
      <x:c r="L187" s="74"/>
      <x:c r="M187" s="74"/>
      <x:c r="N187" s="74"/>
      <x:c r="O187" s="91"/>
      <x:c r="P187" s="91"/>
      <x:c r="Q187" s="85"/>
      <x:c r="R187" s="85"/>
      <x:c r="S187" s="85"/>
      <x:c r="T187" s="85"/>
      <x:c r="U187" s="85"/>
      <x:c r="V187" s="85"/>
      <x:c r="W187" s="85"/>
      <x:c r="Y187" s="86"/>
      <x:c r="Z187" s="86"/>
      <x:c r="AA187" s="32"/>
    </x:row>
    <x:row r="188">
      <x:c r="A188" s="87"/>
      <x:c r="B188" s="88"/>
      <x:c r="D188" s="32"/>
      <x:c r="I188" s="74"/>
      <x:c r="J188" s="74"/>
      <x:c r="K188" s="74"/>
      <x:c r="L188" s="74"/>
      <x:c r="M188" s="74"/>
      <x:c r="N188" s="74"/>
      <x:c r="O188" s="91"/>
      <x:c r="P188" s="91"/>
      <x:c r="Q188" s="85"/>
      <x:c r="R188" s="85"/>
      <x:c r="S188" s="85"/>
      <x:c r="T188" s="85"/>
      <x:c r="U188" s="85"/>
      <x:c r="V188" s="85"/>
      <x:c r="W188" s="85"/>
      <x:c r="Y188" s="86"/>
      <x:c r="Z188" s="86"/>
      <x:c r="AA188" s="32"/>
    </x:row>
    <x:row r="189">
      <x:c r="A189" s="87"/>
      <x:c r="B189" s="88"/>
      <x:c r="D189" s="32"/>
      <x:c r="I189" s="74"/>
      <x:c r="J189" s="74"/>
      <x:c r="K189" s="74"/>
      <x:c r="L189" s="74"/>
      <x:c r="M189" s="74"/>
      <x:c r="N189" s="74"/>
      <x:c r="O189" s="91"/>
      <x:c r="P189" s="91"/>
      <x:c r="Q189" s="85"/>
      <x:c r="R189" s="85"/>
      <x:c r="S189" s="85"/>
      <x:c r="T189" s="85"/>
      <x:c r="U189" s="85"/>
      <x:c r="V189" s="85"/>
      <x:c r="W189" s="85"/>
      <x:c r="Y189" s="86"/>
      <x:c r="Z189" s="86"/>
      <x:c r="AA189" s="32"/>
    </x:row>
    <x:row r="190">
      <x:c r="A190" s="87"/>
      <x:c r="B190" s="88"/>
      <x:c r="D190" s="32"/>
      <x:c r="I190" s="74"/>
      <x:c r="J190" s="74"/>
      <x:c r="K190" s="74"/>
      <x:c r="L190" s="74"/>
      <x:c r="M190" s="74"/>
      <x:c r="N190" s="74"/>
      <x:c r="O190" s="91"/>
      <x:c r="P190" s="91"/>
      <x:c r="Q190" s="85"/>
      <x:c r="R190" s="85"/>
      <x:c r="S190" s="85"/>
      <x:c r="T190" s="85"/>
      <x:c r="U190" s="85"/>
      <x:c r="V190" s="85"/>
      <x:c r="W190" s="85"/>
      <x:c r="Y190" s="86"/>
      <x:c r="Z190" s="86"/>
      <x:c r="AA190" s="32"/>
    </x:row>
    <x:row r="191">
      <x:c r="A191" s="87"/>
      <x:c r="B191" s="88"/>
      <x:c r="D191" s="32"/>
      <x:c r="I191" s="74"/>
      <x:c r="J191" s="74"/>
      <x:c r="K191" s="74"/>
      <x:c r="L191" s="74"/>
      <x:c r="M191" s="74"/>
      <x:c r="N191" s="74"/>
      <x:c r="O191" s="91"/>
      <x:c r="P191" s="91"/>
      <x:c r="Q191" s="85"/>
      <x:c r="R191" s="85"/>
      <x:c r="S191" s="85"/>
      <x:c r="T191" s="85"/>
      <x:c r="U191" s="85"/>
      <x:c r="V191" s="85"/>
      <x:c r="W191" s="85"/>
      <x:c r="Y191" s="86"/>
      <x:c r="Z191" s="86"/>
      <x:c r="AA191" s="32"/>
    </x:row>
    <x:row r="192">
      <x:c r="A192" s="87"/>
      <x:c r="B192" s="88"/>
      <x:c r="D192" s="32"/>
      <x:c r="I192" s="74"/>
      <x:c r="J192" s="74"/>
      <x:c r="K192" s="74"/>
      <x:c r="L192" s="74"/>
      <x:c r="M192" s="74"/>
      <x:c r="N192" s="74"/>
      <x:c r="O192" s="91"/>
      <x:c r="P192" s="91"/>
      <x:c r="Q192" s="85"/>
      <x:c r="R192" s="85"/>
      <x:c r="S192" s="85"/>
      <x:c r="T192" s="85"/>
      <x:c r="U192" s="85"/>
      <x:c r="V192" s="85"/>
      <x:c r="W192" s="85"/>
      <x:c r="Y192" s="86"/>
      <x:c r="Z192" s="86"/>
      <x:c r="AA192" s="32"/>
    </x:row>
    <x:row r="193">
      <x:c r="A193" s="87"/>
      <x:c r="B193" s="88"/>
      <x:c r="D193" s="32"/>
      <x:c r="I193" s="74"/>
      <x:c r="J193" s="74"/>
      <x:c r="K193" s="74"/>
      <x:c r="L193" s="74"/>
      <x:c r="M193" s="74"/>
      <x:c r="N193" s="74"/>
      <x:c r="O193" s="91"/>
      <x:c r="P193" s="91"/>
      <x:c r="Q193" s="85"/>
      <x:c r="R193" s="85"/>
      <x:c r="S193" s="85"/>
      <x:c r="T193" s="85"/>
      <x:c r="U193" s="85"/>
      <x:c r="V193" s="85"/>
      <x:c r="W193" s="85"/>
      <x:c r="Y193" s="86"/>
      <x:c r="Z193" s="86"/>
      <x:c r="AA193" s="32"/>
    </x:row>
    <x:row r="194">
      <x:c r="A194" s="87"/>
      <x:c r="B194" s="88"/>
      <x:c r="D194" s="32"/>
      <x:c r="I194" s="74"/>
      <x:c r="J194" s="74"/>
      <x:c r="K194" s="74"/>
      <x:c r="L194" s="74"/>
      <x:c r="M194" s="74"/>
      <x:c r="N194" s="74"/>
      <x:c r="O194" s="91"/>
      <x:c r="P194" s="91"/>
      <x:c r="Q194" s="85"/>
      <x:c r="R194" s="85"/>
      <x:c r="S194" s="85"/>
      <x:c r="T194" s="85"/>
      <x:c r="U194" s="85"/>
      <x:c r="V194" s="85"/>
      <x:c r="W194" s="85"/>
      <x:c r="Y194" s="86"/>
      <x:c r="Z194" s="86"/>
      <x:c r="AA194" s="32"/>
    </x:row>
    <x:row r="195">
      <x:c r="A195" s="87"/>
      <x:c r="B195" s="88"/>
      <x:c r="D195" s="32"/>
      <x:c r="I195" s="74"/>
      <x:c r="J195" s="74"/>
      <x:c r="K195" s="74"/>
      <x:c r="L195" s="74"/>
      <x:c r="M195" s="74"/>
      <x:c r="N195" s="74"/>
      <x:c r="O195" s="91"/>
      <x:c r="P195" s="91"/>
      <x:c r="Q195" s="85"/>
      <x:c r="R195" s="85"/>
      <x:c r="S195" s="85"/>
      <x:c r="T195" s="85"/>
      <x:c r="U195" s="85"/>
      <x:c r="V195" s="85"/>
      <x:c r="W195" s="85"/>
      <x:c r="Y195" s="86"/>
      <x:c r="Z195" s="86"/>
      <x:c r="AA195" s="32"/>
    </x:row>
    <x:row r="196">
      <x:c r="A196" s="87"/>
      <x:c r="B196" s="88"/>
      <x:c r="D196" s="32"/>
      <x:c r="I196" s="74"/>
      <x:c r="J196" s="74"/>
      <x:c r="K196" s="74"/>
      <x:c r="L196" s="74"/>
      <x:c r="M196" s="74"/>
      <x:c r="N196" s="74"/>
      <x:c r="O196" s="91"/>
      <x:c r="P196" s="91"/>
      <x:c r="Q196" s="85"/>
      <x:c r="R196" s="85"/>
      <x:c r="S196" s="85"/>
      <x:c r="T196" s="85"/>
      <x:c r="U196" s="85"/>
      <x:c r="V196" s="85"/>
      <x:c r="W196" s="85"/>
      <x:c r="Y196" s="86"/>
      <x:c r="Z196" s="86"/>
      <x:c r="AA196" s="32"/>
    </x:row>
    <x:row r="197">
      <x:c r="A197" s="87"/>
      <x:c r="B197" s="88"/>
      <x:c r="D197" s="32"/>
      <x:c r="I197" s="74"/>
      <x:c r="J197" s="74"/>
      <x:c r="K197" s="74"/>
      <x:c r="L197" s="74"/>
      <x:c r="M197" s="74"/>
      <x:c r="N197" s="74"/>
      <x:c r="O197" s="91"/>
      <x:c r="P197" s="91"/>
      <x:c r="Q197" s="85"/>
      <x:c r="R197" s="85"/>
      <x:c r="S197" s="85"/>
      <x:c r="T197" s="85"/>
      <x:c r="U197" s="85"/>
      <x:c r="V197" s="85"/>
      <x:c r="W197" s="85"/>
      <x:c r="Y197" s="86"/>
      <x:c r="Z197" s="86"/>
      <x:c r="AA197" s="32"/>
    </x:row>
    <x:row r="198">
      <x:c r="A198" s="87"/>
      <x:c r="B198" s="88"/>
      <x:c r="D198" s="32"/>
      <x:c r="I198" s="74"/>
      <x:c r="J198" s="74"/>
      <x:c r="K198" s="74"/>
      <x:c r="L198" s="74"/>
      <x:c r="M198" s="74"/>
      <x:c r="N198" s="74"/>
      <x:c r="O198" s="91"/>
      <x:c r="P198" s="91"/>
      <x:c r="Q198" s="85"/>
      <x:c r="R198" s="85"/>
      <x:c r="S198" s="85"/>
      <x:c r="T198" s="85"/>
      <x:c r="U198" s="85"/>
      <x:c r="V198" s="85"/>
      <x:c r="W198" s="85"/>
      <x:c r="Y198" s="86"/>
      <x:c r="Z198" s="86"/>
      <x:c r="AA198" s="32"/>
    </x:row>
    <x:row r="199">
      <x:c r="A199" s="87"/>
      <x:c r="B199" s="88"/>
      <x:c r="D199" s="32"/>
      <x:c r="I199" s="74"/>
      <x:c r="J199" s="74"/>
      <x:c r="K199" s="74"/>
      <x:c r="L199" s="74"/>
      <x:c r="M199" s="74"/>
      <x:c r="N199" s="74"/>
      <x:c r="O199" s="91"/>
      <x:c r="P199" s="91"/>
      <x:c r="Q199" s="85"/>
      <x:c r="R199" s="85"/>
      <x:c r="S199" s="85"/>
      <x:c r="T199" s="85"/>
      <x:c r="U199" s="85"/>
      <x:c r="V199" s="85"/>
      <x:c r="W199" s="85"/>
      <x:c r="Y199" s="86"/>
      <x:c r="Z199" s="86"/>
      <x:c r="AA199" s="32"/>
    </x:row>
    <x:row r="200">
      <x:c r="A200" s="87"/>
      <x:c r="B200" s="88"/>
      <x:c r="D200" s="32"/>
      <x:c r="I200" s="74"/>
      <x:c r="J200" s="74"/>
      <x:c r="K200" s="74"/>
      <x:c r="L200" s="74"/>
      <x:c r="M200" s="74"/>
      <x:c r="N200" s="74"/>
      <x:c r="O200" s="91"/>
      <x:c r="P200" s="91"/>
      <x:c r="Q200" s="85"/>
      <x:c r="R200" s="85"/>
      <x:c r="S200" s="85"/>
      <x:c r="T200" s="85"/>
      <x:c r="U200" s="85"/>
      <x:c r="V200" s="85"/>
      <x:c r="W200" s="85"/>
      <x:c r="Y200" s="86"/>
      <x:c r="Z200" s="86"/>
      <x:c r="AA200" s="32"/>
    </x:row>
    <x:row r="201">
      <x:c r="A201" s="87"/>
      <x:c r="B201" s="88"/>
      <x:c r="D201" s="32"/>
      <x:c r="I201" s="74"/>
      <x:c r="J201" s="74"/>
      <x:c r="K201" s="74"/>
      <x:c r="L201" s="74"/>
      <x:c r="M201" s="74"/>
      <x:c r="N201" s="74"/>
      <x:c r="O201" s="91"/>
      <x:c r="P201" s="91"/>
      <x:c r="Q201" s="85"/>
      <x:c r="R201" s="85"/>
      <x:c r="S201" s="85"/>
      <x:c r="T201" s="85"/>
      <x:c r="U201" s="85"/>
      <x:c r="V201" s="85"/>
      <x:c r="W201" s="85"/>
      <x:c r="Y201" s="86"/>
      <x:c r="Z201" s="86"/>
      <x:c r="AA201" s="32"/>
    </x:row>
    <x:row r="202">
      <x:c r="A202" s="87"/>
      <x:c r="B202" s="88"/>
      <x:c r="D202" s="32"/>
      <x:c r="I202" s="74"/>
      <x:c r="J202" s="74"/>
      <x:c r="K202" s="74"/>
      <x:c r="L202" s="74"/>
      <x:c r="M202" s="74"/>
      <x:c r="N202" s="74"/>
      <x:c r="O202" s="91"/>
      <x:c r="P202" s="91"/>
      <x:c r="Q202" s="85"/>
      <x:c r="R202" s="85"/>
      <x:c r="S202" s="85"/>
      <x:c r="T202" s="85"/>
      <x:c r="U202" s="85"/>
      <x:c r="V202" s="85"/>
      <x:c r="W202" s="85"/>
      <x:c r="Y202" s="86"/>
      <x:c r="Z202" s="86"/>
      <x:c r="AA202" s="32"/>
    </x:row>
    <x:row r="203">
      <x:c r="A203" s="87"/>
      <x:c r="B203" s="88"/>
      <x:c r="D203" s="32"/>
      <x:c r="I203" s="74"/>
      <x:c r="J203" s="74"/>
      <x:c r="K203" s="74"/>
      <x:c r="L203" s="74"/>
      <x:c r="M203" s="74"/>
      <x:c r="N203" s="74"/>
      <x:c r="O203" s="91"/>
      <x:c r="P203" s="91"/>
      <x:c r="Q203" s="85"/>
      <x:c r="R203" s="85"/>
      <x:c r="S203" s="85"/>
      <x:c r="T203" s="85"/>
      <x:c r="U203" s="85"/>
      <x:c r="V203" s="85"/>
      <x:c r="W203" s="85"/>
      <x:c r="Y203" s="86"/>
      <x:c r="Z203" s="86"/>
      <x:c r="AA203" s="32"/>
    </x:row>
    <x:row r="204">
      <x:c r="A204" s="87"/>
      <x:c r="B204" s="88"/>
      <x:c r="D204" s="32"/>
      <x:c r="I204" s="74"/>
      <x:c r="J204" s="74"/>
      <x:c r="K204" s="74"/>
      <x:c r="L204" s="74"/>
      <x:c r="M204" s="74"/>
      <x:c r="N204" s="74"/>
      <x:c r="O204" s="91"/>
      <x:c r="P204" s="91"/>
      <x:c r="Q204" s="85"/>
      <x:c r="R204" s="85"/>
      <x:c r="S204" s="85"/>
      <x:c r="T204" s="85"/>
      <x:c r="U204" s="85"/>
      <x:c r="V204" s="85"/>
      <x:c r="W204" s="85"/>
      <x:c r="Y204" s="86"/>
      <x:c r="Z204" s="86"/>
      <x:c r="AA204" s="32"/>
    </x:row>
    <x:row r="205">
      <x:c r="A205" s="87"/>
      <x:c r="B205" s="88"/>
      <x:c r="D205" s="32"/>
      <x:c r="I205" s="74"/>
      <x:c r="J205" s="74"/>
      <x:c r="K205" s="74"/>
      <x:c r="L205" s="74"/>
      <x:c r="M205" s="74"/>
      <x:c r="N205" s="74"/>
      <x:c r="O205" s="91"/>
      <x:c r="P205" s="91"/>
      <x:c r="Q205" s="85"/>
      <x:c r="R205" s="85"/>
      <x:c r="S205" s="85"/>
      <x:c r="T205" s="85"/>
      <x:c r="U205" s="85"/>
      <x:c r="V205" s="85"/>
      <x:c r="W205" s="85"/>
      <x:c r="Y205" s="86"/>
      <x:c r="Z205" s="86"/>
      <x:c r="AA205" s="32"/>
    </x:row>
    <x:row r="206">
      <x:c r="A206" s="87"/>
      <x:c r="B206" s="88"/>
      <x:c r="D206" s="32"/>
      <x:c r="I206" s="74"/>
      <x:c r="J206" s="74"/>
      <x:c r="K206" s="74"/>
      <x:c r="L206" s="74"/>
      <x:c r="M206" s="74"/>
      <x:c r="N206" s="74"/>
      <x:c r="O206" s="91"/>
      <x:c r="P206" s="91"/>
      <x:c r="Q206" s="85"/>
      <x:c r="R206" s="85"/>
      <x:c r="S206" s="85"/>
      <x:c r="T206" s="85"/>
      <x:c r="U206" s="85"/>
      <x:c r="V206" s="85"/>
      <x:c r="W206" s="85"/>
      <x:c r="Y206" s="86"/>
      <x:c r="Z206" s="86"/>
      <x:c r="AA206" s="32"/>
    </x:row>
    <x:row r="207">
      <x:c r="A207" s="87"/>
      <x:c r="B207" s="88"/>
      <x:c r="D207" s="32"/>
      <x:c r="I207" s="74"/>
      <x:c r="J207" s="74"/>
      <x:c r="K207" s="74"/>
      <x:c r="L207" s="74"/>
      <x:c r="M207" s="74"/>
      <x:c r="N207" s="74"/>
      <x:c r="O207" s="91"/>
      <x:c r="P207" s="91"/>
      <x:c r="Q207" s="85"/>
      <x:c r="R207" s="85"/>
      <x:c r="S207" s="85"/>
      <x:c r="T207" s="85"/>
      <x:c r="U207" s="85"/>
      <x:c r="V207" s="85"/>
      <x:c r="W207" s="85"/>
      <x:c r="Y207" s="86"/>
      <x:c r="Z207" s="86"/>
      <x:c r="AA207" s="32"/>
    </x:row>
    <x:row r="208">
      <x:c r="A208" s="87"/>
      <x:c r="B208" s="88"/>
      <x:c r="D208" s="32"/>
      <x:c r="I208" s="74"/>
      <x:c r="J208" s="74"/>
      <x:c r="K208" s="74"/>
      <x:c r="L208" s="74"/>
      <x:c r="M208" s="74"/>
      <x:c r="N208" s="74"/>
      <x:c r="O208" s="91"/>
      <x:c r="P208" s="91"/>
      <x:c r="Q208" s="85"/>
      <x:c r="R208" s="85"/>
      <x:c r="S208" s="85"/>
      <x:c r="T208" s="85"/>
      <x:c r="U208" s="85"/>
      <x:c r="V208" s="85"/>
      <x:c r="W208" s="85"/>
      <x:c r="Y208" s="86"/>
      <x:c r="Z208" s="86"/>
      <x:c r="AA208" s="32"/>
    </x:row>
    <x:row r="209">
      <x:c r="A209" s="87"/>
      <x:c r="B209" s="88"/>
      <x:c r="D209" s="32"/>
      <x:c r="I209" s="74"/>
      <x:c r="J209" s="74"/>
      <x:c r="K209" s="74"/>
      <x:c r="L209" s="74"/>
      <x:c r="M209" s="74"/>
      <x:c r="N209" s="74"/>
      <x:c r="O209" s="91"/>
      <x:c r="P209" s="91"/>
      <x:c r="Q209" s="85"/>
      <x:c r="R209" s="85"/>
      <x:c r="S209" s="85"/>
      <x:c r="T209" s="85"/>
      <x:c r="U209" s="85"/>
      <x:c r="V209" s="85"/>
      <x:c r="W209" s="85"/>
      <x:c r="Y209" s="86"/>
      <x:c r="Z209" s="86"/>
      <x:c r="AA209" s="32"/>
    </x:row>
    <x:row r="210">
      <x:c r="A210" s="87"/>
      <x:c r="B210" s="88"/>
      <x:c r="D210" s="32"/>
      <x:c r="I210" s="74"/>
      <x:c r="J210" s="74"/>
      <x:c r="K210" s="74"/>
      <x:c r="L210" s="74"/>
      <x:c r="M210" s="74"/>
      <x:c r="N210" s="74"/>
      <x:c r="O210" s="91"/>
      <x:c r="P210" s="91"/>
      <x:c r="Q210" s="85"/>
      <x:c r="R210" s="85"/>
      <x:c r="S210" s="85"/>
      <x:c r="T210" s="85"/>
      <x:c r="U210" s="85"/>
      <x:c r="V210" s="85"/>
      <x:c r="W210" s="85"/>
      <x:c r="Y210" s="86"/>
      <x:c r="Z210" s="86"/>
      <x:c r="AA210" s="32"/>
    </x:row>
    <x:row r="211">
      <x:c r="A211" s="87"/>
      <x:c r="B211" s="88"/>
      <x:c r="D211" s="32"/>
      <x:c r="I211" s="74"/>
      <x:c r="J211" s="74"/>
      <x:c r="K211" s="74"/>
      <x:c r="L211" s="74"/>
      <x:c r="M211" s="74"/>
      <x:c r="N211" s="74"/>
      <x:c r="O211" s="91"/>
      <x:c r="P211" s="91"/>
      <x:c r="Q211" s="85"/>
      <x:c r="R211" s="85"/>
      <x:c r="S211" s="85"/>
      <x:c r="T211" s="85"/>
      <x:c r="U211" s="85"/>
      <x:c r="V211" s="85"/>
      <x:c r="W211" s="85"/>
      <x:c r="Y211" s="86"/>
      <x:c r="Z211" s="86"/>
      <x:c r="AA211" s="32"/>
    </x:row>
    <x:row r="212">
      <x:c r="A212" s="87"/>
      <x:c r="B212" s="88"/>
      <x:c r="D212" s="32"/>
      <x:c r="I212" s="74"/>
      <x:c r="J212" s="74"/>
      <x:c r="K212" s="74"/>
      <x:c r="L212" s="74"/>
      <x:c r="M212" s="74"/>
      <x:c r="N212" s="74"/>
      <x:c r="O212" s="91"/>
      <x:c r="P212" s="91"/>
      <x:c r="Q212" s="85"/>
      <x:c r="R212" s="85"/>
      <x:c r="S212" s="85"/>
      <x:c r="T212" s="85"/>
      <x:c r="U212" s="85"/>
      <x:c r="V212" s="85"/>
      <x:c r="W212" s="85"/>
      <x:c r="Y212" s="86"/>
      <x:c r="Z212" s="86"/>
      <x:c r="AA212" s="32"/>
    </x:row>
    <x:row r="213">
      <x:c r="A213" s="87"/>
      <x:c r="B213" s="88"/>
      <x:c r="D213" s="32"/>
      <x:c r="I213" s="74"/>
      <x:c r="J213" s="74"/>
      <x:c r="K213" s="74"/>
      <x:c r="L213" s="74"/>
      <x:c r="M213" s="74"/>
      <x:c r="N213" s="74"/>
      <x:c r="O213" s="91"/>
      <x:c r="P213" s="91"/>
      <x:c r="Q213" s="85"/>
      <x:c r="R213" s="85"/>
      <x:c r="S213" s="85"/>
      <x:c r="T213" s="85"/>
      <x:c r="U213" s="85"/>
      <x:c r="V213" s="85"/>
      <x:c r="W213" s="85"/>
      <x:c r="Y213" s="86"/>
      <x:c r="Z213" s="86"/>
      <x:c r="AA213" s="32"/>
    </x:row>
    <x:row r="214">
      <x:c r="A214" s="87"/>
      <x:c r="B214" s="88"/>
      <x:c r="D214" s="32"/>
      <x:c r="I214" s="74"/>
      <x:c r="J214" s="74"/>
      <x:c r="K214" s="74"/>
      <x:c r="L214" s="74"/>
      <x:c r="M214" s="74"/>
      <x:c r="N214" s="74"/>
      <x:c r="O214" s="91"/>
      <x:c r="P214" s="91"/>
      <x:c r="Q214" s="85"/>
      <x:c r="R214" s="85"/>
      <x:c r="S214" s="85"/>
      <x:c r="T214" s="85"/>
      <x:c r="U214" s="85"/>
      <x:c r="V214" s="85"/>
      <x:c r="W214" s="85"/>
      <x:c r="Y214" s="86"/>
      <x:c r="Z214" s="86"/>
      <x:c r="AA214" s="32"/>
    </x:row>
    <x:row r="215">
      <x:c r="A215" s="87"/>
      <x:c r="B215" s="88"/>
      <x:c r="D215" s="32"/>
      <x:c r="I215" s="74"/>
      <x:c r="J215" s="74"/>
      <x:c r="K215" s="74"/>
      <x:c r="L215" s="74"/>
      <x:c r="M215" s="74"/>
      <x:c r="N215" s="74"/>
      <x:c r="O215" s="91"/>
      <x:c r="P215" s="91"/>
      <x:c r="Q215" s="85"/>
      <x:c r="R215" s="85"/>
      <x:c r="S215" s="85"/>
      <x:c r="T215" s="85"/>
      <x:c r="U215" s="85"/>
      <x:c r="V215" s="85"/>
      <x:c r="W215" s="85"/>
      <x:c r="Y215" s="86"/>
      <x:c r="Z215" s="86"/>
      <x:c r="AA215" s="32"/>
    </x:row>
    <x:row r="216">
      <x:c r="A216" s="87"/>
      <x:c r="B216" s="88"/>
      <x:c r="D216" s="32"/>
      <x:c r="I216" s="74"/>
      <x:c r="J216" s="74"/>
      <x:c r="K216" s="74"/>
      <x:c r="L216" s="74"/>
      <x:c r="M216" s="74"/>
      <x:c r="N216" s="74"/>
      <x:c r="O216" s="91"/>
      <x:c r="P216" s="91"/>
      <x:c r="Q216" s="85"/>
      <x:c r="R216" s="85"/>
      <x:c r="S216" s="85"/>
      <x:c r="T216" s="85"/>
      <x:c r="U216" s="85"/>
      <x:c r="V216" s="85"/>
      <x:c r="W216" s="85"/>
      <x:c r="Y216" s="86"/>
      <x:c r="Z216" s="86"/>
      <x:c r="AA216" s="32"/>
    </x:row>
    <x:row r="217">
      <x:c r="A217" s="87"/>
      <x:c r="B217" s="88"/>
      <x:c r="D217" s="32"/>
      <x:c r="I217" s="74"/>
      <x:c r="J217" s="74"/>
      <x:c r="K217" s="74"/>
      <x:c r="L217" s="74"/>
      <x:c r="M217" s="74"/>
      <x:c r="N217" s="74"/>
      <x:c r="O217" s="91"/>
      <x:c r="P217" s="91"/>
      <x:c r="Q217" s="85"/>
      <x:c r="R217" s="85"/>
      <x:c r="S217" s="85"/>
      <x:c r="T217" s="85"/>
      <x:c r="U217" s="85"/>
      <x:c r="V217" s="85"/>
      <x:c r="W217" s="85"/>
      <x:c r="Y217" s="86"/>
      <x:c r="Z217" s="86"/>
      <x:c r="AA217" s="32"/>
    </x:row>
    <x:row r="218">
      <x:c r="A218" s="87"/>
      <x:c r="B218" s="88"/>
      <x:c r="D218" s="32"/>
      <x:c r="I218" s="74"/>
      <x:c r="J218" s="74"/>
      <x:c r="K218" s="74"/>
      <x:c r="L218" s="74"/>
      <x:c r="M218" s="74"/>
      <x:c r="N218" s="74"/>
      <x:c r="O218" s="91"/>
      <x:c r="P218" s="91"/>
      <x:c r="Q218" s="85"/>
      <x:c r="R218" s="85"/>
      <x:c r="S218" s="85"/>
      <x:c r="T218" s="85"/>
      <x:c r="U218" s="85"/>
      <x:c r="V218" s="85"/>
      <x:c r="W218" s="85"/>
      <x:c r="Y218" s="86"/>
      <x:c r="Z218" s="86"/>
      <x:c r="AA218" s="32"/>
    </x:row>
    <x:row r="219">
      <x:c r="A219" s="87"/>
      <x:c r="B219" s="88"/>
      <x:c r="D219" s="32"/>
      <x:c r="I219" s="74"/>
      <x:c r="J219" s="74"/>
      <x:c r="K219" s="74"/>
      <x:c r="L219" s="74"/>
      <x:c r="M219" s="74"/>
      <x:c r="N219" s="74"/>
      <x:c r="O219" s="91"/>
      <x:c r="P219" s="91"/>
      <x:c r="Q219" s="85"/>
      <x:c r="R219" s="85"/>
      <x:c r="S219" s="85"/>
      <x:c r="T219" s="85"/>
      <x:c r="U219" s="85"/>
      <x:c r="V219" s="85"/>
      <x:c r="W219" s="85"/>
      <x:c r="Y219" s="86"/>
      <x:c r="Z219" s="86"/>
      <x:c r="AA219" s="32"/>
    </x:row>
    <x:row r="220">
      <x:c r="A220" s="87"/>
      <x:c r="B220" s="88"/>
      <x:c r="D220" s="32"/>
      <x:c r="I220" s="74"/>
      <x:c r="J220" s="74"/>
      <x:c r="K220" s="74"/>
      <x:c r="L220" s="74"/>
      <x:c r="M220" s="74"/>
      <x:c r="N220" s="74"/>
      <x:c r="O220" s="91"/>
      <x:c r="P220" s="91"/>
      <x:c r="Q220" s="85"/>
      <x:c r="R220" s="85"/>
      <x:c r="S220" s="85"/>
      <x:c r="T220" s="85"/>
      <x:c r="U220" s="85"/>
      <x:c r="V220" s="85"/>
      <x:c r="W220" s="85"/>
      <x:c r="Y220" s="86"/>
      <x:c r="Z220" s="86"/>
      <x:c r="AA220" s="32"/>
    </x:row>
    <x:row r="221">
      <x:c r="A221" s="87"/>
      <x:c r="B221" s="88"/>
      <x:c r="D221" s="32"/>
      <x:c r="I221" s="74"/>
      <x:c r="J221" s="74"/>
      <x:c r="K221" s="74"/>
      <x:c r="L221" s="74"/>
      <x:c r="M221" s="74"/>
      <x:c r="N221" s="74"/>
      <x:c r="O221" s="91"/>
      <x:c r="P221" s="91"/>
      <x:c r="Q221" s="85"/>
      <x:c r="R221" s="85"/>
      <x:c r="S221" s="85"/>
      <x:c r="T221" s="85"/>
      <x:c r="U221" s="85"/>
      <x:c r="V221" s="85"/>
      <x:c r="W221" s="85"/>
      <x:c r="Y221" s="86"/>
      <x:c r="Z221" s="86"/>
      <x:c r="AA221" s="32"/>
    </x:row>
    <x:row r="222">
      <x:c r="A222" s="87"/>
      <x:c r="B222" s="88"/>
      <x:c r="D222" s="32"/>
      <x:c r="I222" s="74"/>
      <x:c r="J222" s="74"/>
      <x:c r="K222" s="74"/>
      <x:c r="L222" s="74"/>
      <x:c r="M222" s="74"/>
      <x:c r="N222" s="74"/>
      <x:c r="O222" s="91"/>
      <x:c r="P222" s="91"/>
      <x:c r="Q222" s="85"/>
      <x:c r="R222" s="85"/>
      <x:c r="S222" s="85"/>
      <x:c r="T222" s="85"/>
      <x:c r="U222" s="85"/>
      <x:c r="V222" s="85"/>
      <x:c r="W222" s="85"/>
      <x:c r="Y222" s="86"/>
      <x:c r="Z222" s="86"/>
      <x:c r="AA222" s="32"/>
    </x:row>
    <x:row r="223">
      <x:c r="A223" s="87"/>
      <x:c r="B223" s="88"/>
      <x:c r="D223" s="32"/>
      <x:c r="I223" s="74"/>
      <x:c r="J223" s="74"/>
      <x:c r="K223" s="74"/>
      <x:c r="L223" s="74"/>
      <x:c r="M223" s="74"/>
      <x:c r="N223" s="74"/>
      <x:c r="O223" s="91"/>
      <x:c r="P223" s="91"/>
      <x:c r="Q223" s="85"/>
      <x:c r="R223" s="85"/>
      <x:c r="S223" s="85"/>
      <x:c r="T223" s="85"/>
      <x:c r="U223" s="85"/>
      <x:c r="V223" s="85"/>
      <x:c r="W223" s="85"/>
      <x:c r="Y223" s="86"/>
      <x:c r="Z223" s="86"/>
      <x:c r="AA223" s="32"/>
    </x:row>
    <x:row r="224">
      <x:c r="A224" s="87"/>
      <x:c r="B224" s="88"/>
      <x:c r="D224" s="32"/>
      <x:c r="I224" s="74"/>
      <x:c r="J224" s="74"/>
      <x:c r="K224" s="74"/>
      <x:c r="L224" s="74"/>
      <x:c r="M224" s="74"/>
      <x:c r="N224" s="74"/>
      <x:c r="O224" s="91"/>
      <x:c r="P224" s="91"/>
      <x:c r="Q224" s="85"/>
      <x:c r="R224" s="85"/>
      <x:c r="S224" s="85"/>
      <x:c r="T224" s="85"/>
      <x:c r="U224" s="85"/>
      <x:c r="V224" s="85"/>
      <x:c r="W224" s="85"/>
      <x:c r="Y224" s="86"/>
      <x:c r="Z224" s="86"/>
      <x:c r="AA224" s="32"/>
    </x:row>
    <x:row r="225">
      <x:c r="A225" s="87"/>
      <x:c r="B225" s="88"/>
      <x:c r="D225" s="32"/>
      <x:c r="I225" s="74"/>
      <x:c r="J225" s="74"/>
      <x:c r="K225" s="74"/>
      <x:c r="L225" s="74"/>
      <x:c r="M225" s="74"/>
      <x:c r="N225" s="74"/>
      <x:c r="O225" s="91"/>
      <x:c r="P225" s="91"/>
      <x:c r="Q225" s="85"/>
      <x:c r="R225" s="85"/>
      <x:c r="S225" s="85"/>
      <x:c r="T225" s="85"/>
      <x:c r="U225" s="85"/>
      <x:c r="V225" s="85"/>
      <x:c r="W225" s="85"/>
      <x:c r="Y225" s="86"/>
      <x:c r="Z225" s="86"/>
      <x:c r="AA225" s="32"/>
    </x:row>
    <x:row r="226">
      <x:c r="A226" s="87"/>
      <x:c r="B226" s="88"/>
      <x:c r="D226" s="32"/>
      <x:c r="I226" s="74"/>
      <x:c r="J226" s="74"/>
      <x:c r="K226" s="74"/>
      <x:c r="L226" s="74"/>
      <x:c r="M226" s="74"/>
      <x:c r="N226" s="74"/>
      <x:c r="O226" s="91"/>
      <x:c r="P226" s="91"/>
      <x:c r="Q226" s="85"/>
      <x:c r="R226" s="85"/>
      <x:c r="S226" s="85"/>
      <x:c r="T226" s="85"/>
      <x:c r="U226" s="85"/>
      <x:c r="V226" s="85"/>
      <x:c r="W226" s="85"/>
      <x:c r="Y226" s="86"/>
      <x:c r="Z226" s="86"/>
      <x:c r="AA226" s="32"/>
    </x:row>
    <x:row r="227">
      <x:c r="A227" s="87"/>
      <x:c r="B227" s="88"/>
      <x:c r="D227" s="32"/>
      <x:c r="I227" s="74"/>
      <x:c r="J227" s="74"/>
      <x:c r="K227" s="74"/>
      <x:c r="L227" s="74"/>
      <x:c r="M227" s="74"/>
      <x:c r="N227" s="74"/>
      <x:c r="O227" s="91"/>
      <x:c r="P227" s="91"/>
      <x:c r="Q227" s="85"/>
      <x:c r="R227" s="85"/>
      <x:c r="S227" s="85"/>
      <x:c r="T227" s="85"/>
      <x:c r="U227" s="85"/>
      <x:c r="V227" s="85"/>
      <x:c r="W227" s="85"/>
      <x:c r="Y227" s="86"/>
      <x:c r="Z227" s="86"/>
      <x:c r="AA227" s="32"/>
    </x:row>
    <x:row r="228">
      <x:c r="A228" s="87"/>
      <x:c r="B228" s="88"/>
      <x:c r="D228" s="32"/>
      <x:c r="I228" s="74"/>
      <x:c r="J228" s="74"/>
      <x:c r="K228" s="74"/>
      <x:c r="L228" s="74"/>
      <x:c r="M228" s="74"/>
      <x:c r="N228" s="74"/>
      <x:c r="O228" s="91"/>
      <x:c r="P228" s="91"/>
      <x:c r="Q228" s="85"/>
      <x:c r="R228" s="85"/>
      <x:c r="S228" s="85"/>
      <x:c r="T228" s="85"/>
      <x:c r="U228" s="85"/>
      <x:c r="V228" s="85"/>
      <x:c r="W228" s="85"/>
      <x:c r="Y228" s="86"/>
      <x:c r="Z228" s="86"/>
      <x:c r="AA228" s="32"/>
    </x:row>
    <x:row r="229">
      <x:c r="A229" s="87"/>
      <x:c r="B229" s="88"/>
      <x:c r="D229" s="32"/>
      <x:c r="I229" s="74"/>
      <x:c r="J229" s="74"/>
      <x:c r="K229" s="74"/>
      <x:c r="L229" s="74"/>
      <x:c r="M229" s="74"/>
      <x:c r="N229" s="74"/>
      <x:c r="O229" s="91"/>
      <x:c r="P229" s="91"/>
      <x:c r="Q229" s="85"/>
      <x:c r="R229" s="85"/>
      <x:c r="S229" s="85"/>
      <x:c r="T229" s="85"/>
      <x:c r="U229" s="85"/>
      <x:c r="V229" s="85"/>
      <x:c r="W229" s="85"/>
      <x:c r="Y229" s="86"/>
      <x:c r="Z229" s="86"/>
      <x:c r="AA229" s="32"/>
    </x:row>
    <x:row r="230">
      <x:c r="A230" s="87"/>
      <x:c r="B230" s="88"/>
      <x:c r="D230" s="32"/>
      <x:c r="I230" s="74"/>
      <x:c r="J230" s="74"/>
      <x:c r="K230" s="74"/>
      <x:c r="L230" s="74"/>
      <x:c r="M230" s="74"/>
      <x:c r="N230" s="74"/>
      <x:c r="O230" s="91"/>
      <x:c r="P230" s="91"/>
      <x:c r="Q230" s="85"/>
      <x:c r="R230" s="85"/>
      <x:c r="S230" s="85"/>
      <x:c r="T230" s="85"/>
      <x:c r="U230" s="85"/>
      <x:c r="V230" s="85"/>
      <x:c r="W230" s="85"/>
      <x:c r="Y230" s="86"/>
      <x:c r="Z230" s="86"/>
      <x:c r="AA230" s="32"/>
    </x:row>
    <x:row r="231">
      <x:c r="A231" s="87"/>
      <x:c r="B231" s="88"/>
      <x:c r="D231" s="32"/>
      <x:c r="I231" s="74"/>
      <x:c r="J231" s="74"/>
      <x:c r="K231" s="74"/>
      <x:c r="L231" s="74"/>
      <x:c r="M231" s="74"/>
      <x:c r="N231" s="74"/>
      <x:c r="O231" s="91"/>
      <x:c r="P231" s="91"/>
      <x:c r="Q231" s="85"/>
      <x:c r="R231" s="85"/>
      <x:c r="S231" s="85"/>
      <x:c r="T231" s="85"/>
      <x:c r="U231" s="85"/>
      <x:c r="V231" s="85"/>
      <x:c r="W231" s="85"/>
      <x:c r="Y231" s="86"/>
      <x:c r="Z231" s="86"/>
      <x:c r="AA231" s="32"/>
    </x:row>
    <x:row r="232">
      <x:c r="A232" s="87"/>
      <x:c r="B232" s="88"/>
      <x:c r="D232" s="32"/>
      <x:c r="I232" s="74"/>
      <x:c r="J232" s="74"/>
      <x:c r="K232" s="74"/>
      <x:c r="L232" s="74"/>
      <x:c r="M232" s="74"/>
      <x:c r="N232" s="74"/>
      <x:c r="O232" s="91"/>
      <x:c r="P232" s="91"/>
      <x:c r="Q232" s="85"/>
      <x:c r="R232" s="85"/>
      <x:c r="S232" s="85"/>
      <x:c r="T232" s="85"/>
      <x:c r="U232" s="85"/>
      <x:c r="V232" s="85"/>
      <x:c r="W232" s="85"/>
      <x:c r="Y232" s="86"/>
      <x:c r="Z232" s="86"/>
      <x:c r="AA232" s="32"/>
    </x:row>
    <x:row r="233">
      <x:c r="A233" s="87"/>
      <x:c r="B233" s="88"/>
      <x:c r="D233" s="32"/>
      <x:c r="I233" s="74"/>
      <x:c r="J233" s="74"/>
      <x:c r="K233" s="74"/>
      <x:c r="L233" s="74"/>
      <x:c r="M233" s="74"/>
      <x:c r="N233" s="74"/>
      <x:c r="O233" s="91"/>
      <x:c r="P233" s="91"/>
      <x:c r="Q233" s="85"/>
      <x:c r="R233" s="85"/>
      <x:c r="S233" s="85"/>
      <x:c r="T233" s="85"/>
      <x:c r="U233" s="85"/>
      <x:c r="V233" s="85"/>
      <x:c r="W233" s="85"/>
      <x:c r="Y233" s="86"/>
      <x:c r="Z233" s="86"/>
      <x:c r="AA233" s="32"/>
    </x:row>
    <x:row r="234">
      <x:c r="A234" s="87"/>
      <x:c r="B234" s="88"/>
      <x:c r="D234" s="32"/>
      <x:c r="I234" s="74"/>
      <x:c r="J234" s="74"/>
      <x:c r="K234" s="74"/>
      <x:c r="L234" s="74"/>
      <x:c r="M234" s="74"/>
      <x:c r="N234" s="74"/>
      <x:c r="O234" s="91"/>
      <x:c r="P234" s="91"/>
      <x:c r="Q234" s="85"/>
      <x:c r="R234" s="85"/>
      <x:c r="S234" s="85"/>
      <x:c r="T234" s="85"/>
      <x:c r="U234" s="85"/>
      <x:c r="V234" s="85"/>
      <x:c r="W234" s="85"/>
      <x:c r="Y234" s="86"/>
      <x:c r="Z234" s="86"/>
      <x:c r="AA234" s="32"/>
    </x:row>
    <x:row r="235">
      <x:c r="A235" s="87"/>
      <x:c r="B235" s="88"/>
      <x:c r="D235" s="32"/>
      <x:c r="I235" s="74"/>
      <x:c r="J235" s="74"/>
      <x:c r="K235" s="74"/>
      <x:c r="L235" s="74"/>
      <x:c r="M235" s="74"/>
      <x:c r="N235" s="74"/>
      <x:c r="O235" s="91"/>
      <x:c r="P235" s="91"/>
      <x:c r="Q235" s="85"/>
      <x:c r="R235" s="85"/>
      <x:c r="S235" s="85"/>
      <x:c r="T235" s="85"/>
      <x:c r="U235" s="85"/>
      <x:c r="V235" s="85"/>
      <x:c r="W235" s="85"/>
      <x:c r="Y235" s="86"/>
      <x:c r="Z235" s="86"/>
      <x:c r="AA235" s="32"/>
    </x:row>
    <x:row r="236">
      <x:c r="A236" s="87"/>
      <x:c r="B236" s="88"/>
      <x:c r="D236" s="32"/>
      <x:c r="I236" s="74"/>
      <x:c r="J236" s="74"/>
      <x:c r="K236" s="74"/>
      <x:c r="L236" s="74"/>
      <x:c r="M236" s="74"/>
      <x:c r="N236" s="74"/>
      <x:c r="O236" s="91"/>
      <x:c r="P236" s="91"/>
      <x:c r="Q236" s="85"/>
      <x:c r="R236" s="85"/>
      <x:c r="S236" s="85"/>
      <x:c r="T236" s="85"/>
      <x:c r="U236" s="85"/>
      <x:c r="V236" s="85"/>
      <x:c r="W236" s="85"/>
      <x:c r="Y236" s="86"/>
      <x:c r="Z236" s="86"/>
      <x:c r="AA236" s="32"/>
    </x:row>
    <x:row r="237">
      <x:c r="A237" s="87"/>
      <x:c r="B237" s="88"/>
      <x:c r="D237" s="32"/>
      <x:c r="I237" s="74"/>
      <x:c r="J237" s="74"/>
      <x:c r="K237" s="74"/>
      <x:c r="L237" s="74"/>
      <x:c r="M237" s="74"/>
      <x:c r="N237" s="74"/>
      <x:c r="O237" s="91"/>
      <x:c r="P237" s="91"/>
      <x:c r="Q237" s="85"/>
      <x:c r="R237" s="85"/>
      <x:c r="S237" s="85"/>
      <x:c r="T237" s="85"/>
      <x:c r="U237" s="85"/>
      <x:c r="V237" s="85"/>
      <x:c r="W237" s="85"/>
      <x:c r="Y237" s="86"/>
      <x:c r="Z237" s="86"/>
      <x:c r="AA237" s="32"/>
    </x:row>
    <x:row r="238">
      <x:c r="A238" s="87"/>
      <x:c r="B238" s="88"/>
      <x:c r="D238" s="32"/>
      <x:c r="I238" s="74"/>
      <x:c r="J238" s="74"/>
      <x:c r="K238" s="74"/>
      <x:c r="L238" s="74"/>
      <x:c r="M238" s="74"/>
      <x:c r="N238" s="74"/>
      <x:c r="O238" s="91"/>
      <x:c r="P238" s="91"/>
      <x:c r="Q238" s="85"/>
      <x:c r="R238" s="85"/>
      <x:c r="S238" s="85"/>
      <x:c r="T238" s="85"/>
      <x:c r="U238" s="85"/>
      <x:c r="V238" s="85"/>
      <x:c r="W238" s="85"/>
      <x:c r="Y238" s="86"/>
      <x:c r="Z238" s="86"/>
      <x:c r="AA238" s="32"/>
    </x:row>
    <x:row r="239">
      <x:c r="A239" s="87"/>
      <x:c r="B239" s="88"/>
      <x:c r="D239" s="32"/>
      <x:c r="I239" s="74"/>
      <x:c r="J239" s="74"/>
      <x:c r="K239" s="74"/>
      <x:c r="L239" s="74"/>
      <x:c r="M239" s="74"/>
      <x:c r="N239" s="74"/>
      <x:c r="O239" s="91"/>
      <x:c r="P239" s="91"/>
      <x:c r="Q239" s="85"/>
      <x:c r="R239" s="85"/>
      <x:c r="S239" s="85"/>
      <x:c r="T239" s="85"/>
      <x:c r="U239" s="85"/>
      <x:c r="V239" s="85"/>
      <x:c r="W239" s="85"/>
      <x:c r="Y239" s="86"/>
      <x:c r="Z239" s="86"/>
      <x:c r="AA239" s="32"/>
    </x:row>
    <x:row r="240">
      <x:c r="A240" s="87"/>
      <x:c r="B240" s="88"/>
      <x:c r="D240" s="32"/>
      <x:c r="I240" s="74"/>
      <x:c r="J240" s="74"/>
      <x:c r="K240" s="74"/>
      <x:c r="L240" s="74"/>
      <x:c r="M240" s="74"/>
      <x:c r="N240" s="74"/>
      <x:c r="O240" s="91"/>
      <x:c r="P240" s="91"/>
      <x:c r="Q240" s="85"/>
      <x:c r="R240" s="85"/>
      <x:c r="S240" s="85"/>
      <x:c r="T240" s="85"/>
      <x:c r="U240" s="85"/>
      <x:c r="V240" s="85"/>
      <x:c r="W240" s="85"/>
      <x:c r="Y240" s="86"/>
      <x:c r="Z240" s="86"/>
      <x:c r="AA240" s="32"/>
    </x:row>
    <x:row r="241">
      <x:c r="A241" s="87"/>
      <x:c r="B241" s="88"/>
      <x:c r="D241" s="32"/>
      <x:c r="I241" s="74"/>
      <x:c r="J241" s="74"/>
      <x:c r="K241" s="74"/>
      <x:c r="L241" s="74"/>
      <x:c r="M241" s="74"/>
      <x:c r="N241" s="74"/>
      <x:c r="O241" s="91"/>
      <x:c r="P241" s="91"/>
      <x:c r="Q241" s="85"/>
      <x:c r="R241" s="85"/>
      <x:c r="S241" s="85"/>
      <x:c r="T241" s="85"/>
      <x:c r="U241" s="85"/>
      <x:c r="V241" s="85"/>
      <x:c r="W241" s="85"/>
      <x:c r="Y241" s="86"/>
      <x:c r="Z241" s="86"/>
      <x:c r="AA241" s="32"/>
    </x:row>
    <x:row r="242">
      <x:c r="A242" s="87"/>
      <x:c r="B242" s="88"/>
      <x:c r="D242" s="32"/>
      <x:c r="I242" s="74"/>
      <x:c r="J242" s="74"/>
      <x:c r="K242" s="74"/>
      <x:c r="L242" s="74"/>
      <x:c r="M242" s="74"/>
      <x:c r="N242" s="74"/>
      <x:c r="O242" s="91"/>
      <x:c r="P242" s="91"/>
      <x:c r="Q242" s="85"/>
      <x:c r="R242" s="85"/>
      <x:c r="S242" s="85"/>
      <x:c r="T242" s="85"/>
      <x:c r="U242" s="85"/>
      <x:c r="V242" s="85"/>
      <x:c r="W242" s="85"/>
      <x:c r="Y242" s="86"/>
      <x:c r="Z242" s="86"/>
      <x:c r="AA242" s="32"/>
    </x:row>
    <x:row r="243">
      <x:c r="A243" s="87"/>
      <x:c r="B243" s="88"/>
      <x:c r="D243" s="32"/>
      <x:c r="I243" s="74"/>
      <x:c r="J243" s="74"/>
      <x:c r="K243" s="74"/>
      <x:c r="L243" s="74"/>
      <x:c r="M243" s="74"/>
      <x:c r="N243" s="74"/>
      <x:c r="O243" s="91"/>
      <x:c r="P243" s="91"/>
      <x:c r="Q243" s="85"/>
      <x:c r="R243" s="85"/>
      <x:c r="S243" s="85"/>
      <x:c r="T243" s="85"/>
      <x:c r="U243" s="85"/>
      <x:c r="V243" s="85"/>
      <x:c r="W243" s="85"/>
      <x:c r="Y243" s="86"/>
      <x:c r="Z243" s="86"/>
      <x:c r="AA243" s="32"/>
    </x:row>
    <x:row r="244">
      <x:c r="A244" s="87"/>
      <x:c r="B244" s="88"/>
      <x:c r="D244" s="32"/>
      <x:c r="I244" s="74"/>
      <x:c r="J244" s="74"/>
      <x:c r="K244" s="74"/>
      <x:c r="L244" s="74"/>
      <x:c r="M244" s="74"/>
      <x:c r="N244" s="74"/>
      <x:c r="O244" s="91"/>
      <x:c r="P244" s="91"/>
      <x:c r="Q244" s="85"/>
      <x:c r="R244" s="85"/>
      <x:c r="S244" s="85"/>
      <x:c r="T244" s="85"/>
      <x:c r="U244" s="85"/>
      <x:c r="V244" s="85"/>
      <x:c r="W244" s="85"/>
      <x:c r="Y244" s="86"/>
      <x:c r="Z244" s="86"/>
      <x:c r="AA244" s="32"/>
    </x:row>
    <x:row r="245">
      <x:c r="A245" s="87"/>
      <x:c r="B245" s="88"/>
      <x:c r="D245" s="32"/>
      <x:c r="I245" s="74"/>
      <x:c r="J245" s="74"/>
      <x:c r="K245" s="74"/>
      <x:c r="L245" s="74"/>
      <x:c r="M245" s="74"/>
      <x:c r="N245" s="74"/>
      <x:c r="O245" s="91"/>
      <x:c r="P245" s="91"/>
      <x:c r="Q245" s="85"/>
      <x:c r="R245" s="85"/>
      <x:c r="S245" s="85"/>
      <x:c r="T245" s="85"/>
      <x:c r="U245" s="85"/>
      <x:c r="V245" s="85"/>
      <x:c r="W245" s="85"/>
      <x:c r="Y245" s="86"/>
      <x:c r="Z245" s="86"/>
      <x:c r="AA245" s="32"/>
    </x:row>
    <x:row r="246">
      <x:c r="A246" s="87"/>
      <x:c r="B246" s="88"/>
      <x:c r="D246" s="32"/>
      <x:c r="I246" s="74"/>
      <x:c r="J246" s="74"/>
      <x:c r="K246" s="74"/>
      <x:c r="L246" s="74"/>
      <x:c r="M246" s="74"/>
      <x:c r="N246" s="74"/>
      <x:c r="O246" s="91"/>
      <x:c r="P246" s="91"/>
      <x:c r="Q246" s="85"/>
      <x:c r="R246" s="85"/>
      <x:c r="S246" s="85"/>
      <x:c r="T246" s="85"/>
      <x:c r="U246" s="85"/>
      <x:c r="V246" s="85"/>
      <x:c r="W246" s="85"/>
      <x:c r="Y246" s="86"/>
      <x:c r="Z246" s="86"/>
      <x:c r="AA246" s="32"/>
    </x:row>
    <x:row r="247">
      <x:c r="A247" s="87"/>
      <x:c r="B247" s="88"/>
      <x:c r="D247" s="32"/>
      <x:c r="I247" s="74"/>
      <x:c r="J247" s="74"/>
      <x:c r="K247" s="74"/>
      <x:c r="L247" s="74"/>
      <x:c r="M247" s="74"/>
      <x:c r="N247" s="74"/>
      <x:c r="O247" s="91"/>
      <x:c r="P247" s="91"/>
      <x:c r="Q247" s="85"/>
      <x:c r="R247" s="85"/>
      <x:c r="S247" s="85"/>
      <x:c r="T247" s="85"/>
      <x:c r="U247" s="85"/>
      <x:c r="V247" s="85"/>
      <x:c r="W247" s="85"/>
      <x:c r="Y247" s="86"/>
      <x:c r="Z247" s="86"/>
      <x:c r="AA247" s="32"/>
    </x:row>
    <x:row r="248">
      <x:c r="A248" s="87"/>
      <x:c r="B248" s="88"/>
      <x:c r="D248" s="32"/>
      <x:c r="I248" s="74"/>
      <x:c r="J248" s="74"/>
      <x:c r="K248" s="74"/>
      <x:c r="L248" s="74"/>
      <x:c r="M248" s="74"/>
      <x:c r="N248" s="74"/>
      <x:c r="O248" s="91"/>
      <x:c r="P248" s="91"/>
      <x:c r="Q248" s="85"/>
      <x:c r="R248" s="85"/>
      <x:c r="S248" s="85"/>
      <x:c r="T248" s="85"/>
      <x:c r="U248" s="85"/>
      <x:c r="V248" s="85"/>
      <x:c r="W248" s="85"/>
      <x:c r="Y248" s="86"/>
      <x:c r="Z248" s="86"/>
      <x:c r="AA248" s="32"/>
    </x:row>
    <x:row r="249">
      <x:c r="A249" s="87"/>
      <x:c r="B249" s="88"/>
      <x:c r="D249" s="32"/>
      <x:c r="I249" s="74"/>
      <x:c r="J249" s="74"/>
      <x:c r="K249" s="74"/>
      <x:c r="L249" s="74"/>
      <x:c r="M249" s="74"/>
      <x:c r="N249" s="74"/>
      <x:c r="O249" s="91"/>
      <x:c r="P249" s="91"/>
      <x:c r="Q249" s="85"/>
      <x:c r="R249" s="85"/>
      <x:c r="S249" s="85"/>
      <x:c r="T249" s="85"/>
      <x:c r="U249" s="85"/>
      <x:c r="V249" s="85"/>
      <x:c r="W249" s="85"/>
      <x:c r="Y249" s="86"/>
      <x:c r="Z249" s="86"/>
      <x:c r="AA249" s="32"/>
    </x:row>
    <x:row r="250">
      <x:c r="A250" s="87"/>
      <x:c r="B250" s="88"/>
      <x:c r="D250" s="32"/>
      <x:c r="I250" s="74"/>
      <x:c r="J250" s="74"/>
      <x:c r="K250" s="74"/>
      <x:c r="L250" s="74"/>
      <x:c r="M250" s="74"/>
      <x:c r="N250" s="74"/>
      <x:c r="O250" s="91"/>
      <x:c r="P250" s="91"/>
      <x:c r="Q250" s="85"/>
      <x:c r="R250" s="85"/>
      <x:c r="S250" s="85"/>
      <x:c r="T250" s="85"/>
      <x:c r="U250" s="85"/>
      <x:c r="V250" s="85"/>
      <x:c r="W250" s="85"/>
      <x:c r="Y250" s="86"/>
      <x:c r="Z250" s="86"/>
      <x:c r="AA250" s="32"/>
    </x:row>
    <x:row r="251">
      <x:c r="A251" s="87"/>
      <x:c r="B251" s="88"/>
      <x:c r="D251" s="32"/>
      <x:c r="I251" s="74"/>
      <x:c r="J251" s="74"/>
      <x:c r="K251" s="74"/>
      <x:c r="L251" s="74"/>
      <x:c r="M251" s="74"/>
      <x:c r="N251" s="74"/>
      <x:c r="O251" s="91"/>
      <x:c r="P251" s="91"/>
      <x:c r="Q251" s="85"/>
      <x:c r="R251" s="85"/>
      <x:c r="S251" s="85"/>
      <x:c r="T251" s="85"/>
      <x:c r="U251" s="85"/>
      <x:c r="V251" s="85"/>
      <x:c r="W251" s="85"/>
      <x:c r="Y251" s="86"/>
      <x:c r="Z251" s="86"/>
      <x:c r="AA251" s="32"/>
    </x:row>
    <x:row r="252">
      <x:c r="A252" s="87"/>
      <x:c r="B252" s="88"/>
      <x:c r="D252" s="32"/>
      <x:c r="I252" s="74"/>
      <x:c r="J252" s="74"/>
      <x:c r="K252" s="74"/>
      <x:c r="L252" s="74"/>
      <x:c r="M252" s="74"/>
      <x:c r="N252" s="74"/>
      <x:c r="O252" s="91"/>
      <x:c r="P252" s="91"/>
      <x:c r="Q252" s="85"/>
      <x:c r="R252" s="85"/>
      <x:c r="S252" s="85"/>
      <x:c r="T252" s="85"/>
      <x:c r="U252" s="85"/>
      <x:c r="V252" s="85"/>
      <x:c r="W252" s="85"/>
      <x:c r="Y252" s="86"/>
      <x:c r="Z252" s="86"/>
      <x:c r="AA252" s="32"/>
    </x:row>
    <x:row r="253">
      <x:c r="A253" s="87"/>
      <x:c r="B253" s="88"/>
      <x:c r="D253" s="32"/>
      <x:c r="I253" s="74"/>
      <x:c r="J253" s="74"/>
      <x:c r="K253" s="74"/>
      <x:c r="L253" s="74"/>
      <x:c r="M253" s="74"/>
      <x:c r="N253" s="74"/>
      <x:c r="O253" s="91"/>
      <x:c r="P253" s="91"/>
      <x:c r="Q253" s="85"/>
      <x:c r="R253" s="85"/>
      <x:c r="S253" s="85"/>
      <x:c r="T253" s="85"/>
      <x:c r="U253" s="85"/>
      <x:c r="V253" s="85"/>
      <x:c r="W253" s="85"/>
      <x:c r="Y253" s="86"/>
      <x:c r="Z253" s="86"/>
      <x:c r="AA253" s="32"/>
    </x:row>
    <x:row r="254">
      <x:c r="A254" s="87"/>
      <x:c r="B254" s="88"/>
      <x:c r="D254" s="32"/>
      <x:c r="I254" s="74"/>
      <x:c r="J254" s="74"/>
      <x:c r="K254" s="74"/>
      <x:c r="L254" s="74"/>
      <x:c r="M254" s="74"/>
      <x:c r="N254" s="74"/>
      <x:c r="O254" s="91"/>
      <x:c r="P254" s="91"/>
      <x:c r="Q254" s="85"/>
      <x:c r="R254" s="85"/>
      <x:c r="S254" s="85"/>
      <x:c r="T254" s="85"/>
      <x:c r="U254" s="85"/>
      <x:c r="V254" s="85"/>
      <x:c r="W254" s="85"/>
      <x:c r="Y254" s="86"/>
      <x:c r="Z254" s="86"/>
      <x:c r="AA254" s="32"/>
    </x:row>
    <x:row r="255">
      <x:c r="A255" s="87"/>
      <x:c r="B255" s="88"/>
      <x:c r="D255" s="32"/>
      <x:c r="I255" s="74"/>
      <x:c r="J255" s="74"/>
      <x:c r="K255" s="74"/>
      <x:c r="L255" s="74"/>
      <x:c r="M255" s="74"/>
      <x:c r="N255" s="74"/>
      <x:c r="O255" s="91"/>
      <x:c r="P255" s="91"/>
      <x:c r="Q255" s="85"/>
      <x:c r="R255" s="85"/>
      <x:c r="S255" s="85"/>
      <x:c r="T255" s="85"/>
      <x:c r="U255" s="85"/>
      <x:c r="V255" s="85"/>
      <x:c r="W255" s="85"/>
      <x:c r="Y255" s="86"/>
      <x:c r="Z255" s="86"/>
      <x:c r="AA255" s="32"/>
    </x:row>
    <x:row r="256">
      <x:c r="A256" s="87"/>
      <x:c r="B256" s="88"/>
      <x:c r="D256" s="32"/>
      <x:c r="I256" s="74"/>
      <x:c r="J256" s="74"/>
      <x:c r="K256" s="74"/>
      <x:c r="L256" s="74"/>
      <x:c r="M256" s="74"/>
      <x:c r="N256" s="74"/>
      <x:c r="O256" s="91"/>
      <x:c r="P256" s="91"/>
      <x:c r="Q256" s="85"/>
      <x:c r="R256" s="85"/>
      <x:c r="S256" s="85"/>
      <x:c r="T256" s="85"/>
      <x:c r="U256" s="85"/>
      <x:c r="V256" s="85"/>
      <x:c r="W256" s="85"/>
      <x:c r="Y256" s="86"/>
      <x:c r="Z256" s="86"/>
      <x:c r="AA256" s="32"/>
    </x:row>
    <x:row r="257">
      <x:c r="A257" s="87"/>
      <x:c r="B257" s="88"/>
      <x:c r="D257" s="32"/>
      <x:c r="I257" s="74"/>
      <x:c r="J257" s="74"/>
      <x:c r="K257" s="74"/>
      <x:c r="L257" s="74"/>
      <x:c r="M257" s="74"/>
      <x:c r="N257" s="74"/>
      <x:c r="O257" s="91"/>
      <x:c r="P257" s="91"/>
      <x:c r="Q257" s="85"/>
      <x:c r="R257" s="85"/>
      <x:c r="S257" s="85"/>
      <x:c r="T257" s="85"/>
      <x:c r="U257" s="85"/>
      <x:c r="V257" s="85"/>
      <x:c r="W257" s="85"/>
      <x:c r="Y257" s="86"/>
      <x:c r="Z257" s="86"/>
      <x:c r="AA257" s="32"/>
    </x:row>
    <x:row r="258">
      <x:c r="A258" s="87"/>
      <x:c r="B258" s="88"/>
      <x:c r="D258" s="32"/>
      <x:c r="I258" s="74"/>
      <x:c r="J258" s="74"/>
      <x:c r="K258" s="74"/>
      <x:c r="L258" s="74"/>
      <x:c r="M258" s="74"/>
      <x:c r="N258" s="74"/>
      <x:c r="O258" s="91"/>
      <x:c r="P258" s="91"/>
      <x:c r="Q258" s="85"/>
      <x:c r="R258" s="85"/>
      <x:c r="S258" s="85"/>
      <x:c r="T258" s="85"/>
      <x:c r="U258" s="85"/>
      <x:c r="V258" s="85"/>
      <x:c r="W258" s="85"/>
      <x:c r="Y258" s="86"/>
      <x:c r="Z258" s="86"/>
      <x:c r="AA258" s="32"/>
    </x:row>
    <x:row r="259">
      <x:c r="A259" s="87"/>
      <x:c r="B259" s="88"/>
      <x:c r="D259" s="32"/>
      <x:c r="I259" s="74"/>
      <x:c r="J259" s="74"/>
      <x:c r="K259" s="74"/>
      <x:c r="L259" s="74"/>
      <x:c r="M259" s="74"/>
      <x:c r="N259" s="74"/>
      <x:c r="O259" s="91"/>
      <x:c r="P259" s="91"/>
      <x:c r="Q259" s="85"/>
      <x:c r="R259" s="85"/>
      <x:c r="S259" s="85"/>
      <x:c r="T259" s="85"/>
      <x:c r="U259" s="85"/>
      <x:c r="V259" s="85"/>
      <x:c r="W259" s="85"/>
      <x:c r="Y259" s="86"/>
      <x:c r="Z259" s="86"/>
      <x:c r="AA259" s="32"/>
    </x:row>
    <x:row r="260">
      <x:c r="A260" s="87"/>
      <x:c r="B260" s="88"/>
      <x:c r="D260" s="32"/>
      <x:c r="I260" s="74"/>
      <x:c r="J260" s="74"/>
      <x:c r="K260" s="74"/>
      <x:c r="L260" s="74"/>
      <x:c r="M260" s="74"/>
      <x:c r="N260" s="74"/>
      <x:c r="O260" s="91"/>
      <x:c r="P260" s="91"/>
      <x:c r="Q260" s="85"/>
      <x:c r="R260" s="85"/>
      <x:c r="S260" s="85"/>
      <x:c r="T260" s="85"/>
      <x:c r="U260" s="85"/>
      <x:c r="V260" s="85"/>
      <x:c r="W260" s="85"/>
      <x:c r="Y260" s="86"/>
      <x:c r="Z260" s="86"/>
      <x:c r="AA260" s="32"/>
    </x:row>
    <x:row r="261">
      <x:c r="A261" s="87"/>
      <x:c r="B261" s="88"/>
      <x:c r="D261" s="32"/>
      <x:c r="I261" s="74"/>
      <x:c r="J261" s="74"/>
      <x:c r="K261" s="74"/>
      <x:c r="L261" s="74"/>
      <x:c r="M261" s="74"/>
      <x:c r="N261" s="74"/>
      <x:c r="O261" s="91"/>
      <x:c r="P261" s="91"/>
      <x:c r="Q261" s="85"/>
      <x:c r="R261" s="85"/>
      <x:c r="S261" s="85"/>
      <x:c r="T261" s="85"/>
      <x:c r="U261" s="85"/>
      <x:c r="V261" s="85"/>
      <x:c r="W261" s="85"/>
      <x:c r="Y261" s="86"/>
      <x:c r="Z261" s="86"/>
      <x:c r="AA261" s="32"/>
    </x:row>
    <x:row r="262">
      <x:c r="A262" s="87"/>
      <x:c r="B262" s="88"/>
      <x:c r="D262" s="32"/>
      <x:c r="I262" s="74"/>
      <x:c r="J262" s="74"/>
      <x:c r="K262" s="74"/>
      <x:c r="L262" s="74"/>
      <x:c r="M262" s="74"/>
      <x:c r="N262" s="74"/>
      <x:c r="O262" s="91"/>
      <x:c r="P262" s="91"/>
      <x:c r="Q262" s="85"/>
      <x:c r="R262" s="85"/>
      <x:c r="S262" s="85"/>
      <x:c r="T262" s="85"/>
      <x:c r="U262" s="85"/>
      <x:c r="V262" s="85"/>
      <x:c r="W262" s="85"/>
      <x:c r="Y262" s="86"/>
      <x:c r="Z262" s="86"/>
      <x:c r="AA262" s="32"/>
    </x:row>
    <x:row r="263">
      <x:c r="A263" s="87"/>
      <x:c r="B263" s="88"/>
      <x:c r="D263" s="32"/>
      <x:c r="I263" s="74"/>
      <x:c r="J263" s="74"/>
      <x:c r="K263" s="74"/>
      <x:c r="L263" s="74"/>
      <x:c r="M263" s="74"/>
      <x:c r="N263" s="74"/>
      <x:c r="O263" s="91"/>
      <x:c r="P263" s="91"/>
      <x:c r="Q263" s="85"/>
      <x:c r="R263" s="85"/>
      <x:c r="S263" s="85"/>
      <x:c r="T263" s="85"/>
      <x:c r="U263" s="85"/>
      <x:c r="V263" s="85"/>
      <x:c r="W263" s="85"/>
      <x:c r="Y263" s="86"/>
      <x:c r="Z263" s="86"/>
      <x:c r="AA263" s="32"/>
    </x:row>
    <x:row r="264">
      <x:c r="A264" s="87"/>
      <x:c r="B264" s="88"/>
      <x:c r="D264" s="32"/>
      <x:c r="I264" s="74"/>
      <x:c r="J264" s="74"/>
      <x:c r="K264" s="74"/>
      <x:c r="L264" s="74"/>
      <x:c r="M264" s="74"/>
      <x:c r="N264" s="74"/>
      <x:c r="O264" s="91"/>
      <x:c r="P264" s="91"/>
      <x:c r="Q264" s="85"/>
      <x:c r="R264" s="85"/>
      <x:c r="S264" s="85"/>
      <x:c r="T264" s="85"/>
      <x:c r="U264" s="85"/>
      <x:c r="V264" s="85"/>
      <x:c r="W264" s="85"/>
      <x:c r="Y264" s="86"/>
      <x:c r="Z264" s="86"/>
      <x:c r="AA264" s="32"/>
    </x:row>
    <x:row r="265">
      <x:c r="A265" s="87"/>
      <x:c r="B265" s="88"/>
      <x:c r="D265" s="32"/>
      <x:c r="I265" s="74"/>
      <x:c r="J265" s="74"/>
      <x:c r="K265" s="74"/>
      <x:c r="L265" s="74"/>
      <x:c r="M265" s="74"/>
      <x:c r="N265" s="74"/>
      <x:c r="O265" s="91"/>
      <x:c r="P265" s="91"/>
      <x:c r="Q265" s="85"/>
      <x:c r="R265" s="85"/>
      <x:c r="S265" s="85"/>
      <x:c r="T265" s="85"/>
      <x:c r="U265" s="85"/>
      <x:c r="V265" s="85"/>
      <x:c r="W265" s="85"/>
      <x:c r="Y265" s="86"/>
      <x:c r="Z265" s="86"/>
      <x:c r="AA265" s="32"/>
    </x:row>
    <x:row r="266">
      <x:c r="A266" s="87"/>
      <x:c r="B266" s="88"/>
      <x:c r="D266" s="32"/>
      <x:c r="I266" s="74"/>
      <x:c r="J266" s="74"/>
      <x:c r="K266" s="74"/>
      <x:c r="L266" s="74"/>
      <x:c r="M266" s="74"/>
      <x:c r="N266" s="74"/>
      <x:c r="O266" s="91"/>
      <x:c r="P266" s="91"/>
      <x:c r="Q266" s="85"/>
      <x:c r="R266" s="85"/>
      <x:c r="S266" s="85"/>
      <x:c r="T266" s="85"/>
      <x:c r="U266" s="85"/>
      <x:c r="V266" s="85"/>
      <x:c r="W266" s="85"/>
      <x:c r="Y266" s="86"/>
      <x:c r="Z266" s="86"/>
      <x:c r="AA266" s="32"/>
    </x:row>
    <x:row r="267">
      <x:c r="A267" s="87"/>
      <x:c r="B267" s="88"/>
      <x:c r="D267" s="32"/>
      <x:c r="I267" s="74"/>
      <x:c r="J267" s="74"/>
      <x:c r="K267" s="74"/>
      <x:c r="L267" s="74"/>
      <x:c r="M267" s="74"/>
      <x:c r="N267" s="74"/>
      <x:c r="O267" s="91"/>
      <x:c r="P267" s="91"/>
      <x:c r="Q267" s="85"/>
      <x:c r="R267" s="85"/>
      <x:c r="S267" s="85"/>
      <x:c r="T267" s="85"/>
      <x:c r="U267" s="85"/>
      <x:c r="V267" s="85"/>
      <x:c r="W267" s="85"/>
      <x:c r="Y267" s="86"/>
      <x:c r="Z267" s="86"/>
      <x:c r="AA267" s="32"/>
    </x:row>
    <x:row r="268">
      <x:c r="A268" s="87"/>
      <x:c r="B268" s="88"/>
      <x:c r="D268" s="32"/>
      <x:c r="I268" s="74"/>
      <x:c r="J268" s="74"/>
      <x:c r="K268" s="74"/>
      <x:c r="L268" s="74"/>
      <x:c r="M268" s="74"/>
      <x:c r="N268" s="74"/>
      <x:c r="O268" s="91"/>
      <x:c r="P268" s="91"/>
      <x:c r="Q268" s="85"/>
      <x:c r="R268" s="85"/>
      <x:c r="S268" s="85"/>
      <x:c r="T268" s="85"/>
      <x:c r="U268" s="85"/>
      <x:c r="V268" s="85"/>
      <x:c r="W268" s="85"/>
      <x:c r="Y268" s="86"/>
      <x:c r="Z268" s="86"/>
      <x:c r="AA268" s="32"/>
    </x:row>
    <x:row r="269">
      <x:c r="A269" s="87"/>
      <x:c r="B269" s="88"/>
      <x:c r="D269" s="32"/>
      <x:c r="I269" s="74"/>
      <x:c r="J269" s="74"/>
      <x:c r="K269" s="74"/>
      <x:c r="L269" s="74"/>
      <x:c r="M269" s="74"/>
      <x:c r="N269" s="74"/>
      <x:c r="O269" s="91"/>
      <x:c r="P269" s="91"/>
      <x:c r="Q269" s="85"/>
      <x:c r="R269" s="85"/>
      <x:c r="S269" s="85"/>
      <x:c r="T269" s="85"/>
      <x:c r="U269" s="85"/>
      <x:c r="V269" s="85"/>
      <x:c r="W269" s="85"/>
      <x:c r="Y269" s="86"/>
      <x:c r="Z269" s="86"/>
      <x:c r="AA269" s="32"/>
    </x:row>
    <x:row r="270">
      <x:c r="A270" s="87"/>
      <x:c r="B270" s="88"/>
      <x:c r="D270" s="32"/>
      <x:c r="I270" s="74"/>
      <x:c r="J270" s="74"/>
      <x:c r="K270" s="74"/>
      <x:c r="L270" s="74"/>
      <x:c r="M270" s="74"/>
      <x:c r="N270" s="74"/>
      <x:c r="O270" s="91"/>
      <x:c r="P270" s="91"/>
      <x:c r="Q270" s="85"/>
      <x:c r="R270" s="85"/>
      <x:c r="S270" s="85"/>
      <x:c r="T270" s="85"/>
      <x:c r="U270" s="85"/>
      <x:c r="V270" s="85"/>
      <x:c r="W270" s="85"/>
      <x:c r="Y270" s="86"/>
      <x:c r="Z270" s="86"/>
      <x:c r="AA270" s="32"/>
    </x:row>
    <x:row r="271">
      <x:c r="A271" s="87"/>
      <x:c r="B271" s="88"/>
      <x:c r="D271" s="32"/>
      <x:c r="I271" s="74"/>
      <x:c r="J271" s="74"/>
      <x:c r="K271" s="74"/>
      <x:c r="L271" s="74"/>
      <x:c r="M271" s="74"/>
      <x:c r="N271" s="74"/>
      <x:c r="O271" s="91"/>
      <x:c r="P271" s="91"/>
      <x:c r="Q271" s="85"/>
      <x:c r="R271" s="85"/>
      <x:c r="S271" s="85"/>
      <x:c r="T271" s="85"/>
      <x:c r="U271" s="85"/>
      <x:c r="V271" s="85"/>
      <x:c r="W271" s="85"/>
      <x:c r="Y271" s="86"/>
      <x:c r="Z271" s="86"/>
      <x:c r="AA271" s="32"/>
    </x:row>
    <x:row r="272">
      <x:c r="A272" s="87"/>
      <x:c r="B272" s="88"/>
      <x:c r="D272" s="32"/>
      <x:c r="I272" s="74"/>
      <x:c r="J272" s="74"/>
      <x:c r="K272" s="74"/>
      <x:c r="L272" s="74"/>
      <x:c r="M272" s="74"/>
      <x:c r="N272" s="74"/>
      <x:c r="O272" s="91"/>
      <x:c r="P272" s="91"/>
      <x:c r="Q272" s="85"/>
      <x:c r="R272" s="85"/>
      <x:c r="S272" s="85"/>
      <x:c r="T272" s="85"/>
      <x:c r="U272" s="85"/>
      <x:c r="V272" s="85"/>
      <x:c r="W272" s="85"/>
      <x:c r="Y272" s="86"/>
      <x:c r="Z272" s="86"/>
      <x:c r="AA272" s="32"/>
    </x:row>
    <x:row r="273">
      <x:c r="A273" s="87"/>
      <x:c r="B273" s="88"/>
      <x:c r="D273" s="32"/>
      <x:c r="I273" s="74"/>
      <x:c r="J273" s="74"/>
      <x:c r="K273" s="74"/>
      <x:c r="L273" s="74"/>
      <x:c r="M273" s="74"/>
      <x:c r="N273" s="74"/>
      <x:c r="O273" s="91"/>
      <x:c r="P273" s="91"/>
      <x:c r="Q273" s="85"/>
      <x:c r="R273" s="85"/>
      <x:c r="S273" s="85"/>
      <x:c r="T273" s="85"/>
      <x:c r="U273" s="85"/>
      <x:c r="V273" s="85"/>
      <x:c r="W273" s="85"/>
      <x:c r="Y273" s="86"/>
      <x:c r="Z273" s="86"/>
      <x:c r="AA273" s="32"/>
    </x:row>
    <x:row r="274">
      <x:c r="A274" s="87"/>
      <x:c r="B274" s="88"/>
      <x:c r="D274" s="32"/>
      <x:c r="I274" s="74"/>
      <x:c r="J274" s="74"/>
      <x:c r="K274" s="74"/>
      <x:c r="L274" s="74"/>
      <x:c r="M274" s="74"/>
      <x:c r="N274" s="74"/>
      <x:c r="O274" s="91"/>
      <x:c r="P274" s="91"/>
      <x:c r="Q274" s="85"/>
      <x:c r="R274" s="85"/>
      <x:c r="S274" s="85"/>
      <x:c r="T274" s="85"/>
      <x:c r="U274" s="85"/>
      <x:c r="V274" s="85"/>
      <x:c r="W274" s="85"/>
      <x:c r="Y274" s="86"/>
      <x:c r="Z274" s="86"/>
      <x:c r="AA274" s="32"/>
    </x:row>
    <x:row r="275">
      <x:c r="A275" s="87"/>
      <x:c r="B275" s="88"/>
      <x:c r="D275" s="32"/>
      <x:c r="I275" s="74"/>
      <x:c r="J275" s="74"/>
      <x:c r="K275" s="74"/>
      <x:c r="L275" s="74"/>
      <x:c r="M275" s="74"/>
      <x:c r="N275" s="74"/>
      <x:c r="O275" s="91"/>
      <x:c r="P275" s="91"/>
      <x:c r="Q275" s="85"/>
      <x:c r="R275" s="85"/>
      <x:c r="S275" s="85"/>
      <x:c r="T275" s="85"/>
      <x:c r="U275" s="85"/>
      <x:c r="V275" s="85"/>
      <x:c r="W275" s="85"/>
      <x:c r="Y275" s="86"/>
      <x:c r="Z275" s="86"/>
      <x:c r="AA275" s="32"/>
    </x:row>
    <x:row r="276">
      <x:c r="A276" s="87"/>
      <x:c r="B276" s="88"/>
      <x:c r="D276" s="32"/>
      <x:c r="I276" s="74"/>
      <x:c r="J276" s="74"/>
      <x:c r="K276" s="74"/>
      <x:c r="L276" s="74"/>
      <x:c r="M276" s="74"/>
      <x:c r="N276" s="74"/>
      <x:c r="O276" s="91"/>
      <x:c r="P276" s="91"/>
      <x:c r="Q276" s="85"/>
      <x:c r="R276" s="85"/>
      <x:c r="S276" s="85"/>
      <x:c r="T276" s="85"/>
      <x:c r="U276" s="85"/>
      <x:c r="V276" s="85"/>
      <x:c r="W276" s="85"/>
      <x:c r="Y276" s="86"/>
      <x:c r="Z276" s="86"/>
      <x:c r="AA276" s="32"/>
    </x:row>
    <x:row r="277">
      <x:c r="A277" s="87"/>
      <x:c r="B277" s="88"/>
      <x:c r="D277" s="32"/>
      <x:c r="I277" s="74"/>
      <x:c r="J277" s="74"/>
      <x:c r="K277" s="74"/>
      <x:c r="L277" s="74"/>
      <x:c r="M277" s="74"/>
      <x:c r="N277" s="74"/>
      <x:c r="O277" s="91"/>
      <x:c r="P277" s="91"/>
      <x:c r="Q277" s="85"/>
      <x:c r="R277" s="85"/>
      <x:c r="S277" s="85"/>
      <x:c r="T277" s="85"/>
      <x:c r="U277" s="85"/>
      <x:c r="V277" s="85"/>
      <x:c r="W277" s="85"/>
      <x:c r="Y277" s="86"/>
      <x:c r="Z277" s="86"/>
      <x:c r="AA277" s="32"/>
    </x:row>
    <x:row r="278">
      <x:c r="A278" s="87"/>
      <x:c r="B278" s="88"/>
      <x:c r="D278" s="32"/>
      <x:c r="I278" s="74"/>
      <x:c r="J278" s="74"/>
      <x:c r="K278" s="74"/>
      <x:c r="L278" s="74"/>
      <x:c r="M278" s="74"/>
      <x:c r="N278" s="74"/>
      <x:c r="O278" s="91"/>
      <x:c r="P278" s="91"/>
      <x:c r="Q278" s="85"/>
      <x:c r="R278" s="85"/>
      <x:c r="S278" s="85"/>
      <x:c r="T278" s="85"/>
      <x:c r="U278" s="85"/>
      <x:c r="V278" s="85"/>
      <x:c r="W278" s="85"/>
      <x:c r="Y278" s="86"/>
      <x:c r="Z278" s="86"/>
      <x:c r="AA278" s="32"/>
    </x:row>
    <x:row r="279">
      <x:c r="A279" s="87"/>
      <x:c r="B279" s="88"/>
      <x:c r="D279" s="32"/>
      <x:c r="I279" s="74"/>
      <x:c r="J279" s="74"/>
      <x:c r="K279" s="74"/>
      <x:c r="L279" s="74"/>
      <x:c r="M279" s="74"/>
      <x:c r="N279" s="74"/>
      <x:c r="O279" s="91"/>
      <x:c r="P279" s="91"/>
      <x:c r="Q279" s="85"/>
      <x:c r="R279" s="85"/>
      <x:c r="S279" s="85"/>
      <x:c r="T279" s="85"/>
      <x:c r="U279" s="85"/>
      <x:c r="V279" s="85"/>
      <x:c r="W279" s="85"/>
      <x:c r="Y279" s="86"/>
      <x:c r="Z279" s="86"/>
      <x:c r="AA279" s="32"/>
    </x:row>
    <x:row r="280">
      <x:c r="A280" s="87"/>
      <x:c r="B280" s="88"/>
      <x:c r="D280" s="32"/>
      <x:c r="I280" s="74"/>
      <x:c r="J280" s="74"/>
      <x:c r="K280" s="74"/>
      <x:c r="L280" s="74"/>
      <x:c r="M280" s="74"/>
      <x:c r="N280" s="74"/>
      <x:c r="O280" s="91"/>
      <x:c r="P280" s="91"/>
      <x:c r="Q280" s="85"/>
      <x:c r="R280" s="85"/>
      <x:c r="S280" s="85"/>
      <x:c r="T280" s="85"/>
      <x:c r="U280" s="85"/>
      <x:c r="V280" s="85"/>
      <x:c r="W280" s="85"/>
      <x:c r="Y280" s="86"/>
      <x:c r="Z280" s="86"/>
      <x:c r="AA280" s="32"/>
    </x:row>
    <x:row r="281">
      <x:c r="A281" s="87"/>
      <x:c r="B281" s="88"/>
      <x:c r="D281" s="32"/>
      <x:c r="I281" s="74"/>
      <x:c r="J281" s="74"/>
      <x:c r="K281" s="74"/>
      <x:c r="L281" s="74"/>
      <x:c r="M281" s="74"/>
      <x:c r="N281" s="74"/>
      <x:c r="O281" s="91"/>
      <x:c r="P281" s="91"/>
      <x:c r="Q281" s="85"/>
      <x:c r="R281" s="85"/>
      <x:c r="S281" s="85"/>
      <x:c r="T281" s="85"/>
      <x:c r="U281" s="85"/>
      <x:c r="V281" s="85"/>
      <x:c r="W281" s="85"/>
      <x:c r="Y281" s="86"/>
      <x:c r="Z281" s="86"/>
      <x:c r="AA281" s="32"/>
    </x:row>
    <x:row r="282">
      <x:c r="A282" s="87"/>
      <x:c r="B282" s="88"/>
      <x:c r="D282" s="32"/>
      <x:c r="I282" s="74"/>
      <x:c r="J282" s="74"/>
      <x:c r="K282" s="74"/>
      <x:c r="L282" s="74"/>
      <x:c r="M282" s="74"/>
      <x:c r="N282" s="74"/>
      <x:c r="O282" s="91"/>
      <x:c r="P282" s="91"/>
      <x:c r="Q282" s="85"/>
      <x:c r="R282" s="85"/>
      <x:c r="S282" s="85"/>
      <x:c r="T282" s="85"/>
      <x:c r="U282" s="85"/>
      <x:c r="V282" s="85"/>
      <x:c r="W282" s="85"/>
      <x:c r="Y282" s="86"/>
      <x:c r="Z282" s="86"/>
      <x:c r="AA282" s="32"/>
    </x:row>
    <x:row r="283">
      <x:c r="A283" s="87"/>
      <x:c r="B283" s="88"/>
      <x:c r="D283" s="32"/>
      <x:c r="I283" s="74"/>
      <x:c r="J283" s="74"/>
      <x:c r="K283" s="74"/>
      <x:c r="L283" s="74"/>
      <x:c r="M283" s="74"/>
      <x:c r="N283" s="74"/>
      <x:c r="O283" s="91"/>
      <x:c r="P283" s="91"/>
      <x:c r="Q283" s="85"/>
      <x:c r="R283" s="85"/>
      <x:c r="S283" s="85"/>
      <x:c r="T283" s="85"/>
      <x:c r="U283" s="85"/>
      <x:c r="V283" s="85"/>
      <x:c r="W283" s="85"/>
      <x:c r="Y283" s="86"/>
      <x:c r="Z283" s="86"/>
      <x:c r="AA283" s="32"/>
    </x:row>
    <x:row r="284">
      <x:c r="A284" s="87"/>
      <x:c r="B284" s="88"/>
      <x:c r="D284" s="32"/>
      <x:c r="I284" s="74"/>
      <x:c r="J284" s="74"/>
      <x:c r="K284" s="74"/>
      <x:c r="L284" s="74"/>
      <x:c r="M284" s="74"/>
      <x:c r="N284" s="74"/>
      <x:c r="O284" s="91"/>
      <x:c r="P284" s="91"/>
      <x:c r="Q284" s="85"/>
      <x:c r="R284" s="85"/>
      <x:c r="S284" s="85"/>
      <x:c r="T284" s="85"/>
      <x:c r="U284" s="85"/>
      <x:c r="V284" s="85"/>
      <x:c r="W284" s="85"/>
      <x:c r="Y284" s="86"/>
      <x:c r="Z284" s="86"/>
      <x:c r="AA284" s="32"/>
    </x:row>
    <x:row r="285">
      <x:c r="A285" s="87"/>
      <x:c r="B285" s="88"/>
      <x:c r="D285" s="32"/>
      <x:c r="I285" s="74"/>
      <x:c r="J285" s="74"/>
      <x:c r="K285" s="74"/>
      <x:c r="L285" s="74"/>
      <x:c r="M285" s="74"/>
      <x:c r="N285" s="74"/>
      <x:c r="O285" s="91"/>
      <x:c r="P285" s="91"/>
      <x:c r="Q285" s="85"/>
      <x:c r="R285" s="85"/>
      <x:c r="S285" s="85"/>
      <x:c r="T285" s="85"/>
      <x:c r="U285" s="85"/>
      <x:c r="V285" s="85"/>
      <x:c r="W285" s="85"/>
      <x:c r="Y285" s="86"/>
      <x:c r="Z285" s="86"/>
      <x:c r="AA285" s="32"/>
    </x:row>
    <x:row r="286">
      <x:c r="A286" s="87"/>
      <x:c r="B286" s="88"/>
      <x:c r="D286" s="32"/>
      <x:c r="I286" s="74"/>
      <x:c r="J286" s="74"/>
      <x:c r="K286" s="74"/>
      <x:c r="L286" s="74"/>
      <x:c r="M286" s="74"/>
      <x:c r="N286" s="74"/>
      <x:c r="O286" s="91"/>
      <x:c r="P286" s="91"/>
      <x:c r="Q286" s="85"/>
      <x:c r="R286" s="85"/>
      <x:c r="S286" s="85"/>
      <x:c r="T286" s="85"/>
      <x:c r="U286" s="85"/>
      <x:c r="V286" s="85"/>
      <x:c r="W286" s="85"/>
      <x:c r="Y286" s="86"/>
      <x:c r="Z286" s="86"/>
      <x:c r="AA286" s="32"/>
    </x:row>
    <x:row r="287">
      <x:c r="A287" s="87"/>
      <x:c r="B287" s="88"/>
      <x:c r="D287" s="32"/>
      <x:c r="I287" s="74"/>
      <x:c r="J287" s="74"/>
      <x:c r="K287" s="74"/>
      <x:c r="L287" s="74"/>
      <x:c r="M287" s="74"/>
      <x:c r="N287" s="74"/>
      <x:c r="O287" s="91"/>
      <x:c r="P287" s="91"/>
      <x:c r="Q287" s="85"/>
      <x:c r="R287" s="85"/>
      <x:c r="S287" s="85"/>
      <x:c r="T287" s="85"/>
      <x:c r="U287" s="85"/>
      <x:c r="V287" s="85"/>
      <x:c r="W287" s="85"/>
      <x:c r="Y287" s="86"/>
      <x:c r="Z287" s="86"/>
      <x:c r="AA287" s="32"/>
    </x:row>
    <x:row r="288">
      <x:c r="A288" s="87"/>
      <x:c r="B288" s="88"/>
      <x:c r="D288" s="32"/>
      <x:c r="I288" s="74"/>
      <x:c r="J288" s="74"/>
      <x:c r="K288" s="74"/>
      <x:c r="L288" s="74"/>
      <x:c r="M288" s="74"/>
      <x:c r="N288" s="74"/>
      <x:c r="O288" s="91"/>
      <x:c r="P288" s="91"/>
      <x:c r="Q288" s="85"/>
      <x:c r="R288" s="85"/>
      <x:c r="S288" s="85"/>
      <x:c r="T288" s="85"/>
      <x:c r="U288" s="85"/>
      <x:c r="V288" s="85"/>
      <x:c r="W288" s="85"/>
      <x:c r="Y288" s="86"/>
      <x:c r="Z288" s="86"/>
      <x:c r="AA288" s="32"/>
    </x:row>
    <x:row r="289">
      <x:c r="A289" s="87"/>
      <x:c r="B289" s="88"/>
      <x:c r="D289" s="32"/>
      <x:c r="I289" s="74"/>
      <x:c r="J289" s="74"/>
      <x:c r="K289" s="74"/>
      <x:c r="L289" s="74"/>
      <x:c r="M289" s="74"/>
      <x:c r="N289" s="74"/>
      <x:c r="O289" s="91"/>
      <x:c r="P289" s="91"/>
      <x:c r="Q289" s="85"/>
      <x:c r="R289" s="85"/>
      <x:c r="S289" s="85"/>
      <x:c r="T289" s="85"/>
      <x:c r="U289" s="85"/>
      <x:c r="V289" s="85"/>
      <x:c r="W289" s="85"/>
      <x:c r="Y289" s="86"/>
      <x:c r="Z289" s="86"/>
      <x:c r="AA289" s="32"/>
    </x:row>
    <x:row r="290">
      <x:c r="A290" s="87"/>
      <x:c r="B290" s="88"/>
      <x:c r="D290" s="32"/>
      <x:c r="I290" s="74"/>
      <x:c r="J290" s="74"/>
      <x:c r="K290" s="74"/>
      <x:c r="L290" s="74"/>
      <x:c r="M290" s="74"/>
      <x:c r="N290" s="74"/>
      <x:c r="O290" s="91"/>
      <x:c r="P290" s="91"/>
      <x:c r="Q290" s="85"/>
      <x:c r="R290" s="85"/>
      <x:c r="S290" s="85"/>
      <x:c r="T290" s="85"/>
      <x:c r="U290" s="85"/>
      <x:c r="V290" s="85"/>
      <x:c r="W290" s="85"/>
      <x:c r="Y290" s="86"/>
      <x:c r="Z290" s="86"/>
      <x:c r="AA290" s="32"/>
    </x:row>
    <x:row r="291">
      <x:c r="A291" s="87"/>
      <x:c r="B291" s="88"/>
      <x:c r="D291" s="32"/>
      <x:c r="I291" s="74"/>
      <x:c r="J291" s="74"/>
      <x:c r="K291" s="74"/>
      <x:c r="L291" s="74"/>
      <x:c r="M291" s="74"/>
      <x:c r="N291" s="74"/>
      <x:c r="O291" s="91"/>
      <x:c r="P291" s="91"/>
      <x:c r="Q291" s="85"/>
      <x:c r="R291" s="85"/>
      <x:c r="S291" s="85"/>
      <x:c r="T291" s="85"/>
      <x:c r="U291" s="85"/>
      <x:c r="V291" s="85"/>
      <x:c r="W291" s="85"/>
      <x:c r="Y291" s="86"/>
      <x:c r="Z291" s="86"/>
      <x:c r="AA291" s="32"/>
    </x:row>
    <x:row r="292">
      <x:c r="A292" s="87"/>
      <x:c r="B292" s="88"/>
      <x:c r="D292" s="32"/>
      <x:c r="I292" s="74"/>
      <x:c r="J292" s="74"/>
      <x:c r="K292" s="74"/>
      <x:c r="L292" s="74"/>
      <x:c r="M292" s="74"/>
      <x:c r="N292" s="74"/>
      <x:c r="O292" s="91"/>
      <x:c r="P292" s="91"/>
      <x:c r="Q292" s="85"/>
      <x:c r="R292" s="85"/>
      <x:c r="S292" s="85"/>
      <x:c r="T292" s="85"/>
      <x:c r="U292" s="85"/>
      <x:c r="V292" s="85"/>
      <x:c r="W292" s="85"/>
      <x:c r="Y292" s="86"/>
      <x:c r="Z292" s="86"/>
      <x:c r="AA292" s="32"/>
    </x:row>
    <x:row r="293">
      <x:c r="A293" s="87"/>
      <x:c r="B293" s="88"/>
      <x:c r="D293" s="32"/>
      <x:c r="I293" s="74"/>
      <x:c r="J293" s="74"/>
      <x:c r="K293" s="74"/>
      <x:c r="L293" s="74"/>
      <x:c r="M293" s="74"/>
      <x:c r="N293" s="74"/>
      <x:c r="O293" s="91"/>
      <x:c r="P293" s="91"/>
      <x:c r="Q293" s="85"/>
      <x:c r="R293" s="85"/>
      <x:c r="S293" s="85"/>
      <x:c r="T293" s="85"/>
      <x:c r="U293" s="85"/>
      <x:c r="V293" s="85"/>
      <x:c r="W293" s="85"/>
      <x:c r="Y293" s="86"/>
      <x:c r="Z293" s="86"/>
      <x:c r="AA293" s="32"/>
    </x:row>
    <x:row r="294">
      <x:c r="A294" s="87"/>
      <x:c r="B294" s="88"/>
      <x:c r="D294" s="32"/>
      <x:c r="I294" s="74"/>
      <x:c r="J294" s="74"/>
      <x:c r="K294" s="74"/>
      <x:c r="L294" s="74"/>
      <x:c r="M294" s="74"/>
      <x:c r="N294" s="74"/>
      <x:c r="O294" s="91"/>
      <x:c r="P294" s="91"/>
      <x:c r="Q294" s="85"/>
      <x:c r="R294" s="85"/>
      <x:c r="S294" s="85"/>
      <x:c r="T294" s="85"/>
      <x:c r="U294" s="85"/>
      <x:c r="V294" s="85"/>
      <x:c r="W294" s="85"/>
      <x:c r="Y294" s="86"/>
      <x:c r="Z294" s="86"/>
      <x:c r="AA294" s="32"/>
    </x:row>
    <x:row r="295">
      <x:c r="A295" s="87"/>
      <x:c r="B295" s="88"/>
      <x:c r="D295" s="32"/>
      <x:c r="I295" s="74"/>
      <x:c r="J295" s="74"/>
      <x:c r="K295" s="74"/>
      <x:c r="L295" s="74"/>
      <x:c r="M295" s="74"/>
      <x:c r="N295" s="74"/>
      <x:c r="O295" s="91"/>
      <x:c r="P295" s="91"/>
      <x:c r="Q295" s="85"/>
      <x:c r="R295" s="85"/>
      <x:c r="S295" s="85"/>
      <x:c r="T295" s="85"/>
      <x:c r="U295" s="85"/>
      <x:c r="V295" s="85"/>
      <x:c r="W295" s="85"/>
      <x:c r="Y295" s="86"/>
      <x:c r="Z295" s="86"/>
      <x:c r="AA295" s="32"/>
    </x:row>
    <x:row r="296">
      <x:c r="A296" s="87"/>
      <x:c r="B296" s="88"/>
      <x:c r="D296" s="32"/>
      <x:c r="I296" s="74"/>
      <x:c r="J296" s="74"/>
      <x:c r="K296" s="74"/>
      <x:c r="L296" s="74"/>
      <x:c r="M296" s="74"/>
      <x:c r="N296" s="74"/>
      <x:c r="O296" s="91"/>
      <x:c r="P296" s="91"/>
      <x:c r="Q296" s="85"/>
      <x:c r="R296" s="85"/>
      <x:c r="S296" s="85"/>
      <x:c r="T296" s="85"/>
      <x:c r="U296" s="85"/>
      <x:c r="V296" s="85"/>
      <x:c r="W296" s="85"/>
      <x:c r="Y296" s="86"/>
      <x:c r="Z296" s="86"/>
      <x:c r="AA296" s="32"/>
    </x:row>
    <x:row r="297">
      <x:c r="A297" s="87"/>
      <x:c r="B297" s="88"/>
      <x:c r="D297" s="32"/>
      <x:c r="I297" s="74"/>
      <x:c r="J297" s="74"/>
      <x:c r="K297" s="74"/>
      <x:c r="L297" s="74"/>
      <x:c r="M297" s="74"/>
      <x:c r="N297" s="74"/>
      <x:c r="O297" s="91"/>
      <x:c r="P297" s="91"/>
      <x:c r="Q297" s="85"/>
      <x:c r="R297" s="85"/>
      <x:c r="S297" s="85"/>
      <x:c r="T297" s="85"/>
      <x:c r="U297" s="85"/>
      <x:c r="V297" s="85"/>
      <x:c r="W297" s="85"/>
      <x:c r="Y297" s="86"/>
      <x:c r="Z297" s="86"/>
      <x:c r="AA297" s="32"/>
    </x:row>
    <x:row r="298">
      <x:c r="A298" s="87"/>
      <x:c r="B298" s="88"/>
      <x:c r="D298" s="32"/>
      <x:c r="I298" s="74"/>
      <x:c r="J298" s="74"/>
      <x:c r="K298" s="74"/>
      <x:c r="L298" s="74"/>
      <x:c r="M298" s="74"/>
      <x:c r="N298" s="74"/>
      <x:c r="O298" s="91"/>
      <x:c r="P298" s="91"/>
      <x:c r="Q298" s="85"/>
      <x:c r="R298" s="85"/>
      <x:c r="S298" s="85"/>
      <x:c r="T298" s="85"/>
      <x:c r="U298" s="85"/>
      <x:c r="V298" s="85"/>
      <x:c r="W298" s="85"/>
      <x:c r="Y298" s="86"/>
      <x:c r="Z298" s="86"/>
      <x:c r="AA298" s="32"/>
    </x:row>
    <x:row r="299">
      <x:c r="A299" s="87"/>
      <x:c r="B299" s="88"/>
      <x:c r="D299" s="32"/>
      <x:c r="I299" s="74"/>
      <x:c r="J299" s="74"/>
      <x:c r="K299" s="74"/>
      <x:c r="L299" s="74"/>
      <x:c r="M299" s="74"/>
      <x:c r="N299" s="74"/>
      <x:c r="O299" s="91"/>
      <x:c r="P299" s="91"/>
      <x:c r="Q299" s="85"/>
      <x:c r="R299" s="85"/>
      <x:c r="S299" s="85"/>
      <x:c r="T299" s="85"/>
      <x:c r="U299" s="85"/>
      <x:c r="V299" s="85"/>
      <x:c r="W299" s="85"/>
      <x:c r="Y299" s="86"/>
      <x:c r="Z299" s="86"/>
      <x:c r="AA299" s="32"/>
    </x:row>
    <x:row r="300">
      <x:c r="A300" s="87"/>
      <x:c r="B300" s="88"/>
      <x:c r="D300" s="32"/>
      <x:c r="I300" s="74"/>
      <x:c r="J300" s="74"/>
      <x:c r="K300" s="74"/>
      <x:c r="L300" s="74"/>
      <x:c r="M300" s="74"/>
      <x:c r="N300" s="74"/>
      <x:c r="O300" s="91"/>
      <x:c r="P300" s="91"/>
      <x:c r="Q300" s="85"/>
      <x:c r="R300" s="85"/>
      <x:c r="S300" s="85"/>
      <x:c r="T300" s="85"/>
      <x:c r="U300" s="85"/>
      <x:c r="V300" s="85"/>
      <x:c r="W300" s="85"/>
      <x:c r="Y300" s="86"/>
      <x:c r="Z300" s="86"/>
      <x:c r="AA300" s="32"/>
    </x:row>
    <x:row r="301">
      <x:c r="A301" s="87"/>
      <x:c r="B301" s="88"/>
      <x:c r="D301" s="32"/>
      <x:c r="I301" s="74"/>
      <x:c r="J301" s="74"/>
      <x:c r="K301" s="74"/>
      <x:c r="L301" s="74"/>
      <x:c r="M301" s="74"/>
      <x:c r="N301" s="74"/>
      <x:c r="O301" s="91"/>
      <x:c r="P301" s="91"/>
      <x:c r="Q301" s="85"/>
      <x:c r="R301" s="85"/>
      <x:c r="S301" s="85"/>
      <x:c r="T301" s="85"/>
      <x:c r="U301" s="85"/>
      <x:c r="V301" s="85"/>
      <x:c r="W301" s="85"/>
      <x:c r="Y301" s="86"/>
      <x:c r="Z301" s="86"/>
      <x:c r="AA301" s="32"/>
    </x:row>
    <x:row r="302">
      <x:c r="A302" s="87"/>
      <x:c r="B302" s="88"/>
      <x:c r="D302" s="32"/>
      <x:c r="I302" s="74"/>
      <x:c r="J302" s="74"/>
      <x:c r="K302" s="74"/>
      <x:c r="L302" s="74"/>
      <x:c r="M302" s="74"/>
      <x:c r="N302" s="74"/>
      <x:c r="O302" s="91"/>
      <x:c r="P302" s="91"/>
      <x:c r="Q302" s="85"/>
      <x:c r="R302" s="85"/>
      <x:c r="S302" s="85"/>
      <x:c r="T302" s="85"/>
      <x:c r="U302" s="85"/>
      <x:c r="V302" s="85"/>
      <x:c r="W302" s="85"/>
      <x:c r="Y302" s="86"/>
      <x:c r="Z302" s="86"/>
      <x:c r="AA302" s="32"/>
    </x:row>
    <x:row r="303">
      <x:c r="A303" s="87"/>
      <x:c r="B303" s="88"/>
      <x:c r="D303" s="32"/>
      <x:c r="I303" s="74"/>
      <x:c r="J303" s="74"/>
      <x:c r="K303" s="74"/>
      <x:c r="L303" s="74"/>
      <x:c r="M303" s="74"/>
      <x:c r="N303" s="74"/>
      <x:c r="O303" s="91"/>
      <x:c r="P303" s="91"/>
      <x:c r="Q303" s="85"/>
      <x:c r="R303" s="85"/>
      <x:c r="S303" s="85"/>
      <x:c r="T303" s="85"/>
      <x:c r="U303" s="85"/>
      <x:c r="V303" s="85"/>
      <x:c r="W303" s="85"/>
      <x:c r="Y303" s="86"/>
      <x:c r="Z303" s="86"/>
      <x:c r="AA303" s="32"/>
    </x:row>
    <x:row r="304">
      <x:c r="A304" s="87"/>
      <x:c r="B304" s="88"/>
      <x:c r="D304" s="32"/>
      <x:c r="I304" s="74"/>
      <x:c r="J304" s="74"/>
      <x:c r="K304" s="74"/>
      <x:c r="L304" s="74"/>
      <x:c r="M304" s="74"/>
      <x:c r="N304" s="74"/>
      <x:c r="O304" s="91"/>
      <x:c r="P304" s="91"/>
      <x:c r="Q304" s="85"/>
      <x:c r="R304" s="85"/>
      <x:c r="S304" s="85"/>
      <x:c r="T304" s="85"/>
      <x:c r="U304" s="85"/>
      <x:c r="V304" s="85"/>
      <x:c r="W304" s="85"/>
      <x:c r="Y304" s="86"/>
      <x:c r="Z304" s="86"/>
      <x:c r="AA304" s="32"/>
    </x:row>
    <x:row r="305">
      <x:c r="A305" s="87"/>
      <x:c r="B305" s="88"/>
      <x:c r="D305" s="32"/>
      <x:c r="I305" s="74"/>
      <x:c r="J305" s="74"/>
      <x:c r="K305" s="74"/>
      <x:c r="L305" s="74"/>
      <x:c r="M305" s="74"/>
      <x:c r="N305" s="74"/>
      <x:c r="O305" s="91"/>
      <x:c r="P305" s="91"/>
      <x:c r="Q305" s="85"/>
      <x:c r="R305" s="85"/>
      <x:c r="S305" s="85"/>
      <x:c r="T305" s="85"/>
      <x:c r="U305" s="85"/>
      <x:c r="V305" s="85"/>
      <x:c r="W305" s="85"/>
      <x:c r="Y305" s="86"/>
      <x:c r="Z305" s="86"/>
      <x:c r="AA305" s="32"/>
    </x:row>
    <x:row r="306">
      <x:c r="A306" s="87"/>
      <x:c r="B306" s="88"/>
      <x:c r="D306" s="32"/>
      <x:c r="I306" s="74"/>
      <x:c r="J306" s="74"/>
      <x:c r="K306" s="74"/>
      <x:c r="L306" s="74"/>
      <x:c r="M306" s="74"/>
      <x:c r="N306" s="74"/>
      <x:c r="O306" s="91"/>
      <x:c r="P306" s="91"/>
      <x:c r="Q306" s="85"/>
      <x:c r="R306" s="85"/>
      <x:c r="S306" s="85"/>
      <x:c r="T306" s="85"/>
      <x:c r="U306" s="85"/>
      <x:c r="V306" s="85"/>
      <x:c r="W306" s="85"/>
      <x:c r="Y306" s="86"/>
      <x:c r="Z306" s="86"/>
      <x:c r="AA306" s="32"/>
    </x:row>
    <x:row r="307">
      <x:c r="A307" s="87"/>
      <x:c r="B307" s="88"/>
      <x:c r="D307" s="32"/>
      <x:c r="I307" s="74"/>
      <x:c r="J307" s="74"/>
      <x:c r="K307" s="74"/>
      <x:c r="L307" s="74"/>
      <x:c r="M307" s="74"/>
      <x:c r="N307" s="74"/>
      <x:c r="O307" s="91"/>
      <x:c r="P307" s="91"/>
      <x:c r="Q307" s="85"/>
      <x:c r="R307" s="85"/>
      <x:c r="S307" s="85"/>
      <x:c r="T307" s="85"/>
      <x:c r="U307" s="85"/>
      <x:c r="V307" s="85"/>
      <x:c r="W307" s="85"/>
      <x:c r="Y307" s="86"/>
      <x:c r="Z307" s="86"/>
      <x:c r="AA307" s="32"/>
    </x:row>
    <x:row r="308">
      <x:c r="A308" s="87"/>
      <x:c r="B308" s="88"/>
      <x:c r="D308" s="32"/>
      <x:c r="I308" s="74"/>
      <x:c r="J308" s="74"/>
      <x:c r="K308" s="74"/>
      <x:c r="L308" s="74"/>
      <x:c r="M308" s="74"/>
      <x:c r="N308" s="74"/>
      <x:c r="O308" s="91"/>
      <x:c r="P308" s="91"/>
      <x:c r="Q308" s="85"/>
      <x:c r="R308" s="85"/>
      <x:c r="S308" s="85"/>
      <x:c r="T308" s="85"/>
      <x:c r="U308" s="85"/>
      <x:c r="V308" s="85"/>
      <x:c r="W308" s="85"/>
      <x:c r="Y308" s="86"/>
      <x:c r="Z308" s="86"/>
      <x:c r="AA308" s="32"/>
    </x:row>
    <x:row r="309">
      <x:c r="A309" s="87"/>
      <x:c r="B309" s="88"/>
      <x:c r="D309" s="32"/>
      <x:c r="I309" s="74"/>
      <x:c r="J309" s="74"/>
      <x:c r="K309" s="74"/>
      <x:c r="L309" s="74"/>
      <x:c r="M309" s="74"/>
      <x:c r="N309" s="74"/>
      <x:c r="O309" s="91"/>
      <x:c r="P309" s="91"/>
      <x:c r="Q309" s="85"/>
      <x:c r="R309" s="85"/>
      <x:c r="S309" s="85"/>
      <x:c r="T309" s="85"/>
      <x:c r="U309" s="85"/>
      <x:c r="V309" s="85"/>
      <x:c r="W309" s="85"/>
      <x:c r="Y309" s="86"/>
      <x:c r="Z309" s="86"/>
      <x:c r="AA309" s="32"/>
    </x:row>
    <x:row r="310">
      <x:c r="A310" s="87"/>
      <x:c r="B310" s="88"/>
      <x:c r="D310" s="32"/>
      <x:c r="I310" s="74"/>
      <x:c r="J310" s="74"/>
      <x:c r="K310" s="74"/>
      <x:c r="L310" s="74"/>
      <x:c r="M310" s="74"/>
      <x:c r="N310" s="74"/>
      <x:c r="O310" s="91"/>
      <x:c r="P310" s="91"/>
      <x:c r="Q310" s="85"/>
      <x:c r="R310" s="85"/>
      <x:c r="S310" s="85"/>
      <x:c r="T310" s="85"/>
      <x:c r="U310" s="85"/>
      <x:c r="V310" s="85"/>
      <x:c r="W310" s="85"/>
      <x:c r="Y310" s="86"/>
      <x:c r="Z310" s="86"/>
      <x:c r="AA310" s="32"/>
    </x:row>
    <x:row r="311">
      <x:c r="A311" s="87"/>
      <x:c r="B311" s="88"/>
      <x:c r="D311" s="32"/>
      <x:c r="I311" s="74"/>
      <x:c r="J311" s="74"/>
      <x:c r="K311" s="74"/>
      <x:c r="L311" s="74"/>
      <x:c r="M311" s="74"/>
      <x:c r="N311" s="74"/>
      <x:c r="O311" s="91"/>
      <x:c r="P311" s="91"/>
      <x:c r="Q311" s="85"/>
      <x:c r="R311" s="85"/>
      <x:c r="S311" s="85"/>
      <x:c r="T311" s="85"/>
      <x:c r="U311" s="85"/>
      <x:c r="V311" s="85"/>
      <x:c r="W311" s="85"/>
      <x:c r="Y311" s="86"/>
      <x:c r="Z311" s="86"/>
      <x:c r="AA311" s="32"/>
    </x:row>
    <x:row r="312">
      <x:c r="A312" s="87"/>
      <x:c r="B312" s="88"/>
      <x:c r="D312" s="32"/>
      <x:c r="I312" s="74"/>
      <x:c r="J312" s="74"/>
      <x:c r="K312" s="74"/>
      <x:c r="L312" s="74"/>
      <x:c r="M312" s="74"/>
      <x:c r="N312" s="74"/>
      <x:c r="O312" s="91"/>
      <x:c r="P312" s="91"/>
      <x:c r="Q312" s="85"/>
      <x:c r="R312" s="85"/>
      <x:c r="S312" s="85"/>
      <x:c r="T312" s="85"/>
      <x:c r="U312" s="85"/>
      <x:c r="V312" s="85"/>
      <x:c r="W312" s="85"/>
      <x:c r="Y312" s="86"/>
      <x:c r="Z312" s="86"/>
      <x:c r="AA312" s="32"/>
    </x:row>
    <x:row r="313">
      <x:c r="A313" s="87"/>
      <x:c r="B313" s="88"/>
      <x:c r="D313" s="32"/>
      <x:c r="I313" s="74"/>
      <x:c r="J313" s="74"/>
      <x:c r="K313" s="74"/>
      <x:c r="L313" s="74"/>
      <x:c r="M313" s="74"/>
      <x:c r="N313" s="74"/>
      <x:c r="O313" s="91"/>
      <x:c r="P313" s="91"/>
      <x:c r="Q313" s="85"/>
      <x:c r="R313" s="85"/>
      <x:c r="S313" s="85"/>
      <x:c r="T313" s="85"/>
      <x:c r="U313" s="85"/>
      <x:c r="V313" s="85"/>
      <x:c r="W313" s="85"/>
      <x:c r="Y313" s="86"/>
      <x:c r="Z313" s="86"/>
      <x:c r="AA313" s="32"/>
    </x:row>
    <x:row r="314">
      <x:c r="A314" s="87"/>
      <x:c r="B314" s="88"/>
      <x:c r="D314" s="32"/>
      <x:c r="I314" s="74"/>
      <x:c r="J314" s="74"/>
      <x:c r="K314" s="74"/>
      <x:c r="L314" s="74"/>
      <x:c r="M314" s="74"/>
      <x:c r="N314" s="74"/>
      <x:c r="O314" s="91"/>
      <x:c r="P314" s="91"/>
      <x:c r="Q314" s="85"/>
      <x:c r="R314" s="85"/>
      <x:c r="S314" s="85"/>
      <x:c r="T314" s="85"/>
      <x:c r="U314" s="85"/>
      <x:c r="V314" s="85"/>
      <x:c r="W314" s="85"/>
      <x:c r="Y314" s="86"/>
      <x:c r="Z314" s="86"/>
      <x:c r="AA314" s="32"/>
    </x:row>
    <x:row r="315">
      <x:c r="A315" s="87"/>
      <x:c r="B315" s="88"/>
      <x:c r="D315" s="32"/>
      <x:c r="I315" s="74"/>
      <x:c r="J315" s="74"/>
      <x:c r="K315" s="74"/>
      <x:c r="L315" s="74"/>
      <x:c r="M315" s="74"/>
      <x:c r="N315" s="74"/>
      <x:c r="O315" s="91"/>
      <x:c r="P315" s="91"/>
      <x:c r="Q315" s="85"/>
      <x:c r="R315" s="85"/>
      <x:c r="S315" s="85"/>
      <x:c r="T315" s="85"/>
      <x:c r="U315" s="85"/>
      <x:c r="V315" s="85"/>
      <x:c r="W315" s="85"/>
      <x:c r="Y315" s="86"/>
      <x:c r="Z315" s="86"/>
      <x:c r="AA315" s="32"/>
    </x:row>
    <x:row r="316">
      <x:c r="A316" s="87"/>
      <x:c r="B316" s="88"/>
      <x:c r="D316" s="32"/>
      <x:c r="I316" s="74"/>
      <x:c r="J316" s="74"/>
      <x:c r="K316" s="74"/>
      <x:c r="L316" s="74"/>
      <x:c r="M316" s="74"/>
      <x:c r="N316" s="74"/>
      <x:c r="O316" s="91"/>
      <x:c r="P316" s="91"/>
      <x:c r="Q316" s="85"/>
      <x:c r="R316" s="85"/>
      <x:c r="S316" s="85"/>
      <x:c r="T316" s="85"/>
      <x:c r="U316" s="85"/>
      <x:c r="V316" s="85"/>
      <x:c r="W316" s="85"/>
      <x:c r="Y316" s="86"/>
      <x:c r="Z316" s="86"/>
      <x:c r="AA316" s="32"/>
    </x:row>
    <x:row r="317">
      <x:c r="A317" s="87"/>
      <x:c r="B317" s="88"/>
      <x:c r="D317" s="32"/>
      <x:c r="I317" s="74"/>
      <x:c r="J317" s="74"/>
      <x:c r="K317" s="74"/>
      <x:c r="L317" s="74"/>
      <x:c r="M317" s="74"/>
      <x:c r="N317" s="74"/>
      <x:c r="O317" s="91"/>
      <x:c r="P317" s="91"/>
      <x:c r="Q317" s="85"/>
      <x:c r="R317" s="85"/>
      <x:c r="S317" s="85"/>
      <x:c r="T317" s="85"/>
      <x:c r="U317" s="85"/>
      <x:c r="V317" s="85"/>
      <x:c r="W317" s="85"/>
      <x:c r="Y317" s="86"/>
      <x:c r="Z317" s="86"/>
      <x:c r="AA317" s="32"/>
    </x:row>
    <x:row r="318">
      <x:c r="A318" s="87"/>
      <x:c r="B318" s="88"/>
      <x:c r="D318" s="32"/>
      <x:c r="I318" s="74"/>
      <x:c r="J318" s="74"/>
      <x:c r="K318" s="74"/>
      <x:c r="L318" s="74"/>
      <x:c r="M318" s="74"/>
      <x:c r="N318" s="74"/>
      <x:c r="O318" s="91"/>
      <x:c r="P318" s="91"/>
      <x:c r="Q318" s="85"/>
      <x:c r="R318" s="85"/>
      <x:c r="S318" s="85"/>
      <x:c r="T318" s="85"/>
      <x:c r="U318" s="85"/>
      <x:c r="V318" s="85"/>
      <x:c r="W318" s="85"/>
      <x:c r="Y318" s="86"/>
      <x:c r="Z318" s="86"/>
      <x:c r="AA318" s="32"/>
    </x:row>
    <x:row r="319">
      <x:c r="A319" s="87"/>
      <x:c r="B319" s="88"/>
      <x:c r="D319" s="32"/>
      <x:c r="I319" s="74"/>
      <x:c r="J319" s="74"/>
      <x:c r="K319" s="74"/>
      <x:c r="L319" s="74"/>
      <x:c r="M319" s="74"/>
      <x:c r="N319" s="74"/>
      <x:c r="O319" s="91"/>
      <x:c r="P319" s="91"/>
      <x:c r="Q319" s="85"/>
      <x:c r="R319" s="85"/>
      <x:c r="S319" s="85"/>
      <x:c r="T319" s="85"/>
      <x:c r="U319" s="85"/>
      <x:c r="V319" s="85"/>
      <x:c r="W319" s="85"/>
      <x:c r="Y319" s="86"/>
      <x:c r="Z319" s="86"/>
      <x:c r="AA319" s="32"/>
    </x:row>
    <x:row r="320">
      <x:c r="A320" s="87"/>
      <x:c r="B320" s="88"/>
      <x:c r="D320" s="32"/>
      <x:c r="I320" s="74"/>
      <x:c r="J320" s="74"/>
      <x:c r="K320" s="74"/>
      <x:c r="L320" s="74"/>
      <x:c r="M320" s="74"/>
      <x:c r="N320" s="74"/>
      <x:c r="O320" s="91"/>
      <x:c r="P320" s="91"/>
      <x:c r="Q320" s="85"/>
      <x:c r="R320" s="85"/>
      <x:c r="S320" s="85"/>
      <x:c r="T320" s="85"/>
      <x:c r="U320" s="85"/>
      <x:c r="V320" s="85"/>
      <x:c r="W320" s="85"/>
      <x:c r="Y320" s="86"/>
      <x:c r="Z320" s="86"/>
      <x:c r="AA320" s="32"/>
    </x:row>
    <x:row r="321">
      <x:c r="A321" s="87"/>
      <x:c r="B321" s="88"/>
      <x:c r="D321" s="32"/>
      <x:c r="I321" s="74"/>
      <x:c r="J321" s="74"/>
      <x:c r="K321" s="74"/>
      <x:c r="L321" s="74"/>
      <x:c r="M321" s="74"/>
      <x:c r="N321" s="74"/>
      <x:c r="O321" s="91"/>
      <x:c r="P321" s="91"/>
      <x:c r="Q321" s="85"/>
      <x:c r="R321" s="85"/>
      <x:c r="S321" s="85"/>
      <x:c r="T321" s="85"/>
      <x:c r="U321" s="85"/>
      <x:c r="V321" s="85"/>
      <x:c r="W321" s="85"/>
      <x:c r="Y321" s="86"/>
      <x:c r="Z321" s="86"/>
      <x:c r="AA321" s="32"/>
    </x:row>
    <x:row r="322">
      <x:c r="A322" s="87"/>
      <x:c r="B322" s="88"/>
      <x:c r="D322" s="32"/>
      <x:c r="I322" s="74"/>
      <x:c r="J322" s="74"/>
      <x:c r="K322" s="74"/>
      <x:c r="L322" s="74"/>
      <x:c r="M322" s="74"/>
      <x:c r="N322" s="74"/>
      <x:c r="O322" s="91"/>
      <x:c r="P322" s="91"/>
      <x:c r="Q322" s="85"/>
      <x:c r="R322" s="85"/>
      <x:c r="S322" s="85"/>
      <x:c r="T322" s="85"/>
      <x:c r="U322" s="85"/>
      <x:c r="V322" s="85"/>
      <x:c r="W322" s="85"/>
      <x:c r="Y322" s="86"/>
      <x:c r="Z322" s="86"/>
      <x:c r="AA322" s="32"/>
    </x:row>
    <x:row r="323">
      <x:c r="A323" s="87"/>
      <x:c r="B323" s="88"/>
      <x:c r="D323" s="32"/>
      <x:c r="I323" s="74"/>
      <x:c r="J323" s="74"/>
      <x:c r="K323" s="74"/>
      <x:c r="L323" s="74"/>
      <x:c r="M323" s="74"/>
      <x:c r="N323" s="74"/>
      <x:c r="O323" s="91"/>
      <x:c r="P323" s="91"/>
      <x:c r="Q323" s="85"/>
      <x:c r="R323" s="85"/>
      <x:c r="S323" s="85"/>
      <x:c r="T323" s="85"/>
      <x:c r="U323" s="85"/>
      <x:c r="V323" s="85"/>
      <x:c r="W323" s="85"/>
      <x:c r="Y323" s="86"/>
      <x:c r="Z323" s="86"/>
      <x:c r="AA323" s="32"/>
    </x:row>
    <x:row r="324">
      <x:c r="A324" s="87"/>
      <x:c r="B324" s="88"/>
      <x:c r="D324" s="32"/>
      <x:c r="I324" s="74"/>
      <x:c r="J324" s="74"/>
      <x:c r="K324" s="74"/>
      <x:c r="L324" s="74"/>
      <x:c r="M324" s="74"/>
      <x:c r="N324" s="74"/>
      <x:c r="O324" s="91"/>
      <x:c r="P324" s="91"/>
      <x:c r="Q324" s="85"/>
      <x:c r="R324" s="85"/>
      <x:c r="S324" s="85"/>
      <x:c r="T324" s="85"/>
      <x:c r="U324" s="85"/>
      <x:c r="V324" s="85"/>
      <x:c r="W324" s="85"/>
      <x:c r="Y324" s="86"/>
      <x:c r="Z324" s="86"/>
      <x:c r="AA324" s="32"/>
    </x:row>
    <x:row r="325">
      <x:c r="A325" s="87"/>
      <x:c r="B325" s="88"/>
      <x:c r="D325" s="32"/>
      <x:c r="I325" s="74"/>
      <x:c r="J325" s="74"/>
      <x:c r="K325" s="74"/>
      <x:c r="L325" s="74"/>
      <x:c r="M325" s="74"/>
      <x:c r="N325" s="74"/>
      <x:c r="O325" s="91"/>
      <x:c r="P325" s="91"/>
      <x:c r="Q325" s="85"/>
      <x:c r="R325" s="85"/>
      <x:c r="S325" s="85"/>
      <x:c r="T325" s="85"/>
      <x:c r="U325" s="85"/>
      <x:c r="V325" s="85"/>
      <x:c r="W325" s="85"/>
      <x:c r="Y325" s="86"/>
      <x:c r="Z325" s="86"/>
      <x:c r="AA325" s="32"/>
    </x:row>
    <x:row r="326">
      <x:c r="A326" s="87"/>
      <x:c r="B326" s="88"/>
      <x:c r="D326" s="32"/>
      <x:c r="I326" s="74"/>
      <x:c r="J326" s="74"/>
      <x:c r="K326" s="74"/>
      <x:c r="L326" s="74"/>
      <x:c r="M326" s="74"/>
      <x:c r="N326" s="74"/>
      <x:c r="O326" s="91"/>
      <x:c r="P326" s="91"/>
      <x:c r="Q326" s="85"/>
      <x:c r="R326" s="85"/>
      <x:c r="S326" s="85"/>
      <x:c r="T326" s="85"/>
      <x:c r="U326" s="85"/>
      <x:c r="V326" s="85"/>
      <x:c r="W326" s="85"/>
      <x:c r="Y326" s="86"/>
      <x:c r="Z326" s="86"/>
      <x:c r="AA326" s="32"/>
    </x:row>
    <x:row r="327">
      <x:c r="A327" s="87"/>
      <x:c r="B327" s="88"/>
      <x:c r="D327" s="32"/>
      <x:c r="I327" s="74"/>
      <x:c r="J327" s="74"/>
      <x:c r="K327" s="74"/>
      <x:c r="L327" s="74"/>
      <x:c r="M327" s="74"/>
      <x:c r="N327" s="74"/>
      <x:c r="O327" s="91"/>
      <x:c r="P327" s="91"/>
      <x:c r="Q327" s="85"/>
      <x:c r="R327" s="85"/>
      <x:c r="S327" s="85"/>
      <x:c r="T327" s="85"/>
      <x:c r="U327" s="85"/>
      <x:c r="V327" s="85"/>
      <x:c r="W327" s="85"/>
      <x:c r="Y327" s="86"/>
      <x:c r="Z327" s="86"/>
      <x:c r="AA327" s="32"/>
    </x:row>
    <x:row r="328">
      <x:c r="A328" s="87"/>
      <x:c r="B328" s="88"/>
      <x:c r="D328" s="32"/>
      <x:c r="I328" s="74"/>
      <x:c r="J328" s="74"/>
      <x:c r="K328" s="74"/>
      <x:c r="L328" s="74"/>
      <x:c r="M328" s="74"/>
      <x:c r="N328" s="74"/>
      <x:c r="O328" s="91"/>
      <x:c r="P328" s="91"/>
      <x:c r="Q328" s="85"/>
      <x:c r="R328" s="85"/>
      <x:c r="S328" s="85"/>
      <x:c r="T328" s="85"/>
      <x:c r="U328" s="85"/>
      <x:c r="V328" s="85"/>
      <x:c r="W328" s="85"/>
      <x:c r="Y328" s="86"/>
      <x:c r="Z328" s="86"/>
      <x:c r="AA328" s="32"/>
    </x:row>
    <x:row r="329">
      <x:c r="A329" s="87"/>
      <x:c r="B329" s="88"/>
      <x:c r="D329" s="32"/>
      <x:c r="I329" s="74"/>
      <x:c r="J329" s="74"/>
      <x:c r="K329" s="74"/>
      <x:c r="L329" s="74"/>
      <x:c r="M329" s="74"/>
      <x:c r="N329" s="74"/>
      <x:c r="O329" s="91"/>
      <x:c r="P329" s="91"/>
      <x:c r="Q329" s="85"/>
      <x:c r="R329" s="85"/>
      <x:c r="S329" s="85"/>
      <x:c r="T329" s="85"/>
      <x:c r="U329" s="85"/>
      <x:c r="V329" s="85"/>
      <x:c r="W329" s="85"/>
      <x:c r="Y329" s="86"/>
      <x:c r="Z329" s="86"/>
      <x:c r="AA329" s="32"/>
    </x:row>
    <x:row r="330">
      <x:c r="A330" s="87"/>
      <x:c r="B330" s="88"/>
      <x:c r="D330" s="32"/>
      <x:c r="I330" s="74"/>
      <x:c r="J330" s="74"/>
      <x:c r="K330" s="74"/>
      <x:c r="L330" s="74"/>
      <x:c r="M330" s="74"/>
      <x:c r="N330" s="74"/>
      <x:c r="O330" s="91"/>
      <x:c r="P330" s="91"/>
      <x:c r="Q330" s="85"/>
      <x:c r="R330" s="85"/>
      <x:c r="S330" s="85"/>
      <x:c r="T330" s="85"/>
      <x:c r="U330" s="85"/>
      <x:c r="V330" s="85"/>
      <x:c r="W330" s="85"/>
      <x:c r="Y330" s="86"/>
      <x:c r="Z330" s="86"/>
      <x:c r="AA330" s="32"/>
    </x:row>
    <x:row r="331">
      <x:c r="A331" s="87"/>
      <x:c r="B331" s="88"/>
      <x:c r="D331" s="32"/>
      <x:c r="I331" s="74"/>
      <x:c r="J331" s="74"/>
      <x:c r="K331" s="74"/>
      <x:c r="L331" s="74"/>
      <x:c r="M331" s="74"/>
      <x:c r="N331" s="74"/>
      <x:c r="O331" s="91"/>
      <x:c r="P331" s="91"/>
      <x:c r="Q331" s="85"/>
      <x:c r="R331" s="85"/>
      <x:c r="S331" s="85"/>
      <x:c r="T331" s="85"/>
      <x:c r="U331" s="85"/>
      <x:c r="V331" s="85"/>
      <x:c r="W331" s="85"/>
      <x:c r="Y331" s="86"/>
      <x:c r="Z331" s="86"/>
      <x:c r="AA331" s="32"/>
    </x:row>
    <x:row r="332">
      <x:c r="A332" s="87"/>
      <x:c r="B332" s="88"/>
      <x:c r="D332" s="32"/>
      <x:c r="I332" s="74"/>
      <x:c r="J332" s="74"/>
      <x:c r="K332" s="74"/>
      <x:c r="L332" s="74"/>
      <x:c r="M332" s="74"/>
      <x:c r="N332" s="74"/>
      <x:c r="O332" s="91"/>
      <x:c r="P332" s="91"/>
      <x:c r="Q332" s="85"/>
      <x:c r="R332" s="85"/>
      <x:c r="S332" s="85"/>
      <x:c r="T332" s="85"/>
      <x:c r="U332" s="85"/>
      <x:c r="V332" s="85"/>
      <x:c r="W332" s="85"/>
      <x:c r="Y332" s="86"/>
      <x:c r="Z332" s="86"/>
      <x:c r="AA332" s="32"/>
    </x:row>
    <x:row r="333">
      <x:c r="A333" s="87"/>
      <x:c r="B333" s="88"/>
      <x:c r="D333" s="32"/>
      <x:c r="I333" s="74"/>
      <x:c r="J333" s="74"/>
      <x:c r="K333" s="74"/>
      <x:c r="L333" s="74"/>
      <x:c r="M333" s="74"/>
      <x:c r="N333" s="74"/>
      <x:c r="O333" s="91"/>
      <x:c r="P333" s="91"/>
      <x:c r="Q333" s="85"/>
      <x:c r="R333" s="85"/>
      <x:c r="S333" s="85"/>
      <x:c r="T333" s="85"/>
      <x:c r="U333" s="85"/>
      <x:c r="V333" s="85"/>
      <x:c r="W333" s="85"/>
      <x:c r="Y333" s="86"/>
      <x:c r="Z333" s="86"/>
      <x:c r="AA333" s="32"/>
    </x:row>
    <x:row r="334">
      <x:c r="A334" s="87"/>
      <x:c r="B334" s="88"/>
      <x:c r="D334" s="32"/>
      <x:c r="I334" s="74"/>
      <x:c r="J334" s="74"/>
      <x:c r="K334" s="74"/>
      <x:c r="L334" s="74"/>
      <x:c r="M334" s="74"/>
      <x:c r="N334" s="74"/>
      <x:c r="O334" s="91"/>
      <x:c r="P334" s="91"/>
      <x:c r="Q334" s="85"/>
      <x:c r="R334" s="85"/>
      <x:c r="S334" s="85"/>
      <x:c r="T334" s="85"/>
      <x:c r="U334" s="85"/>
      <x:c r="V334" s="85"/>
      <x:c r="W334" s="85"/>
      <x:c r="Y334" s="86"/>
      <x:c r="Z334" s="86"/>
      <x:c r="AA334" s="32"/>
    </x:row>
    <x:row r="335">
      <x:c r="A335" s="87"/>
      <x:c r="B335" s="88"/>
      <x:c r="D335" s="32"/>
      <x:c r="I335" s="74"/>
      <x:c r="J335" s="74"/>
      <x:c r="K335" s="74"/>
      <x:c r="L335" s="74"/>
      <x:c r="M335" s="74"/>
      <x:c r="N335" s="74"/>
      <x:c r="O335" s="91"/>
      <x:c r="P335" s="91"/>
      <x:c r="Q335" s="85"/>
      <x:c r="R335" s="85"/>
      <x:c r="S335" s="85"/>
      <x:c r="T335" s="85"/>
      <x:c r="U335" s="85"/>
      <x:c r="V335" s="85"/>
      <x:c r="W335" s="85"/>
      <x:c r="Y335" s="86"/>
      <x:c r="Z335" s="86"/>
      <x:c r="AA335" s="32"/>
    </x:row>
    <x:row r="336">
      <x:c r="A336" s="87"/>
      <x:c r="B336" s="88"/>
      <x:c r="D336" s="32"/>
      <x:c r="I336" s="74"/>
      <x:c r="J336" s="74"/>
      <x:c r="K336" s="74"/>
      <x:c r="L336" s="74"/>
      <x:c r="M336" s="74"/>
      <x:c r="N336" s="74"/>
      <x:c r="O336" s="91"/>
      <x:c r="P336" s="91"/>
      <x:c r="Q336" s="85"/>
      <x:c r="R336" s="85"/>
      <x:c r="S336" s="85"/>
      <x:c r="T336" s="85"/>
      <x:c r="U336" s="85"/>
      <x:c r="V336" s="85"/>
      <x:c r="W336" s="85"/>
      <x:c r="Y336" s="86"/>
      <x:c r="Z336" s="86"/>
      <x:c r="AA336" s="32"/>
    </x:row>
    <x:row r="337">
      <x:c r="A337" s="87"/>
      <x:c r="B337" s="88"/>
      <x:c r="D337" s="32"/>
      <x:c r="I337" s="74"/>
      <x:c r="J337" s="74"/>
      <x:c r="K337" s="74"/>
      <x:c r="L337" s="74"/>
      <x:c r="M337" s="74"/>
      <x:c r="N337" s="74"/>
      <x:c r="O337" s="91"/>
      <x:c r="P337" s="91"/>
      <x:c r="Q337" s="85"/>
      <x:c r="R337" s="85"/>
      <x:c r="S337" s="85"/>
      <x:c r="T337" s="85"/>
      <x:c r="U337" s="85"/>
      <x:c r="V337" s="85"/>
      <x:c r="W337" s="85"/>
      <x:c r="Y337" s="86"/>
      <x:c r="Z337" s="86"/>
      <x:c r="AA337" s="32"/>
    </x:row>
    <x:row r="338">
      <x:c r="A338" s="87"/>
      <x:c r="B338" s="88"/>
      <x:c r="D338" s="32"/>
      <x:c r="I338" s="74"/>
      <x:c r="J338" s="74"/>
      <x:c r="K338" s="74"/>
      <x:c r="L338" s="74"/>
      <x:c r="M338" s="74"/>
      <x:c r="N338" s="74"/>
      <x:c r="O338" s="91"/>
      <x:c r="P338" s="91"/>
      <x:c r="Q338" s="85"/>
      <x:c r="R338" s="85"/>
      <x:c r="S338" s="85"/>
      <x:c r="T338" s="85"/>
      <x:c r="U338" s="85"/>
      <x:c r="V338" s="85"/>
      <x:c r="W338" s="85"/>
      <x:c r="Y338" s="86"/>
      <x:c r="Z338" s="86"/>
      <x:c r="AA338" s="32"/>
    </x:row>
    <x:row r="339">
      <x:c r="A339" s="87"/>
      <x:c r="B339" s="88"/>
      <x:c r="D339" s="32"/>
      <x:c r="I339" s="74"/>
      <x:c r="J339" s="74"/>
      <x:c r="K339" s="74"/>
      <x:c r="L339" s="74"/>
      <x:c r="M339" s="74"/>
      <x:c r="N339" s="74"/>
      <x:c r="O339" s="91"/>
      <x:c r="P339" s="91"/>
      <x:c r="Q339" s="85"/>
      <x:c r="R339" s="85"/>
      <x:c r="S339" s="85"/>
      <x:c r="T339" s="85"/>
      <x:c r="U339" s="85"/>
      <x:c r="V339" s="85"/>
      <x:c r="W339" s="85"/>
      <x:c r="Y339" s="86"/>
      <x:c r="Z339" s="86"/>
      <x:c r="AA339" s="32"/>
    </x:row>
    <x:row r="340">
      <x:c r="A340" s="87"/>
      <x:c r="B340" s="88"/>
      <x:c r="D340" s="32"/>
      <x:c r="I340" s="74"/>
      <x:c r="J340" s="74"/>
      <x:c r="K340" s="74"/>
      <x:c r="L340" s="74"/>
      <x:c r="M340" s="74"/>
      <x:c r="N340" s="74"/>
      <x:c r="O340" s="91"/>
      <x:c r="P340" s="91"/>
      <x:c r="Q340" s="85"/>
      <x:c r="R340" s="85"/>
      <x:c r="S340" s="85"/>
      <x:c r="T340" s="85"/>
      <x:c r="U340" s="85"/>
      <x:c r="V340" s="85"/>
      <x:c r="W340" s="85"/>
      <x:c r="Y340" s="86"/>
      <x:c r="Z340" s="86"/>
      <x:c r="AA340" s="32"/>
    </x:row>
    <x:row r="341">
      <x:c r="A341" s="87"/>
      <x:c r="B341" s="88"/>
      <x:c r="D341" s="32"/>
      <x:c r="I341" s="74"/>
      <x:c r="J341" s="74"/>
      <x:c r="K341" s="74"/>
      <x:c r="L341" s="74"/>
      <x:c r="M341" s="74"/>
      <x:c r="N341" s="74"/>
      <x:c r="O341" s="91"/>
      <x:c r="P341" s="91"/>
      <x:c r="Q341" s="85"/>
      <x:c r="R341" s="85"/>
      <x:c r="S341" s="85"/>
      <x:c r="T341" s="85"/>
      <x:c r="U341" s="85"/>
      <x:c r="V341" s="85"/>
      <x:c r="W341" s="85"/>
      <x:c r="Y341" s="86"/>
      <x:c r="Z341" s="86"/>
      <x:c r="AA341" s="32"/>
    </x:row>
    <x:row r="342">
      <x:c r="A342" s="87"/>
      <x:c r="B342" s="88"/>
      <x:c r="D342" s="32"/>
      <x:c r="I342" s="74"/>
      <x:c r="J342" s="74"/>
      <x:c r="K342" s="74"/>
      <x:c r="L342" s="74"/>
      <x:c r="M342" s="74"/>
      <x:c r="N342" s="74"/>
      <x:c r="O342" s="91"/>
      <x:c r="P342" s="91"/>
      <x:c r="Q342" s="85"/>
      <x:c r="R342" s="85"/>
      <x:c r="S342" s="85"/>
      <x:c r="T342" s="85"/>
      <x:c r="U342" s="85"/>
      <x:c r="V342" s="85"/>
      <x:c r="W342" s="85"/>
      <x:c r="Y342" s="86"/>
      <x:c r="Z342" s="86"/>
      <x:c r="AA342" s="32"/>
    </x:row>
    <x:row r="343">
      <x:c r="A343" s="87"/>
      <x:c r="B343" s="88"/>
      <x:c r="D343" s="32"/>
      <x:c r="I343" s="74"/>
      <x:c r="J343" s="74"/>
      <x:c r="K343" s="74"/>
      <x:c r="L343" s="74"/>
      <x:c r="M343" s="74"/>
      <x:c r="N343" s="74"/>
      <x:c r="O343" s="91"/>
      <x:c r="P343" s="91"/>
      <x:c r="Q343" s="85"/>
      <x:c r="R343" s="85"/>
      <x:c r="S343" s="85"/>
      <x:c r="T343" s="85"/>
      <x:c r="U343" s="85"/>
      <x:c r="V343" s="85"/>
      <x:c r="W343" s="85"/>
      <x:c r="Y343" s="86"/>
      <x:c r="Z343" s="86"/>
      <x:c r="AA343" s="32"/>
    </x:row>
    <x:row r="344">
      <x:c r="A344" s="87"/>
      <x:c r="B344" s="88"/>
      <x:c r="D344" s="32"/>
      <x:c r="I344" s="74"/>
      <x:c r="J344" s="74"/>
      <x:c r="K344" s="74"/>
      <x:c r="L344" s="74"/>
      <x:c r="M344" s="74"/>
      <x:c r="N344" s="74"/>
      <x:c r="O344" s="91"/>
      <x:c r="P344" s="91"/>
      <x:c r="Q344" s="85"/>
      <x:c r="R344" s="85"/>
      <x:c r="S344" s="85"/>
      <x:c r="T344" s="85"/>
      <x:c r="U344" s="85"/>
      <x:c r="V344" s="85"/>
      <x:c r="W344" s="85"/>
      <x:c r="Y344" s="86"/>
      <x:c r="Z344" s="86"/>
      <x:c r="AA344" s="32"/>
    </x:row>
    <x:row r="345">
      <x:c r="A345" s="87"/>
      <x:c r="B345" s="88"/>
      <x:c r="D345" s="32"/>
      <x:c r="I345" s="74"/>
      <x:c r="J345" s="74"/>
      <x:c r="K345" s="74"/>
      <x:c r="L345" s="74"/>
      <x:c r="M345" s="74"/>
      <x:c r="N345" s="74"/>
      <x:c r="O345" s="91"/>
      <x:c r="P345" s="91"/>
      <x:c r="Q345" s="85"/>
      <x:c r="R345" s="85"/>
      <x:c r="S345" s="85"/>
      <x:c r="T345" s="85"/>
      <x:c r="U345" s="85"/>
      <x:c r="V345" s="85"/>
      <x:c r="W345" s="85"/>
      <x:c r="Y345" s="86"/>
      <x:c r="Z345" s="86"/>
      <x:c r="AA345" s="32"/>
    </x:row>
    <x:row r="346">
      <x:c r="A346" s="87"/>
      <x:c r="B346" s="88"/>
      <x:c r="D346" s="32"/>
      <x:c r="I346" s="74"/>
      <x:c r="J346" s="74"/>
      <x:c r="K346" s="74"/>
      <x:c r="L346" s="74"/>
      <x:c r="M346" s="74"/>
      <x:c r="N346" s="74"/>
      <x:c r="O346" s="91"/>
      <x:c r="P346" s="91"/>
      <x:c r="Q346" s="85"/>
      <x:c r="R346" s="85"/>
      <x:c r="S346" s="85"/>
      <x:c r="T346" s="85"/>
      <x:c r="U346" s="85"/>
      <x:c r="V346" s="85"/>
      <x:c r="W346" s="85"/>
      <x:c r="Y346" s="86"/>
      <x:c r="Z346" s="86"/>
      <x:c r="AA346" s="32"/>
    </x:row>
    <x:row r="347">
      <x:c r="A347" s="87"/>
      <x:c r="B347" s="88"/>
      <x:c r="D347" s="32"/>
      <x:c r="I347" s="74"/>
      <x:c r="J347" s="74"/>
      <x:c r="K347" s="74"/>
      <x:c r="L347" s="74"/>
      <x:c r="M347" s="74"/>
      <x:c r="N347" s="74"/>
      <x:c r="O347" s="91"/>
      <x:c r="P347" s="91"/>
      <x:c r="Q347" s="85"/>
      <x:c r="R347" s="85"/>
      <x:c r="S347" s="85"/>
      <x:c r="T347" s="85"/>
      <x:c r="U347" s="85"/>
      <x:c r="V347" s="85"/>
      <x:c r="W347" s="85"/>
      <x:c r="Y347" s="86"/>
      <x:c r="Z347" s="86"/>
      <x:c r="AA347" s="32"/>
    </x:row>
    <x:row r="348">
      <x:c r="A348" s="87"/>
      <x:c r="B348" s="88"/>
      <x:c r="D348" s="32"/>
      <x:c r="I348" s="74"/>
      <x:c r="J348" s="74"/>
      <x:c r="K348" s="74"/>
      <x:c r="L348" s="74"/>
      <x:c r="M348" s="74"/>
      <x:c r="N348" s="74"/>
      <x:c r="O348" s="91"/>
      <x:c r="P348" s="91"/>
      <x:c r="Q348" s="85"/>
      <x:c r="R348" s="85"/>
      <x:c r="S348" s="85"/>
      <x:c r="T348" s="85"/>
      <x:c r="U348" s="85"/>
      <x:c r="V348" s="85"/>
      <x:c r="W348" s="85"/>
      <x:c r="Y348" s="86"/>
      <x:c r="Z348" s="86"/>
      <x:c r="AA348" s="32"/>
    </x:row>
    <x:row r="349">
      <x:c r="A349" s="87"/>
      <x:c r="B349" s="88"/>
      <x:c r="D349" s="32"/>
      <x:c r="I349" s="74"/>
      <x:c r="J349" s="74"/>
      <x:c r="K349" s="74"/>
      <x:c r="L349" s="74"/>
      <x:c r="M349" s="74"/>
      <x:c r="N349" s="74"/>
      <x:c r="O349" s="91"/>
      <x:c r="P349" s="91"/>
      <x:c r="Q349" s="85"/>
      <x:c r="R349" s="85"/>
      <x:c r="S349" s="85"/>
      <x:c r="T349" s="85"/>
      <x:c r="U349" s="85"/>
      <x:c r="V349" s="85"/>
      <x:c r="W349" s="85"/>
      <x:c r="Y349" s="86"/>
      <x:c r="Z349" s="86"/>
      <x:c r="AA349" s="32"/>
    </x:row>
    <x:row r="350">
      <x:c r="A350" s="87"/>
      <x:c r="B350" s="88"/>
      <x:c r="D350" s="32"/>
      <x:c r="I350" s="74"/>
      <x:c r="J350" s="74"/>
      <x:c r="K350" s="74"/>
      <x:c r="L350" s="74"/>
      <x:c r="M350" s="74"/>
      <x:c r="N350" s="74"/>
      <x:c r="O350" s="91"/>
      <x:c r="P350" s="91"/>
      <x:c r="Q350" s="85"/>
      <x:c r="R350" s="85"/>
      <x:c r="S350" s="85"/>
      <x:c r="T350" s="85"/>
      <x:c r="U350" s="85"/>
      <x:c r="V350" s="85"/>
      <x:c r="W350" s="85"/>
      <x:c r="Y350" s="86"/>
      <x:c r="Z350" s="86"/>
      <x:c r="AA350" s="32"/>
    </x:row>
    <x:row r="351">
      <x:c r="A351" s="87"/>
      <x:c r="B351" s="88"/>
      <x:c r="D351" s="32"/>
      <x:c r="I351" s="74"/>
      <x:c r="J351" s="74"/>
      <x:c r="K351" s="74"/>
      <x:c r="L351" s="74"/>
      <x:c r="M351" s="74"/>
      <x:c r="N351" s="74"/>
      <x:c r="O351" s="91"/>
      <x:c r="P351" s="91"/>
      <x:c r="Q351" s="85"/>
      <x:c r="R351" s="85"/>
      <x:c r="S351" s="85"/>
      <x:c r="T351" s="85"/>
      <x:c r="U351" s="85"/>
      <x:c r="V351" s="85"/>
      <x:c r="W351" s="85"/>
      <x:c r="Y351" s="86"/>
      <x:c r="Z351" s="86"/>
      <x:c r="AA351" s="32"/>
    </x:row>
    <x:row r="352">
      <x:c r="A352" s="87"/>
      <x:c r="B352" s="88"/>
      <x:c r="D352" s="32"/>
      <x:c r="I352" s="74"/>
      <x:c r="J352" s="74"/>
      <x:c r="K352" s="74"/>
      <x:c r="L352" s="74"/>
      <x:c r="M352" s="74"/>
      <x:c r="N352" s="74"/>
      <x:c r="O352" s="91"/>
      <x:c r="P352" s="91"/>
      <x:c r="Q352" s="85"/>
      <x:c r="R352" s="85"/>
      <x:c r="S352" s="85"/>
      <x:c r="T352" s="85"/>
      <x:c r="U352" s="85"/>
      <x:c r="V352" s="85"/>
      <x:c r="W352" s="85"/>
      <x:c r="Y352" s="86"/>
      <x:c r="Z352" s="86"/>
      <x:c r="AA352" s="32"/>
    </x:row>
    <x:row r="353">
      <x:c r="A353" s="87"/>
      <x:c r="B353" s="88"/>
      <x:c r="D353" s="32"/>
      <x:c r="I353" s="74"/>
      <x:c r="J353" s="74"/>
      <x:c r="K353" s="74"/>
      <x:c r="L353" s="74"/>
      <x:c r="M353" s="74"/>
      <x:c r="N353" s="74"/>
      <x:c r="O353" s="91"/>
      <x:c r="P353" s="91"/>
      <x:c r="Q353" s="85"/>
      <x:c r="R353" s="85"/>
      <x:c r="S353" s="85"/>
      <x:c r="T353" s="85"/>
      <x:c r="U353" s="85"/>
      <x:c r="V353" s="85"/>
      <x:c r="W353" s="85"/>
      <x:c r="Y353" s="86"/>
      <x:c r="Z353" s="86"/>
      <x:c r="AA353" s="32"/>
    </x:row>
    <x:row r="354">
      <x:c r="A354" s="87"/>
      <x:c r="B354" s="88"/>
      <x:c r="D354" s="32"/>
      <x:c r="I354" s="74"/>
      <x:c r="J354" s="74"/>
      <x:c r="K354" s="74"/>
      <x:c r="L354" s="74"/>
      <x:c r="M354" s="74"/>
      <x:c r="N354" s="74"/>
      <x:c r="O354" s="91"/>
      <x:c r="P354" s="91"/>
      <x:c r="Q354" s="85"/>
      <x:c r="R354" s="85"/>
      <x:c r="S354" s="85"/>
      <x:c r="T354" s="85"/>
      <x:c r="U354" s="85"/>
      <x:c r="V354" s="85"/>
      <x:c r="W354" s="85"/>
      <x:c r="Y354" s="86"/>
      <x:c r="Z354" s="86"/>
      <x:c r="AA354" s="32"/>
    </x:row>
    <x:row r="355">
      <x:c r="A355" s="87"/>
      <x:c r="B355" s="88"/>
      <x:c r="D355" s="32"/>
      <x:c r="I355" s="74"/>
      <x:c r="J355" s="74"/>
      <x:c r="K355" s="74"/>
      <x:c r="L355" s="74"/>
      <x:c r="M355" s="74"/>
      <x:c r="N355" s="74"/>
      <x:c r="O355" s="91"/>
      <x:c r="P355" s="91"/>
      <x:c r="Q355" s="85"/>
      <x:c r="R355" s="85"/>
      <x:c r="S355" s="85"/>
      <x:c r="T355" s="85"/>
      <x:c r="U355" s="85"/>
      <x:c r="V355" s="85"/>
      <x:c r="W355" s="85"/>
      <x:c r="Y355" s="86"/>
      <x:c r="Z355" s="86"/>
      <x:c r="AA355" s="32"/>
    </x:row>
    <x:row r="356">
      <x:c r="A356" s="87"/>
      <x:c r="B356" s="88"/>
      <x:c r="D356" s="32"/>
      <x:c r="I356" s="74"/>
      <x:c r="J356" s="74"/>
      <x:c r="K356" s="74"/>
      <x:c r="L356" s="74"/>
      <x:c r="M356" s="74"/>
      <x:c r="N356" s="74"/>
      <x:c r="O356" s="91"/>
      <x:c r="P356" s="91"/>
      <x:c r="Q356" s="85"/>
      <x:c r="R356" s="85"/>
      <x:c r="S356" s="85"/>
      <x:c r="T356" s="85"/>
      <x:c r="U356" s="85"/>
      <x:c r="V356" s="85"/>
      <x:c r="W356" s="85"/>
      <x:c r="Y356" s="86"/>
      <x:c r="Z356" s="86"/>
      <x:c r="AA356" s="32"/>
    </x:row>
    <x:row r="357">
      <x:c r="A357" s="87"/>
      <x:c r="B357" s="88"/>
      <x:c r="D357" s="32"/>
      <x:c r="I357" s="74"/>
      <x:c r="J357" s="74"/>
      <x:c r="K357" s="74"/>
      <x:c r="L357" s="74"/>
      <x:c r="M357" s="74"/>
      <x:c r="N357" s="74"/>
      <x:c r="O357" s="91"/>
      <x:c r="P357" s="91"/>
      <x:c r="Q357" s="85"/>
      <x:c r="R357" s="85"/>
      <x:c r="S357" s="85"/>
      <x:c r="T357" s="85"/>
      <x:c r="U357" s="85"/>
      <x:c r="V357" s="85"/>
      <x:c r="W357" s="85"/>
      <x:c r="Y357" s="86"/>
      <x:c r="Z357" s="86"/>
      <x:c r="AA357" s="32"/>
    </x:row>
    <x:row r="358">
      <x:c r="A358" s="87"/>
      <x:c r="B358" s="88"/>
      <x:c r="D358" s="32"/>
      <x:c r="I358" s="74"/>
      <x:c r="J358" s="74"/>
      <x:c r="K358" s="74"/>
      <x:c r="L358" s="74"/>
      <x:c r="M358" s="74"/>
      <x:c r="N358" s="74"/>
      <x:c r="O358" s="91"/>
      <x:c r="P358" s="91"/>
      <x:c r="Q358" s="85"/>
      <x:c r="R358" s="85"/>
      <x:c r="S358" s="85"/>
      <x:c r="T358" s="85"/>
      <x:c r="U358" s="85"/>
      <x:c r="V358" s="85"/>
      <x:c r="W358" s="85"/>
      <x:c r="Y358" s="86"/>
      <x:c r="Z358" s="86"/>
      <x:c r="AA358" s="32"/>
    </x:row>
    <x:row r="359">
      <x:c r="A359" s="87"/>
      <x:c r="B359" s="88"/>
      <x:c r="D359" s="32"/>
      <x:c r="I359" s="74"/>
      <x:c r="J359" s="74"/>
      <x:c r="K359" s="74"/>
      <x:c r="L359" s="74"/>
      <x:c r="M359" s="74"/>
      <x:c r="N359" s="74"/>
      <x:c r="O359" s="91"/>
      <x:c r="P359" s="91"/>
      <x:c r="Q359" s="85"/>
      <x:c r="R359" s="85"/>
      <x:c r="S359" s="85"/>
      <x:c r="T359" s="85"/>
      <x:c r="U359" s="85"/>
      <x:c r="V359" s="85"/>
      <x:c r="W359" s="85"/>
      <x:c r="Y359" s="86"/>
      <x:c r="Z359" s="86"/>
      <x:c r="AA359" s="32"/>
    </x:row>
    <x:row r="360">
      <x:c r="A360" s="87"/>
      <x:c r="B360" s="88"/>
      <x:c r="D360" s="32"/>
      <x:c r="I360" s="74"/>
      <x:c r="J360" s="74"/>
      <x:c r="K360" s="74"/>
      <x:c r="L360" s="74"/>
      <x:c r="M360" s="74"/>
      <x:c r="N360" s="74"/>
      <x:c r="O360" s="91"/>
      <x:c r="P360" s="91"/>
      <x:c r="Q360" s="85"/>
      <x:c r="R360" s="85"/>
      <x:c r="S360" s="85"/>
      <x:c r="T360" s="85"/>
      <x:c r="U360" s="85"/>
      <x:c r="V360" s="85"/>
      <x:c r="W360" s="85"/>
      <x:c r="Y360" s="86"/>
      <x:c r="Z360" s="86"/>
      <x:c r="AA360" s="32"/>
    </x:row>
    <x:row r="361">
      <x:c r="A361" s="87"/>
      <x:c r="B361" s="88"/>
      <x:c r="D361" s="32"/>
      <x:c r="I361" s="74"/>
      <x:c r="J361" s="74"/>
      <x:c r="K361" s="74"/>
      <x:c r="L361" s="74"/>
      <x:c r="M361" s="74"/>
      <x:c r="N361" s="74"/>
      <x:c r="O361" s="91"/>
      <x:c r="P361" s="91"/>
      <x:c r="Q361" s="85"/>
      <x:c r="R361" s="85"/>
      <x:c r="S361" s="85"/>
      <x:c r="T361" s="85"/>
      <x:c r="U361" s="85"/>
      <x:c r="V361" s="85"/>
      <x:c r="W361" s="85"/>
      <x:c r="Y361" s="86"/>
      <x:c r="Z361" s="86"/>
      <x:c r="AA361" s="32"/>
    </x:row>
    <x:row r="362">
      <x:c r="A362" s="87"/>
      <x:c r="B362" s="88"/>
      <x:c r="D362" s="32"/>
      <x:c r="I362" s="74"/>
      <x:c r="J362" s="74"/>
      <x:c r="K362" s="74"/>
      <x:c r="L362" s="74"/>
      <x:c r="M362" s="74"/>
      <x:c r="N362" s="74"/>
      <x:c r="O362" s="91"/>
      <x:c r="P362" s="91"/>
      <x:c r="Q362" s="85"/>
      <x:c r="R362" s="85"/>
      <x:c r="S362" s="85"/>
      <x:c r="T362" s="85"/>
      <x:c r="U362" s="85"/>
      <x:c r="V362" s="85"/>
      <x:c r="W362" s="85"/>
      <x:c r="Y362" s="86"/>
      <x:c r="Z362" s="86"/>
      <x:c r="AA362" s="32"/>
    </x:row>
    <x:row r="363">
      <x:c r="A363" s="87"/>
      <x:c r="B363" s="88"/>
      <x:c r="D363" s="32"/>
      <x:c r="I363" s="74"/>
      <x:c r="J363" s="74"/>
      <x:c r="K363" s="74"/>
      <x:c r="L363" s="74"/>
      <x:c r="M363" s="74"/>
      <x:c r="N363" s="74"/>
      <x:c r="O363" s="91"/>
      <x:c r="P363" s="91"/>
      <x:c r="Q363" s="85"/>
      <x:c r="R363" s="85"/>
      <x:c r="S363" s="85"/>
      <x:c r="T363" s="85"/>
      <x:c r="U363" s="85"/>
      <x:c r="V363" s="85"/>
      <x:c r="W363" s="85"/>
      <x:c r="Y363" s="86"/>
      <x:c r="Z363" s="86"/>
      <x:c r="AA363" s="32"/>
    </x:row>
    <x:row r="364">
      <x:c r="A364" s="87"/>
      <x:c r="B364" s="88"/>
      <x:c r="D364" s="32"/>
      <x:c r="I364" s="74"/>
      <x:c r="J364" s="74"/>
      <x:c r="K364" s="74"/>
      <x:c r="L364" s="74"/>
      <x:c r="M364" s="74"/>
      <x:c r="N364" s="74"/>
      <x:c r="O364" s="91"/>
      <x:c r="P364" s="91"/>
      <x:c r="Q364" s="85"/>
      <x:c r="R364" s="85"/>
      <x:c r="S364" s="85"/>
      <x:c r="T364" s="85"/>
      <x:c r="U364" s="85"/>
      <x:c r="V364" s="85"/>
      <x:c r="W364" s="85"/>
      <x:c r="Y364" s="86"/>
      <x:c r="Z364" s="86"/>
      <x:c r="AA364" s="32"/>
    </x:row>
    <x:row r="365">
      <x:c r="A365" s="87"/>
      <x:c r="B365" s="88"/>
      <x:c r="D365" s="32"/>
      <x:c r="I365" s="74"/>
      <x:c r="J365" s="74"/>
      <x:c r="K365" s="74"/>
      <x:c r="L365" s="74"/>
      <x:c r="M365" s="74"/>
      <x:c r="N365" s="74"/>
      <x:c r="O365" s="91"/>
      <x:c r="P365" s="91"/>
      <x:c r="Q365" s="85"/>
      <x:c r="R365" s="85"/>
      <x:c r="S365" s="85"/>
      <x:c r="T365" s="85"/>
      <x:c r="U365" s="85"/>
      <x:c r="V365" s="85"/>
      <x:c r="W365" s="85"/>
      <x:c r="Y365" s="86"/>
      <x:c r="Z365" s="86"/>
      <x:c r="AA365" s="32"/>
    </x:row>
    <x:row r="366">
      <x:c r="A366" s="87"/>
      <x:c r="B366" s="88"/>
      <x:c r="D366" s="32"/>
      <x:c r="I366" s="74"/>
      <x:c r="J366" s="74"/>
      <x:c r="K366" s="74"/>
      <x:c r="L366" s="74"/>
      <x:c r="M366" s="74"/>
      <x:c r="N366" s="74"/>
      <x:c r="O366" s="91"/>
      <x:c r="P366" s="91"/>
      <x:c r="Q366" s="85"/>
      <x:c r="R366" s="85"/>
      <x:c r="S366" s="85"/>
      <x:c r="T366" s="85"/>
      <x:c r="U366" s="85"/>
      <x:c r="V366" s="85"/>
      <x:c r="W366" s="85"/>
      <x:c r="Y366" s="86"/>
      <x:c r="Z366" s="86"/>
      <x:c r="AA366" s="32"/>
    </x:row>
    <x:row r="367">
      <x:c r="A367" s="87"/>
      <x:c r="B367" s="88"/>
      <x:c r="D367" s="32"/>
      <x:c r="I367" s="74"/>
      <x:c r="J367" s="74"/>
      <x:c r="K367" s="74"/>
      <x:c r="L367" s="74"/>
      <x:c r="M367" s="74"/>
      <x:c r="N367" s="74"/>
      <x:c r="O367" s="91"/>
      <x:c r="P367" s="91"/>
      <x:c r="Q367" s="85"/>
      <x:c r="R367" s="85"/>
      <x:c r="S367" s="85"/>
      <x:c r="T367" s="85"/>
      <x:c r="U367" s="85"/>
      <x:c r="V367" s="85"/>
      <x:c r="W367" s="85"/>
      <x:c r="Y367" s="86"/>
      <x:c r="Z367" s="86"/>
      <x:c r="AA367" s="32"/>
    </x:row>
    <x:row r="368">
      <x:c r="A368" s="87"/>
      <x:c r="B368" s="88"/>
      <x:c r="D368" s="32"/>
      <x:c r="I368" s="74"/>
      <x:c r="J368" s="74"/>
      <x:c r="K368" s="74"/>
      <x:c r="L368" s="74"/>
      <x:c r="M368" s="74"/>
      <x:c r="N368" s="74"/>
      <x:c r="O368" s="91"/>
      <x:c r="P368" s="91"/>
      <x:c r="Q368" s="85"/>
      <x:c r="R368" s="85"/>
      <x:c r="S368" s="85"/>
      <x:c r="T368" s="85"/>
      <x:c r="U368" s="85"/>
      <x:c r="V368" s="85"/>
      <x:c r="W368" s="85"/>
      <x:c r="Y368" s="86"/>
      <x:c r="Z368" s="86"/>
      <x:c r="AA368" s="32"/>
    </x:row>
    <x:row r="369">
      <x:c r="A369" s="87"/>
      <x:c r="B369" s="88"/>
      <x:c r="D369" s="32"/>
      <x:c r="I369" s="74"/>
      <x:c r="J369" s="74"/>
      <x:c r="K369" s="74"/>
      <x:c r="L369" s="74"/>
      <x:c r="M369" s="74"/>
      <x:c r="N369" s="74"/>
      <x:c r="O369" s="91"/>
      <x:c r="P369" s="91"/>
      <x:c r="Q369" s="85"/>
      <x:c r="R369" s="85"/>
      <x:c r="S369" s="85"/>
      <x:c r="T369" s="85"/>
      <x:c r="U369" s="85"/>
      <x:c r="V369" s="85"/>
      <x:c r="W369" s="85"/>
      <x:c r="Y369" s="86"/>
      <x:c r="Z369" s="86"/>
      <x:c r="AA369" s="32"/>
    </x:row>
    <x:row r="370">
      <x:c r="A370" s="87"/>
      <x:c r="B370" s="88"/>
      <x:c r="D370" s="32"/>
      <x:c r="I370" s="74"/>
      <x:c r="J370" s="74"/>
      <x:c r="K370" s="74"/>
      <x:c r="L370" s="74"/>
      <x:c r="M370" s="74"/>
      <x:c r="N370" s="74"/>
      <x:c r="O370" s="91"/>
      <x:c r="P370" s="91"/>
      <x:c r="Q370" s="85"/>
      <x:c r="R370" s="85"/>
      <x:c r="S370" s="85"/>
      <x:c r="T370" s="85"/>
      <x:c r="U370" s="85"/>
      <x:c r="V370" s="85"/>
      <x:c r="W370" s="85"/>
      <x:c r="Y370" s="86"/>
      <x:c r="Z370" s="86"/>
      <x:c r="AA370" s="32"/>
    </x:row>
    <x:row r="371">
      <x:c r="A371" s="87"/>
      <x:c r="B371" s="88"/>
      <x:c r="D371" s="32"/>
      <x:c r="I371" s="74"/>
      <x:c r="J371" s="74"/>
      <x:c r="K371" s="74"/>
      <x:c r="L371" s="74"/>
      <x:c r="M371" s="74"/>
      <x:c r="N371" s="74"/>
      <x:c r="O371" s="91"/>
      <x:c r="P371" s="91"/>
      <x:c r="Q371" s="85"/>
      <x:c r="R371" s="85"/>
      <x:c r="S371" s="85"/>
      <x:c r="T371" s="85"/>
      <x:c r="U371" s="85"/>
      <x:c r="V371" s="85"/>
      <x:c r="W371" s="85"/>
      <x:c r="Y371" s="86"/>
      <x:c r="Z371" s="86"/>
      <x:c r="AA371" s="32"/>
    </x:row>
    <x:row r="372">
      <x:c r="A372" s="87"/>
      <x:c r="B372" s="88"/>
      <x:c r="D372" s="32"/>
      <x:c r="I372" s="74"/>
      <x:c r="J372" s="74"/>
      <x:c r="K372" s="74"/>
      <x:c r="L372" s="74"/>
      <x:c r="M372" s="74"/>
      <x:c r="N372" s="74"/>
      <x:c r="O372" s="91"/>
      <x:c r="P372" s="91"/>
      <x:c r="Q372" s="85"/>
      <x:c r="R372" s="85"/>
      <x:c r="S372" s="85"/>
      <x:c r="T372" s="85"/>
      <x:c r="U372" s="85"/>
      <x:c r="V372" s="85"/>
      <x:c r="W372" s="85"/>
      <x:c r="Y372" s="86"/>
      <x:c r="Z372" s="86"/>
      <x:c r="AA372" s="32"/>
    </x:row>
    <x:row r="373">
      <x:c r="A373" s="87"/>
      <x:c r="B373" s="88"/>
      <x:c r="D373" s="32"/>
      <x:c r="I373" s="74"/>
      <x:c r="J373" s="74"/>
      <x:c r="K373" s="74"/>
      <x:c r="L373" s="74"/>
      <x:c r="M373" s="74"/>
      <x:c r="N373" s="74"/>
      <x:c r="O373" s="91"/>
      <x:c r="P373" s="91"/>
      <x:c r="Q373" s="85"/>
      <x:c r="R373" s="85"/>
      <x:c r="S373" s="85"/>
      <x:c r="T373" s="85"/>
      <x:c r="U373" s="85"/>
      <x:c r="V373" s="85"/>
      <x:c r="W373" s="85"/>
      <x:c r="Y373" s="86"/>
      <x:c r="Z373" s="86"/>
      <x:c r="AA373" s="32"/>
    </x:row>
    <x:row r="374">
      <x:c r="A374" s="87"/>
      <x:c r="B374" s="88"/>
      <x:c r="D374" s="32"/>
      <x:c r="I374" s="74"/>
      <x:c r="J374" s="74"/>
      <x:c r="K374" s="74"/>
      <x:c r="L374" s="74"/>
      <x:c r="M374" s="74"/>
      <x:c r="N374" s="74"/>
      <x:c r="O374" s="91"/>
      <x:c r="P374" s="91"/>
      <x:c r="Q374" s="85"/>
      <x:c r="R374" s="85"/>
      <x:c r="S374" s="85"/>
      <x:c r="T374" s="85"/>
      <x:c r="U374" s="85"/>
      <x:c r="V374" s="85"/>
      <x:c r="W374" s="85"/>
      <x:c r="Y374" s="86"/>
      <x:c r="Z374" s="86"/>
      <x:c r="AA374" s="32"/>
    </x:row>
    <x:row r="375">
      <x:c r="A375" s="87"/>
      <x:c r="B375" s="88"/>
      <x:c r="D375" s="32"/>
      <x:c r="I375" s="74"/>
      <x:c r="J375" s="74"/>
      <x:c r="K375" s="74"/>
      <x:c r="L375" s="74"/>
      <x:c r="M375" s="74"/>
      <x:c r="N375" s="74"/>
      <x:c r="O375" s="91"/>
      <x:c r="P375" s="91"/>
      <x:c r="Q375" s="85"/>
      <x:c r="R375" s="85"/>
      <x:c r="S375" s="85"/>
      <x:c r="T375" s="85"/>
      <x:c r="U375" s="85"/>
      <x:c r="V375" s="85"/>
      <x:c r="W375" s="85"/>
      <x:c r="Y375" s="86"/>
      <x:c r="Z375" s="86"/>
      <x:c r="AA375" s="32"/>
    </x:row>
    <x:row r="376">
      <x:c r="A376" s="87"/>
      <x:c r="B376" s="88"/>
      <x:c r="D376" s="32"/>
      <x:c r="I376" s="74"/>
      <x:c r="J376" s="74"/>
      <x:c r="K376" s="74"/>
      <x:c r="L376" s="74"/>
      <x:c r="M376" s="74"/>
      <x:c r="N376" s="74"/>
      <x:c r="O376" s="91"/>
      <x:c r="P376" s="91"/>
      <x:c r="Q376" s="85"/>
      <x:c r="R376" s="85"/>
      <x:c r="S376" s="85"/>
      <x:c r="T376" s="85"/>
      <x:c r="U376" s="85"/>
      <x:c r="V376" s="85"/>
      <x:c r="W376" s="85"/>
      <x:c r="Y376" s="86"/>
      <x:c r="Z376" s="86"/>
      <x:c r="AA376" s="32"/>
    </x:row>
    <x:row r="377">
      <x:c r="A377" s="87"/>
      <x:c r="B377" s="88"/>
      <x:c r="D377" s="32"/>
      <x:c r="I377" s="74"/>
      <x:c r="J377" s="74"/>
      <x:c r="K377" s="74"/>
      <x:c r="L377" s="74"/>
      <x:c r="M377" s="74"/>
      <x:c r="N377" s="74"/>
      <x:c r="O377" s="91"/>
      <x:c r="P377" s="91"/>
      <x:c r="Q377" s="85"/>
      <x:c r="R377" s="85"/>
      <x:c r="S377" s="85"/>
      <x:c r="T377" s="85"/>
      <x:c r="U377" s="85"/>
      <x:c r="V377" s="85"/>
      <x:c r="W377" s="85"/>
      <x:c r="Y377" s="86"/>
      <x:c r="Z377" s="86"/>
      <x:c r="AA377" s="32"/>
    </x:row>
    <x:row r="378">
      <x:c r="A378" s="87"/>
      <x:c r="B378" s="88"/>
      <x:c r="D378" s="32"/>
      <x:c r="I378" s="74"/>
      <x:c r="J378" s="74"/>
      <x:c r="K378" s="74"/>
      <x:c r="L378" s="74"/>
      <x:c r="M378" s="74"/>
      <x:c r="N378" s="74"/>
      <x:c r="O378" s="91"/>
      <x:c r="P378" s="91"/>
      <x:c r="Q378" s="85"/>
      <x:c r="R378" s="85"/>
      <x:c r="S378" s="85"/>
      <x:c r="T378" s="85"/>
      <x:c r="U378" s="85"/>
      <x:c r="V378" s="85"/>
      <x:c r="W378" s="85"/>
      <x:c r="Y378" s="86"/>
      <x:c r="Z378" s="86"/>
      <x:c r="AA378" s="32"/>
    </x:row>
    <x:row r="379">
      <x:c r="A379" s="87"/>
      <x:c r="B379" s="88"/>
      <x:c r="D379" s="32"/>
      <x:c r="I379" s="74"/>
      <x:c r="J379" s="74"/>
      <x:c r="K379" s="74"/>
      <x:c r="L379" s="74"/>
      <x:c r="M379" s="74"/>
      <x:c r="N379" s="74"/>
      <x:c r="O379" s="91"/>
      <x:c r="P379" s="91"/>
      <x:c r="Q379" s="85"/>
      <x:c r="R379" s="85"/>
      <x:c r="S379" s="85"/>
      <x:c r="T379" s="85"/>
      <x:c r="U379" s="85"/>
      <x:c r="V379" s="85"/>
      <x:c r="W379" s="85"/>
      <x:c r="Y379" s="86"/>
      <x:c r="Z379" s="86"/>
      <x:c r="AA379" s="32"/>
    </x:row>
    <x:row r="380">
      <x:c r="A380" s="87"/>
      <x:c r="B380" s="88"/>
      <x:c r="D380" s="32"/>
      <x:c r="I380" s="74"/>
      <x:c r="J380" s="74"/>
      <x:c r="K380" s="74"/>
      <x:c r="L380" s="74"/>
      <x:c r="M380" s="74"/>
      <x:c r="N380" s="74"/>
      <x:c r="O380" s="91"/>
      <x:c r="P380" s="91"/>
      <x:c r="Q380" s="85"/>
      <x:c r="R380" s="85"/>
      <x:c r="S380" s="85"/>
      <x:c r="T380" s="85"/>
      <x:c r="U380" s="85"/>
      <x:c r="V380" s="85"/>
      <x:c r="W380" s="85"/>
      <x:c r="Y380" s="86"/>
      <x:c r="Z380" s="86"/>
      <x:c r="AA380" s="32"/>
    </x:row>
    <x:row r="381">
      <x:c r="A381" s="87"/>
      <x:c r="B381" s="88"/>
      <x:c r="D381" s="32"/>
      <x:c r="I381" s="74"/>
      <x:c r="J381" s="74"/>
      <x:c r="K381" s="74"/>
      <x:c r="L381" s="74"/>
      <x:c r="M381" s="74"/>
      <x:c r="N381" s="74"/>
      <x:c r="O381" s="91"/>
      <x:c r="P381" s="91"/>
      <x:c r="Q381" s="85"/>
      <x:c r="R381" s="85"/>
      <x:c r="S381" s="85"/>
      <x:c r="T381" s="85"/>
      <x:c r="U381" s="85"/>
      <x:c r="V381" s="85"/>
      <x:c r="W381" s="85"/>
      <x:c r="Y381" s="86"/>
      <x:c r="Z381" s="86"/>
      <x:c r="AA381" s="32"/>
    </x:row>
    <x:row r="382">
      <x:c r="A382" s="87"/>
      <x:c r="B382" s="88"/>
      <x:c r="D382" s="32"/>
      <x:c r="I382" s="74"/>
      <x:c r="J382" s="74"/>
      <x:c r="K382" s="74"/>
      <x:c r="L382" s="74"/>
      <x:c r="M382" s="74"/>
      <x:c r="N382" s="74"/>
      <x:c r="O382" s="91"/>
      <x:c r="P382" s="91"/>
      <x:c r="Q382" s="85"/>
      <x:c r="R382" s="85"/>
      <x:c r="S382" s="85"/>
      <x:c r="T382" s="85"/>
      <x:c r="U382" s="85"/>
      <x:c r="V382" s="85"/>
      <x:c r="W382" s="85"/>
      <x:c r="Y382" s="86"/>
      <x:c r="Z382" s="86"/>
      <x:c r="AA382" s="32"/>
    </x:row>
    <x:row r="383">
      <x:c r="A383" s="87"/>
      <x:c r="B383" s="88"/>
      <x:c r="D383" s="32"/>
      <x:c r="I383" s="74"/>
      <x:c r="J383" s="74"/>
      <x:c r="K383" s="74"/>
      <x:c r="L383" s="74"/>
      <x:c r="M383" s="74"/>
      <x:c r="N383" s="74"/>
      <x:c r="O383" s="91"/>
      <x:c r="P383" s="91"/>
      <x:c r="Q383" s="85"/>
      <x:c r="R383" s="85"/>
      <x:c r="S383" s="85"/>
      <x:c r="T383" s="85"/>
      <x:c r="U383" s="85"/>
      <x:c r="V383" s="85"/>
      <x:c r="W383" s="85"/>
      <x:c r="Y383" s="86"/>
      <x:c r="Z383" s="86"/>
      <x:c r="AA383" s="32"/>
    </x:row>
    <x:row r="384">
      <x:c r="A384" s="87"/>
      <x:c r="B384" s="88"/>
      <x:c r="D384" s="32"/>
      <x:c r="I384" s="74"/>
      <x:c r="J384" s="74"/>
      <x:c r="K384" s="74"/>
      <x:c r="L384" s="74"/>
      <x:c r="M384" s="74"/>
      <x:c r="N384" s="74"/>
      <x:c r="O384" s="91"/>
      <x:c r="P384" s="91"/>
      <x:c r="Q384" s="85"/>
      <x:c r="R384" s="85"/>
      <x:c r="S384" s="85"/>
      <x:c r="T384" s="85"/>
      <x:c r="U384" s="85"/>
      <x:c r="V384" s="85"/>
      <x:c r="W384" s="85"/>
      <x:c r="Y384" s="86"/>
      <x:c r="Z384" s="86"/>
      <x:c r="AA384" s="32"/>
    </x:row>
    <x:row r="385">
      <x:c r="A385" s="87"/>
      <x:c r="B385" s="88"/>
      <x:c r="D385" s="32"/>
      <x:c r="I385" s="74"/>
      <x:c r="J385" s="74"/>
      <x:c r="K385" s="74"/>
      <x:c r="L385" s="74"/>
      <x:c r="M385" s="74"/>
      <x:c r="N385" s="74"/>
      <x:c r="O385" s="91"/>
      <x:c r="P385" s="91"/>
      <x:c r="Q385" s="85"/>
      <x:c r="R385" s="85"/>
      <x:c r="S385" s="85"/>
      <x:c r="T385" s="85"/>
      <x:c r="U385" s="85"/>
      <x:c r="V385" s="85"/>
      <x:c r="W385" s="85"/>
      <x:c r="Y385" s="86"/>
      <x:c r="Z385" s="86"/>
      <x:c r="AA385" s="32"/>
    </x:row>
    <x:row r="386">
      <x:c r="A386" s="87"/>
      <x:c r="B386" s="88"/>
      <x:c r="D386" s="32"/>
      <x:c r="I386" s="74"/>
      <x:c r="J386" s="74"/>
      <x:c r="K386" s="74"/>
      <x:c r="L386" s="74"/>
      <x:c r="M386" s="74"/>
      <x:c r="N386" s="74"/>
      <x:c r="O386" s="91"/>
      <x:c r="P386" s="91"/>
      <x:c r="Q386" s="85"/>
      <x:c r="R386" s="85"/>
      <x:c r="S386" s="85"/>
      <x:c r="T386" s="85"/>
      <x:c r="U386" s="85"/>
      <x:c r="V386" s="85"/>
      <x:c r="W386" s="85"/>
      <x:c r="Y386" s="86"/>
      <x:c r="Z386" s="86"/>
      <x:c r="AA386" s="32"/>
    </x:row>
    <x:row r="387">
      <x:c r="A387" s="87"/>
      <x:c r="B387" s="88"/>
      <x:c r="D387" s="32"/>
      <x:c r="I387" s="74"/>
      <x:c r="J387" s="74"/>
      <x:c r="K387" s="74"/>
      <x:c r="L387" s="74"/>
      <x:c r="M387" s="74"/>
      <x:c r="N387" s="74"/>
      <x:c r="O387" s="91"/>
      <x:c r="P387" s="91"/>
      <x:c r="Q387" s="85"/>
      <x:c r="R387" s="85"/>
      <x:c r="S387" s="85"/>
      <x:c r="T387" s="85"/>
      <x:c r="U387" s="85"/>
      <x:c r="V387" s="85"/>
      <x:c r="W387" s="85"/>
      <x:c r="Y387" s="86"/>
      <x:c r="Z387" s="86"/>
      <x:c r="AA387" s="32"/>
    </x:row>
    <x:row r="388">
      <x:c r="A388" s="87"/>
      <x:c r="B388" s="88"/>
      <x:c r="D388" s="32"/>
      <x:c r="I388" s="74"/>
      <x:c r="J388" s="74"/>
      <x:c r="K388" s="74"/>
      <x:c r="L388" s="74"/>
      <x:c r="M388" s="74"/>
      <x:c r="N388" s="74"/>
      <x:c r="O388" s="91"/>
      <x:c r="P388" s="91"/>
      <x:c r="Q388" s="85"/>
      <x:c r="R388" s="85"/>
      <x:c r="S388" s="85"/>
      <x:c r="T388" s="85"/>
      <x:c r="U388" s="85"/>
      <x:c r="V388" s="85"/>
      <x:c r="W388" s="85"/>
      <x:c r="Y388" s="86"/>
      <x:c r="Z388" s="86"/>
      <x:c r="AA388" s="32"/>
    </x:row>
    <x:row r="389">
      <x:c r="A389" s="87"/>
      <x:c r="B389" s="88"/>
      <x:c r="D389" s="32"/>
      <x:c r="I389" s="74"/>
      <x:c r="J389" s="74"/>
      <x:c r="K389" s="74"/>
      <x:c r="L389" s="74"/>
      <x:c r="M389" s="74"/>
      <x:c r="N389" s="74"/>
      <x:c r="O389" s="91"/>
      <x:c r="P389" s="91"/>
      <x:c r="Q389" s="85"/>
      <x:c r="R389" s="85"/>
      <x:c r="S389" s="85"/>
      <x:c r="T389" s="85"/>
      <x:c r="U389" s="85"/>
      <x:c r="V389" s="85"/>
      <x:c r="W389" s="85"/>
      <x:c r="Y389" s="86"/>
      <x:c r="Z389" s="86"/>
      <x:c r="AA389" s="32"/>
    </x:row>
    <x:row r="390">
      <x:c r="A390" s="87"/>
      <x:c r="B390" s="88"/>
      <x:c r="D390" s="32"/>
      <x:c r="I390" s="74"/>
      <x:c r="J390" s="74"/>
      <x:c r="K390" s="74"/>
      <x:c r="L390" s="74"/>
      <x:c r="M390" s="74"/>
      <x:c r="N390" s="74"/>
      <x:c r="O390" s="91"/>
      <x:c r="P390" s="91"/>
      <x:c r="Q390" s="85"/>
      <x:c r="R390" s="85"/>
      <x:c r="S390" s="85"/>
      <x:c r="T390" s="85"/>
      <x:c r="U390" s="85"/>
      <x:c r="V390" s="85"/>
      <x:c r="W390" s="85"/>
      <x:c r="Y390" s="86"/>
      <x:c r="Z390" s="86"/>
      <x:c r="AA390" s="32"/>
    </x:row>
    <x:row r="391">
      <x:c r="A391" s="87"/>
      <x:c r="B391" s="88"/>
      <x:c r="D391" s="32"/>
      <x:c r="I391" s="74"/>
      <x:c r="J391" s="74"/>
      <x:c r="K391" s="74"/>
      <x:c r="L391" s="74"/>
      <x:c r="M391" s="74"/>
      <x:c r="N391" s="74"/>
      <x:c r="O391" s="91"/>
      <x:c r="P391" s="91"/>
      <x:c r="Q391" s="85"/>
      <x:c r="R391" s="85"/>
      <x:c r="S391" s="85"/>
      <x:c r="T391" s="85"/>
      <x:c r="U391" s="85"/>
      <x:c r="V391" s="85"/>
      <x:c r="W391" s="85"/>
      <x:c r="Y391" s="86"/>
      <x:c r="Z391" s="86"/>
      <x:c r="AA391" s="32"/>
    </x:row>
    <x:row r="392">
      <x:c r="A392" s="87"/>
      <x:c r="B392" s="88"/>
      <x:c r="D392" s="32"/>
      <x:c r="I392" s="74"/>
      <x:c r="J392" s="74"/>
      <x:c r="K392" s="74"/>
      <x:c r="L392" s="74"/>
      <x:c r="M392" s="74"/>
      <x:c r="N392" s="74"/>
      <x:c r="O392" s="91"/>
      <x:c r="P392" s="91"/>
      <x:c r="Q392" s="85"/>
      <x:c r="R392" s="85"/>
      <x:c r="S392" s="85"/>
      <x:c r="T392" s="85"/>
      <x:c r="U392" s="85"/>
      <x:c r="V392" s="85"/>
      <x:c r="W392" s="85"/>
      <x:c r="Y392" s="86"/>
      <x:c r="Z392" s="86"/>
      <x:c r="AA392" s="32"/>
    </x:row>
    <x:row r="393">
      <x:c r="A393" s="87"/>
      <x:c r="B393" s="88"/>
      <x:c r="D393" s="32"/>
      <x:c r="I393" s="74"/>
      <x:c r="J393" s="74"/>
      <x:c r="K393" s="74"/>
      <x:c r="L393" s="74"/>
      <x:c r="M393" s="74"/>
      <x:c r="N393" s="74"/>
      <x:c r="O393" s="91"/>
      <x:c r="P393" s="91"/>
      <x:c r="Q393" s="85"/>
      <x:c r="R393" s="85"/>
      <x:c r="S393" s="85"/>
      <x:c r="T393" s="85"/>
      <x:c r="U393" s="85"/>
      <x:c r="V393" s="85"/>
      <x:c r="W393" s="85"/>
      <x:c r="Y393" s="86"/>
      <x:c r="Z393" s="86"/>
      <x:c r="AA393" s="32"/>
    </x:row>
    <x:row r="394">
      <x:c r="A394" s="87"/>
      <x:c r="B394" s="88"/>
      <x:c r="D394" s="32"/>
      <x:c r="I394" s="74"/>
      <x:c r="J394" s="74"/>
      <x:c r="K394" s="74"/>
      <x:c r="L394" s="74"/>
      <x:c r="M394" s="74"/>
      <x:c r="N394" s="74"/>
      <x:c r="O394" s="91"/>
      <x:c r="P394" s="91"/>
      <x:c r="Q394" s="85"/>
      <x:c r="R394" s="85"/>
      <x:c r="S394" s="85"/>
      <x:c r="T394" s="85"/>
      <x:c r="U394" s="85"/>
      <x:c r="V394" s="85"/>
      <x:c r="W394" s="85"/>
      <x:c r="Y394" s="86"/>
      <x:c r="Z394" s="86"/>
      <x:c r="AA394" s="32"/>
    </x:row>
    <x:row r="395">
      <x:c r="A395" s="87"/>
      <x:c r="B395" s="88"/>
      <x:c r="D395" s="32"/>
      <x:c r="I395" s="74"/>
      <x:c r="J395" s="74"/>
      <x:c r="K395" s="74"/>
      <x:c r="L395" s="74"/>
      <x:c r="M395" s="74"/>
      <x:c r="N395" s="74"/>
      <x:c r="O395" s="91"/>
      <x:c r="P395" s="91"/>
      <x:c r="Q395" s="85"/>
      <x:c r="R395" s="85"/>
      <x:c r="S395" s="85"/>
      <x:c r="T395" s="85"/>
      <x:c r="U395" s="85"/>
      <x:c r="V395" s="85"/>
      <x:c r="W395" s="85"/>
      <x:c r="Y395" s="86"/>
      <x:c r="Z395" s="86"/>
      <x:c r="AA395" s="32"/>
    </x:row>
    <x:row r="396">
      <x:c r="A396" s="87"/>
      <x:c r="B396" s="88"/>
      <x:c r="D396" s="32"/>
      <x:c r="I396" s="74"/>
      <x:c r="J396" s="74"/>
      <x:c r="K396" s="74"/>
      <x:c r="L396" s="74"/>
      <x:c r="M396" s="74"/>
      <x:c r="N396" s="74"/>
      <x:c r="O396" s="91"/>
      <x:c r="P396" s="91"/>
      <x:c r="Q396" s="85"/>
      <x:c r="R396" s="85"/>
      <x:c r="S396" s="85"/>
      <x:c r="T396" s="85"/>
      <x:c r="U396" s="85"/>
      <x:c r="V396" s="85"/>
      <x:c r="W396" s="85"/>
      <x:c r="Y396" s="86"/>
      <x:c r="Z396" s="86"/>
      <x:c r="AA396" s="32"/>
    </x:row>
    <x:row r="397">
      <x:c r="A397" s="87"/>
      <x:c r="B397" s="88"/>
      <x:c r="D397" s="32"/>
      <x:c r="I397" s="74"/>
      <x:c r="J397" s="74"/>
      <x:c r="K397" s="74"/>
      <x:c r="L397" s="74"/>
      <x:c r="M397" s="74"/>
      <x:c r="N397" s="74"/>
      <x:c r="O397" s="91"/>
      <x:c r="P397" s="91"/>
      <x:c r="Q397" s="85"/>
      <x:c r="R397" s="85"/>
      <x:c r="S397" s="85"/>
      <x:c r="T397" s="85"/>
      <x:c r="U397" s="85"/>
      <x:c r="V397" s="85"/>
      <x:c r="W397" s="85"/>
      <x:c r="Y397" s="86"/>
      <x:c r="Z397" s="86"/>
      <x:c r="AA397" s="32"/>
    </x:row>
    <x:row r="398">
      <x:c r="A398" s="87"/>
      <x:c r="B398" s="88"/>
      <x:c r="D398" s="32"/>
      <x:c r="I398" s="74"/>
      <x:c r="J398" s="74"/>
      <x:c r="K398" s="74"/>
      <x:c r="L398" s="74"/>
      <x:c r="M398" s="74"/>
      <x:c r="N398" s="74"/>
      <x:c r="O398" s="91"/>
      <x:c r="P398" s="91"/>
      <x:c r="Q398" s="85"/>
      <x:c r="R398" s="85"/>
      <x:c r="S398" s="85"/>
      <x:c r="T398" s="85"/>
      <x:c r="U398" s="85"/>
      <x:c r="V398" s="85"/>
      <x:c r="W398" s="85"/>
      <x:c r="Y398" s="86"/>
      <x:c r="Z398" s="86"/>
      <x:c r="AA398" s="32"/>
    </x:row>
    <x:row r="399">
      <x:c r="A399" s="87"/>
      <x:c r="B399" s="88"/>
      <x:c r="D399" s="32"/>
      <x:c r="I399" s="74"/>
      <x:c r="J399" s="74"/>
      <x:c r="K399" s="74"/>
      <x:c r="L399" s="74"/>
      <x:c r="M399" s="74"/>
      <x:c r="N399" s="74"/>
      <x:c r="O399" s="91"/>
      <x:c r="P399" s="91"/>
      <x:c r="Q399" s="85"/>
      <x:c r="R399" s="85"/>
      <x:c r="S399" s="85"/>
      <x:c r="T399" s="85"/>
      <x:c r="U399" s="85"/>
      <x:c r="V399" s="85"/>
      <x:c r="W399" s="85"/>
      <x:c r="Y399" s="86"/>
      <x:c r="Z399" s="86"/>
      <x:c r="AA399" s="32"/>
    </x:row>
    <x:row r="400">
      <x:c r="A400" s="87"/>
      <x:c r="B400" s="88"/>
      <x:c r="D400" s="32"/>
      <x:c r="I400" s="74"/>
      <x:c r="J400" s="74"/>
      <x:c r="K400" s="74"/>
      <x:c r="L400" s="74"/>
      <x:c r="M400" s="74"/>
      <x:c r="N400" s="74"/>
      <x:c r="O400" s="91"/>
      <x:c r="P400" s="91"/>
      <x:c r="Q400" s="85"/>
      <x:c r="R400" s="85"/>
      <x:c r="S400" s="85"/>
      <x:c r="T400" s="85"/>
      <x:c r="U400" s="85"/>
      <x:c r="V400" s="85"/>
      <x:c r="W400" s="85"/>
      <x:c r="Y400" s="86"/>
      <x:c r="Z400" s="86"/>
      <x:c r="AA400" s="32"/>
    </x:row>
    <x:row r="401">
      <x:c r="A401" s="87"/>
      <x:c r="B401" s="88"/>
      <x:c r="D401" s="32"/>
      <x:c r="I401" s="74"/>
      <x:c r="J401" s="74"/>
      <x:c r="K401" s="74"/>
      <x:c r="L401" s="74"/>
      <x:c r="M401" s="74"/>
      <x:c r="N401" s="74"/>
      <x:c r="O401" s="91"/>
      <x:c r="P401" s="91"/>
      <x:c r="Q401" s="85"/>
      <x:c r="R401" s="85"/>
      <x:c r="S401" s="85"/>
      <x:c r="T401" s="85"/>
      <x:c r="U401" s="85"/>
      <x:c r="V401" s="85"/>
      <x:c r="W401" s="85"/>
      <x:c r="Y401" s="86"/>
      <x:c r="Z401" s="86"/>
      <x:c r="AA401" s="32"/>
    </x:row>
    <x:row r="402">
      <x:c r="A402" s="87"/>
      <x:c r="B402" s="88"/>
      <x:c r="D402" s="32"/>
      <x:c r="I402" s="74"/>
      <x:c r="J402" s="74"/>
      <x:c r="K402" s="74"/>
      <x:c r="L402" s="74"/>
      <x:c r="M402" s="74"/>
      <x:c r="N402" s="74"/>
      <x:c r="O402" s="91"/>
      <x:c r="P402" s="91"/>
      <x:c r="Q402" s="85"/>
      <x:c r="R402" s="85"/>
      <x:c r="S402" s="85"/>
      <x:c r="T402" s="85"/>
      <x:c r="U402" s="85"/>
      <x:c r="V402" s="85"/>
      <x:c r="W402" s="85"/>
      <x:c r="Y402" s="86"/>
      <x:c r="Z402" s="86"/>
      <x:c r="AA402" s="32"/>
    </x:row>
    <x:row r="403">
      <x:c r="A403" s="87"/>
      <x:c r="B403" s="88"/>
      <x:c r="D403" s="32"/>
      <x:c r="I403" s="74"/>
      <x:c r="J403" s="74"/>
      <x:c r="K403" s="74"/>
      <x:c r="L403" s="74"/>
      <x:c r="M403" s="74"/>
      <x:c r="N403" s="74"/>
      <x:c r="O403" s="91"/>
      <x:c r="P403" s="91"/>
      <x:c r="Q403" s="85"/>
      <x:c r="R403" s="85"/>
      <x:c r="S403" s="85"/>
      <x:c r="T403" s="85"/>
      <x:c r="U403" s="85"/>
      <x:c r="V403" s="85"/>
      <x:c r="W403" s="85"/>
      <x:c r="Y403" s="86"/>
      <x:c r="Z403" s="86"/>
      <x:c r="AA403" s="32"/>
    </x:row>
    <x:row r="404">
      <x:c r="A404" s="87"/>
      <x:c r="B404" s="88"/>
      <x:c r="D404" s="32"/>
      <x:c r="I404" s="74"/>
      <x:c r="J404" s="74"/>
      <x:c r="K404" s="74"/>
      <x:c r="L404" s="74"/>
      <x:c r="M404" s="74"/>
      <x:c r="N404" s="74"/>
      <x:c r="O404" s="91"/>
      <x:c r="P404" s="91"/>
      <x:c r="Q404" s="85"/>
      <x:c r="R404" s="85"/>
      <x:c r="S404" s="85"/>
      <x:c r="T404" s="85"/>
      <x:c r="U404" s="85"/>
      <x:c r="V404" s="85"/>
      <x:c r="W404" s="85"/>
      <x:c r="Y404" s="86"/>
      <x:c r="Z404" s="86"/>
      <x:c r="AA404" s="32"/>
    </x:row>
    <x:row r="405">
      <x:c r="A405" s="87"/>
      <x:c r="B405" s="88"/>
      <x:c r="D405" s="32"/>
      <x:c r="I405" s="74"/>
      <x:c r="J405" s="74"/>
      <x:c r="K405" s="74"/>
      <x:c r="L405" s="74"/>
      <x:c r="M405" s="74"/>
      <x:c r="N405" s="74"/>
      <x:c r="O405" s="91"/>
      <x:c r="P405" s="91"/>
      <x:c r="Q405" s="85"/>
      <x:c r="R405" s="85"/>
      <x:c r="S405" s="85"/>
      <x:c r="T405" s="85"/>
      <x:c r="U405" s="85"/>
      <x:c r="V405" s="85"/>
      <x:c r="W405" s="85"/>
      <x:c r="Y405" s="86"/>
      <x:c r="Z405" s="86"/>
      <x:c r="AA405" s="32"/>
    </x:row>
    <x:row r="406">
      <x:c r="A406" s="87"/>
      <x:c r="B406" s="88"/>
      <x:c r="D406" s="32"/>
      <x:c r="I406" s="74"/>
      <x:c r="J406" s="74"/>
      <x:c r="K406" s="74"/>
      <x:c r="L406" s="74"/>
      <x:c r="M406" s="74"/>
      <x:c r="N406" s="74"/>
      <x:c r="O406" s="91"/>
      <x:c r="P406" s="91"/>
      <x:c r="Q406" s="85"/>
      <x:c r="R406" s="85"/>
      <x:c r="S406" s="85"/>
      <x:c r="T406" s="85"/>
      <x:c r="U406" s="85"/>
      <x:c r="V406" s="85"/>
      <x:c r="W406" s="85"/>
      <x:c r="Y406" s="86"/>
      <x:c r="Z406" s="86"/>
      <x:c r="AA406" s="32"/>
    </x:row>
    <x:row r="407">
      <x:c r="A407" s="87"/>
      <x:c r="B407" s="88"/>
      <x:c r="D407" s="32"/>
      <x:c r="I407" s="74"/>
      <x:c r="J407" s="74"/>
      <x:c r="K407" s="74"/>
      <x:c r="L407" s="74"/>
      <x:c r="M407" s="74"/>
      <x:c r="N407" s="74"/>
      <x:c r="O407" s="91"/>
      <x:c r="P407" s="91"/>
      <x:c r="Q407" s="85"/>
      <x:c r="R407" s="85"/>
      <x:c r="S407" s="85"/>
      <x:c r="T407" s="85"/>
      <x:c r="U407" s="85"/>
      <x:c r="V407" s="85"/>
      <x:c r="W407" s="85"/>
      <x:c r="Y407" s="86"/>
      <x:c r="Z407" s="86"/>
      <x:c r="AA407" s="32"/>
    </x:row>
    <x:row r="408">
      <x:c r="A408" s="87"/>
      <x:c r="B408" s="88"/>
      <x:c r="D408" s="32"/>
      <x:c r="I408" s="74"/>
      <x:c r="J408" s="74"/>
      <x:c r="K408" s="74"/>
      <x:c r="L408" s="74"/>
      <x:c r="M408" s="74"/>
      <x:c r="N408" s="74"/>
      <x:c r="O408" s="91"/>
      <x:c r="P408" s="91"/>
      <x:c r="Q408" s="85"/>
      <x:c r="R408" s="85"/>
      <x:c r="S408" s="85"/>
      <x:c r="T408" s="85"/>
      <x:c r="U408" s="85"/>
      <x:c r="V408" s="85"/>
      <x:c r="W408" s="85"/>
      <x:c r="Y408" s="86"/>
      <x:c r="Z408" s="86"/>
      <x:c r="AA408" s="32"/>
    </x:row>
    <x:row r="409">
      <x:c r="A409" s="87"/>
      <x:c r="B409" s="88"/>
      <x:c r="D409" s="32"/>
      <x:c r="I409" s="74"/>
      <x:c r="J409" s="74"/>
      <x:c r="K409" s="74"/>
      <x:c r="L409" s="74"/>
      <x:c r="M409" s="74"/>
      <x:c r="N409" s="74"/>
      <x:c r="O409" s="91"/>
      <x:c r="P409" s="91"/>
      <x:c r="Q409" s="85"/>
      <x:c r="R409" s="85"/>
      <x:c r="S409" s="85"/>
      <x:c r="T409" s="85"/>
      <x:c r="U409" s="85"/>
      <x:c r="V409" s="85"/>
      <x:c r="W409" s="85"/>
      <x:c r="Y409" s="86"/>
      <x:c r="Z409" s="86"/>
      <x:c r="AA409" s="32"/>
    </x:row>
    <x:row r="410">
      <x:c r="A410" s="87"/>
      <x:c r="B410" s="88"/>
      <x:c r="D410" s="32"/>
      <x:c r="I410" s="74"/>
      <x:c r="J410" s="74"/>
      <x:c r="K410" s="74"/>
      <x:c r="L410" s="74"/>
      <x:c r="M410" s="74"/>
      <x:c r="N410" s="74"/>
      <x:c r="O410" s="91"/>
      <x:c r="P410" s="91"/>
      <x:c r="Q410" s="85"/>
      <x:c r="R410" s="85"/>
      <x:c r="S410" s="85"/>
      <x:c r="T410" s="85"/>
      <x:c r="U410" s="85"/>
      <x:c r="V410" s="85"/>
      <x:c r="W410" s="85"/>
      <x:c r="Y410" s="86"/>
      <x:c r="Z410" s="86"/>
      <x:c r="AA410" s="32"/>
    </x:row>
    <x:row r="411">
      <x:c r="A411" s="87"/>
      <x:c r="B411" s="88"/>
      <x:c r="D411" s="32"/>
      <x:c r="I411" s="74"/>
      <x:c r="J411" s="74"/>
      <x:c r="K411" s="74"/>
      <x:c r="L411" s="74"/>
      <x:c r="M411" s="74"/>
      <x:c r="N411" s="74"/>
      <x:c r="O411" s="91"/>
      <x:c r="P411" s="91"/>
      <x:c r="Q411" s="85"/>
      <x:c r="R411" s="85"/>
      <x:c r="S411" s="85"/>
      <x:c r="T411" s="85"/>
      <x:c r="U411" s="85"/>
      <x:c r="V411" s="85"/>
      <x:c r="W411" s="85"/>
      <x:c r="Y411" s="86"/>
      <x:c r="Z411" s="86"/>
      <x:c r="AA411" s="32"/>
    </x:row>
    <x:row r="412">
      <x:c r="A412" s="87"/>
      <x:c r="B412" s="88"/>
      <x:c r="D412" s="32"/>
      <x:c r="I412" s="74"/>
      <x:c r="J412" s="74"/>
      <x:c r="K412" s="74"/>
      <x:c r="L412" s="74"/>
      <x:c r="M412" s="74"/>
      <x:c r="N412" s="74"/>
      <x:c r="O412" s="91"/>
      <x:c r="P412" s="91"/>
      <x:c r="Q412" s="85"/>
      <x:c r="R412" s="85"/>
      <x:c r="S412" s="85"/>
      <x:c r="T412" s="85"/>
      <x:c r="U412" s="85"/>
      <x:c r="V412" s="85"/>
      <x:c r="W412" s="85"/>
      <x:c r="Y412" s="86"/>
      <x:c r="Z412" s="86"/>
      <x:c r="AA412" s="32"/>
    </x:row>
    <x:row r="413">
      <x:c r="A413" s="87"/>
      <x:c r="B413" s="88"/>
      <x:c r="D413" s="32"/>
      <x:c r="I413" s="74"/>
      <x:c r="J413" s="74"/>
      <x:c r="K413" s="74"/>
      <x:c r="L413" s="74"/>
      <x:c r="M413" s="74"/>
      <x:c r="N413" s="74"/>
      <x:c r="O413" s="91"/>
      <x:c r="P413" s="91"/>
      <x:c r="Q413" s="85"/>
      <x:c r="R413" s="85"/>
      <x:c r="S413" s="85"/>
      <x:c r="T413" s="85"/>
      <x:c r="U413" s="85"/>
      <x:c r="V413" s="85"/>
      <x:c r="W413" s="85"/>
      <x:c r="Y413" s="86"/>
      <x:c r="Z413" s="86"/>
      <x:c r="AA413" s="32"/>
    </x:row>
    <x:row r="414">
      <x:c r="A414" s="87"/>
      <x:c r="B414" s="88"/>
      <x:c r="D414" s="32"/>
      <x:c r="I414" s="74"/>
      <x:c r="J414" s="74"/>
      <x:c r="K414" s="74"/>
      <x:c r="L414" s="74"/>
      <x:c r="M414" s="74"/>
      <x:c r="N414" s="74"/>
      <x:c r="O414" s="91"/>
      <x:c r="P414" s="91"/>
      <x:c r="Q414" s="85"/>
      <x:c r="R414" s="85"/>
      <x:c r="S414" s="85"/>
      <x:c r="T414" s="85"/>
      <x:c r="U414" s="85"/>
      <x:c r="V414" s="85"/>
      <x:c r="W414" s="85"/>
      <x:c r="Y414" s="86"/>
      <x:c r="Z414" s="86"/>
      <x:c r="AA414" s="32"/>
    </x:row>
    <x:row r="415">
      <x:c r="A415" s="87"/>
      <x:c r="B415" s="88"/>
      <x:c r="D415" s="32"/>
      <x:c r="I415" s="74"/>
      <x:c r="J415" s="74"/>
      <x:c r="K415" s="74"/>
      <x:c r="L415" s="74"/>
      <x:c r="M415" s="74"/>
      <x:c r="N415" s="74"/>
      <x:c r="O415" s="91"/>
      <x:c r="P415" s="91"/>
      <x:c r="Q415" s="85"/>
      <x:c r="R415" s="85"/>
      <x:c r="S415" s="85"/>
      <x:c r="T415" s="85"/>
      <x:c r="U415" s="85"/>
      <x:c r="V415" s="85"/>
      <x:c r="W415" s="85"/>
      <x:c r="Y415" s="86"/>
      <x:c r="Z415" s="86"/>
      <x:c r="AA415" s="32"/>
    </x:row>
    <x:row r="416">
      <x:c r="A416" s="87"/>
      <x:c r="B416" s="88"/>
      <x:c r="D416" s="32"/>
      <x:c r="I416" s="74"/>
      <x:c r="J416" s="74"/>
      <x:c r="K416" s="74"/>
      <x:c r="L416" s="74"/>
      <x:c r="M416" s="74"/>
      <x:c r="N416" s="74"/>
      <x:c r="O416" s="91"/>
      <x:c r="P416" s="91"/>
      <x:c r="Q416" s="85"/>
      <x:c r="R416" s="85"/>
      <x:c r="S416" s="85"/>
      <x:c r="T416" s="85"/>
      <x:c r="U416" s="85"/>
      <x:c r="V416" s="85"/>
      <x:c r="W416" s="85"/>
      <x:c r="Y416" s="86"/>
      <x:c r="Z416" s="86"/>
      <x:c r="AA416" s="32"/>
    </x:row>
    <x:row r="417">
      <x:c r="A417" s="87"/>
      <x:c r="B417" s="88"/>
      <x:c r="D417" s="32"/>
      <x:c r="I417" s="74"/>
      <x:c r="J417" s="74"/>
      <x:c r="K417" s="74"/>
      <x:c r="L417" s="74"/>
      <x:c r="M417" s="74"/>
      <x:c r="N417" s="74"/>
      <x:c r="O417" s="91"/>
      <x:c r="P417" s="91"/>
      <x:c r="Q417" s="85"/>
      <x:c r="R417" s="85"/>
      <x:c r="S417" s="85"/>
      <x:c r="T417" s="85"/>
      <x:c r="U417" s="85"/>
      <x:c r="V417" s="85"/>
      <x:c r="W417" s="85"/>
      <x:c r="Y417" s="86"/>
      <x:c r="Z417" s="86"/>
      <x:c r="AA417" s="32"/>
    </x:row>
    <x:row r="418">
      <x:c r="A418" s="87"/>
      <x:c r="B418" s="88"/>
      <x:c r="D418" s="32"/>
      <x:c r="I418" s="74"/>
      <x:c r="J418" s="74"/>
      <x:c r="K418" s="74"/>
      <x:c r="L418" s="74"/>
      <x:c r="M418" s="74"/>
      <x:c r="N418" s="74"/>
      <x:c r="O418" s="91"/>
      <x:c r="P418" s="91"/>
      <x:c r="Q418" s="85"/>
      <x:c r="R418" s="85"/>
      <x:c r="S418" s="85"/>
      <x:c r="T418" s="85"/>
      <x:c r="U418" s="85"/>
      <x:c r="V418" s="85"/>
      <x:c r="W418" s="85"/>
      <x:c r="Y418" s="86"/>
      <x:c r="Z418" s="86"/>
      <x:c r="AA418" s="32"/>
    </x:row>
    <x:row r="419">
      <x:c r="A419" s="87"/>
      <x:c r="B419" s="88"/>
      <x:c r="D419" s="32"/>
      <x:c r="I419" s="74"/>
      <x:c r="J419" s="74"/>
      <x:c r="K419" s="74"/>
      <x:c r="L419" s="74"/>
      <x:c r="M419" s="74"/>
      <x:c r="N419" s="74"/>
      <x:c r="O419" s="91"/>
      <x:c r="P419" s="91"/>
      <x:c r="Q419" s="85"/>
      <x:c r="R419" s="85"/>
      <x:c r="S419" s="85"/>
      <x:c r="T419" s="85"/>
      <x:c r="U419" s="85"/>
      <x:c r="V419" s="85"/>
      <x:c r="W419" s="85"/>
      <x:c r="Y419" s="86"/>
      <x:c r="Z419" s="86"/>
      <x:c r="AA419" s="32"/>
    </x:row>
    <x:row r="420">
      <x:c r="A420" s="87"/>
      <x:c r="B420" s="88"/>
      <x:c r="D420" s="32"/>
      <x:c r="I420" s="74"/>
      <x:c r="J420" s="74"/>
      <x:c r="K420" s="74"/>
      <x:c r="L420" s="74"/>
      <x:c r="M420" s="74"/>
      <x:c r="N420" s="74"/>
      <x:c r="O420" s="91"/>
      <x:c r="P420" s="91"/>
      <x:c r="Q420" s="85"/>
      <x:c r="R420" s="85"/>
      <x:c r="S420" s="85"/>
      <x:c r="T420" s="85"/>
      <x:c r="U420" s="85"/>
      <x:c r="V420" s="85"/>
      <x:c r="W420" s="85"/>
      <x:c r="Y420" s="86"/>
      <x:c r="Z420" s="86"/>
      <x:c r="AA420" s="32"/>
    </x:row>
    <x:row r="421">
      <x:c r="A421" s="87"/>
      <x:c r="B421" s="88"/>
      <x:c r="D421" s="32"/>
      <x:c r="I421" s="74"/>
      <x:c r="J421" s="74"/>
      <x:c r="K421" s="74"/>
      <x:c r="L421" s="74"/>
      <x:c r="M421" s="74"/>
      <x:c r="N421" s="74"/>
      <x:c r="O421" s="91"/>
      <x:c r="P421" s="91"/>
      <x:c r="Q421" s="85"/>
      <x:c r="R421" s="85"/>
      <x:c r="S421" s="85"/>
      <x:c r="T421" s="85"/>
      <x:c r="U421" s="85"/>
      <x:c r="V421" s="85"/>
      <x:c r="W421" s="85"/>
      <x:c r="Y421" s="86"/>
      <x:c r="Z421" s="86"/>
      <x:c r="AA421" s="32"/>
    </x:row>
    <x:row r="422">
      <x:c r="A422" s="87"/>
      <x:c r="B422" s="88"/>
      <x:c r="D422" s="32"/>
      <x:c r="I422" s="74"/>
      <x:c r="J422" s="74"/>
      <x:c r="K422" s="74"/>
      <x:c r="L422" s="74"/>
      <x:c r="M422" s="74"/>
      <x:c r="N422" s="74"/>
      <x:c r="O422" s="91"/>
      <x:c r="P422" s="91"/>
      <x:c r="Q422" s="85"/>
      <x:c r="R422" s="85"/>
      <x:c r="S422" s="85"/>
      <x:c r="T422" s="85"/>
      <x:c r="U422" s="85"/>
      <x:c r="V422" s="85"/>
      <x:c r="W422" s="85"/>
      <x:c r="Y422" s="86"/>
      <x:c r="Z422" s="86"/>
      <x:c r="AA422" s="32"/>
    </x:row>
    <x:row r="423">
      <x:c r="A423" s="87"/>
      <x:c r="B423" s="88"/>
      <x:c r="D423" s="32"/>
      <x:c r="I423" s="74"/>
      <x:c r="J423" s="74"/>
      <x:c r="K423" s="74"/>
      <x:c r="L423" s="74"/>
      <x:c r="M423" s="74"/>
      <x:c r="N423" s="74"/>
      <x:c r="O423" s="91"/>
      <x:c r="P423" s="91"/>
      <x:c r="Q423" s="85"/>
      <x:c r="R423" s="85"/>
      <x:c r="S423" s="85"/>
      <x:c r="T423" s="85"/>
      <x:c r="U423" s="85"/>
      <x:c r="V423" s="85"/>
      <x:c r="W423" s="85"/>
      <x:c r="Y423" s="86"/>
      <x:c r="Z423" s="86"/>
      <x:c r="AA423" s="32"/>
    </x:row>
    <x:row r="424">
      <x:c r="A424" s="87"/>
      <x:c r="B424" s="88"/>
      <x:c r="D424" s="32"/>
      <x:c r="I424" s="74"/>
      <x:c r="J424" s="74"/>
      <x:c r="K424" s="74"/>
      <x:c r="L424" s="74"/>
      <x:c r="M424" s="74"/>
      <x:c r="N424" s="74"/>
      <x:c r="O424" s="91"/>
      <x:c r="P424" s="91"/>
      <x:c r="Q424" s="85"/>
      <x:c r="R424" s="85"/>
      <x:c r="S424" s="85"/>
      <x:c r="T424" s="85"/>
      <x:c r="U424" s="85"/>
      <x:c r="V424" s="85"/>
      <x:c r="W424" s="85"/>
      <x:c r="Y424" s="86"/>
      <x:c r="Z424" s="86"/>
      <x:c r="AA424" s="32"/>
    </x:row>
    <x:row r="425">
      <x:c r="A425" s="87"/>
      <x:c r="B425" s="88"/>
      <x:c r="D425" s="32"/>
      <x:c r="I425" s="74"/>
      <x:c r="J425" s="74"/>
      <x:c r="K425" s="74"/>
      <x:c r="L425" s="74"/>
      <x:c r="M425" s="74"/>
      <x:c r="N425" s="74"/>
      <x:c r="O425" s="91"/>
      <x:c r="P425" s="91"/>
      <x:c r="Q425" s="85"/>
      <x:c r="R425" s="85"/>
      <x:c r="S425" s="85"/>
      <x:c r="T425" s="85"/>
      <x:c r="U425" s="85"/>
      <x:c r="V425" s="85"/>
      <x:c r="W425" s="85"/>
      <x:c r="Y425" s="86"/>
      <x:c r="Z425" s="86"/>
      <x:c r="AA425" s="32"/>
    </x:row>
    <x:row r="426">
      <x:c r="A426" s="87"/>
      <x:c r="B426" s="88"/>
      <x:c r="D426" s="32"/>
      <x:c r="I426" s="74"/>
      <x:c r="J426" s="74"/>
      <x:c r="K426" s="74"/>
      <x:c r="L426" s="74"/>
      <x:c r="M426" s="74"/>
      <x:c r="N426" s="74"/>
      <x:c r="O426" s="91"/>
      <x:c r="P426" s="91"/>
      <x:c r="Q426" s="85"/>
      <x:c r="R426" s="85"/>
      <x:c r="S426" s="85"/>
      <x:c r="T426" s="85"/>
      <x:c r="U426" s="85"/>
      <x:c r="V426" s="85"/>
      <x:c r="W426" s="85"/>
      <x:c r="Y426" s="86"/>
      <x:c r="Z426" s="86"/>
      <x:c r="AA426" s="32"/>
    </x:row>
    <x:row r="427">
      <x:c r="A427" s="87"/>
      <x:c r="B427" s="88"/>
      <x:c r="D427" s="32"/>
      <x:c r="I427" s="74"/>
      <x:c r="J427" s="74"/>
      <x:c r="K427" s="74"/>
      <x:c r="L427" s="74"/>
      <x:c r="M427" s="74"/>
      <x:c r="N427" s="74"/>
      <x:c r="O427" s="91"/>
      <x:c r="P427" s="91"/>
      <x:c r="Q427" s="85"/>
      <x:c r="R427" s="85"/>
      <x:c r="S427" s="85"/>
      <x:c r="T427" s="85"/>
      <x:c r="U427" s="85"/>
      <x:c r="V427" s="85"/>
      <x:c r="W427" s="85"/>
      <x:c r="Y427" s="86"/>
      <x:c r="Z427" s="86"/>
      <x:c r="AA427" s="32"/>
    </x:row>
    <x:row r="428">
      <x:c r="A428" s="87"/>
      <x:c r="B428" s="88"/>
      <x:c r="D428" s="32"/>
      <x:c r="I428" s="74"/>
      <x:c r="J428" s="74"/>
      <x:c r="K428" s="74"/>
      <x:c r="L428" s="74"/>
      <x:c r="M428" s="74"/>
      <x:c r="N428" s="74"/>
      <x:c r="O428" s="91"/>
      <x:c r="P428" s="91"/>
      <x:c r="Q428" s="85"/>
      <x:c r="R428" s="85"/>
      <x:c r="S428" s="85"/>
      <x:c r="T428" s="85"/>
      <x:c r="U428" s="85"/>
      <x:c r="V428" s="85"/>
      <x:c r="W428" s="85"/>
      <x:c r="Y428" s="86"/>
      <x:c r="Z428" s="86"/>
      <x:c r="AA428" s="32"/>
    </x:row>
    <x:row r="429">
      <x:c r="A429" s="87"/>
      <x:c r="B429" s="88"/>
      <x:c r="D429" s="32"/>
      <x:c r="I429" s="74"/>
      <x:c r="J429" s="74"/>
      <x:c r="K429" s="74"/>
      <x:c r="L429" s="74"/>
      <x:c r="M429" s="74"/>
      <x:c r="N429" s="74"/>
      <x:c r="O429" s="91"/>
      <x:c r="P429" s="91"/>
      <x:c r="Q429" s="85"/>
      <x:c r="R429" s="85"/>
      <x:c r="S429" s="85"/>
      <x:c r="T429" s="85"/>
      <x:c r="U429" s="85"/>
      <x:c r="V429" s="85"/>
      <x:c r="W429" s="85"/>
      <x:c r="Y429" s="86"/>
      <x:c r="Z429" s="86"/>
      <x:c r="AA429" s="32"/>
    </x:row>
    <x:row r="430">
      <x:c r="A430" s="87"/>
      <x:c r="B430" s="88"/>
      <x:c r="D430" s="32"/>
      <x:c r="I430" s="74"/>
      <x:c r="J430" s="74"/>
      <x:c r="K430" s="74"/>
      <x:c r="L430" s="74"/>
      <x:c r="M430" s="74"/>
      <x:c r="N430" s="74"/>
      <x:c r="O430" s="91"/>
      <x:c r="P430" s="91"/>
      <x:c r="Q430" s="85"/>
      <x:c r="R430" s="85"/>
      <x:c r="S430" s="85"/>
      <x:c r="T430" s="85"/>
      <x:c r="U430" s="85"/>
      <x:c r="V430" s="85"/>
      <x:c r="W430" s="85"/>
      <x:c r="Y430" s="86"/>
      <x:c r="Z430" s="86"/>
      <x:c r="AA430" s="32"/>
    </x:row>
    <x:row r="431">
      <x:c r="A431" s="87"/>
      <x:c r="B431" s="88"/>
      <x:c r="D431" s="32"/>
      <x:c r="I431" s="74"/>
      <x:c r="J431" s="74"/>
      <x:c r="K431" s="74"/>
      <x:c r="L431" s="74"/>
      <x:c r="M431" s="74"/>
      <x:c r="N431" s="74"/>
      <x:c r="O431" s="91"/>
      <x:c r="P431" s="91"/>
      <x:c r="Q431" s="85"/>
      <x:c r="R431" s="85"/>
      <x:c r="S431" s="85"/>
      <x:c r="T431" s="85"/>
      <x:c r="U431" s="85"/>
      <x:c r="V431" s="85"/>
      <x:c r="W431" s="85"/>
      <x:c r="Y431" s="86"/>
      <x:c r="Z431" s="86"/>
      <x:c r="AA431" s="32"/>
    </x:row>
    <x:row r="432">
      <x:c r="A432" s="87"/>
      <x:c r="B432" s="88"/>
      <x:c r="D432" s="32"/>
      <x:c r="I432" s="74"/>
      <x:c r="J432" s="74"/>
      <x:c r="K432" s="74"/>
      <x:c r="L432" s="74"/>
      <x:c r="M432" s="74"/>
      <x:c r="N432" s="74"/>
      <x:c r="O432" s="91"/>
      <x:c r="P432" s="91"/>
      <x:c r="Q432" s="85"/>
      <x:c r="R432" s="85"/>
      <x:c r="S432" s="85"/>
      <x:c r="T432" s="85"/>
      <x:c r="U432" s="85"/>
      <x:c r="V432" s="85"/>
      <x:c r="W432" s="85"/>
      <x:c r="Y432" s="86"/>
      <x:c r="Z432" s="86"/>
      <x:c r="AA432" s="32"/>
    </x:row>
    <x:row r="433">
      <x:c r="A433" s="87"/>
      <x:c r="B433" s="88"/>
      <x:c r="D433" s="32"/>
      <x:c r="I433" s="74"/>
      <x:c r="J433" s="74"/>
      <x:c r="K433" s="74"/>
      <x:c r="L433" s="74"/>
      <x:c r="M433" s="74"/>
      <x:c r="N433" s="74"/>
      <x:c r="O433" s="91"/>
      <x:c r="P433" s="91"/>
      <x:c r="Q433" s="85"/>
      <x:c r="R433" s="85"/>
      <x:c r="S433" s="85"/>
      <x:c r="T433" s="85"/>
      <x:c r="U433" s="85"/>
      <x:c r="V433" s="85"/>
      <x:c r="W433" s="85"/>
      <x:c r="Y433" s="86"/>
      <x:c r="Z433" s="86"/>
      <x:c r="AA433" s="32"/>
    </x:row>
    <x:row r="434">
      <x:c r="A434" s="87"/>
      <x:c r="B434" s="88"/>
      <x:c r="D434" s="32"/>
      <x:c r="I434" s="74"/>
      <x:c r="J434" s="74"/>
      <x:c r="K434" s="74"/>
      <x:c r="L434" s="74"/>
      <x:c r="M434" s="74"/>
      <x:c r="N434" s="74"/>
      <x:c r="O434" s="91"/>
      <x:c r="P434" s="91"/>
      <x:c r="Q434" s="85"/>
      <x:c r="R434" s="85"/>
      <x:c r="S434" s="85"/>
      <x:c r="T434" s="85"/>
      <x:c r="U434" s="85"/>
      <x:c r="V434" s="85"/>
      <x:c r="W434" s="85"/>
      <x:c r="Y434" s="86"/>
      <x:c r="Z434" s="86"/>
      <x:c r="AA434" s="32"/>
    </x:row>
    <x:row r="435">
      <x:c r="A435" s="87"/>
      <x:c r="B435" s="88"/>
      <x:c r="D435" s="32"/>
      <x:c r="I435" s="74"/>
      <x:c r="J435" s="74"/>
      <x:c r="K435" s="74"/>
      <x:c r="L435" s="74"/>
      <x:c r="M435" s="74"/>
      <x:c r="N435" s="74"/>
      <x:c r="O435" s="91"/>
      <x:c r="P435" s="91"/>
      <x:c r="Q435" s="85"/>
      <x:c r="R435" s="85"/>
      <x:c r="S435" s="85"/>
      <x:c r="T435" s="85"/>
      <x:c r="U435" s="85"/>
      <x:c r="V435" s="85"/>
      <x:c r="W435" s="85"/>
      <x:c r="Y435" s="86"/>
      <x:c r="Z435" s="86"/>
      <x:c r="AA435" s="32"/>
    </x:row>
    <x:row r="436">
      <x:c r="A436" s="87"/>
      <x:c r="B436" s="88"/>
      <x:c r="D436" s="32"/>
      <x:c r="I436" s="74"/>
      <x:c r="J436" s="74"/>
      <x:c r="K436" s="74"/>
      <x:c r="L436" s="74"/>
      <x:c r="M436" s="74"/>
      <x:c r="N436" s="74"/>
      <x:c r="O436" s="91"/>
      <x:c r="P436" s="91"/>
      <x:c r="Q436" s="85"/>
      <x:c r="R436" s="85"/>
      <x:c r="S436" s="85"/>
      <x:c r="T436" s="85"/>
      <x:c r="U436" s="85"/>
      <x:c r="V436" s="85"/>
      <x:c r="W436" s="85"/>
      <x:c r="Y436" s="86"/>
      <x:c r="Z436" s="86"/>
      <x:c r="AA436" s="32"/>
    </x:row>
    <x:row r="437">
      <x:c r="A437" s="87"/>
      <x:c r="B437" s="88"/>
      <x:c r="D437" s="32"/>
      <x:c r="I437" s="74"/>
      <x:c r="J437" s="74"/>
      <x:c r="K437" s="74"/>
      <x:c r="L437" s="74"/>
      <x:c r="M437" s="74"/>
      <x:c r="N437" s="74"/>
      <x:c r="O437" s="91"/>
      <x:c r="P437" s="91"/>
      <x:c r="Q437" s="85"/>
      <x:c r="R437" s="85"/>
      <x:c r="S437" s="85"/>
      <x:c r="T437" s="85"/>
      <x:c r="U437" s="85"/>
      <x:c r="V437" s="85"/>
      <x:c r="W437" s="85"/>
      <x:c r="Y437" s="86"/>
      <x:c r="Z437" s="86"/>
      <x:c r="AA437" s="32"/>
    </x:row>
    <x:row r="438">
      <x:c r="A438" s="87"/>
      <x:c r="B438" s="88"/>
      <x:c r="D438" s="32"/>
      <x:c r="I438" s="74"/>
      <x:c r="J438" s="74"/>
      <x:c r="K438" s="74"/>
      <x:c r="L438" s="74"/>
      <x:c r="M438" s="74"/>
      <x:c r="N438" s="74"/>
      <x:c r="O438" s="91"/>
      <x:c r="P438" s="91"/>
      <x:c r="Q438" s="85"/>
      <x:c r="R438" s="85"/>
      <x:c r="S438" s="85"/>
      <x:c r="T438" s="85"/>
      <x:c r="U438" s="85"/>
      <x:c r="V438" s="85"/>
      <x:c r="W438" s="85"/>
      <x:c r="Y438" s="86"/>
      <x:c r="Z438" s="86"/>
      <x:c r="AA438" s="32"/>
    </x:row>
    <x:row r="439">
      <x:c r="A439" s="87"/>
      <x:c r="B439" s="88"/>
      <x:c r="D439" s="32"/>
      <x:c r="I439" s="74"/>
      <x:c r="J439" s="74"/>
      <x:c r="K439" s="74"/>
      <x:c r="L439" s="74"/>
      <x:c r="M439" s="74"/>
      <x:c r="N439" s="74"/>
      <x:c r="O439" s="91"/>
      <x:c r="P439" s="91"/>
      <x:c r="Q439" s="85"/>
      <x:c r="R439" s="85"/>
      <x:c r="S439" s="85"/>
      <x:c r="T439" s="85"/>
      <x:c r="U439" s="85"/>
      <x:c r="V439" s="85"/>
      <x:c r="W439" s="85"/>
      <x:c r="Y439" s="86"/>
      <x:c r="Z439" s="86"/>
      <x:c r="AA439" s="32"/>
    </x:row>
    <x:row r="440">
      <x:c r="A440" s="87"/>
      <x:c r="B440" s="88"/>
      <x:c r="D440" s="32"/>
      <x:c r="I440" s="74"/>
      <x:c r="J440" s="74"/>
      <x:c r="K440" s="74"/>
      <x:c r="L440" s="74"/>
      <x:c r="M440" s="74"/>
      <x:c r="N440" s="74"/>
      <x:c r="O440" s="91"/>
      <x:c r="P440" s="91"/>
      <x:c r="Q440" s="85"/>
      <x:c r="R440" s="85"/>
      <x:c r="S440" s="85"/>
      <x:c r="T440" s="85"/>
      <x:c r="U440" s="85"/>
      <x:c r="V440" s="85"/>
      <x:c r="W440" s="85"/>
      <x:c r="Y440" s="86"/>
      <x:c r="Z440" s="86"/>
      <x:c r="AA440" s="32"/>
    </x:row>
    <x:row r="441">
      <x:c r="A441" s="87"/>
      <x:c r="B441" s="88"/>
      <x:c r="D441" s="32"/>
      <x:c r="I441" s="74"/>
      <x:c r="J441" s="74"/>
      <x:c r="K441" s="74"/>
      <x:c r="L441" s="74"/>
      <x:c r="M441" s="74"/>
      <x:c r="N441" s="74"/>
      <x:c r="O441" s="91"/>
      <x:c r="P441" s="91"/>
      <x:c r="Q441" s="85"/>
      <x:c r="R441" s="85"/>
      <x:c r="S441" s="85"/>
      <x:c r="T441" s="85"/>
      <x:c r="U441" s="85"/>
      <x:c r="V441" s="85"/>
      <x:c r="W441" s="85"/>
      <x:c r="Y441" s="86"/>
      <x:c r="Z441" s="86"/>
      <x:c r="AA441" s="32"/>
    </x:row>
    <x:row r="442">
      <x:c r="A442" s="87"/>
      <x:c r="B442" s="88"/>
      <x:c r="D442" s="32"/>
      <x:c r="I442" s="74"/>
      <x:c r="J442" s="74"/>
      <x:c r="K442" s="74"/>
      <x:c r="L442" s="74"/>
      <x:c r="M442" s="74"/>
      <x:c r="N442" s="74"/>
      <x:c r="O442" s="91"/>
      <x:c r="P442" s="91"/>
      <x:c r="Q442" s="85"/>
      <x:c r="R442" s="85"/>
      <x:c r="S442" s="85"/>
      <x:c r="T442" s="85"/>
      <x:c r="U442" s="85"/>
      <x:c r="V442" s="85"/>
      <x:c r="W442" s="85"/>
      <x:c r="Y442" s="86"/>
      <x:c r="Z442" s="86"/>
      <x:c r="AA442" s="32"/>
    </x:row>
    <x:row r="443">
      <x:c r="A443" s="87"/>
      <x:c r="B443" s="88"/>
      <x:c r="D443" s="32"/>
      <x:c r="I443" s="74"/>
      <x:c r="J443" s="74"/>
      <x:c r="K443" s="74"/>
      <x:c r="L443" s="74"/>
      <x:c r="M443" s="74"/>
      <x:c r="N443" s="74"/>
      <x:c r="O443" s="91"/>
      <x:c r="P443" s="91"/>
      <x:c r="Q443" s="85"/>
      <x:c r="R443" s="85"/>
      <x:c r="S443" s="85"/>
      <x:c r="T443" s="85"/>
      <x:c r="U443" s="85"/>
      <x:c r="V443" s="85"/>
      <x:c r="W443" s="85"/>
      <x:c r="Y443" s="86"/>
      <x:c r="Z443" s="86"/>
      <x:c r="AA443" s="32"/>
    </x:row>
    <x:row r="444">
      <x:c r="A444" s="87"/>
      <x:c r="B444" s="88"/>
      <x:c r="D444" s="32"/>
      <x:c r="I444" s="74"/>
      <x:c r="J444" s="74"/>
      <x:c r="K444" s="74"/>
      <x:c r="L444" s="74"/>
      <x:c r="M444" s="74"/>
      <x:c r="N444" s="74"/>
      <x:c r="O444" s="91"/>
      <x:c r="P444" s="91"/>
      <x:c r="Q444" s="85"/>
      <x:c r="R444" s="85"/>
      <x:c r="S444" s="85"/>
      <x:c r="T444" s="85"/>
      <x:c r="U444" s="85"/>
      <x:c r="V444" s="85"/>
      <x:c r="W444" s="85"/>
      <x:c r="Y444" s="86"/>
      <x:c r="Z444" s="86"/>
      <x:c r="AA444" s="32"/>
    </x:row>
    <x:row r="445">
      <x:c r="A445" s="87"/>
      <x:c r="B445" s="88"/>
      <x:c r="D445" s="32"/>
      <x:c r="I445" s="74"/>
      <x:c r="J445" s="74"/>
      <x:c r="K445" s="74"/>
      <x:c r="L445" s="74"/>
      <x:c r="M445" s="74"/>
      <x:c r="N445" s="74"/>
      <x:c r="O445" s="91"/>
      <x:c r="P445" s="91"/>
      <x:c r="Q445" s="85"/>
      <x:c r="R445" s="85"/>
      <x:c r="S445" s="85"/>
      <x:c r="T445" s="85"/>
      <x:c r="U445" s="85"/>
      <x:c r="V445" s="85"/>
      <x:c r="W445" s="85"/>
      <x:c r="Y445" s="86"/>
      <x:c r="Z445" s="86"/>
      <x:c r="AA445" s="32"/>
    </x:row>
    <x:row r="446">
      <x:c r="A446" s="87"/>
      <x:c r="B446" s="88"/>
      <x:c r="D446" s="32"/>
      <x:c r="I446" s="74"/>
      <x:c r="J446" s="74"/>
      <x:c r="K446" s="74"/>
      <x:c r="L446" s="74"/>
      <x:c r="M446" s="74"/>
      <x:c r="N446" s="74"/>
      <x:c r="O446" s="91"/>
      <x:c r="P446" s="91"/>
      <x:c r="Q446" s="85"/>
      <x:c r="R446" s="85"/>
      <x:c r="S446" s="85"/>
      <x:c r="T446" s="85"/>
      <x:c r="U446" s="85"/>
      <x:c r="V446" s="85"/>
      <x:c r="W446" s="85"/>
      <x:c r="Y446" s="86"/>
      <x:c r="Z446" s="86"/>
      <x:c r="AA446" s="32"/>
    </x:row>
    <x:row r="447">
      <x:c r="A447" s="87"/>
      <x:c r="B447" s="88"/>
      <x:c r="D447" s="32"/>
      <x:c r="I447" s="74"/>
      <x:c r="J447" s="74"/>
      <x:c r="K447" s="74"/>
      <x:c r="L447" s="74"/>
      <x:c r="M447" s="74"/>
      <x:c r="N447" s="74"/>
      <x:c r="O447" s="91"/>
      <x:c r="P447" s="91"/>
      <x:c r="Q447" s="85"/>
      <x:c r="R447" s="85"/>
      <x:c r="S447" s="85"/>
      <x:c r="T447" s="85"/>
      <x:c r="U447" s="85"/>
      <x:c r="V447" s="85"/>
      <x:c r="W447" s="85"/>
      <x:c r="Y447" s="86"/>
      <x:c r="Z447" s="86"/>
      <x:c r="AA447" s="32"/>
    </x:row>
    <x:row r="448">
      <x:c r="A448" s="87"/>
      <x:c r="B448" s="88"/>
      <x:c r="D448" s="32"/>
      <x:c r="I448" s="74"/>
      <x:c r="J448" s="74"/>
      <x:c r="K448" s="74"/>
      <x:c r="L448" s="74"/>
      <x:c r="M448" s="74"/>
      <x:c r="N448" s="74"/>
      <x:c r="O448" s="91"/>
      <x:c r="P448" s="91"/>
      <x:c r="Q448" s="85"/>
      <x:c r="R448" s="85"/>
      <x:c r="S448" s="85"/>
      <x:c r="T448" s="85"/>
      <x:c r="U448" s="85"/>
      <x:c r="V448" s="85"/>
      <x:c r="W448" s="85"/>
      <x:c r="Y448" s="86"/>
      <x:c r="Z448" s="86"/>
      <x:c r="AA448" s="32"/>
    </x:row>
    <x:row r="449">
      <x:c r="A449" s="87"/>
      <x:c r="B449" s="88"/>
      <x:c r="D449" s="32"/>
      <x:c r="I449" s="74"/>
      <x:c r="J449" s="74"/>
      <x:c r="K449" s="74"/>
      <x:c r="L449" s="74"/>
      <x:c r="M449" s="74"/>
      <x:c r="N449" s="74"/>
      <x:c r="O449" s="91"/>
      <x:c r="P449" s="91"/>
      <x:c r="Q449" s="85"/>
      <x:c r="R449" s="85"/>
      <x:c r="S449" s="85"/>
      <x:c r="T449" s="85"/>
      <x:c r="U449" s="85"/>
      <x:c r="V449" s="85"/>
      <x:c r="W449" s="85"/>
      <x:c r="Y449" s="86"/>
      <x:c r="Z449" s="86"/>
      <x:c r="AA449" s="32"/>
    </x:row>
    <x:row r="450">
      <x:c r="A450" s="87"/>
      <x:c r="B450" s="88"/>
      <x:c r="D450" s="32"/>
      <x:c r="I450" s="74"/>
      <x:c r="J450" s="74"/>
      <x:c r="K450" s="74"/>
      <x:c r="L450" s="74"/>
      <x:c r="M450" s="74"/>
      <x:c r="N450" s="74"/>
      <x:c r="O450" s="91"/>
      <x:c r="P450" s="91"/>
      <x:c r="Q450" s="85"/>
      <x:c r="R450" s="85"/>
      <x:c r="S450" s="85"/>
      <x:c r="T450" s="85"/>
      <x:c r="U450" s="85"/>
      <x:c r="V450" s="85"/>
      <x:c r="W450" s="85"/>
      <x:c r="Y450" s="86"/>
      <x:c r="Z450" s="86"/>
      <x:c r="AA450" s="32"/>
    </x:row>
    <x:row r="451">
      <x:c r="A451" s="87"/>
      <x:c r="B451" s="88"/>
      <x:c r="D451" s="32"/>
      <x:c r="I451" s="74"/>
      <x:c r="J451" s="74"/>
      <x:c r="K451" s="74"/>
      <x:c r="L451" s="74"/>
      <x:c r="M451" s="74"/>
      <x:c r="N451" s="74"/>
      <x:c r="O451" s="91"/>
      <x:c r="P451" s="91"/>
      <x:c r="Q451" s="85"/>
      <x:c r="R451" s="85"/>
      <x:c r="S451" s="85"/>
      <x:c r="T451" s="85"/>
      <x:c r="U451" s="85"/>
      <x:c r="V451" s="85"/>
      <x:c r="W451" s="85"/>
      <x:c r="Y451" s="86"/>
      <x:c r="Z451" s="86"/>
      <x:c r="AA451" s="32"/>
    </x:row>
    <x:row r="452">
      <x:c r="A452" s="87"/>
      <x:c r="B452" s="88"/>
      <x:c r="D452" s="32"/>
      <x:c r="I452" s="74"/>
      <x:c r="J452" s="74"/>
      <x:c r="K452" s="74"/>
      <x:c r="L452" s="74"/>
      <x:c r="M452" s="74"/>
      <x:c r="N452" s="74"/>
      <x:c r="O452" s="91"/>
      <x:c r="P452" s="91"/>
      <x:c r="Q452" s="85"/>
      <x:c r="R452" s="85"/>
      <x:c r="S452" s="85"/>
      <x:c r="T452" s="85"/>
      <x:c r="U452" s="85"/>
      <x:c r="V452" s="85"/>
      <x:c r="W452" s="85"/>
      <x:c r="Y452" s="86"/>
      <x:c r="Z452" s="86"/>
      <x:c r="AA452" s="32"/>
    </x:row>
    <x:row r="453">
      <x:c r="A453" s="87"/>
      <x:c r="B453" s="88"/>
      <x:c r="D453" s="32"/>
      <x:c r="I453" s="74"/>
      <x:c r="J453" s="74"/>
      <x:c r="K453" s="74"/>
      <x:c r="L453" s="74"/>
      <x:c r="M453" s="74"/>
      <x:c r="N453" s="74"/>
      <x:c r="O453" s="91"/>
      <x:c r="P453" s="91"/>
      <x:c r="Q453" s="85"/>
      <x:c r="R453" s="85"/>
      <x:c r="S453" s="85"/>
      <x:c r="T453" s="85"/>
      <x:c r="U453" s="85"/>
      <x:c r="V453" s="85"/>
      <x:c r="W453" s="85"/>
      <x:c r="Y453" s="86"/>
      <x:c r="Z453" s="86"/>
      <x:c r="AA453" s="32"/>
    </x:row>
    <x:row r="454">
      <x:c r="A454" s="87"/>
      <x:c r="B454" s="88"/>
      <x:c r="D454" s="32"/>
      <x:c r="I454" s="74"/>
      <x:c r="J454" s="74"/>
      <x:c r="K454" s="74"/>
      <x:c r="L454" s="74"/>
      <x:c r="M454" s="74"/>
      <x:c r="N454" s="74"/>
      <x:c r="O454" s="91"/>
      <x:c r="P454" s="91"/>
      <x:c r="Q454" s="85"/>
      <x:c r="R454" s="85"/>
      <x:c r="S454" s="85"/>
      <x:c r="T454" s="85"/>
      <x:c r="U454" s="85"/>
      <x:c r="V454" s="85"/>
      <x:c r="W454" s="85"/>
      <x:c r="Y454" s="86"/>
      <x:c r="Z454" s="86"/>
      <x:c r="AA454" s="32"/>
    </x:row>
    <x:row r="455">
      <x:c r="A455" s="87"/>
      <x:c r="B455" s="88"/>
      <x:c r="D455" s="32"/>
      <x:c r="I455" s="74"/>
      <x:c r="J455" s="74"/>
      <x:c r="K455" s="74"/>
      <x:c r="L455" s="74"/>
      <x:c r="M455" s="74"/>
      <x:c r="N455" s="74"/>
      <x:c r="O455" s="91"/>
      <x:c r="P455" s="91"/>
      <x:c r="Q455" s="85"/>
      <x:c r="R455" s="85"/>
      <x:c r="S455" s="85"/>
      <x:c r="T455" s="85"/>
      <x:c r="U455" s="85"/>
      <x:c r="V455" s="85"/>
      <x:c r="W455" s="85"/>
      <x:c r="Y455" s="86"/>
      <x:c r="Z455" s="86"/>
      <x:c r="AA455" s="32"/>
    </x:row>
    <x:row r="456">
      <x:c r="A456" s="87"/>
      <x:c r="B456" s="88"/>
      <x:c r="D456" s="32"/>
      <x:c r="I456" s="74"/>
      <x:c r="J456" s="74"/>
      <x:c r="K456" s="74"/>
      <x:c r="L456" s="74"/>
      <x:c r="M456" s="74"/>
      <x:c r="N456" s="74"/>
      <x:c r="O456" s="91"/>
      <x:c r="P456" s="91"/>
      <x:c r="Q456" s="85"/>
      <x:c r="R456" s="85"/>
      <x:c r="S456" s="85"/>
      <x:c r="T456" s="85"/>
      <x:c r="U456" s="85"/>
      <x:c r="V456" s="85"/>
      <x:c r="W456" s="85"/>
      <x:c r="Y456" s="86"/>
      <x:c r="Z456" s="86"/>
      <x:c r="AA456" s="32"/>
    </x:row>
    <x:row r="457">
      <x:c r="A457" s="87"/>
      <x:c r="B457" s="88"/>
      <x:c r="D457" s="32"/>
      <x:c r="I457" s="74"/>
      <x:c r="J457" s="74"/>
      <x:c r="K457" s="74"/>
      <x:c r="L457" s="74"/>
      <x:c r="M457" s="74"/>
      <x:c r="N457" s="74"/>
      <x:c r="O457" s="91"/>
      <x:c r="P457" s="91"/>
      <x:c r="Q457" s="85"/>
      <x:c r="R457" s="85"/>
      <x:c r="S457" s="85"/>
      <x:c r="T457" s="85"/>
      <x:c r="U457" s="85"/>
      <x:c r="V457" s="85"/>
      <x:c r="W457" s="85"/>
      <x:c r="Y457" s="86"/>
      <x:c r="Z457" s="86"/>
      <x:c r="AA457" s="32"/>
    </x:row>
    <x:row r="458">
      <x:c r="A458" s="87"/>
      <x:c r="B458" s="88"/>
      <x:c r="D458" s="32"/>
      <x:c r="I458" s="74"/>
      <x:c r="J458" s="74"/>
      <x:c r="K458" s="74"/>
      <x:c r="L458" s="74"/>
      <x:c r="M458" s="74"/>
      <x:c r="N458" s="74"/>
      <x:c r="O458" s="91"/>
      <x:c r="P458" s="91"/>
      <x:c r="Q458" s="85"/>
      <x:c r="R458" s="85"/>
      <x:c r="S458" s="85"/>
      <x:c r="T458" s="85"/>
      <x:c r="U458" s="85"/>
      <x:c r="V458" s="85"/>
      <x:c r="W458" s="85"/>
      <x:c r="Y458" s="86"/>
      <x:c r="Z458" s="86"/>
      <x:c r="AA458" s="32"/>
    </x:row>
    <x:row r="459">
      <x:c r="A459" s="87"/>
      <x:c r="B459" s="88"/>
      <x:c r="D459" s="32"/>
      <x:c r="I459" s="74"/>
      <x:c r="J459" s="74"/>
      <x:c r="K459" s="74"/>
      <x:c r="L459" s="74"/>
      <x:c r="M459" s="74"/>
      <x:c r="N459" s="74"/>
      <x:c r="O459" s="91"/>
      <x:c r="P459" s="91"/>
      <x:c r="Q459" s="85"/>
      <x:c r="R459" s="85"/>
      <x:c r="S459" s="85"/>
      <x:c r="T459" s="85"/>
      <x:c r="U459" s="85"/>
      <x:c r="V459" s="85"/>
      <x:c r="W459" s="85"/>
      <x:c r="Y459" s="86"/>
      <x:c r="Z459" s="86"/>
      <x:c r="AA459" s="32"/>
    </x:row>
    <x:row r="460">
      <x:c r="A460" s="87"/>
      <x:c r="B460" s="88"/>
      <x:c r="D460" s="32"/>
      <x:c r="I460" s="74"/>
      <x:c r="J460" s="74"/>
      <x:c r="K460" s="74"/>
      <x:c r="L460" s="74"/>
      <x:c r="M460" s="74"/>
      <x:c r="N460" s="74"/>
      <x:c r="O460" s="91"/>
      <x:c r="P460" s="91"/>
      <x:c r="Q460" s="85"/>
      <x:c r="R460" s="85"/>
      <x:c r="S460" s="85"/>
      <x:c r="T460" s="85"/>
      <x:c r="U460" s="85"/>
      <x:c r="V460" s="85"/>
      <x:c r="W460" s="85"/>
      <x:c r="Y460" s="86"/>
      <x:c r="Z460" s="86"/>
      <x:c r="AA460" s="32"/>
    </x:row>
    <x:row r="461">
      <x:c r="A461" s="87"/>
      <x:c r="B461" s="88"/>
      <x:c r="D461" s="32"/>
      <x:c r="I461" s="74"/>
      <x:c r="J461" s="74"/>
      <x:c r="K461" s="74"/>
      <x:c r="L461" s="74"/>
      <x:c r="M461" s="74"/>
      <x:c r="N461" s="74"/>
      <x:c r="O461" s="91"/>
      <x:c r="P461" s="91"/>
      <x:c r="Q461" s="85"/>
      <x:c r="R461" s="85"/>
      <x:c r="S461" s="85"/>
      <x:c r="T461" s="85"/>
      <x:c r="U461" s="85"/>
      <x:c r="V461" s="85"/>
      <x:c r="W461" s="85"/>
      <x:c r="Y461" s="86"/>
      <x:c r="Z461" s="86"/>
      <x:c r="AA461" s="32"/>
    </x:row>
    <x:row r="462">
      <x:c r="A462" s="87"/>
      <x:c r="B462" s="88"/>
      <x:c r="D462" s="32"/>
      <x:c r="I462" s="74"/>
      <x:c r="J462" s="74"/>
      <x:c r="K462" s="74"/>
      <x:c r="L462" s="74"/>
      <x:c r="M462" s="74"/>
      <x:c r="N462" s="74"/>
      <x:c r="O462" s="91"/>
      <x:c r="P462" s="91"/>
      <x:c r="Q462" s="85"/>
      <x:c r="R462" s="85"/>
      <x:c r="S462" s="85"/>
      <x:c r="T462" s="85"/>
      <x:c r="U462" s="85"/>
      <x:c r="V462" s="85"/>
      <x:c r="W462" s="85"/>
      <x:c r="Y462" s="86"/>
      <x:c r="Z462" s="86"/>
      <x:c r="AA462" s="32"/>
    </x:row>
    <x:row r="463">
      <x:c r="A463" s="87"/>
      <x:c r="B463" s="88"/>
      <x:c r="D463" s="32"/>
      <x:c r="I463" s="74"/>
      <x:c r="J463" s="74"/>
      <x:c r="K463" s="74"/>
      <x:c r="L463" s="74"/>
      <x:c r="M463" s="74"/>
      <x:c r="N463" s="74"/>
      <x:c r="O463" s="91"/>
      <x:c r="P463" s="91"/>
      <x:c r="Q463" s="85"/>
      <x:c r="R463" s="85"/>
      <x:c r="S463" s="85"/>
      <x:c r="T463" s="85"/>
      <x:c r="U463" s="85"/>
      <x:c r="V463" s="85"/>
      <x:c r="W463" s="85"/>
      <x:c r="Y463" s="86"/>
      <x:c r="Z463" s="86"/>
      <x:c r="AA463" s="32"/>
    </x:row>
    <x:row r="464">
      <x:c r="A464" s="87"/>
      <x:c r="B464" s="88"/>
      <x:c r="D464" s="32"/>
      <x:c r="I464" s="74"/>
      <x:c r="J464" s="74"/>
      <x:c r="K464" s="74"/>
      <x:c r="L464" s="74"/>
      <x:c r="M464" s="74"/>
      <x:c r="N464" s="74"/>
      <x:c r="O464" s="91"/>
      <x:c r="P464" s="91"/>
      <x:c r="Q464" s="85"/>
      <x:c r="R464" s="85"/>
      <x:c r="S464" s="85"/>
      <x:c r="T464" s="85"/>
      <x:c r="U464" s="85"/>
      <x:c r="V464" s="85"/>
      <x:c r="W464" s="85"/>
      <x:c r="Y464" s="86"/>
      <x:c r="Z464" s="86"/>
      <x:c r="AA464" s="32"/>
    </x:row>
    <x:row r="465">
      <x:c r="A465" s="87"/>
      <x:c r="B465" s="88"/>
      <x:c r="D465" s="32"/>
      <x:c r="I465" s="74"/>
      <x:c r="J465" s="74"/>
      <x:c r="K465" s="74"/>
      <x:c r="L465" s="74"/>
      <x:c r="M465" s="74"/>
      <x:c r="N465" s="74"/>
      <x:c r="O465" s="91"/>
      <x:c r="P465" s="91"/>
      <x:c r="Q465" s="85"/>
      <x:c r="R465" s="85"/>
      <x:c r="S465" s="85"/>
      <x:c r="T465" s="85"/>
      <x:c r="U465" s="85"/>
      <x:c r="V465" s="85"/>
      <x:c r="W465" s="85"/>
      <x:c r="Y465" s="86"/>
      <x:c r="Z465" s="86"/>
      <x:c r="AA465" s="32"/>
    </x:row>
    <x:row r="466">
      <x:c r="A466" s="87"/>
      <x:c r="B466" s="88"/>
      <x:c r="D466" s="32"/>
      <x:c r="I466" s="74"/>
      <x:c r="J466" s="74"/>
      <x:c r="K466" s="74"/>
      <x:c r="L466" s="74"/>
      <x:c r="M466" s="74"/>
      <x:c r="N466" s="74"/>
      <x:c r="O466" s="91"/>
      <x:c r="P466" s="91"/>
      <x:c r="Q466" s="85"/>
      <x:c r="R466" s="85"/>
      <x:c r="S466" s="85"/>
      <x:c r="T466" s="85"/>
      <x:c r="U466" s="85"/>
      <x:c r="V466" s="85"/>
      <x:c r="W466" s="85"/>
      <x:c r="Y466" s="86"/>
      <x:c r="Z466" s="86"/>
      <x:c r="AA466" s="32"/>
    </x:row>
    <x:row r="467">
      <x:c r="A467" s="87"/>
      <x:c r="B467" s="88"/>
      <x:c r="D467" s="32"/>
      <x:c r="I467" s="74"/>
      <x:c r="J467" s="74"/>
      <x:c r="K467" s="74"/>
      <x:c r="L467" s="74"/>
      <x:c r="M467" s="74"/>
      <x:c r="N467" s="74"/>
      <x:c r="O467" s="91"/>
      <x:c r="P467" s="91"/>
      <x:c r="Q467" s="85"/>
      <x:c r="R467" s="85"/>
      <x:c r="S467" s="85"/>
      <x:c r="T467" s="85"/>
      <x:c r="U467" s="85"/>
      <x:c r="V467" s="85"/>
      <x:c r="W467" s="85"/>
      <x:c r="Y467" s="86"/>
      <x:c r="Z467" s="86"/>
      <x:c r="AA467" s="32"/>
    </x:row>
    <x:row r="468">
      <x:c r="A468" s="87"/>
      <x:c r="B468" s="88"/>
      <x:c r="D468" s="32"/>
      <x:c r="I468" s="74"/>
      <x:c r="J468" s="74"/>
      <x:c r="K468" s="74"/>
      <x:c r="L468" s="74"/>
      <x:c r="M468" s="74"/>
      <x:c r="N468" s="74"/>
      <x:c r="O468" s="91"/>
      <x:c r="P468" s="91"/>
      <x:c r="Q468" s="85"/>
      <x:c r="R468" s="85"/>
      <x:c r="S468" s="85"/>
      <x:c r="T468" s="85"/>
      <x:c r="U468" s="85"/>
      <x:c r="V468" s="85"/>
      <x:c r="W468" s="85"/>
      <x:c r="Y468" s="86"/>
      <x:c r="Z468" s="86"/>
      <x:c r="AA468" s="32"/>
    </x:row>
    <x:row r="469">
      <x:c r="A469" s="87"/>
      <x:c r="B469" s="88"/>
      <x:c r="D469" s="32"/>
      <x:c r="I469" s="74"/>
      <x:c r="J469" s="74"/>
      <x:c r="K469" s="74"/>
      <x:c r="L469" s="74"/>
      <x:c r="M469" s="74"/>
      <x:c r="N469" s="74"/>
      <x:c r="O469" s="91"/>
      <x:c r="P469" s="91"/>
      <x:c r="Q469" s="85"/>
      <x:c r="R469" s="85"/>
      <x:c r="S469" s="85"/>
      <x:c r="T469" s="85"/>
      <x:c r="U469" s="85"/>
      <x:c r="V469" s="85"/>
      <x:c r="W469" s="85"/>
      <x:c r="Y469" s="86"/>
      <x:c r="Z469" s="86"/>
      <x:c r="AA469" s="32"/>
    </x:row>
    <x:row r="470">
      <x:c r="A470" s="87"/>
      <x:c r="B470" s="88"/>
      <x:c r="D470" s="32"/>
      <x:c r="I470" s="74"/>
      <x:c r="J470" s="74"/>
      <x:c r="K470" s="74"/>
      <x:c r="L470" s="74"/>
      <x:c r="M470" s="74"/>
      <x:c r="N470" s="74"/>
      <x:c r="O470" s="91"/>
      <x:c r="P470" s="91"/>
      <x:c r="Q470" s="85"/>
      <x:c r="R470" s="85"/>
      <x:c r="S470" s="85"/>
      <x:c r="T470" s="85"/>
      <x:c r="U470" s="85"/>
      <x:c r="V470" s="85"/>
      <x:c r="W470" s="85"/>
      <x:c r="Y470" s="86"/>
      <x:c r="Z470" s="86"/>
      <x:c r="AA470" s="32"/>
    </x:row>
    <x:row r="471">
      <x:c r="A471" s="87"/>
      <x:c r="B471" s="88"/>
      <x:c r="D471" s="32"/>
      <x:c r="I471" s="74"/>
      <x:c r="J471" s="74"/>
      <x:c r="K471" s="74"/>
      <x:c r="L471" s="74"/>
      <x:c r="M471" s="74"/>
      <x:c r="N471" s="74"/>
      <x:c r="O471" s="91"/>
      <x:c r="P471" s="91"/>
      <x:c r="Q471" s="85"/>
      <x:c r="R471" s="85"/>
      <x:c r="S471" s="85"/>
      <x:c r="T471" s="85"/>
      <x:c r="U471" s="85"/>
      <x:c r="V471" s="85"/>
      <x:c r="W471" s="85"/>
      <x:c r="Y471" s="86"/>
      <x:c r="Z471" s="86"/>
      <x:c r="AA471" s="32"/>
    </x:row>
    <x:row r="472">
      <x:c r="A472" s="87"/>
      <x:c r="B472" s="88"/>
      <x:c r="D472" s="32"/>
      <x:c r="I472" s="74"/>
      <x:c r="J472" s="74"/>
      <x:c r="K472" s="74"/>
      <x:c r="L472" s="74"/>
      <x:c r="M472" s="74"/>
      <x:c r="N472" s="74"/>
      <x:c r="O472" s="91"/>
      <x:c r="P472" s="91"/>
      <x:c r="Q472" s="85"/>
      <x:c r="R472" s="85"/>
      <x:c r="S472" s="85"/>
      <x:c r="T472" s="85"/>
      <x:c r="U472" s="85"/>
      <x:c r="V472" s="85"/>
      <x:c r="W472" s="85"/>
      <x:c r="Y472" s="86"/>
      <x:c r="Z472" s="86"/>
      <x:c r="AA472" s="32"/>
    </x:row>
    <x:row r="473">
      <x:c r="A473" s="87"/>
      <x:c r="B473" s="88"/>
      <x:c r="D473" s="32"/>
      <x:c r="I473" s="74"/>
      <x:c r="J473" s="74"/>
      <x:c r="K473" s="74"/>
      <x:c r="L473" s="74"/>
      <x:c r="M473" s="74"/>
      <x:c r="N473" s="74"/>
      <x:c r="O473" s="91"/>
      <x:c r="P473" s="91"/>
      <x:c r="Q473" s="85"/>
      <x:c r="R473" s="85"/>
      <x:c r="S473" s="85"/>
      <x:c r="T473" s="85"/>
      <x:c r="U473" s="85"/>
      <x:c r="V473" s="85"/>
      <x:c r="W473" s="85"/>
      <x:c r="Y473" s="86"/>
      <x:c r="Z473" s="86"/>
      <x:c r="AA473" s="32"/>
    </x:row>
    <x:row r="474">
      <x:c r="A474" s="87"/>
      <x:c r="B474" s="88"/>
      <x:c r="D474" s="32"/>
      <x:c r="I474" s="74"/>
      <x:c r="J474" s="74"/>
      <x:c r="K474" s="74"/>
      <x:c r="L474" s="74"/>
      <x:c r="M474" s="74"/>
      <x:c r="N474" s="74"/>
      <x:c r="O474" s="91"/>
      <x:c r="P474" s="91"/>
      <x:c r="Q474" s="85"/>
      <x:c r="R474" s="85"/>
      <x:c r="S474" s="85"/>
      <x:c r="T474" s="85"/>
      <x:c r="U474" s="85"/>
      <x:c r="V474" s="85"/>
      <x:c r="W474" s="85"/>
      <x:c r="Y474" s="86"/>
      <x:c r="Z474" s="86"/>
      <x:c r="AA474" s="32"/>
    </x:row>
    <x:row r="475">
      <x:c r="A475" s="87"/>
      <x:c r="B475" s="88"/>
      <x:c r="D475" s="32"/>
      <x:c r="I475" s="74"/>
      <x:c r="J475" s="74"/>
      <x:c r="K475" s="74"/>
      <x:c r="L475" s="74"/>
      <x:c r="M475" s="74"/>
      <x:c r="N475" s="74"/>
      <x:c r="O475" s="91"/>
      <x:c r="P475" s="91"/>
      <x:c r="Q475" s="85"/>
      <x:c r="R475" s="85"/>
      <x:c r="S475" s="85"/>
      <x:c r="T475" s="85"/>
      <x:c r="U475" s="85"/>
      <x:c r="V475" s="85"/>
      <x:c r="W475" s="85"/>
      <x:c r="Y475" s="86"/>
      <x:c r="Z475" s="86"/>
      <x:c r="AA475" s="32"/>
    </x:row>
    <x:row r="476">
      <x:c r="A476" s="87"/>
      <x:c r="B476" s="88"/>
      <x:c r="D476" s="32"/>
      <x:c r="I476" s="74"/>
      <x:c r="J476" s="74"/>
      <x:c r="K476" s="74"/>
      <x:c r="L476" s="74"/>
      <x:c r="M476" s="74"/>
      <x:c r="N476" s="74"/>
      <x:c r="O476" s="91"/>
      <x:c r="P476" s="91"/>
      <x:c r="Q476" s="85"/>
      <x:c r="R476" s="85"/>
      <x:c r="S476" s="85"/>
      <x:c r="T476" s="85"/>
      <x:c r="U476" s="85"/>
      <x:c r="V476" s="85"/>
      <x:c r="W476" s="85"/>
      <x:c r="Y476" s="86"/>
      <x:c r="Z476" s="86"/>
      <x:c r="AA476" s="32"/>
    </x:row>
    <x:row r="477">
      <x:c r="A477" s="87"/>
      <x:c r="B477" s="88"/>
      <x:c r="D477" s="32"/>
      <x:c r="I477" s="74"/>
      <x:c r="J477" s="74"/>
      <x:c r="K477" s="74"/>
      <x:c r="L477" s="74"/>
      <x:c r="M477" s="74"/>
      <x:c r="N477" s="74"/>
      <x:c r="O477" s="91"/>
      <x:c r="P477" s="91"/>
      <x:c r="Q477" s="85"/>
      <x:c r="R477" s="85"/>
      <x:c r="S477" s="85"/>
      <x:c r="T477" s="85"/>
      <x:c r="U477" s="85"/>
      <x:c r="V477" s="85"/>
      <x:c r="W477" s="85"/>
      <x:c r="Y477" s="86"/>
      <x:c r="Z477" s="86"/>
      <x:c r="AA477" s="32"/>
    </x:row>
    <x:row r="478">
      <x:c r="A478" s="87"/>
      <x:c r="B478" s="88"/>
      <x:c r="D478" s="32"/>
      <x:c r="I478" s="74"/>
      <x:c r="J478" s="74"/>
      <x:c r="K478" s="74"/>
      <x:c r="L478" s="74"/>
      <x:c r="M478" s="74"/>
      <x:c r="N478" s="74"/>
      <x:c r="O478" s="91"/>
      <x:c r="P478" s="91"/>
      <x:c r="Q478" s="85"/>
      <x:c r="R478" s="85"/>
      <x:c r="S478" s="85"/>
      <x:c r="T478" s="85"/>
      <x:c r="U478" s="85"/>
      <x:c r="V478" s="85"/>
      <x:c r="W478" s="85"/>
      <x:c r="Y478" s="86"/>
      <x:c r="Z478" s="86"/>
      <x:c r="AA478" s="32"/>
    </x:row>
    <x:row r="479">
      <x:c r="A479" s="87"/>
      <x:c r="B479" s="88"/>
      <x:c r="D479" s="32"/>
      <x:c r="I479" s="74"/>
      <x:c r="J479" s="74"/>
      <x:c r="K479" s="74"/>
      <x:c r="L479" s="74"/>
      <x:c r="M479" s="74"/>
      <x:c r="N479" s="74"/>
      <x:c r="O479" s="91"/>
      <x:c r="P479" s="91"/>
      <x:c r="Q479" s="85"/>
      <x:c r="R479" s="85"/>
      <x:c r="S479" s="85"/>
      <x:c r="T479" s="85"/>
      <x:c r="U479" s="85"/>
      <x:c r="V479" s="85"/>
      <x:c r="W479" s="85"/>
      <x:c r="Y479" s="86"/>
      <x:c r="Z479" s="86"/>
      <x:c r="AA479" s="32"/>
    </x:row>
    <x:row r="480">
      <x:c r="A480" s="87"/>
      <x:c r="B480" s="88"/>
      <x:c r="D480" s="32"/>
      <x:c r="I480" s="74"/>
      <x:c r="J480" s="74"/>
      <x:c r="K480" s="74"/>
      <x:c r="L480" s="74"/>
      <x:c r="M480" s="74"/>
      <x:c r="N480" s="74"/>
      <x:c r="O480" s="91"/>
      <x:c r="P480" s="91"/>
      <x:c r="Q480" s="85"/>
      <x:c r="R480" s="85"/>
      <x:c r="S480" s="85"/>
      <x:c r="T480" s="85"/>
      <x:c r="U480" s="85"/>
      <x:c r="V480" s="85"/>
      <x:c r="W480" s="85"/>
      <x:c r="Y480" s="86"/>
      <x:c r="Z480" s="86"/>
      <x:c r="AA480" s="32"/>
    </x:row>
    <x:row r="481">
      <x:c r="A481" s="87"/>
      <x:c r="B481" s="88"/>
      <x:c r="D481" s="32"/>
      <x:c r="I481" s="74"/>
      <x:c r="J481" s="74"/>
      <x:c r="K481" s="74"/>
      <x:c r="L481" s="74"/>
      <x:c r="M481" s="74"/>
      <x:c r="N481" s="74"/>
      <x:c r="O481" s="91"/>
      <x:c r="P481" s="91"/>
      <x:c r="Q481" s="85"/>
      <x:c r="R481" s="85"/>
      <x:c r="S481" s="85"/>
      <x:c r="T481" s="85"/>
      <x:c r="U481" s="85"/>
      <x:c r="V481" s="85"/>
      <x:c r="W481" s="85"/>
      <x:c r="Y481" s="86"/>
      <x:c r="Z481" s="86"/>
      <x:c r="AA481" s="32"/>
    </x:row>
    <x:row r="482">
      <x:c r="A482" s="87"/>
      <x:c r="B482" s="88"/>
      <x:c r="D482" s="32"/>
      <x:c r="I482" s="74"/>
      <x:c r="J482" s="74"/>
      <x:c r="K482" s="74"/>
      <x:c r="L482" s="74"/>
      <x:c r="M482" s="74"/>
      <x:c r="N482" s="74"/>
      <x:c r="O482" s="91"/>
      <x:c r="P482" s="91"/>
      <x:c r="Q482" s="85"/>
      <x:c r="R482" s="85"/>
      <x:c r="S482" s="85"/>
      <x:c r="T482" s="85"/>
      <x:c r="U482" s="85"/>
      <x:c r="V482" s="85"/>
      <x:c r="W482" s="85"/>
      <x:c r="Y482" s="86"/>
      <x:c r="Z482" s="86"/>
      <x:c r="AA482" s="32"/>
    </x:row>
    <x:row r="483">
      <x:c r="A483" s="87"/>
      <x:c r="B483" s="88"/>
      <x:c r="D483" s="32"/>
      <x:c r="I483" s="74"/>
      <x:c r="J483" s="74"/>
      <x:c r="K483" s="74"/>
      <x:c r="L483" s="74"/>
      <x:c r="M483" s="74"/>
      <x:c r="N483" s="74"/>
      <x:c r="O483" s="91"/>
      <x:c r="P483" s="91"/>
      <x:c r="Q483" s="85"/>
      <x:c r="R483" s="85"/>
      <x:c r="S483" s="85"/>
      <x:c r="T483" s="85"/>
      <x:c r="U483" s="85"/>
      <x:c r="V483" s="85"/>
      <x:c r="W483" s="85"/>
      <x:c r="Y483" s="86"/>
      <x:c r="Z483" s="86"/>
      <x:c r="AA483" s="32"/>
    </x:row>
    <x:row r="484">
      <x:c r="A484" s="87"/>
      <x:c r="B484" s="88"/>
      <x:c r="D484" s="32"/>
      <x:c r="I484" s="74"/>
      <x:c r="J484" s="74"/>
      <x:c r="K484" s="74"/>
      <x:c r="L484" s="74"/>
      <x:c r="M484" s="74"/>
      <x:c r="N484" s="74"/>
      <x:c r="O484" s="91"/>
      <x:c r="P484" s="91"/>
      <x:c r="Q484" s="85"/>
      <x:c r="R484" s="85"/>
      <x:c r="S484" s="85"/>
      <x:c r="T484" s="85"/>
      <x:c r="U484" s="85"/>
      <x:c r="V484" s="85"/>
      <x:c r="W484" s="85"/>
      <x:c r="Y484" s="86"/>
      <x:c r="Z484" s="86"/>
      <x:c r="AA484" s="32"/>
    </x:row>
    <x:row r="485">
      <x:c r="A485" s="87"/>
      <x:c r="B485" s="88"/>
      <x:c r="D485" s="32"/>
      <x:c r="I485" s="74"/>
      <x:c r="J485" s="74"/>
      <x:c r="K485" s="74"/>
      <x:c r="L485" s="74"/>
      <x:c r="M485" s="74"/>
      <x:c r="N485" s="74"/>
      <x:c r="O485" s="91"/>
      <x:c r="P485" s="91"/>
      <x:c r="Q485" s="85"/>
      <x:c r="R485" s="85"/>
      <x:c r="S485" s="85"/>
      <x:c r="T485" s="85"/>
      <x:c r="U485" s="85"/>
      <x:c r="V485" s="85"/>
      <x:c r="W485" s="85"/>
      <x:c r="Y485" s="86"/>
      <x:c r="Z485" s="86"/>
      <x:c r="AA485" s="32"/>
    </x:row>
    <x:row r="486">
      <x:c r="A486" s="87"/>
      <x:c r="B486" s="88"/>
      <x:c r="D486" s="32"/>
      <x:c r="I486" s="74"/>
      <x:c r="J486" s="74"/>
      <x:c r="K486" s="74"/>
      <x:c r="L486" s="74"/>
      <x:c r="M486" s="74"/>
      <x:c r="N486" s="74"/>
      <x:c r="O486" s="91"/>
      <x:c r="P486" s="91"/>
      <x:c r="Q486" s="85"/>
      <x:c r="R486" s="85"/>
      <x:c r="S486" s="85"/>
      <x:c r="T486" s="85"/>
      <x:c r="U486" s="85"/>
      <x:c r="V486" s="85"/>
      <x:c r="W486" s="85"/>
      <x:c r="Y486" s="86"/>
      <x:c r="Z486" s="86"/>
      <x:c r="AA486" s="32"/>
    </x:row>
    <x:row r="487">
      <x:c r="A487" s="87"/>
      <x:c r="B487" s="88"/>
      <x:c r="D487" s="32"/>
      <x:c r="I487" s="74"/>
      <x:c r="J487" s="74"/>
      <x:c r="K487" s="74"/>
      <x:c r="L487" s="74"/>
      <x:c r="M487" s="74"/>
      <x:c r="N487" s="74"/>
      <x:c r="O487" s="91"/>
      <x:c r="P487" s="91"/>
      <x:c r="Q487" s="85"/>
      <x:c r="R487" s="85"/>
      <x:c r="S487" s="85"/>
      <x:c r="T487" s="85"/>
      <x:c r="U487" s="85"/>
      <x:c r="V487" s="85"/>
      <x:c r="W487" s="85"/>
      <x:c r="Y487" s="86"/>
      <x:c r="Z487" s="86"/>
      <x:c r="AA487" s="32"/>
    </x:row>
    <x:row r="488">
      <x:c r="A488" s="87"/>
      <x:c r="B488" s="88"/>
      <x:c r="D488" s="32"/>
      <x:c r="I488" s="74"/>
      <x:c r="J488" s="74"/>
      <x:c r="K488" s="74"/>
      <x:c r="L488" s="74"/>
      <x:c r="M488" s="74"/>
      <x:c r="N488" s="74"/>
      <x:c r="O488" s="91"/>
      <x:c r="P488" s="91"/>
      <x:c r="Q488" s="85"/>
      <x:c r="R488" s="85"/>
      <x:c r="S488" s="85"/>
      <x:c r="T488" s="85"/>
      <x:c r="U488" s="85"/>
      <x:c r="V488" s="85"/>
      <x:c r="W488" s="85"/>
      <x:c r="Y488" s="86"/>
      <x:c r="Z488" s="86"/>
      <x:c r="AA488" s="32"/>
    </x:row>
    <x:row r="489">
      <x:c r="A489" s="87"/>
      <x:c r="B489" s="88"/>
      <x:c r="D489" s="32"/>
      <x:c r="I489" s="74"/>
      <x:c r="J489" s="74"/>
      <x:c r="K489" s="74"/>
      <x:c r="L489" s="74"/>
      <x:c r="M489" s="74"/>
      <x:c r="N489" s="74"/>
      <x:c r="O489" s="91"/>
      <x:c r="P489" s="91"/>
      <x:c r="Q489" s="85"/>
      <x:c r="R489" s="85"/>
      <x:c r="S489" s="85"/>
      <x:c r="T489" s="85"/>
      <x:c r="U489" s="85"/>
      <x:c r="V489" s="85"/>
      <x:c r="W489" s="85"/>
      <x:c r="Y489" s="86"/>
      <x:c r="Z489" s="86"/>
      <x:c r="AA489" s="32"/>
    </x:row>
    <x:row r="490">
      <x:c r="A490" s="87"/>
      <x:c r="B490" s="88"/>
      <x:c r="D490" s="32"/>
      <x:c r="I490" s="74"/>
      <x:c r="J490" s="74"/>
      <x:c r="K490" s="74"/>
      <x:c r="L490" s="74"/>
      <x:c r="M490" s="74"/>
      <x:c r="N490" s="74"/>
      <x:c r="O490" s="91"/>
      <x:c r="P490" s="91"/>
      <x:c r="Q490" s="85"/>
      <x:c r="R490" s="85"/>
      <x:c r="S490" s="85"/>
      <x:c r="T490" s="85"/>
      <x:c r="U490" s="85"/>
      <x:c r="V490" s="85"/>
      <x:c r="W490" s="85"/>
      <x:c r="Y490" s="86"/>
      <x:c r="Z490" s="86"/>
      <x:c r="AA490" s="32"/>
    </x:row>
    <x:row r="491">
      <x:c r="A491" s="87"/>
      <x:c r="B491" s="88"/>
      <x:c r="D491" s="32"/>
      <x:c r="I491" s="74"/>
      <x:c r="J491" s="74"/>
      <x:c r="K491" s="74"/>
      <x:c r="L491" s="74"/>
      <x:c r="M491" s="74"/>
      <x:c r="N491" s="74"/>
      <x:c r="O491" s="91"/>
      <x:c r="P491" s="91"/>
      <x:c r="Q491" s="85"/>
      <x:c r="R491" s="85"/>
      <x:c r="S491" s="85"/>
      <x:c r="T491" s="85"/>
      <x:c r="U491" s="85"/>
      <x:c r="V491" s="85"/>
      <x:c r="W491" s="85"/>
      <x:c r="Y491" s="86"/>
      <x:c r="Z491" s="86"/>
      <x:c r="AA491" s="32"/>
    </x:row>
    <x:row r="492">
      <x:c r="A492" s="87"/>
      <x:c r="B492" s="88"/>
      <x:c r="D492" s="32"/>
      <x:c r="I492" s="74"/>
      <x:c r="J492" s="74"/>
      <x:c r="K492" s="74"/>
      <x:c r="L492" s="74"/>
      <x:c r="M492" s="74"/>
      <x:c r="N492" s="74"/>
      <x:c r="O492" s="91"/>
      <x:c r="P492" s="91"/>
      <x:c r="Q492" s="85"/>
      <x:c r="R492" s="85"/>
      <x:c r="S492" s="85"/>
      <x:c r="T492" s="85"/>
      <x:c r="U492" s="85"/>
      <x:c r="V492" s="85"/>
      <x:c r="W492" s="85"/>
      <x:c r="Y492" s="86"/>
      <x:c r="Z492" s="86"/>
      <x:c r="AA492" s="32"/>
    </x:row>
    <x:row r="493">
      <x:c r="A493" s="87"/>
      <x:c r="B493" s="88"/>
      <x:c r="D493" s="32"/>
      <x:c r="I493" s="74"/>
      <x:c r="J493" s="74"/>
      <x:c r="K493" s="74"/>
      <x:c r="L493" s="74"/>
      <x:c r="M493" s="74"/>
      <x:c r="N493" s="74"/>
      <x:c r="O493" s="91"/>
      <x:c r="P493" s="91"/>
      <x:c r="Q493" s="85"/>
      <x:c r="R493" s="85"/>
      <x:c r="S493" s="85"/>
      <x:c r="T493" s="85"/>
      <x:c r="U493" s="85"/>
      <x:c r="V493" s="85"/>
      <x:c r="W493" s="85"/>
      <x:c r="Y493" s="86"/>
      <x:c r="Z493" s="86"/>
      <x:c r="AA493" s="32"/>
    </x:row>
    <x:row r="494">
      <x:c r="A494" s="87"/>
      <x:c r="B494" s="88"/>
      <x:c r="D494" s="32"/>
      <x:c r="I494" s="74"/>
      <x:c r="J494" s="74"/>
      <x:c r="K494" s="74"/>
      <x:c r="L494" s="74"/>
      <x:c r="M494" s="74"/>
      <x:c r="N494" s="74"/>
      <x:c r="O494" s="91"/>
      <x:c r="P494" s="91"/>
      <x:c r="Q494" s="85"/>
      <x:c r="R494" s="85"/>
      <x:c r="S494" s="85"/>
      <x:c r="T494" s="85"/>
      <x:c r="U494" s="85"/>
      <x:c r="V494" s="85"/>
      <x:c r="W494" s="85"/>
      <x:c r="Y494" s="86"/>
      <x:c r="Z494" s="86"/>
      <x:c r="AA494" s="32"/>
    </x:row>
    <x:row r="495">
      <x:c r="A495" s="87"/>
      <x:c r="B495" s="88"/>
      <x:c r="D495" s="32"/>
      <x:c r="I495" s="74"/>
      <x:c r="J495" s="74"/>
      <x:c r="K495" s="74"/>
      <x:c r="L495" s="74"/>
      <x:c r="M495" s="74"/>
      <x:c r="N495" s="74"/>
      <x:c r="O495" s="91"/>
      <x:c r="P495" s="91"/>
      <x:c r="Q495" s="85"/>
      <x:c r="R495" s="85"/>
      <x:c r="S495" s="85"/>
      <x:c r="T495" s="85"/>
      <x:c r="U495" s="85"/>
      <x:c r="V495" s="85"/>
      <x:c r="W495" s="85"/>
      <x:c r="Y495" s="86"/>
      <x:c r="Z495" s="86"/>
      <x:c r="AA495" s="32"/>
    </x:row>
    <x:row r="496">
      <x:c r="A496" s="87"/>
      <x:c r="B496" s="88"/>
      <x:c r="D496" s="32"/>
      <x:c r="I496" s="74"/>
      <x:c r="J496" s="74"/>
      <x:c r="K496" s="74"/>
      <x:c r="L496" s="74"/>
      <x:c r="M496" s="74"/>
      <x:c r="N496" s="74"/>
      <x:c r="O496" s="91"/>
      <x:c r="P496" s="91"/>
      <x:c r="Q496" s="85"/>
      <x:c r="R496" s="85"/>
      <x:c r="S496" s="85"/>
      <x:c r="T496" s="85"/>
      <x:c r="U496" s="85"/>
      <x:c r="V496" s="85"/>
      <x:c r="W496" s="85"/>
      <x:c r="Y496" s="86"/>
      <x:c r="Z496" s="86"/>
      <x:c r="AA496" s="32"/>
    </x:row>
    <x:row r="497">
      <x:c r="A497" s="87"/>
      <x:c r="B497" s="88"/>
      <x:c r="D497" s="32"/>
      <x:c r="I497" s="74"/>
      <x:c r="J497" s="74"/>
      <x:c r="K497" s="74"/>
      <x:c r="L497" s="74"/>
      <x:c r="M497" s="74"/>
      <x:c r="N497" s="74"/>
      <x:c r="O497" s="91"/>
      <x:c r="P497" s="91"/>
      <x:c r="Q497" s="85"/>
      <x:c r="R497" s="85"/>
      <x:c r="S497" s="85"/>
      <x:c r="T497" s="85"/>
      <x:c r="U497" s="85"/>
      <x:c r="V497" s="85"/>
      <x:c r="W497" s="85"/>
      <x:c r="Y497" s="86"/>
      <x:c r="Z497" s="86"/>
      <x:c r="AA497" s="32"/>
    </x:row>
    <x:row r="498">
      <x:c r="A498" s="87"/>
      <x:c r="B498" s="88"/>
      <x:c r="D498" s="32"/>
      <x:c r="I498" s="74"/>
      <x:c r="J498" s="74"/>
      <x:c r="K498" s="74"/>
      <x:c r="L498" s="74"/>
      <x:c r="M498" s="74"/>
      <x:c r="N498" s="74"/>
      <x:c r="O498" s="91"/>
      <x:c r="P498" s="91"/>
      <x:c r="Q498" s="85"/>
      <x:c r="R498" s="85"/>
      <x:c r="S498" s="85"/>
      <x:c r="T498" s="85"/>
      <x:c r="U498" s="85"/>
      <x:c r="V498" s="85"/>
      <x:c r="W498" s="85"/>
      <x:c r="Y498" s="86"/>
      <x:c r="Z498" s="86"/>
      <x:c r="AA498" s="32"/>
    </x:row>
    <x:row r="499">
      <x:c r="A499" s="87"/>
      <x:c r="B499" s="88"/>
      <x:c r="D499" s="32"/>
      <x:c r="I499" s="74"/>
      <x:c r="J499" s="74"/>
      <x:c r="K499" s="74"/>
      <x:c r="L499" s="74"/>
      <x:c r="M499" s="74"/>
      <x:c r="N499" s="74"/>
      <x:c r="O499" s="91"/>
      <x:c r="P499" s="91"/>
      <x:c r="Q499" s="85"/>
      <x:c r="R499" s="85"/>
      <x:c r="S499" s="85"/>
      <x:c r="T499" s="85"/>
      <x:c r="U499" s="85"/>
      <x:c r="V499" s="85"/>
      <x:c r="W499" s="85"/>
      <x:c r="Y499" s="86"/>
      <x:c r="Z499" s="86"/>
      <x:c r="AA499" s="32"/>
    </x:row>
    <x:row r="500">
      <x:c r="A500" s="87"/>
      <x:c r="B500" s="88"/>
      <x:c r="D500" s="32"/>
      <x:c r="I500" s="74"/>
      <x:c r="J500" s="74"/>
      <x:c r="K500" s="74"/>
      <x:c r="L500" s="74"/>
      <x:c r="M500" s="74"/>
      <x:c r="N500" s="74"/>
      <x:c r="O500" s="91"/>
      <x:c r="P500" s="91"/>
      <x:c r="Q500" s="85"/>
      <x:c r="R500" s="85"/>
      <x:c r="S500" s="85"/>
      <x:c r="T500" s="85"/>
      <x:c r="U500" s="85"/>
      <x:c r="V500" s="85"/>
      <x:c r="W500" s="85"/>
      <x:c r="Y500" s="86"/>
      <x:c r="Z500" s="86"/>
      <x:c r="AA500" s="32"/>
    </x:row>
    <x:row r="501">
      <x:c r="A501" s="87"/>
      <x:c r="B501" s="88"/>
      <x:c r="D501" s="32"/>
      <x:c r="I501" s="74"/>
      <x:c r="J501" s="74"/>
      <x:c r="K501" s="74"/>
      <x:c r="L501" s="74"/>
      <x:c r="M501" s="74"/>
      <x:c r="N501" s="74"/>
      <x:c r="O501" s="91"/>
      <x:c r="P501" s="91"/>
      <x:c r="Q501" s="85"/>
      <x:c r="R501" s="85"/>
      <x:c r="S501" s="85"/>
      <x:c r="T501" s="85"/>
      <x:c r="U501" s="85"/>
      <x:c r="V501" s="85"/>
      <x:c r="W501" s="85"/>
      <x:c r="Y501" s="86"/>
      <x:c r="Z501" s="86"/>
      <x:c r="AA501" s="32"/>
    </x:row>
    <x:row r="502">
      <x:c r="A502" s="87"/>
      <x:c r="B502" s="88"/>
      <x:c r="D502" s="32"/>
      <x:c r="I502" s="74"/>
      <x:c r="J502" s="74"/>
      <x:c r="K502" s="74"/>
      <x:c r="L502" s="74"/>
      <x:c r="M502" s="74"/>
      <x:c r="N502" s="74"/>
      <x:c r="O502" s="91"/>
      <x:c r="P502" s="91"/>
      <x:c r="Q502" s="85"/>
      <x:c r="R502" s="85"/>
      <x:c r="S502" s="85"/>
      <x:c r="T502" s="85"/>
      <x:c r="U502" s="85"/>
      <x:c r="V502" s="85"/>
      <x:c r="W502" s="85"/>
      <x:c r="Y502" s="86"/>
      <x:c r="Z502" s="86"/>
      <x:c r="AA502" s="32"/>
    </x:row>
    <x:row r="503">
      <x:c r="A503" s="87"/>
      <x:c r="B503" s="88"/>
      <x:c r="D503" s="32"/>
      <x:c r="I503" s="74"/>
      <x:c r="J503" s="74"/>
      <x:c r="K503" s="74"/>
      <x:c r="L503" s="74"/>
      <x:c r="M503" s="74"/>
      <x:c r="N503" s="74"/>
      <x:c r="O503" s="91"/>
      <x:c r="P503" s="91"/>
      <x:c r="Q503" s="85"/>
      <x:c r="R503" s="85"/>
      <x:c r="S503" s="85"/>
      <x:c r="T503" s="85"/>
      <x:c r="U503" s="85"/>
      <x:c r="V503" s="85"/>
      <x:c r="W503" s="85"/>
      <x:c r="Y503" s="86"/>
      <x:c r="Z503" s="86"/>
      <x:c r="AA503" s="32"/>
    </x:row>
    <x:row r="504">
      <x:c r="A504" s="87"/>
      <x:c r="B504" s="88"/>
      <x:c r="D504" s="32"/>
      <x:c r="I504" s="74"/>
      <x:c r="J504" s="74"/>
      <x:c r="K504" s="74"/>
      <x:c r="L504" s="74"/>
      <x:c r="M504" s="74"/>
      <x:c r="N504" s="74"/>
      <x:c r="O504" s="91"/>
      <x:c r="P504" s="91"/>
      <x:c r="Q504" s="85"/>
      <x:c r="R504" s="85"/>
      <x:c r="S504" s="85"/>
      <x:c r="T504" s="85"/>
      <x:c r="U504" s="85"/>
      <x:c r="V504" s="85"/>
      <x:c r="W504" s="85"/>
      <x:c r="Y504" s="86"/>
      <x:c r="Z504" s="86"/>
      <x:c r="AA504" s="32"/>
    </x:row>
    <x:row r="505">
      <x:c r="A505" s="87"/>
      <x:c r="B505" s="88"/>
      <x:c r="D505" s="32"/>
      <x:c r="I505" s="74"/>
      <x:c r="J505" s="74"/>
      <x:c r="K505" s="74"/>
      <x:c r="L505" s="74"/>
      <x:c r="M505" s="74"/>
      <x:c r="N505" s="74"/>
      <x:c r="O505" s="91"/>
      <x:c r="P505" s="91"/>
      <x:c r="Q505" s="85"/>
      <x:c r="R505" s="85"/>
      <x:c r="S505" s="85"/>
      <x:c r="T505" s="85"/>
      <x:c r="U505" s="85"/>
      <x:c r="V505" s="85"/>
      <x:c r="W505" s="85"/>
      <x:c r="Y505" s="86"/>
      <x:c r="Z505" s="86"/>
      <x:c r="AA505" s="32"/>
    </x:row>
    <x:row r="506">
      <x:c r="A506" s="87"/>
      <x:c r="B506" s="88"/>
      <x:c r="D506" s="32"/>
      <x:c r="I506" s="74"/>
      <x:c r="J506" s="74"/>
      <x:c r="K506" s="74"/>
      <x:c r="L506" s="74"/>
      <x:c r="M506" s="74"/>
      <x:c r="N506" s="74"/>
      <x:c r="O506" s="91"/>
      <x:c r="P506" s="91"/>
      <x:c r="Q506" s="85"/>
      <x:c r="R506" s="85"/>
      <x:c r="S506" s="85"/>
      <x:c r="T506" s="85"/>
      <x:c r="U506" s="85"/>
      <x:c r="V506" s="85"/>
      <x:c r="W506" s="85"/>
      <x:c r="Y506" s="86"/>
      <x:c r="Z506" s="86"/>
      <x:c r="AA506" s="32"/>
    </x:row>
    <x:row r="507">
      <x:c r="A507" s="87"/>
      <x:c r="B507" s="88"/>
      <x:c r="D507" s="32"/>
      <x:c r="I507" s="74"/>
      <x:c r="J507" s="74"/>
      <x:c r="K507" s="74"/>
      <x:c r="L507" s="74"/>
      <x:c r="M507" s="74"/>
      <x:c r="N507" s="74"/>
      <x:c r="O507" s="91"/>
      <x:c r="P507" s="91"/>
      <x:c r="Q507" s="85"/>
      <x:c r="R507" s="85"/>
      <x:c r="S507" s="85"/>
      <x:c r="T507" s="85"/>
      <x:c r="U507" s="85"/>
      <x:c r="V507" s="85"/>
      <x:c r="W507" s="85"/>
      <x:c r="Y507" s="86"/>
      <x:c r="Z507" s="86"/>
      <x:c r="AA507" s="32"/>
    </x:row>
    <x:row r="508">
      <x:c r="A508" s="87"/>
      <x:c r="B508" s="88"/>
      <x:c r="D508" s="32"/>
      <x:c r="I508" s="74"/>
      <x:c r="J508" s="74"/>
      <x:c r="K508" s="74"/>
      <x:c r="L508" s="74"/>
      <x:c r="M508" s="74"/>
      <x:c r="N508" s="74"/>
      <x:c r="O508" s="91"/>
      <x:c r="P508" s="91"/>
      <x:c r="Q508" s="85"/>
      <x:c r="R508" s="85"/>
      <x:c r="S508" s="85"/>
      <x:c r="T508" s="85"/>
      <x:c r="U508" s="85"/>
      <x:c r="V508" s="85"/>
      <x:c r="W508" s="85"/>
      <x:c r="Y508" s="86"/>
      <x:c r="Z508" s="86"/>
      <x:c r="AA508" s="32"/>
    </x:row>
    <x:row r="509">
      <x:c r="A509" s="87"/>
      <x:c r="B509" s="88"/>
      <x:c r="D509" s="32"/>
      <x:c r="I509" s="74"/>
      <x:c r="J509" s="74"/>
      <x:c r="K509" s="74"/>
      <x:c r="L509" s="74"/>
      <x:c r="M509" s="74"/>
      <x:c r="N509" s="74"/>
      <x:c r="O509" s="91"/>
      <x:c r="P509" s="91"/>
      <x:c r="Q509" s="85"/>
      <x:c r="R509" s="85"/>
      <x:c r="S509" s="85"/>
      <x:c r="T509" s="85"/>
      <x:c r="U509" s="85"/>
      <x:c r="V509" s="85"/>
      <x:c r="W509" s="85"/>
      <x:c r="Y509" s="86"/>
      <x:c r="Z509" s="86"/>
      <x:c r="AA509" s="32"/>
    </x:row>
    <x:row r="510">
      <x:c r="A510" s="87"/>
      <x:c r="B510" s="88"/>
      <x:c r="D510" s="32"/>
      <x:c r="I510" s="74"/>
      <x:c r="J510" s="74"/>
      <x:c r="K510" s="74"/>
      <x:c r="L510" s="74"/>
      <x:c r="M510" s="74"/>
      <x:c r="N510" s="74"/>
      <x:c r="O510" s="91"/>
      <x:c r="P510" s="91"/>
      <x:c r="Q510" s="85"/>
      <x:c r="R510" s="85"/>
      <x:c r="S510" s="85"/>
      <x:c r="T510" s="85"/>
      <x:c r="U510" s="85"/>
      <x:c r="V510" s="85"/>
      <x:c r="W510" s="85"/>
      <x:c r="Y510" s="86"/>
      <x:c r="Z510" s="86"/>
      <x:c r="AA510" s="32"/>
    </x:row>
    <x:row r="511">
      <x:c r="A511" s="87"/>
      <x:c r="B511" s="88"/>
      <x:c r="D511" s="32"/>
      <x:c r="I511" s="74"/>
      <x:c r="J511" s="74"/>
      <x:c r="K511" s="74"/>
      <x:c r="L511" s="74"/>
      <x:c r="M511" s="74"/>
      <x:c r="N511" s="74"/>
      <x:c r="O511" s="91"/>
      <x:c r="P511" s="91"/>
      <x:c r="Q511" s="85"/>
      <x:c r="R511" s="85"/>
      <x:c r="S511" s="85"/>
      <x:c r="T511" s="85"/>
      <x:c r="U511" s="85"/>
      <x:c r="V511" s="85"/>
      <x:c r="W511" s="85"/>
      <x:c r="Y511" s="86"/>
      <x:c r="Z511" s="86"/>
      <x:c r="AA511" s="32"/>
    </x:row>
    <x:row r="512">
      <x:c r="A512" s="87"/>
      <x:c r="B512" s="88"/>
      <x:c r="D512" s="32"/>
      <x:c r="I512" s="74"/>
      <x:c r="J512" s="74"/>
      <x:c r="K512" s="74"/>
      <x:c r="L512" s="74"/>
      <x:c r="M512" s="74"/>
      <x:c r="N512" s="74"/>
      <x:c r="O512" s="91"/>
      <x:c r="P512" s="91"/>
      <x:c r="Q512" s="85"/>
      <x:c r="R512" s="85"/>
      <x:c r="S512" s="85"/>
      <x:c r="T512" s="85"/>
      <x:c r="U512" s="85"/>
      <x:c r="V512" s="85"/>
      <x:c r="W512" s="85"/>
      <x:c r="Y512" s="86"/>
      <x:c r="Z512" s="86"/>
      <x:c r="AA512" s="32"/>
    </x:row>
    <x:row r="513">
      <x:c r="A513" s="87"/>
      <x:c r="B513" s="88"/>
      <x:c r="D513" s="32"/>
      <x:c r="I513" s="74"/>
      <x:c r="J513" s="74"/>
      <x:c r="K513" s="74"/>
      <x:c r="L513" s="74"/>
      <x:c r="M513" s="74"/>
      <x:c r="N513" s="74"/>
      <x:c r="O513" s="91"/>
      <x:c r="P513" s="91"/>
      <x:c r="Q513" s="85"/>
      <x:c r="R513" s="85"/>
      <x:c r="S513" s="85"/>
      <x:c r="T513" s="85"/>
      <x:c r="U513" s="85"/>
      <x:c r="V513" s="85"/>
      <x:c r="W513" s="85"/>
      <x:c r="Y513" s="86"/>
      <x:c r="Z513" s="86"/>
      <x:c r="AA513" s="32"/>
    </x:row>
    <x:row r="514">
      <x:c r="A514" s="87"/>
      <x:c r="B514" s="88"/>
      <x:c r="D514" s="32"/>
      <x:c r="I514" s="74"/>
      <x:c r="J514" s="74"/>
      <x:c r="K514" s="74"/>
      <x:c r="L514" s="74"/>
      <x:c r="M514" s="74"/>
      <x:c r="N514" s="74"/>
      <x:c r="O514" s="91"/>
      <x:c r="P514" s="91"/>
      <x:c r="Q514" s="85"/>
      <x:c r="R514" s="85"/>
      <x:c r="S514" s="85"/>
      <x:c r="T514" s="85"/>
      <x:c r="U514" s="85"/>
      <x:c r="V514" s="85"/>
      <x:c r="W514" s="85"/>
      <x:c r="Y514" s="86"/>
      <x:c r="Z514" s="86"/>
      <x:c r="AA514" s="32"/>
    </x:row>
    <x:row r="515">
      <x:c r="A515" s="87"/>
      <x:c r="B515" s="88"/>
      <x:c r="D515" s="32"/>
      <x:c r="I515" s="74"/>
      <x:c r="J515" s="74"/>
      <x:c r="K515" s="74"/>
      <x:c r="L515" s="74"/>
      <x:c r="M515" s="74"/>
      <x:c r="N515" s="74"/>
      <x:c r="O515" s="91"/>
      <x:c r="P515" s="91"/>
      <x:c r="Q515" s="85"/>
      <x:c r="R515" s="85"/>
      <x:c r="S515" s="85"/>
      <x:c r="T515" s="85"/>
      <x:c r="U515" s="85"/>
      <x:c r="V515" s="85"/>
      <x:c r="W515" s="85"/>
      <x:c r="Y515" s="86"/>
      <x:c r="Z515" s="86"/>
      <x:c r="AA515" s="32"/>
    </x:row>
    <x:row r="516">
      <x:c r="A516" s="87"/>
      <x:c r="B516" s="88"/>
      <x:c r="D516" s="32"/>
      <x:c r="I516" s="74"/>
      <x:c r="J516" s="74"/>
      <x:c r="K516" s="74"/>
      <x:c r="L516" s="74"/>
      <x:c r="M516" s="74"/>
      <x:c r="N516" s="74"/>
      <x:c r="O516" s="91"/>
      <x:c r="P516" s="91"/>
      <x:c r="Q516" s="85"/>
      <x:c r="R516" s="85"/>
      <x:c r="S516" s="85"/>
      <x:c r="T516" s="85"/>
      <x:c r="U516" s="85"/>
      <x:c r="V516" s="85"/>
      <x:c r="W516" s="85"/>
      <x:c r="Y516" s="86"/>
      <x:c r="Z516" s="86"/>
      <x:c r="AA516" s="32"/>
    </x:row>
    <x:row r="517">
      <x:c r="A517" s="87"/>
      <x:c r="B517" s="88"/>
      <x:c r="D517" s="32"/>
      <x:c r="I517" s="74"/>
      <x:c r="J517" s="74"/>
      <x:c r="K517" s="74"/>
      <x:c r="L517" s="74"/>
      <x:c r="M517" s="74"/>
      <x:c r="N517" s="74"/>
      <x:c r="O517" s="91"/>
      <x:c r="P517" s="91"/>
      <x:c r="Q517" s="85"/>
      <x:c r="R517" s="85"/>
      <x:c r="S517" s="85"/>
      <x:c r="T517" s="85"/>
      <x:c r="U517" s="85"/>
      <x:c r="V517" s="85"/>
      <x:c r="W517" s="85"/>
      <x:c r="Y517" s="86"/>
      <x:c r="Z517" s="86"/>
      <x:c r="AA517" s="32"/>
    </x:row>
    <x:row r="518">
      <x:c r="A518" s="87"/>
      <x:c r="B518" s="88"/>
      <x:c r="D518" s="32"/>
      <x:c r="I518" s="74"/>
      <x:c r="J518" s="74"/>
      <x:c r="K518" s="74"/>
      <x:c r="L518" s="74"/>
      <x:c r="M518" s="74"/>
      <x:c r="N518" s="74"/>
      <x:c r="O518" s="91"/>
      <x:c r="P518" s="91"/>
      <x:c r="Q518" s="85"/>
      <x:c r="R518" s="85"/>
      <x:c r="S518" s="85"/>
      <x:c r="T518" s="85"/>
      <x:c r="U518" s="85"/>
      <x:c r="V518" s="85"/>
      <x:c r="W518" s="85"/>
      <x:c r="Y518" s="86"/>
      <x:c r="Z518" s="86"/>
      <x:c r="AA518" s="32"/>
    </x:row>
    <x:row r="519">
      <x:c r="A519" s="87"/>
      <x:c r="B519" s="88"/>
      <x:c r="D519" s="32"/>
      <x:c r="I519" s="74"/>
      <x:c r="J519" s="74"/>
      <x:c r="K519" s="74"/>
      <x:c r="L519" s="74"/>
      <x:c r="M519" s="74"/>
      <x:c r="N519" s="74"/>
      <x:c r="O519" s="91"/>
      <x:c r="P519" s="91"/>
      <x:c r="Q519" s="85"/>
      <x:c r="R519" s="85"/>
      <x:c r="S519" s="85"/>
      <x:c r="T519" s="85"/>
      <x:c r="U519" s="85"/>
      <x:c r="V519" s="85"/>
      <x:c r="W519" s="85"/>
      <x:c r="Y519" s="86"/>
      <x:c r="Z519" s="86"/>
      <x:c r="AA519" s="32"/>
    </x:row>
    <x:row r="520">
      <x:c r="A520" s="87"/>
      <x:c r="B520" s="88"/>
      <x:c r="D520" s="32"/>
      <x:c r="I520" s="74"/>
      <x:c r="J520" s="74"/>
      <x:c r="K520" s="74"/>
      <x:c r="L520" s="74"/>
      <x:c r="M520" s="74"/>
      <x:c r="N520" s="74"/>
      <x:c r="O520" s="91"/>
      <x:c r="P520" s="91"/>
      <x:c r="Q520" s="85"/>
      <x:c r="R520" s="85"/>
      <x:c r="S520" s="85"/>
      <x:c r="T520" s="85"/>
      <x:c r="U520" s="85"/>
      <x:c r="V520" s="85"/>
      <x:c r="W520" s="85"/>
      <x:c r="Y520" s="86"/>
      <x:c r="Z520" s="86"/>
      <x:c r="AA520" s="32"/>
    </x:row>
    <x:row r="521">
      <x:c r="A521" s="87"/>
      <x:c r="B521" s="88"/>
      <x:c r="D521" s="32"/>
      <x:c r="I521" s="74"/>
      <x:c r="J521" s="74"/>
      <x:c r="K521" s="74"/>
      <x:c r="L521" s="74"/>
      <x:c r="M521" s="74"/>
      <x:c r="N521" s="74"/>
      <x:c r="O521" s="91"/>
      <x:c r="P521" s="91"/>
      <x:c r="Q521" s="85"/>
      <x:c r="R521" s="85"/>
      <x:c r="S521" s="85"/>
      <x:c r="T521" s="85"/>
      <x:c r="U521" s="85"/>
      <x:c r="V521" s="85"/>
      <x:c r="W521" s="85"/>
      <x:c r="Y521" s="86"/>
      <x:c r="Z521" s="86"/>
      <x:c r="AA521" s="32"/>
    </x:row>
    <x:row r="522">
      <x:c r="A522" s="87"/>
      <x:c r="B522" s="88"/>
      <x:c r="D522" s="32"/>
      <x:c r="I522" s="74"/>
      <x:c r="J522" s="74"/>
      <x:c r="K522" s="74"/>
      <x:c r="L522" s="74"/>
      <x:c r="M522" s="74"/>
      <x:c r="N522" s="74"/>
      <x:c r="O522" s="91"/>
      <x:c r="P522" s="91"/>
      <x:c r="Q522" s="85"/>
      <x:c r="R522" s="85"/>
      <x:c r="S522" s="85"/>
      <x:c r="T522" s="85"/>
      <x:c r="U522" s="85"/>
      <x:c r="V522" s="85"/>
      <x:c r="W522" s="85"/>
      <x:c r="Y522" s="86"/>
      <x:c r="Z522" s="86"/>
      <x:c r="AA522" s="32"/>
    </x:row>
    <x:row r="523">
      <x:c r="A523" s="87"/>
      <x:c r="B523" s="88"/>
      <x:c r="D523" s="32"/>
      <x:c r="I523" s="74"/>
      <x:c r="J523" s="74"/>
      <x:c r="K523" s="74"/>
      <x:c r="L523" s="74"/>
      <x:c r="M523" s="74"/>
      <x:c r="N523" s="74"/>
      <x:c r="O523" s="91"/>
      <x:c r="P523" s="91"/>
      <x:c r="Q523" s="85"/>
      <x:c r="R523" s="85"/>
      <x:c r="S523" s="85"/>
      <x:c r="T523" s="85"/>
      <x:c r="U523" s="85"/>
      <x:c r="V523" s="85"/>
      <x:c r="W523" s="85"/>
      <x:c r="Y523" s="86"/>
      <x:c r="Z523" s="86"/>
      <x:c r="AA523" s="32"/>
    </x:row>
    <x:row r="524">
      <x:c r="A524" s="87"/>
      <x:c r="B524" s="88"/>
      <x:c r="D524" s="32"/>
      <x:c r="I524" s="74"/>
      <x:c r="J524" s="74"/>
      <x:c r="K524" s="74"/>
      <x:c r="L524" s="74"/>
      <x:c r="M524" s="74"/>
      <x:c r="N524" s="74"/>
      <x:c r="O524" s="91"/>
      <x:c r="P524" s="91"/>
      <x:c r="Q524" s="85"/>
      <x:c r="R524" s="85"/>
      <x:c r="S524" s="85"/>
      <x:c r="T524" s="85"/>
      <x:c r="U524" s="85"/>
      <x:c r="V524" s="85"/>
      <x:c r="W524" s="85"/>
      <x:c r="Y524" s="86"/>
      <x:c r="Z524" s="86"/>
      <x:c r="AA524" s="32"/>
    </x:row>
    <x:row r="525">
      <x:c r="A525" s="87"/>
      <x:c r="B525" s="88"/>
      <x:c r="D525" s="32"/>
      <x:c r="I525" s="74"/>
      <x:c r="J525" s="74"/>
      <x:c r="K525" s="74"/>
      <x:c r="L525" s="74"/>
      <x:c r="M525" s="74"/>
      <x:c r="N525" s="74"/>
      <x:c r="O525" s="91"/>
      <x:c r="P525" s="91"/>
      <x:c r="Q525" s="85"/>
      <x:c r="R525" s="85"/>
      <x:c r="S525" s="85"/>
      <x:c r="T525" s="85"/>
      <x:c r="U525" s="85"/>
      <x:c r="V525" s="85"/>
      <x:c r="W525" s="85"/>
      <x:c r="Y525" s="86"/>
      <x:c r="Z525" s="86"/>
      <x:c r="AA525" s="32"/>
    </x:row>
    <x:row r="526">
      <x:c r="A526" s="87"/>
      <x:c r="B526" s="88"/>
      <x:c r="D526" s="32"/>
      <x:c r="I526" s="74"/>
      <x:c r="J526" s="74"/>
      <x:c r="K526" s="74"/>
      <x:c r="L526" s="74"/>
      <x:c r="M526" s="74"/>
      <x:c r="N526" s="74"/>
      <x:c r="O526" s="91"/>
      <x:c r="P526" s="91"/>
      <x:c r="Q526" s="85"/>
      <x:c r="R526" s="85"/>
      <x:c r="S526" s="85"/>
      <x:c r="T526" s="85"/>
      <x:c r="U526" s="85"/>
      <x:c r="V526" s="85"/>
      <x:c r="W526" s="85"/>
      <x:c r="Y526" s="86"/>
      <x:c r="Z526" s="86"/>
      <x:c r="AA526" s="32"/>
    </x:row>
    <x:row r="527">
      <x:c r="A527" s="87"/>
      <x:c r="B527" s="88"/>
      <x:c r="D527" s="32"/>
      <x:c r="I527" s="74"/>
      <x:c r="J527" s="74"/>
      <x:c r="K527" s="74"/>
      <x:c r="L527" s="74"/>
      <x:c r="M527" s="74"/>
      <x:c r="N527" s="74"/>
      <x:c r="O527" s="91"/>
      <x:c r="P527" s="91"/>
      <x:c r="Q527" s="85"/>
      <x:c r="R527" s="85"/>
      <x:c r="S527" s="85"/>
      <x:c r="T527" s="85"/>
      <x:c r="U527" s="85"/>
      <x:c r="V527" s="85"/>
      <x:c r="W527" s="85"/>
      <x:c r="Y527" s="86"/>
      <x:c r="Z527" s="86"/>
      <x:c r="AA527" s="32"/>
    </x:row>
    <x:row r="528">
      <x:c r="A528" s="87"/>
      <x:c r="B528" s="88"/>
      <x:c r="D528" s="32"/>
      <x:c r="I528" s="74"/>
      <x:c r="J528" s="74"/>
      <x:c r="K528" s="74"/>
      <x:c r="L528" s="74"/>
      <x:c r="M528" s="74"/>
      <x:c r="N528" s="74"/>
      <x:c r="O528" s="91"/>
      <x:c r="P528" s="91"/>
      <x:c r="Q528" s="85"/>
      <x:c r="R528" s="85"/>
      <x:c r="S528" s="85"/>
      <x:c r="T528" s="85"/>
      <x:c r="U528" s="85"/>
      <x:c r="V528" s="85"/>
      <x:c r="W528" s="85"/>
      <x:c r="Y528" s="86"/>
      <x:c r="Z528" s="86"/>
      <x:c r="AA528" s="32"/>
    </x:row>
    <x:row r="529">
      <x:c r="A529" s="87"/>
      <x:c r="B529" s="88"/>
      <x:c r="D529" s="32"/>
      <x:c r="I529" s="74"/>
      <x:c r="J529" s="74"/>
      <x:c r="K529" s="74"/>
      <x:c r="L529" s="74"/>
      <x:c r="M529" s="74"/>
      <x:c r="N529" s="74"/>
      <x:c r="O529" s="91"/>
      <x:c r="P529" s="91"/>
      <x:c r="Q529" s="85"/>
      <x:c r="R529" s="85"/>
      <x:c r="S529" s="85"/>
      <x:c r="T529" s="85"/>
      <x:c r="U529" s="85"/>
      <x:c r="V529" s="85"/>
      <x:c r="W529" s="85"/>
      <x:c r="Y529" s="86"/>
      <x:c r="Z529" s="86"/>
      <x:c r="AA529" s="32"/>
    </x:row>
    <x:row r="530">
      <x:c r="A530" s="87"/>
      <x:c r="B530" s="88"/>
      <x:c r="D530" s="32"/>
      <x:c r="I530" s="74"/>
      <x:c r="J530" s="74"/>
      <x:c r="K530" s="74"/>
      <x:c r="L530" s="74"/>
      <x:c r="M530" s="74"/>
      <x:c r="N530" s="74"/>
      <x:c r="O530" s="91"/>
      <x:c r="P530" s="91"/>
      <x:c r="Q530" s="85"/>
      <x:c r="R530" s="85"/>
      <x:c r="S530" s="85"/>
      <x:c r="T530" s="85"/>
      <x:c r="U530" s="85"/>
      <x:c r="V530" s="85"/>
      <x:c r="W530" s="85"/>
      <x:c r="Y530" s="86"/>
      <x:c r="Z530" s="86"/>
      <x:c r="AA530" s="32"/>
    </x:row>
    <x:row r="531">
      <x:c r="A531" s="87"/>
      <x:c r="B531" s="88"/>
      <x:c r="D531" s="32"/>
      <x:c r="I531" s="74"/>
      <x:c r="J531" s="74"/>
      <x:c r="K531" s="74"/>
      <x:c r="L531" s="74"/>
      <x:c r="M531" s="74"/>
      <x:c r="N531" s="74"/>
      <x:c r="O531" s="91"/>
      <x:c r="P531" s="91"/>
      <x:c r="Q531" s="85"/>
      <x:c r="R531" s="85"/>
      <x:c r="S531" s="85"/>
      <x:c r="T531" s="85"/>
      <x:c r="U531" s="85"/>
      <x:c r="V531" s="85"/>
      <x:c r="W531" s="85"/>
      <x:c r="Y531" s="86"/>
      <x:c r="Z531" s="86"/>
      <x:c r="AA531" s="32"/>
    </x:row>
    <x:row r="532">
      <x:c r="A532" s="87"/>
      <x:c r="B532" s="88"/>
      <x:c r="D532" s="32"/>
      <x:c r="I532" s="74"/>
      <x:c r="J532" s="74"/>
      <x:c r="K532" s="74"/>
      <x:c r="L532" s="74"/>
      <x:c r="M532" s="74"/>
      <x:c r="N532" s="74"/>
      <x:c r="O532" s="91"/>
      <x:c r="P532" s="91"/>
      <x:c r="Q532" s="85"/>
      <x:c r="R532" s="85"/>
      <x:c r="S532" s="85"/>
      <x:c r="T532" s="85"/>
      <x:c r="U532" s="85"/>
      <x:c r="V532" s="85"/>
      <x:c r="W532" s="85"/>
      <x:c r="Y532" s="86"/>
      <x:c r="Z532" s="86"/>
      <x:c r="AA532" s="32"/>
    </x:row>
    <x:row r="533">
      <x:c r="A533" s="87"/>
      <x:c r="B533" s="88"/>
      <x:c r="D533" s="32"/>
      <x:c r="I533" s="74"/>
      <x:c r="J533" s="74"/>
      <x:c r="K533" s="74"/>
      <x:c r="L533" s="74"/>
      <x:c r="M533" s="74"/>
      <x:c r="N533" s="74"/>
      <x:c r="O533" s="91"/>
      <x:c r="P533" s="91"/>
      <x:c r="Q533" s="85"/>
      <x:c r="R533" s="85"/>
      <x:c r="S533" s="85"/>
      <x:c r="T533" s="85"/>
      <x:c r="U533" s="85"/>
      <x:c r="V533" s="85"/>
      <x:c r="W533" s="85"/>
      <x:c r="Y533" s="86"/>
      <x:c r="Z533" s="86"/>
      <x:c r="AA533" s="32"/>
    </x:row>
    <x:row r="534">
      <x:c r="A534" s="87"/>
      <x:c r="B534" s="88"/>
      <x:c r="D534" s="32"/>
      <x:c r="I534" s="74"/>
      <x:c r="J534" s="74"/>
      <x:c r="K534" s="74"/>
      <x:c r="L534" s="74"/>
      <x:c r="M534" s="74"/>
      <x:c r="N534" s="74"/>
      <x:c r="O534" s="91"/>
      <x:c r="P534" s="91"/>
      <x:c r="Q534" s="85"/>
      <x:c r="R534" s="85"/>
      <x:c r="S534" s="85"/>
      <x:c r="T534" s="85"/>
      <x:c r="U534" s="85"/>
      <x:c r="V534" s="85"/>
      <x:c r="W534" s="85"/>
      <x:c r="Y534" s="86"/>
      <x:c r="Z534" s="86"/>
      <x:c r="AA534" s="32"/>
    </x:row>
    <x:row r="535">
      <x:c r="A535" s="87"/>
      <x:c r="B535" s="88"/>
      <x:c r="D535" s="32"/>
      <x:c r="I535" s="74"/>
      <x:c r="J535" s="74"/>
      <x:c r="K535" s="74"/>
      <x:c r="L535" s="74"/>
      <x:c r="M535" s="74"/>
      <x:c r="N535" s="74"/>
      <x:c r="O535" s="91"/>
      <x:c r="P535" s="91"/>
      <x:c r="Q535" s="85"/>
      <x:c r="R535" s="85"/>
      <x:c r="S535" s="85"/>
      <x:c r="T535" s="85"/>
      <x:c r="U535" s="85"/>
      <x:c r="V535" s="85"/>
      <x:c r="W535" s="85"/>
      <x:c r="Y535" s="86"/>
      <x:c r="Z535" s="86"/>
      <x:c r="AA535" s="32"/>
    </x:row>
    <x:row r="536">
      <x:c r="A536" s="87"/>
      <x:c r="B536" s="88"/>
      <x:c r="D536" s="32"/>
      <x:c r="I536" s="74"/>
      <x:c r="J536" s="74"/>
      <x:c r="K536" s="74"/>
      <x:c r="L536" s="74"/>
      <x:c r="M536" s="74"/>
      <x:c r="N536" s="74"/>
      <x:c r="O536" s="91"/>
      <x:c r="P536" s="91"/>
      <x:c r="Q536" s="85"/>
      <x:c r="R536" s="85"/>
      <x:c r="S536" s="85"/>
      <x:c r="T536" s="85"/>
      <x:c r="U536" s="85"/>
      <x:c r="V536" s="85"/>
      <x:c r="W536" s="85"/>
      <x:c r="Y536" s="86"/>
      <x:c r="Z536" s="86"/>
      <x:c r="AA536" s="32"/>
    </x:row>
    <x:row r="537">
      <x:c r="A537" s="87"/>
      <x:c r="B537" s="88"/>
      <x:c r="D537" s="32"/>
      <x:c r="I537" s="74"/>
      <x:c r="J537" s="74"/>
      <x:c r="K537" s="74"/>
      <x:c r="L537" s="74"/>
      <x:c r="M537" s="74"/>
      <x:c r="N537" s="74"/>
      <x:c r="O537" s="91"/>
      <x:c r="P537" s="91"/>
      <x:c r="Q537" s="85"/>
      <x:c r="R537" s="85"/>
      <x:c r="S537" s="85"/>
      <x:c r="T537" s="85"/>
      <x:c r="U537" s="85"/>
      <x:c r="V537" s="85"/>
      <x:c r="W537" s="85"/>
      <x:c r="Y537" s="86"/>
      <x:c r="Z537" s="86"/>
      <x:c r="AA537" s="32"/>
    </x:row>
    <x:row r="538">
      <x:c r="A538" s="87"/>
      <x:c r="B538" s="88"/>
      <x:c r="D538" s="32"/>
      <x:c r="I538" s="74"/>
      <x:c r="J538" s="74"/>
      <x:c r="K538" s="74"/>
      <x:c r="L538" s="74"/>
      <x:c r="M538" s="74"/>
      <x:c r="N538" s="74"/>
      <x:c r="O538" s="91"/>
      <x:c r="P538" s="91"/>
      <x:c r="Q538" s="85"/>
      <x:c r="R538" s="85"/>
      <x:c r="S538" s="85"/>
      <x:c r="T538" s="85"/>
      <x:c r="U538" s="85"/>
      <x:c r="V538" s="85"/>
      <x:c r="W538" s="85"/>
      <x:c r="Y538" s="86"/>
      <x:c r="Z538" s="86"/>
      <x:c r="AA538" s="32"/>
    </x:row>
    <x:row r="539">
      <x:c r="A539" s="87"/>
      <x:c r="B539" s="88"/>
      <x:c r="D539" s="32"/>
      <x:c r="I539" s="74"/>
      <x:c r="J539" s="74"/>
      <x:c r="K539" s="74"/>
      <x:c r="L539" s="74"/>
      <x:c r="M539" s="74"/>
      <x:c r="N539" s="74"/>
      <x:c r="O539" s="91"/>
      <x:c r="P539" s="91"/>
      <x:c r="Q539" s="85"/>
      <x:c r="R539" s="85"/>
      <x:c r="S539" s="85"/>
      <x:c r="T539" s="85"/>
      <x:c r="U539" s="85"/>
      <x:c r="V539" s="85"/>
      <x:c r="W539" s="85"/>
      <x:c r="Y539" s="86"/>
      <x:c r="Z539" s="86"/>
      <x:c r="AA539" s="32"/>
    </x:row>
    <x:row r="540">
      <x:c r="A540" s="87"/>
      <x:c r="B540" s="88"/>
      <x:c r="D540" s="32"/>
      <x:c r="I540" s="74"/>
      <x:c r="J540" s="74"/>
      <x:c r="K540" s="74"/>
      <x:c r="L540" s="74"/>
      <x:c r="M540" s="74"/>
      <x:c r="N540" s="74"/>
      <x:c r="O540" s="91"/>
      <x:c r="P540" s="91"/>
      <x:c r="Q540" s="85"/>
      <x:c r="R540" s="85"/>
      <x:c r="S540" s="85"/>
      <x:c r="T540" s="85"/>
      <x:c r="U540" s="85"/>
      <x:c r="V540" s="85"/>
      <x:c r="W540" s="85"/>
      <x:c r="Y540" s="86"/>
      <x:c r="Z540" s="86"/>
      <x:c r="AA540" s="32"/>
    </x:row>
    <x:row r="541">
      <x:c r="A541" s="87"/>
      <x:c r="B541" s="88"/>
      <x:c r="D541" s="32"/>
      <x:c r="I541" s="74"/>
      <x:c r="J541" s="74"/>
      <x:c r="K541" s="74"/>
      <x:c r="L541" s="74"/>
      <x:c r="M541" s="74"/>
      <x:c r="N541" s="74"/>
      <x:c r="O541" s="91"/>
      <x:c r="P541" s="91"/>
      <x:c r="Q541" s="85"/>
      <x:c r="R541" s="85"/>
      <x:c r="S541" s="85"/>
      <x:c r="T541" s="85"/>
      <x:c r="U541" s="85"/>
      <x:c r="V541" s="85"/>
      <x:c r="W541" s="85"/>
      <x:c r="Y541" s="86"/>
      <x:c r="Z541" s="86"/>
      <x:c r="AA541" s="32"/>
    </x:row>
    <x:row r="542">
      <x:c r="A542" s="87"/>
      <x:c r="B542" s="88"/>
      <x:c r="D542" s="32"/>
      <x:c r="I542" s="74"/>
      <x:c r="J542" s="74"/>
      <x:c r="K542" s="74"/>
      <x:c r="L542" s="74"/>
      <x:c r="M542" s="74"/>
      <x:c r="N542" s="74"/>
      <x:c r="O542" s="91"/>
      <x:c r="P542" s="91"/>
      <x:c r="Q542" s="85"/>
      <x:c r="R542" s="85"/>
      <x:c r="S542" s="85"/>
      <x:c r="T542" s="85"/>
      <x:c r="U542" s="85"/>
      <x:c r="V542" s="85"/>
      <x:c r="W542" s="85"/>
      <x:c r="Y542" s="86"/>
      <x:c r="Z542" s="86"/>
      <x:c r="AA542" s="32"/>
    </x:row>
    <x:row r="543">
      <x:c r="A543" s="87"/>
      <x:c r="B543" s="88"/>
      <x:c r="D543" s="32"/>
      <x:c r="I543" s="74"/>
      <x:c r="J543" s="74"/>
      <x:c r="K543" s="74"/>
      <x:c r="L543" s="74"/>
      <x:c r="M543" s="74"/>
      <x:c r="N543" s="74"/>
      <x:c r="O543" s="91"/>
      <x:c r="P543" s="91"/>
      <x:c r="Q543" s="85"/>
      <x:c r="R543" s="85"/>
      <x:c r="S543" s="85"/>
      <x:c r="T543" s="85"/>
      <x:c r="U543" s="85"/>
      <x:c r="V543" s="85"/>
      <x:c r="W543" s="85"/>
      <x:c r="Y543" s="86"/>
      <x:c r="Z543" s="86"/>
      <x:c r="AA543" s="32"/>
    </x:row>
    <x:row r="544">
      <x:c r="A544" s="87"/>
      <x:c r="B544" s="88"/>
      <x:c r="D544" s="32"/>
      <x:c r="I544" s="74"/>
      <x:c r="J544" s="74"/>
      <x:c r="K544" s="74"/>
      <x:c r="L544" s="74"/>
      <x:c r="M544" s="74"/>
      <x:c r="N544" s="74"/>
      <x:c r="O544" s="91"/>
      <x:c r="P544" s="91"/>
      <x:c r="Q544" s="85"/>
      <x:c r="R544" s="85"/>
      <x:c r="S544" s="85"/>
      <x:c r="T544" s="85"/>
      <x:c r="U544" s="85"/>
      <x:c r="V544" s="85"/>
      <x:c r="W544" s="85"/>
      <x:c r="Y544" s="86"/>
      <x:c r="Z544" s="86"/>
      <x:c r="AA544" s="32"/>
    </x:row>
    <x:row r="545">
      <x:c r="A545" s="87"/>
      <x:c r="B545" s="88"/>
      <x:c r="D545" s="32"/>
      <x:c r="I545" s="74"/>
      <x:c r="J545" s="74"/>
      <x:c r="K545" s="74"/>
      <x:c r="L545" s="74"/>
      <x:c r="M545" s="74"/>
      <x:c r="N545" s="74"/>
      <x:c r="O545" s="91"/>
      <x:c r="P545" s="91"/>
      <x:c r="Q545" s="85"/>
      <x:c r="R545" s="85"/>
      <x:c r="S545" s="85"/>
      <x:c r="T545" s="85"/>
      <x:c r="U545" s="85"/>
      <x:c r="V545" s="85"/>
      <x:c r="W545" s="85"/>
      <x:c r="Y545" s="86"/>
      <x:c r="Z545" s="86"/>
      <x:c r="AA545" s="32"/>
    </x:row>
    <x:row r="546">
      <x:c r="A546" s="87"/>
      <x:c r="B546" s="88"/>
      <x:c r="D546" s="32"/>
      <x:c r="I546" s="74"/>
      <x:c r="J546" s="74"/>
      <x:c r="K546" s="74"/>
      <x:c r="L546" s="74"/>
      <x:c r="M546" s="74"/>
      <x:c r="N546" s="74"/>
      <x:c r="O546" s="91"/>
      <x:c r="P546" s="91"/>
      <x:c r="Q546" s="85"/>
      <x:c r="R546" s="85"/>
      <x:c r="S546" s="85"/>
      <x:c r="T546" s="85"/>
      <x:c r="U546" s="85"/>
      <x:c r="V546" s="85"/>
      <x:c r="W546" s="85"/>
      <x:c r="Y546" s="86"/>
      <x:c r="Z546" s="86"/>
      <x:c r="AA546" s="32"/>
    </x:row>
    <x:row r="547">
      <x:c r="A547" s="87"/>
      <x:c r="B547" s="88"/>
      <x:c r="D547" s="32"/>
      <x:c r="I547" s="74"/>
      <x:c r="J547" s="74"/>
      <x:c r="K547" s="74"/>
      <x:c r="L547" s="74"/>
      <x:c r="M547" s="74"/>
      <x:c r="N547" s="74"/>
      <x:c r="O547" s="91"/>
      <x:c r="P547" s="91"/>
      <x:c r="Q547" s="85"/>
      <x:c r="R547" s="85"/>
      <x:c r="S547" s="85"/>
      <x:c r="T547" s="85"/>
      <x:c r="U547" s="85"/>
      <x:c r="V547" s="85"/>
      <x:c r="W547" s="85"/>
      <x:c r="Y547" s="86"/>
      <x:c r="Z547" s="86"/>
      <x:c r="AA547" s="32"/>
    </x:row>
    <x:row r="548">
      <x:c r="A548" s="87"/>
      <x:c r="B548" s="88"/>
      <x:c r="D548" s="32"/>
      <x:c r="I548" s="74"/>
      <x:c r="J548" s="74"/>
      <x:c r="K548" s="74"/>
      <x:c r="L548" s="74"/>
      <x:c r="M548" s="74"/>
      <x:c r="N548" s="74"/>
      <x:c r="O548" s="91"/>
      <x:c r="P548" s="91"/>
      <x:c r="Q548" s="85"/>
      <x:c r="R548" s="85"/>
      <x:c r="S548" s="85"/>
      <x:c r="T548" s="85"/>
      <x:c r="U548" s="85"/>
      <x:c r="V548" s="85"/>
      <x:c r="W548" s="85"/>
      <x:c r="Y548" s="86"/>
      <x:c r="Z548" s="86"/>
      <x:c r="AA548" s="32"/>
    </x:row>
    <x:row r="549">
      <x:c r="A549" s="87"/>
      <x:c r="B549" s="88"/>
      <x:c r="D549" s="32"/>
      <x:c r="I549" s="74"/>
      <x:c r="J549" s="74"/>
      <x:c r="K549" s="74"/>
      <x:c r="L549" s="74"/>
      <x:c r="M549" s="74"/>
      <x:c r="N549" s="74"/>
      <x:c r="O549" s="91"/>
      <x:c r="P549" s="91"/>
      <x:c r="Q549" s="85"/>
      <x:c r="R549" s="85"/>
      <x:c r="S549" s="85"/>
      <x:c r="T549" s="85"/>
      <x:c r="U549" s="85"/>
      <x:c r="V549" s="85"/>
      <x:c r="W549" s="85"/>
      <x:c r="Y549" s="86"/>
      <x:c r="Z549" s="86"/>
      <x:c r="AA549" s="32"/>
    </x:row>
    <x:row r="550">
      <x:c r="A550" s="87"/>
      <x:c r="B550" s="88"/>
      <x:c r="D550" s="32"/>
      <x:c r="I550" s="74"/>
      <x:c r="J550" s="74"/>
      <x:c r="K550" s="74"/>
      <x:c r="L550" s="74"/>
      <x:c r="M550" s="74"/>
      <x:c r="N550" s="74"/>
      <x:c r="O550" s="91"/>
      <x:c r="P550" s="91"/>
      <x:c r="Q550" s="85"/>
      <x:c r="R550" s="85"/>
      <x:c r="S550" s="85"/>
      <x:c r="T550" s="85"/>
      <x:c r="U550" s="85"/>
      <x:c r="V550" s="85"/>
      <x:c r="W550" s="85"/>
      <x:c r="Y550" s="86"/>
      <x:c r="Z550" s="86"/>
      <x:c r="AA550" s="32"/>
    </x:row>
    <x:row r="551">
      <x:c r="A551" s="87"/>
      <x:c r="B551" s="88"/>
      <x:c r="D551" s="32"/>
      <x:c r="I551" s="74"/>
      <x:c r="J551" s="74"/>
      <x:c r="K551" s="74"/>
      <x:c r="L551" s="74"/>
      <x:c r="M551" s="74"/>
      <x:c r="N551" s="74"/>
      <x:c r="O551" s="91"/>
      <x:c r="P551" s="91"/>
      <x:c r="Q551" s="85"/>
      <x:c r="R551" s="85"/>
      <x:c r="S551" s="85"/>
      <x:c r="T551" s="85"/>
      <x:c r="U551" s="85"/>
      <x:c r="V551" s="85"/>
      <x:c r="W551" s="85"/>
      <x:c r="Y551" s="86"/>
      <x:c r="Z551" s="86"/>
      <x:c r="AA551" s="32"/>
    </x:row>
    <x:row r="552">
      <x:c r="A552" s="87"/>
      <x:c r="B552" s="88"/>
      <x:c r="D552" s="32"/>
      <x:c r="I552" s="74"/>
      <x:c r="J552" s="74"/>
      <x:c r="K552" s="74"/>
      <x:c r="L552" s="74"/>
      <x:c r="M552" s="74"/>
      <x:c r="N552" s="74"/>
      <x:c r="O552" s="91"/>
      <x:c r="P552" s="91"/>
      <x:c r="Q552" s="85"/>
      <x:c r="R552" s="85"/>
      <x:c r="S552" s="85"/>
      <x:c r="T552" s="85"/>
      <x:c r="U552" s="85"/>
      <x:c r="V552" s="85"/>
      <x:c r="W552" s="85"/>
      <x:c r="Y552" s="86"/>
      <x:c r="Z552" s="86"/>
      <x:c r="AA552" s="32"/>
    </x:row>
    <x:row r="553">
      <x:c r="A553" s="87"/>
      <x:c r="B553" s="88"/>
      <x:c r="D553" s="32"/>
      <x:c r="I553" s="74"/>
      <x:c r="J553" s="74"/>
      <x:c r="K553" s="74"/>
      <x:c r="L553" s="74"/>
      <x:c r="M553" s="74"/>
      <x:c r="N553" s="74"/>
      <x:c r="O553" s="91"/>
      <x:c r="P553" s="91"/>
      <x:c r="Q553" s="85"/>
      <x:c r="R553" s="85"/>
      <x:c r="S553" s="85"/>
      <x:c r="T553" s="85"/>
      <x:c r="U553" s="85"/>
      <x:c r="V553" s="85"/>
      <x:c r="W553" s="85"/>
      <x:c r="Y553" s="86"/>
      <x:c r="Z553" s="86"/>
      <x:c r="AA553" s="32"/>
    </x:row>
    <x:row r="554">
      <x:c r="A554" s="87"/>
      <x:c r="B554" s="88"/>
      <x:c r="D554" s="32"/>
      <x:c r="I554" s="74"/>
      <x:c r="J554" s="74"/>
      <x:c r="K554" s="74"/>
      <x:c r="L554" s="74"/>
      <x:c r="M554" s="74"/>
      <x:c r="N554" s="74"/>
      <x:c r="O554" s="91"/>
      <x:c r="P554" s="91"/>
      <x:c r="Q554" s="85"/>
      <x:c r="R554" s="85"/>
      <x:c r="S554" s="85"/>
      <x:c r="T554" s="85"/>
      <x:c r="U554" s="85"/>
      <x:c r="V554" s="85"/>
      <x:c r="W554" s="85"/>
      <x:c r="Y554" s="86"/>
      <x:c r="Z554" s="86"/>
      <x:c r="AA554" s="32"/>
    </x:row>
    <x:row r="555">
      <x:c r="A555" s="87"/>
      <x:c r="B555" s="88"/>
      <x:c r="D555" s="32"/>
      <x:c r="I555" s="74"/>
      <x:c r="J555" s="74"/>
      <x:c r="K555" s="74"/>
      <x:c r="L555" s="74"/>
      <x:c r="M555" s="74"/>
      <x:c r="N555" s="74"/>
      <x:c r="O555" s="91"/>
      <x:c r="P555" s="91"/>
      <x:c r="Q555" s="85"/>
      <x:c r="R555" s="85"/>
      <x:c r="S555" s="85"/>
      <x:c r="T555" s="85"/>
      <x:c r="U555" s="85"/>
      <x:c r="V555" s="85"/>
      <x:c r="W555" s="85"/>
      <x:c r="Y555" s="86"/>
      <x:c r="Z555" s="86"/>
      <x:c r="AA555" s="32"/>
    </x:row>
    <x:row r="556">
      <x:c r="A556" s="87"/>
      <x:c r="B556" s="88"/>
      <x:c r="D556" s="32"/>
      <x:c r="I556" s="74"/>
      <x:c r="J556" s="74"/>
      <x:c r="K556" s="74"/>
      <x:c r="L556" s="74"/>
      <x:c r="M556" s="74"/>
      <x:c r="N556" s="74"/>
      <x:c r="O556" s="91"/>
      <x:c r="P556" s="91"/>
      <x:c r="Q556" s="85"/>
      <x:c r="R556" s="85"/>
      <x:c r="S556" s="85"/>
      <x:c r="T556" s="85"/>
      <x:c r="U556" s="85"/>
      <x:c r="V556" s="85"/>
      <x:c r="W556" s="85"/>
      <x:c r="Y556" s="86"/>
      <x:c r="Z556" s="86"/>
      <x:c r="AA556" s="32"/>
    </x:row>
    <x:row r="557">
      <x:c r="A557" s="87"/>
      <x:c r="B557" s="88"/>
      <x:c r="D557" s="32"/>
      <x:c r="I557" s="74"/>
      <x:c r="J557" s="74"/>
      <x:c r="K557" s="74"/>
      <x:c r="L557" s="74"/>
      <x:c r="M557" s="74"/>
      <x:c r="N557" s="74"/>
      <x:c r="O557" s="91"/>
      <x:c r="P557" s="91"/>
      <x:c r="Q557" s="85"/>
      <x:c r="R557" s="85"/>
      <x:c r="S557" s="85"/>
      <x:c r="T557" s="85"/>
      <x:c r="U557" s="85"/>
      <x:c r="V557" s="85"/>
      <x:c r="W557" s="85"/>
      <x:c r="Y557" s="86"/>
      <x:c r="Z557" s="86"/>
      <x:c r="AA557" s="32"/>
    </x:row>
    <x:row r="558">
      <x:c r="A558" s="87"/>
      <x:c r="B558" s="88"/>
      <x:c r="D558" s="32"/>
      <x:c r="I558" s="74"/>
      <x:c r="J558" s="74"/>
      <x:c r="K558" s="74"/>
      <x:c r="L558" s="74"/>
      <x:c r="M558" s="74"/>
      <x:c r="N558" s="74"/>
      <x:c r="O558" s="91"/>
      <x:c r="P558" s="91"/>
      <x:c r="Q558" s="85"/>
      <x:c r="R558" s="85"/>
      <x:c r="S558" s="85"/>
      <x:c r="T558" s="85"/>
      <x:c r="U558" s="85"/>
      <x:c r="V558" s="85"/>
      <x:c r="W558" s="85"/>
      <x:c r="Y558" s="86"/>
      <x:c r="Z558" s="86"/>
      <x:c r="AA558" s="32"/>
    </x:row>
    <x:row r="559">
      <x:c r="A559" s="87"/>
      <x:c r="B559" s="88"/>
      <x:c r="D559" s="32"/>
      <x:c r="I559" s="74"/>
      <x:c r="J559" s="74"/>
      <x:c r="K559" s="74"/>
      <x:c r="L559" s="74"/>
      <x:c r="M559" s="74"/>
      <x:c r="N559" s="74"/>
      <x:c r="O559" s="91"/>
      <x:c r="P559" s="91"/>
      <x:c r="Q559" s="85"/>
      <x:c r="R559" s="85"/>
      <x:c r="S559" s="85"/>
      <x:c r="T559" s="85"/>
      <x:c r="U559" s="85"/>
      <x:c r="V559" s="85"/>
      <x:c r="W559" s="85"/>
      <x:c r="Y559" s="86"/>
      <x:c r="Z559" s="86"/>
      <x:c r="AA559" s="32"/>
    </x:row>
    <x:row r="560">
      <x:c r="A560" s="87"/>
      <x:c r="B560" s="88"/>
      <x:c r="D560" s="32"/>
      <x:c r="I560" s="74"/>
      <x:c r="J560" s="74"/>
      <x:c r="K560" s="74"/>
      <x:c r="L560" s="74"/>
      <x:c r="M560" s="74"/>
      <x:c r="N560" s="74"/>
      <x:c r="O560" s="91"/>
      <x:c r="P560" s="91"/>
      <x:c r="Q560" s="85"/>
      <x:c r="R560" s="85"/>
      <x:c r="S560" s="85"/>
      <x:c r="T560" s="85"/>
      <x:c r="U560" s="85"/>
      <x:c r="V560" s="85"/>
      <x:c r="W560" s="85"/>
      <x:c r="Y560" s="86"/>
      <x:c r="Z560" s="86"/>
      <x:c r="AA560" s="32"/>
    </x:row>
    <x:row r="561">
      <x:c r="A561" s="87"/>
      <x:c r="B561" s="88"/>
      <x:c r="D561" s="32"/>
      <x:c r="I561" s="74"/>
      <x:c r="J561" s="74"/>
      <x:c r="K561" s="74"/>
      <x:c r="L561" s="74"/>
      <x:c r="M561" s="74"/>
      <x:c r="N561" s="74"/>
      <x:c r="O561" s="91"/>
      <x:c r="P561" s="91"/>
      <x:c r="Q561" s="85"/>
      <x:c r="R561" s="85"/>
      <x:c r="S561" s="85"/>
      <x:c r="T561" s="85"/>
      <x:c r="U561" s="85"/>
      <x:c r="V561" s="85"/>
      <x:c r="W561" s="85"/>
      <x:c r="Y561" s="86"/>
      <x:c r="Z561" s="86"/>
      <x:c r="AA561" s="32"/>
    </x:row>
    <x:row r="562">
      <x:c r="A562" s="87"/>
      <x:c r="B562" s="88"/>
      <x:c r="D562" s="32"/>
      <x:c r="I562" s="74"/>
      <x:c r="J562" s="74"/>
      <x:c r="K562" s="74"/>
      <x:c r="L562" s="74"/>
      <x:c r="M562" s="74"/>
      <x:c r="N562" s="74"/>
      <x:c r="O562" s="91"/>
      <x:c r="P562" s="91"/>
      <x:c r="Q562" s="85"/>
      <x:c r="R562" s="85"/>
      <x:c r="S562" s="85"/>
      <x:c r="T562" s="85"/>
      <x:c r="U562" s="85"/>
      <x:c r="V562" s="85"/>
      <x:c r="W562" s="85"/>
      <x:c r="Y562" s="86"/>
      <x:c r="Z562" s="86"/>
      <x:c r="AA562" s="32"/>
    </x:row>
    <x:row r="563">
      <x:c r="A563" s="87"/>
      <x:c r="B563" s="88"/>
      <x:c r="D563" s="32"/>
      <x:c r="I563" s="74"/>
      <x:c r="J563" s="74"/>
      <x:c r="K563" s="74"/>
      <x:c r="L563" s="74"/>
      <x:c r="M563" s="74"/>
      <x:c r="N563" s="74"/>
      <x:c r="O563" s="91"/>
      <x:c r="P563" s="91"/>
      <x:c r="Q563" s="85"/>
      <x:c r="R563" s="85"/>
      <x:c r="S563" s="85"/>
      <x:c r="T563" s="85"/>
      <x:c r="U563" s="85"/>
      <x:c r="V563" s="85"/>
      <x:c r="W563" s="85"/>
      <x:c r="Y563" s="86"/>
      <x:c r="Z563" s="86"/>
      <x:c r="AA563" s="32"/>
    </x:row>
    <x:row r="564">
      <x:c r="A564" s="87"/>
      <x:c r="B564" s="88"/>
      <x:c r="D564" s="32"/>
      <x:c r="I564" s="74"/>
      <x:c r="J564" s="74"/>
      <x:c r="K564" s="74"/>
      <x:c r="L564" s="74"/>
      <x:c r="M564" s="74"/>
      <x:c r="N564" s="74"/>
      <x:c r="O564" s="91"/>
      <x:c r="P564" s="91"/>
      <x:c r="Q564" s="85"/>
      <x:c r="R564" s="85"/>
      <x:c r="S564" s="85"/>
      <x:c r="T564" s="85"/>
      <x:c r="U564" s="85"/>
      <x:c r="V564" s="85"/>
      <x:c r="W564" s="85"/>
      <x:c r="Y564" s="86"/>
      <x:c r="Z564" s="86"/>
      <x:c r="AA564" s="32"/>
    </x:row>
    <x:row r="565">
      <x:c r="A565" s="87"/>
      <x:c r="B565" s="88"/>
      <x:c r="D565" s="32"/>
      <x:c r="I565" s="74"/>
      <x:c r="J565" s="74"/>
      <x:c r="K565" s="74"/>
      <x:c r="L565" s="74"/>
      <x:c r="M565" s="74"/>
      <x:c r="N565" s="74"/>
      <x:c r="O565" s="91"/>
      <x:c r="P565" s="91"/>
      <x:c r="Q565" s="85"/>
      <x:c r="R565" s="85"/>
      <x:c r="S565" s="85"/>
      <x:c r="T565" s="85"/>
      <x:c r="U565" s="85"/>
      <x:c r="V565" s="85"/>
      <x:c r="W565" s="85"/>
      <x:c r="Y565" s="86"/>
      <x:c r="Z565" s="86"/>
      <x:c r="AA565" s="32"/>
    </x:row>
    <x:row r="566">
      <x:c r="A566" s="87"/>
      <x:c r="B566" s="88"/>
      <x:c r="D566" s="32"/>
      <x:c r="I566" s="74"/>
      <x:c r="J566" s="74"/>
      <x:c r="K566" s="74"/>
      <x:c r="L566" s="74"/>
      <x:c r="M566" s="74"/>
      <x:c r="N566" s="74"/>
      <x:c r="O566" s="91"/>
      <x:c r="P566" s="91"/>
      <x:c r="Q566" s="85"/>
      <x:c r="R566" s="85"/>
      <x:c r="S566" s="85"/>
      <x:c r="T566" s="85"/>
      <x:c r="U566" s="85"/>
      <x:c r="V566" s="85"/>
      <x:c r="W566" s="85"/>
      <x:c r="Y566" s="86"/>
      <x:c r="Z566" s="86"/>
      <x:c r="AA566" s="32"/>
    </x:row>
    <x:row r="567">
      <x:c r="A567" s="87"/>
      <x:c r="B567" s="88"/>
      <x:c r="D567" s="32"/>
      <x:c r="I567" s="74"/>
      <x:c r="J567" s="74"/>
      <x:c r="K567" s="74"/>
      <x:c r="L567" s="74"/>
      <x:c r="M567" s="74"/>
      <x:c r="N567" s="74"/>
      <x:c r="O567" s="91"/>
      <x:c r="P567" s="91"/>
      <x:c r="Q567" s="85"/>
      <x:c r="R567" s="85"/>
      <x:c r="S567" s="85"/>
      <x:c r="T567" s="85"/>
      <x:c r="U567" s="85"/>
      <x:c r="V567" s="85"/>
      <x:c r="W567" s="85"/>
      <x:c r="Y567" s="86"/>
      <x:c r="Z567" s="86"/>
      <x:c r="AA567" s="32"/>
    </x:row>
    <x:row r="568">
      <x:c r="A568" s="87"/>
      <x:c r="B568" s="88"/>
      <x:c r="D568" s="32"/>
      <x:c r="I568" s="74"/>
      <x:c r="J568" s="74"/>
      <x:c r="K568" s="74"/>
      <x:c r="L568" s="74"/>
      <x:c r="M568" s="74"/>
      <x:c r="N568" s="74"/>
      <x:c r="O568" s="91"/>
      <x:c r="P568" s="91"/>
      <x:c r="Q568" s="85"/>
      <x:c r="R568" s="85"/>
      <x:c r="S568" s="85"/>
      <x:c r="T568" s="85"/>
      <x:c r="U568" s="85"/>
      <x:c r="V568" s="85"/>
      <x:c r="W568" s="85"/>
      <x:c r="Y568" s="86"/>
      <x:c r="Z568" s="86"/>
      <x:c r="AA568" s="32"/>
    </x:row>
    <x:row r="569">
      <x:c r="A569" s="87"/>
      <x:c r="B569" s="88"/>
      <x:c r="D569" s="32"/>
      <x:c r="I569" s="74"/>
      <x:c r="J569" s="74"/>
      <x:c r="K569" s="74"/>
      <x:c r="L569" s="74"/>
      <x:c r="M569" s="74"/>
      <x:c r="N569" s="74"/>
      <x:c r="O569" s="91"/>
      <x:c r="P569" s="91"/>
      <x:c r="Q569" s="85"/>
      <x:c r="R569" s="85"/>
      <x:c r="S569" s="85"/>
      <x:c r="T569" s="85"/>
      <x:c r="U569" s="85"/>
      <x:c r="V569" s="85"/>
      <x:c r="W569" s="85"/>
      <x:c r="Y569" s="86"/>
      <x:c r="Z569" s="86"/>
      <x:c r="AA569" s="32"/>
    </x:row>
    <x:row r="570">
      <x:c r="A570" s="87"/>
      <x:c r="B570" s="88"/>
      <x:c r="D570" s="32"/>
      <x:c r="I570" s="74"/>
      <x:c r="J570" s="74"/>
      <x:c r="K570" s="74"/>
      <x:c r="L570" s="74"/>
      <x:c r="M570" s="74"/>
      <x:c r="N570" s="74"/>
      <x:c r="O570" s="91"/>
      <x:c r="P570" s="91"/>
      <x:c r="Q570" s="85"/>
      <x:c r="R570" s="85"/>
      <x:c r="S570" s="85"/>
      <x:c r="T570" s="85"/>
      <x:c r="U570" s="85"/>
      <x:c r="V570" s="85"/>
      <x:c r="W570" s="85"/>
      <x:c r="Y570" s="86"/>
      <x:c r="Z570" s="86"/>
      <x:c r="AA570" s="32"/>
    </x:row>
    <x:row r="571">
      <x:c r="A571" s="87"/>
      <x:c r="B571" s="88"/>
      <x:c r="D571" s="32"/>
      <x:c r="I571" s="74"/>
      <x:c r="J571" s="74"/>
      <x:c r="K571" s="74"/>
      <x:c r="L571" s="74"/>
      <x:c r="M571" s="74"/>
      <x:c r="N571" s="74"/>
      <x:c r="O571" s="91"/>
      <x:c r="P571" s="91"/>
      <x:c r="Q571" s="85"/>
      <x:c r="R571" s="85"/>
      <x:c r="S571" s="85"/>
      <x:c r="T571" s="85"/>
      <x:c r="U571" s="85"/>
      <x:c r="V571" s="85"/>
      <x:c r="W571" s="85"/>
      <x:c r="Y571" s="86"/>
      <x:c r="Z571" s="86"/>
      <x:c r="AA571" s="32"/>
    </x:row>
    <x:row r="572">
      <x:c r="A572" s="87"/>
      <x:c r="B572" s="88"/>
      <x:c r="D572" s="32"/>
      <x:c r="I572" s="74"/>
      <x:c r="J572" s="74"/>
      <x:c r="K572" s="74"/>
      <x:c r="L572" s="74"/>
      <x:c r="M572" s="74"/>
      <x:c r="N572" s="74"/>
      <x:c r="O572" s="91"/>
      <x:c r="P572" s="91"/>
      <x:c r="Q572" s="85"/>
      <x:c r="R572" s="85"/>
      <x:c r="S572" s="85"/>
      <x:c r="T572" s="85"/>
      <x:c r="U572" s="85"/>
      <x:c r="V572" s="85"/>
      <x:c r="W572" s="85"/>
      <x:c r="Y572" s="86"/>
      <x:c r="Z572" s="86"/>
      <x:c r="AA572" s="32"/>
    </x:row>
    <x:row r="573">
      <x:c r="A573" s="87"/>
      <x:c r="B573" s="88"/>
      <x:c r="D573" s="32"/>
      <x:c r="I573" s="74"/>
      <x:c r="J573" s="74"/>
      <x:c r="K573" s="74"/>
      <x:c r="L573" s="74"/>
      <x:c r="M573" s="74"/>
      <x:c r="N573" s="74"/>
      <x:c r="O573" s="91"/>
      <x:c r="P573" s="91"/>
      <x:c r="Q573" s="85"/>
      <x:c r="R573" s="85"/>
      <x:c r="S573" s="85"/>
      <x:c r="T573" s="85"/>
      <x:c r="U573" s="85"/>
      <x:c r="V573" s="85"/>
      <x:c r="W573" s="85"/>
      <x:c r="Y573" s="86"/>
      <x:c r="Z573" s="86"/>
      <x:c r="AA573" s="32"/>
    </x:row>
    <x:row r="574">
      <x:c r="A574" s="87"/>
      <x:c r="B574" s="88"/>
      <x:c r="D574" s="32"/>
      <x:c r="I574" s="74"/>
      <x:c r="J574" s="74"/>
      <x:c r="K574" s="74"/>
      <x:c r="L574" s="74"/>
      <x:c r="M574" s="74"/>
      <x:c r="N574" s="74"/>
      <x:c r="O574" s="91"/>
      <x:c r="P574" s="91"/>
      <x:c r="Q574" s="85"/>
      <x:c r="R574" s="85"/>
      <x:c r="S574" s="85"/>
      <x:c r="T574" s="85"/>
      <x:c r="U574" s="85"/>
      <x:c r="V574" s="85"/>
      <x:c r="W574" s="85"/>
      <x:c r="Y574" s="86"/>
      <x:c r="Z574" s="86"/>
      <x:c r="AA574" s="32"/>
    </x:row>
    <x:row r="575">
      <x:c r="A575" s="87"/>
      <x:c r="B575" s="88"/>
      <x:c r="D575" s="32"/>
      <x:c r="I575" s="74"/>
      <x:c r="J575" s="74"/>
      <x:c r="K575" s="74"/>
      <x:c r="L575" s="74"/>
      <x:c r="M575" s="74"/>
      <x:c r="N575" s="74"/>
      <x:c r="O575" s="91"/>
      <x:c r="P575" s="91"/>
      <x:c r="Q575" s="85"/>
      <x:c r="R575" s="85"/>
      <x:c r="S575" s="85"/>
      <x:c r="T575" s="85"/>
      <x:c r="U575" s="85"/>
      <x:c r="V575" s="85"/>
      <x:c r="W575" s="85"/>
      <x:c r="Y575" s="86"/>
      <x:c r="Z575" s="86"/>
      <x:c r="AA575" s="32"/>
    </x:row>
    <x:row r="576">
      <x:c r="A576" s="87"/>
      <x:c r="B576" s="88"/>
      <x:c r="D576" s="32"/>
      <x:c r="I576" s="74"/>
      <x:c r="J576" s="74"/>
      <x:c r="K576" s="74"/>
      <x:c r="L576" s="74"/>
      <x:c r="M576" s="74"/>
      <x:c r="N576" s="74"/>
      <x:c r="O576" s="91"/>
      <x:c r="P576" s="91"/>
      <x:c r="Q576" s="85"/>
      <x:c r="R576" s="85"/>
      <x:c r="S576" s="85"/>
      <x:c r="T576" s="85"/>
      <x:c r="U576" s="85"/>
      <x:c r="V576" s="85"/>
      <x:c r="W576" s="85"/>
      <x:c r="Y576" s="86"/>
      <x:c r="Z576" s="86"/>
      <x:c r="AA576" s="32"/>
    </x:row>
    <x:row r="577">
      <x:c r="A577" s="87"/>
      <x:c r="B577" s="88"/>
      <x:c r="D577" s="32"/>
      <x:c r="I577" s="74"/>
      <x:c r="J577" s="74"/>
      <x:c r="K577" s="74"/>
      <x:c r="L577" s="74"/>
      <x:c r="M577" s="74"/>
      <x:c r="N577" s="74"/>
      <x:c r="O577" s="91"/>
      <x:c r="P577" s="91"/>
      <x:c r="Q577" s="85"/>
      <x:c r="R577" s="85"/>
      <x:c r="S577" s="85"/>
      <x:c r="T577" s="85"/>
      <x:c r="U577" s="85"/>
      <x:c r="V577" s="85"/>
      <x:c r="W577" s="85"/>
      <x:c r="Y577" s="86"/>
      <x:c r="Z577" s="86"/>
      <x:c r="AA577" s="32"/>
    </x:row>
    <x:row r="578">
      <x:c r="A578" s="87"/>
      <x:c r="B578" s="88"/>
      <x:c r="D578" s="32"/>
      <x:c r="I578" s="74"/>
      <x:c r="J578" s="74"/>
      <x:c r="K578" s="74"/>
      <x:c r="L578" s="74"/>
      <x:c r="M578" s="74"/>
      <x:c r="N578" s="74"/>
      <x:c r="O578" s="91"/>
      <x:c r="P578" s="91"/>
      <x:c r="Q578" s="85"/>
      <x:c r="R578" s="85"/>
      <x:c r="S578" s="85"/>
      <x:c r="T578" s="85"/>
      <x:c r="U578" s="85"/>
      <x:c r="V578" s="85"/>
      <x:c r="W578" s="85"/>
      <x:c r="Y578" s="86"/>
      <x:c r="Z578" s="86"/>
      <x:c r="AA578" s="32"/>
    </x:row>
    <x:row r="579">
      <x:c r="A579" s="87"/>
      <x:c r="B579" s="88"/>
      <x:c r="D579" s="32"/>
      <x:c r="I579" s="74"/>
      <x:c r="J579" s="74"/>
      <x:c r="K579" s="74"/>
      <x:c r="L579" s="74"/>
      <x:c r="M579" s="74"/>
      <x:c r="N579" s="74"/>
      <x:c r="O579" s="91"/>
      <x:c r="P579" s="91"/>
      <x:c r="Q579" s="85"/>
      <x:c r="R579" s="85"/>
      <x:c r="S579" s="85"/>
      <x:c r="T579" s="85"/>
      <x:c r="U579" s="85"/>
      <x:c r="V579" s="85"/>
      <x:c r="W579" s="85"/>
      <x:c r="Y579" s="86"/>
      <x:c r="Z579" s="86"/>
      <x:c r="AA579" s="32"/>
    </x:row>
    <x:row r="580">
      <x:c r="A580" s="87"/>
      <x:c r="B580" s="88"/>
      <x:c r="D580" s="32"/>
      <x:c r="I580" s="74"/>
      <x:c r="J580" s="74"/>
      <x:c r="K580" s="74"/>
      <x:c r="L580" s="74"/>
      <x:c r="M580" s="74"/>
      <x:c r="N580" s="74"/>
      <x:c r="O580" s="91"/>
      <x:c r="P580" s="91"/>
      <x:c r="Q580" s="85"/>
      <x:c r="R580" s="85"/>
      <x:c r="S580" s="85"/>
      <x:c r="T580" s="85"/>
      <x:c r="U580" s="85"/>
      <x:c r="V580" s="85"/>
      <x:c r="W580" s="85"/>
      <x:c r="Y580" s="86"/>
      <x:c r="Z580" s="86"/>
      <x:c r="AA580" s="32"/>
    </x:row>
    <x:row r="581">
      <x:c r="A581" s="87"/>
      <x:c r="B581" s="88"/>
      <x:c r="D581" s="32"/>
      <x:c r="I581" s="74"/>
      <x:c r="J581" s="74"/>
      <x:c r="K581" s="74"/>
      <x:c r="L581" s="74"/>
      <x:c r="M581" s="74"/>
      <x:c r="N581" s="74"/>
      <x:c r="O581" s="91"/>
      <x:c r="P581" s="91"/>
      <x:c r="Q581" s="85"/>
      <x:c r="R581" s="85"/>
      <x:c r="S581" s="85"/>
      <x:c r="T581" s="85"/>
      <x:c r="U581" s="85"/>
      <x:c r="V581" s="85"/>
      <x:c r="W581" s="85"/>
      <x:c r="Y581" s="86"/>
      <x:c r="Z581" s="86"/>
      <x:c r="AA581" s="32"/>
    </x:row>
    <x:row r="582">
      <x:c r="A582" s="87"/>
      <x:c r="B582" s="88"/>
      <x:c r="D582" s="32"/>
      <x:c r="I582" s="74"/>
      <x:c r="J582" s="74"/>
      <x:c r="K582" s="74"/>
      <x:c r="L582" s="74"/>
      <x:c r="M582" s="74"/>
      <x:c r="N582" s="74"/>
      <x:c r="O582" s="91"/>
      <x:c r="P582" s="91"/>
      <x:c r="Q582" s="85"/>
      <x:c r="R582" s="85"/>
      <x:c r="S582" s="85"/>
      <x:c r="T582" s="85"/>
      <x:c r="U582" s="85"/>
      <x:c r="V582" s="85"/>
      <x:c r="W582" s="85"/>
      <x:c r="Y582" s="86"/>
      <x:c r="Z582" s="86"/>
      <x:c r="AA582" s="32"/>
    </x:row>
    <x:row r="583">
      <x:c r="A583" s="87"/>
      <x:c r="B583" s="88"/>
      <x:c r="D583" s="32"/>
      <x:c r="I583" s="74"/>
      <x:c r="J583" s="74"/>
      <x:c r="K583" s="74"/>
      <x:c r="L583" s="74"/>
      <x:c r="M583" s="74"/>
      <x:c r="N583" s="74"/>
      <x:c r="O583" s="91"/>
      <x:c r="P583" s="91"/>
      <x:c r="Q583" s="85"/>
      <x:c r="R583" s="85"/>
      <x:c r="S583" s="85"/>
      <x:c r="T583" s="85"/>
      <x:c r="U583" s="85"/>
      <x:c r="V583" s="85"/>
      <x:c r="W583" s="85"/>
      <x:c r="Y583" s="86"/>
      <x:c r="Z583" s="86"/>
      <x:c r="AA583" s="32"/>
    </x:row>
    <x:row r="584">
      <x:c r="A584" s="87"/>
      <x:c r="B584" s="88"/>
      <x:c r="D584" s="32"/>
      <x:c r="I584" s="74"/>
      <x:c r="J584" s="74"/>
      <x:c r="K584" s="74"/>
      <x:c r="L584" s="74"/>
      <x:c r="M584" s="74"/>
      <x:c r="N584" s="74"/>
      <x:c r="O584" s="91"/>
      <x:c r="P584" s="91"/>
      <x:c r="Q584" s="85"/>
      <x:c r="R584" s="85"/>
      <x:c r="S584" s="85"/>
      <x:c r="T584" s="85"/>
      <x:c r="U584" s="85"/>
      <x:c r="V584" s="85"/>
      <x:c r="W584" s="85"/>
      <x:c r="Y584" s="86"/>
      <x:c r="Z584" s="86"/>
      <x:c r="AA584" s="32"/>
    </x:row>
    <x:row r="585">
      <x:c r="A585" s="87"/>
      <x:c r="B585" s="88"/>
      <x:c r="D585" s="32"/>
      <x:c r="I585" s="74"/>
      <x:c r="J585" s="74"/>
      <x:c r="K585" s="74"/>
      <x:c r="L585" s="74"/>
      <x:c r="M585" s="74"/>
      <x:c r="N585" s="74"/>
      <x:c r="O585" s="91"/>
      <x:c r="P585" s="91"/>
      <x:c r="Q585" s="85"/>
      <x:c r="R585" s="85"/>
      <x:c r="S585" s="85"/>
      <x:c r="T585" s="85"/>
      <x:c r="U585" s="85"/>
      <x:c r="V585" s="85"/>
      <x:c r="W585" s="85"/>
      <x:c r="Y585" s="86"/>
      <x:c r="Z585" s="86"/>
      <x:c r="AA585" s="32"/>
    </x:row>
    <x:row r="586">
      <x:c r="A586" s="87"/>
      <x:c r="B586" s="88"/>
      <x:c r="D586" s="32"/>
      <x:c r="I586" s="74"/>
      <x:c r="J586" s="74"/>
      <x:c r="K586" s="74"/>
      <x:c r="L586" s="74"/>
      <x:c r="M586" s="74"/>
      <x:c r="N586" s="74"/>
      <x:c r="O586" s="91"/>
      <x:c r="P586" s="91"/>
      <x:c r="Q586" s="85"/>
      <x:c r="R586" s="85"/>
      <x:c r="S586" s="85"/>
      <x:c r="T586" s="85"/>
      <x:c r="U586" s="85"/>
      <x:c r="V586" s="85"/>
      <x:c r="W586" s="85"/>
      <x:c r="Y586" s="86"/>
      <x:c r="Z586" s="86"/>
      <x:c r="AA586" s="32"/>
    </x:row>
    <x:row r="587">
      <x:c r="A587" s="87"/>
      <x:c r="B587" s="88"/>
      <x:c r="D587" s="32"/>
      <x:c r="I587" s="74"/>
      <x:c r="J587" s="74"/>
      <x:c r="K587" s="74"/>
      <x:c r="L587" s="74"/>
      <x:c r="M587" s="74"/>
      <x:c r="N587" s="74"/>
      <x:c r="O587" s="91"/>
      <x:c r="P587" s="91"/>
      <x:c r="Q587" s="85"/>
      <x:c r="R587" s="85"/>
      <x:c r="S587" s="85"/>
      <x:c r="T587" s="85"/>
      <x:c r="U587" s="85"/>
      <x:c r="V587" s="85"/>
      <x:c r="W587" s="85"/>
      <x:c r="Y587" s="86"/>
      <x:c r="Z587" s="86"/>
      <x:c r="AA587" s="32"/>
    </x:row>
    <x:row r="588">
      <x:c r="A588" s="87"/>
      <x:c r="B588" s="88"/>
      <x:c r="D588" s="32"/>
      <x:c r="I588" s="74"/>
      <x:c r="J588" s="74"/>
      <x:c r="K588" s="74"/>
      <x:c r="L588" s="74"/>
      <x:c r="M588" s="74"/>
      <x:c r="N588" s="74"/>
      <x:c r="O588" s="91"/>
      <x:c r="P588" s="91"/>
      <x:c r="Q588" s="85"/>
      <x:c r="R588" s="85"/>
      <x:c r="S588" s="85"/>
      <x:c r="T588" s="85"/>
      <x:c r="U588" s="85"/>
      <x:c r="V588" s="85"/>
      <x:c r="W588" s="85"/>
      <x:c r="Y588" s="86"/>
      <x:c r="Z588" s="86"/>
      <x:c r="AA588" s="32"/>
    </x:row>
    <x:row r="589">
      <x:c r="A589" s="87"/>
      <x:c r="B589" s="88"/>
      <x:c r="D589" s="32"/>
      <x:c r="I589" s="74"/>
      <x:c r="J589" s="74"/>
      <x:c r="K589" s="74"/>
      <x:c r="L589" s="74"/>
      <x:c r="M589" s="74"/>
      <x:c r="N589" s="74"/>
      <x:c r="O589" s="91"/>
      <x:c r="P589" s="91"/>
      <x:c r="Q589" s="85"/>
      <x:c r="R589" s="85"/>
      <x:c r="S589" s="85"/>
      <x:c r="T589" s="85"/>
      <x:c r="U589" s="85"/>
      <x:c r="V589" s="85"/>
      <x:c r="W589" s="85"/>
      <x:c r="Y589" s="86"/>
      <x:c r="Z589" s="86"/>
      <x:c r="AA589" s="32"/>
    </x:row>
    <x:row r="590">
      <x:c r="A590" s="87"/>
      <x:c r="B590" s="88"/>
      <x:c r="D590" s="32"/>
      <x:c r="I590" s="74"/>
      <x:c r="J590" s="74"/>
      <x:c r="K590" s="74"/>
      <x:c r="L590" s="74"/>
      <x:c r="M590" s="74"/>
      <x:c r="N590" s="74"/>
      <x:c r="O590" s="91"/>
      <x:c r="P590" s="91"/>
      <x:c r="Q590" s="85"/>
      <x:c r="R590" s="85"/>
      <x:c r="S590" s="85"/>
      <x:c r="T590" s="85"/>
      <x:c r="U590" s="85"/>
      <x:c r="V590" s="85"/>
      <x:c r="W590" s="85"/>
      <x:c r="Y590" s="86"/>
      <x:c r="Z590" s="86"/>
      <x:c r="AA590" s="32"/>
    </x:row>
    <x:row r="591">
      <x:c r="A591" s="87"/>
      <x:c r="B591" s="88"/>
      <x:c r="D591" s="32"/>
      <x:c r="I591" s="74"/>
      <x:c r="J591" s="74"/>
      <x:c r="K591" s="74"/>
      <x:c r="L591" s="74"/>
      <x:c r="M591" s="74"/>
      <x:c r="N591" s="74"/>
      <x:c r="O591" s="91"/>
      <x:c r="P591" s="91"/>
      <x:c r="Q591" s="85"/>
      <x:c r="R591" s="85"/>
      <x:c r="S591" s="85"/>
      <x:c r="T591" s="85"/>
      <x:c r="U591" s="85"/>
      <x:c r="V591" s="85"/>
      <x:c r="W591" s="85"/>
      <x:c r="Y591" s="86"/>
      <x:c r="Z591" s="86"/>
      <x:c r="AA591" s="32"/>
    </x:row>
    <x:row r="592">
      <x:c r="A592" s="87"/>
      <x:c r="B592" s="88"/>
      <x:c r="D592" s="32"/>
      <x:c r="I592" s="74"/>
      <x:c r="J592" s="74"/>
      <x:c r="K592" s="74"/>
      <x:c r="L592" s="74"/>
      <x:c r="M592" s="74"/>
      <x:c r="N592" s="74"/>
      <x:c r="O592" s="91"/>
      <x:c r="P592" s="91"/>
      <x:c r="Q592" s="85"/>
      <x:c r="R592" s="85"/>
      <x:c r="S592" s="85"/>
      <x:c r="T592" s="85"/>
      <x:c r="U592" s="85"/>
      <x:c r="V592" s="85"/>
      <x:c r="W592" s="85"/>
      <x:c r="Y592" s="86"/>
      <x:c r="Z592" s="86"/>
      <x:c r="AA592" s="32"/>
    </x:row>
    <x:row r="593">
      <x:c r="A593" s="87"/>
      <x:c r="B593" s="88"/>
      <x:c r="D593" s="32"/>
      <x:c r="I593" s="74"/>
      <x:c r="J593" s="74"/>
      <x:c r="K593" s="74"/>
      <x:c r="L593" s="74"/>
      <x:c r="M593" s="74"/>
      <x:c r="N593" s="74"/>
      <x:c r="O593" s="91"/>
      <x:c r="P593" s="91"/>
      <x:c r="Q593" s="85"/>
      <x:c r="R593" s="85"/>
      <x:c r="S593" s="85"/>
      <x:c r="T593" s="85"/>
      <x:c r="U593" s="85"/>
      <x:c r="V593" s="85"/>
      <x:c r="W593" s="85"/>
      <x:c r="Y593" s="86"/>
      <x:c r="Z593" s="86"/>
      <x:c r="AA593" s="32"/>
    </x:row>
    <x:row r="594">
      <x:c r="A594" s="87"/>
      <x:c r="B594" s="88"/>
      <x:c r="D594" s="32"/>
      <x:c r="I594" s="74"/>
      <x:c r="J594" s="74"/>
      <x:c r="K594" s="74"/>
      <x:c r="L594" s="74"/>
      <x:c r="M594" s="74"/>
      <x:c r="N594" s="74"/>
      <x:c r="O594" s="91"/>
      <x:c r="P594" s="91"/>
      <x:c r="Q594" s="85"/>
      <x:c r="R594" s="85"/>
      <x:c r="S594" s="85"/>
      <x:c r="T594" s="85"/>
      <x:c r="U594" s="85"/>
      <x:c r="V594" s="85"/>
      <x:c r="W594" s="85"/>
      <x:c r="Y594" s="86"/>
      <x:c r="Z594" s="86"/>
      <x:c r="AA594" s="32"/>
    </x:row>
    <x:row r="595">
      <x:c r="A595" s="87"/>
      <x:c r="B595" s="88"/>
      <x:c r="D595" s="32"/>
      <x:c r="I595" s="74"/>
      <x:c r="J595" s="74"/>
      <x:c r="K595" s="74"/>
      <x:c r="L595" s="74"/>
      <x:c r="M595" s="74"/>
      <x:c r="N595" s="74"/>
      <x:c r="O595" s="91"/>
      <x:c r="P595" s="91"/>
      <x:c r="Q595" s="85"/>
      <x:c r="R595" s="85"/>
      <x:c r="S595" s="85"/>
      <x:c r="T595" s="85"/>
      <x:c r="U595" s="85"/>
      <x:c r="V595" s="85"/>
      <x:c r="W595" s="85"/>
      <x:c r="Y595" s="86"/>
      <x:c r="Z595" s="86"/>
      <x:c r="AA595" s="32"/>
    </x:row>
    <x:row r="596">
      <x:c r="A596" s="87"/>
      <x:c r="B596" s="88"/>
      <x:c r="D596" s="32"/>
      <x:c r="I596" s="74"/>
      <x:c r="J596" s="74"/>
      <x:c r="K596" s="74"/>
      <x:c r="L596" s="74"/>
      <x:c r="M596" s="74"/>
      <x:c r="N596" s="74"/>
      <x:c r="O596" s="91"/>
      <x:c r="P596" s="91"/>
      <x:c r="Q596" s="85"/>
      <x:c r="R596" s="85"/>
      <x:c r="S596" s="85"/>
      <x:c r="T596" s="85"/>
      <x:c r="U596" s="85"/>
      <x:c r="V596" s="85"/>
      <x:c r="W596" s="85"/>
      <x:c r="Y596" s="86"/>
      <x:c r="Z596" s="86"/>
      <x:c r="AA596" s="32"/>
    </x:row>
    <x:row r="597">
      <x:c r="A597" s="87"/>
      <x:c r="B597" s="88"/>
      <x:c r="D597" s="32"/>
      <x:c r="I597" s="74"/>
      <x:c r="J597" s="74"/>
      <x:c r="K597" s="74"/>
      <x:c r="L597" s="74"/>
      <x:c r="M597" s="74"/>
      <x:c r="N597" s="74"/>
      <x:c r="O597" s="91"/>
      <x:c r="P597" s="91"/>
      <x:c r="Q597" s="85"/>
      <x:c r="R597" s="85"/>
      <x:c r="S597" s="85"/>
      <x:c r="T597" s="85"/>
      <x:c r="U597" s="85"/>
      <x:c r="V597" s="85"/>
      <x:c r="W597" s="85"/>
      <x:c r="Y597" s="86"/>
      <x:c r="Z597" s="86"/>
      <x:c r="AA597" s="32"/>
    </x:row>
    <x:row r="598">
      <x:c r="A598" s="87"/>
      <x:c r="B598" s="88"/>
      <x:c r="D598" s="32"/>
      <x:c r="I598" s="74"/>
      <x:c r="J598" s="74"/>
      <x:c r="K598" s="74"/>
      <x:c r="L598" s="74"/>
      <x:c r="M598" s="74"/>
      <x:c r="N598" s="74"/>
      <x:c r="O598" s="91"/>
      <x:c r="P598" s="91"/>
      <x:c r="Q598" s="85"/>
      <x:c r="R598" s="85"/>
      <x:c r="S598" s="85"/>
      <x:c r="T598" s="85"/>
      <x:c r="U598" s="85"/>
      <x:c r="V598" s="85"/>
      <x:c r="W598" s="85"/>
      <x:c r="Y598" s="86"/>
      <x:c r="Z598" s="86"/>
      <x:c r="AA598" s="32"/>
    </x:row>
    <x:row r="599">
      <x:c r="A599" s="87"/>
      <x:c r="B599" s="88"/>
      <x:c r="D599" s="32"/>
      <x:c r="I599" s="74"/>
      <x:c r="J599" s="74"/>
      <x:c r="K599" s="74"/>
      <x:c r="L599" s="74"/>
      <x:c r="M599" s="74"/>
      <x:c r="N599" s="74"/>
      <x:c r="O599" s="91"/>
      <x:c r="P599" s="91"/>
      <x:c r="Q599" s="85"/>
      <x:c r="R599" s="85"/>
      <x:c r="S599" s="85"/>
      <x:c r="T599" s="85"/>
      <x:c r="U599" s="85"/>
      <x:c r="V599" s="85"/>
      <x:c r="W599" s="85"/>
      <x:c r="Y599" s="86"/>
      <x:c r="Z599" s="86"/>
      <x:c r="AA599" s="32"/>
    </x:row>
    <x:row r="600">
      <x:c r="A600" s="87"/>
      <x:c r="B600" s="88"/>
      <x:c r="D600" s="32"/>
      <x:c r="I600" s="74"/>
      <x:c r="J600" s="74"/>
      <x:c r="K600" s="74"/>
      <x:c r="L600" s="74"/>
      <x:c r="M600" s="74"/>
      <x:c r="N600" s="74"/>
      <x:c r="O600" s="91"/>
      <x:c r="P600" s="91"/>
      <x:c r="Q600" s="85"/>
      <x:c r="R600" s="85"/>
      <x:c r="S600" s="85"/>
      <x:c r="T600" s="85"/>
      <x:c r="U600" s="85"/>
      <x:c r="V600" s="85"/>
      <x:c r="W600" s="85"/>
      <x:c r="Y600" s="86"/>
      <x:c r="Z600" s="86"/>
      <x:c r="AA600" s="32"/>
    </x:row>
    <x:row r="601">
      <x:c r="A601" s="87"/>
      <x:c r="B601" s="88"/>
      <x:c r="D601" s="32"/>
      <x:c r="I601" s="74"/>
      <x:c r="J601" s="74"/>
      <x:c r="K601" s="74"/>
      <x:c r="L601" s="74"/>
      <x:c r="M601" s="74"/>
      <x:c r="N601" s="74"/>
      <x:c r="O601" s="91"/>
      <x:c r="P601" s="91"/>
      <x:c r="Q601" s="85"/>
      <x:c r="R601" s="85"/>
      <x:c r="S601" s="85"/>
      <x:c r="T601" s="85"/>
      <x:c r="U601" s="85"/>
      <x:c r="V601" s="85"/>
      <x:c r="W601" s="85"/>
      <x:c r="Y601" s="86"/>
      <x:c r="Z601" s="86"/>
      <x:c r="AA601" s="32"/>
    </x:row>
    <x:row r="602">
      <x:c r="A602" s="87"/>
      <x:c r="B602" s="88"/>
      <x:c r="D602" s="32"/>
      <x:c r="I602" s="74"/>
      <x:c r="J602" s="74"/>
      <x:c r="K602" s="74"/>
      <x:c r="L602" s="74"/>
      <x:c r="M602" s="74"/>
      <x:c r="N602" s="74"/>
      <x:c r="O602" s="91"/>
      <x:c r="P602" s="91"/>
      <x:c r="Q602" s="85"/>
      <x:c r="R602" s="85"/>
      <x:c r="S602" s="85"/>
      <x:c r="T602" s="85"/>
      <x:c r="U602" s="85"/>
      <x:c r="V602" s="85"/>
      <x:c r="W602" s="85"/>
      <x:c r="Y602" s="86"/>
      <x:c r="Z602" s="86"/>
      <x:c r="AA602" s="32"/>
    </x:row>
    <x:row r="603">
      <x:c r="A603" s="87"/>
      <x:c r="B603" s="88"/>
      <x:c r="D603" s="32"/>
      <x:c r="I603" s="74"/>
      <x:c r="J603" s="74"/>
      <x:c r="K603" s="74"/>
      <x:c r="L603" s="74"/>
      <x:c r="M603" s="74"/>
      <x:c r="N603" s="74"/>
      <x:c r="O603" s="91"/>
      <x:c r="P603" s="91"/>
      <x:c r="Q603" s="85"/>
      <x:c r="R603" s="85"/>
      <x:c r="S603" s="85"/>
      <x:c r="T603" s="85"/>
      <x:c r="U603" s="85"/>
      <x:c r="V603" s="85"/>
      <x:c r="W603" s="85"/>
      <x:c r="Y603" s="86"/>
      <x:c r="Z603" s="86"/>
      <x:c r="AA603" s="32"/>
    </x:row>
    <x:row r="604">
      <x:c r="A604" s="87"/>
      <x:c r="B604" s="88"/>
      <x:c r="D604" s="32"/>
      <x:c r="I604" s="74"/>
      <x:c r="J604" s="74"/>
      <x:c r="K604" s="74"/>
      <x:c r="L604" s="74"/>
      <x:c r="M604" s="74"/>
      <x:c r="N604" s="74"/>
      <x:c r="O604" s="91"/>
      <x:c r="P604" s="91"/>
      <x:c r="Q604" s="85"/>
      <x:c r="R604" s="85"/>
      <x:c r="S604" s="85"/>
      <x:c r="T604" s="85"/>
      <x:c r="U604" s="85"/>
      <x:c r="V604" s="85"/>
      <x:c r="W604" s="85"/>
      <x:c r="Y604" s="86"/>
      <x:c r="Z604" s="86"/>
      <x:c r="AA604" s="32"/>
    </x:row>
    <x:row r="605">
      <x:c r="A605" s="87"/>
      <x:c r="B605" s="88"/>
      <x:c r="D605" s="32"/>
      <x:c r="I605" s="74"/>
      <x:c r="J605" s="74"/>
      <x:c r="K605" s="74"/>
      <x:c r="L605" s="74"/>
      <x:c r="M605" s="74"/>
      <x:c r="N605" s="74"/>
      <x:c r="O605" s="91"/>
      <x:c r="P605" s="91"/>
      <x:c r="Q605" s="85"/>
      <x:c r="R605" s="85"/>
      <x:c r="S605" s="85"/>
      <x:c r="T605" s="85"/>
      <x:c r="U605" s="85"/>
      <x:c r="V605" s="85"/>
      <x:c r="W605" s="85"/>
      <x:c r="Y605" s="86"/>
      <x:c r="Z605" s="86"/>
      <x:c r="AA605" s="32"/>
    </x:row>
    <x:row r="606">
      <x:c r="A606" s="87"/>
      <x:c r="B606" s="88"/>
      <x:c r="D606" s="32"/>
      <x:c r="I606" s="74"/>
      <x:c r="J606" s="74"/>
      <x:c r="K606" s="74"/>
      <x:c r="L606" s="74"/>
      <x:c r="M606" s="74"/>
      <x:c r="N606" s="74"/>
      <x:c r="O606" s="91"/>
      <x:c r="P606" s="91"/>
      <x:c r="Q606" s="85"/>
      <x:c r="R606" s="85"/>
      <x:c r="S606" s="85"/>
      <x:c r="T606" s="85"/>
      <x:c r="U606" s="85"/>
      <x:c r="V606" s="85"/>
      <x:c r="W606" s="85"/>
      <x:c r="Y606" s="86"/>
      <x:c r="Z606" s="86"/>
      <x:c r="AA606" s="32"/>
    </x:row>
    <x:row r="607">
      <x:c r="A607" s="87"/>
      <x:c r="B607" s="88"/>
      <x:c r="D607" s="32"/>
      <x:c r="I607" s="74"/>
      <x:c r="J607" s="74"/>
      <x:c r="K607" s="74"/>
      <x:c r="L607" s="74"/>
      <x:c r="M607" s="74"/>
      <x:c r="N607" s="74"/>
      <x:c r="O607" s="91"/>
      <x:c r="P607" s="91"/>
      <x:c r="Q607" s="85"/>
      <x:c r="R607" s="85"/>
      <x:c r="S607" s="85"/>
      <x:c r="T607" s="85"/>
      <x:c r="U607" s="85"/>
      <x:c r="V607" s="85"/>
      <x:c r="W607" s="85"/>
      <x:c r="Y607" s="86"/>
      <x:c r="Z607" s="86"/>
      <x:c r="AA607" s="32"/>
    </x:row>
    <x:row r="608">
      <x:c r="A608" s="87"/>
      <x:c r="B608" s="88"/>
      <x:c r="D608" s="32"/>
      <x:c r="I608" s="74"/>
      <x:c r="J608" s="74"/>
      <x:c r="K608" s="74"/>
      <x:c r="L608" s="74"/>
      <x:c r="M608" s="74"/>
      <x:c r="N608" s="74"/>
      <x:c r="O608" s="91"/>
      <x:c r="P608" s="91"/>
      <x:c r="Q608" s="85"/>
      <x:c r="R608" s="85"/>
      <x:c r="S608" s="85"/>
      <x:c r="T608" s="85"/>
      <x:c r="U608" s="85"/>
      <x:c r="V608" s="85"/>
      <x:c r="W608" s="85"/>
      <x:c r="Y608" s="86"/>
      <x:c r="Z608" s="86"/>
      <x:c r="AA608" s="32"/>
    </x:row>
    <x:row r="609">
      <x:c r="A609" s="87"/>
      <x:c r="B609" s="88"/>
      <x:c r="D609" s="32"/>
      <x:c r="I609" s="74"/>
      <x:c r="J609" s="74"/>
      <x:c r="K609" s="74"/>
      <x:c r="L609" s="74"/>
      <x:c r="M609" s="74"/>
      <x:c r="N609" s="74"/>
      <x:c r="O609" s="91"/>
      <x:c r="P609" s="91"/>
      <x:c r="Q609" s="85"/>
      <x:c r="R609" s="85"/>
      <x:c r="S609" s="85"/>
      <x:c r="T609" s="85"/>
      <x:c r="U609" s="85"/>
      <x:c r="V609" s="85"/>
      <x:c r="W609" s="85"/>
      <x:c r="Y609" s="86"/>
      <x:c r="Z609" s="86"/>
      <x:c r="AA609" s="32"/>
    </x:row>
    <x:row r="610">
      <x:c r="A610" s="87"/>
      <x:c r="B610" s="88"/>
      <x:c r="D610" s="32"/>
      <x:c r="I610" s="74"/>
      <x:c r="J610" s="74"/>
      <x:c r="K610" s="74"/>
      <x:c r="L610" s="74"/>
      <x:c r="M610" s="74"/>
      <x:c r="N610" s="74"/>
      <x:c r="O610" s="91"/>
      <x:c r="P610" s="91"/>
      <x:c r="Q610" s="85"/>
      <x:c r="R610" s="85"/>
      <x:c r="S610" s="85"/>
      <x:c r="T610" s="85"/>
      <x:c r="U610" s="85"/>
      <x:c r="V610" s="85"/>
      <x:c r="W610" s="85"/>
      <x:c r="Y610" s="86"/>
      <x:c r="Z610" s="86"/>
      <x:c r="AA610" s="32"/>
    </x:row>
    <x:row r="611">
      <x:c r="A611" s="87"/>
      <x:c r="B611" s="88"/>
      <x:c r="D611" s="32"/>
      <x:c r="I611" s="74"/>
      <x:c r="J611" s="74"/>
      <x:c r="K611" s="74"/>
      <x:c r="L611" s="74"/>
      <x:c r="M611" s="74"/>
      <x:c r="N611" s="74"/>
      <x:c r="O611" s="91"/>
      <x:c r="P611" s="91"/>
      <x:c r="Q611" s="85"/>
      <x:c r="R611" s="85"/>
      <x:c r="S611" s="85"/>
      <x:c r="T611" s="85"/>
      <x:c r="U611" s="85"/>
      <x:c r="V611" s="85"/>
      <x:c r="W611" s="85"/>
      <x:c r="Y611" s="86"/>
      <x:c r="Z611" s="86"/>
      <x:c r="AA611" s="32"/>
    </x:row>
    <x:row r="612">
      <x:c r="A612" s="87"/>
      <x:c r="B612" s="88"/>
      <x:c r="D612" s="32"/>
      <x:c r="I612" s="74"/>
      <x:c r="J612" s="74"/>
      <x:c r="K612" s="74"/>
      <x:c r="L612" s="74"/>
      <x:c r="M612" s="74"/>
      <x:c r="N612" s="74"/>
      <x:c r="O612" s="91"/>
      <x:c r="P612" s="91"/>
      <x:c r="Q612" s="85"/>
      <x:c r="R612" s="85"/>
      <x:c r="S612" s="85"/>
      <x:c r="T612" s="85"/>
      <x:c r="U612" s="85"/>
      <x:c r="V612" s="85"/>
      <x:c r="W612" s="85"/>
      <x:c r="Y612" s="86"/>
      <x:c r="Z612" s="86"/>
      <x:c r="AA612" s="32"/>
    </x:row>
    <x:row r="613">
      <x:c r="A613" s="87"/>
      <x:c r="B613" s="88"/>
      <x:c r="D613" s="32"/>
      <x:c r="I613" s="74"/>
      <x:c r="J613" s="74"/>
      <x:c r="K613" s="74"/>
      <x:c r="L613" s="74"/>
      <x:c r="M613" s="74"/>
      <x:c r="N613" s="74"/>
      <x:c r="O613" s="91"/>
      <x:c r="P613" s="91"/>
      <x:c r="Q613" s="85"/>
      <x:c r="R613" s="85"/>
      <x:c r="S613" s="85"/>
      <x:c r="T613" s="85"/>
      <x:c r="U613" s="85"/>
      <x:c r="V613" s="85"/>
      <x:c r="W613" s="85"/>
      <x:c r="Y613" s="86"/>
      <x:c r="Z613" s="86"/>
      <x:c r="AA613" s="32"/>
    </x:row>
    <x:row r="614">
      <x:c r="A614" s="87"/>
      <x:c r="B614" s="88"/>
      <x:c r="D614" s="32"/>
      <x:c r="I614" s="74"/>
      <x:c r="J614" s="74"/>
      <x:c r="K614" s="74"/>
      <x:c r="L614" s="74"/>
      <x:c r="M614" s="74"/>
      <x:c r="N614" s="74"/>
      <x:c r="O614" s="91"/>
      <x:c r="P614" s="91"/>
      <x:c r="Q614" s="85"/>
      <x:c r="R614" s="85"/>
      <x:c r="S614" s="85"/>
      <x:c r="T614" s="85"/>
      <x:c r="U614" s="85"/>
      <x:c r="V614" s="85"/>
      <x:c r="W614" s="85"/>
      <x:c r="Y614" s="86"/>
      <x:c r="Z614" s="86"/>
      <x:c r="AA614" s="32"/>
    </x:row>
    <x:row r="615">
      <x:c r="A615" s="87"/>
      <x:c r="B615" s="88"/>
      <x:c r="D615" s="32"/>
      <x:c r="I615" s="74"/>
      <x:c r="J615" s="74"/>
      <x:c r="K615" s="74"/>
      <x:c r="L615" s="74"/>
      <x:c r="M615" s="74"/>
      <x:c r="N615" s="74"/>
      <x:c r="O615" s="91"/>
      <x:c r="P615" s="91"/>
      <x:c r="Q615" s="85"/>
      <x:c r="R615" s="85"/>
      <x:c r="S615" s="85"/>
      <x:c r="T615" s="85"/>
      <x:c r="U615" s="85"/>
      <x:c r="V615" s="85"/>
      <x:c r="W615" s="85"/>
      <x:c r="Y615" s="86"/>
      <x:c r="Z615" s="86"/>
      <x:c r="AA615" s="32"/>
    </x:row>
    <x:row r="616">
      <x:c r="A616" s="87"/>
      <x:c r="B616" s="88"/>
      <x:c r="D616" s="32"/>
      <x:c r="I616" s="74"/>
      <x:c r="J616" s="74"/>
      <x:c r="K616" s="74"/>
      <x:c r="L616" s="74"/>
      <x:c r="M616" s="74"/>
      <x:c r="N616" s="74"/>
      <x:c r="O616" s="91"/>
      <x:c r="P616" s="91"/>
      <x:c r="Q616" s="85"/>
      <x:c r="R616" s="85"/>
      <x:c r="S616" s="85"/>
      <x:c r="T616" s="85"/>
      <x:c r="U616" s="85"/>
      <x:c r="V616" s="85"/>
      <x:c r="W616" s="85"/>
      <x:c r="Y616" s="86"/>
      <x:c r="Z616" s="86"/>
      <x:c r="AA616" s="32"/>
    </x:row>
    <x:row r="617">
      <x:c r="A617" s="87"/>
      <x:c r="B617" s="88"/>
      <x:c r="D617" s="32"/>
      <x:c r="I617" s="74"/>
      <x:c r="J617" s="74"/>
      <x:c r="K617" s="74"/>
      <x:c r="L617" s="74"/>
      <x:c r="M617" s="74"/>
      <x:c r="N617" s="74"/>
      <x:c r="O617" s="91"/>
      <x:c r="P617" s="91"/>
      <x:c r="Q617" s="85"/>
      <x:c r="R617" s="85"/>
      <x:c r="S617" s="85"/>
      <x:c r="T617" s="85"/>
      <x:c r="U617" s="85"/>
      <x:c r="V617" s="85"/>
      <x:c r="W617" s="85"/>
      <x:c r="Y617" s="86"/>
      <x:c r="Z617" s="86"/>
      <x:c r="AA617" s="32"/>
    </x:row>
    <x:row r="618">
      <x:c r="A618" s="87"/>
      <x:c r="B618" s="88"/>
      <x:c r="D618" s="32"/>
      <x:c r="I618" s="74"/>
      <x:c r="J618" s="74"/>
      <x:c r="K618" s="74"/>
      <x:c r="L618" s="74"/>
      <x:c r="M618" s="74"/>
      <x:c r="N618" s="74"/>
      <x:c r="O618" s="91"/>
      <x:c r="P618" s="91"/>
      <x:c r="Q618" s="85"/>
      <x:c r="R618" s="85"/>
      <x:c r="S618" s="85"/>
      <x:c r="T618" s="85"/>
      <x:c r="U618" s="85"/>
      <x:c r="V618" s="85"/>
      <x:c r="W618" s="85"/>
      <x:c r="Y618" s="86"/>
      <x:c r="Z618" s="86"/>
      <x:c r="AA618" s="32"/>
    </x:row>
    <x:row r="619">
      <x:c r="A619" s="87"/>
      <x:c r="B619" s="88"/>
      <x:c r="D619" s="32"/>
      <x:c r="I619" s="74"/>
      <x:c r="J619" s="74"/>
      <x:c r="K619" s="74"/>
      <x:c r="L619" s="74"/>
      <x:c r="M619" s="74"/>
      <x:c r="N619" s="74"/>
      <x:c r="O619" s="91"/>
      <x:c r="P619" s="91"/>
      <x:c r="Q619" s="85"/>
      <x:c r="R619" s="85"/>
      <x:c r="S619" s="85"/>
      <x:c r="T619" s="85"/>
      <x:c r="U619" s="85"/>
      <x:c r="V619" s="85"/>
      <x:c r="W619" s="85"/>
      <x:c r="Y619" s="86"/>
      <x:c r="Z619" s="86"/>
      <x:c r="AA619" s="32"/>
    </x:row>
    <x:row r="620">
      <x:c r="A620" s="87"/>
      <x:c r="B620" s="88"/>
      <x:c r="D620" s="32"/>
      <x:c r="I620" s="74"/>
      <x:c r="J620" s="74"/>
      <x:c r="K620" s="74"/>
      <x:c r="L620" s="74"/>
      <x:c r="M620" s="74"/>
      <x:c r="N620" s="74"/>
      <x:c r="O620" s="91"/>
      <x:c r="P620" s="91"/>
      <x:c r="Q620" s="85"/>
      <x:c r="R620" s="85"/>
      <x:c r="S620" s="85"/>
      <x:c r="T620" s="85"/>
      <x:c r="U620" s="85"/>
      <x:c r="V620" s="85"/>
      <x:c r="W620" s="85"/>
      <x:c r="Y620" s="86"/>
      <x:c r="Z620" s="86"/>
      <x:c r="AA620" s="32"/>
    </x:row>
    <x:row r="621">
      <x:c r="A621" s="87"/>
      <x:c r="B621" s="88"/>
      <x:c r="D621" s="32"/>
      <x:c r="I621" s="74"/>
      <x:c r="J621" s="74"/>
      <x:c r="K621" s="74"/>
      <x:c r="L621" s="74"/>
      <x:c r="M621" s="74"/>
      <x:c r="N621" s="74"/>
      <x:c r="O621" s="91"/>
      <x:c r="P621" s="91"/>
      <x:c r="Q621" s="85"/>
      <x:c r="R621" s="85"/>
      <x:c r="S621" s="85"/>
      <x:c r="T621" s="85"/>
      <x:c r="U621" s="85"/>
      <x:c r="V621" s="85"/>
      <x:c r="W621" s="85"/>
      <x:c r="Y621" s="86"/>
      <x:c r="Z621" s="86"/>
      <x:c r="AA621" s="32"/>
    </x:row>
    <x:row r="622">
      <x:c r="A622" s="87"/>
      <x:c r="B622" s="88"/>
      <x:c r="D622" s="32"/>
      <x:c r="I622" s="74"/>
      <x:c r="J622" s="74"/>
      <x:c r="K622" s="74"/>
      <x:c r="L622" s="74"/>
      <x:c r="M622" s="74"/>
      <x:c r="N622" s="74"/>
      <x:c r="O622" s="91"/>
      <x:c r="P622" s="91"/>
      <x:c r="Q622" s="85"/>
      <x:c r="R622" s="85"/>
      <x:c r="S622" s="85"/>
      <x:c r="T622" s="85"/>
      <x:c r="U622" s="85"/>
      <x:c r="V622" s="85"/>
      <x:c r="W622" s="85"/>
      <x:c r="Y622" s="86"/>
      <x:c r="Z622" s="86"/>
      <x:c r="AA622" s="32"/>
    </x:row>
    <x:row r="623">
      <x:c r="A623" s="87"/>
      <x:c r="B623" s="88"/>
      <x:c r="D623" s="32"/>
      <x:c r="I623" s="74"/>
      <x:c r="J623" s="74"/>
      <x:c r="K623" s="74"/>
      <x:c r="L623" s="74"/>
      <x:c r="M623" s="74"/>
      <x:c r="N623" s="74"/>
      <x:c r="O623" s="91"/>
      <x:c r="P623" s="91"/>
      <x:c r="Q623" s="85"/>
      <x:c r="R623" s="85"/>
      <x:c r="S623" s="85"/>
      <x:c r="T623" s="85"/>
      <x:c r="U623" s="85"/>
      <x:c r="V623" s="85"/>
      <x:c r="W623" s="85"/>
      <x:c r="Y623" s="86"/>
      <x:c r="Z623" s="86"/>
      <x:c r="AA623" s="32"/>
    </x:row>
    <x:row r="624">
      <x:c r="A624" s="87"/>
      <x:c r="B624" s="88"/>
      <x:c r="D624" s="32"/>
      <x:c r="I624" s="74"/>
      <x:c r="J624" s="74"/>
      <x:c r="K624" s="74"/>
      <x:c r="L624" s="74"/>
      <x:c r="M624" s="74"/>
      <x:c r="N624" s="74"/>
      <x:c r="O624" s="91"/>
      <x:c r="P624" s="91"/>
      <x:c r="Q624" s="85"/>
      <x:c r="R624" s="85"/>
      <x:c r="S624" s="85"/>
      <x:c r="T624" s="85"/>
      <x:c r="U624" s="85"/>
      <x:c r="V624" s="85"/>
      <x:c r="W624" s="85"/>
      <x:c r="Y624" s="86"/>
      <x:c r="Z624" s="86"/>
      <x:c r="AA624" s="32"/>
    </x:row>
    <x:row r="625">
      <x:c r="A625" s="87"/>
      <x:c r="B625" s="88"/>
      <x:c r="D625" s="32"/>
      <x:c r="I625" s="74"/>
      <x:c r="J625" s="74"/>
      <x:c r="K625" s="74"/>
      <x:c r="L625" s="74"/>
      <x:c r="M625" s="74"/>
      <x:c r="N625" s="74"/>
      <x:c r="O625" s="91"/>
      <x:c r="P625" s="91"/>
      <x:c r="Q625" s="85"/>
      <x:c r="R625" s="85"/>
      <x:c r="S625" s="85"/>
      <x:c r="T625" s="85"/>
      <x:c r="U625" s="85"/>
      <x:c r="V625" s="85"/>
      <x:c r="W625" s="85"/>
      <x:c r="Y625" s="86"/>
      <x:c r="Z625" s="86"/>
      <x:c r="AA625" s="32"/>
    </x:row>
    <x:row r="626">
      <x:c r="A626" s="87"/>
      <x:c r="B626" s="88"/>
      <x:c r="D626" s="32"/>
      <x:c r="I626" s="74"/>
      <x:c r="J626" s="74"/>
      <x:c r="K626" s="74"/>
      <x:c r="L626" s="74"/>
      <x:c r="M626" s="74"/>
      <x:c r="N626" s="74"/>
      <x:c r="O626" s="91"/>
      <x:c r="P626" s="91"/>
      <x:c r="Q626" s="85"/>
      <x:c r="R626" s="85"/>
      <x:c r="S626" s="85"/>
      <x:c r="T626" s="85"/>
      <x:c r="U626" s="85"/>
      <x:c r="V626" s="85"/>
      <x:c r="W626" s="85"/>
      <x:c r="Y626" s="86"/>
      <x:c r="Z626" s="86"/>
      <x:c r="AA626" s="32"/>
    </x:row>
    <x:row r="627">
      <x:c r="A627" s="87"/>
      <x:c r="B627" s="88"/>
      <x:c r="D627" s="32"/>
      <x:c r="I627" s="74"/>
      <x:c r="J627" s="74"/>
      <x:c r="K627" s="74"/>
      <x:c r="L627" s="74"/>
      <x:c r="M627" s="74"/>
      <x:c r="N627" s="74"/>
      <x:c r="O627" s="91"/>
      <x:c r="P627" s="91"/>
      <x:c r="Q627" s="85"/>
      <x:c r="R627" s="85"/>
      <x:c r="S627" s="85"/>
      <x:c r="T627" s="85"/>
      <x:c r="U627" s="85"/>
      <x:c r="V627" s="85"/>
      <x:c r="W627" s="85"/>
      <x:c r="Y627" s="86"/>
      <x:c r="Z627" s="86"/>
      <x:c r="AA627" s="32"/>
    </x:row>
    <x:row r="628">
      <x:c r="A628" s="87"/>
      <x:c r="B628" s="88"/>
      <x:c r="D628" s="32"/>
      <x:c r="I628" s="74"/>
      <x:c r="J628" s="74"/>
      <x:c r="K628" s="74"/>
      <x:c r="L628" s="74"/>
      <x:c r="M628" s="74"/>
      <x:c r="N628" s="74"/>
      <x:c r="O628" s="91"/>
      <x:c r="P628" s="91"/>
      <x:c r="Q628" s="85"/>
      <x:c r="R628" s="85"/>
      <x:c r="S628" s="85"/>
      <x:c r="T628" s="85"/>
      <x:c r="U628" s="85"/>
      <x:c r="V628" s="85"/>
      <x:c r="W628" s="85"/>
      <x:c r="Y628" s="86"/>
      <x:c r="Z628" s="86"/>
      <x:c r="AA628" s="32"/>
    </x:row>
    <x:row r="629">
      <x:c r="A629" s="87"/>
      <x:c r="B629" s="88"/>
      <x:c r="D629" s="32"/>
      <x:c r="I629" s="74"/>
      <x:c r="J629" s="74"/>
      <x:c r="K629" s="74"/>
      <x:c r="L629" s="74"/>
      <x:c r="M629" s="74"/>
      <x:c r="N629" s="74"/>
      <x:c r="O629" s="91"/>
      <x:c r="P629" s="91"/>
      <x:c r="Q629" s="85"/>
      <x:c r="R629" s="85"/>
      <x:c r="S629" s="85"/>
      <x:c r="T629" s="85"/>
      <x:c r="U629" s="85"/>
      <x:c r="V629" s="85"/>
      <x:c r="W629" s="85"/>
      <x:c r="Y629" s="86"/>
      <x:c r="Z629" s="86"/>
      <x:c r="AA629" s="32"/>
    </x:row>
    <x:row r="630">
      <x:c r="A630" s="87"/>
      <x:c r="B630" s="88"/>
      <x:c r="D630" s="32"/>
      <x:c r="I630" s="74"/>
      <x:c r="J630" s="74"/>
      <x:c r="K630" s="74"/>
      <x:c r="L630" s="74"/>
      <x:c r="M630" s="74"/>
      <x:c r="N630" s="74"/>
      <x:c r="O630" s="91"/>
      <x:c r="P630" s="91"/>
      <x:c r="Q630" s="85"/>
      <x:c r="R630" s="85"/>
      <x:c r="S630" s="85"/>
      <x:c r="T630" s="85"/>
      <x:c r="U630" s="85"/>
      <x:c r="V630" s="85"/>
      <x:c r="W630" s="85"/>
      <x:c r="Y630" s="86"/>
      <x:c r="Z630" s="86"/>
      <x:c r="AA630" s="32"/>
    </x:row>
    <x:row r="631">
      <x:c r="A631" s="87"/>
      <x:c r="B631" s="88"/>
      <x:c r="D631" s="32"/>
      <x:c r="I631" s="74"/>
      <x:c r="J631" s="74"/>
      <x:c r="K631" s="74"/>
      <x:c r="L631" s="74"/>
      <x:c r="M631" s="74"/>
      <x:c r="N631" s="74"/>
      <x:c r="O631" s="91"/>
      <x:c r="P631" s="91"/>
      <x:c r="Q631" s="85"/>
      <x:c r="R631" s="85"/>
      <x:c r="S631" s="85"/>
      <x:c r="T631" s="85"/>
      <x:c r="U631" s="85"/>
      <x:c r="V631" s="85"/>
      <x:c r="W631" s="85"/>
      <x:c r="Y631" s="86"/>
      <x:c r="Z631" s="86"/>
      <x:c r="AA631" s="32"/>
    </x:row>
    <x:row r="632">
      <x:c r="A632" s="87"/>
      <x:c r="B632" s="88"/>
      <x:c r="D632" s="32"/>
      <x:c r="I632" s="74"/>
      <x:c r="J632" s="74"/>
      <x:c r="K632" s="74"/>
      <x:c r="L632" s="74"/>
      <x:c r="M632" s="74"/>
      <x:c r="N632" s="74"/>
      <x:c r="O632" s="91"/>
      <x:c r="P632" s="91"/>
      <x:c r="Q632" s="85"/>
      <x:c r="R632" s="85"/>
      <x:c r="S632" s="85"/>
      <x:c r="T632" s="85"/>
      <x:c r="U632" s="85"/>
      <x:c r="V632" s="85"/>
      <x:c r="W632" s="85"/>
      <x:c r="Y632" s="86"/>
      <x:c r="Z632" s="86"/>
      <x:c r="AA632" s="32"/>
    </x:row>
    <x:row r="633">
      <x:c r="A633" s="87"/>
      <x:c r="B633" s="88"/>
      <x:c r="D633" s="32"/>
      <x:c r="I633" s="74"/>
      <x:c r="J633" s="74"/>
      <x:c r="K633" s="74"/>
      <x:c r="L633" s="74"/>
      <x:c r="M633" s="74"/>
      <x:c r="N633" s="74"/>
      <x:c r="O633" s="91"/>
      <x:c r="P633" s="91"/>
      <x:c r="Q633" s="85"/>
      <x:c r="R633" s="85"/>
      <x:c r="S633" s="85"/>
      <x:c r="T633" s="85"/>
      <x:c r="U633" s="85"/>
      <x:c r="V633" s="85"/>
      <x:c r="W633" s="85"/>
      <x:c r="Y633" s="86"/>
      <x:c r="Z633" s="86"/>
      <x:c r="AA633" s="32"/>
    </x:row>
    <x:row r="634">
      <x:c r="A634" s="87"/>
      <x:c r="B634" s="88"/>
      <x:c r="D634" s="32"/>
      <x:c r="I634" s="74"/>
      <x:c r="J634" s="74"/>
      <x:c r="K634" s="74"/>
      <x:c r="L634" s="74"/>
      <x:c r="M634" s="74"/>
      <x:c r="N634" s="74"/>
      <x:c r="O634" s="91"/>
      <x:c r="P634" s="91"/>
      <x:c r="Q634" s="85"/>
      <x:c r="R634" s="85"/>
      <x:c r="S634" s="85"/>
      <x:c r="T634" s="85"/>
      <x:c r="U634" s="85"/>
      <x:c r="V634" s="85"/>
      <x:c r="W634" s="85"/>
      <x:c r="Y634" s="86"/>
      <x:c r="Z634" s="86"/>
      <x:c r="AA634" s="32"/>
    </x:row>
    <x:row r="635">
      <x:c r="A635" s="87"/>
      <x:c r="B635" s="88"/>
      <x:c r="D635" s="32"/>
      <x:c r="I635" s="74"/>
      <x:c r="J635" s="74"/>
      <x:c r="K635" s="74"/>
      <x:c r="L635" s="74"/>
      <x:c r="M635" s="74"/>
      <x:c r="N635" s="74"/>
      <x:c r="O635" s="91"/>
      <x:c r="P635" s="91"/>
      <x:c r="Q635" s="85"/>
      <x:c r="R635" s="85"/>
      <x:c r="S635" s="85"/>
      <x:c r="T635" s="85"/>
      <x:c r="U635" s="85"/>
      <x:c r="V635" s="85"/>
      <x:c r="W635" s="85"/>
      <x:c r="Y635" s="86"/>
      <x:c r="Z635" s="86"/>
      <x:c r="AA635" s="32"/>
    </x:row>
    <x:row r="636">
      <x:c r="A636" s="87"/>
      <x:c r="B636" s="88"/>
      <x:c r="D636" s="32"/>
      <x:c r="I636" s="74"/>
      <x:c r="J636" s="74"/>
      <x:c r="K636" s="74"/>
      <x:c r="L636" s="74"/>
      <x:c r="M636" s="74"/>
      <x:c r="N636" s="74"/>
      <x:c r="O636" s="91"/>
      <x:c r="P636" s="91"/>
      <x:c r="Q636" s="85"/>
      <x:c r="R636" s="85"/>
      <x:c r="S636" s="85"/>
      <x:c r="T636" s="85"/>
      <x:c r="U636" s="85"/>
      <x:c r="V636" s="85"/>
      <x:c r="W636" s="85"/>
      <x:c r="Y636" s="86"/>
      <x:c r="Z636" s="86"/>
      <x:c r="AA636" s="32"/>
    </x:row>
    <x:row r="637">
      <x:c r="A637" s="87"/>
      <x:c r="B637" s="88"/>
      <x:c r="D637" s="32"/>
      <x:c r="I637" s="74"/>
      <x:c r="J637" s="74"/>
      <x:c r="K637" s="74"/>
      <x:c r="L637" s="74"/>
      <x:c r="M637" s="74"/>
      <x:c r="N637" s="74"/>
      <x:c r="O637" s="91"/>
      <x:c r="P637" s="91"/>
      <x:c r="Q637" s="85"/>
      <x:c r="R637" s="85"/>
      <x:c r="S637" s="85"/>
      <x:c r="T637" s="85"/>
      <x:c r="U637" s="85"/>
      <x:c r="V637" s="85"/>
      <x:c r="W637" s="85"/>
      <x:c r="Y637" s="86"/>
      <x:c r="Z637" s="86"/>
      <x:c r="AA637" s="32"/>
    </x:row>
    <x:row r="638">
      <x:c r="A638" s="87"/>
      <x:c r="B638" s="88"/>
      <x:c r="D638" s="32"/>
      <x:c r="I638" s="74"/>
      <x:c r="J638" s="74"/>
      <x:c r="K638" s="74"/>
      <x:c r="L638" s="74"/>
      <x:c r="M638" s="74"/>
      <x:c r="N638" s="74"/>
      <x:c r="O638" s="91"/>
      <x:c r="P638" s="91"/>
      <x:c r="Q638" s="85"/>
      <x:c r="R638" s="85"/>
      <x:c r="S638" s="85"/>
      <x:c r="T638" s="85"/>
      <x:c r="U638" s="85"/>
      <x:c r="V638" s="85"/>
      <x:c r="W638" s="85"/>
      <x:c r="Y638" s="86"/>
      <x:c r="Z638" s="86"/>
      <x:c r="AA638" s="32"/>
    </x:row>
    <x:row r="639">
      <x:c r="A639" s="87"/>
      <x:c r="B639" s="88"/>
      <x:c r="D639" s="32"/>
      <x:c r="I639" s="74"/>
      <x:c r="J639" s="74"/>
      <x:c r="K639" s="74"/>
      <x:c r="L639" s="74"/>
      <x:c r="M639" s="74"/>
      <x:c r="N639" s="74"/>
      <x:c r="O639" s="91"/>
      <x:c r="P639" s="91"/>
      <x:c r="Q639" s="85"/>
      <x:c r="R639" s="85"/>
      <x:c r="S639" s="85"/>
      <x:c r="T639" s="85"/>
      <x:c r="U639" s="85"/>
      <x:c r="V639" s="85"/>
      <x:c r="W639" s="85"/>
      <x:c r="Y639" s="86"/>
      <x:c r="Z639" s="86"/>
      <x:c r="AA639" s="32"/>
    </x:row>
    <x:row r="640">
      <x:c r="A640" s="87"/>
      <x:c r="B640" s="88"/>
      <x:c r="D640" s="32"/>
      <x:c r="I640" s="74"/>
      <x:c r="J640" s="74"/>
      <x:c r="K640" s="74"/>
      <x:c r="L640" s="74"/>
      <x:c r="M640" s="74"/>
      <x:c r="N640" s="74"/>
      <x:c r="O640" s="91"/>
      <x:c r="P640" s="91"/>
      <x:c r="Q640" s="85"/>
      <x:c r="R640" s="85"/>
      <x:c r="S640" s="85"/>
      <x:c r="T640" s="85"/>
      <x:c r="U640" s="85"/>
      <x:c r="V640" s="85"/>
      <x:c r="W640" s="85"/>
      <x:c r="Y640" s="86"/>
      <x:c r="Z640" s="86"/>
      <x:c r="AA640" s="32"/>
    </x:row>
    <x:row r="641">
      <x:c r="A641" s="87"/>
      <x:c r="B641" s="88"/>
      <x:c r="D641" s="32"/>
      <x:c r="I641" s="74"/>
      <x:c r="J641" s="74"/>
      <x:c r="K641" s="74"/>
      <x:c r="L641" s="74"/>
      <x:c r="M641" s="74"/>
      <x:c r="N641" s="74"/>
      <x:c r="O641" s="91"/>
      <x:c r="P641" s="91"/>
      <x:c r="Q641" s="85"/>
      <x:c r="R641" s="85"/>
      <x:c r="S641" s="85"/>
      <x:c r="T641" s="85"/>
      <x:c r="U641" s="85"/>
      <x:c r="V641" s="85"/>
      <x:c r="W641" s="85"/>
      <x:c r="Y641" s="86"/>
      <x:c r="Z641" s="86"/>
      <x:c r="AA641" s="32"/>
    </x:row>
    <x:row r="642">
      <x:c r="A642" s="87"/>
      <x:c r="B642" s="88"/>
      <x:c r="D642" s="32"/>
      <x:c r="I642" s="74"/>
      <x:c r="J642" s="74"/>
      <x:c r="K642" s="74"/>
      <x:c r="L642" s="74"/>
      <x:c r="M642" s="74"/>
      <x:c r="N642" s="74"/>
      <x:c r="O642" s="91"/>
      <x:c r="P642" s="91"/>
      <x:c r="Q642" s="85"/>
      <x:c r="R642" s="85"/>
      <x:c r="S642" s="85"/>
      <x:c r="T642" s="85"/>
      <x:c r="U642" s="85"/>
      <x:c r="V642" s="85"/>
      <x:c r="W642" s="85"/>
      <x:c r="Y642" s="86"/>
      <x:c r="Z642" s="86"/>
      <x:c r="AA642" s="32"/>
    </x:row>
    <x:row r="643">
      <x:c r="A643" s="87"/>
      <x:c r="B643" s="88"/>
      <x:c r="D643" s="32"/>
      <x:c r="I643" s="74"/>
      <x:c r="J643" s="74"/>
      <x:c r="K643" s="74"/>
      <x:c r="L643" s="74"/>
      <x:c r="M643" s="74"/>
      <x:c r="N643" s="74"/>
      <x:c r="O643" s="91"/>
      <x:c r="P643" s="91"/>
      <x:c r="Q643" s="85"/>
      <x:c r="R643" s="85"/>
      <x:c r="S643" s="85"/>
      <x:c r="T643" s="85"/>
      <x:c r="U643" s="85"/>
      <x:c r="V643" s="85"/>
      <x:c r="W643" s="85"/>
      <x:c r="Y643" s="86"/>
      <x:c r="Z643" s="86"/>
      <x:c r="AA643" s="32"/>
    </x:row>
    <x:row r="644">
      <x:c r="A644" s="87"/>
      <x:c r="B644" s="88"/>
      <x:c r="D644" s="32"/>
      <x:c r="I644" s="74"/>
      <x:c r="J644" s="74"/>
      <x:c r="K644" s="74"/>
      <x:c r="L644" s="74"/>
      <x:c r="M644" s="74"/>
      <x:c r="N644" s="74"/>
      <x:c r="O644" s="91"/>
      <x:c r="P644" s="91"/>
      <x:c r="Q644" s="85"/>
      <x:c r="R644" s="85"/>
      <x:c r="S644" s="85"/>
      <x:c r="T644" s="85"/>
      <x:c r="U644" s="85"/>
      <x:c r="V644" s="85"/>
      <x:c r="W644" s="85"/>
      <x:c r="Y644" s="86"/>
      <x:c r="Z644" s="86"/>
      <x:c r="AA644" s="32"/>
    </x:row>
    <x:row r="645">
      <x:c r="A645" s="87"/>
      <x:c r="B645" s="88"/>
      <x:c r="D645" s="32"/>
      <x:c r="I645" s="74"/>
      <x:c r="J645" s="74"/>
      <x:c r="K645" s="74"/>
      <x:c r="L645" s="74"/>
      <x:c r="M645" s="74"/>
      <x:c r="N645" s="74"/>
      <x:c r="O645" s="91"/>
      <x:c r="P645" s="91"/>
      <x:c r="Q645" s="85"/>
      <x:c r="R645" s="85"/>
      <x:c r="S645" s="85"/>
      <x:c r="T645" s="85"/>
      <x:c r="U645" s="85"/>
      <x:c r="V645" s="85"/>
      <x:c r="W645" s="85"/>
      <x:c r="Y645" s="86"/>
      <x:c r="Z645" s="86"/>
      <x:c r="AA645" s="32"/>
    </x:row>
    <x:row r="646">
      <x:c r="A646" s="87"/>
      <x:c r="B646" s="88"/>
      <x:c r="D646" s="32"/>
      <x:c r="I646" s="74"/>
      <x:c r="J646" s="74"/>
      <x:c r="K646" s="74"/>
      <x:c r="L646" s="74"/>
      <x:c r="M646" s="74"/>
      <x:c r="N646" s="74"/>
      <x:c r="O646" s="91"/>
      <x:c r="P646" s="91"/>
      <x:c r="Q646" s="85"/>
      <x:c r="R646" s="85"/>
      <x:c r="S646" s="85"/>
      <x:c r="T646" s="85"/>
      <x:c r="U646" s="85"/>
      <x:c r="V646" s="85"/>
      <x:c r="W646" s="85"/>
      <x:c r="Y646" s="86"/>
      <x:c r="Z646" s="86"/>
      <x:c r="AA646" s="32"/>
    </x:row>
    <x:row r="647">
      <x:c r="A647" s="87"/>
      <x:c r="B647" s="88"/>
      <x:c r="D647" s="32"/>
      <x:c r="I647" s="74"/>
      <x:c r="J647" s="74"/>
      <x:c r="K647" s="74"/>
      <x:c r="L647" s="74"/>
      <x:c r="M647" s="74"/>
      <x:c r="N647" s="74"/>
      <x:c r="O647" s="91"/>
      <x:c r="P647" s="91"/>
      <x:c r="Q647" s="85"/>
      <x:c r="R647" s="85"/>
      <x:c r="S647" s="85"/>
      <x:c r="T647" s="85"/>
      <x:c r="U647" s="85"/>
      <x:c r="V647" s="85"/>
      <x:c r="W647" s="85"/>
      <x:c r="Y647" s="86"/>
      <x:c r="Z647" s="86"/>
      <x:c r="AA647" s="32"/>
    </x:row>
    <x:row r="648">
      <x:c r="A648" s="87"/>
      <x:c r="B648" s="88"/>
      <x:c r="D648" s="32"/>
      <x:c r="I648" s="74"/>
      <x:c r="J648" s="74"/>
      <x:c r="K648" s="74"/>
      <x:c r="L648" s="74"/>
      <x:c r="M648" s="74"/>
      <x:c r="N648" s="74"/>
      <x:c r="O648" s="91"/>
      <x:c r="P648" s="91"/>
      <x:c r="Q648" s="85"/>
      <x:c r="R648" s="85"/>
      <x:c r="S648" s="85"/>
      <x:c r="T648" s="85"/>
      <x:c r="U648" s="85"/>
      <x:c r="V648" s="85"/>
      <x:c r="W648" s="85"/>
      <x:c r="Y648" s="86"/>
      <x:c r="Z648" s="86"/>
      <x:c r="AA648" s="32"/>
    </x:row>
    <x:row r="649">
      <x:c r="A649" s="87"/>
      <x:c r="B649" s="88"/>
      <x:c r="D649" s="32"/>
      <x:c r="I649" s="74"/>
      <x:c r="J649" s="74"/>
      <x:c r="K649" s="74"/>
      <x:c r="L649" s="74"/>
      <x:c r="M649" s="74"/>
      <x:c r="N649" s="74"/>
      <x:c r="O649" s="91"/>
      <x:c r="P649" s="91"/>
      <x:c r="Q649" s="85"/>
      <x:c r="R649" s="85"/>
      <x:c r="S649" s="85"/>
      <x:c r="T649" s="85"/>
      <x:c r="U649" s="85"/>
      <x:c r="V649" s="85"/>
      <x:c r="W649" s="85"/>
      <x:c r="Y649" s="86"/>
      <x:c r="Z649" s="86"/>
      <x:c r="AA649" s="32"/>
    </x:row>
    <x:row r="650">
      <x:c r="A650" s="87"/>
      <x:c r="B650" s="88"/>
      <x:c r="D650" s="32"/>
      <x:c r="I650" s="74"/>
      <x:c r="J650" s="74"/>
      <x:c r="K650" s="74"/>
      <x:c r="L650" s="74"/>
      <x:c r="M650" s="74"/>
      <x:c r="N650" s="74"/>
      <x:c r="O650" s="91"/>
      <x:c r="P650" s="91"/>
      <x:c r="Q650" s="85"/>
      <x:c r="R650" s="85"/>
      <x:c r="S650" s="85"/>
      <x:c r="T650" s="85"/>
      <x:c r="U650" s="85"/>
      <x:c r="V650" s="85"/>
      <x:c r="W650" s="85"/>
      <x:c r="Y650" s="86"/>
      <x:c r="Z650" s="86"/>
      <x:c r="AA650" s="32"/>
    </x:row>
    <x:row r="651">
      <x:c r="A651" s="87"/>
      <x:c r="B651" s="88"/>
      <x:c r="D651" s="32"/>
      <x:c r="I651" s="74"/>
      <x:c r="J651" s="74"/>
      <x:c r="K651" s="74"/>
      <x:c r="L651" s="74"/>
      <x:c r="M651" s="74"/>
      <x:c r="N651" s="74"/>
      <x:c r="O651" s="91"/>
      <x:c r="P651" s="91"/>
      <x:c r="Q651" s="85"/>
      <x:c r="R651" s="85"/>
      <x:c r="S651" s="85"/>
      <x:c r="T651" s="85"/>
      <x:c r="U651" s="85"/>
      <x:c r="V651" s="85"/>
      <x:c r="W651" s="85"/>
      <x:c r="Y651" s="86"/>
      <x:c r="Z651" s="86"/>
      <x:c r="AA651" s="32"/>
    </x:row>
    <x:row r="652">
      <x:c r="A652" s="87"/>
      <x:c r="B652" s="88"/>
      <x:c r="D652" s="32"/>
      <x:c r="I652" s="74"/>
      <x:c r="J652" s="74"/>
      <x:c r="K652" s="74"/>
      <x:c r="L652" s="74"/>
      <x:c r="M652" s="74"/>
      <x:c r="N652" s="74"/>
      <x:c r="O652" s="91"/>
      <x:c r="P652" s="91"/>
      <x:c r="Q652" s="85"/>
      <x:c r="R652" s="85"/>
      <x:c r="S652" s="85"/>
      <x:c r="T652" s="85"/>
      <x:c r="U652" s="85"/>
      <x:c r="V652" s="85"/>
      <x:c r="W652" s="85"/>
      <x:c r="Y652" s="86"/>
      <x:c r="Z652" s="86"/>
      <x:c r="AA652" s="32"/>
    </x:row>
    <x:row r="653">
      <x:c r="A653" s="87"/>
      <x:c r="B653" s="88"/>
      <x:c r="D653" s="32"/>
      <x:c r="I653" s="74"/>
      <x:c r="J653" s="74"/>
      <x:c r="K653" s="74"/>
      <x:c r="L653" s="74"/>
      <x:c r="M653" s="74"/>
      <x:c r="N653" s="74"/>
      <x:c r="O653" s="91"/>
      <x:c r="P653" s="91"/>
      <x:c r="Q653" s="85"/>
      <x:c r="R653" s="85"/>
      <x:c r="S653" s="85"/>
      <x:c r="T653" s="85"/>
      <x:c r="U653" s="85"/>
      <x:c r="V653" s="85"/>
      <x:c r="W653" s="85"/>
      <x:c r="Y653" s="86"/>
      <x:c r="Z653" s="86"/>
      <x:c r="AA653" s="32"/>
    </x:row>
    <x:row r="654">
      <x:c r="A654" s="87"/>
      <x:c r="B654" s="88"/>
      <x:c r="D654" s="32"/>
      <x:c r="I654" s="74"/>
      <x:c r="J654" s="74"/>
      <x:c r="K654" s="74"/>
      <x:c r="L654" s="74"/>
      <x:c r="M654" s="74"/>
      <x:c r="N654" s="74"/>
      <x:c r="O654" s="91"/>
      <x:c r="P654" s="91"/>
      <x:c r="Q654" s="85"/>
      <x:c r="R654" s="85"/>
      <x:c r="S654" s="85"/>
      <x:c r="T654" s="85"/>
      <x:c r="U654" s="85"/>
      <x:c r="V654" s="85"/>
      <x:c r="W654" s="85"/>
      <x:c r="Y654" s="86"/>
      <x:c r="Z654" s="86"/>
      <x:c r="AA654" s="32"/>
    </x:row>
    <x:row r="655">
      <x:c r="A655" s="87"/>
      <x:c r="B655" s="88"/>
      <x:c r="D655" s="32"/>
      <x:c r="I655" s="74"/>
      <x:c r="J655" s="74"/>
      <x:c r="K655" s="74"/>
      <x:c r="L655" s="74"/>
      <x:c r="M655" s="74"/>
      <x:c r="N655" s="74"/>
      <x:c r="O655" s="91"/>
      <x:c r="P655" s="91"/>
      <x:c r="Q655" s="85"/>
      <x:c r="R655" s="85"/>
      <x:c r="S655" s="85"/>
      <x:c r="T655" s="85"/>
      <x:c r="U655" s="85"/>
      <x:c r="V655" s="85"/>
      <x:c r="W655" s="85"/>
      <x:c r="Y655" s="86"/>
      <x:c r="Z655" s="86"/>
      <x:c r="AA655" s="32"/>
    </x:row>
    <x:row r="656">
      <x:c r="A656" s="87"/>
      <x:c r="B656" s="88"/>
      <x:c r="D656" s="32"/>
      <x:c r="I656" s="74"/>
      <x:c r="J656" s="74"/>
      <x:c r="K656" s="74"/>
      <x:c r="L656" s="74"/>
      <x:c r="M656" s="74"/>
      <x:c r="N656" s="74"/>
      <x:c r="O656" s="91"/>
      <x:c r="P656" s="91"/>
      <x:c r="Q656" s="85"/>
      <x:c r="R656" s="85"/>
      <x:c r="S656" s="85"/>
      <x:c r="T656" s="85"/>
      <x:c r="U656" s="85"/>
      <x:c r="V656" s="85"/>
      <x:c r="W656" s="85"/>
      <x:c r="Y656" s="86"/>
      <x:c r="Z656" s="86"/>
      <x:c r="AA656" s="32"/>
    </x:row>
    <x:row r="657">
      <x:c r="A657" s="87"/>
      <x:c r="B657" s="88"/>
      <x:c r="D657" s="32"/>
      <x:c r="I657" s="74"/>
      <x:c r="J657" s="74"/>
      <x:c r="K657" s="74"/>
      <x:c r="L657" s="74"/>
      <x:c r="M657" s="74"/>
      <x:c r="N657" s="74"/>
      <x:c r="O657" s="91"/>
      <x:c r="P657" s="91"/>
      <x:c r="Q657" s="85"/>
      <x:c r="R657" s="85"/>
      <x:c r="S657" s="85"/>
      <x:c r="T657" s="85"/>
      <x:c r="U657" s="85"/>
      <x:c r="V657" s="85"/>
      <x:c r="W657" s="85"/>
      <x:c r="Y657" s="86"/>
      <x:c r="Z657" s="86"/>
      <x:c r="AA657" s="32"/>
    </x:row>
    <x:row r="658">
      <x:c r="A658" s="87"/>
      <x:c r="B658" s="88"/>
      <x:c r="D658" s="32"/>
      <x:c r="I658" s="74"/>
      <x:c r="J658" s="74"/>
      <x:c r="K658" s="74"/>
      <x:c r="L658" s="74"/>
      <x:c r="M658" s="74"/>
      <x:c r="N658" s="74"/>
      <x:c r="O658" s="91"/>
      <x:c r="P658" s="91"/>
      <x:c r="Q658" s="85"/>
      <x:c r="R658" s="85"/>
      <x:c r="S658" s="85"/>
      <x:c r="T658" s="85"/>
      <x:c r="U658" s="85"/>
      <x:c r="V658" s="85"/>
      <x:c r="W658" s="85"/>
      <x:c r="Y658" s="86"/>
      <x:c r="Z658" s="86"/>
      <x:c r="AA658" s="32"/>
    </x:row>
    <x:row r="659">
      <x:c r="A659" s="87"/>
      <x:c r="B659" s="88"/>
      <x:c r="D659" s="32"/>
      <x:c r="I659" s="74"/>
      <x:c r="J659" s="74"/>
      <x:c r="K659" s="74"/>
      <x:c r="L659" s="74"/>
      <x:c r="M659" s="74"/>
      <x:c r="N659" s="74"/>
      <x:c r="O659" s="91"/>
      <x:c r="P659" s="91"/>
      <x:c r="Q659" s="85"/>
      <x:c r="R659" s="85"/>
      <x:c r="S659" s="85"/>
      <x:c r="T659" s="85"/>
      <x:c r="U659" s="85"/>
      <x:c r="V659" s="85"/>
      <x:c r="W659" s="85"/>
      <x:c r="Y659" s="86"/>
      <x:c r="Z659" s="86"/>
      <x:c r="AA659" s="32"/>
    </x:row>
    <x:row r="660">
      <x:c r="A660" s="87"/>
      <x:c r="B660" s="88"/>
      <x:c r="D660" s="32"/>
      <x:c r="I660" s="74"/>
      <x:c r="J660" s="74"/>
      <x:c r="K660" s="74"/>
      <x:c r="L660" s="74"/>
      <x:c r="M660" s="74"/>
      <x:c r="N660" s="74"/>
      <x:c r="O660" s="91"/>
      <x:c r="P660" s="91"/>
      <x:c r="Q660" s="85"/>
      <x:c r="R660" s="85"/>
      <x:c r="S660" s="85"/>
      <x:c r="T660" s="85"/>
      <x:c r="U660" s="85"/>
      <x:c r="V660" s="85"/>
      <x:c r="W660" s="85"/>
      <x:c r="Y660" s="86"/>
      <x:c r="Z660" s="86"/>
      <x:c r="AA660" s="32"/>
    </x:row>
    <x:row r="661">
      <x:c r="A661" s="87"/>
      <x:c r="B661" s="88"/>
      <x:c r="D661" s="32"/>
      <x:c r="I661" s="74"/>
      <x:c r="J661" s="74"/>
      <x:c r="K661" s="74"/>
      <x:c r="L661" s="74"/>
      <x:c r="M661" s="74"/>
      <x:c r="N661" s="74"/>
      <x:c r="O661" s="91"/>
      <x:c r="P661" s="91"/>
      <x:c r="Q661" s="85"/>
      <x:c r="R661" s="85"/>
      <x:c r="S661" s="85"/>
      <x:c r="T661" s="85"/>
      <x:c r="U661" s="85"/>
      <x:c r="V661" s="85"/>
      <x:c r="W661" s="85"/>
      <x:c r="Y661" s="86"/>
      <x:c r="Z661" s="86"/>
      <x:c r="AA661" s="32"/>
    </x:row>
    <x:row r="662">
      <x:c r="A662" s="87"/>
      <x:c r="B662" s="88"/>
      <x:c r="D662" s="32"/>
      <x:c r="I662" s="74"/>
      <x:c r="J662" s="74"/>
      <x:c r="K662" s="74"/>
      <x:c r="L662" s="74"/>
      <x:c r="M662" s="74"/>
      <x:c r="N662" s="74"/>
      <x:c r="O662" s="91"/>
      <x:c r="P662" s="91"/>
      <x:c r="Q662" s="85"/>
      <x:c r="R662" s="85"/>
      <x:c r="S662" s="85"/>
      <x:c r="T662" s="85"/>
      <x:c r="U662" s="85"/>
      <x:c r="V662" s="85"/>
      <x:c r="W662" s="85"/>
      <x:c r="Y662" s="86"/>
      <x:c r="Z662" s="86"/>
      <x:c r="AA662" s="32"/>
    </x:row>
    <x:row r="663">
      <x:c r="A663" s="87"/>
      <x:c r="B663" s="88"/>
      <x:c r="D663" s="32"/>
      <x:c r="I663" s="74"/>
      <x:c r="J663" s="74"/>
      <x:c r="K663" s="74"/>
      <x:c r="L663" s="74"/>
      <x:c r="M663" s="74"/>
      <x:c r="N663" s="74"/>
      <x:c r="O663" s="91"/>
      <x:c r="P663" s="91"/>
      <x:c r="Q663" s="85"/>
      <x:c r="R663" s="85"/>
      <x:c r="S663" s="85"/>
      <x:c r="T663" s="85"/>
      <x:c r="U663" s="85"/>
      <x:c r="V663" s="85"/>
      <x:c r="W663" s="85"/>
      <x:c r="Y663" s="86"/>
      <x:c r="Z663" s="86"/>
      <x:c r="AA663" s="32"/>
    </x:row>
    <x:row r="664">
      <x:c r="A664" s="87"/>
      <x:c r="B664" s="88"/>
      <x:c r="D664" s="32"/>
      <x:c r="I664" s="74"/>
      <x:c r="J664" s="74"/>
      <x:c r="K664" s="74"/>
      <x:c r="L664" s="74"/>
      <x:c r="M664" s="74"/>
      <x:c r="N664" s="74"/>
      <x:c r="O664" s="91"/>
      <x:c r="P664" s="91"/>
      <x:c r="Q664" s="85"/>
      <x:c r="R664" s="85"/>
      <x:c r="S664" s="85"/>
      <x:c r="T664" s="85"/>
      <x:c r="U664" s="85"/>
      <x:c r="V664" s="85"/>
      <x:c r="W664" s="85"/>
      <x:c r="Y664" s="86"/>
      <x:c r="Z664" s="86"/>
      <x:c r="AA664" s="32"/>
    </x:row>
    <x:row r="665">
      <x:c r="A665" s="87"/>
      <x:c r="B665" s="88"/>
      <x:c r="D665" s="32"/>
      <x:c r="I665" s="74"/>
      <x:c r="J665" s="74"/>
      <x:c r="K665" s="74"/>
      <x:c r="L665" s="74"/>
      <x:c r="M665" s="74"/>
      <x:c r="N665" s="74"/>
      <x:c r="O665" s="91"/>
      <x:c r="P665" s="91"/>
      <x:c r="Q665" s="85"/>
      <x:c r="R665" s="85"/>
      <x:c r="S665" s="85"/>
      <x:c r="T665" s="85"/>
      <x:c r="U665" s="85"/>
      <x:c r="V665" s="85"/>
      <x:c r="W665" s="85"/>
      <x:c r="Y665" s="86"/>
      <x:c r="Z665" s="86"/>
      <x:c r="AA665" s="32"/>
    </x:row>
    <x:row r="666">
      <x:c r="A666" s="87"/>
      <x:c r="B666" s="88"/>
      <x:c r="D666" s="32"/>
      <x:c r="I666" s="74"/>
      <x:c r="J666" s="74"/>
      <x:c r="K666" s="74"/>
      <x:c r="L666" s="74"/>
      <x:c r="M666" s="74"/>
      <x:c r="N666" s="74"/>
      <x:c r="O666" s="91"/>
      <x:c r="P666" s="91"/>
      <x:c r="Q666" s="85"/>
      <x:c r="R666" s="85"/>
      <x:c r="S666" s="85"/>
      <x:c r="T666" s="85"/>
      <x:c r="U666" s="85"/>
      <x:c r="V666" s="85"/>
      <x:c r="W666" s="85"/>
      <x:c r="Y666" s="86"/>
      <x:c r="Z666" s="86"/>
      <x:c r="AA666" s="32"/>
    </x:row>
    <x:row r="667">
      <x:c r="A667" s="87"/>
      <x:c r="B667" s="88"/>
      <x:c r="D667" s="32"/>
      <x:c r="I667" s="74"/>
      <x:c r="J667" s="74"/>
      <x:c r="K667" s="74"/>
      <x:c r="L667" s="74"/>
      <x:c r="M667" s="74"/>
      <x:c r="N667" s="74"/>
      <x:c r="O667" s="91"/>
      <x:c r="P667" s="91"/>
      <x:c r="Q667" s="85"/>
      <x:c r="R667" s="85"/>
      <x:c r="S667" s="85"/>
      <x:c r="T667" s="85"/>
      <x:c r="U667" s="85"/>
      <x:c r="V667" s="85"/>
      <x:c r="W667" s="85"/>
      <x:c r="Y667" s="86"/>
      <x:c r="Z667" s="86"/>
      <x:c r="AA667" s="32"/>
    </x:row>
    <x:row r="668">
      <x:c r="A668" s="87"/>
      <x:c r="B668" s="88"/>
      <x:c r="D668" s="32"/>
      <x:c r="I668" s="74"/>
      <x:c r="J668" s="74"/>
      <x:c r="K668" s="74"/>
      <x:c r="L668" s="74"/>
      <x:c r="M668" s="74"/>
      <x:c r="N668" s="74"/>
      <x:c r="O668" s="91"/>
      <x:c r="P668" s="91"/>
      <x:c r="Q668" s="85"/>
      <x:c r="R668" s="85"/>
      <x:c r="S668" s="85"/>
      <x:c r="T668" s="85"/>
      <x:c r="U668" s="85"/>
      <x:c r="V668" s="85"/>
      <x:c r="W668" s="85"/>
      <x:c r="Y668" s="86"/>
      <x:c r="Z668" s="86"/>
      <x:c r="AA668" s="32"/>
    </x:row>
    <x:row r="669">
      <x:c r="A669" s="87"/>
      <x:c r="B669" s="88"/>
      <x:c r="D669" s="32"/>
      <x:c r="I669" s="74"/>
      <x:c r="J669" s="74"/>
      <x:c r="K669" s="74"/>
      <x:c r="L669" s="74"/>
      <x:c r="M669" s="74"/>
      <x:c r="N669" s="74"/>
      <x:c r="O669" s="91"/>
      <x:c r="P669" s="91"/>
      <x:c r="Q669" s="85"/>
      <x:c r="R669" s="85"/>
      <x:c r="S669" s="85"/>
      <x:c r="T669" s="85"/>
      <x:c r="U669" s="85"/>
      <x:c r="V669" s="85"/>
      <x:c r="W669" s="85"/>
      <x:c r="Y669" s="86"/>
      <x:c r="Z669" s="86"/>
      <x:c r="AA669" s="32"/>
    </x:row>
    <x:row r="670">
      <x:c r="A670" s="87"/>
      <x:c r="B670" s="88"/>
      <x:c r="D670" s="32"/>
      <x:c r="I670" s="74"/>
      <x:c r="J670" s="74"/>
      <x:c r="K670" s="74"/>
      <x:c r="L670" s="74"/>
      <x:c r="M670" s="74"/>
      <x:c r="N670" s="74"/>
      <x:c r="O670" s="91"/>
      <x:c r="P670" s="91"/>
      <x:c r="Q670" s="85"/>
      <x:c r="R670" s="85"/>
      <x:c r="S670" s="85"/>
      <x:c r="T670" s="85"/>
      <x:c r="U670" s="85"/>
      <x:c r="V670" s="85"/>
      <x:c r="W670" s="85"/>
      <x:c r="Y670" s="86"/>
      <x:c r="Z670" s="86"/>
      <x:c r="AA670" s="32"/>
    </x:row>
    <x:row r="671">
      <x:c r="A671" s="87"/>
      <x:c r="B671" s="88"/>
      <x:c r="D671" s="32"/>
      <x:c r="I671" s="74"/>
      <x:c r="J671" s="74"/>
      <x:c r="K671" s="74"/>
      <x:c r="L671" s="74"/>
      <x:c r="M671" s="74"/>
      <x:c r="N671" s="74"/>
      <x:c r="O671" s="91"/>
      <x:c r="P671" s="91"/>
      <x:c r="Q671" s="85"/>
      <x:c r="R671" s="85"/>
      <x:c r="S671" s="85"/>
      <x:c r="T671" s="85"/>
      <x:c r="U671" s="85"/>
      <x:c r="V671" s="85"/>
      <x:c r="W671" s="85"/>
      <x:c r="Y671" s="86"/>
      <x:c r="Z671" s="86"/>
      <x:c r="AA671" s="32"/>
    </x:row>
    <x:row r="672">
      <x:c r="A672" s="87"/>
      <x:c r="B672" s="88"/>
      <x:c r="D672" s="32"/>
      <x:c r="I672" s="74"/>
      <x:c r="J672" s="74"/>
      <x:c r="K672" s="74"/>
      <x:c r="L672" s="74"/>
      <x:c r="M672" s="74"/>
      <x:c r="N672" s="74"/>
      <x:c r="O672" s="91"/>
      <x:c r="P672" s="91"/>
      <x:c r="Q672" s="85"/>
      <x:c r="R672" s="85"/>
      <x:c r="S672" s="85"/>
      <x:c r="T672" s="85"/>
      <x:c r="U672" s="85"/>
      <x:c r="V672" s="85"/>
      <x:c r="W672" s="85"/>
      <x:c r="Y672" s="86"/>
      <x:c r="Z672" s="86"/>
      <x:c r="AA672" s="32"/>
    </x:row>
    <x:row r="673">
      <x:c r="A673" s="87"/>
      <x:c r="B673" s="88"/>
      <x:c r="D673" s="32"/>
      <x:c r="I673" s="74"/>
      <x:c r="J673" s="74"/>
      <x:c r="K673" s="74"/>
      <x:c r="L673" s="74"/>
      <x:c r="M673" s="74"/>
      <x:c r="N673" s="74"/>
      <x:c r="O673" s="91"/>
      <x:c r="P673" s="91"/>
      <x:c r="Q673" s="85"/>
      <x:c r="R673" s="85"/>
      <x:c r="S673" s="85"/>
      <x:c r="T673" s="85"/>
      <x:c r="U673" s="85"/>
      <x:c r="V673" s="85"/>
      <x:c r="W673" s="85"/>
      <x:c r="Y673" s="86"/>
      <x:c r="Z673" s="86"/>
      <x:c r="AA673" s="32"/>
    </x:row>
    <x:row r="674">
      <x:c r="A674" s="87"/>
      <x:c r="B674" s="88"/>
      <x:c r="D674" s="32"/>
      <x:c r="I674" s="74"/>
      <x:c r="J674" s="74"/>
      <x:c r="K674" s="74"/>
      <x:c r="L674" s="74"/>
      <x:c r="M674" s="74"/>
      <x:c r="N674" s="74"/>
      <x:c r="O674" s="91"/>
      <x:c r="P674" s="91"/>
      <x:c r="Q674" s="85"/>
      <x:c r="R674" s="85"/>
      <x:c r="S674" s="85"/>
      <x:c r="T674" s="85"/>
      <x:c r="U674" s="85"/>
      <x:c r="V674" s="85"/>
      <x:c r="W674" s="85"/>
      <x:c r="Y674" s="86"/>
      <x:c r="Z674" s="86"/>
      <x:c r="AA674" s="32"/>
    </x:row>
    <x:row r="675">
      <x:c r="A675" s="87"/>
      <x:c r="B675" s="88"/>
      <x:c r="D675" s="32"/>
      <x:c r="I675" s="74"/>
      <x:c r="J675" s="74"/>
      <x:c r="K675" s="74"/>
      <x:c r="L675" s="74"/>
      <x:c r="M675" s="74"/>
      <x:c r="N675" s="74"/>
      <x:c r="O675" s="91"/>
      <x:c r="P675" s="91"/>
      <x:c r="Q675" s="85"/>
      <x:c r="R675" s="85"/>
      <x:c r="S675" s="85"/>
      <x:c r="T675" s="85"/>
      <x:c r="U675" s="85"/>
      <x:c r="V675" s="85"/>
      <x:c r="W675" s="85"/>
      <x:c r="Y675" s="86"/>
      <x:c r="Z675" s="86"/>
      <x:c r="AA675" s="32"/>
    </x:row>
    <x:row r="676">
      <x:c r="A676" s="87"/>
      <x:c r="B676" s="88"/>
      <x:c r="D676" s="32"/>
      <x:c r="I676" s="74"/>
      <x:c r="J676" s="74"/>
      <x:c r="K676" s="74"/>
      <x:c r="L676" s="74"/>
      <x:c r="M676" s="74"/>
      <x:c r="N676" s="74"/>
      <x:c r="O676" s="91"/>
      <x:c r="P676" s="91"/>
      <x:c r="Q676" s="85"/>
      <x:c r="R676" s="85"/>
      <x:c r="S676" s="85"/>
      <x:c r="T676" s="85"/>
      <x:c r="U676" s="85"/>
      <x:c r="V676" s="85"/>
      <x:c r="W676" s="85"/>
      <x:c r="Y676" s="86"/>
      <x:c r="Z676" s="86"/>
      <x:c r="AA676" s="32"/>
    </x:row>
    <x:row r="677">
      <x:c r="A677" s="87"/>
      <x:c r="B677" s="88"/>
      <x:c r="D677" s="32"/>
      <x:c r="I677" s="74"/>
      <x:c r="J677" s="74"/>
      <x:c r="K677" s="74"/>
      <x:c r="L677" s="74"/>
      <x:c r="M677" s="74"/>
      <x:c r="N677" s="74"/>
      <x:c r="O677" s="91"/>
      <x:c r="P677" s="91"/>
      <x:c r="Q677" s="85"/>
      <x:c r="R677" s="85"/>
      <x:c r="S677" s="85"/>
      <x:c r="T677" s="85"/>
      <x:c r="U677" s="85"/>
      <x:c r="V677" s="85"/>
      <x:c r="W677" s="85"/>
      <x:c r="Y677" s="86"/>
      <x:c r="Z677" s="86"/>
      <x:c r="AA677" s="32"/>
    </x:row>
    <x:row r="678">
      <x:c r="A678" s="87"/>
      <x:c r="B678" s="88"/>
      <x:c r="D678" s="32"/>
      <x:c r="I678" s="74"/>
      <x:c r="J678" s="74"/>
      <x:c r="K678" s="74"/>
      <x:c r="L678" s="74"/>
      <x:c r="M678" s="74"/>
      <x:c r="N678" s="74"/>
      <x:c r="O678" s="91"/>
      <x:c r="P678" s="91"/>
      <x:c r="Q678" s="85"/>
      <x:c r="R678" s="85"/>
      <x:c r="S678" s="85"/>
      <x:c r="T678" s="85"/>
      <x:c r="U678" s="85"/>
      <x:c r="V678" s="85"/>
      <x:c r="W678" s="85"/>
      <x:c r="Y678" s="86"/>
      <x:c r="Z678" s="86"/>
      <x:c r="AA678" s="32"/>
    </x:row>
    <x:row r="679">
      <x:c r="A679" s="87"/>
      <x:c r="B679" s="88"/>
      <x:c r="D679" s="32"/>
      <x:c r="I679" s="74"/>
      <x:c r="J679" s="74"/>
      <x:c r="K679" s="74"/>
      <x:c r="L679" s="74"/>
      <x:c r="M679" s="74"/>
      <x:c r="N679" s="74"/>
      <x:c r="O679" s="91"/>
      <x:c r="P679" s="91"/>
      <x:c r="Q679" s="85"/>
      <x:c r="R679" s="85"/>
      <x:c r="S679" s="85"/>
      <x:c r="T679" s="85"/>
      <x:c r="U679" s="85"/>
      <x:c r="V679" s="85"/>
      <x:c r="W679" s="85"/>
      <x:c r="Y679" s="86"/>
      <x:c r="Z679" s="86"/>
      <x:c r="AA679" s="32"/>
    </x:row>
    <x:row r="680">
      <x:c r="A680" s="87"/>
      <x:c r="B680" s="88"/>
      <x:c r="D680" s="32"/>
      <x:c r="I680" s="74"/>
      <x:c r="J680" s="74"/>
      <x:c r="K680" s="74"/>
      <x:c r="L680" s="74"/>
      <x:c r="M680" s="74"/>
      <x:c r="N680" s="74"/>
      <x:c r="O680" s="91"/>
      <x:c r="P680" s="91"/>
      <x:c r="Q680" s="85"/>
      <x:c r="R680" s="85"/>
      <x:c r="S680" s="85"/>
      <x:c r="T680" s="85"/>
      <x:c r="U680" s="85"/>
      <x:c r="V680" s="85"/>
      <x:c r="W680" s="85"/>
      <x:c r="Y680" s="86"/>
      <x:c r="Z680" s="86"/>
      <x:c r="AA680" s="32"/>
    </x:row>
    <x:row r="681">
      <x:c r="A681" s="87"/>
      <x:c r="B681" s="88"/>
      <x:c r="D681" s="32"/>
      <x:c r="I681" s="74"/>
      <x:c r="J681" s="74"/>
      <x:c r="K681" s="74"/>
      <x:c r="L681" s="74"/>
      <x:c r="M681" s="74"/>
      <x:c r="N681" s="74"/>
      <x:c r="O681" s="91"/>
      <x:c r="P681" s="91"/>
      <x:c r="Q681" s="85"/>
      <x:c r="R681" s="85"/>
      <x:c r="S681" s="85"/>
      <x:c r="T681" s="85"/>
      <x:c r="U681" s="85"/>
      <x:c r="V681" s="85"/>
      <x:c r="W681" s="85"/>
      <x:c r="Y681" s="86"/>
      <x:c r="Z681" s="86"/>
      <x:c r="AA681" s="32"/>
    </x:row>
    <x:row r="682">
      <x:c r="A682" s="87"/>
      <x:c r="B682" s="88"/>
      <x:c r="D682" s="32"/>
      <x:c r="I682" s="74"/>
      <x:c r="J682" s="74"/>
      <x:c r="K682" s="74"/>
      <x:c r="L682" s="74"/>
      <x:c r="M682" s="74"/>
      <x:c r="N682" s="74"/>
      <x:c r="O682" s="91"/>
      <x:c r="P682" s="91"/>
      <x:c r="Q682" s="85"/>
      <x:c r="R682" s="85"/>
      <x:c r="S682" s="85"/>
      <x:c r="T682" s="85"/>
      <x:c r="U682" s="85"/>
      <x:c r="V682" s="85"/>
      <x:c r="W682" s="85"/>
      <x:c r="Y682" s="86"/>
      <x:c r="Z682" s="86"/>
      <x:c r="AA682" s="32"/>
    </x:row>
    <x:row r="683">
      <x:c r="A683" s="87"/>
      <x:c r="B683" s="88"/>
      <x:c r="D683" s="32"/>
      <x:c r="I683" s="74"/>
      <x:c r="J683" s="74"/>
      <x:c r="K683" s="74"/>
      <x:c r="L683" s="74"/>
      <x:c r="M683" s="74"/>
      <x:c r="N683" s="74"/>
      <x:c r="O683" s="91"/>
      <x:c r="P683" s="91"/>
      <x:c r="Q683" s="85"/>
      <x:c r="R683" s="85"/>
      <x:c r="S683" s="85"/>
      <x:c r="T683" s="85"/>
      <x:c r="U683" s="85"/>
      <x:c r="V683" s="85"/>
      <x:c r="W683" s="85"/>
      <x:c r="Y683" s="86"/>
      <x:c r="Z683" s="86"/>
      <x:c r="AA683" s="32"/>
    </x:row>
    <x:row r="684">
      <x:c r="A684" s="87"/>
      <x:c r="B684" s="88"/>
      <x:c r="D684" s="32"/>
      <x:c r="I684" s="74"/>
      <x:c r="J684" s="74"/>
      <x:c r="K684" s="74"/>
      <x:c r="L684" s="74"/>
      <x:c r="M684" s="74"/>
      <x:c r="N684" s="74"/>
      <x:c r="O684" s="91"/>
      <x:c r="P684" s="91"/>
      <x:c r="Q684" s="85"/>
      <x:c r="R684" s="85"/>
      <x:c r="S684" s="85"/>
      <x:c r="T684" s="85"/>
      <x:c r="U684" s="85"/>
      <x:c r="V684" s="85"/>
      <x:c r="W684" s="85"/>
      <x:c r="Y684" s="86"/>
      <x:c r="Z684" s="86"/>
      <x:c r="AA684" s="32"/>
    </x:row>
    <x:row r="685">
      <x:c r="A685" s="87"/>
      <x:c r="B685" s="88"/>
      <x:c r="D685" s="32"/>
      <x:c r="I685" s="74"/>
      <x:c r="J685" s="74"/>
      <x:c r="K685" s="74"/>
      <x:c r="L685" s="74"/>
      <x:c r="M685" s="74"/>
      <x:c r="N685" s="74"/>
      <x:c r="O685" s="91"/>
      <x:c r="P685" s="91"/>
      <x:c r="Q685" s="85"/>
      <x:c r="R685" s="85"/>
      <x:c r="S685" s="85"/>
      <x:c r="T685" s="85"/>
      <x:c r="U685" s="85"/>
      <x:c r="V685" s="85"/>
      <x:c r="W685" s="85"/>
      <x:c r="Y685" s="86"/>
      <x:c r="Z685" s="86"/>
      <x:c r="AA685" s="32"/>
    </x:row>
    <x:row r="686">
      <x:c r="A686" s="87"/>
      <x:c r="B686" s="88"/>
      <x:c r="D686" s="32"/>
      <x:c r="I686" s="74"/>
      <x:c r="J686" s="74"/>
      <x:c r="K686" s="74"/>
      <x:c r="L686" s="74"/>
      <x:c r="M686" s="74"/>
      <x:c r="N686" s="74"/>
      <x:c r="O686" s="91"/>
      <x:c r="P686" s="91"/>
      <x:c r="Q686" s="85"/>
      <x:c r="R686" s="85"/>
      <x:c r="S686" s="85"/>
      <x:c r="T686" s="85"/>
      <x:c r="U686" s="85"/>
      <x:c r="V686" s="85"/>
      <x:c r="W686" s="85"/>
      <x:c r="Y686" s="86"/>
      <x:c r="Z686" s="86"/>
      <x:c r="AA686" s="32"/>
    </x:row>
    <x:row r="687">
      <x:c r="A687" s="87"/>
      <x:c r="B687" s="88"/>
      <x:c r="D687" s="32"/>
      <x:c r="I687" s="74"/>
      <x:c r="J687" s="74"/>
      <x:c r="K687" s="74"/>
      <x:c r="L687" s="74"/>
      <x:c r="M687" s="74"/>
      <x:c r="N687" s="74"/>
      <x:c r="O687" s="91"/>
      <x:c r="P687" s="91"/>
      <x:c r="Q687" s="85"/>
      <x:c r="R687" s="85"/>
      <x:c r="S687" s="85"/>
      <x:c r="T687" s="85"/>
      <x:c r="U687" s="85"/>
      <x:c r="V687" s="85"/>
      <x:c r="W687" s="85"/>
      <x:c r="Y687" s="86"/>
      <x:c r="Z687" s="86"/>
      <x:c r="AA687" s="32"/>
    </x:row>
    <x:row r="688">
      <x:c r="A688" s="87"/>
      <x:c r="B688" s="88"/>
      <x:c r="D688" s="32"/>
      <x:c r="I688" s="74"/>
      <x:c r="J688" s="74"/>
      <x:c r="K688" s="74"/>
      <x:c r="L688" s="74"/>
      <x:c r="M688" s="74"/>
      <x:c r="N688" s="74"/>
      <x:c r="O688" s="91"/>
      <x:c r="P688" s="91"/>
      <x:c r="Q688" s="85"/>
      <x:c r="R688" s="85"/>
      <x:c r="S688" s="85"/>
      <x:c r="T688" s="85"/>
      <x:c r="U688" s="85"/>
      <x:c r="V688" s="85"/>
      <x:c r="W688" s="85"/>
      <x:c r="Y688" s="86"/>
      <x:c r="Z688" s="86"/>
      <x:c r="AA688" s="32"/>
    </x:row>
    <x:row r="689">
      <x:c r="A689" s="87"/>
      <x:c r="B689" s="88"/>
      <x:c r="D689" s="32"/>
      <x:c r="I689" s="74"/>
      <x:c r="J689" s="74"/>
      <x:c r="K689" s="74"/>
      <x:c r="L689" s="74"/>
      <x:c r="M689" s="74"/>
      <x:c r="N689" s="74"/>
      <x:c r="O689" s="91"/>
      <x:c r="P689" s="91"/>
      <x:c r="Q689" s="85"/>
      <x:c r="R689" s="85"/>
      <x:c r="S689" s="85"/>
      <x:c r="T689" s="85"/>
      <x:c r="U689" s="85"/>
      <x:c r="V689" s="85"/>
      <x:c r="W689" s="85"/>
      <x:c r="Y689" s="86"/>
      <x:c r="Z689" s="86"/>
      <x:c r="AA689" s="32"/>
    </x:row>
    <x:row r="690">
      <x:c r="A690" s="87"/>
      <x:c r="B690" s="88"/>
      <x:c r="D690" s="32"/>
      <x:c r="I690" s="74"/>
      <x:c r="J690" s="74"/>
      <x:c r="K690" s="74"/>
      <x:c r="L690" s="74"/>
      <x:c r="M690" s="74"/>
      <x:c r="N690" s="74"/>
      <x:c r="O690" s="91"/>
      <x:c r="P690" s="91"/>
      <x:c r="Q690" s="85"/>
      <x:c r="R690" s="85"/>
      <x:c r="S690" s="85"/>
      <x:c r="T690" s="85"/>
      <x:c r="U690" s="85"/>
      <x:c r="V690" s="85"/>
      <x:c r="W690" s="85"/>
      <x:c r="Y690" s="86"/>
      <x:c r="Z690" s="86"/>
      <x:c r="AA690" s="32"/>
    </x:row>
    <x:row r="691">
      <x:c r="A691" s="87"/>
      <x:c r="B691" s="88"/>
      <x:c r="D691" s="32"/>
      <x:c r="I691" s="74"/>
      <x:c r="J691" s="74"/>
      <x:c r="K691" s="74"/>
      <x:c r="L691" s="74"/>
      <x:c r="M691" s="74"/>
      <x:c r="N691" s="74"/>
      <x:c r="O691" s="91"/>
      <x:c r="P691" s="91"/>
      <x:c r="Q691" s="85"/>
      <x:c r="R691" s="85"/>
      <x:c r="S691" s="85"/>
      <x:c r="T691" s="85"/>
      <x:c r="U691" s="85"/>
      <x:c r="V691" s="85"/>
      <x:c r="W691" s="85"/>
      <x:c r="Y691" s="86"/>
      <x:c r="Z691" s="86"/>
      <x:c r="AA691" s="32"/>
    </x:row>
    <x:row r="692">
      <x:c r="A692" s="87"/>
      <x:c r="B692" s="88"/>
      <x:c r="D692" s="32"/>
      <x:c r="I692" s="74"/>
      <x:c r="J692" s="74"/>
      <x:c r="K692" s="74"/>
      <x:c r="L692" s="74"/>
      <x:c r="M692" s="74"/>
      <x:c r="N692" s="74"/>
      <x:c r="O692" s="91"/>
      <x:c r="P692" s="91"/>
      <x:c r="Q692" s="85"/>
      <x:c r="R692" s="85"/>
      <x:c r="S692" s="85"/>
      <x:c r="T692" s="85"/>
      <x:c r="U692" s="85"/>
      <x:c r="V692" s="85"/>
      <x:c r="W692" s="85"/>
      <x:c r="Y692" s="86"/>
      <x:c r="Z692" s="86"/>
      <x:c r="AA692" s="32"/>
    </x:row>
    <x:row r="693">
      <x:c r="A693" s="87"/>
      <x:c r="B693" s="88"/>
      <x:c r="D693" s="32"/>
      <x:c r="I693" s="74"/>
      <x:c r="J693" s="74"/>
      <x:c r="K693" s="74"/>
      <x:c r="L693" s="74"/>
      <x:c r="M693" s="74"/>
      <x:c r="N693" s="74"/>
      <x:c r="O693" s="91"/>
      <x:c r="P693" s="91"/>
      <x:c r="Q693" s="85"/>
      <x:c r="R693" s="85"/>
      <x:c r="S693" s="85"/>
      <x:c r="T693" s="85"/>
      <x:c r="U693" s="85"/>
      <x:c r="V693" s="85"/>
      <x:c r="W693" s="85"/>
      <x:c r="Y693" s="86"/>
      <x:c r="Z693" s="86"/>
      <x:c r="AA693" s="32"/>
    </x:row>
    <x:row r="694">
      <x:c r="A694" s="87"/>
      <x:c r="B694" s="88"/>
      <x:c r="D694" s="32"/>
      <x:c r="I694" s="74"/>
      <x:c r="J694" s="74"/>
      <x:c r="K694" s="74"/>
      <x:c r="L694" s="74"/>
      <x:c r="M694" s="74"/>
      <x:c r="N694" s="74"/>
      <x:c r="O694" s="91"/>
      <x:c r="P694" s="91"/>
      <x:c r="Q694" s="85"/>
      <x:c r="R694" s="85"/>
      <x:c r="S694" s="85"/>
      <x:c r="T694" s="85"/>
      <x:c r="U694" s="85"/>
      <x:c r="V694" s="85"/>
      <x:c r="W694" s="85"/>
      <x:c r="Y694" s="86"/>
      <x:c r="Z694" s="86"/>
      <x:c r="AA694" s="32"/>
    </x:row>
    <x:row r="695">
      <x:c r="A695" s="87"/>
      <x:c r="B695" s="88"/>
      <x:c r="D695" s="32"/>
      <x:c r="I695" s="74"/>
      <x:c r="J695" s="74"/>
      <x:c r="K695" s="74"/>
      <x:c r="L695" s="74"/>
      <x:c r="M695" s="74"/>
      <x:c r="N695" s="74"/>
      <x:c r="O695" s="91"/>
      <x:c r="P695" s="91"/>
      <x:c r="Q695" s="85"/>
      <x:c r="R695" s="85"/>
      <x:c r="S695" s="85"/>
      <x:c r="T695" s="85"/>
      <x:c r="U695" s="85"/>
      <x:c r="V695" s="85"/>
      <x:c r="W695" s="85"/>
      <x:c r="Y695" s="86"/>
      <x:c r="Z695" s="86"/>
      <x:c r="AA695" s="32"/>
    </x:row>
    <x:row r="696">
      <x:c r="A696" s="87"/>
      <x:c r="B696" s="88"/>
      <x:c r="D696" s="32"/>
      <x:c r="I696" s="74"/>
      <x:c r="J696" s="74"/>
      <x:c r="K696" s="74"/>
      <x:c r="L696" s="74"/>
      <x:c r="M696" s="74"/>
      <x:c r="N696" s="74"/>
      <x:c r="O696" s="91"/>
      <x:c r="P696" s="91"/>
      <x:c r="Q696" s="85"/>
      <x:c r="R696" s="85"/>
      <x:c r="S696" s="85"/>
      <x:c r="T696" s="85"/>
      <x:c r="U696" s="85"/>
      <x:c r="V696" s="85"/>
      <x:c r="W696" s="85"/>
      <x:c r="Y696" s="86"/>
      <x:c r="Z696" s="86"/>
      <x:c r="AA696" s="32"/>
    </x:row>
    <x:row r="697">
      <x:c r="A697" s="87"/>
      <x:c r="B697" s="88"/>
      <x:c r="D697" s="32"/>
      <x:c r="I697" s="74"/>
      <x:c r="J697" s="74"/>
      <x:c r="K697" s="74"/>
      <x:c r="L697" s="74"/>
      <x:c r="M697" s="74"/>
      <x:c r="N697" s="74"/>
      <x:c r="O697" s="91"/>
      <x:c r="P697" s="91"/>
      <x:c r="Q697" s="85"/>
      <x:c r="R697" s="85"/>
      <x:c r="S697" s="85"/>
      <x:c r="T697" s="85"/>
      <x:c r="U697" s="85"/>
      <x:c r="V697" s="85"/>
      <x:c r="W697" s="85"/>
      <x:c r="Y697" s="86"/>
      <x:c r="Z697" s="86"/>
      <x:c r="AA697" s="32"/>
    </x:row>
    <x:row r="698">
      <x:c r="A698" s="87"/>
      <x:c r="B698" s="88"/>
      <x:c r="D698" s="32"/>
      <x:c r="I698" s="74"/>
      <x:c r="J698" s="74"/>
      <x:c r="K698" s="74"/>
      <x:c r="L698" s="74"/>
      <x:c r="M698" s="74"/>
      <x:c r="N698" s="74"/>
      <x:c r="O698" s="91"/>
      <x:c r="P698" s="91"/>
      <x:c r="Q698" s="85"/>
      <x:c r="R698" s="85"/>
      <x:c r="S698" s="85"/>
      <x:c r="T698" s="85"/>
      <x:c r="U698" s="85"/>
      <x:c r="V698" s="85"/>
      <x:c r="W698" s="85"/>
      <x:c r="Y698" s="86"/>
      <x:c r="Z698" s="86"/>
      <x:c r="AA698" s="32"/>
    </x:row>
    <x:row r="699">
      <x:c r="A699" s="87"/>
      <x:c r="B699" s="88"/>
      <x:c r="D699" s="32"/>
      <x:c r="I699" s="74"/>
      <x:c r="J699" s="74"/>
      <x:c r="K699" s="74"/>
      <x:c r="L699" s="74"/>
      <x:c r="M699" s="74"/>
      <x:c r="N699" s="74"/>
      <x:c r="O699" s="91"/>
      <x:c r="P699" s="91"/>
      <x:c r="Q699" s="85"/>
      <x:c r="R699" s="85"/>
      <x:c r="S699" s="85"/>
      <x:c r="T699" s="85"/>
      <x:c r="U699" s="85"/>
      <x:c r="V699" s="85"/>
      <x:c r="W699" s="85"/>
      <x:c r="Y699" s="86"/>
      <x:c r="Z699" s="86"/>
      <x:c r="AA699" s="32"/>
    </x:row>
    <x:row r="700">
      <x:c r="A700" s="87"/>
      <x:c r="B700" s="88"/>
      <x:c r="D700" s="32"/>
      <x:c r="I700" s="74"/>
      <x:c r="J700" s="74"/>
      <x:c r="K700" s="74"/>
      <x:c r="L700" s="74"/>
      <x:c r="M700" s="74"/>
      <x:c r="N700" s="74"/>
      <x:c r="O700" s="91"/>
      <x:c r="P700" s="91"/>
      <x:c r="Q700" s="85"/>
      <x:c r="R700" s="85"/>
      <x:c r="S700" s="85"/>
      <x:c r="T700" s="85"/>
      <x:c r="U700" s="85"/>
      <x:c r="V700" s="85"/>
      <x:c r="W700" s="85"/>
      <x:c r="Y700" s="86"/>
      <x:c r="Z700" s="86"/>
      <x:c r="AA700" s="32"/>
    </x:row>
    <x:row r="701">
      <x:c r="A701" s="87"/>
      <x:c r="B701" s="88"/>
      <x:c r="D701" s="32"/>
      <x:c r="I701" s="74"/>
      <x:c r="J701" s="74"/>
      <x:c r="K701" s="74"/>
      <x:c r="L701" s="74"/>
      <x:c r="M701" s="74"/>
      <x:c r="N701" s="74"/>
      <x:c r="O701" s="91"/>
      <x:c r="P701" s="91"/>
      <x:c r="Q701" s="85"/>
      <x:c r="R701" s="85"/>
      <x:c r="S701" s="85"/>
      <x:c r="T701" s="85"/>
      <x:c r="U701" s="85"/>
      <x:c r="V701" s="85"/>
      <x:c r="W701" s="85"/>
      <x:c r="Y701" s="86"/>
      <x:c r="Z701" s="86"/>
      <x:c r="AA701" s="32"/>
    </x:row>
    <x:row r="702">
      <x:c r="A702" s="87"/>
      <x:c r="B702" s="88"/>
      <x:c r="D702" s="32"/>
      <x:c r="I702" s="74"/>
      <x:c r="J702" s="74"/>
      <x:c r="K702" s="74"/>
      <x:c r="L702" s="74"/>
      <x:c r="M702" s="74"/>
      <x:c r="N702" s="74"/>
      <x:c r="O702" s="91"/>
      <x:c r="P702" s="91"/>
      <x:c r="Q702" s="85"/>
      <x:c r="R702" s="85"/>
      <x:c r="S702" s="85"/>
      <x:c r="T702" s="85"/>
      <x:c r="U702" s="85"/>
      <x:c r="V702" s="85"/>
      <x:c r="W702" s="85"/>
      <x:c r="Y702" s="86"/>
      <x:c r="Z702" s="86"/>
      <x:c r="AA702" s="32"/>
    </x:row>
    <x:row r="703">
      <x:c r="A703" s="87"/>
      <x:c r="B703" s="88"/>
      <x:c r="D703" s="32"/>
      <x:c r="I703" s="74"/>
      <x:c r="J703" s="74"/>
      <x:c r="K703" s="74"/>
      <x:c r="L703" s="74"/>
      <x:c r="M703" s="74"/>
      <x:c r="N703" s="74"/>
      <x:c r="O703" s="91"/>
      <x:c r="P703" s="91"/>
      <x:c r="Q703" s="85"/>
      <x:c r="R703" s="85"/>
      <x:c r="S703" s="85"/>
      <x:c r="T703" s="85"/>
      <x:c r="U703" s="85"/>
      <x:c r="V703" s="85"/>
      <x:c r="W703" s="85"/>
      <x:c r="Y703" s="86"/>
      <x:c r="Z703" s="86"/>
      <x:c r="AA703" s="32"/>
    </x:row>
    <x:row r="704">
      <x:c r="A704" s="87"/>
      <x:c r="B704" s="88"/>
      <x:c r="D704" s="32"/>
      <x:c r="I704" s="74"/>
      <x:c r="J704" s="74"/>
      <x:c r="K704" s="74"/>
      <x:c r="L704" s="74"/>
      <x:c r="M704" s="74"/>
      <x:c r="N704" s="74"/>
      <x:c r="O704" s="91"/>
      <x:c r="P704" s="91"/>
      <x:c r="Q704" s="85"/>
      <x:c r="R704" s="85"/>
      <x:c r="S704" s="85"/>
      <x:c r="T704" s="85"/>
      <x:c r="U704" s="85"/>
      <x:c r="V704" s="85"/>
      <x:c r="W704" s="85"/>
      <x:c r="Y704" s="86"/>
      <x:c r="Z704" s="86"/>
      <x:c r="AA704" s="32"/>
    </x:row>
    <x:row r="705">
      <x:c r="A705" s="87"/>
      <x:c r="B705" s="88"/>
      <x:c r="D705" s="32"/>
      <x:c r="I705" s="74"/>
      <x:c r="J705" s="74"/>
      <x:c r="K705" s="74"/>
      <x:c r="L705" s="74"/>
      <x:c r="M705" s="74"/>
      <x:c r="N705" s="74"/>
      <x:c r="O705" s="91"/>
      <x:c r="P705" s="91"/>
      <x:c r="Q705" s="85"/>
      <x:c r="R705" s="85"/>
      <x:c r="S705" s="85"/>
      <x:c r="T705" s="85"/>
      <x:c r="U705" s="85"/>
      <x:c r="V705" s="85"/>
      <x:c r="W705" s="85"/>
      <x:c r="Y705" s="86"/>
      <x:c r="Z705" s="86"/>
      <x:c r="AA705" s="32"/>
    </x:row>
    <x:row r="706">
      <x:c r="A706" s="87"/>
      <x:c r="B706" s="88"/>
      <x:c r="D706" s="32"/>
      <x:c r="I706" s="74"/>
      <x:c r="J706" s="74"/>
      <x:c r="K706" s="74"/>
      <x:c r="L706" s="74"/>
      <x:c r="M706" s="74"/>
      <x:c r="N706" s="74"/>
      <x:c r="O706" s="91"/>
      <x:c r="P706" s="91"/>
      <x:c r="Q706" s="85"/>
      <x:c r="R706" s="85"/>
      <x:c r="S706" s="85"/>
      <x:c r="T706" s="85"/>
      <x:c r="U706" s="85"/>
      <x:c r="V706" s="85"/>
      <x:c r="W706" s="85"/>
      <x:c r="Y706" s="86"/>
      <x:c r="Z706" s="86"/>
      <x:c r="AA706" s="32"/>
    </x:row>
    <x:row r="707">
      <x:c r="A707" s="87"/>
      <x:c r="B707" s="88"/>
      <x:c r="D707" s="32"/>
      <x:c r="I707" s="74"/>
      <x:c r="J707" s="74"/>
      <x:c r="K707" s="74"/>
      <x:c r="L707" s="74"/>
      <x:c r="M707" s="74"/>
      <x:c r="N707" s="74"/>
      <x:c r="O707" s="91"/>
      <x:c r="P707" s="91"/>
      <x:c r="Q707" s="85"/>
      <x:c r="R707" s="85"/>
      <x:c r="S707" s="85"/>
      <x:c r="T707" s="85"/>
      <x:c r="U707" s="85"/>
      <x:c r="V707" s="85"/>
      <x:c r="W707" s="85"/>
      <x:c r="Y707" s="86"/>
      <x:c r="Z707" s="86"/>
      <x:c r="AA707" s="32"/>
    </x:row>
    <x:row r="708">
      <x:c r="A708" s="87"/>
      <x:c r="B708" s="88"/>
      <x:c r="D708" s="32"/>
      <x:c r="I708" s="74"/>
      <x:c r="J708" s="74"/>
      <x:c r="K708" s="74"/>
      <x:c r="L708" s="74"/>
      <x:c r="M708" s="74"/>
      <x:c r="N708" s="74"/>
      <x:c r="O708" s="91"/>
      <x:c r="P708" s="91"/>
      <x:c r="Q708" s="85"/>
      <x:c r="R708" s="85"/>
      <x:c r="S708" s="85"/>
      <x:c r="T708" s="85"/>
      <x:c r="U708" s="85"/>
      <x:c r="V708" s="85"/>
      <x:c r="W708" s="85"/>
      <x:c r="Y708" s="86"/>
      <x:c r="Z708" s="86"/>
      <x:c r="AA708" s="32"/>
    </x:row>
    <x:row r="709">
      <x:c r="A709" s="87"/>
      <x:c r="B709" s="88"/>
      <x:c r="D709" s="32"/>
      <x:c r="I709" s="74"/>
      <x:c r="J709" s="74"/>
      <x:c r="K709" s="74"/>
      <x:c r="L709" s="74"/>
      <x:c r="M709" s="74"/>
      <x:c r="N709" s="74"/>
      <x:c r="O709" s="91"/>
      <x:c r="P709" s="91"/>
      <x:c r="Q709" s="85"/>
      <x:c r="R709" s="85"/>
      <x:c r="S709" s="85"/>
      <x:c r="T709" s="85"/>
      <x:c r="U709" s="85"/>
      <x:c r="V709" s="85"/>
      <x:c r="W709" s="85"/>
      <x:c r="Y709" s="86"/>
      <x:c r="Z709" s="86"/>
      <x:c r="AA709" s="32"/>
    </x:row>
    <x:row r="710">
      <x:c r="A710" s="87"/>
      <x:c r="B710" s="88"/>
      <x:c r="D710" s="32"/>
      <x:c r="I710" s="74"/>
      <x:c r="J710" s="74"/>
      <x:c r="K710" s="74"/>
      <x:c r="L710" s="74"/>
      <x:c r="M710" s="74"/>
      <x:c r="N710" s="74"/>
      <x:c r="O710" s="91"/>
      <x:c r="P710" s="91"/>
      <x:c r="Q710" s="85"/>
      <x:c r="R710" s="85"/>
      <x:c r="S710" s="85"/>
      <x:c r="T710" s="85"/>
      <x:c r="U710" s="85"/>
      <x:c r="V710" s="85"/>
      <x:c r="W710" s="85"/>
      <x:c r="Y710" s="86"/>
      <x:c r="Z710" s="86"/>
      <x:c r="AA710" s="32"/>
    </x:row>
    <x:row r="711">
      <x:c r="A711" s="87"/>
      <x:c r="B711" s="88"/>
      <x:c r="D711" s="32"/>
      <x:c r="I711" s="74"/>
      <x:c r="J711" s="74"/>
      <x:c r="K711" s="74"/>
      <x:c r="L711" s="74"/>
      <x:c r="M711" s="74"/>
      <x:c r="N711" s="74"/>
      <x:c r="O711" s="91"/>
      <x:c r="P711" s="91"/>
      <x:c r="Q711" s="85"/>
      <x:c r="R711" s="85"/>
      <x:c r="S711" s="85"/>
      <x:c r="T711" s="85"/>
      <x:c r="U711" s="85"/>
      <x:c r="V711" s="85"/>
      <x:c r="W711" s="85"/>
      <x:c r="Y711" s="86"/>
      <x:c r="Z711" s="86"/>
      <x:c r="AA711" s="32"/>
    </x:row>
    <x:row r="712">
      <x:c r="A712" s="87"/>
      <x:c r="B712" s="88"/>
      <x:c r="D712" s="32"/>
      <x:c r="I712" s="74"/>
      <x:c r="J712" s="74"/>
      <x:c r="K712" s="74"/>
      <x:c r="L712" s="74"/>
      <x:c r="M712" s="74"/>
      <x:c r="N712" s="74"/>
      <x:c r="O712" s="91"/>
      <x:c r="P712" s="91"/>
      <x:c r="Q712" s="85"/>
      <x:c r="R712" s="85"/>
      <x:c r="S712" s="85"/>
      <x:c r="T712" s="85"/>
      <x:c r="U712" s="85"/>
      <x:c r="V712" s="85"/>
      <x:c r="W712" s="85"/>
      <x:c r="Y712" s="86"/>
      <x:c r="Z712" s="86"/>
      <x:c r="AA712" s="32"/>
    </x:row>
    <x:row r="713">
      <x:c r="A713" s="87"/>
      <x:c r="B713" s="88"/>
      <x:c r="D713" s="32"/>
      <x:c r="I713" s="74"/>
      <x:c r="J713" s="74"/>
      <x:c r="K713" s="74"/>
      <x:c r="L713" s="74"/>
      <x:c r="M713" s="74"/>
      <x:c r="N713" s="74"/>
      <x:c r="O713" s="91"/>
      <x:c r="P713" s="91"/>
      <x:c r="Q713" s="85"/>
      <x:c r="R713" s="85"/>
      <x:c r="S713" s="85"/>
      <x:c r="T713" s="85"/>
      <x:c r="U713" s="85"/>
      <x:c r="V713" s="85"/>
      <x:c r="W713" s="85"/>
      <x:c r="Y713" s="86"/>
      <x:c r="Z713" s="86"/>
      <x:c r="AA713" s="32"/>
    </x:row>
    <x:row r="714">
      <x:c r="A714" s="87"/>
      <x:c r="B714" s="88"/>
      <x:c r="D714" s="32"/>
      <x:c r="I714" s="74"/>
      <x:c r="J714" s="74"/>
      <x:c r="K714" s="74"/>
      <x:c r="L714" s="74"/>
      <x:c r="M714" s="74"/>
      <x:c r="N714" s="74"/>
      <x:c r="O714" s="91"/>
      <x:c r="P714" s="91"/>
      <x:c r="Q714" s="85"/>
      <x:c r="R714" s="85"/>
      <x:c r="S714" s="85"/>
      <x:c r="T714" s="85"/>
      <x:c r="U714" s="85"/>
      <x:c r="V714" s="85"/>
      <x:c r="W714" s="85"/>
      <x:c r="Y714" s="86"/>
      <x:c r="Z714" s="86"/>
      <x:c r="AA714" s="32"/>
    </x:row>
    <x:row r="715">
      <x:c r="A715" s="87"/>
      <x:c r="B715" s="88"/>
      <x:c r="D715" s="32"/>
      <x:c r="I715" s="74"/>
      <x:c r="J715" s="74"/>
      <x:c r="K715" s="74"/>
      <x:c r="L715" s="74"/>
      <x:c r="M715" s="74"/>
      <x:c r="N715" s="74"/>
      <x:c r="O715" s="91"/>
      <x:c r="P715" s="91"/>
      <x:c r="Q715" s="85"/>
      <x:c r="R715" s="85"/>
      <x:c r="S715" s="85"/>
      <x:c r="T715" s="85"/>
      <x:c r="U715" s="85"/>
      <x:c r="V715" s="85"/>
      <x:c r="W715" s="85"/>
      <x:c r="Y715" s="86"/>
      <x:c r="Z715" s="86"/>
      <x:c r="AA715" s="32"/>
    </x:row>
    <x:row r="716">
      <x:c r="A716" s="87"/>
      <x:c r="B716" s="88"/>
      <x:c r="D716" s="32"/>
      <x:c r="I716" s="74"/>
      <x:c r="J716" s="74"/>
      <x:c r="K716" s="74"/>
      <x:c r="L716" s="74"/>
      <x:c r="M716" s="74"/>
      <x:c r="N716" s="74"/>
      <x:c r="O716" s="91"/>
      <x:c r="P716" s="91"/>
      <x:c r="Q716" s="85"/>
      <x:c r="R716" s="85"/>
      <x:c r="S716" s="85"/>
      <x:c r="T716" s="85"/>
      <x:c r="U716" s="85"/>
      <x:c r="V716" s="85"/>
      <x:c r="W716" s="85"/>
      <x:c r="Y716" s="86"/>
      <x:c r="Z716" s="86"/>
      <x:c r="AA716" s="32"/>
    </x:row>
    <x:row r="717">
      <x:c r="A717" s="87"/>
      <x:c r="B717" s="88"/>
      <x:c r="D717" s="32"/>
      <x:c r="I717" s="74"/>
      <x:c r="J717" s="74"/>
      <x:c r="K717" s="74"/>
      <x:c r="L717" s="74"/>
      <x:c r="M717" s="74"/>
      <x:c r="N717" s="74"/>
      <x:c r="O717" s="91"/>
      <x:c r="P717" s="91"/>
      <x:c r="Q717" s="85"/>
      <x:c r="R717" s="85"/>
      <x:c r="S717" s="85"/>
      <x:c r="T717" s="85"/>
      <x:c r="U717" s="85"/>
      <x:c r="V717" s="85"/>
      <x:c r="W717" s="85"/>
      <x:c r="Y717" s="86"/>
      <x:c r="Z717" s="86"/>
      <x:c r="AA717" s="32"/>
    </x:row>
    <x:row r="718">
      <x:c r="A718" s="87"/>
      <x:c r="B718" s="88"/>
      <x:c r="D718" s="32"/>
      <x:c r="I718" s="74"/>
      <x:c r="J718" s="74"/>
      <x:c r="K718" s="74"/>
      <x:c r="L718" s="74"/>
      <x:c r="M718" s="74"/>
      <x:c r="N718" s="74"/>
      <x:c r="O718" s="91"/>
      <x:c r="P718" s="91"/>
      <x:c r="Q718" s="85"/>
      <x:c r="R718" s="85"/>
      <x:c r="S718" s="85"/>
      <x:c r="T718" s="85"/>
      <x:c r="U718" s="85"/>
      <x:c r="V718" s="85"/>
      <x:c r="W718" s="85"/>
      <x:c r="Y718" s="86"/>
      <x:c r="Z718" s="86"/>
      <x:c r="AA718" s="32"/>
    </x:row>
    <x:row r="719">
      <x:c r="A719" s="87"/>
      <x:c r="B719" s="88"/>
      <x:c r="D719" s="32"/>
      <x:c r="I719" s="74"/>
      <x:c r="J719" s="74"/>
      <x:c r="K719" s="74"/>
      <x:c r="L719" s="74"/>
      <x:c r="M719" s="74"/>
      <x:c r="N719" s="74"/>
      <x:c r="O719" s="91"/>
      <x:c r="P719" s="91"/>
      <x:c r="Q719" s="85"/>
      <x:c r="R719" s="85"/>
      <x:c r="S719" s="85"/>
      <x:c r="T719" s="85"/>
      <x:c r="U719" s="85"/>
      <x:c r="V719" s="85"/>
      <x:c r="W719" s="85"/>
      <x:c r="Y719" s="86"/>
      <x:c r="Z719" s="86"/>
      <x:c r="AA719" s="32"/>
    </x:row>
    <x:row r="720">
      <x:c r="A720" s="87"/>
      <x:c r="B720" s="88"/>
      <x:c r="D720" s="32"/>
      <x:c r="I720" s="74"/>
      <x:c r="J720" s="74"/>
      <x:c r="K720" s="74"/>
      <x:c r="L720" s="74"/>
      <x:c r="M720" s="74"/>
      <x:c r="N720" s="74"/>
      <x:c r="O720" s="91"/>
      <x:c r="P720" s="91"/>
      <x:c r="Q720" s="85"/>
      <x:c r="R720" s="85"/>
      <x:c r="S720" s="85"/>
      <x:c r="T720" s="85"/>
      <x:c r="U720" s="85"/>
      <x:c r="V720" s="85"/>
      <x:c r="W720" s="85"/>
      <x:c r="Y720" s="86"/>
      <x:c r="Z720" s="86"/>
      <x:c r="AA720" s="32"/>
    </x:row>
    <x:row r="721">
      <x:c r="A721" s="87"/>
      <x:c r="B721" s="88"/>
      <x:c r="D721" s="32"/>
      <x:c r="I721" s="74"/>
      <x:c r="J721" s="74"/>
      <x:c r="K721" s="74"/>
      <x:c r="L721" s="74"/>
      <x:c r="M721" s="74"/>
      <x:c r="N721" s="74"/>
      <x:c r="O721" s="91"/>
      <x:c r="P721" s="91"/>
      <x:c r="Q721" s="85"/>
      <x:c r="R721" s="85"/>
      <x:c r="S721" s="85"/>
      <x:c r="T721" s="85"/>
      <x:c r="U721" s="85"/>
      <x:c r="V721" s="85"/>
      <x:c r="W721" s="85"/>
      <x:c r="Y721" s="86"/>
      <x:c r="Z721" s="86"/>
      <x:c r="AA721" s="32"/>
    </x:row>
    <x:row r="722">
      <x:c r="A722" s="87"/>
      <x:c r="B722" s="88"/>
      <x:c r="D722" s="32"/>
      <x:c r="I722" s="74"/>
      <x:c r="J722" s="74"/>
      <x:c r="K722" s="74"/>
      <x:c r="L722" s="74"/>
      <x:c r="M722" s="74"/>
      <x:c r="N722" s="74"/>
      <x:c r="O722" s="91"/>
      <x:c r="P722" s="91"/>
      <x:c r="Q722" s="85"/>
      <x:c r="R722" s="85"/>
      <x:c r="S722" s="85"/>
      <x:c r="T722" s="85"/>
      <x:c r="U722" s="85"/>
      <x:c r="V722" s="85"/>
      <x:c r="W722" s="85"/>
      <x:c r="Y722" s="86"/>
      <x:c r="Z722" s="86"/>
      <x:c r="AA722" s="32"/>
    </x:row>
    <x:row r="723">
      <x:c r="A723" s="87"/>
      <x:c r="B723" s="88"/>
      <x:c r="D723" s="32"/>
      <x:c r="I723" s="74"/>
      <x:c r="J723" s="74"/>
      <x:c r="K723" s="74"/>
      <x:c r="L723" s="74"/>
      <x:c r="M723" s="74"/>
      <x:c r="N723" s="74"/>
      <x:c r="O723" s="91"/>
      <x:c r="P723" s="91"/>
      <x:c r="Q723" s="85"/>
      <x:c r="R723" s="85"/>
      <x:c r="S723" s="85"/>
      <x:c r="T723" s="85"/>
      <x:c r="U723" s="85"/>
      <x:c r="V723" s="85"/>
      <x:c r="W723" s="85"/>
      <x:c r="Y723" s="86"/>
      <x:c r="Z723" s="86"/>
      <x:c r="AA723" s="32"/>
    </x:row>
    <x:row r="724">
      <x:c r="A724" s="87"/>
      <x:c r="B724" s="88"/>
      <x:c r="D724" s="32"/>
      <x:c r="I724" s="74"/>
      <x:c r="J724" s="74"/>
      <x:c r="K724" s="74"/>
      <x:c r="L724" s="74"/>
      <x:c r="M724" s="74"/>
      <x:c r="N724" s="74"/>
      <x:c r="O724" s="91"/>
      <x:c r="P724" s="91"/>
      <x:c r="Q724" s="85"/>
      <x:c r="R724" s="85"/>
      <x:c r="S724" s="85"/>
      <x:c r="T724" s="85"/>
      <x:c r="U724" s="85"/>
      <x:c r="V724" s="85"/>
      <x:c r="W724" s="85"/>
      <x:c r="Y724" s="86"/>
      <x:c r="Z724" s="86"/>
      <x:c r="AA724" s="32"/>
    </x:row>
    <x:row r="725">
      <x:c r="A725" s="87"/>
      <x:c r="B725" s="88"/>
      <x:c r="D725" s="32"/>
      <x:c r="I725" s="74"/>
      <x:c r="J725" s="74"/>
      <x:c r="K725" s="74"/>
      <x:c r="L725" s="74"/>
      <x:c r="M725" s="74"/>
      <x:c r="N725" s="74"/>
      <x:c r="O725" s="91"/>
      <x:c r="P725" s="91"/>
      <x:c r="Q725" s="85"/>
      <x:c r="R725" s="85"/>
      <x:c r="S725" s="85"/>
      <x:c r="T725" s="85"/>
      <x:c r="U725" s="85"/>
      <x:c r="V725" s="85"/>
      <x:c r="W725" s="85"/>
      <x:c r="Y725" s="86"/>
      <x:c r="Z725" s="86"/>
      <x:c r="AA725" s="32"/>
    </x:row>
    <x:row r="726">
      <x:c r="A726" s="87"/>
      <x:c r="B726" s="88"/>
      <x:c r="D726" s="32"/>
      <x:c r="I726" s="74"/>
      <x:c r="J726" s="74"/>
      <x:c r="K726" s="74"/>
      <x:c r="L726" s="74"/>
      <x:c r="M726" s="74"/>
      <x:c r="N726" s="74"/>
      <x:c r="O726" s="91"/>
      <x:c r="P726" s="91"/>
      <x:c r="Q726" s="85"/>
      <x:c r="R726" s="85"/>
      <x:c r="S726" s="85"/>
      <x:c r="T726" s="85"/>
      <x:c r="U726" s="85"/>
      <x:c r="V726" s="85"/>
      <x:c r="W726" s="85"/>
      <x:c r="Y726" s="86"/>
      <x:c r="Z726" s="86"/>
      <x:c r="AA726" s="32"/>
    </x:row>
    <x:row r="727">
      <x:c r="A727" s="87"/>
      <x:c r="B727" s="88"/>
      <x:c r="D727" s="32"/>
      <x:c r="I727" s="74"/>
      <x:c r="J727" s="74"/>
      <x:c r="K727" s="74"/>
      <x:c r="L727" s="74"/>
      <x:c r="M727" s="74"/>
      <x:c r="N727" s="74"/>
      <x:c r="O727" s="91"/>
      <x:c r="P727" s="91"/>
      <x:c r="Q727" s="85"/>
      <x:c r="R727" s="85"/>
      <x:c r="S727" s="85"/>
      <x:c r="T727" s="85"/>
      <x:c r="U727" s="85"/>
      <x:c r="V727" s="85"/>
      <x:c r="W727" s="85"/>
      <x:c r="Y727" s="86"/>
      <x:c r="Z727" s="86"/>
      <x:c r="AA727" s="32"/>
    </x:row>
    <x:row r="728">
      <x:c r="A728" s="87"/>
      <x:c r="B728" s="88"/>
      <x:c r="D728" s="32"/>
      <x:c r="I728" s="74"/>
      <x:c r="J728" s="74"/>
      <x:c r="K728" s="74"/>
      <x:c r="L728" s="74"/>
      <x:c r="M728" s="74"/>
      <x:c r="N728" s="74"/>
      <x:c r="O728" s="91"/>
      <x:c r="P728" s="91"/>
      <x:c r="Q728" s="85"/>
      <x:c r="R728" s="85"/>
      <x:c r="S728" s="85"/>
      <x:c r="T728" s="85"/>
      <x:c r="U728" s="85"/>
      <x:c r="V728" s="85"/>
      <x:c r="W728" s="85"/>
      <x:c r="Y728" s="86"/>
      <x:c r="Z728" s="86"/>
      <x:c r="AA728" s="32"/>
    </x:row>
    <x:row r="729">
      <x:c r="A729" s="87"/>
      <x:c r="B729" s="88"/>
      <x:c r="D729" s="32"/>
      <x:c r="I729" s="74"/>
      <x:c r="J729" s="74"/>
      <x:c r="K729" s="74"/>
      <x:c r="L729" s="74"/>
      <x:c r="M729" s="74"/>
      <x:c r="N729" s="74"/>
      <x:c r="O729" s="91"/>
      <x:c r="P729" s="91"/>
      <x:c r="Q729" s="85"/>
      <x:c r="R729" s="85"/>
      <x:c r="S729" s="85"/>
      <x:c r="T729" s="85"/>
      <x:c r="U729" s="85"/>
      <x:c r="V729" s="85"/>
      <x:c r="W729" s="85"/>
      <x:c r="Y729" s="86"/>
      <x:c r="Z729" s="86"/>
      <x:c r="AA729" s="32"/>
    </x:row>
    <x:row r="730">
      <x:c r="A730" s="87"/>
      <x:c r="B730" s="88"/>
      <x:c r="D730" s="32"/>
      <x:c r="I730" s="74"/>
      <x:c r="J730" s="74"/>
      <x:c r="K730" s="74"/>
      <x:c r="L730" s="74"/>
      <x:c r="M730" s="74"/>
      <x:c r="N730" s="74"/>
      <x:c r="O730" s="91"/>
      <x:c r="P730" s="91"/>
      <x:c r="Q730" s="85"/>
      <x:c r="R730" s="85"/>
      <x:c r="S730" s="85"/>
      <x:c r="T730" s="85"/>
      <x:c r="U730" s="85"/>
      <x:c r="V730" s="85"/>
      <x:c r="W730" s="85"/>
      <x:c r="Y730" s="86"/>
      <x:c r="Z730" s="86"/>
      <x:c r="AA730" s="32"/>
    </x:row>
    <x:row r="731">
      <x:c r="A731" s="87"/>
      <x:c r="B731" s="88"/>
      <x:c r="D731" s="32"/>
      <x:c r="I731" s="74"/>
      <x:c r="J731" s="74"/>
      <x:c r="K731" s="74"/>
      <x:c r="L731" s="74"/>
      <x:c r="M731" s="74"/>
      <x:c r="N731" s="74"/>
      <x:c r="O731" s="91"/>
      <x:c r="P731" s="91"/>
      <x:c r="Q731" s="85"/>
      <x:c r="R731" s="85"/>
      <x:c r="S731" s="85"/>
      <x:c r="T731" s="85"/>
      <x:c r="U731" s="85"/>
      <x:c r="V731" s="85"/>
      <x:c r="W731" s="85"/>
      <x:c r="Y731" s="86"/>
      <x:c r="Z731" s="86"/>
      <x:c r="AA731" s="32"/>
    </x:row>
    <x:row r="732">
      <x:c r="A732" s="87"/>
      <x:c r="B732" s="88"/>
      <x:c r="D732" s="32"/>
      <x:c r="I732" s="74"/>
      <x:c r="J732" s="74"/>
      <x:c r="K732" s="74"/>
      <x:c r="L732" s="74"/>
      <x:c r="M732" s="74"/>
      <x:c r="N732" s="74"/>
      <x:c r="O732" s="91"/>
      <x:c r="P732" s="91"/>
      <x:c r="Q732" s="85"/>
      <x:c r="R732" s="85"/>
      <x:c r="S732" s="85"/>
      <x:c r="T732" s="85"/>
      <x:c r="U732" s="85"/>
      <x:c r="V732" s="85"/>
      <x:c r="W732" s="85"/>
      <x:c r="Y732" s="86"/>
      <x:c r="Z732" s="86"/>
      <x:c r="AA732" s="32"/>
    </x:row>
    <x:row r="733">
      <x:c r="A733" s="87"/>
      <x:c r="B733" s="88"/>
      <x:c r="D733" s="32"/>
      <x:c r="I733" s="74"/>
      <x:c r="J733" s="74"/>
      <x:c r="K733" s="74"/>
      <x:c r="L733" s="74"/>
      <x:c r="M733" s="74"/>
      <x:c r="N733" s="74"/>
      <x:c r="O733" s="91"/>
      <x:c r="P733" s="91"/>
      <x:c r="Q733" s="85"/>
      <x:c r="R733" s="85"/>
      <x:c r="S733" s="85"/>
      <x:c r="T733" s="85"/>
      <x:c r="U733" s="85"/>
      <x:c r="V733" s="85"/>
      <x:c r="W733" s="85"/>
      <x:c r="Y733" s="86"/>
      <x:c r="Z733" s="86"/>
      <x:c r="AA733" s="32"/>
    </x:row>
    <x:row r="734">
      <x:c r="A734" s="87"/>
      <x:c r="B734" s="88"/>
      <x:c r="D734" s="32"/>
      <x:c r="I734" s="74"/>
      <x:c r="J734" s="74"/>
      <x:c r="K734" s="74"/>
      <x:c r="L734" s="74"/>
      <x:c r="M734" s="74"/>
      <x:c r="N734" s="74"/>
      <x:c r="O734" s="91"/>
      <x:c r="P734" s="91"/>
      <x:c r="Q734" s="85"/>
      <x:c r="R734" s="85"/>
      <x:c r="S734" s="85"/>
      <x:c r="T734" s="85"/>
      <x:c r="U734" s="85"/>
      <x:c r="V734" s="85"/>
      <x:c r="W734" s="85"/>
      <x:c r="Y734" s="86"/>
      <x:c r="Z734" s="86"/>
      <x:c r="AA734" s="32"/>
    </x:row>
    <x:row r="735">
      <x:c r="A735" s="87"/>
      <x:c r="B735" s="88"/>
      <x:c r="D735" s="32"/>
      <x:c r="I735" s="74"/>
      <x:c r="J735" s="74"/>
      <x:c r="K735" s="74"/>
      <x:c r="L735" s="74"/>
      <x:c r="M735" s="74"/>
      <x:c r="N735" s="74"/>
      <x:c r="O735" s="91"/>
      <x:c r="P735" s="91"/>
      <x:c r="Q735" s="85"/>
      <x:c r="R735" s="85"/>
      <x:c r="S735" s="85"/>
      <x:c r="T735" s="85"/>
      <x:c r="U735" s="85"/>
      <x:c r="V735" s="85"/>
      <x:c r="W735" s="85"/>
      <x:c r="Y735" s="86"/>
      <x:c r="Z735" s="86"/>
      <x:c r="AA735" s="32"/>
    </x:row>
    <x:row r="736">
      <x:c r="A736" s="87"/>
      <x:c r="B736" s="88"/>
      <x:c r="D736" s="32"/>
      <x:c r="I736" s="74"/>
      <x:c r="J736" s="74"/>
      <x:c r="K736" s="74"/>
      <x:c r="L736" s="74"/>
      <x:c r="M736" s="74"/>
      <x:c r="N736" s="74"/>
      <x:c r="O736" s="91"/>
      <x:c r="P736" s="91"/>
      <x:c r="Q736" s="85"/>
      <x:c r="R736" s="85"/>
      <x:c r="S736" s="85"/>
      <x:c r="T736" s="85"/>
      <x:c r="U736" s="85"/>
      <x:c r="V736" s="85"/>
      <x:c r="W736" s="85"/>
      <x:c r="Y736" s="86"/>
      <x:c r="Z736" s="86"/>
      <x:c r="AA736" s="32"/>
    </x:row>
    <x:row r="737">
      <x:c r="A737" s="87"/>
      <x:c r="B737" s="88"/>
      <x:c r="D737" s="32"/>
      <x:c r="I737" s="74"/>
      <x:c r="J737" s="74"/>
      <x:c r="K737" s="74"/>
      <x:c r="L737" s="74"/>
      <x:c r="M737" s="74"/>
      <x:c r="N737" s="74"/>
      <x:c r="O737" s="91"/>
      <x:c r="P737" s="91"/>
      <x:c r="Q737" s="85"/>
      <x:c r="R737" s="85"/>
      <x:c r="S737" s="85"/>
      <x:c r="T737" s="85"/>
      <x:c r="U737" s="85"/>
      <x:c r="V737" s="85"/>
      <x:c r="W737" s="85"/>
      <x:c r="Y737" s="86"/>
      <x:c r="Z737" s="86"/>
      <x:c r="AA737" s="32"/>
    </x:row>
    <x:row r="738">
      <x:c r="A738" s="87"/>
      <x:c r="B738" s="88"/>
      <x:c r="D738" s="32"/>
      <x:c r="I738" s="74"/>
      <x:c r="J738" s="74"/>
      <x:c r="K738" s="74"/>
      <x:c r="L738" s="74"/>
      <x:c r="M738" s="74"/>
      <x:c r="N738" s="74"/>
      <x:c r="O738" s="91"/>
      <x:c r="P738" s="91"/>
      <x:c r="Q738" s="85"/>
      <x:c r="R738" s="85"/>
      <x:c r="S738" s="85"/>
      <x:c r="T738" s="85"/>
      <x:c r="U738" s="85"/>
      <x:c r="V738" s="85"/>
      <x:c r="W738" s="85"/>
      <x:c r="Y738" s="86"/>
      <x:c r="Z738" s="86"/>
      <x:c r="AA738" s="32"/>
    </x:row>
    <x:row r="739">
      <x:c r="A739" s="87"/>
      <x:c r="B739" s="88"/>
      <x:c r="D739" s="32"/>
      <x:c r="I739" s="74"/>
      <x:c r="J739" s="74"/>
      <x:c r="K739" s="74"/>
      <x:c r="L739" s="74"/>
      <x:c r="M739" s="74"/>
      <x:c r="N739" s="74"/>
      <x:c r="O739" s="91"/>
      <x:c r="P739" s="91"/>
      <x:c r="Q739" s="85"/>
      <x:c r="R739" s="85"/>
      <x:c r="S739" s="85"/>
      <x:c r="T739" s="85"/>
      <x:c r="U739" s="85"/>
      <x:c r="V739" s="85"/>
      <x:c r="W739" s="85"/>
      <x:c r="Y739" s="86"/>
      <x:c r="Z739" s="86"/>
      <x:c r="AA739" s="32"/>
    </x:row>
    <x:row r="740">
      <x:c r="A740" s="87"/>
      <x:c r="B740" s="88"/>
      <x:c r="D740" s="32"/>
      <x:c r="I740" s="74"/>
      <x:c r="J740" s="74"/>
      <x:c r="K740" s="74"/>
      <x:c r="L740" s="74"/>
      <x:c r="M740" s="74"/>
      <x:c r="N740" s="74"/>
      <x:c r="O740" s="91"/>
      <x:c r="P740" s="91"/>
      <x:c r="Q740" s="85"/>
      <x:c r="R740" s="85"/>
      <x:c r="S740" s="85"/>
      <x:c r="T740" s="85"/>
      <x:c r="U740" s="85"/>
      <x:c r="V740" s="85"/>
      <x:c r="W740" s="85"/>
      <x:c r="Y740" s="86"/>
      <x:c r="Z740" s="86"/>
      <x:c r="AA740" s="32"/>
    </x:row>
    <x:row r="741">
      <x:c r="A741" s="87"/>
      <x:c r="B741" s="88"/>
      <x:c r="D741" s="32"/>
      <x:c r="I741" s="74"/>
      <x:c r="J741" s="74"/>
      <x:c r="K741" s="74"/>
      <x:c r="L741" s="74"/>
      <x:c r="M741" s="74"/>
      <x:c r="N741" s="74"/>
      <x:c r="O741" s="91"/>
      <x:c r="P741" s="91"/>
      <x:c r="Q741" s="85"/>
      <x:c r="R741" s="85"/>
      <x:c r="S741" s="85"/>
      <x:c r="T741" s="85"/>
      <x:c r="U741" s="85"/>
      <x:c r="V741" s="85"/>
      <x:c r="W741" s="85"/>
      <x:c r="Y741" s="86"/>
      <x:c r="Z741" s="86"/>
      <x:c r="AA741" s="32"/>
    </x:row>
    <x:row r="742">
      <x:c r="A742" s="87"/>
      <x:c r="B742" s="88"/>
      <x:c r="D742" s="32"/>
      <x:c r="I742" s="74"/>
      <x:c r="J742" s="74"/>
      <x:c r="K742" s="74"/>
      <x:c r="L742" s="74"/>
      <x:c r="M742" s="74"/>
      <x:c r="N742" s="74"/>
      <x:c r="O742" s="91"/>
      <x:c r="P742" s="91"/>
      <x:c r="Q742" s="85"/>
      <x:c r="R742" s="85"/>
      <x:c r="S742" s="85"/>
      <x:c r="T742" s="85"/>
      <x:c r="U742" s="85"/>
      <x:c r="V742" s="85"/>
      <x:c r="W742" s="85"/>
      <x:c r="Y742" s="86"/>
      <x:c r="Z742" s="86"/>
      <x:c r="AA742" s="32"/>
    </x:row>
    <x:row r="743">
      <x:c r="A743" s="87"/>
      <x:c r="B743" s="88"/>
      <x:c r="D743" s="32"/>
      <x:c r="I743" s="74"/>
      <x:c r="J743" s="74"/>
      <x:c r="K743" s="74"/>
      <x:c r="L743" s="74"/>
      <x:c r="M743" s="74"/>
      <x:c r="N743" s="74"/>
      <x:c r="O743" s="91"/>
      <x:c r="P743" s="91"/>
      <x:c r="Q743" s="85"/>
      <x:c r="R743" s="85"/>
      <x:c r="S743" s="85"/>
      <x:c r="T743" s="85"/>
      <x:c r="U743" s="85"/>
      <x:c r="V743" s="85"/>
      <x:c r="W743" s="85"/>
      <x:c r="Y743" s="86"/>
      <x:c r="Z743" s="86"/>
      <x:c r="AA743" s="32"/>
    </x:row>
    <x:row r="744">
      <x:c r="A744" s="87"/>
      <x:c r="B744" s="88"/>
      <x:c r="D744" s="32"/>
      <x:c r="I744" s="74"/>
      <x:c r="J744" s="74"/>
      <x:c r="K744" s="74"/>
      <x:c r="L744" s="74"/>
      <x:c r="M744" s="74"/>
      <x:c r="N744" s="74"/>
      <x:c r="O744" s="91"/>
      <x:c r="P744" s="91"/>
      <x:c r="Q744" s="85"/>
      <x:c r="R744" s="85"/>
      <x:c r="S744" s="85"/>
      <x:c r="T744" s="85"/>
      <x:c r="U744" s="85"/>
      <x:c r="V744" s="85"/>
      <x:c r="W744" s="85"/>
      <x:c r="Y744" s="86"/>
      <x:c r="Z744" s="86"/>
      <x:c r="AA744" s="32"/>
    </x:row>
    <x:row r="745">
      <x:c r="A745" s="87"/>
      <x:c r="B745" s="88"/>
      <x:c r="D745" s="32"/>
      <x:c r="I745" s="74"/>
      <x:c r="J745" s="74"/>
      <x:c r="K745" s="74"/>
      <x:c r="L745" s="74"/>
      <x:c r="M745" s="74"/>
      <x:c r="N745" s="74"/>
      <x:c r="O745" s="91"/>
      <x:c r="P745" s="91"/>
      <x:c r="Q745" s="85"/>
      <x:c r="R745" s="85"/>
      <x:c r="S745" s="85"/>
      <x:c r="T745" s="85"/>
      <x:c r="U745" s="85"/>
      <x:c r="V745" s="85"/>
      <x:c r="W745" s="85"/>
      <x:c r="Y745" s="86"/>
      <x:c r="Z745" s="86"/>
      <x:c r="AA745" s="32"/>
    </x:row>
    <x:row r="746">
      <x:c r="A746" s="87"/>
      <x:c r="B746" s="88"/>
      <x:c r="D746" s="32"/>
      <x:c r="I746" s="74"/>
      <x:c r="J746" s="74"/>
      <x:c r="K746" s="74"/>
      <x:c r="L746" s="74"/>
      <x:c r="M746" s="74"/>
      <x:c r="N746" s="74"/>
      <x:c r="O746" s="91"/>
      <x:c r="P746" s="91"/>
      <x:c r="Q746" s="85"/>
      <x:c r="R746" s="85"/>
      <x:c r="S746" s="85"/>
      <x:c r="T746" s="85"/>
      <x:c r="U746" s="85"/>
      <x:c r="V746" s="85"/>
      <x:c r="W746" s="85"/>
      <x:c r="Y746" s="86"/>
      <x:c r="Z746" s="86"/>
      <x:c r="AA746" s="32"/>
    </x:row>
    <x:row r="747">
      <x:c r="A747" s="87"/>
      <x:c r="B747" s="88"/>
      <x:c r="D747" s="32"/>
      <x:c r="I747" s="74"/>
      <x:c r="J747" s="74"/>
      <x:c r="K747" s="74"/>
      <x:c r="L747" s="74"/>
      <x:c r="M747" s="74"/>
      <x:c r="N747" s="74"/>
      <x:c r="O747" s="91"/>
      <x:c r="P747" s="91"/>
      <x:c r="Q747" s="85"/>
      <x:c r="R747" s="85"/>
      <x:c r="S747" s="85"/>
      <x:c r="T747" s="85"/>
      <x:c r="U747" s="85"/>
      <x:c r="V747" s="85"/>
      <x:c r="W747" s="85"/>
      <x:c r="Y747" s="86"/>
      <x:c r="Z747" s="86"/>
      <x:c r="AA747" s="32"/>
    </x:row>
    <x:row r="748">
      <x:c r="A748" s="87"/>
      <x:c r="B748" s="88"/>
      <x:c r="D748" s="32"/>
      <x:c r="I748" s="74"/>
      <x:c r="J748" s="74"/>
      <x:c r="K748" s="74"/>
      <x:c r="L748" s="74"/>
      <x:c r="M748" s="74"/>
      <x:c r="N748" s="74"/>
      <x:c r="O748" s="91"/>
      <x:c r="P748" s="91"/>
      <x:c r="Q748" s="85"/>
      <x:c r="R748" s="85"/>
      <x:c r="S748" s="85"/>
      <x:c r="T748" s="85"/>
      <x:c r="U748" s="85"/>
      <x:c r="V748" s="85"/>
      <x:c r="W748" s="85"/>
      <x:c r="Y748" s="86"/>
      <x:c r="Z748" s="86"/>
      <x:c r="AA748" s="32"/>
    </x:row>
    <x:row r="749">
      <x:c r="A749" s="87"/>
      <x:c r="B749" s="88"/>
      <x:c r="D749" s="32"/>
      <x:c r="I749" s="74"/>
      <x:c r="J749" s="74"/>
      <x:c r="K749" s="74"/>
      <x:c r="L749" s="74"/>
      <x:c r="M749" s="74"/>
      <x:c r="N749" s="74"/>
      <x:c r="O749" s="91"/>
      <x:c r="P749" s="91"/>
      <x:c r="Q749" s="85"/>
      <x:c r="R749" s="85"/>
      <x:c r="S749" s="85"/>
      <x:c r="T749" s="85"/>
      <x:c r="U749" s="85"/>
      <x:c r="V749" s="85"/>
      <x:c r="W749" s="85"/>
      <x:c r="Y749" s="86"/>
      <x:c r="Z749" s="86"/>
      <x:c r="AA749" s="32"/>
    </x:row>
    <x:row r="750">
      <x:c r="A750" s="87"/>
      <x:c r="B750" s="88"/>
      <x:c r="D750" s="32"/>
      <x:c r="I750" s="74"/>
      <x:c r="J750" s="74"/>
      <x:c r="K750" s="74"/>
      <x:c r="L750" s="74"/>
      <x:c r="M750" s="74"/>
      <x:c r="N750" s="74"/>
      <x:c r="O750" s="91"/>
      <x:c r="P750" s="91"/>
      <x:c r="Q750" s="85"/>
      <x:c r="R750" s="85"/>
      <x:c r="S750" s="85"/>
      <x:c r="T750" s="85"/>
      <x:c r="U750" s="85"/>
      <x:c r="V750" s="85"/>
      <x:c r="W750" s="85"/>
      <x:c r="Y750" s="86"/>
      <x:c r="Z750" s="86"/>
      <x:c r="AA750" s="32"/>
    </x:row>
    <x:row r="751">
      <x:c r="A751" s="87"/>
      <x:c r="B751" s="88"/>
      <x:c r="D751" s="32"/>
      <x:c r="I751" s="74"/>
      <x:c r="J751" s="74"/>
      <x:c r="K751" s="74"/>
      <x:c r="L751" s="74"/>
      <x:c r="M751" s="74"/>
      <x:c r="N751" s="74"/>
      <x:c r="O751" s="91"/>
      <x:c r="P751" s="91"/>
      <x:c r="Q751" s="85"/>
      <x:c r="R751" s="85"/>
      <x:c r="S751" s="85"/>
      <x:c r="T751" s="85"/>
      <x:c r="U751" s="85"/>
      <x:c r="V751" s="85"/>
      <x:c r="W751" s="85"/>
      <x:c r="Y751" s="86"/>
      <x:c r="Z751" s="86"/>
      <x:c r="AA751" s="32"/>
    </x:row>
    <x:row r="752">
      <x:c r="A752" s="87"/>
      <x:c r="B752" s="88"/>
      <x:c r="D752" s="32"/>
      <x:c r="I752" s="74"/>
      <x:c r="J752" s="74"/>
      <x:c r="K752" s="74"/>
      <x:c r="L752" s="74"/>
      <x:c r="M752" s="74"/>
      <x:c r="N752" s="74"/>
      <x:c r="O752" s="91"/>
      <x:c r="P752" s="91"/>
      <x:c r="Q752" s="85"/>
      <x:c r="R752" s="85"/>
      <x:c r="S752" s="85"/>
      <x:c r="T752" s="85"/>
      <x:c r="U752" s="85"/>
      <x:c r="V752" s="85"/>
      <x:c r="W752" s="85"/>
      <x:c r="Y752" s="86"/>
      <x:c r="Z752" s="86"/>
      <x:c r="AA752" s="32"/>
    </x:row>
    <x:row r="753">
      <x:c r="A753" s="87"/>
      <x:c r="B753" s="88"/>
      <x:c r="D753" s="32"/>
      <x:c r="I753" s="74"/>
      <x:c r="J753" s="74"/>
      <x:c r="K753" s="74"/>
      <x:c r="L753" s="74"/>
      <x:c r="M753" s="74"/>
      <x:c r="N753" s="74"/>
      <x:c r="O753" s="91"/>
      <x:c r="P753" s="91"/>
      <x:c r="Q753" s="85"/>
      <x:c r="R753" s="85"/>
      <x:c r="S753" s="85"/>
      <x:c r="T753" s="85"/>
      <x:c r="U753" s="85"/>
      <x:c r="V753" s="85"/>
      <x:c r="W753" s="85"/>
      <x:c r="Y753" s="86"/>
      <x:c r="Z753" s="86"/>
      <x:c r="AA753" s="32"/>
    </x:row>
    <x:row r="754">
      <x:c r="A754" s="87"/>
      <x:c r="B754" s="88"/>
      <x:c r="D754" s="32"/>
      <x:c r="I754" s="74"/>
      <x:c r="J754" s="74"/>
      <x:c r="K754" s="74"/>
      <x:c r="L754" s="74"/>
      <x:c r="M754" s="74"/>
      <x:c r="N754" s="74"/>
      <x:c r="O754" s="91"/>
      <x:c r="P754" s="91"/>
      <x:c r="Q754" s="85"/>
      <x:c r="R754" s="85"/>
      <x:c r="S754" s="85"/>
      <x:c r="T754" s="85"/>
      <x:c r="U754" s="85"/>
      <x:c r="V754" s="85"/>
      <x:c r="W754" s="85"/>
      <x:c r="Y754" s="86"/>
      <x:c r="Z754" s="86"/>
      <x:c r="AA754" s="32"/>
    </x:row>
    <x:row r="755">
      <x:c r="A755" s="87"/>
      <x:c r="B755" s="88"/>
      <x:c r="D755" s="32"/>
      <x:c r="I755" s="74"/>
      <x:c r="J755" s="74"/>
      <x:c r="K755" s="74"/>
      <x:c r="L755" s="74"/>
      <x:c r="M755" s="74"/>
      <x:c r="N755" s="74"/>
      <x:c r="O755" s="91"/>
      <x:c r="P755" s="91"/>
      <x:c r="Q755" s="85"/>
      <x:c r="R755" s="85"/>
      <x:c r="S755" s="85"/>
      <x:c r="T755" s="85"/>
      <x:c r="U755" s="85"/>
      <x:c r="V755" s="85"/>
      <x:c r="W755" s="85"/>
      <x:c r="Y755" s="86"/>
      <x:c r="Z755" s="86"/>
      <x:c r="AA755" s="32"/>
    </x:row>
    <x:row r="756">
      <x:c r="A756" s="87"/>
      <x:c r="B756" s="88"/>
      <x:c r="D756" s="32"/>
      <x:c r="I756" s="74"/>
      <x:c r="J756" s="74"/>
      <x:c r="K756" s="74"/>
      <x:c r="L756" s="74"/>
      <x:c r="M756" s="74"/>
      <x:c r="N756" s="74"/>
      <x:c r="O756" s="91"/>
      <x:c r="P756" s="91"/>
      <x:c r="Q756" s="85"/>
      <x:c r="R756" s="85"/>
      <x:c r="S756" s="85"/>
      <x:c r="T756" s="85"/>
      <x:c r="U756" s="85"/>
      <x:c r="V756" s="85"/>
      <x:c r="W756" s="85"/>
      <x:c r="Y756" s="86"/>
      <x:c r="Z756" s="86"/>
      <x:c r="AA756" s="32"/>
    </x:row>
    <x:row r="757">
      <x:c r="A757" s="87"/>
      <x:c r="B757" s="88"/>
      <x:c r="D757" s="32"/>
      <x:c r="I757" s="74"/>
      <x:c r="J757" s="74"/>
      <x:c r="K757" s="74"/>
      <x:c r="L757" s="74"/>
      <x:c r="M757" s="74"/>
      <x:c r="N757" s="74"/>
      <x:c r="O757" s="91"/>
      <x:c r="P757" s="91"/>
      <x:c r="Q757" s="85"/>
      <x:c r="R757" s="85"/>
      <x:c r="S757" s="85"/>
      <x:c r="T757" s="85"/>
      <x:c r="U757" s="85"/>
      <x:c r="V757" s="85"/>
      <x:c r="W757" s="85"/>
      <x:c r="Y757" s="86"/>
      <x:c r="Z757" s="86"/>
      <x:c r="AA757" s="32"/>
    </x:row>
    <x:row r="758">
      <x:c r="A758" s="87"/>
      <x:c r="B758" s="88"/>
      <x:c r="D758" s="32"/>
      <x:c r="I758" s="74"/>
      <x:c r="J758" s="74"/>
      <x:c r="K758" s="74"/>
      <x:c r="L758" s="74"/>
      <x:c r="M758" s="74"/>
      <x:c r="N758" s="74"/>
      <x:c r="O758" s="91"/>
      <x:c r="P758" s="91"/>
      <x:c r="Q758" s="85"/>
      <x:c r="R758" s="85"/>
      <x:c r="S758" s="85"/>
      <x:c r="T758" s="85"/>
      <x:c r="U758" s="85"/>
      <x:c r="V758" s="85"/>
      <x:c r="W758" s="85"/>
      <x:c r="Y758" s="86"/>
      <x:c r="Z758" s="86"/>
      <x:c r="AA758" s="32"/>
    </x:row>
    <x:row r="759">
      <x:c r="A759" s="87"/>
      <x:c r="B759" s="88"/>
      <x:c r="D759" s="32"/>
      <x:c r="I759" s="74"/>
      <x:c r="J759" s="74"/>
      <x:c r="K759" s="74"/>
      <x:c r="L759" s="74"/>
      <x:c r="M759" s="74"/>
      <x:c r="N759" s="74"/>
      <x:c r="O759" s="91"/>
      <x:c r="P759" s="91"/>
      <x:c r="Q759" s="85"/>
      <x:c r="R759" s="85"/>
      <x:c r="S759" s="85"/>
      <x:c r="T759" s="85"/>
      <x:c r="U759" s="85"/>
      <x:c r="V759" s="85"/>
      <x:c r="W759" s="85"/>
      <x:c r="Y759" s="86"/>
      <x:c r="Z759" s="86"/>
      <x:c r="AA759" s="32"/>
    </x:row>
    <x:row r="760">
      <x:c r="A760" s="87"/>
      <x:c r="B760" s="88"/>
      <x:c r="D760" s="32"/>
      <x:c r="I760" s="74"/>
      <x:c r="J760" s="74"/>
      <x:c r="K760" s="74"/>
      <x:c r="L760" s="74"/>
      <x:c r="M760" s="74"/>
      <x:c r="N760" s="74"/>
      <x:c r="O760" s="91"/>
      <x:c r="P760" s="91"/>
      <x:c r="Q760" s="85"/>
      <x:c r="R760" s="85"/>
      <x:c r="S760" s="85"/>
      <x:c r="T760" s="85"/>
      <x:c r="U760" s="85"/>
      <x:c r="V760" s="85"/>
      <x:c r="W760" s="85"/>
      <x:c r="Y760" s="86"/>
      <x:c r="Z760" s="86"/>
      <x:c r="AA760" s="32"/>
    </x:row>
    <x:row r="761">
      <x:c r="A761" s="87"/>
      <x:c r="B761" s="88"/>
      <x:c r="D761" s="32"/>
      <x:c r="I761" s="74"/>
      <x:c r="J761" s="74"/>
      <x:c r="K761" s="74"/>
      <x:c r="L761" s="74"/>
      <x:c r="M761" s="74"/>
      <x:c r="N761" s="74"/>
      <x:c r="O761" s="91"/>
      <x:c r="P761" s="91"/>
      <x:c r="Q761" s="85"/>
      <x:c r="R761" s="85"/>
      <x:c r="S761" s="85"/>
      <x:c r="T761" s="85"/>
      <x:c r="U761" s="85"/>
      <x:c r="V761" s="85"/>
      <x:c r="W761" s="85"/>
      <x:c r="Y761" s="86"/>
      <x:c r="Z761" s="86"/>
      <x:c r="AA761" s="32"/>
    </x:row>
    <x:row r="762">
      <x:c r="A762" s="87"/>
      <x:c r="B762" s="88"/>
      <x:c r="D762" s="32"/>
      <x:c r="I762" s="74"/>
      <x:c r="J762" s="74"/>
      <x:c r="K762" s="74"/>
      <x:c r="L762" s="74"/>
      <x:c r="M762" s="74"/>
      <x:c r="N762" s="74"/>
      <x:c r="O762" s="91"/>
      <x:c r="P762" s="91"/>
      <x:c r="Q762" s="85"/>
      <x:c r="R762" s="85"/>
      <x:c r="S762" s="85"/>
      <x:c r="T762" s="85"/>
      <x:c r="U762" s="85"/>
      <x:c r="V762" s="85"/>
      <x:c r="W762" s="85"/>
      <x:c r="Y762" s="86"/>
      <x:c r="Z762" s="86"/>
      <x:c r="AA762" s="32"/>
    </x:row>
    <x:row r="763">
      <x:c r="A763" s="87"/>
      <x:c r="B763" s="88"/>
      <x:c r="D763" s="32"/>
      <x:c r="I763" s="74"/>
      <x:c r="J763" s="74"/>
      <x:c r="K763" s="74"/>
      <x:c r="L763" s="74"/>
      <x:c r="M763" s="74"/>
      <x:c r="N763" s="74"/>
      <x:c r="O763" s="91"/>
      <x:c r="P763" s="91"/>
      <x:c r="Q763" s="85"/>
      <x:c r="R763" s="85"/>
      <x:c r="S763" s="85"/>
      <x:c r="T763" s="85"/>
      <x:c r="U763" s="85"/>
      <x:c r="V763" s="85"/>
      <x:c r="W763" s="85"/>
      <x:c r="Y763" s="86"/>
      <x:c r="Z763" s="86"/>
      <x:c r="AA763" s="32"/>
    </x:row>
    <x:row r="764">
      <x:c r="A764" s="87"/>
      <x:c r="B764" s="88"/>
      <x:c r="D764" s="32"/>
      <x:c r="I764" s="74"/>
      <x:c r="J764" s="74"/>
      <x:c r="K764" s="74"/>
      <x:c r="L764" s="74"/>
      <x:c r="M764" s="74"/>
      <x:c r="N764" s="74"/>
      <x:c r="O764" s="91"/>
      <x:c r="P764" s="91"/>
      <x:c r="Q764" s="85"/>
      <x:c r="R764" s="85"/>
      <x:c r="S764" s="85"/>
      <x:c r="T764" s="85"/>
      <x:c r="U764" s="85"/>
      <x:c r="V764" s="85"/>
      <x:c r="W764" s="85"/>
      <x:c r="Y764" s="86"/>
      <x:c r="Z764" s="86"/>
      <x:c r="AA764" s="32"/>
    </x:row>
    <x:row r="765">
      <x:c r="A765" s="87"/>
      <x:c r="B765" s="88"/>
      <x:c r="D765" s="32"/>
      <x:c r="I765" s="74"/>
      <x:c r="J765" s="74"/>
      <x:c r="K765" s="74"/>
      <x:c r="L765" s="74"/>
      <x:c r="M765" s="74"/>
      <x:c r="N765" s="74"/>
      <x:c r="O765" s="91"/>
      <x:c r="P765" s="91"/>
      <x:c r="Q765" s="85"/>
      <x:c r="R765" s="85"/>
      <x:c r="S765" s="85"/>
      <x:c r="T765" s="85"/>
      <x:c r="U765" s="85"/>
      <x:c r="V765" s="85"/>
      <x:c r="W765" s="85"/>
      <x:c r="Y765" s="86"/>
      <x:c r="Z765" s="86"/>
      <x:c r="AA765" s="32"/>
    </x:row>
    <x:row r="766">
      <x:c r="A766" s="87"/>
      <x:c r="B766" s="88"/>
      <x:c r="D766" s="32"/>
      <x:c r="I766" s="74"/>
      <x:c r="J766" s="74"/>
      <x:c r="K766" s="74"/>
      <x:c r="L766" s="74"/>
      <x:c r="M766" s="74"/>
      <x:c r="N766" s="74"/>
      <x:c r="O766" s="91"/>
      <x:c r="P766" s="91"/>
      <x:c r="Q766" s="85"/>
      <x:c r="R766" s="85"/>
      <x:c r="S766" s="85"/>
      <x:c r="T766" s="85"/>
      <x:c r="U766" s="85"/>
      <x:c r="V766" s="85"/>
      <x:c r="W766" s="85"/>
      <x:c r="Y766" s="86"/>
      <x:c r="Z766" s="86"/>
      <x:c r="AA766" s="32"/>
    </x:row>
    <x:row r="767">
      <x:c r="A767" s="87"/>
      <x:c r="B767" s="88"/>
      <x:c r="D767" s="32"/>
      <x:c r="I767" s="74"/>
      <x:c r="J767" s="74"/>
      <x:c r="K767" s="74"/>
      <x:c r="L767" s="74"/>
      <x:c r="M767" s="74"/>
      <x:c r="N767" s="74"/>
      <x:c r="O767" s="91"/>
      <x:c r="P767" s="91"/>
      <x:c r="Q767" s="85"/>
      <x:c r="R767" s="85"/>
      <x:c r="S767" s="85"/>
      <x:c r="T767" s="85"/>
      <x:c r="U767" s="85"/>
      <x:c r="V767" s="85"/>
      <x:c r="W767" s="85"/>
      <x:c r="Y767" s="86"/>
      <x:c r="Z767" s="86"/>
      <x:c r="AA767" s="32"/>
    </x:row>
    <x:row r="768">
      <x:c r="A768" s="87"/>
      <x:c r="B768" s="88"/>
      <x:c r="D768" s="32"/>
      <x:c r="I768" s="74"/>
      <x:c r="J768" s="74"/>
      <x:c r="K768" s="74"/>
      <x:c r="L768" s="74"/>
      <x:c r="M768" s="74"/>
      <x:c r="N768" s="74"/>
      <x:c r="O768" s="91"/>
      <x:c r="P768" s="91"/>
      <x:c r="Q768" s="85"/>
      <x:c r="R768" s="85"/>
      <x:c r="S768" s="85"/>
      <x:c r="T768" s="85"/>
      <x:c r="U768" s="85"/>
      <x:c r="V768" s="85"/>
      <x:c r="W768" s="85"/>
      <x:c r="Y768" s="86"/>
      <x:c r="Z768" s="86"/>
      <x:c r="AA768" s="32"/>
    </x:row>
    <x:row r="769">
      <x:c r="A769" s="87"/>
      <x:c r="B769" s="88"/>
      <x:c r="D769" s="32"/>
      <x:c r="I769" s="74"/>
      <x:c r="J769" s="74"/>
      <x:c r="K769" s="74"/>
      <x:c r="L769" s="74"/>
      <x:c r="M769" s="74"/>
      <x:c r="N769" s="74"/>
      <x:c r="O769" s="91"/>
      <x:c r="P769" s="91"/>
      <x:c r="Q769" s="85"/>
      <x:c r="R769" s="85"/>
      <x:c r="S769" s="85"/>
      <x:c r="T769" s="85"/>
      <x:c r="U769" s="85"/>
      <x:c r="V769" s="85"/>
      <x:c r="W769" s="85"/>
      <x:c r="Y769" s="86"/>
      <x:c r="Z769" s="86"/>
      <x:c r="AA769" s="32"/>
    </x:row>
    <x:row r="770">
      <x:c r="A770" s="87"/>
      <x:c r="B770" s="88"/>
      <x:c r="D770" s="32"/>
      <x:c r="I770" s="74"/>
      <x:c r="J770" s="74"/>
      <x:c r="K770" s="74"/>
      <x:c r="L770" s="74"/>
      <x:c r="M770" s="74"/>
      <x:c r="N770" s="74"/>
      <x:c r="O770" s="91"/>
      <x:c r="P770" s="91"/>
      <x:c r="Q770" s="85"/>
      <x:c r="R770" s="85"/>
      <x:c r="S770" s="85"/>
      <x:c r="T770" s="85"/>
      <x:c r="U770" s="85"/>
      <x:c r="V770" s="85"/>
      <x:c r="W770" s="85"/>
      <x:c r="Y770" s="86"/>
      <x:c r="Z770" s="86"/>
      <x:c r="AA770" s="32"/>
    </x:row>
    <x:row r="771">
      <x:c r="A771" s="87"/>
      <x:c r="B771" s="88"/>
      <x:c r="D771" s="32"/>
      <x:c r="I771" s="74"/>
      <x:c r="J771" s="74"/>
      <x:c r="K771" s="74"/>
      <x:c r="L771" s="74"/>
      <x:c r="M771" s="74"/>
      <x:c r="N771" s="74"/>
      <x:c r="O771" s="91"/>
      <x:c r="P771" s="91"/>
      <x:c r="Q771" s="85"/>
      <x:c r="R771" s="85"/>
      <x:c r="S771" s="85"/>
      <x:c r="T771" s="85"/>
      <x:c r="U771" s="85"/>
      <x:c r="V771" s="85"/>
      <x:c r="W771" s="85"/>
      <x:c r="Y771" s="86"/>
      <x:c r="Z771" s="86"/>
      <x:c r="AA771" s="32"/>
    </x:row>
    <x:row r="772">
      <x:c r="A772" s="87"/>
      <x:c r="B772" s="88"/>
      <x:c r="D772" s="32"/>
      <x:c r="I772" s="74"/>
      <x:c r="J772" s="74"/>
      <x:c r="K772" s="74"/>
      <x:c r="L772" s="74"/>
      <x:c r="M772" s="74"/>
      <x:c r="N772" s="74"/>
      <x:c r="O772" s="91"/>
      <x:c r="P772" s="91"/>
      <x:c r="Q772" s="85"/>
      <x:c r="R772" s="85"/>
      <x:c r="S772" s="85"/>
      <x:c r="T772" s="85"/>
      <x:c r="U772" s="85"/>
      <x:c r="V772" s="85"/>
      <x:c r="W772" s="85"/>
      <x:c r="Y772" s="86"/>
      <x:c r="Z772" s="86"/>
      <x:c r="AA772" s="32"/>
    </x:row>
    <x:row r="773">
      <x:c r="A773" s="87"/>
      <x:c r="B773" s="88"/>
      <x:c r="D773" s="32"/>
      <x:c r="I773" s="74"/>
      <x:c r="J773" s="74"/>
      <x:c r="K773" s="74"/>
      <x:c r="L773" s="74"/>
      <x:c r="M773" s="74"/>
      <x:c r="N773" s="74"/>
      <x:c r="O773" s="91"/>
      <x:c r="P773" s="91"/>
      <x:c r="Q773" s="85"/>
      <x:c r="R773" s="85"/>
      <x:c r="S773" s="85"/>
      <x:c r="T773" s="85"/>
      <x:c r="U773" s="85"/>
      <x:c r="V773" s="85"/>
      <x:c r="W773" s="85"/>
      <x:c r="Y773" s="86"/>
      <x:c r="Z773" s="86"/>
      <x:c r="AA773" s="32"/>
    </x:row>
    <x:row r="774">
      <x:c r="A774" s="87"/>
      <x:c r="B774" s="88"/>
      <x:c r="D774" s="32"/>
      <x:c r="I774" s="74"/>
      <x:c r="J774" s="74"/>
      <x:c r="K774" s="74"/>
      <x:c r="L774" s="74"/>
      <x:c r="M774" s="74"/>
      <x:c r="N774" s="74"/>
      <x:c r="O774" s="91"/>
      <x:c r="P774" s="91"/>
      <x:c r="Q774" s="85"/>
      <x:c r="R774" s="85"/>
      <x:c r="S774" s="85"/>
      <x:c r="T774" s="85"/>
      <x:c r="U774" s="85"/>
      <x:c r="V774" s="85"/>
      <x:c r="W774" s="85"/>
      <x:c r="Y774" s="86"/>
      <x:c r="Z774" s="86"/>
      <x:c r="AA774" s="32"/>
    </x:row>
    <x:row r="775">
      <x:c r="A775" s="87"/>
      <x:c r="B775" s="88"/>
      <x:c r="D775" s="32"/>
      <x:c r="I775" s="74"/>
      <x:c r="J775" s="74"/>
      <x:c r="K775" s="74"/>
      <x:c r="L775" s="74"/>
      <x:c r="M775" s="74"/>
      <x:c r="N775" s="74"/>
      <x:c r="O775" s="91"/>
      <x:c r="P775" s="91"/>
      <x:c r="Q775" s="85"/>
      <x:c r="R775" s="85"/>
      <x:c r="S775" s="85"/>
      <x:c r="T775" s="85"/>
      <x:c r="U775" s="85"/>
      <x:c r="V775" s="85"/>
      <x:c r="W775" s="85"/>
      <x:c r="Y775" s="86"/>
      <x:c r="Z775" s="86"/>
      <x:c r="AA775" s="32"/>
    </x:row>
    <x:row r="776">
      <x:c r="A776" s="87"/>
      <x:c r="B776" s="88"/>
      <x:c r="D776" s="32"/>
      <x:c r="I776" s="74"/>
      <x:c r="J776" s="74"/>
      <x:c r="K776" s="74"/>
      <x:c r="L776" s="74"/>
      <x:c r="M776" s="74"/>
      <x:c r="N776" s="74"/>
      <x:c r="O776" s="91"/>
      <x:c r="P776" s="91"/>
      <x:c r="Q776" s="85"/>
      <x:c r="R776" s="85"/>
      <x:c r="S776" s="85"/>
      <x:c r="T776" s="85"/>
      <x:c r="U776" s="85"/>
      <x:c r="V776" s="85"/>
      <x:c r="W776" s="85"/>
      <x:c r="Y776" s="86"/>
      <x:c r="Z776" s="86"/>
      <x:c r="AA776" s="32"/>
    </x:row>
    <x:row r="777">
      <x:c r="A777" s="87"/>
      <x:c r="B777" s="88"/>
      <x:c r="D777" s="32"/>
      <x:c r="I777" s="74"/>
      <x:c r="J777" s="74"/>
      <x:c r="K777" s="74"/>
      <x:c r="L777" s="74"/>
      <x:c r="M777" s="74"/>
      <x:c r="N777" s="74"/>
      <x:c r="O777" s="91"/>
      <x:c r="P777" s="91"/>
      <x:c r="Q777" s="85"/>
      <x:c r="R777" s="85"/>
      <x:c r="S777" s="85"/>
      <x:c r="T777" s="85"/>
      <x:c r="U777" s="85"/>
      <x:c r="V777" s="85"/>
      <x:c r="W777" s="85"/>
      <x:c r="Y777" s="86"/>
      <x:c r="Z777" s="86"/>
      <x:c r="AA777" s="32"/>
    </x:row>
    <x:row r="778">
      <x:c r="A778" s="87"/>
      <x:c r="B778" s="88"/>
      <x:c r="D778" s="32"/>
      <x:c r="I778" s="74"/>
      <x:c r="J778" s="74"/>
      <x:c r="K778" s="74"/>
      <x:c r="L778" s="74"/>
      <x:c r="M778" s="74"/>
      <x:c r="N778" s="74"/>
      <x:c r="O778" s="91"/>
      <x:c r="P778" s="91"/>
      <x:c r="Q778" s="85"/>
      <x:c r="R778" s="85"/>
      <x:c r="S778" s="85"/>
      <x:c r="T778" s="85"/>
      <x:c r="U778" s="85"/>
      <x:c r="V778" s="85"/>
      <x:c r="W778" s="85"/>
      <x:c r="Y778" s="86"/>
      <x:c r="Z778" s="86"/>
      <x:c r="AA778" s="32"/>
    </x:row>
    <x:row r="779">
      <x:c r="A779" s="87"/>
      <x:c r="B779" s="88"/>
      <x:c r="D779" s="32"/>
      <x:c r="I779" s="74"/>
      <x:c r="J779" s="74"/>
      <x:c r="K779" s="74"/>
      <x:c r="L779" s="74"/>
      <x:c r="M779" s="74"/>
      <x:c r="N779" s="74"/>
      <x:c r="O779" s="91"/>
      <x:c r="P779" s="91"/>
      <x:c r="Q779" s="85"/>
      <x:c r="R779" s="85"/>
      <x:c r="S779" s="85"/>
      <x:c r="T779" s="85"/>
      <x:c r="U779" s="85"/>
      <x:c r="V779" s="85"/>
      <x:c r="W779" s="85"/>
      <x:c r="Y779" s="86"/>
      <x:c r="Z779" s="86"/>
      <x:c r="AA779" s="32"/>
    </x:row>
    <x:row r="780">
      <x:c r="A780" s="87"/>
      <x:c r="B780" s="88"/>
      <x:c r="D780" s="32"/>
      <x:c r="I780" s="74"/>
      <x:c r="J780" s="74"/>
      <x:c r="K780" s="74"/>
      <x:c r="L780" s="74"/>
      <x:c r="M780" s="74"/>
      <x:c r="N780" s="74"/>
      <x:c r="O780" s="91"/>
      <x:c r="P780" s="91"/>
      <x:c r="Q780" s="85"/>
      <x:c r="R780" s="85"/>
      <x:c r="S780" s="85"/>
      <x:c r="T780" s="85"/>
      <x:c r="U780" s="85"/>
      <x:c r="V780" s="85"/>
      <x:c r="W780" s="85"/>
      <x:c r="Y780" s="86"/>
      <x:c r="Z780" s="86"/>
      <x:c r="AA780" s="32"/>
    </x:row>
    <x:row r="781">
      <x:c r="A781" s="87"/>
      <x:c r="B781" s="88"/>
      <x:c r="D781" s="32"/>
      <x:c r="I781" s="74"/>
      <x:c r="J781" s="74"/>
      <x:c r="K781" s="74"/>
      <x:c r="L781" s="74"/>
      <x:c r="M781" s="74"/>
      <x:c r="N781" s="74"/>
      <x:c r="O781" s="91"/>
      <x:c r="P781" s="91"/>
      <x:c r="Q781" s="85"/>
      <x:c r="R781" s="85"/>
      <x:c r="S781" s="85"/>
      <x:c r="T781" s="85"/>
      <x:c r="U781" s="85"/>
      <x:c r="V781" s="85"/>
      <x:c r="W781" s="85"/>
      <x:c r="Y781" s="86"/>
      <x:c r="Z781" s="86"/>
      <x:c r="AA781" s="32"/>
    </x:row>
    <x:row r="782">
      <x:c r="A782" s="87"/>
      <x:c r="B782" s="88"/>
      <x:c r="D782" s="32"/>
      <x:c r="I782" s="74"/>
      <x:c r="J782" s="74"/>
      <x:c r="K782" s="74"/>
      <x:c r="L782" s="74"/>
      <x:c r="M782" s="74"/>
      <x:c r="N782" s="74"/>
      <x:c r="O782" s="91"/>
      <x:c r="P782" s="91"/>
      <x:c r="Q782" s="85"/>
      <x:c r="R782" s="85"/>
      <x:c r="S782" s="85"/>
      <x:c r="T782" s="85"/>
      <x:c r="U782" s="85"/>
      <x:c r="V782" s="85"/>
      <x:c r="W782" s="85"/>
      <x:c r="Y782" s="86"/>
      <x:c r="Z782" s="86"/>
      <x:c r="AA782" s="32"/>
    </x:row>
    <x:row r="783">
      <x:c r="A783" s="87"/>
      <x:c r="B783" s="88"/>
      <x:c r="D783" s="32"/>
      <x:c r="I783" s="74"/>
      <x:c r="J783" s="74"/>
      <x:c r="K783" s="74"/>
      <x:c r="L783" s="74"/>
      <x:c r="M783" s="74"/>
      <x:c r="N783" s="74"/>
      <x:c r="O783" s="91"/>
      <x:c r="P783" s="91"/>
      <x:c r="Q783" s="85"/>
      <x:c r="R783" s="85"/>
      <x:c r="S783" s="85"/>
      <x:c r="T783" s="85"/>
      <x:c r="U783" s="85"/>
      <x:c r="V783" s="85"/>
      <x:c r="W783" s="85"/>
      <x:c r="Y783" s="86"/>
      <x:c r="Z783" s="86"/>
      <x:c r="AA783" s="32"/>
    </x:row>
    <x:row r="784">
      <x:c r="A784" s="87"/>
      <x:c r="B784" s="88"/>
      <x:c r="D784" s="32"/>
      <x:c r="I784" s="74"/>
      <x:c r="J784" s="74"/>
      <x:c r="K784" s="74"/>
      <x:c r="L784" s="74"/>
      <x:c r="M784" s="74"/>
      <x:c r="N784" s="74"/>
      <x:c r="O784" s="91"/>
      <x:c r="P784" s="91"/>
      <x:c r="Q784" s="85"/>
      <x:c r="R784" s="85"/>
      <x:c r="S784" s="85"/>
      <x:c r="T784" s="85"/>
      <x:c r="U784" s="85"/>
      <x:c r="V784" s="85"/>
      <x:c r="W784" s="85"/>
      <x:c r="Y784" s="86"/>
      <x:c r="Z784" s="86"/>
      <x:c r="AA784" s="32"/>
    </x:row>
    <x:row r="785">
      <x:c r="A785" s="87"/>
      <x:c r="B785" s="88"/>
      <x:c r="D785" s="32"/>
      <x:c r="I785" s="74"/>
      <x:c r="J785" s="74"/>
      <x:c r="K785" s="74"/>
      <x:c r="L785" s="74"/>
      <x:c r="M785" s="74"/>
      <x:c r="N785" s="74"/>
      <x:c r="O785" s="91"/>
      <x:c r="P785" s="91"/>
      <x:c r="Q785" s="85"/>
      <x:c r="R785" s="85"/>
      <x:c r="S785" s="85"/>
      <x:c r="T785" s="85"/>
      <x:c r="U785" s="85"/>
      <x:c r="V785" s="85"/>
      <x:c r="W785" s="85"/>
      <x:c r="Y785" s="86"/>
      <x:c r="Z785" s="86"/>
      <x:c r="AA785" s="32"/>
    </x:row>
    <x:row r="786">
      <x:c r="A786" s="87"/>
      <x:c r="B786" s="88"/>
      <x:c r="D786" s="32"/>
      <x:c r="I786" s="74"/>
      <x:c r="J786" s="74"/>
      <x:c r="K786" s="74"/>
      <x:c r="L786" s="74"/>
      <x:c r="M786" s="74"/>
      <x:c r="N786" s="74"/>
      <x:c r="O786" s="91"/>
      <x:c r="P786" s="91"/>
      <x:c r="Q786" s="85"/>
      <x:c r="R786" s="85"/>
      <x:c r="S786" s="85"/>
      <x:c r="T786" s="85"/>
      <x:c r="U786" s="85"/>
      <x:c r="V786" s="85"/>
      <x:c r="W786" s="85"/>
      <x:c r="Y786" s="86"/>
      <x:c r="Z786" s="86"/>
      <x:c r="AA786" s="32"/>
    </x:row>
    <x:row r="787">
      <x:c r="A787" s="87"/>
      <x:c r="B787" s="88"/>
      <x:c r="D787" s="32"/>
      <x:c r="I787" s="74"/>
      <x:c r="J787" s="74"/>
      <x:c r="K787" s="74"/>
      <x:c r="L787" s="74"/>
      <x:c r="M787" s="74"/>
      <x:c r="N787" s="74"/>
      <x:c r="O787" s="91"/>
      <x:c r="P787" s="91"/>
      <x:c r="Q787" s="85"/>
      <x:c r="R787" s="85"/>
      <x:c r="S787" s="85"/>
      <x:c r="T787" s="85"/>
      <x:c r="U787" s="85"/>
      <x:c r="V787" s="85"/>
      <x:c r="W787" s="85"/>
      <x:c r="Y787" s="86"/>
      <x:c r="Z787" s="86"/>
      <x:c r="AA787" s="32"/>
    </x:row>
    <x:row r="788">
      <x:c r="A788" s="87"/>
      <x:c r="B788" s="88"/>
      <x:c r="D788" s="32"/>
      <x:c r="I788" s="74"/>
      <x:c r="J788" s="74"/>
      <x:c r="K788" s="74"/>
      <x:c r="L788" s="74"/>
      <x:c r="M788" s="74"/>
      <x:c r="N788" s="74"/>
      <x:c r="O788" s="91"/>
      <x:c r="P788" s="91"/>
      <x:c r="Q788" s="85"/>
      <x:c r="R788" s="85"/>
      <x:c r="S788" s="85"/>
      <x:c r="T788" s="85"/>
      <x:c r="U788" s="85"/>
      <x:c r="V788" s="85"/>
      <x:c r="W788" s="85"/>
      <x:c r="Y788" s="86"/>
      <x:c r="Z788" s="86"/>
      <x:c r="AA788" s="32"/>
    </x:row>
    <x:row r="789">
      <x:c r="A789" s="87"/>
      <x:c r="B789" s="88"/>
      <x:c r="D789" s="32"/>
      <x:c r="I789" s="74"/>
      <x:c r="J789" s="74"/>
      <x:c r="K789" s="74"/>
      <x:c r="L789" s="74"/>
      <x:c r="M789" s="74"/>
      <x:c r="N789" s="74"/>
      <x:c r="O789" s="91"/>
      <x:c r="P789" s="91"/>
      <x:c r="Q789" s="85"/>
      <x:c r="R789" s="85"/>
      <x:c r="S789" s="85"/>
      <x:c r="T789" s="85"/>
      <x:c r="U789" s="85"/>
      <x:c r="V789" s="85"/>
      <x:c r="W789" s="85"/>
      <x:c r="Y789" s="86"/>
      <x:c r="Z789" s="86"/>
      <x:c r="AA789" s="32"/>
    </x:row>
    <x:row r="790">
      <x:c r="A790" s="87"/>
      <x:c r="B790" s="88"/>
      <x:c r="D790" s="32"/>
      <x:c r="I790" s="74"/>
      <x:c r="J790" s="74"/>
      <x:c r="K790" s="74"/>
      <x:c r="L790" s="74"/>
      <x:c r="M790" s="74"/>
      <x:c r="N790" s="74"/>
      <x:c r="O790" s="91"/>
      <x:c r="P790" s="91"/>
      <x:c r="Q790" s="85"/>
      <x:c r="R790" s="85"/>
      <x:c r="S790" s="85"/>
      <x:c r="T790" s="85"/>
      <x:c r="U790" s="85"/>
      <x:c r="V790" s="85"/>
      <x:c r="W790" s="85"/>
      <x:c r="Y790" s="86"/>
      <x:c r="Z790" s="86"/>
      <x:c r="AA790" s="32"/>
    </x:row>
    <x:row r="791">
      <x:c r="A791" s="87"/>
      <x:c r="B791" s="88"/>
      <x:c r="D791" s="32"/>
      <x:c r="I791" s="74"/>
      <x:c r="J791" s="74"/>
      <x:c r="K791" s="74"/>
      <x:c r="L791" s="74"/>
      <x:c r="M791" s="74"/>
      <x:c r="N791" s="74"/>
      <x:c r="O791" s="91"/>
      <x:c r="P791" s="91"/>
      <x:c r="Q791" s="85"/>
      <x:c r="R791" s="85"/>
      <x:c r="S791" s="85"/>
      <x:c r="T791" s="85"/>
      <x:c r="U791" s="85"/>
      <x:c r="V791" s="85"/>
      <x:c r="W791" s="85"/>
      <x:c r="Y791" s="86"/>
      <x:c r="Z791" s="86"/>
      <x:c r="AA791" s="32"/>
    </x:row>
    <x:row r="792">
      <x:c r="A792" s="87"/>
      <x:c r="B792" s="88"/>
      <x:c r="D792" s="32"/>
      <x:c r="I792" s="74"/>
      <x:c r="J792" s="74"/>
      <x:c r="K792" s="74"/>
      <x:c r="L792" s="74"/>
      <x:c r="M792" s="74"/>
      <x:c r="N792" s="74"/>
      <x:c r="O792" s="91"/>
      <x:c r="P792" s="91"/>
      <x:c r="Q792" s="85"/>
      <x:c r="R792" s="85"/>
      <x:c r="S792" s="85"/>
      <x:c r="T792" s="85"/>
      <x:c r="U792" s="85"/>
      <x:c r="V792" s="85"/>
      <x:c r="W792" s="85"/>
      <x:c r="Y792" s="86"/>
      <x:c r="Z792" s="86"/>
      <x:c r="AA792" s="32"/>
    </x:row>
    <x:row r="793">
      <x:c r="A793" s="87"/>
      <x:c r="B793" s="88"/>
      <x:c r="D793" s="32"/>
      <x:c r="I793" s="74"/>
      <x:c r="J793" s="74"/>
      <x:c r="K793" s="74"/>
      <x:c r="L793" s="74"/>
      <x:c r="M793" s="74"/>
      <x:c r="N793" s="74"/>
      <x:c r="O793" s="91"/>
      <x:c r="P793" s="91"/>
      <x:c r="Q793" s="85"/>
      <x:c r="R793" s="85"/>
      <x:c r="S793" s="85"/>
      <x:c r="T793" s="85"/>
      <x:c r="U793" s="85"/>
      <x:c r="V793" s="85"/>
      <x:c r="W793" s="85"/>
      <x:c r="Y793" s="86"/>
      <x:c r="Z793" s="86"/>
      <x:c r="AA793" s="32"/>
    </x:row>
    <x:row r="794">
      <x:c r="A794" s="87"/>
      <x:c r="B794" s="88"/>
      <x:c r="D794" s="32"/>
      <x:c r="I794" s="74"/>
      <x:c r="J794" s="74"/>
      <x:c r="K794" s="74"/>
      <x:c r="L794" s="74"/>
      <x:c r="M794" s="74"/>
      <x:c r="N794" s="74"/>
      <x:c r="O794" s="91"/>
      <x:c r="P794" s="91"/>
      <x:c r="Q794" s="85"/>
      <x:c r="R794" s="85"/>
      <x:c r="S794" s="85"/>
      <x:c r="T794" s="85"/>
      <x:c r="U794" s="85"/>
      <x:c r="V794" s="85"/>
      <x:c r="W794" s="85"/>
      <x:c r="Y794" s="86"/>
      <x:c r="Z794" s="86"/>
      <x:c r="AA794" s="32"/>
    </x:row>
    <x:row r="795">
      <x:c r="A795" s="87"/>
      <x:c r="B795" s="88"/>
      <x:c r="D795" s="32"/>
      <x:c r="I795" s="74"/>
      <x:c r="J795" s="74"/>
      <x:c r="K795" s="74"/>
      <x:c r="L795" s="74"/>
      <x:c r="M795" s="74"/>
      <x:c r="N795" s="74"/>
      <x:c r="O795" s="91"/>
      <x:c r="P795" s="91"/>
      <x:c r="Q795" s="85"/>
      <x:c r="R795" s="85"/>
      <x:c r="S795" s="85"/>
      <x:c r="T795" s="85"/>
      <x:c r="U795" s="85"/>
      <x:c r="V795" s="85"/>
      <x:c r="W795" s="85"/>
      <x:c r="Y795" s="86"/>
      <x:c r="Z795" s="86"/>
      <x:c r="AA795" s="32"/>
    </x:row>
    <x:row r="796">
      <x:c r="A796" s="87"/>
      <x:c r="B796" s="88"/>
      <x:c r="D796" s="32"/>
      <x:c r="I796" s="74"/>
      <x:c r="J796" s="74"/>
      <x:c r="K796" s="74"/>
      <x:c r="L796" s="74"/>
      <x:c r="M796" s="74"/>
      <x:c r="N796" s="74"/>
      <x:c r="O796" s="91"/>
      <x:c r="P796" s="91"/>
      <x:c r="Q796" s="85"/>
      <x:c r="R796" s="85"/>
      <x:c r="S796" s="85"/>
      <x:c r="T796" s="85"/>
      <x:c r="U796" s="85"/>
      <x:c r="V796" s="85"/>
      <x:c r="W796" s="85"/>
      <x:c r="Y796" s="86"/>
      <x:c r="Z796" s="86"/>
      <x:c r="AA796" s="32"/>
    </x:row>
    <x:row r="797">
      <x:c r="A797" s="87"/>
      <x:c r="B797" s="88"/>
      <x:c r="D797" s="32"/>
      <x:c r="I797" s="74"/>
      <x:c r="J797" s="74"/>
      <x:c r="K797" s="74"/>
      <x:c r="L797" s="74"/>
      <x:c r="M797" s="74"/>
      <x:c r="N797" s="74"/>
      <x:c r="O797" s="91"/>
      <x:c r="P797" s="91"/>
      <x:c r="Q797" s="85"/>
      <x:c r="R797" s="85"/>
      <x:c r="S797" s="85"/>
      <x:c r="T797" s="85"/>
      <x:c r="U797" s="85"/>
      <x:c r="V797" s="85"/>
      <x:c r="W797" s="85"/>
      <x:c r="Y797" s="86"/>
      <x:c r="Z797" s="86"/>
      <x:c r="AA797" s="32"/>
    </x:row>
    <x:row r="798">
      <x:c r="A798" s="87"/>
      <x:c r="B798" s="88"/>
      <x:c r="D798" s="32"/>
      <x:c r="I798" s="74"/>
      <x:c r="J798" s="74"/>
      <x:c r="K798" s="74"/>
      <x:c r="L798" s="74"/>
      <x:c r="M798" s="74"/>
      <x:c r="N798" s="74"/>
      <x:c r="O798" s="91"/>
      <x:c r="P798" s="91"/>
      <x:c r="Q798" s="85"/>
      <x:c r="R798" s="85"/>
      <x:c r="S798" s="85"/>
      <x:c r="T798" s="85"/>
      <x:c r="U798" s="85"/>
      <x:c r="V798" s="85"/>
      <x:c r="W798" s="85"/>
      <x:c r="Y798" s="86"/>
      <x:c r="Z798" s="86"/>
      <x:c r="AA798" s="32"/>
    </x:row>
    <x:row r="799">
      <x:c r="A799" s="87"/>
      <x:c r="B799" s="88"/>
      <x:c r="D799" s="32"/>
      <x:c r="I799" s="74"/>
      <x:c r="J799" s="74"/>
      <x:c r="K799" s="74"/>
      <x:c r="L799" s="74"/>
      <x:c r="M799" s="74"/>
      <x:c r="N799" s="74"/>
      <x:c r="O799" s="91"/>
      <x:c r="P799" s="91"/>
      <x:c r="Q799" s="85"/>
      <x:c r="R799" s="85"/>
      <x:c r="S799" s="85"/>
      <x:c r="T799" s="85"/>
      <x:c r="U799" s="85"/>
      <x:c r="V799" s="85"/>
      <x:c r="W799" s="85"/>
      <x:c r="Y799" s="86"/>
      <x:c r="Z799" s="86"/>
      <x:c r="AA799" s="32"/>
    </x:row>
    <x:row r="800">
      <x:c r="A800" s="87"/>
      <x:c r="B800" s="88"/>
      <x:c r="D800" s="32"/>
      <x:c r="I800" s="74"/>
      <x:c r="J800" s="74"/>
      <x:c r="K800" s="74"/>
      <x:c r="L800" s="74"/>
      <x:c r="M800" s="74"/>
      <x:c r="N800" s="74"/>
      <x:c r="O800" s="91"/>
      <x:c r="P800" s="91"/>
      <x:c r="Q800" s="85"/>
      <x:c r="R800" s="85"/>
      <x:c r="S800" s="85"/>
      <x:c r="T800" s="85"/>
      <x:c r="U800" s="85"/>
      <x:c r="V800" s="85"/>
      <x:c r="W800" s="85"/>
      <x:c r="Y800" s="86"/>
      <x:c r="Z800" s="86"/>
      <x:c r="AA800" s="32"/>
    </x:row>
    <x:row r="801">
      <x:c r="A801" s="87"/>
      <x:c r="B801" s="88"/>
      <x:c r="D801" s="32"/>
      <x:c r="I801" s="74"/>
      <x:c r="J801" s="74"/>
      <x:c r="K801" s="74"/>
      <x:c r="L801" s="74"/>
      <x:c r="M801" s="74"/>
      <x:c r="N801" s="74"/>
      <x:c r="O801" s="91"/>
      <x:c r="P801" s="91"/>
      <x:c r="Q801" s="85"/>
      <x:c r="R801" s="85"/>
      <x:c r="S801" s="85"/>
      <x:c r="T801" s="85"/>
      <x:c r="U801" s="85"/>
      <x:c r="V801" s="85"/>
      <x:c r="W801" s="85"/>
      <x:c r="Y801" s="86"/>
      <x:c r="Z801" s="86"/>
      <x:c r="AA801" s="32"/>
    </x:row>
    <x:row r="802">
      <x:c r="A802" s="87"/>
      <x:c r="B802" s="88"/>
      <x:c r="D802" s="32"/>
      <x:c r="I802" s="74"/>
      <x:c r="J802" s="74"/>
      <x:c r="K802" s="74"/>
      <x:c r="L802" s="74"/>
      <x:c r="M802" s="74"/>
      <x:c r="N802" s="74"/>
      <x:c r="O802" s="91"/>
      <x:c r="P802" s="91"/>
      <x:c r="Q802" s="85"/>
      <x:c r="R802" s="85"/>
      <x:c r="S802" s="85"/>
      <x:c r="T802" s="85"/>
      <x:c r="U802" s="85"/>
      <x:c r="V802" s="85"/>
      <x:c r="W802" s="85"/>
      <x:c r="Y802" s="86"/>
      <x:c r="Z802" s="86"/>
      <x:c r="AA802" s="32"/>
    </x:row>
    <x:row r="803">
      <x:c r="A803" s="87"/>
      <x:c r="B803" s="88"/>
      <x:c r="D803" s="32"/>
      <x:c r="I803" s="74"/>
      <x:c r="J803" s="74"/>
      <x:c r="K803" s="74"/>
      <x:c r="L803" s="74"/>
      <x:c r="M803" s="74"/>
      <x:c r="N803" s="74"/>
      <x:c r="O803" s="91"/>
      <x:c r="P803" s="91"/>
      <x:c r="Q803" s="85"/>
      <x:c r="R803" s="85"/>
      <x:c r="S803" s="85"/>
      <x:c r="T803" s="85"/>
      <x:c r="U803" s="85"/>
      <x:c r="V803" s="85"/>
      <x:c r="W803" s="85"/>
      <x:c r="Y803" s="86"/>
      <x:c r="Z803" s="86"/>
      <x:c r="AA803" s="32"/>
    </x:row>
    <x:row r="804">
      <x:c r="A804" s="87"/>
      <x:c r="B804" s="88"/>
      <x:c r="D804" s="32"/>
      <x:c r="I804" s="74"/>
      <x:c r="J804" s="74"/>
      <x:c r="K804" s="74"/>
      <x:c r="L804" s="74"/>
      <x:c r="M804" s="74"/>
      <x:c r="N804" s="74"/>
      <x:c r="O804" s="91"/>
      <x:c r="P804" s="91"/>
      <x:c r="Q804" s="85"/>
      <x:c r="R804" s="85"/>
      <x:c r="S804" s="85"/>
      <x:c r="T804" s="85"/>
      <x:c r="U804" s="85"/>
      <x:c r="V804" s="85"/>
      <x:c r="W804" s="85"/>
      <x:c r="Y804" s="86"/>
      <x:c r="Z804" s="86"/>
      <x:c r="AA804" s="32"/>
    </x:row>
    <x:row r="805">
      <x:c r="A805" s="87"/>
      <x:c r="B805" s="88"/>
      <x:c r="D805" s="32"/>
      <x:c r="I805" s="74"/>
      <x:c r="J805" s="74"/>
      <x:c r="K805" s="74"/>
      <x:c r="L805" s="74"/>
      <x:c r="M805" s="74"/>
      <x:c r="N805" s="74"/>
      <x:c r="O805" s="91"/>
      <x:c r="P805" s="91"/>
      <x:c r="Q805" s="85"/>
      <x:c r="R805" s="85"/>
      <x:c r="S805" s="85"/>
      <x:c r="T805" s="85"/>
      <x:c r="U805" s="85"/>
      <x:c r="V805" s="85"/>
      <x:c r="W805" s="85"/>
      <x:c r="Y805" s="86"/>
      <x:c r="Z805" s="86"/>
      <x:c r="AA805" s="32"/>
    </x:row>
    <x:row r="806">
      <x:c r="A806" s="87"/>
      <x:c r="B806" s="88"/>
      <x:c r="D806" s="32"/>
      <x:c r="I806" s="74"/>
      <x:c r="J806" s="74"/>
      <x:c r="K806" s="74"/>
      <x:c r="L806" s="74"/>
      <x:c r="M806" s="74"/>
      <x:c r="N806" s="74"/>
      <x:c r="O806" s="91"/>
      <x:c r="P806" s="91"/>
      <x:c r="Q806" s="85"/>
      <x:c r="R806" s="85"/>
      <x:c r="S806" s="85"/>
      <x:c r="T806" s="85"/>
      <x:c r="U806" s="85"/>
      <x:c r="V806" s="85"/>
      <x:c r="W806" s="85"/>
      <x:c r="Y806" s="86"/>
      <x:c r="Z806" s="86"/>
      <x:c r="AA806" s="32"/>
    </x:row>
    <x:row r="807">
      <x:c r="A807" s="87"/>
      <x:c r="B807" s="88"/>
      <x:c r="D807" s="32"/>
      <x:c r="I807" s="74"/>
      <x:c r="J807" s="74"/>
      <x:c r="K807" s="74"/>
      <x:c r="L807" s="74"/>
      <x:c r="M807" s="74"/>
      <x:c r="N807" s="74"/>
      <x:c r="O807" s="91"/>
      <x:c r="P807" s="91"/>
      <x:c r="Q807" s="85"/>
      <x:c r="R807" s="85"/>
      <x:c r="S807" s="85"/>
      <x:c r="T807" s="85"/>
      <x:c r="U807" s="85"/>
      <x:c r="V807" s="85"/>
      <x:c r="W807" s="85"/>
      <x:c r="Y807" s="86"/>
      <x:c r="Z807" s="86"/>
      <x:c r="AA807" s="32"/>
    </x:row>
    <x:row r="808">
      <x:c r="A808" s="87"/>
      <x:c r="B808" s="88"/>
      <x:c r="D808" s="32"/>
      <x:c r="I808" s="74"/>
      <x:c r="J808" s="74"/>
      <x:c r="K808" s="74"/>
      <x:c r="L808" s="74"/>
      <x:c r="M808" s="74"/>
      <x:c r="N808" s="74"/>
      <x:c r="O808" s="91"/>
      <x:c r="P808" s="91"/>
      <x:c r="Q808" s="85"/>
      <x:c r="R808" s="85"/>
      <x:c r="S808" s="85"/>
      <x:c r="T808" s="85"/>
      <x:c r="U808" s="85"/>
      <x:c r="V808" s="85"/>
      <x:c r="W808" s="85"/>
      <x:c r="Y808" s="86"/>
      <x:c r="Z808" s="86"/>
      <x:c r="AA808" s="32"/>
    </x:row>
    <x:row r="809">
      <x:c r="A809" s="87"/>
      <x:c r="B809" s="88"/>
      <x:c r="D809" s="32"/>
      <x:c r="I809" s="74"/>
      <x:c r="J809" s="74"/>
      <x:c r="K809" s="74"/>
      <x:c r="L809" s="74"/>
      <x:c r="M809" s="74"/>
      <x:c r="N809" s="74"/>
      <x:c r="O809" s="91"/>
      <x:c r="P809" s="91"/>
      <x:c r="Q809" s="85"/>
      <x:c r="R809" s="85"/>
      <x:c r="S809" s="85"/>
      <x:c r="T809" s="85"/>
      <x:c r="U809" s="85"/>
      <x:c r="V809" s="85"/>
      <x:c r="W809" s="85"/>
      <x:c r="Y809" s="86"/>
      <x:c r="Z809" s="86"/>
      <x:c r="AA809" s="32"/>
    </x:row>
    <x:row r="810">
      <x:c r="A810" s="87"/>
      <x:c r="B810" s="88"/>
      <x:c r="D810" s="32"/>
      <x:c r="I810" s="74"/>
      <x:c r="J810" s="74"/>
      <x:c r="K810" s="74"/>
      <x:c r="L810" s="74"/>
      <x:c r="M810" s="74"/>
      <x:c r="N810" s="74"/>
      <x:c r="O810" s="91"/>
      <x:c r="P810" s="91"/>
      <x:c r="Q810" s="85"/>
      <x:c r="R810" s="85"/>
      <x:c r="S810" s="85"/>
      <x:c r="T810" s="85"/>
      <x:c r="U810" s="85"/>
      <x:c r="V810" s="85"/>
      <x:c r="W810" s="85"/>
      <x:c r="Y810" s="86"/>
      <x:c r="Z810" s="86"/>
      <x:c r="AA810" s="32"/>
    </x:row>
    <x:row r="811">
      <x:c r="A811" s="87"/>
      <x:c r="B811" s="88"/>
      <x:c r="D811" s="32"/>
      <x:c r="I811" s="74"/>
      <x:c r="J811" s="74"/>
      <x:c r="K811" s="74"/>
      <x:c r="L811" s="74"/>
      <x:c r="M811" s="74"/>
      <x:c r="N811" s="74"/>
      <x:c r="O811" s="91"/>
      <x:c r="P811" s="91"/>
      <x:c r="Q811" s="85"/>
      <x:c r="R811" s="85"/>
      <x:c r="S811" s="85"/>
      <x:c r="T811" s="85"/>
      <x:c r="U811" s="85"/>
      <x:c r="V811" s="85"/>
      <x:c r="W811" s="85"/>
      <x:c r="Y811" s="86"/>
      <x:c r="Z811" s="86"/>
      <x:c r="AA811" s="32"/>
    </x:row>
    <x:row r="812">
      <x:c r="A812" s="87"/>
      <x:c r="B812" s="88"/>
      <x:c r="D812" s="32"/>
      <x:c r="I812" s="74"/>
      <x:c r="J812" s="74"/>
      <x:c r="K812" s="74"/>
      <x:c r="L812" s="74"/>
      <x:c r="M812" s="74"/>
      <x:c r="N812" s="74"/>
      <x:c r="O812" s="91"/>
      <x:c r="P812" s="91"/>
      <x:c r="Q812" s="85"/>
      <x:c r="R812" s="85"/>
      <x:c r="S812" s="85"/>
      <x:c r="T812" s="85"/>
      <x:c r="U812" s="85"/>
      <x:c r="V812" s="85"/>
      <x:c r="W812" s="85"/>
      <x:c r="Y812" s="86"/>
      <x:c r="Z812" s="86"/>
      <x:c r="AA812" s="32"/>
    </x:row>
    <x:row r="813">
      <x:c r="A813" s="87"/>
      <x:c r="B813" s="88"/>
      <x:c r="D813" s="32"/>
      <x:c r="I813" s="74"/>
      <x:c r="J813" s="74"/>
      <x:c r="K813" s="74"/>
      <x:c r="L813" s="74"/>
      <x:c r="M813" s="74"/>
      <x:c r="N813" s="74"/>
      <x:c r="O813" s="91"/>
      <x:c r="P813" s="91"/>
      <x:c r="Q813" s="85"/>
      <x:c r="R813" s="85"/>
      <x:c r="S813" s="85"/>
      <x:c r="T813" s="85"/>
      <x:c r="U813" s="85"/>
      <x:c r="V813" s="85"/>
      <x:c r="W813" s="85"/>
      <x:c r="Y813" s="86"/>
      <x:c r="Z813" s="86"/>
      <x:c r="AA813" s="32"/>
    </x:row>
    <x:row r="814">
      <x:c r="A814" s="87"/>
      <x:c r="B814" s="88"/>
      <x:c r="D814" s="32"/>
      <x:c r="I814" s="74"/>
      <x:c r="J814" s="74"/>
      <x:c r="K814" s="74"/>
      <x:c r="L814" s="74"/>
      <x:c r="M814" s="74"/>
      <x:c r="N814" s="74"/>
      <x:c r="O814" s="91"/>
      <x:c r="P814" s="91"/>
      <x:c r="Q814" s="85"/>
      <x:c r="R814" s="85"/>
      <x:c r="S814" s="85"/>
      <x:c r="T814" s="85"/>
      <x:c r="U814" s="85"/>
      <x:c r="V814" s="85"/>
      <x:c r="W814" s="85"/>
      <x:c r="Y814" s="86"/>
      <x:c r="Z814" s="86"/>
      <x:c r="AA814" s="32"/>
    </x:row>
    <x:row r="815">
      <x:c r="A815" s="87"/>
      <x:c r="B815" s="88"/>
      <x:c r="D815" s="32"/>
      <x:c r="I815" s="74"/>
      <x:c r="J815" s="74"/>
      <x:c r="K815" s="74"/>
      <x:c r="L815" s="74"/>
      <x:c r="M815" s="74"/>
      <x:c r="N815" s="74"/>
      <x:c r="O815" s="91"/>
      <x:c r="P815" s="91"/>
      <x:c r="Q815" s="85"/>
      <x:c r="R815" s="85"/>
      <x:c r="S815" s="85"/>
      <x:c r="T815" s="85"/>
      <x:c r="U815" s="85"/>
      <x:c r="V815" s="85"/>
      <x:c r="W815" s="85"/>
      <x:c r="Y815" s="86"/>
      <x:c r="Z815" s="86"/>
      <x:c r="AA815" s="32"/>
    </x:row>
    <x:row r="816">
      <x:c r="A816" s="87"/>
      <x:c r="B816" s="88"/>
      <x:c r="D816" s="32"/>
      <x:c r="I816" s="74"/>
      <x:c r="J816" s="74"/>
      <x:c r="K816" s="74"/>
      <x:c r="L816" s="74"/>
      <x:c r="M816" s="74"/>
      <x:c r="N816" s="74"/>
      <x:c r="O816" s="91"/>
      <x:c r="P816" s="91"/>
      <x:c r="Q816" s="85"/>
      <x:c r="R816" s="85"/>
      <x:c r="S816" s="85"/>
      <x:c r="T816" s="85"/>
      <x:c r="U816" s="85"/>
      <x:c r="V816" s="85"/>
      <x:c r="W816" s="85"/>
      <x:c r="Y816" s="86"/>
      <x:c r="Z816" s="86"/>
      <x:c r="AA816" s="32"/>
    </x:row>
    <x:row r="817">
      <x:c r="A817" s="87"/>
      <x:c r="B817" s="88"/>
      <x:c r="D817" s="32"/>
      <x:c r="I817" s="74"/>
      <x:c r="J817" s="74"/>
      <x:c r="K817" s="74"/>
      <x:c r="L817" s="74"/>
      <x:c r="M817" s="74"/>
      <x:c r="N817" s="74"/>
      <x:c r="O817" s="91"/>
      <x:c r="P817" s="91"/>
      <x:c r="Q817" s="85"/>
      <x:c r="R817" s="85"/>
      <x:c r="S817" s="85"/>
      <x:c r="T817" s="85"/>
      <x:c r="U817" s="85"/>
      <x:c r="V817" s="85"/>
      <x:c r="W817" s="85"/>
      <x:c r="Y817" s="86"/>
      <x:c r="Z817" s="86"/>
      <x:c r="AA817" s="32"/>
    </x:row>
    <x:row r="818">
      <x:c r="A818" s="87"/>
      <x:c r="B818" s="88"/>
      <x:c r="D818" s="32"/>
      <x:c r="I818" s="74"/>
      <x:c r="J818" s="74"/>
      <x:c r="K818" s="74"/>
      <x:c r="L818" s="74"/>
      <x:c r="M818" s="74"/>
      <x:c r="N818" s="74"/>
      <x:c r="O818" s="91"/>
      <x:c r="P818" s="91"/>
      <x:c r="Q818" s="85"/>
      <x:c r="R818" s="85"/>
      <x:c r="S818" s="85"/>
      <x:c r="T818" s="85"/>
      <x:c r="U818" s="85"/>
      <x:c r="V818" s="85"/>
      <x:c r="W818" s="85"/>
      <x:c r="Y818" s="86"/>
      <x:c r="Z818" s="86"/>
      <x:c r="AA818" s="32"/>
    </x:row>
    <x:row r="819">
      <x:c r="A819" s="87"/>
      <x:c r="B819" s="88"/>
      <x:c r="D819" s="32"/>
      <x:c r="I819" s="74"/>
      <x:c r="J819" s="74"/>
      <x:c r="K819" s="74"/>
      <x:c r="L819" s="74"/>
      <x:c r="M819" s="74"/>
      <x:c r="N819" s="74"/>
      <x:c r="O819" s="91"/>
      <x:c r="P819" s="91"/>
      <x:c r="Q819" s="85"/>
      <x:c r="R819" s="85"/>
      <x:c r="S819" s="85"/>
      <x:c r="T819" s="85"/>
      <x:c r="U819" s="85"/>
      <x:c r="V819" s="85"/>
      <x:c r="W819" s="85"/>
      <x:c r="Y819" s="86"/>
      <x:c r="Z819" s="86"/>
      <x:c r="AA819" s="32"/>
    </x:row>
    <x:row r="820">
      <x:c r="A820" s="87"/>
      <x:c r="B820" s="88"/>
      <x:c r="D820" s="32"/>
      <x:c r="I820" s="74"/>
      <x:c r="J820" s="74"/>
      <x:c r="K820" s="74"/>
      <x:c r="L820" s="74"/>
      <x:c r="M820" s="74"/>
      <x:c r="N820" s="74"/>
      <x:c r="O820" s="91"/>
      <x:c r="P820" s="91"/>
      <x:c r="Q820" s="85"/>
      <x:c r="R820" s="85"/>
      <x:c r="S820" s="85"/>
      <x:c r="T820" s="85"/>
      <x:c r="U820" s="85"/>
      <x:c r="V820" s="85"/>
      <x:c r="W820" s="85"/>
      <x:c r="Y820" s="86"/>
      <x:c r="Z820" s="86"/>
      <x:c r="AA820" s="32"/>
    </x:row>
    <x:row r="821">
      <x:c r="A821" s="87"/>
      <x:c r="B821" s="88"/>
      <x:c r="D821" s="32"/>
      <x:c r="I821" s="74"/>
      <x:c r="J821" s="74"/>
      <x:c r="K821" s="74"/>
      <x:c r="L821" s="74"/>
      <x:c r="M821" s="74"/>
      <x:c r="N821" s="74"/>
      <x:c r="O821" s="91"/>
      <x:c r="P821" s="91"/>
      <x:c r="Q821" s="85"/>
      <x:c r="R821" s="85"/>
      <x:c r="S821" s="85"/>
      <x:c r="T821" s="85"/>
      <x:c r="U821" s="85"/>
      <x:c r="V821" s="85"/>
      <x:c r="W821" s="85"/>
      <x:c r="Y821" s="86"/>
      <x:c r="Z821" s="86"/>
      <x:c r="AA821" s="32"/>
    </x:row>
    <x:row r="822">
      <x:c r="A822" s="87"/>
      <x:c r="B822" s="88"/>
      <x:c r="D822" s="32"/>
      <x:c r="I822" s="74"/>
      <x:c r="J822" s="74"/>
      <x:c r="K822" s="74"/>
      <x:c r="L822" s="74"/>
      <x:c r="M822" s="74"/>
      <x:c r="N822" s="74"/>
      <x:c r="O822" s="91"/>
      <x:c r="P822" s="91"/>
      <x:c r="Q822" s="85"/>
      <x:c r="R822" s="85"/>
      <x:c r="S822" s="85"/>
      <x:c r="T822" s="85"/>
      <x:c r="U822" s="85"/>
      <x:c r="V822" s="85"/>
      <x:c r="W822" s="85"/>
      <x:c r="Y822" s="86"/>
      <x:c r="Z822" s="86"/>
      <x:c r="AA822" s="32"/>
    </x:row>
    <x:row r="823">
      <x:c r="A823" s="87"/>
      <x:c r="B823" s="88"/>
      <x:c r="D823" s="32"/>
      <x:c r="I823" s="74"/>
      <x:c r="J823" s="74"/>
      <x:c r="K823" s="74"/>
      <x:c r="L823" s="74"/>
      <x:c r="M823" s="74"/>
      <x:c r="N823" s="74"/>
      <x:c r="O823" s="91"/>
      <x:c r="P823" s="91"/>
      <x:c r="Q823" s="85"/>
      <x:c r="R823" s="85"/>
      <x:c r="S823" s="85"/>
      <x:c r="T823" s="85"/>
      <x:c r="U823" s="85"/>
      <x:c r="V823" s="85"/>
      <x:c r="W823" s="85"/>
      <x:c r="Y823" s="86"/>
      <x:c r="Z823" s="86"/>
      <x:c r="AA823" s="32"/>
    </x:row>
    <x:row r="824">
      <x:c r="A824" s="87"/>
      <x:c r="B824" s="88"/>
      <x:c r="D824" s="32"/>
      <x:c r="I824" s="74"/>
      <x:c r="J824" s="74"/>
      <x:c r="K824" s="74"/>
      <x:c r="L824" s="74"/>
      <x:c r="M824" s="74"/>
      <x:c r="N824" s="74"/>
      <x:c r="O824" s="91"/>
      <x:c r="P824" s="91"/>
      <x:c r="Q824" s="85"/>
      <x:c r="R824" s="85"/>
      <x:c r="S824" s="85"/>
      <x:c r="T824" s="85"/>
      <x:c r="U824" s="85"/>
      <x:c r="V824" s="85"/>
      <x:c r="W824" s="85"/>
      <x:c r="Y824" s="86"/>
      <x:c r="Z824" s="86"/>
      <x:c r="AA824" s="32"/>
    </x:row>
    <x:row r="825">
      <x:c r="A825" s="87"/>
      <x:c r="B825" s="88"/>
      <x:c r="D825" s="32"/>
      <x:c r="I825" s="74"/>
      <x:c r="J825" s="74"/>
      <x:c r="K825" s="74"/>
      <x:c r="L825" s="74"/>
      <x:c r="M825" s="74"/>
      <x:c r="N825" s="74"/>
      <x:c r="O825" s="91"/>
      <x:c r="P825" s="91"/>
      <x:c r="Q825" s="85"/>
      <x:c r="R825" s="85"/>
      <x:c r="S825" s="85"/>
      <x:c r="T825" s="85"/>
      <x:c r="U825" s="85"/>
      <x:c r="V825" s="85"/>
      <x:c r="W825" s="85"/>
      <x:c r="Y825" s="86"/>
      <x:c r="Z825" s="86"/>
      <x:c r="AA825" s="32"/>
    </x:row>
    <x:row r="826">
      <x:c r="A826" s="87"/>
      <x:c r="B826" s="88"/>
      <x:c r="D826" s="32"/>
      <x:c r="I826" s="74"/>
      <x:c r="J826" s="74"/>
      <x:c r="K826" s="74"/>
      <x:c r="L826" s="74"/>
      <x:c r="M826" s="74"/>
      <x:c r="N826" s="74"/>
      <x:c r="O826" s="91"/>
      <x:c r="P826" s="91"/>
      <x:c r="Q826" s="85"/>
      <x:c r="R826" s="85"/>
      <x:c r="S826" s="85"/>
      <x:c r="T826" s="85"/>
      <x:c r="U826" s="85"/>
      <x:c r="V826" s="85"/>
      <x:c r="W826" s="85"/>
      <x:c r="Y826" s="86"/>
      <x:c r="Z826" s="86"/>
      <x:c r="AA826" s="32"/>
    </x:row>
    <x:row r="827">
      <x:c r="A827" s="87"/>
      <x:c r="B827" s="88"/>
      <x:c r="D827" s="32"/>
      <x:c r="I827" s="74"/>
      <x:c r="J827" s="74"/>
      <x:c r="K827" s="74"/>
      <x:c r="L827" s="74"/>
      <x:c r="M827" s="74"/>
      <x:c r="N827" s="74"/>
      <x:c r="O827" s="91"/>
      <x:c r="P827" s="91"/>
      <x:c r="Q827" s="85"/>
      <x:c r="R827" s="85"/>
      <x:c r="S827" s="85"/>
      <x:c r="T827" s="85"/>
      <x:c r="U827" s="85"/>
      <x:c r="V827" s="85"/>
      <x:c r="W827" s="85"/>
      <x:c r="Y827" s="86"/>
      <x:c r="Z827" s="86"/>
      <x:c r="AA827" s="32"/>
    </x:row>
    <x:row r="828">
      <x:c r="A828" s="87"/>
      <x:c r="B828" s="88"/>
      <x:c r="D828" s="32"/>
      <x:c r="I828" s="74"/>
      <x:c r="J828" s="74"/>
      <x:c r="K828" s="74"/>
      <x:c r="L828" s="74"/>
      <x:c r="M828" s="74"/>
      <x:c r="N828" s="74"/>
      <x:c r="O828" s="91"/>
      <x:c r="P828" s="91"/>
      <x:c r="Q828" s="85"/>
      <x:c r="R828" s="85"/>
      <x:c r="S828" s="85"/>
      <x:c r="T828" s="85"/>
      <x:c r="U828" s="85"/>
      <x:c r="V828" s="85"/>
      <x:c r="W828" s="85"/>
      <x:c r="Y828" s="86"/>
      <x:c r="Z828" s="86"/>
      <x:c r="AA828" s="32"/>
    </x:row>
    <x:row r="829">
      <x:c r="A829" s="87"/>
      <x:c r="B829" s="88"/>
      <x:c r="D829" s="32"/>
      <x:c r="I829" s="74"/>
      <x:c r="J829" s="74"/>
      <x:c r="K829" s="74"/>
      <x:c r="L829" s="74"/>
      <x:c r="M829" s="74"/>
      <x:c r="N829" s="74"/>
      <x:c r="O829" s="91"/>
      <x:c r="P829" s="91"/>
      <x:c r="Q829" s="85"/>
      <x:c r="R829" s="85"/>
      <x:c r="S829" s="85"/>
      <x:c r="T829" s="85"/>
      <x:c r="U829" s="85"/>
      <x:c r="V829" s="85"/>
      <x:c r="W829" s="85"/>
      <x:c r="Y829" s="86"/>
      <x:c r="Z829" s="86"/>
      <x:c r="AA829" s="32"/>
    </x:row>
    <x:row r="830">
      <x:c r="A830" s="87"/>
      <x:c r="B830" s="88"/>
      <x:c r="D830" s="32"/>
      <x:c r="I830" s="74"/>
      <x:c r="J830" s="74"/>
      <x:c r="K830" s="74"/>
      <x:c r="L830" s="74"/>
      <x:c r="M830" s="74"/>
      <x:c r="N830" s="74"/>
      <x:c r="O830" s="91"/>
      <x:c r="P830" s="91"/>
      <x:c r="Q830" s="85"/>
      <x:c r="R830" s="85"/>
      <x:c r="S830" s="85"/>
      <x:c r="T830" s="85"/>
      <x:c r="U830" s="85"/>
      <x:c r="V830" s="85"/>
      <x:c r="W830" s="85"/>
      <x:c r="Y830" s="86"/>
      <x:c r="Z830" s="86"/>
      <x:c r="AA830" s="32"/>
    </x:row>
    <x:row r="831">
      <x:c r="A831" s="87"/>
      <x:c r="B831" s="88"/>
      <x:c r="D831" s="32"/>
      <x:c r="I831" s="74"/>
      <x:c r="J831" s="74"/>
      <x:c r="K831" s="74"/>
      <x:c r="L831" s="74"/>
      <x:c r="M831" s="74"/>
      <x:c r="N831" s="74"/>
      <x:c r="O831" s="91"/>
      <x:c r="P831" s="91"/>
      <x:c r="Q831" s="85"/>
      <x:c r="R831" s="85"/>
      <x:c r="S831" s="85"/>
      <x:c r="T831" s="85"/>
      <x:c r="U831" s="85"/>
      <x:c r="V831" s="85"/>
      <x:c r="W831" s="85"/>
      <x:c r="Y831" s="86"/>
      <x:c r="Z831" s="86"/>
      <x:c r="AA831" s="32"/>
    </x:row>
    <x:row r="832">
      <x:c r="A832" s="87"/>
      <x:c r="B832" s="88"/>
      <x:c r="D832" s="32"/>
      <x:c r="I832" s="74"/>
      <x:c r="J832" s="74"/>
      <x:c r="K832" s="74"/>
      <x:c r="L832" s="74"/>
      <x:c r="M832" s="74"/>
      <x:c r="N832" s="74"/>
      <x:c r="O832" s="91"/>
      <x:c r="P832" s="91"/>
      <x:c r="Q832" s="85"/>
      <x:c r="R832" s="85"/>
      <x:c r="S832" s="85"/>
      <x:c r="T832" s="85"/>
      <x:c r="U832" s="85"/>
      <x:c r="V832" s="85"/>
      <x:c r="W832" s="85"/>
      <x:c r="Y832" s="86"/>
      <x:c r="Z832" s="86"/>
      <x:c r="AA832" s="32"/>
    </x:row>
    <x:row r="833">
      <x:c r="A833" s="87"/>
      <x:c r="B833" s="88"/>
      <x:c r="D833" s="32"/>
      <x:c r="I833" s="74"/>
      <x:c r="J833" s="74"/>
      <x:c r="K833" s="74"/>
      <x:c r="L833" s="74"/>
      <x:c r="M833" s="74"/>
      <x:c r="N833" s="74"/>
      <x:c r="O833" s="91"/>
      <x:c r="P833" s="91"/>
      <x:c r="Q833" s="85"/>
      <x:c r="R833" s="85"/>
      <x:c r="S833" s="85"/>
      <x:c r="T833" s="85"/>
      <x:c r="U833" s="85"/>
      <x:c r="V833" s="85"/>
      <x:c r="W833" s="85"/>
      <x:c r="Y833" s="86"/>
      <x:c r="Z833" s="86"/>
      <x:c r="AA833" s="32"/>
    </x:row>
    <x:row r="834">
      <x:c r="A834" s="87"/>
      <x:c r="B834" s="88"/>
      <x:c r="D834" s="32"/>
      <x:c r="I834" s="74"/>
      <x:c r="J834" s="74"/>
      <x:c r="K834" s="74"/>
      <x:c r="L834" s="74"/>
      <x:c r="M834" s="74"/>
      <x:c r="N834" s="74"/>
      <x:c r="O834" s="91"/>
      <x:c r="P834" s="91"/>
      <x:c r="Q834" s="85"/>
      <x:c r="R834" s="85"/>
      <x:c r="S834" s="85"/>
      <x:c r="T834" s="85"/>
      <x:c r="U834" s="85"/>
      <x:c r="V834" s="85"/>
      <x:c r="W834" s="85"/>
      <x:c r="Y834" s="86"/>
      <x:c r="Z834" s="86"/>
      <x:c r="AA834" s="32"/>
    </x:row>
    <x:row r="835">
      <x:c r="A835" s="87"/>
      <x:c r="B835" s="88"/>
      <x:c r="D835" s="32"/>
      <x:c r="I835" s="74"/>
      <x:c r="J835" s="74"/>
      <x:c r="K835" s="74"/>
      <x:c r="L835" s="74"/>
      <x:c r="M835" s="74"/>
      <x:c r="N835" s="74"/>
      <x:c r="O835" s="91"/>
      <x:c r="P835" s="91"/>
      <x:c r="Q835" s="85"/>
      <x:c r="R835" s="85"/>
      <x:c r="S835" s="85"/>
      <x:c r="T835" s="85"/>
      <x:c r="U835" s="85"/>
      <x:c r="V835" s="85"/>
      <x:c r="W835" s="85"/>
      <x:c r="Y835" s="86"/>
      <x:c r="Z835" s="86"/>
      <x:c r="AA835" s="32"/>
    </x:row>
    <x:row r="836">
      <x:c r="A836" s="87"/>
      <x:c r="B836" s="88"/>
      <x:c r="D836" s="32"/>
      <x:c r="I836" s="74"/>
      <x:c r="J836" s="74"/>
      <x:c r="K836" s="74"/>
      <x:c r="L836" s="74"/>
      <x:c r="M836" s="74"/>
      <x:c r="N836" s="74"/>
      <x:c r="O836" s="91"/>
      <x:c r="P836" s="91"/>
      <x:c r="Q836" s="85"/>
      <x:c r="R836" s="85"/>
      <x:c r="S836" s="85"/>
      <x:c r="T836" s="85"/>
      <x:c r="U836" s="85"/>
      <x:c r="V836" s="85"/>
      <x:c r="W836" s="85"/>
      <x:c r="Y836" s="86"/>
      <x:c r="Z836" s="86"/>
      <x:c r="AA836" s="32"/>
    </x:row>
    <x:row r="837">
      <x:c r="A837" s="87"/>
      <x:c r="B837" s="88"/>
      <x:c r="D837" s="32"/>
      <x:c r="I837" s="74"/>
      <x:c r="J837" s="74"/>
      <x:c r="K837" s="74"/>
      <x:c r="L837" s="74"/>
      <x:c r="M837" s="74"/>
      <x:c r="N837" s="74"/>
      <x:c r="O837" s="91"/>
      <x:c r="P837" s="91"/>
      <x:c r="Q837" s="85"/>
      <x:c r="R837" s="85"/>
      <x:c r="S837" s="85"/>
      <x:c r="T837" s="85"/>
      <x:c r="U837" s="85"/>
      <x:c r="V837" s="85"/>
      <x:c r="W837" s="85"/>
      <x:c r="Y837" s="86"/>
      <x:c r="Z837" s="86"/>
      <x:c r="AA837" s="32"/>
    </x:row>
    <x:row r="838">
      <x:c r="A838" s="87"/>
      <x:c r="B838" s="88"/>
      <x:c r="D838" s="32"/>
      <x:c r="I838" s="74"/>
      <x:c r="J838" s="74"/>
      <x:c r="K838" s="74"/>
      <x:c r="L838" s="74"/>
      <x:c r="M838" s="74"/>
      <x:c r="N838" s="74"/>
      <x:c r="O838" s="91"/>
      <x:c r="P838" s="91"/>
      <x:c r="Q838" s="85"/>
      <x:c r="R838" s="85"/>
      <x:c r="S838" s="85"/>
      <x:c r="T838" s="85"/>
      <x:c r="U838" s="85"/>
      <x:c r="V838" s="85"/>
      <x:c r="W838" s="85"/>
      <x:c r="Y838" s="86"/>
      <x:c r="Z838" s="86"/>
      <x:c r="AA838" s="32"/>
    </x:row>
    <x:row r="839">
      <x:c r="A839" s="87"/>
      <x:c r="B839" s="88"/>
      <x:c r="D839" s="32"/>
      <x:c r="I839" s="74"/>
      <x:c r="J839" s="74"/>
      <x:c r="K839" s="74"/>
      <x:c r="L839" s="74"/>
      <x:c r="M839" s="74"/>
      <x:c r="N839" s="74"/>
      <x:c r="O839" s="91"/>
      <x:c r="P839" s="91"/>
      <x:c r="Q839" s="85"/>
      <x:c r="R839" s="85"/>
      <x:c r="S839" s="85"/>
      <x:c r="T839" s="85"/>
      <x:c r="U839" s="85"/>
      <x:c r="V839" s="85"/>
      <x:c r="W839" s="85"/>
      <x:c r="Y839" s="86"/>
      <x:c r="Z839" s="86"/>
      <x:c r="AA839" s="32"/>
    </x:row>
    <x:row r="840">
      <x:c r="A840" s="87"/>
      <x:c r="B840" s="88"/>
      <x:c r="D840" s="32"/>
      <x:c r="I840" s="74"/>
      <x:c r="J840" s="74"/>
      <x:c r="K840" s="74"/>
      <x:c r="L840" s="74"/>
      <x:c r="M840" s="74"/>
      <x:c r="N840" s="74"/>
      <x:c r="O840" s="91"/>
      <x:c r="P840" s="91"/>
      <x:c r="Q840" s="85"/>
      <x:c r="R840" s="85"/>
      <x:c r="S840" s="85"/>
      <x:c r="T840" s="85"/>
      <x:c r="U840" s="85"/>
      <x:c r="V840" s="85"/>
      <x:c r="W840" s="85"/>
      <x:c r="Y840" s="86"/>
      <x:c r="Z840" s="86"/>
      <x:c r="AA840" s="32"/>
    </x:row>
    <x:row r="841">
      <x:c r="A841" s="87"/>
      <x:c r="B841" s="88"/>
      <x:c r="D841" s="32"/>
      <x:c r="I841" s="74"/>
      <x:c r="J841" s="74"/>
      <x:c r="K841" s="74"/>
      <x:c r="L841" s="74"/>
      <x:c r="M841" s="74"/>
      <x:c r="N841" s="74"/>
      <x:c r="O841" s="91"/>
      <x:c r="P841" s="91"/>
      <x:c r="Q841" s="85"/>
      <x:c r="R841" s="85"/>
      <x:c r="S841" s="85"/>
      <x:c r="T841" s="85"/>
      <x:c r="U841" s="85"/>
      <x:c r="V841" s="85"/>
      <x:c r="W841" s="85"/>
      <x:c r="Y841" s="86"/>
      <x:c r="Z841" s="86"/>
      <x:c r="AA841" s="32"/>
    </x:row>
    <x:row r="842">
      <x:c r="A842" s="87"/>
      <x:c r="B842" s="88"/>
      <x:c r="D842" s="32"/>
      <x:c r="I842" s="74"/>
      <x:c r="J842" s="74"/>
      <x:c r="K842" s="74"/>
      <x:c r="L842" s="74"/>
      <x:c r="M842" s="74"/>
      <x:c r="N842" s="74"/>
      <x:c r="O842" s="91"/>
      <x:c r="P842" s="91"/>
      <x:c r="Q842" s="85"/>
      <x:c r="R842" s="85"/>
      <x:c r="S842" s="85"/>
      <x:c r="T842" s="85"/>
      <x:c r="U842" s="85"/>
      <x:c r="V842" s="85"/>
      <x:c r="W842" s="85"/>
      <x:c r="Y842" s="86"/>
      <x:c r="Z842" s="86"/>
      <x:c r="AA842" s="32"/>
    </x:row>
    <x:row r="843">
      <x:c r="A843" s="87"/>
      <x:c r="B843" s="88"/>
      <x:c r="D843" s="32"/>
      <x:c r="I843" s="74"/>
      <x:c r="J843" s="74"/>
      <x:c r="K843" s="74"/>
      <x:c r="L843" s="74"/>
      <x:c r="M843" s="74"/>
      <x:c r="N843" s="74"/>
      <x:c r="O843" s="91"/>
      <x:c r="P843" s="91"/>
      <x:c r="Q843" s="85"/>
      <x:c r="R843" s="85"/>
      <x:c r="S843" s="85"/>
      <x:c r="T843" s="85"/>
      <x:c r="U843" s="85"/>
      <x:c r="V843" s="85"/>
      <x:c r="W843" s="85"/>
      <x:c r="Y843" s="86"/>
      <x:c r="Z843" s="86"/>
      <x:c r="AA843" s="32"/>
    </x:row>
    <x:row r="844">
      <x:c r="A844" s="87"/>
      <x:c r="B844" s="88"/>
      <x:c r="D844" s="32"/>
      <x:c r="I844" s="74"/>
      <x:c r="J844" s="74"/>
      <x:c r="K844" s="74"/>
      <x:c r="L844" s="74"/>
      <x:c r="M844" s="74"/>
      <x:c r="N844" s="74"/>
      <x:c r="O844" s="91"/>
      <x:c r="P844" s="91"/>
      <x:c r="Q844" s="85"/>
      <x:c r="R844" s="85"/>
      <x:c r="S844" s="85"/>
      <x:c r="T844" s="85"/>
      <x:c r="U844" s="85"/>
      <x:c r="V844" s="85"/>
      <x:c r="W844" s="85"/>
      <x:c r="Y844" s="86"/>
      <x:c r="Z844" s="86"/>
      <x:c r="AA844" s="32"/>
    </x:row>
    <x:row r="845">
      <x:c r="A845" s="87"/>
      <x:c r="B845" s="88"/>
      <x:c r="D845" s="32"/>
      <x:c r="I845" s="74"/>
      <x:c r="J845" s="74"/>
      <x:c r="K845" s="74"/>
      <x:c r="L845" s="74"/>
      <x:c r="M845" s="74"/>
      <x:c r="N845" s="74"/>
      <x:c r="O845" s="91"/>
      <x:c r="P845" s="91"/>
      <x:c r="Q845" s="85"/>
      <x:c r="R845" s="85"/>
      <x:c r="S845" s="85"/>
      <x:c r="T845" s="85"/>
      <x:c r="U845" s="85"/>
      <x:c r="V845" s="85"/>
      <x:c r="W845" s="85"/>
      <x:c r="Y845" s="86"/>
      <x:c r="Z845" s="86"/>
      <x:c r="AA845" s="32"/>
    </x:row>
    <x:row r="846">
      <x:c r="A846" s="87"/>
      <x:c r="B846" s="88"/>
      <x:c r="D846" s="32"/>
      <x:c r="I846" s="74"/>
      <x:c r="J846" s="74"/>
      <x:c r="K846" s="74"/>
      <x:c r="L846" s="74"/>
      <x:c r="M846" s="74"/>
      <x:c r="N846" s="74"/>
      <x:c r="O846" s="91"/>
      <x:c r="P846" s="91"/>
      <x:c r="Q846" s="85"/>
      <x:c r="R846" s="85"/>
      <x:c r="S846" s="85"/>
      <x:c r="T846" s="85"/>
      <x:c r="U846" s="85"/>
      <x:c r="V846" s="85"/>
      <x:c r="W846" s="85"/>
      <x:c r="Y846" s="86"/>
      <x:c r="Z846" s="86"/>
      <x:c r="AA846" s="32"/>
    </x:row>
    <x:row r="847">
      <x:c r="A847" s="87"/>
      <x:c r="B847" s="88"/>
      <x:c r="D847" s="32"/>
      <x:c r="I847" s="74"/>
      <x:c r="J847" s="74"/>
      <x:c r="K847" s="74"/>
      <x:c r="L847" s="74"/>
      <x:c r="M847" s="74"/>
      <x:c r="N847" s="74"/>
      <x:c r="O847" s="91"/>
      <x:c r="P847" s="91"/>
      <x:c r="Q847" s="85"/>
      <x:c r="R847" s="85"/>
      <x:c r="S847" s="85"/>
      <x:c r="T847" s="85"/>
      <x:c r="U847" s="85"/>
      <x:c r="V847" s="85"/>
      <x:c r="W847" s="85"/>
      <x:c r="Y847" s="86"/>
      <x:c r="Z847" s="86"/>
      <x:c r="AA847" s="32"/>
    </x:row>
    <x:row r="848">
      <x:c r="A848" s="87"/>
      <x:c r="B848" s="88"/>
      <x:c r="D848" s="32"/>
      <x:c r="I848" s="74"/>
      <x:c r="J848" s="74"/>
      <x:c r="K848" s="74"/>
      <x:c r="L848" s="74"/>
      <x:c r="M848" s="74"/>
      <x:c r="N848" s="74"/>
      <x:c r="O848" s="91"/>
      <x:c r="P848" s="91"/>
      <x:c r="Q848" s="85"/>
      <x:c r="R848" s="85"/>
      <x:c r="S848" s="85"/>
      <x:c r="T848" s="85"/>
      <x:c r="U848" s="85"/>
      <x:c r="V848" s="85"/>
      <x:c r="W848" s="85"/>
      <x:c r="Y848" s="86"/>
      <x:c r="Z848" s="86"/>
      <x:c r="AA848" s="32"/>
    </x:row>
    <x:row r="849">
      <x:c r="A849" s="87"/>
      <x:c r="B849" s="88"/>
      <x:c r="D849" s="32"/>
      <x:c r="I849" s="74"/>
      <x:c r="J849" s="74"/>
      <x:c r="K849" s="74"/>
      <x:c r="L849" s="74"/>
      <x:c r="M849" s="74"/>
      <x:c r="N849" s="74"/>
      <x:c r="O849" s="91"/>
      <x:c r="P849" s="91"/>
      <x:c r="Q849" s="85"/>
      <x:c r="R849" s="85"/>
      <x:c r="S849" s="85"/>
      <x:c r="T849" s="85"/>
      <x:c r="U849" s="85"/>
      <x:c r="V849" s="85"/>
      <x:c r="W849" s="85"/>
      <x:c r="Y849" s="86"/>
      <x:c r="Z849" s="86"/>
      <x:c r="AA849" s="32"/>
    </x:row>
    <x:row r="850">
      <x:c r="A850" s="87"/>
      <x:c r="B850" s="88"/>
      <x:c r="D850" s="32"/>
      <x:c r="I850" s="74"/>
      <x:c r="J850" s="74"/>
      <x:c r="K850" s="74"/>
      <x:c r="L850" s="74"/>
      <x:c r="M850" s="74"/>
      <x:c r="N850" s="74"/>
      <x:c r="O850" s="91"/>
      <x:c r="P850" s="91"/>
      <x:c r="Q850" s="85"/>
      <x:c r="R850" s="85"/>
      <x:c r="S850" s="85"/>
      <x:c r="T850" s="85"/>
      <x:c r="U850" s="85"/>
      <x:c r="V850" s="85"/>
      <x:c r="W850" s="85"/>
      <x:c r="Y850" s="86"/>
      <x:c r="Z850" s="86"/>
      <x:c r="AA850" s="32"/>
    </x:row>
    <x:row r="851">
      <x:c r="A851" s="87"/>
      <x:c r="B851" s="88"/>
      <x:c r="D851" s="32"/>
      <x:c r="I851" s="74"/>
      <x:c r="J851" s="74"/>
      <x:c r="K851" s="74"/>
      <x:c r="L851" s="74"/>
      <x:c r="M851" s="74"/>
      <x:c r="N851" s="74"/>
      <x:c r="O851" s="91"/>
      <x:c r="P851" s="91"/>
      <x:c r="Q851" s="85"/>
      <x:c r="R851" s="85"/>
      <x:c r="S851" s="85"/>
      <x:c r="T851" s="85"/>
      <x:c r="U851" s="85"/>
      <x:c r="V851" s="85"/>
      <x:c r="W851" s="85"/>
      <x:c r="Y851" s="86"/>
      <x:c r="Z851" s="86"/>
      <x:c r="AA851" s="32"/>
    </x:row>
    <x:row r="852">
      <x:c r="A852" s="87"/>
      <x:c r="B852" s="88"/>
      <x:c r="D852" s="32"/>
      <x:c r="I852" s="74"/>
      <x:c r="J852" s="74"/>
      <x:c r="K852" s="74"/>
      <x:c r="L852" s="74"/>
      <x:c r="M852" s="74"/>
      <x:c r="N852" s="74"/>
      <x:c r="O852" s="91"/>
      <x:c r="P852" s="91"/>
      <x:c r="Q852" s="85"/>
      <x:c r="R852" s="85"/>
      <x:c r="S852" s="85"/>
      <x:c r="T852" s="85"/>
      <x:c r="U852" s="85"/>
      <x:c r="V852" s="85"/>
      <x:c r="W852" s="85"/>
      <x:c r="Y852" s="86"/>
      <x:c r="Z852" s="86"/>
      <x:c r="AA852" s="32"/>
    </x:row>
    <x:row r="853">
      <x:c r="A853" s="87"/>
      <x:c r="B853" s="88"/>
      <x:c r="D853" s="32"/>
      <x:c r="I853" s="74"/>
      <x:c r="J853" s="74"/>
      <x:c r="K853" s="74"/>
      <x:c r="L853" s="74"/>
      <x:c r="M853" s="74"/>
      <x:c r="N853" s="74"/>
      <x:c r="O853" s="91"/>
      <x:c r="P853" s="91"/>
      <x:c r="Q853" s="85"/>
      <x:c r="R853" s="85"/>
      <x:c r="S853" s="85"/>
      <x:c r="T853" s="85"/>
      <x:c r="U853" s="85"/>
      <x:c r="V853" s="85"/>
      <x:c r="W853" s="85"/>
      <x:c r="Y853" s="86"/>
      <x:c r="Z853" s="86"/>
      <x:c r="AA853" s="32"/>
    </x:row>
    <x:row r="854">
      <x:c r="A854" s="87"/>
      <x:c r="B854" s="88"/>
      <x:c r="D854" s="32"/>
      <x:c r="I854" s="74"/>
      <x:c r="J854" s="74"/>
      <x:c r="K854" s="74"/>
      <x:c r="L854" s="74"/>
      <x:c r="M854" s="74"/>
      <x:c r="N854" s="74"/>
      <x:c r="O854" s="91"/>
      <x:c r="P854" s="91"/>
      <x:c r="Q854" s="85"/>
      <x:c r="R854" s="85"/>
      <x:c r="S854" s="85"/>
      <x:c r="T854" s="85"/>
      <x:c r="U854" s="85"/>
      <x:c r="V854" s="85"/>
      <x:c r="W854" s="85"/>
      <x:c r="Y854" s="86"/>
      <x:c r="Z854" s="86"/>
      <x:c r="AA854" s="32"/>
    </x:row>
    <x:row r="855">
      <x:c r="A855" s="87"/>
      <x:c r="B855" s="88"/>
      <x:c r="D855" s="32"/>
      <x:c r="I855" s="74"/>
      <x:c r="J855" s="74"/>
      <x:c r="K855" s="74"/>
      <x:c r="L855" s="74"/>
      <x:c r="M855" s="74"/>
      <x:c r="N855" s="74"/>
      <x:c r="O855" s="91"/>
      <x:c r="P855" s="91"/>
      <x:c r="Q855" s="85"/>
      <x:c r="R855" s="85"/>
      <x:c r="S855" s="85"/>
      <x:c r="T855" s="85"/>
      <x:c r="U855" s="85"/>
      <x:c r="V855" s="85"/>
      <x:c r="W855" s="85"/>
      <x:c r="Y855" s="86"/>
      <x:c r="Z855" s="86"/>
      <x:c r="AA855" s="32"/>
    </x:row>
    <x:row r="856">
      <x:c r="A856" s="87"/>
      <x:c r="B856" s="88"/>
      <x:c r="D856" s="32"/>
      <x:c r="I856" s="74"/>
      <x:c r="J856" s="74"/>
      <x:c r="K856" s="74"/>
      <x:c r="L856" s="74"/>
      <x:c r="M856" s="74"/>
      <x:c r="N856" s="74"/>
      <x:c r="O856" s="91"/>
      <x:c r="P856" s="91"/>
      <x:c r="Q856" s="85"/>
      <x:c r="R856" s="85"/>
      <x:c r="S856" s="85"/>
      <x:c r="T856" s="85"/>
      <x:c r="U856" s="85"/>
      <x:c r="V856" s="85"/>
      <x:c r="W856" s="85"/>
      <x:c r="Y856" s="86"/>
      <x:c r="Z856" s="86"/>
      <x:c r="AA856" s="32"/>
    </x:row>
    <x:row r="857">
      <x:c r="A857" s="87"/>
      <x:c r="B857" s="88"/>
      <x:c r="D857" s="32"/>
      <x:c r="I857" s="74"/>
      <x:c r="J857" s="74"/>
      <x:c r="K857" s="74"/>
      <x:c r="L857" s="74"/>
      <x:c r="M857" s="74"/>
      <x:c r="N857" s="74"/>
      <x:c r="O857" s="91"/>
      <x:c r="P857" s="91"/>
      <x:c r="Q857" s="85"/>
      <x:c r="R857" s="85"/>
      <x:c r="S857" s="85"/>
      <x:c r="T857" s="85"/>
      <x:c r="U857" s="85"/>
      <x:c r="V857" s="85"/>
      <x:c r="W857" s="85"/>
      <x:c r="Y857" s="86"/>
      <x:c r="Z857" s="86"/>
      <x:c r="AA857" s="32"/>
    </x:row>
    <x:row r="858">
      <x:c r="A858" s="87"/>
      <x:c r="B858" s="88"/>
      <x:c r="D858" s="32"/>
      <x:c r="I858" s="74"/>
      <x:c r="J858" s="74"/>
      <x:c r="K858" s="74"/>
      <x:c r="L858" s="74"/>
      <x:c r="M858" s="74"/>
      <x:c r="N858" s="74"/>
      <x:c r="O858" s="91"/>
      <x:c r="P858" s="91"/>
      <x:c r="Q858" s="85"/>
      <x:c r="R858" s="85"/>
      <x:c r="S858" s="85"/>
      <x:c r="T858" s="85"/>
      <x:c r="U858" s="85"/>
      <x:c r="V858" s="85"/>
      <x:c r="W858" s="85"/>
      <x:c r="Y858" s="86"/>
      <x:c r="Z858" s="86"/>
      <x:c r="AA858" s="32"/>
    </x:row>
    <x:row r="859">
      <x:c r="A859" s="87"/>
      <x:c r="B859" s="88"/>
      <x:c r="D859" s="32"/>
      <x:c r="I859" s="74"/>
      <x:c r="J859" s="74"/>
      <x:c r="K859" s="74"/>
      <x:c r="L859" s="74"/>
      <x:c r="M859" s="74"/>
      <x:c r="N859" s="74"/>
      <x:c r="O859" s="91"/>
      <x:c r="P859" s="91"/>
      <x:c r="Q859" s="85"/>
      <x:c r="R859" s="85"/>
      <x:c r="S859" s="85"/>
      <x:c r="T859" s="85"/>
      <x:c r="U859" s="85"/>
      <x:c r="V859" s="85"/>
      <x:c r="W859" s="85"/>
      <x:c r="Y859" s="86"/>
      <x:c r="Z859" s="86"/>
      <x:c r="AA859" s="32"/>
    </x:row>
    <x:row r="860">
      <x:c r="A860" s="87"/>
      <x:c r="B860" s="88"/>
      <x:c r="D860" s="32"/>
      <x:c r="I860" s="74"/>
      <x:c r="J860" s="74"/>
      <x:c r="K860" s="74"/>
      <x:c r="L860" s="74"/>
      <x:c r="M860" s="74"/>
      <x:c r="N860" s="74"/>
      <x:c r="O860" s="91"/>
      <x:c r="P860" s="91"/>
      <x:c r="Q860" s="85"/>
      <x:c r="R860" s="85"/>
      <x:c r="S860" s="85"/>
      <x:c r="T860" s="85"/>
      <x:c r="U860" s="85"/>
      <x:c r="V860" s="85"/>
      <x:c r="W860" s="85"/>
      <x:c r="Y860" s="86"/>
      <x:c r="Z860" s="86"/>
      <x:c r="AA860" s="32"/>
    </x:row>
    <x:row r="861">
      <x:c r="A861" s="87"/>
      <x:c r="B861" s="88"/>
      <x:c r="D861" s="32"/>
      <x:c r="I861" s="74"/>
      <x:c r="J861" s="74"/>
      <x:c r="K861" s="74"/>
      <x:c r="L861" s="74"/>
      <x:c r="M861" s="74"/>
      <x:c r="N861" s="74"/>
      <x:c r="O861" s="91"/>
      <x:c r="P861" s="91"/>
      <x:c r="Q861" s="85"/>
      <x:c r="R861" s="85"/>
      <x:c r="S861" s="85"/>
      <x:c r="T861" s="85"/>
      <x:c r="U861" s="85"/>
      <x:c r="V861" s="85"/>
      <x:c r="W861" s="85"/>
      <x:c r="Y861" s="86"/>
      <x:c r="Z861" s="86"/>
      <x:c r="AA861" s="32"/>
    </x:row>
    <x:row r="862">
      <x:c r="A862" s="87"/>
      <x:c r="B862" s="88"/>
      <x:c r="D862" s="32"/>
      <x:c r="I862" s="74"/>
      <x:c r="J862" s="74"/>
      <x:c r="K862" s="74"/>
      <x:c r="L862" s="74"/>
      <x:c r="M862" s="74"/>
      <x:c r="N862" s="74"/>
      <x:c r="O862" s="91"/>
      <x:c r="P862" s="91"/>
      <x:c r="Q862" s="85"/>
      <x:c r="R862" s="85"/>
      <x:c r="S862" s="85"/>
      <x:c r="T862" s="85"/>
      <x:c r="U862" s="85"/>
      <x:c r="V862" s="85"/>
      <x:c r="W862" s="85"/>
      <x:c r="Y862" s="86"/>
      <x:c r="Z862" s="86"/>
      <x:c r="AA862" s="32"/>
    </x:row>
    <x:row r="863">
      <x:c r="A863" s="87"/>
      <x:c r="B863" s="88"/>
      <x:c r="D863" s="32"/>
      <x:c r="I863" s="74"/>
      <x:c r="J863" s="74"/>
      <x:c r="K863" s="74"/>
      <x:c r="L863" s="74"/>
      <x:c r="M863" s="74"/>
      <x:c r="N863" s="74"/>
      <x:c r="O863" s="91"/>
      <x:c r="P863" s="91"/>
      <x:c r="Q863" s="85"/>
      <x:c r="R863" s="85"/>
      <x:c r="S863" s="85"/>
      <x:c r="T863" s="85"/>
      <x:c r="U863" s="85"/>
      <x:c r="V863" s="85"/>
      <x:c r="W863" s="85"/>
      <x:c r="Y863" s="86"/>
      <x:c r="Z863" s="86"/>
      <x:c r="AA863" s="32"/>
    </x:row>
    <x:row r="864">
      <x:c r="A864" s="87"/>
      <x:c r="B864" s="88"/>
      <x:c r="D864" s="32"/>
      <x:c r="I864" s="74"/>
      <x:c r="J864" s="74"/>
      <x:c r="K864" s="74"/>
      <x:c r="L864" s="74"/>
      <x:c r="M864" s="74"/>
      <x:c r="N864" s="74"/>
      <x:c r="O864" s="91"/>
      <x:c r="P864" s="91"/>
      <x:c r="Q864" s="85"/>
      <x:c r="R864" s="85"/>
      <x:c r="S864" s="85"/>
      <x:c r="T864" s="85"/>
      <x:c r="U864" s="85"/>
      <x:c r="V864" s="85"/>
      <x:c r="W864" s="85"/>
      <x:c r="Y864" s="86"/>
      <x:c r="Z864" s="86"/>
      <x:c r="AA864" s="32"/>
    </x:row>
    <x:row r="865">
      <x:c r="A865" s="87"/>
      <x:c r="B865" s="88"/>
      <x:c r="D865" s="32"/>
      <x:c r="I865" s="74"/>
      <x:c r="J865" s="74"/>
      <x:c r="K865" s="74"/>
      <x:c r="L865" s="74"/>
      <x:c r="M865" s="74"/>
      <x:c r="N865" s="74"/>
      <x:c r="O865" s="91"/>
      <x:c r="P865" s="91"/>
      <x:c r="Q865" s="85"/>
      <x:c r="R865" s="85"/>
      <x:c r="S865" s="85"/>
      <x:c r="T865" s="85"/>
      <x:c r="U865" s="85"/>
      <x:c r="V865" s="85"/>
      <x:c r="W865" s="85"/>
      <x:c r="Y865" s="86"/>
      <x:c r="Z865" s="86"/>
      <x:c r="AA865" s="32"/>
    </x:row>
    <x:row r="866">
      <x:c r="A866" s="87"/>
      <x:c r="B866" s="88"/>
      <x:c r="D866" s="32"/>
      <x:c r="I866" s="74"/>
      <x:c r="J866" s="74"/>
      <x:c r="K866" s="74"/>
      <x:c r="L866" s="74"/>
      <x:c r="M866" s="74"/>
      <x:c r="N866" s="74"/>
      <x:c r="O866" s="91"/>
      <x:c r="P866" s="91"/>
      <x:c r="Q866" s="85"/>
      <x:c r="R866" s="85"/>
      <x:c r="S866" s="85"/>
      <x:c r="T866" s="85"/>
      <x:c r="U866" s="85"/>
      <x:c r="V866" s="85"/>
      <x:c r="W866" s="85"/>
      <x:c r="Y866" s="86"/>
      <x:c r="Z866" s="86"/>
      <x:c r="AA866" s="32"/>
    </x:row>
    <x:row r="867">
      <x:c r="A867" s="87"/>
      <x:c r="B867" s="88"/>
      <x:c r="D867" s="32"/>
      <x:c r="I867" s="74"/>
      <x:c r="J867" s="74"/>
      <x:c r="K867" s="74"/>
      <x:c r="L867" s="74"/>
      <x:c r="M867" s="74"/>
      <x:c r="N867" s="74"/>
      <x:c r="O867" s="91"/>
      <x:c r="P867" s="91"/>
      <x:c r="Q867" s="85"/>
      <x:c r="R867" s="85"/>
      <x:c r="S867" s="85"/>
      <x:c r="T867" s="85"/>
      <x:c r="U867" s="85"/>
      <x:c r="V867" s="85"/>
      <x:c r="W867" s="85"/>
      <x:c r="Y867" s="86"/>
      <x:c r="Z867" s="86"/>
      <x:c r="AA867" s="32"/>
    </x:row>
    <x:row r="868">
      <x:c r="A868" s="87"/>
      <x:c r="B868" s="88"/>
      <x:c r="D868" s="32"/>
      <x:c r="I868" s="74"/>
      <x:c r="J868" s="74"/>
      <x:c r="K868" s="74"/>
      <x:c r="L868" s="74"/>
      <x:c r="M868" s="74"/>
      <x:c r="N868" s="74"/>
      <x:c r="O868" s="91"/>
      <x:c r="P868" s="91"/>
      <x:c r="Q868" s="85"/>
      <x:c r="R868" s="85"/>
      <x:c r="S868" s="85"/>
      <x:c r="T868" s="85"/>
      <x:c r="U868" s="85"/>
      <x:c r="V868" s="85"/>
      <x:c r="W868" s="85"/>
      <x:c r="Y868" s="86"/>
      <x:c r="Z868" s="86"/>
      <x:c r="AA868" s="32"/>
    </x:row>
    <x:row r="869">
      <x:c r="A869" s="87"/>
      <x:c r="B869" s="88"/>
      <x:c r="D869" s="32"/>
      <x:c r="I869" s="74"/>
      <x:c r="J869" s="74"/>
      <x:c r="K869" s="74"/>
      <x:c r="L869" s="74"/>
      <x:c r="M869" s="74"/>
      <x:c r="N869" s="74"/>
      <x:c r="O869" s="91"/>
      <x:c r="P869" s="91"/>
      <x:c r="Q869" s="85"/>
      <x:c r="R869" s="85"/>
      <x:c r="S869" s="85"/>
      <x:c r="T869" s="85"/>
      <x:c r="U869" s="85"/>
      <x:c r="V869" s="85"/>
      <x:c r="W869" s="85"/>
      <x:c r="Y869" s="86"/>
      <x:c r="Z869" s="86"/>
      <x:c r="AA869" s="32"/>
    </x:row>
    <x:row r="870">
      <x:c r="A870" s="87"/>
      <x:c r="B870" s="88"/>
      <x:c r="D870" s="32"/>
      <x:c r="I870" s="74"/>
      <x:c r="J870" s="74"/>
      <x:c r="K870" s="74"/>
      <x:c r="L870" s="74"/>
      <x:c r="M870" s="74"/>
      <x:c r="N870" s="74"/>
      <x:c r="O870" s="91"/>
      <x:c r="P870" s="91"/>
      <x:c r="Q870" s="85"/>
      <x:c r="R870" s="85"/>
      <x:c r="S870" s="85"/>
      <x:c r="T870" s="85"/>
      <x:c r="U870" s="85"/>
      <x:c r="V870" s="85"/>
      <x:c r="W870" s="85"/>
      <x:c r="Y870" s="86"/>
      <x:c r="Z870" s="86"/>
      <x:c r="AA870" s="32"/>
    </x:row>
    <x:row r="871">
      <x:c r="A871" s="87"/>
      <x:c r="B871" s="88"/>
      <x:c r="D871" s="32"/>
      <x:c r="I871" s="74"/>
      <x:c r="J871" s="74"/>
      <x:c r="K871" s="74"/>
      <x:c r="L871" s="74"/>
      <x:c r="M871" s="74"/>
      <x:c r="N871" s="74"/>
      <x:c r="O871" s="91"/>
      <x:c r="P871" s="91"/>
      <x:c r="Q871" s="85"/>
      <x:c r="R871" s="85"/>
      <x:c r="S871" s="85"/>
      <x:c r="T871" s="85"/>
      <x:c r="U871" s="85"/>
      <x:c r="V871" s="85"/>
      <x:c r="W871" s="85"/>
      <x:c r="Y871" s="86"/>
      <x:c r="Z871" s="86"/>
      <x:c r="AA871" s="32"/>
    </x:row>
    <x:row r="872">
      <x:c r="A872" s="87"/>
      <x:c r="B872" s="88"/>
      <x:c r="D872" s="32"/>
      <x:c r="I872" s="74"/>
      <x:c r="J872" s="74"/>
      <x:c r="K872" s="74"/>
      <x:c r="L872" s="74"/>
      <x:c r="M872" s="74"/>
      <x:c r="N872" s="74"/>
      <x:c r="O872" s="91"/>
      <x:c r="P872" s="91"/>
      <x:c r="Q872" s="85"/>
      <x:c r="R872" s="85"/>
      <x:c r="S872" s="85"/>
      <x:c r="T872" s="85"/>
      <x:c r="U872" s="85"/>
      <x:c r="V872" s="85"/>
      <x:c r="W872" s="85"/>
      <x:c r="Y872" s="86"/>
      <x:c r="Z872" s="86"/>
      <x:c r="AA872" s="32"/>
    </x:row>
    <x:row r="873">
      <x:c r="A873" s="87"/>
      <x:c r="B873" s="88"/>
      <x:c r="D873" s="32"/>
      <x:c r="I873" s="74"/>
      <x:c r="J873" s="74"/>
      <x:c r="K873" s="74"/>
      <x:c r="L873" s="74"/>
      <x:c r="M873" s="74"/>
      <x:c r="N873" s="74"/>
      <x:c r="O873" s="91"/>
      <x:c r="P873" s="91"/>
      <x:c r="Q873" s="85"/>
      <x:c r="R873" s="85"/>
      <x:c r="S873" s="85"/>
      <x:c r="T873" s="85"/>
      <x:c r="U873" s="85"/>
      <x:c r="V873" s="85"/>
      <x:c r="W873" s="85"/>
      <x:c r="Y873" s="86"/>
      <x:c r="Z873" s="86"/>
      <x:c r="AA873" s="32"/>
    </x:row>
    <x:row r="874">
      <x:c r="A874" s="87"/>
      <x:c r="B874" s="88"/>
      <x:c r="D874" s="32"/>
      <x:c r="I874" s="74"/>
      <x:c r="J874" s="74"/>
      <x:c r="K874" s="74"/>
      <x:c r="L874" s="74"/>
      <x:c r="M874" s="74"/>
      <x:c r="N874" s="74"/>
      <x:c r="O874" s="91"/>
      <x:c r="P874" s="91"/>
      <x:c r="Q874" s="85"/>
      <x:c r="R874" s="85"/>
      <x:c r="S874" s="85"/>
      <x:c r="T874" s="85"/>
      <x:c r="U874" s="85"/>
      <x:c r="V874" s="85"/>
      <x:c r="W874" s="85"/>
      <x:c r="Y874" s="86"/>
      <x:c r="Z874" s="86"/>
      <x:c r="AA874" s="32"/>
    </x:row>
    <x:row r="875">
      <x:c r="A875" s="87"/>
      <x:c r="B875" s="88"/>
      <x:c r="D875" s="32"/>
      <x:c r="I875" s="74"/>
      <x:c r="J875" s="74"/>
      <x:c r="K875" s="74"/>
      <x:c r="L875" s="74"/>
      <x:c r="M875" s="74"/>
      <x:c r="N875" s="74"/>
      <x:c r="O875" s="91"/>
      <x:c r="P875" s="91"/>
      <x:c r="Q875" s="85"/>
      <x:c r="R875" s="85"/>
      <x:c r="S875" s="85"/>
      <x:c r="T875" s="85"/>
      <x:c r="U875" s="85"/>
      <x:c r="V875" s="85"/>
      <x:c r="W875" s="85"/>
      <x:c r="Y875" s="86"/>
      <x:c r="Z875" s="86"/>
      <x:c r="AA875" s="32"/>
    </x:row>
    <x:row r="876">
      <x:c r="A876" s="87"/>
      <x:c r="B876" s="88"/>
      <x:c r="D876" s="32"/>
      <x:c r="I876" s="74"/>
      <x:c r="J876" s="74"/>
      <x:c r="K876" s="74"/>
      <x:c r="L876" s="74"/>
      <x:c r="M876" s="74"/>
      <x:c r="N876" s="74"/>
      <x:c r="O876" s="91"/>
      <x:c r="P876" s="91"/>
      <x:c r="Q876" s="85"/>
      <x:c r="R876" s="85"/>
      <x:c r="S876" s="85"/>
      <x:c r="T876" s="85"/>
      <x:c r="U876" s="85"/>
      <x:c r="V876" s="85"/>
      <x:c r="W876" s="85"/>
      <x:c r="Y876" s="86"/>
      <x:c r="Z876" s="86"/>
      <x:c r="AA876" s="32"/>
    </x:row>
    <x:row r="877">
      <x:c r="A877" s="87"/>
      <x:c r="B877" s="88"/>
      <x:c r="D877" s="32"/>
      <x:c r="I877" s="74"/>
      <x:c r="J877" s="74"/>
      <x:c r="K877" s="74"/>
      <x:c r="L877" s="74"/>
      <x:c r="M877" s="74"/>
      <x:c r="N877" s="74"/>
      <x:c r="O877" s="91"/>
      <x:c r="P877" s="91"/>
      <x:c r="Q877" s="85"/>
      <x:c r="R877" s="85"/>
      <x:c r="S877" s="85"/>
      <x:c r="T877" s="85"/>
      <x:c r="U877" s="85"/>
      <x:c r="V877" s="85"/>
      <x:c r="W877" s="85"/>
      <x:c r="Y877" s="86"/>
      <x:c r="Z877" s="86"/>
      <x:c r="AA877" s="32"/>
    </x:row>
    <x:row r="878">
      <x:c r="A878" s="87"/>
      <x:c r="B878" s="88"/>
      <x:c r="D878" s="32"/>
      <x:c r="I878" s="74"/>
      <x:c r="J878" s="74"/>
      <x:c r="K878" s="74"/>
      <x:c r="L878" s="74"/>
      <x:c r="M878" s="74"/>
      <x:c r="N878" s="74"/>
      <x:c r="O878" s="91"/>
      <x:c r="P878" s="91"/>
      <x:c r="Q878" s="85"/>
      <x:c r="R878" s="85"/>
      <x:c r="S878" s="85"/>
      <x:c r="T878" s="85"/>
      <x:c r="U878" s="85"/>
      <x:c r="V878" s="85"/>
      <x:c r="W878" s="85"/>
      <x:c r="Y878" s="86"/>
      <x:c r="Z878" s="86"/>
      <x:c r="AA878" s="32"/>
    </x:row>
    <x:row r="879">
      <x:c r="A879" s="87"/>
      <x:c r="B879" s="88"/>
      <x:c r="D879" s="32"/>
      <x:c r="I879" s="74"/>
      <x:c r="J879" s="74"/>
      <x:c r="K879" s="74"/>
      <x:c r="L879" s="74"/>
      <x:c r="M879" s="74"/>
      <x:c r="N879" s="74"/>
      <x:c r="O879" s="91"/>
      <x:c r="P879" s="91"/>
      <x:c r="Q879" s="85"/>
      <x:c r="R879" s="85"/>
      <x:c r="S879" s="85"/>
      <x:c r="T879" s="85"/>
      <x:c r="U879" s="85"/>
      <x:c r="V879" s="85"/>
      <x:c r="W879" s="85"/>
      <x:c r="Y879" s="86"/>
      <x:c r="Z879" s="86"/>
      <x:c r="AA879" s="32"/>
    </x:row>
    <x:row r="880">
      <x:c r="A880" s="87"/>
      <x:c r="B880" s="88"/>
      <x:c r="D880" s="32"/>
      <x:c r="I880" s="74"/>
      <x:c r="J880" s="74"/>
      <x:c r="K880" s="74"/>
      <x:c r="L880" s="74"/>
      <x:c r="M880" s="74"/>
      <x:c r="N880" s="74"/>
      <x:c r="O880" s="91"/>
      <x:c r="P880" s="91"/>
      <x:c r="Q880" s="85"/>
      <x:c r="R880" s="85"/>
      <x:c r="S880" s="85"/>
      <x:c r="T880" s="85"/>
      <x:c r="U880" s="85"/>
      <x:c r="V880" s="85"/>
      <x:c r="W880" s="85"/>
      <x:c r="Y880" s="86"/>
      <x:c r="Z880" s="86"/>
      <x:c r="AA880" s="32"/>
    </x:row>
    <x:row r="881">
      <x:c r="A881" s="87"/>
      <x:c r="B881" s="88"/>
      <x:c r="D881" s="32"/>
      <x:c r="I881" s="74"/>
      <x:c r="J881" s="74"/>
      <x:c r="K881" s="74"/>
      <x:c r="L881" s="74"/>
      <x:c r="M881" s="74"/>
      <x:c r="N881" s="74"/>
      <x:c r="O881" s="91"/>
      <x:c r="P881" s="91"/>
      <x:c r="Q881" s="85"/>
      <x:c r="R881" s="85"/>
      <x:c r="S881" s="85"/>
      <x:c r="T881" s="85"/>
      <x:c r="U881" s="85"/>
      <x:c r="V881" s="85"/>
      <x:c r="W881" s="85"/>
      <x:c r="Y881" s="86"/>
      <x:c r="Z881" s="86"/>
      <x:c r="AA881" s="32"/>
    </x:row>
    <x:row r="882">
      <x:c r="A882" s="87"/>
      <x:c r="B882" s="88"/>
      <x:c r="D882" s="32"/>
      <x:c r="I882" s="74"/>
      <x:c r="J882" s="74"/>
      <x:c r="K882" s="74"/>
      <x:c r="L882" s="74"/>
      <x:c r="M882" s="74"/>
      <x:c r="N882" s="74"/>
      <x:c r="O882" s="91"/>
      <x:c r="P882" s="91"/>
      <x:c r="Q882" s="85"/>
      <x:c r="R882" s="85"/>
      <x:c r="S882" s="85"/>
      <x:c r="T882" s="85"/>
      <x:c r="U882" s="85"/>
      <x:c r="V882" s="85"/>
      <x:c r="W882" s="85"/>
      <x:c r="Y882" s="86"/>
      <x:c r="Z882" s="86"/>
      <x:c r="AA882" s="32"/>
    </x:row>
    <x:row r="883">
      <x:c r="A883" s="87"/>
      <x:c r="B883" s="88"/>
      <x:c r="D883" s="32"/>
      <x:c r="I883" s="74"/>
      <x:c r="J883" s="74"/>
      <x:c r="K883" s="74"/>
      <x:c r="L883" s="74"/>
      <x:c r="M883" s="74"/>
      <x:c r="N883" s="74"/>
      <x:c r="O883" s="91"/>
      <x:c r="P883" s="91"/>
      <x:c r="Q883" s="85"/>
      <x:c r="R883" s="85"/>
      <x:c r="S883" s="85"/>
      <x:c r="T883" s="85"/>
      <x:c r="U883" s="85"/>
      <x:c r="V883" s="85"/>
      <x:c r="W883" s="85"/>
      <x:c r="Y883" s="86"/>
      <x:c r="Z883" s="86"/>
      <x:c r="AA883" s="32"/>
    </x:row>
    <x:row r="884">
      <x:c r="A884" s="87"/>
      <x:c r="B884" s="88"/>
      <x:c r="D884" s="32"/>
      <x:c r="I884" s="74"/>
      <x:c r="J884" s="74"/>
      <x:c r="K884" s="74"/>
      <x:c r="L884" s="74"/>
      <x:c r="M884" s="74"/>
      <x:c r="N884" s="74"/>
      <x:c r="O884" s="91"/>
      <x:c r="P884" s="91"/>
      <x:c r="Q884" s="85"/>
      <x:c r="R884" s="85"/>
      <x:c r="S884" s="85"/>
      <x:c r="T884" s="85"/>
      <x:c r="U884" s="85"/>
      <x:c r="V884" s="85"/>
      <x:c r="W884" s="85"/>
      <x:c r="Y884" s="86"/>
      <x:c r="Z884" s="86"/>
      <x:c r="AA884" s="32"/>
    </x:row>
    <x:row r="885">
      <x:c r="A885" s="87"/>
      <x:c r="B885" s="88"/>
      <x:c r="D885" s="32"/>
      <x:c r="I885" s="74"/>
      <x:c r="J885" s="74"/>
      <x:c r="K885" s="74"/>
      <x:c r="L885" s="74"/>
      <x:c r="M885" s="74"/>
      <x:c r="N885" s="74"/>
      <x:c r="O885" s="91"/>
      <x:c r="P885" s="91"/>
      <x:c r="Q885" s="85"/>
      <x:c r="R885" s="85"/>
      <x:c r="S885" s="85"/>
      <x:c r="T885" s="85"/>
      <x:c r="U885" s="85"/>
      <x:c r="V885" s="85"/>
      <x:c r="W885" s="85"/>
      <x:c r="Y885" s="86"/>
      <x:c r="Z885" s="86"/>
      <x:c r="AA885" s="32"/>
    </x:row>
    <x:row r="886">
      <x:c r="A886" s="87"/>
      <x:c r="B886" s="88"/>
      <x:c r="D886" s="32"/>
      <x:c r="I886" s="74"/>
      <x:c r="J886" s="74"/>
      <x:c r="K886" s="74"/>
      <x:c r="L886" s="74"/>
      <x:c r="M886" s="74"/>
      <x:c r="N886" s="74"/>
      <x:c r="O886" s="91"/>
      <x:c r="P886" s="91"/>
      <x:c r="Q886" s="85"/>
      <x:c r="R886" s="85"/>
      <x:c r="S886" s="85"/>
      <x:c r="T886" s="85"/>
      <x:c r="U886" s="85"/>
      <x:c r="V886" s="85"/>
      <x:c r="W886" s="85"/>
      <x:c r="Y886" s="86"/>
      <x:c r="Z886" s="86"/>
      <x:c r="AA886" s="32"/>
    </x:row>
    <x:row r="887">
      <x:c r="A887" s="87"/>
      <x:c r="B887" s="88"/>
      <x:c r="D887" s="32"/>
      <x:c r="I887" s="74"/>
      <x:c r="J887" s="74"/>
      <x:c r="K887" s="74"/>
      <x:c r="L887" s="74"/>
      <x:c r="M887" s="74"/>
      <x:c r="N887" s="74"/>
      <x:c r="O887" s="91"/>
      <x:c r="P887" s="91"/>
      <x:c r="Q887" s="85"/>
      <x:c r="R887" s="85"/>
      <x:c r="S887" s="85"/>
      <x:c r="T887" s="85"/>
      <x:c r="U887" s="85"/>
      <x:c r="V887" s="85"/>
      <x:c r="W887" s="85"/>
      <x:c r="Y887" s="86"/>
      <x:c r="Z887" s="86"/>
      <x:c r="AA887" s="32"/>
    </x:row>
    <x:row r="888">
      <x:c r="A888" s="87"/>
      <x:c r="B888" s="88"/>
      <x:c r="D888" s="32"/>
      <x:c r="I888" s="74"/>
      <x:c r="J888" s="74"/>
      <x:c r="K888" s="74"/>
      <x:c r="L888" s="74"/>
      <x:c r="M888" s="74"/>
      <x:c r="N888" s="74"/>
      <x:c r="O888" s="91"/>
      <x:c r="P888" s="91"/>
      <x:c r="Q888" s="85"/>
      <x:c r="R888" s="85"/>
      <x:c r="S888" s="85"/>
      <x:c r="T888" s="85"/>
      <x:c r="U888" s="85"/>
      <x:c r="V888" s="85"/>
      <x:c r="W888" s="85"/>
      <x:c r="Y888" s="86"/>
      <x:c r="Z888" s="86"/>
      <x:c r="AA888" s="32"/>
    </x:row>
    <x:row r="889">
      <x:c r="A889" s="87"/>
      <x:c r="B889" s="88"/>
      <x:c r="D889" s="32"/>
      <x:c r="I889" s="74"/>
      <x:c r="J889" s="74"/>
      <x:c r="K889" s="74"/>
      <x:c r="L889" s="74"/>
      <x:c r="M889" s="74"/>
      <x:c r="N889" s="74"/>
      <x:c r="O889" s="91"/>
      <x:c r="P889" s="91"/>
      <x:c r="Q889" s="85"/>
      <x:c r="R889" s="85"/>
      <x:c r="S889" s="85"/>
      <x:c r="T889" s="85"/>
      <x:c r="U889" s="85"/>
      <x:c r="V889" s="85"/>
      <x:c r="W889" s="85"/>
      <x:c r="Y889" s="86"/>
      <x:c r="Z889" s="86"/>
      <x:c r="AA889" s="32"/>
    </x:row>
    <x:row r="890">
      <x:c r="A890" s="87"/>
      <x:c r="B890" s="88"/>
      <x:c r="D890" s="32"/>
      <x:c r="I890" s="74"/>
      <x:c r="J890" s="74"/>
      <x:c r="K890" s="74"/>
      <x:c r="L890" s="74"/>
      <x:c r="M890" s="74"/>
      <x:c r="N890" s="74"/>
      <x:c r="O890" s="91"/>
      <x:c r="P890" s="91"/>
      <x:c r="Q890" s="85"/>
      <x:c r="R890" s="85"/>
      <x:c r="S890" s="85"/>
      <x:c r="T890" s="85"/>
      <x:c r="U890" s="85"/>
      <x:c r="V890" s="85"/>
      <x:c r="W890" s="85"/>
      <x:c r="Y890" s="86"/>
      <x:c r="Z890" s="86"/>
      <x:c r="AA890" s="32"/>
    </x:row>
    <x:row r="891">
      <x:c r="A891" s="87"/>
      <x:c r="B891" s="88"/>
      <x:c r="D891" s="32"/>
      <x:c r="I891" s="74"/>
      <x:c r="J891" s="74"/>
      <x:c r="K891" s="74"/>
      <x:c r="L891" s="74"/>
      <x:c r="M891" s="74"/>
      <x:c r="N891" s="74"/>
      <x:c r="O891" s="91"/>
      <x:c r="P891" s="91"/>
      <x:c r="Q891" s="85"/>
      <x:c r="R891" s="85"/>
      <x:c r="S891" s="85"/>
      <x:c r="T891" s="85"/>
      <x:c r="U891" s="85"/>
      <x:c r="V891" s="85"/>
      <x:c r="W891" s="85"/>
      <x:c r="Y891" s="86"/>
      <x:c r="Z891" s="86"/>
      <x:c r="AA891" s="32"/>
    </x:row>
    <x:row r="892">
      <x:c r="A892" s="87"/>
      <x:c r="B892" s="88"/>
      <x:c r="D892" s="32"/>
      <x:c r="I892" s="74"/>
      <x:c r="J892" s="74"/>
      <x:c r="K892" s="74"/>
      <x:c r="L892" s="74"/>
      <x:c r="M892" s="74"/>
      <x:c r="N892" s="74"/>
      <x:c r="O892" s="91"/>
      <x:c r="P892" s="91"/>
      <x:c r="Q892" s="85"/>
      <x:c r="R892" s="85"/>
      <x:c r="S892" s="85"/>
      <x:c r="T892" s="85"/>
      <x:c r="U892" s="85"/>
      <x:c r="V892" s="85"/>
      <x:c r="W892" s="85"/>
      <x:c r="Y892" s="86"/>
      <x:c r="Z892" s="86"/>
      <x:c r="AA892" s="32"/>
    </x:row>
    <x:row r="893">
      <x:c r="A893" s="87"/>
      <x:c r="B893" s="88"/>
      <x:c r="D893" s="32"/>
      <x:c r="I893" s="74"/>
      <x:c r="J893" s="74"/>
      <x:c r="K893" s="74"/>
      <x:c r="L893" s="74"/>
      <x:c r="M893" s="74"/>
      <x:c r="N893" s="74"/>
      <x:c r="O893" s="91"/>
      <x:c r="P893" s="91"/>
      <x:c r="Q893" s="85"/>
      <x:c r="R893" s="85"/>
      <x:c r="S893" s="85"/>
      <x:c r="T893" s="85"/>
      <x:c r="U893" s="85"/>
      <x:c r="V893" s="85"/>
      <x:c r="W893" s="85"/>
      <x:c r="Y893" s="86"/>
      <x:c r="Z893" s="86"/>
      <x:c r="AA893" s="32"/>
    </x:row>
    <x:row r="894">
      <x:c r="A894" s="87"/>
      <x:c r="B894" s="88"/>
      <x:c r="D894" s="32"/>
      <x:c r="I894" s="74"/>
      <x:c r="J894" s="74"/>
      <x:c r="K894" s="74"/>
      <x:c r="L894" s="74"/>
      <x:c r="M894" s="74"/>
      <x:c r="N894" s="74"/>
      <x:c r="O894" s="91"/>
      <x:c r="P894" s="91"/>
      <x:c r="Q894" s="85"/>
      <x:c r="R894" s="85"/>
      <x:c r="S894" s="85"/>
      <x:c r="T894" s="85"/>
      <x:c r="U894" s="85"/>
      <x:c r="V894" s="85"/>
      <x:c r="W894" s="85"/>
      <x:c r="Y894" s="86"/>
      <x:c r="Z894" s="86"/>
      <x:c r="AA894" s="32"/>
    </x:row>
    <x:row r="895">
      <x:c r="A895" s="87"/>
      <x:c r="B895" s="88"/>
      <x:c r="D895" s="32"/>
      <x:c r="I895" s="74"/>
      <x:c r="J895" s="74"/>
      <x:c r="K895" s="74"/>
      <x:c r="L895" s="74"/>
      <x:c r="M895" s="74"/>
      <x:c r="N895" s="74"/>
      <x:c r="O895" s="91"/>
      <x:c r="P895" s="91"/>
      <x:c r="Q895" s="85"/>
      <x:c r="R895" s="85"/>
      <x:c r="S895" s="85"/>
      <x:c r="T895" s="85"/>
      <x:c r="U895" s="85"/>
      <x:c r="V895" s="85"/>
      <x:c r="W895" s="85"/>
      <x:c r="Y895" s="86"/>
      <x:c r="Z895" s="86"/>
      <x:c r="AA895" s="32"/>
    </x:row>
    <x:row r="896">
      <x:c r="A896" s="87"/>
      <x:c r="B896" s="88"/>
      <x:c r="D896" s="32"/>
      <x:c r="I896" s="74"/>
      <x:c r="J896" s="74"/>
      <x:c r="K896" s="74"/>
      <x:c r="L896" s="74"/>
      <x:c r="M896" s="74"/>
      <x:c r="N896" s="74"/>
      <x:c r="O896" s="91"/>
      <x:c r="P896" s="91"/>
      <x:c r="Q896" s="85"/>
      <x:c r="R896" s="85"/>
      <x:c r="S896" s="85"/>
      <x:c r="T896" s="85"/>
      <x:c r="U896" s="85"/>
      <x:c r="V896" s="85"/>
      <x:c r="W896" s="85"/>
      <x:c r="Y896" s="86"/>
      <x:c r="Z896" s="86"/>
      <x:c r="AA896" s="32"/>
    </x:row>
    <x:row r="897">
      <x:c r="A897" s="87"/>
      <x:c r="B897" s="88"/>
      <x:c r="D897" s="32"/>
      <x:c r="I897" s="74"/>
      <x:c r="J897" s="74"/>
      <x:c r="K897" s="74"/>
      <x:c r="L897" s="74"/>
      <x:c r="M897" s="74"/>
      <x:c r="N897" s="74"/>
      <x:c r="O897" s="91"/>
      <x:c r="P897" s="91"/>
      <x:c r="Q897" s="85"/>
      <x:c r="R897" s="85"/>
      <x:c r="S897" s="85"/>
      <x:c r="T897" s="85"/>
      <x:c r="U897" s="85"/>
      <x:c r="V897" s="85"/>
      <x:c r="W897" s="85"/>
      <x:c r="Y897" s="86"/>
      <x:c r="Z897" s="86"/>
      <x:c r="AA897" s="32"/>
    </x:row>
    <x:row r="898">
      <x:c r="A898" s="87"/>
      <x:c r="B898" s="88"/>
      <x:c r="D898" s="32"/>
      <x:c r="I898" s="74"/>
      <x:c r="J898" s="74"/>
      <x:c r="K898" s="74"/>
      <x:c r="L898" s="74"/>
      <x:c r="M898" s="74"/>
      <x:c r="N898" s="74"/>
      <x:c r="O898" s="91"/>
      <x:c r="P898" s="91"/>
      <x:c r="Q898" s="85"/>
      <x:c r="R898" s="85"/>
      <x:c r="S898" s="85"/>
      <x:c r="T898" s="85"/>
      <x:c r="U898" s="85"/>
      <x:c r="V898" s="85"/>
      <x:c r="W898" s="85"/>
      <x:c r="Y898" s="86"/>
      <x:c r="Z898" s="86"/>
      <x:c r="AA898" s="32"/>
    </x:row>
    <x:row r="899">
      <x:c r="A899" s="87"/>
      <x:c r="B899" s="88"/>
      <x:c r="D899" s="32"/>
      <x:c r="I899" s="74"/>
      <x:c r="J899" s="74"/>
      <x:c r="K899" s="74"/>
      <x:c r="L899" s="74"/>
      <x:c r="M899" s="74"/>
      <x:c r="N899" s="74"/>
      <x:c r="O899" s="91"/>
      <x:c r="P899" s="91"/>
      <x:c r="Q899" s="85"/>
      <x:c r="R899" s="85"/>
      <x:c r="S899" s="85"/>
      <x:c r="T899" s="85"/>
      <x:c r="U899" s="85"/>
      <x:c r="V899" s="85"/>
      <x:c r="W899" s="85"/>
      <x:c r="Y899" s="86"/>
      <x:c r="Z899" s="86"/>
      <x:c r="AA899" s="32"/>
    </x:row>
    <x:row r="900">
      <x:c r="A900" s="87"/>
      <x:c r="B900" s="88"/>
      <x:c r="D900" s="32"/>
      <x:c r="I900" s="74"/>
      <x:c r="J900" s="74"/>
      <x:c r="K900" s="74"/>
      <x:c r="L900" s="74"/>
      <x:c r="M900" s="74"/>
      <x:c r="N900" s="74"/>
      <x:c r="O900" s="91"/>
      <x:c r="P900" s="91"/>
      <x:c r="Q900" s="85"/>
      <x:c r="R900" s="85"/>
      <x:c r="S900" s="85"/>
      <x:c r="T900" s="85"/>
      <x:c r="U900" s="85"/>
      <x:c r="V900" s="85"/>
      <x:c r="W900" s="85"/>
      <x:c r="Y900" s="86"/>
      <x:c r="Z900" s="86"/>
      <x:c r="AA900" s="32"/>
    </x:row>
    <x:row r="901">
      <x:c r="A901" s="87"/>
      <x:c r="B901" s="88"/>
      <x:c r="D901" s="32"/>
      <x:c r="I901" s="74"/>
      <x:c r="J901" s="74"/>
      <x:c r="K901" s="74"/>
      <x:c r="L901" s="74"/>
      <x:c r="M901" s="74"/>
      <x:c r="N901" s="74"/>
      <x:c r="O901" s="91"/>
      <x:c r="P901" s="91"/>
      <x:c r="Q901" s="85"/>
      <x:c r="R901" s="85"/>
      <x:c r="S901" s="85"/>
      <x:c r="T901" s="85"/>
      <x:c r="U901" s="85"/>
      <x:c r="V901" s="85"/>
      <x:c r="W901" s="85"/>
      <x:c r="Y901" s="86"/>
      <x:c r="Z901" s="86"/>
      <x:c r="AA901" s="32"/>
    </x:row>
    <x:row r="902">
      <x:c r="A902" s="87"/>
      <x:c r="B902" s="88"/>
      <x:c r="D902" s="32"/>
      <x:c r="I902" s="74"/>
      <x:c r="J902" s="74"/>
      <x:c r="K902" s="74"/>
      <x:c r="L902" s="74"/>
      <x:c r="M902" s="74"/>
      <x:c r="N902" s="74"/>
      <x:c r="O902" s="91"/>
      <x:c r="P902" s="91"/>
      <x:c r="Q902" s="85"/>
      <x:c r="R902" s="85"/>
      <x:c r="S902" s="85"/>
      <x:c r="T902" s="85"/>
      <x:c r="U902" s="85"/>
      <x:c r="V902" s="85"/>
      <x:c r="W902" s="85"/>
      <x:c r="Y902" s="86"/>
      <x:c r="Z902" s="86"/>
      <x:c r="AA902" s="32"/>
    </x:row>
    <x:row r="903">
      <x:c r="A903" s="87"/>
      <x:c r="B903" s="88"/>
      <x:c r="D903" s="32"/>
      <x:c r="I903" s="74"/>
      <x:c r="J903" s="74"/>
      <x:c r="K903" s="74"/>
      <x:c r="L903" s="74"/>
      <x:c r="M903" s="74"/>
      <x:c r="N903" s="74"/>
      <x:c r="O903" s="91"/>
      <x:c r="P903" s="91"/>
      <x:c r="Q903" s="85"/>
      <x:c r="R903" s="85"/>
      <x:c r="S903" s="85"/>
      <x:c r="T903" s="85"/>
      <x:c r="U903" s="85"/>
      <x:c r="V903" s="85"/>
      <x:c r="W903" s="85"/>
      <x:c r="Y903" s="86"/>
      <x:c r="Z903" s="86"/>
      <x:c r="AA903" s="32"/>
    </x:row>
    <x:row r="904">
      <x:c r="A904" s="87"/>
      <x:c r="B904" s="88"/>
      <x:c r="D904" s="32"/>
      <x:c r="I904" s="74"/>
      <x:c r="J904" s="74"/>
      <x:c r="K904" s="74"/>
      <x:c r="L904" s="74"/>
      <x:c r="M904" s="74"/>
      <x:c r="N904" s="74"/>
      <x:c r="O904" s="91"/>
      <x:c r="P904" s="91"/>
      <x:c r="Q904" s="85"/>
      <x:c r="R904" s="85"/>
      <x:c r="S904" s="85"/>
      <x:c r="T904" s="85"/>
      <x:c r="U904" s="85"/>
      <x:c r="V904" s="85"/>
      <x:c r="W904" s="85"/>
      <x:c r="Y904" s="86"/>
      <x:c r="Z904" s="86"/>
      <x:c r="AA904" s="32"/>
    </x:row>
    <x:row r="905">
      <x:c r="A905" s="87"/>
      <x:c r="B905" s="88"/>
      <x:c r="D905" s="32"/>
      <x:c r="I905" s="74"/>
      <x:c r="J905" s="74"/>
      <x:c r="K905" s="74"/>
      <x:c r="L905" s="74"/>
      <x:c r="M905" s="74"/>
      <x:c r="N905" s="74"/>
      <x:c r="O905" s="91"/>
      <x:c r="P905" s="91"/>
      <x:c r="Q905" s="85"/>
      <x:c r="R905" s="85"/>
      <x:c r="S905" s="85"/>
      <x:c r="T905" s="85"/>
      <x:c r="U905" s="85"/>
      <x:c r="V905" s="85"/>
      <x:c r="W905" s="85"/>
      <x:c r="Y905" s="86"/>
      <x:c r="Z905" s="86"/>
      <x:c r="AA905" s="32"/>
    </x:row>
    <x:row r="906">
      <x:c r="A906" s="87"/>
      <x:c r="B906" s="88"/>
      <x:c r="D906" s="32"/>
      <x:c r="I906" s="74"/>
      <x:c r="J906" s="74"/>
      <x:c r="K906" s="74"/>
      <x:c r="L906" s="74"/>
      <x:c r="M906" s="74"/>
      <x:c r="N906" s="74"/>
      <x:c r="O906" s="91"/>
      <x:c r="P906" s="91"/>
      <x:c r="Q906" s="85"/>
      <x:c r="R906" s="85"/>
      <x:c r="S906" s="85"/>
      <x:c r="T906" s="85"/>
      <x:c r="U906" s="85"/>
      <x:c r="V906" s="85"/>
      <x:c r="W906" s="85"/>
      <x:c r="Y906" s="86"/>
      <x:c r="Z906" s="86"/>
      <x:c r="AA906" s="32"/>
    </x:row>
    <x:row r="907">
      <x:c r="A907" s="87"/>
      <x:c r="B907" s="88"/>
      <x:c r="D907" s="32"/>
      <x:c r="I907" s="74"/>
      <x:c r="J907" s="74"/>
      <x:c r="K907" s="74"/>
      <x:c r="L907" s="74"/>
      <x:c r="M907" s="74"/>
      <x:c r="N907" s="74"/>
      <x:c r="O907" s="91"/>
      <x:c r="P907" s="91"/>
      <x:c r="Q907" s="85"/>
      <x:c r="R907" s="85"/>
      <x:c r="S907" s="85"/>
      <x:c r="T907" s="85"/>
      <x:c r="U907" s="85"/>
      <x:c r="V907" s="85"/>
      <x:c r="W907" s="85"/>
      <x:c r="Y907" s="86"/>
      <x:c r="Z907" s="86"/>
      <x:c r="AA907" s="32"/>
    </x:row>
    <x:row r="908">
      <x:c r="A908" s="87"/>
      <x:c r="B908" s="88"/>
      <x:c r="D908" s="32"/>
      <x:c r="I908" s="74"/>
      <x:c r="J908" s="74"/>
      <x:c r="K908" s="74"/>
      <x:c r="L908" s="74"/>
      <x:c r="M908" s="74"/>
      <x:c r="N908" s="74"/>
      <x:c r="O908" s="91"/>
      <x:c r="P908" s="91"/>
      <x:c r="Q908" s="85"/>
      <x:c r="R908" s="85"/>
      <x:c r="S908" s="85"/>
      <x:c r="T908" s="85"/>
      <x:c r="U908" s="85"/>
      <x:c r="V908" s="85"/>
      <x:c r="W908" s="85"/>
      <x:c r="Y908" s="86"/>
      <x:c r="Z908" s="86"/>
      <x:c r="AA908" s="32"/>
    </x:row>
    <x:row r="909">
      <x:c r="A909" s="87"/>
      <x:c r="B909" s="88"/>
      <x:c r="D909" s="32"/>
      <x:c r="I909" s="74"/>
      <x:c r="J909" s="74"/>
      <x:c r="K909" s="74"/>
      <x:c r="L909" s="74"/>
      <x:c r="M909" s="74"/>
      <x:c r="N909" s="74"/>
      <x:c r="O909" s="91"/>
      <x:c r="P909" s="91"/>
      <x:c r="Q909" s="85"/>
      <x:c r="R909" s="85"/>
      <x:c r="S909" s="85"/>
      <x:c r="T909" s="85"/>
      <x:c r="U909" s="85"/>
      <x:c r="V909" s="85"/>
      <x:c r="W909" s="85"/>
      <x:c r="Y909" s="86"/>
      <x:c r="Z909" s="86"/>
      <x:c r="AA909" s="32"/>
    </x:row>
    <x:row r="910">
      <x:c r="A910" s="87"/>
      <x:c r="B910" s="88"/>
      <x:c r="D910" s="32"/>
      <x:c r="I910" s="74"/>
      <x:c r="J910" s="74"/>
      <x:c r="K910" s="74"/>
      <x:c r="L910" s="74"/>
      <x:c r="M910" s="74"/>
      <x:c r="N910" s="74"/>
      <x:c r="O910" s="91"/>
      <x:c r="P910" s="91"/>
      <x:c r="Q910" s="85"/>
      <x:c r="R910" s="85"/>
      <x:c r="S910" s="85"/>
      <x:c r="T910" s="85"/>
      <x:c r="U910" s="85"/>
      <x:c r="V910" s="85"/>
      <x:c r="W910" s="85"/>
      <x:c r="Y910" s="86"/>
      <x:c r="Z910" s="86"/>
      <x:c r="AA910" s="32"/>
    </x:row>
    <x:row r="911">
      <x:c r="A911" s="87"/>
      <x:c r="B911" s="88"/>
      <x:c r="D911" s="32"/>
      <x:c r="I911" s="74"/>
      <x:c r="J911" s="74"/>
      <x:c r="K911" s="74"/>
      <x:c r="L911" s="74"/>
      <x:c r="M911" s="74"/>
      <x:c r="N911" s="74"/>
      <x:c r="O911" s="91"/>
      <x:c r="P911" s="91"/>
      <x:c r="Q911" s="85"/>
      <x:c r="R911" s="85"/>
      <x:c r="S911" s="85"/>
      <x:c r="T911" s="85"/>
      <x:c r="U911" s="85"/>
      <x:c r="V911" s="85"/>
      <x:c r="W911" s="85"/>
      <x:c r="Y911" s="86"/>
      <x:c r="Z911" s="86"/>
      <x:c r="AA911" s="32"/>
    </x:row>
    <x:row r="912">
      <x:c r="A912" s="87"/>
      <x:c r="B912" s="88"/>
      <x:c r="D912" s="32"/>
      <x:c r="I912" s="74"/>
      <x:c r="J912" s="74"/>
      <x:c r="K912" s="74"/>
      <x:c r="L912" s="74"/>
      <x:c r="M912" s="74"/>
      <x:c r="N912" s="74"/>
      <x:c r="O912" s="91"/>
      <x:c r="P912" s="91"/>
      <x:c r="Q912" s="85"/>
      <x:c r="R912" s="85"/>
      <x:c r="S912" s="85"/>
      <x:c r="T912" s="85"/>
      <x:c r="U912" s="85"/>
      <x:c r="V912" s="85"/>
      <x:c r="W912" s="85"/>
      <x:c r="Y912" s="86"/>
      <x:c r="Z912" s="86"/>
      <x:c r="AA912" s="32"/>
    </x:row>
    <x:row r="913">
      <x:c r="A913" s="87"/>
      <x:c r="B913" s="88"/>
      <x:c r="D913" s="32"/>
      <x:c r="I913" s="74"/>
      <x:c r="J913" s="74"/>
      <x:c r="K913" s="74"/>
      <x:c r="L913" s="74"/>
      <x:c r="M913" s="74"/>
      <x:c r="N913" s="74"/>
      <x:c r="O913" s="91"/>
      <x:c r="P913" s="91"/>
      <x:c r="Q913" s="85"/>
      <x:c r="R913" s="85"/>
      <x:c r="S913" s="85"/>
      <x:c r="T913" s="85"/>
      <x:c r="U913" s="85"/>
      <x:c r="V913" s="85"/>
      <x:c r="W913" s="85"/>
      <x:c r="Y913" s="86"/>
      <x:c r="Z913" s="86"/>
      <x:c r="AA913" s="32"/>
    </x:row>
    <x:row r="914">
      <x:c r="A914" s="87"/>
      <x:c r="B914" s="88"/>
      <x:c r="D914" s="32"/>
      <x:c r="I914" s="74"/>
      <x:c r="J914" s="74"/>
      <x:c r="K914" s="74"/>
      <x:c r="L914" s="74"/>
      <x:c r="M914" s="74"/>
      <x:c r="N914" s="74"/>
      <x:c r="O914" s="91"/>
      <x:c r="P914" s="91"/>
      <x:c r="Q914" s="85"/>
      <x:c r="R914" s="85"/>
      <x:c r="S914" s="85"/>
      <x:c r="T914" s="85"/>
      <x:c r="U914" s="85"/>
      <x:c r="V914" s="85"/>
      <x:c r="W914" s="85"/>
      <x:c r="Y914" s="86"/>
      <x:c r="Z914" s="86"/>
      <x:c r="AA914" s="32"/>
    </x:row>
    <x:row r="915">
      <x:c r="A915" s="87"/>
      <x:c r="B915" s="88"/>
      <x:c r="D915" s="32"/>
      <x:c r="I915" s="74"/>
      <x:c r="J915" s="74"/>
      <x:c r="K915" s="74"/>
      <x:c r="L915" s="74"/>
      <x:c r="M915" s="74"/>
      <x:c r="N915" s="74"/>
      <x:c r="O915" s="91"/>
      <x:c r="P915" s="91"/>
      <x:c r="Q915" s="85"/>
      <x:c r="R915" s="85"/>
      <x:c r="S915" s="85"/>
      <x:c r="T915" s="85"/>
      <x:c r="U915" s="85"/>
      <x:c r="V915" s="85"/>
      <x:c r="W915" s="85"/>
      <x:c r="Y915" s="86"/>
      <x:c r="Z915" s="86"/>
      <x:c r="AA915" s="32"/>
    </x:row>
    <x:row r="916">
      <x:c r="A916" s="87"/>
      <x:c r="B916" s="88"/>
      <x:c r="D916" s="32"/>
      <x:c r="I916" s="74"/>
      <x:c r="J916" s="74"/>
      <x:c r="K916" s="74"/>
      <x:c r="L916" s="74"/>
      <x:c r="M916" s="74"/>
      <x:c r="N916" s="74"/>
      <x:c r="O916" s="91"/>
      <x:c r="P916" s="91"/>
      <x:c r="Q916" s="85"/>
      <x:c r="R916" s="85"/>
      <x:c r="S916" s="85"/>
      <x:c r="T916" s="85"/>
      <x:c r="U916" s="85"/>
      <x:c r="V916" s="85"/>
      <x:c r="W916" s="85"/>
      <x:c r="Y916" s="86"/>
      <x:c r="Z916" s="86"/>
      <x:c r="AA916" s="32"/>
    </x:row>
    <x:row r="917">
      <x:c r="A917" s="87"/>
      <x:c r="B917" s="88"/>
      <x:c r="D917" s="32"/>
      <x:c r="I917" s="74"/>
      <x:c r="J917" s="74"/>
      <x:c r="K917" s="74"/>
      <x:c r="L917" s="74"/>
      <x:c r="M917" s="74"/>
      <x:c r="N917" s="74"/>
      <x:c r="O917" s="91"/>
      <x:c r="P917" s="91"/>
      <x:c r="Q917" s="85"/>
      <x:c r="R917" s="85"/>
      <x:c r="S917" s="85"/>
      <x:c r="T917" s="85"/>
      <x:c r="U917" s="85"/>
      <x:c r="V917" s="85"/>
      <x:c r="W917" s="85"/>
      <x:c r="Y917" s="86"/>
      <x:c r="Z917" s="86"/>
      <x:c r="AA917" s="32"/>
    </x:row>
    <x:row r="918">
      <x:c r="A918" s="87"/>
      <x:c r="B918" s="88"/>
      <x:c r="D918" s="32"/>
      <x:c r="I918" s="74"/>
      <x:c r="J918" s="74"/>
      <x:c r="K918" s="74"/>
      <x:c r="L918" s="74"/>
      <x:c r="M918" s="74"/>
      <x:c r="N918" s="74"/>
      <x:c r="O918" s="91"/>
      <x:c r="P918" s="91"/>
      <x:c r="Q918" s="85"/>
      <x:c r="R918" s="85"/>
      <x:c r="S918" s="85"/>
      <x:c r="T918" s="85"/>
      <x:c r="U918" s="85"/>
      <x:c r="V918" s="85"/>
      <x:c r="W918" s="85"/>
      <x:c r="Y918" s="86"/>
      <x:c r="Z918" s="86"/>
      <x:c r="AA918" s="32"/>
    </x:row>
    <x:row r="919">
      <x:c r="A919" s="87"/>
      <x:c r="B919" s="88"/>
      <x:c r="D919" s="32"/>
      <x:c r="I919" s="74"/>
      <x:c r="J919" s="74"/>
      <x:c r="K919" s="74"/>
      <x:c r="L919" s="74"/>
      <x:c r="M919" s="74"/>
      <x:c r="N919" s="74"/>
      <x:c r="O919" s="91"/>
      <x:c r="P919" s="91"/>
      <x:c r="Q919" s="85"/>
      <x:c r="R919" s="85"/>
      <x:c r="S919" s="85"/>
      <x:c r="T919" s="85"/>
      <x:c r="U919" s="85"/>
      <x:c r="V919" s="85"/>
      <x:c r="W919" s="85"/>
      <x:c r="Y919" s="86"/>
      <x:c r="Z919" s="86"/>
      <x:c r="AA919" s="32"/>
    </x:row>
    <x:row r="920">
      <x:c r="A920" s="87"/>
      <x:c r="B920" s="88"/>
      <x:c r="D920" s="32"/>
      <x:c r="I920" s="74"/>
      <x:c r="J920" s="74"/>
      <x:c r="K920" s="74"/>
      <x:c r="L920" s="74"/>
      <x:c r="M920" s="74"/>
      <x:c r="N920" s="74"/>
      <x:c r="O920" s="91"/>
      <x:c r="P920" s="91"/>
      <x:c r="Q920" s="85"/>
      <x:c r="R920" s="85"/>
      <x:c r="S920" s="85"/>
      <x:c r="T920" s="85"/>
      <x:c r="U920" s="85"/>
      <x:c r="V920" s="85"/>
      <x:c r="W920" s="85"/>
      <x:c r="Y920" s="86"/>
      <x:c r="Z920" s="86"/>
      <x:c r="AA920" s="32"/>
    </x:row>
    <x:row r="921">
      <x:c r="A921" s="87"/>
      <x:c r="B921" s="88"/>
      <x:c r="D921" s="32"/>
      <x:c r="I921" s="74"/>
      <x:c r="J921" s="74"/>
      <x:c r="K921" s="74"/>
      <x:c r="L921" s="74"/>
      <x:c r="M921" s="74"/>
      <x:c r="N921" s="74"/>
      <x:c r="O921" s="91"/>
      <x:c r="P921" s="91"/>
      <x:c r="Q921" s="85"/>
      <x:c r="R921" s="85"/>
      <x:c r="S921" s="85"/>
      <x:c r="T921" s="85"/>
      <x:c r="U921" s="85"/>
      <x:c r="V921" s="85"/>
      <x:c r="W921" s="85"/>
      <x:c r="Y921" s="86"/>
      <x:c r="Z921" s="86"/>
      <x:c r="AA921" s="32"/>
    </x:row>
    <x:row r="922">
      <x:c r="A922" s="87"/>
      <x:c r="B922" s="88"/>
      <x:c r="D922" s="32"/>
      <x:c r="I922" s="74"/>
      <x:c r="J922" s="74"/>
      <x:c r="K922" s="74"/>
      <x:c r="L922" s="74"/>
      <x:c r="M922" s="74"/>
      <x:c r="N922" s="74"/>
      <x:c r="O922" s="91"/>
      <x:c r="P922" s="91"/>
      <x:c r="Q922" s="85"/>
      <x:c r="R922" s="85"/>
      <x:c r="S922" s="85"/>
      <x:c r="T922" s="85"/>
      <x:c r="U922" s="85"/>
      <x:c r="V922" s="85"/>
      <x:c r="W922" s="85"/>
      <x:c r="Y922" s="86"/>
      <x:c r="Z922" s="86"/>
      <x:c r="AA922" s="32"/>
    </x:row>
    <x:row r="923">
      <x:c r="A923" s="87"/>
      <x:c r="B923" s="88"/>
      <x:c r="D923" s="32"/>
      <x:c r="I923" s="74"/>
      <x:c r="J923" s="74"/>
      <x:c r="K923" s="74"/>
      <x:c r="L923" s="74"/>
      <x:c r="M923" s="74"/>
      <x:c r="N923" s="74"/>
      <x:c r="O923" s="91"/>
      <x:c r="P923" s="91"/>
      <x:c r="Q923" s="85"/>
      <x:c r="R923" s="85"/>
      <x:c r="S923" s="85"/>
      <x:c r="T923" s="85"/>
      <x:c r="U923" s="85"/>
      <x:c r="V923" s="85"/>
      <x:c r="W923" s="85"/>
      <x:c r="Y923" s="86"/>
      <x:c r="Z923" s="86"/>
      <x:c r="AA923" s="32"/>
    </x:row>
    <x:row r="924">
      <x:c r="A924" s="87"/>
      <x:c r="B924" s="88"/>
      <x:c r="D924" s="32"/>
      <x:c r="I924" s="74"/>
      <x:c r="J924" s="74"/>
      <x:c r="K924" s="74"/>
      <x:c r="L924" s="74"/>
      <x:c r="M924" s="74"/>
      <x:c r="N924" s="74"/>
      <x:c r="O924" s="91"/>
      <x:c r="P924" s="91"/>
      <x:c r="Q924" s="85"/>
      <x:c r="R924" s="85"/>
      <x:c r="S924" s="85"/>
      <x:c r="T924" s="85"/>
      <x:c r="U924" s="85"/>
      <x:c r="V924" s="85"/>
      <x:c r="W924" s="85"/>
      <x:c r="Y924" s="86"/>
      <x:c r="Z924" s="86"/>
      <x:c r="AA924" s="32"/>
    </x:row>
    <x:row r="925">
      <x:c r="A925" s="87"/>
      <x:c r="B925" s="88"/>
      <x:c r="D925" s="32"/>
      <x:c r="I925" s="74"/>
      <x:c r="J925" s="74"/>
      <x:c r="K925" s="74"/>
      <x:c r="L925" s="74"/>
      <x:c r="M925" s="74"/>
      <x:c r="N925" s="74"/>
      <x:c r="O925" s="91"/>
      <x:c r="P925" s="91"/>
      <x:c r="Q925" s="85"/>
      <x:c r="R925" s="85"/>
      <x:c r="S925" s="85"/>
      <x:c r="T925" s="85"/>
      <x:c r="U925" s="85"/>
      <x:c r="V925" s="85"/>
      <x:c r="W925" s="85"/>
      <x:c r="Y925" s="86"/>
      <x:c r="Z925" s="86"/>
      <x:c r="AA925" s="32"/>
    </x:row>
    <x:row r="926">
      <x:c r="A926" s="87"/>
      <x:c r="B926" s="88"/>
      <x:c r="D926" s="32"/>
      <x:c r="I926" s="74"/>
      <x:c r="J926" s="74"/>
      <x:c r="K926" s="74"/>
      <x:c r="L926" s="74"/>
      <x:c r="M926" s="74"/>
      <x:c r="N926" s="74"/>
      <x:c r="O926" s="91"/>
      <x:c r="P926" s="91"/>
      <x:c r="Q926" s="85"/>
      <x:c r="R926" s="85"/>
      <x:c r="S926" s="85"/>
      <x:c r="T926" s="85"/>
      <x:c r="U926" s="85"/>
      <x:c r="V926" s="85"/>
      <x:c r="W926" s="85"/>
      <x:c r="Y926" s="86"/>
      <x:c r="Z926" s="86"/>
      <x:c r="AA926" s="32"/>
    </x:row>
    <x:row r="927">
      <x:c r="A927" s="87"/>
      <x:c r="B927" s="88"/>
      <x:c r="D927" s="32"/>
      <x:c r="I927" s="74"/>
      <x:c r="J927" s="74"/>
      <x:c r="K927" s="74"/>
      <x:c r="L927" s="74"/>
      <x:c r="M927" s="74"/>
      <x:c r="N927" s="74"/>
      <x:c r="O927" s="91"/>
      <x:c r="P927" s="91"/>
      <x:c r="Q927" s="85"/>
      <x:c r="R927" s="85"/>
      <x:c r="S927" s="85"/>
      <x:c r="T927" s="85"/>
      <x:c r="U927" s="85"/>
      <x:c r="V927" s="85"/>
      <x:c r="W927" s="85"/>
      <x:c r="Y927" s="86"/>
      <x:c r="Z927" s="86"/>
      <x:c r="AA927" s="32"/>
    </x:row>
    <x:row r="928">
      <x:c r="A928" s="87"/>
      <x:c r="B928" s="88"/>
      <x:c r="D928" s="32"/>
      <x:c r="I928" s="74"/>
      <x:c r="J928" s="74"/>
      <x:c r="K928" s="74"/>
      <x:c r="L928" s="74"/>
      <x:c r="M928" s="74"/>
      <x:c r="N928" s="74"/>
      <x:c r="O928" s="91"/>
      <x:c r="P928" s="91"/>
      <x:c r="Q928" s="85"/>
      <x:c r="R928" s="85"/>
      <x:c r="S928" s="85"/>
      <x:c r="T928" s="85"/>
      <x:c r="U928" s="85"/>
      <x:c r="V928" s="85"/>
      <x:c r="W928" s="85"/>
      <x:c r="Y928" s="86"/>
      <x:c r="Z928" s="86"/>
      <x:c r="AA928" s="32"/>
    </x:row>
    <x:row r="929">
      <x:c r="A929" s="87"/>
      <x:c r="B929" s="88"/>
      <x:c r="D929" s="32"/>
      <x:c r="I929" s="74"/>
      <x:c r="J929" s="74"/>
      <x:c r="K929" s="74"/>
      <x:c r="L929" s="74"/>
      <x:c r="M929" s="74"/>
      <x:c r="N929" s="74"/>
      <x:c r="O929" s="91"/>
      <x:c r="P929" s="91"/>
      <x:c r="Q929" s="85"/>
      <x:c r="R929" s="85"/>
      <x:c r="S929" s="85"/>
      <x:c r="T929" s="85"/>
      <x:c r="U929" s="85"/>
      <x:c r="V929" s="85"/>
      <x:c r="W929" s="85"/>
      <x:c r="Y929" s="86"/>
      <x:c r="Z929" s="86"/>
      <x:c r="AA929" s="32"/>
    </x:row>
    <x:row r="930">
      <x:c r="A930" s="87"/>
      <x:c r="B930" s="88"/>
      <x:c r="D930" s="32"/>
      <x:c r="I930" s="74"/>
      <x:c r="J930" s="74"/>
      <x:c r="K930" s="74"/>
      <x:c r="L930" s="74"/>
      <x:c r="M930" s="74"/>
      <x:c r="N930" s="74"/>
      <x:c r="O930" s="91"/>
      <x:c r="P930" s="91"/>
      <x:c r="Q930" s="85"/>
      <x:c r="R930" s="85"/>
      <x:c r="S930" s="85"/>
      <x:c r="T930" s="85"/>
      <x:c r="U930" s="85"/>
      <x:c r="V930" s="85"/>
      <x:c r="W930" s="85"/>
      <x:c r="Y930" s="86"/>
      <x:c r="Z930" s="86"/>
      <x:c r="AA930" s="32"/>
    </x:row>
    <x:row r="931">
      <x:c r="A931" s="87"/>
      <x:c r="B931" s="88"/>
      <x:c r="D931" s="32"/>
      <x:c r="I931" s="74"/>
      <x:c r="J931" s="74"/>
      <x:c r="K931" s="74"/>
      <x:c r="L931" s="74"/>
      <x:c r="M931" s="74"/>
      <x:c r="N931" s="74"/>
      <x:c r="O931" s="91"/>
      <x:c r="P931" s="91"/>
      <x:c r="Q931" s="85"/>
      <x:c r="R931" s="85"/>
      <x:c r="S931" s="85"/>
      <x:c r="T931" s="85"/>
      <x:c r="U931" s="85"/>
      <x:c r="V931" s="85"/>
      <x:c r="W931" s="85"/>
      <x:c r="Y931" s="86"/>
      <x:c r="Z931" s="86"/>
      <x:c r="AA931" s="32"/>
    </x:row>
    <x:row r="932">
      <x:c r="A932" s="87"/>
      <x:c r="B932" s="88"/>
      <x:c r="D932" s="32"/>
      <x:c r="I932" s="74"/>
      <x:c r="J932" s="74"/>
      <x:c r="K932" s="74"/>
      <x:c r="L932" s="74"/>
      <x:c r="M932" s="74"/>
      <x:c r="N932" s="74"/>
      <x:c r="O932" s="91"/>
      <x:c r="P932" s="91"/>
      <x:c r="Q932" s="85"/>
      <x:c r="R932" s="85"/>
      <x:c r="S932" s="85"/>
      <x:c r="T932" s="85"/>
      <x:c r="U932" s="85"/>
      <x:c r="V932" s="85"/>
      <x:c r="W932" s="85"/>
      <x:c r="Y932" s="86"/>
      <x:c r="Z932" s="86"/>
      <x:c r="AA932" s="32"/>
    </x:row>
    <x:row r="933">
      <x:c r="A933" s="87"/>
      <x:c r="B933" s="88"/>
      <x:c r="D933" s="32"/>
      <x:c r="I933" s="74"/>
      <x:c r="J933" s="74"/>
      <x:c r="K933" s="74"/>
      <x:c r="L933" s="74"/>
      <x:c r="M933" s="74"/>
      <x:c r="N933" s="74"/>
      <x:c r="O933" s="91"/>
      <x:c r="P933" s="91"/>
      <x:c r="Q933" s="85"/>
      <x:c r="R933" s="85"/>
      <x:c r="S933" s="85"/>
      <x:c r="T933" s="85"/>
      <x:c r="U933" s="85"/>
      <x:c r="V933" s="85"/>
      <x:c r="W933" s="85"/>
      <x:c r="Y933" s="86"/>
      <x:c r="Z933" s="86"/>
      <x:c r="AA933" s="32"/>
    </x:row>
    <x:row r="934">
      <x:c r="A934" s="87"/>
      <x:c r="B934" s="88"/>
      <x:c r="D934" s="32"/>
      <x:c r="I934" s="74"/>
      <x:c r="J934" s="74"/>
      <x:c r="K934" s="74"/>
      <x:c r="L934" s="74"/>
      <x:c r="M934" s="74"/>
      <x:c r="N934" s="74"/>
      <x:c r="O934" s="91"/>
      <x:c r="P934" s="91"/>
      <x:c r="Q934" s="85"/>
      <x:c r="R934" s="85"/>
      <x:c r="S934" s="85"/>
      <x:c r="T934" s="85"/>
      <x:c r="U934" s="85"/>
      <x:c r="V934" s="85"/>
      <x:c r="W934" s="85"/>
      <x:c r="Y934" s="86"/>
      <x:c r="Z934" s="86"/>
      <x:c r="AA934" s="32"/>
    </x:row>
    <x:row r="935">
      <x:c r="A935" s="87"/>
      <x:c r="B935" s="88"/>
      <x:c r="D935" s="32"/>
      <x:c r="I935" s="74"/>
      <x:c r="J935" s="74"/>
      <x:c r="K935" s="74"/>
      <x:c r="L935" s="74"/>
      <x:c r="M935" s="74"/>
      <x:c r="N935" s="74"/>
      <x:c r="O935" s="91"/>
      <x:c r="P935" s="91"/>
      <x:c r="Q935" s="85"/>
      <x:c r="R935" s="85"/>
      <x:c r="S935" s="85"/>
      <x:c r="T935" s="85"/>
      <x:c r="U935" s="85"/>
      <x:c r="V935" s="85"/>
      <x:c r="W935" s="85"/>
      <x:c r="Y935" s="86"/>
      <x:c r="Z935" s="86"/>
      <x:c r="AA935" s="32"/>
    </x:row>
    <x:row r="936">
      <x:c r="A936" s="87"/>
      <x:c r="B936" s="88"/>
      <x:c r="D936" s="32"/>
      <x:c r="I936" s="74"/>
      <x:c r="J936" s="74"/>
      <x:c r="K936" s="74"/>
      <x:c r="L936" s="74"/>
      <x:c r="M936" s="74"/>
      <x:c r="N936" s="74"/>
      <x:c r="O936" s="91"/>
      <x:c r="P936" s="91"/>
      <x:c r="Q936" s="85"/>
      <x:c r="R936" s="85"/>
      <x:c r="S936" s="85"/>
      <x:c r="T936" s="85"/>
      <x:c r="U936" s="85"/>
      <x:c r="V936" s="85"/>
      <x:c r="W936" s="85"/>
      <x:c r="Y936" s="86"/>
      <x:c r="Z936" s="86"/>
      <x:c r="AA936" s="32"/>
    </x:row>
    <x:row r="937">
      <x:c r="A937" s="87"/>
      <x:c r="B937" s="88"/>
      <x:c r="D937" s="32"/>
      <x:c r="I937" s="74"/>
      <x:c r="J937" s="74"/>
      <x:c r="K937" s="74"/>
      <x:c r="L937" s="74"/>
      <x:c r="M937" s="74"/>
      <x:c r="N937" s="74"/>
      <x:c r="O937" s="91"/>
      <x:c r="P937" s="91"/>
      <x:c r="Q937" s="85"/>
      <x:c r="R937" s="85"/>
      <x:c r="S937" s="85"/>
      <x:c r="T937" s="85"/>
      <x:c r="U937" s="85"/>
      <x:c r="V937" s="85"/>
      <x:c r="W937" s="85"/>
      <x:c r="Y937" s="86"/>
      <x:c r="Z937" s="86"/>
      <x:c r="AA937" s="32"/>
    </x:row>
    <x:row r="938">
      <x:c r="A938" s="87"/>
      <x:c r="B938" s="88"/>
      <x:c r="D938" s="32"/>
      <x:c r="I938" s="74"/>
      <x:c r="J938" s="74"/>
      <x:c r="K938" s="74"/>
      <x:c r="L938" s="74"/>
      <x:c r="M938" s="74"/>
      <x:c r="N938" s="74"/>
      <x:c r="O938" s="91"/>
      <x:c r="P938" s="91"/>
      <x:c r="Q938" s="85"/>
      <x:c r="R938" s="85"/>
      <x:c r="S938" s="85"/>
      <x:c r="T938" s="85"/>
      <x:c r="U938" s="85"/>
      <x:c r="V938" s="85"/>
      <x:c r="W938" s="85"/>
      <x:c r="Y938" s="86"/>
      <x:c r="Z938" s="86"/>
      <x:c r="AA938" s="32"/>
    </x:row>
    <x:row r="939">
      <x:c r="A939" s="87"/>
      <x:c r="B939" s="88"/>
      <x:c r="D939" s="32"/>
      <x:c r="I939" s="74"/>
      <x:c r="J939" s="74"/>
      <x:c r="K939" s="74"/>
      <x:c r="L939" s="74"/>
      <x:c r="M939" s="74"/>
      <x:c r="N939" s="74"/>
      <x:c r="O939" s="91"/>
      <x:c r="P939" s="91"/>
      <x:c r="Q939" s="85"/>
      <x:c r="R939" s="85"/>
      <x:c r="S939" s="85"/>
      <x:c r="T939" s="85"/>
      <x:c r="U939" s="85"/>
      <x:c r="V939" s="85"/>
      <x:c r="W939" s="85"/>
      <x:c r="Y939" s="86"/>
      <x:c r="Z939" s="86"/>
      <x:c r="AA939" s="32"/>
    </x:row>
    <x:row r="940">
      <x:c r="A940" s="87"/>
      <x:c r="B940" s="88"/>
      <x:c r="D940" s="32"/>
      <x:c r="I940" s="74"/>
      <x:c r="J940" s="74"/>
      <x:c r="K940" s="74"/>
      <x:c r="L940" s="74"/>
      <x:c r="M940" s="74"/>
      <x:c r="N940" s="74"/>
      <x:c r="O940" s="91"/>
      <x:c r="P940" s="91"/>
      <x:c r="Q940" s="85"/>
      <x:c r="R940" s="85"/>
      <x:c r="S940" s="85"/>
      <x:c r="T940" s="85"/>
      <x:c r="U940" s="85"/>
      <x:c r="V940" s="85"/>
      <x:c r="W940" s="85"/>
      <x:c r="Y940" s="86"/>
      <x:c r="Z940" s="86"/>
      <x:c r="AA940" s="32"/>
    </x:row>
    <x:row r="941">
      <x:c r="A941" s="87"/>
      <x:c r="B941" s="88"/>
      <x:c r="D941" s="32"/>
      <x:c r="I941" s="74"/>
      <x:c r="J941" s="74"/>
      <x:c r="K941" s="74"/>
      <x:c r="L941" s="74"/>
      <x:c r="M941" s="74"/>
      <x:c r="N941" s="74"/>
      <x:c r="O941" s="91"/>
      <x:c r="P941" s="91"/>
      <x:c r="Q941" s="85"/>
      <x:c r="R941" s="85"/>
      <x:c r="S941" s="85"/>
      <x:c r="T941" s="85"/>
      <x:c r="U941" s="85"/>
      <x:c r="V941" s="85"/>
      <x:c r="W941" s="85"/>
      <x:c r="Y941" s="86"/>
      <x:c r="Z941" s="86"/>
      <x:c r="AA941" s="32"/>
    </x:row>
    <x:row r="942">
      <x:c r="A942" s="87"/>
      <x:c r="B942" s="88"/>
      <x:c r="D942" s="32"/>
      <x:c r="I942" s="74"/>
      <x:c r="J942" s="74"/>
      <x:c r="K942" s="74"/>
      <x:c r="L942" s="74"/>
      <x:c r="M942" s="74"/>
      <x:c r="N942" s="74"/>
      <x:c r="O942" s="91"/>
      <x:c r="P942" s="91"/>
      <x:c r="Q942" s="85"/>
      <x:c r="R942" s="85"/>
      <x:c r="S942" s="85"/>
      <x:c r="T942" s="85"/>
      <x:c r="U942" s="85"/>
      <x:c r="V942" s="85"/>
      <x:c r="W942" s="85"/>
      <x:c r="Y942" s="86"/>
      <x:c r="Z942" s="86"/>
      <x:c r="AA942" s="32"/>
    </x:row>
    <x:row r="943">
      <x:c r="A943" s="87"/>
      <x:c r="B943" s="88"/>
      <x:c r="D943" s="32"/>
      <x:c r="I943" s="74"/>
      <x:c r="J943" s="74"/>
      <x:c r="K943" s="74"/>
      <x:c r="L943" s="74"/>
      <x:c r="M943" s="74"/>
      <x:c r="N943" s="74"/>
      <x:c r="O943" s="91"/>
      <x:c r="P943" s="91"/>
      <x:c r="Q943" s="85"/>
      <x:c r="R943" s="85"/>
      <x:c r="S943" s="85"/>
      <x:c r="T943" s="85"/>
      <x:c r="U943" s="85"/>
      <x:c r="V943" s="85"/>
      <x:c r="W943" s="85"/>
      <x:c r="Y943" s="86"/>
      <x:c r="Z943" s="86"/>
      <x:c r="AA943" s="32"/>
    </x:row>
    <x:row r="944">
      <x:c r="A944" s="87"/>
      <x:c r="B944" s="88"/>
      <x:c r="D944" s="32"/>
      <x:c r="I944" s="74"/>
      <x:c r="J944" s="74"/>
      <x:c r="K944" s="74"/>
      <x:c r="L944" s="74"/>
      <x:c r="M944" s="74"/>
      <x:c r="N944" s="74"/>
      <x:c r="O944" s="91"/>
      <x:c r="P944" s="91"/>
      <x:c r="Q944" s="85"/>
      <x:c r="R944" s="85"/>
      <x:c r="S944" s="85"/>
      <x:c r="T944" s="85"/>
      <x:c r="U944" s="85"/>
      <x:c r="V944" s="85"/>
      <x:c r="W944" s="85"/>
      <x:c r="Y944" s="86"/>
      <x:c r="Z944" s="86"/>
      <x:c r="AA944" s="32"/>
    </x:row>
    <x:row r="945">
      <x:c r="A945" s="87"/>
      <x:c r="B945" s="88"/>
      <x:c r="D945" s="32"/>
      <x:c r="I945" s="74"/>
      <x:c r="J945" s="74"/>
      <x:c r="K945" s="74"/>
      <x:c r="L945" s="74"/>
      <x:c r="M945" s="74"/>
      <x:c r="N945" s="74"/>
      <x:c r="O945" s="91"/>
      <x:c r="P945" s="91"/>
      <x:c r="Q945" s="85"/>
      <x:c r="R945" s="85"/>
      <x:c r="S945" s="85"/>
      <x:c r="T945" s="85"/>
      <x:c r="U945" s="85"/>
      <x:c r="V945" s="85"/>
      <x:c r="W945" s="85"/>
      <x:c r="Y945" s="86"/>
      <x:c r="Z945" s="86"/>
      <x:c r="AA945" s="32"/>
    </x:row>
    <x:row r="946">
      <x:c r="A946" s="87"/>
      <x:c r="B946" s="88"/>
      <x:c r="D946" s="32"/>
      <x:c r="I946" s="74"/>
      <x:c r="J946" s="74"/>
      <x:c r="K946" s="74"/>
      <x:c r="L946" s="74"/>
      <x:c r="M946" s="74"/>
      <x:c r="N946" s="74"/>
      <x:c r="O946" s="91"/>
      <x:c r="P946" s="91"/>
      <x:c r="Q946" s="85"/>
      <x:c r="R946" s="85"/>
      <x:c r="S946" s="85"/>
      <x:c r="T946" s="85"/>
      <x:c r="U946" s="85"/>
      <x:c r="V946" s="85"/>
      <x:c r="W946" s="85"/>
      <x:c r="Y946" s="86"/>
      <x:c r="Z946" s="86"/>
      <x:c r="AA946" s="32"/>
    </x:row>
    <x:row r="947">
      <x:c r="A947" s="87"/>
      <x:c r="B947" s="88"/>
      <x:c r="D947" s="32"/>
      <x:c r="I947" s="74"/>
      <x:c r="J947" s="74"/>
      <x:c r="K947" s="74"/>
      <x:c r="L947" s="74"/>
      <x:c r="M947" s="74"/>
      <x:c r="N947" s="74"/>
      <x:c r="O947" s="91"/>
      <x:c r="P947" s="91"/>
      <x:c r="Q947" s="85"/>
      <x:c r="R947" s="85"/>
      <x:c r="S947" s="85"/>
      <x:c r="T947" s="85"/>
      <x:c r="U947" s="85"/>
      <x:c r="V947" s="85"/>
      <x:c r="W947" s="85"/>
      <x:c r="Y947" s="86"/>
      <x:c r="Z947" s="86"/>
      <x:c r="AA947" s="32"/>
    </x:row>
    <x:row r="948">
      <x:c r="A948" s="87"/>
      <x:c r="B948" s="88"/>
      <x:c r="D948" s="32"/>
      <x:c r="I948" s="74"/>
      <x:c r="J948" s="74"/>
      <x:c r="K948" s="74"/>
      <x:c r="L948" s="74"/>
      <x:c r="M948" s="74"/>
      <x:c r="N948" s="74"/>
      <x:c r="O948" s="91"/>
      <x:c r="P948" s="91"/>
      <x:c r="Q948" s="85"/>
      <x:c r="R948" s="85"/>
      <x:c r="S948" s="85"/>
      <x:c r="T948" s="85"/>
      <x:c r="U948" s="85"/>
      <x:c r="V948" s="85"/>
      <x:c r="W948" s="85"/>
      <x:c r="Y948" s="86"/>
      <x:c r="Z948" s="86"/>
      <x:c r="AA948" s="32"/>
    </x:row>
    <x:row r="949">
      <x:c r="A949" s="87"/>
      <x:c r="B949" s="88"/>
      <x:c r="D949" s="32"/>
      <x:c r="I949" s="74"/>
      <x:c r="J949" s="74"/>
      <x:c r="K949" s="74"/>
      <x:c r="L949" s="74"/>
      <x:c r="M949" s="74"/>
      <x:c r="N949" s="74"/>
      <x:c r="O949" s="91"/>
      <x:c r="P949" s="91"/>
      <x:c r="Q949" s="85"/>
      <x:c r="R949" s="85"/>
      <x:c r="S949" s="85"/>
      <x:c r="T949" s="85"/>
      <x:c r="U949" s="85"/>
      <x:c r="V949" s="85"/>
      <x:c r="W949" s="85"/>
      <x:c r="Y949" s="86"/>
      <x:c r="Z949" s="86"/>
      <x:c r="AA949" s="32"/>
    </x:row>
    <x:row r="950">
      <x:c r="A950" s="87"/>
      <x:c r="B950" s="88"/>
      <x:c r="D950" s="32"/>
      <x:c r="I950" s="74"/>
      <x:c r="J950" s="74"/>
      <x:c r="K950" s="74"/>
      <x:c r="L950" s="74"/>
      <x:c r="M950" s="74"/>
      <x:c r="N950" s="74"/>
      <x:c r="O950" s="91"/>
      <x:c r="P950" s="91"/>
      <x:c r="Q950" s="85"/>
      <x:c r="R950" s="85"/>
      <x:c r="S950" s="85"/>
      <x:c r="T950" s="85"/>
      <x:c r="U950" s="85"/>
      <x:c r="V950" s="85"/>
      <x:c r="W950" s="85"/>
      <x:c r="Y950" s="86"/>
      <x:c r="Z950" s="86"/>
      <x:c r="AA950" s="32"/>
    </x:row>
    <x:row r="951">
      <x:c r="A951" s="87"/>
      <x:c r="B951" s="88"/>
      <x:c r="D951" s="32"/>
      <x:c r="I951" s="74"/>
      <x:c r="J951" s="74"/>
      <x:c r="K951" s="74"/>
      <x:c r="L951" s="74"/>
      <x:c r="M951" s="74"/>
      <x:c r="N951" s="74"/>
      <x:c r="O951" s="91"/>
      <x:c r="P951" s="91"/>
      <x:c r="Q951" s="85"/>
      <x:c r="R951" s="85"/>
      <x:c r="S951" s="85"/>
      <x:c r="T951" s="85"/>
      <x:c r="U951" s="85"/>
      <x:c r="V951" s="85"/>
      <x:c r="W951" s="85"/>
      <x:c r="Y951" s="86"/>
      <x:c r="Z951" s="86"/>
      <x:c r="AA951" s="32"/>
    </x:row>
    <x:row r="952">
      <x:c r="A952" s="87"/>
      <x:c r="B952" s="88"/>
      <x:c r="D952" s="32"/>
      <x:c r="I952" s="74"/>
      <x:c r="J952" s="74"/>
      <x:c r="K952" s="74"/>
      <x:c r="L952" s="74"/>
      <x:c r="M952" s="74"/>
      <x:c r="N952" s="74"/>
      <x:c r="O952" s="91"/>
      <x:c r="P952" s="91"/>
      <x:c r="Q952" s="85"/>
      <x:c r="R952" s="85"/>
      <x:c r="S952" s="85"/>
      <x:c r="T952" s="85"/>
      <x:c r="U952" s="85"/>
      <x:c r="V952" s="85"/>
      <x:c r="W952" s="85"/>
      <x:c r="Y952" s="86"/>
      <x:c r="Z952" s="86"/>
      <x:c r="AA952" s="32"/>
    </x:row>
    <x:row r="953">
      <x:c r="A953" s="87"/>
      <x:c r="B953" s="88"/>
      <x:c r="D953" s="32"/>
      <x:c r="I953" s="74"/>
      <x:c r="J953" s="74"/>
      <x:c r="K953" s="74"/>
      <x:c r="L953" s="74"/>
      <x:c r="M953" s="74"/>
      <x:c r="N953" s="74"/>
      <x:c r="O953" s="91"/>
      <x:c r="P953" s="91"/>
      <x:c r="Q953" s="85"/>
      <x:c r="R953" s="85"/>
      <x:c r="S953" s="85"/>
      <x:c r="T953" s="85"/>
      <x:c r="U953" s="85"/>
      <x:c r="V953" s="85"/>
      <x:c r="W953" s="85"/>
      <x:c r="Y953" s="86"/>
      <x:c r="Z953" s="86"/>
      <x:c r="AA953" s="32"/>
    </x:row>
    <x:row r="954">
      <x:c r="A954" s="87"/>
      <x:c r="B954" s="88"/>
      <x:c r="D954" s="32"/>
      <x:c r="I954" s="74"/>
      <x:c r="J954" s="74"/>
      <x:c r="K954" s="74"/>
      <x:c r="L954" s="74"/>
      <x:c r="M954" s="74"/>
      <x:c r="N954" s="74"/>
      <x:c r="O954" s="91"/>
      <x:c r="P954" s="91"/>
      <x:c r="Q954" s="85"/>
      <x:c r="R954" s="85"/>
      <x:c r="S954" s="85"/>
      <x:c r="T954" s="85"/>
      <x:c r="U954" s="85"/>
      <x:c r="V954" s="85"/>
      <x:c r="W954" s="85"/>
      <x:c r="Y954" s="86"/>
      <x:c r="Z954" s="86"/>
      <x:c r="AA954" s="32"/>
    </x:row>
    <x:row r="955">
      <x:c r="A955" s="87"/>
      <x:c r="B955" s="88"/>
      <x:c r="D955" s="32"/>
      <x:c r="I955" s="74"/>
      <x:c r="J955" s="74"/>
      <x:c r="K955" s="74"/>
      <x:c r="L955" s="74"/>
      <x:c r="M955" s="74"/>
      <x:c r="N955" s="74"/>
      <x:c r="O955" s="91"/>
      <x:c r="P955" s="91"/>
      <x:c r="Q955" s="85"/>
      <x:c r="R955" s="85"/>
      <x:c r="S955" s="85"/>
      <x:c r="T955" s="85"/>
      <x:c r="U955" s="85"/>
      <x:c r="V955" s="85"/>
      <x:c r="W955" s="85"/>
      <x:c r="Y955" s="86"/>
      <x:c r="Z955" s="86"/>
      <x:c r="AA955" s="32"/>
    </x:row>
    <x:row r="956">
      <x:c r="A956" s="87"/>
      <x:c r="B956" s="88"/>
      <x:c r="D956" s="32"/>
      <x:c r="I956" s="74"/>
      <x:c r="J956" s="74"/>
      <x:c r="K956" s="74"/>
      <x:c r="L956" s="74"/>
      <x:c r="M956" s="74"/>
      <x:c r="N956" s="74"/>
      <x:c r="O956" s="91"/>
      <x:c r="P956" s="91"/>
      <x:c r="Q956" s="85"/>
      <x:c r="R956" s="85"/>
      <x:c r="S956" s="85"/>
      <x:c r="T956" s="85"/>
      <x:c r="U956" s="85"/>
      <x:c r="V956" s="85"/>
      <x:c r="W956" s="85"/>
      <x:c r="Y956" s="86"/>
      <x:c r="Z956" s="86"/>
      <x:c r="AA956" s="32"/>
    </x:row>
    <x:row r="957">
      <x:c r="A957" s="87"/>
      <x:c r="B957" s="88"/>
      <x:c r="D957" s="32"/>
      <x:c r="I957" s="74"/>
      <x:c r="J957" s="74"/>
      <x:c r="K957" s="74"/>
      <x:c r="L957" s="74"/>
      <x:c r="M957" s="74"/>
      <x:c r="N957" s="74"/>
      <x:c r="O957" s="91"/>
      <x:c r="P957" s="91"/>
      <x:c r="Q957" s="85"/>
      <x:c r="R957" s="85"/>
      <x:c r="S957" s="85"/>
      <x:c r="T957" s="85"/>
      <x:c r="U957" s="85"/>
      <x:c r="V957" s="85"/>
      <x:c r="W957" s="85"/>
      <x:c r="Y957" s="86"/>
      <x:c r="Z957" s="86"/>
      <x:c r="AA957" s="32"/>
    </x:row>
    <x:row r="958">
      <x:c r="A958" s="87"/>
      <x:c r="B958" s="88"/>
      <x:c r="D958" s="32"/>
      <x:c r="I958" s="74"/>
      <x:c r="J958" s="74"/>
      <x:c r="K958" s="74"/>
      <x:c r="L958" s="74"/>
      <x:c r="M958" s="74"/>
      <x:c r="N958" s="74"/>
      <x:c r="O958" s="91"/>
      <x:c r="P958" s="91"/>
      <x:c r="Q958" s="85"/>
      <x:c r="R958" s="85"/>
      <x:c r="S958" s="85"/>
      <x:c r="T958" s="85"/>
      <x:c r="U958" s="85"/>
      <x:c r="V958" s="85"/>
      <x:c r="W958" s="85"/>
      <x:c r="Y958" s="86"/>
      <x:c r="Z958" s="86"/>
      <x:c r="AA958" s="32"/>
    </x:row>
    <x:row r="959">
      <x:c r="A959" s="87"/>
      <x:c r="B959" s="88"/>
      <x:c r="D959" s="32"/>
      <x:c r="I959" s="74"/>
      <x:c r="J959" s="74"/>
      <x:c r="K959" s="74"/>
      <x:c r="L959" s="74"/>
      <x:c r="M959" s="74"/>
      <x:c r="N959" s="74"/>
      <x:c r="O959" s="91"/>
      <x:c r="P959" s="91"/>
      <x:c r="Q959" s="85"/>
      <x:c r="R959" s="85"/>
      <x:c r="S959" s="85"/>
      <x:c r="T959" s="85"/>
      <x:c r="U959" s="85"/>
      <x:c r="V959" s="85"/>
      <x:c r="W959" s="85"/>
      <x:c r="Y959" s="86"/>
      <x:c r="Z959" s="86"/>
      <x:c r="AA959" s="32"/>
    </x:row>
    <x:row r="960">
      <x:c r="A960" s="87"/>
      <x:c r="B960" s="88"/>
      <x:c r="D960" s="32"/>
      <x:c r="I960" s="74"/>
      <x:c r="J960" s="74"/>
      <x:c r="K960" s="74"/>
      <x:c r="L960" s="74"/>
      <x:c r="M960" s="74"/>
      <x:c r="N960" s="74"/>
      <x:c r="O960" s="91"/>
      <x:c r="P960" s="91"/>
      <x:c r="Q960" s="85"/>
      <x:c r="R960" s="85"/>
      <x:c r="S960" s="85"/>
      <x:c r="T960" s="85"/>
      <x:c r="U960" s="85"/>
      <x:c r="V960" s="85"/>
      <x:c r="W960" s="85"/>
      <x:c r="Y960" s="86"/>
      <x:c r="Z960" s="86"/>
      <x:c r="AA960" s="32"/>
    </x:row>
    <x:row r="961">
      <x:c r="A961" s="87"/>
      <x:c r="B961" s="88"/>
      <x:c r="D961" s="32"/>
      <x:c r="I961" s="74"/>
      <x:c r="J961" s="74"/>
      <x:c r="K961" s="74"/>
      <x:c r="L961" s="74"/>
      <x:c r="M961" s="74"/>
      <x:c r="N961" s="74"/>
      <x:c r="O961" s="91"/>
      <x:c r="P961" s="91"/>
      <x:c r="Q961" s="85"/>
      <x:c r="R961" s="85"/>
      <x:c r="S961" s="85"/>
      <x:c r="T961" s="85"/>
      <x:c r="U961" s="85"/>
      <x:c r="V961" s="85"/>
      <x:c r="W961" s="85"/>
      <x:c r="Y961" s="86"/>
      <x:c r="Z961" s="86"/>
      <x:c r="AA961" s="32"/>
    </x:row>
    <x:row r="962">
      <x:c r="A962" s="87"/>
      <x:c r="B962" s="88"/>
      <x:c r="D962" s="32"/>
      <x:c r="I962" s="74"/>
      <x:c r="J962" s="74"/>
      <x:c r="K962" s="74"/>
      <x:c r="L962" s="74"/>
      <x:c r="M962" s="74"/>
      <x:c r="N962" s="74"/>
      <x:c r="O962" s="91"/>
      <x:c r="P962" s="91"/>
      <x:c r="Q962" s="85"/>
      <x:c r="R962" s="85"/>
      <x:c r="S962" s="85"/>
      <x:c r="T962" s="85"/>
      <x:c r="U962" s="85"/>
      <x:c r="V962" s="85"/>
      <x:c r="W962" s="85"/>
      <x:c r="Y962" s="86"/>
      <x:c r="Z962" s="86"/>
      <x:c r="AA962" s="32"/>
    </x:row>
    <x:row r="963">
      <x:c r="A963" s="87"/>
      <x:c r="B963" s="88"/>
      <x:c r="D963" s="32"/>
      <x:c r="I963" s="74"/>
      <x:c r="J963" s="74"/>
      <x:c r="K963" s="74"/>
      <x:c r="L963" s="74"/>
      <x:c r="M963" s="74"/>
      <x:c r="N963" s="74"/>
      <x:c r="O963" s="91"/>
      <x:c r="P963" s="91"/>
      <x:c r="Q963" s="85"/>
      <x:c r="R963" s="85"/>
      <x:c r="S963" s="85"/>
      <x:c r="T963" s="85"/>
      <x:c r="U963" s="85"/>
      <x:c r="V963" s="85"/>
      <x:c r="W963" s="85"/>
      <x:c r="Y963" s="86"/>
      <x:c r="Z963" s="86"/>
      <x:c r="AA963" s="32"/>
    </x:row>
    <x:row r="964">
      <x:c r="A964" s="87"/>
      <x:c r="B964" s="88"/>
      <x:c r="D964" s="32"/>
      <x:c r="I964" s="74"/>
      <x:c r="J964" s="74"/>
      <x:c r="K964" s="74"/>
      <x:c r="L964" s="74"/>
      <x:c r="M964" s="74"/>
      <x:c r="N964" s="74"/>
      <x:c r="O964" s="91"/>
      <x:c r="P964" s="91"/>
      <x:c r="Q964" s="85"/>
      <x:c r="R964" s="85"/>
      <x:c r="S964" s="85"/>
      <x:c r="T964" s="85"/>
      <x:c r="U964" s="85"/>
      <x:c r="V964" s="85"/>
      <x:c r="W964" s="85"/>
      <x:c r="Y964" s="86"/>
      <x:c r="Z964" s="86"/>
      <x:c r="AA964" s="32"/>
    </x:row>
    <x:row r="965">
      <x:c r="A965" s="87"/>
      <x:c r="B965" s="88"/>
      <x:c r="D965" s="32"/>
      <x:c r="I965" s="74"/>
      <x:c r="J965" s="74"/>
      <x:c r="K965" s="74"/>
      <x:c r="L965" s="74"/>
      <x:c r="M965" s="74"/>
      <x:c r="N965" s="74"/>
      <x:c r="O965" s="91"/>
      <x:c r="P965" s="91"/>
      <x:c r="Q965" s="85"/>
      <x:c r="R965" s="85"/>
      <x:c r="S965" s="85"/>
      <x:c r="T965" s="85"/>
      <x:c r="U965" s="85"/>
      <x:c r="V965" s="85"/>
      <x:c r="W965" s="85"/>
      <x:c r="Y965" s="86"/>
      <x:c r="Z965" s="86"/>
      <x:c r="AA965" s="32"/>
    </x:row>
    <x:row r="966">
      <x:c r="A966" s="87"/>
      <x:c r="B966" s="88"/>
      <x:c r="D966" s="32"/>
      <x:c r="I966" s="74"/>
      <x:c r="J966" s="74"/>
      <x:c r="K966" s="74"/>
      <x:c r="L966" s="74"/>
      <x:c r="M966" s="74"/>
      <x:c r="N966" s="74"/>
      <x:c r="O966" s="91"/>
      <x:c r="P966" s="91"/>
      <x:c r="Q966" s="85"/>
      <x:c r="R966" s="85"/>
      <x:c r="S966" s="85"/>
      <x:c r="T966" s="85"/>
      <x:c r="U966" s="85"/>
      <x:c r="V966" s="85"/>
      <x:c r="W966" s="85"/>
      <x:c r="Y966" s="86"/>
      <x:c r="Z966" s="86"/>
      <x:c r="AA966" s="32"/>
    </x:row>
    <x:row r="967">
      <x:c r="A967" s="87"/>
      <x:c r="B967" s="88"/>
      <x:c r="D967" s="32"/>
      <x:c r="I967" s="74"/>
      <x:c r="J967" s="74"/>
      <x:c r="K967" s="74"/>
      <x:c r="L967" s="74"/>
      <x:c r="M967" s="74"/>
      <x:c r="N967" s="74"/>
      <x:c r="O967" s="91"/>
      <x:c r="P967" s="91"/>
      <x:c r="Q967" s="85"/>
      <x:c r="R967" s="85"/>
      <x:c r="S967" s="85"/>
      <x:c r="T967" s="85"/>
      <x:c r="U967" s="85"/>
      <x:c r="V967" s="85"/>
      <x:c r="W967" s="85"/>
      <x:c r="Y967" s="86"/>
      <x:c r="Z967" s="86"/>
      <x:c r="AA967" s="32"/>
    </x:row>
    <x:row r="968">
      <x:c r="A968" s="87"/>
      <x:c r="B968" s="88"/>
      <x:c r="D968" s="32"/>
      <x:c r="I968" s="74"/>
      <x:c r="J968" s="74"/>
      <x:c r="K968" s="74"/>
      <x:c r="L968" s="74"/>
      <x:c r="M968" s="74"/>
      <x:c r="N968" s="74"/>
      <x:c r="O968" s="91"/>
      <x:c r="P968" s="91"/>
      <x:c r="Q968" s="85"/>
      <x:c r="R968" s="85"/>
      <x:c r="S968" s="85"/>
      <x:c r="T968" s="85"/>
      <x:c r="U968" s="85"/>
      <x:c r="V968" s="85"/>
      <x:c r="W968" s="85"/>
      <x:c r="Y968" s="86"/>
      <x:c r="Z968" s="86"/>
      <x:c r="AA968" s="32"/>
    </x:row>
    <x:row r="969">
      <x:c r="A969" s="87"/>
      <x:c r="B969" s="88"/>
      <x:c r="D969" s="32"/>
      <x:c r="I969" s="74"/>
      <x:c r="J969" s="74"/>
      <x:c r="K969" s="74"/>
      <x:c r="L969" s="74"/>
      <x:c r="M969" s="74"/>
      <x:c r="N969" s="74"/>
      <x:c r="O969" s="91"/>
      <x:c r="P969" s="91"/>
      <x:c r="Q969" s="85"/>
      <x:c r="R969" s="85"/>
      <x:c r="S969" s="85"/>
      <x:c r="T969" s="85"/>
      <x:c r="U969" s="85"/>
      <x:c r="V969" s="85"/>
      <x:c r="W969" s="85"/>
      <x:c r="Y969" s="86"/>
      <x:c r="Z969" s="86"/>
      <x:c r="AA969" s="32"/>
    </x:row>
    <x:row r="970">
      <x:c r="A970" s="87"/>
      <x:c r="B970" s="88"/>
      <x:c r="D970" s="32"/>
      <x:c r="I970" s="74"/>
      <x:c r="J970" s="74"/>
      <x:c r="K970" s="74"/>
      <x:c r="L970" s="74"/>
      <x:c r="M970" s="74"/>
      <x:c r="N970" s="74"/>
      <x:c r="O970" s="91"/>
      <x:c r="P970" s="91"/>
      <x:c r="Q970" s="85"/>
      <x:c r="R970" s="85"/>
      <x:c r="S970" s="85"/>
      <x:c r="T970" s="85"/>
      <x:c r="U970" s="85"/>
      <x:c r="V970" s="85"/>
      <x:c r="W970" s="85"/>
      <x:c r="Y970" s="86"/>
      <x:c r="Z970" s="86"/>
      <x:c r="AA970" s="32"/>
    </x:row>
    <x:row r="971">
      <x:c r="A971" s="87"/>
      <x:c r="B971" s="88"/>
      <x:c r="D971" s="32"/>
      <x:c r="I971" s="74"/>
      <x:c r="J971" s="74"/>
      <x:c r="K971" s="74"/>
      <x:c r="L971" s="74"/>
      <x:c r="M971" s="74"/>
      <x:c r="N971" s="74"/>
      <x:c r="O971" s="91"/>
      <x:c r="P971" s="91"/>
      <x:c r="Q971" s="85"/>
      <x:c r="R971" s="85"/>
      <x:c r="S971" s="85"/>
      <x:c r="T971" s="85"/>
      <x:c r="U971" s="85"/>
      <x:c r="V971" s="85"/>
      <x:c r="W971" s="85"/>
      <x:c r="Y971" s="86"/>
      <x:c r="Z971" s="86"/>
      <x:c r="AA971" s="32"/>
    </x:row>
    <x:row r="972">
      <x:c r="A972" s="87"/>
      <x:c r="B972" s="88"/>
      <x:c r="D972" s="32"/>
      <x:c r="I972" s="74"/>
      <x:c r="J972" s="74"/>
      <x:c r="K972" s="74"/>
      <x:c r="L972" s="74"/>
      <x:c r="M972" s="74"/>
      <x:c r="N972" s="74"/>
      <x:c r="O972" s="91"/>
      <x:c r="P972" s="91"/>
      <x:c r="Q972" s="85"/>
      <x:c r="R972" s="85"/>
      <x:c r="S972" s="85"/>
      <x:c r="T972" s="85"/>
      <x:c r="U972" s="85"/>
      <x:c r="V972" s="85"/>
      <x:c r="W972" s="85"/>
      <x:c r="Y972" s="86"/>
      <x:c r="Z972" s="86"/>
      <x:c r="AA972" s="32"/>
    </x:row>
    <x:row r="973">
      <x:c r="A973" s="87"/>
      <x:c r="B973" s="88"/>
      <x:c r="D973" s="32"/>
      <x:c r="I973" s="74"/>
      <x:c r="J973" s="74"/>
      <x:c r="K973" s="74"/>
      <x:c r="L973" s="74"/>
      <x:c r="M973" s="74"/>
      <x:c r="N973" s="74"/>
      <x:c r="O973" s="91"/>
      <x:c r="P973" s="91"/>
      <x:c r="Q973" s="85"/>
      <x:c r="R973" s="85"/>
      <x:c r="S973" s="85"/>
      <x:c r="T973" s="85"/>
      <x:c r="U973" s="85"/>
      <x:c r="V973" s="85"/>
      <x:c r="W973" s="85"/>
      <x:c r="Y973" s="86"/>
      <x:c r="Z973" s="86"/>
      <x:c r="AA973" s="32"/>
    </x:row>
    <x:row r="974">
      <x:c r="A974" s="87"/>
      <x:c r="B974" s="88"/>
      <x:c r="D974" s="32"/>
      <x:c r="I974" s="74"/>
      <x:c r="J974" s="74"/>
      <x:c r="K974" s="74"/>
      <x:c r="L974" s="74"/>
      <x:c r="M974" s="74"/>
      <x:c r="N974" s="74"/>
      <x:c r="O974" s="91"/>
      <x:c r="P974" s="91"/>
      <x:c r="Q974" s="85"/>
      <x:c r="R974" s="85"/>
      <x:c r="S974" s="85"/>
      <x:c r="T974" s="85"/>
      <x:c r="U974" s="85"/>
      <x:c r="V974" s="85"/>
      <x:c r="W974" s="85"/>
      <x:c r="Y974" s="86"/>
      <x:c r="Z974" s="86"/>
      <x:c r="AA974" s="32"/>
    </x:row>
    <x:row r="975">
      <x:c r="A975" s="87"/>
      <x:c r="B975" s="88"/>
      <x:c r="D975" s="32"/>
      <x:c r="I975" s="74"/>
      <x:c r="J975" s="74"/>
      <x:c r="K975" s="74"/>
      <x:c r="L975" s="74"/>
      <x:c r="M975" s="74"/>
      <x:c r="N975" s="74"/>
      <x:c r="O975" s="91"/>
      <x:c r="P975" s="91"/>
      <x:c r="Q975" s="85"/>
      <x:c r="R975" s="85"/>
      <x:c r="S975" s="85"/>
      <x:c r="T975" s="85"/>
      <x:c r="U975" s="85"/>
      <x:c r="V975" s="85"/>
      <x:c r="W975" s="85"/>
      <x:c r="Y975" s="86"/>
      <x:c r="Z975" s="86"/>
      <x:c r="AA975" s="32"/>
    </x:row>
    <x:row r="976">
      <x:c r="A976" s="87"/>
      <x:c r="B976" s="88"/>
      <x:c r="D976" s="32"/>
      <x:c r="I976" s="74"/>
      <x:c r="J976" s="74"/>
      <x:c r="K976" s="74"/>
      <x:c r="L976" s="74"/>
      <x:c r="M976" s="74"/>
      <x:c r="N976" s="74"/>
      <x:c r="O976" s="91"/>
      <x:c r="P976" s="91"/>
      <x:c r="Q976" s="85"/>
      <x:c r="R976" s="85"/>
      <x:c r="S976" s="85"/>
      <x:c r="T976" s="85"/>
      <x:c r="U976" s="85"/>
      <x:c r="V976" s="85"/>
      <x:c r="W976" s="85"/>
      <x:c r="Y976" s="86"/>
      <x:c r="Z976" s="86"/>
      <x:c r="AA976" s="32"/>
    </x:row>
    <x:row r="977">
      <x:c r="A977" s="87"/>
      <x:c r="B977" s="88"/>
      <x:c r="D977" s="32"/>
      <x:c r="I977" s="74"/>
      <x:c r="J977" s="74"/>
      <x:c r="K977" s="74"/>
      <x:c r="L977" s="74"/>
      <x:c r="M977" s="74"/>
      <x:c r="N977" s="74"/>
      <x:c r="O977" s="91"/>
      <x:c r="P977" s="91"/>
      <x:c r="Q977" s="85"/>
      <x:c r="R977" s="85"/>
      <x:c r="S977" s="85"/>
      <x:c r="T977" s="85"/>
      <x:c r="U977" s="85"/>
      <x:c r="V977" s="85"/>
      <x:c r="W977" s="85"/>
      <x:c r="Y977" s="86"/>
      <x:c r="Z977" s="86"/>
      <x:c r="AA977" s="32"/>
    </x:row>
    <x:row r="978">
      <x:c r="A978" s="87"/>
      <x:c r="B978" s="88"/>
      <x:c r="D978" s="32"/>
      <x:c r="I978" s="74"/>
      <x:c r="J978" s="74"/>
      <x:c r="K978" s="74"/>
      <x:c r="L978" s="74"/>
      <x:c r="M978" s="74"/>
      <x:c r="N978" s="74"/>
      <x:c r="O978" s="91"/>
      <x:c r="P978" s="91"/>
      <x:c r="Q978" s="85"/>
      <x:c r="R978" s="85"/>
      <x:c r="S978" s="85"/>
      <x:c r="T978" s="85"/>
      <x:c r="U978" s="85"/>
      <x:c r="V978" s="85"/>
      <x:c r="W978" s="85"/>
      <x:c r="Y978" s="86"/>
      <x:c r="Z978" s="86"/>
      <x:c r="AA978" s="32"/>
    </x:row>
    <x:row r="979">
      <x:c r="A979" s="87"/>
      <x:c r="B979" s="88"/>
      <x:c r="D979" s="32"/>
      <x:c r="I979" s="74"/>
      <x:c r="J979" s="74"/>
      <x:c r="K979" s="74"/>
      <x:c r="L979" s="74"/>
      <x:c r="M979" s="74"/>
      <x:c r="N979" s="74"/>
      <x:c r="O979" s="91"/>
      <x:c r="P979" s="91"/>
      <x:c r="Q979" s="85"/>
      <x:c r="R979" s="85"/>
      <x:c r="S979" s="85"/>
      <x:c r="T979" s="85"/>
      <x:c r="U979" s="85"/>
      <x:c r="V979" s="85"/>
      <x:c r="W979" s="85"/>
      <x:c r="Y979" s="86"/>
      <x:c r="Z979" s="86"/>
      <x:c r="AA979" s="32"/>
    </x:row>
    <x:row r="980">
      <x:c r="A980" s="87"/>
      <x:c r="B980" s="88"/>
      <x:c r="D980" s="32"/>
      <x:c r="I980" s="74"/>
      <x:c r="J980" s="74"/>
      <x:c r="K980" s="74"/>
      <x:c r="L980" s="74"/>
      <x:c r="M980" s="74"/>
      <x:c r="N980" s="74"/>
      <x:c r="O980" s="91"/>
      <x:c r="P980" s="91"/>
      <x:c r="Q980" s="85"/>
      <x:c r="R980" s="85"/>
      <x:c r="S980" s="85"/>
      <x:c r="T980" s="85"/>
      <x:c r="U980" s="85"/>
      <x:c r="V980" s="85"/>
      <x:c r="W980" s="85"/>
      <x:c r="Y980" s="86"/>
      <x:c r="Z980" s="86"/>
      <x:c r="AA980" s="32"/>
    </x:row>
    <x:row r="981">
      <x:c r="A981" s="87"/>
      <x:c r="B981" s="88"/>
      <x:c r="D981" s="32"/>
      <x:c r="I981" s="74"/>
      <x:c r="J981" s="74"/>
      <x:c r="K981" s="74"/>
      <x:c r="L981" s="74"/>
      <x:c r="M981" s="74"/>
      <x:c r="N981" s="74"/>
      <x:c r="O981" s="91"/>
      <x:c r="P981" s="91"/>
      <x:c r="Q981" s="85"/>
      <x:c r="R981" s="85"/>
      <x:c r="S981" s="85"/>
      <x:c r="T981" s="85"/>
      <x:c r="U981" s="85"/>
      <x:c r="V981" s="85"/>
      <x:c r="W981" s="85"/>
      <x:c r="Y981" s="86"/>
      <x:c r="Z981" s="86"/>
      <x:c r="AA981" s="32"/>
    </x:row>
    <x:row r="982">
      <x:c r="A982" s="87"/>
      <x:c r="B982" s="88"/>
      <x:c r="D982" s="32"/>
      <x:c r="I982" s="74"/>
      <x:c r="J982" s="74"/>
      <x:c r="K982" s="74"/>
      <x:c r="L982" s="74"/>
      <x:c r="M982" s="74"/>
      <x:c r="N982" s="74"/>
      <x:c r="O982" s="91"/>
      <x:c r="P982" s="91"/>
      <x:c r="Q982" s="85"/>
      <x:c r="R982" s="85"/>
      <x:c r="S982" s="85"/>
      <x:c r="T982" s="85"/>
      <x:c r="U982" s="85"/>
      <x:c r="V982" s="85"/>
      <x:c r="W982" s="85"/>
      <x:c r="Y982" s="86"/>
      <x:c r="Z982" s="86"/>
      <x:c r="AA982" s="32"/>
    </x:row>
    <x:row r="983">
      <x:c r="A983" s="87"/>
      <x:c r="B983" s="88"/>
      <x:c r="D983" s="32"/>
      <x:c r="I983" s="74"/>
      <x:c r="J983" s="74"/>
      <x:c r="K983" s="74"/>
      <x:c r="L983" s="74"/>
      <x:c r="M983" s="74"/>
      <x:c r="N983" s="74"/>
      <x:c r="O983" s="91"/>
      <x:c r="P983" s="91"/>
      <x:c r="Q983" s="85"/>
      <x:c r="R983" s="85"/>
      <x:c r="S983" s="85"/>
      <x:c r="T983" s="85"/>
      <x:c r="U983" s="85"/>
      <x:c r="V983" s="85"/>
      <x:c r="W983" s="85"/>
      <x:c r="Y983" s="86"/>
      <x:c r="Z983" s="86"/>
      <x:c r="AA983" s="32"/>
    </x:row>
    <x:row r="984">
      <x:c r="A984" s="87"/>
      <x:c r="B984" s="88"/>
      <x:c r="D984" s="32"/>
      <x:c r="I984" s="74"/>
      <x:c r="J984" s="74"/>
      <x:c r="K984" s="74"/>
      <x:c r="L984" s="74"/>
      <x:c r="M984" s="74"/>
      <x:c r="N984" s="74"/>
      <x:c r="O984" s="91"/>
      <x:c r="P984" s="91"/>
      <x:c r="Q984" s="85"/>
      <x:c r="R984" s="85"/>
      <x:c r="S984" s="85"/>
      <x:c r="T984" s="85"/>
      <x:c r="U984" s="85"/>
      <x:c r="V984" s="85"/>
      <x:c r="W984" s="85"/>
      <x:c r="Y984" s="86"/>
      <x:c r="Z984" s="86"/>
      <x:c r="AA984" s="32"/>
    </x:row>
    <x:row r="985">
      <x:c r="A985" s="87"/>
      <x:c r="B985" s="88"/>
      <x:c r="D985" s="32"/>
      <x:c r="I985" s="74"/>
      <x:c r="J985" s="74"/>
      <x:c r="K985" s="74"/>
      <x:c r="L985" s="74"/>
      <x:c r="M985" s="74"/>
      <x:c r="N985" s="74"/>
      <x:c r="O985" s="91"/>
      <x:c r="P985" s="91"/>
      <x:c r="Q985" s="85"/>
      <x:c r="R985" s="85"/>
      <x:c r="S985" s="85"/>
      <x:c r="T985" s="85"/>
      <x:c r="U985" s="85"/>
      <x:c r="V985" s="85"/>
      <x:c r="W985" s="85"/>
      <x:c r="Y985" s="86"/>
      <x:c r="Z985" s="86"/>
      <x:c r="AA985" s="32"/>
    </x:row>
    <x:row r="986">
      <x:c r="A986" s="87"/>
      <x:c r="B986" s="88"/>
      <x:c r="D986" s="32"/>
      <x:c r="I986" s="74"/>
      <x:c r="J986" s="74"/>
      <x:c r="K986" s="74"/>
      <x:c r="L986" s="74"/>
      <x:c r="M986" s="74"/>
      <x:c r="N986" s="74"/>
      <x:c r="O986" s="91"/>
      <x:c r="P986" s="91"/>
      <x:c r="Q986" s="85"/>
      <x:c r="R986" s="85"/>
      <x:c r="S986" s="85"/>
      <x:c r="T986" s="85"/>
      <x:c r="U986" s="85"/>
      <x:c r="V986" s="85"/>
      <x:c r="W986" s="85"/>
      <x:c r="Y986" s="86"/>
      <x:c r="Z986" s="86"/>
      <x:c r="AA986" s="32"/>
    </x:row>
    <x:row r="987">
      <x:c r="A987" s="87"/>
      <x:c r="B987" s="88"/>
      <x:c r="D987" s="32"/>
      <x:c r="I987" s="74"/>
      <x:c r="J987" s="74"/>
      <x:c r="K987" s="74"/>
      <x:c r="L987" s="74"/>
      <x:c r="M987" s="74"/>
      <x:c r="N987" s="74"/>
      <x:c r="O987" s="91"/>
      <x:c r="P987" s="91"/>
      <x:c r="Q987" s="85"/>
      <x:c r="R987" s="85"/>
      <x:c r="S987" s="85"/>
      <x:c r="T987" s="85"/>
      <x:c r="U987" s="85"/>
      <x:c r="V987" s="85"/>
      <x:c r="W987" s="85"/>
      <x:c r="Y987" s="86"/>
      <x:c r="Z987" s="86"/>
      <x:c r="AA987" s="32"/>
    </x:row>
    <x:row r="988">
      <x:c r="A988" s="87"/>
      <x:c r="B988" s="88"/>
      <x:c r="D988" s="32"/>
      <x:c r="I988" s="74"/>
      <x:c r="J988" s="74"/>
      <x:c r="K988" s="74"/>
      <x:c r="L988" s="74"/>
      <x:c r="M988" s="74"/>
      <x:c r="N988" s="74"/>
      <x:c r="O988" s="91"/>
      <x:c r="P988" s="91"/>
      <x:c r="Q988" s="85"/>
      <x:c r="R988" s="85"/>
      <x:c r="S988" s="85"/>
      <x:c r="T988" s="85"/>
      <x:c r="U988" s="85"/>
      <x:c r="V988" s="85"/>
      <x:c r="W988" s="85"/>
      <x:c r="Y988" s="86"/>
      <x:c r="Z988" s="86"/>
      <x:c r="AA988" s="32"/>
    </x:row>
    <x:row r="989">
      <x:c r="A989" s="87"/>
      <x:c r="B989" s="88"/>
      <x:c r="D989" s="32"/>
      <x:c r="I989" s="74"/>
      <x:c r="J989" s="74"/>
      <x:c r="K989" s="74"/>
      <x:c r="L989" s="74"/>
      <x:c r="M989" s="74"/>
      <x:c r="N989" s="74"/>
      <x:c r="O989" s="91"/>
      <x:c r="P989" s="91"/>
      <x:c r="Q989" s="85"/>
      <x:c r="R989" s="85"/>
      <x:c r="S989" s="85"/>
      <x:c r="T989" s="85"/>
      <x:c r="U989" s="85"/>
      <x:c r="V989" s="85"/>
      <x:c r="W989" s="85"/>
      <x:c r="Y989" s="86"/>
      <x:c r="Z989" s="86"/>
      <x:c r="AA989" s="32"/>
    </x:row>
    <x:row r="990">
      <x:c r="A990" s="87"/>
      <x:c r="B990" s="88"/>
      <x:c r="D990" s="32"/>
      <x:c r="I990" s="74"/>
      <x:c r="J990" s="74"/>
      <x:c r="K990" s="74"/>
      <x:c r="L990" s="74"/>
      <x:c r="M990" s="74"/>
      <x:c r="N990" s="74"/>
      <x:c r="O990" s="91"/>
      <x:c r="P990" s="91"/>
      <x:c r="Q990" s="85"/>
      <x:c r="R990" s="85"/>
      <x:c r="S990" s="85"/>
      <x:c r="T990" s="85"/>
      <x:c r="U990" s="85"/>
      <x:c r="V990" s="85"/>
      <x:c r="W990" s="85"/>
      <x:c r="Y990" s="86"/>
      <x:c r="Z990" s="86"/>
      <x:c r="AA990" s="32"/>
    </x:row>
    <x:row r="991">
      <x:c r="A991" s="87"/>
      <x:c r="B991" s="88"/>
      <x:c r="D991" s="32"/>
      <x:c r="I991" s="74"/>
      <x:c r="J991" s="74"/>
      <x:c r="K991" s="74"/>
      <x:c r="L991" s="74"/>
      <x:c r="M991" s="74"/>
      <x:c r="N991" s="74"/>
      <x:c r="O991" s="91"/>
      <x:c r="P991" s="91"/>
      <x:c r="Q991" s="85"/>
      <x:c r="R991" s="85"/>
      <x:c r="S991" s="85"/>
      <x:c r="T991" s="85"/>
      <x:c r="U991" s="85"/>
      <x:c r="V991" s="85"/>
      <x:c r="W991" s="85"/>
      <x:c r="Y991" s="86"/>
      <x:c r="Z991" s="86"/>
      <x:c r="AA991" s="32"/>
    </x:row>
    <x:row r="992">
      <x:c r="A992" s="87"/>
      <x:c r="B992" s="88"/>
      <x:c r="D992" s="32"/>
      <x:c r="I992" s="74"/>
      <x:c r="J992" s="74"/>
      <x:c r="K992" s="74"/>
      <x:c r="L992" s="74"/>
      <x:c r="M992" s="74"/>
      <x:c r="N992" s="74"/>
      <x:c r="O992" s="91"/>
      <x:c r="P992" s="91"/>
      <x:c r="Q992" s="85"/>
      <x:c r="R992" s="85"/>
      <x:c r="S992" s="85"/>
      <x:c r="T992" s="85"/>
      <x:c r="U992" s="85"/>
      <x:c r="V992" s="85"/>
      <x:c r="W992" s="85"/>
      <x:c r="Y992" s="86"/>
      <x:c r="Z992" s="86"/>
      <x:c r="AA992" s="32"/>
    </x:row>
    <x:row r="993">
      <x:c r="A993" s="87"/>
      <x:c r="B993" s="88"/>
      <x:c r="D993" s="32"/>
      <x:c r="I993" s="74"/>
      <x:c r="J993" s="74"/>
      <x:c r="K993" s="74"/>
      <x:c r="L993" s="74"/>
      <x:c r="M993" s="74"/>
      <x:c r="N993" s="74"/>
      <x:c r="O993" s="91"/>
      <x:c r="P993" s="91"/>
      <x:c r="Q993" s="85"/>
      <x:c r="R993" s="85"/>
      <x:c r="S993" s="85"/>
      <x:c r="T993" s="85"/>
      <x:c r="U993" s="85"/>
      <x:c r="V993" s="85"/>
      <x:c r="W993" s="85"/>
      <x:c r="Y993" s="86"/>
      <x:c r="Z993" s="86"/>
      <x:c r="AA993" s="32"/>
    </x:row>
    <x:row r="994">
      <x:c r="A994" s="87"/>
      <x:c r="B994" s="88"/>
      <x:c r="D994" s="32"/>
      <x:c r="I994" s="74"/>
      <x:c r="J994" s="74"/>
      <x:c r="K994" s="74"/>
      <x:c r="L994" s="74"/>
      <x:c r="M994" s="74"/>
      <x:c r="N994" s="74"/>
      <x:c r="O994" s="91"/>
      <x:c r="P994" s="91"/>
      <x:c r="Q994" s="85"/>
      <x:c r="R994" s="85"/>
      <x:c r="S994" s="85"/>
      <x:c r="T994" s="85"/>
      <x:c r="U994" s="85"/>
      <x:c r="V994" s="85"/>
      <x:c r="W994" s="85"/>
      <x:c r="Y994" s="86"/>
      <x:c r="Z994" s="86"/>
      <x:c r="AA994" s="32"/>
    </x:row>
    <x:row r="995">
      <x:c r="A995" s="87"/>
      <x:c r="B995" s="88"/>
      <x:c r="D995" s="32"/>
      <x:c r="I995" s="74"/>
      <x:c r="J995" s="74"/>
      <x:c r="K995" s="74"/>
      <x:c r="L995" s="74"/>
      <x:c r="M995" s="74"/>
      <x:c r="N995" s="74"/>
      <x:c r="O995" s="91"/>
      <x:c r="P995" s="91"/>
      <x:c r="Q995" s="85"/>
      <x:c r="R995" s="85"/>
      <x:c r="S995" s="85"/>
      <x:c r="T995" s="85"/>
      <x:c r="U995" s="85"/>
      <x:c r="V995" s="85"/>
      <x:c r="W995" s="85"/>
      <x:c r="Y995" s="86"/>
      <x:c r="Z995" s="86"/>
      <x:c r="AA995" s="32"/>
    </x:row>
    <x:row r="996">
      <x:c r="A996" s="87"/>
      <x:c r="B996" s="88"/>
      <x:c r="D996" s="32"/>
      <x:c r="I996" s="74"/>
      <x:c r="J996" s="74"/>
      <x:c r="K996" s="74"/>
      <x:c r="L996" s="74"/>
      <x:c r="M996" s="74"/>
      <x:c r="N996" s="74"/>
      <x:c r="O996" s="91"/>
      <x:c r="P996" s="91"/>
      <x:c r="Q996" s="85"/>
      <x:c r="R996" s="85"/>
      <x:c r="S996" s="85"/>
      <x:c r="T996" s="85"/>
      <x:c r="U996" s="85"/>
      <x:c r="V996" s="85"/>
      <x:c r="W996" s="85"/>
      <x:c r="Y996" s="86"/>
      <x:c r="Z996" s="86"/>
      <x:c r="AA996" s="32"/>
    </x:row>
    <x:row r="997">
      <x:c r="A997" s="87"/>
      <x:c r="B997" s="88"/>
      <x:c r="D997" s="32"/>
      <x:c r="I997" s="74"/>
      <x:c r="J997" s="74"/>
      <x:c r="K997" s="74"/>
      <x:c r="L997" s="74"/>
      <x:c r="M997" s="74"/>
      <x:c r="N997" s="74"/>
      <x:c r="O997" s="91"/>
      <x:c r="P997" s="91"/>
      <x:c r="Q997" s="85"/>
      <x:c r="R997" s="85"/>
      <x:c r="S997" s="85"/>
      <x:c r="T997" s="85"/>
      <x:c r="U997" s="85"/>
      <x:c r="V997" s="85"/>
      <x:c r="W997" s="85"/>
      <x:c r="Y997" s="86"/>
      <x:c r="Z997" s="86"/>
      <x:c r="AA997" s="32"/>
    </x:row>
    <x:row r="998">
      <x:c r="A998" s="87"/>
      <x:c r="B998" s="88"/>
      <x:c r="D998" s="32"/>
      <x:c r="I998" s="74"/>
      <x:c r="J998" s="74"/>
      <x:c r="K998" s="74"/>
      <x:c r="L998" s="74"/>
      <x:c r="M998" s="74"/>
      <x:c r="N998" s="74"/>
      <x:c r="O998" s="91"/>
      <x:c r="P998" s="91"/>
      <x:c r="Q998" s="85"/>
      <x:c r="R998" s="85"/>
      <x:c r="S998" s="85"/>
      <x:c r="T998" s="85"/>
      <x:c r="U998" s="85"/>
      <x:c r="V998" s="85"/>
      <x:c r="W998" s="85"/>
      <x:c r="Y998" s="86"/>
      <x:c r="Z998" s="86"/>
      <x:c r="AA998" s="32"/>
    </x:row>
    <x:row r="999">
      <x:c r="A999" s="87"/>
      <x:c r="B999" s="88"/>
      <x:c r="D999" s="32"/>
      <x:c r="I999" s="74"/>
      <x:c r="J999" s="74"/>
      <x:c r="K999" s="74"/>
      <x:c r="L999" s="74"/>
      <x:c r="M999" s="74"/>
      <x:c r="N999" s="74"/>
      <x:c r="O999" s="91"/>
      <x:c r="P999" s="91"/>
      <x:c r="Q999" s="85"/>
      <x:c r="R999" s="85"/>
      <x:c r="S999" s="85"/>
      <x:c r="T999" s="85"/>
      <x:c r="U999" s="85"/>
      <x:c r="V999" s="85"/>
      <x:c r="W999" s="85"/>
      <x:c r="Y999" s="86"/>
      <x:c r="Z999" s="86"/>
      <x:c r="AA999" s="32"/>
    </x:row>
    <x:row r="1000">
      <x:c r="A1000" s="87"/>
      <x:c r="B1000" s="88"/>
      <x:c r="D1000" s="32"/>
      <x:c r="I1000" s="74"/>
      <x:c r="J1000" s="74"/>
      <x:c r="K1000" s="74"/>
      <x:c r="L1000" s="74"/>
      <x:c r="M1000" s="74"/>
      <x:c r="N1000" s="74"/>
      <x:c r="O1000" s="91"/>
      <x:c r="P1000" s="91"/>
      <x:c r="Q1000" s="85"/>
      <x:c r="R1000" s="85"/>
      <x:c r="S1000" s="85"/>
      <x:c r="T1000" s="85"/>
      <x:c r="U1000" s="85"/>
      <x:c r="V1000" s="85"/>
      <x:c r="W1000" s="85"/>
      <x:c r="Y1000" s="86"/>
      <x:c r="Z1000" s="86"/>
      <x:c r="AA1000" s="32"/>
    </x:row>
    <x:row r="1001">
      <x:c r="A1001" s="87"/>
      <x:c r="B1001" s="88"/>
      <x:c r="D1001" s="32"/>
      <x:c r="I1001" s="74"/>
      <x:c r="J1001" s="74"/>
      <x:c r="K1001" s="74"/>
      <x:c r="L1001" s="74"/>
      <x:c r="M1001" s="74"/>
      <x:c r="N1001" s="74"/>
      <x:c r="O1001" s="91"/>
      <x:c r="P1001" s="91"/>
      <x:c r="Q1001" s="85"/>
      <x:c r="R1001" s="85"/>
      <x:c r="S1001" s="85"/>
      <x:c r="T1001" s="85"/>
      <x:c r="U1001" s="85"/>
      <x:c r="V1001" s="85"/>
      <x:c r="W1001" s="85"/>
      <x:c r="Y1001" s="86"/>
      <x:c r="Z1001" s="86"/>
      <x:c r="AA1001" s="32"/>
    </x:row>
    <x:row r="1002">
      <x:c r="A1002" s="87"/>
      <x:c r="B1002" s="88"/>
      <x:c r="D1002" s="32"/>
      <x:c r="I1002" s="74"/>
      <x:c r="J1002" s="74"/>
      <x:c r="K1002" s="74"/>
      <x:c r="L1002" s="74"/>
      <x:c r="M1002" s="74"/>
      <x:c r="N1002" s="74"/>
      <x:c r="O1002" s="91"/>
      <x:c r="P1002" s="91"/>
      <x:c r="Q1002" s="85"/>
      <x:c r="R1002" s="85"/>
      <x:c r="S1002" s="85"/>
      <x:c r="T1002" s="85"/>
      <x:c r="U1002" s="85"/>
      <x:c r="V1002" s="85"/>
      <x:c r="W1002" s="85"/>
      <x:c r="Y1002" s="86"/>
      <x:c r="Z1002" s="86"/>
      <x:c r="AA1002" s="32"/>
    </x:row>
    <x:row r="1003">
      <x:c r="A1003" s="87"/>
      <x:c r="B1003" s="88"/>
      <x:c r="D1003" s="32"/>
      <x:c r="I1003" s="74"/>
      <x:c r="J1003" s="74"/>
      <x:c r="K1003" s="74"/>
      <x:c r="L1003" s="74"/>
      <x:c r="M1003" s="74"/>
      <x:c r="N1003" s="74"/>
      <x:c r="O1003" s="91"/>
      <x:c r="P1003" s="91"/>
      <x:c r="Q1003" s="85"/>
      <x:c r="R1003" s="85"/>
      <x:c r="S1003" s="85"/>
      <x:c r="T1003" s="85"/>
      <x:c r="U1003" s="85"/>
      <x:c r="V1003" s="85"/>
      <x:c r="W1003" s="85"/>
      <x:c r="Y1003" s="86"/>
      <x:c r="Z1003" s="86"/>
      <x:c r="AA1003" s="32"/>
    </x:row>
    <x:row r="1004">
      <x:c r="A1004" s="87"/>
      <x:c r="B1004" s="88"/>
      <x:c r="D1004" s="32"/>
      <x:c r="I1004" s="74"/>
      <x:c r="J1004" s="74"/>
      <x:c r="K1004" s="74"/>
      <x:c r="L1004" s="74"/>
      <x:c r="M1004" s="74"/>
      <x:c r="N1004" s="74"/>
      <x:c r="O1004" s="91"/>
      <x:c r="P1004" s="91"/>
      <x:c r="Q1004" s="85"/>
      <x:c r="R1004" s="85"/>
      <x:c r="S1004" s="85"/>
      <x:c r="T1004" s="85"/>
      <x:c r="U1004" s="85"/>
      <x:c r="V1004" s="85"/>
      <x:c r="W1004" s="85"/>
      <x:c r="Y1004" s="86"/>
      <x:c r="Z1004" s="86"/>
      <x:c r="AA1004" s="32"/>
    </x:row>
    <x:row r="1005">
      <x:c r="A1005" s="87"/>
      <x:c r="B1005" s="88"/>
      <x:c r="D1005" s="32"/>
      <x:c r="I1005" s="74"/>
      <x:c r="J1005" s="74"/>
      <x:c r="K1005" s="74"/>
      <x:c r="L1005" s="74"/>
      <x:c r="M1005" s="74"/>
      <x:c r="N1005" s="74"/>
      <x:c r="O1005" s="91"/>
      <x:c r="P1005" s="91"/>
      <x:c r="Q1005" s="85"/>
      <x:c r="R1005" s="85"/>
      <x:c r="S1005" s="85"/>
      <x:c r="T1005" s="85"/>
      <x:c r="U1005" s="85"/>
      <x:c r="V1005" s="85"/>
      <x:c r="W1005" s="85"/>
      <x:c r="Y1005" s="86"/>
      <x:c r="Z1005" s="86"/>
      <x:c r="AA1005" s="32"/>
    </x:row>
    <x:row r="1006">
      <x:c r="A1006" s="87"/>
      <x:c r="B1006" s="88"/>
      <x:c r="D1006" s="32"/>
      <x:c r="I1006" s="74"/>
      <x:c r="J1006" s="74"/>
      <x:c r="K1006" s="74"/>
      <x:c r="L1006" s="74"/>
      <x:c r="M1006" s="74"/>
      <x:c r="N1006" s="74"/>
      <x:c r="O1006" s="91"/>
      <x:c r="P1006" s="91"/>
      <x:c r="Q1006" s="85"/>
      <x:c r="R1006" s="85"/>
      <x:c r="S1006" s="85"/>
      <x:c r="T1006" s="85"/>
      <x:c r="U1006" s="85"/>
      <x:c r="V1006" s="85"/>
      <x:c r="W1006" s="85"/>
      <x:c r="Y1006" s="86"/>
      <x:c r="Z1006" s="86"/>
      <x:c r="AA1006" s="32"/>
    </x:row>
    <x:row r="1007">
      <x:c r="A1007" s="87"/>
      <x:c r="B1007" s="88"/>
      <x:c r="D1007" s="32"/>
      <x:c r="I1007" s="74"/>
      <x:c r="J1007" s="74"/>
      <x:c r="K1007" s="74"/>
      <x:c r="L1007" s="74"/>
      <x:c r="M1007" s="74"/>
      <x:c r="N1007" s="74"/>
      <x:c r="O1007" s="91"/>
      <x:c r="P1007" s="91"/>
      <x:c r="Q1007" s="85"/>
      <x:c r="R1007" s="85"/>
      <x:c r="S1007" s="85"/>
      <x:c r="T1007" s="85"/>
      <x:c r="U1007" s="85"/>
      <x:c r="V1007" s="85"/>
      <x:c r="W1007" s="85"/>
      <x:c r="Y1007" s="86"/>
      <x:c r="Z1007" s="86"/>
      <x:c r="AA1007" s="32"/>
    </x:row>
    <x:row r="1008">
      <x:c r="A1008" s="87"/>
      <x:c r="B1008" s="88"/>
      <x:c r="D1008" s="32"/>
      <x:c r="I1008" s="74"/>
      <x:c r="J1008" s="74"/>
      <x:c r="K1008" s="74"/>
      <x:c r="L1008" s="74"/>
      <x:c r="M1008" s="74"/>
      <x:c r="N1008" s="74"/>
      <x:c r="O1008" s="91"/>
      <x:c r="P1008" s="91"/>
      <x:c r="Q1008" s="85"/>
      <x:c r="R1008" s="85"/>
      <x:c r="S1008" s="85"/>
      <x:c r="T1008" s="85"/>
      <x:c r="U1008" s="85"/>
      <x:c r="V1008" s="85"/>
      <x:c r="W1008" s="85"/>
      <x:c r="Y1008" s="86"/>
      <x:c r="Z1008" s="86"/>
      <x:c r="AA1008" s="32"/>
    </x:row>
    <x:row r="1009">
      <x:c r="A1009" s="87"/>
      <x:c r="B1009" s="88"/>
      <x:c r="D1009" s="32"/>
      <x:c r="I1009" s="74"/>
      <x:c r="J1009" s="74"/>
      <x:c r="K1009" s="74"/>
      <x:c r="L1009" s="74"/>
      <x:c r="M1009" s="74"/>
      <x:c r="N1009" s="74"/>
      <x:c r="O1009" s="91"/>
      <x:c r="P1009" s="91"/>
      <x:c r="Q1009" s="85"/>
      <x:c r="R1009" s="85"/>
      <x:c r="S1009" s="85"/>
      <x:c r="T1009" s="85"/>
      <x:c r="U1009" s="85"/>
      <x:c r="V1009" s="85"/>
      <x:c r="W1009" s="85"/>
      <x:c r="Y1009" s="86"/>
      <x:c r="Z1009" s="86"/>
      <x:c r="AA1009" s="32"/>
    </x:row>
    <x:row r="1010">
      <x:c r="A1010" s="87"/>
      <x:c r="B1010" s="88"/>
      <x:c r="D1010" s="32"/>
      <x:c r="I1010" s="74"/>
      <x:c r="J1010" s="74"/>
      <x:c r="K1010" s="74"/>
      <x:c r="L1010" s="74"/>
      <x:c r="M1010" s="74"/>
      <x:c r="N1010" s="74"/>
      <x:c r="O1010" s="91"/>
      <x:c r="P1010" s="91"/>
      <x:c r="Q1010" s="85"/>
      <x:c r="R1010" s="85"/>
      <x:c r="S1010" s="85"/>
      <x:c r="T1010" s="85"/>
      <x:c r="U1010" s="85"/>
      <x:c r="V1010" s="85"/>
      <x:c r="W1010" s="85"/>
      <x:c r="Y1010" s="86"/>
      <x:c r="Z1010" s="86"/>
      <x:c r="AA1010" s="32"/>
    </x:row>
    <x:row r="1011">
      <x:c r="A1011" s="87"/>
      <x:c r="B1011" s="88"/>
      <x:c r="D1011" s="32"/>
      <x:c r="I1011" s="74"/>
      <x:c r="J1011" s="74"/>
      <x:c r="K1011" s="74"/>
      <x:c r="L1011" s="74"/>
      <x:c r="M1011" s="74"/>
      <x:c r="N1011" s="74"/>
      <x:c r="O1011" s="91"/>
      <x:c r="P1011" s="91"/>
      <x:c r="Q1011" s="85"/>
      <x:c r="R1011" s="85"/>
      <x:c r="S1011" s="85"/>
      <x:c r="T1011" s="85"/>
      <x:c r="U1011" s="85"/>
      <x:c r="V1011" s="85"/>
      <x:c r="W1011" s="85"/>
      <x:c r="Y1011" s="86"/>
      <x:c r="Z1011" s="86"/>
      <x:c r="AA1011" s="32"/>
    </x:row>
    <x:row r="1012">
      <x:c r="A1012" s="87"/>
      <x:c r="B1012" s="88"/>
      <x:c r="D1012" s="32"/>
      <x:c r="I1012" s="74"/>
      <x:c r="J1012" s="74"/>
      <x:c r="K1012" s="74"/>
      <x:c r="L1012" s="74"/>
      <x:c r="M1012" s="74"/>
      <x:c r="N1012" s="74"/>
      <x:c r="O1012" s="91"/>
      <x:c r="P1012" s="91"/>
      <x:c r="Q1012" s="85"/>
      <x:c r="R1012" s="85"/>
      <x:c r="S1012" s="85"/>
      <x:c r="T1012" s="85"/>
      <x:c r="U1012" s="85"/>
      <x:c r="V1012" s="85"/>
      <x:c r="W1012" s="85"/>
      <x:c r="Y1012" s="86"/>
      <x:c r="Z1012" s="86"/>
      <x:c r="AA1012" s="32"/>
    </x:row>
    <x:row r="1013">
      <x:c r="A1013" s="87"/>
      <x:c r="B1013" s="88"/>
      <x:c r="D1013" s="32"/>
      <x:c r="I1013" s="74"/>
      <x:c r="J1013" s="74"/>
      <x:c r="K1013" s="74"/>
      <x:c r="L1013" s="74"/>
      <x:c r="M1013" s="74"/>
      <x:c r="N1013" s="74"/>
      <x:c r="O1013" s="91"/>
      <x:c r="P1013" s="91"/>
      <x:c r="Q1013" s="85"/>
      <x:c r="R1013" s="85"/>
      <x:c r="S1013" s="85"/>
      <x:c r="T1013" s="85"/>
      <x:c r="U1013" s="85"/>
      <x:c r="V1013" s="85"/>
      <x:c r="W1013" s="85"/>
      <x:c r="Y1013" s="86"/>
      <x:c r="Z1013" s="86"/>
      <x:c r="AA1013" s="32"/>
    </x:row>
    <x:row r="1014">
      <x:c r="A1014" s="87"/>
      <x:c r="B1014" s="88"/>
      <x:c r="D1014" s="32"/>
      <x:c r="I1014" s="74"/>
      <x:c r="J1014" s="74"/>
      <x:c r="K1014" s="74"/>
      <x:c r="L1014" s="74"/>
      <x:c r="M1014" s="74"/>
      <x:c r="N1014" s="74"/>
      <x:c r="O1014" s="91"/>
      <x:c r="P1014" s="91"/>
      <x:c r="Q1014" s="85"/>
      <x:c r="R1014" s="85"/>
      <x:c r="S1014" s="85"/>
      <x:c r="T1014" s="85"/>
      <x:c r="U1014" s="85"/>
      <x:c r="V1014" s="85"/>
      <x:c r="W1014" s="85"/>
      <x:c r="Y1014" s="86"/>
      <x:c r="Z1014" s="86"/>
      <x:c r="AA1014" s="32"/>
    </x:row>
    <x:row r="1015">
      <x:c r="A1015" s="87"/>
      <x:c r="B1015" s="88"/>
      <x:c r="D1015" s="32"/>
      <x:c r="I1015" s="74"/>
      <x:c r="J1015" s="74"/>
      <x:c r="K1015" s="74"/>
      <x:c r="L1015" s="74"/>
      <x:c r="M1015" s="74"/>
      <x:c r="N1015" s="74"/>
      <x:c r="O1015" s="91"/>
      <x:c r="P1015" s="91"/>
      <x:c r="Q1015" s="85"/>
      <x:c r="R1015" s="85"/>
      <x:c r="S1015" s="85"/>
      <x:c r="T1015" s="85"/>
      <x:c r="U1015" s="85"/>
      <x:c r="V1015" s="85"/>
      <x:c r="W1015" s="85"/>
      <x:c r="Y1015" s="86"/>
      <x:c r="Z1015" s="86"/>
      <x:c r="AA1015" s="32"/>
    </x:row>
    <x:row r="1016">
      <x:c r="A1016" s="87"/>
      <x:c r="B1016" s="88"/>
      <x:c r="D1016" s="32"/>
      <x:c r="I1016" s="74"/>
      <x:c r="J1016" s="74"/>
      <x:c r="K1016" s="74"/>
      <x:c r="L1016" s="74"/>
      <x:c r="M1016" s="74"/>
      <x:c r="N1016" s="74"/>
      <x:c r="O1016" s="91"/>
      <x:c r="P1016" s="91"/>
      <x:c r="Q1016" s="85"/>
      <x:c r="R1016" s="85"/>
      <x:c r="S1016" s="85"/>
      <x:c r="T1016" s="85"/>
      <x:c r="U1016" s="85"/>
      <x:c r="V1016" s="85"/>
      <x:c r="W1016" s="85"/>
      <x:c r="Y1016" s="86"/>
      <x:c r="Z1016" s="86"/>
      <x:c r="AA1016" s="32"/>
    </x:row>
    <x:row r="1017">
      <x:c r="A1017" s="87"/>
      <x:c r="B1017" s="88"/>
      <x:c r="D1017" s="32"/>
      <x:c r="I1017" s="74"/>
      <x:c r="J1017" s="74"/>
      <x:c r="K1017" s="74"/>
      <x:c r="L1017" s="74"/>
      <x:c r="M1017" s="74"/>
      <x:c r="N1017" s="74"/>
      <x:c r="O1017" s="91"/>
      <x:c r="P1017" s="91"/>
      <x:c r="Q1017" s="85"/>
      <x:c r="R1017" s="85"/>
      <x:c r="S1017" s="85"/>
      <x:c r="T1017" s="85"/>
      <x:c r="U1017" s="85"/>
      <x:c r="V1017" s="85"/>
      <x:c r="W1017" s="85"/>
      <x:c r="Y1017" s="86"/>
      <x:c r="Z1017" s="86"/>
      <x:c r="AA1017" s="32"/>
    </x:row>
    <x:row r="1018">
      <x:c r="A1018" s="87"/>
      <x:c r="B1018" s="88"/>
      <x:c r="D1018" s="32"/>
      <x:c r="I1018" s="74"/>
      <x:c r="J1018" s="74"/>
      <x:c r="K1018" s="74"/>
      <x:c r="L1018" s="74"/>
      <x:c r="M1018" s="74"/>
      <x:c r="N1018" s="74"/>
      <x:c r="O1018" s="91"/>
      <x:c r="P1018" s="91"/>
      <x:c r="Q1018" s="85"/>
      <x:c r="R1018" s="85"/>
      <x:c r="S1018" s="85"/>
      <x:c r="T1018" s="85"/>
      <x:c r="U1018" s="85"/>
      <x:c r="V1018" s="85"/>
      <x:c r="W1018" s="85"/>
      <x:c r="Y1018" s="86"/>
      <x:c r="Z1018" s="86"/>
      <x:c r="AA1018" s="32"/>
    </x:row>
    <x:row r="1019">
      <x:c r="A1019" s="87"/>
      <x:c r="B1019" s="88"/>
      <x:c r="D1019" s="32"/>
      <x:c r="I1019" s="74"/>
      <x:c r="J1019" s="74"/>
      <x:c r="K1019" s="74"/>
      <x:c r="L1019" s="74"/>
      <x:c r="M1019" s="74"/>
      <x:c r="N1019" s="74"/>
      <x:c r="O1019" s="91"/>
      <x:c r="P1019" s="91"/>
      <x:c r="Q1019" s="85"/>
      <x:c r="R1019" s="85"/>
      <x:c r="S1019" s="85"/>
      <x:c r="T1019" s="85"/>
      <x:c r="U1019" s="85"/>
      <x:c r="V1019" s="85"/>
      <x:c r="W1019" s="85"/>
      <x:c r="Y1019" s="86"/>
      <x:c r="Z1019" s="86"/>
      <x:c r="AA1019" s="32"/>
    </x:row>
    <x:row r="1020">
      <x:c r="A1020" s="87"/>
      <x:c r="B1020" s="88"/>
      <x:c r="D1020" s="32"/>
      <x:c r="I1020" s="74"/>
      <x:c r="J1020" s="74"/>
      <x:c r="K1020" s="74"/>
      <x:c r="L1020" s="74"/>
      <x:c r="M1020" s="74"/>
      <x:c r="N1020" s="74"/>
      <x:c r="O1020" s="91"/>
      <x:c r="P1020" s="91"/>
      <x:c r="Q1020" s="85"/>
      <x:c r="R1020" s="85"/>
      <x:c r="S1020" s="85"/>
      <x:c r="T1020" s="85"/>
      <x:c r="U1020" s="85"/>
      <x:c r="V1020" s="85"/>
      <x:c r="W1020" s="85"/>
      <x:c r="Y1020" s="86"/>
      <x:c r="Z1020" s="86"/>
      <x:c r="AA1020" s="32"/>
    </x:row>
    <x:row r="1021">
      <x:c r="A1021" s="87"/>
      <x:c r="B1021" s="88"/>
      <x:c r="D1021" s="32"/>
      <x:c r="I1021" s="74"/>
      <x:c r="J1021" s="74"/>
      <x:c r="K1021" s="74"/>
      <x:c r="L1021" s="74"/>
      <x:c r="M1021" s="74"/>
      <x:c r="N1021" s="74"/>
      <x:c r="O1021" s="91"/>
      <x:c r="P1021" s="91"/>
      <x:c r="Q1021" s="85"/>
      <x:c r="R1021" s="85"/>
      <x:c r="S1021" s="85"/>
      <x:c r="T1021" s="85"/>
      <x:c r="U1021" s="85"/>
      <x:c r="V1021" s="85"/>
      <x:c r="W1021" s="85"/>
      <x:c r="Y1021" s="86"/>
      <x:c r="Z1021" s="86"/>
      <x:c r="AA1021" s="32"/>
    </x:row>
    <x:row r="1022">
      <x:c r="A1022" s="87"/>
      <x:c r="B1022" s="88"/>
      <x:c r="D1022" s="32"/>
      <x:c r="I1022" s="74"/>
      <x:c r="J1022" s="74"/>
      <x:c r="K1022" s="74"/>
      <x:c r="L1022" s="74"/>
      <x:c r="M1022" s="74"/>
      <x:c r="N1022" s="74"/>
      <x:c r="O1022" s="91"/>
      <x:c r="P1022" s="91"/>
      <x:c r="Q1022" s="85"/>
      <x:c r="R1022" s="85"/>
      <x:c r="S1022" s="85"/>
      <x:c r="T1022" s="85"/>
      <x:c r="U1022" s="85"/>
      <x:c r="V1022" s="85"/>
      <x:c r="W1022" s="85"/>
      <x:c r="Y1022" s="86"/>
      <x:c r="Z1022" s="86"/>
      <x:c r="AA1022" s="32"/>
    </x:row>
    <x:row r="1023">
      <x:c r="A1023" s="87"/>
      <x:c r="B1023" s="88"/>
      <x:c r="D1023" s="32"/>
      <x:c r="I1023" s="74"/>
      <x:c r="J1023" s="74"/>
      <x:c r="K1023" s="74"/>
      <x:c r="L1023" s="74"/>
      <x:c r="M1023" s="74"/>
      <x:c r="N1023" s="74"/>
      <x:c r="O1023" s="91"/>
      <x:c r="P1023" s="91"/>
      <x:c r="Q1023" s="85"/>
      <x:c r="R1023" s="85"/>
      <x:c r="S1023" s="85"/>
      <x:c r="T1023" s="85"/>
      <x:c r="U1023" s="85"/>
      <x:c r="V1023" s="85"/>
      <x:c r="W1023" s="85"/>
      <x:c r="Y1023" s="86"/>
      <x:c r="Z1023" s="86"/>
      <x:c r="AA1023" s="32"/>
    </x:row>
    <x:row r="1024">
      <x:c r="A1024" s="87"/>
      <x:c r="B1024" s="88"/>
      <x:c r="D1024" s="32"/>
      <x:c r="I1024" s="74"/>
      <x:c r="J1024" s="74"/>
      <x:c r="K1024" s="74"/>
      <x:c r="L1024" s="74"/>
      <x:c r="M1024" s="74"/>
      <x:c r="N1024" s="74"/>
      <x:c r="O1024" s="91"/>
      <x:c r="P1024" s="91"/>
      <x:c r="Q1024" s="85"/>
      <x:c r="R1024" s="85"/>
      <x:c r="S1024" s="85"/>
      <x:c r="T1024" s="85"/>
      <x:c r="U1024" s="85"/>
      <x:c r="V1024" s="85"/>
      <x:c r="W1024" s="85"/>
      <x:c r="Y1024" s="86"/>
      <x:c r="Z1024" s="86"/>
      <x:c r="AA1024" s="32"/>
    </x:row>
    <x:row r="1025">
      <x:c r="A1025" s="87"/>
      <x:c r="B1025" s="88"/>
      <x:c r="D1025" s="32"/>
      <x:c r="I1025" s="74"/>
      <x:c r="J1025" s="74"/>
      <x:c r="K1025" s="74"/>
      <x:c r="L1025" s="74"/>
      <x:c r="M1025" s="74"/>
      <x:c r="N1025" s="74"/>
      <x:c r="O1025" s="91"/>
      <x:c r="P1025" s="91"/>
      <x:c r="Q1025" s="85"/>
      <x:c r="R1025" s="85"/>
      <x:c r="S1025" s="85"/>
      <x:c r="T1025" s="85"/>
      <x:c r="U1025" s="85"/>
      <x:c r="V1025" s="85"/>
      <x:c r="W1025" s="85"/>
      <x:c r="Y1025" s="86"/>
      <x:c r="Z1025" s="86"/>
      <x:c r="AA1025" s="32"/>
    </x:row>
    <x:row r="1026">
      <x:c r="A1026" s="87"/>
      <x:c r="B1026" s="88"/>
      <x:c r="D1026" s="32"/>
      <x:c r="I1026" s="74"/>
      <x:c r="J1026" s="74"/>
      <x:c r="K1026" s="74"/>
      <x:c r="L1026" s="74"/>
      <x:c r="M1026" s="74"/>
      <x:c r="N1026" s="74"/>
      <x:c r="O1026" s="91"/>
      <x:c r="P1026" s="91"/>
      <x:c r="Q1026" s="85"/>
      <x:c r="R1026" s="85"/>
      <x:c r="S1026" s="85"/>
      <x:c r="T1026" s="85"/>
      <x:c r="U1026" s="85"/>
      <x:c r="V1026" s="85"/>
      <x:c r="W1026" s="85"/>
      <x:c r="Y1026" s="86"/>
      <x:c r="Z1026" s="86"/>
      <x:c r="AA1026" s="32"/>
    </x:row>
    <x:row r="1027">
      <x:c r="A1027" s="87"/>
      <x:c r="B1027" s="88"/>
      <x:c r="D1027" s="32"/>
      <x:c r="I1027" s="74"/>
      <x:c r="J1027" s="74"/>
      <x:c r="K1027" s="74"/>
      <x:c r="L1027" s="74"/>
      <x:c r="M1027" s="74"/>
      <x:c r="N1027" s="74"/>
      <x:c r="O1027" s="91"/>
      <x:c r="P1027" s="91"/>
      <x:c r="Q1027" s="85"/>
      <x:c r="R1027" s="85"/>
      <x:c r="S1027" s="85"/>
      <x:c r="T1027" s="85"/>
      <x:c r="U1027" s="85"/>
      <x:c r="V1027" s="85"/>
      <x:c r="W1027" s="85"/>
      <x:c r="Y1027" s="86"/>
      <x:c r="Z1027" s="86"/>
      <x:c r="AA1027" s="32"/>
    </x:row>
    <x:row r="1028">
      <x:c r="A1028" s="87"/>
      <x:c r="B1028" s="88"/>
      <x:c r="D1028" s="32"/>
      <x:c r="I1028" s="74"/>
      <x:c r="J1028" s="74"/>
      <x:c r="K1028" s="74"/>
      <x:c r="L1028" s="74"/>
      <x:c r="M1028" s="74"/>
      <x:c r="N1028" s="74"/>
      <x:c r="O1028" s="91"/>
      <x:c r="P1028" s="91"/>
      <x:c r="Q1028" s="85"/>
      <x:c r="R1028" s="85"/>
      <x:c r="S1028" s="85"/>
      <x:c r="T1028" s="85"/>
      <x:c r="U1028" s="85"/>
      <x:c r="V1028" s="85"/>
      <x:c r="W1028" s="85"/>
      <x:c r="Y1028" s="86"/>
      <x:c r="Z1028" s="86"/>
      <x:c r="AA1028" s="32"/>
    </x:row>
    <x:row r="1029">
      <x:c r="A1029" s="87"/>
      <x:c r="B1029" s="88"/>
      <x:c r="D1029" s="32"/>
      <x:c r="I1029" s="74"/>
      <x:c r="J1029" s="74"/>
      <x:c r="K1029" s="74"/>
      <x:c r="L1029" s="74"/>
      <x:c r="M1029" s="74"/>
      <x:c r="N1029" s="74"/>
      <x:c r="O1029" s="91"/>
      <x:c r="P1029" s="91"/>
      <x:c r="Q1029" s="85"/>
      <x:c r="R1029" s="85"/>
      <x:c r="S1029" s="85"/>
      <x:c r="T1029" s="85"/>
      <x:c r="U1029" s="85"/>
      <x:c r="V1029" s="85"/>
      <x:c r="W1029" s="85"/>
      <x:c r="Y1029" s="86"/>
      <x:c r="Z1029" s="86"/>
      <x:c r="AA1029" s="32"/>
    </x:row>
    <x:row r="1030">
      <x:c r="A1030" s="87"/>
      <x:c r="B1030" s="88"/>
      <x:c r="D1030" s="32"/>
      <x:c r="I1030" s="74"/>
      <x:c r="J1030" s="74"/>
      <x:c r="K1030" s="74"/>
      <x:c r="L1030" s="74"/>
      <x:c r="M1030" s="74"/>
      <x:c r="N1030" s="74"/>
      <x:c r="O1030" s="91"/>
      <x:c r="P1030" s="91"/>
      <x:c r="Q1030" s="85"/>
      <x:c r="R1030" s="85"/>
      <x:c r="S1030" s="85"/>
      <x:c r="T1030" s="85"/>
      <x:c r="U1030" s="85"/>
      <x:c r="V1030" s="85"/>
      <x:c r="W1030" s="85"/>
      <x:c r="Y1030" s="86"/>
      <x:c r="Z1030" s="86"/>
      <x:c r="AA1030" s="32"/>
    </x:row>
    <x:row r="1031">
      <x:c r="A1031" s="87"/>
      <x:c r="B1031" s="88"/>
      <x:c r="D1031" s="32"/>
      <x:c r="I1031" s="74"/>
      <x:c r="J1031" s="74"/>
      <x:c r="K1031" s="74"/>
      <x:c r="L1031" s="74"/>
      <x:c r="M1031" s="74"/>
      <x:c r="N1031" s="74"/>
      <x:c r="O1031" s="91"/>
      <x:c r="P1031" s="91"/>
      <x:c r="Q1031" s="85"/>
      <x:c r="R1031" s="85"/>
      <x:c r="S1031" s="85"/>
      <x:c r="T1031" s="85"/>
      <x:c r="U1031" s="85"/>
      <x:c r="V1031" s="85"/>
      <x:c r="W1031" s="85"/>
      <x:c r="Y1031" s="86"/>
      <x:c r="Z1031" s="86"/>
      <x:c r="AA1031" s="32"/>
    </x:row>
    <x:row r="1032">
      <x:c r="A1032" s="87"/>
      <x:c r="B1032" s="88"/>
      <x:c r="D1032" s="32"/>
      <x:c r="I1032" s="74"/>
      <x:c r="J1032" s="74"/>
      <x:c r="K1032" s="74"/>
      <x:c r="L1032" s="74"/>
      <x:c r="M1032" s="74"/>
      <x:c r="N1032" s="74"/>
      <x:c r="O1032" s="91"/>
      <x:c r="P1032" s="91"/>
      <x:c r="Q1032" s="85"/>
      <x:c r="R1032" s="85"/>
      <x:c r="S1032" s="85"/>
      <x:c r="T1032" s="85"/>
      <x:c r="U1032" s="85"/>
      <x:c r="V1032" s="85"/>
      <x:c r="W1032" s="85"/>
      <x:c r="Y1032" s="86"/>
      <x:c r="Z1032" s="86"/>
      <x:c r="AA1032" s="32"/>
    </x:row>
    <x:row r="1033">
      <x:c r="A1033" s="87"/>
      <x:c r="B1033" s="88"/>
      <x:c r="D1033" s="32"/>
      <x:c r="I1033" s="74"/>
      <x:c r="J1033" s="74"/>
      <x:c r="K1033" s="74"/>
      <x:c r="L1033" s="74"/>
      <x:c r="M1033" s="74"/>
      <x:c r="N1033" s="74"/>
      <x:c r="O1033" s="91"/>
      <x:c r="P1033" s="91"/>
      <x:c r="Q1033" s="85"/>
      <x:c r="R1033" s="85"/>
      <x:c r="S1033" s="85"/>
      <x:c r="T1033" s="85"/>
      <x:c r="U1033" s="85"/>
      <x:c r="V1033" s="85"/>
      <x:c r="W1033" s="85"/>
      <x:c r="Y1033" s="86"/>
      <x:c r="Z1033" s="86"/>
      <x:c r="AA1033" s="32"/>
    </x:row>
    <x:row r="1034">
      <x:c r="A1034" s="87"/>
      <x:c r="B1034" s="88"/>
      <x:c r="D1034" s="32"/>
      <x:c r="I1034" s="74"/>
      <x:c r="J1034" s="74"/>
      <x:c r="K1034" s="74"/>
      <x:c r="L1034" s="74"/>
      <x:c r="M1034" s="74"/>
      <x:c r="N1034" s="74"/>
      <x:c r="O1034" s="91"/>
      <x:c r="P1034" s="91"/>
      <x:c r="Q1034" s="85"/>
      <x:c r="R1034" s="85"/>
      <x:c r="S1034" s="85"/>
      <x:c r="T1034" s="85"/>
      <x:c r="U1034" s="85"/>
      <x:c r="V1034" s="85"/>
      <x:c r="W1034" s="85"/>
      <x:c r="Y1034" s="86"/>
      <x:c r="Z1034" s="86"/>
      <x:c r="AA1034" s="32"/>
    </x:row>
    <x:row r="1035">
      <x:c r="A1035" s="87"/>
      <x:c r="B1035" s="88"/>
      <x:c r="D1035" s="32"/>
      <x:c r="I1035" s="74"/>
      <x:c r="J1035" s="74"/>
      <x:c r="K1035" s="74"/>
      <x:c r="L1035" s="74"/>
      <x:c r="M1035" s="74"/>
      <x:c r="N1035" s="74"/>
      <x:c r="O1035" s="91"/>
      <x:c r="P1035" s="91"/>
      <x:c r="Q1035" s="85"/>
      <x:c r="R1035" s="85"/>
      <x:c r="S1035" s="85"/>
      <x:c r="T1035" s="85"/>
      <x:c r="U1035" s="85"/>
      <x:c r="V1035" s="85"/>
      <x:c r="W1035" s="85"/>
      <x:c r="Y1035" s="86"/>
      <x:c r="Z1035" s="86"/>
      <x:c r="AA1035" s="32"/>
    </x:row>
    <x:row r="1036">
      <x:c r="A1036" s="87"/>
      <x:c r="B1036" s="88"/>
      <x:c r="D1036" s="32"/>
      <x:c r="I1036" s="74"/>
      <x:c r="J1036" s="74"/>
      <x:c r="K1036" s="74"/>
      <x:c r="L1036" s="74"/>
      <x:c r="M1036" s="74"/>
      <x:c r="N1036" s="74"/>
      <x:c r="O1036" s="91"/>
      <x:c r="P1036" s="91"/>
      <x:c r="Q1036" s="85"/>
      <x:c r="R1036" s="85"/>
      <x:c r="S1036" s="85"/>
      <x:c r="T1036" s="85"/>
      <x:c r="U1036" s="85"/>
      <x:c r="V1036" s="85"/>
      <x:c r="W1036" s="85"/>
      <x:c r="Y1036" s="86"/>
      <x:c r="Z1036" s="86"/>
      <x:c r="AA1036" s="32"/>
    </x:row>
    <x:row r="1037">
      <x:c r="A1037" s="87"/>
      <x:c r="B1037" s="88"/>
      <x:c r="D1037" s="32"/>
      <x:c r="I1037" s="74"/>
      <x:c r="J1037" s="74"/>
      <x:c r="K1037" s="74"/>
      <x:c r="L1037" s="74"/>
      <x:c r="M1037" s="74"/>
      <x:c r="N1037" s="74"/>
      <x:c r="O1037" s="91"/>
      <x:c r="P1037" s="91"/>
      <x:c r="Q1037" s="85"/>
      <x:c r="R1037" s="85"/>
      <x:c r="S1037" s="85"/>
      <x:c r="T1037" s="85"/>
      <x:c r="U1037" s="85"/>
      <x:c r="V1037" s="85"/>
      <x:c r="W1037" s="85"/>
      <x:c r="Y1037" s="86"/>
      <x:c r="Z1037" s="86"/>
      <x:c r="AA1037" s="32"/>
    </x:row>
    <x:row r="1038">
      <x:c r="A1038" s="87"/>
      <x:c r="B1038" s="88"/>
      <x:c r="D1038" s="32"/>
      <x:c r="I1038" s="74"/>
      <x:c r="J1038" s="74"/>
      <x:c r="K1038" s="74"/>
      <x:c r="L1038" s="74"/>
      <x:c r="M1038" s="74"/>
      <x:c r="N1038" s="74"/>
      <x:c r="O1038" s="91"/>
      <x:c r="P1038" s="91"/>
      <x:c r="Q1038" s="85"/>
      <x:c r="R1038" s="85"/>
      <x:c r="S1038" s="85"/>
      <x:c r="T1038" s="85"/>
      <x:c r="U1038" s="85"/>
      <x:c r="V1038" s="85"/>
      <x:c r="W1038" s="85"/>
      <x:c r="Y1038" s="86"/>
      <x:c r="Z1038" s="86"/>
      <x:c r="AA1038" s="32"/>
    </x:row>
    <x:row r="1039">
      <x:c r="A1039" s="87"/>
      <x:c r="B1039" s="88"/>
      <x:c r="D1039" s="32"/>
      <x:c r="I1039" s="74"/>
      <x:c r="J1039" s="74"/>
      <x:c r="K1039" s="74"/>
      <x:c r="L1039" s="74"/>
      <x:c r="M1039" s="74"/>
      <x:c r="N1039" s="74"/>
      <x:c r="O1039" s="91"/>
      <x:c r="P1039" s="91"/>
      <x:c r="Q1039" s="85"/>
      <x:c r="R1039" s="85"/>
      <x:c r="S1039" s="85"/>
      <x:c r="T1039" s="85"/>
      <x:c r="U1039" s="85"/>
      <x:c r="V1039" s="85"/>
      <x:c r="W1039" s="85"/>
      <x:c r="Y1039" s="86"/>
      <x:c r="Z1039" s="86"/>
      <x:c r="AA1039" s="32"/>
    </x:row>
    <x:row r="1040">
      <x:c r="A1040" s="87"/>
      <x:c r="B1040" s="88"/>
      <x:c r="D1040" s="32"/>
      <x:c r="I1040" s="74"/>
      <x:c r="J1040" s="74"/>
      <x:c r="K1040" s="74"/>
      <x:c r="L1040" s="74"/>
      <x:c r="M1040" s="74"/>
      <x:c r="N1040" s="74"/>
      <x:c r="O1040" s="91"/>
      <x:c r="P1040" s="91"/>
      <x:c r="Q1040" s="85"/>
      <x:c r="R1040" s="85"/>
      <x:c r="S1040" s="85"/>
      <x:c r="T1040" s="85"/>
      <x:c r="U1040" s="85"/>
      <x:c r="V1040" s="85"/>
      <x:c r="W1040" s="85"/>
      <x:c r="Y1040" s="86"/>
      <x:c r="Z1040" s="86"/>
      <x:c r="AA1040" s="32"/>
    </x:row>
    <x:row r="1041">
      <x:c r="A1041" s="87"/>
      <x:c r="B1041" s="88"/>
      <x:c r="D1041" s="32"/>
      <x:c r="I1041" s="74"/>
      <x:c r="J1041" s="74"/>
      <x:c r="K1041" s="74"/>
      <x:c r="L1041" s="74"/>
      <x:c r="M1041" s="74"/>
      <x:c r="N1041" s="74"/>
      <x:c r="O1041" s="91"/>
      <x:c r="P1041" s="91"/>
      <x:c r="Q1041" s="85"/>
      <x:c r="R1041" s="85"/>
      <x:c r="S1041" s="85"/>
      <x:c r="T1041" s="85"/>
      <x:c r="U1041" s="85"/>
      <x:c r="V1041" s="85"/>
      <x:c r="W1041" s="85"/>
      <x:c r="Y1041" s="86"/>
      <x:c r="Z1041" s="86"/>
      <x:c r="AA1041" s="32"/>
    </x:row>
    <x:row r="1042">
      <x:c r="A1042" s="87"/>
      <x:c r="B1042" s="88"/>
      <x:c r="D1042" s="32"/>
      <x:c r="I1042" s="74"/>
      <x:c r="J1042" s="74"/>
      <x:c r="K1042" s="74"/>
      <x:c r="L1042" s="74"/>
      <x:c r="M1042" s="74"/>
      <x:c r="N1042" s="74"/>
      <x:c r="O1042" s="91"/>
      <x:c r="P1042" s="91"/>
      <x:c r="Q1042" s="85"/>
      <x:c r="R1042" s="85"/>
      <x:c r="S1042" s="85"/>
      <x:c r="T1042" s="85"/>
      <x:c r="U1042" s="85"/>
      <x:c r="V1042" s="85"/>
      <x:c r="W1042" s="85"/>
      <x:c r="Y1042" s="86"/>
      <x:c r="Z1042" s="86"/>
      <x:c r="AA1042" s="32"/>
    </x:row>
    <x:row r="1043">
      <x:c r="A1043" s="87"/>
      <x:c r="B1043" s="88"/>
      <x:c r="D1043" s="32"/>
      <x:c r="I1043" s="74"/>
      <x:c r="J1043" s="74"/>
      <x:c r="K1043" s="74"/>
      <x:c r="L1043" s="74"/>
      <x:c r="M1043" s="74"/>
      <x:c r="N1043" s="74"/>
      <x:c r="O1043" s="91"/>
      <x:c r="P1043" s="91"/>
      <x:c r="Q1043" s="85"/>
      <x:c r="R1043" s="85"/>
      <x:c r="S1043" s="85"/>
      <x:c r="T1043" s="85"/>
      <x:c r="U1043" s="85"/>
      <x:c r="V1043" s="85"/>
      <x:c r="W1043" s="85"/>
      <x:c r="Y1043" s="86"/>
      <x:c r="Z1043" s="86"/>
      <x:c r="AA1043" s="32"/>
    </x:row>
    <x:row r="1044">
      <x:c r="A1044" s="87"/>
      <x:c r="B1044" s="88"/>
      <x:c r="D1044" s="32"/>
      <x:c r="I1044" s="74"/>
      <x:c r="J1044" s="74"/>
      <x:c r="K1044" s="74"/>
      <x:c r="L1044" s="74"/>
      <x:c r="M1044" s="74"/>
      <x:c r="N1044" s="74"/>
      <x:c r="O1044" s="91"/>
      <x:c r="P1044" s="91"/>
      <x:c r="Q1044" s="85"/>
      <x:c r="R1044" s="85"/>
      <x:c r="S1044" s="85"/>
      <x:c r="T1044" s="85"/>
      <x:c r="U1044" s="85"/>
      <x:c r="V1044" s="85"/>
      <x:c r="W1044" s="85"/>
      <x:c r="Y1044" s="86"/>
      <x:c r="Z1044" s="86"/>
      <x:c r="AA1044" s="32"/>
    </x:row>
    <x:row r="1045">
      <x:c r="A1045" s="87"/>
      <x:c r="B1045" s="88"/>
      <x:c r="D1045" s="32"/>
      <x:c r="I1045" s="74"/>
      <x:c r="J1045" s="74"/>
      <x:c r="K1045" s="74"/>
      <x:c r="L1045" s="74"/>
      <x:c r="M1045" s="74"/>
      <x:c r="N1045" s="74"/>
      <x:c r="O1045" s="91"/>
      <x:c r="P1045" s="91"/>
      <x:c r="Q1045" s="85"/>
      <x:c r="R1045" s="85"/>
      <x:c r="S1045" s="85"/>
      <x:c r="T1045" s="85"/>
      <x:c r="U1045" s="85"/>
      <x:c r="V1045" s="85"/>
      <x:c r="W1045" s="85"/>
      <x:c r="Y1045" s="86"/>
      <x:c r="Z1045" s="86"/>
      <x:c r="AA1045" s="32"/>
    </x:row>
    <x:row r="1046">
      <x:c r="A1046" s="87"/>
      <x:c r="B1046" s="88"/>
      <x:c r="D1046" s="32"/>
      <x:c r="I1046" s="74"/>
      <x:c r="J1046" s="74"/>
      <x:c r="K1046" s="74"/>
      <x:c r="L1046" s="74"/>
      <x:c r="M1046" s="74"/>
      <x:c r="N1046" s="74"/>
      <x:c r="O1046" s="91"/>
      <x:c r="P1046" s="91"/>
      <x:c r="Q1046" s="85"/>
      <x:c r="R1046" s="85"/>
      <x:c r="S1046" s="85"/>
      <x:c r="T1046" s="85"/>
      <x:c r="U1046" s="85"/>
      <x:c r="V1046" s="85"/>
      <x:c r="W1046" s="85"/>
      <x:c r="Y1046" s="86"/>
      <x:c r="Z1046" s="86"/>
      <x:c r="AA1046" s="32"/>
    </x:row>
    <x:row r="1047">
      <x:c r="A1047" s="87"/>
      <x:c r="B1047" s="88"/>
      <x:c r="D1047" s="32"/>
      <x:c r="I1047" s="74"/>
      <x:c r="J1047" s="74"/>
      <x:c r="K1047" s="74"/>
      <x:c r="L1047" s="74"/>
      <x:c r="M1047" s="74"/>
      <x:c r="N1047" s="74"/>
      <x:c r="O1047" s="91"/>
      <x:c r="P1047" s="91"/>
      <x:c r="Q1047" s="85"/>
      <x:c r="R1047" s="85"/>
      <x:c r="S1047" s="85"/>
      <x:c r="T1047" s="85"/>
      <x:c r="U1047" s="85"/>
      <x:c r="V1047" s="85"/>
      <x:c r="W1047" s="85"/>
      <x:c r="Y1047" s="86"/>
      <x:c r="Z1047" s="86"/>
      <x:c r="AA1047" s="32"/>
    </x:row>
    <x:row r="1048">
      <x:c r="A1048" s="87"/>
      <x:c r="B1048" s="88"/>
      <x:c r="D1048" s="32"/>
      <x:c r="I1048" s="74"/>
      <x:c r="J1048" s="74"/>
      <x:c r="K1048" s="74"/>
      <x:c r="L1048" s="74"/>
      <x:c r="M1048" s="74"/>
      <x:c r="N1048" s="74"/>
      <x:c r="O1048" s="91"/>
      <x:c r="P1048" s="91"/>
      <x:c r="Q1048" s="85"/>
      <x:c r="R1048" s="85"/>
      <x:c r="S1048" s="85"/>
      <x:c r="T1048" s="85"/>
      <x:c r="U1048" s="85"/>
      <x:c r="V1048" s="85"/>
      <x:c r="W1048" s="85"/>
      <x:c r="Y1048" s="86"/>
      <x:c r="Z1048" s="86"/>
      <x:c r="AA1048" s="32"/>
    </x:row>
    <x:row r="1049">
      <x:c r="A1049" s="87"/>
      <x:c r="B1049" s="88"/>
      <x:c r="D1049" s="32"/>
      <x:c r="I1049" s="74"/>
      <x:c r="J1049" s="74"/>
      <x:c r="K1049" s="74"/>
      <x:c r="L1049" s="74"/>
      <x:c r="M1049" s="74"/>
      <x:c r="N1049" s="74"/>
      <x:c r="O1049" s="91"/>
      <x:c r="P1049" s="91"/>
      <x:c r="Q1049" s="85"/>
      <x:c r="R1049" s="85"/>
      <x:c r="S1049" s="85"/>
      <x:c r="T1049" s="85"/>
      <x:c r="U1049" s="85"/>
      <x:c r="V1049" s="85"/>
      <x:c r="W1049" s="85"/>
      <x:c r="Y1049" s="86"/>
      <x:c r="Z1049" s="86"/>
      <x:c r="AA1049" s="32"/>
    </x:row>
    <x:row r="1050">
      <x:c r="A1050" s="87"/>
      <x:c r="B1050" s="88"/>
      <x:c r="D1050" s="32"/>
      <x:c r="I1050" s="74"/>
      <x:c r="J1050" s="74"/>
      <x:c r="K1050" s="74"/>
      <x:c r="L1050" s="74"/>
      <x:c r="M1050" s="74"/>
      <x:c r="N1050" s="74"/>
      <x:c r="O1050" s="91"/>
      <x:c r="P1050" s="91"/>
      <x:c r="Q1050" s="85"/>
      <x:c r="R1050" s="85"/>
      <x:c r="S1050" s="85"/>
      <x:c r="T1050" s="85"/>
      <x:c r="U1050" s="85"/>
      <x:c r="V1050" s="85"/>
      <x:c r="W1050" s="85"/>
      <x:c r="Y1050" s="86"/>
      <x:c r="Z1050" s="86"/>
      <x:c r="AA1050" s="32"/>
    </x:row>
    <x:row r="1051">
      <x:c r="A1051" s="87"/>
      <x:c r="B1051" s="88"/>
      <x:c r="D1051" s="32"/>
      <x:c r="I1051" s="74"/>
      <x:c r="J1051" s="74"/>
      <x:c r="K1051" s="74"/>
      <x:c r="L1051" s="74"/>
      <x:c r="M1051" s="74"/>
      <x:c r="N1051" s="74"/>
      <x:c r="O1051" s="91"/>
      <x:c r="P1051" s="91"/>
      <x:c r="Q1051" s="85"/>
      <x:c r="R1051" s="85"/>
      <x:c r="S1051" s="85"/>
      <x:c r="T1051" s="85"/>
      <x:c r="U1051" s="85"/>
      <x:c r="V1051" s="85"/>
      <x:c r="W1051" s="85"/>
      <x:c r="Y1051" s="86"/>
      <x:c r="Z1051" s="86"/>
      <x:c r="AA1051" s="32"/>
    </x:row>
    <x:row r="1052">
      <x:c r="A1052" s="87"/>
      <x:c r="B1052" s="88"/>
      <x:c r="D1052" s="32"/>
      <x:c r="I1052" s="74"/>
      <x:c r="J1052" s="74"/>
      <x:c r="K1052" s="74"/>
      <x:c r="L1052" s="74"/>
      <x:c r="M1052" s="74"/>
      <x:c r="N1052" s="74"/>
      <x:c r="O1052" s="91"/>
      <x:c r="P1052" s="91"/>
      <x:c r="Q1052" s="85"/>
      <x:c r="R1052" s="85"/>
      <x:c r="S1052" s="85"/>
      <x:c r="T1052" s="85"/>
      <x:c r="U1052" s="85"/>
      <x:c r="V1052" s="85"/>
      <x:c r="W1052" s="85"/>
      <x:c r="Y1052" s="86"/>
      <x:c r="Z1052" s="86"/>
      <x:c r="AA1052" s="32"/>
    </x:row>
    <x:row r="1053">
      <x:c r="A1053" s="87"/>
      <x:c r="B1053" s="88"/>
      <x:c r="D1053" s="32"/>
      <x:c r="I1053" s="74"/>
      <x:c r="J1053" s="74"/>
      <x:c r="K1053" s="74"/>
      <x:c r="L1053" s="74"/>
      <x:c r="M1053" s="74"/>
      <x:c r="N1053" s="74"/>
      <x:c r="O1053" s="91"/>
      <x:c r="P1053" s="91"/>
      <x:c r="Q1053" s="85"/>
      <x:c r="R1053" s="85"/>
      <x:c r="S1053" s="85"/>
      <x:c r="T1053" s="85"/>
      <x:c r="U1053" s="85"/>
      <x:c r="V1053" s="85"/>
      <x:c r="W1053" s="85"/>
      <x:c r="Y1053" s="86"/>
      <x:c r="Z1053" s="86"/>
      <x:c r="AA1053" s="32"/>
    </x:row>
    <x:row r="1054">
      <x:c r="A1054" s="87"/>
      <x:c r="B1054" s="88"/>
      <x:c r="D1054" s="32"/>
      <x:c r="I1054" s="74"/>
      <x:c r="J1054" s="74"/>
      <x:c r="K1054" s="74"/>
      <x:c r="L1054" s="74"/>
      <x:c r="M1054" s="74"/>
      <x:c r="N1054" s="74"/>
      <x:c r="O1054" s="91"/>
      <x:c r="P1054" s="91"/>
      <x:c r="Q1054" s="85"/>
      <x:c r="R1054" s="85"/>
      <x:c r="S1054" s="85"/>
      <x:c r="T1054" s="85"/>
      <x:c r="U1054" s="85"/>
      <x:c r="V1054" s="85"/>
      <x:c r="W1054" s="85"/>
      <x:c r="Y1054" s="86"/>
      <x:c r="Z1054" s="86"/>
      <x:c r="AA1054" s="32"/>
    </x:row>
    <x:row r="1055">
      <x:c r="A1055" s="87"/>
      <x:c r="B1055" s="88"/>
      <x:c r="D1055" s="32"/>
      <x:c r="I1055" s="74"/>
      <x:c r="J1055" s="74"/>
      <x:c r="K1055" s="74"/>
      <x:c r="L1055" s="74"/>
      <x:c r="M1055" s="74"/>
      <x:c r="N1055" s="74"/>
      <x:c r="O1055" s="91"/>
      <x:c r="P1055" s="91"/>
      <x:c r="Q1055" s="85"/>
      <x:c r="R1055" s="85"/>
      <x:c r="S1055" s="85"/>
      <x:c r="T1055" s="85"/>
      <x:c r="U1055" s="85"/>
      <x:c r="V1055" s="85"/>
      <x:c r="W1055" s="85"/>
      <x:c r="Y1055" s="86"/>
      <x:c r="Z1055" s="86"/>
      <x:c r="AA1055" s="32"/>
    </x:row>
    <x:row r="1056">
      <x:c r="A1056" s="87"/>
      <x:c r="B1056" s="88"/>
      <x:c r="D1056" s="32"/>
      <x:c r="I1056" s="74"/>
      <x:c r="J1056" s="74"/>
      <x:c r="K1056" s="74"/>
      <x:c r="L1056" s="74"/>
      <x:c r="M1056" s="74"/>
      <x:c r="N1056" s="74"/>
      <x:c r="O1056" s="91"/>
      <x:c r="P1056" s="91"/>
      <x:c r="Q1056" s="85"/>
      <x:c r="R1056" s="85"/>
      <x:c r="S1056" s="85"/>
      <x:c r="T1056" s="85"/>
      <x:c r="U1056" s="85"/>
      <x:c r="V1056" s="85"/>
      <x:c r="W1056" s="85"/>
      <x:c r="Y1056" s="86"/>
      <x:c r="Z1056" s="86"/>
      <x:c r="AA1056" s="32"/>
    </x:row>
    <x:row r="1057">
      <x:c r="A1057" s="87"/>
      <x:c r="B1057" s="88"/>
      <x:c r="D1057" s="32"/>
      <x:c r="I1057" s="74"/>
      <x:c r="J1057" s="74"/>
      <x:c r="K1057" s="74"/>
      <x:c r="L1057" s="74"/>
      <x:c r="M1057" s="74"/>
      <x:c r="N1057" s="74"/>
      <x:c r="O1057" s="91"/>
      <x:c r="P1057" s="91"/>
      <x:c r="Q1057" s="85"/>
      <x:c r="R1057" s="85"/>
      <x:c r="S1057" s="85"/>
      <x:c r="T1057" s="85"/>
      <x:c r="U1057" s="85"/>
      <x:c r="V1057" s="85"/>
      <x:c r="W1057" s="85"/>
      <x:c r="Y1057" s="86"/>
      <x:c r="Z1057" s="86"/>
      <x:c r="AA1057" s="32"/>
    </x:row>
    <x:row r="1058">
      <x:c r="A1058" s="87"/>
      <x:c r="B1058" s="88"/>
      <x:c r="D1058" s="32"/>
      <x:c r="I1058" s="74"/>
      <x:c r="J1058" s="74"/>
      <x:c r="K1058" s="74"/>
      <x:c r="L1058" s="74"/>
      <x:c r="M1058" s="74"/>
      <x:c r="N1058" s="74"/>
      <x:c r="O1058" s="91"/>
      <x:c r="P1058" s="91"/>
      <x:c r="Q1058" s="85"/>
      <x:c r="R1058" s="85"/>
      <x:c r="S1058" s="85"/>
      <x:c r="T1058" s="85"/>
      <x:c r="U1058" s="85"/>
      <x:c r="V1058" s="85"/>
      <x:c r="W1058" s="85"/>
      <x:c r="Y1058" s="86"/>
      <x:c r="Z1058" s="86"/>
      <x:c r="AA1058" s="32"/>
    </x:row>
    <x:row r="1059">
      <x:c r="A1059" s="87"/>
      <x:c r="B1059" s="88"/>
      <x:c r="D1059" s="32"/>
      <x:c r="I1059" s="74"/>
      <x:c r="J1059" s="74"/>
      <x:c r="K1059" s="74"/>
      <x:c r="L1059" s="74"/>
      <x:c r="M1059" s="74"/>
      <x:c r="N1059" s="74"/>
      <x:c r="O1059" s="91"/>
      <x:c r="P1059" s="91"/>
      <x:c r="Q1059" s="85"/>
      <x:c r="R1059" s="85"/>
      <x:c r="S1059" s="85"/>
      <x:c r="T1059" s="85"/>
      <x:c r="U1059" s="85"/>
      <x:c r="V1059" s="85"/>
      <x:c r="W1059" s="85"/>
      <x:c r="Y1059" s="86"/>
      <x:c r="Z1059" s="86"/>
      <x:c r="AA1059" s="32"/>
    </x:row>
    <x:row r="1060">
      <x:c r="A1060" s="87"/>
      <x:c r="B1060" s="88"/>
      <x:c r="D1060" s="32"/>
      <x:c r="I1060" s="74"/>
      <x:c r="J1060" s="74"/>
      <x:c r="K1060" s="74"/>
      <x:c r="L1060" s="74"/>
      <x:c r="M1060" s="74"/>
      <x:c r="N1060" s="74"/>
      <x:c r="O1060" s="91"/>
      <x:c r="P1060" s="91"/>
      <x:c r="Q1060" s="85"/>
      <x:c r="R1060" s="85"/>
      <x:c r="S1060" s="85"/>
      <x:c r="T1060" s="85"/>
      <x:c r="U1060" s="85"/>
      <x:c r="V1060" s="85"/>
      <x:c r="W1060" s="85"/>
      <x:c r="Y1060" s="86"/>
      <x:c r="Z1060" s="86"/>
      <x:c r="AA1060" s="32"/>
    </x:row>
    <x:row r="1061">
      <x:c r="A1061" s="87"/>
      <x:c r="B1061" s="88"/>
      <x:c r="D1061" s="32"/>
      <x:c r="I1061" s="74"/>
      <x:c r="J1061" s="74"/>
      <x:c r="K1061" s="74"/>
      <x:c r="L1061" s="74"/>
      <x:c r="M1061" s="74"/>
      <x:c r="N1061" s="74"/>
      <x:c r="O1061" s="91"/>
      <x:c r="P1061" s="91"/>
      <x:c r="Q1061" s="85"/>
      <x:c r="R1061" s="85"/>
      <x:c r="S1061" s="85"/>
      <x:c r="T1061" s="85"/>
      <x:c r="U1061" s="85"/>
      <x:c r="V1061" s="85"/>
      <x:c r="W1061" s="85"/>
      <x:c r="Y1061" s="86"/>
      <x:c r="Z1061" s="86"/>
      <x:c r="AA1061" s="32"/>
    </x:row>
    <x:row r="1062">
      <x:c r="A1062" s="87"/>
      <x:c r="B1062" s="88"/>
      <x:c r="D1062" s="32"/>
      <x:c r="I1062" s="74"/>
      <x:c r="J1062" s="74"/>
      <x:c r="K1062" s="74"/>
      <x:c r="L1062" s="74"/>
      <x:c r="M1062" s="74"/>
      <x:c r="N1062" s="74"/>
      <x:c r="O1062" s="91"/>
      <x:c r="P1062" s="91"/>
      <x:c r="Q1062" s="85"/>
      <x:c r="R1062" s="85"/>
      <x:c r="S1062" s="85"/>
      <x:c r="T1062" s="85"/>
      <x:c r="U1062" s="85"/>
      <x:c r="V1062" s="85"/>
      <x:c r="W1062" s="85"/>
      <x:c r="Y1062" s="86"/>
      <x:c r="Z1062" s="86"/>
      <x:c r="AA1062" s="32"/>
    </x:row>
    <x:row r="1063">
      <x:c r="A1063" s="87"/>
      <x:c r="B1063" s="88"/>
      <x:c r="D1063" s="32"/>
      <x:c r="I1063" s="74"/>
      <x:c r="J1063" s="74"/>
      <x:c r="K1063" s="74"/>
      <x:c r="L1063" s="74"/>
      <x:c r="M1063" s="74"/>
      <x:c r="N1063" s="74"/>
      <x:c r="O1063" s="91"/>
      <x:c r="P1063" s="91"/>
      <x:c r="Q1063" s="85"/>
      <x:c r="R1063" s="85"/>
      <x:c r="S1063" s="85"/>
      <x:c r="T1063" s="85"/>
      <x:c r="U1063" s="85"/>
      <x:c r="V1063" s="85"/>
      <x:c r="W1063" s="85"/>
      <x:c r="Y1063" s="86"/>
      <x:c r="Z1063" s="86"/>
      <x:c r="AA1063" s="32"/>
    </x:row>
    <x:row r="1064">
      <x:c r="A1064" s="87"/>
      <x:c r="B1064" s="88"/>
      <x:c r="D1064" s="32"/>
      <x:c r="I1064" s="74"/>
      <x:c r="J1064" s="74"/>
      <x:c r="K1064" s="74"/>
      <x:c r="L1064" s="74"/>
      <x:c r="M1064" s="74"/>
      <x:c r="N1064" s="74"/>
      <x:c r="O1064" s="91"/>
      <x:c r="P1064" s="91"/>
      <x:c r="Q1064" s="85"/>
      <x:c r="R1064" s="85"/>
      <x:c r="S1064" s="85"/>
      <x:c r="T1064" s="85"/>
      <x:c r="U1064" s="85"/>
      <x:c r="V1064" s="85"/>
      <x:c r="W1064" s="85"/>
      <x:c r="Y1064" s="86"/>
      <x:c r="Z1064" s="86"/>
      <x:c r="AA1064" s="32"/>
    </x:row>
    <x:row r="1065">
      <x:c r="A1065" s="87"/>
      <x:c r="B1065" s="88"/>
      <x:c r="D1065" s="32"/>
      <x:c r="I1065" s="74"/>
      <x:c r="J1065" s="74"/>
      <x:c r="K1065" s="74"/>
      <x:c r="L1065" s="74"/>
      <x:c r="M1065" s="74"/>
      <x:c r="N1065" s="74"/>
      <x:c r="O1065" s="91"/>
      <x:c r="P1065" s="91"/>
      <x:c r="Q1065" s="85"/>
      <x:c r="R1065" s="85"/>
      <x:c r="S1065" s="85"/>
      <x:c r="T1065" s="85"/>
      <x:c r="U1065" s="85"/>
      <x:c r="V1065" s="85"/>
      <x:c r="W1065" s="85"/>
      <x:c r="Y1065" s="86"/>
      <x:c r="Z1065" s="86"/>
      <x:c r="AA1065" s="32"/>
    </x:row>
    <x:row r="1066">
      <x:c r="A1066" s="87"/>
      <x:c r="B1066" s="88"/>
      <x:c r="D1066" s="32"/>
      <x:c r="I1066" s="74"/>
      <x:c r="J1066" s="74"/>
      <x:c r="K1066" s="74"/>
      <x:c r="L1066" s="74"/>
      <x:c r="M1066" s="74"/>
      <x:c r="N1066" s="74"/>
      <x:c r="O1066" s="91"/>
      <x:c r="P1066" s="91"/>
      <x:c r="Q1066" s="85"/>
      <x:c r="R1066" s="85"/>
      <x:c r="S1066" s="85"/>
      <x:c r="T1066" s="85"/>
      <x:c r="U1066" s="85"/>
      <x:c r="V1066" s="85"/>
      <x:c r="W1066" s="85"/>
      <x:c r="Y1066" s="86"/>
      <x:c r="Z1066" s="86"/>
      <x:c r="AA1066" s="32"/>
    </x:row>
    <x:row r="1067">
      <x:c r="A1067" s="87"/>
      <x:c r="B1067" s="88"/>
      <x:c r="D1067" s="32"/>
      <x:c r="I1067" s="74"/>
      <x:c r="J1067" s="74"/>
      <x:c r="K1067" s="74"/>
      <x:c r="L1067" s="74"/>
      <x:c r="M1067" s="74"/>
      <x:c r="N1067" s="74"/>
      <x:c r="O1067" s="91"/>
      <x:c r="P1067" s="91"/>
      <x:c r="Q1067" s="85"/>
      <x:c r="R1067" s="85"/>
      <x:c r="S1067" s="85"/>
      <x:c r="T1067" s="85"/>
      <x:c r="U1067" s="85"/>
      <x:c r="V1067" s="85"/>
      <x:c r="W1067" s="85"/>
      <x:c r="Y1067" s="86"/>
      <x:c r="Z1067" s="86"/>
      <x:c r="AA1067" s="32"/>
    </x:row>
    <x:row r="1068">
      <x:c r="A1068" s="87"/>
      <x:c r="B1068" s="88"/>
      <x:c r="D1068" s="32"/>
      <x:c r="I1068" s="74"/>
      <x:c r="J1068" s="74"/>
      <x:c r="K1068" s="74"/>
      <x:c r="L1068" s="74"/>
      <x:c r="M1068" s="74"/>
      <x:c r="N1068" s="74"/>
      <x:c r="O1068" s="91"/>
      <x:c r="P1068" s="91"/>
      <x:c r="Q1068" s="85"/>
      <x:c r="R1068" s="85"/>
      <x:c r="S1068" s="85"/>
      <x:c r="T1068" s="85"/>
      <x:c r="U1068" s="85"/>
      <x:c r="V1068" s="85"/>
      <x:c r="W1068" s="85"/>
      <x:c r="Y1068" s="86"/>
      <x:c r="Z1068" s="86"/>
      <x:c r="AA1068" s="32"/>
    </x:row>
    <x:row r="1069">
      <x:c r="A1069" s="87"/>
      <x:c r="B1069" s="88"/>
      <x:c r="D1069" s="32"/>
      <x:c r="I1069" s="74"/>
      <x:c r="J1069" s="74"/>
      <x:c r="K1069" s="74"/>
      <x:c r="L1069" s="74"/>
      <x:c r="M1069" s="74"/>
      <x:c r="N1069" s="74"/>
      <x:c r="O1069" s="91"/>
      <x:c r="P1069" s="91"/>
      <x:c r="Q1069" s="85"/>
      <x:c r="R1069" s="85"/>
      <x:c r="S1069" s="85"/>
      <x:c r="T1069" s="85"/>
      <x:c r="U1069" s="85"/>
      <x:c r="V1069" s="85"/>
      <x:c r="W1069" s="85"/>
      <x:c r="Y1069" s="86"/>
      <x:c r="Z1069" s="86"/>
      <x:c r="AA1069" s="32"/>
    </x:row>
    <x:row r="1070">
      <x:c r="A1070" s="87"/>
      <x:c r="B1070" s="88"/>
      <x:c r="D1070" s="32"/>
      <x:c r="I1070" s="74"/>
      <x:c r="J1070" s="74"/>
      <x:c r="K1070" s="74"/>
      <x:c r="L1070" s="74"/>
      <x:c r="M1070" s="74"/>
      <x:c r="N1070" s="74"/>
      <x:c r="O1070" s="91"/>
      <x:c r="P1070" s="91"/>
      <x:c r="Q1070" s="85"/>
      <x:c r="R1070" s="85"/>
      <x:c r="S1070" s="85"/>
      <x:c r="T1070" s="85"/>
      <x:c r="U1070" s="85"/>
      <x:c r="V1070" s="85"/>
      <x:c r="W1070" s="85"/>
      <x:c r="Y1070" s="86"/>
      <x:c r="Z1070" s="86"/>
      <x:c r="AA1070" s="32"/>
    </x:row>
    <x:row r="1071">
      <x:c r="A1071" s="87"/>
      <x:c r="B1071" s="88"/>
      <x:c r="D1071" s="32"/>
      <x:c r="I1071" s="74"/>
      <x:c r="J1071" s="74"/>
      <x:c r="K1071" s="74"/>
      <x:c r="L1071" s="74"/>
      <x:c r="M1071" s="74"/>
      <x:c r="N1071" s="74"/>
      <x:c r="O1071" s="91"/>
      <x:c r="P1071" s="91"/>
      <x:c r="Q1071" s="85"/>
      <x:c r="R1071" s="85"/>
      <x:c r="S1071" s="85"/>
      <x:c r="T1071" s="85"/>
      <x:c r="U1071" s="85"/>
      <x:c r="V1071" s="85"/>
      <x:c r="W1071" s="85"/>
      <x:c r="Y1071" s="86"/>
      <x:c r="Z1071" s="86"/>
      <x:c r="AA1071" s="32"/>
    </x:row>
    <x:row r="1072">
      <x:c r="A1072" s="87"/>
      <x:c r="B1072" s="88"/>
      <x:c r="D1072" s="32"/>
      <x:c r="I1072" s="74"/>
      <x:c r="J1072" s="74"/>
      <x:c r="K1072" s="74"/>
      <x:c r="L1072" s="74"/>
      <x:c r="M1072" s="74"/>
      <x:c r="N1072" s="74"/>
      <x:c r="O1072" s="91"/>
      <x:c r="P1072" s="91"/>
      <x:c r="Q1072" s="85"/>
      <x:c r="R1072" s="85"/>
      <x:c r="S1072" s="85"/>
      <x:c r="T1072" s="85"/>
      <x:c r="U1072" s="85"/>
      <x:c r="V1072" s="85"/>
      <x:c r="W1072" s="85"/>
      <x:c r="Y1072" s="86"/>
      <x:c r="Z1072" s="86"/>
      <x:c r="AA1072" s="32"/>
    </x:row>
    <x:row r="1073">
      <x:c r="A1073" s="87"/>
      <x:c r="B1073" s="88"/>
      <x:c r="D1073" s="32"/>
      <x:c r="I1073" s="74"/>
      <x:c r="J1073" s="74"/>
      <x:c r="K1073" s="74"/>
      <x:c r="L1073" s="74"/>
      <x:c r="M1073" s="74"/>
      <x:c r="N1073" s="74"/>
      <x:c r="O1073" s="91"/>
      <x:c r="P1073" s="91"/>
      <x:c r="Q1073" s="85"/>
      <x:c r="R1073" s="85"/>
      <x:c r="S1073" s="85"/>
      <x:c r="T1073" s="85"/>
      <x:c r="U1073" s="85"/>
      <x:c r="V1073" s="85"/>
      <x:c r="W1073" s="85"/>
      <x:c r="Y1073" s="86"/>
      <x:c r="Z1073" s="86"/>
      <x:c r="AA1073" s="32"/>
    </x:row>
    <x:row r="1074">
      <x:c r="A1074" s="87"/>
      <x:c r="B1074" s="88"/>
      <x:c r="D1074" s="32"/>
      <x:c r="I1074" s="74"/>
      <x:c r="J1074" s="74"/>
      <x:c r="K1074" s="74"/>
      <x:c r="L1074" s="74"/>
      <x:c r="M1074" s="74"/>
      <x:c r="N1074" s="74"/>
      <x:c r="O1074" s="91"/>
      <x:c r="P1074" s="91"/>
      <x:c r="Q1074" s="85"/>
      <x:c r="R1074" s="85"/>
      <x:c r="S1074" s="85"/>
      <x:c r="T1074" s="85"/>
      <x:c r="U1074" s="85"/>
      <x:c r="V1074" s="85"/>
      <x:c r="W1074" s="85"/>
      <x:c r="Y1074" s="86"/>
      <x:c r="Z1074" s="86"/>
      <x:c r="AA1074" s="32"/>
    </x:row>
    <x:row r="1075">
      <x:c r="A1075" s="87"/>
      <x:c r="B1075" s="88"/>
      <x:c r="D1075" s="32"/>
      <x:c r="I1075" s="74"/>
      <x:c r="J1075" s="74"/>
      <x:c r="K1075" s="74"/>
      <x:c r="L1075" s="74"/>
      <x:c r="M1075" s="74"/>
      <x:c r="N1075" s="74"/>
      <x:c r="O1075" s="91"/>
      <x:c r="P1075" s="91"/>
      <x:c r="Q1075" s="85"/>
      <x:c r="R1075" s="85"/>
      <x:c r="S1075" s="85"/>
      <x:c r="T1075" s="85"/>
      <x:c r="U1075" s="85"/>
      <x:c r="V1075" s="85"/>
      <x:c r="W1075" s="85"/>
      <x:c r="Y1075" s="86"/>
      <x:c r="Z1075" s="86"/>
      <x:c r="AA1075" s="32"/>
    </x:row>
    <x:row r="1076">
      <x:c r="A1076" s="87"/>
      <x:c r="B1076" s="88"/>
      <x:c r="D1076" s="32"/>
      <x:c r="I1076" s="74"/>
      <x:c r="J1076" s="74"/>
      <x:c r="K1076" s="74"/>
      <x:c r="L1076" s="74"/>
      <x:c r="M1076" s="74"/>
      <x:c r="N1076" s="74"/>
      <x:c r="O1076" s="91"/>
      <x:c r="P1076" s="91"/>
      <x:c r="Q1076" s="85"/>
      <x:c r="R1076" s="85"/>
      <x:c r="S1076" s="85"/>
      <x:c r="T1076" s="85"/>
      <x:c r="U1076" s="85"/>
      <x:c r="V1076" s="85"/>
      <x:c r="W1076" s="85"/>
      <x:c r="Y1076" s="86"/>
      <x:c r="Z1076" s="86"/>
      <x:c r="AA1076" s="32"/>
    </x:row>
    <x:row r="1077">
      <x:c r="A1077" s="87"/>
      <x:c r="B1077" s="88"/>
      <x:c r="D1077" s="32"/>
      <x:c r="I1077" s="74"/>
      <x:c r="J1077" s="74"/>
      <x:c r="K1077" s="74"/>
      <x:c r="L1077" s="74"/>
      <x:c r="M1077" s="74"/>
      <x:c r="N1077" s="74"/>
      <x:c r="O1077" s="91"/>
      <x:c r="P1077" s="91"/>
      <x:c r="Q1077" s="85"/>
      <x:c r="R1077" s="85"/>
      <x:c r="S1077" s="85"/>
      <x:c r="T1077" s="85"/>
      <x:c r="U1077" s="85"/>
      <x:c r="V1077" s="85"/>
      <x:c r="W1077" s="85"/>
      <x:c r="Y1077" s="86"/>
      <x:c r="Z1077" s="86"/>
      <x:c r="AA1077" s="32"/>
    </x:row>
    <x:row r="1078">
      <x:c r="A1078" s="87"/>
      <x:c r="B1078" s="88"/>
      <x:c r="D1078" s="32"/>
      <x:c r="I1078" s="74"/>
      <x:c r="J1078" s="74"/>
      <x:c r="K1078" s="74"/>
      <x:c r="L1078" s="74"/>
      <x:c r="M1078" s="74"/>
      <x:c r="N1078" s="74"/>
      <x:c r="O1078" s="91"/>
      <x:c r="P1078" s="91"/>
      <x:c r="Q1078" s="85"/>
      <x:c r="R1078" s="85"/>
      <x:c r="S1078" s="85"/>
      <x:c r="T1078" s="85"/>
      <x:c r="U1078" s="85"/>
      <x:c r="V1078" s="85"/>
      <x:c r="W1078" s="85"/>
      <x:c r="Y1078" s="86"/>
      <x:c r="Z1078" s="86"/>
      <x:c r="AA1078" s="32"/>
    </x:row>
    <x:row r="1079">
      <x:c r="A1079" s="87"/>
      <x:c r="B1079" s="88"/>
      <x:c r="D1079" s="32"/>
      <x:c r="I1079" s="74"/>
      <x:c r="J1079" s="74"/>
      <x:c r="K1079" s="74"/>
      <x:c r="L1079" s="74"/>
      <x:c r="M1079" s="74"/>
      <x:c r="N1079" s="74"/>
      <x:c r="O1079" s="91"/>
      <x:c r="P1079" s="91"/>
      <x:c r="Q1079" s="85"/>
      <x:c r="R1079" s="85"/>
      <x:c r="S1079" s="85"/>
      <x:c r="T1079" s="85"/>
      <x:c r="U1079" s="85"/>
      <x:c r="V1079" s="85"/>
      <x:c r="W1079" s="85"/>
      <x:c r="Y1079" s="86"/>
      <x:c r="Z1079" s="86"/>
      <x:c r="AA1079" s="32"/>
    </x:row>
    <x:row r="1080">
      <x:c r="A1080" s="87"/>
      <x:c r="B1080" s="88"/>
      <x:c r="D1080" s="32"/>
      <x:c r="I1080" s="74"/>
      <x:c r="J1080" s="74"/>
      <x:c r="K1080" s="74"/>
      <x:c r="L1080" s="74"/>
      <x:c r="M1080" s="74"/>
      <x:c r="N1080" s="74"/>
      <x:c r="O1080" s="91"/>
      <x:c r="P1080" s="91"/>
      <x:c r="Q1080" s="85"/>
      <x:c r="R1080" s="85"/>
      <x:c r="S1080" s="85"/>
      <x:c r="T1080" s="85"/>
      <x:c r="U1080" s="85"/>
      <x:c r="V1080" s="85"/>
      <x:c r="W1080" s="85"/>
      <x:c r="Y1080" s="86"/>
      <x:c r="Z1080" s="86"/>
      <x:c r="AA1080" s="32"/>
    </x:row>
    <x:row r="1081">
      <x:c r="A1081" s="87"/>
      <x:c r="B1081" s="88"/>
      <x:c r="D1081" s="32"/>
      <x:c r="I1081" s="74"/>
      <x:c r="J1081" s="74"/>
      <x:c r="K1081" s="74"/>
      <x:c r="L1081" s="74"/>
      <x:c r="M1081" s="74"/>
      <x:c r="N1081" s="74"/>
      <x:c r="O1081" s="91"/>
      <x:c r="P1081" s="91"/>
      <x:c r="Q1081" s="85"/>
      <x:c r="R1081" s="85"/>
      <x:c r="S1081" s="85"/>
      <x:c r="T1081" s="85"/>
      <x:c r="U1081" s="85"/>
      <x:c r="V1081" s="85"/>
      <x:c r="W1081" s="85"/>
      <x:c r="Y1081" s="86"/>
      <x:c r="Z1081" s="86"/>
      <x:c r="AA1081" s="32"/>
    </x:row>
    <x:row r="1082">
      <x:c r="A1082" s="87"/>
      <x:c r="B1082" s="88"/>
      <x:c r="D1082" s="32"/>
      <x:c r="I1082" s="74"/>
      <x:c r="J1082" s="74"/>
      <x:c r="K1082" s="74"/>
      <x:c r="L1082" s="74"/>
      <x:c r="M1082" s="74"/>
      <x:c r="N1082" s="74"/>
      <x:c r="O1082" s="91"/>
      <x:c r="P1082" s="91"/>
      <x:c r="Q1082" s="85"/>
      <x:c r="R1082" s="85"/>
      <x:c r="S1082" s="85"/>
      <x:c r="T1082" s="85"/>
      <x:c r="U1082" s="85"/>
      <x:c r="V1082" s="85"/>
      <x:c r="W1082" s="85"/>
      <x:c r="Y1082" s="86"/>
      <x:c r="Z1082" s="86"/>
      <x:c r="AA1082" s="32"/>
    </x:row>
    <x:row r="1083">
      <x:c r="A1083" s="87"/>
      <x:c r="B1083" s="88"/>
      <x:c r="D1083" s="32"/>
      <x:c r="I1083" s="74"/>
      <x:c r="J1083" s="74"/>
      <x:c r="K1083" s="74"/>
      <x:c r="L1083" s="74"/>
      <x:c r="M1083" s="74"/>
      <x:c r="N1083" s="74"/>
      <x:c r="O1083" s="91"/>
      <x:c r="P1083" s="91"/>
      <x:c r="Q1083" s="85"/>
      <x:c r="R1083" s="85"/>
      <x:c r="S1083" s="85"/>
      <x:c r="T1083" s="85"/>
      <x:c r="U1083" s="85"/>
      <x:c r="V1083" s="85"/>
      <x:c r="W1083" s="85"/>
      <x:c r="Y1083" s="86"/>
      <x:c r="Z1083" s="86"/>
      <x:c r="AA1083" s="32"/>
    </x:row>
    <x:row r="1084">
      <x:c r="A1084" s="87"/>
      <x:c r="B1084" s="88"/>
      <x:c r="D1084" s="32"/>
      <x:c r="I1084" s="74"/>
      <x:c r="J1084" s="74"/>
      <x:c r="K1084" s="74"/>
      <x:c r="L1084" s="74"/>
      <x:c r="M1084" s="74"/>
      <x:c r="N1084" s="74"/>
      <x:c r="O1084" s="91"/>
      <x:c r="P1084" s="91"/>
      <x:c r="Q1084" s="85"/>
      <x:c r="R1084" s="85"/>
      <x:c r="S1084" s="85"/>
      <x:c r="T1084" s="85"/>
      <x:c r="U1084" s="85"/>
      <x:c r="V1084" s="85"/>
      <x:c r="W1084" s="85"/>
      <x:c r="Y1084" s="86"/>
      <x:c r="Z1084" s="86"/>
      <x:c r="AA1084" s="32"/>
    </x:row>
    <x:row r="1085">
      <x:c r="A1085" s="87"/>
      <x:c r="B1085" s="88"/>
      <x:c r="D1085" s="32"/>
      <x:c r="I1085" s="74"/>
      <x:c r="J1085" s="74"/>
      <x:c r="K1085" s="74"/>
      <x:c r="L1085" s="74"/>
      <x:c r="M1085" s="74"/>
      <x:c r="N1085" s="74"/>
      <x:c r="O1085" s="91"/>
      <x:c r="P1085" s="91"/>
      <x:c r="Q1085" s="85"/>
      <x:c r="R1085" s="85"/>
      <x:c r="S1085" s="85"/>
      <x:c r="T1085" s="85"/>
      <x:c r="U1085" s="85"/>
      <x:c r="V1085" s="85"/>
      <x:c r="W1085" s="85"/>
      <x:c r="Y1085" s="86"/>
      <x:c r="Z1085" s="86"/>
      <x:c r="AA1085" s="32"/>
    </x:row>
    <x:row r="1086">
      <x:c r="A1086" s="87"/>
      <x:c r="B1086" s="88"/>
      <x:c r="D1086" s="32"/>
      <x:c r="I1086" s="74"/>
      <x:c r="J1086" s="74"/>
      <x:c r="K1086" s="74"/>
      <x:c r="L1086" s="74"/>
      <x:c r="M1086" s="74"/>
      <x:c r="N1086" s="74"/>
      <x:c r="O1086" s="91"/>
      <x:c r="P1086" s="91"/>
      <x:c r="Q1086" s="85"/>
      <x:c r="R1086" s="85"/>
      <x:c r="S1086" s="85"/>
      <x:c r="T1086" s="85"/>
      <x:c r="U1086" s="85"/>
      <x:c r="V1086" s="85"/>
      <x:c r="W1086" s="85"/>
      <x:c r="Y1086" s="86"/>
      <x:c r="Z1086" s="86"/>
      <x:c r="AA1086" s="32"/>
    </x:row>
    <x:row r="1087">
      <x:c r="A1087" s="87"/>
      <x:c r="B1087" s="88"/>
      <x:c r="D1087" s="32"/>
      <x:c r="I1087" s="74"/>
      <x:c r="J1087" s="74"/>
      <x:c r="K1087" s="74"/>
      <x:c r="L1087" s="74"/>
      <x:c r="M1087" s="74"/>
      <x:c r="N1087" s="74"/>
      <x:c r="O1087" s="91"/>
      <x:c r="P1087" s="91"/>
      <x:c r="Q1087" s="85"/>
      <x:c r="R1087" s="85"/>
      <x:c r="S1087" s="85"/>
      <x:c r="T1087" s="85"/>
      <x:c r="U1087" s="85"/>
      <x:c r="V1087" s="85"/>
      <x:c r="W1087" s="85"/>
      <x:c r="Y1087" s="86"/>
      <x:c r="Z1087" s="86"/>
      <x:c r="AA1087" s="32"/>
    </x:row>
    <x:row r="1088">
      <x:c r="A1088" s="87"/>
      <x:c r="B1088" s="88"/>
      <x:c r="D1088" s="32"/>
      <x:c r="I1088" s="74"/>
      <x:c r="J1088" s="74"/>
      <x:c r="K1088" s="74"/>
      <x:c r="L1088" s="74"/>
      <x:c r="M1088" s="74"/>
      <x:c r="N1088" s="74"/>
      <x:c r="O1088" s="91"/>
      <x:c r="P1088" s="91"/>
      <x:c r="Q1088" s="85"/>
      <x:c r="R1088" s="85"/>
      <x:c r="S1088" s="85"/>
      <x:c r="T1088" s="85"/>
      <x:c r="U1088" s="85"/>
      <x:c r="V1088" s="85"/>
      <x:c r="W1088" s="85"/>
      <x:c r="Y1088" s="86"/>
      <x:c r="Z1088" s="86"/>
      <x:c r="AA1088" s="32"/>
    </x:row>
    <x:row r="1089">
      <x:c r="A1089" s="87"/>
      <x:c r="B1089" s="88"/>
      <x:c r="D1089" s="32"/>
      <x:c r="I1089" s="74"/>
      <x:c r="J1089" s="74"/>
      <x:c r="K1089" s="74"/>
      <x:c r="L1089" s="74"/>
      <x:c r="M1089" s="74"/>
      <x:c r="N1089" s="74"/>
      <x:c r="O1089" s="91"/>
      <x:c r="P1089" s="91"/>
      <x:c r="Q1089" s="85"/>
      <x:c r="R1089" s="85"/>
      <x:c r="S1089" s="85"/>
      <x:c r="T1089" s="85"/>
      <x:c r="U1089" s="85"/>
      <x:c r="V1089" s="85"/>
      <x:c r="W1089" s="85"/>
      <x:c r="Y1089" s="86"/>
      <x:c r="Z1089" s="86"/>
      <x:c r="AA1089" s="32"/>
    </x:row>
    <x:row r="1090">
      <x:c r="A1090" s="87"/>
      <x:c r="B1090" s="88"/>
      <x:c r="D1090" s="32"/>
      <x:c r="I1090" s="74"/>
      <x:c r="J1090" s="74"/>
      <x:c r="K1090" s="74"/>
      <x:c r="L1090" s="74"/>
      <x:c r="M1090" s="74"/>
      <x:c r="N1090" s="74"/>
      <x:c r="O1090" s="91"/>
      <x:c r="P1090" s="91"/>
      <x:c r="Q1090" s="85"/>
      <x:c r="R1090" s="85"/>
      <x:c r="S1090" s="85"/>
      <x:c r="T1090" s="85"/>
      <x:c r="U1090" s="85"/>
      <x:c r="V1090" s="85"/>
      <x:c r="W1090" s="85"/>
      <x:c r="Y1090" s="86"/>
      <x:c r="Z1090" s="86"/>
      <x:c r="AA1090" s="32"/>
    </x:row>
    <x:row r="1091">
      <x:c r="A1091" s="87"/>
      <x:c r="B1091" s="88"/>
      <x:c r="D1091" s="32"/>
      <x:c r="I1091" s="74"/>
      <x:c r="J1091" s="74"/>
      <x:c r="K1091" s="74"/>
      <x:c r="L1091" s="74"/>
      <x:c r="M1091" s="74"/>
      <x:c r="N1091" s="74"/>
      <x:c r="O1091" s="91"/>
      <x:c r="P1091" s="91"/>
      <x:c r="Q1091" s="85"/>
      <x:c r="R1091" s="85"/>
      <x:c r="S1091" s="85"/>
      <x:c r="T1091" s="85"/>
      <x:c r="U1091" s="85"/>
      <x:c r="V1091" s="85"/>
      <x:c r="W1091" s="85"/>
      <x:c r="Y1091" s="86"/>
      <x:c r="Z1091" s="86"/>
      <x:c r="AA1091" s="32"/>
    </x:row>
    <x:row r="1092">
      <x:c r="A1092" s="87"/>
      <x:c r="B1092" s="88"/>
      <x:c r="D1092" s="32"/>
      <x:c r="I1092" s="74"/>
      <x:c r="J1092" s="74"/>
      <x:c r="K1092" s="74"/>
      <x:c r="L1092" s="74"/>
      <x:c r="M1092" s="74"/>
      <x:c r="N1092" s="74"/>
      <x:c r="O1092" s="91"/>
      <x:c r="P1092" s="91"/>
      <x:c r="Q1092" s="85"/>
      <x:c r="R1092" s="85"/>
      <x:c r="S1092" s="85"/>
      <x:c r="T1092" s="85"/>
      <x:c r="U1092" s="85"/>
      <x:c r="V1092" s="85"/>
      <x:c r="W1092" s="85"/>
      <x:c r="Y1092" s="86"/>
      <x:c r="Z1092" s="86"/>
      <x:c r="AA1092" s="32"/>
    </x:row>
    <x:row r="1093">
      <x:c r="A1093" s="87"/>
      <x:c r="B1093" s="88"/>
      <x:c r="D1093" s="32"/>
      <x:c r="I1093" s="74"/>
      <x:c r="J1093" s="74"/>
      <x:c r="K1093" s="74"/>
      <x:c r="L1093" s="74"/>
      <x:c r="M1093" s="74"/>
      <x:c r="N1093" s="74"/>
      <x:c r="O1093" s="91"/>
      <x:c r="P1093" s="91"/>
      <x:c r="Q1093" s="85"/>
      <x:c r="R1093" s="85"/>
      <x:c r="S1093" s="85"/>
      <x:c r="T1093" s="85"/>
      <x:c r="U1093" s="85"/>
      <x:c r="V1093" s="85"/>
      <x:c r="W1093" s="85"/>
      <x:c r="Y1093" s="86"/>
      <x:c r="Z1093" s="86"/>
      <x:c r="AA1093" s="32"/>
    </x:row>
    <x:row r="1094">
      <x:c r="A1094" s="87"/>
      <x:c r="B1094" s="88"/>
      <x:c r="D1094" s="32"/>
      <x:c r="I1094" s="74"/>
      <x:c r="J1094" s="74"/>
      <x:c r="K1094" s="74"/>
      <x:c r="L1094" s="74"/>
      <x:c r="M1094" s="74"/>
      <x:c r="N1094" s="74"/>
      <x:c r="O1094" s="91"/>
      <x:c r="P1094" s="91"/>
      <x:c r="Q1094" s="85"/>
      <x:c r="R1094" s="85"/>
      <x:c r="S1094" s="85"/>
      <x:c r="T1094" s="85"/>
      <x:c r="U1094" s="85"/>
      <x:c r="V1094" s="85"/>
      <x:c r="W1094" s="85"/>
      <x:c r="Y1094" s="86"/>
      <x:c r="Z1094" s="86"/>
      <x:c r="AA1094" s="32"/>
    </x:row>
    <x:row r="1095">
      <x:c r="A1095" s="87"/>
      <x:c r="B1095" s="88"/>
      <x:c r="D1095" s="32"/>
      <x:c r="I1095" s="74"/>
      <x:c r="J1095" s="74"/>
      <x:c r="K1095" s="74"/>
      <x:c r="L1095" s="74"/>
      <x:c r="M1095" s="74"/>
      <x:c r="N1095" s="74"/>
      <x:c r="O1095" s="91"/>
      <x:c r="P1095" s="91"/>
      <x:c r="Q1095" s="85"/>
      <x:c r="R1095" s="85"/>
      <x:c r="S1095" s="85"/>
      <x:c r="T1095" s="85"/>
      <x:c r="U1095" s="85"/>
      <x:c r="V1095" s="85"/>
      <x:c r="W1095" s="85"/>
      <x:c r="Y1095" s="86"/>
      <x:c r="Z1095" s="86"/>
      <x:c r="AA1095" s="32"/>
    </x:row>
    <x:row r="1096">
      <x:c r="A1096" s="87"/>
      <x:c r="B1096" s="88"/>
      <x:c r="D1096" s="32"/>
      <x:c r="I1096" s="74"/>
      <x:c r="J1096" s="74"/>
      <x:c r="K1096" s="74"/>
      <x:c r="L1096" s="74"/>
      <x:c r="M1096" s="74"/>
      <x:c r="N1096" s="74"/>
      <x:c r="O1096" s="91"/>
      <x:c r="P1096" s="91"/>
      <x:c r="Q1096" s="85"/>
      <x:c r="R1096" s="85"/>
      <x:c r="S1096" s="85"/>
      <x:c r="T1096" s="85"/>
      <x:c r="U1096" s="85"/>
      <x:c r="V1096" s="85"/>
      <x:c r="W1096" s="85"/>
      <x:c r="Y1096" s="86"/>
      <x:c r="Z1096" s="86"/>
      <x:c r="AA1096" s="32"/>
    </x:row>
    <x:row r="1097">
      <x:c r="A1097" s="87"/>
      <x:c r="B1097" s="88"/>
      <x:c r="D1097" s="32"/>
      <x:c r="I1097" s="74"/>
      <x:c r="J1097" s="74"/>
      <x:c r="K1097" s="74"/>
      <x:c r="L1097" s="74"/>
      <x:c r="M1097" s="74"/>
      <x:c r="N1097" s="74"/>
      <x:c r="O1097" s="91"/>
      <x:c r="P1097" s="91"/>
      <x:c r="Q1097" s="85"/>
      <x:c r="R1097" s="85"/>
      <x:c r="S1097" s="85"/>
      <x:c r="T1097" s="85"/>
      <x:c r="U1097" s="85"/>
      <x:c r="V1097" s="85"/>
      <x:c r="W1097" s="85"/>
      <x:c r="Y1097" s="86"/>
      <x:c r="Z1097" s="86"/>
      <x:c r="AA1097" s="32"/>
    </x:row>
    <x:row r="1098">
      <x:c r="A1098" s="87"/>
      <x:c r="B1098" s="88"/>
      <x:c r="D1098" s="32"/>
      <x:c r="I1098" s="74"/>
      <x:c r="J1098" s="74"/>
      <x:c r="K1098" s="74"/>
      <x:c r="L1098" s="74"/>
      <x:c r="M1098" s="74"/>
      <x:c r="N1098" s="74"/>
      <x:c r="O1098" s="91"/>
      <x:c r="P1098" s="91"/>
      <x:c r="Q1098" s="85"/>
      <x:c r="R1098" s="85"/>
      <x:c r="S1098" s="85"/>
      <x:c r="T1098" s="85"/>
      <x:c r="U1098" s="85"/>
      <x:c r="V1098" s="85"/>
      <x:c r="W1098" s="85"/>
      <x:c r="Y1098" s="86"/>
      <x:c r="Z1098" s="86"/>
      <x:c r="AA1098" s="32"/>
    </x:row>
    <x:row r="1099">
      <x:c r="A1099" s="87"/>
      <x:c r="B1099" s="88"/>
      <x:c r="D1099" s="32"/>
      <x:c r="I1099" s="74"/>
      <x:c r="J1099" s="74"/>
      <x:c r="K1099" s="74"/>
      <x:c r="L1099" s="74"/>
      <x:c r="M1099" s="74"/>
      <x:c r="N1099" s="74"/>
      <x:c r="O1099" s="91"/>
      <x:c r="P1099" s="91"/>
      <x:c r="Q1099" s="85"/>
      <x:c r="R1099" s="85"/>
      <x:c r="S1099" s="85"/>
      <x:c r="T1099" s="85"/>
      <x:c r="U1099" s="85"/>
      <x:c r="V1099" s="85"/>
      <x:c r="W1099" s="85"/>
      <x:c r="Y1099" s="86"/>
      <x:c r="Z1099" s="86"/>
      <x:c r="AA1099" s="32"/>
    </x:row>
    <x:row r="1100">
      <x:c r="A1100" s="87"/>
      <x:c r="B1100" s="88"/>
      <x:c r="D1100" s="32"/>
      <x:c r="I1100" s="74"/>
      <x:c r="J1100" s="74"/>
      <x:c r="K1100" s="74"/>
      <x:c r="L1100" s="74"/>
      <x:c r="M1100" s="74"/>
      <x:c r="N1100" s="74"/>
      <x:c r="O1100" s="91"/>
      <x:c r="P1100" s="91"/>
      <x:c r="Q1100" s="85"/>
      <x:c r="R1100" s="85"/>
      <x:c r="S1100" s="85"/>
      <x:c r="T1100" s="85"/>
      <x:c r="U1100" s="85"/>
      <x:c r="V1100" s="85"/>
      <x:c r="W1100" s="85"/>
      <x:c r="Y1100" s="86"/>
      <x:c r="Z1100" s="86"/>
      <x:c r="AA1100" s="32"/>
    </x:row>
    <x:row r="1101">
      <x:c r="A1101" s="87"/>
      <x:c r="B1101" s="88"/>
      <x:c r="D1101" s="32"/>
      <x:c r="I1101" s="74"/>
      <x:c r="J1101" s="74"/>
      <x:c r="K1101" s="74"/>
      <x:c r="L1101" s="74"/>
      <x:c r="M1101" s="74"/>
      <x:c r="N1101" s="74"/>
      <x:c r="O1101" s="91"/>
      <x:c r="P1101" s="91"/>
      <x:c r="Q1101" s="85"/>
      <x:c r="R1101" s="85"/>
      <x:c r="S1101" s="85"/>
      <x:c r="T1101" s="85"/>
      <x:c r="U1101" s="85"/>
      <x:c r="V1101" s="85"/>
      <x:c r="W1101" s="85"/>
      <x:c r="Y1101" s="86"/>
      <x:c r="Z1101" s="86"/>
      <x:c r="AA1101" s="32"/>
    </x:row>
    <x:row r="1102">
      <x:c r="A1102" s="87"/>
      <x:c r="B1102" s="88"/>
      <x:c r="D1102" s="32"/>
      <x:c r="I1102" s="74"/>
      <x:c r="J1102" s="74"/>
      <x:c r="K1102" s="74"/>
      <x:c r="L1102" s="74"/>
      <x:c r="M1102" s="74"/>
      <x:c r="N1102" s="74"/>
      <x:c r="O1102" s="91"/>
      <x:c r="P1102" s="91"/>
      <x:c r="Q1102" s="85"/>
      <x:c r="R1102" s="85"/>
      <x:c r="S1102" s="85"/>
      <x:c r="T1102" s="85"/>
      <x:c r="U1102" s="85"/>
      <x:c r="V1102" s="85"/>
      <x:c r="W1102" s="85"/>
      <x:c r="Y1102" s="86"/>
      <x:c r="Z1102" s="86"/>
      <x:c r="AA1102" s="32"/>
    </x:row>
    <x:row r="1103">
      <x:c r="A1103" s="87"/>
      <x:c r="B1103" s="88"/>
      <x:c r="D1103" s="32"/>
      <x:c r="I1103" s="74"/>
      <x:c r="J1103" s="74"/>
      <x:c r="K1103" s="74"/>
      <x:c r="L1103" s="74"/>
      <x:c r="M1103" s="74"/>
      <x:c r="N1103" s="74"/>
      <x:c r="O1103" s="91"/>
      <x:c r="P1103" s="91"/>
      <x:c r="Q1103" s="85"/>
      <x:c r="R1103" s="85"/>
      <x:c r="S1103" s="85"/>
      <x:c r="T1103" s="85"/>
      <x:c r="U1103" s="85"/>
      <x:c r="V1103" s="85"/>
      <x:c r="W1103" s="85"/>
      <x:c r="Y1103" s="86"/>
      <x:c r="Z1103" s="86"/>
      <x:c r="AA1103" s="32"/>
    </x:row>
    <x:row r="1104">
      <x:c r="A1104" s="87"/>
      <x:c r="B1104" s="88"/>
      <x:c r="D1104" s="32"/>
      <x:c r="I1104" s="74"/>
      <x:c r="J1104" s="74"/>
      <x:c r="K1104" s="74"/>
      <x:c r="L1104" s="74"/>
      <x:c r="M1104" s="74"/>
      <x:c r="N1104" s="74"/>
      <x:c r="O1104" s="91"/>
      <x:c r="P1104" s="91"/>
      <x:c r="Q1104" s="85"/>
      <x:c r="R1104" s="85"/>
      <x:c r="S1104" s="85"/>
      <x:c r="T1104" s="85"/>
      <x:c r="U1104" s="85"/>
      <x:c r="V1104" s="85"/>
      <x:c r="W1104" s="85"/>
      <x:c r="Y1104" s="86"/>
      <x:c r="Z1104" s="86"/>
      <x:c r="AA1104" s="32"/>
    </x:row>
    <x:row r="1105">
      <x:c r="A1105" s="87"/>
      <x:c r="B1105" s="88"/>
      <x:c r="D1105" s="32"/>
      <x:c r="I1105" s="74"/>
      <x:c r="J1105" s="74"/>
      <x:c r="K1105" s="74"/>
      <x:c r="L1105" s="74"/>
      <x:c r="M1105" s="74"/>
      <x:c r="N1105" s="74"/>
      <x:c r="O1105" s="91"/>
      <x:c r="P1105" s="91"/>
      <x:c r="Q1105" s="85"/>
      <x:c r="R1105" s="85"/>
      <x:c r="S1105" s="85"/>
      <x:c r="T1105" s="85"/>
      <x:c r="U1105" s="85"/>
      <x:c r="V1105" s="85"/>
      <x:c r="W1105" s="85"/>
      <x:c r="Y1105" s="86"/>
      <x:c r="Z1105" s="86"/>
      <x:c r="AA1105" s="32"/>
    </x:row>
    <x:row r="1106">
      <x:c r="A1106" s="87"/>
      <x:c r="B1106" s="88"/>
      <x:c r="D1106" s="32"/>
      <x:c r="I1106" s="74"/>
      <x:c r="J1106" s="74"/>
      <x:c r="K1106" s="74"/>
      <x:c r="L1106" s="74"/>
      <x:c r="M1106" s="74"/>
      <x:c r="N1106" s="74"/>
      <x:c r="O1106" s="91"/>
      <x:c r="P1106" s="91"/>
      <x:c r="Q1106" s="85"/>
      <x:c r="R1106" s="85"/>
      <x:c r="S1106" s="85"/>
      <x:c r="T1106" s="85"/>
      <x:c r="U1106" s="85"/>
      <x:c r="V1106" s="85"/>
      <x:c r="W1106" s="85"/>
      <x:c r="Y1106" s="86"/>
      <x:c r="Z1106" s="86"/>
      <x:c r="AA1106" s="32"/>
    </x:row>
    <x:row r="1107">
      <x:c r="A1107" s="87"/>
      <x:c r="B1107" s="88"/>
      <x:c r="D1107" s="32"/>
      <x:c r="I1107" s="74"/>
      <x:c r="J1107" s="74"/>
      <x:c r="K1107" s="74"/>
      <x:c r="L1107" s="74"/>
      <x:c r="M1107" s="74"/>
      <x:c r="N1107" s="74"/>
      <x:c r="O1107" s="91"/>
      <x:c r="P1107" s="91"/>
      <x:c r="Q1107" s="85"/>
      <x:c r="R1107" s="85"/>
      <x:c r="S1107" s="85"/>
      <x:c r="T1107" s="85"/>
      <x:c r="U1107" s="85"/>
      <x:c r="V1107" s="85"/>
      <x:c r="W1107" s="85"/>
      <x:c r="Y1107" s="86"/>
      <x:c r="Z1107" s="86"/>
      <x:c r="AA1107" s="32"/>
    </x:row>
    <x:row r="1108">
      <x:c r="A1108" s="87"/>
      <x:c r="B1108" s="88"/>
      <x:c r="D1108" s="32"/>
      <x:c r="I1108" s="74"/>
      <x:c r="J1108" s="74"/>
      <x:c r="K1108" s="74"/>
      <x:c r="L1108" s="74"/>
      <x:c r="M1108" s="74"/>
      <x:c r="N1108" s="74"/>
      <x:c r="O1108" s="91"/>
      <x:c r="P1108" s="91"/>
      <x:c r="Q1108" s="85"/>
      <x:c r="R1108" s="85"/>
      <x:c r="S1108" s="85"/>
      <x:c r="T1108" s="85"/>
      <x:c r="U1108" s="85"/>
      <x:c r="V1108" s="85"/>
      <x:c r="W1108" s="85"/>
      <x:c r="Y1108" s="86"/>
      <x:c r="Z1108" s="86"/>
      <x:c r="AA1108" s="32"/>
    </x:row>
    <x:row r="1109">
      <x:c r="A1109" s="87"/>
      <x:c r="B1109" s="88"/>
      <x:c r="D1109" s="32"/>
      <x:c r="I1109" s="74"/>
      <x:c r="J1109" s="74"/>
      <x:c r="K1109" s="74"/>
      <x:c r="L1109" s="74"/>
      <x:c r="M1109" s="74"/>
      <x:c r="N1109" s="74"/>
      <x:c r="O1109" s="91"/>
      <x:c r="P1109" s="91"/>
      <x:c r="Q1109" s="85"/>
      <x:c r="R1109" s="85"/>
      <x:c r="S1109" s="85"/>
      <x:c r="T1109" s="85"/>
      <x:c r="U1109" s="85"/>
      <x:c r="V1109" s="85"/>
      <x:c r="W1109" s="85"/>
      <x:c r="Y1109" s="86"/>
      <x:c r="Z1109" s="86"/>
      <x:c r="AA1109" s="32"/>
    </x:row>
    <x:row r="1110">
      <x:c r="A1110" s="87"/>
      <x:c r="B1110" s="88"/>
      <x:c r="D1110" s="32"/>
      <x:c r="I1110" s="74"/>
      <x:c r="J1110" s="74"/>
      <x:c r="K1110" s="74"/>
      <x:c r="L1110" s="74"/>
      <x:c r="M1110" s="74"/>
      <x:c r="N1110" s="74"/>
      <x:c r="O1110" s="91"/>
      <x:c r="P1110" s="91"/>
      <x:c r="Q1110" s="85"/>
      <x:c r="R1110" s="85"/>
      <x:c r="S1110" s="85"/>
      <x:c r="T1110" s="85"/>
      <x:c r="U1110" s="85"/>
      <x:c r="V1110" s="85"/>
      <x:c r="W1110" s="85"/>
      <x:c r="Y1110" s="86"/>
      <x:c r="Z1110" s="86"/>
      <x:c r="AA1110" s="32"/>
    </x:row>
    <x:row r="1111">
      <x:c r="A1111" s="87"/>
      <x:c r="B1111" s="88"/>
      <x:c r="D1111" s="32"/>
      <x:c r="I1111" s="74"/>
      <x:c r="J1111" s="74"/>
      <x:c r="K1111" s="74"/>
      <x:c r="L1111" s="74"/>
      <x:c r="M1111" s="74"/>
      <x:c r="N1111" s="74"/>
      <x:c r="O1111" s="91"/>
      <x:c r="P1111" s="91"/>
      <x:c r="Q1111" s="85"/>
      <x:c r="R1111" s="85"/>
      <x:c r="S1111" s="85"/>
      <x:c r="T1111" s="85"/>
      <x:c r="U1111" s="85"/>
      <x:c r="V1111" s="85"/>
      <x:c r="W1111" s="85"/>
      <x:c r="Y1111" s="86"/>
      <x:c r="Z1111" s="86"/>
      <x:c r="AA1111" s="32"/>
    </x:row>
    <x:row r="1112">
      <x:c r="A1112" s="87"/>
      <x:c r="B1112" s="88"/>
      <x:c r="D1112" s="32"/>
      <x:c r="I1112" s="74"/>
      <x:c r="J1112" s="74"/>
      <x:c r="K1112" s="74"/>
      <x:c r="L1112" s="74"/>
      <x:c r="M1112" s="74"/>
      <x:c r="N1112" s="74"/>
      <x:c r="O1112" s="91"/>
      <x:c r="P1112" s="91"/>
      <x:c r="Q1112" s="85"/>
      <x:c r="R1112" s="85"/>
      <x:c r="S1112" s="85"/>
      <x:c r="T1112" s="85"/>
      <x:c r="U1112" s="85"/>
      <x:c r="V1112" s="85"/>
      <x:c r="W1112" s="85"/>
      <x:c r="Y1112" s="86"/>
      <x:c r="Z1112" s="86"/>
      <x:c r="AA1112" s="32"/>
    </x:row>
    <x:row r="1113">
      <x:c r="A1113" s="87"/>
      <x:c r="B1113" s="88"/>
      <x:c r="D1113" s="32"/>
      <x:c r="I1113" s="74"/>
      <x:c r="J1113" s="74"/>
      <x:c r="K1113" s="74"/>
      <x:c r="L1113" s="74"/>
      <x:c r="M1113" s="74"/>
      <x:c r="N1113" s="74"/>
      <x:c r="O1113" s="91"/>
      <x:c r="P1113" s="91"/>
      <x:c r="Q1113" s="85"/>
      <x:c r="R1113" s="85"/>
      <x:c r="S1113" s="85"/>
      <x:c r="T1113" s="85"/>
      <x:c r="U1113" s="85"/>
      <x:c r="V1113" s="85"/>
      <x:c r="W1113" s="85"/>
      <x:c r="Y1113" s="86"/>
      <x:c r="Z1113" s="86"/>
      <x:c r="AA1113" s="32"/>
    </x:row>
    <x:row r="1114">
      <x:c r="A1114" s="87"/>
      <x:c r="B1114" s="88"/>
      <x:c r="D1114" s="32"/>
      <x:c r="I1114" s="74"/>
      <x:c r="J1114" s="74"/>
      <x:c r="K1114" s="74"/>
      <x:c r="L1114" s="74"/>
      <x:c r="M1114" s="74"/>
      <x:c r="N1114" s="74"/>
      <x:c r="O1114" s="91"/>
      <x:c r="P1114" s="91"/>
      <x:c r="Q1114" s="85"/>
      <x:c r="R1114" s="85"/>
      <x:c r="S1114" s="85"/>
      <x:c r="T1114" s="85"/>
      <x:c r="U1114" s="85"/>
      <x:c r="V1114" s="85"/>
      <x:c r="W1114" s="85"/>
      <x:c r="Y1114" s="86"/>
      <x:c r="Z1114" s="86"/>
      <x:c r="AA1114" s="32"/>
    </x:row>
    <x:row r="1115">
      <x:c r="A1115" s="87"/>
      <x:c r="B1115" s="88"/>
      <x:c r="D1115" s="32"/>
      <x:c r="I1115" s="74"/>
      <x:c r="J1115" s="74"/>
      <x:c r="K1115" s="74"/>
      <x:c r="L1115" s="74"/>
      <x:c r="M1115" s="74"/>
      <x:c r="N1115" s="74"/>
      <x:c r="O1115" s="91"/>
      <x:c r="P1115" s="91"/>
      <x:c r="Q1115" s="85"/>
      <x:c r="R1115" s="85"/>
      <x:c r="S1115" s="85"/>
      <x:c r="T1115" s="85"/>
      <x:c r="U1115" s="85"/>
      <x:c r="V1115" s="85"/>
      <x:c r="W1115" s="85"/>
      <x:c r="Y1115" s="86"/>
      <x:c r="Z1115" s="86"/>
      <x:c r="AA1115" s="32"/>
    </x:row>
    <x:row r="1116">
      <x:c r="A1116" s="87"/>
      <x:c r="B1116" s="88"/>
      <x:c r="D1116" s="32"/>
      <x:c r="I1116" s="74"/>
      <x:c r="J1116" s="74"/>
      <x:c r="K1116" s="74"/>
      <x:c r="L1116" s="74"/>
      <x:c r="M1116" s="74"/>
      <x:c r="N1116" s="74"/>
      <x:c r="O1116" s="91"/>
      <x:c r="P1116" s="91"/>
      <x:c r="Q1116" s="85"/>
      <x:c r="R1116" s="85"/>
      <x:c r="S1116" s="85"/>
      <x:c r="T1116" s="85"/>
      <x:c r="U1116" s="85"/>
      <x:c r="V1116" s="85"/>
      <x:c r="W1116" s="85"/>
      <x:c r="Y1116" s="86"/>
      <x:c r="Z1116" s="86"/>
      <x:c r="AA1116" s="32"/>
    </x:row>
    <x:row r="1117">
      <x:c r="A1117" s="87"/>
      <x:c r="B1117" s="88"/>
      <x:c r="D1117" s="32"/>
      <x:c r="I1117" s="74"/>
      <x:c r="J1117" s="74"/>
      <x:c r="K1117" s="74"/>
      <x:c r="L1117" s="74"/>
      <x:c r="M1117" s="74"/>
      <x:c r="N1117" s="74"/>
      <x:c r="O1117" s="91"/>
      <x:c r="P1117" s="91"/>
      <x:c r="Q1117" s="85"/>
      <x:c r="R1117" s="85"/>
      <x:c r="S1117" s="85"/>
      <x:c r="T1117" s="85"/>
      <x:c r="U1117" s="85"/>
      <x:c r="V1117" s="85"/>
      <x:c r="W1117" s="85"/>
      <x:c r="Y1117" s="86"/>
      <x:c r="Z1117" s="86"/>
      <x:c r="AA1117" s="32"/>
    </x:row>
    <x:row r="1118">
      <x:c r="A1118" s="87"/>
      <x:c r="B1118" s="88"/>
      <x:c r="D1118" s="32"/>
      <x:c r="I1118" s="74"/>
      <x:c r="J1118" s="74"/>
      <x:c r="K1118" s="74"/>
      <x:c r="L1118" s="74"/>
      <x:c r="M1118" s="74"/>
      <x:c r="N1118" s="74"/>
      <x:c r="O1118" s="91"/>
      <x:c r="P1118" s="91"/>
      <x:c r="Q1118" s="85"/>
      <x:c r="R1118" s="85"/>
      <x:c r="S1118" s="85"/>
      <x:c r="T1118" s="85"/>
      <x:c r="U1118" s="85"/>
      <x:c r="V1118" s="85"/>
      <x:c r="W1118" s="85"/>
      <x:c r="Y1118" s="86"/>
      <x:c r="Z1118" s="86"/>
      <x:c r="AA1118" s="32"/>
    </x:row>
    <x:row r="1119">
      <x:c r="A1119" s="87"/>
      <x:c r="B1119" s="88"/>
      <x:c r="D1119" s="32"/>
      <x:c r="I1119" s="74"/>
      <x:c r="J1119" s="74"/>
      <x:c r="K1119" s="74"/>
      <x:c r="L1119" s="74"/>
      <x:c r="M1119" s="74"/>
      <x:c r="N1119" s="74"/>
      <x:c r="O1119" s="91"/>
      <x:c r="P1119" s="91"/>
      <x:c r="Q1119" s="85"/>
      <x:c r="R1119" s="85"/>
      <x:c r="S1119" s="85"/>
      <x:c r="T1119" s="85"/>
      <x:c r="U1119" s="85"/>
      <x:c r="V1119" s="85"/>
      <x:c r="W1119" s="85"/>
      <x:c r="Y1119" s="86"/>
      <x:c r="Z1119" s="86"/>
      <x:c r="AA1119" s="32"/>
    </x:row>
    <x:row r="1120">
      <x:c r="A1120" s="87"/>
      <x:c r="B1120" s="88"/>
      <x:c r="D1120" s="32"/>
      <x:c r="I1120" s="74"/>
      <x:c r="J1120" s="74"/>
      <x:c r="K1120" s="74"/>
      <x:c r="L1120" s="74"/>
      <x:c r="M1120" s="74"/>
      <x:c r="N1120" s="74"/>
      <x:c r="O1120" s="91"/>
      <x:c r="P1120" s="91"/>
      <x:c r="Q1120" s="85"/>
      <x:c r="R1120" s="85"/>
      <x:c r="S1120" s="85"/>
      <x:c r="T1120" s="85"/>
      <x:c r="U1120" s="85"/>
      <x:c r="V1120" s="85"/>
      <x:c r="W1120" s="85"/>
      <x:c r="Y1120" s="86"/>
      <x:c r="Z1120" s="86"/>
      <x:c r="AA1120" s="32"/>
    </x:row>
    <x:row r="1121">
      <x:c r="A1121" s="87"/>
      <x:c r="B1121" s="88"/>
      <x:c r="D1121" s="32"/>
      <x:c r="I1121" s="74"/>
      <x:c r="J1121" s="74"/>
      <x:c r="K1121" s="74"/>
      <x:c r="L1121" s="74"/>
      <x:c r="M1121" s="74"/>
      <x:c r="N1121" s="74"/>
      <x:c r="O1121" s="91"/>
      <x:c r="P1121" s="91"/>
      <x:c r="Q1121" s="85"/>
      <x:c r="R1121" s="85"/>
      <x:c r="S1121" s="85"/>
      <x:c r="T1121" s="85"/>
      <x:c r="U1121" s="85"/>
      <x:c r="V1121" s="85"/>
      <x:c r="W1121" s="85"/>
      <x:c r="Y1121" s="86"/>
      <x:c r="Z1121" s="86"/>
      <x:c r="AA1121" s="32"/>
    </x:row>
    <x:row r="1122">
      <x:c r="A1122" s="87"/>
      <x:c r="B1122" s="88"/>
      <x:c r="D1122" s="32"/>
      <x:c r="I1122" s="74"/>
      <x:c r="J1122" s="74"/>
      <x:c r="K1122" s="74"/>
      <x:c r="L1122" s="74"/>
      <x:c r="M1122" s="74"/>
      <x:c r="N1122" s="74"/>
      <x:c r="O1122" s="91"/>
      <x:c r="P1122" s="91"/>
      <x:c r="Q1122" s="85"/>
      <x:c r="R1122" s="85"/>
      <x:c r="S1122" s="85"/>
      <x:c r="T1122" s="85"/>
      <x:c r="U1122" s="85"/>
      <x:c r="V1122" s="85"/>
      <x:c r="W1122" s="85"/>
      <x:c r="Y1122" s="86"/>
      <x:c r="Z1122" s="86"/>
      <x:c r="AA1122" s="32"/>
    </x:row>
    <x:row r="1123">
      <x:c r="A1123" s="87"/>
      <x:c r="B1123" s="88"/>
      <x:c r="D1123" s="32"/>
      <x:c r="I1123" s="74"/>
      <x:c r="J1123" s="74"/>
      <x:c r="K1123" s="74"/>
      <x:c r="L1123" s="74"/>
      <x:c r="M1123" s="74"/>
      <x:c r="N1123" s="74"/>
      <x:c r="O1123" s="91"/>
      <x:c r="P1123" s="91"/>
      <x:c r="Q1123" s="85"/>
      <x:c r="R1123" s="85"/>
      <x:c r="S1123" s="85"/>
      <x:c r="T1123" s="85"/>
      <x:c r="U1123" s="85"/>
      <x:c r="V1123" s="85"/>
      <x:c r="W1123" s="85"/>
      <x:c r="Y1123" s="86"/>
      <x:c r="Z1123" s="86"/>
      <x:c r="AA1123" s="32"/>
    </x:row>
    <x:row r="1124">
      <x:c r="A1124" s="87"/>
      <x:c r="B1124" s="88"/>
      <x:c r="D1124" s="32"/>
      <x:c r="I1124" s="74"/>
      <x:c r="J1124" s="74"/>
      <x:c r="K1124" s="74"/>
      <x:c r="L1124" s="74"/>
      <x:c r="M1124" s="74"/>
      <x:c r="N1124" s="74"/>
      <x:c r="O1124" s="91"/>
      <x:c r="P1124" s="91"/>
      <x:c r="Q1124" s="85"/>
      <x:c r="R1124" s="85"/>
      <x:c r="S1124" s="85"/>
      <x:c r="T1124" s="85"/>
      <x:c r="U1124" s="85"/>
      <x:c r="V1124" s="85"/>
      <x:c r="W1124" s="85"/>
      <x:c r="Y1124" s="86"/>
      <x:c r="Z1124" s="86"/>
      <x:c r="AA1124" s="32"/>
    </x:row>
    <x:row r="1125">
      <x:c r="A1125" s="87"/>
      <x:c r="B1125" s="88"/>
      <x:c r="D1125" s="32"/>
      <x:c r="I1125" s="74"/>
      <x:c r="J1125" s="74"/>
      <x:c r="K1125" s="74"/>
      <x:c r="L1125" s="74"/>
      <x:c r="M1125" s="74"/>
      <x:c r="N1125" s="74"/>
      <x:c r="O1125" s="91"/>
      <x:c r="P1125" s="91"/>
      <x:c r="Q1125" s="85"/>
      <x:c r="R1125" s="85"/>
      <x:c r="S1125" s="85"/>
      <x:c r="T1125" s="85"/>
      <x:c r="U1125" s="85"/>
      <x:c r="V1125" s="85"/>
      <x:c r="W1125" s="85"/>
      <x:c r="Y1125" s="86"/>
      <x:c r="Z1125" s="86"/>
      <x:c r="AA1125" s="32"/>
    </x:row>
    <x:row r="1126">
      <x:c r="A1126" s="87"/>
      <x:c r="B1126" s="88"/>
      <x:c r="D1126" s="32"/>
      <x:c r="I1126" s="74"/>
      <x:c r="J1126" s="74"/>
      <x:c r="K1126" s="74"/>
      <x:c r="L1126" s="74"/>
      <x:c r="M1126" s="74"/>
      <x:c r="N1126" s="74"/>
      <x:c r="O1126" s="91"/>
      <x:c r="P1126" s="91"/>
      <x:c r="Q1126" s="85"/>
      <x:c r="R1126" s="85"/>
      <x:c r="S1126" s="85"/>
      <x:c r="T1126" s="85"/>
      <x:c r="U1126" s="85"/>
      <x:c r="V1126" s="85"/>
      <x:c r="W1126" s="85"/>
      <x:c r="Y1126" s="86"/>
      <x:c r="Z1126" s="86"/>
      <x:c r="AA1126" s="32"/>
    </x:row>
    <x:row r="1127">
      <x:c r="A1127" s="87"/>
      <x:c r="B1127" s="88"/>
      <x:c r="D1127" s="32"/>
      <x:c r="I1127" s="74"/>
      <x:c r="J1127" s="74"/>
      <x:c r="K1127" s="74"/>
      <x:c r="L1127" s="74"/>
      <x:c r="M1127" s="74"/>
      <x:c r="N1127" s="74"/>
      <x:c r="O1127" s="91"/>
      <x:c r="P1127" s="91"/>
      <x:c r="Q1127" s="85"/>
      <x:c r="R1127" s="85"/>
      <x:c r="S1127" s="85"/>
      <x:c r="T1127" s="85"/>
      <x:c r="U1127" s="85"/>
      <x:c r="V1127" s="85"/>
      <x:c r="W1127" s="85"/>
      <x:c r="Y1127" s="86"/>
      <x:c r="Z1127" s="86"/>
      <x:c r="AA1127" s="32"/>
    </x:row>
    <x:row r="1128">
      <x:c r="A1128" s="87"/>
      <x:c r="B1128" s="88"/>
      <x:c r="D1128" s="32"/>
      <x:c r="I1128" s="74"/>
      <x:c r="J1128" s="74"/>
      <x:c r="K1128" s="74"/>
      <x:c r="L1128" s="74"/>
      <x:c r="M1128" s="74"/>
      <x:c r="N1128" s="74"/>
      <x:c r="O1128" s="91"/>
      <x:c r="P1128" s="91"/>
      <x:c r="Q1128" s="85"/>
      <x:c r="R1128" s="85"/>
      <x:c r="S1128" s="85"/>
      <x:c r="T1128" s="85"/>
      <x:c r="U1128" s="85"/>
      <x:c r="V1128" s="85"/>
      <x:c r="W1128" s="85"/>
      <x:c r="Y1128" s="86"/>
      <x:c r="Z1128" s="86"/>
      <x:c r="AA1128" s="32"/>
    </x:row>
    <x:row r="1129">
      <x:c r="A1129" s="87"/>
      <x:c r="B1129" s="88"/>
      <x:c r="D1129" s="32"/>
      <x:c r="I1129" s="74"/>
      <x:c r="J1129" s="74"/>
      <x:c r="K1129" s="74"/>
      <x:c r="L1129" s="74"/>
      <x:c r="M1129" s="74"/>
      <x:c r="N1129" s="74"/>
      <x:c r="O1129" s="91"/>
      <x:c r="P1129" s="91"/>
      <x:c r="Q1129" s="85"/>
      <x:c r="R1129" s="85"/>
      <x:c r="S1129" s="85"/>
      <x:c r="T1129" s="85"/>
      <x:c r="U1129" s="85"/>
      <x:c r="V1129" s="85"/>
      <x:c r="W1129" s="85"/>
      <x:c r="Y1129" s="86"/>
      <x:c r="Z1129" s="86"/>
      <x:c r="AA1129" s="32"/>
    </x:row>
    <x:row r="1130">
      <x:c r="A1130" s="87"/>
      <x:c r="B1130" s="88"/>
      <x:c r="D1130" s="32"/>
      <x:c r="I1130" s="74"/>
      <x:c r="J1130" s="74"/>
      <x:c r="K1130" s="74"/>
      <x:c r="L1130" s="74"/>
      <x:c r="M1130" s="74"/>
      <x:c r="N1130" s="74"/>
      <x:c r="O1130" s="91"/>
      <x:c r="P1130" s="91"/>
      <x:c r="Q1130" s="85"/>
      <x:c r="R1130" s="85"/>
      <x:c r="S1130" s="85"/>
      <x:c r="T1130" s="85"/>
      <x:c r="U1130" s="85"/>
      <x:c r="V1130" s="85"/>
      <x:c r="W1130" s="85"/>
      <x:c r="Y1130" s="86"/>
      <x:c r="Z1130" s="86"/>
      <x:c r="AA1130" s="32"/>
    </x:row>
    <x:row r="1131">
      <x:c r="A1131" s="87"/>
      <x:c r="B1131" s="88"/>
      <x:c r="D1131" s="32"/>
      <x:c r="I1131" s="74"/>
      <x:c r="J1131" s="74"/>
      <x:c r="K1131" s="74"/>
      <x:c r="L1131" s="74"/>
      <x:c r="M1131" s="74"/>
      <x:c r="N1131" s="74"/>
      <x:c r="O1131" s="91"/>
      <x:c r="P1131" s="91"/>
      <x:c r="Q1131" s="85"/>
      <x:c r="R1131" s="85"/>
      <x:c r="S1131" s="85"/>
      <x:c r="T1131" s="85"/>
      <x:c r="U1131" s="85"/>
      <x:c r="V1131" s="85"/>
      <x:c r="W1131" s="85"/>
      <x:c r="Y1131" s="86"/>
      <x:c r="Z1131" s="86"/>
      <x:c r="AA1131" s="32"/>
    </x:row>
    <x:row r="1132">
      <x:c r="A1132" s="87"/>
      <x:c r="B1132" s="88"/>
      <x:c r="D1132" s="32"/>
      <x:c r="I1132" s="74"/>
      <x:c r="J1132" s="74"/>
      <x:c r="K1132" s="74"/>
      <x:c r="L1132" s="74"/>
      <x:c r="M1132" s="74"/>
      <x:c r="N1132" s="74"/>
      <x:c r="O1132" s="91"/>
      <x:c r="P1132" s="91"/>
      <x:c r="Q1132" s="85"/>
      <x:c r="R1132" s="85"/>
      <x:c r="S1132" s="85"/>
      <x:c r="T1132" s="85"/>
      <x:c r="U1132" s="85"/>
      <x:c r="V1132" s="85"/>
      <x:c r="W1132" s="85"/>
      <x:c r="Y1132" s="86"/>
      <x:c r="Z1132" s="86"/>
      <x:c r="AA1132" s="32"/>
    </x:row>
    <x:row r="1133">
      <x:c r="A1133" s="87"/>
      <x:c r="B1133" s="88"/>
      <x:c r="D1133" s="32"/>
      <x:c r="I1133" s="74"/>
      <x:c r="J1133" s="74"/>
      <x:c r="K1133" s="74"/>
      <x:c r="L1133" s="74"/>
      <x:c r="M1133" s="74"/>
      <x:c r="N1133" s="74"/>
      <x:c r="O1133" s="91"/>
      <x:c r="P1133" s="91"/>
      <x:c r="Q1133" s="85"/>
      <x:c r="R1133" s="85"/>
      <x:c r="S1133" s="85"/>
      <x:c r="T1133" s="85"/>
      <x:c r="U1133" s="85"/>
      <x:c r="V1133" s="85"/>
      <x:c r="W1133" s="85"/>
      <x:c r="Y1133" s="86"/>
      <x:c r="Z1133" s="86"/>
      <x:c r="AA1133" s="32"/>
    </x:row>
    <x:row r="1134">
      <x:c r="A1134" s="87"/>
      <x:c r="B1134" s="88"/>
      <x:c r="D1134" s="32"/>
      <x:c r="I1134" s="74"/>
      <x:c r="J1134" s="74"/>
      <x:c r="K1134" s="74"/>
      <x:c r="L1134" s="74"/>
      <x:c r="M1134" s="74"/>
      <x:c r="N1134" s="74"/>
      <x:c r="O1134" s="91"/>
      <x:c r="P1134" s="91"/>
      <x:c r="Q1134" s="85"/>
      <x:c r="R1134" s="85"/>
      <x:c r="S1134" s="85"/>
      <x:c r="T1134" s="85"/>
      <x:c r="U1134" s="85"/>
      <x:c r="V1134" s="85"/>
      <x:c r="W1134" s="85"/>
      <x:c r="Y1134" s="86"/>
      <x:c r="Z1134" s="86"/>
      <x:c r="AA1134" s="32"/>
    </x:row>
    <x:row r="1135">
      <x:c r="A1135" s="87"/>
      <x:c r="B1135" s="88"/>
      <x:c r="D1135" s="32"/>
      <x:c r="I1135" s="74"/>
      <x:c r="J1135" s="74"/>
      <x:c r="K1135" s="74"/>
      <x:c r="L1135" s="74"/>
      <x:c r="M1135" s="74"/>
      <x:c r="N1135" s="74"/>
      <x:c r="O1135" s="91"/>
      <x:c r="P1135" s="91"/>
      <x:c r="Q1135" s="85"/>
      <x:c r="R1135" s="85"/>
      <x:c r="S1135" s="85"/>
      <x:c r="T1135" s="85"/>
      <x:c r="U1135" s="85"/>
      <x:c r="V1135" s="85"/>
      <x:c r="W1135" s="85"/>
      <x:c r="Y1135" s="86"/>
      <x:c r="Z1135" s="86"/>
      <x:c r="AA1135" s="32"/>
    </x:row>
    <x:row r="1136">
      <x:c r="A1136" s="87"/>
      <x:c r="B1136" s="88"/>
      <x:c r="D1136" s="32"/>
      <x:c r="I1136" s="74"/>
      <x:c r="J1136" s="74"/>
      <x:c r="K1136" s="74"/>
      <x:c r="L1136" s="74"/>
      <x:c r="M1136" s="74"/>
      <x:c r="N1136" s="74"/>
      <x:c r="O1136" s="91"/>
      <x:c r="P1136" s="91"/>
      <x:c r="Q1136" s="85"/>
      <x:c r="R1136" s="85"/>
      <x:c r="S1136" s="85"/>
      <x:c r="T1136" s="85"/>
      <x:c r="U1136" s="85"/>
      <x:c r="V1136" s="85"/>
      <x:c r="W1136" s="85"/>
      <x:c r="Y1136" s="86"/>
      <x:c r="Z1136" s="86"/>
      <x:c r="AA1136" s="32"/>
    </x:row>
    <x:row r="1137">
      <x:c r="A1137" s="87"/>
      <x:c r="B1137" s="88"/>
      <x:c r="D1137" s="32"/>
      <x:c r="I1137" s="74"/>
      <x:c r="J1137" s="74"/>
      <x:c r="K1137" s="74"/>
      <x:c r="L1137" s="74"/>
      <x:c r="M1137" s="74"/>
      <x:c r="N1137" s="74"/>
      <x:c r="O1137" s="91"/>
      <x:c r="P1137" s="91"/>
      <x:c r="Q1137" s="85"/>
      <x:c r="R1137" s="85"/>
      <x:c r="S1137" s="85"/>
      <x:c r="T1137" s="85"/>
      <x:c r="U1137" s="85"/>
      <x:c r="V1137" s="85"/>
      <x:c r="W1137" s="85"/>
      <x:c r="Y1137" s="86"/>
      <x:c r="Z1137" s="86"/>
      <x:c r="AA1137" s="32"/>
    </x:row>
  </x:sheetData>
  <x:mergeCells>
    <x:mergeCell ref="A2:B2"/>
    <x:mergeCell ref="A3:B3"/>
  </x:mergeCells>
  <x:conditionalFormatting sqref="C2:C18 D2:P3 Q2:W157 X2:Y3">
    <x:cfRule type="expression" dxfId="0" priority="1">
      <x:formula>$X2="Done"</x:formula>
    </x:cfRule>
  </x:conditionalFormatting>
  <x:conditionalFormatting sqref="C2:C18 D2:P3 Q2:W157 X2:Y3">
    <x:cfRule type="expression" dxfId="1" priority="2">
      <x:formula>AND(NOT($X2="Done"), OR(#REF!="Đã CK Anh", #REF!="Đã CK Em"))</x:formula>
    </x:cfRule>
  </x:conditionalFormatting>
  <x:conditionalFormatting sqref="O2:P3 Q2:W157">
    <x:cfRule type="expression" dxfId="1" priority="3">
      <x:formula>AND(NOT(#REF!="Done"), OR(#REF!="Đã CK Anh", #REF!="Đã CK Em"))</x:formula>
    </x:cfRule>
  </x:conditionalFormatting>
  <x:conditionalFormatting sqref="O2:P3 Q2:W157">
    <x:cfRule type="expression" dxfId="0" priority="4">
      <x:formula>#REF!="Done"</x:formula>
    </x:cfRule>
  </x:conditionalFormatting>
  <x:conditionalFormatting sqref="C2:C18 Q4:W157">
    <x:cfRule type="expression" dxfId="0" priority="5">
      <x:formula>$X2="Done"</x:formula>
    </x:cfRule>
  </x:conditionalFormatting>
  <x:conditionalFormatting sqref="C2:C18 Q4:W157">
    <x:cfRule type="expression" dxfId="1" priority="6">
      <x:formula>AND(NOT($X2="Done"), OR(#REF!="Đã CK Anh", #REF!="Đã CK Em"))</x:formula>
    </x:cfRule>
  </x:conditionalFormatting>
  <x:conditionalFormatting sqref="Q4:W157">
    <x:cfRule type="expression" dxfId="1" priority="7">
      <x:formula>AND(NOT(#REF!="Done"), OR(#REF!="Đã CK Anh", #REF!="Đã CK Em"))</x:formula>
    </x:cfRule>
  </x:conditionalFormatting>
  <x:conditionalFormatting sqref="Q4:W157">
    <x:cfRule type="expression" dxfId="0" priority="8">
      <x:formula>#REF!="Done"</x:formula>
    </x:cfRule>
  </x:conditionalFormatting>
  <x:conditionalFormatting sqref="O2:W157">
    <x:cfRule type="expression" dxfId="0" priority="9">
      <x:formula>$Z2="Done"</x:formula>
    </x:cfRule>
  </x:conditionalFormatting>
  <x:conditionalFormatting sqref="O2:W157">
    <x:cfRule type="expression" dxfId="1" priority="10">
      <x:formula>AND(NOT($Z2="Done"), OR($AA2="Đã CK Anh", $AA2="Đã CK Em"))</x:formula>
    </x:cfRule>
  </x:conditionalFormatting>
  <x:conditionalFormatting sqref="A72:A76 B72:Y73 B76:B76 C76:C87 D76:D77 A78:A78 A80:A80 A82:A157 B99:D99 W139:W140">
    <x:cfRule type="expression" dxfId="1" priority="11">
      <x:formula>AND(NOT($X72="Done"), OR($Z72="Đã CK Anh", $Z72="Đã CK Em"))</x:formula>
    </x:cfRule>
  </x:conditionalFormatting>
  <x:conditionalFormatting sqref="A72:A76 B72:Y73 B76:B76 C76:C87 D76:D77 A78:A78 A80:A80 A82:A157 B99:D99 W139:W140">
    <x:cfRule type="expression" dxfId="0" priority="12">
      <x:formula>$X72="Done"</x:formula>
    </x:cfRule>
  </x:conditionalFormatting>
  <x:conditionalFormatting sqref="A158:B159">
    <x:cfRule type="expression" dxfId="0" priority="13">
      <x:formula>$N158="Done"</x:formula>
    </x:cfRule>
  </x:conditionalFormatting>
  <x:conditionalFormatting sqref="A158:B159">
    <x:cfRule type="expression" dxfId="1" priority="14">
      <x:formula>AND(NOT($N158="Done"), OR($I158="Đã CK Anh", $I158="Đã CK Em"))</x:formula>
    </x:cfRule>
  </x:conditionalFormatting>
  <x:conditionalFormatting sqref="A2:A1137 B2:N71 O2:W1137 X2:Y71 B74:N1137 X74:Y1137">
    <x:cfRule type="expression" dxfId="0" priority="15">
      <x:formula>$X2="Done"</x:formula>
    </x:cfRule>
  </x:conditionalFormatting>
  <x:conditionalFormatting sqref="A2:A1137 B2:N71 O2:W1137 X2:Y71 B74:N1137 X74:Y1137">
    <x:cfRule type="expression" dxfId="1" priority="16">
      <x:formula>AND(NOT($X2="Done"), OR($Z2="Đã CK Anh", $Z2="Đã CK Em"))</x:formula>
    </x:cfRule>
  </x:conditionalFormatting>
  <x:dataValidations count="2">
    <x:dataValidation type="list" allowBlank="1" showErrorMessage="1" sqref="Z4:Z1137">
      <x:formula1>"Chưa CK,Đã CK Anh,Đã CK Em"</x:formula1>
    </x:dataValidation>
    <x:dataValidation type="list" allowBlank="1" showErrorMessage="1" sqref="Y4:Y1137">
      <x:formula1>"Đã tạo đơn,Đã gửi đơn,Done,Chưa lên đơn"</x:formula1>
    </x:dataValidation>
  </x:dataValidations>
  <x:hyperlinks>
    <x:hyperlink xmlns:r="http://schemas.openxmlformats.org/officeDocument/2006/relationships" ref="D4" r:id="R496523cc86c9476c"/>
    <x:hyperlink xmlns:r="http://schemas.openxmlformats.org/officeDocument/2006/relationships" ref="D5" r:id="R78db3c56e30848aa"/>
    <x:hyperlink xmlns:r="http://schemas.openxmlformats.org/officeDocument/2006/relationships" ref="D6" r:id="Rb68c24242fea4300"/>
    <x:hyperlink xmlns:r="http://schemas.openxmlformats.org/officeDocument/2006/relationships" ref="D7" r:id="Rd688dae40f2a4a1c"/>
    <x:hyperlink xmlns:r="http://schemas.openxmlformats.org/officeDocument/2006/relationships" ref="D8" r:id="Red675d22a6c1434b"/>
    <x:hyperlink xmlns:r="http://schemas.openxmlformats.org/officeDocument/2006/relationships" ref="D9" r:id="Ra97f834cbc7c4d5f"/>
    <x:hyperlink xmlns:r="http://schemas.openxmlformats.org/officeDocument/2006/relationships" ref="D10" r:id="Rd55d2fe334664b2a"/>
    <x:hyperlink xmlns:r="http://schemas.openxmlformats.org/officeDocument/2006/relationships" ref="D11" r:id="R4a80f8c902734d2b"/>
    <x:hyperlink xmlns:r="http://schemas.openxmlformats.org/officeDocument/2006/relationships" ref="D12" r:id="R10e3a15ed3a848f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7" width="12.380000114440918" customWidth="1"/>
    <x:col min="8" max="8" width="14.5" customWidth="1"/>
    <x:col min="9" max="10" width="12.380000114440918" customWidth="1"/>
    <x:col min="11" max="12" width="12.380000114440918" hidden="1" customWidth="1"/>
    <x:col min="13" max="13" width="14.880000114440918" customWidth="1"/>
    <x:col min="14" max="14" width="14.630000114440918" hidden="1" customWidth="1"/>
    <x:col min="24" max="24" width="9.880000114440918" customWidth="1"/>
    <x:col min="25" max="25" width="15.75" customWidth="1"/>
    <x:col min="26" max="26" width="18.5" customWidth="1"/>
  </x:cols>
  <x:sheetData>
    <x:row r="1" ht="21" customHeight="1">
      <x:c r="A1" s="1" t="s">
        <x:v>0</x:v>
      </x:c>
      <x:c r="B1" s="2" t="s">
        <x:v>1</x:v>
      </x:c>
      <x:c r="C1" s="1" t="s">
        <x:v>2</x:v>
      </x:c>
      <x:c r="D1" s="3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1" t="s">
        <x:v>14</x:v>
      </x:c>
      <x:c r="P1" s="1" t="s">
        <x:v>15</x:v>
      </x:c>
      <x:c r="Q1" s="5" t="s">
        <x:v>11</x:v>
      </x:c>
      <x:c r="R1" s="5" t="s">
        <x:v>16</x:v>
      </x:c>
      <x:c r="S1" s="5" t="s">
        <x:v>17</x:v>
      </x:c>
      <x:c r="T1" s="5" t="s">
        <x:v>18</x:v>
      </x:c>
      <x:c r="U1" s="5" t="s">
        <x:v>19</x:v>
      </x:c>
      <x:c r="V1" s="5" t="s">
        <x:v>20</x:v>
      </x:c>
      <x:c r="W1" s="5" t="s">
        <x:v>21</x:v>
      </x:c>
      <x:c r="X1" s="1" t="s">
        <x:v>22</x:v>
      </x:c>
      <x:c r="Y1" s="1" t="s">
        <x:v>23</x:v>
      </x:c>
      <x:c r="Z1" s="1" t="s">
        <x:v>24</x:v>
      </x:c>
      <x:c r="AA1" s="6" t="s">
        <x:v>25</x:v>
      </x:c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  <x:c r="AO1" s="7"/>
      <x:c r="AP1" s="7"/>
    </x:row>
    <x:row r="2" ht="18.75" customHeight="1">
      <x:c r="A2" s="8" t="s">
        <x:v>26</x:v>
      </x:c>
      <x:c r="B2" s="9"/>
      <x:c r="C2" s="10"/>
      <x:c r="D2" s="11"/>
      <x:c r="E2" s="12">
        <x:v>280000.0</x:v>
      </x:c>
      <x:c r="F2" s="12">
        <x:v>280000.0</x:v>
      </x:c>
      <x:c r="G2" s="12">
        <x:v>305000.0</x:v>
      </x:c>
      <x:c r="H2" s="12">
        <x:v>280000.0</x:v>
      </x:c>
      <x:c r="I2" s="12">
        <x:v>530000.0</x:v>
      </x:c>
      <x:c r="J2" s="12">
        <x:v>500000.0</x:v>
      </x:c>
      <x:c r="K2" s="12">
        <x:v>370000.0</x:v>
      </x:c>
      <x:c r="L2" s="12">
        <x:v>615000.0</x:v>
      </x:c>
      <x:c r="M2" s="12">
        <x:v>255000.0</x:v>
      </x:c>
      <x:c r="N2" s="12">
        <x:v>245000.0</x:v>
      </x:c>
      <x:c r="O2" s="12">
        <x:v>430000.0</x:v>
      </x:c>
      <x:c r="P2" s="12">
        <x:v>350000.0</x:v>
      </x:c>
      <x:c r="Q2" s="13">
        <x:v>605000.0</x:v>
      </x:c>
      <x:c r="R2" s="13">
        <x:v>280000.0</x:v>
      </x:c>
      <x:c r="S2" s="13">
        <x:v>280000.0</x:v>
      </x:c>
      <x:c r="T2" s="13">
        <x:v>399000.0</x:v>
      </x:c>
      <x:c r="U2" s="13">
        <x:v>399000.0</x:v>
      </x:c>
      <x:c r="V2" s="13">
        <x:v>409000.0</x:v>
      </x:c>
      <x:c r="W2" s="14"/>
      <x:c r="X2" s="15"/>
      <x:c r="Y2" s="15"/>
      <x:c r="Z2" s="15"/>
      <x:c r="AA2" s="16"/>
      <x:c r="AB2" s="17"/>
      <x:c r="AC2" s="17"/>
      <x:c r="AD2" s="17"/>
      <x:c r="AE2" s="17"/>
      <x:c r="AF2" s="16"/>
      <x:c r="AG2" s="16"/>
      <x:c r="AH2" s="16"/>
      <x:c r="AI2" s="16"/>
      <x:c r="AJ2" s="16"/>
      <x:c r="AK2" s="16"/>
      <x:c r="AL2" s="16"/>
      <x:c r="AM2" s="16"/>
      <x:c r="AN2" s="16"/>
      <x:c r="AO2" s="16"/>
      <x:c r="AP2" s="16"/>
    </x:row>
    <x:row r="3" ht="18.75" customHeight="1">
      <x:c r="A3" s="8" t="s">
        <x:v>27</x:v>
      </x:c>
      <x:c r="B3" s="9"/>
      <x:c r="C3" s="10"/>
      <x:c r="D3" s="11"/>
      <x:c r="E3" s="15" t="n">
        <x:f t="shared" ref="E3:S3" si="1">E169</x:f>
        <x:v>2</x:v>
      </x:c>
      <x:c r="F3" s="15">
        <x:f t="shared" si="1"/>
        <x:v>9</x:v>
      </x:c>
      <x:c r="G3" s="15">
        <x:f t="shared" si="1"/>
        <x:v>1</x:v>
      </x:c>
      <x:c r="H3" s="12">
        <x:f t="shared" si="1"/>
        <x:v>0</x:v>
      </x:c>
      <x:c r="I3" s="12">
        <x:f t="shared" si="1"/>
        <x:v>1</x:v>
      </x:c>
      <x:c r="J3" s="12">
        <x:f t="shared" si="1"/>
        <x:v>3</x:v>
      </x:c>
      <x:c r="K3" s="12">
        <x:f t="shared" si="1"/>
        <x:v>0</x:v>
      </x:c>
      <x:c r="L3" s="18">
        <x:f t="shared" si="1"/>
        <x:v>0</x:v>
      </x:c>
      <x:c r="M3" s="12">
        <x:f t="shared" si="1"/>
        <x:v>6</x:v>
      </x:c>
      <x:c r="N3" s="18">
        <x:f t="shared" si="1"/>
        <x:v>0</x:v>
      </x:c>
      <x:c r="O3" s="12">
        <x:f t="shared" si="1"/>
        <x:v>3</x:v>
      </x:c>
      <x:c r="P3" s="12">
        <x:f t="shared" si="1"/>
        <x:v>0</x:v>
      </x:c>
      <x:c r="Q3" s="18">
        <x:f t="shared" si="1"/>
        <x:v>3</x:v>
      </x:c>
      <x:c r="R3" s="12">
        <x:f t="shared" si="1"/>
        <x:v>20</x:v>
      </x:c>
      <x:c r="S3" s="18">
        <x:f t="shared" si="1"/>
        <x:v>0</x:v>
      </x:c>
      <x:c r="T3" s="15"/>
      <x:c r="U3" s="15"/>
      <x:c r="V3" s="15"/>
      <x:c r="W3" s="14"/>
      <x:c r="X3" s="15"/>
      <x:c r="Y3" s="15"/>
      <x:c r="Z3" s="15"/>
      <x:c r="AA3" s="16"/>
      <x:c r="AB3" s="17"/>
      <x:c r="AC3" s="17"/>
      <x:c r="AD3" s="17"/>
      <x:c r="AE3" s="17"/>
      <x:c r="AF3" s="16"/>
      <x:c r="AG3" s="16"/>
      <x:c r="AH3" s="16"/>
      <x:c r="AI3" s="16"/>
      <x:c r="AJ3" s="16"/>
      <x:c r="AK3" s="16"/>
      <x:c r="AL3" s="16"/>
      <x:c r="AM3" s="16"/>
      <x:c r="AN3" s="16"/>
      <x:c r="AO3" s="16"/>
      <x:c r="AP3" s="16"/>
    </x:row>
    <x:row r="4" ht="18.75" customHeight="1">
      <x:c r="A4" s="19">
        <x:v>1.0</x:v>
      </x:c>
      <x:c r="B4" s="20" t="s">
        <x:v>52</x:v>
      </x:c>
      <x:c r="C4" s="21">
        <x:v>46117.0</x:v>
      </x:c>
      <x:c r="D4" s="22" t="s">
        <x:v>53</x:v>
      </x:c>
      <x:c r="E4" s="23"/>
      <x:c r="F4" s="23"/>
      <x:c r="G4" s="23"/>
      <x:c r="H4" s="24"/>
      <x:c r="I4" s="24"/>
      <x:c r="J4" s="24"/>
      <x:c r="K4" s="24"/>
      <x:c r="L4" s="24"/>
      <x:c r="M4" s="24"/>
      <x:c r="N4" s="24"/>
      <x:c r="O4" s="24"/>
      <x:c r="P4" s="25"/>
      <x:c r="Q4" s="24">
        <x:v>2.0</x:v>
      </x:c>
      <x:c r="R4" s="25"/>
      <x:c r="S4" s="25"/>
      <x:c r="T4" s="24"/>
      <x:c r="U4" s="25"/>
      <x:c r="V4" s="25"/>
      <x:c r="W4" s="26" t="n">
        <x:f>SUMPRODUCT(G4:V4,$G$2:$V$2)</x:f>
        <x:v>1210000</x:v>
      </x:c>
      <x:c r="X4" s="23" t="s">
        <x:v>37</x:v>
      </x:c>
      <x:c r="Y4" s="23"/>
      <x:c r="Z4" s="27" t="s">
        <x:v>31</x:v>
      </x:c>
      <x:c r="AB4" s="28" t="s">
        <x:v>34</x:v>
      </x:c>
      <x:c r="AC4" s="28" t="s">
        <x:v>31</x:v>
      </x:c>
      <x:c r="AD4" s="28" t="s">
        <x:v>54</x:v>
      </x:c>
      <x:c r="AE4" s="28" t="s">
        <x:v>55</x:v>
      </x:c>
    </x:row>
    <x:row r="5">
      <x:c r="A5" s="19">
        <x:v>2.0</x:v>
      </x:c>
      <x:c r="B5" s="30" t="s">
        <x:v>56</x:v>
      </x:c>
      <x:c r="C5" s="21">
        <x:v>46128.0</x:v>
      </x:c>
      <x:c r="D5" s="22" t="s">
        <x:v>57</x:v>
      </x:c>
      <x:c r="E5" s="23"/>
      <x:c r="F5" s="23"/>
      <x:c r="G5" s="23"/>
      <x:c r="H5" s="24"/>
      <x:c r="I5" s="24"/>
      <x:c r="J5" s="24"/>
      <x:c r="K5" s="24"/>
      <x:c r="L5" s="24"/>
      <x:c r="M5" s="24"/>
      <x:c r="N5" s="24"/>
      <x:c r="O5" s="25"/>
      <x:c r="P5" s="25"/>
      <x:c r="Q5" s="24">
        <x:v>1.0</x:v>
      </x:c>
      <x:c r="R5" s="25"/>
      <x:c r="S5" s="25"/>
      <x:c r="T5" s="25"/>
      <x:c r="U5" s="25"/>
      <x:c r="V5" s="25"/>
      <x:c r="W5" s="26" t="n">
        <x:f>SUMPRODUCT(G5:V5,$G$2:$V$2) - 5000</x:f>
        <x:v>600000</x:v>
      </x:c>
      <x:c r="X5" s="23" t="s">
        <x:v>37</x:v>
      </x:c>
      <x:c r="Y5" s="23"/>
      <x:c r="Z5" s="23" t="s">
        <x:v>31</x:v>
      </x:c>
      <x:c r="AB5" s="31" t="n">
        <x:f>SUMIF(Z4:Z1117, "Đã CK Anh", W4:W1117)</x:f>
        <x:v>7023000</x:v>
      </x:c>
      <x:c r="AC5" s="31" t="n">
        <x:f>SUMIF(Z4:Z1117, "Đã CK Em", W4:W1117)</x:f>
        <x:v>8407000</x:v>
      </x:c>
      <x:c r="AD5" s="31" t="n">
        <x:f>AB5+AC5</x:f>
        <x:v>15430000</x:v>
      </x:c>
      <x:c r="AE5" s="31" t="n">
        <x:f>SUMIF(Z4:Z1117, "Chưa CK", W4:W1117)</x:f>
        <x:v>0</x:v>
      </x:c>
    </x:row>
    <x:row r="6" ht="18.75" customHeight="1">
      <x:c r="A6" s="19">
        <x:v>3.0</x:v>
      </x:c>
      <x:c r="B6" s="20" t="s">
        <x:v>58</x:v>
      </x:c>
      <x:c r="C6" s="21">
        <x:v>46132.0</x:v>
      </x:c>
      <x:c r="D6" s="35"/>
      <x:c r="E6" s="23">
        <x:v>1.0</x:v>
      </x:c>
      <x:c r="F6" s="23">
        <x:v>1.0</x:v>
      </x:c>
      <x:c r="G6" s="23"/>
      <x:c r="H6" s="24"/>
      <x:c r="I6" s="24"/>
      <x:c r="J6" s="24"/>
      <x:c r="K6" s="24"/>
      <x:c r="L6" s="24"/>
      <x:c r="M6" s="24">
        <x:v>2.0</x:v>
      </x:c>
      <x:c r="N6" s="24"/>
      <x:c r="O6" s="25"/>
      <x:c r="P6" s="25"/>
      <x:c r="Q6" s="25"/>
      <x:c r="R6" s="25"/>
      <x:c r="S6" s="25"/>
      <x:c r="T6" s="25"/>
      <x:c r="U6" s="25"/>
      <x:c r="V6" s="25"/>
      <x:c r="W6" s="26" t="n">
        <x:f>SUMPRODUCT(E6:V6,E$2:$V$2)-107000</x:f>
        <x:v>963000</x:v>
      </x:c>
      <x:c r="X6" s="23" t="s">
        <x:v>37</x:v>
      </x:c>
      <x:c r="Y6" s="23"/>
      <x:c r="Z6" s="23" t="s">
        <x:v>34</x:v>
      </x:c>
    </x:row>
    <x:row r="7" ht="18.75" customHeight="1">
      <x:c r="A7" s="19">
        <x:v>4.0</x:v>
      </x:c>
      <x:c r="B7" s="20" t="s">
        <x:v>59</x:v>
      </x:c>
      <x:c r="C7" s="21">
        <x:v>46178.0</x:v>
      </x:c>
      <x:c r="D7" s="22" t="s">
        <x:v>60</x:v>
      </x:c>
      <x:c r="E7" s="23"/>
      <x:c r="F7" s="23"/>
      <x:c r="G7" s="23"/>
      <x:c r="H7" s="24"/>
      <x:c r="I7" s="24"/>
      <x:c r="J7" s="24">
        <x:v>1.0</x:v>
      </x:c>
      <x:c r="K7" s="24"/>
      <x:c r="L7" s="24"/>
      <x:c r="M7" s="24"/>
      <x:c r="N7" s="24"/>
      <x:c r="O7" s="25"/>
      <x:c r="P7" s="25"/>
      <x:c r="Q7" s="25"/>
      <x:c r="R7" s="25"/>
      <x:c r="S7" s="25"/>
      <x:c r="T7" s="25"/>
      <x:c r="U7" s="25"/>
      <x:c r="V7" s="25"/>
      <x:c r="W7" s="26" t="n">
        <x:f>SUMPRODUCT(G7:V7,$G$2:$V$2)</x:f>
        <x:v>500000</x:v>
      </x:c>
      <x:c r="X7" s="23" t="s">
        <x:v>37</x:v>
      </x:c>
      <x:c r="Y7" s="23"/>
      <x:c r="Z7" s="23" t="s">
        <x:v>31</x:v>
      </x:c>
    </x:row>
    <x:row r="8" ht="18.75" customHeight="1">
      <x:c r="A8" s="19">
        <x:v>5.0</x:v>
      </x:c>
      <x:c r="B8" s="29" t="s">
        <x:v>61</x:v>
      </x:c>
      <x:c r="C8" s="21">
        <x:v>46182.0</x:v>
      </x:c>
      <x:c r="D8" s="22" t="s">
        <x:v>62</x:v>
      </x:c>
      <x:c r="E8" s="23"/>
      <x:c r="F8" s="23">
        <x:v>3.0</x:v>
      </x:c>
      <x:c r="G8" s="23"/>
      <x:c r="H8" s="24"/>
      <x:c r="I8" s="24"/>
      <x:c r="J8" s="24"/>
      <x:c r="K8" s="24"/>
      <x:c r="L8" s="24"/>
      <x:c r="M8" s="24"/>
      <x:c r="N8" s="24"/>
      <x:c r="O8" s="24"/>
      <x:c r="P8" s="24"/>
      <x:c r="Q8" s="25"/>
      <x:c r="R8" s="25"/>
      <x:c r="S8" s="25"/>
      <x:c r="T8" s="25"/>
      <x:c r="U8" s="25"/>
      <x:c r="V8" s="25"/>
      <x:c r="W8" s="26" t="n">
        <x:f t="shared" ref="W8:W15" si="2">SUMPRODUCT(E8:V8,$E$2:$V$2)</x:f>
        <x:v>840000</x:v>
      </x:c>
      <x:c r="X8" s="23" t="s">
        <x:v>37</x:v>
      </x:c>
      <x:c r="Y8" s="23"/>
      <x:c r="Z8" s="23" t="s">
        <x:v>31</x:v>
      </x:c>
    </x:row>
    <x:row r="9" ht="18.75" customHeight="1">
      <x:c r="A9" s="19">
        <x:v>6.0</x:v>
      </x:c>
      <x:c r="B9" s="29" t="s">
        <x:v>28</x:v>
      </x:c>
      <x:c r="C9" s="21">
        <x:v>46197.0</x:v>
      </x:c>
      <x:c r="D9" s="22" t="s">
        <x:v>29</x:v>
      </x:c>
      <x:c r="E9" s="23">
        <x:v>1.0</x:v>
      </x:c>
      <x:c r="F9" s="23"/>
      <x:c r="G9" s="23"/>
      <x:c r="H9" s="24"/>
      <x:c r="I9" s="25"/>
      <x:c r="J9" s="24">
        <x:v>1.0</x:v>
      </x:c>
      <x:c r="K9" s="25"/>
      <x:c r="L9" s="24"/>
      <x:c r="M9" s="24">
        <x:v>1.0</x:v>
      </x:c>
      <x:c r="N9" s="25"/>
      <x:c r="O9" s="24">
        <x:v>1.0</x:v>
      </x:c>
      <x:c r="P9" s="24"/>
      <x:c r="Q9" s="24"/>
      <x:c r="R9" s="24"/>
      <x:c r="S9" s="24"/>
      <x:c r="T9" s="24"/>
      <x:c r="U9" s="24"/>
      <x:c r="V9" s="24"/>
      <x:c r="W9" s="26">
        <x:f t="shared" si="2"/>
        <x:v>1465000</x:v>
      </x:c>
      <x:c r="X9" s="23" t="s">
        <x:v>37</x:v>
      </x:c>
      <x:c r="Y9" s="23"/>
      <x:c r="Z9" s="23" t="s">
        <x:v>31</x:v>
      </x:c>
    </x:row>
    <x:row r="10" ht="18.75" customHeight="1">
      <x:c r="A10" s="19">
        <x:v>7.0</x:v>
      </x:c>
      <x:c r="B10" s="29" t="s">
        <x:v>63</x:v>
      </x:c>
      <x:c r="C10" s="21">
        <x:v>46176.0</x:v>
      </x:c>
      <x:c r="D10" s="22" t="s">
        <x:v>64</x:v>
      </x:c>
      <x:c r="E10" s="23"/>
      <x:c r="F10" s="23">
        <x:v>2.0</x:v>
      </x:c>
      <x:c r="G10" s="23"/>
      <x:c r="H10" s="24"/>
      <x:c r="I10" s="24"/>
      <x:c r="J10" s="24"/>
      <x:c r="K10" s="24"/>
      <x:c r="L10" s="24"/>
      <x:c r="M10" s="24"/>
      <x:c r="N10" s="24"/>
      <x:c r="O10" s="25"/>
      <x:c r="P10" s="25"/>
      <x:c r="Q10" s="25"/>
      <x:c r="R10" s="25"/>
      <x:c r="S10" s="25"/>
      <x:c r="T10" s="25"/>
      <x:c r="U10" s="25"/>
      <x:c r="V10" s="25"/>
      <x:c r="W10" s="26">
        <x:f t="shared" si="2"/>
        <x:v>560000</x:v>
      </x:c>
      <x:c r="X10" s="23" t="s">
        <x:v>37</x:v>
      </x:c>
      <x:c r="Y10" s="23"/>
      <x:c r="Z10" s="23" t="s">
        <x:v>34</x:v>
      </x:c>
      <x:c r="AA10" s="39" t="s">
        <x:v>65</x:v>
      </x:c>
      <x:c r="AB10" s="34"/>
      <x:c r="AC10" s="34" t="e">
        <x:f>IFERROR(__xludf.DUMMYFUNCTION("SUM(FILTER($G$4:$P$1117, $C$4:$C$1117 = AB10))"),3110963.650012889)</x:f>
        <x:v>#NAME?</x:v>
      </x:c>
      <x:c r="AD10" s="34" t="e">
        <x:f>IFERROR(__xludf.DUMMYFUNCTION("COUNT(FILTER($C$4:$C$1117, $C$4:$C$1117 = AB10))"),0.0)</x:f>
        <x:v>#NAME?</x:v>
      </x:c>
      <x:c r="AE10" s="31" t="n">
        <x:f t="shared" ref="AE10:AE12" si="3">SUMIF($C$4:$C$1117, $AB10 , $W$4:$W$1117)</x:f>
        <x:v>30860000</x:v>
      </x:c>
    </x:row>
    <x:row r="11" ht="18.75" customHeight="1">
      <x:c r="A11" s="19">
        <x:v>8.0</x:v>
      </x:c>
      <x:c r="B11" s="29" t="s">
        <x:v>66</x:v>
      </x:c>
      <x:c r="C11" s="21">
        <x:v>46136.0</x:v>
      </x:c>
      <x:c r="D11" s="22" t="s">
        <x:v>67</x:v>
      </x:c>
      <x:c r="E11" s="23"/>
      <x:c r="F11" s="23">
        <x:v>1.0</x:v>
      </x:c>
      <x:c r="G11" s="23">
        <x:v>1.0</x:v>
      </x:c>
      <x:c r="H11" s="24"/>
      <x:c r="I11" s="25"/>
      <x:c r="J11" s="24"/>
      <x:c r="K11" s="24"/>
      <x:c r="L11" s="24"/>
      <x:c r="M11" s="24"/>
      <x:c r="N11" s="24"/>
      <x:c r="O11" s="24"/>
      <x:c r="P11" s="25"/>
      <x:c r="Q11" s="25"/>
      <x:c r="R11" s="25"/>
      <x:c r="S11" s="25"/>
      <x:c r="T11" s="25"/>
      <x:c r="U11" s="25"/>
      <x:c r="V11" s="25"/>
      <x:c r="W11" s="26">
        <x:f t="shared" si="2"/>
        <x:v>585000</x:v>
      </x:c>
      <x:c r="X11" s="23" t="s">
        <x:v>37</x:v>
      </x:c>
      <x:c r="Y11" s="23"/>
      <x:c r="Z11" s="23" t="s">
        <x:v>31</x:v>
      </x:c>
      <x:c r="AB11" s="34"/>
      <x:c r="AC11" s="34" t="e">
        <x:f>IFERROR(__xludf.DUMMYFUNCTION("SUM(FILTER($G$4:$P$1117, $C$4:$C$1117 = AB11))"),3110963.650012889)</x:f>
        <x:v>#NAME?</x:v>
      </x:c>
      <x:c r="AD11" s="34" t="e">
        <x:f>IFERROR(__xludf.DUMMYFUNCTION("COUNT(FILTER($C$4:$C$1117, $C$4:$C$1117 = AB11))"),0.0)</x:f>
        <x:v>#NAME?</x:v>
      </x:c>
      <x:c r="AE11" s="31">
        <x:f t="shared" si="3"/>
        <x:v>0</x:v>
      </x:c>
    </x:row>
    <x:row r="12" ht="18.75" customHeight="1">
      <x:c r="A12" s="19">
        <x:v>9.0</x:v>
      </x:c>
      <x:c r="B12" s="29" t="s">
        <x:v>66</x:v>
      </x:c>
      <x:c r="C12" s="21">
        <x:v>46150.0</x:v>
      </x:c>
      <x:c r="D12" s="22" t="s">
        <x:v>67</x:v>
      </x:c>
      <x:c r="E12" s="23"/>
      <x:c r="F12" s="23"/>
      <x:c r="G12" s="23"/>
      <x:c r="H12" s="24"/>
      <x:c r="I12" s="25"/>
      <x:c r="J12" s="24"/>
      <x:c r="K12" s="24"/>
      <x:c r="L12" s="25"/>
      <x:c r="M12" s="24">
        <x:v>1.0</x:v>
      </x:c>
      <x:c r="N12" s="24"/>
      <x:c r="O12" s="25"/>
      <x:c r="P12" s="25"/>
      <x:c r="Q12" s="25"/>
      <x:c r="R12" s="25"/>
      <x:c r="S12" s="25"/>
      <x:c r="T12" s="25"/>
      <x:c r="U12" s="25"/>
      <x:c r="V12" s="25"/>
      <x:c r="W12" s="26">
        <x:f t="shared" si="2"/>
        <x:v>255000</x:v>
      </x:c>
      <x:c r="X12" s="23" t="s">
        <x:v>37</x:v>
      </x:c>
      <x:c r="Y12" s="23"/>
      <x:c r="Z12" s="23" t="s">
        <x:v>31</x:v>
      </x:c>
      <x:c r="AB12" s="34"/>
      <x:c r="AC12" s="34" t="e">
        <x:f>IFERROR(__xludf.DUMMYFUNCTION("SUM(FILTER($G$4:$P$1117, $C$4:$C$1117 = AB12))"),3110963.650012889)</x:f>
        <x:v>#NAME?</x:v>
      </x:c>
      <x:c r="AD12" s="34" t="e">
        <x:f>IFERROR(__xludf.DUMMYFUNCTION("COUNT(FILTER($C$4:$C$1117, $C$4:$C$1117 = AB12))"),0.0)</x:f>
        <x:v>#NAME?</x:v>
      </x:c>
      <x:c r="AE12" s="31">
        <x:f t="shared" si="3"/>
        <x:v>0</x:v>
      </x:c>
    </x:row>
    <x:row r="13" ht="18.75" customHeight="1">
      <x:c r="A13" s="19">
        <x:v>10.0</x:v>
      </x:c>
      <x:c r="B13" s="29" t="s">
        <x:v>68</x:v>
      </x:c>
      <x:c r="C13" s="21">
        <x:v>46206.0</x:v>
      </x:c>
      <x:c r="D13" s="22" t="s">
        <x:v>69</x:v>
      </x:c>
      <x:c r="E13" s="23"/>
      <x:c r="F13" s="23"/>
      <x:c r="G13" s="23"/>
      <x:c r="H13" s="24"/>
      <x:c r="I13" s="25"/>
      <x:c r="J13" s="24"/>
      <x:c r="K13" s="24"/>
      <x:c r="L13" s="24"/>
      <x:c r="M13" s="24">
        <x:v>1.0</x:v>
      </x:c>
      <x:c r="N13" s="24"/>
      <x:c r="O13" s="24">
        <x:v>1.0</x:v>
      </x:c>
      <x:c r="P13" s="25"/>
      <x:c r="Q13" s="25"/>
      <x:c r="R13" s="25"/>
      <x:c r="S13" s="25"/>
      <x:c r="T13" s="25"/>
      <x:c r="U13" s="25"/>
      <x:c r="V13" s="25"/>
      <x:c r="W13" s="26">
        <x:f t="shared" si="2"/>
        <x:v>685000</x:v>
      </x:c>
      <x:c r="X13" s="23" t="s">
        <x:v>37</x:v>
      </x:c>
      <x:c r="Y13" s="23"/>
      <x:c r="Z13" s="23" t="s">
        <x:v>31</x:v>
      </x:c>
      <x:c r="AB13" s="37"/>
      <x:c r="AC13" s="37"/>
      <x:c r="AD13" s="37"/>
      <x:c r="AE13" s="37"/>
    </x:row>
    <x:row r="14" ht="18.75" customHeight="1">
      <x:c r="A14" s="19">
        <x:v>11.0</x:v>
      </x:c>
      <x:c r="B14" s="29" t="s">
        <x:v>70</x:v>
      </x:c>
      <x:c r="C14" s="21">
        <x:v>46213.0</x:v>
      </x:c>
      <x:c r="D14" s="22" t="s">
        <x:v>71</x:v>
      </x:c>
      <x:c r="E14" s="23"/>
      <x:c r="F14" s="23"/>
      <x:c r="G14" s="23"/>
      <x:c r="H14" s="24"/>
      <x:c r="I14" s="24"/>
      <x:c r="J14" s="24">
        <x:v>1.0</x:v>
      </x:c>
      <x:c r="K14" s="24"/>
      <x:c r="L14" s="24"/>
      <x:c r="M14" s="24"/>
      <x:c r="N14" s="24"/>
      <x:c r="O14" s="24"/>
      <x:c r="P14" s="25"/>
      <x:c r="Q14" s="25"/>
      <x:c r="R14" s="25"/>
      <x:c r="S14" s="25"/>
      <x:c r="T14" s="25"/>
      <x:c r="U14" s="25"/>
      <x:c r="V14" s="25"/>
      <x:c r="W14" s="26">
        <x:f t="shared" si="2"/>
        <x:v>500000</x:v>
      </x:c>
      <x:c r="X14" s="23" t="s">
        <x:v>37</x:v>
      </x:c>
      <x:c r="Y14" s="23"/>
      <x:c r="Z14" s="23" t="s">
        <x:v>31</x:v>
      </x:c>
      <x:c r="AB14" s="33" t="n" cm="1">
        <x:f t="array" ref="AB14:AB22">_xlfn._xlws.SORT(_xlfn.UNIQUE(C9:C1120))</x:f>
        <x:v>46136</x:v>
      </x:c>
      <x:c r="AC14" s="34" t="e">
        <x:f>IFERROR(__xludf.DUMMYFUNCTION("SUM(FILTER($G$4:$P$1117, $C$4:$C$1117 = AB14))"),1.0)</x:f>
        <x:v>#NAME?</x:v>
      </x:c>
      <x:c r="AD14" s="34" t="e">
        <x:f>IFERROR(__xludf.DUMMYFUNCTION("COUNT(FILTER($C$4:$C$1117, $C$4:$C$1117 = AB14))"),1.0)</x:f>
        <x:v>#NAME?</x:v>
      </x:c>
      <x:c r="AE14" s="31" t="n">
        <x:f t="shared" ref="AE14:AE16" si="4">SUMIF($C$4:$C$1117, $AB14 , $W$4:$W$1117)</x:f>
        <x:v>585000</x:v>
      </x:c>
    </x:row>
    <x:row r="15" ht="18.75" customHeight="1">
      <x:c r="A15" s="19">
        <x:v>12.0</x:v>
      </x:c>
      <x:c r="B15" s="29" t="s">
        <x:v>28</x:v>
      </x:c>
      <x:c r="C15" s="21">
        <x:v>46224.0</x:v>
      </x:c>
      <x:c r="D15" s="35"/>
      <x:c r="E15" s="23"/>
      <x:c r="F15" s="23"/>
      <x:c r="G15" s="23"/>
      <x:c r="H15" s="24"/>
      <x:c r="I15" s="24">
        <x:v>1.0</x:v>
      </x:c>
      <x:c r="J15" s="24"/>
      <x:c r="K15" s="24"/>
      <x:c r="L15" s="24"/>
      <x:c r="M15" s="24"/>
      <x:c r="N15" s="24"/>
      <x:c r="O15" s="24">
        <x:v>1.0</x:v>
      </x:c>
      <x:c r="P15" s="25"/>
      <x:c r="Q15" s="25"/>
      <x:c r="R15" s="24"/>
      <x:c r="S15" s="25"/>
      <x:c r="T15" s="25"/>
      <x:c r="U15" s="25"/>
      <x:c r="V15" s="25"/>
      <x:c r="W15" s="26">
        <x:f t="shared" si="2"/>
        <x:v>960000</x:v>
      </x:c>
      <x:c r="X15" s="23"/>
      <x:c r="Y15" s="23" t="s">
        <x:v>30</x:v>
      </x:c>
      <x:c r="Z15" s="23" t="s">
        <x:v>31</x:v>
      </x:c>
      <x:c r="AA15" s="32"/>
      <x:c r="AB15" s="33" t="n">
        <x:v>46150</x:v>
      </x:c>
      <x:c r="AC15" s="34" t="e">
        <x:f>IFERROR(__xludf.DUMMYFUNCTION("SUM(FILTER($G$4:$P$1117, $C$4:$C$1117 = AB15))"),1.0)</x:f>
        <x:v>#NAME?</x:v>
      </x:c>
      <x:c r="AD15" s="34" t="e">
        <x:f>IFERROR(__xludf.DUMMYFUNCTION("COUNT(FILTER($C$4:$C$1117, $C$4:$C$1117 = AB15))"),1.0)</x:f>
        <x:v>#NAME?</x:v>
      </x:c>
      <x:c r="AE15" s="31">
        <x:f t="shared" si="4"/>
        <x:v>255000</x:v>
      </x:c>
    </x:row>
    <x:row r="16">
      <x:c r="A16" s="19">
        <x:v>13.0</x:v>
      </x:c>
      <x:c r="B16" s="29" t="s">
        <x:v>32</x:v>
      </x:c>
      <x:c r="C16" s="21">
        <x:v>46224.0</x:v>
      </x:c>
      <x:c r="D16" s="22" t="s">
        <x:v>33</x:v>
      </x:c>
      <x:c r="E16" s="23"/>
      <x:c r="F16" s="23"/>
      <x:c r="G16" s="23"/>
      <x:c r="H16" s="24"/>
      <x:c r="I16" s="24"/>
      <x:c r="J16" s="24"/>
      <x:c r="K16" s="24"/>
      <x:c r="L16" s="24"/>
      <x:c r="M16" s="24"/>
      <x:c r="N16" s="24"/>
      <x:c r="O16" s="24"/>
      <x:c r="P16" s="25"/>
      <x:c r="Q16" s="25"/>
      <x:c r="R16" s="24">
        <x:v>20.0</x:v>
      </x:c>
      <x:c r="S16" s="25"/>
      <x:c r="T16" s="25"/>
      <x:c r="U16" s="25"/>
      <x:c r="V16" s="25"/>
      <x:c r="W16" s="26" t="n">
        <x:f>SUMPRODUCT(E16:V16,$E$2:$V$2) - 100000</x:f>
        <x:v>5500000</x:v>
      </x:c>
      <x:c r="X16" s="23"/>
      <x:c r="Y16" s="23" t="s">
        <x:v>30</x:v>
      </x:c>
      <x:c r="Z16" s="23" t="s">
        <x:v>34</x:v>
      </x:c>
      <x:c r="AA16" s="32"/>
      <x:c r="AB16" s="33" t="n">
        <x:v>46176</x:v>
      </x:c>
      <x:c r="AC16" s="34" t="e">
        <x:f>IFERROR(__xludf.DUMMYFUNCTION("SUM(FILTER($G$4:$P$1117, $C$4:$C$1117 = AB16))"),0.0)</x:f>
        <x:v>#NAME?</x:v>
      </x:c>
      <x:c r="AD16" s="34" t="e">
        <x:f>IFERROR(__xludf.DUMMYFUNCTION("COUNT(FILTER($C$4:$C$1117, $C$4:$C$1117 = AB16))"),1.0)</x:f>
        <x:v>#NAME?</x:v>
      </x:c>
      <x:c r="AE16" s="31">
        <x:f t="shared" si="4"/>
        <x:v>560000</x:v>
      </x:c>
    </x:row>
    <x:row r="17">
      <x:c r="A17" s="19">
        <x:v>14.0</x:v>
      </x:c>
      <x:c r="B17" s="29" t="s">
        <x:v>35</x:v>
      </x:c>
      <x:c r="C17" s="21">
        <x:v>46225.0</x:v>
      </x:c>
      <x:c r="D17" s="22" t="s">
        <x:v>36</x:v>
      </x:c>
      <x:c r="E17" s="23"/>
      <x:c r="F17" s="23">
        <x:v>1.0</x:v>
      </x:c>
      <x:c r="G17" s="23"/>
      <x:c r="H17" s="24"/>
      <x:c r="I17" s="24"/>
      <x:c r="J17" s="24"/>
      <x:c r="K17" s="24"/>
      <x:c r="L17" s="24"/>
      <x:c r="M17" s="24">
        <x:v>1.0</x:v>
      </x:c>
      <x:c r="N17" s="24"/>
      <x:c r="O17" s="24"/>
      <x:c r="P17" s="24"/>
      <x:c r="Q17" s="25"/>
      <x:c r="R17" s="24"/>
      <x:c r="S17" s="25"/>
      <x:c r="T17" s="25"/>
      <x:c r="U17" s="25"/>
      <x:c r="V17" s="25"/>
      <x:c r="W17" s="26" t="n">
        <x:f>SUMPRODUCT(E17:V17,$E$2:$V$2) - 8000</x:f>
        <x:v>527000</x:v>
      </x:c>
      <x:c r="X17" s="23" t="s">
        <x:v>37</x:v>
      </x:c>
      <x:c r="Y17" s="23"/>
      <x:c r="Z17" s="23" t="s">
        <x:v>31</x:v>
      </x:c>
      <x:c r="AA17" s="32"/>
      <x:c r="AB17" s="33" t="n">
        <x:v>46197</x:v>
      </x:c>
      <x:c r="AC17" s="34"/>
      <x:c r="AD17" s="34"/>
      <x:c r="AE17" s="31"/>
    </x:row>
    <x:row r="18">
      <x:c r="A18" s="19">
        <x:v>15.0</x:v>
      </x:c>
      <x:c r="B18" s="29" t="s">
        <x:v>38</x:v>
      </x:c>
      <x:c r="C18" s="21">
        <x:v>46225.0</x:v>
      </x:c>
      <x:c r="D18" s="22" t="s">
        <x:v>39</x:v>
      </x:c>
      <x:c r="E18" s="23"/>
      <x:c r="F18" s="23">
        <x:v>1.0</x:v>
      </x:c>
      <x:c r="G18" s="23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5"/>
      <x:c r="T18" s="25"/>
      <x:c r="U18" s="25"/>
      <x:c r="V18" s="25"/>
      <x:c r="W18" s="26" t="n">
        <x:f t="shared" ref="W18:W168" si="5">SUMPRODUCT(E18:V18,$E$2:$V$2)</x:f>
        <x:v>280000</x:v>
      </x:c>
      <x:c r="X18" s="23"/>
      <x:c r="Y18" s="23" t="s">
        <x:v>40</x:v>
      </x:c>
      <x:c r="Z18" s="23" t="s">
        <x:v>31</x:v>
      </x:c>
      <x:c r="AA18" s="32"/>
      <x:c r="AB18" s="33" t="n">
        <x:v>46206</x:v>
      </x:c>
      <x:c r="AC18" s="34"/>
      <x:c r="AD18" s="34"/>
      <x:c r="AE18" s="31"/>
    </x:row>
    <x:row r="19" ht="18.75" customHeight="1">
      <x:c r="A19" s="19"/>
      <x:c r="B19" s="29"/>
      <x:c r="C19" s="36"/>
      <x:c r="D19" s="35"/>
      <x:c r="E19" s="23"/>
      <x:c r="F19" s="23"/>
      <x:c r="G19" s="23"/>
      <x:c r="H19" s="24"/>
      <x:c r="I19" s="24"/>
      <x:c r="J19" s="24"/>
      <x:c r="K19" s="24"/>
      <x:c r="L19" s="24"/>
      <x:c r="M19" s="24"/>
      <x:c r="N19" s="24"/>
      <x:c r="O19" s="24"/>
      <x:c r="P19" s="24"/>
      <x:c r="Q19" s="25"/>
      <x:c r="R19" s="25"/>
      <x:c r="S19" s="25"/>
      <x:c r="T19" s="25"/>
      <x:c r="U19" s="25"/>
      <x:c r="V19" s="25"/>
      <x:c r="W19" s="26">
        <x:f t="shared" si="5"/>
        <x:v>0</x:v>
      </x:c>
      <x:c r="X19" s="23"/>
      <x:c r="Y19" s="23"/>
      <x:c r="Z19" s="23"/>
      <x:c r="AA19" s="32"/>
      <x:c r="AB19" s="33" t="n">
        <x:v>46213</x:v>
      </x:c>
      <x:c r="AC19" s="34" t="e">
        <x:f>IFERROR(__xludf.DUMMYFUNCTION("SUM(FILTER($G$4:$P$1117, $C$4:$C$1117 = AB19))"),1.0)</x:f>
        <x:v>#NAME?</x:v>
      </x:c>
      <x:c r="AD19" s="34" t="e">
        <x:f>IFERROR(__xludf.DUMMYFUNCTION("COUNT(FILTER($C$4:$C$1117, $C$4:$C$1117 = AB19))"),1.0)</x:f>
        <x:v>#NAME?</x:v>
      </x:c>
      <x:c r="AE19" s="31" t="n">
        <x:f t="shared" ref="AE19:AE22" si="6">SUMIF($C$4:$C$1117, $AB19 , $W$4:$W$1117)</x:f>
        <x:v>500000</x:v>
      </x:c>
    </x:row>
    <x:row r="20" ht="18.75" customHeight="1">
      <x:c r="A20" s="19"/>
      <x:c r="B20" s="29"/>
      <x:c r="C20" s="36"/>
      <x:c r="D20" s="35"/>
      <x:c r="E20" s="23"/>
      <x:c r="F20" s="23"/>
      <x:c r="G20" s="23"/>
      <x:c r="H20" s="24"/>
      <x:c r="I20" s="24"/>
      <x:c r="J20" s="25"/>
      <x:c r="K20" s="24"/>
      <x:c r="L20" s="25"/>
      <x:c r="M20" s="24"/>
      <x:c r="N20" s="24"/>
      <x:c r="O20" s="25"/>
      <x:c r="P20" s="25"/>
      <x:c r="Q20" s="25"/>
      <x:c r="R20" s="25"/>
      <x:c r="S20" s="24"/>
      <x:c r="T20" s="25"/>
      <x:c r="U20" s="25"/>
      <x:c r="V20" s="25"/>
      <x:c r="W20" s="26">
        <x:f t="shared" si="5"/>
        <x:v>0</x:v>
      </x:c>
      <x:c r="X20" s="23"/>
      <x:c r="Y20" s="23"/>
      <x:c r="Z20" s="23"/>
      <x:c r="AA20" s="32"/>
      <x:c r="AB20" s="33" t="n">
        <x:v>46224</x:v>
      </x:c>
      <x:c r="AC20" s="34" t="e">
        <x:f>IFERROR(__xludf.DUMMYFUNCTION("SUM(FILTER($G$4:$P$1117, $C$4:$C$1117 = AB20))"),2.0)</x:f>
        <x:v>#NAME?</x:v>
      </x:c>
      <x:c r="AD20" s="34" t="e">
        <x:f>IFERROR(__xludf.DUMMYFUNCTION("COUNT(FILTER($C$4:$C$1117, $C$4:$C$1117 = AB20))"),2.0)</x:f>
        <x:v>#NAME?</x:v>
      </x:c>
      <x:c r="AE20" s="31">
        <x:f t="shared" si="6"/>
        <x:v>6460000</x:v>
      </x:c>
    </x:row>
    <x:row r="21" ht="18.75" customHeight="1">
      <x:c r="A21" s="19"/>
      <x:c r="B21" s="29"/>
      <x:c r="C21" s="36"/>
      <x:c r="D21" s="35"/>
      <x:c r="E21" s="23"/>
      <x:c r="F21" s="23"/>
      <x:c r="G21" s="23"/>
      <x:c r="H21" s="24"/>
      <x:c r="I21" s="24"/>
      <x:c r="J21" s="24"/>
      <x:c r="K21" s="24"/>
      <x:c r="L21" s="24"/>
      <x:c r="M21" s="24"/>
      <x:c r="N21" s="24"/>
      <x:c r="O21" s="24"/>
      <x:c r="P21" s="25"/>
      <x:c r="Q21" s="25"/>
      <x:c r="R21" s="25"/>
      <x:c r="S21" s="25"/>
      <x:c r="T21" s="24"/>
      <x:c r="U21" s="24"/>
      <x:c r="V21" s="25"/>
      <x:c r="W21" s="26">
        <x:f t="shared" si="5"/>
        <x:v>0</x:v>
      </x:c>
      <x:c r="X21" s="23"/>
      <x:c r="Y21" s="23"/>
      <x:c r="Z21" s="23"/>
      <x:c r="AA21" s="32"/>
      <x:c r="AB21" s="33" t="n">
        <x:v>46225</x:v>
      </x:c>
      <x:c r="AC21" s="34" t="e">
        <x:f>IFERROR(__xludf.DUMMYFUNCTION("SUM(FILTER($G$4:$P$1117, $C$4:$C$1117 = AB21))"),1.0)</x:f>
        <x:v>#NAME?</x:v>
      </x:c>
      <x:c r="AD21" s="34" t="e">
        <x:f>IFERROR(__xludf.DUMMYFUNCTION("COUNT(FILTER($C$4:$C$1117, $C$4:$C$1117 = AB21))"),2.0)</x:f>
        <x:v>#NAME?</x:v>
      </x:c>
      <x:c r="AE21" s="31">
        <x:f t="shared" si="6"/>
        <x:v>807000</x:v>
      </x:c>
    </x:row>
    <x:row r="22" ht="18.75" customHeight="1">
      <x:c r="A22" s="19"/>
      <x:c r="B22" s="29"/>
      <x:c r="C22" s="36"/>
      <x:c r="D22" s="35"/>
      <x:c r="E22" s="23"/>
      <x:c r="F22" s="23"/>
      <x:c r="G22" s="23"/>
      <x:c r="H22" s="24"/>
      <x:c r="I22" s="24"/>
      <x:c r="J22" s="25"/>
      <x:c r="K22" s="25"/>
      <x:c r="L22" s="25"/>
      <x:c r="M22" s="24"/>
      <x:c r="N22" s="24"/>
      <x:c r="O22" s="24"/>
      <x:c r="P22" s="25"/>
      <x:c r="Q22" s="25"/>
      <x:c r="R22" s="25"/>
      <x:c r="S22" s="25"/>
      <x:c r="T22" s="25"/>
      <x:c r="U22" s="25"/>
      <x:c r="V22" s="25"/>
      <x:c r="W22" s="26">
        <x:f t="shared" si="5"/>
        <x:v>0</x:v>
      </x:c>
      <x:c r="X22" s="23"/>
      <x:c r="Y22" s="23"/>
      <x:c r="Z22" s="23"/>
      <x:c r="AA22" s="32"/>
      <x:c r="AB22" s="33" t="n">
        <x:v>0</x:v>
      </x:c>
      <x:c r="AC22" s="34" t="e">
        <x:f>IFERROR(__xludf.DUMMYFUNCTION("SUM(FILTER($G$4:$P$1117, $C$4:$C$1117 = AB22))"),3110963.650012889)</x:f>
        <x:v>#NAME?</x:v>
      </x:c>
      <x:c r="AD22" s="34" t="e">
        <x:f>IFERROR(__xludf.DUMMYFUNCTION("COUNT(FILTER($C$4:$C$1117, $C$4:$C$1117 = AB22))"),0.0)</x:f>
        <x:v>#NAME?</x:v>
      </x:c>
      <x:c r="AE22" s="31">
        <x:f t="shared" si="6"/>
        <x:v>0</x:v>
      </x:c>
    </x:row>
    <x:row r="23" ht="18.75" customHeight="1">
      <x:c r="A23" s="19"/>
      <x:c r="B23" s="29"/>
      <x:c r="C23" s="36"/>
      <x:c r="D23" s="35"/>
      <x:c r="E23" s="23"/>
      <x:c r="F23" s="23"/>
      <x:c r="G23" s="23"/>
      <x:c r="H23" s="24"/>
      <x:c r="I23" s="25"/>
      <x:c r="J23" s="24"/>
      <x:c r="K23" s="24"/>
      <x:c r="L23" s="24"/>
      <x:c r="M23" s="24"/>
      <x:c r="N23" s="24"/>
      <x:c r="O23" s="24"/>
      <x:c r="P23" s="25"/>
      <x:c r="Q23" s="24"/>
      <x:c r="R23" s="24"/>
      <x:c r="S23" s="25"/>
      <x:c r="T23" s="25"/>
      <x:c r="U23" s="25"/>
      <x:c r="V23" s="25"/>
      <x:c r="W23" s="26">
        <x:f t="shared" si="5"/>
        <x:v>0</x:v>
      </x:c>
      <x:c r="X23" s="23"/>
      <x:c r="Y23" s="23"/>
      <x:c r="Z23" s="23"/>
      <x:c r="AA23" s="32"/>
      <x:c r="AB23" s="33"/>
      <x:c r="AC23" s="34"/>
      <x:c r="AD23" s="34"/>
      <x:c r="AE23" s="31"/>
    </x:row>
    <x:row r="24" ht="18.75" customHeight="1">
      <x:c r="A24" s="19"/>
      <x:c r="B24" s="29"/>
      <x:c r="C24" s="36"/>
      <x:c r="D24" s="35"/>
      <x:c r="E24" s="23"/>
      <x:c r="F24" s="23"/>
      <x:c r="G24" s="23"/>
      <x:c r="H24" s="24"/>
      <x:c r="I24" s="24"/>
      <x:c r="J24" s="24"/>
      <x:c r="K24" s="24"/>
      <x:c r="L24" s="24"/>
      <x:c r="M24" s="24"/>
      <x:c r="N24" s="24"/>
      <x:c r="O24" s="24"/>
      <x:c r="P24" s="25"/>
      <x:c r="Q24" s="24"/>
      <x:c r="R24" s="25"/>
      <x:c r="S24" s="25"/>
      <x:c r="T24" s="25"/>
      <x:c r="U24" s="25"/>
      <x:c r="V24" s="25"/>
      <x:c r="W24" s="26">
        <x:f t="shared" si="5"/>
        <x:v>0</x:v>
      </x:c>
      <x:c r="X24" s="23"/>
      <x:c r="Y24" s="23"/>
      <x:c r="Z24" s="23"/>
      <x:c r="AA24" s="32"/>
      <x:c r="AB24" s="33"/>
      <x:c r="AC24" s="34"/>
      <x:c r="AD24" s="34"/>
      <x:c r="AE24" s="31"/>
    </x:row>
    <x:row r="25" ht="18.75" customHeight="1">
      <x:c r="A25" s="19"/>
      <x:c r="B25" s="29"/>
      <x:c r="C25" s="36"/>
      <x:c r="D25" s="35"/>
      <x:c r="E25" s="23"/>
      <x:c r="F25" s="23"/>
      <x:c r="G25" s="23"/>
      <x:c r="H25" s="24"/>
      <x:c r="I25" s="25"/>
      <x:c r="J25" s="24"/>
      <x:c r="K25" s="24"/>
      <x:c r="L25" s="24"/>
      <x:c r="M25" s="24"/>
      <x:c r="N25" s="24"/>
      <x:c r="O25" s="24"/>
      <x:c r="P25" s="25"/>
      <x:c r="Q25" s="24"/>
      <x:c r="R25" s="25"/>
      <x:c r="S25" s="25"/>
      <x:c r="T25" s="25"/>
      <x:c r="U25" s="25"/>
      <x:c r="V25" s="25"/>
      <x:c r="W25" s="26">
        <x:f t="shared" si="5"/>
        <x:v>0</x:v>
      </x:c>
      <x:c r="X25" s="23"/>
      <x:c r="Y25" s="23"/>
      <x:c r="Z25" s="23"/>
      <x:c r="AA25" s="32"/>
      <x:c r="AB25" s="33"/>
      <x:c r="AC25" s="34" t="e">
        <x:f>IFERROR(__xludf.DUMMYFUNCTION("SUM(FILTER($G$4:$P$1117, $C$4:$C$1117 = AB25))"),3110963.650012889)</x:f>
        <x:v>#NAME?</x:v>
      </x:c>
      <x:c r="AD25" s="34" t="e">
        <x:f>IFERROR(__xludf.DUMMYFUNCTION("COUNT(FILTER($C$4:$C$1117, $C$4:$C$1117 = AB25))"),0.0)</x:f>
        <x:v>#NAME?</x:v>
      </x:c>
      <x:c r="AE25" s="31" t="n">
        <x:f t="shared" ref="AE25:AE38" si="7">SUMIF($C$4:$C$1117, $AB25 , $W$4:$W$1117)</x:f>
        <x:v>30860000</x:v>
      </x:c>
    </x:row>
    <x:row r="26">
      <x:c r="A26" s="19"/>
      <x:c r="B26" s="29"/>
      <x:c r="C26" s="36"/>
      <x:c r="D26" s="55"/>
      <x:c r="E26" s="56"/>
      <x:c r="F26" s="56"/>
      <x:c r="G26" s="56"/>
      <x:c r="H26" s="24"/>
      <x:c r="I26" s="24"/>
      <x:c r="J26" s="25"/>
      <x:c r="K26" s="25"/>
      <x:c r="L26" s="25"/>
      <x:c r="M26" s="24"/>
      <x:c r="N26" s="24"/>
      <x:c r="O26" s="24"/>
      <x:c r="P26" s="24"/>
      <x:c r="Q26" s="24"/>
      <x:c r="R26" s="24"/>
      <x:c r="S26" s="25"/>
      <x:c r="T26" s="25"/>
      <x:c r="U26" s="25"/>
      <x:c r="V26" s="25"/>
      <x:c r="W26" s="26">
        <x:f t="shared" si="5"/>
        <x:v>0</x:v>
      </x:c>
      <x:c r="X26" s="23"/>
      <x:c r="Y26" s="23"/>
      <x:c r="Z26" s="23"/>
      <x:c r="AA26" s="57"/>
      <x:c r="AB26" s="33"/>
      <x:c r="AC26" s="34" t="e">
        <x:f>IFERROR(__xludf.DUMMYFUNCTION("SUM(FILTER($G$4:$P$1117, $C$4:$C$1117 = AB26))"),3110963.650012889)</x:f>
        <x:v>#NAME?</x:v>
      </x:c>
      <x:c r="AD26" s="34" t="e">
        <x:f>IFERROR(__xludf.DUMMYFUNCTION("COUNT(FILTER($C$4:$C$1117, $C$4:$C$1117 = AB26))"),0.0)</x:f>
        <x:v>#NAME?</x:v>
      </x:c>
      <x:c r="AE26" s="31">
        <x:f t="shared" si="7"/>
        <x:v>0</x:v>
      </x:c>
    </x:row>
    <x:row r="27" ht="18.75" customHeight="1">
      <x:c r="A27" s="19"/>
      <x:c r="B27" s="29"/>
      <x:c r="C27" s="36"/>
      <x:c r="D27" s="35"/>
      <x:c r="E27" s="56"/>
      <x:c r="F27" s="56"/>
      <x:c r="G27" s="56"/>
      <x:c r="H27" s="24"/>
      <x:c r="I27" s="24"/>
      <x:c r="J27" s="24"/>
      <x:c r="K27" s="24"/>
      <x:c r="L27" s="24"/>
      <x:c r="M27" s="24"/>
      <x:c r="N27" s="24"/>
      <x:c r="O27" s="25"/>
      <x:c r="P27" s="24"/>
      <x:c r="Q27" s="25"/>
      <x:c r="R27" s="25"/>
      <x:c r="S27" s="25"/>
      <x:c r="T27" s="25"/>
      <x:c r="U27" s="25"/>
      <x:c r="V27" s="25"/>
      <x:c r="W27" s="26">
        <x:f t="shared" si="5"/>
        <x:v>0</x:v>
      </x:c>
      <x:c r="X27" s="23"/>
      <x:c r="Y27" s="23"/>
      <x:c r="Z27" s="23"/>
      <x:c r="AA27" s="32"/>
      <x:c r="AB27" s="33"/>
      <x:c r="AC27" s="34" t="e">
        <x:f>IFERROR(__xludf.DUMMYFUNCTION("SUM(FILTER($G$4:$P$1117, $C$4:$C$1117 = AB27))"),3110963.650012889)</x:f>
        <x:v>#NAME?</x:v>
      </x:c>
      <x:c r="AD27" s="34" t="e">
        <x:f>IFERROR(__xludf.DUMMYFUNCTION("COUNT(FILTER($C$4:$C$1117, $C$4:$C$1117 = AB27))"),0.0)</x:f>
        <x:v>#NAME?</x:v>
      </x:c>
      <x:c r="AE27" s="31">
        <x:f t="shared" si="7"/>
        <x:v>0</x:v>
      </x:c>
    </x:row>
    <x:row r="28" ht="18.75" customHeight="1">
      <x:c r="A28" s="19"/>
      <x:c r="B28" s="29"/>
      <x:c r="C28" s="36"/>
      <x:c r="D28" s="35"/>
      <x:c r="E28" s="23"/>
      <x:c r="F28" s="23"/>
      <x:c r="G28" s="23"/>
      <x:c r="H28" s="24"/>
      <x:c r="I28" s="24"/>
      <x:c r="J28" s="25"/>
      <x:c r="K28" s="25"/>
      <x:c r="L28" s="25"/>
      <x:c r="M28" s="24"/>
      <x:c r="N28" s="24"/>
      <x:c r="O28" s="25"/>
      <x:c r="P28" s="25"/>
      <x:c r="Q28" s="25"/>
      <x:c r="R28" s="24"/>
      <x:c r="S28" s="25"/>
      <x:c r="T28" s="25"/>
      <x:c r="U28" s="25"/>
      <x:c r="V28" s="25"/>
      <x:c r="W28" s="26">
        <x:f t="shared" si="5"/>
        <x:v>0</x:v>
      </x:c>
      <x:c r="X28" s="23"/>
      <x:c r="Y28" s="23"/>
      <x:c r="Z28" s="23"/>
      <x:c r="AA28" s="32"/>
      <x:c r="AB28" s="33"/>
      <x:c r="AC28" s="34" t="e">
        <x:f>IFERROR(__xludf.DUMMYFUNCTION("SUM(FILTER($G$4:$P$1117, $C$4:$C$1117 = AB28))"),3110963.650012889)</x:f>
        <x:v>#NAME?</x:v>
      </x:c>
      <x:c r="AD28" s="34" t="e">
        <x:f>IFERROR(__xludf.DUMMYFUNCTION("COUNT(FILTER($C$4:$C$1117, $C$4:$C$1117 = AB28))"),0.0)</x:f>
        <x:v>#NAME?</x:v>
      </x:c>
      <x:c r="AE28" s="31">
        <x:f t="shared" si="7"/>
        <x:v>0</x:v>
      </x:c>
    </x:row>
    <x:row r="29" ht="18.75" customHeight="1">
      <x:c r="A29" s="19"/>
      <x:c r="B29" s="29"/>
      <x:c r="C29" s="36"/>
      <x:c r="D29" s="35"/>
      <x:c r="E29" s="23"/>
      <x:c r="F29" s="23"/>
      <x:c r="G29" s="23"/>
      <x:c r="H29" s="24"/>
      <x:c r="I29" s="25"/>
      <x:c r="J29" s="25"/>
      <x:c r="K29" s="25"/>
      <x:c r="L29" s="25"/>
      <x:c r="M29" s="24"/>
      <x:c r="N29" s="24"/>
      <x:c r="O29" s="25"/>
      <x:c r="P29" s="25"/>
      <x:c r="Q29" s="24"/>
      <x:c r="R29" s="25"/>
      <x:c r="S29" s="25"/>
      <x:c r="T29" s="25"/>
      <x:c r="U29" s="25"/>
      <x:c r="V29" s="25"/>
      <x:c r="W29" s="26">
        <x:f t="shared" si="5"/>
        <x:v>0</x:v>
      </x:c>
      <x:c r="X29" s="23"/>
      <x:c r="Y29" s="23"/>
      <x:c r="Z29" s="23"/>
      <x:c r="AA29" s="32"/>
      <x:c r="AB29" s="33"/>
      <x:c r="AC29" s="34" t="e">
        <x:f>IFERROR(__xludf.DUMMYFUNCTION("SUM(FILTER($G$4:$P$1117, $C$4:$C$1117 = AB29))"),3110963.650012889)</x:f>
        <x:v>#NAME?</x:v>
      </x:c>
      <x:c r="AD29" s="34" t="e">
        <x:f>IFERROR(__xludf.DUMMYFUNCTION("COUNT(FILTER($C$4:$C$1117, $C$4:$C$1117 = AB29))"),0.0)</x:f>
        <x:v>#NAME?</x:v>
      </x:c>
      <x:c r="AE29" s="31">
        <x:f t="shared" si="7"/>
        <x:v>0</x:v>
      </x:c>
    </x:row>
    <x:row r="30" ht="18.75" customHeight="1">
      <x:c r="A30" s="19"/>
      <x:c r="B30" s="29"/>
      <x:c r="C30" s="21"/>
      <x:c r="D30" s="35"/>
      <x:c r="E30" s="23"/>
      <x:c r="F30" s="23"/>
      <x:c r="G30" s="23"/>
      <x:c r="H30" s="24"/>
      <x:c r="I30" s="24"/>
      <x:c r="J30" s="24"/>
      <x:c r="K30" s="24"/>
      <x:c r="L30" s="24"/>
      <x:c r="M30" s="25"/>
      <x:c r="N30" s="24"/>
      <x:c r="O30" s="24"/>
      <x:c r="P30" s="25"/>
      <x:c r="Q30" s="24"/>
      <x:c r="R30" s="25"/>
      <x:c r="S30" s="25"/>
      <x:c r="T30" s="25"/>
      <x:c r="U30" s="25"/>
      <x:c r="V30" s="25"/>
      <x:c r="W30" s="26">
        <x:f t="shared" si="5"/>
        <x:v>0</x:v>
      </x:c>
      <x:c r="X30" s="23"/>
      <x:c r="Y30" s="23"/>
      <x:c r="Z30" s="23"/>
      <x:c r="AA30" s="32"/>
      <x:c r="AB30" s="33"/>
      <x:c r="AC30" s="34" t="e">
        <x:f>IFERROR(__xludf.DUMMYFUNCTION("SUM(FILTER($G$4:$P$1117, $C$4:$C$1117 = AB30))"),3110963.650012889)</x:f>
        <x:v>#NAME?</x:v>
      </x:c>
      <x:c r="AD30" s="34" t="e">
        <x:f>IFERROR(__xludf.DUMMYFUNCTION("COUNT(FILTER($C$4:$C$1117, $C$4:$C$1117 = AB30))"),0.0)</x:f>
        <x:v>#NAME?</x:v>
      </x:c>
      <x:c r="AE30" s="31">
        <x:f t="shared" si="7"/>
        <x:v>0</x:v>
      </x:c>
    </x:row>
    <x:row r="31" ht="18.75" customHeight="1">
      <x:c r="A31" s="19"/>
      <x:c r="B31" s="29"/>
      <x:c r="C31" s="21"/>
      <x:c r="D31" s="35"/>
      <x:c r="E31" s="23"/>
      <x:c r="F31" s="23"/>
      <x:c r="G31" s="23"/>
      <x:c r="H31" s="24"/>
      <x:c r="I31" s="24"/>
      <x:c r="J31" s="24"/>
      <x:c r="K31" s="24"/>
      <x:c r="L31" s="24"/>
      <x:c r="M31" s="25"/>
      <x:c r="N31" s="24"/>
      <x:c r="O31" s="25"/>
      <x:c r="P31" s="25"/>
      <x:c r="Q31" s="24"/>
      <x:c r="R31" s="25"/>
      <x:c r="S31" s="25"/>
      <x:c r="T31" s="25"/>
      <x:c r="U31" s="25"/>
      <x:c r="V31" s="25"/>
      <x:c r="W31" s="26">
        <x:f t="shared" si="5"/>
        <x:v>0</x:v>
      </x:c>
      <x:c r="X31" s="23"/>
      <x:c r="Y31" s="23"/>
      <x:c r="Z31" s="23"/>
      <x:c r="AA31" s="32"/>
      <x:c r="AB31" s="33"/>
      <x:c r="AC31" s="34" t="e">
        <x:f>IFERROR(__xludf.DUMMYFUNCTION("SUM(FILTER($G$4:$P$1117, $C$4:$C$1117 = AB31))"),3110963.650012889)</x:f>
        <x:v>#NAME?</x:v>
      </x:c>
      <x:c r="AD31" s="34" t="e">
        <x:f>IFERROR(__xludf.DUMMYFUNCTION("COUNT(FILTER($C$4:$C$1117, $C$4:$C$1117 = AB31))"),0.0)</x:f>
        <x:v>#NAME?</x:v>
      </x:c>
      <x:c r="AE31" s="31">
        <x:f t="shared" si="7"/>
        <x:v>0</x:v>
      </x:c>
    </x:row>
    <x:row r="32">
      <x:c r="A32" s="19"/>
      <x:c r="B32" s="29"/>
      <x:c r="C32" s="21"/>
      <x:c r="D32" s="35"/>
      <x:c r="E32" s="23"/>
      <x:c r="F32" s="23"/>
      <x:c r="G32" s="23"/>
      <x:c r="H32" s="24"/>
      <x:c r="I32" s="25"/>
      <x:c r="J32" s="25"/>
      <x:c r="K32" s="25"/>
      <x:c r="L32" s="25"/>
      <x:c r="M32" s="24"/>
      <x:c r="N32" s="24"/>
      <x:c r="O32" s="25"/>
      <x:c r="P32" s="25"/>
      <x:c r="Q32" s="24"/>
      <x:c r="R32" s="25"/>
      <x:c r="S32" s="25"/>
      <x:c r="T32" s="25"/>
      <x:c r="U32" s="25"/>
      <x:c r="V32" s="25"/>
      <x:c r="W32" s="26">
        <x:f t="shared" si="5"/>
        <x:v>0</x:v>
      </x:c>
      <x:c r="X32" s="23"/>
      <x:c r="Y32" s="23"/>
      <x:c r="Z32" s="23"/>
      <x:c r="AA32" s="57"/>
      <x:c r="AB32" s="33"/>
      <x:c r="AC32" s="34" t="e">
        <x:f>IFERROR(__xludf.DUMMYFUNCTION("SUM(FILTER($G$4:$P$1117, $C$4:$C$1117 = AB32))"),3110963.650012889)</x:f>
        <x:v>#NAME?</x:v>
      </x:c>
      <x:c r="AD32" s="34" t="e">
        <x:f>IFERROR(__xludf.DUMMYFUNCTION("COUNT(FILTER($C$4:$C$1117, $C$4:$C$1117 = AB32))"),0.0)</x:f>
        <x:v>#NAME?</x:v>
      </x:c>
      <x:c r="AE32" s="31">
        <x:f t="shared" si="7"/>
        <x:v>0</x:v>
      </x:c>
    </x:row>
    <x:row r="33" ht="18.75" customHeight="1">
      <x:c r="A33" s="19"/>
      <x:c r="B33" s="29"/>
      <x:c r="C33" s="21"/>
      <x:c r="D33" s="35"/>
      <x:c r="E33" s="23"/>
      <x:c r="F33" s="23"/>
      <x:c r="G33" s="23"/>
      <x:c r="H33" s="24"/>
      <x:c r="I33" s="24"/>
      <x:c r="J33" s="24"/>
      <x:c r="K33" s="24"/>
      <x:c r="L33" s="24"/>
      <x:c r="M33" s="24"/>
      <x:c r="N33" s="24"/>
      <x:c r="O33" s="24"/>
      <x:c r="P33" s="25"/>
      <x:c r="Q33" s="24"/>
      <x:c r="R33" s="25"/>
      <x:c r="S33" s="25"/>
      <x:c r="T33" s="25"/>
      <x:c r="U33" s="25"/>
      <x:c r="V33" s="25"/>
      <x:c r="W33" s="26">
        <x:f t="shared" si="5"/>
        <x:v>0</x:v>
      </x:c>
      <x:c r="X33" s="23"/>
      <x:c r="Y33" s="23"/>
      <x:c r="Z33" s="23"/>
      <x:c r="AA33" s="57"/>
      <x:c r="AB33" s="33"/>
      <x:c r="AC33" s="34" t="e">
        <x:f>IFERROR(__xludf.DUMMYFUNCTION("SUM(FILTER($G$4:$P$1117, $C$4:$C$1117 = AB33))"),3110963.650012889)</x:f>
        <x:v>#NAME?</x:v>
      </x:c>
      <x:c r="AD33" s="34" t="e">
        <x:f>IFERROR(__xludf.DUMMYFUNCTION("COUNT(FILTER($C$4:$C$1117, $C$4:$C$1117 = AB33))"),0.0)</x:f>
        <x:v>#NAME?</x:v>
      </x:c>
      <x:c r="AE33" s="31">
        <x:f t="shared" si="7"/>
        <x:v>0</x:v>
      </x:c>
    </x:row>
    <x:row r="34" ht="18.75" customHeight="1">
      <x:c r="A34" s="19"/>
      <x:c r="B34" s="29"/>
      <x:c r="C34" s="21"/>
      <x:c r="D34" s="35"/>
      <x:c r="E34" s="23"/>
      <x:c r="F34" s="23"/>
      <x:c r="G34" s="23"/>
      <x:c r="H34" s="24"/>
      <x:c r="I34" s="24"/>
      <x:c r="J34" s="24"/>
      <x:c r="K34" s="24"/>
      <x:c r="L34" s="24"/>
      <x:c r="M34" s="24"/>
      <x:c r="N34" s="24"/>
      <x:c r="O34" s="24"/>
      <x:c r="P34" s="25"/>
      <x:c r="Q34" s="24"/>
      <x:c r="R34" s="25"/>
      <x:c r="S34" s="25"/>
      <x:c r="T34" s="25"/>
      <x:c r="U34" s="25"/>
      <x:c r="V34" s="25"/>
      <x:c r="W34" s="26">
        <x:f t="shared" si="5"/>
        <x:v>0</x:v>
      </x:c>
      <x:c r="X34" s="23"/>
      <x:c r="Y34" s="23"/>
      <x:c r="Z34" s="23"/>
      <x:c r="AA34" s="32"/>
      <x:c r="AB34" s="33"/>
      <x:c r="AC34" s="34" t="e">
        <x:f>IFERROR(__xludf.DUMMYFUNCTION("SUM(FILTER($G$4:$P$1117, $C$4:$C$1117 = AB34))"),3110963.650012889)</x:f>
        <x:v>#NAME?</x:v>
      </x:c>
      <x:c r="AD34" s="34" t="e">
        <x:f>IFERROR(__xludf.DUMMYFUNCTION("COUNT(FILTER($C$4:$C$1117, $C$4:$C$1117 = AB34))"),0.0)</x:f>
        <x:v>#NAME?</x:v>
      </x:c>
      <x:c r="AE34" s="31">
        <x:f t="shared" si="7"/>
        <x:v>0</x:v>
      </x:c>
    </x:row>
    <x:row r="35" ht="18.75" customHeight="1">
      <x:c r="A35" s="19"/>
      <x:c r="B35" s="29"/>
      <x:c r="C35" s="21"/>
      <x:c r="D35" s="35"/>
      <x:c r="E35" s="23"/>
      <x:c r="F35" s="23"/>
      <x:c r="G35" s="23"/>
      <x:c r="H35" s="24"/>
      <x:c r="I35" s="24"/>
      <x:c r="J35" s="24"/>
      <x:c r="K35" s="24"/>
      <x:c r="L35" s="24"/>
      <x:c r="M35" s="24"/>
      <x:c r="N35" s="24"/>
      <x:c r="O35" s="24"/>
      <x:c r="P35" s="24"/>
      <x:c r="Q35" s="25"/>
      <x:c r="R35" s="24"/>
      <x:c r="S35" s="25"/>
      <x:c r="T35" s="25"/>
      <x:c r="U35" s="25"/>
      <x:c r="V35" s="25"/>
      <x:c r="W35" s="26">
        <x:f t="shared" si="5"/>
        <x:v>0</x:v>
      </x:c>
      <x:c r="X35" s="23"/>
      <x:c r="Y35" s="23"/>
      <x:c r="Z35" s="23"/>
      <x:c r="AA35" s="32"/>
      <x:c r="AB35" s="33"/>
      <x:c r="AC35" s="34" t="e">
        <x:f>IFERROR(__xludf.DUMMYFUNCTION("SUM(FILTER($G$4:$P$1117, $C$4:$C$1117 = AB35))"),3110963.650012889)</x:f>
        <x:v>#NAME?</x:v>
      </x:c>
      <x:c r="AD35" s="34" t="e">
        <x:f>IFERROR(__xludf.DUMMYFUNCTION("COUNT(FILTER($C$4:$C$1117, $C$4:$C$1117 = AB35))"),0.0)</x:f>
        <x:v>#NAME?</x:v>
      </x:c>
      <x:c r="AE35" s="31">
        <x:f t="shared" si="7"/>
        <x:v>0</x:v>
      </x:c>
    </x:row>
    <x:row r="36" ht="18.75" customHeight="1">
      <x:c r="A36" s="19"/>
      <x:c r="B36" s="29"/>
      <x:c r="C36" s="21"/>
      <x:c r="D36" s="35"/>
      <x:c r="E36" s="56"/>
      <x:c r="F36" s="56"/>
      <x:c r="G36" s="56"/>
      <x:c r="H36" s="24"/>
      <x:c r="I36" s="25"/>
      <x:c r="J36" s="25"/>
      <x:c r="K36" s="25"/>
      <x:c r="L36" s="25"/>
      <x:c r="M36" s="24"/>
      <x:c r="N36" s="25"/>
      <x:c r="O36" s="24"/>
      <x:c r="P36" s="25"/>
      <x:c r="Q36" s="25"/>
      <x:c r="R36" s="25"/>
      <x:c r="S36" s="25"/>
      <x:c r="T36" s="25"/>
      <x:c r="U36" s="25"/>
      <x:c r="V36" s="25"/>
      <x:c r="W36" s="26">
        <x:f t="shared" si="5"/>
        <x:v>0</x:v>
      </x:c>
      <x:c r="X36" s="23"/>
      <x:c r="Y36" s="23"/>
      <x:c r="Z36" s="23"/>
      <x:c r="AA36" s="32"/>
      <x:c r="AB36" s="33"/>
      <x:c r="AC36" s="34" t="e">
        <x:f>IFERROR(__xludf.DUMMYFUNCTION("SUM(FILTER($G$4:$P$1117, $C$4:$C$1117 = AB36))"),3110963.650012889)</x:f>
        <x:v>#NAME?</x:v>
      </x:c>
      <x:c r="AD36" s="34" t="e">
        <x:f>IFERROR(__xludf.DUMMYFUNCTION("COUNT(FILTER($C$4:$C$1117, $C$4:$C$1117 = AB36))"),0.0)</x:f>
        <x:v>#NAME?</x:v>
      </x:c>
      <x:c r="AE36" s="31">
        <x:f t="shared" si="7"/>
        <x:v>0</x:v>
      </x:c>
    </x:row>
    <x:row r="37" ht="18.75" customHeight="1">
      <x:c r="A37" s="59"/>
      <x:c r="B37" s="60"/>
      <x:c r="C37" s="61"/>
      <x:c r="D37" s="62"/>
      <x:c r="E37" s="63"/>
      <x:c r="F37" s="63"/>
      <x:c r="G37" s="63"/>
      <x:c r="H37" s="64"/>
      <x:c r="I37" s="64"/>
      <x:c r="J37" s="64"/>
      <x:c r="K37" s="64"/>
      <x:c r="L37" s="64"/>
      <x:c r="M37" s="64"/>
      <x:c r="N37" s="64"/>
      <x:c r="O37" s="65"/>
      <x:c r="P37" s="65"/>
      <x:c r="Q37" s="65"/>
      <x:c r="R37" s="65"/>
      <x:c r="S37" s="65"/>
      <x:c r="T37" s="65"/>
      <x:c r="U37" s="65"/>
      <x:c r="V37" s="65"/>
      <x:c r="W37" s="26">
        <x:f t="shared" si="5"/>
        <x:v>0</x:v>
      </x:c>
      <x:c r="X37" s="63"/>
      <x:c r="Y37" s="63"/>
      <x:c r="Z37" s="63"/>
      <x:c r="AA37" s="66"/>
      <x:c r="AB37" s="67"/>
      <x:c r="AC37" s="68" t="e">
        <x:f>IFERROR(__xludf.DUMMYFUNCTION("SUM(FILTER($G$4:$P$1117, $C$4:$C$1117 = AB37))"),3110963.650012889)</x:f>
        <x:v>#NAME?</x:v>
      </x:c>
      <x:c r="AD37" s="68" t="e">
        <x:f>IFERROR(__xludf.DUMMYFUNCTION("COUNT(FILTER($C$4:$C$1117, $C$4:$C$1117 = AB37))"),0.0)</x:f>
        <x:v>#NAME?</x:v>
      </x:c>
      <x:c r="AE37" s="69">
        <x:f t="shared" si="7"/>
        <x:v>0</x:v>
      </x:c>
      <x:c r="AF37" s="70"/>
      <x:c r="AG37" s="70"/>
      <x:c r="AH37" s="70"/>
      <x:c r="AI37" s="70"/>
      <x:c r="AJ37" s="70"/>
      <x:c r="AK37" s="70"/>
      <x:c r="AL37" s="70"/>
      <x:c r="AM37" s="70"/>
      <x:c r="AN37" s="70"/>
      <x:c r="AO37" s="70"/>
      <x:c r="AP37" s="70"/>
    </x:row>
    <x:row r="38" ht="18.75" customHeight="1">
      <x:c r="A38" s="19"/>
      <x:c r="B38" s="29"/>
      <x:c r="C38" s="21"/>
      <x:c r="D38" s="35"/>
      <x:c r="E38" s="23"/>
      <x:c r="F38" s="23"/>
      <x:c r="G38" s="23"/>
      <x:c r="H38" s="24"/>
      <x:c r="I38" s="25"/>
      <x:c r="J38" s="25"/>
      <x:c r="K38" s="25"/>
      <x:c r="L38" s="25"/>
      <x:c r="M38" s="24"/>
      <x:c r="N38" s="24"/>
      <x:c r="O38" s="24"/>
      <x:c r="P38" s="25"/>
      <x:c r="Q38" s="25"/>
      <x:c r="R38" s="25"/>
      <x:c r="S38" s="25"/>
      <x:c r="T38" s="25"/>
      <x:c r="U38" s="25"/>
      <x:c r="V38" s="25"/>
      <x:c r="W38" s="26">
        <x:f t="shared" si="5"/>
        <x:v>0</x:v>
      </x:c>
      <x:c r="X38" s="23"/>
      <x:c r="Y38" s="23"/>
      <x:c r="Z38" s="23"/>
      <x:c r="AB38" s="33"/>
      <x:c r="AC38" s="34" t="e">
        <x:f>IFERROR(__xludf.DUMMYFUNCTION("SUM(FILTER($G$4:$P$1117, $C$4:$C$1117 = AB38))"),3110963.650012889)</x:f>
        <x:v>#NAME?</x:v>
      </x:c>
      <x:c r="AD38" s="34" t="e">
        <x:f>IFERROR(__xludf.DUMMYFUNCTION("COUNT(FILTER($C$4:$C$1117, $C$4:$C$1117 = AB38))"),0.0)</x:f>
        <x:v>#NAME?</x:v>
      </x:c>
      <x:c r="AE38" s="31">
        <x:f t="shared" si="7"/>
        <x:v>0</x:v>
      </x:c>
    </x:row>
    <x:row r="39" ht="18.75" customHeight="1">
      <x:c r="A39" s="19"/>
      <x:c r="B39" s="29"/>
      <x:c r="C39" s="21"/>
      <x:c r="D39" s="35"/>
      <x:c r="E39" s="23"/>
      <x:c r="F39" s="23"/>
      <x:c r="G39" s="23"/>
      <x:c r="H39" s="24"/>
      <x:c r="I39" s="25"/>
      <x:c r="J39" s="25"/>
      <x:c r="K39" s="25"/>
      <x:c r="L39" s="25"/>
      <x:c r="M39" s="24"/>
      <x:c r="N39" s="24"/>
      <x:c r="O39" s="25"/>
      <x:c r="P39" s="25"/>
      <x:c r="Q39" s="25"/>
      <x:c r="R39" s="25"/>
      <x:c r="S39" s="25"/>
      <x:c r="T39" s="25"/>
      <x:c r="U39" s="25"/>
      <x:c r="V39" s="25"/>
      <x:c r="W39" s="26">
        <x:f t="shared" si="5"/>
        <x:v>0</x:v>
      </x:c>
      <x:c r="X39" s="23"/>
      <x:c r="Y39" s="23"/>
      <x:c r="Z39" s="23"/>
    </x:row>
    <x:row r="40">
      <x:c r="A40" s="19"/>
      <x:c r="B40" s="29"/>
      <x:c r="C40" s="21"/>
      <x:c r="D40" s="35"/>
      <x:c r="E40" s="56"/>
      <x:c r="F40" s="56"/>
      <x:c r="G40" s="56"/>
      <x:c r="H40" s="24"/>
      <x:c r="I40" s="24"/>
      <x:c r="J40" s="24"/>
      <x:c r="K40" s="24"/>
      <x:c r="L40" s="24"/>
      <x:c r="M40" s="24"/>
      <x:c r="N40" s="24"/>
      <x:c r="O40" s="25"/>
      <x:c r="P40" s="25"/>
      <x:c r="Q40" s="25"/>
      <x:c r="R40" s="25"/>
      <x:c r="S40" s="25"/>
      <x:c r="T40" s="25"/>
      <x:c r="U40" s="25"/>
      <x:c r="V40" s="25"/>
      <x:c r="W40" s="26">
        <x:f t="shared" si="5"/>
        <x:v>0</x:v>
      </x:c>
      <x:c r="X40" s="23"/>
      <x:c r="Y40" s="23"/>
      <x:c r="Z40" s="23"/>
      <x:c r="AA40" s="32"/>
    </x:row>
    <x:row r="41" ht="18.75" customHeight="1">
      <x:c r="A41" s="19"/>
      <x:c r="B41" s="29"/>
      <x:c r="C41" s="21"/>
      <x:c r="D41" s="35"/>
      <x:c r="E41" s="23"/>
      <x:c r="F41" s="23"/>
      <x:c r="G41" s="23"/>
      <x:c r="H41" s="24"/>
      <x:c r="I41" s="25"/>
      <x:c r="J41" s="25"/>
      <x:c r="K41" s="25"/>
      <x:c r="L41" s="25"/>
      <x:c r="M41" s="24"/>
      <x:c r="N41" s="24"/>
      <x:c r="O41" s="25"/>
      <x:c r="P41" s="25"/>
      <x:c r="Q41" s="25"/>
      <x:c r="R41" s="25"/>
      <x:c r="S41" s="25"/>
      <x:c r="T41" s="25"/>
      <x:c r="U41" s="25"/>
      <x:c r="V41" s="25"/>
      <x:c r="W41" s="26">
        <x:f t="shared" si="5"/>
        <x:v>0</x:v>
      </x:c>
      <x:c r="X41" s="23"/>
      <x:c r="Y41" s="23"/>
      <x:c r="Z41" s="23"/>
    </x:row>
    <x:row r="42" ht="18.75" customHeight="1">
      <x:c r="A42" s="19"/>
      <x:c r="B42" s="29"/>
      <x:c r="C42" s="21"/>
      <x:c r="D42" s="35"/>
      <x:c r="E42" s="23"/>
      <x:c r="F42" s="23"/>
      <x:c r="G42" s="23"/>
      <x:c r="H42" s="24"/>
      <x:c r="I42" s="25"/>
      <x:c r="J42" s="25"/>
      <x:c r="K42" s="25"/>
      <x:c r="L42" s="25"/>
      <x:c r="M42" s="24"/>
      <x:c r="N42" s="24"/>
      <x:c r="O42" s="25"/>
      <x:c r="P42" s="25"/>
      <x:c r="Q42" s="25"/>
      <x:c r="R42" s="25"/>
      <x:c r="S42" s="25"/>
      <x:c r="T42" s="25"/>
      <x:c r="U42" s="25"/>
      <x:c r="V42" s="25"/>
      <x:c r="W42" s="26">
        <x:f t="shared" si="5"/>
        <x:v>0</x:v>
      </x:c>
      <x:c r="X42" s="23"/>
      <x:c r="Y42" s="23"/>
      <x:c r="Z42" s="23"/>
    </x:row>
    <x:row r="43" ht="18.75" customHeight="1">
      <x:c r="A43" s="19"/>
      <x:c r="B43" s="29"/>
      <x:c r="C43" s="21"/>
      <x:c r="D43" s="35"/>
      <x:c r="E43" s="23"/>
      <x:c r="F43" s="23"/>
      <x:c r="G43" s="23"/>
      <x:c r="H43" s="24"/>
      <x:c r="I43" s="24"/>
      <x:c r="J43" s="24"/>
      <x:c r="K43" s="24"/>
      <x:c r="L43" s="24"/>
      <x:c r="M43" s="24"/>
      <x:c r="N43" s="24"/>
      <x:c r="O43" s="25"/>
      <x:c r="P43" s="25"/>
      <x:c r="Q43" s="25"/>
      <x:c r="R43" s="25"/>
      <x:c r="S43" s="25"/>
      <x:c r="T43" s="25"/>
      <x:c r="U43" s="25"/>
      <x:c r="V43" s="25"/>
      <x:c r="W43" s="26">
        <x:f t="shared" si="5"/>
        <x:v>0</x:v>
      </x:c>
      <x:c r="X43" s="23"/>
      <x:c r="Y43" s="23"/>
      <x:c r="Z43" s="23"/>
    </x:row>
    <x:row r="44" ht="18.75" customHeight="1">
      <x:c r="A44" s="19"/>
      <x:c r="B44" s="29"/>
      <x:c r="C44" s="21"/>
      <x:c r="D44" s="35"/>
      <x:c r="E44" s="23"/>
      <x:c r="F44" s="23"/>
      <x:c r="G44" s="23"/>
      <x:c r="H44" s="24"/>
      <x:c r="I44" s="25"/>
      <x:c r="J44" s="25"/>
      <x:c r="K44" s="25"/>
      <x:c r="L44" s="25"/>
      <x:c r="M44" s="24"/>
      <x:c r="N44" s="24"/>
      <x:c r="O44" s="25"/>
      <x:c r="P44" s="25"/>
      <x:c r="Q44" s="25"/>
      <x:c r="R44" s="25"/>
      <x:c r="S44" s="25"/>
      <x:c r="T44" s="25"/>
      <x:c r="U44" s="25"/>
      <x:c r="V44" s="25"/>
      <x:c r="W44" s="26">
        <x:f t="shared" si="5"/>
        <x:v>0</x:v>
      </x:c>
      <x:c r="X44" s="23"/>
      <x:c r="Y44" s="23"/>
      <x:c r="Z44" s="23"/>
    </x:row>
    <x:row r="45" ht="18.75" customHeight="1">
      <x:c r="A45" s="19"/>
      <x:c r="B45" s="29"/>
      <x:c r="C45" s="21"/>
      <x:c r="D45" s="55"/>
      <x:c r="E45" s="23"/>
      <x:c r="F45" s="23"/>
      <x:c r="G45" s="23"/>
      <x:c r="H45" s="24"/>
      <x:c r="I45" s="25"/>
      <x:c r="J45" s="24"/>
      <x:c r="K45" s="24"/>
      <x:c r="L45" s="24"/>
      <x:c r="M45" s="24"/>
      <x:c r="N45" s="24"/>
      <x:c r="O45" s="25"/>
      <x:c r="P45" s="25"/>
      <x:c r="Q45" s="25"/>
      <x:c r="R45" s="25"/>
      <x:c r="S45" s="25"/>
      <x:c r="T45" s="25"/>
      <x:c r="U45" s="25"/>
      <x:c r="V45" s="25"/>
      <x:c r="W45" s="26">
        <x:f t="shared" si="5"/>
        <x:v>0</x:v>
      </x:c>
      <x:c r="X45" s="23"/>
      <x:c r="Y45" s="23"/>
      <x:c r="Z45" s="23"/>
    </x:row>
    <x:row r="46" ht="18.75" customHeight="1">
      <x:c r="A46" s="19"/>
      <x:c r="B46" s="71"/>
      <x:c r="C46" s="21"/>
      <x:c r="D46" s="35"/>
      <x:c r="E46" s="23"/>
      <x:c r="F46" s="23"/>
      <x:c r="G46" s="23"/>
      <x:c r="H46" s="24"/>
      <x:c r="I46" s="25"/>
      <x:c r="J46" s="25"/>
      <x:c r="K46" s="25"/>
      <x:c r="L46" s="25"/>
      <x:c r="M46" s="24"/>
      <x:c r="N46" s="24"/>
      <x:c r="O46" s="25"/>
      <x:c r="P46" s="25"/>
      <x:c r="Q46" s="25"/>
      <x:c r="R46" s="25"/>
      <x:c r="S46" s="25"/>
      <x:c r="T46" s="25"/>
      <x:c r="U46" s="25"/>
      <x:c r="V46" s="25"/>
      <x:c r="W46" s="26">
        <x:f t="shared" si="5"/>
        <x:v>0</x:v>
      </x:c>
      <x:c r="X46" s="23"/>
      <x:c r="Y46" s="23"/>
      <x:c r="Z46" s="23"/>
    </x:row>
    <x:row r="47" ht="18.75" customHeight="1">
      <x:c r="A47" s="19"/>
      <x:c r="B47" s="29"/>
      <x:c r="C47" s="21"/>
      <x:c r="D47" s="35"/>
      <x:c r="E47" s="56"/>
      <x:c r="F47" s="56"/>
      <x:c r="G47" s="56"/>
      <x:c r="H47" s="24"/>
      <x:c r="I47" s="25"/>
      <x:c r="J47" s="25"/>
      <x:c r="K47" s="25"/>
      <x:c r="L47" s="25"/>
      <x:c r="M47" s="24"/>
      <x:c r="N47" s="24"/>
      <x:c r="O47" s="25"/>
      <x:c r="P47" s="25"/>
      <x:c r="Q47" s="25"/>
      <x:c r="R47" s="25"/>
      <x:c r="S47" s="25"/>
      <x:c r="T47" s="25"/>
      <x:c r="U47" s="25"/>
      <x:c r="V47" s="25"/>
      <x:c r="W47" s="26">
        <x:f t="shared" si="5"/>
        <x:v>0</x:v>
      </x:c>
      <x:c r="X47" s="23"/>
      <x:c r="Y47" s="23"/>
      <x:c r="Z47" s="23"/>
    </x:row>
    <x:row r="48" ht="18.75" customHeight="1">
      <x:c r="A48" s="19"/>
      <x:c r="B48" s="29"/>
      <x:c r="C48" s="21"/>
      <x:c r="D48" s="35"/>
      <x:c r="E48" s="23"/>
      <x:c r="F48" s="23"/>
      <x:c r="G48" s="23"/>
      <x:c r="H48" s="24"/>
      <x:c r="I48" s="25"/>
      <x:c r="J48" s="25"/>
      <x:c r="K48" s="25"/>
      <x:c r="L48" s="25"/>
      <x:c r="M48" s="24"/>
      <x:c r="N48" s="25"/>
      <x:c r="O48" s="25"/>
      <x:c r="P48" s="25"/>
      <x:c r="Q48" s="25"/>
      <x:c r="R48" s="25"/>
      <x:c r="S48" s="25"/>
      <x:c r="T48" s="25"/>
      <x:c r="U48" s="25"/>
      <x:c r="V48" s="25"/>
      <x:c r="W48" s="26">
        <x:f t="shared" si="5"/>
        <x:v>0</x:v>
      </x:c>
      <x:c r="X48" s="23"/>
      <x:c r="Y48" s="23"/>
      <x:c r="Z48" s="23"/>
    </x:row>
    <x:row r="49" ht="18.75" customHeight="1">
      <x:c r="A49" s="19"/>
      <x:c r="B49" s="29"/>
      <x:c r="C49" s="21"/>
      <x:c r="D49" s="55"/>
      <x:c r="E49" s="23"/>
      <x:c r="F49" s="23"/>
      <x:c r="G49" s="23"/>
      <x:c r="H49" s="24"/>
      <x:c r="I49" s="25"/>
      <x:c r="J49" s="25"/>
      <x:c r="K49" s="25"/>
      <x:c r="L49" s="25"/>
      <x:c r="M49" s="24"/>
      <x:c r="N49" s="24"/>
      <x:c r="O49" s="25"/>
      <x:c r="P49" s="25"/>
      <x:c r="Q49" s="25"/>
      <x:c r="R49" s="25"/>
      <x:c r="S49" s="25"/>
      <x:c r="T49" s="25"/>
      <x:c r="U49" s="25"/>
      <x:c r="V49" s="25"/>
      <x:c r="W49" s="26">
        <x:f t="shared" si="5"/>
        <x:v>0</x:v>
      </x:c>
      <x:c r="X49" s="23"/>
      <x:c r="Y49" s="23"/>
      <x:c r="Z49" s="23"/>
    </x:row>
    <x:row r="50" ht="18.75" customHeight="1">
      <x:c r="A50" s="19"/>
      <x:c r="B50" s="29"/>
      <x:c r="C50" s="21"/>
      <x:c r="D50" s="55"/>
      <x:c r="E50" s="56"/>
      <x:c r="F50" s="56"/>
      <x:c r="G50" s="56"/>
      <x:c r="H50" s="24"/>
      <x:c r="I50" s="24"/>
      <x:c r="J50" s="24"/>
      <x:c r="K50" s="24"/>
      <x:c r="L50" s="24"/>
      <x:c r="M50" s="24"/>
      <x:c r="N50" s="24"/>
      <x:c r="O50" s="25"/>
      <x:c r="P50" s="25"/>
      <x:c r="Q50" s="25"/>
      <x:c r="R50" s="25"/>
      <x:c r="S50" s="25"/>
      <x:c r="T50" s="25"/>
      <x:c r="U50" s="25"/>
      <x:c r="V50" s="25"/>
      <x:c r="W50" s="26">
        <x:f t="shared" si="5"/>
        <x:v>0</x:v>
      </x:c>
      <x:c r="X50" s="23"/>
      <x:c r="Y50" s="23"/>
      <x:c r="Z50" s="23"/>
    </x:row>
    <x:row r="51" ht="18.75" customHeight="1">
      <x:c r="A51" s="19"/>
      <x:c r="B51" s="29"/>
      <x:c r="C51" s="21"/>
      <x:c r="D51" s="35"/>
      <x:c r="E51" s="56"/>
      <x:c r="F51" s="56"/>
      <x:c r="G51" s="56"/>
      <x:c r="H51" s="24"/>
      <x:c r="I51" s="24"/>
      <x:c r="J51" s="24"/>
      <x:c r="K51" s="24"/>
      <x:c r="L51" s="24"/>
      <x:c r="M51" s="24"/>
      <x:c r="N51" s="24"/>
      <x:c r="O51" s="25"/>
      <x:c r="P51" s="25"/>
      <x:c r="Q51" s="25"/>
      <x:c r="R51" s="25"/>
      <x:c r="S51" s="25"/>
      <x:c r="T51" s="25"/>
      <x:c r="U51" s="25"/>
      <x:c r="V51" s="25"/>
      <x:c r="W51" s="26">
        <x:f t="shared" si="5"/>
        <x:v>0</x:v>
      </x:c>
      <x:c r="X51" s="23"/>
      <x:c r="Y51" s="23"/>
      <x:c r="Z51" s="23"/>
    </x:row>
    <x:row r="52" ht="18.75" customHeight="1">
      <x:c r="A52" s="19"/>
      <x:c r="B52" s="29"/>
      <x:c r="C52" s="21"/>
      <x:c r="D52" s="55"/>
      <x:c r="E52" s="56"/>
      <x:c r="F52" s="56"/>
      <x:c r="G52" s="56"/>
      <x:c r="H52" s="24"/>
      <x:c r="I52" s="24"/>
      <x:c r="J52" s="24"/>
      <x:c r="K52" s="24"/>
      <x:c r="L52" s="24"/>
      <x:c r="M52" s="24"/>
      <x:c r="N52" s="24"/>
      <x:c r="O52" s="25"/>
      <x:c r="P52" s="25"/>
      <x:c r="Q52" s="25"/>
      <x:c r="R52" s="25"/>
      <x:c r="S52" s="25"/>
      <x:c r="T52" s="25"/>
      <x:c r="U52" s="25"/>
      <x:c r="V52" s="25"/>
      <x:c r="W52" s="26">
        <x:f t="shared" si="5"/>
        <x:v>0</x:v>
      </x:c>
      <x:c r="X52" s="23"/>
      <x:c r="Y52" s="23"/>
      <x:c r="Z52" s="23"/>
      <x:c r="AA52" s="39"/>
    </x:row>
    <x:row r="53" ht="18.75" customHeight="1">
      <x:c r="A53" s="19"/>
      <x:c r="B53" s="29"/>
      <x:c r="C53" s="21"/>
      <x:c r="D53" s="35"/>
      <x:c r="E53" s="56"/>
      <x:c r="F53" s="56"/>
      <x:c r="G53" s="56"/>
      <x:c r="H53" s="24"/>
      <x:c r="I53" s="24"/>
      <x:c r="J53" s="24"/>
      <x:c r="K53" s="24"/>
      <x:c r="L53" s="24"/>
      <x:c r="M53" s="24"/>
      <x:c r="N53" s="24"/>
      <x:c r="O53" s="24"/>
      <x:c r="P53" s="24"/>
      <x:c r="Q53" s="25"/>
      <x:c r="R53" s="25"/>
      <x:c r="S53" s="25"/>
      <x:c r="T53" s="25"/>
      <x:c r="U53" s="25"/>
      <x:c r="V53" s="25"/>
      <x:c r="W53" s="26">
        <x:f t="shared" si="5"/>
        <x:v>0</x:v>
      </x:c>
      <x:c r="X53" s="23"/>
      <x:c r="Y53" s="23"/>
      <x:c r="Z53" s="23"/>
    </x:row>
    <x:row r="54" ht="18.75" customHeight="1">
      <x:c r="A54" s="19"/>
      <x:c r="B54" s="29"/>
      <x:c r="C54" s="21"/>
      <x:c r="D54" s="35"/>
      <x:c r="E54" s="56"/>
      <x:c r="F54" s="56"/>
      <x:c r="G54" s="56"/>
      <x:c r="H54" s="24"/>
      <x:c r="I54" s="25"/>
      <x:c r="J54" s="25"/>
      <x:c r="K54" s="25"/>
      <x:c r="L54" s="25"/>
      <x:c r="M54" s="24"/>
      <x:c r="N54" s="24"/>
      <x:c r="O54" s="25"/>
      <x:c r="P54" s="25"/>
      <x:c r="Q54" s="25"/>
      <x:c r="R54" s="25"/>
      <x:c r="S54" s="25"/>
      <x:c r="T54" s="25"/>
      <x:c r="U54" s="25"/>
      <x:c r="V54" s="25"/>
      <x:c r="W54" s="26">
        <x:f t="shared" si="5"/>
        <x:v>0</x:v>
      </x:c>
      <x:c r="X54" s="23"/>
      <x:c r="Y54" s="23"/>
      <x:c r="Z54" s="23"/>
    </x:row>
    <x:row r="55" ht="18.75" customHeight="1">
      <x:c r="A55" s="19"/>
      <x:c r="B55" s="29"/>
      <x:c r="C55" s="21"/>
      <x:c r="D55" s="55"/>
      <x:c r="E55" s="23"/>
      <x:c r="F55" s="23"/>
      <x:c r="G55" s="23"/>
      <x:c r="H55" s="24"/>
      <x:c r="I55" s="25"/>
      <x:c r="J55" s="25"/>
      <x:c r="K55" s="25"/>
      <x:c r="L55" s="25"/>
      <x:c r="M55" s="24"/>
      <x:c r="N55" s="24"/>
      <x:c r="O55" s="25"/>
      <x:c r="P55" s="25"/>
      <x:c r="Q55" s="25"/>
      <x:c r="R55" s="25"/>
      <x:c r="S55" s="25"/>
      <x:c r="T55" s="25"/>
      <x:c r="U55" s="25"/>
      <x:c r="V55" s="25"/>
      <x:c r="W55" s="26">
        <x:f t="shared" si="5"/>
        <x:v>0</x:v>
      </x:c>
      <x:c r="X55" s="23"/>
      <x:c r="Y55" s="23"/>
      <x:c r="Z55" s="23"/>
    </x:row>
    <x:row r="56" ht="18.75" customHeight="1">
      <x:c r="A56" s="19"/>
      <x:c r="B56" s="29"/>
      <x:c r="C56" s="21"/>
      <x:c r="D56" s="35"/>
      <x:c r="E56" s="23"/>
      <x:c r="F56" s="23"/>
      <x:c r="G56" s="23"/>
      <x:c r="H56" s="24"/>
      <x:c r="I56" s="25"/>
      <x:c r="J56" s="25"/>
      <x:c r="K56" s="25"/>
      <x:c r="L56" s="25"/>
      <x:c r="M56" s="24"/>
      <x:c r="N56" s="24"/>
      <x:c r="O56" s="25"/>
      <x:c r="P56" s="25"/>
      <x:c r="Q56" s="25"/>
      <x:c r="R56" s="25"/>
      <x:c r="S56" s="25"/>
      <x:c r="T56" s="25"/>
      <x:c r="U56" s="25"/>
      <x:c r="V56" s="25"/>
      <x:c r="W56" s="26">
        <x:f t="shared" si="5"/>
        <x:v>0</x:v>
      </x:c>
      <x:c r="X56" s="23"/>
      <x:c r="Y56" s="23"/>
      <x:c r="Z56" s="23"/>
    </x:row>
    <x:row r="57" ht="18.75" customHeight="1">
      <x:c r="A57" s="19"/>
      <x:c r="B57" s="29"/>
      <x:c r="C57" s="21"/>
      <x:c r="D57" s="35"/>
      <x:c r="E57" s="56"/>
      <x:c r="F57" s="56"/>
      <x:c r="G57" s="56"/>
      <x:c r="H57" s="24"/>
      <x:c r="I57" s="25"/>
      <x:c r="J57" s="25"/>
      <x:c r="K57" s="25"/>
      <x:c r="L57" s="25"/>
      <x:c r="M57" s="24"/>
      <x:c r="N57" s="25"/>
      <x:c r="O57" s="25"/>
      <x:c r="P57" s="25"/>
      <x:c r="Q57" s="25"/>
      <x:c r="R57" s="25"/>
      <x:c r="S57" s="25"/>
      <x:c r="T57" s="25"/>
      <x:c r="U57" s="25"/>
      <x:c r="V57" s="25"/>
      <x:c r="W57" s="26">
        <x:f t="shared" si="5"/>
        <x:v>0</x:v>
      </x:c>
      <x:c r="X57" s="23"/>
      <x:c r="Y57" s="23"/>
      <x:c r="Z57" s="23"/>
    </x:row>
    <x:row r="58" ht="18.75" customHeight="1">
      <x:c r="A58" s="19"/>
      <x:c r="B58" s="29"/>
      <x:c r="C58" s="21"/>
      <x:c r="D58" s="35"/>
      <x:c r="E58" s="23"/>
      <x:c r="F58" s="23"/>
      <x:c r="G58" s="23"/>
      <x:c r="H58" s="24"/>
      <x:c r="I58" s="25"/>
      <x:c r="J58" s="25"/>
      <x:c r="K58" s="25"/>
      <x:c r="L58" s="25"/>
      <x:c r="M58" s="24"/>
      <x:c r="N58" s="24"/>
      <x:c r="O58" s="25"/>
      <x:c r="P58" s="25"/>
      <x:c r="Q58" s="25"/>
      <x:c r="R58" s="25"/>
      <x:c r="S58" s="25"/>
      <x:c r="T58" s="25"/>
      <x:c r="U58" s="25"/>
      <x:c r="V58" s="25"/>
      <x:c r="W58" s="26">
        <x:f t="shared" si="5"/>
        <x:v>0</x:v>
      </x:c>
      <x:c r="X58" s="23"/>
      <x:c r="Y58" s="23"/>
      <x:c r="Z58" s="23"/>
    </x:row>
    <x:row r="59" ht="18.75" customHeight="1">
      <x:c r="A59" s="19"/>
      <x:c r="B59" s="29"/>
      <x:c r="C59" s="21"/>
      <x:c r="D59" s="35"/>
      <x:c r="E59" s="23"/>
      <x:c r="F59" s="23"/>
      <x:c r="G59" s="23"/>
      <x:c r="H59" s="24"/>
      <x:c r="I59" s="25"/>
      <x:c r="J59" s="24"/>
      <x:c r="K59" s="24"/>
      <x:c r="L59" s="24"/>
      <x:c r="M59" s="24"/>
      <x:c r="N59" s="25"/>
      <x:c r="O59" s="25"/>
      <x:c r="P59" s="25"/>
      <x:c r="Q59" s="25"/>
      <x:c r="R59" s="25"/>
      <x:c r="S59" s="25"/>
      <x:c r="T59" s="25"/>
      <x:c r="U59" s="25"/>
      <x:c r="V59" s="25"/>
      <x:c r="W59" s="26">
        <x:f t="shared" si="5"/>
        <x:v>0</x:v>
      </x:c>
      <x:c r="X59" s="23"/>
      <x:c r="Y59" s="23"/>
      <x:c r="Z59" s="23"/>
    </x:row>
    <x:row r="60" ht="18.75" customHeight="1">
      <x:c r="A60" s="19"/>
      <x:c r="B60" s="29"/>
      <x:c r="C60" s="21"/>
      <x:c r="D60" s="35"/>
      <x:c r="E60" s="23"/>
      <x:c r="F60" s="23"/>
      <x:c r="G60" s="23"/>
      <x:c r="H60" s="24"/>
      <x:c r="I60" s="24"/>
      <x:c r="J60" s="24"/>
      <x:c r="K60" s="24"/>
      <x:c r="L60" s="24"/>
      <x:c r="M60" s="24"/>
      <x:c r="N60" s="24"/>
      <x:c r="O60" s="25"/>
      <x:c r="P60" s="25"/>
      <x:c r="Q60" s="25"/>
      <x:c r="R60" s="25"/>
      <x:c r="S60" s="25"/>
      <x:c r="T60" s="25"/>
      <x:c r="U60" s="25"/>
      <x:c r="V60" s="25"/>
      <x:c r="W60" s="26">
        <x:f t="shared" si="5"/>
        <x:v>0</x:v>
      </x:c>
      <x:c r="X60" s="23"/>
      <x:c r="Y60" s="23"/>
      <x:c r="Z60" s="23"/>
    </x:row>
    <x:row r="61" ht="18.75" customHeight="1">
      <x:c r="A61" s="19"/>
      <x:c r="B61" s="29"/>
      <x:c r="C61" s="21"/>
      <x:c r="D61" s="35"/>
      <x:c r="E61" s="23"/>
      <x:c r="F61" s="23"/>
      <x:c r="G61" s="23"/>
      <x:c r="H61" s="24"/>
      <x:c r="I61" s="24"/>
      <x:c r="J61" s="24"/>
      <x:c r="K61" s="24"/>
      <x:c r="L61" s="24"/>
      <x:c r="M61" s="24"/>
      <x:c r="N61" s="24"/>
      <x:c r="O61" s="25"/>
      <x:c r="P61" s="25"/>
      <x:c r="Q61" s="25"/>
      <x:c r="R61" s="25"/>
      <x:c r="S61" s="25"/>
      <x:c r="T61" s="25"/>
      <x:c r="U61" s="25"/>
      <x:c r="V61" s="25"/>
      <x:c r="W61" s="26">
        <x:f t="shared" si="5"/>
        <x:v>0</x:v>
      </x:c>
      <x:c r="X61" s="23"/>
      <x:c r="Y61" s="23"/>
      <x:c r="Z61" s="23"/>
    </x:row>
    <x:row r="62" ht="18.75" customHeight="1">
      <x:c r="A62" s="19"/>
      <x:c r="B62" s="29"/>
      <x:c r="C62" s="21"/>
      <x:c r="D62" s="55"/>
      <x:c r="E62" s="23"/>
      <x:c r="F62" s="23"/>
      <x:c r="G62" s="23"/>
      <x:c r="H62" s="24"/>
      <x:c r="I62" s="24"/>
      <x:c r="J62" s="24"/>
      <x:c r="K62" s="24"/>
      <x:c r="L62" s="24"/>
      <x:c r="M62" s="24"/>
      <x:c r="N62" s="24"/>
      <x:c r="O62" s="25"/>
      <x:c r="P62" s="25"/>
      <x:c r="Q62" s="25"/>
      <x:c r="R62" s="25"/>
      <x:c r="S62" s="25"/>
      <x:c r="T62" s="25"/>
      <x:c r="U62" s="25"/>
      <x:c r="V62" s="25"/>
      <x:c r="W62" s="26">
        <x:f t="shared" si="5"/>
        <x:v>0</x:v>
      </x:c>
      <x:c r="X62" s="23"/>
      <x:c r="Y62" s="23"/>
      <x:c r="Z62" s="23"/>
    </x:row>
    <x:row r="63" ht="18.75" customHeight="1">
      <x:c r="A63" s="19"/>
      <x:c r="B63" s="29"/>
      <x:c r="C63" s="21"/>
      <x:c r="D63" s="55"/>
      <x:c r="E63" s="23"/>
      <x:c r="F63" s="23"/>
      <x:c r="G63" s="23"/>
      <x:c r="H63" s="24"/>
      <x:c r="I63" s="24"/>
      <x:c r="J63" s="24"/>
      <x:c r="K63" s="24"/>
      <x:c r="L63" s="24"/>
      <x:c r="M63" s="25"/>
      <x:c r="N63" s="24"/>
      <x:c r="O63" s="25"/>
      <x:c r="P63" s="25"/>
      <x:c r="Q63" s="25"/>
      <x:c r="R63" s="25"/>
      <x:c r="S63" s="25"/>
      <x:c r="T63" s="25"/>
      <x:c r="U63" s="25"/>
      <x:c r="V63" s="25"/>
      <x:c r="W63" s="26">
        <x:f t="shared" si="5"/>
        <x:v>0</x:v>
      </x:c>
      <x:c r="X63" s="23"/>
      <x:c r="Y63" s="23"/>
      <x:c r="Z63" s="23"/>
    </x:row>
    <x:row r="64" ht="18.75" customHeight="1">
      <x:c r="A64" s="19"/>
      <x:c r="B64" s="29"/>
      <x:c r="C64" s="21"/>
      <x:c r="D64" s="55"/>
      <x:c r="E64" s="23"/>
      <x:c r="F64" s="23"/>
      <x:c r="G64" s="23"/>
      <x:c r="H64" s="24"/>
      <x:c r="I64" s="25"/>
      <x:c r="J64" s="25"/>
      <x:c r="K64" s="25"/>
      <x:c r="L64" s="25"/>
      <x:c r="M64" s="24"/>
      <x:c r="N64" s="24"/>
      <x:c r="O64" s="25"/>
      <x:c r="P64" s="25"/>
      <x:c r="Q64" s="25"/>
      <x:c r="R64" s="25"/>
      <x:c r="S64" s="25"/>
      <x:c r="T64" s="25"/>
      <x:c r="U64" s="25"/>
      <x:c r="V64" s="25"/>
      <x:c r="W64" s="26">
        <x:f t="shared" si="5"/>
        <x:v>0</x:v>
      </x:c>
      <x:c r="X64" s="23"/>
      <x:c r="Y64" s="23"/>
      <x:c r="Z64" s="23"/>
    </x:row>
    <x:row r="65" ht="18.75" customHeight="1">
      <x:c r="A65" s="19"/>
      <x:c r="B65" s="29"/>
      <x:c r="C65" s="21"/>
      <x:c r="D65" s="55"/>
      <x:c r="E65" s="23"/>
      <x:c r="F65" s="23"/>
      <x:c r="G65" s="23"/>
      <x:c r="H65" s="24"/>
      <x:c r="I65" s="24"/>
      <x:c r="J65" s="24"/>
      <x:c r="K65" s="24"/>
      <x:c r="L65" s="24"/>
      <x:c r="M65" s="24"/>
      <x:c r="N65" s="24"/>
      <x:c r="O65" s="25"/>
      <x:c r="P65" s="25"/>
      <x:c r="Q65" s="25"/>
      <x:c r="R65" s="25"/>
      <x:c r="S65" s="25"/>
      <x:c r="T65" s="25"/>
      <x:c r="U65" s="25"/>
      <x:c r="V65" s="25"/>
      <x:c r="W65" s="26">
        <x:f t="shared" si="5"/>
        <x:v>0</x:v>
      </x:c>
      <x:c r="X65" s="23"/>
      <x:c r="Y65" s="23"/>
      <x:c r="Z65" s="23"/>
    </x:row>
    <x:row r="66" ht="18.75" customHeight="1">
      <x:c r="A66" s="19"/>
      <x:c r="B66" s="29"/>
      <x:c r="C66" s="21"/>
      <x:c r="D66" s="55"/>
      <x:c r="E66" s="23"/>
      <x:c r="F66" s="23"/>
      <x:c r="G66" s="23"/>
      <x:c r="H66" s="24"/>
      <x:c r="I66" s="25"/>
      <x:c r="J66" s="25"/>
      <x:c r="K66" s="25"/>
      <x:c r="L66" s="25"/>
      <x:c r="M66" s="24"/>
      <x:c r="N66" s="25"/>
      <x:c r="O66" s="25"/>
      <x:c r="P66" s="25"/>
      <x:c r="Q66" s="25"/>
      <x:c r="R66" s="25"/>
      <x:c r="S66" s="25"/>
      <x:c r="T66" s="25"/>
      <x:c r="U66" s="25"/>
      <x:c r="V66" s="25"/>
      <x:c r="W66" s="26">
        <x:f t="shared" si="5"/>
        <x:v>0</x:v>
      </x:c>
      <x:c r="X66" s="23"/>
      <x:c r="Y66" s="23"/>
      <x:c r="Z66" s="23"/>
    </x:row>
    <x:row r="67" ht="18.75" customHeight="1">
      <x:c r="A67" s="19"/>
      <x:c r="B67" s="29"/>
      <x:c r="C67" s="21"/>
      <x:c r="D67" s="55"/>
      <x:c r="E67" s="23"/>
      <x:c r="F67" s="23"/>
      <x:c r="G67" s="23"/>
      <x:c r="H67" s="24"/>
      <x:c r="I67" s="24"/>
      <x:c r="J67" s="24"/>
      <x:c r="K67" s="24"/>
      <x:c r="L67" s="24"/>
      <x:c r="M67" s="24"/>
      <x:c r="N67" s="24"/>
      <x:c r="O67" s="25"/>
      <x:c r="P67" s="25"/>
      <x:c r="Q67" s="25"/>
      <x:c r="R67" s="25"/>
      <x:c r="S67" s="25"/>
      <x:c r="T67" s="25"/>
      <x:c r="U67" s="25"/>
      <x:c r="V67" s="25"/>
      <x:c r="W67" s="26">
        <x:f t="shared" si="5"/>
        <x:v>0</x:v>
      </x:c>
      <x:c r="X67" s="23"/>
      <x:c r="Y67" s="23"/>
      <x:c r="Z67" s="23"/>
    </x:row>
    <x:row r="68" ht="18.75" customHeight="1">
      <x:c r="A68" s="19"/>
      <x:c r="B68" s="29"/>
      <x:c r="C68" s="21"/>
      <x:c r="D68" s="35"/>
      <x:c r="E68" s="23"/>
      <x:c r="F68" s="23"/>
      <x:c r="G68" s="23"/>
      <x:c r="H68" s="24"/>
      <x:c r="I68" s="25"/>
      <x:c r="J68" s="25"/>
      <x:c r="K68" s="25"/>
      <x:c r="L68" s="25"/>
      <x:c r="M68" s="24"/>
      <x:c r="N68" s="24"/>
      <x:c r="O68" s="25"/>
      <x:c r="P68" s="25"/>
      <x:c r="Q68" s="25"/>
      <x:c r="R68" s="25"/>
      <x:c r="S68" s="25"/>
      <x:c r="T68" s="25"/>
      <x:c r="U68" s="25"/>
      <x:c r="V68" s="25"/>
      <x:c r="W68" s="26">
        <x:f t="shared" si="5"/>
        <x:v>0</x:v>
      </x:c>
      <x:c r="X68" s="23"/>
      <x:c r="Y68" s="23"/>
      <x:c r="Z68" s="23"/>
    </x:row>
    <x:row r="69" ht="18.75" customHeight="1">
      <x:c r="A69" s="19"/>
      <x:c r="B69" s="29"/>
      <x:c r="C69" s="21"/>
      <x:c r="D69" s="55"/>
      <x:c r="E69" s="23"/>
      <x:c r="F69" s="23"/>
      <x:c r="G69" s="23"/>
      <x:c r="H69" s="24"/>
      <x:c r="I69" s="25"/>
      <x:c r="J69" s="25"/>
      <x:c r="K69" s="25"/>
      <x:c r="L69" s="25"/>
      <x:c r="M69" s="25"/>
      <x:c r="N69" s="24"/>
      <x:c r="O69" s="25"/>
      <x:c r="P69" s="25"/>
      <x:c r="Q69" s="25"/>
      <x:c r="R69" s="25"/>
      <x:c r="S69" s="25"/>
      <x:c r="T69" s="25"/>
      <x:c r="U69" s="25"/>
      <x:c r="V69" s="25"/>
      <x:c r="W69" s="26">
        <x:f t="shared" si="5"/>
        <x:v>0</x:v>
      </x:c>
      <x:c r="X69" s="23"/>
      <x:c r="Y69" s="23"/>
      <x:c r="Z69" s="23"/>
    </x:row>
    <x:row r="70" ht="18.75" customHeight="1">
      <x:c r="A70" s="19"/>
      <x:c r="B70" s="29"/>
      <x:c r="C70" s="21"/>
      <x:c r="D70" s="55"/>
      <x:c r="E70" s="23"/>
      <x:c r="F70" s="23"/>
      <x:c r="G70" s="23"/>
      <x:c r="H70" s="24"/>
      <x:c r="I70" s="25"/>
      <x:c r="J70" s="25"/>
      <x:c r="K70" s="25"/>
      <x:c r="L70" s="25"/>
      <x:c r="M70" s="24"/>
      <x:c r="N70" s="25"/>
      <x:c r="O70" s="25"/>
      <x:c r="P70" s="25"/>
      <x:c r="Q70" s="25"/>
      <x:c r="R70" s="25"/>
      <x:c r="S70" s="25"/>
      <x:c r="T70" s="25"/>
      <x:c r="U70" s="25"/>
      <x:c r="V70" s="25"/>
      <x:c r="W70" s="26">
        <x:f t="shared" si="5"/>
        <x:v>0</x:v>
      </x:c>
      <x:c r="X70" s="23"/>
      <x:c r="Y70" s="23"/>
      <x:c r="Z70" s="23"/>
    </x:row>
    <x:row r="71" ht="18.75" customHeight="1">
      <x:c r="A71" s="19"/>
      <x:c r="B71" s="20"/>
      <x:c r="C71" s="21"/>
      <x:c r="D71" s="55"/>
      <x:c r="E71" s="23"/>
      <x:c r="F71" s="23"/>
      <x:c r="G71" s="23"/>
      <x:c r="H71" s="24"/>
      <x:c r="I71" s="25"/>
      <x:c r="J71" s="25"/>
      <x:c r="K71" s="25"/>
      <x:c r="L71" s="25"/>
      <x:c r="M71" s="24"/>
      <x:c r="N71" s="24"/>
      <x:c r="O71" s="25"/>
      <x:c r="P71" s="25"/>
      <x:c r="Q71" s="25"/>
      <x:c r="R71" s="25"/>
      <x:c r="S71" s="25"/>
      <x:c r="T71" s="25"/>
      <x:c r="U71" s="25"/>
      <x:c r="V71" s="25"/>
      <x:c r="W71" s="26">
        <x:f t="shared" si="5"/>
        <x:v>0</x:v>
      </x:c>
      <x:c r="X71" s="23"/>
      <x:c r="Y71" s="23"/>
      <x:c r="Z71" s="23"/>
    </x:row>
    <x:row r="72" ht="18.75" customHeight="1">
      <x:c r="A72" s="19"/>
      <x:c r="B72" s="20"/>
      <x:c r="C72" s="21"/>
      <x:c r="D72" s="55"/>
      <x:c r="E72" s="23"/>
      <x:c r="F72" s="23"/>
      <x:c r="G72" s="23"/>
      <x:c r="H72" s="24"/>
      <x:c r="I72" s="24"/>
      <x:c r="J72" s="24"/>
      <x:c r="K72" s="24"/>
      <x:c r="L72" s="24"/>
      <x:c r="M72" s="24"/>
      <x:c r="N72" s="24"/>
      <x:c r="O72" s="25"/>
      <x:c r="P72" s="25"/>
      <x:c r="Q72" s="25"/>
      <x:c r="R72" s="25"/>
      <x:c r="S72" s="25"/>
      <x:c r="T72" s="25"/>
      <x:c r="U72" s="25"/>
      <x:c r="V72" s="25"/>
      <x:c r="W72" s="26">
        <x:f t="shared" si="5"/>
        <x:v>0</x:v>
      </x:c>
      <x:c r="X72" s="23"/>
      <x:c r="Y72" s="23"/>
      <x:c r="Z72" s="23"/>
    </x:row>
    <x:row r="73" ht="18.75" customHeight="1">
      <x:c r="A73" s="19"/>
      <x:c r="B73" s="20"/>
      <x:c r="C73" s="21"/>
      <x:c r="D73" s="55"/>
      <x:c r="E73" s="23"/>
      <x:c r="F73" s="23"/>
      <x:c r="G73" s="23"/>
      <x:c r="H73" s="24"/>
      <x:c r="I73" s="25"/>
      <x:c r="J73" s="25"/>
      <x:c r="K73" s="25"/>
      <x:c r="L73" s="25"/>
      <x:c r="M73" s="24"/>
      <x:c r="N73" s="25"/>
      <x:c r="O73" s="25"/>
      <x:c r="P73" s="25"/>
      <x:c r="Q73" s="25"/>
      <x:c r="R73" s="25"/>
      <x:c r="S73" s="25"/>
      <x:c r="T73" s="25"/>
      <x:c r="U73" s="25"/>
      <x:c r="V73" s="25"/>
      <x:c r="W73" s="26">
        <x:f t="shared" si="5"/>
        <x:v>0</x:v>
      </x:c>
      <x:c r="X73" s="23"/>
      <x:c r="Y73" s="23"/>
      <x:c r="Z73" s="23"/>
    </x:row>
    <x:row r="74" ht="18.75" customHeight="1">
      <x:c r="A74" s="19"/>
      <x:c r="B74" s="20"/>
      <x:c r="C74" s="21"/>
      <x:c r="D74" s="55"/>
      <x:c r="E74" s="23"/>
      <x:c r="F74" s="23"/>
      <x:c r="G74" s="23"/>
      <x:c r="H74" s="24"/>
      <x:c r="I74" s="24"/>
      <x:c r="J74" s="25"/>
      <x:c r="K74" s="25"/>
      <x:c r="L74" s="25"/>
      <x:c r="M74" s="24"/>
      <x:c r="N74" s="25"/>
      <x:c r="O74" s="25"/>
      <x:c r="P74" s="25"/>
      <x:c r="Q74" s="25"/>
      <x:c r="R74" s="25"/>
      <x:c r="S74" s="25"/>
      <x:c r="T74" s="25"/>
      <x:c r="U74" s="25"/>
      <x:c r="V74" s="25"/>
      <x:c r="W74" s="26">
        <x:f t="shared" si="5"/>
        <x:v>0</x:v>
      </x:c>
      <x:c r="X74" s="23"/>
      <x:c r="Y74" s="23"/>
      <x:c r="Z74" s="23"/>
    </x:row>
    <x:row r="75" ht="18.75" customHeight="1">
      <x:c r="A75" s="19"/>
      <x:c r="B75" s="20"/>
      <x:c r="C75" s="21"/>
      <x:c r="D75" s="55"/>
      <x:c r="E75" s="23"/>
      <x:c r="F75" s="23"/>
      <x:c r="G75" s="23"/>
      <x:c r="H75" s="24"/>
      <x:c r="I75" s="25"/>
      <x:c r="J75" s="25"/>
      <x:c r="K75" s="25"/>
      <x:c r="L75" s="25"/>
      <x:c r="M75" s="24"/>
      <x:c r="N75" s="25"/>
      <x:c r="O75" s="25"/>
      <x:c r="P75" s="25"/>
      <x:c r="Q75" s="25"/>
      <x:c r="R75" s="25"/>
      <x:c r="S75" s="25"/>
      <x:c r="T75" s="25"/>
      <x:c r="U75" s="25"/>
      <x:c r="V75" s="25"/>
      <x:c r="W75" s="26">
        <x:f t="shared" si="5"/>
        <x:v>0</x:v>
      </x:c>
      <x:c r="X75" s="23"/>
      <x:c r="Y75" s="23"/>
      <x:c r="Z75" s="23"/>
    </x:row>
    <x:row r="76" ht="18.75" customHeight="1">
      <x:c r="A76" s="19"/>
      <x:c r="B76" s="20"/>
      <x:c r="C76" s="21"/>
      <x:c r="D76" s="55"/>
      <x:c r="E76" s="23"/>
      <x:c r="F76" s="23"/>
      <x:c r="G76" s="23"/>
      <x:c r="H76" s="24"/>
      <x:c r="I76" s="25"/>
      <x:c r="J76" s="25"/>
      <x:c r="K76" s="25"/>
      <x:c r="L76" s="25"/>
      <x:c r="M76" s="24"/>
      <x:c r="N76" s="25"/>
      <x:c r="O76" s="25"/>
      <x:c r="P76" s="25"/>
      <x:c r="Q76" s="25"/>
      <x:c r="R76" s="25"/>
      <x:c r="S76" s="25"/>
      <x:c r="T76" s="25"/>
      <x:c r="U76" s="25"/>
      <x:c r="V76" s="25"/>
      <x:c r="W76" s="26">
        <x:f t="shared" si="5"/>
        <x:v>0</x:v>
      </x:c>
      <x:c r="X76" s="23"/>
      <x:c r="Y76" s="23"/>
      <x:c r="Z76" s="23"/>
    </x:row>
    <x:row r="77" ht="18.75" customHeight="1">
      <x:c r="A77" s="19"/>
      <x:c r="B77" s="20"/>
      <x:c r="C77" s="21"/>
      <x:c r="D77" s="35"/>
      <x:c r="E77" s="23"/>
      <x:c r="F77" s="23"/>
      <x:c r="G77" s="23"/>
      <x:c r="H77" s="24"/>
      <x:c r="I77" s="25"/>
      <x:c r="J77" s="25"/>
      <x:c r="K77" s="25"/>
      <x:c r="L77" s="25"/>
      <x:c r="M77" s="25"/>
      <x:c r="N77" s="24"/>
      <x:c r="O77" s="25"/>
      <x:c r="P77" s="25"/>
      <x:c r="Q77" s="25"/>
      <x:c r="R77" s="25"/>
      <x:c r="S77" s="25"/>
      <x:c r="T77" s="25"/>
      <x:c r="U77" s="25"/>
      <x:c r="V77" s="25"/>
      <x:c r="W77" s="26">
        <x:f t="shared" si="5"/>
        <x:v>0</x:v>
      </x:c>
      <x:c r="X77" s="23"/>
      <x:c r="Y77" s="23"/>
      <x:c r="Z77" s="23"/>
    </x:row>
    <x:row r="78" ht="18.75" customHeight="1">
      <x:c r="A78" s="19"/>
      <x:c r="B78" s="20"/>
      <x:c r="C78" s="21"/>
      <x:c r="D78" s="55"/>
      <x:c r="E78" s="23"/>
      <x:c r="F78" s="23"/>
      <x:c r="G78" s="23"/>
      <x:c r="H78" s="24"/>
      <x:c r="I78" s="25"/>
      <x:c r="J78" s="25"/>
      <x:c r="K78" s="25"/>
      <x:c r="L78" s="25"/>
      <x:c r="M78" s="25"/>
      <x:c r="N78" s="24"/>
      <x:c r="O78" s="25"/>
      <x:c r="P78" s="25"/>
      <x:c r="Q78" s="25"/>
      <x:c r="R78" s="25"/>
      <x:c r="S78" s="25"/>
      <x:c r="T78" s="25"/>
      <x:c r="U78" s="25"/>
      <x:c r="V78" s="25"/>
      <x:c r="W78" s="26">
        <x:f t="shared" si="5"/>
        <x:v>0</x:v>
      </x:c>
      <x:c r="X78" s="23"/>
      <x:c r="Y78" s="23"/>
      <x:c r="Z78" s="23"/>
    </x:row>
    <x:row r="79" ht="18.75" customHeight="1">
      <x:c r="A79" s="19"/>
      <x:c r="B79" s="71"/>
      <x:c r="C79" s="21"/>
      <x:c r="D79" s="55"/>
      <x:c r="E79" s="23"/>
      <x:c r="F79" s="23"/>
      <x:c r="G79" s="23"/>
      <x:c r="H79" s="24"/>
      <x:c r="I79" s="25"/>
      <x:c r="J79" s="25"/>
      <x:c r="K79" s="25"/>
      <x:c r="L79" s="25"/>
      <x:c r="M79" s="24"/>
      <x:c r="N79" s="25"/>
      <x:c r="O79" s="25"/>
      <x:c r="P79" s="25"/>
      <x:c r="Q79" s="25"/>
      <x:c r="R79" s="25"/>
      <x:c r="S79" s="25"/>
      <x:c r="T79" s="25"/>
      <x:c r="U79" s="25"/>
      <x:c r="V79" s="25"/>
      <x:c r="W79" s="26">
        <x:f t="shared" si="5"/>
        <x:v>0</x:v>
      </x:c>
      <x:c r="X79" s="23"/>
      <x:c r="Y79" s="23"/>
      <x:c r="Z79" s="23"/>
    </x:row>
    <x:row r="80" ht="18.75" customHeight="1">
      <x:c r="A80" s="19"/>
      <x:c r="B80" s="20"/>
      <x:c r="C80" s="21"/>
      <x:c r="D80" s="35"/>
      <x:c r="E80" s="23"/>
      <x:c r="F80" s="23"/>
      <x:c r="G80" s="23"/>
      <x:c r="H80" s="24"/>
      <x:c r="I80" s="25"/>
      <x:c r="J80" s="25"/>
      <x:c r="K80" s="25"/>
      <x:c r="L80" s="25"/>
      <x:c r="M80" s="24"/>
      <x:c r="N80" s="24"/>
      <x:c r="O80" s="25"/>
      <x:c r="P80" s="25"/>
      <x:c r="Q80" s="25"/>
      <x:c r="R80" s="25"/>
      <x:c r="S80" s="25"/>
      <x:c r="T80" s="25"/>
      <x:c r="U80" s="25"/>
      <x:c r="V80" s="25"/>
      <x:c r="W80" s="26">
        <x:f t="shared" si="5"/>
        <x:v>0</x:v>
      </x:c>
      <x:c r="X80" s="23"/>
      <x:c r="Y80" s="23"/>
      <x:c r="Z80" s="23"/>
    </x:row>
    <x:row r="81" ht="18.75" customHeight="1">
      <x:c r="A81" s="19"/>
      <x:c r="B81" s="20"/>
      <x:c r="C81" s="21"/>
      <x:c r="D81" s="55"/>
      <x:c r="E81" s="23"/>
      <x:c r="F81" s="23"/>
      <x:c r="G81" s="23"/>
      <x:c r="H81" s="24"/>
      <x:c r="I81" s="24"/>
      <x:c r="J81" s="25"/>
      <x:c r="K81" s="25"/>
      <x:c r="L81" s="25"/>
      <x:c r="M81" s="24"/>
      <x:c r="N81" s="24"/>
      <x:c r="O81" s="25"/>
      <x:c r="P81" s="25"/>
      <x:c r="Q81" s="25"/>
      <x:c r="R81" s="25"/>
      <x:c r="S81" s="25"/>
      <x:c r="T81" s="25"/>
      <x:c r="U81" s="25"/>
      <x:c r="V81" s="25"/>
      <x:c r="W81" s="26">
        <x:f t="shared" si="5"/>
        <x:v>0</x:v>
      </x:c>
      <x:c r="X81" s="23"/>
      <x:c r="Y81" s="23"/>
      <x:c r="Z81" s="23"/>
    </x:row>
    <x:row r="82" ht="18.75" customHeight="1">
      <x:c r="A82" s="19"/>
      <x:c r="B82" s="20"/>
      <x:c r="C82" s="21"/>
      <x:c r="D82" s="35"/>
      <x:c r="E82" s="23"/>
      <x:c r="F82" s="23"/>
      <x:c r="G82" s="23"/>
      <x:c r="H82" s="24"/>
      <x:c r="I82" s="25"/>
      <x:c r="J82" s="25"/>
      <x:c r="K82" s="25"/>
      <x:c r="L82" s="25"/>
      <x:c r="M82" s="25"/>
      <x:c r="N82" s="24"/>
      <x:c r="O82" s="25"/>
      <x:c r="P82" s="25"/>
      <x:c r="Q82" s="25"/>
      <x:c r="R82" s="25"/>
      <x:c r="S82" s="25"/>
      <x:c r="T82" s="25"/>
      <x:c r="U82" s="25"/>
      <x:c r="V82" s="25"/>
      <x:c r="W82" s="26">
        <x:f t="shared" si="5"/>
        <x:v>0</x:v>
      </x:c>
      <x:c r="X82" s="23"/>
      <x:c r="Y82" s="23"/>
      <x:c r="Z82" s="23"/>
    </x:row>
    <x:row r="83" ht="18.75" customHeight="1">
      <x:c r="A83" s="19"/>
      <x:c r="B83" s="20"/>
      <x:c r="C83" s="21"/>
      <x:c r="D83" s="55"/>
      <x:c r="E83" s="23"/>
      <x:c r="F83" s="23"/>
      <x:c r="G83" s="23"/>
      <x:c r="H83" s="24"/>
      <x:c r="I83" s="25"/>
      <x:c r="J83" s="25"/>
      <x:c r="K83" s="25"/>
      <x:c r="L83" s="25"/>
      <x:c r="M83" s="24"/>
      <x:c r="N83" s="25"/>
      <x:c r="O83" s="25"/>
      <x:c r="P83" s="25"/>
      <x:c r="Q83" s="25"/>
      <x:c r="R83" s="25"/>
      <x:c r="S83" s="25"/>
      <x:c r="T83" s="25"/>
      <x:c r="U83" s="25"/>
      <x:c r="V83" s="25"/>
      <x:c r="W83" s="26">
        <x:f t="shared" si="5"/>
        <x:v>0</x:v>
      </x:c>
      <x:c r="X83" s="23"/>
      <x:c r="Y83" s="23"/>
      <x:c r="Z83" s="23"/>
    </x:row>
    <x:row r="84" ht="18.75" customHeight="1">
      <x:c r="A84" s="19"/>
      <x:c r="B84" s="20"/>
      <x:c r="C84" s="21"/>
      <x:c r="D84" s="55"/>
      <x:c r="E84" s="23"/>
      <x:c r="F84" s="23"/>
      <x:c r="G84" s="23"/>
      <x:c r="H84" s="24"/>
      <x:c r="I84" s="25"/>
      <x:c r="J84" s="25"/>
      <x:c r="K84" s="25"/>
      <x:c r="L84" s="25"/>
      <x:c r="M84" s="24"/>
      <x:c r="N84" s="25"/>
      <x:c r="O84" s="25"/>
      <x:c r="P84" s="25"/>
      <x:c r="Q84" s="25"/>
      <x:c r="R84" s="25"/>
      <x:c r="S84" s="25"/>
      <x:c r="T84" s="25"/>
      <x:c r="U84" s="25"/>
      <x:c r="V84" s="25"/>
      <x:c r="W84" s="26">
        <x:f t="shared" si="5"/>
        <x:v>0</x:v>
      </x:c>
      <x:c r="X84" s="23"/>
      <x:c r="Y84" s="23"/>
      <x:c r="Z84" s="23"/>
    </x:row>
    <x:row r="85" ht="18.75" customHeight="1">
      <x:c r="A85" s="19"/>
      <x:c r="B85" s="20"/>
      <x:c r="C85" s="21"/>
      <x:c r="D85" s="35"/>
      <x:c r="E85" s="23"/>
      <x:c r="F85" s="23"/>
      <x:c r="G85" s="23"/>
      <x:c r="H85" s="24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6">
        <x:f t="shared" si="5"/>
        <x:v>0</x:v>
      </x:c>
      <x:c r="X85" s="23"/>
      <x:c r="Y85" s="23"/>
      <x:c r="Z85" s="23"/>
    </x:row>
    <x:row r="86" ht="18.75" customHeight="1">
      <x:c r="A86" s="19"/>
      <x:c r="B86" s="29"/>
      <x:c r="C86" s="21"/>
      <x:c r="D86" s="55"/>
      <x:c r="E86" s="56"/>
      <x:c r="F86" s="56"/>
      <x:c r="G86" s="56"/>
      <x:c r="H86" s="24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6">
        <x:f t="shared" si="5"/>
        <x:v>0</x:v>
      </x:c>
      <x:c r="X86" s="23"/>
      <x:c r="Y86" s="23"/>
      <x:c r="Z86" s="23"/>
    </x:row>
    <x:row r="87" ht="18.75" customHeight="1">
      <x:c r="A87" s="19"/>
      <x:c r="B87" s="20"/>
      <x:c r="C87" s="21"/>
      <x:c r="D87" s="55"/>
      <x:c r="E87" s="56"/>
      <x:c r="F87" s="56"/>
      <x:c r="G87" s="56"/>
      <x:c r="H87" s="24"/>
      <x:c r="I87" s="25"/>
      <x:c r="J87" s="25"/>
      <x:c r="K87" s="25"/>
      <x:c r="L87" s="25"/>
      <x:c r="M87" s="24"/>
      <x:c r="N87" s="25"/>
      <x:c r="O87" s="25"/>
      <x:c r="P87" s="25"/>
      <x:c r="Q87" s="25"/>
      <x:c r="R87" s="25"/>
      <x:c r="S87" s="25"/>
      <x:c r="T87" s="25"/>
      <x:c r="U87" s="25"/>
      <x:c r="V87" s="25"/>
      <x:c r="W87" s="26">
        <x:f t="shared" si="5"/>
        <x:v>0</x:v>
      </x:c>
      <x:c r="X87" s="23"/>
      <x:c r="Y87" s="23"/>
      <x:c r="Z87" s="23"/>
    </x:row>
    <x:row r="88" ht="18.75" customHeight="1">
      <x:c r="A88" s="19"/>
      <x:c r="B88" s="29"/>
      <x:c r="C88" s="21"/>
      <x:c r="D88" s="23"/>
      <x:c r="E88" s="56"/>
      <x:c r="F88" s="56"/>
      <x:c r="G88" s="56"/>
      <x:c r="H88" s="24"/>
      <x:c r="I88" s="25"/>
      <x:c r="J88" s="25"/>
      <x:c r="K88" s="25"/>
      <x:c r="L88" s="25"/>
      <x:c r="M88" s="24"/>
      <x:c r="N88" s="24"/>
      <x:c r="O88" s="25"/>
      <x:c r="P88" s="25"/>
      <x:c r="Q88" s="25"/>
      <x:c r="R88" s="25"/>
      <x:c r="S88" s="25"/>
      <x:c r="T88" s="25"/>
      <x:c r="U88" s="25"/>
      <x:c r="V88" s="25"/>
      <x:c r="W88" s="26">
        <x:f t="shared" si="5"/>
        <x:v>0</x:v>
      </x:c>
      <x:c r="X88" s="23"/>
      <x:c r="Y88" s="23"/>
      <x:c r="Z88" s="23"/>
    </x:row>
    <x:row r="89" ht="18.75" customHeight="1">
      <x:c r="A89" s="19"/>
      <x:c r="B89" s="29"/>
      <x:c r="C89" s="21"/>
      <x:c r="D89" s="35"/>
      <x:c r="E89" s="56"/>
      <x:c r="F89" s="56"/>
      <x:c r="G89" s="56"/>
      <x:c r="H89" s="24"/>
      <x:c r="I89" s="25"/>
      <x:c r="J89" s="25"/>
      <x:c r="K89" s="25"/>
      <x:c r="L89" s="25"/>
      <x:c r="M89" s="24"/>
      <x:c r="N89" s="25"/>
      <x:c r="O89" s="25"/>
      <x:c r="P89" s="25"/>
      <x:c r="Q89" s="25"/>
      <x:c r="R89" s="25"/>
      <x:c r="S89" s="25"/>
      <x:c r="T89" s="25"/>
      <x:c r="U89" s="25"/>
      <x:c r="V89" s="25"/>
      <x:c r="W89" s="26">
        <x:f t="shared" si="5"/>
        <x:v>0</x:v>
      </x:c>
      <x:c r="X89" s="23"/>
      <x:c r="Y89" s="23"/>
      <x:c r="Z89" s="23"/>
    </x:row>
    <x:row r="90" ht="18.75" customHeight="1">
      <x:c r="A90" s="19"/>
      <x:c r="B90" s="29"/>
      <x:c r="C90" s="21"/>
      <x:c r="D90" s="55"/>
      <x:c r="E90" s="56"/>
      <x:c r="F90" s="56"/>
      <x:c r="G90" s="56"/>
      <x:c r="H90" s="24"/>
      <x:c r="I90" s="25"/>
      <x:c r="J90" s="25"/>
      <x:c r="K90" s="25"/>
      <x:c r="L90" s="25"/>
      <x:c r="M90" s="24"/>
      <x:c r="N90" s="25"/>
      <x:c r="O90" s="25"/>
      <x:c r="P90" s="25"/>
      <x:c r="Q90" s="25"/>
      <x:c r="R90" s="25"/>
      <x:c r="S90" s="25"/>
      <x:c r="T90" s="25"/>
      <x:c r="U90" s="25"/>
      <x:c r="V90" s="25"/>
      <x:c r="W90" s="26">
        <x:f t="shared" si="5"/>
        <x:v>0</x:v>
      </x:c>
      <x:c r="X90" s="23"/>
      <x:c r="Y90" s="23"/>
      <x:c r="Z90" s="23"/>
    </x:row>
    <x:row r="91" ht="18.75" customHeight="1">
      <x:c r="A91" s="19"/>
      <x:c r="B91" s="29"/>
      <x:c r="C91" s="21"/>
      <x:c r="D91" s="55"/>
      <x:c r="E91" s="23"/>
      <x:c r="F91" s="23"/>
      <x:c r="G91" s="23"/>
      <x:c r="H91" s="24"/>
      <x:c r="I91" s="25"/>
      <x:c r="J91" s="25"/>
      <x:c r="K91" s="25"/>
      <x:c r="L91" s="25"/>
      <x:c r="M91" s="24"/>
      <x:c r="N91" s="25"/>
      <x:c r="O91" s="25"/>
      <x:c r="P91" s="25"/>
      <x:c r="Q91" s="25"/>
      <x:c r="R91" s="25"/>
      <x:c r="S91" s="25"/>
      <x:c r="T91" s="25"/>
      <x:c r="U91" s="25"/>
      <x:c r="V91" s="25"/>
      <x:c r="W91" s="26">
        <x:f t="shared" si="5"/>
        <x:v>0</x:v>
      </x:c>
      <x:c r="X91" s="23"/>
      <x:c r="Y91" s="23"/>
      <x:c r="Z91" s="23"/>
    </x:row>
    <x:row r="92" ht="18.75" customHeight="1">
      <x:c r="A92" s="19"/>
      <x:c r="B92" s="29"/>
      <x:c r="C92" s="21"/>
      <x:c r="D92" s="35"/>
      <x:c r="E92" s="56"/>
      <x:c r="F92" s="56"/>
      <x:c r="G92" s="56"/>
      <x:c r="H92" s="24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6">
        <x:f t="shared" si="5"/>
        <x:v>0</x:v>
      </x:c>
      <x:c r="X92" s="23"/>
      <x:c r="Y92" s="23"/>
      <x:c r="Z92" s="23"/>
    </x:row>
    <x:row r="93" ht="18.75" customHeight="1">
      <x:c r="A93" s="19"/>
      <x:c r="B93" s="29"/>
      <x:c r="C93" s="21"/>
      <x:c r="D93" s="35"/>
      <x:c r="E93" s="56"/>
      <x:c r="F93" s="56"/>
      <x:c r="G93" s="56"/>
      <x:c r="H93" s="24"/>
      <x:c r="I93" s="25"/>
      <x:c r="J93" s="25"/>
      <x:c r="K93" s="25"/>
      <x:c r="L93" s="25"/>
      <x:c r="M93" s="25"/>
      <x:c r="N93" s="24"/>
      <x:c r="O93" s="25"/>
      <x:c r="P93" s="25"/>
      <x:c r="Q93" s="25"/>
      <x:c r="R93" s="25"/>
      <x:c r="S93" s="25"/>
      <x:c r="T93" s="25"/>
      <x:c r="U93" s="25"/>
      <x:c r="V93" s="25"/>
      <x:c r="W93" s="26">
        <x:f t="shared" si="5"/>
        <x:v>0</x:v>
      </x:c>
      <x:c r="X93" s="23"/>
      <x:c r="Y93" s="23"/>
      <x:c r="Z93" s="23"/>
    </x:row>
    <x:row r="94" ht="18.75" customHeight="1">
      <x:c r="A94" s="19"/>
      <x:c r="B94" s="29"/>
      <x:c r="C94" s="21"/>
      <x:c r="D94" s="55"/>
      <x:c r="E94" s="56"/>
      <x:c r="F94" s="56"/>
      <x:c r="G94" s="56"/>
      <x:c r="H94" s="24"/>
      <x:c r="I94" s="25"/>
      <x:c r="J94" s="25"/>
      <x:c r="K94" s="25"/>
      <x:c r="L94" s="25"/>
      <x:c r="M94" s="24"/>
      <x:c r="N94" s="25"/>
      <x:c r="O94" s="25"/>
      <x:c r="P94" s="25"/>
      <x:c r="Q94" s="25"/>
      <x:c r="R94" s="25"/>
      <x:c r="S94" s="25"/>
      <x:c r="T94" s="25"/>
      <x:c r="U94" s="25"/>
      <x:c r="V94" s="25"/>
      <x:c r="W94" s="26">
        <x:f t="shared" si="5"/>
        <x:v>0</x:v>
      </x:c>
      <x:c r="X94" s="23"/>
      <x:c r="Y94" s="23"/>
      <x:c r="Z94" s="23"/>
    </x:row>
    <x:row r="95" ht="18.75" customHeight="1">
      <x:c r="A95" s="19"/>
      <x:c r="B95" s="29"/>
      <x:c r="C95" s="21"/>
      <x:c r="D95" s="55"/>
      <x:c r="E95" s="23"/>
      <x:c r="F95" s="23"/>
      <x:c r="G95" s="23"/>
      <x:c r="H95" s="24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6">
        <x:f t="shared" si="5"/>
        <x:v>0</x:v>
      </x:c>
      <x:c r="X95" s="23"/>
      <x:c r="Y95" s="23"/>
      <x:c r="Z95" s="23"/>
    </x:row>
    <x:row r="96" ht="18.75" customHeight="1">
      <x:c r="A96" s="19"/>
      <x:c r="B96" s="29"/>
      <x:c r="C96" s="21"/>
      <x:c r="D96" s="55"/>
      <x:c r="E96" s="23"/>
      <x:c r="F96" s="23"/>
      <x:c r="G96" s="23"/>
      <x:c r="H96" s="24"/>
      <x:c r="I96" s="25"/>
      <x:c r="J96" s="25"/>
      <x:c r="K96" s="25"/>
      <x:c r="L96" s="25"/>
      <x:c r="M96" s="24"/>
      <x:c r="N96" s="24"/>
      <x:c r="O96" s="25"/>
      <x:c r="P96" s="25"/>
      <x:c r="Q96" s="25"/>
      <x:c r="R96" s="25"/>
      <x:c r="S96" s="25"/>
      <x:c r="T96" s="25"/>
      <x:c r="U96" s="25"/>
      <x:c r="V96" s="25"/>
      <x:c r="W96" s="26">
        <x:f t="shared" si="5"/>
        <x:v>0</x:v>
      </x:c>
      <x:c r="X96" s="23"/>
      <x:c r="Y96" s="23"/>
      <x:c r="Z96" s="23"/>
    </x:row>
    <x:row r="97" ht="18.75" customHeight="1">
      <x:c r="A97" s="19"/>
      <x:c r="B97" s="29"/>
      <x:c r="C97" s="21"/>
      <x:c r="D97" s="35"/>
      <x:c r="E97" s="56"/>
      <x:c r="F97" s="56"/>
      <x:c r="G97" s="56"/>
      <x:c r="H97" s="24"/>
      <x:c r="I97" s="25"/>
      <x:c r="J97" s="25"/>
      <x:c r="K97" s="25"/>
      <x:c r="L97" s="25"/>
      <x:c r="M97" s="25"/>
      <x:c r="N97" s="24"/>
      <x:c r="O97" s="25"/>
      <x:c r="P97" s="25"/>
      <x:c r="Q97" s="25"/>
      <x:c r="R97" s="25"/>
      <x:c r="S97" s="25"/>
      <x:c r="T97" s="25"/>
      <x:c r="U97" s="25"/>
      <x:c r="V97" s="25"/>
      <x:c r="W97" s="26">
        <x:f t="shared" si="5"/>
        <x:v>0</x:v>
      </x:c>
      <x:c r="X97" s="23"/>
      <x:c r="Y97" s="23"/>
      <x:c r="Z97" s="23"/>
    </x:row>
    <x:row r="98" ht="18.75" customHeight="1">
      <x:c r="A98" s="19"/>
      <x:c r="B98" s="29"/>
      <x:c r="C98" s="21"/>
      <x:c r="D98" s="35"/>
      <x:c r="E98" s="56"/>
      <x:c r="F98" s="56"/>
      <x:c r="G98" s="56"/>
      <x:c r="H98" s="24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6">
        <x:f t="shared" si="5"/>
        <x:v>0</x:v>
      </x:c>
      <x:c r="X98" s="23"/>
      <x:c r="Y98" s="23"/>
      <x:c r="Z98" s="23"/>
    </x:row>
    <x:row r="99" ht="18.75" customHeight="1">
      <x:c r="A99" s="19"/>
      <x:c r="B99" s="29"/>
      <x:c r="C99" s="21"/>
      <x:c r="D99" s="55"/>
      <x:c r="E99" s="23"/>
      <x:c r="F99" s="23"/>
      <x:c r="G99" s="23"/>
      <x:c r="H99" s="24"/>
      <x:c r="I99" s="25"/>
      <x:c r="J99" s="25"/>
      <x:c r="K99" s="25"/>
      <x:c r="L99" s="25"/>
      <x:c r="M99" s="24"/>
      <x:c r="N99" s="24"/>
      <x:c r="O99" s="25"/>
      <x:c r="P99" s="25"/>
      <x:c r="Q99" s="25"/>
      <x:c r="R99" s="25"/>
      <x:c r="S99" s="25"/>
      <x:c r="T99" s="25"/>
      <x:c r="U99" s="25"/>
      <x:c r="V99" s="25"/>
      <x:c r="W99" s="26">
        <x:f t="shared" si="5"/>
        <x:v>0</x:v>
      </x:c>
      <x:c r="X99" s="23"/>
      <x:c r="Y99" s="23"/>
      <x:c r="Z99" s="23"/>
    </x:row>
    <x:row r="100" ht="18.75" customHeight="1">
      <x:c r="A100" s="19"/>
      <x:c r="B100" s="29"/>
      <x:c r="C100" s="21"/>
      <x:c r="D100" s="55"/>
      <x:c r="E100" s="56"/>
      <x:c r="F100" s="56"/>
      <x:c r="G100" s="56"/>
      <x:c r="H100" s="24"/>
      <x:c r="I100" s="25"/>
      <x:c r="J100" s="25"/>
      <x:c r="K100" s="25"/>
      <x:c r="L100" s="25"/>
      <x:c r="M100" s="25"/>
      <x:c r="N100" s="24"/>
      <x:c r="O100" s="25"/>
      <x:c r="P100" s="25"/>
      <x:c r="Q100" s="25"/>
      <x:c r="R100" s="25"/>
      <x:c r="S100" s="25"/>
      <x:c r="T100" s="25"/>
      <x:c r="U100" s="25"/>
      <x:c r="V100" s="25"/>
      <x:c r="W100" s="26">
        <x:f t="shared" si="5"/>
        <x:v>0</x:v>
      </x:c>
      <x:c r="X100" s="23"/>
      <x:c r="Y100" s="23"/>
      <x:c r="Z100" s="23"/>
    </x:row>
    <x:row r="101" ht="18.75" customHeight="1">
      <x:c r="A101" s="19"/>
      <x:c r="B101" s="29"/>
      <x:c r="C101" s="21"/>
      <x:c r="D101" s="35"/>
      <x:c r="E101" s="56"/>
      <x:c r="F101" s="56"/>
      <x:c r="G101" s="56"/>
      <x:c r="H101" s="24"/>
      <x:c r="I101" s="25"/>
      <x:c r="J101" s="25"/>
      <x:c r="K101" s="25"/>
      <x:c r="L101" s="25"/>
      <x:c r="M101" s="25"/>
      <x:c r="N101" s="24"/>
      <x:c r="O101" s="25"/>
      <x:c r="P101" s="25"/>
      <x:c r="Q101" s="25"/>
      <x:c r="R101" s="25"/>
      <x:c r="S101" s="25"/>
      <x:c r="T101" s="25"/>
      <x:c r="U101" s="25"/>
      <x:c r="V101" s="25"/>
      <x:c r="W101" s="26">
        <x:f t="shared" si="5"/>
        <x:v>0</x:v>
      </x:c>
      <x:c r="X101" s="23"/>
      <x:c r="Y101" s="23"/>
      <x:c r="Z101" s="23"/>
    </x:row>
    <x:row r="102" ht="18.75" customHeight="1">
      <x:c r="A102" s="19"/>
      <x:c r="B102" s="29"/>
      <x:c r="C102" s="21"/>
      <x:c r="D102" s="55"/>
      <x:c r="E102" s="56"/>
      <x:c r="F102" s="56"/>
      <x:c r="G102" s="56"/>
      <x:c r="H102" s="24"/>
      <x:c r="I102" s="25"/>
      <x:c r="J102" s="25"/>
      <x:c r="K102" s="25"/>
      <x:c r="L102" s="25"/>
      <x:c r="M102" s="25"/>
      <x:c r="N102" s="24"/>
      <x:c r="O102" s="25"/>
      <x:c r="P102" s="25"/>
      <x:c r="Q102" s="25"/>
      <x:c r="R102" s="25"/>
      <x:c r="S102" s="25"/>
      <x:c r="T102" s="25"/>
      <x:c r="U102" s="25"/>
      <x:c r="V102" s="25"/>
      <x:c r="W102" s="26">
        <x:f t="shared" si="5"/>
        <x:v>0</x:v>
      </x:c>
      <x:c r="X102" s="23"/>
      <x:c r="Y102" s="23"/>
      <x:c r="Z102" s="23"/>
    </x:row>
    <x:row r="103" ht="18.75" customHeight="1">
      <x:c r="A103" s="19"/>
      <x:c r="B103" s="29"/>
      <x:c r="C103" s="21"/>
      <x:c r="D103" s="55"/>
      <x:c r="E103" s="56"/>
      <x:c r="F103" s="56"/>
      <x:c r="G103" s="56"/>
      <x:c r="H103" s="24"/>
      <x:c r="I103" s="25"/>
      <x:c r="J103" s="25"/>
      <x:c r="K103" s="25"/>
      <x:c r="L103" s="25"/>
      <x:c r="M103" s="24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6">
        <x:f t="shared" si="5"/>
        <x:v>0</x:v>
      </x:c>
      <x:c r="X103" s="23"/>
      <x:c r="Y103" s="23"/>
      <x:c r="Z103" s="23"/>
    </x:row>
    <x:row r="104" ht="18.75" customHeight="1">
      <x:c r="A104" s="19"/>
      <x:c r="B104" s="29"/>
      <x:c r="C104" s="21"/>
      <x:c r="D104" s="55"/>
      <x:c r="E104" s="56"/>
      <x:c r="F104" s="56"/>
      <x:c r="G104" s="56"/>
      <x:c r="H104" s="24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6">
        <x:f t="shared" si="5"/>
        <x:v>0</x:v>
      </x:c>
      <x:c r="X104" s="23"/>
      <x:c r="Y104" s="23"/>
      <x:c r="Z104" s="23"/>
    </x:row>
    <x:row r="105" ht="18.75" customHeight="1">
      <x:c r="A105" s="19"/>
      <x:c r="B105" s="29"/>
      <x:c r="C105" s="21"/>
      <x:c r="D105" s="35"/>
      <x:c r="E105" s="56"/>
      <x:c r="F105" s="56"/>
      <x:c r="G105" s="56"/>
      <x:c r="H105" s="24"/>
      <x:c r="I105" s="25"/>
      <x:c r="J105" s="25"/>
      <x:c r="K105" s="25"/>
      <x:c r="L105" s="25"/>
      <x:c r="M105" s="24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6">
        <x:f t="shared" si="5"/>
        <x:v>0</x:v>
      </x:c>
      <x:c r="X105" s="23"/>
      <x:c r="Y105" s="23"/>
      <x:c r="Z105" s="23"/>
    </x:row>
    <x:row r="106" ht="18.75" customHeight="1">
      <x:c r="A106" s="19"/>
      <x:c r="B106" s="29"/>
      <x:c r="C106" s="21"/>
      <x:c r="D106" s="55"/>
      <x:c r="E106" s="56"/>
      <x:c r="F106" s="56"/>
      <x:c r="G106" s="56"/>
      <x:c r="H106" s="24"/>
      <x:c r="I106" s="25"/>
      <x:c r="J106" s="25"/>
      <x:c r="K106" s="25"/>
      <x:c r="L106" s="25"/>
      <x:c r="M106" s="24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6">
        <x:f t="shared" si="5"/>
        <x:v>0</x:v>
      </x:c>
      <x:c r="X106" s="23"/>
      <x:c r="Y106" s="23"/>
      <x:c r="Z106" s="23"/>
    </x:row>
    <x:row r="107" ht="18.75" customHeight="1">
      <x:c r="A107" s="19"/>
      <x:c r="B107" s="29"/>
      <x:c r="C107" s="21"/>
      <x:c r="D107" s="55"/>
      <x:c r="E107" s="56"/>
      <x:c r="F107" s="56"/>
      <x:c r="G107" s="56"/>
      <x:c r="H107" s="24"/>
      <x:c r="I107" s="24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6">
        <x:f t="shared" si="5"/>
        <x:v>0</x:v>
      </x:c>
      <x:c r="X107" s="23"/>
      <x:c r="Y107" s="23"/>
      <x:c r="Z107" s="23"/>
    </x:row>
    <x:row r="108" ht="18.75" customHeight="1">
      <x:c r="A108" s="19"/>
      <x:c r="B108" s="29"/>
      <x:c r="C108" s="21"/>
      <x:c r="D108" s="35"/>
      <x:c r="E108" s="56"/>
      <x:c r="F108" s="56"/>
      <x:c r="G108" s="56"/>
      <x:c r="H108" s="24"/>
      <x:c r="I108" s="25"/>
      <x:c r="J108" s="25"/>
      <x:c r="K108" s="25"/>
      <x:c r="L108" s="25"/>
      <x:c r="M108" s="25"/>
      <x:c r="N108" s="24"/>
      <x:c r="O108" s="25"/>
      <x:c r="P108" s="25"/>
      <x:c r="Q108" s="25"/>
      <x:c r="R108" s="25"/>
      <x:c r="S108" s="25"/>
      <x:c r="T108" s="25"/>
      <x:c r="U108" s="25"/>
      <x:c r="V108" s="25"/>
      <x:c r="W108" s="26">
        <x:f t="shared" si="5"/>
        <x:v>0</x:v>
      </x:c>
      <x:c r="X108" s="23"/>
      <x:c r="Y108" s="23"/>
      <x:c r="Z108" s="23"/>
    </x:row>
    <x:row r="109" ht="18.75" customHeight="1">
      <x:c r="A109" s="19"/>
      <x:c r="B109" s="29"/>
      <x:c r="C109" s="21"/>
      <x:c r="D109" s="55"/>
      <x:c r="E109" s="56"/>
      <x:c r="F109" s="56"/>
      <x:c r="G109" s="56"/>
      <x:c r="H109" s="24"/>
      <x:c r="I109" s="25"/>
      <x:c r="J109" s="25"/>
      <x:c r="K109" s="25"/>
      <x:c r="L109" s="25"/>
      <x:c r="M109" s="24"/>
      <x:c r="N109" s="24"/>
      <x:c r="O109" s="25"/>
      <x:c r="P109" s="25"/>
      <x:c r="Q109" s="25"/>
      <x:c r="R109" s="25"/>
      <x:c r="S109" s="25"/>
      <x:c r="T109" s="25"/>
      <x:c r="U109" s="25"/>
      <x:c r="V109" s="25"/>
      <x:c r="W109" s="26">
        <x:f t="shared" si="5"/>
        <x:v>0</x:v>
      </x:c>
      <x:c r="X109" s="23"/>
      <x:c r="Y109" s="23"/>
      <x:c r="Z109" s="23"/>
    </x:row>
    <x:row r="110" ht="18.75" customHeight="1">
      <x:c r="A110" s="19"/>
      <x:c r="B110" s="20"/>
      <x:c r="C110" s="21"/>
      <x:c r="D110" s="55"/>
      <x:c r="E110" s="56"/>
      <x:c r="F110" s="56"/>
      <x:c r="G110" s="56"/>
      <x:c r="H110" s="24"/>
      <x:c r="I110" s="24"/>
      <x:c r="J110" s="25"/>
      <x:c r="K110" s="25"/>
      <x:c r="L110" s="25"/>
      <x:c r="M110" s="24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6">
        <x:f t="shared" si="5"/>
        <x:v>0</x:v>
      </x:c>
      <x:c r="X110" s="23"/>
      <x:c r="Y110" s="23"/>
      <x:c r="Z110" s="23"/>
    </x:row>
    <x:row r="111" ht="18.75" customHeight="1">
      <x:c r="A111" s="19"/>
      <x:c r="B111" s="29"/>
      <x:c r="C111" s="21"/>
      <x:c r="D111" s="35"/>
      <x:c r="E111" s="56"/>
      <x:c r="F111" s="56"/>
      <x:c r="G111" s="56"/>
      <x:c r="H111" s="24"/>
      <x:c r="I111" s="25"/>
      <x:c r="J111" s="25"/>
      <x:c r="K111" s="25"/>
      <x:c r="L111" s="25"/>
      <x:c r="M111" s="25"/>
      <x:c r="N111" s="24"/>
      <x:c r="O111" s="25"/>
      <x:c r="P111" s="25"/>
      <x:c r="Q111" s="25"/>
      <x:c r="R111" s="25"/>
      <x:c r="S111" s="25"/>
      <x:c r="T111" s="25"/>
      <x:c r="U111" s="25"/>
      <x:c r="V111" s="25"/>
      <x:c r="W111" s="26">
        <x:f t="shared" si="5"/>
        <x:v>0</x:v>
      </x:c>
      <x:c r="X111" s="23"/>
      <x:c r="Y111" s="23"/>
      <x:c r="Z111" s="23"/>
    </x:row>
    <x:row r="112" ht="18.75" customHeight="1">
      <x:c r="A112" s="19"/>
      <x:c r="B112" s="29"/>
      <x:c r="C112" s="21"/>
      <x:c r="D112" s="55"/>
      <x:c r="E112" s="56"/>
      <x:c r="F112" s="56"/>
      <x:c r="G112" s="56"/>
      <x:c r="H112" s="24"/>
      <x:c r="I112" s="25"/>
      <x:c r="J112" s="25"/>
      <x:c r="K112" s="25"/>
      <x:c r="L112" s="25"/>
      <x:c r="M112" s="25"/>
      <x:c r="N112" s="24"/>
      <x:c r="O112" s="25"/>
      <x:c r="P112" s="25"/>
      <x:c r="Q112" s="25"/>
      <x:c r="R112" s="25"/>
      <x:c r="S112" s="25"/>
      <x:c r="T112" s="25"/>
      <x:c r="U112" s="25"/>
      <x:c r="V112" s="25"/>
      <x:c r="W112" s="26">
        <x:f t="shared" si="5"/>
        <x:v>0</x:v>
      </x:c>
      <x:c r="X112" s="23"/>
      <x:c r="Y112" s="23"/>
      <x:c r="Z112" s="23"/>
    </x:row>
    <x:row r="113" ht="18.75" customHeight="1">
      <x:c r="A113" s="19"/>
      <x:c r="B113" s="29"/>
      <x:c r="C113" s="21"/>
      <x:c r="D113" s="55"/>
      <x:c r="E113" s="56"/>
      <x:c r="F113" s="56"/>
      <x:c r="G113" s="56"/>
      <x:c r="H113" s="24"/>
      <x:c r="I113" s="25"/>
      <x:c r="J113" s="25"/>
      <x:c r="K113" s="25"/>
      <x:c r="L113" s="25"/>
      <x:c r="M113" s="25"/>
      <x:c r="N113" s="24"/>
      <x:c r="O113" s="25"/>
      <x:c r="P113" s="25"/>
      <x:c r="Q113" s="25"/>
      <x:c r="R113" s="25"/>
      <x:c r="S113" s="25"/>
      <x:c r="T113" s="25"/>
      <x:c r="U113" s="25"/>
      <x:c r="V113" s="25"/>
      <x:c r="W113" s="26">
        <x:f t="shared" si="5"/>
        <x:v>0</x:v>
      </x:c>
      <x:c r="X113" s="23"/>
      <x:c r="Y113" s="23"/>
      <x:c r="Z113" s="23"/>
    </x:row>
    <x:row r="114" ht="18.75" customHeight="1">
      <x:c r="A114" s="19"/>
      <x:c r="B114" s="29"/>
      <x:c r="C114" s="21"/>
      <x:c r="D114" s="55"/>
      <x:c r="E114" s="56"/>
      <x:c r="F114" s="56"/>
      <x:c r="G114" s="56"/>
      <x:c r="H114" s="24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6">
        <x:f t="shared" si="5"/>
        <x:v>0</x:v>
      </x:c>
      <x:c r="X114" s="23"/>
      <x:c r="Y114" s="23"/>
      <x:c r="Z114" s="23"/>
    </x:row>
    <x:row r="115" ht="18.75" customHeight="1">
      <x:c r="A115" s="19"/>
      <x:c r="B115" s="29"/>
      <x:c r="C115" s="21"/>
      <x:c r="D115" s="55"/>
      <x:c r="E115" s="56"/>
      <x:c r="F115" s="56"/>
      <x:c r="G115" s="56"/>
      <x:c r="H115" s="24"/>
      <x:c r="I115" s="25"/>
      <x:c r="J115" s="25"/>
      <x:c r="K115" s="25"/>
      <x:c r="L115" s="25"/>
      <x:c r="M115" s="24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6">
        <x:f t="shared" si="5"/>
        <x:v>0</x:v>
      </x:c>
      <x:c r="X115" s="23"/>
      <x:c r="Y115" s="23"/>
      <x:c r="Z115" s="23"/>
    </x:row>
    <x:row r="116" ht="18.75" customHeight="1">
      <x:c r="A116" s="19"/>
      <x:c r="B116" s="29"/>
      <x:c r="C116" s="21"/>
      <x:c r="D116" s="55"/>
      <x:c r="E116" s="56"/>
      <x:c r="F116" s="56"/>
      <x:c r="G116" s="56"/>
      <x:c r="H116" s="24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6">
        <x:f t="shared" si="5"/>
        <x:v>0</x:v>
      </x:c>
      <x:c r="X116" s="23"/>
      <x:c r="Y116" s="23"/>
      <x:c r="Z116" s="23"/>
    </x:row>
    <x:row r="117" ht="18.75" customHeight="1">
      <x:c r="A117" s="19"/>
      <x:c r="B117" s="29"/>
      <x:c r="C117" s="21"/>
      <x:c r="D117" s="35"/>
      <x:c r="E117" s="56"/>
      <x:c r="F117" s="56"/>
      <x:c r="G117" s="56"/>
      <x:c r="H117" s="24"/>
      <x:c r="I117" s="25"/>
      <x:c r="J117" s="25"/>
      <x:c r="K117" s="25"/>
      <x:c r="L117" s="25"/>
      <x:c r="M117" s="24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6">
        <x:f t="shared" si="5"/>
        <x:v>0</x:v>
      </x:c>
      <x:c r="X117" s="23"/>
      <x:c r="Y117" s="23"/>
      <x:c r="Z117" s="23"/>
    </x:row>
    <x:row r="118" ht="18.75" customHeight="1">
      <x:c r="A118" s="19"/>
      <x:c r="B118" s="29"/>
      <x:c r="C118" s="21"/>
      <x:c r="D118" s="55"/>
      <x:c r="E118" s="56"/>
      <x:c r="F118" s="56"/>
      <x:c r="G118" s="56"/>
      <x:c r="H118" s="24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6">
        <x:f t="shared" si="5"/>
        <x:v>0</x:v>
      </x:c>
      <x:c r="X118" s="23"/>
      <x:c r="Y118" s="23"/>
      <x:c r="Z118" s="23"/>
    </x:row>
    <x:row r="119" ht="18.75" customHeight="1">
      <x:c r="A119" s="19"/>
      <x:c r="B119" s="29"/>
      <x:c r="C119" s="21"/>
      <x:c r="D119" s="55"/>
      <x:c r="E119" s="56"/>
      <x:c r="F119" s="56"/>
      <x:c r="G119" s="56"/>
      <x:c r="H119" s="24"/>
      <x:c r="I119" s="25"/>
      <x:c r="J119" s="25"/>
      <x:c r="K119" s="25"/>
      <x:c r="L119" s="25"/>
      <x:c r="M119" s="25"/>
      <x:c r="N119" s="24"/>
      <x:c r="O119" s="25"/>
      <x:c r="P119" s="25"/>
      <x:c r="Q119" s="25"/>
      <x:c r="R119" s="25"/>
      <x:c r="S119" s="25"/>
      <x:c r="T119" s="25"/>
      <x:c r="U119" s="25"/>
      <x:c r="V119" s="25"/>
      <x:c r="W119" s="26">
        <x:f t="shared" si="5"/>
        <x:v>0</x:v>
      </x:c>
      <x:c r="X119" s="23"/>
      <x:c r="Y119" s="23"/>
      <x:c r="Z119" s="23"/>
    </x:row>
    <x:row r="120" ht="18.75" customHeight="1">
      <x:c r="A120" s="19"/>
      <x:c r="B120" s="29"/>
      <x:c r="C120" s="21"/>
      <x:c r="D120" s="55"/>
      <x:c r="E120" s="56"/>
      <x:c r="F120" s="56"/>
      <x:c r="G120" s="56"/>
      <x:c r="H120" s="24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6">
        <x:f t="shared" si="5"/>
        <x:v>0</x:v>
      </x:c>
      <x:c r="X120" s="23"/>
      <x:c r="Y120" s="23"/>
      <x:c r="Z120" s="23"/>
    </x:row>
    <x:row r="121" ht="18.75" customHeight="1">
      <x:c r="A121" s="19"/>
      <x:c r="B121" s="29"/>
      <x:c r="C121" s="21"/>
      <x:c r="D121" s="55"/>
      <x:c r="E121" s="56"/>
      <x:c r="F121" s="56"/>
      <x:c r="G121" s="56"/>
      <x:c r="H121" s="24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6">
        <x:f t="shared" si="5"/>
        <x:v>0</x:v>
      </x:c>
      <x:c r="X121" s="23"/>
      <x:c r="Y121" s="23"/>
      <x:c r="Z121" s="23"/>
    </x:row>
    <x:row r="122" ht="18.75" customHeight="1">
      <x:c r="A122" s="19"/>
      <x:c r="B122" s="29"/>
      <x:c r="C122" s="21"/>
      <x:c r="D122" s="55"/>
      <x:c r="E122" s="56"/>
      <x:c r="F122" s="56"/>
      <x:c r="G122" s="56"/>
      <x:c r="H122" s="24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6">
        <x:f t="shared" si="5"/>
        <x:v>0</x:v>
      </x:c>
      <x:c r="X122" s="23"/>
      <x:c r="Y122" s="23"/>
      <x:c r="Z122" s="23"/>
    </x:row>
    <x:row r="123" ht="18.75" customHeight="1">
      <x:c r="A123" s="19"/>
      <x:c r="B123" s="29"/>
      <x:c r="C123" s="21"/>
      <x:c r="D123" s="55"/>
      <x:c r="E123" s="56"/>
      <x:c r="F123" s="56"/>
      <x:c r="G123" s="56"/>
      <x:c r="H123" s="24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6">
        <x:f t="shared" si="5"/>
        <x:v>0</x:v>
      </x:c>
      <x:c r="X123" s="23"/>
      <x:c r="Y123" s="23"/>
      <x:c r="Z123" s="23"/>
    </x:row>
    <x:row r="124" ht="18.75" customHeight="1">
      <x:c r="A124" s="19"/>
      <x:c r="B124" s="29"/>
      <x:c r="C124" s="21"/>
      <x:c r="D124" s="55"/>
      <x:c r="E124" s="56"/>
      <x:c r="F124" s="56"/>
      <x:c r="G124" s="56"/>
      <x:c r="H124" s="24"/>
      <x:c r="I124" s="25"/>
      <x:c r="J124" s="25"/>
      <x:c r="K124" s="25"/>
      <x:c r="L124" s="25"/>
      <x:c r="M124" s="25"/>
      <x:c r="N124" s="24"/>
      <x:c r="O124" s="25"/>
      <x:c r="P124" s="25"/>
      <x:c r="Q124" s="25"/>
      <x:c r="R124" s="25"/>
      <x:c r="S124" s="25"/>
      <x:c r="T124" s="25"/>
      <x:c r="U124" s="25"/>
      <x:c r="V124" s="25"/>
      <x:c r="W124" s="26">
        <x:f t="shared" si="5"/>
        <x:v>0</x:v>
      </x:c>
      <x:c r="X124" s="23"/>
      <x:c r="Y124" s="23"/>
      <x:c r="Z124" s="23"/>
    </x:row>
    <x:row r="125" ht="18.75" customHeight="1">
      <x:c r="A125" s="19"/>
      <x:c r="B125" s="29"/>
      <x:c r="C125" s="21"/>
      <x:c r="D125" s="55"/>
      <x:c r="E125" s="56"/>
      <x:c r="F125" s="56"/>
      <x:c r="G125" s="56"/>
      <x:c r="H125" s="24"/>
      <x:c r="I125" s="24"/>
      <x:c r="J125" s="25"/>
      <x:c r="K125" s="25"/>
      <x:c r="L125" s="25"/>
      <x:c r="M125" s="24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6">
        <x:f t="shared" si="5"/>
        <x:v>0</x:v>
      </x:c>
      <x:c r="X125" s="23"/>
      <x:c r="Y125" s="23"/>
      <x:c r="Z125" s="23"/>
    </x:row>
    <x:row r="126" ht="18.75" customHeight="1">
      <x:c r="A126" s="19"/>
      <x:c r="B126" s="29"/>
      <x:c r="C126" s="21"/>
      <x:c r="D126" s="55"/>
      <x:c r="E126" s="56"/>
      <x:c r="F126" s="56"/>
      <x:c r="G126" s="56"/>
      <x:c r="H126" s="24"/>
      <x:c r="I126" s="25"/>
      <x:c r="J126" s="25"/>
      <x:c r="K126" s="25"/>
      <x:c r="L126" s="25"/>
      <x:c r="M126" s="24"/>
      <x:c r="N126" s="24"/>
      <x:c r="O126" s="25"/>
      <x:c r="P126" s="25"/>
      <x:c r="Q126" s="25"/>
      <x:c r="R126" s="25"/>
      <x:c r="S126" s="25"/>
      <x:c r="T126" s="25"/>
      <x:c r="U126" s="25"/>
      <x:c r="V126" s="25"/>
      <x:c r="W126" s="26">
        <x:f t="shared" si="5"/>
        <x:v>0</x:v>
      </x:c>
      <x:c r="X126" s="23"/>
      <x:c r="Y126" s="23"/>
      <x:c r="Z126" s="23"/>
    </x:row>
    <x:row r="127" ht="18.75" customHeight="1">
      <x:c r="A127" s="19"/>
      <x:c r="B127" s="29"/>
      <x:c r="C127" s="21"/>
      <x:c r="D127" s="55"/>
      <x:c r="E127" s="56"/>
      <x:c r="F127" s="56"/>
      <x:c r="G127" s="56"/>
      <x:c r="H127" s="24"/>
      <x:c r="I127" s="25"/>
      <x:c r="J127" s="25"/>
      <x:c r="K127" s="25"/>
      <x:c r="L127" s="25"/>
      <x:c r="M127" s="24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6">
        <x:f t="shared" si="5"/>
        <x:v>0</x:v>
      </x:c>
      <x:c r="X127" s="23"/>
      <x:c r="Y127" s="23"/>
      <x:c r="Z127" s="23"/>
    </x:row>
    <x:row r="128" ht="18.75" customHeight="1">
      <x:c r="A128" s="19"/>
      <x:c r="B128" s="29"/>
      <x:c r="C128" s="21"/>
      <x:c r="D128" s="55"/>
      <x:c r="E128" s="56"/>
      <x:c r="F128" s="56"/>
      <x:c r="G128" s="56"/>
      <x:c r="H128" s="24"/>
      <x:c r="I128" s="25"/>
      <x:c r="J128" s="25"/>
      <x:c r="K128" s="25"/>
      <x:c r="L128" s="25"/>
      <x:c r="M128" s="25"/>
      <x:c r="N128" s="24"/>
      <x:c r="O128" s="25"/>
      <x:c r="P128" s="25"/>
      <x:c r="Q128" s="25"/>
      <x:c r="R128" s="25"/>
      <x:c r="S128" s="25"/>
      <x:c r="T128" s="25"/>
      <x:c r="U128" s="25"/>
      <x:c r="V128" s="25"/>
      <x:c r="W128" s="26">
        <x:f t="shared" si="5"/>
        <x:v>0</x:v>
      </x:c>
      <x:c r="X128" s="23"/>
      <x:c r="Y128" s="23"/>
      <x:c r="Z128" s="23"/>
    </x:row>
    <x:row r="129" ht="18.75" customHeight="1">
      <x:c r="A129" s="19"/>
      <x:c r="B129" s="29"/>
      <x:c r="C129" s="21"/>
      <x:c r="D129" s="35"/>
      <x:c r="E129" s="56"/>
      <x:c r="F129" s="56"/>
      <x:c r="G129" s="56"/>
      <x:c r="H129" s="24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6">
        <x:f t="shared" si="5"/>
        <x:v>0</x:v>
      </x:c>
      <x:c r="X129" s="23"/>
      <x:c r="Y129" s="23"/>
      <x:c r="Z129" s="23"/>
    </x:row>
    <x:row r="130" ht="18.75" customHeight="1">
      <x:c r="A130" s="19"/>
      <x:c r="B130" s="29"/>
      <x:c r="C130" s="21"/>
      <x:c r="D130" s="55"/>
      <x:c r="E130" s="56"/>
      <x:c r="F130" s="56"/>
      <x:c r="G130" s="56"/>
      <x:c r="H130" s="24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6">
        <x:f t="shared" si="5"/>
        <x:v>0</x:v>
      </x:c>
      <x:c r="X130" s="23"/>
      <x:c r="Y130" s="23"/>
      <x:c r="Z130" s="23"/>
    </x:row>
    <x:row r="131" ht="18.75" customHeight="1">
      <x:c r="A131" s="19"/>
      <x:c r="B131" s="29"/>
      <x:c r="C131" s="21"/>
      <x:c r="D131" s="55"/>
      <x:c r="E131" s="56"/>
      <x:c r="F131" s="56"/>
      <x:c r="G131" s="56"/>
      <x:c r="H131" s="24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6">
        <x:f t="shared" si="5"/>
        <x:v>0</x:v>
      </x:c>
      <x:c r="X131" s="23"/>
      <x:c r="Y131" s="23"/>
      <x:c r="Z131" s="23"/>
    </x:row>
    <x:row r="132" ht="18.75" customHeight="1">
      <x:c r="A132" s="19"/>
      <x:c r="B132" s="29"/>
      <x:c r="C132" s="21"/>
      <x:c r="D132" s="55"/>
      <x:c r="E132" s="56"/>
      <x:c r="F132" s="56"/>
      <x:c r="G132" s="56"/>
      <x:c r="H132" s="24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6">
        <x:f t="shared" si="5"/>
        <x:v>0</x:v>
      </x:c>
      <x:c r="X132" s="23"/>
      <x:c r="Y132" s="23"/>
      <x:c r="Z132" s="23"/>
    </x:row>
    <x:row r="133" ht="18.75" customHeight="1">
      <x:c r="A133" s="19"/>
      <x:c r="B133" s="29"/>
      <x:c r="C133" s="21"/>
      <x:c r="D133" s="55"/>
      <x:c r="E133" s="56"/>
      <x:c r="F133" s="56"/>
      <x:c r="G133" s="56"/>
      <x:c r="H133" s="24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6">
        <x:f t="shared" si="5"/>
        <x:v>0</x:v>
      </x:c>
      <x:c r="X133" s="23"/>
      <x:c r="Y133" s="23"/>
      <x:c r="Z133" s="23"/>
    </x:row>
    <x:row r="134" ht="18.75" customHeight="1">
      <x:c r="A134" s="19"/>
      <x:c r="B134" s="29"/>
      <x:c r="C134" s="21"/>
      <x:c r="D134" s="55"/>
      <x:c r="E134" s="56"/>
      <x:c r="F134" s="56"/>
      <x:c r="G134" s="56"/>
      <x:c r="H134" s="24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6">
        <x:f t="shared" si="5"/>
        <x:v>0</x:v>
      </x:c>
      <x:c r="X134" s="23"/>
      <x:c r="Y134" s="23"/>
      <x:c r="Z134" s="23"/>
    </x:row>
    <x:row r="135" ht="18.75" customHeight="1">
      <x:c r="A135" s="19"/>
      <x:c r="B135" s="29"/>
      <x:c r="C135" s="21"/>
      <x:c r="D135" s="55"/>
      <x:c r="E135" s="56"/>
      <x:c r="F135" s="56"/>
      <x:c r="G135" s="56"/>
      <x:c r="H135" s="24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6">
        <x:f t="shared" si="5"/>
        <x:v>0</x:v>
      </x:c>
      <x:c r="X135" s="23"/>
      <x:c r="Y135" s="23"/>
      <x:c r="Z135" s="23"/>
    </x:row>
    <x:row r="136" ht="18.75" customHeight="1">
      <x:c r="A136" s="19"/>
      <x:c r="B136" s="29"/>
      <x:c r="C136" s="21"/>
      <x:c r="D136" s="55"/>
      <x:c r="E136" s="56"/>
      <x:c r="F136" s="56"/>
      <x:c r="G136" s="56"/>
      <x:c r="H136" s="24"/>
      <x:c r="I136" s="25"/>
      <x:c r="J136" s="25"/>
      <x:c r="K136" s="25"/>
      <x:c r="L136" s="25"/>
      <x:c r="M136" s="25"/>
      <x:c r="N136" s="24"/>
      <x:c r="O136" s="25"/>
      <x:c r="P136" s="25"/>
      <x:c r="Q136" s="25"/>
      <x:c r="R136" s="25"/>
      <x:c r="S136" s="25"/>
      <x:c r="T136" s="25"/>
      <x:c r="U136" s="25"/>
      <x:c r="V136" s="25"/>
      <x:c r="W136" s="26">
        <x:f t="shared" si="5"/>
        <x:v>0</x:v>
      </x:c>
      <x:c r="X136" s="23"/>
      <x:c r="Y136" s="23"/>
      <x:c r="Z136" s="23"/>
    </x:row>
    <x:row r="137" ht="18.75" customHeight="1">
      <x:c r="A137" s="19"/>
      <x:c r="B137" s="29"/>
      <x:c r="C137" s="21"/>
      <x:c r="D137" s="55"/>
      <x:c r="E137" s="56"/>
      <x:c r="F137" s="56"/>
      <x:c r="G137" s="56"/>
      <x:c r="H137" s="24"/>
      <x:c r="I137" s="25"/>
      <x:c r="J137" s="25"/>
      <x:c r="K137" s="25"/>
      <x:c r="L137" s="25"/>
      <x:c r="M137" s="24"/>
      <x:c r="N137" s="24"/>
      <x:c r="O137" s="25"/>
      <x:c r="P137" s="25"/>
      <x:c r="Q137" s="25"/>
      <x:c r="R137" s="25"/>
      <x:c r="S137" s="25"/>
      <x:c r="T137" s="25"/>
      <x:c r="U137" s="25"/>
      <x:c r="V137" s="25"/>
      <x:c r="W137" s="26">
        <x:f t="shared" si="5"/>
        <x:v>0</x:v>
      </x:c>
      <x:c r="X137" s="23"/>
      <x:c r="Y137" s="23"/>
      <x:c r="Z137" s="23"/>
    </x:row>
    <x:row r="138" ht="18.75" customHeight="1">
      <x:c r="A138" s="19"/>
      <x:c r="B138" s="29"/>
      <x:c r="C138" s="21"/>
      <x:c r="D138" s="55"/>
      <x:c r="E138" s="56"/>
      <x:c r="F138" s="56"/>
      <x:c r="G138" s="56"/>
      <x:c r="H138" s="24"/>
      <x:c r="I138" s="24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6">
        <x:f t="shared" si="5"/>
        <x:v>0</x:v>
      </x:c>
      <x:c r="X138" s="23"/>
      <x:c r="Y138" s="23"/>
      <x:c r="Z138" s="23"/>
    </x:row>
    <x:row r="139" ht="18.75" customHeight="1">
      <x:c r="A139" s="19"/>
      <x:c r="B139" s="29"/>
      <x:c r="C139" s="21"/>
      <x:c r="D139" s="55"/>
      <x:c r="E139" s="56"/>
      <x:c r="F139" s="56"/>
      <x:c r="G139" s="56"/>
      <x:c r="H139" s="24"/>
      <x:c r="I139" s="25"/>
      <x:c r="J139" s="25"/>
      <x:c r="K139" s="25"/>
      <x:c r="L139" s="25"/>
      <x:c r="M139" s="25"/>
      <x:c r="N139" s="24"/>
      <x:c r="O139" s="25"/>
      <x:c r="P139" s="25"/>
      <x:c r="Q139" s="25"/>
      <x:c r="R139" s="25"/>
      <x:c r="S139" s="25"/>
      <x:c r="T139" s="25"/>
      <x:c r="U139" s="25"/>
      <x:c r="V139" s="25"/>
      <x:c r="W139" s="26">
        <x:f t="shared" si="5"/>
        <x:v>0</x:v>
      </x:c>
      <x:c r="X139" s="23"/>
      <x:c r="Y139" s="23"/>
      <x:c r="Z139" s="23"/>
    </x:row>
    <x:row r="140" ht="18.75" customHeight="1">
      <x:c r="A140" s="19"/>
      <x:c r="B140" s="29"/>
      <x:c r="C140" s="21"/>
      <x:c r="D140" s="55"/>
      <x:c r="E140" s="56"/>
      <x:c r="F140" s="56"/>
      <x:c r="G140" s="56"/>
      <x:c r="H140" s="24"/>
      <x:c r="I140" s="25"/>
      <x:c r="J140" s="25"/>
      <x:c r="K140" s="25"/>
      <x:c r="L140" s="25"/>
      <x:c r="M140" s="24"/>
      <x:c r="N140" s="24"/>
      <x:c r="O140" s="25"/>
      <x:c r="P140" s="25"/>
      <x:c r="Q140" s="25"/>
      <x:c r="R140" s="25"/>
      <x:c r="S140" s="25"/>
      <x:c r="T140" s="25"/>
      <x:c r="U140" s="25"/>
      <x:c r="V140" s="25"/>
      <x:c r="W140" s="26">
        <x:f t="shared" si="5"/>
        <x:v>0</x:v>
      </x:c>
      <x:c r="X140" s="23"/>
      <x:c r="Y140" s="23"/>
      <x:c r="Z140" s="23"/>
    </x:row>
    <x:row r="141" ht="18.75" customHeight="1">
      <x:c r="A141" s="19"/>
      <x:c r="B141" s="29"/>
      <x:c r="C141" s="21"/>
      <x:c r="D141" s="55"/>
      <x:c r="E141" s="56"/>
      <x:c r="F141" s="56"/>
      <x:c r="G141" s="56"/>
      <x:c r="H141" s="24"/>
      <x:c r="I141" s="25"/>
      <x:c r="J141" s="25"/>
      <x:c r="K141" s="25"/>
      <x:c r="L141" s="25"/>
      <x:c r="M141" s="25"/>
      <x:c r="N141" s="24"/>
      <x:c r="O141" s="25"/>
      <x:c r="P141" s="25"/>
      <x:c r="Q141" s="25"/>
      <x:c r="R141" s="25"/>
      <x:c r="S141" s="25"/>
      <x:c r="T141" s="25"/>
      <x:c r="U141" s="25"/>
      <x:c r="V141" s="25"/>
      <x:c r="W141" s="26">
        <x:f t="shared" si="5"/>
        <x:v>0</x:v>
      </x:c>
      <x:c r="X141" s="23"/>
      <x:c r="Y141" s="23"/>
      <x:c r="Z141" s="23"/>
    </x:row>
    <x:row r="142" ht="18.75" customHeight="1">
      <x:c r="A142" s="19"/>
      <x:c r="B142" s="29"/>
      <x:c r="C142" s="21"/>
      <x:c r="D142" s="55"/>
      <x:c r="E142" s="56"/>
      <x:c r="F142" s="56"/>
      <x:c r="G142" s="56"/>
      <x:c r="H142" s="24"/>
      <x:c r="I142" s="25"/>
      <x:c r="J142" s="25"/>
      <x:c r="K142" s="25"/>
      <x:c r="L142" s="25"/>
      <x:c r="M142" s="25"/>
      <x:c r="N142" s="24"/>
      <x:c r="O142" s="25"/>
      <x:c r="P142" s="25"/>
      <x:c r="Q142" s="25"/>
      <x:c r="R142" s="25"/>
      <x:c r="S142" s="25"/>
      <x:c r="T142" s="25"/>
      <x:c r="U142" s="25"/>
      <x:c r="V142" s="25"/>
      <x:c r="W142" s="26">
        <x:f t="shared" si="5"/>
        <x:v>0</x:v>
      </x:c>
      <x:c r="X142" s="23"/>
      <x:c r="Y142" s="23"/>
      <x:c r="Z142" s="23"/>
    </x:row>
    <x:row r="143" ht="18.75" customHeight="1">
      <x:c r="A143" s="19"/>
      <x:c r="B143" s="29"/>
      <x:c r="C143" s="21"/>
      <x:c r="D143" s="55"/>
      <x:c r="E143" s="56"/>
      <x:c r="F143" s="56"/>
      <x:c r="G143" s="56"/>
      <x:c r="H143" s="24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6">
        <x:f t="shared" si="5"/>
        <x:v>0</x:v>
      </x:c>
      <x:c r="X143" s="23"/>
      <x:c r="Y143" s="23"/>
      <x:c r="Z143" s="23"/>
    </x:row>
    <x:row r="144" ht="18.75" customHeight="1">
      <x:c r="A144" s="19"/>
      <x:c r="B144" s="29"/>
      <x:c r="C144" s="21"/>
      <x:c r="D144" s="55"/>
      <x:c r="E144" s="56"/>
      <x:c r="F144" s="56"/>
      <x:c r="G144" s="56"/>
      <x:c r="H144" s="24"/>
      <x:c r="I144" s="25"/>
      <x:c r="J144" s="25"/>
      <x:c r="K144" s="25"/>
      <x:c r="L144" s="25"/>
      <x:c r="M144" s="25"/>
      <x:c r="N144" s="24"/>
      <x:c r="O144" s="25"/>
      <x:c r="P144" s="25"/>
      <x:c r="Q144" s="25"/>
      <x:c r="R144" s="25"/>
      <x:c r="S144" s="25"/>
      <x:c r="T144" s="25"/>
      <x:c r="U144" s="25"/>
      <x:c r="V144" s="25"/>
      <x:c r="W144" s="26">
        <x:f t="shared" si="5"/>
        <x:v>0</x:v>
      </x:c>
      <x:c r="X144" s="23"/>
      <x:c r="Y144" s="23"/>
      <x:c r="Z144" s="23"/>
    </x:row>
    <x:row r="145" ht="18.75" customHeight="1">
      <x:c r="A145" s="19"/>
      <x:c r="B145" s="29"/>
      <x:c r="C145" s="21"/>
      <x:c r="D145" s="55"/>
      <x:c r="E145" s="56"/>
      <x:c r="F145" s="56"/>
      <x:c r="G145" s="56"/>
      <x:c r="H145" s="24"/>
      <x:c r="I145" s="25"/>
      <x:c r="J145" s="25"/>
      <x:c r="K145" s="25"/>
      <x:c r="L145" s="25"/>
      <x:c r="M145" s="25"/>
      <x:c r="N145" s="24"/>
      <x:c r="O145" s="25"/>
      <x:c r="P145" s="25"/>
      <x:c r="Q145" s="25"/>
      <x:c r="R145" s="25"/>
      <x:c r="S145" s="25"/>
      <x:c r="T145" s="25"/>
      <x:c r="U145" s="25"/>
      <x:c r="V145" s="25"/>
      <x:c r="W145" s="26">
        <x:f t="shared" si="5"/>
        <x:v>0</x:v>
      </x:c>
      <x:c r="X145" s="23"/>
      <x:c r="Y145" s="23"/>
      <x:c r="Z145" s="23"/>
    </x:row>
    <x:row r="146" ht="18.75" customHeight="1">
      <x:c r="A146" s="19"/>
      <x:c r="B146" s="29"/>
      <x:c r="C146" s="21"/>
      <x:c r="D146" s="55"/>
      <x:c r="E146" s="56"/>
      <x:c r="F146" s="56"/>
      <x:c r="G146" s="56"/>
      <x:c r="H146" s="24"/>
      <x:c r="I146" s="25"/>
      <x:c r="J146" s="24"/>
      <x:c r="K146" s="24"/>
      <x:c r="L146" s="24"/>
      <x:c r="M146" s="25"/>
      <x:c r="N146" s="24"/>
      <x:c r="O146" s="25"/>
      <x:c r="P146" s="25"/>
      <x:c r="Q146" s="25"/>
      <x:c r="R146" s="25"/>
      <x:c r="S146" s="25"/>
      <x:c r="T146" s="25"/>
      <x:c r="U146" s="25"/>
      <x:c r="V146" s="25"/>
      <x:c r="W146" s="26">
        <x:f t="shared" si="5"/>
        <x:v>0</x:v>
      </x:c>
      <x:c r="X146" s="23"/>
      <x:c r="Y146" s="23"/>
      <x:c r="Z146" s="23"/>
    </x:row>
    <x:row r="147" ht="18.75" customHeight="1">
      <x:c r="A147" s="19"/>
      <x:c r="B147" s="29"/>
      <x:c r="C147" s="21"/>
      <x:c r="D147" s="55"/>
      <x:c r="E147" s="56"/>
      <x:c r="F147" s="56"/>
      <x:c r="G147" s="56"/>
      <x:c r="H147" s="24"/>
      <x:c r="I147" s="25"/>
      <x:c r="J147" s="25"/>
      <x:c r="K147" s="25"/>
      <x:c r="L147" s="25"/>
      <x:c r="M147" s="24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6">
        <x:f t="shared" si="5"/>
        <x:v>0</x:v>
      </x:c>
      <x:c r="X147" s="23"/>
      <x:c r="Y147" s="23"/>
      <x:c r="Z147" s="23"/>
    </x:row>
    <x:row r="148" ht="18.75" customHeight="1">
      <x:c r="A148" s="19"/>
      <x:c r="B148" s="29"/>
      <x:c r="C148" s="21"/>
      <x:c r="D148" s="55"/>
      <x:c r="E148" s="56"/>
      <x:c r="F148" s="56"/>
      <x:c r="G148" s="56"/>
      <x:c r="H148" s="24"/>
      <x:c r="I148" s="25"/>
      <x:c r="J148" s="25"/>
      <x:c r="K148" s="25"/>
      <x:c r="L148" s="25"/>
      <x:c r="M148" s="25"/>
      <x:c r="N148" s="24"/>
      <x:c r="O148" s="25"/>
      <x:c r="P148" s="25"/>
      <x:c r="Q148" s="25"/>
      <x:c r="R148" s="25"/>
      <x:c r="S148" s="25"/>
      <x:c r="T148" s="25"/>
      <x:c r="U148" s="25"/>
      <x:c r="V148" s="25"/>
      <x:c r="W148" s="26">
        <x:f t="shared" si="5"/>
        <x:v>0</x:v>
      </x:c>
      <x:c r="X148" s="23"/>
      <x:c r="Y148" s="23"/>
      <x:c r="Z148" s="23"/>
    </x:row>
    <x:row r="149" ht="18.75" customHeight="1">
      <x:c r="A149" s="19"/>
      <x:c r="B149" s="29"/>
      <x:c r="C149" s="21"/>
      <x:c r="D149" s="55"/>
      <x:c r="E149" s="56"/>
      <x:c r="F149" s="56"/>
      <x:c r="G149" s="56"/>
      <x:c r="H149" s="24"/>
      <x:c r="I149" s="25"/>
      <x:c r="J149" s="25"/>
      <x:c r="K149" s="25"/>
      <x:c r="L149" s="25"/>
      <x:c r="M149" s="24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6">
        <x:f t="shared" si="5"/>
        <x:v>0</x:v>
      </x:c>
      <x:c r="X149" s="23"/>
      <x:c r="Y149" s="23"/>
      <x:c r="Z149" s="23"/>
    </x:row>
    <x:row r="150" ht="18.75" customHeight="1">
      <x:c r="A150" s="19"/>
      <x:c r="B150" s="29"/>
      <x:c r="C150" s="21"/>
      <x:c r="D150" s="55"/>
      <x:c r="E150" s="56"/>
      <x:c r="F150" s="56"/>
      <x:c r="G150" s="56"/>
      <x:c r="H150" s="24"/>
      <x:c r="I150" s="25"/>
      <x:c r="J150" s="25"/>
      <x:c r="K150" s="25"/>
      <x:c r="L150" s="25"/>
      <x:c r="M150" s="24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6">
        <x:f t="shared" si="5"/>
        <x:v>0</x:v>
      </x:c>
      <x:c r="X150" s="23"/>
      <x:c r="Y150" s="23"/>
      <x:c r="Z150" s="23"/>
    </x:row>
    <x:row r="151" ht="18.75" customHeight="1">
      <x:c r="A151" s="19"/>
      <x:c r="B151" s="29"/>
      <x:c r="C151" s="21"/>
      <x:c r="D151" s="55"/>
      <x:c r="E151" s="56"/>
      <x:c r="F151" s="56"/>
      <x:c r="G151" s="56"/>
      <x:c r="H151" s="24"/>
      <x:c r="I151" s="25"/>
      <x:c r="J151" s="25"/>
      <x:c r="K151" s="25"/>
      <x:c r="L151" s="25"/>
      <x:c r="M151" s="24"/>
      <x:c r="N151" s="24"/>
      <x:c r="O151" s="25"/>
      <x:c r="P151" s="25"/>
      <x:c r="Q151" s="25"/>
      <x:c r="R151" s="25"/>
      <x:c r="S151" s="25"/>
      <x:c r="T151" s="25"/>
      <x:c r="U151" s="25"/>
      <x:c r="V151" s="25"/>
      <x:c r="W151" s="26">
        <x:f t="shared" si="5"/>
        <x:v>0</x:v>
      </x:c>
      <x:c r="X151" s="23"/>
      <x:c r="Y151" s="23"/>
      <x:c r="Z151" s="23"/>
    </x:row>
    <x:row r="152" ht="18.75" customHeight="1">
      <x:c r="A152" s="19"/>
      <x:c r="B152" s="29"/>
      <x:c r="C152" s="21"/>
      <x:c r="D152" s="55"/>
      <x:c r="E152" s="56"/>
      <x:c r="F152" s="56"/>
      <x:c r="G152" s="56"/>
      <x:c r="H152" s="24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6">
        <x:f t="shared" si="5"/>
        <x:v>0</x:v>
      </x:c>
      <x:c r="X152" s="23"/>
      <x:c r="Y152" s="23"/>
      <x:c r="Z152" s="23"/>
    </x:row>
    <x:row r="153" ht="18.75" customHeight="1">
      <x:c r="A153" s="19"/>
      <x:c r="B153" s="29"/>
      <x:c r="C153" s="21"/>
      <x:c r="D153" s="55"/>
      <x:c r="E153" s="56"/>
      <x:c r="F153" s="56"/>
      <x:c r="G153" s="56"/>
      <x:c r="H153" s="24"/>
      <x:c r="I153" s="25"/>
      <x:c r="J153" s="25"/>
      <x:c r="K153" s="25"/>
      <x:c r="L153" s="25"/>
      <x:c r="M153" s="24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6">
        <x:f t="shared" si="5"/>
        <x:v>0</x:v>
      </x:c>
      <x:c r="X153" s="23"/>
      <x:c r="Y153" s="23"/>
      <x:c r="Z153" s="23"/>
    </x:row>
    <x:row r="154" ht="18.75" customHeight="1">
      <x:c r="A154" s="19"/>
      <x:c r="B154" s="29"/>
      <x:c r="C154" s="21"/>
      <x:c r="D154" s="55"/>
      <x:c r="E154" s="56"/>
      <x:c r="F154" s="56"/>
      <x:c r="G154" s="56"/>
      <x:c r="H154" s="24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6">
        <x:f t="shared" si="5"/>
        <x:v>0</x:v>
      </x:c>
      <x:c r="X154" s="23"/>
      <x:c r="Y154" s="23"/>
      <x:c r="Z154" s="23"/>
    </x:row>
    <x:row r="155" ht="18.75" customHeight="1">
      <x:c r="A155" s="19"/>
      <x:c r="B155" s="29"/>
      <x:c r="C155" s="21"/>
      <x:c r="D155" s="55"/>
      <x:c r="E155" s="56"/>
      <x:c r="F155" s="56"/>
      <x:c r="G155" s="56"/>
      <x:c r="H155" s="24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6">
        <x:f t="shared" si="5"/>
        <x:v>0</x:v>
      </x:c>
      <x:c r="X155" s="23"/>
      <x:c r="Y155" s="23"/>
      <x:c r="Z155" s="23"/>
    </x:row>
    <x:row r="156" ht="18.75" customHeight="1">
      <x:c r="A156" s="19"/>
      <x:c r="B156" s="29"/>
      <x:c r="C156" s="21"/>
      <x:c r="D156" s="55"/>
      <x:c r="E156" s="56"/>
      <x:c r="F156" s="56"/>
      <x:c r="G156" s="56"/>
      <x:c r="H156" s="24"/>
      <x:c r="I156" s="25"/>
      <x:c r="J156" s="25"/>
      <x:c r="K156" s="25"/>
      <x:c r="L156" s="25"/>
      <x:c r="M156" s="24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6">
        <x:f t="shared" si="5"/>
        <x:v>0</x:v>
      </x:c>
      <x:c r="X156" s="23"/>
      <x:c r="Y156" s="23"/>
      <x:c r="Z156" s="23"/>
    </x:row>
    <x:row r="157" ht="18.75" customHeight="1">
      <x:c r="A157" s="19"/>
      <x:c r="B157" s="29"/>
      <x:c r="C157" s="21"/>
      <x:c r="D157" s="55"/>
      <x:c r="E157" s="56"/>
      <x:c r="F157" s="56"/>
      <x:c r="G157" s="56"/>
      <x:c r="H157" s="24"/>
      <x:c r="I157" s="25"/>
      <x:c r="J157" s="24"/>
      <x:c r="K157" s="24"/>
      <x:c r="L157" s="24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6">
        <x:f t="shared" si="5"/>
        <x:v>0</x:v>
      </x:c>
      <x:c r="X157" s="23"/>
      <x:c r="Y157" s="23"/>
      <x:c r="Z157" s="23"/>
    </x:row>
    <x:row r="158" ht="18.75" customHeight="1">
      <x:c r="A158" s="19"/>
      <x:c r="B158" s="29"/>
      <x:c r="C158" s="21"/>
      <x:c r="D158" s="55"/>
      <x:c r="E158" s="56"/>
      <x:c r="F158" s="56"/>
      <x:c r="G158" s="56"/>
      <x:c r="H158" s="24"/>
      <x:c r="I158" s="25"/>
      <x:c r="J158" s="25"/>
      <x:c r="K158" s="25"/>
      <x:c r="L158" s="25"/>
      <x:c r="M158" s="25"/>
      <x:c r="N158" s="24"/>
      <x:c r="O158" s="25"/>
      <x:c r="P158" s="25"/>
      <x:c r="Q158" s="25"/>
      <x:c r="R158" s="25"/>
      <x:c r="S158" s="25"/>
      <x:c r="T158" s="25"/>
      <x:c r="U158" s="25"/>
      <x:c r="V158" s="25"/>
      <x:c r="W158" s="26">
        <x:f t="shared" si="5"/>
        <x:v>0</x:v>
      </x:c>
      <x:c r="X158" s="23"/>
      <x:c r="Y158" s="23"/>
      <x:c r="Z158" s="23"/>
    </x:row>
    <x:row r="159" ht="18.75" customHeight="1">
      <x:c r="A159" s="19"/>
      <x:c r="B159" s="29"/>
      <x:c r="C159" s="21"/>
      <x:c r="D159" s="55"/>
      <x:c r="E159" s="56"/>
      <x:c r="F159" s="56"/>
      <x:c r="G159" s="56"/>
      <x:c r="H159" s="24"/>
      <x:c r="I159" s="25"/>
      <x:c r="J159" s="25"/>
      <x:c r="K159" s="25"/>
      <x:c r="L159" s="25"/>
      <x:c r="M159" s="25"/>
      <x:c r="N159" s="24"/>
      <x:c r="O159" s="25"/>
      <x:c r="P159" s="25"/>
      <x:c r="Q159" s="25"/>
      <x:c r="R159" s="25"/>
      <x:c r="S159" s="25"/>
      <x:c r="T159" s="25"/>
      <x:c r="U159" s="25"/>
      <x:c r="V159" s="25"/>
      <x:c r="W159" s="26">
        <x:f t="shared" si="5"/>
        <x:v>0</x:v>
      </x:c>
      <x:c r="X159" s="23"/>
      <x:c r="Y159" s="23"/>
      <x:c r="Z159" s="23"/>
    </x:row>
    <x:row r="160" ht="18.75" customHeight="1">
      <x:c r="A160" s="19"/>
      <x:c r="B160" s="29"/>
      <x:c r="C160" s="21"/>
      <x:c r="D160" s="55"/>
      <x:c r="E160" s="56"/>
      <x:c r="F160" s="56"/>
      <x:c r="G160" s="56"/>
      <x:c r="H160" s="24"/>
      <x:c r="I160" s="25"/>
      <x:c r="J160" s="25"/>
      <x:c r="K160" s="25"/>
      <x:c r="L160" s="25"/>
      <x:c r="M160" s="25"/>
      <x:c r="N160" s="74"/>
      <x:c r="O160" s="74"/>
      <x:c r="P160" s="25"/>
      <x:c r="Q160" s="25"/>
      <x:c r="R160" s="25"/>
      <x:c r="S160" s="25"/>
      <x:c r="T160" s="25"/>
      <x:c r="U160" s="25"/>
      <x:c r="V160" s="25"/>
      <x:c r="W160" s="26">
        <x:f t="shared" si="5"/>
        <x:v>0</x:v>
      </x:c>
      <x:c r="X160" s="23"/>
      <x:c r="Y160" s="23"/>
      <x:c r="Z160" s="23"/>
    </x:row>
    <x:row r="161" ht="18.75" customHeight="1">
      <x:c r="A161" s="19"/>
      <x:c r="B161" s="29"/>
      <x:c r="C161" s="21"/>
      <x:c r="D161" s="55"/>
      <x:c r="E161" s="56"/>
      <x:c r="F161" s="56"/>
      <x:c r="G161" s="56"/>
      <x:c r="H161" s="24"/>
      <x:c r="I161" s="25"/>
      <x:c r="J161" s="25"/>
      <x:c r="K161" s="25"/>
      <x:c r="L161" s="25"/>
      <x:c r="M161" s="24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6">
        <x:f t="shared" si="5"/>
        <x:v>0</x:v>
      </x:c>
      <x:c r="X161" s="23"/>
      <x:c r="Y161" s="23"/>
      <x:c r="Z161" s="23"/>
    </x:row>
    <x:row r="162" ht="18.75" customHeight="1">
      <x:c r="A162" s="19"/>
      <x:c r="B162" s="29"/>
      <x:c r="C162" s="21"/>
      <x:c r="D162" s="55"/>
      <x:c r="E162" s="56"/>
      <x:c r="F162" s="56"/>
      <x:c r="G162" s="56"/>
      <x:c r="H162" s="24"/>
      <x:c r="I162" s="25"/>
      <x:c r="J162" s="25"/>
      <x:c r="K162" s="25"/>
      <x:c r="L162" s="25"/>
      <x:c r="M162" s="25"/>
      <x:c r="N162" s="24"/>
      <x:c r="O162" s="25"/>
      <x:c r="P162" s="25"/>
      <x:c r="Q162" s="25"/>
      <x:c r="R162" s="25"/>
      <x:c r="S162" s="25"/>
      <x:c r="T162" s="25"/>
      <x:c r="U162" s="25"/>
      <x:c r="V162" s="25"/>
      <x:c r="W162" s="26">
        <x:f t="shared" si="5"/>
        <x:v>0</x:v>
      </x:c>
      <x:c r="X162" s="23"/>
      <x:c r="Y162" s="23"/>
      <x:c r="Z162" s="23"/>
    </x:row>
    <x:row r="163" ht="18.75" customHeight="1">
      <x:c r="A163" s="19"/>
      <x:c r="B163" s="29"/>
      <x:c r="C163" s="21"/>
      <x:c r="D163" s="55"/>
      <x:c r="E163" s="56"/>
      <x:c r="F163" s="56"/>
      <x:c r="G163" s="56"/>
      <x:c r="H163" s="24"/>
      <x:c r="I163" s="25"/>
      <x:c r="J163" s="25"/>
      <x:c r="K163" s="25"/>
      <x:c r="L163" s="25"/>
      <x:c r="M163" s="25"/>
      <x:c r="N163" s="24"/>
      <x:c r="O163" s="25"/>
      <x:c r="P163" s="25"/>
      <x:c r="Q163" s="25"/>
      <x:c r="R163" s="25"/>
      <x:c r="S163" s="25"/>
      <x:c r="T163" s="25"/>
      <x:c r="U163" s="25"/>
      <x:c r="V163" s="25"/>
      <x:c r="W163" s="26">
        <x:f t="shared" si="5"/>
        <x:v>0</x:v>
      </x:c>
      <x:c r="X163" s="23"/>
      <x:c r="Y163" s="23"/>
      <x:c r="Z163" s="23"/>
    </x:row>
    <x:row r="164" ht="18.75" customHeight="1">
      <x:c r="A164" s="19"/>
      <x:c r="B164" s="29"/>
      <x:c r="C164" s="21"/>
      <x:c r="D164" s="55"/>
      <x:c r="E164" s="56"/>
      <x:c r="F164" s="56"/>
      <x:c r="G164" s="56"/>
      <x:c r="H164" s="24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6">
        <x:f t="shared" si="5"/>
        <x:v>0</x:v>
      </x:c>
      <x:c r="X164" s="23"/>
      <x:c r="Y164" s="23"/>
      <x:c r="Z164" s="23"/>
    </x:row>
    <x:row r="165" ht="18.75" customHeight="1">
      <x:c r="A165" s="19"/>
      <x:c r="B165" s="29"/>
      <x:c r="C165" s="21"/>
      <x:c r="D165" s="55"/>
      <x:c r="E165" s="56"/>
      <x:c r="F165" s="56"/>
      <x:c r="G165" s="56"/>
      <x:c r="H165" s="24"/>
      <x:c r="I165" s="25"/>
      <x:c r="J165" s="25"/>
      <x:c r="K165" s="25"/>
      <x:c r="L165" s="25"/>
      <x:c r="M165" s="25"/>
      <x:c r="N165" s="24"/>
      <x:c r="O165" s="25"/>
      <x:c r="P165" s="25"/>
      <x:c r="Q165" s="25"/>
      <x:c r="R165" s="25"/>
      <x:c r="S165" s="25"/>
      <x:c r="T165" s="25"/>
      <x:c r="U165" s="25"/>
      <x:c r="V165" s="25"/>
      <x:c r="W165" s="26">
        <x:f t="shared" si="5"/>
        <x:v>0</x:v>
      </x:c>
      <x:c r="X165" s="23"/>
      <x:c r="Y165" s="23"/>
      <x:c r="Z165" s="23"/>
    </x:row>
    <x:row r="166" ht="18.75" customHeight="1">
      <x:c r="A166" s="19"/>
      <x:c r="B166" s="29"/>
      <x:c r="C166" s="21"/>
      <x:c r="D166" s="55"/>
      <x:c r="E166" s="56"/>
      <x:c r="F166" s="56"/>
      <x:c r="G166" s="56"/>
      <x:c r="H166" s="24"/>
      <x:c r="I166" s="25"/>
      <x:c r="J166" s="25"/>
      <x:c r="K166" s="25"/>
      <x:c r="L166" s="25"/>
      <x:c r="M166" s="25"/>
      <x:c r="N166" s="24"/>
      <x:c r="O166" s="25"/>
      <x:c r="P166" s="25"/>
      <x:c r="Q166" s="25"/>
      <x:c r="R166" s="25"/>
      <x:c r="S166" s="25"/>
      <x:c r="T166" s="25"/>
      <x:c r="U166" s="25"/>
      <x:c r="V166" s="25"/>
      <x:c r="W166" s="26">
        <x:f t="shared" si="5"/>
        <x:v>0</x:v>
      </x:c>
      <x:c r="X166" s="23"/>
      <x:c r="Y166" s="23"/>
      <x:c r="Z166" s="23"/>
    </x:row>
    <x:row r="167" ht="18.75" customHeight="1">
      <x:c r="A167" s="19"/>
      <x:c r="B167" s="29"/>
      <x:c r="C167" s="21"/>
      <x:c r="D167" s="55"/>
      <x:c r="E167" s="56"/>
      <x:c r="F167" s="56"/>
      <x:c r="G167" s="56"/>
      <x:c r="H167" s="24"/>
      <x:c r="I167" s="25"/>
      <x:c r="J167" s="25"/>
      <x:c r="K167" s="25"/>
      <x:c r="L167" s="25"/>
      <x:c r="M167" s="24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6">
        <x:f t="shared" si="5"/>
        <x:v>0</x:v>
      </x:c>
      <x:c r="X167" s="23"/>
      <x:c r="Y167" s="23"/>
      <x:c r="Z167" s="23"/>
    </x:row>
    <x:row r="168" ht="18.75" customHeight="1">
      <x:c r="A168" s="19"/>
      <x:c r="B168" s="29"/>
      <x:c r="C168" s="21"/>
      <x:c r="D168" s="55"/>
      <x:c r="E168" s="56"/>
      <x:c r="F168" s="56"/>
      <x:c r="G168" s="56"/>
      <x:c r="H168" s="24"/>
      <x:c r="I168" s="25"/>
      <x:c r="J168" s="24"/>
      <x:c r="K168" s="24"/>
      <x:c r="L168" s="24"/>
      <x:c r="M168" s="25"/>
      <x:c r="N168" s="24"/>
      <x:c r="O168" s="25"/>
      <x:c r="P168" s="25"/>
      <x:c r="Q168" s="25"/>
      <x:c r="R168" s="25"/>
      <x:c r="S168" s="25"/>
      <x:c r="T168" s="25"/>
      <x:c r="U168" s="25"/>
      <x:c r="V168" s="25"/>
      <x:c r="W168" s="26">
        <x:f t="shared" si="5"/>
        <x:v>0</x:v>
      </x:c>
      <x:c r="X168" s="23"/>
      <x:c r="Y168" s="23"/>
      <x:c r="Z168" s="23"/>
    </x:row>
    <x:row r="169">
      <x:c r="A169" s="75"/>
      <x:c r="B169" s="76" t="s">
        <x:v>27</x:v>
      </x:c>
      <x:c r="C169" s="77"/>
      <x:c r="D169" s="78"/>
      <x:c r="E169" s="92" t="n">
        <x:f t="shared" ref="E169:W169" si="8">SUM(E4:E168)</x:f>
        <x:v>2</x:v>
      </x:c>
      <x:c r="F169" s="92">
        <x:f t="shared" si="8"/>
        <x:v>9</x:v>
      </x:c>
      <x:c r="G169" s="92">
        <x:f t="shared" si="8"/>
        <x:v>1</x:v>
      </x:c>
      <x:c r="H169" s="93">
        <x:f t="shared" si="8"/>
        <x:v>0</x:v>
      </x:c>
      <x:c r="I169" s="93">
        <x:f t="shared" si="8"/>
        <x:v>1</x:v>
      </x:c>
      <x:c r="J169" s="93">
        <x:f t="shared" si="8"/>
        <x:v>3</x:v>
      </x:c>
      <x:c r="K169" s="93">
        <x:f t="shared" si="8"/>
        <x:v>0</x:v>
      </x:c>
      <x:c r="L169" s="93">
        <x:f t="shared" si="8"/>
        <x:v>0</x:v>
      </x:c>
      <x:c r="M169" s="93">
        <x:f t="shared" si="8"/>
        <x:v>6</x:v>
      </x:c>
      <x:c r="N169" s="93">
        <x:f t="shared" si="8"/>
        <x:v>0</x:v>
      </x:c>
      <x:c r="O169" s="93">
        <x:f t="shared" si="8"/>
        <x:v>3</x:v>
      </x:c>
      <x:c r="P169" s="93">
        <x:f t="shared" si="8"/>
        <x:v>0</x:v>
      </x:c>
      <x:c r="Q169" s="93">
        <x:f t="shared" si="8"/>
        <x:v>3</x:v>
      </x:c>
      <x:c r="R169" s="93">
        <x:f t="shared" si="8"/>
        <x:v>20</x:v>
      </x:c>
      <x:c r="S169" s="93">
        <x:f t="shared" si="8"/>
        <x:v>0</x:v>
      </x:c>
      <x:c r="T169" s="93">
        <x:f t="shared" si="8"/>
        <x:v>0</x:v>
      </x:c>
      <x:c r="U169" s="93">
        <x:f t="shared" si="8"/>
        <x:v>0</x:v>
      </x:c>
      <x:c r="V169" s="93">
        <x:f t="shared" si="8"/>
        <x:v>0</x:v>
      </x:c>
      <x:c r="W169" s="80">
        <x:f t="shared" si="8"/>
        <x:v>15430000</x:v>
      </x:c>
      <x:c r="X169" s="77"/>
      <x:c r="Y169" s="77"/>
      <x:c r="Z169" s="77"/>
    </x:row>
    <x:row r="170">
      <x:c r="A170" s="75"/>
      <x:c r="B170" s="76" t="s">
        <x:v>51</x:v>
      </x:c>
      <x:c r="C170" s="81"/>
      <x:c r="D170" s="82">
        <x:v>300000.0</x:v>
      </x:c>
      <x:c r="E170" s="83" t="n">
        <x:f>E169*Inventory_batches!F161</x:f>
        <x:v>422940</x:v>
      </x:c>
      <x:c r="F170" s="83" t="n">
        <x:f>F169*Inventory_batches!F160</x:f>
        <x:v>1891305</x:v>
      </x:c>
      <x:c r="G170" s="83" t="n">
        <x:f>G169*Inventory_batches!I133</x:f>
        <x:v>162854.4675</x:v>
      </x:c>
      <x:c r="H170" s="83" t="n">
        <x:f>H169*Inventory_batches!I124</x:f>
        <x:v>0</x:v>
      </x:c>
      <x:c r="I170" s="84" t="n">
        <x:f>I169*Inventory_batches!I135</x:f>
        <x:v>239678.5717</x:v>
      </x:c>
      <x:c r="J170" s="84" t="n">
        <x:f>J169*Inventory_batches!F159</x:f>
        <x:v>1271205</x:v>
      </x:c>
      <x:c r="K170" s="84" t="n">
        <x:f>K169*Inventory_batches!I134</x:f>
        <x:v>0</x:v>
      </x:c>
      <x:c r="L170" s="84" t="n">
        <x:f>L169*Inventory_batches!I108</x:f>
        <x:v>0</x:v>
      </x:c>
      <x:c r="M170" s="84" t="n">
        <x:f>M169*Inventory_batches!F147</x:f>
        <x:v>795000</x:v>
      </x:c>
      <x:c r="N170" s="84" t="n">
        <x:f>N169*Inventory_batches!I131</x:f>
        <x:v>0</x:v>
      </x:c>
      <x:c r="O170" s="84" t="n">
        <x:f>O169*Inventory_batches!I136</x:f>
        <x:v>642211.611</x:v>
      </x:c>
      <x:c r="P170" s="83" t="n">
        <x:f>P169*Inventory_batches!I142</x:f>
        <x:v>0</x:v>
      </x:c>
      <x:c r="Q170" s="83" t="n">
        <x:f>Q169*Inventory_batches!I138</x:f>
        <x:v>1179980.3406</x:v>
      </x:c>
      <x:c r="R170" s="83" t="n">
        <x:f>R169*Inventory_batches!I141</x:f>
        <x:v>3257089.35</x:v>
      </x:c>
      <x:c r="S170" s="83" t="n">
        <x:f>S169*Inventory_batches!I139</x:f>
        <x:v>0</x:v>
      </x:c>
      <x:c r="T170" s="83" t="n">
        <x:f t="shared" ref="T170:V170" si="9">(1890 * 170) * T169</x:f>
        <x:v>0</x:v>
      </x:c>
      <x:c r="U170" s="83">
        <x:f t="shared" si="9"/>
        <x:v>0</x:v>
      </x:c>
      <x:c r="V170" s="83">
        <x:f t="shared" si="9"/>
        <x:v>0</x:v>
      </x:c>
      <x:c r="W170" s="83" t="n">
        <x:f>SUM(E170:V170)</x:f>
        <x:v>9862264.3408</x:v>
      </x:c>
      <x:c r="X170" s="85" t="n">
        <x:f>W170-AB5</x:f>
        <x:v>2839264.3408000004</x:v>
      </x:c>
      <x:c r="Y170" s="86"/>
      <x:c r="Z170" s="86"/>
      <x:c r="AA170" s="32"/>
    </x:row>
    <x:row r="171">
      <x:c r="A171" s="87"/>
      <x:c r="B171" s="88"/>
      <x:c r="D171" s="32"/>
      <x:c r="I171" s="74"/>
      <x:c r="J171" s="74"/>
      <x:c r="K171" s="74"/>
      <x:c r="L171" s="74"/>
      <x:c r="M171" s="74"/>
      <x:c r="N171" s="74"/>
      <x:c r="O171" s="89"/>
      <x:c r="P171" s="89"/>
      <x:c r="Q171" s="90"/>
      <x:c r="R171" s="90"/>
      <x:c r="S171" s="90"/>
      <x:c r="T171" s="90"/>
      <x:c r="U171" s="90"/>
      <x:c r="V171" s="90"/>
      <x:c r="W171" s="90" t="n">
        <x:f>W169-W170</x:f>
        <x:v>5567735.6592</x:v>
      </x:c>
      <x:c r="Y171" s="86"/>
      <x:c r="Z171" s="86"/>
      <x:c r="AA171" s="32"/>
    </x:row>
    <x:row r="172">
      <x:c r="A172" s="87"/>
      <x:c r="B172" s="88"/>
      <x:c r="D172" s="32"/>
      <x:c r="I172" s="74"/>
      <x:c r="J172" s="74"/>
      <x:c r="K172" s="74"/>
      <x:c r="L172" s="74"/>
      <x:c r="M172" s="74"/>
      <x:c r="N172" s="74"/>
      <x:c r="O172" s="91"/>
      <x:c r="P172" s="91"/>
      <x:c r="Q172" s="85"/>
      <x:c r="R172" s="85"/>
      <x:c r="S172" s="85"/>
      <x:c r="T172" s="85"/>
      <x:c r="U172" s="85"/>
      <x:c r="V172" s="85"/>
      <x:c r="W172" s="85"/>
      <x:c r="Y172" s="86"/>
      <x:c r="Z172" s="86"/>
      <x:c r="AA172" s="32"/>
    </x:row>
    <x:row r="173">
      <x:c r="A173" s="87"/>
      <x:c r="B173" s="88"/>
      <x:c r="D173" s="32"/>
      <x:c r="I173" s="74"/>
      <x:c r="J173" s="74"/>
      <x:c r="K173" s="74"/>
      <x:c r="L173" s="74"/>
      <x:c r="M173" s="74"/>
      <x:c r="N173" s="74"/>
      <x:c r="O173" s="91"/>
      <x:c r="P173" s="91"/>
      <x:c r="Q173" s="85"/>
      <x:c r="R173" s="85"/>
      <x:c r="S173" s="85"/>
      <x:c r="T173" s="85"/>
      <x:c r="U173" s="85"/>
      <x:c r="V173" s="85"/>
      <x:c r="W173" s="85"/>
      <x:c r="Y173" s="86"/>
      <x:c r="Z173" s="86"/>
      <x:c r="AA173" s="32"/>
    </x:row>
    <x:row r="174">
      <x:c r="A174" s="87"/>
      <x:c r="B174" s="88"/>
      <x:c r="D174" s="32"/>
      <x:c r="I174" s="74"/>
      <x:c r="J174" s="74"/>
      <x:c r="K174" s="74"/>
      <x:c r="L174" s="74"/>
      <x:c r="M174" s="74"/>
      <x:c r="N174" s="74"/>
      <x:c r="O174" s="91"/>
      <x:c r="P174" s="91"/>
      <x:c r="Q174" s="85"/>
      <x:c r="R174" s="85"/>
      <x:c r="S174" s="85"/>
      <x:c r="T174" s="85"/>
      <x:c r="U174" s="85"/>
      <x:c r="V174" s="85"/>
      <x:c r="W174" s="85"/>
      <x:c r="Y174" s="86"/>
      <x:c r="Z174" s="86"/>
      <x:c r="AA174" s="32"/>
    </x:row>
    <x:row r="175">
      <x:c r="A175" s="87"/>
      <x:c r="B175" s="88"/>
      <x:c r="D175" s="32"/>
      <x:c r="I175" s="74"/>
      <x:c r="J175" s="74"/>
      <x:c r="K175" s="74"/>
      <x:c r="L175" s="74"/>
      <x:c r="M175" s="74"/>
      <x:c r="N175" s="74"/>
      <x:c r="O175" s="91"/>
      <x:c r="P175" s="91"/>
      <x:c r="Q175" s="85"/>
      <x:c r="R175" s="85"/>
      <x:c r="S175" s="85"/>
      <x:c r="T175" s="85"/>
      <x:c r="U175" s="85"/>
      <x:c r="V175" s="85"/>
      <x:c r="W175" s="85"/>
      <x:c r="Y175" s="86"/>
      <x:c r="Z175" s="86"/>
      <x:c r="AA175" s="32"/>
    </x:row>
    <x:row r="176">
      <x:c r="A176" s="87"/>
      <x:c r="B176" s="88"/>
      <x:c r="D176" s="32"/>
      <x:c r="I176" s="74"/>
      <x:c r="J176" s="74"/>
      <x:c r="K176" s="74"/>
      <x:c r="L176" s="74"/>
      <x:c r="M176" s="74"/>
      <x:c r="N176" s="74"/>
      <x:c r="O176" s="91"/>
      <x:c r="P176" s="91"/>
      <x:c r="Q176" s="85"/>
      <x:c r="R176" s="85"/>
      <x:c r="S176" s="85"/>
      <x:c r="T176" s="85"/>
      <x:c r="U176" s="85"/>
      <x:c r="V176" s="85"/>
      <x:c r="W176" s="85"/>
      <x:c r="Y176" s="86"/>
      <x:c r="Z176" s="86"/>
      <x:c r="AA176" s="32"/>
    </x:row>
    <x:row r="177">
      <x:c r="A177" s="87"/>
      <x:c r="B177" s="88"/>
      <x:c r="D177" s="32"/>
      <x:c r="I177" s="74"/>
      <x:c r="J177" s="74"/>
      <x:c r="K177" s="74"/>
      <x:c r="L177" s="74"/>
      <x:c r="M177" s="74"/>
      <x:c r="N177" s="74"/>
      <x:c r="O177" s="91"/>
      <x:c r="P177" s="91"/>
      <x:c r="Q177" s="85"/>
      <x:c r="R177" s="85"/>
      <x:c r="S177" s="85"/>
      <x:c r="T177" s="85"/>
      <x:c r="U177" s="85"/>
      <x:c r="V177" s="85"/>
      <x:c r="W177" s="85"/>
      <x:c r="Y177" s="86"/>
      <x:c r="Z177" s="86"/>
      <x:c r="AA177" s="32"/>
    </x:row>
    <x:row r="178">
      <x:c r="A178" s="87"/>
      <x:c r="B178" s="88"/>
      <x:c r="D178" s="32"/>
      <x:c r="I178" s="74"/>
      <x:c r="J178" s="74"/>
      <x:c r="K178" s="74"/>
      <x:c r="L178" s="74"/>
      <x:c r="M178" s="74"/>
      <x:c r="N178" s="74"/>
      <x:c r="O178" s="91"/>
      <x:c r="P178" s="91"/>
      <x:c r="Q178" s="85"/>
      <x:c r="R178" s="85"/>
      <x:c r="S178" s="85"/>
      <x:c r="T178" s="85"/>
      <x:c r="U178" s="85"/>
      <x:c r="V178" s="85"/>
      <x:c r="W178" s="85"/>
      <x:c r="Y178" s="86"/>
      <x:c r="Z178" s="86"/>
      <x:c r="AA178" s="32"/>
    </x:row>
    <x:row r="179">
      <x:c r="A179" s="87"/>
      <x:c r="B179" s="88"/>
      <x:c r="D179" s="32"/>
      <x:c r="I179" s="74"/>
      <x:c r="J179" s="74"/>
      <x:c r="K179" s="74"/>
      <x:c r="L179" s="74"/>
      <x:c r="M179" s="74"/>
      <x:c r="N179" s="74"/>
      <x:c r="O179" s="91"/>
      <x:c r="P179" s="91"/>
      <x:c r="Q179" s="85"/>
      <x:c r="R179" s="85"/>
      <x:c r="S179" s="85"/>
      <x:c r="T179" s="85"/>
      <x:c r="U179" s="85"/>
      <x:c r="V179" s="85"/>
      <x:c r="W179" s="85"/>
      <x:c r="Y179" s="86"/>
      <x:c r="Z179" s="86"/>
      <x:c r="AA179" s="32"/>
    </x:row>
    <x:row r="180">
      <x:c r="A180" s="87"/>
      <x:c r="B180" s="88"/>
      <x:c r="D180" s="32"/>
      <x:c r="I180" s="74"/>
      <x:c r="J180" s="74"/>
      <x:c r="K180" s="74"/>
      <x:c r="L180" s="74"/>
      <x:c r="M180" s="74"/>
      <x:c r="N180" s="74"/>
      <x:c r="O180" s="91"/>
      <x:c r="P180" s="91"/>
      <x:c r="Q180" s="85"/>
      <x:c r="R180" s="85"/>
      <x:c r="S180" s="85"/>
      <x:c r="T180" s="85"/>
      <x:c r="U180" s="85"/>
      <x:c r="V180" s="85"/>
      <x:c r="W180" s="85"/>
      <x:c r="Y180" s="86"/>
      <x:c r="Z180" s="86"/>
      <x:c r="AA180" s="32"/>
    </x:row>
    <x:row r="181">
      <x:c r="A181" s="87"/>
      <x:c r="B181" s="88"/>
      <x:c r="D181" s="32"/>
      <x:c r="I181" s="74"/>
      <x:c r="J181" s="74"/>
      <x:c r="K181" s="74"/>
      <x:c r="L181" s="74"/>
      <x:c r="M181" s="74"/>
      <x:c r="N181" s="74"/>
      <x:c r="O181" s="91"/>
      <x:c r="P181" s="91"/>
      <x:c r="Q181" s="85"/>
      <x:c r="R181" s="85"/>
      <x:c r="S181" s="85"/>
      <x:c r="T181" s="85"/>
      <x:c r="U181" s="85"/>
      <x:c r="V181" s="85"/>
      <x:c r="W181" s="85"/>
      <x:c r="Y181" s="86"/>
      <x:c r="Z181" s="86"/>
      <x:c r="AA181" s="32"/>
    </x:row>
    <x:row r="182">
      <x:c r="A182" s="87"/>
      <x:c r="B182" s="88"/>
      <x:c r="D182" s="32"/>
      <x:c r="I182" s="74"/>
      <x:c r="J182" s="74"/>
      <x:c r="K182" s="74"/>
      <x:c r="L182" s="74"/>
      <x:c r="M182" s="74"/>
      <x:c r="N182" s="74"/>
      <x:c r="O182" s="91"/>
      <x:c r="P182" s="91"/>
      <x:c r="Q182" s="85"/>
      <x:c r="R182" s="85"/>
      <x:c r="S182" s="85"/>
      <x:c r="T182" s="85"/>
      <x:c r="U182" s="85"/>
      <x:c r="V182" s="85"/>
      <x:c r="W182" s="85"/>
      <x:c r="Y182" s="86"/>
      <x:c r="Z182" s="86"/>
      <x:c r="AA182" s="32"/>
    </x:row>
    <x:row r="183">
      <x:c r="A183" s="87"/>
      <x:c r="B183" s="88"/>
      <x:c r="D183" s="32"/>
      <x:c r="I183" s="74"/>
      <x:c r="J183" s="74"/>
      <x:c r="K183" s="74"/>
      <x:c r="L183" s="74"/>
      <x:c r="M183" s="74"/>
      <x:c r="N183" s="74"/>
      <x:c r="O183" s="91"/>
      <x:c r="P183" s="91"/>
      <x:c r="Q183" s="85"/>
      <x:c r="R183" s="85"/>
      <x:c r="S183" s="85"/>
      <x:c r="T183" s="85"/>
      <x:c r="U183" s="85"/>
      <x:c r="V183" s="85"/>
      <x:c r="W183" s="85"/>
      <x:c r="Y183" s="86"/>
      <x:c r="Z183" s="86"/>
      <x:c r="AA183" s="32"/>
    </x:row>
    <x:row r="184">
      <x:c r="A184" s="87"/>
      <x:c r="B184" s="88"/>
      <x:c r="D184" s="32"/>
      <x:c r="I184" s="74"/>
      <x:c r="J184" s="74"/>
      <x:c r="K184" s="74"/>
      <x:c r="L184" s="74"/>
      <x:c r="M184" s="74"/>
      <x:c r="N184" s="74"/>
      <x:c r="O184" s="91"/>
      <x:c r="P184" s="91"/>
      <x:c r="Q184" s="85"/>
      <x:c r="R184" s="85"/>
      <x:c r="S184" s="85"/>
      <x:c r="T184" s="85"/>
      <x:c r="U184" s="85"/>
      <x:c r="V184" s="85"/>
      <x:c r="W184" s="85"/>
      <x:c r="Y184" s="86"/>
      <x:c r="Z184" s="86"/>
      <x:c r="AA184" s="32"/>
    </x:row>
    <x:row r="185">
      <x:c r="A185" s="87"/>
      <x:c r="B185" s="88"/>
      <x:c r="D185" s="32"/>
      <x:c r="I185" s="74"/>
      <x:c r="J185" s="74"/>
      <x:c r="K185" s="74"/>
      <x:c r="L185" s="74"/>
      <x:c r="M185" s="74"/>
      <x:c r="N185" s="74"/>
      <x:c r="O185" s="91"/>
      <x:c r="P185" s="91"/>
      <x:c r="Q185" s="85"/>
      <x:c r="R185" s="85"/>
      <x:c r="S185" s="85"/>
      <x:c r="T185" s="85"/>
      <x:c r="U185" s="85"/>
      <x:c r="V185" s="85"/>
      <x:c r="W185" s="85"/>
      <x:c r="Y185" s="86"/>
      <x:c r="Z185" s="86"/>
      <x:c r="AA185" s="32"/>
    </x:row>
    <x:row r="186">
      <x:c r="A186" s="87"/>
      <x:c r="B186" s="88"/>
      <x:c r="D186" s="32"/>
      <x:c r="I186" s="74"/>
      <x:c r="J186" s="74"/>
      <x:c r="K186" s="74"/>
      <x:c r="L186" s="74"/>
      <x:c r="M186" s="74"/>
      <x:c r="N186" s="74"/>
      <x:c r="O186" s="91"/>
      <x:c r="P186" s="91"/>
      <x:c r="Q186" s="85"/>
      <x:c r="R186" s="85"/>
      <x:c r="S186" s="85"/>
      <x:c r="T186" s="85"/>
      <x:c r="U186" s="85"/>
      <x:c r="V186" s="85"/>
      <x:c r="W186" s="85"/>
      <x:c r="Y186" s="86"/>
      <x:c r="Z186" s="86"/>
      <x:c r="AA186" s="32"/>
    </x:row>
    <x:row r="187">
      <x:c r="A187" s="87"/>
      <x:c r="B187" s="88"/>
      <x:c r="D187" s="32"/>
      <x:c r="I187" s="74"/>
      <x:c r="J187" s="74"/>
      <x:c r="K187" s="74"/>
      <x:c r="L187" s="74"/>
      <x:c r="M187" s="74"/>
      <x:c r="N187" s="74"/>
      <x:c r="O187" s="91"/>
      <x:c r="P187" s="91"/>
      <x:c r="Q187" s="85"/>
      <x:c r="R187" s="85"/>
      <x:c r="S187" s="85"/>
      <x:c r="T187" s="85"/>
      <x:c r="U187" s="85"/>
      <x:c r="V187" s="85"/>
      <x:c r="W187" s="85"/>
      <x:c r="Y187" s="86"/>
      <x:c r="Z187" s="86"/>
      <x:c r="AA187" s="32"/>
    </x:row>
    <x:row r="188">
      <x:c r="A188" s="87"/>
      <x:c r="B188" s="88"/>
      <x:c r="D188" s="32"/>
      <x:c r="I188" s="74"/>
      <x:c r="J188" s="74"/>
      <x:c r="K188" s="74"/>
      <x:c r="L188" s="74"/>
      <x:c r="M188" s="74"/>
      <x:c r="N188" s="74"/>
      <x:c r="O188" s="91"/>
      <x:c r="P188" s="91"/>
      <x:c r="Q188" s="85"/>
      <x:c r="R188" s="85"/>
      <x:c r="S188" s="85"/>
      <x:c r="T188" s="85"/>
      <x:c r="U188" s="85"/>
      <x:c r="V188" s="85"/>
      <x:c r="W188" s="85"/>
      <x:c r="Y188" s="86"/>
      <x:c r="Z188" s="86"/>
      <x:c r="AA188" s="32"/>
    </x:row>
    <x:row r="189">
      <x:c r="A189" s="87"/>
      <x:c r="B189" s="88"/>
      <x:c r="D189" s="32"/>
      <x:c r="I189" s="74"/>
      <x:c r="J189" s="74"/>
      <x:c r="K189" s="74"/>
      <x:c r="L189" s="74"/>
      <x:c r="M189" s="74"/>
      <x:c r="N189" s="74"/>
      <x:c r="O189" s="91"/>
      <x:c r="P189" s="91"/>
      <x:c r="Q189" s="85"/>
      <x:c r="R189" s="85"/>
      <x:c r="S189" s="85"/>
      <x:c r="T189" s="85"/>
      <x:c r="U189" s="85"/>
      <x:c r="V189" s="85"/>
      <x:c r="W189" s="85"/>
      <x:c r="Y189" s="86"/>
      <x:c r="Z189" s="86"/>
      <x:c r="AA189" s="32"/>
    </x:row>
    <x:row r="190">
      <x:c r="A190" s="87"/>
      <x:c r="B190" s="88"/>
      <x:c r="D190" s="32"/>
      <x:c r="I190" s="74"/>
      <x:c r="J190" s="74"/>
      <x:c r="K190" s="74"/>
      <x:c r="L190" s="74"/>
      <x:c r="M190" s="74"/>
      <x:c r="N190" s="74"/>
      <x:c r="O190" s="91"/>
      <x:c r="P190" s="91"/>
      <x:c r="Q190" s="85"/>
      <x:c r="R190" s="85"/>
      <x:c r="S190" s="85"/>
      <x:c r="T190" s="85"/>
      <x:c r="U190" s="85"/>
      <x:c r="V190" s="85"/>
      <x:c r="W190" s="85"/>
      <x:c r="Y190" s="86"/>
      <x:c r="Z190" s="86"/>
      <x:c r="AA190" s="32"/>
    </x:row>
    <x:row r="191">
      <x:c r="A191" s="87"/>
      <x:c r="B191" s="88"/>
      <x:c r="D191" s="32"/>
      <x:c r="I191" s="74"/>
      <x:c r="J191" s="74"/>
      <x:c r="K191" s="74"/>
      <x:c r="L191" s="74"/>
      <x:c r="M191" s="74"/>
      <x:c r="N191" s="74"/>
      <x:c r="O191" s="91"/>
      <x:c r="P191" s="91"/>
      <x:c r="Q191" s="85"/>
      <x:c r="R191" s="85"/>
      <x:c r="S191" s="85"/>
      <x:c r="T191" s="85"/>
      <x:c r="U191" s="85"/>
      <x:c r="V191" s="85"/>
      <x:c r="W191" s="85"/>
      <x:c r="Y191" s="86"/>
      <x:c r="Z191" s="86"/>
      <x:c r="AA191" s="32"/>
    </x:row>
    <x:row r="192">
      <x:c r="A192" s="87"/>
      <x:c r="B192" s="88"/>
      <x:c r="D192" s="32"/>
      <x:c r="I192" s="74"/>
      <x:c r="J192" s="74"/>
      <x:c r="K192" s="74"/>
      <x:c r="L192" s="74"/>
      <x:c r="M192" s="74"/>
      <x:c r="N192" s="74"/>
      <x:c r="O192" s="91"/>
      <x:c r="P192" s="91"/>
      <x:c r="Q192" s="85"/>
      <x:c r="R192" s="85"/>
      <x:c r="S192" s="85"/>
      <x:c r="T192" s="85"/>
      <x:c r="U192" s="85"/>
      <x:c r="V192" s="85"/>
      <x:c r="W192" s="85"/>
      <x:c r="Y192" s="86"/>
      <x:c r="Z192" s="86"/>
      <x:c r="AA192" s="32"/>
    </x:row>
    <x:row r="193">
      <x:c r="A193" s="87"/>
      <x:c r="B193" s="88"/>
      <x:c r="D193" s="32"/>
      <x:c r="I193" s="74"/>
      <x:c r="J193" s="74"/>
      <x:c r="K193" s="74"/>
      <x:c r="L193" s="74"/>
      <x:c r="M193" s="74"/>
      <x:c r="N193" s="74"/>
      <x:c r="O193" s="91"/>
      <x:c r="P193" s="91"/>
      <x:c r="Q193" s="85"/>
      <x:c r="R193" s="85"/>
      <x:c r="S193" s="85"/>
      <x:c r="T193" s="85"/>
      <x:c r="U193" s="85"/>
      <x:c r="V193" s="85"/>
      <x:c r="W193" s="85"/>
      <x:c r="Y193" s="86"/>
      <x:c r="Z193" s="86"/>
      <x:c r="AA193" s="32"/>
    </x:row>
    <x:row r="194">
      <x:c r="A194" s="87"/>
      <x:c r="B194" s="88"/>
      <x:c r="D194" s="32"/>
      <x:c r="I194" s="74"/>
      <x:c r="J194" s="74"/>
      <x:c r="K194" s="74"/>
      <x:c r="L194" s="74"/>
      <x:c r="M194" s="74"/>
      <x:c r="N194" s="74"/>
      <x:c r="O194" s="91"/>
      <x:c r="P194" s="91"/>
      <x:c r="Q194" s="85"/>
      <x:c r="R194" s="85"/>
      <x:c r="S194" s="85"/>
      <x:c r="T194" s="85"/>
      <x:c r="U194" s="85"/>
      <x:c r="V194" s="85"/>
      <x:c r="W194" s="85"/>
      <x:c r="Y194" s="86"/>
      <x:c r="Z194" s="86"/>
      <x:c r="AA194" s="32"/>
    </x:row>
    <x:row r="195">
      <x:c r="A195" s="87"/>
      <x:c r="B195" s="88"/>
      <x:c r="D195" s="32"/>
      <x:c r="I195" s="74"/>
      <x:c r="J195" s="74"/>
      <x:c r="K195" s="74"/>
      <x:c r="L195" s="74"/>
      <x:c r="M195" s="74"/>
      <x:c r="N195" s="74"/>
      <x:c r="O195" s="91"/>
      <x:c r="P195" s="91"/>
      <x:c r="Q195" s="85"/>
      <x:c r="R195" s="85"/>
      <x:c r="S195" s="85"/>
      <x:c r="T195" s="85"/>
      <x:c r="U195" s="85"/>
      <x:c r="V195" s="85"/>
      <x:c r="W195" s="85"/>
      <x:c r="Y195" s="86"/>
      <x:c r="Z195" s="86"/>
      <x:c r="AA195" s="32"/>
    </x:row>
    <x:row r="196">
      <x:c r="A196" s="87"/>
      <x:c r="B196" s="88"/>
      <x:c r="D196" s="32"/>
      <x:c r="I196" s="74"/>
      <x:c r="J196" s="74"/>
      <x:c r="K196" s="74"/>
      <x:c r="L196" s="74"/>
      <x:c r="M196" s="74"/>
      <x:c r="N196" s="74"/>
      <x:c r="O196" s="91"/>
      <x:c r="P196" s="91"/>
      <x:c r="Q196" s="85"/>
      <x:c r="R196" s="85"/>
      <x:c r="S196" s="85"/>
      <x:c r="T196" s="85"/>
      <x:c r="U196" s="85"/>
      <x:c r="V196" s="85"/>
      <x:c r="W196" s="85"/>
      <x:c r="Y196" s="86"/>
      <x:c r="Z196" s="86"/>
      <x:c r="AA196" s="32"/>
    </x:row>
    <x:row r="197">
      <x:c r="A197" s="87"/>
      <x:c r="B197" s="88"/>
      <x:c r="D197" s="32"/>
      <x:c r="I197" s="74"/>
      <x:c r="J197" s="74"/>
      <x:c r="K197" s="74"/>
      <x:c r="L197" s="74"/>
      <x:c r="M197" s="74"/>
      <x:c r="N197" s="74"/>
      <x:c r="O197" s="91"/>
      <x:c r="P197" s="91"/>
      <x:c r="Q197" s="85"/>
      <x:c r="R197" s="85"/>
      <x:c r="S197" s="85"/>
      <x:c r="T197" s="85"/>
      <x:c r="U197" s="85"/>
      <x:c r="V197" s="85"/>
      <x:c r="W197" s="85"/>
      <x:c r="Y197" s="86"/>
      <x:c r="Z197" s="86"/>
      <x:c r="AA197" s="32"/>
    </x:row>
    <x:row r="198">
      <x:c r="A198" s="87"/>
      <x:c r="B198" s="88"/>
      <x:c r="D198" s="32"/>
      <x:c r="I198" s="74"/>
      <x:c r="J198" s="74"/>
      <x:c r="K198" s="74"/>
      <x:c r="L198" s="74"/>
      <x:c r="M198" s="74"/>
      <x:c r="N198" s="74"/>
      <x:c r="O198" s="91"/>
      <x:c r="P198" s="91"/>
      <x:c r="Q198" s="85"/>
      <x:c r="R198" s="85"/>
      <x:c r="S198" s="85"/>
      <x:c r="T198" s="85"/>
      <x:c r="U198" s="85"/>
      <x:c r="V198" s="85"/>
      <x:c r="W198" s="85"/>
      <x:c r="Y198" s="86"/>
      <x:c r="Z198" s="86"/>
      <x:c r="AA198" s="32"/>
    </x:row>
    <x:row r="199">
      <x:c r="A199" s="87"/>
      <x:c r="B199" s="88"/>
      <x:c r="D199" s="32"/>
      <x:c r="I199" s="74"/>
      <x:c r="J199" s="74"/>
      <x:c r="K199" s="74"/>
      <x:c r="L199" s="74"/>
      <x:c r="M199" s="74"/>
      <x:c r="N199" s="74"/>
      <x:c r="O199" s="91"/>
      <x:c r="P199" s="91"/>
      <x:c r="Q199" s="85"/>
      <x:c r="R199" s="85"/>
      <x:c r="S199" s="85"/>
      <x:c r="T199" s="85"/>
      <x:c r="U199" s="85"/>
      <x:c r="V199" s="85"/>
      <x:c r="W199" s="85"/>
      <x:c r="Y199" s="86"/>
      <x:c r="Z199" s="86"/>
      <x:c r="AA199" s="32"/>
    </x:row>
    <x:row r="200">
      <x:c r="A200" s="87"/>
      <x:c r="B200" s="88"/>
      <x:c r="D200" s="32"/>
      <x:c r="I200" s="74"/>
      <x:c r="J200" s="74"/>
      <x:c r="K200" s="74"/>
      <x:c r="L200" s="74"/>
      <x:c r="M200" s="74"/>
      <x:c r="N200" s="74"/>
      <x:c r="O200" s="91"/>
      <x:c r="P200" s="91"/>
      <x:c r="Q200" s="85"/>
      <x:c r="R200" s="85"/>
      <x:c r="S200" s="85"/>
      <x:c r="T200" s="85"/>
      <x:c r="U200" s="85"/>
      <x:c r="V200" s="85"/>
      <x:c r="W200" s="85"/>
      <x:c r="Y200" s="86"/>
      <x:c r="Z200" s="86"/>
      <x:c r="AA200" s="32"/>
    </x:row>
    <x:row r="201">
      <x:c r="A201" s="87"/>
      <x:c r="B201" s="88"/>
      <x:c r="D201" s="32"/>
      <x:c r="I201" s="74"/>
      <x:c r="J201" s="74"/>
      <x:c r="K201" s="74"/>
      <x:c r="L201" s="74"/>
      <x:c r="M201" s="74"/>
      <x:c r="N201" s="74"/>
      <x:c r="O201" s="91"/>
      <x:c r="P201" s="91"/>
      <x:c r="Q201" s="85"/>
      <x:c r="R201" s="85"/>
      <x:c r="S201" s="85"/>
      <x:c r="T201" s="85"/>
      <x:c r="U201" s="85"/>
      <x:c r="V201" s="85"/>
      <x:c r="W201" s="85"/>
      <x:c r="Y201" s="86"/>
      <x:c r="Z201" s="86"/>
      <x:c r="AA201" s="32"/>
    </x:row>
    <x:row r="202">
      <x:c r="A202" s="87"/>
      <x:c r="B202" s="88"/>
      <x:c r="D202" s="32"/>
      <x:c r="I202" s="74"/>
      <x:c r="J202" s="74"/>
      <x:c r="K202" s="74"/>
      <x:c r="L202" s="74"/>
      <x:c r="M202" s="74"/>
      <x:c r="N202" s="74"/>
      <x:c r="O202" s="91"/>
      <x:c r="P202" s="91"/>
      <x:c r="Q202" s="85"/>
      <x:c r="R202" s="85"/>
      <x:c r="S202" s="85"/>
      <x:c r="T202" s="85"/>
      <x:c r="U202" s="85"/>
      <x:c r="V202" s="85"/>
      <x:c r="W202" s="85"/>
      <x:c r="Y202" s="86"/>
      <x:c r="Z202" s="86"/>
      <x:c r="AA202" s="32"/>
    </x:row>
    <x:row r="203">
      <x:c r="A203" s="87"/>
      <x:c r="B203" s="88"/>
      <x:c r="D203" s="32"/>
      <x:c r="I203" s="74"/>
      <x:c r="J203" s="74"/>
      <x:c r="K203" s="74"/>
      <x:c r="L203" s="74"/>
      <x:c r="M203" s="74"/>
      <x:c r="N203" s="74"/>
      <x:c r="O203" s="91"/>
      <x:c r="P203" s="91"/>
      <x:c r="Q203" s="85"/>
      <x:c r="R203" s="85"/>
      <x:c r="S203" s="85"/>
      <x:c r="T203" s="85"/>
      <x:c r="U203" s="85"/>
      <x:c r="V203" s="85"/>
      <x:c r="W203" s="85"/>
      <x:c r="Y203" s="86"/>
      <x:c r="Z203" s="86"/>
      <x:c r="AA203" s="32"/>
    </x:row>
    <x:row r="204">
      <x:c r="A204" s="87"/>
      <x:c r="B204" s="88"/>
      <x:c r="D204" s="32"/>
      <x:c r="I204" s="74"/>
      <x:c r="J204" s="74"/>
      <x:c r="K204" s="74"/>
      <x:c r="L204" s="74"/>
      <x:c r="M204" s="74"/>
      <x:c r="N204" s="74"/>
      <x:c r="O204" s="91"/>
      <x:c r="P204" s="91"/>
      <x:c r="Q204" s="85"/>
      <x:c r="R204" s="85"/>
      <x:c r="S204" s="85"/>
      <x:c r="T204" s="85"/>
      <x:c r="U204" s="85"/>
      <x:c r="V204" s="85"/>
      <x:c r="W204" s="85"/>
      <x:c r="Y204" s="86"/>
      <x:c r="Z204" s="86"/>
      <x:c r="AA204" s="32"/>
    </x:row>
    <x:row r="205">
      <x:c r="A205" s="87"/>
      <x:c r="B205" s="88"/>
      <x:c r="D205" s="32"/>
      <x:c r="I205" s="74"/>
      <x:c r="J205" s="74"/>
      <x:c r="K205" s="74"/>
      <x:c r="L205" s="74"/>
      <x:c r="M205" s="74"/>
      <x:c r="N205" s="74"/>
      <x:c r="O205" s="91"/>
      <x:c r="P205" s="91"/>
      <x:c r="Q205" s="85"/>
      <x:c r="R205" s="85"/>
      <x:c r="S205" s="85"/>
      <x:c r="T205" s="85"/>
      <x:c r="U205" s="85"/>
      <x:c r="V205" s="85"/>
      <x:c r="W205" s="85"/>
      <x:c r="Y205" s="86"/>
      <x:c r="Z205" s="86"/>
      <x:c r="AA205" s="32"/>
    </x:row>
    <x:row r="206">
      <x:c r="A206" s="87"/>
      <x:c r="B206" s="88"/>
      <x:c r="D206" s="32"/>
      <x:c r="I206" s="74"/>
      <x:c r="J206" s="74"/>
      <x:c r="K206" s="74"/>
      <x:c r="L206" s="74"/>
      <x:c r="M206" s="74"/>
      <x:c r="N206" s="74"/>
      <x:c r="O206" s="91"/>
      <x:c r="P206" s="91"/>
      <x:c r="Q206" s="85"/>
      <x:c r="R206" s="85"/>
      <x:c r="S206" s="85"/>
      <x:c r="T206" s="85"/>
      <x:c r="U206" s="85"/>
      <x:c r="V206" s="85"/>
      <x:c r="W206" s="85"/>
      <x:c r="Y206" s="86"/>
      <x:c r="Z206" s="86"/>
      <x:c r="AA206" s="32"/>
    </x:row>
    <x:row r="207">
      <x:c r="A207" s="87"/>
      <x:c r="B207" s="88"/>
      <x:c r="D207" s="32"/>
      <x:c r="I207" s="74"/>
      <x:c r="J207" s="74"/>
      <x:c r="K207" s="74"/>
      <x:c r="L207" s="74"/>
      <x:c r="M207" s="74"/>
      <x:c r="N207" s="74"/>
      <x:c r="O207" s="91"/>
      <x:c r="P207" s="91"/>
      <x:c r="Q207" s="85"/>
      <x:c r="R207" s="85"/>
      <x:c r="S207" s="85"/>
      <x:c r="T207" s="85"/>
      <x:c r="U207" s="85"/>
      <x:c r="V207" s="85"/>
      <x:c r="W207" s="85"/>
      <x:c r="Y207" s="86"/>
      <x:c r="Z207" s="86"/>
      <x:c r="AA207" s="32"/>
    </x:row>
    <x:row r="208">
      <x:c r="A208" s="87"/>
      <x:c r="B208" s="88"/>
      <x:c r="D208" s="32"/>
      <x:c r="I208" s="74"/>
      <x:c r="J208" s="74"/>
      <x:c r="K208" s="74"/>
      <x:c r="L208" s="74"/>
      <x:c r="M208" s="74"/>
      <x:c r="N208" s="74"/>
      <x:c r="O208" s="91"/>
      <x:c r="P208" s="91"/>
      <x:c r="Q208" s="85"/>
      <x:c r="R208" s="85"/>
      <x:c r="S208" s="85"/>
      <x:c r="T208" s="85"/>
      <x:c r="U208" s="85"/>
      <x:c r="V208" s="85"/>
      <x:c r="W208" s="85"/>
      <x:c r="Y208" s="86"/>
      <x:c r="Z208" s="86"/>
      <x:c r="AA208" s="32"/>
    </x:row>
    <x:row r="209">
      <x:c r="A209" s="87"/>
      <x:c r="B209" s="88"/>
      <x:c r="D209" s="32"/>
      <x:c r="I209" s="74"/>
      <x:c r="J209" s="74"/>
      <x:c r="K209" s="74"/>
      <x:c r="L209" s="74"/>
      <x:c r="M209" s="74"/>
      <x:c r="N209" s="74"/>
      <x:c r="O209" s="91"/>
      <x:c r="P209" s="91"/>
      <x:c r="Q209" s="85"/>
      <x:c r="R209" s="85"/>
      <x:c r="S209" s="85"/>
      <x:c r="T209" s="85"/>
      <x:c r="U209" s="85"/>
      <x:c r="V209" s="85"/>
      <x:c r="W209" s="85"/>
      <x:c r="Y209" s="86"/>
      <x:c r="Z209" s="86"/>
      <x:c r="AA209" s="32"/>
    </x:row>
    <x:row r="210">
      <x:c r="A210" s="87"/>
      <x:c r="B210" s="88"/>
      <x:c r="D210" s="32"/>
      <x:c r="I210" s="74"/>
      <x:c r="J210" s="74"/>
      <x:c r="K210" s="74"/>
      <x:c r="L210" s="74"/>
      <x:c r="M210" s="74"/>
      <x:c r="N210" s="74"/>
      <x:c r="O210" s="91"/>
      <x:c r="P210" s="91"/>
      <x:c r="Q210" s="85"/>
      <x:c r="R210" s="85"/>
      <x:c r="S210" s="85"/>
      <x:c r="T210" s="85"/>
      <x:c r="U210" s="85"/>
      <x:c r="V210" s="85"/>
      <x:c r="W210" s="85"/>
      <x:c r="Y210" s="86"/>
      <x:c r="Z210" s="86"/>
      <x:c r="AA210" s="32"/>
    </x:row>
    <x:row r="211">
      <x:c r="A211" s="87"/>
      <x:c r="B211" s="88"/>
      <x:c r="D211" s="32"/>
      <x:c r="I211" s="74"/>
      <x:c r="J211" s="74"/>
      <x:c r="K211" s="74"/>
      <x:c r="L211" s="74"/>
      <x:c r="M211" s="74"/>
      <x:c r="N211" s="74"/>
      <x:c r="O211" s="91"/>
      <x:c r="P211" s="91"/>
      <x:c r="Q211" s="85"/>
      <x:c r="R211" s="85"/>
      <x:c r="S211" s="85"/>
      <x:c r="T211" s="85"/>
      <x:c r="U211" s="85"/>
      <x:c r="V211" s="85"/>
      <x:c r="W211" s="85"/>
      <x:c r="Y211" s="86"/>
      <x:c r="Z211" s="86"/>
      <x:c r="AA211" s="32"/>
    </x:row>
    <x:row r="212">
      <x:c r="A212" s="87"/>
      <x:c r="B212" s="88"/>
      <x:c r="D212" s="32"/>
      <x:c r="I212" s="74"/>
      <x:c r="J212" s="74"/>
      <x:c r="K212" s="74"/>
      <x:c r="L212" s="74"/>
      <x:c r="M212" s="74"/>
      <x:c r="N212" s="74"/>
      <x:c r="O212" s="91"/>
      <x:c r="P212" s="91"/>
      <x:c r="Q212" s="85"/>
      <x:c r="R212" s="85"/>
      <x:c r="S212" s="85"/>
      <x:c r="T212" s="85"/>
      <x:c r="U212" s="85"/>
      <x:c r="V212" s="85"/>
      <x:c r="W212" s="85"/>
      <x:c r="Y212" s="86"/>
      <x:c r="Z212" s="86"/>
      <x:c r="AA212" s="32"/>
    </x:row>
    <x:row r="213">
      <x:c r="A213" s="87"/>
      <x:c r="B213" s="88"/>
      <x:c r="D213" s="32"/>
      <x:c r="I213" s="74"/>
      <x:c r="J213" s="74"/>
      <x:c r="K213" s="74"/>
      <x:c r="L213" s="74"/>
      <x:c r="M213" s="74"/>
      <x:c r="N213" s="74"/>
      <x:c r="O213" s="91"/>
      <x:c r="P213" s="91"/>
      <x:c r="Q213" s="85"/>
      <x:c r="R213" s="85"/>
      <x:c r="S213" s="85"/>
      <x:c r="T213" s="85"/>
      <x:c r="U213" s="85"/>
      <x:c r="V213" s="85"/>
      <x:c r="W213" s="85"/>
      <x:c r="Y213" s="86"/>
      <x:c r="Z213" s="86"/>
      <x:c r="AA213" s="32"/>
    </x:row>
    <x:row r="214">
      <x:c r="A214" s="87"/>
      <x:c r="B214" s="88"/>
      <x:c r="D214" s="32"/>
      <x:c r="I214" s="74"/>
      <x:c r="J214" s="74"/>
      <x:c r="K214" s="74"/>
      <x:c r="L214" s="74"/>
      <x:c r="M214" s="74"/>
      <x:c r="N214" s="74"/>
      <x:c r="O214" s="91"/>
      <x:c r="P214" s="91"/>
      <x:c r="Q214" s="85"/>
      <x:c r="R214" s="85"/>
      <x:c r="S214" s="85"/>
      <x:c r="T214" s="85"/>
      <x:c r="U214" s="85"/>
      <x:c r="V214" s="85"/>
      <x:c r="W214" s="85"/>
      <x:c r="Y214" s="86"/>
      <x:c r="Z214" s="86"/>
      <x:c r="AA214" s="32"/>
    </x:row>
    <x:row r="215">
      <x:c r="A215" s="87"/>
      <x:c r="B215" s="88"/>
      <x:c r="D215" s="32"/>
      <x:c r="I215" s="74"/>
      <x:c r="J215" s="74"/>
      <x:c r="K215" s="74"/>
      <x:c r="L215" s="74"/>
      <x:c r="M215" s="74"/>
      <x:c r="N215" s="74"/>
      <x:c r="O215" s="91"/>
      <x:c r="P215" s="91"/>
      <x:c r="Q215" s="85"/>
      <x:c r="R215" s="85"/>
      <x:c r="S215" s="85"/>
      <x:c r="T215" s="85"/>
      <x:c r="U215" s="85"/>
      <x:c r="V215" s="85"/>
      <x:c r="W215" s="85"/>
      <x:c r="Y215" s="86"/>
      <x:c r="Z215" s="86"/>
      <x:c r="AA215" s="32"/>
    </x:row>
    <x:row r="216">
      <x:c r="A216" s="87"/>
      <x:c r="B216" s="88"/>
      <x:c r="D216" s="32"/>
      <x:c r="I216" s="74"/>
      <x:c r="J216" s="74"/>
      <x:c r="K216" s="74"/>
      <x:c r="L216" s="74"/>
      <x:c r="M216" s="74"/>
      <x:c r="N216" s="74"/>
      <x:c r="O216" s="91"/>
      <x:c r="P216" s="91"/>
      <x:c r="Q216" s="85"/>
      <x:c r="R216" s="85"/>
      <x:c r="S216" s="85"/>
      <x:c r="T216" s="85"/>
      <x:c r="U216" s="85"/>
      <x:c r="V216" s="85"/>
      <x:c r="W216" s="85"/>
      <x:c r="Y216" s="86"/>
      <x:c r="Z216" s="86"/>
      <x:c r="AA216" s="32"/>
    </x:row>
    <x:row r="217">
      <x:c r="A217" s="87"/>
      <x:c r="B217" s="88"/>
      <x:c r="D217" s="32"/>
      <x:c r="I217" s="74"/>
      <x:c r="J217" s="74"/>
      <x:c r="K217" s="74"/>
      <x:c r="L217" s="74"/>
      <x:c r="M217" s="74"/>
      <x:c r="N217" s="74"/>
      <x:c r="O217" s="91"/>
      <x:c r="P217" s="91"/>
      <x:c r="Q217" s="85"/>
      <x:c r="R217" s="85"/>
      <x:c r="S217" s="85"/>
      <x:c r="T217" s="85"/>
      <x:c r="U217" s="85"/>
      <x:c r="V217" s="85"/>
      <x:c r="W217" s="85"/>
      <x:c r="Y217" s="86"/>
      <x:c r="Z217" s="86"/>
      <x:c r="AA217" s="32"/>
    </x:row>
    <x:row r="218">
      <x:c r="A218" s="87"/>
      <x:c r="B218" s="88"/>
      <x:c r="D218" s="32"/>
      <x:c r="I218" s="74"/>
      <x:c r="J218" s="74"/>
      <x:c r="K218" s="74"/>
      <x:c r="L218" s="74"/>
      <x:c r="M218" s="74"/>
      <x:c r="N218" s="74"/>
      <x:c r="O218" s="91"/>
      <x:c r="P218" s="91"/>
      <x:c r="Q218" s="85"/>
      <x:c r="R218" s="85"/>
      <x:c r="S218" s="85"/>
      <x:c r="T218" s="85"/>
      <x:c r="U218" s="85"/>
      <x:c r="V218" s="85"/>
      <x:c r="W218" s="85"/>
      <x:c r="Y218" s="86"/>
      <x:c r="Z218" s="86"/>
      <x:c r="AA218" s="32"/>
    </x:row>
    <x:row r="219">
      <x:c r="A219" s="87"/>
      <x:c r="B219" s="88"/>
      <x:c r="D219" s="32"/>
      <x:c r="I219" s="74"/>
      <x:c r="J219" s="74"/>
      <x:c r="K219" s="74"/>
      <x:c r="L219" s="74"/>
      <x:c r="M219" s="74"/>
      <x:c r="N219" s="74"/>
      <x:c r="O219" s="91"/>
      <x:c r="P219" s="91"/>
      <x:c r="Q219" s="85"/>
      <x:c r="R219" s="85"/>
      <x:c r="S219" s="85"/>
      <x:c r="T219" s="85"/>
      <x:c r="U219" s="85"/>
      <x:c r="V219" s="85"/>
      <x:c r="W219" s="85"/>
      <x:c r="Y219" s="86"/>
      <x:c r="Z219" s="86"/>
      <x:c r="AA219" s="32"/>
    </x:row>
    <x:row r="220">
      <x:c r="A220" s="87"/>
      <x:c r="B220" s="88"/>
      <x:c r="D220" s="32"/>
      <x:c r="I220" s="74"/>
      <x:c r="J220" s="74"/>
      <x:c r="K220" s="74"/>
      <x:c r="L220" s="74"/>
      <x:c r="M220" s="74"/>
      <x:c r="N220" s="74"/>
      <x:c r="O220" s="91"/>
      <x:c r="P220" s="91"/>
      <x:c r="Q220" s="85"/>
      <x:c r="R220" s="85"/>
      <x:c r="S220" s="85"/>
      <x:c r="T220" s="85"/>
      <x:c r="U220" s="85"/>
      <x:c r="V220" s="85"/>
      <x:c r="W220" s="85"/>
      <x:c r="Y220" s="86"/>
      <x:c r="Z220" s="86"/>
      <x:c r="AA220" s="32"/>
    </x:row>
    <x:row r="221">
      <x:c r="A221" s="87"/>
      <x:c r="B221" s="88"/>
      <x:c r="D221" s="32"/>
      <x:c r="I221" s="74"/>
      <x:c r="J221" s="74"/>
      <x:c r="K221" s="74"/>
      <x:c r="L221" s="74"/>
      <x:c r="M221" s="74"/>
      <x:c r="N221" s="74"/>
      <x:c r="O221" s="91"/>
      <x:c r="P221" s="91"/>
      <x:c r="Q221" s="85"/>
      <x:c r="R221" s="85"/>
      <x:c r="S221" s="85"/>
      <x:c r="T221" s="85"/>
      <x:c r="U221" s="85"/>
      <x:c r="V221" s="85"/>
      <x:c r="W221" s="85"/>
      <x:c r="Y221" s="86"/>
      <x:c r="Z221" s="86"/>
      <x:c r="AA221" s="32"/>
    </x:row>
    <x:row r="222">
      <x:c r="A222" s="87"/>
      <x:c r="B222" s="88"/>
      <x:c r="D222" s="32"/>
      <x:c r="I222" s="74"/>
      <x:c r="J222" s="74"/>
      <x:c r="K222" s="74"/>
      <x:c r="L222" s="74"/>
      <x:c r="M222" s="74"/>
      <x:c r="N222" s="74"/>
      <x:c r="O222" s="91"/>
      <x:c r="P222" s="91"/>
      <x:c r="Q222" s="85"/>
      <x:c r="R222" s="85"/>
      <x:c r="S222" s="85"/>
      <x:c r="T222" s="85"/>
      <x:c r="U222" s="85"/>
      <x:c r="V222" s="85"/>
      <x:c r="W222" s="85"/>
      <x:c r="Y222" s="86"/>
      <x:c r="Z222" s="86"/>
      <x:c r="AA222" s="32"/>
    </x:row>
    <x:row r="223">
      <x:c r="A223" s="87"/>
      <x:c r="B223" s="88"/>
      <x:c r="D223" s="32"/>
      <x:c r="I223" s="74"/>
      <x:c r="J223" s="74"/>
      <x:c r="K223" s="74"/>
      <x:c r="L223" s="74"/>
      <x:c r="M223" s="74"/>
      <x:c r="N223" s="74"/>
      <x:c r="O223" s="91"/>
      <x:c r="P223" s="91"/>
      <x:c r="Q223" s="85"/>
      <x:c r="R223" s="85"/>
      <x:c r="S223" s="85"/>
      <x:c r="T223" s="85"/>
      <x:c r="U223" s="85"/>
      <x:c r="V223" s="85"/>
      <x:c r="W223" s="85"/>
      <x:c r="Y223" s="86"/>
      <x:c r="Z223" s="86"/>
      <x:c r="AA223" s="32"/>
    </x:row>
    <x:row r="224">
      <x:c r="A224" s="87"/>
      <x:c r="B224" s="88"/>
      <x:c r="D224" s="32"/>
      <x:c r="I224" s="74"/>
      <x:c r="J224" s="74"/>
      <x:c r="K224" s="74"/>
      <x:c r="L224" s="74"/>
      <x:c r="M224" s="74"/>
      <x:c r="N224" s="74"/>
      <x:c r="O224" s="91"/>
      <x:c r="P224" s="91"/>
      <x:c r="Q224" s="85"/>
      <x:c r="R224" s="85"/>
      <x:c r="S224" s="85"/>
      <x:c r="T224" s="85"/>
      <x:c r="U224" s="85"/>
      <x:c r="V224" s="85"/>
      <x:c r="W224" s="85"/>
      <x:c r="Y224" s="86"/>
      <x:c r="Z224" s="86"/>
      <x:c r="AA224" s="32"/>
    </x:row>
    <x:row r="225">
      <x:c r="A225" s="87"/>
      <x:c r="B225" s="88"/>
      <x:c r="D225" s="32"/>
      <x:c r="I225" s="74"/>
      <x:c r="J225" s="74"/>
      <x:c r="K225" s="74"/>
      <x:c r="L225" s="74"/>
      <x:c r="M225" s="74"/>
      <x:c r="N225" s="74"/>
      <x:c r="O225" s="91"/>
      <x:c r="P225" s="91"/>
      <x:c r="Q225" s="85"/>
      <x:c r="R225" s="85"/>
      <x:c r="S225" s="85"/>
      <x:c r="T225" s="85"/>
      <x:c r="U225" s="85"/>
      <x:c r="V225" s="85"/>
      <x:c r="W225" s="85"/>
      <x:c r="Y225" s="86"/>
      <x:c r="Z225" s="86"/>
      <x:c r="AA225" s="32"/>
    </x:row>
    <x:row r="226">
      <x:c r="A226" s="87"/>
      <x:c r="B226" s="88"/>
      <x:c r="D226" s="32"/>
      <x:c r="I226" s="74"/>
      <x:c r="J226" s="74"/>
      <x:c r="K226" s="74"/>
      <x:c r="L226" s="74"/>
      <x:c r="M226" s="74"/>
      <x:c r="N226" s="74"/>
      <x:c r="O226" s="91"/>
      <x:c r="P226" s="91"/>
      <x:c r="Q226" s="85"/>
      <x:c r="R226" s="85"/>
      <x:c r="S226" s="85"/>
      <x:c r="T226" s="85"/>
      <x:c r="U226" s="85"/>
      <x:c r="V226" s="85"/>
      <x:c r="W226" s="85"/>
      <x:c r="Y226" s="86"/>
      <x:c r="Z226" s="86"/>
      <x:c r="AA226" s="32"/>
    </x:row>
    <x:row r="227">
      <x:c r="A227" s="87"/>
      <x:c r="B227" s="88"/>
      <x:c r="D227" s="32"/>
      <x:c r="I227" s="74"/>
      <x:c r="J227" s="74"/>
      <x:c r="K227" s="74"/>
      <x:c r="L227" s="74"/>
      <x:c r="M227" s="74"/>
      <x:c r="N227" s="74"/>
      <x:c r="O227" s="91"/>
      <x:c r="P227" s="91"/>
      <x:c r="Q227" s="85"/>
      <x:c r="R227" s="85"/>
      <x:c r="S227" s="85"/>
      <x:c r="T227" s="85"/>
      <x:c r="U227" s="85"/>
      <x:c r="V227" s="85"/>
      <x:c r="W227" s="85"/>
      <x:c r="Y227" s="86"/>
      <x:c r="Z227" s="86"/>
      <x:c r="AA227" s="32"/>
    </x:row>
    <x:row r="228">
      <x:c r="A228" s="87"/>
      <x:c r="B228" s="88"/>
      <x:c r="D228" s="32"/>
      <x:c r="I228" s="74"/>
      <x:c r="J228" s="74"/>
      <x:c r="K228" s="74"/>
      <x:c r="L228" s="74"/>
      <x:c r="M228" s="74"/>
      <x:c r="N228" s="74"/>
      <x:c r="O228" s="91"/>
      <x:c r="P228" s="91"/>
      <x:c r="Q228" s="85"/>
      <x:c r="R228" s="85"/>
      <x:c r="S228" s="85"/>
      <x:c r="T228" s="85"/>
      <x:c r="U228" s="85"/>
      <x:c r="V228" s="85"/>
      <x:c r="W228" s="85"/>
      <x:c r="Y228" s="86"/>
      <x:c r="Z228" s="86"/>
      <x:c r="AA228" s="32"/>
    </x:row>
    <x:row r="229">
      <x:c r="A229" s="87"/>
      <x:c r="B229" s="88"/>
      <x:c r="D229" s="32"/>
      <x:c r="I229" s="74"/>
      <x:c r="J229" s="74"/>
      <x:c r="K229" s="74"/>
      <x:c r="L229" s="74"/>
      <x:c r="M229" s="74"/>
      <x:c r="N229" s="74"/>
      <x:c r="O229" s="91"/>
      <x:c r="P229" s="91"/>
      <x:c r="Q229" s="85"/>
      <x:c r="R229" s="85"/>
      <x:c r="S229" s="85"/>
      <x:c r="T229" s="85"/>
      <x:c r="U229" s="85"/>
      <x:c r="V229" s="85"/>
      <x:c r="W229" s="85"/>
      <x:c r="Y229" s="86"/>
      <x:c r="Z229" s="86"/>
      <x:c r="AA229" s="32"/>
    </x:row>
    <x:row r="230">
      <x:c r="A230" s="87"/>
      <x:c r="B230" s="88"/>
      <x:c r="D230" s="32"/>
      <x:c r="I230" s="74"/>
      <x:c r="J230" s="74"/>
      <x:c r="K230" s="74"/>
      <x:c r="L230" s="74"/>
      <x:c r="M230" s="74"/>
      <x:c r="N230" s="74"/>
      <x:c r="O230" s="91"/>
      <x:c r="P230" s="91"/>
      <x:c r="Q230" s="85"/>
      <x:c r="R230" s="85"/>
      <x:c r="S230" s="85"/>
      <x:c r="T230" s="85"/>
      <x:c r="U230" s="85"/>
      <x:c r="V230" s="85"/>
      <x:c r="W230" s="85"/>
      <x:c r="Y230" s="86"/>
      <x:c r="Z230" s="86"/>
      <x:c r="AA230" s="32"/>
    </x:row>
    <x:row r="231">
      <x:c r="A231" s="87"/>
      <x:c r="B231" s="88"/>
      <x:c r="D231" s="32"/>
      <x:c r="I231" s="74"/>
      <x:c r="J231" s="74"/>
      <x:c r="K231" s="74"/>
      <x:c r="L231" s="74"/>
      <x:c r="M231" s="74"/>
      <x:c r="N231" s="74"/>
      <x:c r="O231" s="91"/>
      <x:c r="P231" s="91"/>
      <x:c r="Q231" s="85"/>
      <x:c r="R231" s="85"/>
      <x:c r="S231" s="85"/>
      <x:c r="T231" s="85"/>
      <x:c r="U231" s="85"/>
      <x:c r="V231" s="85"/>
      <x:c r="W231" s="85"/>
      <x:c r="Y231" s="86"/>
      <x:c r="Z231" s="86"/>
      <x:c r="AA231" s="32"/>
    </x:row>
    <x:row r="232">
      <x:c r="A232" s="87"/>
      <x:c r="B232" s="88"/>
      <x:c r="D232" s="32"/>
      <x:c r="I232" s="74"/>
      <x:c r="J232" s="74"/>
      <x:c r="K232" s="74"/>
      <x:c r="L232" s="74"/>
      <x:c r="M232" s="74"/>
      <x:c r="N232" s="74"/>
      <x:c r="O232" s="91"/>
      <x:c r="P232" s="91"/>
      <x:c r="Q232" s="85"/>
      <x:c r="R232" s="85"/>
      <x:c r="S232" s="85"/>
      <x:c r="T232" s="85"/>
      <x:c r="U232" s="85"/>
      <x:c r="V232" s="85"/>
      <x:c r="W232" s="85"/>
      <x:c r="Y232" s="86"/>
      <x:c r="Z232" s="86"/>
      <x:c r="AA232" s="32"/>
    </x:row>
    <x:row r="233">
      <x:c r="A233" s="87"/>
      <x:c r="B233" s="88"/>
      <x:c r="D233" s="32"/>
      <x:c r="I233" s="74"/>
      <x:c r="J233" s="74"/>
      <x:c r="K233" s="74"/>
      <x:c r="L233" s="74"/>
      <x:c r="M233" s="74"/>
      <x:c r="N233" s="74"/>
      <x:c r="O233" s="91"/>
      <x:c r="P233" s="91"/>
      <x:c r="Q233" s="85"/>
      <x:c r="R233" s="85"/>
      <x:c r="S233" s="85"/>
      <x:c r="T233" s="85"/>
      <x:c r="U233" s="85"/>
      <x:c r="V233" s="85"/>
      <x:c r="W233" s="85"/>
      <x:c r="Y233" s="86"/>
      <x:c r="Z233" s="86"/>
      <x:c r="AA233" s="32"/>
    </x:row>
    <x:row r="234">
      <x:c r="A234" s="87"/>
      <x:c r="B234" s="88"/>
      <x:c r="D234" s="32"/>
      <x:c r="I234" s="74"/>
      <x:c r="J234" s="74"/>
      <x:c r="K234" s="74"/>
      <x:c r="L234" s="74"/>
      <x:c r="M234" s="74"/>
      <x:c r="N234" s="74"/>
      <x:c r="O234" s="91"/>
      <x:c r="P234" s="91"/>
      <x:c r="Q234" s="85"/>
      <x:c r="R234" s="85"/>
      <x:c r="S234" s="85"/>
      <x:c r="T234" s="85"/>
      <x:c r="U234" s="85"/>
      <x:c r="V234" s="85"/>
      <x:c r="W234" s="85"/>
      <x:c r="Y234" s="86"/>
      <x:c r="Z234" s="86"/>
      <x:c r="AA234" s="32"/>
    </x:row>
    <x:row r="235">
      <x:c r="A235" s="87"/>
      <x:c r="B235" s="88"/>
      <x:c r="D235" s="32"/>
      <x:c r="I235" s="74"/>
      <x:c r="J235" s="74"/>
      <x:c r="K235" s="74"/>
      <x:c r="L235" s="74"/>
      <x:c r="M235" s="74"/>
      <x:c r="N235" s="74"/>
      <x:c r="O235" s="91"/>
      <x:c r="P235" s="91"/>
      <x:c r="Q235" s="85"/>
      <x:c r="R235" s="85"/>
      <x:c r="S235" s="85"/>
      <x:c r="T235" s="85"/>
      <x:c r="U235" s="85"/>
      <x:c r="V235" s="85"/>
      <x:c r="W235" s="85"/>
      <x:c r="Y235" s="86"/>
      <x:c r="Z235" s="86"/>
      <x:c r="AA235" s="32"/>
    </x:row>
    <x:row r="236">
      <x:c r="A236" s="87"/>
      <x:c r="B236" s="88"/>
      <x:c r="D236" s="32"/>
      <x:c r="I236" s="74"/>
      <x:c r="J236" s="74"/>
      <x:c r="K236" s="74"/>
      <x:c r="L236" s="74"/>
      <x:c r="M236" s="74"/>
      <x:c r="N236" s="74"/>
      <x:c r="O236" s="91"/>
      <x:c r="P236" s="91"/>
      <x:c r="Q236" s="85"/>
      <x:c r="R236" s="85"/>
      <x:c r="S236" s="85"/>
      <x:c r="T236" s="85"/>
      <x:c r="U236" s="85"/>
      <x:c r="V236" s="85"/>
      <x:c r="W236" s="85"/>
      <x:c r="Y236" s="86"/>
      <x:c r="Z236" s="86"/>
      <x:c r="AA236" s="32"/>
    </x:row>
    <x:row r="237">
      <x:c r="A237" s="87"/>
      <x:c r="B237" s="88"/>
      <x:c r="D237" s="32"/>
      <x:c r="I237" s="74"/>
      <x:c r="J237" s="74"/>
      <x:c r="K237" s="74"/>
      <x:c r="L237" s="74"/>
      <x:c r="M237" s="74"/>
      <x:c r="N237" s="74"/>
      <x:c r="O237" s="91"/>
      <x:c r="P237" s="91"/>
      <x:c r="Q237" s="85"/>
      <x:c r="R237" s="85"/>
      <x:c r="S237" s="85"/>
      <x:c r="T237" s="85"/>
      <x:c r="U237" s="85"/>
      <x:c r="V237" s="85"/>
      <x:c r="W237" s="85"/>
      <x:c r="Y237" s="86"/>
      <x:c r="Z237" s="86"/>
      <x:c r="AA237" s="32"/>
    </x:row>
    <x:row r="238">
      <x:c r="A238" s="87"/>
      <x:c r="B238" s="88"/>
      <x:c r="D238" s="32"/>
      <x:c r="I238" s="74"/>
      <x:c r="J238" s="74"/>
      <x:c r="K238" s="74"/>
      <x:c r="L238" s="74"/>
      <x:c r="M238" s="74"/>
      <x:c r="N238" s="74"/>
      <x:c r="O238" s="91"/>
      <x:c r="P238" s="91"/>
      <x:c r="Q238" s="85"/>
      <x:c r="R238" s="85"/>
      <x:c r="S238" s="85"/>
      <x:c r="T238" s="85"/>
      <x:c r="U238" s="85"/>
      <x:c r="V238" s="85"/>
      <x:c r="W238" s="85"/>
      <x:c r="Y238" s="86"/>
      <x:c r="Z238" s="86"/>
      <x:c r="AA238" s="32"/>
    </x:row>
    <x:row r="239">
      <x:c r="A239" s="87"/>
      <x:c r="B239" s="88"/>
      <x:c r="D239" s="32"/>
      <x:c r="I239" s="74"/>
      <x:c r="J239" s="74"/>
      <x:c r="K239" s="74"/>
      <x:c r="L239" s="74"/>
      <x:c r="M239" s="74"/>
      <x:c r="N239" s="74"/>
      <x:c r="O239" s="91"/>
      <x:c r="P239" s="91"/>
      <x:c r="Q239" s="85"/>
      <x:c r="R239" s="85"/>
      <x:c r="S239" s="85"/>
      <x:c r="T239" s="85"/>
      <x:c r="U239" s="85"/>
      <x:c r="V239" s="85"/>
      <x:c r="W239" s="85"/>
      <x:c r="Y239" s="86"/>
      <x:c r="Z239" s="86"/>
      <x:c r="AA239" s="32"/>
    </x:row>
    <x:row r="240">
      <x:c r="A240" s="87"/>
      <x:c r="B240" s="88"/>
      <x:c r="D240" s="32"/>
      <x:c r="I240" s="74"/>
      <x:c r="J240" s="74"/>
      <x:c r="K240" s="74"/>
      <x:c r="L240" s="74"/>
      <x:c r="M240" s="74"/>
      <x:c r="N240" s="74"/>
      <x:c r="O240" s="91"/>
      <x:c r="P240" s="91"/>
      <x:c r="Q240" s="85"/>
      <x:c r="R240" s="85"/>
      <x:c r="S240" s="85"/>
      <x:c r="T240" s="85"/>
      <x:c r="U240" s="85"/>
      <x:c r="V240" s="85"/>
      <x:c r="W240" s="85"/>
      <x:c r="Y240" s="86"/>
      <x:c r="Z240" s="86"/>
      <x:c r="AA240" s="32"/>
    </x:row>
    <x:row r="241">
      <x:c r="A241" s="87"/>
      <x:c r="B241" s="88"/>
      <x:c r="D241" s="32"/>
      <x:c r="I241" s="74"/>
      <x:c r="J241" s="74"/>
      <x:c r="K241" s="74"/>
      <x:c r="L241" s="74"/>
      <x:c r="M241" s="74"/>
      <x:c r="N241" s="74"/>
      <x:c r="O241" s="91"/>
      <x:c r="P241" s="91"/>
      <x:c r="Q241" s="85"/>
      <x:c r="R241" s="85"/>
      <x:c r="S241" s="85"/>
      <x:c r="T241" s="85"/>
      <x:c r="U241" s="85"/>
      <x:c r="V241" s="85"/>
      <x:c r="W241" s="85"/>
      <x:c r="Y241" s="86"/>
      <x:c r="Z241" s="86"/>
      <x:c r="AA241" s="32"/>
    </x:row>
    <x:row r="242">
      <x:c r="A242" s="87"/>
      <x:c r="B242" s="88"/>
      <x:c r="D242" s="32"/>
      <x:c r="I242" s="74"/>
      <x:c r="J242" s="74"/>
      <x:c r="K242" s="74"/>
      <x:c r="L242" s="74"/>
      <x:c r="M242" s="74"/>
      <x:c r="N242" s="74"/>
      <x:c r="O242" s="91"/>
      <x:c r="P242" s="91"/>
      <x:c r="Q242" s="85"/>
      <x:c r="R242" s="85"/>
      <x:c r="S242" s="85"/>
      <x:c r="T242" s="85"/>
      <x:c r="U242" s="85"/>
      <x:c r="V242" s="85"/>
      <x:c r="W242" s="85"/>
      <x:c r="Y242" s="86"/>
      <x:c r="Z242" s="86"/>
      <x:c r="AA242" s="32"/>
    </x:row>
    <x:row r="243">
      <x:c r="A243" s="87"/>
      <x:c r="B243" s="88"/>
      <x:c r="D243" s="32"/>
      <x:c r="I243" s="74"/>
      <x:c r="J243" s="74"/>
      <x:c r="K243" s="74"/>
      <x:c r="L243" s="74"/>
      <x:c r="M243" s="74"/>
      <x:c r="N243" s="74"/>
      <x:c r="O243" s="91"/>
      <x:c r="P243" s="91"/>
      <x:c r="Q243" s="85"/>
      <x:c r="R243" s="85"/>
      <x:c r="S243" s="85"/>
      <x:c r="T243" s="85"/>
      <x:c r="U243" s="85"/>
      <x:c r="V243" s="85"/>
      <x:c r="W243" s="85"/>
      <x:c r="Y243" s="86"/>
      <x:c r="Z243" s="86"/>
      <x:c r="AA243" s="32"/>
    </x:row>
    <x:row r="244">
      <x:c r="A244" s="87"/>
      <x:c r="B244" s="88"/>
      <x:c r="D244" s="32"/>
      <x:c r="I244" s="74"/>
      <x:c r="J244" s="74"/>
      <x:c r="K244" s="74"/>
      <x:c r="L244" s="74"/>
      <x:c r="M244" s="74"/>
      <x:c r="N244" s="74"/>
      <x:c r="O244" s="91"/>
      <x:c r="P244" s="91"/>
      <x:c r="Q244" s="85"/>
      <x:c r="R244" s="85"/>
      <x:c r="S244" s="85"/>
      <x:c r="T244" s="85"/>
      <x:c r="U244" s="85"/>
      <x:c r="V244" s="85"/>
      <x:c r="W244" s="85"/>
      <x:c r="Y244" s="86"/>
      <x:c r="Z244" s="86"/>
      <x:c r="AA244" s="32"/>
    </x:row>
    <x:row r="245">
      <x:c r="A245" s="87"/>
      <x:c r="B245" s="88"/>
      <x:c r="D245" s="32"/>
      <x:c r="I245" s="74"/>
      <x:c r="J245" s="74"/>
      <x:c r="K245" s="74"/>
      <x:c r="L245" s="74"/>
      <x:c r="M245" s="74"/>
      <x:c r="N245" s="74"/>
      <x:c r="O245" s="91"/>
      <x:c r="P245" s="91"/>
      <x:c r="Q245" s="85"/>
      <x:c r="R245" s="85"/>
      <x:c r="S245" s="85"/>
      <x:c r="T245" s="85"/>
      <x:c r="U245" s="85"/>
      <x:c r="V245" s="85"/>
      <x:c r="W245" s="85"/>
      <x:c r="Y245" s="86"/>
      <x:c r="Z245" s="86"/>
      <x:c r="AA245" s="32"/>
    </x:row>
    <x:row r="246">
      <x:c r="A246" s="87"/>
      <x:c r="B246" s="88"/>
      <x:c r="D246" s="32"/>
      <x:c r="I246" s="74"/>
      <x:c r="J246" s="74"/>
      <x:c r="K246" s="74"/>
      <x:c r="L246" s="74"/>
      <x:c r="M246" s="74"/>
      <x:c r="N246" s="74"/>
      <x:c r="O246" s="91"/>
      <x:c r="P246" s="91"/>
      <x:c r="Q246" s="85"/>
      <x:c r="R246" s="85"/>
      <x:c r="S246" s="85"/>
      <x:c r="T246" s="85"/>
      <x:c r="U246" s="85"/>
      <x:c r="V246" s="85"/>
      <x:c r="W246" s="85"/>
      <x:c r="Y246" s="86"/>
      <x:c r="Z246" s="86"/>
      <x:c r="AA246" s="32"/>
    </x:row>
    <x:row r="247">
      <x:c r="A247" s="87"/>
      <x:c r="B247" s="88"/>
      <x:c r="D247" s="32"/>
      <x:c r="I247" s="74"/>
      <x:c r="J247" s="74"/>
      <x:c r="K247" s="74"/>
      <x:c r="L247" s="74"/>
      <x:c r="M247" s="74"/>
      <x:c r="N247" s="74"/>
      <x:c r="O247" s="91"/>
      <x:c r="P247" s="91"/>
      <x:c r="Q247" s="85"/>
      <x:c r="R247" s="85"/>
      <x:c r="S247" s="85"/>
      <x:c r="T247" s="85"/>
      <x:c r="U247" s="85"/>
      <x:c r="V247" s="85"/>
      <x:c r="W247" s="85"/>
      <x:c r="Y247" s="86"/>
      <x:c r="Z247" s="86"/>
      <x:c r="AA247" s="32"/>
    </x:row>
    <x:row r="248">
      <x:c r="A248" s="87"/>
      <x:c r="B248" s="88"/>
      <x:c r="D248" s="32"/>
      <x:c r="I248" s="74"/>
      <x:c r="J248" s="74"/>
      <x:c r="K248" s="74"/>
      <x:c r="L248" s="74"/>
      <x:c r="M248" s="74"/>
      <x:c r="N248" s="74"/>
      <x:c r="O248" s="91"/>
      <x:c r="P248" s="91"/>
      <x:c r="Q248" s="85"/>
      <x:c r="R248" s="85"/>
      <x:c r="S248" s="85"/>
      <x:c r="T248" s="85"/>
      <x:c r="U248" s="85"/>
      <x:c r="V248" s="85"/>
      <x:c r="W248" s="85"/>
      <x:c r="Y248" s="86"/>
      <x:c r="Z248" s="86"/>
      <x:c r="AA248" s="32"/>
    </x:row>
    <x:row r="249">
      <x:c r="A249" s="87"/>
      <x:c r="B249" s="88"/>
      <x:c r="D249" s="32"/>
      <x:c r="I249" s="74"/>
      <x:c r="J249" s="74"/>
      <x:c r="K249" s="74"/>
      <x:c r="L249" s="74"/>
      <x:c r="M249" s="74"/>
      <x:c r="N249" s="74"/>
      <x:c r="O249" s="91"/>
      <x:c r="P249" s="91"/>
      <x:c r="Q249" s="85"/>
      <x:c r="R249" s="85"/>
      <x:c r="S249" s="85"/>
      <x:c r="T249" s="85"/>
      <x:c r="U249" s="85"/>
      <x:c r="V249" s="85"/>
      <x:c r="W249" s="85"/>
      <x:c r="Y249" s="86"/>
      <x:c r="Z249" s="86"/>
      <x:c r="AA249" s="32"/>
    </x:row>
    <x:row r="250">
      <x:c r="A250" s="87"/>
      <x:c r="B250" s="88"/>
      <x:c r="D250" s="32"/>
      <x:c r="I250" s="74"/>
      <x:c r="J250" s="74"/>
      <x:c r="K250" s="74"/>
      <x:c r="L250" s="74"/>
      <x:c r="M250" s="74"/>
      <x:c r="N250" s="74"/>
      <x:c r="O250" s="91"/>
      <x:c r="P250" s="91"/>
      <x:c r="Q250" s="85"/>
      <x:c r="R250" s="85"/>
      <x:c r="S250" s="85"/>
      <x:c r="T250" s="85"/>
      <x:c r="U250" s="85"/>
      <x:c r="V250" s="85"/>
      <x:c r="W250" s="85"/>
      <x:c r="Y250" s="86"/>
      <x:c r="Z250" s="86"/>
      <x:c r="AA250" s="32"/>
    </x:row>
    <x:row r="251">
      <x:c r="A251" s="87"/>
      <x:c r="B251" s="88"/>
      <x:c r="D251" s="32"/>
      <x:c r="I251" s="74"/>
      <x:c r="J251" s="74"/>
      <x:c r="K251" s="74"/>
      <x:c r="L251" s="74"/>
      <x:c r="M251" s="74"/>
      <x:c r="N251" s="74"/>
      <x:c r="O251" s="91"/>
      <x:c r="P251" s="91"/>
      <x:c r="Q251" s="85"/>
      <x:c r="R251" s="85"/>
      <x:c r="S251" s="85"/>
      <x:c r="T251" s="85"/>
      <x:c r="U251" s="85"/>
      <x:c r="V251" s="85"/>
      <x:c r="W251" s="85"/>
      <x:c r="Y251" s="86"/>
      <x:c r="Z251" s="86"/>
      <x:c r="AA251" s="32"/>
    </x:row>
    <x:row r="252">
      <x:c r="A252" s="87"/>
      <x:c r="B252" s="88"/>
      <x:c r="D252" s="32"/>
      <x:c r="I252" s="74"/>
      <x:c r="J252" s="74"/>
      <x:c r="K252" s="74"/>
      <x:c r="L252" s="74"/>
      <x:c r="M252" s="74"/>
      <x:c r="N252" s="74"/>
      <x:c r="O252" s="91"/>
      <x:c r="P252" s="91"/>
      <x:c r="Q252" s="85"/>
      <x:c r="R252" s="85"/>
      <x:c r="S252" s="85"/>
      <x:c r="T252" s="85"/>
      <x:c r="U252" s="85"/>
      <x:c r="V252" s="85"/>
      <x:c r="W252" s="85"/>
      <x:c r="Y252" s="86"/>
      <x:c r="Z252" s="86"/>
      <x:c r="AA252" s="32"/>
    </x:row>
    <x:row r="253">
      <x:c r="A253" s="87"/>
      <x:c r="B253" s="88"/>
      <x:c r="D253" s="32"/>
      <x:c r="I253" s="74"/>
      <x:c r="J253" s="74"/>
      <x:c r="K253" s="74"/>
      <x:c r="L253" s="74"/>
      <x:c r="M253" s="74"/>
      <x:c r="N253" s="74"/>
      <x:c r="O253" s="91"/>
      <x:c r="P253" s="91"/>
      <x:c r="Q253" s="85"/>
      <x:c r="R253" s="85"/>
      <x:c r="S253" s="85"/>
      <x:c r="T253" s="85"/>
      <x:c r="U253" s="85"/>
      <x:c r="V253" s="85"/>
      <x:c r="W253" s="85"/>
      <x:c r="Y253" s="86"/>
      <x:c r="Z253" s="86"/>
      <x:c r="AA253" s="32"/>
    </x:row>
    <x:row r="254">
      <x:c r="A254" s="87"/>
      <x:c r="B254" s="88"/>
      <x:c r="D254" s="32"/>
      <x:c r="I254" s="74"/>
      <x:c r="J254" s="74"/>
      <x:c r="K254" s="74"/>
      <x:c r="L254" s="74"/>
      <x:c r="M254" s="74"/>
      <x:c r="N254" s="74"/>
      <x:c r="O254" s="91"/>
      <x:c r="P254" s="91"/>
      <x:c r="Q254" s="85"/>
      <x:c r="R254" s="85"/>
      <x:c r="S254" s="85"/>
      <x:c r="T254" s="85"/>
      <x:c r="U254" s="85"/>
      <x:c r="V254" s="85"/>
      <x:c r="W254" s="85"/>
      <x:c r="Y254" s="86"/>
      <x:c r="Z254" s="86"/>
      <x:c r="AA254" s="32"/>
    </x:row>
    <x:row r="255">
      <x:c r="A255" s="87"/>
      <x:c r="B255" s="88"/>
      <x:c r="D255" s="32"/>
      <x:c r="I255" s="74"/>
      <x:c r="J255" s="74"/>
      <x:c r="K255" s="74"/>
      <x:c r="L255" s="74"/>
      <x:c r="M255" s="74"/>
      <x:c r="N255" s="74"/>
      <x:c r="O255" s="91"/>
      <x:c r="P255" s="91"/>
      <x:c r="Q255" s="85"/>
      <x:c r="R255" s="85"/>
      <x:c r="S255" s="85"/>
      <x:c r="T255" s="85"/>
      <x:c r="U255" s="85"/>
      <x:c r="V255" s="85"/>
      <x:c r="W255" s="85"/>
      <x:c r="Y255" s="86"/>
      <x:c r="Z255" s="86"/>
      <x:c r="AA255" s="32"/>
    </x:row>
    <x:row r="256">
      <x:c r="A256" s="87"/>
      <x:c r="B256" s="88"/>
      <x:c r="D256" s="32"/>
      <x:c r="I256" s="74"/>
      <x:c r="J256" s="74"/>
      <x:c r="K256" s="74"/>
      <x:c r="L256" s="74"/>
      <x:c r="M256" s="74"/>
      <x:c r="N256" s="74"/>
      <x:c r="O256" s="91"/>
      <x:c r="P256" s="91"/>
      <x:c r="Q256" s="85"/>
      <x:c r="R256" s="85"/>
      <x:c r="S256" s="85"/>
      <x:c r="T256" s="85"/>
      <x:c r="U256" s="85"/>
      <x:c r="V256" s="85"/>
      <x:c r="W256" s="85"/>
      <x:c r="Y256" s="86"/>
      <x:c r="Z256" s="86"/>
      <x:c r="AA256" s="32"/>
    </x:row>
    <x:row r="257">
      <x:c r="A257" s="87"/>
      <x:c r="B257" s="88"/>
      <x:c r="D257" s="32"/>
      <x:c r="I257" s="74"/>
      <x:c r="J257" s="74"/>
      <x:c r="K257" s="74"/>
      <x:c r="L257" s="74"/>
      <x:c r="M257" s="74"/>
      <x:c r="N257" s="74"/>
      <x:c r="O257" s="91"/>
      <x:c r="P257" s="91"/>
      <x:c r="Q257" s="85"/>
      <x:c r="R257" s="85"/>
      <x:c r="S257" s="85"/>
      <x:c r="T257" s="85"/>
      <x:c r="U257" s="85"/>
      <x:c r="V257" s="85"/>
      <x:c r="W257" s="85"/>
      <x:c r="Y257" s="86"/>
      <x:c r="Z257" s="86"/>
      <x:c r="AA257" s="32"/>
    </x:row>
    <x:row r="258">
      <x:c r="A258" s="87"/>
      <x:c r="B258" s="88"/>
      <x:c r="D258" s="32"/>
      <x:c r="I258" s="74"/>
      <x:c r="J258" s="74"/>
      <x:c r="K258" s="74"/>
      <x:c r="L258" s="74"/>
      <x:c r="M258" s="74"/>
      <x:c r="N258" s="74"/>
      <x:c r="O258" s="91"/>
      <x:c r="P258" s="91"/>
      <x:c r="Q258" s="85"/>
      <x:c r="R258" s="85"/>
      <x:c r="S258" s="85"/>
      <x:c r="T258" s="85"/>
      <x:c r="U258" s="85"/>
      <x:c r="V258" s="85"/>
      <x:c r="W258" s="85"/>
      <x:c r="Y258" s="86"/>
      <x:c r="Z258" s="86"/>
      <x:c r="AA258" s="32"/>
    </x:row>
    <x:row r="259">
      <x:c r="A259" s="87"/>
      <x:c r="B259" s="88"/>
      <x:c r="D259" s="32"/>
      <x:c r="I259" s="74"/>
      <x:c r="J259" s="74"/>
      <x:c r="K259" s="74"/>
      <x:c r="L259" s="74"/>
      <x:c r="M259" s="74"/>
      <x:c r="N259" s="74"/>
      <x:c r="O259" s="91"/>
      <x:c r="P259" s="91"/>
      <x:c r="Q259" s="85"/>
      <x:c r="R259" s="85"/>
      <x:c r="S259" s="85"/>
      <x:c r="T259" s="85"/>
      <x:c r="U259" s="85"/>
      <x:c r="V259" s="85"/>
      <x:c r="W259" s="85"/>
      <x:c r="Y259" s="86"/>
      <x:c r="Z259" s="86"/>
      <x:c r="AA259" s="32"/>
    </x:row>
    <x:row r="260">
      <x:c r="A260" s="87"/>
      <x:c r="B260" s="88"/>
      <x:c r="D260" s="32"/>
      <x:c r="I260" s="74"/>
      <x:c r="J260" s="74"/>
      <x:c r="K260" s="74"/>
      <x:c r="L260" s="74"/>
      <x:c r="M260" s="74"/>
      <x:c r="N260" s="74"/>
      <x:c r="O260" s="91"/>
      <x:c r="P260" s="91"/>
      <x:c r="Q260" s="85"/>
      <x:c r="R260" s="85"/>
      <x:c r="S260" s="85"/>
      <x:c r="T260" s="85"/>
      <x:c r="U260" s="85"/>
      <x:c r="V260" s="85"/>
      <x:c r="W260" s="85"/>
      <x:c r="Y260" s="86"/>
      <x:c r="Z260" s="86"/>
      <x:c r="AA260" s="32"/>
    </x:row>
    <x:row r="261">
      <x:c r="A261" s="87"/>
      <x:c r="B261" s="88"/>
      <x:c r="D261" s="32"/>
      <x:c r="I261" s="74"/>
      <x:c r="J261" s="74"/>
      <x:c r="K261" s="74"/>
      <x:c r="L261" s="74"/>
      <x:c r="M261" s="74"/>
      <x:c r="N261" s="74"/>
      <x:c r="O261" s="91"/>
      <x:c r="P261" s="91"/>
      <x:c r="Q261" s="85"/>
      <x:c r="R261" s="85"/>
      <x:c r="S261" s="85"/>
      <x:c r="T261" s="85"/>
      <x:c r="U261" s="85"/>
      <x:c r="V261" s="85"/>
      <x:c r="W261" s="85"/>
      <x:c r="Y261" s="86"/>
      <x:c r="Z261" s="86"/>
      <x:c r="AA261" s="32"/>
    </x:row>
    <x:row r="262">
      <x:c r="A262" s="87"/>
      <x:c r="B262" s="88"/>
      <x:c r="D262" s="32"/>
      <x:c r="I262" s="74"/>
      <x:c r="J262" s="74"/>
      <x:c r="K262" s="74"/>
      <x:c r="L262" s="74"/>
      <x:c r="M262" s="74"/>
      <x:c r="N262" s="74"/>
      <x:c r="O262" s="91"/>
      <x:c r="P262" s="91"/>
      <x:c r="Q262" s="85"/>
      <x:c r="R262" s="85"/>
      <x:c r="S262" s="85"/>
      <x:c r="T262" s="85"/>
      <x:c r="U262" s="85"/>
      <x:c r="V262" s="85"/>
      <x:c r="W262" s="85"/>
      <x:c r="Y262" s="86"/>
      <x:c r="Z262" s="86"/>
      <x:c r="AA262" s="32"/>
    </x:row>
    <x:row r="263">
      <x:c r="A263" s="87"/>
      <x:c r="B263" s="88"/>
      <x:c r="D263" s="32"/>
      <x:c r="I263" s="74"/>
      <x:c r="J263" s="74"/>
      <x:c r="K263" s="74"/>
      <x:c r="L263" s="74"/>
      <x:c r="M263" s="74"/>
      <x:c r="N263" s="74"/>
      <x:c r="O263" s="91"/>
      <x:c r="P263" s="91"/>
      <x:c r="Q263" s="85"/>
      <x:c r="R263" s="85"/>
      <x:c r="S263" s="85"/>
      <x:c r="T263" s="85"/>
      <x:c r="U263" s="85"/>
      <x:c r="V263" s="85"/>
      <x:c r="W263" s="85"/>
      <x:c r="Y263" s="86"/>
      <x:c r="Z263" s="86"/>
      <x:c r="AA263" s="32"/>
    </x:row>
    <x:row r="264">
      <x:c r="A264" s="87"/>
      <x:c r="B264" s="88"/>
      <x:c r="D264" s="32"/>
      <x:c r="I264" s="74"/>
      <x:c r="J264" s="74"/>
      <x:c r="K264" s="74"/>
      <x:c r="L264" s="74"/>
      <x:c r="M264" s="74"/>
      <x:c r="N264" s="74"/>
      <x:c r="O264" s="91"/>
      <x:c r="P264" s="91"/>
      <x:c r="Q264" s="85"/>
      <x:c r="R264" s="85"/>
      <x:c r="S264" s="85"/>
      <x:c r="T264" s="85"/>
      <x:c r="U264" s="85"/>
      <x:c r="V264" s="85"/>
      <x:c r="W264" s="85"/>
      <x:c r="Y264" s="86"/>
      <x:c r="Z264" s="86"/>
      <x:c r="AA264" s="32"/>
    </x:row>
    <x:row r="265">
      <x:c r="A265" s="87"/>
      <x:c r="B265" s="88"/>
      <x:c r="D265" s="32"/>
      <x:c r="I265" s="74"/>
      <x:c r="J265" s="74"/>
      <x:c r="K265" s="74"/>
      <x:c r="L265" s="74"/>
      <x:c r="M265" s="74"/>
      <x:c r="N265" s="74"/>
      <x:c r="O265" s="91"/>
      <x:c r="P265" s="91"/>
      <x:c r="Q265" s="85"/>
      <x:c r="R265" s="85"/>
      <x:c r="S265" s="85"/>
      <x:c r="T265" s="85"/>
      <x:c r="U265" s="85"/>
      <x:c r="V265" s="85"/>
      <x:c r="W265" s="85"/>
      <x:c r="Y265" s="86"/>
      <x:c r="Z265" s="86"/>
      <x:c r="AA265" s="32"/>
    </x:row>
    <x:row r="266">
      <x:c r="A266" s="87"/>
      <x:c r="B266" s="88"/>
      <x:c r="D266" s="32"/>
      <x:c r="I266" s="74"/>
      <x:c r="J266" s="74"/>
      <x:c r="K266" s="74"/>
      <x:c r="L266" s="74"/>
      <x:c r="M266" s="74"/>
      <x:c r="N266" s="74"/>
      <x:c r="O266" s="91"/>
      <x:c r="P266" s="91"/>
      <x:c r="Q266" s="85"/>
      <x:c r="R266" s="85"/>
      <x:c r="S266" s="85"/>
      <x:c r="T266" s="85"/>
      <x:c r="U266" s="85"/>
      <x:c r="V266" s="85"/>
      <x:c r="W266" s="85"/>
      <x:c r="Y266" s="86"/>
      <x:c r="Z266" s="86"/>
      <x:c r="AA266" s="32"/>
    </x:row>
    <x:row r="267">
      <x:c r="A267" s="87"/>
      <x:c r="B267" s="88"/>
      <x:c r="D267" s="32"/>
      <x:c r="I267" s="74"/>
      <x:c r="J267" s="74"/>
      <x:c r="K267" s="74"/>
      <x:c r="L267" s="74"/>
      <x:c r="M267" s="74"/>
      <x:c r="N267" s="74"/>
      <x:c r="O267" s="91"/>
      <x:c r="P267" s="91"/>
      <x:c r="Q267" s="85"/>
      <x:c r="R267" s="85"/>
      <x:c r="S267" s="85"/>
      <x:c r="T267" s="85"/>
      <x:c r="U267" s="85"/>
      <x:c r="V267" s="85"/>
      <x:c r="W267" s="85"/>
      <x:c r="Y267" s="86"/>
      <x:c r="Z267" s="86"/>
      <x:c r="AA267" s="32"/>
    </x:row>
    <x:row r="268">
      <x:c r="A268" s="87"/>
      <x:c r="B268" s="88"/>
      <x:c r="D268" s="32"/>
      <x:c r="I268" s="74"/>
      <x:c r="J268" s="74"/>
      <x:c r="K268" s="74"/>
      <x:c r="L268" s="74"/>
      <x:c r="M268" s="74"/>
      <x:c r="N268" s="74"/>
      <x:c r="O268" s="91"/>
      <x:c r="P268" s="91"/>
      <x:c r="Q268" s="85"/>
      <x:c r="R268" s="85"/>
      <x:c r="S268" s="85"/>
      <x:c r="T268" s="85"/>
      <x:c r="U268" s="85"/>
      <x:c r="V268" s="85"/>
      <x:c r="W268" s="85"/>
      <x:c r="Y268" s="86"/>
      <x:c r="Z268" s="86"/>
      <x:c r="AA268" s="32"/>
    </x:row>
    <x:row r="269">
      <x:c r="A269" s="87"/>
      <x:c r="B269" s="88"/>
      <x:c r="D269" s="32"/>
      <x:c r="I269" s="74"/>
      <x:c r="J269" s="74"/>
      <x:c r="K269" s="74"/>
      <x:c r="L269" s="74"/>
      <x:c r="M269" s="74"/>
      <x:c r="N269" s="74"/>
      <x:c r="O269" s="91"/>
      <x:c r="P269" s="91"/>
      <x:c r="Q269" s="85"/>
      <x:c r="R269" s="85"/>
      <x:c r="S269" s="85"/>
      <x:c r="T269" s="85"/>
      <x:c r="U269" s="85"/>
      <x:c r="V269" s="85"/>
      <x:c r="W269" s="85"/>
      <x:c r="Y269" s="86"/>
      <x:c r="Z269" s="86"/>
      <x:c r="AA269" s="32"/>
    </x:row>
    <x:row r="270">
      <x:c r="A270" s="87"/>
      <x:c r="B270" s="88"/>
      <x:c r="D270" s="32"/>
      <x:c r="I270" s="74"/>
      <x:c r="J270" s="74"/>
      <x:c r="K270" s="74"/>
      <x:c r="L270" s="74"/>
      <x:c r="M270" s="74"/>
      <x:c r="N270" s="74"/>
      <x:c r="O270" s="91"/>
      <x:c r="P270" s="91"/>
      <x:c r="Q270" s="85"/>
      <x:c r="R270" s="85"/>
      <x:c r="S270" s="85"/>
      <x:c r="T270" s="85"/>
      <x:c r="U270" s="85"/>
      <x:c r="V270" s="85"/>
      <x:c r="W270" s="85"/>
      <x:c r="Y270" s="86"/>
      <x:c r="Z270" s="86"/>
      <x:c r="AA270" s="32"/>
    </x:row>
    <x:row r="271">
      <x:c r="A271" s="87"/>
      <x:c r="B271" s="88"/>
      <x:c r="D271" s="32"/>
      <x:c r="I271" s="74"/>
      <x:c r="J271" s="74"/>
      <x:c r="K271" s="74"/>
      <x:c r="L271" s="74"/>
      <x:c r="M271" s="74"/>
      <x:c r="N271" s="74"/>
      <x:c r="O271" s="91"/>
      <x:c r="P271" s="91"/>
      <x:c r="Q271" s="85"/>
      <x:c r="R271" s="85"/>
      <x:c r="S271" s="85"/>
      <x:c r="T271" s="85"/>
      <x:c r="U271" s="85"/>
      <x:c r="V271" s="85"/>
      <x:c r="W271" s="85"/>
      <x:c r="Y271" s="86"/>
      <x:c r="Z271" s="86"/>
      <x:c r="AA271" s="32"/>
    </x:row>
    <x:row r="272">
      <x:c r="A272" s="87"/>
      <x:c r="B272" s="88"/>
      <x:c r="D272" s="32"/>
      <x:c r="I272" s="74"/>
      <x:c r="J272" s="74"/>
      <x:c r="K272" s="74"/>
      <x:c r="L272" s="74"/>
      <x:c r="M272" s="74"/>
      <x:c r="N272" s="74"/>
      <x:c r="O272" s="91"/>
      <x:c r="P272" s="91"/>
      <x:c r="Q272" s="85"/>
      <x:c r="R272" s="85"/>
      <x:c r="S272" s="85"/>
      <x:c r="T272" s="85"/>
      <x:c r="U272" s="85"/>
      <x:c r="V272" s="85"/>
      <x:c r="W272" s="85"/>
      <x:c r="Y272" s="86"/>
      <x:c r="Z272" s="86"/>
      <x:c r="AA272" s="32"/>
    </x:row>
    <x:row r="273">
      <x:c r="A273" s="87"/>
      <x:c r="B273" s="88"/>
      <x:c r="D273" s="32"/>
      <x:c r="I273" s="74"/>
      <x:c r="J273" s="74"/>
      <x:c r="K273" s="74"/>
      <x:c r="L273" s="74"/>
      <x:c r="M273" s="74"/>
      <x:c r="N273" s="74"/>
      <x:c r="O273" s="91"/>
      <x:c r="P273" s="91"/>
      <x:c r="Q273" s="85"/>
      <x:c r="R273" s="85"/>
      <x:c r="S273" s="85"/>
      <x:c r="T273" s="85"/>
      <x:c r="U273" s="85"/>
      <x:c r="V273" s="85"/>
      <x:c r="W273" s="85"/>
      <x:c r="Y273" s="86"/>
      <x:c r="Z273" s="86"/>
      <x:c r="AA273" s="32"/>
    </x:row>
    <x:row r="274">
      <x:c r="A274" s="87"/>
      <x:c r="B274" s="88"/>
      <x:c r="D274" s="32"/>
      <x:c r="I274" s="74"/>
      <x:c r="J274" s="74"/>
      <x:c r="K274" s="74"/>
      <x:c r="L274" s="74"/>
      <x:c r="M274" s="74"/>
      <x:c r="N274" s="74"/>
      <x:c r="O274" s="91"/>
      <x:c r="P274" s="91"/>
      <x:c r="Q274" s="85"/>
      <x:c r="R274" s="85"/>
      <x:c r="S274" s="85"/>
      <x:c r="T274" s="85"/>
      <x:c r="U274" s="85"/>
      <x:c r="V274" s="85"/>
      <x:c r="W274" s="85"/>
      <x:c r="Y274" s="86"/>
      <x:c r="Z274" s="86"/>
      <x:c r="AA274" s="32"/>
    </x:row>
    <x:row r="275">
      <x:c r="A275" s="87"/>
      <x:c r="B275" s="88"/>
      <x:c r="D275" s="32"/>
      <x:c r="I275" s="74"/>
      <x:c r="J275" s="74"/>
      <x:c r="K275" s="74"/>
      <x:c r="L275" s="74"/>
      <x:c r="M275" s="74"/>
      <x:c r="N275" s="74"/>
      <x:c r="O275" s="91"/>
      <x:c r="P275" s="91"/>
      <x:c r="Q275" s="85"/>
      <x:c r="R275" s="85"/>
      <x:c r="S275" s="85"/>
      <x:c r="T275" s="85"/>
      <x:c r="U275" s="85"/>
      <x:c r="V275" s="85"/>
      <x:c r="W275" s="85"/>
      <x:c r="Y275" s="86"/>
      <x:c r="Z275" s="86"/>
      <x:c r="AA275" s="32"/>
    </x:row>
    <x:row r="276">
      <x:c r="A276" s="87"/>
      <x:c r="B276" s="88"/>
      <x:c r="D276" s="32"/>
      <x:c r="I276" s="74"/>
      <x:c r="J276" s="74"/>
      <x:c r="K276" s="74"/>
      <x:c r="L276" s="74"/>
      <x:c r="M276" s="74"/>
      <x:c r="N276" s="74"/>
      <x:c r="O276" s="91"/>
      <x:c r="P276" s="91"/>
      <x:c r="Q276" s="85"/>
      <x:c r="R276" s="85"/>
      <x:c r="S276" s="85"/>
      <x:c r="T276" s="85"/>
      <x:c r="U276" s="85"/>
      <x:c r="V276" s="85"/>
      <x:c r="W276" s="85"/>
      <x:c r="Y276" s="86"/>
      <x:c r="Z276" s="86"/>
      <x:c r="AA276" s="32"/>
    </x:row>
    <x:row r="277">
      <x:c r="A277" s="87"/>
      <x:c r="B277" s="88"/>
      <x:c r="D277" s="32"/>
      <x:c r="I277" s="74"/>
      <x:c r="J277" s="74"/>
      <x:c r="K277" s="74"/>
      <x:c r="L277" s="74"/>
      <x:c r="M277" s="74"/>
      <x:c r="N277" s="74"/>
      <x:c r="O277" s="91"/>
      <x:c r="P277" s="91"/>
      <x:c r="Q277" s="85"/>
      <x:c r="R277" s="85"/>
      <x:c r="S277" s="85"/>
      <x:c r="T277" s="85"/>
      <x:c r="U277" s="85"/>
      <x:c r="V277" s="85"/>
      <x:c r="W277" s="85"/>
      <x:c r="Y277" s="86"/>
      <x:c r="Z277" s="86"/>
      <x:c r="AA277" s="32"/>
    </x:row>
    <x:row r="278">
      <x:c r="A278" s="87"/>
      <x:c r="B278" s="88"/>
      <x:c r="D278" s="32"/>
      <x:c r="I278" s="74"/>
      <x:c r="J278" s="74"/>
      <x:c r="K278" s="74"/>
      <x:c r="L278" s="74"/>
      <x:c r="M278" s="74"/>
      <x:c r="N278" s="74"/>
      <x:c r="O278" s="91"/>
      <x:c r="P278" s="91"/>
      <x:c r="Q278" s="85"/>
      <x:c r="R278" s="85"/>
      <x:c r="S278" s="85"/>
      <x:c r="T278" s="85"/>
      <x:c r="U278" s="85"/>
      <x:c r="V278" s="85"/>
      <x:c r="W278" s="85"/>
      <x:c r="Y278" s="86"/>
      <x:c r="Z278" s="86"/>
      <x:c r="AA278" s="32"/>
    </x:row>
    <x:row r="279">
      <x:c r="A279" s="87"/>
      <x:c r="B279" s="88"/>
      <x:c r="D279" s="32"/>
      <x:c r="I279" s="74"/>
      <x:c r="J279" s="74"/>
      <x:c r="K279" s="74"/>
      <x:c r="L279" s="74"/>
      <x:c r="M279" s="74"/>
      <x:c r="N279" s="74"/>
      <x:c r="O279" s="91"/>
      <x:c r="P279" s="91"/>
      <x:c r="Q279" s="85"/>
      <x:c r="R279" s="85"/>
      <x:c r="S279" s="85"/>
      <x:c r="T279" s="85"/>
      <x:c r="U279" s="85"/>
      <x:c r="V279" s="85"/>
      <x:c r="W279" s="85"/>
      <x:c r="Y279" s="86"/>
      <x:c r="Z279" s="86"/>
      <x:c r="AA279" s="32"/>
    </x:row>
    <x:row r="280">
      <x:c r="A280" s="87"/>
      <x:c r="B280" s="88"/>
      <x:c r="D280" s="32"/>
      <x:c r="I280" s="74"/>
      <x:c r="J280" s="74"/>
      <x:c r="K280" s="74"/>
      <x:c r="L280" s="74"/>
      <x:c r="M280" s="74"/>
      <x:c r="N280" s="74"/>
      <x:c r="O280" s="91"/>
      <x:c r="P280" s="91"/>
      <x:c r="Q280" s="85"/>
      <x:c r="R280" s="85"/>
      <x:c r="S280" s="85"/>
      <x:c r="T280" s="85"/>
      <x:c r="U280" s="85"/>
      <x:c r="V280" s="85"/>
      <x:c r="W280" s="85"/>
      <x:c r="Y280" s="86"/>
      <x:c r="Z280" s="86"/>
      <x:c r="AA280" s="32"/>
    </x:row>
    <x:row r="281">
      <x:c r="A281" s="87"/>
      <x:c r="B281" s="88"/>
      <x:c r="D281" s="32"/>
      <x:c r="I281" s="74"/>
      <x:c r="J281" s="74"/>
      <x:c r="K281" s="74"/>
      <x:c r="L281" s="74"/>
      <x:c r="M281" s="74"/>
      <x:c r="N281" s="74"/>
      <x:c r="O281" s="91"/>
      <x:c r="P281" s="91"/>
      <x:c r="Q281" s="85"/>
      <x:c r="R281" s="85"/>
      <x:c r="S281" s="85"/>
      <x:c r="T281" s="85"/>
      <x:c r="U281" s="85"/>
      <x:c r="V281" s="85"/>
      <x:c r="W281" s="85"/>
      <x:c r="Y281" s="86"/>
      <x:c r="Z281" s="86"/>
      <x:c r="AA281" s="32"/>
    </x:row>
    <x:row r="282">
      <x:c r="A282" s="87"/>
      <x:c r="B282" s="88"/>
      <x:c r="D282" s="32"/>
      <x:c r="I282" s="74"/>
      <x:c r="J282" s="74"/>
      <x:c r="K282" s="74"/>
      <x:c r="L282" s="74"/>
      <x:c r="M282" s="74"/>
      <x:c r="N282" s="74"/>
      <x:c r="O282" s="91"/>
      <x:c r="P282" s="91"/>
      <x:c r="Q282" s="85"/>
      <x:c r="R282" s="85"/>
      <x:c r="S282" s="85"/>
      <x:c r="T282" s="85"/>
      <x:c r="U282" s="85"/>
      <x:c r="V282" s="85"/>
      <x:c r="W282" s="85"/>
      <x:c r="Y282" s="86"/>
      <x:c r="Z282" s="86"/>
      <x:c r="AA282" s="32"/>
    </x:row>
    <x:row r="283">
      <x:c r="A283" s="87"/>
      <x:c r="B283" s="88"/>
      <x:c r="D283" s="32"/>
      <x:c r="I283" s="74"/>
      <x:c r="J283" s="74"/>
      <x:c r="K283" s="74"/>
      <x:c r="L283" s="74"/>
      <x:c r="M283" s="74"/>
      <x:c r="N283" s="74"/>
      <x:c r="O283" s="91"/>
      <x:c r="P283" s="91"/>
      <x:c r="Q283" s="85"/>
      <x:c r="R283" s="85"/>
      <x:c r="S283" s="85"/>
      <x:c r="T283" s="85"/>
      <x:c r="U283" s="85"/>
      <x:c r="V283" s="85"/>
      <x:c r="W283" s="85"/>
      <x:c r="Y283" s="86"/>
      <x:c r="Z283" s="86"/>
      <x:c r="AA283" s="32"/>
    </x:row>
    <x:row r="284">
      <x:c r="A284" s="87"/>
      <x:c r="B284" s="88"/>
      <x:c r="D284" s="32"/>
      <x:c r="I284" s="74"/>
      <x:c r="J284" s="74"/>
      <x:c r="K284" s="74"/>
      <x:c r="L284" s="74"/>
      <x:c r="M284" s="74"/>
      <x:c r="N284" s="74"/>
      <x:c r="O284" s="91"/>
      <x:c r="P284" s="91"/>
      <x:c r="Q284" s="85"/>
      <x:c r="R284" s="85"/>
      <x:c r="S284" s="85"/>
      <x:c r="T284" s="85"/>
      <x:c r="U284" s="85"/>
      <x:c r="V284" s="85"/>
      <x:c r="W284" s="85"/>
      <x:c r="Y284" s="86"/>
      <x:c r="Z284" s="86"/>
      <x:c r="AA284" s="32"/>
    </x:row>
    <x:row r="285">
      <x:c r="A285" s="87"/>
      <x:c r="B285" s="88"/>
      <x:c r="D285" s="32"/>
      <x:c r="I285" s="74"/>
      <x:c r="J285" s="74"/>
      <x:c r="K285" s="74"/>
      <x:c r="L285" s="74"/>
      <x:c r="M285" s="74"/>
      <x:c r="N285" s="74"/>
      <x:c r="O285" s="91"/>
      <x:c r="P285" s="91"/>
      <x:c r="Q285" s="85"/>
      <x:c r="R285" s="85"/>
      <x:c r="S285" s="85"/>
      <x:c r="T285" s="85"/>
      <x:c r="U285" s="85"/>
      <x:c r="V285" s="85"/>
      <x:c r="W285" s="85"/>
      <x:c r="Y285" s="86"/>
      <x:c r="Z285" s="86"/>
      <x:c r="AA285" s="32"/>
    </x:row>
    <x:row r="286">
      <x:c r="A286" s="87"/>
      <x:c r="B286" s="88"/>
      <x:c r="D286" s="32"/>
      <x:c r="I286" s="74"/>
      <x:c r="J286" s="74"/>
      <x:c r="K286" s="74"/>
      <x:c r="L286" s="74"/>
      <x:c r="M286" s="74"/>
      <x:c r="N286" s="74"/>
      <x:c r="O286" s="91"/>
      <x:c r="P286" s="91"/>
      <x:c r="Q286" s="85"/>
      <x:c r="R286" s="85"/>
      <x:c r="S286" s="85"/>
      <x:c r="T286" s="85"/>
      <x:c r="U286" s="85"/>
      <x:c r="V286" s="85"/>
      <x:c r="W286" s="85"/>
      <x:c r="Y286" s="86"/>
      <x:c r="Z286" s="86"/>
      <x:c r="AA286" s="32"/>
    </x:row>
    <x:row r="287">
      <x:c r="A287" s="87"/>
      <x:c r="B287" s="88"/>
      <x:c r="D287" s="32"/>
      <x:c r="I287" s="74"/>
      <x:c r="J287" s="74"/>
      <x:c r="K287" s="74"/>
      <x:c r="L287" s="74"/>
      <x:c r="M287" s="74"/>
      <x:c r="N287" s="74"/>
      <x:c r="O287" s="91"/>
      <x:c r="P287" s="91"/>
      <x:c r="Q287" s="85"/>
      <x:c r="R287" s="85"/>
      <x:c r="S287" s="85"/>
      <x:c r="T287" s="85"/>
      <x:c r="U287" s="85"/>
      <x:c r="V287" s="85"/>
      <x:c r="W287" s="85"/>
      <x:c r="Y287" s="86"/>
      <x:c r="Z287" s="86"/>
      <x:c r="AA287" s="32"/>
    </x:row>
    <x:row r="288">
      <x:c r="A288" s="87"/>
      <x:c r="B288" s="88"/>
      <x:c r="D288" s="32"/>
      <x:c r="I288" s="74"/>
      <x:c r="J288" s="74"/>
      <x:c r="K288" s="74"/>
      <x:c r="L288" s="74"/>
      <x:c r="M288" s="74"/>
      <x:c r="N288" s="74"/>
      <x:c r="O288" s="91"/>
      <x:c r="P288" s="91"/>
      <x:c r="Q288" s="85"/>
      <x:c r="R288" s="85"/>
      <x:c r="S288" s="85"/>
      <x:c r="T288" s="85"/>
      <x:c r="U288" s="85"/>
      <x:c r="V288" s="85"/>
      <x:c r="W288" s="85"/>
      <x:c r="Y288" s="86"/>
      <x:c r="Z288" s="86"/>
      <x:c r="AA288" s="32"/>
    </x:row>
    <x:row r="289">
      <x:c r="A289" s="87"/>
      <x:c r="B289" s="88"/>
      <x:c r="D289" s="32"/>
      <x:c r="I289" s="74"/>
      <x:c r="J289" s="74"/>
      <x:c r="K289" s="74"/>
      <x:c r="L289" s="74"/>
      <x:c r="M289" s="74"/>
      <x:c r="N289" s="74"/>
      <x:c r="O289" s="91"/>
      <x:c r="P289" s="91"/>
      <x:c r="Q289" s="85"/>
      <x:c r="R289" s="85"/>
      <x:c r="S289" s="85"/>
      <x:c r="T289" s="85"/>
      <x:c r="U289" s="85"/>
      <x:c r="V289" s="85"/>
      <x:c r="W289" s="85"/>
      <x:c r="Y289" s="86"/>
      <x:c r="Z289" s="86"/>
      <x:c r="AA289" s="32"/>
    </x:row>
    <x:row r="290">
      <x:c r="A290" s="87"/>
      <x:c r="B290" s="88"/>
      <x:c r="D290" s="32"/>
      <x:c r="I290" s="74"/>
      <x:c r="J290" s="74"/>
      <x:c r="K290" s="74"/>
      <x:c r="L290" s="74"/>
      <x:c r="M290" s="74"/>
      <x:c r="N290" s="74"/>
      <x:c r="O290" s="91"/>
      <x:c r="P290" s="91"/>
      <x:c r="Q290" s="85"/>
      <x:c r="R290" s="85"/>
      <x:c r="S290" s="85"/>
      <x:c r="T290" s="85"/>
      <x:c r="U290" s="85"/>
      <x:c r="V290" s="85"/>
      <x:c r="W290" s="85"/>
      <x:c r="Y290" s="86"/>
      <x:c r="Z290" s="86"/>
      <x:c r="AA290" s="32"/>
    </x:row>
    <x:row r="291">
      <x:c r="A291" s="87"/>
      <x:c r="B291" s="88"/>
      <x:c r="D291" s="32"/>
      <x:c r="I291" s="74"/>
      <x:c r="J291" s="74"/>
      <x:c r="K291" s="74"/>
      <x:c r="L291" s="74"/>
      <x:c r="M291" s="74"/>
      <x:c r="N291" s="74"/>
      <x:c r="O291" s="91"/>
      <x:c r="P291" s="91"/>
      <x:c r="Q291" s="85"/>
      <x:c r="R291" s="85"/>
      <x:c r="S291" s="85"/>
      <x:c r="T291" s="85"/>
      <x:c r="U291" s="85"/>
      <x:c r="V291" s="85"/>
      <x:c r="W291" s="85"/>
      <x:c r="Y291" s="86"/>
      <x:c r="Z291" s="86"/>
      <x:c r="AA291" s="32"/>
    </x:row>
    <x:row r="292">
      <x:c r="A292" s="87"/>
      <x:c r="B292" s="88"/>
      <x:c r="D292" s="32"/>
      <x:c r="I292" s="74"/>
      <x:c r="J292" s="74"/>
      <x:c r="K292" s="74"/>
      <x:c r="L292" s="74"/>
      <x:c r="M292" s="74"/>
      <x:c r="N292" s="74"/>
      <x:c r="O292" s="91"/>
      <x:c r="P292" s="91"/>
      <x:c r="Q292" s="85"/>
      <x:c r="R292" s="85"/>
      <x:c r="S292" s="85"/>
      <x:c r="T292" s="85"/>
      <x:c r="U292" s="85"/>
      <x:c r="V292" s="85"/>
      <x:c r="W292" s="85"/>
      <x:c r="Y292" s="86"/>
      <x:c r="Z292" s="86"/>
      <x:c r="AA292" s="32"/>
    </x:row>
    <x:row r="293">
      <x:c r="A293" s="87"/>
      <x:c r="B293" s="88"/>
      <x:c r="D293" s="32"/>
      <x:c r="I293" s="74"/>
      <x:c r="J293" s="74"/>
      <x:c r="K293" s="74"/>
      <x:c r="L293" s="74"/>
      <x:c r="M293" s="74"/>
      <x:c r="N293" s="74"/>
      <x:c r="O293" s="91"/>
      <x:c r="P293" s="91"/>
      <x:c r="Q293" s="85"/>
      <x:c r="R293" s="85"/>
      <x:c r="S293" s="85"/>
      <x:c r="T293" s="85"/>
      <x:c r="U293" s="85"/>
      <x:c r="V293" s="85"/>
      <x:c r="W293" s="85"/>
      <x:c r="Y293" s="86"/>
      <x:c r="Z293" s="86"/>
      <x:c r="AA293" s="32"/>
    </x:row>
    <x:row r="294">
      <x:c r="A294" s="87"/>
      <x:c r="B294" s="88"/>
      <x:c r="D294" s="32"/>
      <x:c r="I294" s="74"/>
      <x:c r="J294" s="74"/>
      <x:c r="K294" s="74"/>
      <x:c r="L294" s="74"/>
      <x:c r="M294" s="74"/>
      <x:c r="N294" s="74"/>
      <x:c r="O294" s="91"/>
      <x:c r="P294" s="91"/>
      <x:c r="Q294" s="85"/>
      <x:c r="R294" s="85"/>
      <x:c r="S294" s="85"/>
      <x:c r="T294" s="85"/>
      <x:c r="U294" s="85"/>
      <x:c r="V294" s="85"/>
      <x:c r="W294" s="85"/>
      <x:c r="Y294" s="86"/>
      <x:c r="Z294" s="86"/>
      <x:c r="AA294" s="32"/>
    </x:row>
    <x:row r="295">
      <x:c r="A295" s="87"/>
      <x:c r="B295" s="88"/>
      <x:c r="D295" s="32"/>
      <x:c r="I295" s="74"/>
      <x:c r="J295" s="74"/>
      <x:c r="K295" s="74"/>
      <x:c r="L295" s="74"/>
      <x:c r="M295" s="74"/>
      <x:c r="N295" s="74"/>
      <x:c r="O295" s="91"/>
      <x:c r="P295" s="91"/>
      <x:c r="Q295" s="85"/>
      <x:c r="R295" s="85"/>
      <x:c r="S295" s="85"/>
      <x:c r="T295" s="85"/>
      <x:c r="U295" s="85"/>
      <x:c r="V295" s="85"/>
      <x:c r="W295" s="85"/>
      <x:c r="Y295" s="86"/>
      <x:c r="Z295" s="86"/>
      <x:c r="AA295" s="32"/>
    </x:row>
    <x:row r="296">
      <x:c r="A296" s="87"/>
      <x:c r="B296" s="88"/>
      <x:c r="D296" s="32"/>
      <x:c r="I296" s="74"/>
      <x:c r="J296" s="74"/>
      <x:c r="K296" s="74"/>
      <x:c r="L296" s="74"/>
      <x:c r="M296" s="74"/>
      <x:c r="N296" s="74"/>
      <x:c r="O296" s="91"/>
      <x:c r="P296" s="91"/>
      <x:c r="Q296" s="85"/>
      <x:c r="R296" s="85"/>
      <x:c r="S296" s="85"/>
      <x:c r="T296" s="85"/>
      <x:c r="U296" s="85"/>
      <x:c r="V296" s="85"/>
      <x:c r="W296" s="85"/>
      <x:c r="Y296" s="86"/>
      <x:c r="Z296" s="86"/>
      <x:c r="AA296" s="32"/>
    </x:row>
    <x:row r="297">
      <x:c r="A297" s="87"/>
      <x:c r="B297" s="88"/>
      <x:c r="D297" s="32"/>
      <x:c r="I297" s="74"/>
      <x:c r="J297" s="74"/>
      <x:c r="K297" s="74"/>
      <x:c r="L297" s="74"/>
      <x:c r="M297" s="74"/>
      <x:c r="N297" s="74"/>
      <x:c r="O297" s="91"/>
      <x:c r="P297" s="91"/>
      <x:c r="Q297" s="85"/>
      <x:c r="R297" s="85"/>
      <x:c r="S297" s="85"/>
      <x:c r="T297" s="85"/>
      <x:c r="U297" s="85"/>
      <x:c r="V297" s="85"/>
      <x:c r="W297" s="85"/>
      <x:c r="Y297" s="86"/>
      <x:c r="Z297" s="86"/>
      <x:c r="AA297" s="32"/>
    </x:row>
    <x:row r="298">
      <x:c r="A298" s="87"/>
      <x:c r="B298" s="88"/>
      <x:c r="D298" s="32"/>
      <x:c r="I298" s="74"/>
      <x:c r="J298" s="74"/>
      <x:c r="K298" s="74"/>
      <x:c r="L298" s="74"/>
      <x:c r="M298" s="74"/>
      <x:c r="N298" s="74"/>
      <x:c r="O298" s="91"/>
      <x:c r="P298" s="91"/>
      <x:c r="Q298" s="85"/>
      <x:c r="R298" s="85"/>
      <x:c r="S298" s="85"/>
      <x:c r="T298" s="85"/>
      <x:c r="U298" s="85"/>
      <x:c r="V298" s="85"/>
      <x:c r="W298" s="85"/>
      <x:c r="Y298" s="86"/>
      <x:c r="Z298" s="86"/>
      <x:c r="AA298" s="32"/>
    </x:row>
    <x:row r="299">
      <x:c r="A299" s="87"/>
      <x:c r="B299" s="88"/>
      <x:c r="D299" s="32"/>
      <x:c r="I299" s="74"/>
      <x:c r="J299" s="74"/>
      <x:c r="K299" s="74"/>
      <x:c r="L299" s="74"/>
      <x:c r="M299" s="74"/>
      <x:c r="N299" s="74"/>
      <x:c r="O299" s="91"/>
      <x:c r="P299" s="91"/>
      <x:c r="Q299" s="85"/>
      <x:c r="R299" s="85"/>
      <x:c r="S299" s="85"/>
      <x:c r="T299" s="85"/>
      <x:c r="U299" s="85"/>
      <x:c r="V299" s="85"/>
      <x:c r="W299" s="85"/>
      <x:c r="Y299" s="86"/>
      <x:c r="Z299" s="86"/>
      <x:c r="AA299" s="32"/>
    </x:row>
    <x:row r="300">
      <x:c r="A300" s="87"/>
      <x:c r="B300" s="88"/>
      <x:c r="D300" s="32"/>
      <x:c r="I300" s="74"/>
      <x:c r="J300" s="74"/>
      <x:c r="K300" s="74"/>
      <x:c r="L300" s="74"/>
      <x:c r="M300" s="74"/>
      <x:c r="N300" s="74"/>
      <x:c r="O300" s="91"/>
      <x:c r="P300" s="91"/>
      <x:c r="Q300" s="85"/>
      <x:c r="R300" s="85"/>
      <x:c r="S300" s="85"/>
      <x:c r="T300" s="85"/>
      <x:c r="U300" s="85"/>
      <x:c r="V300" s="85"/>
      <x:c r="W300" s="85"/>
      <x:c r="Y300" s="86"/>
      <x:c r="Z300" s="86"/>
      <x:c r="AA300" s="32"/>
    </x:row>
    <x:row r="301">
      <x:c r="A301" s="87"/>
      <x:c r="B301" s="88"/>
      <x:c r="D301" s="32"/>
      <x:c r="I301" s="74"/>
      <x:c r="J301" s="74"/>
      <x:c r="K301" s="74"/>
      <x:c r="L301" s="74"/>
      <x:c r="M301" s="74"/>
      <x:c r="N301" s="74"/>
      <x:c r="O301" s="91"/>
      <x:c r="P301" s="91"/>
      <x:c r="Q301" s="85"/>
      <x:c r="R301" s="85"/>
      <x:c r="S301" s="85"/>
      <x:c r="T301" s="85"/>
      <x:c r="U301" s="85"/>
      <x:c r="V301" s="85"/>
      <x:c r="W301" s="85"/>
      <x:c r="Y301" s="86"/>
      <x:c r="Z301" s="86"/>
      <x:c r="AA301" s="32"/>
    </x:row>
    <x:row r="302">
      <x:c r="A302" s="87"/>
      <x:c r="B302" s="88"/>
      <x:c r="D302" s="32"/>
      <x:c r="I302" s="74"/>
      <x:c r="J302" s="74"/>
      <x:c r="K302" s="74"/>
      <x:c r="L302" s="74"/>
      <x:c r="M302" s="74"/>
      <x:c r="N302" s="74"/>
      <x:c r="O302" s="91"/>
      <x:c r="P302" s="91"/>
      <x:c r="Q302" s="85"/>
      <x:c r="R302" s="85"/>
      <x:c r="S302" s="85"/>
      <x:c r="T302" s="85"/>
      <x:c r="U302" s="85"/>
      <x:c r="V302" s="85"/>
      <x:c r="W302" s="85"/>
      <x:c r="Y302" s="86"/>
      <x:c r="Z302" s="86"/>
      <x:c r="AA302" s="32"/>
    </x:row>
    <x:row r="303">
      <x:c r="A303" s="87"/>
      <x:c r="B303" s="88"/>
      <x:c r="D303" s="32"/>
      <x:c r="I303" s="74"/>
      <x:c r="J303" s="74"/>
      <x:c r="K303" s="74"/>
      <x:c r="L303" s="74"/>
      <x:c r="M303" s="74"/>
      <x:c r="N303" s="74"/>
      <x:c r="O303" s="91"/>
      <x:c r="P303" s="91"/>
      <x:c r="Q303" s="85"/>
      <x:c r="R303" s="85"/>
      <x:c r="S303" s="85"/>
      <x:c r="T303" s="85"/>
      <x:c r="U303" s="85"/>
      <x:c r="V303" s="85"/>
      <x:c r="W303" s="85"/>
      <x:c r="Y303" s="86"/>
      <x:c r="Z303" s="86"/>
      <x:c r="AA303" s="32"/>
    </x:row>
    <x:row r="304">
      <x:c r="A304" s="87"/>
      <x:c r="B304" s="88"/>
      <x:c r="D304" s="32"/>
      <x:c r="I304" s="74"/>
      <x:c r="J304" s="74"/>
      <x:c r="K304" s="74"/>
      <x:c r="L304" s="74"/>
      <x:c r="M304" s="74"/>
      <x:c r="N304" s="74"/>
      <x:c r="O304" s="91"/>
      <x:c r="P304" s="91"/>
      <x:c r="Q304" s="85"/>
      <x:c r="R304" s="85"/>
      <x:c r="S304" s="85"/>
      <x:c r="T304" s="85"/>
      <x:c r="U304" s="85"/>
      <x:c r="V304" s="85"/>
      <x:c r="W304" s="85"/>
      <x:c r="Y304" s="86"/>
      <x:c r="Z304" s="86"/>
      <x:c r="AA304" s="32"/>
    </x:row>
    <x:row r="305">
      <x:c r="A305" s="87"/>
      <x:c r="B305" s="88"/>
      <x:c r="D305" s="32"/>
      <x:c r="I305" s="74"/>
      <x:c r="J305" s="74"/>
      <x:c r="K305" s="74"/>
      <x:c r="L305" s="74"/>
      <x:c r="M305" s="74"/>
      <x:c r="N305" s="74"/>
      <x:c r="O305" s="91"/>
      <x:c r="P305" s="91"/>
      <x:c r="Q305" s="85"/>
      <x:c r="R305" s="85"/>
      <x:c r="S305" s="85"/>
      <x:c r="T305" s="85"/>
      <x:c r="U305" s="85"/>
      <x:c r="V305" s="85"/>
      <x:c r="W305" s="85"/>
      <x:c r="Y305" s="86"/>
      <x:c r="Z305" s="86"/>
      <x:c r="AA305" s="32"/>
    </x:row>
    <x:row r="306">
      <x:c r="A306" s="87"/>
      <x:c r="B306" s="88"/>
      <x:c r="D306" s="32"/>
      <x:c r="I306" s="74"/>
      <x:c r="J306" s="74"/>
      <x:c r="K306" s="74"/>
      <x:c r="L306" s="74"/>
      <x:c r="M306" s="74"/>
      <x:c r="N306" s="74"/>
      <x:c r="O306" s="91"/>
      <x:c r="P306" s="91"/>
      <x:c r="Q306" s="85"/>
      <x:c r="R306" s="85"/>
      <x:c r="S306" s="85"/>
      <x:c r="T306" s="85"/>
      <x:c r="U306" s="85"/>
      <x:c r="V306" s="85"/>
      <x:c r="W306" s="85"/>
      <x:c r="Y306" s="86"/>
      <x:c r="Z306" s="86"/>
      <x:c r="AA306" s="32"/>
    </x:row>
    <x:row r="307">
      <x:c r="A307" s="87"/>
      <x:c r="B307" s="88"/>
      <x:c r="D307" s="32"/>
      <x:c r="I307" s="74"/>
      <x:c r="J307" s="74"/>
      <x:c r="K307" s="74"/>
      <x:c r="L307" s="74"/>
      <x:c r="M307" s="74"/>
      <x:c r="N307" s="74"/>
      <x:c r="O307" s="91"/>
      <x:c r="P307" s="91"/>
      <x:c r="Q307" s="85"/>
      <x:c r="R307" s="85"/>
      <x:c r="S307" s="85"/>
      <x:c r="T307" s="85"/>
      <x:c r="U307" s="85"/>
      <x:c r="V307" s="85"/>
      <x:c r="W307" s="85"/>
      <x:c r="Y307" s="86"/>
      <x:c r="Z307" s="86"/>
      <x:c r="AA307" s="32"/>
    </x:row>
    <x:row r="308">
      <x:c r="A308" s="87"/>
      <x:c r="B308" s="88"/>
      <x:c r="D308" s="32"/>
      <x:c r="I308" s="74"/>
      <x:c r="J308" s="74"/>
      <x:c r="K308" s="74"/>
      <x:c r="L308" s="74"/>
      <x:c r="M308" s="74"/>
      <x:c r="N308" s="74"/>
      <x:c r="O308" s="91"/>
      <x:c r="P308" s="91"/>
      <x:c r="Q308" s="85"/>
      <x:c r="R308" s="85"/>
      <x:c r="S308" s="85"/>
      <x:c r="T308" s="85"/>
      <x:c r="U308" s="85"/>
      <x:c r="V308" s="85"/>
      <x:c r="W308" s="85"/>
      <x:c r="Y308" s="86"/>
      <x:c r="Z308" s="86"/>
      <x:c r="AA308" s="32"/>
    </x:row>
    <x:row r="309">
      <x:c r="A309" s="87"/>
      <x:c r="B309" s="88"/>
      <x:c r="D309" s="32"/>
      <x:c r="I309" s="74"/>
      <x:c r="J309" s="74"/>
      <x:c r="K309" s="74"/>
      <x:c r="L309" s="74"/>
      <x:c r="M309" s="74"/>
      <x:c r="N309" s="74"/>
      <x:c r="O309" s="91"/>
      <x:c r="P309" s="91"/>
      <x:c r="Q309" s="85"/>
      <x:c r="R309" s="85"/>
      <x:c r="S309" s="85"/>
      <x:c r="T309" s="85"/>
      <x:c r="U309" s="85"/>
      <x:c r="V309" s="85"/>
      <x:c r="W309" s="85"/>
      <x:c r="Y309" s="86"/>
      <x:c r="Z309" s="86"/>
      <x:c r="AA309" s="32"/>
    </x:row>
    <x:row r="310">
      <x:c r="A310" s="87"/>
      <x:c r="B310" s="88"/>
      <x:c r="D310" s="32"/>
      <x:c r="I310" s="74"/>
      <x:c r="J310" s="74"/>
      <x:c r="K310" s="74"/>
      <x:c r="L310" s="74"/>
      <x:c r="M310" s="74"/>
      <x:c r="N310" s="74"/>
      <x:c r="O310" s="91"/>
      <x:c r="P310" s="91"/>
      <x:c r="Q310" s="85"/>
      <x:c r="R310" s="85"/>
      <x:c r="S310" s="85"/>
      <x:c r="T310" s="85"/>
      <x:c r="U310" s="85"/>
      <x:c r="V310" s="85"/>
      <x:c r="W310" s="85"/>
      <x:c r="Y310" s="86"/>
      <x:c r="Z310" s="86"/>
      <x:c r="AA310" s="32"/>
    </x:row>
    <x:row r="311">
      <x:c r="A311" s="87"/>
      <x:c r="B311" s="88"/>
      <x:c r="D311" s="32"/>
      <x:c r="I311" s="74"/>
      <x:c r="J311" s="74"/>
      <x:c r="K311" s="74"/>
      <x:c r="L311" s="74"/>
      <x:c r="M311" s="74"/>
      <x:c r="N311" s="74"/>
      <x:c r="O311" s="91"/>
      <x:c r="P311" s="91"/>
      <x:c r="Q311" s="85"/>
      <x:c r="R311" s="85"/>
      <x:c r="S311" s="85"/>
      <x:c r="T311" s="85"/>
      <x:c r="U311" s="85"/>
      <x:c r="V311" s="85"/>
      <x:c r="W311" s="85"/>
      <x:c r="Y311" s="86"/>
      <x:c r="Z311" s="86"/>
      <x:c r="AA311" s="32"/>
    </x:row>
    <x:row r="312">
      <x:c r="A312" s="87"/>
      <x:c r="B312" s="88"/>
      <x:c r="D312" s="32"/>
      <x:c r="I312" s="74"/>
      <x:c r="J312" s="74"/>
      <x:c r="K312" s="74"/>
      <x:c r="L312" s="74"/>
      <x:c r="M312" s="74"/>
      <x:c r="N312" s="74"/>
      <x:c r="O312" s="91"/>
      <x:c r="P312" s="91"/>
      <x:c r="Q312" s="85"/>
      <x:c r="R312" s="85"/>
      <x:c r="S312" s="85"/>
      <x:c r="T312" s="85"/>
      <x:c r="U312" s="85"/>
      <x:c r="V312" s="85"/>
      <x:c r="W312" s="85"/>
      <x:c r="Y312" s="86"/>
      <x:c r="Z312" s="86"/>
      <x:c r="AA312" s="32"/>
    </x:row>
    <x:row r="313">
      <x:c r="A313" s="87"/>
      <x:c r="B313" s="88"/>
      <x:c r="D313" s="32"/>
      <x:c r="I313" s="74"/>
      <x:c r="J313" s="74"/>
      <x:c r="K313" s="74"/>
      <x:c r="L313" s="74"/>
      <x:c r="M313" s="74"/>
      <x:c r="N313" s="74"/>
      <x:c r="O313" s="91"/>
      <x:c r="P313" s="91"/>
      <x:c r="Q313" s="85"/>
      <x:c r="R313" s="85"/>
      <x:c r="S313" s="85"/>
      <x:c r="T313" s="85"/>
      <x:c r="U313" s="85"/>
      <x:c r="V313" s="85"/>
      <x:c r="W313" s="85"/>
      <x:c r="Y313" s="86"/>
      <x:c r="Z313" s="86"/>
      <x:c r="AA313" s="32"/>
    </x:row>
    <x:row r="314">
      <x:c r="A314" s="87"/>
      <x:c r="B314" s="88"/>
      <x:c r="D314" s="32"/>
      <x:c r="I314" s="74"/>
      <x:c r="J314" s="74"/>
      <x:c r="K314" s="74"/>
      <x:c r="L314" s="74"/>
      <x:c r="M314" s="74"/>
      <x:c r="N314" s="74"/>
      <x:c r="O314" s="91"/>
      <x:c r="P314" s="91"/>
      <x:c r="Q314" s="85"/>
      <x:c r="R314" s="85"/>
      <x:c r="S314" s="85"/>
      <x:c r="T314" s="85"/>
      <x:c r="U314" s="85"/>
      <x:c r="V314" s="85"/>
      <x:c r="W314" s="85"/>
      <x:c r="Y314" s="86"/>
      <x:c r="Z314" s="86"/>
      <x:c r="AA314" s="32"/>
    </x:row>
    <x:row r="315">
      <x:c r="A315" s="87"/>
      <x:c r="B315" s="88"/>
      <x:c r="D315" s="32"/>
      <x:c r="I315" s="74"/>
      <x:c r="J315" s="74"/>
      <x:c r="K315" s="74"/>
      <x:c r="L315" s="74"/>
      <x:c r="M315" s="74"/>
      <x:c r="N315" s="74"/>
      <x:c r="O315" s="91"/>
      <x:c r="P315" s="91"/>
      <x:c r="Q315" s="85"/>
      <x:c r="R315" s="85"/>
      <x:c r="S315" s="85"/>
      <x:c r="T315" s="85"/>
      <x:c r="U315" s="85"/>
      <x:c r="V315" s="85"/>
      <x:c r="W315" s="85"/>
      <x:c r="Y315" s="86"/>
      <x:c r="Z315" s="86"/>
      <x:c r="AA315" s="32"/>
    </x:row>
    <x:row r="316">
      <x:c r="A316" s="87"/>
      <x:c r="B316" s="88"/>
      <x:c r="D316" s="32"/>
      <x:c r="I316" s="74"/>
      <x:c r="J316" s="74"/>
      <x:c r="K316" s="74"/>
      <x:c r="L316" s="74"/>
      <x:c r="M316" s="74"/>
      <x:c r="N316" s="74"/>
      <x:c r="O316" s="91"/>
      <x:c r="P316" s="91"/>
      <x:c r="Q316" s="85"/>
      <x:c r="R316" s="85"/>
      <x:c r="S316" s="85"/>
      <x:c r="T316" s="85"/>
      <x:c r="U316" s="85"/>
      <x:c r="V316" s="85"/>
      <x:c r="W316" s="85"/>
      <x:c r="Y316" s="86"/>
      <x:c r="Z316" s="86"/>
      <x:c r="AA316" s="32"/>
    </x:row>
    <x:row r="317">
      <x:c r="A317" s="87"/>
      <x:c r="B317" s="88"/>
      <x:c r="D317" s="32"/>
      <x:c r="I317" s="74"/>
      <x:c r="J317" s="74"/>
      <x:c r="K317" s="74"/>
      <x:c r="L317" s="74"/>
      <x:c r="M317" s="74"/>
      <x:c r="N317" s="74"/>
      <x:c r="O317" s="91"/>
      <x:c r="P317" s="91"/>
      <x:c r="Q317" s="85"/>
      <x:c r="R317" s="85"/>
      <x:c r="S317" s="85"/>
      <x:c r="T317" s="85"/>
      <x:c r="U317" s="85"/>
      <x:c r="V317" s="85"/>
      <x:c r="W317" s="85"/>
      <x:c r="Y317" s="86"/>
      <x:c r="Z317" s="86"/>
      <x:c r="AA317" s="32"/>
    </x:row>
    <x:row r="318">
      <x:c r="A318" s="87"/>
      <x:c r="B318" s="88"/>
      <x:c r="D318" s="32"/>
      <x:c r="I318" s="74"/>
      <x:c r="J318" s="74"/>
      <x:c r="K318" s="74"/>
      <x:c r="L318" s="74"/>
      <x:c r="M318" s="74"/>
      <x:c r="N318" s="74"/>
      <x:c r="O318" s="91"/>
      <x:c r="P318" s="91"/>
      <x:c r="Q318" s="85"/>
      <x:c r="R318" s="85"/>
      <x:c r="S318" s="85"/>
      <x:c r="T318" s="85"/>
      <x:c r="U318" s="85"/>
      <x:c r="V318" s="85"/>
      <x:c r="W318" s="85"/>
      <x:c r="Y318" s="86"/>
      <x:c r="Z318" s="86"/>
      <x:c r="AA318" s="32"/>
    </x:row>
    <x:row r="319">
      <x:c r="A319" s="87"/>
      <x:c r="B319" s="88"/>
      <x:c r="D319" s="32"/>
      <x:c r="I319" s="74"/>
      <x:c r="J319" s="74"/>
      <x:c r="K319" s="74"/>
      <x:c r="L319" s="74"/>
      <x:c r="M319" s="74"/>
      <x:c r="N319" s="74"/>
      <x:c r="O319" s="91"/>
      <x:c r="P319" s="91"/>
      <x:c r="Q319" s="85"/>
      <x:c r="R319" s="85"/>
      <x:c r="S319" s="85"/>
      <x:c r="T319" s="85"/>
      <x:c r="U319" s="85"/>
      <x:c r="V319" s="85"/>
      <x:c r="W319" s="85"/>
      <x:c r="Y319" s="86"/>
      <x:c r="Z319" s="86"/>
      <x:c r="AA319" s="32"/>
    </x:row>
    <x:row r="320">
      <x:c r="A320" s="87"/>
      <x:c r="B320" s="88"/>
      <x:c r="D320" s="32"/>
      <x:c r="I320" s="74"/>
      <x:c r="J320" s="74"/>
      <x:c r="K320" s="74"/>
      <x:c r="L320" s="74"/>
      <x:c r="M320" s="74"/>
      <x:c r="N320" s="74"/>
      <x:c r="O320" s="91"/>
      <x:c r="P320" s="91"/>
      <x:c r="Q320" s="85"/>
      <x:c r="R320" s="85"/>
      <x:c r="S320" s="85"/>
      <x:c r="T320" s="85"/>
      <x:c r="U320" s="85"/>
      <x:c r="V320" s="85"/>
      <x:c r="W320" s="85"/>
      <x:c r="Y320" s="86"/>
      <x:c r="Z320" s="86"/>
      <x:c r="AA320" s="32"/>
    </x:row>
    <x:row r="321">
      <x:c r="A321" s="87"/>
      <x:c r="B321" s="88"/>
      <x:c r="D321" s="32"/>
      <x:c r="I321" s="74"/>
      <x:c r="J321" s="74"/>
      <x:c r="K321" s="74"/>
      <x:c r="L321" s="74"/>
      <x:c r="M321" s="74"/>
      <x:c r="N321" s="74"/>
      <x:c r="O321" s="91"/>
      <x:c r="P321" s="91"/>
      <x:c r="Q321" s="85"/>
      <x:c r="R321" s="85"/>
      <x:c r="S321" s="85"/>
      <x:c r="T321" s="85"/>
      <x:c r="U321" s="85"/>
      <x:c r="V321" s="85"/>
      <x:c r="W321" s="85"/>
      <x:c r="Y321" s="86"/>
      <x:c r="Z321" s="86"/>
      <x:c r="AA321" s="32"/>
    </x:row>
    <x:row r="322">
      <x:c r="A322" s="87"/>
      <x:c r="B322" s="88"/>
      <x:c r="D322" s="32"/>
      <x:c r="I322" s="74"/>
      <x:c r="J322" s="74"/>
      <x:c r="K322" s="74"/>
      <x:c r="L322" s="74"/>
      <x:c r="M322" s="74"/>
      <x:c r="N322" s="74"/>
      <x:c r="O322" s="91"/>
      <x:c r="P322" s="91"/>
      <x:c r="Q322" s="85"/>
      <x:c r="R322" s="85"/>
      <x:c r="S322" s="85"/>
      <x:c r="T322" s="85"/>
      <x:c r="U322" s="85"/>
      <x:c r="V322" s="85"/>
      <x:c r="W322" s="85"/>
      <x:c r="Y322" s="86"/>
      <x:c r="Z322" s="86"/>
      <x:c r="AA322" s="32"/>
    </x:row>
    <x:row r="323">
      <x:c r="A323" s="87"/>
      <x:c r="B323" s="88"/>
      <x:c r="D323" s="32"/>
      <x:c r="I323" s="74"/>
      <x:c r="J323" s="74"/>
      <x:c r="K323" s="74"/>
      <x:c r="L323" s="74"/>
      <x:c r="M323" s="74"/>
      <x:c r="N323" s="74"/>
      <x:c r="O323" s="91"/>
      <x:c r="P323" s="91"/>
      <x:c r="Q323" s="85"/>
      <x:c r="R323" s="85"/>
      <x:c r="S323" s="85"/>
      <x:c r="T323" s="85"/>
      <x:c r="U323" s="85"/>
      <x:c r="V323" s="85"/>
      <x:c r="W323" s="85"/>
      <x:c r="Y323" s="86"/>
      <x:c r="Z323" s="86"/>
      <x:c r="AA323" s="32"/>
    </x:row>
    <x:row r="324">
      <x:c r="A324" s="87"/>
      <x:c r="B324" s="88"/>
      <x:c r="D324" s="32"/>
      <x:c r="I324" s="74"/>
      <x:c r="J324" s="74"/>
      <x:c r="K324" s="74"/>
      <x:c r="L324" s="74"/>
      <x:c r="M324" s="74"/>
      <x:c r="N324" s="74"/>
      <x:c r="O324" s="91"/>
      <x:c r="P324" s="91"/>
      <x:c r="Q324" s="85"/>
      <x:c r="R324" s="85"/>
      <x:c r="S324" s="85"/>
      <x:c r="T324" s="85"/>
      <x:c r="U324" s="85"/>
      <x:c r="V324" s="85"/>
      <x:c r="W324" s="85"/>
      <x:c r="Y324" s="86"/>
      <x:c r="Z324" s="86"/>
      <x:c r="AA324" s="32"/>
    </x:row>
    <x:row r="325">
      <x:c r="A325" s="87"/>
      <x:c r="B325" s="88"/>
      <x:c r="D325" s="32"/>
      <x:c r="I325" s="74"/>
      <x:c r="J325" s="74"/>
      <x:c r="K325" s="74"/>
      <x:c r="L325" s="74"/>
      <x:c r="M325" s="74"/>
      <x:c r="N325" s="74"/>
      <x:c r="O325" s="91"/>
      <x:c r="P325" s="91"/>
      <x:c r="Q325" s="85"/>
      <x:c r="R325" s="85"/>
      <x:c r="S325" s="85"/>
      <x:c r="T325" s="85"/>
      <x:c r="U325" s="85"/>
      <x:c r="V325" s="85"/>
      <x:c r="W325" s="85"/>
      <x:c r="Y325" s="86"/>
      <x:c r="Z325" s="86"/>
      <x:c r="AA325" s="32"/>
    </x:row>
    <x:row r="326">
      <x:c r="A326" s="87"/>
      <x:c r="B326" s="88"/>
      <x:c r="D326" s="32"/>
      <x:c r="I326" s="74"/>
      <x:c r="J326" s="74"/>
      <x:c r="K326" s="74"/>
      <x:c r="L326" s="74"/>
      <x:c r="M326" s="74"/>
      <x:c r="N326" s="74"/>
      <x:c r="O326" s="91"/>
      <x:c r="P326" s="91"/>
      <x:c r="Q326" s="85"/>
      <x:c r="R326" s="85"/>
      <x:c r="S326" s="85"/>
      <x:c r="T326" s="85"/>
      <x:c r="U326" s="85"/>
      <x:c r="V326" s="85"/>
      <x:c r="W326" s="85"/>
      <x:c r="Y326" s="86"/>
      <x:c r="Z326" s="86"/>
      <x:c r="AA326" s="32"/>
    </x:row>
    <x:row r="327">
      <x:c r="A327" s="87"/>
      <x:c r="B327" s="88"/>
      <x:c r="D327" s="32"/>
      <x:c r="I327" s="74"/>
      <x:c r="J327" s="74"/>
      <x:c r="K327" s="74"/>
      <x:c r="L327" s="74"/>
      <x:c r="M327" s="74"/>
      <x:c r="N327" s="74"/>
      <x:c r="O327" s="91"/>
      <x:c r="P327" s="91"/>
      <x:c r="Q327" s="85"/>
      <x:c r="R327" s="85"/>
      <x:c r="S327" s="85"/>
      <x:c r="T327" s="85"/>
      <x:c r="U327" s="85"/>
      <x:c r="V327" s="85"/>
      <x:c r="W327" s="85"/>
      <x:c r="Y327" s="86"/>
      <x:c r="Z327" s="86"/>
      <x:c r="AA327" s="32"/>
    </x:row>
    <x:row r="328">
      <x:c r="A328" s="87"/>
      <x:c r="B328" s="88"/>
      <x:c r="D328" s="32"/>
      <x:c r="I328" s="74"/>
      <x:c r="J328" s="74"/>
      <x:c r="K328" s="74"/>
      <x:c r="L328" s="74"/>
      <x:c r="M328" s="74"/>
      <x:c r="N328" s="74"/>
      <x:c r="O328" s="91"/>
      <x:c r="P328" s="91"/>
      <x:c r="Q328" s="85"/>
      <x:c r="R328" s="85"/>
      <x:c r="S328" s="85"/>
      <x:c r="T328" s="85"/>
      <x:c r="U328" s="85"/>
      <x:c r="V328" s="85"/>
      <x:c r="W328" s="85"/>
      <x:c r="Y328" s="86"/>
      <x:c r="Z328" s="86"/>
      <x:c r="AA328" s="32"/>
    </x:row>
    <x:row r="329">
      <x:c r="A329" s="87"/>
      <x:c r="B329" s="88"/>
      <x:c r="D329" s="32"/>
      <x:c r="I329" s="74"/>
      <x:c r="J329" s="74"/>
      <x:c r="K329" s="74"/>
      <x:c r="L329" s="74"/>
      <x:c r="M329" s="74"/>
      <x:c r="N329" s="74"/>
      <x:c r="O329" s="91"/>
      <x:c r="P329" s="91"/>
      <x:c r="Q329" s="85"/>
      <x:c r="R329" s="85"/>
      <x:c r="S329" s="85"/>
      <x:c r="T329" s="85"/>
      <x:c r="U329" s="85"/>
      <x:c r="V329" s="85"/>
      <x:c r="W329" s="85"/>
      <x:c r="Y329" s="86"/>
      <x:c r="Z329" s="86"/>
      <x:c r="AA329" s="32"/>
    </x:row>
    <x:row r="330">
      <x:c r="A330" s="87"/>
      <x:c r="B330" s="88"/>
      <x:c r="D330" s="32"/>
      <x:c r="I330" s="74"/>
      <x:c r="J330" s="74"/>
      <x:c r="K330" s="74"/>
      <x:c r="L330" s="74"/>
      <x:c r="M330" s="74"/>
      <x:c r="N330" s="74"/>
      <x:c r="O330" s="91"/>
      <x:c r="P330" s="91"/>
      <x:c r="Q330" s="85"/>
      <x:c r="R330" s="85"/>
      <x:c r="S330" s="85"/>
      <x:c r="T330" s="85"/>
      <x:c r="U330" s="85"/>
      <x:c r="V330" s="85"/>
      <x:c r="W330" s="85"/>
      <x:c r="Y330" s="86"/>
      <x:c r="Z330" s="86"/>
      <x:c r="AA330" s="32"/>
    </x:row>
    <x:row r="331">
      <x:c r="A331" s="87"/>
      <x:c r="B331" s="88"/>
      <x:c r="D331" s="32"/>
      <x:c r="I331" s="74"/>
      <x:c r="J331" s="74"/>
      <x:c r="K331" s="74"/>
      <x:c r="L331" s="74"/>
      <x:c r="M331" s="74"/>
      <x:c r="N331" s="74"/>
      <x:c r="O331" s="91"/>
      <x:c r="P331" s="91"/>
      <x:c r="Q331" s="85"/>
      <x:c r="R331" s="85"/>
      <x:c r="S331" s="85"/>
      <x:c r="T331" s="85"/>
      <x:c r="U331" s="85"/>
      <x:c r="V331" s="85"/>
      <x:c r="W331" s="85"/>
      <x:c r="Y331" s="86"/>
      <x:c r="Z331" s="86"/>
      <x:c r="AA331" s="32"/>
    </x:row>
    <x:row r="332">
      <x:c r="A332" s="87"/>
      <x:c r="B332" s="88"/>
      <x:c r="D332" s="32"/>
      <x:c r="I332" s="74"/>
      <x:c r="J332" s="74"/>
      <x:c r="K332" s="74"/>
      <x:c r="L332" s="74"/>
      <x:c r="M332" s="74"/>
      <x:c r="N332" s="74"/>
      <x:c r="O332" s="91"/>
      <x:c r="P332" s="91"/>
      <x:c r="Q332" s="85"/>
      <x:c r="R332" s="85"/>
      <x:c r="S332" s="85"/>
      <x:c r="T332" s="85"/>
      <x:c r="U332" s="85"/>
      <x:c r="V332" s="85"/>
      <x:c r="W332" s="85"/>
      <x:c r="Y332" s="86"/>
      <x:c r="Z332" s="86"/>
      <x:c r="AA332" s="32"/>
    </x:row>
    <x:row r="333">
      <x:c r="A333" s="87"/>
      <x:c r="B333" s="88"/>
      <x:c r="D333" s="32"/>
      <x:c r="I333" s="74"/>
      <x:c r="J333" s="74"/>
      <x:c r="K333" s="74"/>
      <x:c r="L333" s="74"/>
      <x:c r="M333" s="74"/>
      <x:c r="N333" s="74"/>
      <x:c r="O333" s="91"/>
      <x:c r="P333" s="91"/>
      <x:c r="Q333" s="85"/>
      <x:c r="R333" s="85"/>
      <x:c r="S333" s="85"/>
      <x:c r="T333" s="85"/>
      <x:c r="U333" s="85"/>
      <x:c r="V333" s="85"/>
      <x:c r="W333" s="85"/>
      <x:c r="Y333" s="86"/>
      <x:c r="Z333" s="86"/>
      <x:c r="AA333" s="32"/>
    </x:row>
    <x:row r="334">
      <x:c r="A334" s="87"/>
      <x:c r="B334" s="88"/>
      <x:c r="D334" s="32"/>
      <x:c r="I334" s="74"/>
      <x:c r="J334" s="74"/>
      <x:c r="K334" s="74"/>
      <x:c r="L334" s="74"/>
      <x:c r="M334" s="74"/>
      <x:c r="N334" s="74"/>
      <x:c r="O334" s="91"/>
      <x:c r="P334" s="91"/>
      <x:c r="Q334" s="85"/>
      <x:c r="R334" s="85"/>
      <x:c r="S334" s="85"/>
      <x:c r="T334" s="85"/>
      <x:c r="U334" s="85"/>
      <x:c r="V334" s="85"/>
      <x:c r="W334" s="85"/>
      <x:c r="Y334" s="86"/>
      <x:c r="Z334" s="86"/>
      <x:c r="AA334" s="32"/>
    </x:row>
    <x:row r="335">
      <x:c r="A335" s="87"/>
      <x:c r="B335" s="88"/>
      <x:c r="D335" s="32"/>
      <x:c r="I335" s="74"/>
      <x:c r="J335" s="74"/>
      <x:c r="K335" s="74"/>
      <x:c r="L335" s="74"/>
      <x:c r="M335" s="74"/>
      <x:c r="N335" s="74"/>
      <x:c r="O335" s="91"/>
      <x:c r="P335" s="91"/>
      <x:c r="Q335" s="85"/>
      <x:c r="R335" s="85"/>
      <x:c r="S335" s="85"/>
      <x:c r="T335" s="85"/>
      <x:c r="U335" s="85"/>
      <x:c r="V335" s="85"/>
      <x:c r="W335" s="85"/>
      <x:c r="Y335" s="86"/>
      <x:c r="Z335" s="86"/>
      <x:c r="AA335" s="32"/>
    </x:row>
    <x:row r="336">
      <x:c r="A336" s="87"/>
      <x:c r="B336" s="88"/>
      <x:c r="D336" s="32"/>
      <x:c r="I336" s="74"/>
      <x:c r="J336" s="74"/>
      <x:c r="K336" s="74"/>
      <x:c r="L336" s="74"/>
      <x:c r="M336" s="74"/>
      <x:c r="N336" s="74"/>
      <x:c r="O336" s="91"/>
      <x:c r="P336" s="91"/>
      <x:c r="Q336" s="85"/>
      <x:c r="R336" s="85"/>
      <x:c r="S336" s="85"/>
      <x:c r="T336" s="85"/>
      <x:c r="U336" s="85"/>
      <x:c r="V336" s="85"/>
      <x:c r="W336" s="85"/>
      <x:c r="Y336" s="86"/>
      <x:c r="Z336" s="86"/>
      <x:c r="AA336" s="32"/>
    </x:row>
    <x:row r="337">
      <x:c r="A337" s="87"/>
      <x:c r="B337" s="88"/>
      <x:c r="D337" s="32"/>
      <x:c r="I337" s="74"/>
      <x:c r="J337" s="74"/>
      <x:c r="K337" s="74"/>
      <x:c r="L337" s="74"/>
      <x:c r="M337" s="74"/>
      <x:c r="N337" s="74"/>
      <x:c r="O337" s="91"/>
      <x:c r="P337" s="91"/>
      <x:c r="Q337" s="85"/>
      <x:c r="R337" s="85"/>
      <x:c r="S337" s="85"/>
      <x:c r="T337" s="85"/>
      <x:c r="U337" s="85"/>
      <x:c r="V337" s="85"/>
      <x:c r="W337" s="85"/>
      <x:c r="Y337" s="86"/>
      <x:c r="Z337" s="86"/>
      <x:c r="AA337" s="32"/>
    </x:row>
    <x:row r="338">
      <x:c r="A338" s="87"/>
      <x:c r="B338" s="88"/>
      <x:c r="D338" s="32"/>
      <x:c r="I338" s="74"/>
      <x:c r="J338" s="74"/>
      <x:c r="K338" s="74"/>
      <x:c r="L338" s="74"/>
      <x:c r="M338" s="74"/>
      <x:c r="N338" s="74"/>
      <x:c r="O338" s="91"/>
      <x:c r="P338" s="91"/>
      <x:c r="Q338" s="85"/>
      <x:c r="R338" s="85"/>
      <x:c r="S338" s="85"/>
      <x:c r="T338" s="85"/>
      <x:c r="U338" s="85"/>
      <x:c r="V338" s="85"/>
      <x:c r="W338" s="85"/>
      <x:c r="Y338" s="86"/>
      <x:c r="Z338" s="86"/>
      <x:c r="AA338" s="32"/>
    </x:row>
    <x:row r="339">
      <x:c r="A339" s="87"/>
      <x:c r="B339" s="88"/>
      <x:c r="D339" s="32"/>
      <x:c r="I339" s="74"/>
      <x:c r="J339" s="74"/>
      <x:c r="K339" s="74"/>
      <x:c r="L339" s="74"/>
      <x:c r="M339" s="74"/>
      <x:c r="N339" s="74"/>
      <x:c r="O339" s="91"/>
      <x:c r="P339" s="91"/>
      <x:c r="Q339" s="85"/>
      <x:c r="R339" s="85"/>
      <x:c r="S339" s="85"/>
      <x:c r="T339" s="85"/>
      <x:c r="U339" s="85"/>
      <x:c r="V339" s="85"/>
      <x:c r="W339" s="85"/>
      <x:c r="Y339" s="86"/>
      <x:c r="Z339" s="86"/>
      <x:c r="AA339" s="32"/>
    </x:row>
    <x:row r="340">
      <x:c r="A340" s="87"/>
      <x:c r="B340" s="88"/>
      <x:c r="D340" s="32"/>
      <x:c r="I340" s="74"/>
      <x:c r="J340" s="74"/>
      <x:c r="K340" s="74"/>
      <x:c r="L340" s="74"/>
      <x:c r="M340" s="74"/>
      <x:c r="N340" s="74"/>
      <x:c r="O340" s="91"/>
      <x:c r="P340" s="91"/>
      <x:c r="Q340" s="85"/>
      <x:c r="R340" s="85"/>
      <x:c r="S340" s="85"/>
      <x:c r="T340" s="85"/>
      <x:c r="U340" s="85"/>
      <x:c r="V340" s="85"/>
      <x:c r="W340" s="85"/>
      <x:c r="Y340" s="86"/>
      <x:c r="Z340" s="86"/>
      <x:c r="AA340" s="32"/>
    </x:row>
    <x:row r="341">
      <x:c r="A341" s="87"/>
      <x:c r="B341" s="88"/>
      <x:c r="D341" s="32"/>
      <x:c r="I341" s="74"/>
      <x:c r="J341" s="74"/>
      <x:c r="K341" s="74"/>
      <x:c r="L341" s="74"/>
      <x:c r="M341" s="74"/>
      <x:c r="N341" s="74"/>
      <x:c r="O341" s="91"/>
      <x:c r="P341" s="91"/>
      <x:c r="Q341" s="85"/>
      <x:c r="R341" s="85"/>
      <x:c r="S341" s="85"/>
      <x:c r="T341" s="85"/>
      <x:c r="U341" s="85"/>
      <x:c r="V341" s="85"/>
      <x:c r="W341" s="85"/>
      <x:c r="Y341" s="86"/>
      <x:c r="Z341" s="86"/>
      <x:c r="AA341" s="32"/>
    </x:row>
    <x:row r="342">
      <x:c r="A342" s="87"/>
      <x:c r="B342" s="88"/>
      <x:c r="D342" s="32"/>
      <x:c r="I342" s="74"/>
      <x:c r="J342" s="74"/>
      <x:c r="K342" s="74"/>
      <x:c r="L342" s="74"/>
      <x:c r="M342" s="74"/>
      <x:c r="N342" s="74"/>
      <x:c r="O342" s="91"/>
      <x:c r="P342" s="91"/>
      <x:c r="Q342" s="85"/>
      <x:c r="R342" s="85"/>
      <x:c r="S342" s="85"/>
      <x:c r="T342" s="85"/>
      <x:c r="U342" s="85"/>
      <x:c r="V342" s="85"/>
      <x:c r="W342" s="85"/>
      <x:c r="Y342" s="86"/>
      <x:c r="Z342" s="86"/>
      <x:c r="AA342" s="32"/>
    </x:row>
    <x:row r="343">
      <x:c r="A343" s="87"/>
      <x:c r="B343" s="88"/>
      <x:c r="D343" s="32"/>
      <x:c r="I343" s="74"/>
      <x:c r="J343" s="74"/>
      <x:c r="K343" s="74"/>
      <x:c r="L343" s="74"/>
      <x:c r="M343" s="74"/>
      <x:c r="N343" s="74"/>
      <x:c r="O343" s="91"/>
      <x:c r="P343" s="91"/>
      <x:c r="Q343" s="85"/>
      <x:c r="R343" s="85"/>
      <x:c r="S343" s="85"/>
      <x:c r="T343" s="85"/>
      <x:c r="U343" s="85"/>
      <x:c r="V343" s="85"/>
      <x:c r="W343" s="85"/>
      <x:c r="Y343" s="86"/>
      <x:c r="Z343" s="86"/>
      <x:c r="AA343" s="32"/>
    </x:row>
    <x:row r="344">
      <x:c r="A344" s="87"/>
      <x:c r="B344" s="88"/>
      <x:c r="D344" s="32"/>
      <x:c r="I344" s="74"/>
      <x:c r="J344" s="74"/>
      <x:c r="K344" s="74"/>
      <x:c r="L344" s="74"/>
      <x:c r="M344" s="74"/>
      <x:c r="N344" s="74"/>
      <x:c r="O344" s="91"/>
      <x:c r="P344" s="91"/>
      <x:c r="Q344" s="85"/>
      <x:c r="R344" s="85"/>
      <x:c r="S344" s="85"/>
      <x:c r="T344" s="85"/>
      <x:c r="U344" s="85"/>
      <x:c r="V344" s="85"/>
      <x:c r="W344" s="85"/>
      <x:c r="Y344" s="86"/>
      <x:c r="Z344" s="86"/>
      <x:c r="AA344" s="32"/>
    </x:row>
    <x:row r="345">
      <x:c r="A345" s="87"/>
      <x:c r="B345" s="88"/>
      <x:c r="D345" s="32"/>
      <x:c r="I345" s="74"/>
      <x:c r="J345" s="74"/>
      <x:c r="K345" s="74"/>
      <x:c r="L345" s="74"/>
      <x:c r="M345" s="74"/>
      <x:c r="N345" s="74"/>
      <x:c r="O345" s="91"/>
      <x:c r="P345" s="91"/>
      <x:c r="Q345" s="85"/>
      <x:c r="R345" s="85"/>
      <x:c r="S345" s="85"/>
      <x:c r="T345" s="85"/>
      <x:c r="U345" s="85"/>
      <x:c r="V345" s="85"/>
      <x:c r="W345" s="85"/>
      <x:c r="Y345" s="86"/>
      <x:c r="Z345" s="86"/>
      <x:c r="AA345" s="32"/>
    </x:row>
    <x:row r="346">
      <x:c r="A346" s="87"/>
      <x:c r="B346" s="88"/>
      <x:c r="D346" s="32"/>
      <x:c r="I346" s="74"/>
      <x:c r="J346" s="74"/>
      <x:c r="K346" s="74"/>
      <x:c r="L346" s="74"/>
      <x:c r="M346" s="74"/>
      <x:c r="N346" s="74"/>
      <x:c r="O346" s="91"/>
      <x:c r="P346" s="91"/>
      <x:c r="Q346" s="85"/>
      <x:c r="R346" s="85"/>
      <x:c r="S346" s="85"/>
      <x:c r="T346" s="85"/>
      <x:c r="U346" s="85"/>
      <x:c r="V346" s="85"/>
      <x:c r="W346" s="85"/>
      <x:c r="Y346" s="86"/>
      <x:c r="Z346" s="86"/>
      <x:c r="AA346" s="32"/>
    </x:row>
    <x:row r="347">
      <x:c r="A347" s="87"/>
      <x:c r="B347" s="88"/>
      <x:c r="D347" s="32"/>
      <x:c r="I347" s="74"/>
      <x:c r="J347" s="74"/>
      <x:c r="K347" s="74"/>
      <x:c r="L347" s="74"/>
      <x:c r="M347" s="74"/>
      <x:c r="N347" s="74"/>
      <x:c r="O347" s="91"/>
      <x:c r="P347" s="91"/>
      <x:c r="Q347" s="85"/>
      <x:c r="R347" s="85"/>
      <x:c r="S347" s="85"/>
      <x:c r="T347" s="85"/>
      <x:c r="U347" s="85"/>
      <x:c r="V347" s="85"/>
      <x:c r="W347" s="85"/>
      <x:c r="Y347" s="86"/>
      <x:c r="Z347" s="86"/>
      <x:c r="AA347" s="32"/>
    </x:row>
    <x:row r="348">
      <x:c r="A348" s="87"/>
      <x:c r="B348" s="88"/>
      <x:c r="D348" s="32"/>
      <x:c r="I348" s="74"/>
      <x:c r="J348" s="74"/>
      <x:c r="K348" s="74"/>
      <x:c r="L348" s="74"/>
      <x:c r="M348" s="74"/>
      <x:c r="N348" s="74"/>
      <x:c r="O348" s="91"/>
      <x:c r="P348" s="91"/>
      <x:c r="Q348" s="85"/>
      <x:c r="R348" s="85"/>
      <x:c r="S348" s="85"/>
      <x:c r="T348" s="85"/>
      <x:c r="U348" s="85"/>
      <x:c r="V348" s="85"/>
      <x:c r="W348" s="85"/>
      <x:c r="Y348" s="86"/>
      <x:c r="Z348" s="86"/>
      <x:c r="AA348" s="32"/>
    </x:row>
    <x:row r="349">
      <x:c r="A349" s="87"/>
      <x:c r="B349" s="88"/>
      <x:c r="D349" s="32"/>
      <x:c r="I349" s="74"/>
      <x:c r="J349" s="74"/>
      <x:c r="K349" s="74"/>
      <x:c r="L349" s="74"/>
      <x:c r="M349" s="74"/>
      <x:c r="N349" s="74"/>
      <x:c r="O349" s="91"/>
      <x:c r="P349" s="91"/>
      <x:c r="Q349" s="85"/>
      <x:c r="R349" s="85"/>
      <x:c r="S349" s="85"/>
      <x:c r="T349" s="85"/>
      <x:c r="U349" s="85"/>
      <x:c r="V349" s="85"/>
      <x:c r="W349" s="85"/>
      <x:c r="Y349" s="86"/>
      <x:c r="Z349" s="86"/>
      <x:c r="AA349" s="32"/>
    </x:row>
    <x:row r="350">
      <x:c r="A350" s="87"/>
      <x:c r="B350" s="88"/>
      <x:c r="D350" s="32"/>
      <x:c r="I350" s="74"/>
      <x:c r="J350" s="74"/>
      <x:c r="K350" s="74"/>
      <x:c r="L350" s="74"/>
      <x:c r="M350" s="74"/>
      <x:c r="N350" s="74"/>
      <x:c r="O350" s="91"/>
      <x:c r="P350" s="91"/>
      <x:c r="Q350" s="85"/>
      <x:c r="R350" s="85"/>
      <x:c r="S350" s="85"/>
      <x:c r="T350" s="85"/>
      <x:c r="U350" s="85"/>
      <x:c r="V350" s="85"/>
      <x:c r="W350" s="85"/>
      <x:c r="Y350" s="86"/>
      <x:c r="Z350" s="86"/>
      <x:c r="AA350" s="32"/>
    </x:row>
    <x:row r="351">
      <x:c r="A351" s="87"/>
      <x:c r="B351" s="88"/>
      <x:c r="D351" s="32"/>
      <x:c r="I351" s="74"/>
      <x:c r="J351" s="74"/>
      <x:c r="K351" s="74"/>
      <x:c r="L351" s="74"/>
      <x:c r="M351" s="74"/>
      <x:c r="N351" s="74"/>
      <x:c r="O351" s="91"/>
      <x:c r="P351" s="91"/>
      <x:c r="Q351" s="85"/>
      <x:c r="R351" s="85"/>
      <x:c r="S351" s="85"/>
      <x:c r="T351" s="85"/>
      <x:c r="U351" s="85"/>
      <x:c r="V351" s="85"/>
      <x:c r="W351" s="85"/>
      <x:c r="Y351" s="86"/>
      <x:c r="Z351" s="86"/>
      <x:c r="AA351" s="32"/>
    </x:row>
    <x:row r="352">
      <x:c r="A352" s="87"/>
      <x:c r="B352" s="88"/>
      <x:c r="D352" s="32"/>
      <x:c r="I352" s="74"/>
      <x:c r="J352" s="74"/>
      <x:c r="K352" s="74"/>
      <x:c r="L352" s="74"/>
      <x:c r="M352" s="74"/>
      <x:c r="N352" s="74"/>
      <x:c r="O352" s="91"/>
      <x:c r="P352" s="91"/>
      <x:c r="Q352" s="85"/>
      <x:c r="R352" s="85"/>
      <x:c r="S352" s="85"/>
      <x:c r="T352" s="85"/>
      <x:c r="U352" s="85"/>
      <x:c r="V352" s="85"/>
      <x:c r="W352" s="85"/>
      <x:c r="Y352" s="86"/>
      <x:c r="Z352" s="86"/>
      <x:c r="AA352" s="32"/>
    </x:row>
    <x:row r="353">
      <x:c r="A353" s="87"/>
      <x:c r="B353" s="88"/>
      <x:c r="D353" s="32"/>
      <x:c r="I353" s="74"/>
      <x:c r="J353" s="74"/>
      <x:c r="K353" s="74"/>
      <x:c r="L353" s="74"/>
      <x:c r="M353" s="74"/>
      <x:c r="N353" s="74"/>
      <x:c r="O353" s="91"/>
      <x:c r="P353" s="91"/>
      <x:c r="Q353" s="85"/>
      <x:c r="R353" s="85"/>
      <x:c r="S353" s="85"/>
      <x:c r="T353" s="85"/>
      <x:c r="U353" s="85"/>
      <x:c r="V353" s="85"/>
      <x:c r="W353" s="85"/>
      <x:c r="Y353" s="86"/>
      <x:c r="Z353" s="86"/>
      <x:c r="AA353" s="32"/>
    </x:row>
    <x:row r="354">
      <x:c r="A354" s="87"/>
      <x:c r="B354" s="88"/>
      <x:c r="D354" s="32"/>
      <x:c r="I354" s="74"/>
      <x:c r="J354" s="74"/>
      <x:c r="K354" s="74"/>
      <x:c r="L354" s="74"/>
      <x:c r="M354" s="74"/>
      <x:c r="N354" s="74"/>
      <x:c r="O354" s="91"/>
      <x:c r="P354" s="91"/>
      <x:c r="Q354" s="85"/>
      <x:c r="R354" s="85"/>
      <x:c r="S354" s="85"/>
      <x:c r="T354" s="85"/>
      <x:c r="U354" s="85"/>
      <x:c r="V354" s="85"/>
      <x:c r="W354" s="85"/>
      <x:c r="Y354" s="86"/>
      <x:c r="Z354" s="86"/>
      <x:c r="AA354" s="32"/>
    </x:row>
    <x:row r="355">
      <x:c r="A355" s="87"/>
      <x:c r="B355" s="88"/>
      <x:c r="D355" s="32"/>
      <x:c r="I355" s="74"/>
      <x:c r="J355" s="74"/>
      <x:c r="K355" s="74"/>
      <x:c r="L355" s="74"/>
      <x:c r="M355" s="74"/>
      <x:c r="N355" s="74"/>
      <x:c r="O355" s="91"/>
      <x:c r="P355" s="91"/>
      <x:c r="Q355" s="85"/>
      <x:c r="R355" s="85"/>
      <x:c r="S355" s="85"/>
      <x:c r="T355" s="85"/>
      <x:c r="U355" s="85"/>
      <x:c r="V355" s="85"/>
      <x:c r="W355" s="85"/>
      <x:c r="Y355" s="86"/>
      <x:c r="Z355" s="86"/>
      <x:c r="AA355" s="32"/>
    </x:row>
    <x:row r="356">
      <x:c r="A356" s="87"/>
      <x:c r="B356" s="88"/>
      <x:c r="D356" s="32"/>
      <x:c r="I356" s="74"/>
      <x:c r="J356" s="74"/>
      <x:c r="K356" s="74"/>
      <x:c r="L356" s="74"/>
      <x:c r="M356" s="74"/>
      <x:c r="N356" s="74"/>
      <x:c r="O356" s="91"/>
      <x:c r="P356" s="91"/>
      <x:c r="Q356" s="85"/>
      <x:c r="R356" s="85"/>
      <x:c r="S356" s="85"/>
      <x:c r="T356" s="85"/>
      <x:c r="U356" s="85"/>
      <x:c r="V356" s="85"/>
      <x:c r="W356" s="85"/>
      <x:c r="Y356" s="86"/>
      <x:c r="Z356" s="86"/>
      <x:c r="AA356" s="32"/>
    </x:row>
    <x:row r="357">
      <x:c r="A357" s="87"/>
      <x:c r="B357" s="88"/>
      <x:c r="D357" s="32"/>
      <x:c r="I357" s="74"/>
      <x:c r="J357" s="74"/>
      <x:c r="K357" s="74"/>
      <x:c r="L357" s="74"/>
      <x:c r="M357" s="74"/>
      <x:c r="N357" s="74"/>
      <x:c r="O357" s="91"/>
      <x:c r="P357" s="91"/>
      <x:c r="Q357" s="85"/>
      <x:c r="R357" s="85"/>
      <x:c r="S357" s="85"/>
      <x:c r="T357" s="85"/>
      <x:c r="U357" s="85"/>
      <x:c r="V357" s="85"/>
      <x:c r="W357" s="85"/>
      <x:c r="Y357" s="86"/>
      <x:c r="Z357" s="86"/>
      <x:c r="AA357" s="32"/>
    </x:row>
    <x:row r="358">
      <x:c r="A358" s="87"/>
      <x:c r="B358" s="88"/>
      <x:c r="D358" s="32"/>
      <x:c r="I358" s="74"/>
      <x:c r="J358" s="74"/>
      <x:c r="K358" s="74"/>
      <x:c r="L358" s="74"/>
      <x:c r="M358" s="74"/>
      <x:c r="N358" s="74"/>
      <x:c r="O358" s="91"/>
      <x:c r="P358" s="91"/>
      <x:c r="Q358" s="85"/>
      <x:c r="R358" s="85"/>
      <x:c r="S358" s="85"/>
      <x:c r="T358" s="85"/>
      <x:c r="U358" s="85"/>
      <x:c r="V358" s="85"/>
      <x:c r="W358" s="85"/>
      <x:c r="Y358" s="86"/>
      <x:c r="Z358" s="86"/>
      <x:c r="AA358" s="32"/>
    </x:row>
    <x:row r="359">
      <x:c r="A359" s="87"/>
      <x:c r="B359" s="88"/>
      <x:c r="D359" s="32"/>
      <x:c r="I359" s="74"/>
      <x:c r="J359" s="74"/>
      <x:c r="K359" s="74"/>
      <x:c r="L359" s="74"/>
      <x:c r="M359" s="74"/>
      <x:c r="N359" s="74"/>
      <x:c r="O359" s="91"/>
      <x:c r="P359" s="91"/>
      <x:c r="Q359" s="85"/>
      <x:c r="R359" s="85"/>
      <x:c r="S359" s="85"/>
      <x:c r="T359" s="85"/>
      <x:c r="U359" s="85"/>
      <x:c r="V359" s="85"/>
      <x:c r="W359" s="85"/>
      <x:c r="Y359" s="86"/>
      <x:c r="Z359" s="86"/>
      <x:c r="AA359" s="32"/>
    </x:row>
    <x:row r="360">
      <x:c r="A360" s="87"/>
      <x:c r="B360" s="88"/>
      <x:c r="D360" s="32"/>
      <x:c r="I360" s="74"/>
      <x:c r="J360" s="74"/>
      <x:c r="K360" s="74"/>
      <x:c r="L360" s="74"/>
      <x:c r="M360" s="74"/>
      <x:c r="N360" s="74"/>
      <x:c r="O360" s="91"/>
      <x:c r="P360" s="91"/>
      <x:c r="Q360" s="85"/>
      <x:c r="R360" s="85"/>
      <x:c r="S360" s="85"/>
      <x:c r="T360" s="85"/>
      <x:c r="U360" s="85"/>
      <x:c r="V360" s="85"/>
      <x:c r="W360" s="85"/>
      <x:c r="Y360" s="86"/>
      <x:c r="Z360" s="86"/>
      <x:c r="AA360" s="32"/>
    </x:row>
    <x:row r="361">
      <x:c r="A361" s="87"/>
      <x:c r="B361" s="88"/>
      <x:c r="D361" s="32"/>
      <x:c r="I361" s="74"/>
      <x:c r="J361" s="74"/>
      <x:c r="K361" s="74"/>
      <x:c r="L361" s="74"/>
      <x:c r="M361" s="74"/>
      <x:c r="N361" s="74"/>
      <x:c r="O361" s="91"/>
      <x:c r="P361" s="91"/>
      <x:c r="Q361" s="85"/>
      <x:c r="R361" s="85"/>
      <x:c r="S361" s="85"/>
      <x:c r="T361" s="85"/>
      <x:c r="U361" s="85"/>
      <x:c r="V361" s="85"/>
      <x:c r="W361" s="85"/>
      <x:c r="Y361" s="86"/>
      <x:c r="Z361" s="86"/>
      <x:c r="AA361" s="32"/>
    </x:row>
    <x:row r="362">
      <x:c r="A362" s="87"/>
      <x:c r="B362" s="88"/>
      <x:c r="D362" s="32"/>
      <x:c r="I362" s="74"/>
      <x:c r="J362" s="74"/>
      <x:c r="K362" s="74"/>
      <x:c r="L362" s="74"/>
      <x:c r="M362" s="74"/>
      <x:c r="N362" s="74"/>
      <x:c r="O362" s="91"/>
      <x:c r="P362" s="91"/>
      <x:c r="Q362" s="85"/>
      <x:c r="R362" s="85"/>
      <x:c r="S362" s="85"/>
      <x:c r="T362" s="85"/>
      <x:c r="U362" s="85"/>
      <x:c r="V362" s="85"/>
      <x:c r="W362" s="85"/>
      <x:c r="Y362" s="86"/>
      <x:c r="Z362" s="86"/>
      <x:c r="AA362" s="32"/>
    </x:row>
    <x:row r="363">
      <x:c r="A363" s="87"/>
      <x:c r="B363" s="88"/>
      <x:c r="D363" s="32"/>
      <x:c r="I363" s="74"/>
      <x:c r="J363" s="74"/>
      <x:c r="K363" s="74"/>
      <x:c r="L363" s="74"/>
      <x:c r="M363" s="74"/>
      <x:c r="N363" s="74"/>
      <x:c r="O363" s="91"/>
      <x:c r="P363" s="91"/>
      <x:c r="Q363" s="85"/>
      <x:c r="R363" s="85"/>
      <x:c r="S363" s="85"/>
      <x:c r="T363" s="85"/>
      <x:c r="U363" s="85"/>
      <x:c r="V363" s="85"/>
      <x:c r="W363" s="85"/>
      <x:c r="Y363" s="86"/>
      <x:c r="Z363" s="86"/>
      <x:c r="AA363" s="32"/>
    </x:row>
    <x:row r="364">
      <x:c r="A364" s="87"/>
      <x:c r="B364" s="88"/>
      <x:c r="D364" s="32"/>
      <x:c r="I364" s="74"/>
      <x:c r="J364" s="74"/>
      <x:c r="K364" s="74"/>
      <x:c r="L364" s="74"/>
      <x:c r="M364" s="74"/>
      <x:c r="N364" s="74"/>
      <x:c r="O364" s="91"/>
      <x:c r="P364" s="91"/>
      <x:c r="Q364" s="85"/>
      <x:c r="R364" s="85"/>
      <x:c r="S364" s="85"/>
      <x:c r="T364" s="85"/>
      <x:c r="U364" s="85"/>
      <x:c r="V364" s="85"/>
      <x:c r="W364" s="85"/>
      <x:c r="Y364" s="86"/>
      <x:c r="Z364" s="86"/>
      <x:c r="AA364" s="32"/>
    </x:row>
    <x:row r="365">
      <x:c r="A365" s="87"/>
      <x:c r="B365" s="88"/>
      <x:c r="D365" s="32"/>
      <x:c r="I365" s="74"/>
      <x:c r="J365" s="74"/>
      <x:c r="K365" s="74"/>
      <x:c r="L365" s="74"/>
      <x:c r="M365" s="74"/>
      <x:c r="N365" s="74"/>
      <x:c r="O365" s="91"/>
      <x:c r="P365" s="91"/>
      <x:c r="Q365" s="85"/>
      <x:c r="R365" s="85"/>
      <x:c r="S365" s="85"/>
      <x:c r="T365" s="85"/>
      <x:c r="U365" s="85"/>
      <x:c r="V365" s="85"/>
      <x:c r="W365" s="85"/>
      <x:c r="Y365" s="86"/>
      <x:c r="Z365" s="86"/>
      <x:c r="AA365" s="32"/>
    </x:row>
    <x:row r="366">
      <x:c r="A366" s="87"/>
      <x:c r="B366" s="88"/>
      <x:c r="D366" s="32"/>
      <x:c r="I366" s="74"/>
      <x:c r="J366" s="74"/>
      <x:c r="K366" s="74"/>
      <x:c r="L366" s="74"/>
      <x:c r="M366" s="74"/>
      <x:c r="N366" s="74"/>
      <x:c r="O366" s="91"/>
      <x:c r="P366" s="91"/>
      <x:c r="Q366" s="85"/>
      <x:c r="R366" s="85"/>
      <x:c r="S366" s="85"/>
      <x:c r="T366" s="85"/>
      <x:c r="U366" s="85"/>
      <x:c r="V366" s="85"/>
      <x:c r="W366" s="85"/>
      <x:c r="Y366" s="86"/>
      <x:c r="Z366" s="86"/>
      <x:c r="AA366" s="32"/>
    </x:row>
    <x:row r="367">
      <x:c r="A367" s="87"/>
      <x:c r="B367" s="88"/>
      <x:c r="D367" s="32"/>
      <x:c r="I367" s="74"/>
      <x:c r="J367" s="74"/>
      <x:c r="K367" s="74"/>
      <x:c r="L367" s="74"/>
      <x:c r="M367" s="74"/>
      <x:c r="N367" s="74"/>
      <x:c r="O367" s="91"/>
      <x:c r="P367" s="91"/>
      <x:c r="Q367" s="85"/>
      <x:c r="R367" s="85"/>
      <x:c r="S367" s="85"/>
      <x:c r="T367" s="85"/>
      <x:c r="U367" s="85"/>
      <x:c r="V367" s="85"/>
      <x:c r="W367" s="85"/>
      <x:c r="Y367" s="86"/>
      <x:c r="Z367" s="86"/>
      <x:c r="AA367" s="32"/>
    </x:row>
    <x:row r="368">
      <x:c r="A368" s="87"/>
      <x:c r="B368" s="88"/>
      <x:c r="D368" s="32"/>
      <x:c r="I368" s="74"/>
      <x:c r="J368" s="74"/>
      <x:c r="K368" s="74"/>
      <x:c r="L368" s="74"/>
      <x:c r="M368" s="74"/>
      <x:c r="N368" s="74"/>
      <x:c r="O368" s="91"/>
      <x:c r="P368" s="91"/>
      <x:c r="Q368" s="85"/>
      <x:c r="R368" s="85"/>
      <x:c r="S368" s="85"/>
      <x:c r="T368" s="85"/>
      <x:c r="U368" s="85"/>
      <x:c r="V368" s="85"/>
      <x:c r="W368" s="85"/>
      <x:c r="Y368" s="86"/>
      <x:c r="Z368" s="86"/>
      <x:c r="AA368" s="32"/>
    </x:row>
    <x:row r="369">
      <x:c r="A369" s="87"/>
      <x:c r="B369" s="88"/>
      <x:c r="D369" s="32"/>
      <x:c r="I369" s="74"/>
      <x:c r="J369" s="74"/>
      <x:c r="K369" s="74"/>
      <x:c r="L369" s="74"/>
      <x:c r="M369" s="74"/>
      <x:c r="N369" s="74"/>
      <x:c r="O369" s="91"/>
      <x:c r="P369" s="91"/>
      <x:c r="Q369" s="85"/>
      <x:c r="R369" s="85"/>
      <x:c r="S369" s="85"/>
      <x:c r="T369" s="85"/>
      <x:c r="U369" s="85"/>
      <x:c r="V369" s="85"/>
      <x:c r="W369" s="85"/>
      <x:c r="Y369" s="86"/>
      <x:c r="Z369" s="86"/>
      <x:c r="AA369" s="32"/>
    </x:row>
    <x:row r="370">
      <x:c r="A370" s="87"/>
      <x:c r="B370" s="88"/>
      <x:c r="D370" s="32"/>
      <x:c r="I370" s="74"/>
      <x:c r="J370" s="74"/>
      <x:c r="K370" s="74"/>
      <x:c r="L370" s="74"/>
      <x:c r="M370" s="74"/>
      <x:c r="N370" s="74"/>
      <x:c r="O370" s="91"/>
      <x:c r="P370" s="91"/>
      <x:c r="Q370" s="85"/>
      <x:c r="R370" s="85"/>
      <x:c r="S370" s="85"/>
      <x:c r="T370" s="85"/>
      <x:c r="U370" s="85"/>
      <x:c r="V370" s="85"/>
      <x:c r="W370" s="85"/>
      <x:c r="Y370" s="86"/>
      <x:c r="Z370" s="86"/>
      <x:c r="AA370" s="32"/>
    </x:row>
    <x:row r="371">
      <x:c r="A371" s="87"/>
      <x:c r="B371" s="88"/>
      <x:c r="D371" s="32"/>
      <x:c r="I371" s="74"/>
      <x:c r="J371" s="74"/>
      <x:c r="K371" s="74"/>
      <x:c r="L371" s="74"/>
      <x:c r="M371" s="74"/>
      <x:c r="N371" s="74"/>
      <x:c r="O371" s="91"/>
      <x:c r="P371" s="91"/>
      <x:c r="Q371" s="85"/>
      <x:c r="R371" s="85"/>
      <x:c r="S371" s="85"/>
      <x:c r="T371" s="85"/>
      <x:c r="U371" s="85"/>
      <x:c r="V371" s="85"/>
      <x:c r="W371" s="85"/>
      <x:c r="Y371" s="86"/>
      <x:c r="Z371" s="86"/>
      <x:c r="AA371" s="32"/>
    </x:row>
    <x:row r="372">
      <x:c r="A372" s="87"/>
      <x:c r="B372" s="88"/>
      <x:c r="D372" s="32"/>
      <x:c r="I372" s="74"/>
      <x:c r="J372" s="74"/>
      <x:c r="K372" s="74"/>
      <x:c r="L372" s="74"/>
      <x:c r="M372" s="74"/>
      <x:c r="N372" s="74"/>
      <x:c r="O372" s="91"/>
      <x:c r="P372" s="91"/>
      <x:c r="Q372" s="85"/>
      <x:c r="R372" s="85"/>
      <x:c r="S372" s="85"/>
      <x:c r="T372" s="85"/>
      <x:c r="U372" s="85"/>
      <x:c r="V372" s="85"/>
      <x:c r="W372" s="85"/>
      <x:c r="Y372" s="86"/>
      <x:c r="Z372" s="86"/>
      <x:c r="AA372" s="32"/>
    </x:row>
    <x:row r="373">
      <x:c r="A373" s="87"/>
      <x:c r="B373" s="88"/>
      <x:c r="D373" s="32"/>
      <x:c r="I373" s="74"/>
      <x:c r="J373" s="74"/>
      <x:c r="K373" s="74"/>
      <x:c r="L373" s="74"/>
      <x:c r="M373" s="74"/>
      <x:c r="N373" s="74"/>
      <x:c r="O373" s="91"/>
      <x:c r="P373" s="91"/>
      <x:c r="Q373" s="85"/>
      <x:c r="R373" s="85"/>
      <x:c r="S373" s="85"/>
      <x:c r="T373" s="85"/>
      <x:c r="U373" s="85"/>
      <x:c r="V373" s="85"/>
      <x:c r="W373" s="85"/>
      <x:c r="Y373" s="86"/>
      <x:c r="Z373" s="86"/>
      <x:c r="AA373" s="32"/>
    </x:row>
    <x:row r="374">
      <x:c r="A374" s="87"/>
      <x:c r="B374" s="88"/>
      <x:c r="D374" s="32"/>
      <x:c r="I374" s="74"/>
      <x:c r="J374" s="74"/>
      <x:c r="K374" s="74"/>
      <x:c r="L374" s="74"/>
      <x:c r="M374" s="74"/>
      <x:c r="N374" s="74"/>
      <x:c r="O374" s="91"/>
      <x:c r="P374" s="91"/>
      <x:c r="Q374" s="85"/>
      <x:c r="R374" s="85"/>
      <x:c r="S374" s="85"/>
      <x:c r="T374" s="85"/>
      <x:c r="U374" s="85"/>
      <x:c r="V374" s="85"/>
      <x:c r="W374" s="85"/>
      <x:c r="Y374" s="86"/>
      <x:c r="Z374" s="86"/>
      <x:c r="AA374" s="32"/>
    </x:row>
    <x:row r="375">
      <x:c r="A375" s="87"/>
      <x:c r="B375" s="88"/>
      <x:c r="D375" s="32"/>
      <x:c r="I375" s="74"/>
      <x:c r="J375" s="74"/>
      <x:c r="K375" s="74"/>
      <x:c r="L375" s="74"/>
      <x:c r="M375" s="74"/>
      <x:c r="N375" s="74"/>
      <x:c r="O375" s="91"/>
      <x:c r="P375" s="91"/>
      <x:c r="Q375" s="85"/>
      <x:c r="R375" s="85"/>
      <x:c r="S375" s="85"/>
      <x:c r="T375" s="85"/>
      <x:c r="U375" s="85"/>
      <x:c r="V375" s="85"/>
      <x:c r="W375" s="85"/>
      <x:c r="Y375" s="86"/>
      <x:c r="Z375" s="86"/>
      <x:c r="AA375" s="32"/>
    </x:row>
    <x:row r="376">
      <x:c r="A376" s="87"/>
      <x:c r="B376" s="88"/>
      <x:c r="D376" s="32"/>
      <x:c r="I376" s="74"/>
      <x:c r="J376" s="74"/>
      <x:c r="K376" s="74"/>
      <x:c r="L376" s="74"/>
      <x:c r="M376" s="74"/>
      <x:c r="N376" s="74"/>
      <x:c r="O376" s="91"/>
      <x:c r="P376" s="91"/>
      <x:c r="Q376" s="85"/>
      <x:c r="R376" s="85"/>
      <x:c r="S376" s="85"/>
      <x:c r="T376" s="85"/>
      <x:c r="U376" s="85"/>
      <x:c r="V376" s="85"/>
      <x:c r="W376" s="85"/>
      <x:c r="Y376" s="86"/>
      <x:c r="Z376" s="86"/>
      <x:c r="AA376" s="32"/>
    </x:row>
    <x:row r="377">
      <x:c r="A377" s="87"/>
      <x:c r="B377" s="88"/>
      <x:c r="D377" s="32"/>
      <x:c r="I377" s="74"/>
      <x:c r="J377" s="74"/>
      <x:c r="K377" s="74"/>
      <x:c r="L377" s="74"/>
      <x:c r="M377" s="74"/>
      <x:c r="N377" s="74"/>
      <x:c r="O377" s="91"/>
      <x:c r="P377" s="91"/>
      <x:c r="Q377" s="85"/>
      <x:c r="R377" s="85"/>
      <x:c r="S377" s="85"/>
      <x:c r="T377" s="85"/>
      <x:c r="U377" s="85"/>
      <x:c r="V377" s="85"/>
      <x:c r="W377" s="85"/>
      <x:c r="Y377" s="86"/>
      <x:c r="Z377" s="86"/>
      <x:c r="AA377" s="32"/>
    </x:row>
    <x:row r="378">
      <x:c r="A378" s="87"/>
      <x:c r="B378" s="88"/>
      <x:c r="D378" s="32"/>
      <x:c r="I378" s="74"/>
      <x:c r="J378" s="74"/>
      <x:c r="K378" s="74"/>
      <x:c r="L378" s="74"/>
      <x:c r="M378" s="74"/>
      <x:c r="N378" s="74"/>
      <x:c r="O378" s="91"/>
      <x:c r="P378" s="91"/>
      <x:c r="Q378" s="85"/>
      <x:c r="R378" s="85"/>
      <x:c r="S378" s="85"/>
      <x:c r="T378" s="85"/>
      <x:c r="U378" s="85"/>
      <x:c r="V378" s="85"/>
      <x:c r="W378" s="85"/>
      <x:c r="Y378" s="86"/>
      <x:c r="Z378" s="86"/>
      <x:c r="AA378" s="32"/>
    </x:row>
    <x:row r="379">
      <x:c r="A379" s="87"/>
      <x:c r="B379" s="88"/>
      <x:c r="D379" s="32"/>
      <x:c r="I379" s="74"/>
      <x:c r="J379" s="74"/>
      <x:c r="K379" s="74"/>
      <x:c r="L379" s="74"/>
      <x:c r="M379" s="74"/>
      <x:c r="N379" s="74"/>
      <x:c r="O379" s="91"/>
      <x:c r="P379" s="91"/>
      <x:c r="Q379" s="85"/>
      <x:c r="R379" s="85"/>
      <x:c r="S379" s="85"/>
      <x:c r="T379" s="85"/>
      <x:c r="U379" s="85"/>
      <x:c r="V379" s="85"/>
      <x:c r="W379" s="85"/>
      <x:c r="Y379" s="86"/>
      <x:c r="Z379" s="86"/>
      <x:c r="AA379" s="32"/>
    </x:row>
    <x:row r="380">
      <x:c r="A380" s="87"/>
      <x:c r="B380" s="88"/>
      <x:c r="D380" s="32"/>
      <x:c r="I380" s="74"/>
      <x:c r="J380" s="74"/>
      <x:c r="K380" s="74"/>
      <x:c r="L380" s="74"/>
      <x:c r="M380" s="74"/>
      <x:c r="N380" s="74"/>
      <x:c r="O380" s="91"/>
      <x:c r="P380" s="91"/>
      <x:c r="Q380" s="85"/>
      <x:c r="R380" s="85"/>
      <x:c r="S380" s="85"/>
      <x:c r="T380" s="85"/>
      <x:c r="U380" s="85"/>
      <x:c r="V380" s="85"/>
      <x:c r="W380" s="85"/>
      <x:c r="Y380" s="86"/>
      <x:c r="Z380" s="86"/>
      <x:c r="AA380" s="32"/>
    </x:row>
    <x:row r="381">
      <x:c r="A381" s="87"/>
      <x:c r="B381" s="88"/>
      <x:c r="D381" s="32"/>
      <x:c r="I381" s="74"/>
      <x:c r="J381" s="74"/>
      <x:c r="K381" s="74"/>
      <x:c r="L381" s="74"/>
      <x:c r="M381" s="74"/>
      <x:c r="N381" s="74"/>
      <x:c r="O381" s="91"/>
      <x:c r="P381" s="91"/>
      <x:c r="Q381" s="85"/>
      <x:c r="R381" s="85"/>
      <x:c r="S381" s="85"/>
      <x:c r="T381" s="85"/>
      <x:c r="U381" s="85"/>
      <x:c r="V381" s="85"/>
      <x:c r="W381" s="85"/>
      <x:c r="Y381" s="86"/>
      <x:c r="Z381" s="86"/>
      <x:c r="AA381" s="32"/>
    </x:row>
    <x:row r="382">
      <x:c r="A382" s="87"/>
      <x:c r="B382" s="88"/>
      <x:c r="D382" s="32"/>
      <x:c r="I382" s="74"/>
      <x:c r="J382" s="74"/>
      <x:c r="K382" s="74"/>
      <x:c r="L382" s="74"/>
      <x:c r="M382" s="74"/>
      <x:c r="N382" s="74"/>
      <x:c r="O382" s="91"/>
      <x:c r="P382" s="91"/>
      <x:c r="Q382" s="85"/>
      <x:c r="R382" s="85"/>
      <x:c r="S382" s="85"/>
      <x:c r="T382" s="85"/>
      <x:c r="U382" s="85"/>
      <x:c r="V382" s="85"/>
      <x:c r="W382" s="85"/>
      <x:c r="Y382" s="86"/>
      <x:c r="Z382" s="86"/>
      <x:c r="AA382" s="32"/>
    </x:row>
    <x:row r="383">
      <x:c r="A383" s="87"/>
      <x:c r="B383" s="88"/>
      <x:c r="D383" s="32"/>
      <x:c r="I383" s="74"/>
      <x:c r="J383" s="74"/>
      <x:c r="K383" s="74"/>
      <x:c r="L383" s="74"/>
      <x:c r="M383" s="74"/>
      <x:c r="N383" s="74"/>
      <x:c r="O383" s="91"/>
      <x:c r="P383" s="91"/>
      <x:c r="Q383" s="85"/>
      <x:c r="R383" s="85"/>
      <x:c r="S383" s="85"/>
      <x:c r="T383" s="85"/>
      <x:c r="U383" s="85"/>
      <x:c r="V383" s="85"/>
      <x:c r="W383" s="85"/>
      <x:c r="Y383" s="86"/>
      <x:c r="Z383" s="86"/>
      <x:c r="AA383" s="32"/>
    </x:row>
    <x:row r="384">
      <x:c r="A384" s="87"/>
      <x:c r="B384" s="88"/>
      <x:c r="D384" s="32"/>
      <x:c r="I384" s="74"/>
      <x:c r="J384" s="74"/>
      <x:c r="K384" s="74"/>
      <x:c r="L384" s="74"/>
      <x:c r="M384" s="74"/>
      <x:c r="N384" s="74"/>
      <x:c r="O384" s="91"/>
      <x:c r="P384" s="91"/>
      <x:c r="Q384" s="85"/>
      <x:c r="R384" s="85"/>
      <x:c r="S384" s="85"/>
      <x:c r="T384" s="85"/>
      <x:c r="U384" s="85"/>
      <x:c r="V384" s="85"/>
      <x:c r="W384" s="85"/>
      <x:c r="Y384" s="86"/>
      <x:c r="Z384" s="86"/>
      <x:c r="AA384" s="32"/>
    </x:row>
    <x:row r="385">
      <x:c r="A385" s="87"/>
      <x:c r="B385" s="88"/>
      <x:c r="D385" s="32"/>
      <x:c r="I385" s="74"/>
      <x:c r="J385" s="74"/>
      <x:c r="K385" s="74"/>
      <x:c r="L385" s="74"/>
      <x:c r="M385" s="74"/>
      <x:c r="N385" s="74"/>
      <x:c r="O385" s="91"/>
      <x:c r="P385" s="91"/>
      <x:c r="Q385" s="85"/>
      <x:c r="R385" s="85"/>
      <x:c r="S385" s="85"/>
      <x:c r="T385" s="85"/>
      <x:c r="U385" s="85"/>
      <x:c r="V385" s="85"/>
      <x:c r="W385" s="85"/>
      <x:c r="Y385" s="86"/>
      <x:c r="Z385" s="86"/>
      <x:c r="AA385" s="32"/>
    </x:row>
    <x:row r="386">
      <x:c r="A386" s="87"/>
      <x:c r="B386" s="88"/>
      <x:c r="D386" s="32"/>
      <x:c r="I386" s="74"/>
      <x:c r="J386" s="74"/>
      <x:c r="K386" s="74"/>
      <x:c r="L386" s="74"/>
      <x:c r="M386" s="74"/>
      <x:c r="N386" s="74"/>
      <x:c r="O386" s="91"/>
      <x:c r="P386" s="91"/>
      <x:c r="Q386" s="85"/>
      <x:c r="R386" s="85"/>
      <x:c r="S386" s="85"/>
      <x:c r="T386" s="85"/>
      <x:c r="U386" s="85"/>
      <x:c r="V386" s="85"/>
      <x:c r="W386" s="85"/>
      <x:c r="Y386" s="86"/>
      <x:c r="Z386" s="86"/>
      <x:c r="AA386" s="32"/>
    </x:row>
    <x:row r="387">
      <x:c r="A387" s="87"/>
      <x:c r="B387" s="88"/>
      <x:c r="D387" s="32"/>
      <x:c r="I387" s="74"/>
      <x:c r="J387" s="74"/>
      <x:c r="K387" s="74"/>
      <x:c r="L387" s="74"/>
      <x:c r="M387" s="74"/>
      <x:c r="N387" s="74"/>
      <x:c r="O387" s="91"/>
      <x:c r="P387" s="91"/>
      <x:c r="Q387" s="85"/>
      <x:c r="R387" s="85"/>
      <x:c r="S387" s="85"/>
      <x:c r="T387" s="85"/>
      <x:c r="U387" s="85"/>
      <x:c r="V387" s="85"/>
      <x:c r="W387" s="85"/>
      <x:c r="Y387" s="86"/>
      <x:c r="Z387" s="86"/>
      <x:c r="AA387" s="32"/>
    </x:row>
    <x:row r="388">
      <x:c r="A388" s="87"/>
      <x:c r="B388" s="88"/>
      <x:c r="D388" s="32"/>
      <x:c r="I388" s="74"/>
      <x:c r="J388" s="74"/>
      <x:c r="K388" s="74"/>
      <x:c r="L388" s="74"/>
      <x:c r="M388" s="74"/>
      <x:c r="N388" s="74"/>
      <x:c r="O388" s="91"/>
      <x:c r="P388" s="91"/>
      <x:c r="Q388" s="85"/>
      <x:c r="R388" s="85"/>
      <x:c r="S388" s="85"/>
      <x:c r="T388" s="85"/>
      <x:c r="U388" s="85"/>
      <x:c r="V388" s="85"/>
      <x:c r="W388" s="85"/>
      <x:c r="Y388" s="86"/>
      <x:c r="Z388" s="86"/>
      <x:c r="AA388" s="32"/>
    </x:row>
    <x:row r="389">
      <x:c r="A389" s="87"/>
      <x:c r="B389" s="88"/>
      <x:c r="D389" s="32"/>
      <x:c r="I389" s="74"/>
      <x:c r="J389" s="74"/>
      <x:c r="K389" s="74"/>
      <x:c r="L389" s="74"/>
      <x:c r="M389" s="74"/>
      <x:c r="N389" s="74"/>
      <x:c r="O389" s="91"/>
      <x:c r="P389" s="91"/>
      <x:c r="Q389" s="85"/>
      <x:c r="R389" s="85"/>
      <x:c r="S389" s="85"/>
      <x:c r="T389" s="85"/>
      <x:c r="U389" s="85"/>
      <x:c r="V389" s="85"/>
      <x:c r="W389" s="85"/>
      <x:c r="Y389" s="86"/>
      <x:c r="Z389" s="86"/>
      <x:c r="AA389" s="32"/>
    </x:row>
    <x:row r="390">
      <x:c r="A390" s="87"/>
      <x:c r="B390" s="88"/>
      <x:c r="D390" s="32"/>
      <x:c r="I390" s="74"/>
      <x:c r="J390" s="74"/>
      <x:c r="K390" s="74"/>
      <x:c r="L390" s="74"/>
      <x:c r="M390" s="74"/>
      <x:c r="N390" s="74"/>
      <x:c r="O390" s="91"/>
      <x:c r="P390" s="91"/>
      <x:c r="Q390" s="85"/>
      <x:c r="R390" s="85"/>
      <x:c r="S390" s="85"/>
      <x:c r="T390" s="85"/>
      <x:c r="U390" s="85"/>
      <x:c r="V390" s="85"/>
      <x:c r="W390" s="85"/>
      <x:c r="Y390" s="86"/>
      <x:c r="Z390" s="86"/>
      <x:c r="AA390" s="32"/>
    </x:row>
    <x:row r="391">
      <x:c r="A391" s="87"/>
      <x:c r="B391" s="88"/>
      <x:c r="D391" s="32"/>
      <x:c r="I391" s="74"/>
      <x:c r="J391" s="74"/>
      <x:c r="K391" s="74"/>
      <x:c r="L391" s="74"/>
      <x:c r="M391" s="74"/>
      <x:c r="N391" s="74"/>
      <x:c r="O391" s="91"/>
      <x:c r="P391" s="91"/>
      <x:c r="Q391" s="85"/>
      <x:c r="R391" s="85"/>
      <x:c r="S391" s="85"/>
      <x:c r="T391" s="85"/>
      <x:c r="U391" s="85"/>
      <x:c r="V391" s="85"/>
      <x:c r="W391" s="85"/>
      <x:c r="Y391" s="86"/>
      <x:c r="Z391" s="86"/>
      <x:c r="AA391" s="32"/>
    </x:row>
    <x:row r="392">
      <x:c r="A392" s="87"/>
      <x:c r="B392" s="88"/>
      <x:c r="D392" s="32"/>
      <x:c r="I392" s="74"/>
      <x:c r="J392" s="74"/>
      <x:c r="K392" s="74"/>
      <x:c r="L392" s="74"/>
      <x:c r="M392" s="74"/>
      <x:c r="N392" s="74"/>
      <x:c r="O392" s="91"/>
      <x:c r="P392" s="91"/>
      <x:c r="Q392" s="85"/>
      <x:c r="R392" s="85"/>
      <x:c r="S392" s="85"/>
      <x:c r="T392" s="85"/>
      <x:c r="U392" s="85"/>
      <x:c r="V392" s="85"/>
      <x:c r="W392" s="85"/>
      <x:c r="Y392" s="86"/>
      <x:c r="Z392" s="86"/>
      <x:c r="AA392" s="32"/>
    </x:row>
    <x:row r="393">
      <x:c r="A393" s="87"/>
      <x:c r="B393" s="88"/>
      <x:c r="D393" s="32"/>
      <x:c r="I393" s="74"/>
      <x:c r="J393" s="74"/>
      <x:c r="K393" s="74"/>
      <x:c r="L393" s="74"/>
      <x:c r="M393" s="74"/>
      <x:c r="N393" s="74"/>
      <x:c r="O393" s="91"/>
      <x:c r="P393" s="91"/>
      <x:c r="Q393" s="85"/>
      <x:c r="R393" s="85"/>
      <x:c r="S393" s="85"/>
      <x:c r="T393" s="85"/>
      <x:c r="U393" s="85"/>
      <x:c r="V393" s="85"/>
      <x:c r="W393" s="85"/>
      <x:c r="Y393" s="86"/>
      <x:c r="Z393" s="86"/>
      <x:c r="AA393" s="32"/>
    </x:row>
    <x:row r="394">
      <x:c r="A394" s="87"/>
      <x:c r="B394" s="88"/>
      <x:c r="D394" s="32"/>
      <x:c r="I394" s="74"/>
      <x:c r="J394" s="74"/>
      <x:c r="K394" s="74"/>
      <x:c r="L394" s="74"/>
      <x:c r="M394" s="74"/>
      <x:c r="N394" s="74"/>
      <x:c r="O394" s="91"/>
      <x:c r="P394" s="91"/>
      <x:c r="Q394" s="85"/>
      <x:c r="R394" s="85"/>
      <x:c r="S394" s="85"/>
      <x:c r="T394" s="85"/>
      <x:c r="U394" s="85"/>
      <x:c r="V394" s="85"/>
      <x:c r="W394" s="85"/>
      <x:c r="Y394" s="86"/>
      <x:c r="Z394" s="86"/>
      <x:c r="AA394" s="32"/>
    </x:row>
    <x:row r="395">
      <x:c r="A395" s="87"/>
      <x:c r="B395" s="88"/>
      <x:c r="D395" s="32"/>
      <x:c r="I395" s="74"/>
      <x:c r="J395" s="74"/>
      <x:c r="K395" s="74"/>
      <x:c r="L395" s="74"/>
      <x:c r="M395" s="74"/>
      <x:c r="N395" s="74"/>
      <x:c r="O395" s="91"/>
      <x:c r="P395" s="91"/>
      <x:c r="Q395" s="85"/>
      <x:c r="R395" s="85"/>
      <x:c r="S395" s="85"/>
      <x:c r="T395" s="85"/>
      <x:c r="U395" s="85"/>
      <x:c r="V395" s="85"/>
      <x:c r="W395" s="85"/>
      <x:c r="Y395" s="86"/>
      <x:c r="Z395" s="86"/>
      <x:c r="AA395" s="32"/>
    </x:row>
    <x:row r="396">
      <x:c r="A396" s="87"/>
      <x:c r="B396" s="88"/>
      <x:c r="D396" s="32"/>
      <x:c r="I396" s="74"/>
      <x:c r="J396" s="74"/>
      <x:c r="K396" s="74"/>
      <x:c r="L396" s="74"/>
      <x:c r="M396" s="74"/>
      <x:c r="N396" s="74"/>
      <x:c r="O396" s="91"/>
      <x:c r="P396" s="91"/>
      <x:c r="Q396" s="85"/>
      <x:c r="R396" s="85"/>
      <x:c r="S396" s="85"/>
      <x:c r="T396" s="85"/>
      <x:c r="U396" s="85"/>
      <x:c r="V396" s="85"/>
      <x:c r="W396" s="85"/>
      <x:c r="Y396" s="86"/>
      <x:c r="Z396" s="86"/>
      <x:c r="AA396" s="32"/>
    </x:row>
    <x:row r="397">
      <x:c r="A397" s="87"/>
      <x:c r="B397" s="88"/>
      <x:c r="D397" s="32"/>
      <x:c r="I397" s="74"/>
      <x:c r="J397" s="74"/>
      <x:c r="K397" s="74"/>
      <x:c r="L397" s="74"/>
      <x:c r="M397" s="74"/>
      <x:c r="N397" s="74"/>
      <x:c r="O397" s="91"/>
      <x:c r="P397" s="91"/>
      <x:c r="Q397" s="85"/>
      <x:c r="R397" s="85"/>
      <x:c r="S397" s="85"/>
      <x:c r="T397" s="85"/>
      <x:c r="U397" s="85"/>
      <x:c r="V397" s="85"/>
      <x:c r="W397" s="85"/>
      <x:c r="Y397" s="86"/>
      <x:c r="Z397" s="86"/>
      <x:c r="AA397" s="32"/>
    </x:row>
    <x:row r="398">
      <x:c r="A398" s="87"/>
      <x:c r="B398" s="88"/>
      <x:c r="D398" s="32"/>
      <x:c r="I398" s="74"/>
      <x:c r="J398" s="74"/>
      <x:c r="K398" s="74"/>
      <x:c r="L398" s="74"/>
      <x:c r="M398" s="74"/>
      <x:c r="N398" s="74"/>
      <x:c r="O398" s="91"/>
      <x:c r="P398" s="91"/>
      <x:c r="Q398" s="85"/>
      <x:c r="R398" s="85"/>
      <x:c r="S398" s="85"/>
      <x:c r="T398" s="85"/>
      <x:c r="U398" s="85"/>
      <x:c r="V398" s="85"/>
      <x:c r="W398" s="85"/>
      <x:c r="Y398" s="86"/>
      <x:c r="Z398" s="86"/>
      <x:c r="AA398" s="32"/>
    </x:row>
    <x:row r="399">
      <x:c r="A399" s="87"/>
      <x:c r="B399" s="88"/>
      <x:c r="D399" s="32"/>
      <x:c r="I399" s="74"/>
      <x:c r="J399" s="74"/>
      <x:c r="K399" s="74"/>
      <x:c r="L399" s="74"/>
      <x:c r="M399" s="74"/>
      <x:c r="N399" s="74"/>
      <x:c r="O399" s="91"/>
      <x:c r="P399" s="91"/>
      <x:c r="Q399" s="85"/>
      <x:c r="R399" s="85"/>
      <x:c r="S399" s="85"/>
      <x:c r="T399" s="85"/>
      <x:c r="U399" s="85"/>
      <x:c r="V399" s="85"/>
      <x:c r="W399" s="85"/>
      <x:c r="Y399" s="86"/>
      <x:c r="Z399" s="86"/>
      <x:c r="AA399" s="32"/>
    </x:row>
    <x:row r="400">
      <x:c r="A400" s="87"/>
      <x:c r="B400" s="88"/>
      <x:c r="D400" s="32"/>
      <x:c r="I400" s="74"/>
      <x:c r="J400" s="74"/>
      <x:c r="K400" s="74"/>
      <x:c r="L400" s="74"/>
      <x:c r="M400" s="74"/>
      <x:c r="N400" s="74"/>
      <x:c r="O400" s="91"/>
      <x:c r="P400" s="91"/>
      <x:c r="Q400" s="85"/>
      <x:c r="R400" s="85"/>
      <x:c r="S400" s="85"/>
      <x:c r="T400" s="85"/>
      <x:c r="U400" s="85"/>
      <x:c r="V400" s="85"/>
      <x:c r="W400" s="85"/>
      <x:c r="Y400" s="86"/>
      <x:c r="Z400" s="86"/>
      <x:c r="AA400" s="32"/>
    </x:row>
    <x:row r="401">
      <x:c r="A401" s="87"/>
      <x:c r="B401" s="88"/>
      <x:c r="D401" s="32"/>
      <x:c r="I401" s="74"/>
      <x:c r="J401" s="74"/>
      <x:c r="K401" s="74"/>
      <x:c r="L401" s="74"/>
      <x:c r="M401" s="74"/>
      <x:c r="N401" s="74"/>
      <x:c r="O401" s="91"/>
      <x:c r="P401" s="91"/>
      <x:c r="Q401" s="85"/>
      <x:c r="R401" s="85"/>
      <x:c r="S401" s="85"/>
      <x:c r="T401" s="85"/>
      <x:c r="U401" s="85"/>
      <x:c r="V401" s="85"/>
      <x:c r="W401" s="85"/>
      <x:c r="Y401" s="86"/>
      <x:c r="Z401" s="86"/>
      <x:c r="AA401" s="32"/>
    </x:row>
    <x:row r="402">
      <x:c r="A402" s="87"/>
      <x:c r="B402" s="88"/>
      <x:c r="D402" s="32"/>
      <x:c r="I402" s="74"/>
      <x:c r="J402" s="74"/>
      <x:c r="K402" s="74"/>
      <x:c r="L402" s="74"/>
      <x:c r="M402" s="74"/>
      <x:c r="N402" s="74"/>
      <x:c r="O402" s="91"/>
      <x:c r="P402" s="91"/>
      <x:c r="Q402" s="85"/>
      <x:c r="R402" s="85"/>
      <x:c r="S402" s="85"/>
      <x:c r="T402" s="85"/>
      <x:c r="U402" s="85"/>
      <x:c r="V402" s="85"/>
      <x:c r="W402" s="85"/>
      <x:c r="Y402" s="86"/>
      <x:c r="Z402" s="86"/>
      <x:c r="AA402" s="32"/>
    </x:row>
    <x:row r="403">
      <x:c r="A403" s="87"/>
      <x:c r="B403" s="88"/>
      <x:c r="D403" s="32"/>
      <x:c r="I403" s="74"/>
      <x:c r="J403" s="74"/>
      <x:c r="K403" s="74"/>
      <x:c r="L403" s="74"/>
      <x:c r="M403" s="74"/>
      <x:c r="N403" s="74"/>
      <x:c r="O403" s="91"/>
      <x:c r="P403" s="91"/>
      <x:c r="Q403" s="85"/>
      <x:c r="R403" s="85"/>
      <x:c r="S403" s="85"/>
      <x:c r="T403" s="85"/>
      <x:c r="U403" s="85"/>
      <x:c r="V403" s="85"/>
      <x:c r="W403" s="85"/>
      <x:c r="Y403" s="86"/>
      <x:c r="Z403" s="86"/>
      <x:c r="AA403" s="32"/>
    </x:row>
    <x:row r="404">
      <x:c r="A404" s="87"/>
      <x:c r="B404" s="88"/>
      <x:c r="D404" s="32"/>
      <x:c r="I404" s="74"/>
      <x:c r="J404" s="74"/>
      <x:c r="K404" s="74"/>
      <x:c r="L404" s="74"/>
      <x:c r="M404" s="74"/>
      <x:c r="N404" s="74"/>
      <x:c r="O404" s="91"/>
      <x:c r="P404" s="91"/>
      <x:c r="Q404" s="85"/>
      <x:c r="R404" s="85"/>
      <x:c r="S404" s="85"/>
      <x:c r="T404" s="85"/>
      <x:c r="U404" s="85"/>
      <x:c r="V404" s="85"/>
      <x:c r="W404" s="85"/>
      <x:c r="Y404" s="86"/>
      <x:c r="Z404" s="86"/>
      <x:c r="AA404" s="32"/>
    </x:row>
    <x:row r="405">
      <x:c r="A405" s="87"/>
      <x:c r="B405" s="88"/>
      <x:c r="D405" s="32"/>
      <x:c r="I405" s="74"/>
      <x:c r="J405" s="74"/>
      <x:c r="K405" s="74"/>
      <x:c r="L405" s="74"/>
      <x:c r="M405" s="74"/>
      <x:c r="N405" s="74"/>
      <x:c r="O405" s="91"/>
      <x:c r="P405" s="91"/>
      <x:c r="Q405" s="85"/>
      <x:c r="R405" s="85"/>
      <x:c r="S405" s="85"/>
      <x:c r="T405" s="85"/>
      <x:c r="U405" s="85"/>
      <x:c r="V405" s="85"/>
      <x:c r="W405" s="85"/>
      <x:c r="Y405" s="86"/>
      <x:c r="Z405" s="86"/>
      <x:c r="AA405" s="32"/>
    </x:row>
    <x:row r="406">
      <x:c r="A406" s="87"/>
      <x:c r="B406" s="88"/>
      <x:c r="D406" s="32"/>
      <x:c r="I406" s="74"/>
      <x:c r="J406" s="74"/>
      <x:c r="K406" s="74"/>
      <x:c r="L406" s="74"/>
      <x:c r="M406" s="74"/>
      <x:c r="N406" s="74"/>
      <x:c r="O406" s="91"/>
      <x:c r="P406" s="91"/>
      <x:c r="Q406" s="85"/>
      <x:c r="R406" s="85"/>
      <x:c r="S406" s="85"/>
      <x:c r="T406" s="85"/>
      <x:c r="U406" s="85"/>
      <x:c r="V406" s="85"/>
      <x:c r="W406" s="85"/>
      <x:c r="Y406" s="86"/>
      <x:c r="Z406" s="86"/>
      <x:c r="AA406" s="32"/>
    </x:row>
    <x:row r="407">
      <x:c r="A407" s="87"/>
      <x:c r="B407" s="88"/>
      <x:c r="D407" s="32"/>
      <x:c r="I407" s="74"/>
      <x:c r="J407" s="74"/>
      <x:c r="K407" s="74"/>
      <x:c r="L407" s="74"/>
      <x:c r="M407" s="74"/>
      <x:c r="N407" s="74"/>
      <x:c r="O407" s="91"/>
      <x:c r="P407" s="91"/>
      <x:c r="Q407" s="85"/>
      <x:c r="R407" s="85"/>
      <x:c r="S407" s="85"/>
      <x:c r="T407" s="85"/>
      <x:c r="U407" s="85"/>
      <x:c r="V407" s="85"/>
      <x:c r="W407" s="85"/>
      <x:c r="Y407" s="86"/>
      <x:c r="Z407" s="86"/>
      <x:c r="AA407" s="32"/>
    </x:row>
    <x:row r="408">
      <x:c r="A408" s="87"/>
      <x:c r="B408" s="88"/>
      <x:c r="D408" s="32"/>
      <x:c r="I408" s="74"/>
      <x:c r="J408" s="74"/>
      <x:c r="K408" s="74"/>
      <x:c r="L408" s="74"/>
      <x:c r="M408" s="74"/>
      <x:c r="N408" s="74"/>
      <x:c r="O408" s="91"/>
      <x:c r="P408" s="91"/>
      <x:c r="Q408" s="85"/>
      <x:c r="R408" s="85"/>
      <x:c r="S408" s="85"/>
      <x:c r="T408" s="85"/>
      <x:c r="U408" s="85"/>
      <x:c r="V408" s="85"/>
      <x:c r="W408" s="85"/>
      <x:c r="Y408" s="86"/>
      <x:c r="Z408" s="86"/>
      <x:c r="AA408" s="32"/>
    </x:row>
    <x:row r="409">
      <x:c r="A409" s="87"/>
      <x:c r="B409" s="88"/>
      <x:c r="D409" s="32"/>
      <x:c r="I409" s="74"/>
      <x:c r="J409" s="74"/>
      <x:c r="K409" s="74"/>
      <x:c r="L409" s="74"/>
      <x:c r="M409" s="74"/>
      <x:c r="N409" s="74"/>
      <x:c r="O409" s="91"/>
      <x:c r="P409" s="91"/>
      <x:c r="Q409" s="85"/>
      <x:c r="R409" s="85"/>
      <x:c r="S409" s="85"/>
      <x:c r="T409" s="85"/>
      <x:c r="U409" s="85"/>
      <x:c r="V409" s="85"/>
      <x:c r="W409" s="85"/>
      <x:c r="Y409" s="86"/>
      <x:c r="Z409" s="86"/>
      <x:c r="AA409" s="32"/>
    </x:row>
    <x:row r="410">
      <x:c r="A410" s="87"/>
      <x:c r="B410" s="88"/>
      <x:c r="D410" s="32"/>
      <x:c r="I410" s="74"/>
      <x:c r="J410" s="74"/>
      <x:c r="K410" s="74"/>
      <x:c r="L410" s="74"/>
      <x:c r="M410" s="74"/>
      <x:c r="N410" s="74"/>
      <x:c r="O410" s="91"/>
      <x:c r="P410" s="91"/>
      <x:c r="Q410" s="85"/>
      <x:c r="R410" s="85"/>
      <x:c r="S410" s="85"/>
      <x:c r="T410" s="85"/>
      <x:c r="U410" s="85"/>
      <x:c r="V410" s="85"/>
      <x:c r="W410" s="85"/>
      <x:c r="Y410" s="86"/>
      <x:c r="Z410" s="86"/>
      <x:c r="AA410" s="32"/>
    </x:row>
    <x:row r="411">
      <x:c r="A411" s="87"/>
      <x:c r="B411" s="88"/>
      <x:c r="D411" s="32"/>
      <x:c r="I411" s="74"/>
      <x:c r="J411" s="74"/>
      <x:c r="K411" s="74"/>
      <x:c r="L411" s="74"/>
      <x:c r="M411" s="74"/>
      <x:c r="N411" s="74"/>
      <x:c r="O411" s="91"/>
      <x:c r="P411" s="91"/>
      <x:c r="Q411" s="85"/>
      <x:c r="R411" s="85"/>
      <x:c r="S411" s="85"/>
      <x:c r="T411" s="85"/>
      <x:c r="U411" s="85"/>
      <x:c r="V411" s="85"/>
      <x:c r="W411" s="85"/>
      <x:c r="Y411" s="86"/>
      <x:c r="Z411" s="86"/>
      <x:c r="AA411" s="32"/>
    </x:row>
    <x:row r="412">
      <x:c r="A412" s="87"/>
      <x:c r="B412" s="88"/>
      <x:c r="D412" s="32"/>
      <x:c r="I412" s="74"/>
      <x:c r="J412" s="74"/>
      <x:c r="K412" s="74"/>
      <x:c r="L412" s="74"/>
      <x:c r="M412" s="74"/>
      <x:c r="N412" s="74"/>
      <x:c r="O412" s="91"/>
      <x:c r="P412" s="91"/>
      <x:c r="Q412" s="85"/>
      <x:c r="R412" s="85"/>
      <x:c r="S412" s="85"/>
      <x:c r="T412" s="85"/>
      <x:c r="U412" s="85"/>
      <x:c r="V412" s="85"/>
      <x:c r="W412" s="85"/>
      <x:c r="Y412" s="86"/>
      <x:c r="Z412" s="86"/>
      <x:c r="AA412" s="32"/>
    </x:row>
    <x:row r="413">
      <x:c r="A413" s="87"/>
      <x:c r="B413" s="88"/>
      <x:c r="D413" s="32"/>
      <x:c r="I413" s="74"/>
      <x:c r="J413" s="74"/>
      <x:c r="K413" s="74"/>
      <x:c r="L413" s="74"/>
      <x:c r="M413" s="74"/>
      <x:c r="N413" s="74"/>
      <x:c r="O413" s="91"/>
      <x:c r="P413" s="91"/>
      <x:c r="Q413" s="85"/>
      <x:c r="R413" s="85"/>
      <x:c r="S413" s="85"/>
      <x:c r="T413" s="85"/>
      <x:c r="U413" s="85"/>
      <x:c r="V413" s="85"/>
      <x:c r="W413" s="85"/>
      <x:c r="Y413" s="86"/>
      <x:c r="Z413" s="86"/>
      <x:c r="AA413" s="32"/>
    </x:row>
    <x:row r="414">
      <x:c r="A414" s="87"/>
      <x:c r="B414" s="88"/>
      <x:c r="D414" s="32"/>
      <x:c r="I414" s="74"/>
      <x:c r="J414" s="74"/>
      <x:c r="K414" s="74"/>
      <x:c r="L414" s="74"/>
      <x:c r="M414" s="74"/>
      <x:c r="N414" s="74"/>
      <x:c r="O414" s="91"/>
      <x:c r="P414" s="91"/>
      <x:c r="Q414" s="85"/>
      <x:c r="R414" s="85"/>
      <x:c r="S414" s="85"/>
      <x:c r="T414" s="85"/>
      <x:c r="U414" s="85"/>
      <x:c r="V414" s="85"/>
      <x:c r="W414" s="85"/>
      <x:c r="Y414" s="86"/>
      <x:c r="Z414" s="86"/>
      <x:c r="AA414" s="32"/>
    </x:row>
    <x:row r="415">
      <x:c r="A415" s="87"/>
      <x:c r="B415" s="88"/>
      <x:c r="D415" s="32"/>
      <x:c r="I415" s="74"/>
      <x:c r="J415" s="74"/>
      <x:c r="K415" s="74"/>
      <x:c r="L415" s="74"/>
      <x:c r="M415" s="74"/>
      <x:c r="N415" s="74"/>
      <x:c r="O415" s="91"/>
      <x:c r="P415" s="91"/>
      <x:c r="Q415" s="85"/>
      <x:c r="R415" s="85"/>
      <x:c r="S415" s="85"/>
      <x:c r="T415" s="85"/>
      <x:c r="U415" s="85"/>
      <x:c r="V415" s="85"/>
      <x:c r="W415" s="85"/>
      <x:c r="Y415" s="86"/>
      <x:c r="Z415" s="86"/>
      <x:c r="AA415" s="32"/>
    </x:row>
    <x:row r="416">
      <x:c r="A416" s="87"/>
      <x:c r="B416" s="88"/>
      <x:c r="D416" s="32"/>
      <x:c r="I416" s="74"/>
      <x:c r="J416" s="74"/>
      <x:c r="K416" s="74"/>
      <x:c r="L416" s="74"/>
      <x:c r="M416" s="74"/>
      <x:c r="N416" s="74"/>
      <x:c r="O416" s="91"/>
      <x:c r="P416" s="91"/>
      <x:c r="Q416" s="85"/>
      <x:c r="R416" s="85"/>
      <x:c r="S416" s="85"/>
      <x:c r="T416" s="85"/>
      <x:c r="U416" s="85"/>
      <x:c r="V416" s="85"/>
      <x:c r="W416" s="85"/>
      <x:c r="Y416" s="86"/>
      <x:c r="Z416" s="86"/>
      <x:c r="AA416" s="32"/>
    </x:row>
    <x:row r="417">
      <x:c r="A417" s="87"/>
      <x:c r="B417" s="88"/>
      <x:c r="D417" s="32"/>
      <x:c r="I417" s="74"/>
      <x:c r="J417" s="74"/>
      <x:c r="K417" s="74"/>
      <x:c r="L417" s="74"/>
      <x:c r="M417" s="74"/>
      <x:c r="N417" s="74"/>
      <x:c r="O417" s="91"/>
      <x:c r="P417" s="91"/>
      <x:c r="Q417" s="85"/>
      <x:c r="R417" s="85"/>
      <x:c r="S417" s="85"/>
      <x:c r="T417" s="85"/>
      <x:c r="U417" s="85"/>
      <x:c r="V417" s="85"/>
      <x:c r="W417" s="85"/>
      <x:c r="Y417" s="86"/>
      <x:c r="Z417" s="86"/>
      <x:c r="AA417" s="32"/>
    </x:row>
    <x:row r="418">
      <x:c r="A418" s="87"/>
      <x:c r="B418" s="88"/>
      <x:c r="D418" s="32"/>
      <x:c r="I418" s="74"/>
      <x:c r="J418" s="74"/>
      <x:c r="K418" s="74"/>
      <x:c r="L418" s="74"/>
      <x:c r="M418" s="74"/>
      <x:c r="N418" s="74"/>
      <x:c r="O418" s="91"/>
      <x:c r="P418" s="91"/>
      <x:c r="Q418" s="85"/>
      <x:c r="R418" s="85"/>
      <x:c r="S418" s="85"/>
      <x:c r="T418" s="85"/>
      <x:c r="U418" s="85"/>
      <x:c r="V418" s="85"/>
      <x:c r="W418" s="85"/>
      <x:c r="Y418" s="86"/>
      <x:c r="Z418" s="86"/>
      <x:c r="AA418" s="32"/>
    </x:row>
    <x:row r="419">
      <x:c r="A419" s="87"/>
      <x:c r="B419" s="88"/>
      <x:c r="D419" s="32"/>
      <x:c r="I419" s="74"/>
      <x:c r="J419" s="74"/>
      <x:c r="K419" s="74"/>
      <x:c r="L419" s="74"/>
      <x:c r="M419" s="74"/>
      <x:c r="N419" s="74"/>
      <x:c r="O419" s="91"/>
      <x:c r="P419" s="91"/>
      <x:c r="Q419" s="85"/>
      <x:c r="R419" s="85"/>
      <x:c r="S419" s="85"/>
      <x:c r="T419" s="85"/>
      <x:c r="U419" s="85"/>
      <x:c r="V419" s="85"/>
      <x:c r="W419" s="85"/>
      <x:c r="Y419" s="86"/>
      <x:c r="Z419" s="86"/>
      <x:c r="AA419" s="32"/>
    </x:row>
    <x:row r="420">
      <x:c r="A420" s="87"/>
      <x:c r="B420" s="88"/>
      <x:c r="D420" s="32"/>
      <x:c r="I420" s="74"/>
      <x:c r="J420" s="74"/>
      <x:c r="K420" s="74"/>
      <x:c r="L420" s="74"/>
      <x:c r="M420" s="74"/>
      <x:c r="N420" s="74"/>
      <x:c r="O420" s="91"/>
      <x:c r="P420" s="91"/>
      <x:c r="Q420" s="85"/>
      <x:c r="R420" s="85"/>
      <x:c r="S420" s="85"/>
      <x:c r="T420" s="85"/>
      <x:c r="U420" s="85"/>
      <x:c r="V420" s="85"/>
      <x:c r="W420" s="85"/>
      <x:c r="Y420" s="86"/>
      <x:c r="Z420" s="86"/>
      <x:c r="AA420" s="32"/>
    </x:row>
    <x:row r="421">
      <x:c r="A421" s="87"/>
      <x:c r="B421" s="88"/>
      <x:c r="D421" s="32"/>
      <x:c r="I421" s="74"/>
      <x:c r="J421" s="74"/>
      <x:c r="K421" s="74"/>
      <x:c r="L421" s="74"/>
      <x:c r="M421" s="74"/>
      <x:c r="N421" s="74"/>
      <x:c r="O421" s="91"/>
      <x:c r="P421" s="91"/>
      <x:c r="Q421" s="85"/>
      <x:c r="R421" s="85"/>
      <x:c r="S421" s="85"/>
      <x:c r="T421" s="85"/>
      <x:c r="U421" s="85"/>
      <x:c r="V421" s="85"/>
      <x:c r="W421" s="85"/>
      <x:c r="Y421" s="86"/>
      <x:c r="Z421" s="86"/>
      <x:c r="AA421" s="32"/>
    </x:row>
    <x:row r="422">
      <x:c r="A422" s="87"/>
      <x:c r="B422" s="88"/>
      <x:c r="D422" s="32"/>
      <x:c r="I422" s="74"/>
      <x:c r="J422" s="74"/>
      <x:c r="K422" s="74"/>
      <x:c r="L422" s="74"/>
      <x:c r="M422" s="74"/>
      <x:c r="N422" s="74"/>
      <x:c r="O422" s="91"/>
      <x:c r="P422" s="91"/>
      <x:c r="Q422" s="85"/>
      <x:c r="R422" s="85"/>
      <x:c r="S422" s="85"/>
      <x:c r="T422" s="85"/>
      <x:c r="U422" s="85"/>
      <x:c r="V422" s="85"/>
      <x:c r="W422" s="85"/>
      <x:c r="Y422" s="86"/>
      <x:c r="Z422" s="86"/>
      <x:c r="AA422" s="32"/>
    </x:row>
    <x:row r="423">
      <x:c r="A423" s="87"/>
      <x:c r="B423" s="88"/>
      <x:c r="D423" s="32"/>
      <x:c r="I423" s="74"/>
      <x:c r="J423" s="74"/>
      <x:c r="K423" s="74"/>
      <x:c r="L423" s="74"/>
      <x:c r="M423" s="74"/>
      <x:c r="N423" s="74"/>
      <x:c r="O423" s="91"/>
      <x:c r="P423" s="91"/>
      <x:c r="Q423" s="85"/>
      <x:c r="R423" s="85"/>
      <x:c r="S423" s="85"/>
      <x:c r="T423" s="85"/>
      <x:c r="U423" s="85"/>
      <x:c r="V423" s="85"/>
      <x:c r="W423" s="85"/>
      <x:c r="Y423" s="86"/>
      <x:c r="Z423" s="86"/>
      <x:c r="AA423" s="32"/>
    </x:row>
    <x:row r="424">
      <x:c r="A424" s="87"/>
      <x:c r="B424" s="88"/>
      <x:c r="D424" s="32"/>
      <x:c r="I424" s="74"/>
      <x:c r="J424" s="74"/>
      <x:c r="K424" s="74"/>
      <x:c r="L424" s="74"/>
      <x:c r="M424" s="74"/>
      <x:c r="N424" s="74"/>
      <x:c r="O424" s="91"/>
      <x:c r="P424" s="91"/>
      <x:c r="Q424" s="85"/>
      <x:c r="R424" s="85"/>
      <x:c r="S424" s="85"/>
      <x:c r="T424" s="85"/>
      <x:c r="U424" s="85"/>
      <x:c r="V424" s="85"/>
      <x:c r="W424" s="85"/>
      <x:c r="Y424" s="86"/>
      <x:c r="Z424" s="86"/>
      <x:c r="AA424" s="32"/>
    </x:row>
    <x:row r="425">
      <x:c r="A425" s="87"/>
      <x:c r="B425" s="88"/>
      <x:c r="D425" s="32"/>
      <x:c r="I425" s="74"/>
      <x:c r="J425" s="74"/>
      <x:c r="K425" s="74"/>
      <x:c r="L425" s="74"/>
      <x:c r="M425" s="74"/>
      <x:c r="N425" s="74"/>
      <x:c r="O425" s="91"/>
      <x:c r="P425" s="91"/>
      <x:c r="Q425" s="85"/>
      <x:c r="R425" s="85"/>
      <x:c r="S425" s="85"/>
      <x:c r="T425" s="85"/>
      <x:c r="U425" s="85"/>
      <x:c r="V425" s="85"/>
      <x:c r="W425" s="85"/>
      <x:c r="Y425" s="86"/>
      <x:c r="Z425" s="86"/>
      <x:c r="AA425" s="32"/>
    </x:row>
    <x:row r="426">
      <x:c r="A426" s="87"/>
      <x:c r="B426" s="88"/>
      <x:c r="D426" s="32"/>
      <x:c r="I426" s="74"/>
      <x:c r="J426" s="74"/>
      <x:c r="K426" s="74"/>
      <x:c r="L426" s="74"/>
      <x:c r="M426" s="74"/>
      <x:c r="N426" s="74"/>
      <x:c r="O426" s="91"/>
      <x:c r="P426" s="91"/>
      <x:c r="Q426" s="85"/>
      <x:c r="R426" s="85"/>
      <x:c r="S426" s="85"/>
      <x:c r="T426" s="85"/>
      <x:c r="U426" s="85"/>
      <x:c r="V426" s="85"/>
      <x:c r="W426" s="85"/>
      <x:c r="Y426" s="86"/>
      <x:c r="Z426" s="86"/>
      <x:c r="AA426" s="32"/>
    </x:row>
    <x:row r="427">
      <x:c r="A427" s="87"/>
      <x:c r="B427" s="88"/>
      <x:c r="D427" s="32"/>
      <x:c r="I427" s="74"/>
      <x:c r="J427" s="74"/>
      <x:c r="K427" s="74"/>
      <x:c r="L427" s="74"/>
      <x:c r="M427" s="74"/>
      <x:c r="N427" s="74"/>
      <x:c r="O427" s="91"/>
      <x:c r="P427" s="91"/>
      <x:c r="Q427" s="85"/>
      <x:c r="R427" s="85"/>
      <x:c r="S427" s="85"/>
      <x:c r="T427" s="85"/>
      <x:c r="U427" s="85"/>
      <x:c r="V427" s="85"/>
      <x:c r="W427" s="85"/>
      <x:c r="Y427" s="86"/>
      <x:c r="Z427" s="86"/>
      <x:c r="AA427" s="32"/>
    </x:row>
    <x:row r="428">
      <x:c r="A428" s="87"/>
      <x:c r="B428" s="88"/>
      <x:c r="D428" s="32"/>
      <x:c r="I428" s="74"/>
      <x:c r="J428" s="74"/>
      <x:c r="K428" s="74"/>
      <x:c r="L428" s="74"/>
      <x:c r="M428" s="74"/>
      <x:c r="N428" s="74"/>
      <x:c r="O428" s="91"/>
      <x:c r="P428" s="91"/>
      <x:c r="Q428" s="85"/>
      <x:c r="R428" s="85"/>
      <x:c r="S428" s="85"/>
      <x:c r="T428" s="85"/>
      <x:c r="U428" s="85"/>
      <x:c r="V428" s="85"/>
      <x:c r="W428" s="85"/>
      <x:c r="Y428" s="86"/>
      <x:c r="Z428" s="86"/>
      <x:c r="AA428" s="32"/>
    </x:row>
    <x:row r="429">
      <x:c r="A429" s="87"/>
      <x:c r="B429" s="88"/>
      <x:c r="D429" s="32"/>
      <x:c r="I429" s="74"/>
      <x:c r="J429" s="74"/>
      <x:c r="K429" s="74"/>
      <x:c r="L429" s="74"/>
      <x:c r="M429" s="74"/>
      <x:c r="N429" s="74"/>
      <x:c r="O429" s="91"/>
      <x:c r="P429" s="91"/>
      <x:c r="Q429" s="85"/>
      <x:c r="R429" s="85"/>
      <x:c r="S429" s="85"/>
      <x:c r="T429" s="85"/>
      <x:c r="U429" s="85"/>
      <x:c r="V429" s="85"/>
      <x:c r="W429" s="85"/>
      <x:c r="Y429" s="86"/>
      <x:c r="Z429" s="86"/>
      <x:c r="AA429" s="32"/>
    </x:row>
    <x:row r="430">
      <x:c r="A430" s="87"/>
      <x:c r="B430" s="88"/>
      <x:c r="D430" s="32"/>
      <x:c r="I430" s="74"/>
      <x:c r="J430" s="74"/>
      <x:c r="K430" s="74"/>
      <x:c r="L430" s="74"/>
      <x:c r="M430" s="74"/>
      <x:c r="N430" s="74"/>
      <x:c r="O430" s="91"/>
      <x:c r="P430" s="91"/>
      <x:c r="Q430" s="85"/>
      <x:c r="R430" s="85"/>
      <x:c r="S430" s="85"/>
      <x:c r="T430" s="85"/>
      <x:c r="U430" s="85"/>
      <x:c r="V430" s="85"/>
      <x:c r="W430" s="85"/>
      <x:c r="Y430" s="86"/>
      <x:c r="Z430" s="86"/>
      <x:c r="AA430" s="32"/>
    </x:row>
    <x:row r="431">
      <x:c r="A431" s="87"/>
      <x:c r="B431" s="88"/>
      <x:c r="D431" s="32"/>
      <x:c r="I431" s="74"/>
      <x:c r="J431" s="74"/>
      <x:c r="K431" s="74"/>
      <x:c r="L431" s="74"/>
      <x:c r="M431" s="74"/>
      <x:c r="N431" s="74"/>
      <x:c r="O431" s="91"/>
      <x:c r="P431" s="91"/>
      <x:c r="Q431" s="85"/>
      <x:c r="R431" s="85"/>
      <x:c r="S431" s="85"/>
      <x:c r="T431" s="85"/>
      <x:c r="U431" s="85"/>
      <x:c r="V431" s="85"/>
      <x:c r="W431" s="85"/>
      <x:c r="Y431" s="86"/>
      <x:c r="Z431" s="86"/>
      <x:c r="AA431" s="32"/>
    </x:row>
    <x:row r="432">
      <x:c r="A432" s="87"/>
      <x:c r="B432" s="88"/>
      <x:c r="D432" s="32"/>
      <x:c r="I432" s="74"/>
      <x:c r="J432" s="74"/>
      <x:c r="K432" s="74"/>
      <x:c r="L432" s="74"/>
      <x:c r="M432" s="74"/>
      <x:c r="N432" s="74"/>
      <x:c r="O432" s="91"/>
      <x:c r="P432" s="91"/>
      <x:c r="Q432" s="85"/>
      <x:c r="R432" s="85"/>
      <x:c r="S432" s="85"/>
      <x:c r="T432" s="85"/>
      <x:c r="U432" s="85"/>
      <x:c r="V432" s="85"/>
      <x:c r="W432" s="85"/>
      <x:c r="Y432" s="86"/>
      <x:c r="Z432" s="86"/>
      <x:c r="AA432" s="32"/>
    </x:row>
    <x:row r="433">
      <x:c r="A433" s="87"/>
      <x:c r="B433" s="88"/>
      <x:c r="D433" s="32"/>
      <x:c r="I433" s="74"/>
      <x:c r="J433" s="74"/>
      <x:c r="K433" s="74"/>
      <x:c r="L433" s="74"/>
      <x:c r="M433" s="74"/>
      <x:c r="N433" s="74"/>
      <x:c r="O433" s="91"/>
      <x:c r="P433" s="91"/>
      <x:c r="Q433" s="85"/>
      <x:c r="R433" s="85"/>
      <x:c r="S433" s="85"/>
      <x:c r="T433" s="85"/>
      <x:c r="U433" s="85"/>
      <x:c r="V433" s="85"/>
      <x:c r="W433" s="85"/>
      <x:c r="Y433" s="86"/>
      <x:c r="Z433" s="86"/>
      <x:c r="AA433" s="32"/>
    </x:row>
    <x:row r="434">
      <x:c r="A434" s="87"/>
      <x:c r="B434" s="88"/>
      <x:c r="D434" s="32"/>
      <x:c r="I434" s="74"/>
      <x:c r="J434" s="74"/>
      <x:c r="K434" s="74"/>
      <x:c r="L434" s="74"/>
      <x:c r="M434" s="74"/>
      <x:c r="N434" s="74"/>
      <x:c r="O434" s="91"/>
      <x:c r="P434" s="91"/>
      <x:c r="Q434" s="85"/>
      <x:c r="R434" s="85"/>
      <x:c r="S434" s="85"/>
      <x:c r="T434" s="85"/>
      <x:c r="U434" s="85"/>
      <x:c r="V434" s="85"/>
      <x:c r="W434" s="85"/>
      <x:c r="Y434" s="86"/>
      <x:c r="Z434" s="86"/>
      <x:c r="AA434" s="32"/>
    </x:row>
    <x:row r="435">
      <x:c r="A435" s="87"/>
      <x:c r="B435" s="88"/>
      <x:c r="D435" s="32"/>
      <x:c r="I435" s="74"/>
      <x:c r="J435" s="74"/>
      <x:c r="K435" s="74"/>
      <x:c r="L435" s="74"/>
      <x:c r="M435" s="74"/>
      <x:c r="N435" s="74"/>
      <x:c r="O435" s="91"/>
      <x:c r="P435" s="91"/>
      <x:c r="Q435" s="85"/>
      <x:c r="R435" s="85"/>
      <x:c r="S435" s="85"/>
      <x:c r="T435" s="85"/>
      <x:c r="U435" s="85"/>
      <x:c r="V435" s="85"/>
      <x:c r="W435" s="85"/>
      <x:c r="Y435" s="86"/>
      <x:c r="Z435" s="86"/>
      <x:c r="AA435" s="32"/>
    </x:row>
    <x:row r="436">
      <x:c r="A436" s="87"/>
      <x:c r="B436" s="88"/>
      <x:c r="D436" s="32"/>
      <x:c r="I436" s="74"/>
      <x:c r="J436" s="74"/>
      <x:c r="K436" s="74"/>
      <x:c r="L436" s="74"/>
      <x:c r="M436" s="74"/>
      <x:c r="N436" s="74"/>
      <x:c r="O436" s="91"/>
      <x:c r="P436" s="91"/>
      <x:c r="Q436" s="85"/>
      <x:c r="R436" s="85"/>
      <x:c r="S436" s="85"/>
      <x:c r="T436" s="85"/>
      <x:c r="U436" s="85"/>
      <x:c r="V436" s="85"/>
      <x:c r="W436" s="85"/>
      <x:c r="Y436" s="86"/>
      <x:c r="Z436" s="86"/>
      <x:c r="AA436" s="32"/>
    </x:row>
    <x:row r="437">
      <x:c r="A437" s="87"/>
      <x:c r="B437" s="88"/>
      <x:c r="D437" s="32"/>
      <x:c r="I437" s="74"/>
      <x:c r="J437" s="74"/>
      <x:c r="K437" s="74"/>
      <x:c r="L437" s="74"/>
      <x:c r="M437" s="74"/>
      <x:c r="N437" s="74"/>
      <x:c r="O437" s="91"/>
      <x:c r="P437" s="91"/>
      <x:c r="Q437" s="85"/>
      <x:c r="R437" s="85"/>
      <x:c r="S437" s="85"/>
      <x:c r="T437" s="85"/>
      <x:c r="U437" s="85"/>
      <x:c r="V437" s="85"/>
      <x:c r="W437" s="85"/>
      <x:c r="Y437" s="86"/>
      <x:c r="Z437" s="86"/>
      <x:c r="AA437" s="32"/>
    </x:row>
    <x:row r="438">
      <x:c r="A438" s="87"/>
      <x:c r="B438" s="88"/>
      <x:c r="D438" s="32"/>
      <x:c r="I438" s="74"/>
      <x:c r="J438" s="74"/>
      <x:c r="K438" s="74"/>
      <x:c r="L438" s="74"/>
      <x:c r="M438" s="74"/>
      <x:c r="N438" s="74"/>
      <x:c r="O438" s="91"/>
      <x:c r="P438" s="91"/>
      <x:c r="Q438" s="85"/>
      <x:c r="R438" s="85"/>
      <x:c r="S438" s="85"/>
      <x:c r="T438" s="85"/>
      <x:c r="U438" s="85"/>
      <x:c r="V438" s="85"/>
      <x:c r="W438" s="85"/>
      <x:c r="Y438" s="86"/>
      <x:c r="Z438" s="86"/>
      <x:c r="AA438" s="32"/>
    </x:row>
    <x:row r="439">
      <x:c r="A439" s="87"/>
      <x:c r="B439" s="88"/>
      <x:c r="D439" s="32"/>
      <x:c r="I439" s="74"/>
      <x:c r="J439" s="74"/>
      <x:c r="K439" s="74"/>
      <x:c r="L439" s="74"/>
      <x:c r="M439" s="74"/>
      <x:c r="N439" s="74"/>
      <x:c r="O439" s="91"/>
      <x:c r="P439" s="91"/>
      <x:c r="Q439" s="85"/>
      <x:c r="R439" s="85"/>
      <x:c r="S439" s="85"/>
      <x:c r="T439" s="85"/>
      <x:c r="U439" s="85"/>
      <x:c r="V439" s="85"/>
      <x:c r="W439" s="85"/>
      <x:c r="Y439" s="86"/>
      <x:c r="Z439" s="86"/>
      <x:c r="AA439" s="32"/>
    </x:row>
    <x:row r="440">
      <x:c r="A440" s="87"/>
      <x:c r="B440" s="88"/>
      <x:c r="D440" s="32"/>
      <x:c r="I440" s="74"/>
      <x:c r="J440" s="74"/>
      <x:c r="K440" s="74"/>
      <x:c r="L440" s="74"/>
      <x:c r="M440" s="74"/>
      <x:c r="N440" s="74"/>
      <x:c r="O440" s="91"/>
      <x:c r="P440" s="91"/>
      <x:c r="Q440" s="85"/>
      <x:c r="R440" s="85"/>
      <x:c r="S440" s="85"/>
      <x:c r="T440" s="85"/>
      <x:c r="U440" s="85"/>
      <x:c r="V440" s="85"/>
      <x:c r="W440" s="85"/>
      <x:c r="Y440" s="86"/>
      <x:c r="Z440" s="86"/>
      <x:c r="AA440" s="32"/>
    </x:row>
    <x:row r="441">
      <x:c r="A441" s="87"/>
      <x:c r="B441" s="88"/>
      <x:c r="D441" s="32"/>
      <x:c r="I441" s="74"/>
      <x:c r="J441" s="74"/>
      <x:c r="K441" s="74"/>
      <x:c r="L441" s="74"/>
      <x:c r="M441" s="74"/>
      <x:c r="N441" s="74"/>
      <x:c r="O441" s="91"/>
      <x:c r="P441" s="91"/>
      <x:c r="Q441" s="85"/>
      <x:c r="R441" s="85"/>
      <x:c r="S441" s="85"/>
      <x:c r="T441" s="85"/>
      <x:c r="U441" s="85"/>
      <x:c r="V441" s="85"/>
      <x:c r="W441" s="85"/>
      <x:c r="Y441" s="86"/>
      <x:c r="Z441" s="86"/>
      <x:c r="AA441" s="32"/>
    </x:row>
    <x:row r="442">
      <x:c r="A442" s="87"/>
      <x:c r="B442" s="88"/>
      <x:c r="D442" s="32"/>
      <x:c r="I442" s="74"/>
      <x:c r="J442" s="74"/>
      <x:c r="K442" s="74"/>
      <x:c r="L442" s="74"/>
      <x:c r="M442" s="74"/>
      <x:c r="N442" s="74"/>
      <x:c r="O442" s="91"/>
      <x:c r="P442" s="91"/>
      <x:c r="Q442" s="85"/>
      <x:c r="R442" s="85"/>
      <x:c r="S442" s="85"/>
      <x:c r="T442" s="85"/>
      <x:c r="U442" s="85"/>
      <x:c r="V442" s="85"/>
      <x:c r="W442" s="85"/>
      <x:c r="Y442" s="86"/>
      <x:c r="Z442" s="86"/>
      <x:c r="AA442" s="32"/>
    </x:row>
    <x:row r="443">
      <x:c r="A443" s="87"/>
      <x:c r="B443" s="88"/>
      <x:c r="D443" s="32"/>
      <x:c r="I443" s="74"/>
      <x:c r="J443" s="74"/>
      <x:c r="K443" s="74"/>
      <x:c r="L443" s="74"/>
      <x:c r="M443" s="74"/>
      <x:c r="N443" s="74"/>
      <x:c r="O443" s="91"/>
      <x:c r="P443" s="91"/>
      <x:c r="Q443" s="85"/>
      <x:c r="R443" s="85"/>
      <x:c r="S443" s="85"/>
      <x:c r="T443" s="85"/>
      <x:c r="U443" s="85"/>
      <x:c r="V443" s="85"/>
      <x:c r="W443" s="85"/>
      <x:c r="Y443" s="86"/>
      <x:c r="Z443" s="86"/>
      <x:c r="AA443" s="32"/>
    </x:row>
    <x:row r="444">
      <x:c r="A444" s="87"/>
      <x:c r="B444" s="88"/>
      <x:c r="D444" s="32"/>
      <x:c r="I444" s="74"/>
      <x:c r="J444" s="74"/>
      <x:c r="K444" s="74"/>
      <x:c r="L444" s="74"/>
      <x:c r="M444" s="74"/>
      <x:c r="N444" s="74"/>
      <x:c r="O444" s="91"/>
      <x:c r="P444" s="91"/>
      <x:c r="Q444" s="85"/>
      <x:c r="R444" s="85"/>
      <x:c r="S444" s="85"/>
      <x:c r="T444" s="85"/>
      <x:c r="U444" s="85"/>
      <x:c r="V444" s="85"/>
      <x:c r="W444" s="85"/>
      <x:c r="Y444" s="86"/>
      <x:c r="Z444" s="86"/>
      <x:c r="AA444" s="32"/>
    </x:row>
    <x:row r="445">
      <x:c r="A445" s="87"/>
      <x:c r="B445" s="88"/>
      <x:c r="D445" s="32"/>
      <x:c r="I445" s="74"/>
      <x:c r="J445" s="74"/>
      <x:c r="K445" s="74"/>
      <x:c r="L445" s="74"/>
      <x:c r="M445" s="74"/>
      <x:c r="N445" s="74"/>
      <x:c r="O445" s="91"/>
      <x:c r="P445" s="91"/>
      <x:c r="Q445" s="85"/>
      <x:c r="R445" s="85"/>
      <x:c r="S445" s="85"/>
      <x:c r="T445" s="85"/>
      <x:c r="U445" s="85"/>
      <x:c r="V445" s="85"/>
      <x:c r="W445" s="85"/>
      <x:c r="Y445" s="86"/>
      <x:c r="Z445" s="86"/>
      <x:c r="AA445" s="32"/>
    </x:row>
    <x:row r="446">
      <x:c r="A446" s="87"/>
      <x:c r="B446" s="88"/>
      <x:c r="D446" s="32"/>
      <x:c r="I446" s="74"/>
      <x:c r="J446" s="74"/>
      <x:c r="K446" s="74"/>
      <x:c r="L446" s="74"/>
      <x:c r="M446" s="74"/>
      <x:c r="N446" s="74"/>
      <x:c r="O446" s="91"/>
      <x:c r="P446" s="91"/>
      <x:c r="Q446" s="85"/>
      <x:c r="R446" s="85"/>
      <x:c r="S446" s="85"/>
      <x:c r="T446" s="85"/>
      <x:c r="U446" s="85"/>
      <x:c r="V446" s="85"/>
      <x:c r="W446" s="85"/>
      <x:c r="Y446" s="86"/>
      <x:c r="Z446" s="86"/>
      <x:c r="AA446" s="32"/>
    </x:row>
    <x:row r="447">
      <x:c r="A447" s="87"/>
      <x:c r="B447" s="88"/>
      <x:c r="D447" s="32"/>
      <x:c r="I447" s="74"/>
      <x:c r="J447" s="74"/>
      <x:c r="K447" s="74"/>
      <x:c r="L447" s="74"/>
      <x:c r="M447" s="74"/>
      <x:c r="N447" s="74"/>
      <x:c r="O447" s="91"/>
      <x:c r="P447" s="91"/>
      <x:c r="Q447" s="85"/>
      <x:c r="R447" s="85"/>
      <x:c r="S447" s="85"/>
      <x:c r="T447" s="85"/>
      <x:c r="U447" s="85"/>
      <x:c r="V447" s="85"/>
      <x:c r="W447" s="85"/>
      <x:c r="Y447" s="86"/>
      <x:c r="Z447" s="86"/>
      <x:c r="AA447" s="32"/>
    </x:row>
    <x:row r="448">
      <x:c r="A448" s="87"/>
      <x:c r="B448" s="88"/>
      <x:c r="D448" s="32"/>
      <x:c r="I448" s="74"/>
      <x:c r="J448" s="74"/>
      <x:c r="K448" s="74"/>
      <x:c r="L448" s="74"/>
      <x:c r="M448" s="74"/>
      <x:c r="N448" s="74"/>
      <x:c r="O448" s="91"/>
      <x:c r="P448" s="91"/>
      <x:c r="Q448" s="85"/>
      <x:c r="R448" s="85"/>
      <x:c r="S448" s="85"/>
      <x:c r="T448" s="85"/>
      <x:c r="U448" s="85"/>
      <x:c r="V448" s="85"/>
      <x:c r="W448" s="85"/>
      <x:c r="Y448" s="86"/>
      <x:c r="Z448" s="86"/>
      <x:c r="AA448" s="32"/>
    </x:row>
    <x:row r="449">
      <x:c r="A449" s="87"/>
      <x:c r="B449" s="88"/>
      <x:c r="D449" s="32"/>
      <x:c r="I449" s="74"/>
      <x:c r="J449" s="74"/>
      <x:c r="K449" s="74"/>
      <x:c r="L449" s="74"/>
      <x:c r="M449" s="74"/>
      <x:c r="N449" s="74"/>
      <x:c r="O449" s="91"/>
      <x:c r="P449" s="91"/>
      <x:c r="Q449" s="85"/>
      <x:c r="R449" s="85"/>
      <x:c r="S449" s="85"/>
      <x:c r="T449" s="85"/>
      <x:c r="U449" s="85"/>
      <x:c r="V449" s="85"/>
      <x:c r="W449" s="85"/>
      <x:c r="Y449" s="86"/>
      <x:c r="Z449" s="86"/>
      <x:c r="AA449" s="32"/>
    </x:row>
    <x:row r="450">
      <x:c r="A450" s="87"/>
      <x:c r="B450" s="88"/>
      <x:c r="D450" s="32"/>
      <x:c r="I450" s="74"/>
      <x:c r="J450" s="74"/>
      <x:c r="K450" s="74"/>
      <x:c r="L450" s="74"/>
      <x:c r="M450" s="74"/>
      <x:c r="N450" s="74"/>
      <x:c r="O450" s="91"/>
      <x:c r="P450" s="91"/>
      <x:c r="Q450" s="85"/>
      <x:c r="R450" s="85"/>
      <x:c r="S450" s="85"/>
      <x:c r="T450" s="85"/>
      <x:c r="U450" s="85"/>
      <x:c r="V450" s="85"/>
      <x:c r="W450" s="85"/>
      <x:c r="Y450" s="86"/>
      <x:c r="Z450" s="86"/>
      <x:c r="AA450" s="32"/>
    </x:row>
    <x:row r="451">
      <x:c r="A451" s="87"/>
      <x:c r="B451" s="88"/>
      <x:c r="D451" s="32"/>
      <x:c r="I451" s="74"/>
      <x:c r="J451" s="74"/>
      <x:c r="K451" s="74"/>
      <x:c r="L451" s="74"/>
      <x:c r="M451" s="74"/>
      <x:c r="N451" s="74"/>
      <x:c r="O451" s="91"/>
      <x:c r="P451" s="91"/>
      <x:c r="Q451" s="85"/>
      <x:c r="R451" s="85"/>
      <x:c r="S451" s="85"/>
      <x:c r="T451" s="85"/>
      <x:c r="U451" s="85"/>
      <x:c r="V451" s="85"/>
      <x:c r="W451" s="85"/>
      <x:c r="Y451" s="86"/>
      <x:c r="Z451" s="86"/>
      <x:c r="AA451" s="32"/>
    </x:row>
    <x:row r="452">
      <x:c r="A452" s="87"/>
      <x:c r="B452" s="88"/>
      <x:c r="D452" s="32"/>
      <x:c r="I452" s="74"/>
      <x:c r="J452" s="74"/>
      <x:c r="K452" s="74"/>
      <x:c r="L452" s="74"/>
      <x:c r="M452" s="74"/>
      <x:c r="N452" s="74"/>
      <x:c r="O452" s="91"/>
      <x:c r="P452" s="91"/>
      <x:c r="Q452" s="85"/>
      <x:c r="R452" s="85"/>
      <x:c r="S452" s="85"/>
      <x:c r="T452" s="85"/>
      <x:c r="U452" s="85"/>
      <x:c r="V452" s="85"/>
      <x:c r="W452" s="85"/>
      <x:c r="Y452" s="86"/>
      <x:c r="Z452" s="86"/>
      <x:c r="AA452" s="32"/>
    </x:row>
    <x:row r="453">
      <x:c r="A453" s="87"/>
      <x:c r="B453" s="88"/>
      <x:c r="D453" s="32"/>
      <x:c r="I453" s="74"/>
      <x:c r="J453" s="74"/>
      <x:c r="K453" s="74"/>
      <x:c r="L453" s="74"/>
      <x:c r="M453" s="74"/>
      <x:c r="N453" s="74"/>
      <x:c r="O453" s="91"/>
      <x:c r="P453" s="91"/>
      <x:c r="Q453" s="85"/>
      <x:c r="R453" s="85"/>
      <x:c r="S453" s="85"/>
      <x:c r="T453" s="85"/>
      <x:c r="U453" s="85"/>
      <x:c r="V453" s="85"/>
      <x:c r="W453" s="85"/>
      <x:c r="Y453" s="86"/>
      <x:c r="Z453" s="86"/>
      <x:c r="AA453" s="32"/>
    </x:row>
    <x:row r="454">
      <x:c r="A454" s="87"/>
      <x:c r="B454" s="88"/>
      <x:c r="D454" s="32"/>
      <x:c r="I454" s="74"/>
      <x:c r="J454" s="74"/>
      <x:c r="K454" s="74"/>
      <x:c r="L454" s="74"/>
      <x:c r="M454" s="74"/>
      <x:c r="N454" s="74"/>
      <x:c r="O454" s="91"/>
      <x:c r="P454" s="91"/>
      <x:c r="Q454" s="85"/>
      <x:c r="R454" s="85"/>
      <x:c r="S454" s="85"/>
      <x:c r="T454" s="85"/>
      <x:c r="U454" s="85"/>
      <x:c r="V454" s="85"/>
      <x:c r="W454" s="85"/>
      <x:c r="Y454" s="86"/>
      <x:c r="Z454" s="86"/>
      <x:c r="AA454" s="32"/>
    </x:row>
    <x:row r="455">
      <x:c r="A455" s="87"/>
      <x:c r="B455" s="88"/>
      <x:c r="D455" s="32"/>
      <x:c r="I455" s="74"/>
      <x:c r="J455" s="74"/>
      <x:c r="K455" s="74"/>
      <x:c r="L455" s="74"/>
      <x:c r="M455" s="74"/>
      <x:c r="N455" s="74"/>
      <x:c r="O455" s="91"/>
      <x:c r="P455" s="91"/>
      <x:c r="Q455" s="85"/>
      <x:c r="R455" s="85"/>
      <x:c r="S455" s="85"/>
      <x:c r="T455" s="85"/>
      <x:c r="U455" s="85"/>
      <x:c r="V455" s="85"/>
      <x:c r="W455" s="85"/>
      <x:c r="Y455" s="86"/>
      <x:c r="Z455" s="86"/>
      <x:c r="AA455" s="32"/>
    </x:row>
    <x:row r="456">
      <x:c r="A456" s="87"/>
      <x:c r="B456" s="88"/>
      <x:c r="D456" s="32"/>
      <x:c r="I456" s="74"/>
      <x:c r="J456" s="74"/>
      <x:c r="K456" s="74"/>
      <x:c r="L456" s="74"/>
      <x:c r="M456" s="74"/>
      <x:c r="N456" s="74"/>
      <x:c r="O456" s="91"/>
      <x:c r="P456" s="91"/>
      <x:c r="Q456" s="85"/>
      <x:c r="R456" s="85"/>
      <x:c r="S456" s="85"/>
      <x:c r="T456" s="85"/>
      <x:c r="U456" s="85"/>
      <x:c r="V456" s="85"/>
      <x:c r="W456" s="85"/>
      <x:c r="Y456" s="86"/>
      <x:c r="Z456" s="86"/>
      <x:c r="AA456" s="32"/>
    </x:row>
    <x:row r="457">
      <x:c r="A457" s="87"/>
      <x:c r="B457" s="88"/>
      <x:c r="D457" s="32"/>
      <x:c r="I457" s="74"/>
      <x:c r="J457" s="74"/>
      <x:c r="K457" s="74"/>
      <x:c r="L457" s="74"/>
      <x:c r="M457" s="74"/>
      <x:c r="N457" s="74"/>
      <x:c r="O457" s="91"/>
      <x:c r="P457" s="91"/>
      <x:c r="Q457" s="85"/>
      <x:c r="R457" s="85"/>
      <x:c r="S457" s="85"/>
      <x:c r="T457" s="85"/>
      <x:c r="U457" s="85"/>
      <x:c r="V457" s="85"/>
      <x:c r="W457" s="85"/>
      <x:c r="Y457" s="86"/>
      <x:c r="Z457" s="86"/>
      <x:c r="AA457" s="32"/>
    </x:row>
    <x:row r="458">
      <x:c r="A458" s="87"/>
      <x:c r="B458" s="88"/>
      <x:c r="D458" s="32"/>
      <x:c r="I458" s="74"/>
      <x:c r="J458" s="74"/>
      <x:c r="K458" s="74"/>
      <x:c r="L458" s="74"/>
      <x:c r="M458" s="74"/>
      <x:c r="N458" s="74"/>
      <x:c r="O458" s="91"/>
      <x:c r="P458" s="91"/>
      <x:c r="Q458" s="85"/>
      <x:c r="R458" s="85"/>
      <x:c r="S458" s="85"/>
      <x:c r="T458" s="85"/>
      <x:c r="U458" s="85"/>
      <x:c r="V458" s="85"/>
      <x:c r="W458" s="85"/>
      <x:c r="Y458" s="86"/>
      <x:c r="Z458" s="86"/>
      <x:c r="AA458" s="32"/>
    </x:row>
    <x:row r="459">
      <x:c r="A459" s="87"/>
      <x:c r="B459" s="88"/>
      <x:c r="D459" s="32"/>
      <x:c r="I459" s="74"/>
      <x:c r="J459" s="74"/>
      <x:c r="K459" s="74"/>
      <x:c r="L459" s="74"/>
      <x:c r="M459" s="74"/>
      <x:c r="N459" s="74"/>
      <x:c r="O459" s="91"/>
      <x:c r="P459" s="91"/>
      <x:c r="Q459" s="85"/>
      <x:c r="R459" s="85"/>
      <x:c r="S459" s="85"/>
      <x:c r="T459" s="85"/>
      <x:c r="U459" s="85"/>
      <x:c r="V459" s="85"/>
      <x:c r="W459" s="85"/>
      <x:c r="Y459" s="86"/>
      <x:c r="Z459" s="86"/>
      <x:c r="AA459" s="32"/>
    </x:row>
    <x:row r="460">
      <x:c r="A460" s="87"/>
      <x:c r="B460" s="88"/>
      <x:c r="D460" s="32"/>
      <x:c r="I460" s="74"/>
      <x:c r="J460" s="74"/>
      <x:c r="K460" s="74"/>
      <x:c r="L460" s="74"/>
      <x:c r="M460" s="74"/>
      <x:c r="N460" s="74"/>
      <x:c r="O460" s="91"/>
      <x:c r="P460" s="91"/>
      <x:c r="Q460" s="85"/>
      <x:c r="R460" s="85"/>
      <x:c r="S460" s="85"/>
      <x:c r="T460" s="85"/>
      <x:c r="U460" s="85"/>
      <x:c r="V460" s="85"/>
      <x:c r="W460" s="85"/>
      <x:c r="Y460" s="86"/>
      <x:c r="Z460" s="86"/>
      <x:c r="AA460" s="32"/>
    </x:row>
    <x:row r="461">
      <x:c r="A461" s="87"/>
      <x:c r="B461" s="88"/>
      <x:c r="D461" s="32"/>
      <x:c r="I461" s="74"/>
      <x:c r="J461" s="74"/>
      <x:c r="K461" s="74"/>
      <x:c r="L461" s="74"/>
      <x:c r="M461" s="74"/>
      <x:c r="N461" s="74"/>
      <x:c r="O461" s="91"/>
      <x:c r="P461" s="91"/>
      <x:c r="Q461" s="85"/>
      <x:c r="R461" s="85"/>
      <x:c r="S461" s="85"/>
      <x:c r="T461" s="85"/>
      <x:c r="U461" s="85"/>
      <x:c r="V461" s="85"/>
      <x:c r="W461" s="85"/>
      <x:c r="Y461" s="86"/>
      <x:c r="Z461" s="86"/>
      <x:c r="AA461" s="32"/>
    </x:row>
    <x:row r="462">
      <x:c r="A462" s="87"/>
      <x:c r="B462" s="88"/>
      <x:c r="D462" s="32"/>
      <x:c r="I462" s="74"/>
      <x:c r="J462" s="74"/>
      <x:c r="K462" s="74"/>
      <x:c r="L462" s="74"/>
      <x:c r="M462" s="74"/>
      <x:c r="N462" s="74"/>
      <x:c r="O462" s="91"/>
      <x:c r="P462" s="91"/>
      <x:c r="Q462" s="85"/>
      <x:c r="R462" s="85"/>
      <x:c r="S462" s="85"/>
      <x:c r="T462" s="85"/>
      <x:c r="U462" s="85"/>
      <x:c r="V462" s="85"/>
      <x:c r="W462" s="85"/>
      <x:c r="Y462" s="86"/>
      <x:c r="Z462" s="86"/>
      <x:c r="AA462" s="32"/>
    </x:row>
    <x:row r="463">
      <x:c r="A463" s="87"/>
      <x:c r="B463" s="88"/>
      <x:c r="D463" s="32"/>
      <x:c r="I463" s="74"/>
      <x:c r="J463" s="74"/>
      <x:c r="K463" s="74"/>
      <x:c r="L463" s="74"/>
      <x:c r="M463" s="74"/>
      <x:c r="N463" s="74"/>
      <x:c r="O463" s="91"/>
      <x:c r="P463" s="91"/>
      <x:c r="Q463" s="85"/>
      <x:c r="R463" s="85"/>
      <x:c r="S463" s="85"/>
      <x:c r="T463" s="85"/>
      <x:c r="U463" s="85"/>
      <x:c r="V463" s="85"/>
      <x:c r="W463" s="85"/>
      <x:c r="Y463" s="86"/>
      <x:c r="Z463" s="86"/>
      <x:c r="AA463" s="32"/>
    </x:row>
    <x:row r="464">
      <x:c r="A464" s="87"/>
      <x:c r="B464" s="88"/>
      <x:c r="D464" s="32"/>
      <x:c r="I464" s="74"/>
      <x:c r="J464" s="74"/>
      <x:c r="K464" s="74"/>
      <x:c r="L464" s="74"/>
      <x:c r="M464" s="74"/>
      <x:c r="N464" s="74"/>
      <x:c r="O464" s="91"/>
      <x:c r="P464" s="91"/>
      <x:c r="Q464" s="85"/>
      <x:c r="R464" s="85"/>
      <x:c r="S464" s="85"/>
      <x:c r="T464" s="85"/>
      <x:c r="U464" s="85"/>
      <x:c r="V464" s="85"/>
      <x:c r="W464" s="85"/>
      <x:c r="Y464" s="86"/>
      <x:c r="Z464" s="86"/>
      <x:c r="AA464" s="32"/>
    </x:row>
    <x:row r="465">
      <x:c r="A465" s="87"/>
      <x:c r="B465" s="88"/>
      <x:c r="D465" s="32"/>
      <x:c r="I465" s="74"/>
      <x:c r="J465" s="74"/>
      <x:c r="K465" s="74"/>
      <x:c r="L465" s="74"/>
      <x:c r="M465" s="74"/>
      <x:c r="N465" s="74"/>
      <x:c r="O465" s="91"/>
      <x:c r="P465" s="91"/>
      <x:c r="Q465" s="85"/>
      <x:c r="R465" s="85"/>
      <x:c r="S465" s="85"/>
      <x:c r="T465" s="85"/>
      <x:c r="U465" s="85"/>
      <x:c r="V465" s="85"/>
      <x:c r="W465" s="85"/>
      <x:c r="Y465" s="86"/>
      <x:c r="Z465" s="86"/>
      <x:c r="AA465" s="32"/>
    </x:row>
    <x:row r="466">
      <x:c r="A466" s="87"/>
      <x:c r="B466" s="88"/>
      <x:c r="D466" s="32"/>
      <x:c r="I466" s="74"/>
      <x:c r="J466" s="74"/>
      <x:c r="K466" s="74"/>
      <x:c r="L466" s="74"/>
      <x:c r="M466" s="74"/>
      <x:c r="N466" s="74"/>
      <x:c r="O466" s="91"/>
      <x:c r="P466" s="91"/>
      <x:c r="Q466" s="85"/>
      <x:c r="R466" s="85"/>
      <x:c r="S466" s="85"/>
      <x:c r="T466" s="85"/>
      <x:c r="U466" s="85"/>
      <x:c r="V466" s="85"/>
      <x:c r="W466" s="85"/>
      <x:c r="Y466" s="86"/>
      <x:c r="Z466" s="86"/>
      <x:c r="AA466" s="32"/>
    </x:row>
    <x:row r="467">
      <x:c r="A467" s="87"/>
      <x:c r="B467" s="88"/>
      <x:c r="D467" s="32"/>
      <x:c r="I467" s="74"/>
      <x:c r="J467" s="74"/>
      <x:c r="K467" s="74"/>
      <x:c r="L467" s="74"/>
      <x:c r="M467" s="74"/>
      <x:c r="N467" s="74"/>
      <x:c r="O467" s="91"/>
      <x:c r="P467" s="91"/>
      <x:c r="Q467" s="85"/>
      <x:c r="R467" s="85"/>
      <x:c r="S467" s="85"/>
      <x:c r="T467" s="85"/>
      <x:c r="U467" s="85"/>
      <x:c r="V467" s="85"/>
      <x:c r="W467" s="85"/>
      <x:c r="Y467" s="86"/>
      <x:c r="Z467" s="86"/>
      <x:c r="AA467" s="32"/>
    </x:row>
    <x:row r="468">
      <x:c r="A468" s="87"/>
      <x:c r="B468" s="88"/>
      <x:c r="D468" s="32"/>
      <x:c r="I468" s="74"/>
      <x:c r="J468" s="74"/>
      <x:c r="K468" s="74"/>
      <x:c r="L468" s="74"/>
      <x:c r="M468" s="74"/>
      <x:c r="N468" s="74"/>
      <x:c r="O468" s="91"/>
      <x:c r="P468" s="91"/>
      <x:c r="Q468" s="85"/>
      <x:c r="R468" s="85"/>
      <x:c r="S468" s="85"/>
      <x:c r="T468" s="85"/>
      <x:c r="U468" s="85"/>
      <x:c r="V468" s="85"/>
      <x:c r="W468" s="85"/>
      <x:c r="Y468" s="86"/>
      <x:c r="Z468" s="86"/>
      <x:c r="AA468" s="32"/>
    </x:row>
    <x:row r="469">
      <x:c r="A469" s="87"/>
      <x:c r="B469" s="88"/>
      <x:c r="D469" s="32"/>
      <x:c r="I469" s="74"/>
      <x:c r="J469" s="74"/>
      <x:c r="K469" s="74"/>
      <x:c r="L469" s="74"/>
      <x:c r="M469" s="74"/>
      <x:c r="N469" s="74"/>
      <x:c r="O469" s="91"/>
      <x:c r="P469" s="91"/>
      <x:c r="Q469" s="85"/>
      <x:c r="R469" s="85"/>
      <x:c r="S469" s="85"/>
      <x:c r="T469" s="85"/>
      <x:c r="U469" s="85"/>
      <x:c r="V469" s="85"/>
      <x:c r="W469" s="85"/>
      <x:c r="Y469" s="86"/>
      <x:c r="Z469" s="86"/>
      <x:c r="AA469" s="32"/>
    </x:row>
    <x:row r="470">
      <x:c r="A470" s="87"/>
      <x:c r="B470" s="88"/>
      <x:c r="D470" s="32"/>
      <x:c r="I470" s="74"/>
      <x:c r="J470" s="74"/>
      <x:c r="K470" s="74"/>
      <x:c r="L470" s="74"/>
      <x:c r="M470" s="74"/>
      <x:c r="N470" s="74"/>
      <x:c r="O470" s="91"/>
      <x:c r="P470" s="91"/>
      <x:c r="Q470" s="85"/>
      <x:c r="R470" s="85"/>
      <x:c r="S470" s="85"/>
      <x:c r="T470" s="85"/>
      <x:c r="U470" s="85"/>
      <x:c r="V470" s="85"/>
      <x:c r="W470" s="85"/>
      <x:c r="Y470" s="86"/>
      <x:c r="Z470" s="86"/>
      <x:c r="AA470" s="32"/>
    </x:row>
    <x:row r="471">
      <x:c r="A471" s="87"/>
      <x:c r="B471" s="88"/>
      <x:c r="D471" s="32"/>
      <x:c r="I471" s="74"/>
      <x:c r="J471" s="74"/>
      <x:c r="K471" s="74"/>
      <x:c r="L471" s="74"/>
      <x:c r="M471" s="74"/>
      <x:c r="N471" s="74"/>
      <x:c r="O471" s="91"/>
      <x:c r="P471" s="91"/>
      <x:c r="Q471" s="85"/>
      <x:c r="R471" s="85"/>
      <x:c r="S471" s="85"/>
      <x:c r="T471" s="85"/>
      <x:c r="U471" s="85"/>
      <x:c r="V471" s="85"/>
      <x:c r="W471" s="85"/>
      <x:c r="Y471" s="86"/>
      <x:c r="Z471" s="86"/>
      <x:c r="AA471" s="32"/>
    </x:row>
    <x:row r="472">
      <x:c r="A472" s="87"/>
      <x:c r="B472" s="88"/>
      <x:c r="D472" s="32"/>
      <x:c r="I472" s="74"/>
      <x:c r="J472" s="74"/>
      <x:c r="K472" s="74"/>
      <x:c r="L472" s="74"/>
      <x:c r="M472" s="74"/>
      <x:c r="N472" s="74"/>
      <x:c r="O472" s="91"/>
      <x:c r="P472" s="91"/>
      <x:c r="Q472" s="85"/>
      <x:c r="R472" s="85"/>
      <x:c r="S472" s="85"/>
      <x:c r="T472" s="85"/>
      <x:c r="U472" s="85"/>
      <x:c r="V472" s="85"/>
      <x:c r="W472" s="85"/>
      <x:c r="Y472" s="86"/>
      <x:c r="Z472" s="86"/>
      <x:c r="AA472" s="32"/>
    </x:row>
    <x:row r="473">
      <x:c r="A473" s="87"/>
      <x:c r="B473" s="88"/>
      <x:c r="D473" s="32"/>
      <x:c r="I473" s="74"/>
      <x:c r="J473" s="74"/>
      <x:c r="K473" s="74"/>
      <x:c r="L473" s="74"/>
      <x:c r="M473" s="74"/>
      <x:c r="N473" s="74"/>
      <x:c r="O473" s="91"/>
      <x:c r="P473" s="91"/>
      <x:c r="Q473" s="85"/>
      <x:c r="R473" s="85"/>
      <x:c r="S473" s="85"/>
      <x:c r="T473" s="85"/>
      <x:c r="U473" s="85"/>
      <x:c r="V473" s="85"/>
      <x:c r="W473" s="85"/>
      <x:c r="Y473" s="86"/>
      <x:c r="Z473" s="86"/>
      <x:c r="AA473" s="32"/>
    </x:row>
    <x:row r="474">
      <x:c r="A474" s="87"/>
      <x:c r="B474" s="88"/>
      <x:c r="D474" s="32"/>
      <x:c r="I474" s="74"/>
      <x:c r="J474" s="74"/>
      <x:c r="K474" s="74"/>
      <x:c r="L474" s="74"/>
      <x:c r="M474" s="74"/>
      <x:c r="N474" s="74"/>
      <x:c r="O474" s="91"/>
      <x:c r="P474" s="91"/>
      <x:c r="Q474" s="85"/>
      <x:c r="R474" s="85"/>
      <x:c r="S474" s="85"/>
      <x:c r="T474" s="85"/>
      <x:c r="U474" s="85"/>
      <x:c r="V474" s="85"/>
      <x:c r="W474" s="85"/>
      <x:c r="Y474" s="86"/>
      <x:c r="Z474" s="86"/>
      <x:c r="AA474" s="32"/>
    </x:row>
    <x:row r="475">
      <x:c r="A475" s="87"/>
      <x:c r="B475" s="88"/>
      <x:c r="D475" s="32"/>
      <x:c r="I475" s="74"/>
      <x:c r="J475" s="74"/>
      <x:c r="K475" s="74"/>
      <x:c r="L475" s="74"/>
      <x:c r="M475" s="74"/>
      <x:c r="N475" s="74"/>
      <x:c r="O475" s="91"/>
      <x:c r="P475" s="91"/>
      <x:c r="Q475" s="85"/>
      <x:c r="R475" s="85"/>
      <x:c r="S475" s="85"/>
      <x:c r="T475" s="85"/>
      <x:c r="U475" s="85"/>
      <x:c r="V475" s="85"/>
      <x:c r="W475" s="85"/>
      <x:c r="Y475" s="86"/>
      <x:c r="Z475" s="86"/>
      <x:c r="AA475" s="32"/>
    </x:row>
    <x:row r="476">
      <x:c r="A476" s="87"/>
      <x:c r="B476" s="88"/>
      <x:c r="D476" s="32"/>
      <x:c r="I476" s="74"/>
      <x:c r="J476" s="74"/>
      <x:c r="K476" s="74"/>
      <x:c r="L476" s="74"/>
      <x:c r="M476" s="74"/>
      <x:c r="N476" s="74"/>
      <x:c r="O476" s="91"/>
      <x:c r="P476" s="91"/>
      <x:c r="Q476" s="85"/>
      <x:c r="R476" s="85"/>
      <x:c r="S476" s="85"/>
      <x:c r="T476" s="85"/>
      <x:c r="U476" s="85"/>
      <x:c r="V476" s="85"/>
      <x:c r="W476" s="85"/>
      <x:c r="Y476" s="86"/>
      <x:c r="Z476" s="86"/>
      <x:c r="AA476" s="32"/>
    </x:row>
    <x:row r="477">
      <x:c r="A477" s="87"/>
      <x:c r="B477" s="88"/>
      <x:c r="D477" s="32"/>
      <x:c r="I477" s="74"/>
      <x:c r="J477" s="74"/>
      <x:c r="K477" s="74"/>
      <x:c r="L477" s="74"/>
      <x:c r="M477" s="74"/>
      <x:c r="N477" s="74"/>
      <x:c r="O477" s="91"/>
      <x:c r="P477" s="91"/>
      <x:c r="Q477" s="85"/>
      <x:c r="R477" s="85"/>
      <x:c r="S477" s="85"/>
      <x:c r="T477" s="85"/>
      <x:c r="U477" s="85"/>
      <x:c r="V477" s="85"/>
      <x:c r="W477" s="85"/>
      <x:c r="Y477" s="86"/>
      <x:c r="Z477" s="86"/>
      <x:c r="AA477" s="32"/>
    </x:row>
    <x:row r="478">
      <x:c r="A478" s="87"/>
      <x:c r="B478" s="88"/>
      <x:c r="D478" s="32"/>
      <x:c r="I478" s="74"/>
      <x:c r="J478" s="74"/>
      <x:c r="K478" s="74"/>
      <x:c r="L478" s="74"/>
      <x:c r="M478" s="74"/>
      <x:c r="N478" s="74"/>
      <x:c r="O478" s="91"/>
      <x:c r="P478" s="91"/>
      <x:c r="Q478" s="85"/>
      <x:c r="R478" s="85"/>
      <x:c r="S478" s="85"/>
      <x:c r="T478" s="85"/>
      <x:c r="U478" s="85"/>
      <x:c r="V478" s="85"/>
      <x:c r="W478" s="85"/>
      <x:c r="Y478" s="86"/>
      <x:c r="Z478" s="86"/>
      <x:c r="AA478" s="32"/>
    </x:row>
    <x:row r="479">
      <x:c r="A479" s="87"/>
      <x:c r="B479" s="88"/>
      <x:c r="D479" s="32"/>
      <x:c r="I479" s="74"/>
      <x:c r="J479" s="74"/>
      <x:c r="K479" s="74"/>
      <x:c r="L479" s="74"/>
      <x:c r="M479" s="74"/>
      <x:c r="N479" s="74"/>
      <x:c r="O479" s="91"/>
      <x:c r="P479" s="91"/>
      <x:c r="Q479" s="85"/>
      <x:c r="R479" s="85"/>
      <x:c r="S479" s="85"/>
      <x:c r="T479" s="85"/>
      <x:c r="U479" s="85"/>
      <x:c r="V479" s="85"/>
      <x:c r="W479" s="85"/>
      <x:c r="Y479" s="86"/>
      <x:c r="Z479" s="86"/>
      <x:c r="AA479" s="32"/>
    </x:row>
    <x:row r="480">
      <x:c r="A480" s="87"/>
      <x:c r="B480" s="88"/>
      <x:c r="D480" s="32"/>
      <x:c r="I480" s="74"/>
      <x:c r="J480" s="74"/>
      <x:c r="K480" s="74"/>
      <x:c r="L480" s="74"/>
      <x:c r="M480" s="74"/>
      <x:c r="N480" s="74"/>
      <x:c r="O480" s="91"/>
      <x:c r="P480" s="91"/>
      <x:c r="Q480" s="85"/>
      <x:c r="R480" s="85"/>
      <x:c r="S480" s="85"/>
      <x:c r="T480" s="85"/>
      <x:c r="U480" s="85"/>
      <x:c r="V480" s="85"/>
      <x:c r="W480" s="85"/>
      <x:c r="Y480" s="86"/>
      <x:c r="Z480" s="86"/>
      <x:c r="AA480" s="32"/>
    </x:row>
    <x:row r="481">
      <x:c r="A481" s="87"/>
      <x:c r="B481" s="88"/>
      <x:c r="D481" s="32"/>
      <x:c r="I481" s="74"/>
      <x:c r="J481" s="74"/>
      <x:c r="K481" s="74"/>
      <x:c r="L481" s="74"/>
      <x:c r="M481" s="74"/>
      <x:c r="N481" s="74"/>
      <x:c r="O481" s="91"/>
      <x:c r="P481" s="91"/>
      <x:c r="Q481" s="85"/>
      <x:c r="R481" s="85"/>
      <x:c r="S481" s="85"/>
      <x:c r="T481" s="85"/>
      <x:c r="U481" s="85"/>
      <x:c r="V481" s="85"/>
      <x:c r="W481" s="85"/>
      <x:c r="Y481" s="86"/>
      <x:c r="Z481" s="86"/>
      <x:c r="AA481" s="32"/>
    </x:row>
    <x:row r="482">
      <x:c r="A482" s="87"/>
      <x:c r="B482" s="88"/>
      <x:c r="D482" s="32"/>
      <x:c r="I482" s="74"/>
      <x:c r="J482" s="74"/>
      <x:c r="K482" s="74"/>
      <x:c r="L482" s="74"/>
      <x:c r="M482" s="74"/>
      <x:c r="N482" s="74"/>
      <x:c r="O482" s="91"/>
      <x:c r="P482" s="91"/>
      <x:c r="Q482" s="85"/>
      <x:c r="R482" s="85"/>
      <x:c r="S482" s="85"/>
      <x:c r="T482" s="85"/>
      <x:c r="U482" s="85"/>
      <x:c r="V482" s="85"/>
      <x:c r="W482" s="85"/>
      <x:c r="Y482" s="86"/>
      <x:c r="Z482" s="86"/>
      <x:c r="AA482" s="32"/>
    </x:row>
    <x:row r="483">
      <x:c r="A483" s="87"/>
      <x:c r="B483" s="88"/>
      <x:c r="D483" s="32"/>
      <x:c r="I483" s="74"/>
      <x:c r="J483" s="74"/>
      <x:c r="K483" s="74"/>
      <x:c r="L483" s="74"/>
      <x:c r="M483" s="74"/>
      <x:c r="N483" s="74"/>
      <x:c r="O483" s="91"/>
      <x:c r="P483" s="91"/>
      <x:c r="Q483" s="85"/>
      <x:c r="R483" s="85"/>
      <x:c r="S483" s="85"/>
      <x:c r="T483" s="85"/>
      <x:c r="U483" s="85"/>
      <x:c r="V483" s="85"/>
      <x:c r="W483" s="85"/>
      <x:c r="Y483" s="86"/>
      <x:c r="Z483" s="86"/>
      <x:c r="AA483" s="32"/>
    </x:row>
    <x:row r="484">
      <x:c r="A484" s="87"/>
      <x:c r="B484" s="88"/>
      <x:c r="D484" s="32"/>
      <x:c r="I484" s="74"/>
      <x:c r="J484" s="74"/>
      <x:c r="K484" s="74"/>
      <x:c r="L484" s="74"/>
      <x:c r="M484" s="74"/>
      <x:c r="N484" s="74"/>
      <x:c r="O484" s="91"/>
      <x:c r="P484" s="91"/>
      <x:c r="Q484" s="85"/>
      <x:c r="R484" s="85"/>
      <x:c r="S484" s="85"/>
      <x:c r="T484" s="85"/>
      <x:c r="U484" s="85"/>
      <x:c r="V484" s="85"/>
      <x:c r="W484" s="85"/>
      <x:c r="Y484" s="86"/>
      <x:c r="Z484" s="86"/>
      <x:c r="AA484" s="32"/>
    </x:row>
    <x:row r="485">
      <x:c r="A485" s="87"/>
      <x:c r="B485" s="88"/>
      <x:c r="D485" s="32"/>
      <x:c r="I485" s="74"/>
      <x:c r="J485" s="74"/>
      <x:c r="K485" s="74"/>
      <x:c r="L485" s="74"/>
      <x:c r="M485" s="74"/>
      <x:c r="N485" s="74"/>
      <x:c r="O485" s="91"/>
      <x:c r="P485" s="91"/>
      <x:c r="Q485" s="85"/>
      <x:c r="R485" s="85"/>
      <x:c r="S485" s="85"/>
      <x:c r="T485" s="85"/>
      <x:c r="U485" s="85"/>
      <x:c r="V485" s="85"/>
      <x:c r="W485" s="85"/>
      <x:c r="Y485" s="86"/>
      <x:c r="Z485" s="86"/>
      <x:c r="AA485" s="32"/>
    </x:row>
    <x:row r="486">
      <x:c r="A486" s="87"/>
      <x:c r="B486" s="88"/>
      <x:c r="D486" s="32"/>
      <x:c r="I486" s="74"/>
      <x:c r="J486" s="74"/>
      <x:c r="K486" s="74"/>
      <x:c r="L486" s="74"/>
      <x:c r="M486" s="74"/>
      <x:c r="N486" s="74"/>
      <x:c r="O486" s="91"/>
      <x:c r="P486" s="91"/>
      <x:c r="Q486" s="85"/>
      <x:c r="R486" s="85"/>
      <x:c r="S486" s="85"/>
      <x:c r="T486" s="85"/>
      <x:c r="U486" s="85"/>
      <x:c r="V486" s="85"/>
      <x:c r="W486" s="85"/>
      <x:c r="Y486" s="86"/>
      <x:c r="Z486" s="86"/>
      <x:c r="AA486" s="32"/>
    </x:row>
    <x:row r="487">
      <x:c r="A487" s="87"/>
      <x:c r="B487" s="88"/>
      <x:c r="D487" s="32"/>
      <x:c r="I487" s="74"/>
      <x:c r="J487" s="74"/>
      <x:c r="K487" s="74"/>
      <x:c r="L487" s="74"/>
      <x:c r="M487" s="74"/>
      <x:c r="N487" s="74"/>
      <x:c r="O487" s="91"/>
      <x:c r="P487" s="91"/>
      <x:c r="Q487" s="85"/>
      <x:c r="R487" s="85"/>
      <x:c r="S487" s="85"/>
      <x:c r="T487" s="85"/>
      <x:c r="U487" s="85"/>
      <x:c r="V487" s="85"/>
      <x:c r="W487" s="85"/>
      <x:c r="Y487" s="86"/>
      <x:c r="Z487" s="86"/>
      <x:c r="AA487" s="32"/>
    </x:row>
    <x:row r="488">
      <x:c r="A488" s="87"/>
      <x:c r="B488" s="88"/>
      <x:c r="D488" s="32"/>
      <x:c r="I488" s="74"/>
      <x:c r="J488" s="74"/>
      <x:c r="K488" s="74"/>
      <x:c r="L488" s="74"/>
      <x:c r="M488" s="74"/>
      <x:c r="N488" s="74"/>
      <x:c r="O488" s="91"/>
      <x:c r="P488" s="91"/>
      <x:c r="Q488" s="85"/>
      <x:c r="R488" s="85"/>
      <x:c r="S488" s="85"/>
      <x:c r="T488" s="85"/>
      <x:c r="U488" s="85"/>
      <x:c r="V488" s="85"/>
      <x:c r="W488" s="85"/>
      <x:c r="Y488" s="86"/>
      <x:c r="Z488" s="86"/>
      <x:c r="AA488" s="32"/>
    </x:row>
    <x:row r="489">
      <x:c r="A489" s="87"/>
      <x:c r="B489" s="88"/>
      <x:c r="D489" s="32"/>
      <x:c r="I489" s="74"/>
      <x:c r="J489" s="74"/>
      <x:c r="K489" s="74"/>
      <x:c r="L489" s="74"/>
      <x:c r="M489" s="74"/>
      <x:c r="N489" s="74"/>
      <x:c r="O489" s="91"/>
      <x:c r="P489" s="91"/>
      <x:c r="Q489" s="85"/>
      <x:c r="R489" s="85"/>
      <x:c r="S489" s="85"/>
      <x:c r="T489" s="85"/>
      <x:c r="U489" s="85"/>
      <x:c r="V489" s="85"/>
      <x:c r="W489" s="85"/>
      <x:c r="Y489" s="86"/>
      <x:c r="Z489" s="86"/>
      <x:c r="AA489" s="32"/>
    </x:row>
    <x:row r="490">
      <x:c r="A490" s="87"/>
      <x:c r="B490" s="88"/>
      <x:c r="D490" s="32"/>
      <x:c r="I490" s="74"/>
      <x:c r="J490" s="74"/>
      <x:c r="K490" s="74"/>
      <x:c r="L490" s="74"/>
      <x:c r="M490" s="74"/>
      <x:c r="N490" s="74"/>
      <x:c r="O490" s="91"/>
      <x:c r="P490" s="91"/>
      <x:c r="Q490" s="85"/>
      <x:c r="R490" s="85"/>
      <x:c r="S490" s="85"/>
      <x:c r="T490" s="85"/>
      <x:c r="U490" s="85"/>
      <x:c r="V490" s="85"/>
      <x:c r="W490" s="85"/>
      <x:c r="Y490" s="86"/>
      <x:c r="Z490" s="86"/>
      <x:c r="AA490" s="32"/>
    </x:row>
    <x:row r="491">
      <x:c r="A491" s="87"/>
      <x:c r="B491" s="88"/>
      <x:c r="D491" s="32"/>
      <x:c r="I491" s="74"/>
      <x:c r="J491" s="74"/>
      <x:c r="K491" s="74"/>
      <x:c r="L491" s="74"/>
      <x:c r="M491" s="74"/>
      <x:c r="N491" s="74"/>
      <x:c r="O491" s="91"/>
      <x:c r="P491" s="91"/>
      <x:c r="Q491" s="85"/>
      <x:c r="R491" s="85"/>
      <x:c r="S491" s="85"/>
      <x:c r="T491" s="85"/>
      <x:c r="U491" s="85"/>
      <x:c r="V491" s="85"/>
      <x:c r="W491" s="85"/>
      <x:c r="Y491" s="86"/>
      <x:c r="Z491" s="86"/>
      <x:c r="AA491" s="32"/>
    </x:row>
    <x:row r="492">
      <x:c r="A492" s="87"/>
      <x:c r="B492" s="88"/>
      <x:c r="D492" s="32"/>
      <x:c r="I492" s="74"/>
      <x:c r="J492" s="74"/>
      <x:c r="K492" s="74"/>
      <x:c r="L492" s="74"/>
      <x:c r="M492" s="74"/>
      <x:c r="N492" s="74"/>
      <x:c r="O492" s="91"/>
      <x:c r="P492" s="91"/>
      <x:c r="Q492" s="85"/>
      <x:c r="R492" s="85"/>
      <x:c r="S492" s="85"/>
      <x:c r="T492" s="85"/>
      <x:c r="U492" s="85"/>
      <x:c r="V492" s="85"/>
      <x:c r="W492" s="85"/>
      <x:c r="Y492" s="86"/>
      <x:c r="Z492" s="86"/>
      <x:c r="AA492" s="32"/>
    </x:row>
    <x:row r="493">
      <x:c r="A493" s="87"/>
      <x:c r="B493" s="88"/>
      <x:c r="D493" s="32"/>
      <x:c r="I493" s="74"/>
      <x:c r="J493" s="74"/>
      <x:c r="K493" s="74"/>
      <x:c r="L493" s="74"/>
      <x:c r="M493" s="74"/>
      <x:c r="N493" s="74"/>
      <x:c r="O493" s="91"/>
      <x:c r="P493" s="91"/>
      <x:c r="Q493" s="85"/>
      <x:c r="R493" s="85"/>
      <x:c r="S493" s="85"/>
      <x:c r="T493" s="85"/>
      <x:c r="U493" s="85"/>
      <x:c r="V493" s="85"/>
      <x:c r="W493" s="85"/>
      <x:c r="Y493" s="86"/>
      <x:c r="Z493" s="86"/>
      <x:c r="AA493" s="32"/>
    </x:row>
    <x:row r="494">
      <x:c r="A494" s="87"/>
      <x:c r="B494" s="88"/>
      <x:c r="D494" s="32"/>
      <x:c r="I494" s="74"/>
      <x:c r="J494" s="74"/>
      <x:c r="K494" s="74"/>
      <x:c r="L494" s="74"/>
      <x:c r="M494" s="74"/>
      <x:c r="N494" s="74"/>
      <x:c r="O494" s="91"/>
      <x:c r="P494" s="91"/>
      <x:c r="Q494" s="85"/>
      <x:c r="R494" s="85"/>
      <x:c r="S494" s="85"/>
      <x:c r="T494" s="85"/>
      <x:c r="U494" s="85"/>
      <x:c r="V494" s="85"/>
      <x:c r="W494" s="85"/>
      <x:c r="Y494" s="86"/>
      <x:c r="Z494" s="86"/>
      <x:c r="AA494" s="32"/>
    </x:row>
    <x:row r="495">
      <x:c r="A495" s="87"/>
      <x:c r="B495" s="88"/>
      <x:c r="D495" s="32"/>
      <x:c r="I495" s="74"/>
      <x:c r="J495" s="74"/>
      <x:c r="K495" s="74"/>
      <x:c r="L495" s="74"/>
      <x:c r="M495" s="74"/>
      <x:c r="N495" s="74"/>
      <x:c r="O495" s="91"/>
      <x:c r="P495" s="91"/>
      <x:c r="Q495" s="85"/>
      <x:c r="R495" s="85"/>
      <x:c r="S495" s="85"/>
      <x:c r="T495" s="85"/>
      <x:c r="U495" s="85"/>
      <x:c r="V495" s="85"/>
      <x:c r="W495" s="85"/>
      <x:c r="Y495" s="86"/>
      <x:c r="Z495" s="86"/>
      <x:c r="AA495" s="32"/>
    </x:row>
    <x:row r="496">
      <x:c r="A496" s="87"/>
      <x:c r="B496" s="88"/>
      <x:c r="D496" s="32"/>
      <x:c r="I496" s="74"/>
      <x:c r="J496" s="74"/>
      <x:c r="K496" s="74"/>
      <x:c r="L496" s="74"/>
      <x:c r="M496" s="74"/>
      <x:c r="N496" s="74"/>
      <x:c r="O496" s="91"/>
      <x:c r="P496" s="91"/>
      <x:c r="Q496" s="85"/>
      <x:c r="R496" s="85"/>
      <x:c r="S496" s="85"/>
      <x:c r="T496" s="85"/>
      <x:c r="U496" s="85"/>
      <x:c r="V496" s="85"/>
      <x:c r="W496" s="85"/>
      <x:c r="Y496" s="86"/>
      <x:c r="Z496" s="86"/>
      <x:c r="AA496" s="32"/>
    </x:row>
    <x:row r="497">
      <x:c r="A497" s="87"/>
      <x:c r="B497" s="88"/>
      <x:c r="D497" s="32"/>
      <x:c r="I497" s="74"/>
      <x:c r="J497" s="74"/>
      <x:c r="K497" s="74"/>
      <x:c r="L497" s="74"/>
      <x:c r="M497" s="74"/>
      <x:c r="N497" s="74"/>
      <x:c r="O497" s="91"/>
      <x:c r="P497" s="91"/>
      <x:c r="Q497" s="85"/>
      <x:c r="R497" s="85"/>
      <x:c r="S497" s="85"/>
      <x:c r="T497" s="85"/>
      <x:c r="U497" s="85"/>
      <x:c r="V497" s="85"/>
      <x:c r="W497" s="85"/>
      <x:c r="Y497" s="86"/>
      <x:c r="Z497" s="86"/>
      <x:c r="AA497" s="32"/>
    </x:row>
    <x:row r="498">
      <x:c r="A498" s="87"/>
      <x:c r="B498" s="88"/>
      <x:c r="D498" s="32"/>
      <x:c r="I498" s="74"/>
      <x:c r="J498" s="74"/>
      <x:c r="K498" s="74"/>
      <x:c r="L498" s="74"/>
      <x:c r="M498" s="74"/>
      <x:c r="N498" s="74"/>
      <x:c r="O498" s="91"/>
      <x:c r="P498" s="91"/>
      <x:c r="Q498" s="85"/>
      <x:c r="R498" s="85"/>
      <x:c r="S498" s="85"/>
      <x:c r="T498" s="85"/>
      <x:c r="U498" s="85"/>
      <x:c r="V498" s="85"/>
      <x:c r="W498" s="85"/>
      <x:c r="Y498" s="86"/>
      <x:c r="Z498" s="86"/>
      <x:c r="AA498" s="32"/>
    </x:row>
    <x:row r="499">
      <x:c r="A499" s="87"/>
      <x:c r="B499" s="88"/>
      <x:c r="D499" s="32"/>
      <x:c r="I499" s="74"/>
      <x:c r="J499" s="74"/>
      <x:c r="K499" s="74"/>
      <x:c r="L499" s="74"/>
      <x:c r="M499" s="74"/>
      <x:c r="N499" s="74"/>
      <x:c r="O499" s="91"/>
      <x:c r="P499" s="91"/>
      <x:c r="Q499" s="85"/>
      <x:c r="R499" s="85"/>
      <x:c r="S499" s="85"/>
      <x:c r="T499" s="85"/>
      <x:c r="U499" s="85"/>
      <x:c r="V499" s="85"/>
      <x:c r="W499" s="85"/>
      <x:c r="Y499" s="86"/>
      <x:c r="Z499" s="86"/>
      <x:c r="AA499" s="32"/>
    </x:row>
    <x:row r="500">
      <x:c r="A500" s="87"/>
      <x:c r="B500" s="88"/>
      <x:c r="D500" s="32"/>
      <x:c r="I500" s="74"/>
      <x:c r="J500" s="74"/>
      <x:c r="K500" s="74"/>
      <x:c r="L500" s="74"/>
      <x:c r="M500" s="74"/>
      <x:c r="N500" s="74"/>
      <x:c r="O500" s="91"/>
      <x:c r="P500" s="91"/>
      <x:c r="Q500" s="85"/>
      <x:c r="R500" s="85"/>
      <x:c r="S500" s="85"/>
      <x:c r="T500" s="85"/>
      <x:c r="U500" s="85"/>
      <x:c r="V500" s="85"/>
      <x:c r="W500" s="85"/>
      <x:c r="Y500" s="86"/>
      <x:c r="Z500" s="86"/>
      <x:c r="AA500" s="32"/>
    </x:row>
    <x:row r="501">
      <x:c r="A501" s="87"/>
      <x:c r="B501" s="88"/>
      <x:c r="D501" s="32"/>
      <x:c r="I501" s="74"/>
      <x:c r="J501" s="74"/>
      <x:c r="K501" s="74"/>
      <x:c r="L501" s="74"/>
      <x:c r="M501" s="74"/>
      <x:c r="N501" s="74"/>
      <x:c r="O501" s="91"/>
      <x:c r="P501" s="91"/>
      <x:c r="Q501" s="85"/>
      <x:c r="R501" s="85"/>
      <x:c r="S501" s="85"/>
      <x:c r="T501" s="85"/>
      <x:c r="U501" s="85"/>
      <x:c r="V501" s="85"/>
      <x:c r="W501" s="85"/>
      <x:c r="Y501" s="86"/>
      <x:c r="Z501" s="86"/>
      <x:c r="AA501" s="32"/>
    </x:row>
    <x:row r="502">
      <x:c r="A502" s="87"/>
      <x:c r="B502" s="88"/>
      <x:c r="D502" s="32"/>
      <x:c r="I502" s="74"/>
      <x:c r="J502" s="74"/>
      <x:c r="K502" s="74"/>
      <x:c r="L502" s="74"/>
      <x:c r="M502" s="74"/>
      <x:c r="N502" s="74"/>
      <x:c r="O502" s="91"/>
      <x:c r="P502" s="91"/>
      <x:c r="Q502" s="85"/>
      <x:c r="R502" s="85"/>
      <x:c r="S502" s="85"/>
      <x:c r="T502" s="85"/>
      <x:c r="U502" s="85"/>
      <x:c r="V502" s="85"/>
      <x:c r="W502" s="85"/>
      <x:c r="Y502" s="86"/>
      <x:c r="Z502" s="86"/>
      <x:c r="AA502" s="32"/>
    </x:row>
    <x:row r="503">
      <x:c r="A503" s="87"/>
      <x:c r="B503" s="88"/>
      <x:c r="D503" s="32"/>
      <x:c r="I503" s="74"/>
      <x:c r="J503" s="74"/>
      <x:c r="K503" s="74"/>
      <x:c r="L503" s="74"/>
      <x:c r="M503" s="74"/>
      <x:c r="N503" s="74"/>
      <x:c r="O503" s="91"/>
      <x:c r="P503" s="91"/>
      <x:c r="Q503" s="85"/>
      <x:c r="R503" s="85"/>
      <x:c r="S503" s="85"/>
      <x:c r="T503" s="85"/>
      <x:c r="U503" s="85"/>
      <x:c r="V503" s="85"/>
      <x:c r="W503" s="85"/>
      <x:c r="Y503" s="86"/>
      <x:c r="Z503" s="86"/>
      <x:c r="AA503" s="32"/>
    </x:row>
    <x:row r="504">
      <x:c r="A504" s="87"/>
      <x:c r="B504" s="88"/>
      <x:c r="D504" s="32"/>
      <x:c r="I504" s="74"/>
      <x:c r="J504" s="74"/>
      <x:c r="K504" s="74"/>
      <x:c r="L504" s="74"/>
      <x:c r="M504" s="74"/>
      <x:c r="N504" s="74"/>
      <x:c r="O504" s="91"/>
      <x:c r="P504" s="91"/>
      <x:c r="Q504" s="85"/>
      <x:c r="R504" s="85"/>
      <x:c r="S504" s="85"/>
      <x:c r="T504" s="85"/>
      <x:c r="U504" s="85"/>
      <x:c r="V504" s="85"/>
      <x:c r="W504" s="85"/>
      <x:c r="Y504" s="86"/>
      <x:c r="Z504" s="86"/>
      <x:c r="AA504" s="32"/>
    </x:row>
    <x:row r="505">
      <x:c r="A505" s="87"/>
      <x:c r="B505" s="88"/>
      <x:c r="D505" s="32"/>
      <x:c r="I505" s="74"/>
      <x:c r="J505" s="74"/>
      <x:c r="K505" s="74"/>
      <x:c r="L505" s="74"/>
      <x:c r="M505" s="74"/>
      <x:c r="N505" s="74"/>
      <x:c r="O505" s="91"/>
      <x:c r="P505" s="91"/>
      <x:c r="Q505" s="85"/>
      <x:c r="R505" s="85"/>
      <x:c r="S505" s="85"/>
      <x:c r="T505" s="85"/>
      <x:c r="U505" s="85"/>
      <x:c r="V505" s="85"/>
      <x:c r="W505" s="85"/>
      <x:c r="Y505" s="86"/>
      <x:c r="Z505" s="86"/>
      <x:c r="AA505" s="32"/>
    </x:row>
    <x:row r="506">
      <x:c r="A506" s="87"/>
      <x:c r="B506" s="88"/>
      <x:c r="D506" s="32"/>
      <x:c r="I506" s="74"/>
      <x:c r="J506" s="74"/>
      <x:c r="K506" s="74"/>
      <x:c r="L506" s="74"/>
      <x:c r="M506" s="74"/>
      <x:c r="N506" s="74"/>
      <x:c r="O506" s="91"/>
      <x:c r="P506" s="91"/>
      <x:c r="Q506" s="85"/>
      <x:c r="R506" s="85"/>
      <x:c r="S506" s="85"/>
      <x:c r="T506" s="85"/>
      <x:c r="U506" s="85"/>
      <x:c r="V506" s="85"/>
      <x:c r="W506" s="85"/>
      <x:c r="Y506" s="86"/>
      <x:c r="Z506" s="86"/>
      <x:c r="AA506" s="32"/>
    </x:row>
    <x:row r="507">
      <x:c r="A507" s="87"/>
      <x:c r="B507" s="88"/>
      <x:c r="D507" s="32"/>
      <x:c r="I507" s="74"/>
      <x:c r="J507" s="74"/>
      <x:c r="K507" s="74"/>
      <x:c r="L507" s="74"/>
      <x:c r="M507" s="74"/>
      <x:c r="N507" s="74"/>
      <x:c r="O507" s="91"/>
      <x:c r="P507" s="91"/>
      <x:c r="Q507" s="85"/>
      <x:c r="R507" s="85"/>
      <x:c r="S507" s="85"/>
      <x:c r="T507" s="85"/>
      <x:c r="U507" s="85"/>
      <x:c r="V507" s="85"/>
      <x:c r="W507" s="85"/>
      <x:c r="Y507" s="86"/>
      <x:c r="Z507" s="86"/>
      <x:c r="AA507" s="32"/>
    </x:row>
    <x:row r="508">
      <x:c r="A508" s="87"/>
      <x:c r="B508" s="88"/>
      <x:c r="D508" s="32"/>
      <x:c r="I508" s="74"/>
      <x:c r="J508" s="74"/>
      <x:c r="K508" s="74"/>
      <x:c r="L508" s="74"/>
      <x:c r="M508" s="74"/>
      <x:c r="N508" s="74"/>
      <x:c r="O508" s="91"/>
      <x:c r="P508" s="91"/>
      <x:c r="Q508" s="85"/>
      <x:c r="R508" s="85"/>
      <x:c r="S508" s="85"/>
      <x:c r="T508" s="85"/>
      <x:c r="U508" s="85"/>
      <x:c r="V508" s="85"/>
      <x:c r="W508" s="85"/>
      <x:c r="Y508" s="86"/>
      <x:c r="Z508" s="86"/>
      <x:c r="AA508" s="32"/>
    </x:row>
    <x:row r="509">
      <x:c r="A509" s="87"/>
      <x:c r="B509" s="88"/>
      <x:c r="D509" s="32"/>
      <x:c r="I509" s="74"/>
      <x:c r="J509" s="74"/>
      <x:c r="K509" s="74"/>
      <x:c r="L509" s="74"/>
      <x:c r="M509" s="74"/>
      <x:c r="N509" s="74"/>
      <x:c r="O509" s="91"/>
      <x:c r="P509" s="91"/>
      <x:c r="Q509" s="85"/>
      <x:c r="R509" s="85"/>
      <x:c r="S509" s="85"/>
      <x:c r="T509" s="85"/>
      <x:c r="U509" s="85"/>
      <x:c r="V509" s="85"/>
      <x:c r="W509" s="85"/>
      <x:c r="Y509" s="86"/>
      <x:c r="Z509" s="86"/>
      <x:c r="AA509" s="32"/>
    </x:row>
    <x:row r="510">
      <x:c r="A510" s="87"/>
      <x:c r="B510" s="88"/>
      <x:c r="D510" s="32"/>
      <x:c r="I510" s="74"/>
      <x:c r="J510" s="74"/>
      <x:c r="K510" s="74"/>
      <x:c r="L510" s="74"/>
      <x:c r="M510" s="74"/>
      <x:c r="N510" s="74"/>
      <x:c r="O510" s="91"/>
      <x:c r="P510" s="91"/>
      <x:c r="Q510" s="85"/>
      <x:c r="R510" s="85"/>
      <x:c r="S510" s="85"/>
      <x:c r="T510" s="85"/>
      <x:c r="U510" s="85"/>
      <x:c r="V510" s="85"/>
      <x:c r="W510" s="85"/>
      <x:c r="Y510" s="86"/>
      <x:c r="Z510" s="86"/>
      <x:c r="AA510" s="32"/>
    </x:row>
    <x:row r="511">
      <x:c r="A511" s="87"/>
      <x:c r="B511" s="88"/>
      <x:c r="D511" s="32"/>
      <x:c r="I511" s="74"/>
      <x:c r="J511" s="74"/>
      <x:c r="K511" s="74"/>
      <x:c r="L511" s="74"/>
      <x:c r="M511" s="74"/>
      <x:c r="N511" s="74"/>
      <x:c r="O511" s="91"/>
      <x:c r="P511" s="91"/>
      <x:c r="Q511" s="85"/>
      <x:c r="R511" s="85"/>
      <x:c r="S511" s="85"/>
      <x:c r="T511" s="85"/>
      <x:c r="U511" s="85"/>
      <x:c r="V511" s="85"/>
      <x:c r="W511" s="85"/>
      <x:c r="Y511" s="86"/>
      <x:c r="Z511" s="86"/>
      <x:c r="AA511" s="32"/>
    </x:row>
    <x:row r="512">
      <x:c r="A512" s="87"/>
      <x:c r="B512" s="88"/>
      <x:c r="D512" s="32"/>
      <x:c r="I512" s="74"/>
      <x:c r="J512" s="74"/>
      <x:c r="K512" s="74"/>
      <x:c r="L512" s="74"/>
      <x:c r="M512" s="74"/>
      <x:c r="N512" s="74"/>
      <x:c r="O512" s="91"/>
      <x:c r="P512" s="91"/>
      <x:c r="Q512" s="85"/>
      <x:c r="R512" s="85"/>
      <x:c r="S512" s="85"/>
      <x:c r="T512" s="85"/>
      <x:c r="U512" s="85"/>
      <x:c r="V512" s="85"/>
      <x:c r="W512" s="85"/>
      <x:c r="Y512" s="86"/>
      <x:c r="Z512" s="86"/>
      <x:c r="AA512" s="32"/>
    </x:row>
    <x:row r="513">
      <x:c r="A513" s="87"/>
      <x:c r="B513" s="88"/>
      <x:c r="D513" s="32"/>
      <x:c r="I513" s="74"/>
      <x:c r="J513" s="74"/>
      <x:c r="K513" s="74"/>
      <x:c r="L513" s="74"/>
      <x:c r="M513" s="74"/>
      <x:c r="N513" s="74"/>
      <x:c r="O513" s="91"/>
      <x:c r="P513" s="91"/>
      <x:c r="Q513" s="85"/>
      <x:c r="R513" s="85"/>
      <x:c r="S513" s="85"/>
      <x:c r="T513" s="85"/>
      <x:c r="U513" s="85"/>
      <x:c r="V513" s="85"/>
      <x:c r="W513" s="85"/>
      <x:c r="Y513" s="86"/>
      <x:c r="Z513" s="86"/>
      <x:c r="AA513" s="32"/>
    </x:row>
    <x:row r="514">
      <x:c r="A514" s="87"/>
      <x:c r="B514" s="88"/>
      <x:c r="D514" s="32"/>
      <x:c r="I514" s="74"/>
      <x:c r="J514" s="74"/>
      <x:c r="K514" s="74"/>
      <x:c r="L514" s="74"/>
      <x:c r="M514" s="74"/>
      <x:c r="N514" s="74"/>
      <x:c r="O514" s="91"/>
      <x:c r="P514" s="91"/>
      <x:c r="Q514" s="85"/>
      <x:c r="R514" s="85"/>
      <x:c r="S514" s="85"/>
      <x:c r="T514" s="85"/>
      <x:c r="U514" s="85"/>
      <x:c r="V514" s="85"/>
      <x:c r="W514" s="85"/>
      <x:c r="Y514" s="86"/>
      <x:c r="Z514" s="86"/>
      <x:c r="AA514" s="32"/>
    </x:row>
    <x:row r="515">
      <x:c r="A515" s="87"/>
      <x:c r="B515" s="88"/>
      <x:c r="D515" s="32"/>
      <x:c r="I515" s="74"/>
      <x:c r="J515" s="74"/>
      <x:c r="K515" s="74"/>
      <x:c r="L515" s="74"/>
      <x:c r="M515" s="74"/>
      <x:c r="N515" s="74"/>
      <x:c r="O515" s="91"/>
      <x:c r="P515" s="91"/>
      <x:c r="Q515" s="85"/>
      <x:c r="R515" s="85"/>
      <x:c r="S515" s="85"/>
      <x:c r="T515" s="85"/>
      <x:c r="U515" s="85"/>
      <x:c r="V515" s="85"/>
      <x:c r="W515" s="85"/>
      <x:c r="Y515" s="86"/>
      <x:c r="Z515" s="86"/>
      <x:c r="AA515" s="32"/>
    </x:row>
    <x:row r="516">
      <x:c r="A516" s="87"/>
      <x:c r="B516" s="88"/>
      <x:c r="D516" s="32"/>
      <x:c r="I516" s="74"/>
      <x:c r="J516" s="74"/>
      <x:c r="K516" s="74"/>
      <x:c r="L516" s="74"/>
      <x:c r="M516" s="74"/>
      <x:c r="N516" s="74"/>
      <x:c r="O516" s="91"/>
      <x:c r="P516" s="91"/>
      <x:c r="Q516" s="85"/>
      <x:c r="R516" s="85"/>
      <x:c r="S516" s="85"/>
      <x:c r="T516" s="85"/>
      <x:c r="U516" s="85"/>
      <x:c r="V516" s="85"/>
      <x:c r="W516" s="85"/>
      <x:c r="Y516" s="86"/>
      <x:c r="Z516" s="86"/>
      <x:c r="AA516" s="32"/>
    </x:row>
    <x:row r="517">
      <x:c r="A517" s="87"/>
      <x:c r="B517" s="88"/>
      <x:c r="D517" s="32"/>
      <x:c r="I517" s="74"/>
      <x:c r="J517" s="74"/>
      <x:c r="K517" s="74"/>
      <x:c r="L517" s="74"/>
      <x:c r="M517" s="74"/>
      <x:c r="N517" s="74"/>
      <x:c r="O517" s="91"/>
      <x:c r="P517" s="91"/>
      <x:c r="Q517" s="85"/>
      <x:c r="R517" s="85"/>
      <x:c r="S517" s="85"/>
      <x:c r="T517" s="85"/>
      <x:c r="U517" s="85"/>
      <x:c r="V517" s="85"/>
      <x:c r="W517" s="85"/>
      <x:c r="Y517" s="86"/>
      <x:c r="Z517" s="86"/>
      <x:c r="AA517" s="32"/>
    </x:row>
    <x:row r="518">
      <x:c r="A518" s="87"/>
      <x:c r="B518" s="88"/>
      <x:c r="D518" s="32"/>
      <x:c r="I518" s="74"/>
      <x:c r="J518" s="74"/>
      <x:c r="K518" s="74"/>
      <x:c r="L518" s="74"/>
      <x:c r="M518" s="74"/>
      <x:c r="N518" s="74"/>
      <x:c r="O518" s="91"/>
      <x:c r="P518" s="91"/>
      <x:c r="Q518" s="85"/>
      <x:c r="R518" s="85"/>
      <x:c r="S518" s="85"/>
      <x:c r="T518" s="85"/>
      <x:c r="U518" s="85"/>
      <x:c r="V518" s="85"/>
      <x:c r="W518" s="85"/>
      <x:c r="Y518" s="86"/>
      <x:c r="Z518" s="86"/>
      <x:c r="AA518" s="32"/>
    </x:row>
    <x:row r="519">
      <x:c r="A519" s="87"/>
      <x:c r="B519" s="88"/>
      <x:c r="D519" s="32"/>
      <x:c r="I519" s="74"/>
      <x:c r="J519" s="74"/>
      <x:c r="K519" s="74"/>
      <x:c r="L519" s="74"/>
      <x:c r="M519" s="74"/>
      <x:c r="N519" s="74"/>
      <x:c r="O519" s="91"/>
      <x:c r="P519" s="91"/>
      <x:c r="Q519" s="85"/>
      <x:c r="R519" s="85"/>
      <x:c r="S519" s="85"/>
      <x:c r="T519" s="85"/>
      <x:c r="U519" s="85"/>
      <x:c r="V519" s="85"/>
      <x:c r="W519" s="85"/>
      <x:c r="Y519" s="86"/>
      <x:c r="Z519" s="86"/>
      <x:c r="AA519" s="32"/>
    </x:row>
    <x:row r="520">
      <x:c r="A520" s="87"/>
      <x:c r="B520" s="88"/>
      <x:c r="D520" s="32"/>
      <x:c r="I520" s="74"/>
      <x:c r="J520" s="74"/>
      <x:c r="K520" s="74"/>
      <x:c r="L520" s="74"/>
      <x:c r="M520" s="74"/>
      <x:c r="N520" s="74"/>
      <x:c r="O520" s="91"/>
      <x:c r="P520" s="91"/>
      <x:c r="Q520" s="85"/>
      <x:c r="R520" s="85"/>
      <x:c r="S520" s="85"/>
      <x:c r="T520" s="85"/>
      <x:c r="U520" s="85"/>
      <x:c r="V520" s="85"/>
      <x:c r="W520" s="85"/>
      <x:c r="Y520" s="86"/>
      <x:c r="Z520" s="86"/>
      <x:c r="AA520" s="32"/>
    </x:row>
    <x:row r="521">
      <x:c r="A521" s="87"/>
      <x:c r="B521" s="88"/>
      <x:c r="D521" s="32"/>
      <x:c r="I521" s="74"/>
      <x:c r="J521" s="74"/>
      <x:c r="K521" s="74"/>
      <x:c r="L521" s="74"/>
      <x:c r="M521" s="74"/>
      <x:c r="N521" s="74"/>
      <x:c r="O521" s="91"/>
      <x:c r="P521" s="91"/>
      <x:c r="Q521" s="85"/>
      <x:c r="R521" s="85"/>
      <x:c r="S521" s="85"/>
      <x:c r="T521" s="85"/>
      <x:c r="U521" s="85"/>
      <x:c r="V521" s="85"/>
      <x:c r="W521" s="85"/>
      <x:c r="Y521" s="86"/>
      <x:c r="Z521" s="86"/>
      <x:c r="AA521" s="32"/>
    </x:row>
    <x:row r="522">
      <x:c r="A522" s="87"/>
      <x:c r="B522" s="88"/>
      <x:c r="D522" s="32"/>
      <x:c r="I522" s="74"/>
      <x:c r="J522" s="74"/>
      <x:c r="K522" s="74"/>
      <x:c r="L522" s="74"/>
      <x:c r="M522" s="74"/>
      <x:c r="N522" s="74"/>
      <x:c r="O522" s="91"/>
      <x:c r="P522" s="91"/>
      <x:c r="Q522" s="85"/>
      <x:c r="R522" s="85"/>
      <x:c r="S522" s="85"/>
      <x:c r="T522" s="85"/>
      <x:c r="U522" s="85"/>
      <x:c r="V522" s="85"/>
      <x:c r="W522" s="85"/>
      <x:c r="Y522" s="86"/>
      <x:c r="Z522" s="86"/>
      <x:c r="AA522" s="32"/>
    </x:row>
    <x:row r="523">
      <x:c r="A523" s="87"/>
      <x:c r="B523" s="88"/>
      <x:c r="D523" s="32"/>
      <x:c r="I523" s="74"/>
      <x:c r="J523" s="74"/>
      <x:c r="K523" s="74"/>
      <x:c r="L523" s="74"/>
      <x:c r="M523" s="74"/>
      <x:c r="N523" s="74"/>
      <x:c r="O523" s="91"/>
      <x:c r="P523" s="91"/>
      <x:c r="Q523" s="85"/>
      <x:c r="R523" s="85"/>
      <x:c r="S523" s="85"/>
      <x:c r="T523" s="85"/>
      <x:c r="U523" s="85"/>
      <x:c r="V523" s="85"/>
      <x:c r="W523" s="85"/>
      <x:c r="Y523" s="86"/>
      <x:c r="Z523" s="86"/>
      <x:c r="AA523" s="32"/>
    </x:row>
    <x:row r="524">
      <x:c r="A524" s="87"/>
      <x:c r="B524" s="88"/>
      <x:c r="D524" s="32"/>
      <x:c r="I524" s="74"/>
      <x:c r="J524" s="74"/>
      <x:c r="K524" s="74"/>
      <x:c r="L524" s="74"/>
      <x:c r="M524" s="74"/>
      <x:c r="N524" s="74"/>
      <x:c r="O524" s="91"/>
      <x:c r="P524" s="91"/>
      <x:c r="Q524" s="85"/>
      <x:c r="R524" s="85"/>
      <x:c r="S524" s="85"/>
      <x:c r="T524" s="85"/>
      <x:c r="U524" s="85"/>
      <x:c r="V524" s="85"/>
      <x:c r="W524" s="85"/>
      <x:c r="Y524" s="86"/>
      <x:c r="Z524" s="86"/>
      <x:c r="AA524" s="32"/>
    </x:row>
    <x:row r="525">
      <x:c r="A525" s="87"/>
      <x:c r="B525" s="88"/>
      <x:c r="D525" s="32"/>
      <x:c r="I525" s="74"/>
      <x:c r="J525" s="74"/>
      <x:c r="K525" s="74"/>
      <x:c r="L525" s="74"/>
      <x:c r="M525" s="74"/>
      <x:c r="N525" s="74"/>
      <x:c r="O525" s="91"/>
      <x:c r="P525" s="91"/>
      <x:c r="Q525" s="85"/>
      <x:c r="R525" s="85"/>
      <x:c r="S525" s="85"/>
      <x:c r="T525" s="85"/>
      <x:c r="U525" s="85"/>
      <x:c r="V525" s="85"/>
      <x:c r="W525" s="85"/>
      <x:c r="Y525" s="86"/>
      <x:c r="Z525" s="86"/>
      <x:c r="AA525" s="32"/>
    </x:row>
    <x:row r="526">
      <x:c r="A526" s="87"/>
      <x:c r="B526" s="88"/>
      <x:c r="D526" s="32"/>
      <x:c r="I526" s="74"/>
      <x:c r="J526" s="74"/>
      <x:c r="K526" s="74"/>
      <x:c r="L526" s="74"/>
      <x:c r="M526" s="74"/>
      <x:c r="N526" s="74"/>
      <x:c r="O526" s="91"/>
      <x:c r="P526" s="91"/>
      <x:c r="Q526" s="85"/>
      <x:c r="R526" s="85"/>
      <x:c r="S526" s="85"/>
      <x:c r="T526" s="85"/>
      <x:c r="U526" s="85"/>
      <x:c r="V526" s="85"/>
      <x:c r="W526" s="85"/>
      <x:c r="Y526" s="86"/>
      <x:c r="Z526" s="86"/>
      <x:c r="AA526" s="32"/>
    </x:row>
    <x:row r="527">
      <x:c r="A527" s="87"/>
      <x:c r="B527" s="88"/>
      <x:c r="D527" s="32"/>
      <x:c r="I527" s="74"/>
      <x:c r="J527" s="74"/>
      <x:c r="K527" s="74"/>
      <x:c r="L527" s="74"/>
      <x:c r="M527" s="74"/>
      <x:c r="N527" s="74"/>
      <x:c r="O527" s="91"/>
      <x:c r="P527" s="91"/>
      <x:c r="Q527" s="85"/>
      <x:c r="R527" s="85"/>
      <x:c r="S527" s="85"/>
      <x:c r="T527" s="85"/>
      <x:c r="U527" s="85"/>
      <x:c r="V527" s="85"/>
      <x:c r="W527" s="85"/>
      <x:c r="Y527" s="86"/>
      <x:c r="Z527" s="86"/>
      <x:c r="AA527" s="32"/>
    </x:row>
    <x:row r="528">
      <x:c r="A528" s="87"/>
      <x:c r="B528" s="88"/>
      <x:c r="D528" s="32"/>
      <x:c r="I528" s="74"/>
      <x:c r="J528" s="74"/>
      <x:c r="K528" s="74"/>
      <x:c r="L528" s="74"/>
      <x:c r="M528" s="74"/>
      <x:c r="N528" s="74"/>
      <x:c r="O528" s="91"/>
      <x:c r="P528" s="91"/>
      <x:c r="Q528" s="85"/>
      <x:c r="R528" s="85"/>
      <x:c r="S528" s="85"/>
      <x:c r="T528" s="85"/>
      <x:c r="U528" s="85"/>
      <x:c r="V528" s="85"/>
      <x:c r="W528" s="85"/>
      <x:c r="Y528" s="86"/>
      <x:c r="Z528" s="86"/>
      <x:c r="AA528" s="32"/>
    </x:row>
    <x:row r="529">
      <x:c r="A529" s="87"/>
      <x:c r="B529" s="88"/>
      <x:c r="D529" s="32"/>
      <x:c r="I529" s="74"/>
      <x:c r="J529" s="74"/>
      <x:c r="K529" s="74"/>
      <x:c r="L529" s="74"/>
      <x:c r="M529" s="74"/>
      <x:c r="N529" s="74"/>
      <x:c r="O529" s="91"/>
      <x:c r="P529" s="91"/>
      <x:c r="Q529" s="85"/>
      <x:c r="R529" s="85"/>
      <x:c r="S529" s="85"/>
      <x:c r="T529" s="85"/>
      <x:c r="U529" s="85"/>
      <x:c r="V529" s="85"/>
      <x:c r="W529" s="85"/>
      <x:c r="Y529" s="86"/>
      <x:c r="Z529" s="86"/>
      <x:c r="AA529" s="32"/>
    </x:row>
    <x:row r="530">
      <x:c r="A530" s="87"/>
      <x:c r="B530" s="88"/>
      <x:c r="D530" s="32"/>
      <x:c r="I530" s="74"/>
      <x:c r="J530" s="74"/>
      <x:c r="K530" s="74"/>
      <x:c r="L530" s="74"/>
      <x:c r="M530" s="74"/>
      <x:c r="N530" s="74"/>
      <x:c r="O530" s="91"/>
      <x:c r="P530" s="91"/>
      <x:c r="Q530" s="85"/>
      <x:c r="R530" s="85"/>
      <x:c r="S530" s="85"/>
      <x:c r="T530" s="85"/>
      <x:c r="U530" s="85"/>
      <x:c r="V530" s="85"/>
      <x:c r="W530" s="85"/>
      <x:c r="Y530" s="86"/>
      <x:c r="Z530" s="86"/>
      <x:c r="AA530" s="32"/>
    </x:row>
    <x:row r="531">
      <x:c r="A531" s="87"/>
      <x:c r="B531" s="88"/>
      <x:c r="D531" s="32"/>
      <x:c r="I531" s="74"/>
      <x:c r="J531" s="74"/>
      <x:c r="K531" s="74"/>
      <x:c r="L531" s="74"/>
      <x:c r="M531" s="74"/>
      <x:c r="N531" s="74"/>
      <x:c r="O531" s="91"/>
      <x:c r="P531" s="91"/>
      <x:c r="Q531" s="85"/>
      <x:c r="R531" s="85"/>
      <x:c r="S531" s="85"/>
      <x:c r="T531" s="85"/>
      <x:c r="U531" s="85"/>
      <x:c r="V531" s="85"/>
      <x:c r="W531" s="85"/>
      <x:c r="Y531" s="86"/>
      <x:c r="Z531" s="86"/>
      <x:c r="AA531" s="32"/>
    </x:row>
    <x:row r="532">
      <x:c r="A532" s="87"/>
      <x:c r="B532" s="88"/>
      <x:c r="D532" s="32"/>
      <x:c r="I532" s="74"/>
      <x:c r="J532" s="74"/>
      <x:c r="K532" s="74"/>
      <x:c r="L532" s="74"/>
      <x:c r="M532" s="74"/>
      <x:c r="N532" s="74"/>
      <x:c r="O532" s="91"/>
      <x:c r="P532" s="91"/>
      <x:c r="Q532" s="85"/>
      <x:c r="R532" s="85"/>
      <x:c r="S532" s="85"/>
      <x:c r="T532" s="85"/>
      <x:c r="U532" s="85"/>
      <x:c r="V532" s="85"/>
      <x:c r="W532" s="85"/>
      <x:c r="Y532" s="86"/>
      <x:c r="Z532" s="86"/>
      <x:c r="AA532" s="32"/>
    </x:row>
    <x:row r="533">
      <x:c r="A533" s="87"/>
      <x:c r="B533" s="88"/>
      <x:c r="D533" s="32"/>
      <x:c r="I533" s="74"/>
      <x:c r="J533" s="74"/>
      <x:c r="K533" s="74"/>
      <x:c r="L533" s="74"/>
      <x:c r="M533" s="74"/>
      <x:c r="N533" s="74"/>
      <x:c r="O533" s="91"/>
      <x:c r="P533" s="91"/>
      <x:c r="Q533" s="85"/>
      <x:c r="R533" s="85"/>
      <x:c r="S533" s="85"/>
      <x:c r="T533" s="85"/>
      <x:c r="U533" s="85"/>
      <x:c r="V533" s="85"/>
      <x:c r="W533" s="85"/>
      <x:c r="Y533" s="86"/>
      <x:c r="Z533" s="86"/>
      <x:c r="AA533" s="32"/>
    </x:row>
    <x:row r="534">
      <x:c r="A534" s="87"/>
      <x:c r="B534" s="88"/>
      <x:c r="D534" s="32"/>
      <x:c r="I534" s="74"/>
      <x:c r="J534" s="74"/>
      <x:c r="K534" s="74"/>
      <x:c r="L534" s="74"/>
      <x:c r="M534" s="74"/>
      <x:c r="N534" s="74"/>
      <x:c r="O534" s="91"/>
      <x:c r="P534" s="91"/>
      <x:c r="Q534" s="85"/>
      <x:c r="R534" s="85"/>
      <x:c r="S534" s="85"/>
      <x:c r="T534" s="85"/>
      <x:c r="U534" s="85"/>
      <x:c r="V534" s="85"/>
      <x:c r="W534" s="85"/>
      <x:c r="Y534" s="86"/>
      <x:c r="Z534" s="86"/>
      <x:c r="AA534" s="32"/>
    </x:row>
    <x:row r="535">
      <x:c r="A535" s="87"/>
      <x:c r="B535" s="88"/>
      <x:c r="D535" s="32"/>
      <x:c r="I535" s="74"/>
      <x:c r="J535" s="74"/>
      <x:c r="K535" s="74"/>
      <x:c r="L535" s="74"/>
      <x:c r="M535" s="74"/>
      <x:c r="N535" s="74"/>
      <x:c r="O535" s="91"/>
      <x:c r="P535" s="91"/>
      <x:c r="Q535" s="85"/>
      <x:c r="R535" s="85"/>
      <x:c r="S535" s="85"/>
      <x:c r="T535" s="85"/>
      <x:c r="U535" s="85"/>
      <x:c r="V535" s="85"/>
      <x:c r="W535" s="85"/>
      <x:c r="Y535" s="86"/>
      <x:c r="Z535" s="86"/>
      <x:c r="AA535" s="32"/>
    </x:row>
    <x:row r="536">
      <x:c r="A536" s="87"/>
      <x:c r="B536" s="88"/>
      <x:c r="D536" s="32"/>
      <x:c r="I536" s="74"/>
      <x:c r="J536" s="74"/>
      <x:c r="K536" s="74"/>
      <x:c r="L536" s="74"/>
      <x:c r="M536" s="74"/>
      <x:c r="N536" s="74"/>
      <x:c r="O536" s="91"/>
      <x:c r="P536" s="91"/>
      <x:c r="Q536" s="85"/>
      <x:c r="R536" s="85"/>
      <x:c r="S536" s="85"/>
      <x:c r="T536" s="85"/>
      <x:c r="U536" s="85"/>
      <x:c r="V536" s="85"/>
      <x:c r="W536" s="85"/>
      <x:c r="Y536" s="86"/>
      <x:c r="Z536" s="86"/>
      <x:c r="AA536" s="32"/>
    </x:row>
    <x:row r="537">
      <x:c r="A537" s="87"/>
      <x:c r="B537" s="88"/>
      <x:c r="D537" s="32"/>
      <x:c r="I537" s="74"/>
      <x:c r="J537" s="74"/>
      <x:c r="K537" s="74"/>
      <x:c r="L537" s="74"/>
      <x:c r="M537" s="74"/>
      <x:c r="N537" s="74"/>
      <x:c r="O537" s="91"/>
      <x:c r="P537" s="91"/>
      <x:c r="Q537" s="85"/>
      <x:c r="R537" s="85"/>
      <x:c r="S537" s="85"/>
      <x:c r="T537" s="85"/>
      <x:c r="U537" s="85"/>
      <x:c r="V537" s="85"/>
      <x:c r="W537" s="85"/>
      <x:c r="Y537" s="86"/>
      <x:c r="Z537" s="86"/>
      <x:c r="AA537" s="32"/>
    </x:row>
    <x:row r="538">
      <x:c r="A538" s="87"/>
      <x:c r="B538" s="88"/>
      <x:c r="D538" s="32"/>
      <x:c r="I538" s="74"/>
      <x:c r="J538" s="74"/>
      <x:c r="K538" s="74"/>
      <x:c r="L538" s="74"/>
      <x:c r="M538" s="74"/>
      <x:c r="N538" s="74"/>
      <x:c r="O538" s="91"/>
      <x:c r="P538" s="91"/>
      <x:c r="Q538" s="85"/>
      <x:c r="R538" s="85"/>
      <x:c r="S538" s="85"/>
      <x:c r="T538" s="85"/>
      <x:c r="U538" s="85"/>
      <x:c r="V538" s="85"/>
      <x:c r="W538" s="85"/>
      <x:c r="Y538" s="86"/>
      <x:c r="Z538" s="86"/>
      <x:c r="AA538" s="32"/>
    </x:row>
    <x:row r="539">
      <x:c r="A539" s="87"/>
      <x:c r="B539" s="88"/>
      <x:c r="D539" s="32"/>
      <x:c r="I539" s="74"/>
      <x:c r="J539" s="74"/>
      <x:c r="K539" s="74"/>
      <x:c r="L539" s="74"/>
      <x:c r="M539" s="74"/>
      <x:c r="N539" s="74"/>
      <x:c r="O539" s="91"/>
      <x:c r="P539" s="91"/>
      <x:c r="Q539" s="85"/>
      <x:c r="R539" s="85"/>
      <x:c r="S539" s="85"/>
      <x:c r="T539" s="85"/>
      <x:c r="U539" s="85"/>
      <x:c r="V539" s="85"/>
      <x:c r="W539" s="85"/>
      <x:c r="Y539" s="86"/>
      <x:c r="Z539" s="86"/>
      <x:c r="AA539" s="32"/>
    </x:row>
    <x:row r="540">
      <x:c r="A540" s="87"/>
      <x:c r="B540" s="88"/>
      <x:c r="D540" s="32"/>
      <x:c r="I540" s="74"/>
      <x:c r="J540" s="74"/>
      <x:c r="K540" s="74"/>
      <x:c r="L540" s="74"/>
      <x:c r="M540" s="74"/>
      <x:c r="N540" s="74"/>
      <x:c r="O540" s="91"/>
      <x:c r="P540" s="91"/>
      <x:c r="Q540" s="85"/>
      <x:c r="R540" s="85"/>
      <x:c r="S540" s="85"/>
      <x:c r="T540" s="85"/>
      <x:c r="U540" s="85"/>
      <x:c r="V540" s="85"/>
      <x:c r="W540" s="85"/>
      <x:c r="Y540" s="86"/>
      <x:c r="Z540" s="86"/>
      <x:c r="AA540" s="32"/>
    </x:row>
    <x:row r="541">
      <x:c r="A541" s="87"/>
      <x:c r="B541" s="88"/>
      <x:c r="D541" s="32"/>
      <x:c r="I541" s="74"/>
      <x:c r="J541" s="74"/>
      <x:c r="K541" s="74"/>
      <x:c r="L541" s="74"/>
      <x:c r="M541" s="74"/>
      <x:c r="N541" s="74"/>
      <x:c r="O541" s="91"/>
      <x:c r="P541" s="91"/>
      <x:c r="Q541" s="85"/>
      <x:c r="R541" s="85"/>
      <x:c r="S541" s="85"/>
      <x:c r="T541" s="85"/>
      <x:c r="U541" s="85"/>
      <x:c r="V541" s="85"/>
      <x:c r="W541" s="85"/>
      <x:c r="Y541" s="86"/>
      <x:c r="Z541" s="86"/>
      <x:c r="AA541" s="32"/>
    </x:row>
    <x:row r="542">
      <x:c r="A542" s="87"/>
      <x:c r="B542" s="88"/>
      <x:c r="D542" s="32"/>
      <x:c r="I542" s="74"/>
      <x:c r="J542" s="74"/>
      <x:c r="K542" s="74"/>
      <x:c r="L542" s="74"/>
      <x:c r="M542" s="74"/>
      <x:c r="N542" s="74"/>
      <x:c r="O542" s="91"/>
      <x:c r="P542" s="91"/>
      <x:c r="Q542" s="85"/>
      <x:c r="R542" s="85"/>
      <x:c r="S542" s="85"/>
      <x:c r="T542" s="85"/>
      <x:c r="U542" s="85"/>
      <x:c r="V542" s="85"/>
      <x:c r="W542" s="85"/>
      <x:c r="Y542" s="86"/>
      <x:c r="Z542" s="86"/>
      <x:c r="AA542" s="32"/>
    </x:row>
    <x:row r="543">
      <x:c r="A543" s="87"/>
      <x:c r="B543" s="88"/>
      <x:c r="D543" s="32"/>
      <x:c r="I543" s="74"/>
      <x:c r="J543" s="74"/>
      <x:c r="K543" s="74"/>
      <x:c r="L543" s="74"/>
      <x:c r="M543" s="74"/>
      <x:c r="N543" s="74"/>
      <x:c r="O543" s="91"/>
      <x:c r="P543" s="91"/>
      <x:c r="Q543" s="85"/>
      <x:c r="R543" s="85"/>
      <x:c r="S543" s="85"/>
      <x:c r="T543" s="85"/>
      <x:c r="U543" s="85"/>
      <x:c r="V543" s="85"/>
      <x:c r="W543" s="85"/>
      <x:c r="Y543" s="86"/>
      <x:c r="Z543" s="86"/>
      <x:c r="AA543" s="32"/>
    </x:row>
    <x:row r="544">
      <x:c r="A544" s="87"/>
      <x:c r="B544" s="88"/>
      <x:c r="D544" s="32"/>
      <x:c r="I544" s="74"/>
      <x:c r="J544" s="74"/>
      <x:c r="K544" s="74"/>
      <x:c r="L544" s="74"/>
      <x:c r="M544" s="74"/>
      <x:c r="N544" s="74"/>
      <x:c r="O544" s="91"/>
      <x:c r="P544" s="91"/>
      <x:c r="Q544" s="85"/>
      <x:c r="R544" s="85"/>
      <x:c r="S544" s="85"/>
      <x:c r="T544" s="85"/>
      <x:c r="U544" s="85"/>
      <x:c r="V544" s="85"/>
      <x:c r="W544" s="85"/>
      <x:c r="Y544" s="86"/>
      <x:c r="Z544" s="86"/>
      <x:c r="AA544" s="32"/>
    </x:row>
    <x:row r="545">
      <x:c r="A545" s="87"/>
      <x:c r="B545" s="88"/>
      <x:c r="D545" s="32"/>
      <x:c r="I545" s="74"/>
      <x:c r="J545" s="74"/>
      <x:c r="K545" s="74"/>
      <x:c r="L545" s="74"/>
      <x:c r="M545" s="74"/>
      <x:c r="N545" s="74"/>
      <x:c r="O545" s="91"/>
      <x:c r="P545" s="91"/>
      <x:c r="Q545" s="85"/>
      <x:c r="R545" s="85"/>
      <x:c r="S545" s="85"/>
      <x:c r="T545" s="85"/>
      <x:c r="U545" s="85"/>
      <x:c r="V545" s="85"/>
      <x:c r="W545" s="85"/>
      <x:c r="Y545" s="86"/>
      <x:c r="Z545" s="86"/>
      <x:c r="AA545" s="32"/>
    </x:row>
    <x:row r="546">
      <x:c r="A546" s="87"/>
      <x:c r="B546" s="88"/>
      <x:c r="D546" s="32"/>
      <x:c r="I546" s="74"/>
      <x:c r="J546" s="74"/>
      <x:c r="K546" s="74"/>
      <x:c r="L546" s="74"/>
      <x:c r="M546" s="74"/>
      <x:c r="N546" s="74"/>
      <x:c r="O546" s="91"/>
      <x:c r="P546" s="91"/>
      <x:c r="Q546" s="85"/>
      <x:c r="R546" s="85"/>
      <x:c r="S546" s="85"/>
      <x:c r="T546" s="85"/>
      <x:c r="U546" s="85"/>
      <x:c r="V546" s="85"/>
      <x:c r="W546" s="85"/>
      <x:c r="Y546" s="86"/>
      <x:c r="Z546" s="86"/>
      <x:c r="AA546" s="32"/>
    </x:row>
    <x:row r="547">
      <x:c r="A547" s="87"/>
      <x:c r="B547" s="88"/>
      <x:c r="D547" s="32"/>
      <x:c r="I547" s="74"/>
      <x:c r="J547" s="74"/>
      <x:c r="K547" s="74"/>
      <x:c r="L547" s="74"/>
      <x:c r="M547" s="74"/>
      <x:c r="N547" s="74"/>
      <x:c r="O547" s="91"/>
      <x:c r="P547" s="91"/>
      <x:c r="Q547" s="85"/>
      <x:c r="R547" s="85"/>
      <x:c r="S547" s="85"/>
      <x:c r="T547" s="85"/>
      <x:c r="U547" s="85"/>
      <x:c r="V547" s="85"/>
      <x:c r="W547" s="85"/>
      <x:c r="Y547" s="86"/>
      <x:c r="Z547" s="86"/>
      <x:c r="AA547" s="32"/>
    </x:row>
    <x:row r="548">
      <x:c r="A548" s="87"/>
      <x:c r="B548" s="88"/>
      <x:c r="D548" s="32"/>
      <x:c r="I548" s="74"/>
      <x:c r="J548" s="74"/>
      <x:c r="K548" s="74"/>
      <x:c r="L548" s="74"/>
      <x:c r="M548" s="74"/>
      <x:c r="N548" s="74"/>
      <x:c r="O548" s="91"/>
      <x:c r="P548" s="91"/>
      <x:c r="Q548" s="85"/>
      <x:c r="R548" s="85"/>
      <x:c r="S548" s="85"/>
      <x:c r="T548" s="85"/>
      <x:c r="U548" s="85"/>
      <x:c r="V548" s="85"/>
      <x:c r="W548" s="85"/>
      <x:c r="Y548" s="86"/>
      <x:c r="Z548" s="86"/>
      <x:c r="AA548" s="32"/>
    </x:row>
    <x:row r="549">
      <x:c r="A549" s="87"/>
      <x:c r="B549" s="88"/>
      <x:c r="D549" s="32"/>
      <x:c r="I549" s="74"/>
      <x:c r="J549" s="74"/>
      <x:c r="K549" s="74"/>
      <x:c r="L549" s="74"/>
      <x:c r="M549" s="74"/>
      <x:c r="N549" s="74"/>
      <x:c r="O549" s="91"/>
      <x:c r="P549" s="91"/>
      <x:c r="Q549" s="85"/>
      <x:c r="R549" s="85"/>
      <x:c r="S549" s="85"/>
      <x:c r="T549" s="85"/>
      <x:c r="U549" s="85"/>
      <x:c r="V549" s="85"/>
      <x:c r="W549" s="85"/>
      <x:c r="Y549" s="86"/>
      <x:c r="Z549" s="86"/>
      <x:c r="AA549" s="32"/>
    </x:row>
    <x:row r="550">
      <x:c r="A550" s="87"/>
      <x:c r="B550" s="88"/>
      <x:c r="D550" s="32"/>
      <x:c r="I550" s="74"/>
      <x:c r="J550" s="74"/>
      <x:c r="K550" s="74"/>
      <x:c r="L550" s="74"/>
      <x:c r="M550" s="74"/>
      <x:c r="N550" s="74"/>
      <x:c r="O550" s="91"/>
      <x:c r="P550" s="91"/>
      <x:c r="Q550" s="85"/>
      <x:c r="R550" s="85"/>
      <x:c r="S550" s="85"/>
      <x:c r="T550" s="85"/>
      <x:c r="U550" s="85"/>
      <x:c r="V550" s="85"/>
      <x:c r="W550" s="85"/>
      <x:c r="Y550" s="86"/>
      <x:c r="Z550" s="86"/>
      <x:c r="AA550" s="32"/>
    </x:row>
    <x:row r="551">
      <x:c r="A551" s="87"/>
      <x:c r="B551" s="88"/>
      <x:c r="D551" s="32"/>
      <x:c r="I551" s="74"/>
      <x:c r="J551" s="74"/>
      <x:c r="K551" s="74"/>
      <x:c r="L551" s="74"/>
      <x:c r="M551" s="74"/>
      <x:c r="N551" s="74"/>
      <x:c r="O551" s="91"/>
      <x:c r="P551" s="91"/>
      <x:c r="Q551" s="85"/>
      <x:c r="R551" s="85"/>
      <x:c r="S551" s="85"/>
      <x:c r="T551" s="85"/>
      <x:c r="U551" s="85"/>
      <x:c r="V551" s="85"/>
      <x:c r="W551" s="85"/>
      <x:c r="Y551" s="86"/>
      <x:c r="Z551" s="86"/>
      <x:c r="AA551" s="32"/>
    </x:row>
    <x:row r="552">
      <x:c r="A552" s="87"/>
      <x:c r="B552" s="88"/>
      <x:c r="D552" s="32"/>
      <x:c r="I552" s="74"/>
      <x:c r="J552" s="74"/>
      <x:c r="K552" s="74"/>
      <x:c r="L552" s="74"/>
      <x:c r="M552" s="74"/>
      <x:c r="N552" s="74"/>
      <x:c r="O552" s="91"/>
      <x:c r="P552" s="91"/>
      <x:c r="Q552" s="85"/>
      <x:c r="R552" s="85"/>
      <x:c r="S552" s="85"/>
      <x:c r="T552" s="85"/>
      <x:c r="U552" s="85"/>
      <x:c r="V552" s="85"/>
      <x:c r="W552" s="85"/>
      <x:c r="Y552" s="86"/>
      <x:c r="Z552" s="86"/>
      <x:c r="AA552" s="32"/>
    </x:row>
    <x:row r="553">
      <x:c r="A553" s="87"/>
      <x:c r="B553" s="88"/>
      <x:c r="D553" s="32"/>
      <x:c r="I553" s="74"/>
      <x:c r="J553" s="74"/>
      <x:c r="K553" s="74"/>
      <x:c r="L553" s="74"/>
      <x:c r="M553" s="74"/>
      <x:c r="N553" s="74"/>
      <x:c r="O553" s="91"/>
      <x:c r="P553" s="91"/>
      <x:c r="Q553" s="85"/>
      <x:c r="R553" s="85"/>
      <x:c r="S553" s="85"/>
      <x:c r="T553" s="85"/>
      <x:c r="U553" s="85"/>
      <x:c r="V553" s="85"/>
      <x:c r="W553" s="85"/>
      <x:c r="Y553" s="86"/>
      <x:c r="Z553" s="86"/>
      <x:c r="AA553" s="32"/>
    </x:row>
    <x:row r="554">
      <x:c r="A554" s="87"/>
      <x:c r="B554" s="88"/>
      <x:c r="D554" s="32"/>
      <x:c r="I554" s="74"/>
      <x:c r="J554" s="74"/>
      <x:c r="K554" s="74"/>
      <x:c r="L554" s="74"/>
      <x:c r="M554" s="74"/>
      <x:c r="N554" s="74"/>
      <x:c r="O554" s="91"/>
      <x:c r="P554" s="91"/>
      <x:c r="Q554" s="85"/>
      <x:c r="R554" s="85"/>
      <x:c r="S554" s="85"/>
      <x:c r="T554" s="85"/>
      <x:c r="U554" s="85"/>
      <x:c r="V554" s="85"/>
      <x:c r="W554" s="85"/>
      <x:c r="Y554" s="86"/>
      <x:c r="Z554" s="86"/>
      <x:c r="AA554" s="32"/>
    </x:row>
    <x:row r="555">
      <x:c r="A555" s="87"/>
      <x:c r="B555" s="88"/>
      <x:c r="D555" s="32"/>
      <x:c r="I555" s="74"/>
      <x:c r="J555" s="74"/>
      <x:c r="K555" s="74"/>
      <x:c r="L555" s="74"/>
      <x:c r="M555" s="74"/>
      <x:c r="N555" s="74"/>
      <x:c r="O555" s="91"/>
      <x:c r="P555" s="91"/>
      <x:c r="Q555" s="85"/>
      <x:c r="R555" s="85"/>
      <x:c r="S555" s="85"/>
      <x:c r="T555" s="85"/>
      <x:c r="U555" s="85"/>
      <x:c r="V555" s="85"/>
      <x:c r="W555" s="85"/>
      <x:c r="Y555" s="86"/>
      <x:c r="Z555" s="86"/>
      <x:c r="AA555" s="32"/>
    </x:row>
    <x:row r="556">
      <x:c r="A556" s="87"/>
      <x:c r="B556" s="88"/>
      <x:c r="D556" s="32"/>
      <x:c r="I556" s="74"/>
      <x:c r="J556" s="74"/>
      <x:c r="K556" s="74"/>
      <x:c r="L556" s="74"/>
      <x:c r="M556" s="74"/>
      <x:c r="N556" s="74"/>
      <x:c r="O556" s="91"/>
      <x:c r="P556" s="91"/>
      <x:c r="Q556" s="85"/>
      <x:c r="R556" s="85"/>
      <x:c r="S556" s="85"/>
      <x:c r="T556" s="85"/>
      <x:c r="U556" s="85"/>
      <x:c r="V556" s="85"/>
      <x:c r="W556" s="85"/>
      <x:c r="Y556" s="86"/>
      <x:c r="Z556" s="86"/>
      <x:c r="AA556" s="32"/>
    </x:row>
    <x:row r="557">
      <x:c r="A557" s="87"/>
      <x:c r="B557" s="88"/>
      <x:c r="D557" s="32"/>
      <x:c r="I557" s="74"/>
      <x:c r="J557" s="74"/>
      <x:c r="K557" s="74"/>
      <x:c r="L557" s="74"/>
      <x:c r="M557" s="74"/>
      <x:c r="N557" s="74"/>
      <x:c r="O557" s="91"/>
      <x:c r="P557" s="91"/>
      <x:c r="Q557" s="85"/>
      <x:c r="R557" s="85"/>
      <x:c r="S557" s="85"/>
      <x:c r="T557" s="85"/>
      <x:c r="U557" s="85"/>
      <x:c r="V557" s="85"/>
      <x:c r="W557" s="85"/>
      <x:c r="Y557" s="86"/>
      <x:c r="Z557" s="86"/>
      <x:c r="AA557" s="32"/>
    </x:row>
    <x:row r="558">
      <x:c r="A558" s="87"/>
      <x:c r="B558" s="88"/>
      <x:c r="D558" s="32"/>
      <x:c r="I558" s="74"/>
      <x:c r="J558" s="74"/>
      <x:c r="K558" s="74"/>
      <x:c r="L558" s="74"/>
      <x:c r="M558" s="74"/>
      <x:c r="N558" s="74"/>
      <x:c r="O558" s="91"/>
      <x:c r="P558" s="91"/>
      <x:c r="Q558" s="85"/>
      <x:c r="R558" s="85"/>
      <x:c r="S558" s="85"/>
      <x:c r="T558" s="85"/>
      <x:c r="U558" s="85"/>
      <x:c r="V558" s="85"/>
      <x:c r="W558" s="85"/>
      <x:c r="Y558" s="86"/>
      <x:c r="Z558" s="86"/>
      <x:c r="AA558" s="32"/>
    </x:row>
    <x:row r="559">
      <x:c r="A559" s="87"/>
      <x:c r="B559" s="88"/>
      <x:c r="D559" s="32"/>
      <x:c r="I559" s="74"/>
      <x:c r="J559" s="74"/>
      <x:c r="K559" s="74"/>
      <x:c r="L559" s="74"/>
      <x:c r="M559" s="74"/>
      <x:c r="N559" s="74"/>
      <x:c r="O559" s="91"/>
      <x:c r="P559" s="91"/>
      <x:c r="Q559" s="85"/>
      <x:c r="R559" s="85"/>
      <x:c r="S559" s="85"/>
      <x:c r="T559" s="85"/>
      <x:c r="U559" s="85"/>
      <x:c r="V559" s="85"/>
      <x:c r="W559" s="85"/>
      <x:c r="Y559" s="86"/>
      <x:c r="Z559" s="86"/>
      <x:c r="AA559" s="32"/>
    </x:row>
    <x:row r="560">
      <x:c r="A560" s="87"/>
      <x:c r="B560" s="88"/>
      <x:c r="D560" s="32"/>
      <x:c r="I560" s="74"/>
      <x:c r="J560" s="74"/>
      <x:c r="K560" s="74"/>
      <x:c r="L560" s="74"/>
      <x:c r="M560" s="74"/>
      <x:c r="N560" s="74"/>
      <x:c r="O560" s="91"/>
      <x:c r="P560" s="91"/>
      <x:c r="Q560" s="85"/>
      <x:c r="R560" s="85"/>
      <x:c r="S560" s="85"/>
      <x:c r="T560" s="85"/>
      <x:c r="U560" s="85"/>
      <x:c r="V560" s="85"/>
      <x:c r="W560" s="85"/>
      <x:c r="Y560" s="86"/>
      <x:c r="Z560" s="86"/>
      <x:c r="AA560" s="32"/>
    </x:row>
    <x:row r="561">
      <x:c r="A561" s="87"/>
      <x:c r="B561" s="88"/>
      <x:c r="D561" s="32"/>
      <x:c r="I561" s="74"/>
      <x:c r="J561" s="74"/>
      <x:c r="K561" s="74"/>
      <x:c r="L561" s="74"/>
      <x:c r="M561" s="74"/>
      <x:c r="N561" s="74"/>
      <x:c r="O561" s="91"/>
      <x:c r="P561" s="91"/>
      <x:c r="Q561" s="85"/>
      <x:c r="R561" s="85"/>
      <x:c r="S561" s="85"/>
      <x:c r="T561" s="85"/>
      <x:c r="U561" s="85"/>
      <x:c r="V561" s="85"/>
      <x:c r="W561" s="85"/>
      <x:c r="Y561" s="86"/>
      <x:c r="Z561" s="86"/>
      <x:c r="AA561" s="32"/>
    </x:row>
    <x:row r="562">
      <x:c r="A562" s="87"/>
      <x:c r="B562" s="88"/>
      <x:c r="D562" s="32"/>
      <x:c r="I562" s="74"/>
      <x:c r="J562" s="74"/>
      <x:c r="K562" s="74"/>
      <x:c r="L562" s="74"/>
      <x:c r="M562" s="74"/>
      <x:c r="N562" s="74"/>
      <x:c r="O562" s="91"/>
      <x:c r="P562" s="91"/>
      <x:c r="Q562" s="85"/>
      <x:c r="R562" s="85"/>
      <x:c r="S562" s="85"/>
      <x:c r="T562" s="85"/>
      <x:c r="U562" s="85"/>
      <x:c r="V562" s="85"/>
      <x:c r="W562" s="85"/>
      <x:c r="Y562" s="86"/>
      <x:c r="Z562" s="86"/>
      <x:c r="AA562" s="32"/>
    </x:row>
    <x:row r="563">
      <x:c r="A563" s="87"/>
      <x:c r="B563" s="88"/>
      <x:c r="D563" s="32"/>
      <x:c r="I563" s="74"/>
      <x:c r="J563" s="74"/>
      <x:c r="K563" s="74"/>
      <x:c r="L563" s="74"/>
      <x:c r="M563" s="74"/>
      <x:c r="N563" s="74"/>
      <x:c r="O563" s="91"/>
      <x:c r="P563" s="91"/>
      <x:c r="Q563" s="85"/>
      <x:c r="R563" s="85"/>
      <x:c r="S563" s="85"/>
      <x:c r="T563" s="85"/>
      <x:c r="U563" s="85"/>
      <x:c r="V563" s="85"/>
      <x:c r="W563" s="85"/>
      <x:c r="Y563" s="86"/>
      <x:c r="Z563" s="86"/>
      <x:c r="AA563" s="32"/>
    </x:row>
    <x:row r="564">
      <x:c r="A564" s="87"/>
      <x:c r="B564" s="88"/>
      <x:c r="D564" s="32"/>
      <x:c r="I564" s="74"/>
      <x:c r="J564" s="74"/>
      <x:c r="K564" s="74"/>
      <x:c r="L564" s="74"/>
      <x:c r="M564" s="74"/>
      <x:c r="N564" s="74"/>
      <x:c r="O564" s="91"/>
      <x:c r="P564" s="91"/>
      <x:c r="Q564" s="85"/>
      <x:c r="R564" s="85"/>
      <x:c r="S564" s="85"/>
      <x:c r="T564" s="85"/>
      <x:c r="U564" s="85"/>
      <x:c r="V564" s="85"/>
      <x:c r="W564" s="85"/>
      <x:c r="Y564" s="86"/>
      <x:c r="Z564" s="86"/>
      <x:c r="AA564" s="32"/>
    </x:row>
    <x:row r="565">
      <x:c r="A565" s="87"/>
      <x:c r="B565" s="88"/>
      <x:c r="D565" s="32"/>
      <x:c r="I565" s="74"/>
      <x:c r="J565" s="74"/>
      <x:c r="K565" s="74"/>
      <x:c r="L565" s="74"/>
      <x:c r="M565" s="74"/>
      <x:c r="N565" s="74"/>
      <x:c r="O565" s="91"/>
      <x:c r="P565" s="91"/>
      <x:c r="Q565" s="85"/>
      <x:c r="R565" s="85"/>
      <x:c r="S565" s="85"/>
      <x:c r="T565" s="85"/>
      <x:c r="U565" s="85"/>
      <x:c r="V565" s="85"/>
      <x:c r="W565" s="85"/>
      <x:c r="Y565" s="86"/>
      <x:c r="Z565" s="86"/>
      <x:c r="AA565" s="32"/>
    </x:row>
    <x:row r="566">
      <x:c r="A566" s="87"/>
      <x:c r="B566" s="88"/>
      <x:c r="D566" s="32"/>
      <x:c r="I566" s="74"/>
      <x:c r="J566" s="74"/>
      <x:c r="K566" s="74"/>
      <x:c r="L566" s="74"/>
      <x:c r="M566" s="74"/>
      <x:c r="N566" s="74"/>
      <x:c r="O566" s="91"/>
      <x:c r="P566" s="91"/>
      <x:c r="Q566" s="85"/>
      <x:c r="R566" s="85"/>
      <x:c r="S566" s="85"/>
      <x:c r="T566" s="85"/>
      <x:c r="U566" s="85"/>
      <x:c r="V566" s="85"/>
      <x:c r="W566" s="85"/>
      <x:c r="Y566" s="86"/>
      <x:c r="Z566" s="86"/>
      <x:c r="AA566" s="32"/>
    </x:row>
    <x:row r="567">
      <x:c r="A567" s="87"/>
      <x:c r="B567" s="88"/>
      <x:c r="D567" s="32"/>
      <x:c r="I567" s="74"/>
      <x:c r="J567" s="74"/>
      <x:c r="K567" s="74"/>
      <x:c r="L567" s="74"/>
      <x:c r="M567" s="74"/>
      <x:c r="N567" s="74"/>
      <x:c r="O567" s="91"/>
      <x:c r="P567" s="91"/>
      <x:c r="Q567" s="85"/>
      <x:c r="R567" s="85"/>
      <x:c r="S567" s="85"/>
      <x:c r="T567" s="85"/>
      <x:c r="U567" s="85"/>
      <x:c r="V567" s="85"/>
      <x:c r="W567" s="85"/>
      <x:c r="Y567" s="86"/>
      <x:c r="Z567" s="86"/>
      <x:c r="AA567" s="32"/>
    </x:row>
    <x:row r="568">
      <x:c r="A568" s="87"/>
      <x:c r="B568" s="88"/>
      <x:c r="D568" s="32"/>
      <x:c r="I568" s="74"/>
      <x:c r="J568" s="74"/>
      <x:c r="K568" s="74"/>
      <x:c r="L568" s="74"/>
      <x:c r="M568" s="74"/>
      <x:c r="N568" s="74"/>
      <x:c r="O568" s="91"/>
      <x:c r="P568" s="91"/>
      <x:c r="Q568" s="85"/>
      <x:c r="R568" s="85"/>
      <x:c r="S568" s="85"/>
      <x:c r="T568" s="85"/>
      <x:c r="U568" s="85"/>
      <x:c r="V568" s="85"/>
      <x:c r="W568" s="85"/>
      <x:c r="Y568" s="86"/>
      <x:c r="Z568" s="86"/>
      <x:c r="AA568" s="32"/>
    </x:row>
    <x:row r="569">
      <x:c r="A569" s="87"/>
      <x:c r="B569" s="88"/>
      <x:c r="D569" s="32"/>
      <x:c r="I569" s="74"/>
      <x:c r="J569" s="74"/>
      <x:c r="K569" s="74"/>
      <x:c r="L569" s="74"/>
      <x:c r="M569" s="74"/>
      <x:c r="N569" s="74"/>
      <x:c r="O569" s="91"/>
      <x:c r="P569" s="91"/>
      <x:c r="Q569" s="85"/>
      <x:c r="R569" s="85"/>
      <x:c r="S569" s="85"/>
      <x:c r="T569" s="85"/>
      <x:c r="U569" s="85"/>
      <x:c r="V569" s="85"/>
      <x:c r="W569" s="85"/>
      <x:c r="Y569" s="86"/>
      <x:c r="Z569" s="86"/>
      <x:c r="AA569" s="32"/>
    </x:row>
    <x:row r="570">
      <x:c r="A570" s="87"/>
      <x:c r="B570" s="88"/>
      <x:c r="D570" s="32"/>
      <x:c r="I570" s="74"/>
      <x:c r="J570" s="74"/>
      <x:c r="K570" s="74"/>
      <x:c r="L570" s="74"/>
      <x:c r="M570" s="74"/>
      <x:c r="N570" s="74"/>
      <x:c r="O570" s="91"/>
      <x:c r="P570" s="91"/>
      <x:c r="Q570" s="85"/>
      <x:c r="R570" s="85"/>
      <x:c r="S570" s="85"/>
      <x:c r="T570" s="85"/>
      <x:c r="U570" s="85"/>
      <x:c r="V570" s="85"/>
      <x:c r="W570" s="85"/>
      <x:c r="Y570" s="86"/>
      <x:c r="Z570" s="86"/>
      <x:c r="AA570" s="32"/>
    </x:row>
    <x:row r="571">
      <x:c r="A571" s="87"/>
      <x:c r="B571" s="88"/>
      <x:c r="D571" s="32"/>
      <x:c r="I571" s="74"/>
      <x:c r="J571" s="74"/>
      <x:c r="K571" s="74"/>
      <x:c r="L571" s="74"/>
      <x:c r="M571" s="74"/>
      <x:c r="N571" s="74"/>
      <x:c r="O571" s="91"/>
      <x:c r="P571" s="91"/>
      <x:c r="Q571" s="85"/>
      <x:c r="R571" s="85"/>
      <x:c r="S571" s="85"/>
      <x:c r="T571" s="85"/>
      <x:c r="U571" s="85"/>
      <x:c r="V571" s="85"/>
      <x:c r="W571" s="85"/>
      <x:c r="Y571" s="86"/>
      <x:c r="Z571" s="86"/>
      <x:c r="AA571" s="32"/>
    </x:row>
    <x:row r="572">
      <x:c r="A572" s="87"/>
      <x:c r="B572" s="88"/>
      <x:c r="D572" s="32"/>
      <x:c r="I572" s="74"/>
      <x:c r="J572" s="74"/>
      <x:c r="K572" s="74"/>
      <x:c r="L572" s="74"/>
      <x:c r="M572" s="74"/>
      <x:c r="N572" s="74"/>
      <x:c r="O572" s="91"/>
      <x:c r="P572" s="91"/>
      <x:c r="Q572" s="85"/>
      <x:c r="R572" s="85"/>
      <x:c r="S572" s="85"/>
      <x:c r="T572" s="85"/>
      <x:c r="U572" s="85"/>
      <x:c r="V572" s="85"/>
      <x:c r="W572" s="85"/>
      <x:c r="Y572" s="86"/>
      <x:c r="Z572" s="86"/>
      <x:c r="AA572" s="32"/>
    </x:row>
    <x:row r="573">
      <x:c r="A573" s="87"/>
      <x:c r="B573" s="88"/>
      <x:c r="D573" s="32"/>
      <x:c r="I573" s="74"/>
      <x:c r="J573" s="74"/>
      <x:c r="K573" s="74"/>
      <x:c r="L573" s="74"/>
      <x:c r="M573" s="74"/>
      <x:c r="N573" s="74"/>
      <x:c r="O573" s="91"/>
      <x:c r="P573" s="91"/>
      <x:c r="Q573" s="85"/>
      <x:c r="R573" s="85"/>
      <x:c r="S573" s="85"/>
      <x:c r="T573" s="85"/>
      <x:c r="U573" s="85"/>
      <x:c r="V573" s="85"/>
      <x:c r="W573" s="85"/>
      <x:c r="Y573" s="86"/>
      <x:c r="Z573" s="86"/>
      <x:c r="AA573" s="32"/>
    </x:row>
    <x:row r="574">
      <x:c r="A574" s="87"/>
      <x:c r="B574" s="88"/>
      <x:c r="D574" s="32"/>
      <x:c r="I574" s="74"/>
      <x:c r="J574" s="74"/>
      <x:c r="K574" s="74"/>
      <x:c r="L574" s="74"/>
      <x:c r="M574" s="74"/>
      <x:c r="N574" s="74"/>
      <x:c r="O574" s="91"/>
      <x:c r="P574" s="91"/>
      <x:c r="Q574" s="85"/>
      <x:c r="R574" s="85"/>
      <x:c r="S574" s="85"/>
      <x:c r="T574" s="85"/>
      <x:c r="U574" s="85"/>
      <x:c r="V574" s="85"/>
      <x:c r="W574" s="85"/>
      <x:c r="Y574" s="86"/>
      <x:c r="Z574" s="86"/>
      <x:c r="AA574" s="32"/>
    </x:row>
    <x:row r="575">
      <x:c r="A575" s="87"/>
      <x:c r="B575" s="88"/>
      <x:c r="D575" s="32"/>
      <x:c r="I575" s="74"/>
      <x:c r="J575" s="74"/>
      <x:c r="K575" s="74"/>
      <x:c r="L575" s="74"/>
      <x:c r="M575" s="74"/>
      <x:c r="N575" s="74"/>
      <x:c r="O575" s="91"/>
      <x:c r="P575" s="91"/>
      <x:c r="Q575" s="85"/>
      <x:c r="R575" s="85"/>
      <x:c r="S575" s="85"/>
      <x:c r="T575" s="85"/>
      <x:c r="U575" s="85"/>
      <x:c r="V575" s="85"/>
      <x:c r="W575" s="85"/>
      <x:c r="Y575" s="86"/>
      <x:c r="Z575" s="86"/>
      <x:c r="AA575" s="32"/>
    </x:row>
    <x:row r="576">
      <x:c r="A576" s="87"/>
      <x:c r="B576" s="88"/>
      <x:c r="D576" s="32"/>
      <x:c r="I576" s="74"/>
      <x:c r="J576" s="74"/>
      <x:c r="K576" s="74"/>
      <x:c r="L576" s="74"/>
      <x:c r="M576" s="74"/>
      <x:c r="N576" s="74"/>
      <x:c r="O576" s="91"/>
      <x:c r="P576" s="91"/>
      <x:c r="Q576" s="85"/>
      <x:c r="R576" s="85"/>
      <x:c r="S576" s="85"/>
      <x:c r="T576" s="85"/>
      <x:c r="U576" s="85"/>
      <x:c r="V576" s="85"/>
      <x:c r="W576" s="85"/>
      <x:c r="Y576" s="86"/>
      <x:c r="Z576" s="86"/>
      <x:c r="AA576" s="32"/>
    </x:row>
    <x:row r="577">
      <x:c r="A577" s="87"/>
      <x:c r="B577" s="88"/>
      <x:c r="D577" s="32"/>
      <x:c r="I577" s="74"/>
      <x:c r="J577" s="74"/>
      <x:c r="K577" s="74"/>
      <x:c r="L577" s="74"/>
      <x:c r="M577" s="74"/>
      <x:c r="N577" s="74"/>
      <x:c r="O577" s="91"/>
      <x:c r="P577" s="91"/>
      <x:c r="Q577" s="85"/>
      <x:c r="R577" s="85"/>
      <x:c r="S577" s="85"/>
      <x:c r="T577" s="85"/>
      <x:c r="U577" s="85"/>
      <x:c r="V577" s="85"/>
      <x:c r="W577" s="85"/>
      <x:c r="Y577" s="86"/>
      <x:c r="Z577" s="86"/>
      <x:c r="AA577" s="32"/>
    </x:row>
    <x:row r="578">
      <x:c r="A578" s="87"/>
      <x:c r="B578" s="88"/>
      <x:c r="D578" s="32"/>
      <x:c r="I578" s="74"/>
      <x:c r="J578" s="74"/>
      <x:c r="K578" s="74"/>
      <x:c r="L578" s="74"/>
      <x:c r="M578" s="74"/>
      <x:c r="N578" s="74"/>
      <x:c r="O578" s="91"/>
      <x:c r="P578" s="91"/>
      <x:c r="Q578" s="85"/>
      <x:c r="R578" s="85"/>
      <x:c r="S578" s="85"/>
      <x:c r="T578" s="85"/>
      <x:c r="U578" s="85"/>
      <x:c r="V578" s="85"/>
      <x:c r="W578" s="85"/>
      <x:c r="Y578" s="86"/>
      <x:c r="Z578" s="86"/>
      <x:c r="AA578" s="32"/>
    </x:row>
    <x:row r="579">
      <x:c r="A579" s="87"/>
      <x:c r="B579" s="88"/>
      <x:c r="D579" s="32"/>
      <x:c r="I579" s="74"/>
      <x:c r="J579" s="74"/>
      <x:c r="K579" s="74"/>
      <x:c r="L579" s="74"/>
      <x:c r="M579" s="74"/>
      <x:c r="N579" s="74"/>
      <x:c r="O579" s="91"/>
      <x:c r="P579" s="91"/>
      <x:c r="Q579" s="85"/>
      <x:c r="R579" s="85"/>
      <x:c r="S579" s="85"/>
      <x:c r="T579" s="85"/>
      <x:c r="U579" s="85"/>
      <x:c r="V579" s="85"/>
      <x:c r="W579" s="85"/>
      <x:c r="Y579" s="86"/>
      <x:c r="Z579" s="86"/>
      <x:c r="AA579" s="32"/>
    </x:row>
    <x:row r="580">
      <x:c r="A580" s="87"/>
      <x:c r="B580" s="88"/>
      <x:c r="D580" s="32"/>
      <x:c r="I580" s="74"/>
      <x:c r="J580" s="74"/>
      <x:c r="K580" s="74"/>
      <x:c r="L580" s="74"/>
      <x:c r="M580" s="74"/>
      <x:c r="N580" s="74"/>
      <x:c r="O580" s="91"/>
      <x:c r="P580" s="91"/>
      <x:c r="Q580" s="85"/>
      <x:c r="R580" s="85"/>
      <x:c r="S580" s="85"/>
      <x:c r="T580" s="85"/>
      <x:c r="U580" s="85"/>
      <x:c r="V580" s="85"/>
      <x:c r="W580" s="85"/>
      <x:c r="Y580" s="86"/>
      <x:c r="Z580" s="86"/>
      <x:c r="AA580" s="32"/>
    </x:row>
    <x:row r="581">
      <x:c r="A581" s="87"/>
      <x:c r="B581" s="88"/>
      <x:c r="D581" s="32"/>
      <x:c r="I581" s="74"/>
      <x:c r="J581" s="74"/>
      <x:c r="K581" s="74"/>
      <x:c r="L581" s="74"/>
      <x:c r="M581" s="74"/>
      <x:c r="N581" s="74"/>
      <x:c r="O581" s="91"/>
      <x:c r="P581" s="91"/>
      <x:c r="Q581" s="85"/>
      <x:c r="R581" s="85"/>
      <x:c r="S581" s="85"/>
      <x:c r="T581" s="85"/>
      <x:c r="U581" s="85"/>
      <x:c r="V581" s="85"/>
      <x:c r="W581" s="85"/>
      <x:c r="Y581" s="86"/>
      <x:c r="Z581" s="86"/>
      <x:c r="AA581" s="32"/>
    </x:row>
    <x:row r="582">
      <x:c r="A582" s="87"/>
      <x:c r="B582" s="88"/>
      <x:c r="D582" s="32"/>
      <x:c r="I582" s="74"/>
      <x:c r="J582" s="74"/>
      <x:c r="K582" s="74"/>
      <x:c r="L582" s="74"/>
      <x:c r="M582" s="74"/>
      <x:c r="N582" s="74"/>
      <x:c r="O582" s="91"/>
      <x:c r="P582" s="91"/>
      <x:c r="Q582" s="85"/>
      <x:c r="R582" s="85"/>
      <x:c r="S582" s="85"/>
      <x:c r="T582" s="85"/>
      <x:c r="U582" s="85"/>
      <x:c r="V582" s="85"/>
      <x:c r="W582" s="85"/>
      <x:c r="Y582" s="86"/>
      <x:c r="Z582" s="86"/>
      <x:c r="AA582" s="32"/>
    </x:row>
    <x:row r="583">
      <x:c r="A583" s="87"/>
      <x:c r="B583" s="88"/>
      <x:c r="D583" s="32"/>
      <x:c r="I583" s="74"/>
      <x:c r="J583" s="74"/>
      <x:c r="K583" s="74"/>
      <x:c r="L583" s="74"/>
      <x:c r="M583" s="74"/>
      <x:c r="N583" s="74"/>
      <x:c r="O583" s="91"/>
      <x:c r="P583" s="91"/>
      <x:c r="Q583" s="85"/>
      <x:c r="R583" s="85"/>
      <x:c r="S583" s="85"/>
      <x:c r="T583" s="85"/>
      <x:c r="U583" s="85"/>
      <x:c r="V583" s="85"/>
      <x:c r="W583" s="85"/>
      <x:c r="Y583" s="86"/>
      <x:c r="Z583" s="86"/>
      <x:c r="AA583" s="32"/>
    </x:row>
    <x:row r="584">
      <x:c r="A584" s="87"/>
      <x:c r="B584" s="88"/>
      <x:c r="D584" s="32"/>
      <x:c r="I584" s="74"/>
      <x:c r="J584" s="74"/>
      <x:c r="K584" s="74"/>
      <x:c r="L584" s="74"/>
      <x:c r="M584" s="74"/>
      <x:c r="N584" s="74"/>
      <x:c r="O584" s="91"/>
      <x:c r="P584" s="91"/>
      <x:c r="Q584" s="85"/>
      <x:c r="R584" s="85"/>
      <x:c r="S584" s="85"/>
      <x:c r="T584" s="85"/>
      <x:c r="U584" s="85"/>
      <x:c r="V584" s="85"/>
      <x:c r="W584" s="85"/>
      <x:c r="Y584" s="86"/>
      <x:c r="Z584" s="86"/>
      <x:c r="AA584" s="32"/>
    </x:row>
    <x:row r="585">
      <x:c r="A585" s="87"/>
      <x:c r="B585" s="88"/>
      <x:c r="D585" s="32"/>
      <x:c r="I585" s="74"/>
      <x:c r="J585" s="74"/>
      <x:c r="K585" s="74"/>
      <x:c r="L585" s="74"/>
      <x:c r="M585" s="74"/>
      <x:c r="N585" s="74"/>
      <x:c r="O585" s="91"/>
      <x:c r="P585" s="91"/>
      <x:c r="Q585" s="85"/>
      <x:c r="R585" s="85"/>
      <x:c r="S585" s="85"/>
      <x:c r="T585" s="85"/>
      <x:c r="U585" s="85"/>
      <x:c r="V585" s="85"/>
      <x:c r="W585" s="85"/>
      <x:c r="Y585" s="86"/>
      <x:c r="Z585" s="86"/>
      <x:c r="AA585" s="32"/>
    </x:row>
    <x:row r="586">
      <x:c r="A586" s="87"/>
      <x:c r="B586" s="88"/>
      <x:c r="D586" s="32"/>
      <x:c r="I586" s="74"/>
      <x:c r="J586" s="74"/>
      <x:c r="K586" s="74"/>
      <x:c r="L586" s="74"/>
      <x:c r="M586" s="74"/>
      <x:c r="N586" s="74"/>
      <x:c r="O586" s="91"/>
      <x:c r="P586" s="91"/>
      <x:c r="Q586" s="85"/>
      <x:c r="R586" s="85"/>
      <x:c r="S586" s="85"/>
      <x:c r="T586" s="85"/>
      <x:c r="U586" s="85"/>
      <x:c r="V586" s="85"/>
      <x:c r="W586" s="85"/>
      <x:c r="Y586" s="86"/>
      <x:c r="Z586" s="86"/>
      <x:c r="AA586" s="32"/>
    </x:row>
    <x:row r="587">
      <x:c r="A587" s="87"/>
      <x:c r="B587" s="88"/>
      <x:c r="D587" s="32"/>
      <x:c r="I587" s="74"/>
      <x:c r="J587" s="74"/>
      <x:c r="K587" s="74"/>
      <x:c r="L587" s="74"/>
      <x:c r="M587" s="74"/>
      <x:c r="N587" s="74"/>
      <x:c r="O587" s="91"/>
      <x:c r="P587" s="91"/>
      <x:c r="Q587" s="85"/>
      <x:c r="R587" s="85"/>
      <x:c r="S587" s="85"/>
      <x:c r="T587" s="85"/>
      <x:c r="U587" s="85"/>
      <x:c r="V587" s="85"/>
      <x:c r="W587" s="85"/>
      <x:c r="Y587" s="86"/>
      <x:c r="Z587" s="86"/>
      <x:c r="AA587" s="32"/>
    </x:row>
    <x:row r="588">
      <x:c r="A588" s="87"/>
      <x:c r="B588" s="88"/>
      <x:c r="D588" s="32"/>
      <x:c r="I588" s="74"/>
      <x:c r="J588" s="74"/>
      <x:c r="K588" s="74"/>
      <x:c r="L588" s="74"/>
      <x:c r="M588" s="74"/>
      <x:c r="N588" s="74"/>
      <x:c r="O588" s="91"/>
      <x:c r="P588" s="91"/>
      <x:c r="Q588" s="85"/>
      <x:c r="R588" s="85"/>
      <x:c r="S588" s="85"/>
      <x:c r="T588" s="85"/>
      <x:c r="U588" s="85"/>
      <x:c r="V588" s="85"/>
      <x:c r="W588" s="85"/>
      <x:c r="Y588" s="86"/>
      <x:c r="Z588" s="86"/>
      <x:c r="AA588" s="32"/>
    </x:row>
    <x:row r="589">
      <x:c r="A589" s="87"/>
      <x:c r="B589" s="88"/>
      <x:c r="D589" s="32"/>
      <x:c r="I589" s="74"/>
      <x:c r="J589" s="74"/>
      <x:c r="K589" s="74"/>
      <x:c r="L589" s="74"/>
      <x:c r="M589" s="74"/>
      <x:c r="N589" s="74"/>
      <x:c r="O589" s="91"/>
      <x:c r="P589" s="91"/>
      <x:c r="Q589" s="85"/>
      <x:c r="R589" s="85"/>
      <x:c r="S589" s="85"/>
      <x:c r="T589" s="85"/>
      <x:c r="U589" s="85"/>
      <x:c r="V589" s="85"/>
      <x:c r="W589" s="85"/>
      <x:c r="Y589" s="86"/>
      <x:c r="Z589" s="86"/>
      <x:c r="AA589" s="32"/>
    </x:row>
    <x:row r="590">
      <x:c r="A590" s="87"/>
      <x:c r="B590" s="88"/>
      <x:c r="D590" s="32"/>
      <x:c r="I590" s="74"/>
      <x:c r="J590" s="74"/>
      <x:c r="K590" s="74"/>
      <x:c r="L590" s="74"/>
      <x:c r="M590" s="74"/>
      <x:c r="N590" s="74"/>
      <x:c r="O590" s="91"/>
      <x:c r="P590" s="91"/>
      <x:c r="Q590" s="85"/>
      <x:c r="R590" s="85"/>
      <x:c r="S590" s="85"/>
      <x:c r="T590" s="85"/>
      <x:c r="U590" s="85"/>
      <x:c r="V590" s="85"/>
      <x:c r="W590" s="85"/>
      <x:c r="Y590" s="86"/>
      <x:c r="Z590" s="86"/>
      <x:c r="AA590" s="32"/>
    </x:row>
    <x:row r="591">
      <x:c r="A591" s="87"/>
      <x:c r="B591" s="88"/>
      <x:c r="D591" s="32"/>
      <x:c r="I591" s="74"/>
      <x:c r="J591" s="74"/>
      <x:c r="K591" s="74"/>
      <x:c r="L591" s="74"/>
      <x:c r="M591" s="74"/>
      <x:c r="N591" s="74"/>
      <x:c r="O591" s="91"/>
      <x:c r="P591" s="91"/>
      <x:c r="Q591" s="85"/>
      <x:c r="R591" s="85"/>
      <x:c r="S591" s="85"/>
      <x:c r="T591" s="85"/>
      <x:c r="U591" s="85"/>
      <x:c r="V591" s="85"/>
      <x:c r="W591" s="85"/>
      <x:c r="Y591" s="86"/>
      <x:c r="Z591" s="86"/>
      <x:c r="AA591" s="32"/>
    </x:row>
    <x:row r="592">
      <x:c r="A592" s="87"/>
      <x:c r="B592" s="88"/>
      <x:c r="D592" s="32"/>
      <x:c r="I592" s="74"/>
      <x:c r="J592" s="74"/>
      <x:c r="K592" s="74"/>
      <x:c r="L592" s="74"/>
      <x:c r="M592" s="74"/>
      <x:c r="N592" s="74"/>
      <x:c r="O592" s="91"/>
      <x:c r="P592" s="91"/>
      <x:c r="Q592" s="85"/>
      <x:c r="R592" s="85"/>
      <x:c r="S592" s="85"/>
      <x:c r="T592" s="85"/>
      <x:c r="U592" s="85"/>
      <x:c r="V592" s="85"/>
      <x:c r="W592" s="85"/>
      <x:c r="Y592" s="86"/>
      <x:c r="Z592" s="86"/>
      <x:c r="AA592" s="32"/>
    </x:row>
    <x:row r="593">
      <x:c r="A593" s="87"/>
      <x:c r="B593" s="88"/>
      <x:c r="D593" s="32"/>
      <x:c r="I593" s="74"/>
      <x:c r="J593" s="74"/>
      <x:c r="K593" s="74"/>
      <x:c r="L593" s="74"/>
      <x:c r="M593" s="74"/>
      <x:c r="N593" s="74"/>
      <x:c r="O593" s="91"/>
      <x:c r="P593" s="91"/>
      <x:c r="Q593" s="85"/>
      <x:c r="R593" s="85"/>
      <x:c r="S593" s="85"/>
      <x:c r="T593" s="85"/>
      <x:c r="U593" s="85"/>
      <x:c r="V593" s="85"/>
      <x:c r="W593" s="85"/>
      <x:c r="Y593" s="86"/>
      <x:c r="Z593" s="86"/>
      <x:c r="AA593" s="32"/>
    </x:row>
    <x:row r="594">
      <x:c r="A594" s="87"/>
      <x:c r="B594" s="88"/>
      <x:c r="D594" s="32"/>
      <x:c r="I594" s="74"/>
      <x:c r="J594" s="74"/>
      <x:c r="K594" s="74"/>
      <x:c r="L594" s="74"/>
      <x:c r="M594" s="74"/>
      <x:c r="N594" s="74"/>
      <x:c r="O594" s="91"/>
      <x:c r="P594" s="91"/>
      <x:c r="Q594" s="85"/>
      <x:c r="R594" s="85"/>
      <x:c r="S594" s="85"/>
      <x:c r="T594" s="85"/>
      <x:c r="U594" s="85"/>
      <x:c r="V594" s="85"/>
      <x:c r="W594" s="85"/>
      <x:c r="Y594" s="86"/>
      <x:c r="Z594" s="86"/>
      <x:c r="AA594" s="32"/>
    </x:row>
    <x:row r="595">
      <x:c r="A595" s="87"/>
      <x:c r="B595" s="88"/>
      <x:c r="D595" s="32"/>
      <x:c r="I595" s="74"/>
      <x:c r="J595" s="74"/>
      <x:c r="K595" s="74"/>
      <x:c r="L595" s="74"/>
      <x:c r="M595" s="74"/>
      <x:c r="N595" s="74"/>
      <x:c r="O595" s="91"/>
      <x:c r="P595" s="91"/>
      <x:c r="Q595" s="85"/>
      <x:c r="R595" s="85"/>
      <x:c r="S595" s="85"/>
      <x:c r="T595" s="85"/>
      <x:c r="U595" s="85"/>
      <x:c r="V595" s="85"/>
      <x:c r="W595" s="85"/>
      <x:c r="Y595" s="86"/>
      <x:c r="Z595" s="86"/>
      <x:c r="AA595" s="32"/>
    </x:row>
    <x:row r="596">
      <x:c r="A596" s="87"/>
      <x:c r="B596" s="88"/>
      <x:c r="D596" s="32"/>
      <x:c r="I596" s="74"/>
      <x:c r="J596" s="74"/>
      <x:c r="K596" s="74"/>
      <x:c r="L596" s="74"/>
      <x:c r="M596" s="74"/>
      <x:c r="N596" s="74"/>
      <x:c r="O596" s="91"/>
      <x:c r="P596" s="91"/>
      <x:c r="Q596" s="85"/>
      <x:c r="R596" s="85"/>
      <x:c r="S596" s="85"/>
      <x:c r="T596" s="85"/>
      <x:c r="U596" s="85"/>
      <x:c r="V596" s="85"/>
      <x:c r="W596" s="85"/>
      <x:c r="Y596" s="86"/>
      <x:c r="Z596" s="86"/>
      <x:c r="AA596" s="32"/>
    </x:row>
    <x:row r="597">
      <x:c r="A597" s="87"/>
      <x:c r="B597" s="88"/>
      <x:c r="D597" s="32"/>
      <x:c r="I597" s="74"/>
      <x:c r="J597" s="74"/>
      <x:c r="K597" s="74"/>
      <x:c r="L597" s="74"/>
      <x:c r="M597" s="74"/>
      <x:c r="N597" s="74"/>
      <x:c r="O597" s="91"/>
      <x:c r="P597" s="91"/>
      <x:c r="Q597" s="85"/>
      <x:c r="R597" s="85"/>
      <x:c r="S597" s="85"/>
      <x:c r="T597" s="85"/>
      <x:c r="U597" s="85"/>
      <x:c r="V597" s="85"/>
      <x:c r="W597" s="85"/>
      <x:c r="Y597" s="86"/>
      <x:c r="Z597" s="86"/>
      <x:c r="AA597" s="32"/>
    </x:row>
    <x:row r="598">
      <x:c r="A598" s="87"/>
      <x:c r="B598" s="88"/>
      <x:c r="D598" s="32"/>
      <x:c r="I598" s="74"/>
      <x:c r="J598" s="74"/>
      <x:c r="K598" s="74"/>
      <x:c r="L598" s="74"/>
      <x:c r="M598" s="74"/>
      <x:c r="N598" s="74"/>
      <x:c r="O598" s="91"/>
      <x:c r="P598" s="91"/>
      <x:c r="Q598" s="85"/>
      <x:c r="R598" s="85"/>
      <x:c r="S598" s="85"/>
      <x:c r="T598" s="85"/>
      <x:c r="U598" s="85"/>
      <x:c r="V598" s="85"/>
      <x:c r="W598" s="85"/>
      <x:c r="Y598" s="86"/>
      <x:c r="Z598" s="86"/>
      <x:c r="AA598" s="32"/>
    </x:row>
    <x:row r="599">
      <x:c r="A599" s="87"/>
      <x:c r="B599" s="88"/>
      <x:c r="D599" s="32"/>
      <x:c r="I599" s="74"/>
      <x:c r="J599" s="74"/>
      <x:c r="K599" s="74"/>
      <x:c r="L599" s="74"/>
      <x:c r="M599" s="74"/>
      <x:c r="N599" s="74"/>
      <x:c r="O599" s="91"/>
      <x:c r="P599" s="91"/>
      <x:c r="Q599" s="85"/>
      <x:c r="R599" s="85"/>
      <x:c r="S599" s="85"/>
      <x:c r="T599" s="85"/>
      <x:c r="U599" s="85"/>
      <x:c r="V599" s="85"/>
      <x:c r="W599" s="85"/>
      <x:c r="Y599" s="86"/>
      <x:c r="Z599" s="86"/>
      <x:c r="AA599" s="32"/>
    </x:row>
    <x:row r="600">
      <x:c r="A600" s="87"/>
      <x:c r="B600" s="88"/>
      <x:c r="D600" s="32"/>
      <x:c r="I600" s="74"/>
      <x:c r="J600" s="74"/>
      <x:c r="K600" s="74"/>
      <x:c r="L600" s="74"/>
      <x:c r="M600" s="74"/>
      <x:c r="N600" s="74"/>
      <x:c r="O600" s="91"/>
      <x:c r="P600" s="91"/>
      <x:c r="Q600" s="85"/>
      <x:c r="R600" s="85"/>
      <x:c r="S600" s="85"/>
      <x:c r="T600" s="85"/>
      <x:c r="U600" s="85"/>
      <x:c r="V600" s="85"/>
      <x:c r="W600" s="85"/>
      <x:c r="Y600" s="86"/>
      <x:c r="Z600" s="86"/>
      <x:c r="AA600" s="32"/>
    </x:row>
    <x:row r="601">
      <x:c r="A601" s="87"/>
      <x:c r="B601" s="88"/>
      <x:c r="D601" s="32"/>
      <x:c r="I601" s="74"/>
      <x:c r="J601" s="74"/>
      <x:c r="K601" s="74"/>
      <x:c r="L601" s="74"/>
      <x:c r="M601" s="74"/>
      <x:c r="N601" s="74"/>
      <x:c r="O601" s="91"/>
      <x:c r="P601" s="91"/>
      <x:c r="Q601" s="85"/>
      <x:c r="R601" s="85"/>
      <x:c r="S601" s="85"/>
      <x:c r="T601" s="85"/>
      <x:c r="U601" s="85"/>
      <x:c r="V601" s="85"/>
      <x:c r="W601" s="85"/>
      <x:c r="Y601" s="86"/>
      <x:c r="Z601" s="86"/>
      <x:c r="AA601" s="32"/>
    </x:row>
    <x:row r="602">
      <x:c r="A602" s="87"/>
      <x:c r="B602" s="88"/>
      <x:c r="D602" s="32"/>
      <x:c r="I602" s="74"/>
      <x:c r="J602" s="74"/>
      <x:c r="K602" s="74"/>
      <x:c r="L602" s="74"/>
      <x:c r="M602" s="74"/>
      <x:c r="N602" s="74"/>
      <x:c r="O602" s="91"/>
      <x:c r="P602" s="91"/>
      <x:c r="Q602" s="85"/>
      <x:c r="R602" s="85"/>
      <x:c r="S602" s="85"/>
      <x:c r="T602" s="85"/>
      <x:c r="U602" s="85"/>
      <x:c r="V602" s="85"/>
      <x:c r="W602" s="85"/>
      <x:c r="Y602" s="86"/>
      <x:c r="Z602" s="86"/>
      <x:c r="AA602" s="32"/>
    </x:row>
    <x:row r="603">
      <x:c r="A603" s="87"/>
      <x:c r="B603" s="88"/>
      <x:c r="D603" s="32"/>
      <x:c r="I603" s="74"/>
      <x:c r="J603" s="74"/>
      <x:c r="K603" s="74"/>
      <x:c r="L603" s="74"/>
      <x:c r="M603" s="74"/>
      <x:c r="N603" s="74"/>
      <x:c r="O603" s="91"/>
      <x:c r="P603" s="91"/>
      <x:c r="Q603" s="85"/>
      <x:c r="R603" s="85"/>
      <x:c r="S603" s="85"/>
      <x:c r="T603" s="85"/>
      <x:c r="U603" s="85"/>
      <x:c r="V603" s="85"/>
      <x:c r="W603" s="85"/>
      <x:c r="Y603" s="86"/>
      <x:c r="Z603" s="86"/>
      <x:c r="AA603" s="32"/>
    </x:row>
    <x:row r="604">
      <x:c r="A604" s="87"/>
      <x:c r="B604" s="88"/>
      <x:c r="D604" s="32"/>
      <x:c r="I604" s="74"/>
      <x:c r="J604" s="74"/>
      <x:c r="K604" s="74"/>
      <x:c r="L604" s="74"/>
      <x:c r="M604" s="74"/>
      <x:c r="N604" s="74"/>
      <x:c r="O604" s="91"/>
      <x:c r="P604" s="91"/>
      <x:c r="Q604" s="85"/>
      <x:c r="R604" s="85"/>
      <x:c r="S604" s="85"/>
      <x:c r="T604" s="85"/>
      <x:c r="U604" s="85"/>
      <x:c r="V604" s="85"/>
      <x:c r="W604" s="85"/>
      <x:c r="Y604" s="86"/>
      <x:c r="Z604" s="86"/>
      <x:c r="AA604" s="32"/>
    </x:row>
    <x:row r="605">
      <x:c r="A605" s="87"/>
      <x:c r="B605" s="88"/>
      <x:c r="D605" s="32"/>
      <x:c r="I605" s="74"/>
      <x:c r="J605" s="74"/>
      <x:c r="K605" s="74"/>
      <x:c r="L605" s="74"/>
      <x:c r="M605" s="74"/>
      <x:c r="N605" s="74"/>
      <x:c r="O605" s="91"/>
      <x:c r="P605" s="91"/>
      <x:c r="Q605" s="85"/>
      <x:c r="R605" s="85"/>
      <x:c r="S605" s="85"/>
      <x:c r="T605" s="85"/>
      <x:c r="U605" s="85"/>
      <x:c r="V605" s="85"/>
      <x:c r="W605" s="85"/>
      <x:c r="Y605" s="86"/>
      <x:c r="Z605" s="86"/>
      <x:c r="AA605" s="32"/>
    </x:row>
    <x:row r="606">
      <x:c r="A606" s="87"/>
      <x:c r="B606" s="88"/>
      <x:c r="D606" s="32"/>
      <x:c r="I606" s="74"/>
      <x:c r="J606" s="74"/>
      <x:c r="K606" s="74"/>
      <x:c r="L606" s="74"/>
      <x:c r="M606" s="74"/>
      <x:c r="N606" s="74"/>
      <x:c r="O606" s="91"/>
      <x:c r="P606" s="91"/>
      <x:c r="Q606" s="85"/>
      <x:c r="R606" s="85"/>
      <x:c r="S606" s="85"/>
      <x:c r="T606" s="85"/>
      <x:c r="U606" s="85"/>
      <x:c r="V606" s="85"/>
      <x:c r="W606" s="85"/>
      <x:c r="Y606" s="86"/>
      <x:c r="Z606" s="86"/>
      <x:c r="AA606" s="32"/>
    </x:row>
    <x:row r="607">
      <x:c r="A607" s="87"/>
      <x:c r="B607" s="88"/>
      <x:c r="D607" s="32"/>
      <x:c r="I607" s="74"/>
      <x:c r="J607" s="74"/>
      <x:c r="K607" s="74"/>
      <x:c r="L607" s="74"/>
      <x:c r="M607" s="74"/>
      <x:c r="N607" s="74"/>
      <x:c r="O607" s="91"/>
      <x:c r="P607" s="91"/>
      <x:c r="Q607" s="85"/>
      <x:c r="R607" s="85"/>
      <x:c r="S607" s="85"/>
      <x:c r="T607" s="85"/>
      <x:c r="U607" s="85"/>
      <x:c r="V607" s="85"/>
      <x:c r="W607" s="85"/>
      <x:c r="Y607" s="86"/>
      <x:c r="Z607" s="86"/>
      <x:c r="AA607" s="32"/>
    </x:row>
    <x:row r="608">
      <x:c r="A608" s="87"/>
      <x:c r="B608" s="88"/>
      <x:c r="D608" s="32"/>
      <x:c r="I608" s="74"/>
      <x:c r="J608" s="74"/>
      <x:c r="K608" s="74"/>
      <x:c r="L608" s="74"/>
      <x:c r="M608" s="74"/>
      <x:c r="N608" s="74"/>
      <x:c r="O608" s="91"/>
      <x:c r="P608" s="91"/>
      <x:c r="Q608" s="85"/>
      <x:c r="R608" s="85"/>
      <x:c r="S608" s="85"/>
      <x:c r="T608" s="85"/>
      <x:c r="U608" s="85"/>
      <x:c r="V608" s="85"/>
      <x:c r="W608" s="85"/>
      <x:c r="Y608" s="86"/>
      <x:c r="Z608" s="86"/>
      <x:c r="AA608" s="32"/>
    </x:row>
    <x:row r="609">
      <x:c r="A609" s="87"/>
      <x:c r="B609" s="88"/>
      <x:c r="D609" s="32"/>
      <x:c r="I609" s="74"/>
      <x:c r="J609" s="74"/>
      <x:c r="K609" s="74"/>
      <x:c r="L609" s="74"/>
      <x:c r="M609" s="74"/>
      <x:c r="N609" s="74"/>
      <x:c r="O609" s="91"/>
      <x:c r="P609" s="91"/>
      <x:c r="Q609" s="85"/>
      <x:c r="R609" s="85"/>
      <x:c r="S609" s="85"/>
      <x:c r="T609" s="85"/>
      <x:c r="U609" s="85"/>
      <x:c r="V609" s="85"/>
      <x:c r="W609" s="85"/>
      <x:c r="Y609" s="86"/>
      <x:c r="Z609" s="86"/>
      <x:c r="AA609" s="32"/>
    </x:row>
    <x:row r="610">
      <x:c r="A610" s="87"/>
      <x:c r="B610" s="88"/>
      <x:c r="D610" s="32"/>
      <x:c r="I610" s="74"/>
      <x:c r="J610" s="74"/>
      <x:c r="K610" s="74"/>
      <x:c r="L610" s="74"/>
      <x:c r="M610" s="74"/>
      <x:c r="N610" s="74"/>
      <x:c r="O610" s="91"/>
      <x:c r="P610" s="91"/>
      <x:c r="Q610" s="85"/>
      <x:c r="R610" s="85"/>
      <x:c r="S610" s="85"/>
      <x:c r="T610" s="85"/>
      <x:c r="U610" s="85"/>
      <x:c r="V610" s="85"/>
      <x:c r="W610" s="85"/>
      <x:c r="Y610" s="86"/>
      <x:c r="Z610" s="86"/>
      <x:c r="AA610" s="32"/>
    </x:row>
    <x:row r="611">
      <x:c r="A611" s="87"/>
      <x:c r="B611" s="88"/>
      <x:c r="D611" s="32"/>
      <x:c r="I611" s="74"/>
      <x:c r="J611" s="74"/>
      <x:c r="K611" s="74"/>
      <x:c r="L611" s="74"/>
      <x:c r="M611" s="74"/>
      <x:c r="N611" s="74"/>
      <x:c r="O611" s="91"/>
      <x:c r="P611" s="91"/>
      <x:c r="Q611" s="85"/>
      <x:c r="R611" s="85"/>
      <x:c r="S611" s="85"/>
      <x:c r="T611" s="85"/>
      <x:c r="U611" s="85"/>
      <x:c r="V611" s="85"/>
      <x:c r="W611" s="85"/>
      <x:c r="Y611" s="86"/>
      <x:c r="Z611" s="86"/>
      <x:c r="AA611" s="32"/>
    </x:row>
    <x:row r="612">
      <x:c r="A612" s="87"/>
      <x:c r="B612" s="88"/>
      <x:c r="D612" s="32"/>
      <x:c r="I612" s="74"/>
      <x:c r="J612" s="74"/>
      <x:c r="K612" s="74"/>
      <x:c r="L612" s="74"/>
      <x:c r="M612" s="74"/>
      <x:c r="N612" s="74"/>
      <x:c r="O612" s="91"/>
      <x:c r="P612" s="91"/>
      <x:c r="Q612" s="85"/>
      <x:c r="R612" s="85"/>
      <x:c r="S612" s="85"/>
      <x:c r="T612" s="85"/>
      <x:c r="U612" s="85"/>
      <x:c r="V612" s="85"/>
      <x:c r="W612" s="85"/>
      <x:c r="Y612" s="86"/>
      <x:c r="Z612" s="86"/>
      <x:c r="AA612" s="32"/>
    </x:row>
    <x:row r="613">
      <x:c r="A613" s="87"/>
      <x:c r="B613" s="88"/>
      <x:c r="D613" s="32"/>
      <x:c r="I613" s="74"/>
      <x:c r="J613" s="74"/>
      <x:c r="K613" s="74"/>
      <x:c r="L613" s="74"/>
      <x:c r="M613" s="74"/>
      <x:c r="N613" s="74"/>
      <x:c r="O613" s="91"/>
      <x:c r="P613" s="91"/>
      <x:c r="Q613" s="85"/>
      <x:c r="R613" s="85"/>
      <x:c r="S613" s="85"/>
      <x:c r="T613" s="85"/>
      <x:c r="U613" s="85"/>
      <x:c r="V613" s="85"/>
      <x:c r="W613" s="85"/>
      <x:c r="Y613" s="86"/>
      <x:c r="Z613" s="86"/>
      <x:c r="AA613" s="32"/>
    </x:row>
    <x:row r="614">
      <x:c r="A614" s="87"/>
      <x:c r="B614" s="88"/>
      <x:c r="D614" s="32"/>
      <x:c r="I614" s="74"/>
      <x:c r="J614" s="74"/>
      <x:c r="K614" s="74"/>
      <x:c r="L614" s="74"/>
      <x:c r="M614" s="74"/>
      <x:c r="N614" s="74"/>
      <x:c r="O614" s="91"/>
      <x:c r="P614" s="91"/>
      <x:c r="Q614" s="85"/>
      <x:c r="R614" s="85"/>
      <x:c r="S614" s="85"/>
      <x:c r="T614" s="85"/>
      <x:c r="U614" s="85"/>
      <x:c r="V614" s="85"/>
      <x:c r="W614" s="85"/>
      <x:c r="Y614" s="86"/>
      <x:c r="Z614" s="86"/>
      <x:c r="AA614" s="32"/>
    </x:row>
    <x:row r="615">
      <x:c r="A615" s="87"/>
      <x:c r="B615" s="88"/>
      <x:c r="D615" s="32"/>
      <x:c r="I615" s="74"/>
      <x:c r="J615" s="74"/>
      <x:c r="K615" s="74"/>
      <x:c r="L615" s="74"/>
      <x:c r="M615" s="74"/>
      <x:c r="N615" s="74"/>
      <x:c r="O615" s="91"/>
      <x:c r="P615" s="91"/>
      <x:c r="Q615" s="85"/>
      <x:c r="R615" s="85"/>
      <x:c r="S615" s="85"/>
      <x:c r="T615" s="85"/>
      <x:c r="U615" s="85"/>
      <x:c r="V615" s="85"/>
      <x:c r="W615" s="85"/>
      <x:c r="Y615" s="86"/>
      <x:c r="Z615" s="86"/>
      <x:c r="AA615" s="32"/>
    </x:row>
    <x:row r="616">
      <x:c r="A616" s="87"/>
      <x:c r="B616" s="88"/>
      <x:c r="D616" s="32"/>
      <x:c r="I616" s="74"/>
      <x:c r="J616" s="74"/>
      <x:c r="K616" s="74"/>
      <x:c r="L616" s="74"/>
      <x:c r="M616" s="74"/>
      <x:c r="N616" s="74"/>
      <x:c r="O616" s="91"/>
      <x:c r="P616" s="91"/>
      <x:c r="Q616" s="85"/>
      <x:c r="R616" s="85"/>
      <x:c r="S616" s="85"/>
      <x:c r="T616" s="85"/>
      <x:c r="U616" s="85"/>
      <x:c r="V616" s="85"/>
      <x:c r="W616" s="85"/>
      <x:c r="Y616" s="86"/>
      <x:c r="Z616" s="86"/>
      <x:c r="AA616" s="32"/>
    </x:row>
    <x:row r="617">
      <x:c r="A617" s="87"/>
      <x:c r="B617" s="88"/>
      <x:c r="D617" s="32"/>
      <x:c r="I617" s="74"/>
      <x:c r="J617" s="74"/>
      <x:c r="K617" s="74"/>
      <x:c r="L617" s="74"/>
      <x:c r="M617" s="74"/>
      <x:c r="N617" s="74"/>
      <x:c r="O617" s="91"/>
      <x:c r="P617" s="91"/>
      <x:c r="Q617" s="85"/>
      <x:c r="R617" s="85"/>
      <x:c r="S617" s="85"/>
      <x:c r="T617" s="85"/>
      <x:c r="U617" s="85"/>
      <x:c r="V617" s="85"/>
      <x:c r="W617" s="85"/>
      <x:c r="Y617" s="86"/>
      <x:c r="Z617" s="86"/>
      <x:c r="AA617" s="32"/>
    </x:row>
    <x:row r="618">
      <x:c r="A618" s="87"/>
      <x:c r="B618" s="88"/>
      <x:c r="D618" s="32"/>
      <x:c r="I618" s="74"/>
      <x:c r="J618" s="74"/>
      <x:c r="K618" s="74"/>
      <x:c r="L618" s="74"/>
      <x:c r="M618" s="74"/>
      <x:c r="N618" s="74"/>
      <x:c r="O618" s="91"/>
      <x:c r="P618" s="91"/>
      <x:c r="Q618" s="85"/>
      <x:c r="R618" s="85"/>
      <x:c r="S618" s="85"/>
      <x:c r="T618" s="85"/>
      <x:c r="U618" s="85"/>
      <x:c r="V618" s="85"/>
      <x:c r="W618" s="85"/>
      <x:c r="Y618" s="86"/>
      <x:c r="Z618" s="86"/>
      <x:c r="AA618" s="32"/>
    </x:row>
    <x:row r="619">
      <x:c r="A619" s="87"/>
      <x:c r="B619" s="88"/>
      <x:c r="D619" s="32"/>
      <x:c r="I619" s="74"/>
      <x:c r="J619" s="74"/>
      <x:c r="K619" s="74"/>
      <x:c r="L619" s="74"/>
      <x:c r="M619" s="74"/>
      <x:c r="N619" s="74"/>
      <x:c r="O619" s="91"/>
      <x:c r="P619" s="91"/>
      <x:c r="Q619" s="85"/>
      <x:c r="R619" s="85"/>
      <x:c r="S619" s="85"/>
      <x:c r="T619" s="85"/>
      <x:c r="U619" s="85"/>
      <x:c r="V619" s="85"/>
      <x:c r="W619" s="85"/>
      <x:c r="Y619" s="86"/>
      <x:c r="Z619" s="86"/>
      <x:c r="AA619" s="32"/>
    </x:row>
    <x:row r="620">
      <x:c r="A620" s="87"/>
      <x:c r="B620" s="88"/>
      <x:c r="D620" s="32"/>
      <x:c r="I620" s="74"/>
      <x:c r="J620" s="74"/>
      <x:c r="K620" s="74"/>
      <x:c r="L620" s="74"/>
      <x:c r="M620" s="74"/>
      <x:c r="N620" s="74"/>
      <x:c r="O620" s="91"/>
      <x:c r="P620" s="91"/>
      <x:c r="Q620" s="85"/>
      <x:c r="R620" s="85"/>
      <x:c r="S620" s="85"/>
      <x:c r="T620" s="85"/>
      <x:c r="U620" s="85"/>
      <x:c r="V620" s="85"/>
      <x:c r="W620" s="85"/>
      <x:c r="Y620" s="86"/>
      <x:c r="Z620" s="86"/>
      <x:c r="AA620" s="32"/>
    </x:row>
    <x:row r="621">
      <x:c r="A621" s="87"/>
      <x:c r="B621" s="88"/>
      <x:c r="D621" s="32"/>
      <x:c r="I621" s="74"/>
      <x:c r="J621" s="74"/>
      <x:c r="K621" s="74"/>
      <x:c r="L621" s="74"/>
      <x:c r="M621" s="74"/>
      <x:c r="N621" s="74"/>
      <x:c r="O621" s="91"/>
      <x:c r="P621" s="91"/>
      <x:c r="Q621" s="85"/>
      <x:c r="R621" s="85"/>
      <x:c r="S621" s="85"/>
      <x:c r="T621" s="85"/>
      <x:c r="U621" s="85"/>
      <x:c r="V621" s="85"/>
      <x:c r="W621" s="85"/>
      <x:c r="Y621" s="86"/>
      <x:c r="Z621" s="86"/>
      <x:c r="AA621" s="32"/>
    </x:row>
    <x:row r="622">
      <x:c r="A622" s="87"/>
      <x:c r="B622" s="88"/>
      <x:c r="D622" s="32"/>
      <x:c r="I622" s="74"/>
      <x:c r="J622" s="74"/>
      <x:c r="K622" s="74"/>
      <x:c r="L622" s="74"/>
      <x:c r="M622" s="74"/>
      <x:c r="N622" s="74"/>
      <x:c r="O622" s="91"/>
      <x:c r="P622" s="91"/>
      <x:c r="Q622" s="85"/>
      <x:c r="R622" s="85"/>
      <x:c r="S622" s="85"/>
      <x:c r="T622" s="85"/>
      <x:c r="U622" s="85"/>
      <x:c r="V622" s="85"/>
      <x:c r="W622" s="85"/>
      <x:c r="Y622" s="86"/>
      <x:c r="Z622" s="86"/>
      <x:c r="AA622" s="32"/>
    </x:row>
    <x:row r="623">
      <x:c r="A623" s="87"/>
      <x:c r="B623" s="88"/>
      <x:c r="D623" s="32"/>
      <x:c r="I623" s="74"/>
      <x:c r="J623" s="74"/>
      <x:c r="K623" s="74"/>
      <x:c r="L623" s="74"/>
      <x:c r="M623" s="74"/>
      <x:c r="N623" s="74"/>
      <x:c r="O623" s="91"/>
      <x:c r="P623" s="91"/>
      <x:c r="Q623" s="85"/>
      <x:c r="R623" s="85"/>
      <x:c r="S623" s="85"/>
      <x:c r="T623" s="85"/>
      <x:c r="U623" s="85"/>
      <x:c r="V623" s="85"/>
      <x:c r="W623" s="85"/>
      <x:c r="Y623" s="86"/>
      <x:c r="Z623" s="86"/>
      <x:c r="AA623" s="32"/>
    </x:row>
    <x:row r="624">
      <x:c r="A624" s="87"/>
      <x:c r="B624" s="88"/>
      <x:c r="D624" s="32"/>
      <x:c r="I624" s="74"/>
      <x:c r="J624" s="74"/>
      <x:c r="K624" s="74"/>
      <x:c r="L624" s="74"/>
      <x:c r="M624" s="74"/>
      <x:c r="N624" s="74"/>
      <x:c r="O624" s="91"/>
      <x:c r="P624" s="91"/>
      <x:c r="Q624" s="85"/>
      <x:c r="R624" s="85"/>
      <x:c r="S624" s="85"/>
      <x:c r="T624" s="85"/>
      <x:c r="U624" s="85"/>
      <x:c r="V624" s="85"/>
      <x:c r="W624" s="85"/>
      <x:c r="Y624" s="86"/>
      <x:c r="Z624" s="86"/>
      <x:c r="AA624" s="32"/>
    </x:row>
    <x:row r="625">
      <x:c r="A625" s="87"/>
      <x:c r="B625" s="88"/>
      <x:c r="D625" s="32"/>
      <x:c r="I625" s="74"/>
      <x:c r="J625" s="74"/>
      <x:c r="K625" s="74"/>
      <x:c r="L625" s="74"/>
      <x:c r="M625" s="74"/>
      <x:c r="N625" s="74"/>
      <x:c r="O625" s="91"/>
      <x:c r="P625" s="91"/>
      <x:c r="Q625" s="85"/>
      <x:c r="R625" s="85"/>
      <x:c r="S625" s="85"/>
      <x:c r="T625" s="85"/>
      <x:c r="U625" s="85"/>
      <x:c r="V625" s="85"/>
      <x:c r="W625" s="85"/>
      <x:c r="Y625" s="86"/>
      <x:c r="Z625" s="86"/>
      <x:c r="AA625" s="32"/>
    </x:row>
    <x:row r="626">
      <x:c r="A626" s="87"/>
      <x:c r="B626" s="88"/>
      <x:c r="D626" s="32"/>
      <x:c r="I626" s="74"/>
      <x:c r="J626" s="74"/>
      <x:c r="K626" s="74"/>
      <x:c r="L626" s="74"/>
      <x:c r="M626" s="74"/>
      <x:c r="N626" s="74"/>
      <x:c r="O626" s="91"/>
      <x:c r="P626" s="91"/>
      <x:c r="Q626" s="85"/>
      <x:c r="R626" s="85"/>
      <x:c r="S626" s="85"/>
      <x:c r="T626" s="85"/>
      <x:c r="U626" s="85"/>
      <x:c r="V626" s="85"/>
      <x:c r="W626" s="85"/>
      <x:c r="Y626" s="86"/>
      <x:c r="Z626" s="86"/>
      <x:c r="AA626" s="32"/>
    </x:row>
    <x:row r="627">
      <x:c r="A627" s="87"/>
      <x:c r="B627" s="88"/>
      <x:c r="D627" s="32"/>
      <x:c r="I627" s="74"/>
      <x:c r="J627" s="74"/>
      <x:c r="K627" s="74"/>
      <x:c r="L627" s="74"/>
      <x:c r="M627" s="74"/>
      <x:c r="N627" s="74"/>
      <x:c r="O627" s="91"/>
      <x:c r="P627" s="91"/>
      <x:c r="Q627" s="85"/>
      <x:c r="R627" s="85"/>
      <x:c r="S627" s="85"/>
      <x:c r="T627" s="85"/>
      <x:c r="U627" s="85"/>
      <x:c r="V627" s="85"/>
      <x:c r="W627" s="85"/>
      <x:c r="Y627" s="86"/>
      <x:c r="Z627" s="86"/>
      <x:c r="AA627" s="32"/>
    </x:row>
    <x:row r="628">
      <x:c r="A628" s="87"/>
      <x:c r="B628" s="88"/>
      <x:c r="D628" s="32"/>
      <x:c r="I628" s="74"/>
      <x:c r="J628" s="74"/>
      <x:c r="K628" s="74"/>
      <x:c r="L628" s="74"/>
      <x:c r="M628" s="74"/>
      <x:c r="N628" s="74"/>
      <x:c r="O628" s="91"/>
      <x:c r="P628" s="91"/>
      <x:c r="Q628" s="85"/>
      <x:c r="R628" s="85"/>
      <x:c r="S628" s="85"/>
      <x:c r="T628" s="85"/>
      <x:c r="U628" s="85"/>
      <x:c r="V628" s="85"/>
      <x:c r="W628" s="85"/>
      <x:c r="Y628" s="86"/>
      <x:c r="Z628" s="86"/>
      <x:c r="AA628" s="32"/>
    </x:row>
    <x:row r="629">
      <x:c r="A629" s="87"/>
      <x:c r="B629" s="88"/>
      <x:c r="D629" s="32"/>
      <x:c r="I629" s="74"/>
      <x:c r="J629" s="74"/>
      <x:c r="K629" s="74"/>
      <x:c r="L629" s="74"/>
      <x:c r="M629" s="74"/>
      <x:c r="N629" s="74"/>
      <x:c r="O629" s="91"/>
      <x:c r="P629" s="91"/>
      <x:c r="Q629" s="85"/>
      <x:c r="R629" s="85"/>
      <x:c r="S629" s="85"/>
      <x:c r="T629" s="85"/>
      <x:c r="U629" s="85"/>
      <x:c r="V629" s="85"/>
      <x:c r="W629" s="85"/>
      <x:c r="Y629" s="86"/>
      <x:c r="Z629" s="86"/>
      <x:c r="AA629" s="32"/>
    </x:row>
    <x:row r="630">
      <x:c r="A630" s="87"/>
      <x:c r="B630" s="88"/>
      <x:c r="D630" s="32"/>
      <x:c r="I630" s="74"/>
      <x:c r="J630" s="74"/>
      <x:c r="K630" s="74"/>
      <x:c r="L630" s="74"/>
      <x:c r="M630" s="74"/>
      <x:c r="N630" s="74"/>
      <x:c r="O630" s="91"/>
      <x:c r="P630" s="91"/>
      <x:c r="Q630" s="85"/>
      <x:c r="R630" s="85"/>
      <x:c r="S630" s="85"/>
      <x:c r="T630" s="85"/>
      <x:c r="U630" s="85"/>
      <x:c r="V630" s="85"/>
      <x:c r="W630" s="85"/>
      <x:c r="Y630" s="86"/>
      <x:c r="Z630" s="86"/>
      <x:c r="AA630" s="32"/>
    </x:row>
    <x:row r="631">
      <x:c r="A631" s="87"/>
      <x:c r="B631" s="88"/>
      <x:c r="D631" s="32"/>
      <x:c r="I631" s="74"/>
      <x:c r="J631" s="74"/>
      <x:c r="K631" s="74"/>
      <x:c r="L631" s="74"/>
      <x:c r="M631" s="74"/>
      <x:c r="N631" s="74"/>
      <x:c r="O631" s="91"/>
      <x:c r="P631" s="91"/>
      <x:c r="Q631" s="85"/>
      <x:c r="R631" s="85"/>
      <x:c r="S631" s="85"/>
      <x:c r="T631" s="85"/>
      <x:c r="U631" s="85"/>
      <x:c r="V631" s="85"/>
      <x:c r="W631" s="85"/>
      <x:c r="Y631" s="86"/>
      <x:c r="Z631" s="86"/>
      <x:c r="AA631" s="32"/>
    </x:row>
    <x:row r="632">
      <x:c r="A632" s="87"/>
      <x:c r="B632" s="88"/>
      <x:c r="D632" s="32"/>
      <x:c r="I632" s="74"/>
      <x:c r="J632" s="74"/>
      <x:c r="K632" s="74"/>
      <x:c r="L632" s="74"/>
      <x:c r="M632" s="74"/>
      <x:c r="N632" s="74"/>
      <x:c r="O632" s="91"/>
      <x:c r="P632" s="91"/>
      <x:c r="Q632" s="85"/>
      <x:c r="R632" s="85"/>
      <x:c r="S632" s="85"/>
      <x:c r="T632" s="85"/>
      <x:c r="U632" s="85"/>
      <x:c r="V632" s="85"/>
      <x:c r="W632" s="85"/>
      <x:c r="Y632" s="86"/>
      <x:c r="Z632" s="86"/>
      <x:c r="AA632" s="32"/>
    </x:row>
    <x:row r="633">
      <x:c r="A633" s="87"/>
      <x:c r="B633" s="88"/>
      <x:c r="D633" s="32"/>
      <x:c r="I633" s="74"/>
      <x:c r="J633" s="74"/>
      <x:c r="K633" s="74"/>
      <x:c r="L633" s="74"/>
      <x:c r="M633" s="74"/>
      <x:c r="N633" s="74"/>
      <x:c r="O633" s="91"/>
      <x:c r="P633" s="91"/>
      <x:c r="Q633" s="85"/>
      <x:c r="R633" s="85"/>
      <x:c r="S633" s="85"/>
      <x:c r="T633" s="85"/>
      <x:c r="U633" s="85"/>
      <x:c r="V633" s="85"/>
      <x:c r="W633" s="85"/>
      <x:c r="Y633" s="86"/>
      <x:c r="Z633" s="86"/>
      <x:c r="AA633" s="32"/>
    </x:row>
    <x:row r="634">
      <x:c r="A634" s="87"/>
      <x:c r="B634" s="88"/>
      <x:c r="D634" s="32"/>
      <x:c r="I634" s="74"/>
      <x:c r="J634" s="74"/>
      <x:c r="K634" s="74"/>
      <x:c r="L634" s="74"/>
      <x:c r="M634" s="74"/>
      <x:c r="N634" s="74"/>
      <x:c r="O634" s="91"/>
      <x:c r="P634" s="91"/>
      <x:c r="Q634" s="85"/>
      <x:c r="R634" s="85"/>
      <x:c r="S634" s="85"/>
      <x:c r="T634" s="85"/>
      <x:c r="U634" s="85"/>
      <x:c r="V634" s="85"/>
      <x:c r="W634" s="85"/>
      <x:c r="Y634" s="86"/>
      <x:c r="Z634" s="86"/>
      <x:c r="AA634" s="32"/>
    </x:row>
    <x:row r="635">
      <x:c r="A635" s="87"/>
      <x:c r="B635" s="88"/>
      <x:c r="D635" s="32"/>
      <x:c r="I635" s="74"/>
      <x:c r="J635" s="74"/>
      <x:c r="K635" s="74"/>
      <x:c r="L635" s="74"/>
      <x:c r="M635" s="74"/>
      <x:c r="N635" s="74"/>
      <x:c r="O635" s="91"/>
      <x:c r="P635" s="91"/>
      <x:c r="Q635" s="85"/>
      <x:c r="R635" s="85"/>
      <x:c r="S635" s="85"/>
      <x:c r="T635" s="85"/>
      <x:c r="U635" s="85"/>
      <x:c r="V635" s="85"/>
      <x:c r="W635" s="85"/>
      <x:c r="Y635" s="86"/>
      <x:c r="Z635" s="86"/>
      <x:c r="AA635" s="32"/>
    </x:row>
    <x:row r="636">
      <x:c r="A636" s="87"/>
      <x:c r="B636" s="88"/>
      <x:c r="D636" s="32"/>
      <x:c r="I636" s="74"/>
      <x:c r="J636" s="74"/>
      <x:c r="K636" s="74"/>
      <x:c r="L636" s="74"/>
      <x:c r="M636" s="74"/>
      <x:c r="N636" s="74"/>
      <x:c r="O636" s="91"/>
      <x:c r="P636" s="91"/>
      <x:c r="Q636" s="85"/>
      <x:c r="R636" s="85"/>
      <x:c r="S636" s="85"/>
      <x:c r="T636" s="85"/>
      <x:c r="U636" s="85"/>
      <x:c r="V636" s="85"/>
      <x:c r="W636" s="85"/>
      <x:c r="Y636" s="86"/>
      <x:c r="Z636" s="86"/>
      <x:c r="AA636" s="32"/>
    </x:row>
    <x:row r="637">
      <x:c r="A637" s="87"/>
      <x:c r="B637" s="88"/>
      <x:c r="D637" s="32"/>
      <x:c r="I637" s="74"/>
      <x:c r="J637" s="74"/>
      <x:c r="K637" s="74"/>
      <x:c r="L637" s="74"/>
      <x:c r="M637" s="74"/>
      <x:c r="N637" s="74"/>
      <x:c r="O637" s="91"/>
      <x:c r="P637" s="91"/>
      <x:c r="Q637" s="85"/>
      <x:c r="R637" s="85"/>
      <x:c r="S637" s="85"/>
      <x:c r="T637" s="85"/>
      <x:c r="U637" s="85"/>
      <x:c r="V637" s="85"/>
      <x:c r="W637" s="85"/>
      <x:c r="Y637" s="86"/>
      <x:c r="Z637" s="86"/>
      <x:c r="AA637" s="32"/>
    </x:row>
    <x:row r="638">
      <x:c r="A638" s="87"/>
      <x:c r="B638" s="88"/>
      <x:c r="D638" s="32"/>
      <x:c r="I638" s="74"/>
      <x:c r="J638" s="74"/>
      <x:c r="K638" s="74"/>
      <x:c r="L638" s="74"/>
      <x:c r="M638" s="74"/>
      <x:c r="N638" s="74"/>
      <x:c r="O638" s="91"/>
      <x:c r="P638" s="91"/>
      <x:c r="Q638" s="85"/>
      <x:c r="R638" s="85"/>
      <x:c r="S638" s="85"/>
      <x:c r="T638" s="85"/>
      <x:c r="U638" s="85"/>
      <x:c r="V638" s="85"/>
      <x:c r="W638" s="85"/>
      <x:c r="Y638" s="86"/>
      <x:c r="Z638" s="86"/>
      <x:c r="AA638" s="32"/>
    </x:row>
    <x:row r="639">
      <x:c r="A639" s="87"/>
      <x:c r="B639" s="88"/>
      <x:c r="D639" s="32"/>
      <x:c r="I639" s="74"/>
      <x:c r="J639" s="74"/>
      <x:c r="K639" s="74"/>
      <x:c r="L639" s="74"/>
      <x:c r="M639" s="74"/>
      <x:c r="N639" s="74"/>
      <x:c r="O639" s="91"/>
      <x:c r="P639" s="91"/>
      <x:c r="Q639" s="85"/>
      <x:c r="R639" s="85"/>
      <x:c r="S639" s="85"/>
      <x:c r="T639" s="85"/>
      <x:c r="U639" s="85"/>
      <x:c r="V639" s="85"/>
      <x:c r="W639" s="85"/>
      <x:c r="Y639" s="86"/>
      <x:c r="Z639" s="86"/>
      <x:c r="AA639" s="32"/>
    </x:row>
    <x:row r="640">
      <x:c r="A640" s="87"/>
      <x:c r="B640" s="88"/>
      <x:c r="D640" s="32"/>
      <x:c r="I640" s="74"/>
      <x:c r="J640" s="74"/>
      <x:c r="K640" s="74"/>
      <x:c r="L640" s="74"/>
      <x:c r="M640" s="74"/>
      <x:c r="N640" s="74"/>
      <x:c r="O640" s="91"/>
      <x:c r="P640" s="91"/>
      <x:c r="Q640" s="85"/>
      <x:c r="R640" s="85"/>
      <x:c r="S640" s="85"/>
      <x:c r="T640" s="85"/>
      <x:c r="U640" s="85"/>
      <x:c r="V640" s="85"/>
      <x:c r="W640" s="85"/>
      <x:c r="Y640" s="86"/>
      <x:c r="Z640" s="86"/>
      <x:c r="AA640" s="32"/>
    </x:row>
    <x:row r="641">
      <x:c r="A641" s="87"/>
      <x:c r="B641" s="88"/>
      <x:c r="D641" s="32"/>
      <x:c r="I641" s="74"/>
      <x:c r="J641" s="74"/>
      <x:c r="K641" s="74"/>
      <x:c r="L641" s="74"/>
      <x:c r="M641" s="74"/>
      <x:c r="N641" s="74"/>
      <x:c r="O641" s="91"/>
      <x:c r="P641" s="91"/>
      <x:c r="Q641" s="85"/>
      <x:c r="R641" s="85"/>
      <x:c r="S641" s="85"/>
      <x:c r="T641" s="85"/>
      <x:c r="U641" s="85"/>
      <x:c r="V641" s="85"/>
      <x:c r="W641" s="85"/>
      <x:c r="Y641" s="86"/>
      <x:c r="Z641" s="86"/>
      <x:c r="AA641" s="32"/>
    </x:row>
    <x:row r="642">
      <x:c r="A642" s="87"/>
      <x:c r="B642" s="88"/>
      <x:c r="D642" s="32"/>
      <x:c r="I642" s="74"/>
      <x:c r="J642" s="74"/>
      <x:c r="K642" s="74"/>
      <x:c r="L642" s="74"/>
      <x:c r="M642" s="74"/>
      <x:c r="N642" s="74"/>
      <x:c r="O642" s="91"/>
      <x:c r="P642" s="91"/>
      <x:c r="Q642" s="85"/>
      <x:c r="R642" s="85"/>
      <x:c r="S642" s="85"/>
      <x:c r="T642" s="85"/>
      <x:c r="U642" s="85"/>
      <x:c r="V642" s="85"/>
      <x:c r="W642" s="85"/>
      <x:c r="Y642" s="86"/>
      <x:c r="Z642" s="86"/>
      <x:c r="AA642" s="32"/>
    </x:row>
    <x:row r="643">
      <x:c r="A643" s="87"/>
      <x:c r="B643" s="88"/>
      <x:c r="D643" s="32"/>
      <x:c r="I643" s="74"/>
      <x:c r="J643" s="74"/>
      <x:c r="K643" s="74"/>
      <x:c r="L643" s="74"/>
      <x:c r="M643" s="74"/>
      <x:c r="N643" s="74"/>
      <x:c r="O643" s="91"/>
      <x:c r="P643" s="91"/>
      <x:c r="Q643" s="85"/>
      <x:c r="R643" s="85"/>
      <x:c r="S643" s="85"/>
      <x:c r="T643" s="85"/>
      <x:c r="U643" s="85"/>
      <x:c r="V643" s="85"/>
      <x:c r="W643" s="85"/>
      <x:c r="Y643" s="86"/>
      <x:c r="Z643" s="86"/>
      <x:c r="AA643" s="32"/>
    </x:row>
    <x:row r="644">
      <x:c r="A644" s="87"/>
      <x:c r="B644" s="88"/>
      <x:c r="D644" s="32"/>
      <x:c r="I644" s="74"/>
      <x:c r="J644" s="74"/>
      <x:c r="K644" s="74"/>
      <x:c r="L644" s="74"/>
      <x:c r="M644" s="74"/>
      <x:c r="N644" s="74"/>
      <x:c r="O644" s="91"/>
      <x:c r="P644" s="91"/>
      <x:c r="Q644" s="85"/>
      <x:c r="R644" s="85"/>
      <x:c r="S644" s="85"/>
      <x:c r="T644" s="85"/>
      <x:c r="U644" s="85"/>
      <x:c r="V644" s="85"/>
      <x:c r="W644" s="85"/>
      <x:c r="Y644" s="86"/>
      <x:c r="Z644" s="86"/>
      <x:c r="AA644" s="32"/>
    </x:row>
    <x:row r="645">
      <x:c r="A645" s="87"/>
      <x:c r="B645" s="88"/>
      <x:c r="D645" s="32"/>
      <x:c r="I645" s="74"/>
      <x:c r="J645" s="74"/>
      <x:c r="K645" s="74"/>
      <x:c r="L645" s="74"/>
      <x:c r="M645" s="74"/>
      <x:c r="N645" s="74"/>
      <x:c r="O645" s="91"/>
      <x:c r="P645" s="91"/>
      <x:c r="Q645" s="85"/>
      <x:c r="R645" s="85"/>
      <x:c r="S645" s="85"/>
      <x:c r="T645" s="85"/>
      <x:c r="U645" s="85"/>
      <x:c r="V645" s="85"/>
      <x:c r="W645" s="85"/>
      <x:c r="Y645" s="86"/>
      <x:c r="Z645" s="86"/>
      <x:c r="AA645" s="32"/>
    </x:row>
    <x:row r="646">
      <x:c r="A646" s="87"/>
      <x:c r="B646" s="88"/>
      <x:c r="D646" s="32"/>
      <x:c r="I646" s="74"/>
      <x:c r="J646" s="74"/>
      <x:c r="K646" s="74"/>
      <x:c r="L646" s="74"/>
      <x:c r="M646" s="74"/>
      <x:c r="N646" s="74"/>
      <x:c r="O646" s="91"/>
      <x:c r="P646" s="91"/>
      <x:c r="Q646" s="85"/>
      <x:c r="R646" s="85"/>
      <x:c r="S646" s="85"/>
      <x:c r="T646" s="85"/>
      <x:c r="U646" s="85"/>
      <x:c r="V646" s="85"/>
      <x:c r="W646" s="85"/>
      <x:c r="Y646" s="86"/>
      <x:c r="Z646" s="86"/>
      <x:c r="AA646" s="32"/>
    </x:row>
    <x:row r="647">
      <x:c r="A647" s="87"/>
      <x:c r="B647" s="88"/>
      <x:c r="D647" s="32"/>
      <x:c r="I647" s="74"/>
      <x:c r="J647" s="74"/>
      <x:c r="K647" s="74"/>
      <x:c r="L647" s="74"/>
      <x:c r="M647" s="74"/>
      <x:c r="N647" s="74"/>
      <x:c r="O647" s="91"/>
      <x:c r="P647" s="91"/>
      <x:c r="Q647" s="85"/>
      <x:c r="R647" s="85"/>
      <x:c r="S647" s="85"/>
      <x:c r="T647" s="85"/>
      <x:c r="U647" s="85"/>
      <x:c r="V647" s="85"/>
      <x:c r="W647" s="85"/>
      <x:c r="Y647" s="86"/>
      <x:c r="Z647" s="86"/>
      <x:c r="AA647" s="32"/>
    </x:row>
    <x:row r="648">
      <x:c r="A648" s="87"/>
      <x:c r="B648" s="88"/>
      <x:c r="D648" s="32"/>
      <x:c r="I648" s="74"/>
      <x:c r="J648" s="74"/>
      <x:c r="K648" s="74"/>
      <x:c r="L648" s="74"/>
      <x:c r="M648" s="74"/>
      <x:c r="N648" s="74"/>
      <x:c r="O648" s="91"/>
      <x:c r="P648" s="91"/>
      <x:c r="Q648" s="85"/>
      <x:c r="R648" s="85"/>
      <x:c r="S648" s="85"/>
      <x:c r="T648" s="85"/>
      <x:c r="U648" s="85"/>
      <x:c r="V648" s="85"/>
      <x:c r="W648" s="85"/>
      <x:c r="Y648" s="86"/>
      <x:c r="Z648" s="86"/>
      <x:c r="AA648" s="32"/>
    </x:row>
    <x:row r="649">
      <x:c r="A649" s="87"/>
      <x:c r="B649" s="88"/>
      <x:c r="D649" s="32"/>
      <x:c r="I649" s="74"/>
      <x:c r="J649" s="74"/>
      <x:c r="K649" s="74"/>
      <x:c r="L649" s="74"/>
      <x:c r="M649" s="74"/>
      <x:c r="N649" s="74"/>
      <x:c r="O649" s="91"/>
      <x:c r="P649" s="91"/>
      <x:c r="Q649" s="85"/>
      <x:c r="R649" s="85"/>
      <x:c r="S649" s="85"/>
      <x:c r="T649" s="85"/>
      <x:c r="U649" s="85"/>
      <x:c r="V649" s="85"/>
      <x:c r="W649" s="85"/>
      <x:c r="Y649" s="86"/>
      <x:c r="Z649" s="86"/>
      <x:c r="AA649" s="32"/>
    </x:row>
    <x:row r="650">
      <x:c r="A650" s="87"/>
      <x:c r="B650" s="88"/>
      <x:c r="D650" s="32"/>
      <x:c r="I650" s="74"/>
      <x:c r="J650" s="74"/>
      <x:c r="K650" s="74"/>
      <x:c r="L650" s="74"/>
      <x:c r="M650" s="74"/>
      <x:c r="N650" s="74"/>
      <x:c r="O650" s="91"/>
      <x:c r="P650" s="91"/>
      <x:c r="Q650" s="85"/>
      <x:c r="R650" s="85"/>
      <x:c r="S650" s="85"/>
      <x:c r="T650" s="85"/>
      <x:c r="U650" s="85"/>
      <x:c r="V650" s="85"/>
      <x:c r="W650" s="85"/>
      <x:c r="Y650" s="86"/>
      <x:c r="Z650" s="86"/>
      <x:c r="AA650" s="32"/>
    </x:row>
    <x:row r="651">
      <x:c r="A651" s="87"/>
      <x:c r="B651" s="88"/>
      <x:c r="D651" s="32"/>
      <x:c r="I651" s="74"/>
      <x:c r="J651" s="74"/>
      <x:c r="K651" s="74"/>
      <x:c r="L651" s="74"/>
      <x:c r="M651" s="74"/>
      <x:c r="N651" s="74"/>
      <x:c r="O651" s="91"/>
      <x:c r="P651" s="91"/>
      <x:c r="Q651" s="85"/>
      <x:c r="R651" s="85"/>
      <x:c r="S651" s="85"/>
      <x:c r="T651" s="85"/>
      <x:c r="U651" s="85"/>
      <x:c r="V651" s="85"/>
      <x:c r="W651" s="85"/>
      <x:c r="Y651" s="86"/>
      <x:c r="Z651" s="86"/>
      <x:c r="AA651" s="32"/>
    </x:row>
    <x:row r="652">
      <x:c r="A652" s="87"/>
      <x:c r="B652" s="88"/>
      <x:c r="D652" s="32"/>
      <x:c r="I652" s="74"/>
      <x:c r="J652" s="74"/>
      <x:c r="K652" s="74"/>
      <x:c r="L652" s="74"/>
      <x:c r="M652" s="74"/>
      <x:c r="N652" s="74"/>
      <x:c r="O652" s="91"/>
      <x:c r="P652" s="91"/>
      <x:c r="Q652" s="85"/>
      <x:c r="R652" s="85"/>
      <x:c r="S652" s="85"/>
      <x:c r="T652" s="85"/>
      <x:c r="U652" s="85"/>
      <x:c r="V652" s="85"/>
      <x:c r="W652" s="85"/>
      <x:c r="Y652" s="86"/>
      <x:c r="Z652" s="86"/>
      <x:c r="AA652" s="32"/>
    </x:row>
    <x:row r="653">
      <x:c r="A653" s="87"/>
      <x:c r="B653" s="88"/>
      <x:c r="D653" s="32"/>
      <x:c r="I653" s="74"/>
      <x:c r="J653" s="74"/>
      <x:c r="K653" s="74"/>
      <x:c r="L653" s="74"/>
      <x:c r="M653" s="74"/>
      <x:c r="N653" s="74"/>
      <x:c r="O653" s="91"/>
      <x:c r="P653" s="91"/>
      <x:c r="Q653" s="85"/>
      <x:c r="R653" s="85"/>
      <x:c r="S653" s="85"/>
      <x:c r="T653" s="85"/>
      <x:c r="U653" s="85"/>
      <x:c r="V653" s="85"/>
      <x:c r="W653" s="85"/>
      <x:c r="Y653" s="86"/>
      <x:c r="Z653" s="86"/>
      <x:c r="AA653" s="32"/>
    </x:row>
    <x:row r="654">
      <x:c r="A654" s="87"/>
      <x:c r="B654" s="88"/>
      <x:c r="D654" s="32"/>
      <x:c r="I654" s="74"/>
      <x:c r="J654" s="74"/>
      <x:c r="K654" s="74"/>
      <x:c r="L654" s="74"/>
      <x:c r="M654" s="74"/>
      <x:c r="N654" s="74"/>
      <x:c r="O654" s="91"/>
      <x:c r="P654" s="91"/>
      <x:c r="Q654" s="85"/>
      <x:c r="R654" s="85"/>
      <x:c r="S654" s="85"/>
      <x:c r="T654" s="85"/>
      <x:c r="U654" s="85"/>
      <x:c r="V654" s="85"/>
      <x:c r="W654" s="85"/>
      <x:c r="Y654" s="86"/>
      <x:c r="Z654" s="86"/>
      <x:c r="AA654" s="32"/>
    </x:row>
    <x:row r="655">
      <x:c r="A655" s="87"/>
      <x:c r="B655" s="88"/>
      <x:c r="D655" s="32"/>
      <x:c r="I655" s="74"/>
      <x:c r="J655" s="74"/>
      <x:c r="K655" s="74"/>
      <x:c r="L655" s="74"/>
      <x:c r="M655" s="74"/>
      <x:c r="N655" s="74"/>
      <x:c r="O655" s="91"/>
      <x:c r="P655" s="91"/>
      <x:c r="Q655" s="85"/>
      <x:c r="R655" s="85"/>
      <x:c r="S655" s="85"/>
      <x:c r="T655" s="85"/>
      <x:c r="U655" s="85"/>
      <x:c r="V655" s="85"/>
      <x:c r="W655" s="85"/>
      <x:c r="Y655" s="86"/>
      <x:c r="Z655" s="86"/>
      <x:c r="AA655" s="32"/>
    </x:row>
    <x:row r="656">
      <x:c r="A656" s="87"/>
      <x:c r="B656" s="88"/>
      <x:c r="D656" s="32"/>
      <x:c r="I656" s="74"/>
      <x:c r="J656" s="74"/>
      <x:c r="K656" s="74"/>
      <x:c r="L656" s="74"/>
      <x:c r="M656" s="74"/>
      <x:c r="N656" s="74"/>
      <x:c r="O656" s="91"/>
      <x:c r="P656" s="91"/>
      <x:c r="Q656" s="85"/>
      <x:c r="R656" s="85"/>
      <x:c r="S656" s="85"/>
      <x:c r="T656" s="85"/>
      <x:c r="U656" s="85"/>
      <x:c r="V656" s="85"/>
      <x:c r="W656" s="85"/>
      <x:c r="Y656" s="86"/>
      <x:c r="Z656" s="86"/>
      <x:c r="AA656" s="32"/>
    </x:row>
    <x:row r="657">
      <x:c r="A657" s="87"/>
      <x:c r="B657" s="88"/>
      <x:c r="D657" s="32"/>
      <x:c r="I657" s="74"/>
      <x:c r="J657" s="74"/>
      <x:c r="K657" s="74"/>
      <x:c r="L657" s="74"/>
      <x:c r="M657" s="74"/>
      <x:c r="N657" s="74"/>
      <x:c r="O657" s="91"/>
      <x:c r="P657" s="91"/>
      <x:c r="Q657" s="85"/>
      <x:c r="R657" s="85"/>
      <x:c r="S657" s="85"/>
      <x:c r="T657" s="85"/>
      <x:c r="U657" s="85"/>
      <x:c r="V657" s="85"/>
      <x:c r="W657" s="85"/>
      <x:c r="Y657" s="86"/>
      <x:c r="Z657" s="86"/>
      <x:c r="AA657" s="32"/>
    </x:row>
    <x:row r="658">
      <x:c r="A658" s="87"/>
      <x:c r="B658" s="88"/>
      <x:c r="D658" s="32"/>
      <x:c r="I658" s="74"/>
      <x:c r="J658" s="74"/>
      <x:c r="K658" s="74"/>
      <x:c r="L658" s="74"/>
      <x:c r="M658" s="74"/>
      <x:c r="N658" s="74"/>
      <x:c r="O658" s="91"/>
      <x:c r="P658" s="91"/>
      <x:c r="Q658" s="85"/>
      <x:c r="R658" s="85"/>
      <x:c r="S658" s="85"/>
      <x:c r="T658" s="85"/>
      <x:c r="U658" s="85"/>
      <x:c r="V658" s="85"/>
      <x:c r="W658" s="85"/>
      <x:c r="Y658" s="86"/>
      <x:c r="Z658" s="86"/>
      <x:c r="AA658" s="32"/>
    </x:row>
    <x:row r="659">
      <x:c r="A659" s="87"/>
      <x:c r="B659" s="88"/>
      <x:c r="D659" s="32"/>
      <x:c r="I659" s="74"/>
      <x:c r="J659" s="74"/>
      <x:c r="K659" s="74"/>
      <x:c r="L659" s="74"/>
      <x:c r="M659" s="74"/>
      <x:c r="N659" s="74"/>
      <x:c r="O659" s="91"/>
      <x:c r="P659" s="91"/>
      <x:c r="Q659" s="85"/>
      <x:c r="R659" s="85"/>
      <x:c r="S659" s="85"/>
      <x:c r="T659" s="85"/>
      <x:c r="U659" s="85"/>
      <x:c r="V659" s="85"/>
      <x:c r="W659" s="85"/>
      <x:c r="Y659" s="86"/>
      <x:c r="Z659" s="86"/>
      <x:c r="AA659" s="32"/>
    </x:row>
    <x:row r="660">
      <x:c r="A660" s="87"/>
      <x:c r="B660" s="88"/>
      <x:c r="D660" s="32"/>
      <x:c r="I660" s="74"/>
      <x:c r="J660" s="74"/>
      <x:c r="K660" s="74"/>
      <x:c r="L660" s="74"/>
      <x:c r="M660" s="74"/>
      <x:c r="N660" s="74"/>
      <x:c r="O660" s="91"/>
      <x:c r="P660" s="91"/>
      <x:c r="Q660" s="85"/>
      <x:c r="R660" s="85"/>
      <x:c r="S660" s="85"/>
      <x:c r="T660" s="85"/>
      <x:c r="U660" s="85"/>
      <x:c r="V660" s="85"/>
      <x:c r="W660" s="85"/>
      <x:c r="Y660" s="86"/>
      <x:c r="Z660" s="86"/>
      <x:c r="AA660" s="32"/>
    </x:row>
    <x:row r="661">
      <x:c r="A661" s="87"/>
      <x:c r="B661" s="88"/>
      <x:c r="D661" s="32"/>
      <x:c r="I661" s="74"/>
      <x:c r="J661" s="74"/>
      <x:c r="K661" s="74"/>
      <x:c r="L661" s="74"/>
      <x:c r="M661" s="74"/>
      <x:c r="N661" s="74"/>
      <x:c r="O661" s="91"/>
      <x:c r="P661" s="91"/>
      <x:c r="Q661" s="85"/>
      <x:c r="R661" s="85"/>
      <x:c r="S661" s="85"/>
      <x:c r="T661" s="85"/>
      <x:c r="U661" s="85"/>
      <x:c r="V661" s="85"/>
      <x:c r="W661" s="85"/>
      <x:c r="Y661" s="86"/>
      <x:c r="Z661" s="86"/>
      <x:c r="AA661" s="32"/>
    </x:row>
    <x:row r="662">
      <x:c r="A662" s="87"/>
      <x:c r="B662" s="88"/>
      <x:c r="D662" s="32"/>
      <x:c r="I662" s="74"/>
      <x:c r="J662" s="74"/>
      <x:c r="K662" s="74"/>
      <x:c r="L662" s="74"/>
      <x:c r="M662" s="74"/>
      <x:c r="N662" s="74"/>
      <x:c r="O662" s="91"/>
      <x:c r="P662" s="91"/>
      <x:c r="Q662" s="85"/>
      <x:c r="R662" s="85"/>
      <x:c r="S662" s="85"/>
      <x:c r="T662" s="85"/>
      <x:c r="U662" s="85"/>
      <x:c r="V662" s="85"/>
      <x:c r="W662" s="85"/>
      <x:c r="Y662" s="86"/>
      <x:c r="Z662" s="86"/>
      <x:c r="AA662" s="32"/>
    </x:row>
    <x:row r="663">
      <x:c r="A663" s="87"/>
      <x:c r="B663" s="88"/>
      <x:c r="D663" s="32"/>
      <x:c r="I663" s="74"/>
      <x:c r="J663" s="74"/>
      <x:c r="K663" s="74"/>
      <x:c r="L663" s="74"/>
      <x:c r="M663" s="74"/>
      <x:c r="N663" s="74"/>
      <x:c r="O663" s="91"/>
      <x:c r="P663" s="91"/>
      <x:c r="Q663" s="85"/>
      <x:c r="R663" s="85"/>
      <x:c r="S663" s="85"/>
      <x:c r="T663" s="85"/>
      <x:c r="U663" s="85"/>
      <x:c r="V663" s="85"/>
      <x:c r="W663" s="85"/>
      <x:c r="Y663" s="86"/>
      <x:c r="Z663" s="86"/>
      <x:c r="AA663" s="32"/>
    </x:row>
    <x:row r="664">
      <x:c r="A664" s="87"/>
      <x:c r="B664" s="88"/>
      <x:c r="D664" s="32"/>
      <x:c r="I664" s="74"/>
      <x:c r="J664" s="74"/>
      <x:c r="K664" s="74"/>
      <x:c r="L664" s="74"/>
      <x:c r="M664" s="74"/>
      <x:c r="N664" s="74"/>
      <x:c r="O664" s="91"/>
      <x:c r="P664" s="91"/>
      <x:c r="Q664" s="85"/>
      <x:c r="R664" s="85"/>
      <x:c r="S664" s="85"/>
      <x:c r="T664" s="85"/>
      <x:c r="U664" s="85"/>
      <x:c r="V664" s="85"/>
      <x:c r="W664" s="85"/>
      <x:c r="Y664" s="86"/>
      <x:c r="Z664" s="86"/>
      <x:c r="AA664" s="32"/>
    </x:row>
    <x:row r="665">
      <x:c r="A665" s="87"/>
      <x:c r="B665" s="88"/>
      <x:c r="D665" s="32"/>
      <x:c r="I665" s="74"/>
      <x:c r="J665" s="74"/>
      <x:c r="K665" s="74"/>
      <x:c r="L665" s="74"/>
      <x:c r="M665" s="74"/>
      <x:c r="N665" s="74"/>
      <x:c r="O665" s="91"/>
      <x:c r="P665" s="91"/>
      <x:c r="Q665" s="85"/>
      <x:c r="R665" s="85"/>
      <x:c r="S665" s="85"/>
      <x:c r="T665" s="85"/>
      <x:c r="U665" s="85"/>
      <x:c r="V665" s="85"/>
      <x:c r="W665" s="85"/>
      <x:c r="Y665" s="86"/>
      <x:c r="Z665" s="86"/>
      <x:c r="AA665" s="32"/>
    </x:row>
    <x:row r="666">
      <x:c r="A666" s="87"/>
      <x:c r="B666" s="88"/>
      <x:c r="D666" s="32"/>
      <x:c r="I666" s="74"/>
      <x:c r="J666" s="74"/>
      <x:c r="K666" s="74"/>
      <x:c r="L666" s="74"/>
      <x:c r="M666" s="74"/>
      <x:c r="N666" s="74"/>
      <x:c r="O666" s="91"/>
      <x:c r="P666" s="91"/>
      <x:c r="Q666" s="85"/>
      <x:c r="R666" s="85"/>
      <x:c r="S666" s="85"/>
      <x:c r="T666" s="85"/>
      <x:c r="U666" s="85"/>
      <x:c r="V666" s="85"/>
      <x:c r="W666" s="85"/>
      <x:c r="Y666" s="86"/>
      <x:c r="Z666" s="86"/>
      <x:c r="AA666" s="32"/>
    </x:row>
    <x:row r="667">
      <x:c r="A667" s="87"/>
      <x:c r="B667" s="88"/>
      <x:c r="D667" s="32"/>
      <x:c r="I667" s="74"/>
      <x:c r="J667" s="74"/>
      <x:c r="K667" s="74"/>
      <x:c r="L667" s="74"/>
      <x:c r="M667" s="74"/>
      <x:c r="N667" s="74"/>
      <x:c r="O667" s="91"/>
      <x:c r="P667" s="91"/>
      <x:c r="Q667" s="85"/>
      <x:c r="R667" s="85"/>
      <x:c r="S667" s="85"/>
      <x:c r="T667" s="85"/>
      <x:c r="U667" s="85"/>
      <x:c r="V667" s="85"/>
      <x:c r="W667" s="85"/>
      <x:c r="Y667" s="86"/>
      <x:c r="Z667" s="86"/>
      <x:c r="AA667" s="32"/>
    </x:row>
    <x:row r="668">
      <x:c r="A668" s="87"/>
      <x:c r="B668" s="88"/>
      <x:c r="D668" s="32"/>
      <x:c r="I668" s="74"/>
      <x:c r="J668" s="74"/>
      <x:c r="K668" s="74"/>
      <x:c r="L668" s="74"/>
      <x:c r="M668" s="74"/>
      <x:c r="N668" s="74"/>
      <x:c r="O668" s="91"/>
      <x:c r="P668" s="91"/>
      <x:c r="Q668" s="85"/>
      <x:c r="R668" s="85"/>
      <x:c r="S668" s="85"/>
      <x:c r="T668" s="85"/>
      <x:c r="U668" s="85"/>
      <x:c r="V668" s="85"/>
      <x:c r="W668" s="85"/>
      <x:c r="Y668" s="86"/>
      <x:c r="Z668" s="86"/>
      <x:c r="AA668" s="32"/>
    </x:row>
    <x:row r="669">
      <x:c r="A669" s="87"/>
      <x:c r="B669" s="88"/>
      <x:c r="D669" s="32"/>
      <x:c r="I669" s="74"/>
      <x:c r="J669" s="74"/>
      <x:c r="K669" s="74"/>
      <x:c r="L669" s="74"/>
      <x:c r="M669" s="74"/>
      <x:c r="N669" s="74"/>
      <x:c r="O669" s="91"/>
      <x:c r="P669" s="91"/>
      <x:c r="Q669" s="85"/>
      <x:c r="R669" s="85"/>
      <x:c r="S669" s="85"/>
      <x:c r="T669" s="85"/>
      <x:c r="U669" s="85"/>
      <x:c r="V669" s="85"/>
      <x:c r="W669" s="85"/>
      <x:c r="Y669" s="86"/>
      <x:c r="Z669" s="86"/>
      <x:c r="AA669" s="32"/>
    </x:row>
    <x:row r="670">
      <x:c r="A670" s="87"/>
      <x:c r="B670" s="88"/>
      <x:c r="D670" s="32"/>
      <x:c r="I670" s="74"/>
      <x:c r="J670" s="74"/>
      <x:c r="K670" s="74"/>
      <x:c r="L670" s="74"/>
      <x:c r="M670" s="74"/>
      <x:c r="N670" s="74"/>
      <x:c r="O670" s="91"/>
      <x:c r="P670" s="91"/>
      <x:c r="Q670" s="85"/>
      <x:c r="R670" s="85"/>
      <x:c r="S670" s="85"/>
      <x:c r="T670" s="85"/>
      <x:c r="U670" s="85"/>
      <x:c r="V670" s="85"/>
      <x:c r="W670" s="85"/>
      <x:c r="Y670" s="86"/>
      <x:c r="Z670" s="86"/>
      <x:c r="AA670" s="32"/>
    </x:row>
    <x:row r="671">
      <x:c r="A671" s="87"/>
      <x:c r="B671" s="88"/>
      <x:c r="D671" s="32"/>
      <x:c r="I671" s="74"/>
      <x:c r="J671" s="74"/>
      <x:c r="K671" s="74"/>
      <x:c r="L671" s="74"/>
      <x:c r="M671" s="74"/>
      <x:c r="N671" s="74"/>
      <x:c r="O671" s="91"/>
      <x:c r="P671" s="91"/>
      <x:c r="Q671" s="85"/>
      <x:c r="R671" s="85"/>
      <x:c r="S671" s="85"/>
      <x:c r="T671" s="85"/>
      <x:c r="U671" s="85"/>
      <x:c r="V671" s="85"/>
      <x:c r="W671" s="85"/>
      <x:c r="Y671" s="86"/>
      <x:c r="Z671" s="86"/>
      <x:c r="AA671" s="32"/>
    </x:row>
    <x:row r="672">
      <x:c r="A672" s="87"/>
      <x:c r="B672" s="88"/>
      <x:c r="D672" s="32"/>
      <x:c r="I672" s="74"/>
      <x:c r="J672" s="74"/>
      <x:c r="K672" s="74"/>
      <x:c r="L672" s="74"/>
      <x:c r="M672" s="74"/>
      <x:c r="N672" s="74"/>
      <x:c r="O672" s="91"/>
      <x:c r="P672" s="91"/>
      <x:c r="Q672" s="85"/>
      <x:c r="R672" s="85"/>
      <x:c r="S672" s="85"/>
      <x:c r="T672" s="85"/>
      <x:c r="U672" s="85"/>
      <x:c r="V672" s="85"/>
      <x:c r="W672" s="85"/>
      <x:c r="Y672" s="86"/>
      <x:c r="Z672" s="86"/>
      <x:c r="AA672" s="32"/>
    </x:row>
    <x:row r="673">
      <x:c r="A673" s="87"/>
      <x:c r="B673" s="88"/>
      <x:c r="D673" s="32"/>
      <x:c r="I673" s="74"/>
      <x:c r="J673" s="74"/>
      <x:c r="K673" s="74"/>
      <x:c r="L673" s="74"/>
      <x:c r="M673" s="74"/>
      <x:c r="N673" s="74"/>
      <x:c r="O673" s="91"/>
      <x:c r="P673" s="91"/>
      <x:c r="Q673" s="85"/>
      <x:c r="R673" s="85"/>
      <x:c r="S673" s="85"/>
      <x:c r="T673" s="85"/>
      <x:c r="U673" s="85"/>
      <x:c r="V673" s="85"/>
      <x:c r="W673" s="85"/>
      <x:c r="Y673" s="86"/>
      <x:c r="Z673" s="86"/>
      <x:c r="AA673" s="32"/>
    </x:row>
    <x:row r="674">
      <x:c r="A674" s="87"/>
      <x:c r="B674" s="88"/>
      <x:c r="D674" s="32"/>
      <x:c r="I674" s="74"/>
      <x:c r="J674" s="74"/>
      <x:c r="K674" s="74"/>
      <x:c r="L674" s="74"/>
      <x:c r="M674" s="74"/>
      <x:c r="N674" s="74"/>
      <x:c r="O674" s="91"/>
      <x:c r="P674" s="91"/>
      <x:c r="Q674" s="85"/>
      <x:c r="R674" s="85"/>
      <x:c r="S674" s="85"/>
      <x:c r="T674" s="85"/>
      <x:c r="U674" s="85"/>
      <x:c r="V674" s="85"/>
      <x:c r="W674" s="85"/>
      <x:c r="Y674" s="86"/>
      <x:c r="Z674" s="86"/>
      <x:c r="AA674" s="32"/>
    </x:row>
    <x:row r="675">
      <x:c r="A675" s="87"/>
      <x:c r="B675" s="88"/>
      <x:c r="D675" s="32"/>
      <x:c r="I675" s="74"/>
      <x:c r="J675" s="74"/>
      <x:c r="K675" s="74"/>
      <x:c r="L675" s="74"/>
      <x:c r="M675" s="74"/>
      <x:c r="N675" s="74"/>
      <x:c r="O675" s="91"/>
      <x:c r="P675" s="91"/>
      <x:c r="Q675" s="85"/>
      <x:c r="R675" s="85"/>
      <x:c r="S675" s="85"/>
      <x:c r="T675" s="85"/>
      <x:c r="U675" s="85"/>
      <x:c r="V675" s="85"/>
      <x:c r="W675" s="85"/>
      <x:c r="Y675" s="86"/>
      <x:c r="Z675" s="86"/>
      <x:c r="AA675" s="32"/>
    </x:row>
    <x:row r="676">
      <x:c r="A676" s="87"/>
      <x:c r="B676" s="88"/>
      <x:c r="D676" s="32"/>
      <x:c r="I676" s="74"/>
      <x:c r="J676" s="74"/>
      <x:c r="K676" s="74"/>
      <x:c r="L676" s="74"/>
      <x:c r="M676" s="74"/>
      <x:c r="N676" s="74"/>
      <x:c r="O676" s="91"/>
      <x:c r="P676" s="91"/>
      <x:c r="Q676" s="85"/>
      <x:c r="R676" s="85"/>
      <x:c r="S676" s="85"/>
      <x:c r="T676" s="85"/>
      <x:c r="U676" s="85"/>
      <x:c r="V676" s="85"/>
      <x:c r="W676" s="85"/>
      <x:c r="Y676" s="86"/>
      <x:c r="Z676" s="86"/>
      <x:c r="AA676" s="32"/>
    </x:row>
    <x:row r="677">
      <x:c r="A677" s="87"/>
      <x:c r="B677" s="88"/>
      <x:c r="D677" s="32"/>
      <x:c r="I677" s="74"/>
      <x:c r="J677" s="74"/>
      <x:c r="K677" s="74"/>
      <x:c r="L677" s="74"/>
      <x:c r="M677" s="74"/>
      <x:c r="N677" s="74"/>
      <x:c r="O677" s="91"/>
      <x:c r="P677" s="91"/>
      <x:c r="Q677" s="85"/>
      <x:c r="R677" s="85"/>
      <x:c r="S677" s="85"/>
      <x:c r="T677" s="85"/>
      <x:c r="U677" s="85"/>
      <x:c r="V677" s="85"/>
      <x:c r="W677" s="85"/>
      <x:c r="Y677" s="86"/>
      <x:c r="Z677" s="86"/>
      <x:c r="AA677" s="32"/>
    </x:row>
    <x:row r="678">
      <x:c r="A678" s="87"/>
      <x:c r="B678" s="88"/>
      <x:c r="D678" s="32"/>
      <x:c r="I678" s="74"/>
      <x:c r="J678" s="74"/>
      <x:c r="K678" s="74"/>
      <x:c r="L678" s="74"/>
      <x:c r="M678" s="74"/>
      <x:c r="N678" s="74"/>
      <x:c r="O678" s="91"/>
      <x:c r="P678" s="91"/>
      <x:c r="Q678" s="85"/>
      <x:c r="R678" s="85"/>
      <x:c r="S678" s="85"/>
      <x:c r="T678" s="85"/>
      <x:c r="U678" s="85"/>
      <x:c r="V678" s="85"/>
      <x:c r="W678" s="85"/>
      <x:c r="Y678" s="86"/>
      <x:c r="Z678" s="86"/>
      <x:c r="AA678" s="32"/>
    </x:row>
    <x:row r="679">
      <x:c r="A679" s="87"/>
      <x:c r="B679" s="88"/>
      <x:c r="D679" s="32"/>
      <x:c r="I679" s="74"/>
      <x:c r="J679" s="74"/>
      <x:c r="K679" s="74"/>
      <x:c r="L679" s="74"/>
      <x:c r="M679" s="74"/>
      <x:c r="N679" s="74"/>
      <x:c r="O679" s="91"/>
      <x:c r="P679" s="91"/>
      <x:c r="Q679" s="85"/>
      <x:c r="R679" s="85"/>
      <x:c r="S679" s="85"/>
      <x:c r="T679" s="85"/>
      <x:c r="U679" s="85"/>
      <x:c r="V679" s="85"/>
      <x:c r="W679" s="85"/>
      <x:c r="Y679" s="86"/>
      <x:c r="Z679" s="86"/>
      <x:c r="AA679" s="32"/>
    </x:row>
    <x:row r="680">
      <x:c r="A680" s="87"/>
      <x:c r="B680" s="88"/>
      <x:c r="D680" s="32"/>
      <x:c r="I680" s="74"/>
      <x:c r="J680" s="74"/>
      <x:c r="K680" s="74"/>
      <x:c r="L680" s="74"/>
      <x:c r="M680" s="74"/>
      <x:c r="N680" s="74"/>
      <x:c r="O680" s="91"/>
      <x:c r="P680" s="91"/>
      <x:c r="Q680" s="85"/>
      <x:c r="R680" s="85"/>
      <x:c r="S680" s="85"/>
      <x:c r="T680" s="85"/>
      <x:c r="U680" s="85"/>
      <x:c r="V680" s="85"/>
      <x:c r="W680" s="85"/>
      <x:c r="Y680" s="86"/>
      <x:c r="Z680" s="86"/>
      <x:c r="AA680" s="32"/>
    </x:row>
    <x:row r="681">
      <x:c r="A681" s="87"/>
      <x:c r="B681" s="88"/>
      <x:c r="D681" s="32"/>
      <x:c r="I681" s="74"/>
      <x:c r="J681" s="74"/>
      <x:c r="K681" s="74"/>
      <x:c r="L681" s="74"/>
      <x:c r="M681" s="74"/>
      <x:c r="N681" s="74"/>
      <x:c r="O681" s="91"/>
      <x:c r="P681" s="91"/>
      <x:c r="Q681" s="85"/>
      <x:c r="R681" s="85"/>
      <x:c r="S681" s="85"/>
      <x:c r="T681" s="85"/>
      <x:c r="U681" s="85"/>
      <x:c r="V681" s="85"/>
      <x:c r="W681" s="85"/>
      <x:c r="Y681" s="86"/>
      <x:c r="Z681" s="86"/>
      <x:c r="AA681" s="32"/>
    </x:row>
    <x:row r="682">
      <x:c r="A682" s="87"/>
      <x:c r="B682" s="88"/>
      <x:c r="D682" s="32"/>
      <x:c r="I682" s="74"/>
      <x:c r="J682" s="74"/>
      <x:c r="K682" s="74"/>
      <x:c r="L682" s="74"/>
      <x:c r="M682" s="74"/>
      <x:c r="N682" s="74"/>
      <x:c r="O682" s="91"/>
      <x:c r="P682" s="91"/>
      <x:c r="Q682" s="85"/>
      <x:c r="R682" s="85"/>
      <x:c r="S682" s="85"/>
      <x:c r="T682" s="85"/>
      <x:c r="U682" s="85"/>
      <x:c r="V682" s="85"/>
      <x:c r="W682" s="85"/>
      <x:c r="Y682" s="86"/>
      <x:c r="Z682" s="86"/>
      <x:c r="AA682" s="32"/>
    </x:row>
    <x:row r="683">
      <x:c r="A683" s="87"/>
      <x:c r="B683" s="88"/>
      <x:c r="D683" s="32"/>
      <x:c r="I683" s="74"/>
      <x:c r="J683" s="74"/>
      <x:c r="K683" s="74"/>
      <x:c r="L683" s="74"/>
      <x:c r="M683" s="74"/>
      <x:c r="N683" s="74"/>
      <x:c r="O683" s="91"/>
      <x:c r="P683" s="91"/>
      <x:c r="Q683" s="85"/>
      <x:c r="R683" s="85"/>
      <x:c r="S683" s="85"/>
      <x:c r="T683" s="85"/>
      <x:c r="U683" s="85"/>
      <x:c r="V683" s="85"/>
      <x:c r="W683" s="85"/>
      <x:c r="Y683" s="86"/>
      <x:c r="Z683" s="86"/>
      <x:c r="AA683" s="32"/>
    </x:row>
    <x:row r="684">
      <x:c r="A684" s="87"/>
      <x:c r="B684" s="88"/>
      <x:c r="D684" s="32"/>
      <x:c r="I684" s="74"/>
      <x:c r="J684" s="74"/>
      <x:c r="K684" s="74"/>
      <x:c r="L684" s="74"/>
      <x:c r="M684" s="74"/>
      <x:c r="N684" s="74"/>
      <x:c r="O684" s="91"/>
      <x:c r="P684" s="91"/>
      <x:c r="Q684" s="85"/>
      <x:c r="R684" s="85"/>
      <x:c r="S684" s="85"/>
      <x:c r="T684" s="85"/>
      <x:c r="U684" s="85"/>
      <x:c r="V684" s="85"/>
      <x:c r="W684" s="85"/>
      <x:c r="Y684" s="86"/>
      <x:c r="Z684" s="86"/>
      <x:c r="AA684" s="32"/>
    </x:row>
    <x:row r="685">
      <x:c r="A685" s="87"/>
      <x:c r="B685" s="88"/>
      <x:c r="D685" s="32"/>
      <x:c r="I685" s="74"/>
      <x:c r="J685" s="74"/>
      <x:c r="K685" s="74"/>
      <x:c r="L685" s="74"/>
      <x:c r="M685" s="74"/>
      <x:c r="N685" s="74"/>
      <x:c r="O685" s="91"/>
      <x:c r="P685" s="91"/>
      <x:c r="Q685" s="85"/>
      <x:c r="R685" s="85"/>
      <x:c r="S685" s="85"/>
      <x:c r="T685" s="85"/>
      <x:c r="U685" s="85"/>
      <x:c r="V685" s="85"/>
      <x:c r="W685" s="85"/>
      <x:c r="Y685" s="86"/>
      <x:c r="Z685" s="86"/>
      <x:c r="AA685" s="32"/>
    </x:row>
    <x:row r="686">
      <x:c r="A686" s="87"/>
      <x:c r="B686" s="88"/>
      <x:c r="D686" s="32"/>
      <x:c r="I686" s="74"/>
      <x:c r="J686" s="74"/>
      <x:c r="K686" s="74"/>
      <x:c r="L686" s="74"/>
      <x:c r="M686" s="74"/>
      <x:c r="N686" s="74"/>
      <x:c r="O686" s="91"/>
      <x:c r="P686" s="91"/>
      <x:c r="Q686" s="85"/>
      <x:c r="R686" s="85"/>
      <x:c r="S686" s="85"/>
      <x:c r="T686" s="85"/>
      <x:c r="U686" s="85"/>
      <x:c r="V686" s="85"/>
      <x:c r="W686" s="85"/>
      <x:c r="Y686" s="86"/>
      <x:c r="Z686" s="86"/>
      <x:c r="AA686" s="32"/>
    </x:row>
    <x:row r="687">
      <x:c r="A687" s="87"/>
      <x:c r="B687" s="88"/>
      <x:c r="D687" s="32"/>
      <x:c r="I687" s="74"/>
      <x:c r="J687" s="74"/>
      <x:c r="K687" s="74"/>
      <x:c r="L687" s="74"/>
      <x:c r="M687" s="74"/>
      <x:c r="N687" s="74"/>
      <x:c r="O687" s="91"/>
      <x:c r="P687" s="91"/>
      <x:c r="Q687" s="85"/>
      <x:c r="R687" s="85"/>
      <x:c r="S687" s="85"/>
      <x:c r="T687" s="85"/>
      <x:c r="U687" s="85"/>
      <x:c r="V687" s="85"/>
      <x:c r="W687" s="85"/>
      <x:c r="Y687" s="86"/>
      <x:c r="Z687" s="86"/>
      <x:c r="AA687" s="32"/>
    </x:row>
    <x:row r="688">
      <x:c r="A688" s="87"/>
      <x:c r="B688" s="88"/>
      <x:c r="D688" s="32"/>
      <x:c r="I688" s="74"/>
      <x:c r="J688" s="74"/>
      <x:c r="K688" s="74"/>
      <x:c r="L688" s="74"/>
      <x:c r="M688" s="74"/>
      <x:c r="N688" s="74"/>
      <x:c r="O688" s="91"/>
      <x:c r="P688" s="91"/>
      <x:c r="Q688" s="85"/>
      <x:c r="R688" s="85"/>
      <x:c r="S688" s="85"/>
      <x:c r="T688" s="85"/>
      <x:c r="U688" s="85"/>
      <x:c r="V688" s="85"/>
      <x:c r="W688" s="85"/>
      <x:c r="Y688" s="86"/>
      <x:c r="Z688" s="86"/>
      <x:c r="AA688" s="32"/>
    </x:row>
    <x:row r="689">
      <x:c r="A689" s="87"/>
      <x:c r="B689" s="88"/>
      <x:c r="D689" s="32"/>
      <x:c r="I689" s="74"/>
      <x:c r="J689" s="74"/>
      <x:c r="K689" s="74"/>
      <x:c r="L689" s="74"/>
      <x:c r="M689" s="74"/>
      <x:c r="N689" s="74"/>
      <x:c r="O689" s="91"/>
      <x:c r="P689" s="91"/>
      <x:c r="Q689" s="85"/>
      <x:c r="R689" s="85"/>
      <x:c r="S689" s="85"/>
      <x:c r="T689" s="85"/>
      <x:c r="U689" s="85"/>
      <x:c r="V689" s="85"/>
      <x:c r="W689" s="85"/>
      <x:c r="Y689" s="86"/>
      <x:c r="Z689" s="86"/>
      <x:c r="AA689" s="32"/>
    </x:row>
    <x:row r="690">
      <x:c r="A690" s="87"/>
      <x:c r="B690" s="88"/>
      <x:c r="D690" s="32"/>
      <x:c r="I690" s="74"/>
      <x:c r="J690" s="74"/>
      <x:c r="K690" s="74"/>
      <x:c r="L690" s="74"/>
      <x:c r="M690" s="74"/>
      <x:c r="N690" s="74"/>
      <x:c r="O690" s="91"/>
      <x:c r="P690" s="91"/>
      <x:c r="Q690" s="85"/>
      <x:c r="R690" s="85"/>
      <x:c r="S690" s="85"/>
      <x:c r="T690" s="85"/>
      <x:c r="U690" s="85"/>
      <x:c r="V690" s="85"/>
      <x:c r="W690" s="85"/>
      <x:c r="Y690" s="86"/>
      <x:c r="Z690" s="86"/>
      <x:c r="AA690" s="32"/>
    </x:row>
    <x:row r="691">
      <x:c r="A691" s="87"/>
      <x:c r="B691" s="88"/>
      <x:c r="D691" s="32"/>
      <x:c r="I691" s="74"/>
      <x:c r="J691" s="74"/>
      <x:c r="K691" s="74"/>
      <x:c r="L691" s="74"/>
      <x:c r="M691" s="74"/>
      <x:c r="N691" s="74"/>
      <x:c r="O691" s="91"/>
      <x:c r="P691" s="91"/>
      <x:c r="Q691" s="85"/>
      <x:c r="R691" s="85"/>
      <x:c r="S691" s="85"/>
      <x:c r="T691" s="85"/>
      <x:c r="U691" s="85"/>
      <x:c r="V691" s="85"/>
      <x:c r="W691" s="85"/>
      <x:c r="Y691" s="86"/>
      <x:c r="Z691" s="86"/>
      <x:c r="AA691" s="32"/>
    </x:row>
    <x:row r="692">
      <x:c r="A692" s="87"/>
      <x:c r="B692" s="88"/>
      <x:c r="D692" s="32"/>
      <x:c r="I692" s="74"/>
      <x:c r="J692" s="74"/>
      <x:c r="K692" s="74"/>
      <x:c r="L692" s="74"/>
      <x:c r="M692" s="74"/>
      <x:c r="N692" s="74"/>
      <x:c r="O692" s="91"/>
      <x:c r="P692" s="91"/>
      <x:c r="Q692" s="85"/>
      <x:c r="R692" s="85"/>
      <x:c r="S692" s="85"/>
      <x:c r="T692" s="85"/>
      <x:c r="U692" s="85"/>
      <x:c r="V692" s="85"/>
      <x:c r="W692" s="85"/>
      <x:c r="Y692" s="86"/>
      <x:c r="Z692" s="86"/>
      <x:c r="AA692" s="32"/>
    </x:row>
    <x:row r="693">
      <x:c r="A693" s="87"/>
      <x:c r="B693" s="88"/>
      <x:c r="D693" s="32"/>
      <x:c r="I693" s="74"/>
      <x:c r="J693" s="74"/>
      <x:c r="K693" s="74"/>
      <x:c r="L693" s="74"/>
      <x:c r="M693" s="74"/>
      <x:c r="N693" s="74"/>
      <x:c r="O693" s="91"/>
      <x:c r="P693" s="91"/>
      <x:c r="Q693" s="85"/>
      <x:c r="R693" s="85"/>
      <x:c r="S693" s="85"/>
      <x:c r="T693" s="85"/>
      <x:c r="U693" s="85"/>
      <x:c r="V693" s="85"/>
      <x:c r="W693" s="85"/>
      <x:c r="Y693" s="86"/>
      <x:c r="Z693" s="86"/>
      <x:c r="AA693" s="32"/>
    </x:row>
    <x:row r="694">
      <x:c r="A694" s="87"/>
      <x:c r="B694" s="88"/>
      <x:c r="D694" s="32"/>
      <x:c r="I694" s="74"/>
      <x:c r="J694" s="74"/>
      <x:c r="K694" s="74"/>
      <x:c r="L694" s="74"/>
      <x:c r="M694" s="74"/>
      <x:c r="N694" s="74"/>
      <x:c r="O694" s="91"/>
      <x:c r="P694" s="91"/>
      <x:c r="Q694" s="85"/>
      <x:c r="R694" s="85"/>
      <x:c r="S694" s="85"/>
      <x:c r="T694" s="85"/>
      <x:c r="U694" s="85"/>
      <x:c r="V694" s="85"/>
      <x:c r="W694" s="85"/>
      <x:c r="Y694" s="86"/>
      <x:c r="Z694" s="86"/>
      <x:c r="AA694" s="32"/>
    </x:row>
    <x:row r="695">
      <x:c r="A695" s="87"/>
      <x:c r="B695" s="88"/>
      <x:c r="D695" s="32"/>
      <x:c r="I695" s="74"/>
      <x:c r="J695" s="74"/>
      <x:c r="K695" s="74"/>
      <x:c r="L695" s="74"/>
      <x:c r="M695" s="74"/>
      <x:c r="N695" s="74"/>
      <x:c r="O695" s="91"/>
      <x:c r="P695" s="91"/>
      <x:c r="Q695" s="85"/>
      <x:c r="R695" s="85"/>
      <x:c r="S695" s="85"/>
      <x:c r="T695" s="85"/>
      <x:c r="U695" s="85"/>
      <x:c r="V695" s="85"/>
      <x:c r="W695" s="85"/>
      <x:c r="Y695" s="86"/>
      <x:c r="Z695" s="86"/>
      <x:c r="AA695" s="32"/>
    </x:row>
    <x:row r="696">
      <x:c r="A696" s="87"/>
      <x:c r="B696" s="88"/>
      <x:c r="D696" s="32"/>
      <x:c r="I696" s="74"/>
      <x:c r="J696" s="74"/>
      <x:c r="K696" s="74"/>
      <x:c r="L696" s="74"/>
      <x:c r="M696" s="74"/>
      <x:c r="N696" s="74"/>
      <x:c r="O696" s="91"/>
      <x:c r="P696" s="91"/>
      <x:c r="Q696" s="85"/>
      <x:c r="R696" s="85"/>
      <x:c r="S696" s="85"/>
      <x:c r="T696" s="85"/>
      <x:c r="U696" s="85"/>
      <x:c r="V696" s="85"/>
      <x:c r="W696" s="85"/>
      <x:c r="Y696" s="86"/>
      <x:c r="Z696" s="86"/>
      <x:c r="AA696" s="32"/>
    </x:row>
    <x:row r="697">
      <x:c r="A697" s="87"/>
      <x:c r="B697" s="88"/>
      <x:c r="D697" s="32"/>
      <x:c r="I697" s="74"/>
      <x:c r="J697" s="74"/>
      <x:c r="K697" s="74"/>
      <x:c r="L697" s="74"/>
      <x:c r="M697" s="74"/>
      <x:c r="N697" s="74"/>
      <x:c r="O697" s="91"/>
      <x:c r="P697" s="91"/>
      <x:c r="Q697" s="85"/>
      <x:c r="R697" s="85"/>
      <x:c r="S697" s="85"/>
      <x:c r="T697" s="85"/>
      <x:c r="U697" s="85"/>
      <x:c r="V697" s="85"/>
      <x:c r="W697" s="85"/>
      <x:c r="Y697" s="86"/>
      <x:c r="Z697" s="86"/>
      <x:c r="AA697" s="32"/>
    </x:row>
    <x:row r="698">
      <x:c r="A698" s="87"/>
      <x:c r="B698" s="88"/>
      <x:c r="D698" s="32"/>
      <x:c r="I698" s="74"/>
      <x:c r="J698" s="74"/>
      <x:c r="K698" s="74"/>
      <x:c r="L698" s="74"/>
      <x:c r="M698" s="74"/>
      <x:c r="N698" s="74"/>
      <x:c r="O698" s="91"/>
      <x:c r="P698" s="91"/>
      <x:c r="Q698" s="85"/>
      <x:c r="R698" s="85"/>
      <x:c r="S698" s="85"/>
      <x:c r="T698" s="85"/>
      <x:c r="U698" s="85"/>
      <x:c r="V698" s="85"/>
      <x:c r="W698" s="85"/>
      <x:c r="Y698" s="86"/>
      <x:c r="Z698" s="86"/>
      <x:c r="AA698" s="32"/>
    </x:row>
    <x:row r="699">
      <x:c r="A699" s="87"/>
      <x:c r="B699" s="88"/>
      <x:c r="D699" s="32"/>
      <x:c r="I699" s="74"/>
      <x:c r="J699" s="74"/>
      <x:c r="K699" s="74"/>
      <x:c r="L699" s="74"/>
      <x:c r="M699" s="74"/>
      <x:c r="N699" s="74"/>
      <x:c r="O699" s="91"/>
      <x:c r="P699" s="91"/>
      <x:c r="Q699" s="85"/>
      <x:c r="R699" s="85"/>
      <x:c r="S699" s="85"/>
      <x:c r="T699" s="85"/>
      <x:c r="U699" s="85"/>
      <x:c r="V699" s="85"/>
      <x:c r="W699" s="85"/>
      <x:c r="Y699" s="86"/>
      <x:c r="Z699" s="86"/>
      <x:c r="AA699" s="32"/>
    </x:row>
    <x:row r="700">
      <x:c r="A700" s="87"/>
      <x:c r="B700" s="88"/>
      <x:c r="D700" s="32"/>
      <x:c r="I700" s="74"/>
      <x:c r="J700" s="74"/>
      <x:c r="K700" s="74"/>
      <x:c r="L700" s="74"/>
      <x:c r="M700" s="74"/>
      <x:c r="N700" s="74"/>
      <x:c r="O700" s="91"/>
      <x:c r="P700" s="91"/>
      <x:c r="Q700" s="85"/>
      <x:c r="R700" s="85"/>
      <x:c r="S700" s="85"/>
      <x:c r="T700" s="85"/>
      <x:c r="U700" s="85"/>
      <x:c r="V700" s="85"/>
      <x:c r="W700" s="85"/>
      <x:c r="Y700" s="86"/>
      <x:c r="Z700" s="86"/>
      <x:c r="AA700" s="32"/>
    </x:row>
    <x:row r="701">
      <x:c r="A701" s="87"/>
      <x:c r="B701" s="88"/>
      <x:c r="D701" s="32"/>
      <x:c r="I701" s="74"/>
      <x:c r="J701" s="74"/>
      <x:c r="K701" s="74"/>
      <x:c r="L701" s="74"/>
      <x:c r="M701" s="74"/>
      <x:c r="N701" s="74"/>
      <x:c r="O701" s="91"/>
      <x:c r="P701" s="91"/>
      <x:c r="Q701" s="85"/>
      <x:c r="R701" s="85"/>
      <x:c r="S701" s="85"/>
      <x:c r="T701" s="85"/>
      <x:c r="U701" s="85"/>
      <x:c r="V701" s="85"/>
      <x:c r="W701" s="85"/>
      <x:c r="Y701" s="86"/>
      <x:c r="Z701" s="86"/>
      <x:c r="AA701" s="32"/>
    </x:row>
    <x:row r="702">
      <x:c r="A702" s="87"/>
      <x:c r="B702" s="88"/>
      <x:c r="D702" s="32"/>
      <x:c r="I702" s="74"/>
      <x:c r="J702" s="74"/>
      <x:c r="K702" s="74"/>
      <x:c r="L702" s="74"/>
      <x:c r="M702" s="74"/>
      <x:c r="N702" s="74"/>
      <x:c r="O702" s="91"/>
      <x:c r="P702" s="91"/>
      <x:c r="Q702" s="85"/>
      <x:c r="R702" s="85"/>
      <x:c r="S702" s="85"/>
      <x:c r="T702" s="85"/>
      <x:c r="U702" s="85"/>
      <x:c r="V702" s="85"/>
      <x:c r="W702" s="85"/>
      <x:c r="Y702" s="86"/>
      <x:c r="Z702" s="86"/>
      <x:c r="AA702" s="32"/>
    </x:row>
    <x:row r="703">
      <x:c r="A703" s="87"/>
      <x:c r="B703" s="88"/>
      <x:c r="D703" s="32"/>
      <x:c r="I703" s="74"/>
      <x:c r="J703" s="74"/>
      <x:c r="K703" s="74"/>
      <x:c r="L703" s="74"/>
      <x:c r="M703" s="74"/>
      <x:c r="N703" s="74"/>
      <x:c r="O703" s="91"/>
      <x:c r="P703" s="91"/>
      <x:c r="Q703" s="85"/>
      <x:c r="R703" s="85"/>
      <x:c r="S703" s="85"/>
      <x:c r="T703" s="85"/>
      <x:c r="U703" s="85"/>
      <x:c r="V703" s="85"/>
      <x:c r="W703" s="85"/>
      <x:c r="Y703" s="86"/>
      <x:c r="Z703" s="86"/>
      <x:c r="AA703" s="32"/>
    </x:row>
    <x:row r="704">
      <x:c r="A704" s="87"/>
      <x:c r="B704" s="88"/>
      <x:c r="D704" s="32"/>
      <x:c r="I704" s="74"/>
      <x:c r="J704" s="74"/>
      <x:c r="K704" s="74"/>
      <x:c r="L704" s="74"/>
      <x:c r="M704" s="74"/>
      <x:c r="N704" s="74"/>
      <x:c r="O704" s="91"/>
      <x:c r="P704" s="91"/>
      <x:c r="Q704" s="85"/>
      <x:c r="R704" s="85"/>
      <x:c r="S704" s="85"/>
      <x:c r="T704" s="85"/>
      <x:c r="U704" s="85"/>
      <x:c r="V704" s="85"/>
      <x:c r="W704" s="85"/>
      <x:c r="Y704" s="86"/>
      <x:c r="Z704" s="86"/>
      <x:c r="AA704" s="32"/>
    </x:row>
    <x:row r="705">
      <x:c r="A705" s="87"/>
      <x:c r="B705" s="88"/>
      <x:c r="D705" s="32"/>
      <x:c r="I705" s="74"/>
      <x:c r="J705" s="74"/>
      <x:c r="K705" s="74"/>
      <x:c r="L705" s="74"/>
      <x:c r="M705" s="74"/>
      <x:c r="N705" s="74"/>
      <x:c r="O705" s="91"/>
      <x:c r="P705" s="91"/>
      <x:c r="Q705" s="85"/>
      <x:c r="R705" s="85"/>
      <x:c r="S705" s="85"/>
      <x:c r="T705" s="85"/>
      <x:c r="U705" s="85"/>
      <x:c r="V705" s="85"/>
      <x:c r="W705" s="85"/>
      <x:c r="Y705" s="86"/>
      <x:c r="Z705" s="86"/>
      <x:c r="AA705" s="32"/>
    </x:row>
    <x:row r="706">
      <x:c r="A706" s="87"/>
      <x:c r="B706" s="88"/>
      <x:c r="D706" s="32"/>
      <x:c r="I706" s="74"/>
      <x:c r="J706" s="74"/>
      <x:c r="K706" s="74"/>
      <x:c r="L706" s="74"/>
      <x:c r="M706" s="74"/>
      <x:c r="N706" s="74"/>
      <x:c r="O706" s="91"/>
      <x:c r="P706" s="91"/>
      <x:c r="Q706" s="85"/>
      <x:c r="R706" s="85"/>
      <x:c r="S706" s="85"/>
      <x:c r="T706" s="85"/>
      <x:c r="U706" s="85"/>
      <x:c r="V706" s="85"/>
      <x:c r="W706" s="85"/>
      <x:c r="Y706" s="86"/>
      <x:c r="Z706" s="86"/>
      <x:c r="AA706" s="32"/>
    </x:row>
    <x:row r="707">
      <x:c r="A707" s="87"/>
      <x:c r="B707" s="88"/>
      <x:c r="D707" s="32"/>
      <x:c r="I707" s="74"/>
      <x:c r="J707" s="74"/>
      <x:c r="K707" s="74"/>
      <x:c r="L707" s="74"/>
      <x:c r="M707" s="74"/>
      <x:c r="N707" s="74"/>
      <x:c r="O707" s="91"/>
      <x:c r="P707" s="91"/>
      <x:c r="Q707" s="85"/>
      <x:c r="R707" s="85"/>
      <x:c r="S707" s="85"/>
      <x:c r="T707" s="85"/>
      <x:c r="U707" s="85"/>
      <x:c r="V707" s="85"/>
      <x:c r="W707" s="85"/>
      <x:c r="Y707" s="86"/>
      <x:c r="Z707" s="86"/>
      <x:c r="AA707" s="32"/>
    </x:row>
    <x:row r="708">
      <x:c r="A708" s="87"/>
      <x:c r="B708" s="88"/>
      <x:c r="D708" s="32"/>
      <x:c r="I708" s="74"/>
      <x:c r="J708" s="74"/>
      <x:c r="K708" s="74"/>
      <x:c r="L708" s="74"/>
      <x:c r="M708" s="74"/>
      <x:c r="N708" s="74"/>
      <x:c r="O708" s="91"/>
      <x:c r="P708" s="91"/>
      <x:c r="Q708" s="85"/>
      <x:c r="R708" s="85"/>
      <x:c r="S708" s="85"/>
      <x:c r="T708" s="85"/>
      <x:c r="U708" s="85"/>
      <x:c r="V708" s="85"/>
      <x:c r="W708" s="85"/>
      <x:c r="Y708" s="86"/>
      <x:c r="Z708" s="86"/>
      <x:c r="AA708" s="32"/>
    </x:row>
    <x:row r="709">
      <x:c r="A709" s="87"/>
      <x:c r="B709" s="88"/>
      <x:c r="D709" s="32"/>
      <x:c r="I709" s="74"/>
      <x:c r="J709" s="74"/>
      <x:c r="K709" s="74"/>
      <x:c r="L709" s="74"/>
      <x:c r="M709" s="74"/>
      <x:c r="N709" s="74"/>
      <x:c r="O709" s="91"/>
      <x:c r="P709" s="91"/>
      <x:c r="Q709" s="85"/>
      <x:c r="R709" s="85"/>
      <x:c r="S709" s="85"/>
      <x:c r="T709" s="85"/>
      <x:c r="U709" s="85"/>
      <x:c r="V709" s="85"/>
      <x:c r="W709" s="85"/>
      <x:c r="Y709" s="86"/>
      <x:c r="Z709" s="86"/>
      <x:c r="AA709" s="32"/>
    </x:row>
    <x:row r="710">
      <x:c r="A710" s="87"/>
      <x:c r="B710" s="88"/>
      <x:c r="D710" s="32"/>
      <x:c r="I710" s="74"/>
      <x:c r="J710" s="74"/>
      <x:c r="K710" s="74"/>
      <x:c r="L710" s="74"/>
      <x:c r="M710" s="74"/>
      <x:c r="N710" s="74"/>
      <x:c r="O710" s="91"/>
      <x:c r="P710" s="91"/>
      <x:c r="Q710" s="85"/>
      <x:c r="R710" s="85"/>
      <x:c r="S710" s="85"/>
      <x:c r="T710" s="85"/>
      <x:c r="U710" s="85"/>
      <x:c r="V710" s="85"/>
      <x:c r="W710" s="85"/>
      <x:c r="Y710" s="86"/>
      <x:c r="Z710" s="86"/>
      <x:c r="AA710" s="32"/>
    </x:row>
    <x:row r="711">
      <x:c r="A711" s="87"/>
      <x:c r="B711" s="88"/>
      <x:c r="D711" s="32"/>
      <x:c r="I711" s="74"/>
      <x:c r="J711" s="74"/>
      <x:c r="K711" s="74"/>
      <x:c r="L711" s="74"/>
      <x:c r="M711" s="74"/>
      <x:c r="N711" s="74"/>
      <x:c r="O711" s="91"/>
      <x:c r="P711" s="91"/>
      <x:c r="Q711" s="85"/>
      <x:c r="R711" s="85"/>
      <x:c r="S711" s="85"/>
      <x:c r="T711" s="85"/>
      <x:c r="U711" s="85"/>
      <x:c r="V711" s="85"/>
      <x:c r="W711" s="85"/>
      <x:c r="Y711" s="86"/>
      <x:c r="Z711" s="86"/>
      <x:c r="AA711" s="32"/>
    </x:row>
    <x:row r="712">
      <x:c r="A712" s="87"/>
      <x:c r="B712" s="88"/>
      <x:c r="D712" s="32"/>
      <x:c r="I712" s="74"/>
      <x:c r="J712" s="74"/>
      <x:c r="K712" s="74"/>
      <x:c r="L712" s="74"/>
      <x:c r="M712" s="74"/>
      <x:c r="N712" s="74"/>
      <x:c r="O712" s="91"/>
      <x:c r="P712" s="91"/>
      <x:c r="Q712" s="85"/>
      <x:c r="R712" s="85"/>
      <x:c r="S712" s="85"/>
      <x:c r="T712" s="85"/>
      <x:c r="U712" s="85"/>
      <x:c r="V712" s="85"/>
      <x:c r="W712" s="85"/>
      <x:c r="Y712" s="86"/>
      <x:c r="Z712" s="86"/>
      <x:c r="AA712" s="32"/>
    </x:row>
    <x:row r="713">
      <x:c r="A713" s="87"/>
      <x:c r="B713" s="88"/>
      <x:c r="D713" s="32"/>
      <x:c r="I713" s="74"/>
      <x:c r="J713" s="74"/>
      <x:c r="K713" s="74"/>
      <x:c r="L713" s="74"/>
      <x:c r="M713" s="74"/>
      <x:c r="N713" s="74"/>
      <x:c r="O713" s="91"/>
      <x:c r="P713" s="91"/>
      <x:c r="Q713" s="85"/>
      <x:c r="R713" s="85"/>
      <x:c r="S713" s="85"/>
      <x:c r="T713" s="85"/>
      <x:c r="U713" s="85"/>
      <x:c r="V713" s="85"/>
      <x:c r="W713" s="85"/>
      <x:c r="Y713" s="86"/>
      <x:c r="Z713" s="86"/>
      <x:c r="AA713" s="32"/>
    </x:row>
    <x:row r="714">
      <x:c r="A714" s="87"/>
      <x:c r="B714" s="88"/>
      <x:c r="D714" s="32"/>
      <x:c r="I714" s="74"/>
      <x:c r="J714" s="74"/>
      <x:c r="K714" s="74"/>
      <x:c r="L714" s="74"/>
      <x:c r="M714" s="74"/>
      <x:c r="N714" s="74"/>
      <x:c r="O714" s="91"/>
      <x:c r="P714" s="91"/>
      <x:c r="Q714" s="85"/>
      <x:c r="R714" s="85"/>
      <x:c r="S714" s="85"/>
      <x:c r="T714" s="85"/>
      <x:c r="U714" s="85"/>
      <x:c r="V714" s="85"/>
      <x:c r="W714" s="85"/>
      <x:c r="Y714" s="86"/>
      <x:c r="Z714" s="86"/>
      <x:c r="AA714" s="32"/>
    </x:row>
    <x:row r="715">
      <x:c r="A715" s="87"/>
      <x:c r="B715" s="88"/>
      <x:c r="D715" s="32"/>
      <x:c r="I715" s="74"/>
      <x:c r="J715" s="74"/>
      <x:c r="K715" s="74"/>
      <x:c r="L715" s="74"/>
      <x:c r="M715" s="74"/>
      <x:c r="N715" s="74"/>
      <x:c r="O715" s="91"/>
      <x:c r="P715" s="91"/>
      <x:c r="Q715" s="85"/>
      <x:c r="R715" s="85"/>
      <x:c r="S715" s="85"/>
      <x:c r="T715" s="85"/>
      <x:c r="U715" s="85"/>
      <x:c r="V715" s="85"/>
      <x:c r="W715" s="85"/>
      <x:c r="Y715" s="86"/>
      <x:c r="Z715" s="86"/>
      <x:c r="AA715" s="32"/>
    </x:row>
    <x:row r="716">
      <x:c r="A716" s="87"/>
      <x:c r="B716" s="88"/>
      <x:c r="D716" s="32"/>
      <x:c r="I716" s="74"/>
      <x:c r="J716" s="74"/>
      <x:c r="K716" s="74"/>
      <x:c r="L716" s="74"/>
      <x:c r="M716" s="74"/>
      <x:c r="N716" s="74"/>
      <x:c r="O716" s="91"/>
      <x:c r="P716" s="91"/>
      <x:c r="Q716" s="85"/>
      <x:c r="R716" s="85"/>
      <x:c r="S716" s="85"/>
      <x:c r="T716" s="85"/>
      <x:c r="U716" s="85"/>
      <x:c r="V716" s="85"/>
      <x:c r="W716" s="85"/>
      <x:c r="Y716" s="86"/>
      <x:c r="Z716" s="86"/>
      <x:c r="AA716" s="32"/>
    </x:row>
    <x:row r="717">
      <x:c r="A717" s="87"/>
      <x:c r="B717" s="88"/>
      <x:c r="D717" s="32"/>
      <x:c r="I717" s="74"/>
      <x:c r="J717" s="74"/>
      <x:c r="K717" s="74"/>
      <x:c r="L717" s="74"/>
      <x:c r="M717" s="74"/>
      <x:c r="N717" s="74"/>
      <x:c r="O717" s="91"/>
      <x:c r="P717" s="91"/>
      <x:c r="Q717" s="85"/>
      <x:c r="R717" s="85"/>
      <x:c r="S717" s="85"/>
      <x:c r="T717" s="85"/>
      <x:c r="U717" s="85"/>
      <x:c r="V717" s="85"/>
      <x:c r="W717" s="85"/>
      <x:c r="Y717" s="86"/>
      <x:c r="Z717" s="86"/>
      <x:c r="AA717" s="32"/>
    </x:row>
    <x:row r="718">
      <x:c r="A718" s="87"/>
      <x:c r="B718" s="88"/>
      <x:c r="D718" s="32"/>
      <x:c r="I718" s="74"/>
      <x:c r="J718" s="74"/>
      <x:c r="K718" s="74"/>
      <x:c r="L718" s="74"/>
      <x:c r="M718" s="74"/>
      <x:c r="N718" s="74"/>
      <x:c r="O718" s="91"/>
      <x:c r="P718" s="91"/>
      <x:c r="Q718" s="85"/>
      <x:c r="R718" s="85"/>
      <x:c r="S718" s="85"/>
      <x:c r="T718" s="85"/>
      <x:c r="U718" s="85"/>
      <x:c r="V718" s="85"/>
      <x:c r="W718" s="85"/>
      <x:c r="Y718" s="86"/>
      <x:c r="Z718" s="86"/>
      <x:c r="AA718" s="32"/>
    </x:row>
    <x:row r="719">
      <x:c r="A719" s="87"/>
      <x:c r="B719" s="88"/>
      <x:c r="D719" s="32"/>
      <x:c r="I719" s="74"/>
      <x:c r="J719" s="74"/>
      <x:c r="K719" s="74"/>
      <x:c r="L719" s="74"/>
      <x:c r="M719" s="74"/>
      <x:c r="N719" s="74"/>
      <x:c r="O719" s="91"/>
      <x:c r="P719" s="91"/>
      <x:c r="Q719" s="85"/>
      <x:c r="R719" s="85"/>
      <x:c r="S719" s="85"/>
      <x:c r="T719" s="85"/>
      <x:c r="U719" s="85"/>
      <x:c r="V719" s="85"/>
      <x:c r="W719" s="85"/>
      <x:c r="Y719" s="86"/>
      <x:c r="Z719" s="86"/>
      <x:c r="AA719" s="32"/>
    </x:row>
    <x:row r="720">
      <x:c r="A720" s="87"/>
      <x:c r="B720" s="88"/>
      <x:c r="D720" s="32"/>
      <x:c r="I720" s="74"/>
      <x:c r="J720" s="74"/>
      <x:c r="K720" s="74"/>
      <x:c r="L720" s="74"/>
      <x:c r="M720" s="74"/>
      <x:c r="N720" s="74"/>
      <x:c r="O720" s="91"/>
      <x:c r="P720" s="91"/>
      <x:c r="Q720" s="85"/>
      <x:c r="R720" s="85"/>
      <x:c r="S720" s="85"/>
      <x:c r="T720" s="85"/>
      <x:c r="U720" s="85"/>
      <x:c r="V720" s="85"/>
      <x:c r="W720" s="85"/>
      <x:c r="Y720" s="86"/>
      <x:c r="Z720" s="86"/>
      <x:c r="AA720" s="32"/>
    </x:row>
    <x:row r="721">
      <x:c r="A721" s="87"/>
      <x:c r="B721" s="88"/>
      <x:c r="D721" s="32"/>
      <x:c r="I721" s="74"/>
      <x:c r="J721" s="74"/>
      <x:c r="K721" s="74"/>
      <x:c r="L721" s="74"/>
      <x:c r="M721" s="74"/>
      <x:c r="N721" s="74"/>
      <x:c r="O721" s="91"/>
      <x:c r="P721" s="91"/>
      <x:c r="Q721" s="85"/>
      <x:c r="R721" s="85"/>
      <x:c r="S721" s="85"/>
      <x:c r="T721" s="85"/>
      <x:c r="U721" s="85"/>
      <x:c r="V721" s="85"/>
      <x:c r="W721" s="85"/>
      <x:c r="Y721" s="86"/>
      <x:c r="Z721" s="86"/>
      <x:c r="AA721" s="32"/>
    </x:row>
    <x:row r="722">
      <x:c r="A722" s="87"/>
      <x:c r="B722" s="88"/>
      <x:c r="D722" s="32"/>
      <x:c r="I722" s="74"/>
      <x:c r="J722" s="74"/>
      <x:c r="K722" s="74"/>
      <x:c r="L722" s="74"/>
      <x:c r="M722" s="74"/>
      <x:c r="N722" s="74"/>
      <x:c r="O722" s="91"/>
      <x:c r="P722" s="91"/>
      <x:c r="Q722" s="85"/>
      <x:c r="R722" s="85"/>
      <x:c r="S722" s="85"/>
      <x:c r="T722" s="85"/>
      <x:c r="U722" s="85"/>
      <x:c r="V722" s="85"/>
      <x:c r="W722" s="85"/>
      <x:c r="Y722" s="86"/>
      <x:c r="Z722" s="86"/>
      <x:c r="AA722" s="32"/>
    </x:row>
    <x:row r="723">
      <x:c r="A723" s="87"/>
      <x:c r="B723" s="88"/>
      <x:c r="D723" s="32"/>
      <x:c r="I723" s="74"/>
      <x:c r="J723" s="74"/>
      <x:c r="K723" s="74"/>
      <x:c r="L723" s="74"/>
      <x:c r="M723" s="74"/>
      <x:c r="N723" s="74"/>
      <x:c r="O723" s="91"/>
      <x:c r="P723" s="91"/>
      <x:c r="Q723" s="85"/>
      <x:c r="R723" s="85"/>
      <x:c r="S723" s="85"/>
      <x:c r="T723" s="85"/>
      <x:c r="U723" s="85"/>
      <x:c r="V723" s="85"/>
      <x:c r="W723" s="85"/>
      <x:c r="Y723" s="86"/>
      <x:c r="Z723" s="86"/>
      <x:c r="AA723" s="32"/>
    </x:row>
    <x:row r="724">
      <x:c r="A724" s="87"/>
      <x:c r="B724" s="88"/>
      <x:c r="D724" s="32"/>
      <x:c r="I724" s="74"/>
      <x:c r="J724" s="74"/>
      <x:c r="K724" s="74"/>
      <x:c r="L724" s="74"/>
      <x:c r="M724" s="74"/>
      <x:c r="N724" s="74"/>
      <x:c r="O724" s="91"/>
      <x:c r="P724" s="91"/>
      <x:c r="Q724" s="85"/>
      <x:c r="R724" s="85"/>
      <x:c r="S724" s="85"/>
      <x:c r="T724" s="85"/>
      <x:c r="U724" s="85"/>
      <x:c r="V724" s="85"/>
      <x:c r="W724" s="85"/>
      <x:c r="Y724" s="86"/>
      <x:c r="Z724" s="86"/>
      <x:c r="AA724" s="32"/>
    </x:row>
    <x:row r="725">
      <x:c r="A725" s="87"/>
      <x:c r="B725" s="88"/>
      <x:c r="D725" s="32"/>
      <x:c r="I725" s="74"/>
      <x:c r="J725" s="74"/>
      <x:c r="K725" s="74"/>
      <x:c r="L725" s="74"/>
      <x:c r="M725" s="74"/>
      <x:c r="N725" s="74"/>
      <x:c r="O725" s="91"/>
      <x:c r="P725" s="91"/>
      <x:c r="Q725" s="85"/>
      <x:c r="R725" s="85"/>
      <x:c r="S725" s="85"/>
      <x:c r="T725" s="85"/>
      <x:c r="U725" s="85"/>
      <x:c r="V725" s="85"/>
      <x:c r="W725" s="85"/>
      <x:c r="Y725" s="86"/>
      <x:c r="Z725" s="86"/>
      <x:c r="AA725" s="32"/>
    </x:row>
    <x:row r="726">
      <x:c r="A726" s="87"/>
      <x:c r="B726" s="88"/>
      <x:c r="D726" s="32"/>
      <x:c r="I726" s="74"/>
      <x:c r="J726" s="74"/>
      <x:c r="K726" s="74"/>
      <x:c r="L726" s="74"/>
      <x:c r="M726" s="74"/>
      <x:c r="N726" s="74"/>
      <x:c r="O726" s="91"/>
      <x:c r="P726" s="91"/>
      <x:c r="Q726" s="85"/>
      <x:c r="R726" s="85"/>
      <x:c r="S726" s="85"/>
      <x:c r="T726" s="85"/>
      <x:c r="U726" s="85"/>
      <x:c r="V726" s="85"/>
      <x:c r="W726" s="85"/>
      <x:c r="Y726" s="86"/>
      <x:c r="Z726" s="86"/>
      <x:c r="AA726" s="32"/>
    </x:row>
    <x:row r="727">
      <x:c r="A727" s="87"/>
      <x:c r="B727" s="88"/>
      <x:c r="D727" s="32"/>
      <x:c r="I727" s="74"/>
      <x:c r="J727" s="74"/>
      <x:c r="K727" s="74"/>
      <x:c r="L727" s="74"/>
      <x:c r="M727" s="74"/>
      <x:c r="N727" s="74"/>
      <x:c r="O727" s="91"/>
      <x:c r="P727" s="91"/>
      <x:c r="Q727" s="85"/>
      <x:c r="R727" s="85"/>
      <x:c r="S727" s="85"/>
      <x:c r="T727" s="85"/>
      <x:c r="U727" s="85"/>
      <x:c r="V727" s="85"/>
      <x:c r="W727" s="85"/>
      <x:c r="Y727" s="86"/>
      <x:c r="Z727" s="86"/>
      <x:c r="AA727" s="32"/>
    </x:row>
    <x:row r="728">
      <x:c r="A728" s="87"/>
      <x:c r="B728" s="88"/>
      <x:c r="D728" s="32"/>
      <x:c r="I728" s="74"/>
      <x:c r="J728" s="74"/>
      <x:c r="K728" s="74"/>
      <x:c r="L728" s="74"/>
      <x:c r="M728" s="74"/>
      <x:c r="N728" s="74"/>
      <x:c r="O728" s="91"/>
      <x:c r="P728" s="91"/>
      <x:c r="Q728" s="85"/>
      <x:c r="R728" s="85"/>
      <x:c r="S728" s="85"/>
      <x:c r="T728" s="85"/>
      <x:c r="U728" s="85"/>
      <x:c r="V728" s="85"/>
      <x:c r="W728" s="85"/>
      <x:c r="Y728" s="86"/>
      <x:c r="Z728" s="86"/>
      <x:c r="AA728" s="32"/>
    </x:row>
    <x:row r="729">
      <x:c r="A729" s="87"/>
      <x:c r="B729" s="88"/>
      <x:c r="D729" s="32"/>
      <x:c r="I729" s="74"/>
      <x:c r="J729" s="74"/>
      <x:c r="K729" s="74"/>
      <x:c r="L729" s="74"/>
      <x:c r="M729" s="74"/>
      <x:c r="N729" s="74"/>
      <x:c r="O729" s="91"/>
      <x:c r="P729" s="91"/>
      <x:c r="Q729" s="85"/>
      <x:c r="R729" s="85"/>
      <x:c r="S729" s="85"/>
      <x:c r="T729" s="85"/>
      <x:c r="U729" s="85"/>
      <x:c r="V729" s="85"/>
      <x:c r="W729" s="85"/>
      <x:c r="Y729" s="86"/>
      <x:c r="Z729" s="86"/>
      <x:c r="AA729" s="32"/>
    </x:row>
    <x:row r="730">
      <x:c r="A730" s="87"/>
      <x:c r="B730" s="88"/>
      <x:c r="D730" s="32"/>
      <x:c r="I730" s="74"/>
      <x:c r="J730" s="74"/>
      <x:c r="K730" s="74"/>
      <x:c r="L730" s="74"/>
      <x:c r="M730" s="74"/>
      <x:c r="N730" s="74"/>
      <x:c r="O730" s="91"/>
      <x:c r="P730" s="91"/>
      <x:c r="Q730" s="85"/>
      <x:c r="R730" s="85"/>
      <x:c r="S730" s="85"/>
      <x:c r="T730" s="85"/>
      <x:c r="U730" s="85"/>
      <x:c r="V730" s="85"/>
      <x:c r="W730" s="85"/>
      <x:c r="Y730" s="86"/>
      <x:c r="Z730" s="86"/>
      <x:c r="AA730" s="32"/>
    </x:row>
    <x:row r="731">
      <x:c r="A731" s="87"/>
      <x:c r="B731" s="88"/>
      <x:c r="D731" s="32"/>
      <x:c r="I731" s="74"/>
      <x:c r="J731" s="74"/>
      <x:c r="K731" s="74"/>
      <x:c r="L731" s="74"/>
      <x:c r="M731" s="74"/>
      <x:c r="N731" s="74"/>
      <x:c r="O731" s="91"/>
      <x:c r="P731" s="91"/>
      <x:c r="Q731" s="85"/>
      <x:c r="R731" s="85"/>
      <x:c r="S731" s="85"/>
      <x:c r="T731" s="85"/>
      <x:c r="U731" s="85"/>
      <x:c r="V731" s="85"/>
      <x:c r="W731" s="85"/>
      <x:c r="Y731" s="86"/>
      <x:c r="Z731" s="86"/>
      <x:c r="AA731" s="32"/>
    </x:row>
    <x:row r="732">
      <x:c r="A732" s="87"/>
      <x:c r="B732" s="88"/>
      <x:c r="D732" s="32"/>
      <x:c r="I732" s="74"/>
      <x:c r="J732" s="74"/>
      <x:c r="K732" s="74"/>
      <x:c r="L732" s="74"/>
      <x:c r="M732" s="74"/>
      <x:c r="N732" s="74"/>
      <x:c r="O732" s="91"/>
      <x:c r="P732" s="91"/>
      <x:c r="Q732" s="85"/>
      <x:c r="R732" s="85"/>
      <x:c r="S732" s="85"/>
      <x:c r="T732" s="85"/>
      <x:c r="U732" s="85"/>
      <x:c r="V732" s="85"/>
      <x:c r="W732" s="85"/>
      <x:c r="Y732" s="86"/>
      <x:c r="Z732" s="86"/>
      <x:c r="AA732" s="32"/>
    </x:row>
    <x:row r="733">
      <x:c r="A733" s="87"/>
      <x:c r="B733" s="88"/>
      <x:c r="D733" s="32"/>
      <x:c r="I733" s="74"/>
      <x:c r="J733" s="74"/>
      <x:c r="K733" s="74"/>
      <x:c r="L733" s="74"/>
      <x:c r="M733" s="74"/>
      <x:c r="N733" s="74"/>
      <x:c r="O733" s="91"/>
      <x:c r="P733" s="91"/>
      <x:c r="Q733" s="85"/>
      <x:c r="R733" s="85"/>
      <x:c r="S733" s="85"/>
      <x:c r="T733" s="85"/>
      <x:c r="U733" s="85"/>
      <x:c r="V733" s="85"/>
      <x:c r="W733" s="85"/>
      <x:c r="Y733" s="86"/>
      <x:c r="Z733" s="86"/>
      <x:c r="AA733" s="32"/>
    </x:row>
    <x:row r="734">
      <x:c r="A734" s="87"/>
      <x:c r="B734" s="88"/>
      <x:c r="D734" s="32"/>
      <x:c r="I734" s="74"/>
      <x:c r="J734" s="74"/>
      <x:c r="K734" s="74"/>
      <x:c r="L734" s="74"/>
      <x:c r="M734" s="74"/>
      <x:c r="N734" s="74"/>
      <x:c r="O734" s="91"/>
      <x:c r="P734" s="91"/>
      <x:c r="Q734" s="85"/>
      <x:c r="R734" s="85"/>
      <x:c r="S734" s="85"/>
      <x:c r="T734" s="85"/>
      <x:c r="U734" s="85"/>
      <x:c r="V734" s="85"/>
      <x:c r="W734" s="85"/>
      <x:c r="Y734" s="86"/>
      <x:c r="Z734" s="86"/>
      <x:c r="AA734" s="32"/>
    </x:row>
    <x:row r="735">
      <x:c r="A735" s="87"/>
      <x:c r="B735" s="88"/>
      <x:c r="D735" s="32"/>
      <x:c r="I735" s="74"/>
      <x:c r="J735" s="74"/>
      <x:c r="K735" s="74"/>
      <x:c r="L735" s="74"/>
      <x:c r="M735" s="74"/>
      <x:c r="N735" s="74"/>
      <x:c r="O735" s="91"/>
      <x:c r="P735" s="91"/>
      <x:c r="Q735" s="85"/>
      <x:c r="R735" s="85"/>
      <x:c r="S735" s="85"/>
      <x:c r="T735" s="85"/>
      <x:c r="U735" s="85"/>
      <x:c r="V735" s="85"/>
      <x:c r="W735" s="85"/>
      <x:c r="Y735" s="86"/>
      <x:c r="Z735" s="86"/>
      <x:c r="AA735" s="32"/>
    </x:row>
    <x:row r="736">
      <x:c r="A736" s="87"/>
      <x:c r="B736" s="88"/>
      <x:c r="D736" s="32"/>
      <x:c r="I736" s="74"/>
      <x:c r="J736" s="74"/>
      <x:c r="K736" s="74"/>
      <x:c r="L736" s="74"/>
      <x:c r="M736" s="74"/>
      <x:c r="N736" s="74"/>
      <x:c r="O736" s="91"/>
      <x:c r="P736" s="91"/>
      <x:c r="Q736" s="85"/>
      <x:c r="R736" s="85"/>
      <x:c r="S736" s="85"/>
      <x:c r="T736" s="85"/>
      <x:c r="U736" s="85"/>
      <x:c r="V736" s="85"/>
      <x:c r="W736" s="85"/>
      <x:c r="Y736" s="86"/>
      <x:c r="Z736" s="86"/>
      <x:c r="AA736" s="32"/>
    </x:row>
    <x:row r="737">
      <x:c r="A737" s="87"/>
      <x:c r="B737" s="88"/>
      <x:c r="D737" s="32"/>
      <x:c r="I737" s="74"/>
      <x:c r="J737" s="74"/>
      <x:c r="K737" s="74"/>
      <x:c r="L737" s="74"/>
      <x:c r="M737" s="74"/>
      <x:c r="N737" s="74"/>
      <x:c r="O737" s="91"/>
      <x:c r="P737" s="91"/>
      <x:c r="Q737" s="85"/>
      <x:c r="R737" s="85"/>
      <x:c r="S737" s="85"/>
      <x:c r="T737" s="85"/>
      <x:c r="U737" s="85"/>
      <x:c r="V737" s="85"/>
      <x:c r="W737" s="85"/>
      <x:c r="Y737" s="86"/>
      <x:c r="Z737" s="86"/>
      <x:c r="AA737" s="32"/>
    </x:row>
    <x:row r="738">
      <x:c r="A738" s="87"/>
      <x:c r="B738" s="88"/>
      <x:c r="D738" s="32"/>
      <x:c r="I738" s="74"/>
      <x:c r="J738" s="74"/>
      <x:c r="K738" s="74"/>
      <x:c r="L738" s="74"/>
      <x:c r="M738" s="74"/>
      <x:c r="N738" s="74"/>
      <x:c r="O738" s="91"/>
      <x:c r="P738" s="91"/>
      <x:c r="Q738" s="85"/>
      <x:c r="R738" s="85"/>
      <x:c r="S738" s="85"/>
      <x:c r="T738" s="85"/>
      <x:c r="U738" s="85"/>
      <x:c r="V738" s="85"/>
      <x:c r="W738" s="85"/>
      <x:c r="Y738" s="86"/>
      <x:c r="Z738" s="86"/>
      <x:c r="AA738" s="32"/>
    </x:row>
    <x:row r="739">
      <x:c r="A739" s="87"/>
      <x:c r="B739" s="88"/>
      <x:c r="D739" s="32"/>
      <x:c r="I739" s="74"/>
      <x:c r="J739" s="74"/>
      <x:c r="K739" s="74"/>
      <x:c r="L739" s="74"/>
      <x:c r="M739" s="74"/>
      <x:c r="N739" s="74"/>
      <x:c r="O739" s="91"/>
      <x:c r="P739" s="91"/>
      <x:c r="Q739" s="85"/>
      <x:c r="R739" s="85"/>
      <x:c r="S739" s="85"/>
      <x:c r="T739" s="85"/>
      <x:c r="U739" s="85"/>
      <x:c r="V739" s="85"/>
      <x:c r="W739" s="85"/>
      <x:c r="Y739" s="86"/>
      <x:c r="Z739" s="86"/>
      <x:c r="AA739" s="32"/>
    </x:row>
    <x:row r="740">
      <x:c r="A740" s="87"/>
      <x:c r="B740" s="88"/>
      <x:c r="D740" s="32"/>
      <x:c r="I740" s="74"/>
      <x:c r="J740" s="74"/>
      <x:c r="K740" s="74"/>
      <x:c r="L740" s="74"/>
      <x:c r="M740" s="74"/>
      <x:c r="N740" s="74"/>
      <x:c r="O740" s="91"/>
      <x:c r="P740" s="91"/>
      <x:c r="Q740" s="85"/>
      <x:c r="R740" s="85"/>
      <x:c r="S740" s="85"/>
      <x:c r="T740" s="85"/>
      <x:c r="U740" s="85"/>
      <x:c r="V740" s="85"/>
      <x:c r="W740" s="85"/>
      <x:c r="Y740" s="86"/>
      <x:c r="Z740" s="86"/>
      <x:c r="AA740" s="32"/>
    </x:row>
    <x:row r="741">
      <x:c r="A741" s="87"/>
      <x:c r="B741" s="88"/>
      <x:c r="D741" s="32"/>
      <x:c r="I741" s="74"/>
      <x:c r="J741" s="74"/>
      <x:c r="K741" s="74"/>
      <x:c r="L741" s="74"/>
      <x:c r="M741" s="74"/>
      <x:c r="N741" s="74"/>
      <x:c r="O741" s="91"/>
      <x:c r="P741" s="91"/>
      <x:c r="Q741" s="85"/>
      <x:c r="R741" s="85"/>
      <x:c r="S741" s="85"/>
      <x:c r="T741" s="85"/>
      <x:c r="U741" s="85"/>
      <x:c r="V741" s="85"/>
      <x:c r="W741" s="85"/>
      <x:c r="Y741" s="86"/>
      <x:c r="Z741" s="86"/>
      <x:c r="AA741" s="32"/>
    </x:row>
    <x:row r="742">
      <x:c r="A742" s="87"/>
      <x:c r="B742" s="88"/>
      <x:c r="D742" s="32"/>
      <x:c r="I742" s="74"/>
      <x:c r="J742" s="74"/>
      <x:c r="K742" s="74"/>
      <x:c r="L742" s="74"/>
      <x:c r="M742" s="74"/>
      <x:c r="N742" s="74"/>
      <x:c r="O742" s="91"/>
      <x:c r="P742" s="91"/>
      <x:c r="Q742" s="85"/>
      <x:c r="R742" s="85"/>
      <x:c r="S742" s="85"/>
      <x:c r="T742" s="85"/>
      <x:c r="U742" s="85"/>
      <x:c r="V742" s="85"/>
      <x:c r="W742" s="85"/>
      <x:c r="Y742" s="86"/>
      <x:c r="Z742" s="86"/>
      <x:c r="AA742" s="32"/>
    </x:row>
    <x:row r="743">
      <x:c r="A743" s="87"/>
      <x:c r="B743" s="88"/>
      <x:c r="D743" s="32"/>
      <x:c r="I743" s="74"/>
      <x:c r="J743" s="74"/>
      <x:c r="K743" s="74"/>
      <x:c r="L743" s="74"/>
      <x:c r="M743" s="74"/>
      <x:c r="N743" s="74"/>
      <x:c r="O743" s="91"/>
      <x:c r="P743" s="91"/>
      <x:c r="Q743" s="85"/>
      <x:c r="R743" s="85"/>
      <x:c r="S743" s="85"/>
      <x:c r="T743" s="85"/>
      <x:c r="U743" s="85"/>
      <x:c r="V743" s="85"/>
      <x:c r="W743" s="85"/>
      <x:c r="Y743" s="86"/>
      <x:c r="Z743" s="86"/>
      <x:c r="AA743" s="32"/>
    </x:row>
    <x:row r="744">
      <x:c r="A744" s="87"/>
      <x:c r="B744" s="88"/>
      <x:c r="D744" s="32"/>
      <x:c r="I744" s="74"/>
      <x:c r="J744" s="74"/>
      <x:c r="K744" s="74"/>
      <x:c r="L744" s="74"/>
      <x:c r="M744" s="74"/>
      <x:c r="N744" s="74"/>
      <x:c r="O744" s="91"/>
      <x:c r="P744" s="91"/>
      <x:c r="Q744" s="85"/>
      <x:c r="R744" s="85"/>
      <x:c r="S744" s="85"/>
      <x:c r="T744" s="85"/>
      <x:c r="U744" s="85"/>
      <x:c r="V744" s="85"/>
      <x:c r="W744" s="85"/>
      <x:c r="Y744" s="86"/>
      <x:c r="Z744" s="86"/>
      <x:c r="AA744" s="32"/>
    </x:row>
    <x:row r="745">
      <x:c r="A745" s="87"/>
      <x:c r="B745" s="88"/>
      <x:c r="D745" s="32"/>
      <x:c r="I745" s="74"/>
      <x:c r="J745" s="74"/>
      <x:c r="K745" s="74"/>
      <x:c r="L745" s="74"/>
      <x:c r="M745" s="74"/>
      <x:c r="N745" s="74"/>
      <x:c r="O745" s="91"/>
      <x:c r="P745" s="91"/>
      <x:c r="Q745" s="85"/>
      <x:c r="R745" s="85"/>
      <x:c r="S745" s="85"/>
      <x:c r="T745" s="85"/>
      <x:c r="U745" s="85"/>
      <x:c r="V745" s="85"/>
      <x:c r="W745" s="85"/>
      <x:c r="Y745" s="86"/>
      <x:c r="Z745" s="86"/>
      <x:c r="AA745" s="32"/>
    </x:row>
    <x:row r="746">
      <x:c r="A746" s="87"/>
      <x:c r="B746" s="88"/>
      <x:c r="D746" s="32"/>
      <x:c r="I746" s="74"/>
      <x:c r="J746" s="74"/>
      <x:c r="K746" s="74"/>
      <x:c r="L746" s="74"/>
      <x:c r="M746" s="74"/>
      <x:c r="N746" s="74"/>
      <x:c r="O746" s="91"/>
      <x:c r="P746" s="91"/>
      <x:c r="Q746" s="85"/>
      <x:c r="R746" s="85"/>
      <x:c r="S746" s="85"/>
      <x:c r="T746" s="85"/>
      <x:c r="U746" s="85"/>
      <x:c r="V746" s="85"/>
      <x:c r="W746" s="85"/>
      <x:c r="Y746" s="86"/>
      <x:c r="Z746" s="86"/>
      <x:c r="AA746" s="32"/>
    </x:row>
    <x:row r="747">
      <x:c r="A747" s="87"/>
      <x:c r="B747" s="88"/>
      <x:c r="D747" s="32"/>
      <x:c r="I747" s="74"/>
      <x:c r="J747" s="74"/>
      <x:c r="K747" s="74"/>
      <x:c r="L747" s="74"/>
      <x:c r="M747" s="74"/>
      <x:c r="N747" s="74"/>
      <x:c r="O747" s="91"/>
      <x:c r="P747" s="91"/>
      <x:c r="Q747" s="85"/>
      <x:c r="R747" s="85"/>
      <x:c r="S747" s="85"/>
      <x:c r="T747" s="85"/>
      <x:c r="U747" s="85"/>
      <x:c r="V747" s="85"/>
      <x:c r="W747" s="85"/>
      <x:c r="Y747" s="86"/>
      <x:c r="Z747" s="86"/>
      <x:c r="AA747" s="32"/>
    </x:row>
    <x:row r="748">
      <x:c r="A748" s="87"/>
      <x:c r="B748" s="88"/>
      <x:c r="D748" s="32"/>
      <x:c r="I748" s="74"/>
      <x:c r="J748" s="74"/>
      <x:c r="K748" s="74"/>
      <x:c r="L748" s="74"/>
      <x:c r="M748" s="74"/>
      <x:c r="N748" s="74"/>
      <x:c r="O748" s="91"/>
      <x:c r="P748" s="91"/>
      <x:c r="Q748" s="85"/>
      <x:c r="R748" s="85"/>
      <x:c r="S748" s="85"/>
      <x:c r="T748" s="85"/>
      <x:c r="U748" s="85"/>
      <x:c r="V748" s="85"/>
      <x:c r="W748" s="85"/>
      <x:c r="Y748" s="86"/>
      <x:c r="Z748" s="86"/>
      <x:c r="AA748" s="32"/>
    </x:row>
    <x:row r="749">
      <x:c r="A749" s="87"/>
      <x:c r="B749" s="88"/>
      <x:c r="D749" s="32"/>
      <x:c r="I749" s="74"/>
      <x:c r="J749" s="74"/>
      <x:c r="K749" s="74"/>
      <x:c r="L749" s="74"/>
      <x:c r="M749" s="74"/>
      <x:c r="N749" s="74"/>
      <x:c r="O749" s="91"/>
      <x:c r="P749" s="91"/>
      <x:c r="Q749" s="85"/>
      <x:c r="R749" s="85"/>
      <x:c r="S749" s="85"/>
      <x:c r="T749" s="85"/>
      <x:c r="U749" s="85"/>
      <x:c r="V749" s="85"/>
      <x:c r="W749" s="85"/>
      <x:c r="Y749" s="86"/>
      <x:c r="Z749" s="86"/>
      <x:c r="AA749" s="32"/>
    </x:row>
    <x:row r="750">
      <x:c r="A750" s="87"/>
      <x:c r="B750" s="88"/>
      <x:c r="D750" s="32"/>
      <x:c r="I750" s="74"/>
      <x:c r="J750" s="74"/>
      <x:c r="K750" s="74"/>
      <x:c r="L750" s="74"/>
      <x:c r="M750" s="74"/>
      <x:c r="N750" s="74"/>
      <x:c r="O750" s="91"/>
      <x:c r="P750" s="91"/>
      <x:c r="Q750" s="85"/>
      <x:c r="R750" s="85"/>
      <x:c r="S750" s="85"/>
      <x:c r="T750" s="85"/>
      <x:c r="U750" s="85"/>
      <x:c r="V750" s="85"/>
      <x:c r="W750" s="85"/>
      <x:c r="Y750" s="86"/>
      <x:c r="Z750" s="86"/>
      <x:c r="AA750" s="32"/>
    </x:row>
    <x:row r="751">
      <x:c r="A751" s="87"/>
      <x:c r="B751" s="88"/>
      <x:c r="D751" s="32"/>
      <x:c r="I751" s="74"/>
      <x:c r="J751" s="74"/>
      <x:c r="K751" s="74"/>
      <x:c r="L751" s="74"/>
      <x:c r="M751" s="74"/>
      <x:c r="N751" s="74"/>
      <x:c r="O751" s="91"/>
      <x:c r="P751" s="91"/>
      <x:c r="Q751" s="85"/>
      <x:c r="R751" s="85"/>
      <x:c r="S751" s="85"/>
      <x:c r="T751" s="85"/>
      <x:c r="U751" s="85"/>
      <x:c r="V751" s="85"/>
      <x:c r="W751" s="85"/>
      <x:c r="Y751" s="86"/>
      <x:c r="Z751" s="86"/>
      <x:c r="AA751" s="32"/>
    </x:row>
    <x:row r="752">
      <x:c r="A752" s="87"/>
      <x:c r="B752" s="88"/>
      <x:c r="D752" s="32"/>
      <x:c r="I752" s="74"/>
      <x:c r="J752" s="74"/>
      <x:c r="K752" s="74"/>
      <x:c r="L752" s="74"/>
      <x:c r="M752" s="74"/>
      <x:c r="N752" s="74"/>
      <x:c r="O752" s="91"/>
      <x:c r="P752" s="91"/>
      <x:c r="Q752" s="85"/>
      <x:c r="R752" s="85"/>
      <x:c r="S752" s="85"/>
      <x:c r="T752" s="85"/>
      <x:c r="U752" s="85"/>
      <x:c r="V752" s="85"/>
      <x:c r="W752" s="85"/>
      <x:c r="Y752" s="86"/>
      <x:c r="Z752" s="86"/>
      <x:c r="AA752" s="32"/>
    </x:row>
    <x:row r="753">
      <x:c r="A753" s="87"/>
      <x:c r="B753" s="88"/>
      <x:c r="D753" s="32"/>
      <x:c r="I753" s="74"/>
      <x:c r="J753" s="74"/>
      <x:c r="K753" s="74"/>
      <x:c r="L753" s="74"/>
      <x:c r="M753" s="74"/>
      <x:c r="N753" s="74"/>
      <x:c r="O753" s="91"/>
      <x:c r="P753" s="91"/>
      <x:c r="Q753" s="85"/>
      <x:c r="R753" s="85"/>
      <x:c r="S753" s="85"/>
      <x:c r="T753" s="85"/>
      <x:c r="U753" s="85"/>
      <x:c r="V753" s="85"/>
      <x:c r="W753" s="85"/>
      <x:c r="Y753" s="86"/>
      <x:c r="Z753" s="86"/>
      <x:c r="AA753" s="32"/>
    </x:row>
    <x:row r="754">
      <x:c r="A754" s="87"/>
      <x:c r="B754" s="88"/>
      <x:c r="D754" s="32"/>
      <x:c r="I754" s="74"/>
      <x:c r="J754" s="74"/>
      <x:c r="K754" s="74"/>
      <x:c r="L754" s="74"/>
      <x:c r="M754" s="74"/>
      <x:c r="N754" s="74"/>
      <x:c r="O754" s="91"/>
      <x:c r="P754" s="91"/>
      <x:c r="Q754" s="85"/>
      <x:c r="R754" s="85"/>
      <x:c r="S754" s="85"/>
      <x:c r="T754" s="85"/>
      <x:c r="U754" s="85"/>
      <x:c r="V754" s="85"/>
      <x:c r="W754" s="85"/>
      <x:c r="Y754" s="86"/>
      <x:c r="Z754" s="86"/>
      <x:c r="AA754" s="32"/>
    </x:row>
    <x:row r="755">
      <x:c r="A755" s="87"/>
      <x:c r="B755" s="88"/>
      <x:c r="D755" s="32"/>
      <x:c r="I755" s="74"/>
      <x:c r="J755" s="74"/>
      <x:c r="K755" s="74"/>
      <x:c r="L755" s="74"/>
      <x:c r="M755" s="74"/>
      <x:c r="N755" s="74"/>
      <x:c r="O755" s="91"/>
      <x:c r="P755" s="91"/>
      <x:c r="Q755" s="85"/>
      <x:c r="R755" s="85"/>
      <x:c r="S755" s="85"/>
      <x:c r="T755" s="85"/>
      <x:c r="U755" s="85"/>
      <x:c r="V755" s="85"/>
      <x:c r="W755" s="85"/>
      <x:c r="Y755" s="86"/>
      <x:c r="Z755" s="86"/>
      <x:c r="AA755" s="32"/>
    </x:row>
    <x:row r="756">
      <x:c r="A756" s="87"/>
      <x:c r="B756" s="88"/>
      <x:c r="D756" s="32"/>
      <x:c r="I756" s="74"/>
      <x:c r="J756" s="74"/>
      <x:c r="K756" s="74"/>
      <x:c r="L756" s="74"/>
      <x:c r="M756" s="74"/>
      <x:c r="N756" s="74"/>
      <x:c r="O756" s="91"/>
      <x:c r="P756" s="91"/>
      <x:c r="Q756" s="85"/>
      <x:c r="R756" s="85"/>
      <x:c r="S756" s="85"/>
      <x:c r="T756" s="85"/>
      <x:c r="U756" s="85"/>
      <x:c r="V756" s="85"/>
      <x:c r="W756" s="85"/>
      <x:c r="Y756" s="86"/>
      <x:c r="Z756" s="86"/>
      <x:c r="AA756" s="32"/>
    </x:row>
    <x:row r="757">
      <x:c r="A757" s="87"/>
      <x:c r="B757" s="88"/>
      <x:c r="D757" s="32"/>
      <x:c r="I757" s="74"/>
      <x:c r="J757" s="74"/>
      <x:c r="K757" s="74"/>
      <x:c r="L757" s="74"/>
      <x:c r="M757" s="74"/>
      <x:c r="N757" s="74"/>
      <x:c r="O757" s="91"/>
      <x:c r="P757" s="91"/>
      <x:c r="Q757" s="85"/>
      <x:c r="R757" s="85"/>
      <x:c r="S757" s="85"/>
      <x:c r="T757" s="85"/>
      <x:c r="U757" s="85"/>
      <x:c r="V757" s="85"/>
      <x:c r="W757" s="85"/>
      <x:c r="Y757" s="86"/>
      <x:c r="Z757" s="86"/>
      <x:c r="AA757" s="32"/>
    </x:row>
    <x:row r="758">
      <x:c r="A758" s="87"/>
      <x:c r="B758" s="88"/>
      <x:c r="D758" s="32"/>
      <x:c r="I758" s="74"/>
      <x:c r="J758" s="74"/>
      <x:c r="K758" s="74"/>
      <x:c r="L758" s="74"/>
      <x:c r="M758" s="74"/>
      <x:c r="N758" s="74"/>
      <x:c r="O758" s="91"/>
      <x:c r="P758" s="91"/>
      <x:c r="Q758" s="85"/>
      <x:c r="R758" s="85"/>
      <x:c r="S758" s="85"/>
      <x:c r="T758" s="85"/>
      <x:c r="U758" s="85"/>
      <x:c r="V758" s="85"/>
      <x:c r="W758" s="85"/>
      <x:c r="Y758" s="86"/>
      <x:c r="Z758" s="86"/>
      <x:c r="AA758" s="32"/>
    </x:row>
    <x:row r="759">
      <x:c r="A759" s="87"/>
      <x:c r="B759" s="88"/>
      <x:c r="D759" s="32"/>
      <x:c r="I759" s="74"/>
      <x:c r="J759" s="74"/>
      <x:c r="K759" s="74"/>
      <x:c r="L759" s="74"/>
      <x:c r="M759" s="74"/>
      <x:c r="N759" s="74"/>
      <x:c r="O759" s="91"/>
      <x:c r="P759" s="91"/>
      <x:c r="Q759" s="85"/>
      <x:c r="R759" s="85"/>
      <x:c r="S759" s="85"/>
      <x:c r="T759" s="85"/>
      <x:c r="U759" s="85"/>
      <x:c r="V759" s="85"/>
      <x:c r="W759" s="85"/>
      <x:c r="Y759" s="86"/>
      <x:c r="Z759" s="86"/>
      <x:c r="AA759" s="32"/>
    </x:row>
    <x:row r="760">
      <x:c r="A760" s="87"/>
      <x:c r="B760" s="88"/>
      <x:c r="D760" s="32"/>
      <x:c r="I760" s="74"/>
      <x:c r="J760" s="74"/>
      <x:c r="K760" s="74"/>
      <x:c r="L760" s="74"/>
      <x:c r="M760" s="74"/>
      <x:c r="N760" s="74"/>
      <x:c r="O760" s="91"/>
      <x:c r="P760" s="91"/>
      <x:c r="Q760" s="85"/>
      <x:c r="R760" s="85"/>
      <x:c r="S760" s="85"/>
      <x:c r="T760" s="85"/>
      <x:c r="U760" s="85"/>
      <x:c r="V760" s="85"/>
      <x:c r="W760" s="85"/>
      <x:c r="Y760" s="86"/>
      <x:c r="Z760" s="86"/>
      <x:c r="AA760" s="32"/>
    </x:row>
    <x:row r="761">
      <x:c r="A761" s="87"/>
      <x:c r="B761" s="88"/>
      <x:c r="D761" s="32"/>
      <x:c r="I761" s="74"/>
      <x:c r="J761" s="74"/>
      <x:c r="K761" s="74"/>
      <x:c r="L761" s="74"/>
      <x:c r="M761" s="74"/>
      <x:c r="N761" s="74"/>
      <x:c r="O761" s="91"/>
      <x:c r="P761" s="91"/>
      <x:c r="Q761" s="85"/>
      <x:c r="R761" s="85"/>
      <x:c r="S761" s="85"/>
      <x:c r="T761" s="85"/>
      <x:c r="U761" s="85"/>
      <x:c r="V761" s="85"/>
      <x:c r="W761" s="85"/>
      <x:c r="Y761" s="86"/>
      <x:c r="Z761" s="86"/>
      <x:c r="AA761" s="32"/>
    </x:row>
    <x:row r="762">
      <x:c r="A762" s="87"/>
      <x:c r="B762" s="88"/>
      <x:c r="D762" s="32"/>
      <x:c r="I762" s="74"/>
      <x:c r="J762" s="74"/>
      <x:c r="K762" s="74"/>
      <x:c r="L762" s="74"/>
      <x:c r="M762" s="74"/>
      <x:c r="N762" s="74"/>
      <x:c r="O762" s="91"/>
      <x:c r="P762" s="91"/>
      <x:c r="Q762" s="85"/>
      <x:c r="R762" s="85"/>
      <x:c r="S762" s="85"/>
      <x:c r="T762" s="85"/>
      <x:c r="U762" s="85"/>
      <x:c r="V762" s="85"/>
      <x:c r="W762" s="85"/>
      <x:c r="Y762" s="86"/>
      <x:c r="Z762" s="86"/>
      <x:c r="AA762" s="32"/>
    </x:row>
    <x:row r="763">
      <x:c r="A763" s="87"/>
      <x:c r="B763" s="88"/>
      <x:c r="D763" s="32"/>
      <x:c r="I763" s="74"/>
      <x:c r="J763" s="74"/>
      <x:c r="K763" s="74"/>
      <x:c r="L763" s="74"/>
      <x:c r="M763" s="74"/>
      <x:c r="N763" s="74"/>
      <x:c r="O763" s="91"/>
      <x:c r="P763" s="91"/>
      <x:c r="Q763" s="85"/>
      <x:c r="R763" s="85"/>
      <x:c r="S763" s="85"/>
      <x:c r="T763" s="85"/>
      <x:c r="U763" s="85"/>
      <x:c r="V763" s="85"/>
      <x:c r="W763" s="85"/>
      <x:c r="Y763" s="86"/>
      <x:c r="Z763" s="86"/>
      <x:c r="AA763" s="32"/>
    </x:row>
    <x:row r="764">
      <x:c r="A764" s="87"/>
      <x:c r="B764" s="88"/>
      <x:c r="D764" s="32"/>
      <x:c r="I764" s="74"/>
      <x:c r="J764" s="74"/>
      <x:c r="K764" s="74"/>
      <x:c r="L764" s="74"/>
      <x:c r="M764" s="74"/>
      <x:c r="N764" s="74"/>
      <x:c r="O764" s="91"/>
      <x:c r="P764" s="91"/>
      <x:c r="Q764" s="85"/>
      <x:c r="R764" s="85"/>
      <x:c r="S764" s="85"/>
      <x:c r="T764" s="85"/>
      <x:c r="U764" s="85"/>
      <x:c r="V764" s="85"/>
      <x:c r="W764" s="85"/>
      <x:c r="Y764" s="86"/>
      <x:c r="Z764" s="86"/>
      <x:c r="AA764" s="32"/>
    </x:row>
    <x:row r="765">
      <x:c r="A765" s="87"/>
      <x:c r="B765" s="88"/>
      <x:c r="D765" s="32"/>
      <x:c r="I765" s="74"/>
      <x:c r="J765" s="74"/>
      <x:c r="K765" s="74"/>
      <x:c r="L765" s="74"/>
      <x:c r="M765" s="74"/>
      <x:c r="N765" s="74"/>
      <x:c r="O765" s="91"/>
      <x:c r="P765" s="91"/>
      <x:c r="Q765" s="85"/>
      <x:c r="R765" s="85"/>
      <x:c r="S765" s="85"/>
      <x:c r="T765" s="85"/>
      <x:c r="U765" s="85"/>
      <x:c r="V765" s="85"/>
      <x:c r="W765" s="85"/>
      <x:c r="Y765" s="86"/>
      <x:c r="Z765" s="86"/>
      <x:c r="AA765" s="32"/>
    </x:row>
    <x:row r="766">
      <x:c r="A766" s="87"/>
      <x:c r="B766" s="88"/>
      <x:c r="D766" s="32"/>
      <x:c r="I766" s="74"/>
      <x:c r="J766" s="74"/>
      <x:c r="K766" s="74"/>
      <x:c r="L766" s="74"/>
      <x:c r="M766" s="74"/>
      <x:c r="N766" s="74"/>
      <x:c r="O766" s="91"/>
      <x:c r="P766" s="91"/>
      <x:c r="Q766" s="85"/>
      <x:c r="R766" s="85"/>
      <x:c r="S766" s="85"/>
      <x:c r="T766" s="85"/>
      <x:c r="U766" s="85"/>
      <x:c r="V766" s="85"/>
      <x:c r="W766" s="85"/>
      <x:c r="Y766" s="86"/>
      <x:c r="Z766" s="86"/>
      <x:c r="AA766" s="32"/>
    </x:row>
    <x:row r="767">
      <x:c r="A767" s="87"/>
      <x:c r="B767" s="88"/>
      <x:c r="D767" s="32"/>
      <x:c r="I767" s="74"/>
      <x:c r="J767" s="74"/>
      <x:c r="K767" s="74"/>
      <x:c r="L767" s="74"/>
      <x:c r="M767" s="74"/>
      <x:c r="N767" s="74"/>
      <x:c r="O767" s="91"/>
      <x:c r="P767" s="91"/>
      <x:c r="Q767" s="85"/>
      <x:c r="R767" s="85"/>
      <x:c r="S767" s="85"/>
      <x:c r="T767" s="85"/>
      <x:c r="U767" s="85"/>
      <x:c r="V767" s="85"/>
      <x:c r="W767" s="85"/>
      <x:c r="Y767" s="86"/>
      <x:c r="Z767" s="86"/>
      <x:c r="AA767" s="32"/>
    </x:row>
    <x:row r="768">
      <x:c r="A768" s="87"/>
      <x:c r="B768" s="88"/>
      <x:c r="D768" s="32"/>
      <x:c r="I768" s="74"/>
      <x:c r="J768" s="74"/>
      <x:c r="K768" s="74"/>
      <x:c r="L768" s="74"/>
      <x:c r="M768" s="74"/>
      <x:c r="N768" s="74"/>
      <x:c r="O768" s="91"/>
      <x:c r="P768" s="91"/>
      <x:c r="Q768" s="85"/>
      <x:c r="R768" s="85"/>
      <x:c r="S768" s="85"/>
      <x:c r="T768" s="85"/>
      <x:c r="U768" s="85"/>
      <x:c r="V768" s="85"/>
      <x:c r="W768" s="85"/>
      <x:c r="Y768" s="86"/>
      <x:c r="Z768" s="86"/>
      <x:c r="AA768" s="32"/>
    </x:row>
    <x:row r="769">
      <x:c r="A769" s="87"/>
      <x:c r="B769" s="88"/>
      <x:c r="D769" s="32"/>
      <x:c r="I769" s="74"/>
      <x:c r="J769" s="74"/>
      <x:c r="K769" s="74"/>
      <x:c r="L769" s="74"/>
      <x:c r="M769" s="74"/>
      <x:c r="N769" s="74"/>
      <x:c r="O769" s="91"/>
      <x:c r="P769" s="91"/>
      <x:c r="Q769" s="85"/>
      <x:c r="R769" s="85"/>
      <x:c r="S769" s="85"/>
      <x:c r="T769" s="85"/>
      <x:c r="U769" s="85"/>
      <x:c r="V769" s="85"/>
      <x:c r="W769" s="85"/>
      <x:c r="Y769" s="86"/>
      <x:c r="Z769" s="86"/>
      <x:c r="AA769" s="32"/>
    </x:row>
    <x:row r="770">
      <x:c r="A770" s="87"/>
      <x:c r="B770" s="88"/>
      <x:c r="D770" s="32"/>
      <x:c r="I770" s="74"/>
      <x:c r="J770" s="74"/>
      <x:c r="K770" s="74"/>
      <x:c r="L770" s="74"/>
      <x:c r="M770" s="74"/>
      <x:c r="N770" s="74"/>
      <x:c r="O770" s="91"/>
      <x:c r="P770" s="91"/>
      <x:c r="Q770" s="85"/>
      <x:c r="R770" s="85"/>
      <x:c r="S770" s="85"/>
      <x:c r="T770" s="85"/>
      <x:c r="U770" s="85"/>
      <x:c r="V770" s="85"/>
      <x:c r="W770" s="85"/>
      <x:c r="Y770" s="86"/>
      <x:c r="Z770" s="86"/>
      <x:c r="AA770" s="32"/>
    </x:row>
    <x:row r="771">
      <x:c r="A771" s="87"/>
      <x:c r="B771" s="88"/>
      <x:c r="D771" s="32"/>
      <x:c r="I771" s="74"/>
      <x:c r="J771" s="74"/>
      <x:c r="K771" s="74"/>
      <x:c r="L771" s="74"/>
      <x:c r="M771" s="74"/>
      <x:c r="N771" s="74"/>
      <x:c r="O771" s="91"/>
      <x:c r="P771" s="91"/>
      <x:c r="Q771" s="85"/>
      <x:c r="R771" s="85"/>
      <x:c r="S771" s="85"/>
      <x:c r="T771" s="85"/>
      <x:c r="U771" s="85"/>
      <x:c r="V771" s="85"/>
      <x:c r="W771" s="85"/>
      <x:c r="Y771" s="86"/>
      <x:c r="Z771" s="86"/>
      <x:c r="AA771" s="32"/>
    </x:row>
    <x:row r="772">
      <x:c r="A772" s="87"/>
      <x:c r="B772" s="88"/>
      <x:c r="D772" s="32"/>
      <x:c r="I772" s="74"/>
      <x:c r="J772" s="74"/>
      <x:c r="K772" s="74"/>
      <x:c r="L772" s="74"/>
      <x:c r="M772" s="74"/>
      <x:c r="N772" s="74"/>
      <x:c r="O772" s="91"/>
      <x:c r="P772" s="91"/>
      <x:c r="Q772" s="85"/>
      <x:c r="R772" s="85"/>
      <x:c r="S772" s="85"/>
      <x:c r="T772" s="85"/>
      <x:c r="U772" s="85"/>
      <x:c r="V772" s="85"/>
      <x:c r="W772" s="85"/>
      <x:c r="Y772" s="86"/>
      <x:c r="Z772" s="86"/>
      <x:c r="AA772" s="32"/>
    </x:row>
    <x:row r="773">
      <x:c r="A773" s="87"/>
      <x:c r="B773" s="88"/>
      <x:c r="D773" s="32"/>
      <x:c r="I773" s="74"/>
      <x:c r="J773" s="74"/>
      <x:c r="K773" s="74"/>
      <x:c r="L773" s="74"/>
      <x:c r="M773" s="74"/>
      <x:c r="N773" s="74"/>
      <x:c r="O773" s="91"/>
      <x:c r="P773" s="91"/>
      <x:c r="Q773" s="85"/>
      <x:c r="R773" s="85"/>
      <x:c r="S773" s="85"/>
      <x:c r="T773" s="85"/>
      <x:c r="U773" s="85"/>
      <x:c r="V773" s="85"/>
      <x:c r="W773" s="85"/>
      <x:c r="Y773" s="86"/>
      <x:c r="Z773" s="86"/>
      <x:c r="AA773" s="32"/>
    </x:row>
    <x:row r="774">
      <x:c r="A774" s="87"/>
      <x:c r="B774" s="88"/>
      <x:c r="D774" s="32"/>
      <x:c r="I774" s="74"/>
      <x:c r="J774" s="74"/>
      <x:c r="K774" s="74"/>
      <x:c r="L774" s="74"/>
      <x:c r="M774" s="74"/>
      <x:c r="N774" s="74"/>
      <x:c r="O774" s="91"/>
      <x:c r="P774" s="91"/>
      <x:c r="Q774" s="85"/>
      <x:c r="R774" s="85"/>
      <x:c r="S774" s="85"/>
      <x:c r="T774" s="85"/>
      <x:c r="U774" s="85"/>
      <x:c r="V774" s="85"/>
      <x:c r="W774" s="85"/>
      <x:c r="Y774" s="86"/>
      <x:c r="Z774" s="86"/>
      <x:c r="AA774" s="32"/>
    </x:row>
    <x:row r="775">
      <x:c r="A775" s="87"/>
      <x:c r="B775" s="88"/>
      <x:c r="D775" s="32"/>
      <x:c r="I775" s="74"/>
      <x:c r="J775" s="74"/>
      <x:c r="K775" s="74"/>
      <x:c r="L775" s="74"/>
      <x:c r="M775" s="74"/>
      <x:c r="N775" s="74"/>
      <x:c r="O775" s="91"/>
      <x:c r="P775" s="91"/>
      <x:c r="Q775" s="85"/>
      <x:c r="R775" s="85"/>
      <x:c r="S775" s="85"/>
      <x:c r="T775" s="85"/>
      <x:c r="U775" s="85"/>
      <x:c r="V775" s="85"/>
      <x:c r="W775" s="85"/>
      <x:c r="Y775" s="86"/>
      <x:c r="Z775" s="86"/>
      <x:c r="AA775" s="32"/>
    </x:row>
    <x:row r="776">
      <x:c r="A776" s="87"/>
      <x:c r="B776" s="88"/>
      <x:c r="D776" s="32"/>
      <x:c r="I776" s="74"/>
      <x:c r="J776" s="74"/>
      <x:c r="K776" s="74"/>
      <x:c r="L776" s="74"/>
      <x:c r="M776" s="74"/>
      <x:c r="N776" s="74"/>
      <x:c r="O776" s="91"/>
      <x:c r="P776" s="91"/>
      <x:c r="Q776" s="85"/>
      <x:c r="R776" s="85"/>
      <x:c r="S776" s="85"/>
      <x:c r="T776" s="85"/>
      <x:c r="U776" s="85"/>
      <x:c r="V776" s="85"/>
      <x:c r="W776" s="85"/>
      <x:c r="Y776" s="86"/>
      <x:c r="Z776" s="86"/>
      <x:c r="AA776" s="32"/>
    </x:row>
    <x:row r="777">
      <x:c r="A777" s="87"/>
      <x:c r="B777" s="88"/>
      <x:c r="D777" s="32"/>
      <x:c r="I777" s="74"/>
      <x:c r="J777" s="74"/>
      <x:c r="K777" s="74"/>
      <x:c r="L777" s="74"/>
      <x:c r="M777" s="74"/>
      <x:c r="N777" s="74"/>
      <x:c r="O777" s="91"/>
      <x:c r="P777" s="91"/>
      <x:c r="Q777" s="85"/>
      <x:c r="R777" s="85"/>
      <x:c r="S777" s="85"/>
      <x:c r="T777" s="85"/>
      <x:c r="U777" s="85"/>
      <x:c r="V777" s="85"/>
      <x:c r="W777" s="85"/>
      <x:c r="Y777" s="86"/>
      <x:c r="Z777" s="86"/>
      <x:c r="AA777" s="32"/>
    </x:row>
    <x:row r="778">
      <x:c r="A778" s="87"/>
      <x:c r="B778" s="88"/>
      <x:c r="D778" s="32"/>
      <x:c r="I778" s="74"/>
      <x:c r="J778" s="74"/>
      <x:c r="K778" s="74"/>
      <x:c r="L778" s="74"/>
      <x:c r="M778" s="74"/>
      <x:c r="N778" s="74"/>
      <x:c r="O778" s="91"/>
      <x:c r="P778" s="91"/>
      <x:c r="Q778" s="85"/>
      <x:c r="R778" s="85"/>
      <x:c r="S778" s="85"/>
      <x:c r="T778" s="85"/>
      <x:c r="U778" s="85"/>
      <x:c r="V778" s="85"/>
      <x:c r="W778" s="85"/>
      <x:c r="Y778" s="86"/>
      <x:c r="Z778" s="86"/>
      <x:c r="AA778" s="32"/>
    </x:row>
    <x:row r="779">
      <x:c r="A779" s="87"/>
      <x:c r="B779" s="88"/>
      <x:c r="D779" s="32"/>
      <x:c r="I779" s="74"/>
      <x:c r="J779" s="74"/>
      <x:c r="K779" s="74"/>
      <x:c r="L779" s="74"/>
      <x:c r="M779" s="74"/>
      <x:c r="N779" s="74"/>
      <x:c r="O779" s="91"/>
      <x:c r="P779" s="91"/>
      <x:c r="Q779" s="85"/>
      <x:c r="R779" s="85"/>
      <x:c r="S779" s="85"/>
      <x:c r="T779" s="85"/>
      <x:c r="U779" s="85"/>
      <x:c r="V779" s="85"/>
      <x:c r="W779" s="85"/>
      <x:c r="Y779" s="86"/>
      <x:c r="Z779" s="86"/>
      <x:c r="AA779" s="32"/>
    </x:row>
    <x:row r="780">
      <x:c r="A780" s="87"/>
      <x:c r="B780" s="88"/>
      <x:c r="D780" s="32"/>
      <x:c r="I780" s="74"/>
      <x:c r="J780" s="74"/>
      <x:c r="K780" s="74"/>
      <x:c r="L780" s="74"/>
      <x:c r="M780" s="74"/>
      <x:c r="N780" s="74"/>
      <x:c r="O780" s="91"/>
      <x:c r="P780" s="91"/>
      <x:c r="Q780" s="85"/>
      <x:c r="R780" s="85"/>
      <x:c r="S780" s="85"/>
      <x:c r="T780" s="85"/>
      <x:c r="U780" s="85"/>
      <x:c r="V780" s="85"/>
      <x:c r="W780" s="85"/>
      <x:c r="Y780" s="86"/>
      <x:c r="Z780" s="86"/>
      <x:c r="AA780" s="32"/>
    </x:row>
    <x:row r="781">
      <x:c r="A781" s="87"/>
      <x:c r="B781" s="88"/>
      <x:c r="D781" s="32"/>
      <x:c r="I781" s="74"/>
      <x:c r="J781" s="74"/>
      <x:c r="K781" s="74"/>
      <x:c r="L781" s="74"/>
      <x:c r="M781" s="74"/>
      <x:c r="N781" s="74"/>
      <x:c r="O781" s="91"/>
      <x:c r="P781" s="91"/>
      <x:c r="Q781" s="85"/>
      <x:c r="R781" s="85"/>
      <x:c r="S781" s="85"/>
      <x:c r="T781" s="85"/>
      <x:c r="U781" s="85"/>
      <x:c r="V781" s="85"/>
      <x:c r="W781" s="85"/>
      <x:c r="Y781" s="86"/>
      <x:c r="Z781" s="86"/>
      <x:c r="AA781" s="32"/>
    </x:row>
    <x:row r="782">
      <x:c r="A782" s="87"/>
      <x:c r="B782" s="88"/>
      <x:c r="D782" s="32"/>
      <x:c r="I782" s="74"/>
      <x:c r="J782" s="74"/>
      <x:c r="K782" s="74"/>
      <x:c r="L782" s="74"/>
      <x:c r="M782" s="74"/>
      <x:c r="N782" s="74"/>
      <x:c r="O782" s="91"/>
      <x:c r="P782" s="91"/>
      <x:c r="Q782" s="85"/>
      <x:c r="R782" s="85"/>
      <x:c r="S782" s="85"/>
      <x:c r="T782" s="85"/>
      <x:c r="U782" s="85"/>
      <x:c r="V782" s="85"/>
      <x:c r="W782" s="85"/>
      <x:c r="Y782" s="86"/>
      <x:c r="Z782" s="86"/>
      <x:c r="AA782" s="32"/>
    </x:row>
    <x:row r="783">
      <x:c r="A783" s="87"/>
      <x:c r="B783" s="88"/>
      <x:c r="D783" s="32"/>
      <x:c r="I783" s="74"/>
      <x:c r="J783" s="74"/>
      <x:c r="K783" s="74"/>
      <x:c r="L783" s="74"/>
      <x:c r="M783" s="74"/>
      <x:c r="N783" s="74"/>
      <x:c r="O783" s="91"/>
      <x:c r="P783" s="91"/>
      <x:c r="Q783" s="85"/>
      <x:c r="R783" s="85"/>
      <x:c r="S783" s="85"/>
      <x:c r="T783" s="85"/>
      <x:c r="U783" s="85"/>
      <x:c r="V783" s="85"/>
      <x:c r="W783" s="85"/>
      <x:c r="Y783" s="86"/>
      <x:c r="Z783" s="86"/>
      <x:c r="AA783" s="32"/>
    </x:row>
    <x:row r="784">
      <x:c r="A784" s="87"/>
      <x:c r="B784" s="88"/>
      <x:c r="D784" s="32"/>
      <x:c r="I784" s="74"/>
      <x:c r="J784" s="74"/>
      <x:c r="K784" s="74"/>
      <x:c r="L784" s="74"/>
      <x:c r="M784" s="74"/>
      <x:c r="N784" s="74"/>
      <x:c r="O784" s="91"/>
      <x:c r="P784" s="91"/>
      <x:c r="Q784" s="85"/>
      <x:c r="R784" s="85"/>
      <x:c r="S784" s="85"/>
      <x:c r="T784" s="85"/>
      <x:c r="U784" s="85"/>
      <x:c r="V784" s="85"/>
      <x:c r="W784" s="85"/>
      <x:c r="Y784" s="86"/>
      <x:c r="Z784" s="86"/>
      <x:c r="AA784" s="32"/>
    </x:row>
    <x:row r="785">
      <x:c r="A785" s="87"/>
      <x:c r="B785" s="88"/>
      <x:c r="D785" s="32"/>
      <x:c r="I785" s="74"/>
      <x:c r="J785" s="74"/>
      <x:c r="K785" s="74"/>
      <x:c r="L785" s="74"/>
      <x:c r="M785" s="74"/>
      <x:c r="N785" s="74"/>
      <x:c r="O785" s="91"/>
      <x:c r="P785" s="91"/>
      <x:c r="Q785" s="85"/>
      <x:c r="R785" s="85"/>
      <x:c r="S785" s="85"/>
      <x:c r="T785" s="85"/>
      <x:c r="U785" s="85"/>
      <x:c r="V785" s="85"/>
      <x:c r="W785" s="85"/>
      <x:c r="Y785" s="86"/>
      <x:c r="Z785" s="86"/>
      <x:c r="AA785" s="32"/>
    </x:row>
    <x:row r="786">
      <x:c r="A786" s="87"/>
      <x:c r="B786" s="88"/>
      <x:c r="D786" s="32"/>
      <x:c r="I786" s="74"/>
      <x:c r="J786" s="74"/>
      <x:c r="K786" s="74"/>
      <x:c r="L786" s="74"/>
      <x:c r="M786" s="74"/>
      <x:c r="N786" s="74"/>
      <x:c r="O786" s="91"/>
      <x:c r="P786" s="91"/>
      <x:c r="Q786" s="85"/>
      <x:c r="R786" s="85"/>
      <x:c r="S786" s="85"/>
      <x:c r="T786" s="85"/>
      <x:c r="U786" s="85"/>
      <x:c r="V786" s="85"/>
      <x:c r="W786" s="85"/>
      <x:c r="Y786" s="86"/>
      <x:c r="Z786" s="86"/>
      <x:c r="AA786" s="32"/>
    </x:row>
    <x:row r="787">
      <x:c r="A787" s="87"/>
      <x:c r="B787" s="88"/>
      <x:c r="D787" s="32"/>
      <x:c r="I787" s="74"/>
      <x:c r="J787" s="74"/>
      <x:c r="K787" s="74"/>
      <x:c r="L787" s="74"/>
      <x:c r="M787" s="74"/>
      <x:c r="N787" s="74"/>
      <x:c r="O787" s="91"/>
      <x:c r="P787" s="91"/>
      <x:c r="Q787" s="85"/>
      <x:c r="R787" s="85"/>
      <x:c r="S787" s="85"/>
      <x:c r="T787" s="85"/>
      <x:c r="U787" s="85"/>
      <x:c r="V787" s="85"/>
      <x:c r="W787" s="85"/>
      <x:c r="Y787" s="86"/>
      <x:c r="Z787" s="86"/>
      <x:c r="AA787" s="32"/>
    </x:row>
    <x:row r="788">
      <x:c r="A788" s="87"/>
      <x:c r="B788" s="88"/>
      <x:c r="D788" s="32"/>
      <x:c r="I788" s="74"/>
      <x:c r="J788" s="74"/>
      <x:c r="K788" s="74"/>
      <x:c r="L788" s="74"/>
      <x:c r="M788" s="74"/>
      <x:c r="N788" s="74"/>
      <x:c r="O788" s="91"/>
      <x:c r="P788" s="91"/>
      <x:c r="Q788" s="85"/>
      <x:c r="R788" s="85"/>
      <x:c r="S788" s="85"/>
      <x:c r="T788" s="85"/>
      <x:c r="U788" s="85"/>
      <x:c r="V788" s="85"/>
      <x:c r="W788" s="85"/>
      <x:c r="Y788" s="86"/>
      <x:c r="Z788" s="86"/>
      <x:c r="AA788" s="32"/>
    </x:row>
    <x:row r="789">
      <x:c r="A789" s="87"/>
      <x:c r="B789" s="88"/>
      <x:c r="D789" s="32"/>
      <x:c r="I789" s="74"/>
      <x:c r="J789" s="74"/>
      <x:c r="K789" s="74"/>
      <x:c r="L789" s="74"/>
      <x:c r="M789" s="74"/>
      <x:c r="N789" s="74"/>
      <x:c r="O789" s="91"/>
      <x:c r="P789" s="91"/>
      <x:c r="Q789" s="85"/>
      <x:c r="R789" s="85"/>
      <x:c r="S789" s="85"/>
      <x:c r="T789" s="85"/>
      <x:c r="U789" s="85"/>
      <x:c r="V789" s="85"/>
      <x:c r="W789" s="85"/>
      <x:c r="Y789" s="86"/>
      <x:c r="Z789" s="86"/>
      <x:c r="AA789" s="32"/>
    </x:row>
    <x:row r="790">
      <x:c r="A790" s="87"/>
      <x:c r="B790" s="88"/>
      <x:c r="D790" s="32"/>
      <x:c r="I790" s="74"/>
      <x:c r="J790" s="74"/>
      <x:c r="K790" s="74"/>
      <x:c r="L790" s="74"/>
      <x:c r="M790" s="74"/>
      <x:c r="N790" s="74"/>
      <x:c r="O790" s="91"/>
      <x:c r="P790" s="91"/>
      <x:c r="Q790" s="85"/>
      <x:c r="R790" s="85"/>
      <x:c r="S790" s="85"/>
      <x:c r="T790" s="85"/>
      <x:c r="U790" s="85"/>
      <x:c r="V790" s="85"/>
      <x:c r="W790" s="85"/>
      <x:c r="Y790" s="86"/>
      <x:c r="Z790" s="86"/>
      <x:c r="AA790" s="32"/>
    </x:row>
    <x:row r="791">
      <x:c r="A791" s="87"/>
      <x:c r="B791" s="88"/>
      <x:c r="D791" s="32"/>
      <x:c r="I791" s="74"/>
      <x:c r="J791" s="74"/>
      <x:c r="K791" s="74"/>
      <x:c r="L791" s="74"/>
      <x:c r="M791" s="74"/>
      <x:c r="N791" s="74"/>
      <x:c r="O791" s="91"/>
      <x:c r="P791" s="91"/>
      <x:c r="Q791" s="85"/>
      <x:c r="R791" s="85"/>
      <x:c r="S791" s="85"/>
      <x:c r="T791" s="85"/>
      <x:c r="U791" s="85"/>
      <x:c r="V791" s="85"/>
      <x:c r="W791" s="85"/>
      <x:c r="Y791" s="86"/>
      <x:c r="Z791" s="86"/>
      <x:c r="AA791" s="32"/>
    </x:row>
    <x:row r="792">
      <x:c r="A792" s="87"/>
      <x:c r="B792" s="88"/>
      <x:c r="D792" s="32"/>
      <x:c r="I792" s="74"/>
      <x:c r="J792" s="74"/>
      <x:c r="K792" s="74"/>
      <x:c r="L792" s="74"/>
      <x:c r="M792" s="74"/>
      <x:c r="N792" s="74"/>
      <x:c r="O792" s="91"/>
      <x:c r="P792" s="91"/>
      <x:c r="Q792" s="85"/>
      <x:c r="R792" s="85"/>
      <x:c r="S792" s="85"/>
      <x:c r="T792" s="85"/>
      <x:c r="U792" s="85"/>
      <x:c r="V792" s="85"/>
      <x:c r="W792" s="85"/>
      <x:c r="Y792" s="86"/>
      <x:c r="Z792" s="86"/>
      <x:c r="AA792" s="32"/>
    </x:row>
    <x:row r="793">
      <x:c r="A793" s="87"/>
      <x:c r="B793" s="88"/>
      <x:c r="D793" s="32"/>
      <x:c r="I793" s="74"/>
      <x:c r="J793" s="74"/>
      <x:c r="K793" s="74"/>
      <x:c r="L793" s="74"/>
      <x:c r="M793" s="74"/>
      <x:c r="N793" s="74"/>
      <x:c r="O793" s="91"/>
      <x:c r="P793" s="91"/>
      <x:c r="Q793" s="85"/>
      <x:c r="R793" s="85"/>
      <x:c r="S793" s="85"/>
      <x:c r="T793" s="85"/>
      <x:c r="U793" s="85"/>
      <x:c r="V793" s="85"/>
      <x:c r="W793" s="85"/>
      <x:c r="Y793" s="86"/>
      <x:c r="Z793" s="86"/>
      <x:c r="AA793" s="32"/>
    </x:row>
    <x:row r="794">
      <x:c r="A794" s="87"/>
      <x:c r="B794" s="88"/>
      <x:c r="D794" s="32"/>
      <x:c r="I794" s="74"/>
      <x:c r="J794" s="74"/>
      <x:c r="K794" s="74"/>
      <x:c r="L794" s="74"/>
      <x:c r="M794" s="74"/>
      <x:c r="N794" s="74"/>
      <x:c r="O794" s="91"/>
      <x:c r="P794" s="91"/>
      <x:c r="Q794" s="85"/>
      <x:c r="R794" s="85"/>
      <x:c r="S794" s="85"/>
      <x:c r="T794" s="85"/>
      <x:c r="U794" s="85"/>
      <x:c r="V794" s="85"/>
      <x:c r="W794" s="85"/>
      <x:c r="Y794" s="86"/>
      <x:c r="Z794" s="86"/>
      <x:c r="AA794" s="32"/>
    </x:row>
    <x:row r="795">
      <x:c r="A795" s="87"/>
      <x:c r="B795" s="88"/>
      <x:c r="D795" s="32"/>
      <x:c r="I795" s="74"/>
      <x:c r="J795" s="74"/>
      <x:c r="K795" s="74"/>
      <x:c r="L795" s="74"/>
      <x:c r="M795" s="74"/>
      <x:c r="N795" s="74"/>
      <x:c r="O795" s="91"/>
      <x:c r="P795" s="91"/>
      <x:c r="Q795" s="85"/>
      <x:c r="R795" s="85"/>
      <x:c r="S795" s="85"/>
      <x:c r="T795" s="85"/>
      <x:c r="U795" s="85"/>
      <x:c r="V795" s="85"/>
      <x:c r="W795" s="85"/>
      <x:c r="Y795" s="86"/>
      <x:c r="Z795" s="86"/>
      <x:c r="AA795" s="32"/>
    </x:row>
    <x:row r="796">
      <x:c r="A796" s="87"/>
      <x:c r="B796" s="88"/>
      <x:c r="D796" s="32"/>
      <x:c r="I796" s="74"/>
      <x:c r="J796" s="74"/>
      <x:c r="K796" s="74"/>
      <x:c r="L796" s="74"/>
      <x:c r="M796" s="74"/>
      <x:c r="N796" s="74"/>
      <x:c r="O796" s="91"/>
      <x:c r="P796" s="91"/>
      <x:c r="Q796" s="85"/>
      <x:c r="R796" s="85"/>
      <x:c r="S796" s="85"/>
      <x:c r="T796" s="85"/>
      <x:c r="U796" s="85"/>
      <x:c r="V796" s="85"/>
      <x:c r="W796" s="85"/>
      <x:c r="Y796" s="86"/>
      <x:c r="Z796" s="86"/>
      <x:c r="AA796" s="32"/>
    </x:row>
    <x:row r="797">
      <x:c r="A797" s="87"/>
      <x:c r="B797" s="88"/>
      <x:c r="D797" s="32"/>
      <x:c r="I797" s="74"/>
      <x:c r="J797" s="74"/>
      <x:c r="K797" s="74"/>
      <x:c r="L797" s="74"/>
      <x:c r="M797" s="74"/>
      <x:c r="N797" s="74"/>
      <x:c r="O797" s="91"/>
      <x:c r="P797" s="91"/>
      <x:c r="Q797" s="85"/>
      <x:c r="R797" s="85"/>
      <x:c r="S797" s="85"/>
      <x:c r="T797" s="85"/>
      <x:c r="U797" s="85"/>
      <x:c r="V797" s="85"/>
      <x:c r="W797" s="85"/>
      <x:c r="Y797" s="86"/>
      <x:c r="Z797" s="86"/>
      <x:c r="AA797" s="32"/>
    </x:row>
    <x:row r="798">
      <x:c r="A798" s="87"/>
      <x:c r="B798" s="88"/>
      <x:c r="D798" s="32"/>
      <x:c r="I798" s="74"/>
      <x:c r="J798" s="74"/>
      <x:c r="K798" s="74"/>
      <x:c r="L798" s="74"/>
      <x:c r="M798" s="74"/>
      <x:c r="N798" s="74"/>
      <x:c r="O798" s="91"/>
      <x:c r="P798" s="91"/>
      <x:c r="Q798" s="85"/>
      <x:c r="R798" s="85"/>
      <x:c r="S798" s="85"/>
      <x:c r="T798" s="85"/>
      <x:c r="U798" s="85"/>
      <x:c r="V798" s="85"/>
      <x:c r="W798" s="85"/>
      <x:c r="Y798" s="86"/>
      <x:c r="Z798" s="86"/>
      <x:c r="AA798" s="32"/>
    </x:row>
    <x:row r="799">
      <x:c r="A799" s="87"/>
      <x:c r="B799" s="88"/>
      <x:c r="D799" s="32"/>
      <x:c r="I799" s="74"/>
      <x:c r="J799" s="74"/>
      <x:c r="K799" s="74"/>
      <x:c r="L799" s="74"/>
      <x:c r="M799" s="74"/>
      <x:c r="N799" s="74"/>
      <x:c r="O799" s="91"/>
      <x:c r="P799" s="91"/>
      <x:c r="Q799" s="85"/>
      <x:c r="R799" s="85"/>
      <x:c r="S799" s="85"/>
      <x:c r="T799" s="85"/>
      <x:c r="U799" s="85"/>
      <x:c r="V799" s="85"/>
      <x:c r="W799" s="85"/>
      <x:c r="Y799" s="86"/>
      <x:c r="Z799" s="86"/>
      <x:c r="AA799" s="32"/>
    </x:row>
    <x:row r="800">
      <x:c r="A800" s="87"/>
      <x:c r="B800" s="88"/>
      <x:c r="D800" s="32"/>
      <x:c r="I800" s="74"/>
      <x:c r="J800" s="74"/>
      <x:c r="K800" s="74"/>
      <x:c r="L800" s="74"/>
      <x:c r="M800" s="74"/>
      <x:c r="N800" s="74"/>
      <x:c r="O800" s="91"/>
      <x:c r="P800" s="91"/>
      <x:c r="Q800" s="85"/>
      <x:c r="R800" s="85"/>
      <x:c r="S800" s="85"/>
      <x:c r="T800" s="85"/>
      <x:c r="U800" s="85"/>
      <x:c r="V800" s="85"/>
      <x:c r="W800" s="85"/>
      <x:c r="Y800" s="86"/>
      <x:c r="Z800" s="86"/>
      <x:c r="AA800" s="32"/>
    </x:row>
    <x:row r="801">
      <x:c r="A801" s="87"/>
      <x:c r="B801" s="88"/>
      <x:c r="D801" s="32"/>
      <x:c r="I801" s="74"/>
      <x:c r="J801" s="74"/>
      <x:c r="K801" s="74"/>
      <x:c r="L801" s="74"/>
      <x:c r="M801" s="74"/>
      <x:c r="N801" s="74"/>
      <x:c r="O801" s="91"/>
      <x:c r="P801" s="91"/>
      <x:c r="Q801" s="85"/>
      <x:c r="R801" s="85"/>
      <x:c r="S801" s="85"/>
      <x:c r="T801" s="85"/>
      <x:c r="U801" s="85"/>
      <x:c r="V801" s="85"/>
      <x:c r="W801" s="85"/>
      <x:c r="Y801" s="86"/>
      <x:c r="Z801" s="86"/>
      <x:c r="AA801" s="32"/>
    </x:row>
    <x:row r="802">
      <x:c r="A802" s="87"/>
      <x:c r="B802" s="88"/>
      <x:c r="D802" s="32"/>
      <x:c r="I802" s="74"/>
      <x:c r="J802" s="74"/>
      <x:c r="K802" s="74"/>
      <x:c r="L802" s="74"/>
      <x:c r="M802" s="74"/>
      <x:c r="N802" s="74"/>
      <x:c r="O802" s="91"/>
      <x:c r="P802" s="91"/>
      <x:c r="Q802" s="85"/>
      <x:c r="R802" s="85"/>
      <x:c r="S802" s="85"/>
      <x:c r="T802" s="85"/>
      <x:c r="U802" s="85"/>
      <x:c r="V802" s="85"/>
      <x:c r="W802" s="85"/>
      <x:c r="Y802" s="86"/>
      <x:c r="Z802" s="86"/>
      <x:c r="AA802" s="32"/>
    </x:row>
    <x:row r="803">
      <x:c r="A803" s="87"/>
      <x:c r="B803" s="88"/>
      <x:c r="D803" s="32"/>
      <x:c r="I803" s="74"/>
      <x:c r="J803" s="74"/>
      <x:c r="K803" s="74"/>
      <x:c r="L803" s="74"/>
      <x:c r="M803" s="74"/>
      <x:c r="N803" s="74"/>
      <x:c r="O803" s="91"/>
      <x:c r="P803" s="91"/>
      <x:c r="Q803" s="85"/>
      <x:c r="R803" s="85"/>
      <x:c r="S803" s="85"/>
      <x:c r="T803" s="85"/>
      <x:c r="U803" s="85"/>
      <x:c r="V803" s="85"/>
      <x:c r="W803" s="85"/>
      <x:c r="Y803" s="86"/>
      <x:c r="Z803" s="86"/>
      <x:c r="AA803" s="32"/>
    </x:row>
    <x:row r="804">
      <x:c r="A804" s="87"/>
      <x:c r="B804" s="88"/>
      <x:c r="D804" s="32"/>
      <x:c r="I804" s="74"/>
      <x:c r="J804" s="74"/>
      <x:c r="K804" s="74"/>
      <x:c r="L804" s="74"/>
      <x:c r="M804" s="74"/>
      <x:c r="N804" s="74"/>
      <x:c r="O804" s="91"/>
      <x:c r="P804" s="91"/>
      <x:c r="Q804" s="85"/>
      <x:c r="R804" s="85"/>
      <x:c r="S804" s="85"/>
      <x:c r="T804" s="85"/>
      <x:c r="U804" s="85"/>
      <x:c r="V804" s="85"/>
      <x:c r="W804" s="85"/>
      <x:c r="Y804" s="86"/>
      <x:c r="Z804" s="86"/>
      <x:c r="AA804" s="32"/>
    </x:row>
    <x:row r="805">
      <x:c r="A805" s="87"/>
      <x:c r="B805" s="88"/>
      <x:c r="D805" s="32"/>
      <x:c r="I805" s="74"/>
      <x:c r="J805" s="74"/>
      <x:c r="K805" s="74"/>
      <x:c r="L805" s="74"/>
      <x:c r="M805" s="74"/>
      <x:c r="N805" s="74"/>
      <x:c r="O805" s="91"/>
      <x:c r="P805" s="91"/>
      <x:c r="Q805" s="85"/>
      <x:c r="R805" s="85"/>
      <x:c r="S805" s="85"/>
      <x:c r="T805" s="85"/>
      <x:c r="U805" s="85"/>
      <x:c r="V805" s="85"/>
      <x:c r="W805" s="85"/>
      <x:c r="Y805" s="86"/>
      <x:c r="Z805" s="86"/>
      <x:c r="AA805" s="32"/>
    </x:row>
    <x:row r="806">
      <x:c r="A806" s="87"/>
      <x:c r="B806" s="88"/>
      <x:c r="D806" s="32"/>
      <x:c r="I806" s="74"/>
      <x:c r="J806" s="74"/>
      <x:c r="K806" s="74"/>
      <x:c r="L806" s="74"/>
      <x:c r="M806" s="74"/>
      <x:c r="N806" s="74"/>
      <x:c r="O806" s="91"/>
      <x:c r="P806" s="91"/>
      <x:c r="Q806" s="85"/>
      <x:c r="R806" s="85"/>
      <x:c r="S806" s="85"/>
      <x:c r="T806" s="85"/>
      <x:c r="U806" s="85"/>
      <x:c r="V806" s="85"/>
      <x:c r="W806" s="85"/>
      <x:c r="Y806" s="86"/>
      <x:c r="Z806" s="86"/>
      <x:c r="AA806" s="32"/>
    </x:row>
    <x:row r="807">
      <x:c r="A807" s="87"/>
      <x:c r="B807" s="88"/>
      <x:c r="D807" s="32"/>
      <x:c r="I807" s="74"/>
      <x:c r="J807" s="74"/>
      <x:c r="K807" s="74"/>
      <x:c r="L807" s="74"/>
      <x:c r="M807" s="74"/>
      <x:c r="N807" s="74"/>
      <x:c r="O807" s="91"/>
      <x:c r="P807" s="91"/>
      <x:c r="Q807" s="85"/>
      <x:c r="R807" s="85"/>
      <x:c r="S807" s="85"/>
      <x:c r="T807" s="85"/>
      <x:c r="U807" s="85"/>
      <x:c r="V807" s="85"/>
      <x:c r="W807" s="85"/>
      <x:c r="Y807" s="86"/>
      <x:c r="Z807" s="86"/>
      <x:c r="AA807" s="32"/>
    </x:row>
    <x:row r="808">
      <x:c r="A808" s="87"/>
      <x:c r="B808" s="88"/>
      <x:c r="D808" s="32"/>
      <x:c r="I808" s="74"/>
      <x:c r="J808" s="74"/>
      <x:c r="K808" s="74"/>
      <x:c r="L808" s="74"/>
      <x:c r="M808" s="74"/>
      <x:c r="N808" s="74"/>
      <x:c r="O808" s="91"/>
      <x:c r="P808" s="91"/>
      <x:c r="Q808" s="85"/>
      <x:c r="R808" s="85"/>
      <x:c r="S808" s="85"/>
      <x:c r="T808" s="85"/>
      <x:c r="U808" s="85"/>
      <x:c r="V808" s="85"/>
      <x:c r="W808" s="85"/>
      <x:c r="Y808" s="86"/>
      <x:c r="Z808" s="86"/>
      <x:c r="AA808" s="32"/>
    </x:row>
    <x:row r="809">
      <x:c r="A809" s="87"/>
      <x:c r="B809" s="88"/>
      <x:c r="D809" s="32"/>
      <x:c r="I809" s="74"/>
      <x:c r="J809" s="74"/>
      <x:c r="K809" s="74"/>
      <x:c r="L809" s="74"/>
      <x:c r="M809" s="74"/>
      <x:c r="N809" s="74"/>
      <x:c r="O809" s="91"/>
      <x:c r="P809" s="91"/>
      <x:c r="Q809" s="85"/>
      <x:c r="R809" s="85"/>
      <x:c r="S809" s="85"/>
      <x:c r="T809" s="85"/>
      <x:c r="U809" s="85"/>
      <x:c r="V809" s="85"/>
      <x:c r="W809" s="85"/>
      <x:c r="Y809" s="86"/>
      <x:c r="Z809" s="86"/>
      <x:c r="AA809" s="32"/>
    </x:row>
    <x:row r="810">
      <x:c r="A810" s="87"/>
      <x:c r="B810" s="88"/>
      <x:c r="D810" s="32"/>
      <x:c r="I810" s="74"/>
      <x:c r="J810" s="74"/>
      <x:c r="K810" s="74"/>
      <x:c r="L810" s="74"/>
      <x:c r="M810" s="74"/>
      <x:c r="N810" s="74"/>
      <x:c r="O810" s="91"/>
      <x:c r="P810" s="91"/>
      <x:c r="Q810" s="85"/>
      <x:c r="R810" s="85"/>
      <x:c r="S810" s="85"/>
      <x:c r="T810" s="85"/>
      <x:c r="U810" s="85"/>
      <x:c r="V810" s="85"/>
      <x:c r="W810" s="85"/>
      <x:c r="Y810" s="86"/>
      <x:c r="Z810" s="86"/>
      <x:c r="AA810" s="32"/>
    </x:row>
    <x:row r="811">
      <x:c r="A811" s="87"/>
      <x:c r="B811" s="88"/>
      <x:c r="D811" s="32"/>
      <x:c r="I811" s="74"/>
      <x:c r="J811" s="74"/>
      <x:c r="K811" s="74"/>
      <x:c r="L811" s="74"/>
      <x:c r="M811" s="74"/>
      <x:c r="N811" s="74"/>
      <x:c r="O811" s="91"/>
      <x:c r="P811" s="91"/>
      <x:c r="Q811" s="85"/>
      <x:c r="R811" s="85"/>
      <x:c r="S811" s="85"/>
      <x:c r="T811" s="85"/>
      <x:c r="U811" s="85"/>
      <x:c r="V811" s="85"/>
      <x:c r="W811" s="85"/>
      <x:c r="Y811" s="86"/>
      <x:c r="Z811" s="86"/>
      <x:c r="AA811" s="32"/>
    </x:row>
    <x:row r="812">
      <x:c r="A812" s="87"/>
      <x:c r="B812" s="88"/>
      <x:c r="D812" s="32"/>
      <x:c r="I812" s="74"/>
      <x:c r="J812" s="74"/>
      <x:c r="K812" s="74"/>
      <x:c r="L812" s="74"/>
      <x:c r="M812" s="74"/>
      <x:c r="N812" s="74"/>
      <x:c r="O812" s="91"/>
      <x:c r="P812" s="91"/>
      <x:c r="Q812" s="85"/>
      <x:c r="R812" s="85"/>
      <x:c r="S812" s="85"/>
      <x:c r="T812" s="85"/>
      <x:c r="U812" s="85"/>
      <x:c r="V812" s="85"/>
      <x:c r="W812" s="85"/>
      <x:c r="Y812" s="86"/>
      <x:c r="Z812" s="86"/>
      <x:c r="AA812" s="32"/>
    </x:row>
    <x:row r="813">
      <x:c r="A813" s="87"/>
      <x:c r="B813" s="88"/>
      <x:c r="D813" s="32"/>
      <x:c r="I813" s="74"/>
      <x:c r="J813" s="74"/>
      <x:c r="K813" s="74"/>
      <x:c r="L813" s="74"/>
      <x:c r="M813" s="74"/>
      <x:c r="N813" s="74"/>
      <x:c r="O813" s="91"/>
      <x:c r="P813" s="91"/>
      <x:c r="Q813" s="85"/>
      <x:c r="R813" s="85"/>
      <x:c r="S813" s="85"/>
      <x:c r="T813" s="85"/>
      <x:c r="U813" s="85"/>
      <x:c r="V813" s="85"/>
      <x:c r="W813" s="85"/>
      <x:c r="Y813" s="86"/>
      <x:c r="Z813" s="86"/>
      <x:c r="AA813" s="32"/>
    </x:row>
    <x:row r="814">
      <x:c r="A814" s="87"/>
      <x:c r="B814" s="88"/>
      <x:c r="D814" s="32"/>
      <x:c r="I814" s="74"/>
      <x:c r="J814" s="74"/>
      <x:c r="K814" s="74"/>
      <x:c r="L814" s="74"/>
      <x:c r="M814" s="74"/>
      <x:c r="N814" s="74"/>
      <x:c r="O814" s="91"/>
      <x:c r="P814" s="91"/>
      <x:c r="Q814" s="85"/>
      <x:c r="R814" s="85"/>
      <x:c r="S814" s="85"/>
      <x:c r="T814" s="85"/>
      <x:c r="U814" s="85"/>
      <x:c r="V814" s="85"/>
      <x:c r="W814" s="85"/>
      <x:c r="Y814" s="86"/>
      <x:c r="Z814" s="86"/>
      <x:c r="AA814" s="32"/>
    </x:row>
    <x:row r="815">
      <x:c r="A815" s="87"/>
      <x:c r="B815" s="88"/>
      <x:c r="D815" s="32"/>
      <x:c r="I815" s="74"/>
      <x:c r="J815" s="74"/>
      <x:c r="K815" s="74"/>
      <x:c r="L815" s="74"/>
      <x:c r="M815" s="74"/>
      <x:c r="N815" s="74"/>
      <x:c r="O815" s="91"/>
      <x:c r="P815" s="91"/>
      <x:c r="Q815" s="85"/>
      <x:c r="R815" s="85"/>
      <x:c r="S815" s="85"/>
      <x:c r="T815" s="85"/>
      <x:c r="U815" s="85"/>
      <x:c r="V815" s="85"/>
      <x:c r="W815" s="85"/>
      <x:c r="Y815" s="86"/>
      <x:c r="Z815" s="86"/>
      <x:c r="AA815" s="32"/>
    </x:row>
    <x:row r="816">
      <x:c r="A816" s="87"/>
      <x:c r="B816" s="88"/>
      <x:c r="D816" s="32"/>
      <x:c r="I816" s="74"/>
      <x:c r="J816" s="74"/>
      <x:c r="K816" s="74"/>
      <x:c r="L816" s="74"/>
      <x:c r="M816" s="74"/>
      <x:c r="N816" s="74"/>
      <x:c r="O816" s="91"/>
      <x:c r="P816" s="91"/>
      <x:c r="Q816" s="85"/>
      <x:c r="R816" s="85"/>
      <x:c r="S816" s="85"/>
      <x:c r="T816" s="85"/>
      <x:c r="U816" s="85"/>
      <x:c r="V816" s="85"/>
      <x:c r="W816" s="85"/>
      <x:c r="Y816" s="86"/>
      <x:c r="Z816" s="86"/>
      <x:c r="AA816" s="32"/>
    </x:row>
    <x:row r="817">
      <x:c r="A817" s="87"/>
      <x:c r="B817" s="88"/>
      <x:c r="D817" s="32"/>
      <x:c r="I817" s="74"/>
      <x:c r="J817" s="74"/>
      <x:c r="K817" s="74"/>
      <x:c r="L817" s="74"/>
      <x:c r="M817" s="74"/>
      <x:c r="N817" s="74"/>
      <x:c r="O817" s="91"/>
      <x:c r="P817" s="91"/>
      <x:c r="Q817" s="85"/>
      <x:c r="R817" s="85"/>
      <x:c r="S817" s="85"/>
      <x:c r="T817" s="85"/>
      <x:c r="U817" s="85"/>
      <x:c r="V817" s="85"/>
      <x:c r="W817" s="85"/>
      <x:c r="Y817" s="86"/>
      <x:c r="Z817" s="86"/>
      <x:c r="AA817" s="32"/>
    </x:row>
    <x:row r="818">
      <x:c r="A818" s="87"/>
      <x:c r="B818" s="88"/>
      <x:c r="D818" s="32"/>
      <x:c r="I818" s="74"/>
      <x:c r="J818" s="74"/>
      <x:c r="K818" s="74"/>
      <x:c r="L818" s="74"/>
      <x:c r="M818" s="74"/>
      <x:c r="N818" s="74"/>
      <x:c r="O818" s="91"/>
      <x:c r="P818" s="91"/>
      <x:c r="Q818" s="85"/>
      <x:c r="R818" s="85"/>
      <x:c r="S818" s="85"/>
      <x:c r="T818" s="85"/>
      <x:c r="U818" s="85"/>
      <x:c r="V818" s="85"/>
      <x:c r="W818" s="85"/>
      <x:c r="Y818" s="86"/>
      <x:c r="Z818" s="86"/>
      <x:c r="AA818" s="32"/>
    </x:row>
    <x:row r="819">
      <x:c r="A819" s="87"/>
      <x:c r="B819" s="88"/>
      <x:c r="D819" s="32"/>
      <x:c r="I819" s="74"/>
      <x:c r="J819" s="74"/>
      <x:c r="K819" s="74"/>
      <x:c r="L819" s="74"/>
      <x:c r="M819" s="74"/>
      <x:c r="N819" s="74"/>
      <x:c r="O819" s="91"/>
      <x:c r="P819" s="91"/>
      <x:c r="Q819" s="85"/>
      <x:c r="R819" s="85"/>
      <x:c r="S819" s="85"/>
      <x:c r="T819" s="85"/>
      <x:c r="U819" s="85"/>
      <x:c r="V819" s="85"/>
      <x:c r="W819" s="85"/>
      <x:c r="Y819" s="86"/>
      <x:c r="Z819" s="86"/>
      <x:c r="AA819" s="32"/>
    </x:row>
    <x:row r="820">
      <x:c r="A820" s="87"/>
      <x:c r="B820" s="88"/>
      <x:c r="D820" s="32"/>
      <x:c r="I820" s="74"/>
      <x:c r="J820" s="74"/>
      <x:c r="K820" s="74"/>
      <x:c r="L820" s="74"/>
      <x:c r="M820" s="74"/>
      <x:c r="N820" s="74"/>
      <x:c r="O820" s="91"/>
      <x:c r="P820" s="91"/>
      <x:c r="Q820" s="85"/>
      <x:c r="R820" s="85"/>
      <x:c r="S820" s="85"/>
      <x:c r="T820" s="85"/>
      <x:c r="U820" s="85"/>
      <x:c r="V820" s="85"/>
      <x:c r="W820" s="85"/>
      <x:c r="Y820" s="86"/>
      <x:c r="Z820" s="86"/>
      <x:c r="AA820" s="32"/>
    </x:row>
    <x:row r="821">
      <x:c r="A821" s="87"/>
      <x:c r="B821" s="88"/>
      <x:c r="D821" s="32"/>
      <x:c r="I821" s="74"/>
      <x:c r="J821" s="74"/>
      <x:c r="K821" s="74"/>
      <x:c r="L821" s="74"/>
      <x:c r="M821" s="74"/>
      <x:c r="N821" s="74"/>
      <x:c r="O821" s="91"/>
      <x:c r="P821" s="91"/>
      <x:c r="Q821" s="85"/>
      <x:c r="R821" s="85"/>
      <x:c r="S821" s="85"/>
      <x:c r="T821" s="85"/>
      <x:c r="U821" s="85"/>
      <x:c r="V821" s="85"/>
      <x:c r="W821" s="85"/>
      <x:c r="Y821" s="86"/>
      <x:c r="Z821" s="86"/>
      <x:c r="AA821" s="32"/>
    </x:row>
    <x:row r="822">
      <x:c r="A822" s="87"/>
      <x:c r="B822" s="88"/>
      <x:c r="D822" s="32"/>
      <x:c r="I822" s="74"/>
      <x:c r="J822" s="74"/>
      <x:c r="K822" s="74"/>
      <x:c r="L822" s="74"/>
      <x:c r="M822" s="74"/>
      <x:c r="N822" s="74"/>
      <x:c r="O822" s="91"/>
      <x:c r="P822" s="91"/>
      <x:c r="Q822" s="85"/>
      <x:c r="R822" s="85"/>
      <x:c r="S822" s="85"/>
      <x:c r="T822" s="85"/>
      <x:c r="U822" s="85"/>
      <x:c r="V822" s="85"/>
      <x:c r="W822" s="85"/>
      <x:c r="Y822" s="86"/>
      <x:c r="Z822" s="86"/>
      <x:c r="AA822" s="32"/>
    </x:row>
    <x:row r="823">
      <x:c r="A823" s="87"/>
      <x:c r="B823" s="88"/>
      <x:c r="D823" s="32"/>
      <x:c r="I823" s="74"/>
      <x:c r="J823" s="74"/>
      <x:c r="K823" s="74"/>
      <x:c r="L823" s="74"/>
      <x:c r="M823" s="74"/>
      <x:c r="N823" s="74"/>
      <x:c r="O823" s="91"/>
      <x:c r="P823" s="91"/>
      <x:c r="Q823" s="85"/>
      <x:c r="R823" s="85"/>
      <x:c r="S823" s="85"/>
      <x:c r="T823" s="85"/>
      <x:c r="U823" s="85"/>
      <x:c r="V823" s="85"/>
      <x:c r="W823" s="85"/>
      <x:c r="Y823" s="86"/>
      <x:c r="Z823" s="86"/>
      <x:c r="AA823" s="32"/>
    </x:row>
    <x:row r="824">
      <x:c r="A824" s="87"/>
      <x:c r="B824" s="88"/>
      <x:c r="D824" s="32"/>
      <x:c r="I824" s="74"/>
      <x:c r="J824" s="74"/>
      <x:c r="K824" s="74"/>
      <x:c r="L824" s="74"/>
      <x:c r="M824" s="74"/>
      <x:c r="N824" s="74"/>
      <x:c r="O824" s="91"/>
      <x:c r="P824" s="91"/>
      <x:c r="Q824" s="85"/>
      <x:c r="R824" s="85"/>
      <x:c r="S824" s="85"/>
      <x:c r="T824" s="85"/>
      <x:c r="U824" s="85"/>
      <x:c r="V824" s="85"/>
      <x:c r="W824" s="85"/>
      <x:c r="Y824" s="86"/>
      <x:c r="Z824" s="86"/>
      <x:c r="AA824" s="32"/>
    </x:row>
    <x:row r="825">
      <x:c r="A825" s="87"/>
      <x:c r="B825" s="88"/>
      <x:c r="D825" s="32"/>
      <x:c r="I825" s="74"/>
      <x:c r="J825" s="74"/>
      <x:c r="K825" s="74"/>
      <x:c r="L825" s="74"/>
      <x:c r="M825" s="74"/>
      <x:c r="N825" s="74"/>
      <x:c r="O825" s="91"/>
      <x:c r="P825" s="91"/>
      <x:c r="Q825" s="85"/>
      <x:c r="R825" s="85"/>
      <x:c r="S825" s="85"/>
      <x:c r="T825" s="85"/>
      <x:c r="U825" s="85"/>
      <x:c r="V825" s="85"/>
      <x:c r="W825" s="85"/>
      <x:c r="Y825" s="86"/>
      <x:c r="Z825" s="86"/>
      <x:c r="AA825" s="32"/>
    </x:row>
    <x:row r="826">
      <x:c r="A826" s="87"/>
      <x:c r="B826" s="88"/>
      <x:c r="D826" s="32"/>
      <x:c r="I826" s="74"/>
      <x:c r="J826" s="74"/>
      <x:c r="K826" s="74"/>
      <x:c r="L826" s="74"/>
      <x:c r="M826" s="74"/>
      <x:c r="N826" s="74"/>
      <x:c r="O826" s="91"/>
      <x:c r="P826" s="91"/>
      <x:c r="Q826" s="85"/>
      <x:c r="R826" s="85"/>
      <x:c r="S826" s="85"/>
      <x:c r="T826" s="85"/>
      <x:c r="U826" s="85"/>
      <x:c r="V826" s="85"/>
      <x:c r="W826" s="85"/>
      <x:c r="Y826" s="86"/>
      <x:c r="Z826" s="86"/>
      <x:c r="AA826" s="32"/>
    </x:row>
    <x:row r="827">
      <x:c r="A827" s="87"/>
      <x:c r="B827" s="88"/>
      <x:c r="D827" s="32"/>
      <x:c r="I827" s="74"/>
      <x:c r="J827" s="74"/>
      <x:c r="K827" s="74"/>
      <x:c r="L827" s="74"/>
      <x:c r="M827" s="74"/>
      <x:c r="N827" s="74"/>
      <x:c r="O827" s="91"/>
      <x:c r="P827" s="91"/>
      <x:c r="Q827" s="85"/>
      <x:c r="R827" s="85"/>
      <x:c r="S827" s="85"/>
      <x:c r="T827" s="85"/>
      <x:c r="U827" s="85"/>
      <x:c r="V827" s="85"/>
      <x:c r="W827" s="85"/>
      <x:c r="Y827" s="86"/>
      <x:c r="Z827" s="86"/>
      <x:c r="AA827" s="32"/>
    </x:row>
    <x:row r="828">
      <x:c r="A828" s="87"/>
      <x:c r="B828" s="88"/>
      <x:c r="D828" s="32"/>
      <x:c r="I828" s="74"/>
      <x:c r="J828" s="74"/>
      <x:c r="K828" s="74"/>
      <x:c r="L828" s="74"/>
      <x:c r="M828" s="74"/>
      <x:c r="N828" s="74"/>
      <x:c r="O828" s="91"/>
      <x:c r="P828" s="91"/>
      <x:c r="Q828" s="85"/>
      <x:c r="R828" s="85"/>
      <x:c r="S828" s="85"/>
      <x:c r="T828" s="85"/>
      <x:c r="U828" s="85"/>
      <x:c r="V828" s="85"/>
      <x:c r="W828" s="85"/>
      <x:c r="Y828" s="86"/>
      <x:c r="Z828" s="86"/>
      <x:c r="AA828" s="32"/>
    </x:row>
    <x:row r="829">
      <x:c r="A829" s="87"/>
      <x:c r="B829" s="88"/>
      <x:c r="D829" s="32"/>
      <x:c r="I829" s="74"/>
      <x:c r="J829" s="74"/>
      <x:c r="K829" s="74"/>
      <x:c r="L829" s="74"/>
      <x:c r="M829" s="74"/>
      <x:c r="N829" s="74"/>
      <x:c r="O829" s="91"/>
      <x:c r="P829" s="91"/>
      <x:c r="Q829" s="85"/>
      <x:c r="R829" s="85"/>
      <x:c r="S829" s="85"/>
      <x:c r="T829" s="85"/>
      <x:c r="U829" s="85"/>
      <x:c r="V829" s="85"/>
      <x:c r="W829" s="85"/>
      <x:c r="Y829" s="86"/>
      <x:c r="Z829" s="86"/>
      <x:c r="AA829" s="32"/>
    </x:row>
    <x:row r="830">
      <x:c r="A830" s="87"/>
      <x:c r="B830" s="88"/>
      <x:c r="D830" s="32"/>
      <x:c r="I830" s="74"/>
      <x:c r="J830" s="74"/>
      <x:c r="K830" s="74"/>
      <x:c r="L830" s="74"/>
      <x:c r="M830" s="74"/>
      <x:c r="N830" s="74"/>
      <x:c r="O830" s="91"/>
      <x:c r="P830" s="91"/>
      <x:c r="Q830" s="85"/>
      <x:c r="R830" s="85"/>
      <x:c r="S830" s="85"/>
      <x:c r="T830" s="85"/>
      <x:c r="U830" s="85"/>
      <x:c r="V830" s="85"/>
      <x:c r="W830" s="85"/>
      <x:c r="Y830" s="86"/>
      <x:c r="Z830" s="86"/>
      <x:c r="AA830" s="32"/>
    </x:row>
    <x:row r="831">
      <x:c r="A831" s="87"/>
      <x:c r="B831" s="88"/>
      <x:c r="D831" s="32"/>
      <x:c r="I831" s="74"/>
      <x:c r="J831" s="74"/>
      <x:c r="K831" s="74"/>
      <x:c r="L831" s="74"/>
      <x:c r="M831" s="74"/>
      <x:c r="N831" s="74"/>
      <x:c r="O831" s="91"/>
      <x:c r="P831" s="91"/>
      <x:c r="Q831" s="85"/>
      <x:c r="R831" s="85"/>
      <x:c r="S831" s="85"/>
      <x:c r="T831" s="85"/>
      <x:c r="U831" s="85"/>
      <x:c r="V831" s="85"/>
      <x:c r="W831" s="85"/>
      <x:c r="Y831" s="86"/>
      <x:c r="Z831" s="86"/>
      <x:c r="AA831" s="32"/>
    </x:row>
    <x:row r="832">
      <x:c r="A832" s="87"/>
      <x:c r="B832" s="88"/>
      <x:c r="D832" s="32"/>
      <x:c r="I832" s="74"/>
      <x:c r="J832" s="74"/>
      <x:c r="K832" s="74"/>
      <x:c r="L832" s="74"/>
      <x:c r="M832" s="74"/>
      <x:c r="N832" s="74"/>
      <x:c r="O832" s="91"/>
      <x:c r="P832" s="91"/>
      <x:c r="Q832" s="85"/>
      <x:c r="R832" s="85"/>
      <x:c r="S832" s="85"/>
      <x:c r="T832" s="85"/>
      <x:c r="U832" s="85"/>
      <x:c r="V832" s="85"/>
      <x:c r="W832" s="85"/>
      <x:c r="Y832" s="86"/>
      <x:c r="Z832" s="86"/>
      <x:c r="AA832" s="32"/>
    </x:row>
    <x:row r="833">
      <x:c r="A833" s="87"/>
      <x:c r="B833" s="88"/>
      <x:c r="D833" s="32"/>
      <x:c r="I833" s="74"/>
      <x:c r="J833" s="74"/>
      <x:c r="K833" s="74"/>
      <x:c r="L833" s="74"/>
      <x:c r="M833" s="74"/>
      <x:c r="N833" s="74"/>
      <x:c r="O833" s="91"/>
      <x:c r="P833" s="91"/>
      <x:c r="Q833" s="85"/>
      <x:c r="R833" s="85"/>
      <x:c r="S833" s="85"/>
      <x:c r="T833" s="85"/>
      <x:c r="U833" s="85"/>
      <x:c r="V833" s="85"/>
      <x:c r="W833" s="85"/>
      <x:c r="Y833" s="86"/>
      <x:c r="Z833" s="86"/>
      <x:c r="AA833" s="32"/>
    </x:row>
    <x:row r="834">
      <x:c r="A834" s="87"/>
      <x:c r="B834" s="88"/>
      <x:c r="D834" s="32"/>
      <x:c r="I834" s="74"/>
      <x:c r="J834" s="74"/>
      <x:c r="K834" s="74"/>
      <x:c r="L834" s="74"/>
      <x:c r="M834" s="74"/>
      <x:c r="N834" s="74"/>
      <x:c r="O834" s="91"/>
      <x:c r="P834" s="91"/>
      <x:c r="Q834" s="85"/>
      <x:c r="R834" s="85"/>
      <x:c r="S834" s="85"/>
      <x:c r="T834" s="85"/>
      <x:c r="U834" s="85"/>
      <x:c r="V834" s="85"/>
      <x:c r="W834" s="85"/>
      <x:c r="Y834" s="86"/>
      <x:c r="Z834" s="86"/>
      <x:c r="AA834" s="32"/>
    </x:row>
    <x:row r="835">
      <x:c r="A835" s="87"/>
      <x:c r="B835" s="88"/>
      <x:c r="D835" s="32"/>
      <x:c r="I835" s="74"/>
      <x:c r="J835" s="74"/>
      <x:c r="K835" s="74"/>
      <x:c r="L835" s="74"/>
      <x:c r="M835" s="74"/>
      <x:c r="N835" s="74"/>
      <x:c r="O835" s="91"/>
      <x:c r="P835" s="91"/>
      <x:c r="Q835" s="85"/>
      <x:c r="R835" s="85"/>
      <x:c r="S835" s="85"/>
      <x:c r="T835" s="85"/>
      <x:c r="U835" s="85"/>
      <x:c r="V835" s="85"/>
      <x:c r="W835" s="85"/>
      <x:c r="Y835" s="86"/>
      <x:c r="Z835" s="86"/>
      <x:c r="AA835" s="32"/>
    </x:row>
    <x:row r="836">
      <x:c r="A836" s="87"/>
      <x:c r="B836" s="88"/>
      <x:c r="D836" s="32"/>
      <x:c r="I836" s="74"/>
      <x:c r="J836" s="74"/>
      <x:c r="K836" s="74"/>
      <x:c r="L836" s="74"/>
      <x:c r="M836" s="74"/>
      <x:c r="N836" s="74"/>
      <x:c r="O836" s="91"/>
      <x:c r="P836" s="91"/>
      <x:c r="Q836" s="85"/>
      <x:c r="R836" s="85"/>
      <x:c r="S836" s="85"/>
      <x:c r="T836" s="85"/>
      <x:c r="U836" s="85"/>
      <x:c r="V836" s="85"/>
      <x:c r="W836" s="85"/>
      <x:c r="Y836" s="86"/>
      <x:c r="Z836" s="86"/>
      <x:c r="AA836" s="32"/>
    </x:row>
    <x:row r="837">
      <x:c r="A837" s="87"/>
      <x:c r="B837" s="88"/>
      <x:c r="D837" s="32"/>
      <x:c r="I837" s="74"/>
      <x:c r="J837" s="74"/>
      <x:c r="K837" s="74"/>
      <x:c r="L837" s="74"/>
      <x:c r="M837" s="74"/>
      <x:c r="N837" s="74"/>
      <x:c r="O837" s="91"/>
      <x:c r="P837" s="91"/>
      <x:c r="Q837" s="85"/>
      <x:c r="R837" s="85"/>
      <x:c r="S837" s="85"/>
      <x:c r="T837" s="85"/>
      <x:c r="U837" s="85"/>
      <x:c r="V837" s="85"/>
      <x:c r="W837" s="85"/>
      <x:c r="Y837" s="86"/>
      <x:c r="Z837" s="86"/>
      <x:c r="AA837" s="32"/>
    </x:row>
    <x:row r="838">
      <x:c r="A838" s="87"/>
      <x:c r="B838" s="88"/>
      <x:c r="D838" s="32"/>
      <x:c r="I838" s="74"/>
      <x:c r="J838" s="74"/>
      <x:c r="K838" s="74"/>
      <x:c r="L838" s="74"/>
      <x:c r="M838" s="74"/>
      <x:c r="N838" s="74"/>
      <x:c r="O838" s="91"/>
      <x:c r="P838" s="91"/>
      <x:c r="Q838" s="85"/>
      <x:c r="R838" s="85"/>
      <x:c r="S838" s="85"/>
      <x:c r="T838" s="85"/>
      <x:c r="U838" s="85"/>
      <x:c r="V838" s="85"/>
      <x:c r="W838" s="85"/>
      <x:c r="Y838" s="86"/>
      <x:c r="Z838" s="86"/>
      <x:c r="AA838" s="32"/>
    </x:row>
    <x:row r="839">
      <x:c r="A839" s="87"/>
      <x:c r="B839" s="88"/>
      <x:c r="D839" s="32"/>
      <x:c r="I839" s="74"/>
      <x:c r="J839" s="74"/>
      <x:c r="K839" s="74"/>
      <x:c r="L839" s="74"/>
      <x:c r="M839" s="74"/>
      <x:c r="N839" s="74"/>
      <x:c r="O839" s="91"/>
      <x:c r="P839" s="91"/>
      <x:c r="Q839" s="85"/>
      <x:c r="R839" s="85"/>
      <x:c r="S839" s="85"/>
      <x:c r="T839" s="85"/>
      <x:c r="U839" s="85"/>
      <x:c r="V839" s="85"/>
      <x:c r="W839" s="85"/>
      <x:c r="Y839" s="86"/>
      <x:c r="Z839" s="86"/>
      <x:c r="AA839" s="32"/>
    </x:row>
    <x:row r="840">
      <x:c r="A840" s="87"/>
      <x:c r="B840" s="88"/>
      <x:c r="D840" s="32"/>
      <x:c r="I840" s="74"/>
      <x:c r="J840" s="74"/>
      <x:c r="K840" s="74"/>
      <x:c r="L840" s="74"/>
      <x:c r="M840" s="74"/>
      <x:c r="N840" s="74"/>
      <x:c r="O840" s="91"/>
      <x:c r="P840" s="91"/>
      <x:c r="Q840" s="85"/>
      <x:c r="R840" s="85"/>
      <x:c r="S840" s="85"/>
      <x:c r="T840" s="85"/>
      <x:c r="U840" s="85"/>
      <x:c r="V840" s="85"/>
      <x:c r="W840" s="85"/>
      <x:c r="Y840" s="86"/>
      <x:c r="Z840" s="86"/>
      <x:c r="AA840" s="32"/>
    </x:row>
    <x:row r="841">
      <x:c r="A841" s="87"/>
      <x:c r="B841" s="88"/>
      <x:c r="D841" s="32"/>
      <x:c r="I841" s="74"/>
      <x:c r="J841" s="74"/>
      <x:c r="K841" s="74"/>
      <x:c r="L841" s="74"/>
      <x:c r="M841" s="74"/>
      <x:c r="N841" s="74"/>
      <x:c r="O841" s="91"/>
      <x:c r="P841" s="91"/>
      <x:c r="Q841" s="85"/>
      <x:c r="R841" s="85"/>
      <x:c r="S841" s="85"/>
      <x:c r="T841" s="85"/>
      <x:c r="U841" s="85"/>
      <x:c r="V841" s="85"/>
      <x:c r="W841" s="85"/>
      <x:c r="Y841" s="86"/>
      <x:c r="Z841" s="86"/>
      <x:c r="AA841" s="32"/>
    </x:row>
    <x:row r="842">
      <x:c r="A842" s="87"/>
      <x:c r="B842" s="88"/>
      <x:c r="D842" s="32"/>
      <x:c r="I842" s="74"/>
      <x:c r="J842" s="74"/>
      <x:c r="K842" s="74"/>
      <x:c r="L842" s="74"/>
      <x:c r="M842" s="74"/>
      <x:c r="N842" s="74"/>
      <x:c r="O842" s="91"/>
      <x:c r="P842" s="91"/>
      <x:c r="Q842" s="85"/>
      <x:c r="R842" s="85"/>
      <x:c r="S842" s="85"/>
      <x:c r="T842" s="85"/>
      <x:c r="U842" s="85"/>
      <x:c r="V842" s="85"/>
      <x:c r="W842" s="85"/>
      <x:c r="Y842" s="86"/>
      <x:c r="Z842" s="86"/>
      <x:c r="AA842" s="32"/>
    </x:row>
    <x:row r="843">
      <x:c r="A843" s="87"/>
      <x:c r="B843" s="88"/>
      <x:c r="D843" s="32"/>
      <x:c r="I843" s="74"/>
      <x:c r="J843" s="74"/>
      <x:c r="K843" s="74"/>
      <x:c r="L843" s="74"/>
      <x:c r="M843" s="74"/>
      <x:c r="N843" s="74"/>
      <x:c r="O843" s="91"/>
      <x:c r="P843" s="91"/>
      <x:c r="Q843" s="85"/>
      <x:c r="R843" s="85"/>
      <x:c r="S843" s="85"/>
      <x:c r="T843" s="85"/>
      <x:c r="U843" s="85"/>
      <x:c r="V843" s="85"/>
      <x:c r="W843" s="85"/>
      <x:c r="Y843" s="86"/>
      <x:c r="Z843" s="86"/>
      <x:c r="AA843" s="32"/>
    </x:row>
    <x:row r="844">
      <x:c r="A844" s="87"/>
      <x:c r="B844" s="88"/>
      <x:c r="D844" s="32"/>
      <x:c r="I844" s="74"/>
      <x:c r="J844" s="74"/>
      <x:c r="K844" s="74"/>
      <x:c r="L844" s="74"/>
      <x:c r="M844" s="74"/>
      <x:c r="N844" s="74"/>
      <x:c r="O844" s="91"/>
      <x:c r="P844" s="91"/>
      <x:c r="Q844" s="85"/>
      <x:c r="R844" s="85"/>
      <x:c r="S844" s="85"/>
      <x:c r="T844" s="85"/>
      <x:c r="U844" s="85"/>
      <x:c r="V844" s="85"/>
      <x:c r="W844" s="85"/>
      <x:c r="Y844" s="86"/>
      <x:c r="Z844" s="86"/>
      <x:c r="AA844" s="32"/>
    </x:row>
    <x:row r="845">
      <x:c r="A845" s="87"/>
      <x:c r="B845" s="88"/>
      <x:c r="D845" s="32"/>
      <x:c r="I845" s="74"/>
      <x:c r="J845" s="74"/>
      <x:c r="K845" s="74"/>
      <x:c r="L845" s="74"/>
      <x:c r="M845" s="74"/>
      <x:c r="N845" s="74"/>
      <x:c r="O845" s="91"/>
      <x:c r="P845" s="91"/>
      <x:c r="Q845" s="85"/>
      <x:c r="R845" s="85"/>
      <x:c r="S845" s="85"/>
      <x:c r="T845" s="85"/>
      <x:c r="U845" s="85"/>
      <x:c r="V845" s="85"/>
      <x:c r="W845" s="85"/>
      <x:c r="Y845" s="86"/>
      <x:c r="Z845" s="86"/>
      <x:c r="AA845" s="32"/>
    </x:row>
    <x:row r="846">
      <x:c r="A846" s="87"/>
      <x:c r="B846" s="88"/>
      <x:c r="D846" s="32"/>
      <x:c r="I846" s="74"/>
      <x:c r="J846" s="74"/>
      <x:c r="K846" s="74"/>
      <x:c r="L846" s="74"/>
      <x:c r="M846" s="74"/>
      <x:c r="N846" s="74"/>
      <x:c r="O846" s="91"/>
      <x:c r="P846" s="91"/>
      <x:c r="Q846" s="85"/>
      <x:c r="R846" s="85"/>
      <x:c r="S846" s="85"/>
      <x:c r="T846" s="85"/>
      <x:c r="U846" s="85"/>
      <x:c r="V846" s="85"/>
      <x:c r="W846" s="85"/>
      <x:c r="Y846" s="86"/>
      <x:c r="Z846" s="86"/>
      <x:c r="AA846" s="32"/>
    </x:row>
    <x:row r="847">
      <x:c r="A847" s="87"/>
      <x:c r="B847" s="88"/>
      <x:c r="D847" s="32"/>
      <x:c r="I847" s="74"/>
      <x:c r="J847" s="74"/>
      <x:c r="K847" s="74"/>
      <x:c r="L847" s="74"/>
      <x:c r="M847" s="74"/>
      <x:c r="N847" s="74"/>
      <x:c r="O847" s="91"/>
      <x:c r="P847" s="91"/>
      <x:c r="Q847" s="85"/>
      <x:c r="R847" s="85"/>
      <x:c r="S847" s="85"/>
      <x:c r="T847" s="85"/>
      <x:c r="U847" s="85"/>
      <x:c r="V847" s="85"/>
      <x:c r="W847" s="85"/>
      <x:c r="Y847" s="86"/>
      <x:c r="Z847" s="86"/>
      <x:c r="AA847" s="32"/>
    </x:row>
    <x:row r="848">
      <x:c r="A848" s="87"/>
      <x:c r="B848" s="88"/>
      <x:c r="D848" s="32"/>
      <x:c r="I848" s="74"/>
      <x:c r="J848" s="74"/>
      <x:c r="K848" s="74"/>
      <x:c r="L848" s="74"/>
      <x:c r="M848" s="74"/>
      <x:c r="N848" s="74"/>
      <x:c r="O848" s="91"/>
      <x:c r="P848" s="91"/>
      <x:c r="Q848" s="85"/>
      <x:c r="R848" s="85"/>
      <x:c r="S848" s="85"/>
      <x:c r="T848" s="85"/>
      <x:c r="U848" s="85"/>
      <x:c r="V848" s="85"/>
      <x:c r="W848" s="85"/>
      <x:c r="Y848" s="86"/>
      <x:c r="Z848" s="86"/>
      <x:c r="AA848" s="32"/>
    </x:row>
    <x:row r="849">
      <x:c r="A849" s="87"/>
      <x:c r="B849" s="88"/>
      <x:c r="D849" s="32"/>
      <x:c r="I849" s="74"/>
      <x:c r="J849" s="74"/>
      <x:c r="K849" s="74"/>
      <x:c r="L849" s="74"/>
      <x:c r="M849" s="74"/>
      <x:c r="N849" s="74"/>
      <x:c r="O849" s="91"/>
      <x:c r="P849" s="91"/>
      <x:c r="Q849" s="85"/>
      <x:c r="R849" s="85"/>
      <x:c r="S849" s="85"/>
      <x:c r="T849" s="85"/>
      <x:c r="U849" s="85"/>
      <x:c r="V849" s="85"/>
      <x:c r="W849" s="85"/>
      <x:c r="Y849" s="86"/>
      <x:c r="Z849" s="86"/>
      <x:c r="AA849" s="32"/>
    </x:row>
    <x:row r="850">
      <x:c r="A850" s="87"/>
      <x:c r="B850" s="88"/>
      <x:c r="D850" s="32"/>
      <x:c r="I850" s="74"/>
      <x:c r="J850" s="74"/>
      <x:c r="K850" s="74"/>
      <x:c r="L850" s="74"/>
      <x:c r="M850" s="74"/>
      <x:c r="N850" s="74"/>
      <x:c r="O850" s="91"/>
      <x:c r="P850" s="91"/>
      <x:c r="Q850" s="85"/>
      <x:c r="R850" s="85"/>
      <x:c r="S850" s="85"/>
      <x:c r="T850" s="85"/>
      <x:c r="U850" s="85"/>
      <x:c r="V850" s="85"/>
      <x:c r="W850" s="85"/>
      <x:c r="Y850" s="86"/>
      <x:c r="Z850" s="86"/>
      <x:c r="AA850" s="32"/>
    </x:row>
    <x:row r="851">
      <x:c r="A851" s="87"/>
      <x:c r="B851" s="88"/>
      <x:c r="D851" s="32"/>
      <x:c r="I851" s="74"/>
      <x:c r="J851" s="74"/>
      <x:c r="K851" s="74"/>
      <x:c r="L851" s="74"/>
      <x:c r="M851" s="74"/>
      <x:c r="N851" s="74"/>
      <x:c r="O851" s="91"/>
      <x:c r="P851" s="91"/>
      <x:c r="Q851" s="85"/>
      <x:c r="R851" s="85"/>
      <x:c r="S851" s="85"/>
      <x:c r="T851" s="85"/>
      <x:c r="U851" s="85"/>
      <x:c r="V851" s="85"/>
      <x:c r="W851" s="85"/>
      <x:c r="Y851" s="86"/>
      <x:c r="Z851" s="86"/>
      <x:c r="AA851" s="32"/>
    </x:row>
    <x:row r="852">
      <x:c r="A852" s="87"/>
      <x:c r="B852" s="88"/>
      <x:c r="D852" s="32"/>
      <x:c r="I852" s="74"/>
      <x:c r="J852" s="74"/>
      <x:c r="K852" s="74"/>
      <x:c r="L852" s="74"/>
      <x:c r="M852" s="74"/>
      <x:c r="N852" s="74"/>
      <x:c r="O852" s="91"/>
      <x:c r="P852" s="91"/>
      <x:c r="Q852" s="85"/>
      <x:c r="R852" s="85"/>
      <x:c r="S852" s="85"/>
      <x:c r="T852" s="85"/>
      <x:c r="U852" s="85"/>
      <x:c r="V852" s="85"/>
      <x:c r="W852" s="85"/>
      <x:c r="Y852" s="86"/>
      <x:c r="Z852" s="86"/>
      <x:c r="AA852" s="32"/>
    </x:row>
    <x:row r="853">
      <x:c r="A853" s="87"/>
      <x:c r="B853" s="88"/>
      <x:c r="D853" s="32"/>
      <x:c r="I853" s="74"/>
      <x:c r="J853" s="74"/>
      <x:c r="K853" s="74"/>
      <x:c r="L853" s="74"/>
      <x:c r="M853" s="74"/>
      <x:c r="N853" s="74"/>
      <x:c r="O853" s="91"/>
      <x:c r="P853" s="91"/>
      <x:c r="Q853" s="85"/>
      <x:c r="R853" s="85"/>
      <x:c r="S853" s="85"/>
      <x:c r="T853" s="85"/>
      <x:c r="U853" s="85"/>
      <x:c r="V853" s="85"/>
      <x:c r="W853" s="85"/>
      <x:c r="Y853" s="86"/>
      <x:c r="Z853" s="86"/>
      <x:c r="AA853" s="32"/>
    </x:row>
    <x:row r="854">
      <x:c r="A854" s="87"/>
      <x:c r="B854" s="88"/>
      <x:c r="D854" s="32"/>
      <x:c r="I854" s="74"/>
      <x:c r="J854" s="74"/>
      <x:c r="K854" s="74"/>
      <x:c r="L854" s="74"/>
      <x:c r="M854" s="74"/>
      <x:c r="N854" s="74"/>
      <x:c r="O854" s="91"/>
      <x:c r="P854" s="91"/>
      <x:c r="Q854" s="85"/>
      <x:c r="R854" s="85"/>
      <x:c r="S854" s="85"/>
      <x:c r="T854" s="85"/>
      <x:c r="U854" s="85"/>
      <x:c r="V854" s="85"/>
      <x:c r="W854" s="85"/>
      <x:c r="Y854" s="86"/>
      <x:c r="Z854" s="86"/>
      <x:c r="AA854" s="32"/>
    </x:row>
    <x:row r="855">
      <x:c r="A855" s="87"/>
      <x:c r="B855" s="88"/>
      <x:c r="D855" s="32"/>
      <x:c r="I855" s="74"/>
      <x:c r="J855" s="74"/>
      <x:c r="K855" s="74"/>
      <x:c r="L855" s="74"/>
      <x:c r="M855" s="74"/>
      <x:c r="N855" s="74"/>
      <x:c r="O855" s="91"/>
      <x:c r="P855" s="91"/>
      <x:c r="Q855" s="85"/>
      <x:c r="R855" s="85"/>
      <x:c r="S855" s="85"/>
      <x:c r="T855" s="85"/>
      <x:c r="U855" s="85"/>
      <x:c r="V855" s="85"/>
      <x:c r="W855" s="85"/>
      <x:c r="Y855" s="86"/>
      <x:c r="Z855" s="86"/>
      <x:c r="AA855" s="32"/>
    </x:row>
    <x:row r="856">
      <x:c r="A856" s="87"/>
      <x:c r="B856" s="88"/>
      <x:c r="D856" s="32"/>
      <x:c r="I856" s="74"/>
      <x:c r="J856" s="74"/>
      <x:c r="K856" s="74"/>
      <x:c r="L856" s="74"/>
      <x:c r="M856" s="74"/>
      <x:c r="N856" s="74"/>
      <x:c r="O856" s="91"/>
      <x:c r="P856" s="91"/>
      <x:c r="Q856" s="85"/>
      <x:c r="R856" s="85"/>
      <x:c r="S856" s="85"/>
      <x:c r="T856" s="85"/>
      <x:c r="U856" s="85"/>
      <x:c r="V856" s="85"/>
      <x:c r="W856" s="85"/>
      <x:c r="Y856" s="86"/>
      <x:c r="Z856" s="86"/>
      <x:c r="AA856" s="32"/>
    </x:row>
    <x:row r="857">
      <x:c r="A857" s="87"/>
      <x:c r="B857" s="88"/>
      <x:c r="D857" s="32"/>
      <x:c r="I857" s="74"/>
      <x:c r="J857" s="74"/>
      <x:c r="K857" s="74"/>
      <x:c r="L857" s="74"/>
      <x:c r="M857" s="74"/>
      <x:c r="N857" s="74"/>
      <x:c r="O857" s="91"/>
      <x:c r="P857" s="91"/>
      <x:c r="Q857" s="85"/>
      <x:c r="R857" s="85"/>
      <x:c r="S857" s="85"/>
      <x:c r="T857" s="85"/>
      <x:c r="U857" s="85"/>
      <x:c r="V857" s="85"/>
      <x:c r="W857" s="85"/>
      <x:c r="Y857" s="86"/>
      <x:c r="Z857" s="86"/>
      <x:c r="AA857" s="32"/>
    </x:row>
    <x:row r="858">
      <x:c r="A858" s="87"/>
      <x:c r="B858" s="88"/>
      <x:c r="D858" s="32"/>
      <x:c r="I858" s="74"/>
      <x:c r="J858" s="74"/>
      <x:c r="K858" s="74"/>
      <x:c r="L858" s="74"/>
      <x:c r="M858" s="74"/>
      <x:c r="N858" s="74"/>
      <x:c r="O858" s="91"/>
      <x:c r="P858" s="91"/>
      <x:c r="Q858" s="85"/>
      <x:c r="R858" s="85"/>
      <x:c r="S858" s="85"/>
      <x:c r="T858" s="85"/>
      <x:c r="U858" s="85"/>
      <x:c r="V858" s="85"/>
      <x:c r="W858" s="85"/>
      <x:c r="Y858" s="86"/>
      <x:c r="Z858" s="86"/>
      <x:c r="AA858" s="32"/>
    </x:row>
    <x:row r="859">
      <x:c r="A859" s="87"/>
      <x:c r="B859" s="88"/>
      <x:c r="D859" s="32"/>
      <x:c r="I859" s="74"/>
      <x:c r="J859" s="74"/>
      <x:c r="K859" s="74"/>
      <x:c r="L859" s="74"/>
      <x:c r="M859" s="74"/>
      <x:c r="N859" s="74"/>
      <x:c r="O859" s="91"/>
      <x:c r="P859" s="91"/>
      <x:c r="Q859" s="85"/>
      <x:c r="R859" s="85"/>
      <x:c r="S859" s="85"/>
      <x:c r="T859" s="85"/>
      <x:c r="U859" s="85"/>
      <x:c r="V859" s="85"/>
      <x:c r="W859" s="85"/>
      <x:c r="Y859" s="86"/>
      <x:c r="Z859" s="86"/>
      <x:c r="AA859" s="32"/>
    </x:row>
    <x:row r="860">
      <x:c r="A860" s="87"/>
      <x:c r="B860" s="88"/>
      <x:c r="D860" s="32"/>
      <x:c r="I860" s="74"/>
      <x:c r="J860" s="74"/>
      <x:c r="K860" s="74"/>
      <x:c r="L860" s="74"/>
      <x:c r="M860" s="74"/>
      <x:c r="N860" s="74"/>
      <x:c r="O860" s="91"/>
      <x:c r="P860" s="91"/>
      <x:c r="Q860" s="85"/>
      <x:c r="R860" s="85"/>
      <x:c r="S860" s="85"/>
      <x:c r="T860" s="85"/>
      <x:c r="U860" s="85"/>
      <x:c r="V860" s="85"/>
      <x:c r="W860" s="85"/>
      <x:c r="Y860" s="86"/>
      <x:c r="Z860" s="86"/>
      <x:c r="AA860" s="32"/>
    </x:row>
    <x:row r="861">
      <x:c r="A861" s="87"/>
      <x:c r="B861" s="88"/>
      <x:c r="D861" s="32"/>
      <x:c r="I861" s="74"/>
      <x:c r="J861" s="74"/>
      <x:c r="K861" s="74"/>
      <x:c r="L861" s="74"/>
      <x:c r="M861" s="74"/>
      <x:c r="N861" s="74"/>
      <x:c r="O861" s="91"/>
      <x:c r="P861" s="91"/>
      <x:c r="Q861" s="85"/>
      <x:c r="R861" s="85"/>
      <x:c r="S861" s="85"/>
      <x:c r="T861" s="85"/>
      <x:c r="U861" s="85"/>
      <x:c r="V861" s="85"/>
      <x:c r="W861" s="85"/>
      <x:c r="Y861" s="86"/>
      <x:c r="Z861" s="86"/>
      <x:c r="AA861" s="32"/>
    </x:row>
    <x:row r="862">
      <x:c r="A862" s="87"/>
      <x:c r="B862" s="88"/>
      <x:c r="D862" s="32"/>
      <x:c r="I862" s="74"/>
      <x:c r="J862" s="74"/>
      <x:c r="K862" s="74"/>
      <x:c r="L862" s="74"/>
      <x:c r="M862" s="74"/>
      <x:c r="N862" s="74"/>
      <x:c r="O862" s="91"/>
      <x:c r="P862" s="91"/>
      <x:c r="Q862" s="85"/>
      <x:c r="R862" s="85"/>
      <x:c r="S862" s="85"/>
      <x:c r="T862" s="85"/>
      <x:c r="U862" s="85"/>
      <x:c r="V862" s="85"/>
      <x:c r="W862" s="85"/>
      <x:c r="Y862" s="86"/>
      <x:c r="Z862" s="86"/>
      <x:c r="AA862" s="32"/>
    </x:row>
    <x:row r="863">
      <x:c r="A863" s="87"/>
      <x:c r="B863" s="88"/>
      <x:c r="D863" s="32"/>
      <x:c r="I863" s="74"/>
      <x:c r="J863" s="74"/>
      <x:c r="K863" s="74"/>
      <x:c r="L863" s="74"/>
      <x:c r="M863" s="74"/>
      <x:c r="N863" s="74"/>
      <x:c r="O863" s="91"/>
      <x:c r="P863" s="91"/>
      <x:c r="Q863" s="85"/>
      <x:c r="R863" s="85"/>
      <x:c r="S863" s="85"/>
      <x:c r="T863" s="85"/>
      <x:c r="U863" s="85"/>
      <x:c r="V863" s="85"/>
      <x:c r="W863" s="85"/>
      <x:c r="Y863" s="86"/>
      <x:c r="Z863" s="86"/>
      <x:c r="AA863" s="32"/>
    </x:row>
    <x:row r="864">
      <x:c r="A864" s="87"/>
      <x:c r="B864" s="88"/>
      <x:c r="D864" s="32"/>
      <x:c r="I864" s="74"/>
      <x:c r="J864" s="74"/>
      <x:c r="K864" s="74"/>
      <x:c r="L864" s="74"/>
      <x:c r="M864" s="74"/>
      <x:c r="N864" s="74"/>
      <x:c r="O864" s="91"/>
      <x:c r="P864" s="91"/>
      <x:c r="Q864" s="85"/>
      <x:c r="R864" s="85"/>
      <x:c r="S864" s="85"/>
      <x:c r="T864" s="85"/>
      <x:c r="U864" s="85"/>
      <x:c r="V864" s="85"/>
      <x:c r="W864" s="85"/>
      <x:c r="Y864" s="86"/>
      <x:c r="Z864" s="86"/>
      <x:c r="AA864" s="32"/>
    </x:row>
    <x:row r="865">
      <x:c r="A865" s="87"/>
      <x:c r="B865" s="88"/>
      <x:c r="D865" s="32"/>
      <x:c r="I865" s="74"/>
      <x:c r="J865" s="74"/>
      <x:c r="K865" s="74"/>
      <x:c r="L865" s="74"/>
      <x:c r="M865" s="74"/>
      <x:c r="N865" s="74"/>
      <x:c r="O865" s="91"/>
      <x:c r="P865" s="91"/>
      <x:c r="Q865" s="85"/>
      <x:c r="R865" s="85"/>
      <x:c r="S865" s="85"/>
      <x:c r="T865" s="85"/>
      <x:c r="U865" s="85"/>
      <x:c r="V865" s="85"/>
      <x:c r="W865" s="85"/>
      <x:c r="Y865" s="86"/>
      <x:c r="Z865" s="86"/>
      <x:c r="AA865" s="32"/>
    </x:row>
    <x:row r="866">
      <x:c r="A866" s="87"/>
      <x:c r="B866" s="88"/>
      <x:c r="D866" s="32"/>
      <x:c r="I866" s="74"/>
      <x:c r="J866" s="74"/>
      <x:c r="K866" s="74"/>
      <x:c r="L866" s="74"/>
      <x:c r="M866" s="74"/>
      <x:c r="N866" s="74"/>
      <x:c r="O866" s="91"/>
      <x:c r="P866" s="91"/>
      <x:c r="Q866" s="85"/>
      <x:c r="R866" s="85"/>
      <x:c r="S866" s="85"/>
      <x:c r="T866" s="85"/>
      <x:c r="U866" s="85"/>
      <x:c r="V866" s="85"/>
      <x:c r="W866" s="85"/>
      <x:c r="Y866" s="86"/>
      <x:c r="Z866" s="86"/>
      <x:c r="AA866" s="32"/>
    </x:row>
    <x:row r="867">
      <x:c r="A867" s="87"/>
      <x:c r="B867" s="88"/>
      <x:c r="D867" s="32"/>
      <x:c r="I867" s="74"/>
      <x:c r="J867" s="74"/>
      <x:c r="K867" s="74"/>
      <x:c r="L867" s="74"/>
      <x:c r="M867" s="74"/>
      <x:c r="N867" s="74"/>
      <x:c r="O867" s="91"/>
      <x:c r="P867" s="91"/>
      <x:c r="Q867" s="85"/>
      <x:c r="R867" s="85"/>
      <x:c r="S867" s="85"/>
      <x:c r="T867" s="85"/>
      <x:c r="U867" s="85"/>
      <x:c r="V867" s="85"/>
      <x:c r="W867" s="85"/>
      <x:c r="Y867" s="86"/>
      <x:c r="Z867" s="86"/>
      <x:c r="AA867" s="32"/>
    </x:row>
    <x:row r="868">
      <x:c r="A868" s="87"/>
      <x:c r="B868" s="88"/>
      <x:c r="D868" s="32"/>
      <x:c r="I868" s="74"/>
      <x:c r="J868" s="74"/>
      <x:c r="K868" s="74"/>
      <x:c r="L868" s="74"/>
      <x:c r="M868" s="74"/>
      <x:c r="N868" s="74"/>
      <x:c r="O868" s="91"/>
      <x:c r="P868" s="91"/>
      <x:c r="Q868" s="85"/>
      <x:c r="R868" s="85"/>
      <x:c r="S868" s="85"/>
      <x:c r="T868" s="85"/>
      <x:c r="U868" s="85"/>
      <x:c r="V868" s="85"/>
      <x:c r="W868" s="85"/>
      <x:c r="Y868" s="86"/>
      <x:c r="Z868" s="86"/>
      <x:c r="AA868" s="32"/>
    </x:row>
    <x:row r="869">
      <x:c r="A869" s="87"/>
      <x:c r="B869" s="88"/>
      <x:c r="D869" s="32"/>
      <x:c r="I869" s="74"/>
      <x:c r="J869" s="74"/>
      <x:c r="K869" s="74"/>
      <x:c r="L869" s="74"/>
      <x:c r="M869" s="74"/>
      <x:c r="N869" s="74"/>
      <x:c r="O869" s="91"/>
      <x:c r="P869" s="91"/>
      <x:c r="Q869" s="85"/>
      <x:c r="R869" s="85"/>
      <x:c r="S869" s="85"/>
      <x:c r="T869" s="85"/>
      <x:c r="U869" s="85"/>
      <x:c r="V869" s="85"/>
      <x:c r="W869" s="85"/>
      <x:c r="Y869" s="86"/>
      <x:c r="Z869" s="86"/>
      <x:c r="AA869" s="32"/>
    </x:row>
    <x:row r="870">
      <x:c r="A870" s="87"/>
      <x:c r="B870" s="88"/>
      <x:c r="D870" s="32"/>
      <x:c r="I870" s="74"/>
      <x:c r="J870" s="74"/>
      <x:c r="K870" s="74"/>
      <x:c r="L870" s="74"/>
      <x:c r="M870" s="74"/>
      <x:c r="N870" s="74"/>
      <x:c r="O870" s="91"/>
      <x:c r="P870" s="91"/>
      <x:c r="Q870" s="85"/>
      <x:c r="R870" s="85"/>
      <x:c r="S870" s="85"/>
      <x:c r="T870" s="85"/>
      <x:c r="U870" s="85"/>
      <x:c r="V870" s="85"/>
      <x:c r="W870" s="85"/>
      <x:c r="Y870" s="86"/>
      <x:c r="Z870" s="86"/>
      <x:c r="AA870" s="32"/>
    </x:row>
    <x:row r="871">
      <x:c r="A871" s="87"/>
      <x:c r="B871" s="88"/>
      <x:c r="D871" s="32"/>
      <x:c r="I871" s="74"/>
      <x:c r="J871" s="74"/>
      <x:c r="K871" s="74"/>
      <x:c r="L871" s="74"/>
      <x:c r="M871" s="74"/>
      <x:c r="N871" s="74"/>
      <x:c r="O871" s="91"/>
      <x:c r="P871" s="91"/>
      <x:c r="Q871" s="85"/>
      <x:c r="R871" s="85"/>
      <x:c r="S871" s="85"/>
      <x:c r="T871" s="85"/>
      <x:c r="U871" s="85"/>
      <x:c r="V871" s="85"/>
      <x:c r="W871" s="85"/>
      <x:c r="Y871" s="86"/>
      <x:c r="Z871" s="86"/>
      <x:c r="AA871" s="32"/>
    </x:row>
    <x:row r="872">
      <x:c r="A872" s="87"/>
      <x:c r="B872" s="88"/>
      <x:c r="D872" s="32"/>
      <x:c r="I872" s="74"/>
      <x:c r="J872" s="74"/>
      <x:c r="K872" s="74"/>
      <x:c r="L872" s="74"/>
      <x:c r="M872" s="74"/>
      <x:c r="N872" s="74"/>
      <x:c r="O872" s="91"/>
      <x:c r="P872" s="91"/>
      <x:c r="Q872" s="85"/>
      <x:c r="R872" s="85"/>
      <x:c r="S872" s="85"/>
      <x:c r="T872" s="85"/>
      <x:c r="U872" s="85"/>
      <x:c r="V872" s="85"/>
      <x:c r="W872" s="85"/>
      <x:c r="Y872" s="86"/>
      <x:c r="Z872" s="86"/>
      <x:c r="AA872" s="32"/>
    </x:row>
    <x:row r="873">
      <x:c r="A873" s="87"/>
      <x:c r="B873" s="88"/>
      <x:c r="D873" s="32"/>
      <x:c r="I873" s="74"/>
      <x:c r="J873" s="74"/>
      <x:c r="K873" s="74"/>
      <x:c r="L873" s="74"/>
      <x:c r="M873" s="74"/>
      <x:c r="N873" s="74"/>
      <x:c r="O873" s="91"/>
      <x:c r="P873" s="91"/>
      <x:c r="Q873" s="85"/>
      <x:c r="R873" s="85"/>
      <x:c r="S873" s="85"/>
      <x:c r="T873" s="85"/>
      <x:c r="U873" s="85"/>
      <x:c r="V873" s="85"/>
      <x:c r="W873" s="85"/>
      <x:c r="Y873" s="86"/>
      <x:c r="Z873" s="86"/>
      <x:c r="AA873" s="32"/>
    </x:row>
    <x:row r="874">
      <x:c r="A874" s="87"/>
      <x:c r="B874" s="88"/>
      <x:c r="D874" s="32"/>
      <x:c r="I874" s="74"/>
      <x:c r="J874" s="74"/>
      <x:c r="K874" s="74"/>
      <x:c r="L874" s="74"/>
      <x:c r="M874" s="74"/>
      <x:c r="N874" s="74"/>
      <x:c r="O874" s="91"/>
      <x:c r="P874" s="91"/>
      <x:c r="Q874" s="85"/>
      <x:c r="R874" s="85"/>
      <x:c r="S874" s="85"/>
      <x:c r="T874" s="85"/>
      <x:c r="U874" s="85"/>
      <x:c r="V874" s="85"/>
      <x:c r="W874" s="85"/>
      <x:c r="Y874" s="86"/>
      <x:c r="Z874" s="86"/>
      <x:c r="AA874" s="32"/>
    </x:row>
    <x:row r="875">
      <x:c r="A875" s="87"/>
      <x:c r="B875" s="88"/>
      <x:c r="D875" s="32"/>
      <x:c r="I875" s="74"/>
      <x:c r="J875" s="74"/>
      <x:c r="K875" s="74"/>
      <x:c r="L875" s="74"/>
      <x:c r="M875" s="74"/>
      <x:c r="N875" s="74"/>
      <x:c r="O875" s="91"/>
      <x:c r="P875" s="91"/>
      <x:c r="Q875" s="85"/>
      <x:c r="R875" s="85"/>
      <x:c r="S875" s="85"/>
      <x:c r="T875" s="85"/>
      <x:c r="U875" s="85"/>
      <x:c r="V875" s="85"/>
      <x:c r="W875" s="85"/>
      <x:c r="Y875" s="86"/>
      <x:c r="Z875" s="86"/>
      <x:c r="AA875" s="32"/>
    </x:row>
    <x:row r="876">
      <x:c r="A876" s="87"/>
      <x:c r="B876" s="88"/>
      <x:c r="D876" s="32"/>
      <x:c r="I876" s="74"/>
      <x:c r="J876" s="74"/>
      <x:c r="K876" s="74"/>
      <x:c r="L876" s="74"/>
      <x:c r="M876" s="74"/>
      <x:c r="N876" s="74"/>
      <x:c r="O876" s="91"/>
      <x:c r="P876" s="91"/>
      <x:c r="Q876" s="85"/>
      <x:c r="R876" s="85"/>
      <x:c r="S876" s="85"/>
      <x:c r="T876" s="85"/>
      <x:c r="U876" s="85"/>
      <x:c r="V876" s="85"/>
      <x:c r="W876" s="85"/>
      <x:c r="Y876" s="86"/>
      <x:c r="Z876" s="86"/>
      <x:c r="AA876" s="32"/>
    </x:row>
    <x:row r="877">
      <x:c r="A877" s="87"/>
      <x:c r="B877" s="88"/>
      <x:c r="D877" s="32"/>
      <x:c r="I877" s="74"/>
      <x:c r="J877" s="74"/>
      <x:c r="K877" s="74"/>
      <x:c r="L877" s="74"/>
      <x:c r="M877" s="74"/>
      <x:c r="N877" s="74"/>
      <x:c r="O877" s="91"/>
      <x:c r="P877" s="91"/>
      <x:c r="Q877" s="85"/>
      <x:c r="R877" s="85"/>
      <x:c r="S877" s="85"/>
      <x:c r="T877" s="85"/>
      <x:c r="U877" s="85"/>
      <x:c r="V877" s="85"/>
      <x:c r="W877" s="85"/>
      <x:c r="Y877" s="86"/>
      <x:c r="Z877" s="86"/>
      <x:c r="AA877" s="32"/>
    </x:row>
    <x:row r="878">
      <x:c r="A878" s="87"/>
      <x:c r="B878" s="88"/>
      <x:c r="D878" s="32"/>
      <x:c r="I878" s="74"/>
      <x:c r="J878" s="74"/>
      <x:c r="K878" s="74"/>
      <x:c r="L878" s="74"/>
      <x:c r="M878" s="74"/>
      <x:c r="N878" s="74"/>
      <x:c r="O878" s="91"/>
      <x:c r="P878" s="91"/>
      <x:c r="Q878" s="85"/>
      <x:c r="R878" s="85"/>
      <x:c r="S878" s="85"/>
      <x:c r="T878" s="85"/>
      <x:c r="U878" s="85"/>
      <x:c r="V878" s="85"/>
      <x:c r="W878" s="85"/>
      <x:c r="Y878" s="86"/>
      <x:c r="Z878" s="86"/>
      <x:c r="AA878" s="32"/>
    </x:row>
    <x:row r="879">
      <x:c r="A879" s="87"/>
      <x:c r="B879" s="88"/>
      <x:c r="D879" s="32"/>
      <x:c r="I879" s="74"/>
      <x:c r="J879" s="74"/>
      <x:c r="K879" s="74"/>
      <x:c r="L879" s="74"/>
      <x:c r="M879" s="74"/>
      <x:c r="N879" s="74"/>
      <x:c r="O879" s="91"/>
      <x:c r="P879" s="91"/>
      <x:c r="Q879" s="85"/>
      <x:c r="R879" s="85"/>
      <x:c r="S879" s="85"/>
      <x:c r="T879" s="85"/>
      <x:c r="U879" s="85"/>
      <x:c r="V879" s="85"/>
      <x:c r="W879" s="85"/>
      <x:c r="Y879" s="86"/>
      <x:c r="Z879" s="86"/>
      <x:c r="AA879" s="32"/>
    </x:row>
    <x:row r="880">
      <x:c r="A880" s="87"/>
      <x:c r="B880" s="88"/>
      <x:c r="D880" s="32"/>
      <x:c r="I880" s="74"/>
      <x:c r="J880" s="74"/>
      <x:c r="K880" s="74"/>
      <x:c r="L880" s="74"/>
      <x:c r="M880" s="74"/>
      <x:c r="N880" s="74"/>
      <x:c r="O880" s="91"/>
      <x:c r="P880" s="91"/>
      <x:c r="Q880" s="85"/>
      <x:c r="R880" s="85"/>
      <x:c r="S880" s="85"/>
      <x:c r="T880" s="85"/>
      <x:c r="U880" s="85"/>
      <x:c r="V880" s="85"/>
      <x:c r="W880" s="85"/>
      <x:c r="Y880" s="86"/>
      <x:c r="Z880" s="86"/>
      <x:c r="AA880" s="32"/>
    </x:row>
    <x:row r="881">
      <x:c r="A881" s="87"/>
      <x:c r="B881" s="88"/>
      <x:c r="D881" s="32"/>
      <x:c r="I881" s="74"/>
      <x:c r="J881" s="74"/>
      <x:c r="K881" s="74"/>
      <x:c r="L881" s="74"/>
      <x:c r="M881" s="74"/>
      <x:c r="N881" s="74"/>
      <x:c r="O881" s="91"/>
      <x:c r="P881" s="91"/>
      <x:c r="Q881" s="85"/>
      <x:c r="R881" s="85"/>
      <x:c r="S881" s="85"/>
      <x:c r="T881" s="85"/>
      <x:c r="U881" s="85"/>
      <x:c r="V881" s="85"/>
      <x:c r="W881" s="85"/>
      <x:c r="Y881" s="86"/>
      <x:c r="Z881" s="86"/>
      <x:c r="AA881" s="32"/>
    </x:row>
    <x:row r="882">
      <x:c r="A882" s="87"/>
      <x:c r="B882" s="88"/>
      <x:c r="D882" s="32"/>
      <x:c r="I882" s="74"/>
      <x:c r="J882" s="74"/>
      <x:c r="K882" s="74"/>
      <x:c r="L882" s="74"/>
      <x:c r="M882" s="74"/>
      <x:c r="N882" s="74"/>
      <x:c r="O882" s="91"/>
      <x:c r="P882" s="91"/>
      <x:c r="Q882" s="85"/>
      <x:c r="R882" s="85"/>
      <x:c r="S882" s="85"/>
      <x:c r="T882" s="85"/>
      <x:c r="U882" s="85"/>
      <x:c r="V882" s="85"/>
      <x:c r="W882" s="85"/>
      <x:c r="Y882" s="86"/>
      <x:c r="Z882" s="86"/>
      <x:c r="AA882" s="32"/>
    </x:row>
    <x:row r="883">
      <x:c r="A883" s="87"/>
      <x:c r="B883" s="88"/>
      <x:c r="D883" s="32"/>
      <x:c r="I883" s="74"/>
      <x:c r="J883" s="74"/>
      <x:c r="K883" s="74"/>
      <x:c r="L883" s="74"/>
      <x:c r="M883" s="74"/>
      <x:c r="N883" s="74"/>
      <x:c r="O883" s="91"/>
      <x:c r="P883" s="91"/>
      <x:c r="Q883" s="85"/>
      <x:c r="R883" s="85"/>
      <x:c r="S883" s="85"/>
      <x:c r="T883" s="85"/>
      <x:c r="U883" s="85"/>
      <x:c r="V883" s="85"/>
      <x:c r="W883" s="85"/>
      <x:c r="Y883" s="86"/>
      <x:c r="Z883" s="86"/>
      <x:c r="AA883" s="32"/>
    </x:row>
    <x:row r="884">
      <x:c r="A884" s="87"/>
      <x:c r="B884" s="88"/>
      <x:c r="D884" s="32"/>
      <x:c r="I884" s="74"/>
      <x:c r="J884" s="74"/>
      <x:c r="K884" s="74"/>
      <x:c r="L884" s="74"/>
      <x:c r="M884" s="74"/>
      <x:c r="N884" s="74"/>
      <x:c r="O884" s="91"/>
      <x:c r="P884" s="91"/>
      <x:c r="Q884" s="85"/>
      <x:c r="R884" s="85"/>
      <x:c r="S884" s="85"/>
      <x:c r="T884" s="85"/>
      <x:c r="U884" s="85"/>
      <x:c r="V884" s="85"/>
      <x:c r="W884" s="85"/>
      <x:c r="Y884" s="86"/>
      <x:c r="Z884" s="86"/>
      <x:c r="AA884" s="32"/>
    </x:row>
    <x:row r="885">
      <x:c r="A885" s="87"/>
      <x:c r="B885" s="88"/>
      <x:c r="D885" s="32"/>
      <x:c r="I885" s="74"/>
      <x:c r="J885" s="74"/>
      <x:c r="K885" s="74"/>
      <x:c r="L885" s="74"/>
      <x:c r="M885" s="74"/>
      <x:c r="N885" s="74"/>
      <x:c r="O885" s="91"/>
      <x:c r="P885" s="91"/>
      <x:c r="Q885" s="85"/>
      <x:c r="R885" s="85"/>
      <x:c r="S885" s="85"/>
      <x:c r="T885" s="85"/>
      <x:c r="U885" s="85"/>
      <x:c r="V885" s="85"/>
      <x:c r="W885" s="85"/>
      <x:c r="Y885" s="86"/>
      <x:c r="Z885" s="86"/>
      <x:c r="AA885" s="32"/>
    </x:row>
    <x:row r="886">
      <x:c r="A886" s="87"/>
      <x:c r="B886" s="88"/>
      <x:c r="D886" s="32"/>
      <x:c r="I886" s="74"/>
      <x:c r="J886" s="74"/>
      <x:c r="K886" s="74"/>
      <x:c r="L886" s="74"/>
      <x:c r="M886" s="74"/>
      <x:c r="N886" s="74"/>
      <x:c r="O886" s="91"/>
      <x:c r="P886" s="91"/>
      <x:c r="Q886" s="85"/>
      <x:c r="R886" s="85"/>
      <x:c r="S886" s="85"/>
      <x:c r="T886" s="85"/>
      <x:c r="U886" s="85"/>
      <x:c r="V886" s="85"/>
      <x:c r="W886" s="85"/>
      <x:c r="Y886" s="86"/>
      <x:c r="Z886" s="86"/>
      <x:c r="AA886" s="32"/>
    </x:row>
    <x:row r="887">
      <x:c r="A887" s="87"/>
      <x:c r="B887" s="88"/>
      <x:c r="D887" s="32"/>
      <x:c r="I887" s="74"/>
      <x:c r="J887" s="74"/>
      <x:c r="K887" s="74"/>
      <x:c r="L887" s="74"/>
      <x:c r="M887" s="74"/>
      <x:c r="N887" s="74"/>
      <x:c r="O887" s="91"/>
      <x:c r="P887" s="91"/>
      <x:c r="Q887" s="85"/>
      <x:c r="R887" s="85"/>
      <x:c r="S887" s="85"/>
      <x:c r="T887" s="85"/>
      <x:c r="U887" s="85"/>
      <x:c r="V887" s="85"/>
      <x:c r="W887" s="85"/>
      <x:c r="Y887" s="86"/>
      <x:c r="Z887" s="86"/>
      <x:c r="AA887" s="32"/>
    </x:row>
    <x:row r="888">
      <x:c r="A888" s="87"/>
      <x:c r="B888" s="88"/>
      <x:c r="D888" s="32"/>
      <x:c r="I888" s="74"/>
      <x:c r="J888" s="74"/>
      <x:c r="K888" s="74"/>
      <x:c r="L888" s="74"/>
      <x:c r="M888" s="74"/>
      <x:c r="N888" s="74"/>
      <x:c r="O888" s="91"/>
      <x:c r="P888" s="91"/>
      <x:c r="Q888" s="85"/>
      <x:c r="R888" s="85"/>
      <x:c r="S888" s="85"/>
      <x:c r="T888" s="85"/>
      <x:c r="U888" s="85"/>
      <x:c r="V888" s="85"/>
      <x:c r="W888" s="85"/>
      <x:c r="Y888" s="86"/>
      <x:c r="Z888" s="86"/>
      <x:c r="AA888" s="32"/>
    </x:row>
    <x:row r="889">
      <x:c r="A889" s="87"/>
      <x:c r="B889" s="88"/>
      <x:c r="D889" s="32"/>
      <x:c r="I889" s="74"/>
      <x:c r="J889" s="74"/>
      <x:c r="K889" s="74"/>
      <x:c r="L889" s="74"/>
      <x:c r="M889" s="74"/>
      <x:c r="N889" s="74"/>
      <x:c r="O889" s="91"/>
      <x:c r="P889" s="91"/>
      <x:c r="Q889" s="85"/>
      <x:c r="R889" s="85"/>
      <x:c r="S889" s="85"/>
      <x:c r="T889" s="85"/>
      <x:c r="U889" s="85"/>
      <x:c r="V889" s="85"/>
      <x:c r="W889" s="85"/>
      <x:c r="Y889" s="86"/>
      <x:c r="Z889" s="86"/>
      <x:c r="AA889" s="32"/>
    </x:row>
    <x:row r="890">
      <x:c r="A890" s="87"/>
      <x:c r="B890" s="88"/>
      <x:c r="D890" s="32"/>
      <x:c r="I890" s="74"/>
      <x:c r="J890" s="74"/>
      <x:c r="K890" s="74"/>
      <x:c r="L890" s="74"/>
      <x:c r="M890" s="74"/>
      <x:c r="N890" s="74"/>
      <x:c r="O890" s="91"/>
      <x:c r="P890" s="91"/>
      <x:c r="Q890" s="85"/>
      <x:c r="R890" s="85"/>
      <x:c r="S890" s="85"/>
      <x:c r="T890" s="85"/>
      <x:c r="U890" s="85"/>
      <x:c r="V890" s="85"/>
      <x:c r="W890" s="85"/>
      <x:c r="Y890" s="86"/>
      <x:c r="Z890" s="86"/>
      <x:c r="AA890" s="32"/>
    </x:row>
    <x:row r="891">
      <x:c r="A891" s="87"/>
      <x:c r="B891" s="88"/>
      <x:c r="D891" s="32"/>
      <x:c r="I891" s="74"/>
      <x:c r="J891" s="74"/>
      <x:c r="K891" s="74"/>
      <x:c r="L891" s="74"/>
      <x:c r="M891" s="74"/>
      <x:c r="N891" s="74"/>
      <x:c r="O891" s="91"/>
      <x:c r="P891" s="91"/>
      <x:c r="Q891" s="85"/>
      <x:c r="R891" s="85"/>
      <x:c r="S891" s="85"/>
      <x:c r="T891" s="85"/>
      <x:c r="U891" s="85"/>
      <x:c r="V891" s="85"/>
      <x:c r="W891" s="85"/>
      <x:c r="Y891" s="86"/>
      <x:c r="Z891" s="86"/>
      <x:c r="AA891" s="32"/>
    </x:row>
    <x:row r="892">
      <x:c r="A892" s="87"/>
      <x:c r="B892" s="88"/>
      <x:c r="D892" s="32"/>
      <x:c r="I892" s="74"/>
      <x:c r="J892" s="74"/>
      <x:c r="K892" s="74"/>
      <x:c r="L892" s="74"/>
      <x:c r="M892" s="74"/>
      <x:c r="N892" s="74"/>
      <x:c r="O892" s="91"/>
      <x:c r="P892" s="91"/>
      <x:c r="Q892" s="85"/>
      <x:c r="R892" s="85"/>
      <x:c r="S892" s="85"/>
      <x:c r="T892" s="85"/>
      <x:c r="U892" s="85"/>
      <x:c r="V892" s="85"/>
      <x:c r="W892" s="85"/>
      <x:c r="Y892" s="86"/>
      <x:c r="Z892" s="86"/>
      <x:c r="AA892" s="32"/>
    </x:row>
    <x:row r="893">
      <x:c r="A893" s="87"/>
      <x:c r="B893" s="88"/>
      <x:c r="D893" s="32"/>
      <x:c r="I893" s="74"/>
      <x:c r="J893" s="74"/>
      <x:c r="K893" s="74"/>
      <x:c r="L893" s="74"/>
      <x:c r="M893" s="74"/>
      <x:c r="N893" s="74"/>
      <x:c r="O893" s="91"/>
      <x:c r="P893" s="91"/>
      <x:c r="Q893" s="85"/>
      <x:c r="R893" s="85"/>
      <x:c r="S893" s="85"/>
      <x:c r="T893" s="85"/>
      <x:c r="U893" s="85"/>
      <x:c r="V893" s="85"/>
      <x:c r="W893" s="85"/>
      <x:c r="Y893" s="86"/>
      <x:c r="Z893" s="86"/>
      <x:c r="AA893" s="32"/>
    </x:row>
    <x:row r="894">
      <x:c r="A894" s="87"/>
      <x:c r="B894" s="88"/>
      <x:c r="D894" s="32"/>
      <x:c r="I894" s="74"/>
      <x:c r="J894" s="74"/>
      <x:c r="K894" s="74"/>
      <x:c r="L894" s="74"/>
      <x:c r="M894" s="74"/>
      <x:c r="N894" s="74"/>
      <x:c r="O894" s="91"/>
      <x:c r="P894" s="91"/>
      <x:c r="Q894" s="85"/>
      <x:c r="R894" s="85"/>
      <x:c r="S894" s="85"/>
      <x:c r="T894" s="85"/>
      <x:c r="U894" s="85"/>
      <x:c r="V894" s="85"/>
      <x:c r="W894" s="85"/>
      <x:c r="Y894" s="86"/>
      <x:c r="Z894" s="86"/>
      <x:c r="AA894" s="32"/>
    </x:row>
    <x:row r="895">
      <x:c r="A895" s="87"/>
      <x:c r="B895" s="88"/>
      <x:c r="D895" s="32"/>
      <x:c r="I895" s="74"/>
      <x:c r="J895" s="74"/>
      <x:c r="K895" s="74"/>
      <x:c r="L895" s="74"/>
      <x:c r="M895" s="74"/>
      <x:c r="N895" s="74"/>
      <x:c r="O895" s="91"/>
      <x:c r="P895" s="91"/>
      <x:c r="Q895" s="85"/>
      <x:c r="R895" s="85"/>
      <x:c r="S895" s="85"/>
      <x:c r="T895" s="85"/>
      <x:c r="U895" s="85"/>
      <x:c r="V895" s="85"/>
      <x:c r="W895" s="85"/>
      <x:c r="Y895" s="86"/>
      <x:c r="Z895" s="86"/>
      <x:c r="AA895" s="32"/>
    </x:row>
    <x:row r="896">
      <x:c r="A896" s="87"/>
      <x:c r="B896" s="88"/>
      <x:c r="D896" s="32"/>
      <x:c r="I896" s="74"/>
      <x:c r="J896" s="74"/>
      <x:c r="K896" s="74"/>
      <x:c r="L896" s="74"/>
      <x:c r="M896" s="74"/>
      <x:c r="N896" s="74"/>
      <x:c r="O896" s="91"/>
      <x:c r="P896" s="91"/>
      <x:c r="Q896" s="85"/>
      <x:c r="R896" s="85"/>
      <x:c r="S896" s="85"/>
      <x:c r="T896" s="85"/>
      <x:c r="U896" s="85"/>
      <x:c r="V896" s="85"/>
      <x:c r="W896" s="85"/>
      <x:c r="Y896" s="86"/>
      <x:c r="Z896" s="86"/>
      <x:c r="AA896" s="32"/>
    </x:row>
    <x:row r="897">
      <x:c r="A897" s="87"/>
      <x:c r="B897" s="88"/>
      <x:c r="D897" s="32"/>
      <x:c r="I897" s="74"/>
      <x:c r="J897" s="74"/>
      <x:c r="K897" s="74"/>
      <x:c r="L897" s="74"/>
      <x:c r="M897" s="74"/>
      <x:c r="N897" s="74"/>
      <x:c r="O897" s="91"/>
      <x:c r="P897" s="91"/>
      <x:c r="Q897" s="85"/>
      <x:c r="R897" s="85"/>
      <x:c r="S897" s="85"/>
      <x:c r="T897" s="85"/>
      <x:c r="U897" s="85"/>
      <x:c r="V897" s="85"/>
      <x:c r="W897" s="85"/>
      <x:c r="Y897" s="86"/>
      <x:c r="Z897" s="86"/>
      <x:c r="AA897" s="32"/>
    </x:row>
    <x:row r="898">
      <x:c r="A898" s="87"/>
      <x:c r="B898" s="88"/>
      <x:c r="D898" s="32"/>
      <x:c r="I898" s="74"/>
      <x:c r="J898" s="74"/>
      <x:c r="K898" s="74"/>
      <x:c r="L898" s="74"/>
      <x:c r="M898" s="74"/>
      <x:c r="N898" s="74"/>
      <x:c r="O898" s="91"/>
      <x:c r="P898" s="91"/>
      <x:c r="Q898" s="85"/>
      <x:c r="R898" s="85"/>
      <x:c r="S898" s="85"/>
      <x:c r="T898" s="85"/>
      <x:c r="U898" s="85"/>
      <x:c r="V898" s="85"/>
      <x:c r="W898" s="85"/>
      <x:c r="Y898" s="86"/>
      <x:c r="Z898" s="86"/>
      <x:c r="AA898" s="32"/>
    </x:row>
    <x:row r="899">
      <x:c r="A899" s="87"/>
      <x:c r="B899" s="88"/>
      <x:c r="D899" s="32"/>
      <x:c r="I899" s="74"/>
      <x:c r="J899" s="74"/>
      <x:c r="K899" s="74"/>
      <x:c r="L899" s="74"/>
      <x:c r="M899" s="74"/>
      <x:c r="N899" s="74"/>
      <x:c r="O899" s="91"/>
      <x:c r="P899" s="91"/>
      <x:c r="Q899" s="85"/>
      <x:c r="R899" s="85"/>
      <x:c r="S899" s="85"/>
      <x:c r="T899" s="85"/>
      <x:c r="U899" s="85"/>
      <x:c r="V899" s="85"/>
      <x:c r="W899" s="85"/>
      <x:c r="Y899" s="86"/>
      <x:c r="Z899" s="86"/>
      <x:c r="AA899" s="32"/>
    </x:row>
    <x:row r="900">
      <x:c r="A900" s="87"/>
      <x:c r="B900" s="88"/>
      <x:c r="D900" s="32"/>
      <x:c r="I900" s="74"/>
      <x:c r="J900" s="74"/>
      <x:c r="K900" s="74"/>
      <x:c r="L900" s="74"/>
      <x:c r="M900" s="74"/>
      <x:c r="N900" s="74"/>
      <x:c r="O900" s="91"/>
      <x:c r="P900" s="91"/>
      <x:c r="Q900" s="85"/>
      <x:c r="R900" s="85"/>
      <x:c r="S900" s="85"/>
      <x:c r="T900" s="85"/>
      <x:c r="U900" s="85"/>
      <x:c r="V900" s="85"/>
      <x:c r="W900" s="85"/>
      <x:c r="Y900" s="86"/>
      <x:c r="Z900" s="86"/>
      <x:c r="AA900" s="32"/>
    </x:row>
    <x:row r="901">
      <x:c r="A901" s="87"/>
      <x:c r="B901" s="88"/>
      <x:c r="D901" s="32"/>
      <x:c r="I901" s="74"/>
      <x:c r="J901" s="74"/>
      <x:c r="K901" s="74"/>
      <x:c r="L901" s="74"/>
      <x:c r="M901" s="74"/>
      <x:c r="N901" s="74"/>
      <x:c r="O901" s="91"/>
      <x:c r="P901" s="91"/>
      <x:c r="Q901" s="85"/>
      <x:c r="R901" s="85"/>
      <x:c r="S901" s="85"/>
      <x:c r="T901" s="85"/>
      <x:c r="U901" s="85"/>
      <x:c r="V901" s="85"/>
      <x:c r="W901" s="85"/>
      <x:c r="Y901" s="86"/>
      <x:c r="Z901" s="86"/>
      <x:c r="AA901" s="32"/>
    </x:row>
    <x:row r="902">
      <x:c r="A902" s="87"/>
      <x:c r="B902" s="88"/>
      <x:c r="D902" s="32"/>
      <x:c r="I902" s="74"/>
      <x:c r="J902" s="74"/>
      <x:c r="K902" s="74"/>
      <x:c r="L902" s="74"/>
      <x:c r="M902" s="74"/>
      <x:c r="N902" s="74"/>
      <x:c r="O902" s="91"/>
      <x:c r="P902" s="91"/>
      <x:c r="Q902" s="85"/>
      <x:c r="R902" s="85"/>
      <x:c r="S902" s="85"/>
      <x:c r="T902" s="85"/>
      <x:c r="U902" s="85"/>
      <x:c r="V902" s="85"/>
      <x:c r="W902" s="85"/>
      <x:c r="Y902" s="86"/>
      <x:c r="Z902" s="86"/>
      <x:c r="AA902" s="32"/>
    </x:row>
    <x:row r="903">
      <x:c r="A903" s="87"/>
      <x:c r="B903" s="88"/>
      <x:c r="D903" s="32"/>
      <x:c r="I903" s="74"/>
      <x:c r="J903" s="74"/>
      <x:c r="K903" s="74"/>
      <x:c r="L903" s="74"/>
      <x:c r="M903" s="74"/>
      <x:c r="N903" s="74"/>
      <x:c r="O903" s="91"/>
      <x:c r="P903" s="91"/>
      <x:c r="Q903" s="85"/>
      <x:c r="R903" s="85"/>
      <x:c r="S903" s="85"/>
      <x:c r="T903" s="85"/>
      <x:c r="U903" s="85"/>
      <x:c r="V903" s="85"/>
      <x:c r="W903" s="85"/>
      <x:c r="Y903" s="86"/>
      <x:c r="Z903" s="86"/>
      <x:c r="AA903" s="32"/>
    </x:row>
    <x:row r="904">
      <x:c r="A904" s="87"/>
      <x:c r="B904" s="88"/>
      <x:c r="D904" s="32"/>
      <x:c r="I904" s="74"/>
      <x:c r="J904" s="74"/>
      <x:c r="K904" s="74"/>
      <x:c r="L904" s="74"/>
      <x:c r="M904" s="74"/>
      <x:c r="N904" s="74"/>
      <x:c r="O904" s="91"/>
      <x:c r="P904" s="91"/>
      <x:c r="Q904" s="85"/>
      <x:c r="R904" s="85"/>
      <x:c r="S904" s="85"/>
      <x:c r="T904" s="85"/>
      <x:c r="U904" s="85"/>
      <x:c r="V904" s="85"/>
      <x:c r="W904" s="85"/>
      <x:c r="Y904" s="86"/>
      <x:c r="Z904" s="86"/>
      <x:c r="AA904" s="32"/>
    </x:row>
    <x:row r="905">
      <x:c r="A905" s="87"/>
      <x:c r="B905" s="88"/>
      <x:c r="D905" s="32"/>
      <x:c r="I905" s="74"/>
      <x:c r="J905" s="74"/>
      <x:c r="K905" s="74"/>
      <x:c r="L905" s="74"/>
      <x:c r="M905" s="74"/>
      <x:c r="N905" s="74"/>
      <x:c r="O905" s="91"/>
      <x:c r="P905" s="91"/>
      <x:c r="Q905" s="85"/>
      <x:c r="R905" s="85"/>
      <x:c r="S905" s="85"/>
      <x:c r="T905" s="85"/>
      <x:c r="U905" s="85"/>
      <x:c r="V905" s="85"/>
      <x:c r="W905" s="85"/>
      <x:c r="Y905" s="86"/>
      <x:c r="Z905" s="86"/>
      <x:c r="AA905" s="32"/>
    </x:row>
    <x:row r="906">
      <x:c r="A906" s="87"/>
      <x:c r="B906" s="88"/>
      <x:c r="D906" s="32"/>
      <x:c r="I906" s="74"/>
      <x:c r="J906" s="74"/>
      <x:c r="K906" s="74"/>
      <x:c r="L906" s="74"/>
      <x:c r="M906" s="74"/>
      <x:c r="N906" s="74"/>
      <x:c r="O906" s="91"/>
      <x:c r="P906" s="91"/>
      <x:c r="Q906" s="85"/>
      <x:c r="R906" s="85"/>
      <x:c r="S906" s="85"/>
      <x:c r="T906" s="85"/>
      <x:c r="U906" s="85"/>
      <x:c r="V906" s="85"/>
      <x:c r="W906" s="85"/>
      <x:c r="Y906" s="86"/>
      <x:c r="Z906" s="86"/>
      <x:c r="AA906" s="32"/>
    </x:row>
    <x:row r="907">
      <x:c r="A907" s="87"/>
      <x:c r="B907" s="88"/>
      <x:c r="D907" s="32"/>
      <x:c r="I907" s="74"/>
      <x:c r="J907" s="74"/>
      <x:c r="K907" s="74"/>
      <x:c r="L907" s="74"/>
      <x:c r="M907" s="74"/>
      <x:c r="N907" s="74"/>
      <x:c r="O907" s="91"/>
      <x:c r="P907" s="91"/>
      <x:c r="Q907" s="85"/>
      <x:c r="R907" s="85"/>
      <x:c r="S907" s="85"/>
      <x:c r="T907" s="85"/>
      <x:c r="U907" s="85"/>
      <x:c r="V907" s="85"/>
      <x:c r="W907" s="85"/>
      <x:c r="Y907" s="86"/>
      <x:c r="Z907" s="86"/>
      <x:c r="AA907" s="32"/>
    </x:row>
    <x:row r="908">
      <x:c r="A908" s="87"/>
      <x:c r="B908" s="88"/>
      <x:c r="D908" s="32"/>
      <x:c r="I908" s="74"/>
      <x:c r="J908" s="74"/>
      <x:c r="K908" s="74"/>
      <x:c r="L908" s="74"/>
      <x:c r="M908" s="74"/>
      <x:c r="N908" s="74"/>
      <x:c r="O908" s="91"/>
      <x:c r="P908" s="91"/>
      <x:c r="Q908" s="85"/>
      <x:c r="R908" s="85"/>
      <x:c r="S908" s="85"/>
      <x:c r="T908" s="85"/>
      <x:c r="U908" s="85"/>
      <x:c r="V908" s="85"/>
      <x:c r="W908" s="85"/>
      <x:c r="Y908" s="86"/>
      <x:c r="Z908" s="86"/>
      <x:c r="AA908" s="32"/>
    </x:row>
    <x:row r="909">
      <x:c r="A909" s="87"/>
      <x:c r="B909" s="88"/>
      <x:c r="D909" s="32"/>
      <x:c r="I909" s="74"/>
      <x:c r="J909" s="74"/>
      <x:c r="K909" s="74"/>
      <x:c r="L909" s="74"/>
      <x:c r="M909" s="74"/>
      <x:c r="N909" s="74"/>
      <x:c r="O909" s="91"/>
      <x:c r="P909" s="91"/>
      <x:c r="Q909" s="85"/>
      <x:c r="R909" s="85"/>
      <x:c r="S909" s="85"/>
      <x:c r="T909" s="85"/>
      <x:c r="U909" s="85"/>
      <x:c r="V909" s="85"/>
      <x:c r="W909" s="85"/>
      <x:c r="Y909" s="86"/>
      <x:c r="Z909" s="86"/>
      <x:c r="AA909" s="32"/>
    </x:row>
    <x:row r="910">
      <x:c r="A910" s="87"/>
      <x:c r="B910" s="88"/>
      <x:c r="D910" s="32"/>
      <x:c r="I910" s="74"/>
      <x:c r="J910" s="74"/>
      <x:c r="K910" s="74"/>
      <x:c r="L910" s="74"/>
      <x:c r="M910" s="74"/>
      <x:c r="N910" s="74"/>
      <x:c r="O910" s="91"/>
      <x:c r="P910" s="91"/>
      <x:c r="Q910" s="85"/>
      <x:c r="R910" s="85"/>
      <x:c r="S910" s="85"/>
      <x:c r="T910" s="85"/>
      <x:c r="U910" s="85"/>
      <x:c r="V910" s="85"/>
      <x:c r="W910" s="85"/>
      <x:c r="Y910" s="86"/>
      <x:c r="Z910" s="86"/>
      <x:c r="AA910" s="32"/>
    </x:row>
    <x:row r="911">
      <x:c r="A911" s="87"/>
      <x:c r="B911" s="88"/>
      <x:c r="D911" s="32"/>
      <x:c r="I911" s="74"/>
      <x:c r="J911" s="74"/>
      <x:c r="K911" s="74"/>
      <x:c r="L911" s="74"/>
      <x:c r="M911" s="74"/>
      <x:c r="N911" s="74"/>
      <x:c r="O911" s="91"/>
      <x:c r="P911" s="91"/>
      <x:c r="Q911" s="85"/>
      <x:c r="R911" s="85"/>
      <x:c r="S911" s="85"/>
      <x:c r="T911" s="85"/>
      <x:c r="U911" s="85"/>
      <x:c r="V911" s="85"/>
      <x:c r="W911" s="85"/>
      <x:c r="Y911" s="86"/>
      <x:c r="Z911" s="86"/>
      <x:c r="AA911" s="32"/>
    </x:row>
    <x:row r="912">
      <x:c r="A912" s="87"/>
      <x:c r="B912" s="88"/>
      <x:c r="D912" s="32"/>
      <x:c r="I912" s="74"/>
      <x:c r="J912" s="74"/>
      <x:c r="K912" s="74"/>
      <x:c r="L912" s="74"/>
      <x:c r="M912" s="74"/>
      <x:c r="N912" s="74"/>
      <x:c r="O912" s="91"/>
      <x:c r="P912" s="91"/>
      <x:c r="Q912" s="85"/>
      <x:c r="R912" s="85"/>
      <x:c r="S912" s="85"/>
      <x:c r="T912" s="85"/>
      <x:c r="U912" s="85"/>
      <x:c r="V912" s="85"/>
      <x:c r="W912" s="85"/>
      <x:c r="Y912" s="86"/>
      <x:c r="Z912" s="86"/>
      <x:c r="AA912" s="32"/>
    </x:row>
    <x:row r="913">
      <x:c r="A913" s="87"/>
      <x:c r="B913" s="88"/>
      <x:c r="D913" s="32"/>
      <x:c r="I913" s="74"/>
      <x:c r="J913" s="74"/>
      <x:c r="K913" s="74"/>
      <x:c r="L913" s="74"/>
      <x:c r="M913" s="74"/>
      <x:c r="N913" s="74"/>
      <x:c r="O913" s="91"/>
      <x:c r="P913" s="91"/>
      <x:c r="Q913" s="85"/>
      <x:c r="R913" s="85"/>
      <x:c r="S913" s="85"/>
      <x:c r="T913" s="85"/>
      <x:c r="U913" s="85"/>
      <x:c r="V913" s="85"/>
      <x:c r="W913" s="85"/>
      <x:c r="Y913" s="86"/>
      <x:c r="Z913" s="86"/>
      <x:c r="AA913" s="32"/>
    </x:row>
    <x:row r="914">
      <x:c r="A914" s="87"/>
      <x:c r="B914" s="88"/>
      <x:c r="D914" s="32"/>
      <x:c r="I914" s="74"/>
      <x:c r="J914" s="74"/>
      <x:c r="K914" s="74"/>
      <x:c r="L914" s="74"/>
      <x:c r="M914" s="74"/>
      <x:c r="N914" s="74"/>
      <x:c r="O914" s="91"/>
      <x:c r="P914" s="91"/>
      <x:c r="Q914" s="85"/>
      <x:c r="R914" s="85"/>
      <x:c r="S914" s="85"/>
      <x:c r="T914" s="85"/>
      <x:c r="U914" s="85"/>
      <x:c r="V914" s="85"/>
      <x:c r="W914" s="85"/>
      <x:c r="Y914" s="86"/>
      <x:c r="Z914" s="86"/>
      <x:c r="AA914" s="32"/>
    </x:row>
    <x:row r="915">
      <x:c r="A915" s="87"/>
      <x:c r="B915" s="88"/>
      <x:c r="D915" s="32"/>
      <x:c r="I915" s="74"/>
      <x:c r="J915" s="74"/>
      <x:c r="K915" s="74"/>
      <x:c r="L915" s="74"/>
      <x:c r="M915" s="74"/>
      <x:c r="N915" s="74"/>
      <x:c r="O915" s="91"/>
      <x:c r="P915" s="91"/>
      <x:c r="Q915" s="85"/>
      <x:c r="R915" s="85"/>
      <x:c r="S915" s="85"/>
      <x:c r="T915" s="85"/>
      <x:c r="U915" s="85"/>
      <x:c r="V915" s="85"/>
      <x:c r="W915" s="85"/>
      <x:c r="Y915" s="86"/>
      <x:c r="Z915" s="86"/>
      <x:c r="AA915" s="32"/>
    </x:row>
    <x:row r="916">
      <x:c r="A916" s="87"/>
      <x:c r="B916" s="88"/>
      <x:c r="D916" s="32"/>
      <x:c r="I916" s="74"/>
      <x:c r="J916" s="74"/>
      <x:c r="K916" s="74"/>
      <x:c r="L916" s="74"/>
      <x:c r="M916" s="74"/>
      <x:c r="N916" s="74"/>
      <x:c r="O916" s="91"/>
      <x:c r="P916" s="91"/>
      <x:c r="Q916" s="85"/>
      <x:c r="R916" s="85"/>
      <x:c r="S916" s="85"/>
      <x:c r="T916" s="85"/>
      <x:c r="U916" s="85"/>
      <x:c r="V916" s="85"/>
      <x:c r="W916" s="85"/>
      <x:c r="Y916" s="86"/>
      <x:c r="Z916" s="86"/>
      <x:c r="AA916" s="32"/>
    </x:row>
    <x:row r="917">
      <x:c r="A917" s="87"/>
      <x:c r="B917" s="88"/>
      <x:c r="D917" s="32"/>
      <x:c r="I917" s="74"/>
      <x:c r="J917" s="74"/>
      <x:c r="K917" s="74"/>
      <x:c r="L917" s="74"/>
      <x:c r="M917" s="74"/>
      <x:c r="N917" s="74"/>
      <x:c r="O917" s="91"/>
      <x:c r="P917" s="91"/>
      <x:c r="Q917" s="85"/>
      <x:c r="R917" s="85"/>
      <x:c r="S917" s="85"/>
      <x:c r="T917" s="85"/>
      <x:c r="U917" s="85"/>
      <x:c r="V917" s="85"/>
      <x:c r="W917" s="85"/>
      <x:c r="Y917" s="86"/>
      <x:c r="Z917" s="86"/>
      <x:c r="AA917" s="32"/>
    </x:row>
    <x:row r="918">
      <x:c r="A918" s="87"/>
      <x:c r="B918" s="88"/>
      <x:c r="D918" s="32"/>
      <x:c r="I918" s="74"/>
      <x:c r="J918" s="74"/>
      <x:c r="K918" s="74"/>
      <x:c r="L918" s="74"/>
      <x:c r="M918" s="74"/>
      <x:c r="N918" s="74"/>
      <x:c r="O918" s="91"/>
      <x:c r="P918" s="91"/>
      <x:c r="Q918" s="85"/>
      <x:c r="R918" s="85"/>
      <x:c r="S918" s="85"/>
      <x:c r="T918" s="85"/>
      <x:c r="U918" s="85"/>
      <x:c r="V918" s="85"/>
      <x:c r="W918" s="85"/>
      <x:c r="Y918" s="86"/>
      <x:c r="Z918" s="86"/>
      <x:c r="AA918" s="32"/>
    </x:row>
    <x:row r="919">
      <x:c r="A919" s="87"/>
      <x:c r="B919" s="88"/>
      <x:c r="D919" s="32"/>
      <x:c r="I919" s="74"/>
      <x:c r="J919" s="74"/>
      <x:c r="K919" s="74"/>
      <x:c r="L919" s="74"/>
      <x:c r="M919" s="74"/>
      <x:c r="N919" s="74"/>
      <x:c r="O919" s="91"/>
      <x:c r="P919" s="91"/>
      <x:c r="Q919" s="85"/>
      <x:c r="R919" s="85"/>
      <x:c r="S919" s="85"/>
      <x:c r="T919" s="85"/>
      <x:c r="U919" s="85"/>
      <x:c r="V919" s="85"/>
      <x:c r="W919" s="85"/>
      <x:c r="Y919" s="86"/>
      <x:c r="Z919" s="86"/>
      <x:c r="AA919" s="32"/>
    </x:row>
    <x:row r="920">
      <x:c r="A920" s="87"/>
      <x:c r="B920" s="88"/>
      <x:c r="D920" s="32"/>
      <x:c r="I920" s="74"/>
      <x:c r="J920" s="74"/>
      <x:c r="K920" s="74"/>
      <x:c r="L920" s="74"/>
      <x:c r="M920" s="74"/>
      <x:c r="N920" s="74"/>
      <x:c r="O920" s="91"/>
      <x:c r="P920" s="91"/>
      <x:c r="Q920" s="85"/>
      <x:c r="R920" s="85"/>
      <x:c r="S920" s="85"/>
      <x:c r="T920" s="85"/>
      <x:c r="U920" s="85"/>
      <x:c r="V920" s="85"/>
      <x:c r="W920" s="85"/>
      <x:c r="Y920" s="86"/>
      <x:c r="Z920" s="86"/>
      <x:c r="AA920" s="32"/>
    </x:row>
    <x:row r="921">
      <x:c r="A921" s="87"/>
      <x:c r="B921" s="88"/>
      <x:c r="D921" s="32"/>
      <x:c r="I921" s="74"/>
      <x:c r="J921" s="74"/>
      <x:c r="K921" s="74"/>
      <x:c r="L921" s="74"/>
      <x:c r="M921" s="74"/>
      <x:c r="N921" s="74"/>
      <x:c r="O921" s="91"/>
      <x:c r="P921" s="91"/>
      <x:c r="Q921" s="85"/>
      <x:c r="R921" s="85"/>
      <x:c r="S921" s="85"/>
      <x:c r="T921" s="85"/>
      <x:c r="U921" s="85"/>
      <x:c r="V921" s="85"/>
      <x:c r="W921" s="85"/>
      <x:c r="Y921" s="86"/>
      <x:c r="Z921" s="86"/>
      <x:c r="AA921" s="32"/>
    </x:row>
    <x:row r="922">
      <x:c r="A922" s="87"/>
      <x:c r="B922" s="88"/>
      <x:c r="D922" s="32"/>
      <x:c r="I922" s="74"/>
      <x:c r="J922" s="74"/>
      <x:c r="K922" s="74"/>
      <x:c r="L922" s="74"/>
      <x:c r="M922" s="74"/>
      <x:c r="N922" s="74"/>
      <x:c r="O922" s="91"/>
      <x:c r="P922" s="91"/>
      <x:c r="Q922" s="85"/>
      <x:c r="R922" s="85"/>
      <x:c r="S922" s="85"/>
      <x:c r="T922" s="85"/>
      <x:c r="U922" s="85"/>
      <x:c r="V922" s="85"/>
      <x:c r="W922" s="85"/>
      <x:c r="Y922" s="86"/>
      <x:c r="Z922" s="86"/>
      <x:c r="AA922" s="32"/>
    </x:row>
    <x:row r="923">
      <x:c r="A923" s="87"/>
      <x:c r="B923" s="88"/>
      <x:c r="D923" s="32"/>
      <x:c r="I923" s="74"/>
      <x:c r="J923" s="74"/>
      <x:c r="K923" s="74"/>
      <x:c r="L923" s="74"/>
      <x:c r="M923" s="74"/>
      <x:c r="N923" s="74"/>
      <x:c r="O923" s="91"/>
      <x:c r="P923" s="91"/>
      <x:c r="Q923" s="85"/>
      <x:c r="R923" s="85"/>
      <x:c r="S923" s="85"/>
      <x:c r="T923" s="85"/>
      <x:c r="U923" s="85"/>
      <x:c r="V923" s="85"/>
      <x:c r="W923" s="85"/>
      <x:c r="Y923" s="86"/>
      <x:c r="Z923" s="86"/>
      <x:c r="AA923" s="32"/>
    </x:row>
    <x:row r="924">
      <x:c r="A924" s="87"/>
      <x:c r="B924" s="88"/>
      <x:c r="D924" s="32"/>
      <x:c r="I924" s="74"/>
      <x:c r="J924" s="74"/>
      <x:c r="K924" s="74"/>
      <x:c r="L924" s="74"/>
      <x:c r="M924" s="74"/>
      <x:c r="N924" s="74"/>
      <x:c r="O924" s="91"/>
      <x:c r="P924" s="91"/>
      <x:c r="Q924" s="85"/>
      <x:c r="R924" s="85"/>
      <x:c r="S924" s="85"/>
      <x:c r="T924" s="85"/>
      <x:c r="U924" s="85"/>
      <x:c r="V924" s="85"/>
      <x:c r="W924" s="85"/>
      <x:c r="Y924" s="86"/>
      <x:c r="Z924" s="86"/>
      <x:c r="AA924" s="32"/>
    </x:row>
    <x:row r="925">
      <x:c r="A925" s="87"/>
      <x:c r="B925" s="88"/>
      <x:c r="D925" s="32"/>
      <x:c r="I925" s="74"/>
      <x:c r="J925" s="74"/>
      <x:c r="K925" s="74"/>
      <x:c r="L925" s="74"/>
      <x:c r="M925" s="74"/>
      <x:c r="N925" s="74"/>
      <x:c r="O925" s="91"/>
      <x:c r="P925" s="91"/>
      <x:c r="Q925" s="85"/>
      <x:c r="R925" s="85"/>
      <x:c r="S925" s="85"/>
      <x:c r="T925" s="85"/>
      <x:c r="U925" s="85"/>
      <x:c r="V925" s="85"/>
      <x:c r="W925" s="85"/>
      <x:c r="Y925" s="86"/>
      <x:c r="Z925" s="86"/>
      <x:c r="AA925" s="32"/>
    </x:row>
    <x:row r="926">
      <x:c r="A926" s="87"/>
      <x:c r="B926" s="88"/>
      <x:c r="D926" s="32"/>
      <x:c r="I926" s="74"/>
      <x:c r="J926" s="74"/>
      <x:c r="K926" s="74"/>
      <x:c r="L926" s="74"/>
      <x:c r="M926" s="74"/>
      <x:c r="N926" s="74"/>
      <x:c r="O926" s="91"/>
      <x:c r="P926" s="91"/>
      <x:c r="Q926" s="85"/>
      <x:c r="R926" s="85"/>
      <x:c r="S926" s="85"/>
      <x:c r="T926" s="85"/>
      <x:c r="U926" s="85"/>
      <x:c r="V926" s="85"/>
      <x:c r="W926" s="85"/>
      <x:c r="Y926" s="86"/>
      <x:c r="Z926" s="86"/>
      <x:c r="AA926" s="32"/>
    </x:row>
    <x:row r="927">
      <x:c r="A927" s="87"/>
      <x:c r="B927" s="88"/>
      <x:c r="D927" s="32"/>
      <x:c r="I927" s="74"/>
      <x:c r="J927" s="74"/>
      <x:c r="K927" s="74"/>
      <x:c r="L927" s="74"/>
      <x:c r="M927" s="74"/>
      <x:c r="N927" s="74"/>
      <x:c r="O927" s="91"/>
      <x:c r="P927" s="91"/>
      <x:c r="Q927" s="85"/>
      <x:c r="R927" s="85"/>
      <x:c r="S927" s="85"/>
      <x:c r="T927" s="85"/>
      <x:c r="U927" s="85"/>
      <x:c r="V927" s="85"/>
      <x:c r="W927" s="85"/>
      <x:c r="Y927" s="86"/>
      <x:c r="Z927" s="86"/>
      <x:c r="AA927" s="32"/>
    </x:row>
    <x:row r="928">
      <x:c r="A928" s="87"/>
      <x:c r="B928" s="88"/>
      <x:c r="D928" s="32"/>
      <x:c r="I928" s="74"/>
      <x:c r="J928" s="74"/>
      <x:c r="K928" s="74"/>
      <x:c r="L928" s="74"/>
      <x:c r="M928" s="74"/>
      <x:c r="N928" s="74"/>
      <x:c r="O928" s="91"/>
      <x:c r="P928" s="91"/>
      <x:c r="Q928" s="85"/>
      <x:c r="R928" s="85"/>
      <x:c r="S928" s="85"/>
      <x:c r="T928" s="85"/>
      <x:c r="U928" s="85"/>
      <x:c r="V928" s="85"/>
      <x:c r="W928" s="85"/>
      <x:c r="Y928" s="86"/>
      <x:c r="Z928" s="86"/>
      <x:c r="AA928" s="32"/>
    </x:row>
    <x:row r="929">
      <x:c r="A929" s="87"/>
      <x:c r="B929" s="88"/>
      <x:c r="D929" s="32"/>
      <x:c r="I929" s="74"/>
      <x:c r="J929" s="74"/>
      <x:c r="K929" s="74"/>
      <x:c r="L929" s="74"/>
      <x:c r="M929" s="74"/>
      <x:c r="N929" s="74"/>
      <x:c r="O929" s="91"/>
      <x:c r="P929" s="91"/>
      <x:c r="Q929" s="85"/>
      <x:c r="R929" s="85"/>
      <x:c r="S929" s="85"/>
      <x:c r="T929" s="85"/>
      <x:c r="U929" s="85"/>
      <x:c r="V929" s="85"/>
      <x:c r="W929" s="85"/>
      <x:c r="Y929" s="86"/>
      <x:c r="Z929" s="86"/>
      <x:c r="AA929" s="32"/>
    </x:row>
    <x:row r="930">
      <x:c r="A930" s="87"/>
      <x:c r="B930" s="88"/>
      <x:c r="D930" s="32"/>
      <x:c r="I930" s="74"/>
      <x:c r="J930" s="74"/>
      <x:c r="K930" s="74"/>
      <x:c r="L930" s="74"/>
      <x:c r="M930" s="74"/>
      <x:c r="N930" s="74"/>
      <x:c r="O930" s="91"/>
      <x:c r="P930" s="91"/>
      <x:c r="Q930" s="85"/>
      <x:c r="R930" s="85"/>
      <x:c r="S930" s="85"/>
      <x:c r="T930" s="85"/>
      <x:c r="U930" s="85"/>
      <x:c r="V930" s="85"/>
      <x:c r="W930" s="85"/>
      <x:c r="Y930" s="86"/>
      <x:c r="Z930" s="86"/>
      <x:c r="AA930" s="32"/>
    </x:row>
    <x:row r="931">
      <x:c r="A931" s="87"/>
      <x:c r="B931" s="88"/>
      <x:c r="D931" s="32"/>
      <x:c r="I931" s="74"/>
      <x:c r="J931" s="74"/>
      <x:c r="K931" s="74"/>
      <x:c r="L931" s="74"/>
      <x:c r="M931" s="74"/>
      <x:c r="N931" s="74"/>
      <x:c r="O931" s="91"/>
      <x:c r="P931" s="91"/>
      <x:c r="Q931" s="85"/>
      <x:c r="R931" s="85"/>
      <x:c r="S931" s="85"/>
      <x:c r="T931" s="85"/>
      <x:c r="U931" s="85"/>
      <x:c r="V931" s="85"/>
      <x:c r="W931" s="85"/>
      <x:c r="Y931" s="86"/>
      <x:c r="Z931" s="86"/>
      <x:c r="AA931" s="32"/>
    </x:row>
    <x:row r="932">
      <x:c r="A932" s="87"/>
      <x:c r="B932" s="88"/>
      <x:c r="D932" s="32"/>
      <x:c r="I932" s="74"/>
      <x:c r="J932" s="74"/>
      <x:c r="K932" s="74"/>
      <x:c r="L932" s="74"/>
      <x:c r="M932" s="74"/>
      <x:c r="N932" s="74"/>
      <x:c r="O932" s="91"/>
      <x:c r="P932" s="91"/>
      <x:c r="Q932" s="85"/>
      <x:c r="R932" s="85"/>
      <x:c r="S932" s="85"/>
      <x:c r="T932" s="85"/>
      <x:c r="U932" s="85"/>
      <x:c r="V932" s="85"/>
      <x:c r="W932" s="85"/>
      <x:c r="Y932" s="86"/>
      <x:c r="Z932" s="86"/>
      <x:c r="AA932" s="32"/>
    </x:row>
    <x:row r="933">
      <x:c r="A933" s="87"/>
      <x:c r="B933" s="88"/>
      <x:c r="D933" s="32"/>
      <x:c r="I933" s="74"/>
      <x:c r="J933" s="74"/>
      <x:c r="K933" s="74"/>
      <x:c r="L933" s="74"/>
      <x:c r="M933" s="74"/>
      <x:c r="N933" s="74"/>
      <x:c r="O933" s="91"/>
      <x:c r="P933" s="91"/>
      <x:c r="Q933" s="85"/>
      <x:c r="R933" s="85"/>
      <x:c r="S933" s="85"/>
      <x:c r="T933" s="85"/>
      <x:c r="U933" s="85"/>
      <x:c r="V933" s="85"/>
      <x:c r="W933" s="85"/>
      <x:c r="Y933" s="86"/>
      <x:c r="Z933" s="86"/>
      <x:c r="AA933" s="32"/>
    </x:row>
    <x:row r="934">
      <x:c r="A934" s="87"/>
      <x:c r="B934" s="88"/>
      <x:c r="D934" s="32"/>
      <x:c r="I934" s="74"/>
      <x:c r="J934" s="74"/>
      <x:c r="K934" s="74"/>
      <x:c r="L934" s="74"/>
      <x:c r="M934" s="74"/>
      <x:c r="N934" s="74"/>
      <x:c r="O934" s="91"/>
      <x:c r="P934" s="91"/>
      <x:c r="Q934" s="85"/>
      <x:c r="R934" s="85"/>
      <x:c r="S934" s="85"/>
      <x:c r="T934" s="85"/>
      <x:c r="U934" s="85"/>
      <x:c r="V934" s="85"/>
      <x:c r="W934" s="85"/>
      <x:c r="Y934" s="86"/>
      <x:c r="Z934" s="86"/>
      <x:c r="AA934" s="32"/>
    </x:row>
    <x:row r="935">
      <x:c r="A935" s="87"/>
      <x:c r="B935" s="88"/>
      <x:c r="D935" s="32"/>
      <x:c r="I935" s="74"/>
      <x:c r="J935" s="74"/>
      <x:c r="K935" s="74"/>
      <x:c r="L935" s="74"/>
      <x:c r="M935" s="74"/>
      <x:c r="N935" s="74"/>
      <x:c r="O935" s="91"/>
      <x:c r="P935" s="91"/>
      <x:c r="Q935" s="85"/>
      <x:c r="R935" s="85"/>
      <x:c r="S935" s="85"/>
      <x:c r="T935" s="85"/>
      <x:c r="U935" s="85"/>
      <x:c r="V935" s="85"/>
      <x:c r="W935" s="85"/>
      <x:c r="Y935" s="86"/>
      <x:c r="Z935" s="86"/>
      <x:c r="AA935" s="32"/>
    </x:row>
    <x:row r="936">
      <x:c r="A936" s="87"/>
      <x:c r="B936" s="88"/>
      <x:c r="D936" s="32"/>
      <x:c r="I936" s="74"/>
      <x:c r="J936" s="74"/>
      <x:c r="K936" s="74"/>
      <x:c r="L936" s="74"/>
      <x:c r="M936" s="74"/>
      <x:c r="N936" s="74"/>
      <x:c r="O936" s="91"/>
      <x:c r="P936" s="91"/>
      <x:c r="Q936" s="85"/>
      <x:c r="R936" s="85"/>
      <x:c r="S936" s="85"/>
      <x:c r="T936" s="85"/>
      <x:c r="U936" s="85"/>
      <x:c r="V936" s="85"/>
      <x:c r="W936" s="85"/>
      <x:c r="Y936" s="86"/>
      <x:c r="Z936" s="86"/>
      <x:c r="AA936" s="32"/>
    </x:row>
    <x:row r="937">
      <x:c r="A937" s="87"/>
      <x:c r="B937" s="88"/>
      <x:c r="D937" s="32"/>
      <x:c r="I937" s="74"/>
      <x:c r="J937" s="74"/>
      <x:c r="K937" s="74"/>
      <x:c r="L937" s="74"/>
      <x:c r="M937" s="74"/>
      <x:c r="N937" s="74"/>
      <x:c r="O937" s="91"/>
      <x:c r="P937" s="91"/>
      <x:c r="Q937" s="85"/>
      <x:c r="R937" s="85"/>
      <x:c r="S937" s="85"/>
      <x:c r="T937" s="85"/>
      <x:c r="U937" s="85"/>
      <x:c r="V937" s="85"/>
      <x:c r="W937" s="85"/>
      <x:c r="Y937" s="86"/>
      <x:c r="Z937" s="86"/>
      <x:c r="AA937" s="32"/>
    </x:row>
    <x:row r="938">
      <x:c r="A938" s="87"/>
      <x:c r="B938" s="88"/>
      <x:c r="D938" s="32"/>
      <x:c r="I938" s="74"/>
      <x:c r="J938" s="74"/>
      <x:c r="K938" s="74"/>
      <x:c r="L938" s="74"/>
      <x:c r="M938" s="74"/>
      <x:c r="N938" s="74"/>
      <x:c r="O938" s="91"/>
      <x:c r="P938" s="91"/>
      <x:c r="Q938" s="85"/>
      <x:c r="R938" s="85"/>
      <x:c r="S938" s="85"/>
      <x:c r="T938" s="85"/>
      <x:c r="U938" s="85"/>
      <x:c r="V938" s="85"/>
      <x:c r="W938" s="85"/>
      <x:c r="Y938" s="86"/>
      <x:c r="Z938" s="86"/>
      <x:c r="AA938" s="32"/>
    </x:row>
    <x:row r="939">
      <x:c r="A939" s="87"/>
      <x:c r="B939" s="88"/>
      <x:c r="D939" s="32"/>
      <x:c r="I939" s="74"/>
      <x:c r="J939" s="74"/>
      <x:c r="K939" s="74"/>
      <x:c r="L939" s="74"/>
      <x:c r="M939" s="74"/>
      <x:c r="N939" s="74"/>
      <x:c r="O939" s="91"/>
      <x:c r="P939" s="91"/>
      <x:c r="Q939" s="85"/>
      <x:c r="R939" s="85"/>
      <x:c r="S939" s="85"/>
      <x:c r="T939" s="85"/>
      <x:c r="U939" s="85"/>
      <x:c r="V939" s="85"/>
      <x:c r="W939" s="85"/>
      <x:c r="Y939" s="86"/>
      <x:c r="Z939" s="86"/>
      <x:c r="AA939" s="32"/>
    </x:row>
    <x:row r="940">
      <x:c r="A940" s="87"/>
      <x:c r="B940" s="88"/>
      <x:c r="D940" s="32"/>
      <x:c r="I940" s="74"/>
      <x:c r="J940" s="74"/>
      <x:c r="K940" s="74"/>
      <x:c r="L940" s="74"/>
      <x:c r="M940" s="74"/>
      <x:c r="N940" s="74"/>
      <x:c r="O940" s="91"/>
      <x:c r="P940" s="91"/>
      <x:c r="Q940" s="85"/>
      <x:c r="R940" s="85"/>
      <x:c r="S940" s="85"/>
      <x:c r="T940" s="85"/>
      <x:c r="U940" s="85"/>
      <x:c r="V940" s="85"/>
      <x:c r="W940" s="85"/>
      <x:c r="Y940" s="86"/>
      <x:c r="Z940" s="86"/>
      <x:c r="AA940" s="32"/>
    </x:row>
    <x:row r="941">
      <x:c r="A941" s="87"/>
      <x:c r="B941" s="88"/>
      <x:c r="D941" s="32"/>
      <x:c r="I941" s="74"/>
      <x:c r="J941" s="74"/>
      <x:c r="K941" s="74"/>
      <x:c r="L941" s="74"/>
      <x:c r="M941" s="74"/>
      <x:c r="N941" s="74"/>
      <x:c r="O941" s="91"/>
      <x:c r="P941" s="91"/>
      <x:c r="Q941" s="85"/>
      <x:c r="R941" s="85"/>
      <x:c r="S941" s="85"/>
      <x:c r="T941" s="85"/>
      <x:c r="U941" s="85"/>
      <x:c r="V941" s="85"/>
      <x:c r="W941" s="85"/>
      <x:c r="Y941" s="86"/>
      <x:c r="Z941" s="86"/>
      <x:c r="AA941" s="32"/>
    </x:row>
    <x:row r="942">
      <x:c r="A942" s="87"/>
      <x:c r="B942" s="88"/>
      <x:c r="D942" s="32"/>
      <x:c r="I942" s="74"/>
      <x:c r="J942" s="74"/>
      <x:c r="K942" s="74"/>
      <x:c r="L942" s="74"/>
      <x:c r="M942" s="74"/>
      <x:c r="N942" s="74"/>
      <x:c r="O942" s="91"/>
      <x:c r="P942" s="91"/>
      <x:c r="Q942" s="85"/>
      <x:c r="R942" s="85"/>
      <x:c r="S942" s="85"/>
      <x:c r="T942" s="85"/>
      <x:c r="U942" s="85"/>
      <x:c r="V942" s="85"/>
      <x:c r="W942" s="85"/>
      <x:c r="Y942" s="86"/>
      <x:c r="Z942" s="86"/>
      <x:c r="AA942" s="32"/>
    </x:row>
    <x:row r="943">
      <x:c r="A943" s="87"/>
      <x:c r="B943" s="88"/>
      <x:c r="D943" s="32"/>
      <x:c r="I943" s="74"/>
      <x:c r="J943" s="74"/>
      <x:c r="K943" s="74"/>
      <x:c r="L943" s="74"/>
      <x:c r="M943" s="74"/>
      <x:c r="N943" s="74"/>
      <x:c r="O943" s="91"/>
      <x:c r="P943" s="91"/>
      <x:c r="Q943" s="85"/>
      <x:c r="R943" s="85"/>
      <x:c r="S943" s="85"/>
      <x:c r="T943" s="85"/>
      <x:c r="U943" s="85"/>
      <x:c r="V943" s="85"/>
      <x:c r="W943" s="85"/>
      <x:c r="Y943" s="86"/>
      <x:c r="Z943" s="86"/>
      <x:c r="AA943" s="32"/>
    </x:row>
    <x:row r="944">
      <x:c r="A944" s="87"/>
      <x:c r="B944" s="88"/>
      <x:c r="D944" s="32"/>
      <x:c r="I944" s="74"/>
      <x:c r="J944" s="74"/>
      <x:c r="K944" s="74"/>
      <x:c r="L944" s="74"/>
      <x:c r="M944" s="74"/>
      <x:c r="N944" s="74"/>
      <x:c r="O944" s="91"/>
      <x:c r="P944" s="91"/>
      <x:c r="Q944" s="85"/>
      <x:c r="R944" s="85"/>
      <x:c r="S944" s="85"/>
      <x:c r="T944" s="85"/>
      <x:c r="U944" s="85"/>
      <x:c r="V944" s="85"/>
      <x:c r="W944" s="85"/>
      <x:c r="Y944" s="86"/>
      <x:c r="Z944" s="86"/>
      <x:c r="AA944" s="32"/>
    </x:row>
    <x:row r="945">
      <x:c r="A945" s="87"/>
      <x:c r="B945" s="88"/>
      <x:c r="D945" s="32"/>
      <x:c r="I945" s="74"/>
      <x:c r="J945" s="74"/>
      <x:c r="K945" s="74"/>
      <x:c r="L945" s="74"/>
      <x:c r="M945" s="74"/>
      <x:c r="N945" s="74"/>
      <x:c r="O945" s="91"/>
      <x:c r="P945" s="91"/>
      <x:c r="Q945" s="85"/>
      <x:c r="R945" s="85"/>
      <x:c r="S945" s="85"/>
      <x:c r="T945" s="85"/>
      <x:c r="U945" s="85"/>
      <x:c r="V945" s="85"/>
      <x:c r="W945" s="85"/>
      <x:c r="Y945" s="86"/>
      <x:c r="Z945" s="86"/>
      <x:c r="AA945" s="32"/>
    </x:row>
    <x:row r="946">
      <x:c r="A946" s="87"/>
      <x:c r="B946" s="88"/>
      <x:c r="D946" s="32"/>
      <x:c r="I946" s="74"/>
      <x:c r="J946" s="74"/>
      <x:c r="K946" s="74"/>
      <x:c r="L946" s="74"/>
      <x:c r="M946" s="74"/>
      <x:c r="N946" s="74"/>
      <x:c r="O946" s="91"/>
      <x:c r="P946" s="91"/>
      <x:c r="Q946" s="85"/>
      <x:c r="R946" s="85"/>
      <x:c r="S946" s="85"/>
      <x:c r="T946" s="85"/>
      <x:c r="U946" s="85"/>
      <x:c r="V946" s="85"/>
      <x:c r="W946" s="85"/>
      <x:c r="Y946" s="86"/>
      <x:c r="Z946" s="86"/>
      <x:c r="AA946" s="32"/>
    </x:row>
    <x:row r="947">
      <x:c r="A947" s="87"/>
      <x:c r="B947" s="88"/>
      <x:c r="D947" s="32"/>
      <x:c r="I947" s="74"/>
      <x:c r="J947" s="74"/>
      <x:c r="K947" s="74"/>
      <x:c r="L947" s="74"/>
      <x:c r="M947" s="74"/>
      <x:c r="N947" s="74"/>
      <x:c r="O947" s="91"/>
      <x:c r="P947" s="91"/>
      <x:c r="Q947" s="85"/>
      <x:c r="R947" s="85"/>
      <x:c r="S947" s="85"/>
      <x:c r="T947" s="85"/>
      <x:c r="U947" s="85"/>
      <x:c r="V947" s="85"/>
      <x:c r="W947" s="85"/>
      <x:c r="Y947" s="86"/>
      <x:c r="Z947" s="86"/>
      <x:c r="AA947" s="32"/>
    </x:row>
    <x:row r="948">
      <x:c r="A948" s="87"/>
      <x:c r="B948" s="88"/>
      <x:c r="D948" s="32"/>
      <x:c r="I948" s="74"/>
      <x:c r="J948" s="74"/>
      <x:c r="K948" s="74"/>
      <x:c r="L948" s="74"/>
      <x:c r="M948" s="74"/>
      <x:c r="N948" s="74"/>
      <x:c r="O948" s="91"/>
      <x:c r="P948" s="91"/>
      <x:c r="Q948" s="85"/>
      <x:c r="R948" s="85"/>
      <x:c r="S948" s="85"/>
      <x:c r="T948" s="85"/>
      <x:c r="U948" s="85"/>
      <x:c r="V948" s="85"/>
      <x:c r="W948" s="85"/>
      <x:c r="Y948" s="86"/>
      <x:c r="Z948" s="86"/>
      <x:c r="AA948" s="32"/>
    </x:row>
    <x:row r="949">
      <x:c r="A949" s="87"/>
      <x:c r="B949" s="88"/>
      <x:c r="D949" s="32"/>
      <x:c r="I949" s="74"/>
      <x:c r="J949" s="74"/>
      <x:c r="K949" s="74"/>
      <x:c r="L949" s="74"/>
      <x:c r="M949" s="74"/>
      <x:c r="N949" s="74"/>
      <x:c r="O949" s="91"/>
      <x:c r="P949" s="91"/>
      <x:c r="Q949" s="85"/>
      <x:c r="R949" s="85"/>
      <x:c r="S949" s="85"/>
      <x:c r="T949" s="85"/>
      <x:c r="U949" s="85"/>
      <x:c r="V949" s="85"/>
      <x:c r="W949" s="85"/>
      <x:c r="Y949" s="86"/>
      <x:c r="Z949" s="86"/>
      <x:c r="AA949" s="32"/>
    </x:row>
    <x:row r="950">
      <x:c r="A950" s="87"/>
      <x:c r="B950" s="88"/>
      <x:c r="D950" s="32"/>
      <x:c r="I950" s="74"/>
      <x:c r="J950" s="74"/>
      <x:c r="K950" s="74"/>
      <x:c r="L950" s="74"/>
      <x:c r="M950" s="74"/>
      <x:c r="N950" s="74"/>
      <x:c r="O950" s="91"/>
      <x:c r="P950" s="91"/>
      <x:c r="Q950" s="85"/>
      <x:c r="R950" s="85"/>
      <x:c r="S950" s="85"/>
      <x:c r="T950" s="85"/>
      <x:c r="U950" s="85"/>
      <x:c r="V950" s="85"/>
      <x:c r="W950" s="85"/>
      <x:c r="Y950" s="86"/>
      <x:c r="Z950" s="86"/>
      <x:c r="AA950" s="32"/>
    </x:row>
    <x:row r="951">
      <x:c r="A951" s="87"/>
      <x:c r="B951" s="88"/>
      <x:c r="D951" s="32"/>
      <x:c r="I951" s="74"/>
      <x:c r="J951" s="74"/>
      <x:c r="K951" s="74"/>
      <x:c r="L951" s="74"/>
      <x:c r="M951" s="74"/>
      <x:c r="N951" s="74"/>
      <x:c r="O951" s="91"/>
      <x:c r="P951" s="91"/>
      <x:c r="Q951" s="85"/>
      <x:c r="R951" s="85"/>
      <x:c r="S951" s="85"/>
      <x:c r="T951" s="85"/>
      <x:c r="U951" s="85"/>
      <x:c r="V951" s="85"/>
      <x:c r="W951" s="85"/>
      <x:c r="Y951" s="86"/>
      <x:c r="Z951" s="86"/>
      <x:c r="AA951" s="32"/>
    </x:row>
    <x:row r="952">
      <x:c r="A952" s="87"/>
      <x:c r="B952" s="88"/>
      <x:c r="D952" s="32"/>
      <x:c r="I952" s="74"/>
      <x:c r="J952" s="74"/>
      <x:c r="K952" s="74"/>
      <x:c r="L952" s="74"/>
      <x:c r="M952" s="74"/>
      <x:c r="N952" s="74"/>
      <x:c r="O952" s="91"/>
      <x:c r="P952" s="91"/>
      <x:c r="Q952" s="85"/>
      <x:c r="R952" s="85"/>
      <x:c r="S952" s="85"/>
      <x:c r="T952" s="85"/>
      <x:c r="U952" s="85"/>
      <x:c r="V952" s="85"/>
      <x:c r="W952" s="85"/>
      <x:c r="Y952" s="86"/>
      <x:c r="Z952" s="86"/>
      <x:c r="AA952" s="32"/>
    </x:row>
    <x:row r="953">
      <x:c r="A953" s="87"/>
      <x:c r="B953" s="88"/>
      <x:c r="D953" s="32"/>
      <x:c r="I953" s="74"/>
      <x:c r="J953" s="74"/>
      <x:c r="K953" s="74"/>
      <x:c r="L953" s="74"/>
      <x:c r="M953" s="74"/>
      <x:c r="N953" s="74"/>
      <x:c r="O953" s="91"/>
      <x:c r="P953" s="91"/>
      <x:c r="Q953" s="85"/>
      <x:c r="R953" s="85"/>
      <x:c r="S953" s="85"/>
      <x:c r="T953" s="85"/>
      <x:c r="U953" s="85"/>
      <x:c r="V953" s="85"/>
      <x:c r="W953" s="85"/>
      <x:c r="Y953" s="86"/>
      <x:c r="Z953" s="86"/>
      <x:c r="AA953" s="32"/>
    </x:row>
    <x:row r="954">
      <x:c r="A954" s="87"/>
      <x:c r="B954" s="88"/>
      <x:c r="D954" s="32"/>
      <x:c r="I954" s="74"/>
      <x:c r="J954" s="74"/>
      <x:c r="K954" s="74"/>
      <x:c r="L954" s="74"/>
      <x:c r="M954" s="74"/>
      <x:c r="N954" s="74"/>
      <x:c r="O954" s="91"/>
      <x:c r="P954" s="91"/>
      <x:c r="Q954" s="85"/>
      <x:c r="R954" s="85"/>
      <x:c r="S954" s="85"/>
      <x:c r="T954" s="85"/>
      <x:c r="U954" s="85"/>
      <x:c r="V954" s="85"/>
      <x:c r="W954" s="85"/>
      <x:c r="Y954" s="86"/>
      <x:c r="Z954" s="86"/>
      <x:c r="AA954" s="32"/>
    </x:row>
    <x:row r="955">
      <x:c r="A955" s="87"/>
      <x:c r="B955" s="88"/>
      <x:c r="D955" s="32"/>
      <x:c r="I955" s="74"/>
      <x:c r="J955" s="74"/>
      <x:c r="K955" s="74"/>
      <x:c r="L955" s="74"/>
      <x:c r="M955" s="74"/>
      <x:c r="N955" s="74"/>
      <x:c r="O955" s="91"/>
      <x:c r="P955" s="91"/>
      <x:c r="Q955" s="85"/>
      <x:c r="R955" s="85"/>
      <x:c r="S955" s="85"/>
      <x:c r="T955" s="85"/>
      <x:c r="U955" s="85"/>
      <x:c r="V955" s="85"/>
      <x:c r="W955" s="85"/>
      <x:c r="Y955" s="86"/>
      <x:c r="Z955" s="86"/>
      <x:c r="AA955" s="32"/>
    </x:row>
    <x:row r="956">
      <x:c r="A956" s="87"/>
      <x:c r="B956" s="88"/>
      <x:c r="D956" s="32"/>
      <x:c r="I956" s="74"/>
      <x:c r="J956" s="74"/>
      <x:c r="K956" s="74"/>
      <x:c r="L956" s="74"/>
      <x:c r="M956" s="74"/>
      <x:c r="N956" s="74"/>
      <x:c r="O956" s="91"/>
      <x:c r="P956" s="91"/>
      <x:c r="Q956" s="85"/>
      <x:c r="R956" s="85"/>
      <x:c r="S956" s="85"/>
      <x:c r="T956" s="85"/>
      <x:c r="U956" s="85"/>
      <x:c r="V956" s="85"/>
      <x:c r="W956" s="85"/>
      <x:c r="Y956" s="86"/>
      <x:c r="Z956" s="86"/>
      <x:c r="AA956" s="32"/>
    </x:row>
    <x:row r="957">
      <x:c r="A957" s="87"/>
      <x:c r="B957" s="88"/>
      <x:c r="D957" s="32"/>
      <x:c r="I957" s="74"/>
      <x:c r="J957" s="74"/>
      <x:c r="K957" s="74"/>
      <x:c r="L957" s="74"/>
      <x:c r="M957" s="74"/>
      <x:c r="N957" s="74"/>
      <x:c r="O957" s="91"/>
      <x:c r="P957" s="91"/>
      <x:c r="Q957" s="85"/>
      <x:c r="R957" s="85"/>
      <x:c r="S957" s="85"/>
      <x:c r="T957" s="85"/>
      <x:c r="U957" s="85"/>
      <x:c r="V957" s="85"/>
      <x:c r="W957" s="85"/>
      <x:c r="Y957" s="86"/>
      <x:c r="Z957" s="86"/>
      <x:c r="AA957" s="32"/>
    </x:row>
    <x:row r="958">
      <x:c r="A958" s="87"/>
      <x:c r="B958" s="88"/>
      <x:c r="D958" s="32"/>
      <x:c r="I958" s="74"/>
      <x:c r="J958" s="74"/>
      <x:c r="K958" s="74"/>
      <x:c r="L958" s="74"/>
      <x:c r="M958" s="74"/>
      <x:c r="N958" s="74"/>
      <x:c r="O958" s="91"/>
      <x:c r="P958" s="91"/>
      <x:c r="Q958" s="85"/>
      <x:c r="R958" s="85"/>
      <x:c r="S958" s="85"/>
      <x:c r="T958" s="85"/>
      <x:c r="U958" s="85"/>
      <x:c r="V958" s="85"/>
      <x:c r="W958" s="85"/>
      <x:c r="Y958" s="86"/>
      <x:c r="Z958" s="86"/>
      <x:c r="AA958" s="32"/>
    </x:row>
    <x:row r="959">
      <x:c r="A959" s="87"/>
      <x:c r="B959" s="88"/>
      <x:c r="D959" s="32"/>
      <x:c r="I959" s="74"/>
      <x:c r="J959" s="74"/>
      <x:c r="K959" s="74"/>
      <x:c r="L959" s="74"/>
      <x:c r="M959" s="74"/>
      <x:c r="N959" s="74"/>
      <x:c r="O959" s="91"/>
      <x:c r="P959" s="91"/>
      <x:c r="Q959" s="85"/>
      <x:c r="R959" s="85"/>
      <x:c r="S959" s="85"/>
      <x:c r="T959" s="85"/>
      <x:c r="U959" s="85"/>
      <x:c r="V959" s="85"/>
      <x:c r="W959" s="85"/>
      <x:c r="Y959" s="86"/>
      <x:c r="Z959" s="86"/>
      <x:c r="AA959" s="32"/>
    </x:row>
    <x:row r="960">
      <x:c r="A960" s="87"/>
      <x:c r="B960" s="88"/>
      <x:c r="D960" s="32"/>
      <x:c r="I960" s="74"/>
      <x:c r="J960" s="74"/>
      <x:c r="K960" s="74"/>
      <x:c r="L960" s="74"/>
      <x:c r="M960" s="74"/>
      <x:c r="N960" s="74"/>
      <x:c r="O960" s="91"/>
      <x:c r="P960" s="91"/>
      <x:c r="Q960" s="85"/>
      <x:c r="R960" s="85"/>
      <x:c r="S960" s="85"/>
      <x:c r="T960" s="85"/>
      <x:c r="U960" s="85"/>
      <x:c r="V960" s="85"/>
      <x:c r="W960" s="85"/>
      <x:c r="Y960" s="86"/>
      <x:c r="Z960" s="86"/>
      <x:c r="AA960" s="32"/>
    </x:row>
    <x:row r="961">
      <x:c r="A961" s="87"/>
      <x:c r="B961" s="88"/>
      <x:c r="D961" s="32"/>
      <x:c r="I961" s="74"/>
      <x:c r="J961" s="74"/>
      <x:c r="K961" s="74"/>
      <x:c r="L961" s="74"/>
      <x:c r="M961" s="74"/>
      <x:c r="N961" s="74"/>
      <x:c r="O961" s="91"/>
      <x:c r="P961" s="91"/>
      <x:c r="Q961" s="85"/>
      <x:c r="R961" s="85"/>
      <x:c r="S961" s="85"/>
      <x:c r="T961" s="85"/>
      <x:c r="U961" s="85"/>
      <x:c r="V961" s="85"/>
      <x:c r="W961" s="85"/>
      <x:c r="Y961" s="86"/>
      <x:c r="Z961" s="86"/>
      <x:c r="AA961" s="32"/>
    </x:row>
    <x:row r="962">
      <x:c r="A962" s="87"/>
      <x:c r="B962" s="88"/>
      <x:c r="D962" s="32"/>
      <x:c r="I962" s="74"/>
      <x:c r="J962" s="74"/>
      <x:c r="K962" s="74"/>
      <x:c r="L962" s="74"/>
      <x:c r="M962" s="74"/>
      <x:c r="N962" s="74"/>
      <x:c r="O962" s="91"/>
      <x:c r="P962" s="91"/>
      <x:c r="Q962" s="85"/>
      <x:c r="R962" s="85"/>
      <x:c r="S962" s="85"/>
      <x:c r="T962" s="85"/>
      <x:c r="U962" s="85"/>
      <x:c r="V962" s="85"/>
      <x:c r="W962" s="85"/>
      <x:c r="Y962" s="86"/>
      <x:c r="Z962" s="86"/>
      <x:c r="AA962" s="32"/>
    </x:row>
    <x:row r="963">
      <x:c r="A963" s="87"/>
      <x:c r="B963" s="88"/>
      <x:c r="D963" s="32"/>
      <x:c r="I963" s="74"/>
      <x:c r="J963" s="74"/>
      <x:c r="K963" s="74"/>
      <x:c r="L963" s="74"/>
      <x:c r="M963" s="74"/>
      <x:c r="N963" s="74"/>
      <x:c r="O963" s="91"/>
      <x:c r="P963" s="91"/>
      <x:c r="Q963" s="85"/>
      <x:c r="R963" s="85"/>
      <x:c r="S963" s="85"/>
      <x:c r="T963" s="85"/>
      <x:c r="U963" s="85"/>
      <x:c r="V963" s="85"/>
      <x:c r="W963" s="85"/>
      <x:c r="Y963" s="86"/>
      <x:c r="Z963" s="86"/>
      <x:c r="AA963" s="32"/>
    </x:row>
    <x:row r="964">
      <x:c r="A964" s="87"/>
      <x:c r="B964" s="88"/>
      <x:c r="D964" s="32"/>
      <x:c r="I964" s="74"/>
      <x:c r="J964" s="74"/>
      <x:c r="K964" s="74"/>
      <x:c r="L964" s="74"/>
      <x:c r="M964" s="74"/>
      <x:c r="N964" s="74"/>
      <x:c r="O964" s="91"/>
      <x:c r="P964" s="91"/>
      <x:c r="Q964" s="85"/>
      <x:c r="R964" s="85"/>
      <x:c r="S964" s="85"/>
      <x:c r="T964" s="85"/>
      <x:c r="U964" s="85"/>
      <x:c r="V964" s="85"/>
      <x:c r="W964" s="85"/>
      <x:c r="Y964" s="86"/>
      <x:c r="Z964" s="86"/>
      <x:c r="AA964" s="32"/>
    </x:row>
    <x:row r="965">
      <x:c r="A965" s="87"/>
      <x:c r="B965" s="88"/>
      <x:c r="D965" s="32"/>
      <x:c r="I965" s="74"/>
      <x:c r="J965" s="74"/>
      <x:c r="K965" s="74"/>
      <x:c r="L965" s="74"/>
      <x:c r="M965" s="74"/>
      <x:c r="N965" s="74"/>
      <x:c r="O965" s="91"/>
      <x:c r="P965" s="91"/>
      <x:c r="Q965" s="85"/>
      <x:c r="R965" s="85"/>
      <x:c r="S965" s="85"/>
      <x:c r="T965" s="85"/>
      <x:c r="U965" s="85"/>
      <x:c r="V965" s="85"/>
      <x:c r="W965" s="85"/>
      <x:c r="Y965" s="86"/>
      <x:c r="Z965" s="86"/>
      <x:c r="AA965" s="32"/>
    </x:row>
    <x:row r="966">
      <x:c r="A966" s="87"/>
      <x:c r="B966" s="88"/>
      <x:c r="D966" s="32"/>
      <x:c r="I966" s="74"/>
      <x:c r="J966" s="74"/>
      <x:c r="K966" s="74"/>
      <x:c r="L966" s="74"/>
      <x:c r="M966" s="74"/>
      <x:c r="N966" s="74"/>
      <x:c r="O966" s="91"/>
      <x:c r="P966" s="91"/>
      <x:c r="Q966" s="85"/>
      <x:c r="R966" s="85"/>
      <x:c r="S966" s="85"/>
      <x:c r="T966" s="85"/>
      <x:c r="U966" s="85"/>
      <x:c r="V966" s="85"/>
      <x:c r="W966" s="85"/>
      <x:c r="Y966" s="86"/>
      <x:c r="Z966" s="86"/>
      <x:c r="AA966" s="32"/>
    </x:row>
    <x:row r="967">
      <x:c r="A967" s="87"/>
      <x:c r="B967" s="88"/>
      <x:c r="D967" s="32"/>
      <x:c r="I967" s="74"/>
      <x:c r="J967" s="74"/>
      <x:c r="K967" s="74"/>
      <x:c r="L967" s="74"/>
      <x:c r="M967" s="74"/>
      <x:c r="N967" s="74"/>
      <x:c r="O967" s="91"/>
      <x:c r="P967" s="91"/>
      <x:c r="Q967" s="85"/>
      <x:c r="R967" s="85"/>
      <x:c r="S967" s="85"/>
      <x:c r="T967" s="85"/>
      <x:c r="U967" s="85"/>
      <x:c r="V967" s="85"/>
      <x:c r="W967" s="85"/>
      <x:c r="Y967" s="86"/>
      <x:c r="Z967" s="86"/>
      <x:c r="AA967" s="32"/>
    </x:row>
    <x:row r="968">
      <x:c r="A968" s="87"/>
      <x:c r="B968" s="88"/>
      <x:c r="D968" s="32"/>
      <x:c r="I968" s="74"/>
      <x:c r="J968" s="74"/>
      <x:c r="K968" s="74"/>
      <x:c r="L968" s="74"/>
      <x:c r="M968" s="74"/>
      <x:c r="N968" s="74"/>
      <x:c r="O968" s="91"/>
      <x:c r="P968" s="91"/>
      <x:c r="Q968" s="85"/>
      <x:c r="R968" s="85"/>
      <x:c r="S968" s="85"/>
      <x:c r="T968" s="85"/>
      <x:c r="U968" s="85"/>
      <x:c r="V968" s="85"/>
      <x:c r="W968" s="85"/>
      <x:c r="Y968" s="86"/>
      <x:c r="Z968" s="86"/>
      <x:c r="AA968" s="32"/>
    </x:row>
    <x:row r="969">
      <x:c r="A969" s="87"/>
      <x:c r="B969" s="88"/>
      <x:c r="D969" s="32"/>
      <x:c r="I969" s="74"/>
      <x:c r="J969" s="74"/>
      <x:c r="K969" s="74"/>
      <x:c r="L969" s="74"/>
      <x:c r="M969" s="74"/>
      <x:c r="N969" s="74"/>
      <x:c r="O969" s="91"/>
      <x:c r="P969" s="91"/>
      <x:c r="Q969" s="85"/>
      <x:c r="R969" s="85"/>
      <x:c r="S969" s="85"/>
      <x:c r="T969" s="85"/>
      <x:c r="U969" s="85"/>
      <x:c r="V969" s="85"/>
      <x:c r="W969" s="85"/>
      <x:c r="Y969" s="86"/>
      <x:c r="Z969" s="86"/>
      <x:c r="AA969" s="32"/>
    </x:row>
    <x:row r="970">
      <x:c r="A970" s="87"/>
      <x:c r="B970" s="88"/>
      <x:c r="D970" s="32"/>
      <x:c r="I970" s="74"/>
      <x:c r="J970" s="74"/>
      <x:c r="K970" s="74"/>
      <x:c r="L970" s="74"/>
      <x:c r="M970" s="74"/>
      <x:c r="N970" s="74"/>
      <x:c r="O970" s="91"/>
      <x:c r="P970" s="91"/>
      <x:c r="Q970" s="85"/>
      <x:c r="R970" s="85"/>
      <x:c r="S970" s="85"/>
      <x:c r="T970" s="85"/>
      <x:c r="U970" s="85"/>
      <x:c r="V970" s="85"/>
      <x:c r="W970" s="85"/>
      <x:c r="Y970" s="86"/>
      <x:c r="Z970" s="86"/>
      <x:c r="AA970" s="32"/>
    </x:row>
    <x:row r="971">
      <x:c r="A971" s="87"/>
      <x:c r="B971" s="88"/>
      <x:c r="D971" s="32"/>
      <x:c r="I971" s="74"/>
      <x:c r="J971" s="74"/>
      <x:c r="K971" s="74"/>
      <x:c r="L971" s="74"/>
      <x:c r="M971" s="74"/>
      <x:c r="N971" s="74"/>
      <x:c r="O971" s="91"/>
      <x:c r="P971" s="91"/>
      <x:c r="Q971" s="85"/>
      <x:c r="R971" s="85"/>
      <x:c r="S971" s="85"/>
      <x:c r="T971" s="85"/>
      <x:c r="U971" s="85"/>
      <x:c r="V971" s="85"/>
      <x:c r="W971" s="85"/>
      <x:c r="Y971" s="86"/>
      <x:c r="Z971" s="86"/>
      <x:c r="AA971" s="32"/>
    </x:row>
    <x:row r="972">
      <x:c r="A972" s="87"/>
      <x:c r="B972" s="88"/>
      <x:c r="D972" s="32"/>
      <x:c r="I972" s="74"/>
      <x:c r="J972" s="74"/>
      <x:c r="K972" s="74"/>
      <x:c r="L972" s="74"/>
      <x:c r="M972" s="74"/>
      <x:c r="N972" s="74"/>
      <x:c r="O972" s="91"/>
      <x:c r="P972" s="91"/>
      <x:c r="Q972" s="85"/>
      <x:c r="R972" s="85"/>
      <x:c r="S972" s="85"/>
      <x:c r="T972" s="85"/>
      <x:c r="U972" s="85"/>
      <x:c r="V972" s="85"/>
      <x:c r="W972" s="85"/>
      <x:c r="Y972" s="86"/>
      <x:c r="Z972" s="86"/>
      <x:c r="AA972" s="32"/>
    </x:row>
    <x:row r="973">
      <x:c r="A973" s="87"/>
      <x:c r="B973" s="88"/>
      <x:c r="D973" s="32"/>
      <x:c r="I973" s="74"/>
      <x:c r="J973" s="74"/>
      <x:c r="K973" s="74"/>
      <x:c r="L973" s="74"/>
      <x:c r="M973" s="74"/>
      <x:c r="N973" s="74"/>
      <x:c r="O973" s="91"/>
      <x:c r="P973" s="91"/>
      <x:c r="Q973" s="85"/>
      <x:c r="R973" s="85"/>
      <x:c r="S973" s="85"/>
      <x:c r="T973" s="85"/>
      <x:c r="U973" s="85"/>
      <x:c r="V973" s="85"/>
      <x:c r="W973" s="85"/>
      <x:c r="Y973" s="86"/>
      <x:c r="Z973" s="86"/>
      <x:c r="AA973" s="32"/>
    </x:row>
    <x:row r="974">
      <x:c r="A974" s="87"/>
      <x:c r="B974" s="88"/>
      <x:c r="D974" s="32"/>
      <x:c r="I974" s="74"/>
      <x:c r="J974" s="74"/>
      <x:c r="K974" s="74"/>
      <x:c r="L974" s="74"/>
      <x:c r="M974" s="74"/>
      <x:c r="N974" s="74"/>
      <x:c r="O974" s="91"/>
      <x:c r="P974" s="91"/>
      <x:c r="Q974" s="85"/>
      <x:c r="R974" s="85"/>
      <x:c r="S974" s="85"/>
      <x:c r="T974" s="85"/>
      <x:c r="U974" s="85"/>
      <x:c r="V974" s="85"/>
      <x:c r="W974" s="85"/>
      <x:c r="Y974" s="86"/>
      <x:c r="Z974" s="86"/>
      <x:c r="AA974" s="32"/>
    </x:row>
    <x:row r="975">
      <x:c r="A975" s="87"/>
      <x:c r="B975" s="88"/>
      <x:c r="D975" s="32"/>
      <x:c r="I975" s="74"/>
      <x:c r="J975" s="74"/>
      <x:c r="K975" s="74"/>
      <x:c r="L975" s="74"/>
      <x:c r="M975" s="74"/>
      <x:c r="N975" s="74"/>
      <x:c r="O975" s="91"/>
      <x:c r="P975" s="91"/>
      <x:c r="Q975" s="85"/>
      <x:c r="R975" s="85"/>
      <x:c r="S975" s="85"/>
      <x:c r="T975" s="85"/>
      <x:c r="U975" s="85"/>
      <x:c r="V975" s="85"/>
      <x:c r="W975" s="85"/>
      <x:c r="Y975" s="86"/>
      <x:c r="Z975" s="86"/>
      <x:c r="AA975" s="32"/>
    </x:row>
    <x:row r="976">
      <x:c r="A976" s="87"/>
      <x:c r="B976" s="88"/>
      <x:c r="D976" s="32"/>
      <x:c r="I976" s="74"/>
      <x:c r="J976" s="74"/>
      <x:c r="K976" s="74"/>
      <x:c r="L976" s="74"/>
      <x:c r="M976" s="74"/>
      <x:c r="N976" s="74"/>
      <x:c r="O976" s="91"/>
      <x:c r="P976" s="91"/>
      <x:c r="Q976" s="85"/>
      <x:c r="R976" s="85"/>
      <x:c r="S976" s="85"/>
      <x:c r="T976" s="85"/>
      <x:c r="U976" s="85"/>
      <x:c r="V976" s="85"/>
      <x:c r="W976" s="85"/>
      <x:c r="Y976" s="86"/>
      <x:c r="Z976" s="86"/>
      <x:c r="AA976" s="32"/>
    </x:row>
    <x:row r="977">
      <x:c r="A977" s="87"/>
      <x:c r="B977" s="88"/>
      <x:c r="D977" s="32"/>
      <x:c r="I977" s="74"/>
      <x:c r="J977" s="74"/>
      <x:c r="K977" s="74"/>
      <x:c r="L977" s="74"/>
      <x:c r="M977" s="74"/>
      <x:c r="N977" s="74"/>
      <x:c r="O977" s="91"/>
      <x:c r="P977" s="91"/>
      <x:c r="Q977" s="85"/>
      <x:c r="R977" s="85"/>
      <x:c r="S977" s="85"/>
      <x:c r="T977" s="85"/>
      <x:c r="U977" s="85"/>
      <x:c r="V977" s="85"/>
      <x:c r="W977" s="85"/>
      <x:c r="Y977" s="86"/>
      <x:c r="Z977" s="86"/>
      <x:c r="AA977" s="32"/>
    </x:row>
    <x:row r="978">
      <x:c r="A978" s="87"/>
      <x:c r="B978" s="88"/>
      <x:c r="D978" s="32"/>
      <x:c r="I978" s="74"/>
      <x:c r="J978" s="74"/>
      <x:c r="K978" s="74"/>
      <x:c r="L978" s="74"/>
      <x:c r="M978" s="74"/>
      <x:c r="N978" s="74"/>
      <x:c r="O978" s="91"/>
      <x:c r="P978" s="91"/>
      <x:c r="Q978" s="85"/>
      <x:c r="R978" s="85"/>
      <x:c r="S978" s="85"/>
      <x:c r="T978" s="85"/>
      <x:c r="U978" s="85"/>
      <x:c r="V978" s="85"/>
      <x:c r="W978" s="85"/>
      <x:c r="Y978" s="86"/>
      <x:c r="Z978" s="86"/>
      <x:c r="AA978" s="32"/>
    </x:row>
    <x:row r="979">
      <x:c r="A979" s="87"/>
      <x:c r="B979" s="88"/>
      <x:c r="D979" s="32"/>
      <x:c r="I979" s="74"/>
      <x:c r="J979" s="74"/>
      <x:c r="K979" s="74"/>
      <x:c r="L979" s="74"/>
      <x:c r="M979" s="74"/>
      <x:c r="N979" s="74"/>
      <x:c r="O979" s="91"/>
      <x:c r="P979" s="91"/>
      <x:c r="Q979" s="85"/>
      <x:c r="R979" s="85"/>
      <x:c r="S979" s="85"/>
      <x:c r="T979" s="85"/>
      <x:c r="U979" s="85"/>
      <x:c r="V979" s="85"/>
      <x:c r="W979" s="85"/>
      <x:c r="Y979" s="86"/>
      <x:c r="Z979" s="86"/>
      <x:c r="AA979" s="32"/>
    </x:row>
    <x:row r="980">
      <x:c r="A980" s="87"/>
      <x:c r="B980" s="88"/>
      <x:c r="D980" s="32"/>
      <x:c r="I980" s="74"/>
      <x:c r="J980" s="74"/>
      <x:c r="K980" s="74"/>
      <x:c r="L980" s="74"/>
      <x:c r="M980" s="74"/>
      <x:c r="N980" s="74"/>
      <x:c r="O980" s="91"/>
      <x:c r="P980" s="91"/>
      <x:c r="Q980" s="85"/>
      <x:c r="R980" s="85"/>
      <x:c r="S980" s="85"/>
      <x:c r="T980" s="85"/>
      <x:c r="U980" s="85"/>
      <x:c r="V980" s="85"/>
      <x:c r="W980" s="85"/>
      <x:c r="Y980" s="86"/>
      <x:c r="Z980" s="86"/>
      <x:c r="AA980" s="32"/>
    </x:row>
    <x:row r="981">
      <x:c r="A981" s="87"/>
      <x:c r="B981" s="88"/>
      <x:c r="D981" s="32"/>
      <x:c r="I981" s="74"/>
      <x:c r="J981" s="74"/>
      <x:c r="K981" s="74"/>
      <x:c r="L981" s="74"/>
      <x:c r="M981" s="74"/>
      <x:c r="N981" s="74"/>
      <x:c r="O981" s="91"/>
      <x:c r="P981" s="91"/>
      <x:c r="Q981" s="85"/>
      <x:c r="R981" s="85"/>
      <x:c r="S981" s="85"/>
      <x:c r="T981" s="85"/>
      <x:c r="U981" s="85"/>
      <x:c r="V981" s="85"/>
      <x:c r="W981" s="85"/>
      <x:c r="Y981" s="86"/>
      <x:c r="Z981" s="86"/>
      <x:c r="AA981" s="32"/>
    </x:row>
    <x:row r="982">
      <x:c r="A982" s="87"/>
      <x:c r="B982" s="88"/>
      <x:c r="D982" s="32"/>
      <x:c r="I982" s="74"/>
      <x:c r="J982" s="74"/>
      <x:c r="K982" s="74"/>
      <x:c r="L982" s="74"/>
      <x:c r="M982" s="74"/>
      <x:c r="N982" s="74"/>
      <x:c r="O982" s="91"/>
      <x:c r="P982" s="91"/>
      <x:c r="Q982" s="85"/>
      <x:c r="R982" s="85"/>
      <x:c r="S982" s="85"/>
      <x:c r="T982" s="85"/>
      <x:c r="U982" s="85"/>
      <x:c r="V982" s="85"/>
      <x:c r="W982" s="85"/>
      <x:c r="Y982" s="86"/>
      <x:c r="Z982" s="86"/>
      <x:c r="AA982" s="32"/>
    </x:row>
    <x:row r="983">
      <x:c r="A983" s="87"/>
      <x:c r="B983" s="88"/>
      <x:c r="D983" s="32"/>
      <x:c r="I983" s="74"/>
      <x:c r="J983" s="74"/>
      <x:c r="K983" s="74"/>
      <x:c r="L983" s="74"/>
      <x:c r="M983" s="74"/>
      <x:c r="N983" s="74"/>
      <x:c r="O983" s="91"/>
      <x:c r="P983" s="91"/>
      <x:c r="Q983" s="85"/>
      <x:c r="R983" s="85"/>
      <x:c r="S983" s="85"/>
      <x:c r="T983" s="85"/>
      <x:c r="U983" s="85"/>
      <x:c r="V983" s="85"/>
      <x:c r="W983" s="85"/>
      <x:c r="Y983" s="86"/>
      <x:c r="Z983" s="86"/>
      <x:c r="AA983" s="32"/>
    </x:row>
    <x:row r="984">
      <x:c r="A984" s="87"/>
      <x:c r="B984" s="88"/>
      <x:c r="D984" s="32"/>
      <x:c r="I984" s="74"/>
      <x:c r="J984" s="74"/>
      <x:c r="K984" s="74"/>
      <x:c r="L984" s="74"/>
      <x:c r="M984" s="74"/>
      <x:c r="N984" s="74"/>
      <x:c r="O984" s="91"/>
      <x:c r="P984" s="91"/>
      <x:c r="Q984" s="85"/>
      <x:c r="R984" s="85"/>
      <x:c r="S984" s="85"/>
      <x:c r="T984" s="85"/>
      <x:c r="U984" s="85"/>
      <x:c r="V984" s="85"/>
      <x:c r="W984" s="85"/>
      <x:c r="Y984" s="86"/>
      <x:c r="Z984" s="86"/>
      <x:c r="AA984" s="32"/>
    </x:row>
    <x:row r="985">
      <x:c r="A985" s="87"/>
      <x:c r="B985" s="88"/>
      <x:c r="D985" s="32"/>
      <x:c r="I985" s="74"/>
      <x:c r="J985" s="74"/>
      <x:c r="K985" s="74"/>
      <x:c r="L985" s="74"/>
      <x:c r="M985" s="74"/>
      <x:c r="N985" s="74"/>
      <x:c r="O985" s="91"/>
      <x:c r="P985" s="91"/>
      <x:c r="Q985" s="85"/>
      <x:c r="R985" s="85"/>
      <x:c r="S985" s="85"/>
      <x:c r="T985" s="85"/>
      <x:c r="U985" s="85"/>
      <x:c r="V985" s="85"/>
      <x:c r="W985" s="85"/>
      <x:c r="Y985" s="86"/>
      <x:c r="Z985" s="86"/>
      <x:c r="AA985" s="32"/>
    </x:row>
    <x:row r="986">
      <x:c r="A986" s="87"/>
      <x:c r="B986" s="88"/>
      <x:c r="D986" s="32"/>
      <x:c r="I986" s="74"/>
      <x:c r="J986" s="74"/>
      <x:c r="K986" s="74"/>
      <x:c r="L986" s="74"/>
      <x:c r="M986" s="74"/>
      <x:c r="N986" s="74"/>
      <x:c r="O986" s="91"/>
      <x:c r="P986" s="91"/>
      <x:c r="Q986" s="85"/>
      <x:c r="R986" s="85"/>
      <x:c r="S986" s="85"/>
      <x:c r="T986" s="85"/>
      <x:c r="U986" s="85"/>
      <x:c r="V986" s="85"/>
      <x:c r="W986" s="85"/>
      <x:c r="Y986" s="86"/>
      <x:c r="Z986" s="86"/>
      <x:c r="AA986" s="32"/>
    </x:row>
    <x:row r="987">
      <x:c r="A987" s="87"/>
      <x:c r="B987" s="88"/>
      <x:c r="D987" s="32"/>
      <x:c r="I987" s="74"/>
      <x:c r="J987" s="74"/>
      <x:c r="K987" s="74"/>
      <x:c r="L987" s="74"/>
      <x:c r="M987" s="74"/>
      <x:c r="N987" s="74"/>
      <x:c r="O987" s="91"/>
      <x:c r="P987" s="91"/>
      <x:c r="Q987" s="85"/>
      <x:c r="R987" s="85"/>
      <x:c r="S987" s="85"/>
      <x:c r="T987" s="85"/>
      <x:c r="U987" s="85"/>
      <x:c r="V987" s="85"/>
      <x:c r="W987" s="85"/>
      <x:c r="Y987" s="86"/>
      <x:c r="Z987" s="86"/>
      <x:c r="AA987" s="32"/>
    </x:row>
    <x:row r="988">
      <x:c r="A988" s="87"/>
      <x:c r="B988" s="88"/>
      <x:c r="D988" s="32"/>
      <x:c r="I988" s="74"/>
      <x:c r="J988" s="74"/>
      <x:c r="K988" s="74"/>
      <x:c r="L988" s="74"/>
      <x:c r="M988" s="74"/>
      <x:c r="N988" s="74"/>
      <x:c r="O988" s="91"/>
      <x:c r="P988" s="91"/>
      <x:c r="Q988" s="85"/>
      <x:c r="R988" s="85"/>
      <x:c r="S988" s="85"/>
      <x:c r="T988" s="85"/>
      <x:c r="U988" s="85"/>
      <x:c r="V988" s="85"/>
      <x:c r="W988" s="85"/>
      <x:c r="Y988" s="86"/>
      <x:c r="Z988" s="86"/>
      <x:c r="AA988" s="32"/>
    </x:row>
    <x:row r="989">
      <x:c r="A989" s="87"/>
      <x:c r="B989" s="88"/>
      <x:c r="D989" s="32"/>
      <x:c r="I989" s="74"/>
      <x:c r="J989" s="74"/>
      <x:c r="K989" s="74"/>
      <x:c r="L989" s="74"/>
      <x:c r="M989" s="74"/>
      <x:c r="N989" s="74"/>
      <x:c r="O989" s="91"/>
      <x:c r="P989" s="91"/>
      <x:c r="Q989" s="85"/>
      <x:c r="R989" s="85"/>
      <x:c r="S989" s="85"/>
      <x:c r="T989" s="85"/>
      <x:c r="U989" s="85"/>
      <x:c r="V989" s="85"/>
      <x:c r="W989" s="85"/>
      <x:c r="Y989" s="86"/>
      <x:c r="Z989" s="86"/>
      <x:c r="AA989" s="32"/>
    </x:row>
    <x:row r="990">
      <x:c r="A990" s="87"/>
      <x:c r="B990" s="88"/>
      <x:c r="D990" s="32"/>
      <x:c r="I990" s="74"/>
      <x:c r="J990" s="74"/>
      <x:c r="K990" s="74"/>
      <x:c r="L990" s="74"/>
      <x:c r="M990" s="74"/>
      <x:c r="N990" s="74"/>
      <x:c r="O990" s="91"/>
      <x:c r="P990" s="91"/>
      <x:c r="Q990" s="85"/>
      <x:c r="R990" s="85"/>
      <x:c r="S990" s="85"/>
      <x:c r="T990" s="85"/>
      <x:c r="U990" s="85"/>
      <x:c r="V990" s="85"/>
      <x:c r="W990" s="85"/>
      <x:c r="Y990" s="86"/>
      <x:c r="Z990" s="86"/>
      <x:c r="AA990" s="32"/>
    </x:row>
    <x:row r="991">
      <x:c r="A991" s="87"/>
      <x:c r="B991" s="88"/>
      <x:c r="D991" s="32"/>
      <x:c r="I991" s="74"/>
      <x:c r="J991" s="74"/>
      <x:c r="K991" s="74"/>
      <x:c r="L991" s="74"/>
      <x:c r="M991" s="74"/>
      <x:c r="N991" s="74"/>
      <x:c r="O991" s="91"/>
      <x:c r="P991" s="91"/>
      <x:c r="Q991" s="85"/>
      <x:c r="R991" s="85"/>
      <x:c r="S991" s="85"/>
      <x:c r="T991" s="85"/>
      <x:c r="U991" s="85"/>
      <x:c r="V991" s="85"/>
      <x:c r="W991" s="85"/>
      <x:c r="Y991" s="86"/>
      <x:c r="Z991" s="86"/>
      <x:c r="AA991" s="32"/>
    </x:row>
    <x:row r="992">
      <x:c r="A992" s="87"/>
      <x:c r="B992" s="88"/>
      <x:c r="D992" s="32"/>
      <x:c r="I992" s="74"/>
      <x:c r="J992" s="74"/>
      <x:c r="K992" s="74"/>
      <x:c r="L992" s="74"/>
      <x:c r="M992" s="74"/>
      <x:c r="N992" s="74"/>
      <x:c r="O992" s="91"/>
      <x:c r="P992" s="91"/>
      <x:c r="Q992" s="85"/>
      <x:c r="R992" s="85"/>
      <x:c r="S992" s="85"/>
      <x:c r="T992" s="85"/>
      <x:c r="U992" s="85"/>
      <x:c r="V992" s="85"/>
      <x:c r="W992" s="85"/>
      <x:c r="Y992" s="86"/>
      <x:c r="Z992" s="86"/>
      <x:c r="AA992" s="32"/>
    </x:row>
    <x:row r="993">
      <x:c r="A993" s="87"/>
      <x:c r="B993" s="88"/>
      <x:c r="D993" s="32"/>
      <x:c r="I993" s="74"/>
      <x:c r="J993" s="74"/>
      <x:c r="K993" s="74"/>
      <x:c r="L993" s="74"/>
      <x:c r="M993" s="74"/>
      <x:c r="N993" s="74"/>
      <x:c r="O993" s="91"/>
      <x:c r="P993" s="91"/>
      <x:c r="Q993" s="85"/>
      <x:c r="R993" s="85"/>
      <x:c r="S993" s="85"/>
      <x:c r="T993" s="85"/>
      <x:c r="U993" s="85"/>
      <x:c r="V993" s="85"/>
      <x:c r="W993" s="85"/>
      <x:c r="Y993" s="86"/>
      <x:c r="Z993" s="86"/>
      <x:c r="AA993" s="32"/>
    </x:row>
    <x:row r="994">
      <x:c r="A994" s="87"/>
      <x:c r="B994" s="88"/>
      <x:c r="D994" s="32"/>
      <x:c r="I994" s="74"/>
      <x:c r="J994" s="74"/>
      <x:c r="K994" s="74"/>
      <x:c r="L994" s="74"/>
      <x:c r="M994" s="74"/>
      <x:c r="N994" s="74"/>
      <x:c r="O994" s="91"/>
      <x:c r="P994" s="91"/>
      <x:c r="Q994" s="85"/>
      <x:c r="R994" s="85"/>
      <x:c r="S994" s="85"/>
      <x:c r="T994" s="85"/>
      <x:c r="U994" s="85"/>
      <x:c r="V994" s="85"/>
      <x:c r="W994" s="85"/>
      <x:c r="Y994" s="86"/>
      <x:c r="Z994" s="86"/>
      <x:c r="AA994" s="32"/>
    </x:row>
    <x:row r="995">
      <x:c r="A995" s="87"/>
      <x:c r="B995" s="88"/>
      <x:c r="D995" s="32"/>
      <x:c r="I995" s="74"/>
      <x:c r="J995" s="74"/>
      <x:c r="K995" s="74"/>
      <x:c r="L995" s="74"/>
      <x:c r="M995" s="74"/>
      <x:c r="N995" s="74"/>
      <x:c r="O995" s="91"/>
      <x:c r="P995" s="91"/>
      <x:c r="Q995" s="85"/>
      <x:c r="R995" s="85"/>
      <x:c r="S995" s="85"/>
      <x:c r="T995" s="85"/>
      <x:c r="U995" s="85"/>
      <x:c r="V995" s="85"/>
      <x:c r="W995" s="85"/>
      <x:c r="Y995" s="86"/>
      <x:c r="Z995" s="86"/>
      <x:c r="AA995" s="32"/>
    </x:row>
    <x:row r="996">
      <x:c r="A996" s="87"/>
      <x:c r="B996" s="88"/>
      <x:c r="D996" s="32"/>
      <x:c r="I996" s="74"/>
      <x:c r="J996" s="74"/>
      <x:c r="K996" s="74"/>
      <x:c r="L996" s="74"/>
      <x:c r="M996" s="74"/>
      <x:c r="N996" s="74"/>
      <x:c r="O996" s="91"/>
      <x:c r="P996" s="91"/>
      <x:c r="Q996" s="85"/>
      <x:c r="R996" s="85"/>
      <x:c r="S996" s="85"/>
      <x:c r="T996" s="85"/>
      <x:c r="U996" s="85"/>
      <x:c r="V996" s="85"/>
      <x:c r="W996" s="85"/>
      <x:c r="Y996" s="86"/>
      <x:c r="Z996" s="86"/>
      <x:c r="AA996" s="32"/>
    </x:row>
    <x:row r="997">
      <x:c r="A997" s="87"/>
      <x:c r="B997" s="88"/>
      <x:c r="D997" s="32"/>
      <x:c r="I997" s="74"/>
      <x:c r="J997" s="74"/>
      <x:c r="K997" s="74"/>
      <x:c r="L997" s="74"/>
      <x:c r="M997" s="74"/>
      <x:c r="N997" s="74"/>
      <x:c r="O997" s="91"/>
      <x:c r="P997" s="91"/>
      <x:c r="Q997" s="85"/>
      <x:c r="R997" s="85"/>
      <x:c r="S997" s="85"/>
      <x:c r="T997" s="85"/>
      <x:c r="U997" s="85"/>
      <x:c r="V997" s="85"/>
      <x:c r="W997" s="85"/>
      <x:c r="Y997" s="86"/>
      <x:c r="Z997" s="86"/>
      <x:c r="AA997" s="32"/>
    </x:row>
    <x:row r="998">
      <x:c r="A998" s="87"/>
      <x:c r="B998" s="88"/>
      <x:c r="D998" s="32"/>
      <x:c r="I998" s="74"/>
      <x:c r="J998" s="74"/>
      <x:c r="K998" s="74"/>
      <x:c r="L998" s="74"/>
      <x:c r="M998" s="74"/>
      <x:c r="N998" s="74"/>
      <x:c r="O998" s="91"/>
      <x:c r="P998" s="91"/>
      <x:c r="Q998" s="85"/>
      <x:c r="R998" s="85"/>
      <x:c r="S998" s="85"/>
      <x:c r="T998" s="85"/>
      <x:c r="U998" s="85"/>
      <x:c r="V998" s="85"/>
      <x:c r="W998" s="85"/>
      <x:c r="Y998" s="86"/>
      <x:c r="Z998" s="86"/>
      <x:c r="AA998" s="32"/>
    </x:row>
    <x:row r="999">
      <x:c r="A999" s="87"/>
      <x:c r="B999" s="88"/>
      <x:c r="D999" s="32"/>
      <x:c r="I999" s="74"/>
      <x:c r="J999" s="74"/>
      <x:c r="K999" s="74"/>
      <x:c r="L999" s="74"/>
      <x:c r="M999" s="74"/>
      <x:c r="N999" s="74"/>
      <x:c r="O999" s="91"/>
      <x:c r="P999" s="91"/>
      <x:c r="Q999" s="85"/>
      <x:c r="R999" s="85"/>
      <x:c r="S999" s="85"/>
      <x:c r="T999" s="85"/>
      <x:c r="U999" s="85"/>
      <x:c r="V999" s="85"/>
      <x:c r="W999" s="85"/>
      <x:c r="Y999" s="86"/>
      <x:c r="Z999" s="86"/>
      <x:c r="AA999" s="32"/>
    </x:row>
    <x:row r="1000">
      <x:c r="A1000" s="87"/>
      <x:c r="B1000" s="88"/>
      <x:c r="D1000" s="32"/>
      <x:c r="I1000" s="74"/>
      <x:c r="J1000" s="74"/>
      <x:c r="K1000" s="74"/>
      <x:c r="L1000" s="74"/>
      <x:c r="M1000" s="74"/>
      <x:c r="N1000" s="74"/>
      <x:c r="O1000" s="91"/>
      <x:c r="P1000" s="91"/>
      <x:c r="Q1000" s="85"/>
      <x:c r="R1000" s="85"/>
      <x:c r="S1000" s="85"/>
      <x:c r="T1000" s="85"/>
      <x:c r="U1000" s="85"/>
      <x:c r="V1000" s="85"/>
      <x:c r="W1000" s="85"/>
      <x:c r="Y1000" s="86"/>
      <x:c r="Z1000" s="86"/>
      <x:c r="AA1000" s="32"/>
    </x:row>
    <x:row r="1001">
      <x:c r="A1001" s="87"/>
      <x:c r="B1001" s="88"/>
      <x:c r="D1001" s="32"/>
      <x:c r="I1001" s="74"/>
      <x:c r="J1001" s="74"/>
      <x:c r="K1001" s="74"/>
      <x:c r="L1001" s="74"/>
      <x:c r="M1001" s="74"/>
      <x:c r="N1001" s="74"/>
      <x:c r="O1001" s="91"/>
      <x:c r="P1001" s="91"/>
      <x:c r="Q1001" s="85"/>
      <x:c r="R1001" s="85"/>
      <x:c r="S1001" s="85"/>
      <x:c r="T1001" s="85"/>
      <x:c r="U1001" s="85"/>
      <x:c r="V1001" s="85"/>
      <x:c r="W1001" s="85"/>
      <x:c r="Y1001" s="86"/>
      <x:c r="Z1001" s="86"/>
      <x:c r="AA1001" s="32"/>
    </x:row>
    <x:row r="1002">
      <x:c r="A1002" s="87"/>
      <x:c r="B1002" s="88"/>
      <x:c r="D1002" s="32"/>
      <x:c r="I1002" s="74"/>
      <x:c r="J1002" s="74"/>
      <x:c r="K1002" s="74"/>
      <x:c r="L1002" s="74"/>
      <x:c r="M1002" s="74"/>
      <x:c r="N1002" s="74"/>
      <x:c r="O1002" s="91"/>
      <x:c r="P1002" s="91"/>
      <x:c r="Q1002" s="85"/>
      <x:c r="R1002" s="85"/>
      <x:c r="S1002" s="85"/>
      <x:c r="T1002" s="85"/>
      <x:c r="U1002" s="85"/>
      <x:c r="V1002" s="85"/>
      <x:c r="W1002" s="85"/>
      <x:c r="Y1002" s="86"/>
      <x:c r="Z1002" s="86"/>
      <x:c r="AA1002" s="32"/>
    </x:row>
    <x:row r="1003">
      <x:c r="A1003" s="87"/>
      <x:c r="B1003" s="88"/>
      <x:c r="D1003" s="32"/>
      <x:c r="I1003" s="74"/>
      <x:c r="J1003" s="74"/>
      <x:c r="K1003" s="74"/>
      <x:c r="L1003" s="74"/>
      <x:c r="M1003" s="74"/>
      <x:c r="N1003" s="74"/>
      <x:c r="O1003" s="91"/>
      <x:c r="P1003" s="91"/>
      <x:c r="Q1003" s="85"/>
      <x:c r="R1003" s="85"/>
      <x:c r="S1003" s="85"/>
      <x:c r="T1003" s="85"/>
      <x:c r="U1003" s="85"/>
      <x:c r="V1003" s="85"/>
      <x:c r="W1003" s="85"/>
      <x:c r="Y1003" s="86"/>
      <x:c r="Z1003" s="86"/>
      <x:c r="AA1003" s="32"/>
    </x:row>
    <x:row r="1004">
      <x:c r="A1004" s="87"/>
      <x:c r="B1004" s="88"/>
      <x:c r="D1004" s="32"/>
      <x:c r="I1004" s="74"/>
      <x:c r="J1004" s="74"/>
      <x:c r="K1004" s="74"/>
      <x:c r="L1004" s="74"/>
      <x:c r="M1004" s="74"/>
      <x:c r="N1004" s="74"/>
      <x:c r="O1004" s="91"/>
      <x:c r="P1004" s="91"/>
      <x:c r="Q1004" s="85"/>
      <x:c r="R1004" s="85"/>
      <x:c r="S1004" s="85"/>
      <x:c r="T1004" s="85"/>
      <x:c r="U1004" s="85"/>
      <x:c r="V1004" s="85"/>
      <x:c r="W1004" s="85"/>
      <x:c r="Y1004" s="86"/>
      <x:c r="Z1004" s="86"/>
      <x:c r="AA1004" s="32"/>
    </x:row>
    <x:row r="1005">
      <x:c r="A1005" s="87"/>
      <x:c r="B1005" s="88"/>
      <x:c r="D1005" s="32"/>
      <x:c r="I1005" s="74"/>
      <x:c r="J1005" s="74"/>
      <x:c r="K1005" s="74"/>
      <x:c r="L1005" s="74"/>
      <x:c r="M1005" s="74"/>
      <x:c r="N1005" s="74"/>
      <x:c r="O1005" s="91"/>
      <x:c r="P1005" s="91"/>
      <x:c r="Q1005" s="85"/>
      <x:c r="R1005" s="85"/>
      <x:c r="S1005" s="85"/>
      <x:c r="T1005" s="85"/>
      <x:c r="U1005" s="85"/>
      <x:c r="V1005" s="85"/>
      <x:c r="W1005" s="85"/>
      <x:c r="Y1005" s="86"/>
      <x:c r="Z1005" s="86"/>
      <x:c r="AA1005" s="32"/>
    </x:row>
    <x:row r="1006">
      <x:c r="A1006" s="87"/>
      <x:c r="B1006" s="88"/>
      <x:c r="D1006" s="32"/>
      <x:c r="I1006" s="74"/>
      <x:c r="J1006" s="74"/>
      <x:c r="K1006" s="74"/>
      <x:c r="L1006" s="74"/>
      <x:c r="M1006" s="74"/>
      <x:c r="N1006" s="74"/>
      <x:c r="O1006" s="91"/>
      <x:c r="P1006" s="91"/>
      <x:c r="Q1006" s="85"/>
      <x:c r="R1006" s="85"/>
      <x:c r="S1006" s="85"/>
      <x:c r="T1006" s="85"/>
      <x:c r="U1006" s="85"/>
      <x:c r="V1006" s="85"/>
      <x:c r="W1006" s="85"/>
      <x:c r="Y1006" s="86"/>
      <x:c r="Z1006" s="86"/>
      <x:c r="AA1006" s="32"/>
    </x:row>
    <x:row r="1007">
      <x:c r="A1007" s="87"/>
      <x:c r="B1007" s="88"/>
      <x:c r="D1007" s="32"/>
      <x:c r="I1007" s="74"/>
      <x:c r="J1007" s="74"/>
      <x:c r="K1007" s="74"/>
      <x:c r="L1007" s="74"/>
      <x:c r="M1007" s="74"/>
      <x:c r="N1007" s="74"/>
      <x:c r="O1007" s="91"/>
      <x:c r="P1007" s="91"/>
      <x:c r="Q1007" s="85"/>
      <x:c r="R1007" s="85"/>
      <x:c r="S1007" s="85"/>
      <x:c r="T1007" s="85"/>
      <x:c r="U1007" s="85"/>
      <x:c r="V1007" s="85"/>
      <x:c r="W1007" s="85"/>
      <x:c r="Y1007" s="86"/>
      <x:c r="Z1007" s="86"/>
      <x:c r="AA1007" s="32"/>
    </x:row>
    <x:row r="1008">
      <x:c r="A1008" s="87"/>
      <x:c r="B1008" s="88"/>
      <x:c r="D1008" s="32"/>
      <x:c r="I1008" s="74"/>
      <x:c r="J1008" s="74"/>
      <x:c r="K1008" s="74"/>
      <x:c r="L1008" s="74"/>
      <x:c r="M1008" s="74"/>
      <x:c r="N1008" s="74"/>
      <x:c r="O1008" s="91"/>
      <x:c r="P1008" s="91"/>
      <x:c r="Q1008" s="85"/>
      <x:c r="R1008" s="85"/>
      <x:c r="S1008" s="85"/>
      <x:c r="T1008" s="85"/>
      <x:c r="U1008" s="85"/>
      <x:c r="V1008" s="85"/>
      <x:c r="W1008" s="85"/>
      <x:c r="Y1008" s="86"/>
      <x:c r="Z1008" s="86"/>
      <x:c r="AA1008" s="32"/>
    </x:row>
    <x:row r="1009">
      <x:c r="A1009" s="87"/>
      <x:c r="B1009" s="88"/>
      <x:c r="D1009" s="32"/>
      <x:c r="I1009" s="74"/>
      <x:c r="J1009" s="74"/>
      <x:c r="K1009" s="74"/>
      <x:c r="L1009" s="74"/>
      <x:c r="M1009" s="74"/>
      <x:c r="N1009" s="74"/>
      <x:c r="O1009" s="91"/>
      <x:c r="P1009" s="91"/>
      <x:c r="Q1009" s="85"/>
      <x:c r="R1009" s="85"/>
      <x:c r="S1009" s="85"/>
      <x:c r="T1009" s="85"/>
      <x:c r="U1009" s="85"/>
      <x:c r="V1009" s="85"/>
      <x:c r="W1009" s="85"/>
      <x:c r="Y1009" s="86"/>
      <x:c r="Z1009" s="86"/>
      <x:c r="AA1009" s="32"/>
    </x:row>
    <x:row r="1010">
      <x:c r="A1010" s="87"/>
      <x:c r="B1010" s="88"/>
      <x:c r="D1010" s="32"/>
      <x:c r="I1010" s="74"/>
      <x:c r="J1010" s="74"/>
      <x:c r="K1010" s="74"/>
      <x:c r="L1010" s="74"/>
      <x:c r="M1010" s="74"/>
      <x:c r="N1010" s="74"/>
      <x:c r="O1010" s="91"/>
      <x:c r="P1010" s="91"/>
      <x:c r="Q1010" s="85"/>
      <x:c r="R1010" s="85"/>
      <x:c r="S1010" s="85"/>
      <x:c r="T1010" s="85"/>
      <x:c r="U1010" s="85"/>
      <x:c r="V1010" s="85"/>
      <x:c r="W1010" s="85"/>
      <x:c r="Y1010" s="86"/>
      <x:c r="Z1010" s="86"/>
      <x:c r="AA1010" s="32"/>
    </x:row>
    <x:row r="1011">
      <x:c r="A1011" s="87"/>
      <x:c r="B1011" s="88"/>
      <x:c r="D1011" s="32"/>
      <x:c r="I1011" s="74"/>
      <x:c r="J1011" s="74"/>
      <x:c r="K1011" s="74"/>
      <x:c r="L1011" s="74"/>
      <x:c r="M1011" s="74"/>
      <x:c r="N1011" s="74"/>
      <x:c r="O1011" s="91"/>
      <x:c r="P1011" s="91"/>
      <x:c r="Q1011" s="85"/>
      <x:c r="R1011" s="85"/>
      <x:c r="S1011" s="85"/>
      <x:c r="T1011" s="85"/>
      <x:c r="U1011" s="85"/>
      <x:c r="V1011" s="85"/>
      <x:c r="W1011" s="85"/>
      <x:c r="Y1011" s="86"/>
      <x:c r="Z1011" s="86"/>
      <x:c r="AA1011" s="32"/>
    </x:row>
    <x:row r="1012">
      <x:c r="A1012" s="87"/>
      <x:c r="B1012" s="88"/>
      <x:c r="D1012" s="32"/>
      <x:c r="I1012" s="74"/>
      <x:c r="J1012" s="74"/>
      <x:c r="K1012" s="74"/>
      <x:c r="L1012" s="74"/>
      <x:c r="M1012" s="74"/>
      <x:c r="N1012" s="74"/>
      <x:c r="O1012" s="91"/>
      <x:c r="P1012" s="91"/>
      <x:c r="Q1012" s="85"/>
      <x:c r="R1012" s="85"/>
      <x:c r="S1012" s="85"/>
      <x:c r="T1012" s="85"/>
      <x:c r="U1012" s="85"/>
      <x:c r="V1012" s="85"/>
      <x:c r="W1012" s="85"/>
      <x:c r="Y1012" s="86"/>
      <x:c r="Z1012" s="86"/>
      <x:c r="AA1012" s="32"/>
    </x:row>
    <x:row r="1013">
      <x:c r="A1013" s="87"/>
      <x:c r="B1013" s="88"/>
      <x:c r="D1013" s="32"/>
      <x:c r="I1013" s="74"/>
      <x:c r="J1013" s="74"/>
      <x:c r="K1013" s="74"/>
      <x:c r="L1013" s="74"/>
      <x:c r="M1013" s="74"/>
      <x:c r="N1013" s="74"/>
      <x:c r="O1013" s="91"/>
      <x:c r="P1013" s="91"/>
      <x:c r="Q1013" s="85"/>
      <x:c r="R1013" s="85"/>
      <x:c r="S1013" s="85"/>
      <x:c r="T1013" s="85"/>
      <x:c r="U1013" s="85"/>
      <x:c r="V1013" s="85"/>
      <x:c r="W1013" s="85"/>
      <x:c r="Y1013" s="86"/>
      <x:c r="Z1013" s="86"/>
      <x:c r="AA1013" s="32"/>
    </x:row>
    <x:row r="1014">
      <x:c r="A1014" s="87"/>
      <x:c r="B1014" s="88"/>
      <x:c r="D1014" s="32"/>
      <x:c r="I1014" s="74"/>
      <x:c r="J1014" s="74"/>
      <x:c r="K1014" s="74"/>
      <x:c r="L1014" s="74"/>
      <x:c r="M1014" s="74"/>
      <x:c r="N1014" s="74"/>
      <x:c r="O1014" s="91"/>
      <x:c r="P1014" s="91"/>
      <x:c r="Q1014" s="85"/>
      <x:c r="R1014" s="85"/>
      <x:c r="S1014" s="85"/>
      <x:c r="T1014" s="85"/>
      <x:c r="U1014" s="85"/>
      <x:c r="V1014" s="85"/>
      <x:c r="W1014" s="85"/>
      <x:c r="Y1014" s="86"/>
      <x:c r="Z1014" s="86"/>
      <x:c r="AA1014" s="32"/>
    </x:row>
    <x:row r="1015">
      <x:c r="A1015" s="87"/>
      <x:c r="B1015" s="88"/>
      <x:c r="D1015" s="32"/>
      <x:c r="I1015" s="74"/>
      <x:c r="J1015" s="74"/>
      <x:c r="K1015" s="74"/>
      <x:c r="L1015" s="74"/>
      <x:c r="M1015" s="74"/>
      <x:c r="N1015" s="74"/>
      <x:c r="O1015" s="91"/>
      <x:c r="P1015" s="91"/>
      <x:c r="Q1015" s="85"/>
      <x:c r="R1015" s="85"/>
      <x:c r="S1015" s="85"/>
      <x:c r="T1015" s="85"/>
      <x:c r="U1015" s="85"/>
      <x:c r="V1015" s="85"/>
      <x:c r="W1015" s="85"/>
      <x:c r="Y1015" s="86"/>
      <x:c r="Z1015" s="86"/>
      <x:c r="AA1015" s="32"/>
    </x:row>
    <x:row r="1016">
      <x:c r="A1016" s="87"/>
      <x:c r="B1016" s="88"/>
      <x:c r="D1016" s="32"/>
      <x:c r="I1016" s="74"/>
      <x:c r="J1016" s="74"/>
      <x:c r="K1016" s="74"/>
      <x:c r="L1016" s="74"/>
      <x:c r="M1016" s="74"/>
      <x:c r="N1016" s="74"/>
      <x:c r="O1016" s="91"/>
      <x:c r="P1016" s="91"/>
      <x:c r="Q1016" s="85"/>
      <x:c r="R1016" s="85"/>
      <x:c r="S1016" s="85"/>
      <x:c r="T1016" s="85"/>
      <x:c r="U1016" s="85"/>
      <x:c r="V1016" s="85"/>
      <x:c r="W1016" s="85"/>
      <x:c r="Y1016" s="86"/>
      <x:c r="Z1016" s="86"/>
      <x:c r="AA1016" s="32"/>
    </x:row>
    <x:row r="1017">
      <x:c r="A1017" s="87"/>
      <x:c r="B1017" s="88"/>
      <x:c r="D1017" s="32"/>
      <x:c r="I1017" s="74"/>
      <x:c r="J1017" s="74"/>
      <x:c r="K1017" s="74"/>
      <x:c r="L1017" s="74"/>
      <x:c r="M1017" s="74"/>
      <x:c r="N1017" s="74"/>
      <x:c r="O1017" s="91"/>
      <x:c r="P1017" s="91"/>
      <x:c r="Q1017" s="85"/>
      <x:c r="R1017" s="85"/>
      <x:c r="S1017" s="85"/>
      <x:c r="T1017" s="85"/>
      <x:c r="U1017" s="85"/>
      <x:c r="V1017" s="85"/>
      <x:c r="W1017" s="85"/>
      <x:c r="Y1017" s="86"/>
      <x:c r="Z1017" s="86"/>
      <x:c r="AA1017" s="32"/>
    </x:row>
    <x:row r="1018">
      <x:c r="A1018" s="87"/>
      <x:c r="B1018" s="88"/>
      <x:c r="D1018" s="32"/>
      <x:c r="I1018" s="74"/>
      <x:c r="J1018" s="74"/>
      <x:c r="K1018" s="74"/>
      <x:c r="L1018" s="74"/>
      <x:c r="M1018" s="74"/>
      <x:c r="N1018" s="74"/>
      <x:c r="O1018" s="91"/>
      <x:c r="P1018" s="91"/>
      <x:c r="Q1018" s="85"/>
      <x:c r="R1018" s="85"/>
      <x:c r="S1018" s="85"/>
      <x:c r="T1018" s="85"/>
      <x:c r="U1018" s="85"/>
      <x:c r="V1018" s="85"/>
      <x:c r="W1018" s="85"/>
      <x:c r="Y1018" s="86"/>
      <x:c r="Z1018" s="86"/>
      <x:c r="AA1018" s="32"/>
    </x:row>
    <x:row r="1019">
      <x:c r="A1019" s="87"/>
      <x:c r="B1019" s="88"/>
      <x:c r="D1019" s="32"/>
      <x:c r="I1019" s="74"/>
      <x:c r="J1019" s="74"/>
      <x:c r="K1019" s="74"/>
      <x:c r="L1019" s="74"/>
      <x:c r="M1019" s="74"/>
      <x:c r="N1019" s="74"/>
      <x:c r="O1019" s="91"/>
      <x:c r="P1019" s="91"/>
      <x:c r="Q1019" s="85"/>
      <x:c r="R1019" s="85"/>
      <x:c r="S1019" s="85"/>
      <x:c r="T1019" s="85"/>
      <x:c r="U1019" s="85"/>
      <x:c r="V1019" s="85"/>
      <x:c r="W1019" s="85"/>
      <x:c r="Y1019" s="86"/>
      <x:c r="Z1019" s="86"/>
      <x:c r="AA1019" s="32"/>
    </x:row>
    <x:row r="1020">
      <x:c r="A1020" s="87"/>
      <x:c r="B1020" s="88"/>
      <x:c r="D1020" s="32"/>
      <x:c r="I1020" s="74"/>
      <x:c r="J1020" s="74"/>
      <x:c r="K1020" s="74"/>
      <x:c r="L1020" s="74"/>
      <x:c r="M1020" s="74"/>
      <x:c r="N1020" s="74"/>
      <x:c r="O1020" s="91"/>
      <x:c r="P1020" s="91"/>
      <x:c r="Q1020" s="85"/>
      <x:c r="R1020" s="85"/>
      <x:c r="S1020" s="85"/>
      <x:c r="T1020" s="85"/>
      <x:c r="U1020" s="85"/>
      <x:c r="V1020" s="85"/>
      <x:c r="W1020" s="85"/>
      <x:c r="Y1020" s="86"/>
      <x:c r="Z1020" s="86"/>
      <x:c r="AA1020" s="32"/>
    </x:row>
    <x:row r="1021">
      <x:c r="A1021" s="87"/>
      <x:c r="B1021" s="88"/>
      <x:c r="D1021" s="32"/>
      <x:c r="I1021" s="74"/>
      <x:c r="J1021" s="74"/>
      <x:c r="K1021" s="74"/>
      <x:c r="L1021" s="74"/>
      <x:c r="M1021" s="74"/>
      <x:c r="N1021" s="74"/>
      <x:c r="O1021" s="91"/>
      <x:c r="P1021" s="91"/>
      <x:c r="Q1021" s="85"/>
      <x:c r="R1021" s="85"/>
      <x:c r="S1021" s="85"/>
      <x:c r="T1021" s="85"/>
      <x:c r="U1021" s="85"/>
      <x:c r="V1021" s="85"/>
      <x:c r="W1021" s="85"/>
      <x:c r="Y1021" s="86"/>
      <x:c r="Z1021" s="86"/>
      <x:c r="AA1021" s="32"/>
    </x:row>
    <x:row r="1022">
      <x:c r="A1022" s="87"/>
      <x:c r="B1022" s="88"/>
      <x:c r="D1022" s="32"/>
      <x:c r="I1022" s="74"/>
      <x:c r="J1022" s="74"/>
      <x:c r="K1022" s="74"/>
      <x:c r="L1022" s="74"/>
      <x:c r="M1022" s="74"/>
      <x:c r="N1022" s="74"/>
      <x:c r="O1022" s="91"/>
      <x:c r="P1022" s="91"/>
      <x:c r="Q1022" s="85"/>
      <x:c r="R1022" s="85"/>
      <x:c r="S1022" s="85"/>
      <x:c r="T1022" s="85"/>
      <x:c r="U1022" s="85"/>
      <x:c r="V1022" s="85"/>
      <x:c r="W1022" s="85"/>
      <x:c r="Y1022" s="86"/>
      <x:c r="Z1022" s="86"/>
      <x:c r="AA1022" s="32"/>
    </x:row>
    <x:row r="1023">
      <x:c r="A1023" s="87"/>
      <x:c r="B1023" s="88"/>
      <x:c r="D1023" s="32"/>
      <x:c r="I1023" s="74"/>
      <x:c r="J1023" s="74"/>
      <x:c r="K1023" s="74"/>
      <x:c r="L1023" s="74"/>
      <x:c r="M1023" s="74"/>
      <x:c r="N1023" s="74"/>
      <x:c r="O1023" s="91"/>
      <x:c r="P1023" s="91"/>
      <x:c r="Q1023" s="85"/>
      <x:c r="R1023" s="85"/>
      <x:c r="S1023" s="85"/>
      <x:c r="T1023" s="85"/>
      <x:c r="U1023" s="85"/>
      <x:c r="V1023" s="85"/>
      <x:c r="W1023" s="85"/>
      <x:c r="Y1023" s="86"/>
      <x:c r="Z1023" s="86"/>
      <x:c r="AA1023" s="32"/>
    </x:row>
    <x:row r="1024">
      <x:c r="A1024" s="87"/>
      <x:c r="B1024" s="88"/>
      <x:c r="D1024" s="32"/>
      <x:c r="I1024" s="74"/>
      <x:c r="J1024" s="74"/>
      <x:c r="K1024" s="74"/>
      <x:c r="L1024" s="74"/>
      <x:c r="M1024" s="74"/>
      <x:c r="N1024" s="74"/>
      <x:c r="O1024" s="91"/>
      <x:c r="P1024" s="91"/>
      <x:c r="Q1024" s="85"/>
      <x:c r="R1024" s="85"/>
      <x:c r="S1024" s="85"/>
      <x:c r="T1024" s="85"/>
      <x:c r="U1024" s="85"/>
      <x:c r="V1024" s="85"/>
      <x:c r="W1024" s="85"/>
      <x:c r="Y1024" s="86"/>
      <x:c r="Z1024" s="86"/>
      <x:c r="AA1024" s="32"/>
    </x:row>
    <x:row r="1025">
      <x:c r="A1025" s="87"/>
      <x:c r="B1025" s="88"/>
      <x:c r="D1025" s="32"/>
      <x:c r="I1025" s="74"/>
      <x:c r="J1025" s="74"/>
      <x:c r="K1025" s="74"/>
      <x:c r="L1025" s="74"/>
      <x:c r="M1025" s="74"/>
      <x:c r="N1025" s="74"/>
      <x:c r="O1025" s="91"/>
      <x:c r="P1025" s="91"/>
      <x:c r="Q1025" s="85"/>
      <x:c r="R1025" s="85"/>
      <x:c r="S1025" s="85"/>
      <x:c r="T1025" s="85"/>
      <x:c r="U1025" s="85"/>
      <x:c r="V1025" s="85"/>
      <x:c r="W1025" s="85"/>
      <x:c r="Y1025" s="86"/>
      <x:c r="Z1025" s="86"/>
      <x:c r="AA1025" s="32"/>
    </x:row>
    <x:row r="1026">
      <x:c r="A1026" s="87"/>
      <x:c r="B1026" s="88"/>
      <x:c r="D1026" s="32"/>
      <x:c r="I1026" s="74"/>
      <x:c r="J1026" s="74"/>
      <x:c r="K1026" s="74"/>
      <x:c r="L1026" s="74"/>
      <x:c r="M1026" s="74"/>
      <x:c r="N1026" s="74"/>
      <x:c r="O1026" s="91"/>
      <x:c r="P1026" s="91"/>
      <x:c r="Q1026" s="85"/>
      <x:c r="R1026" s="85"/>
      <x:c r="S1026" s="85"/>
      <x:c r="T1026" s="85"/>
      <x:c r="U1026" s="85"/>
      <x:c r="V1026" s="85"/>
      <x:c r="W1026" s="85"/>
      <x:c r="Y1026" s="86"/>
      <x:c r="Z1026" s="86"/>
      <x:c r="AA1026" s="32"/>
    </x:row>
    <x:row r="1027">
      <x:c r="A1027" s="87"/>
      <x:c r="B1027" s="88"/>
      <x:c r="D1027" s="32"/>
      <x:c r="I1027" s="74"/>
      <x:c r="J1027" s="74"/>
      <x:c r="K1027" s="74"/>
      <x:c r="L1027" s="74"/>
      <x:c r="M1027" s="74"/>
      <x:c r="N1027" s="74"/>
      <x:c r="O1027" s="91"/>
      <x:c r="P1027" s="91"/>
      <x:c r="Q1027" s="85"/>
      <x:c r="R1027" s="85"/>
      <x:c r="S1027" s="85"/>
      <x:c r="T1027" s="85"/>
      <x:c r="U1027" s="85"/>
      <x:c r="V1027" s="85"/>
      <x:c r="W1027" s="85"/>
      <x:c r="Y1027" s="86"/>
      <x:c r="Z1027" s="86"/>
      <x:c r="AA1027" s="32"/>
    </x:row>
    <x:row r="1028">
      <x:c r="A1028" s="87"/>
      <x:c r="B1028" s="88"/>
      <x:c r="D1028" s="32"/>
      <x:c r="I1028" s="74"/>
      <x:c r="J1028" s="74"/>
      <x:c r="K1028" s="74"/>
      <x:c r="L1028" s="74"/>
      <x:c r="M1028" s="74"/>
      <x:c r="N1028" s="74"/>
      <x:c r="O1028" s="91"/>
      <x:c r="P1028" s="91"/>
      <x:c r="Q1028" s="85"/>
      <x:c r="R1028" s="85"/>
      <x:c r="S1028" s="85"/>
      <x:c r="T1028" s="85"/>
      <x:c r="U1028" s="85"/>
      <x:c r="V1028" s="85"/>
      <x:c r="W1028" s="85"/>
      <x:c r="Y1028" s="86"/>
      <x:c r="Z1028" s="86"/>
      <x:c r="AA1028" s="32"/>
    </x:row>
    <x:row r="1029">
      <x:c r="A1029" s="87"/>
      <x:c r="B1029" s="88"/>
      <x:c r="D1029" s="32"/>
      <x:c r="I1029" s="74"/>
      <x:c r="J1029" s="74"/>
      <x:c r="K1029" s="74"/>
      <x:c r="L1029" s="74"/>
      <x:c r="M1029" s="74"/>
      <x:c r="N1029" s="74"/>
      <x:c r="O1029" s="91"/>
      <x:c r="P1029" s="91"/>
      <x:c r="Q1029" s="85"/>
      <x:c r="R1029" s="85"/>
      <x:c r="S1029" s="85"/>
      <x:c r="T1029" s="85"/>
      <x:c r="U1029" s="85"/>
      <x:c r="V1029" s="85"/>
      <x:c r="W1029" s="85"/>
      <x:c r="Y1029" s="86"/>
      <x:c r="Z1029" s="86"/>
      <x:c r="AA1029" s="32"/>
    </x:row>
    <x:row r="1030">
      <x:c r="A1030" s="87"/>
      <x:c r="B1030" s="88"/>
      <x:c r="D1030" s="32"/>
      <x:c r="I1030" s="74"/>
      <x:c r="J1030" s="74"/>
      <x:c r="K1030" s="74"/>
      <x:c r="L1030" s="74"/>
      <x:c r="M1030" s="74"/>
      <x:c r="N1030" s="74"/>
      <x:c r="O1030" s="91"/>
      <x:c r="P1030" s="91"/>
      <x:c r="Q1030" s="85"/>
      <x:c r="R1030" s="85"/>
      <x:c r="S1030" s="85"/>
      <x:c r="T1030" s="85"/>
      <x:c r="U1030" s="85"/>
      <x:c r="V1030" s="85"/>
      <x:c r="W1030" s="85"/>
      <x:c r="Y1030" s="86"/>
      <x:c r="Z1030" s="86"/>
      <x:c r="AA1030" s="32"/>
    </x:row>
    <x:row r="1031">
      <x:c r="A1031" s="87"/>
      <x:c r="B1031" s="88"/>
      <x:c r="D1031" s="32"/>
      <x:c r="I1031" s="74"/>
      <x:c r="J1031" s="74"/>
      <x:c r="K1031" s="74"/>
      <x:c r="L1031" s="74"/>
      <x:c r="M1031" s="74"/>
      <x:c r="N1031" s="74"/>
      <x:c r="O1031" s="91"/>
      <x:c r="P1031" s="91"/>
      <x:c r="Q1031" s="85"/>
      <x:c r="R1031" s="85"/>
      <x:c r="S1031" s="85"/>
      <x:c r="T1031" s="85"/>
      <x:c r="U1031" s="85"/>
      <x:c r="V1031" s="85"/>
      <x:c r="W1031" s="85"/>
      <x:c r="Y1031" s="86"/>
      <x:c r="Z1031" s="86"/>
      <x:c r="AA1031" s="32"/>
    </x:row>
    <x:row r="1032">
      <x:c r="A1032" s="87"/>
      <x:c r="B1032" s="88"/>
      <x:c r="D1032" s="32"/>
      <x:c r="I1032" s="74"/>
      <x:c r="J1032" s="74"/>
      <x:c r="K1032" s="74"/>
      <x:c r="L1032" s="74"/>
      <x:c r="M1032" s="74"/>
      <x:c r="N1032" s="74"/>
      <x:c r="O1032" s="91"/>
      <x:c r="P1032" s="91"/>
      <x:c r="Q1032" s="85"/>
      <x:c r="R1032" s="85"/>
      <x:c r="S1032" s="85"/>
      <x:c r="T1032" s="85"/>
      <x:c r="U1032" s="85"/>
      <x:c r="V1032" s="85"/>
      <x:c r="W1032" s="85"/>
      <x:c r="Y1032" s="86"/>
      <x:c r="Z1032" s="86"/>
      <x:c r="AA1032" s="32"/>
    </x:row>
    <x:row r="1033">
      <x:c r="A1033" s="87"/>
      <x:c r="B1033" s="88"/>
      <x:c r="D1033" s="32"/>
      <x:c r="I1033" s="74"/>
      <x:c r="J1033" s="74"/>
      <x:c r="K1033" s="74"/>
      <x:c r="L1033" s="74"/>
      <x:c r="M1033" s="74"/>
      <x:c r="N1033" s="74"/>
      <x:c r="O1033" s="91"/>
      <x:c r="P1033" s="91"/>
      <x:c r="Q1033" s="85"/>
      <x:c r="R1033" s="85"/>
      <x:c r="S1033" s="85"/>
      <x:c r="T1033" s="85"/>
      <x:c r="U1033" s="85"/>
      <x:c r="V1033" s="85"/>
      <x:c r="W1033" s="85"/>
      <x:c r="Y1033" s="86"/>
      <x:c r="Z1033" s="86"/>
      <x:c r="AA1033" s="32"/>
    </x:row>
    <x:row r="1034">
      <x:c r="A1034" s="87"/>
      <x:c r="B1034" s="88"/>
      <x:c r="D1034" s="32"/>
      <x:c r="I1034" s="74"/>
      <x:c r="J1034" s="74"/>
      <x:c r="K1034" s="74"/>
      <x:c r="L1034" s="74"/>
      <x:c r="M1034" s="74"/>
      <x:c r="N1034" s="74"/>
      <x:c r="O1034" s="91"/>
      <x:c r="P1034" s="91"/>
      <x:c r="Q1034" s="85"/>
      <x:c r="R1034" s="85"/>
      <x:c r="S1034" s="85"/>
      <x:c r="T1034" s="85"/>
      <x:c r="U1034" s="85"/>
      <x:c r="V1034" s="85"/>
      <x:c r="W1034" s="85"/>
      <x:c r="Y1034" s="86"/>
      <x:c r="Z1034" s="86"/>
      <x:c r="AA1034" s="32"/>
    </x:row>
    <x:row r="1035">
      <x:c r="A1035" s="87"/>
      <x:c r="B1035" s="88"/>
      <x:c r="D1035" s="32"/>
      <x:c r="I1035" s="74"/>
      <x:c r="J1035" s="74"/>
      <x:c r="K1035" s="74"/>
      <x:c r="L1035" s="74"/>
      <x:c r="M1035" s="74"/>
      <x:c r="N1035" s="74"/>
      <x:c r="O1035" s="91"/>
      <x:c r="P1035" s="91"/>
      <x:c r="Q1035" s="85"/>
      <x:c r="R1035" s="85"/>
      <x:c r="S1035" s="85"/>
      <x:c r="T1035" s="85"/>
      <x:c r="U1035" s="85"/>
      <x:c r="V1035" s="85"/>
      <x:c r="W1035" s="85"/>
      <x:c r="Y1035" s="86"/>
      <x:c r="Z1035" s="86"/>
      <x:c r="AA1035" s="32"/>
    </x:row>
    <x:row r="1036">
      <x:c r="A1036" s="87"/>
      <x:c r="B1036" s="88"/>
      <x:c r="D1036" s="32"/>
      <x:c r="I1036" s="74"/>
      <x:c r="J1036" s="74"/>
      <x:c r="K1036" s="74"/>
      <x:c r="L1036" s="74"/>
      <x:c r="M1036" s="74"/>
      <x:c r="N1036" s="74"/>
      <x:c r="O1036" s="91"/>
      <x:c r="P1036" s="91"/>
      <x:c r="Q1036" s="85"/>
      <x:c r="R1036" s="85"/>
      <x:c r="S1036" s="85"/>
      <x:c r="T1036" s="85"/>
      <x:c r="U1036" s="85"/>
      <x:c r="V1036" s="85"/>
      <x:c r="W1036" s="85"/>
      <x:c r="Y1036" s="86"/>
      <x:c r="Z1036" s="86"/>
      <x:c r="AA1036" s="32"/>
    </x:row>
    <x:row r="1037">
      <x:c r="A1037" s="87"/>
      <x:c r="B1037" s="88"/>
      <x:c r="D1037" s="32"/>
      <x:c r="I1037" s="74"/>
      <x:c r="J1037" s="74"/>
      <x:c r="K1037" s="74"/>
      <x:c r="L1037" s="74"/>
      <x:c r="M1037" s="74"/>
      <x:c r="N1037" s="74"/>
      <x:c r="O1037" s="91"/>
      <x:c r="P1037" s="91"/>
      <x:c r="Q1037" s="85"/>
      <x:c r="R1037" s="85"/>
      <x:c r="S1037" s="85"/>
      <x:c r="T1037" s="85"/>
      <x:c r="U1037" s="85"/>
      <x:c r="V1037" s="85"/>
      <x:c r="W1037" s="85"/>
      <x:c r="Y1037" s="86"/>
      <x:c r="Z1037" s="86"/>
      <x:c r="AA1037" s="32"/>
    </x:row>
    <x:row r="1038">
      <x:c r="A1038" s="87"/>
      <x:c r="B1038" s="88"/>
      <x:c r="D1038" s="32"/>
      <x:c r="I1038" s="74"/>
      <x:c r="J1038" s="74"/>
      <x:c r="K1038" s="74"/>
      <x:c r="L1038" s="74"/>
      <x:c r="M1038" s="74"/>
      <x:c r="N1038" s="74"/>
      <x:c r="O1038" s="91"/>
      <x:c r="P1038" s="91"/>
      <x:c r="Q1038" s="85"/>
      <x:c r="R1038" s="85"/>
      <x:c r="S1038" s="85"/>
      <x:c r="T1038" s="85"/>
      <x:c r="U1038" s="85"/>
      <x:c r="V1038" s="85"/>
      <x:c r="W1038" s="85"/>
      <x:c r="Y1038" s="86"/>
      <x:c r="Z1038" s="86"/>
      <x:c r="AA1038" s="32"/>
    </x:row>
    <x:row r="1039">
      <x:c r="A1039" s="87"/>
      <x:c r="B1039" s="88"/>
      <x:c r="D1039" s="32"/>
      <x:c r="I1039" s="74"/>
      <x:c r="J1039" s="74"/>
      <x:c r="K1039" s="74"/>
      <x:c r="L1039" s="74"/>
      <x:c r="M1039" s="74"/>
      <x:c r="N1039" s="74"/>
      <x:c r="O1039" s="91"/>
      <x:c r="P1039" s="91"/>
      <x:c r="Q1039" s="85"/>
      <x:c r="R1039" s="85"/>
      <x:c r="S1039" s="85"/>
      <x:c r="T1039" s="85"/>
      <x:c r="U1039" s="85"/>
      <x:c r="V1039" s="85"/>
      <x:c r="W1039" s="85"/>
      <x:c r="Y1039" s="86"/>
      <x:c r="Z1039" s="86"/>
      <x:c r="AA1039" s="32"/>
    </x:row>
    <x:row r="1040">
      <x:c r="A1040" s="87"/>
      <x:c r="B1040" s="88"/>
      <x:c r="D1040" s="32"/>
      <x:c r="I1040" s="74"/>
      <x:c r="J1040" s="74"/>
      <x:c r="K1040" s="74"/>
      <x:c r="L1040" s="74"/>
      <x:c r="M1040" s="74"/>
      <x:c r="N1040" s="74"/>
      <x:c r="O1040" s="91"/>
      <x:c r="P1040" s="91"/>
      <x:c r="Q1040" s="85"/>
      <x:c r="R1040" s="85"/>
      <x:c r="S1040" s="85"/>
      <x:c r="T1040" s="85"/>
      <x:c r="U1040" s="85"/>
      <x:c r="V1040" s="85"/>
      <x:c r="W1040" s="85"/>
      <x:c r="Y1040" s="86"/>
      <x:c r="Z1040" s="86"/>
      <x:c r="AA1040" s="32"/>
    </x:row>
    <x:row r="1041">
      <x:c r="A1041" s="87"/>
      <x:c r="B1041" s="88"/>
      <x:c r="D1041" s="32"/>
      <x:c r="I1041" s="74"/>
      <x:c r="J1041" s="74"/>
      <x:c r="K1041" s="74"/>
      <x:c r="L1041" s="74"/>
      <x:c r="M1041" s="74"/>
      <x:c r="N1041" s="74"/>
      <x:c r="O1041" s="91"/>
      <x:c r="P1041" s="91"/>
      <x:c r="Q1041" s="85"/>
      <x:c r="R1041" s="85"/>
      <x:c r="S1041" s="85"/>
      <x:c r="T1041" s="85"/>
      <x:c r="U1041" s="85"/>
      <x:c r="V1041" s="85"/>
      <x:c r="W1041" s="85"/>
      <x:c r="Y1041" s="86"/>
      <x:c r="Z1041" s="86"/>
      <x:c r="AA1041" s="32"/>
    </x:row>
    <x:row r="1042">
      <x:c r="A1042" s="87"/>
      <x:c r="B1042" s="88"/>
      <x:c r="D1042" s="32"/>
      <x:c r="I1042" s="74"/>
      <x:c r="J1042" s="74"/>
      <x:c r="K1042" s="74"/>
      <x:c r="L1042" s="74"/>
      <x:c r="M1042" s="74"/>
      <x:c r="N1042" s="74"/>
      <x:c r="O1042" s="91"/>
      <x:c r="P1042" s="91"/>
      <x:c r="Q1042" s="85"/>
      <x:c r="R1042" s="85"/>
      <x:c r="S1042" s="85"/>
      <x:c r="T1042" s="85"/>
      <x:c r="U1042" s="85"/>
      <x:c r="V1042" s="85"/>
      <x:c r="W1042" s="85"/>
      <x:c r="Y1042" s="86"/>
      <x:c r="Z1042" s="86"/>
      <x:c r="AA1042" s="32"/>
    </x:row>
    <x:row r="1043">
      <x:c r="A1043" s="87"/>
      <x:c r="B1043" s="88"/>
      <x:c r="D1043" s="32"/>
      <x:c r="I1043" s="74"/>
      <x:c r="J1043" s="74"/>
      <x:c r="K1043" s="74"/>
      <x:c r="L1043" s="74"/>
      <x:c r="M1043" s="74"/>
      <x:c r="N1043" s="74"/>
      <x:c r="O1043" s="91"/>
      <x:c r="P1043" s="91"/>
      <x:c r="Q1043" s="85"/>
      <x:c r="R1043" s="85"/>
      <x:c r="S1043" s="85"/>
      <x:c r="T1043" s="85"/>
      <x:c r="U1043" s="85"/>
      <x:c r="V1043" s="85"/>
      <x:c r="W1043" s="85"/>
      <x:c r="Y1043" s="86"/>
      <x:c r="Z1043" s="86"/>
      <x:c r="AA1043" s="32"/>
    </x:row>
    <x:row r="1044">
      <x:c r="A1044" s="87"/>
      <x:c r="B1044" s="88"/>
      <x:c r="D1044" s="32"/>
      <x:c r="I1044" s="74"/>
      <x:c r="J1044" s="74"/>
      <x:c r="K1044" s="74"/>
      <x:c r="L1044" s="74"/>
      <x:c r="M1044" s="74"/>
      <x:c r="N1044" s="74"/>
      <x:c r="O1044" s="91"/>
      <x:c r="P1044" s="91"/>
      <x:c r="Q1044" s="85"/>
      <x:c r="R1044" s="85"/>
      <x:c r="S1044" s="85"/>
      <x:c r="T1044" s="85"/>
      <x:c r="U1044" s="85"/>
      <x:c r="V1044" s="85"/>
      <x:c r="W1044" s="85"/>
      <x:c r="Y1044" s="86"/>
      <x:c r="Z1044" s="86"/>
      <x:c r="AA1044" s="32"/>
    </x:row>
    <x:row r="1045">
      <x:c r="A1045" s="87"/>
      <x:c r="B1045" s="88"/>
      <x:c r="D1045" s="32"/>
      <x:c r="I1045" s="74"/>
      <x:c r="J1045" s="74"/>
      <x:c r="K1045" s="74"/>
      <x:c r="L1045" s="74"/>
      <x:c r="M1045" s="74"/>
      <x:c r="N1045" s="74"/>
      <x:c r="O1045" s="91"/>
      <x:c r="P1045" s="91"/>
      <x:c r="Q1045" s="85"/>
      <x:c r="R1045" s="85"/>
      <x:c r="S1045" s="85"/>
      <x:c r="T1045" s="85"/>
      <x:c r="U1045" s="85"/>
      <x:c r="V1045" s="85"/>
      <x:c r="W1045" s="85"/>
      <x:c r="Y1045" s="86"/>
      <x:c r="Z1045" s="86"/>
      <x:c r="AA1045" s="32"/>
    </x:row>
    <x:row r="1046">
      <x:c r="A1046" s="87"/>
      <x:c r="B1046" s="88"/>
      <x:c r="D1046" s="32"/>
      <x:c r="I1046" s="74"/>
      <x:c r="J1046" s="74"/>
      <x:c r="K1046" s="74"/>
      <x:c r="L1046" s="74"/>
      <x:c r="M1046" s="74"/>
      <x:c r="N1046" s="74"/>
      <x:c r="O1046" s="91"/>
      <x:c r="P1046" s="91"/>
      <x:c r="Q1046" s="85"/>
      <x:c r="R1046" s="85"/>
      <x:c r="S1046" s="85"/>
      <x:c r="T1046" s="85"/>
      <x:c r="U1046" s="85"/>
      <x:c r="V1046" s="85"/>
      <x:c r="W1046" s="85"/>
      <x:c r="Y1046" s="86"/>
      <x:c r="Z1046" s="86"/>
      <x:c r="AA1046" s="32"/>
    </x:row>
    <x:row r="1047">
      <x:c r="A1047" s="87"/>
      <x:c r="B1047" s="88"/>
      <x:c r="D1047" s="32"/>
      <x:c r="I1047" s="74"/>
      <x:c r="J1047" s="74"/>
      <x:c r="K1047" s="74"/>
      <x:c r="L1047" s="74"/>
      <x:c r="M1047" s="74"/>
      <x:c r="N1047" s="74"/>
      <x:c r="O1047" s="91"/>
      <x:c r="P1047" s="91"/>
      <x:c r="Q1047" s="85"/>
      <x:c r="R1047" s="85"/>
      <x:c r="S1047" s="85"/>
      <x:c r="T1047" s="85"/>
      <x:c r="U1047" s="85"/>
      <x:c r="V1047" s="85"/>
      <x:c r="W1047" s="85"/>
      <x:c r="Y1047" s="86"/>
      <x:c r="Z1047" s="86"/>
      <x:c r="AA1047" s="32"/>
    </x:row>
    <x:row r="1048">
      <x:c r="A1048" s="87"/>
      <x:c r="B1048" s="88"/>
      <x:c r="D1048" s="32"/>
      <x:c r="I1048" s="74"/>
      <x:c r="J1048" s="74"/>
      <x:c r="K1048" s="74"/>
      <x:c r="L1048" s="74"/>
      <x:c r="M1048" s="74"/>
      <x:c r="N1048" s="74"/>
      <x:c r="O1048" s="91"/>
      <x:c r="P1048" s="91"/>
      <x:c r="Q1048" s="85"/>
      <x:c r="R1048" s="85"/>
      <x:c r="S1048" s="85"/>
      <x:c r="T1048" s="85"/>
      <x:c r="U1048" s="85"/>
      <x:c r="V1048" s="85"/>
      <x:c r="W1048" s="85"/>
      <x:c r="Y1048" s="86"/>
      <x:c r="Z1048" s="86"/>
      <x:c r="AA1048" s="32"/>
    </x:row>
    <x:row r="1049">
      <x:c r="A1049" s="87"/>
      <x:c r="B1049" s="88"/>
      <x:c r="D1049" s="32"/>
      <x:c r="I1049" s="74"/>
      <x:c r="J1049" s="74"/>
      <x:c r="K1049" s="74"/>
      <x:c r="L1049" s="74"/>
      <x:c r="M1049" s="74"/>
      <x:c r="N1049" s="74"/>
      <x:c r="O1049" s="91"/>
      <x:c r="P1049" s="91"/>
      <x:c r="Q1049" s="85"/>
      <x:c r="R1049" s="85"/>
      <x:c r="S1049" s="85"/>
      <x:c r="T1049" s="85"/>
      <x:c r="U1049" s="85"/>
      <x:c r="V1049" s="85"/>
      <x:c r="W1049" s="85"/>
      <x:c r="Y1049" s="86"/>
      <x:c r="Z1049" s="86"/>
      <x:c r="AA1049" s="32"/>
    </x:row>
    <x:row r="1050">
      <x:c r="A1050" s="87"/>
      <x:c r="B1050" s="88"/>
      <x:c r="D1050" s="32"/>
      <x:c r="I1050" s="74"/>
      <x:c r="J1050" s="74"/>
      <x:c r="K1050" s="74"/>
      <x:c r="L1050" s="74"/>
      <x:c r="M1050" s="74"/>
      <x:c r="N1050" s="74"/>
      <x:c r="O1050" s="91"/>
      <x:c r="P1050" s="91"/>
      <x:c r="Q1050" s="85"/>
      <x:c r="R1050" s="85"/>
      <x:c r="S1050" s="85"/>
      <x:c r="T1050" s="85"/>
      <x:c r="U1050" s="85"/>
      <x:c r="V1050" s="85"/>
      <x:c r="W1050" s="85"/>
      <x:c r="Y1050" s="86"/>
      <x:c r="Z1050" s="86"/>
      <x:c r="AA1050" s="32"/>
    </x:row>
    <x:row r="1051">
      <x:c r="A1051" s="87"/>
      <x:c r="B1051" s="88"/>
      <x:c r="D1051" s="32"/>
      <x:c r="I1051" s="74"/>
      <x:c r="J1051" s="74"/>
      <x:c r="K1051" s="74"/>
      <x:c r="L1051" s="74"/>
      <x:c r="M1051" s="74"/>
      <x:c r="N1051" s="74"/>
      <x:c r="O1051" s="91"/>
      <x:c r="P1051" s="91"/>
      <x:c r="Q1051" s="85"/>
      <x:c r="R1051" s="85"/>
      <x:c r="S1051" s="85"/>
      <x:c r="T1051" s="85"/>
      <x:c r="U1051" s="85"/>
      <x:c r="V1051" s="85"/>
      <x:c r="W1051" s="85"/>
      <x:c r="Y1051" s="86"/>
      <x:c r="Z1051" s="86"/>
      <x:c r="AA1051" s="32"/>
    </x:row>
    <x:row r="1052">
      <x:c r="A1052" s="87"/>
      <x:c r="B1052" s="88"/>
      <x:c r="D1052" s="32"/>
      <x:c r="I1052" s="74"/>
      <x:c r="J1052" s="74"/>
      <x:c r="K1052" s="74"/>
      <x:c r="L1052" s="74"/>
      <x:c r="M1052" s="74"/>
      <x:c r="N1052" s="74"/>
      <x:c r="O1052" s="91"/>
      <x:c r="P1052" s="91"/>
      <x:c r="Q1052" s="85"/>
      <x:c r="R1052" s="85"/>
      <x:c r="S1052" s="85"/>
      <x:c r="T1052" s="85"/>
      <x:c r="U1052" s="85"/>
      <x:c r="V1052" s="85"/>
      <x:c r="W1052" s="85"/>
      <x:c r="Y1052" s="86"/>
      <x:c r="Z1052" s="86"/>
      <x:c r="AA1052" s="32"/>
    </x:row>
    <x:row r="1053">
      <x:c r="A1053" s="87"/>
      <x:c r="B1053" s="88"/>
      <x:c r="D1053" s="32"/>
      <x:c r="I1053" s="74"/>
      <x:c r="J1053" s="74"/>
      <x:c r="K1053" s="74"/>
      <x:c r="L1053" s="74"/>
      <x:c r="M1053" s="74"/>
      <x:c r="N1053" s="74"/>
      <x:c r="O1053" s="91"/>
      <x:c r="P1053" s="91"/>
      <x:c r="Q1053" s="85"/>
      <x:c r="R1053" s="85"/>
      <x:c r="S1053" s="85"/>
      <x:c r="T1053" s="85"/>
      <x:c r="U1053" s="85"/>
      <x:c r="V1053" s="85"/>
      <x:c r="W1053" s="85"/>
      <x:c r="Y1053" s="86"/>
      <x:c r="Z1053" s="86"/>
      <x:c r="AA1053" s="32"/>
    </x:row>
    <x:row r="1054">
      <x:c r="A1054" s="87"/>
      <x:c r="B1054" s="88"/>
      <x:c r="D1054" s="32"/>
      <x:c r="I1054" s="74"/>
      <x:c r="J1054" s="74"/>
      <x:c r="K1054" s="74"/>
      <x:c r="L1054" s="74"/>
      <x:c r="M1054" s="74"/>
      <x:c r="N1054" s="74"/>
      <x:c r="O1054" s="91"/>
      <x:c r="P1054" s="91"/>
      <x:c r="Q1054" s="85"/>
      <x:c r="R1054" s="85"/>
      <x:c r="S1054" s="85"/>
      <x:c r="T1054" s="85"/>
      <x:c r="U1054" s="85"/>
      <x:c r="V1054" s="85"/>
      <x:c r="W1054" s="85"/>
      <x:c r="Y1054" s="86"/>
      <x:c r="Z1054" s="86"/>
      <x:c r="AA1054" s="32"/>
    </x:row>
    <x:row r="1055">
      <x:c r="A1055" s="87"/>
      <x:c r="B1055" s="88"/>
      <x:c r="D1055" s="32"/>
      <x:c r="I1055" s="74"/>
      <x:c r="J1055" s="74"/>
      <x:c r="K1055" s="74"/>
      <x:c r="L1055" s="74"/>
      <x:c r="M1055" s="74"/>
      <x:c r="N1055" s="74"/>
      <x:c r="O1055" s="91"/>
      <x:c r="P1055" s="91"/>
      <x:c r="Q1055" s="85"/>
      <x:c r="R1055" s="85"/>
      <x:c r="S1055" s="85"/>
      <x:c r="T1055" s="85"/>
      <x:c r="U1055" s="85"/>
      <x:c r="V1055" s="85"/>
      <x:c r="W1055" s="85"/>
      <x:c r="Y1055" s="86"/>
      <x:c r="Z1055" s="86"/>
      <x:c r="AA1055" s="32"/>
    </x:row>
    <x:row r="1056">
      <x:c r="A1056" s="87"/>
      <x:c r="B1056" s="88"/>
      <x:c r="D1056" s="32"/>
      <x:c r="I1056" s="74"/>
      <x:c r="J1056" s="74"/>
      <x:c r="K1056" s="74"/>
      <x:c r="L1056" s="74"/>
      <x:c r="M1056" s="74"/>
      <x:c r="N1056" s="74"/>
      <x:c r="O1056" s="91"/>
      <x:c r="P1056" s="91"/>
      <x:c r="Q1056" s="85"/>
      <x:c r="R1056" s="85"/>
      <x:c r="S1056" s="85"/>
      <x:c r="T1056" s="85"/>
      <x:c r="U1056" s="85"/>
      <x:c r="V1056" s="85"/>
      <x:c r="W1056" s="85"/>
      <x:c r="Y1056" s="86"/>
      <x:c r="Z1056" s="86"/>
      <x:c r="AA1056" s="32"/>
    </x:row>
    <x:row r="1057">
      <x:c r="A1057" s="87"/>
      <x:c r="B1057" s="88"/>
      <x:c r="D1057" s="32"/>
      <x:c r="I1057" s="74"/>
      <x:c r="J1057" s="74"/>
      <x:c r="K1057" s="74"/>
      <x:c r="L1057" s="74"/>
      <x:c r="M1057" s="74"/>
      <x:c r="N1057" s="74"/>
      <x:c r="O1057" s="91"/>
      <x:c r="P1057" s="91"/>
      <x:c r="Q1057" s="85"/>
      <x:c r="R1057" s="85"/>
      <x:c r="S1057" s="85"/>
      <x:c r="T1057" s="85"/>
      <x:c r="U1057" s="85"/>
      <x:c r="V1057" s="85"/>
      <x:c r="W1057" s="85"/>
      <x:c r="Y1057" s="86"/>
      <x:c r="Z1057" s="86"/>
      <x:c r="AA1057" s="32"/>
    </x:row>
    <x:row r="1058">
      <x:c r="A1058" s="87"/>
      <x:c r="B1058" s="88"/>
      <x:c r="D1058" s="32"/>
      <x:c r="I1058" s="74"/>
      <x:c r="J1058" s="74"/>
      <x:c r="K1058" s="74"/>
      <x:c r="L1058" s="74"/>
      <x:c r="M1058" s="74"/>
      <x:c r="N1058" s="74"/>
      <x:c r="O1058" s="91"/>
      <x:c r="P1058" s="91"/>
      <x:c r="Q1058" s="85"/>
      <x:c r="R1058" s="85"/>
      <x:c r="S1058" s="85"/>
      <x:c r="T1058" s="85"/>
      <x:c r="U1058" s="85"/>
      <x:c r="V1058" s="85"/>
      <x:c r="W1058" s="85"/>
      <x:c r="Y1058" s="86"/>
      <x:c r="Z1058" s="86"/>
      <x:c r="AA1058" s="32"/>
    </x:row>
    <x:row r="1059">
      <x:c r="A1059" s="87"/>
      <x:c r="B1059" s="88"/>
      <x:c r="D1059" s="32"/>
      <x:c r="I1059" s="74"/>
      <x:c r="J1059" s="74"/>
      <x:c r="K1059" s="74"/>
      <x:c r="L1059" s="74"/>
      <x:c r="M1059" s="74"/>
      <x:c r="N1059" s="74"/>
      <x:c r="O1059" s="91"/>
      <x:c r="P1059" s="91"/>
      <x:c r="Q1059" s="85"/>
      <x:c r="R1059" s="85"/>
      <x:c r="S1059" s="85"/>
      <x:c r="T1059" s="85"/>
      <x:c r="U1059" s="85"/>
      <x:c r="V1059" s="85"/>
      <x:c r="W1059" s="85"/>
      <x:c r="Y1059" s="86"/>
      <x:c r="Z1059" s="86"/>
      <x:c r="AA1059" s="32"/>
    </x:row>
    <x:row r="1060">
      <x:c r="A1060" s="87"/>
      <x:c r="B1060" s="88"/>
      <x:c r="D1060" s="32"/>
      <x:c r="I1060" s="74"/>
      <x:c r="J1060" s="74"/>
      <x:c r="K1060" s="74"/>
      <x:c r="L1060" s="74"/>
      <x:c r="M1060" s="74"/>
      <x:c r="N1060" s="74"/>
      <x:c r="O1060" s="91"/>
      <x:c r="P1060" s="91"/>
      <x:c r="Q1060" s="85"/>
      <x:c r="R1060" s="85"/>
      <x:c r="S1060" s="85"/>
      <x:c r="T1060" s="85"/>
      <x:c r="U1060" s="85"/>
      <x:c r="V1060" s="85"/>
      <x:c r="W1060" s="85"/>
      <x:c r="Y1060" s="86"/>
      <x:c r="Z1060" s="86"/>
      <x:c r="AA1060" s="32"/>
    </x:row>
    <x:row r="1061">
      <x:c r="A1061" s="87"/>
      <x:c r="B1061" s="88"/>
      <x:c r="D1061" s="32"/>
      <x:c r="I1061" s="74"/>
      <x:c r="J1061" s="74"/>
      <x:c r="K1061" s="74"/>
      <x:c r="L1061" s="74"/>
      <x:c r="M1061" s="74"/>
      <x:c r="N1061" s="74"/>
      <x:c r="O1061" s="91"/>
      <x:c r="P1061" s="91"/>
      <x:c r="Q1061" s="85"/>
      <x:c r="R1061" s="85"/>
      <x:c r="S1061" s="85"/>
      <x:c r="T1061" s="85"/>
      <x:c r="U1061" s="85"/>
      <x:c r="V1061" s="85"/>
      <x:c r="W1061" s="85"/>
      <x:c r="Y1061" s="86"/>
      <x:c r="Z1061" s="86"/>
      <x:c r="AA1061" s="32"/>
    </x:row>
    <x:row r="1062">
      <x:c r="A1062" s="87"/>
      <x:c r="B1062" s="88"/>
      <x:c r="D1062" s="32"/>
      <x:c r="I1062" s="74"/>
      <x:c r="J1062" s="74"/>
      <x:c r="K1062" s="74"/>
      <x:c r="L1062" s="74"/>
      <x:c r="M1062" s="74"/>
      <x:c r="N1062" s="74"/>
      <x:c r="O1062" s="91"/>
      <x:c r="P1062" s="91"/>
      <x:c r="Q1062" s="85"/>
      <x:c r="R1062" s="85"/>
      <x:c r="S1062" s="85"/>
      <x:c r="T1062" s="85"/>
      <x:c r="U1062" s="85"/>
      <x:c r="V1062" s="85"/>
      <x:c r="W1062" s="85"/>
      <x:c r="Y1062" s="86"/>
      <x:c r="Z1062" s="86"/>
      <x:c r="AA1062" s="32"/>
    </x:row>
    <x:row r="1063">
      <x:c r="A1063" s="87"/>
      <x:c r="B1063" s="88"/>
      <x:c r="D1063" s="32"/>
      <x:c r="I1063" s="74"/>
      <x:c r="J1063" s="74"/>
      <x:c r="K1063" s="74"/>
      <x:c r="L1063" s="74"/>
      <x:c r="M1063" s="74"/>
      <x:c r="N1063" s="74"/>
      <x:c r="O1063" s="91"/>
      <x:c r="P1063" s="91"/>
      <x:c r="Q1063" s="85"/>
      <x:c r="R1063" s="85"/>
      <x:c r="S1063" s="85"/>
      <x:c r="T1063" s="85"/>
      <x:c r="U1063" s="85"/>
      <x:c r="V1063" s="85"/>
      <x:c r="W1063" s="85"/>
      <x:c r="Y1063" s="86"/>
      <x:c r="Z1063" s="86"/>
      <x:c r="AA1063" s="32"/>
    </x:row>
    <x:row r="1064">
      <x:c r="A1064" s="87"/>
      <x:c r="B1064" s="88"/>
      <x:c r="D1064" s="32"/>
      <x:c r="I1064" s="74"/>
      <x:c r="J1064" s="74"/>
      <x:c r="K1064" s="74"/>
      <x:c r="L1064" s="74"/>
      <x:c r="M1064" s="74"/>
      <x:c r="N1064" s="74"/>
      <x:c r="O1064" s="91"/>
      <x:c r="P1064" s="91"/>
      <x:c r="Q1064" s="85"/>
      <x:c r="R1064" s="85"/>
      <x:c r="S1064" s="85"/>
      <x:c r="T1064" s="85"/>
      <x:c r="U1064" s="85"/>
      <x:c r="V1064" s="85"/>
      <x:c r="W1064" s="85"/>
      <x:c r="Y1064" s="86"/>
      <x:c r="Z1064" s="86"/>
      <x:c r="AA1064" s="32"/>
    </x:row>
    <x:row r="1065">
      <x:c r="A1065" s="87"/>
      <x:c r="B1065" s="88"/>
      <x:c r="D1065" s="32"/>
      <x:c r="I1065" s="74"/>
      <x:c r="J1065" s="74"/>
      <x:c r="K1065" s="74"/>
      <x:c r="L1065" s="74"/>
      <x:c r="M1065" s="74"/>
      <x:c r="N1065" s="74"/>
      <x:c r="O1065" s="91"/>
      <x:c r="P1065" s="91"/>
      <x:c r="Q1065" s="85"/>
      <x:c r="R1065" s="85"/>
      <x:c r="S1065" s="85"/>
      <x:c r="T1065" s="85"/>
      <x:c r="U1065" s="85"/>
      <x:c r="V1065" s="85"/>
      <x:c r="W1065" s="85"/>
      <x:c r="Y1065" s="86"/>
      <x:c r="Z1065" s="86"/>
      <x:c r="AA1065" s="32"/>
    </x:row>
    <x:row r="1066">
      <x:c r="A1066" s="87"/>
      <x:c r="B1066" s="88"/>
      <x:c r="D1066" s="32"/>
      <x:c r="I1066" s="74"/>
      <x:c r="J1066" s="74"/>
      <x:c r="K1066" s="74"/>
      <x:c r="L1066" s="74"/>
      <x:c r="M1066" s="74"/>
      <x:c r="N1066" s="74"/>
      <x:c r="O1066" s="91"/>
      <x:c r="P1066" s="91"/>
      <x:c r="Q1066" s="85"/>
      <x:c r="R1066" s="85"/>
      <x:c r="S1066" s="85"/>
      <x:c r="T1066" s="85"/>
      <x:c r="U1066" s="85"/>
      <x:c r="V1066" s="85"/>
      <x:c r="W1066" s="85"/>
      <x:c r="Y1066" s="86"/>
      <x:c r="Z1066" s="86"/>
      <x:c r="AA1066" s="32"/>
    </x:row>
    <x:row r="1067">
      <x:c r="A1067" s="87"/>
      <x:c r="B1067" s="88"/>
      <x:c r="D1067" s="32"/>
      <x:c r="I1067" s="74"/>
      <x:c r="J1067" s="74"/>
      <x:c r="K1067" s="74"/>
      <x:c r="L1067" s="74"/>
      <x:c r="M1067" s="74"/>
      <x:c r="N1067" s="74"/>
      <x:c r="O1067" s="91"/>
      <x:c r="P1067" s="91"/>
      <x:c r="Q1067" s="85"/>
      <x:c r="R1067" s="85"/>
      <x:c r="S1067" s="85"/>
      <x:c r="T1067" s="85"/>
      <x:c r="U1067" s="85"/>
      <x:c r="V1067" s="85"/>
      <x:c r="W1067" s="85"/>
      <x:c r="Y1067" s="86"/>
      <x:c r="Z1067" s="86"/>
      <x:c r="AA1067" s="32"/>
    </x:row>
    <x:row r="1068">
      <x:c r="A1068" s="87"/>
      <x:c r="B1068" s="88"/>
      <x:c r="D1068" s="32"/>
      <x:c r="I1068" s="74"/>
      <x:c r="J1068" s="74"/>
      <x:c r="K1068" s="74"/>
      <x:c r="L1068" s="74"/>
      <x:c r="M1068" s="74"/>
      <x:c r="N1068" s="74"/>
      <x:c r="O1068" s="91"/>
      <x:c r="P1068" s="91"/>
      <x:c r="Q1068" s="85"/>
      <x:c r="R1068" s="85"/>
      <x:c r="S1068" s="85"/>
      <x:c r="T1068" s="85"/>
      <x:c r="U1068" s="85"/>
      <x:c r="V1068" s="85"/>
      <x:c r="W1068" s="85"/>
      <x:c r="Y1068" s="86"/>
      <x:c r="Z1068" s="86"/>
      <x:c r="AA1068" s="32"/>
    </x:row>
    <x:row r="1069">
      <x:c r="A1069" s="87"/>
      <x:c r="B1069" s="88"/>
      <x:c r="D1069" s="32"/>
      <x:c r="I1069" s="74"/>
      <x:c r="J1069" s="74"/>
      <x:c r="K1069" s="74"/>
      <x:c r="L1069" s="74"/>
      <x:c r="M1069" s="74"/>
      <x:c r="N1069" s="74"/>
      <x:c r="O1069" s="91"/>
      <x:c r="P1069" s="91"/>
      <x:c r="Q1069" s="85"/>
      <x:c r="R1069" s="85"/>
      <x:c r="S1069" s="85"/>
      <x:c r="T1069" s="85"/>
      <x:c r="U1069" s="85"/>
      <x:c r="V1069" s="85"/>
      <x:c r="W1069" s="85"/>
      <x:c r="Y1069" s="86"/>
      <x:c r="Z1069" s="86"/>
      <x:c r="AA1069" s="32"/>
    </x:row>
    <x:row r="1070">
      <x:c r="A1070" s="87"/>
      <x:c r="B1070" s="88"/>
      <x:c r="D1070" s="32"/>
      <x:c r="I1070" s="74"/>
      <x:c r="J1070" s="74"/>
      <x:c r="K1070" s="74"/>
      <x:c r="L1070" s="74"/>
      <x:c r="M1070" s="74"/>
      <x:c r="N1070" s="74"/>
      <x:c r="O1070" s="91"/>
      <x:c r="P1070" s="91"/>
      <x:c r="Q1070" s="85"/>
      <x:c r="R1070" s="85"/>
      <x:c r="S1070" s="85"/>
      <x:c r="T1070" s="85"/>
      <x:c r="U1070" s="85"/>
      <x:c r="V1070" s="85"/>
      <x:c r="W1070" s="85"/>
      <x:c r="Y1070" s="86"/>
      <x:c r="Z1070" s="86"/>
      <x:c r="AA1070" s="32"/>
    </x:row>
    <x:row r="1071">
      <x:c r="A1071" s="87"/>
      <x:c r="B1071" s="88"/>
      <x:c r="D1071" s="32"/>
      <x:c r="I1071" s="74"/>
      <x:c r="J1071" s="74"/>
      <x:c r="K1071" s="74"/>
      <x:c r="L1071" s="74"/>
      <x:c r="M1071" s="74"/>
      <x:c r="N1071" s="74"/>
      <x:c r="O1071" s="91"/>
      <x:c r="P1071" s="91"/>
      <x:c r="Q1071" s="85"/>
      <x:c r="R1071" s="85"/>
      <x:c r="S1071" s="85"/>
      <x:c r="T1071" s="85"/>
      <x:c r="U1071" s="85"/>
      <x:c r="V1071" s="85"/>
      <x:c r="W1071" s="85"/>
      <x:c r="Y1071" s="86"/>
      <x:c r="Z1071" s="86"/>
      <x:c r="AA1071" s="32"/>
    </x:row>
    <x:row r="1072">
      <x:c r="A1072" s="87"/>
      <x:c r="B1072" s="88"/>
      <x:c r="D1072" s="32"/>
      <x:c r="I1072" s="74"/>
      <x:c r="J1072" s="74"/>
      <x:c r="K1072" s="74"/>
      <x:c r="L1072" s="74"/>
      <x:c r="M1072" s="74"/>
      <x:c r="N1072" s="74"/>
      <x:c r="O1072" s="91"/>
      <x:c r="P1072" s="91"/>
      <x:c r="Q1072" s="85"/>
      <x:c r="R1072" s="85"/>
      <x:c r="S1072" s="85"/>
      <x:c r="T1072" s="85"/>
      <x:c r="U1072" s="85"/>
      <x:c r="V1072" s="85"/>
      <x:c r="W1072" s="85"/>
      <x:c r="Y1072" s="86"/>
      <x:c r="Z1072" s="86"/>
      <x:c r="AA1072" s="32"/>
    </x:row>
    <x:row r="1073">
      <x:c r="A1073" s="87"/>
      <x:c r="B1073" s="88"/>
      <x:c r="D1073" s="32"/>
      <x:c r="I1073" s="74"/>
      <x:c r="J1073" s="74"/>
      <x:c r="K1073" s="74"/>
      <x:c r="L1073" s="74"/>
      <x:c r="M1073" s="74"/>
      <x:c r="N1073" s="74"/>
      <x:c r="O1073" s="91"/>
      <x:c r="P1073" s="91"/>
      <x:c r="Q1073" s="85"/>
      <x:c r="R1073" s="85"/>
      <x:c r="S1073" s="85"/>
      <x:c r="T1073" s="85"/>
      <x:c r="U1073" s="85"/>
      <x:c r="V1073" s="85"/>
      <x:c r="W1073" s="85"/>
      <x:c r="Y1073" s="86"/>
      <x:c r="Z1073" s="86"/>
      <x:c r="AA1073" s="32"/>
    </x:row>
    <x:row r="1074">
      <x:c r="A1074" s="87"/>
      <x:c r="B1074" s="88"/>
      <x:c r="D1074" s="32"/>
      <x:c r="I1074" s="74"/>
      <x:c r="J1074" s="74"/>
      <x:c r="K1074" s="74"/>
      <x:c r="L1074" s="74"/>
      <x:c r="M1074" s="74"/>
      <x:c r="N1074" s="74"/>
      <x:c r="O1074" s="91"/>
      <x:c r="P1074" s="91"/>
      <x:c r="Q1074" s="85"/>
      <x:c r="R1074" s="85"/>
      <x:c r="S1074" s="85"/>
      <x:c r="T1074" s="85"/>
      <x:c r="U1074" s="85"/>
      <x:c r="V1074" s="85"/>
      <x:c r="W1074" s="85"/>
      <x:c r="Y1074" s="86"/>
      <x:c r="Z1074" s="86"/>
      <x:c r="AA1074" s="32"/>
    </x:row>
    <x:row r="1075">
      <x:c r="A1075" s="87"/>
      <x:c r="B1075" s="88"/>
      <x:c r="D1075" s="32"/>
      <x:c r="I1075" s="74"/>
      <x:c r="J1075" s="74"/>
      <x:c r="K1075" s="74"/>
      <x:c r="L1075" s="74"/>
      <x:c r="M1075" s="74"/>
      <x:c r="N1075" s="74"/>
      <x:c r="O1075" s="91"/>
      <x:c r="P1075" s="91"/>
      <x:c r="Q1075" s="85"/>
      <x:c r="R1075" s="85"/>
      <x:c r="S1075" s="85"/>
      <x:c r="T1075" s="85"/>
      <x:c r="U1075" s="85"/>
      <x:c r="V1075" s="85"/>
      <x:c r="W1075" s="85"/>
      <x:c r="Y1075" s="86"/>
      <x:c r="Z1075" s="86"/>
      <x:c r="AA1075" s="32"/>
    </x:row>
    <x:row r="1076">
      <x:c r="A1076" s="87"/>
      <x:c r="B1076" s="88"/>
      <x:c r="D1076" s="32"/>
      <x:c r="I1076" s="74"/>
      <x:c r="J1076" s="74"/>
      <x:c r="K1076" s="74"/>
      <x:c r="L1076" s="74"/>
      <x:c r="M1076" s="74"/>
      <x:c r="N1076" s="74"/>
      <x:c r="O1076" s="91"/>
      <x:c r="P1076" s="91"/>
      <x:c r="Q1076" s="85"/>
      <x:c r="R1076" s="85"/>
      <x:c r="S1076" s="85"/>
      <x:c r="T1076" s="85"/>
      <x:c r="U1076" s="85"/>
      <x:c r="V1076" s="85"/>
      <x:c r="W1076" s="85"/>
      <x:c r="Y1076" s="86"/>
      <x:c r="Z1076" s="86"/>
      <x:c r="AA1076" s="32"/>
    </x:row>
    <x:row r="1077">
      <x:c r="A1077" s="87"/>
      <x:c r="B1077" s="88"/>
      <x:c r="D1077" s="32"/>
      <x:c r="I1077" s="74"/>
      <x:c r="J1077" s="74"/>
      <x:c r="K1077" s="74"/>
      <x:c r="L1077" s="74"/>
      <x:c r="M1077" s="74"/>
      <x:c r="N1077" s="74"/>
      <x:c r="O1077" s="91"/>
      <x:c r="P1077" s="91"/>
      <x:c r="Q1077" s="85"/>
      <x:c r="R1077" s="85"/>
      <x:c r="S1077" s="85"/>
      <x:c r="T1077" s="85"/>
      <x:c r="U1077" s="85"/>
      <x:c r="V1077" s="85"/>
      <x:c r="W1077" s="85"/>
      <x:c r="Y1077" s="86"/>
      <x:c r="Z1077" s="86"/>
      <x:c r="AA1077" s="32"/>
    </x:row>
    <x:row r="1078">
      <x:c r="A1078" s="87"/>
      <x:c r="B1078" s="88"/>
      <x:c r="D1078" s="32"/>
      <x:c r="I1078" s="74"/>
      <x:c r="J1078" s="74"/>
      <x:c r="K1078" s="74"/>
      <x:c r="L1078" s="74"/>
      <x:c r="M1078" s="74"/>
      <x:c r="N1078" s="74"/>
      <x:c r="O1078" s="91"/>
      <x:c r="P1078" s="91"/>
      <x:c r="Q1078" s="85"/>
      <x:c r="R1078" s="85"/>
      <x:c r="S1078" s="85"/>
      <x:c r="T1078" s="85"/>
      <x:c r="U1078" s="85"/>
      <x:c r="V1078" s="85"/>
      <x:c r="W1078" s="85"/>
      <x:c r="Y1078" s="86"/>
      <x:c r="Z1078" s="86"/>
      <x:c r="AA1078" s="32"/>
    </x:row>
    <x:row r="1079">
      <x:c r="A1079" s="87"/>
      <x:c r="B1079" s="88"/>
      <x:c r="D1079" s="32"/>
      <x:c r="I1079" s="74"/>
      <x:c r="J1079" s="74"/>
      <x:c r="K1079" s="74"/>
      <x:c r="L1079" s="74"/>
      <x:c r="M1079" s="74"/>
      <x:c r="N1079" s="74"/>
      <x:c r="O1079" s="91"/>
      <x:c r="P1079" s="91"/>
      <x:c r="Q1079" s="85"/>
      <x:c r="R1079" s="85"/>
      <x:c r="S1079" s="85"/>
      <x:c r="T1079" s="85"/>
      <x:c r="U1079" s="85"/>
      <x:c r="V1079" s="85"/>
      <x:c r="W1079" s="85"/>
      <x:c r="Y1079" s="86"/>
      <x:c r="Z1079" s="86"/>
      <x:c r="AA1079" s="32"/>
    </x:row>
    <x:row r="1080">
      <x:c r="A1080" s="87"/>
      <x:c r="B1080" s="88"/>
      <x:c r="D1080" s="32"/>
      <x:c r="I1080" s="74"/>
      <x:c r="J1080" s="74"/>
      <x:c r="K1080" s="74"/>
      <x:c r="L1080" s="74"/>
      <x:c r="M1080" s="74"/>
      <x:c r="N1080" s="74"/>
      <x:c r="O1080" s="91"/>
      <x:c r="P1080" s="91"/>
      <x:c r="Q1080" s="85"/>
      <x:c r="R1080" s="85"/>
      <x:c r="S1080" s="85"/>
      <x:c r="T1080" s="85"/>
      <x:c r="U1080" s="85"/>
      <x:c r="V1080" s="85"/>
      <x:c r="W1080" s="85"/>
      <x:c r="Y1080" s="86"/>
      <x:c r="Z1080" s="86"/>
      <x:c r="AA1080" s="32"/>
    </x:row>
    <x:row r="1081">
      <x:c r="A1081" s="87"/>
      <x:c r="B1081" s="88"/>
      <x:c r="D1081" s="32"/>
      <x:c r="I1081" s="74"/>
      <x:c r="J1081" s="74"/>
      <x:c r="K1081" s="74"/>
      <x:c r="L1081" s="74"/>
      <x:c r="M1081" s="74"/>
      <x:c r="N1081" s="74"/>
      <x:c r="O1081" s="91"/>
      <x:c r="P1081" s="91"/>
      <x:c r="Q1081" s="85"/>
      <x:c r="R1081" s="85"/>
      <x:c r="S1081" s="85"/>
      <x:c r="T1081" s="85"/>
      <x:c r="U1081" s="85"/>
      <x:c r="V1081" s="85"/>
      <x:c r="W1081" s="85"/>
      <x:c r="Y1081" s="86"/>
      <x:c r="Z1081" s="86"/>
      <x:c r="AA1081" s="32"/>
    </x:row>
    <x:row r="1082">
      <x:c r="A1082" s="87"/>
      <x:c r="B1082" s="88"/>
      <x:c r="D1082" s="32"/>
      <x:c r="I1082" s="74"/>
      <x:c r="J1082" s="74"/>
      <x:c r="K1082" s="74"/>
      <x:c r="L1082" s="74"/>
      <x:c r="M1082" s="74"/>
      <x:c r="N1082" s="74"/>
      <x:c r="O1082" s="91"/>
      <x:c r="P1082" s="91"/>
      <x:c r="Q1082" s="85"/>
      <x:c r="R1082" s="85"/>
      <x:c r="S1082" s="85"/>
      <x:c r="T1082" s="85"/>
      <x:c r="U1082" s="85"/>
      <x:c r="V1082" s="85"/>
      <x:c r="W1082" s="85"/>
      <x:c r="Y1082" s="86"/>
      <x:c r="Z1082" s="86"/>
      <x:c r="AA1082" s="32"/>
    </x:row>
    <x:row r="1083">
      <x:c r="A1083" s="87"/>
      <x:c r="B1083" s="88"/>
      <x:c r="D1083" s="32"/>
      <x:c r="I1083" s="74"/>
      <x:c r="J1083" s="74"/>
      <x:c r="K1083" s="74"/>
      <x:c r="L1083" s="74"/>
      <x:c r="M1083" s="74"/>
      <x:c r="N1083" s="74"/>
      <x:c r="O1083" s="91"/>
      <x:c r="P1083" s="91"/>
      <x:c r="Q1083" s="85"/>
      <x:c r="R1083" s="85"/>
      <x:c r="S1083" s="85"/>
      <x:c r="T1083" s="85"/>
      <x:c r="U1083" s="85"/>
      <x:c r="V1083" s="85"/>
      <x:c r="W1083" s="85"/>
      <x:c r="Y1083" s="86"/>
      <x:c r="Z1083" s="86"/>
      <x:c r="AA1083" s="32"/>
    </x:row>
    <x:row r="1084">
      <x:c r="A1084" s="87"/>
      <x:c r="B1084" s="88"/>
      <x:c r="D1084" s="32"/>
      <x:c r="I1084" s="74"/>
      <x:c r="J1084" s="74"/>
      <x:c r="K1084" s="74"/>
      <x:c r="L1084" s="74"/>
      <x:c r="M1084" s="74"/>
      <x:c r="N1084" s="74"/>
      <x:c r="O1084" s="91"/>
      <x:c r="P1084" s="91"/>
      <x:c r="Q1084" s="85"/>
      <x:c r="R1084" s="85"/>
      <x:c r="S1084" s="85"/>
      <x:c r="T1084" s="85"/>
      <x:c r="U1084" s="85"/>
      <x:c r="V1084" s="85"/>
      <x:c r="W1084" s="85"/>
      <x:c r="Y1084" s="86"/>
      <x:c r="Z1084" s="86"/>
      <x:c r="AA1084" s="32"/>
    </x:row>
    <x:row r="1085">
      <x:c r="A1085" s="87"/>
      <x:c r="B1085" s="88"/>
      <x:c r="D1085" s="32"/>
      <x:c r="I1085" s="74"/>
      <x:c r="J1085" s="74"/>
      <x:c r="K1085" s="74"/>
      <x:c r="L1085" s="74"/>
      <x:c r="M1085" s="74"/>
      <x:c r="N1085" s="74"/>
      <x:c r="O1085" s="91"/>
      <x:c r="P1085" s="91"/>
      <x:c r="Q1085" s="85"/>
      <x:c r="R1085" s="85"/>
      <x:c r="S1085" s="85"/>
      <x:c r="T1085" s="85"/>
      <x:c r="U1085" s="85"/>
      <x:c r="V1085" s="85"/>
      <x:c r="W1085" s="85"/>
      <x:c r="Y1085" s="86"/>
      <x:c r="Z1085" s="86"/>
      <x:c r="AA1085" s="32"/>
    </x:row>
    <x:row r="1086">
      <x:c r="A1086" s="87"/>
      <x:c r="B1086" s="88"/>
      <x:c r="D1086" s="32"/>
      <x:c r="I1086" s="74"/>
      <x:c r="J1086" s="74"/>
      <x:c r="K1086" s="74"/>
      <x:c r="L1086" s="74"/>
      <x:c r="M1086" s="74"/>
      <x:c r="N1086" s="74"/>
      <x:c r="O1086" s="91"/>
      <x:c r="P1086" s="91"/>
      <x:c r="Q1086" s="85"/>
      <x:c r="R1086" s="85"/>
      <x:c r="S1086" s="85"/>
      <x:c r="T1086" s="85"/>
      <x:c r="U1086" s="85"/>
      <x:c r="V1086" s="85"/>
      <x:c r="W1086" s="85"/>
      <x:c r="Y1086" s="86"/>
      <x:c r="Z1086" s="86"/>
      <x:c r="AA1086" s="32"/>
    </x:row>
    <x:row r="1087">
      <x:c r="A1087" s="87"/>
      <x:c r="B1087" s="88"/>
      <x:c r="D1087" s="32"/>
      <x:c r="I1087" s="74"/>
      <x:c r="J1087" s="74"/>
      <x:c r="K1087" s="74"/>
      <x:c r="L1087" s="74"/>
      <x:c r="M1087" s="74"/>
      <x:c r="N1087" s="74"/>
      <x:c r="O1087" s="91"/>
      <x:c r="P1087" s="91"/>
      <x:c r="Q1087" s="85"/>
      <x:c r="R1087" s="85"/>
      <x:c r="S1087" s="85"/>
      <x:c r="T1087" s="85"/>
      <x:c r="U1087" s="85"/>
      <x:c r="V1087" s="85"/>
      <x:c r="W1087" s="85"/>
      <x:c r="Y1087" s="86"/>
      <x:c r="Z1087" s="86"/>
      <x:c r="AA1087" s="32"/>
    </x:row>
    <x:row r="1088">
      <x:c r="A1088" s="87"/>
      <x:c r="B1088" s="88"/>
      <x:c r="D1088" s="32"/>
      <x:c r="I1088" s="74"/>
      <x:c r="J1088" s="74"/>
      <x:c r="K1088" s="74"/>
      <x:c r="L1088" s="74"/>
      <x:c r="M1088" s="74"/>
      <x:c r="N1088" s="74"/>
      <x:c r="O1088" s="91"/>
      <x:c r="P1088" s="91"/>
      <x:c r="Q1088" s="85"/>
      <x:c r="R1088" s="85"/>
      <x:c r="S1088" s="85"/>
      <x:c r="T1088" s="85"/>
      <x:c r="U1088" s="85"/>
      <x:c r="V1088" s="85"/>
      <x:c r="W1088" s="85"/>
      <x:c r="Y1088" s="86"/>
      <x:c r="Z1088" s="86"/>
      <x:c r="AA1088" s="32"/>
    </x:row>
    <x:row r="1089">
      <x:c r="A1089" s="87"/>
      <x:c r="B1089" s="88"/>
      <x:c r="D1089" s="32"/>
      <x:c r="I1089" s="74"/>
      <x:c r="J1089" s="74"/>
      <x:c r="K1089" s="74"/>
      <x:c r="L1089" s="74"/>
      <x:c r="M1089" s="74"/>
      <x:c r="N1089" s="74"/>
      <x:c r="O1089" s="91"/>
      <x:c r="P1089" s="91"/>
      <x:c r="Q1089" s="85"/>
      <x:c r="R1089" s="85"/>
      <x:c r="S1089" s="85"/>
      <x:c r="T1089" s="85"/>
      <x:c r="U1089" s="85"/>
      <x:c r="V1089" s="85"/>
      <x:c r="W1089" s="85"/>
      <x:c r="Y1089" s="86"/>
      <x:c r="Z1089" s="86"/>
      <x:c r="AA1089" s="32"/>
    </x:row>
    <x:row r="1090">
      <x:c r="A1090" s="87"/>
      <x:c r="B1090" s="88"/>
      <x:c r="D1090" s="32"/>
      <x:c r="I1090" s="74"/>
      <x:c r="J1090" s="74"/>
      <x:c r="K1090" s="74"/>
      <x:c r="L1090" s="74"/>
      <x:c r="M1090" s="74"/>
      <x:c r="N1090" s="74"/>
      <x:c r="O1090" s="91"/>
      <x:c r="P1090" s="91"/>
      <x:c r="Q1090" s="85"/>
      <x:c r="R1090" s="85"/>
      <x:c r="S1090" s="85"/>
      <x:c r="T1090" s="85"/>
      <x:c r="U1090" s="85"/>
      <x:c r="V1090" s="85"/>
      <x:c r="W1090" s="85"/>
      <x:c r="Y1090" s="86"/>
      <x:c r="Z1090" s="86"/>
      <x:c r="AA1090" s="32"/>
    </x:row>
    <x:row r="1091">
      <x:c r="A1091" s="87"/>
      <x:c r="B1091" s="88"/>
      <x:c r="D1091" s="32"/>
      <x:c r="I1091" s="74"/>
      <x:c r="J1091" s="74"/>
      <x:c r="K1091" s="74"/>
      <x:c r="L1091" s="74"/>
      <x:c r="M1091" s="74"/>
      <x:c r="N1091" s="74"/>
      <x:c r="O1091" s="91"/>
      <x:c r="P1091" s="91"/>
      <x:c r="Q1091" s="85"/>
      <x:c r="R1091" s="85"/>
      <x:c r="S1091" s="85"/>
      <x:c r="T1091" s="85"/>
      <x:c r="U1091" s="85"/>
      <x:c r="V1091" s="85"/>
      <x:c r="W1091" s="85"/>
      <x:c r="Y1091" s="86"/>
      <x:c r="Z1091" s="86"/>
      <x:c r="AA1091" s="32"/>
    </x:row>
    <x:row r="1092">
      <x:c r="A1092" s="87"/>
      <x:c r="B1092" s="88"/>
      <x:c r="D1092" s="32"/>
      <x:c r="I1092" s="74"/>
      <x:c r="J1092" s="74"/>
      <x:c r="K1092" s="74"/>
      <x:c r="L1092" s="74"/>
      <x:c r="M1092" s="74"/>
      <x:c r="N1092" s="74"/>
      <x:c r="O1092" s="91"/>
      <x:c r="P1092" s="91"/>
      <x:c r="Q1092" s="85"/>
      <x:c r="R1092" s="85"/>
      <x:c r="S1092" s="85"/>
      <x:c r="T1092" s="85"/>
      <x:c r="U1092" s="85"/>
      <x:c r="V1092" s="85"/>
      <x:c r="W1092" s="85"/>
      <x:c r="Y1092" s="86"/>
      <x:c r="Z1092" s="86"/>
      <x:c r="AA1092" s="32"/>
    </x:row>
    <x:row r="1093">
      <x:c r="A1093" s="87"/>
      <x:c r="B1093" s="88"/>
      <x:c r="D1093" s="32"/>
      <x:c r="I1093" s="74"/>
      <x:c r="J1093" s="74"/>
      <x:c r="K1093" s="74"/>
      <x:c r="L1093" s="74"/>
      <x:c r="M1093" s="74"/>
      <x:c r="N1093" s="74"/>
      <x:c r="O1093" s="91"/>
      <x:c r="P1093" s="91"/>
      <x:c r="Q1093" s="85"/>
      <x:c r="R1093" s="85"/>
      <x:c r="S1093" s="85"/>
      <x:c r="T1093" s="85"/>
      <x:c r="U1093" s="85"/>
      <x:c r="V1093" s="85"/>
      <x:c r="W1093" s="85"/>
      <x:c r="Y1093" s="86"/>
      <x:c r="Z1093" s="86"/>
      <x:c r="AA1093" s="32"/>
    </x:row>
    <x:row r="1094">
      <x:c r="A1094" s="87"/>
      <x:c r="B1094" s="88"/>
      <x:c r="D1094" s="32"/>
      <x:c r="I1094" s="74"/>
      <x:c r="J1094" s="74"/>
      <x:c r="K1094" s="74"/>
      <x:c r="L1094" s="74"/>
      <x:c r="M1094" s="74"/>
      <x:c r="N1094" s="74"/>
      <x:c r="O1094" s="91"/>
      <x:c r="P1094" s="91"/>
      <x:c r="Q1094" s="85"/>
      <x:c r="R1094" s="85"/>
      <x:c r="S1094" s="85"/>
      <x:c r="T1094" s="85"/>
      <x:c r="U1094" s="85"/>
      <x:c r="V1094" s="85"/>
      <x:c r="W1094" s="85"/>
      <x:c r="Y1094" s="86"/>
      <x:c r="Z1094" s="86"/>
      <x:c r="AA1094" s="32"/>
    </x:row>
    <x:row r="1095">
      <x:c r="A1095" s="87"/>
      <x:c r="B1095" s="88"/>
      <x:c r="D1095" s="32"/>
      <x:c r="I1095" s="74"/>
      <x:c r="J1095" s="74"/>
      <x:c r="K1095" s="74"/>
      <x:c r="L1095" s="74"/>
      <x:c r="M1095" s="74"/>
      <x:c r="N1095" s="74"/>
      <x:c r="O1095" s="91"/>
      <x:c r="P1095" s="91"/>
      <x:c r="Q1095" s="85"/>
      <x:c r="R1095" s="85"/>
      <x:c r="S1095" s="85"/>
      <x:c r="T1095" s="85"/>
      <x:c r="U1095" s="85"/>
      <x:c r="V1095" s="85"/>
      <x:c r="W1095" s="85"/>
      <x:c r="Y1095" s="86"/>
      <x:c r="Z1095" s="86"/>
      <x:c r="AA1095" s="32"/>
    </x:row>
    <x:row r="1096">
      <x:c r="A1096" s="87"/>
      <x:c r="B1096" s="88"/>
      <x:c r="D1096" s="32"/>
      <x:c r="I1096" s="74"/>
      <x:c r="J1096" s="74"/>
      <x:c r="K1096" s="74"/>
      <x:c r="L1096" s="74"/>
      <x:c r="M1096" s="74"/>
      <x:c r="N1096" s="74"/>
      <x:c r="O1096" s="91"/>
      <x:c r="P1096" s="91"/>
      <x:c r="Q1096" s="85"/>
      <x:c r="R1096" s="85"/>
      <x:c r="S1096" s="85"/>
      <x:c r="T1096" s="85"/>
      <x:c r="U1096" s="85"/>
      <x:c r="V1096" s="85"/>
      <x:c r="W1096" s="85"/>
      <x:c r="Y1096" s="86"/>
      <x:c r="Z1096" s="86"/>
      <x:c r="AA1096" s="32"/>
    </x:row>
    <x:row r="1097">
      <x:c r="A1097" s="87"/>
      <x:c r="B1097" s="88"/>
      <x:c r="D1097" s="32"/>
      <x:c r="I1097" s="74"/>
      <x:c r="J1097" s="74"/>
      <x:c r="K1097" s="74"/>
      <x:c r="L1097" s="74"/>
      <x:c r="M1097" s="74"/>
      <x:c r="N1097" s="74"/>
      <x:c r="O1097" s="91"/>
      <x:c r="P1097" s="91"/>
      <x:c r="Q1097" s="85"/>
      <x:c r="R1097" s="85"/>
      <x:c r="S1097" s="85"/>
      <x:c r="T1097" s="85"/>
      <x:c r="U1097" s="85"/>
      <x:c r="V1097" s="85"/>
      <x:c r="W1097" s="85"/>
      <x:c r="Y1097" s="86"/>
      <x:c r="Z1097" s="86"/>
      <x:c r="AA1097" s="32"/>
    </x:row>
    <x:row r="1098">
      <x:c r="A1098" s="87"/>
      <x:c r="B1098" s="88"/>
      <x:c r="D1098" s="32"/>
      <x:c r="I1098" s="74"/>
      <x:c r="J1098" s="74"/>
      <x:c r="K1098" s="74"/>
      <x:c r="L1098" s="74"/>
      <x:c r="M1098" s="74"/>
      <x:c r="N1098" s="74"/>
      <x:c r="O1098" s="91"/>
      <x:c r="P1098" s="91"/>
      <x:c r="Q1098" s="85"/>
      <x:c r="R1098" s="85"/>
      <x:c r="S1098" s="85"/>
      <x:c r="T1098" s="85"/>
      <x:c r="U1098" s="85"/>
      <x:c r="V1098" s="85"/>
      <x:c r="W1098" s="85"/>
      <x:c r="Y1098" s="86"/>
      <x:c r="Z1098" s="86"/>
      <x:c r="AA1098" s="32"/>
    </x:row>
    <x:row r="1099">
      <x:c r="A1099" s="87"/>
      <x:c r="B1099" s="88"/>
      <x:c r="D1099" s="32"/>
      <x:c r="I1099" s="74"/>
      <x:c r="J1099" s="74"/>
      <x:c r="K1099" s="74"/>
      <x:c r="L1099" s="74"/>
      <x:c r="M1099" s="74"/>
      <x:c r="N1099" s="74"/>
      <x:c r="O1099" s="91"/>
      <x:c r="P1099" s="91"/>
      <x:c r="Q1099" s="85"/>
      <x:c r="R1099" s="85"/>
      <x:c r="S1099" s="85"/>
      <x:c r="T1099" s="85"/>
      <x:c r="U1099" s="85"/>
      <x:c r="V1099" s="85"/>
      <x:c r="W1099" s="85"/>
      <x:c r="Y1099" s="86"/>
      <x:c r="Z1099" s="86"/>
      <x:c r="AA1099" s="32"/>
    </x:row>
    <x:row r="1100">
      <x:c r="A1100" s="87"/>
      <x:c r="B1100" s="88"/>
      <x:c r="D1100" s="32"/>
      <x:c r="I1100" s="74"/>
      <x:c r="J1100" s="74"/>
      <x:c r="K1100" s="74"/>
      <x:c r="L1100" s="74"/>
      <x:c r="M1100" s="74"/>
      <x:c r="N1100" s="74"/>
      <x:c r="O1100" s="91"/>
      <x:c r="P1100" s="91"/>
      <x:c r="Q1100" s="85"/>
      <x:c r="R1100" s="85"/>
      <x:c r="S1100" s="85"/>
      <x:c r="T1100" s="85"/>
      <x:c r="U1100" s="85"/>
      <x:c r="V1100" s="85"/>
      <x:c r="W1100" s="85"/>
      <x:c r="Y1100" s="86"/>
      <x:c r="Z1100" s="86"/>
      <x:c r="AA1100" s="32"/>
    </x:row>
    <x:row r="1101">
      <x:c r="A1101" s="87"/>
      <x:c r="B1101" s="88"/>
      <x:c r="D1101" s="32"/>
      <x:c r="I1101" s="74"/>
      <x:c r="J1101" s="74"/>
      <x:c r="K1101" s="74"/>
      <x:c r="L1101" s="74"/>
      <x:c r="M1101" s="74"/>
      <x:c r="N1101" s="74"/>
      <x:c r="O1101" s="91"/>
      <x:c r="P1101" s="91"/>
      <x:c r="Q1101" s="85"/>
      <x:c r="R1101" s="85"/>
      <x:c r="S1101" s="85"/>
      <x:c r="T1101" s="85"/>
      <x:c r="U1101" s="85"/>
      <x:c r="V1101" s="85"/>
      <x:c r="W1101" s="85"/>
      <x:c r="Y1101" s="86"/>
      <x:c r="Z1101" s="86"/>
      <x:c r="AA1101" s="32"/>
    </x:row>
    <x:row r="1102">
      <x:c r="A1102" s="87"/>
      <x:c r="B1102" s="88"/>
      <x:c r="D1102" s="32"/>
      <x:c r="I1102" s="74"/>
      <x:c r="J1102" s="74"/>
      <x:c r="K1102" s="74"/>
      <x:c r="L1102" s="74"/>
      <x:c r="M1102" s="74"/>
      <x:c r="N1102" s="74"/>
      <x:c r="O1102" s="91"/>
      <x:c r="P1102" s="91"/>
      <x:c r="Q1102" s="85"/>
      <x:c r="R1102" s="85"/>
      <x:c r="S1102" s="85"/>
      <x:c r="T1102" s="85"/>
      <x:c r="U1102" s="85"/>
      <x:c r="V1102" s="85"/>
      <x:c r="W1102" s="85"/>
      <x:c r="Y1102" s="86"/>
      <x:c r="Z1102" s="86"/>
      <x:c r="AA1102" s="32"/>
    </x:row>
    <x:row r="1103">
      <x:c r="A1103" s="87"/>
      <x:c r="B1103" s="88"/>
      <x:c r="D1103" s="32"/>
      <x:c r="I1103" s="74"/>
      <x:c r="J1103" s="74"/>
      <x:c r="K1103" s="74"/>
      <x:c r="L1103" s="74"/>
      <x:c r="M1103" s="74"/>
      <x:c r="N1103" s="74"/>
      <x:c r="O1103" s="91"/>
      <x:c r="P1103" s="91"/>
      <x:c r="Q1103" s="85"/>
      <x:c r="R1103" s="85"/>
      <x:c r="S1103" s="85"/>
      <x:c r="T1103" s="85"/>
      <x:c r="U1103" s="85"/>
      <x:c r="V1103" s="85"/>
      <x:c r="W1103" s="85"/>
      <x:c r="Y1103" s="86"/>
      <x:c r="Z1103" s="86"/>
      <x:c r="AA1103" s="32"/>
    </x:row>
    <x:row r="1104">
      <x:c r="A1104" s="87"/>
      <x:c r="B1104" s="88"/>
      <x:c r="D1104" s="32"/>
      <x:c r="I1104" s="74"/>
      <x:c r="J1104" s="74"/>
      <x:c r="K1104" s="74"/>
      <x:c r="L1104" s="74"/>
      <x:c r="M1104" s="74"/>
      <x:c r="N1104" s="74"/>
      <x:c r="O1104" s="91"/>
      <x:c r="P1104" s="91"/>
      <x:c r="Q1104" s="85"/>
      <x:c r="R1104" s="85"/>
      <x:c r="S1104" s="85"/>
      <x:c r="T1104" s="85"/>
      <x:c r="U1104" s="85"/>
      <x:c r="V1104" s="85"/>
      <x:c r="W1104" s="85"/>
      <x:c r="Y1104" s="86"/>
      <x:c r="Z1104" s="86"/>
      <x:c r="AA1104" s="32"/>
    </x:row>
    <x:row r="1105">
      <x:c r="A1105" s="87"/>
      <x:c r="B1105" s="88"/>
      <x:c r="D1105" s="32"/>
      <x:c r="I1105" s="74"/>
      <x:c r="J1105" s="74"/>
      <x:c r="K1105" s="74"/>
      <x:c r="L1105" s="74"/>
      <x:c r="M1105" s="74"/>
      <x:c r="N1105" s="74"/>
      <x:c r="O1105" s="91"/>
      <x:c r="P1105" s="91"/>
      <x:c r="Q1105" s="85"/>
      <x:c r="R1105" s="85"/>
      <x:c r="S1105" s="85"/>
      <x:c r="T1105" s="85"/>
      <x:c r="U1105" s="85"/>
      <x:c r="V1105" s="85"/>
      <x:c r="W1105" s="85"/>
      <x:c r="Y1105" s="86"/>
      <x:c r="Z1105" s="86"/>
      <x:c r="AA1105" s="32"/>
    </x:row>
    <x:row r="1106">
      <x:c r="A1106" s="87"/>
      <x:c r="B1106" s="88"/>
      <x:c r="D1106" s="32"/>
      <x:c r="I1106" s="74"/>
      <x:c r="J1106" s="74"/>
      <x:c r="K1106" s="74"/>
      <x:c r="L1106" s="74"/>
      <x:c r="M1106" s="74"/>
      <x:c r="N1106" s="74"/>
      <x:c r="O1106" s="91"/>
      <x:c r="P1106" s="91"/>
      <x:c r="Q1106" s="85"/>
      <x:c r="R1106" s="85"/>
      <x:c r="S1106" s="85"/>
      <x:c r="T1106" s="85"/>
      <x:c r="U1106" s="85"/>
      <x:c r="V1106" s="85"/>
      <x:c r="W1106" s="85"/>
      <x:c r="Y1106" s="86"/>
      <x:c r="Z1106" s="86"/>
      <x:c r="AA1106" s="32"/>
    </x:row>
    <x:row r="1107">
      <x:c r="A1107" s="87"/>
      <x:c r="B1107" s="88"/>
      <x:c r="D1107" s="32"/>
      <x:c r="I1107" s="74"/>
      <x:c r="J1107" s="74"/>
      <x:c r="K1107" s="74"/>
      <x:c r="L1107" s="74"/>
      <x:c r="M1107" s="74"/>
      <x:c r="N1107" s="74"/>
      <x:c r="O1107" s="91"/>
      <x:c r="P1107" s="91"/>
      <x:c r="Q1107" s="85"/>
      <x:c r="R1107" s="85"/>
      <x:c r="S1107" s="85"/>
      <x:c r="T1107" s="85"/>
      <x:c r="U1107" s="85"/>
      <x:c r="V1107" s="85"/>
      <x:c r="W1107" s="85"/>
      <x:c r="Y1107" s="86"/>
      <x:c r="Z1107" s="86"/>
      <x:c r="AA1107" s="32"/>
    </x:row>
    <x:row r="1108">
      <x:c r="A1108" s="87"/>
      <x:c r="B1108" s="88"/>
      <x:c r="D1108" s="32"/>
      <x:c r="I1108" s="74"/>
      <x:c r="J1108" s="74"/>
      <x:c r="K1108" s="74"/>
      <x:c r="L1108" s="74"/>
      <x:c r="M1108" s="74"/>
      <x:c r="N1108" s="74"/>
      <x:c r="O1108" s="91"/>
      <x:c r="P1108" s="91"/>
      <x:c r="Q1108" s="85"/>
      <x:c r="R1108" s="85"/>
      <x:c r="S1108" s="85"/>
      <x:c r="T1108" s="85"/>
      <x:c r="U1108" s="85"/>
      <x:c r="V1108" s="85"/>
      <x:c r="W1108" s="85"/>
      <x:c r="Y1108" s="86"/>
      <x:c r="Z1108" s="86"/>
      <x:c r="AA1108" s="32"/>
    </x:row>
    <x:row r="1109">
      <x:c r="A1109" s="87"/>
      <x:c r="B1109" s="88"/>
      <x:c r="D1109" s="32"/>
      <x:c r="I1109" s="74"/>
      <x:c r="J1109" s="74"/>
      <x:c r="K1109" s="74"/>
      <x:c r="L1109" s="74"/>
      <x:c r="M1109" s="74"/>
      <x:c r="N1109" s="74"/>
      <x:c r="O1109" s="91"/>
      <x:c r="P1109" s="91"/>
      <x:c r="Q1109" s="85"/>
      <x:c r="R1109" s="85"/>
      <x:c r="S1109" s="85"/>
      <x:c r="T1109" s="85"/>
      <x:c r="U1109" s="85"/>
      <x:c r="V1109" s="85"/>
      <x:c r="W1109" s="85"/>
      <x:c r="Y1109" s="86"/>
      <x:c r="Z1109" s="86"/>
      <x:c r="AA1109" s="32"/>
    </x:row>
    <x:row r="1110">
      <x:c r="A1110" s="87"/>
      <x:c r="B1110" s="88"/>
      <x:c r="D1110" s="32"/>
      <x:c r="I1110" s="74"/>
      <x:c r="J1110" s="74"/>
      <x:c r="K1110" s="74"/>
      <x:c r="L1110" s="74"/>
      <x:c r="M1110" s="74"/>
      <x:c r="N1110" s="74"/>
      <x:c r="O1110" s="91"/>
      <x:c r="P1110" s="91"/>
      <x:c r="Q1110" s="85"/>
      <x:c r="R1110" s="85"/>
      <x:c r="S1110" s="85"/>
      <x:c r="T1110" s="85"/>
      <x:c r="U1110" s="85"/>
      <x:c r="V1110" s="85"/>
      <x:c r="W1110" s="85"/>
      <x:c r="Y1110" s="86"/>
      <x:c r="Z1110" s="86"/>
      <x:c r="AA1110" s="32"/>
    </x:row>
    <x:row r="1111">
      <x:c r="A1111" s="87"/>
      <x:c r="B1111" s="88"/>
      <x:c r="D1111" s="32"/>
      <x:c r="I1111" s="74"/>
      <x:c r="J1111" s="74"/>
      <x:c r="K1111" s="74"/>
      <x:c r="L1111" s="74"/>
      <x:c r="M1111" s="74"/>
      <x:c r="N1111" s="74"/>
      <x:c r="O1111" s="91"/>
      <x:c r="P1111" s="91"/>
      <x:c r="Q1111" s="85"/>
      <x:c r="R1111" s="85"/>
      <x:c r="S1111" s="85"/>
      <x:c r="T1111" s="85"/>
      <x:c r="U1111" s="85"/>
      <x:c r="V1111" s="85"/>
      <x:c r="W1111" s="85"/>
      <x:c r="Y1111" s="86"/>
      <x:c r="Z1111" s="86"/>
      <x:c r="AA1111" s="32"/>
    </x:row>
    <x:row r="1112">
      <x:c r="A1112" s="87"/>
      <x:c r="B1112" s="88"/>
      <x:c r="D1112" s="32"/>
      <x:c r="I1112" s="74"/>
      <x:c r="J1112" s="74"/>
      <x:c r="K1112" s="74"/>
      <x:c r="L1112" s="74"/>
      <x:c r="M1112" s="74"/>
      <x:c r="N1112" s="74"/>
      <x:c r="O1112" s="91"/>
      <x:c r="P1112" s="91"/>
      <x:c r="Q1112" s="85"/>
      <x:c r="R1112" s="85"/>
      <x:c r="S1112" s="85"/>
      <x:c r="T1112" s="85"/>
      <x:c r="U1112" s="85"/>
      <x:c r="V1112" s="85"/>
      <x:c r="W1112" s="85"/>
      <x:c r="Y1112" s="86"/>
      <x:c r="Z1112" s="86"/>
      <x:c r="AA1112" s="32"/>
    </x:row>
    <x:row r="1113">
      <x:c r="A1113" s="87"/>
      <x:c r="B1113" s="88"/>
      <x:c r="D1113" s="32"/>
      <x:c r="I1113" s="74"/>
      <x:c r="J1113" s="74"/>
      <x:c r="K1113" s="74"/>
      <x:c r="L1113" s="74"/>
      <x:c r="M1113" s="74"/>
      <x:c r="N1113" s="74"/>
      <x:c r="O1113" s="91"/>
      <x:c r="P1113" s="91"/>
      <x:c r="Q1113" s="85"/>
      <x:c r="R1113" s="85"/>
      <x:c r="S1113" s="85"/>
      <x:c r="T1113" s="85"/>
      <x:c r="U1113" s="85"/>
      <x:c r="V1113" s="85"/>
      <x:c r="W1113" s="85"/>
      <x:c r="Y1113" s="86"/>
      <x:c r="Z1113" s="86"/>
      <x:c r="AA1113" s="32"/>
    </x:row>
    <x:row r="1114">
      <x:c r="A1114" s="87"/>
      <x:c r="B1114" s="88"/>
      <x:c r="D1114" s="32"/>
      <x:c r="I1114" s="74"/>
      <x:c r="J1114" s="74"/>
      <x:c r="K1114" s="74"/>
      <x:c r="L1114" s="74"/>
      <x:c r="M1114" s="74"/>
      <x:c r="N1114" s="74"/>
      <x:c r="O1114" s="91"/>
      <x:c r="P1114" s="91"/>
      <x:c r="Q1114" s="85"/>
      <x:c r="R1114" s="85"/>
      <x:c r="S1114" s="85"/>
      <x:c r="T1114" s="85"/>
      <x:c r="U1114" s="85"/>
      <x:c r="V1114" s="85"/>
      <x:c r="W1114" s="85"/>
      <x:c r="Y1114" s="86"/>
      <x:c r="Z1114" s="86"/>
      <x:c r="AA1114" s="32"/>
    </x:row>
    <x:row r="1115">
      <x:c r="A1115" s="87"/>
      <x:c r="B1115" s="88"/>
      <x:c r="D1115" s="32"/>
      <x:c r="I1115" s="74"/>
      <x:c r="J1115" s="74"/>
      <x:c r="K1115" s="74"/>
      <x:c r="L1115" s="74"/>
      <x:c r="M1115" s="74"/>
      <x:c r="N1115" s="74"/>
      <x:c r="O1115" s="91"/>
      <x:c r="P1115" s="91"/>
      <x:c r="Q1115" s="85"/>
      <x:c r="R1115" s="85"/>
      <x:c r="S1115" s="85"/>
      <x:c r="T1115" s="85"/>
      <x:c r="U1115" s="85"/>
      <x:c r="V1115" s="85"/>
      <x:c r="W1115" s="85"/>
      <x:c r="Y1115" s="86"/>
      <x:c r="Z1115" s="86"/>
      <x:c r="AA1115" s="32"/>
    </x:row>
    <x:row r="1116">
      <x:c r="A1116" s="87"/>
      <x:c r="B1116" s="88"/>
      <x:c r="D1116" s="32"/>
      <x:c r="I1116" s="74"/>
      <x:c r="J1116" s="74"/>
      <x:c r="K1116" s="74"/>
      <x:c r="L1116" s="74"/>
      <x:c r="M1116" s="74"/>
      <x:c r="N1116" s="74"/>
      <x:c r="O1116" s="91"/>
      <x:c r="P1116" s="91"/>
      <x:c r="Q1116" s="85"/>
      <x:c r="R1116" s="85"/>
      <x:c r="S1116" s="85"/>
      <x:c r="T1116" s="85"/>
      <x:c r="U1116" s="85"/>
      <x:c r="V1116" s="85"/>
      <x:c r="W1116" s="85"/>
      <x:c r="Y1116" s="86"/>
      <x:c r="Z1116" s="86"/>
      <x:c r="AA1116" s="32"/>
    </x:row>
    <x:row r="1117">
      <x:c r="A1117" s="87"/>
      <x:c r="B1117" s="88"/>
      <x:c r="D1117" s="32"/>
      <x:c r="I1117" s="74"/>
      <x:c r="J1117" s="74"/>
      <x:c r="K1117" s="74"/>
      <x:c r="L1117" s="74"/>
      <x:c r="M1117" s="74"/>
      <x:c r="N1117" s="74"/>
      <x:c r="O1117" s="91"/>
      <x:c r="P1117" s="91"/>
      <x:c r="Q1117" s="85"/>
      <x:c r="R1117" s="85"/>
      <x:c r="S1117" s="85"/>
      <x:c r="T1117" s="85"/>
      <x:c r="U1117" s="85"/>
      <x:c r="V1117" s="85"/>
      <x:c r="W1117" s="85"/>
      <x:c r="Y1117" s="86"/>
      <x:c r="Z1117" s="86"/>
      <x:c r="AA1117" s="32"/>
    </x:row>
    <x:row r="1118">
      <x:c r="A1118" s="87"/>
      <x:c r="B1118" s="88"/>
      <x:c r="D1118" s="32"/>
      <x:c r="I1118" s="74"/>
      <x:c r="J1118" s="74"/>
      <x:c r="K1118" s="74"/>
      <x:c r="L1118" s="74"/>
      <x:c r="M1118" s="74"/>
      <x:c r="N1118" s="74"/>
      <x:c r="O1118" s="91"/>
      <x:c r="P1118" s="91"/>
      <x:c r="Q1118" s="85"/>
      <x:c r="R1118" s="85"/>
      <x:c r="S1118" s="85"/>
      <x:c r="T1118" s="85"/>
      <x:c r="U1118" s="85"/>
      <x:c r="V1118" s="85"/>
      <x:c r="W1118" s="85"/>
      <x:c r="Y1118" s="86"/>
      <x:c r="Z1118" s="86"/>
      <x:c r="AA1118" s="32"/>
    </x:row>
    <x:row r="1119">
      <x:c r="A1119" s="87"/>
      <x:c r="B1119" s="88"/>
      <x:c r="D1119" s="32"/>
      <x:c r="I1119" s="74"/>
      <x:c r="J1119" s="74"/>
      <x:c r="K1119" s="74"/>
      <x:c r="L1119" s="74"/>
      <x:c r="M1119" s="74"/>
      <x:c r="N1119" s="74"/>
      <x:c r="O1119" s="91"/>
      <x:c r="P1119" s="91"/>
      <x:c r="Q1119" s="85"/>
      <x:c r="R1119" s="85"/>
      <x:c r="S1119" s="85"/>
      <x:c r="T1119" s="85"/>
      <x:c r="U1119" s="85"/>
      <x:c r="V1119" s="85"/>
      <x:c r="W1119" s="85"/>
      <x:c r="Y1119" s="86"/>
      <x:c r="Z1119" s="86"/>
      <x:c r="AA1119" s="32"/>
    </x:row>
    <x:row r="1120">
      <x:c r="A1120" s="87"/>
      <x:c r="B1120" s="88"/>
      <x:c r="D1120" s="32"/>
      <x:c r="I1120" s="74"/>
      <x:c r="J1120" s="74"/>
      <x:c r="K1120" s="74"/>
      <x:c r="L1120" s="74"/>
      <x:c r="M1120" s="74"/>
      <x:c r="N1120" s="74"/>
      <x:c r="O1120" s="91"/>
      <x:c r="P1120" s="91"/>
      <x:c r="Q1120" s="85"/>
      <x:c r="R1120" s="85"/>
      <x:c r="S1120" s="85"/>
      <x:c r="T1120" s="85"/>
      <x:c r="U1120" s="85"/>
      <x:c r="V1120" s="85"/>
      <x:c r="W1120" s="85"/>
      <x:c r="Y1120" s="86"/>
      <x:c r="Z1120" s="86"/>
      <x:c r="AA1120" s="32"/>
    </x:row>
    <x:row r="1121">
      <x:c r="A1121" s="87"/>
      <x:c r="B1121" s="88"/>
      <x:c r="D1121" s="32"/>
      <x:c r="I1121" s="74"/>
      <x:c r="J1121" s="74"/>
      <x:c r="K1121" s="74"/>
      <x:c r="L1121" s="74"/>
      <x:c r="M1121" s="74"/>
      <x:c r="N1121" s="74"/>
      <x:c r="O1121" s="91"/>
      <x:c r="P1121" s="91"/>
      <x:c r="Q1121" s="85"/>
      <x:c r="R1121" s="85"/>
      <x:c r="S1121" s="85"/>
      <x:c r="T1121" s="85"/>
      <x:c r="U1121" s="85"/>
      <x:c r="V1121" s="85"/>
      <x:c r="W1121" s="85"/>
      <x:c r="Y1121" s="86"/>
      <x:c r="Z1121" s="86"/>
      <x:c r="AA1121" s="32"/>
    </x:row>
    <x:row r="1122">
      <x:c r="A1122" s="87"/>
      <x:c r="B1122" s="88"/>
      <x:c r="D1122" s="32"/>
      <x:c r="I1122" s="74"/>
      <x:c r="J1122" s="74"/>
      <x:c r="K1122" s="74"/>
      <x:c r="L1122" s="74"/>
      <x:c r="M1122" s="74"/>
      <x:c r="N1122" s="74"/>
      <x:c r="O1122" s="91"/>
      <x:c r="P1122" s="91"/>
      <x:c r="Q1122" s="85"/>
      <x:c r="R1122" s="85"/>
      <x:c r="S1122" s="85"/>
      <x:c r="T1122" s="85"/>
      <x:c r="U1122" s="85"/>
      <x:c r="V1122" s="85"/>
      <x:c r="W1122" s="85"/>
      <x:c r="Y1122" s="86"/>
      <x:c r="Z1122" s="86"/>
      <x:c r="AA1122" s="32"/>
    </x:row>
    <x:row r="1123">
      <x:c r="A1123" s="87"/>
      <x:c r="B1123" s="88"/>
      <x:c r="D1123" s="32"/>
      <x:c r="I1123" s="74"/>
      <x:c r="J1123" s="74"/>
      <x:c r="K1123" s="74"/>
      <x:c r="L1123" s="74"/>
      <x:c r="M1123" s="74"/>
      <x:c r="N1123" s="74"/>
      <x:c r="O1123" s="91"/>
      <x:c r="P1123" s="91"/>
      <x:c r="Q1123" s="85"/>
      <x:c r="R1123" s="85"/>
      <x:c r="S1123" s="85"/>
      <x:c r="T1123" s="85"/>
      <x:c r="U1123" s="85"/>
      <x:c r="V1123" s="85"/>
      <x:c r="W1123" s="85"/>
      <x:c r="Y1123" s="86"/>
      <x:c r="Z1123" s="86"/>
      <x:c r="AA1123" s="32"/>
    </x:row>
    <x:row r="1124">
      <x:c r="A1124" s="87"/>
      <x:c r="B1124" s="88"/>
      <x:c r="D1124" s="32"/>
      <x:c r="I1124" s="74"/>
      <x:c r="J1124" s="74"/>
      <x:c r="K1124" s="74"/>
      <x:c r="L1124" s="74"/>
      <x:c r="M1124" s="74"/>
      <x:c r="N1124" s="74"/>
      <x:c r="O1124" s="91"/>
      <x:c r="P1124" s="91"/>
      <x:c r="Q1124" s="85"/>
      <x:c r="R1124" s="85"/>
      <x:c r="S1124" s="85"/>
      <x:c r="T1124" s="85"/>
      <x:c r="U1124" s="85"/>
      <x:c r="V1124" s="85"/>
      <x:c r="W1124" s="85"/>
      <x:c r="Y1124" s="86"/>
      <x:c r="Z1124" s="86"/>
      <x:c r="AA1124" s="32"/>
    </x:row>
    <x:row r="1125">
      <x:c r="A1125" s="87"/>
      <x:c r="B1125" s="88"/>
      <x:c r="D1125" s="32"/>
      <x:c r="I1125" s="74"/>
      <x:c r="J1125" s="74"/>
      <x:c r="K1125" s="74"/>
      <x:c r="L1125" s="74"/>
      <x:c r="M1125" s="74"/>
      <x:c r="N1125" s="74"/>
      <x:c r="O1125" s="91"/>
      <x:c r="P1125" s="91"/>
      <x:c r="Q1125" s="85"/>
      <x:c r="R1125" s="85"/>
      <x:c r="S1125" s="85"/>
      <x:c r="T1125" s="85"/>
      <x:c r="U1125" s="85"/>
      <x:c r="V1125" s="85"/>
      <x:c r="W1125" s="85"/>
      <x:c r="Y1125" s="86"/>
      <x:c r="Z1125" s="86"/>
      <x:c r="AA1125" s="32"/>
    </x:row>
    <x:row r="1126">
      <x:c r="A1126" s="87"/>
      <x:c r="B1126" s="88"/>
      <x:c r="D1126" s="32"/>
      <x:c r="I1126" s="74"/>
      <x:c r="J1126" s="74"/>
      <x:c r="K1126" s="74"/>
      <x:c r="L1126" s="74"/>
      <x:c r="M1126" s="74"/>
      <x:c r="N1126" s="74"/>
      <x:c r="O1126" s="91"/>
      <x:c r="P1126" s="91"/>
      <x:c r="Q1126" s="85"/>
      <x:c r="R1126" s="85"/>
      <x:c r="S1126" s="85"/>
      <x:c r="T1126" s="85"/>
      <x:c r="U1126" s="85"/>
      <x:c r="V1126" s="85"/>
      <x:c r="W1126" s="85"/>
      <x:c r="Y1126" s="86"/>
      <x:c r="Z1126" s="86"/>
      <x:c r="AA1126" s="32"/>
    </x:row>
    <x:row r="1127">
      <x:c r="A1127" s="87"/>
      <x:c r="B1127" s="88"/>
      <x:c r="D1127" s="32"/>
      <x:c r="I1127" s="74"/>
      <x:c r="J1127" s="74"/>
      <x:c r="K1127" s="74"/>
      <x:c r="L1127" s="74"/>
      <x:c r="M1127" s="74"/>
      <x:c r="N1127" s="74"/>
      <x:c r="O1127" s="91"/>
      <x:c r="P1127" s="91"/>
      <x:c r="Q1127" s="85"/>
      <x:c r="R1127" s="85"/>
      <x:c r="S1127" s="85"/>
      <x:c r="T1127" s="85"/>
      <x:c r="U1127" s="85"/>
      <x:c r="V1127" s="85"/>
      <x:c r="W1127" s="85"/>
      <x:c r="Y1127" s="86"/>
      <x:c r="Z1127" s="86"/>
      <x:c r="AA1127" s="32"/>
    </x:row>
    <x:row r="1128">
      <x:c r="A1128" s="87"/>
      <x:c r="B1128" s="88"/>
      <x:c r="D1128" s="32"/>
      <x:c r="I1128" s="74"/>
      <x:c r="J1128" s="74"/>
      <x:c r="K1128" s="74"/>
      <x:c r="L1128" s="74"/>
      <x:c r="M1128" s="74"/>
      <x:c r="N1128" s="74"/>
      <x:c r="O1128" s="91"/>
      <x:c r="P1128" s="91"/>
      <x:c r="Q1128" s="85"/>
      <x:c r="R1128" s="85"/>
      <x:c r="S1128" s="85"/>
      <x:c r="T1128" s="85"/>
      <x:c r="U1128" s="85"/>
      <x:c r="V1128" s="85"/>
      <x:c r="W1128" s="85"/>
      <x:c r="Y1128" s="86"/>
      <x:c r="Z1128" s="86"/>
      <x:c r="AA1128" s="32"/>
    </x:row>
    <x:row r="1129">
      <x:c r="A1129" s="87"/>
      <x:c r="B1129" s="88"/>
      <x:c r="D1129" s="32"/>
      <x:c r="I1129" s="74"/>
      <x:c r="J1129" s="74"/>
      <x:c r="K1129" s="74"/>
      <x:c r="L1129" s="74"/>
      <x:c r="M1129" s="74"/>
      <x:c r="N1129" s="74"/>
      <x:c r="O1129" s="91"/>
      <x:c r="P1129" s="91"/>
      <x:c r="Q1129" s="85"/>
      <x:c r="R1129" s="85"/>
      <x:c r="S1129" s="85"/>
      <x:c r="T1129" s="85"/>
      <x:c r="U1129" s="85"/>
      <x:c r="V1129" s="85"/>
      <x:c r="W1129" s="85"/>
      <x:c r="Y1129" s="86"/>
      <x:c r="Z1129" s="86"/>
      <x:c r="AA1129" s="32"/>
    </x:row>
    <x:row r="1130">
      <x:c r="A1130" s="87"/>
      <x:c r="B1130" s="88"/>
      <x:c r="D1130" s="32"/>
      <x:c r="I1130" s="74"/>
      <x:c r="J1130" s="74"/>
      <x:c r="K1130" s="74"/>
      <x:c r="L1130" s="74"/>
      <x:c r="M1130" s="74"/>
      <x:c r="N1130" s="74"/>
      <x:c r="O1130" s="91"/>
      <x:c r="P1130" s="91"/>
      <x:c r="Q1130" s="85"/>
      <x:c r="R1130" s="85"/>
      <x:c r="S1130" s="85"/>
      <x:c r="T1130" s="85"/>
      <x:c r="U1130" s="85"/>
      <x:c r="V1130" s="85"/>
      <x:c r="W1130" s="85"/>
      <x:c r="Y1130" s="86"/>
      <x:c r="Z1130" s="86"/>
      <x:c r="AA1130" s="32"/>
    </x:row>
    <x:row r="1131">
      <x:c r="A1131" s="87"/>
      <x:c r="B1131" s="88"/>
      <x:c r="D1131" s="32"/>
      <x:c r="I1131" s="74"/>
      <x:c r="J1131" s="74"/>
      <x:c r="K1131" s="74"/>
      <x:c r="L1131" s="74"/>
      <x:c r="M1131" s="74"/>
      <x:c r="N1131" s="74"/>
      <x:c r="O1131" s="91"/>
      <x:c r="P1131" s="91"/>
      <x:c r="Q1131" s="85"/>
      <x:c r="R1131" s="85"/>
      <x:c r="S1131" s="85"/>
      <x:c r="T1131" s="85"/>
      <x:c r="U1131" s="85"/>
      <x:c r="V1131" s="85"/>
      <x:c r="W1131" s="85"/>
      <x:c r="Y1131" s="86"/>
      <x:c r="Z1131" s="86"/>
      <x:c r="AA1131" s="32"/>
    </x:row>
    <x:row r="1132">
      <x:c r="A1132" s="87"/>
      <x:c r="B1132" s="88"/>
      <x:c r="D1132" s="32"/>
      <x:c r="I1132" s="74"/>
      <x:c r="J1132" s="74"/>
      <x:c r="K1132" s="74"/>
      <x:c r="L1132" s="74"/>
      <x:c r="M1132" s="74"/>
      <x:c r="N1132" s="74"/>
      <x:c r="O1132" s="91"/>
      <x:c r="P1132" s="91"/>
      <x:c r="Q1132" s="85"/>
      <x:c r="R1132" s="85"/>
      <x:c r="S1132" s="85"/>
      <x:c r="T1132" s="85"/>
      <x:c r="U1132" s="85"/>
      <x:c r="V1132" s="85"/>
      <x:c r="W1132" s="85"/>
      <x:c r="Y1132" s="86"/>
      <x:c r="Z1132" s="86"/>
      <x:c r="AA1132" s="32"/>
    </x:row>
    <x:row r="1133">
      <x:c r="A1133" s="87"/>
      <x:c r="B1133" s="88"/>
      <x:c r="D1133" s="32"/>
      <x:c r="I1133" s="74"/>
      <x:c r="J1133" s="74"/>
      <x:c r="K1133" s="74"/>
      <x:c r="L1133" s="74"/>
      <x:c r="M1133" s="74"/>
      <x:c r="N1133" s="74"/>
      <x:c r="O1133" s="91"/>
      <x:c r="P1133" s="91"/>
      <x:c r="Q1133" s="85"/>
      <x:c r="R1133" s="85"/>
      <x:c r="S1133" s="85"/>
      <x:c r="T1133" s="85"/>
      <x:c r="U1133" s="85"/>
      <x:c r="V1133" s="85"/>
      <x:c r="W1133" s="85"/>
      <x:c r="Y1133" s="86"/>
      <x:c r="Z1133" s="86"/>
      <x:c r="AA1133" s="32"/>
    </x:row>
    <x:row r="1134">
      <x:c r="A1134" s="87"/>
      <x:c r="B1134" s="88"/>
      <x:c r="D1134" s="32"/>
      <x:c r="I1134" s="74"/>
      <x:c r="J1134" s="74"/>
      <x:c r="K1134" s="74"/>
      <x:c r="L1134" s="74"/>
      <x:c r="M1134" s="74"/>
      <x:c r="N1134" s="74"/>
      <x:c r="O1134" s="91"/>
      <x:c r="P1134" s="91"/>
      <x:c r="Q1134" s="85"/>
      <x:c r="R1134" s="85"/>
      <x:c r="S1134" s="85"/>
      <x:c r="T1134" s="85"/>
      <x:c r="U1134" s="85"/>
      <x:c r="V1134" s="85"/>
      <x:c r="W1134" s="85"/>
      <x:c r="Y1134" s="86"/>
      <x:c r="Z1134" s="86"/>
      <x:c r="AA1134" s="32"/>
    </x:row>
    <x:row r="1135">
      <x:c r="A1135" s="87"/>
      <x:c r="B1135" s="88"/>
      <x:c r="D1135" s="32"/>
      <x:c r="I1135" s="74"/>
      <x:c r="J1135" s="74"/>
      <x:c r="K1135" s="74"/>
      <x:c r="L1135" s="74"/>
      <x:c r="M1135" s="74"/>
      <x:c r="N1135" s="74"/>
      <x:c r="O1135" s="91"/>
      <x:c r="P1135" s="91"/>
      <x:c r="Q1135" s="85"/>
      <x:c r="R1135" s="85"/>
      <x:c r="S1135" s="85"/>
      <x:c r="T1135" s="85"/>
      <x:c r="U1135" s="85"/>
      <x:c r="V1135" s="85"/>
      <x:c r="W1135" s="85"/>
      <x:c r="Y1135" s="86"/>
      <x:c r="Z1135" s="86"/>
      <x:c r="AA1135" s="32"/>
    </x:row>
    <x:row r="1136">
      <x:c r="A1136" s="87"/>
      <x:c r="B1136" s="88"/>
      <x:c r="D1136" s="32"/>
      <x:c r="I1136" s="74"/>
      <x:c r="J1136" s="74"/>
      <x:c r="K1136" s="74"/>
      <x:c r="L1136" s="74"/>
      <x:c r="M1136" s="74"/>
      <x:c r="N1136" s="74"/>
      <x:c r="O1136" s="91"/>
      <x:c r="P1136" s="91"/>
      <x:c r="Q1136" s="85"/>
      <x:c r="R1136" s="85"/>
      <x:c r="S1136" s="85"/>
      <x:c r="T1136" s="85"/>
      <x:c r="U1136" s="85"/>
      <x:c r="V1136" s="85"/>
      <x:c r="W1136" s="85"/>
      <x:c r="Y1136" s="86"/>
      <x:c r="Z1136" s="86"/>
      <x:c r="AA1136" s="32"/>
    </x:row>
    <x:row r="1137">
      <x:c r="A1137" s="87"/>
      <x:c r="B1137" s="88"/>
      <x:c r="D1137" s="32"/>
      <x:c r="I1137" s="74"/>
      <x:c r="J1137" s="74"/>
      <x:c r="K1137" s="74"/>
      <x:c r="L1137" s="74"/>
      <x:c r="M1137" s="74"/>
      <x:c r="N1137" s="74"/>
      <x:c r="O1137" s="91"/>
      <x:c r="P1137" s="91"/>
      <x:c r="Q1137" s="85"/>
      <x:c r="R1137" s="85"/>
      <x:c r="S1137" s="85"/>
      <x:c r="T1137" s="85"/>
      <x:c r="U1137" s="85"/>
      <x:c r="V1137" s="85"/>
      <x:c r="W1137" s="85"/>
      <x:c r="Y1137" s="86"/>
      <x:c r="Z1137" s="86"/>
      <x:c r="AA1137" s="32"/>
    </x:row>
    <x:row r="1138">
      <x:c r="A1138" s="87"/>
      <x:c r="B1138" s="88"/>
      <x:c r="D1138" s="32"/>
      <x:c r="I1138" s="74"/>
      <x:c r="J1138" s="74"/>
      <x:c r="K1138" s="74"/>
      <x:c r="L1138" s="74"/>
      <x:c r="M1138" s="74"/>
      <x:c r="N1138" s="74"/>
      <x:c r="O1138" s="91"/>
      <x:c r="P1138" s="91"/>
      <x:c r="Q1138" s="85"/>
      <x:c r="R1138" s="85"/>
      <x:c r="S1138" s="85"/>
      <x:c r="T1138" s="85"/>
      <x:c r="U1138" s="85"/>
      <x:c r="V1138" s="85"/>
      <x:c r="W1138" s="85"/>
      <x:c r="Y1138" s="86"/>
      <x:c r="Z1138" s="86"/>
      <x:c r="AA1138" s="32"/>
    </x:row>
    <x:row r="1139">
      <x:c r="A1139" s="87"/>
      <x:c r="B1139" s="88"/>
      <x:c r="D1139" s="32"/>
      <x:c r="I1139" s="74"/>
      <x:c r="J1139" s="74"/>
      <x:c r="K1139" s="74"/>
      <x:c r="L1139" s="74"/>
      <x:c r="M1139" s="74"/>
      <x:c r="N1139" s="74"/>
      <x:c r="O1139" s="91"/>
      <x:c r="P1139" s="91"/>
      <x:c r="Q1139" s="85"/>
      <x:c r="R1139" s="85"/>
      <x:c r="S1139" s="85"/>
      <x:c r="T1139" s="85"/>
      <x:c r="U1139" s="85"/>
      <x:c r="V1139" s="85"/>
      <x:c r="W1139" s="85"/>
      <x:c r="Y1139" s="86"/>
      <x:c r="Z1139" s="86"/>
      <x:c r="AA1139" s="32"/>
    </x:row>
    <x:row r="1140">
      <x:c r="A1140" s="87"/>
      <x:c r="B1140" s="88"/>
      <x:c r="D1140" s="32"/>
      <x:c r="I1140" s="74"/>
      <x:c r="J1140" s="74"/>
      <x:c r="K1140" s="74"/>
      <x:c r="L1140" s="74"/>
      <x:c r="M1140" s="74"/>
      <x:c r="N1140" s="74"/>
      <x:c r="O1140" s="91"/>
      <x:c r="P1140" s="91"/>
      <x:c r="Q1140" s="85"/>
      <x:c r="R1140" s="85"/>
      <x:c r="S1140" s="85"/>
      <x:c r="T1140" s="85"/>
      <x:c r="U1140" s="85"/>
      <x:c r="V1140" s="85"/>
      <x:c r="W1140" s="85"/>
      <x:c r="Y1140" s="86"/>
      <x:c r="Z1140" s="86"/>
      <x:c r="AA1140" s="32"/>
    </x:row>
    <x:row r="1141">
      <x:c r="A1141" s="87"/>
      <x:c r="B1141" s="88"/>
      <x:c r="D1141" s="32"/>
      <x:c r="I1141" s="74"/>
      <x:c r="J1141" s="74"/>
      <x:c r="K1141" s="74"/>
      <x:c r="L1141" s="74"/>
      <x:c r="M1141" s="74"/>
      <x:c r="N1141" s="74"/>
      <x:c r="O1141" s="91"/>
      <x:c r="P1141" s="91"/>
      <x:c r="Q1141" s="85"/>
      <x:c r="R1141" s="85"/>
      <x:c r="S1141" s="85"/>
      <x:c r="T1141" s="85"/>
      <x:c r="U1141" s="85"/>
      <x:c r="V1141" s="85"/>
      <x:c r="W1141" s="85"/>
      <x:c r="Y1141" s="86"/>
      <x:c r="Z1141" s="86"/>
      <x:c r="AA1141" s="32"/>
    </x:row>
    <x:row r="1142">
      <x:c r="A1142" s="87"/>
      <x:c r="B1142" s="88"/>
      <x:c r="D1142" s="32"/>
      <x:c r="I1142" s="74"/>
      <x:c r="J1142" s="74"/>
      <x:c r="K1142" s="74"/>
      <x:c r="L1142" s="74"/>
      <x:c r="M1142" s="74"/>
      <x:c r="N1142" s="74"/>
      <x:c r="O1142" s="91"/>
      <x:c r="P1142" s="91"/>
      <x:c r="Q1142" s="85"/>
      <x:c r="R1142" s="85"/>
      <x:c r="S1142" s="85"/>
      <x:c r="T1142" s="85"/>
      <x:c r="U1142" s="85"/>
      <x:c r="V1142" s="85"/>
      <x:c r="W1142" s="85"/>
      <x:c r="Y1142" s="86"/>
      <x:c r="Z1142" s="86"/>
      <x:c r="AA1142" s="32"/>
    </x:row>
    <x:row r="1143">
      <x:c r="A1143" s="87"/>
      <x:c r="B1143" s="88"/>
      <x:c r="D1143" s="32"/>
      <x:c r="I1143" s="74"/>
      <x:c r="J1143" s="74"/>
      <x:c r="K1143" s="74"/>
      <x:c r="L1143" s="74"/>
      <x:c r="M1143" s="74"/>
      <x:c r="N1143" s="74"/>
      <x:c r="O1143" s="91"/>
      <x:c r="P1143" s="91"/>
      <x:c r="Q1143" s="85"/>
      <x:c r="R1143" s="85"/>
      <x:c r="S1143" s="85"/>
      <x:c r="T1143" s="85"/>
      <x:c r="U1143" s="85"/>
      <x:c r="V1143" s="85"/>
      <x:c r="W1143" s="85"/>
      <x:c r="Y1143" s="86"/>
      <x:c r="Z1143" s="86"/>
      <x:c r="AA1143" s="32"/>
    </x:row>
    <x:row r="1144">
      <x:c r="A1144" s="87"/>
      <x:c r="B1144" s="88"/>
      <x:c r="D1144" s="32"/>
      <x:c r="I1144" s="74"/>
      <x:c r="J1144" s="74"/>
      <x:c r="K1144" s="74"/>
      <x:c r="L1144" s="74"/>
      <x:c r="M1144" s="74"/>
      <x:c r="N1144" s="74"/>
      <x:c r="O1144" s="91"/>
      <x:c r="P1144" s="91"/>
      <x:c r="Q1144" s="85"/>
      <x:c r="R1144" s="85"/>
      <x:c r="S1144" s="85"/>
      <x:c r="T1144" s="85"/>
      <x:c r="U1144" s="85"/>
      <x:c r="V1144" s="85"/>
      <x:c r="W1144" s="85"/>
      <x:c r="Y1144" s="86"/>
      <x:c r="Z1144" s="86"/>
      <x:c r="AA1144" s="32"/>
    </x:row>
    <x:row r="1145">
      <x:c r="A1145" s="87"/>
      <x:c r="B1145" s="88"/>
      <x:c r="D1145" s="32"/>
      <x:c r="I1145" s="74"/>
      <x:c r="J1145" s="74"/>
      <x:c r="K1145" s="74"/>
      <x:c r="L1145" s="74"/>
      <x:c r="M1145" s="74"/>
      <x:c r="N1145" s="74"/>
      <x:c r="O1145" s="91"/>
      <x:c r="P1145" s="91"/>
      <x:c r="Q1145" s="85"/>
      <x:c r="R1145" s="85"/>
      <x:c r="S1145" s="85"/>
      <x:c r="T1145" s="85"/>
      <x:c r="U1145" s="85"/>
      <x:c r="V1145" s="85"/>
      <x:c r="W1145" s="85"/>
      <x:c r="Y1145" s="86"/>
      <x:c r="Z1145" s="86"/>
      <x:c r="AA1145" s="32"/>
    </x:row>
    <x:row r="1146">
      <x:c r="A1146" s="87"/>
      <x:c r="B1146" s="88"/>
      <x:c r="D1146" s="32"/>
      <x:c r="I1146" s="74"/>
      <x:c r="J1146" s="74"/>
      <x:c r="K1146" s="74"/>
      <x:c r="L1146" s="74"/>
      <x:c r="M1146" s="74"/>
      <x:c r="N1146" s="74"/>
      <x:c r="O1146" s="91"/>
      <x:c r="P1146" s="91"/>
      <x:c r="Q1146" s="85"/>
      <x:c r="R1146" s="85"/>
      <x:c r="S1146" s="85"/>
      <x:c r="T1146" s="85"/>
      <x:c r="U1146" s="85"/>
      <x:c r="V1146" s="85"/>
      <x:c r="W1146" s="85"/>
      <x:c r="Y1146" s="86"/>
      <x:c r="Z1146" s="86"/>
      <x:c r="AA1146" s="32"/>
    </x:row>
    <x:row r="1147">
      <x:c r="A1147" s="87"/>
      <x:c r="B1147" s="88"/>
      <x:c r="D1147" s="32"/>
      <x:c r="I1147" s="74"/>
      <x:c r="J1147" s="74"/>
      <x:c r="K1147" s="74"/>
      <x:c r="L1147" s="74"/>
      <x:c r="M1147" s="74"/>
      <x:c r="N1147" s="74"/>
      <x:c r="O1147" s="91"/>
      <x:c r="P1147" s="91"/>
      <x:c r="Q1147" s="85"/>
      <x:c r="R1147" s="85"/>
      <x:c r="S1147" s="85"/>
      <x:c r="T1147" s="85"/>
      <x:c r="U1147" s="85"/>
      <x:c r="V1147" s="85"/>
      <x:c r="W1147" s="85"/>
      <x:c r="Y1147" s="86"/>
      <x:c r="Z1147" s="86"/>
      <x:c r="AA1147" s="32"/>
    </x:row>
    <x:row r="1148">
      <x:c r="A1148" s="87"/>
      <x:c r="B1148" s="88"/>
      <x:c r="D1148" s="32"/>
      <x:c r="I1148" s="74"/>
      <x:c r="J1148" s="74"/>
      <x:c r="K1148" s="74"/>
      <x:c r="L1148" s="74"/>
      <x:c r="M1148" s="74"/>
      <x:c r="N1148" s="74"/>
      <x:c r="O1148" s="91"/>
      <x:c r="P1148" s="91"/>
      <x:c r="Q1148" s="85"/>
      <x:c r="R1148" s="85"/>
      <x:c r="S1148" s="85"/>
      <x:c r="T1148" s="85"/>
      <x:c r="U1148" s="85"/>
      <x:c r="V1148" s="85"/>
      <x:c r="W1148" s="85"/>
      <x:c r="Y1148" s="86"/>
      <x:c r="Z1148" s="86"/>
      <x:c r="AA1148" s="32"/>
    </x:row>
  </x:sheetData>
  <x:mergeCells>
    <x:mergeCell ref="A2:B2"/>
    <x:mergeCell ref="A3:B3"/>
  </x:mergeCells>
  <x:conditionalFormatting sqref="C2:C29 D2:P4 Q2:W168 X2:Y4 B4:B4">
    <x:cfRule type="expression" dxfId="0" priority="1">
      <x:formula>$X2="Done"</x:formula>
    </x:cfRule>
  </x:conditionalFormatting>
  <x:conditionalFormatting sqref="C2:C29 D2:P4 Q2:W168 X2:Y4 B4:B4">
    <x:cfRule type="expression" dxfId="1" priority="2">
      <x:formula>AND(NOT($X2="Done"), OR(#REF!="Đã CK Anh", #REF!="Đã CK Em"))</x:formula>
    </x:cfRule>
  </x:conditionalFormatting>
  <x:conditionalFormatting sqref="O2:P4 Q2:W168">
    <x:cfRule type="expression" dxfId="1" priority="3">
      <x:formula>AND(NOT(#REF!="Done"), OR(#REF!="Đã CK Anh", #REF!="Đã CK Em"))</x:formula>
    </x:cfRule>
  </x:conditionalFormatting>
  <x:conditionalFormatting sqref="O2:P4 Q2:W168">
    <x:cfRule type="expression" dxfId="0" priority="4">
      <x:formula>#REF!="Done"</x:formula>
    </x:cfRule>
  </x:conditionalFormatting>
  <x:conditionalFormatting sqref="C2:C29 W4:W168 B5:B7 D5:P7 Q5:V168 X5:Y7">
    <x:cfRule type="expression" dxfId="0" priority="5">
      <x:formula>$X2="Done"</x:formula>
    </x:cfRule>
  </x:conditionalFormatting>
  <x:conditionalFormatting sqref="C2:C29 W4:W168 B5:B7 D5:P7 Q5:V168 X5:Y7">
    <x:cfRule type="expression" dxfId="1" priority="6">
      <x:formula>AND(NOT($X2="Done"), OR(#REF!="Đã CK Anh", #REF!="Đã CK Em"))</x:formula>
    </x:cfRule>
  </x:conditionalFormatting>
  <x:conditionalFormatting sqref="W4:W168 O5:P7 Q5:V168">
    <x:cfRule type="expression" dxfId="1" priority="7">
      <x:formula>AND(NOT(#REF!="Done"), OR(#REF!="Đã CK Anh", #REF!="Đã CK Em"))</x:formula>
    </x:cfRule>
  </x:conditionalFormatting>
  <x:conditionalFormatting sqref="W4:W168 O5:P7 Q5:V168">
    <x:cfRule type="expression" dxfId="0" priority="8">
      <x:formula>#REF!="Done"</x:formula>
    </x:cfRule>
  </x:conditionalFormatting>
  <x:conditionalFormatting sqref="O2:P4 Q2:W168 O8:P168">
    <x:cfRule type="expression" dxfId="0" priority="9">
      <x:formula>$Z2="Done"</x:formula>
    </x:cfRule>
  </x:conditionalFormatting>
  <x:conditionalFormatting sqref="O2:P4 Q2:W168 O8:P168">
    <x:cfRule type="expression" dxfId="1" priority="10">
      <x:formula>AND(NOT($Z2="Done"), OR($AA2="Đã CK Anh", $AA2="Đã CK Em"))</x:formula>
    </x:cfRule>
  </x:conditionalFormatting>
  <x:conditionalFormatting sqref="A83:A87 B83:Y84 B87:B87 C87:C98 D87:D88 A89:A89 A91:A91 A93:A168 B110:D110 W150:W151">
    <x:cfRule type="expression" dxfId="1" priority="11">
      <x:formula>AND(NOT($X83="Done"), OR($Z83="Đã CK Anh", $Z83="Đã CK Em"))</x:formula>
    </x:cfRule>
  </x:conditionalFormatting>
  <x:conditionalFormatting sqref="A83:A87 B83:Y84 B87:B87 C87:C98 D87:D88 A89:A89 A91:A91 A93:A168 B110:D110 W150:W151">
    <x:cfRule type="expression" dxfId="0" priority="12">
      <x:formula>$X83="Done"</x:formula>
    </x:cfRule>
  </x:conditionalFormatting>
  <x:conditionalFormatting sqref="A169:B170">
    <x:cfRule type="expression" dxfId="0" priority="13">
      <x:formula>$N169="Done"</x:formula>
    </x:cfRule>
  </x:conditionalFormatting>
  <x:conditionalFormatting sqref="A169:B170">
    <x:cfRule type="expression" dxfId="1" priority="14">
      <x:formula>AND(NOT($N169="Done"), OR($I169="Đã CK Anh", $I169="Đã CK Em"))</x:formula>
    </x:cfRule>
  </x:conditionalFormatting>
  <x:conditionalFormatting sqref="A2:A1148 B2:B4 C2:C82 D2:P4 Q2:W1148 X2:Y4 B8:B82 D8:N82 O8:P1148 X8:Y82 B85:N1148 X85:Y1148">
    <x:cfRule type="expression" dxfId="0" priority="15">
      <x:formula>$X2="Done"</x:formula>
    </x:cfRule>
  </x:conditionalFormatting>
  <x:conditionalFormatting sqref="A2:A1148 B2:B4 C2:C82 D2:P4 Q2:W1148 X2:Y4 B8:B82 D8:N82 O8:P1148 X8:Y82 B85:N1148 X85:Y1148">
    <x:cfRule type="expression" dxfId="1" priority="16">
      <x:formula>AND(NOT($X2="Done"), OR($Z2="Đã CK Anh", $Z2="Đã CK Em"))</x:formula>
    </x:cfRule>
  </x:conditionalFormatting>
  <x:conditionalFormatting sqref="Z5:Z7">
    <x:cfRule type="notContainsBlanks" dxfId="0" priority="17">
      <x:formula>LEN(TRIM(Z5))&gt;0</x:formula>
    </x:cfRule>
  </x:conditionalFormatting>
  <x:dataValidations count="2">
    <x:dataValidation type="list" allowBlank="1" showErrorMessage="1" sqref="Z4:Z1148">
      <x:formula1>"Chưa CK,Đã CK Anh,Đã CK Em"</x:formula1>
    </x:dataValidation>
    <x:dataValidation type="list" allowBlank="1" showErrorMessage="1" sqref="Y4:Y1148">
      <x:formula1>"Đã tạo đơn,Đã gửi đơn,Done,Chưa lên đơn"</x:formula1>
    </x:dataValidation>
  </x:dataValidations>
  <x:hyperlinks>
    <x:hyperlink xmlns:r="http://schemas.openxmlformats.org/officeDocument/2006/relationships" ref="D4" r:id="R2ff387729d964cf8"/>
    <x:hyperlink xmlns:r="http://schemas.openxmlformats.org/officeDocument/2006/relationships" ref="D5" r:id="R51aaee8cafd841ab"/>
    <x:hyperlink xmlns:r="http://schemas.openxmlformats.org/officeDocument/2006/relationships" ref="D7" r:id="R03fdfbe790e84e16"/>
    <x:hyperlink xmlns:r="http://schemas.openxmlformats.org/officeDocument/2006/relationships" ref="D8" r:id="R5a00d2714c824202"/>
    <x:hyperlink xmlns:r="http://schemas.openxmlformats.org/officeDocument/2006/relationships" ref="D9" r:id="R314de28da60a48e8"/>
    <x:hyperlink xmlns:r="http://schemas.openxmlformats.org/officeDocument/2006/relationships" ref="D10" r:id="Rb1ba826ea0f647f7"/>
    <x:hyperlink xmlns:r="http://schemas.openxmlformats.org/officeDocument/2006/relationships" ref="D11" r:id="R3197eac66adf4078"/>
    <x:hyperlink xmlns:r="http://schemas.openxmlformats.org/officeDocument/2006/relationships" ref="D12" r:id="R4ccea24f74414e5e"/>
    <x:hyperlink xmlns:r="http://schemas.openxmlformats.org/officeDocument/2006/relationships" ref="D13" r:id="R49cd9cdd204242ee"/>
    <x:hyperlink xmlns:r="http://schemas.openxmlformats.org/officeDocument/2006/relationships" ref="D14" r:id="R7c2d761add1f4084"/>
    <x:hyperlink xmlns:r="http://schemas.openxmlformats.org/officeDocument/2006/relationships" ref="D16" r:id="R657ebdd35fc049a0"/>
    <x:hyperlink xmlns:r="http://schemas.openxmlformats.org/officeDocument/2006/relationships" ref="D17" r:id="R2c09591a79d34953"/>
    <x:hyperlink xmlns:r="http://schemas.openxmlformats.org/officeDocument/2006/relationships" ref="D18" r:id="Raa827c6a45064d87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5" width="12.380000114440918" customWidth="1"/>
    <x:col min="6" max="6" width="14.5" customWidth="1"/>
    <x:col min="7" max="8" width="12.380000114440918" customWidth="1"/>
    <x:col min="9" max="10" width="12.380000114440918" hidden="1" customWidth="1"/>
    <x:col min="11" max="11" width="14.880000114440918" customWidth="1"/>
    <x:col min="12" max="12" width="14.630000114440918" hidden="1" customWidth="1"/>
    <x:col min="22" max="22" width="17" customWidth="1"/>
    <x:col min="23" max="23" width="15.75" customWidth="1"/>
    <x:col min="24" max="24" width="18.5" customWidth="1"/>
  </x:cols>
  <x:sheetData>
    <x:row r="1" ht="21" customHeight="1">
      <x:c r="A1" s="1" t="s">
        <x:v>0</x:v>
      </x:c>
      <x:c r="B1" s="2" t="s">
        <x:v>1</x:v>
      </x:c>
      <x:c r="C1" s="1" t="s">
        <x:v>2</x:v>
      </x:c>
      <x:c r="D1" s="3" t="s">
        <x:v>3</x:v>
      </x:c>
      <x:c r="E1" s="1" t="s">
        <x:v>6</x:v>
      </x:c>
      <x:c r="F1" s="1" t="s">
        <x:v>7</x:v>
      </x:c>
      <x:c r="G1" s="4" t="s">
        <x:v>8</x:v>
      </x:c>
      <x:c r="H1" s="4" t="s">
        <x:v>9</x:v>
      </x:c>
      <x:c r="I1" s="4" t="s">
        <x:v>10</x:v>
      </x:c>
      <x:c r="J1" s="4" t="s">
        <x:v>11</x:v>
      </x:c>
      <x:c r="K1" s="4" t="s">
        <x:v>12</x:v>
      </x:c>
      <x:c r="L1" s="4" t="s">
        <x:v>13</x:v>
      </x:c>
      <x:c r="M1" s="1" t="s">
        <x:v>14</x:v>
      </x:c>
      <x:c r="N1" s="1" t="s">
        <x:v>15</x:v>
      </x:c>
      <x:c r="O1" s="5" t="s">
        <x:v>11</x:v>
      </x:c>
      <x:c r="P1" s="5" t="s">
        <x:v>16</x:v>
      </x:c>
      <x:c r="Q1" s="5" t="s">
        <x:v>17</x:v>
      </x:c>
      <x:c r="R1" s="5" t="s">
        <x:v>18</x:v>
      </x:c>
      <x:c r="S1" s="5" t="s">
        <x:v>19</x:v>
      </x:c>
      <x:c r="T1" s="5" t="s">
        <x:v>20</x:v>
      </x:c>
      <x:c r="U1" s="5" t="s">
        <x:v>21</x:v>
      </x:c>
      <x:c r="V1" s="1" t="s">
        <x:v>22</x:v>
      </x:c>
      <x:c r="W1" s="1" t="s">
        <x:v>23</x:v>
      </x:c>
      <x:c r="X1" s="1" t="s">
        <x:v>24</x:v>
      </x:c>
      <x:c r="Y1" s="6" t="s">
        <x:v>25</x:v>
      </x:c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</x:row>
    <x:row r="2" ht="18.75" customHeight="1">
      <x:c r="A2" s="8" t="s">
        <x:v>26</x:v>
      </x:c>
      <x:c r="B2" s="9"/>
      <x:c r="C2" s="10"/>
      <x:c r="D2" s="11"/>
      <x:c r="E2" s="12">
        <x:v>305000.0</x:v>
      </x:c>
      <x:c r="F2" s="12">
        <x:v>280000.0</x:v>
      </x:c>
      <x:c r="G2" s="12">
        <x:v>522000.0</x:v>
      </x:c>
      <x:c r="H2" s="12">
        <x:v>495000.0</x:v>
      </x:c>
      <x:c r="I2" s="12">
        <x:v>370000.0</x:v>
      </x:c>
      <x:c r="J2" s="12">
        <x:v>615000.0</x:v>
      </x:c>
      <x:c r="K2" s="12">
        <x:v>255000.0</x:v>
      </x:c>
      <x:c r="L2" s="12">
        <x:v>245000.0</x:v>
      </x:c>
      <x:c r="M2" s="12">
        <x:v>430000.0</x:v>
      </x:c>
      <x:c r="N2" s="12">
        <x:v>350000.0</x:v>
      </x:c>
      <x:c r="O2" s="13">
        <x:v>620000.0</x:v>
      </x:c>
      <x:c r="P2" s="13">
        <x:v>290000.0</x:v>
      </x:c>
      <x:c r="Q2" s="13">
        <x:v>270000.0</x:v>
      </x:c>
      <x:c r="R2" s="13">
        <x:v>399000.0</x:v>
      </x:c>
      <x:c r="S2" s="13">
        <x:v>399000.0</x:v>
      </x:c>
      <x:c r="T2" s="13">
        <x:v>409000.0</x:v>
      </x:c>
      <x:c r="U2" s="14"/>
      <x:c r="V2" s="15"/>
      <x:c r="W2" s="15"/>
      <x:c r="X2" s="15"/>
      <x:c r="Y2" s="16"/>
      <x:c r="Z2" s="17"/>
      <x:c r="AA2" s="17"/>
      <x:c r="AB2" s="17"/>
      <x:c r="AC2" s="17"/>
      <x:c r="AD2" s="16"/>
      <x:c r="AE2" s="16"/>
      <x:c r="AF2" s="16"/>
      <x:c r="AG2" s="16"/>
      <x:c r="AH2" s="16"/>
      <x:c r="AI2" s="16"/>
      <x:c r="AJ2" s="16"/>
      <x:c r="AK2" s="16"/>
      <x:c r="AL2" s="16"/>
      <x:c r="AM2" s="16"/>
      <x:c r="AN2" s="16"/>
    </x:row>
    <x:row r="3" ht="18.75" customHeight="1">
      <x:c r="A3" s="8" t="s">
        <x:v>27</x:v>
      </x:c>
      <x:c r="B3" s="9"/>
      <x:c r="C3" s="10"/>
      <x:c r="D3" s="11"/>
      <x:c r="E3" s="15" t="n">
        <x:f t="shared" ref="E3:Q3" si="1">E170</x:f>
        <x:v>8</x:v>
      </x:c>
      <x:c r="F3" s="12">
        <x:f t="shared" si="1"/>
        <x:v>3</x:v>
      </x:c>
      <x:c r="G3" s="12">
        <x:f t="shared" si="1"/>
        <x:v>15</x:v>
      </x:c>
      <x:c r="H3" s="12">
        <x:f t="shared" si="1"/>
        <x:v>20</x:v>
      </x:c>
      <x:c r="I3" s="12">
        <x:f t="shared" si="1"/>
        <x:v>0</x:v>
      </x:c>
      <x:c r="J3" s="18">
        <x:f t="shared" si="1"/>
        <x:v>0</x:v>
      </x:c>
      <x:c r="K3" s="12">
        <x:f t="shared" si="1"/>
        <x:v>12</x:v>
      </x:c>
      <x:c r="L3" s="18">
        <x:f t="shared" si="1"/>
        <x:v>0</x:v>
      </x:c>
      <x:c r="M3" s="12">
        <x:f t="shared" si="1"/>
        <x:v>7</x:v>
      </x:c>
      <x:c r="N3" s="12">
        <x:f t="shared" si="1"/>
        <x:v>0</x:v>
      </x:c>
      <x:c r="O3" s="18">
        <x:f t="shared" si="1"/>
        <x:v>13</x:v>
      </x:c>
      <x:c r="P3" s="12">
        <x:f t="shared" si="1"/>
        <x:v>9</x:v>
      </x:c>
      <x:c r="Q3" s="18">
        <x:f t="shared" si="1"/>
        <x:v>5</x:v>
      </x:c>
      <x:c r="R3" s="15"/>
      <x:c r="S3" s="15"/>
      <x:c r="T3" s="15"/>
      <x:c r="U3" s="14"/>
      <x:c r="V3" s="15"/>
      <x:c r="W3" s="15"/>
      <x:c r="X3" s="15"/>
      <x:c r="Y3" s="16"/>
      <x:c r="Z3" s="17"/>
      <x:c r="AA3" s="17"/>
      <x:c r="AB3" s="17"/>
      <x:c r="AC3" s="17"/>
      <x:c r="AD3" s="16"/>
      <x:c r="AE3" s="16"/>
      <x:c r="AF3" s="16"/>
      <x:c r="AG3" s="16"/>
      <x:c r="AH3" s="16"/>
      <x:c r="AI3" s="16"/>
      <x:c r="AJ3" s="16"/>
      <x:c r="AK3" s="16"/>
      <x:c r="AL3" s="16"/>
      <x:c r="AM3" s="16"/>
      <x:c r="AN3" s="16"/>
    </x:row>
    <x:row r="4" ht="18.75" customHeight="1">
      <x:c r="A4" s="19">
        <x:v>1.0</x:v>
      </x:c>
      <x:c r="B4" s="20" t="s">
        <x:v>72</x:v>
      </x:c>
      <x:c r="C4" s="21">
        <x:v>46087.0</x:v>
      </x:c>
      <x:c r="D4" s="22" t="s">
        <x:v>73</x:v>
      </x:c>
      <x:c r="E4" s="23"/>
      <x:c r="F4" s="24"/>
      <x:c r="G4" s="24"/>
      <x:c r="H4" s="24"/>
      <x:c r="I4" s="24"/>
      <x:c r="J4" s="24"/>
      <x:c r="K4" s="24"/>
      <x:c r="L4" s="24"/>
      <x:c r="M4" s="24"/>
      <x:c r="N4" s="25"/>
      <x:c r="O4" s="25"/>
      <x:c r="P4" s="25"/>
      <x:c r="Q4" s="25"/>
      <x:c r="R4" s="24">
        <x:v>1.0</x:v>
      </x:c>
      <x:c r="S4" s="25"/>
      <x:c r="T4" s="25"/>
      <x:c r="U4" s="26" t="n">
        <x:f>SUMPRODUCT(E4:T4,$E$2:$T$2)</x:f>
        <x:v>399000</x:v>
      </x:c>
      <x:c r="V4" s="23" t="s">
        <x:v>74</x:v>
      </x:c>
      <x:c r="W4" s="23"/>
      <x:c r="X4" s="27" t="s">
        <x:v>31</x:v>
      </x:c>
      <x:c r="Z4" s="28" t="s">
        <x:v>34</x:v>
      </x:c>
      <x:c r="AA4" s="28" t="s">
        <x:v>31</x:v>
      </x:c>
      <x:c r="AB4" s="28" t="s">
        <x:v>54</x:v>
      </x:c>
      <x:c r="AC4" s="28" t="s">
        <x:v>55</x:v>
      </x:c>
    </x:row>
    <x:row r="5">
      <x:c r="A5" s="19">
        <x:v>2.0</x:v>
      </x:c>
      <x:c r="B5" s="30" t="s">
        <x:v>75</x:v>
      </x:c>
      <x:c r="C5" s="21"/>
      <x:c r="D5" s="35"/>
      <x:c r="E5" s="23"/>
      <x:c r="F5" s="24">
        <x:v>1.0</x:v>
      </x:c>
      <x:c r="G5" s="24"/>
      <x:c r="H5" s="24"/>
      <x:c r="I5" s="24"/>
      <x:c r="J5" s="24"/>
      <x:c r="K5" s="24"/>
      <x:c r="L5" s="24"/>
      <x:c r="M5" s="25"/>
      <x:c r="N5" s="25"/>
      <x:c r="O5" s="25"/>
      <x:c r="P5" s="25"/>
      <x:c r="Q5" s="25"/>
      <x:c r="R5" s="25"/>
      <x:c r="S5" s="25"/>
      <x:c r="T5" s="25"/>
      <x:c r="U5" s="26" t="n">
        <x:f>SUMPRODUCT(E5:T5,$E$2:$T$2) - 10000</x:f>
        <x:v>270000</x:v>
      </x:c>
      <x:c r="V5" s="23" t="s">
        <x:v>74</x:v>
      </x:c>
      <x:c r="W5" s="23" t="s">
        <x:v>74</x:v>
      </x:c>
      <x:c r="X5" s="23" t="s">
        <x:v>31</x:v>
      </x:c>
      <x:c r="Z5" s="31" t="n">
        <x:f>SUMIF(X4:X1118, "Đã CK Anh", U4:U1118)</x:f>
        <x:v>3380000</x:v>
      </x:c>
      <x:c r="AA5" s="31" t="n">
        <x:f>SUMIF(X4:X1118, "Đã CK Em", U4:U1118)</x:f>
        <x:v>36422000</x:v>
      </x:c>
      <x:c r="AB5" s="31" t="n">
        <x:f>Z5+AA5</x:f>
        <x:v>39802000</x:v>
      </x:c>
      <x:c r="AC5" s="31" t="n">
        <x:f>SUMIF(X4:X1118, "Chưa CK", U4:U1118)</x:f>
        <x:v>0</x:v>
      </x:c>
    </x:row>
    <x:row r="6" ht="18.75" customHeight="1">
      <x:c r="A6" s="19">
        <x:v>3.0</x:v>
      </x:c>
      <x:c r="B6" s="20" t="s">
        <x:v>76</x:v>
      </x:c>
      <x:c r="C6" s="21"/>
      <x:c r="D6" s="35"/>
      <x:c r="E6" s="23"/>
      <x:c r="F6" s="24"/>
      <x:c r="G6" s="24"/>
      <x:c r="H6" s="24"/>
      <x:c r="I6" s="24"/>
      <x:c r="J6" s="24"/>
      <x:c r="K6" s="24">
        <x:v>1.0</x:v>
      </x:c>
      <x:c r="L6" s="24"/>
      <x:c r="M6" s="25"/>
      <x:c r="N6" s="25"/>
      <x:c r="O6" s="25"/>
      <x:c r="P6" s="25"/>
      <x:c r="Q6" s="25"/>
      <x:c r="R6" s="25"/>
      <x:c r="S6" s="25"/>
      <x:c r="T6" s="25"/>
      <x:c r="U6" s="26" t="n">
        <x:f>SUMPRODUCT(E6:T6,$E$2:$T$2) - 35000</x:f>
        <x:v>220000</x:v>
      </x:c>
      <x:c r="V6" s="23" t="s">
        <x:v>74</x:v>
      </x:c>
      <x:c r="W6" s="23"/>
      <x:c r="X6" s="23" t="s">
        <x:v>31</x:v>
      </x:c>
    </x:row>
    <x:row r="7" ht="18.75" customHeight="1">
      <x:c r="A7" s="19">
        <x:v>5.0</x:v>
      </x:c>
      <x:c r="B7" s="29" t="s">
        <x:v>77</x:v>
      </x:c>
      <x:c r="C7" s="21">
        <x:v>46097.0</x:v>
      </x:c>
      <x:c r="D7" s="22" t="s">
        <x:v>78</x:v>
      </x:c>
      <x:c r="E7" s="23">
        <x:v>1.0</x:v>
      </x:c>
      <x:c r="F7" s="24"/>
      <x:c r="G7" s="24"/>
      <x:c r="H7" s="24"/>
      <x:c r="I7" s="24"/>
      <x:c r="J7" s="24"/>
      <x:c r="K7" s="24">
        <x:v>1.0</x:v>
      </x:c>
      <x:c r="L7" s="24"/>
      <x:c r="M7" s="24"/>
      <x:c r="N7" s="24"/>
      <x:c r="O7" s="25"/>
      <x:c r="P7" s="25"/>
      <x:c r="Q7" s="25"/>
      <x:c r="R7" s="25"/>
      <x:c r="S7" s="25"/>
      <x:c r="T7" s="25"/>
      <x:c r="U7" s="26" t="n">
        <x:f>SUMPRODUCT(E7:T7,$E$2:$T$2)</x:f>
        <x:v>560000</x:v>
      </x:c>
      <x:c r="V7" s="23" t="s">
        <x:v>37</x:v>
      </x:c>
      <x:c r="W7" s="23" t="s">
        <x:v>74</x:v>
      </x:c>
      <x:c r="X7" s="23" t="s">
        <x:v>31</x:v>
      </x:c>
    </x:row>
    <x:row r="8" ht="18.75" customHeight="1">
      <x:c r="A8" s="19">
        <x:v>6.0</x:v>
      </x:c>
      <x:c r="B8" s="29" t="s">
        <x:v>79</x:v>
      </x:c>
      <x:c r="C8" s="21">
        <x:v>46097.0</x:v>
      </x:c>
      <x:c r="D8" s="22" t="s">
        <x:v>80</x:v>
      </x:c>
      <x:c r="E8" s="23"/>
      <x:c r="F8" s="24"/>
      <x:c r="G8" s="25"/>
      <x:c r="H8" s="24">
        <x:v>5.0</x:v>
      </x:c>
      <x:c r="I8" s="25"/>
      <x:c r="J8" s="24"/>
      <x:c r="K8" s="24"/>
      <x:c r="L8" s="25"/>
      <x:c r="M8" s="24"/>
      <x:c r="N8" s="24"/>
      <x:c r="O8" s="24"/>
      <x:c r="P8" s="24"/>
      <x:c r="Q8" s="24"/>
      <x:c r="R8" s="24"/>
      <x:c r="S8" s="24"/>
      <x:c r="T8" s="24"/>
      <x:c r="U8" s="26" t="n">
        <x:f>SUMPRODUCT(E8:T8,$E$2:$T$2) - 10000</x:f>
        <x:v>2465000</x:v>
      </x:c>
      <x:c r="V8" s="23" t="s">
        <x:v>37</x:v>
      </x:c>
      <x:c r="W8" s="23" t="s">
        <x:v>30</x:v>
      </x:c>
      <x:c r="X8" s="23" t="s">
        <x:v>31</x:v>
      </x:c>
    </x:row>
    <x:row r="9" ht="18.75" customHeight="1">
      <x:c r="A9" s="19">
        <x:v>7.0</x:v>
      </x:c>
      <x:c r="B9" s="29" t="s">
        <x:v>81</x:v>
      </x:c>
      <x:c r="C9" s="21">
        <x:v>46097.0</x:v>
      </x:c>
      <x:c r="D9" s="22" t="s">
        <x:v>82</x:v>
      </x:c>
      <x:c r="E9" s="23"/>
      <x:c r="F9" s="24"/>
      <x:c r="G9" s="25"/>
      <x:c r="H9" s="24">
        <x:v>10.0</x:v>
      </x:c>
      <x:c r="I9" s="24"/>
      <x:c r="J9" s="24"/>
      <x:c r="K9" s="24"/>
      <x:c r="L9" s="24"/>
      <x:c r="M9" s="25"/>
      <x:c r="N9" s="25"/>
      <x:c r="O9" s="25"/>
      <x:c r="P9" s="25"/>
      <x:c r="Q9" s="25"/>
      <x:c r="R9" s="25"/>
      <x:c r="S9" s="25"/>
      <x:c r="T9" s="25"/>
      <x:c r="U9" s="26" t="n">
        <x:f>SUMPRODUCT(E9:T9,$E$2:$T$2) - 15000</x:f>
        <x:v>4935000</x:v>
      </x:c>
      <x:c r="V9" s="23" t="s">
        <x:v>37</x:v>
      </x:c>
      <x:c r="W9" s="23" t="s">
        <x:v>30</x:v>
      </x:c>
      <x:c r="X9" s="23" t="s">
        <x:v>31</x:v>
      </x:c>
      <x:c r="Z9" s="37"/>
      <x:c r="AA9" s="37"/>
      <x:c r="AB9" s="37"/>
      <x:c r="AC9" s="37"/>
    </x:row>
    <x:row r="10" ht="18.75" customHeight="1">
      <x:c r="A10" s="19">
        <x:v>9.0</x:v>
      </x:c>
      <x:c r="B10" s="29" t="s">
        <x:v>83</x:v>
      </x:c>
      <x:c r="C10" s="21">
        <x:v>46097.0</x:v>
      </x:c>
      <x:c r="D10" s="22" t="s">
        <x:v>84</x:v>
      </x:c>
      <x:c r="E10" s="23">
        <x:v>1.0</x:v>
      </x:c>
      <x:c r="F10" s="24"/>
      <x:c r="G10" s="24"/>
      <x:c r="H10" s="24"/>
      <x:c r="I10" s="24"/>
      <x:c r="J10" s="24"/>
      <x:c r="K10" s="24">
        <x:v>1.0</x:v>
      </x:c>
      <x:c r="L10" s="24"/>
      <x:c r="M10" s="24"/>
      <x:c r="N10" s="25"/>
      <x:c r="O10" s="25"/>
      <x:c r="P10" s="25"/>
      <x:c r="Q10" s="25"/>
      <x:c r="R10" s="25"/>
      <x:c r="S10" s="25"/>
      <x:c r="T10" s="25"/>
      <x:c r="U10" s="26" t="n">
        <x:f t="shared" ref="U10:U19" si="2">SUMPRODUCT(E10:T10,$E$2:$T$2)</x:f>
        <x:v>560000</x:v>
      </x:c>
      <x:c r="V10" s="23" t="s">
        <x:v>37</x:v>
      </x:c>
      <x:c r="W10" s="23" t="s">
        <x:v>30</x:v>
      </x:c>
      <x:c r="X10" s="23" t="s">
        <x:v>31</x:v>
      </x:c>
      <x:c r="Z10" s="33" t="n" cm="1">
        <x:f t="array" ref="Z10:Z18">_xlfn._xlws.SORT(_xlfn.UNIQUE(C4:C1116))</x:f>
        <x:v>46087</x:v>
      </x:c>
      <x:c r="AA10" s="34" t="e">
        <x:f>IFERROR(__xludf.DUMMYFUNCTION("SUM(FILTER($E$4:$N$1118, $C$4:$C$1118 = Z10))"),0.0)</x:f>
        <x:v>#NAME?</x:v>
      </x:c>
      <x:c r="AB10" s="34" t="e">
        <x:f>IFERROR(__xludf.DUMMYFUNCTION("COUNT(FILTER($C$4:$C$1118, $C$4:$C$1118 = Z10))"),1.0)</x:f>
        <x:v>#NAME?</x:v>
      </x:c>
      <x:c r="AC10" s="31" t="n">
        <x:f t="shared" ref="AC10:AC17" si="3">SUMIF($C$4:$C$1118, $Z10 , $U$4:$U$1118)</x:f>
        <x:v>399000</x:v>
      </x:c>
    </x:row>
    <x:row r="11" ht="18.75" customHeight="1">
      <x:c r="A11" s="19">
        <x:v>10.0</x:v>
      </x:c>
      <x:c r="B11" s="29" t="s">
        <x:v>85</x:v>
      </x:c>
      <x:c r="C11" s="21">
        <x:v>46097.0</x:v>
      </x:c>
      <x:c r="D11" s="22" t="s">
        <x:v>86</x:v>
      </x:c>
      <x:c r="E11" s="23">
        <x:v>1.0</x:v>
      </x:c>
      <x:c r="F11" s="24"/>
      <x:c r="G11" s="24"/>
      <x:c r="H11" s="24"/>
      <x:c r="I11" s="24"/>
      <x:c r="J11" s="24"/>
      <x:c r="K11" s="24">
        <x:v>1.0</x:v>
      </x:c>
      <x:c r="L11" s="24"/>
      <x:c r="M11" s="25"/>
      <x:c r="N11" s="25"/>
      <x:c r="O11" s="25"/>
      <x:c r="P11" s="25"/>
      <x:c r="Q11" s="25"/>
      <x:c r="R11" s="25"/>
      <x:c r="S11" s="25"/>
      <x:c r="T11" s="25"/>
      <x:c r="U11" s="26">
        <x:f t="shared" si="2"/>
        <x:v>560000</x:v>
      </x:c>
      <x:c r="V11" s="23" t="s">
        <x:v>37</x:v>
      </x:c>
      <x:c r="W11" s="23" t="s">
        <x:v>30</x:v>
      </x:c>
      <x:c r="X11" s="23" t="s">
        <x:v>31</x:v>
      </x:c>
      <x:c r="Z11" s="33" t="n">
        <x:v>46097</x:v>
      </x:c>
      <x:c r="AA11" s="34" t="e">
        <x:f>IFERROR(__xludf.DUMMYFUNCTION("SUM(FILTER($E$4:$N$1118, $C$4:$C$1118 = Z11))"),21.0)</x:f>
        <x:v>#NAME?</x:v>
      </x:c>
      <x:c r="AB11" s="34" t="e">
        <x:f>IFERROR(__xludf.DUMMYFUNCTION("COUNT(FILTER($C$4:$C$1118, $C$4:$C$1118 = Z11))"),5.0)</x:f>
        <x:v>#NAME?</x:v>
      </x:c>
      <x:c r="AC11" s="31">
        <x:f t="shared" si="3"/>
        <x:v>9080000</x:v>
      </x:c>
    </x:row>
    <x:row r="12" ht="18.75" customHeight="1">
      <x:c r="A12" s="19">
        <x:v>11.0</x:v>
      </x:c>
      <x:c r="B12" s="29" t="s">
        <x:v>87</x:v>
      </x:c>
      <x:c r="C12" s="21">
        <x:v>46098.0</x:v>
      </x:c>
      <x:c r="D12" s="22" t="s">
        <x:v>88</x:v>
      </x:c>
      <x:c r="E12" s="23">
        <x:v>1.0</x:v>
      </x:c>
      <x:c r="F12" s="24"/>
      <x:c r="G12" s="25"/>
      <x:c r="H12" s="24"/>
      <x:c r="I12" s="24"/>
      <x:c r="J12" s="24"/>
      <x:c r="K12" s="24">
        <x:v>1.0</x:v>
      </x:c>
      <x:c r="L12" s="24"/>
      <x:c r="M12" s="24"/>
      <x:c r="N12" s="25"/>
      <x:c r="O12" s="25"/>
      <x:c r="P12" s="25"/>
      <x:c r="Q12" s="25"/>
      <x:c r="R12" s="25"/>
      <x:c r="S12" s="25"/>
      <x:c r="T12" s="25"/>
      <x:c r="U12" s="26">
        <x:f t="shared" si="2"/>
        <x:v>560000</x:v>
      </x:c>
      <x:c r="V12" s="23" t="s">
        <x:v>37</x:v>
      </x:c>
      <x:c r="W12" s="23" t="s">
        <x:v>30</x:v>
      </x:c>
      <x:c r="X12" s="23" t="s">
        <x:v>31</x:v>
      </x:c>
      <x:c r="Z12" s="33" t="n">
        <x:v>46098</x:v>
      </x:c>
      <x:c r="AA12" s="34" t="e">
        <x:f>IFERROR(__xludf.DUMMYFUNCTION("SUM(FILTER($E$4:$N$1118, $C$4:$C$1118 = Z12))"),9.0)</x:f>
        <x:v>#NAME?</x:v>
      </x:c>
      <x:c r="AB12" s="34" t="e">
        <x:f>IFERROR(__xludf.DUMMYFUNCTION("COUNT(FILTER($C$4:$C$1118, $C$4:$C$1118 = Z12))"),7.0)</x:f>
        <x:v>#NAME?</x:v>
      </x:c>
      <x:c r="AC12" s="31">
        <x:f t="shared" si="3"/>
        <x:v>4490000</x:v>
      </x:c>
    </x:row>
    <x:row r="13" ht="18.75" customHeight="1">
      <x:c r="A13" s="19">
        <x:v>12.0</x:v>
      </x:c>
      <x:c r="B13" s="29" t="s">
        <x:v>89</x:v>
      </x:c>
      <x:c r="C13" s="21">
        <x:v>46098.0</x:v>
      </x:c>
      <x:c r="D13" s="22" t="s">
        <x:v>90</x:v>
      </x:c>
      <x:c r="E13" s="23">
        <x:v>1.0</x:v>
      </x:c>
      <x:c r="F13" s="24"/>
      <x:c r="G13" s="25"/>
      <x:c r="H13" s="24"/>
      <x:c r="I13" s="24"/>
      <x:c r="J13" s="25"/>
      <x:c r="K13" s="24">
        <x:v>1.0</x:v>
      </x:c>
      <x:c r="L13" s="24"/>
      <x:c r="M13" s="25"/>
      <x:c r="N13" s="25"/>
      <x:c r="O13" s="25"/>
      <x:c r="P13" s="25"/>
      <x:c r="Q13" s="25"/>
      <x:c r="R13" s="25"/>
      <x:c r="S13" s="25"/>
      <x:c r="T13" s="25"/>
      <x:c r="U13" s="26">
        <x:f t="shared" si="2"/>
        <x:v>560000</x:v>
      </x:c>
      <x:c r="V13" s="23" t="s">
        <x:v>74</x:v>
      </x:c>
      <x:c r="W13" s="23"/>
      <x:c r="X13" s="23" t="s">
        <x:v>31</x:v>
      </x:c>
      <x:c r="Z13" s="38" t="n">
        <x:v>46100</x:v>
      </x:c>
      <x:c r="AA13" s="34" t="e">
        <x:f>IFERROR(__xludf.DUMMYFUNCTION("SUM(FILTER($E$4:$N$1118, $C$4:$C$1118 = Z13))"),6.0)</x:f>
        <x:v>#NAME?</x:v>
      </x:c>
      <x:c r="AB13" s="34" t="e">
        <x:f>IFERROR(__xludf.DUMMYFUNCTION("COUNT(FILTER($C$4:$C$1118, $C$4:$C$1118 = Z13))"),4.0)</x:f>
        <x:v>#NAME?</x:v>
      </x:c>
      <x:c r="AC13" s="31">
        <x:f t="shared" si="3"/>
        <x:v>4128000</x:v>
      </x:c>
    </x:row>
    <x:row r="14" ht="18.75" customHeight="1">
      <x:c r="A14" s="19">
        <x:v>13.0</x:v>
      </x:c>
      <x:c r="B14" s="29" t="s">
        <x:v>52</x:v>
      </x:c>
      <x:c r="C14" s="21">
        <x:v>46098.0</x:v>
      </x:c>
      <x:c r="D14" s="35" t="s">
        <x:v>91</x:v>
      </x:c>
      <x:c r="E14" s="23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>
        <x:v>2.0</x:v>
      </x:c>
      <x:c r="P14" s="25"/>
      <x:c r="Q14" s="25"/>
      <x:c r="R14" s="25"/>
      <x:c r="S14" s="25"/>
      <x:c r="T14" s="25"/>
      <x:c r="U14" s="26">
        <x:f t="shared" si="2"/>
        <x:v>1240000</x:v>
      </x:c>
      <x:c r="V14" s="23" t="s">
        <x:v>74</x:v>
      </x:c>
      <x:c r="W14" s="23" t="s">
        <x:v>74</x:v>
      </x:c>
      <x:c r="X14" s="23" t="s">
        <x:v>31</x:v>
      </x:c>
      <x:c r="Y14" s="32"/>
      <x:c r="Z14" s="38" t="n">
        <x:v>46105</x:v>
      </x:c>
      <x:c r="AA14" s="34" t="e">
        <x:f>IFERROR(__xludf.DUMMYFUNCTION("SUM(FILTER($E$4:$N$1118, $C$4:$C$1118 = Z14))"),6.0)</x:f>
        <x:v>#NAME?</x:v>
      </x:c>
      <x:c r="AB14" s="34" t="e">
        <x:f>IFERROR(__xludf.DUMMYFUNCTION("COUNT(FILTER($C$4:$C$1118, $C$4:$C$1118 = Z14))"),4.0)</x:f>
        <x:v>#NAME?</x:v>
      </x:c>
      <x:c r="AC14" s="31">
        <x:f t="shared" si="3"/>
        <x:v>3280000</x:v>
      </x:c>
    </x:row>
    <x:row r="15" ht="18.75" customHeight="1">
      <x:c r="A15" s="19">
        <x:v>14.0</x:v>
      </x:c>
      <x:c r="B15" s="29" t="s">
        <x:v>92</x:v>
      </x:c>
      <x:c r="C15" s="21">
        <x:v>46098.0</x:v>
      </x:c>
      <x:c r="D15" s="22" t="s">
        <x:v>93</x:v>
      </x:c>
      <x:c r="E15" s="23">
        <x:v>2.0</x:v>
      </x:c>
      <x:c r="F15" s="24"/>
      <x:c r="G15" s="24"/>
      <x:c r="H15" s="24"/>
      <x:c r="I15" s="24"/>
      <x:c r="J15" s="24"/>
      <x:c r="K15" s="24">
        <x:v>2.0</x:v>
      </x:c>
      <x:c r="L15" s="24"/>
      <x:c r="M15" s="24"/>
      <x:c r="N15" s="25"/>
      <x:c r="O15" s="25"/>
      <x:c r="P15" s="25"/>
      <x:c r="Q15" s="25"/>
      <x:c r="R15" s="25"/>
      <x:c r="S15" s="25"/>
      <x:c r="T15" s="25"/>
      <x:c r="U15" s="26">
        <x:f t="shared" si="2"/>
        <x:v>1120000</x:v>
      </x:c>
      <x:c r="V15" s="23" t="s">
        <x:v>74</x:v>
      </x:c>
      <x:c r="W15" s="23" t="s">
        <x:v>74</x:v>
      </x:c>
      <x:c r="X15" s="23" t="s">
        <x:v>31</x:v>
      </x:c>
      <x:c r="Y15" s="32"/>
      <x:c r="Z15" s="33" t="n">
        <x:v>46106</x:v>
      </x:c>
      <x:c r="AA15" s="34" t="e">
        <x:f>IFERROR(__xludf.DUMMYFUNCTION("SUM(FILTER($E$4:$N$1118, $C$4:$C$1118 = Z15))"),15.0)</x:f>
        <x:v>#NAME?</x:v>
      </x:c>
      <x:c r="AB15" s="34" t="e">
        <x:f>IFERROR(__xludf.DUMMYFUNCTION("COUNT(FILTER($C$4:$C$1118, $C$4:$C$1118 = Z15))"),3.0)</x:f>
        <x:v>#NAME?</x:v>
      </x:c>
      <x:c r="AC15" s="31">
        <x:f t="shared" si="3"/>
        <x:v>9605000</x:v>
      </x:c>
    </x:row>
    <x:row r="16" ht="18.75" customHeight="1">
      <x:c r="A16" s="19">
        <x:v>15.0</x:v>
      </x:c>
      <x:c r="B16" s="29" t="s">
        <x:v>94</x:v>
      </x:c>
      <x:c r="C16" s="21">
        <x:v>46098.0</x:v>
      </x:c>
      <x:c r="D16" s="22" t="s">
        <x:v>95</x:v>
      </x:c>
      <x:c r="E16" s="23"/>
      <x:c r="F16" s="24"/>
      <x:c r="G16" s="24"/>
      <x:c r="H16" s="24"/>
      <x:c r="I16" s="24"/>
      <x:c r="J16" s="24"/>
      <x:c r="K16" s="24"/>
      <x:c r="L16" s="24"/>
      <x:c r="M16" s="25"/>
      <x:c r="N16" s="25"/>
      <x:c r="O16" s="25"/>
      <x:c r="P16" s="24">
        <x:v>1.0</x:v>
      </x:c>
      <x:c r="Q16" s="25"/>
      <x:c r="R16" s="25"/>
      <x:c r="S16" s="25"/>
      <x:c r="T16" s="25"/>
      <x:c r="U16" s="26">
        <x:f t="shared" si="2"/>
        <x:v>290000</x:v>
      </x:c>
      <x:c r="V16" s="23" t="s">
        <x:v>74</x:v>
      </x:c>
      <x:c r="W16" s="23" t="s">
        <x:v>74</x:v>
      </x:c>
      <x:c r="X16" s="23" t="s">
        <x:v>31</x:v>
      </x:c>
      <x:c r="Y16" s="32"/>
      <x:c r="Z16" s="33" t="n">
        <x:v>46109</x:v>
      </x:c>
      <x:c r="AA16" s="34" t="e">
        <x:f>IFERROR(__xludf.DUMMYFUNCTION("SUM(FILTER($E$4:$N$1118, $C$4:$C$1118 = Z16))"),0.0)</x:f>
        <x:v>#NAME?</x:v>
      </x:c>
      <x:c r="AB16" s="34" t="e">
        <x:f>IFERROR(__xludf.DUMMYFUNCTION("COUNT(FILTER($C$4:$C$1118, $C$4:$C$1118 = Z16))"),1.0)</x:f>
        <x:v>#NAME?</x:v>
      </x:c>
      <x:c r="AC16" s="31">
        <x:f t="shared" si="3"/>
        <x:v>615000</x:v>
      </x:c>
    </x:row>
    <x:row r="17">
      <x:c r="A17" s="19">
        <x:v>16.0</x:v>
      </x:c>
      <x:c r="B17" s="29" t="s">
        <x:v>96</x:v>
      </x:c>
      <x:c r="C17" s="21">
        <x:v>46098.0</x:v>
      </x:c>
      <x:c r="D17" s="22" t="s">
        <x:v>97</x:v>
      </x:c>
      <x:c r="E17" s="23"/>
      <x:c r="F17" s="24"/>
      <x:c r="G17" s="24"/>
      <x:c r="H17" s="24"/>
      <x:c r="I17" s="24"/>
      <x:c r="J17" s="24"/>
      <x:c r="K17" s="24"/>
      <x:c r="L17" s="24"/>
      <x:c r="M17" s="24"/>
      <x:c r="N17" s="25"/>
      <x:c r="O17" s="25"/>
      <x:c r="P17" s="24">
        <x:v>1.0</x:v>
      </x:c>
      <x:c r="Q17" s="25"/>
      <x:c r="R17" s="25"/>
      <x:c r="S17" s="25"/>
      <x:c r="T17" s="25"/>
      <x:c r="U17" s="26">
        <x:f t="shared" si="2"/>
        <x:v>290000</x:v>
      </x:c>
      <x:c r="V17" s="23" t="s">
        <x:v>74</x:v>
      </x:c>
      <x:c r="W17" s="23" t="s">
        <x:v>74</x:v>
      </x:c>
      <x:c r="X17" s="23" t="s">
        <x:v>31</x:v>
      </x:c>
      <x:c r="Y17" s="32"/>
      <x:c r="Z17" s="33" t="n">
        <x:v>46112</x:v>
      </x:c>
      <x:c r="AA17" s="34" t="e">
        <x:f>IFERROR(__xludf.DUMMYFUNCTION("SUM(FILTER($E$4:$N$1118, $C$4:$C$1118 = Z17))"),3.0)</x:f>
        <x:v>#NAME?</x:v>
      </x:c>
      <x:c r="AB17" s="34" t="e">
        <x:f>IFERROR(__xludf.DUMMYFUNCTION("COUNT(FILTER($C$4:$C$1118, $C$4:$C$1118 = Z17))"),6.0)</x:f>
        <x:v>#NAME?</x:v>
      </x:c>
      <x:c r="AC17" s="31">
        <x:f t="shared" si="3"/>
        <x:v>6385000</x:v>
      </x:c>
    </x:row>
    <x:row r="18">
      <x:c r="A18" s="19">
        <x:v>17.0</x:v>
      </x:c>
      <x:c r="B18" s="29" t="s">
        <x:v>98</x:v>
      </x:c>
      <x:c r="C18" s="21">
        <x:v>46098.0</x:v>
      </x:c>
      <x:c r="D18" s="22" t="s">
        <x:v>99</x:v>
      </x:c>
      <x:c r="E18" s="23"/>
      <x:c r="F18" s="24"/>
      <x:c r="G18" s="24"/>
      <x:c r="H18" s="24"/>
      <x:c r="I18" s="24"/>
      <x:c r="J18" s="24"/>
      <x:c r="K18" s="24"/>
      <x:c r="L18" s="24"/>
      <x:c r="M18" s="24">
        <x:v>1.0</x:v>
      </x:c>
      <x:c r="N18" s="24"/>
      <x:c r="O18" s="25"/>
      <x:c r="P18" s="24"/>
      <x:c r="Q18" s="25"/>
      <x:c r="R18" s="25"/>
      <x:c r="S18" s="25"/>
      <x:c r="T18" s="25"/>
      <x:c r="U18" s="26">
        <x:f t="shared" si="2"/>
        <x:v>430000</x:v>
      </x:c>
      <x:c r="V18" s="23" t="s">
        <x:v>74</x:v>
      </x:c>
      <x:c r="W18" s="23" t="s">
        <x:v>74</x:v>
      </x:c>
      <x:c r="X18" s="23" t="s">
        <x:v>31</x:v>
      </x:c>
      <x:c r="Y18" s="32"/>
      <x:c r="Z18" s="33" t="n">
        <x:v>0</x:v>
      </x:c>
      <x:c r="AA18" s="34"/>
      <x:c r="AB18" s="34"/>
      <x:c r="AC18" s="31"/>
    </x:row>
    <x:row r="19">
      <x:c r="A19" s="19"/>
      <x:c r="B19" s="29" t="s">
        <x:v>100</x:v>
      </x:c>
      <x:c r="C19" s="21"/>
      <x:c r="D19" s="35"/>
      <x:c r="E19" s="23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>
        <x:v>1.0</x:v>
      </x:c>
      <x:c r="P19" s="24"/>
      <x:c r="Q19" s="25"/>
      <x:c r="R19" s="25"/>
      <x:c r="S19" s="25"/>
      <x:c r="T19" s="25"/>
      <x:c r="U19" s="26">
        <x:f t="shared" si="2"/>
        <x:v>620000</x:v>
      </x:c>
      <x:c r="V19" s="23" t="s">
        <x:v>74</x:v>
      </x:c>
      <x:c r="W19" s="23" t="s">
        <x:v>74</x:v>
      </x:c>
      <x:c r="X19" s="23" t="s">
        <x:v>31</x:v>
      </x:c>
      <x:c r="Y19" s="32"/>
      <x:c r="Z19" s="33"/>
      <x:c r="AA19" s="34"/>
      <x:c r="AB19" s="34"/>
      <x:c r="AC19" s="31"/>
    </x:row>
    <x:row r="20" ht="18.75" customHeight="1">
      <x:c r="A20" s="19">
        <x:v>18.0</x:v>
      </x:c>
      <x:c r="B20" s="29" t="s">
        <x:v>101</x:v>
      </x:c>
      <x:c r="C20" s="36">
        <x:v>46100.0</x:v>
      </x:c>
      <x:c r="D20" s="22" t="s">
        <x:v>102</x:v>
      </x:c>
      <x:c r="E20" s="23"/>
      <x:c r="F20" s="24">
        <x:v>1.0</x:v>
      </x:c>
      <x:c r="G20" s="24"/>
      <x:c r="H20" s="24">
        <x:v>1.0</x:v>
      </x:c>
      <x:c r="I20" s="24"/>
      <x:c r="J20" s="24"/>
      <x:c r="K20" s="24">
        <x:v>1.0</x:v>
      </x:c>
      <x:c r="L20" s="24"/>
      <x:c r="M20" s="24">
        <x:v>1.0</x:v>
      </x:c>
      <x:c r="N20" s="24"/>
      <x:c r="O20" s="25"/>
      <x:c r="P20" s="25"/>
      <x:c r="Q20" s="25"/>
      <x:c r="R20" s="25"/>
      <x:c r="S20" s="25"/>
      <x:c r="T20" s="25"/>
      <x:c r="U20" s="26" t="n">
        <x:f>SUMPRODUCT(E20:T20,$E$2:$T$2) - 40000</x:f>
        <x:v>1420000</x:v>
      </x:c>
      <x:c r="V20" s="23" t="s">
        <x:v>37</x:v>
      </x:c>
      <x:c r="W20" s="23" t="s">
        <x:v>74</x:v>
      </x:c>
      <x:c r="X20" s="23" t="s">
        <x:v>31</x:v>
      </x:c>
      <x:c r="Y20" s="32"/>
      <x:c r="Z20" s="33"/>
      <x:c r="AA20" s="34" t="e">
        <x:f>IFERROR(__xludf.DUMMYFUNCTION("SUM(FILTER($E$4:$N$1118, $C$4:$C$1118 = Z20))"),1.2840959539110342E7)</x:f>
        <x:v>#NAME?</x:v>
      </x:c>
      <x:c r="AB20" s="34" t="e">
        <x:f>IFERROR(__xludf.DUMMYFUNCTION("COUNT(FILTER($C$4:$C$1118, $C$4:$C$1118 = Z20))"),0.0)</x:f>
        <x:v>#NAME?</x:v>
      </x:c>
      <x:c r="AC20" s="31" t="n">
        <x:f t="shared" ref="AC20:AC23" si="4">SUMIF($C$4:$C$1118, $Z20 , $U$4:$U$1118)</x:f>
        <x:v>81424000</x:v>
      </x:c>
    </x:row>
    <x:row r="21" ht="18.75" customHeight="1">
      <x:c r="A21" s="19">
        <x:v>19.0</x:v>
      </x:c>
      <x:c r="B21" s="29" t="s">
        <x:v>103</x:v>
      </x:c>
      <x:c r="C21" s="36">
        <x:v>46100.0</x:v>
      </x:c>
      <x:c r="D21" s="35"/>
      <x:c r="E21" s="23"/>
      <x:c r="F21" s="24"/>
      <x:c r="G21" s="24"/>
      <x:c r="H21" s="25"/>
      <x:c r="I21" s="24"/>
      <x:c r="J21" s="25"/>
      <x:c r="K21" s="24"/>
      <x:c r="L21" s="24"/>
      <x:c r="M21" s="25"/>
      <x:c r="N21" s="25"/>
      <x:c r="O21" s="25"/>
      <x:c r="P21" s="25"/>
      <x:c r="Q21" s="24">
        <x:v>5.0</x:v>
      </x:c>
      <x:c r="R21" s="25"/>
      <x:c r="S21" s="25"/>
      <x:c r="T21" s="25"/>
      <x:c r="U21" s="26" t="n">
        <x:f t="shared" ref="U21:U26" si="5">SUMPRODUCT(E21:T21,$E$2:$T$2)</x:f>
        <x:v>1350000</x:v>
      </x:c>
      <x:c r="V21" s="23" t="s">
        <x:v>74</x:v>
      </x:c>
      <x:c r="W21" s="23" t="s">
        <x:v>74</x:v>
      </x:c>
      <x:c r="X21" s="23" t="s">
        <x:v>34</x:v>
      </x:c>
      <x:c r="Y21" s="32"/>
      <x:c r="Z21" s="33"/>
      <x:c r="AA21" s="34" t="e">
        <x:f>IFERROR(__xludf.DUMMYFUNCTION("SUM(FILTER($E$4:$N$1118, $C$4:$C$1118 = Z21))"),1.2840959539110342E7)</x:f>
        <x:v>#NAME?</x:v>
      </x:c>
      <x:c r="AB21" s="34" t="e">
        <x:f>IFERROR(__xludf.DUMMYFUNCTION("COUNT(FILTER($C$4:$C$1118, $C$4:$C$1118 = Z21))"),0.0)</x:f>
        <x:v>#NAME?</x:v>
      </x:c>
      <x:c r="AC21" s="31">
        <x:f t="shared" si="4"/>
        <x:v>0</x:v>
      </x:c>
    </x:row>
    <x:row r="22" ht="18.75" customHeight="1">
      <x:c r="A22" s="19">
        <x:v>20.0</x:v>
      </x:c>
      <x:c r="B22" s="29" t="s">
        <x:v>104</x:v>
      </x:c>
      <x:c r="C22" s="36">
        <x:v>46100.0</x:v>
      </x:c>
      <x:c r="D22" s="35"/>
      <x:c r="E22" s="23"/>
      <x:c r="F22" s="24"/>
      <x:c r="G22" s="24"/>
      <x:c r="H22" s="24"/>
      <x:c r="I22" s="24"/>
      <x:c r="J22" s="24"/>
      <x:c r="K22" s="24"/>
      <x:c r="L22" s="24"/>
      <x:c r="M22" s="24"/>
      <x:c r="N22" s="25"/>
      <x:c r="O22" s="25"/>
      <x:c r="P22" s="25"/>
      <x:c r="Q22" s="25"/>
      <x:c r="R22" s="24">
        <x:v>1.0</x:v>
      </x:c>
      <x:c r="S22" s="24">
        <x:v>1.0</x:v>
      </x:c>
      <x:c r="T22" s="25"/>
      <x:c r="U22" s="26">
        <x:f t="shared" si="5"/>
        <x:v>798000</x:v>
      </x:c>
      <x:c r="V22" s="23" t="s">
        <x:v>37</x:v>
      </x:c>
      <x:c r="W22" s="23" t="s">
        <x:v>74</x:v>
      </x:c>
      <x:c r="X22" s="23" t="s">
        <x:v>31</x:v>
      </x:c>
      <x:c r="Y22" s="32"/>
      <x:c r="Z22" s="33"/>
      <x:c r="AA22" s="34" t="e">
        <x:f>IFERROR(__xludf.DUMMYFUNCTION("SUM(FILTER($E$4:$N$1118, $C$4:$C$1118 = Z22))"),1.2840959539110342E7)</x:f>
        <x:v>#NAME?</x:v>
      </x:c>
      <x:c r="AB22" s="34" t="e">
        <x:f>IFERROR(__xludf.DUMMYFUNCTION("COUNT(FILTER($C$4:$C$1118, $C$4:$C$1118 = Z22))"),0.0)</x:f>
        <x:v>#NAME?</x:v>
      </x:c>
      <x:c r="AC22" s="31">
        <x:f t="shared" si="4"/>
        <x:v>0</x:v>
      </x:c>
    </x:row>
    <x:row r="23" ht="18.75" customHeight="1">
      <x:c r="A23" s="19">
        <x:v>21.0</x:v>
      </x:c>
      <x:c r="B23" s="29" t="s">
        <x:v>105</x:v>
      </x:c>
      <x:c r="C23" s="36">
        <x:v>46100.0</x:v>
      </x:c>
      <x:c r="D23" s="22" t="s">
        <x:v>106</x:v>
      </x:c>
      <x:c r="E23" s="23">
        <x:v>1.0</x:v>
      </x:c>
      <x:c r="F23" s="24"/>
      <x:c r="G23" s="24"/>
      <x:c r="H23" s="25"/>
      <x:c r="I23" s="25"/>
      <x:c r="J23" s="25"/>
      <x:c r="K23" s="24">
        <x:v>1.0</x:v>
      </x:c>
      <x:c r="L23" s="24"/>
      <x:c r="M23" s="24"/>
      <x:c r="N23" s="25"/>
      <x:c r="O23" s="25"/>
      <x:c r="P23" s="25"/>
      <x:c r="Q23" s="25"/>
      <x:c r="R23" s="25"/>
      <x:c r="S23" s="25"/>
      <x:c r="T23" s="25"/>
      <x:c r="U23" s="26">
        <x:f t="shared" si="5"/>
        <x:v>560000</x:v>
      </x:c>
      <x:c r="V23" s="23" t="s">
        <x:v>107</x:v>
      </x:c>
      <x:c r="W23" s="23" t="s">
        <x:v>74</x:v>
      </x:c>
      <x:c r="X23" s="23" t="s">
        <x:v>31</x:v>
      </x:c>
      <x:c r="Y23" s="32"/>
      <x:c r="Z23" s="33"/>
      <x:c r="AA23" s="34" t="e">
        <x:f>IFERROR(__xludf.DUMMYFUNCTION("SUM(FILTER($E$4:$N$1118, $C$4:$C$1118 = Z23))"),1.2840959539110342E7)</x:f>
        <x:v>#NAME?</x:v>
      </x:c>
      <x:c r="AB23" s="34" t="e">
        <x:f>IFERROR(__xludf.DUMMYFUNCTION("COUNT(FILTER($C$4:$C$1118, $C$4:$C$1118 = Z23))"),0.0)</x:f>
        <x:v>#NAME?</x:v>
      </x:c>
      <x:c r="AC23" s="31">
        <x:f t="shared" si="4"/>
        <x:v>0</x:v>
      </x:c>
    </x:row>
    <x:row r="24" ht="18.75" customHeight="1">
      <x:c r="A24" s="19">
        <x:v>22.0</x:v>
      </x:c>
      <x:c r="B24" s="29" t="s">
        <x:v>28</x:v>
      </x:c>
      <x:c r="C24" s="36">
        <x:v>46105.0</x:v>
      </x:c>
      <x:c r="D24" s="22" t="s">
        <x:v>29</x:v>
      </x:c>
      <x:c r="E24" s="23"/>
      <x:c r="F24" s="24"/>
      <x:c r="G24" s="25"/>
      <x:c r="H24" s="24">
        <x:v>1.0</x:v>
      </x:c>
      <x:c r="I24" s="24"/>
      <x:c r="J24" s="24"/>
      <x:c r="K24" s="24">
        <x:v>1.0</x:v>
      </x:c>
      <x:c r="L24" s="24"/>
      <x:c r="M24" s="24">
        <x:v>1.0</x:v>
      </x:c>
      <x:c r="N24" s="25"/>
      <x:c r="O24" s="24"/>
      <x:c r="P24" s="24"/>
      <x:c r="Q24" s="25"/>
      <x:c r="R24" s="25"/>
      <x:c r="S24" s="25"/>
      <x:c r="T24" s="25"/>
      <x:c r="U24" s="26">
        <x:f t="shared" si="5"/>
        <x:v>1180000</x:v>
      </x:c>
      <x:c r="V24" s="23" t="s">
        <x:v>107</x:v>
      </x:c>
      <x:c r="W24" s="23" t="s">
        <x:v>74</x:v>
      </x:c>
      <x:c r="X24" s="23" t="s">
        <x:v>31</x:v>
      </x:c>
      <x:c r="Y24" s="32"/>
      <x:c r="Z24" s="33"/>
      <x:c r="AA24" s="34"/>
      <x:c r="AB24" s="34"/>
      <x:c r="AC24" s="31"/>
    </x:row>
    <x:row r="25" ht="18.75" customHeight="1">
      <x:c r="A25" s="19">
        <x:v>23.0</x:v>
      </x:c>
      <x:c r="B25" s="29" t="s">
        <x:v>108</x:v>
      </x:c>
      <x:c r="C25" s="36">
        <x:v>46105.0</x:v>
      </x:c>
      <x:c r="D25" s="22" t="s">
        <x:v>109</x:v>
      </x:c>
      <x:c r="E25" s="23"/>
      <x:c r="F25" s="24"/>
      <x:c r="G25" s="24"/>
      <x:c r="H25" s="24">
        <x:v>2.0</x:v>
      </x:c>
      <x:c r="I25" s="24"/>
      <x:c r="J25" s="24"/>
      <x:c r="K25" s="24"/>
      <x:c r="L25" s="24"/>
      <x:c r="M25" s="24"/>
      <x:c r="N25" s="25"/>
      <x:c r="O25" s="24"/>
      <x:c r="P25" s="25"/>
      <x:c r="Q25" s="25"/>
      <x:c r="R25" s="25"/>
      <x:c r="S25" s="25"/>
      <x:c r="T25" s="25"/>
      <x:c r="U25" s="26">
        <x:f t="shared" si="5"/>
        <x:v>990000</x:v>
      </x:c>
      <x:c r="V25" s="23" t="s">
        <x:v>107</x:v>
      </x:c>
      <x:c r="W25" s="23" t="s">
        <x:v>74</x:v>
      </x:c>
      <x:c r="X25" s="23" t="s">
        <x:v>31</x:v>
      </x:c>
      <x:c r="Y25" s="32"/>
      <x:c r="Z25" s="33"/>
      <x:c r="AA25" s="34"/>
      <x:c r="AB25" s="34"/>
      <x:c r="AC25" s="31"/>
    </x:row>
    <x:row r="26" ht="18.75" customHeight="1">
      <x:c r="A26" s="19">
        <x:v>24.0</x:v>
      </x:c>
      <x:c r="B26" s="29" t="s">
        <x:v>110</x:v>
      </x:c>
      <x:c r="C26" s="36">
        <x:v>46105.0</x:v>
      </x:c>
      <x:c r="D26" s="22" t="s">
        <x:v>111</x:v>
      </x:c>
      <x:c r="E26" s="23"/>
      <x:c r="F26" s="24"/>
      <x:c r="G26" s="25"/>
      <x:c r="H26" s="24">
        <x:v>1.0</x:v>
      </x:c>
      <x:c r="I26" s="24"/>
      <x:c r="J26" s="24"/>
      <x:c r="K26" s="24"/>
      <x:c r="L26" s="24"/>
      <x:c r="M26" s="24"/>
      <x:c r="N26" s="25"/>
      <x:c r="O26" s="24"/>
      <x:c r="P26" s="25"/>
      <x:c r="Q26" s="25"/>
      <x:c r="R26" s="25"/>
      <x:c r="S26" s="25"/>
      <x:c r="T26" s="25"/>
      <x:c r="U26" s="26">
        <x:f t="shared" si="5"/>
        <x:v>495000</x:v>
      </x:c>
      <x:c r="V26" s="23" t="s">
        <x:v>37</x:v>
      </x:c>
      <x:c r="W26" s="23" t="s">
        <x:v>74</x:v>
      </x:c>
      <x:c r="X26" s="23" t="s">
        <x:v>31</x:v>
      </x:c>
      <x:c r="Y26" s="32"/>
      <x:c r="Z26" s="33"/>
      <x:c r="AA26" s="34" t="e">
        <x:f>IFERROR(__xludf.DUMMYFUNCTION("SUM(FILTER($E$4:$N$1118, $C$4:$C$1118 = Z26))"),1.2840959539110342E7)</x:f>
        <x:v>#NAME?</x:v>
      </x:c>
      <x:c r="AB26" s="34" t="e">
        <x:f>IFERROR(__xludf.DUMMYFUNCTION("COUNT(FILTER($C$4:$C$1118, $C$4:$C$1118 = Z26))"),0.0)</x:f>
        <x:v>#NAME?</x:v>
      </x:c>
      <x:c r="AC26" s="31" t="n">
        <x:f t="shared" ref="AC26:AC39" si="6">SUMIF($C$4:$C$1118, $Z26 , $U$4:$U$1118)</x:f>
        <x:v>81424000</x:v>
      </x:c>
    </x:row>
    <x:row r="27">
      <x:c r="A27" s="19">
        <x:v>25.0</x:v>
      </x:c>
      <x:c r="B27" s="29" t="s">
        <x:v>112</x:v>
      </x:c>
      <x:c r="C27" s="36">
        <x:v>46105.0</x:v>
      </x:c>
      <x:c r="D27" s="58" t="s">
        <x:v>113</x:v>
      </x:c>
      <x:c r="E27" s="56"/>
      <x:c r="F27" s="24"/>
      <x:c r="G27" s="24"/>
      <x:c r="H27" s="25"/>
      <x:c r="I27" s="25"/>
      <x:c r="J27" s="25"/>
      <x:c r="K27" s="24"/>
      <x:c r="L27" s="24"/>
      <x:c r="M27" s="24"/>
      <x:c r="N27" s="24"/>
      <x:c r="O27" s="24">
        <x:v>1.0</x:v>
      </x:c>
      <x:c r="P27" s="24"/>
      <x:c r="Q27" s="25"/>
      <x:c r="R27" s="25"/>
      <x:c r="S27" s="25"/>
      <x:c r="T27" s="25"/>
      <x:c r="U27" s="26" t="n">
        <x:f>SUMPRODUCT(E27:T27,$E$2:$T$2) - 5000</x:f>
        <x:v>615000</x:v>
      </x:c>
      <x:c r="V27" s="23" t="s">
        <x:v>107</x:v>
      </x:c>
      <x:c r="W27" s="23" t="s">
        <x:v>74</x:v>
      </x:c>
      <x:c r="X27" s="23" t="s">
        <x:v>31</x:v>
      </x:c>
      <x:c r="Y27" s="57"/>
      <x:c r="Z27" s="33"/>
      <x:c r="AA27" s="34" t="e">
        <x:f>IFERROR(__xludf.DUMMYFUNCTION("SUM(FILTER($E$4:$N$1118, $C$4:$C$1118 = Z27))"),1.2840959539110342E7)</x:f>
        <x:v>#NAME?</x:v>
      </x:c>
      <x:c r="AB27" s="34" t="e">
        <x:f>IFERROR(__xludf.DUMMYFUNCTION("COUNT(FILTER($C$4:$C$1118, $C$4:$C$1118 = Z27))"),0.0)</x:f>
        <x:v>#NAME?</x:v>
      </x:c>
      <x:c r="AC27" s="31">
        <x:f t="shared" si="6"/>
        <x:v>0</x:v>
      </x:c>
    </x:row>
    <x:row r="28" ht="18.75" customHeight="1">
      <x:c r="A28" s="19">
        <x:v>26.0</x:v>
      </x:c>
      <x:c r="B28" s="29" t="s">
        <x:v>114</x:v>
      </x:c>
      <x:c r="C28" s="36">
        <x:v>46106.0</x:v>
      </x:c>
      <x:c r="D28" s="22" t="s">
        <x:v>115</x:v>
      </x:c>
      <x:c r="E28" s="56"/>
      <x:c r="F28" s="24"/>
      <x:c r="G28" s="24">
        <x:v>15.0</x:v>
      </x:c>
      <x:c r="H28" s="24"/>
      <x:c r="I28" s="24"/>
      <x:c r="J28" s="24"/>
      <x:c r="K28" s="24"/>
      <x:c r="L28" s="24"/>
      <x:c r="M28" s="25"/>
      <x:c r="N28" s="24"/>
      <x:c r="O28" s="25"/>
      <x:c r="P28" s="25"/>
      <x:c r="Q28" s="25"/>
      <x:c r="R28" s="25"/>
      <x:c r="S28" s="25"/>
      <x:c r="T28" s="25"/>
      <x:c r="U28" s="26" t="n">
        <x:f t="shared" ref="U28:U29" si="7">SUMPRODUCT(E28:T28,$E$2:$T$2)</x:f>
        <x:v>7830000</x:v>
      </x:c>
      <x:c r="V28" s="23" t="s">
        <x:v>107</x:v>
      </x:c>
      <x:c r="W28" s="23" t="s">
        <x:v>74</x:v>
      </x:c>
      <x:c r="X28" s="23" t="s">
        <x:v>31</x:v>
      </x:c>
      <x:c r="Y28" s="32"/>
      <x:c r="Z28" s="33"/>
      <x:c r="AA28" s="34" t="e">
        <x:f>IFERROR(__xludf.DUMMYFUNCTION("SUM(FILTER($E$4:$N$1118, $C$4:$C$1118 = Z28))"),1.2840959539110342E7)</x:f>
        <x:v>#NAME?</x:v>
      </x:c>
      <x:c r="AB28" s="34" t="e">
        <x:f>IFERROR(__xludf.DUMMYFUNCTION("COUNT(FILTER($C$4:$C$1118, $C$4:$C$1118 = Z28))"),0.0)</x:f>
        <x:v>#NAME?</x:v>
      </x:c>
      <x:c r="AC28" s="31">
        <x:f t="shared" si="6"/>
        <x:v>0</x:v>
      </x:c>
    </x:row>
    <x:row r="29" ht="18.75" customHeight="1">
      <x:c r="A29" s="19">
        <x:v>27.0</x:v>
      </x:c>
      <x:c r="B29" s="29" t="s">
        <x:v>116</x:v>
      </x:c>
      <x:c r="C29" s="36">
        <x:v>46106.0</x:v>
      </x:c>
      <x:c r="D29" s="22" t="s">
        <x:v>33</x:v>
      </x:c>
      <x:c r="E29" s="23"/>
      <x:c r="F29" s="24"/>
      <x:c r="G29" s="24"/>
      <x:c r="H29" s="25"/>
      <x:c r="I29" s="25"/>
      <x:c r="J29" s="25"/>
      <x:c r="K29" s="24"/>
      <x:c r="L29" s="24"/>
      <x:c r="M29" s="25"/>
      <x:c r="N29" s="25"/>
      <x:c r="O29" s="25"/>
      <x:c r="P29" s="24">
        <x:v>4.0</x:v>
      </x:c>
      <x:c r="Q29" s="25"/>
      <x:c r="R29" s="25"/>
      <x:c r="S29" s="25"/>
      <x:c r="T29" s="25"/>
      <x:c r="U29" s="26">
        <x:f t="shared" si="7"/>
        <x:v>1160000</x:v>
      </x:c>
      <x:c r="V29" s="23" t="s">
        <x:v>107</x:v>
      </x:c>
      <x:c r="W29" s="23" t="s">
        <x:v>74</x:v>
      </x:c>
      <x:c r="X29" s="23" t="s">
        <x:v>34</x:v>
      </x:c>
      <x:c r="Y29" s="32"/>
      <x:c r="Z29" s="33"/>
      <x:c r="AA29" s="34" t="e">
        <x:f>IFERROR(__xludf.DUMMYFUNCTION("SUM(FILTER($E$4:$N$1118, $C$4:$C$1118 = Z29))"),1.2840959539110342E7)</x:f>
        <x:v>#NAME?</x:v>
      </x:c>
      <x:c r="AB29" s="34" t="e">
        <x:f>IFERROR(__xludf.DUMMYFUNCTION("COUNT(FILTER($C$4:$C$1118, $C$4:$C$1118 = Z29))"),0.0)</x:f>
        <x:v>#NAME?</x:v>
      </x:c>
      <x:c r="AC29" s="31">
        <x:f t="shared" si="6"/>
        <x:v>0</x:v>
      </x:c>
    </x:row>
    <x:row r="30" ht="18.75" customHeight="1">
      <x:c r="A30" s="19">
        <x:v>28.0</x:v>
      </x:c>
      <x:c r="B30" s="29" t="s">
        <x:v>117</x:v>
      </x:c>
      <x:c r="C30" s="36">
        <x:v>46106.0</x:v>
      </x:c>
      <x:c r="D30" s="35"/>
      <x:c r="E30" s="23"/>
      <x:c r="F30" s="24"/>
      <x:c r="G30" s="25"/>
      <x:c r="H30" s="25"/>
      <x:c r="I30" s="25"/>
      <x:c r="J30" s="25"/>
      <x:c r="K30" s="24"/>
      <x:c r="L30" s="24"/>
      <x:c r="M30" s="25"/>
      <x:c r="N30" s="25"/>
      <x:c r="O30" s="24">
        <x:v>1.0</x:v>
      </x:c>
      <x:c r="P30" s="25"/>
      <x:c r="Q30" s="25"/>
      <x:c r="R30" s="25"/>
      <x:c r="S30" s="25"/>
      <x:c r="T30" s="25"/>
      <x:c r="U30" s="26" t="n">
        <x:f t="shared" ref="U30:U31" si="8">SUMPRODUCT(E30:T30,$E$2:$T$2) - 5000</x:f>
        <x:v>615000</x:v>
      </x:c>
      <x:c r="V30" s="23" t="s">
        <x:v>37</x:v>
      </x:c>
      <x:c r="W30" s="23" t="s">
        <x:v>74</x:v>
      </x:c>
      <x:c r="X30" s="23" t="s">
        <x:v>31</x:v>
      </x:c>
      <x:c r="Y30" s="32"/>
      <x:c r="Z30" s="33"/>
      <x:c r="AA30" s="34" t="e">
        <x:f>IFERROR(__xludf.DUMMYFUNCTION("SUM(FILTER($E$4:$N$1118, $C$4:$C$1118 = Z30))"),1.2840959539110342E7)</x:f>
        <x:v>#NAME?</x:v>
      </x:c>
      <x:c r="AB30" s="34" t="e">
        <x:f>IFERROR(__xludf.DUMMYFUNCTION("COUNT(FILTER($C$4:$C$1118, $C$4:$C$1118 = Z30))"),0.0)</x:f>
        <x:v>#NAME?</x:v>
      </x:c>
      <x:c r="AC30" s="31">
        <x:f t="shared" si="6"/>
        <x:v>0</x:v>
      </x:c>
    </x:row>
    <x:row r="31" ht="18.75" customHeight="1">
      <x:c r="A31" s="19">
        <x:v>29.0</x:v>
      </x:c>
      <x:c r="B31" s="29" t="s">
        <x:v>118</x:v>
      </x:c>
      <x:c r="C31" s="21">
        <x:v>46109.0</x:v>
      </x:c>
      <x:c r="D31" s="22" t="s">
        <x:v>119</x:v>
      </x:c>
      <x:c r="E31" s="23"/>
      <x:c r="F31" s="24"/>
      <x:c r="G31" s="24"/>
      <x:c r="H31" s="24"/>
      <x:c r="I31" s="24"/>
      <x:c r="J31" s="24"/>
      <x:c r="K31" s="25"/>
      <x:c r="L31" s="24"/>
      <x:c r="M31" s="24"/>
      <x:c r="N31" s="25"/>
      <x:c r="O31" s="24">
        <x:v>1.0</x:v>
      </x:c>
      <x:c r="P31" s="25"/>
      <x:c r="Q31" s="25"/>
      <x:c r="R31" s="25"/>
      <x:c r="S31" s="25"/>
      <x:c r="T31" s="25"/>
      <x:c r="U31" s="26">
        <x:f t="shared" si="8"/>
        <x:v>615000</x:v>
      </x:c>
      <x:c r="V31" s="23" t="s">
        <x:v>37</x:v>
      </x:c>
      <x:c r="W31" s="23" t="s">
        <x:v>74</x:v>
      </x:c>
      <x:c r="X31" s="23" t="s">
        <x:v>31</x:v>
      </x:c>
      <x:c r="Y31" s="32"/>
      <x:c r="Z31" s="33"/>
      <x:c r="AA31" s="34" t="e">
        <x:f>IFERROR(__xludf.DUMMYFUNCTION("SUM(FILTER($E$4:$N$1118, $C$4:$C$1118 = Z31))"),1.2840959539110342E7)</x:f>
        <x:v>#NAME?</x:v>
      </x:c>
      <x:c r="AB31" s="34" t="e">
        <x:f>IFERROR(__xludf.DUMMYFUNCTION("COUNT(FILTER($C$4:$C$1118, $C$4:$C$1118 = Z31))"),0.0)</x:f>
        <x:v>#NAME?</x:v>
      </x:c>
      <x:c r="AC31" s="31">
        <x:f t="shared" si="6"/>
        <x:v>0</x:v>
      </x:c>
    </x:row>
    <x:row r="32" ht="18.75" customHeight="1">
      <x:c r="A32" s="19">
        <x:v>30.0</x:v>
      </x:c>
      <x:c r="B32" s="29" t="s">
        <x:v>120</x:v>
      </x:c>
      <x:c r="C32" s="21">
        <x:v>46112.0</x:v>
      </x:c>
      <x:c r="D32" s="22" t="s">
        <x:v>121</x:v>
      </x:c>
      <x:c r="E32" s="23"/>
      <x:c r="F32" s="24"/>
      <x:c r="G32" s="24"/>
      <x:c r="H32" s="24"/>
      <x:c r="I32" s="24"/>
      <x:c r="J32" s="24"/>
      <x:c r="K32" s="25"/>
      <x:c r="L32" s="24"/>
      <x:c r="M32" s="25"/>
      <x:c r="N32" s="25"/>
      <x:c r="O32" s="24">
        <x:v>2.0</x:v>
      </x:c>
      <x:c r="P32" s="25"/>
      <x:c r="Q32" s="25"/>
      <x:c r="R32" s="25"/>
      <x:c r="S32" s="25"/>
      <x:c r="T32" s="25"/>
      <x:c r="U32" s="26" t="n">
        <x:f>SUMPRODUCT(E32:T32,$E$2:$T$2)-30000</x:f>
        <x:v>1210000</x:v>
      </x:c>
      <x:c r="V32" s="23" t="s">
        <x:v>107</x:v>
      </x:c>
      <x:c r="W32" s="23" t="s">
        <x:v>74</x:v>
      </x:c>
      <x:c r="X32" s="23" t="s">
        <x:v>31</x:v>
      </x:c>
      <x:c r="Y32" s="32"/>
      <x:c r="Z32" s="33"/>
      <x:c r="AA32" s="34" t="e">
        <x:f>IFERROR(__xludf.DUMMYFUNCTION("SUM(FILTER($E$4:$N$1118, $C$4:$C$1118 = Z32))"),1.2840959539110342E7)</x:f>
        <x:v>#NAME?</x:v>
      </x:c>
      <x:c r="AB32" s="34" t="e">
        <x:f>IFERROR(__xludf.DUMMYFUNCTION("COUNT(FILTER($C$4:$C$1118, $C$4:$C$1118 = Z32))"),0.0)</x:f>
        <x:v>#NAME?</x:v>
      </x:c>
      <x:c r="AC32" s="31">
        <x:f t="shared" si="6"/>
        <x:v>0</x:v>
      </x:c>
    </x:row>
    <x:row r="33">
      <x:c r="A33" s="19">
        <x:v>31.0</x:v>
      </x:c>
      <x:c r="B33" s="29" t="s">
        <x:v>56</x:v>
      </x:c>
      <x:c r="C33" s="21">
        <x:v>46112.0</x:v>
      </x:c>
      <x:c r="D33" s="22" t="s">
        <x:v>57</x:v>
      </x:c>
      <x:c r="E33" s="23"/>
      <x:c r="F33" s="24"/>
      <x:c r="G33" s="25"/>
      <x:c r="H33" s="25"/>
      <x:c r="I33" s="25"/>
      <x:c r="J33" s="25"/>
      <x:c r="K33" s="24"/>
      <x:c r="L33" s="24"/>
      <x:c r="M33" s="25"/>
      <x:c r="N33" s="25"/>
      <x:c r="O33" s="24">
        <x:v>1.0</x:v>
      </x:c>
      <x:c r="P33" s="25"/>
      <x:c r="Q33" s="25"/>
      <x:c r="R33" s="25"/>
      <x:c r="S33" s="25"/>
      <x:c r="T33" s="25"/>
      <x:c r="U33" s="26" t="n">
        <x:f>SUMPRODUCT(E33:T33,$E$2:$T$2) - 15000</x:f>
        <x:v>605000</x:v>
      </x:c>
      <x:c r="V33" s="23" t="s">
        <x:v>122</x:v>
      </x:c>
      <x:c r="W33" s="23"/>
      <x:c r="X33" s="23" t="s">
        <x:v>31</x:v>
      </x:c>
      <x:c r="Y33" s="57"/>
      <x:c r="Z33" s="33"/>
      <x:c r="AA33" s="34" t="e">
        <x:f>IFERROR(__xludf.DUMMYFUNCTION("SUM(FILTER($E$4:$N$1118, $C$4:$C$1118 = Z33))"),1.2840959539110342E7)</x:f>
        <x:v>#NAME?</x:v>
      </x:c>
      <x:c r="AB33" s="34" t="e">
        <x:f>IFERROR(__xludf.DUMMYFUNCTION("COUNT(FILTER($C$4:$C$1118, $C$4:$C$1118 = Z33))"),0.0)</x:f>
        <x:v>#NAME?</x:v>
      </x:c>
      <x:c r="AC33" s="31">
        <x:f t="shared" si="6"/>
        <x:v>0</x:v>
      </x:c>
    </x:row>
    <x:row r="34" ht="18.75" customHeight="1">
      <x:c r="A34" s="19">
        <x:v>32.0</x:v>
      </x:c>
      <x:c r="B34" s="29" t="s">
        <x:v>123</x:v>
      </x:c>
      <x:c r="C34" s="21">
        <x:v>46112.0</x:v>
      </x:c>
      <x:c r="D34" s="35" t="s">
        <x:v>91</x:v>
      </x:c>
      <x:c r="E34" s="23"/>
      <x:c r="F34" s="24"/>
      <x:c r="G34" s="24"/>
      <x:c r="H34" s="24"/>
      <x:c r="I34" s="24"/>
      <x:c r="J34" s="24"/>
      <x:c r="K34" s="24"/>
      <x:c r="L34" s="24"/>
      <x:c r="M34" s="24">
        <x:v>2.0</x:v>
      </x:c>
      <x:c r="N34" s="25"/>
      <x:c r="O34" s="24">
        <x:v>3.0</x:v>
      </x:c>
      <x:c r="P34" s="25"/>
      <x:c r="Q34" s="25"/>
      <x:c r="R34" s="25"/>
      <x:c r="S34" s="25"/>
      <x:c r="T34" s="25"/>
      <x:c r="U34" s="26" t="n">
        <x:f>SUMPRODUCT(E34:T34,$E$2:$T$2) - 20000 - 45000</x:f>
        <x:v>2655000</x:v>
      </x:c>
      <x:c r="V34" s="23"/>
      <x:c r="W34" s="23" t="s">
        <x:v>74</x:v>
      </x:c>
      <x:c r="X34" s="23" t="s">
        <x:v>31</x:v>
      </x:c>
      <x:c r="Y34" s="57"/>
      <x:c r="Z34" s="33"/>
      <x:c r="AA34" s="34" t="e">
        <x:f>IFERROR(__xludf.DUMMYFUNCTION("SUM(FILTER($E$4:$N$1118, $C$4:$C$1118 = Z34))"),1.2840959539110342E7)</x:f>
        <x:v>#NAME?</x:v>
      </x:c>
      <x:c r="AB34" s="34" t="e">
        <x:f>IFERROR(__xludf.DUMMYFUNCTION("COUNT(FILTER($C$4:$C$1118, $C$4:$C$1118 = Z34))"),0.0)</x:f>
        <x:v>#NAME?</x:v>
      </x:c>
      <x:c r="AC34" s="31">
        <x:f t="shared" si="6"/>
        <x:v>0</x:v>
      </x:c>
    </x:row>
    <x:row r="35" ht="18.75" customHeight="1">
      <x:c r="A35" s="19">
        <x:v>33.0</x:v>
      </x:c>
      <x:c r="B35" s="29" t="s">
        <x:v>124</x:v>
      </x:c>
      <x:c r="C35" s="21">
        <x:v>46112.0</x:v>
      </x:c>
      <x:c r="D35" s="22" t="s">
        <x:v>125</x:v>
      </x:c>
      <x:c r="E35" s="23"/>
      <x:c r="F35" s="24"/>
      <x:c r="G35" s="24"/>
      <x:c r="H35" s="24"/>
      <x:c r="I35" s="24"/>
      <x:c r="J35" s="24"/>
      <x:c r="K35" s="24"/>
      <x:c r="L35" s="24"/>
      <x:c r="M35" s="24"/>
      <x:c r="N35" s="25"/>
      <x:c r="O35" s="24">
        <x:v>1.0</x:v>
      </x:c>
      <x:c r="P35" s="25"/>
      <x:c r="Q35" s="25"/>
      <x:c r="R35" s="25"/>
      <x:c r="S35" s="25"/>
      <x:c r="T35" s="25"/>
      <x:c r="U35" s="26" t="n">
        <x:f>SUMPRODUCT(E35:T35,$E$2:$T$2) - 5000</x:f>
        <x:v>615000</x:v>
      </x:c>
      <x:c r="V35" s="23"/>
      <x:c r="W35" s="23" t="s">
        <x:v>30</x:v>
      </x:c>
      <x:c r="X35" s="23" t="s">
        <x:v>31</x:v>
      </x:c>
      <x:c r="Y35" s="32"/>
      <x:c r="Z35" s="33"/>
      <x:c r="AA35" s="34" t="e">
        <x:f>IFERROR(__xludf.DUMMYFUNCTION("SUM(FILTER($E$4:$N$1118, $C$4:$C$1118 = Z35))"),1.2840959539110342E7)</x:f>
        <x:v>#NAME?</x:v>
      </x:c>
      <x:c r="AB35" s="34" t="e">
        <x:f>IFERROR(__xludf.DUMMYFUNCTION("COUNT(FILTER($C$4:$C$1118, $C$4:$C$1118 = Z35))"),0.0)</x:f>
        <x:v>#NAME?</x:v>
      </x:c>
      <x:c r="AC35" s="31">
        <x:f t="shared" si="6"/>
        <x:v>0</x:v>
      </x:c>
    </x:row>
    <x:row r="36" ht="18.75" customHeight="1">
      <x:c r="A36" s="19">
        <x:v>35.0</x:v>
      </x:c>
      <x:c r="B36" s="29" t="s">
        <x:v>126</x:v>
      </x:c>
      <x:c r="C36" s="21">
        <x:v>46112.0</x:v>
      </x:c>
      <x:c r="D36" s="22" t="s">
        <x:v>127</x:v>
      </x:c>
      <x:c r="E36" s="23"/>
      <x:c r="F36" s="24"/>
      <x:c r="G36" s="24"/>
      <x:c r="H36" s="24"/>
      <x:c r="I36" s="24"/>
      <x:c r="J36" s="24"/>
      <x:c r="K36" s="24"/>
      <x:c r="L36" s="24"/>
      <x:c r="M36" s="24"/>
      <x:c r="N36" s="24"/>
      <x:c r="O36" s="25"/>
      <x:c r="P36" s="24">
        <x:v>3.0</x:v>
      </x:c>
      <x:c r="Q36" s="25"/>
      <x:c r="R36" s="25"/>
      <x:c r="S36" s="25"/>
      <x:c r="T36" s="25"/>
      <x:c r="U36" s="26" t="n">
        <x:f t="shared" ref="U36:U37" si="9">SUMPRODUCT(E36:T36,$E$2:$T$2)</x:f>
        <x:v>870000</x:v>
      </x:c>
      <x:c r="V36" s="23" t="s">
        <x:v>122</x:v>
      </x:c>
      <x:c r="W36" s="23" t="s">
        <x:v>30</x:v>
      </x:c>
      <x:c r="X36" s="23" t="s">
        <x:v>34</x:v>
      </x:c>
      <x:c r="Y36" s="32"/>
      <x:c r="Z36" s="33"/>
      <x:c r="AA36" s="34" t="e">
        <x:f>IFERROR(__xludf.DUMMYFUNCTION("SUM(FILTER($E$4:$N$1118, $C$4:$C$1118 = Z36))"),1.2840959539110342E7)</x:f>
        <x:v>#NAME?</x:v>
      </x:c>
      <x:c r="AB36" s="34" t="e">
        <x:f>IFERROR(__xludf.DUMMYFUNCTION("COUNT(FILTER($C$4:$C$1118, $C$4:$C$1118 = Z36))"),0.0)</x:f>
        <x:v>#NAME?</x:v>
      </x:c>
      <x:c r="AC36" s="31">
        <x:f t="shared" si="6"/>
        <x:v>0</x:v>
      </x:c>
    </x:row>
    <x:row r="37" ht="18.75" customHeight="1">
      <x:c r="A37" s="19">
        <x:v>36.0</x:v>
      </x:c>
      <x:c r="B37" s="29" t="s">
        <x:v>128</x:v>
      </x:c>
      <x:c r="C37" s="21">
        <x:v>46112.0</x:v>
      </x:c>
      <x:c r="D37" s="22" t="s">
        <x:v>129</x:v>
      </x:c>
      <x:c r="E37" s="56"/>
      <x:c r="F37" s="24"/>
      <x:c r="G37" s="25"/>
      <x:c r="H37" s="25"/>
      <x:c r="I37" s="25"/>
      <x:c r="J37" s="25"/>
      <x:c r="K37" s="24"/>
      <x:c r="L37" s="25"/>
      <x:c r="M37" s="24">
        <x:v>1.0</x:v>
      </x:c>
      <x:c r="N37" s="25"/>
      <x:c r="O37" s="25"/>
      <x:c r="P37" s="25"/>
      <x:c r="Q37" s="25"/>
      <x:c r="R37" s="25"/>
      <x:c r="S37" s="25"/>
      <x:c r="T37" s="25"/>
      <x:c r="U37" s="26">
        <x:f t="shared" si="9"/>
        <x:v>430000</x:v>
      </x:c>
      <x:c r="V37" s="23"/>
      <x:c r="W37" s="23" t="s">
        <x:v>30</x:v>
      </x:c>
      <x:c r="X37" s="23" t="s">
        <x:v>31</x:v>
      </x:c>
      <x:c r="Y37" s="32"/>
      <x:c r="Z37" s="33"/>
      <x:c r="AA37" s="34" t="e">
        <x:f>IFERROR(__xludf.DUMMYFUNCTION("SUM(FILTER($E$4:$N$1118, $C$4:$C$1118 = Z37))"),1.2840959539110342E7)</x:f>
        <x:v>#NAME?</x:v>
      </x:c>
      <x:c r="AB37" s="34" t="e">
        <x:f>IFERROR(__xludf.DUMMYFUNCTION("COUNT(FILTER($C$4:$C$1118, $C$4:$C$1118 = Z37))"),0.0)</x:f>
        <x:v>#NAME?</x:v>
      </x:c>
      <x:c r="AC37" s="31">
        <x:f t="shared" si="6"/>
        <x:v>0</x:v>
      </x:c>
    </x:row>
    <x:row r="38" ht="18.75" customHeight="1">
      <x:c r="A38" s="59">
        <x:v>37.0</x:v>
      </x:c>
      <x:c r="B38" s="60" t="s">
        <x:v>130</x:v>
      </x:c>
      <x:c r="C38" s="61"/>
      <x:c r="D38" s="72" t="s">
        <x:v>131</x:v>
      </x:c>
      <x:c r="E38" s="63"/>
      <x:c r="F38" s="64"/>
      <x:c r="G38" s="64"/>
      <x:c r="H38" s="64"/>
      <x:c r="I38" s="64"/>
      <x:c r="J38" s="64"/>
      <x:c r="K38" s="64">
        <x:v>1.0</x:v>
      </x:c>
      <x:c r="L38" s="64"/>
      <x:c r="M38" s="65"/>
      <x:c r="N38" s="65"/>
      <x:c r="O38" s="65"/>
      <x:c r="P38" s="65"/>
      <x:c r="Q38" s="65"/>
      <x:c r="R38" s="65"/>
      <x:c r="S38" s="65"/>
      <x:c r="T38" s="65"/>
      <x:c r="U38" s="73"/>
      <x:c r="V38" s="63" t="s">
        <x:v>132</x:v>
      </x:c>
      <x:c r="W38" s="63"/>
      <x:c r="X38" s="63"/>
      <x:c r="Y38" s="66"/>
      <x:c r="Z38" s="67"/>
      <x:c r="AA38" s="68" t="e">
        <x:f>IFERROR(__xludf.DUMMYFUNCTION("SUM(FILTER($E$4:$N$1118, $C$4:$C$1118 = Z38))"),1.2840959539110342E7)</x:f>
        <x:v>#NAME?</x:v>
      </x:c>
      <x:c r="AB38" s="68" t="e">
        <x:f>IFERROR(__xludf.DUMMYFUNCTION("COUNT(FILTER($C$4:$C$1118, $C$4:$C$1118 = Z38))"),0.0)</x:f>
        <x:v>#NAME?</x:v>
      </x:c>
      <x:c r="AC38" s="69">
        <x:f t="shared" si="6"/>
        <x:v>0</x:v>
      </x:c>
      <x:c r="AD38" s="70"/>
      <x:c r="AE38" s="70"/>
      <x:c r="AF38" s="70"/>
      <x:c r="AG38" s="70"/>
      <x:c r="AH38" s="70"/>
      <x:c r="AI38" s="70"/>
      <x:c r="AJ38" s="70"/>
      <x:c r="AK38" s="70"/>
      <x:c r="AL38" s="70"/>
      <x:c r="AM38" s="70"/>
      <x:c r="AN38" s="70"/>
    </x:row>
    <x:row r="39" ht="18.75" customHeight="1">
      <x:c r="A39" s="19"/>
      <x:c r="B39" s="29" t="s">
        <x:v>133</x:v>
      </x:c>
      <x:c r="C39" s="21"/>
      <x:c r="D39" s="35"/>
      <x:c r="E39" s="23"/>
      <x:c r="F39" s="24">
        <x:v>1.0</x:v>
      </x:c>
      <x:c r="G39" s="25"/>
      <x:c r="H39" s="25"/>
      <x:c r="I39" s="25"/>
      <x:c r="J39" s="25"/>
      <x:c r="K39" s="24"/>
      <x:c r="L39" s="24"/>
      <x:c r="M39" s="24">
        <x:v>1.0</x:v>
      </x:c>
      <x:c r="N39" s="25"/>
      <x:c r="O39" s="25"/>
      <x:c r="P39" s="25"/>
      <x:c r="Q39" s="25"/>
      <x:c r="R39" s="25"/>
      <x:c r="S39" s="25"/>
      <x:c r="T39" s="25"/>
      <x:c r="U39" s="26" t="n">
        <x:f t="shared" ref="U39:U169" si="10">SUMPRODUCT(E39:T39,$E$2:$T$2)</x:f>
        <x:v>710000</x:v>
      </x:c>
      <x:c r="V39" s="23" t="s">
        <x:v>37</x:v>
      </x:c>
      <x:c r="W39" s="23"/>
      <x:c r="X39" s="23" t="s">
        <x:v>31</x:v>
      </x:c>
      <x:c r="Z39" s="33"/>
      <x:c r="AA39" s="34" t="e">
        <x:f>IFERROR(__xludf.DUMMYFUNCTION("SUM(FILTER($E$4:$N$1118, $C$4:$C$1118 = Z39))"),1.2840959539110342E7)</x:f>
        <x:v>#NAME?</x:v>
      </x:c>
      <x:c r="AB39" s="34" t="e">
        <x:f>IFERROR(__xludf.DUMMYFUNCTION("COUNT(FILTER($C$4:$C$1118, $C$4:$C$1118 = Z39))"),0.0)</x:f>
        <x:v>#NAME?</x:v>
      </x:c>
      <x:c r="AC39" s="31">
        <x:f t="shared" si="6"/>
        <x:v>0</x:v>
      </x:c>
    </x:row>
    <x:row r="40" ht="18.75" customHeight="1">
      <x:c r="A40" s="19"/>
      <x:c r="B40" s="29"/>
      <x:c r="C40" s="21"/>
      <x:c r="D40" s="35"/>
      <x:c r="E40" s="23"/>
      <x:c r="F40" s="24"/>
      <x:c r="G40" s="25"/>
      <x:c r="H40" s="25"/>
      <x:c r="I40" s="25"/>
      <x:c r="J40" s="25"/>
      <x:c r="K40" s="24"/>
      <x:c r="L40" s="24"/>
      <x:c r="M40" s="25"/>
      <x:c r="N40" s="25"/>
      <x:c r="O40" s="25"/>
      <x:c r="P40" s="25"/>
      <x:c r="Q40" s="25"/>
      <x:c r="R40" s="25"/>
      <x:c r="S40" s="25"/>
      <x:c r="T40" s="25"/>
      <x:c r="U40" s="26">
        <x:f t="shared" si="10"/>
        <x:v>0</x:v>
      </x:c>
      <x:c r="V40" s="23"/>
      <x:c r="W40" s="23"/>
      <x:c r="X40" s="23"/>
    </x:row>
    <x:row r="41">
      <x:c r="A41" s="19"/>
      <x:c r="B41" s="29"/>
      <x:c r="C41" s="21"/>
      <x:c r="D41" s="35"/>
      <x:c r="E41" s="56"/>
      <x:c r="F41" s="24"/>
      <x:c r="G41" s="24"/>
      <x:c r="H41" s="24"/>
      <x:c r="I41" s="24"/>
      <x:c r="J41" s="24"/>
      <x:c r="K41" s="24"/>
      <x:c r="L41" s="24"/>
      <x:c r="M41" s="25"/>
      <x:c r="N41" s="25"/>
      <x:c r="O41" s="25"/>
      <x:c r="P41" s="25"/>
      <x:c r="Q41" s="25"/>
      <x:c r="R41" s="25"/>
      <x:c r="S41" s="25"/>
      <x:c r="T41" s="25"/>
      <x:c r="U41" s="26">
        <x:f t="shared" si="10"/>
        <x:v>0</x:v>
      </x:c>
      <x:c r="V41" s="23"/>
      <x:c r="W41" s="23"/>
      <x:c r="X41" s="23"/>
      <x:c r="Y41" s="32"/>
    </x:row>
    <x:row r="42" ht="18.75" customHeight="1">
      <x:c r="A42" s="19"/>
      <x:c r="B42" s="29"/>
      <x:c r="C42" s="21"/>
      <x:c r="D42" s="35"/>
      <x:c r="E42" s="23"/>
      <x:c r="F42" s="24"/>
      <x:c r="G42" s="25"/>
      <x:c r="H42" s="25"/>
      <x:c r="I42" s="25"/>
      <x:c r="J42" s="25"/>
      <x:c r="K42" s="24"/>
      <x:c r="L42" s="24"/>
      <x:c r="M42" s="25"/>
      <x:c r="N42" s="25"/>
      <x:c r="O42" s="25"/>
      <x:c r="P42" s="25"/>
      <x:c r="Q42" s="25"/>
      <x:c r="R42" s="25"/>
      <x:c r="S42" s="25"/>
      <x:c r="T42" s="25"/>
      <x:c r="U42" s="26">
        <x:f t="shared" si="10"/>
        <x:v>0</x:v>
      </x:c>
      <x:c r="V42" s="23"/>
      <x:c r="W42" s="23"/>
      <x:c r="X42" s="23"/>
    </x:row>
    <x:row r="43" ht="18.75" customHeight="1">
      <x:c r="A43" s="19"/>
      <x:c r="B43" s="29"/>
      <x:c r="C43" s="21"/>
      <x:c r="D43" s="35"/>
      <x:c r="E43" s="23"/>
      <x:c r="F43" s="24"/>
      <x:c r="G43" s="25"/>
      <x:c r="H43" s="25"/>
      <x:c r="I43" s="25"/>
      <x:c r="J43" s="25"/>
      <x:c r="K43" s="24"/>
      <x:c r="L43" s="24"/>
      <x:c r="M43" s="25"/>
      <x:c r="N43" s="25"/>
      <x:c r="O43" s="25"/>
      <x:c r="P43" s="25"/>
      <x:c r="Q43" s="25"/>
      <x:c r="R43" s="25"/>
      <x:c r="S43" s="25"/>
      <x:c r="T43" s="25"/>
      <x:c r="U43" s="26">
        <x:f t="shared" si="10"/>
        <x:v>0</x:v>
      </x:c>
      <x:c r="V43" s="23"/>
      <x:c r="W43" s="23"/>
      <x:c r="X43" s="23"/>
    </x:row>
    <x:row r="44" ht="18.75" customHeight="1">
      <x:c r="A44" s="19"/>
      <x:c r="B44" s="29"/>
      <x:c r="C44" s="21"/>
      <x:c r="D44" s="35"/>
      <x:c r="E44" s="23"/>
      <x:c r="F44" s="24"/>
      <x:c r="G44" s="24"/>
      <x:c r="H44" s="24"/>
      <x:c r="I44" s="24"/>
      <x:c r="J44" s="24"/>
      <x:c r="K44" s="24"/>
      <x:c r="L44" s="24"/>
      <x:c r="M44" s="25"/>
      <x:c r="N44" s="25"/>
      <x:c r="O44" s="25"/>
      <x:c r="P44" s="25"/>
      <x:c r="Q44" s="25"/>
      <x:c r="R44" s="25"/>
      <x:c r="S44" s="25"/>
      <x:c r="T44" s="25"/>
      <x:c r="U44" s="26">
        <x:f t="shared" si="10"/>
        <x:v>0</x:v>
      </x:c>
      <x:c r="V44" s="23"/>
      <x:c r="W44" s="23"/>
      <x:c r="X44" s="23"/>
    </x:row>
    <x:row r="45" ht="18.75" customHeight="1">
      <x:c r="A45" s="19"/>
      <x:c r="B45" s="29"/>
      <x:c r="C45" s="21"/>
      <x:c r="D45" s="35"/>
      <x:c r="E45" s="23"/>
      <x:c r="F45" s="24"/>
      <x:c r="G45" s="25"/>
      <x:c r="H45" s="25"/>
      <x:c r="I45" s="25"/>
      <x:c r="J45" s="25"/>
      <x:c r="K45" s="24"/>
      <x:c r="L45" s="24"/>
      <x:c r="M45" s="25"/>
      <x:c r="N45" s="25"/>
      <x:c r="O45" s="25"/>
      <x:c r="P45" s="25"/>
      <x:c r="Q45" s="25"/>
      <x:c r="R45" s="25"/>
      <x:c r="S45" s="25"/>
      <x:c r="T45" s="25"/>
      <x:c r="U45" s="26">
        <x:f t="shared" si="10"/>
        <x:v>0</x:v>
      </x:c>
      <x:c r="V45" s="23"/>
      <x:c r="W45" s="23"/>
      <x:c r="X45" s="23"/>
    </x:row>
    <x:row r="46" ht="18.75" customHeight="1">
      <x:c r="A46" s="19"/>
      <x:c r="B46" s="29"/>
      <x:c r="C46" s="21"/>
      <x:c r="D46" s="55"/>
      <x:c r="E46" s="23"/>
      <x:c r="F46" s="24"/>
      <x:c r="G46" s="25"/>
      <x:c r="H46" s="24"/>
      <x:c r="I46" s="24"/>
      <x:c r="J46" s="24"/>
      <x:c r="K46" s="24"/>
      <x:c r="L46" s="24"/>
      <x:c r="M46" s="25"/>
      <x:c r="N46" s="25"/>
      <x:c r="O46" s="25"/>
      <x:c r="P46" s="25"/>
      <x:c r="Q46" s="25"/>
      <x:c r="R46" s="25"/>
      <x:c r="S46" s="25"/>
      <x:c r="T46" s="25"/>
      <x:c r="U46" s="26">
        <x:f t="shared" si="10"/>
        <x:v>0</x:v>
      </x:c>
      <x:c r="V46" s="23"/>
      <x:c r="W46" s="23"/>
      <x:c r="X46" s="23"/>
    </x:row>
    <x:row r="47" ht="18.75" customHeight="1">
      <x:c r="A47" s="19"/>
      <x:c r="B47" s="71"/>
      <x:c r="C47" s="21"/>
      <x:c r="D47" s="35"/>
      <x:c r="E47" s="23"/>
      <x:c r="F47" s="24"/>
      <x:c r="G47" s="25"/>
      <x:c r="H47" s="25"/>
      <x:c r="I47" s="25"/>
      <x:c r="J47" s="25"/>
      <x:c r="K47" s="24"/>
      <x:c r="L47" s="24"/>
      <x:c r="M47" s="25"/>
      <x:c r="N47" s="25"/>
      <x:c r="O47" s="25"/>
      <x:c r="P47" s="25"/>
      <x:c r="Q47" s="25"/>
      <x:c r="R47" s="25"/>
      <x:c r="S47" s="25"/>
      <x:c r="T47" s="25"/>
      <x:c r="U47" s="26">
        <x:f t="shared" si="10"/>
        <x:v>0</x:v>
      </x:c>
      <x:c r="V47" s="23"/>
      <x:c r="W47" s="23"/>
      <x:c r="X47" s="23"/>
    </x:row>
    <x:row r="48" ht="18.75" customHeight="1">
      <x:c r="A48" s="19"/>
      <x:c r="B48" s="29"/>
      <x:c r="C48" s="21"/>
      <x:c r="D48" s="35"/>
      <x:c r="E48" s="56"/>
      <x:c r="F48" s="24"/>
      <x:c r="G48" s="25"/>
      <x:c r="H48" s="25"/>
      <x:c r="I48" s="25"/>
      <x:c r="J48" s="25"/>
      <x:c r="K48" s="24"/>
      <x:c r="L48" s="24"/>
      <x:c r="M48" s="25"/>
      <x:c r="N48" s="25"/>
      <x:c r="O48" s="25"/>
      <x:c r="P48" s="25"/>
      <x:c r="Q48" s="25"/>
      <x:c r="R48" s="25"/>
      <x:c r="S48" s="25"/>
      <x:c r="T48" s="25"/>
      <x:c r="U48" s="26">
        <x:f t="shared" si="10"/>
        <x:v>0</x:v>
      </x:c>
      <x:c r="V48" s="23"/>
      <x:c r="W48" s="23"/>
      <x:c r="X48" s="23"/>
    </x:row>
    <x:row r="49" ht="18.75" customHeight="1">
      <x:c r="A49" s="19"/>
      <x:c r="B49" s="29"/>
      <x:c r="C49" s="21"/>
      <x:c r="D49" s="35"/>
      <x:c r="E49" s="23"/>
      <x:c r="F49" s="24"/>
      <x:c r="G49" s="25"/>
      <x:c r="H49" s="25"/>
      <x:c r="I49" s="25"/>
      <x:c r="J49" s="25"/>
      <x:c r="K49" s="24"/>
      <x:c r="L49" s="25"/>
      <x:c r="M49" s="25"/>
      <x:c r="N49" s="25"/>
      <x:c r="O49" s="25"/>
      <x:c r="P49" s="25"/>
      <x:c r="Q49" s="25"/>
      <x:c r="R49" s="25"/>
      <x:c r="S49" s="25"/>
      <x:c r="T49" s="25"/>
      <x:c r="U49" s="26">
        <x:f t="shared" si="10"/>
        <x:v>0</x:v>
      </x:c>
      <x:c r="V49" s="23"/>
      <x:c r="W49" s="23"/>
      <x:c r="X49" s="23"/>
    </x:row>
    <x:row r="50" ht="18.75" customHeight="1">
      <x:c r="A50" s="19"/>
      <x:c r="B50" s="29"/>
      <x:c r="C50" s="21"/>
      <x:c r="D50" s="55"/>
      <x:c r="E50" s="23"/>
      <x:c r="F50" s="24"/>
      <x:c r="G50" s="25"/>
      <x:c r="H50" s="25"/>
      <x:c r="I50" s="25"/>
      <x:c r="J50" s="25"/>
      <x:c r="K50" s="24"/>
      <x:c r="L50" s="24"/>
      <x:c r="M50" s="25"/>
      <x:c r="N50" s="25"/>
      <x:c r="O50" s="25"/>
      <x:c r="P50" s="25"/>
      <x:c r="Q50" s="25"/>
      <x:c r="R50" s="25"/>
      <x:c r="S50" s="25"/>
      <x:c r="T50" s="25"/>
      <x:c r="U50" s="26">
        <x:f t="shared" si="10"/>
        <x:v>0</x:v>
      </x:c>
      <x:c r="V50" s="23"/>
      <x:c r="W50" s="23"/>
      <x:c r="X50" s="23"/>
    </x:row>
    <x:row r="51" ht="18.75" customHeight="1">
      <x:c r="A51" s="19"/>
      <x:c r="B51" s="29"/>
      <x:c r="C51" s="21"/>
      <x:c r="D51" s="55"/>
      <x:c r="E51" s="56"/>
      <x:c r="F51" s="24"/>
      <x:c r="G51" s="24"/>
      <x:c r="H51" s="24"/>
      <x:c r="I51" s="24"/>
      <x:c r="J51" s="24"/>
      <x:c r="K51" s="24"/>
      <x:c r="L51" s="24"/>
      <x:c r="M51" s="25"/>
      <x:c r="N51" s="25"/>
      <x:c r="O51" s="25"/>
      <x:c r="P51" s="25"/>
      <x:c r="Q51" s="25"/>
      <x:c r="R51" s="25"/>
      <x:c r="S51" s="25"/>
      <x:c r="T51" s="25"/>
      <x:c r="U51" s="26">
        <x:f t="shared" si="10"/>
        <x:v>0</x:v>
      </x:c>
      <x:c r="V51" s="23"/>
      <x:c r="W51" s="23"/>
      <x:c r="X51" s="23"/>
    </x:row>
    <x:row r="52" ht="18.75" customHeight="1">
      <x:c r="A52" s="19"/>
      <x:c r="B52" s="29"/>
      <x:c r="C52" s="21"/>
      <x:c r="D52" s="35"/>
      <x:c r="E52" s="56"/>
      <x:c r="F52" s="24"/>
      <x:c r="G52" s="24"/>
      <x:c r="H52" s="24"/>
      <x:c r="I52" s="24"/>
      <x:c r="J52" s="24"/>
      <x:c r="K52" s="24"/>
      <x:c r="L52" s="24"/>
      <x:c r="M52" s="25"/>
      <x:c r="N52" s="25"/>
      <x:c r="O52" s="25"/>
      <x:c r="P52" s="25"/>
      <x:c r="Q52" s="25"/>
      <x:c r="R52" s="25"/>
      <x:c r="S52" s="25"/>
      <x:c r="T52" s="25"/>
      <x:c r="U52" s="26">
        <x:f t="shared" si="10"/>
        <x:v>0</x:v>
      </x:c>
      <x:c r="V52" s="23"/>
      <x:c r="W52" s="23"/>
      <x:c r="X52" s="23"/>
    </x:row>
    <x:row r="53" ht="18.75" customHeight="1">
      <x:c r="A53" s="19"/>
      <x:c r="B53" s="29"/>
      <x:c r="C53" s="21"/>
      <x:c r="D53" s="55"/>
      <x:c r="E53" s="56"/>
      <x:c r="F53" s="24"/>
      <x:c r="G53" s="24"/>
      <x:c r="H53" s="24"/>
      <x:c r="I53" s="24"/>
      <x:c r="J53" s="24"/>
      <x:c r="K53" s="24"/>
      <x:c r="L53" s="24"/>
      <x:c r="M53" s="25"/>
      <x:c r="N53" s="25"/>
      <x:c r="O53" s="25"/>
      <x:c r="P53" s="25"/>
      <x:c r="Q53" s="25"/>
      <x:c r="R53" s="25"/>
      <x:c r="S53" s="25"/>
      <x:c r="T53" s="25"/>
      <x:c r="U53" s="26">
        <x:f t="shared" si="10"/>
        <x:v>0</x:v>
      </x:c>
      <x:c r="V53" s="23"/>
      <x:c r="W53" s="23"/>
      <x:c r="X53" s="23"/>
      <x:c r="Y53" s="39"/>
    </x:row>
    <x:row r="54" ht="18.75" customHeight="1">
      <x:c r="A54" s="19"/>
      <x:c r="B54" s="29"/>
      <x:c r="C54" s="21"/>
      <x:c r="D54" s="35"/>
      <x:c r="E54" s="56"/>
      <x:c r="F54" s="24"/>
      <x:c r="G54" s="24"/>
      <x:c r="H54" s="24"/>
      <x:c r="I54" s="24"/>
      <x:c r="J54" s="24"/>
      <x:c r="K54" s="24"/>
      <x:c r="L54" s="24"/>
      <x:c r="M54" s="24"/>
      <x:c r="N54" s="24"/>
      <x:c r="O54" s="25"/>
      <x:c r="P54" s="25"/>
      <x:c r="Q54" s="25"/>
      <x:c r="R54" s="25"/>
      <x:c r="S54" s="25"/>
      <x:c r="T54" s="25"/>
      <x:c r="U54" s="26">
        <x:f t="shared" si="10"/>
        <x:v>0</x:v>
      </x:c>
      <x:c r="V54" s="23"/>
      <x:c r="W54" s="23"/>
      <x:c r="X54" s="23"/>
    </x:row>
    <x:row r="55" ht="18.75" customHeight="1">
      <x:c r="A55" s="19"/>
      <x:c r="B55" s="29"/>
      <x:c r="C55" s="21"/>
      <x:c r="D55" s="35"/>
      <x:c r="E55" s="56"/>
      <x:c r="F55" s="24"/>
      <x:c r="G55" s="25"/>
      <x:c r="H55" s="25"/>
      <x:c r="I55" s="25"/>
      <x:c r="J55" s="25"/>
      <x:c r="K55" s="24"/>
      <x:c r="L55" s="24"/>
      <x:c r="M55" s="25"/>
      <x:c r="N55" s="25"/>
      <x:c r="O55" s="25"/>
      <x:c r="P55" s="25"/>
      <x:c r="Q55" s="25"/>
      <x:c r="R55" s="25"/>
      <x:c r="S55" s="25"/>
      <x:c r="T55" s="25"/>
      <x:c r="U55" s="26">
        <x:f t="shared" si="10"/>
        <x:v>0</x:v>
      </x:c>
      <x:c r="V55" s="23"/>
      <x:c r="W55" s="23"/>
      <x:c r="X55" s="23"/>
    </x:row>
    <x:row r="56" ht="18.75" customHeight="1">
      <x:c r="A56" s="19"/>
      <x:c r="B56" s="29"/>
      <x:c r="C56" s="21"/>
      <x:c r="D56" s="55"/>
      <x:c r="E56" s="23"/>
      <x:c r="F56" s="24"/>
      <x:c r="G56" s="25"/>
      <x:c r="H56" s="25"/>
      <x:c r="I56" s="25"/>
      <x:c r="J56" s="25"/>
      <x:c r="K56" s="24"/>
      <x:c r="L56" s="24"/>
      <x:c r="M56" s="25"/>
      <x:c r="N56" s="25"/>
      <x:c r="O56" s="25"/>
      <x:c r="P56" s="25"/>
      <x:c r="Q56" s="25"/>
      <x:c r="R56" s="25"/>
      <x:c r="S56" s="25"/>
      <x:c r="T56" s="25"/>
      <x:c r="U56" s="26">
        <x:f t="shared" si="10"/>
        <x:v>0</x:v>
      </x:c>
      <x:c r="V56" s="23"/>
      <x:c r="W56" s="23"/>
      <x:c r="X56" s="23"/>
    </x:row>
    <x:row r="57" ht="18.75" customHeight="1">
      <x:c r="A57" s="19"/>
      <x:c r="B57" s="29"/>
      <x:c r="C57" s="21"/>
      <x:c r="D57" s="35"/>
      <x:c r="E57" s="23"/>
      <x:c r="F57" s="24"/>
      <x:c r="G57" s="25"/>
      <x:c r="H57" s="25"/>
      <x:c r="I57" s="25"/>
      <x:c r="J57" s="25"/>
      <x:c r="K57" s="24"/>
      <x:c r="L57" s="24"/>
      <x:c r="M57" s="25"/>
      <x:c r="N57" s="25"/>
      <x:c r="O57" s="25"/>
      <x:c r="P57" s="25"/>
      <x:c r="Q57" s="25"/>
      <x:c r="R57" s="25"/>
      <x:c r="S57" s="25"/>
      <x:c r="T57" s="25"/>
      <x:c r="U57" s="26">
        <x:f t="shared" si="10"/>
        <x:v>0</x:v>
      </x:c>
      <x:c r="V57" s="23"/>
      <x:c r="W57" s="23"/>
      <x:c r="X57" s="23"/>
    </x:row>
    <x:row r="58" ht="18.75" customHeight="1">
      <x:c r="A58" s="19"/>
      <x:c r="B58" s="29"/>
      <x:c r="C58" s="21"/>
      <x:c r="D58" s="35"/>
      <x:c r="E58" s="56"/>
      <x:c r="F58" s="24"/>
      <x:c r="G58" s="25"/>
      <x:c r="H58" s="25"/>
      <x:c r="I58" s="25"/>
      <x:c r="J58" s="25"/>
      <x:c r="K58" s="24"/>
      <x:c r="L58" s="25"/>
      <x:c r="M58" s="25"/>
      <x:c r="N58" s="25"/>
      <x:c r="O58" s="25"/>
      <x:c r="P58" s="25"/>
      <x:c r="Q58" s="25"/>
      <x:c r="R58" s="25"/>
      <x:c r="S58" s="25"/>
      <x:c r="T58" s="25"/>
      <x:c r="U58" s="26">
        <x:f t="shared" si="10"/>
        <x:v>0</x:v>
      </x:c>
      <x:c r="V58" s="23"/>
      <x:c r="W58" s="23"/>
      <x:c r="X58" s="23"/>
    </x:row>
    <x:row r="59" ht="18.75" customHeight="1">
      <x:c r="A59" s="19"/>
      <x:c r="B59" s="29"/>
      <x:c r="C59" s="21"/>
      <x:c r="D59" s="35"/>
      <x:c r="E59" s="23"/>
      <x:c r="F59" s="24"/>
      <x:c r="G59" s="25"/>
      <x:c r="H59" s="25"/>
      <x:c r="I59" s="25"/>
      <x:c r="J59" s="25"/>
      <x:c r="K59" s="24"/>
      <x:c r="L59" s="24"/>
      <x:c r="M59" s="25"/>
      <x:c r="N59" s="25"/>
      <x:c r="O59" s="25"/>
      <x:c r="P59" s="25"/>
      <x:c r="Q59" s="25"/>
      <x:c r="R59" s="25"/>
      <x:c r="S59" s="25"/>
      <x:c r="T59" s="25"/>
      <x:c r="U59" s="26">
        <x:f t="shared" si="10"/>
        <x:v>0</x:v>
      </x:c>
      <x:c r="V59" s="23"/>
      <x:c r="W59" s="23"/>
      <x:c r="X59" s="23"/>
    </x:row>
    <x:row r="60" ht="18.75" customHeight="1">
      <x:c r="A60" s="19"/>
      <x:c r="B60" s="29"/>
      <x:c r="C60" s="21"/>
      <x:c r="D60" s="35"/>
      <x:c r="E60" s="23"/>
      <x:c r="F60" s="24"/>
      <x:c r="G60" s="25"/>
      <x:c r="H60" s="24"/>
      <x:c r="I60" s="24"/>
      <x:c r="J60" s="24"/>
      <x:c r="K60" s="24"/>
      <x:c r="L60" s="25"/>
      <x:c r="M60" s="25"/>
      <x:c r="N60" s="25"/>
      <x:c r="O60" s="25"/>
      <x:c r="P60" s="25"/>
      <x:c r="Q60" s="25"/>
      <x:c r="R60" s="25"/>
      <x:c r="S60" s="25"/>
      <x:c r="T60" s="25"/>
      <x:c r="U60" s="26">
        <x:f t="shared" si="10"/>
        <x:v>0</x:v>
      </x:c>
      <x:c r="V60" s="23"/>
      <x:c r="W60" s="23"/>
      <x:c r="X60" s="23"/>
    </x:row>
    <x:row r="61" ht="18.75" customHeight="1">
      <x:c r="A61" s="19"/>
      <x:c r="B61" s="29"/>
      <x:c r="C61" s="21"/>
      <x:c r="D61" s="35"/>
      <x:c r="E61" s="23"/>
      <x:c r="F61" s="24"/>
      <x:c r="G61" s="24"/>
      <x:c r="H61" s="24"/>
      <x:c r="I61" s="24"/>
      <x:c r="J61" s="24"/>
      <x:c r="K61" s="24"/>
      <x:c r="L61" s="24"/>
      <x:c r="M61" s="25"/>
      <x:c r="N61" s="25"/>
      <x:c r="O61" s="25"/>
      <x:c r="P61" s="25"/>
      <x:c r="Q61" s="25"/>
      <x:c r="R61" s="25"/>
      <x:c r="S61" s="25"/>
      <x:c r="T61" s="25"/>
      <x:c r="U61" s="26">
        <x:f t="shared" si="10"/>
        <x:v>0</x:v>
      </x:c>
      <x:c r="V61" s="23"/>
      <x:c r="W61" s="23"/>
      <x:c r="X61" s="23"/>
    </x:row>
    <x:row r="62" ht="18.75" customHeight="1">
      <x:c r="A62" s="19"/>
      <x:c r="B62" s="29"/>
      <x:c r="C62" s="21"/>
      <x:c r="D62" s="35"/>
      <x:c r="E62" s="23"/>
      <x:c r="F62" s="24"/>
      <x:c r="G62" s="24"/>
      <x:c r="H62" s="24"/>
      <x:c r="I62" s="24"/>
      <x:c r="J62" s="24"/>
      <x:c r="K62" s="24"/>
      <x:c r="L62" s="24"/>
      <x:c r="M62" s="25"/>
      <x:c r="N62" s="25"/>
      <x:c r="O62" s="25"/>
      <x:c r="P62" s="25"/>
      <x:c r="Q62" s="25"/>
      <x:c r="R62" s="25"/>
      <x:c r="S62" s="25"/>
      <x:c r="T62" s="25"/>
      <x:c r="U62" s="26">
        <x:f t="shared" si="10"/>
        <x:v>0</x:v>
      </x:c>
      <x:c r="V62" s="23"/>
      <x:c r="W62" s="23"/>
      <x:c r="X62" s="23"/>
    </x:row>
    <x:row r="63" ht="18.75" customHeight="1">
      <x:c r="A63" s="19"/>
      <x:c r="B63" s="29"/>
      <x:c r="C63" s="21"/>
      <x:c r="D63" s="55"/>
      <x:c r="E63" s="23"/>
      <x:c r="F63" s="24"/>
      <x:c r="G63" s="24"/>
      <x:c r="H63" s="24"/>
      <x:c r="I63" s="24"/>
      <x:c r="J63" s="24"/>
      <x:c r="K63" s="24"/>
      <x:c r="L63" s="24"/>
      <x:c r="M63" s="25"/>
      <x:c r="N63" s="25"/>
      <x:c r="O63" s="25"/>
      <x:c r="P63" s="25"/>
      <x:c r="Q63" s="25"/>
      <x:c r="R63" s="25"/>
      <x:c r="S63" s="25"/>
      <x:c r="T63" s="25"/>
      <x:c r="U63" s="26">
        <x:f t="shared" si="10"/>
        <x:v>0</x:v>
      </x:c>
      <x:c r="V63" s="23"/>
      <x:c r="W63" s="23"/>
      <x:c r="X63" s="23"/>
    </x:row>
    <x:row r="64" ht="18.75" customHeight="1">
      <x:c r="A64" s="19"/>
      <x:c r="B64" s="29"/>
      <x:c r="C64" s="21"/>
      <x:c r="D64" s="55"/>
      <x:c r="E64" s="23"/>
      <x:c r="F64" s="24"/>
      <x:c r="G64" s="24"/>
      <x:c r="H64" s="24"/>
      <x:c r="I64" s="24"/>
      <x:c r="J64" s="24"/>
      <x:c r="K64" s="25"/>
      <x:c r="L64" s="24"/>
      <x:c r="M64" s="25"/>
      <x:c r="N64" s="25"/>
      <x:c r="O64" s="25"/>
      <x:c r="P64" s="25"/>
      <x:c r="Q64" s="25"/>
      <x:c r="R64" s="25"/>
      <x:c r="S64" s="25"/>
      <x:c r="T64" s="25"/>
      <x:c r="U64" s="26">
        <x:f t="shared" si="10"/>
        <x:v>0</x:v>
      </x:c>
      <x:c r="V64" s="23"/>
      <x:c r="W64" s="23"/>
      <x:c r="X64" s="23"/>
    </x:row>
    <x:row r="65" ht="18.75" customHeight="1">
      <x:c r="A65" s="19"/>
      <x:c r="B65" s="29"/>
      <x:c r="C65" s="21"/>
      <x:c r="D65" s="55"/>
      <x:c r="E65" s="23"/>
      <x:c r="F65" s="24"/>
      <x:c r="G65" s="25"/>
      <x:c r="H65" s="25"/>
      <x:c r="I65" s="25"/>
      <x:c r="J65" s="25"/>
      <x:c r="K65" s="24"/>
      <x:c r="L65" s="24"/>
      <x:c r="M65" s="25"/>
      <x:c r="N65" s="25"/>
      <x:c r="O65" s="25"/>
      <x:c r="P65" s="25"/>
      <x:c r="Q65" s="25"/>
      <x:c r="R65" s="25"/>
      <x:c r="S65" s="25"/>
      <x:c r="T65" s="25"/>
      <x:c r="U65" s="26">
        <x:f t="shared" si="10"/>
        <x:v>0</x:v>
      </x:c>
      <x:c r="V65" s="23"/>
      <x:c r="W65" s="23"/>
      <x:c r="X65" s="23"/>
    </x:row>
    <x:row r="66" ht="18.75" customHeight="1">
      <x:c r="A66" s="19"/>
      <x:c r="B66" s="29"/>
      <x:c r="C66" s="21"/>
      <x:c r="D66" s="55"/>
      <x:c r="E66" s="23"/>
      <x:c r="F66" s="24"/>
      <x:c r="G66" s="24"/>
      <x:c r="H66" s="24"/>
      <x:c r="I66" s="24"/>
      <x:c r="J66" s="24"/>
      <x:c r="K66" s="24"/>
      <x:c r="L66" s="24"/>
      <x:c r="M66" s="25"/>
      <x:c r="N66" s="25"/>
      <x:c r="O66" s="25"/>
      <x:c r="P66" s="25"/>
      <x:c r="Q66" s="25"/>
      <x:c r="R66" s="25"/>
      <x:c r="S66" s="25"/>
      <x:c r="T66" s="25"/>
      <x:c r="U66" s="26">
        <x:f t="shared" si="10"/>
        <x:v>0</x:v>
      </x:c>
      <x:c r="V66" s="23"/>
      <x:c r="W66" s="23"/>
      <x:c r="X66" s="23"/>
    </x:row>
    <x:row r="67" ht="18.75" customHeight="1">
      <x:c r="A67" s="19"/>
      <x:c r="B67" s="29"/>
      <x:c r="C67" s="21"/>
      <x:c r="D67" s="55"/>
      <x:c r="E67" s="23"/>
      <x:c r="F67" s="24"/>
      <x:c r="G67" s="25"/>
      <x:c r="H67" s="25"/>
      <x:c r="I67" s="25"/>
      <x:c r="J67" s="25"/>
      <x:c r="K67" s="24"/>
      <x:c r="L67" s="25"/>
      <x:c r="M67" s="25"/>
      <x:c r="N67" s="25"/>
      <x:c r="O67" s="25"/>
      <x:c r="P67" s="25"/>
      <x:c r="Q67" s="25"/>
      <x:c r="R67" s="25"/>
      <x:c r="S67" s="25"/>
      <x:c r="T67" s="25"/>
      <x:c r="U67" s="26">
        <x:f t="shared" si="10"/>
        <x:v>0</x:v>
      </x:c>
      <x:c r="V67" s="23"/>
      <x:c r="W67" s="23"/>
      <x:c r="X67" s="23"/>
    </x:row>
    <x:row r="68" ht="18.75" customHeight="1">
      <x:c r="A68" s="19"/>
      <x:c r="B68" s="29"/>
      <x:c r="C68" s="21"/>
      <x:c r="D68" s="55"/>
      <x:c r="E68" s="23"/>
      <x:c r="F68" s="24"/>
      <x:c r="G68" s="24"/>
      <x:c r="H68" s="24"/>
      <x:c r="I68" s="24"/>
      <x:c r="J68" s="24"/>
      <x:c r="K68" s="24"/>
      <x:c r="L68" s="24"/>
      <x:c r="M68" s="25"/>
      <x:c r="N68" s="25"/>
      <x:c r="O68" s="25"/>
      <x:c r="P68" s="25"/>
      <x:c r="Q68" s="25"/>
      <x:c r="R68" s="25"/>
      <x:c r="S68" s="25"/>
      <x:c r="T68" s="25"/>
      <x:c r="U68" s="26">
        <x:f t="shared" si="10"/>
        <x:v>0</x:v>
      </x:c>
      <x:c r="V68" s="23"/>
      <x:c r="W68" s="23"/>
      <x:c r="X68" s="23"/>
    </x:row>
    <x:row r="69" ht="18.75" customHeight="1">
      <x:c r="A69" s="19"/>
      <x:c r="B69" s="29"/>
      <x:c r="C69" s="21"/>
      <x:c r="D69" s="35"/>
      <x:c r="E69" s="23"/>
      <x:c r="F69" s="24"/>
      <x:c r="G69" s="25"/>
      <x:c r="H69" s="25"/>
      <x:c r="I69" s="25"/>
      <x:c r="J69" s="25"/>
      <x:c r="K69" s="24"/>
      <x:c r="L69" s="24"/>
      <x:c r="M69" s="25"/>
      <x:c r="N69" s="25"/>
      <x:c r="O69" s="25"/>
      <x:c r="P69" s="25"/>
      <x:c r="Q69" s="25"/>
      <x:c r="R69" s="25"/>
      <x:c r="S69" s="25"/>
      <x:c r="T69" s="25"/>
      <x:c r="U69" s="26">
        <x:f t="shared" si="10"/>
        <x:v>0</x:v>
      </x:c>
      <x:c r="V69" s="23"/>
      <x:c r="W69" s="23"/>
      <x:c r="X69" s="23"/>
    </x:row>
    <x:row r="70" ht="18.75" customHeight="1">
      <x:c r="A70" s="19"/>
      <x:c r="B70" s="29"/>
      <x:c r="C70" s="21"/>
      <x:c r="D70" s="55"/>
      <x:c r="E70" s="23"/>
      <x:c r="F70" s="24"/>
      <x:c r="G70" s="25"/>
      <x:c r="H70" s="25"/>
      <x:c r="I70" s="25"/>
      <x:c r="J70" s="25"/>
      <x:c r="K70" s="25"/>
      <x:c r="L70" s="24"/>
      <x:c r="M70" s="25"/>
      <x:c r="N70" s="25"/>
      <x:c r="O70" s="25"/>
      <x:c r="P70" s="25"/>
      <x:c r="Q70" s="25"/>
      <x:c r="R70" s="25"/>
      <x:c r="S70" s="25"/>
      <x:c r="T70" s="25"/>
      <x:c r="U70" s="26">
        <x:f t="shared" si="10"/>
        <x:v>0</x:v>
      </x:c>
      <x:c r="V70" s="23"/>
      <x:c r="W70" s="23"/>
      <x:c r="X70" s="23"/>
    </x:row>
    <x:row r="71" ht="18.75" customHeight="1">
      <x:c r="A71" s="19"/>
      <x:c r="B71" s="29"/>
      <x:c r="C71" s="21"/>
      <x:c r="D71" s="55"/>
      <x:c r="E71" s="23"/>
      <x:c r="F71" s="24"/>
      <x:c r="G71" s="25"/>
      <x:c r="H71" s="25"/>
      <x:c r="I71" s="25"/>
      <x:c r="J71" s="25"/>
      <x:c r="K71" s="24"/>
      <x:c r="L71" s="25"/>
      <x:c r="M71" s="25"/>
      <x:c r="N71" s="25"/>
      <x:c r="O71" s="25"/>
      <x:c r="P71" s="25"/>
      <x:c r="Q71" s="25"/>
      <x:c r="R71" s="25"/>
      <x:c r="S71" s="25"/>
      <x:c r="T71" s="25"/>
      <x:c r="U71" s="26">
        <x:f t="shared" si="10"/>
        <x:v>0</x:v>
      </x:c>
      <x:c r="V71" s="23"/>
      <x:c r="W71" s="23"/>
      <x:c r="X71" s="23"/>
    </x:row>
    <x:row r="72" ht="18.75" customHeight="1">
      <x:c r="A72" s="19"/>
      <x:c r="B72" s="20"/>
      <x:c r="C72" s="21"/>
      <x:c r="D72" s="55"/>
      <x:c r="E72" s="23"/>
      <x:c r="F72" s="24"/>
      <x:c r="G72" s="25"/>
      <x:c r="H72" s="25"/>
      <x:c r="I72" s="25"/>
      <x:c r="J72" s="25"/>
      <x:c r="K72" s="24"/>
      <x:c r="L72" s="24"/>
      <x:c r="M72" s="25"/>
      <x:c r="N72" s="25"/>
      <x:c r="O72" s="25"/>
      <x:c r="P72" s="25"/>
      <x:c r="Q72" s="25"/>
      <x:c r="R72" s="25"/>
      <x:c r="S72" s="25"/>
      <x:c r="T72" s="25"/>
      <x:c r="U72" s="26">
        <x:f t="shared" si="10"/>
        <x:v>0</x:v>
      </x:c>
      <x:c r="V72" s="23"/>
      <x:c r="W72" s="23"/>
      <x:c r="X72" s="23"/>
    </x:row>
    <x:row r="73" ht="18.75" customHeight="1">
      <x:c r="A73" s="19"/>
      <x:c r="B73" s="20"/>
      <x:c r="C73" s="21"/>
      <x:c r="D73" s="55"/>
      <x:c r="E73" s="23"/>
      <x:c r="F73" s="24"/>
      <x:c r="G73" s="24"/>
      <x:c r="H73" s="24"/>
      <x:c r="I73" s="24"/>
      <x:c r="J73" s="24"/>
      <x:c r="K73" s="24"/>
      <x:c r="L73" s="24"/>
      <x:c r="M73" s="25"/>
      <x:c r="N73" s="25"/>
      <x:c r="O73" s="25"/>
      <x:c r="P73" s="25"/>
      <x:c r="Q73" s="25"/>
      <x:c r="R73" s="25"/>
      <x:c r="S73" s="25"/>
      <x:c r="T73" s="25"/>
      <x:c r="U73" s="26">
        <x:f t="shared" si="10"/>
        <x:v>0</x:v>
      </x:c>
      <x:c r="V73" s="23"/>
      <x:c r="W73" s="23"/>
      <x:c r="X73" s="23"/>
    </x:row>
    <x:row r="74" ht="18.75" customHeight="1">
      <x:c r="A74" s="19"/>
      <x:c r="B74" s="20"/>
      <x:c r="C74" s="21"/>
      <x:c r="D74" s="55"/>
      <x:c r="E74" s="23"/>
      <x:c r="F74" s="24"/>
      <x:c r="G74" s="25"/>
      <x:c r="H74" s="25"/>
      <x:c r="I74" s="25"/>
      <x:c r="J74" s="25"/>
      <x:c r="K74" s="24"/>
      <x:c r="L74" s="25"/>
      <x:c r="M74" s="25"/>
      <x:c r="N74" s="25"/>
      <x:c r="O74" s="25"/>
      <x:c r="P74" s="25"/>
      <x:c r="Q74" s="25"/>
      <x:c r="R74" s="25"/>
      <x:c r="S74" s="25"/>
      <x:c r="T74" s="25"/>
      <x:c r="U74" s="26">
        <x:f t="shared" si="10"/>
        <x:v>0</x:v>
      </x:c>
      <x:c r="V74" s="23"/>
      <x:c r="W74" s="23"/>
      <x:c r="X74" s="23"/>
    </x:row>
    <x:row r="75" ht="18.75" customHeight="1">
      <x:c r="A75" s="19"/>
      <x:c r="B75" s="20"/>
      <x:c r="C75" s="21"/>
      <x:c r="D75" s="55"/>
      <x:c r="E75" s="23"/>
      <x:c r="F75" s="24"/>
      <x:c r="G75" s="24"/>
      <x:c r="H75" s="25"/>
      <x:c r="I75" s="25"/>
      <x:c r="J75" s="25"/>
      <x:c r="K75" s="24"/>
      <x:c r="L75" s="25"/>
      <x:c r="M75" s="25"/>
      <x:c r="N75" s="25"/>
      <x:c r="O75" s="25"/>
      <x:c r="P75" s="25"/>
      <x:c r="Q75" s="25"/>
      <x:c r="R75" s="25"/>
      <x:c r="S75" s="25"/>
      <x:c r="T75" s="25"/>
      <x:c r="U75" s="26">
        <x:f t="shared" si="10"/>
        <x:v>0</x:v>
      </x:c>
      <x:c r="V75" s="23"/>
      <x:c r="W75" s="23"/>
      <x:c r="X75" s="23"/>
    </x:row>
    <x:row r="76" ht="18.75" customHeight="1">
      <x:c r="A76" s="19"/>
      <x:c r="B76" s="20"/>
      <x:c r="C76" s="21"/>
      <x:c r="D76" s="55"/>
      <x:c r="E76" s="23"/>
      <x:c r="F76" s="24"/>
      <x:c r="G76" s="25"/>
      <x:c r="H76" s="25"/>
      <x:c r="I76" s="25"/>
      <x:c r="J76" s="25"/>
      <x:c r="K76" s="24"/>
      <x:c r="L76" s="25"/>
      <x:c r="M76" s="25"/>
      <x:c r="N76" s="25"/>
      <x:c r="O76" s="25"/>
      <x:c r="P76" s="25"/>
      <x:c r="Q76" s="25"/>
      <x:c r="R76" s="25"/>
      <x:c r="S76" s="25"/>
      <x:c r="T76" s="25"/>
      <x:c r="U76" s="26">
        <x:f t="shared" si="10"/>
        <x:v>0</x:v>
      </x:c>
      <x:c r="V76" s="23"/>
      <x:c r="W76" s="23"/>
      <x:c r="X76" s="23"/>
    </x:row>
    <x:row r="77" ht="18.75" customHeight="1">
      <x:c r="A77" s="19"/>
      <x:c r="B77" s="20"/>
      <x:c r="C77" s="21"/>
      <x:c r="D77" s="55"/>
      <x:c r="E77" s="23"/>
      <x:c r="F77" s="24"/>
      <x:c r="G77" s="25"/>
      <x:c r="H77" s="25"/>
      <x:c r="I77" s="25"/>
      <x:c r="J77" s="25"/>
      <x:c r="K77" s="24"/>
      <x:c r="L77" s="25"/>
      <x:c r="M77" s="25"/>
      <x:c r="N77" s="25"/>
      <x:c r="O77" s="25"/>
      <x:c r="P77" s="25"/>
      <x:c r="Q77" s="25"/>
      <x:c r="R77" s="25"/>
      <x:c r="S77" s="25"/>
      <x:c r="T77" s="25"/>
      <x:c r="U77" s="26">
        <x:f t="shared" si="10"/>
        <x:v>0</x:v>
      </x:c>
      <x:c r="V77" s="23"/>
      <x:c r="W77" s="23"/>
      <x:c r="X77" s="23"/>
    </x:row>
    <x:row r="78" ht="18.75" customHeight="1">
      <x:c r="A78" s="19"/>
      <x:c r="B78" s="20"/>
      <x:c r="C78" s="21"/>
      <x:c r="D78" s="35"/>
      <x:c r="E78" s="23"/>
      <x:c r="F78" s="24"/>
      <x:c r="G78" s="25"/>
      <x:c r="H78" s="25"/>
      <x:c r="I78" s="25"/>
      <x:c r="J78" s="25"/>
      <x:c r="K78" s="25"/>
      <x:c r="L78" s="24"/>
      <x:c r="M78" s="25"/>
      <x:c r="N78" s="25"/>
      <x:c r="O78" s="25"/>
      <x:c r="P78" s="25"/>
      <x:c r="Q78" s="25"/>
      <x:c r="R78" s="25"/>
      <x:c r="S78" s="25"/>
      <x:c r="T78" s="25"/>
      <x:c r="U78" s="26">
        <x:f t="shared" si="10"/>
        <x:v>0</x:v>
      </x:c>
      <x:c r="V78" s="23"/>
      <x:c r="W78" s="23"/>
      <x:c r="X78" s="23"/>
    </x:row>
    <x:row r="79" ht="18.75" customHeight="1">
      <x:c r="A79" s="19"/>
      <x:c r="B79" s="20"/>
      <x:c r="C79" s="21"/>
      <x:c r="D79" s="55"/>
      <x:c r="E79" s="23"/>
      <x:c r="F79" s="24"/>
      <x:c r="G79" s="25"/>
      <x:c r="H79" s="25"/>
      <x:c r="I79" s="25"/>
      <x:c r="J79" s="25"/>
      <x:c r="K79" s="25"/>
      <x:c r="L79" s="24"/>
      <x:c r="M79" s="25"/>
      <x:c r="N79" s="25"/>
      <x:c r="O79" s="25"/>
      <x:c r="P79" s="25"/>
      <x:c r="Q79" s="25"/>
      <x:c r="R79" s="25"/>
      <x:c r="S79" s="25"/>
      <x:c r="T79" s="25"/>
      <x:c r="U79" s="26">
        <x:f t="shared" si="10"/>
        <x:v>0</x:v>
      </x:c>
      <x:c r="V79" s="23"/>
      <x:c r="W79" s="23"/>
      <x:c r="X79" s="23"/>
    </x:row>
    <x:row r="80" ht="18.75" customHeight="1">
      <x:c r="A80" s="19"/>
      <x:c r="B80" s="71"/>
      <x:c r="C80" s="21"/>
      <x:c r="D80" s="55"/>
      <x:c r="E80" s="23"/>
      <x:c r="F80" s="24"/>
      <x:c r="G80" s="25"/>
      <x:c r="H80" s="25"/>
      <x:c r="I80" s="25"/>
      <x:c r="J80" s="25"/>
      <x:c r="K80" s="24"/>
      <x:c r="L80" s="25"/>
      <x:c r="M80" s="25"/>
      <x:c r="N80" s="25"/>
      <x:c r="O80" s="25"/>
      <x:c r="P80" s="25"/>
      <x:c r="Q80" s="25"/>
      <x:c r="R80" s="25"/>
      <x:c r="S80" s="25"/>
      <x:c r="T80" s="25"/>
      <x:c r="U80" s="26">
        <x:f t="shared" si="10"/>
        <x:v>0</x:v>
      </x:c>
      <x:c r="V80" s="23"/>
      <x:c r="W80" s="23"/>
      <x:c r="X80" s="23"/>
    </x:row>
    <x:row r="81" ht="18.75" customHeight="1">
      <x:c r="A81" s="19"/>
      <x:c r="B81" s="20"/>
      <x:c r="C81" s="21"/>
      <x:c r="D81" s="35"/>
      <x:c r="E81" s="23"/>
      <x:c r="F81" s="24"/>
      <x:c r="G81" s="25"/>
      <x:c r="H81" s="25"/>
      <x:c r="I81" s="25"/>
      <x:c r="J81" s="25"/>
      <x:c r="K81" s="24"/>
      <x:c r="L81" s="24"/>
      <x:c r="M81" s="25"/>
      <x:c r="N81" s="25"/>
      <x:c r="O81" s="25"/>
      <x:c r="P81" s="25"/>
      <x:c r="Q81" s="25"/>
      <x:c r="R81" s="25"/>
      <x:c r="S81" s="25"/>
      <x:c r="T81" s="25"/>
      <x:c r="U81" s="26">
        <x:f t="shared" si="10"/>
        <x:v>0</x:v>
      </x:c>
      <x:c r="V81" s="23"/>
      <x:c r="W81" s="23"/>
      <x:c r="X81" s="23"/>
    </x:row>
    <x:row r="82" ht="18.75" customHeight="1">
      <x:c r="A82" s="19"/>
      <x:c r="B82" s="20"/>
      <x:c r="C82" s="21"/>
      <x:c r="D82" s="55"/>
      <x:c r="E82" s="23"/>
      <x:c r="F82" s="24"/>
      <x:c r="G82" s="24"/>
      <x:c r="H82" s="25"/>
      <x:c r="I82" s="25"/>
      <x:c r="J82" s="25"/>
      <x:c r="K82" s="24"/>
      <x:c r="L82" s="24"/>
      <x:c r="M82" s="25"/>
      <x:c r="N82" s="25"/>
      <x:c r="O82" s="25"/>
      <x:c r="P82" s="25"/>
      <x:c r="Q82" s="25"/>
      <x:c r="R82" s="25"/>
      <x:c r="S82" s="25"/>
      <x:c r="T82" s="25"/>
      <x:c r="U82" s="26">
        <x:f t="shared" si="10"/>
        <x:v>0</x:v>
      </x:c>
      <x:c r="V82" s="23"/>
      <x:c r="W82" s="23"/>
      <x:c r="X82" s="23"/>
    </x:row>
    <x:row r="83" ht="18.75" customHeight="1">
      <x:c r="A83" s="19"/>
      <x:c r="B83" s="20"/>
      <x:c r="C83" s="21"/>
      <x:c r="D83" s="35"/>
      <x:c r="E83" s="23"/>
      <x:c r="F83" s="24"/>
      <x:c r="G83" s="25"/>
      <x:c r="H83" s="25"/>
      <x:c r="I83" s="25"/>
      <x:c r="J83" s="25"/>
      <x:c r="K83" s="25"/>
      <x:c r="L83" s="24"/>
      <x:c r="M83" s="25"/>
      <x:c r="N83" s="25"/>
      <x:c r="O83" s="25"/>
      <x:c r="P83" s="25"/>
      <x:c r="Q83" s="25"/>
      <x:c r="R83" s="25"/>
      <x:c r="S83" s="25"/>
      <x:c r="T83" s="25"/>
      <x:c r="U83" s="26">
        <x:f t="shared" si="10"/>
        <x:v>0</x:v>
      </x:c>
      <x:c r="V83" s="23"/>
      <x:c r="W83" s="23"/>
      <x:c r="X83" s="23"/>
    </x:row>
    <x:row r="84" ht="18.75" customHeight="1">
      <x:c r="A84" s="19"/>
      <x:c r="B84" s="20"/>
      <x:c r="C84" s="21"/>
      <x:c r="D84" s="55"/>
      <x:c r="E84" s="23"/>
      <x:c r="F84" s="24"/>
      <x:c r="G84" s="25"/>
      <x:c r="H84" s="25"/>
      <x:c r="I84" s="25"/>
      <x:c r="J84" s="25"/>
      <x:c r="K84" s="24"/>
      <x:c r="L84" s="25"/>
      <x:c r="M84" s="25"/>
      <x:c r="N84" s="25"/>
      <x:c r="O84" s="25"/>
      <x:c r="P84" s="25"/>
      <x:c r="Q84" s="25"/>
      <x:c r="R84" s="25"/>
      <x:c r="S84" s="25"/>
      <x:c r="T84" s="25"/>
      <x:c r="U84" s="26">
        <x:f t="shared" si="10"/>
        <x:v>0</x:v>
      </x:c>
      <x:c r="V84" s="23"/>
      <x:c r="W84" s="23"/>
      <x:c r="X84" s="23"/>
    </x:row>
    <x:row r="85" ht="18.75" customHeight="1">
      <x:c r="A85" s="19"/>
      <x:c r="B85" s="20"/>
      <x:c r="C85" s="21"/>
      <x:c r="D85" s="55"/>
      <x:c r="E85" s="23"/>
      <x:c r="F85" s="24"/>
      <x:c r="G85" s="25"/>
      <x:c r="H85" s="25"/>
      <x:c r="I85" s="25"/>
      <x:c r="J85" s="25"/>
      <x:c r="K85" s="24"/>
      <x:c r="L85" s="25"/>
      <x:c r="M85" s="25"/>
      <x:c r="N85" s="25"/>
      <x:c r="O85" s="25"/>
      <x:c r="P85" s="25"/>
      <x:c r="Q85" s="25"/>
      <x:c r="R85" s="25"/>
      <x:c r="S85" s="25"/>
      <x:c r="T85" s="25"/>
      <x:c r="U85" s="26">
        <x:f t="shared" si="10"/>
        <x:v>0</x:v>
      </x:c>
      <x:c r="V85" s="23"/>
      <x:c r="W85" s="23"/>
      <x:c r="X85" s="23"/>
    </x:row>
    <x:row r="86" ht="18.75" customHeight="1">
      <x:c r="A86" s="19"/>
      <x:c r="B86" s="20"/>
      <x:c r="C86" s="21"/>
      <x:c r="D86" s="35"/>
      <x:c r="E86" s="23"/>
      <x:c r="F86" s="24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6">
        <x:f t="shared" si="10"/>
        <x:v>0</x:v>
      </x:c>
      <x:c r="V86" s="23"/>
      <x:c r="W86" s="23"/>
      <x:c r="X86" s="23"/>
    </x:row>
    <x:row r="87" ht="18.75" customHeight="1">
      <x:c r="A87" s="19"/>
      <x:c r="B87" s="29"/>
      <x:c r="C87" s="21"/>
      <x:c r="D87" s="55"/>
      <x:c r="E87" s="56"/>
      <x:c r="F87" s="24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6">
        <x:f t="shared" si="10"/>
        <x:v>0</x:v>
      </x:c>
      <x:c r="V87" s="23"/>
      <x:c r="W87" s="23"/>
      <x:c r="X87" s="23"/>
    </x:row>
    <x:row r="88" ht="18.75" customHeight="1">
      <x:c r="A88" s="19"/>
      <x:c r="B88" s="20"/>
      <x:c r="C88" s="21"/>
      <x:c r="D88" s="55"/>
      <x:c r="E88" s="56"/>
      <x:c r="F88" s="24"/>
      <x:c r="G88" s="25"/>
      <x:c r="H88" s="25"/>
      <x:c r="I88" s="25"/>
      <x:c r="J88" s="25"/>
      <x:c r="K88" s="24"/>
      <x:c r="L88" s="25"/>
      <x:c r="M88" s="25"/>
      <x:c r="N88" s="25"/>
      <x:c r="O88" s="25"/>
      <x:c r="P88" s="25"/>
      <x:c r="Q88" s="25"/>
      <x:c r="R88" s="25"/>
      <x:c r="S88" s="25"/>
      <x:c r="T88" s="25"/>
      <x:c r="U88" s="26">
        <x:f t="shared" si="10"/>
        <x:v>0</x:v>
      </x:c>
      <x:c r="V88" s="23"/>
      <x:c r="W88" s="23"/>
      <x:c r="X88" s="23"/>
    </x:row>
    <x:row r="89" ht="18.75" customHeight="1">
      <x:c r="A89" s="19"/>
      <x:c r="B89" s="29"/>
      <x:c r="C89" s="21"/>
      <x:c r="D89" s="23"/>
      <x:c r="E89" s="56"/>
      <x:c r="F89" s="24"/>
      <x:c r="G89" s="25"/>
      <x:c r="H89" s="25"/>
      <x:c r="I89" s="25"/>
      <x:c r="J89" s="25"/>
      <x:c r="K89" s="24"/>
      <x:c r="L89" s="24"/>
      <x:c r="M89" s="25"/>
      <x:c r="N89" s="25"/>
      <x:c r="O89" s="25"/>
      <x:c r="P89" s="25"/>
      <x:c r="Q89" s="25"/>
      <x:c r="R89" s="25"/>
      <x:c r="S89" s="25"/>
      <x:c r="T89" s="25"/>
      <x:c r="U89" s="26">
        <x:f t="shared" si="10"/>
        <x:v>0</x:v>
      </x:c>
      <x:c r="V89" s="23"/>
      <x:c r="W89" s="23"/>
      <x:c r="X89" s="23"/>
    </x:row>
    <x:row r="90" ht="18.75" customHeight="1">
      <x:c r="A90" s="19"/>
      <x:c r="B90" s="29"/>
      <x:c r="C90" s="21"/>
      <x:c r="D90" s="35"/>
      <x:c r="E90" s="56"/>
      <x:c r="F90" s="24"/>
      <x:c r="G90" s="25"/>
      <x:c r="H90" s="25"/>
      <x:c r="I90" s="25"/>
      <x:c r="J90" s="25"/>
      <x:c r="K90" s="24"/>
      <x:c r="L90" s="25"/>
      <x:c r="M90" s="25"/>
      <x:c r="N90" s="25"/>
      <x:c r="O90" s="25"/>
      <x:c r="P90" s="25"/>
      <x:c r="Q90" s="25"/>
      <x:c r="R90" s="25"/>
      <x:c r="S90" s="25"/>
      <x:c r="T90" s="25"/>
      <x:c r="U90" s="26">
        <x:f t="shared" si="10"/>
        <x:v>0</x:v>
      </x:c>
      <x:c r="V90" s="23"/>
      <x:c r="W90" s="23"/>
      <x:c r="X90" s="23"/>
    </x:row>
    <x:row r="91" ht="18.75" customHeight="1">
      <x:c r="A91" s="19"/>
      <x:c r="B91" s="29"/>
      <x:c r="C91" s="21"/>
      <x:c r="D91" s="55"/>
      <x:c r="E91" s="56"/>
      <x:c r="F91" s="24"/>
      <x:c r="G91" s="25"/>
      <x:c r="H91" s="25"/>
      <x:c r="I91" s="25"/>
      <x:c r="J91" s="25"/>
      <x:c r="K91" s="24"/>
      <x:c r="L91" s="25"/>
      <x:c r="M91" s="25"/>
      <x:c r="N91" s="25"/>
      <x:c r="O91" s="25"/>
      <x:c r="P91" s="25"/>
      <x:c r="Q91" s="25"/>
      <x:c r="R91" s="25"/>
      <x:c r="S91" s="25"/>
      <x:c r="T91" s="25"/>
      <x:c r="U91" s="26">
        <x:f t="shared" si="10"/>
        <x:v>0</x:v>
      </x:c>
      <x:c r="V91" s="23"/>
      <x:c r="W91" s="23"/>
      <x:c r="X91" s="23"/>
    </x:row>
    <x:row r="92" ht="18.75" customHeight="1">
      <x:c r="A92" s="19"/>
      <x:c r="B92" s="29"/>
      <x:c r="C92" s="21"/>
      <x:c r="D92" s="55"/>
      <x:c r="E92" s="23"/>
      <x:c r="F92" s="24"/>
      <x:c r="G92" s="25"/>
      <x:c r="H92" s="25"/>
      <x:c r="I92" s="25"/>
      <x:c r="J92" s="25"/>
      <x:c r="K92" s="24"/>
      <x:c r="L92" s="25"/>
      <x:c r="M92" s="25"/>
      <x:c r="N92" s="25"/>
      <x:c r="O92" s="25"/>
      <x:c r="P92" s="25"/>
      <x:c r="Q92" s="25"/>
      <x:c r="R92" s="25"/>
      <x:c r="S92" s="25"/>
      <x:c r="T92" s="25"/>
      <x:c r="U92" s="26">
        <x:f t="shared" si="10"/>
        <x:v>0</x:v>
      </x:c>
      <x:c r="V92" s="23"/>
      <x:c r="W92" s="23"/>
      <x:c r="X92" s="23"/>
    </x:row>
    <x:row r="93" ht="18.75" customHeight="1">
      <x:c r="A93" s="19"/>
      <x:c r="B93" s="29"/>
      <x:c r="C93" s="21"/>
      <x:c r="D93" s="35"/>
      <x:c r="E93" s="56"/>
      <x:c r="F93" s="24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6">
        <x:f t="shared" si="10"/>
        <x:v>0</x:v>
      </x:c>
      <x:c r="V93" s="23"/>
      <x:c r="W93" s="23"/>
      <x:c r="X93" s="23"/>
    </x:row>
    <x:row r="94" ht="18.75" customHeight="1">
      <x:c r="A94" s="19"/>
      <x:c r="B94" s="29"/>
      <x:c r="C94" s="21"/>
      <x:c r="D94" s="35"/>
      <x:c r="E94" s="56"/>
      <x:c r="F94" s="24"/>
      <x:c r="G94" s="25"/>
      <x:c r="H94" s="25"/>
      <x:c r="I94" s="25"/>
      <x:c r="J94" s="25"/>
      <x:c r="K94" s="25"/>
      <x:c r="L94" s="24"/>
      <x:c r="M94" s="25"/>
      <x:c r="N94" s="25"/>
      <x:c r="O94" s="25"/>
      <x:c r="P94" s="25"/>
      <x:c r="Q94" s="25"/>
      <x:c r="R94" s="25"/>
      <x:c r="S94" s="25"/>
      <x:c r="T94" s="25"/>
      <x:c r="U94" s="26">
        <x:f t="shared" si="10"/>
        <x:v>0</x:v>
      </x:c>
      <x:c r="V94" s="23"/>
      <x:c r="W94" s="23"/>
      <x:c r="X94" s="23"/>
    </x:row>
    <x:row r="95" ht="18.75" customHeight="1">
      <x:c r="A95" s="19"/>
      <x:c r="B95" s="29"/>
      <x:c r="C95" s="21"/>
      <x:c r="D95" s="55"/>
      <x:c r="E95" s="56"/>
      <x:c r="F95" s="24"/>
      <x:c r="G95" s="25"/>
      <x:c r="H95" s="25"/>
      <x:c r="I95" s="25"/>
      <x:c r="J95" s="25"/>
      <x:c r="K95" s="24"/>
      <x:c r="L95" s="25"/>
      <x:c r="M95" s="25"/>
      <x:c r="N95" s="25"/>
      <x:c r="O95" s="25"/>
      <x:c r="P95" s="25"/>
      <x:c r="Q95" s="25"/>
      <x:c r="R95" s="25"/>
      <x:c r="S95" s="25"/>
      <x:c r="T95" s="25"/>
      <x:c r="U95" s="26">
        <x:f t="shared" si="10"/>
        <x:v>0</x:v>
      </x:c>
      <x:c r="V95" s="23"/>
      <x:c r="W95" s="23"/>
      <x:c r="X95" s="23"/>
    </x:row>
    <x:row r="96" ht="18.75" customHeight="1">
      <x:c r="A96" s="19"/>
      <x:c r="B96" s="29"/>
      <x:c r="C96" s="21"/>
      <x:c r="D96" s="55"/>
      <x:c r="E96" s="23"/>
      <x:c r="F96" s="24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6">
        <x:f t="shared" si="10"/>
        <x:v>0</x:v>
      </x:c>
      <x:c r="V96" s="23"/>
      <x:c r="W96" s="23"/>
      <x:c r="X96" s="23"/>
    </x:row>
    <x:row r="97" ht="18.75" customHeight="1">
      <x:c r="A97" s="19"/>
      <x:c r="B97" s="29"/>
      <x:c r="C97" s="21"/>
      <x:c r="D97" s="55"/>
      <x:c r="E97" s="23"/>
      <x:c r="F97" s="24"/>
      <x:c r="G97" s="25"/>
      <x:c r="H97" s="25"/>
      <x:c r="I97" s="25"/>
      <x:c r="J97" s="25"/>
      <x:c r="K97" s="24"/>
      <x:c r="L97" s="24"/>
      <x:c r="M97" s="25"/>
      <x:c r="N97" s="25"/>
      <x:c r="O97" s="25"/>
      <x:c r="P97" s="25"/>
      <x:c r="Q97" s="25"/>
      <x:c r="R97" s="25"/>
      <x:c r="S97" s="25"/>
      <x:c r="T97" s="25"/>
      <x:c r="U97" s="26">
        <x:f t="shared" si="10"/>
        <x:v>0</x:v>
      </x:c>
      <x:c r="V97" s="23"/>
      <x:c r="W97" s="23"/>
      <x:c r="X97" s="23"/>
    </x:row>
    <x:row r="98" ht="18.75" customHeight="1">
      <x:c r="A98" s="19"/>
      <x:c r="B98" s="29"/>
      <x:c r="C98" s="21"/>
      <x:c r="D98" s="35"/>
      <x:c r="E98" s="56"/>
      <x:c r="F98" s="24"/>
      <x:c r="G98" s="25"/>
      <x:c r="H98" s="25"/>
      <x:c r="I98" s="25"/>
      <x:c r="J98" s="25"/>
      <x:c r="K98" s="25"/>
      <x:c r="L98" s="24"/>
      <x:c r="M98" s="25"/>
      <x:c r="N98" s="25"/>
      <x:c r="O98" s="25"/>
      <x:c r="P98" s="25"/>
      <x:c r="Q98" s="25"/>
      <x:c r="R98" s="25"/>
      <x:c r="S98" s="25"/>
      <x:c r="T98" s="25"/>
      <x:c r="U98" s="26">
        <x:f t="shared" si="10"/>
        <x:v>0</x:v>
      </x:c>
      <x:c r="V98" s="23"/>
      <x:c r="W98" s="23"/>
      <x:c r="X98" s="23"/>
    </x:row>
    <x:row r="99" ht="18.75" customHeight="1">
      <x:c r="A99" s="19"/>
      <x:c r="B99" s="29"/>
      <x:c r="C99" s="21"/>
      <x:c r="D99" s="35"/>
      <x:c r="E99" s="56"/>
      <x:c r="F99" s="24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6">
        <x:f t="shared" si="10"/>
        <x:v>0</x:v>
      </x:c>
      <x:c r="V99" s="23"/>
      <x:c r="W99" s="23"/>
      <x:c r="X99" s="23"/>
    </x:row>
    <x:row r="100" ht="18.75" customHeight="1">
      <x:c r="A100" s="19"/>
      <x:c r="B100" s="29"/>
      <x:c r="C100" s="21"/>
      <x:c r="D100" s="55"/>
      <x:c r="E100" s="23"/>
      <x:c r="F100" s="24"/>
      <x:c r="G100" s="25"/>
      <x:c r="H100" s="25"/>
      <x:c r="I100" s="25"/>
      <x:c r="J100" s="25"/>
      <x:c r="K100" s="24"/>
      <x:c r="L100" s="24"/>
      <x:c r="M100" s="25"/>
      <x:c r="N100" s="25"/>
      <x:c r="O100" s="25"/>
      <x:c r="P100" s="25"/>
      <x:c r="Q100" s="25"/>
      <x:c r="R100" s="25"/>
      <x:c r="S100" s="25"/>
      <x:c r="T100" s="25"/>
      <x:c r="U100" s="26">
        <x:f t="shared" si="10"/>
        <x:v>0</x:v>
      </x:c>
      <x:c r="V100" s="23"/>
      <x:c r="W100" s="23"/>
      <x:c r="X100" s="23"/>
    </x:row>
    <x:row r="101" ht="18.75" customHeight="1">
      <x:c r="A101" s="19"/>
      <x:c r="B101" s="29"/>
      <x:c r="C101" s="21"/>
      <x:c r="D101" s="55"/>
      <x:c r="E101" s="56"/>
      <x:c r="F101" s="24"/>
      <x:c r="G101" s="25"/>
      <x:c r="H101" s="25"/>
      <x:c r="I101" s="25"/>
      <x:c r="J101" s="25"/>
      <x:c r="K101" s="25"/>
      <x:c r="L101" s="24"/>
      <x:c r="M101" s="25"/>
      <x:c r="N101" s="25"/>
      <x:c r="O101" s="25"/>
      <x:c r="P101" s="25"/>
      <x:c r="Q101" s="25"/>
      <x:c r="R101" s="25"/>
      <x:c r="S101" s="25"/>
      <x:c r="T101" s="25"/>
      <x:c r="U101" s="26">
        <x:f t="shared" si="10"/>
        <x:v>0</x:v>
      </x:c>
      <x:c r="V101" s="23"/>
      <x:c r="W101" s="23"/>
      <x:c r="X101" s="23"/>
    </x:row>
    <x:row r="102" ht="18.75" customHeight="1">
      <x:c r="A102" s="19"/>
      <x:c r="B102" s="29"/>
      <x:c r="C102" s="21"/>
      <x:c r="D102" s="35"/>
      <x:c r="E102" s="56"/>
      <x:c r="F102" s="24"/>
      <x:c r="G102" s="25"/>
      <x:c r="H102" s="25"/>
      <x:c r="I102" s="25"/>
      <x:c r="J102" s="25"/>
      <x:c r="K102" s="25"/>
      <x:c r="L102" s="24"/>
      <x:c r="M102" s="25"/>
      <x:c r="N102" s="25"/>
      <x:c r="O102" s="25"/>
      <x:c r="P102" s="25"/>
      <x:c r="Q102" s="25"/>
      <x:c r="R102" s="25"/>
      <x:c r="S102" s="25"/>
      <x:c r="T102" s="25"/>
      <x:c r="U102" s="26">
        <x:f t="shared" si="10"/>
        <x:v>0</x:v>
      </x:c>
      <x:c r="V102" s="23"/>
      <x:c r="W102" s="23"/>
      <x:c r="X102" s="23"/>
    </x:row>
    <x:row r="103" ht="18.75" customHeight="1">
      <x:c r="A103" s="19"/>
      <x:c r="B103" s="29"/>
      <x:c r="C103" s="21"/>
      <x:c r="D103" s="55"/>
      <x:c r="E103" s="56"/>
      <x:c r="F103" s="24"/>
      <x:c r="G103" s="25"/>
      <x:c r="H103" s="25"/>
      <x:c r="I103" s="25"/>
      <x:c r="J103" s="25"/>
      <x:c r="K103" s="25"/>
      <x:c r="L103" s="24"/>
      <x:c r="M103" s="25"/>
      <x:c r="N103" s="25"/>
      <x:c r="O103" s="25"/>
      <x:c r="P103" s="25"/>
      <x:c r="Q103" s="25"/>
      <x:c r="R103" s="25"/>
      <x:c r="S103" s="25"/>
      <x:c r="T103" s="25"/>
      <x:c r="U103" s="26">
        <x:f t="shared" si="10"/>
        <x:v>0</x:v>
      </x:c>
      <x:c r="V103" s="23"/>
      <x:c r="W103" s="23"/>
      <x:c r="X103" s="23"/>
    </x:row>
    <x:row r="104" ht="18.75" customHeight="1">
      <x:c r="A104" s="19"/>
      <x:c r="B104" s="29"/>
      <x:c r="C104" s="21"/>
      <x:c r="D104" s="55"/>
      <x:c r="E104" s="56"/>
      <x:c r="F104" s="24"/>
      <x:c r="G104" s="25"/>
      <x:c r="H104" s="25"/>
      <x:c r="I104" s="25"/>
      <x:c r="J104" s="25"/>
      <x:c r="K104" s="24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6">
        <x:f t="shared" si="10"/>
        <x:v>0</x:v>
      </x:c>
      <x:c r="V104" s="23"/>
      <x:c r="W104" s="23"/>
      <x:c r="X104" s="23"/>
    </x:row>
    <x:row r="105" ht="18.75" customHeight="1">
      <x:c r="A105" s="19"/>
      <x:c r="B105" s="29"/>
      <x:c r="C105" s="21"/>
      <x:c r="D105" s="55"/>
      <x:c r="E105" s="56"/>
      <x:c r="F105" s="24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6">
        <x:f t="shared" si="10"/>
        <x:v>0</x:v>
      </x:c>
      <x:c r="V105" s="23"/>
      <x:c r="W105" s="23"/>
      <x:c r="X105" s="23"/>
    </x:row>
    <x:row r="106" ht="18.75" customHeight="1">
      <x:c r="A106" s="19"/>
      <x:c r="B106" s="29"/>
      <x:c r="C106" s="21"/>
      <x:c r="D106" s="35"/>
      <x:c r="E106" s="56"/>
      <x:c r="F106" s="24"/>
      <x:c r="G106" s="25"/>
      <x:c r="H106" s="25"/>
      <x:c r="I106" s="25"/>
      <x:c r="J106" s="25"/>
      <x:c r="K106" s="24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6">
        <x:f t="shared" si="10"/>
        <x:v>0</x:v>
      </x:c>
      <x:c r="V106" s="23"/>
      <x:c r="W106" s="23"/>
      <x:c r="X106" s="23"/>
    </x:row>
    <x:row r="107" ht="18.75" customHeight="1">
      <x:c r="A107" s="19"/>
      <x:c r="B107" s="29"/>
      <x:c r="C107" s="21"/>
      <x:c r="D107" s="55"/>
      <x:c r="E107" s="56"/>
      <x:c r="F107" s="24"/>
      <x:c r="G107" s="25"/>
      <x:c r="H107" s="25"/>
      <x:c r="I107" s="25"/>
      <x:c r="J107" s="25"/>
      <x:c r="K107" s="24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6">
        <x:f t="shared" si="10"/>
        <x:v>0</x:v>
      </x:c>
      <x:c r="V107" s="23"/>
      <x:c r="W107" s="23"/>
      <x:c r="X107" s="23"/>
    </x:row>
    <x:row r="108" ht="18.75" customHeight="1">
      <x:c r="A108" s="19"/>
      <x:c r="B108" s="29"/>
      <x:c r="C108" s="21"/>
      <x:c r="D108" s="55"/>
      <x:c r="E108" s="56"/>
      <x:c r="F108" s="24"/>
      <x:c r="G108" s="24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6">
        <x:f t="shared" si="10"/>
        <x:v>0</x:v>
      </x:c>
      <x:c r="V108" s="23"/>
      <x:c r="W108" s="23"/>
      <x:c r="X108" s="23"/>
    </x:row>
    <x:row r="109" ht="18.75" customHeight="1">
      <x:c r="A109" s="19"/>
      <x:c r="B109" s="29"/>
      <x:c r="C109" s="21"/>
      <x:c r="D109" s="35"/>
      <x:c r="E109" s="56"/>
      <x:c r="F109" s="24"/>
      <x:c r="G109" s="25"/>
      <x:c r="H109" s="25"/>
      <x:c r="I109" s="25"/>
      <x:c r="J109" s="25"/>
      <x:c r="K109" s="25"/>
      <x:c r="L109" s="24"/>
      <x:c r="M109" s="25"/>
      <x:c r="N109" s="25"/>
      <x:c r="O109" s="25"/>
      <x:c r="P109" s="25"/>
      <x:c r="Q109" s="25"/>
      <x:c r="R109" s="25"/>
      <x:c r="S109" s="25"/>
      <x:c r="T109" s="25"/>
      <x:c r="U109" s="26">
        <x:f t="shared" si="10"/>
        <x:v>0</x:v>
      </x:c>
      <x:c r="V109" s="23"/>
      <x:c r="W109" s="23"/>
      <x:c r="X109" s="23"/>
    </x:row>
    <x:row r="110" ht="18.75" customHeight="1">
      <x:c r="A110" s="19"/>
      <x:c r="B110" s="29"/>
      <x:c r="C110" s="21"/>
      <x:c r="D110" s="55"/>
      <x:c r="E110" s="56"/>
      <x:c r="F110" s="24"/>
      <x:c r="G110" s="25"/>
      <x:c r="H110" s="25"/>
      <x:c r="I110" s="25"/>
      <x:c r="J110" s="25"/>
      <x:c r="K110" s="24"/>
      <x:c r="L110" s="24"/>
      <x:c r="M110" s="25"/>
      <x:c r="N110" s="25"/>
      <x:c r="O110" s="25"/>
      <x:c r="P110" s="25"/>
      <x:c r="Q110" s="25"/>
      <x:c r="R110" s="25"/>
      <x:c r="S110" s="25"/>
      <x:c r="T110" s="25"/>
      <x:c r="U110" s="26">
        <x:f t="shared" si="10"/>
        <x:v>0</x:v>
      </x:c>
      <x:c r="V110" s="23"/>
      <x:c r="W110" s="23"/>
      <x:c r="X110" s="23"/>
    </x:row>
    <x:row r="111" ht="18.75" customHeight="1">
      <x:c r="A111" s="19"/>
      <x:c r="B111" s="20"/>
      <x:c r="C111" s="21"/>
      <x:c r="D111" s="55"/>
      <x:c r="E111" s="56"/>
      <x:c r="F111" s="24"/>
      <x:c r="G111" s="24"/>
      <x:c r="H111" s="25"/>
      <x:c r="I111" s="25"/>
      <x:c r="J111" s="25"/>
      <x:c r="K111" s="24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6">
        <x:f t="shared" si="10"/>
        <x:v>0</x:v>
      </x:c>
      <x:c r="V111" s="23"/>
      <x:c r="W111" s="23"/>
      <x:c r="X111" s="23"/>
    </x:row>
    <x:row r="112" ht="18.75" customHeight="1">
      <x:c r="A112" s="19"/>
      <x:c r="B112" s="29"/>
      <x:c r="C112" s="21"/>
      <x:c r="D112" s="35"/>
      <x:c r="E112" s="56"/>
      <x:c r="F112" s="24"/>
      <x:c r="G112" s="25"/>
      <x:c r="H112" s="25"/>
      <x:c r="I112" s="25"/>
      <x:c r="J112" s="25"/>
      <x:c r="K112" s="25"/>
      <x:c r="L112" s="24"/>
      <x:c r="M112" s="25"/>
      <x:c r="N112" s="25"/>
      <x:c r="O112" s="25"/>
      <x:c r="P112" s="25"/>
      <x:c r="Q112" s="25"/>
      <x:c r="R112" s="25"/>
      <x:c r="S112" s="25"/>
      <x:c r="T112" s="25"/>
      <x:c r="U112" s="26">
        <x:f t="shared" si="10"/>
        <x:v>0</x:v>
      </x:c>
      <x:c r="V112" s="23"/>
      <x:c r="W112" s="23"/>
      <x:c r="X112" s="23"/>
    </x:row>
    <x:row r="113" ht="18.75" customHeight="1">
      <x:c r="A113" s="19"/>
      <x:c r="B113" s="29"/>
      <x:c r="C113" s="21"/>
      <x:c r="D113" s="55"/>
      <x:c r="E113" s="56"/>
      <x:c r="F113" s="24"/>
      <x:c r="G113" s="25"/>
      <x:c r="H113" s="25"/>
      <x:c r="I113" s="25"/>
      <x:c r="J113" s="25"/>
      <x:c r="K113" s="25"/>
      <x:c r="L113" s="24"/>
      <x:c r="M113" s="25"/>
      <x:c r="N113" s="25"/>
      <x:c r="O113" s="25"/>
      <x:c r="P113" s="25"/>
      <x:c r="Q113" s="25"/>
      <x:c r="R113" s="25"/>
      <x:c r="S113" s="25"/>
      <x:c r="T113" s="25"/>
      <x:c r="U113" s="26">
        <x:f t="shared" si="10"/>
        <x:v>0</x:v>
      </x:c>
      <x:c r="V113" s="23"/>
      <x:c r="W113" s="23"/>
      <x:c r="X113" s="23"/>
    </x:row>
    <x:row r="114" ht="18.75" customHeight="1">
      <x:c r="A114" s="19"/>
      <x:c r="B114" s="29"/>
      <x:c r="C114" s="21"/>
      <x:c r="D114" s="55"/>
      <x:c r="E114" s="56"/>
      <x:c r="F114" s="24"/>
      <x:c r="G114" s="25"/>
      <x:c r="H114" s="25"/>
      <x:c r="I114" s="25"/>
      <x:c r="J114" s="25"/>
      <x:c r="K114" s="25"/>
      <x:c r="L114" s="24"/>
      <x:c r="M114" s="25"/>
      <x:c r="N114" s="25"/>
      <x:c r="O114" s="25"/>
      <x:c r="P114" s="25"/>
      <x:c r="Q114" s="25"/>
      <x:c r="R114" s="25"/>
      <x:c r="S114" s="25"/>
      <x:c r="T114" s="25"/>
      <x:c r="U114" s="26">
        <x:f t="shared" si="10"/>
        <x:v>0</x:v>
      </x:c>
      <x:c r="V114" s="23"/>
      <x:c r="W114" s="23"/>
      <x:c r="X114" s="23"/>
    </x:row>
    <x:row r="115" ht="18.75" customHeight="1">
      <x:c r="A115" s="19"/>
      <x:c r="B115" s="29"/>
      <x:c r="C115" s="21"/>
      <x:c r="D115" s="55"/>
      <x:c r="E115" s="56"/>
      <x:c r="F115" s="24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6">
        <x:f t="shared" si="10"/>
        <x:v>0</x:v>
      </x:c>
      <x:c r="V115" s="23"/>
      <x:c r="W115" s="23"/>
      <x:c r="X115" s="23"/>
    </x:row>
    <x:row r="116" ht="18.75" customHeight="1">
      <x:c r="A116" s="19"/>
      <x:c r="B116" s="29"/>
      <x:c r="C116" s="21"/>
      <x:c r="D116" s="55"/>
      <x:c r="E116" s="56"/>
      <x:c r="F116" s="24"/>
      <x:c r="G116" s="25"/>
      <x:c r="H116" s="25"/>
      <x:c r="I116" s="25"/>
      <x:c r="J116" s="25"/>
      <x:c r="K116" s="24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6">
        <x:f t="shared" si="10"/>
        <x:v>0</x:v>
      </x:c>
      <x:c r="V116" s="23"/>
      <x:c r="W116" s="23"/>
      <x:c r="X116" s="23"/>
    </x:row>
    <x:row r="117" ht="18.75" customHeight="1">
      <x:c r="A117" s="19"/>
      <x:c r="B117" s="29"/>
      <x:c r="C117" s="21"/>
      <x:c r="D117" s="55"/>
      <x:c r="E117" s="56"/>
      <x:c r="F117" s="24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6">
        <x:f t="shared" si="10"/>
        <x:v>0</x:v>
      </x:c>
      <x:c r="V117" s="23"/>
      <x:c r="W117" s="23"/>
      <x:c r="X117" s="23"/>
    </x:row>
    <x:row r="118" ht="18.75" customHeight="1">
      <x:c r="A118" s="19"/>
      <x:c r="B118" s="29"/>
      <x:c r="C118" s="21"/>
      <x:c r="D118" s="35"/>
      <x:c r="E118" s="56"/>
      <x:c r="F118" s="24"/>
      <x:c r="G118" s="25"/>
      <x:c r="H118" s="25"/>
      <x:c r="I118" s="25"/>
      <x:c r="J118" s="25"/>
      <x:c r="K118" s="24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6">
        <x:f t="shared" si="10"/>
        <x:v>0</x:v>
      </x:c>
      <x:c r="V118" s="23"/>
      <x:c r="W118" s="23"/>
      <x:c r="X118" s="23"/>
    </x:row>
    <x:row r="119" ht="18.75" customHeight="1">
      <x:c r="A119" s="19"/>
      <x:c r="B119" s="29"/>
      <x:c r="C119" s="21"/>
      <x:c r="D119" s="55"/>
      <x:c r="E119" s="56"/>
      <x:c r="F119" s="24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6">
        <x:f t="shared" si="10"/>
        <x:v>0</x:v>
      </x:c>
      <x:c r="V119" s="23"/>
      <x:c r="W119" s="23"/>
      <x:c r="X119" s="23"/>
    </x:row>
    <x:row r="120" ht="18.75" customHeight="1">
      <x:c r="A120" s="19"/>
      <x:c r="B120" s="29"/>
      <x:c r="C120" s="21"/>
      <x:c r="D120" s="55"/>
      <x:c r="E120" s="56"/>
      <x:c r="F120" s="24"/>
      <x:c r="G120" s="25"/>
      <x:c r="H120" s="25"/>
      <x:c r="I120" s="25"/>
      <x:c r="J120" s="25"/>
      <x:c r="K120" s="25"/>
      <x:c r="L120" s="24"/>
      <x:c r="M120" s="25"/>
      <x:c r="N120" s="25"/>
      <x:c r="O120" s="25"/>
      <x:c r="P120" s="25"/>
      <x:c r="Q120" s="25"/>
      <x:c r="R120" s="25"/>
      <x:c r="S120" s="25"/>
      <x:c r="T120" s="25"/>
      <x:c r="U120" s="26">
        <x:f t="shared" si="10"/>
        <x:v>0</x:v>
      </x:c>
      <x:c r="V120" s="23"/>
      <x:c r="W120" s="23"/>
      <x:c r="X120" s="23"/>
    </x:row>
    <x:row r="121" ht="18.75" customHeight="1">
      <x:c r="A121" s="19"/>
      <x:c r="B121" s="29"/>
      <x:c r="C121" s="21"/>
      <x:c r="D121" s="55"/>
      <x:c r="E121" s="56"/>
      <x:c r="F121" s="24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6">
        <x:f t="shared" si="10"/>
        <x:v>0</x:v>
      </x:c>
      <x:c r="V121" s="23"/>
      <x:c r="W121" s="23"/>
      <x:c r="X121" s="23"/>
    </x:row>
    <x:row r="122" ht="18.75" customHeight="1">
      <x:c r="A122" s="19"/>
      <x:c r="B122" s="29"/>
      <x:c r="C122" s="21"/>
      <x:c r="D122" s="55"/>
      <x:c r="E122" s="56"/>
      <x:c r="F122" s="24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6">
        <x:f t="shared" si="10"/>
        <x:v>0</x:v>
      </x:c>
      <x:c r="V122" s="23"/>
      <x:c r="W122" s="23"/>
      <x:c r="X122" s="23"/>
    </x:row>
    <x:row r="123" ht="18.75" customHeight="1">
      <x:c r="A123" s="19"/>
      <x:c r="B123" s="29"/>
      <x:c r="C123" s="21"/>
      <x:c r="D123" s="55"/>
      <x:c r="E123" s="56"/>
      <x:c r="F123" s="24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6">
        <x:f t="shared" si="10"/>
        <x:v>0</x:v>
      </x:c>
      <x:c r="V123" s="23"/>
      <x:c r="W123" s="23"/>
      <x:c r="X123" s="23"/>
    </x:row>
    <x:row r="124" ht="18.75" customHeight="1">
      <x:c r="A124" s="19"/>
      <x:c r="B124" s="29"/>
      <x:c r="C124" s="21"/>
      <x:c r="D124" s="55"/>
      <x:c r="E124" s="56"/>
      <x:c r="F124" s="24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6">
        <x:f t="shared" si="10"/>
        <x:v>0</x:v>
      </x:c>
      <x:c r="V124" s="23"/>
      <x:c r="W124" s="23"/>
      <x:c r="X124" s="23"/>
    </x:row>
    <x:row r="125" ht="18.75" customHeight="1">
      <x:c r="A125" s="19"/>
      <x:c r="B125" s="29"/>
      <x:c r="C125" s="21"/>
      <x:c r="D125" s="55"/>
      <x:c r="E125" s="56"/>
      <x:c r="F125" s="24"/>
      <x:c r="G125" s="25"/>
      <x:c r="H125" s="25"/>
      <x:c r="I125" s="25"/>
      <x:c r="J125" s="25"/>
      <x:c r="K125" s="25"/>
      <x:c r="L125" s="24"/>
      <x:c r="M125" s="25"/>
      <x:c r="N125" s="25"/>
      <x:c r="O125" s="25"/>
      <x:c r="P125" s="25"/>
      <x:c r="Q125" s="25"/>
      <x:c r="R125" s="25"/>
      <x:c r="S125" s="25"/>
      <x:c r="T125" s="25"/>
      <x:c r="U125" s="26">
        <x:f t="shared" si="10"/>
        <x:v>0</x:v>
      </x:c>
      <x:c r="V125" s="23"/>
      <x:c r="W125" s="23"/>
      <x:c r="X125" s="23"/>
    </x:row>
    <x:row r="126" ht="18.75" customHeight="1">
      <x:c r="A126" s="19"/>
      <x:c r="B126" s="29"/>
      <x:c r="C126" s="21"/>
      <x:c r="D126" s="55"/>
      <x:c r="E126" s="56"/>
      <x:c r="F126" s="24"/>
      <x:c r="G126" s="24"/>
      <x:c r="H126" s="25"/>
      <x:c r="I126" s="25"/>
      <x:c r="J126" s="25"/>
      <x:c r="K126" s="24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6">
        <x:f t="shared" si="10"/>
        <x:v>0</x:v>
      </x:c>
      <x:c r="V126" s="23"/>
      <x:c r="W126" s="23"/>
      <x:c r="X126" s="23"/>
    </x:row>
    <x:row r="127" ht="18.75" customHeight="1">
      <x:c r="A127" s="19"/>
      <x:c r="B127" s="29"/>
      <x:c r="C127" s="21"/>
      <x:c r="D127" s="55"/>
      <x:c r="E127" s="56"/>
      <x:c r="F127" s="24"/>
      <x:c r="G127" s="25"/>
      <x:c r="H127" s="25"/>
      <x:c r="I127" s="25"/>
      <x:c r="J127" s="25"/>
      <x:c r="K127" s="24"/>
      <x:c r="L127" s="24"/>
      <x:c r="M127" s="25"/>
      <x:c r="N127" s="25"/>
      <x:c r="O127" s="25"/>
      <x:c r="P127" s="25"/>
      <x:c r="Q127" s="25"/>
      <x:c r="R127" s="25"/>
      <x:c r="S127" s="25"/>
      <x:c r="T127" s="25"/>
      <x:c r="U127" s="26">
        <x:f t="shared" si="10"/>
        <x:v>0</x:v>
      </x:c>
      <x:c r="V127" s="23"/>
      <x:c r="W127" s="23"/>
      <x:c r="X127" s="23"/>
    </x:row>
    <x:row r="128" ht="18.75" customHeight="1">
      <x:c r="A128" s="19"/>
      <x:c r="B128" s="29"/>
      <x:c r="C128" s="21"/>
      <x:c r="D128" s="55"/>
      <x:c r="E128" s="56"/>
      <x:c r="F128" s="24"/>
      <x:c r="G128" s="25"/>
      <x:c r="H128" s="25"/>
      <x:c r="I128" s="25"/>
      <x:c r="J128" s="25"/>
      <x:c r="K128" s="24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6">
        <x:f t="shared" si="10"/>
        <x:v>0</x:v>
      </x:c>
      <x:c r="V128" s="23"/>
      <x:c r="W128" s="23"/>
      <x:c r="X128" s="23"/>
    </x:row>
    <x:row r="129" ht="18.75" customHeight="1">
      <x:c r="A129" s="19"/>
      <x:c r="B129" s="29"/>
      <x:c r="C129" s="21"/>
      <x:c r="D129" s="55"/>
      <x:c r="E129" s="56"/>
      <x:c r="F129" s="24"/>
      <x:c r="G129" s="25"/>
      <x:c r="H129" s="25"/>
      <x:c r="I129" s="25"/>
      <x:c r="J129" s="25"/>
      <x:c r="K129" s="25"/>
      <x:c r="L129" s="24"/>
      <x:c r="M129" s="25"/>
      <x:c r="N129" s="25"/>
      <x:c r="O129" s="25"/>
      <x:c r="P129" s="25"/>
      <x:c r="Q129" s="25"/>
      <x:c r="R129" s="25"/>
      <x:c r="S129" s="25"/>
      <x:c r="T129" s="25"/>
      <x:c r="U129" s="26">
        <x:f t="shared" si="10"/>
        <x:v>0</x:v>
      </x:c>
      <x:c r="V129" s="23"/>
      <x:c r="W129" s="23"/>
      <x:c r="X129" s="23"/>
    </x:row>
    <x:row r="130" ht="18.75" customHeight="1">
      <x:c r="A130" s="19"/>
      <x:c r="B130" s="29"/>
      <x:c r="C130" s="21"/>
      <x:c r="D130" s="35"/>
      <x:c r="E130" s="56"/>
      <x:c r="F130" s="24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6">
        <x:f t="shared" si="10"/>
        <x:v>0</x:v>
      </x:c>
      <x:c r="V130" s="23"/>
      <x:c r="W130" s="23"/>
      <x:c r="X130" s="23"/>
    </x:row>
    <x:row r="131" ht="18.75" customHeight="1">
      <x:c r="A131" s="19"/>
      <x:c r="B131" s="29"/>
      <x:c r="C131" s="21"/>
      <x:c r="D131" s="55"/>
      <x:c r="E131" s="56"/>
      <x:c r="F131" s="24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6">
        <x:f t="shared" si="10"/>
        <x:v>0</x:v>
      </x:c>
      <x:c r="V131" s="23"/>
      <x:c r="W131" s="23"/>
      <x:c r="X131" s="23"/>
    </x:row>
    <x:row r="132" ht="18.75" customHeight="1">
      <x:c r="A132" s="19"/>
      <x:c r="B132" s="29"/>
      <x:c r="C132" s="21"/>
      <x:c r="D132" s="55"/>
      <x:c r="E132" s="56"/>
      <x:c r="F132" s="24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6">
        <x:f t="shared" si="10"/>
        <x:v>0</x:v>
      </x:c>
      <x:c r="V132" s="23"/>
      <x:c r="W132" s="23"/>
      <x:c r="X132" s="23"/>
    </x:row>
    <x:row r="133" ht="18.75" customHeight="1">
      <x:c r="A133" s="19"/>
      <x:c r="B133" s="29"/>
      <x:c r="C133" s="21"/>
      <x:c r="D133" s="55"/>
      <x:c r="E133" s="56"/>
      <x:c r="F133" s="24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6">
        <x:f t="shared" si="10"/>
        <x:v>0</x:v>
      </x:c>
      <x:c r="V133" s="23"/>
      <x:c r="W133" s="23"/>
      <x:c r="X133" s="23"/>
    </x:row>
    <x:row r="134" ht="18.75" customHeight="1">
      <x:c r="A134" s="19"/>
      <x:c r="B134" s="29"/>
      <x:c r="C134" s="21"/>
      <x:c r="D134" s="55"/>
      <x:c r="E134" s="56"/>
      <x:c r="F134" s="24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6">
        <x:f t="shared" si="10"/>
        <x:v>0</x:v>
      </x:c>
      <x:c r="V134" s="23"/>
      <x:c r="W134" s="23"/>
      <x:c r="X134" s="23"/>
    </x:row>
    <x:row r="135" ht="18.75" customHeight="1">
      <x:c r="A135" s="19"/>
      <x:c r="B135" s="29"/>
      <x:c r="C135" s="21"/>
      <x:c r="D135" s="55"/>
      <x:c r="E135" s="56"/>
      <x:c r="F135" s="24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6">
        <x:f t="shared" si="10"/>
        <x:v>0</x:v>
      </x:c>
      <x:c r="V135" s="23"/>
      <x:c r="W135" s="23"/>
      <x:c r="X135" s="23"/>
    </x:row>
    <x:row r="136" ht="18.75" customHeight="1">
      <x:c r="A136" s="19"/>
      <x:c r="B136" s="29"/>
      <x:c r="C136" s="21"/>
      <x:c r="D136" s="55"/>
      <x:c r="E136" s="56"/>
      <x:c r="F136" s="24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6">
        <x:f t="shared" si="10"/>
        <x:v>0</x:v>
      </x:c>
      <x:c r="V136" s="23"/>
      <x:c r="W136" s="23"/>
      <x:c r="X136" s="23"/>
    </x:row>
    <x:row r="137" ht="18.75" customHeight="1">
      <x:c r="A137" s="19"/>
      <x:c r="B137" s="29"/>
      <x:c r="C137" s="21"/>
      <x:c r="D137" s="55"/>
      <x:c r="E137" s="56"/>
      <x:c r="F137" s="24"/>
      <x:c r="G137" s="25"/>
      <x:c r="H137" s="25"/>
      <x:c r="I137" s="25"/>
      <x:c r="J137" s="25"/>
      <x:c r="K137" s="25"/>
      <x:c r="L137" s="24"/>
      <x:c r="M137" s="25"/>
      <x:c r="N137" s="25"/>
      <x:c r="O137" s="25"/>
      <x:c r="P137" s="25"/>
      <x:c r="Q137" s="25"/>
      <x:c r="R137" s="25"/>
      <x:c r="S137" s="25"/>
      <x:c r="T137" s="25"/>
      <x:c r="U137" s="26">
        <x:f t="shared" si="10"/>
        <x:v>0</x:v>
      </x:c>
      <x:c r="V137" s="23"/>
      <x:c r="W137" s="23"/>
      <x:c r="X137" s="23"/>
    </x:row>
    <x:row r="138" ht="18.75" customHeight="1">
      <x:c r="A138" s="19"/>
      <x:c r="B138" s="29"/>
      <x:c r="C138" s="21"/>
      <x:c r="D138" s="55"/>
      <x:c r="E138" s="56"/>
      <x:c r="F138" s="24"/>
      <x:c r="G138" s="25"/>
      <x:c r="H138" s="25"/>
      <x:c r="I138" s="25"/>
      <x:c r="J138" s="25"/>
      <x:c r="K138" s="24"/>
      <x:c r="L138" s="24"/>
      <x:c r="M138" s="25"/>
      <x:c r="N138" s="25"/>
      <x:c r="O138" s="25"/>
      <x:c r="P138" s="25"/>
      <x:c r="Q138" s="25"/>
      <x:c r="R138" s="25"/>
      <x:c r="S138" s="25"/>
      <x:c r="T138" s="25"/>
      <x:c r="U138" s="26">
        <x:f t="shared" si="10"/>
        <x:v>0</x:v>
      </x:c>
      <x:c r="V138" s="23"/>
      <x:c r="W138" s="23"/>
      <x:c r="X138" s="23"/>
    </x:row>
    <x:row r="139" ht="18.75" customHeight="1">
      <x:c r="A139" s="19"/>
      <x:c r="B139" s="29"/>
      <x:c r="C139" s="21"/>
      <x:c r="D139" s="55"/>
      <x:c r="E139" s="56"/>
      <x:c r="F139" s="24"/>
      <x:c r="G139" s="24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6">
        <x:f t="shared" si="10"/>
        <x:v>0</x:v>
      </x:c>
      <x:c r="V139" s="23"/>
      <x:c r="W139" s="23"/>
      <x:c r="X139" s="23"/>
    </x:row>
    <x:row r="140" ht="18.75" customHeight="1">
      <x:c r="A140" s="19"/>
      <x:c r="B140" s="29"/>
      <x:c r="C140" s="21"/>
      <x:c r="D140" s="55"/>
      <x:c r="E140" s="56"/>
      <x:c r="F140" s="24"/>
      <x:c r="G140" s="25"/>
      <x:c r="H140" s="25"/>
      <x:c r="I140" s="25"/>
      <x:c r="J140" s="25"/>
      <x:c r="K140" s="25"/>
      <x:c r="L140" s="24"/>
      <x:c r="M140" s="25"/>
      <x:c r="N140" s="25"/>
      <x:c r="O140" s="25"/>
      <x:c r="P140" s="25"/>
      <x:c r="Q140" s="25"/>
      <x:c r="R140" s="25"/>
      <x:c r="S140" s="25"/>
      <x:c r="T140" s="25"/>
      <x:c r="U140" s="26">
        <x:f t="shared" si="10"/>
        <x:v>0</x:v>
      </x:c>
      <x:c r="V140" s="23"/>
      <x:c r="W140" s="23"/>
      <x:c r="X140" s="23"/>
    </x:row>
    <x:row r="141" ht="18.75" customHeight="1">
      <x:c r="A141" s="19"/>
      <x:c r="B141" s="29"/>
      <x:c r="C141" s="21"/>
      <x:c r="D141" s="55"/>
      <x:c r="E141" s="56"/>
      <x:c r="F141" s="24"/>
      <x:c r="G141" s="25"/>
      <x:c r="H141" s="25"/>
      <x:c r="I141" s="25"/>
      <x:c r="J141" s="25"/>
      <x:c r="K141" s="24"/>
      <x:c r="L141" s="24"/>
      <x:c r="M141" s="25"/>
      <x:c r="N141" s="25"/>
      <x:c r="O141" s="25"/>
      <x:c r="P141" s="25"/>
      <x:c r="Q141" s="25"/>
      <x:c r="R141" s="25"/>
      <x:c r="S141" s="25"/>
      <x:c r="T141" s="25"/>
      <x:c r="U141" s="26">
        <x:f t="shared" si="10"/>
        <x:v>0</x:v>
      </x:c>
      <x:c r="V141" s="23"/>
      <x:c r="W141" s="23"/>
      <x:c r="X141" s="23"/>
    </x:row>
    <x:row r="142" ht="18.75" customHeight="1">
      <x:c r="A142" s="19"/>
      <x:c r="B142" s="29"/>
      <x:c r="C142" s="21"/>
      <x:c r="D142" s="55"/>
      <x:c r="E142" s="56"/>
      <x:c r="F142" s="24"/>
      <x:c r="G142" s="25"/>
      <x:c r="H142" s="25"/>
      <x:c r="I142" s="25"/>
      <x:c r="J142" s="25"/>
      <x:c r="K142" s="25"/>
      <x:c r="L142" s="24"/>
      <x:c r="M142" s="25"/>
      <x:c r="N142" s="25"/>
      <x:c r="O142" s="25"/>
      <x:c r="P142" s="25"/>
      <x:c r="Q142" s="25"/>
      <x:c r="R142" s="25"/>
      <x:c r="S142" s="25"/>
      <x:c r="T142" s="25"/>
      <x:c r="U142" s="26">
        <x:f t="shared" si="10"/>
        <x:v>0</x:v>
      </x:c>
      <x:c r="V142" s="23"/>
      <x:c r="W142" s="23"/>
      <x:c r="X142" s="23"/>
    </x:row>
    <x:row r="143" ht="18.75" customHeight="1">
      <x:c r="A143" s="19"/>
      <x:c r="B143" s="29"/>
      <x:c r="C143" s="21"/>
      <x:c r="D143" s="55"/>
      <x:c r="E143" s="56"/>
      <x:c r="F143" s="24"/>
      <x:c r="G143" s="25"/>
      <x:c r="H143" s="25"/>
      <x:c r="I143" s="25"/>
      <x:c r="J143" s="25"/>
      <x:c r="K143" s="25"/>
      <x:c r="L143" s="24"/>
      <x:c r="M143" s="25"/>
      <x:c r="N143" s="25"/>
      <x:c r="O143" s="25"/>
      <x:c r="P143" s="25"/>
      <x:c r="Q143" s="25"/>
      <x:c r="R143" s="25"/>
      <x:c r="S143" s="25"/>
      <x:c r="T143" s="25"/>
      <x:c r="U143" s="26">
        <x:f t="shared" si="10"/>
        <x:v>0</x:v>
      </x:c>
      <x:c r="V143" s="23"/>
      <x:c r="W143" s="23"/>
      <x:c r="X143" s="23"/>
    </x:row>
    <x:row r="144" ht="18.75" customHeight="1">
      <x:c r="A144" s="19"/>
      <x:c r="B144" s="29"/>
      <x:c r="C144" s="21"/>
      <x:c r="D144" s="55"/>
      <x:c r="E144" s="56"/>
      <x:c r="F144" s="24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6">
        <x:f t="shared" si="10"/>
        <x:v>0</x:v>
      </x:c>
      <x:c r="V144" s="23"/>
      <x:c r="W144" s="23"/>
      <x:c r="X144" s="23"/>
    </x:row>
    <x:row r="145" ht="18.75" customHeight="1">
      <x:c r="A145" s="19"/>
      <x:c r="B145" s="29"/>
      <x:c r="C145" s="21"/>
      <x:c r="D145" s="55"/>
      <x:c r="E145" s="56"/>
      <x:c r="F145" s="24"/>
      <x:c r="G145" s="25"/>
      <x:c r="H145" s="25"/>
      <x:c r="I145" s="25"/>
      <x:c r="J145" s="25"/>
      <x:c r="K145" s="25"/>
      <x:c r="L145" s="24"/>
      <x:c r="M145" s="25"/>
      <x:c r="N145" s="25"/>
      <x:c r="O145" s="25"/>
      <x:c r="P145" s="25"/>
      <x:c r="Q145" s="25"/>
      <x:c r="R145" s="25"/>
      <x:c r="S145" s="25"/>
      <x:c r="T145" s="25"/>
      <x:c r="U145" s="26">
        <x:f t="shared" si="10"/>
        <x:v>0</x:v>
      </x:c>
      <x:c r="V145" s="23"/>
      <x:c r="W145" s="23"/>
      <x:c r="X145" s="23"/>
    </x:row>
    <x:row r="146" ht="18.75" customHeight="1">
      <x:c r="A146" s="19"/>
      <x:c r="B146" s="29"/>
      <x:c r="C146" s="21"/>
      <x:c r="D146" s="55"/>
      <x:c r="E146" s="56"/>
      <x:c r="F146" s="24"/>
      <x:c r="G146" s="25"/>
      <x:c r="H146" s="25"/>
      <x:c r="I146" s="25"/>
      <x:c r="J146" s="25"/>
      <x:c r="K146" s="25"/>
      <x:c r="L146" s="24"/>
      <x:c r="M146" s="25"/>
      <x:c r="N146" s="25"/>
      <x:c r="O146" s="25"/>
      <x:c r="P146" s="25"/>
      <x:c r="Q146" s="25"/>
      <x:c r="R146" s="25"/>
      <x:c r="S146" s="25"/>
      <x:c r="T146" s="25"/>
      <x:c r="U146" s="26">
        <x:f t="shared" si="10"/>
        <x:v>0</x:v>
      </x:c>
      <x:c r="V146" s="23"/>
      <x:c r="W146" s="23"/>
      <x:c r="X146" s="23"/>
    </x:row>
    <x:row r="147" ht="18.75" customHeight="1">
      <x:c r="A147" s="19"/>
      <x:c r="B147" s="29"/>
      <x:c r="C147" s="21"/>
      <x:c r="D147" s="55"/>
      <x:c r="E147" s="56"/>
      <x:c r="F147" s="24"/>
      <x:c r="G147" s="25"/>
      <x:c r="H147" s="24"/>
      <x:c r="I147" s="24"/>
      <x:c r="J147" s="24"/>
      <x:c r="K147" s="25"/>
      <x:c r="L147" s="24"/>
      <x:c r="M147" s="25"/>
      <x:c r="N147" s="25"/>
      <x:c r="O147" s="25"/>
      <x:c r="P147" s="25"/>
      <x:c r="Q147" s="25"/>
      <x:c r="R147" s="25"/>
      <x:c r="S147" s="25"/>
      <x:c r="T147" s="25"/>
      <x:c r="U147" s="26">
        <x:f t="shared" si="10"/>
        <x:v>0</x:v>
      </x:c>
      <x:c r="V147" s="23"/>
      <x:c r="W147" s="23"/>
      <x:c r="X147" s="23"/>
    </x:row>
    <x:row r="148" ht="18.75" customHeight="1">
      <x:c r="A148" s="19"/>
      <x:c r="B148" s="29"/>
      <x:c r="C148" s="21"/>
      <x:c r="D148" s="55"/>
      <x:c r="E148" s="56"/>
      <x:c r="F148" s="24"/>
      <x:c r="G148" s="25"/>
      <x:c r="H148" s="25"/>
      <x:c r="I148" s="25"/>
      <x:c r="J148" s="25"/>
      <x:c r="K148" s="24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6">
        <x:f t="shared" si="10"/>
        <x:v>0</x:v>
      </x:c>
      <x:c r="V148" s="23"/>
      <x:c r="W148" s="23"/>
      <x:c r="X148" s="23"/>
    </x:row>
    <x:row r="149" ht="18.75" customHeight="1">
      <x:c r="A149" s="19"/>
      <x:c r="B149" s="29"/>
      <x:c r="C149" s="21"/>
      <x:c r="D149" s="55"/>
      <x:c r="E149" s="56"/>
      <x:c r="F149" s="24"/>
      <x:c r="G149" s="25"/>
      <x:c r="H149" s="25"/>
      <x:c r="I149" s="25"/>
      <x:c r="J149" s="25"/>
      <x:c r="K149" s="25"/>
      <x:c r="L149" s="24"/>
      <x:c r="M149" s="25"/>
      <x:c r="N149" s="25"/>
      <x:c r="O149" s="25"/>
      <x:c r="P149" s="25"/>
      <x:c r="Q149" s="25"/>
      <x:c r="R149" s="25"/>
      <x:c r="S149" s="25"/>
      <x:c r="T149" s="25"/>
      <x:c r="U149" s="26">
        <x:f t="shared" si="10"/>
        <x:v>0</x:v>
      </x:c>
      <x:c r="V149" s="23"/>
      <x:c r="W149" s="23"/>
      <x:c r="X149" s="23"/>
    </x:row>
    <x:row r="150" ht="18.75" customHeight="1">
      <x:c r="A150" s="19"/>
      <x:c r="B150" s="29"/>
      <x:c r="C150" s="21"/>
      <x:c r="D150" s="55"/>
      <x:c r="E150" s="56"/>
      <x:c r="F150" s="24"/>
      <x:c r="G150" s="25"/>
      <x:c r="H150" s="25"/>
      <x:c r="I150" s="25"/>
      <x:c r="J150" s="25"/>
      <x:c r="K150" s="24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6">
        <x:f t="shared" si="10"/>
        <x:v>0</x:v>
      </x:c>
      <x:c r="V150" s="23"/>
      <x:c r="W150" s="23"/>
      <x:c r="X150" s="23"/>
    </x:row>
    <x:row r="151" ht="18.75" customHeight="1">
      <x:c r="A151" s="19"/>
      <x:c r="B151" s="29"/>
      <x:c r="C151" s="21"/>
      <x:c r="D151" s="55"/>
      <x:c r="E151" s="56"/>
      <x:c r="F151" s="24"/>
      <x:c r="G151" s="25"/>
      <x:c r="H151" s="25"/>
      <x:c r="I151" s="25"/>
      <x:c r="J151" s="25"/>
      <x:c r="K151" s="24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6">
        <x:f t="shared" si="10"/>
        <x:v>0</x:v>
      </x:c>
      <x:c r="V151" s="23"/>
      <x:c r="W151" s="23"/>
      <x:c r="X151" s="23"/>
    </x:row>
    <x:row r="152" ht="18.75" customHeight="1">
      <x:c r="A152" s="19"/>
      <x:c r="B152" s="29"/>
      <x:c r="C152" s="21"/>
      <x:c r="D152" s="55"/>
      <x:c r="E152" s="56"/>
      <x:c r="F152" s="24"/>
      <x:c r="G152" s="25"/>
      <x:c r="H152" s="25"/>
      <x:c r="I152" s="25"/>
      <x:c r="J152" s="25"/>
      <x:c r="K152" s="24"/>
      <x:c r="L152" s="24"/>
      <x:c r="M152" s="25"/>
      <x:c r="N152" s="25"/>
      <x:c r="O152" s="25"/>
      <x:c r="P152" s="25"/>
      <x:c r="Q152" s="25"/>
      <x:c r="R152" s="25"/>
      <x:c r="S152" s="25"/>
      <x:c r="T152" s="25"/>
      <x:c r="U152" s="26">
        <x:f t="shared" si="10"/>
        <x:v>0</x:v>
      </x:c>
      <x:c r="V152" s="23"/>
      <x:c r="W152" s="23"/>
      <x:c r="X152" s="23"/>
    </x:row>
    <x:row r="153" ht="18.75" customHeight="1">
      <x:c r="A153" s="19"/>
      <x:c r="B153" s="29"/>
      <x:c r="C153" s="21"/>
      <x:c r="D153" s="55"/>
      <x:c r="E153" s="56"/>
      <x:c r="F153" s="24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6">
        <x:f t="shared" si="10"/>
        <x:v>0</x:v>
      </x:c>
      <x:c r="V153" s="23"/>
      <x:c r="W153" s="23"/>
      <x:c r="X153" s="23"/>
    </x:row>
    <x:row r="154" ht="18.75" customHeight="1">
      <x:c r="A154" s="19"/>
      <x:c r="B154" s="29"/>
      <x:c r="C154" s="21"/>
      <x:c r="D154" s="55"/>
      <x:c r="E154" s="56"/>
      <x:c r="F154" s="24"/>
      <x:c r="G154" s="25"/>
      <x:c r="H154" s="25"/>
      <x:c r="I154" s="25"/>
      <x:c r="J154" s="25"/>
      <x:c r="K154" s="24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6">
        <x:f t="shared" si="10"/>
        <x:v>0</x:v>
      </x:c>
      <x:c r="V154" s="23"/>
      <x:c r="W154" s="23"/>
      <x:c r="X154" s="23"/>
    </x:row>
    <x:row r="155" ht="18.75" customHeight="1">
      <x:c r="A155" s="19"/>
      <x:c r="B155" s="29"/>
      <x:c r="C155" s="21"/>
      <x:c r="D155" s="55"/>
      <x:c r="E155" s="56"/>
      <x:c r="F155" s="24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6">
        <x:f t="shared" si="10"/>
        <x:v>0</x:v>
      </x:c>
      <x:c r="V155" s="23"/>
      <x:c r="W155" s="23"/>
      <x:c r="X155" s="23"/>
    </x:row>
    <x:row r="156" ht="18.75" customHeight="1">
      <x:c r="A156" s="19"/>
      <x:c r="B156" s="29"/>
      <x:c r="C156" s="21"/>
      <x:c r="D156" s="55"/>
      <x:c r="E156" s="56"/>
      <x:c r="F156" s="24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6">
        <x:f t="shared" si="10"/>
        <x:v>0</x:v>
      </x:c>
      <x:c r="V156" s="23"/>
      <x:c r="W156" s="23"/>
      <x:c r="X156" s="23"/>
    </x:row>
    <x:row r="157" ht="18.75" customHeight="1">
      <x:c r="A157" s="19"/>
      <x:c r="B157" s="29"/>
      <x:c r="C157" s="21"/>
      <x:c r="D157" s="55"/>
      <x:c r="E157" s="56"/>
      <x:c r="F157" s="24"/>
      <x:c r="G157" s="25"/>
      <x:c r="H157" s="25"/>
      <x:c r="I157" s="25"/>
      <x:c r="J157" s="25"/>
      <x:c r="K157" s="24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6">
        <x:f t="shared" si="10"/>
        <x:v>0</x:v>
      </x:c>
      <x:c r="V157" s="23"/>
      <x:c r="W157" s="23"/>
      <x:c r="X157" s="23"/>
    </x:row>
    <x:row r="158" ht="18.75" customHeight="1">
      <x:c r="A158" s="19"/>
      <x:c r="B158" s="29"/>
      <x:c r="C158" s="21"/>
      <x:c r="D158" s="55"/>
      <x:c r="E158" s="56"/>
      <x:c r="F158" s="24"/>
      <x:c r="G158" s="25"/>
      <x:c r="H158" s="24"/>
      <x:c r="I158" s="24"/>
      <x:c r="J158" s="24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6">
        <x:f t="shared" si="10"/>
        <x:v>0</x:v>
      </x:c>
      <x:c r="V158" s="23"/>
      <x:c r="W158" s="23"/>
      <x:c r="X158" s="23"/>
    </x:row>
    <x:row r="159" ht="18.75" customHeight="1">
      <x:c r="A159" s="19"/>
      <x:c r="B159" s="29"/>
      <x:c r="C159" s="21"/>
      <x:c r="D159" s="55"/>
      <x:c r="E159" s="56"/>
      <x:c r="F159" s="24"/>
      <x:c r="G159" s="25"/>
      <x:c r="H159" s="25"/>
      <x:c r="I159" s="25"/>
      <x:c r="J159" s="25"/>
      <x:c r="K159" s="25"/>
      <x:c r="L159" s="24"/>
      <x:c r="M159" s="25"/>
      <x:c r="N159" s="25"/>
      <x:c r="O159" s="25"/>
      <x:c r="P159" s="25"/>
      <x:c r="Q159" s="25"/>
      <x:c r="R159" s="25"/>
      <x:c r="S159" s="25"/>
      <x:c r="T159" s="25"/>
      <x:c r="U159" s="26">
        <x:f t="shared" si="10"/>
        <x:v>0</x:v>
      </x:c>
      <x:c r="V159" s="23"/>
      <x:c r="W159" s="23"/>
      <x:c r="X159" s="23"/>
    </x:row>
    <x:row r="160" ht="18.75" customHeight="1">
      <x:c r="A160" s="19"/>
      <x:c r="B160" s="29"/>
      <x:c r="C160" s="21"/>
      <x:c r="D160" s="55"/>
      <x:c r="E160" s="56"/>
      <x:c r="F160" s="24"/>
      <x:c r="G160" s="25"/>
      <x:c r="H160" s="25"/>
      <x:c r="I160" s="25"/>
      <x:c r="J160" s="25"/>
      <x:c r="K160" s="25"/>
      <x:c r="L160" s="24"/>
      <x:c r="M160" s="25"/>
      <x:c r="N160" s="25"/>
      <x:c r="O160" s="25"/>
      <x:c r="P160" s="25"/>
      <x:c r="Q160" s="25"/>
      <x:c r="R160" s="25"/>
      <x:c r="S160" s="25"/>
      <x:c r="T160" s="25"/>
      <x:c r="U160" s="26">
        <x:f t="shared" si="10"/>
        <x:v>0</x:v>
      </x:c>
      <x:c r="V160" s="23"/>
      <x:c r="W160" s="23"/>
      <x:c r="X160" s="23"/>
    </x:row>
    <x:row r="161" ht="18.75" customHeight="1">
      <x:c r="A161" s="19"/>
      <x:c r="B161" s="29"/>
      <x:c r="C161" s="21"/>
      <x:c r="D161" s="55"/>
      <x:c r="E161" s="56"/>
      <x:c r="F161" s="24"/>
      <x:c r="G161" s="25"/>
      <x:c r="H161" s="25"/>
      <x:c r="I161" s="25"/>
      <x:c r="J161" s="25"/>
      <x:c r="K161" s="25"/>
      <x:c r="L161" s="74"/>
      <x:c r="M161" s="74"/>
      <x:c r="N161" s="25"/>
      <x:c r="O161" s="25"/>
      <x:c r="P161" s="25"/>
      <x:c r="Q161" s="25"/>
      <x:c r="R161" s="25"/>
      <x:c r="S161" s="25"/>
      <x:c r="T161" s="25"/>
      <x:c r="U161" s="26">
        <x:f t="shared" si="10"/>
        <x:v>0</x:v>
      </x:c>
      <x:c r="V161" s="23"/>
      <x:c r="W161" s="23"/>
      <x:c r="X161" s="23"/>
    </x:row>
    <x:row r="162" ht="18.75" customHeight="1">
      <x:c r="A162" s="19"/>
      <x:c r="B162" s="29"/>
      <x:c r="C162" s="21"/>
      <x:c r="D162" s="55"/>
      <x:c r="E162" s="56"/>
      <x:c r="F162" s="24"/>
      <x:c r="G162" s="25"/>
      <x:c r="H162" s="25"/>
      <x:c r="I162" s="25"/>
      <x:c r="J162" s="25"/>
      <x:c r="K162" s="24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6">
        <x:f t="shared" si="10"/>
        <x:v>0</x:v>
      </x:c>
      <x:c r="V162" s="23"/>
      <x:c r="W162" s="23"/>
      <x:c r="X162" s="23"/>
    </x:row>
    <x:row r="163" ht="18.75" customHeight="1">
      <x:c r="A163" s="19"/>
      <x:c r="B163" s="29"/>
      <x:c r="C163" s="21"/>
      <x:c r="D163" s="55"/>
      <x:c r="E163" s="56"/>
      <x:c r="F163" s="24"/>
      <x:c r="G163" s="25"/>
      <x:c r="H163" s="25"/>
      <x:c r="I163" s="25"/>
      <x:c r="J163" s="25"/>
      <x:c r="K163" s="25"/>
      <x:c r="L163" s="24"/>
      <x:c r="M163" s="25"/>
      <x:c r="N163" s="25"/>
      <x:c r="O163" s="25"/>
      <x:c r="P163" s="25"/>
      <x:c r="Q163" s="25"/>
      <x:c r="R163" s="25"/>
      <x:c r="S163" s="25"/>
      <x:c r="T163" s="25"/>
      <x:c r="U163" s="26">
        <x:f t="shared" si="10"/>
        <x:v>0</x:v>
      </x:c>
      <x:c r="V163" s="23"/>
      <x:c r="W163" s="23"/>
      <x:c r="X163" s="23"/>
    </x:row>
    <x:row r="164" ht="18.75" customHeight="1">
      <x:c r="A164" s="19"/>
      <x:c r="B164" s="29"/>
      <x:c r="C164" s="21"/>
      <x:c r="D164" s="55"/>
      <x:c r="E164" s="56"/>
      <x:c r="F164" s="24"/>
      <x:c r="G164" s="25"/>
      <x:c r="H164" s="25"/>
      <x:c r="I164" s="25"/>
      <x:c r="J164" s="25"/>
      <x:c r="K164" s="25"/>
      <x:c r="L164" s="24"/>
      <x:c r="M164" s="25"/>
      <x:c r="N164" s="25"/>
      <x:c r="O164" s="25"/>
      <x:c r="P164" s="25"/>
      <x:c r="Q164" s="25"/>
      <x:c r="R164" s="25"/>
      <x:c r="S164" s="25"/>
      <x:c r="T164" s="25"/>
      <x:c r="U164" s="26">
        <x:f t="shared" si="10"/>
        <x:v>0</x:v>
      </x:c>
      <x:c r="V164" s="23"/>
      <x:c r="W164" s="23"/>
      <x:c r="X164" s="23"/>
    </x:row>
    <x:row r="165" ht="18.75" customHeight="1">
      <x:c r="A165" s="19"/>
      <x:c r="B165" s="29"/>
      <x:c r="C165" s="21"/>
      <x:c r="D165" s="55"/>
      <x:c r="E165" s="56"/>
      <x:c r="F165" s="24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6">
        <x:f t="shared" si="10"/>
        <x:v>0</x:v>
      </x:c>
      <x:c r="V165" s="23"/>
      <x:c r="W165" s="23"/>
      <x:c r="X165" s="23"/>
    </x:row>
    <x:row r="166" ht="18.75" customHeight="1">
      <x:c r="A166" s="19"/>
      <x:c r="B166" s="29"/>
      <x:c r="C166" s="21"/>
      <x:c r="D166" s="55"/>
      <x:c r="E166" s="56"/>
      <x:c r="F166" s="24"/>
      <x:c r="G166" s="25"/>
      <x:c r="H166" s="25"/>
      <x:c r="I166" s="25"/>
      <x:c r="J166" s="25"/>
      <x:c r="K166" s="25"/>
      <x:c r="L166" s="24"/>
      <x:c r="M166" s="25"/>
      <x:c r="N166" s="25"/>
      <x:c r="O166" s="25"/>
      <x:c r="P166" s="25"/>
      <x:c r="Q166" s="25"/>
      <x:c r="R166" s="25"/>
      <x:c r="S166" s="25"/>
      <x:c r="T166" s="25"/>
      <x:c r="U166" s="26">
        <x:f t="shared" si="10"/>
        <x:v>0</x:v>
      </x:c>
      <x:c r="V166" s="23"/>
      <x:c r="W166" s="23"/>
      <x:c r="X166" s="23"/>
    </x:row>
    <x:row r="167" ht="18.75" customHeight="1">
      <x:c r="A167" s="19"/>
      <x:c r="B167" s="29"/>
      <x:c r="C167" s="21"/>
      <x:c r="D167" s="55"/>
      <x:c r="E167" s="56"/>
      <x:c r="F167" s="24"/>
      <x:c r="G167" s="25"/>
      <x:c r="H167" s="25"/>
      <x:c r="I167" s="25"/>
      <x:c r="J167" s="25"/>
      <x:c r="K167" s="25"/>
      <x:c r="L167" s="24"/>
      <x:c r="M167" s="25"/>
      <x:c r="N167" s="25"/>
      <x:c r="O167" s="25"/>
      <x:c r="P167" s="25"/>
      <x:c r="Q167" s="25"/>
      <x:c r="R167" s="25"/>
      <x:c r="S167" s="25"/>
      <x:c r="T167" s="25"/>
      <x:c r="U167" s="26">
        <x:f t="shared" si="10"/>
        <x:v>0</x:v>
      </x:c>
      <x:c r="V167" s="23"/>
      <x:c r="W167" s="23"/>
      <x:c r="X167" s="23"/>
    </x:row>
    <x:row r="168" ht="18.75" customHeight="1">
      <x:c r="A168" s="19"/>
      <x:c r="B168" s="29"/>
      <x:c r="C168" s="21"/>
      <x:c r="D168" s="55"/>
      <x:c r="E168" s="56"/>
      <x:c r="F168" s="24"/>
      <x:c r="G168" s="25"/>
      <x:c r="H168" s="25"/>
      <x:c r="I168" s="25"/>
      <x:c r="J168" s="25"/>
      <x:c r="K168" s="24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6">
        <x:f t="shared" si="10"/>
        <x:v>0</x:v>
      </x:c>
      <x:c r="V168" s="23"/>
      <x:c r="W168" s="23"/>
      <x:c r="X168" s="23"/>
    </x:row>
    <x:row r="169" ht="18.75" customHeight="1">
      <x:c r="A169" s="19"/>
      <x:c r="B169" s="29"/>
      <x:c r="C169" s="21"/>
      <x:c r="D169" s="55"/>
      <x:c r="E169" s="56"/>
      <x:c r="F169" s="24"/>
      <x:c r="G169" s="25"/>
      <x:c r="H169" s="24"/>
      <x:c r="I169" s="24"/>
      <x:c r="J169" s="24"/>
      <x:c r="K169" s="25"/>
      <x:c r="L169" s="24"/>
      <x:c r="M169" s="25"/>
      <x:c r="N169" s="25"/>
      <x:c r="O169" s="25"/>
      <x:c r="P169" s="25"/>
      <x:c r="Q169" s="25"/>
      <x:c r="R169" s="25"/>
      <x:c r="S169" s="25"/>
      <x:c r="T169" s="25"/>
      <x:c r="U169" s="26">
        <x:f t="shared" si="10"/>
        <x:v>0</x:v>
      </x:c>
      <x:c r="V169" s="23"/>
      <x:c r="W169" s="23"/>
      <x:c r="X169" s="23"/>
    </x:row>
    <x:row r="170">
      <x:c r="A170" s="75"/>
      <x:c r="B170" s="76" t="s">
        <x:v>27</x:v>
      </x:c>
      <x:c r="C170" s="77"/>
      <x:c r="D170" s="78"/>
      <x:c r="E170" s="92" t="n">
        <x:f t="shared" ref="E170:U170" si="11">SUM(E4:E169)</x:f>
        <x:v>8</x:v>
      </x:c>
      <x:c r="F170" s="93">
        <x:f t="shared" si="11"/>
        <x:v>3</x:v>
      </x:c>
      <x:c r="G170" s="93">
        <x:f t="shared" si="11"/>
        <x:v>15</x:v>
      </x:c>
      <x:c r="H170" s="93">
        <x:f t="shared" si="11"/>
        <x:v>20</x:v>
      </x:c>
      <x:c r="I170" s="93">
        <x:f t="shared" si="11"/>
        <x:v>0</x:v>
      </x:c>
      <x:c r="J170" s="93">
        <x:f t="shared" si="11"/>
        <x:v>0</x:v>
      </x:c>
      <x:c r="K170" s="93">
        <x:f t="shared" si="11"/>
        <x:v>12</x:v>
      </x:c>
      <x:c r="L170" s="93">
        <x:f t="shared" si="11"/>
        <x:v>0</x:v>
      </x:c>
      <x:c r="M170" s="93">
        <x:f t="shared" si="11"/>
        <x:v>7</x:v>
      </x:c>
      <x:c r="N170" s="93">
        <x:f t="shared" si="11"/>
        <x:v>0</x:v>
      </x:c>
      <x:c r="O170" s="93">
        <x:f t="shared" si="11"/>
        <x:v>13</x:v>
      </x:c>
      <x:c r="P170" s="93">
        <x:f t="shared" si="11"/>
        <x:v>9</x:v>
      </x:c>
      <x:c r="Q170" s="93">
        <x:f t="shared" si="11"/>
        <x:v>5</x:v>
      </x:c>
      <x:c r="R170" s="93">
        <x:f t="shared" si="11"/>
        <x:v>2</x:v>
      </x:c>
      <x:c r="S170" s="93">
        <x:f t="shared" si="11"/>
        <x:v>1</x:v>
      </x:c>
      <x:c r="T170" s="93">
        <x:f t="shared" si="11"/>
        <x:v>0</x:v>
      </x:c>
      <x:c r="U170" s="80">
        <x:f t="shared" si="11"/>
        <x:v>39802000</x:v>
      </x:c>
      <x:c r="V170" s="77"/>
      <x:c r="W170" s="77"/>
      <x:c r="X170" s="77"/>
    </x:row>
    <x:row r="171">
      <x:c r="A171" s="75"/>
      <x:c r="B171" s="76" t="s">
        <x:v>51</x:v>
      </x:c>
      <x:c r="C171" s="81"/>
      <x:c r="D171" s="82">
        <x:v>300000.0</x:v>
      </x:c>
      <x:c r="E171" s="83" t="n">
        <x:f>E170*Inventory_batches!I133</x:f>
        <x:v>1302835.74</x:v>
      </x:c>
      <x:c r="F171" s="83" t="n">
        <x:f>F170*Inventory_batches!I124</x:f>
        <x:v>508991.75</x:v>
      </x:c>
      <x:c r="G171" s="84" t="n">
        <x:f>G170*Inventory_batches!I135</x:f>
        <x:v>3595178.5755</x:v>
      </x:c>
      <x:c r="H171" s="84" t="n">
        <x:f>H170*Inventory_batches!I115</x:f>
        <x:v>4288432.522</x:v>
      </x:c>
      <x:c r="I171" s="84" t="n">
        <x:f>I170*Inventory_batches!I134</x:f>
        <x:v>0</x:v>
      </x:c>
      <x:c r="J171" s="84" t="n">
        <x:f>J170*Inventory_batches!I108</x:f>
        <x:v>0</x:v>
      </x:c>
      <x:c r="K171" s="84" t="n">
        <x:f>K170*Inventory_batches!I137</x:f>
        <x:v>1646957.1924</x:v>
      </x:c>
      <x:c r="L171" s="84" t="n">
        <x:f>L170*Inventory_batches!I131</x:f>
        <x:v>0</x:v>
      </x:c>
      <x:c r="M171" s="84" t="n">
        <x:f>M170*Inventory_batches!I136</x:f>
        <x:v>1498493.759</x:v>
      </x:c>
      <x:c r="N171" s="83" t="n">
        <x:f>N170*Inventory_batches!I142</x:f>
        <x:v>0</x:v>
      </x:c>
      <x:c r="O171" s="83" t="n">
        <x:f>O170*Inventory_batches!I138</x:f>
        <x:v>5113248.1426</x:v>
      </x:c>
      <x:c r="P171" s="83" t="n">
        <x:f>P170*Inventory_batches!I141</x:f>
        <x:v>1465690.2075</x:v>
      </x:c>
      <x:c r="Q171" s="83" t="n">
        <x:f>Q170*Inventory_batches!I139</x:f>
        <x:v>686232.1635</x:v>
      </x:c>
      <x:c r="R171" s="83" t="n">
        <x:f t="shared" ref="R171:T171" si="12">(1890 * 170) * R170</x:f>
        <x:v>642600</x:v>
      </x:c>
      <x:c r="S171" s="83">
        <x:f t="shared" si="12"/>
        <x:v>321300</x:v>
      </x:c>
      <x:c r="T171" s="83">
        <x:f t="shared" si="12"/>
        <x:v>0</x:v>
      </x:c>
      <x:c r="U171" s="83" t="n">
        <x:f>SUM(E171:T171)</x:f>
        <x:v>21069960.0525</x:v>
      </x:c>
      <x:c r="V171" s="85" t="n">
        <x:f>U171-Z5</x:f>
        <x:v>17689960.0525</x:v>
      </x:c>
      <x:c r="W171" s="86"/>
      <x:c r="X171" s="86"/>
      <x:c r="Y171" s="32"/>
    </x:row>
    <x:row r="172">
      <x:c r="A172" s="87"/>
      <x:c r="B172" s="88"/>
      <x:c r="D172" s="32"/>
      <x:c r="G172" s="74"/>
      <x:c r="H172" s="74"/>
      <x:c r="I172" s="74"/>
      <x:c r="J172" s="74"/>
      <x:c r="K172" s="74"/>
      <x:c r="L172" s="74"/>
      <x:c r="M172" s="89"/>
      <x:c r="N172" s="89"/>
      <x:c r="O172" s="90"/>
      <x:c r="P172" s="90"/>
      <x:c r="Q172" s="90"/>
      <x:c r="R172" s="90"/>
      <x:c r="S172" s="90"/>
      <x:c r="T172" s="90"/>
      <x:c r="U172" s="90" t="n">
        <x:f>U170-U171</x:f>
        <x:v>18732039.9475</x:v>
      </x:c>
      <x:c r="V172" s="85" t="n">
        <x:f>U172/2</x:f>
        <x:v>9366019.97375</x:v>
      </x:c>
      <x:c r="W172" s="86"/>
      <x:c r="X172" s="86"/>
      <x:c r="Y172" s="32"/>
    </x:row>
    <x:row r="173">
      <x:c r="A173" s="87"/>
      <x:c r="B173" s="88"/>
      <x:c r="D173" s="32"/>
      <x:c r="G173" s="74"/>
      <x:c r="H173" s="74"/>
      <x:c r="I173" s="74"/>
      <x:c r="J173" s="74"/>
      <x:c r="K173" s="74"/>
      <x:c r="L173" s="74"/>
      <x:c r="M173" s="91"/>
      <x:c r="N173" s="91"/>
      <x:c r="O173" s="85"/>
      <x:c r="P173" s="85"/>
      <x:c r="Q173" s="85"/>
      <x:c r="R173" s="85"/>
      <x:c r="S173" s="85"/>
      <x:c r="T173" s="85"/>
      <x:c r="U173" s="85"/>
      <x:c r="V173" s="85" t="n">
        <x:f>V171+V172</x:f>
        <x:v>27055980.026249997</x:v>
      </x:c>
      <x:c r="W173" s="86"/>
      <x:c r="X173" s="86"/>
      <x:c r="Y173" s="32"/>
    </x:row>
    <x:row r="174">
      <x:c r="A174" s="87"/>
      <x:c r="B174" s="88"/>
      <x:c r="D174" s="32"/>
      <x:c r="G174" s="74"/>
      <x:c r="H174" s="74"/>
      <x:c r="I174" s="74"/>
      <x:c r="J174" s="74"/>
      <x:c r="K174" s="74"/>
      <x:c r="L174" s="74"/>
      <x:c r="M174" s="91"/>
      <x:c r="N174" s="91"/>
      <x:c r="O174" s="85"/>
      <x:c r="P174" s="85"/>
      <x:c r="Q174" s="85"/>
      <x:c r="R174" s="85"/>
      <x:c r="S174" s="85"/>
      <x:c r="T174" s="85"/>
      <x:c r="U174" s="85"/>
      <x:c r="W174" s="86"/>
      <x:c r="X174" s="86"/>
      <x:c r="Y174" s="32"/>
    </x:row>
    <x:row r="175">
      <x:c r="A175" s="87"/>
      <x:c r="B175" s="88"/>
      <x:c r="D175" s="32"/>
      <x:c r="G175" s="74"/>
      <x:c r="H175" s="74"/>
      <x:c r="I175" s="74"/>
      <x:c r="J175" s="74"/>
      <x:c r="K175" s="74"/>
      <x:c r="L175" s="74"/>
      <x:c r="M175" s="91"/>
      <x:c r="N175" s="91"/>
      <x:c r="O175" s="85"/>
      <x:c r="P175" s="85"/>
      <x:c r="Q175" s="85"/>
      <x:c r="R175" s="85"/>
      <x:c r="S175" s="85"/>
      <x:c r="T175" s="85"/>
      <x:c r="U175" s="85"/>
      <x:c r="W175" s="86"/>
      <x:c r="X175" s="86"/>
      <x:c r="Y175" s="32"/>
    </x:row>
    <x:row r="176">
      <x:c r="A176" s="87"/>
      <x:c r="B176" s="88"/>
      <x:c r="D176" s="32"/>
      <x:c r="G176" s="74"/>
      <x:c r="H176" s="74"/>
      <x:c r="I176" s="74"/>
      <x:c r="J176" s="74"/>
      <x:c r="K176" s="74"/>
      <x:c r="L176" s="74"/>
      <x:c r="M176" s="91"/>
      <x:c r="N176" s="91"/>
      <x:c r="O176" s="85"/>
      <x:c r="P176" s="85"/>
      <x:c r="Q176" s="85"/>
      <x:c r="R176" s="85"/>
      <x:c r="S176" s="85"/>
      <x:c r="T176" s="85"/>
      <x:c r="U176" s="85"/>
      <x:c r="W176" s="86"/>
      <x:c r="X176" s="86"/>
      <x:c r="Y176" s="32"/>
    </x:row>
    <x:row r="177">
      <x:c r="A177" s="87"/>
      <x:c r="B177" s="88"/>
      <x:c r="D177" s="32"/>
      <x:c r="G177" s="74"/>
      <x:c r="H177" s="74"/>
      <x:c r="I177" s="74"/>
      <x:c r="J177" s="74"/>
      <x:c r="K177" s="74"/>
      <x:c r="L177" s="74"/>
      <x:c r="M177" s="91"/>
      <x:c r="N177" s="91"/>
      <x:c r="O177" s="85"/>
      <x:c r="P177" s="85"/>
      <x:c r="Q177" s="85"/>
      <x:c r="R177" s="85"/>
      <x:c r="S177" s="85"/>
      <x:c r="T177" s="85"/>
      <x:c r="U177" s="85"/>
      <x:c r="W177" s="86"/>
      <x:c r="X177" s="86"/>
      <x:c r="Y177" s="32"/>
    </x:row>
    <x:row r="178">
      <x:c r="A178" s="87"/>
      <x:c r="B178" s="88"/>
      <x:c r="D178" s="32"/>
      <x:c r="G178" s="74"/>
      <x:c r="H178" s="74"/>
      <x:c r="I178" s="74"/>
      <x:c r="J178" s="74"/>
      <x:c r="K178" s="74"/>
      <x:c r="L178" s="74"/>
      <x:c r="M178" s="91"/>
      <x:c r="N178" s="91"/>
      <x:c r="O178" s="85"/>
      <x:c r="P178" s="85"/>
      <x:c r="Q178" s="85"/>
      <x:c r="R178" s="85"/>
      <x:c r="S178" s="85"/>
      <x:c r="T178" s="85"/>
      <x:c r="U178" s="85"/>
      <x:c r="W178" s="86"/>
      <x:c r="X178" s="86"/>
      <x:c r="Y178" s="32"/>
    </x:row>
    <x:row r="179">
      <x:c r="A179" s="87"/>
      <x:c r="B179" s="88"/>
      <x:c r="D179" s="32"/>
      <x:c r="G179" s="74"/>
      <x:c r="H179" s="74"/>
      <x:c r="I179" s="74"/>
      <x:c r="J179" s="74"/>
      <x:c r="K179" s="74"/>
      <x:c r="L179" s="74"/>
      <x:c r="M179" s="91"/>
      <x:c r="N179" s="91"/>
      <x:c r="O179" s="85"/>
      <x:c r="P179" s="85"/>
      <x:c r="Q179" s="85"/>
      <x:c r="R179" s="85"/>
      <x:c r="S179" s="85"/>
      <x:c r="T179" s="85"/>
      <x:c r="U179" s="85"/>
      <x:c r="W179" s="86"/>
      <x:c r="X179" s="86"/>
      <x:c r="Y179" s="32"/>
    </x:row>
    <x:row r="180">
      <x:c r="A180" s="87"/>
      <x:c r="B180" s="88"/>
      <x:c r="D180" s="32"/>
      <x:c r="G180" s="74"/>
      <x:c r="H180" s="74"/>
      <x:c r="I180" s="74"/>
      <x:c r="J180" s="74"/>
      <x:c r="K180" s="74"/>
      <x:c r="L180" s="74"/>
      <x:c r="M180" s="91"/>
      <x:c r="N180" s="91"/>
      <x:c r="O180" s="85"/>
      <x:c r="P180" s="85"/>
      <x:c r="Q180" s="85"/>
      <x:c r="R180" s="85"/>
      <x:c r="S180" s="85"/>
      <x:c r="T180" s="85"/>
      <x:c r="U180" s="85"/>
      <x:c r="W180" s="86"/>
      <x:c r="X180" s="86"/>
      <x:c r="Y180" s="32"/>
    </x:row>
    <x:row r="181">
      <x:c r="A181" s="87"/>
      <x:c r="B181" s="88"/>
      <x:c r="D181" s="32"/>
      <x:c r="G181" s="74"/>
      <x:c r="H181" s="74"/>
      <x:c r="I181" s="74"/>
      <x:c r="J181" s="74"/>
      <x:c r="K181" s="74"/>
      <x:c r="L181" s="74"/>
      <x:c r="M181" s="91"/>
      <x:c r="N181" s="91"/>
      <x:c r="O181" s="85"/>
      <x:c r="P181" s="85"/>
      <x:c r="Q181" s="85"/>
      <x:c r="R181" s="85"/>
      <x:c r="S181" s="85"/>
      <x:c r="T181" s="85"/>
      <x:c r="U181" s="85"/>
      <x:c r="W181" s="86"/>
      <x:c r="X181" s="86"/>
      <x:c r="Y181" s="32"/>
    </x:row>
    <x:row r="182">
      <x:c r="A182" s="87"/>
      <x:c r="B182" s="88"/>
      <x:c r="D182" s="32"/>
      <x:c r="G182" s="74"/>
      <x:c r="H182" s="74"/>
      <x:c r="I182" s="74"/>
      <x:c r="J182" s="74"/>
      <x:c r="K182" s="74"/>
      <x:c r="L182" s="74"/>
      <x:c r="M182" s="91"/>
      <x:c r="N182" s="91"/>
      <x:c r="O182" s="85"/>
      <x:c r="P182" s="85"/>
      <x:c r="Q182" s="85"/>
      <x:c r="R182" s="85"/>
      <x:c r="S182" s="85"/>
      <x:c r="T182" s="85"/>
      <x:c r="U182" s="85"/>
      <x:c r="W182" s="86"/>
      <x:c r="X182" s="86"/>
      <x:c r="Y182" s="32"/>
    </x:row>
    <x:row r="183">
      <x:c r="A183" s="87"/>
      <x:c r="B183" s="88"/>
      <x:c r="D183" s="32"/>
      <x:c r="G183" s="74"/>
      <x:c r="H183" s="74"/>
      <x:c r="I183" s="74"/>
      <x:c r="J183" s="74"/>
      <x:c r="K183" s="74"/>
      <x:c r="L183" s="74"/>
      <x:c r="M183" s="91"/>
      <x:c r="N183" s="91"/>
      <x:c r="O183" s="85"/>
      <x:c r="P183" s="85"/>
      <x:c r="Q183" s="85"/>
      <x:c r="R183" s="85"/>
      <x:c r="S183" s="85"/>
      <x:c r="T183" s="85"/>
      <x:c r="U183" s="85"/>
      <x:c r="W183" s="86"/>
      <x:c r="X183" s="86"/>
      <x:c r="Y183" s="32"/>
    </x:row>
    <x:row r="184">
      <x:c r="A184" s="87"/>
      <x:c r="B184" s="88"/>
      <x:c r="D184" s="32"/>
      <x:c r="G184" s="74"/>
      <x:c r="H184" s="74"/>
      <x:c r="I184" s="74"/>
      <x:c r="J184" s="74"/>
      <x:c r="K184" s="74"/>
      <x:c r="L184" s="74"/>
      <x:c r="M184" s="91"/>
      <x:c r="N184" s="91"/>
      <x:c r="O184" s="85"/>
      <x:c r="P184" s="85"/>
      <x:c r="Q184" s="85"/>
      <x:c r="R184" s="85"/>
      <x:c r="S184" s="85"/>
      <x:c r="T184" s="85"/>
      <x:c r="U184" s="85"/>
      <x:c r="W184" s="86"/>
      <x:c r="X184" s="86"/>
      <x:c r="Y184" s="32"/>
    </x:row>
    <x:row r="185">
      <x:c r="A185" s="87"/>
      <x:c r="B185" s="88"/>
      <x:c r="D185" s="32"/>
      <x:c r="G185" s="74"/>
      <x:c r="H185" s="74"/>
      <x:c r="I185" s="74"/>
      <x:c r="J185" s="74"/>
      <x:c r="K185" s="74"/>
      <x:c r="L185" s="74"/>
      <x:c r="M185" s="91"/>
      <x:c r="N185" s="91"/>
      <x:c r="O185" s="85"/>
      <x:c r="P185" s="85"/>
      <x:c r="Q185" s="85"/>
      <x:c r="R185" s="85"/>
      <x:c r="S185" s="85"/>
      <x:c r="T185" s="85"/>
      <x:c r="U185" s="85"/>
      <x:c r="W185" s="86"/>
      <x:c r="X185" s="86"/>
      <x:c r="Y185" s="32"/>
    </x:row>
    <x:row r="186">
      <x:c r="A186" s="87"/>
      <x:c r="B186" s="88"/>
      <x:c r="D186" s="32"/>
      <x:c r="G186" s="74"/>
      <x:c r="H186" s="74"/>
      <x:c r="I186" s="74"/>
      <x:c r="J186" s="74"/>
      <x:c r="K186" s="74"/>
      <x:c r="L186" s="74"/>
      <x:c r="M186" s="91"/>
      <x:c r="N186" s="91"/>
      <x:c r="O186" s="85"/>
      <x:c r="P186" s="85"/>
      <x:c r="Q186" s="85"/>
      <x:c r="R186" s="85"/>
      <x:c r="S186" s="85"/>
      <x:c r="T186" s="85"/>
      <x:c r="U186" s="85"/>
      <x:c r="W186" s="86"/>
      <x:c r="X186" s="86"/>
      <x:c r="Y186" s="32"/>
    </x:row>
    <x:row r="187">
      <x:c r="A187" s="87"/>
      <x:c r="B187" s="88"/>
      <x:c r="D187" s="32"/>
      <x:c r="G187" s="74"/>
      <x:c r="H187" s="74"/>
      <x:c r="I187" s="74"/>
      <x:c r="J187" s="74"/>
      <x:c r="K187" s="74"/>
      <x:c r="L187" s="74"/>
      <x:c r="M187" s="91"/>
      <x:c r="N187" s="91"/>
      <x:c r="O187" s="85"/>
      <x:c r="P187" s="85"/>
      <x:c r="Q187" s="85"/>
      <x:c r="R187" s="85"/>
      <x:c r="S187" s="85"/>
      <x:c r="T187" s="85"/>
      <x:c r="U187" s="85"/>
      <x:c r="W187" s="86"/>
      <x:c r="X187" s="86"/>
      <x:c r="Y187" s="32"/>
    </x:row>
    <x:row r="188">
      <x:c r="A188" s="87"/>
      <x:c r="B188" s="88"/>
      <x:c r="D188" s="32"/>
      <x:c r="G188" s="74"/>
      <x:c r="H188" s="74"/>
      <x:c r="I188" s="74"/>
      <x:c r="J188" s="74"/>
      <x:c r="K188" s="74"/>
      <x:c r="L188" s="74"/>
      <x:c r="M188" s="91"/>
      <x:c r="N188" s="91"/>
      <x:c r="O188" s="85"/>
      <x:c r="P188" s="85"/>
      <x:c r="Q188" s="85"/>
      <x:c r="R188" s="85"/>
      <x:c r="S188" s="85"/>
      <x:c r="T188" s="85"/>
      <x:c r="U188" s="85"/>
      <x:c r="W188" s="86"/>
      <x:c r="X188" s="86"/>
      <x:c r="Y188" s="32"/>
    </x:row>
    <x:row r="189">
      <x:c r="A189" s="87"/>
      <x:c r="B189" s="88"/>
      <x:c r="D189" s="32"/>
      <x:c r="G189" s="74"/>
      <x:c r="H189" s="74"/>
      <x:c r="I189" s="74"/>
      <x:c r="J189" s="74"/>
      <x:c r="K189" s="74"/>
      <x:c r="L189" s="74"/>
      <x:c r="M189" s="91"/>
      <x:c r="N189" s="91"/>
      <x:c r="O189" s="85"/>
      <x:c r="P189" s="85"/>
      <x:c r="Q189" s="85"/>
      <x:c r="R189" s="85"/>
      <x:c r="S189" s="85"/>
      <x:c r="T189" s="85"/>
      <x:c r="U189" s="85"/>
      <x:c r="W189" s="86"/>
      <x:c r="X189" s="86"/>
      <x:c r="Y189" s="32"/>
    </x:row>
    <x:row r="190">
      <x:c r="A190" s="87"/>
      <x:c r="B190" s="88"/>
      <x:c r="D190" s="32"/>
      <x:c r="G190" s="74"/>
      <x:c r="H190" s="74"/>
      <x:c r="I190" s="74"/>
      <x:c r="J190" s="74"/>
      <x:c r="K190" s="74"/>
      <x:c r="L190" s="74"/>
      <x:c r="M190" s="91"/>
      <x:c r="N190" s="91"/>
      <x:c r="O190" s="85"/>
      <x:c r="P190" s="85"/>
      <x:c r="Q190" s="85"/>
      <x:c r="R190" s="85"/>
      <x:c r="S190" s="85"/>
      <x:c r="T190" s="85"/>
      <x:c r="U190" s="85"/>
      <x:c r="W190" s="86"/>
      <x:c r="X190" s="86"/>
      <x:c r="Y190" s="32"/>
    </x:row>
    <x:row r="191">
      <x:c r="A191" s="87"/>
      <x:c r="B191" s="88"/>
      <x:c r="D191" s="32"/>
      <x:c r="G191" s="74"/>
      <x:c r="H191" s="74"/>
      <x:c r="I191" s="74"/>
      <x:c r="J191" s="74"/>
      <x:c r="K191" s="74"/>
      <x:c r="L191" s="74"/>
      <x:c r="M191" s="91"/>
      <x:c r="N191" s="91"/>
      <x:c r="O191" s="85"/>
      <x:c r="P191" s="85"/>
      <x:c r="Q191" s="85"/>
      <x:c r="R191" s="85"/>
      <x:c r="S191" s="85"/>
      <x:c r="T191" s="85"/>
      <x:c r="U191" s="85"/>
      <x:c r="W191" s="86"/>
      <x:c r="X191" s="86"/>
      <x:c r="Y191" s="32"/>
    </x:row>
    <x:row r="192">
      <x:c r="A192" s="87"/>
      <x:c r="B192" s="88"/>
      <x:c r="D192" s="32"/>
      <x:c r="G192" s="74"/>
      <x:c r="H192" s="74"/>
      <x:c r="I192" s="74"/>
      <x:c r="J192" s="74"/>
      <x:c r="K192" s="74"/>
      <x:c r="L192" s="74"/>
      <x:c r="M192" s="91"/>
      <x:c r="N192" s="91"/>
      <x:c r="O192" s="85"/>
      <x:c r="P192" s="85"/>
      <x:c r="Q192" s="85"/>
      <x:c r="R192" s="85"/>
      <x:c r="S192" s="85"/>
      <x:c r="T192" s="85"/>
      <x:c r="U192" s="85"/>
      <x:c r="W192" s="86"/>
      <x:c r="X192" s="86"/>
      <x:c r="Y192" s="32"/>
    </x:row>
    <x:row r="193">
      <x:c r="A193" s="87"/>
      <x:c r="B193" s="88"/>
      <x:c r="D193" s="32"/>
      <x:c r="G193" s="74"/>
      <x:c r="H193" s="74"/>
      <x:c r="I193" s="74"/>
      <x:c r="J193" s="74"/>
      <x:c r="K193" s="74"/>
      <x:c r="L193" s="74"/>
      <x:c r="M193" s="91"/>
      <x:c r="N193" s="91"/>
      <x:c r="O193" s="85"/>
      <x:c r="P193" s="85"/>
      <x:c r="Q193" s="85"/>
      <x:c r="R193" s="85"/>
      <x:c r="S193" s="85"/>
      <x:c r="T193" s="85"/>
      <x:c r="U193" s="85"/>
      <x:c r="W193" s="86"/>
      <x:c r="X193" s="86"/>
      <x:c r="Y193" s="32"/>
    </x:row>
    <x:row r="194">
      <x:c r="A194" s="87"/>
      <x:c r="B194" s="88"/>
      <x:c r="D194" s="32"/>
      <x:c r="G194" s="74"/>
      <x:c r="H194" s="74"/>
      <x:c r="I194" s="74"/>
      <x:c r="J194" s="74"/>
      <x:c r="K194" s="74"/>
      <x:c r="L194" s="74"/>
      <x:c r="M194" s="91"/>
      <x:c r="N194" s="91"/>
      <x:c r="O194" s="85"/>
      <x:c r="P194" s="85"/>
      <x:c r="Q194" s="85"/>
      <x:c r="R194" s="85"/>
      <x:c r="S194" s="85"/>
      <x:c r="T194" s="85"/>
      <x:c r="U194" s="85"/>
      <x:c r="W194" s="86"/>
      <x:c r="X194" s="86"/>
      <x:c r="Y194" s="32"/>
    </x:row>
    <x:row r="195">
      <x:c r="A195" s="87"/>
      <x:c r="B195" s="88"/>
      <x:c r="D195" s="32"/>
      <x:c r="G195" s="74"/>
      <x:c r="H195" s="74"/>
      <x:c r="I195" s="74"/>
      <x:c r="J195" s="74"/>
      <x:c r="K195" s="74"/>
      <x:c r="L195" s="74"/>
      <x:c r="M195" s="91"/>
      <x:c r="N195" s="91"/>
      <x:c r="O195" s="85"/>
      <x:c r="P195" s="85"/>
      <x:c r="Q195" s="85"/>
      <x:c r="R195" s="85"/>
      <x:c r="S195" s="85"/>
      <x:c r="T195" s="85"/>
      <x:c r="U195" s="85"/>
      <x:c r="W195" s="86"/>
      <x:c r="X195" s="86"/>
      <x:c r="Y195" s="32"/>
    </x:row>
    <x:row r="196">
      <x:c r="A196" s="87"/>
      <x:c r="B196" s="88"/>
      <x:c r="D196" s="32"/>
      <x:c r="G196" s="74"/>
      <x:c r="H196" s="74"/>
      <x:c r="I196" s="74"/>
      <x:c r="J196" s="74"/>
      <x:c r="K196" s="74"/>
      <x:c r="L196" s="74"/>
      <x:c r="M196" s="91"/>
      <x:c r="N196" s="91"/>
      <x:c r="O196" s="85"/>
      <x:c r="P196" s="85"/>
      <x:c r="Q196" s="85"/>
      <x:c r="R196" s="85"/>
      <x:c r="S196" s="85"/>
      <x:c r="T196" s="85"/>
      <x:c r="U196" s="85"/>
      <x:c r="W196" s="86"/>
      <x:c r="X196" s="86"/>
      <x:c r="Y196" s="32"/>
    </x:row>
    <x:row r="197">
      <x:c r="A197" s="87"/>
      <x:c r="B197" s="88"/>
      <x:c r="D197" s="32"/>
      <x:c r="G197" s="74"/>
      <x:c r="H197" s="74"/>
      <x:c r="I197" s="74"/>
      <x:c r="J197" s="74"/>
      <x:c r="K197" s="74"/>
      <x:c r="L197" s="74"/>
      <x:c r="M197" s="91"/>
      <x:c r="N197" s="91"/>
      <x:c r="O197" s="85"/>
      <x:c r="P197" s="85"/>
      <x:c r="Q197" s="85"/>
      <x:c r="R197" s="85"/>
      <x:c r="S197" s="85"/>
      <x:c r="T197" s="85"/>
      <x:c r="U197" s="85"/>
      <x:c r="W197" s="86"/>
      <x:c r="X197" s="86"/>
      <x:c r="Y197" s="32"/>
    </x:row>
    <x:row r="198">
      <x:c r="A198" s="87"/>
      <x:c r="B198" s="88"/>
      <x:c r="D198" s="32"/>
      <x:c r="G198" s="74"/>
      <x:c r="H198" s="74"/>
      <x:c r="I198" s="74"/>
      <x:c r="J198" s="74"/>
      <x:c r="K198" s="74"/>
      <x:c r="L198" s="74"/>
      <x:c r="M198" s="91"/>
      <x:c r="N198" s="91"/>
      <x:c r="O198" s="85"/>
      <x:c r="P198" s="85"/>
      <x:c r="Q198" s="85"/>
      <x:c r="R198" s="85"/>
      <x:c r="S198" s="85"/>
      <x:c r="T198" s="85"/>
      <x:c r="U198" s="85"/>
      <x:c r="W198" s="86"/>
      <x:c r="X198" s="86"/>
      <x:c r="Y198" s="32"/>
    </x:row>
    <x:row r="199">
      <x:c r="A199" s="87"/>
      <x:c r="B199" s="88"/>
      <x:c r="D199" s="32"/>
      <x:c r="G199" s="74"/>
      <x:c r="H199" s="74"/>
      <x:c r="I199" s="74"/>
      <x:c r="J199" s="74"/>
      <x:c r="K199" s="74"/>
      <x:c r="L199" s="74"/>
      <x:c r="M199" s="91"/>
      <x:c r="N199" s="91"/>
      <x:c r="O199" s="85"/>
      <x:c r="P199" s="85"/>
      <x:c r="Q199" s="85"/>
      <x:c r="R199" s="85"/>
      <x:c r="S199" s="85"/>
      <x:c r="T199" s="85"/>
      <x:c r="U199" s="85"/>
      <x:c r="W199" s="86"/>
      <x:c r="X199" s="86"/>
      <x:c r="Y199" s="32"/>
    </x:row>
    <x:row r="200">
      <x:c r="A200" s="87"/>
      <x:c r="B200" s="88"/>
      <x:c r="D200" s="32"/>
      <x:c r="G200" s="74"/>
      <x:c r="H200" s="74"/>
      <x:c r="I200" s="74"/>
      <x:c r="J200" s="74"/>
      <x:c r="K200" s="74"/>
      <x:c r="L200" s="74"/>
      <x:c r="M200" s="91"/>
      <x:c r="N200" s="91"/>
      <x:c r="O200" s="85"/>
      <x:c r="P200" s="85"/>
      <x:c r="Q200" s="85"/>
      <x:c r="R200" s="85"/>
      <x:c r="S200" s="85"/>
      <x:c r="T200" s="85"/>
      <x:c r="U200" s="85"/>
      <x:c r="W200" s="86"/>
      <x:c r="X200" s="86"/>
      <x:c r="Y200" s="32"/>
    </x:row>
    <x:row r="201">
      <x:c r="A201" s="87"/>
      <x:c r="B201" s="88"/>
      <x:c r="D201" s="32"/>
      <x:c r="G201" s="74"/>
      <x:c r="H201" s="74"/>
      <x:c r="I201" s="74"/>
      <x:c r="J201" s="74"/>
      <x:c r="K201" s="74"/>
      <x:c r="L201" s="74"/>
      <x:c r="M201" s="91"/>
      <x:c r="N201" s="91"/>
      <x:c r="O201" s="85"/>
      <x:c r="P201" s="85"/>
      <x:c r="Q201" s="85"/>
      <x:c r="R201" s="85"/>
      <x:c r="S201" s="85"/>
      <x:c r="T201" s="85"/>
      <x:c r="U201" s="85"/>
      <x:c r="W201" s="86"/>
      <x:c r="X201" s="86"/>
      <x:c r="Y201" s="32"/>
    </x:row>
    <x:row r="202">
      <x:c r="A202" s="87"/>
      <x:c r="B202" s="88"/>
      <x:c r="D202" s="32"/>
      <x:c r="G202" s="74"/>
      <x:c r="H202" s="74"/>
      <x:c r="I202" s="74"/>
      <x:c r="J202" s="74"/>
      <x:c r="K202" s="74"/>
      <x:c r="L202" s="74"/>
      <x:c r="M202" s="91"/>
      <x:c r="N202" s="91"/>
      <x:c r="O202" s="85"/>
      <x:c r="P202" s="85"/>
      <x:c r="Q202" s="85"/>
      <x:c r="R202" s="85"/>
      <x:c r="S202" s="85"/>
      <x:c r="T202" s="85"/>
      <x:c r="U202" s="85"/>
      <x:c r="W202" s="86"/>
      <x:c r="X202" s="86"/>
      <x:c r="Y202" s="32"/>
    </x:row>
    <x:row r="203">
      <x:c r="A203" s="87"/>
      <x:c r="B203" s="88"/>
      <x:c r="D203" s="32"/>
      <x:c r="G203" s="74"/>
      <x:c r="H203" s="74"/>
      <x:c r="I203" s="74"/>
      <x:c r="J203" s="74"/>
      <x:c r="K203" s="74"/>
      <x:c r="L203" s="74"/>
      <x:c r="M203" s="91"/>
      <x:c r="N203" s="91"/>
      <x:c r="O203" s="85"/>
      <x:c r="P203" s="85"/>
      <x:c r="Q203" s="85"/>
      <x:c r="R203" s="85"/>
      <x:c r="S203" s="85"/>
      <x:c r="T203" s="85"/>
      <x:c r="U203" s="85"/>
      <x:c r="W203" s="86"/>
      <x:c r="X203" s="86"/>
      <x:c r="Y203" s="32"/>
    </x:row>
    <x:row r="204">
      <x:c r="A204" s="87"/>
      <x:c r="B204" s="88"/>
      <x:c r="D204" s="32"/>
      <x:c r="G204" s="74"/>
      <x:c r="H204" s="74"/>
      <x:c r="I204" s="74"/>
      <x:c r="J204" s="74"/>
      <x:c r="K204" s="74"/>
      <x:c r="L204" s="74"/>
      <x:c r="M204" s="91"/>
      <x:c r="N204" s="91"/>
      <x:c r="O204" s="85"/>
      <x:c r="P204" s="85"/>
      <x:c r="Q204" s="85"/>
      <x:c r="R204" s="85"/>
      <x:c r="S204" s="85"/>
      <x:c r="T204" s="85"/>
      <x:c r="U204" s="85"/>
      <x:c r="W204" s="86"/>
      <x:c r="X204" s="86"/>
      <x:c r="Y204" s="32"/>
    </x:row>
    <x:row r="205">
      <x:c r="A205" s="87"/>
      <x:c r="B205" s="88"/>
      <x:c r="D205" s="32"/>
      <x:c r="G205" s="74"/>
      <x:c r="H205" s="74"/>
      <x:c r="I205" s="74"/>
      <x:c r="J205" s="74"/>
      <x:c r="K205" s="74"/>
      <x:c r="L205" s="74"/>
      <x:c r="M205" s="91"/>
      <x:c r="N205" s="91"/>
      <x:c r="O205" s="85"/>
      <x:c r="P205" s="85"/>
      <x:c r="Q205" s="85"/>
      <x:c r="R205" s="85"/>
      <x:c r="S205" s="85"/>
      <x:c r="T205" s="85"/>
      <x:c r="U205" s="85"/>
      <x:c r="W205" s="86"/>
      <x:c r="X205" s="86"/>
      <x:c r="Y205" s="32"/>
    </x:row>
    <x:row r="206">
      <x:c r="A206" s="87"/>
      <x:c r="B206" s="88"/>
      <x:c r="D206" s="32"/>
      <x:c r="G206" s="74"/>
      <x:c r="H206" s="74"/>
      <x:c r="I206" s="74"/>
      <x:c r="J206" s="74"/>
      <x:c r="K206" s="74"/>
      <x:c r="L206" s="74"/>
      <x:c r="M206" s="91"/>
      <x:c r="N206" s="91"/>
      <x:c r="O206" s="85"/>
      <x:c r="P206" s="85"/>
      <x:c r="Q206" s="85"/>
      <x:c r="R206" s="85"/>
      <x:c r="S206" s="85"/>
      <x:c r="T206" s="85"/>
      <x:c r="U206" s="85"/>
      <x:c r="W206" s="86"/>
      <x:c r="X206" s="86"/>
      <x:c r="Y206" s="32"/>
    </x:row>
    <x:row r="207">
      <x:c r="A207" s="87"/>
      <x:c r="B207" s="88"/>
      <x:c r="D207" s="32"/>
      <x:c r="G207" s="74"/>
      <x:c r="H207" s="74"/>
      <x:c r="I207" s="74"/>
      <x:c r="J207" s="74"/>
      <x:c r="K207" s="74"/>
      <x:c r="L207" s="74"/>
      <x:c r="M207" s="91"/>
      <x:c r="N207" s="91"/>
      <x:c r="O207" s="85"/>
      <x:c r="P207" s="85"/>
      <x:c r="Q207" s="85"/>
      <x:c r="R207" s="85"/>
      <x:c r="S207" s="85"/>
      <x:c r="T207" s="85"/>
      <x:c r="U207" s="85"/>
      <x:c r="W207" s="86"/>
      <x:c r="X207" s="86"/>
      <x:c r="Y207" s="32"/>
    </x:row>
    <x:row r="208">
      <x:c r="A208" s="87"/>
      <x:c r="B208" s="88"/>
      <x:c r="D208" s="32"/>
      <x:c r="G208" s="74"/>
      <x:c r="H208" s="74"/>
      <x:c r="I208" s="74"/>
      <x:c r="J208" s="74"/>
      <x:c r="K208" s="74"/>
      <x:c r="L208" s="74"/>
      <x:c r="M208" s="91"/>
      <x:c r="N208" s="91"/>
      <x:c r="O208" s="85"/>
      <x:c r="P208" s="85"/>
      <x:c r="Q208" s="85"/>
      <x:c r="R208" s="85"/>
      <x:c r="S208" s="85"/>
      <x:c r="T208" s="85"/>
      <x:c r="U208" s="85"/>
      <x:c r="W208" s="86"/>
      <x:c r="X208" s="86"/>
      <x:c r="Y208" s="32"/>
    </x:row>
    <x:row r="209">
      <x:c r="A209" s="87"/>
      <x:c r="B209" s="88"/>
      <x:c r="D209" s="32"/>
      <x:c r="G209" s="74"/>
      <x:c r="H209" s="74"/>
      <x:c r="I209" s="74"/>
      <x:c r="J209" s="74"/>
      <x:c r="K209" s="74"/>
      <x:c r="L209" s="74"/>
      <x:c r="M209" s="91"/>
      <x:c r="N209" s="91"/>
      <x:c r="O209" s="85"/>
      <x:c r="P209" s="85"/>
      <x:c r="Q209" s="85"/>
      <x:c r="R209" s="85"/>
      <x:c r="S209" s="85"/>
      <x:c r="T209" s="85"/>
      <x:c r="U209" s="85"/>
      <x:c r="W209" s="86"/>
      <x:c r="X209" s="86"/>
      <x:c r="Y209" s="32"/>
    </x:row>
    <x:row r="210">
      <x:c r="A210" s="87"/>
      <x:c r="B210" s="88"/>
      <x:c r="D210" s="32"/>
      <x:c r="G210" s="74"/>
      <x:c r="H210" s="74"/>
      <x:c r="I210" s="74"/>
      <x:c r="J210" s="74"/>
      <x:c r="K210" s="74"/>
      <x:c r="L210" s="74"/>
      <x:c r="M210" s="91"/>
      <x:c r="N210" s="91"/>
      <x:c r="O210" s="85"/>
      <x:c r="P210" s="85"/>
      <x:c r="Q210" s="85"/>
      <x:c r="R210" s="85"/>
      <x:c r="S210" s="85"/>
      <x:c r="T210" s="85"/>
      <x:c r="U210" s="85"/>
      <x:c r="W210" s="86"/>
      <x:c r="X210" s="86"/>
      <x:c r="Y210" s="32"/>
    </x:row>
    <x:row r="211">
      <x:c r="A211" s="87"/>
      <x:c r="B211" s="88"/>
      <x:c r="D211" s="32"/>
      <x:c r="G211" s="74"/>
      <x:c r="H211" s="74"/>
      <x:c r="I211" s="74"/>
      <x:c r="J211" s="74"/>
      <x:c r="K211" s="74"/>
      <x:c r="L211" s="74"/>
      <x:c r="M211" s="91"/>
      <x:c r="N211" s="91"/>
      <x:c r="O211" s="85"/>
      <x:c r="P211" s="85"/>
      <x:c r="Q211" s="85"/>
      <x:c r="R211" s="85"/>
      <x:c r="S211" s="85"/>
      <x:c r="T211" s="85"/>
      <x:c r="U211" s="85"/>
      <x:c r="W211" s="86"/>
      <x:c r="X211" s="86"/>
      <x:c r="Y211" s="32"/>
    </x:row>
    <x:row r="212">
      <x:c r="A212" s="87"/>
      <x:c r="B212" s="88"/>
      <x:c r="D212" s="32"/>
      <x:c r="G212" s="74"/>
      <x:c r="H212" s="74"/>
      <x:c r="I212" s="74"/>
      <x:c r="J212" s="74"/>
      <x:c r="K212" s="74"/>
      <x:c r="L212" s="74"/>
      <x:c r="M212" s="91"/>
      <x:c r="N212" s="91"/>
      <x:c r="O212" s="85"/>
      <x:c r="P212" s="85"/>
      <x:c r="Q212" s="85"/>
      <x:c r="R212" s="85"/>
      <x:c r="S212" s="85"/>
      <x:c r="T212" s="85"/>
      <x:c r="U212" s="85"/>
      <x:c r="W212" s="86"/>
      <x:c r="X212" s="86"/>
      <x:c r="Y212" s="32"/>
    </x:row>
    <x:row r="213">
      <x:c r="A213" s="87"/>
      <x:c r="B213" s="88"/>
      <x:c r="D213" s="32"/>
      <x:c r="G213" s="74"/>
      <x:c r="H213" s="74"/>
      <x:c r="I213" s="74"/>
      <x:c r="J213" s="74"/>
      <x:c r="K213" s="74"/>
      <x:c r="L213" s="74"/>
      <x:c r="M213" s="91"/>
      <x:c r="N213" s="91"/>
      <x:c r="O213" s="85"/>
      <x:c r="P213" s="85"/>
      <x:c r="Q213" s="85"/>
      <x:c r="R213" s="85"/>
      <x:c r="S213" s="85"/>
      <x:c r="T213" s="85"/>
      <x:c r="U213" s="85"/>
      <x:c r="W213" s="86"/>
      <x:c r="X213" s="86"/>
      <x:c r="Y213" s="32"/>
    </x:row>
    <x:row r="214">
      <x:c r="A214" s="87"/>
      <x:c r="B214" s="88"/>
      <x:c r="D214" s="32"/>
      <x:c r="G214" s="74"/>
      <x:c r="H214" s="74"/>
      <x:c r="I214" s="74"/>
      <x:c r="J214" s="74"/>
      <x:c r="K214" s="74"/>
      <x:c r="L214" s="74"/>
      <x:c r="M214" s="91"/>
      <x:c r="N214" s="91"/>
      <x:c r="O214" s="85"/>
      <x:c r="P214" s="85"/>
      <x:c r="Q214" s="85"/>
      <x:c r="R214" s="85"/>
      <x:c r="S214" s="85"/>
      <x:c r="T214" s="85"/>
      <x:c r="U214" s="85"/>
      <x:c r="W214" s="86"/>
      <x:c r="X214" s="86"/>
      <x:c r="Y214" s="32"/>
    </x:row>
    <x:row r="215">
      <x:c r="A215" s="87"/>
      <x:c r="B215" s="88"/>
      <x:c r="D215" s="32"/>
      <x:c r="G215" s="74"/>
      <x:c r="H215" s="74"/>
      <x:c r="I215" s="74"/>
      <x:c r="J215" s="74"/>
      <x:c r="K215" s="74"/>
      <x:c r="L215" s="74"/>
      <x:c r="M215" s="91"/>
      <x:c r="N215" s="91"/>
      <x:c r="O215" s="85"/>
      <x:c r="P215" s="85"/>
      <x:c r="Q215" s="85"/>
      <x:c r="R215" s="85"/>
      <x:c r="S215" s="85"/>
      <x:c r="T215" s="85"/>
      <x:c r="U215" s="85"/>
      <x:c r="W215" s="86"/>
      <x:c r="X215" s="86"/>
      <x:c r="Y215" s="32"/>
    </x:row>
    <x:row r="216">
      <x:c r="A216" s="87"/>
      <x:c r="B216" s="88"/>
      <x:c r="D216" s="32"/>
      <x:c r="G216" s="74"/>
      <x:c r="H216" s="74"/>
      <x:c r="I216" s="74"/>
      <x:c r="J216" s="74"/>
      <x:c r="K216" s="74"/>
      <x:c r="L216" s="74"/>
      <x:c r="M216" s="91"/>
      <x:c r="N216" s="91"/>
      <x:c r="O216" s="85"/>
      <x:c r="P216" s="85"/>
      <x:c r="Q216" s="85"/>
      <x:c r="R216" s="85"/>
      <x:c r="S216" s="85"/>
      <x:c r="T216" s="85"/>
      <x:c r="U216" s="85"/>
      <x:c r="W216" s="86"/>
      <x:c r="X216" s="86"/>
      <x:c r="Y216" s="32"/>
    </x:row>
    <x:row r="217">
      <x:c r="A217" s="87"/>
      <x:c r="B217" s="88"/>
      <x:c r="D217" s="32"/>
      <x:c r="G217" s="74"/>
      <x:c r="H217" s="74"/>
      <x:c r="I217" s="74"/>
      <x:c r="J217" s="74"/>
      <x:c r="K217" s="74"/>
      <x:c r="L217" s="74"/>
      <x:c r="M217" s="91"/>
      <x:c r="N217" s="91"/>
      <x:c r="O217" s="85"/>
      <x:c r="P217" s="85"/>
      <x:c r="Q217" s="85"/>
      <x:c r="R217" s="85"/>
      <x:c r="S217" s="85"/>
      <x:c r="T217" s="85"/>
      <x:c r="U217" s="85"/>
      <x:c r="W217" s="86"/>
      <x:c r="X217" s="86"/>
      <x:c r="Y217" s="32"/>
    </x:row>
    <x:row r="218">
      <x:c r="A218" s="87"/>
      <x:c r="B218" s="88"/>
      <x:c r="D218" s="32"/>
      <x:c r="G218" s="74"/>
      <x:c r="H218" s="74"/>
      <x:c r="I218" s="74"/>
      <x:c r="J218" s="74"/>
      <x:c r="K218" s="74"/>
      <x:c r="L218" s="74"/>
      <x:c r="M218" s="91"/>
      <x:c r="N218" s="91"/>
      <x:c r="O218" s="85"/>
      <x:c r="P218" s="85"/>
      <x:c r="Q218" s="85"/>
      <x:c r="R218" s="85"/>
      <x:c r="S218" s="85"/>
      <x:c r="T218" s="85"/>
      <x:c r="U218" s="85"/>
      <x:c r="W218" s="86"/>
      <x:c r="X218" s="86"/>
      <x:c r="Y218" s="32"/>
    </x:row>
    <x:row r="219">
      <x:c r="A219" s="87"/>
      <x:c r="B219" s="88"/>
      <x:c r="D219" s="32"/>
      <x:c r="G219" s="74"/>
      <x:c r="H219" s="74"/>
      <x:c r="I219" s="74"/>
      <x:c r="J219" s="74"/>
      <x:c r="K219" s="74"/>
      <x:c r="L219" s="74"/>
      <x:c r="M219" s="91"/>
      <x:c r="N219" s="91"/>
      <x:c r="O219" s="85"/>
      <x:c r="P219" s="85"/>
      <x:c r="Q219" s="85"/>
      <x:c r="R219" s="85"/>
      <x:c r="S219" s="85"/>
      <x:c r="T219" s="85"/>
      <x:c r="U219" s="85"/>
      <x:c r="W219" s="86"/>
      <x:c r="X219" s="86"/>
      <x:c r="Y219" s="32"/>
    </x:row>
    <x:row r="220">
      <x:c r="A220" s="87"/>
      <x:c r="B220" s="88"/>
      <x:c r="D220" s="32"/>
      <x:c r="G220" s="74"/>
      <x:c r="H220" s="74"/>
      <x:c r="I220" s="74"/>
      <x:c r="J220" s="74"/>
      <x:c r="K220" s="74"/>
      <x:c r="L220" s="74"/>
      <x:c r="M220" s="91"/>
      <x:c r="N220" s="91"/>
      <x:c r="O220" s="85"/>
      <x:c r="P220" s="85"/>
      <x:c r="Q220" s="85"/>
      <x:c r="R220" s="85"/>
      <x:c r="S220" s="85"/>
      <x:c r="T220" s="85"/>
      <x:c r="U220" s="85"/>
      <x:c r="W220" s="86"/>
      <x:c r="X220" s="86"/>
      <x:c r="Y220" s="32"/>
    </x:row>
    <x:row r="221">
      <x:c r="A221" s="87"/>
      <x:c r="B221" s="88"/>
      <x:c r="D221" s="32"/>
      <x:c r="G221" s="74"/>
      <x:c r="H221" s="74"/>
      <x:c r="I221" s="74"/>
      <x:c r="J221" s="74"/>
      <x:c r="K221" s="74"/>
      <x:c r="L221" s="74"/>
      <x:c r="M221" s="91"/>
      <x:c r="N221" s="91"/>
      <x:c r="O221" s="85"/>
      <x:c r="P221" s="85"/>
      <x:c r="Q221" s="85"/>
      <x:c r="R221" s="85"/>
      <x:c r="S221" s="85"/>
      <x:c r="T221" s="85"/>
      <x:c r="U221" s="85"/>
      <x:c r="W221" s="86"/>
      <x:c r="X221" s="86"/>
      <x:c r="Y221" s="32"/>
    </x:row>
    <x:row r="222">
      <x:c r="A222" s="87"/>
      <x:c r="B222" s="88"/>
      <x:c r="D222" s="32"/>
      <x:c r="G222" s="74"/>
      <x:c r="H222" s="74"/>
      <x:c r="I222" s="74"/>
      <x:c r="J222" s="74"/>
      <x:c r="K222" s="74"/>
      <x:c r="L222" s="74"/>
      <x:c r="M222" s="91"/>
      <x:c r="N222" s="91"/>
      <x:c r="O222" s="85"/>
      <x:c r="P222" s="85"/>
      <x:c r="Q222" s="85"/>
      <x:c r="R222" s="85"/>
      <x:c r="S222" s="85"/>
      <x:c r="T222" s="85"/>
      <x:c r="U222" s="85"/>
      <x:c r="W222" s="86"/>
      <x:c r="X222" s="86"/>
      <x:c r="Y222" s="32"/>
    </x:row>
    <x:row r="223">
      <x:c r="A223" s="87"/>
      <x:c r="B223" s="88"/>
      <x:c r="D223" s="32"/>
      <x:c r="G223" s="74"/>
      <x:c r="H223" s="74"/>
      <x:c r="I223" s="74"/>
      <x:c r="J223" s="74"/>
      <x:c r="K223" s="74"/>
      <x:c r="L223" s="74"/>
      <x:c r="M223" s="91"/>
      <x:c r="N223" s="91"/>
      <x:c r="O223" s="85"/>
      <x:c r="P223" s="85"/>
      <x:c r="Q223" s="85"/>
      <x:c r="R223" s="85"/>
      <x:c r="S223" s="85"/>
      <x:c r="T223" s="85"/>
      <x:c r="U223" s="85"/>
      <x:c r="W223" s="86"/>
      <x:c r="X223" s="86"/>
      <x:c r="Y223" s="32"/>
    </x:row>
    <x:row r="224">
      <x:c r="A224" s="87"/>
      <x:c r="B224" s="88"/>
      <x:c r="D224" s="32"/>
      <x:c r="G224" s="74"/>
      <x:c r="H224" s="74"/>
      <x:c r="I224" s="74"/>
      <x:c r="J224" s="74"/>
      <x:c r="K224" s="74"/>
      <x:c r="L224" s="74"/>
      <x:c r="M224" s="91"/>
      <x:c r="N224" s="91"/>
      <x:c r="O224" s="85"/>
      <x:c r="P224" s="85"/>
      <x:c r="Q224" s="85"/>
      <x:c r="R224" s="85"/>
      <x:c r="S224" s="85"/>
      <x:c r="T224" s="85"/>
      <x:c r="U224" s="85"/>
      <x:c r="W224" s="86"/>
      <x:c r="X224" s="86"/>
      <x:c r="Y224" s="32"/>
    </x:row>
    <x:row r="225">
      <x:c r="A225" s="87"/>
      <x:c r="B225" s="88"/>
      <x:c r="D225" s="32"/>
      <x:c r="G225" s="74"/>
      <x:c r="H225" s="74"/>
      <x:c r="I225" s="74"/>
      <x:c r="J225" s="74"/>
      <x:c r="K225" s="74"/>
      <x:c r="L225" s="74"/>
      <x:c r="M225" s="91"/>
      <x:c r="N225" s="91"/>
      <x:c r="O225" s="85"/>
      <x:c r="P225" s="85"/>
      <x:c r="Q225" s="85"/>
      <x:c r="R225" s="85"/>
      <x:c r="S225" s="85"/>
      <x:c r="T225" s="85"/>
      <x:c r="U225" s="85"/>
      <x:c r="W225" s="86"/>
      <x:c r="X225" s="86"/>
      <x:c r="Y225" s="32"/>
    </x:row>
    <x:row r="226">
      <x:c r="A226" s="87"/>
      <x:c r="B226" s="88"/>
      <x:c r="D226" s="32"/>
      <x:c r="G226" s="74"/>
      <x:c r="H226" s="74"/>
      <x:c r="I226" s="74"/>
      <x:c r="J226" s="74"/>
      <x:c r="K226" s="74"/>
      <x:c r="L226" s="74"/>
      <x:c r="M226" s="91"/>
      <x:c r="N226" s="91"/>
      <x:c r="O226" s="85"/>
      <x:c r="P226" s="85"/>
      <x:c r="Q226" s="85"/>
      <x:c r="R226" s="85"/>
      <x:c r="S226" s="85"/>
      <x:c r="T226" s="85"/>
      <x:c r="U226" s="85"/>
      <x:c r="W226" s="86"/>
      <x:c r="X226" s="86"/>
      <x:c r="Y226" s="32"/>
    </x:row>
    <x:row r="227">
      <x:c r="A227" s="87"/>
      <x:c r="B227" s="88"/>
      <x:c r="D227" s="32"/>
      <x:c r="G227" s="74"/>
      <x:c r="H227" s="74"/>
      <x:c r="I227" s="74"/>
      <x:c r="J227" s="74"/>
      <x:c r="K227" s="74"/>
      <x:c r="L227" s="74"/>
      <x:c r="M227" s="91"/>
      <x:c r="N227" s="91"/>
      <x:c r="O227" s="85"/>
      <x:c r="P227" s="85"/>
      <x:c r="Q227" s="85"/>
      <x:c r="R227" s="85"/>
      <x:c r="S227" s="85"/>
      <x:c r="T227" s="85"/>
      <x:c r="U227" s="85"/>
      <x:c r="W227" s="86"/>
      <x:c r="X227" s="86"/>
      <x:c r="Y227" s="32"/>
    </x:row>
    <x:row r="228">
      <x:c r="A228" s="87"/>
      <x:c r="B228" s="88"/>
      <x:c r="D228" s="32"/>
      <x:c r="G228" s="74"/>
      <x:c r="H228" s="74"/>
      <x:c r="I228" s="74"/>
      <x:c r="J228" s="74"/>
      <x:c r="K228" s="74"/>
      <x:c r="L228" s="74"/>
      <x:c r="M228" s="91"/>
      <x:c r="N228" s="91"/>
      <x:c r="O228" s="85"/>
      <x:c r="P228" s="85"/>
      <x:c r="Q228" s="85"/>
      <x:c r="R228" s="85"/>
      <x:c r="S228" s="85"/>
      <x:c r="T228" s="85"/>
      <x:c r="U228" s="85"/>
      <x:c r="W228" s="86"/>
      <x:c r="X228" s="86"/>
      <x:c r="Y228" s="32"/>
    </x:row>
    <x:row r="229">
      <x:c r="A229" s="87"/>
      <x:c r="B229" s="88"/>
      <x:c r="D229" s="32"/>
      <x:c r="G229" s="74"/>
      <x:c r="H229" s="74"/>
      <x:c r="I229" s="74"/>
      <x:c r="J229" s="74"/>
      <x:c r="K229" s="74"/>
      <x:c r="L229" s="74"/>
      <x:c r="M229" s="91"/>
      <x:c r="N229" s="91"/>
      <x:c r="O229" s="85"/>
      <x:c r="P229" s="85"/>
      <x:c r="Q229" s="85"/>
      <x:c r="R229" s="85"/>
      <x:c r="S229" s="85"/>
      <x:c r="T229" s="85"/>
      <x:c r="U229" s="85"/>
      <x:c r="W229" s="86"/>
      <x:c r="X229" s="86"/>
      <x:c r="Y229" s="32"/>
    </x:row>
    <x:row r="230">
      <x:c r="A230" s="87"/>
      <x:c r="B230" s="88"/>
      <x:c r="D230" s="32"/>
      <x:c r="G230" s="74"/>
      <x:c r="H230" s="74"/>
      <x:c r="I230" s="74"/>
      <x:c r="J230" s="74"/>
      <x:c r="K230" s="74"/>
      <x:c r="L230" s="74"/>
      <x:c r="M230" s="91"/>
      <x:c r="N230" s="91"/>
      <x:c r="O230" s="85"/>
      <x:c r="P230" s="85"/>
      <x:c r="Q230" s="85"/>
      <x:c r="R230" s="85"/>
      <x:c r="S230" s="85"/>
      <x:c r="T230" s="85"/>
      <x:c r="U230" s="85"/>
      <x:c r="W230" s="86"/>
      <x:c r="X230" s="86"/>
      <x:c r="Y230" s="32"/>
    </x:row>
    <x:row r="231">
      <x:c r="A231" s="87"/>
      <x:c r="B231" s="88"/>
      <x:c r="D231" s="32"/>
      <x:c r="G231" s="74"/>
      <x:c r="H231" s="74"/>
      <x:c r="I231" s="74"/>
      <x:c r="J231" s="74"/>
      <x:c r="K231" s="74"/>
      <x:c r="L231" s="74"/>
      <x:c r="M231" s="91"/>
      <x:c r="N231" s="91"/>
      <x:c r="O231" s="85"/>
      <x:c r="P231" s="85"/>
      <x:c r="Q231" s="85"/>
      <x:c r="R231" s="85"/>
      <x:c r="S231" s="85"/>
      <x:c r="T231" s="85"/>
      <x:c r="U231" s="85"/>
      <x:c r="W231" s="86"/>
      <x:c r="X231" s="86"/>
      <x:c r="Y231" s="32"/>
    </x:row>
    <x:row r="232">
      <x:c r="A232" s="87"/>
      <x:c r="B232" s="88"/>
      <x:c r="D232" s="32"/>
      <x:c r="G232" s="74"/>
      <x:c r="H232" s="74"/>
      <x:c r="I232" s="74"/>
      <x:c r="J232" s="74"/>
      <x:c r="K232" s="74"/>
      <x:c r="L232" s="74"/>
      <x:c r="M232" s="91"/>
      <x:c r="N232" s="91"/>
      <x:c r="O232" s="85"/>
      <x:c r="P232" s="85"/>
      <x:c r="Q232" s="85"/>
      <x:c r="R232" s="85"/>
      <x:c r="S232" s="85"/>
      <x:c r="T232" s="85"/>
      <x:c r="U232" s="85"/>
      <x:c r="W232" s="86"/>
      <x:c r="X232" s="86"/>
      <x:c r="Y232" s="32"/>
    </x:row>
    <x:row r="233">
      <x:c r="A233" s="87"/>
      <x:c r="B233" s="88"/>
      <x:c r="D233" s="32"/>
      <x:c r="G233" s="74"/>
      <x:c r="H233" s="74"/>
      <x:c r="I233" s="74"/>
      <x:c r="J233" s="74"/>
      <x:c r="K233" s="74"/>
      <x:c r="L233" s="74"/>
      <x:c r="M233" s="91"/>
      <x:c r="N233" s="91"/>
      <x:c r="O233" s="85"/>
      <x:c r="P233" s="85"/>
      <x:c r="Q233" s="85"/>
      <x:c r="R233" s="85"/>
      <x:c r="S233" s="85"/>
      <x:c r="T233" s="85"/>
      <x:c r="U233" s="85"/>
      <x:c r="W233" s="86"/>
      <x:c r="X233" s="86"/>
      <x:c r="Y233" s="32"/>
    </x:row>
    <x:row r="234">
      <x:c r="A234" s="87"/>
      <x:c r="B234" s="88"/>
      <x:c r="D234" s="32"/>
      <x:c r="G234" s="74"/>
      <x:c r="H234" s="74"/>
      <x:c r="I234" s="74"/>
      <x:c r="J234" s="74"/>
      <x:c r="K234" s="74"/>
      <x:c r="L234" s="74"/>
      <x:c r="M234" s="91"/>
      <x:c r="N234" s="91"/>
      <x:c r="O234" s="85"/>
      <x:c r="P234" s="85"/>
      <x:c r="Q234" s="85"/>
      <x:c r="R234" s="85"/>
      <x:c r="S234" s="85"/>
      <x:c r="T234" s="85"/>
      <x:c r="U234" s="85"/>
      <x:c r="W234" s="86"/>
      <x:c r="X234" s="86"/>
      <x:c r="Y234" s="32"/>
    </x:row>
    <x:row r="235">
      <x:c r="A235" s="87"/>
      <x:c r="B235" s="88"/>
      <x:c r="D235" s="32"/>
      <x:c r="G235" s="74"/>
      <x:c r="H235" s="74"/>
      <x:c r="I235" s="74"/>
      <x:c r="J235" s="74"/>
      <x:c r="K235" s="74"/>
      <x:c r="L235" s="74"/>
      <x:c r="M235" s="91"/>
      <x:c r="N235" s="91"/>
      <x:c r="O235" s="85"/>
      <x:c r="P235" s="85"/>
      <x:c r="Q235" s="85"/>
      <x:c r="R235" s="85"/>
      <x:c r="S235" s="85"/>
      <x:c r="T235" s="85"/>
      <x:c r="U235" s="85"/>
      <x:c r="W235" s="86"/>
      <x:c r="X235" s="86"/>
      <x:c r="Y235" s="32"/>
    </x:row>
    <x:row r="236">
      <x:c r="A236" s="87"/>
      <x:c r="B236" s="88"/>
      <x:c r="D236" s="32"/>
      <x:c r="G236" s="74"/>
      <x:c r="H236" s="74"/>
      <x:c r="I236" s="74"/>
      <x:c r="J236" s="74"/>
      <x:c r="K236" s="74"/>
      <x:c r="L236" s="74"/>
      <x:c r="M236" s="91"/>
      <x:c r="N236" s="91"/>
      <x:c r="O236" s="85"/>
      <x:c r="P236" s="85"/>
      <x:c r="Q236" s="85"/>
      <x:c r="R236" s="85"/>
      <x:c r="S236" s="85"/>
      <x:c r="T236" s="85"/>
      <x:c r="U236" s="85"/>
      <x:c r="W236" s="86"/>
      <x:c r="X236" s="86"/>
      <x:c r="Y236" s="32"/>
    </x:row>
    <x:row r="237">
      <x:c r="A237" s="87"/>
      <x:c r="B237" s="88"/>
      <x:c r="D237" s="32"/>
      <x:c r="G237" s="74"/>
      <x:c r="H237" s="74"/>
      <x:c r="I237" s="74"/>
      <x:c r="J237" s="74"/>
      <x:c r="K237" s="74"/>
      <x:c r="L237" s="74"/>
      <x:c r="M237" s="91"/>
      <x:c r="N237" s="91"/>
      <x:c r="O237" s="85"/>
      <x:c r="P237" s="85"/>
      <x:c r="Q237" s="85"/>
      <x:c r="R237" s="85"/>
      <x:c r="S237" s="85"/>
      <x:c r="T237" s="85"/>
      <x:c r="U237" s="85"/>
      <x:c r="W237" s="86"/>
      <x:c r="X237" s="86"/>
      <x:c r="Y237" s="32"/>
    </x:row>
    <x:row r="238">
      <x:c r="A238" s="87"/>
      <x:c r="B238" s="88"/>
      <x:c r="D238" s="32"/>
      <x:c r="G238" s="74"/>
      <x:c r="H238" s="74"/>
      <x:c r="I238" s="74"/>
      <x:c r="J238" s="74"/>
      <x:c r="K238" s="74"/>
      <x:c r="L238" s="74"/>
      <x:c r="M238" s="91"/>
      <x:c r="N238" s="91"/>
      <x:c r="O238" s="85"/>
      <x:c r="P238" s="85"/>
      <x:c r="Q238" s="85"/>
      <x:c r="R238" s="85"/>
      <x:c r="S238" s="85"/>
      <x:c r="T238" s="85"/>
      <x:c r="U238" s="85"/>
      <x:c r="W238" s="86"/>
      <x:c r="X238" s="86"/>
      <x:c r="Y238" s="32"/>
    </x:row>
    <x:row r="239">
      <x:c r="A239" s="87"/>
      <x:c r="B239" s="88"/>
      <x:c r="D239" s="32"/>
      <x:c r="G239" s="74"/>
      <x:c r="H239" s="74"/>
      <x:c r="I239" s="74"/>
      <x:c r="J239" s="74"/>
      <x:c r="K239" s="74"/>
      <x:c r="L239" s="74"/>
      <x:c r="M239" s="91"/>
      <x:c r="N239" s="91"/>
      <x:c r="O239" s="85"/>
      <x:c r="P239" s="85"/>
      <x:c r="Q239" s="85"/>
      <x:c r="R239" s="85"/>
      <x:c r="S239" s="85"/>
      <x:c r="T239" s="85"/>
      <x:c r="U239" s="85"/>
      <x:c r="W239" s="86"/>
      <x:c r="X239" s="86"/>
      <x:c r="Y239" s="32"/>
    </x:row>
    <x:row r="240">
      <x:c r="A240" s="87"/>
      <x:c r="B240" s="88"/>
      <x:c r="D240" s="32"/>
      <x:c r="G240" s="74"/>
      <x:c r="H240" s="74"/>
      <x:c r="I240" s="74"/>
      <x:c r="J240" s="74"/>
      <x:c r="K240" s="74"/>
      <x:c r="L240" s="74"/>
      <x:c r="M240" s="91"/>
      <x:c r="N240" s="91"/>
      <x:c r="O240" s="85"/>
      <x:c r="P240" s="85"/>
      <x:c r="Q240" s="85"/>
      <x:c r="R240" s="85"/>
      <x:c r="S240" s="85"/>
      <x:c r="T240" s="85"/>
      <x:c r="U240" s="85"/>
      <x:c r="W240" s="86"/>
      <x:c r="X240" s="86"/>
      <x:c r="Y240" s="32"/>
    </x:row>
    <x:row r="241">
      <x:c r="A241" s="87"/>
      <x:c r="B241" s="88"/>
      <x:c r="D241" s="32"/>
      <x:c r="G241" s="74"/>
      <x:c r="H241" s="74"/>
      <x:c r="I241" s="74"/>
      <x:c r="J241" s="74"/>
      <x:c r="K241" s="74"/>
      <x:c r="L241" s="74"/>
      <x:c r="M241" s="91"/>
      <x:c r="N241" s="91"/>
      <x:c r="O241" s="85"/>
      <x:c r="P241" s="85"/>
      <x:c r="Q241" s="85"/>
      <x:c r="R241" s="85"/>
      <x:c r="S241" s="85"/>
      <x:c r="T241" s="85"/>
      <x:c r="U241" s="85"/>
      <x:c r="W241" s="86"/>
      <x:c r="X241" s="86"/>
      <x:c r="Y241" s="32"/>
    </x:row>
    <x:row r="242">
      <x:c r="A242" s="87"/>
      <x:c r="B242" s="88"/>
      <x:c r="D242" s="32"/>
      <x:c r="G242" s="74"/>
      <x:c r="H242" s="74"/>
      <x:c r="I242" s="74"/>
      <x:c r="J242" s="74"/>
      <x:c r="K242" s="74"/>
      <x:c r="L242" s="74"/>
      <x:c r="M242" s="91"/>
      <x:c r="N242" s="91"/>
      <x:c r="O242" s="85"/>
      <x:c r="P242" s="85"/>
      <x:c r="Q242" s="85"/>
      <x:c r="R242" s="85"/>
      <x:c r="S242" s="85"/>
      <x:c r="T242" s="85"/>
      <x:c r="U242" s="85"/>
      <x:c r="W242" s="86"/>
      <x:c r="X242" s="86"/>
      <x:c r="Y242" s="32"/>
    </x:row>
    <x:row r="243">
      <x:c r="A243" s="87"/>
      <x:c r="B243" s="88"/>
      <x:c r="D243" s="32"/>
      <x:c r="G243" s="74"/>
      <x:c r="H243" s="74"/>
      <x:c r="I243" s="74"/>
      <x:c r="J243" s="74"/>
      <x:c r="K243" s="74"/>
      <x:c r="L243" s="74"/>
      <x:c r="M243" s="91"/>
      <x:c r="N243" s="91"/>
      <x:c r="O243" s="85"/>
      <x:c r="P243" s="85"/>
      <x:c r="Q243" s="85"/>
      <x:c r="R243" s="85"/>
      <x:c r="S243" s="85"/>
      <x:c r="T243" s="85"/>
      <x:c r="U243" s="85"/>
      <x:c r="W243" s="86"/>
      <x:c r="X243" s="86"/>
      <x:c r="Y243" s="32"/>
    </x:row>
    <x:row r="244">
      <x:c r="A244" s="87"/>
      <x:c r="B244" s="88"/>
      <x:c r="D244" s="32"/>
      <x:c r="G244" s="74"/>
      <x:c r="H244" s="74"/>
      <x:c r="I244" s="74"/>
      <x:c r="J244" s="74"/>
      <x:c r="K244" s="74"/>
      <x:c r="L244" s="74"/>
      <x:c r="M244" s="91"/>
      <x:c r="N244" s="91"/>
      <x:c r="O244" s="85"/>
      <x:c r="P244" s="85"/>
      <x:c r="Q244" s="85"/>
      <x:c r="R244" s="85"/>
      <x:c r="S244" s="85"/>
      <x:c r="T244" s="85"/>
      <x:c r="U244" s="85"/>
      <x:c r="W244" s="86"/>
      <x:c r="X244" s="86"/>
      <x:c r="Y244" s="32"/>
    </x:row>
    <x:row r="245">
      <x:c r="A245" s="87"/>
      <x:c r="B245" s="88"/>
      <x:c r="D245" s="32"/>
      <x:c r="G245" s="74"/>
      <x:c r="H245" s="74"/>
      <x:c r="I245" s="74"/>
      <x:c r="J245" s="74"/>
      <x:c r="K245" s="74"/>
      <x:c r="L245" s="74"/>
      <x:c r="M245" s="91"/>
      <x:c r="N245" s="91"/>
      <x:c r="O245" s="85"/>
      <x:c r="P245" s="85"/>
      <x:c r="Q245" s="85"/>
      <x:c r="R245" s="85"/>
      <x:c r="S245" s="85"/>
      <x:c r="T245" s="85"/>
      <x:c r="U245" s="85"/>
      <x:c r="W245" s="86"/>
      <x:c r="X245" s="86"/>
      <x:c r="Y245" s="32"/>
    </x:row>
    <x:row r="246">
      <x:c r="A246" s="87"/>
      <x:c r="B246" s="88"/>
      <x:c r="D246" s="32"/>
      <x:c r="G246" s="74"/>
      <x:c r="H246" s="74"/>
      <x:c r="I246" s="74"/>
      <x:c r="J246" s="74"/>
      <x:c r="K246" s="74"/>
      <x:c r="L246" s="74"/>
      <x:c r="M246" s="91"/>
      <x:c r="N246" s="91"/>
      <x:c r="O246" s="85"/>
      <x:c r="P246" s="85"/>
      <x:c r="Q246" s="85"/>
      <x:c r="R246" s="85"/>
      <x:c r="S246" s="85"/>
      <x:c r="T246" s="85"/>
      <x:c r="U246" s="85"/>
      <x:c r="W246" s="86"/>
      <x:c r="X246" s="86"/>
      <x:c r="Y246" s="32"/>
    </x:row>
    <x:row r="247">
      <x:c r="A247" s="87"/>
      <x:c r="B247" s="88"/>
      <x:c r="D247" s="32"/>
      <x:c r="G247" s="74"/>
      <x:c r="H247" s="74"/>
      <x:c r="I247" s="74"/>
      <x:c r="J247" s="74"/>
      <x:c r="K247" s="74"/>
      <x:c r="L247" s="74"/>
      <x:c r="M247" s="91"/>
      <x:c r="N247" s="91"/>
      <x:c r="O247" s="85"/>
      <x:c r="P247" s="85"/>
      <x:c r="Q247" s="85"/>
      <x:c r="R247" s="85"/>
      <x:c r="S247" s="85"/>
      <x:c r="T247" s="85"/>
      <x:c r="U247" s="85"/>
      <x:c r="W247" s="86"/>
      <x:c r="X247" s="86"/>
      <x:c r="Y247" s="32"/>
    </x:row>
    <x:row r="248">
      <x:c r="A248" s="87"/>
      <x:c r="B248" s="88"/>
      <x:c r="D248" s="32"/>
      <x:c r="G248" s="74"/>
      <x:c r="H248" s="74"/>
      <x:c r="I248" s="74"/>
      <x:c r="J248" s="74"/>
      <x:c r="K248" s="74"/>
      <x:c r="L248" s="74"/>
      <x:c r="M248" s="91"/>
      <x:c r="N248" s="91"/>
      <x:c r="O248" s="85"/>
      <x:c r="P248" s="85"/>
      <x:c r="Q248" s="85"/>
      <x:c r="R248" s="85"/>
      <x:c r="S248" s="85"/>
      <x:c r="T248" s="85"/>
      <x:c r="U248" s="85"/>
      <x:c r="W248" s="86"/>
      <x:c r="X248" s="86"/>
      <x:c r="Y248" s="32"/>
    </x:row>
    <x:row r="249">
      <x:c r="A249" s="87"/>
      <x:c r="B249" s="88"/>
      <x:c r="D249" s="32"/>
      <x:c r="G249" s="74"/>
      <x:c r="H249" s="74"/>
      <x:c r="I249" s="74"/>
      <x:c r="J249" s="74"/>
      <x:c r="K249" s="74"/>
      <x:c r="L249" s="74"/>
      <x:c r="M249" s="91"/>
      <x:c r="N249" s="91"/>
      <x:c r="O249" s="85"/>
      <x:c r="P249" s="85"/>
      <x:c r="Q249" s="85"/>
      <x:c r="R249" s="85"/>
      <x:c r="S249" s="85"/>
      <x:c r="T249" s="85"/>
      <x:c r="U249" s="85"/>
      <x:c r="W249" s="86"/>
      <x:c r="X249" s="86"/>
      <x:c r="Y249" s="32"/>
    </x:row>
    <x:row r="250">
      <x:c r="A250" s="87"/>
      <x:c r="B250" s="88"/>
      <x:c r="D250" s="32"/>
      <x:c r="G250" s="74"/>
      <x:c r="H250" s="74"/>
      <x:c r="I250" s="74"/>
      <x:c r="J250" s="74"/>
      <x:c r="K250" s="74"/>
      <x:c r="L250" s="74"/>
      <x:c r="M250" s="91"/>
      <x:c r="N250" s="91"/>
      <x:c r="O250" s="85"/>
      <x:c r="P250" s="85"/>
      <x:c r="Q250" s="85"/>
      <x:c r="R250" s="85"/>
      <x:c r="S250" s="85"/>
      <x:c r="T250" s="85"/>
      <x:c r="U250" s="85"/>
      <x:c r="W250" s="86"/>
      <x:c r="X250" s="86"/>
      <x:c r="Y250" s="32"/>
    </x:row>
    <x:row r="251">
      <x:c r="A251" s="87"/>
      <x:c r="B251" s="88"/>
      <x:c r="D251" s="32"/>
      <x:c r="G251" s="74"/>
      <x:c r="H251" s="74"/>
      <x:c r="I251" s="74"/>
      <x:c r="J251" s="74"/>
      <x:c r="K251" s="74"/>
      <x:c r="L251" s="74"/>
      <x:c r="M251" s="91"/>
      <x:c r="N251" s="91"/>
      <x:c r="O251" s="85"/>
      <x:c r="P251" s="85"/>
      <x:c r="Q251" s="85"/>
      <x:c r="R251" s="85"/>
      <x:c r="S251" s="85"/>
      <x:c r="T251" s="85"/>
      <x:c r="U251" s="85"/>
      <x:c r="W251" s="86"/>
      <x:c r="X251" s="86"/>
      <x:c r="Y251" s="32"/>
    </x:row>
    <x:row r="252">
      <x:c r="A252" s="87"/>
      <x:c r="B252" s="88"/>
      <x:c r="D252" s="32"/>
      <x:c r="G252" s="74"/>
      <x:c r="H252" s="74"/>
      <x:c r="I252" s="74"/>
      <x:c r="J252" s="74"/>
      <x:c r="K252" s="74"/>
      <x:c r="L252" s="74"/>
      <x:c r="M252" s="91"/>
      <x:c r="N252" s="91"/>
      <x:c r="O252" s="85"/>
      <x:c r="P252" s="85"/>
      <x:c r="Q252" s="85"/>
      <x:c r="R252" s="85"/>
      <x:c r="S252" s="85"/>
      <x:c r="T252" s="85"/>
      <x:c r="U252" s="85"/>
      <x:c r="W252" s="86"/>
      <x:c r="X252" s="86"/>
      <x:c r="Y252" s="32"/>
    </x:row>
    <x:row r="253">
      <x:c r="A253" s="87"/>
      <x:c r="B253" s="88"/>
      <x:c r="D253" s="32"/>
      <x:c r="G253" s="74"/>
      <x:c r="H253" s="74"/>
      <x:c r="I253" s="74"/>
      <x:c r="J253" s="74"/>
      <x:c r="K253" s="74"/>
      <x:c r="L253" s="74"/>
      <x:c r="M253" s="91"/>
      <x:c r="N253" s="91"/>
      <x:c r="O253" s="85"/>
      <x:c r="P253" s="85"/>
      <x:c r="Q253" s="85"/>
      <x:c r="R253" s="85"/>
      <x:c r="S253" s="85"/>
      <x:c r="T253" s="85"/>
      <x:c r="U253" s="85"/>
      <x:c r="W253" s="86"/>
      <x:c r="X253" s="86"/>
      <x:c r="Y253" s="32"/>
    </x:row>
    <x:row r="254">
      <x:c r="A254" s="87"/>
      <x:c r="B254" s="88"/>
      <x:c r="D254" s="32"/>
      <x:c r="G254" s="74"/>
      <x:c r="H254" s="74"/>
      <x:c r="I254" s="74"/>
      <x:c r="J254" s="74"/>
      <x:c r="K254" s="74"/>
      <x:c r="L254" s="74"/>
      <x:c r="M254" s="91"/>
      <x:c r="N254" s="91"/>
      <x:c r="O254" s="85"/>
      <x:c r="P254" s="85"/>
      <x:c r="Q254" s="85"/>
      <x:c r="R254" s="85"/>
      <x:c r="S254" s="85"/>
      <x:c r="T254" s="85"/>
      <x:c r="U254" s="85"/>
      <x:c r="W254" s="86"/>
      <x:c r="X254" s="86"/>
      <x:c r="Y254" s="32"/>
    </x:row>
    <x:row r="255">
      <x:c r="A255" s="87"/>
      <x:c r="B255" s="88"/>
      <x:c r="D255" s="32"/>
      <x:c r="G255" s="74"/>
      <x:c r="H255" s="74"/>
      <x:c r="I255" s="74"/>
      <x:c r="J255" s="74"/>
      <x:c r="K255" s="74"/>
      <x:c r="L255" s="74"/>
      <x:c r="M255" s="91"/>
      <x:c r="N255" s="91"/>
      <x:c r="O255" s="85"/>
      <x:c r="P255" s="85"/>
      <x:c r="Q255" s="85"/>
      <x:c r="R255" s="85"/>
      <x:c r="S255" s="85"/>
      <x:c r="T255" s="85"/>
      <x:c r="U255" s="85"/>
      <x:c r="W255" s="86"/>
      <x:c r="X255" s="86"/>
      <x:c r="Y255" s="32"/>
    </x:row>
    <x:row r="256">
      <x:c r="A256" s="87"/>
      <x:c r="B256" s="88"/>
      <x:c r="D256" s="32"/>
      <x:c r="G256" s="74"/>
      <x:c r="H256" s="74"/>
      <x:c r="I256" s="74"/>
      <x:c r="J256" s="74"/>
      <x:c r="K256" s="74"/>
      <x:c r="L256" s="74"/>
      <x:c r="M256" s="91"/>
      <x:c r="N256" s="91"/>
      <x:c r="O256" s="85"/>
      <x:c r="P256" s="85"/>
      <x:c r="Q256" s="85"/>
      <x:c r="R256" s="85"/>
      <x:c r="S256" s="85"/>
      <x:c r="T256" s="85"/>
      <x:c r="U256" s="85"/>
      <x:c r="W256" s="86"/>
      <x:c r="X256" s="86"/>
      <x:c r="Y256" s="32"/>
    </x:row>
    <x:row r="257">
      <x:c r="A257" s="87"/>
      <x:c r="B257" s="88"/>
      <x:c r="D257" s="32"/>
      <x:c r="G257" s="74"/>
      <x:c r="H257" s="74"/>
      <x:c r="I257" s="74"/>
      <x:c r="J257" s="74"/>
      <x:c r="K257" s="74"/>
      <x:c r="L257" s="74"/>
      <x:c r="M257" s="91"/>
      <x:c r="N257" s="91"/>
      <x:c r="O257" s="85"/>
      <x:c r="P257" s="85"/>
      <x:c r="Q257" s="85"/>
      <x:c r="R257" s="85"/>
      <x:c r="S257" s="85"/>
      <x:c r="T257" s="85"/>
      <x:c r="U257" s="85"/>
      <x:c r="W257" s="86"/>
      <x:c r="X257" s="86"/>
      <x:c r="Y257" s="32"/>
    </x:row>
    <x:row r="258">
      <x:c r="A258" s="87"/>
      <x:c r="B258" s="88"/>
      <x:c r="D258" s="32"/>
      <x:c r="G258" s="74"/>
      <x:c r="H258" s="74"/>
      <x:c r="I258" s="74"/>
      <x:c r="J258" s="74"/>
      <x:c r="K258" s="74"/>
      <x:c r="L258" s="74"/>
      <x:c r="M258" s="91"/>
      <x:c r="N258" s="91"/>
      <x:c r="O258" s="85"/>
      <x:c r="P258" s="85"/>
      <x:c r="Q258" s="85"/>
      <x:c r="R258" s="85"/>
      <x:c r="S258" s="85"/>
      <x:c r="T258" s="85"/>
      <x:c r="U258" s="85"/>
      <x:c r="W258" s="86"/>
      <x:c r="X258" s="86"/>
      <x:c r="Y258" s="32"/>
    </x:row>
    <x:row r="259">
      <x:c r="A259" s="87"/>
      <x:c r="B259" s="88"/>
      <x:c r="D259" s="32"/>
      <x:c r="G259" s="74"/>
      <x:c r="H259" s="74"/>
      <x:c r="I259" s="74"/>
      <x:c r="J259" s="74"/>
      <x:c r="K259" s="74"/>
      <x:c r="L259" s="74"/>
      <x:c r="M259" s="91"/>
      <x:c r="N259" s="91"/>
      <x:c r="O259" s="85"/>
      <x:c r="P259" s="85"/>
      <x:c r="Q259" s="85"/>
      <x:c r="R259" s="85"/>
      <x:c r="S259" s="85"/>
      <x:c r="T259" s="85"/>
      <x:c r="U259" s="85"/>
      <x:c r="W259" s="86"/>
      <x:c r="X259" s="86"/>
      <x:c r="Y259" s="32"/>
    </x:row>
    <x:row r="260">
      <x:c r="A260" s="87"/>
      <x:c r="B260" s="88"/>
      <x:c r="D260" s="32"/>
      <x:c r="G260" s="74"/>
      <x:c r="H260" s="74"/>
      <x:c r="I260" s="74"/>
      <x:c r="J260" s="74"/>
      <x:c r="K260" s="74"/>
      <x:c r="L260" s="74"/>
      <x:c r="M260" s="91"/>
      <x:c r="N260" s="91"/>
      <x:c r="O260" s="85"/>
      <x:c r="P260" s="85"/>
      <x:c r="Q260" s="85"/>
      <x:c r="R260" s="85"/>
      <x:c r="S260" s="85"/>
      <x:c r="T260" s="85"/>
      <x:c r="U260" s="85"/>
      <x:c r="W260" s="86"/>
      <x:c r="X260" s="86"/>
      <x:c r="Y260" s="32"/>
    </x:row>
    <x:row r="261">
      <x:c r="A261" s="87"/>
      <x:c r="B261" s="88"/>
      <x:c r="D261" s="32"/>
      <x:c r="G261" s="74"/>
      <x:c r="H261" s="74"/>
      <x:c r="I261" s="74"/>
      <x:c r="J261" s="74"/>
      <x:c r="K261" s="74"/>
      <x:c r="L261" s="74"/>
      <x:c r="M261" s="91"/>
      <x:c r="N261" s="91"/>
      <x:c r="O261" s="85"/>
      <x:c r="P261" s="85"/>
      <x:c r="Q261" s="85"/>
      <x:c r="R261" s="85"/>
      <x:c r="S261" s="85"/>
      <x:c r="T261" s="85"/>
      <x:c r="U261" s="85"/>
      <x:c r="W261" s="86"/>
      <x:c r="X261" s="86"/>
      <x:c r="Y261" s="32"/>
    </x:row>
    <x:row r="262">
      <x:c r="A262" s="87"/>
      <x:c r="B262" s="88"/>
      <x:c r="D262" s="32"/>
      <x:c r="G262" s="74"/>
      <x:c r="H262" s="74"/>
      <x:c r="I262" s="74"/>
      <x:c r="J262" s="74"/>
      <x:c r="K262" s="74"/>
      <x:c r="L262" s="74"/>
      <x:c r="M262" s="91"/>
      <x:c r="N262" s="91"/>
      <x:c r="O262" s="85"/>
      <x:c r="P262" s="85"/>
      <x:c r="Q262" s="85"/>
      <x:c r="R262" s="85"/>
      <x:c r="S262" s="85"/>
      <x:c r="T262" s="85"/>
      <x:c r="U262" s="85"/>
      <x:c r="W262" s="86"/>
      <x:c r="X262" s="86"/>
      <x:c r="Y262" s="32"/>
    </x:row>
    <x:row r="263">
      <x:c r="A263" s="87"/>
      <x:c r="B263" s="88"/>
      <x:c r="D263" s="32"/>
      <x:c r="G263" s="74"/>
      <x:c r="H263" s="74"/>
      <x:c r="I263" s="74"/>
      <x:c r="J263" s="74"/>
      <x:c r="K263" s="74"/>
      <x:c r="L263" s="74"/>
      <x:c r="M263" s="91"/>
      <x:c r="N263" s="91"/>
      <x:c r="O263" s="85"/>
      <x:c r="P263" s="85"/>
      <x:c r="Q263" s="85"/>
      <x:c r="R263" s="85"/>
      <x:c r="S263" s="85"/>
      <x:c r="T263" s="85"/>
      <x:c r="U263" s="85"/>
      <x:c r="W263" s="86"/>
      <x:c r="X263" s="86"/>
      <x:c r="Y263" s="32"/>
    </x:row>
    <x:row r="264">
      <x:c r="A264" s="87"/>
      <x:c r="B264" s="88"/>
      <x:c r="D264" s="32"/>
      <x:c r="G264" s="74"/>
      <x:c r="H264" s="74"/>
      <x:c r="I264" s="74"/>
      <x:c r="J264" s="74"/>
      <x:c r="K264" s="74"/>
      <x:c r="L264" s="74"/>
      <x:c r="M264" s="91"/>
      <x:c r="N264" s="91"/>
      <x:c r="O264" s="85"/>
      <x:c r="P264" s="85"/>
      <x:c r="Q264" s="85"/>
      <x:c r="R264" s="85"/>
      <x:c r="S264" s="85"/>
      <x:c r="T264" s="85"/>
      <x:c r="U264" s="85"/>
      <x:c r="W264" s="86"/>
      <x:c r="X264" s="86"/>
      <x:c r="Y264" s="32"/>
    </x:row>
    <x:row r="265">
      <x:c r="A265" s="87"/>
      <x:c r="B265" s="88"/>
      <x:c r="D265" s="32"/>
      <x:c r="G265" s="74"/>
      <x:c r="H265" s="74"/>
      <x:c r="I265" s="74"/>
      <x:c r="J265" s="74"/>
      <x:c r="K265" s="74"/>
      <x:c r="L265" s="74"/>
      <x:c r="M265" s="91"/>
      <x:c r="N265" s="91"/>
      <x:c r="O265" s="85"/>
      <x:c r="P265" s="85"/>
      <x:c r="Q265" s="85"/>
      <x:c r="R265" s="85"/>
      <x:c r="S265" s="85"/>
      <x:c r="T265" s="85"/>
      <x:c r="U265" s="85"/>
      <x:c r="W265" s="86"/>
      <x:c r="X265" s="86"/>
      <x:c r="Y265" s="32"/>
    </x:row>
    <x:row r="266">
      <x:c r="A266" s="87"/>
      <x:c r="B266" s="88"/>
      <x:c r="D266" s="32"/>
      <x:c r="G266" s="74"/>
      <x:c r="H266" s="74"/>
      <x:c r="I266" s="74"/>
      <x:c r="J266" s="74"/>
      <x:c r="K266" s="74"/>
      <x:c r="L266" s="74"/>
      <x:c r="M266" s="91"/>
      <x:c r="N266" s="91"/>
      <x:c r="O266" s="85"/>
      <x:c r="P266" s="85"/>
      <x:c r="Q266" s="85"/>
      <x:c r="R266" s="85"/>
      <x:c r="S266" s="85"/>
      <x:c r="T266" s="85"/>
      <x:c r="U266" s="85"/>
      <x:c r="W266" s="86"/>
      <x:c r="X266" s="86"/>
      <x:c r="Y266" s="32"/>
    </x:row>
    <x:row r="267">
      <x:c r="A267" s="87"/>
      <x:c r="B267" s="88"/>
      <x:c r="D267" s="32"/>
      <x:c r="G267" s="74"/>
      <x:c r="H267" s="74"/>
      <x:c r="I267" s="74"/>
      <x:c r="J267" s="74"/>
      <x:c r="K267" s="74"/>
      <x:c r="L267" s="74"/>
      <x:c r="M267" s="91"/>
      <x:c r="N267" s="91"/>
      <x:c r="O267" s="85"/>
      <x:c r="P267" s="85"/>
      <x:c r="Q267" s="85"/>
      <x:c r="R267" s="85"/>
      <x:c r="S267" s="85"/>
      <x:c r="T267" s="85"/>
      <x:c r="U267" s="85"/>
      <x:c r="W267" s="86"/>
      <x:c r="X267" s="86"/>
      <x:c r="Y267" s="32"/>
    </x:row>
    <x:row r="268">
      <x:c r="A268" s="87"/>
      <x:c r="B268" s="88"/>
      <x:c r="D268" s="32"/>
      <x:c r="G268" s="74"/>
      <x:c r="H268" s="74"/>
      <x:c r="I268" s="74"/>
      <x:c r="J268" s="74"/>
      <x:c r="K268" s="74"/>
      <x:c r="L268" s="74"/>
      <x:c r="M268" s="91"/>
      <x:c r="N268" s="91"/>
      <x:c r="O268" s="85"/>
      <x:c r="P268" s="85"/>
      <x:c r="Q268" s="85"/>
      <x:c r="R268" s="85"/>
      <x:c r="S268" s="85"/>
      <x:c r="T268" s="85"/>
      <x:c r="U268" s="85"/>
      <x:c r="W268" s="86"/>
      <x:c r="X268" s="86"/>
      <x:c r="Y268" s="32"/>
    </x:row>
    <x:row r="269">
      <x:c r="A269" s="87"/>
      <x:c r="B269" s="88"/>
      <x:c r="D269" s="32"/>
      <x:c r="G269" s="74"/>
      <x:c r="H269" s="74"/>
      <x:c r="I269" s="74"/>
      <x:c r="J269" s="74"/>
      <x:c r="K269" s="74"/>
      <x:c r="L269" s="74"/>
      <x:c r="M269" s="91"/>
      <x:c r="N269" s="91"/>
      <x:c r="O269" s="85"/>
      <x:c r="P269" s="85"/>
      <x:c r="Q269" s="85"/>
      <x:c r="R269" s="85"/>
      <x:c r="S269" s="85"/>
      <x:c r="T269" s="85"/>
      <x:c r="U269" s="85"/>
      <x:c r="W269" s="86"/>
      <x:c r="X269" s="86"/>
      <x:c r="Y269" s="32"/>
    </x:row>
    <x:row r="270">
      <x:c r="A270" s="87"/>
      <x:c r="B270" s="88"/>
      <x:c r="D270" s="32"/>
      <x:c r="G270" s="74"/>
      <x:c r="H270" s="74"/>
      <x:c r="I270" s="74"/>
      <x:c r="J270" s="74"/>
      <x:c r="K270" s="74"/>
      <x:c r="L270" s="74"/>
      <x:c r="M270" s="91"/>
      <x:c r="N270" s="91"/>
      <x:c r="O270" s="85"/>
      <x:c r="P270" s="85"/>
      <x:c r="Q270" s="85"/>
      <x:c r="R270" s="85"/>
      <x:c r="S270" s="85"/>
      <x:c r="T270" s="85"/>
      <x:c r="U270" s="85"/>
      <x:c r="W270" s="86"/>
      <x:c r="X270" s="86"/>
      <x:c r="Y270" s="32"/>
    </x:row>
    <x:row r="271">
      <x:c r="A271" s="87"/>
      <x:c r="B271" s="88"/>
      <x:c r="D271" s="32"/>
      <x:c r="G271" s="74"/>
      <x:c r="H271" s="74"/>
      <x:c r="I271" s="74"/>
      <x:c r="J271" s="74"/>
      <x:c r="K271" s="74"/>
      <x:c r="L271" s="74"/>
      <x:c r="M271" s="91"/>
      <x:c r="N271" s="91"/>
      <x:c r="O271" s="85"/>
      <x:c r="P271" s="85"/>
      <x:c r="Q271" s="85"/>
      <x:c r="R271" s="85"/>
      <x:c r="S271" s="85"/>
      <x:c r="T271" s="85"/>
      <x:c r="U271" s="85"/>
      <x:c r="W271" s="86"/>
      <x:c r="X271" s="86"/>
      <x:c r="Y271" s="32"/>
    </x:row>
    <x:row r="272">
      <x:c r="A272" s="87"/>
      <x:c r="B272" s="88"/>
      <x:c r="D272" s="32"/>
      <x:c r="G272" s="74"/>
      <x:c r="H272" s="74"/>
      <x:c r="I272" s="74"/>
      <x:c r="J272" s="74"/>
      <x:c r="K272" s="74"/>
      <x:c r="L272" s="74"/>
      <x:c r="M272" s="91"/>
      <x:c r="N272" s="91"/>
      <x:c r="O272" s="85"/>
      <x:c r="P272" s="85"/>
      <x:c r="Q272" s="85"/>
      <x:c r="R272" s="85"/>
      <x:c r="S272" s="85"/>
      <x:c r="T272" s="85"/>
      <x:c r="U272" s="85"/>
      <x:c r="W272" s="86"/>
      <x:c r="X272" s="86"/>
      <x:c r="Y272" s="32"/>
    </x:row>
    <x:row r="273">
      <x:c r="A273" s="87"/>
      <x:c r="B273" s="88"/>
      <x:c r="D273" s="32"/>
      <x:c r="G273" s="74"/>
      <x:c r="H273" s="74"/>
      <x:c r="I273" s="74"/>
      <x:c r="J273" s="74"/>
      <x:c r="K273" s="74"/>
      <x:c r="L273" s="74"/>
      <x:c r="M273" s="91"/>
      <x:c r="N273" s="91"/>
      <x:c r="O273" s="85"/>
      <x:c r="P273" s="85"/>
      <x:c r="Q273" s="85"/>
      <x:c r="R273" s="85"/>
      <x:c r="S273" s="85"/>
      <x:c r="T273" s="85"/>
      <x:c r="U273" s="85"/>
      <x:c r="W273" s="86"/>
      <x:c r="X273" s="86"/>
      <x:c r="Y273" s="32"/>
    </x:row>
    <x:row r="274">
      <x:c r="A274" s="87"/>
      <x:c r="B274" s="88"/>
      <x:c r="D274" s="32"/>
      <x:c r="G274" s="74"/>
      <x:c r="H274" s="74"/>
      <x:c r="I274" s="74"/>
      <x:c r="J274" s="74"/>
      <x:c r="K274" s="74"/>
      <x:c r="L274" s="74"/>
      <x:c r="M274" s="91"/>
      <x:c r="N274" s="91"/>
      <x:c r="O274" s="85"/>
      <x:c r="P274" s="85"/>
      <x:c r="Q274" s="85"/>
      <x:c r="R274" s="85"/>
      <x:c r="S274" s="85"/>
      <x:c r="T274" s="85"/>
      <x:c r="U274" s="85"/>
      <x:c r="W274" s="86"/>
      <x:c r="X274" s="86"/>
      <x:c r="Y274" s="32"/>
    </x:row>
    <x:row r="275">
      <x:c r="A275" s="87"/>
      <x:c r="B275" s="88"/>
      <x:c r="D275" s="32"/>
      <x:c r="G275" s="74"/>
      <x:c r="H275" s="74"/>
      <x:c r="I275" s="74"/>
      <x:c r="J275" s="74"/>
      <x:c r="K275" s="74"/>
      <x:c r="L275" s="74"/>
      <x:c r="M275" s="91"/>
      <x:c r="N275" s="91"/>
      <x:c r="O275" s="85"/>
      <x:c r="P275" s="85"/>
      <x:c r="Q275" s="85"/>
      <x:c r="R275" s="85"/>
      <x:c r="S275" s="85"/>
      <x:c r="T275" s="85"/>
      <x:c r="U275" s="85"/>
      <x:c r="W275" s="86"/>
      <x:c r="X275" s="86"/>
      <x:c r="Y275" s="32"/>
    </x:row>
    <x:row r="276">
      <x:c r="A276" s="87"/>
      <x:c r="B276" s="88"/>
      <x:c r="D276" s="32"/>
      <x:c r="G276" s="74"/>
      <x:c r="H276" s="74"/>
      <x:c r="I276" s="74"/>
      <x:c r="J276" s="74"/>
      <x:c r="K276" s="74"/>
      <x:c r="L276" s="74"/>
      <x:c r="M276" s="91"/>
      <x:c r="N276" s="91"/>
      <x:c r="O276" s="85"/>
      <x:c r="P276" s="85"/>
      <x:c r="Q276" s="85"/>
      <x:c r="R276" s="85"/>
      <x:c r="S276" s="85"/>
      <x:c r="T276" s="85"/>
      <x:c r="U276" s="85"/>
      <x:c r="W276" s="86"/>
      <x:c r="X276" s="86"/>
      <x:c r="Y276" s="32"/>
    </x:row>
    <x:row r="277">
      <x:c r="A277" s="87"/>
      <x:c r="B277" s="88"/>
      <x:c r="D277" s="32"/>
      <x:c r="G277" s="74"/>
      <x:c r="H277" s="74"/>
      <x:c r="I277" s="74"/>
      <x:c r="J277" s="74"/>
      <x:c r="K277" s="74"/>
      <x:c r="L277" s="74"/>
      <x:c r="M277" s="91"/>
      <x:c r="N277" s="91"/>
      <x:c r="O277" s="85"/>
      <x:c r="P277" s="85"/>
      <x:c r="Q277" s="85"/>
      <x:c r="R277" s="85"/>
      <x:c r="S277" s="85"/>
      <x:c r="T277" s="85"/>
      <x:c r="U277" s="85"/>
      <x:c r="W277" s="86"/>
      <x:c r="X277" s="86"/>
      <x:c r="Y277" s="32"/>
    </x:row>
    <x:row r="278">
      <x:c r="A278" s="87"/>
      <x:c r="B278" s="88"/>
      <x:c r="D278" s="32"/>
      <x:c r="G278" s="74"/>
      <x:c r="H278" s="74"/>
      <x:c r="I278" s="74"/>
      <x:c r="J278" s="74"/>
      <x:c r="K278" s="74"/>
      <x:c r="L278" s="74"/>
      <x:c r="M278" s="91"/>
      <x:c r="N278" s="91"/>
      <x:c r="O278" s="85"/>
      <x:c r="P278" s="85"/>
      <x:c r="Q278" s="85"/>
      <x:c r="R278" s="85"/>
      <x:c r="S278" s="85"/>
      <x:c r="T278" s="85"/>
      <x:c r="U278" s="85"/>
      <x:c r="W278" s="86"/>
      <x:c r="X278" s="86"/>
      <x:c r="Y278" s="32"/>
    </x:row>
    <x:row r="279">
      <x:c r="A279" s="87"/>
      <x:c r="B279" s="88"/>
      <x:c r="D279" s="32"/>
      <x:c r="G279" s="74"/>
      <x:c r="H279" s="74"/>
      <x:c r="I279" s="74"/>
      <x:c r="J279" s="74"/>
      <x:c r="K279" s="74"/>
      <x:c r="L279" s="74"/>
      <x:c r="M279" s="91"/>
      <x:c r="N279" s="91"/>
      <x:c r="O279" s="85"/>
      <x:c r="P279" s="85"/>
      <x:c r="Q279" s="85"/>
      <x:c r="R279" s="85"/>
      <x:c r="S279" s="85"/>
      <x:c r="T279" s="85"/>
      <x:c r="U279" s="85"/>
      <x:c r="W279" s="86"/>
      <x:c r="X279" s="86"/>
      <x:c r="Y279" s="32"/>
    </x:row>
    <x:row r="280">
      <x:c r="A280" s="87"/>
      <x:c r="B280" s="88"/>
      <x:c r="D280" s="32"/>
      <x:c r="G280" s="74"/>
      <x:c r="H280" s="74"/>
      <x:c r="I280" s="74"/>
      <x:c r="J280" s="74"/>
      <x:c r="K280" s="74"/>
      <x:c r="L280" s="74"/>
      <x:c r="M280" s="91"/>
      <x:c r="N280" s="91"/>
      <x:c r="O280" s="85"/>
      <x:c r="P280" s="85"/>
      <x:c r="Q280" s="85"/>
      <x:c r="R280" s="85"/>
      <x:c r="S280" s="85"/>
      <x:c r="T280" s="85"/>
      <x:c r="U280" s="85"/>
      <x:c r="W280" s="86"/>
      <x:c r="X280" s="86"/>
      <x:c r="Y280" s="32"/>
    </x:row>
    <x:row r="281">
      <x:c r="A281" s="87"/>
      <x:c r="B281" s="88"/>
      <x:c r="D281" s="32"/>
      <x:c r="G281" s="74"/>
      <x:c r="H281" s="74"/>
      <x:c r="I281" s="74"/>
      <x:c r="J281" s="74"/>
      <x:c r="K281" s="74"/>
      <x:c r="L281" s="74"/>
      <x:c r="M281" s="91"/>
      <x:c r="N281" s="91"/>
      <x:c r="O281" s="85"/>
      <x:c r="P281" s="85"/>
      <x:c r="Q281" s="85"/>
      <x:c r="R281" s="85"/>
      <x:c r="S281" s="85"/>
      <x:c r="T281" s="85"/>
      <x:c r="U281" s="85"/>
      <x:c r="W281" s="86"/>
      <x:c r="X281" s="86"/>
      <x:c r="Y281" s="32"/>
    </x:row>
    <x:row r="282">
      <x:c r="A282" s="87"/>
      <x:c r="B282" s="88"/>
      <x:c r="D282" s="32"/>
      <x:c r="G282" s="74"/>
      <x:c r="H282" s="74"/>
      <x:c r="I282" s="74"/>
      <x:c r="J282" s="74"/>
      <x:c r="K282" s="74"/>
      <x:c r="L282" s="74"/>
      <x:c r="M282" s="91"/>
      <x:c r="N282" s="91"/>
      <x:c r="O282" s="85"/>
      <x:c r="P282" s="85"/>
      <x:c r="Q282" s="85"/>
      <x:c r="R282" s="85"/>
      <x:c r="S282" s="85"/>
      <x:c r="T282" s="85"/>
      <x:c r="U282" s="85"/>
      <x:c r="W282" s="86"/>
      <x:c r="X282" s="86"/>
      <x:c r="Y282" s="32"/>
    </x:row>
    <x:row r="283">
      <x:c r="A283" s="87"/>
      <x:c r="B283" s="88"/>
      <x:c r="D283" s="32"/>
      <x:c r="G283" s="74"/>
      <x:c r="H283" s="74"/>
      <x:c r="I283" s="74"/>
      <x:c r="J283" s="74"/>
      <x:c r="K283" s="74"/>
      <x:c r="L283" s="74"/>
      <x:c r="M283" s="91"/>
      <x:c r="N283" s="91"/>
      <x:c r="O283" s="85"/>
      <x:c r="P283" s="85"/>
      <x:c r="Q283" s="85"/>
      <x:c r="R283" s="85"/>
      <x:c r="S283" s="85"/>
      <x:c r="T283" s="85"/>
      <x:c r="U283" s="85"/>
      <x:c r="W283" s="86"/>
      <x:c r="X283" s="86"/>
      <x:c r="Y283" s="32"/>
    </x:row>
    <x:row r="284">
      <x:c r="A284" s="87"/>
      <x:c r="B284" s="88"/>
      <x:c r="D284" s="32"/>
      <x:c r="G284" s="74"/>
      <x:c r="H284" s="74"/>
      <x:c r="I284" s="74"/>
      <x:c r="J284" s="74"/>
      <x:c r="K284" s="74"/>
      <x:c r="L284" s="74"/>
      <x:c r="M284" s="91"/>
      <x:c r="N284" s="91"/>
      <x:c r="O284" s="85"/>
      <x:c r="P284" s="85"/>
      <x:c r="Q284" s="85"/>
      <x:c r="R284" s="85"/>
      <x:c r="S284" s="85"/>
      <x:c r="T284" s="85"/>
      <x:c r="U284" s="85"/>
      <x:c r="W284" s="86"/>
      <x:c r="X284" s="86"/>
      <x:c r="Y284" s="32"/>
    </x:row>
    <x:row r="285">
      <x:c r="A285" s="87"/>
      <x:c r="B285" s="88"/>
      <x:c r="D285" s="32"/>
      <x:c r="G285" s="74"/>
      <x:c r="H285" s="74"/>
      <x:c r="I285" s="74"/>
      <x:c r="J285" s="74"/>
      <x:c r="K285" s="74"/>
      <x:c r="L285" s="74"/>
      <x:c r="M285" s="91"/>
      <x:c r="N285" s="91"/>
      <x:c r="O285" s="85"/>
      <x:c r="P285" s="85"/>
      <x:c r="Q285" s="85"/>
      <x:c r="R285" s="85"/>
      <x:c r="S285" s="85"/>
      <x:c r="T285" s="85"/>
      <x:c r="U285" s="85"/>
      <x:c r="W285" s="86"/>
      <x:c r="X285" s="86"/>
      <x:c r="Y285" s="32"/>
    </x:row>
    <x:row r="286">
      <x:c r="A286" s="87"/>
      <x:c r="B286" s="88"/>
      <x:c r="D286" s="32"/>
      <x:c r="G286" s="74"/>
      <x:c r="H286" s="74"/>
      <x:c r="I286" s="74"/>
      <x:c r="J286" s="74"/>
      <x:c r="K286" s="74"/>
      <x:c r="L286" s="74"/>
      <x:c r="M286" s="91"/>
      <x:c r="N286" s="91"/>
      <x:c r="O286" s="85"/>
      <x:c r="P286" s="85"/>
      <x:c r="Q286" s="85"/>
      <x:c r="R286" s="85"/>
      <x:c r="S286" s="85"/>
      <x:c r="T286" s="85"/>
      <x:c r="U286" s="85"/>
      <x:c r="W286" s="86"/>
      <x:c r="X286" s="86"/>
      <x:c r="Y286" s="32"/>
    </x:row>
    <x:row r="287">
      <x:c r="A287" s="87"/>
      <x:c r="B287" s="88"/>
      <x:c r="D287" s="32"/>
      <x:c r="G287" s="74"/>
      <x:c r="H287" s="74"/>
      <x:c r="I287" s="74"/>
      <x:c r="J287" s="74"/>
      <x:c r="K287" s="74"/>
      <x:c r="L287" s="74"/>
      <x:c r="M287" s="91"/>
      <x:c r="N287" s="91"/>
      <x:c r="O287" s="85"/>
      <x:c r="P287" s="85"/>
      <x:c r="Q287" s="85"/>
      <x:c r="R287" s="85"/>
      <x:c r="S287" s="85"/>
      <x:c r="T287" s="85"/>
      <x:c r="U287" s="85"/>
      <x:c r="W287" s="86"/>
      <x:c r="X287" s="86"/>
      <x:c r="Y287" s="32"/>
    </x:row>
    <x:row r="288">
      <x:c r="A288" s="87"/>
      <x:c r="B288" s="88"/>
      <x:c r="D288" s="32"/>
      <x:c r="G288" s="74"/>
      <x:c r="H288" s="74"/>
      <x:c r="I288" s="74"/>
      <x:c r="J288" s="74"/>
      <x:c r="K288" s="74"/>
      <x:c r="L288" s="74"/>
      <x:c r="M288" s="91"/>
      <x:c r="N288" s="91"/>
      <x:c r="O288" s="85"/>
      <x:c r="P288" s="85"/>
      <x:c r="Q288" s="85"/>
      <x:c r="R288" s="85"/>
      <x:c r="S288" s="85"/>
      <x:c r="T288" s="85"/>
      <x:c r="U288" s="85"/>
      <x:c r="W288" s="86"/>
      <x:c r="X288" s="86"/>
      <x:c r="Y288" s="32"/>
    </x:row>
    <x:row r="289">
      <x:c r="A289" s="87"/>
      <x:c r="B289" s="88"/>
      <x:c r="D289" s="32"/>
      <x:c r="G289" s="74"/>
      <x:c r="H289" s="74"/>
      <x:c r="I289" s="74"/>
      <x:c r="J289" s="74"/>
      <x:c r="K289" s="74"/>
      <x:c r="L289" s="74"/>
      <x:c r="M289" s="91"/>
      <x:c r="N289" s="91"/>
      <x:c r="O289" s="85"/>
      <x:c r="P289" s="85"/>
      <x:c r="Q289" s="85"/>
      <x:c r="R289" s="85"/>
      <x:c r="S289" s="85"/>
      <x:c r="T289" s="85"/>
      <x:c r="U289" s="85"/>
      <x:c r="W289" s="86"/>
      <x:c r="X289" s="86"/>
      <x:c r="Y289" s="32"/>
    </x:row>
    <x:row r="290">
      <x:c r="A290" s="87"/>
      <x:c r="B290" s="88"/>
      <x:c r="D290" s="32"/>
      <x:c r="G290" s="74"/>
      <x:c r="H290" s="74"/>
      <x:c r="I290" s="74"/>
      <x:c r="J290" s="74"/>
      <x:c r="K290" s="74"/>
      <x:c r="L290" s="74"/>
      <x:c r="M290" s="91"/>
      <x:c r="N290" s="91"/>
      <x:c r="O290" s="85"/>
      <x:c r="P290" s="85"/>
      <x:c r="Q290" s="85"/>
      <x:c r="R290" s="85"/>
      <x:c r="S290" s="85"/>
      <x:c r="T290" s="85"/>
      <x:c r="U290" s="85"/>
      <x:c r="W290" s="86"/>
      <x:c r="X290" s="86"/>
      <x:c r="Y290" s="32"/>
    </x:row>
    <x:row r="291">
      <x:c r="A291" s="87"/>
      <x:c r="B291" s="88"/>
      <x:c r="D291" s="32"/>
      <x:c r="G291" s="74"/>
      <x:c r="H291" s="74"/>
      <x:c r="I291" s="74"/>
      <x:c r="J291" s="74"/>
      <x:c r="K291" s="74"/>
      <x:c r="L291" s="74"/>
      <x:c r="M291" s="91"/>
      <x:c r="N291" s="91"/>
      <x:c r="O291" s="85"/>
      <x:c r="P291" s="85"/>
      <x:c r="Q291" s="85"/>
      <x:c r="R291" s="85"/>
      <x:c r="S291" s="85"/>
      <x:c r="T291" s="85"/>
      <x:c r="U291" s="85"/>
      <x:c r="W291" s="86"/>
      <x:c r="X291" s="86"/>
      <x:c r="Y291" s="32"/>
    </x:row>
    <x:row r="292">
      <x:c r="A292" s="87"/>
      <x:c r="B292" s="88"/>
      <x:c r="D292" s="32"/>
      <x:c r="G292" s="74"/>
      <x:c r="H292" s="74"/>
      <x:c r="I292" s="74"/>
      <x:c r="J292" s="74"/>
      <x:c r="K292" s="74"/>
      <x:c r="L292" s="74"/>
      <x:c r="M292" s="91"/>
      <x:c r="N292" s="91"/>
      <x:c r="O292" s="85"/>
      <x:c r="P292" s="85"/>
      <x:c r="Q292" s="85"/>
      <x:c r="R292" s="85"/>
      <x:c r="S292" s="85"/>
      <x:c r="T292" s="85"/>
      <x:c r="U292" s="85"/>
      <x:c r="W292" s="86"/>
      <x:c r="X292" s="86"/>
      <x:c r="Y292" s="32"/>
    </x:row>
    <x:row r="293">
      <x:c r="A293" s="87"/>
      <x:c r="B293" s="88"/>
      <x:c r="D293" s="32"/>
      <x:c r="G293" s="74"/>
      <x:c r="H293" s="74"/>
      <x:c r="I293" s="74"/>
      <x:c r="J293" s="74"/>
      <x:c r="K293" s="74"/>
      <x:c r="L293" s="74"/>
      <x:c r="M293" s="91"/>
      <x:c r="N293" s="91"/>
      <x:c r="O293" s="85"/>
      <x:c r="P293" s="85"/>
      <x:c r="Q293" s="85"/>
      <x:c r="R293" s="85"/>
      <x:c r="S293" s="85"/>
      <x:c r="T293" s="85"/>
      <x:c r="U293" s="85"/>
      <x:c r="W293" s="86"/>
      <x:c r="X293" s="86"/>
      <x:c r="Y293" s="32"/>
    </x:row>
    <x:row r="294">
      <x:c r="A294" s="87"/>
      <x:c r="B294" s="88"/>
      <x:c r="D294" s="32"/>
      <x:c r="G294" s="74"/>
      <x:c r="H294" s="74"/>
      <x:c r="I294" s="74"/>
      <x:c r="J294" s="74"/>
      <x:c r="K294" s="74"/>
      <x:c r="L294" s="74"/>
      <x:c r="M294" s="91"/>
      <x:c r="N294" s="91"/>
      <x:c r="O294" s="85"/>
      <x:c r="P294" s="85"/>
      <x:c r="Q294" s="85"/>
      <x:c r="R294" s="85"/>
      <x:c r="S294" s="85"/>
      <x:c r="T294" s="85"/>
      <x:c r="U294" s="85"/>
      <x:c r="W294" s="86"/>
      <x:c r="X294" s="86"/>
      <x:c r="Y294" s="32"/>
    </x:row>
    <x:row r="295">
      <x:c r="A295" s="87"/>
      <x:c r="B295" s="88"/>
      <x:c r="D295" s="32"/>
      <x:c r="G295" s="74"/>
      <x:c r="H295" s="74"/>
      <x:c r="I295" s="74"/>
      <x:c r="J295" s="74"/>
      <x:c r="K295" s="74"/>
      <x:c r="L295" s="74"/>
      <x:c r="M295" s="91"/>
      <x:c r="N295" s="91"/>
      <x:c r="O295" s="85"/>
      <x:c r="P295" s="85"/>
      <x:c r="Q295" s="85"/>
      <x:c r="R295" s="85"/>
      <x:c r="S295" s="85"/>
      <x:c r="T295" s="85"/>
      <x:c r="U295" s="85"/>
      <x:c r="W295" s="86"/>
      <x:c r="X295" s="86"/>
      <x:c r="Y295" s="32"/>
    </x:row>
    <x:row r="296">
      <x:c r="A296" s="87"/>
      <x:c r="B296" s="88"/>
      <x:c r="D296" s="32"/>
      <x:c r="G296" s="74"/>
      <x:c r="H296" s="74"/>
      <x:c r="I296" s="74"/>
      <x:c r="J296" s="74"/>
      <x:c r="K296" s="74"/>
      <x:c r="L296" s="74"/>
      <x:c r="M296" s="91"/>
      <x:c r="N296" s="91"/>
      <x:c r="O296" s="85"/>
      <x:c r="P296" s="85"/>
      <x:c r="Q296" s="85"/>
      <x:c r="R296" s="85"/>
      <x:c r="S296" s="85"/>
      <x:c r="T296" s="85"/>
      <x:c r="U296" s="85"/>
      <x:c r="W296" s="86"/>
      <x:c r="X296" s="86"/>
      <x:c r="Y296" s="32"/>
    </x:row>
    <x:row r="297">
      <x:c r="A297" s="87"/>
      <x:c r="B297" s="88"/>
      <x:c r="D297" s="32"/>
      <x:c r="G297" s="74"/>
      <x:c r="H297" s="74"/>
      <x:c r="I297" s="74"/>
      <x:c r="J297" s="74"/>
      <x:c r="K297" s="74"/>
      <x:c r="L297" s="74"/>
      <x:c r="M297" s="91"/>
      <x:c r="N297" s="91"/>
      <x:c r="O297" s="85"/>
      <x:c r="P297" s="85"/>
      <x:c r="Q297" s="85"/>
      <x:c r="R297" s="85"/>
      <x:c r="S297" s="85"/>
      <x:c r="T297" s="85"/>
      <x:c r="U297" s="85"/>
      <x:c r="W297" s="86"/>
      <x:c r="X297" s="86"/>
      <x:c r="Y297" s="32"/>
    </x:row>
    <x:row r="298">
      <x:c r="A298" s="87"/>
      <x:c r="B298" s="88"/>
      <x:c r="D298" s="32"/>
      <x:c r="G298" s="74"/>
      <x:c r="H298" s="74"/>
      <x:c r="I298" s="74"/>
      <x:c r="J298" s="74"/>
      <x:c r="K298" s="74"/>
      <x:c r="L298" s="74"/>
      <x:c r="M298" s="91"/>
      <x:c r="N298" s="91"/>
      <x:c r="O298" s="85"/>
      <x:c r="P298" s="85"/>
      <x:c r="Q298" s="85"/>
      <x:c r="R298" s="85"/>
      <x:c r="S298" s="85"/>
      <x:c r="T298" s="85"/>
      <x:c r="U298" s="85"/>
      <x:c r="W298" s="86"/>
      <x:c r="X298" s="86"/>
      <x:c r="Y298" s="32"/>
    </x:row>
    <x:row r="299">
      <x:c r="A299" s="87"/>
      <x:c r="B299" s="88"/>
      <x:c r="D299" s="32"/>
      <x:c r="G299" s="74"/>
      <x:c r="H299" s="74"/>
      <x:c r="I299" s="74"/>
      <x:c r="J299" s="74"/>
      <x:c r="K299" s="74"/>
      <x:c r="L299" s="74"/>
      <x:c r="M299" s="91"/>
      <x:c r="N299" s="91"/>
      <x:c r="O299" s="85"/>
      <x:c r="P299" s="85"/>
      <x:c r="Q299" s="85"/>
      <x:c r="R299" s="85"/>
      <x:c r="S299" s="85"/>
      <x:c r="T299" s="85"/>
      <x:c r="U299" s="85"/>
      <x:c r="W299" s="86"/>
      <x:c r="X299" s="86"/>
      <x:c r="Y299" s="32"/>
    </x:row>
    <x:row r="300">
      <x:c r="A300" s="87"/>
      <x:c r="B300" s="88"/>
      <x:c r="D300" s="32"/>
      <x:c r="G300" s="74"/>
      <x:c r="H300" s="74"/>
      <x:c r="I300" s="74"/>
      <x:c r="J300" s="74"/>
      <x:c r="K300" s="74"/>
      <x:c r="L300" s="74"/>
      <x:c r="M300" s="91"/>
      <x:c r="N300" s="91"/>
      <x:c r="O300" s="85"/>
      <x:c r="P300" s="85"/>
      <x:c r="Q300" s="85"/>
      <x:c r="R300" s="85"/>
      <x:c r="S300" s="85"/>
      <x:c r="T300" s="85"/>
      <x:c r="U300" s="85"/>
      <x:c r="W300" s="86"/>
      <x:c r="X300" s="86"/>
      <x:c r="Y300" s="32"/>
    </x:row>
    <x:row r="301">
      <x:c r="A301" s="87"/>
      <x:c r="B301" s="88"/>
      <x:c r="D301" s="32"/>
      <x:c r="G301" s="74"/>
      <x:c r="H301" s="74"/>
      <x:c r="I301" s="74"/>
      <x:c r="J301" s="74"/>
      <x:c r="K301" s="74"/>
      <x:c r="L301" s="74"/>
      <x:c r="M301" s="91"/>
      <x:c r="N301" s="91"/>
      <x:c r="O301" s="85"/>
      <x:c r="P301" s="85"/>
      <x:c r="Q301" s="85"/>
      <x:c r="R301" s="85"/>
      <x:c r="S301" s="85"/>
      <x:c r="T301" s="85"/>
      <x:c r="U301" s="85"/>
      <x:c r="W301" s="86"/>
      <x:c r="X301" s="86"/>
      <x:c r="Y301" s="32"/>
    </x:row>
    <x:row r="302">
      <x:c r="A302" s="87"/>
      <x:c r="B302" s="88"/>
      <x:c r="D302" s="32"/>
      <x:c r="G302" s="74"/>
      <x:c r="H302" s="74"/>
      <x:c r="I302" s="74"/>
      <x:c r="J302" s="74"/>
      <x:c r="K302" s="74"/>
      <x:c r="L302" s="74"/>
      <x:c r="M302" s="91"/>
      <x:c r="N302" s="91"/>
      <x:c r="O302" s="85"/>
      <x:c r="P302" s="85"/>
      <x:c r="Q302" s="85"/>
      <x:c r="R302" s="85"/>
      <x:c r="S302" s="85"/>
      <x:c r="T302" s="85"/>
      <x:c r="U302" s="85"/>
      <x:c r="W302" s="86"/>
      <x:c r="X302" s="86"/>
      <x:c r="Y302" s="32"/>
    </x:row>
    <x:row r="303">
      <x:c r="A303" s="87"/>
      <x:c r="B303" s="88"/>
      <x:c r="D303" s="32"/>
      <x:c r="G303" s="74"/>
      <x:c r="H303" s="74"/>
      <x:c r="I303" s="74"/>
      <x:c r="J303" s="74"/>
      <x:c r="K303" s="74"/>
      <x:c r="L303" s="74"/>
      <x:c r="M303" s="91"/>
      <x:c r="N303" s="91"/>
      <x:c r="O303" s="85"/>
      <x:c r="P303" s="85"/>
      <x:c r="Q303" s="85"/>
      <x:c r="R303" s="85"/>
      <x:c r="S303" s="85"/>
      <x:c r="T303" s="85"/>
      <x:c r="U303" s="85"/>
      <x:c r="W303" s="86"/>
      <x:c r="X303" s="86"/>
      <x:c r="Y303" s="32"/>
    </x:row>
    <x:row r="304">
      <x:c r="A304" s="87"/>
      <x:c r="B304" s="88"/>
      <x:c r="D304" s="32"/>
      <x:c r="G304" s="74"/>
      <x:c r="H304" s="74"/>
      <x:c r="I304" s="74"/>
      <x:c r="J304" s="74"/>
      <x:c r="K304" s="74"/>
      <x:c r="L304" s="74"/>
      <x:c r="M304" s="91"/>
      <x:c r="N304" s="91"/>
      <x:c r="O304" s="85"/>
      <x:c r="P304" s="85"/>
      <x:c r="Q304" s="85"/>
      <x:c r="R304" s="85"/>
      <x:c r="S304" s="85"/>
      <x:c r="T304" s="85"/>
      <x:c r="U304" s="85"/>
      <x:c r="W304" s="86"/>
      <x:c r="X304" s="86"/>
      <x:c r="Y304" s="32"/>
    </x:row>
    <x:row r="305">
      <x:c r="A305" s="87"/>
      <x:c r="B305" s="88"/>
      <x:c r="D305" s="32"/>
      <x:c r="G305" s="74"/>
      <x:c r="H305" s="74"/>
      <x:c r="I305" s="74"/>
      <x:c r="J305" s="74"/>
      <x:c r="K305" s="74"/>
      <x:c r="L305" s="74"/>
      <x:c r="M305" s="91"/>
      <x:c r="N305" s="91"/>
      <x:c r="O305" s="85"/>
      <x:c r="P305" s="85"/>
      <x:c r="Q305" s="85"/>
      <x:c r="R305" s="85"/>
      <x:c r="S305" s="85"/>
      <x:c r="T305" s="85"/>
      <x:c r="U305" s="85"/>
      <x:c r="W305" s="86"/>
      <x:c r="X305" s="86"/>
      <x:c r="Y305" s="32"/>
    </x:row>
    <x:row r="306">
      <x:c r="A306" s="87"/>
      <x:c r="B306" s="88"/>
      <x:c r="D306" s="32"/>
      <x:c r="G306" s="74"/>
      <x:c r="H306" s="74"/>
      <x:c r="I306" s="74"/>
      <x:c r="J306" s="74"/>
      <x:c r="K306" s="74"/>
      <x:c r="L306" s="74"/>
      <x:c r="M306" s="91"/>
      <x:c r="N306" s="91"/>
      <x:c r="O306" s="85"/>
      <x:c r="P306" s="85"/>
      <x:c r="Q306" s="85"/>
      <x:c r="R306" s="85"/>
      <x:c r="S306" s="85"/>
      <x:c r="T306" s="85"/>
      <x:c r="U306" s="85"/>
      <x:c r="W306" s="86"/>
      <x:c r="X306" s="86"/>
      <x:c r="Y306" s="32"/>
    </x:row>
    <x:row r="307">
      <x:c r="A307" s="87"/>
      <x:c r="B307" s="88"/>
      <x:c r="D307" s="32"/>
      <x:c r="G307" s="74"/>
      <x:c r="H307" s="74"/>
      <x:c r="I307" s="74"/>
      <x:c r="J307" s="74"/>
      <x:c r="K307" s="74"/>
      <x:c r="L307" s="74"/>
      <x:c r="M307" s="91"/>
      <x:c r="N307" s="91"/>
      <x:c r="O307" s="85"/>
      <x:c r="P307" s="85"/>
      <x:c r="Q307" s="85"/>
      <x:c r="R307" s="85"/>
      <x:c r="S307" s="85"/>
      <x:c r="T307" s="85"/>
      <x:c r="U307" s="85"/>
      <x:c r="W307" s="86"/>
      <x:c r="X307" s="86"/>
      <x:c r="Y307" s="32"/>
    </x:row>
    <x:row r="308">
      <x:c r="A308" s="87"/>
      <x:c r="B308" s="88"/>
      <x:c r="D308" s="32"/>
      <x:c r="G308" s="74"/>
      <x:c r="H308" s="74"/>
      <x:c r="I308" s="74"/>
      <x:c r="J308" s="74"/>
      <x:c r="K308" s="74"/>
      <x:c r="L308" s="74"/>
      <x:c r="M308" s="91"/>
      <x:c r="N308" s="91"/>
      <x:c r="O308" s="85"/>
      <x:c r="P308" s="85"/>
      <x:c r="Q308" s="85"/>
      <x:c r="R308" s="85"/>
      <x:c r="S308" s="85"/>
      <x:c r="T308" s="85"/>
      <x:c r="U308" s="85"/>
      <x:c r="W308" s="86"/>
      <x:c r="X308" s="86"/>
      <x:c r="Y308" s="32"/>
    </x:row>
    <x:row r="309">
      <x:c r="A309" s="87"/>
      <x:c r="B309" s="88"/>
      <x:c r="D309" s="32"/>
      <x:c r="G309" s="74"/>
      <x:c r="H309" s="74"/>
      <x:c r="I309" s="74"/>
      <x:c r="J309" s="74"/>
      <x:c r="K309" s="74"/>
      <x:c r="L309" s="74"/>
      <x:c r="M309" s="91"/>
      <x:c r="N309" s="91"/>
      <x:c r="O309" s="85"/>
      <x:c r="P309" s="85"/>
      <x:c r="Q309" s="85"/>
      <x:c r="R309" s="85"/>
      <x:c r="S309" s="85"/>
      <x:c r="T309" s="85"/>
      <x:c r="U309" s="85"/>
      <x:c r="W309" s="86"/>
      <x:c r="X309" s="86"/>
      <x:c r="Y309" s="32"/>
    </x:row>
    <x:row r="310">
      <x:c r="A310" s="87"/>
      <x:c r="B310" s="88"/>
      <x:c r="D310" s="32"/>
      <x:c r="G310" s="74"/>
      <x:c r="H310" s="74"/>
      <x:c r="I310" s="74"/>
      <x:c r="J310" s="74"/>
      <x:c r="K310" s="74"/>
      <x:c r="L310" s="74"/>
      <x:c r="M310" s="91"/>
      <x:c r="N310" s="91"/>
      <x:c r="O310" s="85"/>
      <x:c r="P310" s="85"/>
      <x:c r="Q310" s="85"/>
      <x:c r="R310" s="85"/>
      <x:c r="S310" s="85"/>
      <x:c r="T310" s="85"/>
      <x:c r="U310" s="85"/>
      <x:c r="W310" s="86"/>
      <x:c r="X310" s="86"/>
      <x:c r="Y310" s="32"/>
    </x:row>
    <x:row r="311">
      <x:c r="A311" s="87"/>
      <x:c r="B311" s="88"/>
      <x:c r="D311" s="32"/>
      <x:c r="G311" s="74"/>
      <x:c r="H311" s="74"/>
      <x:c r="I311" s="74"/>
      <x:c r="J311" s="74"/>
      <x:c r="K311" s="74"/>
      <x:c r="L311" s="74"/>
      <x:c r="M311" s="91"/>
      <x:c r="N311" s="91"/>
      <x:c r="O311" s="85"/>
      <x:c r="P311" s="85"/>
      <x:c r="Q311" s="85"/>
      <x:c r="R311" s="85"/>
      <x:c r="S311" s="85"/>
      <x:c r="T311" s="85"/>
      <x:c r="U311" s="85"/>
      <x:c r="W311" s="86"/>
      <x:c r="X311" s="86"/>
      <x:c r="Y311" s="32"/>
    </x:row>
    <x:row r="312">
      <x:c r="A312" s="87"/>
      <x:c r="B312" s="88"/>
      <x:c r="D312" s="32"/>
      <x:c r="G312" s="74"/>
      <x:c r="H312" s="74"/>
      <x:c r="I312" s="74"/>
      <x:c r="J312" s="74"/>
      <x:c r="K312" s="74"/>
      <x:c r="L312" s="74"/>
      <x:c r="M312" s="91"/>
      <x:c r="N312" s="91"/>
      <x:c r="O312" s="85"/>
      <x:c r="P312" s="85"/>
      <x:c r="Q312" s="85"/>
      <x:c r="R312" s="85"/>
      <x:c r="S312" s="85"/>
      <x:c r="T312" s="85"/>
      <x:c r="U312" s="85"/>
      <x:c r="W312" s="86"/>
      <x:c r="X312" s="86"/>
      <x:c r="Y312" s="32"/>
    </x:row>
    <x:row r="313">
      <x:c r="A313" s="87"/>
      <x:c r="B313" s="88"/>
      <x:c r="D313" s="32"/>
      <x:c r="G313" s="74"/>
      <x:c r="H313" s="74"/>
      <x:c r="I313" s="74"/>
      <x:c r="J313" s="74"/>
      <x:c r="K313" s="74"/>
      <x:c r="L313" s="74"/>
      <x:c r="M313" s="91"/>
      <x:c r="N313" s="91"/>
      <x:c r="O313" s="85"/>
      <x:c r="P313" s="85"/>
      <x:c r="Q313" s="85"/>
      <x:c r="R313" s="85"/>
      <x:c r="S313" s="85"/>
      <x:c r="T313" s="85"/>
      <x:c r="U313" s="85"/>
      <x:c r="W313" s="86"/>
      <x:c r="X313" s="86"/>
      <x:c r="Y313" s="32"/>
    </x:row>
    <x:row r="314">
      <x:c r="A314" s="87"/>
      <x:c r="B314" s="88"/>
      <x:c r="D314" s="32"/>
      <x:c r="G314" s="74"/>
      <x:c r="H314" s="74"/>
      <x:c r="I314" s="74"/>
      <x:c r="J314" s="74"/>
      <x:c r="K314" s="74"/>
      <x:c r="L314" s="74"/>
      <x:c r="M314" s="91"/>
      <x:c r="N314" s="91"/>
      <x:c r="O314" s="85"/>
      <x:c r="P314" s="85"/>
      <x:c r="Q314" s="85"/>
      <x:c r="R314" s="85"/>
      <x:c r="S314" s="85"/>
      <x:c r="T314" s="85"/>
      <x:c r="U314" s="85"/>
      <x:c r="W314" s="86"/>
      <x:c r="X314" s="86"/>
      <x:c r="Y314" s="32"/>
    </x:row>
    <x:row r="315">
      <x:c r="A315" s="87"/>
      <x:c r="B315" s="88"/>
      <x:c r="D315" s="32"/>
      <x:c r="G315" s="74"/>
      <x:c r="H315" s="74"/>
      <x:c r="I315" s="74"/>
      <x:c r="J315" s="74"/>
      <x:c r="K315" s="74"/>
      <x:c r="L315" s="74"/>
      <x:c r="M315" s="91"/>
      <x:c r="N315" s="91"/>
      <x:c r="O315" s="85"/>
      <x:c r="P315" s="85"/>
      <x:c r="Q315" s="85"/>
      <x:c r="R315" s="85"/>
      <x:c r="S315" s="85"/>
      <x:c r="T315" s="85"/>
      <x:c r="U315" s="85"/>
      <x:c r="W315" s="86"/>
      <x:c r="X315" s="86"/>
      <x:c r="Y315" s="32"/>
    </x:row>
    <x:row r="316">
      <x:c r="A316" s="87"/>
      <x:c r="B316" s="88"/>
      <x:c r="D316" s="32"/>
      <x:c r="G316" s="74"/>
      <x:c r="H316" s="74"/>
      <x:c r="I316" s="74"/>
      <x:c r="J316" s="74"/>
      <x:c r="K316" s="74"/>
      <x:c r="L316" s="74"/>
      <x:c r="M316" s="91"/>
      <x:c r="N316" s="91"/>
      <x:c r="O316" s="85"/>
      <x:c r="P316" s="85"/>
      <x:c r="Q316" s="85"/>
      <x:c r="R316" s="85"/>
      <x:c r="S316" s="85"/>
      <x:c r="T316" s="85"/>
      <x:c r="U316" s="85"/>
      <x:c r="W316" s="86"/>
      <x:c r="X316" s="86"/>
      <x:c r="Y316" s="32"/>
    </x:row>
    <x:row r="317">
      <x:c r="A317" s="87"/>
      <x:c r="B317" s="88"/>
      <x:c r="D317" s="32"/>
      <x:c r="G317" s="74"/>
      <x:c r="H317" s="74"/>
      <x:c r="I317" s="74"/>
      <x:c r="J317" s="74"/>
      <x:c r="K317" s="74"/>
      <x:c r="L317" s="74"/>
      <x:c r="M317" s="91"/>
      <x:c r="N317" s="91"/>
      <x:c r="O317" s="85"/>
      <x:c r="P317" s="85"/>
      <x:c r="Q317" s="85"/>
      <x:c r="R317" s="85"/>
      <x:c r="S317" s="85"/>
      <x:c r="T317" s="85"/>
      <x:c r="U317" s="85"/>
      <x:c r="W317" s="86"/>
      <x:c r="X317" s="86"/>
      <x:c r="Y317" s="32"/>
    </x:row>
    <x:row r="318">
      <x:c r="A318" s="87"/>
      <x:c r="B318" s="88"/>
      <x:c r="D318" s="32"/>
      <x:c r="G318" s="74"/>
      <x:c r="H318" s="74"/>
      <x:c r="I318" s="74"/>
      <x:c r="J318" s="74"/>
      <x:c r="K318" s="74"/>
      <x:c r="L318" s="74"/>
      <x:c r="M318" s="91"/>
      <x:c r="N318" s="91"/>
      <x:c r="O318" s="85"/>
      <x:c r="P318" s="85"/>
      <x:c r="Q318" s="85"/>
      <x:c r="R318" s="85"/>
      <x:c r="S318" s="85"/>
      <x:c r="T318" s="85"/>
      <x:c r="U318" s="85"/>
      <x:c r="W318" s="86"/>
      <x:c r="X318" s="86"/>
      <x:c r="Y318" s="32"/>
    </x:row>
    <x:row r="319">
      <x:c r="A319" s="87"/>
      <x:c r="B319" s="88"/>
      <x:c r="D319" s="32"/>
      <x:c r="G319" s="74"/>
      <x:c r="H319" s="74"/>
      <x:c r="I319" s="74"/>
      <x:c r="J319" s="74"/>
      <x:c r="K319" s="74"/>
      <x:c r="L319" s="74"/>
      <x:c r="M319" s="91"/>
      <x:c r="N319" s="91"/>
      <x:c r="O319" s="85"/>
      <x:c r="P319" s="85"/>
      <x:c r="Q319" s="85"/>
      <x:c r="R319" s="85"/>
      <x:c r="S319" s="85"/>
      <x:c r="T319" s="85"/>
      <x:c r="U319" s="85"/>
      <x:c r="W319" s="86"/>
      <x:c r="X319" s="86"/>
      <x:c r="Y319" s="32"/>
    </x:row>
    <x:row r="320">
      <x:c r="A320" s="87"/>
      <x:c r="B320" s="88"/>
      <x:c r="D320" s="32"/>
      <x:c r="G320" s="74"/>
      <x:c r="H320" s="74"/>
      <x:c r="I320" s="74"/>
      <x:c r="J320" s="74"/>
      <x:c r="K320" s="74"/>
      <x:c r="L320" s="74"/>
      <x:c r="M320" s="91"/>
      <x:c r="N320" s="91"/>
      <x:c r="O320" s="85"/>
      <x:c r="P320" s="85"/>
      <x:c r="Q320" s="85"/>
      <x:c r="R320" s="85"/>
      <x:c r="S320" s="85"/>
      <x:c r="T320" s="85"/>
      <x:c r="U320" s="85"/>
      <x:c r="W320" s="86"/>
      <x:c r="X320" s="86"/>
      <x:c r="Y320" s="32"/>
    </x:row>
    <x:row r="321">
      <x:c r="A321" s="87"/>
      <x:c r="B321" s="88"/>
      <x:c r="D321" s="32"/>
      <x:c r="G321" s="74"/>
      <x:c r="H321" s="74"/>
      <x:c r="I321" s="74"/>
      <x:c r="J321" s="74"/>
      <x:c r="K321" s="74"/>
      <x:c r="L321" s="74"/>
      <x:c r="M321" s="91"/>
      <x:c r="N321" s="91"/>
      <x:c r="O321" s="85"/>
      <x:c r="P321" s="85"/>
      <x:c r="Q321" s="85"/>
      <x:c r="R321" s="85"/>
      <x:c r="S321" s="85"/>
      <x:c r="T321" s="85"/>
      <x:c r="U321" s="85"/>
      <x:c r="W321" s="86"/>
      <x:c r="X321" s="86"/>
      <x:c r="Y321" s="32"/>
    </x:row>
    <x:row r="322">
      <x:c r="A322" s="87"/>
      <x:c r="B322" s="88"/>
      <x:c r="D322" s="32"/>
      <x:c r="G322" s="74"/>
      <x:c r="H322" s="74"/>
      <x:c r="I322" s="74"/>
      <x:c r="J322" s="74"/>
      <x:c r="K322" s="74"/>
      <x:c r="L322" s="74"/>
      <x:c r="M322" s="91"/>
      <x:c r="N322" s="91"/>
      <x:c r="O322" s="85"/>
      <x:c r="P322" s="85"/>
      <x:c r="Q322" s="85"/>
      <x:c r="R322" s="85"/>
      <x:c r="S322" s="85"/>
      <x:c r="T322" s="85"/>
      <x:c r="U322" s="85"/>
      <x:c r="W322" s="86"/>
      <x:c r="X322" s="86"/>
      <x:c r="Y322" s="32"/>
    </x:row>
    <x:row r="323">
      <x:c r="A323" s="87"/>
      <x:c r="B323" s="88"/>
      <x:c r="D323" s="32"/>
      <x:c r="G323" s="74"/>
      <x:c r="H323" s="74"/>
      <x:c r="I323" s="74"/>
      <x:c r="J323" s="74"/>
      <x:c r="K323" s="74"/>
      <x:c r="L323" s="74"/>
      <x:c r="M323" s="91"/>
      <x:c r="N323" s="91"/>
      <x:c r="O323" s="85"/>
      <x:c r="P323" s="85"/>
      <x:c r="Q323" s="85"/>
      <x:c r="R323" s="85"/>
      <x:c r="S323" s="85"/>
      <x:c r="T323" s="85"/>
      <x:c r="U323" s="85"/>
      <x:c r="W323" s="86"/>
      <x:c r="X323" s="86"/>
      <x:c r="Y323" s="32"/>
    </x:row>
    <x:row r="324">
      <x:c r="A324" s="87"/>
      <x:c r="B324" s="88"/>
      <x:c r="D324" s="32"/>
      <x:c r="G324" s="74"/>
      <x:c r="H324" s="74"/>
      <x:c r="I324" s="74"/>
      <x:c r="J324" s="74"/>
      <x:c r="K324" s="74"/>
      <x:c r="L324" s="74"/>
      <x:c r="M324" s="91"/>
      <x:c r="N324" s="91"/>
      <x:c r="O324" s="85"/>
      <x:c r="P324" s="85"/>
      <x:c r="Q324" s="85"/>
      <x:c r="R324" s="85"/>
      <x:c r="S324" s="85"/>
      <x:c r="T324" s="85"/>
      <x:c r="U324" s="85"/>
      <x:c r="W324" s="86"/>
      <x:c r="X324" s="86"/>
      <x:c r="Y324" s="32"/>
    </x:row>
    <x:row r="325">
      <x:c r="A325" s="87"/>
      <x:c r="B325" s="88"/>
      <x:c r="D325" s="32"/>
      <x:c r="G325" s="74"/>
      <x:c r="H325" s="74"/>
      <x:c r="I325" s="74"/>
      <x:c r="J325" s="74"/>
      <x:c r="K325" s="74"/>
      <x:c r="L325" s="74"/>
      <x:c r="M325" s="91"/>
      <x:c r="N325" s="91"/>
      <x:c r="O325" s="85"/>
      <x:c r="P325" s="85"/>
      <x:c r="Q325" s="85"/>
      <x:c r="R325" s="85"/>
      <x:c r="S325" s="85"/>
      <x:c r="T325" s="85"/>
      <x:c r="U325" s="85"/>
      <x:c r="W325" s="86"/>
      <x:c r="X325" s="86"/>
      <x:c r="Y325" s="32"/>
    </x:row>
    <x:row r="326">
      <x:c r="A326" s="87"/>
      <x:c r="B326" s="88"/>
      <x:c r="D326" s="32"/>
      <x:c r="G326" s="74"/>
      <x:c r="H326" s="74"/>
      <x:c r="I326" s="74"/>
      <x:c r="J326" s="74"/>
      <x:c r="K326" s="74"/>
      <x:c r="L326" s="74"/>
      <x:c r="M326" s="91"/>
      <x:c r="N326" s="91"/>
      <x:c r="O326" s="85"/>
      <x:c r="P326" s="85"/>
      <x:c r="Q326" s="85"/>
      <x:c r="R326" s="85"/>
      <x:c r="S326" s="85"/>
      <x:c r="T326" s="85"/>
      <x:c r="U326" s="85"/>
      <x:c r="W326" s="86"/>
      <x:c r="X326" s="86"/>
      <x:c r="Y326" s="32"/>
    </x:row>
    <x:row r="327">
      <x:c r="A327" s="87"/>
      <x:c r="B327" s="88"/>
      <x:c r="D327" s="32"/>
      <x:c r="G327" s="74"/>
      <x:c r="H327" s="74"/>
      <x:c r="I327" s="74"/>
      <x:c r="J327" s="74"/>
      <x:c r="K327" s="74"/>
      <x:c r="L327" s="74"/>
      <x:c r="M327" s="91"/>
      <x:c r="N327" s="91"/>
      <x:c r="O327" s="85"/>
      <x:c r="P327" s="85"/>
      <x:c r="Q327" s="85"/>
      <x:c r="R327" s="85"/>
      <x:c r="S327" s="85"/>
      <x:c r="T327" s="85"/>
      <x:c r="U327" s="85"/>
      <x:c r="W327" s="86"/>
      <x:c r="X327" s="86"/>
      <x:c r="Y327" s="32"/>
    </x:row>
    <x:row r="328">
      <x:c r="A328" s="87"/>
      <x:c r="B328" s="88"/>
      <x:c r="D328" s="32"/>
      <x:c r="G328" s="74"/>
      <x:c r="H328" s="74"/>
      <x:c r="I328" s="74"/>
      <x:c r="J328" s="74"/>
      <x:c r="K328" s="74"/>
      <x:c r="L328" s="74"/>
      <x:c r="M328" s="91"/>
      <x:c r="N328" s="91"/>
      <x:c r="O328" s="85"/>
      <x:c r="P328" s="85"/>
      <x:c r="Q328" s="85"/>
      <x:c r="R328" s="85"/>
      <x:c r="S328" s="85"/>
      <x:c r="T328" s="85"/>
      <x:c r="U328" s="85"/>
      <x:c r="W328" s="86"/>
      <x:c r="X328" s="86"/>
      <x:c r="Y328" s="32"/>
    </x:row>
    <x:row r="329">
      <x:c r="A329" s="87"/>
      <x:c r="B329" s="88"/>
      <x:c r="D329" s="32"/>
      <x:c r="G329" s="74"/>
      <x:c r="H329" s="74"/>
      <x:c r="I329" s="74"/>
      <x:c r="J329" s="74"/>
      <x:c r="K329" s="74"/>
      <x:c r="L329" s="74"/>
      <x:c r="M329" s="91"/>
      <x:c r="N329" s="91"/>
      <x:c r="O329" s="85"/>
      <x:c r="P329" s="85"/>
      <x:c r="Q329" s="85"/>
      <x:c r="R329" s="85"/>
      <x:c r="S329" s="85"/>
      <x:c r="T329" s="85"/>
      <x:c r="U329" s="85"/>
      <x:c r="W329" s="86"/>
      <x:c r="X329" s="86"/>
      <x:c r="Y329" s="32"/>
    </x:row>
    <x:row r="330">
      <x:c r="A330" s="87"/>
      <x:c r="B330" s="88"/>
      <x:c r="D330" s="32"/>
      <x:c r="G330" s="74"/>
      <x:c r="H330" s="74"/>
      <x:c r="I330" s="74"/>
      <x:c r="J330" s="74"/>
      <x:c r="K330" s="74"/>
      <x:c r="L330" s="74"/>
      <x:c r="M330" s="91"/>
      <x:c r="N330" s="91"/>
      <x:c r="O330" s="85"/>
      <x:c r="P330" s="85"/>
      <x:c r="Q330" s="85"/>
      <x:c r="R330" s="85"/>
      <x:c r="S330" s="85"/>
      <x:c r="T330" s="85"/>
      <x:c r="U330" s="85"/>
      <x:c r="W330" s="86"/>
      <x:c r="X330" s="86"/>
      <x:c r="Y330" s="32"/>
    </x:row>
    <x:row r="331">
      <x:c r="A331" s="87"/>
      <x:c r="B331" s="88"/>
      <x:c r="D331" s="32"/>
      <x:c r="G331" s="74"/>
      <x:c r="H331" s="74"/>
      <x:c r="I331" s="74"/>
      <x:c r="J331" s="74"/>
      <x:c r="K331" s="74"/>
      <x:c r="L331" s="74"/>
      <x:c r="M331" s="91"/>
      <x:c r="N331" s="91"/>
      <x:c r="O331" s="85"/>
      <x:c r="P331" s="85"/>
      <x:c r="Q331" s="85"/>
      <x:c r="R331" s="85"/>
      <x:c r="S331" s="85"/>
      <x:c r="T331" s="85"/>
      <x:c r="U331" s="85"/>
      <x:c r="W331" s="86"/>
      <x:c r="X331" s="86"/>
      <x:c r="Y331" s="32"/>
    </x:row>
    <x:row r="332">
      <x:c r="A332" s="87"/>
      <x:c r="B332" s="88"/>
      <x:c r="D332" s="32"/>
      <x:c r="G332" s="74"/>
      <x:c r="H332" s="74"/>
      <x:c r="I332" s="74"/>
      <x:c r="J332" s="74"/>
      <x:c r="K332" s="74"/>
      <x:c r="L332" s="74"/>
      <x:c r="M332" s="91"/>
      <x:c r="N332" s="91"/>
      <x:c r="O332" s="85"/>
      <x:c r="P332" s="85"/>
      <x:c r="Q332" s="85"/>
      <x:c r="R332" s="85"/>
      <x:c r="S332" s="85"/>
      <x:c r="T332" s="85"/>
      <x:c r="U332" s="85"/>
      <x:c r="W332" s="86"/>
      <x:c r="X332" s="86"/>
      <x:c r="Y332" s="32"/>
    </x:row>
    <x:row r="333">
      <x:c r="A333" s="87"/>
      <x:c r="B333" s="88"/>
      <x:c r="D333" s="32"/>
      <x:c r="G333" s="74"/>
      <x:c r="H333" s="74"/>
      <x:c r="I333" s="74"/>
      <x:c r="J333" s="74"/>
      <x:c r="K333" s="74"/>
      <x:c r="L333" s="74"/>
      <x:c r="M333" s="91"/>
      <x:c r="N333" s="91"/>
      <x:c r="O333" s="85"/>
      <x:c r="P333" s="85"/>
      <x:c r="Q333" s="85"/>
      <x:c r="R333" s="85"/>
      <x:c r="S333" s="85"/>
      <x:c r="T333" s="85"/>
      <x:c r="U333" s="85"/>
      <x:c r="W333" s="86"/>
      <x:c r="X333" s="86"/>
      <x:c r="Y333" s="32"/>
    </x:row>
    <x:row r="334">
      <x:c r="A334" s="87"/>
      <x:c r="B334" s="88"/>
      <x:c r="D334" s="32"/>
      <x:c r="G334" s="74"/>
      <x:c r="H334" s="74"/>
      <x:c r="I334" s="74"/>
      <x:c r="J334" s="74"/>
      <x:c r="K334" s="74"/>
      <x:c r="L334" s="74"/>
      <x:c r="M334" s="91"/>
      <x:c r="N334" s="91"/>
      <x:c r="O334" s="85"/>
      <x:c r="P334" s="85"/>
      <x:c r="Q334" s="85"/>
      <x:c r="R334" s="85"/>
      <x:c r="S334" s="85"/>
      <x:c r="T334" s="85"/>
      <x:c r="U334" s="85"/>
      <x:c r="W334" s="86"/>
      <x:c r="X334" s="86"/>
      <x:c r="Y334" s="32"/>
    </x:row>
    <x:row r="335">
      <x:c r="A335" s="87"/>
      <x:c r="B335" s="88"/>
      <x:c r="D335" s="32"/>
      <x:c r="G335" s="74"/>
      <x:c r="H335" s="74"/>
      <x:c r="I335" s="74"/>
      <x:c r="J335" s="74"/>
      <x:c r="K335" s="74"/>
      <x:c r="L335" s="74"/>
      <x:c r="M335" s="91"/>
      <x:c r="N335" s="91"/>
      <x:c r="O335" s="85"/>
      <x:c r="P335" s="85"/>
      <x:c r="Q335" s="85"/>
      <x:c r="R335" s="85"/>
      <x:c r="S335" s="85"/>
      <x:c r="T335" s="85"/>
      <x:c r="U335" s="85"/>
      <x:c r="W335" s="86"/>
      <x:c r="X335" s="86"/>
      <x:c r="Y335" s="32"/>
    </x:row>
    <x:row r="336">
      <x:c r="A336" s="87"/>
      <x:c r="B336" s="88"/>
      <x:c r="D336" s="32"/>
      <x:c r="G336" s="74"/>
      <x:c r="H336" s="74"/>
      <x:c r="I336" s="74"/>
      <x:c r="J336" s="74"/>
      <x:c r="K336" s="74"/>
      <x:c r="L336" s="74"/>
      <x:c r="M336" s="91"/>
      <x:c r="N336" s="91"/>
      <x:c r="O336" s="85"/>
      <x:c r="P336" s="85"/>
      <x:c r="Q336" s="85"/>
      <x:c r="R336" s="85"/>
      <x:c r="S336" s="85"/>
      <x:c r="T336" s="85"/>
      <x:c r="U336" s="85"/>
      <x:c r="W336" s="86"/>
      <x:c r="X336" s="86"/>
      <x:c r="Y336" s="32"/>
    </x:row>
    <x:row r="337">
      <x:c r="A337" s="87"/>
      <x:c r="B337" s="88"/>
      <x:c r="D337" s="32"/>
      <x:c r="G337" s="74"/>
      <x:c r="H337" s="74"/>
      <x:c r="I337" s="74"/>
      <x:c r="J337" s="74"/>
      <x:c r="K337" s="74"/>
      <x:c r="L337" s="74"/>
      <x:c r="M337" s="91"/>
      <x:c r="N337" s="91"/>
      <x:c r="O337" s="85"/>
      <x:c r="P337" s="85"/>
      <x:c r="Q337" s="85"/>
      <x:c r="R337" s="85"/>
      <x:c r="S337" s="85"/>
      <x:c r="T337" s="85"/>
      <x:c r="U337" s="85"/>
      <x:c r="W337" s="86"/>
      <x:c r="X337" s="86"/>
      <x:c r="Y337" s="32"/>
    </x:row>
    <x:row r="338">
      <x:c r="A338" s="87"/>
      <x:c r="B338" s="88"/>
      <x:c r="D338" s="32"/>
      <x:c r="G338" s="74"/>
      <x:c r="H338" s="74"/>
      <x:c r="I338" s="74"/>
      <x:c r="J338" s="74"/>
      <x:c r="K338" s="74"/>
      <x:c r="L338" s="74"/>
      <x:c r="M338" s="91"/>
      <x:c r="N338" s="91"/>
      <x:c r="O338" s="85"/>
      <x:c r="P338" s="85"/>
      <x:c r="Q338" s="85"/>
      <x:c r="R338" s="85"/>
      <x:c r="S338" s="85"/>
      <x:c r="T338" s="85"/>
      <x:c r="U338" s="85"/>
      <x:c r="W338" s="86"/>
      <x:c r="X338" s="86"/>
      <x:c r="Y338" s="32"/>
    </x:row>
    <x:row r="339">
      <x:c r="A339" s="87"/>
      <x:c r="B339" s="88"/>
      <x:c r="D339" s="32"/>
      <x:c r="G339" s="74"/>
      <x:c r="H339" s="74"/>
      <x:c r="I339" s="74"/>
      <x:c r="J339" s="74"/>
      <x:c r="K339" s="74"/>
      <x:c r="L339" s="74"/>
      <x:c r="M339" s="91"/>
      <x:c r="N339" s="91"/>
      <x:c r="O339" s="85"/>
      <x:c r="P339" s="85"/>
      <x:c r="Q339" s="85"/>
      <x:c r="R339" s="85"/>
      <x:c r="S339" s="85"/>
      <x:c r="T339" s="85"/>
      <x:c r="U339" s="85"/>
      <x:c r="W339" s="86"/>
      <x:c r="X339" s="86"/>
      <x:c r="Y339" s="32"/>
    </x:row>
    <x:row r="340">
      <x:c r="A340" s="87"/>
      <x:c r="B340" s="88"/>
      <x:c r="D340" s="32"/>
      <x:c r="G340" s="74"/>
      <x:c r="H340" s="74"/>
      <x:c r="I340" s="74"/>
      <x:c r="J340" s="74"/>
      <x:c r="K340" s="74"/>
      <x:c r="L340" s="74"/>
      <x:c r="M340" s="91"/>
      <x:c r="N340" s="91"/>
      <x:c r="O340" s="85"/>
      <x:c r="P340" s="85"/>
      <x:c r="Q340" s="85"/>
      <x:c r="R340" s="85"/>
      <x:c r="S340" s="85"/>
      <x:c r="T340" s="85"/>
      <x:c r="U340" s="85"/>
      <x:c r="W340" s="86"/>
      <x:c r="X340" s="86"/>
      <x:c r="Y340" s="32"/>
    </x:row>
    <x:row r="341">
      <x:c r="A341" s="87"/>
      <x:c r="B341" s="88"/>
      <x:c r="D341" s="32"/>
      <x:c r="G341" s="74"/>
      <x:c r="H341" s="74"/>
      <x:c r="I341" s="74"/>
      <x:c r="J341" s="74"/>
      <x:c r="K341" s="74"/>
      <x:c r="L341" s="74"/>
      <x:c r="M341" s="91"/>
      <x:c r="N341" s="91"/>
      <x:c r="O341" s="85"/>
      <x:c r="P341" s="85"/>
      <x:c r="Q341" s="85"/>
      <x:c r="R341" s="85"/>
      <x:c r="S341" s="85"/>
      <x:c r="T341" s="85"/>
      <x:c r="U341" s="85"/>
      <x:c r="W341" s="86"/>
      <x:c r="X341" s="86"/>
      <x:c r="Y341" s="32"/>
    </x:row>
    <x:row r="342">
      <x:c r="A342" s="87"/>
      <x:c r="B342" s="88"/>
      <x:c r="D342" s="32"/>
      <x:c r="G342" s="74"/>
      <x:c r="H342" s="74"/>
      <x:c r="I342" s="74"/>
      <x:c r="J342" s="74"/>
      <x:c r="K342" s="74"/>
      <x:c r="L342" s="74"/>
      <x:c r="M342" s="91"/>
      <x:c r="N342" s="91"/>
      <x:c r="O342" s="85"/>
      <x:c r="P342" s="85"/>
      <x:c r="Q342" s="85"/>
      <x:c r="R342" s="85"/>
      <x:c r="S342" s="85"/>
      <x:c r="T342" s="85"/>
      <x:c r="U342" s="85"/>
      <x:c r="W342" s="86"/>
      <x:c r="X342" s="86"/>
      <x:c r="Y342" s="32"/>
    </x:row>
    <x:row r="343">
      <x:c r="A343" s="87"/>
      <x:c r="B343" s="88"/>
      <x:c r="D343" s="32"/>
      <x:c r="G343" s="74"/>
      <x:c r="H343" s="74"/>
      <x:c r="I343" s="74"/>
      <x:c r="J343" s="74"/>
      <x:c r="K343" s="74"/>
      <x:c r="L343" s="74"/>
      <x:c r="M343" s="91"/>
      <x:c r="N343" s="91"/>
      <x:c r="O343" s="85"/>
      <x:c r="P343" s="85"/>
      <x:c r="Q343" s="85"/>
      <x:c r="R343" s="85"/>
      <x:c r="S343" s="85"/>
      <x:c r="T343" s="85"/>
      <x:c r="U343" s="85"/>
      <x:c r="W343" s="86"/>
      <x:c r="X343" s="86"/>
      <x:c r="Y343" s="32"/>
    </x:row>
    <x:row r="344">
      <x:c r="A344" s="87"/>
      <x:c r="B344" s="88"/>
      <x:c r="D344" s="32"/>
      <x:c r="G344" s="74"/>
      <x:c r="H344" s="74"/>
      <x:c r="I344" s="74"/>
      <x:c r="J344" s="74"/>
      <x:c r="K344" s="74"/>
      <x:c r="L344" s="74"/>
      <x:c r="M344" s="91"/>
      <x:c r="N344" s="91"/>
      <x:c r="O344" s="85"/>
      <x:c r="P344" s="85"/>
      <x:c r="Q344" s="85"/>
      <x:c r="R344" s="85"/>
      <x:c r="S344" s="85"/>
      <x:c r="T344" s="85"/>
      <x:c r="U344" s="85"/>
      <x:c r="W344" s="86"/>
      <x:c r="X344" s="86"/>
      <x:c r="Y344" s="32"/>
    </x:row>
    <x:row r="345">
      <x:c r="A345" s="87"/>
      <x:c r="B345" s="88"/>
      <x:c r="D345" s="32"/>
      <x:c r="G345" s="74"/>
      <x:c r="H345" s="74"/>
      <x:c r="I345" s="74"/>
      <x:c r="J345" s="74"/>
      <x:c r="K345" s="74"/>
      <x:c r="L345" s="74"/>
      <x:c r="M345" s="91"/>
      <x:c r="N345" s="91"/>
      <x:c r="O345" s="85"/>
      <x:c r="P345" s="85"/>
      <x:c r="Q345" s="85"/>
      <x:c r="R345" s="85"/>
      <x:c r="S345" s="85"/>
      <x:c r="T345" s="85"/>
      <x:c r="U345" s="85"/>
      <x:c r="W345" s="86"/>
      <x:c r="X345" s="86"/>
      <x:c r="Y345" s="32"/>
    </x:row>
    <x:row r="346">
      <x:c r="A346" s="87"/>
      <x:c r="B346" s="88"/>
      <x:c r="D346" s="32"/>
      <x:c r="G346" s="74"/>
      <x:c r="H346" s="74"/>
      <x:c r="I346" s="74"/>
      <x:c r="J346" s="74"/>
      <x:c r="K346" s="74"/>
      <x:c r="L346" s="74"/>
      <x:c r="M346" s="91"/>
      <x:c r="N346" s="91"/>
      <x:c r="O346" s="85"/>
      <x:c r="P346" s="85"/>
      <x:c r="Q346" s="85"/>
      <x:c r="R346" s="85"/>
      <x:c r="S346" s="85"/>
      <x:c r="T346" s="85"/>
      <x:c r="U346" s="85"/>
      <x:c r="W346" s="86"/>
      <x:c r="X346" s="86"/>
      <x:c r="Y346" s="32"/>
    </x:row>
    <x:row r="347">
      <x:c r="A347" s="87"/>
      <x:c r="B347" s="88"/>
      <x:c r="D347" s="32"/>
      <x:c r="G347" s="74"/>
      <x:c r="H347" s="74"/>
      <x:c r="I347" s="74"/>
      <x:c r="J347" s="74"/>
      <x:c r="K347" s="74"/>
      <x:c r="L347" s="74"/>
      <x:c r="M347" s="91"/>
      <x:c r="N347" s="91"/>
      <x:c r="O347" s="85"/>
      <x:c r="P347" s="85"/>
      <x:c r="Q347" s="85"/>
      <x:c r="R347" s="85"/>
      <x:c r="S347" s="85"/>
      <x:c r="T347" s="85"/>
      <x:c r="U347" s="85"/>
      <x:c r="W347" s="86"/>
      <x:c r="X347" s="86"/>
      <x:c r="Y347" s="32"/>
    </x:row>
    <x:row r="348">
      <x:c r="A348" s="87"/>
      <x:c r="B348" s="88"/>
      <x:c r="D348" s="32"/>
      <x:c r="G348" s="74"/>
      <x:c r="H348" s="74"/>
      <x:c r="I348" s="74"/>
      <x:c r="J348" s="74"/>
      <x:c r="K348" s="74"/>
      <x:c r="L348" s="74"/>
      <x:c r="M348" s="91"/>
      <x:c r="N348" s="91"/>
      <x:c r="O348" s="85"/>
      <x:c r="P348" s="85"/>
      <x:c r="Q348" s="85"/>
      <x:c r="R348" s="85"/>
      <x:c r="S348" s="85"/>
      <x:c r="T348" s="85"/>
      <x:c r="U348" s="85"/>
      <x:c r="W348" s="86"/>
      <x:c r="X348" s="86"/>
      <x:c r="Y348" s="32"/>
    </x:row>
    <x:row r="349">
      <x:c r="A349" s="87"/>
      <x:c r="B349" s="88"/>
      <x:c r="D349" s="32"/>
      <x:c r="G349" s="74"/>
      <x:c r="H349" s="74"/>
      <x:c r="I349" s="74"/>
      <x:c r="J349" s="74"/>
      <x:c r="K349" s="74"/>
      <x:c r="L349" s="74"/>
      <x:c r="M349" s="91"/>
      <x:c r="N349" s="91"/>
      <x:c r="O349" s="85"/>
      <x:c r="P349" s="85"/>
      <x:c r="Q349" s="85"/>
      <x:c r="R349" s="85"/>
      <x:c r="S349" s="85"/>
      <x:c r="T349" s="85"/>
      <x:c r="U349" s="85"/>
      <x:c r="W349" s="86"/>
      <x:c r="X349" s="86"/>
      <x:c r="Y349" s="32"/>
    </x:row>
    <x:row r="350">
      <x:c r="A350" s="87"/>
      <x:c r="B350" s="88"/>
      <x:c r="D350" s="32"/>
      <x:c r="G350" s="74"/>
      <x:c r="H350" s="74"/>
      <x:c r="I350" s="74"/>
      <x:c r="J350" s="74"/>
      <x:c r="K350" s="74"/>
      <x:c r="L350" s="74"/>
      <x:c r="M350" s="91"/>
      <x:c r="N350" s="91"/>
      <x:c r="O350" s="85"/>
      <x:c r="P350" s="85"/>
      <x:c r="Q350" s="85"/>
      <x:c r="R350" s="85"/>
      <x:c r="S350" s="85"/>
      <x:c r="T350" s="85"/>
      <x:c r="U350" s="85"/>
      <x:c r="W350" s="86"/>
      <x:c r="X350" s="86"/>
      <x:c r="Y350" s="32"/>
    </x:row>
    <x:row r="351">
      <x:c r="A351" s="87"/>
      <x:c r="B351" s="88"/>
      <x:c r="D351" s="32"/>
      <x:c r="G351" s="74"/>
      <x:c r="H351" s="74"/>
      <x:c r="I351" s="74"/>
      <x:c r="J351" s="74"/>
      <x:c r="K351" s="74"/>
      <x:c r="L351" s="74"/>
      <x:c r="M351" s="91"/>
      <x:c r="N351" s="91"/>
      <x:c r="O351" s="85"/>
      <x:c r="P351" s="85"/>
      <x:c r="Q351" s="85"/>
      <x:c r="R351" s="85"/>
      <x:c r="S351" s="85"/>
      <x:c r="T351" s="85"/>
      <x:c r="U351" s="85"/>
      <x:c r="W351" s="86"/>
      <x:c r="X351" s="86"/>
      <x:c r="Y351" s="32"/>
    </x:row>
    <x:row r="352">
      <x:c r="A352" s="87"/>
      <x:c r="B352" s="88"/>
      <x:c r="D352" s="32"/>
      <x:c r="G352" s="74"/>
      <x:c r="H352" s="74"/>
      <x:c r="I352" s="74"/>
      <x:c r="J352" s="74"/>
      <x:c r="K352" s="74"/>
      <x:c r="L352" s="74"/>
      <x:c r="M352" s="91"/>
      <x:c r="N352" s="91"/>
      <x:c r="O352" s="85"/>
      <x:c r="P352" s="85"/>
      <x:c r="Q352" s="85"/>
      <x:c r="R352" s="85"/>
      <x:c r="S352" s="85"/>
      <x:c r="T352" s="85"/>
      <x:c r="U352" s="85"/>
      <x:c r="W352" s="86"/>
      <x:c r="X352" s="86"/>
      <x:c r="Y352" s="32"/>
    </x:row>
    <x:row r="353">
      <x:c r="A353" s="87"/>
      <x:c r="B353" s="88"/>
      <x:c r="D353" s="32"/>
      <x:c r="G353" s="74"/>
      <x:c r="H353" s="74"/>
      <x:c r="I353" s="74"/>
      <x:c r="J353" s="74"/>
      <x:c r="K353" s="74"/>
      <x:c r="L353" s="74"/>
      <x:c r="M353" s="91"/>
      <x:c r="N353" s="91"/>
      <x:c r="O353" s="85"/>
      <x:c r="P353" s="85"/>
      <x:c r="Q353" s="85"/>
      <x:c r="R353" s="85"/>
      <x:c r="S353" s="85"/>
      <x:c r="T353" s="85"/>
      <x:c r="U353" s="85"/>
      <x:c r="W353" s="86"/>
      <x:c r="X353" s="86"/>
      <x:c r="Y353" s="32"/>
    </x:row>
    <x:row r="354">
      <x:c r="A354" s="87"/>
      <x:c r="B354" s="88"/>
      <x:c r="D354" s="32"/>
      <x:c r="G354" s="74"/>
      <x:c r="H354" s="74"/>
      <x:c r="I354" s="74"/>
      <x:c r="J354" s="74"/>
      <x:c r="K354" s="74"/>
      <x:c r="L354" s="74"/>
      <x:c r="M354" s="91"/>
      <x:c r="N354" s="91"/>
      <x:c r="O354" s="85"/>
      <x:c r="P354" s="85"/>
      <x:c r="Q354" s="85"/>
      <x:c r="R354" s="85"/>
      <x:c r="S354" s="85"/>
      <x:c r="T354" s="85"/>
      <x:c r="U354" s="85"/>
      <x:c r="W354" s="86"/>
      <x:c r="X354" s="86"/>
      <x:c r="Y354" s="32"/>
    </x:row>
    <x:row r="355">
      <x:c r="A355" s="87"/>
      <x:c r="B355" s="88"/>
      <x:c r="D355" s="32"/>
      <x:c r="G355" s="74"/>
      <x:c r="H355" s="74"/>
      <x:c r="I355" s="74"/>
      <x:c r="J355" s="74"/>
      <x:c r="K355" s="74"/>
      <x:c r="L355" s="74"/>
      <x:c r="M355" s="91"/>
      <x:c r="N355" s="91"/>
      <x:c r="O355" s="85"/>
      <x:c r="P355" s="85"/>
      <x:c r="Q355" s="85"/>
      <x:c r="R355" s="85"/>
      <x:c r="S355" s="85"/>
      <x:c r="T355" s="85"/>
      <x:c r="U355" s="85"/>
      <x:c r="W355" s="86"/>
      <x:c r="X355" s="86"/>
      <x:c r="Y355" s="32"/>
    </x:row>
    <x:row r="356">
      <x:c r="A356" s="87"/>
      <x:c r="B356" s="88"/>
      <x:c r="D356" s="32"/>
      <x:c r="G356" s="74"/>
      <x:c r="H356" s="74"/>
      <x:c r="I356" s="74"/>
      <x:c r="J356" s="74"/>
      <x:c r="K356" s="74"/>
      <x:c r="L356" s="74"/>
      <x:c r="M356" s="91"/>
      <x:c r="N356" s="91"/>
      <x:c r="O356" s="85"/>
      <x:c r="P356" s="85"/>
      <x:c r="Q356" s="85"/>
      <x:c r="R356" s="85"/>
      <x:c r="S356" s="85"/>
      <x:c r="T356" s="85"/>
      <x:c r="U356" s="85"/>
      <x:c r="W356" s="86"/>
      <x:c r="X356" s="86"/>
      <x:c r="Y356" s="32"/>
    </x:row>
    <x:row r="357">
      <x:c r="A357" s="87"/>
      <x:c r="B357" s="88"/>
      <x:c r="D357" s="32"/>
      <x:c r="G357" s="74"/>
      <x:c r="H357" s="74"/>
      <x:c r="I357" s="74"/>
      <x:c r="J357" s="74"/>
      <x:c r="K357" s="74"/>
      <x:c r="L357" s="74"/>
      <x:c r="M357" s="91"/>
      <x:c r="N357" s="91"/>
      <x:c r="O357" s="85"/>
      <x:c r="P357" s="85"/>
      <x:c r="Q357" s="85"/>
      <x:c r="R357" s="85"/>
      <x:c r="S357" s="85"/>
      <x:c r="T357" s="85"/>
      <x:c r="U357" s="85"/>
      <x:c r="W357" s="86"/>
      <x:c r="X357" s="86"/>
      <x:c r="Y357" s="32"/>
    </x:row>
    <x:row r="358">
      <x:c r="A358" s="87"/>
      <x:c r="B358" s="88"/>
      <x:c r="D358" s="32"/>
      <x:c r="G358" s="74"/>
      <x:c r="H358" s="74"/>
      <x:c r="I358" s="74"/>
      <x:c r="J358" s="74"/>
      <x:c r="K358" s="74"/>
      <x:c r="L358" s="74"/>
      <x:c r="M358" s="91"/>
      <x:c r="N358" s="91"/>
      <x:c r="O358" s="85"/>
      <x:c r="P358" s="85"/>
      <x:c r="Q358" s="85"/>
      <x:c r="R358" s="85"/>
      <x:c r="S358" s="85"/>
      <x:c r="T358" s="85"/>
      <x:c r="U358" s="85"/>
      <x:c r="W358" s="86"/>
      <x:c r="X358" s="86"/>
      <x:c r="Y358" s="32"/>
    </x:row>
    <x:row r="359">
      <x:c r="A359" s="87"/>
      <x:c r="B359" s="88"/>
      <x:c r="D359" s="32"/>
      <x:c r="G359" s="74"/>
      <x:c r="H359" s="74"/>
      <x:c r="I359" s="74"/>
      <x:c r="J359" s="74"/>
      <x:c r="K359" s="74"/>
      <x:c r="L359" s="74"/>
      <x:c r="M359" s="91"/>
      <x:c r="N359" s="91"/>
      <x:c r="O359" s="85"/>
      <x:c r="P359" s="85"/>
      <x:c r="Q359" s="85"/>
      <x:c r="R359" s="85"/>
      <x:c r="S359" s="85"/>
      <x:c r="T359" s="85"/>
      <x:c r="U359" s="85"/>
      <x:c r="W359" s="86"/>
      <x:c r="X359" s="86"/>
      <x:c r="Y359" s="32"/>
    </x:row>
    <x:row r="360">
      <x:c r="A360" s="87"/>
      <x:c r="B360" s="88"/>
      <x:c r="D360" s="32"/>
      <x:c r="G360" s="74"/>
      <x:c r="H360" s="74"/>
      <x:c r="I360" s="74"/>
      <x:c r="J360" s="74"/>
      <x:c r="K360" s="74"/>
      <x:c r="L360" s="74"/>
      <x:c r="M360" s="91"/>
      <x:c r="N360" s="91"/>
      <x:c r="O360" s="85"/>
      <x:c r="P360" s="85"/>
      <x:c r="Q360" s="85"/>
      <x:c r="R360" s="85"/>
      <x:c r="S360" s="85"/>
      <x:c r="T360" s="85"/>
      <x:c r="U360" s="85"/>
      <x:c r="W360" s="86"/>
      <x:c r="X360" s="86"/>
      <x:c r="Y360" s="32"/>
    </x:row>
    <x:row r="361">
      <x:c r="A361" s="87"/>
      <x:c r="B361" s="88"/>
      <x:c r="D361" s="32"/>
      <x:c r="G361" s="74"/>
      <x:c r="H361" s="74"/>
      <x:c r="I361" s="74"/>
      <x:c r="J361" s="74"/>
      <x:c r="K361" s="74"/>
      <x:c r="L361" s="74"/>
      <x:c r="M361" s="91"/>
      <x:c r="N361" s="91"/>
      <x:c r="O361" s="85"/>
      <x:c r="P361" s="85"/>
      <x:c r="Q361" s="85"/>
      <x:c r="R361" s="85"/>
      <x:c r="S361" s="85"/>
      <x:c r="T361" s="85"/>
      <x:c r="U361" s="85"/>
      <x:c r="W361" s="86"/>
      <x:c r="X361" s="86"/>
      <x:c r="Y361" s="32"/>
    </x:row>
    <x:row r="362">
      <x:c r="A362" s="87"/>
      <x:c r="B362" s="88"/>
      <x:c r="D362" s="32"/>
      <x:c r="G362" s="74"/>
      <x:c r="H362" s="74"/>
      <x:c r="I362" s="74"/>
      <x:c r="J362" s="74"/>
      <x:c r="K362" s="74"/>
      <x:c r="L362" s="74"/>
      <x:c r="M362" s="91"/>
      <x:c r="N362" s="91"/>
      <x:c r="O362" s="85"/>
      <x:c r="P362" s="85"/>
      <x:c r="Q362" s="85"/>
      <x:c r="R362" s="85"/>
      <x:c r="S362" s="85"/>
      <x:c r="T362" s="85"/>
      <x:c r="U362" s="85"/>
      <x:c r="W362" s="86"/>
      <x:c r="X362" s="86"/>
      <x:c r="Y362" s="32"/>
    </x:row>
    <x:row r="363">
      <x:c r="A363" s="87"/>
      <x:c r="B363" s="88"/>
      <x:c r="D363" s="32"/>
      <x:c r="G363" s="74"/>
      <x:c r="H363" s="74"/>
      <x:c r="I363" s="74"/>
      <x:c r="J363" s="74"/>
      <x:c r="K363" s="74"/>
      <x:c r="L363" s="74"/>
      <x:c r="M363" s="91"/>
      <x:c r="N363" s="91"/>
      <x:c r="O363" s="85"/>
      <x:c r="P363" s="85"/>
      <x:c r="Q363" s="85"/>
      <x:c r="R363" s="85"/>
      <x:c r="S363" s="85"/>
      <x:c r="T363" s="85"/>
      <x:c r="U363" s="85"/>
      <x:c r="W363" s="86"/>
      <x:c r="X363" s="86"/>
      <x:c r="Y363" s="32"/>
    </x:row>
    <x:row r="364">
      <x:c r="A364" s="87"/>
      <x:c r="B364" s="88"/>
      <x:c r="D364" s="32"/>
      <x:c r="G364" s="74"/>
      <x:c r="H364" s="74"/>
      <x:c r="I364" s="74"/>
      <x:c r="J364" s="74"/>
      <x:c r="K364" s="74"/>
      <x:c r="L364" s="74"/>
      <x:c r="M364" s="91"/>
      <x:c r="N364" s="91"/>
      <x:c r="O364" s="85"/>
      <x:c r="P364" s="85"/>
      <x:c r="Q364" s="85"/>
      <x:c r="R364" s="85"/>
      <x:c r="S364" s="85"/>
      <x:c r="T364" s="85"/>
      <x:c r="U364" s="85"/>
      <x:c r="W364" s="86"/>
      <x:c r="X364" s="86"/>
      <x:c r="Y364" s="32"/>
    </x:row>
    <x:row r="365">
      <x:c r="A365" s="87"/>
      <x:c r="B365" s="88"/>
      <x:c r="D365" s="32"/>
      <x:c r="G365" s="74"/>
      <x:c r="H365" s="74"/>
      <x:c r="I365" s="74"/>
      <x:c r="J365" s="74"/>
      <x:c r="K365" s="74"/>
      <x:c r="L365" s="74"/>
      <x:c r="M365" s="91"/>
      <x:c r="N365" s="91"/>
      <x:c r="O365" s="85"/>
      <x:c r="P365" s="85"/>
      <x:c r="Q365" s="85"/>
      <x:c r="R365" s="85"/>
      <x:c r="S365" s="85"/>
      <x:c r="T365" s="85"/>
      <x:c r="U365" s="85"/>
      <x:c r="W365" s="86"/>
      <x:c r="X365" s="86"/>
      <x:c r="Y365" s="32"/>
    </x:row>
    <x:row r="366">
      <x:c r="A366" s="87"/>
      <x:c r="B366" s="88"/>
      <x:c r="D366" s="32"/>
      <x:c r="G366" s="74"/>
      <x:c r="H366" s="74"/>
      <x:c r="I366" s="74"/>
      <x:c r="J366" s="74"/>
      <x:c r="K366" s="74"/>
      <x:c r="L366" s="74"/>
      <x:c r="M366" s="91"/>
      <x:c r="N366" s="91"/>
      <x:c r="O366" s="85"/>
      <x:c r="P366" s="85"/>
      <x:c r="Q366" s="85"/>
      <x:c r="R366" s="85"/>
      <x:c r="S366" s="85"/>
      <x:c r="T366" s="85"/>
      <x:c r="U366" s="85"/>
      <x:c r="W366" s="86"/>
      <x:c r="X366" s="86"/>
      <x:c r="Y366" s="32"/>
    </x:row>
    <x:row r="367">
      <x:c r="A367" s="87"/>
      <x:c r="B367" s="88"/>
      <x:c r="D367" s="32"/>
      <x:c r="G367" s="74"/>
      <x:c r="H367" s="74"/>
      <x:c r="I367" s="74"/>
      <x:c r="J367" s="74"/>
      <x:c r="K367" s="74"/>
      <x:c r="L367" s="74"/>
      <x:c r="M367" s="91"/>
      <x:c r="N367" s="91"/>
      <x:c r="O367" s="85"/>
      <x:c r="P367" s="85"/>
      <x:c r="Q367" s="85"/>
      <x:c r="R367" s="85"/>
      <x:c r="S367" s="85"/>
      <x:c r="T367" s="85"/>
      <x:c r="U367" s="85"/>
      <x:c r="W367" s="86"/>
      <x:c r="X367" s="86"/>
      <x:c r="Y367" s="32"/>
    </x:row>
    <x:row r="368">
      <x:c r="A368" s="87"/>
      <x:c r="B368" s="88"/>
      <x:c r="D368" s="32"/>
      <x:c r="G368" s="74"/>
      <x:c r="H368" s="74"/>
      <x:c r="I368" s="74"/>
      <x:c r="J368" s="74"/>
      <x:c r="K368" s="74"/>
      <x:c r="L368" s="74"/>
      <x:c r="M368" s="91"/>
      <x:c r="N368" s="91"/>
      <x:c r="O368" s="85"/>
      <x:c r="P368" s="85"/>
      <x:c r="Q368" s="85"/>
      <x:c r="R368" s="85"/>
      <x:c r="S368" s="85"/>
      <x:c r="T368" s="85"/>
      <x:c r="U368" s="85"/>
      <x:c r="W368" s="86"/>
      <x:c r="X368" s="86"/>
      <x:c r="Y368" s="32"/>
    </x:row>
    <x:row r="369">
      <x:c r="A369" s="87"/>
      <x:c r="B369" s="88"/>
      <x:c r="D369" s="32"/>
      <x:c r="G369" s="74"/>
      <x:c r="H369" s="74"/>
      <x:c r="I369" s="74"/>
      <x:c r="J369" s="74"/>
      <x:c r="K369" s="74"/>
      <x:c r="L369" s="74"/>
      <x:c r="M369" s="91"/>
      <x:c r="N369" s="91"/>
      <x:c r="O369" s="85"/>
      <x:c r="P369" s="85"/>
      <x:c r="Q369" s="85"/>
      <x:c r="R369" s="85"/>
      <x:c r="S369" s="85"/>
      <x:c r="T369" s="85"/>
      <x:c r="U369" s="85"/>
      <x:c r="W369" s="86"/>
      <x:c r="X369" s="86"/>
      <x:c r="Y369" s="32"/>
    </x:row>
    <x:row r="370">
      <x:c r="A370" s="87"/>
      <x:c r="B370" s="88"/>
      <x:c r="D370" s="32"/>
      <x:c r="G370" s="74"/>
      <x:c r="H370" s="74"/>
      <x:c r="I370" s="74"/>
      <x:c r="J370" s="74"/>
      <x:c r="K370" s="74"/>
      <x:c r="L370" s="74"/>
      <x:c r="M370" s="91"/>
      <x:c r="N370" s="91"/>
      <x:c r="O370" s="85"/>
      <x:c r="P370" s="85"/>
      <x:c r="Q370" s="85"/>
      <x:c r="R370" s="85"/>
      <x:c r="S370" s="85"/>
      <x:c r="T370" s="85"/>
      <x:c r="U370" s="85"/>
      <x:c r="W370" s="86"/>
      <x:c r="X370" s="86"/>
      <x:c r="Y370" s="32"/>
    </x:row>
    <x:row r="371">
      <x:c r="A371" s="87"/>
      <x:c r="B371" s="88"/>
      <x:c r="D371" s="32"/>
      <x:c r="G371" s="74"/>
      <x:c r="H371" s="74"/>
      <x:c r="I371" s="74"/>
      <x:c r="J371" s="74"/>
      <x:c r="K371" s="74"/>
      <x:c r="L371" s="74"/>
      <x:c r="M371" s="91"/>
      <x:c r="N371" s="91"/>
      <x:c r="O371" s="85"/>
      <x:c r="P371" s="85"/>
      <x:c r="Q371" s="85"/>
      <x:c r="R371" s="85"/>
      <x:c r="S371" s="85"/>
      <x:c r="T371" s="85"/>
      <x:c r="U371" s="85"/>
      <x:c r="W371" s="86"/>
      <x:c r="X371" s="86"/>
      <x:c r="Y371" s="32"/>
    </x:row>
    <x:row r="372">
      <x:c r="A372" s="87"/>
      <x:c r="B372" s="88"/>
      <x:c r="D372" s="32"/>
      <x:c r="G372" s="74"/>
      <x:c r="H372" s="74"/>
      <x:c r="I372" s="74"/>
      <x:c r="J372" s="74"/>
      <x:c r="K372" s="74"/>
      <x:c r="L372" s="74"/>
      <x:c r="M372" s="91"/>
      <x:c r="N372" s="91"/>
      <x:c r="O372" s="85"/>
      <x:c r="P372" s="85"/>
      <x:c r="Q372" s="85"/>
      <x:c r="R372" s="85"/>
      <x:c r="S372" s="85"/>
      <x:c r="T372" s="85"/>
      <x:c r="U372" s="85"/>
      <x:c r="W372" s="86"/>
      <x:c r="X372" s="86"/>
      <x:c r="Y372" s="32"/>
    </x:row>
    <x:row r="373">
      <x:c r="A373" s="87"/>
      <x:c r="B373" s="88"/>
      <x:c r="D373" s="32"/>
      <x:c r="G373" s="74"/>
      <x:c r="H373" s="74"/>
      <x:c r="I373" s="74"/>
      <x:c r="J373" s="74"/>
      <x:c r="K373" s="74"/>
      <x:c r="L373" s="74"/>
      <x:c r="M373" s="91"/>
      <x:c r="N373" s="91"/>
      <x:c r="O373" s="85"/>
      <x:c r="P373" s="85"/>
      <x:c r="Q373" s="85"/>
      <x:c r="R373" s="85"/>
      <x:c r="S373" s="85"/>
      <x:c r="T373" s="85"/>
      <x:c r="U373" s="85"/>
      <x:c r="W373" s="86"/>
      <x:c r="X373" s="86"/>
      <x:c r="Y373" s="32"/>
    </x:row>
    <x:row r="374">
      <x:c r="A374" s="87"/>
      <x:c r="B374" s="88"/>
      <x:c r="D374" s="32"/>
      <x:c r="G374" s="74"/>
      <x:c r="H374" s="74"/>
      <x:c r="I374" s="74"/>
      <x:c r="J374" s="74"/>
      <x:c r="K374" s="74"/>
      <x:c r="L374" s="74"/>
      <x:c r="M374" s="91"/>
      <x:c r="N374" s="91"/>
      <x:c r="O374" s="85"/>
      <x:c r="P374" s="85"/>
      <x:c r="Q374" s="85"/>
      <x:c r="R374" s="85"/>
      <x:c r="S374" s="85"/>
      <x:c r="T374" s="85"/>
      <x:c r="U374" s="85"/>
      <x:c r="W374" s="86"/>
      <x:c r="X374" s="86"/>
      <x:c r="Y374" s="32"/>
    </x:row>
    <x:row r="375">
      <x:c r="A375" s="87"/>
      <x:c r="B375" s="88"/>
      <x:c r="D375" s="32"/>
      <x:c r="G375" s="74"/>
      <x:c r="H375" s="74"/>
      <x:c r="I375" s="74"/>
      <x:c r="J375" s="74"/>
      <x:c r="K375" s="74"/>
      <x:c r="L375" s="74"/>
      <x:c r="M375" s="91"/>
      <x:c r="N375" s="91"/>
      <x:c r="O375" s="85"/>
      <x:c r="P375" s="85"/>
      <x:c r="Q375" s="85"/>
      <x:c r="R375" s="85"/>
      <x:c r="S375" s="85"/>
      <x:c r="T375" s="85"/>
      <x:c r="U375" s="85"/>
      <x:c r="W375" s="86"/>
      <x:c r="X375" s="86"/>
      <x:c r="Y375" s="32"/>
    </x:row>
    <x:row r="376">
      <x:c r="A376" s="87"/>
      <x:c r="B376" s="88"/>
      <x:c r="D376" s="32"/>
      <x:c r="G376" s="74"/>
      <x:c r="H376" s="74"/>
      <x:c r="I376" s="74"/>
      <x:c r="J376" s="74"/>
      <x:c r="K376" s="74"/>
      <x:c r="L376" s="74"/>
      <x:c r="M376" s="91"/>
      <x:c r="N376" s="91"/>
      <x:c r="O376" s="85"/>
      <x:c r="P376" s="85"/>
      <x:c r="Q376" s="85"/>
      <x:c r="R376" s="85"/>
      <x:c r="S376" s="85"/>
      <x:c r="T376" s="85"/>
      <x:c r="U376" s="85"/>
      <x:c r="W376" s="86"/>
      <x:c r="X376" s="86"/>
      <x:c r="Y376" s="32"/>
    </x:row>
    <x:row r="377">
      <x:c r="A377" s="87"/>
      <x:c r="B377" s="88"/>
      <x:c r="D377" s="32"/>
      <x:c r="G377" s="74"/>
      <x:c r="H377" s="74"/>
      <x:c r="I377" s="74"/>
      <x:c r="J377" s="74"/>
      <x:c r="K377" s="74"/>
      <x:c r="L377" s="74"/>
      <x:c r="M377" s="91"/>
      <x:c r="N377" s="91"/>
      <x:c r="O377" s="85"/>
      <x:c r="P377" s="85"/>
      <x:c r="Q377" s="85"/>
      <x:c r="R377" s="85"/>
      <x:c r="S377" s="85"/>
      <x:c r="T377" s="85"/>
      <x:c r="U377" s="85"/>
      <x:c r="W377" s="86"/>
      <x:c r="X377" s="86"/>
      <x:c r="Y377" s="32"/>
    </x:row>
    <x:row r="378">
      <x:c r="A378" s="87"/>
      <x:c r="B378" s="88"/>
      <x:c r="D378" s="32"/>
      <x:c r="G378" s="74"/>
      <x:c r="H378" s="74"/>
      <x:c r="I378" s="74"/>
      <x:c r="J378" s="74"/>
      <x:c r="K378" s="74"/>
      <x:c r="L378" s="74"/>
      <x:c r="M378" s="91"/>
      <x:c r="N378" s="91"/>
      <x:c r="O378" s="85"/>
      <x:c r="P378" s="85"/>
      <x:c r="Q378" s="85"/>
      <x:c r="R378" s="85"/>
      <x:c r="S378" s="85"/>
      <x:c r="T378" s="85"/>
      <x:c r="U378" s="85"/>
      <x:c r="W378" s="86"/>
      <x:c r="X378" s="86"/>
      <x:c r="Y378" s="32"/>
    </x:row>
    <x:row r="379">
      <x:c r="A379" s="87"/>
      <x:c r="B379" s="88"/>
      <x:c r="D379" s="32"/>
      <x:c r="G379" s="74"/>
      <x:c r="H379" s="74"/>
      <x:c r="I379" s="74"/>
      <x:c r="J379" s="74"/>
      <x:c r="K379" s="74"/>
      <x:c r="L379" s="74"/>
      <x:c r="M379" s="91"/>
      <x:c r="N379" s="91"/>
      <x:c r="O379" s="85"/>
      <x:c r="P379" s="85"/>
      <x:c r="Q379" s="85"/>
      <x:c r="R379" s="85"/>
      <x:c r="S379" s="85"/>
      <x:c r="T379" s="85"/>
      <x:c r="U379" s="85"/>
      <x:c r="W379" s="86"/>
      <x:c r="X379" s="86"/>
      <x:c r="Y379" s="32"/>
    </x:row>
    <x:row r="380">
      <x:c r="A380" s="87"/>
      <x:c r="B380" s="88"/>
      <x:c r="D380" s="32"/>
      <x:c r="G380" s="74"/>
      <x:c r="H380" s="74"/>
      <x:c r="I380" s="74"/>
      <x:c r="J380" s="74"/>
      <x:c r="K380" s="74"/>
      <x:c r="L380" s="74"/>
      <x:c r="M380" s="91"/>
      <x:c r="N380" s="91"/>
      <x:c r="O380" s="85"/>
      <x:c r="P380" s="85"/>
      <x:c r="Q380" s="85"/>
      <x:c r="R380" s="85"/>
      <x:c r="S380" s="85"/>
      <x:c r="T380" s="85"/>
      <x:c r="U380" s="85"/>
      <x:c r="W380" s="86"/>
      <x:c r="X380" s="86"/>
      <x:c r="Y380" s="32"/>
    </x:row>
    <x:row r="381">
      <x:c r="A381" s="87"/>
      <x:c r="B381" s="88"/>
      <x:c r="D381" s="32"/>
      <x:c r="G381" s="74"/>
      <x:c r="H381" s="74"/>
      <x:c r="I381" s="74"/>
      <x:c r="J381" s="74"/>
      <x:c r="K381" s="74"/>
      <x:c r="L381" s="74"/>
      <x:c r="M381" s="91"/>
      <x:c r="N381" s="91"/>
      <x:c r="O381" s="85"/>
      <x:c r="P381" s="85"/>
      <x:c r="Q381" s="85"/>
      <x:c r="R381" s="85"/>
      <x:c r="S381" s="85"/>
      <x:c r="T381" s="85"/>
      <x:c r="U381" s="85"/>
      <x:c r="W381" s="86"/>
      <x:c r="X381" s="86"/>
      <x:c r="Y381" s="32"/>
    </x:row>
    <x:row r="382">
      <x:c r="A382" s="87"/>
      <x:c r="B382" s="88"/>
      <x:c r="D382" s="32"/>
      <x:c r="G382" s="74"/>
      <x:c r="H382" s="74"/>
      <x:c r="I382" s="74"/>
      <x:c r="J382" s="74"/>
      <x:c r="K382" s="74"/>
      <x:c r="L382" s="74"/>
      <x:c r="M382" s="91"/>
      <x:c r="N382" s="91"/>
      <x:c r="O382" s="85"/>
      <x:c r="P382" s="85"/>
      <x:c r="Q382" s="85"/>
      <x:c r="R382" s="85"/>
      <x:c r="S382" s="85"/>
      <x:c r="T382" s="85"/>
      <x:c r="U382" s="85"/>
      <x:c r="W382" s="86"/>
      <x:c r="X382" s="86"/>
      <x:c r="Y382" s="32"/>
    </x:row>
    <x:row r="383">
      <x:c r="A383" s="87"/>
      <x:c r="B383" s="88"/>
      <x:c r="D383" s="32"/>
      <x:c r="G383" s="74"/>
      <x:c r="H383" s="74"/>
      <x:c r="I383" s="74"/>
      <x:c r="J383" s="74"/>
      <x:c r="K383" s="74"/>
      <x:c r="L383" s="74"/>
      <x:c r="M383" s="91"/>
      <x:c r="N383" s="91"/>
      <x:c r="O383" s="85"/>
      <x:c r="P383" s="85"/>
      <x:c r="Q383" s="85"/>
      <x:c r="R383" s="85"/>
      <x:c r="S383" s="85"/>
      <x:c r="T383" s="85"/>
      <x:c r="U383" s="85"/>
      <x:c r="W383" s="86"/>
      <x:c r="X383" s="86"/>
      <x:c r="Y383" s="32"/>
    </x:row>
    <x:row r="384">
      <x:c r="A384" s="87"/>
      <x:c r="B384" s="88"/>
      <x:c r="D384" s="32"/>
      <x:c r="G384" s="74"/>
      <x:c r="H384" s="74"/>
      <x:c r="I384" s="74"/>
      <x:c r="J384" s="74"/>
      <x:c r="K384" s="74"/>
      <x:c r="L384" s="74"/>
      <x:c r="M384" s="91"/>
      <x:c r="N384" s="91"/>
      <x:c r="O384" s="85"/>
      <x:c r="P384" s="85"/>
      <x:c r="Q384" s="85"/>
      <x:c r="R384" s="85"/>
      <x:c r="S384" s="85"/>
      <x:c r="T384" s="85"/>
      <x:c r="U384" s="85"/>
      <x:c r="W384" s="86"/>
      <x:c r="X384" s="86"/>
      <x:c r="Y384" s="32"/>
    </x:row>
    <x:row r="385">
      <x:c r="A385" s="87"/>
      <x:c r="B385" s="88"/>
      <x:c r="D385" s="32"/>
      <x:c r="G385" s="74"/>
      <x:c r="H385" s="74"/>
      <x:c r="I385" s="74"/>
      <x:c r="J385" s="74"/>
      <x:c r="K385" s="74"/>
      <x:c r="L385" s="74"/>
      <x:c r="M385" s="91"/>
      <x:c r="N385" s="91"/>
      <x:c r="O385" s="85"/>
      <x:c r="P385" s="85"/>
      <x:c r="Q385" s="85"/>
      <x:c r="R385" s="85"/>
      <x:c r="S385" s="85"/>
      <x:c r="T385" s="85"/>
      <x:c r="U385" s="85"/>
      <x:c r="W385" s="86"/>
      <x:c r="X385" s="86"/>
      <x:c r="Y385" s="32"/>
    </x:row>
    <x:row r="386">
      <x:c r="A386" s="87"/>
      <x:c r="B386" s="88"/>
      <x:c r="D386" s="32"/>
      <x:c r="G386" s="74"/>
      <x:c r="H386" s="74"/>
      <x:c r="I386" s="74"/>
      <x:c r="J386" s="74"/>
      <x:c r="K386" s="74"/>
      <x:c r="L386" s="74"/>
      <x:c r="M386" s="91"/>
      <x:c r="N386" s="91"/>
      <x:c r="O386" s="85"/>
      <x:c r="P386" s="85"/>
      <x:c r="Q386" s="85"/>
      <x:c r="R386" s="85"/>
      <x:c r="S386" s="85"/>
      <x:c r="T386" s="85"/>
      <x:c r="U386" s="85"/>
      <x:c r="W386" s="86"/>
      <x:c r="X386" s="86"/>
      <x:c r="Y386" s="32"/>
    </x:row>
    <x:row r="387">
      <x:c r="A387" s="87"/>
      <x:c r="B387" s="88"/>
      <x:c r="D387" s="32"/>
      <x:c r="G387" s="74"/>
      <x:c r="H387" s="74"/>
      <x:c r="I387" s="74"/>
      <x:c r="J387" s="74"/>
      <x:c r="K387" s="74"/>
      <x:c r="L387" s="74"/>
      <x:c r="M387" s="91"/>
      <x:c r="N387" s="91"/>
      <x:c r="O387" s="85"/>
      <x:c r="P387" s="85"/>
      <x:c r="Q387" s="85"/>
      <x:c r="R387" s="85"/>
      <x:c r="S387" s="85"/>
      <x:c r="T387" s="85"/>
      <x:c r="U387" s="85"/>
      <x:c r="W387" s="86"/>
      <x:c r="X387" s="86"/>
      <x:c r="Y387" s="32"/>
    </x:row>
    <x:row r="388">
      <x:c r="A388" s="87"/>
      <x:c r="B388" s="88"/>
      <x:c r="D388" s="32"/>
      <x:c r="G388" s="74"/>
      <x:c r="H388" s="74"/>
      <x:c r="I388" s="74"/>
      <x:c r="J388" s="74"/>
      <x:c r="K388" s="74"/>
      <x:c r="L388" s="74"/>
      <x:c r="M388" s="91"/>
      <x:c r="N388" s="91"/>
      <x:c r="O388" s="85"/>
      <x:c r="P388" s="85"/>
      <x:c r="Q388" s="85"/>
      <x:c r="R388" s="85"/>
      <x:c r="S388" s="85"/>
      <x:c r="T388" s="85"/>
      <x:c r="U388" s="85"/>
      <x:c r="W388" s="86"/>
      <x:c r="X388" s="86"/>
      <x:c r="Y388" s="32"/>
    </x:row>
    <x:row r="389">
      <x:c r="A389" s="87"/>
      <x:c r="B389" s="88"/>
      <x:c r="D389" s="32"/>
      <x:c r="G389" s="74"/>
      <x:c r="H389" s="74"/>
      <x:c r="I389" s="74"/>
      <x:c r="J389" s="74"/>
      <x:c r="K389" s="74"/>
      <x:c r="L389" s="74"/>
      <x:c r="M389" s="91"/>
      <x:c r="N389" s="91"/>
      <x:c r="O389" s="85"/>
      <x:c r="P389" s="85"/>
      <x:c r="Q389" s="85"/>
      <x:c r="R389" s="85"/>
      <x:c r="S389" s="85"/>
      <x:c r="T389" s="85"/>
      <x:c r="U389" s="85"/>
      <x:c r="W389" s="86"/>
      <x:c r="X389" s="86"/>
      <x:c r="Y389" s="32"/>
    </x:row>
    <x:row r="390">
      <x:c r="A390" s="87"/>
      <x:c r="B390" s="88"/>
      <x:c r="D390" s="32"/>
      <x:c r="G390" s="74"/>
      <x:c r="H390" s="74"/>
      <x:c r="I390" s="74"/>
      <x:c r="J390" s="74"/>
      <x:c r="K390" s="74"/>
      <x:c r="L390" s="74"/>
      <x:c r="M390" s="91"/>
      <x:c r="N390" s="91"/>
      <x:c r="O390" s="85"/>
      <x:c r="P390" s="85"/>
      <x:c r="Q390" s="85"/>
      <x:c r="R390" s="85"/>
      <x:c r="S390" s="85"/>
      <x:c r="T390" s="85"/>
      <x:c r="U390" s="85"/>
      <x:c r="W390" s="86"/>
      <x:c r="X390" s="86"/>
      <x:c r="Y390" s="32"/>
    </x:row>
    <x:row r="391">
      <x:c r="A391" s="87"/>
      <x:c r="B391" s="88"/>
      <x:c r="D391" s="32"/>
      <x:c r="G391" s="74"/>
      <x:c r="H391" s="74"/>
      <x:c r="I391" s="74"/>
      <x:c r="J391" s="74"/>
      <x:c r="K391" s="74"/>
      <x:c r="L391" s="74"/>
      <x:c r="M391" s="91"/>
      <x:c r="N391" s="91"/>
      <x:c r="O391" s="85"/>
      <x:c r="P391" s="85"/>
      <x:c r="Q391" s="85"/>
      <x:c r="R391" s="85"/>
      <x:c r="S391" s="85"/>
      <x:c r="T391" s="85"/>
      <x:c r="U391" s="85"/>
      <x:c r="W391" s="86"/>
      <x:c r="X391" s="86"/>
      <x:c r="Y391" s="32"/>
    </x:row>
    <x:row r="392">
      <x:c r="A392" s="87"/>
      <x:c r="B392" s="88"/>
      <x:c r="D392" s="32"/>
      <x:c r="G392" s="74"/>
      <x:c r="H392" s="74"/>
      <x:c r="I392" s="74"/>
      <x:c r="J392" s="74"/>
      <x:c r="K392" s="74"/>
      <x:c r="L392" s="74"/>
      <x:c r="M392" s="91"/>
      <x:c r="N392" s="91"/>
      <x:c r="O392" s="85"/>
      <x:c r="P392" s="85"/>
      <x:c r="Q392" s="85"/>
      <x:c r="R392" s="85"/>
      <x:c r="S392" s="85"/>
      <x:c r="T392" s="85"/>
      <x:c r="U392" s="85"/>
      <x:c r="W392" s="86"/>
      <x:c r="X392" s="86"/>
      <x:c r="Y392" s="32"/>
    </x:row>
    <x:row r="393">
      <x:c r="A393" s="87"/>
      <x:c r="B393" s="88"/>
      <x:c r="D393" s="32"/>
      <x:c r="G393" s="74"/>
      <x:c r="H393" s="74"/>
      <x:c r="I393" s="74"/>
      <x:c r="J393" s="74"/>
      <x:c r="K393" s="74"/>
      <x:c r="L393" s="74"/>
      <x:c r="M393" s="91"/>
      <x:c r="N393" s="91"/>
      <x:c r="O393" s="85"/>
      <x:c r="P393" s="85"/>
      <x:c r="Q393" s="85"/>
      <x:c r="R393" s="85"/>
      <x:c r="S393" s="85"/>
      <x:c r="T393" s="85"/>
      <x:c r="U393" s="85"/>
      <x:c r="W393" s="86"/>
      <x:c r="X393" s="86"/>
      <x:c r="Y393" s="32"/>
    </x:row>
    <x:row r="394">
      <x:c r="A394" s="87"/>
      <x:c r="B394" s="88"/>
      <x:c r="D394" s="32"/>
      <x:c r="G394" s="74"/>
      <x:c r="H394" s="74"/>
      <x:c r="I394" s="74"/>
      <x:c r="J394" s="74"/>
      <x:c r="K394" s="74"/>
      <x:c r="L394" s="74"/>
      <x:c r="M394" s="91"/>
      <x:c r="N394" s="91"/>
      <x:c r="O394" s="85"/>
      <x:c r="P394" s="85"/>
      <x:c r="Q394" s="85"/>
      <x:c r="R394" s="85"/>
      <x:c r="S394" s="85"/>
      <x:c r="T394" s="85"/>
      <x:c r="U394" s="85"/>
      <x:c r="W394" s="86"/>
      <x:c r="X394" s="86"/>
      <x:c r="Y394" s="32"/>
    </x:row>
    <x:row r="395">
      <x:c r="A395" s="87"/>
      <x:c r="B395" s="88"/>
      <x:c r="D395" s="32"/>
      <x:c r="G395" s="74"/>
      <x:c r="H395" s="74"/>
      <x:c r="I395" s="74"/>
      <x:c r="J395" s="74"/>
      <x:c r="K395" s="74"/>
      <x:c r="L395" s="74"/>
      <x:c r="M395" s="91"/>
      <x:c r="N395" s="91"/>
      <x:c r="O395" s="85"/>
      <x:c r="P395" s="85"/>
      <x:c r="Q395" s="85"/>
      <x:c r="R395" s="85"/>
      <x:c r="S395" s="85"/>
      <x:c r="T395" s="85"/>
      <x:c r="U395" s="85"/>
      <x:c r="W395" s="86"/>
      <x:c r="X395" s="86"/>
      <x:c r="Y395" s="32"/>
    </x:row>
    <x:row r="396">
      <x:c r="A396" s="87"/>
      <x:c r="B396" s="88"/>
      <x:c r="D396" s="32"/>
      <x:c r="G396" s="74"/>
      <x:c r="H396" s="74"/>
      <x:c r="I396" s="74"/>
      <x:c r="J396" s="74"/>
      <x:c r="K396" s="74"/>
      <x:c r="L396" s="74"/>
      <x:c r="M396" s="91"/>
      <x:c r="N396" s="91"/>
      <x:c r="O396" s="85"/>
      <x:c r="P396" s="85"/>
      <x:c r="Q396" s="85"/>
      <x:c r="R396" s="85"/>
      <x:c r="S396" s="85"/>
      <x:c r="T396" s="85"/>
      <x:c r="U396" s="85"/>
      <x:c r="W396" s="86"/>
      <x:c r="X396" s="86"/>
      <x:c r="Y396" s="32"/>
    </x:row>
    <x:row r="397">
      <x:c r="A397" s="87"/>
      <x:c r="B397" s="88"/>
      <x:c r="D397" s="32"/>
      <x:c r="G397" s="74"/>
      <x:c r="H397" s="74"/>
      <x:c r="I397" s="74"/>
      <x:c r="J397" s="74"/>
      <x:c r="K397" s="74"/>
      <x:c r="L397" s="74"/>
      <x:c r="M397" s="91"/>
      <x:c r="N397" s="91"/>
      <x:c r="O397" s="85"/>
      <x:c r="P397" s="85"/>
      <x:c r="Q397" s="85"/>
      <x:c r="R397" s="85"/>
      <x:c r="S397" s="85"/>
      <x:c r="T397" s="85"/>
      <x:c r="U397" s="85"/>
      <x:c r="W397" s="86"/>
      <x:c r="X397" s="86"/>
      <x:c r="Y397" s="32"/>
    </x:row>
    <x:row r="398">
      <x:c r="A398" s="87"/>
      <x:c r="B398" s="88"/>
      <x:c r="D398" s="32"/>
      <x:c r="G398" s="74"/>
      <x:c r="H398" s="74"/>
      <x:c r="I398" s="74"/>
      <x:c r="J398" s="74"/>
      <x:c r="K398" s="74"/>
      <x:c r="L398" s="74"/>
      <x:c r="M398" s="91"/>
      <x:c r="N398" s="91"/>
      <x:c r="O398" s="85"/>
      <x:c r="P398" s="85"/>
      <x:c r="Q398" s="85"/>
      <x:c r="R398" s="85"/>
      <x:c r="S398" s="85"/>
      <x:c r="T398" s="85"/>
      <x:c r="U398" s="85"/>
      <x:c r="W398" s="86"/>
      <x:c r="X398" s="86"/>
      <x:c r="Y398" s="32"/>
    </x:row>
    <x:row r="399">
      <x:c r="A399" s="87"/>
      <x:c r="B399" s="88"/>
      <x:c r="D399" s="32"/>
      <x:c r="G399" s="74"/>
      <x:c r="H399" s="74"/>
      <x:c r="I399" s="74"/>
      <x:c r="J399" s="74"/>
      <x:c r="K399" s="74"/>
      <x:c r="L399" s="74"/>
      <x:c r="M399" s="91"/>
      <x:c r="N399" s="91"/>
      <x:c r="O399" s="85"/>
      <x:c r="P399" s="85"/>
      <x:c r="Q399" s="85"/>
      <x:c r="R399" s="85"/>
      <x:c r="S399" s="85"/>
      <x:c r="T399" s="85"/>
      <x:c r="U399" s="85"/>
      <x:c r="W399" s="86"/>
      <x:c r="X399" s="86"/>
      <x:c r="Y399" s="32"/>
    </x:row>
    <x:row r="400">
      <x:c r="A400" s="87"/>
      <x:c r="B400" s="88"/>
      <x:c r="D400" s="32"/>
      <x:c r="G400" s="74"/>
      <x:c r="H400" s="74"/>
      <x:c r="I400" s="74"/>
      <x:c r="J400" s="74"/>
      <x:c r="K400" s="74"/>
      <x:c r="L400" s="74"/>
      <x:c r="M400" s="91"/>
      <x:c r="N400" s="91"/>
      <x:c r="O400" s="85"/>
      <x:c r="P400" s="85"/>
      <x:c r="Q400" s="85"/>
      <x:c r="R400" s="85"/>
      <x:c r="S400" s="85"/>
      <x:c r="T400" s="85"/>
      <x:c r="U400" s="85"/>
      <x:c r="W400" s="86"/>
      <x:c r="X400" s="86"/>
      <x:c r="Y400" s="32"/>
    </x:row>
    <x:row r="401">
      <x:c r="A401" s="87"/>
      <x:c r="B401" s="88"/>
      <x:c r="D401" s="32"/>
      <x:c r="G401" s="74"/>
      <x:c r="H401" s="74"/>
      <x:c r="I401" s="74"/>
      <x:c r="J401" s="74"/>
      <x:c r="K401" s="74"/>
      <x:c r="L401" s="74"/>
      <x:c r="M401" s="91"/>
      <x:c r="N401" s="91"/>
      <x:c r="O401" s="85"/>
      <x:c r="P401" s="85"/>
      <x:c r="Q401" s="85"/>
      <x:c r="R401" s="85"/>
      <x:c r="S401" s="85"/>
      <x:c r="T401" s="85"/>
      <x:c r="U401" s="85"/>
      <x:c r="W401" s="86"/>
      <x:c r="X401" s="86"/>
      <x:c r="Y401" s="32"/>
    </x:row>
    <x:row r="402">
      <x:c r="A402" s="87"/>
      <x:c r="B402" s="88"/>
      <x:c r="D402" s="32"/>
      <x:c r="G402" s="74"/>
      <x:c r="H402" s="74"/>
      <x:c r="I402" s="74"/>
      <x:c r="J402" s="74"/>
      <x:c r="K402" s="74"/>
      <x:c r="L402" s="74"/>
      <x:c r="M402" s="91"/>
      <x:c r="N402" s="91"/>
      <x:c r="O402" s="85"/>
      <x:c r="P402" s="85"/>
      <x:c r="Q402" s="85"/>
      <x:c r="R402" s="85"/>
      <x:c r="S402" s="85"/>
      <x:c r="T402" s="85"/>
      <x:c r="U402" s="85"/>
      <x:c r="W402" s="86"/>
      <x:c r="X402" s="86"/>
      <x:c r="Y402" s="32"/>
    </x:row>
    <x:row r="403">
      <x:c r="A403" s="87"/>
      <x:c r="B403" s="88"/>
      <x:c r="D403" s="32"/>
      <x:c r="G403" s="74"/>
      <x:c r="H403" s="74"/>
      <x:c r="I403" s="74"/>
      <x:c r="J403" s="74"/>
      <x:c r="K403" s="74"/>
      <x:c r="L403" s="74"/>
      <x:c r="M403" s="91"/>
      <x:c r="N403" s="91"/>
      <x:c r="O403" s="85"/>
      <x:c r="P403" s="85"/>
      <x:c r="Q403" s="85"/>
      <x:c r="R403" s="85"/>
      <x:c r="S403" s="85"/>
      <x:c r="T403" s="85"/>
      <x:c r="U403" s="85"/>
      <x:c r="W403" s="86"/>
      <x:c r="X403" s="86"/>
      <x:c r="Y403" s="32"/>
    </x:row>
    <x:row r="404">
      <x:c r="A404" s="87"/>
      <x:c r="B404" s="88"/>
      <x:c r="D404" s="32"/>
      <x:c r="G404" s="74"/>
      <x:c r="H404" s="74"/>
      <x:c r="I404" s="74"/>
      <x:c r="J404" s="74"/>
      <x:c r="K404" s="74"/>
      <x:c r="L404" s="74"/>
      <x:c r="M404" s="91"/>
      <x:c r="N404" s="91"/>
      <x:c r="O404" s="85"/>
      <x:c r="P404" s="85"/>
      <x:c r="Q404" s="85"/>
      <x:c r="R404" s="85"/>
      <x:c r="S404" s="85"/>
      <x:c r="T404" s="85"/>
      <x:c r="U404" s="85"/>
      <x:c r="W404" s="86"/>
      <x:c r="X404" s="86"/>
      <x:c r="Y404" s="32"/>
    </x:row>
    <x:row r="405">
      <x:c r="A405" s="87"/>
      <x:c r="B405" s="88"/>
      <x:c r="D405" s="32"/>
      <x:c r="G405" s="74"/>
      <x:c r="H405" s="74"/>
      <x:c r="I405" s="74"/>
      <x:c r="J405" s="74"/>
      <x:c r="K405" s="74"/>
      <x:c r="L405" s="74"/>
      <x:c r="M405" s="91"/>
      <x:c r="N405" s="91"/>
      <x:c r="O405" s="85"/>
      <x:c r="P405" s="85"/>
      <x:c r="Q405" s="85"/>
      <x:c r="R405" s="85"/>
      <x:c r="S405" s="85"/>
      <x:c r="T405" s="85"/>
      <x:c r="U405" s="85"/>
      <x:c r="W405" s="86"/>
      <x:c r="X405" s="86"/>
      <x:c r="Y405" s="32"/>
    </x:row>
    <x:row r="406">
      <x:c r="A406" s="87"/>
      <x:c r="B406" s="88"/>
      <x:c r="D406" s="32"/>
      <x:c r="G406" s="74"/>
      <x:c r="H406" s="74"/>
      <x:c r="I406" s="74"/>
      <x:c r="J406" s="74"/>
      <x:c r="K406" s="74"/>
      <x:c r="L406" s="74"/>
      <x:c r="M406" s="91"/>
      <x:c r="N406" s="91"/>
      <x:c r="O406" s="85"/>
      <x:c r="P406" s="85"/>
      <x:c r="Q406" s="85"/>
      <x:c r="R406" s="85"/>
      <x:c r="S406" s="85"/>
      <x:c r="T406" s="85"/>
      <x:c r="U406" s="85"/>
      <x:c r="W406" s="86"/>
      <x:c r="X406" s="86"/>
      <x:c r="Y406" s="32"/>
    </x:row>
    <x:row r="407">
      <x:c r="A407" s="87"/>
      <x:c r="B407" s="88"/>
      <x:c r="D407" s="32"/>
      <x:c r="G407" s="74"/>
      <x:c r="H407" s="74"/>
      <x:c r="I407" s="74"/>
      <x:c r="J407" s="74"/>
      <x:c r="K407" s="74"/>
      <x:c r="L407" s="74"/>
      <x:c r="M407" s="91"/>
      <x:c r="N407" s="91"/>
      <x:c r="O407" s="85"/>
      <x:c r="P407" s="85"/>
      <x:c r="Q407" s="85"/>
      <x:c r="R407" s="85"/>
      <x:c r="S407" s="85"/>
      <x:c r="T407" s="85"/>
      <x:c r="U407" s="85"/>
      <x:c r="W407" s="86"/>
      <x:c r="X407" s="86"/>
      <x:c r="Y407" s="32"/>
    </x:row>
    <x:row r="408">
      <x:c r="A408" s="87"/>
      <x:c r="B408" s="88"/>
      <x:c r="D408" s="32"/>
      <x:c r="G408" s="74"/>
      <x:c r="H408" s="74"/>
      <x:c r="I408" s="74"/>
      <x:c r="J408" s="74"/>
      <x:c r="K408" s="74"/>
      <x:c r="L408" s="74"/>
      <x:c r="M408" s="91"/>
      <x:c r="N408" s="91"/>
      <x:c r="O408" s="85"/>
      <x:c r="P408" s="85"/>
      <x:c r="Q408" s="85"/>
      <x:c r="R408" s="85"/>
      <x:c r="S408" s="85"/>
      <x:c r="T408" s="85"/>
      <x:c r="U408" s="85"/>
      <x:c r="W408" s="86"/>
      <x:c r="X408" s="86"/>
      <x:c r="Y408" s="32"/>
    </x:row>
    <x:row r="409">
      <x:c r="A409" s="87"/>
      <x:c r="B409" s="88"/>
      <x:c r="D409" s="32"/>
      <x:c r="G409" s="74"/>
      <x:c r="H409" s="74"/>
      <x:c r="I409" s="74"/>
      <x:c r="J409" s="74"/>
      <x:c r="K409" s="74"/>
      <x:c r="L409" s="74"/>
      <x:c r="M409" s="91"/>
      <x:c r="N409" s="91"/>
      <x:c r="O409" s="85"/>
      <x:c r="P409" s="85"/>
      <x:c r="Q409" s="85"/>
      <x:c r="R409" s="85"/>
      <x:c r="S409" s="85"/>
      <x:c r="T409" s="85"/>
      <x:c r="U409" s="85"/>
      <x:c r="W409" s="86"/>
      <x:c r="X409" s="86"/>
      <x:c r="Y409" s="32"/>
    </x:row>
    <x:row r="410">
      <x:c r="A410" s="87"/>
      <x:c r="B410" s="88"/>
      <x:c r="D410" s="32"/>
      <x:c r="G410" s="74"/>
      <x:c r="H410" s="74"/>
      <x:c r="I410" s="74"/>
      <x:c r="J410" s="74"/>
      <x:c r="K410" s="74"/>
      <x:c r="L410" s="74"/>
      <x:c r="M410" s="91"/>
      <x:c r="N410" s="91"/>
      <x:c r="O410" s="85"/>
      <x:c r="P410" s="85"/>
      <x:c r="Q410" s="85"/>
      <x:c r="R410" s="85"/>
      <x:c r="S410" s="85"/>
      <x:c r="T410" s="85"/>
      <x:c r="U410" s="85"/>
      <x:c r="W410" s="86"/>
      <x:c r="X410" s="86"/>
      <x:c r="Y410" s="32"/>
    </x:row>
    <x:row r="411">
      <x:c r="A411" s="87"/>
      <x:c r="B411" s="88"/>
      <x:c r="D411" s="32"/>
      <x:c r="G411" s="74"/>
      <x:c r="H411" s="74"/>
      <x:c r="I411" s="74"/>
      <x:c r="J411" s="74"/>
      <x:c r="K411" s="74"/>
      <x:c r="L411" s="74"/>
      <x:c r="M411" s="91"/>
      <x:c r="N411" s="91"/>
      <x:c r="O411" s="85"/>
      <x:c r="P411" s="85"/>
      <x:c r="Q411" s="85"/>
      <x:c r="R411" s="85"/>
      <x:c r="S411" s="85"/>
      <x:c r="T411" s="85"/>
      <x:c r="U411" s="85"/>
      <x:c r="W411" s="86"/>
      <x:c r="X411" s="86"/>
      <x:c r="Y411" s="32"/>
    </x:row>
    <x:row r="412">
      <x:c r="A412" s="87"/>
      <x:c r="B412" s="88"/>
      <x:c r="D412" s="32"/>
      <x:c r="G412" s="74"/>
      <x:c r="H412" s="74"/>
      <x:c r="I412" s="74"/>
      <x:c r="J412" s="74"/>
      <x:c r="K412" s="74"/>
      <x:c r="L412" s="74"/>
      <x:c r="M412" s="91"/>
      <x:c r="N412" s="91"/>
      <x:c r="O412" s="85"/>
      <x:c r="P412" s="85"/>
      <x:c r="Q412" s="85"/>
      <x:c r="R412" s="85"/>
      <x:c r="S412" s="85"/>
      <x:c r="T412" s="85"/>
      <x:c r="U412" s="85"/>
      <x:c r="W412" s="86"/>
      <x:c r="X412" s="86"/>
      <x:c r="Y412" s="32"/>
    </x:row>
    <x:row r="413">
      <x:c r="A413" s="87"/>
      <x:c r="B413" s="88"/>
      <x:c r="D413" s="32"/>
      <x:c r="G413" s="74"/>
      <x:c r="H413" s="74"/>
      <x:c r="I413" s="74"/>
      <x:c r="J413" s="74"/>
      <x:c r="K413" s="74"/>
      <x:c r="L413" s="74"/>
      <x:c r="M413" s="91"/>
      <x:c r="N413" s="91"/>
      <x:c r="O413" s="85"/>
      <x:c r="P413" s="85"/>
      <x:c r="Q413" s="85"/>
      <x:c r="R413" s="85"/>
      <x:c r="S413" s="85"/>
      <x:c r="T413" s="85"/>
      <x:c r="U413" s="85"/>
      <x:c r="W413" s="86"/>
      <x:c r="X413" s="86"/>
      <x:c r="Y413" s="32"/>
    </x:row>
    <x:row r="414">
      <x:c r="A414" s="87"/>
      <x:c r="B414" s="88"/>
      <x:c r="D414" s="32"/>
      <x:c r="G414" s="74"/>
      <x:c r="H414" s="74"/>
      <x:c r="I414" s="74"/>
      <x:c r="J414" s="74"/>
      <x:c r="K414" s="74"/>
      <x:c r="L414" s="74"/>
      <x:c r="M414" s="91"/>
      <x:c r="N414" s="91"/>
      <x:c r="O414" s="85"/>
      <x:c r="P414" s="85"/>
      <x:c r="Q414" s="85"/>
      <x:c r="R414" s="85"/>
      <x:c r="S414" s="85"/>
      <x:c r="T414" s="85"/>
      <x:c r="U414" s="85"/>
      <x:c r="W414" s="86"/>
      <x:c r="X414" s="86"/>
      <x:c r="Y414" s="32"/>
    </x:row>
    <x:row r="415">
      <x:c r="A415" s="87"/>
      <x:c r="B415" s="88"/>
      <x:c r="D415" s="32"/>
      <x:c r="G415" s="74"/>
      <x:c r="H415" s="74"/>
      <x:c r="I415" s="74"/>
      <x:c r="J415" s="74"/>
      <x:c r="K415" s="74"/>
      <x:c r="L415" s="74"/>
      <x:c r="M415" s="91"/>
      <x:c r="N415" s="91"/>
      <x:c r="O415" s="85"/>
      <x:c r="P415" s="85"/>
      <x:c r="Q415" s="85"/>
      <x:c r="R415" s="85"/>
      <x:c r="S415" s="85"/>
      <x:c r="T415" s="85"/>
      <x:c r="U415" s="85"/>
      <x:c r="W415" s="86"/>
      <x:c r="X415" s="86"/>
      <x:c r="Y415" s="32"/>
    </x:row>
    <x:row r="416">
      <x:c r="A416" s="87"/>
      <x:c r="B416" s="88"/>
      <x:c r="D416" s="32"/>
      <x:c r="G416" s="74"/>
      <x:c r="H416" s="74"/>
      <x:c r="I416" s="74"/>
      <x:c r="J416" s="74"/>
      <x:c r="K416" s="74"/>
      <x:c r="L416" s="74"/>
      <x:c r="M416" s="91"/>
      <x:c r="N416" s="91"/>
      <x:c r="O416" s="85"/>
      <x:c r="P416" s="85"/>
      <x:c r="Q416" s="85"/>
      <x:c r="R416" s="85"/>
      <x:c r="S416" s="85"/>
      <x:c r="T416" s="85"/>
      <x:c r="U416" s="85"/>
      <x:c r="W416" s="86"/>
      <x:c r="X416" s="86"/>
      <x:c r="Y416" s="32"/>
    </x:row>
    <x:row r="417">
      <x:c r="A417" s="87"/>
      <x:c r="B417" s="88"/>
      <x:c r="D417" s="32"/>
      <x:c r="G417" s="74"/>
      <x:c r="H417" s="74"/>
      <x:c r="I417" s="74"/>
      <x:c r="J417" s="74"/>
      <x:c r="K417" s="74"/>
      <x:c r="L417" s="74"/>
      <x:c r="M417" s="91"/>
      <x:c r="N417" s="91"/>
      <x:c r="O417" s="85"/>
      <x:c r="P417" s="85"/>
      <x:c r="Q417" s="85"/>
      <x:c r="R417" s="85"/>
      <x:c r="S417" s="85"/>
      <x:c r="T417" s="85"/>
      <x:c r="U417" s="85"/>
      <x:c r="W417" s="86"/>
      <x:c r="X417" s="86"/>
      <x:c r="Y417" s="32"/>
    </x:row>
    <x:row r="418">
      <x:c r="A418" s="87"/>
      <x:c r="B418" s="88"/>
      <x:c r="D418" s="32"/>
      <x:c r="G418" s="74"/>
      <x:c r="H418" s="74"/>
      <x:c r="I418" s="74"/>
      <x:c r="J418" s="74"/>
      <x:c r="K418" s="74"/>
      <x:c r="L418" s="74"/>
      <x:c r="M418" s="91"/>
      <x:c r="N418" s="91"/>
      <x:c r="O418" s="85"/>
      <x:c r="P418" s="85"/>
      <x:c r="Q418" s="85"/>
      <x:c r="R418" s="85"/>
      <x:c r="S418" s="85"/>
      <x:c r="T418" s="85"/>
      <x:c r="U418" s="85"/>
      <x:c r="W418" s="86"/>
      <x:c r="X418" s="86"/>
      <x:c r="Y418" s="32"/>
    </x:row>
    <x:row r="419">
      <x:c r="A419" s="87"/>
      <x:c r="B419" s="88"/>
      <x:c r="D419" s="32"/>
      <x:c r="G419" s="74"/>
      <x:c r="H419" s="74"/>
      <x:c r="I419" s="74"/>
      <x:c r="J419" s="74"/>
      <x:c r="K419" s="74"/>
      <x:c r="L419" s="74"/>
      <x:c r="M419" s="91"/>
      <x:c r="N419" s="91"/>
      <x:c r="O419" s="85"/>
      <x:c r="P419" s="85"/>
      <x:c r="Q419" s="85"/>
      <x:c r="R419" s="85"/>
      <x:c r="S419" s="85"/>
      <x:c r="T419" s="85"/>
      <x:c r="U419" s="85"/>
      <x:c r="W419" s="86"/>
      <x:c r="X419" s="86"/>
      <x:c r="Y419" s="32"/>
    </x:row>
    <x:row r="420">
      <x:c r="A420" s="87"/>
      <x:c r="B420" s="88"/>
      <x:c r="D420" s="32"/>
      <x:c r="G420" s="74"/>
      <x:c r="H420" s="74"/>
      <x:c r="I420" s="74"/>
      <x:c r="J420" s="74"/>
      <x:c r="K420" s="74"/>
      <x:c r="L420" s="74"/>
      <x:c r="M420" s="91"/>
      <x:c r="N420" s="91"/>
      <x:c r="O420" s="85"/>
      <x:c r="P420" s="85"/>
      <x:c r="Q420" s="85"/>
      <x:c r="R420" s="85"/>
      <x:c r="S420" s="85"/>
      <x:c r="T420" s="85"/>
      <x:c r="U420" s="85"/>
      <x:c r="W420" s="86"/>
      <x:c r="X420" s="86"/>
      <x:c r="Y420" s="32"/>
    </x:row>
    <x:row r="421">
      <x:c r="A421" s="87"/>
      <x:c r="B421" s="88"/>
      <x:c r="D421" s="32"/>
      <x:c r="G421" s="74"/>
      <x:c r="H421" s="74"/>
      <x:c r="I421" s="74"/>
      <x:c r="J421" s="74"/>
      <x:c r="K421" s="74"/>
      <x:c r="L421" s="74"/>
      <x:c r="M421" s="91"/>
      <x:c r="N421" s="91"/>
      <x:c r="O421" s="85"/>
      <x:c r="P421" s="85"/>
      <x:c r="Q421" s="85"/>
      <x:c r="R421" s="85"/>
      <x:c r="S421" s="85"/>
      <x:c r="T421" s="85"/>
      <x:c r="U421" s="85"/>
      <x:c r="W421" s="86"/>
      <x:c r="X421" s="86"/>
      <x:c r="Y421" s="32"/>
    </x:row>
    <x:row r="422">
      <x:c r="A422" s="87"/>
      <x:c r="B422" s="88"/>
      <x:c r="D422" s="32"/>
      <x:c r="G422" s="74"/>
      <x:c r="H422" s="74"/>
      <x:c r="I422" s="74"/>
      <x:c r="J422" s="74"/>
      <x:c r="K422" s="74"/>
      <x:c r="L422" s="74"/>
      <x:c r="M422" s="91"/>
      <x:c r="N422" s="91"/>
      <x:c r="O422" s="85"/>
      <x:c r="P422" s="85"/>
      <x:c r="Q422" s="85"/>
      <x:c r="R422" s="85"/>
      <x:c r="S422" s="85"/>
      <x:c r="T422" s="85"/>
      <x:c r="U422" s="85"/>
      <x:c r="W422" s="86"/>
      <x:c r="X422" s="86"/>
      <x:c r="Y422" s="32"/>
    </x:row>
    <x:row r="423">
      <x:c r="A423" s="87"/>
      <x:c r="B423" s="88"/>
      <x:c r="D423" s="32"/>
      <x:c r="G423" s="74"/>
      <x:c r="H423" s="74"/>
      <x:c r="I423" s="74"/>
      <x:c r="J423" s="74"/>
      <x:c r="K423" s="74"/>
      <x:c r="L423" s="74"/>
      <x:c r="M423" s="91"/>
      <x:c r="N423" s="91"/>
      <x:c r="O423" s="85"/>
      <x:c r="P423" s="85"/>
      <x:c r="Q423" s="85"/>
      <x:c r="R423" s="85"/>
      <x:c r="S423" s="85"/>
      <x:c r="T423" s="85"/>
      <x:c r="U423" s="85"/>
      <x:c r="W423" s="86"/>
      <x:c r="X423" s="86"/>
      <x:c r="Y423" s="32"/>
    </x:row>
    <x:row r="424">
      <x:c r="A424" s="87"/>
      <x:c r="B424" s="88"/>
      <x:c r="D424" s="32"/>
      <x:c r="G424" s="74"/>
      <x:c r="H424" s="74"/>
      <x:c r="I424" s="74"/>
      <x:c r="J424" s="74"/>
      <x:c r="K424" s="74"/>
      <x:c r="L424" s="74"/>
      <x:c r="M424" s="91"/>
      <x:c r="N424" s="91"/>
      <x:c r="O424" s="85"/>
      <x:c r="P424" s="85"/>
      <x:c r="Q424" s="85"/>
      <x:c r="R424" s="85"/>
      <x:c r="S424" s="85"/>
      <x:c r="T424" s="85"/>
      <x:c r="U424" s="85"/>
      <x:c r="W424" s="86"/>
      <x:c r="X424" s="86"/>
      <x:c r="Y424" s="32"/>
    </x:row>
    <x:row r="425">
      <x:c r="A425" s="87"/>
      <x:c r="B425" s="88"/>
      <x:c r="D425" s="32"/>
      <x:c r="G425" s="74"/>
      <x:c r="H425" s="74"/>
      <x:c r="I425" s="74"/>
      <x:c r="J425" s="74"/>
      <x:c r="K425" s="74"/>
      <x:c r="L425" s="74"/>
      <x:c r="M425" s="91"/>
      <x:c r="N425" s="91"/>
      <x:c r="O425" s="85"/>
      <x:c r="P425" s="85"/>
      <x:c r="Q425" s="85"/>
      <x:c r="R425" s="85"/>
      <x:c r="S425" s="85"/>
      <x:c r="T425" s="85"/>
      <x:c r="U425" s="85"/>
      <x:c r="W425" s="86"/>
      <x:c r="X425" s="86"/>
      <x:c r="Y425" s="32"/>
    </x:row>
    <x:row r="426">
      <x:c r="A426" s="87"/>
      <x:c r="B426" s="88"/>
      <x:c r="D426" s="32"/>
      <x:c r="G426" s="74"/>
      <x:c r="H426" s="74"/>
      <x:c r="I426" s="74"/>
      <x:c r="J426" s="74"/>
      <x:c r="K426" s="74"/>
      <x:c r="L426" s="74"/>
      <x:c r="M426" s="91"/>
      <x:c r="N426" s="91"/>
      <x:c r="O426" s="85"/>
      <x:c r="P426" s="85"/>
      <x:c r="Q426" s="85"/>
      <x:c r="R426" s="85"/>
      <x:c r="S426" s="85"/>
      <x:c r="T426" s="85"/>
      <x:c r="U426" s="85"/>
      <x:c r="W426" s="86"/>
      <x:c r="X426" s="86"/>
      <x:c r="Y426" s="32"/>
    </x:row>
    <x:row r="427">
      <x:c r="A427" s="87"/>
      <x:c r="B427" s="88"/>
      <x:c r="D427" s="32"/>
      <x:c r="G427" s="74"/>
      <x:c r="H427" s="74"/>
      <x:c r="I427" s="74"/>
      <x:c r="J427" s="74"/>
      <x:c r="K427" s="74"/>
      <x:c r="L427" s="74"/>
      <x:c r="M427" s="91"/>
      <x:c r="N427" s="91"/>
      <x:c r="O427" s="85"/>
      <x:c r="P427" s="85"/>
      <x:c r="Q427" s="85"/>
      <x:c r="R427" s="85"/>
      <x:c r="S427" s="85"/>
      <x:c r="T427" s="85"/>
      <x:c r="U427" s="85"/>
      <x:c r="W427" s="86"/>
      <x:c r="X427" s="86"/>
      <x:c r="Y427" s="32"/>
    </x:row>
    <x:row r="428">
      <x:c r="A428" s="87"/>
      <x:c r="B428" s="88"/>
      <x:c r="D428" s="32"/>
      <x:c r="G428" s="74"/>
      <x:c r="H428" s="74"/>
      <x:c r="I428" s="74"/>
      <x:c r="J428" s="74"/>
      <x:c r="K428" s="74"/>
      <x:c r="L428" s="74"/>
      <x:c r="M428" s="91"/>
      <x:c r="N428" s="91"/>
      <x:c r="O428" s="85"/>
      <x:c r="P428" s="85"/>
      <x:c r="Q428" s="85"/>
      <x:c r="R428" s="85"/>
      <x:c r="S428" s="85"/>
      <x:c r="T428" s="85"/>
      <x:c r="U428" s="85"/>
      <x:c r="W428" s="86"/>
      <x:c r="X428" s="86"/>
      <x:c r="Y428" s="32"/>
    </x:row>
    <x:row r="429">
      <x:c r="A429" s="87"/>
      <x:c r="B429" s="88"/>
      <x:c r="D429" s="32"/>
      <x:c r="G429" s="74"/>
      <x:c r="H429" s="74"/>
      <x:c r="I429" s="74"/>
      <x:c r="J429" s="74"/>
      <x:c r="K429" s="74"/>
      <x:c r="L429" s="74"/>
      <x:c r="M429" s="91"/>
      <x:c r="N429" s="91"/>
      <x:c r="O429" s="85"/>
      <x:c r="P429" s="85"/>
      <x:c r="Q429" s="85"/>
      <x:c r="R429" s="85"/>
      <x:c r="S429" s="85"/>
      <x:c r="T429" s="85"/>
      <x:c r="U429" s="85"/>
      <x:c r="W429" s="86"/>
      <x:c r="X429" s="86"/>
      <x:c r="Y429" s="32"/>
    </x:row>
    <x:row r="430">
      <x:c r="A430" s="87"/>
      <x:c r="B430" s="88"/>
      <x:c r="D430" s="32"/>
      <x:c r="G430" s="74"/>
      <x:c r="H430" s="74"/>
      <x:c r="I430" s="74"/>
      <x:c r="J430" s="74"/>
      <x:c r="K430" s="74"/>
      <x:c r="L430" s="74"/>
      <x:c r="M430" s="91"/>
      <x:c r="N430" s="91"/>
      <x:c r="O430" s="85"/>
      <x:c r="P430" s="85"/>
      <x:c r="Q430" s="85"/>
      <x:c r="R430" s="85"/>
      <x:c r="S430" s="85"/>
      <x:c r="T430" s="85"/>
      <x:c r="U430" s="85"/>
      <x:c r="W430" s="86"/>
      <x:c r="X430" s="86"/>
      <x:c r="Y430" s="32"/>
    </x:row>
    <x:row r="431">
      <x:c r="A431" s="87"/>
      <x:c r="B431" s="88"/>
      <x:c r="D431" s="32"/>
      <x:c r="G431" s="74"/>
      <x:c r="H431" s="74"/>
      <x:c r="I431" s="74"/>
      <x:c r="J431" s="74"/>
      <x:c r="K431" s="74"/>
      <x:c r="L431" s="74"/>
      <x:c r="M431" s="91"/>
      <x:c r="N431" s="91"/>
      <x:c r="O431" s="85"/>
      <x:c r="P431" s="85"/>
      <x:c r="Q431" s="85"/>
      <x:c r="R431" s="85"/>
      <x:c r="S431" s="85"/>
      <x:c r="T431" s="85"/>
      <x:c r="U431" s="85"/>
      <x:c r="W431" s="86"/>
      <x:c r="X431" s="86"/>
      <x:c r="Y431" s="32"/>
    </x:row>
    <x:row r="432">
      <x:c r="A432" s="87"/>
      <x:c r="B432" s="88"/>
      <x:c r="D432" s="32"/>
      <x:c r="G432" s="74"/>
      <x:c r="H432" s="74"/>
      <x:c r="I432" s="74"/>
      <x:c r="J432" s="74"/>
      <x:c r="K432" s="74"/>
      <x:c r="L432" s="74"/>
      <x:c r="M432" s="91"/>
      <x:c r="N432" s="91"/>
      <x:c r="O432" s="85"/>
      <x:c r="P432" s="85"/>
      <x:c r="Q432" s="85"/>
      <x:c r="R432" s="85"/>
      <x:c r="S432" s="85"/>
      <x:c r="T432" s="85"/>
      <x:c r="U432" s="85"/>
      <x:c r="W432" s="86"/>
      <x:c r="X432" s="86"/>
      <x:c r="Y432" s="32"/>
    </x:row>
    <x:row r="433">
      <x:c r="A433" s="87"/>
      <x:c r="B433" s="88"/>
      <x:c r="D433" s="32"/>
      <x:c r="G433" s="74"/>
      <x:c r="H433" s="74"/>
      <x:c r="I433" s="74"/>
      <x:c r="J433" s="74"/>
      <x:c r="K433" s="74"/>
      <x:c r="L433" s="74"/>
      <x:c r="M433" s="91"/>
      <x:c r="N433" s="91"/>
      <x:c r="O433" s="85"/>
      <x:c r="P433" s="85"/>
      <x:c r="Q433" s="85"/>
      <x:c r="R433" s="85"/>
      <x:c r="S433" s="85"/>
      <x:c r="T433" s="85"/>
      <x:c r="U433" s="85"/>
      <x:c r="W433" s="86"/>
      <x:c r="X433" s="86"/>
      <x:c r="Y433" s="32"/>
    </x:row>
    <x:row r="434">
      <x:c r="A434" s="87"/>
      <x:c r="B434" s="88"/>
      <x:c r="D434" s="32"/>
      <x:c r="G434" s="74"/>
      <x:c r="H434" s="74"/>
      <x:c r="I434" s="74"/>
      <x:c r="J434" s="74"/>
      <x:c r="K434" s="74"/>
      <x:c r="L434" s="74"/>
      <x:c r="M434" s="91"/>
      <x:c r="N434" s="91"/>
      <x:c r="O434" s="85"/>
      <x:c r="P434" s="85"/>
      <x:c r="Q434" s="85"/>
      <x:c r="R434" s="85"/>
      <x:c r="S434" s="85"/>
      <x:c r="T434" s="85"/>
      <x:c r="U434" s="85"/>
      <x:c r="W434" s="86"/>
      <x:c r="X434" s="86"/>
      <x:c r="Y434" s="32"/>
    </x:row>
    <x:row r="435">
      <x:c r="A435" s="87"/>
      <x:c r="B435" s="88"/>
      <x:c r="D435" s="32"/>
      <x:c r="G435" s="74"/>
      <x:c r="H435" s="74"/>
      <x:c r="I435" s="74"/>
      <x:c r="J435" s="74"/>
      <x:c r="K435" s="74"/>
      <x:c r="L435" s="74"/>
      <x:c r="M435" s="91"/>
      <x:c r="N435" s="91"/>
      <x:c r="O435" s="85"/>
      <x:c r="P435" s="85"/>
      <x:c r="Q435" s="85"/>
      <x:c r="R435" s="85"/>
      <x:c r="S435" s="85"/>
      <x:c r="T435" s="85"/>
      <x:c r="U435" s="85"/>
      <x:c r="W435" s="86"/>
      <x:c r="X435" s="86"/>
      <x:c r="Y435" s="32"/>
    </x:row>
    <x:row r="436">
      <x:c r="A436" s="87"/>
      <x:c r="B436" s="88"/>
      <x:c r="D436" s="32"/>
      <x:c r="G436" s="74"/>
      <x:c r="H436" s="74"/>
      <x:c r="I436" s="74"/>
      <x:c r="J436" s="74"/>
      <x:c r="K436" s="74"/>
      <x:c r="L436" s="74"/>
      <x:c r="M436" s="91"/>
      <x:c r="N436" s="91"/>
      <x:c r="O436" s="85"/>
      <x:c r="P436" s="85"/>
      <x:c r="Q436" s="85"/>
      <x:c r="R436" s="85"/>
      <x:c r="S436" s="85"/>
      <x:c r="T436" s="85"/>
      <x:c r="U436" s="85"/>
      <x:c r="W436" s="86"/>
      <x:c r="X436" s="86"/>
      <x:c r="Y436" s="32"/>
    </x:row>
    <x:row r="437">
      <x:c r="A437" s="87"/>
      <x:c r="B437" s="88"/>
      <x:c r="D437" s="32"/>
      <x:c r="G437" s="74"/>
      <x:c r="H437" s="74"/>
      <x:c r="I437" s="74"/>
      <x:c r="J437" s="74"/>
      <x:c r="K437" s="74"/>
      <x:c r="L437" s="74"/>
      <x:c r="M437" s="91"/>
      <x:c r="N437" s="91"/>
      <x:c r="O437" s="85"/>
      <x:c r="P437" s="85"/>
      <x:c r="Q437" s="85"/>
      <x:c r="R437" s="85"/>
      <x:c r="S437" s="85"/>
      <x:c r="T437" s="85"/>
      <x:c r="U437" s="85"/>
      <x:c r="W437" s="86"/>
      <x:c r="X437" s="86"/>
      <x:c r="Y437" s="32"/>
    </x:row>
    <x:row r="438">
      <x:c r="A438" s="87"/>
      <x:c r="B438" s="88"/>
      <x:c r="D438" s="32"/>
      <x:c r="G438" s="74"/>
      <x:c r="H438" s="74"/>
      <x:c r="I438" s="74"/>
      <x:c r="J438" s="74"/>
      <x:c r="K438" s="74"/>
      <x:c r="L438" s="74"/>
      <x:c r="M438" s="91"/>
      <x:c r="N438" s="91"/>
      <x:c r="O438" s="85"/>
      <x:c r="P438" s="85"/>
      <x:c r="Q438" s="85"/>
      <x:c r="R438" s="85"/>
      <x:c r="S438" s="85"/>
      <x:c r="T438" s="85"/>
      <x:c r="U438" s="85"/>
      <x:c r="W438" s="86"/>
      <x:c r="X438" s="86"/>
      <x:c r="Y438" s="32"/>
    </x:row>
    <x:row r="439">
      <x:c r="A439" s="87"/>
      <x:c r="B439" s="88"/>
      <x:c r="D439" s="32"/>
      <x:c r="G439" s="74"/>
      <x:c r="H439" s="74"/>
      <x:c r="I439" s="74"/>
      <x:c r="J439" s="74"/>
      <x:c r="K439" s="74"/>
      <x:c r="L439" s="74"/>
      <x:c r="M439" s="91"/>
      <x:c r="N439" s="91"/>
      <x:c r="O439" s="85"/>
      <x:c r="P439" s="85"/>
      <x:c r="Q439" s="85"/>
      <x:c r="R439" s="85"/>
      <x:c r="S439" s="85"/>
      <x:c r="T439" s="85"/>
      <x:c r="U439" s="85"/>
      <x:c r="W439" s="86"/>
      <x:c r="X439" s="86"/>
      <x:c r="Y439" s="32"/>
    </x:row>
    <x:row r="440">
      <x:c r="A440" s="87"/>
      <x:c r="B440" s="88"/>
      <x:c r="D440" s="32"/>
      <x:c r="G440" s="74"/>
      <x:c r="H440" s="74"/>
      <x:c r="I440" s="74"/>
      <x:c r="J440" s="74"/>
      <x:c r="K440" s="74"/>
      <x:c r="L440" s="74"/>
      <x:c r="M440" s="91"/>
      <x:c r="N440" s="91"/>
      <x:c r="O440" s="85"/>
      <x:c r="P440" s="85"/>
      <x:c r="Q440" s="85"/>
      <x:c r="R440" s="85"/>
      <x:c r="S440" s="85"/>
      <x:c r="T440" s="85"/>
      <x:c r="U440" s="85"/>
      <x:c r="W440" s="86"/>
      <x:c r="X440" s="86"/>
      <x:c r="Y440" s="32"/>
    </x:row>
    <x:row r="441">
      <x:c r="A441" s="87"/>
      <x:c r="B441" s="88"/>
      <x:c r="D441" s="32"/>
      <x:c r="G441" s="74"/>
      <x:c r="H441" s="74"/>
      <x:c r="I441" s="74"/>
      <x:c r="J441" s="74"/>
      <x:c r="K441" s="74"/>
      <x:c r="L441" s="74"/>
      <x:c r="M441" s="91"/>
      <x:c r="N441" s="91"/>
      <x:c r="O441" s="85"/>
      <x:c r="P441" s="85"/>
      <x:c r="Q441" s="85"/>
      <x:c r="R441" s="85"/>
      <x:c r="S441" s="85"/>
      <x:c r="T441" s="85"/>
      <x:c r="U441" s="85"/>
      <x:c r="W441" s="86"/>
      <x:c r="X441" s="86"/>
      <x:c r="Y441" s="32"/>
    </x:row>
    <x:row r="442">
      <x:c r="A442" s="87"/>
      <x:c r="B442" s="88"/>
      <x:c r="D442" s="32"/>
      <x:c r="G442" s="74"/>
      <x:c r="H442" s="74"/>
      <x:c r="I442" s="74"/>
      <x:c r="J442" s="74"/>
      <x:c r="K442" s="74"/>
      <x:c r="L442" s="74"/>
      <x:c r="M442" s="91"/>
      <x:c r="N442" s="91"/>
      <x:c r="O442" s="85"/>
      <x:c r="P442" s="85"/>
      <x:c r="Q442" s="85"/>
      <x:c r="R442" s="85"/>
      <x:c r="S442" s="85"/>
      <x:c r="T442" s="85"/>
      <x:c r="U442" s="85"/>
      <x:c r="W442" s="86"/>
      <x:c r="X442" s="86"/>
      <x:c r="Y442" s="32"/>
    </x:row>
    <x:row r="443">
      <x:c r="A443" s="87"/>
      <x:c r="B443" s="88"/>
      <x:c r="D443" s="32"/>
      <x:c r="G443" s="74"/>
      <x:c r="H443" s="74"/>
      <x:c r="I443" s="74"/>
      <x:c r="J443" s="74"/>
      <x:c r="K443" s="74"/>
      <x:c r="L443" s="74"/>
      <x:c r="M443" s="91"/>
      <x:c r="N443" s="91"/>
      <x:c r="O443" s="85"/>
      <x:c r="P443" s="85"/>
      <x:c r="Q443" s="85"/>
      <x:c r="R443" s="85"/>
      <x:c r="S443" s="85"/>
      <x:c r="T443" s="85"/>
      <x:c r="U443" s="85"/>
      <x:c r="W443" s="86"/>
      <x:c r="X443" s="86"/>
      <x:c r="Y443" s="32"/>
    </x:row>
    <x:row r="444">
      <x:c r="A444" s="87"/>
      <x:c r="B444" s="88"/>
      <x:c r="D444" s="32"/>
      <x:c r="G444" s="74"/>
      <x:c r="H444" s="74"/>
      <x:c r="I444" s="74"/>
      <x:c r="J444" s="74"/>
      <x:c r="K444" s="74"/>
      <x:c r="L444" s="74"/>
      <x:c r="M444" s="91"/>
      <x:c r="N444" s="91"/>
      <x:c r="O444" s="85"/>
      <x:c r="P444" s="85"/>
      <x:c r="Q444" s="85"/>
      <x:c r="R444" s="85"/>
      <x:c r="S444" s="85"/>
      <x:c r="T444" s="85"/>
      <x:c r="U444" s="85"/>
      <x:c r="W444" s="86"/>
      <x:c r="X444" s="86"/>
      <x:c r="Y444" s="32"/>
    </x:row>
    <x:row r="445">
      <x:c r="A445" s="87"/>
      <x:c r="B445" s="88"/>
      <x:c r="D445" s="32"/>
      <x:c r="G445" s="74"/>
      <x:c r="H445" s="74"/>
      <x:c r="I445" s="74"/>
      <x:c r="J445" s="74"/>
      <x:c r="K445" s="74"/>
      <x:c r="L445" s="74"/>
      <x:c r="M445" s="91"/>
      <x:c r="N445" s="91"/>
      <x:c r="O445" s="85"/>
      <x:c r="P445" s="85"/>
      <x:c r="Q445" s="85"/>
      <x:c r="R445" s="85"/>
      <x:c r="S445" s="85"/>
      <x:c r="T445" s="85"/>
      <x:c r="U445" s="85"/>
      <x:c r="W445" s="86"/>
      <x:c r="X445" s="86"/>
      <x:c r="Y445" s="32"/>
    </x:row>
    <x:row r="446">
      <x:c r="A446" s="87"/>
      <x:c r="B446" s="88"/>
      <x:c r="D446" s="32"/>
      <x:c r="G446" s="74"/>
      <x:c r="H446" s="74"/>
      <x:c r="I446" s="74"/>
      <x:c r="J446" s="74"/>
      <x:c r="K446" s="74"/>
      <x:c r="L446" s="74"/>
      <x:c r="M446" s="91"/>
      <x:c r="N446" s="91"/>
      <x:c r="O446" s="85"/>
      <x:c r="P446" s="85"/>
      <x:c r="Q446" s="85"/>
      <x:c r="R446" s="85"/>
      <x:c r="S446" s="85"/>
      <x:c r="T446" s="85"/>
      <x:c r="U446" s="85"/>
      <x:c r="W446" s="86"/>
      <x:c r="X446" s="86"/>
      <x:c r="Y446" s="32"/>
    </x:row>
    <x:row r="447">
      <x:c r="A447" s="87"/>
      <x:c r="B447" s="88"/>
      <x:c r="D447" s="32"/>
      <x:c r="G447" s="74"/>
      <x:c r="H447" s="74"/>
      <x:c r="I447" s="74"/>
      <x:c r="J447" s="74"/>
      <x:c r="K447" s="74"/>
      <x:c r="L447" s="74"/>
      <x:c r="M447" s="91"/>
      <x:c r="N447" s="91"/>
      <x:c r="O447" s="85"/>
      <x:c r="P447" s="85"/>
      <x:c r="Q447" s="85"/>
      <x:c r="R447" s="85"/>
      <x:c r="S447" s="85"/>
      <x:c r="T447" s="85"/>
      <x:c r="U447" s="85"/>
      <x:c r="W447" s="86"/>
      <x:c r="X447" s="86"/>
      <x:c r="Y447" s="32"/>
    </x:row>
    <x:row r="448">
      <x:c r="A448" s="87"/>
      <x:c r="B448" s="88"/>
      <x:c r="D448" s="32"/>
      <x:c r="G448" s="74"/>
      <x:c r="H448" s="74"/>
      <x:c r="I448" s="74"/>
      <x:c r="J448" s="74"/>
      <x:c r="K448" s="74"/>
      <x:c r="L448" s="74"/>
      <x:c r="M448" s="91"/>
      <x:c r="N448" s="91"/>
      <x:c r="O448" s="85"/>
      <x:c r="P448" s="85"/>
      <x:c r="Q448" s="85"/>
      <x:c r="R448" s="85"/>
      <x:c r="S448" s="85"/>
      <x:c r="T448" s="85"/>
      <x:c r="U448" s="85"/>
      <x:c r="W448" s="86"/>
      <x:c r="X448" s="86"/>
      <x:c r="Y448" s="32"/>
    </x:row>
    <x:row r="449">
      <x:c r="A449" s="87"/>
      <x:c r="B449" s="88"/>
      <x:c r="D449" s="32"/>
      <x:c r="G449" s="74"/>
      <x:c r="H449" s="74"/>
      <x:c r="I449" s="74"/>
      <x:c r="J449" s="74"/>
      <x:c r="K449" s="74"/>
      <x:c r="L449" s="74"/>
      <x:c r="M449" s="91"/>
      <x:c r="N449" s="91"/>
      <x:c r="O449" s="85"/>
      <x:c r="P449" s="85"/>
      <x:c r="Q449" s="85"/>
      <x:c r="R449" s="85"/>
      <x:c r="S449" s="85"/>
      <x:c r="T449" s="85"/>
      <x:c r="U449" s="85"/>
      <x:c r="W449" s="86"/>
      <x:c r="X449" s="86"/>
      <x:c r="Y449" s="32"/>
    </x:row>
    <x:row r="450">
      <x:c r="A450" s="87"/>
      <x:c r="B450" s="88"/>
      <x:c r="D450" s="32"/>
      <x:c r="G450" s="74"/>
      <x:c r="H450" s="74"/>
      <x:c r="I450" s="74"/>
      <x:c r="J450" s="74"/>
      <x:c r="K450" s="74"/>
      <x:c r="L450" s="74"/>
      <x:c r="M450" s="91"/>
      <x:c r="N450" s="91"/>
      <x:c r="O450" s="85"/>
      <x:c r="P450" s="85"/>
      <x:c r="Q450" s="85"/>
      <x:c r="R450" s="85"/>
      <x:c r="S450" s="85"/>
      <x:c r="T450" s="85"/>
      <x:c r="U450" s="85"/>
      <x:c r="W450" s="86"/>
      <x:c r="X450" s="86"/>
      <x:c r="Y450" s="32"/>
    </x:row>
    <x:row r="451">
      <x:c r="A451" s="87"/>
      <x:c r="B451" s="88"/>
      <x:c r="D451" s="32"/>
      <x:c r="G451" s="74"/>
      <x:c r="H451" s="74"/>
      <x:c r="I451" s="74"/>
      <x:c r="J451" s="74"/>
      <x:c r="K451" s="74"/>
      <x:c r="L451" s="74"/>
      <x:c r="M451" s="91"/>
      <x:c r="N451" s="91"/>
      <x:c r="O451" s="85"/>
      <x:c r="P451" s="85"/>
      <x:c r="Q451" s="85"/>
      <x:c r="R451" s="85"/>
      <x:c r="S451" s="85"/>
      <x:c r="T451" s="85"/>
      <x:c r="U451" s="85"/>
      <x:c r="W451" s="86"/>
      <x:c r="X451" s="86"/>
      <x:c r="Y451" s="32"/>
    </x:row>
    <x:row r="452">
      <x:c r="A452" s="87"/>
      <x:c r="B452" s="88"/>
      <x:c r="D452" s="32"/>
      <x:c r="G452" s="74"/>
      <x:c r="H452" s="74"/>
      <x:c r="I452" s="74"/>
      <x:c r="J452" s="74"/>
      <x:c r="K452" s="74"/>
      <x:c r="L452" s="74"/>
      <x:c r="M452" s="91"/>
      <x:c r="N452" s="91"/>
      <x:c r="O452" s="85"/>
      <x:c r="P452" s="85"/>
      <x:c r="Q452" s="85"/>
      <x:c r="R452" s="85"/>
      <x:c r="S452" s="85"/>
      <x:c r="T452" s="85"/>
      <x:c r="U452" s="85"/>
      <x:c r="W452" s="86"/>
      <x:c r="X452" s="86"/>
      <x:c r="Y452" s="32"/>
    </x:row>
    <x:row r="453">
      <x:c r="A453" s="87"/>
      <x:c r="B453" s="88"/>
      <x:c r="D453" s="32"/>
      <x:c r="G453" s="74"/>
      <x:c r="H453" s="74"/>
      <x:c r="I453" s="74"/>
      <x:c r="J453" s="74"/>
      <x:c r="K453" s="74"/>
      <x:c r="L453" s="74"/>
      <x:c r="M453" s="91"/>
      <x:c r="N453" s="91"/>
      <x:c r="O453" s="85"/>
      <x:c r="P453" s="85"/>
      <x:c r="Q453" s="85"/>
      <x:c r="R453" s="85"/>
      <x:c r="S453" s="85"/>
      <x:c r="T453" s="85"/>
      <x:c r="U453" s="85"/>
      <x:c r="W453" s="86"/>
      <x:c r="X453" s="86"/>
      <x:c r="Y453" s="32"/>
    </x:row>
    <x:row r="454">
      <x:c r="A454" s="87"/>
      <x:c r="B454" s="88"/>
      <x:c r="D454" s="32"/>
      <x:c r="G454" s="74"/>
      <x:c r="H454" s="74"/>
      <x:c r="I454" s="74"/>
      <x:c r="J454" s="74"/>
      <x:c r="K454" s="74"/>
      <x:c r="L454" s="74"/>
      <x:c r="M454" s="91"/>
      <x:c r="N454" s="91"/>
      <x:c r="O454" s="85"/>
      <x:c r="P454" s="85"/>
      <x:c r="Q454" s="85"/>
      <x:c r="R454" s="85"/>
      <x:c r="S454" s="85"/>
      <x:c r="T454" s="85"/>
      <x:c r="U454" s="85"/>
      <x:c r="W454" s="86"/>
      <x:c r="X454" s="86"/>
      <x:c r="Y454" s="32"/>
    </x:row>
    <x:row r="455">
      <x:c r="A455" s="87"/>
      <x:c r="B455" s="88"/>
      <x:c r="D455" s="32"/>
      <x:c r="G455" s="74"/>
      <x:c r="H455" s="74"/>
      <x:c r="I455" s="74"/>
      <x:c r="J455" s="74"/>
      <x:c r="K455" s="74"/>
      <x:c r="L455" s="74"/>
      <x:c r="M455" s="91"/>
      <x:c r="N455" s="91"/>
      <x:c r="O455" s="85"/>
      <x:c r="P455" s="85"/>
      <x:c r="Q455" s="85"/>
      <x:c r="R455" s="85"/>
      <x:c r="S455" s="85"/>
      <x:c r="T455" s="85"/>
      <x:c r="U455" s="85"/>
      <x:c r="W455" s="86"/>
      <x:c r="X455" s="86"/>
      <x:c r="Y455" s="32"/>
    </x:row>
    <x:row r="456">
      <x:c r="A456" s="87"/>
      <x:c r="B456" s="88"/>
      <x:c r="D456" s="32"/>
      <x:c r="G456" s="74"/>
      <x:c r="H456" s="74"/>
      <x:c r="I456" s="74"/>
      <x:c r="J456" s="74"/>
      <x:c r="K456" s="74"/>
      <x:c r="L456" s="74"/>
      <x:c r="M456" s="91"/>
      <x:c r="N456" s="91"/>
      <x:c r="O456" s="85"/>
      <x:c r="P456" s="85"/>
      <x:c r="Q456" s="85"/>
      <x:c r="R456" s="85"/>
      <x:c r="S456" s="85"/>
      <x:c r="T456" s="85"/>
      <x:c r="U456" s="85"/>
      <x:c r="W456" s="86"/>
      <x:c r="X456" s="86"/>
      <x:c r="Y456" s="32"/>
    </x:row>
    <x:row r="457">
      <x:c r="A457" s="87"/>
      <x:c r="B457" s="88"/>
      <x:c r="D457" s="32"/>
      <x:c r="G457" s="74"/>
      <x:c r="H457" s="74"/>
      <x:c r="I457" s="74"/>
      <x:c r="J457" s="74"/>
      <x:c r="K457" s="74"/>
      <x:c r="L457" s="74"/>
      <x:c r="M457" s="91"/>
      <x:c r="N457" s="91"/>
      <x:c r="O457" s="85"/>
      <x:c r="P457" s="85"/>
      <x:c r="Q457" s="85"/>
      <x:c r="R457" s="85"/>
      <x:c r="S457" s="85"/>
      <x:c r="T457" s="85"/>
      <x:c r="U457" s="85"/>
      <x:c r="W457" s="86"/>
      <x:c r="X457" s="86"/>
      <x:c r="Y457" s="32"/>
    </x:row>
    <x:row r="458">
      <x:c r="A458" s="87"/>
      <x:c r="B458" s="88"/>
      <x:c r="D458" s="32"/>
      <x:c r="G458" s="74"/>
      <x:c r="H458" s="74"/>
      <x:c r="I458" s="74"/>
      <x:c r="J458" s="74"/>
      <x:c r="K458" s="74"/>
      <x:c r="L458" s="74"/>
      <x:c r="M458" s="91"/>
      <x:c r="N458" s="91"/>
      <x:c r="O458" s="85"/>
      <x:c r="P458" s="85"/>
      <x:c r="Q458" s="85"/>
      <x:c r="R458" s="85"/>
      <x:c r="S458" s="85"/>
      <x:c r="T458" s="85"/>
      <x:c r="U458" s="85"/>
      <x:c r="W458" s="86"/>
      <x:c r="X458" s="86"/>
      <x:c r="Y458" s="32"/>
    </x:row>
    <x:row r="459">
      <x:c r="A459" s="87"/>
      <x:c r="B459" s="88"/>
      <x:c r="D459" s="32"/>
      <x:c r="G459" s="74"/>
      <x:c r="H459" s="74"/>
      <x:c r="I459" s="74"/>
      <x:c r="J459" s="74"/>
      <x:c r="K459" s="74"/>
      <x:c r="L459" s="74"/>
      <x:c r="M459" s="91"/>
      <x:c r="N459" s="91"/>
      <x:c r="O459" s="85"/>
      <x:c r="P459" s="85"/>
      <x:c r="Q459" s="85"/>
      <x:c r="R459" s="85"/>
      <x:c r="S459" s="85"/>
      <x:c r="T459" s="85"/>
      <x:c r="U459" s="85"/>
      <x:c r="W459" s="86"/>
      <x:c r="X459" s="86"/>
      <x:c r="Y459" s="32"/>
    </x:row>
    <x:row r="460">
      <x:c r="A460" s="87"/>
      <x:c r="B460" s="88"/>
      <x:c r="D460" s="32"/>
      <x:c r="G460" s="74"/>
      <x:c r="H460" s="74"/>
      <x:c r="I460" s="74"/>
      <x:c r="J460" s="74"/>
      <x:c r="K460" s="74"/>
      <x:c r="L460" s="74"/>
      <x:c r="M460" s="91"/>
      <x:c r="N460" s="91"/>
      <x:c r="O460" s="85"/>
      <x:c r="P460" s="85"/>
      <x:c r="Q460" s="85"/>
      <x:c r="R460" s="85"/>
      <x:c r="S460" s="85"/>
      <x:c r="T460" s="85"/>
      <x:c r="U460" s="85"/>
      <x:c r="W460" s="86"/>
      <x:c r="X460" s="86"/>
      <x:c r="Y460" s="32"/>
    </x:row>
    <x:row r="461">
      <x:c r="A461" s="87"/>
      <x:c r="B461" s="88"/>
      <x:c r="D461" s="32"/>
      <x:c r="G461" s="74"/>
      <x:c r="H461" s="74"/>
      <x:c r="I461" s="74"/>
      <x:c r="J461" s="74"/>
      <x:c r="K461" s="74"/>
      <x:c r="L461" s="74"/>
      <x:c r="M461" s="91"/>
      <x:c r="N461" s="91"/>
      <x:c r="O461" s="85"/>
      <x:c r="P461" s="85"/>
      <x:c r="Q461" s="85"/>
      <x:c r="R461" s="85"/>
      <x:c r="S461" s="85"/>
      <x:c r="T461" s="85"/>
      <x:c r="U461" s="85"/>
      <x:c r="W461" s="86"/>
      <x:c r="X461" s="86"/>
      <x:c r="Y461" s="32"/>
    </x:row>
    <x:row r="462">
      <x:c r="A462" s="87"/>
      <x:c r="B462" s="88"/>
      <x:c r="D462" s="32"/>
      <x:c r="G462" s="74"/>
      <x:c r="H462" s="74"/>
      <x:c r="I462" s="74"/>
      <x:c r="J462" s="74"/>
      <x:c r="K462" s="74"/>
      <x:c r="L462" s="74"/>
      <x:c r="M462" s="91"/>
      <x:c r="N462" s="91"/>
      <x:c r="O462" s="85"/>
      <x:c r="P462" s="85"/>
      <x:c r="Q462" s="85"/>
      <x:c r="R462" s="85"/>
      <x:c r="S462" s="85"/>
      <x:c r="T462" s="85"/>
      <x:c r="U462" s="85"/>
      <x:c r="W462" s="86"/>
      <x:c r="X462" s="86"/>
      <x:c r="Y462" s="32"/>
    </x:row>
    <x:row r="463">
      <x:c r="A463" s="87"/>
      <x:c r="B463" s="88"/>
      <x:c r="D463" s="32"/>
      <x:c r="G463" s="74"/>
      <x:c r="H463" s="74"/>
      <x:c r="I463" s="74"/>
      <x:c r="J463" s="74"/>
      <x:c r="K463" s="74"/>
      <x:c r="L463" s="74"/>
      <x:c r="M463" s="91"/>
      <x:c r="N463" s="91"/>
      <x:c r="O463" s="85"/>
      <x:c r="P463" s="85"/>
      <x:c r="Q463" s="85"/>
      <x:c r="R463" s="85"/>
      <x:c r="S463" s="85"/>
      <x:c r="T463" s="85"/>
      <x:c r="U463" s="85"/>
      <x:c r="W463" s="86"/>
      <x:c r="X463" s="86"/>
      <x:c r="Y463" s="32"/>
    </x:row>
    <x:row r="464">
      <x:c r="A464" s="87"/>
      <x:c r="B464" s="88"/>
      <x:c r="D464" s="32"/>
      <x:c r="G464" s="74"/>
      <x:c r="H464" s="74"/>
      <x:c r="I464" s="74"/>
      <x:c r="J464" s="74"/>
      <x:c r="K464" s="74"/>
      <x:c r="L464" s="74"/>
      <x:c r="M464" s="91"/>
      <x:c r="N464" s="91"/>
      <x:c r="O464" s="85"/>
      <x:c r="P464" s="85"/>
      <x:c r="Q464" s="85"/>
      <x:c r="R464" s="85"/>
      <x:c r="S464" s="85"/>
      <x:c r="T464" s="85"/>
      <x:c r="U464" s="85"/>
      <x:c r="W464" s="86"/>
      <x:c r="X464" s="86"/>
      <x:c r="Y464" s="32"/>
    </x:row>
    <x:row r="465">
      <x:c r="A465" s="87"/>
      <x:c r="B465" s="88"/>
      <x:c r="D465" s="32"/>
      <x:c r="G465" s="74"/>
      <x:c r="H465" s="74"/>
      <x:c r="I465" s="74"/>
      <x:c r="J465" s="74"/>
      <x:c r="K465" s="74"/>
      <x:c r="L465" s="74"/>
      <x:c r="M465" s="91"/>
      <x:c r="N465" s="91"/>
      <x:c r="O465" s="85"/>
      <x:c r="P465" s="85"/>
      <x:c r="Q465" s="85"/>
      <x:c r="R465" s="85"/>
      <x:c r="S465" s="85"/>
      <x:c r="T465" s="85"/>
      <x:c r="U465" s="85"/>
      <x:c r="W465" s="86"/>
      <x:c r="X465" s="86"/>
      <x:c r="Y465" s="32"/>
    </x:row>
    <x:row r="466">
      <x:c r="A466" s="87"/>
      <x:c r="B466" s="88"/>
      <x:c r="D466" s="32"/>
      <x:c r="G466" s="74"/>
      <x:c r="H466" s="74"/>
      <x:c r="I466" s="74"/>
      <x:c r="J466" s="74"/>
      <x:c r="K466" s="74"/>
      <x:c r="L466" s="74"/>
      <x:c r="M466" s="91"/>
      <x:c r="N466" s="91"/>
      <x:c r="O466" s="85"/>
      <x:c r="P466" s="85"/>
      <x:c r="Q466" s="85"/>
      <x:c r="R466" s="85"/>
      <x:c r="S466" s="85"/>
      <x:c r="T466" s="85"/>
      <x:c r="U466" s="85"/>
      <x:c r="W466" s="86"/>
      <x:c r="X466" s="86"/>
      <x:c r="Y466" s="32"/>
    </x:row>
    <x:row r="467">
      <x:c r="A467" s="87"/>
      <x:c r="B467" s="88"/>
      <x:c r="D467" s="32"/>
      <x:c r="G467" s="74"/>
      <x:c r="H467" s="74"/>
      <x:c r="I467" s="74"/>
      <x:c r="J467" s="74"/>
      <x:c r="K467" s="74"/>
      <x:c r="L467" s="74"/>
      <x:c r="M467" s="91"/>
      <x:c r="N467" s="91"/>
      <x:c r="O467" s="85"/>
      <x:c r="P467" s="85"/>
      <x:c r="Q467" s="85"/>
      <x:c r="R467" s="85"/>
      <x:c r="S467" s="85"/>
      <x:c r="T467" s="85"/>
      <x:c r="U467" s="85"/>
      <x:c r="W467" s="86"/>
      <x:c r="X467" s="86"/>
      <x:c r="Y467" s="32"/>
    </x:row>
    <x:row r="468">
      <x:c r="A468" s="87"/>
      <x:c r="B468" s="88"/>
      <x:c r="D468" s="32"/>
      <x:c r="G468" s="74"/>
      <x:c r="H468" s="74"/>
      <x:c r="I468" s="74"/>
      <x:c r="J468" s="74"/>
      <x:c r="K468" s="74"/>
      <x:c r="L468" s="74"/>
      <x:c r="M468" s="91"/>
      <x:c r="N468" s="91"/>
      <x:c r="O468" s="85"/>
      <x:c r="P468" s="85"/>
      <x:c r="Q468" s="85"/>
      <x:c r="R468" s="85"/>
      <x:c r="S468" s="85"/>
      <x:c r="T468" s="85"/>
      <x:c r="U468" s="85"/>
      <x:c r="W468" s="86"/>
      <x:c r="X468" s="86"/>
      <x:c r="Y468" s="32"/>
    </x:row>
    <x:row r="469">
      <x:c r="A469" s="87"/>
      <x:c r="B469" s="88"/>
      <x:c r="D469" s="32"/>
      <x:c r="G469" s="74"/>
      <x:c r="H469" s="74"/>
      <x:c r="I469" s="74"/>
      <x:c r="J469" s="74"/>
      <x:c r="K469" s="74"/>
      <x:c r="L469" s="74"/>
      <x:c r="M469" s="91"/>
      <x:c r="N469" s="91"/>
      <x:c r="O469" s="85"/>
      <x:c r="P469" s="85"/>
      <x:c r="Q469" s="85"/>
      <x:c r="R469" s="85"/>
      <x:c r="S469" s="85"/>
      <x:c r="T469" s="85"/>
      <x:c r="U469" s="85"/>
      <x:c r="W469" s="86"/>
      <x:c r="X469" s="86"/>
      <x:c r="Y469" s="32"/>
    </x:row>
    <x:row r="470">
      <x:c r="A470" s="87"/>
      <x:c r="B470" s="88"/>
      <x:c r="D470" s="32"/>
      <x:c r="G470" s="74"/>
      <x:c r="H470" s="74"/>
      <x:c r="I470" s="74"/>
      <x:c r="J470" s="74"/>
      <x:c r="K470" s="74"/>
      <x:c r="L470" s="74"/>
      <x:c r="M470" s="91"/>
      <x:c r="N470" s="91"/>
      <x:c r="O470" s="85"/>
      <x:c r="P470" s="85"/>
      <x:c r="Q470" s="85"/>
      <x:c r="R470" s="85"/>
      <x:c r="S470" s="85"/>
      <x:c r="T470" s="85"/>
      <x:c r="U470" s="85"/>
      <x:c r="W470" s="86"/>
      <x:c r="X470" s="86"/>
      <x:c r="Y470" s="32"/>
    </x:row>
    <x:row r="471">
      <x:c r="A471" s="87"/>
      <x:c r="B471" s="88"/>
      <x:c r="D471" s="32"/>
      <x:c r="G471" s="74"/>
      <x:c r="H471" s="74"/>
      <x:c r="I471" s="74"/>
      <x:c r="J471" s="74"/>
      <x:c r="K471" s="74"/>
      <x:c r="L471" s="74"/>
      <x:c r="M471" s="91"/>
      <x:c r="N471" s="91"/>
      <x:c r="O471" s="85"/>
      <x:c r="P471" s="85"/>
      <x:c r="Q471" s="85"/>
      <x:c r="R471" s="85"/>
      <x:c r="S471" s="85"/>
      <x:c r="T471" s="85"/>
      <x:c r="U471" s="85"/>
      <x:c r="W471" s="86"/>
      <x:c r="X471" s="86"/>
      <x:c r="Y471" s="32"/>
    </x:row>
    <x:row r="472">
      <x:c r="A472" s="87"/>
      <x:c r="B472" s="88"/>
      <x:c r="D472" s="32"/>
      <x:c r="G472" s="74"/>
      <x:c r="H472" s="74"/>
      <x:c r="I472" s="74"/>
      <x:c r="J472" s="74"/>
      <x:c r="K472" s="74"/>
      <x:c r="L472" s="74"/>
      <x:c r="M472" s="91"/>
      <x:c r="N472" s="91"/>
      <x:c r="O472" s="85"/>
      <x:c r="P472" s="85"/>
      <x:c r="Q472" s="85"/>
      <x:c r="R472" s="85"/>
      <x:c r="S472" s="85"/>
      <x:c r="T472" s="85"/>
      <x:c r="U472" s="85"/>
      <x:c r="W472" s="86"/>
      <x:c r="X472" s="86"/>
      <x:c r="Y472" s="32"/>
    </x:row>
    <x:row r="473">
      <x:c r="A473" s="87"/>
      <x:c r="B473" s="88"/>
      <x:c r="D473" s="32"/>
      <x:c r="G473" s="74"/>
      <x:c r="H473" s="74"/>
      <x:c r="I473" s="74"/>
      <x:c r="J473" s="74"/>
      <x:c r="K473" s="74"/>
      <x:c r="L473" s="74"/>
      <x:c r="M473" s="91"/>
      <x:c r="N473" s="91"/>
      <x:c r="O473" s="85"/>
      <x:c r="P473" s="85"/>
      <x:c r="Q473" s="85"/>
      <x:c r="R473" s="85"/>
      <x:c r="S473" s="85"/>
      <x:c r="T473" s="85"/>
      <x:c r="U473" s="85"/>
      <x:c r="W473" s="86"/>
      <x:c r="X473" s="86"/>
      <x:c r="Y473" s="32"/>
    </x:row>
    <x:row r="474">
      <x:c r="A474" s="87"/>
      <x:c r="B474" s="88"/>
      <x:c r="D474" s="32"/>
      <x:c r="G474" s="74"/>
      <x:c r="H474" s="74"/>
      <x:c r="I474" s="74"/>
      <x:c r="J474" s="74"/>
      <x:c r="K474" s="74"/>
      <x:c r="L474" s="74"/>
      <x:c r="M474" s="91"/>
      <x:c r="N474" s="91"/>
      <x:c r="O474" s="85"/>
      <x:c r="P474" s="85"/>
      <x:c r="Q474" s="85"/>
      <x:c r="R474" s="85"/>
      <x:c r="S474" s="85"/>
      <x:c r="T474" s="85"/>
      <x:c r="U474" s="85"/>
      <x:c r="W474" s="86"/>
      <x:c r="X474" s="86"/>
      <x:c r="Y474" s="32"/>
    </x:row>
    <x:row r="475">
      <x:c r="A475" s="87"/>
      <x:c r="B475" s="88"/>
      <x:c r="D475" s="32"/>
      <x:c r="G475" s="74"/>
      <x:c r="H475" s="74"/>
      <x:c r="I475" s="74"/>
      <x:c r="J475" s="74"/>
      <x:c r="K475" s="74"/>
      <x:c r="L475" s="74"/>
      <x:c r="M475" s="91"/>
      <x:c r="N475" s="91"/>
      <x:c r="O475" s="85"/>
      <x:c r="P475" s="85"/>
      <x:c r="Q475" s="85"/>
      <x:c r="R475" s="85"/>
      <x:c r="S475" s="85"/>
      <x:c r="T475" s="85"/>
      <x:c r="U475" s="85"/>
      <x:c r="W475" s="86"/>
      <x:c r="X475" s="86"/>
      <x:c r="Y475" s="32"/>
    </x:row>
    <x:row r="476">
      <x:c r="A476" s="87"/>
      <x:c r="B476" s="88"/>
      <x:c r="D476" s="32"/>
      <x:c r="G476" s="74"/>
      <x:c r="H476" s="74"/>
      <x:c r="I476" s="74"/>
      <x:c r="J476" s="74"/>
      <x:c r="K476" s="74"/>
      <x:c r="L476" s="74"/>
      <x:c r="M476" s="91"/>
      <x:c r="N476" s="91"/>
      <x:c r="O476" s="85"/>
      <x:c r="P476" s="85"/>
      <x:c r="Q476" s="85"/>
      <x:c r="R476" s="85"/>
      <x:c r="S476" s="85"/>
      <x:c r="T476" s="85"/>
      <x:c r="U476" s="85"/>
      <x:c r="W476" s="86"/>
      <x:c r="X476" s="86"/>
      <x:c r="Y476" s="32"/>
    </x:row>
    <x:row r="477">
      <x:c r="A477" s="87"/>
      <x:c r="B477" s="88"/>
      <x:c r="D477" s="32"/>
      <x:c r="G477" s="74"/>
      <x:c r="H477" s="74"/>
      <x:c r="I477" s="74"/>
      <x:c r="J477" s="74"/>
      <x:c r="K477" s="74"/>
      <x:c r="L477" s="74"/>
      <x:c r="M477" s="91"/>
      <x:c r="N477" s="91"/>
      <x:c r="O477" s="85"/>
      <x:c r="P477" s="85"/>
      <x:c r="Q477" s="85"/>
      <x:c r="R477" s="85"/>
      <x:c r="S477" s="85"/>
      <x:c r="T477" s="85"/>
      <x:c r="U477" s="85"/>
      <x:c r="W477" s="86"/>
      <x:c r="X477" s="86"/>
      <x:c r="Y477" s="32"/>
    </x:row>
    <x:row r="478">
      <x:c r="A478" s="87"/>
      <x:c r="B478" s="88"/>
      <x:c r="D478" s="32"/>
      <x:c r="G478" s="74"/>
      <x:c r="H478" s="74"/>
      <x:c r="I478" s="74"/>
      <x:c r="J478" s="74"/>
      <x:c r="K478" s="74"/>
      <x:c r="L478" s="74"/>
      <x:c r="M478" s="91"/>
      <x:c r="N478" s="91"/>
      <x:c r="O478" s="85"/>
      <x:c r="P478" s="85"/>
      <x:c r="Q478" s="85"/>
      <x:c r="R478" s="85"/>
      <x:c r="S478" s="85"/>
      <x:c r="T478" s="85"/>
      <x:c r="U478" s="85"/>
      <x:c r="W478" s="86"/>
      <x:c r="X478" s="86"/>
      <x:c r="Y478" s="32"/>
    </x:row>
    <x:row r="479">
      <x:c r="A479" s="87"/>
      <x:c r="B479" s="88"/>
      <x:c r="D479" s="32"/>
      <x:c r="G479" s="74"/>
      <x:c r="H479" s="74"/>
      <x:c r="I479" s="74"/>
      <x:c r="J479" s="74"/>
      <x:c r="K479" s="74"/>
      <x:c r="L479" s="74"/>
      <x:c r="M479" s="91"/>
      <x:c r="N479" s="91"/>
      <x:c r="O479" s="85"/>
      <x:c r="P479" s="85"/>
      <x:c r="Q479" s="85"/>
      <x:c r="R479" s="85"/>
      <x:c r="S479" s="85"/>
      <x:c r="T479" s="85"/>
      <x:c r="U479" s="85"/>
      <x:c r="W479" s="86"/>
      <x:c r="X479" s="86"/>
      <x:c r="Y479" s="32"/>
    </x:row>
    <x:row r="480">
      <x:c r="A480" s="87"/>
      <x:c r="B480" s="88"/>
      <x:c r="D480" s="32"/>
      <x:c r="G480" s="74"/>
      <x:c r="H480" s="74"/>
      <x:c r="I480" s="74"/>
      <x:c r="J480" s="74"/>
      <x:c r="K480" s="74"/>
      <x:c r="L480" s="74"/>
      <x:c r="M480" s="91"/>
      <x:c r="N480" s="91"/>
      <x:c r="O480" s="85"/>
      <x:c r="P480" s="85"/>
      <x:c r="Q480" s="85"/>
      <x:c r="R480" s="85"/>
      <x:c r="S480" s="85"/>
      <x:c r="T480" s="85"/>
      <x:c r="U480" s="85"/>
      <x:c r="W480" s="86"/>
      <x:c r="X480" s="86"/>
      <x:c r="Y480" s="32"/>
    </x:row>
    <x:row r="481">
      <x:c r="A481" s="87"/>
      <x:c r="B481" s="88"/>
      <x:c r="D481" s="32"/>
      <x:c r="G481" s="74"/>
      <x:c r="H481" s="74"/>
      <x:c r="I481" s="74"/>
      <x:c r="J481" s="74"/>
      <x:c r="K481" s="74"/>
      <x:c r="L481" s="74"/>
      <x:c r="M481" s="91"/>
      <x:c r="N481" s="91"/>
      <x:c r="O481" s="85"/>
      <x:c r="P481" s="85"/>
      <x:c r="Q481" s="85"/>
      <x:c r="R481" s="85"/>
      <x:c r="S481" s="85"/>
      <x:c r="T481" s="85"/>
      <x:c r="U481" s="85"/>
      <x:c r="W481" s="86"/>
      <x:c r="X481" s="86"/>
      <x:c r="Y481" s="32"/>
    </x:row>
    <x:row r="482">
      <x:c r="A482" s="87"/>
      <x:c r="B482" s="88"/>
      <x:c r="D482" s="32"/>
      <x:c r="G482" s="74"/>
      <x:c r="H482" s="74"/>
      <x:c r="I482" s="74"/>
      <x:c r="J482" s="74"/>
      <x:c r="K482" s="74"/>
      <x:c r="L482" s="74"/>
      <x:c r="M482" s="91"/>
      <x:c r="N482" s="91"/>
      <x:c r="O482" s="85"/>
      <x:c r="P482" s="85"/>
      <x:c r="Q482" s="85"/>
      <x:c r="R482" s="85"/>
      <x:c r="S482" s="85"/>
      <x:c r="T482" s="85"/>
      <x:c r="U482" s="85"/>
      <x:c r="W482" s="86"/>
      <x:c r="X482" s="86"/>
      <x:c r="Y482" s="32"/>
    </x:row>
    <x:row r="483">
      <x:c r="A483" s="87"/>
      <x:c r="B483" s="88"/>
      <x:c r="D483" s="32"/>
      <x:c r="G483" s="74"/>
      <x:c r="H483" s="74"/>
      <x:c r="I483" s="74"/>
      <x:c r="J483" s="74"/>
      <x:c r="K483" s="74"/>
      <x:c r="L483" s="74"/>
      <x:c r="M483" s="91"/>
      <x:c r="N483" s="91"/>
      <x:c r="O483" s="85"/>
      <x:c r="P483" s="85"/>
      <x:c r="Q483" s="85"/>
      <x:c r="R483" s="85"/>
      <x:c r="S483" s="85"/>
      <x:c r="T483" s="85"/>
      <x:c r="U483" s="85"/>
      <x:c r="W483" s="86"/>
      <x:c r="X483" s="86"/>
      <x:c r="Y483" s="32"/>
    </x:row>
    <x:row r="484">
      <x:c r="A484" s="87"/>
      <x:c r="B484" s="88"/>
      <x:c r="D484" s="32"/>
      <x:c r="G484" s="74"/>
      <x:c r="H484" s="74"/>
      <x:c r="I484" s="74"/>
      <x:c r="J484" s="74"/>
      <x:c r="K484" s="74"/>
      <x:c r="L484" s="74"/>
      <x:c r="M484" s="91"/>
      <x:c r="N484" s="91"/>
      <x:c r="O484" s="85"/>
      <x:c r="P484" s="85"/>
      <x:c r="Q484" s="85"/>
      <x:c r="R484" s="85"/>
      <x:c r="S484" s="85"/>
      <x:c r="T484" s="85"/>
      <x:c r="U484" s="85"/>
      <x:c r="W484" s="86"/>
      <x:c r="X484" s="86"/>
      <x:c r="Y484" s="32"/>
    </x:row>
    <x:row r="485">
      <x:c r="A485" s="87"/>
      <x:c r="B485" s="88"/>
      <x:c r="D485" s="32"/>
      <x:c r="G485" s="74"/>
      <x:c r="H485" s="74"/>
      <x:c r="I485" s="74"/>
      <x:c r="J485" s="74"/>
      <x:c r="K485" s="74"/>
      <x:c r="L485" s="74"/>
      <x:c r="M485" s="91"/>
      <x:c r="N485" s="91"/>
      <x:c r="O485" s="85"/>
      <x:c r="P485" s="85"/>
      <x:c r="Q485" s="85"/>
      <x:c r="R485" s="85"/>
      <x:c r="S485" s="85"/>
      <x:c r="T485" s="85"/>
      <x:c r="U485" s="85"/>
      <x:c r="W485" s="86"/>
      <x:c r="X485" s="86"/>
      <x:c r="Y485" s="32"/>
    </x:row>
    <x:row r="486">
      <x:c r="A486" s="87"/>
      <x:c r="B486" s="88"/>
      <x:c r="D486" s="32"/>
      <x:c r="G486" s="74"/>
      <x:c r="H486" s="74"/>
      <x:c r="I486" s="74"/>
      <x:c r="J486" s="74"/>
      <x:c r="K486" s="74"/>
      <x:c r="L486" s="74"/>
      <x:c r="M486" s="91"/>
      <x:c r="N486" s="91"/>
      <x:c r="O486" s="85"/>
      <x:c r="P486" s="85"/>
      <x:c r="Q486" s="85"/>
      <x:c r="R486" s="85"/>
      <x:c r="S486" s="85"/>
      <x:c r="T486" s="85"/>
      <x:c r="U486" s="85"/>
      <x:c r="W486" s="86"/>
      <x:c r="X486" s="86"/>
      <x:c r="Y486" s="32"/>
    </x:row>
    <x:row r="487">
      <x:c r="A487" s="87"/>
      <x:c r="B487" s="88"/>
      <x:c r="D487" s="32"/>
      <x:c r="G487" s="74"/>
      <x:c r="H487" s="74"/>
      <x:c r="I487" s="74"/>
      <x:c r="J487" s="74"/>
      <x:c r="K487" s="74"/>
      <x:c r="L487" s="74"/>
      <x:c r="M487" s="91"/>
      <x:c r="N487" s="91"/>
      <x:c r="O487" s="85"/>
      <x:c r="P487" s="85"/>
      <x:c r="Q487" s="85"/>
      <x:c r="R487" s="85"/>
      <x:c r="S487" s="85"/>
      <x:c r="T487" s="85"/>
      <x:c r="U487" s="85"/>
      <x:c r="W487" s="86"/>
      <x:c r="X487" s="86"/>
      <x:c r="Y487" s="32"/>
    </x:row>
    <x:row r="488">
      <x:c r="A488" s="87"/>
      <x:c r="B488" s="88"/>
      <x:c r="D488" s="32"/>
      <x:c r="G488" s="74"/>
      <x:c r="H488" s="74"/>
      <x:c r="I488" s="74"/>
      <x:c r="J488" s="74"/>
      <x:c r="K488" s="74"/>
      <x:c r="L488" s="74"/>
      <x:c r="M488" s="91"/>
      <x:c r="N488" s="91"/>
      <x:c r="O488" s="85"/>
      <x:c r="P488" s="85"/>
      <x:c r="Q488" s="85"/>
      <x:c r="R488" s="85"/>
      <x:c r="S488" s="85"/>
      <x:c r="T488" s="85"/>
      <x:c r="U488" s="85"/>
      <x:c r="W488" s="86"/>
      <x:c r="X488" s="86"/>
      <x:c r="Y488" s="32"/>
    </x:row>
    <x:row r="489">
      <x:c r="A489" s="87"/>
      <x:c r="B489" s="88"/>
      <x:c r="D489" s="32"/>
      <x:c r="G489" s="74"/>
      <x:c r="H489" s="74"/>
      <x:c r="I489" s="74"/>
      <x:c r="J489" s="74"/>
      <x:c r="K489" s="74"/>
      <x:c r="L489" s="74"/>
      <x:c r="M489" s="91"/>
      <x:c r="N489" s="91"/>
      <x:c r="O489" s="85"/>
      <x:c r="P489" s="85"/>
      <x:c r="Q489" s="85"/>
      <x:c r="R489" s="85"/>
      <x:c r="S489" s="85"/>
      <x:c r="T489" s="85"/>
      <x:c r="U489" s="85"/>
      <x:c r="W489" s="86"/>
      <x:c r="X489" s="86"/>
      <x:c r="Y489" s="32"/>
    </x:row>
    <x:row r="490">
      <x:c r="A490" s="87"/>
      <x:c r="B490" s="88"/>
      <x:c r="D490" s="32"/>
      <x:c r="G490" s="74"/>
      <x:c r="H490" s="74"/>
      <x:c r="I490" s="74"/>
      <x:c r="J490" s="74"/>
      <x:c r="K490" s="74"/>
      <x:c r="L490" s="74"/>
      <x:c r="M490" s="91"/>
      <x:c r="N490" s="91"/>
      <x:c r="O490" s="85"/>
      <x:c r="P490" s="85"/>
      <x:c r="Q490" s="85"/>
      <x:c r="R490" s="85"/>
      <x:c r="S490" s="85"/>
      <x:c r="T490" s="85"/>
      <x:c r="U490" s="85"/>
      <x:c r="W490" s="86"/>
      <x:c r="X490" s="86"/>
      <x:c r="Y490" s="32"/>
    </x:row>
    <x:row r="491">
      <x:c r="A491" s="87"/>
      <x:c r="B491" s="88"/>
      <x:c r="D491" s="32"/>
      <x:c r="G491" s="74"/>
      <x:c r="H491" s="74"/>
      <x:c r="I491" s="74"/>
      <x:c r="J491" s="74"/>
      <x:c r="K491" s="74"/>
      <x:c r="L491" s="74"/>
      <x:c r="M491" s="91"/>
      <x:c r="N491" s="91"/>
      <x:c r="O491" s="85"/>
      <x:c r="P491" s="85"/>
      <x:c r="Q491" s="85"/>
      <x:c r="R491" s="85"/>
      <x:c r="S491" s="85"/>
      <x:c r="T491" s="85"/>
      <x:c r="U491" s="85"/>
      <x:c r="W491" s="86"/>
      <x:c r="X491" s="86"/>
      <x:c r="Y491" s="32"/>
    </x:row>
    <x:row r="492">
      <x:c r="A492" s="87"/>
      <x:c r="B492" s="88"/>
      <x:c r="D492" s="32"/>
      <x:c r="G492" s="74"/>
      <x:c r="H492" s="74"/>
      <x:c r="I492" s="74"/>
      <x:c r="J492" s="74"/>
      <x:c r="K492" s="74"/>
      <x:c r="L492" s="74"/>
      <x:c r="M492" s="91"/>
      <x:c r="N492" s="91"/>
      <x:c r="O492" s="85"/>
      <x:c r="P492" s="85"/>
      <x:c r="Q492" s="85"/>
      <x:c r="R492" s="85"/>
      <x:c r="S492" s="85"/>
      <x:c r="T492" s="85"/>
      <x:c r="U492" s="85"/>
      <x:c r="W492" s="86"/>
      <x:c r="X492" s="86"/>
      <x:c r="Y492" s="32"/>
    </x:row>
    <x:row r="493">
      <x:c r="A493" s="87"/>
      <x:c r="B493" s="88"/>
      <x:c r="D493" s="32"/>
      <x:c r="G493" s="74"/>
      <x:c r="H493" s="74"/>
      <x:c r="I493" s="74"/>
      <x:c r="J493" s="74"/>
      <x:c r="K493" s="74"/>
      <x:c r="L493" s="74"/>
      <x:c r="M493" s="91"/>
      <x:c r="N493" s="91"/>
      <x:c r="O493" s="85"/>
      <x:c r="P493" s="85"/>
      <x:c r="Q493" s="85"/>
      <x:c r="R493" s="85"/>
      <x:c r="S493" s="85"/>
      <x:c r="T493" s="85"/>
      <x:c r="U493" s="85"/>
      <x:c r="W493" s="86"/>
      <x:c r="X493" s="86"/>
      <x:c r="Y493" s="32"/>
    </x:row>
    <x:row r="494">
      <x:c r="A494" s="87"/>
      <x:c r="B494" s="88"/>
      <x:c r="D494" s="32"/>
      <x:c r="G494" s="74"/>
      <x:c r="H494" s="74"/>
      <x:c r="I494" s="74"/>
      <x:c r="J494" s="74"/>
      <x:c r="K494" s="74"/>
      <x:c r="L494" s="74"/>
      <x:c r="M494" s="91"/>
      <x:c r="N494" s="91"/>
      <x:c r="O494" s="85"/>
      <x:c r="P494" s="85"/>
      <x:c r="Q494" s="85"/>
      <x:c r="R494" s="85"/>
      <x:c r="S494" s="85"/>
      <x:c r="T494" s="85"/>
      <x:c r="U494" s="85"/>
      <x:c r="W494" s="86"/>
      <x:c r="X494" s="86"/>
      <x:c r="Y494" s="32"/>
    </x:row>
    <x:row r="495">
      <x:c r="A495" s="87"/>
      <x:c r="B495" s="88"/>
      <x:c r="D495" s="32"/>
      <x:c r="G495" s="74"/>
      <x:c r="H495" s="74"/>
      <x:c r="I495" s="74"/>
      <x:c r="J495" s="74"/>
      <x:c r="K495" s="74"/>
      <x:c r="L495" s="74"/>
      <x:c r="M495" s="91"/>
      <x:c r="N495" s="91"/>
      <x:c r="O495" s="85"/>
      <x:c r="P495" s="85"/>
      <x:c r="Q495" s="85"/>
      <x:c r="R495" s="85"/>
      <x:c r="S495" s="85"/>
      <x:c r="T495" s="85"/>
      <x:c r="U495" s="85"/>
      <x:c r="W495" s="86"/>
      <x:c r="X495" s="86"/>
      <x:c r="Y495" s="32"/>
    </x:row>
    <x:row r="496">
      <x:c r="A496" s="87"/>
      <x:c r="B496" s="88"/>
      <x:c r="D496" s="32"/>
      <x:c r="G496" s="74"/>
      <x:c r="H496" s="74"/>
      <x:c r="I496" s="74"/>
      <x:c r="J496" s="74"/>
      <x:c r="K496" s="74"/>
      <x:c r="L496" s="74"/>
      <x:c r="M496" s="91"/>
      <x:c r="N496" s="91"/>
      <x:c r="O496" s="85"/>
      <x:c r="P496" s="85"/>
      <x:c r="Q496" s="85"/>
      <x:c r="R496" s="85"/>
      <x:c r="S496" s="85"/>
      <x:c r="T496" s="85"/>
      <x:c r="U496" s="85"/>
      <x:c r="W496" s="86"/>
      <x:c r="X496" s="86"/>
      <x:c r="Y496" s="32"/>
    </x:row>
    <x:row r="497">
      <x:c r="A497" s="87"/>
      <x:c r="B497" s="88"/>
      <x:c r="D497" s="32"/>
      <x:c r="G497" s="74"/>
      <x:c r="H497" s="74"/>
      <x:c r="I497" s="74"/>
      <x:c r="J497" s="74"/>
      <x:c r="K497" s="74"/>
      <x:c r="L497" s="74"/>
      <x:c r="M497" s="91"/>
      <x:c r="N497" s="91"/>
      <x:c r="O497" s="85"/>
      <x:c r="P497" s="85"/>
      <x:c r="Q497" s="85"/>
      <x:c r="R497" s="85"/>
      <x:c r="S497" s="85"/>
      <x:c r="T497" s="85"/>
      <x:c r="U497" s="85"/>
      <x:c r="W497" s="86"/>
      <x:c r="X497" s="86"/>
      <x:c r="Y497" s="32"/>
    </x:row>
    <x:row r="498">
      <x:c r="A498" s="87"/>
      <x:c r="B498" s="88"/>
      <x:c r="D498" s="32"/>
      <x:c r="G498" s="74"/>
      <x:c r="H498" s="74"/>
      <x:c r="I498" s="74"/>
      <x:c r="J498" s="74"/>
      <x:c r="K498" s="74"/>
      <x:c r="L498" s="74"/>
      <x:c r="M498" s="91"/>
      <x:c r="N498" s="91"/>
      <x:c r="O498" s="85"/>
      <x:c r="P498" s="85"/>
      <x:c r="Q498" s="85"/>
      <x:c r="R498" s="85"/>
      <x:c r="S498" s="85"/>
      <x:c r="T498" s="85"/>
      <x:c r="U498" s="85"/>
      <x:c r="W498" s="86"/>
      <x:c r="X498" s="86"/>
      <x:c r="Y498" s="32"/>
    </x:row>
    <x:row r="499">
      <x:c r="A499" s="87"/>
      <x:c r="B499" s="88"/>
      <x:c r="D499" s="32"/>
      <x:c r="G499" s="74"/>
      <x:c r="H499" s="74"/>
      <x:c r="I499" s="74"/>
      <x:c r="J499" s="74"/>
      <x:c r="K499" s="74"/>
      <x:c r="L499" s="74"/>
      <x:c r="M499" s="91"/>
      <x:c r="N499" s="91"/>
      <x:c r="O499" s="85"/>
      <x:c r="P499" s="85"/>
      <x:c r="Q499" s="85"/>
      <x:c r="R499" s="85"/>
      <x:c r="S499" s="85"/>
      <x:c r="T499" s="85"/>
      <x:c r="U499" s="85"/>
      <x:c r="W499" s="86"/>
      <x:c r="X499" s="86"/>
      <x:c r="Y499" s="32"/>
    </x:row>
    <x:row r="500">
      <x:c r="A500" s="87"/>
      <x:c r="B500" s="88"/>
      <x:c r="D500" s="32"/>
      <x:c r="G500" s="74"/>
      <x:c r="H500" s="74"/>
      <x:c r="I500" s="74"/>
      <x:c r="J500" s="74"/>
      <x:c r="K500" s="74"/>
      <x:c r="L500" s="74"/>
      <x:c r="M500" s="91"/>
      <x:c r="N500" s="91"/>
      <x:c r="O500" s="85"/>
      <x:c r="P500" s="85"/>
      <x:c r="Q500" s="85"/>
      <x:c r="R500" s="85"/>
      <x:c r="S500" s="85"/>
      <x:c r="T500" s="85"/>
      <x:c r="U500" s="85"/>
      <x:c r="W500" s="86"/>
      <x:c r="X500" s="86"/>
      <x:c r="Y500" s="32"/>
    </x:row>
    <x:row r="501">
      <x:c r="A501" s="87"/>
      <x:c r="B501" s="88"/>
      <x:c r="D501" s="32"/>
      <x:c r="G501" s="74"/>
      <x:c r="H501" s="74"/>
      <x:c r="I501" s="74"/>
      <x:c r="J501" s="74"/>
      <x:c r="K501" s="74"/>
      <x:c r="L501" s="74"/>
      <x:c r="M501" s="91"/>
      <x:c r="N501" s="91"/>
      <x:c r="O501" s="85"/>
      <x:c r="P501" s="85"/>
      <x:c r="Q501" s="85"/>
      <x:c r="R501" s="85"/>
      <x:c r="S501" s="85"/>
      <x:c r="T501" s="85"/>
      <x:c r="U501" s="85"/>
      <x:c r="W501" s="86"/>
      <x:c r="X501" s="86"/>
      <x:c r="Y501" s="32"/>
    </x:row>
    <x:row r="502">
      <x:c r="A502" s="87"/>
      <x:c r="B502" s="88"/>
      <x:c r="D502" s="32"/>
      <x:c r="G502" s="74"/>
      <x:c r="H502" s="74"/>
      <x:c r="I502" s="74"/>
      <x:c r="J502" s="74"/>
      <x:c r="K502" s="74"/>
      <x:c r="L502" s="74"/>
      <x:c r="M502" s="91"/>
      <x:c r="N502" s="91"/>
      <x:c r="O502" s="85"/>
      <x:c r="P502" s="85"/>
      <x:c r="Q502" s="85"/>
      <x:c r="R502" s="85"/>
      <x:c r="S502" s="85"/>
      <x:c r="T502" s="85"/>
      <x:c r="U502" s="85"/>
      <x:c r="W502" s="86"/>
      <x:c r="X502" s="86"/>
      <x:c r="Y502" s="32"/>
    </x:row>
    <x:row r="503">
      <x:c r="A503" s="87"/>
      <x:c r="B503" s="88"/>
      <x:c r="D503" s="32"/>
      <x:c r="G503" s="74"/>
      <x:c r="H503" s="74"/>
      <x:c r="I503" s="74"/>
      <x:c r="J503" s="74"/>
      <x:c r="K503" s="74"/>
      <x:c r="L503" s="74"/>
      <x:c r="M503" s="91"/>
      <x:c r="N503" s="91"/>
      <x:c r="O503" s="85"/>
      <x:c r="P503" s="85"/>
      <x:c r="Q503" s="85"/>
      <x:c r="R503" s="85"/>
      <x:c r="S503" s="85"/>
      <x:c r="T503" s="85"/>
      <x:c r="U503" s="85"/>
      <x:c r="W503" s="86"/>
      <x:c r="X503" s="86"/>
      <x:c r="Y503" s="32"/>
    </x:row>
    <x:row r="504">
      <x:c r="A504" s="87"/>
      <x:c r="B504" s="88"/>
      <x:c r="D504" s="32"/>
      <x:c r="G504" s="74"/>
      <x:c r="H504" s="74"/>
      <x:c r="I504" s="74"/>
      <x:c r="J504" s="74"/>
      <x:c r="K504" s="74"/>
      <x:c r="L504" s="74"/>
      <x:c r="M504" s="91"/>
      <x:c r="N504" s="91"/>
      <x:c r="O504" s="85"/>
      <x:c r="P504" s="85"/>
      <x:c r="Q504" s="85"/>
      <x:c r="R504" s="85"/>
      <x:c r="S504" s="85"/>
      <x:c r="T504" s="85"/>
      <x:c r="U504" s="85"/>
      <x:c r="W504" s="86"/>
      <x:c r="X504" s="86"/>
      <x:c r="Y504" s="32"/>
    </x:row>
    <x:row r="505">
      <x:c r="A505" s="87"/>
      <x:c r="B505" s="88"/>
      <x:c r="D505" s="32"/>
      <x:c r="G505" s="74"/>
      <x:c r="H505" s="74"/>
      <x:c r="I505" s="74"/>
      <x:c r="J505" s="74"/>
      <x:c r="K505" s="74"/>
      <x:c r="L505" s="74"/>
      <x:c r="M505" s="91"/>
      <x:c r="N505" s="91"/>
      <x:c r="O505" s="85"/>
      <x:c r="P505" s="85"/>
      <x:c r="Q505" s="85"/>
      <x:c r="R505" s="85"/>
      <x:c r="S505" s="85"/>
      <x:c r="T505" s="85"/>
      <x:c r="U505" s="85"/>
      <x:c r="W505" s="86"/>
      <x:c r="X505" s="86"/>
      <x:c r="Y505" s="32"/>
    </x:row>
    <x:row r="506">
      <x:c r="A506" s="87"/>
      <x:c r="B506" s="88"/>
      <x:c r="D506" s="32"/>
      <x:c r="G506" s="74"/>
      <x:c r="H506" s="74"/>
      <x:c r="I506" s="74"/>
      <x:c r="J506" s="74"/>
      <x:c r="K506" s="74"/>
      <x:c r="L506" s="74"/>
      <x:c r="M506" s="91"/>
      <x:c r="N506" s="91"/>
      <x:c r="O506" s="85"/>
      <x:c r="P506" s="85"/>
      <x:c r="Q506" s="85"/>
      <x:c r="R506" s="85"/>
      <x:c r="S506" s="85"/>
      <x:c r="T506" s="85"/>
      <x:c r="U506" s="85"/>
      <x:c r="W506" s="86"/>
      <x:c r="X506" s="86"/>
      <x:c r="Y506" s="32"/>
    </x:row>
    <x:row r="507">
      <x:c r="A507" s="87"/>
      <x:c r="B507" s="88"/>
      <x:c r="D507" s="32"/>
      <x:c r="G507" s="74"/>
      <x:c r="H507" s="74"/>
      <x:c r="I507" s="74"/>
      <x:c r="J507" s="74"/>
      <x:c r="K507" s="74"/>
      <x:c r="L507" s="74"/>
      <x:c r="M507" s="91"/>
      <x:c r="N507" s="91"/>
      <x:c r="O507" s="85"/>
      <x:c r="P507" s="85"/>
      <x:c r="Q507" s="85"/>
      <x:c r="R507" s="85"/>
      <x:c r="S507" s="85"/>
      <x:c r="T507" s="85"/>
      <x:c r="U507" s="85"/>
      <x:c r="W507" s="86"/>
      <x:c r="X507" s="86"/>
      <x:c r="Y507" s="32"/>
    </x:row>
    <x:row r="508">
      <x:c r="A508" s="87"/>
      <x:c r="B508" s="88"/>
      <x:c r="D508" s="32"/>
      <x:c r="G508" s="74"/>
      <x:c r="H508" s="74"/>
      <x:c r="I508" s="74"/>
      <x:c r="J508" s="74"/>
      <x:c r="K508" s="74"/>
      <x:c r="L508" s="74"/>
      <x:c r="M508" s="91"/>
      <x:c r="N508" s="91"/>
      <x:c r="O508" s="85"/>
      <x:c r="P508" s="85"/>
      <x:c r="Q508" s="85"/>
      <x:c r="R508" s="85"/>
      <x:c r="S508" s="85"/>
      <x:c r="T508" s="85"/>
      <x:c r="U508" s="85"/>
      <x:c r="W508" s="86"/>
      <x:c r="X508" s="86"/>
      <x:c r="Y508" s="32"/>
    </x:row>
    <x:row r="509">
      <x:c r="A509" s="87"/>
      <x:c r="B509" s="88"/>
      <x:c r="D509" s="32"/>
      <x:c r="G509" s="74"/>
      <x:c r="H509" s="74"/>
      <x:c r="I509" s="74"/>
      <x:c r="J509" s="74"/>
      <x:c r="K509" s="74"/>
      <x:c r="L509" s="74"/>
      <x:c r="M509" s="91"/>
      <x:c r="N509" s="91"/>
      <x:c r="O509" s="85"/>
      <x:c r="P509" s="85"/>
      <x:c r="Q509" s="85"/>
      <x:c r="R509" s="85"/>
      <x:c r="S509" s="85"/>
      <x:c r="T509" s="85"/>
      <x:c r="U509" s="85"/>
      <x:c r="W509" s="86"/>
      <x:c r="X509" s="86"/>
      <x:c r="Y509" s="32"/>
    </x:row>
    <x:row r="510">
      <x:c r="A510" s="87"/>
      <x:c r="B510" s="88"/>
      <x:c r="D510" s="32"/>
      <x:c r="G510" s="74"/>
      <x:c r="H510" s="74"/>
      <x:c r="I510" s="74"/>
      <x:c r="J510" s="74"/>
      <x:c r="K510" s="74"/>
      <x:c r="L510" s="74"/>
      <x:c r="M510" s="91"/>
      <x:c r="N510" s="91"/>
      <x:c r="O510" s="85"/>
      <x:c r="P510" s="85"/>
      <x:c r="Q510" s="85"/>
      <x:c r="R510" s="85"/>
      <x:c r="S510" s="85"/>
      <x:c r="T510" s="85"/>
      <x:c r="U510" s="85"/>
      <x:c r="W510" s="86"/>
      <x:c r="X510" s="86"/>
      <x:c r="Y510" s="32"/>
    </x:row>
    <x:row r="511">
      <x:c r="A511" s="87"/>
      <x:c r="B511" s="88"/>
      <x:c r="D511" s="32"/>
      <x:c r="G511" s="74"/>
      <x:c r="H511" s="74"/>
      <x:c r="I511" s="74"/>
      <x:c r="J511" s="74"/>
      <x:c r="K511" s="74"/>
      <x:c r="L511" s="74"/>
      <x:c r="M511" s="91"/>
      <x:c r="N511" s="91"/>
      <x:c r="O511" s="85"/>
      <x:c r="P511" s="85"/>
      <x:c r="Q511" s="85"/>
      <x:c r="R511" s="85"/>
      <x:c r="S511" s="85"/>
      <x:c r="T511" s="85"/>
      <x:c r="U511" s="85"/>
      <x:c r="W511" s="86"/>
      <x:c r="X511" s="86"/>
      <x:c r="Y511" s="32"/>
    </x:row>
    <x:row r="512">
      <x:c r="A512" s="87"/>
      <x:c r="B512" s="88"/>
      <x:c r="D512" s="32"/>
      <x:c r="G512" s="74"/>
      <x:c r="H512" s="74"/>
      <x:c r="I512" s="74"/>
      <x:c r="J512" s="74"/>
      <x:c r="K512" s="74"/>
      <x:c r="L512" s="74"/>
      <x:c r="M512" s="91"/>
      <x:c r="N512" s="91"/>
      <x:c r="O512" s="85"/>
      <x:c r="P512" s="85"/>
      <x:c r="Q512" s="85"/>
      <x:c r="R512" s="85"/>
      <x:c r="S512" s="85"/>
      <x:c r="T512" s="85"/>
      <x:c r="U512" s="85"/>
      <x:c r="W512" s="86"/>
      <x:c r="X512" s="86"/>
      <x:c r="Y512" s="32"/>
    </x:row>
    <x:row r="513">
      <x:c r="A513" s="87"/>
      <x:c r="B513" s="88"/>
      <x:c r="D513" s="32"/>
      <x:c r="G513" s="74"/>
      <x:c r="H513" s="74"/>
      <x:c r="I513" s="74"/>
      <x:c r="J513" s="74"/>
      <x:c r="K513" s="74"/>
      <x:c r="L513" s="74"/>
      <x:c r="M513" s="91"/>
      <x:c r="N513" s="91"/>
      <x:c r="O513" s="85"/>
      <x:c r="P513" s="85"/>
      <x:c r="Q513" s="85"/>
      <x:c r="R513" s="85"/>
      <x:c r="S513" s="85"/>
      <x:c r="T513" s="85"/>
      <x:c r="U513" s="85"/>
      <x:c r="W513" s="86"/>
      <x:c r="X513" s="86"/>
      <x:c r="Y513" s="32"/>
    </x:row>
    <x:row r="514">
      <x:c r="A514" s="87"/>
      <x:c r="B514" s="88"/>
      <x:c r="D514" s="32"/>
      <x:c r="G514" s="74"/>
      <x:c r="H514" s="74"/>
      <x:c r="I514" s="74"/>
      <x:c r="J514" s="74"/>
      <x:c r="K514" s="74"/>
      <x:c r="L514" s="74"/>
      <x:c r="M514" s="91"/>
      <x:c r="N514" s="91"/>
      <x:c r="O514" s="85"/>
      <x:c r="P514" s="85"/>
      <x:c r="Q514" s="85"/>
      <x:c r="R514" s="85"/>
      <x:c r="S514" s="85"/>
      <x:c r="T514" s="85"/>
      <x:c r="U514" s="85"/>
      <x:c r="W514" s="86"/>
      <x:c r="X514" s="86"/>
      <x:c r="Y514" s="32"/>
    </x:row>
    <x:row r="515">
      <x:c r="A515" s="87"/>
      <x:c r="B515" s="88"/>
      <x:c r="D515" s="32"/>
      <x:c r="G515" s="74"/>
      <x:c r="H515" s="74"/>
      <x:c r="I515" s="74"/>
      <x:c r="J515" s="74"/>
      <x:c r="K515" s="74"/>
      <x:c r="L515" s="74"/>
      <x:c r="M515" s="91"/>
      <x:c r="N515" s="91"/>
      <x:c r="O515" s="85"/>
      <x:c r="P515" s="85"/>
      <x:c r="Q515" s="85"/>
      <x:c r="R515" s="85"/>
      <x:c r="S515" s="85"/>
      <x:c r="T515" s="85"/>
      <x:c r="U515" s="85"/>
      <x:c r="W515" s="86"/>
      <x:c r="X515" s="86"/>
      <x:c r="Y515" s="32"/>
    </x:row>
    <x:row r="516">
      <x:c r="A516" s="87"/>
      <x:c r="B516" s="88"/>
      <x:c r="D516" s="32"/>
      <x:c r="G516" s="74"/>
      <x:c r="H516" s="74"/>
      <x:c r="I516" s="74"/>
      <x:c r="J516" s="74"/>
      <x:c r="K516" s="74"/>
      <x:c r="L516" s="74"/>
      <x:c r="M516" s="91"/>
      <x:c r="N516" s="91"/>
      <x:c r="O516" s="85"/>
      <x:c r="P516" s="85"/>
      <x:c r="Q516" s="85"/>
      <x:c r="R516" s="85"/>
      <x:c r="S516" s="85"/>
      <x:c r="T516" s="85"/>
      <x:c r="U516" s="85"/>
      <x:c r="W516" s="86"/>
      <x:c r="X516" s="86"/>
      <x:c r="Y516" s="32"/>
    </x:row>
    <x:row r="517">
      <x:c r="A517" s="87"/>
      <x:c r="B517" s="88"/>
      <x:c r="D517" s="32"/>
      <x:c r="G517" s="74"/>
      <x:c r="H517" s="74"/>
      <x:c r="I517" s="74"/>
      <x:c r="J517" s="74"/>
      <x:c r="K517" s="74"/>
      <x:c r="L517" s="74"/>
      <x:c r="M517" s="91"/>
      <x:c r="N517" s="91"/>
      <x:c r="O517" s="85"/>
      <x:c r="P517" s="85"/>
      <x:c r="Q517" s="85"/>
      <x:c r="R517" s="85"/>
      <x:c r="S517" s="85"/>
      <x:c r="T517" s="85"/>
      <x:c r="U517" s="85"/>
      <x:c r="W517" s="86"/>
      <x:c r="X517" s="86"/>
      <x:c r="Y517" s="32"/>
    </x:row>
    <x:row r="518">
      <x:c r="A518" s="87"/>
      <x:c r="B518" s="88"/>
      <x:c r="D518" s="32"/>
      <x:c r="G518" s="74"/>
      <x:c r="H518" s="74"/>
      <x:c r="I518" s="74"/>
      <x:c r="J518" s="74"/>
      <x:c r="K518" s="74"/>
      <x:c r="L518" s="74"/>
      <x:c r="M518" s="91"/>
      <x:c r="N518" s="91"/>
      <x:c r="O518" s="85"/>
      <x:c r="P518" s="85"/>
      <x:c r="Q518" s="85"/>
      <x:c r="R518" s="85"/>
      <x:c r="S518" s="85"/>
      <x:c r="T518" s="85"/>
      <x:c r="U518" s="85"/>
      <x:c r="W518" s="86"/>
      <x:c r="X518" s="86"/>
      <x:c r="Y518" s="32"/>
    </x:row>
    <x:row r="519">
      <x:c r="A519" s="87"/>
      <x:c r="B519" s="88"/>
      <x:c r="D519" s="32"/>
      <x:c r="G519" s="74"/>
      <x:c r="H519" s="74"/>
      <x:c r="I519" s="74"/>
      <x:c r="J519" s="74"/>
      <x:c r="K519" s="74"/>
      <x:c r="L519" s="74"/>
      <x:c r="M519" s="91"/>
      <x:c r="N519" s="91"/>
      <x:c r="O519" s="85"/>
      <x:c r="P519" s="85"/>
      <x:c r="Q519" s="85"/>
      <x:c r="R519" s="85"/>
      <x:c r="S519" s="85"/>
      <x:c r="T519" s="85"/>
      <x:c r="U519" s="85"/>
      <x:c r="W519" s="86"/>
      <x:c r="X519" s="86"/>
      <x:c r="Y519" s="32"/>
    </x:row>
    <x:row r="520">
      <x:c r="A520" s="87"/>
      <x:c r="B520" s="88"/>
      <x:c r="D520" s="32"/>
      <x:c r="G520" s="74"/>
      <x:c r="H520" s="74"/>
      <x:c r="I520" s="74"/>
      <x:c r="J520" s="74"/>
      <x:c r="K520" s="74"/>
      <x:c r="L520" s="74"/>
      <x:c r="M520" s="91"/>
      <x:c r="N520" s="91"/>
      <x:c r="O520" s="85"/>
      <x:c r="P520" s="85"/>
      <x:c r="Q520" s="85"/>
      <x:c r="R520" s="85"/>
      <x:c r="S520" s="85"/>
      <x:c r="T520" s="85"/>
      <x:c r="U520" s="85"/>
      <x:c r="W520" s="86"/>
      <x:c r="X520" s="86"/>
      <x:c r="Y520" s="32"/>
    </x:row>
    <x:row r="521">
      <x:c r="A521" s="87"/>
      <x:c r="B521" s="88"/>
      <x:c r="D521" s="32"/>
      <x:c r="G521" s="74"/>
      <x:c r="H521" s="74"/>
      <x:c r="I521" s="74"/>
      <x:c r="J521" s="74"/>
      <x:c r="K521" s="74"/>
      <x:c r="L521" s="74"/>
      <x:c r="M521" s="91"/>
      <x:c r="N521" s="91"/>
      <x:c r="O521" s="85"/>
      <x:c r="P521" s="85"/>
      <x:c r="Q521" s="85"/>
      <x:c r="R521" s="85"/>
      <x:c r="S521" s="85"/>
      <x:c r="T521" s="85"/>
      <x:c r="U521" s="85"/>
      <x:c r="W521" s="86"/>
      <x:c r="X521" s="86"/>
      <x:c r="Y521" s="32"/>
    </x:row>
    <x:row r="522">
      <x:c r="A522" s="87"/>
      <x:c r="B522" s="88"/>
      <x:c r="D522" s="32"/>
      <x:c r="G522" s="74"/>
      <x:c r="H522" s="74"/>
      <x:c r="I522" s="74"/>
      <x:c r="J522" s="74"/>
      <x:c r="K522" s="74"/>
      <x:c r="L522" s="74"/>
      <x:c r="M522" s="91"/>
      <x:c r="N522" s="91"/>
      <x:c r="O522" s="85"/>
      <x:c r="P522" s="85"/>
      <x:c r="Q522" s="85"/>
      <x:c r="R522" s="85"/>
      <x:c r="S522" s="85"/>
      <x:c r="T522" s="85"/>
      <x:c r="U522" s="85"/>
      <x:c r="W522" s="86"/>
      <x:c r="X522" s="86"/>
      <x:c r="Y522" s="32"/>
    </x:row>
    <x:row r="523">
      <x:c r="A523" s="87"/>
      <x:c r="B523" s="88"/>
      <x:c r="D523" s="32"/>
      <x:c r="G523" s="74"/>
      <x:c r="H523" s="74"/>
      <x:c r="I523" s="74"/>
      <x:c r="J523" s="74"/>
      <x:c r="K523" s="74"/>
      <x:c r="L523" s="74"/>
      <x:c r="M523" s="91"/>
      <x:c r="N523" s="91"/>
      <x:c r="O523" s="85"/>
      <x:c r="P523" s="85"/>
      <x:c r="Q523" s="85"/>
      <x:c r="R523" s="85"/>
      <x:c r="S523" s="85"/>
      <x:c r="T523" s="85"/>
      <x:c r="U523" s="85"/>
      <x:c r="W523" s="86"/>
      <x:c r="X523" s="86"/>
      <x:c r="Y523" s="32"/>
    </x:row>
    <x:row r="524">
      <x:c r="A524" s="87"/>
      <x:c r="B524" s="88"/>
      <x:c r="D524" s="32"/>
      <x:c r="G524" s="74"/>
      <x:c r="H524" s="74"/>
      <x:c r="I524" s="74"/>
      <x:c r="J524" s="74"/>
      <x:c r="K524" s="74"/>
      <x:c r="L524" s="74"/>
      <x:c r="M524" s="91"/>
      <x:c r="N524" s="91"/>
      <x:c r="O524" s="85"/>
      <x:c r="P524" s="85"/>
      <x:c r="Q524" s="85"/>
      <x:c r="R524" s="85"/>
      <x:c r="S524" s="85"/>
      <x:c r="T524" s="85"/>
      <x:c r="U524" s="85"/>
      <x:c r="W524" s="86"/>
      <x:c r="X524" s="86"/>
      <x:c r="Y524" s="32"/>
    </x:row>
    <x:row r="525">
      <x:c r="A525" s="87"/>
      <x:c r="B525" s="88"/>
      <x:c r="D525" s="32"/>
      <x:c r="G525" s="74"/>
      <x:c r="H525" s="74"/>
      <x:c r="I525" s="74"/>
      <x:c r="J525" s="74"/>
      <x:c r="K525" s="74"/>
      <x:c r="L525" s="74"/>
      <x:c r="M525" s="91"/>
      <x:c r="N525" s="91"/>
      <x:c r="O525" s="85"/>
      <x:c r="P525" s="85"/>
      <x:c r="Q525" s="85"/>
      <x:c r="R525" s="85"/>
      <x:c r="S525" s="85"/>
      <x:c r="T525" s="85"/>
      <x:c r="U525" s="85"/>
      <x:c r="W525" s="86"/>
      <x:c r="X525" s="86"/>
      <x:c r="Y525" s="32"/>
    </x:row>
    <x:row r="526">
      <x:c r="A526" s="87"/>
      <x:c r="B526" s="88"/>
      <x:c r="D526" s="32"/>
      <x:c r="G526" s="74"/>
      <x:c r="H526" s="74"/>
      <x:c r="I526" s="74"/>
      <x:c r="J526" s="74"/>
      <x:c r="K526" s="74"/>
      <x:c r="L526" s="74"/>
      <x:c r="M526" s="91"/>
      <x:c r="N526" s="91"/>
      <x:c r="O526" s="85"/>
      <x:c r="P526" s="85"/>
      <x:c r="Q526" s="85"/>
      <x:c r="R526" s="85"/>
      <x:c r="S526" s="85"/>
      <x:c r="T526" s="85"/>
      <x:c r="U526" s="85"/>
      <x:c r="W526" s="86"/>
      <x:c r="X526" s="86"/>
      <x:c r="Y526" s="32"/>
    </x:row>
    <x:row r="527">
      <x:c r="A527" s="87"/>
      <x:c r="B527" s="88"/>
      <x:c r="D527" s="32"/>
      <x:c r="G527" s="74"/>
      <x:c r="H527" s="74"/>
      <x:c r="I527" s="74"/>
      <x:c r="J527" s="74"/>
      <x:c r="K527" s="74"/>
      <x:c r="L527" s="74"/>
      <x:c r="M527" s="91"/>
      <x:c r="N527" s="91"/>
      <x:c r="O527" s="85"/>
      <x:c r="P527" s="85"/>
      <x:c r="Q527" s="85"/>
      <x:c r="R527" s="85"/>
      <x:c r="S527" s="85"/>
      <x:c r="T527" s="85"/>
      <x:c r="U527" s="85"/>
      <x:c r="W527" s="86"/>
      <x:c r="X527" s="86"/>
      <x:c r="Y527" s="32"/>
    </x:row>
    <x:row r="528">
      <x:c r="A528" s="87"/>
      <x:c r="B528" s="88"/>
      <x:c r="D528" s="32"/>
      <x:c r="G528" s="74"/>
      <x:c r="H528" s="74"/>
      <x:c r="I528" s="74"/>
      <x:c r="J528" s="74"/>
      <x:c r="K528" s="74"/>
      <x:c r="L528" s="74"/>
      <x:c r="M528" s="91"/>
      <x:c r="N528" s="91"/>
      <x:c r="O528" s="85"/>
      <x:c r="P528" s="85"/>
      <x:c r="Q528" s="85"/>
      <x:c r="R528" s="85"/>
      <x:c r="S528" s="85"/>
      <x:c r="T528" s="85"/>
      <x:c r="U528" s="85"/>
      <x:c r="W528" s="86"/>
      <x:c r="X528" s="86"/>
      <x:c r="Y528" s="32"/>
    </x:row>
    <x:row r="529">
      <x:c r="A529" s="87"/>
      <x:c r="B529" s="88"/>
      <x:c r="D529" s="32"/>
      <x:c r="G529" s="74"/>
      <x:c r="H529" s="74"/>
      <x:c r="I529" s="74"/>
      <x:c r="J529" s="74"/>
      <x:c r="K529" s="74"/>
      <x:c r="L529" s="74"/>
      <x:c r="M529" s="91"/>
      <x:c r="N529" s="91"/>
      <x:c r="O529" s="85"/>
      <x:c r="P529" s="85"/>
      <x:c r="Q529" s="85"/>
      <x:c r="R529" s="85"/>
      <x:c r="S529" s="85"/>
      <x:c r="T529" s="85"/>
      <x:c r="U529" s="85"/>
      <x:c r="W529" s="86"/>
      <x:c r="X529" s="86"/>
      <x:c r="Y529" s="32"/>
    </x:row>
    <x:row r="530">
      <x:c r="A530" s="87"/>
      <x:c r="B530" s="88"/>
      <x:c r="D530" s="32"/>
      <x:c r="G530" s="74"/>
      <x:c r="H530" s="74"/>
      <x:c r="I530" s="74"/>
      <x:c r="J530" s="74"/>
      <x:c r="K530" s="74"/>
      <x:c r="L530" s="74"/>
      <x:c r="M530" s="91"/>
      <x:c r="N530" s="91"/>
      <x:c r="O530" s="85"/>
      <x:c r="P530" s="85"/>
      <x:c r="Q530" s="85"/>
      <x:c r="R530" s="85"/>
      <x:c r="S530" s="85"/>
      <x:c r="T530" s="85"/>
      <x:c r="U530" s="85"/>
      <x:c r="W530" s="86"/>
      <x:c r="X530" s="86"/>
      <x:c r="Y530" s="32"/>
    </x:row>
    <x:row r="531">
      <x:c r="A531" s="87"/>
      <x:c r="B531" s="88"/>
      <x:c r="D531" s="32"/>
      <x:c r="G531" s="74"/>
      <x:c r="H531" s="74"/>
      <x:c r="I531" s="74"/>
      <x:c r="J531" s="74"/>
      <x:c r="K531" s="74"/>
      <x:c r="L531" s="74"/>
      <x:c r="M531" s="91"/>
      <x:c r="N531" s="91"/>
      <x:c r="O531" s="85"/>
      <x:c r="P531" s="85"/>
      <x:c r="Q531" s="85"/>
      <x:c r="R531" s="85"/>
      <x:c r="S531" s="85"/>
      <x:c r="T531" s="85"/>
      <x:c r="U531" s="85"/>
      <x:c r="W531" s="86"/>
      <x:c r="X531" s="86"/>
      <x:c r="Y531" s="32"/>
    </x:row>
    <x:row r="532">
      <x:c r="A532" s="87"/>
      <x:c r="B532" s="88"/>
      <x:c r="D532" s="32"/>
      <x:c r="G532" s="74"/>
      <x:c r="H532" s="74"/>
      <x:c r="I532" s="74"/>
      <x:c r="J532" s="74"/>
      <x:c r="K532" s="74"/>
      <x:c r="L532" s="74"/>
      <x:c r="M532" s="91"/>
      <x:c r="N532" s="91"/>
      <x:c r="O532" s="85"/>
      <x:c r="P532" s="85"/>
      <x:c r="Q532" s="85"/>
      <x:c r="R532" s="85"/>
      <x:c r="S532" s="85"/>
      <x:c r="T532" s="85"/>
      <x:c r="U532" s="85"/>
      <x:c r="W532" s="86"/>
      <x:c r="X532" s="86"/>
      <x:c r="Y532" s="32"/>
    </x:row>
    <x:row r="533">
      <x:c r="A533" s="87"/>
      <x:c r="B533" s="88"/>
      <x:c r="D533" s="32"/>
      <x:c r="G533" s="74"/>
      <x:c r="H533" s="74"/>
      <x:c r="I533" s="74"/>
      <x:c r="J533" s="74"/>
      <x:c r="K533" s="74"/>
      <x:c r="L533" s="74"/>
      <x:c r="M533" s="91"/>
      <x:c r="N533" s="91"/>
      <x:c r="O533" s="85"/>
      <x:c r="P533" s="85"/>
      <x:c r="Q533" s="85"/>
      <x:c r="R533" s="85"/>
      <x:c r="S533" s="85"/>
      <x:c r="T533" s="85"/>
      <x:c r="U533" s="85"/>
      <x:c r="W533" s="86"/>
      <x:c r="X533" s="86"/>
      <x:c r="Y533" s="32"/>
    </x:row>
    <x:row r="534">
      <x:c r="A534" s="87"/>
      <x:c r="B534" s="88"/>
      <x:c r="D534" s="32"/>
      <x:c r="G534" s="74"/>
      <x:c r="H534" s="74"/>
      <x:c r="I534" s="74"/>
      <x:c r="J534" s="74"/>
      <x:c r="K534" s="74"/>
      <x:c r="L534" s="74"/>
      <x:c r="M534" s="91"/>
      <x:c r="N534" s="91"/>
      <x:c r="O534" s="85"/>
      <x:c r="P534" s="85"/>
      <x:c r="Q534" s="85"/>
      <x:c r="R534" s="85"/>
      <x:c r="S534" s="85"/>
      <x:c r="T534" s="85"/>
      <x:c r="U534" s="85"/>
      <x:c r="W534" s="86"/>
      <x:c r="X534" s="86"/>
      <x:c r="Y534" s="32"/>
    </x:row>
    <x:row r="535">
      <x:c r="A535" s="87"/>
      <x:c r="B535" s="88"/>
      <x:c r="D535" s="32"/>
      <x:c r="G535" s="74"/>
      <x:c r="H535" s="74"/>
      <x:c r="I535" s="74"/>
      <x:c r="J535" s="74"/>
      <x:c r="K535" s="74"/>
      <x:c r="L535" s="74"/>
      <x:c r="M535" s="91"/>
      <x:c r="N535" s="91"/>
      <x:c r="O535" s="85"/>
      <x:c r="P535" s="85"/>
      <x:c r="Q535" s="85"/>
      <x:c r="R535" s="85"/>
      <x:c r="S535" s="85"/>
      <x:c r="T535" s="85"/>
      <x:c r="U535" s="85"/>
      <x:c r="W535" s="86"/>
      <x:c r="X535" s="86"/>
      <x:c r="Y535" s="32"/>
    </x:row>
    <x:row r="536">
      <x:c r="A536" s="87"/>
      <x:c r="B536" s="88"/>
      <x:c r="D536" s="32"/>
      <x:c r="G536" s="74"/>
      <x:c r="H536" s="74"/>
      <x:c r="I536" s="74"/>
      <x:c r="J536" s="74"/>
      <x:c r="K536" s="74"/>
      <x:c r="L536" s="74"/>
      <x:c r="M536" s="91"/>
      <x:c r="N536" s="91"/>
      <x:c r="O536" s="85"/>
      <x:c r="P536" s="85"/>
      <x:c r="Q536" s="85"/>
      <x:c r="R536" s="85"/>
      <x:c r="S536" s="85"/>
      <x:c r="T536" s="85"/>
      <x:c r="U536" s="85"/>
      <x:c r="W536" s="86"/>
      <x:c r="X536" s="86"/>
      <x:c r="Y536" s="32"/>
    </x:row>
    <x:row r="537">
      <x:c r="A537" s="87"/>
      <x:c r="B537" s="88"/>
      <x:c r="D537" s="32"/>
      <x:c r="G537" s="74"/>
      <x:c r="H537" s="74"/>
      <x:c r="I537" s="74"/>
      <x:c r="J537" s="74"/>
      <x:c r="K537" s="74"/>
      <x:c r="L537" s="74"/>
      <x:c r="M537" s="91"/>
      <x:c r="N537" s="91"/>
      <x:c r="O537" s="85"/>
      <x:c r="P537" s="85"/>
      <x:c r="Q537" s="85"/>
      <x:c r="R537" s="85"/>
      <x:c r="S537" s="85"/>
      <x:c r="T537" s="85"/>
      <x:c r="U537" s="85"/>
      <x:c r="W537" s="86"/>
      <x:c r="X537" s="86"/>
      <x:c r="Y537" s="32"/>
    </x:row>
    <x:row r="538">
      <x:c r="A538" s="87"/>
      <x:c r="B538" s="88"/>
      <x:c r="D538" s="32"/>
      <x:c r="G538" s="74"/>
      <x:c r="H538" s="74"/>
      <x:c r="I538" s="74"/>
      <x:c r="J538" s="74"/>
      <x:c r="K538" s="74"/>
      <x:c r="L538" s="74"/>
      <x:c r="M538" s="91"/>
      <x:c r="N538" s="91"/>
      <x:c r="O538" s="85"/>
      <x:c r="P538" s="85"/>
      <x:c r="Q538" s="85"/>
      <x:c r="R538" s="85"/>
      <x:c r="S538" s="85"/>
      <x:c r="T538" s="85"/>
      <x:c r="U538" s="85"/>
      <x:c r="W538" s="86"/>
      <x:c r="X538" s="86"/>
      <x:c r="Y538" s="32"/>
    </x:row>
    <x:row r="539">
      <x:c r="A539" s="87"/>
      <x:c r="B539" s="88"/>
      <x:c r="D539" s="32"/>
      <x:c r="G539" s="74"/>
      <x:c r="H539" s="74"/>
      <x:c r="I539" s="74"/>
      <x:c r="J539" s="74"/>
      <x:c r="K539" s="74"/>
      <x:c r="L539" s="74"/>
      <x:c r="M539" s="91"/>
      <x:c r="N539" s="91"/>
      <x:c r="O539" s="85"/>
      <x:c r="P539" s="85"/>
      <x:c r="Q539" s="85"/>
      <x:c r="R539" s="85"/>
      <x:c r="S539" s="85"/>
      <x:c r="T539" s="85"/>
      <x:c r="U539" s="85"/>
      <x:c r="W539" s="86"/>
      <x:c r="X539" s="86"/>
      <x:c r="Y539" s="32"/>
    </x:row>
    <x:row r="540">
      <x:c r="A540" s="87"/>
      <x:c r="B540" s="88"/>
      <x:c r="D540" s="32"/>
      <x:c r="G540" s="74"/>
      <x:c r="H540" s="74"/>
      <x:c r="I540" s="74"/>
      <x:c r="J540" s="74"/>
      <x:c r="K540" s="74"/>
      <x:c r="L540" s="74"/>
      <x:c r="M540" s="91"/>
      <x:c r="N540" s="91"/>
      <x:c r="O540" s="85"/>
      <x:c r="P540" s="85"/>
      <x:c r="Q540" s="85"/>
      <x:c r="R540" s="85"/>
      <x:c r="S540" s="85"/>
      <x:c r="T540" s="85"/>
      <x:c r="U540" s="85"/>
      <x:c r="W540" s="86"/>
      <x:c r="X540" s="86"/>
      <x:c r="Y540" s="32"/>
    </x:row>
    <x:row r="541">
      <x:c r="A541" s="87"/>
      <x:c r="B541" s="88"/>
      <x:c r="D541" s="32"/>
      <x:c r="G541" s="74"/>
      <x:c r="H541" s="74"/>
      <x:c r="I541" s="74"/>
      <x:c r="J541" s="74"/>
      <x:c r="K541" s="74"/>
      <x:c r="L541" s="74"/>
      <x:c r="M541" s="91"/>
      <x:c r="N541" s="91"/>
      <x:c r="O541" s="85"/>
      <x:c r="P541" s="85"/>
      <x:c r="Q541" s="85"/>
      <x:c r="R541" s="85"/>
      <x:c r="S541" s="85"/>
      <x:c r="T541" s="85"/>
      <x:c r="U541" s="85"/>
      <x:c r="W541" s="86"/>
      <x:c r="X541" s="86"/>
      <x:c r="Y541" s="32"/>
    </x:row>
    <x:row r="542">
      <x:c r="A542" s="87"/>
      <x:c r="B542" s="88"/>
      <x:c r="D542" s="32"/>
      <x:c r="G542" s="74"/>
      <x:c r="H542" s="74"/>
      <x:c r="I542" s="74"/>
      <x:c r="J542" s="74"/>
      <x:c r="K542" s="74"/>
      <x:c r="L542" s="74"/>
      <x:c r="M542" s="91"/>
      <x:c r="N542" s="91"/>
      <x:c r="O542" s="85"/>
      <x:c r="P542" s="85"/>
      <x:c r="Q542" s="85"/>
      <x:c r="R542" s="85"/>
      <x:c r="S542" s="85"/>
      <x:c r="T542" s="85"/>
      <x:c r="U542" s="85"/>
      <x:c r="W542" s="86"/>
      <x:c r="X542" s="86"/>
      <x:c r="Y542" s="32"/>
    </x:row>
    <x:row r="543">
      <x:c r="A543" s="87"/>
      <x:c r="B543" s="88"/>
      <x:c r="D543" s="32"/>
      <x:c r="G543" s="74"/>
      <x:c r="H543" s="74"/>
      <x:c r="I543" s="74"/>
      <x:c r="J543" s="74"/>
      <x:c r="K543" s="74"/>
      <x:c r="L543" s="74"/>
      <x:c r="M543" s="91"/>
      <x:c r="N543" s="91"/>
      <x:c r="O543" s="85"/>
      <x:c r="P543" s="85"/>
      <x:c r="Q543" s="85"/>
      <x:c r="R543" s="85"/>
      <x:c r="S543" s="85"/>
      <x:c r="T543" s="85"/>
      <x:c r="U543" s="85"/>
      <x:c r="W543" s="86"/>
      <x:c r="X543" s="86"/>
      <x:c r="Y543" s="32"/>
    </x:row>
    <x:row r="544">
      <x:c r="A544" s="87"/>
      <x:c r="B544" s="88"/>
      <x:c r="D544" s="32"/>
      <x:c r="G544" s="74"/>
      <x:c r="H544" s="74"/>
      <x:c r="I544" s="74"/>
      <x:c r="J544" s="74"/>
      <x:c r="K544" s="74"/>
      <x:c r="L544" s="74"/>
      <x:c r="M544" s="91"/>
      <x:c r="N544" s="91"/>
      <x:c r="O544" s="85"/>
      <x:c r="P544" s="85"/>
      <x:c r="Q544" s="85"/>
      <x:c r="R544" s="85"/>
      <x:c r="S544" s="85"/>
      <x:c r="T544" s="85"/>
      <x:c r="U544" s="85"/>
      <x:c r="W544" s="86"/>
      <x:c r="X544" s="86"/>
      <x:c r="Y544" s="32"/>
    </x:row>
    <x:row r="545">
      <x:c r="A545" s="87"/>
      <x:c r="B545" s="88"/>
      <x:c r="D545" s="32"/>
      <x:c r="G545" s="74"/>
      <x:c r="H545" s="74"/>
      <x:c r="I545" s="74"/>
      <x:c r="J545" s="74"/>
      <x:c r="K545" s="74"/>
      <x:c r="L545" s="74"/>
      <x:c r="M545" s="91"/>
      <x:c r="N545" s="91"/>
      <x:c r="O545" s="85"/>
      <x:c r="P545" s="85"/>
      <x:c r="Q545" s="85"/>
      <x:c r="R545" s="85"/>
      <x:c r="S545" s="85"/>
      <x:c r="T545" s="85"/>
      <x:c r="U545" s="85"/>
      <x:c r="W545" s="86"/>
      <x:c r="X545" s="86"/>
      <x:c r="Y545" s="32"/>
    </x:row>
    <x:row r="546">
      <x:c r="A546" s="87"/>
      <x:c r="B546" s="88"/>
      <x:c r="D546" s="32"/>
      <x:c r="G546" s="74"/>
      <x:c r="H546" s="74"/>
      <x:c r="I546" s="74"/>
      <x:c r="J546" s="74"/>
      <x:c r="K546" s="74"/>
      <x:c r="L546" s="74"/>
      <x:c r="M546" s="91"/>
      <x:c r="N546" s="91"/>
      <x:c r="O546" s="85"/>
      <x:c r="P546" s="85"/>
      <x:c r="Q546" s="85"/>
      <x:c r="R546" s="85"/>
      <x:c r="S546" s="85"/>
      <x:c r="T546" s="85"/>
      <x:c r="U546" s="85"/>
      <x:c r="W546" s="86"/>
      <x:c r="X546" s="86"/>
      <x:c r="Y546" s="32"/>
    </x:row>
    <x:row r="547">
      <x:c r="A547" s="87"/>
      <x:c r="B547" s="88"/>
      <x:c r="D547" s="32"/>
      <x:c r="G547" s="74"/>
      <x:c r="H547" s="74"/>
      <x:c r="I547" s="74"/>
      <x:c r="J547" s="74"/>
      <x:c r="K547" s="74"/>
      <x:c r="L547" s="74"/>
      <x:c r="M547" s="91"/>
      <x:c r="N547" s="91"/>
      <x:c r="O547" s="85"/>
      <x:c r="P547" s="85"/>
      <x:c r="Q547" s="85"/>
      <x:c r="R547" s="85"/>
      <x:c r="S547" s="85"/>
      <x:c r="T547" s="85"/>
      <x:c r="U547" s="85"/>
      <x:c r="W547" s="86"/>
      <x:c r="X547" s="86"/>
      <x:c r="Y547" s="32"/>
    </x:row>
    <x:row r="548">
      <x:c r="A548" s="87"/>
      <x:c r="B548" s="88"/>
      <x:c r="D548" s="32"/>
      <x:c r="G548" s="74"/>
      <x:c r="H548" s="74"/>
      <x:c r="I548" s="74"/>
      <x:c r="J548" s="74"/>
      <x:c r="K548" s="74"/>
      <x:c r="L548" s="74"/>
      <x:c r="M548" s="91"/>
      <x:c r="N548" s="91"/>
      <x:c r="O548" s="85"/>
      <x:c r="P548" s="85"/>
      <x:c r="Q548" s="85"/>
      <x:c r="R548" s="85"/>
      <x:c r="S548" s="85"/>
      <x:c r="T548" s="85"/>
      <x:c r="U548" s="85"/>
      <x:c r="W548" s="86"/>
      <x:c r="X548" s="86"/>
      <x:c r="Y548" s="32"/>
    </x:row>
    <x:row r="549">
      <x:c r="A549" s="87"/>
      <x:c r="B549" s="88"/>
      <x:c r="D549" s="32"/>
      <x:c r="G549" s="74"/>
      <x:c r="H549" s="74"/>
      <x:c r="I549" s="74"/>
      <x:c r="J549" s="74"/>
      <x:c r="K549" s="74"/>
      <x:c r="L549" s="74"/>
      <x:c r="M549" s="91"/>
      <x:c r="N549" s="91"/>
      <x:c r="O549" s="85"/>
      <x:c r="P549" s="85"/>
      <x:c r="Q549" s="85"/>
      <x:c r="R549" s="85"/>
      <x:c r="S549" s="85"/>
      <x:c r="T549" s="85"/>
      <x:c r="U549" s="85"/>
      <x:c r="W549" s="86"/>
      <x:c r="X549" s="86"/>
      <x:c r="Y549" s="32"/>
    </x:row>
    <x:row r="550">
      <x:c r="A550" s="87"/>
      <x:c r="B550" s="88"/>
      <x:c r="D550" s="32"/>
      <x:c r="G550" s="74"/>
      <x:c r="H550" s="74"/>
      <x:c r="I550" s="74"/>
      <x:c r="J550" s="74"/>
      <x:c r="K550" s="74"/>
      <x:c r="L550" s="74"/>
      <x:c r="M550" s="91"/>
      <x:c r="N550" s="91"/>
      <x:c r="O550" s="85"/>
      <x:c r="P550" s="85"/>
      <x:c r="Q550" s="85"/>
      <x:c r="R550" s="85"/>
      <x:c r="S550" s="85"/>
      <x:c r="T550" s="85"/>
      <x:c r="U550" s="85"/>
      <x:c r="W550" s="86"/>
      <x:c r="X550" s="86"/>
      <x:c r="Y550" s="32"/>
    </x:row>
    <x:row r="551">
      <x:c r="A551" s="87"/>
      <x:c r="B551" s="88"/>
      <x:c r="D551" s="32"/>
      <x:c r="G551" s="74"/>
      <x:c r="H551" s="74"/>
      <x:c r="I551" s="74"/>
      <x:c r="J551" s="74"/>
      <x:c r="K551" s="74"/>
      <x:c r="L551" s="74"/>
      <x:c r="M551" s="91"/>
      <x:c r="N551" s="91"/>
      <x:c r="O551" s="85"/>
      <x:c r="P551" s="85"/>
      <x:c r="Q551" s="85"/>
      <x:c r="R551" s="85"/>
      <x:c r="S551" s="85"/>
      <x:c r="T551" s="85"/>
      <x:c r="U551" s="85"/>
      <x:c r="W551" s="86"/>
      <x:c r="X551" s="86"/>
      <x:c r="Y551" s="32"/>
    </x:row>
    <x:row r="552">
      <x:c r="A552" s="87"/>
      <x:c r="B552" s="88"/>
      <x:c r="D552" s="32"/>
      <x:c r="G552" s="74"/>
      <x:c r="H552" s="74"/>
      <x:c r="I552" s="74"/>
      <x:c r="J552" s="74"/>
      <x:c r="K552" s="74"/>
      <x:c r="L552" s="74"/>
      <x:c r="M552" s="91"/>
      <x:c r="N552" s="91"/>
      <x:c r="O552" s="85"/>
      <x:c r="P552" s="85"/>
      <x:c r="Q552" s="85"/>
      <x:c r="R552" s="85"/>
      <x:c r="S552" s="85"/>
      <x:c r="T552" s="85"/>
      <x:c r="U552" s="85"/>
      <x:c r="W552" s="86"/>
      <x:c r="X552" s="86"/>
      <x:c r="Y552" s="32"/>
    </x:row>
    <x:row r="553">
      <x:c r="A553" s="87"/>
      <x:c r="B553" s="88"/>
      <x:c r="D553" s="32"/>
      <x:c r="G553" s="74"/>
      <x:c r="H553" s="74"/>
      <x:c r="I553" s="74"/>
      <x:c r="J553" s="74"/>
      <x:c r="K553" s="74"/>
      <x:c r="L553" s="74"/>
      <x:c r="M553" s="91"/>
      <x:c r="N553" s="91"/>
      <x:c r="O553" s="85"/>
      <x:c r="P553" s="85"/>
      <x:c r="Q553" s="85"/>
      <x:c r="R553" s="85"/>
      <x:c r="S553" s="85"/>
      <x:c r="T553" s="85"/>
      <x:c r="U553" s="85"/>
      <x:c r="W553" s="86"/>
      <x:c r="X553" s="86"/>
      <x:c r="Y553" s="32"/>
    </x:row>
    <x:row r="554">
      <x:c r="A554" s="87"/>
      <x:c r="B554" s="88"/>
      <x:c r="D554" s="32"/>
      <x:c r="G554" s="74"/>
      <x:c r="H554" s="74"/>
      <x:c r="I554" s="74"/>
      <x:c r="J554" s="74"/>
      <x:c r="K554" s="74"/>
      <x:c r="L554" s="74"/>
      <x:c r="M554" s="91"/>
      <x:c r="N554" s="91"/>
      <x:c r="O554" s="85"/>
      <x:c r="P554" s="85"/>
      <x:c r="Q554" s="85"/>
      <x:c r="R554" s="85"/>
      <x:c r="S554" s="85"/>
      <x:c r="T554" s="85"/>
      <x:c r="U554" s="85"/>
      <x:c r="W554" s="86"/>
      <x:c r="X554" s="86"/>
      <x:c r="Y554" s="32"/>
    </x:row>
    <x:row r="555">
      <x:c r="A555" s="87"/>
      <x:c r="B555" s="88"/>
      <x:c r="D555" s="32"/>
      <x:c r="G555" s="74"/>
      <x:c r="H555" s="74"/>
      <x:c r="I555" s="74"/>
      <x:c r="J555" s="74"/>
      <x:c r="K555" s="74"/>
      <x:c r="L555" s="74"/>
      <x:c r="M555" s="91"/>
      <x:c r="N555" s="91"/>
      <x:c r="O555" s="85"/>
      <x:c r="P555" s="85"/>
      <x:c r="Q555" s="85"/>
      <x:c r="R555" s="85"/>
      <x:c r="S555" s="85"/>
      <x:c r="T555" s="85"/>
      <x:c r="U555" s="85"/>
      <x:c r="W555" s="86"/>
      <x:c r="X555" s="86"/>
      <x:c r="Y555" s="32"/>
    </x:row>
    <x:row r="556">
      <x:c r="A556" s="87"/>
      <x:c r="B556" s="88"/>
      <x:c r="D556" s="32"/>
      <x:c r="G556" s="74"/>
      <x:c r="H556" s="74"/>
      <x:c r="I556" s="74"/>
      <x:c r="J556" s="74"/>
      <x:c r="K556" s="74"/>
      <x:c r="L556" s="74"/>
      <x:c r="M556" s="91"/>
      <x:c r="N556" s="91"/>
      <x:c r="O556" s="85"/>
      <x:c r="P556" s="85"/>
      <x:c r="Q556" s="85"/>
      <x:c r="R556" s="85"/>
      <x:c r="S556" s="85"/>
      <x:c r="T556" s="85"/>
      <x:c r="U556" s="85"/>
      <x:c r="W556" s="86"/>
      <x:c r="X556" s="86"/>
      <x:c r="Y556" s="32"/>
    </x:row>
    <x:row r="557">
      <x:c r="A557" s="87"/>
      <x:c r="B557" s="88"/>
      <x:c r="D557" s="32"/>
      <x:c r="G557" s="74"/>
      <x:c r="H557" s="74"/>
      <x:c r="I557" s="74"/>
      <x:c r="J557" s="74"/>
      <x:c r="K557" s="74"/>
      <x:c r="L557" s="74"/>
      <x:c r="M557" s="91"/>
      <x:c r="N557" s="91"/>
      <x:c r="O557" s="85"/>
      <x:c r="P557" s="85"/>
      <x:c r="Q557" s="85"/>
      <x:c r="R557" s="85"/>
      <x:c r="S557" s="85"/>
      <x:c r="T557" s="85"/>
      <x:c r="U557" s="85"/>
      <x:c r="W557" s="86"/>
      <x:c r="X557" s="86"/>
      <x:c r="Y557" s="32"/>
    </x:row>
    <x:row r="558">
      <x:c r="A558" s="87"/>
      <x:c r="B558" s="88"/>
      <x:c r="D558" s="32"/>
      <x:c r="G558" s="74"/>
      <x:c r="H558" s="74"/>
      <x:c r="I558" s="74"/>
      <x:c r="J558" s="74"/>
      <x:c r="K558" s="74"/>
      <x:c r="L558" s="74"/>
      <x:c r="M558" s="91"/>
      <x:c r="N558" s="91"/>
      <x:c r="O558" s="85"/>
      <x:c r="P558" s="85"/>
      <x:c r="Q558" s="85"/>
      <x:c r="R558" s="85"/>
      <x:c r="S558" s="85"/>
      <x:c r="T558" s="85"/>
      <x:c r="U558" s="85"/>
      <x:c r="W558" s="86"/>
      <x:c r="X558" s="86"/>
      <x:c r="Y558" s="32"/>
    </x:row>
    <x:row r="559">
      <x:c r="A559" s="87"/>
      <x:c r="B559" s="88"/>
      <x:c r="D559" s="32"/>
      <x:c r="G559" s="74"/>
      <x:c r="H559" s="74"/>
      <x:c r="I559" s="74"/>
      <x:c r="J559" s="74"/>
      <x:c r="K559" s="74"/>
      <x:c r="L559" s="74"/>
      <x:c r="M559" s="91"/>
      <x:c r="N559" s="91"/>
      <x:c r="O559" s="85"/>
      <x:c r="P559" s="85"/>
      <x:c r="Q559" s="85"/>
      <x:c r="R559" s="85"/>
      <x:c r="S559" s="85"/>
      <x:c r="T559" s="85"/>
      <x:c r="U559" s="85"/>
      <x:c r="W559" s="86"/>
      <x:c r="X559" s="86"/>
      <x:c r="Y559" s="32"/>
    </x:row>
    <x:row r="560">
      <x:c r="A560" s="87"/>
      <x:c r="B560" s="88"/>
      <x:c r="D560" s="32"/>
      <x:c r="G560" s="74"/>
      <x:c r="H560" s="74"/>
      <x:c r="I560" s="74"/>
      <x:c r="J560" s="74"/>
      <x:c r="K560" s="74"/>
      <x:c r="L560" s="74"/>
      <x:c r="M560" s="91"/>
      <x:c r="N560" s="91"/>
      <x:c r="O560" s="85"/>
      <x:c r="P560" s="85"/>
      <x:c r="Q560" s="85"/>
      <x:c r="R560" s="85"/>
      <x:c r="S560" s="85"/>
      <x:c r="T560" s="85"/>
      <x:c r="U560" s="85"/>
      <x:c r="W560" s="86"/>
      <x:c r="X560" s="86"/>
      <x:c r="Y560" s="32"/>
    </x:row>
    <x:row r="561">
      <x:c r="A561" s="87"/>
      <x:c r="B561" s="88"/>
      <x:c r="D561" s="32"/>
      <x:c r="G561" s="74"/>
      <x:c r="H561" s="74"/>
      <x:c r="I561" s="74"/>
      <x:c r="J561" s="74"/>
      <x:c r="K561" s="74"/>
      <x:c r="L561" s="74"/>
      <x:c r="M561" s="91"/>
      <x:c r="N561" s="91"/>
      <x:c r="O561" s="85"/>
      <x:c r="P561" s="85"/>
      <x:c r="Q561" s="85"/>
      <x:c r="R561" s="85"/>
      <x:c r="S561" s="85"/>
      <x:c r="T561" s="85"/>
      <x:c r="U561" s="85"/>
      <x:c r="W561" s="86"/>
      <x:c r="X561" s="86"/>
      <x:c r="Y561" s="32"/>
    </x:row>
    <x:row r="562">
      <x:c r="A562" s="87"/>
      <x:c r="B562" s="88"/>
      <x:c r="D562" s="32"/>
      <x:c r="G562" s="74"/>
      <x:c r="H562" s="74"/>
      <x:c r="I562" s="74"/>
      <x:c r="J562" s="74"/>
      <x:c r="K562" s="74"/>
      <x:c r="L562" s="74"/>
      <x:c r="M562" s="91"/>
      <x:c r="N562" s="91"/>
      <x:c r="O562" s="85"/>
      <x:c r="P562" s="85"/>
      <x:c r="Q562" s="85"/>
      <x:c r="R562" s="85"/>
      <x:c r="S562" s="85"/>
      <x:c r="T562" s="85"/>
      <x:c r="U562" s="85"/>
      <x:c r="W562" s="86"/>
      <x:c r="X562" s="86"/>
      <x:c r="Y562" s="32"/>
    </x:row>
    <x:row r="563">
      <x:c r="A563" s="87"/>
      <x:c r="B563" s="88"/>
      <x:c r="D563" s="32"/>
      <x:c r="G563" s="74"/>
      <x:c r="H563" s="74"/>
      <x:c r="I563" s="74"/>
      <x:c r="J563" s="74"/>
      <x:c r="K563" s="74"/>
      <x:c r="L563" s="74"/>
      <x:c r="M563" s="91"/>
      <x:c r="N563" s="91"/>
      <x:c r="O563" s="85"/>
      <x:c r="P563" s="85"/>
      <x:c r="Q563" s="85"/>
      <x:c r="R563" s="85"/>
      <x:c r="S563" s="85"/>
      <x:c r="T563" s="85"/>
      <x:c r="U563" s="85"/>
      <x:c r="W563" s="86"/>
      <x:c r="X563" s="86"/>
      <x:c r="Y563" s="32"/>
    </x:row>
    <x:row r="564">
      <x:c r="A564" s="87"/>
      <x:c r="B564" s="88"/>
      <x:c r="D564" s="32"/>
      <x:c r="G564" s="74"/>
      <x:c r="H564" s="74"/>
      <x:c r="I564" s="74"/>
      <x:c r="J564" s="74"/>
      <x:c r="K564" s="74"/>
      <x:c r="L564" s="74"/>
      <x:c r="M564" s="91"/>
      <x:c r="N564" s="91"/>
      <x:c r="O564" s="85"/>
      <x:c r="P564" s="85"/>
      <x:c r="Q564" s="85"/>
      <x:c r="R564" s="85"/>
      <x:c r="S564" s="85"/>
      <x:c r="T564" s="85"/>
      <x:c r="U564" s="85"/>
      <x:c r="W564" s="86"/>
      <x:c r="X564" s="86"/>
      <x:c r="Y564" s="32"/>
    </x:row>
    <x:row r="565">
      <x:c r="A565" s="87"/>
      <x:c r="B565" s="88"/>
      <x:c r="D565" s="32"/>
      <x:c r="G565" s="74"/>
      <x:c r="H565" s="74"/>
      <x:c r="I565" s="74"/>
      <x:c r="J565" s="74"/>
      <x:c r="K565" s="74"/>
      <x:c r="L565" s="74"/>
      <x:c r="M565" s="91"/>
      <x:c r="N565" s="91"/>
      <x:c r="O565" s="85"/>
      <x:c r="P565" s="85"/>
      <x:c r="Q565" s="85"/>
      <x:c r="R565" s="85"/>
      <x:c r="S565" s="85"/>
      <x:c r="T565" s="85"/>
      <x:c r="U565" s="85"/>
      <x:c r="W565" s="86"/>
      <x:c r="X565" s="86"/>
      <x:c r="Y565" s="32"/>
    </x:row>
    <x:row r="566">
      <x:c r="A566" s="87"/>
      <x:c r="B566" s="88"/>
      <x:c r="D566" s="32"/>
      <x:c r="G566" s="74"/>
      <x:c r="H566" s="74"/>
      <x:c r="I566" s="74"/>
      <x:c r="J566" s="74"/>
      <x:c r="K566" s="74"/>
      <x:c r="L566" s="74"/>
      <x:c r="M566" s="91"/>
      <x:c r="N566" s="91"/>
      <x:c r="O566" s="85"/>
      <x:c r="P566" s="85"/>
      <x:c r="Q566" s="85"/>
      <x:c r="R566" s="85"/>
      <x:c r="S566" s="85"/>
      <x:c r="T566" s="85"/>
      <x:c r="U566" s="85"/>
      <x:c r="W566" s="86"/>
      <x:c r="X566" s="86"/>
      <x:c r="Y566" s="32"/>
    </x:row>
    <x:row r="567">
      <x:c r="A567" s="87"/>
      <x:c r="B567" s="88"/>
      <x:c r="D567" s="32"/>
      <x:c r="G567" s="74"/>
      <x:c r="H567" s="74"/>
      <x:c r="I567" s="74"/>
      <x:c r="J567" s="74"/>
      <x:c r="K567" s="74"/>
      <x:c r="L567" s="74"/>
      <x:c r="M567" s="91"/>
      <x:c r="N567" s="91"/>
      <x:c r="O567" s="85"/>
      <x:c r="P567" s="85"/>
      <x:c r="Q567" s="85"/>
      <x:c r="R567" s="85"/>
      <x:c r="S567" s="85"/>
      <x:c r="T567" s="85"/>
      <x:c r="U567" s="85"/>
      <x:c r="W567" s="86"/>
      <x:c r="X567" s="86"/>
      <x:c r="Y567" s="32"/>
    </x:row>
    <x:row r="568">
      <x:c r="A568" s="87"/>
      <x:c r="B568" s="88"/>
      <x:c r="D568" s="32"/>
      <x:c r="G568" s="74"/>
      <x:c r="H568" s="74"/>
      <x:c r="I568" s="74"/>
      <x:c r="J568" s="74"/>
      <x:c r="K568" s="74"/>
      <x:c r="L568" s="74"/>
      <x:c r="M568" s="91"/>
      <x:c r="N568" s="91"/>
      <x:c r="O568" s="85"/>
      <x:c r="P568" s="85"/>
      <x:c r="Q568" s="85"/>
      <x:c r="R568" s="85"/>
      <x:c r="S568" s="85"/>
      <x:c r="T568" s="85"/>
      <x:c r="U568" s="85"/>
      <x:c r="W568" s="86"/>
      <x:c r="X568" s="86"/>
      <x:c r="Y568" s="32"/>
    </x:row>
    <x:row r="569">
      <x:c r="A569" s="87"/>
      <x:c r="B569" s="88"/>
      <x:c r="D569" s="32"/>
      <x:c r="G569" s="74"/>
      <x:c r="H569" s="74"/>
      <x:c r="I569" s="74"/>
      <x:c r="J569" s="74"/>
      <x:c r="K569" s="74"/>
      <x:c r="L569" s="74"/>
      <x:c r="M569" s="91"/>
      <x:c r="N569" s="91"/>
      <x:c r="O569" s="85"/>
      <x:c r="P569" s="85"/>
      <x:c r="Q569" s="85"/>
      <x:c r="R569" s="85"/>
      <x:c r="S569" s="85"/>
      <x:c r="T569" s="85"/>
      <x:c r="U569" s="85"/>
      <x:c r="W569" s="86"/>
      <x:c r="X569" s="86"/>
      <x:c r="Y569" s="32"/>
    </x:row>
    <x:row r="570">
      <x:c r="A570" s="87"/>
      <x:c r="B570" s="88"/>
      <x:c r="D570" s="32"/>
      <x:c r="G570" s="74"/>
      <x:c r="H570" s="74"/>
      <x:c r="I570" s="74"/>
      <x:c r="J570" s="74"/>
      <x:c r="K570" s="74"/>
      <x:c r="L570" s="74"/>
      <x:c r="M570" s="91"/>
      <x:c r="N570" s="91"/>
      <x:c r="O570" s="85"/>
      <x:c r="P570" s="85"/>
      <x:c r="Q570" s="85"/>
      <x:c r="R570" s="85"/>
      <x:c r="S570" s="85"/>
      <x:c r="T570" s="85"/>
      <x:c r="U570" s="85"/>
      <x:c r="W570" s="86"/>
      <x:c r="X570" s="86"/>
      <x:c r="Y570" s="32"/>
    </x:row>
    <x:row r="571">
      <x:c r="A571" s="87"/>
      <x:c r="B571" s="88"/>
      <x:c r="D571" s="32"/>
      <x:c r="G571" s="74"/>
      <x:c r="H571" s="74"/>
      <x:c r="I571" s="74"/>
      <x:c r="J571" s="74"/>
      <x:c r="K571" s="74"/>
      <x:c r="L571" s="74"/>
      <x:c r="M571" s="91"/>
      <x:c r="N571" s="91"/>
      <x:c r="O571" s="85"/>
      <x:c r="P571" s="85"/>
      <x:c r="Q571" s="85"/>
      <x:c r="R571" s="85"/>
      <x:c r="S571" s="85"/>
      <x:c r="T571" s="85"/>
      <x:c r="U571" s="85"/>
      <x:c r="W571" s="86"/>
      <x:c r="X571" s="86"/>
      <x:c r="Y571" s="32"/>
    </x:row>
    <x:row r="572">
      <x:c r="A572" s="87"/>
      <x:c r="B572" s="88"/>
      <x:c r="D572" s="32"/>
      <x:c r="G572" s="74"/>
      <x:c r="H572" s="74"/>
      <x:c r="I572" s="74"/>
      <x:c r="J572" s="74"/>
      <x:c r="K572" s="74"/>
      <x:c r="L572" s="74"/>
      <x:c r="M572" s="91"/>
      <x:c r="N572" s="91"/>
      <x:c r="O572" s="85"/>
      <x:c r="P572" s="85"/>
      <x:c r="Q572" s="85"/>
      <x:c r="R572" s="85"/>
      <x:c r="S572" s="85"/>
      <x:c r="T572" s="85"/>
      <x:c r="U572" s="85"/>
      <x:c r="W572" s="86"/>
      <x:c r="X572" s="86"/>
      <x:c r="Y572" s="32"/>
    </x:row>
    <x:row r="573">
      <x:c r="A573" s="87"/>
      <x:c r="B573" s="88"/>
      <x:c r="D573" s="32"/>
      <x:c r="G573" s="74"/>
      <x:c r="H573" s="74"/>
      <x:c r="I573" s="74"/>
      <x:c r="J573" s="74"/>
      <x:c r="K573" s="74"/>
      <x:c r="L573" s="74"/>
      <x:c r="M573" s="91"/>
      <x:c r="N573" s="91"/>
      <x:c r="O573" s="85"/>
      <x:c r="P573" s="85"/>
      <x:c r="Q573" s="85"/>
      <x:c r="R573" s="85"/>
      <x:c r="S573" s="85"/>
      <x:c r="T573" s="85"/>
      <x:c r="U573" s="85"/>
      <x:c r="W573" s="86"/>
      <x:c r="X573" s="86"/>
      <x:c r="Y573" s="32"/>
    </x:row>
    <x:row r="574">
      <x:c r="A574" s="87"/>
      <x:c r="B574" s="88"/>
      <x:c r="D574" s="32"/>
      <x:c r="G574" s="74"/>
      <x:c r="H574" s="74"/>
      <x:c r="I574" s="74"/>
      <x:c r="J574" s="74"/>
      <x:c r="K574" s="74"/>
      <x:c r="L574" s="74"/>
      <x:c r="M574" s="91"/>
      <x:c r="N574" s="91"/>
      <x:c r="O574" s="85"/>
      <x:c r="P574" s="85"/>
      <x:c r="Q574" s="85"/>
      <x:c r="R574" s="85"/>
      <x:c r="S574" s="85"/>
      <x:c r="T574" s="85"/>
      <x:c r="U574" s="85"/>
      <x:c r="W574" s="86"/>
      <x:c r="X574" s="86"/>
      <x:c r="Y574" s="32"/>
    </x:row>
    <x:row r="575">
      <x:c r="A575" s="87"/>
      <x:c r="B575" s="88"/>
      <x:c r="D575" s="32"/>
      <x:c r="G575" s="74"/>
      <x:c r="H575" s="74"/>
      <x:c r="I575" s="74"/>
      <x:c r="J575" s="74"/>
      <x:c r="K575" s="74"/>
      <x:c r="L575" s="74"/>
      <x:c r="M575" s="91"/>
      <x:c r="N575" s="91"/>
      <x:c r="O575" s="85"/>
      <x:c r="P575" s="85"/>
      <x:c r="Q575" s="85"/>
      <x:c r="R575" s="85"/>
      <x:c r="S575" s="85"/>
      <x:c r="T575" s="85"/>
      <x:c r="U575" s="85"/>
      <x:c r="W575" s="86"/>
      <x:c r="X575" s="86"/>
      <x:c r="Y575" s="32"/>
    </x:row>
    <x:row r="576">
      <x:c r="A576" s="87"/>
      <x:c r="B576" s="88"/>
      <x:c r="D576" s="32"/>
      <x:c r="G576" s="74"/>
      <x:c r="H576" s="74"/>
      <x:c r="I576" s="74"/>
      <x:c r="J576" s="74"/>
      <x:c r="K576" s="74"/>
      <x:c r="L576" s="74"/>
      <x:c r="M576" s="91"/>
      <x:c r="N576" s="91"/>
      <x:c r="O576" s="85"/>
      <x:c r="P576" s="85"/>
      <x:c r="Q576" s="85"/>
      <x:c r="R576" s="85"/>
      <x:c r="S576" s="85"/>
      <x:c r="T576" s="85"/>
      <x:c r="U576" s="85"/>
      <x:c r="W576" s="86"/>
      <x:c r="X576" s="86"/>
      <x:c r="Y576" s="32"/>
    </x:row>
    <x:row r="577">
      <x:c r="A577" s="87"/>
      <x:c r="B577" s="88"/>
      <x:c r="D577" s="32"/>
      <x:c r="G577" s="74"/>
      <x:c r="H577" s="74"/>
      <x:c r="I577" s="74"/>
      <x:c r="J577" s="74"/>
      <x:c r="K577" s="74"/>
      <x:c r="L577" s="74"/>
      <x:c r="M577" s="91"/>
      <x:c r="N577" s="91"/>
      <x:c r="O577" s="85"/>
      <x:c r="P577" s="85"/>
      <x:c r="Q577" s="85"/>
      <x:c r="R577" s="85"/>
      <x:c r="S577" s="85"/>
      <x:c r="T577" s="85"/>
      <x:c r="U577" s="85"/>
      <x:c r="W577" s="86"/>
      <x:c r="X577" s="86"/>
      <x:c r="Y577" s="32"/>
    </x:row>
    <x:row r="578">
      <x:c r="A578" s="87"/>
      <x:c r="B578" s="88"/>
      <x:c r="D578" s="32"/>
      <x:c r="G578" s="74"/>
      <x:c r="H578" s="74"/>
      <x:c r="I578" s="74"/>
      <x:c r="J578" s="74"/>
      <x:c r="K578" s="74"/>
      <x:c r="L578" s="74"/>
      <x:c r="M578" s="91"/>
      <x:c r="N578" s="91"/>
      <x:c r="O578" s="85"/>
      <x:c r="P578" s="85"/>
      <x:c r="Q578" s="85"/>
      <x:c r="R578" s="85"/>
      <x:c r="S578" s="85"/>
      <x:c r="T578" s="85"/>
      <x:c r="U578" s="85"/>
      <x:c r="W578" s="86"/>
      <x:c r="X578" s="86"/>
      <x:c r="Y578" s="32"/>
    </x:row>
    <x:row r="579">
      <x:c r="A579" s="87"/>
      <x:c r="B579" s="88"/>
      <x:c r="D579" s="32"/>
      <x:c r="G579" s="74"/>
      <x:c r="H579" s="74"/>
      <x:c r="I579" s="74"/>
      <x:c r="J579" s="74"/>
      <x:c r="K579" s="74"/>
      <x:c r="L579" s="74"/>
      <x:c r="M579" s="91"/>
      <x:c r="N579" s="91"/>
      <x:c r="O579" s="85"/>
      <x:c r="P579" s="85"/>
      <x:c r="Q579" s="85"/>
      <x:c r="R579" s="85"/>
      <x:c r="S579" s="85"/>
      <x:c r="T579" s="85"/>
      <x:c r="U579" s="85"/>
      <x:c r="W579" s="86"/>
      <x:c r="X579" s="86"/>
      <x:c r="Y579" s="32"/>
    </x:row>
    <x:row r="580">
      <x:c r="A580" s="87"/>
      <x:c r="B580" s="88"/>
      <x:c r="D580" s="32"/>
      <x:c r="G580" s="74"/>
      <x:c r="H580" s="74"/>
      <x:c r="I580" s="74"/>
      <x:c r="J580" s="74"/>
      <x:c r="K580" s="74"/>
      <x:c r="L580" s="74"/>
      <x:c r="M580" s="91"/>
      <x:c r="N580" s="91"/>
      <x:c r="O580" s="85"/>
      <x:c r="P580" s="85"/>
      <x:c r="Q580" s="85"/>
      <x:c r="R580" s="85"/>
      <x:c r="S580" s="85"/>
      <x:c r="T580" s="85"/>
      <x:c r="U580" s="85"/>
      <x:c r="W580" s="86"/>
      <x:c r="X580" s="86"/>
      <x:c r="Y580" s="32"/>
    </x:row>
    <x:row r="581">
      <x:c r="A581" s="87"/>
      <x:c r="B581" s="88"/>
      <x:c r="D581" s="32"/>
      <x:c r="G581" s="74"/>
      <x:c r="H581" s="74"/>
      <x:c r="I581" s="74"/>
      <x:c r="J581" s="74"/>
      <x:c r="K581" s="74"/>
      <x:c r="L581" s="74"/>
      <x:c r="M581" s="91"/>
      <x:c r="N581" s="91"/>
      <x:c r="O581" s="85"/>
      <x:c r="P581" s="85"/>
      <x:c r="Q581" s="85"/>
      <x:c r="R581" s="85"/>
      <x:c r="S581" s="85"/>
      <x:c r="T581" s="85"/>
      <x:c r="U581" s="85"/>
      <x:c r="W581" s="86"/>
      <x:c r="X581" s="86"/>
      <x:c r="Y581" s="32"/>
    </x:row>
    <x:row r="582">
      <x:c r="A582" s="87"/>
      <x:c r="B582" s="88"/>
      <x:c r="D582" s="32"/>
      <x:c r="G582" s="74"/>
      <x:c r="H582" s="74"/>
      <x:c r="I582" s="74"/>
      <x:c r="J582" s="74"/>
      <x:c r="K582" s="74"/>
      <x:c r="L582" s="74"/>
      <x:c r="M582" s="91"/>
      <x:c r="N582" s="91"/>
      <x:c r="O582" s="85"/>
      <x:c r="P582" s="85"/>
      <x:c r="Q582" s="85"/>
      <x:c r="R582" s="85"/>
      <x:c r="S582" s="85"/>
      <x:c r="T582" s="85"/>
      <x:c r="U582" s="85"/>
      <x:c r="W582" s="86"/>
      <x:c r="X582" s="86"/>
      <x:c r="Y582" s="32"/>
    </x:row>
    <x:row r="583">
      <x:c r="A583" s="87"/>
      <x:c r="B583" s="88"/>
      <x:c r="D583" s="32"/>
      <x:c r="G583" s="74"/>
      <x:c r="H583" s="74"/>
      <x:c r="I583" s="74"/>
      <x:c r="J583" s="74"/>
      <x:c r="K583" s="74"/>
      <x:c r="L583" s="74"/>
      <x:c r="M583" s="91"/>
      <x:c r="N583" s="91"/>
      <x:c r="O583" s="85"/>
      <x:c r="P583" s="85"/>
      <x:c r="Q583" s="85"/>
      <x:c r="R583" s="85"/>
      <x:c r="S583" s="85"/>
      <x:c r="T583" s="85"/>
      <x:c r="U583" s="85"/>
      <x:c r="W583" s="86"/>
      <x:c r="X583" s="86"/>
      <x:c r="Y583" s="32"/>
    </x:row>
    <x:row r="584">
      <x:c r="A584" s="87"/>
      <x:c r="B584" s="88"/>
      <x:c r="D584" s="32"/>
      <x:c r="G584" s="74"/>
      <x:c r="H584" s="74"/>
      <x:c r="I584" s="74"/>
      <x:c r="J584" s="74"/>
      <x:c r="K584" s="74"/>
      <x:c r="L584" s="74"/>
      <x:c r="M584" s="91"/>
      <x:c r="N584" s="91"/>
      <x:c r="O584" s="85"/>
      <x:c r="P584" s="85"/>
      <x:c r="Q584" s="85"/>
      <x:c r="R584" s="85"/>
      <x:c r="S584" s="85"/>
      <x:c r="T584" s="85"/>
      <x:c r="U584" s="85"/>
      <x:c r="W584" s="86"/>
      <x:c r="X584" s="86"/>
      <x:c r="Y584" s="32"/>
    </x:row>
    <x:row r="585">
      <x:c r="A585" s="87"/>
      <x:c r="B585" s="88"/>
      <x:c r="D585" s="32"/>
      <x:c r="G585" s="74"/>
      <x:c r="H585" s="74"/>
      <x:c r="I585" s="74"/>
      <x:c r="J585" s="74"/>
      <x:c r="K585" s="74"/>
      <x:c r="L585" s="74"/>
      <x:c r="M585" s="91"/>
      <x:c r="N585" s="91"/>
      <x:c r="O585" s="85"/>
      <x:c r="P585" s="85"/>
      <x:c r="Q585" s="85"/>
      <x:c r="R585" s="85"/>
      <x:c r="S585" s="85"/>
      <x:c r="T585" s="85"/>
      <x:c r="U585" s="85"/>
      <x:c r="W585" s="86"/>
      <x:c r="X585" s="86"/>
      <x:c r="Y585" s="32"/>
    </x:row>
    <x:row r="586">
      <x:c r="A586" s="87"/>
      <x:c r="B586" s="88"/>
      <x:c r="D586" s="32"/>
      <x:c r="G586" s="74"/>
      <x:c r="H586" s="74"/>
      <x:c r="I586" s="74"/>
      <x:c r="J586" s="74"/>
      <x:c r="K586" s="74"/>
      <x:c r="L586" s="74"/>
      <x:c r="M586" s="91"/>
      <x:c r="N586" s="91"/>
      <x:c r="O586" s="85"/>
      <x:c r="P586" s="85"/>
      <x:c r="Q586" s="85"/>
      <x:c r="R586" s="85"/>
      <x:c r="S586" s="85"/>
      <x:c r="T586" s="85"/>
      <x:c r="U586" s="85"/>
      <x:c r="W586" s="86"/>
      <x:c r="X586" s="86"/>
      <x:c r="Y586" s="32"/>
    </x:row>
    <x:row r="587">
      <x:c r="A587" s="87"/>
      <x:c r="B587" s="88"/>
      <x:c r="D587" s="32"/>
      <x:c r="G587" s="74"/>
      <x:c r="H587" s="74"/>
      <x:c r="I587" s="74"/>
      <x:c r="J587" s="74"/>
      <x:c r="K587" s="74"/>
      <x:c r="L587" s="74"/>
      <x:c r="M587" s="91"/>
      <x:c r="N587" s="91"/>
      <x:c r="O587" s="85"/>
      <x:c r="P587" s="85"/>
      <x:c r="Q587" s="85"/>
      <x:c r="R587" s="85"/>
      <x:c r="S587" s="85"/>
      <x:c r="T587" s="85"/>
      <x:c r="U587" s="85"/>
      <x:c r="W587" s="86"/>
      <x:c r="X587" s="86"/>
      <x:c r="Y587" s="32"/>
    </x:row>
    <x:row r="588">
      <x:c r="A588" s="87"/>
      <x:c r="B588" s="88"/>
      <x:c r="D588" s="32"/>
      <x:c r="G588" s="74"/>
      <x:c r="H588" s="74"/>
      <x:c r="I588" s="74"/>
      <x:c r="J588" s="74"/>
      <x:c r="K588" s="74"/>
      <x:c r="L588" s="74"/>
      <x:c r="M588" s="91"/>
      <x:c r="N588" s="91"/>
      <x:c r="O588" s="85"/>
      <x:c r="P588" s="85"/>
      <x:c r="Q588" s="85"/>
      <x:c r="R588" s="85"/>
      <x:c r="S588" s="85"/>
      <x:c r="T588" s="85"/>
      <x:c r="U588" s="85"/>
      <x:c r="W588" s="86"/>
      <x:c r="X588" s="86"/>
      <x:c r="Y588" s="32"/>
    </x:row>
    <x:row r="589">
      <x:c r="A589" s="87"/>
      <x:c r="B589" s="88"/>
      <x:c r="D589" s="32"/>
      <x:c r="G589" s="74"/>
      <x:c r="H589" s="74"/>
      <x:c r="I589" s="74"/>
      <x:c r="J589" s="74"/>
      <x:c r="K589" s="74"/>
      <x:c r="L589" s="74"/>
      <x:c r="M589" s="91"/>
      <x:c r="N589" s="91"/>
      <x:c r="O589" s="85"/>
      <x:c r="P589" s="85"/>
      <x:c r="Q589" s="85"/>
      <x:c r="R589" s="85"/>
      <x:c r="S589" s="85"/>
      <x:c r="T589" s="85"/>
      <x:c r="U589" s="85"/>
      <x:c r="W589" s="86"/>
      <x:c r="X589" s="86"/>
      <x:c r="Y589" s="32"/>
    </x:row>
    <x:row r="590">
      <x:c r="A590" s="87"/>
      <x:c r="B590" s="88"/>
      <x:c r="D590" s="32"/>
      <x:c r="G590" s="74"/>
      <x:c r="H590" s="74"/>
      <x:c r="I590" s="74"/>
      <x:c r="J590" s="74"/>
      <x:c r="K590" s="74"/>
      <x:c r="L590" s="74"/>
      <x:c r="M590" s="91"/>
      <x:c r="N590" s="91"/>
      <x:c r="O590" s="85"/>
      <x:c r="P590" s="85"/>
      <x:c r="Q590" s="85"/>
      <x:c r="R590" s="85"/>
      <x:c r="S590" s="85"/>
      <x:c r="T590" s="85"/>
      <x:c r="U590" s="85"/>
      <x:c r="W590" s="86"/>
      <x:c r="X590" s="86"/>
      <x:c r="Y590" s="32"/>
    </x:row>
    <x:row r="591">
      <x:c r="A591" s="87"/>
      <x:c r="B591" s="88"/>
      <x:c r="D591" s="32"/>
      <x:c r="G591" s="74"/>
      <x:c r="H591" s="74"/>
      <x:c r="I591" s="74"/>
      <x:c r="J591" s="74"/>
      <x:c r="K591" s="74"/>
      <x:c r="L591" s="74"/>
      <x:c r="M591" s="91"/>
      <x:c r="N591" s="91"/>
      <x:c r="O591" s="85"/>
      <x:c r="P591" s="85"/>
      <x:c r="Q591" s="85"/>
      <x:c r="R591" s="85"/>
      <x:c r="S591" s="85"/>
      <x:c r="T591" s="85"/>
      <x:c r="U591" s="85"/>
      <x:c r="W591" s="86"/>
      <x:c r="X591" s="86"/>
      <x:c r="Y591" s="32"/>
    </x:row>
    <x:row r="592">
      <x:c r="A592" s="87"/>
      <x:c r="B592" s="88"/>
      <x:c r="D592" s="32"/>
      <x:c r="G592" s="74"/>
      <x:c r="H592" s="74"/>
      <x:c r="I592" s="74"/>
      <x:c r="J592" s="74"/>
      <x:c r="K592" s="74"/>
      <x:c r="L592" s="74"/>
      <x:c r="M592" s="91"/>
      <x:c r="N592" s="91"/>
      <x:c r="O592" s="85"/>
      <x:c r="P592" s="85"/>
      <x:c r="Q592" s="85"/>
      <x:c r="R592" s="85"/>
      <x:c r="S592" s="85"/>
      <x:c r="T592" s="85"/>
      <x:c r="U592" s="85"/>
      <x:c r="W592" s="86"/>
      <x:c r="X592" s="86"/>
      <x:c r="Y592" s="32"/>
    </x:row>
    <x:row r="593">
      <x:c r="A593" s="87"/>
      <x:c r="B593" s="88"/>
      <x:c r="D593" s="32"/>
      <x:c r="G593" s="74"/>
      <x:c r="H593" s="74"/>
      <x:c r="I593" s="74"/>
      <x:c r="J593" s="74"/>
      <x:c r="K593" s="74"/>
      <x:c r="L593" s="74"/>
      <x:c r="M593" s="91"/>
      <x:c r="N593" s="91"/>
      <x:c r="O593" s="85"/>
      <x:c r="P593" s="85"/>
      <x:c r="Q593" s="85"/>
      <x:c r="R593" s="85"/>
      <x:c r="S593" s="85"/>
      <x:c r="T593" s="85"/>
      <x:c r="U593" s="85"/>
      <x:c r="W593" s="86"/>
      <x:c r="X593" s="86"/>
      <x:c r="Y593" s="32"/>
    </x:row>
    <x:row r="594">
      <x:c r="A594" s="87"/>
      <x:c r="B594" s="88"/>
      <x:c r="D594" s="32"/>
      <x:c r="G594" s="74"/>
      <x:c r="H594" s="74"/>
      <x:c r="I594" s="74"/>
      <x:c r="J594" s="74"/>
      <x:c r="K594" s="74"/>
      <x:c r="L594" s="74"/>
      <x:c r="M594" s="91"/>
      <x:c r="N594" s="91"/>
      <x:c r="O594" s="85"/>
      <x:c r="P594" s="85"/>
      <x:c r="Q594" s="85"/>
      <x:c r="R594" s="85"/>
      <x:c r="S594" s="85"/>
      <x:c r="T594" s="85"/>
      <x:c r="U594" s="85"/>
      <x:c r="W594" s="86"/>
      <x:c r="X594" s="86"/>
      <x:c r="Y594" s="32"/>
    </x:row>
    <x:row r="595">
      <x:c r="A595" s="87"/>
      <x:c r="B595" s="88"/>
      <x:c r="D595" s="32"/>
      <x:c r="G595" s="74"/>
      <x:c r="H595" s="74"/>
      <x:c r="I595" s="74"/>
      <x:c r="J595" s="74"/>
      <x:c r="K595" s="74"/>
      <x:c r="L595" s="74"/>
      <x:c r="M595" s="91"/>
      <x:c r="N595" s="91"/>
      <x:c r="O595" s="85"/>
      <x:c r="P595" s="85"/>
      <x:c r="Q595" s="85"/>
      <x:c r="R595" s="85"/>
      <x:c r="S595" s="85"/>
      <x:c r="T595" s="85"/>
      <x:c r="U595" s="85"/>
      <x:c r="W595" s="86"/>
      <x:c r="X595" s="86"/>
      <x:c r="Y595" s="32"/>
    </x:row>
    <x:row r="596">
      <x:c r="A596" s="87"/>
      <x:c r="B596" s="88"/>
      <x:c r="D596" s="32"/>
      <x:c r="G596" s="74"/>
      <x:c r="H596" s="74"/>
      <x:c r="I596" s="74"/>
      <x:c r="J596" s="74"/>
      <x:c r="K596" s="74"/>
      <x:c r="L596" s="74"/>
      <x:c r="M596" s="91"/>
      <x:c r="N596" s="91"/>
      <x:c r="O596" s="85"/>
      <x:c r="P596" s="85"/>
      <x:c r="Q596" s="85"/>
      <x:c r="R596" s="85"/>
      <x:c r="S596" s="85"/>
      <x:c r="T596" s="85"/>
      <x:c r="U596" s="85"/>
      <x:c r="W596" s="86"/>
      <x:c r="X596" s="86"/>
      <x:c r="Y596" s="32"/>
    </x:row>
    <x:row r="597">
      <x:c r="A597" s="87"/>
      <x:c r="B597" s="88"/>
      <x:c r="D597" s="32"/>
      <x:c r="G597" s="74"/>
      <x:c r="H597" s="74"/>
      <x:c r="I597" s="74"/>
      <x:c r="J597" s="74"/>
      <x:c r="K597" s="74"/>
      <x:c r="L597" s="74"/>
      <x:c r="M597" s="91"/>
      <x:c r="N597" s="91"/>
      <x:c r="O597" s="85"/>
      <x:c r="P597" s="85"/>
      <x:c r="Q597" s="85"/>
      <x:c r="R597" s="85"/>
      <x:c r="S597" s="85"/>
      <x:c r="T597" s="85"/>
      <x:c r="U597" s="85"/>
      <x:c r="W597" s="86"/>
      <x:c r="X597" s="86"/>
      <x:c r="Y597" s="32"/>
    </x:row>
    <x:row r="598">
      <x:c r="A598" s="87"/>
      <x:c r="B598" s="88"/>
      <x:c r="D598" s="32"/>
      <x:c r="G598" s="74"/>
      <x:c r="H598" s="74"/>
      <x:c r="I598" s="74"/>
      <x:c r="J598" s="74"/>
      <x:c r="K598" s="74"/>
      <x:c r="L598" s="74"/>
      <x:c r="M598" s="91"/>
      <x:c r="N598" s="91"/>
      <x:c r="O598" s="85"/>
      <x:c r="P598" s="85"/>
      <x:c r="Q598" s="85"/>
      <x:c r="R598" s="85"/>
      <x:c r="S598" s="85"/>
      <x:c r="T598" s="85"/>
      <x:c r="U598" s="85"/>
      <x:c r="W598" s="86"/>
      <x:c r="X598" s="86"/>
      <x:c r="Y598" s="32"/>
    </x:row>
    <x:row r="599">
      <x:c r="A599" s="87"/>
      <x:c r="B599" s="88"/>
      <x:c r="D599" s="32"/>
      <x:c r="G599" s="74"/>
      <x:c r="H599" s="74"/>
      <x:c r="I599" s="74"/>
      <x:c r="J599" s="74"/>
      <x:c r="K599" s="74"/>
      <x:c r="L599" s="74"/>
      <x:c r="M599" s="91"/>
      <x:c r="N599" s="91"/>
      <x:c r="O599" s="85"/>
      <x:c r="P599" s="85"/>
      <x:c r="Q599" s="85"/>
      <x:c r="R599" s="85"/>
      <x:c r="S599" s="85"/>
      <x:c r="T599" s="85"/>
      <x:c r="U599" s="85"/>
      <x:c r="W599" s="86"/>
      <x:c r="X599" s="86"/>
      <x:c r="Y599" s="32"/>
    </x:row>
    <x:row r="600">
      <x:c r="A600" s="87"/>
      <x:c r="B600" s="88"/>
      <x:c r="D600" s="32"/>
      <x:c r="G600" s="74"/>
      <x:c r="H600" s="74"/>
      <x:c r="I600" s="74"/>
      <x:c r="J600" s="74"/>
      <x:c r="K600" s="74"/>
      <x:c r="L600" s="74"/>
      <x:c r="M600" s="91"/>
      <x:c r="N600" s="91"/>
      <x:c r="O600" s="85"/>
      <x:c r="P600" s="85"/>
      <x:c r="Q600" s="85"/>
      <x:c r="R600" s="85"/>
      <x:c r="S600" s="85"/>
      <x:c r="T600" s="85"/>
      <x:c r="U600" s="85"/>
      <x:c r="W600" s="86"/>
      <x:c r="X600" s="86"/>
      <x:c r="Y600" s="32"/>
    </x:row>
    <x:row r="601">
      <x:c r="A601" s="87"/>
      <x:c r="B601" s="88"/>
      <x:c r="D601" s="32"/>
      <x:c r="G601" s="74"/>
      <x:c r="H601" s="74"/>
      <x:c r="I601" s="74"/>
      <x:c r="J601" s="74"/>
      <x:c r="K601" s="74"/>
      <x:c r="L601" s="74"/>
      <x:c r="M601" s="91"/>
      <x:c r="N601" s="91"/>
      <x:c r="O601" s="85"/>
      <x:c r="P601" s="85"/>
      <x:c r="Q601" s="85"/>
      <x:c r="R601" s="85"/>
      <x:c r="S601" s="85"/>
      <x:c r="T601" s="85"/>
      <x:c r="U601" s="85"/>
      <x:c r="W601" s="86"/>
      <x:c r="X601" s="86"/>
      <x:c r="Y601" s="32"/>
    </x:row>
    <x:row r="602">
      <x:c r="A602" s="87"/>
      <x:c r="B602" s="88"/>
      <x:c r="D602" s="32"/>
      <x:c r="G602" s="74"/>
      <x:c r="H602" s="74"/>
      <x:c r="I602" s="74"/>
      <x:c r="J602" s="74"/>
      <x:c r="K602" s="74"/>
      <x:c r="L602" s="74"/>
      <x:c r="M602" s="91"/>
      <x:c r="N602" s="91"/>
      <x:c r="O602" s="85"/>
      <x:c r="P602" s="85"/>
      <x:c r="Q602" s="85"/>
      <x:c r="R602" s="85"/>
      <x:c r="S602" s="85"/>
      <x:c r="T602" s="85"/>
      <x:c r="U602" s="85"/>
      <x:c r="W602" s="86"/>
      <x:c r="X602" s="86"/>
      <x:c r="Y602" s="32"/>
    </x:row>
    <x:row r="603">
      <x:c r="A603" s="87"/>
      <x:c r="B603" s="88"/>
      <x:c r="D603" s="32"/>
      <x:c r="G603" s="74"/>
      <x:c r="H603" s="74"/>
      <x:c r="I603" s="74"/>
      <x:c r="J603" s="74"/>
      <x:c r="K603" s="74"/>
      <x:c r="L603" s="74"/>
      <x:c r="M603" s="91"/>
      <x:c r="N603" s="91"/>
      <x:c r="O603" s="85"/>
      <x:c r="P603" s="85"/>
      <x:c r="Q603" s="85"/>
      <x:c r="R603" s="85"/>
      <x:c r="S603" s="85"/>
      <x:c r="T603" s="85"/>
      <x:c r="U603" s="85"/>
      <x:c r="W603" s="86"/>
      <x:c r="X603" s="86"/>
      <x:c r="Y603" s="32"/>
    </x:row>
    <x:row r="604">
      <x:c r="A604" s="87"/>
      <x:c r="B604" s="88"/>
      <x:c r="D604" s="32"/>
      <x:c r="G604" s="74"/>
      <x:c r="H604" s="74"/>
      <x:c r="I604" s="74"/>
      <x:c r="J604" s="74"/>
      <x:c r="K604" s="74"/>
      <x:c r="L604" s="74"/>
      <x:c r="M604" s="91"/>
      <x:c r="N604" s="91"/>
      <x:c r="O604" s="85"/>
      <x:c r="P604" s="85"/>
      <x:c r="Q604" s="85"/>
      <x:c r="R604" s="85"/>
      <x:c r="S604" s="85"/>
      <x:c r="T604" s="85"/>
      <x:c r="U604" s="85"/>
      <x:c r="W604" s="86"/>
      <x:c r="X604" s="86"/>
      <x:c r="Y604" s="32"/>
    </x:row>
    <x:row r="605">
      <x:c r="A605" s="87"/>
      <x:c r="B605" s="88"/>
      <x:c r="D605" s="32"/>
      <x:c r="G605" s="74"/>
      <x:c r="H605" s="74"/>
      <x:c r="I605" s="74"/>
      <x:c r="J605" s="74"/>
      <x:c r="K605" s="74"/>
      <x:c r="L605" s="74"/>
      <x:c r="M605" s="91"/>
      <x:c r="N605" s="91"/>
      <x:c r="O605" s="85"/>
      <x:c r="P605" s="85"/>
      <x:c r="Q605" s="85"/>
      <x:c r="R605" s="85"/>
      <x:c r="S605" s="85"/>
      <x:c r="T605" s="85"/>
      <x:c r="U605" s="85"/>
      <x:c r="W605" s="86"/>
      <x:c r="X605" s="86"/>
      <x:c r="Y605" s="32"/>
    </x:row>
    <x:row r="606">
      <x:c r="A606" s="87"/>
      <x:c r="B606" s="88"/>
      <x:c r="D606" s="32"/>
      <x:c r="G606" s="74"/>
      <x:c r="H606" s="74"/>
      <x:c r="I606" s="74"/>
      <x:c r="J606" s="74"/>
      <x:c r="K606" s="74"/>
      <x:c r="L606" s="74"/>
      <x:c r="M606" s="91"/>
      <x:c r="N606" s="91"/>
      <x:c r="O606" s="85"/>
      <x:c r="P606" s="85"/>
      <x:c r="Q606" s="85"/>
      <x:c r="R606" s="85"/>
      <x:c r="S606" s="85"/>
      <x:c r="T606" s="85"/>
      <x:c r="U606" s="85"/>
      <x:c r="W606" s="86"/>
      <x:c r="X606" s="86"/>
      <x:c r="Y606" s="32"/>
    </x:row>
    <x:row r="607">
      <x:c r="A607" s="87"/>
      <x:c r="B607" s="88"/>
      <x:c r="D607" s="32"/>
      <x:c r="G607" s="74"/>
      <x:c r="H607" s="74"/>
      <x:c r="I607" s="74"/>
      <x:c r="J607" s="74"/>
      <x:c r="K607" s="74"/>
      <x:c r="L607" s="74"/>
      <x:c r="M607" s="91"/>
      <x:c r="N607" s="91"/>
      <x:c r="O607" s="85"/>
      <x:c r="P607" s="85"/>
      <x:c r="Q607" s="85"/>
      <x:c r="R607" s="85"/>
      <x:c r="S607" s="85"/>
      <x:c r="T607" s="85"/>
      <x:c r="U607" s="85"/>
      <x:c r="W607" s="86"/>
      <x:c r="X607" s="86"/>
      <x:c r="Y607" s="32"/>
    </x:row>
    <x:row r="608">
      <x:c r="A608" s="87"/>
      <x:c r="B608" s="88"/>
      <x:c r="D608" s="32"/>
      <x:c r="G608" s="74"/>
      <x:c r="H608" s="74"/>
      <x:c r="I608" s="74"/>
      <x:c r="J608" s="74"/>
      <x:c r="K608" s="74"/>
      <x:c r="L608" s="74"/>
      <x:c r="M608" s="91"/>
      <x:c r="N608" s="91"/>
      <x:c r="O608" s="85"/>
      <x:c r="P608" s="85"/>
      <x:c r="Q608" s="85"/>
      <x:c r="R608" s="85"/>
      <x:c r="S608" s="85"/>
      <x:c r="T608" s="85"/>
      <x:c r="U608" s="85"/>
      <x:c r="W608" s="86"/>
      <x:c r="X608" s="86"/>
      <x:c r="Y608" s="32"/>
    </x:row>
    <x:row r="609">
      <x:c r="A609" s="87"/>
      <x:c r="B609" s="88"/>
      <x:c r="D609" s="32"/>
      <x:c r="G609" s="74"/>
      <x:c r="H609" s="74"/>
      <x:c r="I609" s="74"/>
      <x:c r="J609" s="74"/>
      <x:c r="K609" s="74"/>
      <x:c r="L609" s="74"/>
      <x:c r="M609" s="91"/>
      <x:c r="N609" s="91"/>
      <x:c r="O609" s="85"/>
      <x:c r="P609" s="85"/>
      <x:c r="Q609" s="85"/>
      <x:c r="R609" s="85"/>
      <x:c r="S609" s="85"/>
      <x:c r="T609" s="85"/>
      <x:c r="U609" s="85"/>
      <x:c r="W609" s="86"/>
      <x:c r="X609" s="86"/>
      <x:c r="Y609" s="32"/>
    </x:row>
    <x:row r="610">
      <x:c r="A610" s="87"/>
      <x:c r="B610" s="88"/>
      <x:c r="D610" s="32"/>
      <x:c r="G610" s="74"/>
      <x:c r="H610" s="74"/>
      <x:c r="I610" s="74"/>
      <x:c r="J610" s="74"/>
      <x:c r="K610" s="74"/>
      <x:c r="L610" s="74"/>
      <x:c r="M610" s="91"/>
      <x:c r="N610" s="91"/>
      <x:c r="O610" s="85"/>
      <x:c r="P610" s="85"/>
      <x:c r="Q610" s="85"/>
      <x:c r="R610" s="85"/>
      <x:c r="S610" s="85"/>
      <x:c r="T610" s="85"/>
      <x:c r="U610" s="85"/>
      <x:c r="W610" s="86"/>
      <x:c r="X610" s="86"/>
      <x:c r="Y610" s="32"/>
    </x:row>
    <x:row r="611">
      <x:c r="A611" s="87"/>
      <x:c r="B611" s="88"/>
      <x:c r="D611" s="32"/>
      <x:c r="G611" s="74"/>
      <x:c r="H611" s="74"/>
      <x:c r="I611" s="74"/>
      <x:c r="J611" s="74"/>
      <x:c r="K611" s="74"/>
      <x:c r="L611" s="74"/>
      <x:c r="M611" s="91"/>
      <x:c r="N611" s="91"/>
      <x:c r="O611" s="85"/>
      <x:c r="P611" s="85"/>
      <x:c r="Q611" s="85"/>
      <x:c r="R611" s="85"/>
      <x:c r="S611" s="85"/>
      <x:c r="T611" s="85"/>
      <x:c r="U611" s="85"/>
      <x:c r="W611" s="86"/>
      <x:c r="X611" s="86"/>
      <x:c r="Y611" s="32"/>
    </x:row>
    <x:row r="612">
      <x:c r="A612" s="87"/>
      <x:c r="B612" s="88"/>
      <x:c r="D612" s="32"/>
      <x:c r="G612" s="74"/>
      <x:c r="H612" s="74"/>
      <x:c r="I612" s="74"/>
      <x:c r="J612" s="74"/>
      <x:c r="K612" s="74"/>
      <x:c r="L612" s="74"/>
      <x:c r="M612" s="91"/>
      <x:c r="N612" s="91"/>
      <x:c r="O612" s="85"/>
      <x:c r="P612" s="85"/>
      <x:c r="Q612" s="85"/>
      <x:c r="R612" s="85"/>
      <x:c r="S612" s="85"/>
      <x:c r="T612" s="85"/>
      <x:c r="U612" s="85"/>
      <x:c r="W612" s="86"/>
      <x:c r="X612" s="86"/>
      <x:c r="Y612" s="32"/>
    </x:row>
    <x:row r="613">
      <x:c r="A613" s="87"/>
      <x:c r="B613" s="88"/>
      <x:c r="D613" s="32"/>
      <x:c r="G613" s="74"/>
      <x:c r="H613" s="74"/>
      <x:c r="I613" s="74"/>
      <x:c r="J613" s="74"/>
      <x:c r="K613" s="74"/>
      <x:c r="L613" s="74"/>
      <x:c r="M613" s="91"/>
      <x:c r="N613" s="91"/>
      <x:c r="O613" s="85"/>
      <x:c r="P613" s="85"/>
      <x:c r="Q613" s="85"/>
      <x:c r="R613" s="85"/>
      <x:c r="S613" s="85"/>
      <x:c r="T613" s="85"/>
      <x:c r="U613" s="85"/>
      <x:c r="W613" s="86"/>
      <x:c r="X613" s="86"/>
      <x:c r="Y613" s="32"/>
    </x:row>
    <x:row r="614">
      <x:c r="A614" s="87"/>
      <x:c r="B614" s="88"/>
      <x:c r="D614" s="32"/>
      <x:c r="G614" s="74"/>
      <x:c r="H614" s="74"/>
      <x:c r="I614" s="74"/>
      <x:c r="J614" s="74"/>
      <x:c r="K614" s="74"/>
      <x:c r="L614" s="74"/>
      <x:c r="M614" s="91"/>
      <x:c r="N614" s="91"/>
      <x:c r="O614" s="85"/>
      <x:c r="P614" s="85"/>
      <x:c r="Q614" s="85"/>
      <x:c r="R614" s="85"/>
      <x:c r="S614" s="85"/>
      <x:c r="T614" s="85"/>
      <x:c r="U614" s="85"/>
      <x:c r="W614" s="86"/>
      <x:c r="X614" s="86"/>
      <x:c r="Y614" s="32"/>
    </x:row>
    <x:row r="615">
      <x:c r="A615" s="87"/>
      <x:c r="B615" s="88"/>
      <x:c r="D615" s="32"/>
      <x:c r="G615" s="74"/>
      <x:c r="H615" s="74"/>
      <x:c r="I615" s="74"/>
      <x:c r="J615" s="74"/>
      <x:c r="K615" s="74"/>
      <x:c r="L615" s="74"/>
      <x:c r="M615" s="91"/>
      <x:c r="N615" s="91"/>
      <x:c r="O615" s="85"/>
      <x:c r="P615" s="85"/>
      <x:c r="Q615" s="85"/>
      <x:c r="R615" s="85"/>
      <x:c r="S615" s="85"/>
      <x:c r="T615" s="85"/>
      <x:c r="U615" s="85"/>
      <x:c r="W615" s="86"/>
      <x:c r="X615" s="86"/>
      <x:c r="Y615" s="32"/>
    </x:row>
    <x:row r="616">
      <x:c r="A616" s="87"/>
      <x:c r="B616" s="88"/>
      <x:c r="D616" s="32"/>
      <x:c r="G616" s="74"/>
      <x:c r="H616" s="74"/>
      <x:c r="I616" s="74"/>
      <x:c r="J616" s="74"/>
      <x:c r="K616" s="74"/>
      <x:c r="L616" s="74"/>
      <x:c r="M616" s="91"/>
      <x:c r="N616" s="91"/>
      <x:c r="O616" s="85"/>
      <x:c r="P616" s="85"/>
      <x:c r="Q616" s="85"/>
      <x:c r="R616" s="85"/>
      <x:c r="S616" s="85"/>
      <x:c r="T616" s="85"/>
      <x:c r="U616" s="85"/>
      <x:c r="W616" s="86"/>
      <x:c r="X616" s="86"/>
      <x:c r="Y616" s="32"/>
    </x:row>
    <x:row r="617">
      <x:c r="A617" s="87"/>
      <x:c r="B617" s="88"/>
      <x:c r="D617" s="32"/>
      <x:c r="G617" s="74"/>
      <x:c r="H617" s="74"/>
      <x:c r="I617" s="74"/>
      <x:c r="J617" s="74"/>
      <x:c r="K617" s="74"/>
      <x:c r="L617" s="74"/>
      <x:c r="M617" s="91"/>
      <x:c r="N617" s="91"/>
      <x:c r="O617" s="85"/>
      <x:c r="P617" s="85"/>
      <x:c r="Q617" s="85"/>
      <x:c r="R617" s="85"/>
      <x:c r="S617" s="85"/>
      <x:c r="T617" s="85"/>
      <x:c r="U617" s="85"/>
      <x:c r="W617" s="86"/>
      <x:c r="X617" s="86"/>
      <x:c r="Y617" s="32"/>
    </x:row>
    <x:row r="618">
      <x:c r="A618" s="87"/>
      <x:c r="B618" s="88"/>
      <x:c r="D618" s="32"/>
      <x:c r="G618" s="74"/>
      <x:c r="H618" s="74"/>
      <x:c r="I618" s="74"/>
      <x:c r="J618" s="74"/>
      <x:c r="K618" s="74"/>
      <x:c r="L618" s="74"/>
      <x:c r="M618" s="91"/>
      <x:c r="N618" s="91"/>
      <x:c r="O618" s="85"/>
      <x:c r="P618" s="85"/>
      <x:c r="Q618" s="85"/>
      <x:c r="R618" s="85"/>
      <x:c r="S618" s="85"/>
      <x:c r="T618" s="85"/>
      <x:c r="U618" s="85"/>
      <x:c r="W618" s="86"/>
      <x:c r="X618" s="86"/>
      <x:c r="Y618" s="32"/>
    </x:row>
    <x:row r="619">
      <x:c r="A619" s="87"/>
      <x:c r="B619" s="88"/>
      <x:c r="D619" s="32"/>
      <x:c r="G619" s="74"/>
      <x:c r="H619" s="74"/>
      <x:c r="I619" s="74"/>
      <x:c r="J619" s="74"/>
      <x:c r="K619" s="74"/>
      <x:c r="L619" s="74"/>
      <x:c r="M619" s="91"/>
      <x:c r="N619" s="91"/>
      <x:c r="O619" s="85"/>
      <x:c r="P619" s="85"/>
      <x:c r="Q619" s="85"/>
      <x:c r="R619" s="85"/>
      <x:c r="S619" s="85"/>
      <x:c r="T619" s="85"/>
      <x:c r="U619" s="85"/>
      <x:c r="W619" s="86"/>
      <x:c r="X619" s="86"/>
      <x:c r="Y619" s="32"/>
    </x:row>
    <x:row r="620">
      <x:c r="A620" s="87"/>
      <x:c r="B620" s="88"/>
      <x:c r="D620" s="32"/>
      <x:c r="G620" s="74"/>
      <x:c r="H620" s="74"/>
      <x:c r="I620" s="74"/>
      <x:c r="J620" s="74"/>
      <x:c r="K620" s="74"/>
      <x:c r="L620" s="74"/>
      <x:c r="M620" s="91"/>
      <x:c r="N620" s="91"/>
      <x:c r="O620" s="85"/>
      <x:c r="P620" s="85"/>
      <x:c r="Q620" s="85"/>
      <x:c r="R620" s="85"/>
      <x:c r="S620" s="85"/>
      <x:c r="T620" s="85"/>
      <x:c r="U620" s="85"/>
      <x:c r="W620" s="86"/>
      <x:c r="X620" s="86"/>
      <x:c r="Y620" s="32"/>
    </x:row>
    <x:row r="621">
      <x:c r="A621" s="87"/>
      <x:c r="B621" s="88"/>
      <x:c r="D621" s="32"/>
      <x:c r="G621" s="74"/>
      <x:c r="H621" s="74"/>
      <x:c r="I621" s="74"/>
      <x:c r="J621" s="74"/>
      <x:c r="K621" s="74"/>
      <x:c r="L621" s="74"/>
      <x:c r="M621" s="91"/>
      <x:c r="N621" s="91"/>
      <x:c r="O621" s="85"/>
      <x:c r="P621" s="85"/>
      <x:c r="Q621" s="85"/>
      <x:c r="R621" s="85"/>
      <x:c r="S621" s="85"/>
      <x:c r="T621" s="85"/>
      <x:c r="U621" s="85"/>
      <x:c r="W621" s="86"/>
      <x:c r="X621" s="86"/>
      <x:c r="Y621" s="32"/>
    </x:row>
    <x:row r="622">
      <x:c r="A622" s="87"/>
      <x:c r="B622" s="88"/>
      <x:c r="D622" s="32"/>
      <x:c r="G622" s="74"/>
      <x:c r="H622" s="74"/>
      <x:c r="I622" s="74"/>
      <x:c r="J622" s="74"/>
      <x:c r="K622" s="74"/>
      <x:c r="L622" s="74"/>
      <x:c r="M622" s="91"/>
      <x:c r="N622" s="91"/>
      <x:c r="O622" s="85"/>
      <x:c r="P622" s="85"/>
      <x:c r="Q622" s="85"/>
      <x:c r="R622" s="85"/>
      <x:c r="S622" s="85"/>
      <x:c r="T622" s="85"/>
      <x:c r="U622" s="85"/>
      <x:c r="W622" s="86"/>
      <x:c r="X622" s="86"/>
      <x:c r="Y622" s="32"/>
    </x:row>
    <x:row r="623">
      <x:c r="A623" s="87"/>
      <x:c r="B623" s="88"/>
      <x:c r="D623" s="32"/>
      <x:c r="G623" s="74"/>
      <x:c r="H623" s="74"/>
      <x:c r="I623" s="74"/>
      <x:c r="J623" s="74"/>
      <x:c r="K623" s="74"/>
      <x:c r="L623" s="74"/>
      <x:c r="M623" s="91"/>
      <x:c r="N623" s="91"/>
      <x:c r="O623" s="85"/>
      <x:c r="P623" s="85"/>
      <x:c r="Q623" s="85"/>
      <x:c r="R623" s="85"/>
      <x:c r="S623" s="85"/>
      <x:c r="T623" s="85"/>
      <x:c r="U623" s="85"/>
      <x:c r="W623" s="86"/>
      <x:c r="X623" s="86"/>
      <x:c r="Y623" s="32"/>
    </x:row>
    <x:row r="624">
      <x:c r="A624" s="87"/>
      <x:c r="B624" s="88"/>
      <x:c r="D624" s="32"/>
      <x:c r="G624" s="74"/>
      <x:c r="H624" s="74"/>
      <x:c r="I624" s="74"/>
      <x:c r="J624" s="74"/>
      <x:c r="K624" s="74"/>
      <x:c r="L624" s="74"/>
      <x:c r="M624" s="91"/>
      <x:c r="N624" s="91"/>
      <x:c r="O624" s="85"/>
      <x:c r="P624" s="85"/>
      <x:c r="Q624" s="85"/>
      <x:c r="R624" s="85"/>
      <x:c r="S624" s="85"/>
      <x:c r="T624" s="85"/>
      <x:c r="U624" s="85"/>
      <x:c r="W624" s="86"/>
      <x:c r="X624" s="86"/>
      <x:c r="Y624" s="32"/>
    </x:row>
    <x:row r="625">
      <x:c r="A625" s="87"/>
      <x:c r="B625" s="88"/>
      <x:c r="D625" s="32"/>
      <x:c r="G625" s="74"/>
      <x:c r="H625" s="74"/>
      <x:c r="I625" s="74"/>
      <x:c r="J625" s="74"/>
      <x:c r="K625" s="74"/>
      <x:c r="L625" s="74"/>
      <x:c r="M625" s="91"/>
      <x:c r="N625" s="91"/>
      <x:c r="O625" s="85"/>
      <x:c r="P625" s="85"/>
      <x:c r="Q625" s="85"/>
      <x:c r="R625" s="85"/>
      <x:c r="S625" s="85"/>
      <x:c r="T625" s="85"/>
      <x:c r="U625" s="85"/>
      <x:c r="W625" s="86"/>
      <x:c r="X625" s="86"/>
      <x:c r="Y625" s="32"/>
    </x:row>
    <x:row r="626">
      <x:c r="A626" s="87"/>
      <x:c r="B626" s="88"/>
      <x:c r="D626" s="32"/>
      <x:c r="G626" s="74"/>
      <x:c r="H626" s="74"/>
      <x:c r="I626" s="74"/>
      <x:c r="J626" s="74"/>
      <x:c r="K626" s="74"/>
      <x:c r="L626" s="74"/>
      <x:c r="M626" s="91"/>
      <x:c r="N626" s="91"/>
      <x:c r="O626" s="85"/>
      <x:c r="P626" s="85"/>
      <x:c r="Q626" s="85"/>
      <x:c r="R626" s="85"/>
      <x:c r="S626" s="85"/>
      <x:c r="T626" s="85"/>
      <x:c r="U626" s="85"/>
      <x:c r="W626" s="86"/>
      <x:c r="X626" s="86"/>
      <x:c r="Y626" s="32"/>
    </x:row>
    <x:row r="627">
      <x:c r="A627" s="87"/>
      <x:c r="B627" s="88"/>
      <x:c r="D627" s="32"/>
      <x:c r="G627" s="74"/>
      <x:c r="H627" s="74"/>
      <x:c r="I627" s="74"/>
      <x:c r="J627" s="74"/>
      <x:c r="K627" s="74"/>
      <x:c r="L627" s="74"/>
      <x:c r="M627" s="91"/>
      <x:c r="N627" s="91"/>
      <x:c r="O627" s="85"/>
      <x:c r="P627" s="85"/>
      <x:c r="Q627" s="85"/>
      <x:c r="R627" s="85"/>
      <x:c r="S627" s="85"/>
      <x:c r="T627" s="85"/>
      <x:c r="U627" s="85"/>
      <x:c r="W627" s="86"/>
      <x:c r="X627" s="86"/>
      <x:c r="Y627" s="32"/>
    </x:row>
    <x:row r="628">
      <x:c r="A628" s="87"/>
      <x:c r="B628" s="88"/>
      <x:c r="D628" s="32"/>
      <x:c r="G628" s="74"/>
      <x:c r="H628" s="74"/>
      <x:c r="I628" s="74"/>
      <x:c r="J628" s="74"/>
      <x:c r="K628" s="74"/>
      <x:c r="L628" s="74"/>
      <x:c r="M628" s="91"/>
      <x:c r="N628" s="91"/>
      <x:c r="O628" s="85"/>
      <x:c r="P628" s="85"/>
      <x:c r="Q628" s="85"/>
      <x:c r="R628" s="85"/>
      <x:c r="S628" s="85"/>
      <x:c r="T628" s="85"/>
      <x:c r="U628" s="85"/>
      <x:c r="W628" s="86"/>
      <x:c r="X628" s="86"/>
      <x:c r="Y628" s="32"/>
    </x:row>
    <x:row r="629">
      <x:c r="A629" s="87"/>
      <x:c r="B629" s="88"/>
      <x:c r="D629" s="32"/>
      <x:c r="G629" s="74"/>
      <x:c r="H629" s="74"/>
      <x:c r="I629" s="74"/>
      <x:c r="J629" s="74"/>
      <x:c r="K629" s="74"/>
      <x:c r="L629" s="74"/>
      <x:c r="M629" s="91"/>
      <x:c r="N629" s="91"/>
      <x:c r="O629" s="85"/>
      <x:c r="P629" s="85"/>
      <x:c r="Q629" s="85"/>
      <x:c r="R629" s="85"/>
      <x:c r="S629" s="85"/>
      <x:c r="T629" s="85"/>
      <x:c r="U629" s="85"/>
      <x:c r="W629" s="86"/>
      <x:c r="X629" s="86"/>
      <x:c r="Y629" s="32"/>
    </x:row>
    <x:row r="630">
      <x:c r="A630" s="87"/>
      <x:c r="B630" s="88"/>
      <x:c r="D630" s="32"/>
      <x:c r="G630" s="74"/>
      <x:c r="H630" s="74"/>
      <x:c r="I630" s="74"/>
      <x:c r="J630" s="74"/>
      <x:c r="K630" s="74"/>
      <x:c r="L630" s="74"/>
      <x:c r="M630" s="91"/>
      <x:c r="N630" s="91"/>
      <x:c r="O630" s="85"/>
      <x:c r="P630" s="85"/>
      <x:c r="Q630" s="85"/>
      <x:c r="R630" s="85"/>
      <x:c r="S630" s="85"/>
      <x:c r="T630" s="85"/>
      <x:c r="U630" s="85"/>
      <x:c r="W630" s="86"/>
      <x:c r="X630" s="86"/>
      <x:c r="Y630" s="32"/>
    </x:row>
    <x:row r="631">
      <x:c r="A631" s="87"/>
      <x:c r="B631" s="88"/>
      <x:c r="D631" s="32"/>
      <x:c r="G631" s="74"/>
      <x:c r="H631" s="74"/>
      <x:c r="I631" s="74"/>
      <x:c r="J631" s="74"/>
      <x:c r="K631" s="74"/>
      <x:c r="L631" s="74"/>
      <x:c r="M631" s="91"/>
      <x:c r="N631" s="91"/>
      <x:c r="O631" s="85"/>
      <x:c r="P631" s="85"/>
      <x:c r="Q631" s="85"/>
      <x:c r="R631" s="85"/>
      <x:c r="S631" s="85"/>
      <x:c r="T631" s="85"/>
      <x:c r="U631" s="85"/>
      <x:c r="W631" s="86"/>
      <x:c r="X631" s="86"/>
      <x:c r="Y631" s="32"/>
    </x:row>
    <x:row r="632">
      <x:c r="A632" s="87"/>
      <x:c r="B632" s="88"/>
      <x:c r="D632" s="32"/>
      <x:c r="G632" s="74"/>
      <x:c r="H632" s="74"/>
      <x:c r="I632" s="74"/>
      <x:c r="J632" s="74"/>
      <x:c r="K632" s="74"/>
      <x:c r="L632" s="74"/>
      <x:c r="M632" s="91"/>
      <x:c r="N632" s="91"/>
      <x:c r="O632" s="85"/>
      <x:c r="P632" s="85"/>
      <x:c r="Q632" s="85"/>
      <x:c r="R632" s="85"/>
      <x:c r="S632" s="85"/>
      <x:c r="T632" s="85"/>
      <x:c r="U632" s="85"/>
      <x:c r="W632" s="86"/>
      <x:c r="X632" s="86"/>
      <x:c r="Y632" s="32"/>
    </x:row>
    <x:row r="633">
      <x:c r="A633" s="87"/>
      <x:c r="B633" s="88"/>
      <x:c r="D633" s="32"/>
      <x:c r="G633" s="74"/>
      <x:c r="H633" s="74"/>
      <x:c r="I633" s="74"/>
      <x:c r="J633" s="74"/>
      <x:c r="K633" s="74"/>
      <x:c r="L633" s="74"/>
      <x:c r="M633" s="91"/>
      <x:c r="N633" s="91"/>
      <x:c r="O633" s="85"/>
      <x:c r="P633" s="85"/>
      <x:c r="Q633" s="85"/>
      <x:c r="R633" s="85"/>
      <x:c r="S633" s="85"/>
      <x:c r="T633" s="85"/>
      <x:c r="U633" s="85"/>
      <x:c r="W633" s="86"/>
      <x:c r="X633" s="86"/>
      <x:c r="Y633" s="32"/>
    </x:row>
    <x:row r="634">
      <x:c r="A634" s="87"/>
      <x:c r="B634" s="88"/>
      <x:c r="D634" s="32"/>
      <x:c r="G634" s="74"/>
      <x:c r="H634" s="74"/>
      <x:c r="I634" s="74"/>
      <x:c r="J634" s="74"/>
      <x:c r="K634" s="74"/>
      <x:c r="L634" s="74"/>
      <x:c r="M634" s="91"/>
      <x:c r="N634" s="91"/>
      <x:c r="O634" s="85"/>
      <x:c r="P634" s="85"/>
      <x:c r="Q634" s="85"/>
      <x:c r="R634" s="85"/>
      <x:c r="S634" s="85"/>
      <x:c r="T634" s="85"/>
      <x:c r="U634" s="85"/>
      <x:c r="W634" s="86"/>
      <x:c r="X634" s="86"/>
      <x:c r="Y634" s="32"/>
    </x:row>
    <x:row r="635">
      <x:c r="A635" s="87"/>
      <x:c r="B635" s="88"/>
      <x:c r="D635" s="32"/>
      <x:c r="G635" s="74"/>
      <x:c r="H635" s="74"/>
      <x:c r="I635" s="74"/>
      <x:c r="J635" s="74"/>
      <x:c r="K635" s="74"/>
      <x:c r="L635" s="74"/>
      <x:c r="M635" s="91"/>
      <x:c r="N635" s="91"/>
      <x:c r="O635" s="85"/>
      <x:c r="P635" s="85"/>
      <x:c r="Q635" s="85"/>
      <x:c r="R635" s="85"/>
      <x:c r="S635" s="85"/>
      <x:c r="T635" s="85"/>
      <x:c r="U635" s="85"/>
      <x:c r="W635" s="86"/>
      <x:c r="X635" s="86"/>
      <x:c r="Y635" s="32"/>
    </x:row>
    <x:row r="636">
      <x:c r="A636" s="87"/>
      <x:c r="B636" s="88"/>
      <x:c r="D636" s="32"/>
      <x:c r="G636" s="74"/>
      <x:c r="H636" s="74"/>
      <x:c r="I636" s="74"/>
      <x:c r="J636" s="74"/>
      <x:c r="K636" s="74"/>
      <x:c r="L636" s="74"/>
      <x:c r="M636" s="91"/>
      <x:c r="N636" s="91"/>
      <x:c r="O636" s="85"/>
      <x:c r="P636" s="85"/>
      <x:c r="Q636" s="85"/>
      <x:c r="R636" s="85"/>
      <x:c r="S636" s="85"/>
      <x:c r="T636" s="85"/>
      <x:c r="U636" s="85"/>
      <x:c r="W636" s="86"/>
      <x:c r="X636" s="86"/>
      <x:c r="Y636" s="32"/>
    </x:row>
    <x:row r="637">
      <x:c r="A637" s="87"/>
      <x:c r="B637" s="88"/>
      <x:c r="D637" s="32"/>
      <x:c r="G637" s="74"/>
      <x:c r="H637" s="74"/>
      <x:c r="I637" s="74"/>
      <x:c r="J637" s="74"/>
      <x:c r="K637" s="74"/>
      <x:c r="L637" s="74"/>
      <x:c r="M637" s="91"/>
      <x:c r="N637" s="91"/>
      <x:c r="O637" s="85"/>
      <x:c r="P637" s="85"/>
      <x:c r="Q637" s="85"/>
      <x:c r="R637" s="85"/>
      <x:c r="S637" s="85"/>
      <x:c r="T637" s="85"/>
      <x:c r="U637" s="85"/>
      <x:c r="W637" s="86"/>
      <x:c r="X637" s="86"/>
      <x:c r="Y637" s="32"/>
    </x:row>
    <x:row r="638">
      <x:c r="A638" s="87"/>
      <x:c r="B638" s="88"/>
      <x:c r="D638" s="32"/>
      <x:c r="G638" s="74"/>
      <x:c r="H638" s="74"/>
      <x:c r="I638" s="74"/>
      <x:c r="J638" s="74"/>
      <x:c r="K638" s="74"/>
      <x:c r="L638" s="74"/>
      <x:c r="M638" s="91"/>
      <x:c r="N638" s="91"/>
      <x:c r="O638" s="85"/>
      <x:c r="P638" s="85"/>
      <x:c r="Q638" s="85"/>
      <x:c r="R638" s="85"/>
      <x:c r="S638" s="85"/>
      <x:c r="T638" s="85"/>
      <x:c r="U638" s="85"/>
      <x:c r="W638" s="86"/>
      <x:c r="X638" s="86"/>
      <x:c r="Y638" s="32"/>
    </x:row>
    <x:row r="639">
      <x:c r="A639" s="87"/>
      <x:c r="B639" s="88"/>
      <x:c r="D639" s="32"/>
      <x:c r="G639" s="74"/>
      <x:c r="H639" s="74"/>
      <x:c r="I639" s="74"/>
      <x:c r="J639" s="74"/>
      <x:c r="K639" s="74"/>
      <x:c r="L639" s="74"/>
      <x:c r="M639" s="91"/>
      <x:c r="N639" s="91"/>
      <x:c r="O639" s="85"/>
      <x:c r="P639" s="85"/>
      <x:c r="Q639" s="85"/>
      <x:c r="R639" s="85"/>
      <x:c r="S639" s="85"/>
      <x:c r="T639" s="85"/>
      <x:c r="U639" s="85"/>
      <x:c r="W639" s="86"/>
      <x:c r="X639" s="86"/>
      <x:c r="Y639" s="32"/>
    </x:row>
    <x:row r="640">
      <x:c r="A640" s="87"/>
      <x:c r="B640" s="88"/>
      <x:c r="D640" s="32"/>
      <x:c r="G640" s="74"/>
      <x:c r="H640" s="74"/>
      <x:c r="I640" s="74"/>
      <x:c r="J640" s="74"/>
      <x:c r="K640" s="74"/>
      <x:c r="L640" s="74"/>
      <x:c r="M640" s="91"/>
      <x:c r="N640" s="91"/>
      <x:c r="O640" s="85"/>
      <x:c r="P640" s="85"/>
      <x:c r="Q640" s="85"/>
      <x:c r="R640" s="85"/>
      <x:c r="S640" s="85"/>
      <x:c r="T640" s="85"/>
      <x:c r="U640" s="85"/>
      <x:c r="W640" s="86"/>
      <x:c r="X640" s="86"/>
      <x:c r="Y640" s="32"/>
    </x:row>
    <x:row r="641">
      <x:c r="A641" s="87"/>
      <x:c r="B641" s="88"/>
      <x:c r="D641" s="32"/>
      <x:c r="G641" s="74"/>
      <x:c r="H641" s="74"/>
      <x:c r="I641" s="74"/>
      <x:c r="J641" s="74"/>
      <x:c r="K641" s="74"/>
      <x:c r="L641" s="74"/>
      <x:c r="M641" s="91"/>
      <x:c r="N641" s="91"/>
      <x:c r="O641" s="85"/>
      <x:c r="P641" s="85"/>
      <x:c r="Q641" s="85"/>
      <x:c r="R641" s="85"/>
      <x:c r="S641" s="85"/>
      <x:c r="T641" s="85"/>
      <x:c r="U641" s="85"/>
      <x:c r="W641" s="86"/>
      <x:c r="X641" s="86"/>
      <x:c r="Y641" s="32"/>
    </x:row>
    <x:row r="642">
      <x:c r="A642" s="87"/>
      <x:c r="B642" s="88"/>
      <x:c r="D642" s="32"/>
      <x:c r="G642" s="74"/>
      <x:c r="H642" s="74"/>
      <x:c r="I642" s="74"/>
      <x:c r="J642" s="74"/>
      <x:c r="K642" s="74"/>
      <x:c r="L642" s="74"/>
      <x:c r="M642" s="91"/>
      <x:c r="N642" s="91"/>
      <x:c r="O642" s="85"/>
      <x:c r="P642" s="85"/>
      <x:c r="Q642" s="85"/>
      <x:c r="R642" s="85"/>
      <x:c r="S642" s="85"/>
      <x:c r="T642" s="85"/>
      <x:c r="U642" s="85"/>
      <x:c r="W642" s="86"/>
      <x:c r="X642" s="86"/>
      <x:c r="Y642" s="32"/>
    </x:row>
    <x:row r="643">
      <x:c r="A643" s="87"/>
      <x:c r="B643" s="88"/>
      <x:c r="D643" s="32"/>
      <x:c r="G643" s="74"/>
      <x:c r="H643" s="74"/>
      <x:c r="I643" s="74"/>
      <x:c r="J643" s="74"/>
      <x:c r="K643" s="74"/>
      <x:c r="L643" s="74"/>
      <x:c r="M643" s="91"/>
      <x:c r="N643" s="91"/>
      <x:c r="O643" s="85"/>
      <x:c r="P643" s="85"/>
      <x:c r="Q643" s="85"/>
      <x:c r="R643" s="85"/>
      <x:c r="S643" s="85"/>
      <x:c r="T643" s="85"/>
      <x:c r="U643" s="85"/>
      <x:c r="W643" s="86"/>
      <x:c r="X643" s="86"/>
      <x:c r="Y643" s="32"/>
    </x:row>
    <x:row r="644">
      <x:c r="A644" s="87"/>
      <x:c r="B644" s="88"/>
      <x:c r="D644" s="32"/>
      <x:c r="G644" s="74"/>
      <x:c r="H644" s="74"/>
      <x:c r="I644" s="74"/>
      <x:c r="J644" s="74"/>
      <x:c r="K644" s="74"/>
      <x:c r="L644" s="74"/>
      <x:c r="M644" s="91"/>
      <x:c r="N644" s="91"/>
      <x:c r="O644" s="85"/>
      <x:c r="P644" s="85"/>
      <x:c r="Q644" s="85"/>
      <x:c r="R644" s="85"/>
      <x:c r="S644" s="85"/>
      <x:c r="T644" s="85"/>
      <x:c r="U644" s="85"/>
      <x:c r="W644" s="86"/>
      <x:c r="X644" s="86"/>
      <x:c r="Y644" s="32"/>
    </x:row>
    <x:row r="645">
      <x:c r="A645" s="87"/>
      <x:c r="B645" s="88"/>
      <x:c r="D645" s="32"/>
      <x:c r="G645" s="74"/>
      <x:c r="H645" s="74"/>
      <x:c r="I645" s="74"/>
      <x:c r="J645" s="74"/>
      <x:c r="K645" s="74"/>
      <x:c r="L645" s="74"/>
      <x:c r="M645" s="91"/>
      <x:c r="N645" s="91"/>
      <x:c r="O645" s="85"/>
      <x:c r="P645" s="85"/>
      <x:c r="Q645" s="85"/>
      <x:c r="R645" s="85"/>
      <x:c r="S645" s="85"/>
      <x:c r="T645" s="85"/>
      <x:c r="U645" s="85"/>
      <x:c r="W645" s="86"/>
      <x:c r="X645" s="86"/>
      <x:c r="Y645" s="32"/>
    </x:row>
    <x:row r="646">
      <x:c r="A646" s="87"/>
      <x:c r="B646" s="88"/>
      <x:c r="D646" s="32"/>
      <x:c r="G646" s="74"/>
      <x:c r="H646" s="74"/>
      <x:c r="I646" s="74"/>
      <x:c r="J646" s="74"/>
      <x:c r="K646" s="74"/>
      <x:c r="L646" s="74"/>
      <x:c r="M646" s="91"/>
      <x:c r="N646" s="91"/>
      <x:c r="O646" s="85"/>
      <x:c r="P646" s="85"/>
      <x:c r="Q646" s="85"/>
      <x:c r="R646" s="85"/>
      <x:c r="S646" s="85"/>
      <x:c r="T646" s="85"/>
      <x:c r="U646" s="85"/>
      <x:c r="W646" s="86"/>
      <x:c r="X646" s="86"/>
      <x:c r="Y646" s="32"/>
    </x:row>
    <x:row r="647">
      <x:c r="A647" s="87"/>
      <x:c r="B647" s="88"/>
      <x:c r="D647" s="32"/>
      <x:c r="G647" s="74"/>
      <x:c r="H647" s="74"/>
      <x:c r="I647" s="74"/>
      <x:c r="J647" s="74"/>
      <x:c r="K647" s="74"/>
      <x:c r="L647" s="74"/>
      <x:c r="M647" s="91"/>
      <x:c r="N647" s="91"/>
      <x:c r="O647" s="85"/>
      <x:c r="P647" s="85"/>
      <x:c r="Q647" s="85"/>
      <x:c r="R647" s="85"/>
      <x:c r="S647" s="85"/>
      <x:c r="T647" s="85"/>
      <x:c r="U647" s="85"/>
      <x:c r="W647" s="86"/>
      <x:c r="X647" s="86"/>
      <x:c r="Y647" s="32"/>
    </x:row>
    <x:row r="648">
      <x:c r="A648" s="87"/>
      <x:c r="B648" s="88"/>
      <x:c r="D648" s="32"/>
      <x:c r="G648" s="74"/>
      <x:c r="H648" s="74"/>
      <x:c r="I648" s="74"/>
      <x:c r="J648" s="74"/>
      <x:c r="K648" s="74"/>
      <x:c r="L648" s="74"/>
      <x:c r="M648" s="91"/>
      <x:c r="N648" s="91"/>
      <x:c r="O648" s="85"/>
      <x:c r="P648" s="85"/>
      <x:c r="Q648" s="85"/>
      <x:c r="R648" s="85"/>
      <x:c r="S648" s="85"/>
      <x:c r="T648" s="85"/>
      <x:c r="U648" s="85"/>
      <x:c r="W648" s="86"/>
      <x:c r="X648" s="86"/>
      <x:c r="Y648" s="32"/>
    </x:row>
    <x:row r="649">
      <x:c r="A649" s="87"/>
      <x:c r="B649" s="88"/>
      <x:c r="D649" s="32"/>
      <x:c r="G649" s="74"/>
      <x:c r="H649" s="74"/>
      <x:c r="I649" s="74"/>
      <x:c r="J649" s="74"/>
      <x:c r="K649" s="74"/>
      <x:c r="L649" s="74"/>
      <x:c r="M649" s="91"/>
      <x:c r="N649" s="91"/>
      <x:c r="O649" s="85"/>
      <x:c r="P649" s="85"/>
      <x:c r="Q649" s="85"/>
      <x:c r="R649" s="85"/>
      <x:c r="S649" s="85"/>
      <x:c r="T649" s="85"/>
      <x:c r="U649" s="85"/>
      <x:c r="W649" s="86"/>
      <x:c r="X649" s="86"/>
      <x:c r="Y649" s="32"/>
    </x:row>
    <x:row r="650">
      <x:c r="A650" s="87"/>
      <x:c r="B650" s="88"/>
      <x:c r="D650" s="32"/>
      <x:c r="G650" s="74"/>
      <x:c r="H650" s="74"/>
      <x:c r="I650" s="74"/>
      <x:c r="J650" s="74"/>
      <x:c r="K650" s="74"/>
      <x:c r="L650" s="74"/>
      <x:c r="M650" s="91"/>
      <x:c r="N650" s="91"/>
      <x:c r="O650" s="85"/>
      <x:c r="P650" s="85"/>
      <x:c r="Q650" s="85"/>
      <x:c r="R650" s="85"/>
      <x:c r="S650" s="85"/>
      <x:c r="T650" s="85"/>
      <x:c r="U650" s="85"/>
      <x:c r="W650" s="86"/>
      <x:c r="X650" s="86"/>
      <x:c r="Y650" s="32"/>
    </x:row>
    <x:row r="651">
      <x:c r="A651" s="87"/>
      <x:c r="B651" s="88"/>
      <x:c r="D651" s="32"/>
      <x:c r="G651" s="74"/>
      <x:c r="H651" s="74"/>
      <x:c r="I651" s="74"/>
      <x:c r="J651" s="74"/>
      <x:c r="K651" s="74"/>
      <x:c r="L651" s="74"/>
      <x:c r="M651" s="91"/>
      <x:c r="N651" s="91"/>
      <x:c r="O651" s="85"/>
      <x:c r="P651" s="85"/>
      <x:c r="Q651" s="85"/>
      <x:c r="R651" s="85"/>
      <x:c r="S651" s="85"/>
      <x:c r="T651" s="85"/>
      <x:c r="U651" s="85"/>
      <x:c r="W651" s="86"/>
      <x:c r="X651" s="86"/>
      <x:c r="Y651" s="32"/>
    </x:row>
    <x:row r="652">
      <x:c r="A652" s="87"/>
      <x:c r="B652" s="88"/>
      <x:c r="D652" s="32"/>
      <x:c r="G652" s="74"/>
      <x:c r="H652" s="74"/>
      <x:c r="I652" s="74"/>
      <x:c r="J652" s="74"/>
      <x:c r="K652" s="74"/>
      <x:c r="L652" s="74"/>
      <x:c r="M652" s="91"/>
      <x:c r="N652" s="91"/>
      <x:c r="O652" s="85"/>
      <x:c r="P652" s="85"/>
      <x:c r="Q652" s="85"/>
      <x:c r="R652" s="85"/>
      <x:c r="S652" s="85"/>
      <x:c r="T652" s="85"/>
      <x:c r="U652" s="85"/>
      <x:c r="W652" s="86"/>
      <x:c r="X652" s="86"/>
      <x:c r="Y652" s="32"/>
    </x:row>
    <x:row r="653">
      <x:c r="A653" s="87"/>
      <x:c r="B653" s="88"/>
      <x:c r="D653" s="32"/>
      <x:c r="G653" s="74"/>
      <x:c r="H653" s="74"/>
      <x:c r="I653" s="74"/>
      <x:c r="J653" s="74"/>
      <x:c r="K653" s="74"/>
      <x:c r="L653" s="74"/>
      <x:c r="M653" s="91"/>
      <x:c r="N653" s="91"/>
      <x:c r="O653" s="85"/>
      <x:c r="P653" s="85"/>
      <x:c r="Q653" s="85"/>
      <x:c r="R653" s="85"/>
      <x:c r="S653" s="85"/>
      <x:c r="T653" s="85"/>
      <x:c r="U653" s="85"/>
      <x:c r="W653" s="86"/>
      <x:c r="X653" s="86"/>
      <x:c r="Y653" s="32"/>
    </x:row>
    <x:row r="654">
      <x:c r="A654" s="87"/>
      <x:c r="B654" s="88"/>
      <x:c r="D654" s="32"/>
      <x:c r="G654" s="74"/>
      <x:c r="H654" s="74"/>
      <x:c r="I654" s="74"/>
      <x:c r="J654" s="74"/>
      <x:c r="K654" s="74"/>
      <x:c r="L654" s="74"/>
      <x:c r="M654" s="91"/>
      <x:c r="N654" s="91"/>
      <x:c r="O654" s="85"/>
      <x:c r="P654" s="85"/>
      <x:c r="Q654" s="85"/>
      <x:c r="R654" s="85"/>
      <x:c r="S654" s="85"/>
      <x:c r="T654" s="85"/>
      <x:c r="U654" s="85"/>
      <x:c r="W654" s="86"/>
      <x:c r="X654" s="86"/>
      <x:c r="Y654" s="32"/>
    </x:row>
    <x:row r="655">
      <x:c r="A655" s="87"/>
      <x:c r="B655" s="88"/>
      <x:c r="D655" s="32"/>
      <x:c r="G655" s="74"/>
      <x:c r="H655" s="74"/>
      <x:c r="I655" s="74"/>
      <x:c r="J655" s="74"/>
      <x:c r="K655" s="74"/>
      <x:c r="L655" s="74"/>
      <x:c r="M655" s="91"/>
      <x:c r="N655" s="91"/>
      <x:c r="O655" s="85"/>
      <x:c r="P655" s="85"/>
      <x:c r="Q655" s="85"/>
      <x:c r="R655" s="85"/>
      <x:c r="S655" s="85"/>
      <x:c r="T655" s="85"/>
      <x:c r="U655" s="85"/>
      <x:c r="W655" s="86"/>
      <x:c r="X655" s="86"/>
      <x:c r="Y655" s="32"/>
    </x:row>
    <x:row r="656">
      <x:c r="A656" s="87"/>
      <x:c r="B656" s="88"/>
      <x:c r="D656" s="32"/>
      <x:c r="G656" s="74"/>
      <x:c r="H656" s="74"/>
      <x:c r="I656" s="74"/>
      <x:c r="J656" s="74"/>
      <x:c r="K656" s="74"/>
      <x:c r="L656" s="74"/>
      <x:c r="M656" s="91"/>
      <x:c r="N656" s="91"/>
      <x:c r="O656" s="85"/>
      <x:c r="P656" s="85"/>
      <x:c r="Q656" s="85"/>
      <x:c r="R656" s="85"/>
      <x:c r="S656" s="85"/>
      <x:c r="T656" s="85"/>
      <x:c r="U656" s="85"/>
      <x:c r="W656" s="86"/>
      <x:c r="X656" s="86"/>
      <x:c r="Y656" s="32"/>
    </x:row>
    <x:row r="657">
      <x:c r="A657" s="87"/>
      <x:c r="B657" s="88"/>
      <x:c r="D657" s="32"/>
      <x:c r="G657" s="74"/>
      <x:c r="H657" s="74"/>
      <x:c r="I657" s="74"/>
      <x:c r="J657" s="74"/>
      <x:c r="K657" s="74"/>
      <x:c r="L657" s="74"/>
      <x:c r="M657" s="91"/>
      <x:c r="N657" s="91"/>
      <x:c r="O657" s="85"/>
      <x:c r="P657" s="85"/>
      <x:c r="Q657" s="85"/>
      <x:c r="R657" s="85"/>
      <x:c r="S657" s="85"/>
      <x:c r="T657" s="85"/>
      <x:c r="U657" s="85"/>
      <x:c r="W657" s="86"/>
      <x:c r="X657" s="86"/>
      <x:c r="Y657" s="32"/>
    </x:row>
    <x:row r="658">
      <x:c r="A658" s="87"/>
      <x:c r="B658" s="88"/>
      <x:c r="D658" s="32"/>
      <x:c r="G658" s="74"/>
      <x:c r="H658" s="74"/>
      <x:c r="I658" s="74"/>
      <x:c r="J658" s="74"/>
      <x:c r="K658" s="74"/>
      <x:c r="L658" s="74"/>
      <x:c r="M658" s="91"/>
      <x:c r="N658" s="91"/>
      <x:c r="O658" s="85"/>
      <x:c r="P658" s="85"/>
      <x:c r="Q658" s="85"/>
      <x:c r="R658" s="85"/>
      <x:c r="S658" s="85"/>
      <x:c r="T658" s="85"/>
      <x:c r="U658" s="85"/>
      <x:c r="W658" s="86"/>
      <x:c r="X658" s="86"/>
      <x:c r="Y658" s="32"/>
    </x:row>
    <x:row r="659">
      <x:c r="A659" s="87"/>
      <x:c r="B659" s="88"/>
      <x:c r="D659" s="32"/>
      <x:c r="G659" s="74"/>
      <x:c r="H659" s="74"/>
      <x:c r="I659" s="74"/>
      <x:c r="J659" s="74"/>
      <x:c r="K659" s="74"/>
      <x:c r="L659" s="74"/>
      <x:c r="M659" s="91"/>
      <x:c r="N659" s="91"/>
      <x:c r="O659" s="85"/>
      <x:c r="P659" s="85"/>
      <x:c r="Q659" s="85"/>
      <x:c r="R659" s="85"/>
      <x:c r="S659" s="85"/>
      <x:c r="T659" s="85"/>
      <x:c r="U659" s="85"/>
      <x:c r="W659" s="86"/>
      <x:c r="X659" s="86"/>
      <x:c r="Y659" s="32"/>
    </x:row>
    <x:row r="660">
      <x:c r="A660" s="87"/>
      <x:c r="B660" s="88"/>
      <x:c r="D660" s="32"/>
      <x:c r="G660" s="74"/>
      <x:c r="H660" s="74"/>
      <x:c r="I660" s="74"/>
      <x:c r="J660" s="74"/>
      <x:c r="K660" s="74"/>
      <x:c r="L660" s="74"/>
      <x:c r="M660" s="91"/>
      <x:c r="N660" s="91"/>
      <x:c r="O660" s="85"/>
      <x:c r="P660" s="85"/>
      <x:c r="Q660" s="85"/>
      <x:c r="R660" s="85"/>
      <x:c r="S660" s="85"/>
      <x:c r="T660" s="85"/>
      <x:c r="U660" s="85"/>
      <x:c r="W660" s="86"/>
      <x:c r="X660" s="86"/>
      <x:c r="Y660" s="32"/>
    </x:row>
    <x:row r="661">
      <x:c r="A661" s="87"/>
      <x:c r="B661" s="88"/>
      <x:c r="D661" s="32"/>
      <x:c r="G661" s="74"/>
      <x:c r="H661" s="74"/>
      <x:c r="I661" s="74"/>
      <x:c r="J661" s="74"/>
      <x:c r="K661" s="74"/>
      <x:c r="L661" s="74"/>
      <x:c r="M661" s="91"/>
      <x:c r="N661" s="91"/>
      <x:c r="O661" s="85"/>
      <x:c r="P661" s="85"/>
      <x:c r="Q661" s="85"/>
      <x:c r="R661" s="85"/>
      <x:c r="S661" s="85"/>
      <x:c r="T661" s="85"/>
      <x:c r="U661" s="85"/>
      <x:c r="W661" s="86"/>
      <x:c r="X661" s="86"/>
      <x:c r="Y661" s="32"/>
    </x:row>
    <x:row r="662">
      <x:c r="A662" s="87"/>
      <x:c r="B662" s="88"/>
      <x:c r="D662" s="32"/>
      <x:c r="G662" s="74"/>
      <x:c r="H662" s="74"/>
      <x:c r="I662" s="74"/>
      <x:c r="J662" s="74"/>
      <x:c r="K662" s="74"/>
      <x:c r="L662" s="74"/>
      <x:c r="M662" s="91"/>
      <x:c r="N662" s="91"/>
      <x:c r="O662" s="85"/>
      <x:c r="P662" s="85"/>
      <x:c r="Q662" s="85"/>
      <x:c r="R662" s="85"/>
      <x:c r="S662" s="85"/>
      <x:c r="T662" s="85"/>
      <x:c r="U662" s="85"/>
      <x:c r="W662" s="86"/>
      <x:c r="X662" s="86"/>
      <x:c r="Y662" s="32"/>
    </x:row>
    <x:row r="663">
      <x:c r="A663" s="87"/>
      <x:c r="B663" s="88"/>
      <x:c r="D663" s="32"/>
      <x:c r="G663" s="74"/>
      <x:c r="H663" s="74"/>
      <x:c r="I663" s="74"/>
      <x:c r="J663" s="74"/>
      <x:c r="K663" s="74"/>
      <x:c r="L663" s="74"/>
      <x:c r="M663" s="91"/>
      <x:c r="N663" s="91"/>
      <x:c r="O663" s="85"/>
      <x:c r="P663" s="85"/>
      <x:c r="Q663" s="85"/>
      <x:c r="R663" s="85"/>
      <x:c r="S663" s="85"/>
      <x:c r="T663" s="85"/>
      <x:c r="U663" s="85"/>
      <x:c r="W663" s="86"/>
      <x:c r="X663" s="86"/>
      <x:c r="Y663" s="32"/>
    </x:row>
    <x:row r="664">
      <x:c r="A664" s="87"/>
      <x:c r="B664" s="88"/>
      <x:c r="D664" s="32"/>
      <x:c r="G664" s="74"/>
      <x:c r="H664" s="74"/>
      <x:c r="I664" s="74"/>
      <x:c r="J664" s="74"/>
      <x:c r="K664" s="74"/>
      <x:c r="L664" s="74"/>
      <x:c r="M664" s="91"/>
      <x:c r="N664" s="91"/>
      <x:c r="O664" s="85"/>
      <x:c r="P664" s="85"/>
      <x:c r="Q664" s="85"/>
      <x:c r="R664" s="85"/>
      <x:c r="S664" s="85"/>
      <x:c r="T664" s="85"/>
      <x:c r="U664" s="85"/>
      <x:c r="W664" s="86"/>
      <x:c r="X664" s="86"/>
      <x:c r="Y664" s="32"/>
    </x:row>
    <x:row r="665">
      <x:c r="A665" s="87"/>
      <x:c r="B665" s="88"/>
      <x:c r="D665" s="32"/>
      <x:c r="G665" s="74"/>
      <x:c r="H665" s="74"/>
      <x:c r="I665" s="74"/>
      <x:c r="J665" s="74"/>
      <x:c r="K665" s="74"/>
      <x:c r="L665" s="74"/>
      <x:c r="M665" s="91"/>
      <x:c r="N665" s="91"/>
      <x:c r="O665" s="85"/>
      <x:c r="P665" s="85"/>
      <x:c r="Q665" s="85"/>
      <x:c r="R665" s="85"/>
      <x:c r="S665" s="85"/>
      <x:c r="T665" s="85"/>
      <x:c r="U665" s="85"/>
      <x:c r="W665" s="86"/>
      <x:c r="X665" s="86"/>
      <x:c r="Y665" s="32"/>
    </x:row>
    <x:row r="666">
      <x:c r="A666" s="87"/>
      <x:c r="B666" s="88"/>
      <x:c r="D666" s="32"/>
      <x:c r="G666" s="74"/>
      <x:c r="H666" s="74"/>
      <x:c r="I666" s="74"/>
      <x:c r="J666" s="74"/>
      <x:c r="K666" s="74"/>
      <x:c r="L666" s="74"/>
      <x:c r="M666" s="91"/>
      <x:c r="N666" s="91"/>
      <x:c r="O666" s="85"/>
      <x:c r="P666" s="85"/>
      <x:c r="Q666" s="85"/>
      <x:c r="R666" s="85"/>
      <x:c r="S666" s="85"/>
      <x:c r="T666" s="85"/>
      <x:c r="U666" s="85"/>
      <x:c r="W666" s="86"/>
      <x:c r="X666" s="86"/>
      <x:c r="Y666" s="32"/>
    </x:row>
    <x:row r="667">
      <x:c r="A667" s="87"/>
      <x:c r="B667" s="88"/>
      <x:c r="D667" s="32"/>
      <x:c r="G667" s="74"/>
      <x:c r="H667" s="74"/>
      <x:c r="I667" s="74"/>
      <x:c r="J667" s="74"/>
      <x:c r="K667" s="74"/>
      <x:c r="L667" s="74"/>
      <x:c r="M667" s="91"/>
      <x:c r="N667" s="91"/>
      <x:c r="O667" s="85"/>
      <x:c r="P667" s="85"/>
      <x:c r="Q667" s="85"/>
      <x:c r="R667" s="85"/>
      <x:c r="S667" s="85"/>
      <x:c r="T667" s="85"/>
      <x:c r="U667" s="85"/>
      <x:c r="W667" s="86"/>
      <x:c r="X667" s="86"/>
      <x:c r="Y667" s="32"/>
    </x:row>
    <x:row r="668">
      <x:c r="A668" s="87"/>
      <x:c r="B668" s="88"/>
      <x:c r="D668" s="32"/>
      <x:c r="G668" s="74"/>
      <x:c r="H668" s="74"/>
      <x:c r="I668" s="74"/>
      <x:c r="J668" s="74"/>
      <x:c r="K668" s="74"/>
      <x:c r="L668" s="74"/>
      <x:c r="M668" s="91"/>
      <x:c r="N668" s="91"/>
      <x:c r="O668" s="85"/>
      <x:c r="P668" s="85"/>
      <x:c r="Q668" s="85"/>
      <x:c r="R668" s="85"/>
      <x:c r="S668" s="85"/>
      <x:c r="T668" s="85"/>
      <x:c r="U668" s="85"/>
      <x:c r="W668" s="86"/>
      <x:c r="X668" s="86"/>
      <x:c r="Y668" s="32"/>
    </x:row>
    <x:row r="669">
      <x:c r="A669" s="87"/>
      <x:c r="B669" s="88"/>
      <x:c r="D669" s="32"/>
      <x:c r="G669" s="74"/>
      <x:c r="H669" s="74"/>
      <x:c r="I669" s="74"/>
      <x:c r="J669" s="74"/>
      <x:c r="K669" s="74"/>
      <x:c r="L669" s="74"/>
      <x:c r="M669" s="91"/>
      <x:c r="N669" s="91"/>
      <x:c r="O669" s="85"/>
      <x:c r="P669" s="85"/>
      <x:c r="Q669" s="85"/>
      <x:c r="R669" s="85"/>
      <x:c r="S669" s="85"/>
      <x:c r="T669" s="85"/>
      <x:c r="U669" s="85"/>
      <x:c r="W669" s="86"/>
      <x:c r="X669" s="86"/>
      <x:c r="Y669" s="32"/>
    </x:row>
    <x:row r="670">
      <x:c r="A670" s="87"/>
      <x:c r="B670" s="88"/>
      <x:c r="D670" s="32"/>
      <x:c r="G670" s="74"/>
      <x:c r="H670" s="74"/>
      <x:c r="I670" s="74"/>
      <x:c r="J670" s="74"/>
      <x:c r="K670" s="74"/>
      <x:c r="L670" s="74"/>
      <x:c r="M670" s="91"/>
      <x:c r="N670" s="91"/>
      <x:c r="O670" s="85"/>
      <x:c r="P670" s="85"/>
      <x:c r="Q670" s="85"/>
      <x:c r="R670" s="85"/>
      <x:c r="S670" s="85"/>
      <x:c r="T670" s="85"/>
      <x:c r="U670" s="85"/>
      <x:c r="W670" s="86"/>
      <x:c r="X670" s="86"/>
      <x:c r="Y670" s="32"/>
    </x:row>
    <x:row r="671">
      <x:c r="A671" s="87"/>
      <x:c r="B671" s="88"/>
      <x:c r="D671" s="32"/>
      <x:c r="G671" s="74"/>
      <x:c r="H671" s="74"/>
      <x:c r="I671" s="74"/>
      <x:c r="J671" s="74"/>
      <x:c r="K671" s="74"/>
      <x:c r="L671" s="74"/>
      <x:c r="M671" s="91"/>
      <x:c r="N671" s="91"/>
      <x:c r="O671" s="85"/>
      <x:c r="P671" s="85"/>
      <x:c r="Q671" s="85"/>
      <x:c r="R671" s="85"/>
      <x:c r="S671" s="85"/>
      <x:c r="T671" s="85"/>
      <x:c r="U671" s="85"/>
      <x:c r="W671" s="86"/>
      <x:c r="X671" s="86"/>
      <x:c r="Y671" s="32"/>
    </x:row>
    <x:row r="672">
      <x:c r="A672" s="87"/>
      <x:c r="B672" s="88"/>
      <x:c r="D672" s="32"/>
      <x:c r="G672" s="74"/>
      <x:c r="H672" s="74"/>
      <x:c r="I672" s="74"/>
      <x:c r="J672" s="74"/>
      <x:c r="K672" s="74"/>
      <x:c r="L672" s="74"/>
      <x:c r="M672" s="91"/>
      <x:c r="N672" s="91"/>
      <x:c r="O672" s="85"/>
      <x:c r="P672" s="85"/>
      <x:c r="Q672" s="85"/>
      <x:c r="R672" s="85"/>
      <x:c r="S672" s="85"/>
      <x:c r="T672" s="85"/>
      <x:c r="U672" s="85"/>
      <x:c r="W672" s="86"/>
      <x:c r="X672" s="86"/>
      <x:c r="Y672" s="32"/>
    </x:row>
    <x:row r="673">
      <x:c r="A673" s="87"/>
      <x:c r="B673" s="88"/>
      <x:c r="D673" s="32"/>
      <x:c r="G673" s="74"/>
      <x:c r="H673" s="74"/>
      <x:c r="I673" s="74"/>
      <x:c r="J673" s="74"/>
      <x:c r="K673" s="74"/>
      <x:c r="L673" s="74"/>
      <x:c r="M673" s="91"/>
      <x:c r="N673" s="91"/>
      <x:c r="O673" s="85"/>
      <x:c r="P673" s="85"/>
      <x:c r="Q673" s="85"/>
      <x:c r="R673" s="85"/>
      <x:c r="S673" s="85"/>
      <x:c r="T673" s="85"/>
      <x:c r="U673" s="85"/>
      <x:c r="W673" s="86"/>
      <x:c r="X673" s="86"/>
      <x:c r="Y673" s="32"/>
    </x:row>
    <x:row r="674">
      <x:c r="A674" s="87"/>
      <x:c r="B674" s="88"/>
      <x:c r="D674" s="32"/>
      <x:c r="G674" s="74"/>
      <x:c r="H674" s="74"/>
      <x:c r="I674" s="74"/>
      <x:c r="J674" s="74"/>
      <x:c r="K674" s="74"/>
      <x:c r="L674" s="74"/>
      <x:c r="M674" s="91"/>
      <x:c r="N674" s="91"/>
      <x:c r="O674" s="85"/>
      <x:c r="P674" s="85"/>
      <x:c r="Q674" s="85"/>
      <x:c r="R674" s="85"/>
      <x:c r="S674" s="85"/>
      <x:c r="T674" s="85"/>
      <x:c r="U674" s="85"/>
      <x:c r="W674" s="86"/>
      <x:c r="X674" s="86"/>
      <x:c r="Y674" s="32"/>
    </x:row>
    <x:row r="675">
      <x:c r="A675" s="87"/>
      <x:c r="B675" s="88"/>
      <x:c r="D675" s="32"/>
      <x:c r="G675" s="74"/>
      <x:c r="H675" s="74"/>
      <x:c r="I675" s="74"/>
      <x:c r="J675" s="74"/>
      <x:c r="K675" s="74"/>
      <x:c r="L675" s="74"/>
      <x:c r="M675" s="91"/>
      <x:c r="N675" s="91"/>
      <x:c r="O675" s="85"/>
      <x:c r="P675" s="85"/>
      <x:c r="Q675" s="85"/>
      <x:c r="R675" s="85"/>
      <x:c r="S675" s="85"/>
      <x:c r="T675" s="85"/>
      <x:c r="U675" s="85"/>
      <x:c r="W675" s="86"/>
      <x:c r="X675" s="86"/>
      <x:c r="Y675" s="32"/>
    </x:row>
    <x:row r="676">
      <x:c r="A676" s="87"/>
      <x:c r="B676" s="88"/>
      <x:c r="D676" s="32"/>
      <x:c r="G676" s="74"/>
      <x:c r="H676" s="74"/>
      <x:c r="I676" s="74"/>
      <x:c r="J676" s="74"/>
      <x:c r="K676" s="74"/>
      <x:c r="L676" s="74"/>
      <x:c r="M676" s="91"/>
      <x:c r="N676" s="91"/>
      <x:c r="O676" s="85"/>
      <x:c r="P676" s="85"/>
      <x:c r="Q676" s="85"/>
      <x:c r="R676" s="85"/>
      <x:c r="S676" s="85"/>
      <x:c r="T676" s="85"/>
      <x:c r="U676" s="85"/>
      <x:c r="W676" s="86"/>
      <x:c r="X676" s="86"/>
      <x:c r="Y676" s="32"/>
    </x:row>
    <x:row r="677">
      <x:c r="A677" s="87"/>
      <x:c r="B677" s="88"/>
      <x:c r="D677" s="32"/>
      <x:c r="G677" s="74"/>
      <x:c r="H677" s="74"/>
      <x:c r="I677" s="74"/>
      <x:c r="J677" s="74"/>
      <x:c r="K677" s="74"/>
      <x:c r="L677" s="74"/>
      <x:c r="M677" s="91"/>
      <x:c r="N677" s="91"/>
      <x:c r="O677" s="85"/>
      <x:c r="P677" s="85"/>
      <x:c r="Q677" s="85"/>
      <x:c r="R677" s="85"/>
      <x:c r="S677" s="85"/>
      <x:c r="T677" s="85"/>
      <x:c r="U677" s="85"/>
      <x:c r="W677" s="86"/>
      <x:c r="X677" s="86"/>
      <x:c r="Y677" s="32"/>
    </x:row>
    <x:row r="678">
      <x:c r="A678" s="87"/>
      <x:c r="B678" s="88"/>
      <x:c r="D678" s="32"/>
      <x:c r="G678" s="74"/>
      <x:c r="H678" s="74"/>
      <x:c r="I678" s="74"/>
      <x:c r="J678" s="74"/>
      <x:c r="K678" s="74"/>
      <x:c r="L678" s="74"/>
      <x:c r="M678" s="91"/>
      <x:c r="N678" s="91"/>
      <x:c r="O678" s="85"/>
      <x:c r="P678" s="85"/>
      <x:c r="Q678" s="85"/>
      <x:c r="R678" s="85"/>
      <x:c r="S678" s="85"/>
      <x:c r="T678" s="85"/>
      <x:c r="U678" s="85"/>
      <x:c r="W678" s="86"/>
      <x:c r="X678" s="86"/>
      <x:c r="Y678" s="32"/>
    </x:row>
    <x:row r="679">
      <x:c r="A679" s="87"/>
      <x:c r="B679" s="88"/>
      <x:c r="D679" s="32"/>
      <x:c r="G679" s="74"/>
      <x:c r="H679" s="74"/>
      <x:c r="I679" s="74"/>
      <x:c r="J679" s="74"/>
      <x:c r="K679" s="74"/>
      <x:c r="L679" s="74"/>
      <x:c r="M679" s="91"/>
      <x:c r="N679" s="91"/>
      <x:c r="O679" s="85"/>
      <x:c r="P679" s="85"/>
      <x:c r="Q679" s="85"/>
      <x:c r="R679" s="85"/>
      <x:c r="S679" s="85"/>
      <x:c r="T679" s="85"/>
      <x:c r="U679" s="85"/>
      <x:c r="W679" s="86"/>
      <x:c r="X679" s="86"/>
      <x:c r="Y679" s="32"/>
    </x:row>
    <x:row r="680">
      <x:c r="A680" s="87"/>
      <x:c r="B680" s="88"/>
      <x:c r="D680" s="32"/>
      <x:c r="G680" s="74"/>
      <x:c r="H680" s="74"/>
      <x:c r="I680" s="74"/>
      <x:c r="J680" s="74"/>
      <x:c r="K680" s="74"/>
      <x:c r="L680" s="74"/>
      <x:c r="M680" s="91"/>
      <x:c r="N680" s="91"/>
      <x:c r="O680" s="85"/>
      <x:c r="P680" s="85"/>
      <x:c r="Q680" s="85"/>
      <x:c r="R680" s="85"/>
      <x:c r="S680" s="85"/>
      <x:c r="T680" s="85"/>
      <x:c r="U680" s="85"/>
      <x:c r="W680" s="86"/>
      <x:c r="X680" s="86"/>
      <x:c r="Y680" s="32"/>
    </x:row>
    <x:row r="681">
      <x:c r="A681" s="87"/>
      <x:c r="B681" s="88"/>
      <x:c r="D681" s="32"/>
      <x:c r="G681" s="74"/>
      <x:c r="H681" s="74"/>
      <x:c r="I681" s="74"/>
      <x:c r="J681" s="74"/>
      <x:c r="K681" s="74"/>
      <x:c r="L681" s="74"/>
      <x:c r="M681" s="91"/>
      <x:c r="N681" s="91"/>
      <x:c r="O681" s="85"/>
      <x:c r="P681" s="85"/>
      <x:c r="Q681" s="85"/>
      <x:c r="R681" s="85"/>
      <x:c r="S681" s="85"/>
      <x:c r="T681" s="85"/>
      <x:c r="U681" s="85"/>
      <x:c r="W681" s="86"/>
      <x:c r="X681" s="86"/>
      <x:c r="Y681" s="32"/>
    </x:row>
    <x:row r="682">
      <x:c r="A682" s="87"/>
      <x:c r="B682" s="88"/>
      <x:c r="D682" s="32"/>
      <x:c r="G682" s="74"/>
      <x:c r="H682" s="74"/>
      <x:c r="I682" s="74"/>
      <x:c r="J682" s="74"/>
      <x:c r="K682" s="74"/>
      <x:c r="L682" s="74"/>
      <x:c r="M682" s="91"/>
      <x:c r="N682" s="91"/>
      <x:c r="O682" s="85"/>
      <x:c r="P682" s="85"/>
      <x:c r="Q682" s="85"/>
      <x:c r="R682" s="85"/>
      <x:c r="S682" s="85"/>
      <x:c r="T682" s="85"/>
      <x:c r="U682" s="85"/>
      <x:c r="W682" s="86"/>
      <x:c r="X682" s="86"/>
      <x:c r="Y682" s="32"/>
    </x:row>
    <x:row r="683">
      <x:c r="A683" s="87"/>
      <x:c r="B683" s="88"/>
      <x:c r="D683" s="32"/>
      <x:c r="G683" s="74"/>
      <x:c r="H683" s="74"/>
      <x:c r="I683" s="74"/>
      <x:c r="J683" s="74"/>
      <x:c r="K683" s="74"/>
      <x:c r="L683" s="74"/>
      <x:c r="M683" s="91"/>
      <x:c r="N683" s="91"/>
      <x:c r="O683" s="85"/>
      <x:c r="P683" s="85"/>
      <x:c r="Q683" s="85"/>
      <x:c r="R683" s="85"/>
      <x:c r="S683" s="85"/>
      <x:c r="T683" s="85"/>
      <x:c r="U683" s="85"/>
      <x:c r="W683" s="86"/>
      <x:c r="X683" s="86"/>
      <x:c r="Y683" s="32"/>
    </x:row>
    <x:row r="684">
      <x:c r="A684" s="87"/>
      <x:c r="B684" s="88"/>
      <x:c r="D684" s="32"/>
      <x:c r="G684" s="74"/>
      <x:c r="H684" s="74"/>
      <x:c r="I684" s="74"/>
      <x:c r="J684" s="74"/>
      <x:c r="K684" s="74"/>
      <x:c r="L684" s="74"/>
      <x:c r="M684" s="91"/>
      <x:c r="N684" s="91"/>
      <x:c r="O684" s="85"/>
      <x:c r="P684" s="85"/>
      <x:c r="Q684" s="85"/>
      <x:c r="R684" s="85"/>
      <x:c r="S684" s="85"/>
      <x:c r="T684" s="85"/>
      <x:c r="U684" s="85"/>
      <x:c r="W684" s="86"/>
      <x:c r="X684" s="86"/>
      <x:c r="Y684" s="32"/>
    </x:row>
    <x:row r="685">
      <x:c r="A685" s="87"/>
      <x:c r="B685" s="88"/>
      <x:c r="D685" s="32"/>
      <x:c r="G685" s="74"/>
      <x:c r="H685" s="74"/>
      <x:c r="I685" s="74"/>
      <x:c r="J685" s="74"/>
      <x:c r="K685" s="74"/>
      <x:c r="L685" s="74"/>
      <x:c r="M685" s="91"/>
      <x:c r="N685" s="91"/>
      <x:c r="O685" s="85"/>
      <x:c r="P685" s="85"/>
      <x:c r="Q685" s="85"/>
      <x:c r="R685" s="85"/>
      <x:c r="S685" s="85"/>
      <x:c r="T685" s="85"/>
      <x:c r="U685" s="85"/>
      <x:c r="W685" s="86"/>
      <x:c r="X685" s="86"/>
      <x:c r="Y685" s="32"/>
    </x:row>
    <x:row r="686">
      <x:c r="A686" s="87"/>
      <x:c r="B686" s="88"/>
      <x:c r="D686" s="32"/>
      <x:c r="G686" s="74"/>
      <x:c r="H686" s="74"/>
      <x:c r="I686" s="74"/>
      <x:c r="J686" s="74"/>
      <x:c r="K686" s="74"/>
      <x:c r="L686" s="74"/>
      <x:c r="M686" s="91"/>
      <x:c r="N686" s="91"/>
      <x:c r="O686" s="85"/>
      <x:c r="P686" s="85"/>
      <x:c r="Q686" s="85"/>
      <x:c r="R686" s="85"/>
      <x:c r="S686" s="85"/>
      <x:c r="T686" s="85"/>
      <x:c r="U686" s="85"/>
      <x:c r="W686" s="86"/>
      <x:c r="X686" s="86"/>
      <x:c r="Y686" s="32"/>
    </x:row>
    <x:row r="687">
      <x:c r="A687" s="87"/>
      <x:c r="B687" s="88"/>
      <x:c r="D687" s="32"/>
      <x:c r="G687" s="74"/>
      <x:c r="H687" s="74"/>
      <x:c r="I687" s="74"/>
      <x:c r="J687" s="74"/>
      <x:c r="K687" s="74"/>
      <x:c r="L687" s="74"/>
      <x:c r="M687" s="91"/>
      <x:c r="N687" s="91"/>
      <x:c r="O687" s="85"/>
      <x:c r="P687" s="85"/>
      <x:c r="Q687" s="85"/>
      <x:c r="R687" s="85"/>
      <x:c r="S687" s="85"/>
      <x:c r="T687" s="85"/>
      <x:c r="U687" s="85"/>
      <x:c r="W687" s="86"/>
      <x:c r="X687" s="86"/>
      <x:c r="Y687" s="32"/>
    </x:row>
    <x:row r="688">
      <x:c r="A688" s="87"/>
      <x:c r="B688" s="88"/>
      <x:c r="D688" s="32"/>
      <x:c r="G688" s="74"/>
      <x:c r="H688" s="74"/>
      <x:c r="I688" s="74"/>
      <x:c r="J688" s="74"/>
      <x:c r="K688" s="74"/>
      <x:c r="L688" s="74"/>
      <x:c r="M688" s="91"/>
      <x:c r="N688" s="91"/>
      <x:c r="O688" s="85"/>
      <x:c r="P688" s="85"/>
      <x:c r="Q688" s="85"/>
      <x:c r="R688" s="85"/>
      <x:c r="S688" s="85"/>
      <x:c r="T688" s="85"/>
      <x:c r="U688" s="85"/>
      <x:c r="W688" s="86"/>
      <x:c r="X688" s="86"/>
      <x:c r="Y688" s="32"/>
    </x:row>
    <x:row r="689">
      <x:c r="A689" s="87"/>
      <x:c r="B689" s="88"/>
      <x:c r="D689" s="32"/>
      <x:c r="G689" s="74"/>
      <x:c r="H689" s="74"/>
      <x:c r="I689" s="74"/>
      <x:c r="J689" s="74"/>
      <x:c r="K689" s="74"/>
      <x:c r="L689" s="74"/>
      <x:c r="M689" s="91"/>
      <x:c r="N689" s="91"/>
      <x:c r="O689" s="85"/>
      <x:c r="P689" s="85"/>
      <x:c r="Q689" s="85"/>
      <x:c r="R689" s="85"/>
      <x:c r="S689" s="85"/>
      <x:c r="T689" s="85"/>
      <x:c r="U689" s="85"/>
      <x:c r="W689" s="86"/>
      <x:c r="X689" s="86"/>
      <x:c r="Y689" s="32"/>
    </x:row>
    <x:row r="690">
      <x:c r="A690" s="87"/>
      <x:c r="B690" s="88"/>
      <x:c r="D690" s="32"/>
      <x:c r="G690" s="74"/>
      <x:c r="H690" s="74"/>
      <x:c r="I690" s="74"/>
      <x:c r="J690" s="74"/>
      <x:c r="K690" s="74"/>
      <x:c r="L690" s="74"/>
      <x:c r="M690" s="91"/>
      <x:c r="N690" s="91"/>
      <x:c r="O690" s="85"/>
      <x:c r="P690" s="85"/>
      <x:c r="Q690" s="85"/>
      <x:c r="R690" s="85"/>
      <x:c r="S690" s="85"/>
      <x:c r="T690" s="85"/>
      <x:c r="U690" s="85"/>
      <x:c r="W690" s="86"/>
      <x:c r="X690" s="86"/>
      <x:c r="Y690" s="32"/>
    </x:row>
    <x:row r="691">
      <x:c r="A691" s="87"/>
      <x:c r="B691" s="88"/>
      <x:c r="D691" s="32"/>
      <x:c r="G691" s="74"/>
      <x:c r="H691" s="74"/>
      <x:c r="I691" s="74"/>
      <x:c r="J691" s="74"/>
      <x:c r="K691" s="74"/>
      <x:c r="L691" s="74"/>
      <x:c r="M691" s="91"/>
      <x:c r="N691" s="91"/>
      <x:c r="O691" s="85"/>
      <x:c r="P691" s="85"/>
      <x:c r="Q691" s="85"/>
      <x:c r="R691" s="85"/>
      <x:c r="S691" s="85"/>
      <x:c r="T691" s="85"/>
      <x:c r="U691" s="85"/>
      <x:c r="W691" s="86"/>
      <x:c r="X691" s="86"/>
      <x:c r="Y691" s="32"/>
    </x:row>
    <x:row r="692">
      <x:c r="A692" s="87"/>
      <x:c r="B692" s="88"/>
      <x:c r="D692" s="32"/>
      <x:c r="G692" s="74"/>
      <x:c r="H692" s="74"/>
      <x:c r="I692" s="74"/>
      <x:c r="J692" s="74"/>
      <x:c r="K692" s="74"/>
      <x:c r="L692" s="74"/>
      <x:c r="M692" s="91"/>
      <x:c r="N692" s="91"/>
      <x:c r="O692" s="85"/>
      <x:c r="P692" s="85"/>
      <x:c r="Q692" s="85"/>
      <x:c r="R692" s="85"/>
      <x:c r="S692" s="85"/>
      <x:c r="T692" s="85"/>
      <x:c r="U692" s="85"/>
      <x:c r="W692" s="86"/>
      <x:c r="X692" s="86"/>
      <x:c r="Y692" s="32"/>
    </x:row>
    <x:row r="693">
      <x:c r="A693" s="87"/>
      <x:c r="B693" s="88"/>
      <x:c r="D693" s="32"/>
      <x:c r="G693" s="74"/>
      <x:c r="H693" s="74"/>
      <x:c r="I693" s="74"/>
      <x:c r="J693" s="74"/>
      <x:c r="K693" s="74"/>
      <x:c r="L693" s="74"/>
      <x:c r="M693" s="91"/>
      <x:c r="N693" s="91"/>
      <x:c r="O693" s="85"/>
      <x:c r="P693" s="85"/>
      <x:c r="Q693" s="85"/>
      <x:c r="R693" s="85"/>
      <x:c r="S693" s="85"/>
      <x:c r="T693" s="85"/>
      <x:c r="U693" s="85"/>
      <x:c r="W693" s="86"/>
      <x:c r="X693" s="86"/>
      <x:c r="Y693" s="32"/>
    </x:row>
    <x:row r="694">
      <x:c r="A694" s="87"/>
      <x:c r="B694" s="88"/>
      <x:c r="D694" s="32"/>
      <x:c r="G694" s="74"/>
      <x:c r="H694" s="74"/>
      <x:c r="I694" s="74"/>
      <x:c r="J694" s="74"/>
      <x:c r="K694" s="74"/>
      <x:c r="L694" s="74"/>
      <x:c r="M694" s="91"/>
      <x:c r="N694" s="91"/>
      <x:c r="O694" s="85"/>
      <x:c r="P694" s="85"/>
      <x:c r="Q694" s="85"/>
      <x:c r="R694" s="85"/>
      <x:c r="S694" s="85"/>
      <x:c r="T694" s="85"/>
      <x:c r="U694" s="85"/>
      <x:c r="W694" s="86"/>
      <x:c r="X694" s="86"/>
      <x:c r="Y694" s="32"/>
    </x:row>
    <x:row r="695">
      <x:c r="A695" s="87"/>
      <x:c r="B695" s="88"/>
      <x:c r="D695" s="32"/>
      <x:c r="G695" s="74"/>
      <x:c r="H695" s="74"/>
      <x:c r="I695" s="74"/>
      <x:c r="J695" s="74"/>
      <x:c r="K695" s="74"/>
      <x:c r="L695" s="74"/>
      <x:c r="M695" s="91"/>
      <x:c r="N695" s="91"/>
      <x:c r="O695" s="85"/>
      <x:c r="P695" s="85"/>
      <x:c r="Q695" s="85"/>
      <x:c r="R695" s="85"/>
      <x:c r="S695" s="85"/>
      <x:c r="T695" s="85"/>
      <x:c r="U695" s="85"/>
      <x:c r="W695" s="86"/>
      <x:c r="X695" s="86"/>
      <x:c r="Y695" s="32"/>
    </x:row>
    <x:row r="696">
      <x:c r="A696" s="87"/>
      <x:c r="B696" s="88"/>
      <x:c r="D696" s="32"/>
      <x:c r="G696" s="74"/>
      <x:c r="H696" s="74"/>
      <x:c r="I696" s="74"/>
      <x:c r="J696" s="74"/>
      <x:c r="K696" s="74"/>
      <x:c r="L696" s="74"/>
      <x:c r="M696" s="91"/>
      <x:c r="N696" s="91"/>
      <x:c r="O696" s="85"/>
      <x:c r="P696" s="85"/>
      <x:c r="Q696" s="85"/>
      <x:c r="R696" s="85"/>
      <x:c r="S696" s="85"/>
      <x:c r="T696" s="85"/>
      <x:c r="U696" s="85"/>
      <x:c r="W696" s="86"/>
      <x:c r="X696" s="86"/>
      <x:c r="Y696" s="32"/>
    </x:row>
    <x:row r="697">
      <x:c r="A697" s="87"/>
      <x:c r="B697" s="88"/>
      <x:c r="D697" s="32"/>
      <x:c r="G697" s="74"/>
      <x:c r="H697" s="74"/>
      <x:c r="I697" s="74"/>
      <x:c r="J697" s="74"/>
      <x:c r="K697" s="74"/>
      <x:c r="L697" s="74"/>
      <x:c r="M697" s="91"/>
      <x:c r="N697" s="91"/>
      <x:c r="O697" s="85"/>
      <x:c r="P697" s="85"/>
      <x:c r="Q697" s="85"/>
      <x:c r="R697" s="85"/>
      <x:c r="S697" s="85"/>
      <x:c r="T697" s="85"/>
      <x:c r="U697" s="85"/>
      <x:c r="W697" s="86"/>
      <x:c r="X697" s="86"/>
      <x:c r="Y697" s="32"/>
    </x:row>
    <x:row r="698">
      <x:c r="A698" s="87"/>
      <x:c r="B698" s="88"/>
      <x:c r="D698" s="32"/>
      <x:c r="G698" s="74"/>
      <x:c r="H698" s="74"/>
      <x:c r="I698" s="74"/>
      <x:c r="J698" s="74"/>
      <x:c r="K698" s="74"/>
      <x:c r="L698" s="74"/>
      <x:c r="M698" s="91"/>
      <x:c r="N698" s="91"/>
      <x:c r="O698" s="85"/>
      <x:c r="P698" s="85"/>
      <x:c r="Q698" s="85"/>
      <x:c r="R698" s="85"/>
      <x:c r="S698" s="85"/>
      <x:c r="T698" s="85"/>
      <x:c r="U698" s="85"/>
      <x:c r="W698" s="86"/>
      <x:c r="X698" s="86"/>
      <x:c r="Y698" s="32"/>
    </x:row>
    <x:row r="699">
      <x:c r="A699" s="87"/>
      <x:c r="B699" s="88"/>
      <x:c r="D699" s="32"/>
      <x:c r="G699" s="74"/>
      <x:c r="H699" s="74"/>
      <x:c r="I699" s="74"/>
      <x:c r="J699" s="74"/>
      <x:c r="K699" s="74"/>
      <x:c r="L699" s="74"/>
      <x:c r="M699" s="91"/>
      <x:c r="N699" s="91"/>
      <x:c r="O699" s="85"/>
      <x:c r="P699" s="85"/>
      <x:c r="Q699" s="85"/>
      <x:c r="R699" s="85"/>
      <x:c r="S699" s="85"/>
      <x:c r="T699" s="85"/>
      <x:c r="U699" s="85"/>
      <x:c r="W699" s="86"/>
      <x:c r="X699" s="86"/>
      <x:c r="Y699" s="32"/>
    </x:row>
    <x:row r="700">
      <x:c r="A700" s="87"/>
      <x:c r="B700" s="88"/>
      <x:c r="D700" s="32"/>
      <x:c r="G700" s="74"/>
      <x:c r="H700" s="74"/>
      <x:c r="I700" s="74"/>
      <x:c r="J700" s="74"/>
      <x:c r="K700" s="74"/>
      <x:c r="L700" s="74"/>
      <x:c r="M700" s="91"/>
      <x:c r="N700" s="91"/>
      <x:c r="O700" s="85"/>
      <x:c r="P700" s="85"/>
      <x:c r="Q700" s="85"/>
      <x:c r="R700" s="85"/>
      <x:c r="S700" s="85"/>
      <x:c r="T700" s="85"/>
      <x:c r="U700" s="85"/>
      <x:c r="W700" s="86"/>
      <x:c r="X700" s="86"/>
      <x:c r="Y700" s="32"/>
    </x:row>
    <x:row r="701">
      <x:c r="A701" s="87"/>
      <x:c r="B701" s="88"/>
      <x:c r="D701" s="32"/>
      <x:c r="G701" s="74"/>
      <x:c r="H701" s="74"/>
      <x:c r="I701" s="74"/>
      <x:c r="J701" s="74"/>
      <x:c r="K701" s="74"/>
      <x:c r="L701" s="74"/>
      <x:c r="M701" s="91"/>
      <x:c r="N701" s="91"/>
      <x:c r="O701" s="85"/>
      <x:c r="P701" s="85"/>
      <x:c r="Q701" s="85"/>
      <x:c r="R701" s="85"/>
      <x:c r="S701" s="85"/>
      <x:c r="T701" s="85"/>
      <x:c r="U701" s="85"/>
      <x:c r="W701" s="86"/>
      <x:c r="X701" s="86"/>
      <x:c r="Y701" s="32"/>
    </x:row>
    <x:row r="702">
      <x:c r="A702" s="87"/>
      <x:c r="B702" s="88"/>
      <x:c r="D702" s="32"/>
      <x:c r="G702" s="74"/>
      <x:c r="H702" s="74"/>
      <x:c r="I702" s="74"/>
      <x:c r="J702" s="74"/>
      <x:c r="K702" s="74"/>
      <x:c r="L702" s="74"/>
      <x:c r="M702" s="91"/>
      <x:c r="N702" s="91"/>
      <x:c r="O702" s="85"/>
      <x:c r="P702" s="85"/>
      <x:c r="Q702" s="85"/>
      <x:c r="R702" s="85"/>
      <x:c r="S702" s="85"/>
      <x:c r="T702" s="85"/>
      <x:c r="U702" s="85"/>
      <x:c r="W702" s="86"/>
      <x:c r="X702" s="86"/>
      <x:c r="Y702" s="32"/>
    </x:row>
    <x:row r="703">
      <x:c r="A703" s="87"/>
      <x:c r="B703" s="88"/>
      <x:c r="D703" s="32"/>
      <x:c r="G703" s="74"/>
      <x:c r="H703" s="74"/>
      <x:c r="I703" s="74"/>
      <x:c r="J703" s="74"/>
      <x:c r="K703" s="74"/>
      <x:c r="L703" s="74"/>
      <x:c r="M703" s="91"/>
      <x:c r="N703" s="91"/>
      <x:c r="O703" s="85"/>
      <x:c r="P703" s="85"/>
      <x:c r="Q703" s="85"/>
      <x:c r="R703" s="85"/>
      <x:c r="S703" s="85"/>
      <x:c r="T703" s="85"/>
      <x:c r="U703" s="85"/>
      <x:c r="W703" s="86"/>
      <x:c r="X703" s="86"/>
      <x:c r="Y703" s="32"/>
    </x:row>
    <x:row r="704">
      <x:c r="A704" s="87"/>
      <x:c r="B704" s="88"/>
      <x:c r="D704" s="32"/>
      <x:c r="G704" s="74"/>
      <x:c r="H704" s="74"/>
      <x:c r="I704" s="74"/>
      <x:c r="J704" s="74"/>
      <x:c r="K704" s="74"/>
      <x:c r="L704" s="74"/>
      <x:c r="M704" s="91"/>
      <x:c r="N704" s="91"/>
      <x:c r="O704" s="85"/>
      <x:c r="P704" s="85"/>
      <x:c r="Q704" s="85"/>
      <x:c r="R704" s="85"/>
      <x:c r="S704" s="85"/>
      <x:c r="T704" s="85"/>
      <x:c r="U704" s="85"/>
      <x:c r="W704" s="86"/>
      <x:c r="X704" s="86"/>
      <x:c r="Y704" s="32"/>
    </x:row>
    <x:row r="705">
      <x:c r="A705" s="87"/>
      <x:c r="B705" s="88"/>
      <x:c r="D705" s="32"/>
      <x:c r="G705" s="74"/>
      <x:c r="H705" s="74"/>
      <x:c r="I705" s="74"/>
      <x:c r="J705" s="74"/>
      <x:c r="K705" s="74"/>
      <x:c r="L705" s="74"/>
      <x:c r="M705" s="91"/>
      <x:c r="N705" s="91"/>
      <x:c r="O705" s="85"/>
      <x:c r="P705" s="85"/>
      <x:c r="Q705" s="85"/>
      <x:c r="R705" s="85"/>
      <x:c r="S705" s="85"/>
      <x:c r="T705" s="85"/>
      <x:c r="U705" s="85"/>
      <x:c r="W705" s="86"/>
      <x:c r="X705" s="86"/>
      <x:c r="Y705" s="32"/>
    </x:row>
    <x:row r="706">
      <x:c r="A706" s="87"/>
      <x:c r="B706" s="88"/>
      <x:c r="D706" s="32"/>
      <x:c r="G706" s="74"/>
      <x:c r="H706" s="74"/>
      <x:c r="I706" s="74"/>
      <x:c r="J706" s="74"/>
      <x:c r="K706" s="74"/>
      <x:c r="L706" s="74"/>
      <x:c r="M706" s="91"/>
      <x:c r="N706" s="91"/>
      <x:c r="O706" s="85"/>
      <x:c r="P706" s="85"/>
      <x:c r="Q706" s="85"/>
      <x:c r="R706" s="85"/>
      <x:c r="S706" s="85"/>
      <x:c r="T706" s="85"/>
      <x:c r="U706" s="85"/>
      <x:c r="W706" s="86"/>
      <x:c r="X706" s="86"/>
      <x:c r="Y706" s="32"/>
    </x:row>
    <x:row r="707">
      <x:c r="A707" s="87"/>
      <x:c r="B707" s="88"/>
      <x:c r="D707" s="32"/>
      <x:c r="G707" s="74"/>
      <x:c r="H707" s="74"/>
      <x:c r="I707" s="74"/>
      <x:c r="J707" s="74"/>
      <x:c r="K707" s="74"/>
      <x:c r="L707" s="74"/>
      <x:c r="M707" s="91"/>
      <x:c r="N707" s="91"/>
      <x:c r="O707" s="85"/>
      <x:c r="P707" s="85"/>
      <x:c r="Q707" s="85"/>
      <x:c r="R707" s="85"/>
      <x:c r="S707" s="85"/>
      <x:c r="T707" s="85"/>
      <x:c r="U707" s="85"/>
      <x:c r="W707" s="86"/>
      <x:c r="X707" s="86"/>
      <x:c r="Y707" s="32"/>
    </x:row>
    <x:row r="708">
      <x:c r="A708" s="87"/>
      <x:c r="B708" s="88"/>
      <x:c r="D708" s="32"/>
      <x:c r="G708" s="74"/>
      <x:c r="H708" s="74"/>
      <x:c r="I708" s="74"/>
      <x:c r="J708" s="74"/>
      <x:c r="K708" s="74"/>
      <x:c r="L708" s="74"/>
      <x:c r="M708" s="91"/>
      <x:c r="N708" s="91"/>
      <x:c r="O708" s="85"/>
      <x:c r="P708" s="85"/>
      <x:c r="Q708" s="85"/>
      <x:c r="R708" s="85"/>
      <x:c r="S708" s="85"/>
      <x:c r="T708" s="85"/>
      <x:c r="U708" s="85"/>
      <x:c r="W708" s="86"/>
      <x:c r="X708" s="86"/>
      <x:c r="Y708" s="32"/>
    </x:row>
    <x:row r="709">
      <x:c r="A709" s="87"/>
      <x:c r="B709" s="88"/>
      <x:c r="D709" s="32"/>
      <x:c r="G709" s="74"/>
      <x:c r="H709" s="74"/>
      <x:c r="I709" s="74"/>
      <x:c r="J709" s="74"/>
      <x:c r="K709" s="74"/>
      <x:c r="L709" s="74"/>
      <x:c r="M709" s="91"/>
      <x:c r="N709" s="91"/>
      <x:c r="O709" s="85"/>
      <x:c r="P709" s="85"/>
      <x:c r="Q709" s="85"/>
      <x:c r="R709" s="85"/>
      <x:c r="S709" s="85"/>
      <x:c r="T709" s="85"/>
      <x:c r="U709" s="85"/>
      <x:c r="W709" s="86"/>
      <x:c r="X709" s="86"/>
      <x:c r="Y709" s="32"/>
    </x:row>
    <x:row r="710">
      <x:c r="A710" s="87"/>
      <x:c r="B710" s="88"/>
      <x:c r="D710" s="32"/>
      <x:c r="G710" s="74"/>
      <x:c r="H710" s="74"/>
      <x:c r="I710" s="74"/>
      <x:c r="J710" s="74"/>
      <x:c r="K710" s="74"/>
      <x:c r="L710" s="74"/>
      <x:c r="M710" s="91"/>
      <x:c r="N710" s="91"/>
      <x:c r="O710" s="85"/>
      <x:c r="P710" s="85"/>
      <x:c r="Q710" s="85"/>
      <x:c r="R710" s="85"/>
      <x:c r="S710" s="85"/>
      <x:c r="T710" s="85"/>
      <x:c r="U710" s="85"/>
      <x:c r="W710" s="86"/>
      <x:c r="X710" s="86"/>
      <x:c r="Y710" s="32"/>
    </x:row>
    <x:row r="711">
      <x:c r="A711" s="87"/>
      <x:c r="B711" s="88"/>
      <x:c r="D711" s="32"/>
      <x:c r="G711" s="74"/>
      <x:c r="H711" s="74"/>
      <x:c r="I711" s="74"/>
      <x:c r="J711" s="74"/>
      <x:c r="K711" s="74"/>
      <x:c r="L711" s="74"/>
      <x:c r="M711" s="91"/>
      <x:c r="N711" s="91"/>
      <x:c r="O711" s="85"/>
      <x:c r="P711" s="85"/>
      <x:c r="Q711" s="85"/>
      <x:c r="R711" s="85"/>
      <x:c r="S711" s="85"/>
      <x:c r="T711" s="85"/>
      <x:c r="U711" s="85"/>
      <x:c r="W711" s="86"/>
      <x:c r="X711" s="86"/>
      <x:c r="Y711" s="32"/>
    </x:row>
    <x:row r="712">
      <x:c r="A712" s="87"/>
      <x:c r="B712" s="88"/>
      <x:c r="D712" s="32"/>
      <x:c r="G712" s="74"/>
      <x:c r="H712" s="74"/>
      <x:c r="I712" s="74"/>
      <x:c r="J712" s="74"/>
      <x:c r="K712" s="74"/>
      <x:c r="L712" s="74"/>
      <x:c r="M712" s="91"/>
      <x:c r="N712" s="91"/>
      <x:c r="O712" s="85"/>
      <x:c r="P712" s="85"/>
      <x:c r="Q712" s="85"/>
      <x:c r="R712" s="85"/>
      <x:c r="S712" s="85"/>
      <x:c r="T712" s="85"/>
      <x:c r="U712" s="85"/>
      <x:c r="W712" s="86"/>
      <x:c r="X712" s="86"/>
      <x:c r="Y712" s="32"/>
    </x:row>
    <x:row r="713">
      <x:c r="A713" s="87"/>
      <x:c r="B713" s="88"/>
      <x:c r="D713" s="32"/>
      <x:c r="G713" s="74"/>
      <x:c r="H713" s="74"/>
      <x:c r="I713" s="74"/>
      <x:c r="J713" s="74"/>
      <x:c r="K713" s="74"/>
      <x:c r="L713" s="74"/>
      <x:c r="M713" s="91"/>
      <x:c r="N713" s="91"/>
      <x:c r="O713" s="85"/>
      <x:c r="P713" s="85"/>
      <x:c r="Q713" s="85"/>
      <x:c r="R713" s="85"/>
      <x:c r="S713" s="85"/>
      <x:c r="T713" s="85"/>
      <x:c r="U713" s="85"/>
      <x:c r="W713" s="86"/>
      <x:c r="X713" s="86"/>
      <x:c r="Y713" s="32"/>
    </x:row>
    <x:row r="714">
      <x:c r="A714" s="87"/>
      <x:c r="B714" s="88"/>
      <x:c r="D714" s="32"/>
      <x:c r="G714" s="74"/>
      <x:c r="H714" s="74"/>
      <x:c r="I714" s="74"/>
      <x:c r="J714" s="74"/>
      <x:c r="K714" s="74"/>
      <x:c r="L714" s="74"/>
      <x:c r="M714" s="91"/>
      <x:c r="N714" s="91"/>
      <x:c r="O714" s="85"/>
      <x:c r="P714" s="85"/>
      <x:c r="Q714" s="85"/>
      <x:c r="R714" s="85"/>
      <x:c r="S714" s="85"/>
      <x:c r="T714" s="85"/>
      <x:c r="U714" s="85"/>
      <x:c r="W714" s="86"/>
      <x:c r="X714" s="86"/>
      <x:c r="Y714" s="32"/>
    </x:row>
    <x:row r="715">
      <x:c r="A715" s="87"/>
      <x:c r="B715" s="88"/>
      <x:c r="D715" s="32"/>
      <x:c r="G715" s="74"/>
      <x:c r="H715" s="74"/>
      <x:c r="I715" s="74"/>
      <x:c r="J715" s="74"/>
      <x:c r="K715" s="74"/>
      <x:c r="L715" s="74"/>
      <x:c r="M715" s="91"/>
      <x:c r="N715" s="91"/>
      <x:c r="O715" s="85"/>
      <x:c r="P715" s="85"/>
      <x:c r="Q715" s="85"/>
      <x:c r="R715" s="85"/>
      <x:c r="S715" s="85"/>
      <x:c r="T715" s="85"/>
      <x:c r="U715" s="85"/>
      <x:c r="W715" s="86"/>
      <x:c r="X715" s="86"/>
      <x:c r="Y715" s="32"/>
    </x:row>
    <x:row r="716">
      <x:c r="A716" s="87"/>
      <x:c r="B716" s="88"/>
      <x:c r="D716" s="32"/>
      <x:c r="G716" s="74"/>
      <x:c r="H716" s="74"/>
      <x:c r="I716" s="74"/>
      <x:c r="J716" s="74"/>
      <x:c r="K716" s="74"/>
      <x:c r="L716" s="74"/>
      <x:c r="M716" s="91"/>
      <x:c r="N716" s="91"/>
      <x:c r="O716" s="85"/>
      <x:c r="P716" s="85"/>
      <x:c r="Q716" s="85"/>
      <x:c r="R716" s="85"/>
      <x:c r="S716" s="85"/>
      <x:c r="T716" s="85"/>
      <x:c r="U716" s="85"/>
      <x:c r="W716" s="86"/>
      <x:c r="X716" s="86"/>
      <x:c r="Y716" s="32"/>
    </x:row>
    <x:row r="717">
      <x:c r="A717" s="87"/>
      <x:c r="B717" s="88"/>
      <x:c r="D717" s="32"/>
      <x:c r="G717" s="74"/>
      <x:c r="H717" s="74"/>
      <x:c r="I717" s="74"/>
      <x:c r="J717" s="74"/>
      <x:c r="K717" s="74"/>
      <x:c r="L717" s="74"/>
      <x:c r="M717" s="91"/>
      <x:c r="N717" s="91"/>
      <x:c r="O717" s="85"/>
      <x:c r="P717" s="85"/>
      <x:c r="Q717" s="85"/>
      <x:c r="R717" s="85"/>
      <x:c r="S717" s="85"/>
      <x:c r="T717" s="85"/>
      <x:c r="U717" s="85"/>
      <x:c r="W717" s="86"/>
      <x:c r="X717" s="86"/>
      <x:c r="Y717" s="32"/>
    </x:row>
    <x:row r="718">
      <x:c r="A718" s="87"/>
      <x:c r="B718" s="88"/>
      <x:c r="D718" s="32"/>
      <x:c r="G718" s="74"/>
      <x:c r="H718" s="74"/>
      <x:c r="I718" s="74"/>
      <x:c r="J718" s="74"/>
      <x:c r="K718" s="74"/>
      <x:c r="L718" s="74"/>
      <x:c r="M718" s="91"/>
      <x:c r="N718" s="91"/>
      <x:c r="O718" s="85"/>
      <x:c r="P718" s="85"/>
      <x:c r="Q718" s="85"/>
      <x:c r="R718" s="85"/>
      <x:c r="S718" s="85"/>
      <x:c r="T718" s="85"/>
      <x:c r="U718" s="85"/>
      <x:c r="W718" s="86"/>
      <x:c r="X718" s="86"/>
      <x:c r="Y718" s="32"/>
    </x:row>
    <x:row r="719">
      <x:c r="A719" s="87"/>
      <x:c r="B719" s="88"/>
      <x:c r="D719" s="32"/>
      <x:c r="G719" s="74"/>
      <x:c r="H719" s="74"/>
      <x:c r="I719" s="74"/>
      <x:c r="J719" s="74"/>
      <x:c r="K719" s="74"/>
      <x:c r="L719" s="74"/>
      <x:c r="M719" s="91"/>
      <x:c r="N719" s="91"/>
      <x:c r="O719" s="85"/>
      <x:c r="P719" s="85"/>
      <x:c r="Q719" s="85"/>
      <x:c r="R719" s="85"/>
      <x:c r="S719" s="85"/>
      <x:c r="T719" s="85"/>
      <x:c r="U719" s="85"/>
      <x:c r="W719" s="86"/>
      <x:c r="X719" s="86"/>
      <x:c r="Y719" s="32"/>
    </x:row>
    <x:row r="720">
      <x:c r="A720" s="87"/>
      <x:c r="B720" s="88"/>
      <x:c r="D720" s="32"/>
      <x:c r="G720" s="74"/>
      <x:c r="H720" s="74"/>
      <x:c r="I720" s="74"/>
      <x:c r="J720" s="74"/>
      <x:c r="K720" s="74"/>
      <x:c r="L720" s="74"/>
      <x:c r="M720" s="91"/>
      <x:c r="N720" s="91"/>
      <x:c r="O720" s="85"/>
      <x:c r="P720" s="85"/>
      <x:c r="Q720" s="85"/>
      <x:c r="R720" s="85"/>
      <x:c r="S720" s="85"/>
      <x:c r="T720" s="85"/>
      <x:c r="U720" s="85"/>
      <x:c r="W720" s="86"/>
      <x:c r="X720" s="86"/>
      <x:c r="Y720" s="32"/>
    </x:row>
    <x:row r="721">
      <x:c r="A721" s="87"/>
      <x:c r="B721" s="88"/>
      <x:c r="D721" s="32"/>
      <x:c r="G721" s="74"/>
      <x:c r="H721" s="74"/>
      <x:c r="I721" s="74"/>
      <x:c r="J721" s="74"/>
      <x:c r="K721" s="74"/>
      <x:c r="L721" s="74"/>
      <x:c r="M721" s="91"/>
      <x:c r="N721" s="91"/>
      <x:c r="O721" s="85"/>
      <x:c r="P721" s="85"/>
      <x:c r="Q721" s="85"/>
      <x:c r="R721" s="85"/>
      <x:c r="S721" s="85"/>
      <x:c r="T721" s="85"/>
      <x:c r="U721" s="85"/>
      <x:c r="W721" s="86"/>
      <x:c r="X721" s="86"/>
      <x:c r="Y721" s="32"/>
    </x:row>
    <x:row r="722">
      <x:c r="A722" s="87"/>
      <x:c r="B722" s="88"/>
      <x:c r="D722" s="32"/>
      <x:c r="G722" s="74"/>
      <x:c r="H722" s="74"/>
      <x:c r="I722" s="74"/>
      <x:c r="J722" s="74"/>
      <x:c r="K722" s="74"/>
      <x:c r="L722" s="74"/>
      <x:c r="M722" s="91"/>
      <x:c r="N722" s="91"/>
      <x:c r="O722" s="85"/>
      <x:c r="P722" s="85"/>
      <x:c r="Q722" s="85"/>
      <x:c r="R722" s="85"/>
      <x:c r="S722" s="85"/>
      <x:c r="T722" s="85"/>
      <x:c r="U722" s="85"/>
      <x:c r="W722" s="86"/>
      <x:c r="X722" s="86"/>
      <x:c r="Y722" s="32"/>
    </x:row>
    <x:row r="723">
      <x:c r="A723" s="87"/>
      <x:c r="B723" s="88"/>
      <x:c r="D723" s="32"/>
      <x:c r="G723" s="74"/>
      <x:c r="H723" s="74"/>
      <x:c r="I723" s="74"/>
      <x:c r="J723" s="74"/>
      <x:c r="K723" s="74"/>
      <x:c r="L723" s="74"/>
      <x:c r="M723" s="91"/>
      <x:c r="N723" s="91"/>
      <x:c r="O723" s="85"/>
      <x:c r="P723" s="85"/>
      <x:c r="Q723" s="85"/>
      <x:c r="R723" s="85"/>
      <x:c r="S723" s="85"/>
      <x:c r="T723" s="85"/>
      <x:c r="U723" s="85"/>
      <x:c r="W723" s="86"/>
      <x:c r="X723" s="86"/>
      <x:c r="Y723" s="32"/>
    </x:row>
    <x:row r="724">
      <x:c r="A724" s="87"/>
      <x:c r="B724" s="88"/>
      <x:c r="D724" s="32"/>
      <x:c r="G724" s="74"/>
      <x:c r="H724" s="74"/>
      <x:c r="I724" s="74"/>
      <x:c r="J724" s="74"/>
      <x:c r="K724" s="74"/>
      <x:c r="L724" s="74"/>
      <x:c r="M724" s="91"/>
      <x:c r="N724" s="91"/>
      <x:c r="O724" s="85"/>
      <x:c r="P724" s="85"/>
      <x:c r="Q724" s="85"/>
      <x:c r="R724" s="85"/>
      <x:c r="S724" s="85"/>
      <x:c r="T724" s="85"/>
      <x:c r="U724" s="85"/>
      <x:c r="W724" s="86"/>
      <x:c r="X724" s="86"/>
      <x:c r="Y724" s="32"/>
    </x:row>
    <x:row r="725">
      <x:c r="A725" s="87"/>
      <x:c r="B725" s="88"/>
      <x:c r="D725" s="32"/>
      <x:c r="G725" s="74"/>
      <x:c r="H725" s="74"/>
      <x:c r="I725" s="74"/>
      <x:c r="J725" s="74"/>
      <x:c r="K725" s="74"/>
      <x:c r="L725" s="74"/>
      <x:c r="M725" s="91"/>
      <x:c r="N725" s="91"/>
      <x:c r="O725" s="85"/>
      <x:c r="P725" s="85"/>
      <x:c r="Q725" s="85"/>
      <x:c r="R725" s="85"/>
      <x:c r="S725" s="85"/>
      <x:c r="T725" s="85"/>
      <x:c r="U725" s="85"/>
      <x:c r="W725" s="86"/>
      <x:c r="X725" s="86"/>
      <x:c r="Y725" s="32"/>
    </x:row>
    <x:row r="726">
      <x:c r="A726" s="87"/>
      <x:c r="B726" s="88"/>
      <x:c r="D726" s="32"/>
      <x:c r="G726" s="74"/>
      <x:c r="H726" s="74"/>
      <x:c r="I726" s="74"/>
      <x:c r="J726" s="74"/>
      <x:c r="K726" s="74"/>
      <x:c r="L726" s="74"/>
      <x:c r="M726" s="91"/>
      <x:c r="N726" s="91"/>
      <x:c r="O726" s="85"/>
      <x:c r="P726" s="85"/>
      <x:c r="Q726" s="85"/>
      <x:c r="R726" s="85"/>
      <x:c r="S726" s="85"/>
      <x:c r="T726" s="85"/>
      <x:c r="U726" s="85"/>
      <x:c r="W726" s="86"/>
      <x:c r="X726" s="86"/>
      <x:c r="Y726" s="32"/>
    </x:row>
    <x:row r="727">
      <x:c r="A727" s="87"/>
      <x:c r="B727" s="88"/>
      <x:c r="D727" s="32"/>
      <x:c r="G727" s="74"/>
      <x:c r="H727" s="74"/>
      <x:c r="I727" s="74"/>
      <x:c r="J727" s="74"/>
      <x:c r="K727" s="74"/>
      <x:c r="L727" s="74"/>
      <x:c r="M727" s="91"/>
      <x:c r="N727" s="91"/>
      <x:c r="O727" s="85"/>
      <x:c r="P727" s="85"/>
      <x:c r="Q727" s="85"/>
      <x:c r="R727" s="85"/>
      <x:c r="S727" s="85"/>
      <x:c r="T727" s="85"/>
      <x:c r="U727" s="85"/>
      <x:c r="W727" s="86"/>
      <x:c r="X727" s="86"/>
      <x:c r="Y727" s="32"/>
    </x:row>
    <x:row r="728">
      <x:c r="A728" s="87"/>
      <x:c r="B728" s="88"/>
      <x:c r="D728" s="32"/>
      <x:c r="G728" s="74"/>
      <x:c r="H728" s="74"/>
      <x:c r="I728" s="74"/>
      <x:c r="J728" s="74"/>
      <x:c r="K728" s="74"/>
      <x:c r="L728" s="74"/>
      <x:c r="M728" s="91"/>
      <x:c r="N728" s="91"/>
      <x:c r="O728" s="85"/>
      <x:c r="P728" s="85"/>
      <x:c r="Q728" s="85"/>
      <x:c r="R728" s="85"/>
      <x:c r="S728" s="85"/>
      <x:c r="T728" s="85"/>
      <x:c r="U728" s="85"/>
      <x:c r="W728" s="86"/>
      <x:c r="X728" s="86"/>
      <x:c r="Y728" s="32"/>
    </x:row>
    <x:row r="729">
      <x:c r="A729" s="87"/>
      <x:c r="B729" s="88"/>
      <x:c r="D729" s="32"/>
      <x:c r="G729" s="74"/>
      <x:c r="H729" s="74"/>
      <x:c r="I729" s="74"/>
      <x:c r="J729" s="74"/>
      <x:c r="K729" s="74"/>
      <x:c r="L729" s="74"/>
      <x:c r="M729" s="91"/>
      <x:c r="N729" s="91"/>
      <x:c r="O729" s="85"/>
      <x:c r="P729" s="85"/>
      <x:c r="Q729" s="85"/>
      <x:c r="R729" s="85"/>
      <x:c r="S729" s="85"/>
      <x:c r="T729" s="85"/>
      <x:c r="U729" s="85"/>
      <x:c r="W729" s="86"/>
      <x:c r="X729" s="86"/>
      <x:c r="Y729" s="32"/>
    </x:row>
    <x:row r="730">
      <x:c r="A730" s="87"/>
      <x:c r="B730" s="88"/>
      <x:c r="D730" s="32"/>
      <x:c r="G730" s="74"/>
      <x:c r="H730" s="74"/>
      <x:c r="I730" s="74"/>
      <x:c r="J730" s="74"/>
      <x:c r="K730" s="74"/>
      <x:c r="L730" s="74"/>
      <x:c r="M730" s="91"/>
      <x:c r="N730" s="91"/>
      <x:c r="O730" s="85"/>
      <x:c r="P730" s="85"/>
      <x:c r="Q730" s="85"/>
      <x:c r="R730" s="85"/>
      <x:c r="S730" s="85"/>
      <x:c r="T730" s="85"/>
      <x:c r="U730" s="85"/>
      <x:c r="W730" s="86"/>
      <x:c r="X730" s="86"/>
      <x:c r="Y730" s="32"/>
    </x:row>
    <x:row r="731">
      <x:c r="A731" s="87"/>
      <x:c r="B731" s="88"/>
      <x:c r="D731" s="32"/>
      <x:c r="G731" s="74"/>
      <x:c r="H731" s="74"/>
      <x:c r="I731" s="74"/>
      <x:c r="J731" s="74"/>
      <x:c r="K731" s="74"/>
      <x:c r="L731" s="74"/>
      <x:c r="M731" s="91"/>
      <x:c r="N731" s="91"/>
      <x:c r="O731" s="85"/>
      <x:c r="P731" s="85"/>
      <x:c r="Q731" s="85"/>
      <x:c r="R731" s="85"/>
      <x:c r="S731" s="85"/>
      <x:c r="T731" s="85"/>
      <x:c r="U731" s="85"/>
      <x:c r="W731" s="86"/>
      <x:c r="X731" s="86"/>
      <x:c r="Y731" s="32"/>
    </x:row>
    <x:row r="732">
      <x:c r="A732" s="87"/>
      <x:c r="B732" s="88"/>
      <x:c r="D732" s="32"/>
      <x:c r="G732" s="74"/>
      <x:c r="H732" s="74"/>
      <x:c r="I732" s="74"/>
      <x:c r="J732" s="74"/>
      <x:c r="K732" s="74"/>
      <x:c r="L732" s="74"/>
      <x:c r="M732" s="91"/>
      <x:c r="N732" s="91"/>
      <x:c r="O732" s="85"/>
      <x:c r="P732" s="85"/>
      <x:c r="Q732" s="85"/>
      <x:c r="R732" s="85"/>
      <x:c r="S732" s="85"/>
      <x:c r="T732" s="85"/>
      <x:c r="U732" s="85"/>
      <x:c r="W732" s="86"/>
      <x:c r="X732" s="86"/>
      <x:c r="Y732" s="32"/>
    </x:row>
    <x:row r="733">
      <x:c r="A733" s="87"/>
      <x:c r="B733" s="88"/>
      <x:c r="D733" s="32"/>
      <x:c r="G733" s="74"/>
      <x:c r="H733" s="74"/>
      <x:c r="I733" s="74"/>
      <x:c r="J733" s="74"/>
      <x:c r="K733" s="74"/>
      <x:c r="L733" s="74"/>
      <x:c r="M733" s="91"/>
      <x:c r="N733" s="91"/>
      <x:c r="O733" s="85"/>
      <x:c r="P733" s="85"/>
      <x:c r="Q733" s="85"/>
      <x:c r="R733" s="85"/>
      <x:c r="S733" s="85"/>
      <x:c r="T733" s="85"/>
      <x:c r="U733" s="85"/>
      <x:c r="W733" s="86"/>
      <x:c r="X733" s="86"/>
      <x:c r="Y733" s="32"/>
    </x:row>
    <x:row r="734">
      <x:c r="A734" s="87"/>
      <x:c r="B734" s="88"/>
      <x:c r="D734" s="32"/>
      <x:c r="G734" s="74"/>
      <x:c r="H734" s="74"/>
      <x:c r="I734" s="74"/>
      <x:c r="J734" s="74"/>
      <x:c r="K734" s="74"/>
      <x:c r="L734" s="74"/>
      <x:c r="M734" s="91"/>
      <x:c r="N734" s="91"/>
      <x:c r="O734" s="85"/>
      <x:c r="P734" s="85"/>
      <x:c r="Q734" s="85"/>
      <x:c r="R734" s="85"/>
      <x:c r="S734" s="85"/>
      <x:c r="T734" s="85"/>
      <x:c r="U734" s="85"/>
      <x:c r="W734" s="86"/>
      <x:c r="X734" s="86"/>
      <x:c r="Y734" s="32"/>
    </x:row>
    <x:row r="735">
      <x:c r="A735" s="87"/>
      <x:c r="B735" s="88"/>
      <x:c r="D735" s="32"/>
      <x:c r="G735" s="74"/>
      <x:c r="H735" s="74"/>
      <x:c r="I735" s="74"/>
      <x:c r="J735" s="74"/>
      <x:c r="K735" s="74"/>
      <x:c r="L735" s="74"/>
      <x:c r="M735" s="91"/>
      <x:c r="N735" s="91"/>
      <x:c r="O735" s="85"/>
      <x:c r="P735" s="85"/>
      <x:c r="Q735" s="85"/>
      <x:c r="R735" s="85"/>
      <x:c r="S735" s="85"/>
      <x:c r="T735" s="85"/>
      <x:c r="U735" s="85"/>
      <x:c r="W735" s="86"/>
      <x:c r="X735" s="86"/>
      <x:c r="Y735" s="32"/>
    </x:row>
    <x:row r="736">
      <x:c r="A736" s="87"/>
      <x:c r="B736" s="88"/>
      <x:c r="D736" s="32"/>
      <x:c r="G736" s="74"/>
      <x:c r="H736" s="74"/>
      <x:c r="I736" s="74"/>
      <x:c r="J736" s="74"/>
      <x:c r="K736" s="74"/>
      <x:c r="L736" s="74"/>
      <x:c r="M736" s="91"/>
      <x:c r="N736" s="91"/>
      <x:c r="O736" s="85"/>
      <x:c r="P736" s="85"/>
      <x:c r="Q736" s="85"/>
      <x:c r="R736" s="85"/>
      <x:c r="S736" s="85"/>
      <x:c r="T736" s="85"/>
      <x:c r="U736" s="85"/>
      <x:c r="W736" s="86"/>
      <x:c r="X736" s="86"/>
      <x:c r="Y736" s="32"/>
    </x:row>
    <x:row r="737">
      <x:c r="A737" s="87"/>
      <x:c r="B737" s="88"/>
      <x:c r="D737" s="32"/>
      <x:c r="G737" s="74"/>
      <x:c r="H737" s="74"/>
      <x:c r="I737" s="74"/>
      <x:c r="J737" s="74"/>
      <x:c r="K737" s="74"/>
      <x:c r="L737" s="74"/>
      <x:c r="M737" s="91"/>
      <x:c r="N737" s="91"/>
      <x:c r="O737" s="85"/>
      <x:c r="P737" s="85"/>
      <x:c r="Q737" s="85"/>
      <x:c r="R737" s="85"/>
      <x:c r="S737" s="85"/>
      <x:c r="T737" s="85"/>
      <x:c r="U737" s="85"/>
      <x:c r="W737" s="86"/>
      <x:c r="X737" s="86"/>
      <x:c r="Y737" s="32"/>
    </x:row>
    <x:row r="738">
      <x:c r="A738" s="87"/>
      <x:c r="B738" s="88"/>
      <x:c r="D738" s="32"/>
      <x:c r="G738" s="74"/>
      <x:c r="H738" s="74"/>
      <x:c r="I738" s="74"/>
      <x:c r="J738" s="74"/>
      <x:c r="K738" s="74"/>
      <x:c r="L738" s="74"/>
      <x:c r="M738" s="91"/>
      <x:c r="N738" s="91"/>
      <x:c r="O738" s="85"/>
      <x:c r="P738" s="85"/>
      <x:c r="Q738" s="85"/>
      <x:c r="R738" s="85"/>
      <x:c r="S738" s="85"/>
      <x:c r="T738" s="85"/>
      <x:c r="U738" s="85"/>
      <x:c r="W738" s="86"/>
      <x:c r="X738" s="86"/>
      <x:c r="Y738" s="32"/>
    </x:row>
    <x:row r="739">
      <x:c r="A739" s="87"/>
      <x:c r="B739" s="88"/>
      <x:c r="D739" s="32"/>
      <x:c r="G739" s="74"/>
      <x:c r="H739" s="74"/>
      <x:c r="I739" s="74"/>
      <x:c r="J739" s="74"/>
      <x:c r="K739" s="74"/>
      <x:c r="L739" s="74"/>
      <x:c r="M739" s="91"/>
      <x:c r="N739" s="91"/>
      <x:c r="O739" s="85"/>
      <x:c r="P739" s="85"/>
      <x:c r="Q739" s="85"/>
      <x:c r="R739" s="85"/>
      <x:c r="S739" s="85"/>
      <x:c r="T739" s="85"/>
      <x:c r="U739" s="85"/>
      <x:c r="W739" s="86"/>
      <x:c r="X739" s="86"/>
      <x:c r="Y739" s="32"/>
    </x:row>
    <x:row r="740">
      <x:c r="A740" s="87"/>
      <x:c r="B740" s="88"/>
      <x:c r="D740" s="32"/>
      <x:c r="G740" s="74"/>
      <x:c r="H740" s="74"/>
      <x:c r="I740" s="74"/>
      <x:c r="J740" s="74"/>
      <x:c r="K740" s="74"/>
      <x:c r="L740" s="74"/>
      <x:c r="M740" s="91"/>
      <x:c r="N740" s="91"/>
      <x:c r="O740" s="85"/>
      <x:c r="P740" s="85"/>
      <x:c r="Q740" s="85"/>
      <x:c r="R740" s="85"/>
      <x:c r="S740" s="85"/>
      <x:c r="T740" s="85"/>
      <x:c r="U740" s="85"/>
      <x:c r="W740" s="86"/>
      <x:c r="X740" s="86"/>
      <x:c r="Y740" s="32"/>
    </x:row>
    <x:row r="741">
      <x:c r="A741" s="87"/>
      <x:c r="B741" s="88"/>
      <x:c r="D741" s="32"/>
      <x:c r="G741" s="74"/>
      <x:c r="H741" s="74"/>
      <x:c r="I741" s="74"/>
      <x:c r="J741" s="74"/>
      <x:c r="K741" s="74"/>
      <x:c r="L741" s="74"/>
      <x:c r="M741" s="91"/>
      <x:c r="N741" s="91"/>
      <x:c r="O741" s="85"/>
      <x:c r="P741" s="85"/>
      <x:c r="Q741" s="85"/>
      <x:c r="R741" s="85"/>
      <x:c r="S741" s="85"/>
      <x:c r="T741" s="85"/>
      <x:c r="U741" s="85"/>
      <x:c r="W741" s="86"/>
      <x:c r="X741" s="86"/>
      <x:c r="Y741" s="32"/>
    </x:row>
    <x:row r="742">
      <x:c r="A742" s="87"/>
      <x:c r="B742" s="88"/>
      <x:c r="D742" s="32"/>
      <x:c r="G742" s="74"/>
      <x:c r="H742" s="74"/>
      <x:c r="I742" s="74"/>
      <x:c r="J742" s="74"/>
      <x:c r="K742" s="74"/>
      <x:c r="L742" s="74"/>
      <x:c r="M742" s="91"/>
      <x:c r="N742" s="91"/>
      <x:c r="O742" s="85"/>
      <x:c r="P742" s="85"/>
      <x:c r="Q742" s="85"/>
      <x:c r="R742" s="85"/>
      <x:c r="S742" s="85"/>
      <x:c r="T742" s="85"/>
      <x:c r="U742" s="85"/>
      <x:c r="W742" s="86"/>
      <x:c r="X742" s="86"/>
      <x:c r="Y742" s="32"/>
    </x:row>
    <x:row r="743">
      <x:c r="A743" s="87"/>
      <x:c r="B743" s="88"/>
      <x:c r="D743" s="32"/>
      <x:c r="G743" s="74"/>
      <x:c r="H743" s="74"/>
      <x:c r="I743" s="74"/>
      <x:c r="J743" s="74"/>
      <x:c r="K743" s="74"/>
      <x:c r="L743" s="74"/>
      <x:c r="M743" s="91"/>
      <x:c r="N743" s="91"/>
      <x:c r="O743" s="85"/>
      <x:c r="P743" s="85"/>
      <x:c r="Q743" s="85"/>
      <x:c r="R743" s="85"/>
      <x:c r="S743" s="85"/>
      <x:c r="T743" s="85"/>
      <x:c r="U743" s="85"/>
      <x:c r="W743" s="86"/>
      <x:c r="X743" s="86"/>
      <x:c r="Y743" s="32"/>
    </x:row>
    <x:row r="744">
      <x:c r="A744" s="87"/>
      <x:c r="B744" s="88"/>
      <x:c r="D744" s="32"/>
      <x:c r="G744" s="74"/>
      <x:c r="H744" s="74"/>
      <x:c r="I744" s="74"/>
      <x:c r="J744" s="74"/>
      <x:c r="K744" s="74"/>
      <x:c r="L744" s="74"/>
      <x:c r="M744" s="91"/>
      <x:c r="N744" s="91"/>
      <x:c r="O744" s="85"/>
      <x:c r="P744" s="85"/>
      <x:c r="Q744" s="85"/>
      <x:c r="R744" s="85"/>
      <x:c r="S744" s="85"/>
      <x:c r="T744" s="85"/>
      <x:c r="U744" s="85"/>
      <x:c r="W744" s="86"/>
      <x:c r="X744" s="86"/>
      <x:c r="Y744" s="32"/>
    </x:row>
    <x:row r="745">
      <x:c r="A745" s="87"/>
      <x:c r="B745" s="88"/>
      <x:c r="D745" s="32"/>
      <x:c r="G745" s="74"/>
      <x:c r="H745" s="74"/>
      <x:c r="I745" s="74"/>
      <x:c r="J745" s="74"/>
      <x:c r="K745" s="74"/>
      <x:c r="L745" s="74"/>
      <x:c r="M745" s="91"/>
      <x:c r="N745" s="91"/>
      <x:c r="O745" s="85"/>
      <x:c r="P745" s="85"/>
      <x:c r="Q745" s="85"/>
      <x:c r="R745" s="85"/>
      <x:c r="S745" s="85"/>
      <x:c r="T745" s="85"/>
      <x:c r="U745" s="85"/>
      <x:c r="W745" s="86"/>
      <x:c r="X745" s="86"/>
      <x:c r="Y745" s="32"/>
    </x:row>
    <x:row r="746">
      <x:c r="A746" s="87"/>
      <x:c r="B746" s="88"/>
      <x:c r="D746" s="32"/>
      <x:c r="G746" s="74"/>
      <x:c r="H746" s="74"/>
      <x:c r="I746" s="74"/>
      <x:c r="J746" s="74"/>
      <x:c r="K746" s="74"/>
      <x:c r="L746" s="74"/>
      <x:c r="M746" s="91"/>
      <x:c r="N746" s="91"/>
      <x:c r="O746" s="85"/>
      <x:c r="P746" s="85"/>
      <x:c r="Q746" s="85"/>
      <x:c r="R746" s="85"/>
      <x:c r="S746" s="85"/>
      <x:c r="T746" s="85"/>
      <x:c r="U746" s="85"/>
      <x:c r="W746" s="86"/>
      <x:c r="X746" s="86"/>
      <x:c r="Y746" s="32"/>
    </x:row>
    <x:row r="747">
      <x:c r="A747" s="87"/>
      <x:c r="B747" s="88"/>
      <x:c r="D747" s="32"/>
      <x:c r="G747" s="74"/>
      <x:c r="H747" s="74"/>
      <x:c r="I747" s="74"/>
      <x:c r="J747" s="74"/>
      <x:c r="K747" s="74"/>
      <x:c r="L747" s="74"/>
      <x:c r="M747" s="91"/>
      <x:c r="N747" s="91"/>
      <x:c r="O747" s="85"/>
      <x:c r="P747" s="85"/>
      <x:c r="Q747" s="85"/>
      <x:c r="R747" s="85"/>
      <x:c r="S747" s="85"/>
      <x:c r="T747" s="85"/>
      <x:c r="U747" s="85"/>
      <x:c r="W747" s="86"/>
      <x:c r="X747" s="86"/>
      <x:c r="Y747" s="32"/>
    </x:row>
    <x:row r="748">
      <x:c r="A748" s="87"/>
      <x:c r="B748" s="88"/>
      <x:c r="D748" s="32"/>
      <x:c r="G748" s="74"/>
      <x:c r="H748" s="74"/>
      <x:c r="I748" s="74"/>
      <x:c r="J748" s="74"/>
      <x:c r="K748" s="74"/>
      <x:c r="L748" s="74"/>
      <x:c r="M748" s="91"/>
      <x:c r="N748" s="91"/>
      <x:c r="O748" s="85"/>
      <x:c r="P748" s="85"/>
      <x:c r="Q748" s="85"/>
      <x:c r="R748" s="85"/>
      <x:c r="S748" s="85"/>
      <x:c r="T748" s="85"/>
      <x:c r="U748" s="85"/>
      <x:c r="W748" s="86"/>
      <x:c r="X748" s="86"/>
      <x:c r="Y748" s="32"/>
    </x:row>
    <x:row r="749">
      <x:c r="A749" s="87"/>
      <x:c r="B749" s="88"/>
      <x:c r="D749" s="32"/>
      <x:c r="G749" s="74"/>
      <x:c r="H749" s="74"/>
      <x:c r="I749" s="74"/>
      <x:c r="J749" s="74"/>
      <x:c r="K749" s="74"/>
      <x:c r="L749" s="74"/>
      <x:c r="M749" s="91"/>
      <x:c r="N749" s="91"/>
      <x:c r="O749" s="85"/>
      <x:c r="P749" s="85"/>
      <x:c r="Q749" s="85"/>
      <x:c r="R749" s="85"/>
      <x:c r="S749" s="85"/>
      <x:c r="T749" s="85"/>
      <x:c r="U749" s="85"/>
      <x:c r="W749" s="86"/>
      <x:c r="X749" s="86"/>
      <x:c r="Y749" s="32"/>
    </x:row>
    <x:row r="750">
      <x:c r="A750" s="87"/>
      <x:c r="B750" s="88"/>
      <x:c r="D750" s="32"/>
      <x:c r="G750" s="74"/>
      <x:c r="H750" s="74"/>
      <x:c r="I750" s="74"/>
      <x:c r="J750" s="74"/>
      <x:c r="K750" s="74"/>
      <x:c r="L750" s="74"/>
      <x:c r="M750" s="91"/>
      <x:c r="N750" s="91"/>
      <x:c r="O750" s="85"/>
      <x:c r="P750" s="85"/>
      <x:c r="Q750" s="85"/>
      <x:c r="R750" s="85"/>
      <x:c r="S750" s="85"/>
      <x:c r="T750" s="85"/>
      <x:c r="U750" s="85"/>
      <x:c r="W750" s="86"/>
      <x:c r="X750" s="86"/>
      <x:c r="Y750" s="32"/>
    </x:row>
    <x:row r="751">
      <x:c r="A751" s="87"/>
      <x:c r="B751" s="88"/>
      <x:c r="D751" s="32"/>
      <x:c r="G751" s="74"/>
      <x:c r="H751" s="74"/>
      <x:c r="I751" s="74"/>
      <x:c r="J751" s="74"/>
      <x:c r="K751" s="74"/>
      <x:c r="L751" s="74"/>
      <x:c r="M751" s="91"/>
      <x:c r="N751" s="91"/>
      <x:c r="O751" s="85"/>
      <x:c r="P751" s="85"/>
      <x:c r="Q751" s="85"/>
      <x:c r="R751" s="85"/>
      <x:c r="S751" s="85"/>
      <x:c r="T751" s="85"/>
      <x:c r="U751" s="85"/>
      <x:c r="W751" s="86"/>
      <x:c r="X751" s="86"/>
      <x:c r="Y751" s="32"/>
    </x:row>
    <x:row r="752">
      <x:c r="A752" s="87"/>
      <x:c r="B752" s="88"/>
      <x:c r="D752" s="32"/>
      <x:c r="G752" s="74"/>
      <x:c r="H752" s="74"/>
      <x:c r="I752" s="74"/>
      <x:c r="J752" s="74"/>
      <x:c r="K752" s="74"/>
      <x:c r="L752" s="74"/>
      <x:c r="M752" s="91"/>
      <x:c r="N752" s="91"/>
      <x:c r="O752" s="85"/>
      <x:c r="P752" s="85"/>
      <x:c r="Q752" s="85"/>
      <x:c r="R752" s="85"/>
      <x:c r="S752" s="85"/>
      <x:c r="T752" s="85"/>
      <x:c r="U752" s="85"/>
      <x:c r="W752" s="86"/>
      <x:c r="X752" s="86"/>
      <x:c r="Y752" s="32"/>
    </x:row>
    <x:row r="753">
      <x:c r="A753" s="87"/>
      <x:c r="B753" s="88"/>
      <x:c r="D753" s="32"/>
      <x:c r="G753" s="74"/>
      <x:c r="H753" s="74"/>
      <x:c r="I753" s="74"/>
      <x:c r="J753" s="74"/>
      <x:c r="K753" s="74"/>
      <x:c r="L753" s="74"/>
      <x:c r="M753" s="91"/>
      <x:c r="N753" s="91"/>
      <x:c r="O753" s="85"/>
      <x:c r="P753" s="85"/>
      <x:c r="Q753" s="85"/>
      <x:c r="R753" s="85"/>
      <x:c r="S753" s="85"/>
      <x:c r="T753" s="85"/>
      <x:c r="U753" s="85"/>
      <x:c r="W753" s="86"/>
      <x:c r="X753" s="86"/>
      <x:c r="Y753" s="32"/>
    </x:row>
    <x:row r="754">
      <x:c r="A754" s="87"/>
      <x:c r="B754" s="88"/>
      <x:c r="D754" s="32"/>
      <x:c r="G754" s="74"/>
      <x:c r="H754" s="74"/>
      <x:c r="I754" s="74"/>
      <x:c r="J754" s="74"/>
      <x:c r="K754" s="74"/>
      <x:c r="L754" s="74"/>
      <x:c r="M754" s="91"/>
      <x:c r="N754" s="91"/>
      <x:c r="O754" s="85"/>
      <x:c r="P754" s="85"/>
      <x:c r="Q754" s="85"/>
      <x:c r="R754" s="85"/>
      <x:c r="S754" s="85"/>
      <x:c r="T754" s="85"/>
      <x:c r="U754" s="85"/>
      <x:c r="W754" s="86"/>
      <x:c r="X754" s="86"/>
      <x:c r="Y754" s="32"/>
    </x:row>
    <x:row r="755">
      <x:c r="A755" s="87"/>
      <x:c r="B755" s="88"/>
      <x:c r="D755" s="32"/>
      <x:c r="G755" s="74"/>
      <x:c r="H755" s="74"/>
      <x:c r="I755" s="74"/>
      <x:c r="J755" s="74"/>
      <x:c r="K755" s="74"/>
      <x:c r="L755" s="74"/>
      <x:c r="M755" s="91"/>
      <x:c r="N755" s="91"/>
      <x:c r="O755" s="85"/>
      <x:c r="P755" s="85"/>
      <x:c r="Q755" s="85"/>
      <x:c r="R755" s="85"/>
      <x:c r="S755" s="85"/>
      <x:c r="T755" s="85"/>
      <x:c r="U755" s="85"/>
      <x:c r="W755" s="86"/>
      <x:c r="X755" s="86"/>
      <x:c r="Y755" s="32"/>
    </x:row>
    <x:row r="756">
      <x:c r="A756" s="87"/>
      <x:c r="B756" s="88"/>
      <x:c r="D756" s="32"/>
      <x:c r="G756" s="74"/>
      <x:c r="H756" s="74"/>
      <x:c r="I756" s="74"/>
      <x:c r="J756" s="74"/>
      <x:c r="K756" s="74"/>
      <x:c r="L756" s="74"/>
      <x:c r="M756" s="91"/>
      <x:c r="N756" s="91"/>
      <x:c r="O756" s="85"/>
      <x:c r="P756" s="85"/>
      <x:c r="Q756" s="85"/>
      <x:c r="R756" s="85"/>
      <x:c r="S756" s="85"/>
      <x:c r="T756" s="85"/>
      <x:c r="U756" s="85"/>
      <x:c r="W756" s="86"/>
      <x:c r="X756" s="86"/>
      <x:c r="Y756" s="32"/>
    </x:row>
    <x:row r="757">
      <x:c r="A757" s="87"/>
      <x:c r="B757" s="88"/>
      <x:c r="D757" s="32"/>
      <x:c r="G757" s="74"/>
      <x:c r="H757" s="74"/>
      <x:c r="I757" s="74"/>
      <x:c r="J757" s="74"/>
      <x:c r="K757" s="74"/>
      <x:c r="L757" s="74"/>
      <x:c r="M757" s="91"/>
      <x:c r="N757" s="91"/>
      <x:c r="O757" s="85"/>
      <x:c r="P757" s="85"/>
      <x:c r="Q757" s="85"/>
      <x:c r="R757" s="85"/>
      <x:c r="S757" s="85"/>
      <x:c r="T757" s="85"/>
      <x:c r="U757" s="85"/>
      <x:c r="W757" s="86"/>
      <x:c r="X757" s="86"/>
      <x:c r="Y757" s="32"/>
    </x:row>
    <x:row r="758">
      <x:c r="A758" s="87"/>
      <x:c r="B758" s="88"/>
      <x:c r="D758" s="32"/>
      <x:c r="G758" s="74"/>
      <x:c r="H758" s="74"/>
      <x:c r="I758" s="74"/>
      <x:c r="J758" s="74"/>
      <x:c r="K758" s="74"/>
      <x:c r="L758" s="74"/>
      <x:c r="M758" s="91"/>
      <x:c r="N758" s="91"/>
      <x:c r="O758" s="85"/>
      <x:c r="P758" s="85"/>
      <x:c r="Q758" s="85"/>
      <x:c r="R758" s="85"/>
      <x:c r="S758" s="85"/>
      <x:c r="T758" s="85"/>
      <x:c r="U758" s="85"/>
      <x:c r="W758" s="86"/>
      <x:c r="X758" s="86"/>
      <x:c r="Y758" s="32"/>
    </x:row>
    <x:row r="759">
      <x:c r="A759" s="87"/>
      <x:c r="B759" s="88"/>
      <x:c r="D759" s="32"/>
      <x:c r="G759" s="74"/>
      <x:c r="H759" s="74"/>
      <x:c r="I759" s="74"/>
      <x:c r="J759" s="74"/>
      <x:c r="K759" s="74"/>
      <x:c r="L759" s="74"/>
      <x:c r="M759" s="91"/>
      <x:c r="N759" s="91"/>
      <x:c r="O759" s="85"/>
      <x:c r="P759" s="85"/>
      <x:c r="Q759" s="85"/>
      <x:c r="R759" s="85"/>
      <x:c r="S759" s="85"/>
      <x:c r="T759" s="85"/>
      <x:c r="U759" s="85"/>
      <x:c r="W759" s="86"/>
      <x:c r="X759" s="86"/>
      <x:c r="Y759" s="32"/>
    </x:row>
    <x:row r="760">
      <x:c r="A760" s="87"/>
      <x:c r="B760" s="88"/>
      <x:c r="D760" s="32"/>
      <x:c r="G760" s="74"/>
      <x:c r="H760" s="74"/>
      <x:c r="I760" s="74"/>
      <x:c r="J760" s="74"/>
      <x:c r="K760" s="74"/>
      <x:c r="L760" s="74"/>
      <x:c r="M760" s="91"/>
      <x:c r="N760" s="91"/>
      <x:c r="O760" s="85"/>
      <x:c r="P760" s="85"/>
      <x:c r="Q760" s="85"/>
      <x:c r="R760" s="85"/>
      <x:c r="S760" s="85"/>
      <x:c r="T760" s="85"/>
      <x:c r="U760" s="85"/>
      <x:c r="W760" s="86"/>
      <x:c r="X760" s="86"/>
      <x:c r="Y760" s="32"/>
    </x:row>
    <x:row r="761">
      <x:c r="A761" s="87"/>
      <x:c r="B761" s="88"/>
      <x:c r="D761" s="32"/>
      <x:c r="G761" s="74"/>
      <x:c r="H761" s="74"/>
      <x:c r="I761" s="74"/>
      <x:c r="J761" s="74"/>
      <x:c r="K761" s="74"/>
      <x:c r="L761" s="74"/>
      <x:c r="M761" s="91"/>
      <x:c r="N761" s="91"/>
      <x:c r="O761" s="85"/>
      <x:c r="P761" s="85"/>
      <x:c r="Q761" s="85"/>
      <x:c r="R761" s="85"/>
      <x:c r="S761" s="85"/>
      <x:c r="T761" s="85"/>
      <x:c r="U761" s="85"/>
      <x:c r="W761" s="86"/>
      <x:c r="X761" s="86"/>
      <x:c r="Y761" s="32"/>
    </x:row>
    <x:row r="762">
      <x:c r="A762" s="87"/>
      <x:c r="B762" s="88"/>
      <x:c r="D762" s="32"/>
      <x:c r="G762" s="74"/>
      <x:c r="H762" s="74"/>
      <x:c r="I762" s="74"/>
      <x:c r="J762" s="74"/>
      <x:c r="K762" s="74"/>
      <x:c r="L762" s="74"/>
      <x:c r="M762" s="91"/>
      <x:c r="N762" s="91"/>
      <x:c r="O762" s="85"/>
      <x:c r="P762" s="85"/>
      <x:c r="Q762" s="85"/>
      <x:c r="R762" s="85"/>
      <x:c r="S762" s="85"/>
      <x:c r="T762" s="85"/>
      <x:c r="U762" s="85"/>
      <x:c r="W762" s="86"/>
      <x:c r="X762" s="86"/>
      <x:c r="Y762" s="32"/>
    </x:row>
    <x:row r="763">
      <x:c r="A763" s="87"/>
      <x:c r="B763" s="88"/>
      <x:c r="D763" s="32"/>
      <x:c r="G763" s="74"/>
      <x:c r="H763" s="74"/>
      <x:c r="I763" s="74"/>
      <x:c r="J763" s="74"/>
      <x:c r="K763" s="74"/>
      <x:c r="L763" s="74"/>
      <x:c r="M763" s="91"/>
      <x:c r="N763" s="91"/>
      <x:c r="O763" s="85"/>
      <x:c r="P763" s="85"/>
      <x:c r="Q763" s="85"/>
      <x:c r="R763" s="85"/>
      <x:c r="S763" s="85"/>
      <x:c r="T763" s="85"/>
      <x:c r="U763" s="85"/>
      <x:c r="W763" s="86"/>
      <x:c r="X763" s="86"/>
      <x:c r="Y763" s="32"/>
    </x:row>
    <x:row r="764">
      <x:c r="A764" s="87"/>
      <x:c r="B764" s="88"/>
      <x:c r="D764" s="32"/>
      <x:c r="G764" s="74"/>
      <x:c r="H764" s="74"/>
      <x:c r="I764" s="74"/>
      <x:c r="J764" s="74"/>
      <x:c r="K764" s="74"/>
      <x:c r="L764" s="74"/>
      <x:c r="M764" s="91"/>
      <x:c r="N764" s="91"/>
      <x:c r="O764" s="85"/>
      <x:c r="P764" s="85"/>
      <x:c r="Q764" s="85"/>
      <x:c r="R764" s="85"/>
      <x:c r="S764" s="85"/>
      <x:c r="T764" s="85"/>
      <x:c r="U764" s="85"/>
      <x:c r="W764" s="86"/>
      <x:c r="X764" s="86"/>
      <x:c r="Y764" s="32"/>
    </x:row>
    <x:row r="765">
      <x:c r="A765" s="87"/>
      <x:c r="B765" s="88"/>
      <x:c r="D765" s="32"/>
      <x:c r="G765" s="74"/>
      <x:c r="H765" s="74"/>
      <x:c r="I765" s="74"/>
      <x:c r="J765" s="74"/>
      <x:c r="K765" s="74"/>
      <x:c r="L765" s="74"/>
      <x:c r="M765" s="91"/>
      <x:c r="N765" s="91"/>
      <x:c r="O765" s="85"/>
      <x:c r="P765" s="85"/>
      <x:c r="Q765" s="85"/>
      <x:c r="R765" s="85"/>
      <x:c r="S765" s="85"/>
      <x:c r="T765" s="85"/>
      <x:c r="U765" s="85"/>
      <x:c r="W765" s="86"/>
      <x:c r="X765" s="86"/>
      <x:c r="Y765" s="32"/>
    </x:row>
    <x:row r="766">
      <x:c r="A766" s="87"/>
      <x:c r="B766" s="88"/>
      <x:c r="D766" s="32"/>
      <x:c r="G766" s="74"/>
      <x:c r="H766" s="74"/>
      <x:c r="I766" s="74"/>
      <x:c r="J766" s="74"/>
      <x:c r="K766" s="74"/>
      <x:c r="L766" s="74"/>
      <x:c r="M766" s="91"/>
      <x:c r="N766" s="91"/>
      <x:c r="O766" s="85"/>
      <x:c r="P766" s="85"/>
      <x:c r="Q766" s="85"/>
      <x:c r="R766" s="85"/>
      <x:c r="S766" s="85"/>
      <x:c r="T766" s="85"/>
      <x:c r="U766" s="85"/>
      <x:c r="W766" s="86"/>
      <x:c r="X766" s="86"/>
      <x:c r="Y766" s="32"/>
    </x:row>
    <x:row r="767">
      <x:c r="A767" s="87"/>
      <x:c r="B767" s="88"/>
      <x:c r="D767" s="32"/>
      <x:c r="G767" s="74"/>
      <x:c r="H767" s="74"/>
      <x:c r="I767" s="74"/>
      <x:c r="J767" s="74"/>
      <x:c r="K767" s="74"/>
      <x:c r="L767" s="74"/>
      <x:c r="M767" s="91"/>
      <x:c r="N767" s="91"/>
      <x:c r="O767" s="85"/>
      <x:c r="P767" s="85"/>
      <x:c r="Q767" s="85"/>
      <x:c r="R767" s="85"/>
      <x:c r="S767" s="85"/>
      <x:c r="T767" s="85"/>
      <x:c r="U767" s="85"/>
      <x:c r="W767" s="86"/>
      <x:c r="X767" s="86"/>
      <x:c r="Y767" s="32"/>
    </x:row>
    <x:row r="768">
      <x:c r="A768" s="87"/>
      <x:c r="B768" s="88"/>
      <x:c r="D768" s="32"/>
      <x:c r="G768" s="74"/>
      <x:c r="H768" s="74"/>
      <x:c r="I768" s="74"/>
      <x:c r="J768" s="74"/>
      <x:c r="K768" s="74"/>
      <x:c r="L768" s="74"/>
      <x:c r="M768" s="91"/>
      <x:c r="N768" s="91"/>
      <x:c r="O768" s="85"/>
      <x:c r="P768" s="85"/>
      <x:c r="Q768" s="85"/>
      <x:c r="R768" s="85"/>
      <x:c r="S768" s="85"/>
      <x:c r="T768" s="85"/>
      <x:c r="U768" s="85"/>
      <x:c r="W768" s="86"/>
      <x:c r="X768" s="86"/>
      <x:c r="Y768" s="32"/>
    </x:row>
    <x:row r="769">
      <x:c r="A769" s="87"/>
      <x:c r="B769" s="88"/>
      <x:c r="D769" s="32"/>
      <x:c r="G769" s="74"/>
      <x:c r="H769" s="74"/>
      <x:c r="I769" s="74"/>
      <x:c r="J769" s="74"/>
      <x:c r="K769" s="74"/>
      <x:c r="L769" s="74"/>
      <x:c r="M769" s="91"/>
      <x:c r="N769" s="91"/>
      <x:c r="O769" s="85"/>
      <x:c r="P769" s="85"/>
      <x:c r="Q769" s="85"/>
      <x:c r="R769" s="85"/>
      <x:c r="S769" s="85"/>
      <x:c r="T769" s="85"/>
      <x:c r="U769" s="85"/>
      <x:c r="W769" s="86"/>
      <x:c r="X769" s="86"/>
      <x:c r="Y769" s="32"/>
    </x:row>
    <x:row r="770">
      <x:c r="A770" s="87"/>
      <x:c r="B770" s="88"/>
      <x:c r="D770" s="32"/>
      <x:c r="G770" s="74"/>
      <x:c r="H770" s="74"/>
      <x:c r="I770" s="74"/>
      <x:c r="J770" s="74"/>
      <x:c r="K770" s="74"/>
      <x:c r="L770" s="74"/>
      <x:c r="M770" s="91"/>
      <x:c r="N770" s="91"/>
      <x:c r="O770" s="85"/>
      <x:c r="P770" s="85"/>
      <x:c r="Q770" s="85"/>
      <x:c r="R770" s="85"/>
      <x:c r="S770" s="85"/>
      <x:c r="T770" s="85"/>
      <x:c r="U770" s="85"/>
      <x:c r="W770" s="86"/>
      <x:c r="X770" s="86"/>
      <x:c r="Y770" s="32"/>
    </x:row>
    <x:row r="771">
      <x:c r="A771" s="87"/>
      <x:c r="B771" s="88"/>
      <x:c r="D771" s="32"/>
      <x:c r="G771" s="74"/>
      <x:c r="H771" s="74"/>
      <x:c r="I771" s="74"/>
      <x:c r="J771" s="74"/>
      <x:c r="K771" s="74"/>
      <x:c r="L771" s="74"/>
      <x:c r="M771" s="91"/>
      <x:c r="N771" s="91"/>
      <x:c r="O771" s="85"/>
      <x:c r="P771" s="85"/>
      <x:c r="Q771" s="85"/>
      <x:c r="R771" s="85"/>
      <x:c r="S771" s="85"/>
      <x:c r="T771" s="85"/>
      <x:c r="U771" s="85"/>
      <x:c r="W771" s="86"/>
      <x:c r="X771" s="86"/>
      <x:c r="Y771" s="32"/>
    </x:row>
    <x:row r="772">
      <x:c r="A772" s="87"/>
      <x:c r="B772" s="88"/>
      <x:c r="D772" s="32"/>
      <x:c r="G772" s="74"/>
      <x:c r="H772" s="74"/>
      <x:c r="I772" s="74"/>
      <x:c r="J772" s="74"/>
      <x:c r="K772" s="74"/>
      <x:c r="L772" s="74"/>
      <x:c r="M772" s="91"/>
      <x:c r="N772" s="91"/>
      <x:c r="O772" s="85"/>
      <x:c r="P772" s="85"/>
      <x:c r="Q772" s="85"/>
      <x:c r="R772" s="85"/>
      <x:c r="S772" s="85"/>
      <x:c r="T772" s="85"/>
      <x:c r="U772" s="85"/>
      <x:c r="W772" s="86"/>
      <x:c r="X772" s="86"/>
      <x:c r="Y772" s="32"/>
    </x:row>
    <x:row r="773">
      <x:c r="A773" s="87"/>
      <x:c r="B773" s="88"/>
      <x:c r="D773" s="32"/>
      <x:c r="G773" s="74"/>
      <x:c r="H773" s="74"/>
      <x:c r="I773" s="74"/>
      <x:c r="J773" s="74"/>
      <x:c r="K773" s="74"/>
      <x:c r="L773" s="74"/>
      <x:c r="M773" s="91"/>
      <x:c r="N773" s="91"/>
      <x:c r="O773" s="85"/>
      <x:c r="P773" s="85"/>
      <x:c r="Q773" s="85"/>
      <x:c r="R773" s="85"/>
      <x:c r="S773" s="85"/>
      <x:c r="T773" s="85"/>
      <x:c r="U773" s="85"/>
      <x:c r="W773" s="86"/>
      <x:c r="X773" s="86"/>
      <x:c r="Y773" s="32"/>
    </x:row>
    <x:row r="774">
      <x:c r="A774" s="87"/>
      <x:c r="B774" s="88"/>
      <x:c r="D774" s="32"/>
      <x:c r="G774" s="74"/>
      <x:c r="H774" s="74"/>
      <x:c r="I774" s="74"/>
      <x:c r="J774" s="74"/>
      <x:c r="K774" s="74"/>
      <x:c r="L774" s="74"/>
      <x:c r="M774" s="91"/>
      <x:c r="N774" s="91"/>
      <x:c r="O774" s="85"/>
      <x:c r="P774" s="85"/>
      <x:c r="Q774" s="85"/>
      <x:c r="R774" s="85"/>
      <x:c r="S774" s="85"/>
      <x:c r="T774" s="85"/>
      <x:c r="U774" s="85"/>
      <x:c r="W774" s="86"/>
      <x:c r="X774" s="86"/>
      <x:c r="Y774" s="32"/>
    </x:row>
    <x:row r="775">
      <x:c r="A775" s="87"/>
      <x:c r="B775" s="88"/>
      <x:c r="D775" s="32"/>
      <x:c r="G775" s="74"/>
      <x:c r="H775" s="74"/>
      <x:c r="I775" s="74"/>
      <x:c r="J775" s="74"/>
      <x:c r="K775" s="74"/>
      <x:c r="L775" s="74"/>
      <x:c r="M775" s="91"/>
      <x:c r="N775" s="91"/>
      <x:c r="O775" s="85"/>
      <x:c r="P775" s="85"/>
      <x:c r="Q775" s="85"/>
      <x:c r="R775" s="85"/>
      <x:c r="S775" s="85"/>
      <x:c r="T775" s="85"/>
      <x:c r="U775" s="85"/>
      <x:c r="W775" s="86"/>
      <x:c r="X775" s="86"/>
      <x:c r="Y775" s="32"/>
    </x:row>
    <x:row r="776">
      <x:c r="A776" s="87"/>
      <x:c r="B776" s="88"/>
      <x:c r="D776" s="32"/>
      <x:c r="G776" s="74"/>
      <x:c r="H776" s="74"/>
      <x:c r="I776" s="74"/>
      <x:c r="J776" s="74"/>
      <x:c r="K776" s="74"/>
      <x:c r="L776" s="74"/>
      <x:c r="M776" s="91"/>
      <x:c r="N776" s="91"/>
      <x:c r="O776" s="85"/>
      <x:c r="P776" s="85"/>
      <x:c r="Q776" s="85"/>
      <x:c r="R776" s="85"/>
      <x:c r="S776" s="85"/>
      <x:c r="T776" s="85"/>
      <x:c r="U776" s="85"/>
      <x:c r="W776" s="86"/>
      <x:c r="X776" s="86"/>
      <x:c r="Y776" s="32"/>
    </x:row>
    <x:row r="777">
      <x:c r="A777" s="87"/>
      <x:c r="B777" s="88"/>
      <x:c r="D777" s="32"/>
      <x:c r="G777" s="74"/>
      <x:c r="H777" s="74"/>
      <x:c r="I777" s="74"/>
      <x:c r="J777" s="74"/>
      <x:c r="K777" s="74"/>
      <x:c r="L777" s="74"/>
      <x:c r="M777" s="91"/>
      <x:c r="N777" s="91"/>
      <x:c r="O777" s="85"/>
      <x:c r="P777" s="85"/>
      <x:c r="Q777" s="85"/>
      <x:c r="R777" s="85"/>
      <x:c r="S777" s="85"/>
      <x:c r="T777" s="85"/>
      <x:c r="U777" s="85"/>
      <x:c r="W777" s="86"/>
      <x:c r="X777" s="86"/>
      <x:c r="Y777" s="32"/>
    </x:row>
    <x:row r="778">
      <x:c r="A778" s="87"/>
      <x:c r="B778" s="88"/>
      <x:c r="D778" s="32"/>
      <x:c r="G778" s="74"/>
      <x:c r="H778" s="74"/>
      <x:c r="I778" s="74"/>
      <x:c r="J778" s="74"/>
      <x:c r="K778" s="74"/>
      <x:c r="L778" s="74"/>
      <x:c r="M778" s="91"/>
      <x:c r="N778" s="91"/>
      <x:c r="O778" s="85"/>
      <x:c r="P778" s="85"/>
      <x:c r="Q778" s="85"/>
      <x:c r="R778" s="85"/>
      <x:c r="S778" s="85"/>
      <x:c r="T778" s="85"/>
      <x:c r="U778" s="85"/>
      <x:c r="W778" s="86"/>
      <x:c r="X778" s="86"/>
      <x:c r="Y778" s="32"/>
    </x:row>
    <x:row r="779">
      <x:c r="A779" s="87"/>
      <x:c r="B779" s="88"/>
      <x:c r="D779" s="32"/>
      <x:c r="G779" s="74"/>
      <x:c r="H779" s="74"/>
      <x:c r="I779" s="74"/>
      <x:c r="J779" s="74"/>
      <x:c r="K779" s="74"/>
      <x:c r="L779" s="74"/>
      <x:c r="M779" s="91"/>
      <x:c r="N779" s="91"/>
      <x:c r="O779" s="85"/>
      <x:c r="P779" s="85"/>
      <x:c r="Q779" s="85"/>
      <x:c r="R779" s="85"/>
      <x:c r="S779" s="85"/>
      <x:c r="T779" s="85"/>
      <x:c r="U779" s="85"/>
      <x:c r="W779" s="86"/>
      <x:c r="X779" s="86"/>
      <x:c r="Y779" s="32"/>
    </x:row>
    <x:row r="780">
      <x:c r="A780" s="87"/>
      <x:c r="B780" s="88"/>
      <x:c r="D780" s="32"/>
      <x:c r="G780" s="74"/>
      <x:c r="H780" s="74"/>
      <x:c r="I780" s="74"/>
      <x:c r="J780" s="74"/>
      <x:c r="K780" s="74"/>
      <x:c r="L780" s="74"/>
      <x:c r="M780" s="91"/>
      <x:c r="N780" s="91"/>
      <x:c r="O780" s="85"/>
      <x:c r="P780" s="85"/>
      <x:c r="Q780" s="85"/>
      <x:c r="R780" s="85"/>
      <x:c r="S780" s="85"/>
      <x:c r="T780" s="85"/>
      <x:c r="U780" s="85"/>
      <x:c r="W780" s="86"/>
      <x:c r="X780" s="86"/>
      <x:c r="Y780" s="32"/>
    </x:row>
    <x:row r="781">
      <x:c r="A781" s="87"/>
      <x:c r="B781" s="88"/>
      <x:c r="D781" s="32"/>
      <x:c r="G781" s="74"/>
      <x:c r="H781" s="74"/>
      <x:c r="I781" s="74"/>
      <x:c r="J781" s="74"/>
      <x:c r="K781" s="74"/>
      <x:c r="L781" s="74"/>
      <x:c r="M781" s="91"/>
      <x:c r="N781" s="91"/>
      <x:c r="O781" s="85"/>
      <x:c r="P781" s="85"/>
      <x:c r="Q781" s="85"/>
      <x:c r="R781" s="85"/>
      <x:c r="S781" s="85"/>
      <x:c r="T781" s="85"/>
      <x:c r="U781" s="85"/>
      <x:c r="W781" s="86"/>
      <x:c r="X781" s="86"/>
      <x:c r="Y781" s="32"/>
    </x:row>
    <x:row r="782">
      <x:c r="A782" s="87"/>
      <x:c r="B782" s="88"/>
      <x:c r="D782" s="32"/>
      <x:c r="G782" s="74"/>
      <x:c r="H782" s="74"/>
      <x:c r="I782" s="74"/>
      <x:c r="J782" s="74"/>
      <x:c r="K782" s="74"/>
      <x:c r="L782" s="74"/>
      <x:c r="M782" s="91"/>
      <x:c r="N782" s="91"/>
      <x:c r="O782" s="85"/>
      <x:c r="P782" s="85"/>
      <x:c r="Q782" s="85"/>
      <x:c r="R782" s="85"/>
      <x:c r="S782" s="85"/>
      <x:c r="T782" s="85"/>
      <x:c r="U782" s="85"/>
      <x:c r="W782" s="86"/>
      <x:c r="X782" s="86"/>
      <x:c r="Y782" s="32"/>
    </x:row>
    <x:row r="783">
      <x:c r="A783" s="87"/>
      <x:c r="B783" s="88"/>
      <x:c r="D783" s="32"/>
      <x:c r="G783" s="74"/>
      <x:c r="H783" s="74"/>
      <x:c r="I783" s="74"/>
      <x:c r="J783" s="74"/>
      <x:c r="K783" s="74"/>
      <x:c r="L783" s="74"/>
      <x:c r="M783" s="91"/>
      <x:c r="N783" s="91"/>
      <x:c r="O783" s="85"/>
      <x:c r="P783" s="85"/>
      <x:c r="Q783" s="85"/>
      <x:c r="R783" s="85"/>
      <x:c r="S783" s="85"/>
      <x:c r="T783" s="85"/>
      <x:c r="U783" s="85"/>
      <x:c r="W783" s="86"/>
      <x:c r="X783" s="86"/>
      <x:c r="Y783" s="32"/>
    </x:row>
    <x:row r="784">
      <x:c r="A784" s="87"/>
      <x:c r="B784" s="88"/>
      <x:c r="D784" s="32"/>
      <x:c r="G784" s="74"/>
      <x:c r="H784" s="74"/>
      <x:c r="I784" s="74"/>
      <x:c r="J784" s="74"/>
      <x:c r="K784" s="74"/>
      <x:c r="L784" s="74"/>
      <x:c r="M784" s="91"/>
      <x:c r="N784" s="91"/>
      <x:c r="O784" s="85"/>
      <x:c r="P784" s="85"/>
      <x:c r="Q784" s="85"/>
      <x:c r="R784" s="85"/>
      <x:c r="S784" s="85"/>
      <x:c r="T784" s="85"/>
      <x:c r="U784" s="85"/>
      <x:c r="W784" s="86"/>
      <x:c r="X784" s="86"/>
      <x:c r="Y784" s="32"/>
    </x:row>
    <x:row r="785">
      <x:c r="A785" s="87"/>
      <x:c r="B785" s="88"/>
      <x:c r="D785" s="32"/>
      <x:c r="G785" s="74"/>
      <x:c r="H785" s="74"/>
      <x:c r="I785" s="74"/>
      <x:c r="J785" s="74"/>
      <x:c r="K785" s="74"/>
      <x:c r="L785" s="74"/>
      <x:c r="M785" s="91"/>
      <x:c r="N785" s="91"/>
      <x:c r="O785" s="85"/>
      <x:c r="P785" s="85"/>
      <x:c r="Q785" s="85"/>
      <x:c r="R785" s="85"/>
      <x:c r="S785" s="85"/>
      <x:c r="T785" s="85"/>
      <x:c r="U785" s="85"/>
      <x:c r="W785" s="86"/>
      <x:c r="X785" s="86"/>
      <x:c r="Y785" s="32"/>
    </x:row>
    <x:row r="786">
      <x:c r="A786" s="87"/>
      <x:c r="B786" s="88"/>
      <x:c r="D786" s="32"/>
      <x:c r="G786" s="74"/>
      <x:c r="H786" s="74"/>
      <x:c r="I786" s="74"/>
      <x:c r="J786" s="74"/>
      <x:c r="K786" s="74"/>
      <x:c r="L786" s="74"/>
      <x:c r="M786" s="91"/>
      <x:c r="N786" s="91"/>
      <x:c r="O786" s="85"/>
      <x:c r="P786" s="85"/>
      <x:c r="Q786" s="85"/>
      <x:c r="R786" s="85"/>
      <x:c r="S786" s="85"/>
      <x:c r="T786" s="85"/>
      <x:c r="U786" s="85"/>
      <x:c r="W786" s="86"/>
      <x:c r="X786" s="86"/>
      <x:c r="Y786" s="32"/>
    </x:row>
    <x:row r="787">
      <x:c r="A787" s="87"/>
      <x:c r="B787" s="88"/>
      <x:c r="D787" s="32"/>
      <x:c r="G787" s="74"/>
      <x:c r="H787" s="74"/>
      <x:c r="I787" s="74"/>
      <x:c r="J787" s="74"/>
      <x:c r="K787" s="74"/>
      <x:c r="L787" s="74"/>
      <x:c r="M787" s="91"/>
      <x:c r="N787" s="91"/>
      <x:c r="O787" s="85"/>
      <x:c r="P787" s="85"/>
      <x:c r="Q787" s="85"/>
      <x:c r="R787" s="85"/>
      <x:c r="S787" s="85"/>
      <x:c r="T787" s="85"/>
      <x:c r="U787" s="85"/>
      <x:c r="W787" s="86"/>
      <x:c r="X787" s="86"/>
      <x:c r="Y787" s="32"/>
    </x:row>
    <x:row r="788">
      <x:c r="A788" s="87"/>
      <x:c r="B788" s="88"/>
      <x:c r="D788" s="32"/>
      <x:c r="G788" s="74"/>
      <x:c r="H788" s="74"/>
      <x:c r="I788" s="74"/>
      <x:c r="J788" s="74"/>
      <x:c r="K788" s="74"/>
      <x:c r="L788" s="74"/>
      <x:c r="M788" s="91"/>
      <x:c r="N788" s="91"/>
      <x:c r="O788" s="85"/>
      <x:c r="P788" s="85"/>
      <x:c r="Q788" s="85"/>
      <x:c r="R788" s="85"/>
      <x:c r="S788" s="85"/>
      <x:c r="T788" s="85"/>
      <x:c r="U788" s="85"/>
      <x:c r="W788" s="86"/>
      <x:c r="X788" s="86"/>
      <x:c r="Y788" s="32"/>
    </x:row>
    <x:row r="789">
      <x:c r="A789" s="87"/>
      <x:c r="B789" s="88"/>
      <x:c r="D789" s="32"/>
      <x:c r="G789" s="74"/>
      <x:c r="H789" s="74"/>
      <x:c r="I789" s="74"/>
      <x:c r="J789" s="74"/>
      <x:c r="K789" s="74"/>
      <x:c r="L789" s="74"/>
      <x:c r="M789" s="91"/>
      <x:c r="N789" s="91"/>
      <x:c r="O789" s="85"/>
      <x:c r="P789" s="85"/>
      <x:c r="Q789" s="85"/>
      <x:c r="R789" s="85"/>
      <x:c r="S789" s="85"/>
      <x:c r="T789" s="85"/>
      <x:c r="U789" s="85"/>
      <x:c r="W789" s="86"/>
      <x:c r="X789" s="86"/>
      <x:c r="Y789" s="32"/>
    </x:row>
    <x:row r="790">
      <x:c r="A790" s="87"/>
      <x:c r="B790" s="88"/>
      <x:c r="D790" s="32"/>
      <x:c r="G790" s="74"/>
      <x:c r="H790" s="74"/>
      <x:c r="I790" s="74"/>
      <x:c r="J790" s="74"/>
      <x:c r="K790" s="74"/>
      <x:c r="L790" s="74"/>
      <x:c r="M790" s="91"/>
      <x:c r="N790" s="91"/>
      <x:c r="O790" s="85"/>
      <x:c r="P790" s="85"/>
      <x:c r="Q790" s="85"/>
      <x:c r="R790" s="85"/>
      <x:c r="S790" s="85"/>
      <x:c r="T790" s="85"/>
      <x:c r="U790" s="85"/>
      <x:c r="W790" s="86"/>
      <x:c r="X790" s="86"/>
      <x:c r="Y790" s="32"/>
    </x:row>
    <x:row r="791">
      <x:c r="A791" s="87"/>
      <x:c r="B791" s="88"/>
      <x:c r="D791" s="32"/>
      <x:c r="G791" s="74"/>
      <x:c r="H791" s="74"/>
      <x:c r="I791" s="74"/>
      <x:c r="J791" s="74"/>
      <x:c r="K791" s="74"/>
      <x:c r="L791" s="74"/>
      <x:c r="M791" s="91"/>
      <x:c r="N791" s="91"/>
      <x:c r="O791" s="85"/>
      <x:c r="P791" s="85"/>
      <x:c r="Q791" s="85"/>
      <x:c r="R791" s="85"/>
      <x:c r="S791" s="85"/>
      <x:c r="T791" s="85"/>
      <x:c r="U791" s="85"/>
      <x:c r="W791" s="86"/>
      <x:c r="X791" s="86"/>
      <x:c r="Y791" s="32"/>
    </x:row>
    <x:row r="792">
      <x:c r="A792" s="87"/>
      <x:c r="B792" s="88"/>
      <x:c r="D792" s="32"/>
      <x:c r="G792" s="74"/>
      <x:c r="H792" s="74"/>
      <x:c r="I792" s="74"/>
      <x:c r="J792" s="74"/>
      <x:c r="K792" s="74"/>
      <x:c r="L792" s="74"/>
      <x:c r="M792" s="91"/>
      <x:c r="N792" s="91"/>
      <x:c r="O792" s="85"/>
      <x:c r="P792" s="85"/>
      <x:c r="Q792" s="85"/>
      <x:c r="R792" s="85"/>
      <x:c r="S792" s="85"/>
      <x:c r="T792" s="85"/>
      <x:c r="U792" s="85"/>
      <x:c r="W792" s="86"/>
      <x:c r="X792" s="86"/>
      <x:c r="Y792" s="32"/>
    </x:row>
    <x:row r="793">
      <x:c r="A793" s="87"/>
      <x:c r="B793" s="88"/>
      <x:c r="D793" s="32"/>
      <x:c r="G793" s="74"/>
      <x:c r="H793" s="74"/>
      <x:c r="I793" s="74"/>
      <x:c r="J793" s="74"/>
      <x:c r="K793" s="74"/>
      <x:c r="L793" s="74"/>
      <x:c r="M793" s="91"/>
      <x:c r="N793" s="91"/>
      <x:c r="O793" s="85"/>
      <x:c r="P793" s="85"/>
      <x:c r="Q793" s="85"/>
      <x:c r="R793" s="85"/>
      <x:c r="S793" s="85"/>
      <x:c r="T793" s="85"/>
      <x:c r="U793" s="85"/>
      <x:c r="W793" s="86"/>
      <x:c r="X793" s="86"/>
      <x:c r="Y793" s="32"/>
    </x:row>
    <x:row r="794">
      <x:c r="A794" s="87"/>
      <x:c r="B794" s="88"/>
      <x:c r="D794" s="32"/>
      <x:c r="G794" s="74"/>
      <x:c r="H794" s="74"/>
      <x:c r="I794" s="74"/>
      <x:c r="J794" s="74"/>
      <x:c r="K794" s="74"/>
      <x:c r="L794" s="74"/>
      <x:c r="M794" s="91"/>
      <x:c r="N794" s="91"/>
      <x:c r="O794" s="85"/>
      <x:c r="P794" s="85"/>
      <x:c r="Q794" s="85"/>
      <x:c r="R794" s="85"/>
      <x:c r="S794" s="85"/>
      <x:c r="T794" s="85"/>
      <x:c r="U794" s="85"/>
      <x:c r="W794" s="86"/>
      <x:c r="X794" s="86"/>
      <x:c r="Y794" s="32"/>
    </x:row>
    <x:row r="795">
      <x:c r="A795" s="87"/>
      <x:c r="B795" s="88"/>
      <x:c r="D795" s="32"/>
      <x:c r="G795" s="74"/>
      <x:c r="H795" s="74"/>
      <x:c r="I795" s="74"/>
      <x:c r="J795" s="74"/>
      <x:c r="K795" s="74"/>
      <x:c r="L795" s="74"/>
      <x:c r="M795" s="91"/>
      <x:c r="N795" s="91"/>
      <x:c r="O795" s="85"/>
      <x:c r="P795" s="85"/>
      <x:c r="Q795" s="85"/>
      <x:c r="R795" s="85"/>
      <x:c r="S795" s="85"/>
      <x:c r="T795" s="85"/>
      <x:c r="U795" s="85"/>
      <x:c r="W795" s="86"/>
      <x:c r="X795" s="86"/>
      <x:c r="Y795" s="32"/>
    </x:row>
    <x:row r="796">
      <x:c r="A796" s="87"/>
      <x:c r="B796" s="88"/>
      <x:c r="D796" s="32"/>
      <x:c r="G796" s="74"/>
      <x:c r="H796" s="74"/>
      <x:c r="I796" s="74"/>
      <x:c r="J796" s="74"/>
      <x:c r="K796" s="74"/>
      <x:c r="L796" s="74"/>
      <x:c r="M796" s="91"/>
      <x:c r="N796" s="91"/>
      <x:c r="O796" s="85"/>
      <x:c r="P796" s="85"/>
      <x:c r="Q796" s="85"/>
      <x:c r="R796" s="85"/>
      <x:c r="S796" s="85"/>
      <x:c r="T796" s="85"/>
      <x:c r="U796" s="85"/>
      <x:c r="W796" s="86"/>
      <x:c r="X796" s="86"/>
      <x:c r="Y796" s="32"/>
    </x:row>
    <x:row r="797">
      <x:c r="A797" s="87"/>
      <x:c r="B797" s="88"/>
      <x:c r="D797" s="32"/>
      <x:c r="G797" s="74"/>
      <x:c r="H797" s="74"/>
      <x:c r="I797" s="74"/>
      <x:c r="J797" s="74"/>
      <x:c r="K797" s="74"/>
      <x:c r="L797" s="74"/>
      <x:c r="M797" s="91"/>
      <x:c r="N797" s="91"/>
      <x:c r="O797" s="85"/>
      <x:c r="P797" s="85"/>
      <x:c r="Q797" s="85"/>
      <x:c r="R797" s="85"/>
      <x:c r="S797" s="85"/>
      <x:c r="T797" s="85"/>
      <x:c r="U797" s="85"/>
      <x:c r="W797" s="86"/>
      <x:c r="X797" s="86"/>
      <x:c r="Y797" s="32"/>
    </x:row>
    <x:row r="798">
      <x:c r="A798" s="87"/>
      <x:c r="B798" s="88"/>
      <x:c r="D798" s="32"/>
      <x:c r="G798" s="74"/>
      <x:c r="H798" s="74"/>
      <x:c r="I798" s="74"/>
      <x:c r="J798" s="74"/>
      <x:c r="K798" s="74"/>
      <x:c r="L798" s="74"/>
      <x:c r="M798" s="91"/>
      <x:c r="N798" s="91"/>
      <x:c r="O798" s="85"/>
      <x:c r="P798" s="85"/>
      <x:c r="Q798" s="85"/>
      <x:c r="R798" s="85"/>
      <x:c r="S798" s="85"/>
      <x:c r="T798" s="85"/>
      <x:c r="U798" s="85"/>
      <x:c r="W798" s="86"/>
      <x:c r="X798" s="86"/>
      <x:c r="Y798" s="32"/>
    </x:row>
    <x:row r="799">
      <x:c r="A799" s="87"/>
      <x:c r="B799" s="88"/>
      <x:c r="D799" s="32"/>
      <x:c r="G799" s="74"/>
      <x:c r="H799" s="74"/>
      <x:c r="I799" s="74"/>
      <x:c r="J799" s="74"/>
      <x:c r="K799" s="74"/>
      <x:c r="L799" s="74"/>
      <x:c r="M799" s="91"/>
      <x:c r="N799" s="91"/>
      <x:c r="O799" s="85"/>
      <x:c r="P799" s="85"/>
      <x:c r="Q799" s="85"/>
      <x:c r="R799" s="85"/>
      <x:c r="S799" s="85"/>
      <x:c r="T799" s="85"/>
      <x:c r="U799" s="85"/>
      <x:c r="W799" s="86"/>
      <x:c r="X799" s="86"/>
      <x:c r="Y799" s="32"/>
    </x:row>
    <x:row r="800">
      <x:c r="A800" s="87"/>
      <x:c r="B800" s="88"/>
      <x:c r="D800" s="32"/>
      <x:c r="G800" s="74"/>
      <x:c r="H800" s="74"/>
      <x:c r="I800" s="74"/>
      <x:c r="J800" s="74"/>
      <x:c r="K800" s="74"/>
      <x:c r="L800" s="74"/>
      <x:c r="M800" s="91"/>
      <x:c r="N800" s="91"/>
      <x:c r="O800" s="85"/>
      <x:c r="P800" s="85"/>
      <x:c r="Q800" s="85"/>
      <x:c r="R800" s="85"/>
      <x:c r="S800" s="85"/>
      <x:c r="T800" s="85"/>
      <x:c r="U800" s="85"/>
      <x:c r="W800" s="86"/>
      <x:c r="X800" s="86"/>
      <x:c r="Y800" s="32"/>
    </x:row>
    <x:row r="801">
      <x:c r="A801" s="87"/>
      <x:c r="B801" s="88"/>
      <x:c r="D801" s="32"/>
      <x:c r="G801" s="74"/>
      <x:c r="H801" s="74"/>
      <x:c r="I801" s="74"/>
      <x:c r="J801" s="74"/>
      <x:c r="K801" s="74"/>
      <x:c r="L801" s="74"/>
      <x:c r="M801" s="91"/>
      <x:c r="N801" s="91"/>
      <x:c r="O801" s="85"/>
      <x:c r="P801" s="85"/>
      <x:c r="Q801" s="85"/>
      <x:c r="R801" s="85"/>
      <x:c r="S801" s="85"/>
      <x:c r="T801" s="85"/>
      <x:c r="U801" s="85"/>
      <x:c r="W801" s="86"/>
      <x:c r="X801" s="86"/>
      <x:c r="Y801" s="32"/>
    </x:row>
    <x:row r="802">
      <x:c r="A802" s="87"/>
      <x:c r="B802" s="88"/>
      <x:c r="D802" s="32"/>
      <x:c r="G802" s="74"/>
      <x:c r="H802" s="74"/>
      <x:c r="I802" s="74"/>
      <x:c r="J802" s="74"/>
      <x:c r="K802" s="74"/>
      <x:c r="L802" s="74"/>
      <x:c r="M802" s="91"/>
      <x:c r="N802" s="91"/>
      <x:c r="O802" s="85"/>
      <x:c r="P802" s="85"/>
      <x:c r="Q802" s="85"/>
      <x:c r="R802" s="85"/>
      <x:c r="S802" s="85"/>
      <x:c r="T802" s="85"/>
      <x:c r="U802" s="85"/>
      <x:c r="W802" s="86"/>
      <x:c r="X802" s="86"/>
      <x:c r="Y802" s="32"/>
    </x:row>
    <x:row r="803">
      <x:c r="A803" s="87"/>
      <x:c r="B803" s="88"/>
      <x:c r="D803" s="32"/>
      <x:c r="G803" s="74"/>
      <x:c r="H803" s="74"/>
      <x:c r="I803" s="74"/>
      <x:c r="J803" s="74"/>
      <x:c r="K803" s="74"/>
      <x:c r="L803" s="74"/>
      <x:c r="M803" s="91"/>
      <x:c r="N803" s="91"/>
      <x:c r="O803" s="85"/>
      <x:c r="P803" s="85"/>
      <x:c r="Q803" s="85"/>
      <x:c r="R803" s="85"/>
      <x:c r="S803" s="85"/>
      <x:c r="T803" s="85"/>
      <x:c r="U803" s="85"/>
      <x:c r="W803" s="86"/>
      <x:c r="X803" s="86"/>
      <x:c r="Y803" s="32"/>
    </x:row>
    <x:row r="804">
      <x:c r="A804" s="87"/>
      <x:c r="B804" s="88"/>
      <x:c r="D804" s="32"/>
      <x:c r="G804" s="74"/>
      <x:c r="H804" s="74"/>
      <x:c r="I804" s="74"/>
      <x:c r="J804" s="74"/>
      <x:c r="K804" s="74"/>
      <x:c r="L804" s="74"/>
      <x:c r="M804" s="91"/>
      <x:c r="N804" s="91"/>
      <x:c r="O804" s="85"/>
      <x:c r="P804" s="85"/>
      <x:c r="Q804" s="85"/>
      <x:c r="R804" s="85"/>
      <x:c r="S804" s="85"/>
      <x:c r="T804" s="85"/>
      <x:c r="U804" s="85"/>
      <x:c r="W804" s="86"/>
      <x:c r="X804" s="86"/>
      <x:c r="Y804" s="32"/>
    </x:row>
    <x:row r="805">
      <x:c r="A805" s="87"/>
      <x:c r="B805" s="88"/>
      <x:c r="D805" s="32"/>
      <x:c r="G805" s="74"/>
      <x:c r="H805" s="74"/>
      <x:c r="I805" s="74"/>
      <x:c r="J805" s="74"/>
      <x:c r="K805" s="74"/>
      <x:c r="L805" s="74"/>
      <x:c r="M805" s="91"/>
      <x:c r="N805" s="91"/>
      <x:c r="O805" s="85"/>
      <x:c r="P805" s="85"/>
      <x:c r="Q805" s="85"/>
      <x:c r="R805" s="85"/>
      <x:c r="S805" s="85"/>
      <x:c r="T805" s="85"/>
      <x:c r="U805" s="85"/>
      <x:c r="W805" s="86"/>
      <x:c r="X805" s="86"/>
      <x:c r="Y805" s="32"/>
    </x:row>
    <x:row r="806">
      <x:c r="A806" s="87"/>
      <x:c r="B806" s="88"/>
      <x:c r="D806" s="32"/>
      <x:c r="G806" s="74"/>
      <x:c r="H806" s="74"/>
      <x:c r="I806" s="74"/>
      <x:c r="J806" s="74"/>
      <x:c r="K806" s="74"/>
      <x:c r="L806" s="74"/>
      <x:c r="M806" s="91"/>
      <x:c r="N806" s="91"/>
      <x:c r="O806" s="85"/>
      <x:c r="P806" s="85"/>
      <x:c r="Q806" s="85"/>
      <x:c r="R806" s="85"/>
      <x:c r="S806" s="85"/>
      <x:c r="T806" s="85"/>
      <x:c r="U806" s="85"/>
      <x:c r="W806" s="86"/>
      <x:c r="X806" s="86"/>
      <x:c r="Y806" s="32"/>
    </x:row>
    <x:row r="807">
      <x:c r="A807" s="87"/>
      <x:c r="B807" s="88"/>
      <x:c r="D807" s="32"/>
      <x:c r="G807" s="74"/>
      <x:c r="H807" s="74"/>
      <x:c r="I807" s="74"/>
      <x:c r="J807" s="74"/>
      <x:c r="K807" s="74"/>
      <x:c r="L807" s="74"/>
      <x:c r="M807" s="91"/>
      <x:c r="N807" s="91"/>
      <x:c r="O807" s="85"/>
      <x:c r="P807" s="85"/>
      <x:c r="Q807" s="85"/>
      <x:c r="R807" s="85"/>
      <x:c r="S807" s="85"/>
      <x:c r="T807" s="85"/>
      <x:c r="U807" s="85"/>
      <x:c r="W807" s="86"/>
      <x:c r="X807" s="86"/>
      <x:c r="Y807" s="32"/>
    </x:row>
    <x:row r="808">
      <x:c r="A808" s="87"/>
      <x:c r="B808" s="88"/>
      <x:c r="D808" s="32"/>
      <x:c r="G808" s="74"/>
      <x:c r="H808" s="74"/>
      <x:c r="I808" s="74"/>
      <x:c r="J808" s="74"/>
      <x:c r="K808" s="74"/>
      <x:c r="L808" s="74"/>
      <x:c r="M808" s="91"/>
      <x:c r="N808" s="91"/>
      <x:c r="O808" s="85"/>
      <x:c r="P808" s="85"/>
      <x:c r="Q808" s="85"/>
      <x:c r="R808" s="85"/>
      <x:c r="S808" s="85"/>
      <x:c r="T808" s="85"/>
      <x:c r="U808" s="85"/>
      <x:c r="W808" s="86"/>
      <x:c r="X808" s="86"/>
      <x:c r="Y808" s="32"/>
    </x:row>
    <x:row r="809">
      <x:c r="A809" s="87"/>
      <x:c r="B809" s="88"/>
      <x:c r="D809" s="32"/>
      <x:c r="G809" s="74"/>
      <x:c r="H809" s="74"/>
      <x:c r="I809" s="74"/>
      <x:c r="J809" s="74"/>
      <x:c r="K809" s="74"/>
      <x:c r="L809" s="74"/>
      <x:c r="M809" s="91"/>
      <x:c r="N809" s="91"/>
      <x:c r="O809" s="85"/>
      <x:c r="P809" s="85"/>
      <x:c r="Q809" s="85"/>
      <x:c r="R809" s="85"/>
      <x:c r="S809" s="85"/>
      <x:c r="T809" s="85"/>
      <x:c r="U809" s="85"/>
      <x:c r="W809" s="86"/>
      <x:c r="X809" s="86"/>
      <x:c r="Y809" s="32"/>
    </x:row>
    <x:row r="810">
      <x:c r="A810" s="87"/>
      <x:c r="B810" s="88"/>
      <x:c r="D810" s="32"/>
      <x:c r="G810" s="74"/>
      <x:c r="H810" s="74"/>
      <x:c r="I810" s="74"/>
      <x:c r="J810" s="74"/>
      <x:c r="K810" s="74"/>
      <x:c r="L810" s="74"/>
      <x:c r="M810" s="91"/>
      <x:c r="N810" s="91"/>
      <x:c r="O810" s="85"/>
      <x:c r="P810" s="85"/>
      <x:c r="Q810" s="85"/>
      <x:c r="R810" s="85"/>
      <x:c r="S810" s="85"/>
      <x:c r="T810" s="85"/>
      <x:c r="U810" s="85"/>
      <x:c r="W810" s="86"/>
      <x:c r="X810" s="86"/>
      <x:c r="Y810" s="32"/>
    </x:row>
    <x:row r="811">
      <x:c r="A811" s="87"/>
      <x:c r="B811" s="88"/>
      <x:c r="D811" s="32"/>
      <x:c r="G811" s="74"/>
      <x:c r="H811" s="74"/>
      <x:c r="I811" s="74"/>
      <x:c r="J811" s="74"/>
      <x:c r="K811" s="74"/>
      <x:c r="L811" s="74"/>
      <x:c r="M811" s="91"/>
      <x:c r="N811" s="91"/>
      <x:c r="O811" s="85"/>
      <x:c r="P811" s="85"/>
      <x:c r="Q811" s="85"/>
      <x:c r="R811" s="85"/>
      <x:c r="S811" s="85"/>
      <x:c r="T811" s="85"/>
      <x:c r="U811" s="85"/>
      <x:c r="W811" s="86"/>
      <x:c r="X811" s="86"/>
      <x:c r="Y811" s="32"/>
    </x:row>
    <x:row r="812">
      <x:c r="A812" s="87"/>
      <x:c r="B812" s="88"/>
      <x:c r="D812" s="32"/>
      <x:c r="G812" s="74"/>
      <x:c r="H812" s="74"/>
      <x:c r="I812" s="74"/>
      <x:c r="J812" s="74"/>
      <x:c r="K812" s="74"/>
      <x:c r="L812" s="74"/>
      <x:c r="M812" s="91"/>
      <x:c r="N812" s="91"/>
      <x:c r="O812" s="85"/>
      <x:c r="P812" s="85"/>
      <x:c r="Q812" s="85"/>
      <x:c r="R812" s="85"/>
      <x:c r="S812" s="85"/>
      <x:c r="T812" s="85"/>
      <x:c r="U812" s="85"/>
      <x:c r="W812" s="86"/>
      <x:c r="X812" s="86"/>
      <x:c r="Y812" s="32"/>
    </x:row>
    <x:row r="813">
      <x:c r="A813" s="87"/>
      <x:c r="B813" s="88"/>
      <x:c r="D813" s="32"/>
      <x:c r="G813" s="74"/>
      <x:c r="H813" s="74"/>
      <x:c r="I813" s="74"/>
      <x:c r="J813" s="74"/>
      <x:c r="K813" s="74"/>
      <x:c r="L813" s="74"/>
      <x:c r="M813" s="91"/>
      <x:c r="N813" s="91"/>
      <x:c r="O813" s="85"/>
      <x:c r="P813" s="85"/>
      <x:c r="Q813" s="85"/>
      <x:c r="R813" s="85"/>
      <x:c r="S813" s="85"/>
      <x:c r="T813" s="85"/>
      <x:c r="U813" s="85"/>
      <x:c r="W813" s="86"/>
      <x:c r="X813" s="86"/>
      <x:c r="Y813" s="32"/>
    </x:row>
    <x:row r="814">
      <x:c r="A814" s="87"/>
      <x:c r="B814" s="88"/>
      <x:c r="D814" s="32"/>
      <x:c r="G814" s="74"/>
      <x:c r="H814" s="74"/>
      <x:c r="I814" s="74"/>
      <x:c r="J814" s="74"/>
      <x:c r="K814" s="74"/>
      <x:c r="L814" s="74"/>
      <x:c r="M814" s="91"/>
      <x:c r="N814" s="91"/>
      <x:c r="O814" s="85"/>
      <x:c r="P814" s="85"/>
      <x:c r="Q814" s="85"/>
      <x:c r="R814" s="85"/>
      <x:c r="S814" s="85"/>
      <x:c r="T814" s="85"/>
      <x:c r="U814" s="85"/>
      <x:c r="W814" s="86"/>
      <x:c r="X814" s="86"/>
      <x:c r="Y814" s="32"/>
    </x:row>
    <x:row r="815">
      <x:c r="A815" s="87"/>
      <x:c r="B815" s="88"/>
      <x:c r="D815" s="32"/>
      <x:c r="G815" s="74"/>
      <x:c r="H815" s="74"/>
      <x:c r="I815" s="74"/>
      <x:c r="J815" s="74"/>
      <x:c r="K815" s="74"/>
      <x:c r="L815" s="74"/>
      <x:c r="M815" s="91"/>
      <x:c r="N815" s="91"/>
      <x:c r="O815" s="85"/>
      <x:c r="P815" s="85"/>
      <x:c r="Q815" s="85"/>
      <x:c r="R815" s="85"/>
      <x:c r="S815" s="85"/>
      <x:c r="T815" s="85"/>
      <x:c r="U815" s="85"/>
      <x:c r="W815" s="86"/>
      <x:c r="X815" s="86"/>
      <x:c r="Y815" s="32"/>
    </x:row>
    <x:row r="816">
      <x:c r="A816" s="87"/>
      <x:c r="B816" s="88"/>
      <x:c r="D816" s="32"/>
      <x:c r="G816" s="74"/>
      <x:c r="H816" s="74"/>
      <x:c r="I816" s="74"/>
      <x:c r="J816" s="74"/>
      <x:c r="K816" s="74"/>
      <x:c r="L816" s="74"/>
      <x:c r="M816" s="91"/>
      <x:c r="N816" s="91"/>
      <x:c r="O816" s="85"/>
      <x:c r="P816" s="85"/>
      <x:c r="Q816" s="85"/>
      <x:c r="R816" s="85"/>
      <x:c r="S816" s="85"/>
      <x:c r="T816" s="85"/>
      <x:c r="U816" s="85"/>
      <x:c r="W816" s="86"/>
      <x:c r="X816" s="86"/>
      <x:c r="Y816" s="32"/>
    </x:row>
    <x:row r="817">
      <x:c r="A817" s="87"/>
      <x:c r="B817" s="88"/>
      <x:c r="D817" s="32"/>
      <x:c r="G817" s="74"/>
      <x:c r="H817" s="74"/>
      <x:c r="I817" s="74"/>
      <x:c r="J817" s="74"/>
      <x:c r="K817" s="74"/>
      <x:c r="L817" s="74"/>
      <x:c r="M817" s="91"/>
      <x:c r="N817" s="91"/>
      <x:c r="O817" s="85"/>
      <x:c r="P817" s="85"/>
      <x:c r="Q817" s="85"/>
      <x:c r="R817" s="85"/>
      <x:c r="S817" s="85"/>
      <x:c r="T817" s="85"/>
      <x:c r="U817" s="85"/>
      <x:c r="W817" s="86"/>
      <x:c r="X817" s="86"/>
      <x:c r="Y817" s="32"/>
    </x:row>
    <x:row r="818">
      <x:c r="A818" s="87"/>
      <x:c r="B818" s="88"/>
      <x:c r="D818" s="32"/>
      <x:c r="G818" s="74"/>
      <x:c r="H818" s="74"/>
      <x:c r="I818" s="74"/>
      <x:c r="J818" s="74"/>
      <x:c r="K818" s="74"/>
      <x:c r="L818" s="74"/>
      <x:c r="M818" s="91"/>
      <x:c r="N818" s="91"/>
      <x:c r="O818" s="85"/>
      <x:c r="P818" s="85"/>
      <x:c r="Q818" s="85"/>
      <x:c r="R818" s="85"/>
      <x:c r="S818" s="85"/>
      <x:c r="T818" s="85"/>
      <x:c r="U818" s="85"/>
      <x:c r="W818" s="86"/>
      <x:c r="X818" s="86"/>
      <x:c r="Y818" s="32"/>
    </x:row>
    <x:row r="819">
      <x:c r="A819" s="87"/>
      <x:c r="B819" s="88"/>
      <x:c r="D819" s="32"/>
      <x:c r="G819" s="74"/>
      <x:c r="H819" s="74"/>
      <x:c r="I819" s="74"/>
      <x:c r="J819" s="74"/>
      <x:c r="K819" s="74"/>
      <x:c r="L819" s="74"/>
      <x:c r="M819" s="91"/>
      <x:c r="N819" s="91"/>
      <x:c r="O819" s="85"/>
      <x:c r="P819" s="85"/>
      <x:c r="Q819" s="85"/>
      <x:c r="R819" s="85"/>
      <x:c r="S819" s="85"/>
      <x:c r="T819" s="85"/>
      <x:c r="U819" s="85"/>
      <x:c r="W819" s="86"/>
      <x:c r="X819" s="86"/>
      <x:c r="Y819" s="32"/>
    </x:row>
    <x:row r="820">
      <x:c r="A820" s="87"/>
      <x:c r="B820" s="88"/>
      <x:c r="D820" s="32"/>
      <x:c r="G820" s="74"/>
      <x:c r="H820" s="74"/>
      <x:c r="I820" s="74"/>
      <x:c r="J820" s="74"/>
      <x:c r="K820" s="74"/>
      <x:c r="L820" s="74"/>
      <x:c r="M820" s="91"/>
      <x:c r="N820" s="91"/>
      <x:c r="O820" s="85"/>
      <x:c r="P820" s="85"/>
      <x:c r="Q820" s="85"/>
      <x:c r="R820" s="85"/>
      <x:c r="S820" s="85"/>
      <x:c r="T820" s="85"/>
      <x:c r="U820" s="85"/>
      <x:c r="W820" s="86"/>
      <x:c r="X820" s="86"/>
      <x:c r="Y820" s="32"/>
    </x:row>
    <x:row r="821">
      <x:c r="A821" s="87"/>
      <x:c r="B821" s="88"/>
      <x:c r="D821" s="32"/>
      <x:c r="G821" s="74"/>
      <x:c r="H821" s="74"/>
      <x:c r="I821" s="74"/>
      <x:c r="J821" s="74"/>
      <x:c r="K821" s="74"/>
      <x:c r="L821" s="74"/>
      <x:c r="M821" s="91"/>
      <x:c r="N821" s="91"/>
      <x:c r="O821" s="85"/>
      <x:c r="P821" s="85"/>
      <x:c r="Q821" s="85"/>
      <x:c r="R821" s="85"/>
      <x:c r="S821" s="85"/>
      <x:c r="T821" s="85"/>
      <x:c r="U821" s="85"/>
      <x:c r="W821" s="86"/>
      <x:c r="X821" s="86"/>
      <x:c r="Y821" s="32"/>
    </x:row>
    <x:row r="822">
      <x:c r="A822" s="87"/>
      <x:c r="B822" s="88"/>
      <x:c r="D822" s="32"/>
      <x:c r="G822" s="74"/>
      <x:c r="H822" s="74"/>
      <x:c r="I822" s="74"/>
      <x:c r="J822" s="74"/>
      <x:c r="K822" s="74"/>
      <x:c r="L822" s="74"/>
      <x:c r="M822" s="91"/>
      <x:c r="N822" s="91"/>
      <x:c r="O822" s="85"/>
      <x:c r="P822" s="85"/>
      <x:c r="Q822" s="85"/>
      <x:c r="R822" s="85"/>
      <x:c r="S822" s="85"/>
      <x:c r="T822" s="85"/>
      <x:c r="U822" s="85"/>
      <x:c r="W822" s="86"/>
      <x:c r="X822" s="86"/>
      <x:c r="Y822" s="32"/>
    </x:row>
    <x:row r="823">
      <x:c r="A823" s="87"/>
      <x:c r="B823" s="88"/>
      <x:c r="D823" s="32"/>
      <x:c r="G823" s="74"/>
      <x:c r="H823" s="74"/>
      <x:c r="I823" s="74"/>
      <x:c r="J823" s="74"/>
      <x:c r="K823" s="74"/>
      <x:c r="L823" s="74"/>
      <x:c r="M823" s="91"/>
      <x:c r="N823" s="91"/>
      <x:c r="O823" s="85"/>
      <x:c r="P823" s="85"/>
      <x:c r="Q823" s="85"/>
      <x:c r="R823" s="85"/>
      <x:c r="S823" s="85"/>
      <x:c r="T823" s="85"/>
      <x:c r="U823" s="85"/>
      <x:c r="W823" s="86"/>
      <x:c r="X823" s="86"/>
      <x:c r="Y823" s="32"/>
    </x:row>
    <x:row r="824">
      <x:c r="A824" s="87"/>
      <x:c r="B824" s="88"/>
      <x:c r="D824" s="32"/>
      <x:c r="G824" s="74"/>
      <x:c r="H824" s="74"/>
      <x:c r="I824" s="74"/>
      <x:c r="J824" s="74"/>
      <x:c r="K824" s="74"/>
      <x:c r="L824" s="74"/>
      <x:c r="M824" s="91"/>
      <x:c r="N824" s="91"/>
      <x:c r="O824" s="85"/>
      <x:c r="P824" s="85"/>
      <x:c r="Q824" s="85"/>
      <x:c r="R824" s="85"/>
      <x:c r="S824" s="85"/>
      <x:c r="T824" s="85"/>
      <x:c r="U824" s="85"/>
      <x:c r="W824" s="86"/>
      <x:c r="X824" s="86"/>
      <x:c r="Y824" s="32"/>
    </x:row>
    <x:row r="825">
      <x:c r="A825" s="87"/>
      <x:c r="B825" s="88"/>
      <x:c r="D825" s="32"/>
      <x:c r="G825" s="74"/>
      <x:c r="H825" s="74"/>
      <x:c r="I825" s="74"/>
      <x:c r="J825" s="74"/>
      <x:c r="K825" s="74"/>
      <x:c r="L825" s="74"/>
      <x:c r="M825" s="91"/>
      <x:c r="N825" s="91"/>
      <x:c r="O825" s="85"/>
      <x:c r="P825" s="85"/>
      <x:c r="Q825" s="85"/>
      <x:c r="R825" s="85"/>
      <x:c r="S825" s="85"/>
      <x:c r="T825" s="85"/>
      <x:c r="U825" s="85"/>
      <x:c r="W825" s="86"/>
      <x:c r="X825" s="86"/>
      <x:c r="Y825" s="32"/>
    </x:row>
    <x:row r="826">
      <x:c r="A826" s="87"/>
      <x:c r="B826" s="88"/>
      <x:c r="D826" s="32"/>
      <x:c r="G826" s="74"/>
      <x:c r="H826" s="74"/>
      <x:c r="I826" s="74"/>
      <x:c r="J826" s="74"/>
      <x:c r="K826" s="74"/>
      <x:c r="L826" s="74"/>
      <x:c r="M826" s="91"/>
      <x:c r="N826" s="91"/>
      <x:c r="O826" s="85"/>
      <x:c r="P826" s="85"/>
      <x:c r="Q826" s="85"/>
      <x:c r="R826" s="85"/>
      <x:c r="S826" s="85"/>
      <x:c r="T826" s="85"/>
      <x:c r="U826" s="85"/>
      <x:c r="W826" s="86"/>
      <x:c r="X826" s="86"/>
      <x:c r="Y826" s="32"/>
    </x:row>
    <x:row r="827">
      <x:c r="A827" s="87"/>
      <x:c r="B827" s="88"/>
      <x:c r="D827" s="32"/>
      <x:c r="G827" s="74"/>
      <x:c r="H827" s="74"/>
      <x:c r="I827" s="74"/>
      <x:c r="J827" s="74"/>
      <x:c r="K827" s="74"/>
      <x:c r="L827" s="74"/>
      <x:c r="M827" s="91"/>
      <x:c r="N827" s="91"/>
      <x:c r="O827" s="85"/>
      <x:c r="P827" s="85"/>
      <x:c r="Q827" s="85"/>
      <x:c r="R827" s="85"/>
      <x:c r="S827" s="85"/>
      <x:c r="T827" s="85"/>
      <x:c r="U827" s="85"/>
      <x:c r="W827" s="86"/>
      <x:c r="X827" s="86"/>
      <x:c r="Y827" s="32"/>
    </x:row>
    <x:row r="828">
      <x:c r="A828" s="87"/>
      <x:c r="B828" s="88"/>
      <x:c r="D828" s="32"/>
      <x:c r="G828" s="74"/>
      <x:c r="H828" s="74"/>
      <x:c r="I828" s="74"/>
      <x:c r="J828" s="74"/>
      <x:c r="K828" s="74"/>
      <x:c r="L828" s="74"/>
      <x:c r="M828" s="91"/>
      <x:c r="N828" s="91"/>
      <x:c r="O828" s="85"/>
      <x:c r="P828" s="85"/>
      <x:c r="Q828" s="85"/>
      <x:c r="R828" s="85"/>
      <x:c r="S828" s="85"/>
      <x:c r="T828" s="85"/>
      <x:c r="U828" s="85"/>
      <x:c r="W828" s="86"/>
      <x:c r="X828" s="86"/>
      <x:c r="Y828" s="32"/>
    </x:row>
    <x:row r="829">
      <x:c r="A829" s="87"/>
      <x:c r="B829" s="88"/>
      <x:c r="D829" s="32"/>
      <x:c r="G829" s="74"/>
      <x:c r="H829" s="74"/>
      <x:c r="I829" s="74"/>
      <x:c r="J829" s="74"/>
      <x:c r="K829" s="74"/>
      <x:c r="L829" s="74"/>
      <x:c r="M829" s="91"/>
      <x:c r="N829" s="91"/>
      <x:c r="O829" s="85"/>
      <x:c r="P829" s="85"/>
      <x:c r="Q829" s="85"/>
      <x:c r="R829" s="85"/>
      <x:c r="S829" s="85"/>
      <x:c r="T829" s="85"/>
      <x:c r="U829" s="85"/>
      <x:c r="W829" s="86"/>
      <x:c r="X829" s="86"/>
      <x:c r="Y829" s="32"/>
    </x:row>
    <x:row r="830">
      <x:c r="A830" s="87"/>
      <x:c r="B830" s="88"/>
      <x:c r="D830" s="32"/>
      <x:c r="G830" s="74"/>
      <x:c r="H830" s="74"/>
      <x:c r="I830" s="74"/>
      <x:c r="J830" s="74"/>
      <x:c r="K830" s="74"/>
      <x:c r="L830" s="74"/>
      <x:c r="M830" s="91"/>
      <x:c r="N830" s="91"/>
      <x:c r="O830" s="85"/>
      <x:c r="P830" s="85"/>
      <x:c r="Q830" s="85"/>
      <x:c r="R830" s="85"/>
      <x:c r="S830" s="85"/>
      <x:c r="T830" s="85"/>
      <x:c r="U830" s="85"/>
      <x:c r="W830" s="86"/>
      <x:c r="X830" s="86"/>
      <x:c r="Y830" s="32"/>
    </x:row>
    <x:row r="831">
      <x:c r="A831" s="87"/>
      <x:c r="B831" s="88"/>
      <x:c r="D831" s="32"/>
      <x:c r="G831" s="74"/>
      <x:c r="H831" s="74"/>
      <x:c r="I831" s="74"/>
      <x:c r="J831" s="74"/>
      <x:c r="K831" s="74"/>
      <x:c r="L831" s="74"/>
      <x:c r="M831" s="91"/>
      <x:c r="N831" s="91"/>
      <x:c r="O831" s="85"/>
      <x:c r="P831" s="85"/>
      <x:c r="Q831" s="85"/>
      <x:c r="R831" s="85"/>
      <x:c r="S831" s="85"/>
      <x:c r="T831" s="85"/>
      <x:c r="U831" s="85"/>
      <x:c r="W831" s="86"/>
      <x:c r="X831" s="86"/>
      <x:c r="Y831" s="32"/>
    </x:row>
    <x:row r="832">
      <x:c r="A832" s="87"/>
      <x:c r="B832" s="88"/>
      <x:c r="D832" s="32"/>
      <x:c r="G832" s="74"/>
      <x:c r="H832" s="74"/>
      <x:c r="I832" s="74"/>
      <x:c r="J832" s="74"/>
      <x:c r="K832" s="74"/>
      <x:c r="L832" s="74"/>
      <x:c r="M832" s="91"/>
      <x:c r="N832" s="91"/>
      <x:c r="O832" s="85"/>
      <x:c r="P832" s="85"/>
      <x:c r="Q832" s="85"/>
      <x:c r="R832" s="85"/>
      <x:c r="S832" s="85"/>
      <x:c r="T832" s="85"/>
      <x:c r="U832" s="85"/>
      <x:c r="W832" s="86"/>
      <x:c r="X832" s="86"/>
      <x:c r="Y832" s="32"/>
    </x:row>
    <x:row r="833">
      <x:c r="A833" s="87"/>
      <x:c r="B833" s="88"/>
      <x:c r="D833" s="32"/>
      <x:c r="G833" s="74"/>
      <x:c r="H833" s="74"/>
      <x:c r="I833" s="74"/>
      <x:c r="J833" s="74"/>
      <x:c r="K833" s="74"/>
      <x:c r="L833" s="74"/>
      <x:c r="M833" s="91"/>
      <x:c r="N833" s="91"/>
      <x:c r="O833" s="85"/>
      <x:c r="P833" s="85"/>
      <x:c r="Q833" s="85"/>
      <x:c r="R833" s="85"/>
      <x:c r="S833" s="85"/>
      <x:c r="T833" s="85"/>
      <x:c r="U833" s="85"/>
      <x:c r="W833" s="86"/>
      <x:c r="X833" s="86"/>
      <x:c r="Y833" s="32"/>
    </x:row>
    <x:row r="834">
      <x:c r="A834" s="87"/>
      <x:c r="B834" s="88"/>
      <x:c r="D834" s="32"/>
      <x:c r="G834" s="74"/>
      <x:c r="H834" s="74"/>
      <x:c r="I834" s="74"/>
      <x:c r="J834" s="74"/>
      <x:c r="K834" s="74"/>
      <x:c r="L834" s="74"/>
      <x:c r="M834" s="91"/>
      <x:c r="N834" s="91"/>
      <x:c r="O834" s="85"/>
      <x:c r="P834" s="85"/>
      <x:c r="Q834" s="85"/>
      <x:c r="R834" s="85"/>
      <x:c r="S834" s="85"/>
      <x:c r="T834" s="85"/>
      <x:c r="U834" s="85"/>
      <x:c r="W834" s="86"/>
      <x:c r="X834" s="86"/>
      <x:c r="Y834" s="32"/>
    </x:row>
    <x:row r="835">
      <x:c r="A835" s="87"/>
      <x:c r="B835" s="88"/>
      <x:c r="D835" s="32"/>
      <x:c r="G835" s="74"/>
      <x:c r="H835" s="74"/>
      <x:c r="I835" s="74"/>
      <x:c r="J835" s="74"/>
      <x:c r="K835" s="74"/>
      <x:c r="L835" s="74"/>
      <x:c r="M835" s="91"/>
      <x:c r="N835" s="91"/>
      <x:c r="O835" s="85"/>
      <x:c r="P835" s="85"/>
      <x:c r="Q835" s="85"/>
      <x:c r="R835" s="85"/>
      <x:c r="S835" s="85"/>
      <x:c r="T835" s="85"/>
      <x:c r="U835" s="85"/>
      <x:c r="W835" s="86"/>
      <x:c r="X835" s="86"/>
      <x:c r="Y835" s="32"/>
    </x:row>
    <x:row r="836">
      <x:c r="A836" s="87"/>
      <x:c r="B836" s="88"/>
      <x:c r="D836" s="32"/>
      <x:c r="G836" s="74"/>
      <x:c r="H836" s="74"/>
      <x:c r="I836" s="74"/>
      <x:c r="J836" s="74"/>
      <x:c r="K836" s="74"/>
      <x:c r="L836" s="74"/>
      <x:c r="M836" s="91"/>
      <x:c r="N836" s="91"/>
      <x:c r="O836" s="85"/>
      <x:c r="P836" s="85"/>
      <x:c r="Q836" s="85"/>
      <x:c r="R836" s="85"/>
      <x:c r="S836" s="85"/>
      <x:c r="T836" s="85"/>
      <x:c r="U836" s="85"/>
      <x:c r="W836" s="86"/>
      <x:c r="X836" s="86"/>
      <x:c r="Y836" s="32"/>
    </x:row>
    <x:row r="837">
      <x:c r="A837" s="87"/>
      <x:c r="B837" s="88"/>
      <x:c r="D837" s="32"/>
      <x:c r="G837" s="74"/>
      <x:c r="H837" s="74"/>
      <x:c r="I837" s="74"/>
      <x:c r="J837" s="74"/>
      <x:c r="K837" s="74"/>
      <x:c r="L837" s="74"/>
      <x:c r="M837" s="91"/>
      <x:c r="N837" s="91"/>
      <x:c r="O837" s="85"/>
      <x:c r="P837" s="85"/>
      <x:c r="Q837" s="85"/>
      <x:c r="R837" s="85"/>
      <x:c r="S837" s="85"/>
      <x:c r="T837" s="85"/>
      <x:c r="U837" s="85"/>
      <x:c r="W837" s="86"/>
      <x:c r="X837" s="86"/>
      <x:c r="Y837" s="32"/>
    </x:row>
    <x:row r="838">
      <x:c r="A838" s="87"/>
      <x:c r="B838" s="88"/>
      <x:c r="D838" s="32"/>
      <x:c r="G838" s="74"/>
      <x:c r="H838" s="74"/>
      <x:c r="I838" s="74"/>
      <x:c r="J838" s="74"/>
      <x:c r="K838" s="74"/>
      <x:c r="L838" s="74"/>
      <x:c r="M838" s="91"/>
      <x:c r="N838" s="91"/>
      <x:c r="O838" s="85"/>
      <x:c r="P838" s="85"/>
      <x:c r="Q838" s="85"/>
      <x:c r="R838" s="85"/>
      <x:c r="S838" s="85"/>
      <x:c r="T838" s="85"/>
      <x:c r="U838" s="85"/>
      <x:c r="W838" s="86"/>
      <x:c r="X838" s="86"/>
      <x:c r="Y838" s="32"/>
    </x:row>
    <x:row r="839">
      <x:c r="A839" s="87"/>
      <x:c r="B839" s="88"/>
      <x:c r="D839" s="32"/>
      <x:c r="G839" s="74"/>
      <x:c r="H839" s="74"/>
      <x:c r="I839" s="74"/>
      <x:c r="J839" s="74"/>
      <x:c r="K839" s="74"/>
      <x:c r="L839" s="74"/>
      <x:c r="M839" s="91"/>
      <x:c r="N839" s="91"/>
      <x:c r="O839" s="85"/>
      <x:c r="P839" s="85"/>
      <x:c r="Q839" s="85"/>
      <x:c r="R839" s="85"/>
      <x:c r="S839" s="85"/>
      <x:c r="T839" s="85"/>
      <x:c r="U839" s="85"/>
      <x:c r="W839" s="86"/>
      <x:c r="X839" s="86"/>
      <x:c r="Y839" s="32"/>
    </x:row>
    <x:row r="840">
      <x:c r="A840" s="87"/>
      <x:c r="B840" s="88"/>
      <x:c r="D840" s="32"/>
      <x:c r="G840" s="74"/>
      <x:c r="H840" s="74"/>
      <x:c r="I840" s="74"/>
      <x:c r="J840" s="74"/>
      <x:c r="K840" s="74"/>
      <x:c r="L840" s="74"/>
      <x:c r="M840" s="91"/>
      <x:c r="N840" s="91"/>
      <x:c r="O840" s="85"/>
      <x:c r="P840" s="85"/>
      <x:c r="Q840" s="85"/>
      <x:c r="R840" s="85"/>
      <x:c r="S840" s="85"/>
      <x:c r="T840" s="85"/>
      <x:c r="U840" s="85"/>
      <x:c r="W840" s="86"/>
      <x:c r="X840" s="86"/>
      <x:c r="Y840" s="32"/>
    </x:row>
    <x:row r="841">
      <x:c r="A841" s="87"/>
      <x:c r="B841" s="88"/>
      <x:c r="D841" s="32"/>
      <x:c r="G841" s="74"/>
      <x:c r="H841" s="74"/>
      <x:c r="I841" s="74"/>
      <x:c r="J841" s="74"/>
      <x:c r="K841" s="74"/>
      <x:c r="L841" s="74"/>
      <x:c r="M841" s="91"/>
      <x:c r="N841" s="91"/>
      <x:c r="O841" s="85"/>
      <x:c r="P841" s="85"/>
      <x:c r="Q841" s="85"/>
      <x:c r="R841" s="85"/>
      <x:c r="S841" s="85"/>
      <x:c r="T841" s="85"/>
      <x:c r="U841" s="85"/>
      <x:c r="W841" s="86"/>
      <x:c r="X841" s="86"/>
      <x:c r="Y841" s="32"/>
    </x:row>
    <x:row r="842">
      <x:c r="A842" s="87"/>
      <x:c r="B842" s="88"/>
      <x:c r="D842" s="32"/>
      <x:c r="G842" s="74"/>
      <x:c r="H842" s="74"/>
      <x:c r="I842" s="74"/>
      <x:c r="J842" s="74"/>
      <x:c r="K842" s="74"/>
      <x:c r="L842" s="74"/>
      <x:c r="M842" s="91"/>
      <x:c r="N842" s="91"/>
      <x:c r="O842" s="85"/>
      <x:c r="P842" s="85"/>
      <x:c r="Q842" s="85"/>
      <x:c r="R842" s="85"/>
      <x:c r="S842" s="85"/>
      <x:c r="T842" s="85"/>
      <x:c r="U842" s="85"/>
      <x:c r="W842" s="86"/>
      <x:c r="X842" s="86"/>
      <x:c r="Y842" s="32"/>
    </x:row>
    <x:row r="843">
      <x:c r="A843" s="87"/>
      <x:c r="B843" s="88"/>
      <x:c r="D843" s="32"/>
      <x:c r="G843" s="74"/>
      <x:c r="H843" s="74"/>
      <x:c r="I843" s="74"/>
      <x:c r="J843" s="74"/>
      <x:c r="K843" s="74"/>
      <x:c r="L843" s="74"/>
      <x:c r="M843" s="91"/>
      <x:c r="N843" s="91"/>
      <x:c r="O843" s="85"/>
      <x:c r="P843" s="85"/>
      <x:c r="Q843" s="85"/>
      <x:c r="R843" s="85"/>
      <x:c r="S843" s="85"/>
      <x:c r="T843" s="85"/>
      <x:c r="U843" s="85"/>
      <x:c r="W843" s="86"/>
      <x:c r="X843" s="86"/>
      <x:c r="Y843" s="32"/>
    </x:row>
    <x:row r="844">
      <x:c r="A844" s="87"/>
      <x:c r="B844" s="88"/>
      <x:c r="D844" s="32"/>
      <x:c r="G844" s="74"/>
      <x:c r="H844" s="74"/>
      <x:c r="I844" s="74"/>
      <x:c r="J844" s="74"/>
      <x:c r="K844" s="74"/>
      <x:c r="L844" s="74"/>
      <x:c r="M844" s="91"/>
      <x:c r="N844" s="91"/>
      <x:c r="O844" s="85"/>
      <x:c r="P844" s="85"/>
      <x:c r="Q844" s="85"/>
      <x:c r="R844" s="85"/>
      <x:c r="S844" s="85"/>
      <x:c r="T844" s="85"/>
      <x:c r="U844" s="85"/>
      <x:c r="W844" s="86"/>
      <x:c r="X844" s="86"/>
      <x:c r="Y844" s="32"/>
    </x:row>
    <x:row r="845">
      <x:c r="A845" s="87"/>
      <x:c r="B845" s="88"/>
      <x:c r="D845" s="32"/>
      <x:c r="G845" s="74"/>
      <x:c r="H845" s="74"/>
      <x:c r="I845" s="74"/>
      <x:c r="J845" s="74"/>
      <x:c r="K845" s="74"/>
      <x:c r="L845" s="74"/>
      <x:c r="M845" s="91"/>
      <x:c r="N845" s="91"/>
      <x:c r="O845" s="85"/>
      <x:c r="P845" s="85"/>
      <x:c r="Q845" s="85"/>
      <x:c r="R845" s="85"/>
      <x:c r="S845" s="85"/>
      <x:c r="T845" s="85"/>
      <x:c r="U845" s="85"/>
      <x:c r="W845" s="86"/>
      <x:c r="X845" s="86"/>
      <x:c r="Y845" s="32"/>
    </x:row>
    <x:row r="846">
      <x:c r="A846" s="87"/>
      <x:c r="B846" s="88"/>
      <x:c r="D846" s="32"/>
      <x:c r="G846" s="74"/>
      <x:c r="H846" s="74"/>
      <x:c r="I846" s="74"/>
      <x:c r="J846" s="74"/>
      <x:c r="K846" s="74"/>
      <x:c r="L846" s="74"/>
      <x:c r="M846" s="91"/>
      <x:c r="N846" s="91"/>
      <x:c r="O846" s="85"/>
      <x:c r="P846" s="85"/>
      <x:c r="Q846" s="85"/>
      <x:c r="R846" s="85"/>
      <x:c r="S846" s="85"/>
      <x:c r="T846" s="85"/>
      <x:c r="U846" s="85"/>
      <x:c r="W846" s="86"/>
      <x:c r="X846" s="86"/>
      <x:c r="Y846" s="32"/>
    </x:row>
    <x:row r="847">
      <x:c r="A847" s="87"/>
      <x:c r="B847" s="88"/>
      <x:c r="D847" s="32"/>
      <x:c r="G847" s="74"/>
      <x:c r="H847" s="74"/>
      <x:c r="I847" s="74"/>
      <x:c r="J847" s="74"/>
      <x:c r="K847" s="74"/>
      <x:c r="L847" s="74"/>
      <x:c r="M847" s="91"/>
      <x:c r="N847" s="91"/>
      <x:c r="O847" s="85"/>
      <x:c r="P847" s="85"/>
      <x:c r="Q847" s="85"/>
      <x:c r="R847" s="85"/>
      <x:c r="S847" s="85"/>
      <x:c r="T847" s="85"/>
      <x:c r="U847" s="85"/>
      <x:c r="W847" s="86"/>
      <x:c r="X847" s="86"/>
      <x:c r="Y847" s="32"/>
    </x:row>
    <x:row r="848">
      <x:c r="A848" s="87"/>
      <x:c r="B848" s="88"/>
      <x:c r="D848" s="32"/>
      <x:c r="G848" s="74"/>
      <x:c r="H848" s="74"/>
      <x:c r="I848" s="74"/>
      <x:c r="J848" s="74"/>
      <x:c r="K848" s="74"/>
      <x:c r="L848" s="74"/>
      <x:c r="M848" s="91"/>
      <x:c r="N848" s="91"/>
      <x:c r="O848" s="85"/>
      <x:c r="P848" s="85"/>
      <x:c r="Q848" s="85"/>
      <x:c r="R848" s="85"/>
      <x:c r="S848" s="85"/>
      <x:c r="T848" s="85"/>
      <x:c r="U848" s="85"/>
      <x:c r="W848" s="86"/>
      <x:c r="X848" s="86"/>
      <x:c r="Y848" s="32"/>
    </x:row>
    <x:row r="849">
      <x:c r="A849" s="87"/>
      <x:c r="B849" s="88"/>
      <x:c r="D849" s="32"/>
      <x:c r="G849" s="74"/>
      <x:c r="H849" s="74"/>
      <x:c r="I849" s="74"/>
      <x:c r="J849" s="74"/>
      <x:c r="K849" s="74"/>
      <x:c r="L849" s="74"/>
      <x:c r="M849" s="91"/>
      <x:c r="N849" s="91"/>
      <x:c r="O849" s="85"/>
      <x:c r="P849" s="85"/>
      <x:c r="Q849" s="85"/>
      <x:c r="R849" s="85"/>
      <x:c r="S849" s="85"/>
      <x:c r="T849" s="85"/>
      <x:c r="U849" s="85"/>
      <x:c r="W849" s="86"/>
      <x:c r="X849" s="86"/>
      <x:c r="Y849" s="32"/>
    </x:row>
    <x:row r="850">
      <x:c r="A850" s="87"/>
      <x:c r="B850" s="88"/>
      <x:c r="D850" s="32"/>
      <x:c r="G850" s="74"/>
      <x:c r="H850" s="74"/>
      <x:c r="I850" s="74"/>
      <x:c r="J850" s="74"/>
      <x:c r="K850" s="74"/>
      <x:c r="L850" s="74"/>
      <x:c r="M850" s="91"/>
      <x:c r="N850" s="91"/>
      <x:c r="O850" s="85"/>
      <x:c r="P850" s="85"/>
      <x:c r="Q850" s="85"/>
      <x:c r="R850" s="85"/>
      <x:c r="S850" s="85"/>
      <x:c r="T850" s="85"/>
      <x:c r="U850" s="85"/>
      <x:c r="W850" s="86"/>
      <x:c r="X850" s="86"/>
      <x:c r="Y850" s="32"/>
    </x:row>
    <x:row r="851">
      <x:c r="A851" s="87"/>
      <x:c r="B851" s="88"/>
      <x:c r="D851" s="32"/>
      <x:c r="G851" s="74"/>
      <x:c r="H851" s="74"/>
      <x:c r="I851" s="74"/>
      <x:c r="J851" s="74"/>
      <x:c r="K851" s="74"/>
      <x:c r="L851" s="74"/>
      <x:c r="M851" s="91"/>
      <x:c r="N851" s="91"/>
      <x:c r="O851" s="85"/>
      <x:c r="P851" s="85"/>
      <x:c r="Q851" s="85"/>
      <x:c r="R851" s="85"/>
      <x:c r="S851" s="85"/>
      <x:c r="T851" s="85"/>
      <x:c r="U851" s="85"/>
      <x:c r="W851" s="86"/>
      <x:c r="X851" s="86"/>
      <x:c r="Y851" s="32"/>
    </x:row>
    <x:row r="852">
      <x:c r="A852" s="87"/>
      <x:c r="B852" s="88"/>
      <x:c r="D852" s="32"/>
      <x:c r="G852" s="74"/>
      <x:c r="H852" s="74"/>
      <x:c r="I852" s="74"/>
      <x:c r="J852" s="74"/>
      <x:c r="K852" s="74"/>
      <x:c r="L852" s="74"/>
      <x:c r="M852" s="91"/>
      <x:c r="N852" s="91"/>
      <x:c r="O852" s="85"/>
      <x:c r="P852" s="85"/>
      <x:c r="Q852" s="85"/>
      <x:c r="R852" s="85"/>
      <x:c r="S852" s="85"/>
      <x:c r="T852" s="85"/>
      <x:c r="U852" s="85"/>
      <x:c r="W852" s="86"/>
      <x:c r="X852" s="86"/>
      <x:c r="Y852" s="32"/>
    </x:row>
    <x:row r="853">
      <x:c r="A853" s="87"/>
      <x:c r="B853" s="88"/>
      <x:c r="D853" s="32"/>
      <x:c r="G853" s="74"/>
      <x:c r="H853" s="74"/>
      <x:c r="I853" s="74"/>
      <x:c r="J853" s="74"/>
      <x:c r="K853" s="74"/>
      <x:c r="L853" s="74"/>
      <x:c r="M853" s="91"/>
      <x:c r="N853" s="91"/>
      <x:c r="O853" s="85"/>
      <x:c r="P853" s="85"/>
      <x:c r="Q853" s="85"/>
      <x:c r="R853" s="85"/>
      <x:c r="S853" s="85"/>
      <x:c r="T853" s="85"/>
      <x:c r="U853" s="85"/>
      <x:c r="W853" s="86"/>
      <x:c r="X853" s="86"/>
      <x:c r="Y853" s="32"/>
    </x:row>
    <x:row r="854">
      <x:c r="A854" s="87"/>
      <x:c r="B854" s="88"/>
      <x:c r="D854" s="32"/>
      <x:c r="G854" s="74"/>
      <x:c r="H854" s="74"/>
      <x:c r="I854" s="74"/>
      <x:c r="J854" s="74"/>
      <x:c r="K854" s="74"/>
      <x:c r="L854" s="74"/>
      <x:c r="M854" s="91"/>
      <x:c r="N854" s="91"/>
      <x:c r="O854" s="85"/>
      <x:c r="P854" s="85"/>
      <x:c r="Q854" s="85"/>
      <x:c r="R854" s="85"/>
      <x:c r="S854" s="85"/>
      <x:c r="T854" s="85"/>
      <x:c r="U854" s="85"/>
      <x:c r="W854" s="86"/>
      <x:c r="X854" s="86"/>
      <x:c r="Y854" s="32"/>
    </x:row>
    <x:row r="855">
      <x:c r="A855" s="87"/>
      <x:c r="B855" s="88"/>
      <x:c r="D855" s="32"/>
      <x:c r="G855" s="74"/>
      <x:c r="H855" s="74"/>
      <x:c r="I855" s="74"/>
      <x:c r="J855" s="74"/>
      <x:c r="K855" s="74"/>
      <x:c r="L855" s="74"/>
      <x:c r="M855" s="91"/>
      <x:c r="N855" s="91"/>
      <x:c r="O855" s="85"/>
      <x:c r="P855" s="85"/>
      <x:c r="Q855" s="85"/>
      <x:c r="R855" s="85"/>
      <x:c r="S855" s="85"/>
      <x:c r="T855" s="85"/>
      <x:c r="U855" s="85"/>
      <x:c r="W855" s="86"/>
      <x:c r="X855" s="86"/>
      <x:c r="Y855" s="32"/>
    </x:row>
    <x:row r="856">
      <x:c r="A856" s="87"/>
      <x:c r="B856" s="88"/>
      <x:c r="D856" s="32"/>
      <x:c r="G856" s="74"/>
      <x:c r="H856" s="74"/>
      <x:c r="I856" s="74"/>
      <x:c r="J856" s="74"/>
      <x:c r="K856" s="74"/>
      <x:c r="L856" s="74"/>
      <x:c r="M856" s="91"/>
      <x:c r="N856" s="91"/>
      <x:c r="O856" s="85"/>
      <x:c r="P856" s="85"/>
      <x:c r="Q856" s="85"/>
      <x:c r="R856" s="85"/>
      <x:c r="S856" s="85"/>
      <x:c r="T856" s="85"/>
      <x:c r="U856" s="85"/>
      <x:c r="W856" s="86"/>
      <x:c r="X856" s="86"/>
      <x:c r="Y856" s="32"/>
    </x:row>
    <x:row r="857">
      <x:c r="A857" s="87"/>
      <x:c r="B857" s="88"/>
      <x:c r="D857" s="32"/>
      <x:c r="G857" s="74"/>
      <x:c r="H857" s="74"/>
      <x:c r="I857" s="74"/>
      <x:c r="J857" s="74"/>
      <x:c r="K857" s="74"/>
      <x:c r="L857" s="74"/>
      <x:c r="M857" s="91"/>
      <x:c r="N857" s="91"/>
      <x:c r="O857" s="85"/>
      <x:c r="P857" s="85"/>
      <x:c r="Q857" s="85"/>
      <x:c r="R857" s="85"/>
      <x:c r="S857" s="85"/>
      <x:c r="T857" s="85"/>
      <x:c r="U857" s="85"/>
      <x:c r="W857" s="86"/>
      <x:c r="X857" s="86"/>
      <x:c r="Y857" s="32"/>
    </x:row>
    <x:row r="858">
      <x:c r="A858" s="87"/>
      <x:c r="B858" s="88"/>
      <x:c r="D858" s="32"/>
      <x:c r="G858" s="74"/>
      <x:c r="H858" s="74"/>
      <x:c r="I858" s="74"/>
      <x:c r="J858" s="74"/>
      <x:c r="K858" s="74"/>
      <x:c r="L858" s="74"/>
      <x:c r="M858" s="91"/>
      <x:c r="N858" s="91"/>
      <x:c r="O858" s="85"/>
      <x:c r="P858" s="85"/>
      <x:c r="Q858" s="85"/>
      <x:c r="R858" s="85"/>
      <x:c r="S858" s="85"/>
      <x:c r="T858" s="85"/>
      <x:c r="U858" s="85"/>
      <x:c r="W858" s="86"/>
      <x:c r="X858" s="86"/>
      <x:c r="Y858" s="32"/>
    </x:row>
    <x:row r="859">
      <x:c r="A859" s="87"/>
      <x:c r="B859" s="88"/>
      <x:c r="D859" s="32"/>
      <x:c r="G859" s="74"/>
      <x:c r="H859" s="74"/>
      <x:c r="I859" s="74"/>
      <x:c r="J859" s="74"/>
      <x:c r="K859" s="74"/>
      <x:c r="L859" s="74"/>
      <x:c r="M859" s="91"/>
      <x:c r="N859" s="91"/>
      <x:c r="O859" s="85"/>
      <x:c r="P859" s="85"/>
      <x:c r="Q859" s="85"/>
      <x:c r="R859" s="85"/>
      <x:c r="S859" s="85"/>
      <x:c r="T859" s="85"/>
      <x:c r="U859" s="85"/>
      <x:c r="W859" s="86"/>
      <x:c r="X859" s="86"/>
      <x:c r="Y859" s="32"/>
    </x:row>
    <x:row r="860">
      <x:c r="A860" s="87"/>
      <x:c r="B860" s="88"/>
      <x:c r="D860" s="32"/>
      <x:c r="G860" s="74"/>
      <x:c r="H860" s="74"/>
      <x:c r="I860" s="74"/>
      <x:c r="J860" s="74"/>
      <x:c r="K860" s="74"/>
      <x:c r="L860" s="74"/>
      <x:c r="M860" s="91"/>
      <x:c r="N860" s="91"/>
      <x:c r="O860" s="85"/>
      <x:c r="P860" s="85"/>
      <x:c r="Q860" s="85"/>
      <x:c r="R860" s="85"/>
      <x:c r="S860" s="85"/>
      <x:c r="T860" s="85"/>
      <x:c r="U860" s="85"/>
      <x:c r="W860" s="86"/>
      <x:c r="X860" s="86"/>
      <x:c r="Y860" s="32"/>
    </x:row>
    <x:row r="861">
      <x:c r="A861" s="87"/>
      <x:c r="B861" s="88"/>
      <x:c r="D861" s="32"/>
      <x:c r="G861" s="74"/>
      <x:c r="H861" s="74"/>
      <x:c r="I861" s="74"/>
      <x:c r="J861" s="74"/>
      <x:c r="K861" s="74"/>
      <x:c r="L861" s="74"/>
      <x:c r="M861" s="91"/>
      <x:c r="N861" s="91"/>
      <x:c r="O861" s="85"/>
      <x:c r="P861" s="85"/>
      <x:c r="Q861" s="85"/>
      <x:c r="R861" s="85"/>
      <x:c r="S861" s="85"/>
      <x:c r="T861" s="85"/>
      <x:c r="U861" s="85"/>
      <x:c r="W861" s="86"/>
      <x:c r="X861" s="86"/>
      <x:c r="Y861" s="32"/>
    </x:row>
    <x:row r="862">
      <x:c r="A862" s="87"/>
      <x:c r="B862" s="88"/>
      <x:c r="D862" s="32"/>
      <x:c r="G862" s="74"/>
      <x:c r="H862" s="74"/>
      <x:c r="I862" s="74"/>
      <x:c r="J862" s="74"/>
      <x:c r="K862" s="74"/>
      <x:c r="L862" s="74"/>
      <x:c r="M862" s="91"/>
      <x:c r="N862" s="91"/>
      <x:c r="O862" s="85"/>
      <x:c r="P862" s="85"/>
      <x:c r="Q862" s="85"/>
      <x:c r="R862" s="85"/>
      <x:c r="S862" s="85"/>
      <x:c r="T862" s="85"/>
      <x:c r="U862" s="85"/>
      <x:c r="W862" s="86"/>
      <x:c r="X862" s="86"/>
      <x:c r="Y862" s="32"/>
    </x:row>
    <x:row r="863">
      <x:c r="A863" s="87"/>
      <x:c r="B863" s="88"/>
      <x:c r="D863" s="32"/>
      <x:c r="G863" s="74"/>
      <x:c r="H863" s="74"/>
      <x:c r="I863" s="74"/>
      <x:c r="J863" s="74"/>
      <x:c r="K863" s="74"/>
      <x:c r="L863" s="74"/>
      <x:c r="M863" s="91"/>
      <x:c r="N863" s="91"/>
      <x:c r="O863" s="85"/>
      <x:c r="P863" s="85"/>
      <x:c r="Q863" s="85"/>
      <x:c r="R863" s="85"/>
      <x:c r="S863" s="85"/>
      <x:c r="T863" s="85"/>
      <x:c r="U863" s="85"/>
      <x:c r="W863" s="86"/>
      <x:c r="X863" s="86"/>
      <x:c r="Y863" s="32"/>
    </x:row>
    <x:row r="864">
      <x:c r="A864" s="87"/>
      <x:c r="B864" s="88"/>
      <x:c r="D864" s="32"/>
      <x:c r="G864" s="74"/>
      <x:c r="H864" s="74"/>
      <x:c r="I864" s="74"/>
      <x:c r="J864" s="74"/>
      <x:c r="K864" s="74"/>
      <x:c r="L864" s="74"/>
      <x:c r="M864" s="91"/>
      <x:c r="N864" s="91"/>
      <x:c r="O864" s="85"/>
      <x:c r="P864" s="85"/>
      <x:c r="Q864" s="85"/>
      <x:c r="R864" s="85"/>
      <x:c r="S864" s="85"/>
      <x:c r="T864" s="85"/>
      <x:c r="U864" s="85"/>
      <x:c r="W864" s="86"/>
      <x:c r="X864" s="86"/>
      <x:c r="Y864" s="32"/>
    </x:row>
    <x:row r="865">
      <x:c r="A865" s="87"/>
      <x:c r="B865" s="88"/>
      <x:c r="D865" s="32"/>
      <x:c r="G865" s="74"/>
      <x:c r="H865" s="74"/>
      <x:c r="I865" s="74"/>
      <x:c r="J865" s="74"/>
      <x:c r="K865" s="74"/>
      <x:c r="L865" s="74"/>
      <x:c r="M865" s="91"/>
      <x:c r="N865" s="91"/>
      <x:c r="O865" s="85"/>
      <x:c r="P865" s="85"/>
      <x:c r="Q865" s="85"/>
      <x:c r="R865" s="85"/>
      <x:c r="S865" s="85"/>
      <x:c r="T865" s="85"/>
      <x:c r="U865" s="85"/>
      <x:c r="W865" s="86"/>
      <x:c r="X865" s="86"/>
      <x:c r="Y865" s="32"/>
    </x:row>
    <x:row r="866">
      <x:c r="A866" s="87"/>
      <x:c r="B866" s="88"/>
      <x:c r="D866" s="32"/>
      <x:c r="G866" s="74"/>
      <x:c r="H866" s="74"/>
      <x:c r="I866" s="74"/>
      <x:c r="J866" s="74"/>
      <x:c r="K866" s="74"/>
      <x:c r="L866" s="74"/>
      <x:c r="M866" s="91"/>
      <x:c r="N866" s="91"/>
      <x:c r="O866" s="85"/>
      <x:c r="P866" s="85"/>
      <x:c r="Q866" s="85"/>
      <x:c r="R866" s="85"/>
      <x:c r="S866" s="85"/>
      <x:c r="T866" s="85"/>
      <x:c r="U866" s="85"/>
      <x:c r="W866" s="86"/>
      <x:c r="X866" s="86"/>
      <x:c r="Y866" s="32"/>
    </x:row>
    <x:row r="867">
      <x:c r="A867" s="87"/>
      <x:c r="B867" s="88"/>
      <x:c r="D867" s="32"/>
      <x:c r="G867" s="74"/>
      <x:c r="H867" s="74"/>
      <x:c r="I867" s="74"/>
      <x:c r="J867" s="74"/>
      <x:c r="K867" s="74"/>
      <x:c r="L867" s="74"/>
      <x:c r="M867" s="91"/>
      <x:c r="N867" s="91"/>
      <x:c r="O867" s="85"/>
      <x:c r="P867" s="85"/>
      <x:c r="Q867" s="85"/>
      <x:c r="R867" s="85"/>
      <x:c r="S867" s="85"/>
      <x:c r="T867" s="85"/>
      <x:c r="U867" s="85"/>
      <x:c r="W867" s="86"/>
      <x:c r="X867" s="86"/>
      <x:c r="Y867" s="32"/>
    </x:row>
    <x:row r="868">
      <x:c r="A868" s="87"/>
      <x:c r="B868" s="88"/>
      <x:c r="D868" s="32"/>
      <x:c r="G868" s="74"/>
      <x:c r="H868" s="74"/>
      <x:c r="I868" s="74"/>
      <x:c r="J868" s="74"/>
      <x:c r="K868" s="74"/>
      <x:c r="L868" s="74"/>
      <x:c r="M868" s="91"/>
      <x:c r="N868" s="91"/>
      <x:c r="O868" s="85"/>
      <x:c r="P868" s="85"/>
      <x:c r="Q868" s="85"/>
      <x:c r="R868" s="85"/>
      <x:c r="S868" s="85"/>
      <x:c r="T868" s="85"/>
      <x:c r="U868" s="85"/>
      <x:c r="W868" s="86"/>
      <x:c r="X868" s="86"/>
      <x:c r="Y868" s="32"/>
    </x:row>
    <x:row r="869">
      <x:c r="A869" s="87"/>
      <x:c r="B869" s="88"/>
      <x:c r="D869" s="32"/>
      <x:c r="G869" s="74"/>
      <x:c r="H869" s="74"/>
      <x:c r="I869" s="74"/>
      <x:c r="J869" s="74"/>
      <x:c r="K869" s="74"/>
      <x:c r="L869" s="74"/>
      <x:c r="M869" s="91"/>
      <x:c r="N869" s="91"/>
      <x:c r="O869" s="85"/>
      <x:c r="P869" s="85"/>
      <x:c r="Q869" s="85"/>
      <x:c r="R869" s="85"/>
      <x:c r="S869" s="85"/>
      <x:c r="T869" s="85"/>
      <x:c r="U869" s="85"/>
      <x:c r="W869" s="86"/>
      <x:c r="X869" s="86"/>
      <x:c r="Y869" s="32"/>
    </x:row>
    <x:row r="870">
      <x:c r="A870" s="87"/>
      <x:c r="B870" s="88"/>
      <x:c r="D870" s="32"/>
      <x:c r="G870" s="74"/>
      <x:c r="H870" s="74"/>
      <x:c r="I870" s="74"/>
      <x:c r="J870" s="74"/>
      <x:c r="K870" s="74"/>
      <x:c r="L870" s="74"/>
      <x:c r="M870" s="91"/>
      <x:c r="N870" s="91"/>
      <x:c r="O870" s="85"/>
      <x:c r="P870" s="85"/>
      <x:c r="Q870" s="85"/>
      <x:c r="R870" s="85"/>
      <x:c r="S870" s="85"/>
      <x:c r="T870" s="85"/>
      <x:c r="U870" s="85"/>
      <x:c r="W870" s="86"/>
      <x:c r="X870" s="86"/>
      <x:c r="Y870" s="32"/>
    </x:row>
    <x:row r="871">
      <x:c r="A871" s="87"/>
      <x:c r="B871" s="88"/>
      <x:c r="D871" s="32"/>
      <x:c r="G871" s="74"/>
      <x:c r="H871" s="74"/>
      <x:c r="I871" s="74"/>
      <x:c r="J871" s="74"/>
      <x:c r="K871" s="74"/>
      <x:c r="L871" s="74"/>
      <x:c r="M871" s="91"/>
      <x:c r="N871" s="91"/>
      <x:c r="O871" s="85"/>
      <x:c r="P871" s="85"/>
      <x:c r="Q871" s="85"/>
      <x:c r="R871" s="85"/>
      <x:c r="S871" s="85"/>
      <x:c r="T871" s="85"/>
      <x:c r="U871" s="85"/>
      <x:c r="W871" s="86"/>
      <x:c r="X871" s="86"/>
      <x:c r="Y871" s="32"/>
    </x:row>
    <x:row r="872">
      <x:c r="A872" s="87"/>
      <x:c r="B872" s="88"/>
      <x:c r="D872" s="32"/>
      <x:c r="G872" s="74"/>
      <x:c r="H872" s="74"/>
      <x:c r="I872" s="74"/>
      <x:c r="J872" s="74"/>
      <x:c r="K872" s="74"/>
      <x:c r="L872" s="74"/>
      <x:c r="M872" s="91"/>
      <x:c r="N872" s="91"/>
      <x:c r="O872" s="85"/>
      <x:c r="P872" s="85"/>
      <x:c r="Q872" s="85"/>
      <x:c r="R872" s="85"/>
      <x:c r="S872" s="85"/>
      <x:c r="T872" s="85"/>
      <x:c r="U872" s="85"/>
      <x:c r="W872" s="86"/>
      <x:c r="X872" s="86"/>
      <x:c r="Y872" s="32"/>
    </x:row>
    <x:row r="873">
      <x:c r="A873" s="87"/>
      <x:c r="B873" s="88"/>
      <x:c r="D873" s="32"/>
      <x:c r="G873" s="74"/>
      <x:c r="H873" s="74"/>
      <x:c r="I873" s="74"/>
      <x:c r="J873" s="74"/>
      <x:c r="K873" s="74"/>
      <x:c r="L873" s="74"/>
      <x:c r="M873" s="91"/>
      <x:c r="N873" s="91"/>
      <x:c r="O873" s="85"/>
      <x:c r="P873" s="85"/>
      <x:c r="Q873" s="85"/>
      <x:c r="R873" s="85"/>
      <x:c r="S873" s="85"/>
      <x:c r="T873" s="85"/>
      <x:c r="U873" s="85"/>
      <x:c r="W873" s="86"/>
      <x:c r="X873" s="86"/>
      <x:c r="Y873" s="32"/>
    </x:row>
    <x:row r="874">
      <x:c r="A874" s="87"/>
      <x:c r="B874" s="88"/>
      <x:c r="D874" s="32"/>
      <x:c r="G874" s="74"/>
      <x:c r="H874" s="74"/>
      <x:c r="I874" s="74"/>
      <x:c r="J874" s="74"/>
      <x:c r="K874" s="74"/>
      <x:c r="L874" s="74"/>
      <x:c r="M874" s="91"/>
      <x:c r="N874" s="91"/>
      <x:c r="O874" s="85"/>
      <x:c r="P874" s="85"/>
      <x:c r="Q874" s="85"/>
      <x:c r="R874" s="85"/>
      <x:c r="S874" s="85"/>
      <x:c r="T874" s="85"/>
      <x:c r="U874" s="85"/>
      <x:c r="W874" s="86"/>
      <x:c r="X874" s="86"/>
      <x:c r="Y874" s="32"/>
    </x:row>
    <x:row r="875">
      <x:c r="A875" s="87"/>
      <x:c r="B875" s="88"/>
      <x:c r="D875" s="32"/>
      <x:c r="G875" s="74"/>
      <x:c r="H875" s="74"/>
      <x:c r="I875" s="74"/>
      <x:c r="J875" s="74"/>
      <x:c r="K875" s="74"/>
      <x:c r="L875" s="74"/>
      <x:c r="M875" s="91"/>
      <x:c r="N875" s="91"/>
      <x:c r="O875" s="85"/>
      <x:c r="P875" s="85"/>
      <x:c r="Q875" s="85"/>
      <x:c r="R875" s="85"/>
      <x:c r="S875" s="85"/>
      <x:c r="T875" s="85"/>
      <x:c r="U875" s="85"/>
      <x:c r="W875" s="86"/>
      <x:c r="X875" s="86"/>
      <x:c r="Y875" s="32"/>
    </x:row>
    <x:row r="876">
      <x:c r="A876" s="87"/>
      <x:c r="B876" s="88"/>
      <x:c r="D876" s="32"/>
      <x:c r="G876" s="74"/>
      <x:c r="H876" s="74"/>
      <x:c r="I876" s="74"/>
      <x:c r="J876" s="74"/>
      <x:c r="K876" s="74"/>
      <x:c r="L876" s="74"/>
      <x:c r="M876" s="91"/>
      <x:c r="N876" s="91"/>
      <x:c r="O876" s="85"/>
      <x:c r="P876" s="85"/>
      <x:c r="Q876" s="85"/>
      <x:c r="R876" s="85"/>
      <x:c r="S876" s="85"/>
      <x:c r="T876" s="85"/>
      <x:c r="U876" s="85"/>
      <x:c r="W876" s="86"/>
      <x:c r="X876" s="86"/>
      <x:c r="Y876" s="32"/>
    </x:row>
    <x:row r="877">
      <x:c r="A877" s="87"/>
      <x:c r="B877" s="88"/>
      <x:c r="D877" s="32"/>
      <x:c r="G877" s="74"/>
      <x:c r="H877" s="74"/>
      <x:c r="I877" s="74"/>
      <x:c r="J877" s="74"/>
      <x:c r="K877" s="74"/>
      <x:c r="L877" s="74"/>
      <x:c r="M877" s="91"/>
      <x:c r="N877" s="91"/>
      <x:c r="O877" s="85"/>
      <x:c r="P877" s="85"/>
      <x:c r="Q877" s="85"/>
      <x:c r="R877" s="85"/>
      <x:c r="S877" s="85"/>
      <x:c r="T877" s="85"/>
      <x:c r="U877" s="85"/>
      <x:c r="W877" s="86"/>
      <x:c r="X877" s="86"/>
      <x:c r="Y877" s="32"/>
    </x:row>
    <x:row r="878">
      <x:c r="A878" s="87"/>
      <x:c r="B878" s="88"/>
      <x:c r="D878" s="32"/>
      <x:c r="G878" s="74"/>
      <x:c r="H878" s="74"/>
      <x:c r="I878" s="74"/>
      <x:c r="J878" s="74"/>
      <x:c r="K878" s="74"/>
      <x:c r="L878" s="74"/>
      <x:c r="M878" s="91"/>
      <x:c r="N878" s="91"/>
      <x:c r="O878" s="85"/>
      <x:c r="P878" s="85"/>
      <x:c r="Q878" s="85"/>
      <x:c r="R878" s="85"/>
      <x:c r="S878" s="85"/>
      <x:c r="T878" s="85"/>
      <x:c r="U878" s="85"/>
      <x:c r="W878" s="86"/>
      <x:c r="X878" s="86"/>
      <x:c r="Y878" s="32"/>
    </x:row>
    <x:row r="879">
      <x:c r="A879" s="87"/>
      <x:c r="B879" s="88"/>
      <x:c r="D879" s="32"/>
      <x:c r="G879" s="74"/>
      <x:c r="H879" s="74"/>
      <x:c r="I879" s="74"/>
      <x:c r="J879" s="74"/>
      <x:c r="K879" s="74"/>
      <x:c r="L879" s="74"/>
      <x:c r="M879" s="91"/>
      <x:c r="N879" s="91"/>
      <x:c r="O879" s="85"/>
      <x:c r="P879" s="85"/>
      <x:c r="Q879" s="85"/>
      <x:c r="R879" s="85"/>
      <x:c r="S879" s="85"/>
      <x:c r="T879" s="85"/>
      <x:c r="U879" s="85"/>
      <x:c r="W879" s="86"/>
      <x:c r="X879" s="86"/>
      <x:c r="Y879" s="32"/>
    </x:row>
    <x:row r="880">
      <x:c r="A880" s="87"/>
      <x:c r="B880" s="88"/>
      <x:c r="D880" s="32"/>
      <x:c r="G880" s="74"/>
      <x:c r="H880" s="74"/>
      <x:c r="I880" s="74"/>
      <x:c r="J880" s="74"/>
      <x:c r="K880" s="74"/>
      <x:c r="L880" s="74"/>
      <x:c r="M880" s="91"/>
      <x:c r="N880" s="91"/>
      <x:c r="O880" s="85"/>
      <x:c r="P880" s="85"/>
      <x:c r="Q880" s="85"/>
      <x:c r="R880" s="85"/>
      <x:c r="S880" s="85"/>
      <x:c r="T880" s="85"/>
      <x:c r="U880" s="85"/>
      <x:c r="W880" s="86"/>
      <x:c r="X880" s="86"/>
      <x:c r="Y880" s="32"/>
    </x:row>
    <x:row r="881">
      <x:c r="A881" s="87"/>
      <x:c r="B881" s="88"/>
      <x:c r="D881" s="32"/>
      <x:c r="G881" s="74"/>
      <x:c r="H881" s="74"/>
      <x:c r="I881" s="74"/>
      <x:c r="J881" s="74"/>
      <x:c r="K881" s="74"/>
      <x:c r="L881" s="74"/>
      <x:c r="M881" s="91"/>
      <x:c r="N881" s="91"/>
      <x:c r="O881" s="85"/>
      <x:c r="P881" s="85"/>
      <x:c r="Q881" s="85"/>
      <x:c r="R881" s="85"/>
      <x:c r="S881" s="85"/>
      <x:c r="T881" s="85"/>
      <x:c r="U881" s="85"/>
      <x:c r="W881" s="86"/>
      <x:c r="X881" s="86"/>
      <x:c r="Y881" s="32"/>
    </x:row>
    <x:row r="882">
      <x:c r="A882" s="87"/>
      <x:c r="B882" s="88"/>
      <x:c r="D882" s="32"/>
      <x:c r="G882" s="74"/>
      <x:c r="H882" s="74"/>
      <x:c r="I882" s="74"/>
      <x:c r="J882" s="74"/>
      <x:c r="K882" s="74"/>
      <x:c r="L882" s="74"/>
      <x:c r="M882" s="91"/>
      <x:c r="N882" s="91"/>
      <x:c r="O882" s="85"/>
      <x:c r="P882" s="85"/>
      <x:c r="Q882" s="85"/>
      <x:c r="R882" s="85"/>
      <x:c r="S882" s="85"/>
      <x:c r="T882" s="85"/>
      <x:c r="U882" s="85"/>
      <x:c r="W882" s="86"/>
      <x:c r="X882" s="86"/>
      <x:c r="Y882" s="32"/>
    </x:row>
    <x:row r="883">
      <x:c r="A883" s="87"/>
      <x:c r="B883" s="88"/>
      <x:c r="D883" s="32"/>
      <x:c r="G883" s="74"/>
      <x:c r="H883" s="74"/>
      <x:c r="I883" s="74"/>
      <x:c r="J883" s="74"/>
      <x:c r="K883" s="74"/>
      <x:c r="L883" s="74"/>
      <x:c r="M883" s="91"/>
      <x:c r="N883" s="91"/>
      <x:c r="O883" s="85"/>
      <x:c r="P883" s="85"/>
      <x:c r="Q883" s="85"/>
      <x:c r="R883" s="85"/>
      <x:c r="S883" s="85"/>
      <x:c r="T883" s="85"/>
      <x:c r="U883" s="85"/>
      <x:c r="W883" s="86"/>
      <x:c r="X883" s="86"/>
      <x:c r="Y883" s="32"/>
    </x:row>
    <x:row r="884">
      <x:c r="A884" s="87"/>
      <x:c r="B884" s="88"/>
      <x:c r="D884" s="32"/>
      <x:c r="G884" s="74"/>
      <x:c r="H884" s="74"/>
      <x:c r="I884" s="74"/>
      <x:c r="J884" s="74"/>
      <x:c r="K884" s="74"/>
      <x:c r="L884" s="74"/>
      <x:c r="M884" s="91"/>
      <x:c r="N884" s="91"/>
      <x:c r="O884" s="85"/>
      <x:c r="P884" s="85"/>
      <x:c r="Q884" s="85"/>
      <x:c r="R884" s="85"/>
      <x:c r="S884" s="85"/>
      <x:c r="T884" s="85"/>
      <x:c r="U884" s="85"/>
      <x:c r="W884" s="86"/>
      <x:c r="X884" s="86"/>
      <x:c r="Y884" s="32"/>
    </x:row>
    <x:row r="885">
      <x:c r="A885" s="87"/>
      <x:c r="B885" s="88"/>
      <x:c r="D885" s="32"/>
      <x:c r="G885" s="74"/>
      <x:c r="H885" s="74"/>
      <x:c r="I885" s="74"/>
      <x:c r="J885" s="74"/>
      <x:c r="K885" s="74"/>
      <x:c r="L885" s="74"/>
      <x:c r="M885" s="91"/>
      <x:c r="N885" s="91"/>
      <x:c r="O885" s="85"/>
      <x:c r="P885" s="85"/>
      <x:c r="Q885" s="85"/>
      <x:c r="R885" s="85"/>
      <x:c r="S885" s="85"/>
      <x:c r="T885" s="85"/>
      <x:c r="U885" s="85"/>
      <x:c r="W885" s="86"/>
      <x:c r="X885" s="86"/>
      <x:c r="Y885" s="32"/>
    </x:row>
    <x:row r="886">
      <x:c r="A886" s="87"/>
      <x:c r="B886" s="88"/>
      <x:c r="D886" s="32"/>
      <x:c r="G886" s="74"/>
      <x:c r="H886" s="74"/>
      <x:c r="I886" s="74"/>
      <x:c r="J886" s="74"/>
      <x:c r="K886" s="74"/>
      <x:c r="L886" s="74"/>
      <x:c r="M886" s="91"/>
      <x:c r="N886" s="91"/>
      <x:c r="O886" s="85"/>
      <x:c r="P886" s="85"/>
      <x:c r="Q886" s="85"/>
      <x:c r="R886" s="85"/>
      <x:c r="S886" s="85"/>
      <x:c r="T886" s="85"/>
      <x:c r="U886" s="85"/>
      <x:c r="W886" s="86"/>
      <x:c r="X886" s="86"/>
      <x:c r="Y886" s="32"/>
    </x:row>
    <x:row r="887">
      <x:c r="A887" s="87"/>
      <x:c r="B887" s="88"/>
      <x:c r="D887" s="32"/>
      <x:c r="G887" s="74"/>
      <x:c r="H887" s="74"/>
      <x:c r="I887" s="74"/>
      <x:c r="J887" s="74"/>
      <x:c r="K887" s="74"/>
      <x:c r="L887" s="74"/>
      <x:c r="M887" s="91"/>
      <x:c r="N887" s="91"/>
      <x:c r="O887" s="85"/>
      <x:c r="P887" s="85"/>
      <x:c r="Q887" s="85"/>
      <x:c r="R887" s="85"/>
      <x:c r="S887" s="85"/>
      <x:c r="T887" s="85"/>
      <x:c r="U887" s="85"/>
      <x:c r="W887" s="86"/>
      <x:c r="X887" s="86"/>
      <x:c r="Y887" s="32"/>
    </x:row>
    <x:row r="888">
      <x:c r="A888" s="87"/>
      <x:c r="B888" s="88"/>
      <x:c r="D888" s="32"/>
      <x:c r="G888" s="74"/>
      <x:c r="H888" s="74"/>
      <x:c r="I888" s="74"/>
      <x:c r="J888" s="74"/>
      <x:c r="K888" s="74"/>
      <x:c r="L888" s="74"/>
      <x:c r="M888" s="91"/>
      <x:c r="N888" s="91"/>
      <x:c r="O888" s="85"/>
      <x:c r="P888" s="85"/>
      <x:c r="Q888" s="85"/>
      <x:c r="R888" s="85"/>
      <x:c r="S888" s="85"/>
      <x:c r="T888" s="85"/>
      <x:c r="U888" s="85"/>
      <x:c r="W888" s="86"/>
      <x:c r="X888" s="86"/>
      <x:c r="Y888" s="32"/>
    </x:row>
    <x:row r="889">
      <x:c r="A889" s="87"/>
      <x:c r="B889" s="88"/>
      <x:c r="D889" s="32"/>
      <x:c r="G889" s="74"/>
      <x:c r="H889" s="74"/>
      <x:c r="I889" s="74"/>
      <x:c r="J889" s="74"/>
      <x:c r="K889" s="74"/>
      <x:c r="L889" s="74"/>
      <x:c r="M889" s="91"/>
      <x:c r="N889" s="91"/>
      <x:c r="O889" s="85"/>
      <x:c r="P889" s="85"/>
      <x:c r="Q889" s="85"/>
      <x:c r="R889" s="85"/>
      <x:c r="S889" s="85"/>
      <x:c r="T889" s="85"/>
      <x:c r="U889" s="85"/>
      <x:c r="W889" s="86"/>
      <x:c r="X889" s="86"/>
      <x:c r="Y889" s="32"/>
    </x:row>
    <x:row r="890">
      <x:c r="A890" s="87"/>
      <x:c r="B890" s="88"/>
      <x:c r="D890" s="32"/>
      <x:c r="G890" s="74"/>
      <x:c r="H890" s="74"/>
      <x:c r="I890" s="74"/>
      <x:c r="J890" s="74"/>
      <x:c r="K890" s="74"/>
      <x:c r="L890" s="74"/>
      <x:c r="M890" s="91"/>
      <x:c r="N890" s="91"/>
      <x:c r="O890" s="85"/>
      <x:c r="P890" s="85"/>
      <x:c r="Q890" s="85"/>
      <x:c r="R890" s="85"/>
      <x:c r="S890" s="85"/>
      <x:c r="T890" s="85"/>
      <x:c r="U890" s="85"/>
      <x:c r="W890" s="86"/>
      <x:c r="X890" s="86"/>
      <x:c r="Y890" s="32"/>
    </x:row>
    <x:row r="891">
      <x:c r="A891" s="87"/>
      <x:c r="B891" s="88"/>
      <x:c r="D891" s="32"/>
      <x:c r="G891" s="74"/>
      <x:c r="H891" s="74"/>
      <x:c r="I891" s="74"/>
      <x:c r="J891" s="74"/>
      <x:c r="K891" s="74"/>
      <x:c r="L891" s="74"/>
      <x:c r="M891" s="91"/>
      <x:c r="N891" s="91"/>
      <x:c r="O891" s="85"/>
      <x:c r="P891" s="85"/>
      <x:c r="Q891" s="85"/>
      <x:c r="R891" s="85"/>
      <x:c r="S891" s="85"/>
      <x:c r="T891" s="85"/>
      <x:c r="U891" s="85"/>
      <x:c r="W891" s="86"/>
      <x:c r="X891" s="86"/>
      <x:c r="Y891" s="32"/>
    </x:row>
    <x:row r="892">
      <x:c r="A892" s="87"/>
      <x:c r="B892" s="88"/>
      <x:c r="D892" s="32"/>
      <x:c r="G892" s="74"/>
      <x:c r="H892" s="74"/>
      <x:c r="I892" s="74"/>
      <x:c r="J892" s="74"/>
      <x:c r="K892" s="74"/>
      <x:c r="L892" s="74"/>
      <x:c r="M892" s="91"/>
      <x:c r="N892" s="91"/>
      <x:c r="O892" s="85"/>
      <x:c r="P892" s="85"/>
      <x:c r="Q892" s="85"/>
      <x:c r="R892" s="85"/>
      <x:c r="S892" s="85"/>
      <x:c r="T892" s="85"/>
      <x:c r="U892" s="85"/>
      <x:c r="W892" s="86"/>
      <x:c r="X892" s="86"/>
      <x:c r="Y892" s="32"/>
    </x:row>
    <x:row r="893">
      <x:c r="A893" s="87"/>
      <x:c r="B893" s="88"/>
      <x:c r="D893" s="32"/>
      <x:c r="G893" s="74"/>
      <x:c r="H893" s="74"/>
      <x:c r="I893" s="74"/>
      <x:c r="J893" s="74"/>
      <x:c r="K893" s="74"/>
      <x:c r="L893" s="74"/>
      <x:c r="M893" s="91"/>
      <x:c r="N893" s="91"/>
      <x:c r="O893" s="85"/>
      <x:c r="P893" s="85"/>
      <x:c r="Q893" s="85"/>
      <x:c r="R893" s="85"/>
      <x:c r="S893" s="85"/>
      <x:c r="T893" s="85"/>
      <x:c r="U893" s="85"/>
      <x:c r="W893" s="86"/>
      <x:c r="X893" s="86"/>
      <x:c r="Y893" s="32"/>
    </x:row>
    <x:row r="894">
      <x:c r="A894" s="87"/>
      <x:c r="B894" s="88"/>
      <x:c r="D894" s="32"/>
      <x:c r="G894" s="74"/>
      <x:c r="H894" s="74"/>
      <x:c r="I894" s="74"/>
      <x:c r="J894" s="74"/>
      <x:c r="K894" s="74"/>
      <x:c r="L894" s="74"/>
      <x:c r="M894" s="91"/>
      <x:c r="N894" s="91"/>
      <x:c r="O894" s="85"/>
      <x:c r="P894" s="85"/>
      <x:c r="Q894" s="85"/>
      <x:c r="R894" s="85"/>
      <x:c r="S894" s="85"/>
      <x:c r="T894" s="85"/>
      <x:c r="U894" s="85"/>
      <x:c r="W894" s="86"/>
      <x:c r="X894" s="86"/>
      <x:c r="Y894" s="32"/>
    </x:row>
    <x:row r="895">
      <x:c r="A895" s="87"/>
      <x:c r="B895" s="88"/>
      <x:c r="D895" s="32"/>
      <x:c r="G895" s="74"/>
      <x:c r="H895" s="74"/>
      <x:c r="I895" s="74"/>
      <x:c r="J895" s="74"/>
      <x:c r="K895" s="74"/>
      <x:c r="L895" s="74"/>
      <x:c r="M895" s="91"/>
      <x:c r="N895" s="91"/>
      <x:c r="O895" s="85"/>
      <x:c r="P895" s="85"/>
      <x:c r="Q895" s="85"/>
      <x:c r="R895" s="85"/>
      <x:c r="S895" s="85"/>
      <x:c r="T895" s="85"/>
      <x:c r="U895" s="85"/>
      <x:c r="W895" s="86"/>
      <x:c r="X895" s="86"/>
      <x:c r="Y895" s="32"/>
    </x:row>
    <x:row r="896">
      <x:c r="A896" s="87"/>
      <x:c r="B896" s="88"/>
      <x:c r="D896" s="32"/>
      <x:c r="G896" s="74"/>
      <x:c r="H896" s="74"/>
      <x:c r="I896" s="74"/>
      <x:c r="J896" s="74"/>
      <x:c r="K896" s="74"/>
      <x:c r="L896" s="74"/>
      <x:c r="M896" s="91"/>
      <x:c r="N896" s="91"/>
      <x:c r="O896" s="85"/>
      <x:c r="P896" s="85"/>
      <x:c r="Q896" s="85"/>
      <x:c r="R896" s="85"/>
      <x:c r="S896" s="85"/>
      <x:c r="T896" s="85"/>
      <x:c r="U896" s="85"/>
      <x:c r="W896" s="86"/>
      <x:c r="X896" s="86"/>
      <x:c r="Y896" s="32"/>
    </x:row>
    <x:row r="897">
      <x:c r="A897" s="87"/>
      <x:c r="B897" s="88"/>
      <x:c r="D897" s="32"/>
      <x:c r="G897" s="74"/>
      <x:c r="H897" s="74"/>
      <x:c r="I897" s="74"/>
      <x:c r="J897" s="74"/>
      <x:c r="K897" s="74"/>
      <x:c r="L897" s="74"/>
      <x:c r="M897" s="91"/>
      <x:c r="N897" s="91"/>
      <x:c r="O897" s="85"/>
      <x:c r="P897" s="85"/>
      <x:c r="Q897" s="85"/>
      <x:c r="R897" s="85"/>
      <x:c r="S897" s="85"/>
      <x:c r="T897" s="85"/>
      <x:c r="U897" s="85"/>
      <x:c r="W897" s="86"/>
      <x:c r="X897" s="86"/>
      <x:c r="Y897" s="32"/>
    </x:row>
    <x:row r="898">
      <x:c r="A898" s="87"/>
      <x:c r="B898" s="88"/>
      <x:c r="D898" s="32"/>
      <x:c r="G898" s="74"/>
      <x:c r="H898" s="74"/>
      <x:c r="I898" s="74"/>
      <x:c r="J898" s="74"/>
      <x:c r="K898" s="74"/>
      <x:c r="L898" s="74"/>
      <x:c r="M898" s="91"/>
      <x:c r="N898" s="91"/>
      <x:c r="O898" s="85"/>
      <x:c r="P898" s="85"/>
      <x:c r="Q898" s="85"/>
      <x:c r="R898" s="85"/>
      <x:c r="S898" s="85"/>
      <x:c r="T898" s="85"/>
      <x:c r="U898" s="85"/>
      <x:c r="W898" s="86"/>
      <x:c r="X898" s="86"/>
      <x:c r="Y898" s="32"/>
    </x:row>
    <x:row r="899">
      <x:c r="A899" s="87"/>
      <x:c r="B899" s="88"/>
      <x:c r="D899" s="32"/>
      <x:c r="G899" s="74"/>
      <x:c r="H899" s="74"/>
      <x:c r="I899" s="74"/>
      <x:c r="J899" s="74"/>
      <x:c r="K899" s="74"/>
      <x:c r="L899" s="74"/>
      <x:c r="M899" s="91"/>
      <x:c r="N899" s="91"/>
      <x:c r="O899" s="85"/>
      <x:c r="P899" s="85"/>
      <x:c r="Q899" s="85"/>
      <x:c r="R899" s="85"/>
      <x:c r="S899" s="85"/>
      <x:c r="T899" s="85"/>
      <x:c r="U899" s="85"/>
      <x:c r="W899" s="86"/>
      <x:c r="X899" s="86"/>
      <x:c r="Y899" s="32"/>
    </x:row>
    <x:row r="900">
      <x:c r="A900" s="87"/>
      <x:c r="B900" s="88"/>
      <x:c r="D900" s="32"/>
      <x:c r="G900" s="74"/>
      <x:c r="H900" s="74"/>
      <x:c r="I900" s="74"/>
      <x:c r="J900" s="74"/>
      <x:c r="K900" s="74"/>
      <x:c r="L900" s="74"/>
      <x:c r="M900" s="91"/>
      <x:c r="N900" s="91"/>
      <x:c r="O900" s="85"/>
      <x:c r="P900" s="85"/>
      <x:c r="Q900" s="85"/>
      <x:c r="R900" s="85"/>
      <x:c r="S900" s="85"/>
      <x:c r="T900" s="85"/>
      <x:c r="U900" s="85"/>
      <x:c r="W900" s="86"/>
      <x:c r="X900" s="86"/>
      <x:c r="Y900" s="32"/>
    </x:row>
    <x:row r="901">
      <x:c r="A901" s="87"/>
      <x:c r="B901" s="88"/>
      <x:c r="D901" s="32"/>
      <x:c r="G901" s="74"/>
      <x:c r="H901" s="74"/>
      <x:c r="I901" s="74"/>
      <x:c r="J901" s="74"/>
      <x:c r="K901" s="74"/>
      <x:c r="L901" s="74"/>
      <x:c r="M901" s="91"/>
      <x:c r="N901" s="91"/>
      <x:c r="O901" s="85"/>
      <x:c r="P901" s="85"/>
      <x:c r="Q901" s="85"/>
      <x:c r="R901" s="85"/>
      <x:c r="S901" s="85"/>
      <x:c r="T901" s="85"/>
      <x:c r="U901" s="85"/>
      <x:c r="W901" s="86"/>
      <x:c r="X901" s="86"/>
      <x:c r="Y901" s="32"/>
    </x:row>
    <x:row r="902">
      <x:c r="A902" s="87"/>
      <x:c r="B902" s="88"/>
      <x:c r="D902" s="32"/>
      <x:c r="G902" s="74"/>
      <x:c r="H902" s="74"/>
      <x:c r="I902" s="74"/>
      <x:c r="J902" s="74"/>
      <x:c r="K902" s="74"/>
      <x:c r="L902" s="74"/>
      <x:c r="M902" s="91"/>
      <x:c r="N902" s="91"/>
      <x:c r="O902" s="85"/>
      <x:c r="P902" s="85"/>
      <x:c r="Q902" s="85"/>
      <x:c r="R902" s="85"/>
      <x:c r="S902" s="85"/>
      <x:c r="T902" s="85"/>
      <x:c r="U902" s="85"/>
      <x:c r="W902" s="86"/>
      <x:c r="X902" s="86"/>
      <x:c r="Y902" s="32"/>
    </x:row>
    <x:row r="903">
      <x:c r="A903" s="87"/>
      <x:c r="B903" s="88"/>
      <x:c r="D903" s="32"/>
      <x:c r="G903" s="74"/>
      <x:c r="H903" s="74"/>
      <x:c r="I903" s="74"/>
      <x:c r="J903" s="74"/>
      <x:c r="K903" s="74"/>
      <x:c r="L903" s="74"/>
      <x:c r="M903" s="91"/>
      <x:c r="N903" s="91"/>
      <x:c r="O903" s="85"/>
      <x:c r="P903" s="85"/>
      <x:c r="Q903" s="85"/>
      <x:c r="R903" s="85"/>
      <x:c r="S903" s="85"/>
      <x:c r="T903" s="85"/>
      <x:c r="U903" s="85"/>
      <x:c r="W903" s="86"/>
      <x:c r="X903" s="86"/>
      <x:c r="Y903" s="32"/>
    </x:row>
    <x:row r="904">
      <x:c r="A904" s="87"/>
      <x:c r="B904" s="88"/>
      <x:c r="D904" s="32"/>
      <x:c r="G904" s="74"/>
      <x:c r="H904" s="74"/>
      <x:c r="I904" s="74"/>
      <x:c r="J904" s="74"/>
      <x:c r="K904" s="74"/>
      <x:c r="L904" s="74"/>
      <x:c r="M904" s="91"/>
      <x:c r="N904" s="91"/>
      <x:c r="O904" s="85"/>
      <x:c r="P904" s="85"/>
      <x:c r="Q904" s="85"/>
      <x:c r="R904" s="85"/>
      <x:c r="S904" s="85"/>
      <x:c r="T904" s="85"/>
      <x:c r="U904" s="85"/>
      <x:c r="W904" s="86"/>
      <x:c r="X904" s="86"/>
      <x:c r="Y904" s="32"/>
    </x:row>
    <x:row r="905">
      <x:c r="A905" s="87"/>
      <x:c r="B905" s="88"/>
      <x:c r="D905" s="32"/>
      <x:c r="G905" s="74"/>
      <x:c r="H905" s="74"/>
      <x:c r="I905" s="74"/>
      <x:c r="J905" s="74"/>
      <x:c r="K905" s="74"/>
      <x:c r="L905" s="74"/>
      <x:c r="M905" s="91"/>
      <x:c r="N905" s="91"/>
      <x:c r="O905" s="85"/>
      <x:c r="P905" s="85"/>
      <x:c r="Q905" s="85"/>
      <x:c r="R905" s="85"/>
      <x:c r="S905" s="85"/>
      <x:c r="T905" s="85"/>
      <x:c r="U905" s="85"/>
      <x:c r="W905" s="86"/>
      <x:c r="X905" s="86"/>
      <x:c r="Y905" s="32"/>
    </x:row>
    <x:row r="906">
      <x:c r="A906" s="87"/>
      <x:c r="B906" s="88"/>
      <x:c r="D906" s="32"/>
      <x:c r="G906" s="74"/>
      <x:c r="H906" s="74"/>
      <x:c r="I906" s="74"/>
      <x:c r="J906" s="74"/>
      <x:c r="K906" s="74"/>
      <x:c r="L906" s="74"/>
      <x:c r="M906" s="91"/>
      <x:c r="N906" s="91"/>
      <x:c r="O906" s="85"/>
      <x:c r="P906" s="85"/>
      <x:c r="Q906" s="85"/>
      <x:c r="R906" s="85"/>
      <x:c r="S906" s="85"/>
      <x:c r="T906" s="85"/>
      <x:c r="U906" s="85"/>
      <x:c r="W906" s="86"/>
      <x:c r="X906" s="86"/>
      <x:c r="Y906" s="32"/>
    </x:row>
    <x:row r="907">
      <x:c r="A907" s="87"/>
      <x:c r="B907" s="88"/>
      <x:c r="D907" s="32"/>
      <x:c r="G907" s="74"/>
      <x:c r="H907" s="74"/>
      <x:c r="I907" s="74"/>
      <x:c r="J907" s="74"/>
      <x:c r="K907" s="74"/>
      <x:c r="L907" s="74"/>
      <x:c r="M907" s="91"/>
      <x:c r="N907" s="91"/>
      <x:c r="O907" s="85"/>
      <x:c r="P907" s="85"/>
      <x:c r="Q907" s="85"/>
      <x:c r="R907" s="85"/>
      <x:c r="S907" s="85"/>
      <x:c r="T907" s="85"/>
      <x:c r="U907" s="85"/>
      <x:c r="W907" s="86"/>
      <x:c r="X907" s="86"/>
      <x:c r="Y907" s="32"/>
    </x:row>
    <x:row r="908">
      <x:c r="A908" s="87"/>
      <x:c r="B908" s="88"/>
      <x:c r="D908" s="32"/>
      <x:c r="G908" s="74"/>
      <x:c r="H908" s="74"/>
      <x:c r="I908" s="74"/>
      <x:c r="J908" s="74"/>
      <x:c r="K908" s="74"/>
      <x:c r="L908" s="74"/>
      <x:c r="M908" s="91"/>
      <x:c r="N908" s="91"/>
      <x:c r="O908" s="85"/>
      <x:c r="P908" s="85"/>
      <x:c r="Q908" s="85"/>
      <x:c r="R908" s="85"/>
      <x:c r="S908" s="85"/>
      <x:c r="T908" s="85"/>
      <x:c r="U908" s="85"/>
      <x:c r="W908" s="86"/>
      <x:c r="X908" s="86"/>
      <x:c r="Y908" s="32"/>
    </x:row>
    <x:row r="909">
      <x:c r="A909" s="87"/>
      <x:c r="B909" s="88"/>
      <x:c r="D909" s="32"/>
      <x:c r="G909" s="74"/>
      <x:c r="H909" s="74"/>
      <x:c r="I909" s="74"/>
      <x:c r="J909" s="74"/>
      <x:c r="K909" s="74"/>
      <x:c r="L909" s="74"/>
      <x:c r="M909" s="91"/>
      <x:c r="N909" s="91"/>
      <x:c r="O909" s="85"/>
      <x:c r="P909" s="85"/>
      <x:c r="Q909" s="85"/>
      <x:c r="R909" s="85"/>
      <x:c r="S909" s="85"/>
      <x:c r="T909" s="85"/>
      <x:c r="U909" s="85"/>
      <x:c r="W909" s="86"/>
      <x:c r="X909" s="86"/>
      <x:c r="Y909" s="32"/>
    </x:row>
    <x:row r="910">
      <x:c r="A910" s="87"/>
      <x:c r="B910" s="88"/>
      <x:c r="D910" s="32"/>
      <x:c r="G910" s="74"/>
      <x:c r="H910" s="74"/>
      <x:c r="I910" s="74"/>
      <x:c r="J910" s="74"/>
      <x:c r="K910" s="74"/>
      <x:c r="L910" s="74"/>
      <x:c r="M910" s="91"/>
      <x:c r="N910" s="91"/>
      <x:c r="O910" s="85"/>
      <x:c r="P910" s="85"/>
      <x:c r="Q910" s="85"/>
      <x:c r="R910" s="85"/>
      <x:c r="S910" s="85"/>
      <x:c r="T910" s="85"/>
      <x:c r="U910" s="85"/>
      <x:c r="W910" s="86"/>
      <x:c r="X910" s="86"/>
      <x:c r="Y910" s="32"/>
    </x:row>
    <x:row r="911">
      <x:c r="A911" s="87"/>
      <x:c r="B911" s="88"/>
      <x:c r="D911" s="32"/>
      <x:c r="G911" s="74"/>
      <x:c r="H911" s="74"/>
      <x:c r="I911" s="74"/>
      <x:c r="J911" s="74"/>
      <x:c r="K911" s="74"/>
      <x:c r="L911" s="74"/>
      <x:c r="M911" s="91"/>
      <x:c r="N911" s="91"/>
      <x:c r="O911" s="85"/>
      <x:c r="P911" s="85"/>
      <x:c r="Q911" s="85"/>
      <x:c r="R911" s="85"/>
      <x:c r="S911" s="85"/>
      <x:c r="T911" s="85"/>
      <x:c r="U911" s="85"/>
      <x:c r="W911" s="86"/>
      <x:c r="X911" s="86"/>
      <x:c r="Y911" s="32"/>
    </x:row>
    <x:row r="912">
      <x:c r="A912" s="87"/>
      <x:c r="B912" s="88"/>
      <x:c r="D912" s="32"/>
      <x:c r="G912" s="74"/>
      <x:c r="H912" s="74"/>
      <x:c r="I912" s="74"/>
      <x:c r="J912" s="74"/>
      <x:c r="K912" s="74"/>
      <x:c r="L912" s="74"/>
      <x:c r="M912" s="91"/>
      <x:c r="N912" s="91"/>
      <x:c r="O912" s="85"/>
      <x:c r="P912" s="85"/>
      <x:c r="Q912" s="85"/>
      <x:c r="R912" s="85"/>
      <x:c r="S912" s="85"/>
      <x:c r="T912" s="85"/>
      <x:c r="U912" s="85"/>
      <x:c r="W912" s="86"/>
      <x:c r="X912" s="86"/>
      <x:c r="Y912" s="32"/>
    </x:row>
    <x:row r="913">
      <x:c r="A913" s="87"/>
      <x:c r="B913" s="88"/>
      <x:c r="D913" s="32"/>
      <x:c r="G913" s="74"/>
      <x:c r="H913" s="74"/>
      <x:c r="I913" s="74"/>
      <x:c r="J913" s="74"/>
      <x:c r="K913" s="74"/>
      <x:c r="L913" s="74"/>
      <x:c r="M913" s="91"/>
      <x:c r="N913" s="91"/>
      <x:c r="O913" s="85"/>
      <x:c r="P913" s="85"/>
      <x:c r="Q913" s="85"/>
      <x:c r="R913" s="85"/>
      <x:c r="S913" s="85"/>
      <x:c r="T913" s="85"/>
      <x:c r="U913" s="85"/>
      <x:c r="W913" s="86"/>
      <x:c r="X913" s="86"/>
      <x:c r="Y913" s="32"/>
    </x:row>
    <x:row r="914">
      <x:c r="A914" s="87"/>
      <x:c r="B914" s="88"/>
      <x:c r="D914" s="32"/>
      <x:c r="G914" s="74"/>
      <x:c r="H914" s="74"/>
      <x:c r="I914" s="74"/>
      <x:c r="J914" s="74"/>
      <x:c r="K914" s="74"/>
      <x:c r="L914" s="74"/>
      <x:c r="M914" s="91"/>
      <x:c r="N914" s="91"/>
      <x:c r="O914" s="85"/>
      <x:c r="P914" s="85"/>
      <x:c r="Q914" s="85"/>
      <x:c r="R914" s="85"/>
      <x:c r="S914" s="85"/>
      <x:c r="T914" s="85"/>
      <x:c r="U914" s="85"/>
      <x:c r="W914" s="86"/>
      <x:c r="X914" s="86"/>
      <x:c r="Y914" s="32"/>
    </x:row>
    <x:row r="915">
      <x:c r="A915" s="87"/>
      <x:c r="B915" s="88"/>
      <x:c r="D915" s="32"/>
      <x:c r="G915" s="74"/>
      <x:c r="H915" s="74"/>
      <x:c r="I915" s="74"/>
      <x:c r="J915" s="74"/>
      <x:c r="K915" s="74"/>
      <x:c r="L915" s="74"/>
      <x:c r="M915" s="91"/>
      <x:c r="N915" s="91"/>
      <x:c r="O915" s="85"/>
      <x:c r="P915" s="85"/>
      <x:c r="Q915" s="85"/>
      <x:c r="R915" s="85"/>
      <x:c r="S915" s="85"/>
      <x:c r="T915" s="85"/>
      <x:c r="U915" s="85"/>
      <x:c r="W915" s="86"/>
      <x:c r="X915" s="86"/>
      <x:c r="Y915" s="32"/>
    </x:row>
    <x:row r="916">
      <x:c r="A916" s="87"/>
      <x:c r="B916" s="88"/>
      <x:c r="D916" s="32"/>
      <x:c r="G916" s="74"/>
      <x:c r="H916" s="74"/>
      <x:c r="I916" s="74"/>
      <x:c r="J916" s="74"/>
      <x:c r="K916" s="74"/>
      <x:c r="L916" s="74"/>
      <x:c r="M916" s="91"/>
      <x:c r="N916" s="91"/>
      <x:c r="O916" s="85"/>
      <x:c r="P916" s="85"/>
      <x:c r="Q916" s="85"/>
      <x:c r="R916" s="85"/>
      <x:c r="S916" s="85"/>
      <x:c r="T916" s="85"/>
      <x:c r="U916" s="85"/>
      <x:c r="W916" s="86"/>
      <x:c r="X916" s="86"/>
      <x:c r="Y916" s="32"/>
    </x:row>
    <x:row r="917">
      <x:c r="A917" s="87"/>
      <x:c r="B917" s="88"/>
      <x:c r="D917" s="32"/>
      <x:c r="G917" s="74"/>
      <x:c r="H917" s="74"/>
      <x:c r="I917" s="74"/>
      <x:c r="J917" s="74"/>
      <x:c r="K917" s="74"/>
      <x:c r="L917" s="74"/>
      <x:c r="M917" s="91"/>
      <x:c r="N917" s="91"/>
      <x:c r="O917" s="85"/>
      <x:c r="P917" s="85"/>
      <x:c r="Q917" s="85"/>
      <x:c r="R917" s="85"/>
      <x:c r="S917" s="85"/>
      <x:c r="T917" s="85"/>
      <x:c r="U917" s="85"/>
      <x:c r="W917" s="86"/>
      <x:c r="X917" s="86"/>
      <x:c r="Y917" s="32"/>
    </x:row>
    <x:row r="918">
      <x:c r="A918" s="87"/>
      <x:c r="B918" s="88"/>
      <x:c r="D918" s="32"/>
      <x:c r="G918" s="74"/>
      <x:c r="H918" s="74"/>
      <x:c r="I918" s="74"/>
      <x:c r="J918" s="74"/>
      <x:c r="K918" s="74"/>
      <x:c r="L918" s="74"/>
      <x:c r="M918" s="91"/>
      <x:c r="N918" s="91"/>
      <x:c r="O918" s="85"/>
      <x:c r="P918" s="85"/>
      <x:c r="Q918" s="85"/>
      <x:c r="R918" s="85"/>
      <x:c r="S918" s="85"/>
      <x:c r="T918" s="85"/>
      <x:c r="U918" s="85"/>
      <x:c r="W918" s="86"/>
      <x:c r="X918" s="86"/>
      <x:c r="Y918" s="32"/>
    </x:row>
    <x:row r="919">
      <x:c r="A919" s="87"/>
      <x:c r="B919" s="88"/>
      <x:c r="D919" s="32"/>
      <x:c r="G919" s="74"/>
      <x:c r="H919" s="74"/>
      <x:c r="I919" s="74"/>
      <x:c r="J919" s="74"/>
      <x:c r="K919" s="74"/>
      <x:c r="L919" s="74"/>
      <x:c r="M919" s="91"/>
      <x:c r="N919" s="91"/>
      <x:c r="O919" s="85"/>
      <x:c r="P919" s="85"/>
      <x:c r="Q919" s="85"/>
      <x:c r="R919" s="85"/>
      <x:c r="S919" s="85"/>
      <x:c r="T919" s="85"/>
      <x:c r="U919" s="85"/>
      <x:c r="W919" s="86"/>
      <x:c r="X919" s="86"/>
      <x:c r="Y919" s="32"/>
    </x:row>
    <x:row r="920">
      <x:c r="A920" s="87"/>
      <x:c r="B920" s="88"/>
      <x:c r="D920" s="32"/>
      <x:c r="G920" s="74"/>
      <x:c r="H920" s="74"/>
      <x:c r="I920" s="74"/>
      <x:c r="J920" s="74"/>
      <x:c r="K920" s="74"/>
      <x:c r="L920" s="74"/>
      <x:c r="M920" s="91"/>
      <x:c r="N920" s="91"/>
      <x:c r="O920" s="85"/>
      <x:c r="P920" s="85"/>
      <x:c r="Q920" s="85"/>
      <x:c r="R920" s="85"/>
      <x:c r="S920" s="85"/>
      <x:c r="T920" s="85"/>
      <x:c r="U920" s="85"/>
      <x:c r="W920" s="86"/>
      <x:c r="X920" s="86"/>
      <x:c r="Y920" s="32"/>
    </x:row>
    <x:row r="921">
      <x:c r="A921" s="87"/>
      <x:c r="B921" s="88"/>
      <x:c r="D921" s="32"/>
      <x:c r="G921" s="74"/>
      <x:c r="H921" s="74"/>
      <x:c r="I921" s="74"/>
      <x:c r="J921" s="74"/>
      <x:c r="K921" s="74"/>
      <x:c r="L921" s="74"/>
      <x:c r="M921" s="91"/>
      <x:c r="N921" s="91"/>
      <x:c r="O921" s="85"/>
      <x:c r="P921" s="85"/>
      <x:c r="Q921" s="85"/>
      <x:c r="R921" s="85"/>
      <x:c r="S921" s="85"/>
      <x:c r="T921" s="85"/>
      <x:c r="U921" s="85"/>
      <x:c r="W921" s="86"/>
      <x:c r="X921" s="86"/>
      <x:c r="Y921" s="32"/>
    </x:row>
    <x:row r="922">
      <x:c r="A922" s="87"/>
      <x:c r="B922" s="88"/>
      <x:c r="D922" s="32"/>
      <x:c r="G922" s="74"/>
      <x:c r="H922" s="74"/>
      <x:c r="I922" s="74"/>
      <x:c r="J922" s="74"/>
      <x:c r="K922" s="74"/>
      <x:c r="L922" s="74"/>
      <x:c r="M922" s="91"/>
      <x:c r="N922" s="91"/>
      <x:c r="O922" s="85"/>
      <x:c r="P922" s="85"/>
      <x:c r="Q922" s="85"/>
      <x:c r="R922" s="85"/>
      <x:c r="S922" s="85"/>
      <x:c r="T922" s="85"/>
      <x:c r="U922" s="85"/>
      <x:c r="W922" s="86"/>
      <x:c r="X922" s="86"/>
      <x:c r="Y922" s="32"/>
    </x:row>
    <x:row r="923">
      <x:c r="A923" s="87"/>
      <x:c r="B923" s="88"/>
      <x:c r="D923" s="32"/>
      <x:c r="G923" s="74"/>
      <x:c r="H923" s="74"/>
      <x:c r="I923" s="74"/>
      <x:c r="J923" s="74"/>
      <x:c r="K923" s="74"/>
      <x:c r="L923" s="74"/>
      <x:c r="M923" s="91"/>
      <x:c r="N923" s="91"/>
      <x:c r="O923" s="85"/>
      <x:c r="P923" s="85"/>
      <x:c r="Q923" s="85"/>
      <x:c r="R923" s="85"/>
      <x:c r="S923" s="85"/>
      <x:c r="T923" s="85"/>
      <x:c r="U923" s="85"/>
      <x:c r="W923" s="86"/>
      <x:c r="X923" s="86"/>
      <x:c r="Y923" s="32"/>
    </x:row>
    <x:row r="924">
      <x:c r="A924" s="87"/>
      <x:c r="B924" s="88"/>
      <x:c r="D924" s="32"/>
      <x:c r="G924" s="74"/>
      <x:c r="H924" s="74"/>
      <x:c r="I924" s="74"/>
      <x:c r="J924" s="74"/>
      <x:c r="K924" s="74"/>
      <x:c r="L924" s="74"/>
      <x:c r="M924" s="91"/>
      <x:c r="N924" s="91"/>
      <x:c r="O924" s="85"/>
      <x:c r="P924" s="85"/>
      <x:c r="Q924" s="85"/>
      <x:c r="R924" s="85"/>
      <x:c r="S924" s="85"/>
      <x:c r="T924" s="85"/>
      <x:c r="U924" s="85"/>
      <x:c r="W924" s="86"/>
      <x:c r="X924" s="86"/>
      <x:c r="Y924" s="32"/>
    </x:row>
    <x:row r="925">
      <x:c r="A925" s="87"/>
      <x:c r="B925" s="88"/>
      <x:c r="D925" s="32"/>
      <x:c r="G925" s="74"/>
      <x:c r="H925" s="74"/>
      <x:c r="I925" s="74"/>
      <x:c r="J925" s="74"/>
      <x:c r="K925" s="74"/>
      <x:c r="L925" s="74"/>
      <x:c r="M925" s="91"/>
      <x:c r="N925" s="91"/>
      <x:c r="O925" s="85"/>
      <x:c r="P925" s="85"/>
      <x:c r="Q925" s="85"/>
      <x:c r="R925" s="85"/>
      <x:c r="S925" s="85"/>
      <x:c r="T925" s="85"/>
      <x:c r="U925" s="85"/>
      <x:c r="W925" s="86"/>
      <x:c r="X925" s="86"/>
      <x:c r="Y925" s="32"/>
    </x:row>
    <x:row r="926">
      <x:c r="A926" s="87"/>
      <x:c r="B926" s="88"/>
      <x:c r="D926" s="32"/>
      <x:c r="G926" s="74"/>
      <x:c r="H926" s="74"/>
      <x:c r="I926" s="74"/>
      <x:c r="J926" s="74"/>
      <x:c r="K926" s="74"/>
      <x:c r="L926" s="74"/>
      <x:c r="M926" s="91"/>
      <x:c r="N926" s="91"/>
      <x:c r="O926" s="85"/>
      <x:c r="P926" s="85"/>
      <x:c r="Q926" s="85"/>
      <x:c r="R926" s="85"/>
      <x:c r="S926" s="85"/>
      <x:c r="T926" s="85"/>
      <x:c r="U926" s="85"/>
      <x:c r="W926" s="86"/>
      <x:c r="X926" s="86"/>
      <x:c r="Y926" s="32"/>
    </x:row>
    <x:row r="927">
      <x:c r="A927" s="87"/>
      <x:c r="B927" s="88"/>
      <x:c r="D927" s="32"/>
      <x:c r="G927" s="74"/>
      <x:c r="H927" s="74"/>
      <x:c r="I927" s="74"/>
      <x:c r="J927" s="74"/>
      <x:c r="K927" s="74"/>
      <x:c r="L927" s="74"/>
      <x:c r="M927" s="91"/>
      <x:c r="N927" s="91"/>
      <x:c r="O927" s="85"/>
      <x:c r="P927" s="85"/>
      <x:c r="Q927" s="85"/>
      <x:c r="R927" s="85"/>
      <x:c r="S927" s="85"/>
      <x:c r="T927" s="85"/>
      <x:c r="U927" s="85"/>
      <x:c r="W927" s="86"/>
      <x:c r="X927" s="86"/>
      <x:c r="Y927" s="32"/>
    </x:row>
    <x:row r="928">
      <x:c r="A928" s="87"/>
      <x:c r="B928" s="88"/>
      <x:c r="D928" s="32"/>
      <x:c r="G928" s="74"/>
      <x:c r="H928" s="74"/>
      <x:c r="I928" s="74"/>
      <x:c r="J928" s="74"/>
      <x:c r="K928" s="74"/>
      <x:c r="L928" s="74"/>
      <x:c r="M928" s="91"/>
      <x:c r="N928" s="91"/>
      <x:c r="O928" s="85"/>
      <x:c r="P928" s="85"/>
      <x:c r="Q928" s="85"/>
      <x:c r="R928" s="85"/>
      <x:c r="S928" s="85"/>
      <x:c r="T928" s="85"/>
      <x:c r="U928" s="85"/>
      <x:c r="W928" s="86"/>
      <x:c r="X928" s="86"/>
      <x:c r="Y928" s="32"/>
    </x:row>
    <x:row r="929">
      <x:c r="A929" s="87"/>
      <x:c r="B929" s="88"/>
      <x:c r="D929" s="32"/>
      <x:c r="G929" s="74"/>
      <x:c r="H929" s="74"/>
      <x:c r="I929" s="74"/>
      <x:c r="J929" s="74"/>
      <x:c r="K929" s="74"/>
      <x:c r="L929" s="74"/>
      <x:c r="M929" s="91"/>
      <x:c r="N929" s="91"/>
      <x:c r="O929" s="85"/>
      <x:c r="P929" s="85"/>
      <x:c r="Q929" s="85"/>
      <x:c r="R929" s="85"/>
      <x:c r="S929" s="85"/>
      <x:c r="T929" s="85"/>
      <x:c r="U929" s="85"/>
      <x:c r="W929" s="86"/>
      <x:c r="X929" s="86"/>
      <x:c r="Y929" s="32"/>
    </x:row>
    <x:row r="930">
      <x:c r="A930" s="87"/>
      <x:c r="B930" s="88"/>
      <x:c r="D930" s="32"/>
      <x:c r="G930" s="74"/>
      <x:c r="H930" s="74"/>
      <x:c r="I930" s="74"/>
      <x:c r="J930" s="74"/>
      <x:c r="K930" s="74"/>
      <x:c r="L930" s="74"/>
      <x:c r="M930" s="91"/>
      <x:c r="N930" s="91"/>
      <x:c r="O930" s="85"/>
      <x:c r="P930" s="85"/>
      <x:c r="Q930" s="85"/>
      <x:c r="R930" s="85"/>
      <x:c r="S930" s="85"/>
      <x:c r="T930" s="85"/>
      <x:c r="U930" s="85"/>
      <x:c r="W930" s="86"/>
      <x:c r="X930" s="86"/>
      <x:c r="Y930" s="32"/>
    </x:row>
    <x:row r="931">
      <x:c r="A931" s="87"/>
      <x:c r="B931" s="88"/>
      <x:c r="D931" s="32"/>
      <x:c r="G931" s="74"/>
      <x:c r="H931" s="74"/>
      <x:c r="I931" s="74"/>
      <x:c r="J931" s="74"/>
      <x:c r="K931" s="74"/>
      <x:c r="L931" s="74"/>
      <x:c r="M931" s="91"/>
      <x:c r="N931" s="91"/>
      <x:c r="O931" s="85"/>
      <x:c r="P931" s="85"/>
      <x:c r="Q931" s="85"/>
      <x:c r="R931" s="85"/>
      <x:c r="S931" s="85"/>
      <x:c r="T931" s="85"/>
      <x:c r="U931" s="85"/>
      <x:c r="W931" s="86"/>
      <x:c r="X931" s="86"/>
      <x:c r="Y931" s="32"/>
    </x:row>
    <x:row r="932">
      <x:c r="A932" s="87"/>
      <x:c r="B932" s="88"/>
      <x:c r="D932" s="32"/>
      <x:c r="G932" s="74"/>
      <x:c r="H932" s="74"/>
      <x:c r="I932" s="74"/>
      <x:c r="J932" s="74"/>
      <x:c r="K932" s="74"/>
      <x:c r="L932" s="74"/>
      <x:c r="M932" s="91"/>
      <x:c r="N932" s="91"/>
      <x:c r="O932" s="85"/>
      <x:c r="P932" s="85"/>
      <x:c r="Q932" s="85"/>
      <x:c r="R932" s="85"/>
      <x:c r="S932" s="85"/>
      <x:c r="T932" s="85"/>
      <x:c r="U932" s="85"/>
      <x:c r="W932" s="86"/>
      <x:c r="X932" s="86"/>
      <x:c r="Y932" s="32"/>
    </x:row>
    <x:row r="933">
      <x:c r="A933" s="87"/>
      <x:c r="B933" s="88"/>
      <x:c r="D933" s="32"/>
      <x:c r="G933" s="74"/>
      <x:c r="H933" s="74"/>
      <x:c r="I933" s="74"/>
      <x:c r="J933" s="74"/>
      <x:c r="K933" s="74"/>
      <x:c r="L933" s="74"/>
      <x:c r="M933" s="91"/>
      <x:c r="N933" s="91"/>
      <x:c r="O933" s="85"/>
      <x:c r="P933" s="85"/>
      <x:c r="Q933" s="85"/>
      <x:c r="R933" s="85"/>
      <x:c r="S933" s="85"/>
      <x:c r="T933" s="85"/>
      <x:c r="U933" s="85"/>
      <x:c r="W933" s="86"/>
      <x:c r="X933" s="86"/>
      <x:c r="Y933" s="32"/>
    </x:row>
    <x:row r="934">
      <x:c r="A934" s="87"/>
      <x:c r="B934" s="88"/>
      <x:c r="D934" s="32"/>
      <x:c r="G934" s="74"/>
      <x:c r="H934" s="74"/>
      <x:c r="I934" s="74"/>
      <x:c r="J934" s="74"/>
      <x:c r="K934" s="74"/>
      <x:c r="L934" s="74"/>
      <x:c r="M934" s="91"/>
      <x:c r="N934" s="91"/>
      <x:c r="O934" s="85"/>
      <x:c r="P934" s="85"/>
      <x:c r="Q934" s="85"/>
      <x:c r="R934" s="85"/>
      <x:c r="S934" s="85"/>
      <x:c r="T934" s="85"/>
      <x:c r="U934" s="85"/>
      <x:c r="W934" s="86"/>
      <x:c r="X934" s="86"/>
      <x:c r="Y934" s="32"/>
    </x:row>
    <x:row r="935">
      <x:c r="A935" s="87"/>
      <x:c r="B935" s="88"/>
      <x:c r="D935" s="32"/>
      <x:c r="G935" s="74"/>
      <x:c r="H935" s="74"/>
      <x:c r="I935" s="74"/>
      <x:c r="J935" s="74"/>
      <x:c r="K935" s="74"/>
      <x:c r="L935" s="74"/>
      <x:c r="M935" s="91"/>
      <x:c r="N935" s="91"/>
      <x:c r="O935" s="85"/>
      <x:c r="P935" s="85"/>
      <x:c r="Q935" s="85"/>
      <x:c r="R935" s="85"/>
      <x:c r="S935" s="85"/>
      <x:c r="T935" s="85"/>
      <x:c r="U935" s="85"/>
      <x:c r="W935" s="86"/>
      <x:c r="X935" s="86"/>
      <x:c r="Y935" s="32"/>
    </x:row>
    <x:row r="936">
      <x:c r="A936" s="87"/>
      <x:c r="B936" s="88"/>
      <x:c r="D936" s="32"/>
      <x:c r="G936" s="74"/>
      <x:c r="H936" s="74"/>
      <x:c r="I936" s="74"/>
      <x:c r="J936" s="74"/>
      <x:c r="K936" s="74"/>
      <x:c r="L936" s="74"/>
      <x:c r="M936" s="91"/>
      <x:c r="N936" s="91"/>
      <x:c r="O936" s="85"/>
      <x:c r="P936" s="85"/>
      <x:c r="Q936" s="85"/>
      <x:c r="R936" s="85"/>
      <x:c r="S936" s="85"/>
      <x:c r="T936" s="85"/>
      <x:c r="U936" s="85"/>
      <x:c r="W936" s="86"/>
      <x:c r="X936" s="86"/>
      <x:c r="Y936" s="32"/>
    </x:row>
    <x:row r="937">
      <x:c r="A937" s="87"/>
      <x:c r="B937" s="88"/>
      <x:c r="D937" s="32"/>
      <x:c r="G937" s="74"/>
      <x:c r="H937" s="74"/>
      <x:c r="I937" s="74"/>
      <x:c r="J937" s="74"/>
      <x:c r="K937" s="74"/>
      <x:c r="L937" s="74"/>
      <x:c r="M937" s="91"/>
      <x:c r="N937" s="91"/>
      <x:c r="O937" s="85"/>
      <x:c r="P937" s="85"/>
      <x:c r="Q937" s="85"/>
      <x:c r="R937" s="85"/>
      <x:c r="S937" s="85"/>
      <x:c r="T937" s="85"/>
      <x:c r="U937" s="85"/>
      <x:c r="W937" s="86"/>
      <x:c r="X937" s="86"/>
      <x:c r="Y937" s="32"/>
    </x:row>
    <x:row r="938">
      <x:c r="A938" s="87"/>
      <x:c r="B938" s="88"/>
      <x:c r="D938" s="32"/>
      <x:c r="G938" s="74"/>
      <x:c r="H938" s="74"/>
      <x:c r="I938" s="74"/>
      <x:c r="J938" s="74"/>
      <x:c r="K938" s="74"/>
      <x:c r="L938" s="74"/>
      <x:c r="M938" s="91"/>
      <x:c r="N938" s="91"/>
      <x:c r="O938" s="85"/>
      <x:c r="P938" s="85"/>
      <x:c r="Q938" s="85"/>
      <x:c r="R938" s="85"/>
      <x:c r="S938" s="85"/>
      <x:c r="T938" s="85"/>
      <x:c r="U938" s="85"/>
      <x:c r="W938" s="86"/>
      <x:c r="X938" s="86"/>
      <x:c r="Y938" s="32"/>
    </x:row>
    <x:row r="939">
      <x:c r="A939" s="87"/>
      <x:c r="B939" s="88"/>
      <x:c r="D939" s="32"/>
      <x:c r="G939" s="74"/>
      <x:c r="H939" s="74"/>
      <x:c r="I939" s="74"/>
      <x:c r="J939" s="74"/>
      <x:c r="K939" s="74"/>
      <x:c r="L939" s="74"/>
      <x:c r="M939" s="91"/>
      <x:c r="N939" s="91"/>
      <x:c r="O939" s="85"/>
      <x:c r="P939" s="85"/>
      <x:c r="Q939" s="85"/>
      <x:c r="R939" s="85"/>
      <x:c r="S939" s="85"/>
      <x:c r="T939" s="85"/>
      <x:c r="U939" s="85"/>
      <x:c r="W939" s="86"/>
      <x:c r="X939" s="86"/>
      <x:c r="Y939" s="32"/>
    </x:row>
    <x:row r="940">
      <x:c r="A940" s="87"/>
      <x:c r="B940" s="88"/>
      <x:c r="D940" s="32"/>
      <x:c r="G940" s="74"/>
      <x:c r="H940" s="74"/>
      <x:c r="I940" s="74"/>
      <x:c r="J940" s="74"/>
      <x:c r="K940" s="74"/>
      <x:c r="L940" s="74"/>
      <x:c r="M940" s="91"/>
      <x:c r="N940" s="91"/>
      <x:c r="O940" s="85"/>
      <x:c r="P940" s="85"/>
      <x:c r="Q940" s="85"/>
      <x:c r="R940" s="85"/>
      <x:c r="S940" s="85"/>
      <x:c r="T940" s="85"/>
      <x:c r="U940" s="85"/>
      <x:c r="W940" s="86"/>
      <x:c r="X940" s="86"/>
      <x:c r="Y940" s="32"/>
    </x:row>
    <x:row r="941">
      <x:c r="A941" s="87"/>
      <x:c r="B941" s="88"/>
      <x:c r="D941" s="32"/>
      <x:c r="G941" s="74"/>
      <x:c r="H941" s="74"/>
      <x:c r="I941" s="74"/>
      <x:c r="J941" s="74"/>
      <x:c r="K941" s="74"/>
      <x:c r="L941" s="74"/>
      <x:c r="M941" s="91"/>
      <x:c r="N941" s="91"/>
      <x:c r="O941" s="85"/>
      <x:c r="P941" s="85"/>
      <x:c r="Q941" s="85"/>
      <x:c r="R941" s="85"/>
      <x:c r="S941" s="85"/>
      <x:c r="T941" s="85"/>
      <x:c r="U941" s="85"/>
      <x:c r="W941" s="86"/>
      <x:c r="X941" s="86"/>
      <x:c r="Y941" s="32"/>
    </x:row>
    <x:row r="942">
      <x:c r="A942" s="87"/>
      <x:c r="B942" s="88"/>
      <x:c r="D942" s="32"/>
      <x:c r="G942" s="74"/>
      <x:c r="H942" s="74"/>
      <x:c r="I942" s="74"/>
      <x:c r="J942" s="74"/>
      <x:c r="K942" s="74"/>
      <x:c r="L942" s="74"/>
      <x:c r="M942" s="91"/>
      <x:c r="N942" s="91"/>
      <x:c r="O942" s="85"/>
      <x:c r="P942" s="85"/>
      <x:c r="Q942" s="85"/>
      <x:c r="R942" s="85"/>
      <x:c r="S942" s="85"/>
      <x:c r="T942" s="85"/>
      <x:c r="U942" s="85"/>
      <x:c r="W942" s="86"/>
      <x:c r="X942" s="86"/>
      <x:c r="Y942" s="32"/>
    </x:row>
    <x:row r="943">
      <x:c r="A943" s="87"/>
      <x:c r="B943" s="88"/>
      <x:c r="D943" s="32"/>
      <x:c r="G943" s="74"/>
      <x:c r="H943" s="74"/>
      <x:c r="I943" s="74"/>
      <x:c r="J943" s="74"/>
      <x:c r="K943" s="74"/>
      <x:c r="L943" s="74"/>
      <x:c r="M943" s="91"/>
      <x:c r="N943" s="91"/>
      <x:c r="O943" s="85"/>
      <x:c r="P943" s="85"/>
      <x:c r="Q943" s="85"/>
      <x:c r="R943" s="85"/>
      <x:c r="S943" s="85"/>
      <x:c r="T943" s="85"/>
      <x:c r="U943" s="85"/>
      <x:c r="W943" s="86"/>
      <x:c r="X943" s="86"/>
      <x:c r="Y943" s="32"/>
    </x:row>
    <x:row r="944">
      <x:c r="A944" s="87"/>
      <x:c r="B944" s="88"/>
      <x:c r="D944" s="32"/>
      <x:c r="G944" s="74"/>
      <x:c r="H944" s="74"/>
      <x:c r="I944" s="74"/>
      <x:c r="J944" s="74"/>
      <x:c r="K944" s="74"/>
      <x:c r="L944" s="74"/>
      <x:c r="M944" s="91"/>
      <x:c r="N944" s="91"/>
      <x:c r="O944" s="85"/>
      <x:c r="P944" s="85"/>
      <x:c r="Q944" s="85"/>
      <x:c r="R944" s="85"/>
      <x:c r="S944" s="85"/>
      <x:c r="T944" s="85"/>
      <x:c r="U944" s="85"/>
      <x:c r="W944" s="86"/>
      <x:c r="X944" s="86"/>
      <x:c r="Y944" s="32"/>
    </x:row>
    <x:row r="945">
      <x:c r="A945" s="87"/>
      <x:c r="B945" s="88"/>
      <x:c r="D945" s="32"/>
      <x:c r="G945" s="74"/>
      <x:c r="H945" s="74"/>
      <x:c r="I945" s="74"/>
      <x:c r="J945" s="74"/>
      <x:c r="K945" s="74"/>
      <x:c r="L945" s="74"/>
      <x:c r="M945" s="91"/>
      <x:c r="N945" s="91"/>
      <x:c r="O945" s="85"/>
      <x:c r="P945" s="85"/>
      <x:c r="Q945" s="85"/>
      <x:c r="R945" s="85"/>
      <x:c r="S945" s="85"/>
      <x:c r="T945" s="85"/>
      <x:c r="U945" s="85"/>
      <x:c r="W945" s="86"/>
      <x:c r="X945" s="86"/>
      <x:c r="Y945" s="32"/>
    </x:row>
    <x:row r="946">
      <x:c r="A946" s="87"/>
      <x:c r="B946" s="88"/>
      <x:c r="D946" s="32"/>
      <x:c r="G946" s="74"/>
      <x:c r="H946" s="74"/>
      <x:c r="I946" s="74"/>
      <x:c r="J946" s="74"/>
      <x:c r="K946" s="74"/>
      <x:c r="L946" s="74"/>
      <x:c r="M946" s="91"/>
      <x:c r="N946" s="91"/>
      <x:c r="O946" s="85"/>
      <x:c r="P946" s="85"/>
      <x:c r="Q946" s="85"/>
      <x:c r="R946" s="85"/>
      <x:c r="S946" s="85"/>
      <x:c r="T946" s="85"/>
      <x:c r="U946" s="85"/>
      <x:c r="W946" s="86"/>
      <x:c r="X946" s="86"/>
      <x:c r="Y946" s="32"/>
    </x:row>
    <x:row r="947">
      <x:c r="A947" s="87"/>
      <x:c r="B947" s="88"/>
      <x:c r="D947" s="32"/>
      <x:c r="G947" s="74"/>
      <x:c r="H947" s="74"/>
      <x:c r="I947" s="74"/>
      <x:c r="J947" s="74"/>
      <x:c r="K947" s="74"/>
      <x:c r="L947" s="74"/>
      <x:c r="M947" s="91"/>
      <x:c r="N947" s="91"/>
      <x:c r="O947" s="85"/>
      <x:c r="P947" s="85"/>
      <x:c r="Q947" s="85"/>
      <x:c r="R947" s="85"/>
      <x:c r="S947" s="85"/>
      <x:c r="T947" s="85"/>
      <x:c r="U947" s="85"/>
      <x:c r="W947" s="86"/>
      <x:c r="X947" s="86"/>
      <x:c r="Y947" s="32"/>
    </x:row>
    <x:row r="948">
      <x:c r="A948" s="87"/>
      <x:c r="B948" s="88"/>
      <x:c r="D948" s="32"/>
      <x:c r="G948" s="74"/>
      <x:c r="H948" s="74"/>
      <x:c r="I948" s="74"/>
      <x:c r="J948" s="74"/>
      <x:c r="K948" s="74"/>
      <x:c r="L948" s="74"/>
      <x:c r="M948" s="91"/>
      <x:c r="N948" s="91"/>
      <x:c r="O948" s="85"/>
      <x:c r="P948" s="85"/>
      <x:c r="Q948" s="85"/>
      <x:c r="R948" s="85"/>
      <x:c r="S948" s="85"/>
      <x:c r="T948" s="85"/>
      <x:c r="U948" s="85"/>
      <x:c r="W948" s="86"/>
      <x:c r="X948" s="86"/>
      <x:c r="Y948" s="32"/>
    </x:row>
    <x:row r="949">
      <x:c r="A949" s="87"/>
      <x:c r="B949" s="88"/>
      <x:c r="D949" s="32"/>
      <x:c r="G949" s="74"/>
      <x:c r="H949" s="74"/>
      <x:c r="I949" s="74"/>
      <x:c r="J949" s="74"/>
      <x:c r="K949" s="74"/>
      <x:c r="L949" s="74"/>
      <x:c r="M949" s="91"/>
      <x:c r="N949" s="91"/>
      <x:c r="O949" s="85"/>
      <x:c r="P949" s="85"/>
      <x:c r="Q949" s="85"/>
      <x:c r="R949" s="85"/>
      <x:c r="S949" s="85"/>
      <x:c r="T949" s="85"/>
      <x:c r="U949" s="85"/>
      <x:c r="W949" s="86"/>
      <x:c r="X949" s="86"/>
      <x:c r="Y949" s="32"/>
    </x:row>
    <x:row r="950">
      <x:c r="A950" s="87"/>
      <x:c r="B950" s="88"/>
      <x:c r="D950" s="32"/>
      <x:c r="G950" s="74"/>
      <x:c r="H950" s="74"/>
      <x:c r="I950" s="74"/>
      <x:c r="J950" s="74"/>
      <x:c r="K950" s="74"/>
      <x:c r="L950" s="74"/>
      <x:c r="M950" s="91"/>
      <x:c r="N950" s="91"/>
      <x:c r="O950" s="85"/>
      <x:c r="P950" s="85"/>
      <x:c r="Q950" s="85"/>
      <x:c r="R950" s="85"/>
      <x:c r="S950" s="85"/>
      <x:c r="T950" s="85"/>
      <x:c r="U950" s="85"/>
      <x:c r="W950" s="86"/>
      <x:c r="X950" s="86"/>
      <x:c r="Y950" s="32"/>
    </x:row>
    <x:row r="951">
      <x:c r="A951" s="87"/>
      <x:c r="B951" s="88"/>
      <x:c r="D951" s="32"/>
      <x:c r="G951" s="74"/>
      <x:c r="H951" s="74"/>
      <x:c r="I951" s="74"/>
      <x:c r="J951" s="74"/>
      <x:c r="K951" s="74"/>
      <x:c r="L951" s="74"/>
      <x:c r="M951" s="91"/>
      <x:c r="N951" s="91"/>
      <x:c r="O951" s="85"/>
      <x:c r="P951" s="85"/>
      <x:c r="Q951" s="85"/>
      <x:c r="R951" s="85"/>
      <x:c r="S951" s="85"/>
      <x:c r="T951" s="85"/>
      <x:c r="U951" s="85"/>
      <x:c r="W951" s="86"/>
      <x:c r="X951" s="86"/>
      <x:c r="Y951" s="32"/>
    </x:row>
    <x:row r="952">
      <x:c r="A952" s="87"/>
      <x:c r="B952" s="88"/>
      <x:c r="D952" s="32"/>
      <x:c r="G952" s="74"/>
      <x:c r="H952" s="74"/>
      <x:c r="I952" s="74"/>
      <x:c r="J952" s="74"/>
      <x:c r="K952" s="74"/>
      <x:c r="L952" s="74"/>
      <x:c r="M952" s="91"/>
      <x:c r="N952" s="91"/>
      <x:c r="O952" s="85"/>
      <x:c r="P952" s="85"/>
      <x:c r="Q952" s="85"/>
      <x:c r="R952" s="85"/>
      <x:c r="S952" s="85"/>
      <x:c r="T952" s="85"/>
      <x:c r="U952" s="85"/>
      <x:c r="W952" s="86"/>
      <x:c r="X952" s="86"/>
      <x:c r="Y952" s="32"/>
    </x:row>
    <x:row r="953">
      <x:c r="A953" s="87"/>
      <x:c r="B953" s="88"/>
      <x:c r="D953" s="32"/>
      <x:c r="G953" s="74"/>
      <x:c r="H953" s="74"/>
      <x:c r="I953" s="74"/>
      <x:c r="J953" s="74"/>
      <x:c r="K953" s="74"/>
      <x:c r="L953" s="74"/>
      <x:c r="M953" s="91"/>
      <x:c r="N953" s="91"/>
      <x:c r="O953" s="85"/>
      <x:c r="P953" s="85"/>
      <x:c r="Q953" s="85"/>
      <x:c r="R953" s="85"/>
      <x:c r="S953" s="85"/>
      <x:c r="T953" s="85"/>
      <x:c r="U953" s="85"/>
      <x:c r="W953" s="86"/>
      <x:c r="X953" s="86"/>
      <x:c r="Y953" s="32"/>
    </x:row>
    <x:row r="954">
      <x:c r="A954" s="87"/>
      <x:c r="B954" s="88"/>
      <x:c r="D954" s="32"/>
      <x:c r="G954" s="74"/>
      <x:c r="H954" s="74"/>
      <x:c r="I954" s="74"/>
      <x:c r="J954" s="74"/>
      <x:c r="K954" s="74"/>
      <x:c r="L954" s="74"/>
      <x:c r="M954" s="91"/>
      <x:c r="N954" s="91"/>
      <x:c r="O954" s="85"/>
      <x:c r="P954" s="85"/>
      <x:c r="Q954" s="85"/>
      <x:c r="R954" s="85"/>
      <x:c r="S954" s="85"/>
      <x:c r="T954" s="85"/>
      <x:c r="U954" s="85"/>
      <x:c r="W954" s="86"/>
      <x:c r="X954" s="86"/>
      <x:c r="Y954" s="32"/>
    </x:row>
    <x:row r="955">
      <x:c r="A955" s="87"/>
      <x:c r="B955" s="88"/>
      <x:c r="D955" s="32"/>
      <x:c r="G955" s="74"/>
      <x:c r="H955" s="74"/>
      <x:c r="I955" s="74"/>
      <x:c r="J955" s="74"/>
      <x:c r="K955" s="74"/>
      <x:c r="L955" s="74"/>
      <x:c r="M955" s="91"/>
      <x:c r="N955" s="91"/>
      <x:c r="O955" s="85"/>
      <x:c r="P955" s="85"/>
      <x:c r="Q955" s="85"/>
      <x:c r="R955" s="85"/>
      <x:c r="S955" s="85"/>
      <x:c r="T955" s="85"/>
      <x:c r="U955" s="85"/>
      <x:c r="W955" s="86"/>
      <x:c r="X955" s="86"/>
      <x:c r="Y955" s="32"/>
    </x:row>
    <x:row r="956">
      <x:c r="A956" s="87"/>
      <x:c r="B956" s="88"/>
      <x:c r="D956" s="32"/>
      <x:c r="G956" s="74"/>
      <x:c r="H956" s="74"/>
      <x:c r="I956" s="74"/>
      <x:c r="J956" s="74"/>
      <x:c r="K956" s="74"/>
      <x:c r="L956" s="74"/>
      <x:c r="M956" s="91"/>
      <x:c r="N956" s="91"/>
      <x:c r="O956" s="85"/>
      <x:c r="P956" s="85"/>
      <x:c r="Q956" s="85"/>
      <x:c r="R956" s="85"/>
      <x:c r="S956" s="85"/>
      <x:c r="T956" s="85"/>
      <x:c r="U956" s="85"/>
      <x:c r="W956" s="86"/>
      <x:c r="X956" s="86"/>
      <x:c r="Y956" s="32"/>
    </x:row>
    <x:row r="957">
      <x:c r="A957" s="87"/>
      <x:c r="B957" s="88"/>
      <x:c r="D957" s="32"/>
      <x:c r="G957" s="74"/>
      <x:c r="H957" s="74"/>
      <x:c r="I957" s="74"/>
      <x:c r="J957" s="74"/>
      <x:c r="K957" s="74"/>
      <x:c r="L957" s="74"/>
      <x:c r="M957" s="91"/>
      <x:c r="N957" s="91"/>
      <x:c r="O957" s="85"/>
      <x:c r="P957" s="85"/>
      <x:c r="Q957" s="85"/>
      <x:c r="R957" s="85"/>
      <x:c r="S957" s="85"/>
      <x:c r="T957" s="85"/>
      <x:c r="U957" s="85"/>
      <x:c r="W957" s="86"/>
      <x:c r="X957" s="86"/>
      <x:c r="Y957" s="32"/>
    </x:row>
    <x:row r="958">
      <x:c r="A958" s="87"/>
      <x:c r="B958" s="88"/>
      <x:c r="D958" s="32"/>
      <x:c r="G958" s="74"/>
      <x:c r="H958" s="74"/>
      <x:c r="I958" s="74"/>
      <x:c r="J958" s="74"/>
      <x:c r="K958" s="74"/>
      <x:c r="L958" s="74"/>
      <x:c r="M958" s="91"/>
      <x:c r="N958" s="91"/>
      <x:c r="O958" s="85"/>
      <x:c r="P958" s="85"/>
      <x:c r="Q958" s="85"/>
      <x:c r="R958" s="85"/>
      <x:c r="S958" s="85"/>
      <x:c r="T958" s="85"/>
      <x:c r="U958" s="85"/>
      <x:c r="W958" s="86"/>
      <x:c r="X958" s="86"/>
      <x:c r="Y958" s="32"/>
    </x:row>
    <x:row r="959">
      <x:c r="A959" s="87"/>
      <x:c r="B959" s="88"/>
      <x:c r="D959" s="32"/>
      <x:c r="G959" s="74"/>
      <x:c r="H959" s="74"/>
      <x:c r="I959" s="74"/>
      <x:c r="J959" s="74"/>
      <x:c r="K959" s="74"/>
      <x:c r="L959" s="74"/>
      <x:c r="M959" s="91"/>
      <x:c r="N959" s="91"/>
      <x:c r="O959" s="85"/>
      <x:c r="P959" s="85"/>
      <x:c r="Q959" s="85"/>
      <x:c r="R959" s="85"/>
      <x:c r="S959" s="85"/>
      <x:c r="T959" s="85"/>
      <x:c r="U959" s="85"/>
      <x:c r="W959" s="86"/>
      <x:c r="X959" s="86"/>
      <x:c r="Y959" s="32"/>
    </x:row>
    <x:row r="960">
      <x:c r="A960" s="87"/>
      <x:c r="B960" s="88"/>
      <x:c r="D960" s="32"/>
      <x:c r="G960" s="74"/>
      <x:c r="H960" s="74"/>
      <x:c r="I960" s="74"/>
      <x:c r="J960" s="74"/>
      <x:c r="K960" s="74"/>
      <x:c r="L960" s="74"/>
      <x:c r="M960" s="91"/>
      <x:c r="N960" s="91"/>
      <x:c r="O960" s="85"/>
      <x:c r="P960" s="85"/>
      <x:c r="Q960" s="85"/>
      <x:c r="R960" s="85"/>
      <x:c r="S960" s="85"/>
      <x:c r="T960" s="85"/>
      <x:c r="U960" s="85"/>
      <x:c r="W960" s="86"/>
      <x:c r="X960" s="86"/>
      <x:c r="Y960" s="32"/>
    </x:row>
    <x:row r="961">
      <x:c r="A961" s="87"/>
      <x:c r="B961" s="88"/>
      <x:c r="D961" s="32"/>
      <x:c r="G961" s="74"/>
      <x:c r="H961" s="74"/>
      <x:c r="I961" s="74"/>
      <x:c r="J961" s="74"/>
      <x:c r="K961" s="74"/>
      <x:c r="L961" s="74"/>
      <x:c r="M961" s="91"/>
      <x:c r="N961" s="91"/>
      <x:c r="O961" s="85"/>
      <x:c r="P961" s="85"/>
      <x:c r="Q961" s="85"/>
      <x:c r="R961" s="85"/>
      <x:c r="S961" s="85"/>
      <x:c r="T961" s="85"/>
      <x:c r="U961" s="85"/>
      <x:c r="W961" s="86"/>
      <x:c r="X961" s="86"/>
      <x:c r="Y961" s="32"/>
    </x:row>
    <x:row r="962">
      <x:c r="A962" s="87"/>
      <x:c r="B962" s="88"/>
      <x:c r="D962" s="32"/>
      <x:c r="G962" s="74"/>
      <x:c r="H962" s="74"/>
      <x:c r="I962" s="74"/>
      <x:c r="J962" s="74"/>
      <x:c r="K962" s="74"/>
      <x:c r="L962" s="74"/>
      <x:c r="M962" s="91"/>
      <x:c r="N962" s="91"/>
      <x:c r="O962" s="85"/>
      <x:c r="P962" s="85"/>
      <x:c r="Q962" s="85"/>
      <x:c r="R962" s="85"/>
      <x:c r="S962" s="85"/>
      <x:c r="T962" s="85"/>
      <x:c r="U962" s="85"/>
      <x:c r="W962" s="86"/>
      <x:c r="X962" s="86"/>
      <x:c r="Y962" s="32"/>
    </x:row>
    <x:row r="963">
      <x:c r="A963" s="87"/>
      <x:c r="B963" s="88"/>
      <x:c r="D963" s="32"/>
      <x:c r="G963" s="74"/>
      <x:c r="H963" s="74"/>
      <x:c r="I963" s="74"/>
      <x:c r="J963" s="74"/>
      <x:c r="K963" s="74"/>
      <x:c r="L963" s="74"/>
      <x:c r="M963" s="91"/>
      <x:c r="N963" s="91"/>
      <x:c r="O963" s="85"/>
      <x:c r="P963" s="85"/>
      <x:c r="Q963" s="85"/>
      <x:c r="R963" s="85"/>
      <x:c r="S963" s="85"/>
      <x:c r="T963" s="85"/>
      <x:c r="U963" s="85"/>
      <x:c r="W963" s="86"/>
      <x:c r="X963" s="86"/>
      <x:c r="Y963" s="32"/>
    </x:row>
    <x:row r="964">
      <x:c r="A964" s="87"/>
      <x:c r="B964" s="88"/>
      <x:c r="D964" s="32"/>
      <x:c r="G964" s="74"/>
      <x:c r="H964" s="74"/>
      <x:c r="I964" s="74"/>
      <x:c r="J964" s="74"/>
      <x:c r="K964" s="74"/>
      <x:c r="L964" s="74"/>
      <x:c r="M964" s="91"/>
      <x:c r="N964" s="91"/>
      <x:c r="O964" s="85"/>
      <x:c r="P964" s="85"/>
      <x:c r="Q964" s="85"/>
      <x:c r="R964" s="85"/>
      <x:c r="S964" s="85"/>
      <x:c r="T964" s="85"/>
      <x:c r="U964" s="85"/>
      <x:c r="W964" s="86"/>
      <x:c r="X964" s="86"/>
      <x:c r="Y964" s="32"/>
    </x:row>
    <x:row r="965">
      <x:c r="A965" s="87"/>
      <x:c r="B965" s="88"/>
      <x:c r="D965" s="32"/>
      <x:c r="G965" s="74"/>
      <x:c r="H965" s="74"/>
      <x:c r="I965" s="74"/>
      <x:c r="J965" s="74"/>
      <x:c r="K965" s="74"/>
      <x:c r="L965" s="74"/>
      <x:c r="M965" s="91"/>
      <x:c r="N965" s="91"/>
      <x:c r="O965" s="85"/>
      <x:c r="P965" s="85"/>
      <x:c r="Q965" s="85"/>
      <x:c r="R965" s="85"/>
      <x:c r="S965" s="85"/>
      <x:c r="T965" s="85"/>
      <x:c r="U965" s="85"/>
      <x:c r="W965" s="86"/>
      <x:c r="X965" s="86"/>
      <x:c r="Y965" s="32"/>
    </x:row>
    <x:row r="966">
      <x:c r="A966" s="87"/>
      <x:c r="B966" s="88"/>
      <x:c r="D966" s="32"/>
      <x:c r="G966" s="74"/>
      <x:c r="H966" s="74"/>
      <x:c r="I966" s="74"/>
      <x:c r="J966" s="74"/>
      <x:c r="K966" s="74"/>
      <x:c r="L966" s="74"/>
      <x:c r="M966" s="91"/>
      <x:c r="N966" s="91"/>
      <x:c r="O966" s="85"/>
      <x:c r="P966" s="85"/>
      <x:c r="Q966" s="85"/>
      <x:c r="R966" s="85"/>
      <x:c r="S966" s="85"/>
      <x:c r="T966" s="85"/>
      <x:c r="U966" s="85"/>
      <x:c r="W966" s="86"/>
      <x:c r="X966" s="86"/>
      <x:c r="Y966" s="32"/>
    </x:row>
    <x:row r="967">
      <x:c r="A967" s="87"/>
      <x:c r="B967" s="88"/>
      <x:c r="D967" s="32"/>
      <x:c r="G967" s="74"/>
      <x:c r="H967" s="74"/>
      <x:c r="I967" s="74"/>
      <x:c r="J967" s="74"/>
      <x:c r="K967" s="74"/>
      <x:c r="L967" s="74"/>
      <x:c r="M967" s="91"/>
      <x:c r="N967" s="91"/>
      <x:c r="O967" s="85"/>
      <x:c r="P967" s="85"/>
      <x:c r="Q967" s="85"/>
      <x:c r="R967" s="85"/>
      <x:c r="S967" s="85"/>
      <x:c r="T967" s="85"/>
      <x:c r="U967" s="85"/>
      <x:c r="W967" s="86"/>
      <x:c r="X967" s="86"/>
      <x:c r="Y967" s="32"/>
    </x:row>
    <x:row r="968">
      <x:c r="A968" s="87"/>
      <x:c r="B968" s="88"/>
      <x:c r="D968" s="32"/>
      <x:c r="G968" s="74"/>
      <x:c r="H968" s="74"/>
      <x:c r="I968" s="74"/>
      <x:c r="J968" s="74"/>
      <x:c r="K968" s="74"/>
      <x:c r="L968" s="74"/>
      <x:c r="M968" s="91"/>
      <x:c r="N968" s="91"/>
      <x:c r="O968" s="85"/>
      <x:c r="P968" s="85"/>
      <x:c r="Q968" s="85"/>
      <x:c r="R968" s="85"/>
      <x:c r="S968" s="85"/>
      <x:c r="T968" s="85"/>
      <x:c r="U968" s="85"/>
      <x:c r="W968" s="86"/>
      <x:c r="X968" s="86"/>
      <x:c r="Y968" s="32"/>
    </x:row>
    <x:row r="969">
      <x:c r="A969" s="87"/>
      <x:c r="B969" s="88"/>
      <x:c r="D969" s="32"/>
      <x:c r="G969" s="74"/>
      <x:c r="H969" s="74"/>
      <x:c r="I969" s="74"/>
      <x:c r="J969" s="74"/>
      <x:c r="K969" s="74"/>
      <x:c r="L969" s="74"/>
      <x:c r="M969" s="91"/>
      <x:c r="N969" s="91"/>
      <x:c r="O969" s="85"/>
      <x:c r="P969" s="85"/>
      <x:c r="Q969" s="85"/>
      <x:c r="R969" s="85"/>
      <x:c r="S969" s="85"/>
      <x:c r="T969" s="85"/>
      <x:c r="U969" s="85"/>
      <x:c r="W969" s="86"/>
      <x:c r="X969" s="86"/>
      <x:c r="Y969" s="32"/>
    </x:row>
    <x:row r="970">
      <x:c r="A970" s="87"/>
      <x:c r="B970" s="88"/>
      <x:c r="D970" s="32"/>
      <x:c r="G970" s="74"/>
      <x:c r="H970" s="74"/>
      <x:c r="I970" s="74"/>
      <x:c r="J970" s="74"/>
      <x:c r="K970" s="74"/>
      <x:c r="L970" s="74"/>
      <x:c r="M970" s="91"/>
      <x:c r="N970" s="91"/>
      <x:c r="O970" s="85"/>
      <x:c r="P970" s="85"/>
      <x:c r="Q970" s="85"/>
      <x:c r="R970" s="85"/>
      <x:c r="S970" s="85"/>
      <x:c r="T970" s="85"/>
      <x:c r="U970" s="85"/>
      <x:c r="W970" s="86"/>
      <x:c r="X970" s="86"/>
      <x:c r="Y970" s="32"/>
    </x:row>
    <x:row r="971">
      <x:c r="A971" s="87"/>
      <x:c r="B971" s="88"/>
      <x:c r="D971" s="32"/>
      <x:c r="G971" s="74"/>
      <x:c r="H971" s="74"/>
      <x:c r="I971" s="74"/>
      <x:c r="J971" s="74"/>
      <x:c r="K971" s="74"/>
      <x:c r="L971" s="74"/>
      <x:c r="M971" s="91"/>
      <x:c r="N971" s="91"/>
      <x:c r="O971" s="85"/>
      <x:c r="P971" s="85"/>
      <x:c r="Q971" s="85"/>
      <x:c r="R971" s="85"/>
      <x:c r="S971" s="85"/>
      <x:c r="T971" s="85"/>
      <x:c r="U971" s="85"/>
      <x:c r="W971" s="86"/>
      <x:c r="X971" s="86"/>
      <x:c r="Y971" s="32"/>
    </x:row>
    <x:row r="972">
      <x:c r="A972" s="87"/>
      <x:c r="B972" s="88"/>
      <x:c r="D972" s="32"/>
      <x:c r="G972" s="74"/>
      <x:c r="H972" s="74"/>
      <x:c r="I972" s="74"/>
      <x:c r="J972" s="74"/>
      <x:c r="K972" s="74"/>
      <x:c r="L972" s="74"/>
      <x:c r="M972" s="91"/>
      <x:c r="N972" s="91"/>
      <x:c r="O972" s="85"/>
      <x:c r="P972" s="85"/>
      <x:c r="Q972" s="85"/>
      <x:c r="R972" s="85"/>
      <x:c r="S972" s="85"/>
      <x:c r="T972" s="85"/>
      <x:c r="U972" s="85"/>
      <x:c r="W972" s="86"/>
      <x:c r="X972" s="86"/>
      <x:c r="Y972" s="32"/>
    </x:row>
    <x:row r="973">
      <x:c r="A973" s="87"/>
      <x:c r="B973" s="88"/>
      <x:c r="D973" s="32"/>
      <x:c r="G973" s="74"/>
      <x:c r="H973" s="74"/>
      <x:c r="I973" s="74"/>
      <x:c r="J973" s="74"/>
      <x:c r="K973" s="74"/>
      <x:c r="L973" s="74"/>
      <x:c r="M973" s="91"/>
      <x:c r="N973" s="91"/>
      <x:c r="O973" s="85"/>
      <x:c r="P973" s="85"/>
      <x:c r="Q973" s="85"/>
      <x:c r="R973" s="85"/>
      <x:c r="S973" s="85"/>
      <x:c r="T973" s="85"/>
      <x:c r="U973" s="85"/>
      <x:c r="W973" s="86"/>
      <x:c r="X973" s="86"/>
      <x:c r="Y973" s="32"/>
    </x:row>
    <x:row r="974">
      <x:c r="A974" s="87"/>
      <x:c r="B974" s="88"/>
      <x:c r="D974" s="32"/>
      <x:c r="G974" s="74"/>
      <x:c r="H974" s="74"/>
      <x:c r="I974" s="74"/>
      <x:c r="J974" s="74"/>
      <x:c r="K974" s="74"/>
      <x:c r="L974" s="74"/>
      <x:c r="M974" s="91"/>
      <x:c r="N974" s="91"/>
      <x:c r="O974" s="85"/>
      <x:c r="P974" s="85"/>
      <x:c r="Q974" s="85"/>
      <x:c r="R974" s="85"/>
      <x:c r="S974" s="85"/>
      <x:c r="T974" s="85"/>
      <x:c r="U974" s="85"/>
      <x:c r="W974" s="86"/>
      <x:c r="X974" s="86"/>
      <x:c r="Y974" s="32"/>
    </x:row>
    <x:row r="975">
      <x:c r="A975" s="87"/>
      <x:c r="B975" s="88"/>
      <x:c r="D975" s="32"/>
      <x:c r="G975" s="74"/>
      <x:c r="H975" s="74"/>
      <x:c r="I975" s="74"/>
      <x:c r="J975" s="74"/>
      <x:c r="K975" s="74"/>
      <x:c r="L975" s="74"/>
      <x:c r="M975" s="91"/>
      <x:c r="N975" s="91"/>
      <x:c r="O975" s="85"/>
      <x:c r="P975" s="85"/>
      <x:c r="Q975" s="85"/>
      <x:c r="R975" s="85"/>
      <x:c r="S975" s="85"/>
      <x:c r="T975" s="85"/>
      <x:c r="U975" s="85"/>
      <x:c r="W975" s="86"/>
      <x:c r="X975" s="86"/>
      <x:c r="Y975" s="32"/>
    </x:row>
    <x:row r="976">
      <x:c r="A976" s="87"/>
      <x:c r="B976" s="88"/>
      <x:c r="D976" s="32"/>
      <x:c r="G976" s="74"/>
      <x:c r="H976" s="74"/>
      <x:c r="I976" s="74"/>
      <x:c r="J976" s="74"/>
      <x:c r="K976" s="74"/>
      <x:c r="L976" s="74"/>
      <x:c r="M976" s="91"/>
      <x:c r="N976" s="91"/>
      <x:c r="O976" s="85"/>
      <x:c r="P976" s="85"/>
      <x:c r="Q976" s="85"/>
      <x:c r="R976" s="85"/>
      <x:c r="S976" s="85"/>
      <x:c r="T976" s="85"/>
      <x:c r="U976" s="85"/>
      <x:c r="W976" s="86"/>
      <x:c r="X976" s="86"/>
      <x:c r="Y976" s="32"/>
    </x:row>
    <x:row r="977">
      <x:c r="A977" s="87"/>
      <x:c r="B977" s="88"/>
      <x:c r="D977" s="32"/>
      <x:c r="G977" s="74"/>
      <x:c r="H977" s="74"/>
      <x:c r="I977" s="74"/>
      <x:c r="J977" s="74"/>
      <x:c r="K977" s="74"/>
      <x:c r="L977" s="74"/>
      <x:c r="M977" s="91"/>
      <x:c r="N977" s="91"/>
      <x:c r="O977" s="85"/>
      <x:c r="P977" s="85"/>
      <x:c r="Q977" s="85"/>
      <x:c r="R977" s="85"/>
      <x:c r="S977" s="85"/>
      <x:c r="T977" s="85"/>
      <x:c r="U977" s="85"/>
      <x:c r="W977" s="86"/>
      <x:c r="X977" s="86"/>
      <x:c r="Y977" s="32"/>
    </x:row>
    <x:row r="978">
      <x:c r="A978" s="87"/>
      <x:c r="B978" s="88"/>
      <x:c r="D978" s="32"/>
      <x:c r="G978" s="74"/>
      <x:c r="H978" s="74"/>
      <x:c r="I978" s="74"/>
      <x:c r="J978" s="74"/>
      <x:c r="K978" s="74"/>
      <x:c r="L978" s="74"/>
      <x:c r="M978" s="91"/>
      <x:c r="N978" s="91"/>
      <x:c r="O978" s="85"/>
      <x:c r="P978" s="85"/>
      <x:c r="Q978" s="85"/>
      <x:c r="R978" s="85"/>
      <x:c r="S978" s="85"/>
      <x:c r="T978" s="85"/>
      <x:c r="U978" s="85"/>
      <x:c r="W978" s="86"/>
      <x:c r="X978" s="86"/>
      <x:c r="Y978" s="32"/>
    </x:row>
    <x:row r="979">
      <x:c r="A979" s="87"/>
      <x:c r="B979" s="88"/>
      <x:c r="D979" s="32"/>
      <x:c r="G979" s="74"/>
      <x:c r="H979" s="74"/>
      <x:c r="I979" s="74"/>
      <x:c r="J979" s="74"/>
      <x:c r="K979" s="74"/>
      <x:c r="L979" s="74"/>
      <x:c r="M979" s="91"/>
      <x:c r="N979" s="91"/>
      <x:c r="O979" s="85"/>
      <x:c r="P979" s="85"/>
      <x:c r="Q979" s="85"/>
      <x:c r="R979" s="85"/>
      <x:c r="S979" s="85"/>
      <x:c r="T979" s="85"/>
      <x:c r="U979" s="85"/>
      <x:c r="W979" s="86"/>
      <x:c r="X979" s="86"/>
      <x:c r="Y979" s="32"/>
    </x:row>
    <x:row r="980">
      <x:c r="A980" s="87"/>
      <x:c r="B980" s="88"/>
      <x:c r="D980" s="32"/>
      <x:c r="G980" s="74"/>
      <x:c r="H980" s="74"/>
      <x:c r="I980" s="74"/>
      <x:c r="J980" s="74"/>
      <x:c r="K980" s="74"/>
      <x:c r="L980" s="74"/>
      <x:c r="M980" s="91"/>
      <x:c r="N980" s="91"/>
      <x:c r="O980" s="85"/>
      <x:c r="P980" s="85"/>
      <x:c r="Q980" s="85"/>
      <x:c r="R980" s="85"/>
      <x:c r="S980" s="85"/>
      <x:c r="T980" s="85"/>
      <x:c r="U980" s="85"/>
      <x:c r="W980" s="86"/>
      <x:c r="X980" s="86"/>
      <x:c r="Y980" s="32"/>
    </x:row>
    <x:row r="981">
      <x:c r="A981" s="87"/>
      <x:c r="B981" s="88"/>
      <x:c r="D981" s="32"/>
      <x:c r="G981" s="74"/>
      <x:c r="H981" s="74"/>
      <x:c r="I981" s="74"/>
      <x:c r="J981" s="74"/>
      <x:c r="K981" s="74"/>
      <x:c r="L981" s="74"/>
      <x:c r="M981" s="91"/>
      <x:c r="N981" s="91"/>
      <x:c r="O981" s="85"/>
      <x:c r="P981" s="85"/>
      <x:c r="Q981" s="85"/>
      <x:c r="R981" s="85"/>
      <x:c r="S981" s="85"/>
      <x:c r="T981" s="85"/>
      <x:c r="U981" s="85"/>
      <x:c r="W981" s="86"/>
      <x:c r="X981" s="86"/>
      <x:c r="Y981" s="32"/>
    </x:row>
    <x:row r="982">
      <x:c r="A982" s="87"/>
      <x:c r="B982" s="88"/>
      <x:c r="D982" s="32"/>
      <x:c r="G982" s="74"/>
      <x:c r="H982" s="74"/>
      <x:c r="I982" s="74"/>
      <x:c r="J982" s="74"/>
      <x:c r="K982" s="74"/>
      <x:c r="L982" s="74"/>
      <x:c r="M982" s="91"/>
      <x:c r="N982" s="91"/>
      <x:c r="O982" s="85"/>
      <x:c r="P982" s="85"/>
      <x:c r="Q982" s="85"/>
      <x:c r="R982" s="85"/>
      <x:c r="S982" s="85"/>
      <x:c r="T982" s="85"/>
      <x:c r="U982" s="85"/>
      <x:c r="W982" s="86"/>
      <x:c r="X982" s="86"/>
      <x:c r="Y982" s="32"/>
    </x:row>
    <x:row r="983">
      <x:c r="A983" s="87"/>
      <x:c r="B983" s="88"/>
      <x:c r="D983" s="32"/>
      <x:c r="G983" s="74"/>
      <x:c r="H983" s="74"/>
      <x:c r="I983" s="74"/>
      <x:c r="J983" s="74"/>
      <x:c r="K983" s="74"/>
      <x:c r="L983" s="74"/>
      <x:c r="M983" s="91"/>
      <x:c r="N983" s="91"/>
      <x:c r="O983" s="85"/>
      <x:c r="P983" s="85"/>
      <x:c r="Q983" s="85"/>
      <x:c r="R983" s="85"/>
      <x:c r="S983" s="85"/>
      <x:c r="T983" s="85"/>
      <x:c r="U983" s="85"/>
      <x:c r="W983" s="86"/>
      <x:c r="X983" s="86"/>
      <x:c r="Y983" s="32"/>
    </x:row>
    <x:row r="984">
      <x:c r="A984" s="87"/>
      <x:c r="B984" s="88"/>
      <x:c r="D984" s="32"/>
      <x:c r="G984" s="74"/>
      <x:c r="H984" s="74"/>
      <x:c r="I984" s="74"/>
      <x:c r="J984" s="74"/>
      <x:c r="K984" s="74"/>
      <x:c r="L984" s="74"/>
      <x:c r="M984" s="91"/>
      <x:c r="N984" s="91"/>
      <x:c r="O984" s="85"/>
      <x:c r="P984" s="85"/>
      <x:c r="Q984" s="85"/>
      <x:c r="R984" s="85"/>
      <x:c r="S984" s="85"/>
      <x:c r="T984" s="85"/>
      <x:c r="U984" s="85"/>
      <x:c r="W984" s="86"/>
      <x:c r="X984" s="86"/>
      <x:c r="Y984" s="32"/>
    </x:row>
    <x:row r="985">
      <x:c r="A985" s="87"/>
      <x:c r="B985" s="88"/>
      <x:c r="D985" s="32"/>
      <x:c r="G985" s="74"/>
      <x:c r="H985" s="74"/>
      <x:c r="I985" s="74"/>
      <x:c r="J985" s="74"/>
      <x:c r="K985" s="74"/>
      <x:c r="L985" s="74"/>
      <x:c r="M985" s="91"/>
      <x:c r="N985" s="91"/>
      <x:c r="O985" s="85"/>
      <x:c r="P985" s="85"/>
      <x:c r="Q985" s="85"/>
      <x:c r="R985" s="85"/>
      <x:c r="S985" s="85"/>
      <x:c r="T985" s="85"/>
      <x:c r="U985" s="85"/>
      <x:c r="W985" s="86"/>
      <x:c r="X985" s="86"/>
      <x:c r="Y985" s="32"/>
    </x:row>
    <x:row r="986">
      <x:c r="A986" s="87"/>
      <x:c r="B986" s="88"/>
      <x:c r="D986" s="32"/>
      <x:c r="G986" s="74"/>
      <x:c r="H986" s="74"/>
      <x:c r="I986" s="74"/>
      <x:c r="J986" s="74"/>
      <x:c r="K986" s="74"/>
      <x:c r="L986" s="74"/>
      <x:c r="M986" s="91"/>
      <x:c r="N986" s="91"/>
      <x:c r="O986" s="85"/>
      <x:c r="P986" s="85"/>
      <x:c r="Q986" s="85"/>
      <x:c r="R986" s="85"/>
      <x:c r="S986" s="85"/>
      <x:c r="T986" s="85"/>
      <x:c r="U986" s="85"/>
      <x:c r="W986" s="86"/>
      <x:c r="X986" s="86"/>
      <x:c r="Y986" s="32"/>
    </x:row>
    <x:row r="987">
      <x:c r="A987" s="87"/>
      <x:c r="B987" s="88"/>
      <x:c r="D987" s="32"/>
      <x:c r="G987" s="74"/>
      <x:c r="H987" s="74"/>
      <x:c r="I987" s="74"/>
      <x:c r="J987" s="74"/>
      <x:c r="K987" s="74"/>
      <x:c r="L987" s="74"/>
      <x:c r="M987" s="91"/>
      <x:c r="N987" s="91"/>
      <x:c r="O987" s="85"/>
      <x:c r="P987" s="85"/>
      <x:c r="Q987" s="85"/>
      <x:c r="R987" s="85"/>
      <x:c r="S987" s="85"/>
      <x:c r="T987" s="85"/>
      <x:c r="U987" s="85"/>
      <x:c r="W987" s="86"/>
      <x:c r="X987" s="86"/>
      <x:c r="Y987" s="32"/>
    </x:row>
    <x:row r="988">
      <x:c r="A988" s="87"/>
      <x:c r="B988" s="88"/>
      <x:c r="D988" s="32"/>
      <x:c r="G988" s="74"/>
      <x:c r="H988" s="74"/>
      <x:c r="I988" s="74"/>
      <x:c r="J988" s="74"/>
      <x:c r="K988" s="74"/>
      <x:c r="L988" s="74"/>
      <x:c r="M988" s="91"/>
      <x:c r="N988" s="91"/>
      <x:c r="O988" s="85"/>
      <x:c r="P988" s="85"/>
      <x:c r="Q988" s="85"/>
      <x:c r="R988" s="85"/>
      <x:c r="S988" s="85"/>
      <x:c r="T988" s="85"/>
      <x:c r="U988" s="85"/>
      <x:c r="W988" s="86"/>
      <x:c r="X988" s="86"/>
      <x:c r="Y988" s="32"/>
    </x:row>
    <x:row r="989">
      <x:c r="A989" s="87"/>
      <x:c r="B989" s="88"/>
      <x:c r="D989" s="32"/>
      <x:c r="G989" s="74"/>
      <x:c r="H989" s="74"/>
      <x:c r="I989" s="74"/>
      <x:c r="J989" s="74"/>
      <x:c r="K989" s="74"/>
      <x:c r="L989" s="74"/>
      <x:c r="M989" s="91"/>
      <x:c r="N989" s="91"/>
      <x:c r="O989" s="85"/>
      <x:c r="P989" s="85"/>
      <x:c r="Q989" s="85"/>
      <x:c r="R989" s="85"/>
      <x:c r="S989" s="85"/>
      <x:c r="T989" s="85"/>
      <x:c r="U989" s="85"/>
      <x:c r="W989" s="86"/>
      <x:c r="X989" s="86"/>
      <x:c r="Y989" s="32"/>
    </x:row>
    <x:row r="990">
      <x:c r="A990" s="87"/>
      <x:c r="B990" s="88"/>
      <x:c r="D990" s="32"/>
      <x:c r="G990" s="74"/>
      <x:c r="H990" s="74"/>
      <x:c r="I990" s="74"/>
      <x:c r="J990" s="74"/>
      <x:c r="K990" s="74"/>
      <x:c r="L990" s="74"/>
      <x:c r="M990" s="91"/>
      <x:c r="N990" s="91"/>
      <x:c r="O990" s="85"/>
      <x:c r="P990" s="85"/>
      <x:c r="Q990" s="85"/>
      <x:c r="R990" s="85"/>
      <x:c r="S990" s="85"/>
      <x:c r="T990" s="85"/>
      <x:c r="U990" s="85"/>
      <x:c r="W990" s="86"/>
      <x:c r="X990" s="86"/>
      <x:c r="Y990" s="32"/>
    </x:row>
    <x:row r="991">
      <x:c r="A991" s="87"/>
      <x:c r="B991" s="88"/>
      <x:c r="D991" s="32"/>
      <x:c r="G991" s="74"/>
      <x:c r="H991" s="74"/>
      <x:c r="I991" s="74"/>
      <x:c r="J991" s="74"/>
      <x:c r="K991" s="74"/>
      <x:c r="L991" s="74"/>
      <x:c r="M991" s="91"/>
      <x:c r="N991" s="91"/>
      <x:c r="O991" s="85"/>
      <x:c r="P991" s="85"/>
      <x:c r="Q991" s="85"/>
      <x:c r="R991" s="85"/>
      <x:c r="S991" s="85"/>
      <x:c r="T991" s="85"/>
      <x:c r="U991" s="85"/>
      <x:c r="W991" s="86"/>
      <x:c r="X991" s="86"/>
      <x:c r="Y991" s="32"/>
    </x:row>
    <x:row r="992">
      <x:c r="A992" s="87"/>
      <x:c r="B992" s="88"/>
      <x:c r="D992" s="32"/>
      <x:c r="G992" s="74"/>
      <x:c r="H992" s="74"/>
      <x:c r="I992" s="74"/>
      <x:c r="J992" s="74"/>
      <x:c r="K992" s="74"/>
      <x:c r="L992" s="74"/>
      <x:c r="M992" s="91"/>
      <x:c r="N992" s="91"/>
      <x:c r="O992" s="85"/>
      <x:c r="P992" s="85"/>
      <x:c r="Q992" s="85"/>
      <x:c r="R992" s="85"/>
      <x:c r="S992" s="85"/>
      <x:c r="T992" s="85"/>
      <x:c r="U992" s="85"/>
      <x:c r="W992" s="86"/>
      <x:c r="X992" s="86"/>
      <x:c r="Y992" s="32"/>
    </x:row>
    <x:row r="993">
      <x:c r="A993" s="87"/>
      <x:c r="B993" s="88"/>
      <x:c r="D993" s="32"/>
      <x:c r="G993" s="74"/>
      <x:c r="H993" s="74"/>
      <x:c r="I993" s="74"/>
      <x:c r="J993" s="74"/>
      <x:c r="K993" s="74"/>
      <x:c r="L993" s="74"/>
      <x:c r="M993" s="91"/>
      <x:c r="N993" s="91"/>
      <x:c r="O993" s="85"/>
      <x:c r="P993" s="85"/>
      <x:c r="Q993" s="85"/>
      <x:c r="R993" s="85"/>
      <x:c r="S993" s="85"/>
      <x:c r="T993" s="85"/>
      <x:c r="U993" s="85"/>
      <x:c r="W993" s="86"/>
      <x:c r="X993" s="86"/>
      <x:c r="Y993" s="32"/>
    </x:row>
    <x:row r="994">
      <x:c r="A994" s="87"/>
      <x:c r="B994" s="88"/>
      <x:c r="D994" s="32"/>
      <x:c r="G994" s="74"/>
      <x:c r="H994" s="74"/>
      <x:c r="I994" s="74"/>
      <x:c r="J994" s="74"/>
      <x:c r="K994" s="74"/>
      <x:c r="L994" s="74"/>
      <x:c r="M994" s="91"/>
      <x:c r="N994" s="91"/>
      <x:c r="O994" s="85"/>
      <x:c r="P994" s="85"/>
      <x:c r="Q994" s="85"/>
      <x:c r="R994" s="85"/>
      <x:c r="S994" s="85"/>
      <x:c r="T994" s="85"/>
      <x:c r="U994" s="85"/>
      <x:c r="W994" s="86"/>
      <x:c r="X994" s="86"/>
      <x:c r="Y994" s="32"/>
    </x:row>
    <x:row r="995">
      <x:c r="A995" s="87"/>
      <x:c r="B995" s="88"/>
      <x:c r="D995" s="32"/>
      <x:c r="G995" s="74"/>
      <x:c r="H995" s="74"/>
      <x:c r="I995" s="74"/>
      <x:c r="J995" s="74"/>
      <x:c r="K995" s="74"/>
      <x:c r="L995" s="74"/>
      <x:c r="M995" s="91"/>
      <x:c r="N995" s="91"/>
      <x:c r="O995" s="85"/>
      <x:c r="P995" s="85"/>
      <x:c r="Q995" s="85"/>
      <x:c r="R995" s="85"/>
      <x:c r="S995" s="85"/>
      <x:c r="T995" s="85"/>
      <x:c r="U995" s="85"/>
      <x:c r="W995" s="86"/>
      <x:c r="X995" s="86"/>
      <x:c r="Y995" s="32"/>
    </x:row>
    <x:row r="996">
      <x:c r="A996" s="87"/>
      <x:c r="B996" s="88"/>
      <x:c r="D996" s="32"/>
      <x:c r="G996" s="74"/>
      <x:c r="H996" s="74"/>
      <x:c r="I996" s="74"/>
      <x:c r="J996" s="74"/>
      <x:c r="K996" s="74"/>
      <x:c r="L996" s="74"/>
      <x:c r="M996" s="91"/>
      <x:c r="N996" s="91"/>
      <x:c r="O996" s="85"/>
      <x:c r="P996" s="85"/>
      <x:c r="Q996" s="85"/>
      <x:c r="R996" s="85"/>
      <x:c r="S996" s="85"/>
      <x:c r="T996" s="85"/>
      <x:c r="U996" s="85"/>
      <x:c r="W996" s="86"/>
      <x:c r="X996" s="86"/>
      <x:c r="Y996" s="32"/>
    </x:row>
    <x:row r="997">
      <x:c r="A997" s="87"/>
      <x:c r="B997" s="88"/>
      <x:c r="D997" s="32"/>
      <x:c r="G997" s="74"/>
      <x:c r="H997" s="74"/>
      <x:c r="I997" s="74"/>
      <x:c r="J997" s="74"/>
      <x:c r="K997" s="74"/>
      <x:c r="L997" s="74"/>
      <x:c r="M997" s="91"/>
      <x:c r="N997" s="91"/>
      <x:c r="O997" s="85"/>
      <x:c r="P997" s="85"/>
      <x:c r="Q997" s="85"/>
      <x:c r="R997" s="85"/>
      <x:c r="S997" s="85"/>
      <x:c r="T997" s="85"/>
      <x:c r="U997" s="85"/>
      <x:c r="W997" s="86"/>
      <x:c r="X997" s="86"/>
      <x:c r="Y997" s="32"/>
    </x:row>
    <x:row r="998">
      <x:c r="A998" s="87"/>
      <x:c r="B998" s="88"/>
      <x:c r="D998" s="32"/>
      <x:c r="G998" s="74"/>
      <x:c r="H998" s="74"/>
      <x:c r="I998" s="74"/>
      <x:c r="J998" s="74"/>
      <x:c r="K998" s="74"/>
      <x:c r="L998" s="74"/>
      <x:c r="M998" s="91"/>
      <x:c r="N998" s="91"/>
      <x:c r="O998" s="85"/>
      <x:c r="P998" s="85"/>
      <x:c r="Q998" s="85"/>
      <x:c r="R998" s="85"/>
      <x:c r="S998" s="85"/>
      <x:c r="T998" s="85"/>
      <x:c r="U998" s="85"/>
      <x:c r="W998" s="86"/>
      <x:c r="X998" s="86"/>
      <x:c r="Y998" s="32"/>
    </x:row>
    <x:row r="999">
      <x:c r="A999" s="87"/>
      <x:c r="B999" s="88"/>
      <x:c r="D999" s="32"/>
      <x:c r="G999" s="74"/>
      <x:c r="H999" s="74"/>
      <x:c r="I999" s="74"/>
      <x:c r="J999" s="74"/>
      <x:c r="K999" s="74"/>
      <x:c r="L999" s="74"/>
      <x:c r="M999" s="91"/>
      <x:c r="N999" s="91"/>
      <x:c r="O999" s="85"/>
      <x:c r="P999" s="85"/>
      <x:c r="Q999" s="85"/>
      <x:c r="R999" s="85"/>
      <x:c r="S999" s="85"/>
      <x:c r="T999" s="85"/>
      <x:c r="U999" s="85"/>
      <x:c r="W999" s="86"/>
      <x:c r="X999" s="86"/>
      <x:c r="Y999" s="32"/>
    </x:row>
    <x:row r="1000">
      <x:c r="A1000" s="87"/>
      <x:c r="B1000" s="88"/>
      <x:c r="D1000" s="32"/>
      <x:c r="G1000" s="74"/>
      <x:c r="H1000" s="74"/>
      <x:c r="I1000" s="74"/>
      <x:c r="J1000" s="74"/>
      <x:c r="K1000" s="74"/>
      <x:c r="L1000" s="74"/>
      <x:c r="M1000" s="91"/>
      <x:c r="N1000" s="91"/>
      <x:c r="O1000" s="85"/>
      <x:c r="P1000" s="85"/>
      <x:c r="Q1000" s="85"/>
      <x:c r="R1000" s="85"/>
      <x:c r="S1000" s="85"/>
      <x:c r="T1000" s="85"/>
      <x:c r="U1000" s="85"/>
      <x:c r="W1000" s="86"/>
      <x:c r="X1000" s="86"/>
      <x:c r="Y1000" s="32"/>
    </x:row>
    <x:row r="1001">
      <x:c r="A1001" s="87"/>
      <x:c r="B1001" s="88"/>
      <x:c r="D1001" s="32"/>
      <x:c r="G1001" s="74"/>
      <x:c r="H1001" s="74"/>
      <x:c r="I1001" s="74"/>
      <x:c r="J1001" s="74"/>
      <x:c r="K1001" s="74"/>
      <x:c r="L1001" s="74"/>
      <x:c r="M1001" s="91"/>
      <x:c r="N1001" s="91"/>
      <x:c r="O1001" s="85"/>
      <x:c r="P1001" s="85"/>
      <x:c r="Q1001" s="85"/>
      <x:c r="R1001" s="85"/>
      <x:c r="S1001" s="85"/>
      <x:c r="T1001" s="85"/>
      <x:c r="U1001" s="85"/>
      <x:c r="W1001" s="86"/>
      <x:c r="X1001" s="86"/>
      <x:c r="Y1001" s="32"/>
    </x:row>
    <x:row r="1002">
      <x:c r="A1002" s="87"/>
      <x:c r="B1002" s="88"/>
      <x:c r="D1002" s="32"/>
      <x:c r="G1002" s="74"/>
      <x:c r="H1002" s="74"/>
      <x:c r="I1002" s="74"/>
      <x:c r="J1002" s="74"/>
      <x:c r="K1002" s="74"/>
      <x:c r="L1002" s="74"/>
      <x:c r="M1002" s="91"/>
      <x:c r="N1002" s="91"/>
      <x:c r="O1002" s="85"/>
      <x:c r="P1002" s="85"/>
      <x:c r="Q1002" s="85"/>
      <x:c r="R1002" s="85"/>
      <x:c r="S1002" s="85"/>
      <x:c r="T1002" s="85"/>
      <x:c r="U1002" s="85"/>
      <x:c r="W1002" s="86"/>
      <x:c r="X1002" s="86"/>
      <x:c r="Y1002" s="32"/>
    </x:row>
    <x:row r="1003">
      <x:c r="A1003" s="87"/>
      <x:c r="B1003" s="88"/>
      <x:c r="D1003" s="32"/>
      <x:c r="G1003" s="74"/>
      <x:c r="H1003" s="74"/>
      <x:c r="I1003" s="74"/>
      <x:c r="J1003" s="74"/>
      <x:c r="K1003" s="74"/>
      <x:c r="L1003" s="74"/>
      <x:c r="M1003" s="91"/>
      <x:c r="N1003" s="91"/>
      <x:c r="O1003" s="85"/>
      <x:c r="P1003" s="85"/>
      <x:c r="Q1003" s="85"/>
      <x:c r="R1003" s="85"/>
      <x:c r="S1003" s="85"/>
      <x:c r="T1003" s="85"/>
      <x:c r="U1003" s="85"/>
      <x:c r="W1003" s="86"/>
      <x:c r="X1003" s="86"/>
      <x:c r="Y1003" s="32"/>
    </x:row>
    <x:row r="1004">
      <x:c r="A1004" s="87"/>
      <x:c r="B1004" s="88"/>
      <x:c r="D1004" s="32"/>
      <x:c r="G1004" s="74"/>
      <x:c r="H1004" s="74"/>
      <x:c r="I1004" s="74"/>
      <x:c r="J1004" s="74"/>
      <x:c r="K1004" s="74"/>
      <x:c r="L1004" s="74"/>
      <x:c r="M1004" s="91"/>
      <x:c r="N1004" s="91"/>
      <x:c r="O1004" s="85"/>
      <x:c r="P1004" s="85"/>
      <x:c r="Q1004" s="85"/>
      <x:c r="R1004" s="85"/>
      <x:c r="S1004" s="85"/>
      <x:c r="T1004" s="85"/>
      <x:c r="U1004" s="85"/>
      <x:c r="W1004" s="86"/>
      <x:c r="X1004" s="86"/>
      <x:c r="Y1004" s="32"/>
    </x:row>
    <x:row r="1005">
      <x:c r="A1005" s="87"/>
      <x:c r="B1005" s="88"/>
      <x:c r="D1005" s="32"/>
      <x:c r="G1005" s="74"/>
      <x:c r="H1005" s="74"/>
      <x:c r="I1005" s="74"/>
      <x:c r="J1005" s="74"/>
      <x:c r="K1005" s="74"/>
      <x:c r="L1005" s="74"/>
      <x:c r="M1005" s="91"/>
      <x:c r="N1005" s="91"/>
      <x:c r="O1005" s="85"/>
      <x:c r="P1005" s="85"/>
      <x:c r="Q1005" s="85"/>
      <x:c r="R1005" s="85"/>
      <x:c r="S1005" s="85"/>
      <x:c r="T1005" s="85"/>
      <x:c r="U1005" s="85"/>
      <x:c r="W1005" s="86"/>
      <x:c r="X1005" s="86"/>
      <x:c r="Y1005" s="32"/>
    </x:row>
    <x:row r="1006">
      <x:c r="A1006" s="87"/>
      <x:c r="B1006" s="88"/>
      <x:c r="D1006" s="32"/>
      <x:c r="G1006" s="74"/>
      <x:c r="H1006" s="74"/>
      <x:c r="I1006" s="74"/>
      <x:c r="J1006" s="74"/>
      <x:c r="K1006" s="74"/>
      <x:c r="L1006" s="74"/>
      <x:c r="M1006" s="91"/>
      <x:c r="N1006" s="91"/>
      <x:c r="O1006" s="85"/>
      <x:c r="P1006" s="85"/>
      <x:c r="Q1006" s="85"/>
      <x:c r="R1006" s="85"/>
      <x:c r="S1006" s="85"/>
      <x:c r="T1006" s="85"/>
      <x:c r="U1006" s="85"/>
      <x:c r="W1006" s="86"/>
      <x:c r="X1006" s="86"/>
      <x:c r="Y1006" s="32"/>
    </x:row>
    <x:row r="1007">
      <x:c r="A1007" s="87"/>
      <x:c r="B1007" s="88"/>
      <x:c r="D1007" s="32"/>
      <x:c r="G1007" s="74"/>
      <x:c r="H1007" s="74"/>
      <x:c r="I1007" s="74"/>
      <x:c r="J1007" s="74"/>
      <x:c r="K1007" s="74"/>
      <x:c r="L1007" s="74"/>
      <x:c r="M1007" s="91"/>
      <x:c r="N1007" s="91"/>
      <x:c r="O1007" s="85"/>
      <x:c r="P1007" s="85"/>
      <x:c r="Q1007" s="85"/>
      <x:c r="R1007" s="85"/>
      <x:c r="S1007" s="85"/>
      <x:c r="T1007" s="85"/>
      <x:c r="U1007" s="85"/>
      <x:c r="W1007" s="86"/>
      <x:c r="X1007" s="86"/>
      <x:c r="Y1007" s="32"/>
    </x:row>
    <x:row r="1008">
      <x:c r="A1008" s="87"/>
      <x:c r="B1008" s="88"/>
      <x:c r="D1008" s="32"/>
      <x:c r="G1008" s="74"/>
      <x:c r="H1008" s="74"/>
      <x:c r="I1008" s="74"/>
      <x:c r="J1008" s="74"/>
      <x:c r="K1008" s="74"/>
      <x:c r="L1008" s="74"/>
      <x:c r="M1008" s="91"/>
      <x:c r="N1008" s="91"/>
      <x:c r="O1008" s="85"/>
      <x:c r="P1008" s="85"/>
      <x:c r="Q1008" s="85"/>
      <x:c r="R1008" s="85"/>
      <x:c r="S1008" s="85"/>
      <x:c r="T1008" s="85"/>
      <x:c r="U1008" s="85"/>
      <x:c r="W1008" s="86"/>
      <x:c r="X1008" s="86"/>
      <x:c r="Y1008" s="32"/>
    </x:row>
    <x:row r="1009">
      <x:c r="A1009" s="87"/>
      <x:c r="B1009" s="88"/>
      <x:c r="D1009" s="32"/>
      <x:c r="G1009" s="74"/>
      <x:c r="H1009" s="74"/>
      <x:c r="I1009" s="74"/>
      <x:c r="J1009" s="74"/>
      <x:c r="K1009" s="74"/>
      <x:c r="L1009" s="74"/>
      <x:c r="M1009" s="91"/>
      <x:c r="N1009" s="91"/>
      <x:c r="O1009" s="85"/>
      <x:c r="P1009" s="85"/>
      <x:c r="Q1009" s="85"/>
      <x:c r="R1009" s="85"/>
      <x:c r="S1009" s="85"/>
      <x:c r="T1009" s="85"/>
      <x:c r="U1009" s="85"/>
      <x:c r="W1009" s="86"/>
      <x:c r="X1009" s="86"/>
      <x:c r="Y1009" s="32"/>
    </x:row>
    <x:row r="1010">
      <x:c r="A1010" s="87"/>
      <x:c r="B1010" s="88"/>
      <x:c r="D1010" s="32"/>
      <x:c r="G1010" s="74"/>
      <x:c r="H1010" s="74"/>
      <x:c r="I1010" s="74"/>
      <x:c r="J1010" s="74"/>
      <x:c r="K1010" s="74"/>
      <x:c r="L1010" s="74"/>
      <x:c r="M1010" s="91"/>
      <x:c r="N1010" s="91"/>
      <x:c r="O1010" s="85"/>
      <x:c r="P1010" s="85"/>
      <x:c r="Q1010" s="85"/>
      <x:c r="R1010" s="85"/>
      <x:c r="S1010" s="85"/>
      <x:c r="T1010" s="85"/>
      <x:c r="U1010" s="85"/>
      <x:c r="W1010" s="86"/>
      <x:c r="X1010" s="86"/>
      <x:c r="Y1010" s="32"/>
    </x:row>
    <x:row r="1011">
      <x:c r="A1011" s="87"/>
      <x:c r="B1011" s="88"/>
      <x:c r="D1011" s="32"/>
      <x:c r="G1011" s="74"/>
      <x:c r="H1011" s="74"/>
      <x:c r="I1011" s="74"/>
      <x:c r="J1011" s="74"/>
      <x:c r="K1011" s="74"/>
      <x:c r="L1011" s="74"/>
      <x:c r="M1011" s="91"/>
      <x:c r="N1011" s="91"/>
      <x:c r="O1011" s="85"/>
      <x:c r="P1011" s="85"/>
      <x:c r="Q1011" s="85"/>
      <x:c r="R1011" s="85"/>
      <x:c r="S1011" s="85"/>
      <x:c r="T1011" s="85"/>
      <x:c r="U1011" s="85"/>
      <x:c r="W1011" s="86"/>
      <x:c r="X1011" s="86"/>
      <x:c r="Y1011" s="32"/>
    </x:row>
    <x:row r="1012">
      <x:c r="A1012" s="87"/>
      <x:c r="B1012" s="88"/>
      <x:c r="D1012" s="32"/>
      <x:c r="G1012" s="74"/>
      <x:c r="H1012" s="74"/>
      <x:c r="I1012" s="74"/>
      <x:c r="J1012" s="74"/>
      <x:c r="K1012" s="74"/>
      <x:c r="L1012" s="74"/>
      <x:c r="M1012" s="91"/>
      <x:c r="N1012" s="91"/>
      <x:c r="O1012" s="85"/>
      <x:c r="P1012" s="85"/>
      <x:c r="Q1012" s="85"/>
      <x:c r="R1012" s="85"/>
      <x:c r="S1012" s="85"/>
      <x:c r="T1012" s="85"/>
      <x:c r="U1012" s="85"/>
      <x:c r="W1012" s="86"/>
      <x:c r="X1012" s="86"/>
      <x:c r="Y1012" s="32"/>
    </x:row>
    <x:row r="1013">
      <x:c r="A1013" s="87"/>
      <x:c r="B1013" s="88"/>
      <x:c r="D1013" s="32"/>
      <x:c r="G1013" s="74"/>
      <x:c r="H1013" s="74"/>
      <x:c r="I1013" s="74"/>
      <x:c r="J1013" s="74"/>
      <x:c r="K1013" s="74"/>
      <x:c r="L1013" s="74"/>
      <x:c r="M1013" s="91"/>
      <x:c r="N1013" s="91"/>
      <x:c r="O1013" s="85"/>
      <x:c r="P1013" s="85"/>
      <x:c r="Q1013" s="85"/>
      <x:c r="R1013" s="85"/>
      <x:c r="S1013" s="85"/>
      <x:c r="T1013" s="85"/>
      <x:c r="U1013" s="85"/>
      <x:c r="W1013" s="86"/>
      <x:c r="X1013" s="86"/>
      <x:c r="Y1013" s="32"/>
    </x:row>
    <x:row r="1014">
      <x:c r="A1014" s="87"/>
      <x:c r="B1014" s="88"/>
      <x:c r="D1014" s="32"/>
      <x:c r="G1014" s="74"/>
      <x:c r="H1014" s="74"/>
      <x:c r="I1014" s="74"/>
      <x:c r="J1014" s="74"/>
      <x:c r="K1014" s="74"/>
      <x:c r="L1014" s="74"/>
      <x:c r="M1014" s="91"/>
      <x:c r="N1014" s="91"/>
      <x:c r="O1014" s="85"/>
      <x:c r="P1014" s="85"/>
      <x:c r="Q1014" s="85"/>
      <x:c r="R1014" s="85"/>
      <x:c r="S1014" s="85"/>
      <x:c r="T1014" s="85"/>
      <x:c r="U1014" s="85"/>
      <x:c r="W1014" s="86"/>
      <x:c r="X1014" s="86"/>
      <x:c r="Y1014" s="32"/>
    </x:row>
    <x:row r="1015">
      <x:c r="A1015" s="87"/>
      <x:c r="B1015" s="88"/>
      <x:c r="D1015" s="32"/>
      <x:c r="G1015" s="74"/>
      <x:c r="H1015" s="74"/>
      <x:c r="I1015" s="74"/>
      <x:c r="J1015" s="74"/>
      <x:c r="K1015" s="74"/>
      <x:c r="L1015" s="74"/>
      <x:c r="M1015" s="91"/>
      <x:c r="N1015" s="91"/>
      <x:c r="O1015" s="85"/>
      <x:c r="P1015" s="85"/>
      <x:c r="Q1015" s="85"/>
      <x:c r="R1015" s="85"/>
      <x:c r="S1015" s="85"/>
      <x:c r="T1015" s="85"/>
      <x:c r="U1015" s="85"/>
      <x:c r="W1015" s="86"/>
      <x:c r="X1015" s="86"/>
      <x:c r="Y1015" s="32"/>
    </x:row>
    <x:row r="1016">
      <x:c r="A1016" s="87"/>
      <x:c r="B1016" s="88"/>
      <x:c r="D1016" s="32"/>
      <x:c r="G1016" s="74"/>
      <x:c r="H1016" s="74"/>
      <x:c r="I1016" s="74"/>
      <x:c r="J1016" s="74"/>
      <x:c r="K1016" s="74"/>
      <x:c r="L1016" s="74"/>
      <x:c r="M1016" s="91"/>
      <x:c r="N1016" s="91"/>
      <x:c r="O1016" s="85"/>
      <x:c r="P1016" s="85"/>
      <x:c r="Q1016" s="85"/>
      <x:c r="R1016" s="85"/>
      <x:c r="S1016" s="85"/>
      <x:c r="T1016" s="85"/>
      <x:c r="U1016" s="85"/>
      <x:c r="W1016" s="86"/>
      <x:c r="X1016" s="86"/>
      <x:c r="Y1016" s="32"/>
    </x:row>
    <x:row r="1017">
      <x:c r="A1017" s="87"/>
      <x:c r="B1017" s="88"/>
      <x:c r="D1017" s="32"/>
      <x:c r="G1017" s="74"/>
      <x:c r="H1017" s="74"/>
      <x:c r="I1017" s="74"/>
      <x:c r="J1017" s="74"/>
      <x:c r="K1017" s="74"/>
      <x:c r="L1017" s="74"/>
      <x:c r="M1017" s="91"/>
      <x:c r="N1017" s="91"/>
      <x:c r="O1017" s="85"/>
      <x:c r="P1017" s="85"/>
      <x:c r="Q1017" s="85"/>
      <x:c r="R1017" s="85"/>
      <x:c r="S1017" s="85"/>
      <x:c r="T1017" s="85"/>
      <x:c r="U1017" s="85"/>
      <x:c r="W1017" s="86"/>
      <x:c r="X1017" s="86"/>
      <x:c r="Y1017" s="32"/>
    </x:row>
    <x:row r="1018">
      <x:c r="A1018" s="87"/>
      <x:c r="B1018" s="88"/>
      <x:c r="D1018" s="32"/>
      <x:c r="G1018" s="74"/>
      <x:c r="H1018" s="74"/>
      <x:c r="I1018" s="74"/>
      <x:c r="J1018" s="74"/>
      <x:c r="K1018" s="74"/>
      <x:c r="L1018" s="74"/>
      <x:c r="M1018" s="91"/>
      <x:c r="N1018" s="91"/>
      <x:c r="O1018" s="85"/>
      <x:c r="P1018" s="85"/>
      <x:c r="Q1018" s="85"/>
      <x:c r="R1018" s="85"/>
      <x:c r="S1018" s="85"/>
      <x:c r="T1018" s="85"/>
      <x:c r="U1018" s="85"/>
      <x:c r="W1018" s="86"/>
      <x:c r="X1018" s="86"/>
      <x:c r="Y1018" s="32"/>
    </x:row>
    <x:row r="1019">
      <x:c r="A1019" s="87"/>
      <x:c r="B1019" s="88"/>
      <x:c r="D1019" s="32"/>
      <x:c r="G1019" s="74"/>
      <x:c r="H1019" s="74"/>
      <x:c r="I1019" s="74"/>
      <x:c r="J1019" s="74"/>
      <x:c r="K1019" s="74"/>
      <x:c r="L1019" s="74"/>
      <x:c r="M1019" s="91"/>
      <x:c r="N1019" s="91"/>
      <x:c r="O1019" s="85"/>
      <x:c r="P1019" s="85"/>
      <x:c r="Q1019" s="85"/>
      <x:c r="R1019" s="85"/>
      <x:c r="S1019" s="85"/>
      <x:c r="T1019" s="85"/>
      <x:c r="U1019" s="85"/>
      <x:c r="W1019" s="86"/>
      <x:c r="X1019" s="86"/>
      <x:c r="Y1019" s="32"/>
    </x:row>
    <x:row r="1020">
      <x:c r="A1020" s="87"/>
      <x:c r="B1020" s="88"/>
      <x:c r="D1020" s="32"/>
      <x:c r="G1020" s="74"/>
      <x:c r="H1020" s="74"/>
      <x:c r="I1020" s="74"/>
      <x:c r="J1020" s="74"/>
      <x:c r="K1020" s="74"/>
      <x:c r="L1020" s="74"/>
      <x:c r="M1020" s="91"/>
      <x:c r="N1020" s="91"/>
      <x:c r="O1020" s="85"/>
      <x:c r="P1020" s="85"/>
      <x:c r="Q1020" s="85"/>
      <x:c r="R1020" s="85"/>
      <x:c r="S1020" s="85"/>
      <x:c r="T1020" s="85"/>
      <x:c r="U1020" s="85"/>
      <x:c r="W1020" s="86"/>
      <x:c r="X1020" s="86"/>
      <x:c r="Y1020" s="32"/>
    </x:row>
    <x:row r="1021">
      <x:c r="A1021" s="87"/>
      <x:c r="B1021" s="88"/>
      <x:c r="D1021" s="32"/>
      <x:c r="G1021" s="74"/>
      <x:c r="H1021" s="74"/>
      <x:c r="I1021" s="74"/>
      <x:c r="J1021" s="74"/>
      <x:c r="K1021" s="74"/>
      <x:c r="L1021" s="74"/>
      <x:c r="M1021" s="91"/>
      <x:c r="N1021" s="91"/>
      <x:c r="O1021" s="85"/>
      <x:c r="P1021" s="85"/>
      <x:c r="Q1021" s="85"/>
      <x:c r="R1021" s="85"/>
      <x:c r="S1021" s="85"/>
      <x:c r="T1021" s="85"/>
      <x:c r="U1021" s="85"/>
      <x:c r="W1021" s="86"/>
      <x:c r="X1021" s="86"/>
      <x:c r="Y1021" s="32"/>
    </x:row>
    <x:row r="1022">
      <x:c r="A1022" s="87"/>
      <x:c r="B1022" s="88"/>
      <x:c r="D1022" s="32"/>
      <x:c r="G1022" s="74"/>
      <x:c r="H1022" s="74"/>
      <x:c r="I1022" s="74"/>
      <x:c r="J1022" s="74"/>
      <x:c r="K1022" s="74"/>
      <x:c r="L1022" s="74"/>
      <x:c r="M1022" s="91"/>
      <x:c r="N1022" s="91"/>
      <x:c r="O1022" s="85"/>
      <x:c r="P1022" s="85"/>
      <x:c r="Q1022" s="85"/>
      <x:c r="R1022" s="85"/>
      <x:c r="S1022" s="85"/>
      <x:c r="T1022" s="85"/>
      <x:c r="U1022" s="85"/>
      <x:c r="W1022" s="86"/>
      <x:c r="X1022" s="86"/>
      <x:c r="Y1022" s="32"/>
    </x:row>
    <x:row r="1023">
      <x:c r="A1023" s="87"/>
      <x:c r="B1023" s="88"/>
      <x:c r="D1023" s="32"/>
      <x:c r="G1023" s="74"/>
      <x:c r="H1023" s="74"/>
      <x:c r="I1023" s="74"/>
      <x:c r="J1023" s="74"/>
      <x:c r="K1023" s="74"/>
      <x:c r="L1023" s="74"/>
      <x:c r="M1023" s="91"/>
      <x:c r="N1023" s="91"/>
      <x:c r="O1023" s="85"/>
      <x:c r="P1023" s="85"/>
      <x:c r="Q1023" s="85"/>
      <x:c r="R1023" s="85"/>
      <x:c r="S1023" s="85"/>
      <x:c r="T1023" s="85"/>
      <x:c r="U1023" s="85"/>
      <x:c r="W1023" s="86"/>
      <x:c r="X1023" s="86"/>
      <x:c r="Y1023" s="32"/>
    </x:row>
    <x:row r="1024">
      <x:c r="A1024" s="87"/>
      <x:c r="B1024" s="88"/>
      <x:c r="D1024" s="32"/>
      <x:c r="G1024" s="74"/>
      <x:c r="H1024" s="74"/>
      <x:c r="I1024" s="74"/>
      <x:c r="J1024" s="74"/>
      <x:c r="K1024" s="74"/>
      <x:c r="L1024" s="74"/>
      <x:c r="M1024" s="91"/>
      <x:c r="N1024" s="91"/>
      <x:c r="O1024" s="85"/>
      <x:c r="P1024" s="85"/>
      <x:c r="Q1024" s="85"/>
      <x:c r="R1024" s="85"/>
      <x:c r="S1024" s="85"/>
      <x:c r="T1024" s="85"/>
      <x:c r="U1024" s="85"/>
      <x:c r="W1024" s="86"/>
      <x:c r="X1024" s="86"/>
      <x:c r="Y1024" s="32"/>
    </x:row>
    <x:row r="1025">
      <x:c r="A1025" s="87"/>
      <x:c r="B1025" s="88"/>
      <x:c r="D1025" s="32"/>
      <x:c r="G1025" s="74"/>
      <x:c r="H1025" s="74"/>
      <x:c r="I1025" s="74"/>
      <x:c r="J1025" s="74"/>
      <x:c r="K1025" s="74"/>
      <x:c r="L1025" s="74"/>
      <x:c r="M1025" s="91"/>
      <x:c r="N1025" s="91"/>
      <x:c r="O1025" s="85"/>
      <x:c r="P1025" s="85"/>
      <x:c r="Q1025" s="85"/>
      <x:c r="R1025" s="85"/>
      <x:c r="S1025" s="85"/>
      <x:c r="T1025" s="85"/>
      <x:c r="U1025" s="85"/>
      <x:c r="W1025" s="86"/>
      <x:c r="X1025" s="86"/>
      <x:c r="Y1025" s="32"/>
    </x:row>
    <x:row r="1026">
      <x:c r="A1026" s="87"/>
      <x:c r="B1026" s="88"/>
      <x:c r="D1026" s="32"/>
      <x:c r="G1026" s="74"/>
      <x:c r="H1026" s="74"/>
      <x:c r="I1026" s="74"/>
      <x:c r="J1026" s="74"/>
      <x:c r="K1026" s="74"/>
      <x:c r="L1026" s="74"/>
      <x:c r="M1026" s="91"/>
      <x:c r="N1026" s="91"/>
      <x:c r="O1026" s="85"/>
      <x:c r="P1026" s="85"/>
      <x:c r="Q1026" s="85"/>
      <x:c r="R1026" s="85"/>
      <x:c r="S1026" s="85"/>
      <x:c r="T1026" s="85"/>
      <x:c r="U1026" s="85"/>
      <x:c r="W1026" s="86"/>
      <x:c r="X1026" s="86"/>
      <x:c r="Y1026" s="32"/>
    </x:row>
    <x:row r="1027">
      <x:c r="A1027" s="87"/>
      <x:c r="B1027" s="88"/>
      <x:c r="D1027" s="32"/>
      <x:c r="G1027" s="74"/>
      <x:c r="H1027" s="74"/>
      <x:c r="I1027" s="74"/>
      <x:c r="J1027" s="74"/>
      <x:c r="K1027" s="74"/>
      <x:c r="L1027" s="74"/>
      <x:c r="M1027" s="91"/>
      <x:c r="N1027" s="91"/>
      <x:c r="O1027" s="85"/>
      <x:c r="P1027" s="85"/>
      <x:c r="Q1027" s="85"/>
      <x:c r="R1027" s="85"/>
      <x:c r="S1027" s="85"/>
      <x:c r="T1027" s="85"/>
      <x:c r="U1027" s="85"/>
      <x:c r="W1027" s="86"/>
      <x:c r="X1027" s="86"/>
      <x:c r="Y1027" s="32"/>
    </x:row>
    <x:row r="1028">
      <x:c r="A1028" s="87"/>
      <x:c r="B1028" s="88"/>
      <x:c r="D1028" s="32"/>
      <x:c r="G1028" s="74"/>
      <x:c r="H1028" s="74"/>
      <x:c r="I1028" s="74"/>
      <x:c r="J1028" s="74"/>
      <x:c r="K1028" s="74"/>
      <x:c r="L1028" s="74"/>
      <x:c r="M1028" s="91"/>
      <x:c r="N1028" s="91"/>
      <x:c r="O1028" s="85"/>
      <x:c r="P1028" s="85"/>
      <x:c r="Q1028" s="85"/>
      <x:c r="R1028" s="85"/>
      <x:c r="S1028" s="85"/>
      <x:c r="T1028" s="85"/>
      <x:c r="U1028" s="85"/>
      <x:c r="W1028" s="86"/>
      <x:c r="X1028" s="86"/>
      <x:c r="Y1028" s="32"/>
    </x:row>
    <x:row r="1029">
      <x:c r="A1029" s="87"/>
      <x:c r="B1029" s="88"/>
      <x:c r="D1029" s="32"/>
      <x:c r="G1029" s="74"/>
      <x:c r="H1029" s="74"/>
      <x:c r="I1029" s="74"/>
      <x:c r="J1029" s="74"/>
      <x:c r="K1029" s="74"/>
      <x:c r="L1029" s="74"/>
      <x:c r="M1029" s="91"/>
      <x:c r="N1029" s="91"/>
      <x:c r="O1029" s="85"/>
      <x:c r="P1029" s="85"/>
      <x:c r="Q1029" s="85"/>
      <x:c r="R1029" s="85"/>
      <x:c r="S1029" s="85"/>
      <x:c r="T1029" s="85"/>
      <x:c r="U1029" s="85"/>
      <x:c r="W1029" s="86"/>
      <x:c r="X1029" s="86"/>
      <x:c r="Y1029" s="32"/>
    </x:row>
    <x:row r="1030">
      <x:c r="A1030" s="87"/>
      <x:c r="B1030" s="88"/>
      <x:c r="D1030" s="32"/>
      <x:c r="G1030" s="74"/>
      <x:c r="H1030" s="74"/>
      <x:c r="I1030" s="74"/>
      <x:c r="J1030" s="74"/>
      <x:c r="K1030" s="74"/>
      <x:c r="L1030" s="74"/>
      <x:c r="M1030" s="91"/>
      <x:c r="N1030" s="91"/>
      <x:c r="O1030" s="85"/>
      <x:c r="P1030" s="85"/>
      <x:c r="Q1030" s="85"/>
      <x:c r="R1030" s="85"/>
      <x:c r="S1030" s="85"/>
      <x:c r="T1030" s="85"/>
      <x:c r="U1030" s="85"/>
      <x:c r="W1030" s="86"/>
      <x:c r="X1030" s="86"/>
      <x:c r="Y1030" s="32"/>
    </x:row>
    <x:row r="1031">
      <x:c r="A1031" s="87"/>
      <x:c r="B1031" s="88"/>
      <x:c r="D1031" s="32"/>
      <x:c r="G1031" s="74"/>
      <x:c r="H1031" s="74"/>
      <x:c r="I1031" s="74"/>
      <x:c r="J1031" s="74"/>
      <x:c r="K1031" s="74"/>
      <x:c r="L1031" s="74"/>
      <x:c r="M1031" s="91"/>
      <x:c r="N1031" s="91"/>
      <x:c r="O1031" s="85"/>
      <x:c r="P1031" s="85"/>
      <x:c r="Q1031" s="85"/>
      <x:c r="R1031" s="85"/>
      <x:c r="S1031" s="85"/>
      <x:c r="T1031" s="85"/>
      <x:c r="U1031" s="85"/>
      <x:c r="W1031" s="86"/>
      <x:c r="X1031" s="86"/>
      <x:c r="Y1031" s="32"/>
    </x:row>
    <x:row r="1032">
      <x:c r="A1032" s="87"/>
      <x:c r="B1032" s="88"/>
      <x:c r="D1032" s="32"/>
      <x:c r="G1032" s="74"/>
      <x:c r="H1032" s="74"/>
      <x:c r="I1032" s="74"/>
      <x:c r="J1032" s="74"/>
      <x:c r="K1032" s="74"/>
      <x:c r="L1032" s="74"/>
      <x:c r="M1032" s="91"/>
      <x:c r="N1032" s="91"/>
      <x:c r="O1032" s="85"/>
      <x:c r="P1032" s="85"/>
      <x:c r="Q1032" s="85"/>
      <x:c r="R1032" s="85"/>
      <x:c r="S1032" s="85"/>
      <x:c r="T1032" s="85"/>
      <x:c r="U1032" s="85"/>
      <x:c r="W1032" s="86"/>
      <x:c r="X1032" s="86"/>
      <x:c r="Y1032" s="32"/>
    </x:row>
    <x:row r="1033">
      <x:c r="A1033" s="87"/>
      <x:c r="B1033" s="88"/>
      <x:c r="D1033" s="32"/>
      <x:c r="G1033" s="74"/>
      <x:c r="H1033" s="74"/>
      <x:c r="I1033" s="74"/>
      <x:c r="J1033" s="74"/>
      <x:c r="K1033" s="74"/>
      <x:c r="L1033" s="74"/>
      <x:c r="M1033" s="91"/>
      <x:c r="N1033" s="91"/>
      <x:c r="O1033" s="85"/>
      <x:c r="P1033" s="85"/>
      <x:c r="Q1033" s="85"/>
      <x:c r="R1033" s="85"/>
      <x:c r="S1033" s="85"/>
      <x:c r="T1033" s="85"/>
      <x:c r="U1033" s="85"/>
      <x:c r="W1033" s="86"/>
      <x:c r="X1033" s="86"/>
      <x:c r="Y1033" s="32"/>
    </x:row>
    <x:row r="1034">
      <x:c r="A1034" s="87"/>
      <x:c r="B1034" s="88"/>
      <x:c r="D1034" s="32"/>
      <x:c r="G1034" s="74"/>
      <x:c r="H1034" s="74"/>
      <x:c r="I1034" s="74"/>
      <x:c r="J1034" s="74"/>
      <x:c r="K1034" s="74"/>
      <x:c r="L1034" s="74"/>
      <x:c r="M1034" s="91"/>
      <x:c r="N1034" s="91"/>
      <x:c r="O1034" s="85"/>
      <x:c r="P1034" s="85"/>
      <x:c r="Q1034" s="85"/>
      <x:c r="R1034" s="85"/>
      <x:c r="S1034" s="85"/>
      <x:c r="T1034" s="85"/>
      <x:c r="U1034" s="85"/>
      <x:c r="W1034" s="86"/>
      <x:c r="X1034" s="86"/>
      <x:c r="Y1034" s="32"/>
    </x:row>
    <x:row r="1035">
      <x:c r="A1035" s="87"/>
      <x:c r="B1035" s="88"/>
      <x:c r="D1035" s="32"/>
      <x:c r="G1035" s="74"/>
      <x:c r="H1035" s="74"/>
      <x:c r="I1035" s="74"/>
      <x:c r="J1035" s="74"/>
      <x:c r="K1035" s="74"/>
      <x:c r="L1035" s="74"/>
      <x:c r="M1035" s="91"/>
      <x:c r="N1035" s="91"/>
      <x:c r="O1035" s="85"/>
      <x:c r="P1035" s="85"/>
      <x:c r="Q1035" s="85"/>
      <x:c r="R1035" s="85"/>
      <x:c r="S1035" s="85"/>
      <x:c r="T1035" s="85"/>
      <x:c r="U1035" s="85"/>
      <x:c r="W1035" s="86"/>
      <x:c r="X1035" s="86"/>
      <x:c r="Y1035" s="32"/>
    </x:row>
    <x:row r="1036">
      <x:c r="A1036" s="87"/>
      <x:c r="B1036" s="88"/>
      <x:c r="D1036" s="32"/>
      <x:c r="G1036" s="74"/>
      <x:c r="H1036" s="74"/>
      <x:c r="I1036" s="74"/>
      <x:c r="J1036" s="74"/>
      <x:c r="K1036" s="74"/>
      <x:c r="L1036" s="74"/>
      <x:c r="M1036" s="91"/>
      <x:c r="N1036" s="91"/>
      <x:c r="O1036" s="85"/>
      <x:c r="P1036" s="85"/>
      <x:c r="Q1036" s="85"/>
      <x:c r="R1036" s="85"/>
      <x:c r="S1036" s="85"/>
      <x:c r="T1036" s="85"/>
      <x:c r="U1036" s="85"/>
      <x:c r="W1036" s="86"/>
      <x:c r="X1036" s="86"/>
      <x:c r="Y1036" s="32"/>
    </x:row>
    <x:row r="1037">
      <x:c r="A1037" s="87"/>
      <x:c r="B1037" s="88"/>
      <x:c r="D1037" s="32"/>
      <x:c r="G1037" s="74"/>
      <x:c r="H1037" s="74"/>
      <x:c r="I1037" s="74"/>
      <x:c r="J1037" s="74"/>
      <x:c r="K1037" s="74"/>
      <x:c r="L1037" s="74"/>
      <x:c r="M1037" s="91"/>
      <x:c r="N1037" s="91"/>
      <x:c r="O1037" s="85"/>
      <x:c r="P1037" s="85"/>
      <x:c r="Q1037" s="85"/>
      <x:c r="R1037" s="85"/>
      <x:c r="S1037" s="85"/>
      <x:c r="T1037" s="85"/>
      <x:c r="U1037" s="85"/>
      <x:c r="W1037" s="86"/>
      <x:c r="X1037" s="86"/>
      <x:c r="Y1037" s="32"/>
    </x:row>
    <x:row r="1038">
      <x:c r="A1038" s="87"/>
      <x:c r="B1038" s="88"/>
      <x:c r="D1038" s="32"/>
      <x:c r="G1038" s="74"/>
      <x:c r="H1038" s="74"/>
      <x:c r="I1038" s="74"/>
      <x:c r="J1038" s="74"/>
      <x:c r="K1038" s="74"/>
      <x:c r="L1038" s="74"/>
      <x:c r="M1038" s="91"/>
      <x:c r="N1038" s="91"/>
      <x:c r="O1038" s="85"/>
      <x:c r="P1038" s="85"/>
      <x:c r="Q1038" s="85"/>
      <x:c r="R1038" s="85"/>
      <x:c r="S1038" s="85"/>
      <x:c r="T1038" s="85"/>
      <x:c r="U1038" s="85"/>
      <x:c r="W1038" s="86"/>
      <x:c r="X1038" s="86"/>
      <x:c r="Y1038" s="32"/>
    </x:row>
    <x:row r="1039">
      <x:c r="A1039" s="87"/>
      <x:c r="B1039" s="88"/>
      <x:c r="D1039" s="32"/>
      <x:c r="G1039" s="74"/>
      <x:c r="H1039" s="74"/>
      <x:c r="I1039" s="74"/>
      <x:c r="J1039" s="74"/>
      <x:c r="K1039" s="74"/>
      <x:c r="L1039" s="74"/>
      <x:c r="M1039" s="91"/>
      <x:c r="N1039" s="91"/>
      <x:c r="O1039" s="85"/>
      <x:c r="P1039" s="85"/>
      <x:c r="Q1039" s="85"/>
      <x:c r="R1039" s="85"/>
      <x:c r="S1039" s="85"/>
      <x:c r="T1039" s="85"/>
      <x:c r="U1039" s="85"/>
      <x:c r="W1039" s="86"/>
      <x:c r="X1039" s="86"/>
      <x:c r="Y1039" s="32"/>
    </x:row>
    <x:row r="1040">
      <x:c r="A1040" s="87"/>
      <x:c r="B1040" s="88"/>
      <x:c r="D1040" s="32"/>
      <x:c r="G1040" s="74"/>
      <x:c r="H1040" s="74"/>
      <x:c r="I1040" s="74"/>
      <x:c r="J1040" s="74"/>
      <x:c r="K1040" s="74"/>
      <x:c r="L1040" s="74"/>
      <x:c r="M1040" s="91"/>
      <x:c r="N1040" s="91"/>
      <x:c r="O1040" s="85"/>
      <x:c r="P1040" s="85"/>
      <x:c r="Q1040" s="85"/>
      <x:c r="R1040" s="85"/>
      <x:c r="S1040" s="85"/>
      <x:c r="T1040" s="85"/>
      <x:c r="U1040" s="85"/>
      <x:c r="W1040" s="86"/>
      <x:c r="X1040" s="86"/>
      <x:c r="Y1040" s="32"/>
    </x:row>
    <x:row r="1041">
      <x:c r="A1041" s="87"/>
      <x:c r="B1041" s="88"/>
      <x:c r="D1041" s="32"/>
      <x:c r="G1041" s="74"/>
      <x:c r="H1041" s="74"/>
      <x:c r="I1041" s="74"/>
      <x:c r="J1041" s="74"/>
      <x:c r="K1041" s="74"/>
      <x:c r="L1041" s="74"/>
      <x:c r="M1041" s="91"/>
      <x:c r="N1041" s="91"/>
      <x:c r="O1041" s="85"/>
      <x:c r="P1041" s="85"/>
      <x:c r="Q1041" s="85"/>
      <x:c r="R1041" s="85"/>
      <x:c r="S1041" s="85"/>
      <x:c r="T1041" s="85"/>
      <x:c r="U1041" s="85"/>
      <x:c r="W1041" s="86"/>
      <x:c r="X1041" s="86"/>
      <x:c r="Y1041" s="32"/>
    </x:row>
    <x:row r="1042">
      <x:c r="A1042" s="87"/>
      <x:c r="B1042" s="88"/>
      <x:c r="D1042" s="32"/>
      <x:c r="G1042" s="74"/>
      <x:c r="H1042" s="74"/>
      <x:c r="I1042" s="74"/>
      <x:c r="J1042" s="74"/>
      <x:c r="K1042" s="74"/>
      <x:c r="L1042" s="74"/>
      <x:c r="M1042" s="91"/>
      <x:c r="N1042" s="91"/>
      <x:c r="O1042" s="85"/>
      <x:c r="P1042" s="85"/>
      <x:c r="Q1042" s="85"/>
      <x:c r="R1042" s="85"/>
      <x:c r="S1042" s="85"/>
      <x:c r="T1042" s="85"/>
      <x:c r="U1042" s="85"/>
      <x:c r="W1042" s="86"/>
      <x:c r="X1042" s="86"/>
      <x:c r="Y1042" s="32"/>
    </x:row>
    <x:row r="1043">
      <x:c r="A1043" s="87"/>
      <x:c r="B1043" s="88"/>
      <x:c r="D1043" s="32"/>
      <x:c r="G1043" s="74"/>
      <x:c r="H1043" s="74"/>
      <x:c r="I1043" s="74"/>
      <x:c r="J1043" s="74"/>
      <x:c r="K1043" s="74"/>
      <x:c r="L1043" s="74"/>
      <x:c r="M1043" s="91"/>
      <x:c r="N1043" s="91"/>
      <x:c r="O1043" s="85"/>
      <x:c r="P1043" s="85"/>
      <x:c r="Q1043" s="85"/>
      <x:c r="R1043" s="85"/>
      <x:c r="S1043" s="85"/>
      <x:c r="T1043" s="85"/>
      <x:c r="U1043" s="85"/>
      <x:c r="W1043" s="86"/>
      <x:c r="X1043" s="86"/>
      <x:c r="Y1043" s="32"/>
    </x:row>
    <x:row r="1044">
      <x:c r="A1044" s="87"/>
      <x:c r="B1044" s="88"/>
      <x:c r="D1044" s="32"/>
      <x:c r="G1044" s="74"/>
      <x:c r="H1044" s="74"/>
      <x:c r="I1044" s="74"/>
      <x:c r="J1044" s="74"/>
      <x:c r="K1044" s="74"/>
      <x:c r="L1044" s="74"/>
      <x:c r="M1044" s="91"/>
      <x:c r="N1044" s="91"/>
      <x:c r="O1044" s="85"/>
      <x:c r="P1044" s="85"/>
      <x:c r="Q1044" s="85"/>
      <x:c r="R1044" s="85"/>
      <x:c r="S1044" s="85"/>
      <x:c r="T1044" s="85"/>
      <x:c r="U1044" s="85"/>
      <x:c r="W1044" s="86"/>
      <x:c r="X1044" s="86"/>
      <x:c r="Y1044" s="32"/>
    </x:row>
    <x:row r="1045">
      <x:c r="A1045" s="87"/>
      <x:c r="B1045" s="88"/>
      <x:c r="D1045" s="32"/>
      <x:c r="G1045" s="74"/>
      <x:c r="H1045" s="74"/>
      <x:c r="I1045" s="74"/>
      <x:c r="J1045" s="74"/>
      <x:c r="K1045" s="74"/>
      <x:c r="L1045" s="74"/>
      <x:c r="M1045" s="91"/>
      <x:c r="N1045" s="91"/>
      <x:c r="O1045" s="85"/>
      <x:c r="P1045" s="85"/>
      <x:c r="Q1045" s="85"/>
      <x:c r="R1045" s="85"/>
      <x:c r="S1045" s="85"/>
      <x:c r="T1045" s="85"/>
      <x:c r="U1045" s="85"/>
      <x:c r="W1045" s="86"/>
      <x:c r="X1045" s="86"/>
      <x:c r="Y1045" s="32"/>
    </x:row>
    <x:row r="1046">
      <x:c r="A1046" s="87"/>
      <x:c r="B1046" s="88"/>
      <x:c r="D1046" s="32"/>
      <x:c r="G1046" s="74"/>
      <x:c r="H1046" s="74"/>
      <x:c r="I1046" s="74"/>
      <x:c r="J1046" s="74"/>
      <x:c r="K1046" s="74"/>
      <x:c r="L1046" s="74"/>
      <x:c r="M1046" s="91"/>
      <x:c r="N1046" s="91"/>
      <x:c r="O1046" s="85"/>
      <x:c r="P1046" s="85"/>
      <x:c r="Q1046" s="85"/>
      <x:c r="R1046" s="85"/>
      <x:c r="S1046" s="85"/>
      <x:c r="T1046" s="85"/>
      <x:c r="U1046" s="85"/>
      <x:c r="W1046" s="86"/>
      <x:c r="X1046" s="86"/>
      <x:c r="Y1046" s="32"/>
    </x:row>
    <x:row r="1047">
      <x:c r="A1047" s="87"/>
      <x:c r="B1047" s="88"/>
      <x:c r="D1047" s="32"/>
      <x:c r="G1047" s="74"/>
      <x:c r="H1047" s="74"/>
      <x:c r="I1047" s="74"/>
      <x:c r="J1047" s="74"/>
      <x:c r="K1047" s="74"/>
      <x:c r="L1047" s="74"/>
      <x:c r="M1047" s="91"/>
      <x:c r="N1047" s="91"/>
      <x:c r="O1047" s="85"/>
      <x:c r="P1047" s="85"/>
      <x:c r="Q1047" s="85"/>
      <x:c r="R1047" s="85"/>
      <x:c r="S1047" s="85"/>
      <x:c r="T1047" s="85"/>
      <x:c r="U1047" s="85"/>
      <x:c r="W1047" s="86"/>
      <x:c r="X1047" s="86"/>
      <x:c r="Y1047" s="32"/>
    </x:row>
    <x:row r="1048">
      <x:c r="A1048" s="87"/>
      <x:c r="B1048" s="88"/>
      <x:c r="D1048" s="32"/>
      <x:c r="G1048" s="74"/>
      <x:c r="H1048" s="74"/>
      <x:c r="I1048" s="74"/>
      <x:c r="J1048" s="74"/>
      <x:c r="K1048" s="74"/>
      <x:c r="L1048" s="74"/>
      <x:c r="M1048" s="91"/>
      <x:c r="N1048" s="91"/>
      <x:c r="O1048" s="85"/>
      <x:c r="P1048" s="85"/>
      <x:c r="Q1048" s="85"/>
      <x:c r="R1048" s="85"/>
      <x:c r="S1048" s="85"/>
      <x:c r="T1048" s="85"/>
      <x:c r="U1048" s="85"/>
      <x:c r="W1048" s="86"/>
      <x:c r="X1048" s="86"/>
      <x:c r="Y1048" s="32"/>
    </x:row>
    <x:row r="1049">
      <x:c r="A1049" s="87"/>
      <x:c r="B1049" s="88"/>
      <x:c r="D1049" s="32"/>
      <x:c r="G1049" s="74"/>
      <x:c r="H1049" s="74"/>
      <x:c r="I1049" s="74"/>
      <x:c r="J1049" s="74"/>
      <x:c r="K1049" s="74"/>
      <x:c r="L1049" s="74"/>
      <x:c r="M1049" s="91"/>
      <x:c r="N1049" s="91"/>
      <x:c r="O1049" s="85"/>
      <x:c r="P1049" s="85"/>
      <x:c r="Q1049" s="85"/>
      <x:c r="R1049" s="85"/>
      <x:c r="S1049" s="85"/>
      <x:c r="T1049" s="85"/>
      <x:c r="U1049" s="85"/>
      <x:c r="W1049" s="86"/>
      <x:c r="X1049" s="86"/>
      <x:c r="Y1049" s="32"/>
    </x:row>
    <x:row r="1050">
      <x:c r="A1050" s="87"/>
      <x:c r="B1050" s="88"/>
      <x:c r="D1050" s="32"/>
      <x:c r="G1050" s="74"/>
      <x:c r="H1050" s="74"/>
      <x:c r="I1050" s="74"/>
      <x:c r="J1050" s="74"/>
      <x:c r="K1050" s="74"/>
      <x:c r="L1050" s="74"/>
      <x:c r="M1050" s="91"/>
      <x:c r="N1050" s="91"/>
      <x:c r="O1050" s="85"/>
      <x:c r="P1050" s="85"/>
      <x:c r="Q1050" s="85"/>
      <x:c r="R1050" s="85"/>
      <x:c r="S1050" s="85"/>
      <x:c r="T1050" s="85"/>
      <x:c r="U1050" s="85"/>
      <x:c r="W1050" s="86"/>
      <x:c r="X1050" s="86"/>
      <x:c r="Y1050" s="32"/>
    </x:row>
    <x:row r="1051">
      <x:c r="A1051" s="87"/>
      <x:c r="B1051" s="88"/>
      <x:c r="D1051" s="32"/>
      <x:c r="G1051" s="74"/>
      <x:c r="H1051" s="74"/>
      <x:c r="I1051" s="74"/>
      <x:c r="J1051" s="74"/>
      <x:c r="K1051" s="74"/>
      <x:c r="L1051" s="74"/>
      <x:c r="M1051" s="91"/>
      <x:c r="N1051" s="91"/>
      <x:c r="O1051" s="85"/>
      <x:c r="P1051" s="85"/>
      <x:c r="Q1051" s="85"/>
      <x:c r="R1051" s="85"/>
      <x:c r="S1051" s="85"/>
      <x:c r="T1051" s="85"/>
      <x:c r="U1051" s="85"/>
      <x:c r="W1051" s="86"/>
      <x:c r="X1051" s="86"/>
      <x:c r="Y1051" s="32"/>
    </x:row>
    <x:row r="1052">
      <x:c r="A1052" s="87"/>
      <x:c r="B1052" s="88"/>
      <x:c r="D1052" s="32"/>
      <x:c r="G1052" s="74"/>
      <x:c r="H1052" s="74"/>
      <x:c r="I1052" s="74"/>
      <x:c r="J1052" s="74"/>
      <x:c r="K1052" s="74"/>
      <x:c r="L1052" s="74"/>
      <x:c r="M1052" s="91"/>
      <x:c r="N1052" s="91"/>
      <x:c r="O1052" s="85"/>
      <x:c r="P1052" s="85"/>
      <x:c r="Q1052" s="85"/>
      <x:c r="R1052" s="85"/>
      <x:c r="S1052" s="85"/>
      <x:c r="T1052" s="85"/>
      <x:c r="U1052" s="85"/>
      <x:c r="W1052" s="86"/>
      <x:c r="X1052" s="86"/>
      <x:c r="Y1052" s="32"/>
    </x:row>
    <x:row r="1053">
      <x:c r="A1053" s="87"/>
      <x:c r="B1053" s="88"/>
      <x:c r="D1053" s="32"/>
      <x:c r="G1053" s="74"/>
      <x:c r="H1053" s="74"/>
      <x:c r="I1053" s="74"/>
      <x:c r="J1053" s="74"/>
      <x:c r="K1053" s="74"/>
      <x:c r="L1053" s="74"/>
      <x:c r="M1053" s="91"/>
      <x:c r="N1053" s="91"/>
      <x:c r="O1053" s="85"/>
      <x:c r="P1053" s="85"/>
      <x:c r="Q1053" s="85"/>
      <x:c r="R1053" s="85"/>
      <x:c r="S1053" s="85"/>
      <x:c r="T1053" s="85"/>
      <x:c r="U1053" s="85"/>
      <x:c r="W1053" s="86"/>
      <x:c r="X1053" s="86"/>
      <x:c r="Y1053" s="32"/>
    </x:row>
    <x:row r="1054">
      <x:c r="A1054" s="87"/>
      <x:c r="B1054" s="88"/>
      <x:c r="D1054" s="32"/>
      <x:c r="G1054" s="74"/>
      <x:c r="H1054" s="74"/>
      <x:c r="I1054" s="74"/>
      <x:c r="J1054" s="74"/>
      <x:c r="K1054" s="74"/>
      <x:c r="L1054" s="74"/>
      <x:c r="M1054" s="91"/>
      <x:c r="N1054" s="91"/>
      <x:c r="O1054" s="85"/>
      <x:c r="P1054" s="85"/>
      <x:c r="Q1054" s="85"/>
      <x:c r="R1054" s="85"/>
      <x:c r="S1054" s="85"/>
      <x:c r="T1054" s="85"/>
      <x:c r="U1054" s="85"/>
      <x:c r="W1054" s="86"/>
      <x:c r="X1054" s="86"/>
      <x:c r="Y1054" s="32"/>
    </x:row>
    <x:row r="1055">
      <x:c r="A1055" s="87"/>
      <x:c r="B1055" s="88"/>
      <x:c r="D1055" s="32"/>
      <x:c r="G1055" s="74"/>
      <x:c r="H1055" s="74"/>
      <x:c r="I1055" s="74"/>
      <x:c r="J1055" s="74"/>
      <x:c r="K1055" s="74"/>
      <x:c r="L1055" s="74"/>
      <x:c r="M1055" s="91"/>
      <x:c r="N1055" s="91"/>
      <x:c r="O1055" s="85"/>
      <x:c r="P1055" s="85"/>
      <x:c r="Q1055" s="85"/>
      <x:c r="R1055" s="85"/>
      <x:c r="S1055" s="85"/>
      <x:c r="T1055" s="85"/>
      <x:c r="U1055" s="85"/>
      <x:c r="W1055" s="86"/>
      <x:c r="X1055" s="86"/>
      <x:c r="Y1055" s="32"/>
    </x:row>
    <x:row r="1056">
      <x:c r="A1056" s="87"/>
      <x:c r="B1056" s="88"/>
      <x:c r="D1056" s="32"/>
      <x:c r="G1056" s="74"/>
      <x:c r="H1056" s="74"/>
      <x:c r="I1056" s="74"/>
      <x:c r="J1056" s="74"/>
      <x:c r="K1056" s="74"/>
      <x:c r="L1056" s="74"/>
      <x:c r="M1056" s="91"/>
      <x:c r="N1056" s="91"/>
      <x:c r="O1056" s="85"/>
      <x:c r="P1056" s="85"/>
      <x:c r="Q1056" s="85"/>
      <x:c r="R1056" s="85"/>
      <x:c r="S1056" s="85"/>
      <x:c r="T1056" s="85"/>
      <x:c r="U1056" s="85"/>
      <x:c r="W1056" s="86"/>
      <x:c r="X1056" s="86"/>
      <x:c r="Y1056" s="32"/>
    </x:row>
    <x:row r="1057">
      <x:c r="A1057" s="87"/>
      <x:c r="B1057" s="88"/>
      <x:c r="D1057" s="32"/>
      <x:c r="G1057" s="74"/>
      <x:c r="H1057" s="74"/>
      <x:c r="I1057" s="74"/>
      <x:c r="J1057" s="74"/>
      <x:c r="K1057" s="74"/>
      <x:c r="L1057" s="74"/>
      <x:c r="M1057" s="91"/>
      <x:c r="N1057" s="91"/>
      <x:c r="O1057" s="85"/>
      <x:c r="P1057" s="85"/>
      <x:c r="Q1057" s="85"/>
      <x:c r="R1057" s="85"/>
      <x:c r="S1057" s="85"/>
      <x:c r="T1057" s="85"/>
      <x:c r="U1057" s="85"/>
      <x:c r="W1057" s="86"/>
      <x:c r="X1057" s="86"/>
      <x:c r="Y1057" s="32"/>
    </x:row>
    <x:row r="1058">
      <x:c r="A1058" s="87"/>
      <x:c r="B1058" s="88"/>
      <x:c r="D1058" s="32"/>
      <x:c r="G1058" s="74"/>
      <x:c r="H1058" s="74"/>
      <x:c r="I1058" s="74"/>
      <x:c r="J1058" s="74"/>
      <x:c r="K1058" s="74"/>
      <x:c r="L1058" s="74"/>
      <x:c r="M1058" s="91"/>
      <x:c r="N1058" s="91"/>
      <x:c r="O1058" s="85"/>
      <x:c r="P1058" s="85"/>
      <x:c r="Q1058" s="85"/>
      <x:c r="R1058" s="85"/>
      <x:c r="S1058" s="85"/>
      <x:c r="T1058" s="85"/>
      <x:c r="U1058" s="85"/>
      <x:c r="W1058" s="86"/>
      <x:c r="X1058" s="86"/>
      <x:c r="Y1058" s="32"/>
    </x:row>
    <x:row r="1059">
      <x:c r="A1059" s="87"/>
      <x:c r="B1059" s="88"/>
      <x:c r="D1059" s="32"/>
      <x:c r="G1059" s="74"/>
      <x:c r="H1059" s="74"/>
      <x:c r="I1059" s="74"/>
      <x:c r="J1059" s="74"/>
      <x:c r="K1059" s="74"/>
      <x:c r="L1059" s="74"/>
      <x:c r="M1059" s="91"/>
      <x:c r="N1059" s="91"/>
      <x:c r="O1059" s="85"/>
      <x:c r="P1059" s="85"/>
      <x:c r="Q1059" s="85"/>
      <x:c r="R1059" s="85"/>
      <x:c r="S1059" s="85"/>
      <x:c r="T1059" s="85"/>
      <x:c r="U1059" s="85"/>
      <x:c r="W1059" s="86"/>
      <x:c r="X1059" s="86"/>
      <x:c r="Y1059" s="32"/>
    </x:row>
    <x:row r="1060">
      <x:c r="A1060" s="87"/>
      <x:c r="B1060" s="88"/>
      <x:c r="D1060" s="32"/>
      <x:c r="G1060" s="74"/>
      <x:c r="H1060" s="74"/>
      <x:c r="I1060" s="74"/>
      <x:c r="J1060" s="74"/>
      <x:c r="K1060" s="74"/>
      <x:c r="L1060" s="74"/>
      <x:c r="M1060" s="91"/>
      <x:c r="N1060" s="91"/>
      <x:c r="O1060" s="85"/>
      <x:c r="P1060" s="85"/>
      <x:c r="Q1060" s="85"/>
      <x:c r="R1060" s="85"/>
      <x:c r="S1060" s="85"/>
      <x:c r="T1060" s="85"/>
      <x:c r="U1060" s="85"/>
      <x:c r="W1060" s="86"/>
      <x:c r="X1060" s="86"/>
      <x:c r="Y1060" s="32"/>
    </x:row>
    <x:row r="1061">
      <x:c r="A1061" s="87"/>
      <x:c r="B1061" s="88"/>
      <x:c r="D1061" s="32"/>
      <x:c r="G1061" s="74"/>
      <x:c r="H1061" s="74"/>
      <x:c r="I1061" s="74"/>
      <x:c r="J1061" s="74"/>
      <x:c r="K1061" s="74"/>
      <x:c r="L1061" s="74"/>
      <x:c r="M1061" s="91"/>
      <x:c r="N1061" s="91"/>
      <x:c r="O1061" s="85"/>
      <x:c r="P1061" s="85"/>
      <x:c r="Q1061" s="85"/>
      <x:c r="R1061" s="85"/>
      <x:c r="S1061" s="85"/>
      <x:c r="T1061" s="85"/>
      <x:c r="U1061" s="85"/>
      <x:c r="W1061" s="86"/>
      <x:c r="X1061" s="86"/>
      <x:c r="Y1061" s="32"/>
    </x:row>
    <x:row r="1062">
      <x:c r="A1062" s="87"/>
      <x:c r="B1062" s="88"/>
      <x:c r="D1062" s="32"/>
      <x:c r="G1062" s="74"/>
      <x:c r="H1062" s="74"/>
      <x:c r="I1062" s="74"/>
      <x:c r="J1062" s="74"/>
      <x:c r="K1062" s="74"/>
      <x:c r="L1062" s="74"/>
      <x:c r="M1062" s="91"/>
      <x:c r="N1062" s="91"/>
      <x:c r="O1062" s="85"/>
      <x:c r="P1062" s="85"/>
      <x:c r="Q1062" s="85"/>
      <x:c r="R1062" s="85"/>
      <x:c r="S1062" s="85"/>
      <x:c r="T1062" s="85"/>
      <x:c r="U1062" s="85"/>
      <x:c r="W1062" s="86"/>
      <x:c r="X1062" s="86"/>
      <x:c r="Y1062" s="32"/>
    </x:row>
    <x:row r="1063">
      <x:c r="A1063" s="87"/>
      <x:c r="B1063" s="88"/>
      <x:c r="D1063" s="32"/>
      <x:c r="G1063" s="74"/>
      <x:c r="H1063" s="74"/>
      <x:c r="I1063" s="74"/>
      <x:c r="J1063" s="74"/>
      <x:c r="K1063" s="74"/>
      <x:c r="L1063" s="74"/>
      <x:c r="M1063" s="91"/>
      <x:c r="N1063" s="91"/>
      <x:c r="O1063" s="85"/>
      <x:c r="P1063" s="85"/>
      <x:c r="Q1063" s="85"/>
      <x:c r="R1063" s="85"/>
      <x:c r="S1063" s="85"/>
      <x:c r="T1063" s="85"/>
      <x:c r="U1063" s="85"/>
      <x:c r="W1063" s="86"/>
      <x:c r="X1063" s="86"/>
      <x:c r="Y1063" s="32"/>
    </x:row>
    <x:row r="1064">
      <x:c r="A1064" s="87"/>
      <x:c r="B1064" s="88"/>
      <x:c r="D1064" s="32"/>
      <x:c r="G1064" s="74"/>
      <x:c r="H1064" s="74"/>
      <x:c r="I1064" s="74"/>
      <x:c r="J1064" s="74"/>
      <x:c r="K1064" s="74"/>
      <x:c r="L1064" s="74"/>
      <x:c r="M1064" s="91"/>
      <x:c r="N1064" s="91"/>
      <x:c r="O1064" s="85"/>
      <x:c r="P1064" s="85"/>
      <x:c r="Q1064" s="85"/>
      <x:c r="R1064" s="85"/>
      <x:c r="S1064" s="85"/>
      <x:c r="T1064" s="85"/>
      <x:c r="U1064" s="85"/>
      <x:c r="W1064" s="86"/>
      <x:c r="X1064" s="86"/>
      <x:c r="Y1064" s="32"/>
    </x:row>
    <x:row r="1065">
      <x:c r="A1065" s="87"/>
      <x:c r="B1065" s="88"/>
      <x:c r="D1065" s="32"/>
      <x:c r="G1065" s="74"/>
      <x:c r="H1065" s="74"/>
      <x:c r="I1065" s="74"/>
      <x:c r="J1065" s="74"/>
      <x:c r="K1065" s="74"/>
      <x:c r="L1065" s="74"/>
      <x:c r="M1065" s="91"/>
      <x:c r="N1065" s="91"/>
      <x:c r="O1065" s="85"/>
      <x:c r="P1065" s="85"/>
      <x:c r="Q1065" s="85"/>
      <x:c r="R1065" s="85"/>
      <x:c r="S1065" s="85"/>
      <x:c r="T1065" s="85"/>
      <x:c r="U1065" s="85"/>
      <x:c r="W1065" s="86"/>
      <x:c r="X1065" s="86"/>
      <x:c r="Y1065" s="32"/>
    </x:row>
    <x:row r="1066">
      <x:c r="A1066" s="87"/>
      <x:c r="B1066" s="88"/>
      <x:c r="D1066" s="32"/>
      <x:c r="G1066" s="74"/>
      <x:c r="H1066" s="74"/>
      <x:c r="I1066" s="74"/>
      <x:c r="J1066" s="74"/>
      <x:c r="K1066" s="74"/>
      <x:c r="L1066" s="74"/>
      <x:c r="M1066" s="91"/>
      <x:c r="N1066" s="91"/>
      <x:c r="O1066" s="85"/>
      <x:c r="P1066" s="85"/>
      <x:c r="Q1066" s="85"/>
      <x:c r="R1066" s="85"/>
      <x:c r="S1066" s="85"/>
      <x:c r="T1066" s="85"/>
      <x:c r="U1066" s="85"/>
      <x:c r="W1066" s="86"/>
      <x:c r="X1066" s="86"/>
      <x:c r="Y1066" s="32"/>
    </x:row>
    <x:row r="1067">
      <x:c r="A1067" s="87"/>
      <x:c r="B1067" s="88"/>
      <x:c r="D1067" s="32"/>
      <x:c r="G1067" s="74"/>
      <x:c r="H1067" s="74"/>
      <x:c r="I1067" s="74"/>
      <x:c r="J1067" s="74"/>
      <x:c r="K1067" s="74"/>
      <x:c r="L1067" s="74"/>
      <x:c r="M1067" s="91"/>
      <x:c r="N1067" s="91"/>
      <x:c r="O1067" s="85"/>
      <x:c r="P1067" s="85"/>
      <x:c r="Q1067" s="85"/>
      <x:c r="R1067" s="85"/>
      <x:c r="S1067" s="85"/>
      <x:c r="T1067" s="85"/>
      <x:c r="U1067" s="85"/>
      <x:c r="W1067" s="86"/>
      <x:c r="X1067" s="86"/>
      <x:c r="Y1067" s="32"/>
    </x:row>
    <x:row r="1068">
      <x:c r="A1068" s="87"/>
      <x:c r="B1068" s="88"/>
      <x:c r="D1068" s="32"/>
      <x:c r="G1068" s="74"/>
      <x:c r="H1068" s="74"/>
      <x:c r="I1068" s="74"/>
      <x:c r="J1068" s="74"/>
      <x:c r="K1068" s="74"/>
      <x:c r="L1068" s="74"/>
      <x:c r="M1068" s="91"/>
      <x:c r="N1068" s="91"/>
      <x:c r="O1068" s="85"/>
      <x:c r="P1068" s="85"/>
      <x:c r="Q1068" s="85"/>
      <x:c r="R1068" s="85"/>
      <x:c r="S1068" s="85"/>
      <x:c r="T1068" s="85"/>
      <x:c r="U1068" s="85"/>
      <x:c r="W1068" s="86"/>
      <x:c r="X1068" s="86"/>
      <x:c r="Y1068" s="32"/>
    </x:row>
    <x:row r="1069">
      <x:c r="A1069" s="87"/>
      <x:c r="B1069" s="88"/>
      <x:c r="D1069" s="32"/>
      <x:c r="G1069" s="74"/>
      <x:c r="H1069" s="74"/>
      <x:c r="I1069" s="74"/>
      <x:c r="J1069" s="74"/>
      <x:c r="K1069" s="74"/>
      <x:c r="L1069" s="74"/>
      <x:c r="M1069" s="91"/>
      <x:c r="N1069" s="91"/>
      <x:c r="O1069" s="85"/>
      <x:c r="P1069" s="85"/>
      <x:c r="Q1069" s="85"/>
      <x:c r="R1069" s="85"/>
      <x:c r="S1069" s="85"/>
      <x:c r="T1069" s="85"/>
      <x:c r="U1069" s="85"/>
      <x:c r="W1069" s="86"/>
      <x:c r="X1069" s="86"/>
      <x:c r="Y1069" s="32"/>
    </x:row>
    <x:row r="1070">
      <x:c r="A1070" s="87"/>
      <x:c r="B1070" s="88"/>
      <x:c r="D1070" s="32"/>
      <x:c r="G1070" s="74"/>
      <x:c r="H1070" s="74"/>
      <x:c r="I1070" s="74"/>
      <x:c r="J1070" s="74"/>
      <x:c r="K1070" s="74"/>
      <x:c r="L1070" s="74"/>
      <x:c r="M1070" s="91"/>
      <x:c r="N1070" s="91"/>
      <x:c r="O1070" s="85"/>
      <x:c r="P1070" s="85"/>
      <x:c r="Q1070" s="85"/>
      <x:c r="R1070" s="85"/>
      <x:c r="S1070" s="85"/>
      <x:c r="T1070" s="85"/>
      <x:c r="U1070" s="85"/>
      <x:c r="W1070" s="86"/>
      <x:c r="X1070" s="86"/>
      <x:c r="Y1070" s="32"/>
    </x:row>
    <x:row r="1071">
      <x:c r="A1071" s="87"/>
      <x:c r="B1071" s="88"/>
      <x:c r="D1071" s="32"/>
      <x:c r="G1071" s="74"/>
      <x:c r="H1071" s="74"/>
      <x:c r="I1071" s="74"/>
      <x:c r="J1071" s="74"/>
      <x:c r="K1071" s="74"/>
      <x:c r="L1071" s="74"/>
      <x:c r="M1071" s="91"/>
      <x:c r="N1071" s="91"/>
      <x:c r="O1071" s="85"/>
      <x:c r="P1071" s="85"/>
      <x:c r="Q1071" s="85"/>
      <x:c r="R1071" s="85"/>
      <x:c r="S1071" s="85"/>
      <x:c r="T1071" s="85"/>
      <x:c r="U1071" s="85"/>
      <x:c r="W1071" s="86"/>
      <x:c r="X1071" s="86"/>
      <x:c r="Y1071" s="32"/>
    </x:row>
    <x:row r="1072">
      <x:c r="A1072" s="87"/>
      <x:c r="B1072" s="88"/>
      <x:c r="D1072" s="32"/>
      <x:c r="G1072" s="74"/>
      <x:c r="H1072" s="74"/>
      <x:c r="I1072" s="74"/>
      <x:c r="J1072" s="74"/>
      <x:c r="K1072" s="74"/>
      <x:c r="L1072" s="74"/>
      <x:c r="M1072" s="91"/>
      <x:c r="N1072" s="91"/>
      <x:c r="O1072" s="85"/>
      <x:c r="P1072" s="85"/>
      <x:c r="Q1072" s="85"/>
      <x:c r="R1072" s="85"/>
      <x:c r="S1072" s="85"/>
      <x:c r="T1072" s="85"/>
      <x:c r="U1072" s="85"/>
      <x:c r="W1072" s="86"/>
      <x:c r="X1072" s="86"/>
      <x:c r="Y1072" s="32"/>
    </x:row>
    <x:row r="1073">
      <x:c r="A1073" s="87"/>
      <x:c r="B1073" s="88"/>
      <x:c r="D1073" s="32"/>
      <x:c r="G1073" s="74"/>
      <x:c r="H1073" s="74"/>
      <x:c r="I1073" s="74"/>
      <x:c r="J1073" s="74"/>
      <x:c r="K1073" s="74"/>
      <x:c r="L1073" s="74"/>
      <x:c r="M1073" s="91"/>
      <x:c r="N1073" s="91"/>
      <x:c r="O1073" s="85"/>
      <x:c r="P1073" s="85"/>
      <x:c r="Q1073" s="85"/>
      <x:c r="R1073" s="85"/>
      <x:c r="S1073" s="85"/>
      <x:c r="T1073" s="85"/>
      <x:c r="U1073" s="85"/>
      <x:c r="W1073" s="86"/>
      <x:c r="X1073" s="86"/>
      <x:c r="Y1073" s="32"/>
    </x:row>
    <x:row r="1074">
      <x:c r="A1074" s="87"/>
      <x:c r="B1074" s="88"/>
      <x:c r="D1074" s="32"/>
      <x:c r="G1074" s="74"/>
      <x:c r="H1074" s="74"/>
      <x:c r="I1074" s="74"/>
      <x:c r="J1074" s="74"/>
      <x:c r="K1074" s="74"/>
      <x:c r="L1074" s="74"/>
      <x:c r="M1074" s="91"/>
      <x:c r="N1074" s="91"/>
      <x:c r="O1074" s="85"/>
      <x:c r="P1074" s="85"/>
      <x:c r="Q1074" s="85"/>
      <x:c r="R1074" s="85"/>
      <x:c r="S1074" s="85"/>
      <x:c r="T1074" s="85"/>
      <x:c r="U1074" s="85"/>
      <x:c r="W1074" s="86"/>
      <x:c r="X1074" s="86"/>
      <x:c r="Y1074" s="32"/>
    </x:row>
    <x:row r="1075">
      <x:c r="A1075" s="87"/>
      <x:c r="B1075" s="88"/>
      <x:c r="D1075" s="32"/>
      <x:c r="G1075" s="74"/>
      <x:c r="H1075" s="74"/>
      <x:c r="I1075" s="74"/>
      <x:c r="J1075" s="74"/>
      <x:c r="K1075" s="74"/>
      <x:c r="L1075" s="74"/>
      <x:c r="M1075" s="91"/>
      <x:c r="N1075" s="91"/>
      <x:c r="O1075" s="85"/>
      <x:c r="P1075" s="85"/>
      <x:c r="Q1075" s="85"/>
      <x:c r="R1075" s="85"/>
      <x:c r="S1075" s="85"/>
      <x:c r="T1075" s="85"/>
      <x:c r="U1075" s="85"/>
      <x:c r="W1075" s="86"/>
      <x:c r="X1075" s="86"/>
      <x:c r="Y1075" s="32"/>
    </x:row>
    <x:row r="1076">
      <x:c r="A1076" s="87"/>
      <x:c r="B1076" s="88"/>
      <x:c r="D1076" s="32"/>
      <x:c r="G1076" s="74"/>
      <x:c r="H1076" s="74"/>
      <x:c r="I1076" s="74"/>
      <x:c r="J1076" s="74"/>
      <x:c r="K1076" s="74"/>
      <x:c r="L1076" s="74"/>
      <x:c r="M1076" s="91"/>
      <x:c r="N1076" s="91"/>
      <x:c r="O1076" s="85"/>
      <x:c r="P1076" s="85"/>
      <x:c r="Q1076" s="85"/>
      <x:c r="R1076" s="85"/>
      <x:c r="S1076" s="85"/>
      <x:c r="T1076" s="85"/>
      <x:c r="U1076" s="85"/>
      <x:c r="W1076" s="86"/>
      <x:c r="X1076" s="86"/>
      <x:c r="Y1076" s="32"/>
    </x:row>
    <x:row r="1077">
      <x:c r="A1077" s="87"/>
      <x:c r="B1077" s="88"/>
      <x:c r="D1077" s="32"/>
      <x:c r="G1077" s="74"/>
      <x:c r="H1077" s="74"/>
      <x:c r="I1077" s="74"/>
      <x:c r="J1077" s="74"/>
      <x:c r="K1077" s="74"/>
      <x:c r="L1077" s="74"/>
      <x:c r="M1077" s="91"/>
      <x:c r="N1077" s="91"/>
      <x:c r="O1077" s="85"/>
      <x:c r="P1077" s="85"/>
      <x:c r="Q1077" s="85"/>
      <x:c r="R1077" s="85"/>
      <x:c r="S1077" s="85"/>
      <x:c r="T1077" s="85"/>
      <x:c r="U1077" s="85"/>
      <x:c r="W1077" s="86"/>
      <x:c r="X1077" s="86"/>
      <x:c r="Y1077" s="32"/>
    </x:row>
    <x:row r="1078">
      <x:c r="A1078" s="87"/>
      <x:c r="B1078" s="88"/>
      <x:c r="D1078" s="32"/>
      <x:c r="G1078" s="74"/>
      <x:c r="H1078" s="74"/>
      <x:c r="I1078" s="74"/>
      <x:c r="J1078" s="74"/>
      <x:c r="K1078" s="74"/>
      <x:c r="L1078" s="74"/>
      <x:c r="M1078" s="91"/>
      <x:c r="N1078" s="91"/>
      <x:c r="O1078" s="85"/>
      <x:c r="P1078" s="85"/>
      <x:c r="Q1078" s="85"/>
      <x:c r="R1078" s="85"/>
      <x:c r="S1078" s="85"/>
      <x:c r="T1078" s="85"/>
      <x:c r="U1078" s="85"/>
      <x:c r="W1078" s="86"/>
      <x:c r="X1078" s="86"/>
      <x:c r="Y1078" s="32"/>
    </x:row>
    <x:row r="1079">
      <x:c r="A1079" s="87"/>
      <x:c r="B1079" s="88"/>
      <x:c r="D1079" s="32"/>
      <x:c r="G1079" s="74"/>
      <x:c r="H1079" s="74"/>
      <x:c r="I1079" s="74"/>
      <x:c r="J1079" s="74"/>
      <x:c r="K1079" s="74"/>
      <x:c r="L1079" s="74"/>
      <x:c r="M1079" s="91"/>
      <x:c r="N1079" s="91"/>
      <x:c r="O1079" s="85"/>
      <x:c r="P1079" s="85"/>
      <x:c r="Q1079" s="85"/>
      <x:c r="R1079" s="85"/>
      <x:c r="S1079" s="85"/>
      <x:c r="T1079" s="85"/>
      <x:c r="U1079" s="85"/>
      <x:c r="W1079" s="86"/>
      <x:c r="X1079" s="86"/>
      <x:c r="Y1079" s="32"/>
    </x:row>
    <x:row r="1080">
      <x:c r="A1080" s="87"/>
      <x:c r="B1080" s="88"/>
      <x:c r="D1080" s="32"/>
      <x:c r="G1080" s="74"/>
      <x:c r="H1080" s="74"/>
      <x:c r="I1080" s="74"/>
      <x:c r="J1080" s="74"/>
      <x:c r="K1080" s="74"/>
      <x:c r="L1080" s="74"/>
      <x:c r="M1080" s="91"/>
      <x:c r="N1080" s="91"/>
      <x:c r="O1080" s="85"/>
      <x:c r="P1080" s="85"/>
      <x:c r="Q1080" s="85"/>
      <x:c r="R1080" s="85"/>
      <x:c r="S1080" s="85"/>
      <x:c r="T1080" s="85"/>
      <x:c r="U1080" s="85"/>
      <x:c r="W1080" s="86"/>
      <x:c r="X1080" s="86"/>
      <x:c r="Y1080" s="32"/>
    </x:row>
    <x:row r="1081">
      <x:c r="A1081" s="87"/>
      <x:c r="B1081" s="88"/>
      <x:c r="D1081" s="32"/>
      <x:c r="G1081" s="74"/>
      <x:c r="H1081" s="74"/>
      <x:c r="I1081" s="74"/>
      <x:c r="J1081" s="74"/>
      <x:c r="K1081" s="74"/>
      <x:c r="L1081" s="74"/>
      <x:c r="M1081" s="91"/>
      <x:c r="N1081" s="91"/>
      <x:c r="O1081" s="85"/>
      <x:c r="P1081" s="85"/>
      <x:c r="Q1081" s="85"/>
      <x:c r="R1081" s="85"/>
      <x:c r="S1081" s="85"/>
      <x:c r="T1081" s="85"/>
      <x:c r="U1081" s="85"/>
      <x:c r="W1081" s="86"/>
      <x:c r="X1081" s="86"/>
      <x:c r="Y1081" s="32"/>
    </x:row>
    <x:row r="1082">
      <x:c r="A1082" s="87"/>
      <x:c r="B1082" s="88"/>
      <x:c r="D1082" s="32"/>
      <x:c r="G1082" s="74"/>
      <x:c r="H1082" s="74"/>
      <x:c r="I1082" s="74"/>
      <x:c r="J1082" s="74"/>
      <x:c r="K1082" s="74"/>
      <x:c r="L1082" s="74"/>
      <x:c r="M1082" s="91"/>
      <x:c r="N1082" s="91"/>
      <x:c r="O1082" s="85"/>
      <x:c r="P1082" s="85"/>
      <x:c r="Q1082" s="85"/>
      <x:c r="R1082" s="85"/>
      <x:c r="S1082" s="85"/>
      <x:c r="T1082" s="85"/>
      <x:c r="U1082" s="85"/>
      <x:c r="W1082" s="86"/>
      <x:c r="X1082" s="86"/>
      <x:c r="Y1082" s="32"/>
    </x:row>
    <x:row r="1083">
      <x:c r="A1083" s="87"/>
      <x:c r="B1083" s="88"/>
      <x:c r="D1083" s="32"/>
      <x:c r="G1083" s="74"/>
      <x:c r="H1083" s="74"/>
      <x:c r="I1083" s="74"/>
      <x:c r="J1083" s="74"/>
      <x:c r="K1083" s="74"/>
      <x:c r="L1083" s="74"/>
      <x:c r="M1083" s="91"/>
      <x:c r="N1083" s="91"/>
      <x:c r="O1083" s="85"/>
      <x:c r="P1083" s="85"/>
      <x:c r="Q1083" s="85"/>
      <x:c r="R1083" s="85"/>
      <x:c r="S1083" s="85"/>
      <x:c r="T1083" s="85"/>
      <x:c r="U1083" s="85"/>
      <x:c r="W1083" s="86"/>
      <x:c r="X1083" s="86"/>
      <x:c r="Y1083" s="32"/>
    </x:row>
    <x:row r="1084">
      <x:c r="A1084" s="87"/>
      <x:c r="B1084" s="88"/>
      <x:c r="D1084" s="32"/>
      <x:c r="G1084" s="74"/>
      <x:c r="H1084" s="74"/>
      <x:c r="I1084" s="74"/>
      <x:c r="J1084" s="74"/>
      <x:c r="K1084" s="74"/>
      <x:c r="L1084" s="74"/>
      <x:c r="M1084" s="91"/>
      <x:c r="N1084" s="91"/>
      <x:c r="O1084" s="85"/>
      <x:c r="P1084" s="85"/>
      <x:c r="Q1084" s="85"/>
      <x:c r="R1084" s="85"/>
      <x:c r="S1084" s="85"/>
      <x:c r="T1084" s="85"/>
      <x:c r="U1084" s="85"/>
      <x:c r="W1084" s="86"/>
      <x:c r="X1084" s="86"/>
      <x:c r="Y1084" s="32"/>
    </x:row>
    <x:row r="1085">
      <x:c r="A1085" s="87"/>
      <x:c r="B1085" s="88"/>
      <x:c r="D1085" s="32"/>
      <x:c r="G1085" s="74"/>
      <x:c r="H1085" s="74"/>
      <x:c r="I1085" s="74"/>
      <x:c r="J1085" s="74"/>
      <x:c r="K1085" s="74"/>
      <x:c r="L1085" s="74"/>
      <x:c r="M1085" s="91"/>
      <x:c r="N1085" s="91"/>
      <x:c r="O1085" s="85"/>
      <x:c r="P1085" s="85"/>
      <x:c r="Q1085" s="85"/>
      <x:c r="R1085" s="85"/>
      <x:c r="S1085" s="85"/>
      <x:c r="T1085" s="85"/>
      <x:c r="U1085" s="85"/>
      <x:c r="W1085" s="86"/>
      <x:c r="X1085" s="86"/>
      <x:c r="Y1085" s="32"/>
    </x:row>
    <x:row r="1086">
      <x:c r="A1086" s="87"/>
      <x:c r="B1086" s="88"/>
      <x:c r="D1086" s="32"/>
      <x:c r="G1086" s="74"/>
      <x:c r="H1086" s="74"/>
      <x:c r="I1086" s="74"/>
      <x:c r="J1086" s="74"/>
      <x:c r="K1086" s="74"/>
      <x:c r="L1086" s="74"/>
      <x:c r="M1086" s="91"/>
      <x:c r="N1086" s="91"/>
      <x:c r="O1086" s="85"/>
      <x:c r="P1086" s="85"/>
      <x:c r="Q1086" s="85"/>
      <x:c r="R1086" s="85"/>
      <x:c r="S1086" s="85"/>
      <x:c r="T1086" s="85"/>
      <x:c r="U1086" s="85"/>
      <x:c r="W1086" s="86"/>
      <x:c r="X1086" s="86"/>
      <x:c r="Y1086" s="32"/>
    </x:row>
    <x:row r="1087">
      <x:c r="A1087" s="87"/>
      <x:c r="B1087" s="88"/>
      <x:c r="D1087" s="32"/>
      <x:c r="G1087" s="74"/>
      <x:c r="H1087" s="74"/>
      <x:c r="I1087" s="74"/>
      <x:c r="J1087" s="74"/>
      <x:c r="K1087" s="74"/>
      <x:c r="L1087" s="74"/>
      <x:c r="M1087" s="91"/>
      <x:c r="N1087" s="91"/>
      <x:c r="O1087" s="85"/>
      <x:c r="P1087" s="85"/>
      <x:c r="Q1087" s="85"/>
      <x:c r="R1087" s="85"/>
      <x:c r="S1087" s="85"/>
      <x:c r="T1087" s="85"/>
      <x:c r="U1087" s="85"/>
      <x:c r="W1087" s="86"/>
      <x:c r="X1087" s="86"/>
      <x:c r="Y1087" s="32"/>
    </x:row>
    <x:row r="1088">
      <x:c r="A1088" s="87"/>
      <x:c r="B1088" s="88"/>
      <x:c r="D1088" s="32"/>
      <x:c r="G1088" s="74"/>
      <x:c r="H1088" s="74"/>
      <x:c r="I1088" s="74"/>
      <x:c r="J1088" s="74"/>
      <x:c r="K1088" s="74"/>
      <x:c r="L1088" s="74"/>
      <x:c r="M1088" s="91"/>
      <x:c r="N1088" s="91"/>
      <x:c r="O1088" s="85"/>
      <x:c r="P1088" s="85"/>
      <x:c r="Q1088" s="85"/>
      <x:c r="R1088" s="85"/>
      <x:c r="S1088" s="85"/>
      <x:c r="T1088" s="85"/>
      <x:c r="U1088" s="85"/>
      <x:c r="W1088" s="86"/>
      <x:c r="X1088" s="86"/>
      <x:c r="Y1088" s="32"/>
    </x:row>
    <x:row r="1089">
      <x:c r="A1089" s="87"/>
      <x:c r="B1089" s="88"/>
      <x:c r="D1089" s="32"/>
      <x:c r="G1089" s="74"/>
      <x:c r="H1089" s="74"/>
      <x:c r="I1089" s="74"/>
      <x:c r="J1089" s="74"/>
      <x:c r="K1089" s="74"/>
      <x:c r="L1089" s="74"/>
      <x:c r="M1089" s="91"/>
      <x:c r="N1089" s="91"/>
      <x:c r="O1089" s="85"/>
      <x:c r="P1089" s="85"/>
      <x:c r="Q1089" s="85"/>
      <x:c r="R1089" s="85"/>
      <x:c r="S1089" s="85"/>
      <x:c r="T1089" s="85"/>
      <x:c r="U1089" s="85"/>
      <x:c r="W1089" s="86"/>
      <x:c r="X1089" s="86"/>
      <x:c r="Y1089" s="32"/>
    </x:row>
    <x:row r="1090">
      <x:c r="A1090" s="87"/>
      <x:c r="B1090" s="88"/>
      <x:c r="D1090" s="32"/>
      <x:c r="G1090" s="74"/>
      <x:c r="H1090" s="74"/>
      <x:c r="I1090" s="74"/>
      <x:c r="J1090" s="74"/>
      <x:c r="K1090" s="74"/>
      <x:c r="L1090" s="74"/>
      <x:c r="M1090" s="91"/>
      <x:c r="N1090" s="91"/>
      <x:c r="O1090" s="85"/>
      <x:c r="P1090" s="85"/>
      <x:c r="Q1090" s="85"/>
      <x:c r="R1090" s="85"/>
      <x:c r="S1090" s="85"/>
      <x:c r="T1090" s="85"/>
      <x:c r="U1090" s="85"/>
      <x:c r="W1090" s="86"/>
      <x:c r="X1090" s="86"/>
      <x:c r="Y1090" s="32"/>
    </x:row>
    <x:row r="1091">
      <x:c r="A1091" s="87"/>
      <x:c r="B1091" s="88"/>
      <x:c r="D1091" s="32"/>
      <x:c r="G1091" s="74"/>
      <x:c r="H1091" s="74"/>
      <x:c r="I1091" s="74"/>
      <x:c r="J1091" s="74"/>
      <x:c r="K1091" s="74"/>
      <x:c r="L1091" s="74"/>
      <x:c r="M1091" s="91"/>
      <x:c r="N1091" s="91"/>
      <x:c r="O1091" s="85"/>
      <x:c r="P1091" s="85"/>
      <x:c r="Q1091" s="85"/>
      <x:c r="R1091" s="85"/>
      <x:c r="S1091" s="85"/>
      <x:c r="T1091" s="85"/>
      <x:c r="U1091" s="85"/>
      <x:c r="W1091" s="86"/>
      <x:c r="X1091" s="86"/>
      <x:c r="Y1091" s="32"/>
    </x:row>
    <x:row r="1092">
      <x:c r="A1092" s="87"/>
      <x:c r="B1092" s="88"/>
      <x:c r="D1092" s="32"/>
      <x:c r="G1092" s="74"/>
      <x:c r="H1092" s="74"/>
      <x:c r="I1092" s="74"/>
      <x:c r="J1092" s="74"/>
      <x:c r="K1092" s="74"/>
      <x:c r="L1092" s="74"/>
      <x:c r="M1092" s="91"/>
      <x:c r="N1092" s="91"/>
      <x:c r="O1092" s="85"/>
      <x:c r="P1092" s="85"/>
      <x:c r="Q1092" s="85"/>
      <x:c r="R1092" s="85"/>
      <x:c r="S1092" s="85"/>
      <x:c r="T1092" s="85"/>
      <x:c r="U1092" s="85"/>
      <x:c r="W1092" s="86"/>
      <x:c r="X1092" s="86"/>
      <x:c r="Y1092" s="32"/>
    </x:row>
    <x:row r="1093">
      <x:c r="A1093" s="87"/>
      <x:c r="B1093" s="88"/>
      <x:c r="D1093" s="32"/>
      <x:c r="G1093" s="74"/>
      <x:c r="H1093" s="74"/>
      <x:c r="I1093" s="74"/>
      <x:c r="J1093" s="74"/>
      <x:c r="K1093" s="74"/>
      <x:c r="L1093" s="74"/>
      <x:c r="M1093" s="91"/>
      <x:c r="N1093" s="91"/>
      <x:c r="O1093" s="85"/>
      <x:c r="P1093" s="85"/>
      <x:c r="Q1093" s="85"/>
      <x:c r="R1093" s="85"/>
      <x:c r="S1093" s="85"/>
      <x:c r="T1093" s="85"/>
      <x:c r="U1093" s="85"/>
      <x:c r="W1093" s="86"/>
      <x:c r="X1093" s="86"/>
      <x:c r="Y1093" s="32"/>
    </x:row>
    <x:row r="1094">
      <x:c r="A1094" s="87"/>
      <x:c r="B1094" s="88"/>
      <x:c r="D1094" s="32"/>
      <x:c r="G1094" s="74"/>
      <x:c r="H1094" s="74"/>
      <x:c r="I1094" s="74"/>
      <x:c r="J1094" s="74"/>
      <x:c r="K1094" s="74"/>
      <x:c r="L1094" s="74"/>
      <x:c r="M1094" s="91"/>
      <x:c r="N1094" s="91"/>
      <x:c r="O1094" s="85"/>
      <x:c r="P1094" s="85"/>
      <x:c r="Q1094" s="85"/>
      <x:c r="R1094" s="85"/>
      <x:c r="S1094" s="85"/>
      <x:c r="T1094" s="85"/>
      <x:c r="U1094" s="85"/>
      <x:c r="W1094" s="86"/>
      <x:c r="X1094" s="86"/>
      <x:c r="Y1094" s="32"/>
    </x:row>
    <x:row r="1095">
      <x:c r="A1095" s="87"/>
      <x:c r="B1095" s="88"/>
      <x:c r="D1095" s="32"/>
      <x:c r="G1095" s="74"/>
      <x:c r="H1095" s="74"/>
      <x:c r="I1095" s="74"/>
      <x:c r="J1095" s="74"/>
      <x:c r="K1095" s="74"/>
      <x:c r="L1095" s="74"/>
      <x:c r="M1095" s="91"/>
      <x:c r="N1095" s="91"/>
      <x:c r="O1095" s="85"/>
      <x:c r="P1095" s="85"/>
      <x:c r="Q1095" s="85"/>
      <x:c r="R1095" s="85"/>
      <x:c r="S1095" s="85"/>
      <x:c r="T1095" s="85"/>
      <x:c r="U1095" s="85"/>
      <x:c r="W1095" s="86"/>
      <x:c r="X1095" s="86"/>
      <x:c r="Y1095" s="32"/>
    </x:row>
    <x:row r="1096">
      <x:c r="A1096" s="87"/>
      <x:c r="B1096" s="88"/>
      <x:c r="D1096" s="32"/>
      <x:c r="G1096" s="74"/>
      <x:c r="H1096" s="74"/>
      <x:c r="I1096" s="74"/>
      <x:c r="J1096" s="74"/>
      <x:c r="K1096" s="74"/>
      <x:c r="L1096" s="74"/>
      <x:c r="M1096" s="91"/>
      <x:c r="N1096" s="91"/>
      <x:c r="O1096" s="85"/>
      <x:c r="P1096" s="85"/>
      <x:c r="Q1096" s="85"/>
      <x:c r="R1096" s="85"/>
      <x:c r="S1096" s="85"/>
      <x:c r="T1096" s="85"/>
      <x:c r="U1096" s="85"/>
      <x:c r="W1096" s="86"/>
      <x:c r="X1096" s="86"/>
      <x:c r="Y1096" s="32"/>
    </x:row>
    <x:row r="1097">
      <x:c r="A1097" s="87"/>
      <x:c r="B1097" s="88"/>
      <x:c r="D1097" s="32"/>
      <x:c r="G1097" s="74"/>
      <x:c r="H1097" s="74"/>
      <x:c r="I1097" s="74"/>
      <x:c r="J1097" s="74"/>
      <x:c r="K1097" s="74"/>
      <x:c r="L1097" s="74"/>
      <x:c r="M1097" s="91"/>
      <x:c r="N1097" s="91"/>
      <x:c r="O1097" s="85"/>
      <x:c r="P1097" s="85"/>
      <x:c r="Q1097" s="85"/>
      <x:c r="R1097" s="85"/>
      <x:c r="S1097" s="85"/>
      <x:c r="T1097" s="85"/>
      <x:c r="U1097" s="85"/>
      <x:c r="W1097" s="86"/>
      <x:c r="X1097" s="86"/>
      <x:c r="Y1097" s="32"/>
    </x:row>
    <x:row r="1098">
      <x:c r="A1098" s="87"/>
      <x:c r="B1098" s="88"/>
      <x:c r="D1098" s="32"/>
      <x:c r="G1098" s="74"/>
      <x:c r="H1098" s="74"/>
      <x:c r="I1098" s="74"/>
      <x:c r="J1098" s="74"/>
      <x:c r="K1098" s="74"/>
      <x:c r="L1098" s="74"/>
      <x:c r="M1098" s="91"/>
      <x:c r="N1098" s="91"/>
      <x:c r="O1098" s="85"/>
      <x:c r="P1098" s="85"/>
      <x:c r="Q1098" s="85"/>
      <x:c r="R1098" s="85"/>
      <x:c r="S1098" s="85"/>
      <x:c r="T1098" s="85"/>
      <x:c r="U1098" s="85"/>
      <x:c r="W1098" s="86"/>
      <x:c r="X1098" s="86"/>
      <x:c r="Y1098" s="32"/>
    </x:row>
    <x:row r="1099">
      <x:c r="A1099" s="87"/>
      <x:c r="B1099" s="88"/>
      <x:c r="D1099" s="32"/>
      <x:c r="G1099" s="74"/>
      <x:c r="H1099" s="74"/>
      <x:c r="I1099" s="74"/>
      <x:c r="J1099" s="74"/>
      <x:c r="K1099" s="74"/>
      <x:c r="L1099" s="74"/>
      <x:c r="M1099" s="91"/>
      <x:c r="N1099" s="91"/>
      <x:c r="O1099" s="85"/>
      <x:c r="P1099" s="85"/>
      <x:c r="Q1099" s="85"/>
      <x:c r="R1099" s="85"/>
      <x:c r="S1099" s="85"/>
      <x:c r="T1099" s="85"/>
      <x:c r="U1099" s="85"/>
      <x:c r="W1099" s="86"/>
      <x:c r="X1099" s="86"/>
      <x:c r="Y1099" s="32"/>
    </x:row>
    <x:row r="1100">
      <x:c r="A1100" s="87"/>
      <x:c r="B1100" s="88"/>
      <x:c r="D1100" s="32"/>
      <x:c r="G1100" s="74"/>
      <x:c r="H1100" s="74"/>
      <x:c r="I1100" s="74"/>
      <x:c r="J1100" s="74"/>
      <x:c r="K1100" s="74"/>
      <x:c r="L1100" s="74"/>
      <x:c r="M1100" s="91"/>
      <x:c r="N1100" s="91"/>
      <x:c r="O1100" s="85"/>
      <x:c r="P1100" s="85"/>
      <x:c r="Q1100" s="85"/>
      <x:c r="R1100" s="85"/>
      <x:c r="S1100" s="85"/>
      <x:c r="T1100" s="85"/>
      <x:c r="U1100" s="85"/>
      <x:c r="W1100" s="86"/>
      <x:c r="X1100" s="86"/>
      <x:c r="Y1100" s="32"/>
    </x:row>
    <x:row r="1101">
      <x:c r="A1101" s="87"/>
      <x:c r="B1101" s="88"/>
      <x:c r="D1101" s="32"/>
      <x:c r="G1101" s="74"/>
      <x:c r="H1101" s="74"/>
      <x:c r="I1101" s="74"/>
      <x:c r="J1101" s="74"/>
      <x:c r="K1101" s="74"/>
      <x:c r="L1101" s="74"/>
      <x:c r="M1101" s="91"/>
      <x:c r="N1101" s="91"/>
      <x:c r="O1101" s="85"/>
      <x:c r="P1101" s="85"/>
      <x:c r="Q1101" s="85"/>
      <x:c r="R1101" s="85"/>
      <x:c r="S1101" s="85"/>
      <x:c r="T1101" s="85"/>
      <x:c r="U1101" s="85"/>
      <x:c r="W1101" s="86"/>
      <x:c r="X1101" s="86"/>
      <x:c r="Y1101" s="32"/>
    </x:row>
    <x:row r="1102">
      <x:c r="A1102" s="87"/>
      <x:c r="B1102" s="88"/>
      <x:c r="D1102" s="32"/>
      <x:c r="G1102" s="74"/>
      <x:c r="H1102" s="74"/>
      <x:c r="I1102" s="74"/>
      <x:c r="J1102" s="74"/>
      <x:c r="K1102" s="74"/>
      <x:c r="L1102" s="74"/>
      <x:c r="M1102" s="91"/>
      <x:c r="N1102" s="91"/>
      <x:c r="O1102" s="85"/>
      <x:c r="P1102" s="85"/>
      <x:c r="Q1102" s="85"/>
      <x:c r="R1102" s="85"/>
      <x:c r="S1102" s="85"/>
      <x:c r="T1102" s="85"/>
      <x:c r="U1102" s="85"/>
      <x:c r="W1102" s="86"/>
      <x:c r="X1102" s="86"/>
      <x:c r="Y1102" s="32"/>
    </x:row>
    <x:row r="1103">
      <x:c r="A1103" s="87"/>
      <x:c r="B1103" s="88"/>
      <x:c r="D1103" s="32"/>
      <x:c r="G1103" s="74"/>
      <x:c r="H1103" s="74"/>
      <x:c r="I1103" s="74"/>
      <x:c r="J1103" s="74"/>
      <x:c r="K1103" s="74"/>
      <x:c r="L1103" s="74"/>
      <x:c r="M1103" s="91"/>
      <x:c r="N1103" s="91"/>
      <x:c r="O1103" s="85"/>
      <x:c r="P1103" s="85"/>
      <x:c r="Q1103" s="85"/>
      <x:c r="R1103" s="85"/>
      <x:c r="S1103" s="85"/>
      <x:c r="T1103" s="85"/>
      <x:c r="U1103" s="85"/>
      <x:c r="W1103" s="86"/>
      <x:c r="X1103" s="86"/>
      <x:c r="Y1103" s="32"/>
    </x:row>
    <x:row r="1104">
      <x:c r="A1104" s="87"/>
      <x:c r="B1104" s="88"/>
      <x:c r="D1104" s="32"/>
      <x:c r="G1104" s="74"/>
      <x:c r="H1104" s="74"/>
      <x:c r="I1104" s="74"/>
      <x:c r="J1104" s="74"/>
      <x:c r="K1104" s="74"/>
      <x:c r="L1104" s="74"/>
      <x:c r="M1104" s="91"/>
      <x:c r="N1104" s="91"/>
      <x:c r="O1104" s="85"/>
      <x:c r="P1104" s="85"/>
      <x:c r="Q1104" s="85"/>
      <x:c r="R1104" s="85"/>
      <x:c r="S1104" s="85"/>
      <x:c r="T1104" s="85"/>
      <x:c r="U1104" s="85"/>
      <x:c r="W1104" s="86"/>
      <x:c r="X1104" s="86"/>
      <x:c r="Y1104" s="32"/>
    </x:row>
    <x:row r="1105">
      <x:c r="A1105" s="87"/>
      <x:c r="B1105" s="88"/>
      <x:c r="D1105" s="32"/>
      <x:c r="G1105" s="74"/>
      <x:c r="H1105" s="74"/>
      <x:c r="I1105" s="74"/>
      <x:c r="J1105" s="74"/>
      <x:c r="K1105" s="74"/>
      <x:c r="L1105" s="74"/>
      <x:c r="M1105" s="91"/>
      <x:c r="N1105" s="91"/>
      <x:c r="O1105" s="85"/>
      <x:c r="P1105" s="85"/>
      <x:c r="Q1105" s="85"/>
      <x:c r="R1105" s="85"/>
      <x:c r="S1105" s="85"/>
      <x:c r="T1105" s="85"/>
      <x:c r="U1105" s="85"/>
      <x:c r="W1105" s="86"/>
      <x:c r="X1105" s="86"/>
      <x:c r="Y1105" s="32"/>
    </x:row>
    <x:row r="1106">
      <x:c r="A1106" s="87"/>
      <x:c r="B1106" s="88"/>
      <x:c r="D1106" s="32"/>
      <x:c r="G1106" s="74"/>
      <x:c r="H1106" s="74"/>
      <x:c r="I1106" s="74"/>
      <x:c r="J1106" s="74"/>
      <x:c r="K1106" s="74"/>
      <x:c r="L1106" s="74"/>
      <x:c r="M1106" s="91"/>
      <x:c r="N1106" s="91"/>
      <x:c r="O1106" s="85"/>
      <x:c r="P1106" s="85"/>
      <x:c r="Q1106" s="85"/>
      <x:c r="R1106" s="85"/>
      <x:c r="S1106" s="85"/>
      <x:c r="T1106" s="85"/>
      <x:c r="U1106" s="85"/>
      <x:c r="W1106" s="86"/>
      <x:c r="X1106" s="86"/>
      <x:c r="Y1106" s="32"/>
    </x:row>
    <x:row r="1107">
      <x:c r="A1107" s="87"/>
      <x:c r="B1107" s="88"/>
      <x:c r="D1107" s="32"/>
      <x:c r="G1107" s="74"/>
      <x:c r="H1107" s="74"/>
      <x:c r="I1107" s="74"/>
      <x:c r="J1107" s="74"/>
      <x:c r="K1107" s="74"/>
      <x:c r="L1107" s="74"/>
      <x:c r="M1107" s="91"/>
      <x:c r="N1107" s="91"/>
      <x:c r="O1107" s="85"/>
      <x:c r="P1107" s="85"/>
      <x:c r="Q1107" s="85"/>
      <x:c r="R1107" s="85"/>
      <x:c r="S1107" s="85"/>
      <x:c r="T1107" s="85"/>
      <x:c r="U1107" s="85"/>
      <x:c r="W1107" s="86"/>
      <x:c r="X1107" s="86"/>
      <x:c r="Y1107" s="32"/>
    </x:row>
    <x:row r="1108">
      <x:c r="A1108" s="87"/>
      <x:c r="B1108" s="88"/>
      <x:c r="D1108" s="32"/>
      <x:c r="G1108" s="74"/>
      <x:c r="H1108" s="74"/>
      <x:c r="I1108" s="74"/>
      <x:c r="J1108" s="74"/>
      <x:c r="K1108" s="74"/>
      <x:c r="L1108" s="74"/>
      <x:c r="M1108" s="91"/>
      <x:c r="N1108" s="91"/>
      <x:c r="O1108" s="85"/>
      <x:c r="P1108" s="85"/>
      <x:c r="Q1108" s="85"/>
      <x:c r="R1108" s="85"/>
      <x:c r="S1108" s="85"/>
      <x:c r="T1108" s="85"/>
      <x:c r="U1108" s="85"/>
      <x:c r="W1108" s="86"/>
      <x:c r="X1108" s="86"/>
      <x:c r="Y1108" s="32"/>
    </x:row>
    <x:row r="1109">
      <x:c r="A1109" s="87"/>
      <x:c r="B1109" s="88"/>
      <x:c r="D1109" s="32"/>
      <x:c r="G1109" s="74"/>
      <x:c r="H1109" s="74"/>
      <x:c r="I1109" s="74"/>
      <x:c r="J1109" s="74"/>
      <x:c r="K1109" s="74"/>
      <x:c r="L1109" s="74"/>
      <x:c r="M1109" s="91"/>
      <x:c r="N1109" s="91"/>
      <x:c r="O1109" s="85"/>
      <x:c r="P1109" s="85"/>
      <x:c r="Q1109" s="85"/>
      <x:c r="R1109" s="85"/>
      <x:c r="S1109" s="85"/>
      <x:c r="T1109" s="85"/>
      <x:c r="U1109" s="85"/>
      <x:c r="W1109" s="86"/>
      <x:c r="X1109" s="86"/>
      <x:c r="Y1109" s="32"/>
    </x:row>
    <x:row r="1110">
      <x:c r="A1110" s="87"/>
      <x:c r="B1110" s="88"/>
      <x:c r="D1110" s="32"/>
      <x:c r="G1110" s="74"/>
      <x:c r="H1110" s="74"/>
      <x:c r="I1110" s="74"/>
      <x:c r="J1110" s="74"/>
      <x:c r="K1110" s="74"/>
      <x:c r="L1110" s="74"/>
      <x:c r="M1110" s="91"/>
      <x:c r="N1110" s="91"/>
      <x:c r="O1110" s="85"/>
      <x:c r="P1110" s="85"/>
      <x:c r="Q1110" s="85"/>
      <x:c r="R1110" s="85"/>
      <x:c r="S1110" s="85"/>
      <x:c r="T1110" s="85"/>
      <x:c r="U1110" s="85"/>
      <x:c r="W1110" s="86"/>
      <x:c r="X1110" s="86"/>
      <x:c r="Y1110" s="32"/>
    </x:row>
    <x:row r="1111">
      <x:c r="A1111" s="87"/>
      <x:c r="B1111" s="88"/>
      <x:c r="D1111" s="32"/>
      <x:c r="G1111" s="74"/>
      <x:c r="H1111" s="74"/>
      <x:c r="I1111" s="74"/>
      <x:c r="J1111" s="74"/>
      <x:c r="K1111" s="74"/>
      <x:c r="L1111" s="74"/>
      <x:c r="M1111" s="91"/>
      <x:c r="N1111" s="91"/>
      <x:c r="O1111" s="85"/>
      <x:c r="P1111" s="85"/>
      <x:c r="Q1111" s="85"/>
      <x:c r="R1111" s="85"/>
      <x:c r="S1111" s="85"/>
      <x:c r="T1111" s="85"/>
      <x:c r="U1111" s="85"/>
      <x:c r="W1111" s="86"/>
      <x:c r="X1111" s="86"/>
      <x:c r="Y1111" s="32"/>
    </x:row>
    <x:row r="1112">
      <x:c r="A1112" s="87"/>
      <x:c r="B1112" s="88"/>
      <x:c r="D1112" s="32"/>
      <x:c r="G1112" s="74"/>
      <x:c r="H1112" s="74"/>
      <x:c r="I1112" s="74"/>
      <x:c r="J1112" s="74"/>
      <x:c r="K1112" s="74"/>
      <x:c r="L1112" s="74"/>
      <x:c r="M1112" s="91"/>
      <x:c r="N1112" s="91"/>
      <x:c r="O1112" s="85"/>
      <x:c r="P1112" s="85"/>
      <x:c r="Q1112" s="85"/>
      <x:c r="R1112" s="85"/>
      <x:c r="S1112" s="85"/>
      <x:c r="T1112" s="85"/>
      <x:c r="U1112" s="85"/>
      <x:c r="W1112" s="86"/>
      <x:c r="X1112" s="86"/>
      <x:c r="Y1112" s="32"/>
    </x:row>
    <x:row r="1113">
      <x:c r="A1113" s="87"/>
      <x:c r="B1113" s="88"/>
      <x:c r="D1113" s="32"/>
      <x:c r="G1113" s="74"/>
      <x:c r="H1113" s="74"/>
      <x:c r="I1113" s="74"/>
      <x:c r="J1113" s="74"/>
      <x:c r="K1113" s="74"/>
      <x:c r="L1113" s="74"/>
      <x:c r="M1113" s="91"/>
      <x:c r="N1113" s="91"/>
      <x:c r="O1113" s="85"/>
      <x:c r="P1113" s="85"/>
      <x:c r="Q1113" s="85"/>
      <x:c r="R1113" s="85"/>
      <x:c r="S1113" s="85"/>
      <x:c r="T1113" s="85"/>
      <x:c r="U1113" s="85"/>
      <x:c r="W1113" s="86"/>
      <x:c r="X1113" s="86"/>
      <x:c r="Y1113" s="32"/>
    </x:row>
    <x:row r="1114">
      <x:c r="A1114" s="87"/>
      <x:c r="B1114" s="88"/>
      <x:c r="D1114" s="32"/>
      <x:c r="G1114" s="74"/>
      <x:c r="H1114" s="74"/>
      <x:c r="I1114" s="74"/>
      <x:c r="J1114" s="74"/>
      <x:c r="K1114" s="74"/>
      <x:c r="L1114" s="74"/>
      <x:c r="M1114" s="91"/>
      <x:c r="N1114" s="91"/>
      <x:c r="O1114" s="85"/>
      <x:c r="P1114" s="85"/>
      <x:c r="Q1114" s="85"/>
      <x:c r="R1114" s="85"/>
      <x:c r="S1114" s="85"/>
      <x:c r="T1114" s="85"/>
      <x:c r="U1114" s="85"/>
      <x:c r="W1114" s="86"/>
      <x:c r="X1114" s="86"/>
      <x:c r="Y1114" s="32"/>
    </x:row>
    <x:row r="1115">
      <x:c r="A1115" s="87"/>
      <x:c r="B1115" s="88"/>
      <x:c r="D1115" s="32"/>
      <x:c r="G1115" s="74"/>
      <x:c r="H1115" s="74"/>
      <x:c r="I1115" s="74"/>
      <x:c r="J1115" s="74"/>
      <x:c r="K1115" s="74"/>
      <x:c r="L1115" s="74"/>
      <x:c r="M1115" s="91"/>
      <x:c r="N1115" s="91"/>
      <x:c r="O1115" s="85"/>
      <x:c r="P1115" s="85"/>
      <x:c r="Q1115" s="85"/>
      <x:c r="R1115" s="85"/>
      <x:c r="S1115" s="85"/>
      <x:c r="T1115" s="85"/>
      <x:c r="U1115" s="85"/>
      <x:c r="W1115" s="86"/>
      <x:c r="X1115" s="86"/>
      <x:c r="Y1115" s="32"/>
    </x:row>
    <x:row r="1116">
      <x:c r="A1116" s="87"/>
      <x:c r="B1116" s="88"/>
      <x:c r="D1116" s="32"/>
      <x:c r="G1116" s="74"/>
      <x:c r="H1116" s="74"/>
      <x:c r="I1116" s="74"/>
      <x:c r="J1116" s="74"/>
      <x:c r="K1116" s="74"/>
      <x:c r="L1116" s="74"/>
      <x:c r="M1116" s="91"/>
      <x:c r="N1116" s="91"/>
      <x:c r="O1116" s="85"/>
      <x:c r="P1116" s="85"/>
      <x:c r="Q1116" s="85"/>
      <x:c r="R1116" s="85"/>
      <x:c r="S1116" s="85"/>
      <x:c r="T1116" s="85"/>
      <x:c r="U1116" s="85"/>
      <x:c r="W1116" s="86"/>
      <x:c r="X1116" s="86"/>
      <x:c r="Y1116" s="32"/>
    </x:row>
    <x:row r="1117">
      <x:c r="A1117" s="87"/>
      <x:c r="B1117" s="88"/>
      <x:c r="D1117" s="32"/>
      <x:c r="G1117" s="74"/>
      <x:c r="H1117" s="74"/>
      <x:c r="I1117" s="74"/>
      <x:c r="J1117" s="74"/>
      <x:c r="K1117" s="74"/>
      <x:c r="L1117" s="74"/>
      <x:c r="M1117" s="91"/>
      <x:c r="N1117" s="91"/>
      <x:c r="O1117" s="85"/>
      <x:c r="P1117" s="85"/>
      <x:c r="Q1117" s="85"/>
      <x:c r="R1117" s="85"/>
      <x:c r="S1117" s="85"/>
      <x:c r="T1117" s="85"/>
      <x:c r="U1117" s="85"/>
      <x:c r="W1117" s="86"/>
      <x:c r="X1117" s="86"/>
      <x:c r="Y1117" s="32"/>
    </x:row>
    <x:row r="1118">
      <x:c r="A1118" s="87"/>
      <x:c r="B1118" s="88"/>
      <x:c r="D1118" s="32"/>
      <x:c r="G1118" s="74"/>
      <x:c r="H1118" s="74"/>
      <x:c r="I1118" s="74"/>
      <x:c r="J1118" s="74"/>
      <x:c r="K1118" s="74"/>
      <x:c r="L1118" s="74"/>
      <x:c r="M1118" s="91"/>
      <x:c r="N1118" s="91"/>
      <x:c r="O1118" s="85"/>
      <x:c r="P1118" s="85"/>
      <x:c r="Q1118" s="85"/>
      <x:c r="R1118" s="85"/>
      <x:c r="S1118" s="85"/>
      <x:c r="T1118" s="85"/>
      <x:c r="U1118" s="85"/>
      <x:c r="W1118" s="86"/>
      <x:c r="X1118" s="86"/>
      <x:c r="Y1118" s="32"/>
    </x:row>
    <x:row r="1119">
      <x:c r="A1119" s="87"/>
      <x:c r="B1119" s="88"/>
      <x:c r="D1119" s="32"/>
      <x:c r="G1119" s="74"/>
      <x:c r="H1119" s="74"/>
      <x:c r="I1119" s="74"/>
      <x:c r="J1119" s="74"/>
      <x:c r="K1119" s="74"/>
      <x:c r="L1119" s="74"/>
      <x:c r="M1119" s="91"/>
      <x:c r="N1119" s="91"/>
      <x:c r="O1119" s="85"/>
      <x:c r="P1119" s="85"/>
      <x:c r="Q1119" s="85"/>
      <x:c r="R1119" s="85"/>
      <x:c r="S1119" s="85"/>
      <x:c r="T1119" s="85"/>
      <x:c r="U1119" s="85"/>
      <x:c r="W1119" s="86"/>
      <x:c r="X1119" s="86"/>
      <x:c r="Y1119" s="32"/>
    </x:row>
    <x:row r="1120">
      <x:c r="A1120" s="87"/>
      <x:c r="B1120" s="88"/>
      <x:c r="D1120" s="32"/>
      <x:c r="G1120" s="74"/>
      <x:c r="H1120" s="74"/>
      <x:c r="I1120" s="74"/>
      <x:c r="J1120" s="74"/>
      <x:c r="K1120" s="74"/>
      <x:c r="L1120" s="74"/>
      <x:c r="M1120" s="91"/>
      <x:c r="N1120" s="91"/>
      <x:c r="O1120" s="85"/>
      <x:c r="P1120" s="85"/>
      <x:c r="Q1120" s="85"/>
      <x:c r="R1120" s="85"/>
      <x:c r="S1120" s="85"/>
      <x:c r="T1120" s="85"/>
      <x:c r="U1120" s="85"/>
      <x:c r="W1120" s="86"/>
      <x:c r="X1120" s="86"/>
      <x:c r="Y1120" s="32"/>
    </x:row>
    <x:row r="1121">
      <x:c r="A1121" s="87"/>
      <x:c r="B1121" s="88"/>
      <x:c r="D1121" s="32"/>
      <x:c r="G1121" s="74"/>
      <x:c r="H1121" s="74"/>
      <x:c r="I1121" s="74"/>
      <x:c r="J1121" s="74"/>
      <x:c r="K1121" s="74"/>
      <x:c r="L1121" s="74"/>
      <x:c r="M1121" s="91"/>
      <x:c r="N1121" s="91"/>
      <x:c r="O1121" s="85"/>
      <x:c r="P1121" s="85"/>
      <x:c r="Q1121" s="85"/>
      <x:c r="R1121" s="85"/>
      <x:c r="S1121" s="85"/>
      <x:c r="T1121" s="85"/>
      <x:c r="U1121" s="85"/>
      <x:c r="W1121" s="86"/>
      <x:c r="X1121" s="86"/>
      <x:c r="Y1121" s="32"/>
    </x:row>
    <x:row r="1122">
      <x:c r="A1122" s="87"/>
      <x:c r="B1122" s="88"/>
      <x:c r="D1122" s="32"/>
      <x:c r="G1122" s="74"/>
      <x:c r="H1122" s="74"/>
      <x:c r="I1122" s="74"/>
      <x:c r="J1122" s="74"/>
      <x:c r="K1122" s="74"/>
      <x:c r="L1122" s="74"/>
      <x:c r="M1122" s="91"/>
      <x:c r="N1122" s="91"/>
      <x:c r="O1122" s="85"/>
      <x:c r="P1122" s="85"/>
      <x:c r="Q1122" s="85"/>
      <x:c r="R1122" s="85"/>
      <x:c r="S1122" s="85"/>
      <x:c r="T1122" s="85"/>
      <x:c r="U1122" s="85"/>
      <x:c r="W1122" s="86"/>
      <x:c r="X1122" s="86"/>
      <x:c r="Y1122" s="32"/>
    </x:row>
    <x:row r="1123">
      <x:c r="A1123" s="87"/>
      <x:c r="B1123" s="88"/>
      <x:c r="D1123" s="32"/>
      <x:c r="G1123" s="74"/>
      <x:c r="H1123" s="74"/>
      <x:c r="I1123" s="74"/>
      <x:c r="J1123" s="74"/>
      <x:c r="K1123" s="74"/>
      <x:c r="L1123" s="74"/>
      <x:c r="M1123" s="91"/>
      <x:c r="N1123" s="91"/>
      <x:c r="O1123" s="85"/>
      <x:c r="P1123" s="85"/>
      <x:c r="Q1123" s="85"/>
      <x:c r="R1123" s="85"/>
      <x:c r="S1123" s="85"/>
      <x:c r="T1123" s="85"/>
      <x:c r="U1123" s="85"/>
      <x:c r="W1123" s="86"/>
      <x:c r="X1123" s="86"/>
      <x:c r="Y1123" s="32"/>
    </x:row>
    <x:row r="1124">
      <x:c r="A1124" s="87"/>
      <x:c r="B1124" s="88"/>
      <x:c r="D1124" s="32"/>
      <x:c r="G1124" s="74"/>
      <x:c r="H1124" s="74"/>
      <x:c r="I1124" s="74"/>
      <x:c r="J1124" s="74"/>
      <x:c r="K1124" s="74"/>
      <x:c r="L1124" s="74"/>
      <x:c r="M1124" s="91"/>
      <x:c r="N1124" s="91"/>
      <x:c r="O1124" s="85"/>
      <x:c r="P1124" s="85"/>
      <x:c r="Q1124" s="85"/>
      <x:c r="R1124" s="85"/>
      <x:c r="S1124" s="85"/>
      <x:c r="T1124" s="85"/>
      <x:c r="U1124" s="85"/>
      <x:c r="W1124" s="86"/>
      <x:c r="X1124" s="86"/>
      <x:c r="Y1124" s="32"/>
    </x:row>
    <x:row r="1125">
      <x:c r="A1125" s="87"/>
      <x:c r="B1125" s="88"/>
      <x:c r="D1125" s="32"/>
      <x:c r="G1125" s="74"/>
      <x:c r="H1125" s="74"/>
      <x:c r="I1125" s="74"/>
      <x:c r="J1125" s="74"/>
      <x:c r="K1125" s="74"/>
      <x:c r="L1125" s="74"/>
      <x:c r="M1125" s="91"/>
      <x:c r="N1125" s="91"/>
      <x:c r="O1125" s="85"/>
      <x:c r="P1125" s="85"/>
      <x:c r="Q1125" s="85"/>
      <x:c r="R1125" s="85"/>
      <x:c r="S1125" s="85"/>
      <x:c r="T1125" s="85"/>
      <x:c r="U1125" s="85"/>
      <x:c r="W1125" s="86"/>
      <x:c r="X1125" s="86"/>
      <x:c r="Y1125" s="32"/>
    </x:row>
    <x:row r="1126">
      <x:c r="A1126" s="87"/>
      <x:c r="B1126" s="88"/>
      <x:c r="D1126" s="32"/>
      <x:c r="G1126" s="74"/>
      <x:c r="H1126" s="74"/>
      <x:c r="I1126" s="74"/>
      <x:c r="J1126" s="74"/>
      <x:c r="K1126" s="74"/>
      <x:c r="L1126" s="74"/>
      <x:c r="M1126" s="91"/>
      <x:c r="N1126" s="91"/>
      <x:c r="O1126" s="85"/>
      <x:c r="P1126" s="85"/>
      <x:c r="Q1126" s="85"/>
      <x:c r="R1126" s="85"/>
      <x:c r="S1126" s="85"/>
      <x:c r="T1126" s="85"/>
      <x:c r="U1126" s="85"/>
      <x:c r="W1126" s="86"/>
      <x:c r="X1126" s="86"/>
      <x:c r="Y1126" s="32"/>
    </x:row>
    <x:row r="1127">
      <x:c r="A1127" s="87"/>
      <x:c r="B1127" s="88"/>
      <x:c r="D1127" s="32"/>
      <x:c r="G1127" s="74"/>
      <x:c r="H1127" s="74"/>
      <x:c r="I1127" s="74"/>
      <x:c r="J1127" s="74"/>
      <x:c r="K1127" s="74"/>
      <x:c r="L1127" s="74"/>
      <x:c r="M1127" s="91"/>
      <x:c r="N1127" s="91"/>
      <x:c r="O1127" s="85"/>
      <x:c r="P1127" s="85"/>
      <x:c r="Q1127" s="85"/>
      <x:c r="R1127" s="85"/>
      <x:c r="S1127" s="85"/>
      <x:c r="T1127" s="85"/>
      <x:c r="U1127" s="85"/>
      <x:c r="W1127" s="86"/>
      <x:c r="X1127" s="86"/>
      <x:c r="Y1127" s="32"/>
    </x:row>
    <x:row r="1128">
      <x:c r="A1128" s="87"/>
      <x:c r="B1128" s="88"/>
      <x:c r="D1128" s="32"/>
      <x:c r="G1128" s="74"/>
      <x:c r="H1128" s="74"/>
      <x:c r="I1128" s="74"/>
      <x:c r="J1128" s="74"/>
      <x:c r="K1128" s="74"/>
      <x:c r="L1128" s="74"/>
      <x:c r="M1128" s="91"/>
      <x:c r="N1128" s="91"/>
      <x:c r="O1128" s="85"/>
      <x:c r="P1128" s="85"/>
      <x:c r="Q1128" s="85"/>
      <x:c r="R1128" s="85"/>
      <x:c r="S1128" s="85"/>
      <x:c r="T1128" s="85"/>
      <x:c r="U1128" s="85"/>
      <x:c r="W1128" s="86"/>
      <x:c r="X1128" s="86"/>
      <x:c r="Y1128" s="32"/>
    </x:row>
    <x:row r="1129">
      <x:c r="A1129" s="87"/>
      <x:c r="B1129" s="88"/>
      <x:c r="D1129" s="32"/>
      <x:c r="G1129" s="74"/>
      <x:c r="H1129" s="74"/>
      <x:c r="I1129" s="74"/>
      <x:c r="J1129" s="74"/>
      <x:c r="K1129" s="74"/>
      <x:c r="L1129" s="74"/>
      <x:c r="M1129" s="91"/>
      <x:c r="N1129" s="91"/>
      <x:c r="O1129" s="85"/>
      <x:c r="P1129" s="85"/>
      <x:c r="Q1129" s="85"/>
      <x:c r="R1129" s="85"/>
      <x:c r="S1129" s="85"/>
      <x:c r="T1129" s="85"/>
      <x:c r="U1129" s="85"/>
      <x:c r="W1129" s="86"/>
      <x:c r="X1129" s="86"/>
      <x:c r="Y1129" s="32"/>
    </x:row>
    <x:row r="1130">
      <x:c r="A1130" s="87"/>
      <x:c r="B1130" s="88"/>
      <x:c r="D1130" s="32"/>
      <x:c r="G1130" s="74"/>
      <x:c r="H1130" s="74"/>
      <x:c r="I1130" s="74"/>
      <x:c r="J1130" s="74"/>
      <x:c r="K1130" s="74"/>
      <x:c r="L1130" s="74"/>
      <x:c r="M1130" s="91"/>
      <x:c r="N1130" s="91"/>
      <x:c r="O1130" s="85"/>
      <x:c r="P1130" s="85"/>
      <x:c r="Q1130" s="85"/>
      <x:c r="R1130" s="85"/>
      <x:c r="S1130" s="85"/>
      <x:c r="T1130" s="85"/>
      <x:c r="U1130" s="85"/>
      <x:c r="W1130" s="86"/>
      <x:c r="X1130" s="86"/>
      <x:c r="Y1130" s="32"/>
    </x:row>
    <x:row r="1131">
      <x:c r="A1131" s="87"/>
      <x:c r="B1131" s="88"/>
      <x:c r="D1131" s="32"/>
      <x:c r="G1131" s="74"/>
      <x:c r="H1131" s="74"/>
      <x:c r="I1131" s="74"/>
      <x:c r="J1131" s="74"/>
      <x:c r="K1131" s="74"/>
      <x:c r="L1131" s="74"/>
      <x:c r="M1131" s="91"/>
      <x:c r="N1131" s="91"/>
      <x:c r="O1131" s="85"/>
      <x:c r="P1131" s="85"/>
      <x:c r="Q1131" s="85"/>
      <x:c r="R1131" s="85"/>
      <x:c r="S1131" s="85"/>
      <x:c r="T1131" s="85"/>
      <x:c r="U1131" s="85"/>
      <x:c r="W1131" s="86"/>
      <x:c r="X1131" s="86"/>
      <x:c r="Y1131" s="32"/>
    </x:row>
    <x:row r="1132">
      <x:c r="A1132" s="87"/>
      <x:c r="B1132" s="88"/>
      <x:c r="D1132" s="32"/>
      <x:c r="G1132" s="74"/>
      <x:c r="H1132" s="74"/>
      <x:c r="I1132" s="74"/>
      <x:c r="J1132" s="74"/>
      <x:c r="K1132" s="74"/>
      <x:c r="L1132" s="74"/>
      <x:c r="M1132" s="91"/>
      <x:c r="N1132" s="91"/>
      <x:c r="O1132" s="85"/>
      <x:c r="P1132" s="85"/>
      <x:c r="Q1132" s="85"/>
      <x:c r="R1132" s="85"/>
      <x:c r="S1132" s="85"/>
      <x:c r="T1132" s="85"/>
      <x:c r="U1132" s="85"/>
      <x:c r="W1132" s="86"/>
      <x:c r="X1132" s="86"/>
      <x:c r="Y1132" s="32"/>
    </x:row>
    <x:row r="1133">
      <x:c r="A1133" s="87"/>
      <x:c r="B1133" s="88"/>
      <x:c r="D1133" s="32"/>
      <x:c r="G1133" s="74"/>
      <x:c r="H1133" s="74"/>
      <x:c r="I1133" s="74"/>
      <x:c r="J1133" s="74"/>
      <x:c r="K1133" s="74"/>
      <x:c r="L1133" s="74"/>
      <x:c r="M1133" s="91"/>
      <x:c r="N1133" s="91"/>
      <x:c r="O1133" s="85"/>
      <x:c r="P1133" s="85"/>
      <x:c r="Q1133" s="85"/>
      <x:c r="R1133" s="85"/>
      <x:c r="S1133" s="85"/>
      <x:c r="T1133" s="85"/>
      <x:c r="U1133" s="85"/>
      <x:c r="W1133" s="86"/>
      <x:c r="X1133" s="86"/>
      <x:c r="Y1133" s="32"/>
    </x:row>
    <x:row r="1134">
      <x:c r="A1134" s="87"/>
      <x:c r="B1134" s="88"/>
      <x:c r="D1134" s="32"/>
      <x:c r="G1134" s="74"/>
      <x:c r="H1134" s="74"/>
      <x:c r="I1134" s="74"/>
      <x:c r="J1134" s="74"/>
      <x:c r="K1134" s="74"/>
      <x:c r="L1134" s="74"/>
      <x:c r="M1134" s="91"/>
      <x:c r="N1134" s="91"/>
      <x:c r="O1134" s="85"/>
      <x:c r="P1134" s="85"/>
      <x:c r="Q1134" s="85"/>
      <x:c r="R1134" s="85"/>
      <x:c r="S1134" s="85"/>
      <x:c r="T1134" s="85"/>
      <x:c r="U1134" s="85"/>
      <x:c r="W1134" s="86"/>
      <x:c r="X1134" s="86"/>
      <x:c r="Y1134" s="32"/>
    </x:row>
    <x:row r="1135">
      <x:c r="A1135" s="87"/>
      <x:c r="B1135" s="88"/>
      <x:c r="D1135" s="32"/>
      <x:c r="G1135" s="74"/>
      <x:c r="H1135" s="74"/>
      <x:c r="I1135" s="74"/>
      <x:c r="J1135" s="74"/>
      <x:c r="K1135" s="74"/>
      <x:c r="L1135" s="74"/>
      <x:c r="M1135" s="91"/>
      <x:c r="N1135" s="91"/>
      <x:c r="O1135" s="85"/>
      <x:c r="P1135" s="85"/>
      <x:c r="Q1135" s="85"/>
      <x:c r="R1135" s="85"/>
      <x:c r="S1135" s="85"/>
      <x:c r="T1135" s="85"/>
      <x:c r="U1135" s="85"/>
      <x:c r="W1135" s="86"/>
      <x:c r="X1135" s="86"/>
      <x:c r="Y1135" s="32"/>
    </x:row>
    <x:row r="1136">
      <x:c r="A1136" s="87"/>
      <x:c r="B1136" s="88"/>
      <x:c r="D1136" s="32"/>
      <x:c r="G1136" s="74"/>
      <x:c r="H1136" s="74"/>
      <x:c r="I1136" s="74"/>
      <x:c r="J1136" s="74"/>
      <x:c r="K1136" s="74"/>
      <x:c r="L1136" s="74"/>
      <x:c r="M1136" s="91"/>
      <x:c r="N1136" s="91"/>
      <x:c r="O1136" s="85"/>
      <x:c r="P1136" s="85"/>
      <x:c r="Q1136" s="85"/>
      <x:c r="R1136" s="85"/>
      <x:c r="S1136" s="85"/>
      <x:c r="T1136" s="85"/>
      <x:c r="U1136" s="85"/>
      <x:c r="W1136" s="86"/>
      <x:c r="X1136" s="86"/>
      <x:c r="Y1136" s="32"/>
    </x:row>
    <x:row r="1137">
      <x:c r="A1137" s="87"/>
      <x:c r="B1137" s="88"/>
      <x:c r="D1137" s="32"/>
      <x:c r="G1137" s="74"/>
      <x:c r="H1137" s="74"/>
      <x:c r="I1137" s="74"/>
      <x:c r="J1137" s="74"/>
      <x:c r="K1137" s="74"/>
      <x:c r="L1137" s="74"/>
      <x:c r="M1137" s="91"/>
      <x:c r="N1137" s="91"/>
      <x:c r="O1137" s="85"/>
      <x:c r="P1137" s="85"/>
      <x:c r="Q1137" s="85"/>
      <x:c r="R1137" s="85"/>
      <x:c r="S1137" s="85"/>
      <x:c r="T1137" s="85"/>
      <x:c r="U1137" s="85"/>
      <x:c r="W1137" s="86"/>
      <x:c r="X1137" s="86"/>
      <x:c r="Y1137" s="32"/>
    </x:row>
    <x:row r="1138">
      <x:c r="A1138" s="87"/>
      <x:c r="B1138" s="88"/>
      <x:c r="D1138" s="32"/>
      <x:c r="G1138" s="74"/>
      <x:c r="H1138" s="74"/>
      <x:c r="I1138" s="74"/>
      <x:c r="J1138" s="74"/>
      <x:c r="K1138" s="74"/>
      <x:c r="L1138" s="74"/>
      <x:c r="M1138" s="91"/>
      <x:c r="N1138" s="91"/>
      <x:c r="O1138" s="85"/>
      <x:c r="P1138" s="85"/>
      <x:c r="Q1138" s="85"/>
      <x:c r="R1138" s="85"/>
      <x:c r="S1138" s="85"/>
      <x:c r="T1138" s="85"/>
      <x:c r="U1138" s="85"/>
      <x:c r="W1138" s="86"/>
      <x:c r="X1138" s="86"/>
      <x:c r="Y1138" s="32"/>
    </x:row>
    <x:row r="1139">
      <x:c r="A1139" s="87"/>
      <x:c r="B1139" s="88"/>
      <x:c r="D1139" s="32"/>
      <x:c r="G1139" s="74"/>
      <x:c r="H1139" s="74"/>
      <x:c r="I1139" s="74"/>
      <x:c r="J1139" s="74"/>
      <x:c r="K1139" s="74"/>
      <x:c r="L1139" s="74"/>
      <x:c r="M1139" s="91"/>
      <x:c r="N1139" s="91"/>
      <x:c r="O1139" s="85"/>
      <x:c r="P1139" s="85"/>
      <x:c r="Q1139" s="85"/>
      <x:c r="R1139" s="85"/>
      <x:c r="S1139" s="85"/>
      <x:c r="T1139" s="85"/>
      <x:c r="U1139" s="85"/>
      <x:c r="W1139" s="86"/>
      <x:c r="X1139" s="86"/>
      <x:c r="Y1139" s="32"/>
    </x:row>
    <x:row r="1140">
      <x:c r="A1140" s="87"/>
      <x:c r="B1140" s="88"/>
      <x:c r="D1140" s="32"/>
      <x:c r="G1140" s="74"/>
      <x:c r="H1140" s="74"/>
      <x:c r="I1140" s="74"/>
      <x:c r="J1140" s="74"/>
      <x:c r="K1140" s="74"/>
      <x:c r="L1140" s="74"/>
      <x:c r="M1140" s="91"/>
      <x:c r="N1140" s="91"/>
      <x:c r="O1140" s="85"/>
      <x:c r="P1140" s="85"/>
      <x:c r="Q1140" s="85"/>
      <x:c r="R1140" s="85"/>
      <x:c r="S1140" s="85"/>
      <x:c r="T1140" s="85"/>
      <x:c r="U1140" s="85"/>
      <x:c r="W1140" s="86"/>
      <x:c r="X1140" s="86"/>
      <x:c r="Y1140" s="32"/>
    </x:row>
    <x:row r="1141">
      <x:c r="A1141" s="87"/>
      <x:c r="B1141" s="88"/>
      <x:c r="D1141" s="32"/>
      <x:c r="G1141" s="74"/>
      <x:c r="H1141" s="74"/>
      <x:c r="I1141" s="74"/>
      <x:c r="J1141" s="74"/>
      <x:c r="K1141" s="74"/>
      <x:c r="L1141" s="74"/>
      <x:c r="M1141" s="91"/>
      <x:c r="N1141" s="91"/>
      <x:c r="O1141" s="85"/>
      <x:c r="P1141" s="85"/>
      <x:c r="Q1141" s="85"/>
      <x:c r="R1141" s="85"/>
      <x:c r="S1141" s="85"/>
      <x:c r="T1141" s="85"/>
      <x:c r="U1141" s="85"/>
      <x:c r="W1141" s="86"/>
      <x:c r="X1141" s="86"/>
      <x:c r="Y1141" s="32"/>
    </x:row>
    <x:row r="1142">
      <x:c r="A1142" s="87"/>
      <x:c r="B1142" s="88"/>
      <x:c r="D1142" s="32"/>
      <x:c r="G1142" s="74"/>
      <x:c r="H1142" s="74"/>
      <x:c r="I1142" s="74"/>
      <x:c r="J1142" s="74"/>
      <x:c r="K1142" s="74"/>
      <x:c r="L1142" s="74"/>
      <x:c r="M1142" s="91"/>
      <x:c r="N1142" s="91"/>
      <x:c r="O1142" s="85"/>
      <x:c r="P1142" s="85"/>
      <x:c r="Q1142" s="85"/>
      <x:c r="R1142" s="85"/>
      <x:c r="S1142" s="85"/>
      <x:c r="T1142" s="85"/>
      <x:c r="U1142" s="85"/>
      <x:c r="W1142" s="86"/>
      <x:c r="X1142" s="86"/>
      <x:c r="Y1142" s="32"/>
    </x:row>
    <x:row r="1143">
      <x:c r="A1143" s="87"/>
      <x:c r="B1143" s="88"/>
      <x:c r="D1143" s="32"/>
      <x:c r="G1143" s="74"/>
      <x:c r="H1143" s="74"/>
      <x:c r="I1143" s="74"/>
      <x:c r="J1143" s="74"/>
      <x:c r="K1143" s="74"/>
      <x:c r="L1143" s="74"/>
      <x:c r="M1143" s="91"/>
      <x:c r="N1143" s="91"/>
      <x:c r="O1143" s="85"/>
      <x:c r="P1143" s="85"/>
      <x:c r="Q1143" s="85"/>
      <x:c r="R1143" s="85"/>
      <x:c r="S1143" s="85"/>
      <x:c r="T1143" s="85"/>
      <x:c r="U1143" s="85"/>
      <x:c r="W1143" s="86"/>
      <x:c r="X1143" s="86"/>
      <x:c r="Y1143" s="32"/>
    </x:row>
    <x:row r="1144">
      <x:c r="A1144" s="87"/>
      <x:c r="B1144" s="88"/>
      <x:c r="D1144" s="32"/>
      <x:c r="G1144" s="74"/>
      <x:c r="H1144" s="74"/>
      <x:c r="I1144" s="74"/>
      <x:c r="J1144" s="74"/>
      <x:c r="K1144" s="74"/>
      <x:c r="L1144" s="74"/>
      <x:c r="M1144" s="91"/>
      <x:c r="N1144" s="91"/>
      <x:c r="O1144" s="85"/>
      <x:c r="P1144" s="85"/>
      <x:c r="Q1144" s="85"/>
      <x:c r="R1144" s="85"/>
      <x:c r="S1144" s="85"/>
      <x:c r="T1144" s="85"/>
      <x:c r="U1144" s="85"/>
      <x:c r="W1144" s="86"/>
      <x:c r="X1144" s="86"/>
      <x:c r="Y1144" s="32"/>
    </x:row>
    <x:row r="1145">
      <x:c r="A1145" s="87"/>
      <x:c r="B1145" s="88"/>
      <x:c r="D1145" s="32"/>
      <x:c r="G1145" s="74"/>
      <x:c r="H1145" s="74"/>
      <x:c r="I1145" s="74"/>
      <x:c r="J1145" s="74"/>
      <x:c r="K1145" s="74"/>
      <x:c r="L1145" s="74"/>
      <x:c r="M1145" s="91"/>
      <x:c r="N1145" s="91"/>
      <x:c r="O1145" s="85"/>
      <x:c r="P1145" s="85"/>
      <x:c r="Q1145" s="85"/>
      <x:c r="R1145" s="85"/>
      <x:c r="S1145" s="85"/>
      <x:c r="T1145" s="85"/>
      <x:c r="U1145" s="85"/>
      <x:c r="W1145" s="86"/>
      <x:c r="X1145" s="86"/>
      <x:c r="Y1145" s="32"/>
    </x:row>
    <x:row r="1146">
      <x:c r="A1146" s="87"/>
      <x:c r="B1146" s="88"/>
      <x:c r="D1146" s="32"/>
      <x:c r="G1146" s="74"/>
      <x:c r="H1146" s="74"/>
      <x:c r="I1146" s="74"/>
      <x:c r="J1146" s="74"/>
      <x:c r="K1146" s="74"/>
      <x:c r="L1146" s="74"/>
      <x:c r="M1146" s="91"/>
      <x:c r="N1146" s="91"/>
      <x:c r="O1146" s="85"/>
      <x:c r="P1146" s="85"/>
      <x:c r="Q1146" s="85"/>
      <x:c r="R1146" s="85"/>
      <x:c r="S1146" s="85"/>
      <x:c r="T1146" s="85"/>
      <x:c r="U1146" s="85"/>
      <x:c r="W1146" s="86"/>
      <x:c r="X1146" s="86"/>
      <x:c r="Y1146" s="32"/>
    </x:row>
    <x:row r="1147">
      <x:c r="A1147" s="87"/>
      <x:c r="B1147" s="88"/>
      <x:c r="D1147" s="32"/>
      <x:c r="G1147" s="74"/>
      <x:c r="H1147" s="74"/>
      <x:c r="I1147" s="74"/>
      <x:c r="J1147" s="74"/>
      <x:c r="K1147" s="74"/>
      <x:c r="L1147" s="74"/>
      <x:c r="M1147" s="91"/>
      <x:c r="N1147" s="91"/>
      <x:c r="O1147" s="85"/>
      <x:c r="P1147" s="85"/>
      <x:c r="Q1147" s="85"/>
      <x:c r="R1147" s="85"/>
      <x:c r="S1147" s="85"/>
      <x:c r="T1147" s="85"/>
      <x:c r="U1147" s="85"/>
      <x:c r="W1147" s="86"/>
      <x:c r="X1147" s="86"/>
      <x:c r="Y1147" s="32"/>
    </x:row>
    <x:row r="1148">
      <x:c r="A1148" s="87"/>
      <x:c r="B1148" s="88"/>
      <x:c r="D1148" s="32"/>
      <x:c r="G1148" s="74"/>
      <x:c r="H1148" s="74"/>
      <x:c r="I1148" s="74"/>
      <x:c r="J1148" s="74"/>
      <x:c r="K1148" s="74"/>
      <x:c r="L1148" s="74"/>
      <x:c r="M1148" s="91"/>
      <x:c r="N1148" s="91"/>
      <x:c r="O1148" s="85"/>
      <x:c r="P1148" s="85"/>
      <x:c r="Q1148" s="85"/>
      <x:c r="R1148" s="85"/>
      <x:c r="S1148" s="85"/>
      <x:c r="T1148" s="85"/>
      <x:c r="U1148" s="85"/>
      <x:c r="W1148" s="86"/>
      <x:c r="X1148" s="86"/>
      <x:c r="Y1148" s="32"/>
    </x:row>
    <x:row r="1149">
      <x:c r="A1149" s="87"/>
      <x:c r="B1149" s="88"/>
      <x:c r="D1149" s="32"/>
      <x:c r="G1149" s="74"/>
      <x:c r="H1149" s="74"/>
      <x:c r="I1149" s="74"/>
      <x:c r="J1149" s="74"/>
      <x:c r="K1149" s="74"/>
      <x:c r="L1149" s="74"/>
      <x:c r="M1149" s="91"/>
      <x:c r="N1149" s="91"/>
      <x:c r="O1149" s="85"/>
      <x:c r="P1149" s="85"/>
      <x:c r="Q1149" s="85"/>
      <x:c r="R1149" s="85"/>
      <x:c r="S1149" s="85"/>
      <x:c r="T1149" s="85"/>
      <x:c r="U1149" s="85"/>
      <x:c r="W1149" s="86"/>
      <x:c r="X1149" s="86"/>
      <x:c r="Y1149" s="32"/>
    </x:row>
  </x:sheetData>
  <x:mergeCells>
    <x:mergeCell ref="A2:B2"/>
    <x:mergeCell ref="A3:B3"/>
  </x:mergeCells>
  <x:conditionalFormatting sqref="C2:C30 D2:N4 O2:U169 V2:W4 B4:B4">
    <x:cfRule type="expression" dxfId="0" priority="1">
      <x:formula>$V2="Done"</x:formula>
    </x:cfRule>
  </x:conditionalFormatting>
  <x:conditionalFormatting sqref="C2:C30 D2:N4 O2:U169 V2:W4 B4:B4">
    <x:cfRule type="expression" dxfId="1" priority="2">
      <x:formula>AND(NOT($V2="Done"), OR(#REF!="Đã CK Anh", #REF!="Đã CK Em"))</x:formula>
    </x:cfRule>
  </x:conditionalFormatting>
  <x:conditionalFormatting sqref="M2:N4 O2:U169">
    <x:cfRule type="expression" dxfId="1" priority="3">
      <x:formula>AND(NOT(#REF!="Done"), OR(#REF!="Đã CK Anh", #REF!="Đã CK Em"))</x:formula>
    </x:cfRule>
  </x:conditionalFormatting>
  <x:conditionalFormatting sqref="M2:N4 O2:U169">
    <x:cfRule type="expression" dxfId="0" priority="4">
      <x:formula>#REF!="Done"</x:formula>
    </x:cfRule>
  </x:conditionalFormatting>
  <x:conditionalFormatting sqref="C2:C30 U4:U169 B5:B6 D5:N6 O5:T169 V5:W6">
    <x:cfRule type="expression" dxfId="0" priority="5">
      <x:formula>$V2="Done"</x:formula>
    </x:cfRule>
  </x:conditionalFormatting>
  <x:conditionalFormatting sqref="C2:C30 U4:U169 B5:B6 D5:N6 O5:T169 V5:W6">
    <x:cfRule type="expression" dxfId="1" priority="6">
      <x:formula>AND(NOT($V2="Done"), OR(#REF!="Đã CK Anh", #REF!="Đã CK Em"))</x:formula>
    </x:cfRule>
  </x:conditionalFormatting>
  <x:conditionalFormatting sqref="U4:U169 M5:N6 O5:T169">
    <x:cfRule type="expression" dxfId="1" priority="7">
      <x:formula>AND(NOT(#REF!="Done"), OR(#REF!="Đã CK Anh", #REF!="Đã CK Em"))</x:formula>
    </x:cfRule>
  </x:conditionalFormatting>
  <x:conditionalFormatting sqref="U4:U169 M5:N6 O5:T169">
    <x:cfRule type="expression" dxfId="0" priority="8">
      <x:formula>#REF!="Done"</x:formula>
    </x:cfRule>
  </x:conditionalFormatting>
  <x:conditionalFormatting sqref="M2:N4 O2:U169 M7:N169">
    <x:cfRule type="expression" dxfId="0" priority="9">
      <x:formula>$X2="Done"</x:formula>
    </x:cfRule>
  </x:conditionalFormatting>
  <x:conditionalFormatting sqref="M2:N4 O2:U169 M7:N169">
    <x:cfRule type="expression" dxfId="1" priority="10">
      <x:formula>AND(NOT($X2="Done"), OR($Y2="Đã CK Anh", $Y2="Đã CK Em"))</x:formula>
    </x:cfRule>
  </x:conditionalFormatting>
  <x:conditionalFormatting sqref="A84:A88 B84:W85 B88:B88 C88:C99 D88:D89 A90:A90 A92:A92 A94:A169 B111:D111 U151:U152">
    <x:cfRule type="expression" dxfId="1" priority="11">
      <x:formula>AND(NOT($V84="Done"), OR($X84="Đã CK Anh", $X84="Đã CK Em"))</x:formula>
    </x:cfRule>
  </x:conditionalFormatting>
  <x:conditionalFormatting sqref="A84:A88 B84:W85 B88:B88 C88:C99 D88:D89 A90:A90 A92:A92 A94:A169 B111:D111 U151:U152">
    <x:cfRule type="expression" dxfId="0" priority="12">
      <x:formula>$V84="Done"</x:formula>
    </x:cfRule>
  </x:conditionalFormatting>
  <x:conditionalFormatting sqref="A170:B171">
    <x:cfRule type="expression" dxfId="0" priority="13">
      <x:formula>$L170="Done"</x:formula>
    </x:cfRule>
  </x:conditionalFormatting>
  <x:conditionalFormatting sqref="A170:B171">
    <x:cfRule type="expression" dxfId="1" priority="14">
      <x:formula>AND(NOT($L170="Done"), OR($G170="Đã CK Anh", $G170="Đã CK Em"))</x:formula>
    </x:cfRule>
  </x:conditionalFormatting>
  <x:conditionalFormatting sqref="A2:A1149 B2:B4 C2:C83 D2:N4 O2:U1149 V2:W4 B7:B83 D7:L83 M7:N1149 V7:W83 B86:L1149 V86:W1149">
    <x:cfRule type="expression" dxfId="0" priority="15">
      <x:formula>$V2="Done"</x:formula>
    </x:cfRule>
  </x:conditionalFormatting>
  <x:conditionalFormatting sqref="A2:A1149 B2:B4 C2:C83 D2:N4 O2:U1149 V2:W4 B7:B83 D7:L83 M7:N1149 V7:W83 B86:L1149 V86:W1149">
    <x:cfRule type="expression" dxfId="1" priority="16">
      <x:formula>AND(NOT($V2="Done"), OR($X2="Đã CK Anh", $X2="Đã CK Em"))</x:formula>
    </x:cfRule>
  </x:conditionalFormatting>
  <x:conditionalFormatting sqref="X5:X6">
    <x:cfRule type="notContainsBlanks" dxfId="0" priority="17">
      <x:formula>LEN(TRIM(X5))&gt;0</x:formula>
    </x:cfRule>
  </x:conditionalFormatting>
  <x:dataValidations count="2">
    <x:dataValidation type="list" allowBlank="1" showErrorMessage="1" sqref="X4:X1149">
      <x:formula1>"Chưa CK,Đã CK Anh,Đã CK Em"</x:formula1>
    </x:dataValidation>
    <x:dataValidation type="list" allowBlank="1" showErrorMessage="1" sqref="W2:W1149">
      <x:formula1>"Đã tạo đơn,Đã gửi đơn,Done,Chưa lên đơn"</x:formula1>
    </x:dataValidation>
  </x:dataValidations>
  <x:hyperlinks>
    <x:hyperlink xmlns:r="http://schemas.openxmlformats.org/officeDocument/2006/relationships" ref="D4" r:id="R58214ac300f34740"/>
    <x:hyperlink xmlns:r="http://schemas.openxmlformats.org/officeDocument/2006/relationships" ref="D7" r:id="R2114ae4cc81c4269"/>
    <x:hyperlink xmlns:r="http://schemas.openxmlformats.org/officeDocument/2006/relationships" ref="D8" r:id="R4c76e438c2df4992"/>
    <x:hyperlink xmlns:r="http://schemas.openxmlformats.org/officeDocument/2006/relationships" ref="D9" r:id="Rcf4fcacb3cf546cf"/>
    <x:hyperlink xmlns:r="http://schemas.openxmlformats.org/officeDocument/2006/relationships" ref="D10" r:id="R6c697f0e999d4c4a"/>
    <x:hyperlink xmlns:r="http://schemas.openxmlformats.org/officeDocument/2006/relationships" ref="D11" r:id="R681356cd5f774645"/>
    <x:hyperlink xmlns:r="http://schemas.openxmlformats.org/officeDocument/2006/relationships" ref="D12" r:id="Rcaf093cd88eb4a8b"/>
    <x:hyperlink xmlns:r="http://schemas.openxmlformats.org/officeDocument/2006/relationships" ref="D13" r:id="R823c70b0cb7d4689"/>
    <x:hyperlink xmlns:r="http://schemas.openxmlformats.org/officeDocument/2006/relationships" ref="D15" r:id="Rda3c652620e3496e"/>
    <x:hyperlink xmlns:r="http://schemas.openxmlformats.org/officeDocument/2006/relationships" ref="D16" r:id="R10647506cede42be"/>
    <x:hyperlink xmlns:r="http://schemas.openxmlformats.org/officeDocument/2006/relationships" ref="D17" r:id="Rf9f32d1c51314bf9"/>
    <x:hyperlink xmlns:r="http://schemas.openxmlformats.org/officeDocument/2006/relationships" ref="D18" r:id="R15ff2cebb313419e"/>
    <x:hyperlink xmlns:r="http://schemas.openxmlformats.org/officeDocument/2006/relationships" ref="D20" r:id="Rd1d511f38bde4df7"/>
    <x:hyperlink xmlns:r="http://schemas.openxmlformats.org/officeDocument/2006/relationships" ref="D23" r:id="Rfcf566a379bb40f2"/>
    <x:hyperlink xmlns:r="http://schemas.openxmlformats.org/officeDocument/2006/relationships" ref="D24" r:id="R4781960f9e664086"/>
    <x:hyperlink xmlns:r="http://schemas.openxmlformats.org/officeDocument/2006/relationships" ref="D25" r:id="Re270e348c4db467f"/>
    <x:hyperlink xmlns:r="http://schemas.openxmlformats.org/officeDocument/2006/relationships" ref="D26" r:id="Rb48b816078d6407b"/>
    <x:hyperlink xmlns:r="http://schemas.openxmlformats.org/officeDocument/2006/relationships" ref="D27" r:id="R6a03ce7f6b54470d"/>
    <x:hyperlink xmlns:r="http://schemas.openxmlformats.org/officeDocument/2006/relationships" ref="D28" r:id="R3133fe86831645e7"/>
    <x:hyperlink xmlns:r="http://schemas.openxmlformats.org/officeDocument/2006/relationships" ref="D29" r:id="R16addb01243d42b7"/>
    <x:hyperlink xmlns:r="http://schemas.openxmlformats.org/officeDocument/2006/relationships" ref="D31" r:id="R65bae0de4b7b474a"/>
    <x:hyperlink xmlns:r="http://schemas.openxmlformats.org/officeDocument/2006/relationships" ref="D32" r:id="R5b0a33937d4046c5"/>
    <x:hyperlink xmlns:r="http://schemas.openxmlformats.org/officeDocument/2006/relationships" ref="D33" r:id="R6d85a09523984881"/>
    <x:hyperlink xmlns:r="http://schemas.openxmlformats.org/officeDocument/2006/relationships" ref="D35" r:id="R4c613dee63dd45ac"/>
    <x:hyperlink xmlns:r="http://schemas.openxmlformats.org/officeDocument/2006/relationships" ref="D36" r:id="Reeb80d80fcb14e6b"/>
    <x:hyperlink xmlns:r="http://schemas.openxmlformats.org/officeDocument/2006/relationships" ref="D37" r:id="Ra0bc0c8ebd884d91"/>
    <x:hyperlink xmlns:r="http://schemas.openxmlformats.org/officeDocument/2006/relationships" ref="D38" r:id="Re46bd1650a4b4081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5" width="12.380000114440918" customWidth="1"/>
    <x:col min="6" max="6" width="14.5" customWidth="1"/>
    <x:col min="7" max="7" width="12.380000114440918" customWidth="1"/>
    <x:col min="8" max="8" width="12.380000114440918" hidden="1" customWidth="1"/>
    <x:col min="9" max="9" width="12.380000114440918" customWidth="1"/>
    <x:col min="10" max="10" width="12.380000114440918" hidden="1" customWidth="1"/>
    <x:col min="11" max="11" width="14.880000114440918" customWidth="1"/>
    <x:col min="12" max="12" width="14.630000114440918" customWidth="1"/>
    <x:col min="19" max="19" width="9.880000114440918" customWidth="1"/>
    <x:col min="20" max="20" width="15.75" customWidth="1"/>
    <x:col min="21" max="21" width="18.5" customWidth="1"/>
  </x:cols>
  <x:sheetData>
    <x:row r="1" ht="21" customHeight="1">
      <x:c r="A1" s="1" t="s">
        <x:v>0</x:v>
      </x:c>
      <x:c r="B1" s="2" t="s">
        <x:v>1</x:v>
      </x:c>
      <x:c r="C1" s="1" t="s">
        <x:v>2</x:v>
      </x:c>
      <x:c r="D1" s="3" t="s">
        <x:v>3</x:v>
      </x:c>
      <x:c r="E1" s="1" t="s">
        <x:v>6</x:v>
      </x:c>
      <x:c r="F1" s="1" t="s">
        <x:v>7</x:v>
      </x:c>
      <x:c r="G1" s="4" t="s">
        <x:v>8</x:v>
      </x:c>
      <x:c r="H1" s="4" t="s">
        <x:v>9</x:v>
      </x:c>
      <x:c r="I1" s="4" t="s">
        <x:v>10</x:v>
      </x:c>
      <x:c r="J1" s="4" t="s">
        <x:v>11</x:v>
      </x:c>
      <x:c r="K1" s="4" t="s">
        <x:v>12</x:v>
      </x:c>
      <x:c r="L1" s="4" t="s">
        <x:v>13</x:v>
      </x:c>
      <x:c r="M1" s="1" t="s">
        <x:v>14</x:v>
      </x:c>
      <x:c r="N1" s="1" t="s">
        <x:v>15</x:v>
      </x:c>
      <x:c r="O1" s="5" t="s">
        <x:v>11</x:v>
      </x:c>
      <x:c r="P1" s="5" t="s">
        <x:v>16</x:v>
      </x:c>
      <x:c r="Q1" s="5" t="s">
        <x:v>17</x:v>
      </x:c>
      <x:c r="R1" s="5" t="s">
        <x:v>21</x:v>
      </x:c>
      <x:c r="S1" s="1" t="s">
        <x:v>22</x:v>
      </x:c>
      <x:c r="T1" s="1" t="s">
        <x:v>23</x:v>
      </x:c>
      <x:c r="U1" s="1" t="s">
        <x:v>24</x:v>
      </x:c>
      <x:c r="V1" s="6" t="s">
        <x:v>25</x:v>
      </x:c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</x:row>
    <x:row r="2" ht="18.75" customHeight="1">
      <x:c r="A2" s="8" t="s">
        <x:v>26</x:v>
      </x:c>
      <x:c r="B2" s="9"/>
      <x:c r="C2" s="10"/>
      <x:c r="D2" s="11"/>
      <x:c r="E2" s="12">
        <x:v>285000.0</x:v>
      </x:c>
      <x:c r="F2" s="12">
        <x:v>265000.0</x:v>
      </x:c>
      <x:c r="G2" s="12">
        <x:v>510000.0</x:v>
      </x:c>
      <x:c r="H2" s="12">
        <x:v>425000.0</x:v>
      </x:c>
      <x:c r="I2" s="12">
        <x:v>370000.0</x:v>
      </x:c>
      <x:c r="J2" s="12">
        <x:v>615000.0</x:v>
      </x:c>
      <x:c r="K2" s="12">
        <x:v>245000.0</x:v>
      </x:c>
      <x:c r="L2" s="12">
        <x:v>245000.0</x:v>
      </x:c>
      <x:c r="M2" s="12">
        <x:v>400000.0</x:v>
      </x:c>
      <x:c r="N2" s="12">
        <x:v>300000.0</x:v>
      </x:c>
      <x:c r="O2" s="13">
        <x:v>630000.0</x:v>
      </x:c>
      <x:c r="P2" s="13">
        <x:v>270000.0</x:v>
      </x:c>
      <x:c r="Q2" s="13">
        <x:v>250000.0</x:v>
      </x:c>
      <x:c r="R2" s="14"/>
      <x:c r="S2" s="15"/>
      <x:c r="T2" s="15"/>
      <x:c r="U2" s="15"/>
      <x:c r="V2" s="16"/>
      <x:c r="W2" s="17"/>
      <x:c r="X2" s="17"/>
      <x:c r="Y2" s="17"/>
      <x:c r="Z2" s="17"/>
      <x:c r="AA2" s="16"/>
      <x:c r="AB2" s="16"/>
      <x:c r="AC2" s="16"/>
      <x:c r="AD2" s="16"/>
      <x:c r="AE2" s="16"/>
      <x:c r="AF2" s="16"/>
      <x:c r="AG2" s="16"/>
      <x:c r="AH2" s="16"/>
      <x:c r="AI2" s="16"/>
      <x:c r="AJ2" s="16"/>
      <x:c r="AK2" s="16"/>
    </x:row>
    <x:row r="3" ht="18.75" customHeight="1">
      <x:c r="A3" s="8" t="s">
        <x:v>27</x:v>
      </x:c>
      <x:c r="B3" s="9"/>
      <x:c r="C3" s="10"/>
      <x:c r="D3" s="11"/>
      <x:c r="E3" s="15" t="n">
        <x:f t="shared" ref="E3:Q3" si="1">E170</x:f>
        <x:v>8</x:v>
      </x:c>
      <x:c r="F3" s="12">
        <x:f t="shared" si="1"/>
        <x:v>22</x:v>
      </x:c>
      <x:c r="G3" s="12">
        <x:f t="shared" si="1"/>
        <x:v>14</x:v>
      </x:c>
      <x:c r="H3" s="12">
        <x:f t="shared" si="1"/>
        <x:v>0</x:v>
      </x:c>
      <x:c r="I3" s="12">
        <x:f t="shared" si="1"/>
        <x:v>7</x:v>
      </x:c>
      <x:c r="J3" s="18">
        <x:f t="shared" si="1"/>
        <x:v>0</x:v>
      </x:c>
      <x:c r="K3" s="12">
        <x:f t="shared" si="1"/>
        <x:v>68</x:v>
      </x:c>
      <x:c r="L3" s="18">
        <x:f t="shared" si="1"/>
        <x:v>6</x:v>
      </x:c>
      <x:c r="M3" s="12">
        <x:f t="shared" si="1"/>
        <x:v>6</x:v>
      </x:c>
      <x:c r="N3" s="12">
        <x:f t="shared" si="1"/>
        <x:v>4</x:v>
      </x:c>
      <x:c r="O3" s="12">
        <x:f t="shared" si="1"/>
        <x:v>6</x:v>
      </x:c>
      <x:c r="P3" s="12">
        <x:f t="shared" si="1"/>
        <x:v>8</x:v>
      </x:c>
      <x:c r="Q3" s="12">
        <x:f t="shared" si="1"/>
        <x:v>5</x:v>
      </x:c>
      <x:c r="R3" s="14"/>
      <x:c r="S3" s="15"/>
      <x:c r="T3" s="15"/>
      <x:c r="U3" s="15"/>
      <x:c r="V3" s="16"/>
      <x:c r="W3" s="17"/>
      <x:c r="X3" s="17"/>
      <x:c r="Y3" s="17"/>
      <x:c r="Z3" s="17"/>
      <x:c r="AA3" s="16"/>
      <x:c r="AB3" s="16"/>
      <x:c r="AC3" s="16"/>
      <x:c r="AD3" s="16"/>
      <x:c r="AE3" s="16"/>
      <x:c r="AF3" s="16"/>
      <x:c r="AG3" s="16"/>
      <x:c r="AH3" s="16"/>
      <x:c r="AI3" s="16"/>
      <x:c r="AJ3" s="16"/>
      <x:c r="AK3" s="16"/>
    </x:row>
    <x:row r="4" ht="18.75" customHeight="1">
      <x:c r="A4" s="19">
        <x:v>1.0</x:v>
      </x:c>
      <x:c r="B4" s="20" t="s">
        <x:v>134</x:v>
      </x:c>
      <x:c r="C4" s="21"/>
      <x:c r="D4" s="22" t="s">
        <x:v>135</x:v>
      </x:c>
      <x:c r="E4" s="23"/>
      <x:c r="F4" s="24">
        <x:v>2.0</x:v>
      </x:c>
      <x:c r="G4" s="24"/>
      <x:c r="H4" s="24"/>
      <x:c r="I4" s="24"/>
      <x:c r="J4" s="24"/>
      <x:c r="K4" s="24">
        <x:v>1.0</x:v>
      </x:c>
      <x:c r="L4" s="24"/>
      <x:c r="M4" s="24"/>
      <x:c r="N4" s="25"/>
      <x:c r="O4" s="25"/>
      <x:c r="P4" s="25"/>
      <x:c r="Q4" s="25"/>
      <x:c r="R4" s="26" t="n">
        <x:f>(E4*$E$2+F4*$F$2+G4*$G$2+H4*$H$2+I4*$I$2+J4*$J$2+K4*$K$2+L4*$L$2+M4*$M$2+N4*$N$2) - 10000</x:f>
        <x:v>765000</x:v>
      </x:c>
      <x:c r="S4" s="23" t="s">
        <x:v>37</x:v>
      </x:c>
      <x:c r="T4" s="23"/>
      <x:c r="U4" s="27" t="s">
        <x:v>31</x:v>
      </x:c>
      <x:c r="W4" s="28" t="s">
        <x:v>34</x:v>
      </x:c>
      <x:c r="X4" s="28" t="s">
        <x:v>31</x:v>
      </x:c>
      <x:c r="Y4" s="28" t="s">
        <x:v>54</x:v>
      </x:c>
      <x:c r="Z4" s="28" t="s">
        <x:v>55</x:v>
      </x:c>
    </x:row>
    <x:row r="5">
      <x:c r="A5" s="19">
        <x:v>2.0</x:v>
      </x:c>
      <x:c r="B5" s="30" t="s">
        <x:v>136</x:v>
      </x:c>
      <x:c r="C5" s="21"/>
      <x:c r="D5" s="22" t="s">
        <x:v>137</x:v>
      </x:c>
      <x:c r="E5" s="23"/>
      <x:c r="F5" s="24"/>
      <x:c r="G5" s="24"/>
      <x:c r="H5" s="24"/>
      <x:c r="I5" s="24"/>
      <x:c r="J5" s="24"/>
      <x:c r="K5" s="24">
        <x:v>1.0</x:v>
      </x:c>
      <x:c r="L5" s="24"/>
      <x:c r="M5" s="25"/>
      <x:c r="N5" s="25"/>
      <x:c r="O5" s="25"/>
      <x:c r="P5" s="25"/>
      <x:c r="Q5" s="25"/>
      <x:c r="R5" s="26" t="n">
        <x:f t="shared" ref="R5:R7" si="2">(E5*$E$2+F5*$F$2+G5*$G$2+H5*$H$2+I5*$I$2+J5*$J$2+K5*$K$2+L5*$L$2+M5*$M$2+N5*$N$2)</x:f>
        <x:v>245000</x:v>
      </x:c>
      <x:c r="S5" s="23" t="s">
        <x:v>37</x:v>
      </x:c>
      <x:c r="T5" s="23"/>
      <x:c r="U5" s="23" t="s">
        <x:v>31</x:v>
      </x:c>
      <x:c r="W5" s="31" t="n">
        <x:f>SUMIF(U4:U1118, "Đã CK Anh", R4:R1118)</x:f>
        <x:v>2650000</x:v>
      </x:c>
      <x:c r="X5" s="31" t="n">
        <x:f>SUMIF(U4:U1118, "Đã CK Em", R4:R1118)</x:f>
        <x:v>43545000</x:v>
      </x:c>
      <x:c r="Y5" s="31" t="n">
        <x:f>W5+X5</x:f>
        <x:v>46195000</x:v>
      </x:c>
      <x:c r="Z5" s="31" t="n">
        <x:f>SUMIF(U4:U1118, "Chưa CK", R4:R1118)</x:f>
        <x:v>0</x:v>
      </x:c>
    </x:row>
    <x:row r="6" ht="18.75" customHeight="1">
      <x:c r="A6" s="19">
        <x:v>3.0</x:v>
      </x:c>
      <x:c r="B6" s="20" t="s">
        <x:v>138</x:v>
      </x:c>
      <x:c r="C6" s="21"/>
      <x:c r="D6" s="22" t="s">
        <x:v>139</x:v>
      </x:c>
      <x:c r="E6" s="23"/>
      <x:c r="F6" s="24">
        <x:v>1.0</x:v>
      </x:c>
      <x:c r="G6" s="24"/>
      <x:c r="H6" s="24"/>
      <x:c r="I6" s="24"/>
      <x:c r="J6" s="24"/>
      <x:c r="K6" s="24"/>
      <x:c r="L6" s="24"/>
      <x:c r="M6" s="25"/>
      <x:c r="N6" s="25"/>
      <x:c r="O6" s="25"/>
      <x:c r="P6" s="25"/>
      <x:c r="Q6" s="25"/>
      <x:c r="R6" s="26">
        <x:f t="shared" si="2"/>
        <x:v>265000</x:v>
      </x:c>
      <x:c r="S6" s="23" t="s">
        <x:v>37</x:v>
      </x:c>
      <x:c r="T6" s="23"/>
      <x:c r="U6" s="23" t="s">
        <x:v>31</x:v>
      </x:c>
    </x:row>
    <x:row r="7" ht="18.75" customHeight="1">
      <x:c r="A7" s="19">
        <x:v>4.0</x:v>
      </x:c>
      <x:c r="B7" s="29" t="s">
        <x:v>140</x:v>
      </x:c>
      <x:c r="C7" s="21"/>
      <x:c r="D7" s="22" t="s">
        <x:v>141</x:v>
      </x:c>
      <x:c r="E7" s="23"/>
      <x:c r="F7" s="24"/>
      <x:c r="G7" s="24"/>
      <x:c r="H7" s="24"/>
      <x:c r="I7" s="24"/>
      <x:c r="J7" s="24"/>
      <x:c r="K7" s="24">
        <x:v>1.0</x:v>
      </x:c>
      <x:c r="L7" s="24"/>
      <x:c r="M7" s="24"/>
      <x:c r="N7" s="24"/>
      <x:c r="O7" s="25"/>
      <x:c r="P7" s="25"/>
      <x:c r="Q7" s="25"/>
      <x:c r="R7" s="26">
        <x:f t="shared" si="2"/>
        <x:v>245000</x:v>
      </x:c>
      <x:c r="S7" s="23" t="s">
        <x:v>37</x:v>
      </x:c>
      <x:c r="T7" s="23"/>
      <x:c r="U7" s="27" t="s">
        <x:v>31</x:v>
      </x:c>
    </x:row>
    <x:row r="8" ht="18.75" customHeight="1">
      <x:c r="A8" s="19">
        <x:v>5.0</x:v>
      </x:c>
      <x:c r="B8" s="29" t="s">
        <x:v>142</x:v>
      </x:c>
      <x:c r="C8" s="36">
        <x:v>46034.0</x:v>
      </x:c>
      <x:c r="D8" s="22" t="s">
        <x:v>143</x:v>
      </x:c>
      <x:c r="E8" s="23"/>
      <x:c r="F8" s="24"/>
      <x:c r="G8" s="24"/>
      <x:c r="H8" s="24"/>
      <x:c r="I8" s="24"/>
      <x:c r="J8" s="24"/>
      <x:c r="K8" s="24"/>
      <x:c r="L8" s="24"/>
      <x:c r="M8" s="24">
        <x:v>5.0</x:v>
      </x:c>
      <x:c r="N8" s="24"/>
      <x:c r="O8" s="25"/>
      <x:c r="P8" s="25"/>
      <x:c r="Q8" s="25"/>
      <x:c r="R8" s="26" t="n">
        <x:f>(E8*$E$2+F8*$F$2+G8*$G$2+H8*$H$2+I8*$I$2+J8*$J$2+K8*$K$2+L8*$L$2+M8*$M$2+N8*$N$2) - 60000</x:f>
        <x:v>1940000</x:v>
      </x:c>
      <x:c r="S8" s="23" t="s">
        <x:v>37</x:v>
      </x:c>
      <x:c r="T8" s="23" t="s">
        <x:v>30</x:v>
      </x:c>
      <x:c r="U8" s="23" t="s">
        <x:v>31</x:v>
      </x:c>
    </x:row>
    <x:row r="9" ht="18.75" customHeight="1">
      <x:c r="A9" s="19">
        <x:v>6.0</x:v>
      </x:c>
      <x:c r="B9" s="29" t="s">
        <x:v>144</x:v>
      </x:c>
      <x:c r="C9" s="36">
        <x:v>46034.0</x:v>
      </x:c>
      <x:c r="D9" s="22" t="s">
        <x:v>82</x:v>
      </x:c>
      <x:c r="E9" s="23"/>
      <x:c r="F9" s="24"/>
      <x:c r="G9" s="25"/>
      <x:c r="H9" s="24"/>
      <x:c r="I9" s="25"/>
      <x:c r="J9" s="24"/>
      <x:c r="K9" s="24">
        <x:v>5.0</x:v>
      </x:c>
      <x:c r="L9" s="25"/>
      <x:c r="M9" s="24"/>
      <x:c r="N9" s="24"/>
      <x:c r="O9" s="24">
        <x:v>1.0</x:v>
      </x:c>
      <x:c r="P9" s="24"/>
      <x:c r="Q9" s="24">
        <x:v>5.0</x:v>
      </x:c>
      <x:c r="R9" s="26" t="n">
        <x:f>(E9*$E$2+F9*$F$2+G9*$G$2+H9*$H$2+I9*$I$2+J9*$J$2+K9*$K$2+L9*$L$2+M9*$M$2+N9*$N$2+Q9*$Q$2+O9*$O$2) - 30000</x:f>
        <x:v>3075000</x:v>
      </x:c>
      <x:c r="S9" s="23" t="s">
        <x:v>37</x:v>
      </x:c>
      <x:c r="T9" s="23" t="s">
        <x:v>30</x:v>
      </x:c>
      <x:c r="U9" s="23" t="s">
        <x:v>31</x:v>
      </x:c>
    </x:row>
    <x:row r="10" ht="18.75" customHeight="1">
      <x:c r="A10" s="19">
        <x:v>7.0</x:v>
      </x:c>
      <x:c r="B10" s="29" t="s">
        <x:v>145</x:v>
      </x:c>
      <x:c r="C10" s="36">
        <x:v>46034.0</x:v>
      </x:c>
      <x:c r="D10" s="22" t="s">
        <x:v>146</x:v>
      </x:c>
      <x:c r="E10" s="23"/>
      <x:c r="F10" s="24">
        <x:v>6.0</x:v>
      </x:c>
      <x:c r="G10" s="25"/>
      <x:c r="H10" s="24"/>
      <x:c r="I10" s="24"/>
      <x:c r="J10" s="24"/>
      <x:c r="K10" s="24">
        <x:v>4.0</x:v>
      </x:c>
      <x:c r="L10" s="24">
        <x:v>6.0</x:v>
      </x:c>
      <x:c r="M10" s="25"/>
      <x:c r="N10" s="25"/>
      <x:c r="O10" s="25"/>
      <x:c r="P10" s="25"/>
      <x:c r="Q10" s="25"/>
      <x:c r="R10" s="26" t="n">
        <x:f>(E10*$E$2+F10*$F$2+G10*$G$2+H10*$H$2+I10*$I$2+J10*$J$2+K10*$K$2+L10*$L$2+M10*$M$2+N10*$N$2)- 40000</x:f>
        <x:v>4000000</x:v>
      </x:c>
      <x:c r="S10" s="23" t="s">
        <x:v>37</x:v>
      </x:c>
      <x:c r="T10" s="23" t="s">
        <x:v>30</x:v>
      </x:c>
      <x:c r="U10" s="23" t="s">
        <x:v>31</x:v>
      </x:c>
      <x:c r="W10" s="37"/>
      <x:c r="X10" s="37"/>
      <x:c r="Y10" s="37"/>
      <x:c r="Z10" s="37"/>
    </x:row>
    <x:row r="11" ht="18.75" customHeight="1">
      <x:c r="A11" s="19">
        <x:v>9.0</x:v>
      </x:c>
      <x:c r="B11" s="29" t="s">
        <x:v>147</x:v>
      </x:c>
      <x:c r="C11" s="36">
        <x:v>46034.0</x:v>
      </x:c>
      <x:c r="D11" s="35"/>
      <x:c r="E11" s="23"/>
      <x:c r="F11" s="24">
        <x:v>1.0</x:v>
      </x:c>
      <x:c r="G11" s="24"/>
      <x:c r="H11" s="24"/>
      <x:c r="I11" s="24"/>
      <x:c r="J11" s="24"/>
      <x:c r="K11" s="24"/>
      <x:c r="L11" s="24"/>
      <x:c r="M11" s="24"/>
      <x:c r="N11" s="25"/>
      <x:c r="O11" s="25"/>
      <x:c r="P11" s="25"/>
      <x:c r="Q11" s="25"/>
      <x:c r="R11" s="26" t="n">
        <x:f>(E11*$E$2+F11*$F$2+G11*$G$2+H11*$H$2+I11*$I$2+J11*$J$2+K11*$K$2+L11*$L$2+M11*$M$2+N11*$N$2)</x:f>
        <x:v>265000</x:v>
      </x:c>
      <x:c r="S11" s="23" t="s">
        <x:v>37</x:v>
      </x:c>
      <x:c r="T11" s="23" t="s">
        <x:v>74</x:v>
      </x:c>
      <x:c r="U11" s="23" t="s">
        <x:v>31</x:v>
      </x:c>
      <x:c r="W11" s="38" t="n" cm="1">
        <x:f t="array" ref="W11:W15">_xlfn._xlws.SORT(_xlfn.UNIQUE(C4:C1116))</x:f>
        <x:v>46034</x:v>
      </x:c>
      <x:c r="X11" s="34" t="e">
        <x:f>IFERROR(__xludf.DUMMYFUNCTION("SUM(FILTER($E$4:$N$1118, $C$4:$C$1118 = W11))"),70.0)</x:f>
        <x:v>#NAME?</x:v>
      </x:c>
      <x:c r="Y11" s="34" t="e">
        <x:f>IFERROR(__xludf.DUMMYFUNCTION("COUNT(FILTER($C$4:$C$1118, $C$4:$C$1118 = W11))"),9.0)</x:f>
        <x:v>#NAME?</x:v>
      </x:c>
      <x:c r="Z11" s="31" t="n">
        <x:f t="shared" ref="Z11:Z18" si="3">SUMIF($C$4:$C$1118, $W11 , $R$4:$R$1118)</x:f>
        <x:v>20250000</x:v>
      </x:c>
    </x:row>
    <x:row r="12" ht="18.75" customHeight="1">
      <x:c r="A12" s="19">
        <x:v>10.0</x:v>
      </x:c>
      <x:c r="B12" s="29" t="s">
        <x:v>148</x:v>
      </x:c>
      <x:c r="C12" s="36">
        <x:v>46034.0</x:v>
      </x:c>
      <x:c r="D12" s="22" t="s">
        <x:v>149</x:v>
      </x:c>
      <x:c r="E12" s="23"/>
      <x:c r="F12" s="24"/>
      <x:c r="G12" s="24"/>
      <x:c r="H12" s="24"/>
      <x:c r="I12" s="24"/>
      <x:c r="J12" s="24"/>
      <x:c r="K12" s="24">
        <x:v>30.0</x:v>
      </x:c>
      <x:c r="L12" s="24"/>
      <x:c r="M12" s="25"/>
      <x:c r="N12" s="25"/>
      <x:c r="O12" s="25"/>
      <x:c r="P12" s="25"/>
      <x:c r="Q12" s="25"/>
      <x:c r="R12" s="26" t="n">
        <x:f>(E12*$E$2+F12*$F$2+G12*$G$2+H12*$H$2+I12*$I$2+J12*$J$2+K12*$K$2+L12*$L$2+M12*$M$2+N12*$N$2) - 30*10000</x:f>
        <x:v>7050000</x:v>
      </x:c>
      <x:c r="S12" s="23" t="s">
        <x:v>37</x:v>
      </x:c>
      <x:c r="T12" s="23" t="s">
        <x:v>74</x:v>
      </x:c>
      <x:c r="U12" s="23" t="s">
        <x:v>31</x:v>
      </x:c>
      <x:c r="W12" s="38" t="n">
        <x:v>46035</x:v>
      </x:c>
      <x:c r="X12" s="34" t="e">
        <x:f>IFERROR(__xludf.DUMMYFUNCTION("SUM(FILTER($E$4:$N$1118, $C$4:$C$1118 = W12))"),42.0)</x:f>
        <x:v>#NAME?</x:v>
      </x:c>
      <x:c r="Y12" s="34" t="e">
        <x:f>IFERROR(__xludf.DUMMYFUNCTION("COUNT(FILTER($C$4:$C$1118, $C$4:$C$1118 = W12))"),7.0)</x:f>
        <x:v>#NAME?</x:v>
      </x:c>
      <x:c r="Z12" s="31">
        <x:f t="shared" si="3"/>
        <x:v>15050000</x:v>
      </x:c>
    </x:row>
    <x:row r="13" ht="18.75" customHeight="1">
      <x:c r="A13" s="19">
        <x:v>11.0</x:v>
      </x:c>
      <x:c r="B13" s="29" t="s">
        <x:v>150</x:v>
      </x:c>
      <x:c r="C13" s="36">
        <x:v>46034.0</x:v>
      </x:c>
      <x:c r="D13" s="22" t="s">
        <x:v>151</x:v>
      </x:c>
      <x:c r="E13" s="23">
        <x:v>1.0</x:v>
      </x:c>
      <x:c r="F13" s="24">
        <x:v>2.0</x:v>
      </x:c>
      <x:c r="G13" s="25"/>
      <x:c r="H13" s="24"/>
      <x:c r="I13" s="24"/>
      <x:c r="J13" s="24"/>
      <x:c r="K13" s="24">
        <x:v>1.0</x:v>
      </x:c>
      <x:c r="L13" s="24"/>
      <x:c r="M13" s="24"/>
      <x:c r="N13" s="25"/>
      <x:c r="O13" s="25"/>
      <x:c r="P13" s="25"/>
      <x:c r="Q13" s="25"/>
      <x:c r="R13" s="26" t="n">
        <x:f>(E13*$E$2+F13*$F$2+G13*$G$2+H13*$H$2+I13*$I$2+J13*$J$2+K13*$K$2+L13*$L$2+M13*$M$2+N13*$N$2+Q13*Q6+O13*O6)</x:f>
        <x:v>1060000</x:v>
      </x:c>
      <x:c r="S13" s="23" t="s">
        <x:v>37</x:v>
      </x:c>
      <x:c r="T13" s="23" t="s">
        <x:v>74</x:v>
      </x:c>
      <x:c r="U13" s="23" t="s">
        <x:v>31</x:v>
      </x:c>
      <x:c r="W13" s="38" t="n">
        <x:v>46036</x:v>
      </x:c>
      <x:c r="X13" s="34" t="e">
        <x:f>IFERROR(__xludf.DUMMYFUNCTION("SUM(FILTER($E$4:$N$1118, $C$4:$C$1118 = W13))"),5.0)</x:f>
        <x:v>#NAME?</x:v>
      </x:c>
      <x:c r="Y13" s="34" t="e">
        <x:f>IFERROR(__xludf.DUMMYFUNCTION("COUNT(FILTER($C$4:$C$1118, $C$4:$C$1118 = W13))"),3.0)</x:f>
        <x:v>#NAME?</x:v>
      </x:c>
      <x:c r="Z13" s="31">
        <x:f t="shared" si="3"/>
        <x:v>5615000</x:v>
      </x:c>
    </x:row>
    <x:row r="14" ht="18.75" customHeight="1">
      <x:c r="A14" s="19">
        <x:v>12.0</x:v>
      </x:c>
      <x:c r="B14" s="29" t="s">
        <x:v>152</x:v>
      </x:c>
      <x:c r="C14" s="36">
        <x:v>46034.0</x:v>
      </x:c>
      <x:c r="D14" s="22" t="s">
        <x:v>153</x:v>
      </x:c>
      <x:c r="E14" s="23"/>
      <x:c r="F14" s="24">
        <x:v>5.0</x:v>
      </x:c>
      <x:c r="G14" s="25"/>
      <x:c r="H14" s="24"/>
      <x:c r="I14" s="24"/>
      <x:c r="J14" s="25"/>
      <x:c r="K14" s="24"/>
      <x:c r="L14" s="24"/>
      <x:c r="M14" s="25"/>
      <x:c r="N14" s="25"/>
      <x:c r="O14" s="25"/>
      <x:c r="P14" s="25"/>
      <x:c r="Q14" s="25"/>
      <x:c r="R14" s="26" t="n">
        <x:f>(E14*$E$2+F14*$F$2+G14*$G$2+H14*$H$2+I14*$I$2+J14*$J$2+K14*$K$2+L14*$L$2+M14*$M$2+N14*$N$2+Q14*Q7+O14*O7) - 15000</x:f>
        <x:v>1310000</x:v>
      </x:c>
      <x:c r="S14" s="23" t="s">
        <x:v>37</x:v>
      </x:c>
      <x:c r="T14" s="23" t="s">
        <x:v>74</x:v>
      </x:c>
      <x:c r="U14" s="23" t="s">
        <x:v>31</x:v>
      </x:c>
      <x:c r="W14" s="33" t="n">
        <x:v>46042</x:v>
      </x:c>
      <x:c r="X14" s="34" t="e">
        <x:f>IFERROR(__xludf.DUMMYFUNCTION("SUM(FILTER($E$4:$N$1118, $C$4:$C$1118 = W14))"),9.0)</x:f>
        <x:v>#NAME?</x:v>
      </x:c>
      <x:c r="Y14" s="34" t="e">
        <x:f>IFERROR(__xludf.DUMMYFUNCTION("COUNT(FILTER($C$4:$C$1118, $C$4:$C$1118 = W14))"),3.0)</x:f>
        <x:v>#NAME?</x:v>
      </x:c>
      <x:c r="Z14" s="31">
        <x:f t="shared" si="3"/>
        <x:v>2280000</x:v>
      </x:c>
    </x:row>
    <x:row r="15" ht="18.75" customHeight="1">
      <x:c r="A15" s="19">
        <x:v>13.0</x:v>
      </x:c>
      <x:c r="B15" s="29" t="s">
        <x:v>154</x:v>
      </x:c>
      <x:c r="C15" s="36">
        <x:v>46034.0</x:v>
      </x:c>
      <x:c r="D15" s="22" t="s">
        <x:v>155</x:v>
      </x:c>
      <x:c r="E15" s="23">
        <x:v>1.0</x:v>
      </x:c>
      <x:c r="F15" s="24"/>
      <x:c r="G15" s="24"/>
      <x:c r="H15" s="24"/>
      <x:c r="I15" s="24"/>
      <x:c r="J15" s="24"/>
      <x:c r="K15" s="24">
        <x:v>1.0</x:v>
      </x:c>
      <x:c r="L15" s="24"/>
      <x:c r="M15" s="24"/>
      <x:c r="N15" s="24"/>
      <x:c r="O15" s="25"/>
      <x:c r="P15" s="25"/>
      <x:c r="Q15" s="25"/>
      <x:c r="R15" s="26" t="n">
        <x:f t="shared" ref="R15:R16" si="4">(E15*$E$2+F15*$F$2+G15*$G$2+H15*$H$2+I15*$I$2+J15*$J$2+K15*$K$2+L15*$L$2+M15*$M$2+N15*$N$2+Q15*Q8+O15*O8)</x:f>
        <x:v>530000</x:v>
      </x:c>
      <x:c r="S15" s="23" t="s">
        <x:v>37</x:v>
      </x:c>
      <x:c r="T15" s="23" t="s">
        <x:v>74</x:v>
      </x:c>
      <x:c r="U15" s="23" t="s">
        <x:v>31</x:v>
      </x:c>
      <x:c r="V15" s="32"/>
      <x:c r="W15" s="33" t="n">
        <x:v>0</x:v>
      </x:c>
      <x:c r="X15" s="34" t="e">
        <x:f>IFERROR(__xludf.DUMMYFUNCTION("SUM(FILTER($E$4:$N$1118, $C$4:$C$1118 = W15))"),2.190483267715339E7)</x:f>
        <x:v>#NAME?</x:v>
      </x:c>
      <x:c r="Y15" s="34" t="e">
        <x:f>IFERROR(__xludf.DUMMYFUNCTION("COUNT(FILTER($C$4:$C$1118, $C$4:$C$1118 = W15))"),0.0)</x:f>
        <x:v>#NAME?</x:v>
      </x:c>
      <x:c r="Z15" s="31">
        <x:f t="shared" si="3"/>
        <x:v>0</x:v>
      </x:c>
    </x:row>
    <x:row r="16" ht="18.75" customHeight="1">
      <x:c r="A16" s="19">
        <x:v>14.0</x:v>
      </x:c>
      <x:c r="B16" s="29" t="s">
        <x:v>79</x:v>
      </x:c>
      <x:c r="C16" s="36">
        <x:v>46034.0</x:v>
      </x:c>
      <x:c r="D16" s="22" t="s">
        <x:v>80</x:v>
      </x:c>
      <x:c r="E16" s="23"/>
      <x:c r="F16" s="24"/>
      <x:c r="G16" s="24">
        <x:v>2.0</x:v>
      </x:c>
      <x:c r="H16" s="24"/>
      <x:c r="I16" s="24"/>
      <x:c r="J16" s="24"/>
      <x:c r="K16" s="25"/>
      <x:c r="L16" s="24"/>
      <x:c r="M16" s="24"/>
      <x:c r="N16" s="25"/>
      <x:c r="O16" s="25"/>
      <x:c r="P16" s="25"/>
      <x:c r="Q16" s="25"/>
      <x:c r="R16" s="26">
        <x:f t="shared" si="4"/>
        <x:v>1020000</x:v>
      </x:c>
      <x:c r="S16" s="23" t="s">
        <x:v>37</x:v>
      </x:c>
      <x:c r="T16" s="23" t="s">
        <x:v>74</x:v>
      </x:c>
      <x:c r="U16" s="23" t="s">
        <x:v>31</x:v>
      </x:c>
      <x:c r="V16" s="32"/>
      <x:c r="W16" s="33"/>
      <x:c r="X16" s="34" t="e">
        <x:f>IFERROR(__xludf.DUMMYFUNCTION("SUM(FILTER($E$4:$N$1118, $C$4:$C$1118 = W16))"),2.190483267715339E7)</x:f>
        <x:v>#NAME?</x:v>
      </x:c>
      <x:c r="Y16" s="34" t="e">
        <x:f>IFERROR(__xludf.DUMMYFUNCTION("COUNT(FILTER($C$4:$C$1118, $C$4:$C$1118 = W16))"),0.0)</x:f>
        <x:v>#NAME?</x:v>
      </x:c>
      <x:c r="Z16" s="31">
        <x:f t="shared" si="3"/>
        <x:v>0</x:v>
      </x:c>
    </x:row>
    <x:row r="17" ht="18.75" customHeight="1">
      <x:c r="A17" s="19">
        <x:v>15.0</x:v>
      </x:c>
      <x:c r="B17" s="29" t="s">
        <x:v>156</x:v>
      </x:c>
      <x:c r="C17" s="36">
        <x:v>46035.0</x:v>
      </x:c>
      <x:c r="D17" s="22" t="s">
        <x:v>157</x:v>
      </x:c>
      <x:c r="E17" s="23">
        <x:v>1.0</x:v>
      </x:c>
      <x:c r="F17" s="24"/>
      <x:c r="G17" s="24">
        <x:v>2.0</x:v>
      </x:c>
      <x:c r="H17" s="24"/>
      <x:c r="I17" s="24">
        <x:v>2.0</x:v>
      </x:c>
      <x:c r="J17" s="24"/>
      <x:c r="K17" s="24">
        <x:v>1.0</x:v>
      </x:c>
      <x:c r="L17" s="24"/>
      <x:c r="M17" s="25"/>
      <x:c r="N17" s="25"/>
      <x:c r="O17" s="25"/>
      <x:c r="P17" s="24">
        <x:v>1.0</x:v>
      </x:c>
      <x:c r="Q17" s="25"/>
      <x:c r="R17" s="26" t="n">
        <x:f>(E17*$E$2+F17*$F$2+G17*$G$2+H17*$H$2+I17*$I$2+J17*$J$2+K17*$K$2+L17*$L$2+M17*$M$2+N17*$N$2+Q17*Q10+O17*O10+P17*P2) - 20000</x:f>
        <x:v>2540000</x:v>
      </x:c>
      <x:c r="S17" s="23" t="s">
        <x:v>37</x:v>
      </x:c>
      <x:c r="T17" s="23" t="s">
        <x:v>74</x:v>
      </x:c>
      <x:c r="U17" s="23" t="s">
        <x:v>31</x:v>
      </x:c>
      <x:c r="V17" s="32"/>
      <x:c r="W17" s="33"/>
      <x:c r="X17" s="34" t="e">
        <x:f>IFERROR(__xludf.DUMMYFUNCTION("SUM(FILTER($E$4:$N$1118, $C$4:$C$1118 = W17))"),2.190483267715339E7)</x:f>
        <x:v>#NAME?</x:v>
      </x:c>
      <x:c r="Y17" s="34" t="e">
        <x:f>IFERROR(__xludf.DUMMYFUNCTION("COUNT(FILTER($C$4:$C$1118, $C$4:$C$1118 = W17))"),0.0)</x:f>
        <x:v>#NAME?</x:v>
      </x:c>
      <x:c r="Z17" s="31">
        <x:f t="shared" si="3"/>
        <x:v>0</x:v>
      </x:c>
    </x:row>
    <x:row r="18">
      <x:c r="A18" s="19">
        <x:v>16.0</x:v>
      </x:c>
      <x:c r="B18" s="29" t="s">
        <x:v>158</x:v>
      </x:c>
      <x:c r="C18" s="36">
        <x:v>46035.0</x:v>
      </x:c>
      <x:c r="D18" s="22" t="s">
        <x:v>159</x:v>
      </x:c>
      <x:c r="E18" s="23"/>
      <x:c r="F18" s="24">
        <x:v>1.0</x:v>
      </x:c>
      <x:c r="G18" s="24"/>
      <x:c r="H18" s="24"/>
      <x:c r="I18" s="24">
        <x:v>1.0</x:v>
      </x:c>
      <x:c r="J18" s="24"/>
      <x:c r="K18" s="24"/>
      <x:c r="L18" s="24"/>
      <x:c r="M18" s="24"/>
      <x:c r="N18" s="25"/>
      <x:c r="O18" s="25"/>
      <x:c r="P18" s="25"/>
      <x:c r="Q18" s="25"/>
      <x:c r="R18" s="26" t="n">
        <x:f>(E18*$E$2+F18*$F$2+G18*$G$2+H18*$H$2+I18*$I$2+J18*$J$2+K18*$K$2+L18*$L$2+M18*$M$2+N18*$N$2+Q18*Q11+O18*O11+P18*P3)</x:f>
        <x:v>635000</x:v>
      </x:c>
      <x:c r="S18" s="23" t="s">
        <x:v>37</x:v>
      </x:c>
      <x:c r="T18" s="23" t="s">
        <x:v>74</x:v>
      </x:c>
      <x:c r="U18" s="23" t="s">
        <x:v>31</x:v>
      </x:c>
      <x:c r="V18" s="32"/>
      <x:c r="W18" s="33"/>
      <x:c r="X18" s="34" t="e">
        <x:f>IFERROR(__xludf.DUMMYFUNCTION("SUM(FILTER($E$4:$N$1118, $C$4:$C$1118 = W18))"),2.190483267715339E7)</x:f>
        <x:v>#NAME?</x:v>
      </x:c>
      <x:c r="Y18" s="34" t="e">
        <x:f>IFERROR(__xludf.DUMMYFUNCTION("COUNT(FILTER($C$4:$C$1118, $C$4:$C$1118 = W18))"),0.0)</x:f>
        <x:v>#NAME?</x:v>
      </x:c>
      <x:c r="Z18" s="31">
        <x:f t="shared" si="3"/>
        <x:v>0</x:v>
      </x:c>
    </x:row>
    <x:row r="19">
      <x:c r="A19" s="19">
        <x:v>17.0</x:v>
      </x:c>
      <x:c r="B19" s="29" t="s">
        <x:v>160</x:v>
      </x:c>
      <x:c r="C19" s="36">
        <x:v>46035.0</x:v>
      </x:c>
      <x:c r="D19" s="22" t="s">
        <x:v>161</x:v>
      </x:c>
      <x:c r="E19" s="23">
        <x:v>1.0</x:v>
      </x:c>
      <x:c r="F19" s="24"/>
      <x:c r="G19" s="24"/>
      <x:c r="H19" s="24"/>
      <x:c r="I19" s="24"/>
      <x:c r="J19" s="24"/>
      <x:c r="K19" s="24">
        <x:v>1.0</x:v>
      </x:c>
      <x:c r="L19" s="24"/>
      <x:c r="M19" s="25"/>
      <x:c r="N19" s="24">
        <x:v>1.0</x:v>
      </x:c>
      <x:c r="O19" s="25"/>
      <x:c r="P19" s="24">
        <x:v>3.0</x:v>
      </x:c>
      <x:c r="Q19" s="25"/>
      <x:c r="R19" s="26" t="n">
        <x:f>(E19*$E$2+F19*$F$2+G19*$G$2+H19*$H$2+I19*$I$2+J19*$J$2+K19*$K$2+L19*$L$2+M19*$M$2+N19*$N$2+Q19*$Q$12+O19*$O$2+P19*$P$2) - 20000</x:f>
        <x:v>1620000</x:v>
      </x:c>
      <x:c r="S19" s="23" t="s">
        <x:v>37</x:v>
      </x:c>
      <x:c r="T19" s="23" t="s">
        <x:v>74</x:v>
      </x:c>
      <x:c r="U19" s="23" t="s">
        <x:v>31</x:v>
      </x:c>
      <x:c r="V19" s="32"/>
      <x:c r="W19" s="33"/>
      <x:c r="X19" s="34"/>
      <x:c r="Y19" s="34"/>
      <x:c r="Z19" s="31"/>
    </x:row>
    <x:row r="20" ht="18.75" customHeight="1">
      <x:c r="A20" s="19">
        <x:v>18.0</x:v>
      </x:c>
      <x:c r="B20" s="29" t="s">
        <x:v>162</x:v>
      </x:c>
      <x:c r="C20" s="36">
        <x:v>46035.0</x:v>
      </x:c>
      <x:c r="D20" s="22" t="s">
        <x:v>163</x:v>
      </x:c>
      <x:c r="E20" s="23">
        <x:v>2.0</x:v>
      </x:c>
      <x:c r="F20" s="24"/>
      <x:c r="G20" s="24"/>
      <x:c r="H20" s="24"/>
      <x:c r="I20" s="24"/>
      <x:c r="J20" s="24"/>
      <x:c r="K20" s="24">
        <x:v>12.0</x:v>
      </x:c>
      <x:c r="L20" s="24"/>
      <x:c r="M20" s="24"/>
      <x:c r="N20" s="24"/>
      <x:c r="O20" s="25"/>
      <x:c r="P20" s="25"/>
      <x:c r="Q20" s="25"/>
      <x:c r="R20" s="26" t="n">
        <x:f>(E20*$E$2+F20*$F$2+G20*$G$2+H20*$H$2+I20*$I$2+J20*$J$2+K20*$K$2+L20*$L$2+M20*$M$2+N20*$N$2+Q20*Q13+O20*O13+P20*P5) - 20000</x:f>
        <x:v>3490000</x:v>
      </x:c>
      <x:c r="S20" s="23" t="s">
        <x:v>37</x:v>
      </x:c>
      <x:c r="T20" s="23" t="s">
        <x:v>74</x:v>
      </x:c>
      <x:c r="U20" s="23" t="s">
        <x:v>31</x:v>
      </x:c>
      <x:c r="V20" s="32"/>
      <x:c r="W20" s="33"/>
      <x:c r="X20" s="34" t="e">
        <x:f>IFERROR(__xludf.DUMMYFUNCTION("SUM(FILTER($E$4:$N$1118, $C$4:$C$1118 = W20))"),2.190483267715339E7)</x:f>
        <x:v>#NAME?</x:v>
      </x:c>
      <x:c r="Y20" s="34" t="e">
        <x:f>IFERROR(__xludf.DUMMYFUNCTION("COUNT(FILTER($C$4:$C$1118, $C$4:$C$1118 = W20))"),0.0)</x:f>
        <x:v>#NAME?</x:v>
      </x:c>
      <x:c r="Z20" s="31" t="n">
        <x:f t="shared" ref="Z20:Z23" si="5">SUMIF($C$4:$C$1118, $W20 , $R$4:$R$1118)</x:f>
        <x:v>95390000</x:v>
      </x:c>
    </x:row>
    <x:row r="21" ht="18.75" customHeight="1">
      <x:c r="A21" s="19">
        <x:v>19.0</x:v>
      </x:c>
      <x:c r="B21" s="29" t="s">
        <x:v>164</x:v>
      </x:c>
      <x:c r="C21" s="36">
        <x:v>46035.0</x:v>
      </x:c>
      <x:c r="D21" s="22" t="s">
        <x:v>165</x:v>
      </x:c>
      <x:c r="E21" s="23"/>
      <x:c r="F21" s="24">
        <x:v>3.0</x:v>
      </x:c>
      <x:c r="G21" s="24">
        <x:v>5.0</x:v>
      </x:c>
      <x:c r="H21" s="25"/>
      <x:c r="I21" s="24">
        <x:v>3.0</x:v>
      </x:c>
      <x:c r="J21" s="25"/>
      <x:c r="K21" s="24"/>
      <x:c r="L21" s="24"/>
      <x:c r="M21" s="25"/>
      <x:c r="N21" s="25"/>
      <x:c r="O21" s="25"/>
      <x:c r="P21" s="25"/>
      <x:c r="Q21" s="25"/>
      <x:c r="R21" s="26" t="n">
        <x:f>(E21*$E$2+F21*$F$2+G21*$G$2+H21*$H$2+I21*$I$2+J21*$J$2+K21*$K$2+L21*$L$2+M21*$M$2+N21*$N$2+Q21*Q14+O21*O14+P21*P6) - 15000</x:f>
        <x:v>4440000</x:v>
      </x:c>
      <x:c r="S21" s="23" t="s">
        <x:v>37</x:v>
      </x:c>
      <x:c r="T21" s="23"/>
      <x:c r="U21" s="23" t="s">
        <x:v>31</x:v>
      </x:c>
      <x:c r="V21" s="32"/>
      <x:c r="W21" s="33"/>
      <x:c r="X21" s="34" t="e">
        <x:f>IFERROR(__xludf.DUMMYFUNCTION("SUM(FILTER($E$4:$N$1118, $C$4:$C$1118 = W21))"),2.190483267715339E7)</x:f>
        <x:v>#NAME?</x:v>
      </x:c>
      <x:c r="Y21" s="34" t="e">
        <x:f>IFERROR(__xludf.DUMMYFUNCTION("COUNT(FILTER($C$4:$C$1118, $C$4:$C$1118 = W21))"),0.0)</x:f>
        <x:v>#NAME?</x:v>
      </x:c>
      <x:c r="Z21" s="31">
        <x:f t="shared" si="5"/>
        <x:v>0</x:v>
      </x:c>
    </x:row>
    <x:row r="22" ht="18.75" customHeight="1">
      <x:c r="A22" s="19">
        <x:v>20.0</x:v>
      </x:c>
      <x:c r="B22" s="29" t="s">
        <x:v>166</x:v>
      </x:c>
      <x:c r="C22" s="36">
        <x:v>46035.0</x:v>
      </x:c>
      <x:c r="D22" s="22" t="s">
        <x:v>167</x:v>
      </x:c>
      <x:c r="E22" s="23">
        <x:v>2.0</x:v>
      </x:c>
      <x:c r="F22" s="24">
        <x:v>1.0</x:v>
      </x:c>
      <x:c r="G22" s="24"/>
      <x:c r="H22" s="24"/>
      <x:c r="I22" s="24"/>
      <x:c r="J22" s="24"/>
      <x:c r="K22" s="24">
        <x:v>2.0</x:v>
      </x:c>
      <x:c r="L22" s="24"/>
      <x:c r="M22" s="24"/>
      <x:c r="N22" s="25"/>
      <x:c r="O22" s="25"/>
      <x:c r="P22" s="25"/>
      <x:c r="Q22" s="25"/>
      <x:c r="R22" s="26" t="n">
        <x:f t="shared" ref="R22:R23" si="6">(E22*$E$2+F22*$F$2+G22*$G$2+H22*$H$2+I22*$I$2+J22*$J$2+K22*$K$2+L22*$L$2+M22*$M$2+N22*$N$2+Q22*Q15+O22*O15+P22*P7)</x:f>
        <x:v>1325000</x:v>
      </x:c>
      <x:c r="S22" s="23" t="s">
        <x:v>37</x:v>
      </x:c>
      <x:c r="T22" s="23" t="s">
        <x:v>30</x:v>
      </x:c>
      <x:c r="U22" s="23" t="s">
        <x:v>31</x:v>
      </x:c>
      <x:c r="V22" s="32"/>
      <x:c r="W22" s="33"/>
      <x:c r="X22" s="34" t="e">
        <x:f>IFERROR(__xludf.DUMMYFUNCTION("SUM(FILTER($E$4:$N$1118, $C$4:$C$1118 = W22))"),2.190483267715339E7)</x:f>
        <x:v>#NAME?</x:v>
      </x:c>
      <x:c r="Y22" s="34" t="e">
        <x:f>IFERROR(__xludf.DUMMYFUNCTION("COUNT(FILTER($C$4:$C$1118, $C$4:$C$1118 = W22))"),0.0)</x:f>
        <x:v>#NAME?</x:v>
      </x:c>
      <x:c r="Z22" s="31">
        <x:f t="shared" si="5"/>
        <x:v>0</x:v>
      </x:c>
    </x:row>
    <x:row r="23" ht="18.75" customHeight="1">
      <x:c r="A23" s="19">
        <x:v>21.0</x:v>
      </x:c>
      <x:c r="B23" s="29" t="s">
        <x:v>168</x:v>
      </x:c>
      <x:c r="C23" s="36">
        <x:v>46036.0</x:v>
      </x:c>
      <x:c r="D23" s="22" t="s">
        <x:v>169</x:v>
      </x:c>
      <x:c r="E23" s="23"/>
      <x:c r="F23" s="24"/>
      <x:c r="G23" s="24"/>
      <x:c r="H23" s="25"/>
      <x:c r="I23" s="25"/>
      <x:c r="J23" s="25"/>
      <x:c r="K23" s="24">
        <x:v>1.0</x:v>
      </x:c>
      <x:c r="L23" s="24"/>
      <x:c r="M23" s="24"/>
      <x:c r="N23" s="25"/>
      <x:c r="O23" s="25"/>
      <x:c r="P23" s="25"/>
      <x:c r="Q23" s="25"/>
      <x:c r="R23" s="26">
        <x:f t="shared" si="6"/>
        <x:v>245000</x:v>
      </x:c>
      <x:c r="S23" s="23" t="s">
        <x:v>37</x:v>
      </x:c>
      <x:c r="T23" s="23"/>
      <x:c r="U23" s="23" t="s">
        <x:v>31</x:v>
      </x:c>
      <x:c r="V23" s="32"/>
      <x:c r="W23" s="33"/>
      <x:c r="X23" s="34" t="e">
        <x:f>IFERROR(__xludf.DUMMYFUNCTION("SUM(FILTER($E$4:$N$1118, $C$4:$C$1118 = W23))"),2.190483267715339E7)</x:f>
        <x:v>#NAME?</x:v>
      </x:c>
      <x:c r="Y23" s="34" t="e">
        <x:f>IFERROR(__xludf.DUMMYFUNCTION("COUNT(FILTER($C$4:$C$1118, $C$4:$C$1118 = W23))"),0.0)</x:f>
        <x:v>#NAME?</x:v>
      </x:c>
      <x:c r="Z23" s="31">
        <x:f t="shared" si="5"/>
        <x:v>0</x:v>
      </x:c>
    </x:row>
    <x:row r="24" ht="18.75" customHeight="1">
      <x:c r="A24" s="19">
        <x:v>22.0</x:v>
      </x:c>
      <x:c r="B24" s="29" t="s">
        <x:v>170</x:v>
      </x:c>
      <x:c r="C24" s="36">
        <x:v>46036.0</x:v>
      </x:c>
      <x:c r="D24" s="22" t="s">
        <x:v>171</x:v>
      </x:c>
      <x:c r="E24" s="23"/>
      <x:c r="F24" s="24"/>
      <x:c r="G24" s="25"/>
      <x:c r="H24" s="24"/>
      <x:c r="I24" s="24"/>
      <x:c r="J24" s="24"/>
      <x:c r="K24" s="24"/>
      <x:c r="L24" s="24"/>
      <x:c r="M24" s="24"/>
      <x:c r="N24" s="25"/>
      <x:c r="O24" s="24">
        <x:v>2.0</x:v>
      </x:c>
      <x:c r="P24" s="24">
        <x:v>3.0</x:v>
      </x:c>
      <x:c r="Q24" s="25"/>
      <x:c r="R24" s="26" t="n">
        <x:f t="shared" ref="R24:R27" si="7">(E24*$E$2+F24*$F$2+G24*$G$2+H24*$H$2+I24*$I$2+J24*$J$2+K24*$K$2+L24*$L$2+M24*$M$2+N24*$N$2+Q24*$Q$12+O24*$O$2+P24*$P$2)</x:f>
        <x:v>2070000</x:v>
      </x:c>
      <x:c r="S24" s="23" t="s">
        <x:v>37</x:v>
      </x:c>
      <x:c r="T24" s="23" t="s">
        <x:v>74</x:v>
      </x:c>
      <x:c r="U24" s="23" t="s">
        <x:v>34</x:v>
      </x:c>
      <x:c r="V24" s="32"/>
      <x:c r="W24" s="33"/>
      <x:c r="X24" s="34"/>
      <x:c r="Y24" s="34"/>
      <x:c r="Z24" s="31"/>
    </x:row>
    <x:row r="25" ht="18.75" customHeight="1">
      <x:c r="A25" s="19">
        <x:v>23.0</x:v>
      </x:c>
      <x:c r="B25" s="29" t="s">
        <x:v>172</x:v>
      </x:c>
      <x:c r="C25" s="36">
        <x:v>46036.0</x:v>
      </x:c>
      <x:c r="D25" s="22" t="s">
        <x:v>173</x:v>
      </x:c>
      <x:c r="E25" s="23"/>
      <x:c r="F25" s="24"/>
      <x:c r="G25" s="24">
        <x:v>4.0</x:v>
      </x:c>
      <x:c r="H25" s="24"/>
      <x:c r="I25" s="24"/>
      <x:c r="J25" s="24"/>
      <x:c r="K25" s="24"/>
      <x:c r="L25" s="24"/>
      <x:c r="M25" s="24"/>
      <x:c r="N25" s="25"/>
      <x:c r="O25" s="24">
        <x:v>2.0</x:v>
      </x:c>
      <x:c r="P25" s="25"/>
      <x:c r="Q25" s="25"/>
      <x:c r="R25" s="26">
        <x:f t="shared" si="7"/>
        <x:v>3300000</x:v>
      </x:c>
      <x:c r="S25" s="23" t="s">
        <x:v>37</x:v>
      </x:c>
      <x:c r="T25" s="23" t="s">
        <x:v>74</x:v>
      </x:c>
      <x:c r="U25" s="23" t="s">
        <x:v>31</x:v>
      </x:c>
      <x:c r="V25" s="32"/>
      <x:c r="W25" s="33"/>
      <x:c r="X25" s="34"/>
      <x:c r="Y25" s="34"/>
      <x:c r="Z25" s="31"/>
    </x:row>
    <x:row r="26" ht="18.75" customHeight="1">
      <x:c r="A26" s="19">
        <x:v>24.0</x:v>
      </x:c>
      <x:c r="B26" s="29" t="s">
        <x:v>174</x:v>
      </x:c>
      <x:c r="C26" s="36">
        <x:v>46035.0</x:v>
      </x:c>
      <x:c r="D26" s="22" t="s">
        <x:v>175</x:v>
      </x:c>
      <x:c r="E26" s="23"/>
      <x:c r="F26" s="24"/>
      <x:c r="G26" s="25"/>
      <x:c r="H26" s="24"/>
      <x:c r="I26" s="24">
        <x:v>1.0</x:v>
      </x:c>
      <x:c r="J26" s="24"/>
      <x:c r="K26" s="24"/>
      <x:c r="L26" s="24"/>
      <x:c r="M26" s="24"/>
      <x:c r="N26" s="25"/>
      <x:c r="O26" s="24">
        <x:v>1.0</x:v>
      </x:c>
      <x:c r="P26" s="25"/>
      <x:c r="Q26" s="25"/>
      <x:c r="R26" s="26">
        <x:f t="shared" si="7"/>
        <x:v>1000000</x:v>
      </x:c>
      <x:c r="S26" s="23" t="s">
        <x:v>37</x:v>
      </x:c>
      <x:c r="T26" s="23" t="s">
        <x:v>74</x:v>
      </x:c>
      <x:c r="U26" s="23" t="s">
        <x:v>31</x:v>
      </x:c>
      <x:c r="V26" s="32"/>
      <x:c r="W26" s="33"/>
      <x:c r="X26" s="34" t="e">
        <x:f>IFERROR(__xludf.DUMMYFUNCTION("SUM(FILTER($E$4:$N$1118, $C$4:$C$1118 = W26))"),2.190483267715339E7)</x:f>
        <x:v>#NAME?</x:v>
      </x:c>
      <x:c r="Y26" s="34" t="e">
        <x:f>IFERROR(__xludf.DUMMYFUNCTION("COUNT(FILTER($C$4:$C$1118, $C$4:$C$1118 = W26))"),0.0)</x:f>
        <x:v>#NAME?</x:v>
      </x:c>
      <x:c r="Z26" s="31" t="n">
        <x:f t="shared" ref="Z26:Z39" si="8">SUMIF($C$4:$C$1118, $W26 , $R$4:$R$1118)</x:f>
        <x:v>95390000</x:v>
      </x:c>
    </x:row>
    <x:row r="27">
      <x:c r="A27" s="19">
        <x:v>25.0</x:v>
      </x:c>
      <x:c r="B27" s="29" t="s">
        <x:v>176</x:v>
      </x:c>
      <x:c r="C27" s="21"/>
      <x:c r="D27" s="58" t="s">
        <x:v>177</x:v>
      </x:c>
      <x:c r="E27" s="56"/>
      <x:c r="F27" s="24"/>
      <x:c r="G27" s="24">
        <x:v>1.0</x:v>
      </x:c>
      <x:c r="H27" s="25"/>
      <x:c r="I27" s="25"/>
      <x:c r="J27" s="25"/>
      <x:c r="K27" s="24"/>
      <x:c r="L27" s="24"/>
      <x:c r="M27" s="24">
        <x:v>1.0</x:v>
      </x:c>
      <x:c r="N27" s="24">
        <x:v>1.0</x:v>
      </x:c>
      <x:c r="O27" s="25"/>
      <x:c r="P27" s="24">
        <x:v>1.0</x:v>
      </x:c>
      <x:c r="Q27" s="25"/>
      <x:c r="R27" s="26">
        <x:f t="shared" si="7"/>
        <x:v>1480000</x:v>
      </x:c>
      <x:c r="S27" s="23" t="s">
        <x:v>37</x:v>
      </x:c>
      <x:c r="T27" s="23" t="s">
        <x:v>74</x:v>
      </x:c>
      <x:c r="U27" s="23" t="s">
        <x:v>31</x:v>
      </x:c>
      <x:c r="V27" s="57"/>
      <x:c r="W27" s="33"/>
      <x:c r="X27" s="34" t="e">
        <x:f>IFERROR(__xludf.DUMMYFUNCTION("SUM(FILTER($E$4:$N$1118, $C$4:$C$1118 = W27))"),2.190483267715339E7)</x:f>
        <x:v>#NAME?</x:v>
      </x:c>
      <x:c r="Y27" s="34" t="e">
        <x:f>IFERROR(__xludf.DUMMYFUNCTION("COUNT(FILTER($C$4:$C$1118, $C$4:$C$1118 = W27))"),0.0)</x:f>
        <x:v>#NAME?</x:v>
      </x:c>
      <x:c r="Z27" s="31">
        <x:f t="shared" si="8"/>
        <x:v>0</x:v>
      </x:c>
    </x:row>
    <x:row r="28" ht="18.75" customHeight="1">
      <x:c r="A28" s="19">
        <x:v>26.0</x:v>
      </x:c>
      <x:c r="B28" s="29" t="s">
        <x:v>178</x:v>
      </x:c>
      <x:c r="C28" s="21">
        <x:v>46042.0</x:v>
      </x:c>
      <x:c r="D28" s="58" t="s">
        <x:v>179</x:v>
      </x:c>
      <x:c r="E28" s="56"/>
      <x:c r="F28" s="24"/>
      <x:c r="G28" s="25"/>
      <x:c r="H28" s="24"/>
      <x:c r="I28" s="24"/>
      <x:c r="J28" s="24"/>
      <x:c r="K28" s="24"/>
      <x:c r="L28" s="24"/>
      <x:c r="M28" s="25"/>
      <x:c r="N28" s="24">
        <x:v>2.0</x:v>
      </x:c>
      <x:c r="O28" s="25"/>
      <x:c r="P28" s="25"/>
      <x:c r="Q28" s="25"/>
      <x:c r="R28" s="26" t="n">
        <x:f>(E28*$E$2+F28*$F$2+G28*$G$2+H28*$H$2+I28*$I$2+J28*$J$2+K28*$K$2+L28*$L$2+M28*$M$2+N28*$N$2+Q28*$Q$12+O28*$O$2+P28*$P$2) - 20000</x:f>
        <x:v>580000</x:v>
      </x:c>
      <x:c r="S28" s="23" t="s">
        <x:v>37</x:v>
      </x:c>
      <x:c r="T28" s="23"/>
      <x:c r="U28" s="23" t="s">
        <x:v>34</x:v>
      </x:c>
      <x:c r="V28" s="32"/>
      <x:c r="W28" s="33"/>
      <x:c r="X28" s="34" t="e">
        <x:f>IFERROR(__xludf.DUMMYFUNCTION("SUM(FILTER($E$4:$N$1118, $C$4:$C$1118 = W28))"),2.190483267715339E7)</x:f>
        <x:v>#NAME?</x:v>
      </x:c>
      <x:c r="Y28" s="34" t="e">
        <x:f>IFERROR(__xludf.DUMMYFUNCTION("COUNT(FILTER($C$4:$C$1118, $C$4:$C$1118 = W28))"),0.0)</x:f>
        <x:v>#NAME?</x:v>
      </x:c>
      <x:c r="Z28" s="31">
        <x:f t="shared" si="8"/>
        <x:v>0</x:v>
      </x:c>
    </x:row>
    <x:row r="29" ht="18.75" customHeight="1">
      <x:c r="A29" s="19">
        <x:v>27.0</x:v>
      </x:c>
      <x:c r="B29" s="29" t="s">
        <x:v>180</x:v>
      </x:c>
      <x:c r="C29" s="21">
        <x:v>46042.0</x:v>
      </x:c>
      <x:c r="D29" s="22" t="s">
        <x:v>181</x:v>
      </x:c>
      <x:c r="E29" s="23"/>
      <x:c r="F29" s="24"/>
      <x:c r="G29" s="24"/>
      <x:c r="H29" s="25"/>
      <x:c r="I29" s="25"/>
      <x:c r="J29" s="25"/>
      <x:c r="K29" s="24">
        <x:v>6.0</x:v>
      </x:c>
      <x:c r="L29" s="24"/>
      <x:c r="M29" s="25"/>
      <x:c r="N29" s="25"/>
      <x:c r="O29" s="25"/>
      <x:c r="P29" s="25"/>
      <x:c r="Q29" s="25"/>
      <x:c r="R29" s="26" t="n">
        <x:f>(E29*$E$2+F29*$F$2+G29*$G$2+H29*$H$2+I29*$I$2+J29*$J$2+K29*$K$2+L29*$L$2+M29*$M$2+N29*$N$2+Q29*$Q$12+O29*$O$2+P29*$P$2) - 15000</x:f>
        <x:v>1455000</x:v>
      </x:c>
      <x:c r="S29" s="23" t="s">
        <x:v>37</x:v>
      </x:c>
      <x:c r="T29" s="23" t="s">
        <x:v>74</x:v>
      </x:c>
      <x:c r="U29" s="23" t="s">
        <x:v>31</x:v>
      </x:c>
      <x:c r="V29" s="32"/>
      <x:c r="W29" s="33"/>
      <x:c r="X29" s="34" t="e">
        <x:f>IFERROR(__xludf.DUMMYFUNCTION("SUM(FILTER($E$4:$N$1118, $C$4:$C$1118 = W29))"),2.190483267715339E7)</x:f>
        <x:v>#NAME?</x:v>
      </x:c>
      <x:c r="Y29" s="34" t="e">
        <x:f>IFERROR(__xludf.DUMMYFUNCTION("COUNT(FILTER($C$4:$C$1118, $C$4:$C$1118 = W29))"),0.0)</x:f>
        <x:v>#NAME?</x:v>
      </x:c>
      <x:c r="Z29" s="31">
        <x:f t="shared" si="8"/>
        <x:v>0</x:v>
      </x:c>
    </x:row>
    <x:row r="30" ht="18.75" customHeight="1">
      <x:c r="A30" s="19">
        <x:v>28.0</x:v>
      </x:c>
      <x:c r="B30" s="29" t="s">
        <x:v>182</x:v>
      </x:c>
      <x:c r="C30" s="21">
        <x:v>46042.0</x:v>
      </x:c>
      <x:c r="D30" s="22" t="s">
        <x:v>183</x:v>
      </x:c>
      <x:c r="E30" s="23"/>
      <x:c r="F30" s="24"/>
      <x:c r="G30" s="25"/>
      <x:c r="H30" s="25"/>
      <x:c r="I30" s="25"/>
      <x:c r="J30" s="25"/>
      <x:c r="K30" s="24">
        <x:v>1.0</x:v>
      </x:c>
      <x:c r="L30" s="24"/>
      <x:c r="M30" s="25"/>
      <x:c r="N30" s="25"/>
      <x:c r="O30" s="25"/>
      <x:c r="P30" s="25"/>
      <x:c r="Q30" s="25"/>
      <x:c r="R30" s="26" t="n">
        <x:f t="shared" ref="R30:R169" si="9">(E30*$E$2+F30*$F$2+G30*$G$2+H30*$H$2+I30*$I$2+J30*$J$2+K30*$K$2+L30*$L$2+M30*$M$2+N30*$N$2+Q30*$Q$12+O30*$O$2+P30*$P$2)</x:f>
        <x:v>245000</x:v>
      </x:c>
      <x:c r="S30" s="23" t="s">
        <x:v>37</x:v>
      </x:c>
      <x:c r="T30" s="23" t="s">
        <x:v>30</x:v>
      </x:c>
      <x:c r="U30" s="23" t="s">
        <x:v>31</x:v>
      </x:c>
      <x:c r="V30" s="32"/>
      <x:c r="W30" s="33"/>
      <x:c r="X30" s="34" t="e">
        <x:f>IFERROR(__xludf.DUMMYFUNCTION("SUM(FILTER($E$4:$N$1118, $C$4:$C$1118 = W30))"),2.190483267715339E7)</x:f>
        <x:v>#NAME?</x:v>
      </x:c>
      <x:c r="Y30" s="34" t="e">
        <x:f>IFERROR(__xludf.DUMMYFUNCTION("COUNT(FILTER($C$4:$C$1118, $C$4:$C$1118 = W30))"),0.0)</x:f>
        <x:v>#NAME?</x:v>
      </x:c>
      <x:c r="Z30" s="31">
        <x:f t="shared" si="8"/>
        <x:v>0</x:v>
      </x:c>
    </x:row>
    <x:row r="31" ht="18.75" customHeight="1">
      <x:c r="A31" s="19">
        <x:v>29.0</x:v>
      </x:c>
      <x:c r="B31" s="29"/>
      <x:c r="C31" s="21"/>
      <x:c r="D31" s="35"/>
      <x:c r="E31" s="23"/>
      <x:c r="F31" s="24"/>
      <x:c r="G31" s="24"/>
      <x:c r="H31" s="24"/>
      <x:c r="I31" s="24"/>
      <x:c r="J31" s="24"/>
      <x:c r="K31" s="25"/>
      <x:c r="L31" s="24"/>
      <x:c r="M31" s="24"/>
      <x:c r="N31" s="25"/>
      <x:c r="O31" s="25"/>
      <x:c r="P31" s="25"/>
      <x:c r="Q31" s="25"/>
      <x:c r="R31" s="26">
        <x:f t="shared" si="9"/>
        <x:v>0</x:v>
      </x:c>
      <x:c r="S31" s="23"/>
      <x:c r="T31" s="23"/>
      <x:c r="U31" s="23"/>
      <x:c r="V31" s="32"/>
      <x:c r="W31" s="33"/>
      <x:c r="X31" s="34" t="e">
        <x:f>IFERROR(__xludf.DUMMYFUNCTION("SUM(FILTER($E$4:$N$1118, $C$4:$C$1118 = W31))"),2.190483267715339E7)</x:f>
        <x:v>#NAME?</x:v>
      </x:c>
      <x:c r="Y31" s="34" t="e">
        <x:f>IFERROR(__xludf.DUMMYFUNCTION("COUNT(FILTER($C$4:$C$1118, $C$4:$C$1118 = W31))"),0.0)</x:f>
        <x:v>#NAME?</x:v>
      </x:c>
      <x:c r="Z31" s="31">
        <x:f t="shared" si="8"/>
        <x:v>0</x:v>
      </x:c>
    </x:row>
    <x:row r="32" ht="18.75" customHeight="1">
      <x:c r="A32" s="19">
        <x:v>30.0</x:v>
      </x:c>
      <x:c r="B32" s="29"/>
      <x:c r="C32" s="21"/>
      <x:c r="D32" s="35"/>
      <x:c r="E32" s="23"/>
      <x:c r="F32" s="24"/>
      <x:c r="G32" s="24"/>
      <x:c r="H32" s="24"/>
      <x:c r="I32" s="24"/>
      <x:c r="J32" s="24"/>
      <x:c r="K32" s="25"/>
      <x:c r="L32" s="24"/>
      <x:c r="M32" s="25"/>
      <x:c r="N32" s="25"/>
      <x:c r="O32" s="25"/>
      <x:c r="P32" s="25"/>
      <x:c r="Q32" s="25"/>
      <x:c r="R32" s="26">
        <x:f t="shared" si="9"/>
        <x:v>0</x:v>
      </x:c>
      <x:c r="S32" s="23"/>
      <x:c r="T32" s="23"/>
      <x:c r="U32" s="23"/>
      <x:c r="V32" s="32"/>
      <x:c r="W32" s="33"/>
      <x:c r="X32" s="34" t="e">
        <x:f>IFERROR(__xludf.DUMMYFUNCTION("SUM(FILTER($E$4:$N$1118, $C$4:$C$1118 = W32))"),2.190483267715339E7)</x:f>
        <x:v>#NAME?</x:v>
      </x:c>
      <x:c r="Y32" s="34" t="e">
        <x:f>IFERROR(__xludf.DUMMYFUNCTION("COUNT(FILTER($C$4:$C$1118, $C$4:$C$1118 = W32))"),0.0)</x:f>
        <x:v>#NAME?</x:v>
      </x:c>
      <x:c r="Z32" s="31">
        <x:f t="shared" si="8"/>
        <x:v>0</x:v>
      </x:c>
    </x:row>
    <x:row r="33">
      <x:c r="A33" s="19">
        <x:v>31.0</x:v>
      </x:c>
      <x:c r="B33" s="29"/>
      <x:c r="C33" s="21"/>
      <x:c r="D33" s="35"/>
      <x:c r="E33" s="23"/>
      <x:c r="F33" s="24"/>
      <x:c r="G33" s="25"/>
      <x:c r="H33" s="25"/>
      <x:c r="I33" s="25"/>
      <x:c r="J33" s="25"/>
      <x:c r="K33" s="24"/>
      <x:c r="L33" s="24"/>
      <x:c r="M33" s="25"/>
      <x:c r="N33" s="25"/>
      <x:c r="O33" s="25"/>
      <x:c r="P33" s="25"/>
      <x:c r="Q33" s="25"/>
      <x:c r="R33" s="26">
        <x:f t="shared" si="9"/>
        <x:v>0</x:v>
      </x:c>
      <x:c r="S33" s="23"/>
      <x:c r="T33" s="23"/>
      <x:c r="U33" s="23"/>
      <x:c r="V33" s="57"/>
      <x:c r="W33" s="33"/>
      <x:c r="X33" s="34" t="e">
        <x:f>IFERROR(__xludf.DUMMYFUNCTION("SUM(FILTER($E$4:$N$1118, $C$4:$C$1118 = W33))"),2.190483267715339E7)</x:f>
        <x:v>#NAME?</x:v>
      </x:c>
      <x:c r="Y33" s="34" t="e">
        <x:f>IFERROR(__xludf.DUMMYFUNCTION("COUNT(FILTER($C$4:$C$1118, $C$4:$C$1118 = W33))"),0.0)</x:f>
        <x:v>#NAME?</x:v>
      </x:c>
      <x:c r="Z33" s="31">
        <x:f t="shared" si="8"/>
        <x:v>0</x:v>
      </x:c>
    </x:row>
    <x:row r="34" ht="18.75" customHeight="1">
      <x:c r="A34" s="19">
        <x:v>32.0</x:v>
      </x:c>
      <x:c r="B34" s="29"/>
      <x:c r="C34" s="21"/>
      <x:c r="D34" s="35"/>
      <x:c r="E34" s="23"/>
      <x:c r="F34" s="24"/>
      <x:c r="G34" s="24"/>
      <x:c r="H34" s="24"/>
      <x:c r="I34" s="24"/>
      <x:c r="J34" s="24"/>
      <x:c r="K34" s="24"/>
      <x:c r="L34" s="24"/>
      <x:c r="M34" s="25"/>
      <x:c r="N34" s="25"/>
      <x:c r="O34" s="25"/>
      <x:c r="P34" s="25"/>
      <x:c r="Q34" s="25"/>
      <x:c r="R34" s="26">
        <x:f t="shared" si="9"/>
        <x:v>0</x:v>
      </x:c>
      <x:c r="S34" s="23"/>
      <x:c r="T34" s="23"/>
      <x:c r="U34" s="23"/>
      <x:c r="V34" s="57"/>
      <x:c r="W34" s="33"/>
      <x:c r="X34" s="34" t="e">
        <x:f>IFERROR(__xludf.DUMMYFUNCTION("SUM(FILTER($E$4:$N$1118, $C$4:$C$1118 = W34))"),2.190483267715339E7)</x:f>
        <x:v>#NAME?</x:v>
      </x:c>
      <x:c r="Y34" s="34" t="e">
        <x:f>IFERROR(__xludf.DUMMYFUNCTION("COUNT(FILTER($C$4:$C$1118, $C$4:$C$1118 = W34))"),0.0)</x:f>
        <x:v>#NAME?</x:v>
      </x:c>
      <x:c r="Z34" s="31">
        <x:f t="shared" si="8"/>
        <x:v>0</x:v>
      </x:c>
    </x:row>
    <x:row r="35" ht="18.75" customHeight="1">
      <x:c r="A35" s="19">
        <x:v>33.0</x:v>
      </x:c>
      <x:c r="B35" s="29"/>
      <x:c r="C35" s="21"/>
      <x:c r="D35" s="35"/>
      <x:c r="E35" s="23"/>
      <x:c r="F35" s="24"/>
      <x:c r="G35" s="24"/>
      <x:c r="H35" s="24"/>
      <x:c r="I35" s="24"/>
      <x:c r="J35" s="24"/>
      <x:c r="K35" s="24"/>
      <x:c r="L35" s="24"/>
      <x:c r="M35" s="24"/>
      <x:c r="N35" s="25"/>
      <x:c r="O35" s="25"/>
      <x:c r="P35" s="25"/>
      <x:c r="Q35" s="25"/>
      <x:c r="R35" s="26">
        <x:f t="shared" si="9"/>
        <x:v>0</x:v>
      </x:c>
      <x:c r="S35" s="23"/>
      <x:c r="T35" s="23"/>
      <x:c r="U35" s="23"/>
      <x:c r="V35" s="32"/>
      <x:c r="W35" s="33"/>
      <x:c r="X35" s="34" t="e">
        <x:f>IFERROR(__xludf.DUMMYFUNCTION("SUM(FILTER($E$4:$N$1118, $C$4:$C$1118 = W35))"),2.190483267715339E7)</x:f>
        <x:v>#NAME?</x:v>
      </x:c>
      <x:c r="Y35" s="34" t="e">
        <x:f>IFERROR(__xludf.DUMMYFUNCTION("COUNT(FILTER($C$4:$C$1118, $C$4:$C$1118 = W35))"),0.0)</x:f>
        <x:v>#NAME?</x:v>
      </x:c>
      <x:c r="Z35" s="31">
        <x:f t="shared" si="8"/>
        <x:v>0</x:v>
      </x:c>
    </x:row>
    <x:row r="36" ht="18.75" customHeight="1">
      <x:c r="A36" s="19">
        <x:v>35.0</x:v>
      </x:c>
      <x:c r="B36" s="29"/>
      <x:c r="C36" s="21"/>
      <x:c r="D36" s="35"/>
      <x:c r="E36" s="23"/>
      <x:c r="F36" s="24"/>
      <x:c r="G36" s="24"/>
      <x:c r="H36" s="24"/>
      <x:c r="I36" s="24"/>
      <x:c r="J36" s="24"/>
      <x:c r="K36" s="24"/>
      <x:c r="L36" s="24"/>
      <x:c r="M36" s="24"/>
      <x:c r="N36" s="24"/>
      <x:c r="O36" s="25"/>
      <x:c r="P36" s="25"/>
      <x:c r="Q36" s="25"/>
      <x:c r="R36" s="26">
        <x:f t="shared" si="9"/>
        <x:v>0</x:v>
      </x:c>
      <x:c r="S36" s="23"/>
      <x:c r="T36" s="23"/>
      <x:c r="U36" s="23"/>
      <x:c r="V36" s="32"/>
      <x:c r="W36" s="33"/>
      <x:c r="X36" s="34" t="e">
        <x:f>IFERROR(__xludf.DUMMYFUNCTION("SUM(FILTER($E$4:$N$1118, $C$4:$C$1118 = W36))"),2.190483267715339E7)</x:f>
        <x:v>#NAME?</x:v>
      </x:c>
      <x:c r="Y36" s="34" t="e">
        <x:f>IFERROR(__xludf.DUMMYFUNCTION("COUNT(FILTER($C$4:$C$1118, $C$4:$C$1118 = W36))"),0.0)</x:f>
        <x:v>#NAME?</x:v>
      </x:c>
      <x:c r="Z36" s="31">
        <x:f t="shared" si="8"/>
        <x:v>0</x:v>
      </x:c>
    </x:row>
    <x:row r="37" ht="18.75" customHeight="1">
      <x:c r="A37" s="19">
        <x:v>36.0</x:v>
      </x:c>
      <x:c r="B37" s="29"/>
      <x:c r="C37" s="21"/>
      <x:c r="D37" s="35"/>
      <x:c r="E37" s="56"/>
      <x:c r="F37" s="24"/>
      <x:c r="G37" s="25"/>
      <x:c r="H37" s="25"/>
      <x:c r="I37" s="25"/>
      <x:c r="J37" s="25"/>
      <x:c r="K37" s="24"/>
      <x:c r="L37" s="25"/>
      <x:c r="M37" s="25"/>
      <x:c r="N37" s="25"/>
      <x:c r="O37" s="25"/>
      <x:c r="P37" s="25"/>
      <x:c r="Q37" s="25"/>
      <x:c r="R37" s="26">
        <x:f t="shared" si="9"/>
        <x:v>0</x:v>
      </x:c>
      <x:c r="S37" s="23"/>
      <x:c r="T37" s="23"/>
      <x:c r="U37" s="23"/>
      <x:c r="V37" s="32"/>
      <x:c r="W37" s="33"/>
      <x:c r="X37" s="34" t="e">
        <x:f>IFERROR(__xludf.DUMMYFUNCTION("SUM(FILTER($E$4:$N$1118, $C$4:$C$1118 = W37))"),2.190483267715339E7)</x:f>
        <x:v>#NAME?</x:v>
      </x:c>
      <x:c r="Y37" s="34" t="e">
        <x:f>IFERROR(__xludf.DUMMYFUNCTION("COUNT(FILTER($C$4:$C$1118, $C$4:$C$1118 = W37))"),0.0)</x:f>
        <x:v>#NAME?</x:v>
      </x:c>
      <x:c r="Z37" s="31">
        <x:f t="shared" si="8"/>
        <x:v>0</x:v>
      </x:c>
    </x:row>
    <x:row r="38" ht="18.75" customHeight="1">
      <x:c r="A38" s="19">
        <x:v>37.0</x:v>
      </x:c>
      <x:c r="B38" s="29"/>
      <x:c r="C38" s="21"/>
      <x:c r="D38" s="35"/>
      <x:c r="E38" s="23"/>
      <x:c r="F38" s="24"/>
      <x:c r="G38" s="24"/>
      <x:c r="H38" s="24"/>
      <x:c r="I38" s="24"/>
      <x:c r="J38" s="24"/>
      <x:c r="K38" s="24"/>
      <x:c r="L38" s="24"/>
      <x:c r="M38" s="25"/>
      <x:c r="N38" s="25"/>
      <x:c r="O38" s="25"/>
      <x:c r="P38" s="25"/>
      <x:c r="Q38" s="25"/>
      <x:c r="R38" s="26">
        <x:f t="shared" si="9"/>
        <x:v>0</x:v>
      </x:c>
      <x:c r="S38" s="23"/>
      <x:c r="T38" s="23"/>
      <x:c r="U38" s="23"/>
      <x:c r="V38" s="32"/>
      <x:c r="W38" s="33"/>
      <x:c r="X38" s="34" t="e">
        <x:f>IFERROR(__xludf.DUMMYFUNCTION("SUM(FILTER($E$4:$N$1118, $C$4:$C$1118 = W38))"),2.190483267715339E7)</x:f>
        <x:v>#NAME?</x:v>
      </x:c>
      <x:c r="Y38" s="34" t="e">
        <x:f>IFERROR(__xludf.DUMMYFUNCTION("COUNT(FILTER($C$4:$C$1118, $C$4:$C$1118 = W38))"),0.0)</x:f>
        <x:v>#NAME?</x:v>
      </x:c>
      <x:c r="Z38" s="31">
        <x:f t="shared" si="8"/>
        <x:v>0</x:v>
      </x:c>
    </x:row>
    <x:row r="39" ht="18.75" customHeight="1">
      <x:c r="A39" s="19"/>
      <x:c r="B39" s="29"/>
      <x:c r="C39" s="21"/>
      <x:c r="D39" s="35"/>
      <x:c r="E39" s="23"/>
      <x:c r="F39" s="24"/>
      <x:c r="G39" s="25"/>
      <x:c r="H39" s="25"/>
      <x:c r="I39" s="25"/>
      <x:c r="J39" s="25"/>
      <x:c r="K39" s="24"/>
      <x:c r="L39" s="24"/>
      <x:c r="M39" s="25"/>
      <x:c r="N39" s="25"/>
      <x:c r="O39" s="25"/>
      <x:c r="P39" s="25"/>
      <x:c r="Q39" s="25"/>
      <x:c r="R39" s="26">
        <x:f t="shared" si="9"/>
        <x:v>0</x:v>
      </x:c>
      <x:c r="S39" s="23"/>
      <x:c r="T39" s="23"/>
      <x:c r="U39" s="23"/>
      <x:c r="W39" s="33"/>
      <x:c r="X39" s="34" t="e">
        <x:f>IFERROR(__xludf.DUMMYFUNCTION("SUM(FILTER($E$4:$N$1118, $C$4:$C$1118 = W39))"),2.190483267715339E7)</x:f>
        <x:v>#NAME?</x:v>
      </x:c>
      <x:c r="Y39" s="34" t="e">
        <x:f>IFERROR(__xludf.DUMMYFUNCTION("COUNT(FILTER($C$4:$C$1118, $C$4:$C$1118 = W39))"),0.0)</x:f>
        <x:v>#NAME?</x:v>
      </x:c>
      <x:c r="Z39" s="31">
        <x:f t="shared" si="8"/>
        <x:v>0</x:v>
      </x:c>
    </x:row>
    <x:row r="40" ht="18.75" customHeight="1">
      <x:c r="A40" s="19"/>
      <x:c r="B40" s="29"/>
      <x:c r="C40" s="21"/>
      <x:c r="D40" s="35"/>
      <x:c r="E40" s="23"/>
      <x:c r="F40" s="24"/>
      <x:c r="G40" s="25"/>
      <x:c r="H40" s="25"/>
      <x:c r="I40" s="25"/>
      <x:c r="J40" s="25"/>
      <x:c r="K40" s="24"/>
      <x:c r="L40" s="24"/>
      <x:c r="M40" s="25"/>
      <x:c r="N40" s="25"/>
      <x:c r="O40" s="25"/>
      <x:c r="P40" s="25"/>
      <x:c r="Q40" s="25"/>
      <x:c r="R40" s="26">
        <x:f t="shared" si="9"/>
        <x:v>0</x:v>
      </x:c>
      <x:c r="S40" s="23"/>
      <x:c r="T40" s="23"/>
      <x:c r="U40" s="23"/>
    </x:row>
    <x:row r="41">
      <x:c r="A41" s="19"/>
      <x:c r="B41" s="29"/>
      <x:c r="C41" s="21"/>
      <x:c r="D41" s="35"/>
      <x:c r="E41" s="56"/>
      <x:c r="F41" s="24"/>
      <x:c r="G41" s="24"/>
      <x:c r="H41" s="24"/>
      <x:c r="I41" s="24"/>
      <x:c r="J41" s="24"/>
      <x:c r="K41" s="24"/>
      <x:c r="L41" s="24"/>
      <x:c r="M41" s="25"/>
      <x:c r="N41" s="25"/>
      <x:c r="O41" s="25"/>
      <x:c r="P41" s="25"/>
      <x:c r="Q41" s="25"/>
      <x:c r="R41" s="26">
        <x:f t="shared" si="9"/>
        <x:v>0</x:v>
      </x:c>
      <x:c r="S41" s="23"/>
      <x:c r="T41" s="23"/>
      <x:c r="U41" s="23"/>
      <x:c r="V41" s="32"/>
    </x:row>
    <x:row r="42" ht="18.75" customHeight="1">
      <x:c r="A42" s="19"/>
      <x:c r="B42" s="29"/>
      <x:c r="C42" s="21"/>
      <x:c r="D42" s="35"/>
      <x:c r="E42" s="23"/>
      <x:c r="F42" s="24"/>
      <x:c r="G42" s="25"/>
      <x:c r="H42" s="25"/>
      <x:c r="I42" s="25"/>
      <x:c r="J42" s="25"/>
      <x:c r="K42" s="24"/>
      <x:c r="L42" s="24"/>
      <x:c r="M42" s="25"/>
      <x:c r="N42" s="25"/>
      <x:c r="O42" s="25"/>
      <x:c r="P42" s="25"/>
      <x:c r="Q42" s="25"/>
      <x:c r="R42" s="26">
        <x:f t="shared" si="9"/>
        <x:v>0</x:v>
      </x:c>
      <x:c r="S42" s="23"/>
      <x:c r="T42" s="23"/>
      <x:c r="U42" s="23"/>
    </x:row>
    <x:row r="43" ht="18.75" customHeight="1">
      <x:c r="A43" s="19"/>
      <x:c r="B43" s="29"/>
      <x:c r="C43" s="21"/>
      <x:c r="D43" s="35"/>
      <x:c r="E43" s="23"/>
      <x:c r="F43" s="24"/>
      <x:c r="G43" s="25"/>
      <x:c r="H43" s="25"/>
      <x:c r="I43" s="25"/>
      <x:c r="J43" s="25"/>
      <x:c r="K43" s="24"/>
      <x:c r="L43" s="24"/>
      <x:c r="M43" s="25"/>
      <x:c r="N43" s="25"/>
      <x:c r="O43" s="25"/>
      <x:c r="P43" s="25"/>
      <x:c r="Q43" s="25"/>
      <x:c r="R43" s="26">
        <x:f t="shared" si="9"/>
        <x:v>0</x:v>
      </x:c>
      <x:c r="S43" s="23"/>
      <x:c r="T43" s="23"/>
      <x:c r="U43" s="23"/>
    </x:row>
    <x:row r="44" ht="18.75" customHeight="1">
      <x:c r="A44" s="19"/>
      <x:c r="B44" s="29"/>
      <x:c r="C44" s="21"/>
      <x:c r="D44" s="35"/>
      <x:c r="E44" s="23"/>
      <x:c r="F44" s="24"/>
      <x:c r="G44" s="24"/>
      <x:c r="H44" s="24"/>
      <x:c r="I44" s="24"/>
      <x:c r="J44" s="24"/>
      <x:c r="K44" s="24"/>
      <x:c r="L44" s="24"/>
      <x:c r="M44" s="25"/>
      <x:c r="N44" s="25"/>
      <x:c r="O44" s="25"/>
      <x:c r="P44" s="25"/>
      <x:c r="Q44" s="25"/>
      <x:c r="R44" s="26">
        <x:f t="shared" si="9"/>
        <x:v>0</x:v>
      </x:c>
      <x:c r="S44" s="23"/>
      <x:c r="T44" s="23"/>
      <x:c r="U44" s="23"/>
    </x:row>
    <x:row r="45" ht="18.75" customHeight="1">
      <x:c r="A45" s="19"/>
      <x:c r="B45" s="29"/>
      <x:c r="C45" s="21"/>
      <x:c r="D45" s="35"/>
      <x:c r="E45" s="23"/>
      <x:c r="F45" s="24"/>
      <x:c r="G45" s="25"/>
      <x:c r="H45" s="25"/>
      <x:c r="I45" s="25"/>
      <x:c r="J45" s="25"/>
      <x:c r="K45" s="24"/>
      <x:c r="L45" s="24"/>
      <x:c r="M45" s="25"/>
      <x:c r="N45" s="25"/>
      <x:c r="O45" s="25"/>
      <x:c r="P45" s="25"/>
      <x:c r="Q45" s="25"/>
      <x:c r="R45" s="26">
        <x:f t="shared" si="9"/>
        <x:v>0</x:v>
      </x:c>
      <x:c r="S45" s="23"/>
      <x:c r="T45" s="23"/>
      <x:c r="U45" s="23"/>
    </x:row>
    <x:row r="46" ht="18.75" customHeight="1">
      <x:c r="A46" s="19"/>
      <x:c r="B46" s="29"/>
      <x:c r="C46" s="21"/>
      <x:c r="D46" s="55"/>
      <x:c r="E46" s="23"/>
      <x:c r="F46" s="24"/>
      <x:c r="G46" s="25"/>
      <x:c r="H46" s="24"/>
      <x:c r="I46" s="24"/>
      <x:c r="J46" s="24"/>
      <x:c r="K46" s="24"/>
      <x:c r="L46" s="24"/>
      <x:c r="M46" s="25"/>
      <x:c r="N46" s="25"/>
      <x:c r="O46" s="25"/>
      <x:c r="P46" s="25"/>
      <x:c r="Q46" s="25"/>
      <x:c r="R46" s="26">
        <x:f t="shared" si="9"/>
        <x:v>0</x:v>
      </x:c>
      <x:c r="S46" s="23"/>
      <x:c r="T46" s="23"/>
      <x:c r="U46" s="23"/>
    </x:row>
    <x:row r="47" ht="18.75" customHeight="1">
      <x:c r="A47" s="19"/>
      <x:c r="B47" s="71"/>
      <x:c r="C47" s="21"/>
      <x:c r="D47" s="35"/>
      <x:c r="E47" s="23"/>
      <x:c r="F47" s="24"/>
      <x:c r="G47" s="25"/>
      <x:c r="H47" s="25"/>
      <x:c r="I47" s="25"/>
      <x:c r="J47" s="25"/>
      <x:c r="K47" s="24"/>
      <x:c r="L47" s="24"/>
      <x:c r="M47" s="25"/>
      <x:c r="N47" s="25"/>
      <x:c r="O47" s="25"/>
      <x:c r="P47" s="25"/>
      <x:c r="Q47" s="25"/>
      <x:c r="R47" s="26">
        <x:f t="shared" si="9"/>
        <x:v>0</x:v>
      </x:c>
      <x:c r="S47" s="23"/>
      <x:c r="T47" s="23"/>
      <x:c r="U47" s="23"/>
    </x:row>
    <x:row r="48" ht="18.75" customHeight="1">
      <x:c r="A48" s="19"/>
      <x:c r="B48" s="29"/>
      <x:c r="C48" s="21"/>
      <x:c r="D48" s="35"/>
      <x:c r="E48" s="56"/>
      <x:c r="F48" s="24"/>
      <x:c r="G48" s="25"/>
      <x:c r="H48" s="25"/>
      <x:c r="I48" s="25"/>
      <x:c r="J48" s="25"/>
      <x:c r="K48" s="24"/>
      <x:c r="L48" s="24"/>
      <x:c r="M48" s="25"/>
      <x:c r="N48" s="25"/>
      <x:c r="O48" s="25"/>
      <x:c r="P48" s="25"/>
      <x:c r="Q48" s="25"/>
      <x:c r="R48" s="26">
        <x:f t="shared" si="9"/>
        <x:v>0</x:v>
      </x:c>
      <x:c r="S48" s="23"/>
      <x:c r="T48" s="23"/>
      <x:c r="U48" s="23"/>
    </x:row>
    <x:row r="49" ht="18.75" customHeight="1">
      <x:c r="A49" s="19"/>
      <x:c r="B49" s="29"/>
      <x:c r="C49" s="21"/>
      <x:c r="D49" s="35"/>
      <x:c r="E49" s="23"/>
      <x:c r="F49" s="24"/>
      <x:c r="G49" s="25"/>
      <x:c r="H49" s="25"/>
      <x:c r="I49" s="25"/>
      <x:c r="J49" s="25"/>
      <x:c r="K49" s="24"/>
      <x:c r="L49" s="25"/>
      <x:c r="M49" s="25"/>
      <x:c r="N49" s="25"/>
      <x:c r="O49" s="25"/>
      <x:c r="P49" s="25"/>
      <x:c r="Q49" s="25"/>
      <x:c r="R49" s="26">
        <x:f t="shared" si="9"/>
        <x:v>0</x:v>
      </x:c>
      <x:c r="S49" s="23"/>
      <x:c r="T49" s="23"/>
      <x:c r="U49" s="23"/>
    </x:row>
    <x:row r="50" ht="18.75" customHeight="1">
      <x:c r="A50" s="19"/>
      <x:c r="B50" s="29"/>
      <x:c r="C50" s="21"/>
      <x:c r="D50" s="55"/>
      <x:c r="E50" s="23"/>
      <x:c r="F50" s="24"/>
      <x:c r="G50" s="25"/>
      <x:c r="H50" s="25"/>
      <x:c r="I50" s="25"/>
      <x:c r="J50" s="25"/>
      <x:c r="K50" s="24"/>
      <x:c r="L50" s="24"/>
      <x:c r="M50" s="25"/>
      <x:c r="N50" s="25"/>
      <x:c r="O50" s="25"/>
      <x:c r="P50" s="25"/>
      <x:c r="Q50" s="25"/>
      <x:c r="R50" s="26">
        <x:f t="shared" si="9"/>
        <x:v>0</x:v>
      </x:c>
      <x:c r="S50" s="23"/>
      <x:c r="T50" s="23"/>
      <x:c r="U50" s="23"/>
    </x:row>
    <x:row r="51" ht="18.75" customHeight="1">
      <x:c r="A51" s="19"/>
      <x:c r="B51" s="29"/>
      <x:c r="C51" s="21"/>
      <x:c r="D51" s="55"/>
      <x:c r="E51" s="56"/>
      <x:c r="F51" s="24"/>
      <x:c r="G51" s="24"/>
      <x:c r="H51" s="24"/>
      <x:c r="I51" s="24"/>
      <x:c r="J51" s="24"/>
      <x:c r="K51" s="24"/>
      <x:c r="L51" s="24"/>
      <x:c r="M51" s="25"/>
      <x:c r="N51" s="25"/>
      <x:c r="O51" s="25"/>
      <x:c r="P51" s="25"/>
      <x:c r="Q51" s="25"/>
      <x:c r="R51" s="26">
        <x:f t="shared" si="9"/>
        <x:v>0</x:v>
      </x:c>
      <x:c r="S51" s="23"/>
      <x:c r="T51" s="23"/>
      <x:c r="U51" s="23"/>
    </x:row>
    <x:row r="52" ht="18.75" customHeight="1">
      <x:c r="A52" s="19"/>
      <x:c r="B52" s="29"/>
      <x:c r="C52" s="21"/>
      <x:c r="D52" s="35"/>
      <x:c r="E52" s="56"/>
      <x:c r="F52" s="24"/>
      <x:c r="G52" s="24"/>
      <x:c r="H52" s="24"/>
      <x:c r="I52" s="24"/>
      <x:c r="J52" s="24"/>
      <x:c r="K52" s="24"/>
      <x:c r="L52" s="24"/>
      <x:c r="M52" s="25"/>
      <x:c r="N52" s="25"/>
      <x:c r="O52" s="25"/>
      <x:c r="P52" s="25"/>
      <x:c r="Q52" s="25"/>
      <x:c r="R52" s="26">
        <x:f t="shared" si="9"/>
        <x:v>0</x:v>
      </x:c>
      <x:c r="S52" s="23"/>
      <x:c r="T52" s="23"/>
      <x:c r="U52" s="23"/>
    </x:row>
    <x:row r="53" ht="18.75" customHeight="1">
      <x:c r="A53" s="19"/>
      <x:c r="B53" s="29"/>
      <x:c r="C53" s="21"/>
      <x:c r="D53" s="55"/>
      <x:c r="E53" s="56"/>
      <x:c r="F53" s="24"/>
      <x:c r="G53" s="24"/>
      <x:c r="H53" s="24"/>
      <x:c r="I53" s="24"/>
      <x:c r="J53" s="24"/>
      <x:c r="K53" s="24"/>
      <x:c r="L53" s="24"/>
      <x:c r="M53" s="25"/>
      <x:c r="N53" s="25"/>
      <x:c r="O53" s="25"/>
      <x:c r="P53" s="25"/>
      <x:c r="Q53" s="25"/>
      <x:c r="R53" s="26">
        <x:f t="shared" si="9"/>
        <x:v>0</x:v>
      </x:c>
      <x:c r="S53" s="23"/>
      <x:c r="T53" s="23"/>
      <x:c r="U53" s="23"/>
      <x:c r="V53" s="39"/>
    </x:row>
    <x:row r="54" ht="18.75" customHeight="1">
      <x:c r="A54" s="19"/>
      <x:c r="B54" s="29"/>
      <x:c r="C54" s="21"/>
      <x:c r="D54" s="35"/>
      <x:c r="E54" s="56"/>
      <x:c r="F54" s="24"/>
      <x:c r="G54" s="24"/>
      <x:c r="H54" s="24"/>
      <x:c r="I54" s="24"/>
      <x:c r="J54" s="24"/>
      <x:c r="K54" s="24"/>
      <x:c r="L54" s="24"/>
      <x:c r="M54" s="24"/>
      <x:c r="N54" s="24"/>
      <x:c r="O54" s="25"/>
      <x:c r="P54" s="25"/>
      <x:c r="Q54" s="25"/>
      <x:c r="R54" s="26">
        <x:f t="shared" si="9"/>
        <x:v>0</x:v>
      </x:c>
      <x:c r="S54" s="23"/>
      <x:c r="T54" s="23"/>
      <x:c r="U54" s="23"/>
    </x:row>
    <x:row r="55" ht="18.75" customHeight="1">
      <x:c r="A55" s="19"/>
      <x:c r="B55" s="29"/>
      <x:c r="C55" s="21"/>
      <x:c r="D55" s="35"/>
      <x:c r="E55" s="56"/>
      <x:c r="F55" s="24"/>
      <x:c r="G55" s="25"/>
      <x:c r="H55" s="25"/>
      <x:c r="I55" s="25"/>
      <x:c r="J55" s="25"/>
      <x:c r="K55" s="24"/>
      <x:c r="L55" s="24"/>
      <x:c r="M55" s="25"/>
      <x:c r="N55" s="25"/>
      <x:c r="O55" s="25"/>
      <x:c r="P55" s="25"/>
      <x:c r="Q55" s="25"/>
      <x:c r="R55" s="26">
        <x:f t="shared" si="9"/>
        <x:v>0</x:v>
      </x:c>
      <x:c r="S55" s="23"/>
      <x:c r="T55" s="23"/>
      <x:c r="U55" s="23"/>
    </x:row>
    <x:row r="56" ht="18.75" customHeight="1">
      <x:c r="A56" s="19"/>
      <x:c r="B56" s="29"/>
      <x:c r="C56" s="21"/>
      <x:c r="D56" s="55"/>
      <x:c r="E56" s="23"/>
      <x:c r="F56" s="24"/>
      <x:c r="G56" s="25"/>
      <x:c r="H56" s="25"/>
      <x:c r="I56" s="25"/>
      <x:c r="J56" s="25"/>
      <x:c r="K56" s="24"/>
      <x:c r="L56" s="24"/>
      <x:c r="M56" s="25"/>
      <x:c r="N56" s="25"/>
      <x:c r="O56" s="25"/>
      <x:c r="P56" s="25"/>
      <x:c r="Q56" s="25"/>
      <x:c r="R56" s="26">
        <x:f t="shared" si="9"/>
        <x:v>0</x:v>
      </x:c>
      <x:c r="S56" s="23"/>
      <x:c r="T56" s="23"/>
      <x:c r="U56" s="23"/>
    </x:row>
    <x:row r="57" ht="18.75" customHeight="1">
      <x:c r="A57" s="19"/>
      <x:c r="B57" s="29"/>
      <x:c r="C57" s="21"/>
      <x:c r="D57" s="35"/>
      <x:c r="E57" s="23"/>
      <x:c r="F57" s="24"/>
      <x:c r="G57" s="25"/>
      <x:c r="H57" s="25"/>
      <x:c r="I57" s="25"/>
      <x:c r="J57" s="25"/>
      <x:c r="K57" s="24"/>
      <x:c r="L57" s="24"/>
      <x:c r="M57" s="25"/>
      <x:c r="N57" s="25"/>
      <x:c r="O57" s="25"/>
      <x:c r="P57" s="25"/>
      <x:c r="Q57" s="25"/>
      <x:c r="R57" s="26">
        <x:f t="shared" si="9"/>
        <x:v>0</x:v>
      </x:c>
      <x:c r="S57" s="23"/>
      <x:c r="T57" s="23"/>
      <x:c r="U57" s="23"/>
    </x:row>
    <x:row r="58" ht="18.75" customHeight="1">
      <x:c r="A58" s="19"/>
      <x:c r="B58" s="29"/>
      <x:c r="C58" s="21"/>
      <x:c r="D58" s="35"/>
      <x:c r="E58" s="56"/>
      <x:c r="F58" s="24"/>
      <x:c r="G58" s="25"/>
      <x:c r="H58" s="25"/>
      <x:c r="I58" s="25"/>
      <x:c r="J58" s="25"/>
      <x:c r="K58" s="24"/>
      <x:c r="L58" s="25"/>
      <x:c r="M58" s="25"/>
      <x:c r="N58" s="25"/>
      <x:c r="O58" s="25"/>
      <x:c r="P58" s="25"/>
      <x:c r="Q58" s="25"/>
      <x:c r="R58" s="26">
        <x:f t="shared" si="9"/>
        <x:v>0</x:v>
      </x:c>
      <x:c r="S58" s="23"/>
      <x:c r="T58" s="23"/>
      <x:c r="U58" s="23"/>
    </x:row>
    <x:row r="59" ht="18.75" customHeight="1">
      <x:c r="A59" s="19"/>
      <x:c r="B59" s="29"/>
      <x:c r="C59" s="21"/>
      <x:c r="D59" s="35"/>
      <x:c r="E59" s="23"/>
      <x:c r="F59" s="24"/>
      <x:c r="G59" s="25"/>
      <x:c r="H59" s="25"/>
      <x:c r="I59" s="25"/>
      <x:c r="J59" s="25"/>
      <x:c r="K59" s="24"/>
      <x:c r="L59" s="24"/>
      <x:c r="M59" s="25"/>
      <x:c r="N59" s="25"/>
      <x:c r="O59" s="25"/>
      <x:c r="P59" s="25"/>
      <x:c r="Q59" s="25"/>
      <x:c r="R59" s="26">
        <x:f t="shared" si="9"/>
        <x:v>0</x:v>
      </x:c>
      <x:c r="S59" s="23"/>
      <x:c r="T59" s="23"/>
      <x:c r="U59" s="23"/>
    </x:row>
    <x:row r="60" ht="18.75" customHeight="1">
      <x:c r="A60" s="19"/>
      <x:c r="B60" s="29"/>
      <x:c r="C60" s="21"/>
      <x:c r="D60" s="35"/>
      <x:c r="E60" s="23"/>
      <x:c r="F60" s="24"/>
      <x:c r="G60" s="25"/>
      <x:c r="H60" s="24"/>
      <x:c r="I60" s="24"/>
      <x:c r="J60" s="24"/>
      <x:c r="K60" s="24"/>
      <x:c r="L60" s="25"/>
      <x:c r="M60" s="25"/>
      <x:c r="N60" s="25"/>
      <x:c r="O60" s="25"/>
      <x:c r="P60" s="25"/>
      <x:c r="Q60" s="25"/>
      <x:c r="R60" s="26">
        <x:f t="shared" si="9"/>
        <x:v>0</x:v>
      </x:c>
      <x:c r="S60" s="23"/>
      <x:c r="T60" s="23"/>
      <x:c r="U60" s="23"/>
    </x:row>
    <x:row r="61" ht="18.75" customHeight="1">
      <x:c r="A61" s="19"/>
      <x:c r="B61" s="29"/>
      <x:c r="C61" s="21"/>
      <x:c r="D61" s="35"/>
      <x:c r="E61" s="23"/>
      <x:c r="F61" s="24"/>
      <x:c r="G61" s="24"/>
      <x:c r="H61" s="24"/>
      <x:c r="I61" s="24"/>
      <x:c r="J61" s="24"/>
      <x:c r="K61" s="24"/>
      <x:c r="L61" s="24"/>
      <x:c r="M61" s="25"/>
      <x:c r="N61" s="25"/>
      <x:c r="O61" s="25"/>
      <x:c r="P61" s="25"/>
      <x:c r="Q61" s="25"/>
      <x:c r="R61" s="26">
        <x:f t="shared" si="9"/>
        <x:v>0</x:v>
      </x:c>
      <x:c r="S61" s="23"/>
      <x:c r="T61" s="23"/>
      <x:c r="U61" s="23"/>
    </x:row>
    <x:row r="62" ht="18.75" customHeight="1">
      <x:c r="A62" s="19"/>
      <x:c r="B62" s="29"/>
      <x:c r="C62" s="21"/>
      <x:c r="D62" s="35"/>
      <x:c r="E62" s="23"/>
      <x:c r="F62" s="24"/>
      <x:c r="G62" s="24"/>
      <x:c r="H62" s="24"/>
      <x:c r="I62" s="24"/>
      <x:c r="J62" s="24"/>
      <x:c r="K62" s="24"/>
      <x:c r="L62" s="24"/>
      <x:c r="M62" s="25"/>
      <x:c r="N62" s="25"/>
      <x:c r="O62" s="25"/>
      <x:c r="P62" s="25"/>
      <x:c r="Q62" s="25"/>
      <x:c r="R62" s="26">
        <x:f t="shared" si="9"/>
        <x:v>0</x:v>
      </x:c>
      <x:c r="S62" s="23"/>
      <x:c r="T62" s="23"/>
      <x:c r="U62" s="23"/>
    </x:row>
    <x:row r="63" ht="18.75" customHeight="1">
      <x:c r="A63" s="19"/>
      <x:c r="B63" s="29"/>
      <x:c r="C63" s="21"/>
      <x:c r="D63" s="55"/>
      <x:c r="E63" s="23"/>
      <x:c r="F63" s="24"/>
      <x:c r="G63" s="24"/>
      <x:c r="H63" s="24"/>
      <x:c r="I63" s="24"/>
      <x:c r="J63" s="24"/>
      <x:c r="K63" s="24"/>
      <x:c r="L63" s="24"/>
      <x:c r="M63" s="25"/>
      <x:c r="N63" s="25"/>
      <x:c r="O63" s="25"/>
      <x:c r="P63" s="25"/>
      <x:c r="Q63" s="25"/>
      <x:c r="R63" s="26">
        <x:f t="shared" si="9"/>
        <x:v>0</x:v>
      </x:c>
      <x:c r="S63" s="23"/>
      <x:c r="T63" s="23"/>
      <x:c r="U63" s="23"/>
    </x:row>
    <x:row r="64" ht="18.75" customHeight="1">
      <x:c r="A64" s="19"/>
      <x:c r="B64" s="29"/>
      <x:c r="C64" s="21"/>
      <x:c r="D64" s="55"/>
      <x:c r="E64" s="23"/>
      <x:c r="F64" s="24"/>
      <x:c r="G64" s="24"/>
      <x:c r="H64" s="24"/>
      <x:c r="I64" s="24"/>
      <x:c r="J64" s="24"/>
      <x:c r="K64" s="25"/>
      <x:c r="L64" s="24"/>
      <x:c r="M64" s="25"/>
      <x:c r="N64" s="25"/>
      <x:c r="O64" s="25"/>
      <x:c r="P64" s="25"/>
      <x:c r="Q64" s="25"/>
      <x:c r="R64" s="26">
        <x:f t="shared" si="9"/>
        <x:v>0</x:v>
      </x:c>
      <x:c r="S64" s="23"/>
      <x:c r="T64" s="23"/>
      <x:c r="U64" s="23"/>
    </x:row>
    <x:row r="65" ht="18.75" customHeight="1">
      <x:c r="A65" s="19"/>
      <x:c r="B65" s="29"/>
      <x:c r="C65" s="21"/>
      <x:c r="D65" s="55"/>
      <x:c r="E65" s="23"/>
      <x:c r="F65" s="24"/>
      <x:c r="G65" s="25"/>
      <x:c r="H65" s="25"/>
      <x:c r="I65" s="25"/>
      <x:c r="J65" s="25"/>
      <x:c r="K65" s="24"/>
      <x:c r="L65" s="24"/>
      <x:c r="M65" s="25"/>
      <x:c r="N65" s="25"/>
      <x:c r="O65" s="25"/>
      <x:c r="P65" s="25"/>
      <x:c r="Q65" s="25"/>
      <x:c r="R65" s="26">
        <x:f t="shared" si="9"/>
        <x:v>0</x:v>
      </x:c>
      <x:c r="S65" s="23"/>
      <x:c r="T65" s="23"/>
      <x:c r="U65" s="23"/>
    </x:row>
    <x:row r="66" ht="18.75" customHeight="1">
      <x:c r="A66" s="19"/>
      <x:c r="B66" s="29"/>
      <x:c r="C66" s="21"/>
      <x:c r="D66" s="55"/>
      <x:c r="E66" s="23"/>
      <x:c r="F66" s="24"/>
      <x:c r="G66" s="24"/>
      <x:c r="H66" s="24"/>
      <x:c r="I66" s="24"/>
      <x:c r="J66" s="24"/>
      <x:c r="K66" s="24"/>
      <x:c r="L66" s="24"/>
      <x:c r="M66" s="25"/>
      <x:c r="N66" s="25"/>
      <x:c r="O66" s="25"/>
      <x:c r="P66" s="25"/>
      <x:c r="Q66" s="25"/>
      <x:c r="R66" s="26">
        <x:f t="shared" si="9"/>
        <x:v>0</x:v>
      </x:c>
      <x:c r="S66" s="23"/>
      <x:c r="T66" s="23"/>
      <x:c r="U66" s="23"/>
    </x:row>
    <x:row r="67" ht="18.75" customHeight="1">
      <x:c r="A67" s="19"/>
      <x:c r="B67" s="29"/>
      <x:c r="C67" s="21"/>
      <x:c r="D67" s="55"/>
      <x:c r="E67" s="23"/>
      <x:c r="F67" s="24"/>
      <x:c r="G67" s="25"/>
      <x:c r="H67" s="25"/>
      <x:c r="I67" s="25"/>
      <x:c r="J67" s="25"/>
      <x:c r="K67" s="24"/>
      <x:c r="L67" s="25"/>
      <x:c r="M67" s="25"/>
      <x:c r="N67" s="25"/>
      <x:c r="O67" s="25"/>
      <x:c r="P67" s="25"/>
      <x:c r="Q67" s="25"/>
      <x:c r="R67" s="26">
        <x:f t="shared" si="9"/>
        <x:v>0</x:v>
      </x:c>
      <x:c r="S67" s="23"/>
      <x:c r="T67" s="23"/>
      <x:c r="U67" s="23"/>
    </x:row>
    <x:row r="68" ht="18.75" customHeight="1">
      <x:c r="A68" s="19"/>
      <x:c r="B68" s="29"/>
      <x:c r="C68" s="21"/>
      <x:c r="D68" s="55"/>
      <x:c r="E68" s="23"/>
      <x:c r="F68" s="24"/>
      <x:c r="G68" s="24"/>
      <x:c r="H68" s="24"/>
      <x:c r="I68" s="24"/>
      <x:c r="J68" s="24"/>
      <x:c r="K68" s="24"/>
      <x:c r="L68" s="24"/>
      <x:c r="M68" s="25"/>
      <x:c r="N68" s="25"/>
      <x:c r="O68" s="25"/>
      <x:c r="P68" s="25"/>
      <x:c r="Q68" s="25"/>
      <x:c r="R68" s="26">
        <x:f t="shared" si="9"/>
        <x:v>0</x:v>
      </x:c>
      <x:c r="S68" s="23"/>
      <x:c r="T68" s="23"/>
      <x:c r="U68" s="23"/>
    </x:row>
    <x:row r="69" ht="18.75" customHeight="1">
      <x:c r="A69" s="19"/>
      <x:c r="B69" s="29"/>
      <x:c r="C69" s="21"/>
      <x:c r="D69" s="35"/>
      <x:c r="E69" s="23"/>
      <x:c r="F69" s="24"/>
      <x:c r="G69" s="25"/>
      <x:c r="H69" s="25"/>
      <x:c r="I69" s="25"/>
      <x:c r="J69" s="25"/>
      <x:c r="K69" s="24"/>
      <x:c r="L69" s="24"/>
      <x:c r="M69" s="25"/>
      <x:c r="N69" s="25"/>
      <x:c r="O69" s="25"/>
      <x:c r="P69" s="25"/>
      <x:c r="Q69" s="25"/>
      <x:c r="R69" s="26">
        <x:f t="shared" si="9"/>
        <x:v>0</x:v>
      </x:c>
      <x:c r="S69" s="23"/>
      <x:c r="T69" s="23"/>
      <x:c r="U69" s="23"/>
    </x:row>
    <x:row r="70" ht="18.75" customHeight="1">
      <x:c r="A70" s="19"/>
      <x:c r="B70" s="29"/>
      <x:c r="C70" s="21"/>
      <x:c r="D70" s="55"/>
      <x:c r="E70" s="23"/>
      <x:c r="F70" s="24"/>
      <x:c r="G70" s="25"/>
      <x:c r="H70" s="25"/>
      <x:c r="I70" s="25"/>
      <x:c r="J70" s="25"/>
      <x:c r="K70" s="25"/>
      <x:c r="L70" s="24"/>
      <x:c r="M70" s="25"/>
      <x:c r="N70" s="25"/>
      <x:c r="O70" s="25"/>
      <x:c r="P70" s="25"/>
      <x:c r="Q70" s="25"/>
      <x:c r="R70" s="26">
        <x:f t="shared" si="9"/>
        <x:v>0</x:v>
      </x:c>
      <x:c r="S70" s="23"/>
      <x:c r="T70" s="23"/>
      <x:c r="U70" s="23"/>
    </x:row>
    <x:row r="71" ht="18.75" customHeight="1">
      <x:c r="A71" s="19"/>
      <x:c r="B71" s="29"/>
      <x:c r="C71" s="21"/>
      <x:c r="D71" s="55"/>
      <x:c r="E71" s="23"/>
      <x:c r="F71" s="24"/>
      <x:c r="G71" s="25"/>
      <x:c r="H71" s="25"/>
      <x:c r="I71" s="25"/>
      <x:c r="J71" s="25"/>
      <x:c r="K71" s="24"/>
      <x:c r="L71" s="25"/>
      <x:c r="M71" s="25"/>
      <x:c r="N71" s="25"/>
      <x:c r="O71" s="25"/>
      <x:c r="P71" s="25"/>
      <x:c r="Q71" s="25"/>
      <x:c r="R71" s="26">
        <x:f t="shared" si="9"/>
        <x:v>0</x:v>
      </x:c>
      <x:c r="S71" s="23"/>
      <x:c r="T71" s="23"/>
      <x:c r="U71" s="23"/>
    </x:row>
    <x:row r="72" ht="18.75" customHeight="1">
      <x:c r="A72" s="19"/>
      <x:c r="B72" s="20"/>
      <x:c r="C72" s="21"/>
      <x:c r="D72" s="55"/>
      <x:c r="E72" s="23"/>
      <x:c r="F72" s="24"/>
      <x:c r="G72" s="25"/>
      <x:c r="H72" s="25"/>
      <x:c r="I72" s="25"/>
      <x:c r="J72" s="25"/>
      <x:c r="K72" s="24"/>
      <x:c r="L72" s="24"/>
      <x:c r="M72" s="25"/>
      <x:c r="N72" s="25"/>
      <x:c r="O72" s="25"/>
      <x:c r="P72" s="25"/>
      <x:c r="Q72" s="25"/>
      <x:c r="R72" s="26">
        <x:f t="shared" si="9"/>
        <x:v>0</x:v>
      </x:c>
      <x:c r="S72" s="23"/>
      <x:c r="T72" s="23"/>
      <x:c r="U72" s="23"/>
    </x:row>
    <x:row r="73" ht="18.75" customHeight="1">
      <x:c r="A73" s="19"/>
      <x:c r="B73" s="20"/>
      <x:c r="C73" s="21"/>
      <x:c r="D73" s="55"/>
      <x:c r="E73" s="23"/>
      <x:c r="F73" s="24"/>
      <x:c r="G73" s="24"/>
      <x:c r="H73" s="24"/>
      <x:c r="I73" s="24"/>
      <x:c r="J73" s="24"/>
      <x:c r="K73" s="24"/>
      <x:c r="L73" s="24"/>
      <x:c r="M73" s="25"/>
      <x:c r="N73" s="25"/>
      <x:c r="O73" s="25"/>
      <x:c r="P73" s="25"/>
      <x:c r="Q73" s="25"/>
      <x:c r="R73" s="26">
        <x:f t="shared" si="9"/>
        <x:v>0</x:v>
      </x:c>
      <x:c r="S73" s="23"/>
      <x:c r="T73" s="23"/>
      <x:c r="U73" s="23"/>
    </x:row>
    <x:row r="74" ht="18.75" customHeight="1">
      <x:c r="A74" s="19"/>
      <x:c r="B74" s="20"/>
      <x:c r="C74" s="21"/>
      <x:c r="D74" s="55"/>
      <x:c r="E74" s="23"/>
      <x:c r="F74" s="24"/>
      <x:c r="G74" s="25"/>
      <x:c r="H74" s="25"/>
      <x:c r="I74" s="25"/>
      <x:c r="J74" s="25"/>
      <x:c r="K74" s="24"/>
      <x:c r="L74" s="25"/>
      <x:c r="M74" s="25"/>
      <x:c r="N74" s="25"/>
      <x:c r="O74" s="25"/>
      <x:c r="P74" s="25"/>
      <x:c r="Q74" s="25"/>
      <x:c r="R74" s="26">
        <x:f t="shared" si="9"/>
        <x:v>0</x:v>
      </x:c>
      <x:c r="S74" s="23"/>
      <x:c r="T74" s="23"/>
      <x:c r="U74" s="23"/>
    </x:row>
    <x:row r="75" ht="18.75" customHeight="1">
      <x:c r="A75" s="19"/>
      <x:c r="B75" s="20"/>
      <x:c r="C75" s="21"/>
      <x:c r="D75" s="55"/>
      <x:c r="E75" s="23"/>
      <x:c r="F75" s="24"/>
      <x:c r="G75" s="24"/>
      <x:c r="H75" s="25"/>
      <x:c r="I75" s="25"/>
      <x:c r="J75" s="25"/>
      <x:c r="K75" s="24"/>
      <x:c r="L75" s="25"/>
      <x:c r="M75" s="25"/>
      <x:c r="N75" s="25"/>
      <x:c r="O75" s="25"/>
      <x:c r="P75" s="25"/>
      <x:c r="Q75" s="25"/>
      <x:c r="R75" s="26">
        <x:f t="shared" si="9"/>
        <x:v>0</x:v>
      </x:c>
      <x:c r="S75" s="23"/>
      <x:c r="T75" s="23"/>
      <x:c r="U75" s="23"/>
    </x:row>
    <x:row r="76" ht="18.75" customHeight="1">
      <x:c r="A76" s="19"/>
      <x:c r="B76" s="20"/>
      <x:c r="C76" s="21"/>
      <x:c r="D76" s="55"/>
      <x:c r="E76" s="23"/>
      <x:c r="F76" s="24"/>
      <x:c r="G76" s="25"/>
      <x:c r="H76" s="25"/>
      <x:c r="I76" s="25"/>
      <x:c r="J76" s="25"/>
      <x:c r="K76" s="24"/>
      <x:c r="L76" s="25"/>
      <x:c r="M76" s="25"/>
      <x:c r="N76" s="25"/>
      <x:c r="O76" s="25"/>
      <x:c r="P76" s="25"/>
      <x:c r="Q76" s="25"/>
      <x:c r="R76" s="26">
        <x:f t="shared" si="9"/>
        <x:v>0</x:v>
      </x:c>
      <x:c r="S76" s="23"/>
      <x:c r="T76" s="23"/>
      <x:c r="U76" s="23"/>
    </x:row>
    <x:row r="77" ht="18.75" customHeight="1">
      <x:c r="A77" s="19"/>
      <x:c r="B77" s="20"/>
      <x:c r="C77" s="21"/>
      <x:c r="D77" s="55"/>
      <x:c r="E77" s="23"/>
      <x:c r="F77" s="24"/>
      <x:c r="G77" s="25"/>
      <x:c r="H77" s="25"/>
      <x:c r="I77" s="25"/>
      <x:c r="J77" s="25"/>
      <x:c r="K77" s="24"/>
      <x:c r="L77" s="25"/>
      <x:c r="M77" s="25"/>
      <x:c r="N77" s="25"/>
      <x:c r="O77" s="25"/>
      <x:c r="P77" s="25"/>
      <x:c r="Q77" s="25"/>
      <x:c r="R77" s="26">
        <x:f t="shared" si="9"/>
        <x:v>0</x:v>
      </x:c>
      <x:c r="S77" s="23"/>
      <x:c r="T77" s="23"/>
      <x:c r="U77" s="23"/>
    </x:row>
    <x:row r="78" ht="18.75" customHeight="1">
      <x:c r="A78" s="19"/>
      <x:c r="B78" s="20"/>
      <x:c r="C78" s="21"/>
      <x:c r="D78" s="35"/>
      <x:c r="E78" s="23"/>
      <x:c r="F78" s="24"/>
      <x:c r="G78" s="25"/>
      <x:c r="H78" s="25"/>
      <x:c r="I78" s="25"/>
      <x:c r="J78" s="25"/>
      <x:c r="K78" s="25"/>
      <x:c r="L78" s="24"/>
      <x:c r="M78" s="25"/>
      <x:c r="N78" s="25"/>
      <x:c r="O78" s="25"/>
      <x:c r="P78" s="25"/>
      <x:c r="Q78" s="25"/>
      <x:c r="R78" s="26">
        <x:f t="shared" si="9"/>
        <x:v>0</x:v>
      </x:c>
      <x:c r="S78" s="23"/>
      <x:c r="T78" s="23"/>
      <x:c r="U78" s="23"/>
    </x:row>
    <x:row r="79" ht="18.75" customHeight="1">
      <x:c r="A79" s="19"/>
      <x:c r="B79" s="20"/>
      <x:c r="C79" s="21"/>
      <x:c r="D79" s="55"/>
      <x:c r="E79" s="23"/>
      <x:c r="F79" s="24"/>
      <x:c r="G79" s="25"/>
      <x:c r="H79" s="25"/>
      <x:c r="I79" s="25"/>
      <x:c r="J79" s="25"/>
      <x:c r="K79" s="25"/>
      <x:c r="L79" s="24"/>
      <x:c r="M79" s="25"/>
      <x:c r="N79" s="25"/>
      <x:c r="O79" s="25"/>
      <x:c r="P79" s="25"/>
      <x:c r="Q79" s="25"/>
      <x:c r="R79" s="26">
        <x:f t="shared" si="9"/>
        <x:v>0</x:v>
      </x:c>
      <x:c r="S79" s="23"/>
      <x:c r="T79" s="23"/>
      <x:c r="U79" s="23"/>
    </x:row>
    <x:row r="80" ht="18.75" customHeight="1">
      <x:c r="A80" s="19"/>
      <x:c r="B80" s="71"/>
      <x:c r="C80" s="21"/>
      <x:c r="D80" s="55"/>
      <x:c r="E80" s="23"/>
      <x:c r="F80" s="24"/>
      <x:c r="G80" s="25"/>
      <x:c r="H80" s="25"/>
      <x:c r="I80" s="25"/>
      <x:c r="J80" s="25"/>
      <x:c r="K80" s="24"/>
      <x:c r="L80" s="25"/>
      <x:c r="M80" s="25"/>
      <x:c r="N80" s="25"/>
      <x:c r="O80" s="25"/>
      <x:c r="P80" s="25"/>
      <x:c r="Q80" s="25"/>
      <x:c r="R80" s="26">
        <x:f t="shared" si="9"/>
        <x:v>0</x:v>
      </x:c>
      <x:c r="S80" s="23"/>
      <x:c r="T80" s="23"/>
      <x:c r="U80" s="23"/>
    </x:row>
    <x:row r="81" ht="18.75" customHeight="1">
      <x:c r="A81" s="19"/>
      <x:c r="B81" s="20"/>
      <x:c r="C81" s="21"/>
      <x:c r="D81" s="35"/>
      <x:c r="E81" s="23"/>
      <x:c r="F81" s="24"/>
      <x:c r="G81" s="25"/>
      <x:c r="H81" s="25"/>
      <x:c r="I81" s="25"/>
      <x:c r="J81" s="25"/>
      <x:c r="K81" s="24"/>
      <x:c r="L81" s="24"/>
      <x:c r="M81" s="25"/>
      <x:c r="N81" s="25"/>
      <x:c r="O81" s="25"/>
      <x:c r="P81" s="25"/>
      <x:c r="Q81" s="25"/>
      <x:c r="R81" s="26">
        <x:f t="shared" si="9"/>
        <x:v>0</x:v>
      </x:c>
      <x:c r="S81" s="23"/>
      <x:c r="T81" s="23"/>
      <x:c r="U81" s="23"/>
    </x:row>
    <x:row r="82" ht="18.75" customHeight="1">
      <x:c r="A82" s="19"/>
      <x:c r="B82" s="20"/>
      <x:c r="C82" s="21"/>
      <x:c r="D82" s="55"/>
      <x:c r="E82" s="23"/>
      <x:c r="F82" s="24"/>
      <x:c r="G82" s="24"/>
      <x:c r="H82" s="25"/>
      <x:c r="I82" s="25"/>
      <x:c r="J82" s="25"/>
      <x:c r="K82" s="24"/>
      <x:c r="L82" s="24"/>
      <x:c r="M82" s="25"/>
      <x:c r="N82" s="25"/>
      <x:c r="O82" s="25"/>
      <x:c r="P82" s="25"/>
      <x:c r="Q82" s="25"/>
      <x:c r="R82" s="26">
        <x:f t="shared" si="9"/>
        <x:v>0</x:v>
      </x:c>
      <x:c r="S82" s="23"/>
      <x:c r="T82" s="23"/>
      <x:c r="U82" s="23"/>
    </x:row>
    <x:row r="83" ht="18.75" customHeight="1">
      <x:c r="A83" s="19"/>
      <x:c r="B83" s="20"/>
      <x:c r="C83" s="21"/>
      <x:c r="D83" s="35"/>
      <x:c r="E83" s="23"/>
      <x:c r="F83" s="24"/>
      <x:c r="G83" s="25"/>
      <x:c r="H83" s="25"/>
      <x:c r="I83" s="25"/>
      <x:c r="J83" s="25"/>
      <x:c r="K83" s="25"/>
      <x:c r="L83" s="24"/>
      <x:c r="M83" s="25"/>
      <x:c r="N83" s="25"/>
      <x:c r="O83" s="25"/>
      <x:c r="P83" s="25"/>
      <x:c r="Q83" s="25"/>
      <x:c r="R83" s="26">
        <x:f t="shared" si="9"/>
        <x:v>0</x:v>
      </x:c>
      <x:c r="S83" s="23"/>
      <x:c r="T83" s="23"/>
      <x:c r="U83" s="23"/>
    </x:row>
    <x:row r="84" ht="18.75" customHeight="1">
      <x:c r="A84" s="19"/>
      <x:c r="B84" s="20"/>
      <x:c r="C84" s="21"/>
      <x:c r="D84" s="55"/>
      <x:c r="E84" s="23"/>
      <x:c r="F84" s="24"/>
      <x:c r="G84" s="25"/>
      <x:c r="H84" s="25"/>
      <x:c r="I84" s="25"/>
      <x:c r="J84" s="25"/>
      <x:c r="K84" s="24"/>
      <x:c r="L84" s="25"/>
      <x:c r="M84" s="25"/>
      <x:c r="N84" s="25"/>
      <x:c r="O84" s="25"/>
      <x:c r="P84" s="25"/>
      <x:c r="Q84" s="25"/>
      <x:c r="R84" s="26">
        <x:f t="shared" si="9"/>
        <x:v>0</x:v>
      </x:c>
      <x:c r="S84" s="23"/>
      <x:c r="T84" s="23"/>
      <x:c r="U84" s="23"/>
    </x:row>
    <x:row r="85" ht="18.75" customHeight="1">
      <x:c r="A85" s="19"/>
      <x:c r="B85" s="20"/>
      <x:c r="C85" s="21"/>
      <x:c r="D85" s="55"/>
      <x:c r="E85" s="23"/>
      <x:c r="F85" s="24"/>
      <x:c r="G85" s="25"/>
      <x:c r="H85" s="25"/>
      <x:c r="I85" s="25"/>
      <x:c r="J85" s="25"/>
      <x:c r="K85" s="24"/>
      <x:c r="L85" s="25"/>
      <x:c r="M85" s="25"/>
      <x:c r="N85" s="25"/>
      <x:c r="O85" s="25"/>
      <x:c r="P85" s="25"/>
      <x:c r="Q85" s="25"/>
      <x:c r="R85" s="26">
        <x:f t="shared" si="9"/>
        <x:v>0</x:v>
      </x:c>
      <x:c r="S85" s="23"/>
      <x:c r="T85" s="23"/>
      <x:c r="U85" s="23"/>
    </x:row>
    <x:row r="86" ht="18.75" customHeight="1">
      <x:c r="A86" s="19"/>
      <x:c r="B86" s="20"/>
      <x:c r="C86" s="21"/>
      <x:c r="D86" s="35"/>
      <x:c r="E86" s="23"/>
      <x:c r="F86" s="24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6">
        <x:f t="shared" si="9"/>
        <x:v>0</x:v>
      </x:c>
      <x:c r="S86" s="23"/>
      <x:c r="T86" s="23"/>
      <x:c r="U86" s="23"/>
    </x:row>
    <x:row r="87" ht="18.75" customHeight="1">
      <x:c r="A87" s="19"/>
      <x:c r="B87" s="29"/>
      <x:c r="C87" s="21"/>
      <x:c r="D87" s="55"/>
      <x:c r="E87" s="56"/>
      <x:c r="F87" s="24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6">
        <x:f t="shared" si="9"/>
        <x:v>0</x:v>
      </x:c>
      <x:c r="S87" s="23"/>
      <x:c r="T87" s="23"/>
      <x:c r="U87" s="23"/>
    </x:row>
    <x:row r="88" ht="18.75" customHeight="1">
      <x:c r="A88" s="19"/>
      <x:c r="B88" s="20"/>
      <x:c r="C88" s="21"/>
      <x:c r="D88" s="55"/>
      <x:c r="E88" s="56"/>
      <x:c r="F88" s="24"/>
      <x:c r="G88" s="25"/>
      <x:c r="H88" s="25"/>
      <x:c r="I88" s="25"/>
      <x:c r="J88" s="25"/>
      <x:c r="K88" s="24"/>
      <x:c r="L88" s="25"/>
      <x:c r="M88" s="25"/>
      <x:c r="N88" s="25"/>
      <x:c r="O88" s="25"/>
      <x:c r="P88" s="25"/>
      <x:c r="Q88" s="25"/>
      <x:c r="R88" s="26">
        <x:f t="shared" si="9"/>
        <x:v>0</x:v>
      </x:c>
      <x:c r="S88" s="23"/>
      <x:c r="T88" s="23"/>
      <x:c r="U88" s="23"/>
    </x:row>
    <x:row r="89" ht="18.75" customHeight="1">
      <x:c r="A89" s="19"/>
      <x:c r="B89" s="29"/>
      <x:c r="C89" s="21"/>
      <x:c r="D89" s="23"/>
      <x:c r="E89" s="56"/>
      <x:c r="F89" s="24"/>
      <x:c r="G89" s="25"/>
      <x:c r="H89" s="25"/>
      <x:c r="I89" s="25"/>
      <x:c r="J89" s="25"/>
      <x:c r="K89" s="24"/>
      <x:c r="L89" s="24"/>
      <x:c r="M89" s="25"/>
      <x:c r="N89" s="25"/>
      <x:c r="O89" s="25"/>
      <x:c r="P89" s="25"/>
      <x:c r="Q89" s="25"/>
      <x:c r="R89" s="26">
        <x:f t="shared" si="9"/>
        <x:v>0</x:v>
      </x:c>
      <x:c r="S89" s="23"/>
      <x:c r="T89" s="23"/>
      <x:c r="U89" s="23"/>
    </x:row>
    <x:row r="90" ht="18.75" customHeight="1">
      <x:c r="A90" s="19"/>
      <x:c r="B90" s="29"/>
      <x:c r="C90" s="21"/>
      <x:c r="D90" s="35"/>
      <x:c r="E90" s="56"/>
      <x:c r="F90" s="24"/>
      <x:c r="G90" s="25"/>
      <x:c r="H90" s="25"/>
      <x:c r="I90" s="25"/>
      <x:c r="J90" s="25"/>
      <x:c r="K90" s="24"/>
      <x:c r="L90" s="25"/>
      <x:c r="M90" s="25"/>
      <x:c r="N90" s="25"/>
      <x:c r="O90" s="25"/>
      <x:c r="P90" s="25"/>
      <x:c r="Q90" s="25"/>
      <x:c r="R90" s="26">
        <x:f t="shared" si="9"/>
        <x:v>0</x:v>
      </x:c>
      <x:c r="S90" s="23"/>
      <x:c r="T90" s="23"/>
      <x:c r="U90" s="23"/>
    </x:row>
    <x:row r="91" ht="18.75" customHeight="1">
      <x:c r="A91" s="19"/>
      <x:c r="B91" s="29"/>
      <x:c r="C91" s="21"/>
      <x:c r="D91" s="55"/>
      <x:c r="E91" s="56"/>
      <x:c r="F91" s="24"/>
      <x:c r="G91" s="25"/>
      <x:c r="H91" s="25"/>
      <x:c r="I91" s="25"/>
      <x:c r="J91" s="25"/>
      <x:c r="K91" s="24"/>
      <x:c r="L91" s="25"/>
      <x:c r="M91" s="25"/>
      <x:c r="N91" s="25"/>
      <x:c r="O91" s="25"/>
      <x:c r="P91" s="25"/>
      <x:c r="Q91" s="25"/>
      <x:c r="R91" s="26">
        <x:f t="shared" si="9"/>
        <x:v>0</x:v>
      </x:c>
      <x:c r="S91" s="23"/>
      <x:c r="T91" s="23"/>
      <x:c r="U91" s="23"/>
    </x:row>
    <x:row r="92" ht="18.75" customHeight="1">
      <x:c r="A92" s="19"/>
      <x:c r="B92" s="29"/>
      <x:c r="C92" s="21"/>
      <x:c r="D92" s="55"/>
      <x:c r="E92" s="23"/>
      <x:c r="F92" s="24"/>
      <x:c r="G92" s="25"/>
      <x:c r="H92" s="25"/>
      <x:c r="I92" s="25"/>
      <x:c r="J92" s="25"/>
      <x:c r="K92" s="24"/>
      <x:c r="L92" s="25"/>
      <x:c r="M92" s="25"/>
      <x:c r="N92" s="25"/>
      <x:c r="O92" s="25"/>
      <x:c r="P92" s="25"/>
      <x:c r="Q92" s="25"/>
      <x:c r="R92" s="26">
        <x:f t="shared" si="9"/>
        <x:v>0</x:v>
      </x:c>
      <x:c r="S92" s="23"/>
      <x:c r="T92" s="23"/>
      <x:c r="U92" s="23"/>
    </x:row>
    <x:row r="93" ht="18.75" customHeight="1">
      <x:c r="A93" s="19"/>
      <x:c r="B93" s="29"/>
      <x:c r="C93" s="21"/>
      <x:c r="D93" s="35"/>
      <x:c r="E93" s="56"/>
      <x:c r="F93" s="24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6">
        <x:f t="shared" si="9"/>
        <x:v>0</x:v>
      </x:c>
      <x:c r="S93" s="23"/>
      <x:c r="T93" s="23"/>
      <x:c r="U93" s="23"/>
    </x:row>
    <x:row r="94" ht="18.75" customHeight="1">
      <x:c r="A94" s="19"/>
      <x:c r="B94" s="29"/>
      <x:c r="C94" s="21"/>
      <x:c r="D94" s="35"/>
      <x:c r="E94" s="56"/>
      <x:c r="F94" s="24"/>
      <x:c r="G94" s="25"/>
      <x:c r="H94" s="25"/>
      <x:c r="I94" s="25"/>
      <x:c r="J94" s="25"/>
      <x:c r="K94" s="25"/>
      <x:c r="L94" s="24"/>
      <x:c r="M94" s="25"/>
      <x:c r="N94" s="25"/>
      <x:c r="O94" s="25"/>
      <x:c r="P94" s="25"/>
      <x:c r="Q94" s="25"/>
      <x:c r="R94" s="26">
        <x:f t="shared" si="9"/>
        <x:v>0</x:v>
      </x:c>
      <x:c r="S94" s="23"/>
      <x:c r="T94" s="23"/>
      <x:c r="U94" s="23"/>
    </x:row>
    <x:row r="95" ht="18.75" customHeight="1">
      <x:c r="A95" s="19"/>
      <x:c r="B95" s="29"/>
      <x:c r="C95" s="21"/>
      <x:c r="D95" s="55"/>
      <x:c r="E95" s="56"/>
      <x:c r="F95" s="24"/>
      <x:c r="G95" s="25"/>
      <x:c r="H95" s="25"/>
      <x:c r="I95" s="25"/>
      <x:c r="J95" s="25"/>
      <x:c r="K95" s="24"/>
      <x:c r="L95" s="25"/>
      <x:c r="M95" s="25"/>
      <x:c r="N95" s="25"/>
      <x:c r="O95" s="25"/>
      <x:c r="P95" s="25"/>
      <x:c r="Q95" s="25"/>
      <x:c r="R95" s="26">
        <x:f t="shared" si="9"/>
        <x:v>0</x:v>
      </x:c>
      <x:c r="S95" s="23"/>
      <x:c r="T95" s="23"/>
      <x:c r="U95" s="23"/>
    </x:row>
    <x:row r="96" ht="18.75" customHeight="1">
      <x:c r="A96" s="19"/>
      <x:c r="B96" s="29"/>
      <x:c r="C96" s="21"/>
      <x:c r="D96" s="55"/>
      <x:c r="E96" s="23"/>
      <x:c r="F96" s="24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6">
        <x:f t="shared" si="9"/>
        <x:v>0</x:v>
      </x:c>
      <x:c r="S96" s="23"/>
      <x:c r="T96" s="23"/>
      <x:c r="U96" s="23"/>
    </x:row>
    <x:row r="97" ht="18.75" customHeight="1">
      <x:c r="A97" s="19"/>
      <x:c r="B97" s="29"/>
      <x:c r="C97" s="21"/>
      <x:c r="D97" s="55"/>
      <x:c r="E97" s="23"/>
      <x:c r="F97" s="24"/>
      <x:c r="G97" s="25"/>
      <x:c r="H97" s="25"/>
      <x:c r="I97" s="25"/>
      <x:c r="J97" s="25"/>
      <x:c r="K97" s="24"/>
      <x:c r="L97" s="24"/>
      <x:c r="M97" s="25"/>
      <x:c r="N97" s="25"/>
      <x:c r="O97" s="25"/>
      <x:c r="P97" s="25"/>
      <x:c r="Q97" s="25"/>
      <x:c r="R97" s="26">
        <x:f t="shared" si="9"/>
        <x:v>0</x:v>
      </x:c>
      <x:c r="S97" s="23"/>
      <x:c r="T97" s="23"/>
      <x:c r="U97" s="23"/>
    </x:row>
    <x:row r="98" ht="18.75" customHeight="1">
      <x:c r="A98" s="19"/>
      <x:c r="B98" s="29"/>
      <x:c r="C98" s="21"/>
      <x:c r="D98" s="35"/>
      <x:c r="E98" s="56"/>
      <x:c r="F98" s="24"/>
      <x:c r="G98" s="25"/>
      <x:c r="H98" s="25"/>
      <x:c r="I98" s="25"/>
      <x:c r="J98" s="25"/>
      <x:c r="K98" s="25"/>
      <x:c r="L98" s="24"/>
      <x:c r="M98" s="25"/>
      <x:c r="N98" s="25"/>
      <x:c r="O98" s="25"/>
      <x:c r="P98" s="25"/>
      <x:c r="Q98" s="25"/>
      <x:c r="R98" s="26">
        <x:f t="shared" si="9"/>
        <x:v>0</x:v>
      </x:c>
      <x:c r="S98" s="23"/>
      <x:c r="T98" s="23"/>
      <x:c r="U98" s="23"/>
    </x:row>
    <x:row r="99" ht="18.75" customHeight="1">
      <x:c r="A99" s="19"/>
      <x:c r="B99" s="29"/>
      <x:c r="C99" s="21"/>
      <x:c r="D99" s="35"/>
      <x:c r="E99" s="56"/>
      <x:c r="F99" s="24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6">
        <x:f t="shared" si="9"/>
        <x:v>0</x:v>
      </x:c>
      <x:c r="S99" s="23"/>
      <x:c r="T99" s="23"/>
      <x:c r="U99" s="23"/>
    </x:row>
    <x:row r="100" ht="18.75" customHeight="1">
      <x:c r="A100" s="19"/>
      <x:c r="B100" s="29"/>
      <x:c r="C100" s="21"/>
      <x:c r="D100" s="55"/>
      <x:c r="E100" s="23"/>
      <x:c r="F100" s="24"/>
      <x:c r="G100" s="25"/>
      <x:c r="H100" s="25"/>
      <x:c r="I100" s="25"/>
      <x:c r="J100" s="25"/>
      <x:c r="K100" s="24"/>
      <x:c r="L100" s="24"/>
      <x:c r="M100" s="25"/>
      <x:c r="N100" s="25"/>
      <x:c r="O100" s="25"/>
      <x:c r="P100" s="25"/>
      <x:c r="Q100" s="25"/>
      <x:c r="R100" s="26">
        <x:f t="shared" si="9"/>
        <x:v>0</x:v>
      </x:c>
      <x:c r="S100" s="23"/>
      <x:c r="T100" s="23"/>
      <x:c r="U100" s="23"/>
    </x:row>
    <x:row r="101" ht="18.75" customHeight="1">
      <x:c r="A101" s="19"/>
      <x:c r="B101" s="29"/>
      <x:c r="C101" s="21"/>
      <x:c r="D101" s="55"/>
      <x:c r="E101" s="56"/>
      <x:c r="F101" s="24"/>
      <x:c r="G101" s="25"/>
      <x:c r="H101" s="25"/>
      <x:c r="I101" s="25"/>
      <x:c r="J101" s="25"/>
      <x:c r="K101" s="25"/>
      <x:c r="L101" s="24"/>
      <x:c r="M101" s="25"/>
      <x:c r="N101" s="25"/>
      <x:c r="O101" s="25"/>
      <x:c r="P101" s="25"/>
      <x:c r="Q101" s="25"/>
      <x:c r="R101" s="26">
        <x:f t="shared" si="9"/>
        <x:v>0</x:v>
      </x:c>
      <x:c r="S101" s="23"/>
      <x:c r="T101" s="23"/>
      <x:c r="U101" s="23"/>
    </x:row>
    <x:row r="102" ht="18.75" customHeight="1">
      <x:c r="A102" s="19"/>
      <x:c r="B102" s="29"/>
      <x:c r="C102" s="21"/>
      <x:c r="D102" s="35"/>
      <x:c r="E102" s="56"/>
      <x:c r="F102" s="24"/>
      <x:c r="G102" s="25"/>
      <x:c r="H102" s="25"/>
      <x:c r="I102" s="25"/>
      <x:c r="J102" s="25"/>
      <x:c r="K102" s="25"/>
      <x:c r="L102" s="24"/>
      <x:c r="M102" s="25"/>
      <x:c r="N102" s="25"/>
      <x:c r="O102" s="25"/>
      <x:c r="P102" s="25"/>
      <x:c r="Q102" s="25"/>
      <x:c r="R102" s="26">
        <x:f t="shared" si="9"/>
        <x:v>0</x:v>
      </x:c>
      <x:c r="S102" s="23"/>
      <x:c r="T102" s="23"/>
      <x:c r="U102" s="23"/>
    </x:row>
    <x:row r="103" ht="18.75" customHeight="1">
      <x:c r="A103" s="19"/>
      <x:c r="B103" s="29"/>
      <x:c r="C103" s="21"/>
      <x:c r="D103" s="55"/>
      <x:c r="E103" s="56"/>
      <x:c r="F103" s="24"/>
      <x:c r="G103" s="25"/>
      <x:c r="H103" s="25"/>
      <x:c r="I103" s="25"/>
      <x:c r="J103" s="25"/>
      <x:c r="K103" s="25"/>
      <x:c r="L103" s="24"/>
      <x:c r="M103" s="25"/>
      <x:c r="N103" s="25"/>
      <x:c r="O103" s="25"/>
      <x:c r="P103" s="25"/>
      <x:c r="Q103" s="25"/>
      <x:c r="R103" s="26">
        <x:f t="shared" si="9"/>
        <x:v>0</x:v>
      </x:c>
      <x:c r="S103" s="23"/>
      <x:c r="T103" s="23"/>
      <x:c r="U103" s="23"/>
    </x:row>
    <x:row r="104" ht="18.75" customHeight="1">
      <x:c r="A104" s="19"/>
      <x:c r="B104" s="29"/>
      <x:c r="C104" s="21"/>
      <x:c r="D104" s="55"/>
      <x:c r="E104" s="56"/>
      <x:c r="F104" s="24"/>
      <x:c r="G104" s="25"/>
      <x:c r="H104" s="25"/>
      <x:c r="I104" s="25"/>
      <x:c r="J104" s="25"/>
      <x:c r="K104" s="24"/>
      <x:c r="L104" s="25"/>
      <x:c r="M104" s="25"/>
      <x:c r="N104" s="25"/>
      <x:c r="O104" s="25"/>
      <x:c r="P104" s="25"/>
      <x:c r="Q104" s="25"/>
      <x:c r="R104" s="26">
        <x:f t="shared" si="9"/>
        <x:v>0</x:v>
      </x:c>
      <x:c r="S104" s="23"/>
      <x:c r="T104" s="23"/>
      <x:c r="U104" s="23"/>
    </x:row>
    <x:row r="105" ht="18.75" customHeight="1">
      <x:c r="A105" s="19"/>
      <x:c r="B105" s="29"/>
      <x:c r="C105" s="21"/>
      <x:c r="D105" s="55"/>
      <x:c r="E105" s="56"/>
      <x:c r="F105" s="24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6">
        <x:f t="shared" si="9"/>
        <x:v>0</x:v>
      </x:c>
      <x:c r="S105" s="23"/>
      <x:c r="T105" s="23"/>
      <x:c r="U105" s="23"/>
    </x:row>
    <x:row r="106" ht="18.75" customHeight="1">
      <x:c r="A106" s="19"/>
      <x:c r="B106" s="29"/>
      <x:c r="C106" s="21"/>
      <x:c r="D106" s="35"/>
      <x:c r="E106" s="56"/>
      <x:c r="F106" s="24"/>
      <x:c r="G106" s="25"/>
      <x:c r="H106" s="25"/>
      <x:c r="I106" s="25"/>
      <x:c r="J106" s="25"/>
      <x:c r="K106" s="24"/>
      <x:c r="L106" s="25"/>
      <x:c r="M106" s="25"/>
      <x:c r="N106" s="25"/>
      <x:c r="O106" s="25"/>
      <x:c r="P106" s="25"/>
      <x:c r="Q106" s="25"/>
      <x:c r="R106" s="26">
        <x:f t="shared" si="9"/>
        <x:v>0</x:v>
      </x:c>
      <x:c r="S106" s="23"/>
      <x:c r="T106" s="23"/>
      <x:c r="U106" s="23"/>
    </x:row>
    <x:row r="107" ht="18.75" customHeight="1">
      <x:c r="A107" s="19"/>
      <x:c r="B107" s="29"/>
      <x:c r="C107" s="21"/>
      <x:c r="D107" s="55"/>
      <x:c r="E107" s="56"/>
      <x:c r="F107" s="24"/>
      <x:c r="G107" s="25"/>
      <x:c r="H107" s="25"/>
      <x:c r="I107" s="25"/>
      <x:c r="J107" s="25"/>
      <x:c r="K107" s="24"/>
      <x:c r="L107" s="25"/>
      <x:c r="M107" s="25"/>
      <x:c r="N107" s="25"/>
      <x:c r="O107" s="25"/>
      <x:c r="P107" s="25"/>
      <x:c r="Q107" s="25"/>
      <x:c r="R107" s="26">
        <x:f t="shared" si="9"/>
        <x:v>0</x:v>
      </x:c>
      <x:c r="S107" s="23"/>
      <x:c r="T107" s="23"/>
      <x:c r="U107" s="23"/>
    </x:row>
    <x:row r="108" ht="18.75" customHeight="1">
      <x:c r="A108" s="19"/>
      <x:c r="B108" s="29"/>
      <x:c r="C108" s="21"/>
      <x:c r="D108" s="55"/>
      <x:c r="E108" s="56"/>
      <x:c r="F108" s="24"/>
      <x:c r="G108" s="24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6">
        <x:f t="shared" si="9"/>
        <x:v>0</x:v>
      </x:c>
      <x:c r="S108" s="23"/>
      <x:c r="T108" s="23"/>
      <x:c r="U108" s="23"/>
    </x:row>
    <x:row r="109" ht="18.75" customHeight="1">
      <x:c r="A109" s="19"/>
      <x:c r="B109" s="29"/>
      <x:c r="C109" s="21"/>
      <x:c r="D109" s="35"/>
      <x:c r="E109" s="56"/>
      <x:c r="F109" s="24"/>
      <x:c r="G109" s="25"/>
      <x:c r="H109" s="25"/>
      <x:c r="I109" s="25"/>
      <x:c r="J109" s="25"/>
      <x:c r="K109" s="25"/>
      <x:c r="L109" s="24"/>
      <x:c r="M109" s="25"/>
      <x:c r="N109" s="25"/>
      <x:c r="O109" s="25"/>
      <x:c r="P109" s="25"/>
      <x:c r="Q109" s="25"/>
      <x:c r="R109" s="26">
        <x:f t="shared" si="9"/>
        <x:v>0</x:v>
      </x:c>
      <x:c r="S109" s="23"/>
      <x:c r="T109" s="23"/>
      <x:c r="U109" s="23"/>
    </x:row>
    <x:row r="110" ht="18.75" customHeight="1">
      <x:c r="A110" s="19"/>
      <x:c r="B110" s="29"/>
      <x:c r="C110" s="21"/>
      <x:c r="D110" s="55"/>
      <x:c r="E110" s="56"/>
      <x:c r="F110" s="24"/>
      <x:c r="G110" s="25"/>
      <x:c r="H110" s="25"/>
      <x:c r="I110" s="25"/>
      <x:c r="J110" s="25"/>
      <x:c r="K110" s="24"/>
      <x:c r="L110" s="24"/>
      <x:c r="M110" s="25"/>
      <x:c r="N110" s="25"/>
      <x:c r="O110" s="25"/>
      <x:c r="P110" s="25"/>
      <x:c r="Q110" s="25"/>
      <x:c r="R110" s="26">
        <x:f t="shared" si="9"/>
        <x:v>0</x:v>
      </x:c>
      <x:c r="S110" s="23"/>
      <x:c r="T110" s="23"/>
      <x:c r="U110" s="23"/>
    </x:row>
    <x:row r="111" ht="18.75" customHeight="1">
      <x:c r="A111" s="19"/>
      <x:c r="B111" s="20"/>
      <x:c r="C111" s="21"/>
      <x:c r="D111" s="55"/>
      <x:c r="E111" s="56"/>
      <x:c r="F111" s="24"/>
      <x:c r="G111" s="24"/>
      <x:c r="H111" s="25"/>
      <x:c r="I111" s="25"/>
      <x:c r="J111" s="25"/>
      <x:c r="K111" s="24"/>
      <x:c r="L111" s="25"/>
      <x:c r="M111" s="25"/>
      <x:c r="N111" s="25"/>
      <x:c r="O111" s="25"/>
      <x:c r="P111" s="25"/>
      <x:c r="Q111" s="25"/>
      <x:c r="R111" s="26">
        <x:f t="shared" si="9"/>
        <x:v>0</x:v>
      </x:c>
      <x:c r="S111" s="23"/>
      <x:c r="T111" s="23"/>
      <x:c r="U111" s="23"/>
    </x:row>
    <x:row r="112" ht="18.75" customHeight="1">
      <x:c r="A112" s="19"/>
      <x:c r="B112" s="29"/>
      <x:c r="C112" s="21"/>
      <x:c r="D112" s="35"/>
      <x:c r="E112" s="56"/>
      <x:c r="F112" s="24"/>
      <x:c r="G112" s="25"/>
      <x:c r="H112" s="25"/>
      <x:c r="I112" s="25"/>
      <x:c r="J112" s="25"/>
      <x:c r="K112" s="25"/>
      <x:c r="L112" s="24"/>
      <x:c r="M112" s="25"/>
      <x:c r="N112" s="25"/>
      <x:c r="O112" s="25"/>
      <x:c r="P112" s="25"/>
      <x:c r="Q112" s="25"/>
      <x:c r="R112" s="26">
        <x:f t="shared" si="9"/>
        <x:v>0</x:v>
      </x:c>
      <x:c r="S112" s="23"/>
      <x:c r="T112" s="23"/>
      <x:c r="U112" s="23"/>
    </x:row>
    <x:row r="113" ht="18.75" customHeight="1">
      <x:c r="A113" s="19"/>
      <x:c r="B113" s="29"/>
      <x:c r="C113" s="21"/>
      <x:c r="D113" s="55"/>
      <x:c r="E113" s="56"/>
      <x:c r="F113" s="24"/>
      <x:c r="G113" s="25"/>
      <x:c r="H113" s="25"/>
      <x:c r="I113" s="25"/>
      <x:c r="J113" s="25"/>
      <x:c r="K113" s="25"/>
      <x:c r="L113" s="24"/>
      <x:c r="M113" s="25"/>
      <x:c r="N113" s="25"/>
      <x:c r="O113" s="25"/>
      <x:c r="P113" s="25"/>
      <x:c r="Q113" s="25"/>
      <x:c r="R113" s="26">
        <x:f t="shared" si="9"/>
        <x:v>0</x:v>
      </x:c>
      <x:c r="S113" s="23"/>
      <x:c r="T113" s="23"/>
      <x:c r="U113" s="23"/>
    </x:row>
    <x:row r="114" ht="18.75" customHeight="1">
      <x:c r="A114" s="19"/>
      <x:c r="B114" s="29"/>
      <x:c r="C114" s="21"/>
      <x:c r="D114" s="55"/>
      <x:c r="E114" s="56"/>
      <x:c r="F114" s="24"/>
      <x:c r="G114" s="25"/>
      <x:c r="H114" s="25"/>
      <x:c r="I114" s="25"/>
      <x:c r="J114" s="25"/>
      <x:c r="K114" s="25"/>
      <x:c r="L114" s="24"/>
      <x:c r="M114" s="25"/>
      <x:c r="N114" s="25"/>
      <x:c r="O114" s="25"/>
      <x:c r="P114" s="25"/>
      <x:c r="Q114" s="25"/>
      <x:c r="R114" s="26">
        <x:f t="shared" si="9"/>
        <x:v>0</x:v>
      </x:c>
      <x:c r="S114" s="23"/>
      <x:c r="T114" s="23"/>
      <x:c r="U114" s="23"/>
    </x:row>
    <x:row r="115" ht="18.75" customHeight="1">
      <x:c r="A115" s="19"/>
      <x:c r="B115" s="29"/>
      <x:c r="C115" s="21"/>
      <x:c r="D115" s="55"/>
      <x:c r="E115" s="56"/>
      <x:c r="F115" s="24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6">
        <x:f t="shared" si="9"/>
        <x:v>0</x:v>
      </x:c>
      <x:c r="S115" s="23"/>
      <x:c r="T115" s="23"/>
      <x:c r="U115" s="23"/>
    </x:row>
    <x:row r="116" ht="18.75" customHeight="1">
      <x:c r="A116" s="19"/>
      <x:c r="B116" s="29"/>
      <x:c r="C116" s="21"/>
      <x:c r="D116" s="55"/>
      <x:c r="E116" s="56"/>
      <x:c r="F116" s="24"/>
      <x:c r="G116" s="25"/>
      <x:c r="H116" s="25"/>
      <x:c r="I116" s="25"/>
      <x:c r="J116" s="25"/>
      <x:c r="K116" s="24"/>
      <x:c r="L116" s="25"/>
      <x:c r="M116" s="25"/>
      <x:c r="N116" s="25"/>
      <x:c r="O116" s="25"/>
      <x:c r="P116" s="25"/>
      <x:c r="Q116" s="25"/>
      <x:c r="R116" s="26">
        <x:f t="shared" si="9"/>
        <x:v>0</x:v>
      </x:c>
      <x:c r="S116" s="23"/>
      <x:c r="T116" s="23"/>
      <x:c r="U116" s="23"/>
    </x:row>
    <x:row r="117" ht="18.75" customHeight="1">
      <x:c r="A117" s="19"/>
      <x:c r="B117" s="29"/>
      <x:c r="C117" s="21"/>
      <x:c r="D117" s="55"/>
      <x:c r="E117" s="56"/>
      <x:c r="F117" s="24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6">
        <x:f t="shared" si="9"/>
        <x:v>0</x:v>
      </x:c>
      <x:c r="S117" s="23"/>
      <x:c r="T117" s="23"/>
      <x:c r="U117" s="23"/>
    </x:row>
    <x:row r="118" ht="18.75" customHeight="1">
      <x:c r="A118" s="19"/>
      <x:c r="B118" s="29"/>
      <x:c r="C118" s="21"/>
      <x:c r="D118" s="35"/>
      <x:c r="E118" s="56"/>
      <x:c r="F118" s="24"/>
      <x:c r="G118" s="25"/>
      <x:c r="H118" s="25"/>
      <x:c r="I118" s="25"/>
      <x:c r="J118" s="25"/>
      <x:c r="K118" s="24"/>
      <x:c r="L118" s="25"/>
      <x:c r="M118" s="25"/>
      <x:c r="N118" s="25"/>
      <x:c r="O118" s="25"/>
      <x:c r="P118" s="25"/>
      <x:c r="Q118" s="25"/>
      <x:c r="R118" s="26">
        <x:f t="shared" si="9"/>
        <x:v>0</x:v>
      </x:c>
      <x:c r="S118" s="23"/>
      <x:c r="T118" s="23"/>
      <x:c r="U118" s="23"/>
    </x:row>
    <x:row r="119" ht="18.75" customHeight="1">
      <x:c r="A119" s="19"/>
      <x:c r="B119" s="29"/>
      <x:c r="C119" s="21"/>
      <x:c r="D119" s="55"/>
      <x:c r="E119" s="56"/>
      <x:c r="F119" s="24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6">
        <x:f t="shared" si="9"/>
        <x:v>0</x:v>
      </x:c>
      <x:c r="S119" s="23"/>
      <x:c r="T119" s="23"/>
      <x:c r="U119" s="23"/>
    </x:row>
    <x:row r="120" ht="18.75" customHeight="1">
      <x:c r="A120" s="19"/>
      <x:c r="B120" s="29"/>
      <x:c r="C120" s="21"/>
      <x:c r="D120" s="55"/>
      <x:c r="E120" s="56"/>
      <x:c r="F120" s="24"/>
      <x:c r="G120" s="25"/>
      <x:c r="H120" s="25"/>
      <x:c r="I120" s="25"/>
      <x:c r="J120" s="25"/>
      <x:c r="K120" s="25"/>
      <x:c r="L120" s="24"/>
      <x:c r="M120" s="25"/>
      <x:c r="N120" s="25"/>
      <x:c r="O120" s="25"/>
      <x:c r="P120" s="25"/>
      <x:c r="Q120" s="25"/>
      <x:c r="R120" s="26">
        <x:f t="shared" si="9"/>
        <x:v>0</x:v>
      </x:c>
      <x:c r="S120" s="23"/>
      <x:c r="T120" s="23"/>
      <x:c r="U120" s="23"/>
    </x:row>
    <x:row r="121" ht="18.75" customHeight="1">
      <x:c r="A121" s="19"/>
      <x:c r="B121" s="29"/>
      <x:c r="C121" s="21"/>
      <x:c r="D121" s="55"/>
      <x:c r="E121" s="56"/>
      <x:c r="F121" s="24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6">
        <x:f t="shared" si="9"/>
        <x:v>0</x:v>
      </x:c>
      <x:c r="S121" s="23"/>
      <x:c r="T121" s="23"/>
      <x:c r="U121" s="23"/>
    </x:row>
    <x:row r="122" ht="18.75" customHeight="1">
      <x:c r="A122" s="19"/>
      <x:c r="B122" s="29"/>
      <x:c r="C122" s="21"/>
      <x:c r="D122" s="55"/>
      <x:c r="E122" s="56"/>
      <x:c r="F122" s="24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6">
        <x:f t="shared" si="9"/>
        <x:v>0</x:v>
      </x:c>
      <x:c r="S122" s="23"/>
      <x:c r="T122" s="23"/>
      <x:c r="U122" s="23"/>
    </x:row>
    <x:row r="123" ht="18.75" customHeight="1">
      <x:c r="A123" s="19"/>
      <x:c r="B123" s="29"/>
      <x:c r="C123" s="21"/>
      <x:c r="D123" s="55"/>
      <x:c r="E123" s="56"/>
      <x:c r="F123" s="24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6">
        <x:f t="shared" si="9"/>
        <x:v>0</x:v>
      </x:c>
      <x:c r="S123" s="23"/>
      <x:c r="T123" s="23"/>
      <x:c r="U123" s="23"/>
    </x:row>
    <x:row r="124" ht="18.75" customHeight="1">
      <x:c r="A124" s="19"/>
      <x:c r="B124" s="29"/>
      <x:c r="C124" s="21"/>
      <x:c r="D124" s="55"/>
      <x:c r="E124" s="56"/>
      <x:c r="F124" s="24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6">
        <x:f t="shared" si="9"/>
        <x:v>0</x:v>
      </x:c>
      <x:c r="S124" s="23"/>
      <x:c r="T124" s="23"/>
      <x:c r="U124" s="23"/>
    </x:row>
    <x:row r="125" ht="18.75" customHeight="1">
      <x:c r="A125" s="19"/>
      <x:c r="B125" s="29"/>
      <x:c r="C125" s="21"/>
      <x:c r="D125" s="55"/>
      <x:c r="E125" s="56"/>
      <x:c r="F125" s="24"/>
      <x:c r="G125" s="25"/>
      <x:c r="H125" s="25"/>
      <x:c r="I125" s="25"/>
      <x:c r="J125" s="25"/>
      <x:c r="K125" s="25"/>
      <x:c r="L125" s="24"/>
      <x:c r="M125" s="25"/>
      <x:c r="N125" s="25"/>
      <x:c r="O125" s="25"/>
      <x:c r="P125" s="25"/>
      <x:c r="Q125" s="25"/>
      <x:c r="R125" s="26">
        <x:f t="shared" si="9"/>
        <x:v>0</x:v>
      </x:c>
      <x:c r="S125" s="23"/>
      <x:c r="T125" s="23"/>
      <x:c r="U125" s="23"/>
    </x:row>
    <x:row r="126" ht="18.75" customHeight="1">
      <x:c r="A126" s="19"/>
      <x:c r="B126" s="29"/>
      <x:c r="C126" s="21"/>
      <x:c r="D126" s="55"/>
      <x:c r="E126" s="56"/>
      <x:c r="F126" s="24"/>
      <x:c r="G126" s="24"/>
      <x:c r="H126" s="25"/>
      <x:c r="I126" s="25"/>
      <x:c r="J126" s="25"/>
      <x:c r="K126" s="24"/>
      <x:c r="L126" s="25"/>
      <x:c r="M126" s="25"/>
      <x:c r="N126" s="25"/>
      <x:c r="O126" s="25"/>
      <x:c r="P126" s="25"/>
      <x:c r="Q126" s="25"/>
      <x:c r="R126" s="26">
        <x:f t="shared" si="9"/>
        <x:v>0</x:v>
      </x:c>
      <x:c r="S126" s="23"/>
      <x:c r="T126" s="23"/>
      <x:c r="U126" s="23"/>
    </x:row>
    <x:row r="127" ht="18.75" customHeight="1">
      <x:c r="A127" s="19"/>
      <x:c r="B127" s="29"/>
      <x:c r="C127" s="21"/>
      <x:c r="D127" s="55"/>
      <x:c r="E127" s="56"/>
      <x:c r="F127" s="24"/>
      <x:c r="G127" s="25"/>
      <x:c r="H127" s="25"/>
      <x:c r="I127" s="25"/>
      <x:c r="J127" s="25"/>
      <x:c r="K127" s="24"/>
      <x:c r="L127" s="24"/>
      <x:c r="M127" s="25"/>
      <x:c r="N127" s="25"/>
      <x:c r="O127" s="25"/>
      <x:c r="P127" s="25"/>
      <x:c r="Q127" s="25"/>
      <x:c r="R127" s="26">
        <x:f t="shared" si="9"/>
        <x:v>0</x:v>
      </x:c>
      <x:c r="S127" s="23"/>
      <x:c r="T127" s="23"/>
      <x:c r="U127" s="23"/>
    </x:row>
    <x:row r="128" ht="18.75" customHeight="1">
      <x:c r="A128" s="19"/>
      <x:c r="B128" s="29"/>
      <x:c r="C128" s="21"/>
      <x:c r="D128" s="55"/>
      <x:c r="E128" s="56"/>
      <x:c r="F128" s="24"/>
      <x:c r="G128" s="25"/>
      <x:c r="H128" s="25"/>
      <x:c r="I128" s="25"/>
      <x:c r="J128" s="25"/>
      <x:c r="K128" s="24"/>
      <x:c r="L128" s="25"/>
      <x:c r="M128" s="25"/>
      <x:c r="N128" s="25"/>
      <x:c r="O128" s="25"/>
      <x:c r="P128" s="25"/>
      <x:c r="Q128" s="25"/>
      <x:c r="R128" s="26">
        <x:f t="shared" si="9"/>
        <x:v>0</x:v>
      </x:c>
      <x:c r="S128" s="23"/>
      <x:c r="T128" s="23"/>
      <x:c r="U128" s="23"/>
    </x:row>
    <x:row r="129" ht="18.75" customHeight="1">
      <x:c r="A129" s="19"/>
      <x:c r="B129" s="29"/>
      <x:c r="C129" s="21"/>
      <x:c r="D129" s="55"/>
      <x:c r="E129" s="56"/>
      <x:c r="F129" s="24"/>
      <x:c r="G129" s="25"/>
      <x:c r="H129" s="25"/>
      <x:c r="I129" s="25"/>
      <x:c r="J129" s="25"/>
      <x:c r="K129" s="25"/>
      <x:c r="L129" s="24"/>
      <x:c r="M129" s="25"/>
      <x:c r="N129" s="25"/>
      <x:c r="O129" s="25"/>
      <x:c r="P129" s="25"/>
      <x:c r="Q129" s="25"/>
      <x:c r="R129" s="26">
        <x:f t="shared" si="9"/>
        <x:v>0</x:v>
      </x:c>
      <x:c r="S129" s="23"/>
      <x:c r="T129" s="23"/>
      <x:c r="U129" s="23"/>
    </x:row>
    <x:row r="130" ht="18.75" customHeight="1">
      <x:c r="A130" s="19"/>
      <x:c r="B130" s="29"/>
      <x:c r="C130" s="21"/>
      <x:c r="D130" s="35"/>
      <x:c r="E130" s="56"/>
      <x:c r="F130" s="24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6">
        <x:f t="shared" si="9"/>
        <x:v>0</x:v>
      </x:c>
      <x:c r="S130" s="23"/>
      <x:c r="T130" s="23"/>
      <x:c r="U130" s="23"/>
    </x:row>
    <x:row r="131" ht="18.75" customHeight="1">
      <x:c r="A131" s="19"/>
      <x:c r="B131" s="29"/>
      <x:c r="C131" s="21"/>
      <x:c r="D131" s="55"/>
      <x:c r="E131" s="56"/>
      <x:c r="F131" s="24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6">
        <x:f t="shared" si="9"/>
        <x:v>0</x:v>
      </x:c>
      <x:c r="S131" s="23"/>
      <x:c r="T131" s="23"/>
      <x:c r="U131" s="23"/>
    </x:row>
    <x:row r="132" ht="18.75" customHeight="1">
      <x:c r="A132" s="19"/>
      <x:c r="B132" s="29"/>
      <x:c r="C132" s="21"/>
      <x:c r="D132" s="55"/>
      <x:c r="E132" s="56"/>
      <x:c r="F132" s="24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6">
        <x:f t="shared" si="9"/>
        <x:v>0</x:v>
      </x:c>
      <x:c r="S132" s="23"/>
      <x:c r="T132" s="23"/>
      <x:c r="U132" s="23"/>
    </x:row>
    <x:row r="133" ht="18.75" customHeight="1">
      <x:c r="A133" s="19"/>
      <x:c r="B133" s="29"/>
      <x:c r="C133" s="21"/>
      <x:c r="D133" s="55"/>
      <x:c r="E133" s="56"/>
      <x:c r="F133" s="24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6">
        <x:f t="shared" si="9"/>
        <x:v>0</x:v>
      </x:c>
      <x:c r="S133" s="23"/>
      <x:c r="T133" s="23"/>
      <x:c r="U133" s="23"/>
    </x:row>
    <x:row r="134" ht="18.75" customHeight="1">
      <x:c r="A134" s="19"/>
      <x:c r="B134" s="29"/>
      <x:c r="C134" s="21"/>
      <x:c r="D134" s="55"/>
      <x:c r="E134" s="56"/>
      <x:c r="F134" s="24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6">
        <x:f t="shared" si="9"/>
        <x:v>0</x:v>
      </x:c>
      <x:c r="S134" s="23"/>
      <x:c r="T134" s="23"/>
      <x:c r="U134" s="23"/>
    </x:row>
    <x:row r="135" ht="18.75" customHeight="1">
      <x:c r="A135" s="19"/>
      <x:c r="B135" s="29"/>
      <x:c r="C135" s="21"/>
      <x:c r="D135" s="55"/>
      <x:c r="E135" s="56"/>
      <x:c r="F135" s="24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6">
        <x:f t="shared" si="9"/>
        <x:v>0</x:v>
      </x:c>
      <x:c r="S135" s="23"/>
      <x:c r="T135" s="23"/>
      <x:c r="U135" s="23"/>
    </x:row>
    <x:row r="136" ht="18.75" customHeight="1">
      <x:c r="A136" s="19"/>
      <x:c r="B136" s="29"/>
      <x:c r="C136" s="21"/>
      <x:c r="D136" s="55"/>
      <x:c r="E136" s="56"/>
      <x:c r="F136" s="24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6">
        <x:f t="shared" si="9"/>
        <x:v>0</x:v>
      </x:c>
      <x:c r="S136" s="23"/>
      <x:c r="T136" s="23"/>
      <x:c r="U136" s="23"/>
    </x:row>
    <x:row r="137" ht="18.75" customHeight="1">
      <x:c r="A137" s="19"/>
      <x:c r="B137" s="29"/>
      <x:c r="C137" s="21"/>
      <x:c r="D137" s="55"/>
      <x:c r="E137" s="56"/>
      <x:c r="F137" s="24"/>
      <x:c r="G137" s="25"/>
      <x:c r="H137" s="25"/>
      <x:c r="I137" s="25"/>
      <x:c r="J137" s="25"/>
      <x:c r="K137" s="25"/>
      <x:c r="L137" s="24"/>
      <x:c r="M137" s="25"/>
      <x:c r="N137" s="25"/>
      <x:c r="O137" s="25"/>
      <x:c r="P137" s="25"/>
      <x:c r="Q137" s="25"/>
      <x:c r="R137" s="26">
        <x:f t="shared" si="9"/>
        <x:v>0</x:v>
      </x:c>
      <x:c r="S137" s="23"/>
      <x:c r="T137" s="23"/>
      <x:c r="U137" s="23"/>
    </x:row>
    <x:row r="138" ht="18.75" customHeight="1">
      <x:c r="A138" s="19"/>
      <x:c r="B138" s="29"/>
      <x:c r="C138" s="21"/>
      <x:c r="D138" s="55"/>
      <x:c r="E138" s="56"/>
      <x:c r="F138" s="24"/>
      <x:c r="G138" s="25"/>
      <x:c r="H138" s="25"/>
      <x:c r="I138" s="25"/>
      <x:c r="J138" s="25"/>
      <x:c r="K138" s="24"/>
      <x:c r="L138" s="24"/>
      <x:c r="M138" s="25"/>
      <x:c r="N138" s="25"/>
      <x:c r="O138" s="25"/>
      <x:c r="P138" s="25"/>
      <x:c r="Q138" s="25"/>
      <x:c r="R138" s="26">
        <x:f t="shared" si="9"/>
        <x:v>0</x:v>
      </x:c>
      <x:c r="S138" s="23"/>
      <x:c r="T138" s="23"/>
      <x:c r="U138" s="23"/>
    </x:row>
    <x:row r="139" ht="18.75" customHeight="1">
      <x:c r="A139" s="19"/>
      <x:c r="B139" s="29"/>
      <x:c r="C139" s="21"/>
      <x:c r="D139" s="55"/>
      <x:c r="E139" s="56"/>
      <x:c r="F139" s="24"/>
      <x:c r="G139" s="24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6">
        <x:f t="shared" si="9"/>
        <x:v>0</x:v>
      </x:c>
      <x:c r="S139" s="23"/>
      <x:c r="T139" s="23"/>
      <x:c r="U139" s="23"/>
    </x:row>
    <x:row r="140" ht="18.75" customHeight="1">
      <x:c r="A140" s="19"/>
      <x:c r="B140" s="29"/>
      <x:c r="C140" s="21"/>
      <x:c r="D140" s="55"/>
      <x:c r="E140" s="56"/>
      <x:c r="F140" s="24"/>
      <x:c r="G140" s="25"/>
      <x:c r="H140" s="25"/>
      <x:c r="I140" s="25"/>
      <x:c r="J140" s="25"/>
      <x:c r="K140" s="25"/>
      <x:c r="L140" s="24"/>
      <x:c r="M140" s="25"/>
      <x:c r="N140" s="25"/>
      <x:c r="O140" s="25"/>
      <x:c r="P140" s="25"/>
      <x:c r="Q140" s="25"/>
      <x:c r="R140" s="26">
        <x:f t="shared" si="9"/>
        <x:v>0</x:v>
      </x:c>
      <x:c r="S140" s="23"/>
      <x:c r="T140" s="23"/>
      <x:c r="U140" s="23"/>
    </x:row>
    <x:row r="141" ht="18.75" customHeight="1">
      <x:c r="A141" s="19"/>
      <x:c r="B141" s="29"/>
      <x:c r="C141" s="21"/>
      <x:c r="D141" s="55"/>
      <x:c r="E141" s="56"/>
      <x:c r="F141" s="24"/>
      <x:c r="G141" s="25"/>
      <x:c r="H141" s="25"/>
      <x:c r="I141" s="25"/>
      <x:c r="J141" s="25"/>
      <x:c r="K141" s="24"/>
      <x:c r="L141" s="24"/>
      <x:c r="M141" s="25"/>
      <x:c r="N141" s="25"/>
      <x:c r="O141" s="25"/>
      <x:c r="P141" s="25"/>
      <x:c r="Q141" s="25"/>
      <x:c r="R141" s="26">
        <x:f t="shared" si="9"/>
        <x:v>0</x:v>
      </x:c>
      <x:c r="S141" s="23"/>
      <x:c r="T141" s="23"/>
      <x:c r="U141" s="23"/>
    </x:row>
    <x:row r="142" ht="18.75" customHeight="1">
      <x:c r="A142" s="19"/>
      <x:c r="B142" s="29"/>
      <x:c r="C142" s="21"/>
      <x:c r="D142" s="55"/>
      <x:c r="E142" s="56"/>
      <x:c r="F142" s="24"/>
      <x:c r="G142" s="25"/>
      <x:c r="H142" s="25"/>
      <x:c r="I142" s="25"/>
      <x:c r="J142" s="25"/>
      <x:c r="K142" s="25"/>
      <x:c r="L142" s="24"/>
      <x:c r="M142" s="25"/>
      <x:c r="N142" s="25"/>
      <x:c r="O142" s="25"/>
      <x:c r="P142" s="25"/>
      <x:c r="Q142" s="25"/>
      <x:c r="R142" s="26">
        <x:f t="shared" si="9"/>
        <x:v>0</x:v>
      </x:c>
      <x:c r="S142" s="23"/>
      <x:c r="T142" s="23"/>
      <x:c r="U142" s="23"/>
    </x:row>
    <x:row r="143" ht="18.75" customHeight="1">
      <x:c r="A143" s="19"/>
      <x:c r="B143" s="29"/>
      <x:c r="C143" s="21"/>
      <x:c r="D143" s="55"/>
      <x:c r="E143" s="56"/>
      <x:c r="F143" s="24"/>
      <x:c r="G143" s="25"/>
      <x:c r="H143" s="25"/>
      <x:c r="I143" s="25"/>
      <x:c r="J143" s="25"/>
      <x:c r="K143" s="25"/>
      <x:c r="L143" s="24"/>
      <x:c r="M143" s="25"/>
      <x:c r="N143" s="25"/>
      <x:c r="O143" s="25"/>
      <x:c r="P143" s="25"/>
      <x:c r="Q143" s="25"/>
      <x:c r="R143" s="26">
        <x:f t="shared" si="9"/>
        <x:v>0</x:v>
      </x:c>
      <x:c r="S143" s="23"/>
      <x:c r="T143" s="23"/>
      <x:c r="U143" s="23"/>
    </x:row>
    <x:row r="144" ht="18.75" customHeight="1">
      <x:c r="A144" s="19"/>
      <x:c r="B144" s="29"/>
      <x:c r="C144" s="21"/>
      <x:c r="D144" s="55"/>
      <x:c r="E144" s="56"/>
      <x:c r="F144" s="24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6">
        <x:f t="shared" si="9"/>
        <x:v>0</x:v>
      </x:c>
      <x:c r="S144" s="23"/>
      <x:c r="T144" s="23"/>
      <x:c r="U144" s="23"/>
    </x:row>
    <x:row r="145" ht="18.75" customHeight="1">
      <x:c r="A145" s="19"/>
      <x:c r="B145" s="29"/>
      <x:c r="C145" s="21"/>
      <x:c r="D145" s="55"/>
      <x:c r="E145" s="56"/>
      <x:c r="F145" s="24"/>
      <x:c r="G145" s="25"/>
      <x:c r="H145" s="25"/>
      <x:c r="I145" s="25"/>
      <x:c r="J145" s="25"/>
      <x:c r="K145" s="25"/>
      <x:c r="L145" s="24"/>
      <x:c r="M145" s="25"/>
      <x:c r="N145" s="25"/>
      <x:c r="O145" s="25"/>
      <x:c r="P145" s="25"/>
      <x:c r="Q145" s="25"/>
      <x:c r="R145" s="26">
        <x:f t="shared" si="9"/>
        <x:v>0</x:v>
      </x:c>
      <x:c r="S145" s="23"/>
      <x:c r="T145" s="23"/>
      <x:c r="U145" s="23"/>
    </x:row>
    <x:row r="146" ht="18.75" customHeight="1">
      <x:c r="A146" s="19"/>
      <x:c r="B146" s="29"/>
      <x:c r="C146" s="21"/>
      <x:c r="D146" s="55"/>
      <x:c r="E146" s="56"/>
      <x:c r="F146" s="24"/>
      <x:c r="G146" s="25"/>
      <x:c r="H146" s="25"/>
      <x:c r="I146" s="25"/>
      <x:c r="J146" s="25"/>
      <x:c r="K146" s="25"/>
      <x:c r="L146" s="24"/>
      <x:c r="M146" s="25"/>
      <x:c r="N146" s="25"/>
      <x:c r="O146" s="25"/>
      <x:c r="P146" s="25"/>
      <x:c r="Q146" s="25"/>
      <x:c r="R146" s="26">
        <x:f t="shared" si="9"/>
        <x:v>0</x:v>
      </x:c>
      <x:c r="S146" s="23"/>
      <x:c r="T146" s="23"/>
      <x:c r="U146" s="23"/>
    </x:row>
    <x:row r="147" ht="18.75" customHeight="1">
      <x:c r="A147" s="19"/>
      <x:c r="B147" s="29"/>
      <x:c r="C147" s="21"/>
      <x:c r="D147" s="55"/>
      <x:c r="E147" s="56"/>
      <x:c r="F147" s="24"/>
      <x:c r="G147" s="25"/>
      <x:c r="H147" s="24"/>
      <x:c r="I147" s="24"/>
      <x:c r="J147" s="24"/>
      <x:c r="K147" s="25"/>
      <x:c r="L147" s="24"/>
      <x:c r="M147" s="25"/>
      <x:c r="N147" s="25"/>
      <x:c r="O147" s="25"/>
      <x:c r="P147" s="25"/>
      <x:c r="Q147" s="25"/>
      <x:c r="R147" s="26">
        <x:f t="shared" si="9"/>
        <x:v>0</x:v>
      </x:c>
      <x:c r="S147" s="23"/>
      <x:c r="T147" s="23"/>
      <x:c r="U147" s="23"/>
    </x:row>
    <x:row r="148" ht="18.75" customHeight="1">
      <x:c r="A148" s="19"/>
      <x:c r="B148" s="29"/>
      <x:c r="C148" s="21"/>
      <x:c r="D148" s="55"/>
      <x:c r="E148" s="56"/>
      <x:c r="F148" s="24"/>
      <x:c r="G148" s="25"/>
      <x:c r="H148" s="25"/>
      <x:c r="I148" s="25"/>
      <x:c r="J148" s="25"/>
      <x:c r="K148" s="24"/>
      <x:c r="L148" s="25"/>
      <x:c r="M148" s="25"/>
      <x:c r="N148" s="25"/>
      <x:c r="O148" s="25"/>
      <x:c r="P148" s="25"/>
      <x:c r="Q148" s="25"/>
      <x:c r="R148" s="26">
        <x:f t="shared" si="9"/>
        <x:v>0</x:v>
      </x:c>
      <x:c r="S148" s="23"/>
      <x:c r="T148" s="23"/>
      <x:c r="U148" s="23"/>
    </x:row>
    <x:row r="149" ht="18.75" customHeight="1">
      <x:c r="A149" s="19"/>
      <x:c r="B149" s="29"/>
      <x:c r="C149" s="21"/>
      <x:c r="D149" s="55"/>
      <x:c r="E149" s="56"/>
      <x:c r="F149" s="24"/>
      <x:c r="G149" s="25"/>
      <x:c r="H149" s="25"/>
      <x:c r="I149" s="25"/>
      <x:c r="J149" s="25"/>
      <x:c r="K149" s="25"/>
      <x:c r="L149" s="24"/>
      <x:c r="M149" s="25"/>
      <x:c r="N149" s="25"/>
      <x:c r="O149" s="25"/>
      <x:c r="P149" s="25"/>
      <x:c r="Q149" s="25"/>
      <x:c r="R149" s="26">
        <x:f t="shared" si="9"/>
        <x:v>0</x:v>
      </x:c>
      <x:c r="S149" s="23"/>
      <x:c r="T149" s="23"/>
      <x:c r="U149" s="23"/>
    </x:row>
    <x:row r="150" ht="18.75" customHeight="1">
      <x:c r="A150" s="19"/>
      <x:c r="B150" s="29"/>
      <x:c r="C150" s="21"/>
      <x:c r="D150" s="55"/>
      <x:c r="E150" s="56"/>
      <x:c r="F150" s="24"/>
      <x:c r="G150" s="25"/>
      <x:c r="H150" s="25"/>
      <x:c r="I150" s="25"/>
      <x:c r="J150" s="25"/>
      <x:c r="K150" s="24"/>
      <x:c r="L150" s="25"/>
      <x:c r="M150" s="25"/>
      <x:c r="N150" s="25"/>
      <x:c r="O150" s="25"/>
      <x:c r="P150" s="25"/>
      <x:c r="Q150" s="25"/>
      <x:c r="R150" s="26">
        <x:f t="shared" si="9"/>
        <x:v>0</x:v>
      </x:c>
      <x:c r="S150" s="23"/>
      <x:c r="T150" s="23"/>
      <x:c r="U150" s="23"/>
    </x:row>
    <x:row r="151" ht="18.75" customHeight="1">
      <x:c r="A151" s="19"/>
      <x:c r="B151" s="29"/>
      <x:c r="C151" s="21"/>
      <x:c r="D151" s="55"/>
      <x:c r="E151" s="56"/>
      <x:c r="F151" s="24"/>
      <x:c r="G151" s="25"/>
      <x:c r="H151" s="25"/>
      <x:c r="I151" s="25"/>
      <x:c r="J151" s="25"/>
      <x:c r="K151" s="24"/>
      <x:c r="L151" s="25"/>
      <x:c r="M151" s="25"/>
      <x:c r="N151" s="25"/>
      <x:c r="O151" s="25"/>
      <x:c r="P151" s="25"/>
      <x:c r="Q151" s="25"/>
      <x:c r="R151" s="26">
        <x:f t="shared" si="9"/>
        <x:v>0</x:v>
      </x:c>
      <x:c r="S151" s="23"/>
      <x:c r="T151" s="23"/>
      <x:c r="U151" s="23"/>
    </x:row>
    <x:row r="152" ht="18.75" customHeight="1">
      <x:c r="A152" s="19"/>
      <x:c r="B152" s="29"/>
      <x:c r="C152" s="21"/>
      <x:c r="D152" s="55"/>
      <x:c r="E152" s="56"/>
      <x:c r="F152" s="24"/>
      <x:c r="G152" s="25"/>
      <x:c r="H152" s="25"/>
      <x:c r="I152" s="25"/>
      <x:c r="J152" s="25"/>
      <x:c r="K152" s="24"/>
      <x:c r="L152" s="24"/>
      <x:c r="M152" s="25"/>
      <x:c r="N152" s="25"/>
      <x:c r="O152" s="25"/>
      <x:c r="P152" s="25"/>
      <x:c r="Q152" s="25"/>
      <x:c r="R152" s="26">
        <x:f t="shared" si="9"/>
        <x:v>0</x:v>
      </x:c>
      <x:c r="S152" s="23"/>
      <x:c r="T152" s="23"/>
      <x:c r="U152" s="23"/>
    </x:row>
    <x:row r="153" ht="18.75" customHeight="1">
      <x:c r="A153" s="19"/>
      <x:c r="B153" s="29"/>
      <x:c r="C153" s="21"/>
      <x:c r="D153" s="55"/>
      <x:c r="E153" s="56"/>
      <x:c r="F153" s="24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6">
        <x:f t="shared" si="9"/>
        <x:v>0</x:v>
      </x:c>
      <x:c r="S153" s="23"/>
      <x:c r="T153" s="23"/>
      <x:c r="U153" s="23"/>
    </x:row>
    <x:row r="154" ht="18.75" customHeight="1">
      <x:c r="A154" s="19"/>
      <x:c r="B154" s="29"/>
      <x:c r="C154" s="21"/>
      <x:c r="D154" s="55"/>
      <x:c r="E154" s="56"/>
      <x:c r="F154" s="24"/>
      <x:c r="G154" s="25"/>
      <x:c r="H154" s="25"/>
      <x:c r="I154" s="25"/>
      <x:c r="J154" s="25"/>
      <x:c r="K154" s="24"/>
      <x:c r="L154" s="25"/>
      <x:c r="M154" s="25"/>
      <x:c r="N154" s="25"/>
      <x:c r="O154" s="25"/>
      <x:c r="P154" s="25"/>
      <x:c r="Q154" s="25"/>
      <x:c r="R154" s="26">
        <x:f t="shared" si="9"/>
        <x:v>0</x:v>
      </x:c>
      <x:c r="S154" s="23"/>
      <x:c r="T154" s="23"/>
      <x:c r="U154" s="23"/>
    </x:row>
    <x:row r="155" ht="18.75" customHeight="1">
      <x:c r="A155" s="19"/>
      <x:c r="B155" s="29"/>
      <x:c r="C155" s="21"/>
      <x:c r="D155" s="55"/>
      <x:c r="E155" s="56"/>
      <x:c r="F155" s="24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6">
        <x:f t="shared" si="9"/>
        <x:v>0</x:v>
      </x:c>
      <x:c r="S155" s="23"/>
      <x:c r="T155" s="23"/>
      <x:c r="U155" s="23"/>
    </x:row>
    <x:row r="156" ht="18.75" customHeight="1">
      <x:c r="A156" s="19"/>
      <x:c r="B156" s="29"/>
      <x:c r="C156" s="21"/>
      <x:c r="D156" s="55"/>
      <x:c r="E156" s="56"/>
      <x:c r="F156" s="24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6">
        <x:f t="shared" si="9"/>
        <x:v>0</x:v>
      </x:c>
      <x:c r="S156" s="23"/>
      <x:c r="T156" s="23"/>
      <x:c r="U156" s="23"/>
    </x:row>
    <x:row r="157" ht="18.75" customHeight="1">
      <x:c r="A157" s="19"/>
      <x:c r="B157" s="29"/>
      <x:c r="C157" s="21"/>
      <x:c r="D157" s="55"/>
      <x:c r="E157" s="56"/>
      <x:c r="F157" s="24"/>
      <x:c r="G157" s="25"/>
      <x:c r="H157" s="25"/>
      <x:c r="I157" s="25"/>
      <x:c r="J157" s="25"/>
      <x:c r="K157" s="24"/>
      <x:c r="L157" s="25"/>
      <x:c r="M157" s="25"/>
      <x:c r="N157" s="25"/>
      <x:c r="O157" s="25"/>
      <x:c r="P157" s="25"/>
      <x:c r="Q157" s="25"/>
      <x:c r="R157" s="26">
        <x:f t="shared" si="9"/>
        <x:v>0</x:v>
      </x:c>
      <x:c r="S157" s="23"/>
      <x:c r="T157" s="23"/>
      <x:c r="U157" s="23"/>
    </x:row>
    <x:row r="158" ht="18.75" customHeight="1">
      <x:c r="A158" s="19"/>
      <x:c r="B158" s="29"/>
      <x:c r="C158" s="21"/>
      <x:c r="D158" s="55"/>
      <x:c r="E158" s="56"/>
      <x:c r="F158" s="24"/>
      <x:c r="G158" s="25"/>
      <x:c r="H158" s="24"/>
      <x:c r="I158" s="24"/>
      <x:c r="J158" s="24"/>
      <x:c r="K158" s="25"/>
      <x:c r="L158" s="25"/>
      <x:c r="M158" s="25"/>
      <x:c r="N158" s="25"/>
      <x:c r="O158" s="25"/>
      <x:c r="P158" s="25"/>
      <x:c r="Q158" s="25"/>
      <x:c r="R158" s="26">
        <x:f t="shared" si="9"/>
        <x:v>0</x:v>
      </x:c>
      <x:c r="S158" s="23"/>
      <x:c r="T158" s="23"/>
      <x:c r="U158" s="23"/>
    </x:row>
    <x:row r="159" ht="18.75" customHeight="1">
      <x:c r="A159" s="19"/>
      <x:c r="B159" s="29"/>
      <x:c r="C159" s="21"/>
      <x:c r="D159" s="55"/>
      <x:c r="E159" s="56"/>
      <x:c r="F159" s="24"/>
      <x:c r="G159" s="25"/>
      <x:c r="H159" s="25"/>
      <x:c r="I159" s="25"/>
      <x:c r="J159" s="25"/>
      <x:c r="K159" s="25"/>
      <x:c r="L159" s="24"/>
      <x:c r="M159" s="25"/>
      <x:c r="N159" s="25"/>
      <x:c r="O159" s="25"/>
      <x:c r="P159" s="25"/>
      <x:c r="Q159" s="25"/>
      <x:c r="R159" s="26">
        <x:f t="shared" si="9"/>
        <x:v>0</x:v>
      </x:c>
      <x:c r="S159" s="23"/>
      <x:c r="T159" s="23"/>
      <x:c r="U159" s="23"/>
    </x:row>
    <x:row r="160" ht="18.75" customHeight="1">
      <x:c r="A160" s="19"/>
      <x:c r="B160" s="29"/>
      <x:c r="C160" s="21"/>
      <x:c r="D160" s="55"/>
      <x:c r="E160" s="56"/>
      <x:c r="F160" s="24"/>
      <x:c r="G160" s="25"/>
      <x:c r="H160" s="25"/>
      <x:c r="I160" s="25"/>
      <x:c r="J160" s="25"/>
      <x:c r="K160" s="25"/>
      <x:c r="L160" s="24"/>
      <x:c r="M160" s="25"/>
      <x:c r="N160" s="25"/>
      <x:c r="O160" s="25"/>
      <x:c r="P160" s="25"/>
      <x:c r="Q160" s="25"/>
      <x:c r="R160" s="26">
        <x:f t="shared" si="9"/>
        <x:v>0</x:v>
      </x:c>
      <x:c r="S160" s="23"/>
      <x:c r="T160" s="23"/>
      <x:c r="U160" s="23"/>
    </x:row>
    <x:row r="161" ht="18.75" customHeight="1">
      <x:c r="A161" s="19"/>
      <x:c r="B161" s="29"/>
      <x:c r="C161" s="21"/>
      <x:c r="D161" s="55"/>
      <x:c r="E161" s="56"/>
      <x:c r="F161" s="24"/>
      <x:c r="G161" s="25"/>
      <x:c r="H161" s="25"/>
      <x:c r="I161" s="25"/>
      <x:c r="J161" s="25"/>
      <x:c r="K161" s="25"/>
      <x:c r="L161" s="74"/>
      <x:c r="M161" s="74"/>
      <x:c r="N161" s="25"/>
      <x:c r="O161" s="25"/>
      <x:c r="P161" s="25"/>
      <x:c r="Q161" s="25"/>
      <x:c r="R161" s="26">
        <x:f t="shared" si="9"/>
        <x:v>0</x:v>
      </x:c>
      <x:c r="S161" s="23"/>
      <x:c r="T161" s="23"/>
      <x:c r="U161" s="23"/>
    </x:row>
    <x:row r="162" ht="18.75" customHeight="1">
      <x:c r="A162" s="19"/>
      <x:c r="B162" s="29"/>
      <x:c r="C162" s="21"/>
      <x:c r="D162" s="55"/>
      <x:c r="E162" s="56"/>
      <x:c r="F162" s="24"/>
      <x:c r="G162" s="25"/>
      <x:c r="H162" s="25"/>
      <x:c r="I162" s="25"/>
      <x:c r="J162" s="25"/>
      <x:c r="K162" s="24"/>
      <x:c r="L162" s="25"/>
      <x:c r="M162" s="25"/>
      <x:c r="N162" s="25"/>
      <x:c r="O162" s="25"/>
      <x:c r="P162" s="25"/>
      <x:c r="Q162" s="25"/>
      <x:c r="R162" s="26">
        <x:f t="shared" si="9"/>
        <x:v>0</x:v>
      </x:c>
      <x:c r="S162" s="23"/>
      <x:c r="T162" s="23"/>
      <x:c r="U162" s="23"/>
    </x:row>
    <x:row r="163" ht="18.75" customHeight="1">
      <x:c r="A163" s="19"/>
      <x:c r="B163" s="29"/>
      <x:c r="C163" s="21"/>
      <x:c r="D163" s="55"/>
      <x:c r="E163" s="56"/>
      <x:c r="F163" s="24"/>
      <x:c r="G163" s="25"/>
      <x:c r="H163" s="25"/>
      <x:c r="I163" s="25"/>
      <x:c r="J163" s="25"/>
      <x:c r="K163" s="25"/>
      <x:c r="L163" s="24"/>
      <x:c r="M163" s="25"/>
      <x:c r="N163" s="25"/>
      <x:c r="O163" s="25"/>
      <x:c r="P163" s="25"/>
      <x:c r="Q163" s="25"/>
      <x:c r="R163" s="26">
        <x:f t="shared" si="9"/>
        <x:v>0</x:v>
      </x:c>
      <x:c r="S163" s="23"/>
      <x:c r="T163" s="23"/>
      <x:c r="U163" s="23"/>
    </x:row>
    <x:row r="164" ht="18.75" customHeight="1">
      <x:c r="A164" s="19"/>
      <x:c r="B164" s="29"/>
      <x:c r="C164" s="21"/>
      <x:c r="D164" s="55"/>
      <x:c r="E164" s="56"/>
      <x:c r="F164" s="24"/>
      <x:c r="G164" s="25"/>
      <x:c r="H164" s="25"/>
      <x:c r="I164" s="25"/>
      <x:c r="J164" s="25"/>
      <x:c r="K164" s="25"/>
      <x:c r="L164" s="24"/>
      <x:c r="M164" s="25"/>
      <x:c r="N164" s="25"/>
      <x:c r="O164" s="25"/>
      <x:c r="P164" s="25"/>
      <x:c r="Q164" s="25"/>
      <x:c r="R164" s="26">
        <x:f t="shared" si="9"/>
        <x:v>0</x:v>
      </x:c>
      <x:c r="S164" s="23"/>
      <x:c r="T164" s="23"/>
      <x:c r="U164" s="23"/>
    </x:row>
    <x:row r="165" ht="18.75" customHeight="1">
      <x:c r="A165" s="19"/>
      <x:c r="B165" s="29"/>
      <x:c r="C165" s="21"/>
      <x:c r="D165" s="55"/>
      <x:c r="E165" s="56"/>
      <x:c r="F165" s="24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6">
        <x:f t="shared" si="9"/>
        <x:v>0</x:v>
      </x:c>
      <x:c r="S165" s="23"/>
      <x:c r="T165" s="23"/>
      <x:c r="U165" s="23"/>
    </x:row>
    <x:row r="166" ht="18.75" customHeight="1">
      <x:c r="A166" s="19"/>
      <x:c r="B166" s="29"/>
      <x:c r="C166" s="21"/>
      <x:c r="D166" s="55"/>
      <x:c r="E166" s="56"/>
      <x:c r="F166" s="24"/>
      <x:c r="G166" s="25"/>
      <x:c r="H166" s="25"/>
      <x:c r="I166" s="25"/>
      <x:c r="J166" s="25"/>
      <x:c r="K166" s="25"/>
      <x:c r="L166" s="24"/>
      <x:c r="M166" s="25"/>
      <x:c r="N166" s="25"/>
      <x:c r="O166" s="25"/>
      <x:c r="P166" s="25"/>
      <x:c r="Q166" s="25"/>
      <x:c r="R166" s="26">
        <x:f t="shared" si="9"/>
        <x:v>0</x:v>
      </x:c>
      <x:c r="S166" s="23"/>
      <x:c r="T166" s="23"/>
      <x:c r="U166" s="23"/>
    </x:row>
    <x:row r="167" ht="18.75" customHeight="1">
      <x:c r="A167" s="19"/>
      <x:c r="B167" s="29"/>
      <x:c r="C167" s="21"/>
      <x:c r="D167" s="55"/>
      <x:c r="E167" s="56"/>
      <x:c r="F167" s="24"/>
      <x:c r="G167" s="25"/>
      <x:c r="H167" s="25"/>
      <x:c r="I167" s="25"/>
      <x:c r="J167" s="25"/>
      <x:c r="K167" s="25"/>
      <x:c r="L167" s="24"/>
      <x:c r="M167" s="25"/>
      <x:c r="N167" s="25"/>
      <x:c r="O167" s="25"/>
      <x:c r="P167" s="25"/>
      <x:c r="Q167" s="25"/>
      <x:c r="R167" s="26">
        <x:f t="shared" si="9"/>
        <x:v>0</x:v>
      </x:c>
      <x:c r="S167" s="23"/>
      <x:c r="T167" s="23"/>
      <x:c r="U167" s="23"/>
    </x:row>
    <x:row r="168" ht="18.75" customHeight="1">
      <x:c r="A168" s="19"/>
      <x:c r="B168" s="29"/>
      <x:c r="C168" s="21"/>
      <x:c r="D168" s="55"/>
      <x:c r="E168" s="56"/>
      <x:c r="F168" s="24"/>
      <x:c r="G168" s="25"/>
      <x:c r="H168" s="25"/>
      <x:c r="I168" s="25"/>
      <x:c r="J168" s="25"/>
      <x:c r="K168" s="24"/>
      <x:c r="L168" s="25"/>
      <x:c r="M168" s="25"/>
      <x:c r="N168" s="25"/>
      <x:c r="O168" s="25"/>
      <x:c r="P168" s="25"/>
      <x:c r="Q168" s="25"/>
      <x:c r="R168" s="26">
        <x:f t="shared" si="9"/>
        <x:v>0</x:v>
      </x:c>
      <x:c r="S168" s="23"/>
      <x:c r="T168" s="23"/>
      <x:c r="U168" s="23"/>
    </x:row>
    <x:row r="169" ht="18.75" customHeight="1">
      <x:c r="A169" s="19"/>
      <x:c r="B169" s="29"/>
      <x:c r="C169" s="21"/>
      <x:c r="D169" s="55"/>
      <x:c r="E169" s="56"/>
      <x:c r="F169" s="24"/>
      <x:c r="G169" s="25"/>
      <x:c r="H169" s="24"/>
      <x:c r="I169" s="24"/>
      <x:c r="J169" s="24"/>
      <x:c r="K169" s="25"/>
      <x:c r="L169" s="24"/>
      <x:c r="M169" s="25"/>
      <x:c r="N169" s="25"/>
      <x:c r="O169" s="25"/>
      <x:c r="P169" s="25"/>
      <x:c r="Q169" s="25"/>
      <x:c r="R169" s="26">
        <x:f t="shared" si="9"/>
        <x:v>0</x:v>
      </x:c>
      <x:c r="S169" s="23"/>
      <x:c r="T169" s="23"/>
      <x:c r="U169" s="23"/>
    </x:row>
    <x:row r="170">
      <x:c r="A170" s="75"/>
      <x:c r="B170" s="76" t="s">
        <x:v>27</x:v>
      </x:c>
      <x:c r="C170" s="77"/>
      <x:c r="D170" s="78"/>
      <x:c r="E170" s="77" t="n">
        <x:f>SUM(E4:E141)</x:f>
        <x:v>8</x:v>
      </x:c>
      <x:c r="F170" s="79" t="n">
        <x:f t="shared" ref="F170:R170" si="10">SUM(F4:F169)</x:f>
        <x:v>22</x:v>
      </x:c>
      <x:c r="G170" s="79">
        <x:f t="shared" si="10"/>
        <x:v>14</x:v>
      </x:c>
      <x:c r="H170" s="79">
        <x:f t="shared" si="10"/>
        <x:v>0</x:v>
      </x:c>
      <x:c r="I170" s="79">
        <x:f t="shared" si="10"/>
        <x:v>7</x:v>
      </x:c>
      <x:c r="J170" s="79">
        <x:f t="shared" si="10"/>
        <x:v>0</x:v>
      </x:c>
      <x:c r="K170" s="79">
        <x:f t="shared" si="10"/>
        <x:v>68</x:v>
      </x:c>
      <x:c r="L170" s="79">
        <x:f t="shared" si="10"/>
        <x:v>6</x:v>
      </x:c>
      <x:c r="M170" s="79">
        <x:f t="shared" si="10"/>
        <x:v>6</x:v>
      </x:c>
      <x:c r="N170" s="79">
        <x:f t="shared" si="10"/>
        <x:v>4</x:v>
      </x:c>
      <x:c r="O170" s="79">
        <x:f t="shared" si="10"/>
        <x:v>6</x:v>
      </x:c>
      <x:c r="P170" s="79">
        <x:f t="shared" si="10"/>
        <x:v>8</x:v>
      </x:c>
      <x:c r="Q170" s="79">
        <x:f t="shared" si="10"/>
        <x:v>5</x:v>
      </x:c>
      <x:c r="R170" s="80">
        <x:f t="shared" si="10"/>
        <x:v>46195000</x:v>
      </x:c>
      <x:c r="S170" s="77"/>
      <x:c r="T170" s="77"/>
      <x:c r="U170" s="77"/>
    </x:row>
    <x:row r="171">
      <x:c r="A171" s="75"/>
      <x:c r="B171" s="76" t="s">
        <x:v>51</x:v>
      </x:c>
      <x:c r="C171" s="81"/>
      <x:c r="D171" s="82">
        <x:v>300000.0</x:v>
      </x:c>
      <x:c r="E171" s="83" t="n">
        <x:f>E170*Inventory_batches!I133</x:f>
        <x:v>1302835.74</x:v>
      </x:c>
      <x:c r="F171" s="83" t="n">
        <x:f>F170*Inventory_batches!I124</x:f>
        <x:v>3732606.1666666665</x:v>
      </x:c>
      <x:c r="G171" s="84" t="n">
        <x:f>G170*Inventory_batches!I135</x:f>
        <x:v>3355500.0038</x:v>
      </x:c>
      <x:c r="H171" s="84" t="n">
        <x:f>H170*Inventory_batches!I115</x:f>
        <x:v>0</x:v>
      </x:c>
      <x:c r="I171" s="84" t="n">
        <x:f>I170*Inventory_batches!I134</x:f>
        <x:v>1319237.5154</x:v>
      </x:c>
      <x:c r="J171" s="84" t="n">
        <x:f>J170*Inventory_batches!I108</x:f>
        <x:v>0</x:v>
      </x:c>
      <x:c r="K171" s="84" t="n">
        <x:f>K170*Inventory_batches!I137</x:f>
        <x:v>9332757.4236</x:v>
      </x:c>
      <x:c r="L171" s="84" t="n">
        <x:f>L170*Inventory_batches!I131</x:f>
        <x:v>823478.5963021114</x:v>
      </x:c>
      <x:c r="M171" s="84" t="n">
        <x:f>M170*Inventory_batches!I136</x:f>
        <x:v>1284423.222</x:v>
      </x:c>
      <x:c r="N171" s="83" t="n">
        <x:f>N170*Inventory_batches!I142</x:f>
        <x:v>753850.0088</x:v>
      </x:c>
      <x:c r="O171" s="83" t="n">
        <x:f>O170*Inventory_batches!I138</x:f>
        <x:v>2359960.6812</x:v>
      </x:c>
      <x:c r="P171" s="83" t="n">
        <x:f>P170*Inventory_batches!I141</x:f>
        <x:v>1302835.74</x:v>
      </x:c>
      <x:c r="Q171" s="83" t="n">
        <x:f>Q170*Inventory_batches!I139</x:f>
        <x:v>686232.1635</x:v>
      </x:c>
      <x:c r="R171" s="83" t="n">
        <x:f>SUM(E171:Q171)+D171</x:f>
        <x:v>26553717.261268776</x:v>
      </x:c>
      <x:c r="S171" s="85" t="n">
        <x:f>R171-W5</x:f>
        <x:v>23903717.261268776</x:v>
      </x:c>
      <x:c r="T171" s="86"/>
      <x:c r="U171" s="86"/>
      <x:c r="V171" s="32"/>
    </x:row>
    <x:row r="172">
      <x:c r="A172" s="87"/>
      <x:c r="B172" s="88"/>
      <x:c r="D172" s="32"/>
      <x:c r="G172" s="74"/>
      <x:c r="H172" s="74"/>
      <x:c r="I172" s="74"/>
      <x:c r="J172" s="74"/>
      <x:c r="K172" s="74"/>
      <x:c r="L172" s="74"/>
      <x:c r="M172" s="89"/>
      <x:c r="N172" s="89"/>
      <x:c r="O172" s="90"/>
      <x:c r="P172" s="90"/>
      <x:c r="Q172" s="90"/>
      <x:c r="R172" s="90" t="n">
        <x:f>R170-R171</x:f>
        <x:v>19641282.738731224</x:v>
      </x:c>
      <x:c r="S172" s="85" t="n">
        <x:f>R172/2</x:f>
        <x:v>9820641.369365612</x:v>
      </x:c>
      <x:c r="T172" s="86"/>
      <x:c r="U172" s="86"/>
      <x:c r="V172" s="32"/>
    </x:row>
    <x:row r="173">
      <x:c r="A173" s="87"/>
      <x:c r="B173" s="88"/>
      <x:c r="D173" s="32"/>
      <x:c r="G173" s="74"/>
      <x:c r="H173" s="74"/>
      <x:c r="I173" s="74"/>
      <x:c r="J173" s="74"/>
      <x:c r="K173" s="74"/>
      <x:c r="L173" s="74"/>
      <x:c r="M173" s="91"/>
      <x:c r="N173" s="91"/>
      <x:c r="O173" s="85"/>
      <x:c r="P173" s="85"/>
      <x:c r="Q173" s="85"/>
      <x:c r="R173" s="85"/>
      <x:c r="S173" s="85" t="n">
        <x:f>S171+S172</x:f>
        <x:v>33724358.63063439</x:v>
      </x:c>
      <x:c r="T173" s="86"/>
      <x:c r="U173" s="86"/>
      <x:c r="V173" s="32"/>
    </x:row>
    <x:row r="174">
      <x:c r="A174" s="87"/>
      <x:c r="B174" s="88"/>
      <x:c r="D174" s="32"/>
      <x:c r="G174" s="74"/>
      <x:c r="H174" s="74"/>
      <x:c r="I174" s="74"/>
      <x:c r="J174" s="74"/>
      <x:c r="K174" s="74"/>
      <x:c r="L174" s="74"/>
      <x:c r="M174" s="91"/>
      <x:c r="N174" s="91"/>
      <x:c r="O174" s="85"/>
      <x:c r="P174" s="85"/>
      <x:c r="Q174" s="85"/>
      <x:c r="R174" s="85"/>
      <x:c r="T174" s="86"/>
      <x:c r="U174" s="86"/>
      <x:c r="V174" s="32"/>
    </x:row>
    <x:row r="175">
      <x:c r="A175" s="87"/>
      <x:c r="B175" s="88"/>
      <x:c r="D175" s="32"/>
      <x:c r="G175" s="74"/>
      <x:c r="H175" s="74"/>
      <x:c r="I175" s="74"/>
      <x:c r="J175" s="74"/>
      <x:c r="K175" s="74"/>
      <x:c r="L175" s="74"/>
      <x:c r="M175" s="91"/>
      <x:c r="N175" s="91"/>
      <x:c r="O175" s="85"/>
      <x:c r="P175" s="85"/>
      <x:c r="Q175" s="85"/>
      <x:c r="R175" s="85"/>
      <x:c r="T175" s="86"/>
      <x:c r="U175" s="86"/>
      <x:c r="V175" s="32"/>
    </x:row>
    <x:row r="176">
      <x:c r="A176" s="87"/>
      <x:c r="B176" s="88"/>
      <x:c r="D176" s="32"/>
      <x:c r="G176" s="74"/>
      <x:c r="H176" s="74"/>
      <x:c r="I176" s="74"/>
      <x:c r="J176" s="74"/>
      <x:c r="K176" s="74"/>
      <x:c r="L176" s="74"/>
      <x:c r="M176" s="91"/>
      <x:c r="N176" s="91"/>
      <x:c r="O176" s="85"/>
      <x:c r="P176" s="85"/>
      <x:c r="Q176" s="85"/>
      <x:c r="R176" s="85"/>
      <x:c r="T176" s="86"/>
      <x:c r="U176" s="86"/>
      <x:c r="V176" s="32"/>
    </x:row>
    <x:row r="177">
      <x:c r="A177" s="87"/>
      <x:c r="B177" s="88"/>
      <x:c r="D177" s="32"/>
      <x:c r="G177" s="74"/>
      <x:c r="H177" s="74"/>
      <x:c r="I177" s="74"/>
      <x:c r="J177" s="74"/>
      <x:c r="K177" s="74"/>
      <x:c r="L177" s="74"/>
      <x:c r="M177" s="91"/>
      <x:c r="N177" s="91"/>
      <x:c r="O177" s="85"/>
      <x:c r="P177" s="85"/>
      <x:c r="Q177" s="85"/>
      <x:c r="R177" s="85"/>
      <x:c r="T177" s="86"/>
      <x:c r="U177" s="86"/>
      <x:c r="V177" s="32"/>
    </x:row>
    <x:row r="178">
      <x:c r="A178" s="87"/>
      <x:c r="B178" s="88"/>
      <x:c r="D178" s="32"/>
      <x:c r="G178" s="74"/>
      <x:c r="H178" s="74"/>
      <x:c r="I178" s="74"/>
      <x:c r="J178" s="74"/>
      <x:c r="K178" s="74"/>
      <x:c r="L178" s="74"/>
      <x:c r="M178" s="91"/>
      <x:c r="N178" s="91"/>
      <x:c r="O178" s="85"/>
      <x:c r="P178" s="85"/>
      <x:c r="Q178" s="85"/>
      <x:c r="R178" s="85"/>
      <x:c r="T178" s="86"/>
      <x:c r="U178" s="86"/>
      <x:c r="V178" s="32"/>
    </x:row>
    <x:row r="179">
      <x:c r="A179" s="87"/>
      <x:c r="B179" s="88"/>
      <x:c r="D179" s="32"/>
      <x:c r="G179" s="74"/>
      <x:c r="H179" s="74"/>
      <x:c r="I179" s="74"/>
      <x:c r="J179" s="74"/>
      <x:c r="K179" s="74"/>
      <x:c r="L179" s="74"/>
      <x:c r="M179" s="91"/>
      <x:c r="N179" s="91"/>
      <x:c r="O179" s="85"/>
      <x:c r="P179" s="85"/>
      <x:c r="Q179" s="85"/>
      <x:c r="R179" s="85"/>
      <x:c r="T179" s="86"/>
      <x:c r="U179" s="86"/>
      <x:c r="V179" s="32"/>
    </x:row>
    <x:row r="180">
      <x:c r="A180" s="87"/>
      <x:c r="B180" s="88"/>
      <x:c r="D180" s="32"/>
      <x:c r="G180" s="74"/>
      <x:c r="H180" s="74"/>
      <x:c r="I180" s="74"/>
      <x:c r="J180" s="74"/>
      <x:c r="K180" s="74"/>
      <x:c r="L180" s="74"/>
      <x:c r="M180" s="91"/>
      <x:c r="N180" s="91"/>
      <x:c r="O180" s="85"/>
      <x:c r="P180" s="85"/>
      <x:c r="Q180" s="85"/>
      <x:c r="R180" s="85"/>
      <x:c r="T180" s="86"/>
      <x:c r="U180" s="86"/>
      <x:c r="V180" s="32"/>
    </x:row>
    <x:row r="181">
      <x:c r="A181" s="87"/>
      <x:c r="B181" s="88"/>
      <x:c r="D181" s="32"/>
      <x:c r="G181" s="74"/>
      <x:c r="H181" s="74"/>
      <x:c r="I181" s="74"/>
      <x:c r="J181" s="74"/>
      <x:c r="K181" s="74"/>
      <x:c r="L181" s="74"/>
      <x:c r="M181" s="91"/>
      <x:c r="N181" s="91"/>
      <x:c r="O181" s="85"/>
      <x:c r="P181" s="85"/>
      <x:c r="Q181" s="85"/>
      <x:c r="R181" s="85"/>
      <x:c r="T181" s="86"/>
      <x:c r="U181" s="86"/>
      <x:c r="V181" s="32"/>
    </x:row>
    <x:row r="182">
      <x:c r="A182" s="87"/>
      <x:c r="B182" s="88"/>
      <x:c r="D182" s="32"/>
      <x:c r="G182" s="74"/>
      <x:c r="H182" s="74"/>
      <x:c r="I182" s="74"/>
      <x:c r="J182" s="74"/>
      <x:c r="K182" s="74"/>
      <x:c r="L182" s="74"/>
      <x:c r="M182" s="91"/>
      <x:c r="N182" s="91"/>
      <x:c r="O182" s="85"/>
      <x:c r="P182" s="85"/>
      <x:c r="Q182" s="85"/>
      <x:c r="R182" s="85"/>
      <x:c r="T182" s="86"/>
      <x:c r="U182" s="86"/>
      <x:c r="V182" s="32"/>
    </x:row>
    <x:row r="183">
      <x:c r="A183" s="87"/>
      <x:c r="B183" s="88"/>
      <x:c r="D183" s="32"/>
      <x:c r="G183" s="74"/>
      <x:c r="H183" s="74"/>
      <x:c r="I183" s="74"/>
      <x:c r="J183" s="74"/>
      <x:c r="K183" s="74"/>
      <x:c r="L183" s="74"/>
      <x:c r="M183" s="91"/>
      <x:c r="N183" s="91"/>
      <x:c r="O183" s="85"/>
      <x:c r="P183" s="85"/>
      <x:c r="Q183" s="85"/>
      <x:c r="R183" s="85"/>
      <x:c r="T183" s="86"/>
      <x:c r="U183" s="86"/>
      <x:c r="V183" s="32"/>
    </x:row>
    <x:row r="184">
      <x:c r="A184" s="87"/>
      <x:c r="B184" s="88"/>
      <x:c r="D184" s="32"/>
      <x:c r="G184" s="74"/>
      <x:c r="H184" s="74"/>
      <x:c r="I184" s="74"/>
      <x:c r="J184" s="74"/>
      <x:c r="K184" s="74"/>
      <x:c r="L184" s="74"/>
      <x:c r="M184" s="91"/>
      <x:c r="N184" s="91"/>
      <x:c r="O184" s="85"/>
      <x:c r="P184" s="85"/>
      <x:c r="Q184" s="85"/>
      <x:c r="R184" s="85"/>
      <x:c r="T184" s="86"/>
      <x:c r="U184" s="86"/>
      <x:c r="V184" s="32"/>
    </x:row>
    <x:row r="185">
      <x:c r="A185" s="87"/>
      <x:c r="B185" s="88"/>
      <x:c r="D185" s="32"/>
      <x:c r="G185" s="74"/>
      <x:c r="H185" s="74"/>
      <x:c r="I185" s="74"/>
      <x:c r="J185" s="74"/>
      <x:c r="K185" s="74"/>
      <x:c r="L185" s="74"/>
      <x:c r="M185" s="91"/>
      <x:c r="N185" s="91"/>
      <x:c r="O185" s="85"/>
      <x:c r="P185" s="85"/>
      <x:c r="Q185" s="85"/>
      <x:c r="R185" s="85"/>
      <x:c r="T185" s="86"/>
      <x:c r="U185" s="86"/>
      <x:c r="V185" s="32"/>
    </x:row>
    <x:row r="186">
      <x:c r="A186" s="87"/>
      <x:c r="B186" s="88"/>
      <x:c r="D186" s="32"/>
      <x:c r="G186" s="74"/>
      <x:c r="H186" s="74"/>
      <x:c r="I186" s="74"/>
      <x:c r="J186" s="74"/>
      <x:c r="K186" s="74"/>
      <x:c r="L186" s="74"/>
      <x:c r="M186" s="91"/>
      <x:c r="N186" s="91"/>
      <x:c r="O186" s="85"/>
      <x:c r="P186" s="85"/>
      <x:c r="Q186" s="85"/>
      <x:c r="R186" s="85"/>
      <x:c r="T186" s="86"/>
      <x:c r="U186" s="86"/>
      <x:c r="V186" s="32"/>
    </x:row>
    <x:row r="187">
      <x:c r="A187" s="87"/>
      <x:c r="B187" s="88"/>
      <x:c r="D187" s="32"/>
      <x:c r="G187" s="74"/>
      <x:c r="H187" s="74"/>
      <x:c r="I187" s="74"/>
      <x:c r="J187" s="74"/>
      <x:c r="K187" s="74"/>
      <x:c r="L187" s="74"/>
      <x:c r="M187" s="91"/>
      <x:c r="N187" s="91"/>
      <x:c r="O187" s="85"/>
      <x:c r="P187" s="85"/>
      <x:c r="Q187" s="85"/>
      <x:c r="R187" s="85"/>
      <x:c r="T187" s="86"/>
      <x:c r="U187" s="86"/>
      <x:c r="V187" s="32"/>
    </x:row>
    <x:row r="188">
      <x:c r="A188" s="87"/>
      <x:c r="B188" s="88"/>
      <x:c r="D188" s="32"/>
      <x:c r="G188" s="74"/>
      <x:c r="H188" s="74"/>
      <x:c r="I188" s="74"/>
      <x:c r="J188" s="74"/>
      <x:c r="K188" s="74"/>
      <x:c r="L188" s="74"/>
      <x:c r="M188" s="91"/>
      <x:c r="N188" s="91"/>
      <x:c r="O188" s="85"/>
      <x:c r="P188" s="85"/>
      <x:c r="Q188" s="85"/>
      <x:c r="R188" s="85"/>
      <x:c r="T188" s="86"/>
      <x:c r="U188" s="86"/>
      <x:c r="V188" s="32"/>
    </x:row>
    <x:row r="189">
      <x:c r="A189" s="87"/>
      <x:c r="B189" s="88"/>
      <x:c r="D189" s="32"/>
      <x:c r="G189" s="74"/>
      <x:c r="H189" s="74"/>
      <x:c r="I189" s="74"/>
      <x:c r="J189" s="74"/>
      <x:c r="K189" s="74"/>
      <x:c r="L189" s="74"/>
      <x:c r="M189" s="91"/>
      <x:c r="N189" s="91"/>
      <x:c r="O189" s="85"/>
      <x:c r="P189" s="85"/>
      <x:c r="Q189" s="85"/>
      <x:c r="R189" s="85"/>
      <x:c r="T189" s="86"/>
      <x:c r="U189" s="86"/>
      <x:c r="V189" s="32"/>
    </x:row>
    <x:row r="190">
      <x:c r="A190" s="87"/>
      <x:c r="B190" s="88"/>
      <x:c r="D190" s="32"/>
      <x:c r="G190" s="74"/>
      <x:c r="H190" s="74"/>
      <x:c r="I190" s="74"/>
      <x:c r="J190" s="74"/>
      <x:c r="K190" s="74"/>
      <x:c r="L190" s="74"/>
      <x:c r="M190" s="91"/>
      <x:c r="N190" s="91"/>
      <x:c r="O190" s="85"/>
      <x:c r="P190" s="85"/>
      <x:c r="Q190" s="85"/>
      <x:c r="R190" s="85"/>
      <x:c r="T190" s="86"/>
      <x:c r="U190" s="86"/>
      <x:c r="V190" s="32"/>
    </x:row>
    <x:row r="191">
      <x:c r="A191" s="87"/>
      <x:c r="B191" s="88"/>
      <x:c r="D191" s="32"/>
      <x:c r="G191" s="74"/>
      <x:c r="H191" s="74"/>
      <x:c r="I191" s="74"/>
      <x:c r="J191" s="74"/>
      <x:c r="K191" s="74"/>
      <x:c r="L191" s="74"/>
      <x:c r="M191" s="91"/>
      <x:c r="N191" s="91"/>
      <x:c r="O191" s="85"/>
      <x:c r="P191" s="85"/>
      <x:c r="Q191" s="85"/>
      <x:c r="R191" s="85"/>
      <x:c r="T191" s="86"/>
      <x:c r="U191" s="86"/>
      <x:c r="V191" s="32"/>
    </x:row>
    <x:row r="192">
      <x:c r="A192" s="87"/>
      <x:c r="B192" s="88"/>
      <x:c r="D192" s="32"/>
      <x:c r="G192" s="74"/>
      <x:c r="H192" s="74"/>
      <x:c r="I192" s="74"/>
      <x:c r="J192" s="74"/>
      <x:c r="K192" s="74"/>
      <x:c r="L192" s="74"/>
      <x:c r="M192" s="91"/>
      <x:c r="N192" s="91"/>
      <x:c r="O192" s="85"/>
      <x:c r="P192" s="85"/>
      <x:c r="Q192" s="85"/>
      <x:c r="R192" s="85"/>
      <x:c r="T192" s="86"/>
      <x:c r="U192" s="86"/>
      <x:c r="V192" s="32"/>
    </x:row>
    <x:row r="193">
      <x:c r="A193" s="87"/>
      <x:c r="B193" s="88"/>
      <x:c r="D193" s="32"/>
      <x:c r="G193" s="74"/>
      <x:c r="H193" s="74"/>
      <x:c r="I193" s="74"/>
      <x:c r="J193" s="74"/>
      <x:c r="K193" s="74"/>
      <x:c r="L193" s="74"/>
      <x:c r="M193" s="91"/>
      <x:c r="N193" s="91"/>
      <x:c r="O193" s="85"/>
      <x:c r="P193" s="85"/>
      <x:c r="Q193" s="85"/>
      <x:c r="R193" s="85"/>
      <x:c r="T193" s="86"/>
      <x:c r="U193" s="86"/>
      <x:c r="V193" s="32"/>
    </x:row>
    <x:row r="194">
      <x:c r="A194" s="87"/>
      <x:c r="B194" s="88"/>
      <x:c r="D194" s="32"/>
      <x:c r="G194" s="74"/>
      <x:c r="H194" s="74"/>
      <x:c r="I194" s="74"/>
      <x:c r="J194" s="74"/>
      <x:c r="K194" s="74"/>
      <x:c r="L194" s="74"/>
      <x:c r="M194" s="91"/>
      <x:c r="N194" s="91"/>
      <x:c r="O194" s="85"/>
      <x:c r="P194" s="85"/>
      <x:c r="Q194" s="85"/>
      <x:c r="R194" s="85"/>
      <x:c r="T194" s="86"/>
      <x:c r="U194" s="86"/>
      <x:c r="V194" s="32"/>
    </x:row>
    <x:row r="195">
      <x:c r="A195" s="87"/>
      <x:c r="B195" s="88"/>
      <x:c r="D195" s="32"/>
      <x:c r="G195" s="74"/>
      <x:c r="H195" s="74"/>
      <x:c r="I195" s="74"/>
      <x:c r="J195" s="74"/>
      <x:c r="K195" s="74"/>
      <x:c r="L195" s="74"/>
      <x:c r="M195" s="91"/>
      <x:c r="N195" s="91"/>
      <x:c r="O195" s="85"/>
      <x:c r="P195" s="85"/>
      <x:c r="Q195" s="85"/>
      <x:c r="R195" s="85"/>
      <x:c r="T195" s="86"/>
      <x:c r="U195" s="86"/>
      <x:c r="V195" s="32"/>
    </x:row>
    <x:row r="196">
      <x:c r="A196" s="87"/>
      <x:c r="B196" s="88"/>
      <x:c r="D196" s="32"/>
      <x:c r="G196" s="74"/>
      <x:c r="H196" s="74"/>
      <x:c r="I196" s="74"/>
      <x:c r="J196" s="74"/>
      <x:c r="K196" s="74"/>
      <x:c r="L196" s="74"/>
      <x:c r="M196" s="91"/>
      <x:c r="N196" s="91"/>
      <x:c r="O196" s="85"/>
      <x:c r="P196" s="85"/>
      <x:c r="Q196" s="85"/>
      <x:c r="R196" s="85"/>
      <x:c r="T196" s="86"/>
      <x:c r="U196" s="86"/>
      <x:c r="V196" s="32"/>
    </x:row>
    <x:row r="197">
      <x:c r="A197" s="87"/>
      <x:c r="B197" s="88"/>
      <x:c r="D197" s="32"/>
      <x:c r="G197" s="74"/>
      <x:c r="H197" s="74"/>
      <x:c r="I197" s="74"/>
      <x:c r="J197" s="74"/>
      <x:c r="K197" s="74"/>
      <x:c r="L197" s="74"/>
      <x:c r="M197" s="91"/>
      <x:c r="N197" s="91"/>
      <x:c r="O197" s="85"/>
      <x:c r="P197" s="85"/>
      <x:c r="Q197" s="85"/>
      <x:c r="R197" s="85"/>
      <x:c r="T197" s="86"/>
      <x:c r="U197" s="86"/>
      <x:c r="V197" s="32"/>
    </x:row>
    <x:row r="198">
      <x:c r="A198" s="87"/>
      <x:c r="B198" s="88"/>
      <x:c r="D198" s="32"/>
      <x:c r="G198" s="74"/>
      <x:c r="H198" s="74"/>
      <x:c r="I198" s="74"/>
      <x:c r="J198" s="74"/>
      <x:c r="K198" s="74"/>
      <x:c r="L198" s="74"/>
      <x:c r="M198" s="91"/>
      <x:c r="N198" s="91"/>
      <x:c r="O198" s="85"/>
      <x:c r="P198" s="85"/>
      <x:c r="Q198" s="85"/>
      <x:c r="R198" s="85"/>
      <x:c r="T198" s="86"/>
      <x:c r="U198" s="86"/>
      <x:c r="V198" s="32"/>
    </x:row>
    <x:row r="199">
      <x:c r="A199" s="87"/>
      <x:c r="B199" s="88"/>
      <x:c r="D199" s="32"/>
      <x:c r="G199" s="74"/>
      <x:c r="H199" s="74"/>
      <x:c r="I199" s="74"/>
      <x:c r="J199" s="74"/>
      <x:c r="K199" s="74"/>
      <x:c r="L199" s="74"/>
      <x:c r="M199" s="91"/>
      <x:c r="N199" s="91"/>
      <x:c r="O199" s="85"/>
      <x:c r="P199" s="85"/>
      <x:c r="Q199" s="85"/>
      <x:c r="R199" s="85"/>
      <x:c r="T199" s="86"/>
      <x:c r="U199" s="86"/>
      <x:c r="V199" s="32"/>
    </x:row>
    <x:row r="200">
      <x:c r="A200" s="87"/>
      <x:c r="B200" s="88"/>
      <x:c r="D200" s="32"/>
      <x:c r="G200" s="74"/>
      <x:c r="H200" s="74"/>
      <x:c r="I200" s="74"/>
      <x:c r="J200" s="74"/>
      <x:c r="K200" s="74"/>
      <x:c r="L200" s="74"/>
      <x:c r="M200" s="91"/>
      <x:c r="N200" s="91"/>
      <x:c r="O200" s="85"/>
      <x:c r="P200" s="85"/>
      <x:c r="Q200" s="85"/>
      <x:c r="R200" s="85"/>
      <x:c r="T200" s="86"/>
      <x:c r="U200" s="86"/>
      <x:c r="V200" s="32"/>
    </x:row>
    <x:row r="201">
      <x:c r="A201" s="87"/>
      <x:c r="B201" s="88"/>
      <x:c r="D201" s="32"/>
      <x:c r="G201" s="74"/>
      <x:c r="H201" s="74"/>
      <x:c r="I201" s="74"/>
      <x:c r="J201" s="74"/>
      <x:c r="K201" s="74"/>
      <x:c r="L201" s="74"/>
      <x:c r="M201" s="91"/>
      <x:c r="N201" s="91"/>
      <x:c r="O201" s="85"/>
      <x:c r="P201" s="85"/>
      <x:c r="Q201" s="85"/>
      <x:c r="R201" s="85"/>
      <x:c r="T201" s="86"/>
      <x:c r="U201" s="86"/>
      <x:c r="V201" s="32"/>
    </x:row>
    <x:row r="202">
      <x:c r="A202" s="87"/>
      <x:c r="B202" s="88"/>
      <x:c r="D202" s="32"/>
      <x:c r="G202" s="74"/>
      <x:c r="H202" s="74"/>
      <x:c r="I202" s="74"/>
      <x:c r="J202" s="74"/>
      <x:c r="K202" s="74"/>
      <x:c r="L202" s="74"/>
      <x:c r="M202" s="91"/>
      <x:c r="N202" s="91"/>
      <x:c r="O202" s="85"/>
      <x:c r="P202" s="85"/>
      <x:c r="Q202" s="85"/>
      <x:c r="R202" s="85"/>
      <x:c r="T202" s="86"/>
      <x:c r="U202" s="86"/>
      <x:c r="V202" s="32"/>
    </x:row>
    <x:row r="203">
      <x:c r="A203" s="87"/>
      <x:c r="B203" s="88"/>
      <x:c r="D203" s="32"/>
      <x:c r="G203" s="74"/>
      <x:c r="H203" s="74"/>
      <x:c r="I203" s="74"/>
      <x:c r="J203" s="74"/>
      <x:c r="K203" s="74"/>
      <x:c r="L203" s="74"/>
      <x:c r="M203" s="91"/>
      <x:c r="N203" s="91"/>
      <x:c r="O203" s="85"/>
      <x:c r="P203" s="85"/>
      <x:c r="Q203" s="85"/>
      <x:c r="R203" s="85"/>
      <x:c r="T203" s="86"/>
      <x:c r="U203" s="86"/>
      <x:c r="V203" s="32"/>
    </x:row>
    <x:row r="204">
      <x:c r="A204" s="87"/>
      <x:c r="B204" s="88"/>
      <x:c r="D204" s="32"/>
      <x:c r="G204" s="74"/>
      <x:c r="H204" s="74"/>
      <x:c r="I204" s="74"/>
      <x:c r="J204" s="74"/>
      <x:c r="K204" s="74"/>
      <x:c r="L204" s="74"/>
      <x:c r="M204" s="91"/>
      <x:c r="N204" s="91"/>
      <x:c r="O204" s="85"/>
      <x:c r="P204" s="85"/>
      <x:c r="Q204" s="85"/>
      <x:c r="R204" s="85"/>
      <x:c r="T204" s="86"/>
      <x:c r="U204" s="86"/>
      <x:c r="V204" s="32"/>
    </x:row>
    <x:row r="205">
      <x:c r="A205" s="87"/>
      <x:c r="B205" s="88"/>
      <x:c r="D205" s="32"/>
      <x:c r="G205" s="74"/>
      <x:c r="H205" s="74"/>
      <x:c r="I205" s="74"/>
      <x:c r="J205" s="74"/>
      <x:c r="K205" s="74"/>
      <x:c r="L205" s="74"/>
      <x:c r="M205" s="91"/>
      <x:c r="N205" s="91"/>
      <x:c r="O205" s="85"/>
      <x:c r="P205" s="85"/>
      <x:c r="Q205" s="85"/>
      <x:c r="R205" s="85"/>
      <x:c r="T205" s="86"/>
      <x:c r="U205" s="86"/>
      <x:c r="V205" s="32"/>
    </x:row>
    <x:row r="206">
      <x:c r="A206" s="87"/>
      <x:c r="B206" s="88"/>
      <x:c r="D206" s="32"/>
      <x:c r="G206" s="74"/>
      <x:c r="H206" s="74"/>
      <x:c r="I206" s="74"/>
      <x:c r="J206" s="74"/>
      <x:c r="K206" s="74"/>
      <x:c r="L206" s="74"/>
      <x:c r="M206" s="91"/>
      <x:c r="N206" s="91"/>
      <x:c r="O206" s="85"/>
      <x:c r="P206" s="85"/>
      <x:c r="Q206" s="85"/>
      <x:c r="R206" s="85"/>
      <x:c r="T206" s="86"/>
      <x:c r="U206" s="86"/>
      <x:c r="V206" s="32"/>
    </x:row>
    <x:row r="207">
      <x:c r="A207" s="87"/>
      <x:c r="B207" s="88"/>
      <x:c r="D207" s="32"/>
      <x:c r="G207" s="74"/>
      <x:c r="H207" s="74"/>
      <x:c r="I207" s="74"/>
      <x:c r="J207" s="74"/>
      <x:c r="K207" s="74"/>
      <x:c r="L207" s="74"/>
      <x:c r="M207" s="91"/>
      <x:c r="N207" s="91"/>
      <x:c r="O207" s="85"/>
      <x:c r="P207" s="85"/>
      <x:c r="Q207" s="85"/>
      <x:c r="R207" s="85"/>
      <x:c r="T207" s="86"/>
      <x:c r="U207" s="86"/>
      <x:c r="V207" s="32"/>
    </x:row>
    <x:row r="208">
      <x:c r="A208" s="87"/>
      <x:c r="B208" s="88"/>
      <x:c r="D208" s="32"/>
      <x:c r="G208" s="74"/>
      <x:c r="H208" s="74"/>
      <x:c r="I208" s="74"/>
      <x:c r="J208" s="74"/>
      <x:c r="K208" s="74"/>
      <x:c r="L208" s="74"/>
      <x:c r="M208" s="91"/>
      <x:c r="N208" s="91"/>
      <x:c r="O208" s="85"/>
      <x:c r="P208" s="85"/>
      <x:c r="Q208" s="85"/>
      <x:c r="R208" s="85"/>
      <x:c r="T208" s="86"/>
      <x:c r="U208" s="86"/>
      <x:c r="V208" s="32"/>
    </x:row>
    <x:row r="209">
      <x:c r="A209" s="87"/>
      <x:c r="B209" s="88"/>
      <x:c r="D209" s="32"/>
      <x:c r="G209" s="74"/>
      <x:c r="H209" s="74"/>
      <x:c r="I209" s="74"/>
      <x:c r="J209" s="74"/>
      <x:c r="K209" s="74"/>
      <x:c r="L209" s="74"/>
      <x:c r="M209" s="91"/>
      <x:c r="N209" s="91"/>
      <x:c r="O209" s="85"/>
      <x:c r="P209" s="85"/>
      <x:c r="Q209" s="85"/>
      <x:c r="R209" s="85"/>
      <x:c r="T209" s="86"/>
      <x:c r="U209" s="86"/>
      <x:c r="V209" s="32"/>
    </x:row>
    <x:row r="210">
      <x:c r="A210" s="87"/>
      <x:c r="B210" s="88"/>
      <x:c r="D210" s="32"/>
      <x:c r="G210" s="74"/>
      <x:c r="H210" s="74"/>
      <x:c r="I210" s="74"/>
      <x:c r="J210" s="74"/>
      <x:c r="K210" s="74"/>
      <x:c r="L210" s="74"/>
      <x:c r="M210" s="91"/>
      <x:c r="N210" s="91"/>
      <x:c r="O210" s="85"/>
      <x:c r="P210" s="85"/>
      <x:c r="Q210" s="85"/>
      <x:c r="R210" s="85"/>
      <x:c r="T210" s="86"/>
      <x:c r="U210" s="86"/>
      <x:c r="V210" s="32"/>
    </x:row>
    <x:row r="211">
      <x:c r="A211" s="87"/>
      <x:c r="B211" s="88"/>
      <x:c r="D211" s="32"/>
      <x:c r="G211" s="74"/>
      <x:c r="H211" s="74"/>
      <x:c r="I211" s="74"/>
      <x:c r="J211" s="74"/>
      <x:c r="K211" s="74"/>
      <x:c r="L211" s="74"/>
      <x:c r="M211" s="91"/>
      <x:c r="N211" s="91"/>
      <x:c r="O211" s="85"/>
      <x:c r="P211" s="85"/>
      <x:c r="Q211" s="85"/>
      <x:c r="R211" s="85"/>
      <x:c r="T211" s="86"/>
      <x:c r="U211" s="86"/>
      <x:c r="V211" s="32"/>
    </x:row>
    <x:row r="212">
      <x:c r="A212" s="87"/>
      <x:c r="B212" s="88"/>
      <x:c r="D212" s="32"/>
      <x:c r="G212" s="74"/>
      <x:c r="H212" s="74"/>
      <x:c r="I212" s="74"/>
      <x:c r="J212" s="74"/>
      <x:c r="K212" s="74"/>
      <x:c r="L212" s="74"/>
      <x:c r="M212" s="91"/>
      <x:c r="N212" s="91"/>
      <x:c r="O212" s="85"/>
      <x:c r="P212" s="85"/>
      <x:c r="Q212" s="85"/>
      <x:c r="R212" s="85"/>
      <x:c r="T212" s="86"/>
      <x:c r="U212" s="86"/>
      <x:c r="V212" s="32"/>
    </x:row>
    <x:row r="213">
      <x:c r="A213" s="87"/>
      <x:c r="B213" s="88"/>
      <x:c r="D213" s="32"/>
      <x:c r="G213" s="74"/>
      <x:c r="H213" s="74"/>
      <x:c r="I213" s="74"/>
      <x:c r="J213" s="74"/>
      <x:c r="K213" s="74"/>
      <x:c r="L213" s="74"/>
      <x:c r="M213" s="91"/>
      <x:c r="N213" s="91"/>
      <x:c r="O213" s="85"/>
      <x:c r="P213" s="85"/>
      <x:c r="Q213" s="85"/>
      <x:c r="R213" s="85"/>
      <x:c r="T213" s="86"/>
      <x:c r="U213" s="86"/>
      <x:c r="V213" s="32"/>
    </x:row>
    <x:row r="214">
      <x:c r="A214" s="87"/>
      <x:c r="B214" s="88"/>
      <x:c r="D214" s="32"/>
      <x:c r="G214" s="74"/>
      <x:c r="H214" s="74"/>
      <x:c r="I214" s="74"/>
      <x:c r="J214" s="74"/>
      <x:c r="K214" s="74"/>
      <x:c r="L214" s="74"/>
      <x:c r="M214" s="91"/>
      <x:c r="N214" s="91"/>
      <x:c r="O214" s="85"/>
      <x:c r="P214" s="85"/>
      <x:c r="Q214" s="85"/>
      <x:c r="R214" s="85"/>
      <x:c r="T214" s="86"/>
      <x:c r="U214" s="86"/>
      <x:c r="V214" s="32"/>
    </x:row>
    <x:row r="215">
      <x:c r="A215" s="87"/>
      <x:c r="B215" s="88"/>
      <x:c r="D215" s="32"/>
      <x:c r="G215" s="74"/>
      <x:c r="H215" s="74"/>
      <x:c r="I215" s="74"/>
      <x:c r="J215" s="74"/>
      <x:c r="K215" s="74"/>
      <x:c r="L215" s="74"/>
      <x:c r="M215" s="91"/>
      <x:c r="N215" s="91"/>
      <x:c r="O215" s="85"/>
      <x:c r="P215" s="85"/>
      <x:c r="Q215" s="85"/>
      <x:c r="R215" s="85"/>
      <x:c r="T215" s="86"/>
      <x:c r="U215" s="86"/>
      <x:c r="V215" s="32"/>
    </x:row>
    <x:row r="216">
      <x:c r="A216" s="87"/>
      <x:c r="B216" s="88"/>
      <x:c r="D216" s="32"/>
      <x:c r="G216" s="74"/>
      <x:c r="H216" s="74"/>
      <x:c r="I216" s="74"/>
      <x:c r="J216" s="74"/>
      <x:c r="K216" s="74"/>
      <x:c r="L216" s="74"/>
      <x:c r="M216" s="91"/>
      <x:c r="N216" s="91"/>
      <x:c r="O216" s="85"/>
      <x:c r="P216" s="85"/>
      <x:c r="Q216" s="85"/>
      <x:c r="R216" s="85"/>
      <x:c r="T216" s="86"/>
      <x:c r="U216" s="86"/>
      <x:c r="V216" s="32"/>
    </x:row>
    <x:row r="217">
      <x:c r="A217" s="87"/>
      <x:c r="B217" s="88"/>
      <x:c r="D217" s="32"/>
      <x:c r="G217" s="74"/>
      <x:c r="H217" s="74"/>
      <x:c r="I217" s="74"/>
      <x:c r="J217" s="74"/>
      <x:c r="K217" s="74"/>
      <x:c r="L217" s="74"/>
      <x:c r="M217" s="91"/>
      <x:c r="N217" s="91"/>
      <x:c r="O217" s="85"/>
      <x:c r="P217" s="85"/>
      <x:c r="Q217" s="85"/>
      <x:c r="R217" s="85"/>
      <x:c r="T217" s="86"/>
      <x:c r="U217" s="86"/>
      <x:c r="V217" s="32"/>
    </x:row>
    <x:row r="218">
      <x:c r="A218" s="87"/>
      <x:c r="B218" s="88"/>
      <x:c r="D218" s="32"/>
      <x:c r="G218" s="74"/>
      <x:c r="H218" s="74"/>
      <x:c r="I218" s="74"/>
      <x:c r="J218" s="74"/>
      <x:c r="K218" s="74"/>
      <x:c r="L218" s="74"/>
      <x:c r="M218" s="91"/>
      <x:c r="N218" s="91"/>
      <x:c r="O218" s="85"/>
      <x:c r="P218" s="85"/>
      <x:c r="Q218" s="85"/>
      <x:c r="R218" s="85"/>
      <x:c r="T218" s="86"/>
      <x:c r="U218" s="86"/>
      <x:c r="V218" s="32"/>
    </x:row>
    <x:row r="219">
      <x:c r="A219" s="87"/>
      <x:c r="B219" s="88"/>
      <x:c r="D219" s="32"/>
      <x:c r="G219" s="74"/>
      <x:c r="H219" s="74"/>
      <x:c r="I219" s="74"/>
      <x:c r="J219" s="74"/>
      <x:c r="K219" s="74"/>
      <x:c r="L219" s="74"/>
      <x:c r="M219" s="91"/>
      <x:c r="N219" s="91"/>
      <x:c r="O219" s="85"/>
      <x:c r="P219" s="85"/>
      <x:c r="Q219" s="85"/>
      <x:c r="R219" s="85"/>
      <x:c r="T219" s="86"/>
      <x:c r="U219" s="86"/>
      <x:c r="V219" s="32"/>
    </x:row>
    <x:row r="220">
      <x:c r="A220" s="87"/>
      <x:c r="B220" s="88"/>
      <x:c r="D220" s="32"/>
      <x:c r="G220" s="74"/>
      <x:c r="H220" s="74"/>
      <x:c r="I220" s="74"/>
      <x:c r="J220" s="74"/>
      <x:c r="K220" s="74"/>
      <x:c r="L220" s="74"/>
      <x:c r="M220" s="91"/>
      <x:c r="N220" s="91"/>
      <x:c r="O220" s="85"/>
      <x:c r="P220" s="85"/>
      <x:c r="Q220" s="85"/>
      <x:c r="R220" s="85"/>
      <x:c r="T220" s="86"/>
      <x:c r="U220" s="86"/>
      <x:c r="V220" s="32"/>
    </x:row>
    <x:row r="221">
      <x:c r="A221" s="87"/>
      <x:c r="B221" s="88"/>
      <x:c r="D221" s="32"/>
      <x:c r="G221" s="74"/>
      <x:c r="H221" s="74"/>
      <x:c r="I221" s="74"/>
      <x:c r="J221" s="74"/>
      <x:c r="K221" s="74"/>
      <x:c r="L221" s="74"/>
      <x:c r="M221" s="91"/>
      <x:c r="N221" s="91"/>
      <x:c r="O221" s="85"/>
      <x:c r="P221" s="85"/>
      <x:c r="Q221" s="85"/>
      <x:c r="R221" s="85"/>
      <x:c r="T221" s="86"/>
      <x:c r="U221" s="86"/>
      <x:c r="V221" s="32"/>
    </x:row>
    <x:row r="222">
      <x:c r="A222" s="87"/>
      <x:c r="B222" s="88"/>
      <x:c r="D222" s="32"/>
      <x:c r="G222" s="74"/>
      <x:c r="H222" s="74"/>
      <x:c r="I222" s="74"/>
      <x:c r="J222" s="74"/>
      <x:c r="K222" s="74"/>
      <x:c r="L222" s="74"/>
      <x:c r="M222" s="91"/>
      <x:c r="N222" s="91"/>
      <x:c r="O222" s="85"/>
      <x:c r="P222" s="85"/>
      <x:c r="Q222" s="85"/>
      <x:c r="R222" s="85"/>
      <x:c r="T222" s="86"/>
      <x:c r="U222" s="86"/>
      <x:c r="V222" s="32"/>
    </x:row>
    <x:row r="223">
      <x:c r="A223" s="87"/>
      <x:c r="B223" s="88"/>
      <x:c r="D223" s="32"/>
      <x:c r="G223" s="74"/>
      <x:c r="H223" s="74"/>
      <x:c r="I223" s="74"/>
      <x:c r="J223" s="74"/>
      <x:c r="K223" s="74"/>
      <x:c r="L223" s="74"/>
      <x:c r="M223" s="91"/>
      <x:c r="N223" s="91"/>
      <x:c r="O223" s="85"/>
      <x:c r="P223" s="85"/>
      <x:c r="Q223" s="85"/>
      <x:c r="R223" s="85"/>
      <x:c r="T223" s="86"/>
      <x:c r="U223" s="86"/>
      <x:c r="V223" s="32"/>
    </x:row>
    <x:row r="224">
      <x:c r="A224" s="87"/>
      <x:c r="B224" s="88"/>
      <x:c r="D224" s="32"/>
      <x:c r="G224" s="74"/>
      <x:c r="H224" s="74"/>
      <x:c r="I224" s="74"/>
      <x:c r="J224" s="74"/>
      <x:c r="K224" s="74"/>
      <x:c r="L224" s="74"/>
      <x:c r="M224" s="91"/>
      <x:c r="N224" s="91"/>
      <x:c r="O224" s="85"/>
      <x:c r="P224" s="85"/>
      <x:c r="Q224" s="85"/>
      <x:c r="R224" s="85"/>
      <x:c r="T224" s="86"/>
      <x:c r="U224" s="86"/>
      <x:c r="V224" s="32"/>
    </x:row>
    <x:row r="225">
      <x:c r="A225" s="87"/>
      <x:c r="B225" s="88"/>
      <x:c r="D225" s="32"/>
      <x:c r="G225" s="74"/>
      <x:c r="H225" s="74"/>
      <x:c r="I225" s="74"/>
      <x:c r="J225" s="74"/>
      <x:c r="K225" s="74"/>
      <x:c r="L225" s="74"/>
      <x:c r="M225" s="91"/>
      <x:c r="N225" s="91"/>
      <x:c r="O225" s="85"/>
      <x:c r="P225" s="85"/>
      <x:c r="Q225" s="85"/>
      <x:c r="R225" s="85"/>
      <x:c r="T225" s="86"/>
      <x:c r="U225" s="86"/>
      <x:c r="V225" s="32"/>
    </x:row>
    <x:row r="226">
      <x:c r="A226" s="87"/>
      <x:c r="B226" s="88"/>
      <x:c r="D226" s="32"/>
      <x:c r="G226" s="74"/>
      <x:c r="H226" s="74"/>
      <x:c r="I226" s="74"/>
      <x:c r="J226" s="74"/>
      <x:c r="K226" s="74"/>
      <x:c r="L226" s="74"/>
      <x:c r="M226" s="91"/>
      <x:c r="N226" s="91"/>
      <x:c r="O226" s="85"/>
      <x:c r="P226" s="85"/>
      <x:c r="Q226" s="85"/>
      <x:c r="R226" s="85"/>
      <x:c r="T226" s="86"/>
      <x:c r="U226" s="86"/>
      <x:c r="V226" s="32"/>
    </x:row>
    <x:row r="227">
      <x:c r="A227" s="87"/>
      <x:c r="B227" s="88"/>
      <x:c r="D227" s="32"/>
      <x:c r="G227" s="74"/>
      <x:c r="H227" s="74"/>
      <x:c r="I227" s="74"/>
      <x:c r="J227" s="74"/>
      <x:c r="K227" s="74"/>
      <x:c r="L227" s="74"/>
      <x:c r="M227" s="91"/>
      <x:c r="N227" s="91"/>
      <x:c r="O227" s="85"/>
      <x:c r="P227" s="85"/>
      <x:c r="Q227" s="85"/>
      <x:c r="R227" s="85"/>
      <x:c r="T227" s="86"/>
      <x:c r="U227" s="86"/>
      <x:c r="V227" s="32"/>
    </x:row>
    <x:row r="228">
      <x:c r="A228" s="87"/>
      <x:c r="B228" s="88"/>
      <x:c r="D228" s="32"/>
      <x:c r="G228" s="74"/>
      <x:c r="H228" s="74"/>
      <x:c r="I228" s="74"/>
      <x:c r="J228" s="74"/>
      <x:c r="K228" s="74"/>
      <x:c r="L228" s="74"/>
      <x:c r="M228" s="91"/>
      <x:c r="N228" s="91"/>
      <x:c r="O228" s="85"/>
      <x:c r="P228" s="85"/>
      <x:c r="Q228" s="85"/>
      <x:c r="R228" s="85"/>
      <x:c r="T228" s="86"/>
      <x:c r="U228" s="86"/>
      <x:c r="V228" s="32"/>
    </x:row>
    <x:row r="229">
      <x:c r="A229" s="87"/>
      <x:c r="B229" s="88"/>
      <x:c r="D229" s="32"/>
      <x:c r="G229" s="74"/>
      <x:c r="H229" s="74"/>
      <x:c r="I229" s="74"/>
      <x:c r="J229" s="74"/>
      <x:c r="K229" s="74"/>
      <x:c r="L229" s="74"/>
      <x:c r="M229" s="91"/>
      <x:c r="N229" s="91"/>
      <x:c r="O229" s="85"/>
      <x:c r="P229" s="85"/>
      <x:c r="Q229" s="85"/>
      <x:c r="R229" s="85"/>
      <x:c r="T229" s="86"/>
      <x:c r="U229" s="86"/>
      <x:c r="V229" s="32"/>
    </x:row>
    <x:row r="230">
      <x:c r="A230" s="87"/>
      <x:c r="B230" s="88"/>
      <x:c r="D230" s="32"/>
      <x:c r="G230" s="74"/>
      <x:c r="H230" s="74"/>
      <x:c r="I230" s="74"/>
      <x:c r="J230" s="74"/>
      <x:c r="K230" s="74"/>
      <x:c r="L230" s="74"/>
      <x:c r="M230" s="91"/>
      <x:c r="N230" s="91"/>
      <x:c r="O230" s="85"/>
      <x:c r="P230" s="85"/>
      <x:c r="Q230" s="85"/>
      <x:c r="R230" s="85"/>
      <x:c r="T230" s="86"/>
      <x:c r="U230" s="86"/>
      <x:c r="V230" s="32"/>
    </x:row>
    <x:row r="231">
      <x:c r="A231" s="87"/>
      <x:c r="B231" s="88"/>
      <x:c r="D231" s="32"/>
      <x:c r="G231" s="74"/>
      <x:c r="H231" s="74"/>
      <x:c r="I231" s="74"/>
      <x:c r="J231" s="74"/>
      <x:c r="K231" s="74"/>
      <x:c r="L231" s="74"/>
      <x:c r="M231" s="91"/>
      <x:c r="N231" s="91"/>
      <x:c r="O231" s="85"/>
      <x:c r="P231" s="85"/>
      <x:c r="Q231" s="85"/>
      <x:c r="R231" s="85"/>
      <x:c r="T231" s="86"/>
      <x:c r="U231" s="86"/>
      <x:c r="V231" s="32"/>
    </x:row>
    <x:row r="232">
      <x:c r="A232" s="87"/>
      <x:c r="B232" s="88"/>
      <x:c r="D232" s="32"/>
      <x:c r="G232" s="74"/>
      <x:c r="H232" s="74"/>
      <x:c r="I232" s="74"/>
      <x:c r="J232" s="74"/>
      <x:c r="K232" s="74"/>
      <x:c r="L232" s="74"/>
      <x:c r="M232" s="91"/>
      <x:c r="N232" s="91"/>
      <x:c r="O232" s="85"/>
      <x:c r="P232" s="85"/>
      <x:c r="Q232" s="85"/>
      <x:c r="R232" s="85"/>
      <x:c r="T232" s="86"/>
      <x:c r="U232" s="86"/>
      <x:c r="V232" s="32"/>
    </x:row>
    <x:row r="233">
      <x:c r="A233" s="87"/>
      <x:c r="B233" s="88"/>
      <x:c r="D233" s="32"/>
      <x:c r="G233" s="74"/>
      <x:c r="H233" s="74"/>
      <x:c r="I233" s="74"/>
      <x:c r="J233" s="74"/>
      <x:c r="K233" s="74"/>
      <x:c r="L233" s="74"/>
      <x:c r="M233" s="91"/>
      <x:c r="N233" s="91"/>
      <x:c r="O233" s="85"/>
      <x:c r="P233" s="85"/>
      <x:c r="Q233" s="85"/>
      <x:c r="R233" s="85"/>
      <x:c r="T233" s="86"/>
      <x:c r="U233" s="86"/>
      <x:c r="V233" s="32"/>
    </x:row>
    <x:row r="234">
      <x:c r="A234" s="87"/>
      <x:c r="B234" s="88"/>
      <x:c r="D234" s="32"/>
      <x:c r="G234" s="74"/>
      <x:c r="H234" s="74"/>
      <x:c r="I234" s="74"/>
      <x:c r="J234" s="74"/>
      <x:c r="K234" s="74"/>
      <x:c r="L234" s="74"/>
      <x:c r="M234" s="91"/>
      <x:c r="N234" s="91"/>
      <x:c r="O234" s="85"/>
      <x:c r="P234" s="85"/>
      <x:c r="Q234" s="85"/>
      <x:c r="R234" s="85"/>
      <x:c r="T234" s="86"/>
      <x:c r="U234" s="86"/>
      <x:c r="V234" s="32"/>
    </x:row>
    <x:row r="235">
      <x:c r="A235" s="87"/>
      <x:c r="B235" s="88"/>
      <x:c r="D235" s="32"/>
      <x:c r="G235" s="74"/>
      <x:c r="H235" s="74"/>
      <x:c r="I235" s="74"/>
      <x:c r="J235" s="74"/>
      <x:c r="K235" s="74"/>
      <x:c r="L235" s="74"/>
      <x:c r="M235" s="91"/>
      <x:c r="N235" s="91"/>
      <x:c r="O235" s="85"/>
      <x:c r="P235" s="85"/>
      <x:c r="Q235" s="85"/>
      <x:c r="R235" s="85"/>
      <x:c r="T235" s="86"/>
      <x:c r="U235" s="86"/>
      <x:c r="V235" s="32"/>
    </x:row>
    <x:row r="236">
      <x:c r="A236" s="87"/>
      <x:c r="B236" s="88"/>
      <x:c r="D236" s="32"/>
      <x:c r="G236" s="74"/>
      <x:c r="H236" s="74"/>
      <x:c r="I236" s="74"/>
      <x:c r="J236" s="74"/>
      <x:c r="K236" s="74"/>
      <x:c r="L236" s="74"/>
      <x:c r="M236" s="91"/>
      <x:c r="N236" s="91"/>
      <x:c r="O236" s="85"/>
      <x:c r="P236" s="85"/>
      <x:c r="Q236" s="85"/>
      <x:c r="R236" s="85"/>
      <x:c r="T236" s="86"/>
      <x:c r="U236" s="86"/>
      <x:c r="V236" s="32"/>
    </x:row>
    <x:row r="237">
      <x:c r="A237" s="87"/>
      <x:c r="B237" s="88"/>
      <x:c r="D237" s="32"/>
      <x:c r="G237" s="74"/>
      <x:c r="H237" s="74"/>
      <x:c r="I237" s="74"/>
      <x:c r="J237" s="74"/>
      <x:c r="K237" s="74"/>
      <x:c r="L237" s="74"/>
      <x:c r="M237" s="91"/>
      <x:c r="N237" s="91"/>
      <x:c r="O237" s="85"/>
      <x:c r="P237" s="85"/>
      <x:c r="Q237" s="85"/>
      <x:c r="R237" s="85"/>
      <x:c r="T237" s="86"/>
      <x:c r="U237" s="86"/>
      <x:c r="V237" s="32"/>
    </x:row>
    <x:row r="238">
      <x:c r="A238" s="87"/>
      <x:c r="B238" s="88"/>
      <x:c r="D238" s="32"/>
      <x:c r="G238" s="74"/>
      <x:c r="H238" s="74"/>
      <x:c r="I238" s="74"/>
      <x:c r="J238" s="74"/>
      <x:c r="K238" s="74"/>
      <x:c r="L238" s="74"/>
      <x:c r="M238" s="91"/>
      <x:c r="N238" s="91"/>
      <x:c r="O238" s="85"/>
      <x:c r="P238" s="85"/>
      <x:c r="Q238" s="85"/>
      <x:c r="R238" s="85"/>
      <x:c r="T238" s="86"/>
      <x:c r="U238" s="86"/>
      <x:c r="V238" s="32"/>
    </x:row>
    <x:row r="239">
      <x:c r="A239" s="87"/>
      <x:c r="B239" s="88"/>
      <x:c r="D239" s="32"/>
      <x:c r="G239" s="74"/>
      <x:c r="H239" s="74"/>
      <x:c r="I239" s="74"/>
      <x:c r="J239" s="74"/>
      <x:c r="K239" s="74"/>
      <x:c r="L239" s="74"/>
      <x:c r="M239" s="91"/>
      <x:c r="N239" s="91"/>
      <x:c r="O239" s="85"/>
      <x:c r="P239" s="85"/>
      <x:c r="Q239" s="85"/>
      <x:c r="R239" s="85"/>
      <x:c r="T239" s="86"/>
      <x:c r="U239" s="86"/>
      <x:c r="V239" s="32"/>
    </x:row>
    <x:row r="240">
      <x:c r="A240" s="87"/>
      <x:c r="B240" s="88"/>
      <x:c r="D240" s="32"/>
      <x:c r="G240" s="74"/>
      <x:c r="H240" s="74"/>
      <x:c r="I240" s="74"/>
      <x:c r="J240" s="74"/>
      <x:c r="K240" s="74"/>
      <x:c r="L240" s="74"/>
      <x:c r="M240" s="91"/>
      <x:c r="N240" s="91"/>
      <x:c r="O240" s="85"/>
      <x:c r="P240" s="85"/>
      <x:c r="Q240" s="85"/>
      <x:c r="R240" s="85"/>
      <x:c r="T240" s="86"/>
      <x:c r="U240" s="86"/>
      <x:c r="V240" s="32"/>
    </x:row>
    <x:row r="241">
      <x:c r="A241" s="87"/>
      <x:c r="B241" s="88"/>
      <x:c r="D241" s="32"/>
      <x:c r="G241" s="74"/>
      <x:c r="H241" s="74"/>
      <x:c r="I241" s="74"/>
      <x:c r="J241" s="74"/>
      <x:c r="K241" s="74"/>
      <x:c r="L241" s="74"/>
      <x:c r="M241" s="91"/>
      <x:c r="N241" s="91"/>
      <x:c r="O241" s="85"/>
      <x:c r="P241" s="85"/>
      <x:c r="Q241" s="85"/>
      <x:c r="R241" s="85"/>
      <x:c r="T241" s="86"/>
      <x:c r="U241" s="86"/>
      <x:c r="V241" s="32"/>
    </x:row>
    <x:row r="242">
      <x:c r="A242" s="87"/>
      <x:c r="B242" s="88"/>
      <x:c r="D242" s="32"/>
      <x:c r="G242" s="74"/>
      <x:c r="H242" s="74"/>
      <x:c r="I242" s="74"/>
      <x:c r="J242" s="74"/>
      <x:c r="K242" s="74"/>
      <x:c r="L242" s="74"/>
      <x:c r="M242" s="91"/>
      <x:c r="N242" s="91"/>
      <x:c r="O242" s="85"/>
      <x:c r="P242" s="85"/>
      <x:c r="Q242" s="85"/>
      <x:c r="R242" s="85"/>
      <x:c r="T242" s="86"/>
      <x:c r="U242" s="86"/>
      <x:c r="V242" s="32"/>
    </x:row>
    <x:row r="243">
      <x:c r="A243" s="87"/>
      <x:c r="B243" s="88"/>
      <x:c r="D243" s="32"/>
      <x:c r="G243" s="74"/>
      <x:c r="H243" s="74"/>
      <x:c r="I243" s="74"/>
      <x:c r="J243" s="74"/>
      <x:c r="K243" s="74"/>
      <x:c r="L243" s="74"/>
      <x:c r="M243" s="91"/>
      <x:c r="N243" s="91"/>
      <x:c r="O243" s="85"/>
      <x:c r="P243" s="85"/>
      <x:c r="Q243" s="85"/>
      <x:c r="R243" s="85"/>
      <x:c r="T243" s="86"/>
      <x:c r="U243" s="86"/>
      <x:c r="V243" s="32"/>
    </x:row>
    <x:row r="244">
      <x:c r="A244" s="87"/>
      <x:c r="B244" s="88"/>
      <x:c r="D244" s="32"/>
      <x:c r="G244" s="74"/>
      <x:c r="H244" s="74"/>
      <x:c r="I244" s="74"/>
      <x:c r="J244" s="74"/>
      <x:c r="K244" s="74"/>
      <x:c r="L244" s="74"/>
      <x:c r="M244" s="91"/>
      <x:c r="N244" s="91"/>
      <x:c r="O244" s="85"/>
      <x:c r="P244" s="85"/>
      <x:c r="Q244" s="85"/>
      <x:c r="R244" s="85"/>
      <x:c r="T244" s="86"/>
      <x:c r="U244" s="86"/>
      <x:c r="V244" s="32"/>
    </x:row>
    <x:row r="245">
      <x:c r="A245" s="87"/>
      <x:c r="B245" s="88"/>
      <x:c r="D245" s="32"/>
      <x:c r="G245" s="74"/>
      <x:c r="H245" s="74"/>
      <x:c r="I245" s="74"/>
      <x:c r="J245" s="74"/>
      <x:c r="K245" s="74"/>
      <x:c r="L245" s="74"/>
      <x:c r="M245" s="91"/>
      <x:c r="N245" s="91"/>
      <x:c r="O245" s="85"/>
      <x:c r="P245" s="85"/>
      <x:c r="Q245" s="85"/>
      <x:c r="R245" s="85"/>
      <x:c r="T245" s="86"/>
      <x:c r="U245" s="86"/>
      <x:c r="V245" s="32"/>
    </x:row>
    <x:row r="246">
      <x:c r="A246" s="87"/>
      <x:c r="B246" s="88"/>
      <x:c r="D246" s="32"/>
      <x:c r="G246" s="74"/>
      <x:c r="H246" s="74"/>
      <x:c r="I246" s="74"/>
      <x:c r="J246" s="74"/>
      <x:c r="K246" s="74"/>
      <x:c r="L246" s="74"/>
      <x:c r="M246" s="91"/>
      <x:c r="N246" s="91"/>
      <x:c r="O246" s="85"/>
      <x:c r="P246" s="85"/>
      <x:c r="Q246" s="85"/>
      <x:c r="R246" s="85"/>
      <x:c r="T246" s="86"/>
      <x:c r="U246" s="86"/>
      <x:c r="V246" s="32"/>
    </x:row>
    <x:row r="247">
      <x:c r="A247" s="87"/>
      <x:c r="B247" s="88"/>
      <x:c r="D247" s="32"/>
      <x:c r="G247" s="74"/>
      <x:c r="H247" s="74"/>
      <x:c r="I247" s="74"/>
      <x:c r="J247" s="74"/>
      <x:c r="K247" s="74"/>
      <x:c r="L247" s="74"/>
      <x:c r="M247" s="91"/>
      <x:c r="N247" s="91"/>
      <x:c r="O247" s="85"/>
      <x:c r="P247" s="85"/>
      <x:c r="Q247" s="85"/>
      <x:c r="R247" s="85"/>
      <x:c r="T247" s="86"/>
      <x:c r="U247" s="86"/>
      <x:c r="V247" s="32"/>
    </x:row>
    <x:row r="248">
      <x:c r="A248" s="87"/>
      <x:c r="B248" s="88"/>
      <x:c r="D248" s="32"/>
      <x:c r="G248" s="74"/>
      <x:c r="H248" s="74"/>
      <x:c r="I248" s="74"/>
      <x:c r="J248" s="74"/>
      <x:c r="K248" s="74"/>
      <x:c r="L248" s="74"/>
      <x:c r="M248" s="91"/>
      <x:c r="N248" s="91"/>
      <x:c r="O248" s="85"/>
      <x:c r="P248" s="85"/>
      <x:c r="Q248" s="85"/>
      <x:c r="R248" s="85"/>
      <x:c r="T248" s="86"/>
      <x:c r="U248" s="86"/>
      <x:c r="V248" s="32"/>
    </x:row>
    <x:row r="249">
      <x:c r="A249" s="87"/>
      <x:c r="B249" s="88"/>
      <x:c r="D249" s="32"/>
      <x:c r="G249" s="74"/>
      <x:c r="H249" s="74"/>
      <x:c r="I249" s="74"/>
      <x:c r="J249" s="74"/>
      <x:c r="K249" s="74"/>
      <x:c r="L249" s="74"/>
      <x:c r="M249" s="91"/>
      <x:c r="N249" s="91"/>
      <x:c r="O249" s="85"/>
      <x:c r="P249" s="85"/>
      <x:c r="Q249" s="85"/>
      <x:c r="R249" s="85"/>
      <x:c r="T249" s="86"/>
      <x:c r="U249" s="86"/>
      <x:c r="V249" s="32"/>
    </x:row>
    <x:row r="250">
      <x:c r="A250" s="87"/>
      <x:c r="B250" s="88"/>
      <x:c r="D250" s="32"/>
      <x:c r="G250" s="74"/>
      <x:c r="H250" s="74"/>
      <x:c r="I250" s="74"/>
      <x:c r="J250" s="74"/>
      <x:c r="K250" s="74"/>
      <x:c r="L250" s="74"/>
      <x:c r="M250" s="91"/>
      <x:c r="N250" s="91"/>
      <x:c r="O250" s="85"/>
      <x:c r="P250" s="85"/>
      <x:c r="Q250" s="85"/>
      <x:c r="R250" s="85"/>
      <x:c r="T250" s="86"/>
      <x:c r="U250" s="86"/>
      <x:c r="V250" s="32"/>
    </x:row>
    <x:row r="251">
      <x:c r="A251" s="87"/>
      <x:c r="B251" s="88"/>
      <x:c r="D251" s="32"/>
      <x:c r="G251" s="74"/>
      <x:c r="H251" s="74"/>
      <x:c r="I251" s="74"/>
      <x:c r="J251" s="74"/>
      <x:c r="K251" s="74"/>
      <x:c r="L251" s="74"/>
      <x:c r="M251" s="91"/>
      <x:c r="N251" s="91"/>
      <x:c r="O251" s="85"/>
      <x:c r="P251" s="85"/>
      <x:c r="Q251" s="85"/>
      <x:c r="R251" s="85"/>
      <x:c r="T251" s="86"/>
      <x:c r="U251" s="86"/>
      <x:c r="V251" s="32"/>
    </x:row>
    <x:row r="252">
      <x:c r="A252" s="87"/>
      <x:c r="B252" s="88"/>
      <x:c r="D252" s="32"/>
      <x:c r="G252" s="74"/>
      <x:c r="H252" s="74"/>
      <x:c r="I252" s="74"/>
      <x:c r="J252" s="74"/>
      <x:c r="K252" s="74"/>
      <x:c r="L252" s="74"/>
      <x:c r="M252" s="91"/>
      <x:c r="N252" s="91"/>
      <x:c r="O252" s="85"/>
      <x:c r="P252" s="85"/>
      <x:c r="Q252" s="85"/>
      <x:c r="R252" s="85"/>
      <x:c r="T252" s="86"/>
      <x:c r="U252" s="86"/>
      <x:c r="V252" s="32"/>
    </x:row>
    <x:row r="253">
      <x:c r="A253" s="87"/>
      <x:c r="B253" s="88"/>
      <x:c r="D253" s="32"/>
      <x:c r="G253" s="74"/>
      <x:c r="H253" s="74"/>
      <x:c r="I253" s="74"/>
      <x:c r="J253" s="74"/>
      <x:c r="K253" s="74"/>
      <x:c r="L253" s="74"/>
      <x:c r="M253" s="91"/>
      <x:c r="N253" s="91"/>
      <x:c r="O253" s="85"/>
      <x:c r="P253" s="85"/>
      <x:c r="Q253" s="85"/>
      <x:c r="R253" s="85"/>
      <x:c r="T253" s="86"/>
      <x:c r="U253" s="86"/>
      <x:c r="V253" s="32"/>
    </x:row>
    <x:row r="254">
      <x:c r="A254" s="87"/>
      <x:c r="B254" s="88"/>
      <x:c r="D254" s="32"/>
      <x:c r="G254" s="74"/>
      <x:c r="H254" s="74"/>
      <x:c r="I254" s="74"/>
      <x:c r="J254" s="74"/>
      <x:c r="K254" s="74"/>
      <x:c r="L254" s="74"/>
      <x:c r="M254" s="91"/>
      <x:c r="N254" s="91"/>
      <x:c r="O254" s="85"/>
      <x:c r="P254" s="85"/>
      <x:c r="Q254" s="85"/>
      <x:c r="R254" s="85"/>
      <x:c r="T254" s="86"/>
      <x:c r="U254" s="86"/>
      <x:c r="V254" s="32"/>
    </x:row>
    <x:row r="255">
      <x:c r="A255" s="87"/>
      <x:c r="B255" s="88"/>
      <x:c r="D255" s="32"/>
      <x:c r="G255" s="74"/>
      <x:c r="H255" s="74"/>
      <x:c r="I255" s="74"/>
      <x:c r="J255" s="74"/>
      <x:c r="K255" s="74"/>
      <x:c r="L255" s="74"/>
      <x:c r="M255" s="91"/>
      <x:c r="N255" s="91"/>
      <x:c r="O255" s="85"/>
      <x:c r="P255" s="85"/>
      <x:c r="Q255" s="85"/>
      <x:c r="R255" s="85"/>
      <x:c r="T255" s="86"/>
      <x:c r="U255" s="86"/>
      <x:c r="V255" s="32"/>
    </x:row>
    <x:row r="256">
      <x:c r="A256" s="87"/>
      <x:c r="B256" s="88"/>
      <x:c r="D256" s="32"/>
      <x:c r="G256" s="74"/>
      <x:c r="H256" s="74"/>
      <x:c r="I256" s="74"/>
      <x:c r="J256" s="74"/>
      <x:c r="K256" s="74"/>
      <x:c r="L256" s="74"/>
      <x:c r="M256" s="91"/>
      <x:c r="N256" s="91"/>
      <x:c r="O256" s="85"/>
      <x:c r="P256" s="85"/>
      <x:c r="Q256" s="85"/>
      <x:c r="R256" s="85"/>
      <x:c r="T256" s="86"/>
      <x:c r="U256" s="86"/>
      <x:c r="V256" s="32"/>
    </x:row>
    <x:row r="257">
      <x:c r="A257" s="87"/>
      <x:c r="B257" s="88"/>
      <x:c r="D257" s="32"/>
      <x:c r="G257" s="74"/>
      <x:c r="H257" s="74"/>
      <x:c r="I257" s="74"/>
      <x:c r="J257" s="74"/>
      <x:c r="K257" s="74"/>
      <x:c r="L257" s="74"/>
      <x:c r="M257" s="91"/>
      <x:c r="N257" s="91"/>
      <x:c r="O257" s="85"/>
      <x:c r="P257" s="85"/>
      <x:c r="Q257" s="85"/>
      <x:c r="R257" s="85"/>
      <x:c r="T257" s="86"/>
      <x:c r="U257" s="86"/>
      <x:c r="V257" s="32"/>
    </x:row>
    <x:row r="258">
      <x:c r="A258" s="87"/>
      <x:c r="B258" s="88"/>
      <x:c r="D258" s="32"/>
      <x:c r="G258" s="74"/>
      <x:c r="H258" s="74"/>
      <x:c r="I258" s="74"/>
      <x:c r="J258" s="74"/>
      <x:c r="K258" s="74"/>
      <x:c r="L258" s="74"/>
      <x:c r="M258" s="91"/>
      <x:c r="N258" s="91"/>
      <x:c r="O258" s="85"/>
      <x:c r="P258" s="85"/>
      <x:c r="Q258" s="85"/>
      <x:c r="R258" s="85"/>
      <x:c r="T258" s="86"/>
      <x:c r="U258" s="86"/>
      <x:c r="V258" s="32"/>
    </x:row>
    <x:row r="259">
      <x:c r="A259" s="87"/>
      <x:c r="B259" s="88"/>
      <x:c r="D259" s="32"/>
      <x:c r="G259" s="74"/>
      <x:c r="H259" s="74"/>
      <x:c r="I259" s="74"/>
      <x:c r="J259" s="74"/>
      <x:c r="K259" s="74"/>
      <x:c r="L259" s="74"/>
      <x:c r="M259" s="91"/>
      <x:c r="N259" s="91"/>
      <x:c r="O259" s="85"/>
      <x:c r="P259" s="85"/>
      <x:c r="Q259" s="85"/>
      <x:c r="R259" s="85"/>
      <x:c r="T259" s="86"/>
      <x:c r="U259" s="86"/>
      <x:c r="V259" s="32"/>
    </x:row>
    <x:row r="260">
      <x:c r="A260" s="87"/>
      <x:c r="B260" s="88"/>
      <x:c r="D260" s="32"/>
      <x:c r="G260" s="74"/>
      <x:c r="H260" s="74"/>
      <x:c r="I260" s="74"/>
      <x:c r="J260" s="74"/>
      <x:c r="K260" s="74"/>
      <x:c r="L260" s="74"/>
      <x:c r="M260" s="91"/>
      <x:c r="N260" s="91"/>
      <x:c r="O260" s="85"/>
      <x:c r="P260" s="85"/>
      <x:c r="Q260" s="85"/>
      <x:c r="R260" s="85"/>
      <x:c r="T260" s="86"/>
      <x:c r="U260" s="86"/>
      <x:c r="V260" s="32"/>
    </x:row>
    <x:row r="261">
      <x:c r="A261" s="87"/>
      <x:c r="B261" s="88"/>
      <x:c r="D261" s="32"/>
      <x:c r="G261" s="74"/>
      <x:c r="H261" s="74"/>
      <x:c r="I261" s="74"/>
      <x:c r="J261" s="74"/>
      <x:c r="K261" s="74"/>
      <x:c r="L261" s="74"/>
      <x:c r="M261" s="91"/>
      <x:c r="N261" s="91"/>
      <x:c r="O261" s="85"/>
      <x:c r="P261" s="85"/>
      <x:c r="Q261" s="85"/>
      <x:c r="R261" s="85"/>
      <x:c r="T261" s="86"/>
      <x:c r="U261" s="86"/>
      <x:c r="V261" s="32"/>
    </x:row>
    <x:row r="262">
      <x:c r="A262" s="87"/>
      <x:c r="B262" s="88"/>
      <x:c r="D262" s="32"/>
      <x:c r="G262" s="74"/>
      <x:c r="H262" s="74"/>
      <x:c r="I262" s="74"/>
      <x:c r="J262" s="74"/>
      <x:c r="K262" s="74"/>
      <x:c r="L262" s="74"/>
      <x:c r="M262" s="91"/>
      <x:c r="N262" s="91"/>
      <x:c r="O262" s="85"/>
      <x:c r="P262" s="85"/>
      <x:c r="Q262" s="85"/>
      <x:c r="R262" s="85"/>
      <x:c r="T262" s="86"/>
      <x:c r="U262" s="86"/>
      <x:c r="V262" s="32"/>
    </x:row>
    <x:row r="263">
      <x:c r="A263" s="87"/>
      <x:c r="B263" s="88"/>
      <x:c r="D263" s="32"/>
      <x:c r="G263" s="74"/>
      <x:c r="H263" s="74"/>
      <x:c r="I263" s="74"/>
      <x:c r="J263" s="74"/>
      <x:c r="K263" s="74"/>
      <x:c r="L263" s="74"/>
      <x:c r="M263" s="91"/>
      <x:c r="N263" s="91"/>
      <x:c r="O263" s="85"/>
      <x:c r="P263" s="85"/>
      <x:c r="Q263" s="85"/>
      <x:c r="R263" s="85"/>
      <x:c r="T263" s="86"/>
      <x:c r="U263" s="86"/>
      <x:c r="V263" s="32"/>
    </x:row>
    <x:row r="264">
      <x:c r="A264" s="87"/>
      <x:c r="B264" s="88"/>
      <x:c r="D264" s="32"/>
      <x:c r="G264" s="74"/>
      <x:c r="H264" s="74"/>
      <x:c r="I264" s="74"/>
      <x:c r="J264" s="74"/>
      <x:c r="K264" s="74"/>
      <x:c r="L264" s="74"/>
      <x:c r="M264" s="91"/>
      <x:c r="N264" s="91"/>
      <x:c r="O264" s="85"/>
      <x:c r="P264" s="85"/>
      <x:c r="Q264" s="85"/>
      <x:c r="R264" s="85"/>
      <x:c r="T264" s="86"/>
      <x:c r="U264" s="86"/>
      <x:c r="V264" s="32"/>
    </x:row>
    <x:row r="265">
      <x:c r="A265" s="87"/>
      <x:c r="B265" s="88"/>
      <x:c r="D265" s="32"/>
      <x:c r="G265" s="74"/>
      <x:c r="H265" s="74"/>
      <x:c r="I265" s="74"/>
      <x:c r="J265" s="74"/>
      <x:c r="K265" s="74"/>
      <x:c r="L265" s="74"/>
      <x:c r="M265" s="91"/>
      <x:c r="N265" s="91"/>
      <x:c r="O265" s="85"/>
      <x:c r="P265" s="85"/>
      <x:c r="Q265" s="85"/>
      <x:c r="R265" s="85"/>
      <x:c r="T265" s="86"/>
      <x:c r="U265" s="86"/>
      <x:c r="V265" s="32"/>
    </x:row>
    <x:row r="266">
      <x:c r="A266" s="87"/>
      <x:c r="B266" s="88"/>
      <x:c r="D266" s="32"/>
      <x:c r="G266" s="74"/>
      <x:c r="H266" s="74"/>
      <x:c r="I266" s="74"/>
      <x:c r="J266" s="74"/>
      <x:c r="K266" s="74"/>
      <x:c r="L266" s="74"/>
      <x:c r="M266" s="91"/>
      <x:c r="N266" s="91"/>
      <x:c r="O266" s="85"/>
      <x:c r="P266" s="85"/>
      <x:c r="Q266" s="85"/>
      <x:c r="R266" s="85"/>
      <x:c r="T266" s="86"/>
      <x:c r="U266" s="86"/>
      <x:c r="V266" s="32"/>
    </x:row>
    <x:row r="267">
      <x:c r="A267" s="87"/>
      <x:c r="B267" s="88"/>
      <x:c r="D267" s="32"/>
      <x:c r="G267" s="74"/>
      <x:c r="H267" s="74"/>
      <x:c r="I267" s="74"/>
      <x:c r="J267" s="74"/>
      <x:c r="K267" s="74"/>
      <x:c r="L267" s="74"/>
      <x:c r="M267" s="91"/>
      <x:c r="N267" s="91"/>
      <x:c r="O267" s="85"/>
      <x:c r="P267" s="85"/>
      <x:c r="Q267" s="85"/>
      <x:c r="R267" s="85"/>
      <x:c r="T267" s="86"/>
      <x:c r="U267" s="86"/>
      <x:c r="V267" s="32"/>
    </x:row>
    <x:row r="268">
      <x:c r="A268" s="87"/>
      <x:c r="B268" s="88"/>
      <x:c r="D268" s="32"/>
      <x:c r="G268" s="74"/>
      <x:c r="H268" s="74"/>
      <x:c r="I268" s="74"/>
      <x:c r="J268" s="74"/>
      <x:c r="K268" s="74"/>
      <x:c r="L268" s="74"/>
      <x:c r="M268" s="91"/>
      <x:c r="N268" s="91"/>
      <x:c r="O268" s="85"/>
      <x:c r="P268" s="85"/>
      <x:c r="Q268" s="85"/>
      <x:c r="R268" s="85"/>
      <x:c r="T268" s="86"/>
      <x:c r="U268" s="86"/>
      <x:c r="V268" s="32"/>
    </x:row>
    <x:row r="269">
      <x:c r="A269" s="87"/>
      <x:c r="B269" s="88"/>
      <x:c r="D269" s="32"/>
      <x:c r="G269" s="74"/>
      <x:c r="H269" s="74"/>
      <x:c r="I269" s="74"/>
      <x:c r="J269" s="74"/>
      <x:c r="K269" s="74"/>
      <x:c r="L269" s="74"/>
      <x:c r="M269" s="91"/>
      <x:c r="N269" s="91"/>
      <x:c r="O269" s="85"/>
      <x:c r="P269" s="85"/>
      <x:c r="Q269" s="85"/>
      <x:c r="R269" s="85"/>
      <x:c r="T269" s="86"/>
      <x:c r="U269" s="86"/>
      <x:c r="V269" s="32"/>
    </x:row>
    <x:row r="270">
      <x:c r="A270" s="87"/>
      <x:c r="B270" s="88"/>
      <x:c r="D270" s="32"/>
      <x:c r="G270" s="74"/>
      <x:c r="H270" s="74"/>
      <x:c r="I270" s="74"/>
      <x:c r="J270" s="74"/>
      <x:c r="K270" s="74"/>
      <x:c r="L270" s="74"/>
      <x:c r="M270" s="91"/>
      <x:c r="N270" s="91"/>
      <x:c r="O270" s="85"/>
      <x:c r="P270" s="85"/>
      <x:c r="Q270" s="85"/>
      <x:c r="R270" s="85"/>
      <x:c r="T270" s="86"/>
      <x:c r="U270" s="86"/>
      <x:c r="V270" s="32"/>
    </x:row>
    <x:row r="271">
      <x:c r="A271" s="87"/>
      <x:c r="B271" s="88"/>
      <x:c r="D271" s="32"/>
      <x:c r="G271" s="74"/>
      <x:c r="H271" s="74"/>
      <x:c r="I271" s="74"/>
      <x:c r="J271" s="74"/>
      <x:c r="K271" s="74"/>
      <x:c r="L271" s="74"/>
      <x:c r="M271" s="91"/>
      <x:c r="N271" s="91"/>
      <x:c r="O271" s="85"/>
      <x:c r="P271" s="85"/>
      <x:c r="Q271" s="85"/>
      <x:c r="R271" s="85"/>
      <x:c r="T271" s="86"/>
      <x:c r="U271" s="86"/>
      <x:c r="V271" s="32"/>
    </x:row>
    <x:row r="272">
      <x:c r="A272" s="87"/>
      <x:c r="B272" s="88"/>
      <x:c r="D272" s="32"/>
      <x:c r="G272" s="74"/>
      <x:c r="H272" s="74"/>
      <x:c r="I272" s="74"/>
      <x:c r="J272" s="74"/>
      <x:c r="K272" s="74"/>
      <x:c r="L272" s="74"/>
      <x:c r="M272" s="91"/>
      <x:c r="N272" s="91"/>
      <x:c r="O272" s="85"/>
      <x:c r="P272" s="85"/>
      <x:c r="Q272" s="85"/>
      <x:c r="R272" s="85"/>
      <x:c r="T272" s="86"/>
      <x:c r="U272" s="86"/>
      <x:c r="V272" s="32"/>
    </x:row>
    <x:row r="273">
      <x:c r="A273" s="87"/>
      <x:c r="B273" s="88"/>
      <x:c r="D273" s="32"/>
      <x:c r="G273" s="74"/>
      <x:c r="H273" s="74"/>
      <x:c r="I273" s="74"/>
      <x:c r="J273" s="74"/>
      <x:c r="K273" s="74"/>
      <x:c r="L273" s="74"/>
      <x:c r="M273" s="91"/>
      <x:c r="N273" s="91"/>
      <x:c r="O273" s="85"/>
      <x:c r="P273" s="85"/>
      <x:c r="Q273" s="85"/>
      <x:c r="R273" s="85"/>
      <x:c r="T273" s="86"/>
      <x:c r="U273" s="86"/>
      <x:c r="V273" s="32"/>
    </x:row>
    <x:row r="274">
      <x:c r="A274" s="87"/>
      <x:c r="B274" s="88"/>
      <x:c r="D274" s="32"/>
      <x:c r="G274" s="74"/>
      <x:c r="H274" s="74"/>
      <x:c r="I274" s="74"/>
      <x:c r="J274" s="74"/>
      <x:c r="K274" s="74"/>
      <x:c r="L274" s="74"/>
      <x:c r="M274" s="91"/>
      <x:c r="N274" s="91"/>
      <x:c r="O274" s="85"/>
      <x:c r="P274" s="85"/>
      <x:c r="Q274" s="85"/>
      <x:c r="R274" s="85"/>
      <x:c r="T274" s="86"/>
      <x:c r="U274" s="86"/>
      <x:c r="V274" s="32"/>
    </x:row>
    <x:row r="275">
      <x:c r="A275" s="87"/>
      <x:c r="B275" s="88"/>
      <x:c r="D275" s="32"/>
      <x:c r="G275" s="74"/>
      <x:c r="H275" s="74"/>
      <x:c r="I275" s="74"/>
      <x:c r="J275" s="74"/>
      <x:c r="K275" s="74"/>
      <x:c r="L275" s="74"/>
      <x:c r="M275" s="91"/>
      <x:c r="N275" s="91"/>
      <x:c r="O275" s="85"/>
      <x:c r="P275" s="85"/>
      <x:c r="Q275" s="85"/>
      <x:c r="R275" s="85"/>
      <x:c r="T275" s="86"/>
      <x:c r="U275" s="86"/>
      <x:c r="V275" s="32"/>
    </x:row>
    <x:row r="276">
      <x:c r="A276" s="87"/>
      <x:c r="B276" s="88"/>
      <x:c r="D276" s="32"/>
      <x:c r="G276" s="74"/>
      <x:c r="H276" s="74"/>
      <x:c r="I276" s="74"/>
      <x:c r="J276" s="74"/>
      <x:c r="K276" s="74"/>
      <x:c r="L276" s="74"/>
      <x:c r="M276" s="91"/>
      <x:c r="N276" s="91"/>
      <x:c r="O276" s="85"/>
      <x:c r="P276" s="85"/>
      <x:c r="Q276" s="85"/>
      <x:c r="R276" s="85"/>
      <x:c r="T276" s="86"/>
      <x:c r="U276" s="86"/>
      <x:c r="V276" s="32"/>
    </x:row>
    <x:row r="277">
      <x:c r="A277" s="87"/>
      <x:c r="B277" s="88"/>
      <x:c r="D277" s="32"/>
      <x:c r="G277" s="74"/>
      <x:c r="H277" s="74"/>
      <x:c r="I277" s="74"/>
      <x:c r="J277" s="74"/>
      <x:c r="K277" s="74"/>
      <x:c r="L277" s="74"/>
      <x:c r="M277" s="91"/>
      <x:c r="N277" s="91"/>
      <x:c r="O277" s="85"/>
      <x:c r="P277" s="85"/>
      <x:c r="Q277" s="85"/>
      <x:c r="R277" s="85"/>
      <x:c r="T277" s="86"/>
      <x:c r="U277" s="86"/>
      <x:c r="V277" s="32"/>
    </x:row>
    <x:row r="278">
      <x:c r="A278" s="87"/>
      <x:c r="B278" s="88"/>
      <x:c r="D278" s="32"/>
      <x:c r="G278" s="74"/>
      <x:c r="H278" s="74"/>
      <x:c r="I278" s="74"/>
      <x:c r="J278" s="74"/>
      <x:c r="K278" s="74"/>
      <x:c r="L278" s="74"/>
      <x:c r="M278" s="91"/>
      <x:c r="N278" s="91"/>
      <x:c r="O278" s="85"/>
      <x:c r="P278" s="85"/>
      <x:c r="Q278" s="85"/>
      <x:c r="R278" s="85"/>
      <x:c r="T278" s="86"/>
      <x:c r="U278" s="86"/>
      <x:c r="V278" s="32"/>
    </x:row>
    <x:row r="279">
      <x:c r="A279" s="87"/>
      <x:c r="B279" s="88"/>
      <x:c r="D279" s="32"/>
      <x:c r="G279" s="74"/>
      <x:c r="H279" s="74"/>
      <x:c r="I279" s="74"/>
      <x:c r="J279" s="74"/>
      <x:c r="K279" s="74"/>
      <x:c r="L279" s="74"/>
      <x:c r="M279" s="91"/>
      <x:c r="N279" s="91"/>
      <x:c r="O279" s="85"/>
      <x:c r="P279" s="85"/>
      <x:c r="Q279" s="85"/>
      <x:c r="R279" s="85"/>
      <x:c r="T279" s="86"/>
      <x:c r="U279" s="86"/>
      <x:c r="V279" s="32"/>
    </x:row>
    <x:row r="280">
      <x:c r="A280" s="87"/>
      <x:c r="B280" s="88"/>
      <x:c r="D280" s="32"/>
      <x:c r="G280" s="74"/>
      <x:c r="H280" s="74"/>
      <x:c r="I280" s="74"/>
      <x:c r="J280" s="74"/>
      <x:c r="K280" s="74"/>
      <x:c r="L280" s="74"/>
      <x:c r="M280" s="91"/>
      <x:c r="N280" s="91"/>
      <x:c r="O280" s="85"/>
      <x:c r="P280" s="85"/>
      <x:c r="Q280" s="85"/>
      <x:c r="R280" s="85"/>
      <x:c r="T280" s="86"/>
      <x:c r="U280" s="86"/>
      <x:c r="V280" s="32"/>
    </x:row>
    <x:row r="281">
      <x:c r="A281" s="87"/>
      <x:c r="B281" s="88"/>
      <x:c r="D281" s="32"/>
      <x:c r="G281" s="74"/>
      <x:c r="H281" s="74"/>
      <x:c r="I281" s="74"/>
      <x:c r="J281" s="74"/>
      <x:c r="K281" s="74"/>
      <x:c r="L281" s="74"/>
      <x:c r="M281" s="91"/>
      <x:c r="N281" s="91"/>
      <x:c r="O281" s="85"/>
      <x:c r="P281" s="85"/>
      <x:c r="Q281" s="85"/>
      <x:c r="R281" s="85"/>
      <x:c r="T281" s="86"/>
      <x:c r="U281" s="86"/>
      <x:c r="V281" s="32"/>
    </x:row>
    <x:row r="282">
      <x:c r="A282" s="87"/>
      <x:c r="B282" s="88"/>
      <x:c r="D282" s="32"/>
      <x:c r="G282" s="74"/>
      <x:c r="H282" s="74"/>
      <x:c r="I282" s="74"/>
      <x:c r="J282" s="74"/>
      <x:c r="K282" s="74"/>
      <x:c r="L282" s="74"/>
      <x:c r="M282" s="91"/>
      <x:c r="N282" s="91"/>
      <x:c r="O282" s="85"/>
      <x:c r="P282" s="85"/>
      <x:c r="Q282" s="85"/>
      <x:c r="R282" s="85"/>
      <x:c r="T282" s="86"/>
      <x:c r="U282" s="86"/>
      <x:c r="V282" s="32"/>
    </x:row>
    <x:row r="283">
      <x:c r="A283" s="87"/>
      <x:c r="B283" s="88"/>
      <x:c r="D283" s="32"/>
      <x:c r="G283" s="74"/>
      <x:c r="H283" s="74"/>
      <x:c r="I283" s="74"/>
      <x:c r="J283" s="74"/>
      <x:c r="K283" s="74"/>
      <x:c r="L283" s="74"/>
      <x:c r="M283" s="91"/>
      <x:c r="N283" s="91"/>
      <x:c r="O283" s="85"/>
      <x:c r="P283" s="85"/>
      <x:c r="Q283" s="85"/>
      <x:c r="R283" s="85"/>
      <x:c r="T283" s="86"/>
      <x:c r="U283" s="86"/>
      <x:c r="V283" s="32"/>
    </x:row>
    <x:row r="284">
      <x:c r="A284" s="87"/>
      <x:c r="B284" s="88"/>
      <x:c r="D284" s="32"/>
      <x:c r="G284" s="74"/>
      <x:c r="H284" s="74"/>
      <x:c r="I284" s="74"/>
      <x:c r="J284" s="74"/>
      <x:c r="K284" s="74"/>
      <x:c r="L284" s="74"/>
      <x:c r="M284" s="91"/>
      <x:c r="N284" s="91"/>
      <x:c r="O284" s="85"/>
      <x:c r="P284" s="85"/>
      <x:c r="Q284" s="85"/>
      <x:c r="R284" s="85"/>
      <x:c r="T284" s="86"/>
      <x:c r="U284" s="86"/>
      <x:c r="V284" s="32"/>
    </x:row>
    <x:row r="285">
      <x:c r="A285" s="87"/>
      <x:c r="B285" s="88"/>
      <x:c r="D285" s="32"/>
      <x:c r="G285" s="74"/>
      <x:c r="H285" s="74"/>
      <x:c r="I285" s="74"/>
      <x:c r="J285" s="74"/>
      <x:c r="K285" s="74"/>
      <x:c r="L285" s="74"/>
      <x:c r="M285" s="91"/>
      <x:c r="N285" s="91"/>
      <x:c r="O285" s="85"/>
      <x:c r="P285" s="85"/>
      <x:c r="Q285" s="85"/>
      <x:c r="R285" s="85"/>
      <x:c r="T285" s="86"/>
      <x:c r="U285" s="86"/>
      <x:c r="V285" s="32"/>
    </x:row>
    <x:row r="286">
      <x:c r="A286" s="87"/>
      <x:c r="B286" s="88"/>
      <x:c r="D286" s="32"/>
      <x:c r="G286" s="74"/>
      <x:c r="H286" s="74"/>
      <x:c r="I286" s="74"/>
      <x:c r="J286" s="74"/>
      <x:c r="K286" s="74"/>
      <x:c r="L286" s="74"/>
      <x:c r="M286" s="91"/>
      <x:c r="N286" s="91"/>
      <x:c r="O286" s="85"/>
      <x:c r="P286" s="85"/>
      <x:c r="Q286" s="85"/>
      <x:c r="R286" s="85"/>
      <x:c r="T286" s="86"/>
      <x:c r="U286" s="86"/>
      <x:c r="V286" s="32"/>
    </x:row>
    <x:row r="287">
      <x:c r="A287" s="87"/>
      <x:c r="B287" s="88"/>
      <x:c r="D287" s="32"/>
      <x:c r="G287" s="74"/>
      <x:c r="H287" s="74"/>
      <x:c r="I287" s="74"/>
      <x:c r="J287" s="74"/>
      <x:c r="K287" s="74"/>
      <x:c r="L287" s="74"/>
      <x:c r="M287" s="91"/>
      <x:c r="N287" s="91"/>
      <x:c r="O287" s="85"/>
      <x:c r="P287" s="85"/>
      <x:c r="Q287" s="85"/>
      <x:c r="R287" s="85"/>
      <x:c r="T287" s="86"/>
      <x:c r="U287" s="86"/>
      <x:c r="V287" s="32"/>
    </x:row>
    <x:row r="288">
      <x:c r="A288" s="87"/>
      <x:c r="B288" s="88"/>
      <x:c r="D288" s="32"/>
      <x:c r="G288" s="74"/>
      <x:c r="H288" s="74"/>
      <x:c r="I288" s="74"/>
      <x:c r="J288" s="74"/>
      <x:c r="K288" s="74"/>
      <x:c r="L288" s="74"/>
      <x:c r="M288" s="91"/>
      <x:c r="N288" s="91"/>
      <x:c r="O288" s="85"/>
      <x:c r="P288" s="85"/>
      <x:c r="Q288" s="85"/>
      <x:c r="R288" s="85"/>
      <x:c r="T288" s="86"/>
      <x:c r="U288" s="86"/>
      <x:c r="V288" s="32"/>
    </x:row>
    <x:row r="289">
      <x:c r="A289" s="87"/>
      <x:c r="B289" s="88"/>
      <x:c r="D289" s="32"/>
      <x:c r="G289" s="74"/>
      <x:c r="H289" s="74"/>
      <x:c r="I289" s="74"/>
      <x:c r="J289" s="74"/>
      <x:c r="K289" s="74"/>
      <x:c r="L289" s="74"/>
      <x:c r="M289" s="91"/>
      <x:c r="N289" s="91"/>
      <x:c r="O289" s="85"/>
      <x:c r="P289" s="85"/>
      <x:c r="Q289" s="85"/>
      <x:c r="R289" s="85"/>
      <x:c r="T289" s="86"/>
      <x:c r="U289" s="86"/>
      <x:c r="V289" s="32"/>
    </x:row>
    <x:row r="290">
      <x:c r="A290" s="87"/>
      <x:c r="B290" s="88"/>
      <x:c r="D290" s="32"/>
      <x:c r="G290" s="74"/>
      <x:c r="H290" s="74"/>
      <x:c r="I290" s="74"/>
      <x:c r="J290" s="74"/>
      <x:c r="K290" s="74"/>
      <x:c r="L290" s="74"/>
      <x:c r="M290" s="91"/>
      <x:c r="N290" s="91"/>
      <x:c r="O290" s="85"/>
      <x:c r="P290" s="85"/>
      <x:c r="Q290" s="85"/>
      <x:c r="R290" s="85"/>
      <x:c r="T290" s="86"/>
      <x:c r="U290" s="86"/>
      <x:c r="V290" s="32"/>
    </x:row>
    <x:row r="291">
      <x:c r="A291" s="87"/>
      <x:c r="B291" s="88"/>
      <x:c r="D291" s="32"/>
      <x:c r="G291" s="74"/>
      <x:c r="H291" s="74"/>
      <x:c r="I291" s="74"/>
      <x:c r="J291" s="74"/>
      <x:c r="K291" s="74"/>
      <x:c r="L291" s="74"/>
      <x:c r="M291" s="91"/>
      <x:c r="N291" s="91"/>
      <x:c r="O291" s="85"/>
      <x:c r="P291" s="85"/>
      <x:c r="Q291" s="85"/>
      <x:c r="R291" s="85"/>
      <x:c r="T291" s="86"/>
      <x:c r="U291" s="86"/>
      <x:c r="V291" s="32"/>
    </x:row>
    <x:row r="292">
      <x:c r="A292" s="87"/>
      <x:c r="B292" s="88"/>
      <x:c r="D292" s="32"/>
      <x:c r="G292" s="74"/>
      <x:c r="H292" s="74"/>
      <x:c r="I292" s="74"/>
      <x:c r="J292" s="74"/>
      <x:c r="K292" s="74"/>
      <x:c r="L292" s="74"/>
      <x:c r="M292" s="91"/>
      <x:c r="N292" s="91"/>
      <x:c r="O292" s="85"/>
      <x:c r="P292" s="85"/>
      <x:c r="Q292" s="85"/>
      <x:c r="R292" s="85"/>
      <x:c r="T292" s="86"/>
      <x:c r="U292" s="86"/>
      <x:c r="V292" s="32"/>
    </x:row>
    <x:row r="293">
      <x:c r="A293" s="87"/>
      <x:c r="B293" s="88"/>
      <x:c r="D293" s="32"/>
      <x:c r="G293" s="74"/>
      <x:c r="H293" s="74"/>
      <x:c r="I293" s="74"/>
      <x:c r="J293" s="74"/>
      <x:c r="K293" s="74"/>
      <x:c r="L293" s="74"/>
      <x:c r="M293" s="91"/>
      <x:c r="N293" s="91"/>
      <x:c r="O293" s="85"/>
      <x:c r="P293" s="85"/>
      <x:c r="Q293" s="85"/>
      <x:c r="R293" s="85"/>
      <x:c r="T293" s="86"/>
      <x:c r="U293" s="86"/>
      <x:c r="V293" s="32"/>
    </x:row>
    <x:row r="294">
      <x:c r="A294" s="87"/>
      <x:c r="B294" s="88"/>
      <x:c r="D294" s="32"/>
      <x:c r="G294" s="74"/>
      <x:c r="H294" s="74"/>
      <x:c r="I294" s="74"/>
      <x:c r="J294" s="74"/>
      <x:c r="K294" s="74"/>
      <x:c r="L294" s="74"/>
      <x:c r="M294" s="91"/>
      <x:c r="N294" s="91"/>
      <x:c r="O294" s="85"/>
      <x:c r="P294" s="85"/>
      <x:c r="Q294" s="85"/>
      <x:c r="R294" s="85"/>
      <x:c r="T294" s="86"/>
      <x:c r="U294" s="86"/>
      <x:c r="V294" s="32"/>
    </x:row>
    <x:row r="295">
      <x:c r="A295" s="87"/>
      <x:c r="B295" s="88"/>
      <x:c r="D295" s="32"/>
      <x:c r="G295" s="74"/>
      <x:c r="H295" s="74"/>
      <x:c r="I295" s="74"/>
      <x:c r="J295" s="74"/>
      <x:c r="K295" s="74"/>
      <x:c r="L295" s="74"/>
      <x:c r="M295" s="91"/>
      <x:c r="N295" s="91"/>
      <x:c r="O295" s="85"/>
      <x:c r="P295" s="85"/>
      <x:c r="Q295" s="85"/>
      <x:c r="R295" s="85"/>
      <x:c r="T295" s="86"/>
      <x:c r="U295" s="86"/>
      <x:c r="V295" s="32"/>
    </x:row>
    <x:row r="296">
      <x:c r="A296" s="87"/>
      <x:c r="B296" s="88"/>
      <x:c r="D296" s="32"/>
      <x:c r="G296" s="74"/>
      <x:c r="H296" s="74"/>
      <x:c r="I296" s="74"/>
      <x:c r="J296" s="74"/>
      <x:c r="K296" s="74"/>
      <x:c r="L296" s="74"/>
      <x:c r="M296" s="91"/>
      <x:c r="N296" s="91"/>
      <x:c r="O296" s="85"/>
      <x:c r="P296" s="85"/>
      <x:c r="Q296" s="85"/>
      <x:c r="R296" s="85"/>
      <x:c r="T296" s="86"/>
      <x:c r="U296" s="86"/>
      <x:c r="V296" s="32"/>
    </x:row>
    <x:row r="297">
      <x:c r="A297" s="87"/>
      <x:c r="B297" s="88"/>
      <x:c r="D297" s="32"/>
      <x:c r="G297" s="74"/>
      <x:c r="H297" s="74"/>
      <x:c r="I297" s="74"/>
      <x:c r="J297" s="74"/>
      <x:c r="K297" s="74"/>
      <x:c r="L297" s="74"/>
      <x:c r="M297" s="91"/>
      <x:c r="N297" s="91"/>
      <x:c r="O297" s="85"/>
      <x:c r="P297" s="85"/>
      <x:c r="Q297" s="85"/>
      <x:c r="R297" s="85"/>
      <x:c r="T297" s="86"/>
      <x:c r="U297" s="86"/>
      <x:c r="V297" s="32"/>
    </x:row>
    <x:row r="298">
      <x:c r="A298" s="87"/>
      <x:c r="B298" s="88"/>
      <x:c r="D298" s="32"/>
      <x:c r="G298" s="74"/>
      <x:c r="H298" s="74"/>
      <x:c r="I298" s="74"/>
      <x:c r="J298" s="74"/>
      <x:c r="K298" s="74"/>
      <x:c r="L298" s="74"/>
      <x:c r="M298" s="91"/>
      <x:c r="N298" s="91"/>
      <x:c r="O298" s="85"/>
      <x:c r="P298" s="85"/>
      <x:c r="Q298" s="85"/>
      <x:c r="R298" s="85"/>
      <x:c r="T298" s="86"/>
      <x:c r="U298" s="86"/>
      <x:c r="V298" s="32"/>
    </x:row>
    <x:row r="299">
      <x:c r="A299" s="87"/>
      <x:c r="B299" s="88"/>
      <x:c r="D299" s="32"/>
      <x:c r="G299" s="74"/>
      <x:c r="H299" s="74"/>
      <x:c r="I299" s="74"/>
      <x:c r="J299" s="74"/>
      <x:c r="K299" s="74"/>
      <x:c r="L299" s="74"/>
      <x:c r="M299" s="91"/>
      <x:c r="N299" s="91"/>
      <x:c r="O299" s="85"/>
      <x:c r="P299" s="85"/>
      <x:c r="Q299" s="85"/>
      <x:c r="R299" s="85"/>
      <x:c r="T299" s="86"/>
      <x:c r="U299" s="86"/>
      <x:c r="V299" s="32"/>
    </x:row>
    <x:row r="300">
      <x:c r="A300" s="87"/>
      <x:c r="B300" s="88"/>
      <x:c r="D300" s="32"/>
      <x:c r="G300" s="74"/>
      <x:c r="H300" s="74"/>
      <x:c r="I300" s="74"/>
      <x:c r="J300" s="74"/>
      <x:c r="K300" s="74"/>
      <x:c r="L300" s="74"/>
      <x:c r="M300" s="91"/>
      <x:c r="N300" s="91"/>
      <x:c r="O300" s="85"/>
      <x:c r="P300" s="85"/>
      <x:c r="Q300" s="85"/>
      <x:c r="R300" s="85"/>
      <x:c r="T300" s="86"/>
      <x:c r="U300" s="86"/>
      <x:c r="V300" s="32"/>
    </x:row>
    <x:row r="301">
      <x:c r="A301" s="87"/>
      <x:c r="B301" s="88"/>
      <x:c r="D301" s="32"/>
      <x:c r="G301" s="74"/>
      <x:c r="H301" s="74"/>
      <x:c r="I301" s="74"/>
      <x:c r="J301" s="74"/>
      <x:c r="K301" s="74"/>
      <x:c r="L301" s="74"/>
      <x:c r="M301" s="91"/>
      <x:c r="N301" s="91"/>
      <x:c r="O301" s="85"/>
      <x:c r="P301" s="85"/>
      <x:c r="Q301" s="85"/>
      <x:c r="R301" s="85"/>
      <x:c r="T301" s="86"/>
      <x:c r="U301" s="86"/>
      <x:c r="V301" s="32"/>
    </x:row>
    <x:row r="302">
      <x:c r="A302" s="87"/>
      <x:c r="B302" s="88"/>
      <x:c r="D302" s="32"/>
      <x:c r="G302" s="74"/>
      <x:c r="H302" s="74"/>
      <x:c r="I302" s="74"/>
      <x:c r="J302" s="74"/>
      <x:c r="K302" s="74"/>
      <x:c r="L302" s="74"/>
      <x:c r="M302" s="91"/>
      <x:c r="N302" s="91"/>
      <x:c r="O302" s="85"/>
      <x:c r="P302" s="85"/>
      <x:c r="Q302" s="85"/>
      <x:c r="R302" s="85"/>
      <x:c r="T302" s="86"/>
      <x:c r="U302" s="86"/>
      <x:c r="V302" s="32"/>
    </x:row>
    <x:row r="303">
      <x:c r="A303" s="87"/>
      <x:c r="B303" s="88"/>
      <x:c r="D303" s="32"/>
      <x:c r="G303" s="74"/>
      <x:c r="H303" s="74"/>
      <x:c r="I303" s="74"/>
      <x:c r="J303" s="74"/>
      <x:c r="K303" s="74"/>
      <x:c r="L303" s="74"/>
      <x:c r="M303" s="91"/>
      <x:c r="N303" s="91"/>
      <x:c r="O303" s="85"/>
      <x:c r="P303" s="85"/>
      <x:c r="Q303" s="85"/>
      <x:c r="R303" s="85"/>
      <x:c r="T303" s="86"/>
      <x:c r="U303" s="86"/>
      <x:c r="V303" s="32"/>
    </x:row>
    <x:row r="304">
      <x:c r="A304" s="87"/>
      <x:c r="B304" s="88"/>
      <x:c r="D304" s="32"/>
      <x:c r="G304" s="74"/>
      <x:c r="H304" s="74"/>
      <x:c r="I304" s="74"/>
      <x:c r="J304" s="74"/>
      <x:c r="K304" s="74"/>
      <x:c r="L304" s="74"/>
      <x:c r="M304" s="91"/>
      <x:c r="N304" s="91"/>
      <x:c r="O304" s="85"/>
      <x:c r="P304" s="85"/>
      <x:c r="Q304" s="85"/>
      <x:c r="R304" s="85"/>
      <x:c r="T304" s="86"/>
      <x:c r="U304" s="86"/>
      <x:c r="V304" s="32"/>
    </x:row>
    <x:row r="305">
      <x:c r="A305" s="87"/>
      <x:c r="B305" s="88"/>
      <x:c r="D305" s="32"/>
      <x:c r="G305" s="74"/>
      <x:c r="H305" s="74"/>
      <x:c r="I305" s="74"/>
      <x:c r="J305" s="74"/>
      <x:c r="K305" s="74"/>
      <x:c r="L305" s="74"/>
      <x:c r="M305" s="91"/>
      <x:c r="N305" s="91"/>
      <x:c r="O305" s="85"/>
      <x:c r="P305" s="85"/>
      <x:c r="Q305" s="85"/>
      <x:c r="R305" s="85"/>
      <x:c r="T305" s="86"/>
      <x:c r="U305" s="86"/>
      <x:c r="V305" s="32"/>
    </x:row>
    <x:row r="306">
      <x:c r="A306" s="87"/>
      <x:c r="B306" s="88"/>
      <x:c r="D306" s="32"/>
      <x:c r="G306" s="74"/>
      <x:c r="H306" s="74"/>
      <x:c r="I306" s="74"/>
      <x:c r="J306" s="74"/>
      <x:c r="K306" s="74"/>
      <x:c r="L306" s="74"/>
      <x:c r="M306" s="91"/>
      <x:c r="N306" s="91"/>
      <x:c r="O306" s="85"/>
      <x:c r="P306" s="85"/>
      <x:c r="Q306" s="85"/>
      <x:c r="R306" s="85"/>
      <x:c r="T306" s="86"/>
      <x:c r="U306" s="86"/>
      <x:c r="V306" s="32"/>
    </x:row>
    <x:row r="307">
      <x:c r="A307" s="87"/>
      <x:c r="B307" s="88"/>
      <x:c r="D307" s="32"/>
      <x:c r="G307" s="74"/>
      <x:c r="H307" s="74"/>
      <x:c r="I307" s="74"/>
      <x:c r="J307" s="74"/>
      <x:c r="K307" s="74"/>
      <x:c r="L307" s="74"/>
      <x:c r="M307" s="91"/>
      <x:c r="N307" s="91"/>
      <x:c r="O307" s="85"/>
      <x:c r="P307" s="85"/>
      <x:c r="Q307" s="85"/>
      <x:c r="R307" s="85"/>
      <x:c r="T307" s="86"/>
      <x:c r="U307" s="86"/>
      <x:c r="V307" s="32"/>
    </x:row>
    <x:row r="308">
      <x:c r="A308" s="87"/>
      <x:c r="B308" s="88"/>
      <x:c r="D308" s="32"/>
      <x:c r="G308" s="74"/>
      <x:c r="H308" s="74"/>
      <x:c r="I308" s="74"/>
      <x:c r="J308" s="74"/>
      <x:c r="K308" s="74"/>
      <x:c r="L308" s="74"/>
      <x:c r="M308" s="91"/>
      <x:c r="N308" s="91"/>
      <x:c r="O308" s="85"/>
      <x:c r="P308" s="85"/>
      <x:c r="Q308" s="85"/>
      <x:c r="R308" s="85"/>
      <x:c r="T308" s="86"/>
      <x:c r="U308" s="86"/>
      <x:c r="V308" s="32"/>
    </x:row>
    <x:row r="309">
      <x:c r="A309" s="87"/>
      <x:c r="B309" s="88"/>
      <x:c r="D309" s="32"/>
      <x:c r="G309" s="74"/>
      <x:c r="H309" s="74"/>
      <x:c r="I309" s="74"/>
      <x:c r="J309" s="74"/>
      <x:c r="K309" s="74"/>
      <x:c r="L309" s="74"/>
      <x:c r="M309" s="91"/>
      <x:c r="N309" s="91"/>
      <x:c r="O309" s="85"/>
      <x:c r="P309" s="85"/>
      <x:c r="Q309" s="85"/>
      <x:c r="R309" s="85"/>
      <x:c r="T309" s="86"/>
      <x:c r="U309" s="86"/>
      <x:c r="V309" s="32"/>
    </x:row>
    <x:row r="310">
      <x:c r="A310" s="87"/>
      <x:c r="B310" s="88"/>
      <x:c r="D310" s="32"/>
      <x:c r="G310" s="74"/>
      <x:c r="H310" s="74"/>
      <x:c r="I310" s="74"/>
      <x:c r="J310" s="74"/>
      <x:c r="K310" s="74"/>
      <x:c r="L310" s="74"/>
      <x:c r="M310" s="91"/>
      <x:c r="N310" s="91"/>
      <x:c r="O310" s="85"/>
      <x:c r="P310" s="85"/>
      <x:c r="Q310" s="85"/>
      <x:c r="R310" s="85"/>
      <x:c r="T310" s="86"/>
      <x:c r="U310" s="86"/>
      <x:c r="V310" s="32"/>
    </x:row>
    <x:row r="311">
      <x:c r="A311" s="87"/>
      <x:c r="B311" s="88"/>
      <x:c r="D311" s="32"/>
      <x:c r="G311" s="74"/>
      <x:c r="H311" s="74"/>
      <x:c r="I311" s="74"/>
      <x:c r="J311" s="74"/>
      <x:c r="K311" s="74"/>
      <x:c r="L311" s="74"/>
      <x:c r="M311" s="91"/>
      <x:c r="N311" s="91"/>
      <x:c r="O311" s="85"/>
      <x:c r="P311" s="85"/>
      <x:c r="Q311" s="85"/>
      <x:c r="R311" s="85"/>
      <x:c r="T311" s="86"/>
      <x:c r="U311" s="86"/>
      <x:c r="V311" s="32"/>
    </x:row>
    <x:row r="312">
      <x:c r="A312" s="87"/>
      <x:c r="B312" s="88"/>
      <x:c r="D312" s="32"/>
      <x:c r="G312" s="74"/>
      <x:c r="H312" s="74"/>
      <x:c r="I312" s="74"/>
      <x:c r="J312" s="74"/>
      <x:c r="K312" s="74"/>
      <x:c r="L312" s="74"/>
      <x:c r="M312" s="91"/>
      <x:c r="N312" s="91"/>
      <x:c r="O312" s="85"/>
      <x:c r="P312" s="85"/>
      <x:c r="Q312" s="85"/>
      <x:c r="R312" s="85"/>
      <x:c r="T312" s="86"/>
      <x:c r="U312" s="86"/>
      <x:c r="V312" s="32"/>
    </x:row>
    <x:row r="313">
      <x:c r="A313" s="87"/>
      <x:c r="B313" s="88"/>
      <x:c r="D313" s="32"/>
      <x:c r="G313" s="74"/>
      <x:c r="H313" s="74"/>
      <x:c r="I313" s="74"/>
      <x:c r="J313" s="74"/>
      <x:c r="K313" s="74"/>
      <x:c r="L313" s="74"/>
      <x:c r="M313" s="91"/>
      <x:c r="N313" s="91"/>
      <x:c r="O313" s="85"/>
      <x:c r="P313" s="85"/>
      <x:c r="Q313" s="85"/>
      <x:c r="R313" s="85"/>
      <x:c r="T313" s="86"/>
      <x:c r="U313" s="86"/>
      <x:c r="V313" s="32"/>
    </x:row>
    <x:row r="314">
      <x:c r="A314" s="87"/>
      <x:c r="B314" s="88"/>
      <x:c r="D314" s="32"/>
      <x:c r="G314" s="74"/>
      <x:c r="H314" s="74"/>
      <x:c r="I314" s="74"/>
      <x:c r="J314" s="74"/>
      <x:c r="K314" s="74"/>
      <x:c r="L314" s="74"/>
      <x:c r="M314" s="91"/>
      <x:c r="N314" s="91"/>
      <x:c r="O314" s="85"/>
      <x:c r="P314" s="85"/>
      <x:c r="Q314" s="85"/>
      <x:c r="R314" s="85"/>
      <x:c r="T314" s="86"/>
      <x:c r="U314" s="86"/>
      <x:c r="V314" s="32"/>
    </x:row>
    <x:row r="315">
      <x:c r="A315" s="87"/>
      <x:c r="B315" s="88"/>
      <x:c r="D315" s="32"/>
      <x:c r="G315" s="74"/>
      <x:c r="H315" s="74"/>
      <x:c r="I315" s="74"/>
      <x:c r="J315" s="74"/>
      <x:c r="K315" s="74"/>
      <x:c r="L315" s="74"/>
      <x:c r="M315" s="91"/>
      <x:c r="N315" s="91"/>
      <x:c r="O315" s="85"/>
      <x:c r="P315" s="85"/>
      <x:c r="Q315" s="85"/>
      <x:c r="R315" s="85"/>
      <x:c r="T315" s="86"/>
      <x:c r="U315" s="86"/>
      <x:c r="V315" s="32"/>
    </x:row>
    <x:row r="316">
      <x:c r="A316" s="87"/>
      <x:c r="B316" s="88"/>
      <x:c r="D316" s="32"/>
      <x:c r="G316" s="74"/>
      <x:c r="H316" s="74"/>
      <x:c r="I316" s="74"/>
      <x:c r="J316" s="74"/>
      <x:c r="K316" s="74"/>
      <x:c r="L316" s="74"/>
      <x:c r="M316" s="91"/>
      <x:c r="N316" s="91"/>
      <x:c r="O316" s="85"/>
      <x:c r="P316" s="85"/>
      <x:c r="Q316" s="85"/>
      <x:c r="R316" s="85"/>
      <x:c r="T316" s="86"/>
      <x:c r="U316" s="86"/>
      <x:c r="V316" s="32"/>
    </x:row>
    <x:row r="317">
      <x:c r="A317" s="87"/>
      <x:c r="B317" s="88"/>
      <x:c r="D317" s="32"/>
      <x:c r="G317" s="74"/>
      <x:c r="H317" s="74"/>
      <x:c r="I317" s="74"/>
      <x:c r="J317" s="74"/>
      <x:c r="K317" s="74"/>
      <x:c r="L317" s="74"/>
      <x:c r="M317" s="91"/>
      <x:c r="N317" s="91"/>
      <x:c r="O317" s="85"/>
      <x:c r="P317" s="85"/>
      <x:c r="Q317" s="85"/>
      <x:c r="R317" s="85"/>
      <x:c r="T317" s="86"/>
      <x:c r="U317" s="86"/>
      <x:c r="V317" s="32"/>
    </x:row>
    <x:row r="318">
      <x:c r="A318" s="87"/>
      <x:c r="B318" s="88"/>
      <x:c r="D318" s="32"/>
      <x:c r="G318" s="74"/>
      <x:c r="H318" s="74"/>
      <x:c r="I318" s="74"/>
      <x:c r="J318" s="74"/>
      <x:c r="K318" s="74"/>
      <x:c r="L318" s="74"/>
      <x:c r="M318" s="91"/>
      <x:c r="N318" s="91"/>
      <x:c r="O318" s="85"/>
      <x:c r="P318" s="85"/>
      <x:c r="Q318" s="85"/>
      <x:c r="R318" s="85"/>
      <x:c r="T318" s="86"/>
      <x:c r="U318" s="86"/>
      <x:c r="V318" s="32"/>
    </x:row>
    <x:row r="319">
      <x:c r="A319" s="87"/>
      <x:c r="B319" s="88"/>
      <x:c r="D319" s="32"/>
      <x:c r="G319" s="74"/>
      <x:c r="H319" s="74"/>
      <x:c r="I319" s="74"/>
      <x:c r="J319" s="74"/>
      <x:c r="K319" s="74"/>
      <x:c r="L319" s="74"/>
      <x:c r="M319" s="91"/>
      <x:c r="N319" s="91"/>
      <x:c r="O319" s="85"/>
      <x:c r="P319" s="85"/>
      <x:c r="Q319" s="85"/>
      <x:c r="R319" s="85"/>
      <x:c r="T319" s="86"/>
      <x:c r="U319" s="86"/>
      <x:c r="V319" s="32"/>
    </x:row>
    <x:row r="320">
      <x:c r="A320" s="87"/>
      <x:c r="B320" s="88"/>
      <x:c r="D320" s="32"/>
      <x:c r="G320" s="74"/>
      <x:c r="H320" s="74"/>
      <x:c r="I320" s="74"/>
      <x:c r="J320" s="74"/>
      <x:c r="K320" s="74"/>
      <x:c r="L320" s="74"/>
      <x:c r="M320" s="91"/>
      <x:c r="N320" s="91"/>
      <x:c r="O320" s="85"/>
      <x:c r="P320" s="85"/>
      <x:c r="Q320" s="85"/>
      <x:c r="R320" s="85"/>
      <x:c r="T320" s="86"/>
      <x:c r="U320" s="86"/>
      <x:c r="V320" s="32"/>
    </x:row>
    <x:row r="321">
      <x:c r="A321" s="87"/>
      <x:c r="B321" s="88"/>
      <x:c r="D321" s="32"/>
      <x:c r="G321" s="74"/>
      <x:c r="H321" s="74"/>
      <x:c r="I321" s="74"/>
      <x:c r="J321" s="74"/>
      <x:c r="K321" s="74"/>
      <x:c r="L321" s="74"/>
      <x:c r="M321" s="91"/>
      <x:c r="N321" s="91"/>
      <x:c r="O321" s="85"/>
      <x:c r="P321" s="85"/>
      <x:c r="Q321" s="85"/>
      <x:c r="R321" s="85"/>
      <x:c r="T321" s="86"/>
      <x:c r="U321" s="86"/>
      <x:c r="V321" s="32"/>
    </x:row>
    <x:row r="322">
      <x:c r="A322" s="87"/>
      <x:c r="B322" s="88"/>
      <x:c r="D322" s="32"/>
      <x:c r="G322" s="74"/>
      <x:c r="H322" s="74"/>
      <x:c r="I322" s="74"/>
      <x:c r="J322" s="74"/>
      <x:c r="K322" s="74"/>
      <x:c r="L322" s="74"/>
      <x:c r="M322" s="91"/>
      <x:c r="N322" s="91"/>
      <x:c r="O322" s="85"/>
      <x:c r="P322" s="85"/>
      <x:c r="Q322" s="85"/>
      <x:c r="R322" s="85"/>
      <x:c r="T322" s="86"/>
      <x:c r="U322" s="86"/>
      <x:c r="V322" s="32"/>
    </x:row>
    <x:row r="323">
      <x:c r="A323" s="87"/>
      <x:c r="B323" s="88"/>
      <x:c r="D323" s="32"/>
      <x:c r="G323" s="74"/>
      <x:c r="H323" s="74"/>
      <x:c r="I323" s="74"/>
      <x:c r="J323" s="74"/>
      <x:c r="K323" s="74"/>
      <x:c r="L323" s="74"/>
      <x:c r="M323" s="91"/>
      <x:c r="N323" s="91"/>
      <x:c r="O323" s="85"/>
      <x:c r="P323" s="85"/>
      <x:c r="Q323" s="85"/>
      <x:c r="R323" s="85"/>
      <x:c r="T323" s="86"/>
      <x:c r="U323" s="86"/>
      <x:c r="V323" s="32"/>
    </x:row>
    <x:row r="324">
      <x:c r="A324" s="87"/>
      <x:c r="B324" s="88"/>
      <x:c r="D324" s="32"/>
      <x:c r="G324" s="74"/>
      <x:c r="H324" s="74"/>
      <x:c r="I324" s="74"/>
      <x:c r="J324" s="74"/>
      <x:c r="K324" s="74"/>
      <x:c r="L324" s="74"/>
      <x:c r="M324" s="91"/>
      <x:c r="N324" s="91"/>
      <x:c r="O324" s="85"/>
      <x:c r="P324" s="85"/>
      <x:c r="Q324" s="85"/>
      <x:c r="R324" s="85"/>
      <x:c r="T324" s="86"/>
      <x:c r="U324" s="86"/>
      <x:c r="V324" s="32"/>
    </x:row>
    <x:row r="325">
      <x:c r="A325" s="87"/>
      <x:c r="B325" s="88"/>
      <x:c r="D325" s="32"/>
      <x:c r="G325" s="74"/>
      <x:c r="H325" s="74"/>
      <x:c r="I325" s="74"/>
      <x:c r="J325" s="74"/>
      <x:c r="K325" s="74"/>
      <x:c r="L325" s="74"/>
      <x:c r="M325" s="91"/>
      <x:c r="N325" s="91"/>
      <x:c r="O325" s="85"/>
      <x:c r="P325" s="85"/>
      <x:c r="Q325" s="85"/>
      <x:c r="R325" s="85"/>
      <x:c r="T325" s="86"/>
      <x:c r="U325" s="86"/>
      <x:c r="V325" s="32"/>
    </x:row>
    <x:row r="326">
      <x:c r="A326" s="87"/>
      <x:c r="B326" s="88"/>
      <x:c r="D326" s="32"/>
      <x:c r="G326" s="74"/>
      <x:c r="H326" s="74"/>
      <x:c r="I326" s="74"/>
      <x:c r="J326" s="74"/>
      <x:c r="K326" s="74"/>
      <x:c r="L326" s="74"/>
      <x:c r="M326" s="91"/>
      <x:c r="N326" s="91"/>
      <x:c r="O326" s="85"/>
      <x:c r="P326" s="85"/>
      <x:c r="Q326" s="85"/>
      <x:c r="R326" s="85"/>
      <x:c r="T326" s="86"/>
      <x:c r="U326" s="86"/>
      <x:c r="V326" s="32"/>
    </x:row>
    <x:row r="327">
      <x:c r="A327" s="87"/>
      <x:c r="B327" s="88"/>
      <x:c r="D327" s="32"/>
      <x:c r="G327" s="74"/>
      <x:c r="H327" s="74"/>
      <x:c r="I327" s="74"/>
      <x:c r="J327" s="74"/>
      <x:c r="K327" s="74"/>
      <x:c r="L327" s="74"/>
      <x:c r="M327" s="91"/>
      <x:c r="N327" s="91"/>
      <x:c r="O327" s="85"/>
      <x:c r="P327" s="85"/>
      <x:c r="Q327" s="85"/>
      <x:c r="R327" s="85"/>
      <x:c r="T327" s="86"/>
      <x:c r="U327" s="86"/>
      <x:c r="V327" s="32"/>
    </x:row>
    <x:row r="328">
      <x:c r="A328" s="87"/>
      <x:c r="B328" s="88"/>
      <x:c r="D328" s="32"/>
      <x:c r="G328" s="74"/>
      <x:c r="H328" s="74"/>
      <x:c r="I328" s="74"/>
      <x:c r="J328" s="74"/>
      <x:c r="K328" s="74"/>
      <x:c r="L328" s="74"/>
      <x:c r="M328" s="91"/>
      <x:c r="N328" s="91"/>
      <x:c r="O328" s="85"/>
      <x:c r="P328" s="85"/>
      <x:c r="Q328" s="85"/>
      <x:c r="R328" s="85"/>
      <x:c r="T328" s="86"/>
      <x:c r="U328" s="86"/>
      <x:c r="V328" s="32"/>
    </x:row>
    <x:row r="329">
      <x:c r="A329" s="87"/>
      <x:c r="B329" s="88"/>
      <x:c r="D329" s="32"/>
      <x:c r="G329" s="74"/>
      <x:c r="H329" s="74"/>
      <x:c r="I329" s="74"/>
      <x:c r="J329" s="74"/>
      <x:c r="K329" s="74"/>
      <x:c r="L329" s="74"/>
      <x:c r="M329" s="91"/>
      <x:c r="N329" s="91"/>
      <x:c r="O329" s="85"/>
      <x:c r="P329" s="85"/>
      <x:c r="Q329" s="85"/>
      <x:c r="R329" s="85"/>
      <x:c r="T329" s="86"/>
      <x:c r="U329" s="86"/>
      <x:c r="V329" s="32"/>
    </x:row>
    <x:row r="330">
      <x:c r="A330" s="87"/>
      <x:c r="B330" s="88"/>
      <x:c r="D330" s="32"/>
      <x:c r="G330" s="74"/>
      <x:c r="H330" s="74"/>
      <x:c r="I330" s="74"/>
      <x:c r="J330" s="74"/>
      <x:c r="K330" s="74"/>
      <x:c r="L330" s="74"/>
      <x:c r="M330" s="91"/>
      <x:c r="N330" s="91"/>
      <x:c r="O330" s="85"/>
      <x:c r="P330" s="85"/>
      <x:c r="Q330" s="85"/>
      <x:c r="R330" s="85"/>
      <x:c r="T330" s="86"/>
      <x:c r="U330" s="86"/>
      <x:c r="V330" s="32"/>
    </x:row>
    <x:row r="331">
      <x:c r="A331" s="87"/>
      <x:c r="B331" s="88"/>
      <x:c r="D331" s="32"/>
      <x:c r="G331" s="74"/>
      <x:c r="H331" s="74"/>
      <x:c r="I331" s="74"/>
      <x:c r="J331" s="74"/>
      <x:c r="K331" s="74"/>
      <x:c r="L331" s="74"/>
      <x:c r="M331" s="91"/>
      <x:c r="N331" s="91"/>
      <x:c r="O331" s="85"/>
      <x:c r="P331" s="85"/>
      <x:c r="Q331" s="85"/>
      <x:c r="R331" s="85"/>
      <x:c r="T331" s="86"/>
      <x:c r="U331" s="86"/>
      <x:c r="V331" s="32"/>
    </x:row>
    <x:row r="332">
      <x:c r="A332" s="87"/>
      <x:c r="B332" s="88"/>
      <x:c r="D332" s="32"/>
      <x:c r="G332" s="74"/>
      <x:c r="H332" s="74"/>
      <x:c r="I332" s="74"/>
      <x:c r="J332" s="74"/>
      <x:c r="K332" s="74"/>
      <x:c r="L332" s="74"/>
      <x:c r="M332" s="91"/>
      <x:c r="N332" s="91"/>
      <x:c r="O332" s="85"/>
      <x:c r="P332" s="85"/>
      <x:c r="Q332" s="85"/>
      <x:c r="R332" s="85"/>
      <x:c r="T332" s="86"/>
      <x:c r="U332" s="86"/>
      <x:c r="V332" s="32"/>
    </x:row>
    <x:row r="333">
      <x:c r="A333" s="87"/>
      <x:c r="B333" s="88"/>
      <x:c r="D333" s="32"/>
      <x:c r="G333" s="74"/>
      <x:c r="H333" s="74"/>
      <x:c r="I333" s="74"/>
      <x:c r="J333" s="74"/>
      <x:c r="K333" s="74"/>
      <x:c r="L333" s="74"/>
      <x:c r="M333" s="91"/>
      <x:c r="N333" s="91"/>
      <x:c r="O333" s="85"/>
      <x:c r="P333" s="85"/>
      <x:c r="Q333" s="85"/>
      <x:c r="R333" s="85"/>
      <x:c r="T333" s="86"/>
      <x:c r="U333" s="86"/>
      <x:c r="V333" s="32"/>
    </x:row>
    <x:row r="334">
      <x:c r="A334" s="87"/>
      <x:c r="B334" s="88"/>
      <x:c r="D334" s="32"/>
      <x:c r="G334" s="74"/>
      <x:c r="H334" s="74"/>
      <x:c r="I334" s="74"/>
      <x:c r="J334" s="74"/>
      <x:c r="K334" s="74"/>
      <x:c r="L334" s="74"/>
      <x:c r="M334" s="91"/>
      <x:c r="N334" s="91"/>
      <x:c r="O334" s="85"/>
      <x:c r="P334" s="85"/>
      <x:c r="Q334" s="85"/>
      <x:c r="R334" s="85"/>
      <x:c r="T334" s="86"/>
      <x:c r="U334" s="86"/>
      <x:c r="V334" s="32"/>
    </x:row>
    <x:row r="335">
      <x:c r="A335" s="87"/>
      <x:c r="B335" s="88"/>
      <x:c r="D335" s="32"/>
      <x:c r="G335" s="74"/>
      <x:c r="H335" s="74"/>
      <x:c r="I335" s="74"/>
      <x:c r="J335" s="74"/>
      <x:c r="K335" s="74"/>
      <x:c r="L335" s="74"/>
      <x:c r="M335" s="91"/>
      <x:c r="N335" s="91"/>
      <x:c r="O335" s="85"/>
      <x:c r="P335" s="85"/>
      <x:c r="Q335" s="85"/>
      <x:c r="R335" s="85"/>
      <x:c r="T335" s="86"/>
      <x:c r="U335" s="86"/>
      <x:c r="V335" s="32"/>
    </x:row>
    <x:row r="336">
      <x:c r="A336" s="87"/>
      <x:c r="B336" s="88"/>
      <x:c r="D336" s="32"/>
      <x:c r="G336" s="74"/>
      <x:c r="H336" s="74"/>
      <x:c r="I336" s="74"/>
      <x:c r="J336" s="74"/>
      <x:c r="K336" s="74"/>
      <x:c r="L336" s="74"/>
      <x:c r="M336" s="91"/>
      <x:c r="N336" s="91"/>
      <x:c r="O336" s="85"/>
      <x:c r="P336" s="85"/>
      <x:c r="Q336" s="85"/>
      <x:c r="R336" s="85"/>
      <x:c r="T336" s="86"/>
      <x:c r="U336" s="86"/>
      <x:c r="V336" s="32"/>
    </x:row>
    <x:row r="337">
      <x:c r="A337" s="87"/>
      <x:c r="B337" s="88"/>
      <x:c r="D337" s="32"/>
      <x:c r="G337" s="74"/>
      <x:c r="H337" s="74"/>
      <x:c r="I337" s="74"/>
      <x:c r="J337" s="74"/>
      <x:c r="K337" s="74"/>
      <x:c r="L337" s="74"/>
      <x:c r="M337" s="91"/>
      <x:c r="N337" s="91"/>
      <x:c r="O337" s="85"/>
      <x:c r="P337" s="85"/>
      <x:c r="Q337" s="85"/>
      <x:c r="R337" s="85"/>
      <x:c r="T337" s="86"/>
      <x:c r="U337" s="86"/>
      <x:c r="V337" s="32"/>
    </x:row>
    <x:row r="338">
      <x:c r="A338" s="87"/>
      <x:c r="B338" s="88"/>
      <x:c r="D338" s="32"/>
      <x:c r="G338" s="74"/>
      <x:c r="H338" s="74"/>
      <x:c r="I338" s="74"/>
      <x:c r="J338" s="74"/>
      <x:c r="K338" s="74"/>
      <x:c r="L338" s="74"/>
      <x:c r="M338" s="91"/>
      <x:c r="N338" s="91"/>
      <x:c r="O338" s="85"/>
      <x:c r="P338" s="85"/>
      <x:c r="Q338" s="85"/>
      <x:c r="R338" s="85"/>
      <x:c r="T338" s="86"/>
      <x:c r="U338" s="86"/>
      <x:c r="V338" s="32"/>
    </x:row>
    <x:row r="339">
      <x:c r="A339" s="87"/>
      <x:c r="B339" s="88"/>
      <x:c r="D339" s="32"/>
      <x:c r="G339" s="74"/>
      <x:c r="H339" s="74"/>
      <x:c r="I339" s="74"/>
      <x:c r="J339" s="74"/>
      <x:c r="K339" s="74"/>
      <x:c r="L339" s="74"/>
      <x:c r="M339" s="91"/>
      <x:c r="N339" s="91"/>
      <x:c r="O339" s="85"/>
      <x:c r="P339" s="85"/>
      <x:c r="Q339" s="85"/>
      <x:c r="R339" s="85"/>
      <x:c r="T339" s="86"/>
      <x:c r="U339" s="86"/>
      <x:c r="V339" s="32"/>
    </x:row>
    <x:row r="340">
      <x:c r="A340" s="87"/>
      <x:c r="B340" s="88"/>
      <x:c r="D340" s="32"/>
      <x:c r="G340" s="74"/>
      <x:c r="H340" s="74"/>
      <x:c r="I340" s="74"/>
      <x:c r="J340" s="74"/>
      <x:c r="K340" s="74"/>
      <x:c r="L340" s="74"/>
      <x:c r="M340" s="91"/>
      <x:c r="N340" s="91"/>
      <x:c r="O340" s="85"/>
      <x:c r="P340" s="85"/>
      <x:c r="Q340" s="85"/>
      <x:c r="R340" s="85"/>
      <x:c r="T340" s="86"/>
      <x:c r="U340" s="86"/>
      <x:c r="V340" s="32"/>
    </x:row>
    <x:row r="341">
      <x:c r="A341" s="87"/>
      <x:c r="B341" s="88"/>
      <x:c r="D341" s="32"/>
      <x:c r="G341" s="74"/>
      <x:c r="H341" s="74"/>
      <x:c r="I341" s="74"/>
      <x:c r="J341" s="74"/>
      <x:c r="K341" s="74"/>
      <x:c r="L341" s="74"/>
      <x:c r="M341" s="91"/>
      <x:c r="N341" s="91"/>
      <x:c r="O341" s="85"/>
      <x:c r="P341" s="85"/>
      <x:c r="Q341" s="85"/>
      <x:c r="R341" s="85"/>
      <x:c r="T341" s="86"/>
      <x:c r="U341" s="86"/>
      <x:c r="V341" s="32"/>
    </x:row>
    <x:row r="342">
      <x:c r="A342" s="87"/>
      <x:c r="B342" s="88"/>
      <x:c r="D342" s="32"/>
      <x:c r="G342" s="74"/>
      <x:c r="H342" s="74"/>
      <x:c r="I342" s="74"/>
      <x:c r="J342" s="74"/>
      <x:c r="K342" s="74"/>
      <x:c r="L342" s="74"/>
      <x:c r="M342" s="91"/>
      <x:c r="N342" s="91"/>
      <x:c r="O342" s="85"/>
      <x:c r="P342" s="85"/>
      <x:c r="Q342" s="85"/>
      <x:c r="R342" s="85"/>
      <x:c r="T342" s="86"/>
      <x:c r="U342" s="86"/>
      <x:c r="V342" s="32"/>
    </x:row>
    <x:row r="343">
      <x:c r="A343" s="87"/>
      <x:c r="B343" s="88"/>
      <x:c r="D343" s="32"/>
      <x:c r="G343" s="74"/>
      <x:c r="H343" s="74"/>
      <x:c r="I343" s="74"/>
      <x:c r="J343" s="74"/>
      <x:c r="K343" s="74"/>
      <x:c r="L343" s="74"/>
      <x:c r="M343" s="91"/>
      <x:c r="N343" s="91"/>
      <x:c r="O343" s="85"/>
      <x:c r="P343" s="85"/>
      <x:c r="Q343" s="85"/>
      <x:c r="R343" s="85"/>
      <x:c r="T343" s="86"/>
      <x:c r="U343" s="86"/>
      <x:c r="V343" s="32"/>
    </x:row>
    <x:row r="344">
      <x:c r="A344" s="87"/>
      <x:c r="B344" s="88"/>
      <x:c r="D344" s="32"/>
      <x:c r="G344" s="74"/>
      <x:c r="H344" s="74"/>
      <x:c r="I344" s="74"/>
      <x:c r="J344" s="74"/>
      <x:c r="K344" s="74"/>
      <x:c r="L344" s="74"/>
      <x:c r="M344" s="91"/>
      <x:c r="N344" s="91"/>
      <x:c r="O344" s="85"/>
      <x:c r="P344" s="85"/>
      <x:c r="Q344" s="85"/>
      <x:c r="R344" s="85"/>
      <x:c r="T344" s="86"/>
      <x:c r="U344" s="86"/>
      <x:c r="V344" s="32"/>
    </x:row>
    <x:row r="345">
      <x:c r="A345" s="87"/>
      <x:c r="B345" s="88"/>
      <x:c r="D345" s="32"/>
      <x:c r="G345" s="74"/>
      <x:c r="H345" s="74"/>
      <x:c r="I345" s="74"/>
      <x:c r="J345" s="74"/>
      <x:c r="K345" s="74"/>
      <x:c r="L345" s="74"/>
      <x:c r="M345" s="91"/>
      <x:c r="N345" s="91"/>
      <x:c r="O345" s="85"/>
      <x:c r="P345" s="85"/>
      <x:c r="Q345" s="85"/>
      <x:c r="R345" s="85"/>
      <x:c r="T345" s="86"/>
      <x:c r="U345" s="86"/>
      <x:c r="V345" s="32"/>
    </x:row>
    <x:row r="346">
      <x:c r="A346" s="87"/>
      <x:c r="B346" s="88"/>
      <x:c r="D346" s="32"/>
      <x:c r="G346" s="74"/>
      <x:c r="H346" s="74"/>
      <x:c r="I346" s="74"/>
      <x:c r="J346" s="74"/>
      <x:c r="K346" s="74"/>
      <x:c r="L346" s="74"/>
      <x:c r="M346" s="91"/>
      <x:c r="N346" s="91"/>
      <x:c r="O346" s="85"/>
      <x:c r="P346" s="85"/>
      <x:c r="Q346" s="85"/>
      <x:c r="R346" s="85"/>
      <x:c r="T346" s="86"/>
      <x:c r="U346" s="86"/>
      <x:c r="V346" s="32"/>
    </x:row>
    <x:row r="347">
      <x:c r="A347" s="87"/>
      <x:c r="B347" s="88"/>
      <x:c r="D347" s="32"/>
      <x:c r="G347" s="74"/>
      <x:c r="H347" s="74"/>
      <x:c r="I347" s="74"/>
      <x:c r="J347" s="74"/>
      <x:c r="K347" s="74"/>
      <x:c r="L347" s="74"/>
      <x:c r="M347" s="91"/>
      <x:c r="N347" s="91"/>
      <x:c r="O347" s="85"/>
      <x:c r="P347" s="85"/>
      <x:c r="Q347" s="85"/>
      <x:c r="R347" s="85"/>
      <x:c r="T347" s="86"/>
      <x:c r="U347" s="86"/>
      <x:c r="V347" s="32"/>
    </x:row>
    <x:row r="348">
      <x:c r="A348" s="87"/>
      <x:c r="B348" s="88"/>
      <x:c r="D348" s="32"/>
      <x:c r="G348" s="74"/>
      <x:c r="H348" s="74"/>
      <x:c r="I348" s="74"/>
      <x:c r="J348" s="74"/>
      <x:c r="K348" s="74"/>
      <x:c r="L348" s="74"/>
      <x:c r="M348" s="91"/>
      <x:c r="N348" s="91"/>
      <x:c r="O348" s="85"/>
      <x:c r="P348" s="85"/>
      <x:c r="Q348" s="85"/>
      <x:c r="R348" s="85"/>
      <x:c r="T348" s="86"/>
      <x:c r="U348" s="86"/>
      <x:c r="V348" s="32"/>
    </x:row>
    <x:row r="349">
      <x:c r="A349" s="87"/>
      <x:c r="B349" s="88"/>
      <x:c r="D349" s="32"/>
      <x:c r="G349" s="74"/>
      <x:c r="H349" s="74"/>
      <x:c r="I349" s="74"/>
      <x:c r="J349" s="74"/>
      <x:c r="K349" s="74"/>
      <x:c r="L349" s="74"/>
      <x:c r="M349" s="91"/>
      <x:c r="N349" s="91"/>
      <x:c r="O349" s="85"/>
      <x:c r="P349" s="85"/>
      <x:c r="Q349" s="85"/>
      <x:c r="R349" s="85"/>
      <x:c r="T349" s="86"/>
      <x:c r="U349" s="86"/>
      <x:c r="V349" s="32"/>
    </x:row>
    <x:row r="350">
      <x:c r="A350" s="87"/>
      <x:c r="B350" s="88"/>
      <x:c r="D350" s="32"/>
      <x:c r="G350" s="74"/>
      <x:c r="H350" s="74"/>
      <x:c r="I350" s="74"/>
      <x:c r="J350" s="74"/>
      <x:c r="K350" s="74"/>
      <x:c r="L350" s="74"/>
      <x:c r="M350" s="91"/>
      <x:c r="N350" s="91"/>
      <x:c r="O350" s="85"/>
      <x:c r="P350" s="85"/>
      <x:c r="Q350" s="85"/>
      <x:c r="R350" s="85"/>
      <x:c r="T350" s="86"/>
      <x:c r="U350" s="86"/>
      <x:c r="V350" s="32"/>
    </x:row>
    <x:row r="351">
      <x:c r="A351" s="87"/>
      <x:c r="B351" s="88"/>
      <x:c r="D351" s="32"/>
      <x:c r="G351" s="74"/>
      <x:c r="H351" s="74"/>
      <x:c r="I351" s="74"/>
      <x:c r="J351" s="74"/>
      <x:c r="K351" s="74"/>
      <x:c r="L351" s="74"/>
      <x:c r="M351" s="91"/>
      <x:c r="N351" s="91"/>
      <x:c r="O351" s="85"/>
      <x:c r="P351" s="85"/>
      <x:c r="Q351" s="85"/>
      <x:c r="R351" s="85"/>
      <x:c r="T351" s="86"/>
      <x:c r="U351" s="86"/>
      <x:c r="V351" s="32"/>
    </x:row>
    <x:row r="352">
      <x:c r="A352" s="87"/>
      <x:c r="B352" s="88"/>
      <x:c r="D352" s="32"/>
      <x:c r="G352" s="74"/>
      <x:c r="H352" s="74"/>
      <x:c r="I352" s="74"/>
      <x:c r="J352" s="74"/>
      <x:c r="K352" s="74"/>
      <x:c r="L352" s="74"/>
      <x:c r="M352" s="91"/>
      <x:c r="N352" s="91"/>
      <x:c r="O352" s="85"/>
      <x:c r="P352" s="85"/>
      <x:c r="Q352" s="85"/>
      <x:c r="R352" s="85"/>
      <x:c r="T352" s="86"/>
      <x:c r="U352" s="86"/>
      <x:c r="V352" s="32"/>
    </x:row>
    <x:row r="353">
      <x:c r="A353" s="87"/>
      <x:c r="B353" s="88"/>
      <x:c r="D353" s="32"/>
      <x:c r="G353" s="74"/>
      <x:c r="H353" s="74"/>
      <x:c r="I353" s="74"/>
      <x:c r="J353" s="74"/>
      <x:c r="K353" s="74"/>
      <x:c r="L353" s="74"/>
      <x:c r="M353" s="91"/>
      <x:c r="N353" s="91"/>
      <x:c r="O353" s="85"/>
      <x:c r="P353" s="85"/>
      <x:c r="Q353" s="85"/>
      <x:c r="R353" s="85"/>
      <x:c r="T353" s="86"/>
      <x:c r="U353" s="86"/>
      <x:c r="V353" s="32"/>
    </x:row>
    <x:row r="354">
      <x:c r="A354" s="87"/>
      <x:c r="B354" s="88"/>
      <x:c r="D354" s="32"/>
      <x:c r="G354" s="74"/>
      <x:c r="H354" s="74"/>
      <x:c r="I354" s="74"/>
      <x:c r="J354" s="74"/>
      <x:c r="K354" s="74"/>
      <x:c r="L354" s="74"/>
      <x:c r="M354" s="91"/>
      <x:c r="N354" s="91"/>
      <x:c r="O354" s="85"/>
      <x:c r="P354" s="85"/>
      <x:c r="Q354" s="85"/>
      <x:c r="R354" s="85"/>
      <x:c r="T354" s="86"/>
      <x:c r="U354" s="86"/>
      <x:c r="V354" s="32"/>
    </x:row>
    <x:row r="355">
      <x:c r="A355" s="87"/>
      <x:c r="B355" s="88"/>
      <x:c r="D355" s="32"/>
      <x:c r="G355" s="74"/>
      <x:c r="H355" s="74"/>
      <x:c r="I355" s="74"/>
      <x:c r="J355" s="74"/>
      <x:c r="K355" s="74"/>
      <x:c r="L355" s="74"/>
      <x:c r="M355" s="91"/>
      <x:c r="N355" s="91"/>
      <x:c r="O355" s="85"/>
      <x:c r="P355" s="85"/>
      <x:c r="Q355" s="85"/>
      <x:c r="R355" s="85"/>
      <x:c r="T355" s="86"/>
      <x:c r="U355" s="86"/>
      <x:c r="V355" s="32"/>
    </x:row>
    <x:row r="356">
      <x:c r="A356" s="87"/>
      <x:c r="B356" s="88"/>
      <x:c r="D356" s="32"/>
      <x:c r="G356" s="74"/>
      <x:c r="H356" s="74"/>
      <x:c r="I356" s="74"/>
      <x:c r="J356" s="74"/>
      <x:c r="K356" s="74"/>
      <x:c r="L356" s="74"/>
      <x:c r="M356" s="91"/>
      <x:c r="N356" s="91"/>
      <x:c r="O356" s="85"/>
      <x:c r="P356" s="85"/>
      <x:c r="Q356" s="85"/>
      <x:c r="R356" s="85"/>
      <x:c r="T356" s="86"/>
      <x:c r="U356" s="86"/>
      <x:c r="V356" s="32"/>
    </x:row>
    <x:row r="357">
      <x:c r="A357" s="87"/>
      <x:c r="B357" s="88"/>
      <x:c r="D357" s="32"/>
      <x:c r="G357" s="74"/>
      <x:c r="H357" s="74"/>
      <x:c r="I357" s="74"/>
      <x:c r="J357" s="74"/>
      <x:c r="K357" s="74"/>
      <x:c r="L357" s="74"/>
      <x:c r="M357" s="91"/>
      <x:c r="N357" s="91"/>
      <x:c r="O357" s="85"/>
      <x:c r="P357" s="85"/>
      <x:c r="Q357" s="85"/>
      <x:c r="R357" s="85"/>
      <x:c r="T357" s="86"/>
      <x:c r="U357" s="86"/>
      <x:c r="V357" s="32"/>
    </x:row>
    <x:row r="358">
      <x:c r="A358" s="87"/>
      <x:c r="B358" s="88"/>
      <x:c r="D358" s="32"/>
      <x:c r="G358" s="74"/>
      <x:c r="H358" s="74"/>
      <x:c r="I358" s="74"/>
      <x:c r="J358" s="74"/>
      <x:c r="K358" s="74"/>
      <x:c r="L358" s="74"/>
      <x:c r="M358" s="91"/>
      <x:c r="N358" s="91"/>
      <x:c r="O358" s="85"/>
      <x:c r="P358" s="85"/>
      <x:c r="Q358" s="85"/>
      <x:c r="R358" s="85"/>
      <x:c r="T358" s="86"/>
      <x:c r="U358" s="86"/>
      <x:c r="V358" s="32"/>
    </x:row>
    <x:row r="359">
      <x:c r="A359" s="87"/>
      <x:c r="B359" s="88"/>
      <x:c r="D359" s="32"/>
      <x:c r="G359" s="74"/>
      <x:c r="H359" s="74"/>
      <x:c r="I359" s="74"/>
      <x:c r="J359" s="74"/>
      <x:c r="K359" s="74"/>
      <x:c r="L359" s="74"/>
      <x:c r="M359" s="91"/>
      <x:c r="N359" s="91"/>
      <x:c r="O359" s="85"/>
      <x:c r="P359" s="85"/>
      <x:c r="Q359" s="85"/>
      <x:c r="R359" s="85"/>
      <x:c r="T359" s="86"/>
      <x:c r="U359" s="86"/>
      <x:c r="V359" s="32"/>
    </x:row>
    <x:row r="360">
      <x:c r="A360" s="87"/>
      <x:c r="B360" s="88"/>
      <x:c r="D360" s="32"/>
      <x:c r="G360" s="74"/>
      <x:c r="H360" s="74"/>
      <x:c r="I360" s="74"/>
      <x:c r="J360" s="74"/>
      <x:c r="K360" s="74"/>
      <x:c r="L360" s="74"/>
      <x:c r="M360" s="91"/>
      <x:c r="N360" s="91"/>
      <x:c r="O360" s="85"/>
      <x:c r="P360" s="85"/>
      <x:c r="Q360" s="85"/>
      <x:c r="R360" s="85"/>
      <x:c r="T360" s="86"/>
      <x:c r="U360" s="86"/>
      <x:c r="V360" s="32"/>
    </x:row>
    <x:row r="361">
      <x:c r="A361" s="87"/>
      <x:c r="B361" s="88"/>
      <x:c r="D361" s="32"/>
      <x:c r="G361" s="74"/>
      <x:c r="H361" s="74"/>
      <x:c r="I361" s="74"/>
      <x:c r="J361" s="74"/>
      <x:c r="K361" s="74"/>
      <x:c r="L361" s="74"/>
      <x:c r="M361" s="91"/>
      <x:c r="N361" s="91"/>
      <x:c r="O361" s="85"/>
      <x:c r="P361" s="85"/>
      <x:c r="Q361" s="85"/>
      <x:c r="R361" s="85"/>
      <x:c r="T361" s="86"/>
      <x:c r="U361" s="86"/>
      <x:c r="V361" s="32"/>
    </x:row>
    <x:row r="362">
      <x:c r="A362" s="87"/>
      <x:c r="B362" s="88"/>
      <x:c r="D362" s="32"/>
      <x:c r="G362" s="74"/>
      <x:c r="H362" s="74"/>
      <x:c r="I362" s="74"/>
      <x:c r="J362" s="74"/>
      <x:c r="K362" s="74"/>
      <x:c r="L362" s="74"/>
      <x:c r="M362" s="91"/>
      <x:c r="N362" s="91"/>
      <x:c r="O362" s="85"/>
      <x:c r="P362" s="85"/>
      <x:c r="Q362" s="85"/>
      <x:c r="R362" s="85"/>
      <x:c r="T362" s="86"/>
      <x:c r="U362" s="86"/>
      <x:c r="V362" s="32"/>
    </x:row>
    <x:row r="363">
      <x:c r="A363" s="87"/>
      <x:c r="B363" s="88"/>
      <x:c r="D363" s="32"/>
      <x:c r="G363" s="74"/>
      <x:c r="H363" s="74"/>
      <x:c r="I363" s="74"/>
      <x:c r="J363" s="74"/>
      <x:c r="K363" s="74"/>
      <x:c r="L363" s="74"/>
      <x:c r="M363" s="91"/>
      <x:c r="N363" s="91"/>
      <x:c r="O363" s="85"/>
      <x:c r="P363" s="85"/>
      <x:c r="Q363" s="85"/>
      <x:c r="R363" s="85"/>
      <x:c r="T363" s="86"/>
      <x:c r="U363" s="86"/>
      <x:c r="V363" s="32"/>
    </x:row>
    <x:row r="364">
      <x:c r="A364" s="87"/>
      <x:c r="B364" s="88"/>
      <x:c r="D364" s="32"/>
      <x:c r="G364" s="74"/>
      <x:c r="H364" s="74"/>
      <x:c r="I364" s="74"/>
      <x:c r="J364" s="74"/>
      <x:c r="K364" s="74"/>
      <x:c r="L364" s="74"/>
      <x:c r="M364" s="91"/>
      <x:c r="N364" s="91"/>
      <x:c r="O364" s="85"/>
      <x:c r="P364" s="85"/>
      <x:c r="Q364" s="85"/>
      <x:c r="R364" s="85"/>
      <x:c r="T364" s="86"/>
      <x:c r="U364" s="86"/>
      <x:c r="V364" s="32"/>
    </x:row>
    <x:row r="365">
      <x:c r="A365" s="87"/>
      <x:c r="B365" s="88"/>
      <x:c r="D365" s="32"/>
      <x:c r="G365" s="74"/>
      <x:c r="H365" s="74"/>
      <x:c r="I365" s="74"/>
      <x:c r="J365" s="74"/>
      <x:c r="K365" s="74"/>
      <x:c r="L365" s="74"/>
      <x:c r="M365" s="91"/>
      <x:c r="N365" s="91"/>
      <x:c r="O365" s="85"/>
      <x:c r="P365" s="85"/>
      <x:c r="Q365" s="85"/>
      <x:c r="R365" s="85"/>
      <x:c r="T365" s="86"/>
      <x:c r="U365" s="86"/>
      <x:c r="V365" s="32"/>
    </x:row>
    <x:row r="366">
      <x:c r="A366" s="87"/>
      <x:c r="B366" s="88"/>
      <x:c r="D366" s="32"/>
      <x:c r="G366" s="74"/>
      <x:c r="H366" s="74"/>
      <x:c r="I366" s="74"/>
      <x:c r="J366" s="74"/>
      <x:c r="K366" s="74"/>
      <x:c r="L366" s="74"/>
      <x:c r="M366" s="91"/>
      <x:c r="N366" s="91"/>
      <x:c r="O366" s="85"/>
      <x:c r="P366" s="85"/>
      <x:c r="Q366" s="85"/>
      <x:c r="R366" s="85"/>
      <x:c r="T366" s="86"/>
      <x:c r="U366" s="86"/>
      <x:c r="V366" s="32"/>
    </x:row>
    <x:row r="367">
      <x:c r="A367" s="87"/>
      <x:c r="B367" s="88"/>
      <x:c r="D367" s="32"/>
      <x:c r="G367" s="74"/>
      <x:c r="H367" s="74"/>
      <x:c r="I367" s="74"/>
      <x:c r="J367" s="74"/>
      <x:c r="K367" s="74"/>
      <x:c r="L367" s="74"/>
      <x:c r="M367" s="91"/>
      <x:c r="N367" s="91"/>
      <x:c r="O367" s="85"/>
      <x:c r="P367" s="85"/>
      <x:c r="Q367" s="85"/>
      <x:c r="R367" s="85"/>
      <x:c r="T367" s="86"/>
      <x:c r="U367" s="86"/>
      <x:c r="V367" s="32"/>
    </x:row>
    <x:row r="368">
      <x:c r="A368" s="87"/>
      <x:c r="B368" s="88"/>
      <x:c r="D368" s="32"/>
      <x:c r="G368" s="74"/>
      <x:c r="H368" s="74"/>
      <x:c r="I368" s="74"/>
      <x:c r="J368" s="74"/>
      <x:c r="K368" s="74"/>
      <x:c r="L368" s="74"/>
      <x:c r="M368" s="91"/>
      <x:c r="N368" s="91"/>
      <x:c r="O368" s="85"/>
      <x:c r="P368" s="85"/>
      <x:c r="Q368" s="85"/>
      <x:c r="R368" s="85"/>
      <x:c r="T368" s="86"/>
      <x:c r="U368" s="86"/>
      <x:c r="V368" s="32"/>
    </x:row>
    <x:row r="369">
      <x:c r="A369" s="87"/>
      <x:c r="B369" s="88"/>
      <x:c r="D369" s="32"/>
      <x:c r="G369" s="74"/>
      <x:c r="H369" s="74"/>
      <x:c r="I369" s="74"/>
      <x:c r="J369" s="74"/>
      <x:c r="K369" s="74"/>
      <x:c r="L369" s="74"/>
      <x:c r="M369" s="91"/>
      <x:c r="N369" s="91"/>
      <x:c r="O369" s="85"/>
      <x:c r="P369" s="85"/>
      <x:c r="Q369" s="85"/>
      <x:c r="R369" s="85"/>
      <x:c r="T369" s="86"/>
      <x:c r="U369" s="86"/>
      <x:c r="V369" s="32"/>
    </x:row>
    <x:row r="370">
      <x:c r="A370" s="87"/>
      <x:c r="B370" s="88"/>
      <x:c r="D370" s="32"/>
      <x:c r="G370" s="74"/>
      <x:c r="H370" s="74"/>
      <x:c r="I370" s="74"/>
      <x:c r="J370" s="74"/>
      <x:c r="K370" s="74"/>
      <x:c r="L370" s="74"/>
      <x:c r="M370" s="91"/>
      <x:c r="N370" s="91"/>
      <x:c r="O370" s="85"/>
      <x:c r="P370" s="85"/>
      <x:c r="Q370" s="85"/>
      <x:c r="R370" s="85"/>
      <x:c r="T370" s="86"/>
      <x:c r="U370" s="86"/>
      <x:c r="V370" s="32"/>
    </x:row>
    <x:row r="371">
      <x:c r="A371" s="87"/>
      <x:c r="B371" s="88"/>
      <x:c r="D371" s="32"/>
      <x:c r="G371" s="74"/>
      <x:c r="H371" s="74"/>
      <x:c r="I371" s="74"/>
      <x:c r="J371" s="74"/>
      <x:c r="K371" s="74"/>
      <x:c r="L371" s="74"/>
      <x:c r="M371" s="91"/>
      <x:c r="N371" s="91"/>
      <x:c r="O371" s="85"/>
      <x:c r="P371" s="85"/>
      <x:c r="Q371" s="85"/>
      <x:c r="R371" s="85"/>
      <x:c r="T371" s="86"/>
      <x:c r="U371" s="86"/>
      <x:c r="V371" s="32"/>
    </x:row>
    <x:row r="372">
      <x:c r="A372" s="87"/>
      <x:c r="B372" s="88"/>
      <x:c r="D372" s="32"/>
      <x:c r="G372" s="74"/>
      <x:c r="H372" s="74"/>
      <x:c r="I372" s="74"/>
      <x:c r="J372" s="74"/>
      <x:c r="K372" s="74"/>
      <x:c r="L372" s="74"/>
      <x:c r="M372" s="91"/>
      <x:c r="N372" s="91"/>
      <x:c r="O372" s="85"/>
      <x:c r="P372" s="85"/>
      <x:c r="Q372" s="85"/>
      <x:c r="R372" s="85"/>
      <x:c r="T372" s="86"/>
      <x:c r="U372" s="86"/>
      <x:c r="V372" s="32"/>
    </x:row>
    <x:row r="373">
      <x:c r="A373" s="87"/>
      <x:c r="B373" s="88"/>
      <x:c r="D373" s="32"/>
      <x:c r="G373" s="74"/>
      <x:c r="H373" s="74"/>
      <x:c r="I373" s="74"/>
      <x:c r="J373" s="74"/>
      <x:c r="K373" s="74"/>
      <x:c r="L373" s="74"/>
      <x:c r="M373" s="91"/>
      <x:c r="N373" s="91"/>
      <x:c r="O373" s="85"/>
      <x:c r="P373" s="85"/>
      <x:c r="Q373" s="85"/>
      <x:c r="R373" s="85"/>
      <x:c r="T373" s="86"/>
      <x:c r="U373" s="86"/>
      <x:c r="V373" s="32"/>
    </x:row>
    <x:row r="374">
      <x:c r="A374" s="87"/>
      <x:c r="B374" s="88"/>
      <x:c r="D374" s="32"/>
      <x:c r="G374" s="74"/>
      <x:c r="H374" s="74"/>
      <x:c r="I374" s="74"/>
      <x:c r="J374" s="74"/>
      <x:c r="K374" s="74"/>
      <x:c r="L374" s="74"/>
      <x:c r="M374" s="91"/>
      <x:c r="N374" s="91"/>
      <x:c r="O374" s="85"/>
      <x:c r="P374" s="85"/>
      <x:c r="Q374" s="85"/>
      <x:c r="R374" s="85"/>
      <x:c r="T374" s="86"/>
      <x:c r="U374" s="86"/>
      <x:c r="V374" s="32"/>
    </x:row>
    <x:row r="375">
      <x:c r="A375" s="87"/>
      <x:c r="B375" s="88"/>
      <x:c r="D375" s="32"/>
      <x:c r="G375" s="74"/>
      <x:c r="H375" s="74"/>
      <x:c r="I375" s="74"/>
      <x:c r="J375" s="74"/>
      <x:c r="K375" s="74"/>
      <x:c r="L375" s="74"/>
      <x:c r="M375" s="91"/>
      <x:c r="N375" s="91"/>
      <x:c r="O375" s="85"/>
      <x:c r="P375" s="85"/>
      <x:c r="Q375" s="85"/>
      <x:c r="R375" s="85"/>
      <x:c r="T375" s="86"/>
      <x:c r="U375" s="86"/>
      <x:c r="V375" s="32"/>
    </x:row>
    <x:row r="376">
      <x:c r="A376" s="87"/>
      <x:c r="B376" s="88"/>
      <x:c r="D376" s="32"/>
      <x:c r="G376" s="74"/>
      <x:c r="H376" s="74"/>
      <x:c r="I376" s="74"/>
      <x:c r="J376" s="74"/>
      <x:c r="K376" s="74"/>
      <x:c r="L376" s="74"/>
      <x:c r="M376" s="91"/>
      <x:c r="N376" s="91"/>
      <x:c r="O376" s="85"/>
      <x:c r="P376" s="85"/>
      <x:c r="Q376" s="85"/>
      <x:c r="R376" s="85"/>
      <x:c r="T376" s="86"/>
      <x:c r="U376" s="86"/>
      <x:c r="V376" s="32"/>
    </x:row>
    <x:row r="377">
      <x:c r="A377" s="87"/>
      <x:c r="B377" s="88"/>
      <x:c r="D377" s="32"/>
      <x:c r="G377" s="74"/>
      <x:c r="H377" s="74"/>
      <x:c r="I377" s="74"/>
      <x:c r="J377" s="74"/>
      <x:c r="K377" s="74"/>
      <x:c r="L377" s="74"/>
      <x:c r="M377" s="91"/>
      <x:c r="N377" s="91"/>
      <x:c r="O377" s="85"/>
      <x:c r="P377" s="85"/>
      <x:c r="Q377" s="85"/>
      <x:c r="R377" s="85"/>
      <x:c r="T377" s="86"/>
      <x:c r="U377" s="86"/>
      <x:c r="V377" s="32"/>
    </x:row>
    <x:row r="378">
      <x:c r="A378" s="87"/>
      <x:c r="B378" s="88"/>
      <x:c r="D378" s="32"/>
      <x:c r="G378" s="74"/>
      <x:c r="H378" s="74"/>
      <x:c r="I378" s="74"/>
      <x:c r="J378" s="74"/>
      <x:c r="K378" s="74"/>
      <x:c r="L378" s="74"/>
      <x:c r="M378" s="91"/>
      <x:c r="N378" s="91"/>
      <x:c r="O378" s="85"/>
      <x:c r="P378" s="85"/>
      <x:c r="Q378" s="85"/>
      <x:c r="R378" s="85"/>
      <x:c r="T378" s="86"/>
      <x:c r="U378" s="86"/>
      <x:c r="V378" s="32"/>
    </x:row>
    <x:row r="379">
      <x:c r="A379" s="87"/>
      <x:c r="B379" s="88"/>
      <x:c r="D379" s="32"/>
      <x:c r="G379" s="74"/>
      <x:c r="H379" s="74"/>
      <x:c r="I379" s="74"/>
      <x:c r="J379" s="74"/>
      <x:c r="K379" s="74"/>
      <x:c r="L379" s="74"/>
      <x:c r="M379" s="91"/>
      <x:c r="N379" s="91"/>
      <x:c r="O379" s="85"/>
      <x:c r="P379" s="85"/>
      <x:c r="Q379" s="85"/>
      <x:c r="R379" s="85"/>
      <x:c r="T379" s="86"/>
      <x:c r="U379" s="86"/>
      <x:c r="V379" s="32"/>
    </x:row>
    <x:row r="380">
      <x:c r="A380" s="87"/>
      <x:c r="B380" s="88"/>
      <x:c r="D380" s="32"/>
      <x:c r="G380" s="74"/>
      <x:c r="H380" s="74"/>
      <x:c r="I380" s="74"/>
      <x:c r="J380" s="74"/>
      <x:c r="K380" s="74"/>
      <x:c r="L380" s="74"/>
      <x:c r="M380" s="91"/>
      <x:c r="N380" s="91"/>
      <x:c r="O380" s="85"/>
      <x:c r="P380" s="85"/>
      <x:c r="Q380" s="85"/>
      <x:c r="R380" s="85"/>
      <x:c r="T380" s="86"/>
      <x:c r="U380" s="86"/>
      <x:c r="V380" s="32"/>
    </x:row>
    <x:row r="381">
      <x:c r="A381" s="87"/>
      <x:c r="B381" s="88"/>
      <x:c r="D381" s="32"/>
      <x:c r="G381" s="74"/>
      <x:c r="H381" s="74"/>
      <x:c r="I381" s="74"/>
      <x:c r="J381" s="74"/>
      <x:c r="K381" s="74"/>
      <x:c r="L381" s="74"/>
      <x:c r="M381" s="91"/>
      <x:c r="N381" s="91"/>
      <x:c r="O381" s="85"/>
      <x:c r="P381" s="85"/>
      <x:c r="Q381" s="85"/>
      <x:c r="R381" s="85"/>
      <x:c r="T381" s="86"/>
      <x:c r="U381" s="86"/>
      <x:c r="V381" s="32"/>
    </x:row>
    <x:row r="382">
      <x:c r="A382" s="87"/>
      <x:c r="B382" s="88"/>
      <x:c r="D382" s="32"/>
      <x:c r="G382" s="74"/>
      <x:c r="H382" s="74"/>
      <x:c r="I382" s="74"/>
      <x:c r="J382" s="74"/>
      <x:c r="K382" s="74"/>
      <x:c r="L382" s="74"/>
      <x:c r="M382" s="91"/>
      <x:c r="N382" s="91"/>
      <x:c r="O382" s="85"/>
      <x:c r="P382" s="85"/>
      <x:c r="Q382" s="85"/>
      <x:c r="R382" s="85"/>
      <x:c r="T382" s="86"/>
      <x:c r="U382" s="86"/>
      <x:c r="V382" s="32"/>
    </x:row>
    <x:row r="383">
      <x:c r="A383" s="87"/>
      <x:c r="B383" s="88"/>
      <x:c r="D383" s="32"/>
      <x:c r="G383" s="74"/>
      <x:c r="H383" s="74"/>
      <x:c r="I383" s="74"/>
      <x:c r="J383" s="74"/>
      <x:c r="K383" s="74"/>
      <x:c r="L383" s="74"/>
      <x:c r="M383" s="91"/>
      <x:c r="N383" s="91"/>
      <x:c r="O383" s="85"/>
      <x:c r="P383" s="85"/>
      <x:c r="Q383" s="85"/>
      <x:c r="R383" s="85"/>
      <x:c r="T383" s="86"/>
      <x:c r="U383" s="86"/>
      <x:c r="V383" s="32"/>
    </x:row>
    <x:row r="384">
      <x:c r="A384" s="87"/>
      <x:c r="B384" s="88"/>
      <x:c r="D384" s="32"/>
      <x:c r="G384" s="74"/>
      <x:c r="H384" s="74"/>
      <x:c r="I384" s="74"/>
      <x:c r="J384" s="74"/>
      <x:c r="K384" s="74"/>
      <x:c r="L384" s="74"/>
      <x:c r="M384" s="91"/>
      <x:c r="N384" s="91"/>
      <x:c r="O384" s="85"/>
      <x:c r="P384" s="85"/>
      <x:c r="Q384" s="85"/>
      <x:c r="R384" s="85"/>
      <x:c r="T384" s="86"/>
      <x:c r="U384" s="86"/>
      <x:c r="V384" s="32"/>
    </x:row>
    <x:row r="385">
      <x:c r="A385" s="87"/>
      <x:c r="B385" s="88"/>
      <x:c r="D385" s="32"/>
      <x:c r="G385" s="74"/>
      <x:c r="H385" s="74"/>
      <x:c r="I385" s="74"/>
      <x:c r="J385" s="74"/>
      <x:c r="K385" s="74"/>
      <x:c r="L385" s="74"/>
      <x:c r="M385" s="91"/>
      <x:c r="N385" s="91"/>
      <x:c r="O385" s="85"/>
      <x:c r="P385" s="85"/>
      <x:c r="Q385" s="85"/>
      <x:c r="R385" s="85"/>
      <x:c r="T385" s="86"/>
      <x:c r="U385" s="86"/>
      <x:c r="V385" s="32"/>
    </x:row>
    <x:row r="386">
      <x:c r="A386" s="87"/>
      <x:c r="B386" s="88"/>
      <x:c r="D386" s="32"/>
      <x:c r="G386" s="74"/>
      <x:c r="H386" s="74"/>
      <x:c r="I386" s="74"/>
      <x:c r="J386" s="74"/>
      <x:c r="K386" s="74"/>
      <x:c r="L386" s="74"/>
      <x:c r="M386" s="91"/>
      <x:c r="N386" s="91"/>
      <x:c r="O386" s="85"/>
      <x:c r="P386" s="85"/>
      <x:c r="Q386" s="85"/>
      <x:c r="R386" s="85"/>
      <x:c r="T386" s="86"/>
      <x:c r="U386" s="86"/>
      <x:c r="V386" s="32"/>
    </x:row>
    <x:row r="387">
      <x:c r="A387" s="87"/>
      <x:c r="B387" s="88"/>
      <x:c r="D387" s="32"/>
      <x:c r="G387" s="74"/>
      <x:c r="H387" s="74"/>
      <x:c r="I387" s="74"/>
      <x:c r="J387" s="74"/>
      <x:c r="K387" s="74"/>
      <x:c r="L387" s="74"/>
      <x:c r="M387" s="91"/>
      <x:c r="N387" s="91"/>
      <x:c r="O387" s="85"/>
      <x:c r="P387" s="85"/>
      <x:c r="Q387" s="85"/>
      <x:c r="R387" s="85"/>
      <x:c r="T387" s="86"/>
      <x:c r="U387" s="86"/>
      <x:c r="V387" s="32"/>
    </x:row>
    <x:row r="388">
      <x:c r="A388" s="87"/>
      <x:c r="B388" s="88"/>
      <x:c r="D388" s="32"/>
      <x:c r="G388" s="74"/>
      <x:c r="H388" s="74"/>
      <x:c r="I388" s="74"/>
      <x:c r="J388" s="74"/>
      <x:c r="K388" s="74"/>
      <x:c r="L388" s="74"/>
      <x:c r="M388" s="91"/>
      <x:c r="N388" s="91"/>
      <x:c r="O388" s="85"/>
      <x:c r="P388" s="85"/>
      <x:c r="Q388" s="85"/>
      <x:c r="R388" s="85"/>
      <x:c r="T388" s="86"/>
      <x:c r="U388" s="86"/>
      <x:c r="V388" s="32"/>
    </x:row>
    <x:row r="389">
      <x:c r="A389" s="87"/>
      <x:c r="B389" s="88"/>
      <x:c r="D389" s="32"/>
      <x:c r="G389" s="74"/>
      <x:c r="H389" s="74"/>
      <x:c r="I389" s="74"/>
      <x:c r="J389" s="74"/>
      <x:c r="K389" s="74"/>
      <x:c r="L389" s="74"/>
      <x:c r="M389" s="91"/>
      <x:c r="N389" s="91"/>
      <x:c r="O389" s="85"/>
      <x:c r="P389" s="85"/>
      <x:c r="Q389" s="85"/>
      <x:c r="R389" s="85"/>
      <x:c r="T389" s="86"/>
      <x:c r="U389" s="86"/>
      <x:c r="V389" s="32"/>
    </x:row>
    <x:row r="390">
      <x:c r="A390" s="87"/>
      <x:c r="B390" s="88"/>
      <x:c r="D390" s="32"/>
      <x:c r="G390" s="74"/>
      <x:c r="H390" s="74"/>
      <x:c r="I390" s="74"/>
      <x:c r="J390" s="74"/>
      <x:c r="K390" s="74"/>
      <x:c r="L390" s="74"/>
      <x:c r="M390" s="91"/>
      <x:c r="N390" s="91"/>
      <x:c r="O390" s="85"/>
      <x:c r="P390" s="85"/>
      <x:c r="Q390" s="85"/>
      <x:c r="R390" s="85"/>
      <x:c r="T390" s="86"/>
      <x:c r="U390" s="86"/>
      <x:c r="V390" s="32"/>
    </x:row>
    <x:row r="391">
      <x:c r="A391" s="87"/>
      <x:c r="B391" s="88"/>
      <x:c r="D391" s="32"/>
      <x:c r="G391" s="74"/>
      <x:c r="H391" s="74"/>
      <x:c r="I391" s="74"/>
      <x:c r="J391" s="74"/>
      <x:c r="K391" s="74"/>
      <x:c r="L391" s="74"/>
      <x:c r="M391" s="91"/>
      <x:c r="N391" s="91"/>
      <x:c r="O391" s="85"/>
      <x:c r="P391" s="85"/>
      <x:c r="Q391" s="85"/>
      <x:c r="R391" s="85"/>
      <x:c r="T391" s="86"/>
      <x:c r="U391" s="86"/>
      <x:c r="V391" s="32"/>
    </x:row>
    <x:row r="392">
      <x:c r="A392" s="87"/>
      <x:c r="B392" s="88"/>
      <x:c r="D392" s="32"/>
      <x:c r="G392" s="74"/>
      <x:c r="H392" s="74"/>
      <x:c r="I392" s="74"/>
      <x:c r="J392" s="74"/>
      <x:c r="K392" s="74"/>
      <x:c r="L392" s="74"/>
      <x:c r="M392" s="91"/>
      <x:c r="N392" s="91"/>
      <x:c r="O392" s="85"/>
      <x:c r="P392" s="85"/>
      <x:c r="Q392" s="85"/>
      <x:c r="R392" s="85"/>
      <x:c r="T392" s="86"/>
      <x:c r="U392" s="86"/>
      <x:c r="V392" s="32"/>
    </x:row>
    <x:row r="393">
      <x:c r="A393" s="87"/>
      <x:c r="B393" s="88"/>
      <x:c r="D393" s="32"/>
      <x:c r="G393" s="74"/>
      <x:c r="H393" s="74"/>
      <x:c r="I393" s="74"/>
      <x:c r="J393" s="74"/>
      <x:c r="K393" s="74"/>
      <x:c r="L393" s="74"/>
      <x:c r="M393" s="91"/>
      <x:c r="N393" s="91"/>
      <x:c r="O393" s="85"/>
      <x:c r="P393" s="85"/>
      <x:c r="Q393" s="85"/>
      <x:c r="R393" s="85"/>
      <x:c r="T393" s="86"/>
      <x:c r="U393" s="86"/>
      <x:c r="V393" s="32"/>
    </x:row>
    <x:row r="394">
      <x:c r="A394" s="87"/>
      <x:c r="B394" s="88"/>
      <x:c r="D394" s="32"/>
      <x:c r="G394" s="74"/>
      <x:c r="H394" s="74"/>
      <x:c r="I394" s="74"/>
      <x:c r="J394" s="74"/>
      <x:c r="K394" s="74"/>
      <x:c r="L394" s="74"/>
      <x:c r="M394" s="91"/>
      <x:c r="N394" s="91"/>
      <x:c r="O394" s="85"/>
      <x:c r="P394" s="85"/>
      <x:c r="Q394" s="85"/>
      <x:c r="R394" s="85"/>
      <x:c r="T394" s="86"/>
      <x:c r="U394" s="86"/>
      <x:c r="V394" s="32"/>
    </x:row>
    <x:row r="395">
      <x:c r="A395" s="87"/>
      <x:c r="B395" s="88"/>
      <x:c r="D395" s="32"/>
      <x:c r="G395" s="74"/>
      <x:c r="H395" s="74"/>
      <x:c r="I395" s="74"/>
      <x:c r="J395" s="74"/>
      <x:c r="K395" s="74"/>
      <x:c r="L395" s="74"/>
      <x:c r="M395" s="91"/>
      <x:c r="N395" s="91"/>
      <x:c r="O395" s="85"/>
      <x:c r="P395" s="85"/>
      <x:c r="Q395" s="85"/>
      <x:c r="R395" s="85"/>
      <x:c r="T395" s="86"/>
      <x:c r="U395" s="86"/>
      <x:c r="V395" s="32"/>
    </x:row>
    <x:row r="396">
      <x:c r="A396" s="87"/>
      <x:c r="B396" s="88"/>
      <x:c r="D396" s="32"/>
      <x:c r="G396" s="74"/>
      <x:c r="H396" s="74"/>
      <x:c r="I396" s="74"/>
      <x:c r="J396" s="74"/>
      <x:c r="K396" s="74"/>
      <x:c r="L396" s="74"/>
      <x:c r="M396" s="91"/>
      <x:c r="N396" s="91"/>
      <x:c r="O396" s="85"/>
      <x:c r="P396" s="85"/>
      <x:c r="Q396" s="85"/>
      <x:c r="R396" s="85"/>
      <x:c r="T396" s="86"/>
      <x:c r="U396" s="86"/>
      <x:c r="V396" s="32"/>
    </x:row>
    <x:row r="397">
      <x:c r="A397" s="87"/>
      <x:c r="B397" s="88"/>
      <x:c r="D397" s="32"/>
      <x:c r="G397" s="74"/>
      <x:c r="H397" s="74"/>
      <x:c r="I397" s="74"/>
      <x:c r="J397" s="74"/>
      <x:c r="K397" s="74"/>
      <x:c r="L397" s="74"/>
      <x:c r="M397" s="91"/>
      <x:c r="N397" s="91"/>
      <x:c r="O397" s="85"/>
      <x:c r="P397" s="85"/>
      <x:c r="Q397" s="85"/>
      <x:c r="R397" s="85"/>
      <x:c r="T397" s="86"/>
      <x:c r="U397" s="86"/>
      <x:c r="V397" s="32"/>
    </x:row>
    <x:row r="398">
      <x:c r="A398" s="87"/>
      <x:c r="B398" s="88"/>
      <x:c r="D398" s="32"/>
      <x:c r="G398" s="74"/>
      <x:c r="H398" s="74"/>
      <x:c r="I398" s="74"/>
      <x:c r="J398" s="74"/>
      <x:c r="K398" s="74"/>
      <x:c r="L398" s="74"/>
      <x:c r="M398" s="91"/>
      <x:c r="N398" s="91"/>
      <x:c r="O398" s="85"/>
      <x:c r="P398" s="85"/>
      <x:c r="Q398" s="85"/>
      <x:c r="R398" s="85"/>
      <x:c r="T398" s="86"/>
      <x:c r="U398" s="86"/>
      <x:c r="V398" s="32"/>
    </x:row>
    <x:row r="399">
      <x:c r="A399" s="87"/>
      <x:c r="B399" s="88"/>
      <x:c r="D399" s="32"/>
      <x:c r="G399" s="74"/>
      <x:c r="H399" s="74"/>
      <x:c r="I399" s="74"/>
      <x:c r="J399" s="74"/>
      <x:c r="K399" s="74"/>
      <x:c r="L399" s="74"/>
      <x:c r="M399" s="91"/>
      <x:c r="N399" s="91"/>
      <x:c r="O399" s="85"/>
      <x:c r="P399" s="85"/>
      <x:c r="Q399" s="85"/>
      <x:c r="R399" s="85"/>
      <x:c r="T399" s="86"/>
      <x:c r="U399" s="86"/>
      <x:c r="V399" s="32"/>
    </x:row>
    <x:row r="400">
      <x:c r="A400" s="87"/>
      <x:c r="B400" s="88"/>
      <x:c r="D400" s="32"/>
      <x:c r="G400" s="74"/>
      <x:c r="H400" s="74"/>
      <x:c r="I400" s="74"/>
      <x:c r="J400" s="74"/>
      <x:c r="K400" s="74"/>
      <x:c r="L400" s="74"/>
      <x:c r="M400" s="91"/>
      <x:c r="N400" s="91"/>
      <x:c r="O400" s="85"/>
      <x:c r="P400" s="85"/>
      <x:c r="Q400" s="85"/>
      <x:c r="R400" s="85"/>
      <x:c r="T400" s="86"/>
      <x:c r="U400" s="86"/>
      <x:c r="V400" s="32"/>
    </x:row>
    <x:row r="401">
      <x:c r="A401" s="87"/>
      <x:c r="B401" s="88"/>
      <x:c r="D401" s="32"/>
      <x:c r="G401" s="74"/>
      <x:c r="H401" s="74"/>
      <x:c r="I401" s="74"/>
      <x:c r="J401" s="74"/>
      <x:c r="K401" s="74"/>
      <x:c r="L401" s="74"/>
      <x:c r="M401" s="91"/>
      <x:c r="N401" s="91"/>
      <x:c r="O401" s="85"/>
      <x:c r="P401" s="85"/>
      <x:c r="Q401" s="85"/>
      <x:c r="R401" s="85"/>
      <x:c r="T401" s="86"/>
      <x:c r="U401" s="86"/>
      <x:c r="V401" s="32"/>
    </x:row>
    <x:row r="402">
      <x:c r="A402" s="87"/>
      <x:c r="B402" s="88"/>
      <x:c r="D402" s="32"/>
      <x:c r="G402" s="74"/>
      <x:c r="H402" s="74"/>
      <x:c r="I402" s="74"/>
      <x:c r="J402" s="74"/>
      <x:c r="K402" s="74"/>
      <x:c r="L402" s="74"/>
      <x:c r="M402" s="91"/>
      <x:c r="N402" s="91"/>
      <x:c r="O402" s="85"/>
      <x:c r="P402" s="85"/>
      <x:c r="Q402" s="85"/>
      <x:c r="R402" s="85"/>
      <x:c r="T402" s="86"/>
      <x:c r="U402" s="86"/>
      <x:c r="V402" s="32"/>
    </x:row>
    <x:row r="403">
      <x:c r="A403" s="87"/>
      <x:c r="B403" s="88"/>
      <x:c r="D403" s="32"/>
      <x:c r="G403" s="74"/>
      <x:c r="H403" s="74"/>
      <x:c r="I403" s="74"/>
      <x:c r="J403" s="74"/>
      <x:c r="K403" s="74"/>
      <x:c r="L403" s="74"/>
      <x:c r="M403" s="91"/>
      <x:c r="N403" s="91"/>
      <x:c r="O403" s="85"/>
      <x:c r="P403" s="85"/>
      <x:c r="Q403" s="85"/>
      <x:c r="R403" s="85"/>
      <x:c r="T403" s="86"/>
      <x:c r="U403" s="86"/>
      <x:c r="V403" s="32"/>
    </x:row>
    <x:row r="404">
      <x:c r="A404" s="87"/>
      <x:c r="B404" s="88"/>
      <x:c r="D404" s="32"/>
      <x:c r="G404" s="74"/>
      <x:c r="H404" s="74"/>
      <x:c r="I404" s="74"/>
      <x:c r="J404" s="74"/>
      <x:c r="K404" s="74"/>
      <x:c r="L404" s="74"/>
      <x:c r="M404" s="91"/>
      <x:c r="N404" s="91"/>
      <x:c r="O404" s="85"/>
      <x:c r="P404" s="85"/>
      <x:c r="Q404" s="85"/>
      <x:c r="R404" s="85"/>
      <x:c r="T404" s="86"/>
      <x:c r="U404" s="86"/>
      <x:c r="V404" s="32"/>
    </x:row>
    <x:row r="405">
      <x:c r="A405" s="87"/>
      <x:c r="B405" s="88"/>
      <x:c r="D405" s="32"/>
      <x:c r="G405" s="74"/>
      <x:c r="H405" s="74"/>
      <x:c r="I405" s="74"/>
      <x:c r="J405" s="74"/>
      <x:c r="K405" s="74"/>
      <x:c r="L405" s="74"/>
      <x:c r="M405" s="91"/>
      <x:c r="N405" s="91"/>
      <x:c r="O405" s="85"/>
      <x:c r="P405" s="85"/>
      <x:c r="Q405" s="85"/>
      <x:c r="R405" s="85"/>
      <x:c r="T405" s="86"/>
      <x:c r="U405" s="86"/>
      <x:c r="V405" s="32"/>
    </x:row>
    <x:row r="406">
      <x:c r="A406" s="87"/>
      <x:c r="B406" s="88"/>
      <x:c r="D406" s="32"/>
      <x:c r="G406" s="74"/>
      <x:c r="H406" s="74"/>
      <x:c r="I406" s="74"/>
      <x:c r="J406" s="74"/>
      <x:c r="K406" s="74"/>
      <x:c r="L406" s="74"/>
      <x:c r="M406" s="91"/>
      <x:c r="N406" s="91"/>
      <x:c r="O406" s="85"/>
      <x:c r="P406" s="85"/>
      <x:c r="Q406" s="85"/>
      <x:c r="R406" s="85"/>
      <x:c r="T406" s="86"/>
      <x:c r="U406" s="86"/>
      <x:c r="V406" s="32"/>
    </x:row>
    <x:row r="407">
      <x:c r="A407" s="87"/>
      <x:c r="B407" s="88"/>
      <x:c r="D407" s="32"/>
      <x:c r="G407" s="74"/>
      <x:c r="H407" s="74"/>
      <x:c r="I407" s="74"/>
      <x:c r="J407" s="74"/>
      <x:c r="K407" s="74"/>
      <x:c r="L407" s="74"/>
      <x:c r="M407" s="91"/>
      <x:c r="N407" s="91"/>
      <x:c r="O407" s="85"/>
      <x:c r="P407" s="85"/>
      <x:c r="Q407" s="85"/>
      <x:c r="R407" s="85"/>
      <x:c r="T407" s="86"/>
      <x:c r="U407" s="86"/>
      <x:c r="V407" s="32"/>
    </x:row>
    <x:row r="408">
      <x:c r="A408" s="87"/>
      <x:c r="B408" s="88"/>
      <x:c r="D408" s="32"/>
      <x:c r="G408" s="74"/>
      <x:c r="H408" s="74"/>
      <x:c r="I408" s="74"/>
      <x:c r="J408" s="74"/>
      <x:c r="K408" s="74"/>
      <x:c r="L408" s="74"/>
      <x:c r="M408" s="91"/>
      <x:c r="N408" s="91"/>
      <x:c r="O408" s="85"/>
      <x:c r="P408" s="85"/>
      <x:c r="Q408" s="85"/>
      <x:c r="R408" s="85"/>
      <x:c r="T408" s="86"/>
      <x:c r="U408" s="86"/>
      <x:c r="V408" s="32"/>
    </x:row>
    <x:row r="409">
      <x:c r="A409" s="87"/>
      <x:c r="B409" s="88"/>
      <x:c r="D409" s="32"/>
      <x:c r="G409" s="74"/>
      <x:c r="H409" s="74"/>
      <x:c r="I409" s="74"/>
      <x:c r="J409" s="74"/>
      <x:c r="K409" s="74"/>
      <x:c r="L409" s="74"/>
      <x:c r="M409" s="91"/>
      <x:c r="N409" s="91"/>
      <x:c r="O409" s="85"/>
      <x:c r="P409" s="85"/>
      <x:c r="Q409" s="85"/>
      <x:c r="R409" s="85"/>
      <x:c r="T409" s="86"/>
      <x:c r="U409" s="86"/>
      <x:c r="V409" s="32"/>
    </x:row>
    <x:row r="410">
      <x:c r="A410" s="87"/>
      <x:c r="B410" s="88"/>
      <x:c r="D410" s="32"/>
      <x:c r="G410" s="74"/>
      <x:c r="H410" s="74"/>
      <x:c r="I410" s="74"/>
      <x:c r="J410" s="74"/>
      <x:c r="K410" s="74"/>
      <x:c r="L410" s="74"/>
      <x:c r="M410" s="91"/>
      <x:c r="N410" s="91"/>
      <x:c r="O410" s="85"/>
      <x:c r="P410" s="85"/>
      <x:c r="Q410" s="85"/>
      <x:c r="R410" s="85"/>
      <x:c r="T410" s="86"/>
      <x:c r="U410" s="86"/>
      <x:c r="V410" s="32"/>
    </x:row>
    <x:row r="411">
      <x:c r="A411" s="87"/>
      <x:c r="B411" s="88"/>
      <x:c r="D411" s="32"/>
      <x:c r="G411" s="74"/>
      <x:c r="H411" s="74"/>
      <x:c r="I411" s="74"/>
      <x:c r="J411" s="74"/>
      <x:c r="K411" s="74"/>
      <x:c r="L411" s="74"/>
      <x:c r="M411" s="91"/>
      <x:c r="N411" s="91"/>
      <x:c r="O411" s="85"/>
      <x:c r="P411" s="85"/>
      <x:c r="Q411" s="85"/>
      <x:c r="R411" s="85"/>
      <x:c r="T411" s="86"/>
      <x:c r="U411" s="86"/>
      <x:c r="V411" s="32"/>
    </x:row>
    <x:row r="412">
      <x:c r="A412" s="87"/>
      <x:c r="B412" s="88"/>
      <x:c r="D412" s="32"/>
      <x:c r="G412" s="74"/>
      <x:c r="H412" s="74"/>
      <x:c r="I412" s="74"/>
      <x:c r="J412" s="74"/>
      <x:c r="K412" s="74"/>
      <x:c r="L412" s="74"/>
      <x:c r="M412" s="91"/>
      <x:c r="N412" s="91"/>
      <x:c r="O412" s="85"/>
      <x:c r="P412" s="85"/>
      <x:c r="Q412" s="85"/>
      <x:c r="R412" s="85"/>
      <x:c r="T412" s="86"/>
      <x:c r="U412" s="86"/>
      <x:c r="V412" s="32"/>
    </x:row>
    <x:row r="413">
      <x:c r="A413" s="87"/>
      <x:c r="B413" s="88"/>
      <x:c r="D413" s="32"/>
      <x:c r="G413" s="74"/>
      <x:c r="H413" s="74"/>
      <x:c r="I413" s="74"/>
      <x:c r="J413" s="74"/>
      <x:c r="K413" s="74"/>
      <x:c r="L413" s="74"/>
      <x:c r="M413" s="91"/>
      <x:c r="N413" s="91"/>
      <x:c r="O413" s="85"/>
      <x:c r="P413" s="85"/>
      <x:c r="Q413" s="85"/>
      <x:c r="R413" s="85"/>
      <x:c r="T413" s="86"/>
      <x:c r="U413" s="86"/>
      <x:c r="V413" s="32"/>
    </x:row>
    <x:row r="414">
      <x:c r="A414" s="87"/>
      <x:c r="B414" s="88"/>
      <x:c r="D414" s="32"/>
      <x:c r="G414" s="74"/>
      <x:c r="H414" s="74"/>
      <x:c r="I414" s="74"/>
      <x:c r="J414" s="74"/>
      <x:c r="K414" s="74"/>
      <x:c r="L414" s="74"/>
      <x:c r="M414" s="91"/>
      <x:c r="N414" s="91"/>
      <x:c r="O414" s="85"/>
      <x:c r="P414" s="85"/>
      <x:c r="Q414" s="85"/>
      <x:c r="R414" s="85"/>
      <x:c r="T414" s="86"/>
      <x:c r="U414" s="86"/>
      <x:c r="V414" s="32"/>
    </x:row>
    <x:row r="415">
      <x:c r="A415" s="87"/>
      <x:c r="B415" s="88"/>
      <x:c r="D415" s="32"/>
      <x:c r="G415" s="74"/>
      <x:c r="H415" s="74"/>
      <x:c r="I415" s="74"/>
      <x:c r="J415" s="74"/>
      <x:c r="K415" s="74"/>
      <x:c r="L415" s="74"/>
      <x:c r="M415" s="91"/>
      <x:c r="N415" s="91"/>
      <x:c r="O415" s="85"/>
      <x:c r="P415" s="85"/>
      <x:c r="Q415" s="85"/>
      <x:c r="R415" s="85"/>
      <x:c r="T415" s="86"/>
      <x:c r="U415" s="86"/>
      <x:c r="V415" s="32"/>
    </x:row>
    <x:row r="416">
      <x:c r="A416" s="87"/>
      <x:c r="B416" s="88"/>
      <x:c r="D416" s="32"/>
      <x:c r="G416" s="74"/>
      <x:c r="H416" s="74"/>
      <x:c r="I416" s="74"/>
      <x:c r="J416" s="74"/>
      <x:c r="K416" s="74"/>
      <x:c r="L416" s="74"/>
      <x:c r="M416" s="91"/>
      <x:c r="N416" s="91"/>
      <x:c r="O416" s="85"/>
      <x:c r="P416" s="85"/>
      <x:c r="Q416" s="85"/>
      <x:c r="R416" s="85"/>
      <x:c r="T416" s="86"/>
      <x:c r="U416" s="86"/>
      <x:c r="V416" s="32"/>
    </x:row>
    <x:row r="417">
      <x:c r="A417" s="87"/>
      <x:c r="B417" s="88"/>
      <x:c r="D417" s="32"/>
      <x:c r="G417" s="74"/>
      <x:c r="H417" s="74"/>
      <x:c r="I417" s="74"/>
      <x:c r="J417" s="74"/>
      <x:c r="K417" s="74"/>
      <x:c r="L417" s="74"/>
      <x:c r="M417" s="91"/>
      <x:c r="N417" s="91"/>
      <x:c r="O417" s="85"/>
      <x:c r="P417" s="85"/>
      <x:c r="Q417" s="85"/>
      <x:c r="R417" s="85"/>
      <x:c r="T417" s="86"/>
      <x:c r="U417" s="86"/>
      <x:c r="V417" s="32"/>
    </x:row>
    <x:row r="418">
      <x:c r="A418" s="87"/>
      <x:c r="B418" s="88"/>
      <x:c r="D418" s="32"/>
      <x:c r="G418" s="74"/>
      <x:c r="H418" s="74"/>
      <x:c r="I418" s="74"/>
      <x:c r="J418" s="74"/>
      <x:c r="K418" s="74"/>
      <x:c r="L418" s="74"/>
      <x:c r="M418" s="91"/>
      <x:c r="N418" s="91"/>
      <x:c r="O418" s="85"/>
      <x:c r="P418" s="85"/>
      <x:c r="Q418" s="85"/>
      <x:c r="R418" s="85"/>
      <x:c r="T418" s="86"/>
      <x:c r="U418" s="86"/>
      <x:c r="V418" s="32"/>
    </x:row>
    <x:row r="419">
      <x:c r="A419" s="87"/>
      <x:c r="B419" s="88"/>
      <x:c r="D419" s="32"/>
      <x:c r="G419" s="74"/>
      <x:c r="H419" s="74"/>
      <x:c r="I419" s="74"/>
      <x:c r="J419" s="74"/>
      <x:c r="K419" s="74"/>
      <x:c r="L419" s="74"/>
      <x:c r="M419" s="91"/>
      <x:c r="N419" s="91"/>
      <x:c r="O419" s="85"/>
      <x:c r="P419" s="85"/>
      <x:c r="Q419" s="85"/>
      <x:c r="R419" s="85"/>
      <x:c r="T419" s="86"/>
      <x:c r="U419" s="86"/>
      <x:c r="V419" s="32"/>
    </x:row>
    <x:row r="420">
      <x:c r="A420" s="87"/>
      <x:c r="B420" s="88"/>
      <x:c r="D420" s="32"/>
      <x:c r="G420" s="74"/>
      <x:c r="H420" s="74"/>
      <x:c r="I420" s="74"/>
      <x:c r="J420" s="74"/>
      <x:c r="K420" s="74"/>
      <x:c r="L420" s="74"/>
      <x:c r="M420" s="91"/>
      <x:c r="N420" s="91"/>
      <x:c r="O420" s="85"/>
      <x:c r="P420" s="85"/>
      <x:c r="Q420" s="85"/>
      <x:c r="R420" s="85"/>
      <x:c r="T420" s="86"/>
      <x:c r="U420" s="86"/>
      <x:c r="V420" s="32"/>
    </x:row>
    <x:row r="421">
      <x:c r="A421" s="87"/>
      <x:c r="B421" s="88"/>
      <x:c r="D421" s="32"/>
      <x:c r="G421" s="74"/>
      <x:c r="H421" s="74"/>
      <x:c r="I421" s="74"/>
      <x:c r="J421" s="74"/>
      <x:c r="K421" s="74"/>
      <x:c r="L421" s="74"/>
      <x:c r="M421" s="91"/>
      <x:c r="N421" s="91"/>
      <x:c r="O421" s="85"/>
      <x:c r="P421" s="85"/>
      <x:c r="Q421" s="85"/>
      <x:c r="R421" s="85"/>
      <x:c r="T421" s="86"/>
      <x:c r="U421" s="86"/>
      <x:c r="V421" s="32"/>
    </x:row>
    <x:row r="422">
      <x:c r="A422" s="87"/>
      <x:c r="B422" s="88"/>
      <x:c r="D422" s="32"/>
      <x:c r="G422" s="74"/>
      <x:c r="H422" s="74"/>
      <x:c r="I422" s="74"/>
      <x:c r="J422" s="74"/>
      <x:c r="K422" s="74"/>
      <x:c r="L422" s="74"/>
      <x:c r="M422" s="91"/>
      <x:c r="N422" s="91"/>
      <x:c r="O422" s="85"/>
      <x:c r="P422" s="85"/>
      <x:c r="Q422" s="85"/>
      <x:c r="R422" s="85"/>
      <x:c r="T422" s="86"/>
      <x:c r="U422" s="86"/>
      <x:c r="V422" s="32"/>
    </x:row>
    <x:row r="423">
      <x:c r="A423" s="87"/>
      <x:c r="B423" s="88"/>
      <x:c r="D423" s="32"/>
      <x:c r="G423" s="74"/>
      <x:c r="H423" s="74"/>
      <x:c r="I423" s="74"/>
      <x:c r="J423" s="74"/>
      <x:c r="K423" s="74"/>
      <x:c r="L423" s="74"/>
      <x:c r="M423" s="91"/>
      <x:c r="N423" s="91"/>
      <x:c r="O423" s="85"/>
      <x:c r="P423" s="85"/>
      <x:c r="Q423" s="85"/>
      <x:c r="R423" s="85"/>
      <x:c r="T423" s="86"/>
      <x:c r="U423" s="86"/>
      <x:c r="V423" s="32"/>
    </x:row>
    <x:row r="424">
      <x:c r="A424" s="87"/>
      <x:c r="B424" s="88"/>
      <x:c r="D424" s="32"/>
      <x:c r="G424" s="74"/>
      <x:c r="H424" s="74"/>
      <x:c r="I424" s="74"/>
      <x:c r="J424" s="74"/>
      <x:c r="K424" s="74"/>
      <x:c r="L424" s="74"/>
      <x:c r="M424" s="91"/>
      <x:c r="N424" s="91"/>
      <x:c r="O424" s="85"/>
      <x:c r="P424" s="85"/>
      <x:c r="Q424" s="85"/>
      <x:c r="R424" s="85"/>
      <x:c r="T424" s="86"/>
      <x:c r="U424" s="86"/>
      <x:c r="V424" s="32"/>
    </x:row>
    <x:row r="425">
      <x:c r="A425" s="87"/>
      <x:c r="B425" s="88"/>
      <x:c r="D425" s="32"/>
      <x:c r="G425" s="74"/>
      <x:c r="H425" s="74"/>
      <x:c r="I425" s="74"/>
      <x:c r="J425" s="74"/>
      <x:c r="K425" s="74"/>
      <x:c r="L425" s="74"/>
      <x:c r="M425" s="91"/>
      <x:c r="N425" s="91"/>
      <x:c r="O425" s="85"/>
      <x:c r="P425" s="85"/>
      <x:c r="Q425" s="85"/>
      <x:c r="R425" s="85"/>
      <x:c r="T425" s="86"/>
      <x:c r="U425" s="86"/>
      <x:c r="V425" s="32"/>
    </x:row>
    <x:row r="426">
      <x:c r="A426" s="87"/>
      <x:c r="B426" s="88"/>
      <x:c r="D426" s="32"/>
      <x:c r="G426" s="74"/>
      <x:c r="H426" s="74"/>
      <x:c r="I426" s="74"/>
      <x:c r="J426" s="74"/>
      <x:c r="K426" s="74"/>
      <x:c r="L426" s="74"/>
      <x:c r="M426" s="91"/>
      <x:c r="N426" s="91"/>
      <x:c r="O426" s="85"/>
      <x:c r="P426" s="85"/>
      <x:c r="Q426" s="85"/>
      <x:c r="R426" s="85"/>
      <x:c r="T426" s="86"/>
      <x:c r="U426" s="86"/>
      <x:c r="V426" s="32"/>
    </x:row>
    <x:row r="427">
      <x:c r="A427" s="87"/>
      <x:c r="B427" s="88"/>
      <x:c r="D427" s="32"/>
      <x:c r="G427" s="74"/>
      <x:c r="H427" s="74"/>
      <x:c r="I427" s="74"/>
      <x:c r="J427" s="74"/>
      <x:c r="K427" s="74"/>
      <x:c r="L427" s="74"/>
      <x:c r="M427" s="91"/>
      <x:c r="N427" s="91"/>
      <x:c r="O427" s="85"/>
      <x:c r="P427" s="85"/>
      <x:c r="Q427" s="85"/>
      <x:c r="R427" s="85"/>
      <x:c r="T427" s="86"/>
      <x:c r="U427" s="86"/>
      <x:c r="V427" s="32"/>
    </x:row>
    <x:row r="428">
      <x:c r="A428" s="87"/>
      <x:c r="B428" s="88"/>
      <x:c r="D428" s="32"/>
      <x:c r="G428" s="74"/>
      <x:c r="H428" s="74"/>
      <x:c r="I428" s="74"/>
      <x:c r="J428" s="74"/>
      <x:c r="K428" s="74"/>
      <x:c r="L428" s="74"/>
      <x:c r="M428" s="91"/>
      <x:c r="N428" s="91"/>
      <x:c r="O428" s="85"/>
      <x:c r="P428" s="85"/>
      <x:c r="Q428" s="85"/>
      <x:c r="R428" s="85"/>
      <x:c r="T428" s="86"/>
      <x:c r="U428" s="86"/>
      <x:c r="V428" s="32"/>
    </x:row>
    <x:row r="429">
      <x:c r="A429" s="87"/>
      <x:c r="B429" s="88"/>
      <x:c r="D429" s="32"/>
      <x:c r="G429" s="74"/>
      <x:c r="H429" s="74"/>
      <x:c r="I429" s="74"/>
      <x:c r="J429" s="74"/>
      <x:c r="K429" s="74"/>
      <x:c r="L429" s="74"/>
      <x:c r="M429" s="91"/>
      <x:c r="N429" s="91"/>
      <x:c r="O429" s="85"/>
      <x:c r="P429" s="85"/>
      <x:c r="Q429" s="85"/>
      <x:c r="R429" s="85"/>
      <x:c r="T429" s="86"/>
      <x:c r="U429" s="86"/>
      <x:c r="V429" s="32"/>
    </x:row>
    <x:row r="430">
      <x:c r="A430" s="87"/>
      <x:c r="B430" s="88"/>
      <x:c r="D430" s="32"/>
      <x:c r="G430" s="74"/>
      <x:c r="H430" s="74"/>
      <x:c r="I430" s="74"/>
      <x:c r="J430" s="74"/>
      <x:c r="K430" s="74"/>
      <x:c r="L430" s="74"/>
      <x:c r="M430" s="91"/>
      <x:c r="N430" s="91"/>
      <x:c r="O430" s="85"/>
      <x:c r="P430" s="85"/>
      <x:c r="Q430" s="85"/>
      <x:c r="R430" s="85"/>
      <x:c r="T430" s="86"/>
      <x:c r="U430" s="86"/>
      <x:c r="V430" s="32"/>
    </x:row>
    <x:row r="431">
      <x:c r="A431" s="87"/>
      <x:c r="B431" s="88"/>
      <x:c r="D431" s="32"/>
      <x:c r="G431" s="74"/>
      <x:c r="H431" s="74"/>
      <x:c r="I431" s="74"/>
      <x:c r="J431" s="74"/>
      <x:c r="K431" s="74"/>
      <x:c r="L431" s="74"/>
      <x:c r="M431" s="91"/>
      <x:c r="N431" s="91"/>
      <x:c r="O431" s="85"/>
      <x:c r="P431" s="85"/>
      <x:c r="Q431" s="85"/>
      <x:c r="R431" s="85"/>
      <x:c r="T431" s="86"/>
      <x:c r="U431" s="86"/>
      <x:c r="V431" s="32"/>
    </x:row>
    <x:row r="432">
      <x:c r="A432" s="87"/>
      <x:c r="B432" s="88"/>
      <x:c r="D432" s="32"/>
      <x:c r="G432" s="74"/>
      <x:c r="H432" s="74"/>
      <x:c r="I432" s="74"/>
      <x:c r="J432" s="74"/>
      <x:c r="K432" s="74"/>
      <x:c r="L432" s="74"/>
      <x:c r="M432" s="91"/>
      <x:c r="N432" s="91"/>
      <x:c r="O432" s="85"/>
      <x:c r="P432" s="85"/>
      <x:c r="Q432" s="85"/>
      <x:c r="R432" s="85"/>
      <x:c r="T432" s="86"/>
      <x:c r="U432" s="86"/>
      <x:c r="V432" s="32"/>
    </x:row>
    <x:row r="433">
      <x:c r="A433" s="87"/>
      <x:c r="B433" s="88"/>
      <x:c r="D433" s="32"/>
      <x:c r="G433" s="74"/>
      <x:c r="H433" s="74"/>
      <x:c r="I433" s="74"/>
      <x:c r="J433" s="74"/>
      <x:c r="K433" s="74"/>
      <x:c r="L433" s="74"/>
      <x:c r="M433" s="91"/>
      <x:c r="N433" s="91"/>
      <x:c r="O433" s="85"/>
      <x:c r="P433" s="85"/>
      <x:c r="Q433" s="85"/>
      <x:c r="R433" s="85"/>
      <x:c r="T433" s="86"/>
      <x:c r="U433" s="86"/>
      <x:c r="V433" s="32"/>
    </x:row>
    <x:row r="434">
      <x:c r="A434" s="87"/>
      <x:c r="B434" s="88"/>
      <x:c r="D434" s="32"/>
      <x:c r="G434" s="74"/>
      <x:c r="H434" s="74"/>
      <x:c r="I434" s="74"/>
      <x:c r="J434" s="74"/>
      <x:c r="K434" s="74"/>
      <x:c r="L434" s="74"/>
      <x:c r="M434" s="91"/>
      <x:c r="N434" s="91"/>
      <x:c r="O434" s="85"/>
      <x:c r="P434" s="85"/>
      <x:c r="Q434" s="85"/>
      <x:c r="R434" s="85"/>
      <x:c r="T434" s="86"/>
      <x:c r="U434" s="86"/>
      <x:c r="V434" s="32"/>
    </x:row>
    <x:row r="435">
      <x:c r="A435" s="87"/>
      <x:c r="B435" s="88"/>
      <x:c r="D435" s="32"/>
      <x:c r="G435" s="74"/>
      <x:c r="H435" s="74"/>
      <x:c r="I435" s="74"/>
      <x:c r="J435" s="74"/>
      <x:c r="K435" s="74"/>
      <x:c r="L435" s="74"/>
      <x:c r="M435" s="91"/>
      <x:c r="N435" s="91"/>
      <x:c r="O435" s="85"/>
      <x:c r="P435" s="85"/>
      <x:c r="Q435" s="85"/>
      <x:c r="R435" s="85"/>
      <x:c r="T435" s="86"/>
      <x:c r="U435" s="86"/>
      <x:c r="V435" s="32"/>
    </x:row>
    <x:row r="436">
      <x:c r="A436" s="87"/>
      <x:c r="B436" s="88"/>
      <x:c r="D436" s="32"/>
      <x:c r="G436" s="74"/>
      <x:c r="H436" s="74"/>
      <x:c r="I436" s="74"/>
      <x:c r="J436" s="74"/>
      <x:c r="K436" s="74"/>
      <x:c r="L436" s="74"/>
      <x:c r="M436" s="91"/>
      <x:c r="N436" s="91"/>
      <x:c r="O436" s="85"/>
      <x:c r="P436" s="85"/>
      <x:c r="Q436" s="85"/>
      <x:c r="R436" s="85"/>
      <x:c r="T436" s="86"/>
      <x:c r="U436" s="86"/>
      <x:c r="V436" s="32"/>
    </x:row>
    <x:row r="437">
      <x:c r="A437" s="87"/>
      <x:c r="B437" s="88"/>
      <x:c r="D437" s="32"/>
      <x:c r="G437" s="74"/>
      <x:c r="H437" s="74"/>
      <x:c r="I437" s="74"/>
      <x:c r="J437" s="74"/>
      <x:c r="K437" s="74"/>
      <x:c r="L437" s="74"/>
      <x:c r="M437" s="91"/>
      <x:c r="N437" s="91"/>
      <x:c r="O437" s="85"/>
      <x:c r="P437" s="85"/>
      <x:c r="Q437" s="85"/>
      <x:c r="R437" s="85"/>
      <x:c r="T437" s="86"/>
      <x:c r="U437" s="86"/>
      <x:c r="V437" s="32"/>
    </x:row>
    <x:row r="438">
      <x:c r="A438" s="87"/>
      <x:c r="B438" s="88"/>
      <x:c r="D438" s="32"/>
      <x:c r="G438" s="74"/>
      <x:c r="H438" s="74"/>
      <x:c r="I438" s="74"/>
      <x:c r="J438" s="74"/>
      <x:c r="K438" s="74"/>
      <x:c r="L438" s="74"/>
      <x:c r="M438" s="91"/>
      <x:c r="N438" s="91"/>
      <x:c r="O438" s="85"/>
      <x:c r="P438" s="85"/>
      <x:c r="Q438" s="85"/>
      <x:c r="R438" s="85"/>
      <x:c r="T438" s="86"/>
      <x:c r="U438" s="86"/>
      <x:c r="V438" s="32"/>
    </x:row>
    <x:row r="439">
      <x:c r="A439" s="87"/>
      <x:c r="B439" s="88"/>
      <x:c r="D439" s="32"/>
      <x:c r="G439" s="74"/>
      <x:c r="H439" s="74"/>
      <x:c r="I439" s="74"/>
      <x:c r="J439" s="74"/>
      <x:c r="K439" s="74"/>
      <x:c r="L439" s="74"/>
      <x:c r="M439" s="91"/>
      <x:c r="N439" s="91"/>
      <x:c r="O439" s="85"/>
      <x:c r="P439" s="85"/>
      <x:c r="Q439" s="85"/>
      <x:c r="R439" s="85"/>
      <x:c r="T439" s="86"/>
      <x:c r="U439" s="86"/>
      <x:c r="V439" s="32"/>
    </x:row>
    <x:row r="440">
      <x:c r="A440" s="87"/>
      <x:c r="B440" s="88"/>
      <x:c r="D440" s="32"/>
      <x:c r="G440" s="74"/>
      <x:c r="H440" s="74"/>
      <x:c r="I440" s="74"/>
      <x:c r="J440" s="74"/>
      <x:c r="K440" s="74"/>
      <x:c r="L440" s="74"/>
      <x:c r="M440" s="91"/>
      <x:c r="N440" s="91"/>
      <x:c r="O440" s="85"/>
      <x:c r="P440" s="85"/>
      <x:c r="Q440" s="85"/>
      <x:c r="R440" s="85"/>
      <x:c r="T440" s="86"/>
      <x:c r="U440" s="86"/>
      <x:c r="V440" s="32"/>
    </x:row>
    <x:row r="441">
      <x:c r="A441" s="87"/>
      <x:c r="B441" s="88"/>
      <x:c r="D441" s="32"/>
      <x:c r="G441" s="74"/>
      <x:c r="H441" s="74"/>
      <x:c r="I441" s="74"/>
      <x:c r="J441" s="74"/>
      <x:c r="K441" s="74"/>
      <x:c r="L441" s="74"/>
      <x:c r="M441" s="91"/>
      <x:c r="N441" s="91"/>
      <x:c r="O441" s="85"/>
      <x:c r="P441" s="85"/>
      <x:c r="Q441" s="85"/>
      <x:c r="R441" s="85"/>
      <x:c r="T441" s="86"/>
      <x:c r="U441" s="86"/>
      <x:c r="V441" s="32"/>
    </x:row>
    <x:row r="442">
      <x:c r="A442" s="87"/>
      <x:c r="B442" s="88"/>
      <x:c r="D442" s="32"/>
      <x:c r="G442" s="74"/>
      <x:c r="H442" s="74"/>
      <x:c r="I442" s="74"/>
      <x:c r="J442" s="74"/>
      <x:c r="K442" s="74"/>
      <x:c r="L442" s="74"/>
      <x:c r="M442" s="91"/>
      <x:c r="N442" s="91"/>
      <x:c r="O442" s="85"/>
      <x:c r="P442" s="85"/>
      <x:c r="Q442" s="85"/>
      <x:c r="R442" s="85"/>
      <x:c r="T442" s="86"/>
      <x:c r="U442" s="86"/>
      <x:c r="V442" s="32"/>
    </x:row>
    <x:row r="443">
      <x:c r="A443" s="87"/>
      <x:c r="B443" s="88"/>
      <x:c r="D443" s="32"/>
      <x:c r="G443" s="74"/>
      <x:c r="H443" s="74"/>
      <x:c r="I443" s="74"/>
      <x:c r="J443" s="74"/>
      <x:c r="K443" s="74"/>
      <x:c r="L443" s="74"/>
      <x:c r="M443" s="91"/>
      <x:c r="N443" s="91"/>
      <x:c r="O443" s="85"/>
      <x:c r="P443" s="85"/>
      <x:c r="Q443" s="85"/>
      <x:c r="R443" s="85"/>
      <x:c r="T443" s="86"/>
      <x:c r="U443" s="86"/>
      <x:c r="V443" s="32"/>
    </x:row>
    <x:row r="444">
      <x:c r="A444" s="87"/>
      <x:c r="B444" s="88"/>
      <x:c r="D444" s="32"/>
      <x:c r="G444" s="74"/>
      <x:c r="H444" s="74"/>
      <x:c r="I444" s="74"/>
      <x:c r="J444" s="74"/>
      <x:c r="K444" s="74"/>
      <x:c r="L444" s="74"/>
      <x:c r="M444" s="91"/>
      <x:c r="N444" s="91"/>
      <x:c r="O444" s="85"/>
      <x:c r="P444" s="85"/>
      <x:c r="Q444" s="85"/>
      <x:c r="R444" s="85"/>
      <x:c r="T444" s="86"/>
      <x:c r="U444" s="86"/>
      <x:c r="V444" s="32"/>
    </x:row>
    <x:row r="445">
      <x:c r="A445" s="87"/>
      <x:c r="B445" s="88"/>
      <x:c r="D445" s="32"/>
      <x:c r="G445" s="74"/>
      <x:c r="H445" s="74"/>
      <x:c r="I445" s="74"/>
      <x:c r="J445" s="74"/>
      <x:c r="K445" s="74"/>
      <x:c r="L445" s="74"/>
      <x:c r="M445" s="91"/>
      <x:c r="N445" s="91"/>
      <x:c r="O445" s="85"/>
      <x:c r="P445" s="85"/>
      <x:c r="Q445" s="85"/>
      <x:c r="R445" s="85"/>
      <x:c r="T445" s="86"/>
      <x:c r="U445" s="86"/>
      <x:c r="V445" s="32"/>
    </x:row>
    <x:row r="446">
      <x:c r="A446" s="87"/>
      <x:c r="B446" s="88"/>
      <x:c r="D446" s="32"/>
      <x:c r="G446" s="74"/>
      <x:c r="H446" s="74"/>
      <x:c r="I446" s="74"/>
      <x:c r="J446" s="74"/>
      <x:c r="K446" s="74"/>
      <x:c r="L446" s="74"/>
      <x:c r="M446" s="91"/>
      <x:c r="N446" s="91"/>
      <x:c r="O446" s="85"/>
      <x:c r="P446" s="85"/>
      <x:c r="Q446" s="85"/>
      <x:c r="R446" s="85"/>
      <x:c r="T446" s="86"/>
      <x:c r="U446" s="86"/>
      <x:c r="V446" s="32"/>
    </x:row>
    <x:row r="447">
      <x:c r="A447" s="87"/>
      <x:c r="B447" s="88"/>
      <x:c r="D447" s="32"/>
      <x:c r="G447" s="74"/>
      <x:c r="H447" s="74"/>
      <x:c r="I447" s="74"/>
      <x:c r="J447" s="74"/>
      <x:c r="K447" s="74"/>
      <x:c r="L447" s="74"/>
      <x:c r="M447" s="91"/>
      <x:c r="N447" s="91"/>
      <x:c r="O447" s="85"/>
      <x:c r="P447" s="85"/>
      <x:c r="Q447" s="85"/>
      <x:c r="R447" s="85"/>
      <x:c r="T447" s="86"/>
      <x:c r="U447" s="86"/>
      <x:c r="V447" s="32"/>
    </x:row>
    <x:row r="448">
      <x:c r="A448" s="87"/>
      <x:c r="B448" s="88"/>
      <x:c r="D448" s="32"/>
      <x:c r="G448" s="74"/>
      <x:c r="H448" s="74"/>
      <x:c r="I448" s="74"/>
      <x:c r="J448" s="74"/>
      <x:c r="K448" s="74"/>
      <x:c r="L448" s="74"/>
      <x:c r="M448" s="91"/>
      <x:c r="N448" s="91"/>
      <x:c r="O448" s="85"/>
      <x:c r="P448" s="85"/>
      <x:c r="Q448" s="85"/>
      <x:c r="R448" s="85"/>
      <x:c r="T448" s="86"/>
      <x:c r="U448" s="86"/>
      <x:c r="V448" s="32"/>
    </x:row>
    <x:row r="449">
      <x:c r="A449" s="87"/>
      <x:c r="B449" s="88"/>
      <x:c r="D449" s="32"/>
      <x:c r="G449" s="74"/>
      <x:c r="H449" s="74"/>
      <x:c r="I449" s="74"/>
      <x:c r="J449" s="74"/>
      <x:c r="K449" s="74"/>
      <x:c r="L449" s="74"/>
      <x:c r="M449" s="91"/>
      <x:c r="N449" s="91"/>
      <x:c r="O449" s="85"/>
      <x:c r="P449" s="85"/>
      <x:c r="Q449" s="85"/>
      <x:c r="R449" s="85"/>
      <x:c r="T449" s="86"/>
      <x:c r="U449" s="86"/>
      <x:c r="V449" s="32"/>
    </x:row>
    <x:row r="450">
      <x:c r="A450" s="87"/>
      <x:c r="B450" s="88"/>
      <x:c r="D450" s="32"/>
      <x:c r="G450" s="74"/>
      <x:c r="H450" s="74"/>
      <x:c r="I450" s="74"/>
      <x:c r="J450" s="74"/>
      <x:c r="K450" s="74"/>
      <x:c r="L450" s="74"/>
      <x:c r="M450" s="91"/>
      <x:c r="N450" s="91"/>
      <x:c r="O450" s="85"/>
      <x:c r="P450" s="85"/>
      <x:c r="Q450" s="85"/>
      <x:c r="R450" s="85"/>
      <x:c r="T450" s="86"/>
      <x:c r="U450" s="86"/>
      <x:c r="V450" s="32"/>
    </x:row>
    <x:row r="451">
      <x:c r="A451" s="87"/>
      <x:c r="B451" s="88"/>
      <x:c r="D451" s="32"/>
      <x:c r="G451" s="74"/>
      <x:c r="H451" s="74"/>
      <x:c r="I451" s="74"/>
      <x:c r="J451" s="74"/>
      <x:c r="K451" s="74"/>
      <x:c r="L451" s="74"/>
      <x:c r="M451" s="91"/>
      <x:c r="N451" s="91"/>
      <x:c r="O451" s="85"/>
      <x:c r="P451" s="85"/>
      <x:c r="Q451" s="85"/>
      <x:c r="R451" s="85"/>
      <x:c r="T451" s="86"/>
      <x:c r="U451" s="86"/>
      <x:c r="V451" s="32"/>
    </x:row>
    <x:row r="452">
      <x:c r="A452" s="87"/>
      <x:c r="B452" s="88"/>
      <x:c r="D452" s="32"/>
      <x:c r="G452" s="74"/>
      <x:c r="H452" s="74"/>
      <x:c r="I452" s="74"/>
      <x:c r="J452" s="74"/>
      <x:c r="K452" s="74"/>
      <x:c r="L452" s="74"/>
      <x:c r="M452" s="91"/>
      <x:c r="N452" s="91"/>
      <x:c r="O452" s="85"/>
      <x:c r="P452" s="85"/>
      <x:c r="Q452" s="85"/>
      <x:c r="R452" s="85"/>
      <x:c r="T452" s="86"/>
      <x:c r="U452" s="86"/>
      <x:c r="V452" s="32"/>
    </x:row>
    <x:row r="453">
      <x:c r="A453" s="87"/>
      <x:c r="B453" s="88"/>
      <x:c r="D453" s="32"/>
      <x:c r="G453" s="74"/>
      <x:c r="H453" s="74"/>
      <x:c r="I453" s="74"/>
      <x:c r="J453" s="74"/>
      <x:c r="K453" s="74"/>
      <x:c r="L453" s="74"/>
      <x:c r="M453" s="91"/>
      <x:c r="N453" s="91"/>
      <x:c r="O453" s="85"/>
      <x:c r="P453" s="85"/>
      <x:c r="Q453" s="85"/>
      <x:c r="R453" s="85"/>
      <x:c r="T453" s="86"/>
      <x:c r="U453" s="86"/>
      <x:c r="V453" s="32"/>
    </x:row>
    <x:row r="454">
      <x:c r="A454" s="87"/>
      <x:c r="B454" s="88"/>
      <x:c r="D454" s="32"/>
      <x:c r="G454" s="74"/>
      <x:c r="H454" s="74"/>
      <x:c r="I454" s="74"/>
      <x:c r="J454" s="74"/>
      <x:c r="K454" s="74"/>
      <x:c r="L454" s="74"/>
      <x:c r="M454" s="91"/>
      <x:c r="N454" s="91"/>
      <x:c r="O454" s="85"/>
      <x:c r="P454" s="85"/>
      <x:c r="Q454" s="85"/>
      <x:c r="R454" s="85"/>
      <x:c r="T454" s="86"/>
      <x:c r="U454" s="86"/>
      <x:c r="V454" s="32"/>
    </x:row>
    <x:row r="455">
      <x:c r="A455" s="87"/>
      <x:c r="B455" s="88"/>
      <x:c r="D455" s="32"/>
      <x:c r="G455" s="74"/>
      <x:c r="H455" s="74"/>
      <x:c r="I455" s="74"/>
      <x:c r="J455" s="74"/>
      <x:c r="K455" s="74"/>
      <x:c r="L455" s="74"/>
      <x:c r="M455" s="91"/>
      <x:c r="N455" s="91"/>
      <x:c r="O455" s="85"/>
      <x:c r="P455" s="85"/>
      <x:c r="Q455" s="85"/>
      <x:c r="R455" s="85"/>
      <x:c r="T455" s="86"/>
      <x:c r="U455" s="86"/>
      <x:c r="V455" s="32"/>
    </x:row>
    <x:row r="456">
      <x:c r="A456" s="87"/>
      <x:c r="B456" s="88"/>
      <x:c r="D456" s="32"/>
      <x:c r="G456" s="74"/>
      <x:c r="H456" s="74"/>
      <x:c r="I456" s="74"/>
      <x:c r="J456" s="74"/>
      <x:c r="K456" s="74"/>
      <x:c r="L456" s="74"/>
      <x:c r="M456" s="91"/>
      <x:c r="N456" s="91"/>
      <x:c r="O456" s="85"/>
      <x:c r="P456" s="85"/>
      <x:c r="Q456" s="85"/>
      <x:c r="R456" s="85"/>
      <x:c r="T456" s="86"/>
      <x:c r="U456" s="86"/>
      <x:c r="V456" s="32"/>
    </x:row>
    <x:row r="457">
      <x:c r="A457" s="87"/>
      <x:c r="B457" s="88"/>
      <x:c r="D457" s="32"/>
      <x:c r="G457" s="74"/>
      <x:c r="H457" s="74"/>
      <x:c r="I457" s="74"/>
      <x:c r="J457" s="74"/>
      <x:c r="K457" s="74"/>
      <x:c r="L457" s="74"/>
      <x:c r="M457" s="91"/>
      <x:c r="N457" s="91"/>
      <x:c r="O457" s="85"/>
      <x:c r="P457" s="85"/>
      <x:c r="Q457" s="85"/>
      <x:c r="R457" s="85"/>
      <x:c r="T457" s="86"/>
      <x:c r="U457" s="86"/>
      <x:c r="V457" s="32"/>
    </x:row>
    <x:row r="458">
      <x:c r="A458" s="87"/>
      <x:c r="B458" s="88"/>
      <x:c r="D458" s="32"/>
      <x:c r="G458" s="74"/>
      <x:c r="H458" s="74"/>
      <x:c r="I458" s="74"/>
      <x:c r="J458" s="74"/>
      <x:c r="K458" s="74"/>
      <x:c r="L458" s="74"/>
      <x:c r="M458" s="91"/>
      <x:c r="N458" s="91"/>
      <x:c r="O458" s="85"/>
      <x:c r="P458" s="85"/>
      <x:c r="Q458" s="85"/>
      <x:c r="R458" s="85"/>
      <x:c r="T458" s="86"/>
      <x:c r="U458" s="86"/>
      <x:c r="V458" s="32"/>
    </x:row>
    <x:row r="459">
      <x:c r="A459" s="87"/>
      <x:c r="B459" s="88"/>
      <x:c r="D459" s="32"/>
      <x:c r="G459" s="74"/>
      <x:c r="H459" s="74"/>
      <x:c r="I459" s="74"/>
      <x:c r="J459" s="74"/>
      <x:c r="K459" s="74"/>
      <x:c r="L459" s="74"/>
      <x:c r="M459" s="91"/>
      <x:c r="N459" s="91"/>
      <x:c r="O459" s="85"/>
      <x:c r="P459" s="85"/>
      <x:c r="Q459" s="85"/>
      <x:c r="R459" s="85"/>
      <x:c r="T459" s="86"/>
      <x:c r="U459" s="86"/>
      <x:c r="V459" s="32"/>
    </x:row>
    <x:row r="460">
      <x:c r="A460" s="87"/>
      <x:c r="B460" s="88"/>
      <x:c r="D460" s="32"/>
      <x:c r="G460" s="74"/>
      <x:c r="H460" s="74"/>
      <x:c r="I460" s="74"/>
      <x:c r="J460" s="74"/>
      <x:c r="K460" s="74"/>
      <x:c r="L460" s="74"/>
      <x:c r="M460" s="91"/>
      <x:c r="N460" s="91"/>
      <x:c r="O460" s="85"/>
      <x:c r="P460" s="85"/>
      <x:c r="Q460" s="85"/>
      <x:c r="R460" s="85"/>
      <x:c r="T460" s="86"/>
      <x:c r="U460" s="86"/>
      <x:c r="V460" s="32"/>
    </x:row>
    <x:row r="461">
      <x:c r="A461" s="87"/>
      <x:c r="B461" s="88"/>
      <x:c r="D461" s="32"/>
      <x:c r="G461" s="74"/>
      <x:c r="H461" s="74"/>
      <x:c r="I461" s="74"/>
      <x:c r="J461" s="74"/>
      <x:c r="K461" s="74"/>
      <x:c r="L461" s="74"/>
      <x:c r="M461" s="91"/>
      <x:c r="N461" s="91"/>
      <x:c r="O461" s="85"/>
      <x:c r="P461" s="85"/>
      <x:c r="Q461" s="85"/>
      <x:c r="R461" s="85"/>
      <x:c r="T461" s="86"/>
      <x:c r="U461" s="86"/>
      <x:c r="V461" s="32"/>
    </x:row>
    <x:row r="462">
      <x:c r="A462" s="87"/>
      <x:c r="B462" s="88"/>
      <x:c r="D462" s="32"/>
      <x:c r="G462" s="74"/>
      <x:c r="H462" s="74"/>
      <x:c r="I462" s="74"/>
      <x:c r="J462" s="74"/>
      <x:c r="K462" s="74"/>
      <x:c r="L462" s="74"/>
      <x:c r="M462" s="91"/>
      <x:c r="N462" s="91"/>
      <x:c r="O462" s="85"/>
      <x:c r="P462" s="85"/>
      <x:c r="Q462" s="85"/>
      <x:c r="R462" s="85"/>
      <x:c r="T462" s="86"/>
      <x:c r="U462" s="86"/>
      <x:c r="V462" s="32"/>
    </x:row>
    <x:row r="463">
      <x:c r="A463" s="87"/>
      <x:c r="B463" s="88"/>
      <x:c r="D463" s="32"/>
      <x:c r="G463" s="74"/>
      <x:c r="H463" s="74"/>
      <x:c r="I463" s="74"/>
      <x:c r="J463" s="74"/>
      <x:c r="K463" s="74"/>
      <x:c r="L463" s="74"/>
      <x:c r="M463" s="91"/>
      <x:c r="N463" s="91"/>
      <x:c r="O463" s="85"/>
      <x:c r="P463" s="85"/>
      <x:c r="Q463" s="85"/>
      <x:c r="R463" s="85"/>
      <x:c r="T463" s="86"/>
      <x:c r="U463" s="86"/>
      <x:c r="V463" s="32"/>
    </x:row>
    <x:row r="464">
      <x:c r="A464" s="87"/>
      <x:c r="B464" s="88"/>
      <x:c r="D464" s="32"/>
      <x:c r="G464" s="74"/>
      <x:c r="H464" s="74"/>
      <x:c r="I464" s="74"/>
      <x:c r="J464" s="74"/>
      <x:c r="K464" s="74"/>
      <x:c r="L464" s="74"/>
      <x:c r="M464" s="91"/>
      <x:c r="N464" s="91"/>
      <x:c r="O464" s="85"/>
      <x:c r="P464" s="85"/>
      <x:c r="Q464" s="85"/>
      <x:c r="R464" s="85"/>
      <x:c r="T464" s="86"/>
      <x:c r="U464" s="86"/>
      <x:c r="V464" s="32"/>
    </x:row>
    <x:row r="465">
      <x:c r="A465" s="87"/>
      <x:c r="B465" s="88"/>
      <x:c r="D465" s="32"/>
      <x:c r="G465" s="74"/>
      <x:c r="H465" s="74"/>
      <x:c r="I465" s="74"/>
      <x:c r="J465" s="74"/>
      <x:c r="K465" s="74"/>
      <x:c r="L465" s="74"/>
      <x:c r="M465" s="91"/>
      <x:c r="N465" s="91"/>
      <x:c r="O465" s="85"/>
      <x:c r="P465" s="85"/>
      <x:c r="Q465" s="85"/>
      <x:c r="R465" s="85"/>
      <x:c r="T465" s="86"/>
      <x:c r="U465" s="86"/>
      <x:c r="V465" s="32"/>
    </x:row>
    <x:row r="466">
      <x:c r="A466" s="87"/>
      <x:c r="B466" s="88"/>
      <x:c r="D466" s="32"/>
      <x:c r="G466" s="74"/>
      <x:c r="H466" s="74"/>
      <x:c r="I466" s="74"/>
      <x:c r="J466" s="74"/>
      <x:c r="K466" s="74"/>
      <x:c r="L466" s="74"/>
      <x:c r="M466" s="91"/>
      <x:c r="N466" s="91"/>
      <x:c r="O466" s="85"/>
      <x:c r="P466" s="85"/>
      <x:c r="Q466" s="85"/>
      <x:c r="R466" s="85"/>
      <x:c r="T466" s="86"/>
      <x:c r="U466" s="86"/>
      <x:c r="V466" s="32"/>
    </x:row>
    <x:row r="467">
      <x:c r="A467" s="87"/>
      <x:c r="B467" s="88"/>
      <x:c r="D467" s="32"/>
      <x:c r="G467" s="74"/>
      <x:c r="H467" s="74"/>
      <x:c r="I467" s="74"/>
      <x:c r="J467" s="74"/>
      <x:c r="K467" s="74"/>
      <x:c r="L467" s="74"/>
      <x:c r="M467" s="91"/>
      <x:c r="N467" s="91"/>
      <x:c r="O467" s="85"/>
      <x:c r="P467" s="85"/>
      <x:c r="Q467" s="85"/>
      <x:c r="R467" s="85"/>
      <x:c r="T467" s="86"/>
      <x:c r="U467" s="86"/>
      <x:c r="V467" s="32"/>
    </x:row>
    <x:row r="468">
      <x:c r="A468" s="87"/>
      <x:c r="B468" s="88"/>
      <x:c r="D468" s="32"/>
      <x:c r="G468" s="74"/>
      <x:c r="H468" s="74"/>
      <x:c r="I468" s="74"/>
      <x:c r="J468" s="74"/>
      <x:c r="K468" s="74"/>
      <x:c r="L468" s="74"/>
      <x:c r="M468" s="91"/>
      <x:c r="N468" s="91"/>
      <x:c r="O468" s="85"/>
      <x:c r="P468" s="85"/>
      <x:c r="Q468" s="85"/>
      <x:c r="R468" s="85"/>
      <x:c r="T468" s="86"/>
      <x:c r="U468" s="86"/>
      <x:c r="V468" s="32"/>
    </x:row>
    <x:row r="469">
      <x:c r="A469" s="87"/>
      <x:c r="B469" s="88"/>
      <x:c r="D469" s="32"/>
      <x:c r="G469" s="74"/>
      <x:c r="H469" s="74"/>
      <x:c r="I469" s="74"/>
      <x:c r="J469" s="74"/>
      <x:c r="K469" s="74"/>
      <x:c r="L469" s="74"/>
      <x:c r="M469" s="91"/>
      <x:c r="N469" s="91"/>
      <x:c r="O469" s="85"/>
      <x:c r="P469" s="85"/>
      <x:c r="Q469" s="85"/>
      <x:c r="R469" s="85"/>
      <x:c r="T469" s="86"/>
      <x:c r="U469" s="86"/>
      <x:c r="V469" s="32"/>
    </x:row>
    <x:row r="470">
      <x:c r="A470" s="87"/>
      <x:c r="B470" s="88"/>
      <x:c r="D470" s="32"/>
      <x:c r="G470" s="74"/>
      <x:c r="H470" s="74"/>
      <x:c r="I470" s="74"/>
      <x:c r="J470" s="74"/>
      <x:c r="K470" s="74"/>
      <x:c r="L470" s="74"/>
      <x:c r="M470" s="91"/>
      <x:c r="N470" s="91"/>
      <x:c r="O470" s="85"/>
      <x:c r="P470" s="85"/>
      <x:c r="Q470" s="85"/>
      <x:c r="R470" s="85"/>
      <x:c r="T470" s="86"/>
      <x:c r="U470" s="86"/>
      <x:c r="V470" s="32"/>
    </x:row>
    <x:row r="471">
      <x:c r="A471" s="87"/>
      <x:c r="B471" s="88"/>
      <x:c r="D471" s="32"/>
      <x:c r="G471" s="74"/>
      <x:c r="H471" s="74"/>
      <x:c r="I471" s="74"/>
      <x:c r="J471" s="74"/>
      <x:c r="K471" s="74"/>
      <x:c r="L471" s="74"/>
      <x:c r="M471" s="91"/>
      <x:c r="N471" s="91"/>
      <x:c r="O471" s="85"/>
      <x:c r="P471" s="85"/>
      <x:c r="Q471" s="85"/>
      <x:c r="R471" s="85"/>
      <x:c r="T471" s="86"/>
      <x:c r="U471" s="86"/>
      <x:c r="V471" s="32"/>
    </x:row>
    <x:row r="472">
      <x:c r="A472" s="87"/>
      <x:c r="B472" s="88"/>
      <x:c r="D472" s="32"/>
      <x:c r="G472" s="74"/>
      <x:c r="H472" s="74"/>
      <x:c r="I472" s="74"/>
      <x:c r="J472" s="74"/>
      <x:c r="K472" s="74"/>
      <x:c r="L472" s="74"/>
      <x:c r="M472" s="91"/>
      <x:c r="N472" s="91"/>
      <x:c r="O472" s="85"/>
      <x:c r="P472" s="85"/>
      <x:c r="Q472" s="85"/>
      <x:c r="R472" s="85"/>
      <x:c r="T472" s="86"/>
      <x:c r="U472" s="86"/>
      <x:c r="V472" s="32"/>
    </x:row>
    <x:row r="473">
      <x:c r="A473" s="87"/>
      <x:c r="B473" s="88"/>
      <x:c r="D473" s="32"/>
      <x:c r="G473" s="74"/>
      <x:c r="H473" s="74"/>
      <x:c r="I473" s="74"/>
      <x:c r="J473" s="74"/>
      <x:c r="K473" s="74"/>
      <x:c r="L473" s="74"/>
      <x:c r="M473" s="91"/>
      <x:c r="N473" s="91"/>
      <x:c r="O473" s="85"/>
      <x:c r="P473" s="85"/>
      <x:c r="Q473" s="85"/>
      <x:c r="R473" s="85"/>
      <x:c r="T473" s="86"/>
      <x:c r="U473" s="86"/>
      <x:c r="V473" s="32"/>
    </x:row>
    <x:row r="474">
      <x:c r="A474" s="87"/>
      <x:c r="B474" s="88"/>
      <x:c r="D474" s="32"/>
      <x:c r="G474" s="74"/>
      <x:c r="H474" s="74"/>
      <x:c r="I474" s="74"/>
      <x:c r="J474" s="74"/>
      <x:c r="K474" s="74"/>
      <x:c r="L474" s="74"/>
      <x:c r="M474" s="91"/>
      <x:c r="N474" s="91"/>
      <x:c r="O474" s="85"/>
      <x:c r="P474" s="85"/>
      <x:c r="Q474" s="85"/>
      <x:c r="R474" s="85"/>
      <x:c r="T474" s="86"/>
      <x:c r="U474" s="86"/>
      <x:c r="V474" s="32"/>
    </x:row>
    <x:row r="475">
      <x:c r="A475" s="87"/>
      <x:c r="B475" s="88"/>
      <x:c r="D475" s="32"/>
      <x:c r="G475" s="74"/>
      <x:c r="H475" s="74"/>
      <x:c r="I475" s="74"/>
      <x:c r="J475" s="74"/>
      <x:c r="K475" s="74"/>
      <x:c r="L475" s="74"/>
      <x:c r="M475" s="91"/>
      <x:c r="N475" s="91"/>
      <x:c r="O475" s="85"/>
      <x:c r="P475" s="85"/>
      <x:c r="Q475" s="85"/>
      <x:c r="R475" s="85"/>
      <x:c r="T475" s="86"/>
      <x:c r="U475" s="86"/>
      <x:c r="V475" s="32"/>
    </x:row>
    <x:row r="476">
      <x:c r="A476" s="87"/>
      <x:c r="B476" s="88"/>
      <x:c r="D476" s="32"/>
      <x:c r="G476" s="74"/>
      <x:c r="H476" s="74"/>
      <x:c r="I476" s="74"/>
      <x:c r="J476" s="74"/>
      <x:c r="K476" s="74"/>
      <x:c r="L476" s="74"/>
      <x:c r="M476" s="91"/>
      <x:c r="N476" s="91"/>
      <x:c r="O476" s="85"/>
      <x:c r="P476" s="85"/>
      <x:c r="Q476" s="85"/>
      <x:c r="R476" s="85"/>
      <x:c r="T476" s="86"/>
      <x:c r="U476" s="86"/>
      <x:c r="V476" s="32"/>
    </x:row>
    <x:row r="477">
      <x:c r="A477" s="87"/>
      <x:c r="B477" s="88"/>
      <x:c r="D477" s="32"/>
      <x:c r="G477" s="74"/>
      <x:c r="H477" s="74"/>
      <x:c r="I477" s="74"/>
      <x:c r="J477" s="74"/>
      <x:c r="K477" s="74"/>
      <x:c r="L477" s="74"/>
      <x:c r="M477" s="91"/>
      <x:c r="N477" s="91"/>
      <x:c r="O477" s="85"/>
      <x:c r="P477" s="85"/>
      <x:c r="Q477" s="85"/>
      <x:c r="R477" s="85"/>
      <x:c r="T477" s="86"/>
      <x:c r="U477" s="86"/>
      <x:c r="V477" s="32"/>
    </x:row>
    <x:row r="478">
      <x:c r="A478" s="87"/>
      <x:c r="B478" s="88"/>
      <x:c r="D478" s="32"/>
      <x:c r="G478" s="74"/>
      <x:c r="H478" s="74"/>
      <x:c r="I478" s="74"/>
      <x:c r="J478" s="74"/>
      <x:c r="K478" s="74"/>
      <x:c r="L478" s="74"/>
      <x:c r="M478" s="91"/>
      <x:c r="N478" s="91"/>
      <x:c r="O478" s="85"/>
      <x:c r="P478" s="85"/>
      <x:c r="Q478" s="85"/>
      <x:c r="R478" s="85"/>
      <x:c r="T478" s="86"/>
      <x:c r="U478" s="86"/>
      <x:c r="V478" s="32"/>
    </x:row>
    <x:row r="479">
      <x:c r="A479" s="87"/>
      <x:c r="B479" s="88"/>
      <x:c r="D479" s="32"/>
      <x:c r="G479" s="74"/>
      <x:c r="H479" s="74"/>
      <x:c r="I479" s="74"/>
      <x:c r="J479" s="74"/>
      <x:c r="K479" s="74"/>
      <x:c r="L479" s="74"/>
      <x:c r="M479" s="91"/>
      <x:c r="N479" s="91"/>
      <x:c r="O479" s="85"/>
      <x:c r="P479" s="85"/>
      <x:c r="Q479" s="85"/>
      <x:c r="R479" s="85"/>
      <x:c r="T479" s="86"/>
      <x:c r="U479" s="86"/>
      <x:c r="V479" s="32"/>
    </x:row>
    <x:row r="480">
      <x:c r="A480" s="87"/>
      <x:c r="B480" s="88"/>
      <x:c r="D480" s="32"/>
      <x:c r="G480" s="74"/>
      <x:c r="H480" s="74"/>
      <x:c r="I480" s="74"/>
      <x:c r="J480" s="74"/>
      <x:c r="K480" s="74"/>
      <x:c r="L480" s="74"/>
      <x:c r="M480" s="91"/>
      <x:c r="N480" s="91"/>
      <x:c r="O480" s="85"/>
      <x:c r="P480" s="85"/>
      <x:c r="Q480" s="85"/>
      <x:c r="R480" s="85"/>
      <x:c r="T480" s="86"/>
      <x:c r="U480" s="86"/>
      <x:c r="V480" s="32"/>
    </x:row>
    <x:row r="481">
      <x:c r="A481" s="87"/>
      <x:c r="B481" s="88"/>
      <x:c r="D481" s="32"/>
      <x:c r="G481" s="74"/>
      <x:c r="H481" s="74"/>
      <x:c r="I481" s="74"/>
      <x:c r="J481" s="74"/>
      <x:c r="K481" s="74"/>
      <x:c r="L481" s="74"/>
      <x:c r="M481" s="91"/>
      <x:c r="N481" s="91"/>
      <x:c r="O481" s="85"/>
      <x:c r="P481" s="85"/>
      <x:c r="Q481" s="85"/>
      <x:c r="R481" s="85"/>
      <x:c r="T481" s="86"/>
      <x:c r="U481" s="86"/>
      <x:c r="V481" s="32"/>
    </x:row>
    <x:row r="482">
      <x:c r="A482" s="87"/>
      <x:c r="B482" s="88"/>
      <x:c r="D482" s="32"/>
      <x:c r="G482" s="74"/>
      <x:c r="H482" s="74"/>
      <x:c r="I482" s="74"/>
      <x:c r="J482" s="74"/>
      <x:c r="K482" s="74"/>
      <x:c r="L482" s="74"/>
      <x:c r="M482" s="91"/>
      <x:c r="N482" s="91"/>
      <x:c r="O482" s="85"/>
      <x:c r="P482" s="85"/>
      <x:c r="Q482" s="85"/>
      <x:c r="R482" s="85"/>
      <x:c r="T482" s="86"/>
      <x:c r="U482" s="86"/>
      <x:c r="V482" s="32"/>
    </x:row>
    <x:row r="483">
      <x:c r="A483" s="87"/>
      <x:c r="B483" s="88"/>
      <x:c r="D483" s="32"/>
      <x:c r="G483" s="74"/>
      <x:c r="H483" s="74"/>
      <x:c r="I483" s="74"/>
      <x:c r="J483" s="74"/>
      <x:c r="K483" s="74"/>
      <x:c r="L483" s="74"/>
      <x:c r="M483" s="91"/>
      <x:c r="N483" s="91"/>
      <x:c r="O483" s="85"/>
      <x:c r="P483" s="85"/>
      <x:c r="Q483" s="85"/>
      <x:c r="R483" s="85"/>
      <x:c r="T483" s="86"/>
      <x:c r="U483" s="86"/>
      <x:c r="V483" s="32"/>
    </x:row>
    <x:row r="484">
      <x:c r="A484" s="87"/>
      <x:c r="B484" s="88"/>
      <x:c r="D484" s="32"/>
      <x:c r="G484" s="74"/>
      <x:c r="H484" s="74"/>
      <x:c r="I484" s="74"/>
      <x:c r="J484" s="74"/>
      <x:c r="K484" s="74"/>
      <x:c r="L484" s="74"/>
      <x:c r="M484" s="91"/>
      <x:c r="N484" s="91"/>
      <x:c r="O484" s="85"/>
      <x:c r="P484" s="85"/>
      <x:c r="Q484" s="85"/>
      <x:c r="R484" s="85"/>
      <x:c r="T484" s="86"/>
      <x:c r="U484" s="86"/>
      <x:c r="V484" s="32"/>
    </x:row>
    <x:row r="485">
      <x:c r="A485" s="87"/>
      <x:c r="B485" s="88"/>
      <x:c r="D485" s="32"/>
      <x:c r="G485" s="74"/>
      <x:c r="H485" s="74"/>
      <x:c r="I485" s="74"/>
      <x:c r="J485" s="74"/>
      <x:c r="K485" s="74"/>
      <x:c r="L485" s="74"/>
      <x:c r="M485" s="91"/>
      <x:c r="N485" s="91"/>
      <x:c r="O485" s="85"/>
      <x:c r="P485" s="85"/>
      <x:c r="Q485" s="85"/>
      <x:c r="R485" s="85"/>
      <x:c r="T485" s="86"/>
      <x:c r="U485" s="86"/>
      <x:c r="V485" s="32"/>
    </x:row>
    <x:row r="486">
      <x:c r="A486" s="87"/>
      <x:c r="B486" s="88"/>
      <x:c r="D486" s="32"/>
      <x:c r="G486" s="74"/>
      <x:c r="H486" s="74"/>
      <x:c r="I486" s="74"/>
      <x:c r="J486" s="74"/>
      <x:c r="K486" s="74"/>
      <x:c r="L486" s="74"/>
      <x:c r="M486" s="91"/>
      <x:c r="N486" s="91"/>
      <x:c r="O486" s="85"/>
      <x:c r="P486" s="85"/>
      <x:c r="Q486" s="85"/>
      <x:c r="R486" s="85"/>
      <x:c r="T486" s="86"/>
      <x:c r="U486" s="86"/>
      <x:c r="V486" s="32"/>
    </x:row>
    <x:row r="487">
      <x:c r="A487" s="87"/>
      <x:c r="B487" s="88"/>
      <x:c r="D487" s="32"/>
      <x:c r="G487" s="74"/>
      <x:c r="H487" s="74"/>
      <x:c r="I487" s="74"/>
      <x:c r="J487" s="74"/>
      <x:c r="K487" s="74"/>
      <x:c r="L487" s="74"/>
      <x:c r="M487" s="91"/>
      <x:c r="N487" s="91"/>
      <x:c r="O487" s="85"/>
      <x:c r="P487" s="85"/>
      <x:c r="Q487" s="85"/>
      <x:c r="R487" s="85"/>
      <x:c r="T487" s="86"/>
      <x:c r="U487" s="86"/>
      <x:c r="V487" s="32"/>
    </x:row>
    <x:row r="488">
      <x:c r="A488" s="87"/>
      <x:c r="B488" s="88"/>
      <x:c r="D488" s="32"/>
      <x:c r="G488" s="74"/>
      <x:c r="H488" s="74"/>
      <x:c r="I488" s="74"/>
      <x:c r="J488" s="74"/>
      <x:c r="K488" s="74"/>
      <x:c r="L488" s="74"/>
      <x:c r="M488" s="91"/>
      <x:c r="N488" s="91"/>
      <x:c r="O488" s="85"/>
      <x:c r="P488" s="85"/>
      <x:c r="Q488" s="85"/>
      <x:c r="R488" s="85"/>
      <x:c r="T488" s="86"/>
      <x:c r="U488" s="86"/>
      <x:c r="V488" s="32"/>
    </x:row>
    <x:row r="489">
      <x:c r="A489" s="87"/>
      <x:c r="B489" s="88"/>
      <x:c r="D489" s="32"/>
      <x:c r="G489" s="74"/>
      <x:c r="H489" s="74"/>
      <x:c r="I489" s="74"/>
      <x:c r="J489" s="74"/>
      <x:c r="K489" s="74"/>
      <x:c r="L489" s="74"/>
      <x:c r="M489" s="91"/>
      <x:c r="N489" s="91"/>
      <x:c r="O489" s="85"/>
      <x:c r="P489" s="85"/>
      <x:c r="Q489" s="85"/>
      <x:c r="R489" s="85"/>
      <x:c r="T489" s="86"/>
      <x:c r="U489" s="86"/>
      <x:c r="V489" s="32"/>
    </x:row>
    <x:row r="490">
      <x:c r="A490" s="87"/>
      <x:c r="B490" s="88"/>
      <x:c r="D490" s="32"/>
      <x:c r="G490" s="74"/>
      <x:c r="H490" s="74"/>
      <x:c r="I490" s="74"/>
      <x:c r="J490" s="74"/>
      <x:c r="K490" s="74"/>
      <x:c r="L490" s="74"/>
      <x:c r="M490" s="91"/>
      <x:c r="N490" s="91"/>
      <x:c r="O490" s="85"/>
      <x:c r="P490" s="85"/>
      <x:c r="Q490" s="85"/>
      <x:c r="R490" s="85"/>
      <x:c r="T490" s="86"/>
      <x:c r="U490" s="86"/>
      <x:c r="V490" s="32"/>
    </x:row>
    <x:row r="491">
      <x:c r="A491" s="87"/>
      <x:c r="B491" s="88"/>
      <x:c r="D491" s="32"/>
      <x:c r="G491" s="74"/>
      <x:c r="H491" s="74"/>
      <x:c r="I491" s="74"/>
      <x:c r="J491" s="74"/>
      <x:c r="K491" s="74"/>
      <x:c r="L491" s="74"/>
      <x:c r="M491" s="91"/>
      <x:c r="N491" s="91"/>
      <x:c r="O491" s="85"/>
      <x:c r="P491" s="85"/>
      <x:c r="Q491" s="85"/>
      <x:c r="R491" s="85"/>
      <x:c r="T491" s="86"/>
      <x:c r="U491" s="86"/>
      <x:c r="V491" s="32"/>
    </x:row>
    <x:row r="492">
      <x:c r="A492" s="87"/>
      <x:c r="B492" s="88"/>
      <x:c r="D492" s="32"/>
      <x:c r="G492" s="74"/>
      <x:c r="H492" s="74"/>
      <x:c r="I492" s="74"/>
      <x:c r="J492" s="74"/>
      <x:c r="K492" s="74"/>
      <x:c r="L492" s="74"/>
      <x:c r="M492" s="91"/>
      <x:c r="N492" s="91"/>
      <x:c r="O492" s="85"/>
      <x:c r="P492" s="85"/>
      <x:c r="Q492" s="85"/>
      <x:c r="R492" s="85"/>
      <x:c r="T492" s="86"/>
      <x:c r="U492" s="86"/>
      <x:c r="V492" s="32"/>
    </x:row>
    <x:row r="493">
      <x:c r="A493" s="87"/>
      <x:c r="B493" s="88"/>
      <x:c r="D493" s="32"/>
      <x:c r="G493" s="74"/>
      <x:c r="H493" s="74"/>
      <x:c r="I493" s="74"/>
      <x:c r="J493" s="74"/>
      <x:c r="K493" s="74"/>
      <x:c r="L493" s="74"/>
      <x:c r="M493" s="91"/>
      <x:c r="N493" s="91"/>
      <x:c r="O493" s="85"/>
      <x:c r="P493" s="85"/>
      <x:c r="Q493" s="85"/>
      <x:c r="R493" s="85"/>
      <x:c r="T493" s="86"/>
      <x:c r="U493" s="86"/>
      <x:c r="V493" s="32"/>
    </x:row>
    <x:row r="494">
      <x:c r="A494" s="87"/>
      <x:c r="B494" s="88"/>
      <x:c r="D494" s="32"/>
      <x:c r="G494" s="74"/>
      <x:c r="H494" s="74"/>
      <x:c r="I494" s="74"/>
      <x:c r="J494" s="74"/>
      <x:c r="K494" s="74"/>
      <x:c r="L494" s="74"/>
      <x:c r="M494" s="91"/>
      <x:c r="N494" s="91"/>
      <x:c r="O494" s="85"/>
      <x:c r="P494" s="85"/>
      <x:c r="Q494" s="85"/>
      <x:c r="R494" s="85"/>
      <x:c r="T494" s="86"/>
      <x:c r="U494" s="86"/>
      <x:c r="V494" s="32"/>
    </x:row>
    <x:row r="495">
      <x:c r="A495" s="87"/>
      <x:c r="B495" s="88"/>
      <x:c r="D495" s="32"/>
      <x:c r="G495" s="74"/>
      <x:c r="H495" s="74"/>
      <x:c r="I495" s="74"/>
      <x:c r="J495" s="74"/>
      <x:c r="K495" s="74"/>
      <x:c r="L495" s="74"/>
      <x:c r="M495" s="91"/>
      <x:c r="N495" s="91"/>
      <x:c r="O495" s="85"/>
      <x:c r="P495" s="85"/>
      <x:c r="Q495" s="85"/>
      <x:c r="R495" s="85"/>
      <x:c r="T495" s="86"/>
      <x:c r="U495" s="86"/>
      <x:c r="V495" s="32"/>
    </x:row>
    <x:row r="496">
      <x:c r="A496" s="87"/>
      <x:c r="B496" s="88"/>
      <x:c r="D496" s="32"/>
      <x:c r="G496" s="74"/>
      <x:c r="H496" s="74"/>
      <x:c r="I496" s="74"/>
      <x:c r="J496" s="74"/>
      <x:c r="K496" s="74"/>
      <x:c r="L496" s="74"/>
      <x:c r="M496" s="91"/>
      <x:c r="N496" s="91"/>
      <x:c r="O496" s="85"/>
      <x:c r="P496" s="85"/>
      <x:c r="Q496" s="85"/>
      <x:c r="R496" s="85"/>
      <x:c r="T496" s="86"/>
      <x:c r="U496" s="86"/>
      <x:c r="V496" s="32"/>
    </x:row>
    <x:row r="497">
      <x:c r="A497" s="87"/>
      <x:c r="B497" s="88"/>
      <x:c r="D497" s="32"/>
      <x:c r="G497" s="74"/>
      <x:c r="H497" s="74"/>
      <x:c r="I497" s="74"/>
      <x:c r="J497" s="74"/>
      <x:c r="K497" s="74"/>
      <x:c r="L497" s="74"/>
      <x:c r="M497" s="91"/>
      <x:c r="N497" s="91"/>
      <x:c r="O497" s="85"/>
      <x:c r="P497" s="85"/>
      <x:c r="Q497" s="85"/>
      <x:c r="R497" s="85"/>
      <x:c r="T497" s="86"/>
      <x:c r="U497" s="86"/>
      <x:c r="V497" s="32"/>
    </x:row>
    <x:row r="498">
      <x:c r="A498" s="87"/>
      <x:c r="B498" s="88"/>
      <x:c r="D498" s="32"/>
      <x:c r="G498" s="74"/>
      <x:c r="H498" s="74"/>
      <x:c r="I498" s="74"/>
      <x:c r="J498" s="74"/>
      <x:c r="K498" s="74"/>
      <x:c r="L498" s="74"/>
      <x:c r="M498" s="91"/>
      <x:c r="N498" s="91"/>
      <x:c r="O498" s="85"/>
      <x:c r="P498" s="85"/>
      <x:c r="Q498" s="85"/>
      <x:c r="R498" s="85"/>
      <x:c r="T498" s="86"/>
      <x:c r="U498" s="86"/>
      <x:c r="V498" s="32"/>
    </x:row>
    <x:row r="499">
      <x:c r="A499" s="87"/>
      <x:c r="B499" s="88"/>
      <x:c r="D499" s="32"/>
      <x:c r="G499" s="74"/>
      <x:c r="H499" s="74"/>
      <x:c r="I499" s="74"/>
      <x:c r="J499" s="74"/>
      <x:c r="K499" s="74"/>
      <x:c r="L499" s="74"/>
      <x:c r="M499" s="91"/>
      <x:c r="N499" s="91"/>
      <x:c r="O499" s="85"/>
      <x:c r="P499" s="85"/>
      <x:c r="Q499" s="85"/>
      <x:c r="R499" s="85"/>
      <x:c r="T499" s="86"/>
      <x:c r="U499" s="86"/>
      <x:c r="V499" s="32"/>
    </x:row>
    <x:row r="500">
      <x:c r="A500" s="87"/>
      <x:c r="B500" s="88"/>
      <x:c r="D500" s="32"/>
      <x:c r="G500" s="74"/>
      <x:c r="H500" s="74"/>
      <x:c r="I500" s="74"/>
      <x:c r="J500" s="74"/>
      <x:c r="K500" s="74"/>
      <x:c r="L500" s="74"/>
      <x:c r="M500" s="91"/>
      <x:c r="N500" s="91"/>
      <x:c r="O500" s="85"/>
      <x:c r="P500" s="85"/>
      <x:c r="Q500" s="85"/>
      <x:c r="R500" s="85"/>
      <x:c r="T500" s="86"/>
      <x:c r="U500" s="86"/>
      <x:c r="V500" s="32"/>
    </x:row>
    <x:row r="501">
      <x:c r="A501" s="87"/>
      <x:c r="B501" s="88"/>
      <x:c r="D501" s="32"/>
      <x:c r="G501" s="74"/>
      <x:c r="H501" s="74"/>
      <x:c r="I501" s="74"/>
      <x:c r="J501" s="74"/>
      <x:c r="K501" s="74"/>
      <x:c r="L501" s="74"/>
      <x:c r="M501" s="91"/>
      <x:c r="N501" s="91"/>
      <x:c r="O501" s="85"/>
      <x:c r="P501" s="85"/>
      <x:c r="Q501" s="85"/>
      <x:c r="R501" s="85"/>
      <x:c r="T501" s="86"/>
      <x:c r="U501" s="86"/>
      <x:c r="V501" s="32"/>
    </x:row>
    <x:row r="502">
      <x:c r="A502" s="87"/>
      <x:c r="B502" s="88"/>
      <x:c r="D502" s="32"/>
      <x:c r="G502" s="74"/>
      <x:c r="H502" s="74"/>
      <x:c r="I502" s="74"/>
      <x:c r="J502" s="74"/>
      <x:c r="K502" s="74"/>
      <x:c r="L502" s="74"/>
      <x:c r="M502" s="91"/>
      <x:c r="N502" s="91"/>
      <x:c r="O502" s="85"/>
      <x:c r="P502" s="85"/>
      <x:c r="Q502" s="85"/>
      <x:c r="R502" s="85"/>
      <x:c r="T502" s="86"/>
      <x:c r="U502" s="86"/>
      <x:c r="V502" s="32"/>
    </x:row>
    <x:row r="503">
      <x:c r="A503" s="87"/>
      <x:c r="B503" s="88"/>
      <x:c r="D503" s="32"/>
      <x:c r="G503" s="74"/>
      <x:c r="H503" s="74"/>
      <x:c r="I503" s="74"/>
      <x:c r="J503" s="74"/>
      <x:c r="K503" s="74"/>
      <x:c r="L503" s="74"/>
      <x:c r="M503" s="91"/>
      <x:c r="N503" s="91"/>
      <x:c r="O503" s="85"/>
      <x:c r="P503" s="85"/>
      <x:c r="Q503" s="85"/>
      <x:c r="R503" s="85"/>
      <x:c r="T503" s="86"/>
      <x:c r="U503" s="86"/>
      <x:c r="V503" s="32"/>
    </x:row>
    <x:row r="504">
      <x:c r="A504" s="87"/>
      <x:c r="B504" s="88"/>
      <x:c r="D504" s="32"/>
      <x:c r="G504" s="74"/>
      <x:c r="H504" s="74"/>
      <x:c r="I504" s="74"/>
      <x:c r="J504" s="74"/>
      <x:c r="K504" s="74"/>
      <x:c r="L504" s="74"/>
      <x:c r="M504" s="91"/>
      <x:c r="N504" s="91"/>
      <x:c r="O504" s="85"/>
      <x:c r="P504" s="85"/>
      <x:c r="Q504" s="85"/>
      <x:c r="R504" s="85"/>
      <x:c r="T504" s="86"/>
      <x:c r="U504" s="86"/>
      <x:c r="V504" s="32"/>
    </x:row>
    <x:row r="505">
      <x:c r="A505" s="87"/>
      <x:c r="B505" s="88"/>
      <x:c r="D505" s="32"/>
      <x:c r="G505" s="74"/>
      <x:c r="H505" s="74"/>
      <x:c r="I505" s="74"/>
      <x:c r="J505" s="74"/>
      <x:c r="K505" s="74"/>
      <x:c r="L505" s="74"/>
      <x:c r="M505" s="91"/>
      <x:c r="N505" s="91"/>
      <x:c r="O505" s="85"/>
      <x:c r="P505" s="85"/>
      <x:c r="Q505" s="85"/>
      <x:c r="R505" s="85"/>
      <x:c r="T505" s="86"/>
      <x:c r="U505" s="86"/>
      <x:c r="V505" s="32"/>
    </x:row>
    <x:row r="506">
      <x:c r="A506" s="87"/>
      <x:c r="B506" s="88"/>
      <x:c r="D506" s="32"/>
      <x:c r="G506" s="74"/>
      <x:c r="H506" s="74"/>
      <x:c r="I506" s="74"/>
      <x:c r="J506" s="74"/>
      <x:c r="K506" s="74"/>
      <x:c r="L506" s="74"/>
      <x:c r="M506" s="91"/>
      <x:c r="N506" s="91"/>
      <x:c r="O506" s="85"/>
      <x:c r="P506" s="85"/>
      <x:c r="Q506" s="85"/>
      <x:c r="R506" s="85"/>
      <x:c r="T506" s="86"/>
      <x:c r="U506" s="86"/>
      <x:c r="V506" s="32"/>
    </x:row>
    <x:row r="507">
      <x:c r="A507" s="87"/>
      <x:c r="B507" s="88"/>
      <x:c r="D507" s="32"/>
      <x:c r="G507" s="74"/>
      <x:c r="H507" s="74"/>
      <x:c r="I507" s="74"/>
      <x:c r="J507" s="74"/>
      <x:c r="K507" s="74"/>
      <x:c r="L507" s="74"/>
      <x:c r="M507" s="91"/>
      <x:c r="N507" s="91"/>
      <x:c r="O507" s="85"/>
      <x:c r="P507" s="85"/>
      <x:c r="Q507" s="85"/>
      <x:c r="R507" s="85"/>
      <x:c r="T507" s="86"/>
      <x:c r="U507" s="86"/>
      <x:c r="V507" s="32"/>
    </x:row>
    <x:row r="508">
      <x:c r="A508" s="87"/>
      <x:c r="B508" s="88"/>
      <x:c r="D508" s="32"/>
      <x:c r="G508" s="74"/>
      <x:c r="H508" s="74"/>
      <x:c r="I508" s="74"/>
      <x:c r="J508" s="74"/>
      <x:c r="K508" s="74"/>
      <x:c r="L508" s="74"/>
      <x:c r="M508" s="91"/>
      <x:c r="N508" s="91"/>
      <x:c r="O508" s="85"/>
      <x:c r="P508" s="85"/>
      <x:c r="Q508" s="85"/>
      <x:c r="R508" s="85"/>
      <x:c r="T508" s="86"/>
      <x:c r="U508" s="86"/>
      <x:c r="V508" s="32"/>
    </x:row>
    <x:row r="509">
      <x:c r="A509" s="87"/>
      <x:c r="B509" s="88"/>
      <x:c r="D509" s="32"/>
      <x:c r="G509" s="74"/>
      <x:c r="H509" s="74"/>
      <x:c r="I509" s="74"/>
      <x:c r="J509" s="74"/>
      <x:c r="K509" s="74"/>
      <x:c r="L509" s="74"/>
      <x:c r="M509" s="91"/>
      <x:c r="N509" s="91"/>
      <x:c r="O509" s="85"/>
      <x:c r="P509" s="85"/>
      <x:c r="Q509" s="85"/>
      <x:c r="R509" s="85"/>
      <x:c r="T509" s="86"/>
      <x:c r="U509" s="86"/>
      <x:c r="V509" s="32"/>
    </x:row>
    <x:row r="510">
      <x:c r="A510" s="87"/>
      <x:c r="B510" s="88"/>
      <x:c r="D510" s="32"/>
      <x:c r="G510" s="74"/>
      <x:c r="H510" s="74"/>
      <x:c r="I510" s="74"/>
      <x:c r="J510" s="74"/>
      <x:c r="K510" s="74"/>
      <x:c r="L510" s="74"/>
      <x:c r="M510" s="91"/>
      <x:c r="N510" s="91"/>
      <x:c r="O510" s="85"/>
      <x:c r="P510" s="85"/>
      <x:c r="Q510" s="85"/>
      <x:c r="R510" s="85"/>
      <x:c r="T510" s="86"/>
      <x:c r="U510" s="86"/>
      <x:c r="V510" s="32"/>
    </x:row>
    <x:row r="511">
      <x:c r="A511" s="87"/>
      <x:c r="B511" s="88"/>
      <x:c r="D511" s="32"/>
      <x:c r="G511" s="74"/>
      <x:c r="H511" s="74"/>
      <x:c r="I511" s="74"/>
      <x:c r="J511" s="74"/>
      <x:c r="K511" s="74"/>
      <x:c r="L511" s="74"/>
      <x:c r="M511" s="91"/>
      <x:c r="N511" s="91"/>
      <x:c r="O511" s="85"/>
      <x:c r="P511" s="85"/>
      <x:c r="Q511" s="85"/>
      <x:c r="R511" s="85"/>
      <x:c r="T511" s="86"/>
      <x:c r="U511" s="86"/>
      <x:c r="V511" s="32"/>
    </x:row>
    <x:row r="512">
      <x:c r="A512" s="87"/>
      <x:c r="B512" s="88"/>
      <x:c r="D512" s="32"/>
      <x:c r="G512" s="74"/>
      <x:c r="H512" s="74"/>
      <x:c r="I512" s="74"/>
      <x:c r="J512" s="74"/>
      <x:c r="K512" s="74"/>
      <x:c r="L512" s="74"/>
      <x:c r="M512" s="91"/>
      <x:c r="N512" s="91"/>
      <x:c r="O512" s="85"/>
      <x:c r="P512" s="85"/>
      <x:c r="Q512" s="85"/>
      <x:c r="R512" s="85"/>
      <x:c r="T512" s="86"/>
      <x:c r="U512" s="86"/>
      <x:c r="V512" s="32"/>
    </x:row>
    <x:row r="513">
      <x:c r="A513" s="87"/>
      <x:c r="B513" s="88"/>
      <x:c r="D513" s="32"/>
      <x:c r="G513" s="74"/>
      <x:c r="H513" s="74"/>
      <x:c r="I513" s="74"/>
      <x:c r="J513" s="74"/>
      <x:c r="K513" s="74"/>
      <x:c r="L513" s="74"/>
      <x:c r="M513" s="91"/>
      <x:c r="N513" s="91"/>
      <x:c r="O513" s="85"/>
      <x:c r="P513" s="85"/>
      <x:c r="Q513" s="85"/>
      <x:c r="R513" s="85"/>
      <x:c r="T513" s="86"/>
      <x:c r="U513" s="86"/>
      <x:c r="V513" s="32"/>
    </x:row>
    <x:row r="514">
      <x:c r="A514" s="87"/>
      <x:c r="B514" s="88"/>
      <x:c r="D514" s="32"/>
      <x:c r="G514" s="74"/>
      <x:c r="H514" s="74"/>
      <x:c r="I514" s="74"/>
      <x:c r="J514" s="74"/>
      <x:c r="K514" s="74"/>
      <x:c r="L514" s="74"/>
      <x:c r="M514" s="91"/>
      <x:c r="N514" s="91"/>
      <x:c r="O514" s="85"/>
      <x:c r="P514" s="85"/>
      <x:c r="Q514" s="85"/>
      <x:c r="R514" s="85"/>
      <x:c r="T514" s="86"/>
      <x:c r="U514" s="86"/>
      <x:c r="V514" s="32"/>
    </x:row>
    <x:row r="515">
      <x:c r="A515" s="87"/>
      <x:c r="B515" s="88"/>
      <x:c r="D515" s="32"/>
      <x:c r="G515" s="74"/>
      <x:c r="H515" s="74"/>
      <x:c r="I515" s="74"/>
      <x:c r="J515" s="74"/>
      <x:c r="K515" s="74"/>
      <x:c r="L515" s="74"/>
      <x:c r="M515" s="91"/>
      <x:c r="N515" s="91"/>
      <x:c r="O515" s="85"/>
      <x:c r="P515" s="85"/>
      <x:c r="Q515" s="85"/>
      <x:c r="R515" s="85"/>
      <x:c r="T515" s="86"/>
      <x:c r="U515" s="86"/>
      <x:c r="V515" s="32"/>
    </x:row>
    <x:row r="516">
      <x:c r="A516" s="87"/>
      <x:c r="B516" s="88"/>
      <x:c r="D516" s="32"/>
      <x:c r="G516" s="74"/>
      <x:c r="H516" s="74"/>
      <x:c r="I516" s="74"/>
      <x:c r="J516" s="74"/>
      <x:c r="K516" s="74"/>
      <x:c r="L516" s="74"/>
      <x:c r="M516" s="91"/>
      <x:c r="N516" s="91"/>
      <x:c r="O516" s="85"/>
      <x:c r="P516" s="85"/>
      <x:c r="Q516" s="85"/>
      <x:c r="R516" s="85"/>
      <x:c r="T516" s="86"/>
      <x:c r="U516" s="86"/>
      <x:c r="V516" s="32"/>
    </x:row>
    <x:row r="517">
      <x:c r="A517" s="87"/>
      <x:c r="B517" s="88"/>
      <x:c r="D517" s="32"/>
      <x:c r="G517" s="74"/>
      <x:c r="H517" s="74"/>
      <x:c r="I517" s="74"/>
      <x:c r="J517" s="74"/>
      <x:c r="K517" s="74"/>
      <x:c r="L517" s="74"/>
      <x:c r="M517" s="91"/>
      <x:c r="N517" s="91"/>
      <x:c r="O517" s="85"/>
      <x:c r="P517" s="85"/>
      <x:c r="Q517" s="85"/>
      <x:c r="R517" s="85"/>
      <x:c r="T517" s="86"/>
      <x:c r="U517" s="86"/>
      <x:c r="V517" s="32"/>
    </x:row>
    <x:row r="518">
      <x:c r="A518" s="87"/>
      <x:c r="B518" s="88"/>
      <x:c r="D518" s="32"/>
      <x:c r="G518" s="74"/>
      <x:c r="H518" s="74"/>
      <x:c r="I518" s="74"/>
      <x:c r="J518" s="74"/>
      <x:c r="K518" s="74"/>
      <x:c r="L518" s="74"/>
      <x:c r="M518" s="91"/>
      <x:c r="N518" s="91"/>
      <x:c r="O518" s="85"/>
      <x:c r="P518" s="85"/>
      <x:c r="Q518" s="85"/>
      <x:c r="R518" s="85"/>
      <x:c r="T518" s="86"/>
      <x:c r="U518" s="86"/>
      <x:c r="V518" s="32"/>
    </x:row>
    <x:row r="519">
      <x:c r="A519" s="87"/>
      <x:c r="B519" s="88"/>
      <x:c r="D519" s="32"/>
      <x:c r="G519" s="74"/>
      <x:c r="H519" s="74"/>
      <x:c r="I519" s="74"/>
      <x:c r="J519" s="74"/>
      <x:c r="K519" s="74"/>
      <x:c r="L519" s="74"/>
      <x:c r="M519" s="91"/>
      <x:c r="N519" s="91"/>
      <x:c r="O519" s="85"/>
      <x:c r="P519" s="85"/>
      <x:c r="Q519" s="85"/>
      <x:c r="R519" s="85"/>
      <x:c r="T519" s="86"/>
      <x:c r="U519" s="86"/>
      <x:c r="V519" s="32"/>
    </x:row>
    <x:row r="520">
      <x:c r="A520" s="87"/>
      <x:c r="B520" s="88"/>
      <x:c r="D520" s="32"/>
      <x:c r="G520" s="74"/>
      <x:c r="H520" s="74"/>
      <x:c r="I520" s="74"/>
      <x:c r="J520" s="74"/>
      <x:c r="K520" s="74"/>
      <x:c r="L520" s="74"/>
      <x:c r="M520" s="91"/>
      <x:c r="N520" s="91"/>
      <x:c r="O520" s="85"/>
      <x:c r="P520" s="85"/>
      <x:c r="Q520" s="85"/>
      <x:c r="R520" s="85"/>
      <x:c r="T520" s="86"/>
      <x:c r="U520" s="86"/>
      <x:c r="V520" s="32"/>
    </x:row>
    <x:row r="521">
      <x:c r="A521" s="87"/>
      <x:c r="B521" s="88"/>
      <x:c r="D521" s="32"/>
      <x:c r="G521" s="74"/>
      <x:c r="H521" s="74"/>
      <x:c r="I521" s="74"/>
      <x:c r="J521" s="74"/>
      <x:c r="K521" s="74"/>
      <x:c r="L521" s="74"/>
      <x:c r="M521" s="91"/>
      <x:c r="N521" s="91"/>
      <x:c r="O521" s="85"/>
      <x:c r="P521" s="85"/>
      <x:c r="Q521" s="85"/>
      <x:c r="R521" s="85"/>
      <x:c r="T521" s="86"/>
      <x:c r="U521" s="86"/>
      <x:c r="V521" s="32"/>
    </x:row>
    <x:row r="522">
      <x:c r="A522" s="87"/>
      <x:c r="B522" s="88"/>
      <x:c r="D522" s="32"/>
      <x:c r="G522" s="74"/>
      <x:c r="H522" s="74"/>
      <x:c r="I522" s="74"/>
      <x:c r="J522" s="74"/>
      <x:c r="K522" s="74"/>
      <x:c r="L522" s="74"/>
      <x:c r="M522" s="91"/>
      <x:c r="N522" s="91"/>
      <x:c r="O522" s="85"/>
      <x:c r="P522" s="85"/>
      <x:c r="Q522" s="85"/>
      <x:c r="R522" s="85"/>
      <x:c r="T522" s="86"/>
      <x:c r="U522" s="86"/>
      <x:c r="V522" s="32"/>
    </x:row>
    <x:row r="523">
      <x:c r="A523" s="87"/>
      <x:c r="B523" s="88"/>
      <x:c r="D523" s="32"/>
      <x:c r="G523" s="74"/>
      <x:c r="H523" s="74"/>
      <x:c r="I523" s="74"/>
      <x:c r="J523" s="74"/>
      <x:c r="K523" s="74"/>
      <x:c r="L523" s="74"/>
      <x:c r="M523" s="91"/>
      <x:c r="N523" s="91"/>
      <x:c r="O523" s="85"/>
      <x:c r="P523" s="85"/>
      <x:c r="Q523" s="85"/>
      <x:c r="R523" s="85"/>
      <x:c r="T523" s="86"/>
      <x:c r="U523" s="86"/>
      <x:c r="V523" s="32"/>
    </x:row>
    <x:row r="524">
      <x:c r="A524" s="87"/>
      <x:c r="B524" s="88"/>
      <x:c r="D524" s="32"/>
      <x:c r="G524" s="74"/>
      <x:c r="H524" s="74"/>
      <x:c r="I524" s="74"/>
      <x:c r="J524" s="74"/>
      <x:c r="K524" s="74"/>
      <x:c r="L524" s="74"/>
      <x:c r="M524" s="91"/>
      <x:c r="N524" s="91"/>
      <x:c r="O524" s="85"/>
      <x:c r="P524" s="85"/>
      <x:c r="Q524" s="85"/>
      <x:c r="R524" s="85"/>
      <x:c r="T524" s="86"/>
      <x:c r="U524" s="86"/>
      <x:c r="V524" s="32"/>
    </x:row>
    <x:row r="525">
      <x:c r="A525" s="87"/>
      <x:c r="B525" s="88"/>
      <x:c r="D525" s="32"/>
      <x:c r="G525" s="74"/>
      <x:c r="H525" s="74"/>
      <x:c r="I525" s="74"/>
      <x:c r="J525" s="74"/>
      <x:c r="K525" s="74"/>
      <x:c r="L525" s="74"/>
      <x:c r="M525" s="91"/>
      <x:c r="N525" s="91"/>
      <x:c r="O525" s="85"/>
      <x:c r="P525" s="85"/>
      <x:c r="Q525" s="85"/>
      <x:c r="R525" s="85"/>
      <x:c r="T525" s="86"/>
      <x:c r="U525" s="86"/>
      <x:c r="V525" s="32"/>
    </x:row>
    <x:row r="526">
      <x:c r="A526" s="87"/>
      <x:c r="B526" s="88"/>
      <x:c r="D526" s="32"/>
      <x:c r="G526" s="74"/>
      <x:c r="H526" s="74"/>
      <x:c r="I526" s="74"/>
      <x:c r="J526" s="74"/>
      <x:c r="K526" s="74"/>
      <x:c r="L526" s="74"/>
      <x:c r="M526" s="91"/>
      <x:c r="N526" s="91"/>
      <x:c r="O526" s="85"/>
      <x:c r="P526" s="85"/>
      <x:c r="Q526" s="85"/>
      <x:c r="R526" s="85"/>
      <x:c r="T526" s="86"/>
      <x:c r="U526" s="86"/>
      <x:c r="V526" s="32"/>
    </x:row>
    <x:row r="527">
      <x:c r="A527" s="87"/>
      <x:c r="B527" s="88"/>
      <x:c r="D527" s="32"/>
      <x:c r="G527" s="74"/>
      <x:c r="H527" s="74"/>
      <x:c r="I527" s="74"/>
      <x:c r="J527" s="74"/>
      <x:c r="K527" s="74"/>
      <x:c r="L527" s="74"/>
      <x:c r="M527" s="91"/>
      <x:c r="N527" s="91"/>
      <x:c r="O527" s="85"/>
      <x:c r="P527" s="85"/>
      <x:c r="Q527" s="85"/>
      <x:c r="R527" s="85"/>
      <x:c r="T527" s="86"/>
      <x:c r="U527" s="86"/>
      <x:c r="V527" s="32"/>
    </x:row>
    <x:row r="528">
      <x:c r="A528" s="87"/>
      <x:c r="B528" s="88"/>
      <x:c r="D528" s="32"/>
      <x:c r="G528" s="74"/>
      <x:c r="H528" s="74"/>
      <x:c r="I528" s="74"/>
      <x:c r="J528" s="74"/>
      <x:c r="K528" s="74"/>
      <x:c r="L528" s="74"/>
      <x:c r="M528" s="91"/>
      <x:c r="N528" s="91"/>
      <x:c r="O528" s="85"/>
      <x:c r="P528" s="85"/>
      <x:c r="Q528" s="85"/>
      <x:c r="R528" s="85"/>
      <x:c r="T528" s="86"/>
      <x:c r="U528" s="86"/>
      <x:c r="V528" s="32"/>
    </x:row>
    <x:row r="529">
      <x:c r="A529" s="87"/>
      <x:c r="B529" s="88"/>
      <x:c r="D529" s="32"/>
      <x:c r="G529" s="74"/>
      <x:c r="H529" s="74"/>
      <x:c r="I529" s="74"/>
      <x:c r="J529" s="74"/>
      <x:c r="K529" s="74"/>
      <x:c r="L529" s="74"/>
      <x:c r="M529" s="91"/>
      <x:c r="N529" s="91"/>
      <x:c r="O529" s="85"/>
      <x:c r="P529" s="85"/>
      <x:c r="Q529" s="85"/>
      <x:c r="R529" s="85"/>
      <x:c r="T529" s="86"/>
      <x:c r="U529" s="86"/>
      <x:c r="V529" s="32"/>
    </x:row>
    <x:row r="530">
      <x:c r="A530" s="87"/>
      <x:c r="B530" s="88"/>
      <x:c r="D530" s="32"/>
      <x:c r="G530" s="74"/>
      <x:c r="H530" s="74"/>
      <x:c r="I530" s="74"/>
      <x:c r="J530" s="74"/>
      <x:c r="K530" s="74"/>
      <x:c r="L530" s="74"/>
      <x:c r="M530" s="91"/>
      <x:c r="N530" s="91"/>
      <x:c r="O530" s="85"/>
      <x:c r="P530" s="85"/>
      <x:c r="Q530" s="85"/>
      <x:c r="R530" s="85"/>
      <x:c r="T530" s="86"/>
      <x:c r="U530" s="86"/>
      <x:c r="V530" s="32"/>
    </x:row>
    <x:row r="531">
      <x:c r="A531" s="87"/>
      <x:c r="B531" s="88"/>
      <x:c r="D531" s="32"/>
      <x:c r="G531" s="74"/>
      <x:c r="H531" s="74"/>
      <x:c r="I531" s="74"/>
      <x:c r="J531" s="74"/>
      <x:c r="K531" s="74"/>
      <x:c r="L531" s="74"/>
      <x:c r="M531" s="91"/>
      <x:c r="N531" s="91"/>
      <x:c r="O531" s="85"/>
      <x:c r="P531" s="85"/>
      <x:c r="Q531" s="85"/>
      <x:c r="R531" s="85"/>
      <x:c r="T531" s="86"/>
      <x:c r="U531" s="86"/>
      <x:c r="V531" s="32"/>
    </x:row>
    <x:row r="532">
      <x:c r="A532" s="87"/>
      <x:c r="B532" s="88"/>
      <x:c r="D532" s="32"/>
      <x:c r="G532" s="74"/>
      <x:c r="H532" s="74"/>
      <x:c r="I532" s="74"/>
      <x:c r="J532" s="74"/>
      <x:c r="K532" s="74"/>
      <x:c r="L532" s="74"/>
      <x:c r="M532" s="91"/>
      <x:c r="N532" s="91"/>
      <x:c r="O532" s="85"/>
      <x:c r="P532" s="85"/>
      <x:c r="Q532" s="85"/>
      <x:c r="R532" s="85"/>
      <x:c r="T532" s="86"/>
      <x:c r="U532" s="86"/>
      <x:c r="V532" s="32"/>
    </x:row>
    <x:row r="533">
      <x:c r="A533" s="87"/>
      <x:c r="B533" s="88"/>
      <x:c r="D533" s="32"/>
      <x:c r="G533" s="74"/>
      <x:c r="H533" s="74"/>
      <x:c r="I533" s="74"/>
      <x:c r="J533" s="74"/>
      <x:c r="K533" s="74"/>
      <x:c r="L533" s="74"/>
      <x:c r="M533" s="91"/>
      <x:c r="N533" s="91"/>
      <x:c r="O533" s="85"/>
      <x:c r="P533" s="85"/>
      <x:c r="Q533" s="85"/>
      <x:c r="R533" s="85"/>
      <x:c r="T533" s="86"/>
      <x:c r="U533" s="86"/>
      <x:c r="V533" s="32"/>
    </x:row>
    <x:row r="534">
      <x:c r="A534" s="87"/>
      <x:c r="B534" s="88"/>
      <x:c r="D534" s="32"/>
      <x:c r="G534" s="74"/>
      <x:c r="H534" s="74"/>
      <x:c r="I534" s="74"/>
      <x:c r="J534" s="74"/>
      <x:c r="K534" s="74"/>
      <x:c r="L534" s="74"/>
      <x:c r="M534" s="91"/>
      <x:c r="N534" s="91"/>
      <x:c r="O534" s="85"/>
      <x:c r="P534" s="85"/>
      <x:c r="Q534" s="85"/>
      <x:c r="R534" s="85"/>
      <x:c r="T534" s="86"/>
      <x:c r="U534" s="86"/>
      <x:c r="V534" s="32"/>
    </x:row>
    <x:row r="535">
      <x:c r="A535" s="87"/>
      <x:c r="B535" s="88"/>
      <x:c r="D535" s="32"/>
      <x:c r="G535" s="74"/>
      <x:c r="H535" s="74"/>
      <x:c r="I535" s="74"/>
      <x:c r="J535" s="74"/>
      <x:c r="K535" s="74"/>
      <x:c r="L535" s="74"/>
      <x:c r="M535" s="91"/>
      <x:c r="N535" s="91"/>
      <x:c r="O535" s="85"/>
      <x:c r="P535" s="85"/>
      <x:c r="Q535" s="85"/>
      <x:c r="R535" s="85"/>
      <x:c r="T535" s="86"/>
      <x:c r="U535" s="86"/>
      <x:c r="V535" s="32"/>
    </x:row>
    <x:row r="536">
      <x:c r="A536" s="87"/>
      <x:c r="B536" s="88"/>
      <x:c r="D536" s="32"/>
      <x:c r="G536" s="74"/>
      <x:c r="H536" s="74"/>
      <x:c r="I536" s="74"/>
      <x:c r="J536" s="74"/>
      <x:c r="K536" s="74"/>
      <x:c r="L536" s="74"/>
      <x:c r="M536" s="91"/>
      <x:c r="N536" s="91"/>
      <x:c r="O536" s="85"/>
      <x:c r="P536" s="85"/>
      <x:c r="Q536" s="85"/>
      <x:c r="R536" s="85"/>
      <x:c r="T536" s="86"/>
      <x:c r="U536" s="86"/>
      <x:c r="V536" s="32"/>
    </x:row>
    <x:row r="537">
      <x:c r="A537" s="87"/>
      <x:c r="B537" s="88"/>
      <x:c r="D537" s="32"/>
      <x:c r="G537" s="74"/>
      <x:c r="H537" s="74"/>
      <x:c r="I537" s="74"/>
      <x:c r="J537" s="74"/>
      <x:c r="K537" s="74"/>
      <x:c r="L537" s="74"/>
      <x:c r="M537" s="91"/>
      <x:c r="N537" s="91"/>
      <x:c r="O537" s="85"/>
      <x:c r="P537" s="85"/>
      <x:c r="Q537" s="85"/>
      <x:c r="R537" s="85"/>
      <x:c r="T537" s="86"/>
      <x:c r="U537" s="86"/>
      <x:c r="V537" s="32"/>
    </x:row>
    <x:row r="538">
      <x:c r="A538" s="87"/>
      <x:c r="B538" s="88"/>
      <x:c r="D538" s="32"/>
      <x:c r="G538" s="74"/>
      <x:c r="H538" s="74"/>
      <x:c r="I538" s="74"/>
      <x:c r="J538" s="74"/>
      <x:c r="K538" s="74"/>
      <x:c r="L538" s="74"/>
      <x:c r="M538" s="91"/>
      <x:c r="N538" s="91"/>
      <x:c r="O538" s="85"/>
      <x:c r="P538" s="85"/>
      <x:c r="Q538" s="85"/>
      <x:c r="R538" s="85"/>
      <x:c r="T538" s="86"/>
      <x:c r="U538" s="86"/>
      <x:c r="V538" s="32"/>
    </x:row>
    <x:row r="539">
      <x:c r="A539" s="87"/>
      <x:c r="B539" s="88"/>
      <x:c r="D539" s="32"/>
      <x:c r="G539" s="74"/>
      <x:c r="H539" s="74"/>
      <x:c r="I539" s="74"/>
      <x:c r="J539" s="74"/>
      <x:c r="K539" s="74"/>
      <x:c r="L539" s="74"/>
      <x:c r="M539" s="91"/>
      <x:c r="N539" s="91"/>
      <x:c r="O539" s="85"/>
      <x:c r="P539" s="85"/>
      <x:c r="Q539" s="85"/>
      <x:c r="R539" s="85"/>
      <x:c r="T539" s="86"/>
      <x:c r="U539" s="86"/>
      <x:c r="V539" s="32"/>
    </x:row>
    <x:row r="540">
      <x:c r="A540" s="87"/>
      <x:c r="B540" s="88"/>
      <x:c r="D540" s="32"/>
      <x:c r="G540" s="74"/>
      <x:c r="H540" s="74"/>
      <x:c r="I540" s="74"/>
      <x:c r="J540" s="74"/>
      <x:c r="K540" s="74"/>
      <x:c r="L540" s="74"/>
      <x:c r="M540" s="91"/>
      <x:c r="N540" s="91"/>
      <x:c r="O540" s="85"/>
      <x:c r="P540" s="85"/>
      <x:c r="Q540" s="85"/>
      <x:c r="R540" s="85"/>
      <x:c r="T540" s="86"/>
      <x:c r="U540" s="86"/>
      <x:c r="V540" s="32"/>
    </x:row>
    <x:row r="541">
      <x:c r="A541" s="87"/>
      <x:c r="B541" s="88"/>
      <x:c r="D541" s="32"/>
      <x:c r="G541" s="74"/>
      <x:c r="H541" s="74"/>
      <x:c r="I541" s="74"/>
      <x:c r="J541" s="74"/>
      <x:c r="K541" s="74"/>
      <x:c r="L541" s="74"/>
      <x:c r="M541" s="91"/>
      <x:c r="N541" s="91"/>
      <x:c r="O541" s="85"/>
      <x:c r="P541" s="85"/>
      <x:c r="Q541" s="85"/>
      <x:c r="R541" s="85"/>
      <x:c r="T541" s="86"/>
      <x:c r="U541" s="86"/>
      <x:c r="V541" s="32"/>
    </x:row>
    <x:row r="542">
      <x:c r="A542" s="87"/>
      <x:c r="B542" s="88"/>
      <x:c r="D542" s="32"/>
      <x:c r="G542" s="74"/>
      <x:c r="H542" s="74"/>
      <x:c r="I542" s="74"/>
      <x:c r="J542" s="74"/>
      <x:c r="K542" s="74"/>
      <x:c r="L542" s="74"/>
      <x:c r="M542" s="91"/>
      <x:c r="N542" s="91"/>
      <x:c r="O542" s="85"/>
      <x:c r="P542" s="85"/>
      <x:c r="Q542" s="85"/>
      <x:c r="R542" s="85"/>
      <x:c r="T542" s="86"/>
      <x:c r="U542" s="86"/>
      <x:c r="V542" s="32"/>
    </x:row>
    <x:row r="543">
      <x:c r="A543" s="87"/>
      <x:c r="B543" s="88"/>
      <x:c r="D543" s="32"/>
      <x:c r="G543" s="74"/>
      <x:c r="H543" s="74"/>
      <x:c r="I543" s="74"/>
      <x:c r="J543" s="74"/>
      <x:c r="K543" s="74"/>
      <x:c r="L543" s="74"/>
      <x:c r="M543" s="91"/>
      <x:c r="N543" s="91"/>
      <x:c r="O543" s="85"/>
      <x:c r="P543" s="85"/>
      <x:c r="Q543" s="85"/>
      <x:c r="R543" s="85"/>
      <x:c r="T543" s="86"/>
      <x:c r="U543" s="86"/>
      <x:c r="V543" s="32"/>
    </x:row>
    <x:row r="544">
      <x:c r="A544" s="87"/>
      <x:c r="B544" s="88"/>
      <x:c r="D544" s="32"/>
      <x:c r="G544" s="74"/>
      <x:c r="H544" s="74"/>
      <x:c r="I544" s="74"/>
      <x:c r="J544" s="74"/>
      <x:c r="K544" s="74"/>
      <x:c r="L544" s="74"/>
      <x:c r="M544" s="91"/>
      <x:c r="N544" s="91"/>
      <x:c r="O544" s="85"/>
      <x:c r="P544" s="85"/>
      <x:c r="Q544" s="85"/>
      <x:c r="R544" s="85"/>
      <x:c r="T544" s="86"/>
      <x:c r="U544" s="86"/>
      <x:c r="V544" s="32"/>
    </x:row>
    <x:row r="545">
      <x:c r="A545" s="87"/>
      <x:c r="B545" s="88"/>
      <x:c r="D545" s="32"/>
      <x:c r="G545" s="74"/>
      <x:c r="H545" s="74"/>
      <x:c r="I545" s="74"/>
      <x:c r="J545" s="74"/>
      <x:c r="K545" s="74"/>
      <x:c r="L545" s="74"/>
      <x:c r="M545" s="91"/>
      <x:c r="N545" s="91"/>
      <x:c r="O545" s="85"/>
      <x:c r="P545" s="85"/>
      <x:c r="Q545" s="85"/>
      <x:c r="R545" s="85"/>
      <x:c r="T545" s="86"/>
      <x:c r="U545" s="86"/>
      <x:c r="V545" s="32"/>
    </x:row>
    <x:row r="546">
      <x:c r="A546" s="87"/>
      <x:c r="B546" s="88"/>
      <x:c r="D546" s="32"/>
      <x:c r="G546" s="74"/>
      <x:c r="H546" s="74"/>
      <x:c r="I546" s="74"/>
      <x:c r="J546" s="74"/>
      <x:c r="K546" s="74"/>
      <x:c r="L546" s="74"/>
      <x:c r="M546" s="91"/>
      <x:c r="N546" s="91"/>
      <x:c r="O546" s="85"/>
      <x:c r="P546" s="85"/>
      <x:c r="Q546" s="85"/>
      <x:c r="R546" s="85"/>
      <x:c r="T546" s="86"/>
      <x:c r="U546" s="86"/>
      <x:c r="V546" s="32"/>
    </x:row>
    <x:row r="547">
      <x:c r="A547" s="87"/>
      <x:c r="B547" s="88"/>
      <x:c r="D547" s="32"/>
      <x:c r="G547" s="74"/>
      <x:c r="H547" s="74"/>
      <x:c r="I547" s="74"/>
      <x:c r="J547" s="74"/>
      <x:c r="K547" s="74"/>
      <x:c r="L547" s="74"/>
      <x:c r="M547" s="91"/>
      <x:c r="N547" s="91"/>
      <x:c r="O547" s="85"/>
      <x:c r="P547" s="85"/>
      <x:c r="Q547" s="85"/>
      <x:c r="R547" s="85"/>
      <x:c r="T547" s="86"/>
      <x:c r="U547" s="86"/>
      <x:c r="V547" s="32"/>
    </x:row>
    <x:row r="548">
      <x:c r="A548" s="87"/>
      <x:c r="B548" s="88"/>
      <x:c r="D548" s="32"/>
      <x:c r="G548" s="74"/>
      <x:c r="H548" s="74"/>
      <x:c r="I548" s="74"/>
      <x:c r="J548" s="74"/>
      <x:c r="K548" s="74"/>
      <x:c r="L548" s="74"/>
      <x:c r="M548" s="91"/>
      <x:c r="N548" s="91"/>
      <x:c r="O548" s="85"/>
      <x:c r="P548" s="85"/>
      <x:c r="Q548" s="85"/>
      <x:c r="R548" s="85"/>
      <x:c r="T548" s="86"/>
      <x:c r="U548" s="86"/>
      <x:c r="V548" s="32"/>
    </x:row>
    <x:row r="549">
      <x:c r="A549" s="87"/>
      <x:c r="B549" s="88"/>
      <x:c r="D549" s="32"/>
      <x:c r="G549" s="74"/>
      <x:c r="H549" s="74"/>
      <x:c r="I549" s="74"/>
      <x:c r="J549" s="74"/>
      <x:c r="K549" s="74"/>
      <x:c r="L549" s="74"/>
      <x:c r="M549" s="91"/>
      <x:c r="N549" s="91"/>
      <x:c r="O549" s="85"/>
      <x:c r="P549" s="85"/>
      <x:c r="Q549" s="85"/>
      <x:c r="R549" s="85"/>
      <x:c r="T549" s="86"/>
      <x:c r="U549" s="86"/>
      <x:c r="V549" s="32"/>
    </x:row>
    <x:row r="550">
      <x:c r="A550" s="87"/>
      <x:c r="B550" s="88"/>
      <x:c r="D550" s="32"/>
      <x:c r="G550" s="74"/>
      <x:c r="H550" s="74"/>
      <x:c r="I550" s="74"/>
      <x:c r="J550" s="74"/>
      <x:c r="K550" s="74"/>
      <x:c r="L550" s="74"/>
      <x:c r="M550" s="91"/>
      <x:c r="N550" s="91"/>
      <x:c r="O550" s="85"/>
      <x:c r="P550" s="85"/>
      <x:c r="Q550" s="85"/>
      <x:c r="R550" s="85"/>
      <x:c r="T550" s="86"/>
      <x:c r="U550" s="86"/>
      <x:c r="V550" s="32"/>
    </x:row>
    <x:row r="551">
      <x:c r="A551" s="87"/>
      <x:c r="B551" s="88"/>
      <x:c r="D551" s="32"/>
      <x:c r="G551" s="74"/>
      <x:c r="H551" s="74"/>
      <x:c r="I551" s="74"/>
      <x:c r="J551" s="74"/>
      <x:c r="K551" s="74"/>
      <x:c r="L551" s="74"/>
      <x:c r="M551" s="91"/>
      <x:c r="N551" s="91"/>
      <x:c r="O551" s="85"/>
      <x:c r="P551" s="85"/>
      <x:c r="Q551" s="85"/>
      <x:c r="R551" s="85"/>
      <x:c r="T551" s="86"/>
      <x:c r="U551" s="86"/>
      <x:c r="V551" s="32"/>
    </x:row>
    <x:row r="552">
      <x:c r="A552" s="87"/>
      <x:c r="B552" s="88"/>
      <x:c r="D552" s="32"/>
      <x:c r="G552" s="74"/>
      <x:c r="H552" s="74"/>
      <x:c r="I552" s="74"/>
      <x:c r="J552" s="74"/>
      <x:c r="K552" s="74"/>
      <x:c r="L552" s="74"/>
      <x:c r="M552" s="91"/>
      <x:c r="N552" s="91"/>
      <x:c r="O552" s="85"/>
      <x:c r="P552" s="85"/>
      <x:c r="Q552" s="85"/>
      <x:c r="R552" s="85"/>
      <x:c r="T552" s="86"/>
      <x:c r="U552" s="86"/>
      <x:c r="V552" s="32"/>
    </x:row>
    <x:row r="553">
      <x:c r="A553" s="87"/>
      <x:c r="B553" s="88"/>
      <x:c r="D553" s="32"/>
      <x:c r="G553" s="74"/>
      <x:c r="H553" s="74"/>
      <x:c r="I553" s="74"/>
      <x:c r="J553" s="74"/>
      <x:c r="K553" s="74"/>
      <x:c r="L553" s="74"/>
      <x:c r="M553" s="91"/>
      <x:c r="N553" s="91"/>
      <x:c r="O553" s="85"/>
      <x:c r="P553" s="85"/>
      <x:c r="Q553" s="85"/>
      <x:c r="R553" s="85"/>
      <x:c r="T553" s="86"/>
      <x:c r="U553" s="86"/>
      <x:c r="V553" s="32"/>
    </x:row>
    <x:row r="554">
      <x:c r="A554" s="87"/>
      <x:c r="B554" s="88"/>
      <x:c r="D554" s="32"/>
      <x:c r="G554" s="74"/>
      <x:c r="H554" s="74"/>
      <x:c r="I554" s="74"/>
      <x:c r="J554" s="74"/>
      <x:c r="K554" s="74"/>
      <x:c r="L554" s="74"/>
      <x:c r="M554" s="91"/>
      <x:c r="N554" s="91"/>
      <x:c r="O554" s="85"/>
      <x:c r="P554" s="85"/>
      <x:c r="Q554" s="85"/>
      <x:c r="R554" s="85"/>
      <x:c r="T554" s="86"/>
      <x:c r="U554" s="86"/>
      <x:c r="V554" s="32"/>
    </x:row>
    <x:row r="555">
      <x:c r="A555" s="87"/>
      <x:c r="B555" s="88"/>
      <x:c r="D555" s="32"/>
      <x:c r="G555" s="74"/>
      <x:c r="H555" s="74"/>
      <x:c r="I555" s="74"/>
      <x:c r="J555" s="74"/>
      <x:c r="K555" s="74"/>
      <x:c r="L555" s="74"/>
      <x:c r="M555" s="91"/>
      <x:c r="N555" s="91"/>
      <x:c r="O555" s="85"/>
      <x:c r="P555" s="85"/>
      <x:c r="Q555" s="85"/>
      <x:c r="R555" s="85"/>
      <x:c r="T555" s="86"/>
      <x:c r="U555" s="86"/>
      <x:c r="V555" s="32"/>
    </x:row>
    <x:row r="556">
      <x:c r="A556" s="87"/>
      <x:c r="B556" s="88"/>
      <x:c r="D556" s="32"/>
      <x:c r="G556" s="74"/>
      <x:c r="H556" s="74"/>
      <x:c r="I556" s="74"/>
      <x:c r="J556" s="74"/>
      <x:c r="K556" s="74"/>
      <x:c r="L556" s="74"/>
      <x:c r="M556" s="91"/>
      <x:c r="N556" s="91"/>
      <x:c r="O556" s="85"/>
      <x:c r="P556" s="85"/>
      <x:c r="Q556" s="85"/>
      <x:c r="R556" s="85"/>
      <x:c r="T556" s="86"/>
      <x:c r="U556" s="86"/>
      <x:c r="V556" s="32"/>
    </x:row>
    <x:row r="557">
      <x:c r="A557" s="87"/>
      <x:c r="B557" s="88"/>
      <x:c r="D557" s="32"/>
      <x:c r="G557" s="74"/>
      <x:c r="H557" s="74"/>
      <x:c r="I557" s="74"/>
      <x:c r="J557" s="74"/>
      <x:c r="K557" s="74"/>
      <x:c r="L557" s="74"/>
      <x:c r="M557" s="91"/>
      <x:c r="N557" s="91"/>
      <x:c r="O557" s="85"/>
      <x:c r="P557" s="85"/>
      <x:c r="Q557" s="85"/>
      <x:c r="R557" s="85"/>
      <x:c r="T557" s="86"/>
      <x:c r="U557" s="86"/>
      <x:c r="V557" s="32"/>
    </x:row>
    <x:row r="558">
      <x:c r="A558" s="87"/>
      <x:c r="B558" s="88"/>
      <x:c r="D558" s="32"/>
      <x:c r="G558" s="74"/>
      <x:c r="H558" s="74"/>
      <x:c r="I558" s="74"/>
      <x:c r="J558" s="74"/>
      <x:c r="K558" s="74"/>
      <x:c r="L558" s="74"/>
      <x:c r="M558" s="91"/>
      <x:c r="N558" s="91"/>
      <x:c r="O558" s="85"/>
      <x:c r="P558" s="85"/>
      <x:c r="Q558" s="85"/>
      <x:c r="R558" s="85"/>
      <x:c r="T558" s="86"/>
      <x:c r="U558" s="86"/>
      <x:c r="V558" s="32"/>
    </x:row>
    <x:row r="559">
      <x:c r="A559" s="87"/>
      <x:c r="B559" s="88"/>
      <x:c r="D559" s="32"/>
      <x:c r="G559" s="74"/>
      <x:c r="H559" s="74"/>
      <x:c r="I559" s="74"/>
      <x:c r="J559" s="74"/>
      <x:c r="K559" s="74"/>
      <x:c r="L559" s="74"/>
      <x:c r="M559" s="91"/>
      <x:c r="N559" s="91"/>
      <x:c r="O559" s="85"/>
      <x:c r="P559" s="85"/>
      <x:c r="Q559" s="85"/>
      <x:c r="R559" s="85"/>
      <x:c r="T559" s="86"/>
      <x:c r="U559" s="86"/>
      <x:c r="V559" s="32"/>
    </x:row>
    <x:row r="560">
      <x:c r="A560" s="87"/>
      <x:c r="B560" s="88"/>
      <x:c r="D560" s="32"/>
      <x:c r="G560" s="74"/>
      <x:c r="H560" s="74"/>
      <x:c r="I560" s="74"/>
      <x:c r="J560" s="74"/>
      <x:c r="K560" s="74"/>
      <x:c r="L560" s="74"/>
      <x:c r="M560" s="91"/>
      <x:c r="N560" s="91"/>
      <x:c r="O560" s="85"/>
      <x:c r="P560" s="85"/>
      <x:c r="Q560" s="85"/>
      <x:c r="R560" s="85"/>
      <x:c r="T560" s="86"/>
      <x:c r="U560" s="86"/>
      <x:c r="V560" s="32"/>
    </x:row>
    <x:row r="561">
      <x:c r="A561" s="87"/>
      <x:c r="B561" s="88"/>
      <x:c r="D561" s="32"/>
      <x:c r="G561" s="74"/>
      <x:c r="H561" s="74"/>
      <x:c r="I561" s="74"/>
      <x:c r="J561" s="74"/>
      <x:c r="K561" s="74"/>
      <x:c r="L561" s="74"/>
      <x:c r="M561" s="91"/>
      <x:c r="N561" s="91"/>
      <x:c r="O561" s="85"/>
      <x:c r="P561" s="85"/>
      <x:c r="Q561" s="85"/>
      <x:c r="R561" s="85"/>
      <x:c r="T561" s="86"/>
      <x:c r="U561" s="86"/>
      <x:c r="V561" s="32"/>
    </x:row>
    <x:row r="562">
      <x:c r="A562" s="87"/>
      <x:c r="B562" s="88"/>
      <x:c r="D562" s="32"/>
      <x:c r="G562" s="74"/>
      <x:c r="H562" s="74"/>
      <x:c r="I562" s="74"/>
      <x:c r="J562" s="74"/>
      <x:c r="K562" s="74"/>
      <x:c r="L562" s="74"/>
      <x:c r="M562" s="91"/>
      <x:c r="N562" s="91"/>
      <x:c r="O562" s="85"/>
      <x:c r="P562" s="85"/>
      <x:c r="Q562" s="85"/>
      <x:c r="R562" s="85"/>
      <x:c r="T562" s="86"/>
      <x:c r="U562" s="86"/>
      <x:c r="V562" s="32"/>
    </x:row>
    <x:row r="563">
      <x:c r="A563" s="87"/>
      <x:c r="B563" s="88"/>
      <x:c r="D563" s="32"/>
      <x:c r="G563" s="74"/>
      <x:c r="H563" s="74"/>
      <x:c r="I563" s="74"/>
      <x:c r="J563" s="74"/>
      <x:c r="K563" s="74"/>
      <x:c r="L563" s="74"/>
      <x:c r="M563" s="91"/>
      <x:c r="N563" s="91"/>
      <x:c r="O563" s="85"/>
      <x:c r="P563" s="85"/>
      <x:c r="Q563" s="85"/>
      <x:c r="R563" s="85"/>
      <x:c r="T563" s="86"/>
      <x:c r="U563" s="86"/>
      <x:c r="V563" s="32"/>
    </x:row>
    <x:row r="564">
      <x:c r="A564" s="87"/>
      <x:c r="B564" s="88"/>
      <x:c r="D564" s="32"/>
      <x:c r="G564" s="74"/>
      <x:c r="H564" s="74"/>
      <x:c r="I564" s="74"/>
      <x:c r="J564" s="74"/>
      <x:c r="K564" s="74"/>
      <x:c r="L564" s="74"/>
      <x:c r="M564" s="91"/>
      <x:c r="N564" s="91"/>
      <x:c r="O564" s="85"/>
      <x:c r="P564" s="85"/>
      <x:c r="Q564" s="85"/>
      <x:c r="R564" s="85"/>
      <x:c r="T564" s="86"/>
      <x:c r="U564" s="86"/>
      <x:c r="V564" s="32"/>
    </x:row>
    <x:row r="565">
      <x:c r="A565" s="87"/>
      <x:c r="B565" s="88"/>
      <x:c r="D565" s="32"/>
      <x:c r="G565" s="74"/>
      <x:c r="H565" s="74"/>
      <x:c r="I565" s="74"/>
      <x:c r="J565" s="74"/>
      <x:c r="K565" s="74"/>
      <x:c r="L565" s="74"/>
      <x:c r="M565" s="91"/>
      <x:c r="N565" s="91"/>
      <x:c r="O565" s="85"/>
      <x:c r="P565" s="85"/>
      <x:c r="Q565" s="85"/>
      <x:c r="R565" s="85"/>
      <x:c r="T565" s="86"/>
      <x:c r="U565" s="86"/>
      <x:c r="V565" s="32"/>
    </x:row>
    <x:row r="566">
      <x:c r="A566" s="87"/>
      <x:c r="B566" s="88"/>
      <x:c r="D566" s="32"/>
      <x:c r="G566" s="74"/>
      <x:c r="H566" s="74"/>
      <x:c r="I566" s="74"/>
      <x:c r="J566" s="74"/>
      <x:c r="K566" s="74"/>
      <x:c r="L566" s="74"/>
      <x:c r="M566" s="91"/>
      <x:c r="N566" s="91"/>
      <x:c r="O566" s="85"/>
      <x:c r="P566" s="85"/>
      <x:c r="Q566" s="85"/>
      <x:c r="R566" s="85"/>
      <x:c r="T566" s="86"/>
      <x:c r="U566" s="86"/>
      <x:c r="V566" s="32"/>
    </x:row>
    <x:row r="567">
      <x:c r="A567" s="87"/>
      <x:c r="B567" s="88"/>
      <x:c r="D567" s="32"/>
      <x:c r="G567" s="74"/>
      <x:c r="H567" s="74"/>
      <x:c r="I567" s="74"/>
      <x:c r="J567" s="74"/>
      <x:c r="K567" s="74"/>
      <x:c r="L567" s="74"/>
      <x:c r="M567" s="91"/>
      <x:c r="N567" s="91"/>
      <x:c r="O567" s="85"/>
      <x:c r="P567" s="85"/>
      <x:c r="Q567" s="85"/>
      <x:c r="R567" s="85"/>
      <x:c r="T567" s="86"/>
      <x:c r="U567" s="86"/>
      <x:c r="V567" s="32"/>
    </x:row>
    <x:row r="568">
      <x:c r="A568" s="87"/>
      <x:c r="B568" s="88"/>
      <x:c r="D568" s="32"/>
      <x:c r="G568" s="74"/>
      <x:c r="H568" s="74"/>
      <x:c r="I568" s="74"/>
      <x:c r="J568" s="74"/>
      <x:c r="K568" s="74"/>
      <x:c r="L568" s="74"/>
      <x:c r="M568" s="91"/>
      <x:c r="N568" s="91"/>
      <x:c r="O568" s="85"/>
      <x:c r="P568" s="85"/>
      <x:c r="Q568" s="85"/>
      <x:c r="R568" s="85"/>
      <x:c r="T568" s="86"/>
      <x:c r="U568" s="86"/>
      <x:c r="V568" s="32"/>
    </x:row>
    <x:row r="569">
      <x:c r="A569" s="87"/>
      <x:c r="B569" s="88"/>
      <x:c r="D569" s="32"/>
      <x:c r="G569" s="74"/>
      <x:c r="H569" s="74"/>
      <x:c r="I569" s="74"/>
      <x:c r="J569" s="74"/>
      <x:c r="K569" s="74"/>
      <x:c r="L569" s="74"/>
      <x:c r="M569" s="91"/>
      <x:c r="N569" s="91"/>
      <x:c r="O569" s="85"/>
      <x:c r="P569" s="85"/>
      <x:c r="Q569" s="85"/>
      <x:c r="R569" s="85"/>
      <x:c r="T569" s="86"/>
      <x:c r="U569" s="86"/>
      <x:c r="V569" s="32"/>
    </x:row>
    <x:row r="570">
      <x:c r="A570" s="87"/>
      <x:c r="B570" s="88"/>
      <x:c r="D570" s="32"/>
      <x:c r="G570" s="74"/>
      <x:c r="H570" s="74"/>
      <x:c r="I570" s="74"/>
      <x:c r="J570" s="74"/>
      <x:c r="K570" s="74"/>
      <x:c r="L570" s="74"/>
      <x:c r="M570" s="91"/>
      <x:c r="N570" s="91"/>
      <x:c r="O570" s="85"/>
      <x:c r="P570" s="85"/>
      <x:c r="Q570" s="85"/>
      <x:c r="R570" s="85"/>
      <x:c r="T570" s="86"/>
      <x:c r="U570" s="86"/>
      <x:c r="V570" s="32"/>
    </x:row>
    <x:row r="571">
      <x:c r="A571" s="87"/>
      <x:c r="B571" s="88"/>
      <x:c r="D571" s="32"/>
      <x:c r="G571" s="74"/>
      <x:c r="H571" s="74"/>
      <x:c r="I571" s="74"/>
      <x:c r="J571" s="74"/>
      <x:c r="K571" s="74"/>
      <x:c r="L571" s="74"/>
      <x:c r="M571" s="91"/>
      <x:c r="N571" s="91"/>
      <x:c r="O571" s="85"/>
      <x:c r="P571" s="85"/>
      <x:c r="Q571" s="85"/>
      <x:c r="R571" s="85"/>
      <x:c r="T571" s="86"/>
      <x:c r="U571" s="86"/>
      <x:c r="V571" s="32"/>
    </x:row>
    <x:row r="572">
      <x:c r="A572" s="87"/>
      <x:c r="B572" s="88"/>
      <x:c r="D572" s="32"/>
      <x:c r="G572" s="74"/>
      <x:c r="H572" s="74"/>
      <x:c r="I572" s="74"/>
      <x:c r="J572" s="74"/>
      <x:c r="K572" s="74"/>
      <x:c r="L572" s="74"/>
      <x:c r="M572" s="91"/>
      <x:c r="N572" s="91"/>
      <x:c r="O572" s="85"/>
      <x:c r="P572" s="85"/>
      <x:c r="Q572" s="85"/>
      <x:c r="R572" s="85"/>
      <x:c r="T572" s="86"/>
      <x:c r="U572" s="86"/>
      <x:c r="V572" s="32"/>
    </x:row>
    <x:row r="573">
      <x:c r="A573" s="87"/>
      <x:c r="B573" s="88"/>
      <x:c r="D573" s="32"/>
      <x:c r="G573" s="74"/>
      <x:c r="H573" s="74"/>
      <x:c r="I573" s="74"/>
      <x:c r="J573" s="74"/>
      <x:c r="K573" s="74"/>
      <x:c r="L573" s="74"/>
      <x:c r="M573" s="91"/>
      <x:c r="N573" s="91"/>
      <x:c r="O573" s="85"/>
      <x:c r="P573" s="85"/>
      <x:c r="Q573" s="85"/>
      <x:c r="R573" s="85"/>
      <x:c r="T573" s="86"/>
      <x:c r="U573" s="86"/>
      <x:c r="V573" s="32"/>
    </x:row>
    <x:row r="574">
      <x:c r="A574" s="87"/>
      <x:c r="B574" s="88"/>
      <x:c r="D574" s="32"/>
      <x:c r="G574" s="74"/>
      <x:c r="H574" s="74"/>
      <x:c r="I574" s="74"/>
      <x:c r="J574" s="74"/>
      <x:c r="K574" s="74"/>
      <x:c r="L574" s="74"/>
      <x:c r="M574" s="91"/>
      <x:c r="N574" s="91"/>
      <x:c r="O574" s="85"/>
      <x:c r="P574" s="85"/>
      <x:c r="Q574" s="85"/>
      <x:c r="R574" s="85"/>
      <x:c r="T574" s="86"/>
      <x:c r="U574" s="86"/>
      <x:c r="V574" s="32"/>
    </x:row>
    <x:row r="575">
      <x:c r="A575" s="87"/>
      <x:c r="B575" s="88"/>
      <x:c r="D575" s="32"/>
      <x:c r="G575" s="74"/>
      <x:c r="H575" s="74"/>
      <x:c r="I575" s="74"/>
      <x:c r="J575" s="74"/>
      <x:c r="K575" s="74"/>
      <x:c r="L575" s="74"/>
      <x:c r="M575" s="91"/>
      <x:c r="N575" s="91"/>
      <x:c r="O575" s="85"/>
      <x:c r="P575" s="85"/>
      <x:c r="Q575" s="85"/>
      <x:c r="R575" s="85"/>
      <x:c r="T575" s="86"/>
      <x:c r="U575" s="86"/>
      <x:c r="V575" s="32"/>
    </x:row>
    <x:row r="576">
      <x:c r="A576" s="87"/>
      <x:c r="B576" s="88"/>
      <x:c r="D576" s="32"/>
      <x:c r="G576" s="74"/>
      <x:c r="H576" s="74"/>
      <x:c r="I576" s="74"/>
      <x:c r="J576" s="74"/>
      <x:c r="K576" s="74"/>
      <x:c r="L576" s="74"/>
      <x:c r="M576" s="91"/>
      <x:c r="N576" s="91"/>
      <x:c r="O576" s="85"/>
      <x:c r="P576" s="85"/>
      <x:c r="Q576" s="85"/>
      <x:c r="R576" s="85"/>
      <x:c r="T576" s="86"/>
      <x:c r="U576" s="86"/>
      <x:c r="V576" s="32"/>
    </x:row>
    <x:row r="577">
      <x:c r="A577" s="87"/>
      <x:c r="B577" s="88"/>
      <x:c r="D577" s="32"/>
      <x:c r="G577" s="74"/>
      <x:c r="H577" s="74"/>
      <x:c r="I577" s="74"/>
      <x:c r="J577" s="74"/>
      <x:c r="K577" s="74"/>
      <x:c r="L577" s="74"/>
      <x:c r="M577" s="91"/>
      <x:c r="N577" s="91"/>
      <x:c r="O577" s="85"/>
      <x:c r="P577" s="85"/>
      <x:c r="Q577" s="85"/>
      <x:c r="R577" s="85"/>
      <x:c r="T577" s="86"/>
      <x:c r="U577" s="86"/>
      <x:c r="V577" s="32"/>
    </x:row>
    <x:row r="578">
      <x:c r="A578" s="87"/>
      <x:c r="B578" s="88"/>
      <x:c r="D578" s="32"/>
      <x:c r="G578" s="74"/>
      <x:c r="H578" s="74"/>
      <x:c r="I578" s="74"/>
      <x:c r="J578" s="74"/>
      <x:c r="K578" s="74"/>
      <x:c r="L578" s="74"/>
      <x:c r="M578" s="91"/>
      <x:c r="N578" s="91"/>
      <x:c r="O578" s="85"/>
      <x:c r="P578" s="85"/>
      <x:c r="Q578" s="85"/>
      <x:c r="R578" s="85"/>
      <x:c r="T578" s="86"/>
      <x:c r="U578" s="86"/>
      <x:c r="V578" s="32"/>
    </x:row>
    <x:row r="579">
      <x:c r="A579" s="87"/>
      <x:c r="B579" s="88"/>
      <x:c r="D579" s="32"/>
      <x:c r="G579" s="74"/>
      <x:c r="H579" s="74"/>
      <x:c r="I579" s="74"/>
      <x:c r="J579" s="74"/>
      <x:c r="K579" s="74"/>
      <x:c r="L579" s="74"/>
      <x:c r="M579" s="91"/>
      <x:c r="N579" s="91"/>
      <x:c r="O579" s="85"/>
      <x:c r="P579" s="85"/>
      <x:c r="Q579" s="85"/>
      <x:c r="R579" s="85"/>
      <x:c r="T579" s="86"/>
      <x:c r="U579" s="86"/>
      <x:c r="V579" s="32"/>
    </x:row>
    <x:row r="580">
      <x:c r="A580" s="87"/>
      <x:c r="B580" s="88"/>
      <x:c r="D580" s="32"/>
      <x:c r="G580" s="74"/>
      <x:c r="H580" s="74"/>
      <x:c r="I580" s="74"/>
      <x:c r="J580" s="74"/>
      <x:c r="K580" s="74"/>
      <x:c r="L580" s="74"/>
      <x:c r="M580" s="91"/>
      <x:c r="N580" s="91"/>
      <x:c r="O580" s="85"/>
      <x:c r="P580" s="85"/>
      <x:c r="Q580" s="85"/>
      <x:c r="R580" s="85"/>
      <x:c r="T580" s="86"/>
      <x:c r="U580" s="86"/>
      <x:c r="V580" s="32"/>
    </x:row>
    <x:row r="581">
      <x:c r="A581" s="87"/>
      <x:c r="B581" s="88"/>
      <x:c r="D581" s="32"/>
      <x:c r="G581" s="74"/>
      <x:c r="H581" s="74"/>
      <x:c r="I581" s="74"/>
      <x:c r="J581" s="74"/>
      <x:c r="K581" s="74"/>
      <x:c r="L581" s="74"/>
      <x:c r="M581" s="91"/>
      <x:c r="N581" s="91"/>
      <x:c r="O581" s="85"/>
      <x:c r="P581" s="85"/>
      <x:c r="Q581" s="85"/>
      <x:c r="R581" s="85"/>
      <x:c r="T581" s="86"/>
      <x:c r="U581" s="86"/>
      <x:c r="V581" s="32"/>
    </x:row>
    <x:row r="582">
      <x:c r="A582" s="87"/>
      <x:c r="B582" s="88"/>
      <x:c r="D582" s="32"/>
      <x:c r="G582" s="74"/>
      <x:c r="H582" s="74"/>
      <x:c r="I582" s="74"/>
      <x:c r="J582" s="74"/>
      <x:c r="K582" s="74"/>
      <x:c r="L582" s="74"/>
      <x:c r="M582" s="91"/>
      <x:c r="N582" s="91"/>
      <x:c r="O582" s="85"/>
      <x:c r="P582" s="85"/>
      <x:c r="Q582" s="85"/>
      <x:c r="R582" s="85"/>
      <x:c r="T582" s="86"/>
      <x:c r="U582" s="86"/>
      <x:c r="V582" s="32"/>
    </x:row>
    <x:row r="583">
      <x:c r="A583" s="87"/>
      <x:c r="B583" s="88"/>
      <x:c r="D583" s="32"/>
      <x:c r="G583" s="74"/>
      <x:c r="H583" s="74"/>
      <x:c r="I583" s="74"/>
      <x:c r="J583" s="74"/>
      <x:c r="K583" s="74"/>
      <x:c r="L583" s="74"/>
      <x:c r="M583" s="91"/>
      <x:c r="N583" s="91"/>
      <x:c r="O583" s="85"/>
      <x:c r="P583" s="85"/>
      <x:c r="Q583" s="85"/>
      <x:c r="R583" s="85"/>
      <x:c r="T583" s="86"/>
      <x:c r="U583" s="86"/>
      <x:c r="V583" s="32"/>
    </x:row>
    <x:row r="584">
      <x:c r="A584" s="87"/>
      <x:c r="B584" s="88"/>
      <x:c r="D584" s="32"/>
      <x:c r="G584" s="74"/>
      <x:c r="H584" s="74"/>
      <x:c r="I584" s="74"/>
      <x:c r="J584" s="74"/>
      <x:c r="K584" s="74"/>
      <x:c r="L584" s="74"/>
      <x:c r="M584" s="91"/>
      <x:c r="N584" s="91"/>
      <x:c r="O584" s="85"/>
      <x:c r="P584" s="85"/>
      <x:c r="Q584" s="85"/>
      <x:c r="R584" s="85"/>
      <x:c r="T584" s="86"/>
      <x:c r="U584" s="86"/>
      <x:c r="V584" s="32"/>
    </x:row>
    <x:row r="585">
      <x:c r="A585" s="87"/>
      <x:c r="B585" s="88"/>
      <x:c r="D585" s="32"/>
      <x:c r="G585" s="74"/>
      <x:c r="H585" s="74"/>
      <x:c r="I585" s="74"/>
      <x:c r="J585" s="74"/>
      <x:c r="K585" s="74"/>
      <x:c r="L585" s="74"/>
      <x:c r="M585" s="91"/>
      <x:c r="N585" s="91"/>
      <x:c r="O585" s="85"/>
      <x:c r="P585" s="85"/>
      <x:c r="Q585" s="85"/>
      <x:c r="R585" s="85"/>
      <x:c r="T585" s="86"/>
      <x:c r="U585" s="86"/>
      <x:c r="V585" s="32"/>
    </x:row>
    <x:row r="586">
      <x:c r="A586" s="87"/>
      <x:c r="B586" s="88"/>
      <x:c r="D586" s="32"/>
      <x:c r="G586" s="74"/>
      <x:c r="H586" s="74"/>
      <x:c r="I586" s="74"/>
      <x:c r="J586" s="74"/>
      <x:c r="K586" s="74"/>
      <x:c r="L586" s="74"/>
      <x:c r="M586" s="91"/>
      <x:c r="N586" s="91"/>
      <x:c r="O586" s="85"/>
      <x:c r="P586" s="85"/>
      <x:c r="Q586" s="85"/>
      <x:c r="R586" s="85"/>
      <x:c r="T586" s="86"/>
      <x:c r="U586" s="86"/>
      <x:c r="V586" s="32"/>
    </x:row>
    <x:row r="587">
      <x:c r="A587" s="87"/>
      <x:c r="B587" s="88"/>
      <x:c r="D587" s="32"/>
      <x:c r="G587" s="74"/>
      <x:c r="H587" s="74"/>
      <x:c r="I587" s="74"/>
      <x:c r="J587" s="74"/>
      <x:c r="K587" s="74"/>
      <x:c r="L587" s="74"/>
      <x:c r="M587" s="91"/>
      <x:c r="N587" s="91"/>
      <x:c r="O587" s="85"/>
      <x:c r="P587" s="85"/>
      <x:c r="Q587" s="85"/>
      <x:c r="R587" s="85"/>
      <x:c r="T587" s="86"/>
      <x:c r="U587" s="86"/>
      <x:c r="V587" s="32"/>
    </x:row>
    <x:row r="588">
      <x:c r="A588" s="87"/>
      <x:c r="B588" s="88"/>
      <x:c r="D588" s="32"/>
      <x:c r="G588" s="74"/>
      <x:c r="H588" s="74"/>
      <x:c r="I588" s="74"/>
      <x:c r="J588" s="74"/>
      <x:c r="K588" s="74"/>
      <x:c r="L588" s="74"/>
      <x:c r="M588" s="91"/>
      <x:c r="N588" s="91"/>
      <x:c r="O588" s="85"/>
      <x:c r="P588" s="85"/>
      <x:c r="Q588" s="85"/>
      <x:c r="R588" s="85"/>
      <x:c r="T588" s="86"/>
      <x:c r="U588" s="86"/>
      <x:c r="V588" s="32"/>
    </x:row>
    <x:row r="589">
      <x:c r="A589" s="87"/>
      <x:c r="B589" s="88"/>
      <x:c r="D589" s="32"/>
      <x:c r="G589" s="74"/>
      <x:c r="H589" s="74"/>
      <x:c r="I589" s="74"/>
      <x:c r="J589" s="74"/>
      <x:c r="K589" s="74"/>
      <x:c r="L589" s="74"/>
      <x:c r="M589" s="91"/>
      <x:c r="N589" s="91"/>
      <x:c r="O589" s="85"/>
      <x:c r="P589" s="85"/>
      <x:c r="Q589" s="85"/>
      <x:c r="R589" s="85"/>
      <x:c r="T589" s="86"/>
      <x:c r="U589" s="86"/>
      <x:c r="V589" s="32"/>
    </x:row>
    <x:row r="590">
      <x:c r="A590" s="87"/>
      <x:c r="B590" s="88"/>
      <x:c r="D590" s="32"/>
      <x:c r="G590" s="74"/>
      <x:c r="H590" s="74"/>
      <x:c r="I590" s="74"/>
      <x:c r="J590" s="74"/>
      <x:c r="K590" s="74"/>
      <x:c r="L590" s="74"/>
      <x:c r="M590" s="91"/>
      <x:c r="N590" s="91"/>
      <x:c r="O590" s="85"/>
      <x:c r="P590" s="85"/>
      <x:c r="Q590" s="85"/>
      <x:c r="R590" s="85"/>
      <x:c r="T590" s="86"/>
      <x:c r="U590" s="86"/>
      <x:c r="V590" s="32"/>
    </x:row>
    <x:row r="591">
      <x:c r="A591" s="87"/>
      <x:c r="B591" s="88"/>
      <x:c r="D591" s="32"/>
      <x:c r="G591" s="74"/>
      <x:c r="H591" s="74"/>
      <x:c r="I591" s="74"/>
      <x:c r="J591" s="74"/>
      <x:c r="K591" s="74"/>
      <x:c r="L591" s="74"/>
      <x:c r="M591" s="91"/>
      <x:c r="N591" s="91"/>
      <x:c r="O591" s="85"/>
      <x:c r="P591" s="85"/>
      <x:c r="Q591" s="85"/>
      <x:c r="R591" s="85"/>
      <x:c r="T591" s="86"/>
      <x:c r="U591" s="86"/>
      <x:c r="V591" s="32"/>
    </x:row>
    <x:row r="592">
      <x:c r="A592" s="87"/>
      <x:c r="B592" s="88"/>
      <x:c r="D592" s="32"/>
      <x:c r="G592" s="74"/>
      <x:c r="H592" s="74"/>
      <x:c r="I592" s="74"/>
      <x:c r="J592" s="74"/>
      <x:c r="K592" s="74"/>
      <x:c r="L592" s="74"/>
      <x:c r="M592" s="91"/>
      <x:c r="N592" s="91"/>
      <x:c r="O592" s="85"/>
      <x:c r="P592" s="85"/>
      <x:c r="Q592" s="85"/>
      <x:c r="R592" s="85"/>
      <x:c r="T592" s="86"/>
      <x:c r="U592" s="86"/>
      <x:c r="V592" s="32"/>
    </x:row>
    <x:row r="593">
      <x:c r="A593" s="87"/>
      <x:c r="B593" s="88"/>
      <x:c r="D593" s="32"/>
      <x:c r="G593" s="74"/>
      <x:c r="H593" s="74"/>
      <x:c r="I593" s="74"/>
      <x:c r="J593" s="74"/>
      <x:c r="K593" s="74"/>
      <x:c r="L593" s="74"/>
      <x:c r="M593" s="91"/>
      <x:c r="N593" s="91"/>
      <x:c r="O593" s="85"/>
      <x:c r="P593" s="85"/>
      <x:c r="Q593" s="85"/>
      <x:c r="R593" s="85"/>
      <x:c r="T593" s="86"/>
      <x:c r="U593" s="86"/>
      <x:c r="V593" s="32"/>
    </x:row>
    <x:row r="594">
      <x:c r="A594" s="87"/>
      <x:c r="B594" s="88"/>
      <x:c r="D594" s="32"/>
      <x:c r="G594" s="74"/>
      <x:c r="H594" s="74"/>
      <x:c r="I594" s="74"/>
      <x:c r="J594" s="74"/>
      <x:c r="K594" s="74"/>
      <x:c r="L594" s="74"/>
      <x:c r="M594" s="91"/>
      <x:c r="N594" s="91"/>
      <x:c r="O594" s="85"/>
      <x:c r="P594" s="85"/>
      <x:c r="Q594" s="85"/>
      <x:c r="R594" s="85"/>
      <x:c r="T594" s="86"/>
      <x:c r="U594" s="86"/>
      <x:c r="V594" s="32"/>
    </x:row>
    <x:row r="595">
      <x:c r="A595" s="87"/>
      <x:c r="B595" s="88"/>
      <x:c r="D595" s="32"/>
      <x:c r="G595" s="74"/>
      <x:c r="H595" s="74"/>
      <x:c r="I595" s="74"/>
      <x:c r="J595" s="74"/>
      <x:c r="K595" s="74"/>
      <x:c r="L595" s="74"/>
      <x:c r="M595" s="91"/>
      <x:c r="N595" s="91"/>
      <x:c r="O595" s="85"/>
      <x:c r="P595" s="85"/>
      <x:c r="Q595" s="85"/>
      <x:c r="R595" s="85"/>
      <x:c r="T595" s="86"/>
      <x:c r="U595" s="86"/>
      <x:c r="V595" s="32"/>
    </x:row>
    <x:row r="596">
      <x:c r="A596" s="87"/>
      <x:c r="B596" s="88"/>
      <x:c r="D596" s="32"/>
      <x:c r="G596" s="74"/>
      <x:c r="H596" s="74"/>
      <x:c r="I596" s="74"/>
      <x:c r="J596" s="74"/>
      <x:c r="K596" s="74"/>
      <x:c r="L596" s="74"/>
      <x:c r="M596" s="91"/>
      <x:c r="N596" s="91"/>
      <x:c r="O596" s="85"/>
      <x:c r="P596" s="85"/>
      <x:c r="Q596" s="85"/>
      <x:c r="R596" s="85"/>
      <x:c r="T596" s="86"/>
      <x:c r="U596" s="86"/>
      <x:c r="V596" s="32"/>
    </x:row>
    <x:row r="597">
      <x:c r="A597" s="87"/>
      <x:c r="B597" s="88"/>
      <x:c r="D597" s="32"/>
      <x:c r="G597" s="74"/>
      <x:c r="H597" s="74"/>
      <x:c r="I597" s="74"/>
      <x:c r="J597" s="74"/>
      <x:c r="K597" s="74"/>
      <x:c r="L597" s="74"/>
      <x:c r="M597" s="91"/>
      <x:c r="N597" s="91"/>
      <x:c r="O597" s="85"/>
      <x:c r="P597" s="85"/>
      <x:c r="Q597" s="85"/>
      <x:c r="R597" s="85"/>
      <x:c r="T597" s="86"/>
      <x:c r="U597" s="86"/>
      <x:c r="V597" s="32"/>
    </x:row>
    <x:row r="598">
      <x:c r="A598" s="87"/>
      <x:c r="B598" s="88"/>
      <x:c r="D598" s="32"/>
      <x:c r="G598" s="74"/>
      <x:c r="H598" s="74"/>
      <x:c r="I598" s="74"/>
      <x:c r="J598" s="74"/>
      <x:c r="K598" s="74"/>
      <x:c r="L598" s="74"/>
      <x:c r="M598" s="91"/>
      <x:c r="N598" s="91"/>
      <x:c r="O598" s="85"/>
      <x:c r="P598" s="85"/>
      <x:c r="Q598" s="85"/>
      <x:c r="R598" s="85"/>
      <x:c r="T598" s="86"/>
      <x:c r="U598" s="86"/>
      <x:c r="V598" s="32"/>
    </x:row>
    <x:row r="599">
      <x:c r="A599" s="87"/>
      <x:c r="B599" s="88"/>
      <x:c r="D599" s="32"/>
      <x:c r="G599" s="74"/>
      <x:c r="H599" s="74"/>
      <x:c r="I599" s="74"/>
      <x:c r="J599" s="74"/>
      <x:c r="K599" s="74"/>
      <x:c r="L599" s="74"/>
      <x:c r="M599" s="91"/>
      <x:c r="N599" s="91"/>
      <x:c r="O599" s="85"/>
      <x:c r="P599" s="85"/>
      <x:c r="Q599" s="85"/>
      <x:c r="R599" s="85"/>
      <x:c r="T599" s="86"/>
      <x:c r="U599" s="86"/>
      <x:c r="V599" s="32"/>
    </x:row>
    <x:row r="600">
      <x:c r="A600" s="87"/>
      <x:c r="B600" s="88"/>
      <x:c r="D600" s="32"/>
      <x:c r="G600" s="74"/>
      <x:c r="H600" s="74"/>
      <x:c r="I600" s="74"/>
      <x:c r="J600" s="74"/>
      <x:c r="K600" s="74"/>
      <x:c r="L600" s="74"/>
      <x:c r="M600" s="91"/>
      <x:c r="N600" s="91"/>
      <x:c r="O600" s="85"/>
      <x:c r="P600" s="85"/>
      <x:c r="Q600" s="85"/>
      <x:c r="R600" s="85"/>
      <x:c r="T600" s="86"/>
      <x:c r="U600" s="86"/>
      <x:c r="V600" s="32"/>
    </x:row>
    <x:row r="601">
      <x:c r="A601" s="87"/>
      <x:c r="B601" s="88"/>
      <x:c r="D601" s="32"/>
      <x:c r="G601" s="74"/>
      <x:c r="H601" s="74"/>
      <x:c r="I601" s="74"/>
      <x:c r="J601" s="74"/>
      <x:c r="K601" s="74"/>
      <x:c r="L601" s="74"/>
      <x:c r="M601" s="91"/>
      <x:c r="N601" s="91"/>
      <x:c r="O601" s="85"/>
      <x:c r="P601" s="85"/>
      <x:c r="Q601" s="85"/>
      <x:c r="R601" s="85"/>
      <x:c r="T601" s="86"/>
      <x:c r="U601" s="86"/>
      <x:c r="V601" s="32"/>
    </x:row>
    <x:row r="602">
      <x:c r="A602" s="87"/>
      <x:c r="B602" s="88"/>
      <x:c r="D602" s="32"/>
      <x:c r="G602" s="74"/>
      <x:c r="H602" s="74"/>
      <x:c r="I602" s="74"/>
      <x:c r="J602" s="74"/>
      <x:c r="K602" s="74"/>
      <x:c r="L602" s="74"/>
      <x:c r="M602" s="91"/>
      <x:c r="N602" s="91"/>
      <x:c r="O602" s="85"/>
      <x:c r="P602" s="85"/>
      <x:c r="Q602" s="85"/>
      <x:c r="R602" s="85"/>
      <x:c r="T602" s="86"/>
      <x:c r="U602" s="86"/>
      <x:c r="V602" s="32"/>
    </x:row>
    <x:row r="603">
      <x:c r="A603" s="87"/>
      <x:c r="B603" s="88"/>
      <x:c r="D603" s="32"/>
      <x:c r="G603" s="74"/>
      <x:c r="H603" s="74"/>
      <x:c r="I603" s="74"/>
      <x:c r="J603" s="74"/>
      <x:c r="K603" s="74"/>
      <x:c r="L603" s="74"/>
      <x:c r="M603" s="91"/>
      <x:c r="N603" s="91"/>
      <x:c r="O603" s="85"/>
      <x:c r="P603" s="85"/>
      <x:c r="Q603" s="85"/>
      <x:c r="R603" s="85"/>
      <x:c r="T603" s="86"/>
      <x:c r="U603" s="86"/>
      <x:c r="V603" s="32"/>
    </x:row>
    <x:row r="604">
      <x:c r="A604" s="87"/>
      <x:c r="B604" s="88"/>
      <x:c r="D604" s="32"/>
      <x:c r="G604" s="74"/>
      <x:c r="H604" s="74"/>
      <x:c r="I604" s="74"/>
      <x:c r="J604" s="74"/>
      <x:c r="K604" s="74"/>
      <x:c r="L604" s="74"/>
      <x:c r="M604" s="91"/>
      <x:c r="N604" s="91"/>
      <x:c r="O604" s="85"/>
      <x:c r="P604" s="85"/>
      <x:c r="Q604" s="85"/>
      <x:c r="R604" s="85"/>
      <x:c r="T604" s="86"/>
      <x:c r="U604" s="86"/>
      <x:c r="V604" s="32"/>
    </x:row>
    <x:row r="605">
      <x:c r="A605" s="87"/>
      <x:c r="B605" s="88"/>
      <x:c r="D605" s="32"/>
      <x:c r="G605" s="74"/>
      <x:c r="H605" s="74"/>
      <x:c r="I605" s="74"/>
      <x:c r="J605" s="74"/>
      <x:c r="K605" s="74"/>
      <x:c r="L605" s="74"/>
      <x:c r="M605" s="91"/>
      <x:c r="N605" s="91"/>
      <x:c r="O605" s="85"/>
      <x:c r="P605" s="85"/>
      <x:c r="Q605" s="85"/>
      <x:c r="R605" s="85"/>
      <x:c r="T605" s="86"/>
      <x:c r="U605" s="86"/>
      <x:c r="V605" s="32"/>
    </x:row>
    <x:row r="606">
      <x:c r="A606" s="87"/>
      <x:c r="B606" s="88"/>
      <x:c r="D606" s="32"/>
      <x:c r="G606" s="74"/>
      <x:c r="H606" s="74"/>
      <x:c r="I606" s="74"/>
      <x:c r="J606" s="74"/>
      <x:c r="K606" s="74"/>
      <x:c r="L606" s="74"/>
      <x:c r="M606" s="91"/>
      <x:c r="N606" s="91"/>
      <x:c r="O606" s="85"/>
      <x:c r="P606" s="85"/>
      <x:c r="Q606" s="85"/>
      <x:c r="R606" s="85"/>
      <x:c r="T606" s="86"/>
      <x:c r="U606" s="86"/>
      <x:c r="V606" s="32"/>
    </x:row>
    <x:row r="607">
      <x:c r="A607" s="87"/>
      <x:c r="B607" s="88"/>
      <x:c r="D607" s="32"/>
      <x:c r="G607" s="74"/>
      <x:c r="H607" s="74"/>
      <x:c r="I607" s="74"/>
      <x:c r="J607" s="74"/>
      <x:c r="K607" s="74"/>
      <x:c r="L607" s="74"/>
      <x:c r="M607" s="91"/>
      <x:c r="N607" s="91"/>
      <x:c r="O607" s="85"/>
      <x:c r="P607" s="85"/>
      <x:c r="Q607" s="85"/>
      <x:c r="R607" s="85"/>
      <x:c r="T607" s="86"/>
      <x:c r="U607" s="86"/>
      <x:c r="V607" s="32"/>
    </x:row>
    <x:row r="608">
      <x:c r="A608" s="87"/>
      <x:c r="B608" s="88"/>
      <x:c r="D608" s="32"/>
      <x:c r="G608" s="74"/>
      <x:c r="H608" s="74"/>
      <x:c r="I608" s="74"/>
      <x:c r="J608" s="74"/>
      <x:c r="K608" s="74"/>
      <x:c r="L608" s="74"/>
      <x:c r="M608" s="91"/>
      <x:c r="N608" s="91"/>
      <x:c r="O608" s="85"/>
      <x:c r="P608" s="85"/>
      <x:c r="Q608" s="85"/>
      <x:c r="R608" s="85"/>
      <x:c r="T608" s="86"/>
      <x:c r="U608" s="86"/>
      <x:c r="V608" s="32"/>
    </x:row>
    <x:row r="609">
      <x:c r="A609" s="87"/>
      <x:c r="B609" s="88"/>
      <x:c r="D609" s="32"/>
      <x:c r="G609" s="74"/>
      <x:c r="H609" s="74"/>
      <x:c r="I609" s="74"/>
      <x:c r="J609" s="74"/>
      <x:c r="K609" s="74"/>
      <x:c r="L609" s="74"/>
      <x:c r="M609" s="91"/>
      <x:c r="N609" s="91"/>
      <x:c r="O609" s="85"/>
      <x:c r="P609" s="85"/>
      <x:c r="Q609" s="85"/>
      <x:c r="R609" s="85"/>
      <x:c r="T609" s="86"/>
      <x:c r="U609" s="86"/>
      <x:c r="V609" s="32"/>
    </x:row>
    <x:row r="610">
      <x:c r="A610" s="87"/>
      <x:c r="B610" s="88"/>
      <x:c r="D610" s="32"/>
      <x:c r="G610" s="74"/>
      <x:c r="H610" s="74"/>
      <x:c r="I610" s="74"/>
      <x:c r="J610" s="74"/>
      <x:c r="K610" s="74"/>
      <x:c r="L610" s="74"/>
      <x:c r="M610" s="91"/>
      <x:c r="N610" s="91"/>
      <x:c r="O610" s="85"/>
      <x:c r="P610" s="85"/>
      <x:c r="Q610" s="85"/>
      <x:c r="R610" s="85"/>
      <x:c r="T610" s="86"/>
      <x:c r="U610" s="86"/>
      <x:c r="V610" s="32"/>
    </x:row>
    <x:row r="611">
      <x:c r="A611" s="87"/>
      <x:c r="B611" s="88"/>
      <x:c r="D611" s="32"/>
      <x:c r="G611" s="74"/>
      <x:c r="H611" s="74"/>
      <x:c r="I611" s="74"/>
      <x:c r="J611" s="74"/>
      <x:c r="K611" s="74"/>
      <x:c r="L611" s="74"/>
      <x:c r="M611" s="91"/>
      <x:c r="N611" s="91"/>
      <x:c r="O611" s="85"/>
      <x:c r="P611" s="85"/>
      <x:c r="Q611" s="85"/>
      <x:c r="R611" s="85"/>
      <x:c r="T611" s="86"/>
      <x:c r="U611" s="86"/>
      <x:c r="V611" s="32"/>
    </x:row>
    <x:row r="612">
      <x:c r="A612" s="87"/>
      <x:c r="B612" s="88"/>
      <x:c r="D612" s="32"/>
      <x:c r="G612" s="74"/>
      <x:c r="H612" s="74"/>
      <x:c r="I612" s="74"/>
      <x:c r="J612" s="74"/>
      <x:c r="K612" s="74"/>
      <x:c r="L612" s="74"/>
      <x:c r="M612" s="91"/>
      <x:c r="N612" s="91"/>
      <x:c r="O612" s="85"/>
      <x:c r="P612" s="85"/>
      <x:c r="Q612" s="85"/>
      <x:c r="R612" s="85"/>
      <x:c r="T612" s="86"/>
      <x:c r="U612" s="86"/>
      <x:c r="V612" s="32"/>
    </x:row>
    <x:row r="613">
      <x:c r="A613" s="87"/>
      <x:c r="B613" s="88"/>
      <x:c r="D613" s="32"/>
      <x:c r="G613" s="74"/>
      <x:c r="H613" s="74"/>
      <x:c r="I613" s="74"/>
      <x:c r="J613" s="74"/>
      <x:c r="K613" s="74"/>
      <x:c r="L613" s="74"/>
      <x:c r="M613" s="91"/>
      <x:c r="N613" s="91"/>
      <x:c r="O613" s="85"/>
      <x:c r="P613" s="85"/>
      <x:c r="Q613" s="85"/>
      <x:c r="R613" s="85"/>
      <x:c r="T613" s="86"/>
      <x:c r="U613" s="86"/>
      <x:c r="V613" s="32"/>
    </x:row>
    <x:row r="614">
      <x:c r="A614" s="87"/>
      <x:c r="B614" s="88"/>
      <x:c r="D614" s="32"/>
      <x:c r="G614" s="74"/>
      <x:c r="H614" s="74"/>
      <x:c r="I614" s="74"/>
      <x:c r="J614" s="74"/>
      <x:c r="K614" s="74"/>
      <x:c r="L614" s="74"/>
      <x:c r="M614" s="91"/>
      <x:c r="N614" s="91"/>
      <x:c r="O614" s="85"/>
      <x:c r="P614" s="85"/>
      <x:c r="Q614" s="85"/>
      <x:c r="R614" s="85"/>
      <x:c r="T614" s="86"/>
      <x:c r="U614" s="86"/>
      <x:c r="V614" s="32"/>
    </x:row>
    <x:row r="615">
      <x:c r="A615" s="87"/>
      <x:c r="B615" s="88"/>
      <x:c r="D615" s="32"/>
      <x:c r="G615" s="74"/>
      <x:c r="H615" s="74"/>
      <x:c r="I615" s="74"/>
      <x:c r="J615" s="74"/>
      <x:c r="K615" s="74"/>
      <x:c r="L615" s="74"/>
      <x:c r="M615" s="91"/>
      <x:c r="N615" s="91"/>
      <x:c r="O615" s="85"/>
      <x:c r="P615" s="85"/>
      <x:c r="Q615" s="85"/>
      <x:c r="R615" s="85"/>
      <x:c r="T615" s="86"/>
      <x:c r="U615" s="86"/>
      <x:c r="V615" s="32"/>
    </x:row>
    <x:row r="616">
      <x:c r="A616" s="87"/>
      <x:c r="B616" s="88"/>
      <x:c r="D616" s="32"/>
      <x:c r="G616" s="74"/>
      <x:c r="H616" s="74"/>
      <x:c r="I616" s="74"/>
      <x:c r="J616" s="74"/>
      <x:c r="K616" s="74"/>
      <x:c r="L616" s="74"/>
      <x:c r="M616" s="91"/>
      <x:c r="N616" s="91"/>
      <x:c r="O616" s="85"/>
      <x:c r="P616" s="85"/>
      <x:c r="Q616" s="85"/>
      <x:c r="R616" s="85"/>
      <x:c r="T616" s="86"/>
      <x:c r="U616" s="86"/>
      <x:c r="V616" s="32"/>
    </x:row>
    <x:row r="617">
      <x:c r="A617" s="87"/>
      <x:c r="B617" s="88"/>
      <x:c r="D617" s="32"/>
      <x:c r="G617" s="74"/>
      <x:c r="H617" s="74"/>
      <x:c r="I617" s="74"/>
      <x:c r="J617" s="74"/>
      <x:c r="K617" s="74"/>
      <x:c r="L617" s="74"/>
      <x:c r="M617" s="91"/>
      <x:c r="N617" s="91"/>
      <x:c r="O617" s="85"/>
      <x:c r="P617" s="85"/>
      <x:c r="Q617" s="85"/>
      <x:c r="R617" s="85"/>
      <x:c r="T617" s="86"/>
      <x:c r="U617" s="86"/>
      <x:c r="V617" s="32"/>
    </x:row>
    <x:row r="618">
      <x:c r="A618" s="87"/>
      <x:c r="B618" s="88"/>
      <x:c r="D618" s="32"/>
      <x:c r="G618" s="74"/>
      <x:c r="H618" s="74"/>
      <x:c r="I618" s="74"/>
      <x:c r="J618" s="74"/>
      <x:c r="K618" s="74"/>
      <x:c r="L618" s="74"/>
      <x:c r="M618" s="91"/>
      <x:c r="N618" s="91"/>
      <x:c r="O618" s="85"/>
      <x:c r="P618" s="85"/>
      <x:c r="Q618" s="85"/>
      <x:c r="R618" s="85"/>
      <x:c r="T618" s="86"/>
      <x:c r="U618" s="86"/>
      <x:c r="V618" s="32"/>
    </x:row>
    <x:row r="619">
      <x:c r="A619" s="87"/>
      <x:c r="B619" s="88"/>
      <x:c r="D619" s="32"/>
      <x:c r="G619" s="74"/>
      <x:c r="H619" s="74"/>
      <x:c r="I619" s="74"/>
      <x:c r="J619" s="74"/>
      <x:c r="K619" s="74"/>
      <x:c r="L619" s="74"/>
      <x:c r="M619" s="91"/>
      <x:c r="N619" s="91"/>
      <x:c r="O619" s="85"/>
      <x:c r="P619" s="85"/>
      <x:c r="Q619" s="85"/>
      <x:c r="R619" s="85"/>
      <x:c r="T619" s="86"/>
      <x:c r="U619" s="86"/>
      <x:c r="V619" s="32"/>
    </x:row>
    <x:row r="620">
      <x:c r="A620" s="87"/>
      <x:c r="B620" s="88"/>
      <x:c r="D620" s="32"/>
      <x:c r="G620" s="74"/>
      <x:c r="H620" s="74"/>
      <x:c r="I620" s="74"/>
      <x:c r="J620" s="74"/>
      <x:c r="K620" s="74"/>
      <x:c r="L620" s="74"/>
      <x:c r="M620" s="91"/>
      <x:c r="N620" s="91"/>
      <x:c r="O620" s="85"/>
      <x:c r="P620" s="85"/>
      <x:c r="Q620" s="85"/>
      <x:c r="R620" s="85"/>
      <x:c r="T620" s="86"/>
      <x:c r="U620" s="86"/>
      <x:c r="V620" s="32"/>
    </x:row>
    <x:row r="621">
      <x:c r="A621" s="87"/>
      <x:c r="B621" s="88"/>
      <x:c r="D621" s="32"/>
      <x:c r="G621" s="74"/>
      <x:c r="H621" s="74"/>
      <x:c r="I621" s="74"/>
      <x:c r="J621" s="74"/>
      <x:c r="K621" s="74"/>
      <x:c r="L621" s="74"/>
      <x:c r="M621" s="91"/>
      <x:c r="N621" s="91"/>
      <x:c r="O621" s="85"/>
      <x:c r="P621" s="85"/>
      <x:c r="Q621" s="85"/>
      <x:c r="R621" s="85"/>
      <x:c r="T621" s="86"/>
      <x:c r="U621" s="86"/>
      <x:c r="V621" s="32"/>
    </x:row>
    <x:row r="622">
      <x:c r="A622" s="87"/>
      <x:c r="B622" s="88"/>
      <x:c r="D622" s="32"/>
      <x:c r="G622" s="74"/>
      <x:c r="H622" s="74"/>
      <x:c r="I622" s="74"/>
      <x:c r="J622" s="74"/>
      <x:c r="K622" s="74"/>
      <x:c r="L622" s="74"/>
      <x:c r="M622" s="91"/>
      <x:c r="N622" s="91"/>
      <x:c r="O622" s="85"/>
      <x:c r="P622" s="85"/>
      <x:c r="Q622" s="85"/>
      <x:c r="R622" s="85"/>
      <x:c r="T622" s="86"/>
      <x:c r="U622" s="86"/>
      <x:c r="V622" s="32"/>
    </x:row>
    <x:row r="623">
      <x:c r="A623" s="87"/>
      <x:c r="B623" s="88"/>
      <x:c r="D623" s="32"/>
      <x:c r="G623" s="74"/>
      <x:c r="H623" s="74"/>
      <x:c r="I623" s="74"/>
      <x:c r="J623" s="74"/>
      <x:c r="K623" s="74"/>
      <x:c r="L623" s="74"/>
      <x:c r="M623" s="91"/>
      <x:c r="N623" s="91"/>
      <x:c r="O623" s="85"/>
      <x:c r="P623" s="85"/>
      <x:c r="Q623" s="85"/>
      <x:c r="R623" s="85"/>
      <x:c r="T623" s="86"/>
      <x:c r="U623" s="86"/>
      <x:c r="V623" s="32"/>
    </x:row>
    <x:row r="624">
      <x:c r="A624" s="87"/>
      <x:c r="B624" s="88"/>
      <x:c r="D624" s="32"/>
      <x:c r="G624" s="74"/>
      <x:c r="H624" s="74"/>
      <x:c r="I624" s="74"/>
      <x:c r="J624" s="74"/>
      <x:c r="K624" s="74"/>
      <x:c r="L624" s="74"/>
      <x:c r="M624" s="91"/>
      <x:c r="N624" s="91"/>
      <x:c r="O624" s="85"/>
      <x:c r="P624" s="85"/>
      <x:c r="Q624" s="85"/>
      <x:c r="R624" s="85"/>
      <x:c r="T624" s="86"/>
      <x:c r="U624" s="86"/>
      <x:c r="V624" s="32"/>
    </x:row>
    <x:row r="625">
      <x:c r="A625" s="87"/>
      <x:c r="B625" s="88"/>
      <x:c r="D625" s="32"/>
      <x:c r="G625" s="74"/>
      <x:c r="H625" s="74"/>
      <x:c r="I625" s="74"/>
      <x:c r="J625" s="74"/>
      <x:c r="K625" s="74"/>
      <x:c r="L625" s="74"/>
      <x:c r="M625" s="91"/>
      <x:c r="N625" s="91"/>
      <x:c r="O625" s="85"/>
      <x:c r="P625" s="85"/>
      <x:c r="Q625" s="85"/>
      <x:c r="R625" s="85"/>
      <x:c r="T625" s="86"/>
      <x:c r="U625" s="86"/>
      <x:c r="V625" s="32"/>
    </x:row>
    <x:row r="626">
      <x:c r="A626" s="87"/>
      <x:c r="B626" s="88"/>
      <x:c r="D626" s="32"/>
      <x:c r="G626" s="74"/>
      <x:c r="H626" s="74"/>
      <x:c r="I626" s="74"/>
      <x:c r="J626" s="74"/>
      <x:c r="K626" s="74"/>
      <x:c r="L626" s="74"/>
      <x:c r="M626" s="91"/>
      <x:c r="N626" s="91"/>
      <x:c r="O626" s="85"/>
      <x:c r="P626" s="85"/>
      <x:c r="Q626" s="85"/>
      <x:c r="R626" s="85"/>
      <x:c r="T626" s="86"/>
      <x:c r="U626" s="86"/>
      <x:c r="V626" s="32"/>
    </x:row>
    <x:row r="627">
      <x:c r="A627" s="87"/>
      <x:c r="B627" s="88"/>
      <x:c r="D627" s="32"/>
      <x:c r="G627" s="74"/>
      <x:c r="H627" s="74"/>
      <x:c r="I627" s="74"/>
      <x:c r="J627" s="74"/>
      <x:c r="K627" s="74"/>
      <x:c r="L627" s="74"/>
      <x:c r="M627" s="91"/>
      <x:c r="N627" s="91"/>
      <x:c r="O627" s="85"/>
      <x:c r="P627" s="85"/>
      <x:c r="Q627" s="85"/>
      <x:c r="R627" s="85"/>
      <x:c r="T627" s="86"/>
      <x:c r="U627" s="86"/>
      <x:c r="V627" s="32"/>
    </x:row>
    <x:row r="628">
      <x:c r="A628" s="87"/>
      <x:c r="B628" s="88"/>
      <x:c r="D628" s="32"/>
      <x:c r="G628" s="74"/>
      <x:c r="H628" s="74"/>
      <x:c r="I628" s="74"/>
      <x:c r="J628" s="74"/>
      <x:c r="K628" s="74"/>
      <x:c r="L628" s="74"/>
      <x:c r="M628" s="91"/>
      <x:c r="N628" s="91"/>
      <x:c r="O628" s="85"/>
      <x:c r="P628" s="85"/>
      <x:c r="Q628" s="85"/>
      <x:c r="R628" s="85"/>
      <x:c r="T628" s="86"/>
      <x:c r="U628" s="86"/>
      <x:c r="V628" s="32"/>
    </x:row>
    <x:row r="629">
      <x:c r="A629" s="87"/>
      <x:c r="B629" s="88"/>
      <x:c r="D629" s="32"/>
      <x:c r="G629" s="74"/>
      <x:c r="H629" s="74"/>
      <x:c r="I629" s="74"/>
      <x:c r="J629" s="74"/>
      <x:c r="K629" s="74"/>
      <x:c r="L629" s="74"/>
      <x:c r="M629" s="91"/>
      <x:c r="N629" s="91"/>
      <x:c r="O629" s="85"/>
      <x:c r="P629" s="85"/>
      <x:c r="Q629" s="85"/>
      <x:c r="R629" s="85"/>
      <x:c r="T629" s="86"/>
      <x:c r="U629" s="86"/>
      <x:c r="V629" s="32"/>
    </x:row>
    <x:row r="630">
      <x:c r="A630" s="87"/>
      <x:c r="B630" s="88"/>
      <x:c r="D630" s="32"/>
      <x:c r="G630" s="74"/>
      <x:c r="H630" s="74"/>
      <x:c r="I630" s="74"/>
      <x:c r="J630" s="74"/>
      <x:c r="K630" s="74"/>
      <x:c r="L630" s="74"/>
      <x:c r="M630" s="91"/>
      <x:c r="N630" s="91"/>
      <x:c r="O630" s="85"/>
      <x:c r="P630" s="85"/>
      <x:c r="Q630" s="85"/>
      <x:c r="R630" s="85"/>
      <x:c r="T630" s="86"/>
      <x:c r="U630" s="86"/>
      <x:c r="V630" s="32"/>
    </x:row>
    <x:row r="631">
      <x:c r="A631" s="87"/>
      <x:c r="B631" s="88"/>
      <x:c r="D631" s="32"/>
      <x:c r="G631" s="74"/>
      <x:c r="H631" s="74"/>
      <x:c r="I631" s="74"/>
      <x:c r="J631" s="74"/>
      <x:c r="K631" s="74"/>
      <x:c r="L631" s="74"/>
      <x:c r="M631" s="91"/>
      <x:c r="N631" s="91"/>
      <x:c r="O631" s="85"/>
      <x:c r="P631" s="85"/>
      <x:c r="Q631" s="85"/>
      <x:c r="R631" s="85"/>
      <x:c r="T631" s="86"/>
      <x:c r="U631" s="86"/>
      <x:c r="V631" s="32"/>
    </x:row>
    <x:row r="632">
      <x:c r="A632" s="87"/>
      <x:c r="B632" s="88"/>
      <x:c r="D632" s="32"/>
      <x:c r="G632" s="74"/>
      <x:c r="H632" s="74"/>
      <x:c r="I632" s="74"/>
      <x:c r="J632" s="74"/>
      <x:c r="K632" s="74"/>
      <x:c r="L632" s="74"/>
      <x:c r="M632" s="91"/>
      <x:c r="N632" s="91"/>
      <x:c r="O632" s="85"/>
      <x:c r="P632" s="85"/>
      <x:c r="Q632" s="85"/>
      <x:c r="R632" s="85"/>
      <x:c r="T632" s="86"/>
      <x:c r="U632" s="86"/>
      <x:c r="V632" s="32"/>
    </x:row>
    <x:row r="633">
      <x:c r="A633" s="87"/>
      <x:c r="B633" s="88"/>
      <x:c r="D633" s="32"/>
      <x:c r="G633" s="74"/>
      <x:c r="H633" s="74"/>
      <x:c r="I633" s="74"/>
      <x:c r="J633" s="74"/>
      <x:c r="K633" s="74"/>
      <x:c r="L633" s="74"/>
      <x:c r="M633" s="91"/>
      <x:c r="N633" s="91"/>
      <x:c r="O633" s="85"/>
      <x:c r="P633" s="85"/>
      <x:c r="Q633" s="85"/>
      <x:c r="R633" s="85"/>
      <x:c r="T633" s="86"/>
      <x:c r="U633" s="86"/>
      <x:c r="V633" s="32"/>
    </x:row>
    <x:row r="634">
      <x:c r="A634" s="87"/>
      <x:c r="B634" s="88"/>
      <x:c r="D634" s="32"/>
      <x:c r="G634" s="74"/>
      <x:c r="H634" s="74"/>
      <x:c r="I634" s="74"/>
      <x:c r="J634" s="74"/>
      <x:c r="K634" s="74"/>
      <x:c r="L634" s="74"/>
      <x:c r="M634" s="91"/>
      <x:c r="N634" s="91"/>
      <x:c r="O634" s="85"/>
      <x:c r="P634" s="85"/>
      <x:c r="Q634" s="85"/>
      <x:c r="R634" s="85"/>
      <x:c r="T634" s="86"/>
      <x:c r="U634" s="86"/>
      <x:c r="V634" s="32"/>
    </x:row>
    <x:row r="635">
      <x:c r="A635" s="87"/>
      <x:c r="B635" s="88"/>
      <x:c r="D635" s="32"/>
      <x:c r="G635" s="74"/>
      <x:c r="H635" s="74"/>
      <x:c r="I635" s="74"/>
      <x:c r="J635" s="74"/>
      <x:c r="K635" s="74"/>
      <x:c r="L635" s="74"/>
      <x:c r="M635" s="91"/>
      <x:c r="N635" s="91"/>
      <x:c r="O635" s="85"/>
      <x:c r="P635" s="85"/>
      <x:c r="Q635" s="85"/>
      <x:c r="R635" s="85"/>
      <x:c r="T635" s="86"/>
      <x:c r="U635" s="86"/>
      <x:c r="V635" s="32"/>
    </x:row>
    <x:row r="636">
      <x:c r="A636" s="87"/>
      <x:c r="B636" s="88"/>
      <x:c r="D636" s="32"/>
      <x:c r="G636" s="74"/>
      <x:c r="H636" s="74"/>
      <x:c r="I636" s="74"/>
      <x:c r="J636" s="74"/>
      <x:c r="K636" s="74"/>
      <x:c r="L636" s="74"/>
      <x:c r="M636" s="91"/>
      <x:c r="N636" s="91"/>
      <x:c r="O636" s="85"/>
      <x:c r="P636" s="85"/>
      <x:c r="Q636" s="85"/>
      <x:c r="R636" s="85"/>
      <x:c r="T636" s="86"/>
      <x:c r="U636" s="86"/>
      <x:c r="V636" s="32"/>
    </x:row>
    <x:row r="637">
      <x:c r="A637" s="87"/>
      <x:c r="B637" s="88"/>
      <x:c r="D637" s="32"/>
      <x:c r="G637" s="74"/>
      <x:c r="H637" s="74"/>
      <x:c r="I637" s="74"/>
      <x:c r="J637" s="74"/>
      <x:c r="K637" s="74"/>
      <x:c r="L637" s="74"/>
      <x:c r="M637" s="91"/>
      <x:c r="N637" s="91"/>
      <x:c r="O637" s="85"/>
      <x:c r="P637" s="85"/>
      <x:c r="Q637" s="85"/>
      <x:c r="R637" s="85"/>
      <x:c r="T637" s="86"/>
      <x:c r="U637" s="86"/>
      <x:c r="V637" s="32"/>
    </x:row>
    <x:row r="638">
      <x:c r="A638" s="87"/>
      <x:c r="B638" s="88"/>
      <x:c r="D638" s="32"/>
      <x:c r="G638" s="74"/>
      <x:c r="H638" s="74"/>
      <x:c r="I638" s="74"/>
      <x:c r="J638" s="74"/>
      <x:c r="K638" s="74"/>
      <x:c r="L638" s="74"/>
      <x:c r="M638" s="91"/>
      <x:c r="N638" s="91"/>
      <x:c r="O638" s="85"/>
      <x:c r="P638" s="85"/>
      <x:c r="Q638" s="85"/>
      <x:c r="R638" s="85"/>
      <x:c r="T638" s="86"/>
      <x:c r="U638" s="86"/>
      <x:c r="V638" s="32"/>
    </x:row>
    <x:row r="639">
      <x:c r="A639" s="87"/>
      <x:c r="B639" s="88"/>
      <x:c r="D639" s="32"/>
      <x:c r="G639" s="74"/>
      <x:c r="H639" s="74"/>
      <x:c r="I639" s="74"/>
      <x:c r="J639" s="74"/>
      <x:c r="K639" s="74"/>
      <x:c r="L639" s="74"/>
      <x:c r="M639" s="91"/>
      <x:c r="N639" s="91"/>
      <x:c r="O639" s="85"/>
      <x:c r="P639" s="85"/>
      <x:c r="Q639" s="85"/>
      <x:c r="R639" s="85"/>
      <x:c r="T639" s="86"/>
      <x:c r="U639" s="86"/>
      <x:c r="V639" s="32"/>
    </x:row>
    <x:row r="640">
      <x:c r="A640" s="87"/>
      <x:c r="B640" s="88"/>
      <x:c r="D640" s="32"/>
      <x:c r="G640" s="74"/>
      <x:c r="H640" s="74"/>
      <x:c r="I640" s="74"/>
      <x:c r="J640" s="74"/>
      <x:c r="K640" s="74"/>
      <x:c r="L640" s="74"/>
      <x:c r="M640" s="91"/>
      <x:c r="N640" s="91"/>
      <x:c r="O640" s="85"/>
      <x:c r="P640" s="85"/>
      <x:c r="Q640" s="85"/>
      <x:c r="R640" s="85"/>
      <x:c r="T640" s="86"/>
      <x:c r="U640" s="86"/>
      <x:c r="V640" s="32"/>
    </x:row>
    <x:row r="641">
      <x:c r="A641" s="87"/>
      <x:c r="B641" s="88"/>
      <x:c r="D641" s="32"/>
      <x:c r="G641" s="74"/>
      <x:c r="H641" s="74"/>
      <x:c r="I641" s="74"/>
      <x:c r="J641" s="74"/>
      <x:c r="K641" s="74"/>
      <x:c r="L641" s="74"/>
      <x:c r="M641" s="91"/>
      <x:c r="N641" s="91"/>
      <x:c r="O641" s="85"/>
      <x:c r="P641" s="85"/>
      <x:c r="Q641" s="85"/>
      <x:c r="R641" s="85"/>
      <x:c r="T641" s="86"/>
      <x:c r="U641" s="86"/>
      <x:c r="V641" s="32"/>
    </x:row>
    <x:row r="642">
      <x:c r="A642" s="87"/>
      <x:c r="B642" s="88"/>
      <x:c r="D642" s="32"/>
      <x:c r="G642" s="74"/>
      <x:c r="H642" s="74"/>
      <x:c r="I642" s="74"/>
      <x:c r="J642" s="74"/>
      <x:c r="K642" s="74"/>
      <x:c r="L642" s="74"/>
      <x:c r="M642" s="91"/>
      <x:c r="N642" s="91"/>
      <x:c r="O642" s="85"/>
      <x:c r="P642" s="85"/>
      <x:c r="Q642" s="85"/>
      <x:c r="R642" s="85"/>
      <x:c r="T642" s="86"/>
      <x:c r="U642" s="86"/>
      <x:c r="V642" s="32"/>
    </x:row>
    <x:row r="643">
      <x:c r="A643" s="87"/>
      <x:c r="B643" s="88"/>
      <x:c r="D643" s="32"/>
      <x:c r="G643" s="74"/>
      <x:c r="H643" s="74"/>
      <x:c r="I643" s="74"/>
      <x:c r="J643" s="74"/>
      <x:c r="K643" s="74"/>
      <x:c r="L643" s="74"/>
      <x:c r="M643" s="91"/>
      <x:c r="N643" s="91"/>
      <x:c r="O643" s="85"/>
      <x:c r="P643" s="85"/>
      <x:c r="Q643" s="85"/>
      <x:c r="R643" s="85"/>
      <x:c r="T643" s="86"/>
      <x:c r="U643" s="86"/>
      <x:c r="V643" s="32"/>
    </x:row>
    <x:row r="644">
      <x:c r="A644" s="87"/>
      <x:c r="B644" s="88"/>
      <x:c r="D644" s="32"/>
      <x:c r="G644" s="74"/>
      <x:c r="H644" s="74"/>
      <x:c r="I644" s="74"/>
      <x:c r="J644" s="74"/>
      <x:c r="K644" s="74"/>
      <x:c r="L644" s="74"/>
      <x:c r="M644" s="91"/>
      <x:c r="N644" s="91"/>
      <x:c r="O644" s="85"/>
      <x:c r="P644" s="85"/>
      <x:c r="Q644" s="85"/>
      <x:c r="R644" s="85"/>
      <x:c r="T644" s="86"/>
      <x:c r="U644" s="86"/>
      <x:c r="V644" s="32"/>
    </x:row>
    <x:row r="645">
      <x:c r="A645" s="87"/>
      <x:c r="B645" s="88"/>
      <x:c r="D645" s="32"/>
      <x:c r="G645" s="74"/>
      <x:c r="H645" s="74"/>
      <x:c r="I645" s="74"/>
      <x:c r="J645" s="74"/>
      <x:c r="K645" s="74"/>
      <x:c r="L645" s="74"/>
      <x:c r="M645" s="91"/>
      <x:c r="N645" s="91"/>
      <x:c r="O645" s="85"/>
      <x:c r="P645" s="85"/>
      <x:c r="Q645" s="85"/>
      <x:c r="R645" s="85"/>
      <x:c r="T645" s="86"/>
      <x:c r="U645" s="86"/>
      <x:c r="V645" s="32"/>
    </x:row>
    <x:row r="646">
      <x:c r="A646" s="87"/>
      <x:c r="B646" s="88"/>
      <x:c r="D646" s="32"/>
      <x:c r="G646" s="74"/>
      <x:c r="H646" s="74"/>
      <x:c r="I646" s="74"/>
      <x:c r="J646" s="74"/>
      <x:c r="K646" s="74"/>
      <x:c r="L646" s="74"/>
      <x:c r="M646" s="91"/>
      <x:c r="N646" s="91"/>
      <x:c r="O646" s="85"/>
      <x:c r="P646" s="85"/>
      <x:c r="Q646" s="85"/>
      <x:c r="R646" s="85"/>
      <x:c r="T646" s="86"/>
      <x:c r="U646" s="86"/>
      <x:c r="V646" s="32"/>
    </x:row>
    <x:row r="647">
      <x:c r="A647" s="87"/>
      <x:c r="B647" s="88"/>
      <x:c r="D647" s="32"/>
      <x:c r="G647" s="74"/>
      <x:c r="H647" s="74"/>
      <x:c r="I647" s="74"/>
      <x:c r="J647" s="74"/>
      <x:c r="K647" s="74"/>
      <x:c r="L647" s="74"/>
      <x:c r="M647" s="91"/>
      <x:c r="N647" s="91"/>
      <x:c r="O647" s="85"/>
      <x:c r="P647" s="85"/>
      <x:c r="Q647" s="85"/>
      <x:c r="R647" s="85"/>
      <x:c r="T647" s="86"/>
      <x:c r="U647" s="86"/>
      <x:c r="V647" s="32"/>
    </x:row>
    <x:row r="648">
      <x:c r="A648" s="87"/>
      <x:c r="B648" s="88"/>
      <x:c r="D648" s="32"/>
      <x:c r="G648" s="74"/>
      <x:c r="H648" s="74"/>
      <x:c r="I648" s="74"/>
      <x:c r="J648" s="74"/>
      <x:c r="K648" s="74"/>
      <x:c r="L648" s="74"/>
      <x:c r="M648" s="91"/>
      <x:c r="N648" s="91"/>
      <x:c r="O648" s="85"/>
      <x:c r="P648" s="85"/>
      <x:c r="Q648" s="85"/>
      <x:c r="R648" s="85"/>
      <x:c r="T648" s="86"/>
      <x:c r="U648" s="86"/>
      <x:c r="V648" s="32"/>
    </x:row>
    <x:row r="649">
      <x:c r="A649" s="87"/>
      <x:c r="B649" s="88"/>
      <x:c r="D649" s="32"/>
      <x:c r="G649" s="74"/>
      <x:c r="H649" s="74"/>
      <x:c r="I649" s="74"/>
      <x:c r="J649" s="74"/>
      <x:c r="K649" s="74"/>
      <x:c r="L649" s="74"/>
      <x:c r="M649" s="91"/>
      <x:c r="N649" s="91"/>
      <x:c r="O649" s="85"/>
      <x:c r="P649" s="85"/>
      <x:c r="Q649" s="85"/>
      <x:c r="R649" s="85"/>
      <x:c r="T649" s="86"/>
      <x:c r="U649" s="86"/>
      <x:c r="V649" s="32"/>
    </x:row>
    <x:row r="650">
      <x:c r="A650" s="87"/>
      <x:c r="B650" s="88"/>
      <x:c r="D650" s="32"/>
      <x:c r="G650" s="74"/>
      <x:c r="H650" s="74"/>
      <x:c r="I650" s="74"/>
      <x:c r="J650" s="74"/>
      <x:c r="K650" s="74"/>
      <x:c r="L650" s="74"/>
      <x:c r="M650" s="91"/>
      <x:c r="N650" s="91"/>
      <x:c r="O650" s="85"/>
      <x:c r="P650" s="85"/>
      <x:c r="Q650" s="85"/>
      <x:c r="R650" s="85"/>
      <x:c r="T650" s="86"/>
      <x:c r="U650" s="86"/>
      <x:c r="V650" s="32"/>
    </x:row>
    <x:row r="651">
      <x:c r="A651" s="87"/>
      <x:c r="B651" s="88"/>
      <x:c r="D651" s="32"/>
      <x:c r="G651" s="74"/>
      <x:c r="H651" s="74"/>
      <x:c r="I651" s="74"/>
      <x:c r="J651" s="74"/>
      <x:c r="K651" s="74"/>
      <x:c r="L651" s="74"/>
      <x:c r="M651" s="91"/>
      <x:c r="N651" s="91"/>
      <x:c r="O651" s="85"/>
      <x:c r="P651" s="85"/>
      <x:c r="Q651" s="85"/>
      <x:c r="R651" s="85"/>
      <x:c r="T651" s="86"/>
      <x:c r="U651" s="86"/>
      <x:c r="V651" s="32"/>
    </x:row>
    <x:row r="652">
      <x:c r="A652" s="87"/>
      <x:c r="B652" s="88"/>
      <x:c r="D652" s="32"/>
      <x:c r="G652" s="74"/>
      <x:c r="H652" s="74"/>
      <x:c r="I652" s="74"/>
      <x:c r="J652" s="74"/>
      <x:c r="K652" s="74"/>
      <x:c r="L652" s="74"/>
      <x:c r="M652" s="91"/>
      <x:c r="N652" s="91"/>
      <x:c r="O652" s="85"/>
      <x:c r="P652" s="85"/>
      <x:c r="Q652" s="85"/>
      <x:c r="R652" s="85"/>
      <x:c r="T652" s="86"/>
      <x:c r="U652" s="86"/>
      <x:c r="V652" s="32"/>
    </x:row>
    <x:row r="653">
      <x:c r="A653" s="87"/>
      <x:c r="B653" s="88"/>
      <x:c r="D653" s="32"/>
      <x:c r="G653" s="74"/>
      <x:c r="H653" s="74"/>
      <x:c r="I653" s="74"/>
      <x:c r="J653" s="74"/>
      <x:c r="K653" s="74"/>
      <x:c r="L653" s="74"/>
      <x:c r="M653" s="91"/>
      <x:c r="N653" s="91"/>
      <x:c r="O653" s="85"/>
      <x:c r="P653" s="85"/>
      <x:c r="Q653" s="85"/>
      <x:c r="R653" s="85"/>
      <x:c r="T653" s="86"/>
      <x:c r="U653" s="86"/>
      <x:c r="V653" s="32"/>
    </x:row>
    <x:row r="654">
      <x:c r="A654" s="87"/>
      <x:c r="B654" s="88"/>
      <x:c r="D654" s="32"/>
      <x:c r="G654" s="74"/>
      <x:c r="H654" s="74"/>
      <x:c r="I654" s="74"/>
      <x:c r="J654" s="74"/>
      <x:c r="K654" s="74"/>
      <x:c r="L654" s="74"/>
      <x:c r="M654" s="91"/>
      <x:c r="N654" s="91"/>
      <x:c r="O654" s="85"/>
      <x:c r="P654" s="85"/>
      <x:c r="Q654" s="85"/>
      <x:c r="R654" s="85"/>
      <x:c r="T654" s="86"/>
      <x:c r="U654" s="86"/>
      <x:c r="V654" s="32"/>
    </x:row>
    <x:row r="655">
      <x:c r="A655" s="87"/>
      <x:c r="B655" s="88"/>
      <x:c r="D655" s="32"/>
      <x:c r="G655" s="74"/>
      <x:c r="H655" s="74"/>
      <x:c r="I655" s="74"/>
      <x:c r="J655" s="74"/>
      <x:c r="K655" s="74"/>
      <x:c r="L655" s="74"/>
      <x:c r="M655" s="91"/>
      <x:c r="N655" s="91"/>
      <x:c r="O655" s="85"/>
      <x:c r="P655" s="85"/>
      <x:c r="Q655" s="85"/>
      <x:c r="R655" s="85"/>
      <x:c r="T655" s="86"/>
      <x:c r="U655" s="86"/>
      <x:c r="V655" s="32"/>
    </x:row>
    <x:row r="656">
      <x:c r="A656" s="87"/>
      <x:c r="B656" s="88"/>
      <x:c r="D656" s="32"/>
      <x:c r="G656" s="74"/>
      <x:c r="H656" s="74"/>
      <x:c r="I656" s="74"/>
      <x:c r="J656" s="74"/>
      <x:c r="K656" s="74"/>
      <x:c r="L656" s="74"/>
      <x:c r="M656" s="91"/>
      <x:c r="N656" s="91"/>
      <x:c r="O656" s="85"/>
      <x:c r="P656" s="85"/>
      <x:c r="Q656" s="85"/>
      <x:c r="R656" s="85"/>
      <x:c r="T656" s="86"/>
      <x:c r="U656" s="86"/>
      <x:c r="V656" s="32"/>
    </x:row>
    <x:row r="657">
      <x:c r="A657" s="87"/>
      <x:c r="B657" s="88"/>
      <x:c r="D657" s="32"/>
      <x:c r="G657" s="74"/>
      <x:c r="H657" s="74"/>
      <x:c r="I657" s="74"/>
      <x:c r="J657" s="74"/>
      <x:c r="K657" s="74"/>
      <x:c r="L657" s="74"/>
      <x:c r="M657" s="91"/>
      <x:c r="N657" s="91"/>
      <x:c r="O657" s="85"/>
      <x:c r="P657" s="85"/>
      <x:c r="Q657" s="85"/>
      <x:c r="R657" s="85"/>
      <x:c r="T657" s="86"/>
      <x:c r="U657" s="86"/>
      <x:c r="V657" s="32"/>
    </x:row>
    <x:row r="658">
      <x:c r="A658" s="87"/>
      <x:c r="B658" s="88"/>
      <x:c r="D658" s="32"/>
      <x:c r="G658" s="74"/>
      <x:c r="H658" s="74"/>
      <x:c r="I658" s="74"/>
      <x:c r="J658" s="74"/>
      <x:c r="K658" s="74"/>
      <x:c r="L658" s="74"/>
      <x:c r="M658" s="91"/>
      <x:c r="N658" s="91"/>
      <x:c r="O658" s="85"/>
      <x:c r="P658" s="85"/>
      <x:c r="Q658" s="85"/>
      <x:c r="R658" s="85"/>
      <x:c r="T658" s="86"/>
      <x:c r="U658" s="86"/>
      <x:c r="V658" s="32"/>
    </x:row>
    <x:row r="659">
      <x:c r="A659" s="87"/>
      <x:c r="B659" s="88"/>
      <x:c r="D659" s="32"/>
      <x:c r="G659" s="74"/>
      <x:c r="H659" s="74"/>
      <x:c r="I659" s="74"/>
      <x:c r="J659" s="74"/>
      <x:c r="K659" s="74"/>
      <x:c r="L659" s="74"/>
      <x:c r="M659" s="91"/>
      <x:c r="N659" s="91"/>
      <x:c r="O659" s="85"/>
      <x:c r="P659" s="85"/>
      <x:c r="Q659" s="85"/>
      <x:c r="R659" s="85"/>
      <x:c r="T659" s="86"/>
      <x:c r="U659" s="86"/>
      <x:c r="V659" s="32"/>
    </x:row>
    <x:row r="660">
      <x:c r="A660" s="87"/>
      <x:c r="B660" s="88"/>
      <x:c r="D660" s="32"/>
      <x:c r="G660" s="74"/>
      <x:c r="H660" s="74"/>
      <x:c r="I660" s="74"/>
      <x:c r="J660" s="74"/>
      <x:c r="K660" s="74"/>
      <x:c r="L660" s="74"/>
      <x:c r="M660" s="91"/>
      <x:c r="N660" s="91"/>
      <x:c r="O660" s="85"/>
      <x:c r="P660" s="85"/>
      <x:c r="Q660" s="85"/>
      <x:c r="R660" s="85"/>
      <x:c r="T660" s="86"/>
      <x:c r="U660" s="86"/>
      <x:c r="V660" s="32"/>
    </x:row>
    <x:row r="661">
      <x:c r="A661" s="87"/>
      <x:c r="B661" s="88"/>
      <x:c r="D661" s="32"/>
      <x:c r="G661" s="74"/>
      <x:c r="H661" s="74"/>
      <x:c r="I661" s="74"/>
      <x:c r="J661" s="74"/>
      <x:c r="K661" s="74"/>
      <x:c r="L661" s="74"/>
      <x:c r="M661" s="91"/>
      <x:c r="N661" s="91"/>
      <x:c r="O661" s="85"/>
      <x:c r="P661" s="85"/>
      <x:c r="Q661" s="85"/>
      <x:c r="R661" s="85"/>
      <x:c r="T661" s="86"/>
      <x:c r="U661" s="86"/>
      <x:c r="V661" s="32"/>
    </x:row>
    <x:row r="662">
      <x:c r="A662" s="87"/>
      <x:c r="B662" s="88"/>
      <x:c r="D662" s="32"/>
      <x:c r="G662" s="74"/>
      <x:c r="H662" s="74"/>
      <x:c r="I662" s="74"/>
      <x:c r="J662" s="74"/>
      <x:c r="K662" s="74"/>
      <x:c r="L662" s="74"/>
      <x:c r="M662" s="91"/>
      <x:c r="N662" s="91"/>
      <x:c r="O662" s="85"/>
      <x:c r="P662" s="85"/>
      <x:c r="Q662" s="85"/>
      <x:c r="R662" s="85"/>
      <x:c r="T662" s="86"/>
      <x:c r="U662" s="86"/>
      <x:c r="V662" s="32"/>
    </x:row>
    <x:row r="663">
      <x:c r="A663" s="87"/>
      <x:c r="B663" s="88"/>
      <x:c r="D663" s="32"/>
      <x:c r="G663" s="74"/>
      <x:c r="H663" s="74"/>
      <x:c r="I663" s="74"/>
      <x:c r="J663" s="74"/>
      <x:c r="K663" s="74"/>
      <x:c r="L663" s="74"/>
      <x:c r="M663" s="91"/>
      <x:c r="N663" s="91"/>
      <x:c r="O663" s="85"/>
      <x:c r="P663" s="85"/>
      <x:c r="Q663" s="85"/>
      <x:c r="R663" s="85"/>
      <x:c r="T663" s="86"/>
      <x:c r="U663" s="86"/>
      <x:c r="V663" s="32"/>
    </x:row>
    <x:row r="664">
      <x:c r="A664" s="87"/>
      <x:c r="B664" s="88"/>
      <x:c r="D664" s="32"/>
      <x:c r="G664" s="74"/>
      <x:c r="H664" s="74"/>
      <x:c r="I664" s="74"/>
      <x:c r="J664" s="74"/>
      <x:c r="K664" s="74"/>
      <x:c r="L664" s="74"/>
      <x:c r="M664" s="91"/>
      <x:c r="N664" s="91"/>
      <x:c r="O664" s="85"/>
      <x:c r="P664" s="85"/>
      <x:c r="Q664" s="85"/>
      <x:c r="R664" s="85"/>
      <x:c r="T664" s="86"/>
      <x:c r="U664" s="86"/>
      <x:c r="V664" s="32"/>
    </x:row>
    <x:row r="665">
      <x:c r="A665" s="87"/>
      <x:c r="B665" s="88"/>
      <x:c r="D665" s="32"/>
      <x:c r="G665" s="74"/>
      <x:c r="H665" s="74"/>
      <x:c r="I665" s="74"/>
      <x:c r="J665" s="74"/>
      <x:c r="K665" s="74"/>
      <x:c r="L665" s="74"/>
      <x:c r="M665" s="91"/>
      <x:c r="N665" s="91"/>
      <x:c r="O665" s="85"/>
      <x:c r="P665" s="85"/>
      <x:c r="Q665" s="85"/>
      <x:c r="R665" s="85"/>
      <x:c r="T665" s="86"/>
      <x:c r="U665" s="86"/>
      <x:c r="V665" s="32"/>
    </x:row>
    <x:row r="666">
      <x:c r="A666" s="87"/>
      <x:c r="B666" s="88"/>
      <x:c r="D666" s="32"/>
      <x:c r="G666" s="74"/>
      <x:c r="H666" s="74"/>
      <x:c r="I666" s="74"/>
      <x:c r="J666" s="74"/>
      <x:c r="K666" s="74"/>
      <x:c r="L666" s="74"/>
      <x:c r="M666" s="91"/>
      <x:c r="N666" s="91"/>
      <x:c r="O666" s="85"/>
      <x:c r="P666" s="85"/>
      <x:c r="Q666" s="85"/>
      <x:c r="R666" s="85"/>
      <x:c r="T666" s="86"/>
      <x:c r="U666" s="86"/>
      <x:c r="V666" s="32"/>
    </x:row>
    <x:row r="667">
      <x:c r="A667" s="87"/>
      <x:c r="B667" s="88"/>
      <x:c r="D667" s="32"/>
      <x:c r="G667" s="74"/>
      <x:c r="H667" s="74"/>
      <x:c r="I667" s="74"/>
      <x:c r="J667" s="74"/>
      <x:c r="K667" s="74"/>
      <x:c r="L667" s="74"/>
      <x:c r="M667" s="91"/>
      <x:c r="N667" s="91"/>
      <x:c r="O667" s="85"/>
      <x:c r="P667" s="85"/>
      <x:c r="Q667" s="85"/>
      <x:c r="R667" s="85"/>
      <x:c r="T667" s="86"/>
      <x:c r="U667" s="86"/>
      <x:c r="V667" s="32"/>
    </x:row>
    <x:row r="668">
      <x:c r="A668" s="87"/>
      <x:c r="B668" s="88"/>
      <x:c r="D668" s="32"/>
      <x:c r="G668" s="74"/>
      <x:c r="H668" s="74"/>
      <x:c r="I668" s="74"/>
      <x:c r="J668" s="74"/>
      <x:c r="K668" s="74"/>
      <x:c r="L668" s="74"/>
      <x:c r="M668" s="91"/>
      <x:c r="N668" s="91"/>
      <x:c r="O668" s="85"/>
      <x:c r="P668" s="85"/>
      <x:c r="Q668" s="85"/>
      <x:c r="R668" s="85"/>
      <x:c r="T668" s="86"/>
      <x:c r="U668" s="86"/>
      <x:c r="V668" s="32"/>
    </x:row>
    <x:row r="669">
      <x:c r="A669" s="87"/>
      <x:c r="B669" s="88"/>
      <x:c r="D669" s="32"/>
      <x:c r="G669" s="74"/>
      <x:c r="H669" s="74"/>
      <x:c r="I669" s="74"/>
      <x:c r="J669" s="74"/>
      <x:c r="K669" s="74"/>
      <x:c r="L669" s="74"/>
      <x:c r="M669" s="91"/>
      <x:c r="N669" s="91"/>
      <x:c r="O669" s="85"/>
      <x:c r="P669" s="85"/>
      <x:c r="Q669" s="85"/>
      <x:c r="R669" s="85"/>
      <x:c r="T669" s="86"/>
      <x:c r="U669" s="86"/>
      <x:c r="V669" s="32"/>
    </x:row>
    <x:row r="670">
      <x:c r="A670" s="87"/>
      <x:c r="B670" s="88"/>
      <x:c r="D670" s="32"/>
      <x:c r="G670" s="74"/>
      <x:c r="H670" s="74"/>
      <x:c r="I670" s="74"/>
      <x:c r="J670" s="74"/>
      <x:c r="K670" s="74"/>
      <x:c r="L670" s="74"/>
      <x:c r="M670" s="91"/>
      <x:c r="N670" s="91"/>
      <x:c r="O670" s="85"/>
      <x:c r="P670" s="85"/>
      <x:c r="Q670" s="85"/>
      <x:c r="R670" s="85"/>
      <x:c r="T670" s="86"/>
      <x:c r="U670" s="86"/>
      <x:c r="V670" s="32"/>
    </x:row>
    <x:row r="671">
      <x:c r="A671" s="87"/>
      <x:c r="B671" s="88"/>
      <x:c r="D671" s="32"/>
      <x:c r="G671" s="74"/>
      <x:c r="H671" s="74"/>
      <x:c r="I671" s="74"/>
      <x:c r="J671" s="74"/>
      <x:c r="K671" s="74"/>
      <x:c r="L671" s="74"/>
      <x:c r="M671" s="91"/>
      <x:c r="N671" s="91"/>
      <x:c r="O671" s="85"/>
      <x:c r="P671" s="85"/>
      <x:c r="Q671" s="85"/>
      <x:c r="R671" s="85"/>
      <x:c r="T671" s="86"/>
      <x:c r="U671" s="86"/>
      <x:c r="V671" s="32"/>
    </x:row>
    <x:row r="672">
      <x:c r="A672" s="87"/>
      <x:c r="B672" s="88"/>
      <x:c r="D672" s="32"/>
      <x:c r="G672" s="74"/>
      <x:c r="H672" s="74"/>
      <x:c r="I672" s="74"/>
      <x:c r="J672" s="74"/>
      <x:c r="K672" s="74"/>
      <x:c r="L672" s="74"/>
      <x:c r="M672" s="91"/>
      <x:c r="N672" s="91"/>
      <x:c r="O672" s="85"/>
      <x:c r="P672" s="85"/>
      <x:c r="Q672" s="85"/>
      <x:c r="R672" s="85"/>
      <x:c r="T672" s="86"/>
      <x:c r="U672" s="86"/>
      <x:c r="V672" s="32"/>
    </x:row>
    <x:row r="673">
      <x:c r="A673" s="87"/>
      <x:c r="B673" s="88"/>
      <x:c r="D673" s="32"/>
      <x:c r="G673" s="74"/>
      <x:c r="H673" s="74"/>
      <x:c r="I673" s="74"/>
      <x:c r="J673" s="74"/>
      <x:c r="K673" s="74"/>
      <x:c r="L673" s="74"/>
      <x:c r="M673" s="91"/>
      <x:c r="N673" s="91"/>
      <x:c r="O673" s="85"/>
      <x:c r="P673" s="85"/>
      <x:c r="Q673" s="85"/>
      <x:c r="R673" s="85"/>
      <x:c r="T673" s="86"/>
      <x:c r="U673" s="86"/>
      <x:c r="V673" s="32"/>
    </x:row>
    <x:row r="674">
      <x:c r="A674" s="87"/>
      <x:c r="B674" s="88"/>
      <x:c r="D674" s="32"/>
      <x:c r="G674" s="74"/>
      <x:c r="H674" s="74"/>
      <x:c r="I674" s="74"/>
      <x:c r="J674" s="74"/>
      <x:c r="K674" s="74"/>
      <x:c r="L674" s="74"/>
      <x:c r="M674" s="91"/>
      <x:c r="N674" s="91"/>
      <x:c r="O674" s="85"/>
      <x:c r="P674" s="85"/>
      <x:c r="Q674" s="85"/>
      <x:c r="R674" s="85"/>
      <x:c r="T674" s="86"/>
      <x:c r="U674" s="86"/>
      <x:c r="V674" s="32"/>
    </x:row>
    <x:row r="675">
      <x:c r="A675" s="87"/>
      <x:c r="B675" s="88"/>
      <x:c r="D675" s="32"/>
      <x:c r="G675" s="74"/>
      <x:c r="H675" s="74"/>
      <x:c r="I675" s="74"/>
      <x:c r="J675" s="74"/>
      <x:c r="K675" s="74"/>
      <x:c r="L675" s="74"/>
      <x:c r="M675" s="91"/>
      <x:c r="N675" s="91"/>
      <x:c r="O675" s="85"/>
      <x:c r="P675" s="85"/>
      <x:c r="Q675" s="85"/>
      <x:c r="R675" s="85"/>
      <x:c r="T675" s="86"/>
      <x:c r="U675" s="86"/>
      <x:c r="V675" s="32"/>
    </x:row>
    <x:row r="676">
      <x:c r="A676" s="87"/>
      <x:c r="B676" s="88"/>
      <x:c r="D676" s="32"/>
      <x:c r="G676" s="74"/>
      <x:c r="H676" s="74"/>
      <x:c r="I676" s="74"/>
      <x:c r="J676" s="74"/>
      <x:c r="K676" s="74"/>
      <x:c r="L676" s="74"/>
      <x:c r="M676" s="91"/>
      <x:c r="N676" s="91"/>
      <x:c r="O676" s="85"/>
      <x:c r="P676" s="85"/>
      <x:c r="Q676" s="85"/>
      <x:c r="R676" s="85"/>
      <x:c r="T676" s="86"/>
      <x:c r="U676" s="86"/>
      <x:c r="V676" s="32"/>
    </x:row>
    <x:row r="677">
      <x:c r="A677" s="87"/>
      <x:c r="B677" s="88"/>
      <x:c r="D677" s="32"/>
      <x:c r="G677" s="74"/>
      <x:c r="H677" s="74"/>
      <x:c r="I677" s="74"/>
      <x:c r="J677" s="74"/>
      <x:c r="K677" s="74"/>
      <x:c r="L677" s="74"/>
      <x:c r="M677" s="91"/>
      <x:c r="N677" s="91"/>
      <x:c r="O677" s="85"/>
      <x:c r="P677" s="85"/>
      <x:c r="Q677" s="85"/>
      <x:c r="R677" s="85"/>
      <x:c r="T677" s="86"/>
      <x:c r="U677" s="86"/>
      <x:c r="V677" s="32"/>
    </x:row>
    <x:row r="678">
      <x:c r="A678" s="87"/>
      <x:c r="B678" s="88"/>
      <x:c r="D678" s="32"/>
      <x:c r="G678" s="74"/>
      <x:c r="H678" s="74"/>
      <x:c r="I678" s="74"/>
      <x:c r="J678" s="74"/>
      <x:c r="K678" s="74"/>
      <x:c r="L678" s="74"/>
      <x:c r="M678" s="91"/>
      <x:c r="N678" s="91"/>
      <x:c r="O678" s="85"/>
      <x:c r="P678" s="85"/>
      <x:c r="Q678" s="85"/>
      <x:c r="R678" s="85"/>
      <x:c r="T678" s="86"/>
      <x:c r="U678" s="86"/>
      <x:c r="V678" s="32"/>
    </x:row>
    <x:row r="679">
      <x:c r="A679" s="87"/>
      <x:c r="B679" s="88"/>
      <x:c r="D679" s="32"/>
      <x:c r="G679" s="74"/>
      <x:c r="H679" s="74"/>
      <x:c r="I679" s="74"/>
      <x:c r="J679" s="74"/>
      <x:c r="K679" s="74"/>
      <x:c r="L679" s="74"/>
      <x:c r="M679" s="91"/>
      <x:c r="N679" s="91"/>
      <x:c r="O679" s="85"/>
      <x:c r="P679" s="85"/>
      <x:c r="Q679" s="85"/>
      <x:c r="R679" s="85"/>
      <x:c r="T679" s="86"/>
      <x:c r="U679" s="86"/>
      <x:c r="V679" s="32"/>
    </x:row>
    <x:row r="680">
      <x:c r="A680" s="87"/>
      <x:c r="B680" s="88"/>
      <x:c r="D680" s="32"/>
      <x:c r="G680" s="74"/>
      <x:c r="H680" s="74"/>
      <x:c r="I680" s="74"/>
      <x:c r="J680" s="74"/>
      <x:c r="K680" s="74"/>
      <x:c r="L680" s="74"/>
      <x:c r="M680" s="91"/>
      <x:c r="N680" s="91"/>
      <x:c r="O680" s="85"/>
      <x:c r="P680" s="85"/>
      <x:c r="Q680" s="85"/>
      <x:c r="R680" s="85"/>
      <x:c r="T680" s="86"/>
      <x:c r="U680" s="86"/>
      <x:c r="V680" s="32"/>
    </x:row>
    <x:row r="681">
      <x:c r="A681" s="87"/>
      <x:c r="B681" s="88"/>
      <x:c r="D681" s="32"/>
      <x:c r="G681" s="74"/>
      <x:c r="H681" s="74"/>
      <x:c r="I681" s="74"/>
      <x:c r="J681" s="74"/>
      <x:c r="K681" s="74"/>
      <x:c r="L681" s="74"/>
      <x:c r="M681" s="91"/>
      <x:c r="N681" s="91"/>
      <x:c r="O681" s="85"/>
      <x:c r="P681" s="85"/>
      <x:c r="Q681" s="85"/>
      <x:c r="R681" s="85"/>
      <x:c r="T681" s="86"/>
      <x:c r="U681" s="86"/>
      <x:c r="V681" s="32"/>
    </x:row>
    <x:row r="682">
      <x:c r="A682" s="87"/>
      <x:c r="B682" s="88"/>
      <x:c r="D682" s="32"/>
      <x:c r="G682" s="74"/>
      <x:c r="H682" s="74"/>
      <x:c r="I682" s="74"/>
      <x:c r="J682" s="74"/>
      <x:c r="K682" s="74"/>
      <x:c r="L682" s="74"/>
      <x:c r="M682" s="91"/>
      <x:c r="N682" s="91"/>
      <x:c r="O682" s="85"/>
      <x:c r="P682" s="85"/>
      <x:c r="Q682" s="85"/>
      <x:c r="R682" s="85"/>
      <x:c r="T682" s="86"/>
      <x:c r="U682" s="86"/>
      <x:c r="V682" s="32"/>
    </x:row>
    <x:row r="683">
      <x:c r="A683" s="87"/>
      <x:c r="B683" s="88"/>
      <x:c r="D683" s="32"/>
      <x:c r="G683" s="74"/>
      <x:c r="H683" s="74"/>
      <x:c r="I683" s="74"/>
      <x:c r="J683" s="74"/>
      <x:c r="K683" s="74"/>
      <x:c r="L683" s="74"/>
      <x:c r="M683" s="91"/>
      <x:c r="N683" s="91"/>
      <x:c r="O683" s="85"/>
      <x:c r="P683" s="85"/>
      <x:c r="Q683" s="85"/>
      <x:c r="R683" s="85"/>
      <x:c r="T683" s="86"/>
      <x:c r="U683" s="86"/>
      <x:c r="V683" s="32"/>
    </x:row>
    <x:row r="684">
      <x:c r="A684" s="87"/>
      <x:c r="B684" s="88"/>
      <x:c r="D684" s="32"/>
      <x:c r="G684" s="74"/>
      <x:c r="H684" s="74"/>
      <x:c r="I684" s="74"/>
      <x:c r="J684" s="74"/>
      <x:c r="K684" s="74"/>
      <x:c r="L684" s="74"/>
      <x:c r="M684" s="91"/>
      <x:c r="N684" s="91"/>
      <x:c r="O684" s="85"/>
      <x:c r="P684" s="85"/>
      <x:c r="Q684" s="85"/>
      <x:c r="R684" s="85"/>
      <x:c r="T684" s="86"/>
      <x:c r="U684" s="86"/>
      <x:c r="V684" s="32"/>
    </x:row>
    <x:row r="685">
      <x:c r="A685" s="87"/>
      <x:c r="B685" s="88"/>
      <x:c r="D685" s="32"/>
      <x:c r="G685" s="74"/>
      <x:c r="H685" s="74"/>
      <x:c r="I685" s="74"/>
      <x:c r="J685" s="74"/>
      <x:c r="K685" s="74"/>
      <x:c r="L685" s="74"/>
      <x:c r="M685" s="91"/>
      <x:c r="N685" s="91"/>
      <x:c r="O685" s="85"/>
      <x:c r="P685" s="85"/>
      <x:c r="Q685" s="85"/>
      <x:c r="R685" s="85"/>
      <x:c r="T685" s="86"/>
      <x:c r="U685" s="86"/>
      <x:c r="V685" s="32"/>
    </x:row>
    <x:row r="686">
      <x:c r="A686" s="87"/>
      <x:c r="B686" s="88"/>
      <x:c r="D686" s="32"/>
      <x:c r="G686" s="74"/>
      <x:c r="H686" s="74"/>
      <x:c r="I686" s="74"/>
      <x:c r="J686" s="74"/>
      <x:c r="K686" s="74"/>
      <x:c r="L686" s="74"/>
      <x:c r="M686" s="91"/>
      <x:c r="N686" s="91"/>
      <x:c r="O686" s="85"/>
      <x:c r="P686" s="85"/>
      <x:c r="Q686" s="85"/>
      <x:c r="R686" s="85"/>
      <x:c r="T686" s="86"/>
      <x:c r="U686" s="86"/>
      <x:c r="V686" s="32"/>
    </x:row>
    <x:row r="687">
      <x:c r="A687" s="87"/>
      <x:c r="B687" s="88"/>
      <x:c r="D687" s="32"/>
      <x:c r="G687" s="74"/>
      <x:c r="H687" s="74"/>
      <x:c r="I687" s="74"/>
      <x:c r="J687" s="74"/>
      <x:c r="K687" s="74"/>
      <x:c r="L687" s="74"/>
      <x:c r="M687" s="91"/>
      <x:c r="N687" s="91"/>
      <x:c r="O687" s="85"/>
      <x:c r="P687" s="85"/>
      <x:c r="Q687" s="85"/>
      <x:c r="R687" s="85"/>
      <x:c r="T687" s="86"/>
      <x:c r="U687" s="86"/>
      <x:c r="V687" s="32"/>
    </x:row>
    <x:row r="688">
      <x:c r="A688" s="87"/>
      <x:c r="B688" s="88"/>
      <x:c r="D688" s="32"/>
      <x:c r="G688" s="74"/>
      <x:c r="H688" s="74"/>
      <x:c r="I688" s="74"/>
      <x:c r="J688" s="74"/>
      <x:c r="K688" s="74"/>
      <x:c r="L688" s="74"/>
      <x:c r="M688" s="91"/>
      <x:c r="N688" s="91"/>
      <x:c r="O688" s="85"/>
      <x:c r="P688" s="85"/>
      <x:c r="Q688" s="85"/>
      <x:c r="R688" s="85"/>
      <x:c r="T688" s="86"/>
      <x:c r="U688" s="86"/>
      <x:c r="V688" s="32"/>
    </x:row>
    <x:row r="689">
      <x:c r="A689" s="87"/>
      <x:c r="B689" s="88"/>
      <x:c r="D689" s="32"/>
      <x:c r="G689" s="74"/>
      <x:c r="H689" s="74"/>
      <x:c r="I689" s="74"/>
      <x:c r="J689" s="74"/>
      <x:c r="K689" s="74"/>
      <x:c r="L689" s="74"/>
      <x:c r="M689" s="91"/>
      <x:c r="N689" s="91"/>
      <x:c r="O689" s="85"/>
      <x:c r="P689" s="85"/>
      <x:c r="Q689" s="85"/>
      <x:c r="R689" s="85"/>
      <x:c r="T689" s="86"/>
      <x:c r="U689" s="86"/>
      <x:c r="V689" s="32"/>
    </x:row>
    <x:row r="690">
      <x:c r="A690" s="87"/>
      <x:c r="B690" s="88"/>
      <x:c r="D690" s="32"/>
      <x:c r="G690" s="74"/>
      <x:c r="H690" s="74"/>
      <x:c r="I690" s="74"/>
      <x:c r="J690" s="74"/>
      <x:c r="K690" s="74"/>
      <x:c r="L690" s="74"/>
      <x:c r="M690" s="91"/>
      <x:c r="N690" s="91"/>
      <x:c r="O690" s="85"/>
      <x:c r="P690" s="85"/>
      <x:c r="Q690" s="85"/>
      <x:c r="R690" s="85"/>
      <x:c r="T690" s="86"/>
      <x:c r="U690" s="86"/>
      <x:c r="V690" s="32"/>
    </x:row>
    <x:row r="691">
      <x:c r="A691" s="87"/>
      <x:c r="B691" s="88"/>
      <x:c r="D691" s="32"/>
      <x:c r="G691" s="74"/>
      <x:c r="H691" s="74"/>
      <x:c r="I691" s="74"/>
      <x:c r="J691" s="74"/>
      <x:c r="K691" s="74"/>
      <x:c r="L691" s="74"/>
      <x:c r="M691" s="91"/>
      <x:c r="N691" s="91"/>
      <x:c r="O691" s="85"/>
      <x:c r="P691" s="85"/>
      <x:c r="Q691" s="85"/>
      <x:c r="R691" s="85"/>
      <x:c r="T691" s="86"/>
      <x:c r="U691" s="86"/>
      <x:c r="V691" s="32"/>
    </x:row>
    <x:row r="692">
      <x:c r="A692" s="87"/>
      <x:c r="B692" s="88"/>
      <x:c r="D692" s="32"/>
      <x:c r="G692" s="74"/>
      <x:c r="H692" s="74"/>
      <x:c r="I692" s="74"/>
      <x:c r="J692" s="74"/>
      <x:c r="K692" s="74"/>
      <x:c r="L692" s="74"/>
      <x:c r="M692" s="91"/>
      <x:c r="N692" s="91"/>
      <x:c r="O692" s="85"/>
      <x:c r="P692" s="85"/>
      <x:c r="Q692" s="85"/>
      <x:c r="R692" s="85"/>
      <x:c r="T692" s="86"/>
      <x:c r="U692" s="86"/>
      <x:c r="V692" s="32"/>
    </x:row>
    <x:row r="693">
      <x:c r="A693" s="87"/>
      <x:c r="B693" s="88"/>
      <x:c r="D693" s="32"/>
      <x:c r="G693" s="74"/>
      <x:c r="H693" s="74"/>
      <x:c r="I693" s="74"/>
      <x:c r="J693" s="74"/>
      <x:c r="K693" s="74"/>
      <x:c r="L693" s="74"/>
      <x:c r="M693" s="91"/>
      <x:c r="N693" s="91"/>
      <x:c r="O693" s="85"/>
      <x:c r="P693" s="85"/>
      <x:c r="Q693" s="85"/>
      <x:c r="R693" s="85"/>
      <x:c r="T693" s="86"/>
      <x:c r="U693" s="86"/>
      <x:c r="V693" s="32"/>
    </x:row>
    <x:row r="694">
      <x:c r="A694" s="87"/>
      <x:c r="B694" s="88"/>
      <x:c r="D694" s="32"/>
      <x:c r="G694" s="74"/>
      <x:c r="H694" s="74"/>
      <x:c r="I694" s="74"/>
      <x:c r="J694" s="74"/>
      <x:c r="K694" s="74"/>
      <x:c r="L694" s="74"/>
      <x:c r="M694" s="91"/>
      <x:c r="N694" s="91"/>
      <x:c r="O694" s="85"/>
      <x:c r="P694" s="85"/>
      <x:c r="Q694" s="85"/>
      <x:c r="R694" s="85"/>
      <x:c r="T694" s="86"/>
      <x:c r="U694" s="86"/>
      <x:c r="V694" s="32"/>
    </x:row>
    <x:row r="695">
      <x:c r="A695" s="87"/>
      <x:c r="B695" s="88"/>
      <x:c r="D695" s="32"/>
      <x:c r="G695" s="74"/>
      <x:c r="H695" s="74"/>
      <x:c r="I695" s="74"/>
      <x:c r="J695" s="74"/>
      <x:c r="K695" s="74"/>
      <x:c r="L695" s="74"/>
      <x:c r="M695" s="91"/>
      <x:c r="N695" s="91"/>
      <x:c r="O695" s="85"/>
      <x:c r="P695" s="85"/>
      <x:c r="Q695" s="85"/>
      <x:c r="R695" s="85"/>
      <x:c r="T695" s="86"/>
      <x:c r="U695" s="86"/>
      <x:c r="V695" s="32"/>
    </x:row>
    <x:row r="696">
      <x:c r="A696" s="87"/>
      <x:c r="B696" s="88"/>
      <x:c r="D696" s="32"/>
      <x:c r="G696" s="74"/>
      <x:c r="H696" s="74"/>
      <x:c r="I696" s="74"/>
      <x:c r="J696" s="74"/>
      <x:c r="K696" s="74"/>
      <x:c r="L696" s="74"/>
      <x:c r="M696" s="91"/>
      <x:c r="N696" s="91"/>
      <x:c r="O696" s="85"/>
      <x:c r="P696" s="85"/>
      <x:c r="Q696" s="85"/>
      <x:c r="R696" s="85"/>
      <x:c r="T696" s="86"/>
      <x:c r="U696" s="86"/>
      <x:c r="V696" s="32"/>
    </x:row>
    <x:row r="697">
      <x:c r="A697" s="87"/>
      <x:c r="B697" s="88"/>
      <x:c r="D697" s="32"/>
      <x:c r="G697" s="74"/>
      <x:c r="H697" s="74"/>
      <x:c r="I697" s="74"/>
      <x:c r="J697" s="74"/>
      <x:c r="K697" s="74"/>
      <x:c r="L697" s="74"/>
      <x:c r="M697" s="91"/>
      <x:c r="N697" s="91"/>
      <x:c r="O697" s="85"/>
      <x:c r="P697" s="85"/>
      <x:c r="Q697" s="85"/>
      <x:c r="R697" s="85"/>
      <x:c r="T697" s="86"/>
      <x:c r="U697" s="86"/>
      <x:c r="V697" s="32"/>
    </x:row>
    <x:row r="698">
      <x:c r="A698" s="87"/>
      <x:c r="B698" s="88"/>
      <x:c r="D698" s="32"/>
      <x:c r="G698" s="74"/>
      <x:c r="H698" s="74"/>
      <x:c r="I698" s="74"/>
      <x:c r="J698" s="74"/>
      <x:c r="K698" s="74"/>
      <x:c r="L698" s="74"/>
      <x:c r="M698" s="91"/>
      <x:c r="N698" s="91"/>
      <x:c r="O698" s="85"/>
      <x:c r="P698" s="85"/>
      <x:c r="Q698" s="85"/>
      <x:c r="R698" s="85"/>
      <x:c r="T698" s="86"/>
      <x:c r="U698" s="86"/>
      <x:c r="V698" s="32"/>
    </x:row>
    <x:row r="699">
      <x:c r="A699" s="87"/>
      <x:c r="B699" s="88"/>
      <x:c r="D699" s="32"/>
      <x:c r="G699" s="74"/>
      <x:c r="H699" s="74"/>
      <x:c r="I699" s="74"/>
      <x:c r="J699" s="74"/>
      <x:c r="K699" s="74"/>
      <x:c r="L699" s="74"/>
      <x:c r="M699" s="91"/>
      <x:c r="N699" s="91"/>
      <x:c r="O699" s="85"/>
      <x:c r="P699" s="85"/>
      <x:c r="Q699" s="85"/>
      <x:c r="R699" s="85"/>
      <x:c r="T699" s="86"/>
      <x:c r="U699" s="86"/>
      <x:c r="V699" s="32"/>
    </x:row>
    <x:row r="700">
      <x:c r="A700" s="87"/>
      <x:c r="B700" s="88"/>
      <x:c r="D700" s="32"/>
      <x:c r="G700" s="74"/>
      <x:c r="H700" s="74"/>
      <x:c r="I700" s="74"/>
      <x:c r="J700" s="74"/>
      <x:c r="K700" s="74"/>
      <x:c r="L700" s="74"/>
      <x:c r="M700" s="91"/>
      <x:c r="N700" s="91"/>
      <x:c r="O700" s="85"/>
      <x:c r="P700" s="85"/>
      <x:c r="Q700" s="85"/>
      <x:c r="R700" s="85"/>
      <x:c r="T700" s="86"/>
      <x:c r="U700" s="86"/>
      <x:c r="V700" s="32"/>
    </x:row>
    <x:row r="701">
      <x:c r="A701" s="87"/>
      <x:c r="B701" s="88"/>
      <x:c r="D701" s="32"/>
      <x:c r="G701" s="74"/>
      <x:c r="H701" s="74"/>
      <x:c r="I701" s="74"/>
      <x:c r="J701" s="74"/>
      <x:c r="K701" s="74"/>
      <x:c r="L701" s="74"/>
      <x:c r="M701" s="91"/>
      <x:c r="N701" s="91"/>
      <x:c r="O701" s="85"/>
      <x:c r="P701" s="85"/>
      <x:c r="Q701" s="85"/>
      <x:c r="R701" s="85"/>
      <x:c r="T701" s="86"/>
      <x:c r="U701" s="86"/>
      <x:c r="V701" s="32"/>
    </x:row>
    <x:row r="702">
      <x:c r="A702" s="87"/>
      <x:c r="B702" s="88"/>
      <x:c r="D702" s="32"/>
      <x:c r="G702" s="74"/>
      <x:c r="H702" s="74"/>
      <x:c r="I702" s="74"/>
      <x:c r="J702" s="74"/>
      <x:c r="K702" s="74"/>
      <x:c r="L702" s="74"/>
      <x:c r="M702" s="91"/>
      <x:c r="N702" s="91"/>
      <x:c r="O702" s="85"/>
      <x:c r="P702" s="85"/>
      <x:c r="Q702" s="85"/>
      <x:c r="R702" s="85"/>
      <x:c r="T702" s="86"/>
      <x:c r="U702" s="86"/>
      <x:c r="V702" s="32"/>
    </x:row>
    <x:row r="703">
      <x:c r="A703" s="87"/>
      <x:c r="B703" s="88"/>
      <x:c r="D703" s="32"/>
      <x:c r="G703" s="74"/>
      <x:c r="H703" s="74"/>
      <x:c r="I703" s="74"/>
      <x:c r="J703" s="74"/>
      <x:c r="K703" s="74"/>
      <x:c r="L703" s="74"/>
      <x:c r="M703" s="91"/>
      <x:c r="N703" s="91"/>
      <x:c r="O703" s="85"/>
      <x:c r="P703" s="85"/>
      <x:c r="Q703" s="85"/>
      <x:c r="R703" s="85"/>
      <x:c r="T703" s="86"/>
      <x:c r="U703" s="86"/>
      <x:c r="V703" s="32"/>
    </x:row>
    <x:row r="704">
      <x:c r="A704" s="87"/>
      <x:c r="B704" s="88"/>
      <x:c r="D704" s="32"/>
      <x:c r="G704" s="74"/>
      <x:c r="H704" s="74"/>
      <x:c r="I704" s="74"/>
      <x:c r="J704" s="74"/>
      <x:c r="K704" s="74"/>
      <x:c r="L704" s="74"/>
      <x:c r="M704" s="91"/>
      <x:c r="N704" s="91"/>
      <x:c r="O704" s="85"/>
      <x:c r="P704" s="85"/>
      <x:c r="Q704" s="85"/>
      <x:c r="R704" s="85"/>
      <x:c r="T704" s="86"/>
      <x:c r="U704" s="86"/>
      <x:c r="V704" s="32"/>
    </x:row>
    <x:row r="705">
      <x:c r="A705" s="87"/>
      <x:c r="B705" s="88"/>
      <x:c r="D705" s="32"/>
      <x:c r="G705" s="74"/>
      <x:c r="H705" s="74"/>
      <x:c r="I705" s="74"/>
      <x:c r="J705" s="74"/>
      <x:c r="K705" s="74"/>
      <x:c r="L705" s="74"/>
      <x:c r="M705" s="91"/>
      <x:c r="N705" s="91"/>
      <x:c r="O705" s="85"/>
      <x:c r="P705" s="85"/>
      <x:c r="Q705" s="85"/>
      <x:c r="R705" s="85"/>
      <x:c r="T705" s="86"/>
      <x:c r="U705" s="86"/>
      <x:c r="V705" s="32"/>
    </x:row>
    <x:row r="706">
      <x:c r="A706" s="87"/>
      <x:c r="B706" s="88"/>
      <x:c r="D706" s="32"/>
      <x:c r="G706" s="74"/>
      <x:c r="H706" s="74"/>
      <x:c r="I706" s="74"/>
      <x:c r="J706" s="74"/>
      <x:c r="K706" s="74"/>
      <x:c r="L706" s="74"/>
      <x:c r="M706" s="91"/>
      <x:c r="N706" s="91"/>
      <x:c r="O706" s="85"/>
      <x:c r="P706" s="85"/>
      <x:c r="Q706" s="85"/>
      <x:c r="R706" s="85"/>
      <x:c r="T706" s="86"/>
      <x:c r="U706" s="86"/>
      <x:c r="V706" s="32"/>
    </x:row>
    <x:row r="707">
      <x:c r="A707" s="87"/>
      <x:c r="B707" s="88"/>
      <x:c r="D707" s="32"/>
      <x:c r="G707" s="74"/>
      <x:c r="H707" s="74"/>
      <x:c r="I707" s="74"/>
      <x:c r="J707" s="74"/>
      <x:c r="K707" s="74"/>
      <x:c r="L707" s="74"/>
      <x:c r="M707" s="91"/>
      <x:c r="N707" s="91"/>
      <x:c r="O707" s="85"/>
      <x:c r="P707" s="85"/>
      <x:c r="Q707" s="85"/>
      <x:c r="R707" s="85"/>
      <x:c r="T707" s="86"/>
      <x:c r="U707" s="86"/>
      <x:c r="V707" s="32"/>
    </x:row>
    <x:row r="708">
      <x:c r="A708" s="87"/>
      <x:c r="B708" s="88"/>
      <x:c r="D708" s="32"/>
      <x:c r="G708" s="74"/>
      <x:c r="H708" s="74"/>
      <x:c r="I708" s="74"/>
      <x:c r="J708" s="74"/>
      <x:c r="K708" s="74"/>
      <x:c r="L708" s="74"/>
      <x:c r="M708" s="91"/>
      <x:c r="N708" s="91"/>
      <x:c r="O708" s="85"/>
      <x:c r="P708" s="85"/>
      <x:c r="Q708" s="85"/>
      <x:c r="R708" s="85"/>
      <x:c r="T708" s="86"/>
      <x:c r="U708" s="86"/>
      <x:c r="V708" s="32"/>
    </x:row>
    <x:row r="709">
      <x:c r="A709" s="87"/>
      <x:c r="B709" s="88"/>
      <x:c r="D709" s="32"/>
      <x:c r="G709" s="74"/>
      <x:c r="H709" s="74"/>
      <x:c r="I709" s="74"/>
      <x:c r="J709" s="74"/>
      <x:c r="K709" s="74"/>
      <x:c r="L709" s="74"/>
      <x:c r="M709" s="91"/>
      <x:c r="N709" s="91"/>
      <x:c r="O709" s="85"/>
      <x:c r="P709" s="85"/>
      <x:c r="Q709" s="85"/>
      <x:c r="R709" s="85"/>
      <x:c r="T709" s="86"/>
      <x:c r="U709" s="86"/>
      <x:c r="V709" s="32"/>
    </x:row>
    <x:row r="710">
      <x:c r="A710" s="87"/>
      <x:c r="B710" s="88"/>
      <x:c r="D710" s="32"/>
      <x:c r="G710" s="74"/>
      <x:c r="H710" s="74"/>
      <x:c r="I710" s="74"/>
      <x:c r="J710" s="74"/>
      <x:c r="K710" s="74"/>
      <x:c r="L710" s="74"/>
      <x:c r="M710" s="91"/>
      <x:c r="N710" s="91"/>
      <x:c r="O710" s="85"/>
      <x:c r="P710" s="85"/>
      <x:c r="Q710" s="85"/>
      <x:c r="R710" s="85"/>
      <x:c r="T710" s="86"/>
      <x:c r="U710" s="86"/>
      <x:c r="V710" s="32"/>
    </x:row>
    <x:row r="711">
      <x:c r="A711" s="87"/>
      <x:c r="B711" s="88"/>
      <x:c r="D711" s="32"/>
      <x:c r="G711" s="74"/>
      <x:c r="H711" s="74"/>
      <x:c r="I711" s="74"/>
      <x:c r="J711" s="74"/>
      <x:c r="K711" s="74"/>
      <x:c r="L711" s="74"/>
      <x:c r="M711" s="91"/>
      <x:c r="N711" s="91"/>
      <x:c r="O711" s="85"/>
      <x:c r="P711" s="85"/>
      <x:c r="Q711" s="85"/>
      <x:c r="R711" s="85"/>
      <x:c r="T711" s="86"/>
      <x:c r="U711" s="86"/>
      <x:c r="V711" s="32"/>
    </x:row>
    <x:row r="712">
      <x:c r="A712" s="87"/>
      <x:c r="B712" s="88"/>
      <x:c r="D712" s="32"/>
      <x:c r="G712" s="74"/>
      <x:c r="H712" s="74"/>
      <x:c r="I712" s="74"/>
      <x:c r="J712" s="74"/>
      <x:c r="K712" s="74"/>
      <x:c r="L712" s="74"/>
      <x:c r="M712" s="91"/>
      <x:c r="N712" s="91"/>
      <x:c r="O712" s="85"/>
      <x:c r="P712" s="85"/>
      <x:c r="Q712" s="85"/>
      <x:c r="R712" s="85"/>
      <x:c r="T712" s="86"/>
      <x:c r="U712" s="86"/>
      <x:c r="V712" s="32"/>
    </x:row>
    <x:row r="713">
      <x:c r="A713" s="87"/>
      <x:c r="B713" s="88"/>
      <x:c r="D713" s="32"/>
      <x:c r="G713" s="74"/>
      <x:c r="H713" s="74"/>
      <x:c r="I713" s="74"/>
      <x:c r="J713" s="74"/>
      <x:c r="K713" s="74"/>
      <x:c r="L713" s="74"/>
      <x:c r="M713" s="91"/>
      <x:c r="N713" s="91"/>
      <x:c r="O713" s="85"/>
      <x:c r="P713" s="85"/>
      <x:c r="Q713" s="85"/>
      <x:c r="R713" s="85"/>
      <x:c r="T713" s="86"/>
      <x:c r="U713" s="86"/>
      <x:c r="V713" s="32"/>
    </x:row>
    <x:row r="714">
      <x:c r="A714" s="87"/>
      <x:c r="B714" s="88"/>
      <x:c r="D714" s="32"/>
      <x:c r="G714" s="74"/>
      <x:c r="H714" s="74"/>
      <x:c r="I714" s="74"/>
      <x:c r="J714" s="74"/>
      <x:c r="K714" s="74"/>
      <x:c r="L714" s="74"/>
      <x:c r="M714" s="91"/>
      <x:c r="N714" s="91"/>
      <x:c r="O714" s="85"/>
      <x:c r="P714" s="85"/>
      <x:c r="Q714" s="85"/>
      <x:c r="R714" s="85"/>
      <x:c r="T714" s="86"/>
      <x:c r="U714" s="86"/>
      <x:c r="V714" s="32"/>
    </x:row>
    <x:row r="715">
      <x:c r="A715" s="87"/>
      <x:c r="B715" s="88"/>
      <x:c r="D715" s="32"/>
      <x:c r="G715" s="74"/>
      <x:c r="H715" s="74"/>
      <x:c r="I715" s="74"/>
      <x:c r="J715" s="74"/>
      <x:c r="K715" s="74"/>
      <x:c r="L715" s="74"/>
      <x:c r="M715" s="91"/>
      <x:c r="N715" s="91"/>
      <x:c r="O715" s="85"/>
      <x:c r="P715" s="85"/>
      <x:c r="Q715" s="85"/>
      <x:c r="R715" s="85"/>
      <x:c r="T715" s="86"/>
      <x:c r="U715" s="86"/>
      <x:c r="V715" s="32"/>
    </x:row>
    <x:row r="716">
      <x:c r="A716" s="87"/>
      <x:c r="B716" s="88"/>
      <x:c r="D716" s="32"/>
      <x:c r="G716" s="74"/>
      <x:c r="H716" s="74"/>
      <x:c r="I716" s="74"/>
      <x:c r="J716" s="74"/>
      <x:c r="K716" s="74"/>
      <x:c r="L716" s="74"/>
      <x:c r="M716" s="91"/>
      <x:c r="N716" s="91"/>
      <x:c r="O716" s="85"/>
      <x:c r="P716" s="85"/>
      <x:c r="Q716" s="85"/>
      <x:c r="R716" s="85"/>
      <x:c r="T716" s="86"/>
      <x:c r="U716" s="86"/>
      <x:c r="V716" s="32"/>
    </x:row>
    <x:row r="717">
      <x:c r="A717" s="87"/>
      <x:c r="B717" s="88"/>
      <x:c r="D717" s="32"/>
      <x:c r="G717" s="74"/>
      <x:c r="H717" s="74"/>
      <x:c r="I717" s="74"/>
      <x:c r="J717" s="74"/>
      <x:c r="K717" s="74"/>
      <x:c r="L717" s="74"/>
      <x:c r="M717" s="91"/>
      <x:c r="N717" s="91"/>
      <x:c r="O717" s="85"/>
      <x:c r="P717" s="85"/>
      <x:c r="Q717" s="85"/>
      <x:c r="R717" s="85"/>
      <x:c r="T717" s="86"/>
      <x:c r="U717" s="86"/>
      <x:c r="V717" s="32"/>
    </x:row>
    <x:row r="718">
      <x:c r="A718" s="87"/>
      <x:c r="B718" s="88"/>
      <x:c r="D718" s="32"/>
      <x:c r="G718" s="74"/>
      <x:c r="H718" s="74"/>
      <x:c r="I718" s="74"/>
      <x:c r="J718" s="74"/>
      <x:c r="K718" s="74"/>
      <x:c r="L718" s="74"/>
      <x:c r="M718" s="91"/>
      <x:c r="N718" s="91"/>
      <x:c r="O718" s="85"/>
      <x:c r="P718" s="85"/>
      <x:c r="Q718" s="85"/>
      <x:c r="R718" s="85"/>
      <x:c r="T718" s="86"/>
      <x:c r="U718" s="86"/>
      <x:c r="V718" s="32"/>
    </x:row>
    <x:row r="719">
      <x:c r="A719" s="87"/>
      <x:c r="B719" s="88"/>
      <x:c r="D719" s="32"/>
      <x:c r="G719" s="74"/>
      <x:c r="H719" s="74"/>
      <x:c r="I719" s="74"/>
      <x:c r="J719" s="74"/>
      <x:c r="K719" s="74"/>
      <x:c r="L719" s="74"/>
      <x:c r="M719" s="91"/>
      <x:c r="N719" s="91"/>
      <x:c r="O719" s="85"/>
      <x:c r="P719" s="85"/>
      <x:c r="Q719" s="85"/>
      <x:c r="R719" s="85"/>
      <x:c r="T719" s="86"/>
      <x:c r="U719" s="86"/>
      <x:c r="V719" s="32"/>
    </x:row>
    <x:row r="720">
      <x:c r="A720" s="87"/>
      <x:c r="B720" s="88"/>
      <x:c r="D720" s="32"/>
      <x:c r="G720" s="74"/>
      <x:c r="H720" s="74"/>
      <x:c r="I720" s="74"/>
      <x:c r="J720" s="74"/>
      <x:c r="K720" s="74"/>
      <x:c r="L720" s="74"/>
      <x:c r="M720" s="91"/>
      <x:c r="N720" s="91"/>
      <x:c r="O720" s="85"/>
      <x:c r="P720" s="85"/>
      <x:c r="Q720" s="85"/>
      <x:c r="R720" s="85"/>
      <x:c r="T720" s="86"/>
      <x:c r="U720" s="86"/>
      <x:c r="V720" s="32"/>
    </x:row>
    <x:row r="721">
      <x:c r="A721" s="87"/>
      <x:c r="B721" s="88"/>
      <x:c r="D721" s="32"/>
      <x:c r="G721" s="74"/>
      <x:c r="H721" s="74"/>
      <x:c r="I721" s="74"/>
      <x:c r="J721" s="74"/>
      <x:c r="K721" s="74"/>
      <x:c r="L721" s="74"/>
      <x:c r="M721" s="91"/>
      <x:c r="N721" s="91"/>
      <x:c r="O721" s="85"/>
      <x:c r="P721" s="85"/>
      <x:c r="Q721" s="85"/>
      <x:c r="R721" s="85"/>
      <x:c r="T721" s="86"/>
      <x:c r="U721" s="86"/>
      <x:c r="V721" s="32"/>
    </x:row>
    <x:row r="722">
      <x:c r="A722" s="87"/>
      <x:c r="B722" s="88"/>
      <x:c r="D722" s="32"/>
      <x:c r="G722" s="74"/>
      <x:c r="H722" s="74"/>
      <x:c r="I722" s="74"/>
      <x:c r="J722" s="74"/>
      <x:c r="K722" s="74"/>
      <x:c r="L722" s="74"/>
      <x:c r="M722" s="91"/>
      <x:c r="N722" s="91"/>
      <x:c r="O722" s="85"/>
      <x:c r="P722" s="85"/>
      <x:c r="Q722" s="85"/>
      <x:c r="R722" s="85"/>
      <x:c r="T722" s="86"/>
      <x:c r="U722" s="86"/>
      <x:c r="V722" s="32"/>
    </x:row>
    <x:row r="723">
      <x:c r="A723" s="87"/>
      <x:c r="B723" s="88"/>
      <x:c r="D723" s="32"/>
      <x:c r="G723" s="74"/>
      <x:c r="H723" s="74"/>
      <x:c r="I723" s="74"/>
      <x:c r="J723" s="74"/>
      <x:c r="K723" s="74"/>
      <x:c r="L723" s="74"/>
      <x:c r="M723" s="91"/>
      <x:c r="N723" s="91"/>
      <x:c r="O723" s="85"/>
      <x:c r="P723" s="85"/>
      <x:c r="Q723" s="85"/>
      <x:c r="R723" s="85"/>
      <x:c r="T723" s="86"/>
      <x:c r="U723" s="86"/>
      <x:c r="V723" s="32"/>
    </x:row>
    <x:row r="724">
      <x:c r="A724" s="87"/>
      <x:c r="B724" s="88"/>
      <x:c r="D724" s="32"/>
      <x:c r="G724" s="74"/>
      <x:c r="H724" s="74"/>
      <x:c r="I724" s="74"/>
      <x:c r="J724" s="74"/>
      <x:c r="K724" s="74"/>
      <x:c r="L724" s="74"/>
      <x:c r="M724" s="91"/>
      <x:c r="N724" s="91"/>
      <x:c r="O724" s="85"/>
      <x:c r="P724" s="85"/>
      <x:c r="Q724" s="85"/>
      <x:c r="R724" s="85"/>
      <x:c r="T724" s="86"/>
      <x:c r="U724" s="86"/>
      <x:c r="V724" s="32"/>
    </x:row>
    <x:row r="725">
      <x:c r="A725" s="87"/>
      <x:c r="B725" s="88"/>
      <x:c r="D725" s="32"/>
      <x:c r="G725" s="74"/>
      <x:c r="H725" s="74"/>
      <x:c r="I725" s="74"/>
      <x:c r="J725" s="74"/>
      <x:c r="K725" s="74"/>
      <x:c r="L725" s="74"/>
      <x:c r="M725" s="91"/>
      <x:c r="N725" s="91"/>
      <x:c r="O725" s="85"/>
      <x:c r="P725" s="85"/>
      <x:c r="Q725" s="85"/>
      <x:c r="R725" s="85"/>
      <x:c r="T725" s="86"/>
      <x:c r="U725" s="86"/>
      <x:c r="V725" s="32"/>
    </x:row>
    <x:row r="726">
      <x:c r="A726" s="87"/>
      <x:c r="B726" s="88"/>
      <x:c r="D726" s="32"/>
      <x:c r="G726" s="74"/>
      <x:c r="H726" s="74"/>
      <x:c r="I726" s="74"/>
      <x:c r="J726" s="74"/>
      <x:c r="K726" s="74"/>
      <x:c r="L726" s="74"/>
      <x:c r="M726" s="91"/>
      <x:c r="N726" s="91"/>
      <x:c r="O726" s="85"/>
      <x:c r="P726" s="85"/>
      <x:c r="Q726" s="85"/>
      <x:c r="R726" s="85"/>
      <x:c r="T726" s="86"/>
      <x:c r="U726" s="86"/>
      <x:c r="V726" s="32"/>
    </x:row>
    <x:row r="727">
      <x:c r="A727" s="87"/>
      <x:c r="B727" s="88"/>
      <x:c r="D727" s="32"/>
      <x:c r="G727" s="74"/>
      <x:c r="H727" s="74"/>
      <x:c r="I727" s="74"/>
      <x:c r="J727" s="74"/>
      <x:c r="K727" s="74"/>
      <x:c r="L727" s="74"/>
      <x:c r="M727" s="91"/>
      <x:c r="N727" s="91"/>
      <x:c r="O727" s="85"/>
      <x:c r="P727" s="85"/>
      <x:c r="Q727" s="85"/>
      <x:c r="R727" s="85"/>
      <x:c r="T727" s="86"/>
      <x:c r="U727" s="86"/>
      <x:c r="V727" s="32"/>
    </x:row>
    <x:row r="728">
      <x:c r="A728" s="87"/>
      <x:c r="B728" s="88"/>
      <x:c r="D728" s="32"/>
      <x:c r="G728" s="74"/>
      <x:c r="H728" s="74"/>
      <x:c r="I728" s="74"/>
      <x:c r="J728" s="74"/>
      <x:c r="K728" s="74"/>
      <x:c r="L728" s="74"/>
      <x:c r="M728" s="91"/>
      <x:c r="N728" s="91"/>
      <x:c r="O728" s="85"/>
      <x:c r="P728" s="85"/>
      <x:c r="Q728" s="85"/>
      <x:c r="R728" s="85"/>
      <x:c r="T728" s="86"/>
      <x:c r="U728" s="86"/>
      <x:c r="V728" s="32"/>
    </x:row>
    <x:row r="729">
      <x:c r="A729" s="87"/>
      <x:c r="B729" s="88"/>
      <x:c r="D729" s="32"/>
      <x:c r="G729" s="74"/>
      <x:c r="H729" s="74"/>
      <x:c r="I729" s="74"/>
      <x:c r="J729" s="74"/>
      <x:c r="K729" s="74"/>
      <x:c r="L729" s="74"/>
      <x:c r="M729" s="91"/>
      <x:c r="N729" s="91"/>
      <x:c r="O729" s="85"/>
      <x:c r="P729" s="85"/>
      <x:c r="Q729" s="85"/>
      <x:c r="R729" s="85"/>
      <x:c r="T729" s="86"/>
      <x:c r="U729" s="86"/>
      <x:c r="V729" s="32"/>
    </x:row>
    <x:row r="730">
      <x:c r="A730" s="87"/>
      <x:c r="B730" s="88"/>
      <x:c r="D730" s="32"/>
      <x:c r="G730" s="74"/>
      <x:c r="H730" s="74"/>
      <x:c r="I730" s="74"/>
      <x:c r="J730" s="74"/>
      <x:c r="K730" s="74"/>
      <x:c r="L730" s="74"/>
      <x:c r="M730" s="91"/>
      <x:c r="N730" s="91"/>
      <x:c r="O730" s="85"/>
      <x:c r="P730" s="85"/>
      <x:c r="Q730" s="85"/>
      <x:c r="R730" s="85"/>
      <x:c r="T730" s="86"/>
      <x:c r="U730" s="86"/>
      <x:c r="V730" s="32"/>
    </x:row>
    <x:row r="731">
      <x:c r="A731" s="87"/>
      <x:c r="B731" s="88"/>
      <x:c r="D731" s="32"/>
      <x:c r="G731" s="74"/>
      <x:c r="H731" s="74"/>
      <x:c r="I731" s="74"/>
      <x:c r="J731" s="74"/>
      <x:c r="K731" s="74"/>
      <x:c r="L731" s="74"/>
      <x:c r="M731" s="91"/>
      <x:c r="N731" s="91"/>
      <x:c r="O731" s="85"/>
      <x:c r="P731" s="85"/>
      <x:c r="Q731" s="85"/>
      <x:c r="R731" s="85"/>
      <x:c r="T731" s="86"/>
      <x:c r="U731" s="86"/>
      <x:c r="V731" s="32"/>
    </x:row>
    <x:row r="732">
      <x:c r="A732" s="87"/>
      <x:c r="B732" s="88"/>
      <x:c r="D732" s="32"/>
      <x:c r="G732" s="74"/>
      <x:c r="H732" s="74"/>
      <x:c r="I732" s="74"/>
      <x:c r="J732" s="74"/>
      <x:c r="K732" s="74"/>
      <x:c r="L732" s="74"/>
      <x:c r="M732" s="91"/>
      <x:c r="N732" s="91"/>
      <x:c r="O732" s="85"/>
      <x:c r="P732" s="85"/>
      <x:c r="Q732" s="85"/>
      <x:c r="R732" s="85"/>
      <x:c r="T732" s="86"/>
      <x:c r="U732" s="86"/>
      <x:c r="V732" s="32"/>
    </x:row>
    <x:row r="733">
      <x:c r="A733" s="87"/>
      <x:c r="B733" s="88"/>
      <x:c r="D733" s="32"/>
      <x:c r="G733" s="74"/>
      <x:c r="H733" s="74"/>
      <x:c r="I733" s="74"/>
      <x:c r="J733" s="74"/>
      <x:c r="K733" s="74"/>
      <x:c r="L733" s="74"/>
      <x:c r="M733" s="91"/>
      <x:c r="N733" s="91"/>
      <x:c r="O733" s="85"/>
      <x:c r="P733" s="85"/>
      <x:c r="Q733" s="85"/>
      <x:c r="R733" s="85"/>
      <x:c r="T733" s="86"/>
      <x:c r="U733" s="86"/>
      <x:c r="V733" s="32"/>
    </x:row>
    <x:row r="734">
      <x:c r="A734" s="87"/>
      <x:c r="B734" s="88"/>
      <x:c r="D734" s="32"/>
      <x:c r="G734" s="74"/>
      <x:c r="H734" s="74"/>
      <x:c r="I734" s="74"/>
      <x:c r="J734" s="74"/>
      <x:c r="K734" s="74"/>
      <x:c r="L734" s="74"/>
      <x:c r="M734" s="91"/>
      <x:c r="N734" s="91"/>
      <x:c r="O734" s="85"/>
      <x:c r="P734" s="85"/>
      <x:c r="Q734" s="85"/>
      <x:c r="R734" s="85"/>
      <x:c r="T734" s="86"/>
      <x:c r="U734" s="86"/>
      <x:c r="V734" s="32"/>
    </x:row>
    <x:row r="735">
      <x:c r="A735" s="87"/>
      <x:c r="B735" s="88"/>
      <x:c r="D735" s="32"/>
      <x:c r="G735" s="74"/>
      <x:c r="H735" s="74"/>
      <x:c r="I735" s="74"/>
      <x:c r="J735" s="74"/>
      <x:c r="K735" s="74"/>
      <x:c r="L735" s="74"/>
      <x:c r="M735" s="91"/>
      <x:c r="N735" s="91"/>
      <x:c r="O735" s="85"/>
      <x:c r="P735" s="85"/>
      <x:c r="Q735" s="85"/>
      <x:c r="R735" s="85"/>
      <x:c r="T735" s="86"/>
      <x:c r="U735" s="86"/>
      <x:c r="V735" s="32"/>
    </x:row>
    <x:row r="736">
      <x:c r="A736" s="87"/>
      <x:c r="B736" s="88"/>
      <x:c r="D736" s="32"/>
      <x:c r="G736" s="74"/>
      <x:c r="H736" s="74"/>
      <x:c r="I736" s="74"/>
      <x:c r="J736" s="74"/>
      <x:c r="K736" s="74"/>
      <x:c r="L736" s="74"/>
      <x:c r="M736" s="91"/>
      <x:c r="N736" s="91"/>
      <x:c r="O736" s="85"/>
      <x:c r="P736" s="85"/>
      <x:c r="Q736" s="85"/>
      <x:c r="R736" s="85"/>
      <x:c r="T736" s="86"/>
      <x:c r="U736" s="86"/>
      <x:c r="V736" s="32"/>
    </x:row>
    <x:row r="737">
      <x:c r="A737" s="87"/>
      <x:c r="B737" s="88"/>
      <x:c r="D737" s="32"/>
      <x:c r="G737" s="74"/>
      <x:c r="H737" s="74"/>
      <x:c r="I737" s="74"/>
      <x:c r="J737" s="74"/>
      <x:c r="K737" s="74"/>
      <x:c r="L737" s="74"/>
      <x:c r="M737" s="91"/>
      <x:c r="N737" s="91"/>
      <x:c r="O737" s="85"/>
      <x:c r="P737" s="85"/>
      <x:c r="Q737" s="85"/>
      <x:c r="R737" s="85"/>
      <x:c r="T737" s="86"/>
      <x:c r="U737" s="86"/>
      <x:c r="V737" s="32"/>
    </x:row>
    <x:row r="738">
      <x:c r="A738" s="87"/>
      <x:c r="B738" s="88"/>
      <x:c r="D738" s="32"/>
      <x:c r="G738" s="74"/>
      <x:c r="H738" s="74"/>
      <x:c r="I738" s="74"/>
      <x:c r="J738" s="74"/>
      <x:c r="K738" s="74"/>
      <x:c r="L738" s="74"/>
      <x:c r="M738" s="91"/>
      <x:c r="N738" s="91"/>
      <x:c r="O738" s="85"/>
      <x:c r="P738" s="85"/>
      <x:c r="Q738" s="85"/>
      <x:c r="R738" s="85"/>
      <x:c r="T738" s="86"/>
      <x:c r="U738" s="86"/>
      <x:c r="V738" s="32"/>
    </x:row>
    <x:row r="739">
      <x:c r="A739" s="87"/>
      <x:c r="B739" s="88"/>
      <x:c r="D739" s="32"/>
      <x:c r="G739" s="74"/>
      <x:c r="H739" s="74"/>
      <x:c r="I739" s="74"/>
      <x:c r="J739" s="74"/>
      <x:c r="K739" s="74"/>
      <x:c r="L739" s="74"/>
      <x:c r="M739" s="91"/>
      <x:c r="N739" s="91"/>
      <x:c r="O739" s="85"/>
      <x:c r="P739" s="85"/>
      <x:c r="Q739" s="85"/>
      <x:c r="R739" s="85"/>
      <x:c r="T739" s="86"/>
      <x:c r="U739" s="86"/>
      <x:c r="V739" s="32"/>
    </x:row>
    <x:row r="740">
      <x:c r="A740" s="87"/>
      <x:c r="B740" s="88"/>
      <x:c r="D740" s="32"/>
      <x:c r="G740" s="74"/>
      <x:c r="H740" s="74"/>
      <x:c r="I740" s="74"/>
      <x:c r="J740" s="74"/>
      <x:c r="K740" s="74"/>
      <x:c r="L740" s="74"/>
      <x:c r="M740" s="91"/>
      <x:c r="N740" s="91"/>
      <x:c r="O740" s="85"/>
      <x:c r="P740" s="85"/>
      <x:c r="Q740" s="85"/>
      <x:c r="R740" s="85"/>
      <x:c r="T740" s="86"/>
      <x:c r="U740" s="86"/>
      <x:c r="V740" s="32"/>
    </x:row>
    <x:row r="741">
      <x:c r="A741" s="87"/>
      <x:c r="B741" s="88"/>
      <x:c r="D741" s="32"/>
      <x:c r="G741" s="74"/>
      <x:c r="H741" s="74"/>
      <x:c r="I741" s="74"/>
      <x:c r="J741" s="74"/>
      <x:c r="K741" s="74"/>
      <x:c r="L741" s="74"/>
      <x:c r="M741" s="91"/>
      <x:c r="N741" s="91"/>
      <x:c r="O741" s="85"/>
      <x:c r="P741" s="85"/>
      <x:c r="Q741" s="85"/>
      <x:c r="R741" s="85"/>
      <x:c r="T741" s="86"/>
      <x:c r="U741" s="86"/>
      <x:c r="V741" s="32"/>
    </x:row>
    <x:row r="742">
      <x:c r="A742" s="87"/>
      <x:c r="B742" s="88"/>
      <x:c r="D742" s="32"/>
      <x:c r="G742" s="74"/>
      <x:c r="H742" s="74"/>
      <x:c r="I742" s="74"/>
      <x:c r="J742" s="74"/>
      <x:c r="K742" s="74"/>
      <x:c r="L742" s="74"/>
      <x:c r="M742" s="91"/>
      <x:c r="N742" s="91"/>
      <x:c r="O742" s="85"/>
      <x:c r="P742" s="85"/>
      <x:c r="Q742" s="85"/>
      <x:c r="R742" s="85"/>
      <x:c r="T742" s="86"/>
      <x:c r="U742" s="86"/>
      <x:c r="V742" s="32"/>
    </x:row>
    <x:row r="743">
      <x:c r="A743" s="87"/>
      <x:c r="B743" s="88"/>
      <x:c r="D743" s="32"/>
      <x:c r="G743" s="74"/>
      <x:c r="H743" s="74"/>
      <x:c r="I743" s="74"/>
      <x:c r="J743" s="74"/>
      <x:c r="K743" s="74"/>
      <x:c r="L743" s="74"/>
      <x:c r="M743" s="91"/>
      <x:c r="N743" s="91"/>
      <x:c r="O743" s="85"/>
      <x:c r="P743" s="85"/>
      <x:c r="Q743" s="85"/>
      <x:c r="R743" s="85"/>
      <x:c r="T743" s="86"/>
      <x:c r="U743" s="86"/>
      <x:c r="V743" s="32"/>
    </x:row>
    <x:row r="744">
      <x:c r="A744" s="87"/>
      <x:c r="B744" s="88"/>
      <x:c r="D744" s="32"/>
      <x:c r="G744" s="74"/>
      <x:c r="H744" s="74"/>
      <x:c r="I744" s="74"/>
      <x:c r="J744" s="74"/>
      <x:c r="K744" s="74"/>
      <x:c r="L744" s="74"/>
      <x:c r="M744" s="91"/>
      <x:c r="N744" s="91"/>
      <x:c r="O744" s="85"/>
      <x:c r="P744" s="85"/>
      <x:c r="Q744" s="85"/>
      <x:c r="R744" s="85"/>
      <x:c r="T744" s="86"/>
      <x:c r="U744" s="86"/>
      <x:c r="V744" s="32"/>
    </x:row>
    <x:row r="745">
      <x:c r="A745" s="87"/>
      <x:c r="B745" s="88"/>
      <x:c r="D745" s="32"/>
      <x:c r="G745" s="74"/>
      <x:c r="H745" s="74"/>
      <x:c r="I745" s="74"/>
      <x:c r="J745" s="74"/>
      <x:c r="K745" s="74"/>
      <x:c r="L745" s="74"/>
      <x:c r="M745" s="91"/>
      <x:c r="N745" s="91"/>
      <x:c r="O745" s="85"/>
      <x:c r="P745" s="85"/>
      <x:c r="Q745" s="85"/>
      <x:c r="R745" s="85"/>
      <x:c r="T745" s="86"/>
      <x:c r="U745" s="86"/>
      <x:c r="V745" s="32"/>
    </x:row>
    <x:row r="746">
      <x:c r="A746" s="87"/>
      <x:c r="B746" s="88"/>
      <x:c r="D746" s="32"/>
      <x:c r="G746" s="74"/>
      <x:c r="H746" s="74"/>
      <x:c r="I746" s="74"/>
      <x:c r="J746" s="74"/>
      <x:c r="K746" s="74"/>
      <x:c r="L746" s="74"/>
      <x:c r="M746" s="91"/>
      <x:c r="N746" s="91"/>
      <x:c r="O746" s="85"/>
      <x:c r="P746" s="85"/>
      <x:c r="Q746" s="85"/>
      <x:c r="R746" s="85"/>
      <x:c r="T746" s="86"/>
      <x:c r="U746" s="86"/>
      <x:c r="V746" s="32"/>
    </x:row>
    <x:row r="747">
      <x:c r="A747" s="87"/>
      <x:c r="B747" s="88"/>
      <x:c r="D747" s="32"/>
      <x:c r="G747" s="74"/>
      <x:c r="H747" s="74"/>
      <x:c r="I747" s="74"/>
      <x:c r="J747" s="74"/>
      <x:c r="K747" s="74"/>
      <x:c r="L747" s="74"/>
      <x:c r="M747" s="91"/>
      <x:c r="N747" s="91"/>
      <x:c r="O747" s="85"/>
      <x:c r="P747" s="85"/>
      <x:c r="Q747" s="85"/>
      <x:c r="R747" s="85"/>
      <x:c r="T747" s="86"/>
      <x:c r="U747" s="86"/>
      <x:c r="V747" s="32"/>
    </x:row>
    <x:row r="748">
      <x:c r="A748" s="87"/>
      <x:c r="B748" s="88"/>
      <x:c r="D748" s="32"/>
      <x:c r="G748" s="74"/>
      <x:c r="H748" s="74"/>
      <x:c r="I748" s="74"/>
      <x:c r="J748" s="74"/>
      <x:c r="K748" s="74"/>
      <x:c r="L748" s="74"/>
      <x:c r="M748" s="91"/>
      <x:c r="N748" s="91"/>
      <x:c r="O748" s="85"/>
      <x:c r="P748" s="85"/>
      <x:c r="Q748" s="85"/>
      <x:c r="R748" s="85"/>
      <x:c r="T748" s="86"/>
      <x:c r="U748" s="86"/>
      <x:c r="V748" s="32"/>
    </x:row>
    <x:row r="749">
      <x:c r="A749" s="87"/>
      <x:c r="B749" s="88"/>
      <x:c r="D749" s="32"/>
      <x:c r="G749" s="74"/>
      <x:c r="H749" s="74"/>
      <x:c r="I749" s="74"/>
      <x:c r="J749" s="74"/>
      <x:c r="K749" s="74"/>
      <x:c r="L749" s="74"/>
      <x:c r="M749" s="91"/>
      <x:c r="N749" s="91"/>
      <x:c r="O749" s="85"/>
      <x:c r="P749" s="85"/>
      <x:c r="Q749" s="85"/>
      <x:c r="R749" s="85"/>
      <x:c r="T749" s="86"/>
      <x:c r="U749" s="86"/>
      <x:c r="V749" s="32"/>
    </x:row>
    <x:row r="750">
      <x:c r="A750" s="87"/>
      <x:c r="B750" s="88"/>
      <x:c r="D750" s="32"/>
      <x:c r="G750" s="74"/>
      <x:c r="H750" s="74"/>
      <x:c r="I750" s="74"/>
      <x:c r="J750" s="74"/>
      <x:c r="K750" s="74"/>
      <x:c r="L750" s="74"/>
      <x:c r="M750" s="91"/>
      <x:c r="N750" s="91"/>
      <x:c r="O750" s="85"/>
      <x:c r="P750" s="85"/>
      <x:c r="Q750" s="85"/>
      <x:c r="R750" s="85"/>
      <x:c r="T750" s="86"/>
      <x:c r="U750" s="86"/>
      <x:c r="V750" s="32"/>
    </x:row>
    <x:row r="751">
      <x:c r="A751" s="87"/>
      <x:c r="B751" s="88"/>
      <x:c r="D751" s="32"/>
      <x:c r="G751" s="74"/>
      <x:c r="H751" s="74"/>
      <x:c r="I751" s="74"/>
      <x:c r="J751" s="74"/>
      <x:c r="K751" s="74"/>
      <x:c r="L751" s="74"/>
      <x:c r="M751" s="91"/>
      <x:c r="N751" s="91"/>
      <x:c r="O751" s="85"/>
      <x:c r="P751" s="85"/>
      <x:c r="Q751" s="85"/>
      <x:c r="R751" s="85"/>
      <x:c r="T751" s="86"/>
      <x:c r="U751" s="86"/>
      <x:c r="V751" s="32"/>
    </x:row>
    <x:row r="752">
      <x:c r="A752" s="87"/>
      <x:c r="B752" s="88"/>
      <x:c r="D752" s="32"/>
      <x:c r="G752" s="74"/>
      <x:c r="H752" s="74"/>
      <x:c r="I752" s="74"/>
      <x:c r="J752" s="74"/>
      <x:c r="K752" s="74"/>
      <x:c r="L752" s="74"/>
      <x:c r="M752" s="91"/>
      <x:c r="N752" s="91"/>
      <x:c r="O752" s="85"/>
      <x:c r="P752" s="85"/>
      <x:c r="Q752" s="85"/>
      <x:c r="R752" s="85"/>
      <x:c r="T752" s="86"/>
      <x:c r="U752" s="86"/>
      <x:c r="V752" s="32"/>
    </x:row>
    <x:row r="753">
      <x:c r="A753" s="87"/>
      <x:c r="B753" s="88"/>
      <x:c r="D753" s="32"/>
      <x:c r="G753" s="74"/>
      <x:c r="H753" s="74"/>
      <x:c r="I753" s="74"/>
      <x:c r="J753" s="74"/>
      <x:c r="K753" s="74"/>
      <x:c r="L753" s="74"/>
      <x:c r="M753" s="91"/>
      <x:c r="N753" s="91"/>
      <x:c r="O753" s="85"/>
      <x:c r="P753" s="85"/>
      <x:c r="Q753" s="85"/>
      <x:c r="R753" s="85"/>
      <x:c r="T753" s="86"/>
      <x:c r="U753" s="86"/>
      <x:c r="V753" s="32"/>
    </x:row>
    <x:row r="754">
      <x:c r="A754" s="87"/>
      <x:c r="B754" s="88"/>
      <x:c r="D754" s="32"/>
      <x:c r="G754" s="74"/>
      <x:c r="H754" s="74"/>
      <x:c r="I754" s="74"/>
      <x:c r="J754" s="74"/>
      <x:c r="K754" s="74"/>
      <x:c r="L754" s="74"/>
      <x:c r="M754" s="91"/>
      <x:c r="N754" s="91"/>
      <x:c r="O754" s="85"/>
      <x:c r="P754" s="85"/>
      <x:c r="Q754" s="85"/>
      <x:c r="R754" s="85"/>
      <x:c r="T754" s="86"/>
      <x:c r="U754" s="86"/>
      <x:c r="V754" s="32"/>
    </x:row>
    <x:row r="755">
      <x:c r="A755" s="87"/>
      <x:c r="B755" s="88"/>
      <x:c r="D755" s="32"/>
      <x:c r="G755" s="74"/>
      <x:c r="H755" s="74"/>
      <x:c r="I755" s="74"/>
      <x:c r="J755" s="74"/>
      <x:c r="K755" s="74"/>
      <x:c r="L755" s="74"/>
      <x:c r="M755" s="91"/>
      <x:c r="N755" s="91"/>
      <x:c r="O755" s="85"/>
      <x:c r="P755" s="85"/>
      <x:c r="Q755" s="85"/>
      <x:c r="R755" s="85"/>
      <x:c r="T755" s="86"/>
      <x:c r="U755" s="86"/>
      <x:c r="V755" s="32"/>
    </x:row>
    <x:row r="756">
      <x:c r="A756" s="87"/>
      <x:c r="B756" s="88"/>
      <x:c r="D756" s="32"/>
      <x:c r="G756" s="74"/>
      <x:c r="H756" s="74"/>
      <x:c r="I756" s="74"/>
      <x:c r="J756" s="74"/>
      <x:c r="K756" s="74"/>
      <x:c r="L756" s="74"/>
      <x:c r="M756" s="91"/>
      <x:c r="N756" s="91"/>
      <x:c r="O756" s="85"/>
      <x:c r="P756" s="85"/>
      <x:c r="Q756" s="85"/>
      <x:c r="R756" s="85"/>
      <x:c r="T756" s="86"/>
      <x:c r="U756" s="86"/>
      <x:c r="V756" s="32"/>
    </x:row>
    <x:row r="757">
      <x:c r="A757" s="87"/>
      <x:c r="B757" s="88"/>
      <x:c r="D757" s="32"/>
      <x:c r="G757" s="74"/>
      <x:c r="H757" s="74"/>
      <x:c r="I757" s="74"/>
      <x:c r="J757" s="74"/>
      <x:c r="K757" s="74"/>
      <x:c r="L757" s="74"/>
      <x:c r="M757" s="91"/>
      <x:c r="N757" s="91"/>
      <x:c r="O757" s="85"/>
      <x:c r="P757" s="85"/>
      <x:c r="Q757" s="85"/>
      <x:c r="R757" s="85"/>
      <x:c r="T757" s="86"/>
      <x:c r="U757" s="86"/>
      <x:c r="V757" s="32"/>
    </x:row>
    <x:row r="758">
      <x:c r="A758" s="87"/>
      <x:c r="B758" s="88"/>
      <x:c r="D758" s="32"/>
      <x:c r="G758" s="74"/>
      <x:c r="H758" s="74"/>
      <x:c r="I758" s="74"/>
      <x:c r="J758" s="74"/>
      <x:c r="K758" s="74"/>
      <x:c r="L758" s="74"/>
      <x:c r="M758" s="91"/>
      <x:c r="N758" s="91"/>
      <x:c r="O758" s="85"/>
      <x:c r="P758" s="85"/>
      <x:c r="Q758" s="85"/>
      <x:c r="R758" s="85"/>
      <x:c r="T758" s="86"/>
      <x:c r="U758" s="86"/>
      <x:c r="V758" s="32"/>
    </x:row>
    <x:row r="759">
      <x:c r="A759" s="87"/>
      <x:c r="B759" s="88"/>
      <x:c r="D759" s="32"/>
      <x:c r="G759" s="74"/>
      <x:c r="H759" s="74"/>
      <x:c r="I759" s="74"/>
      <x:c r="J759" s="74"/>
      <x:c r="K759" s="74"/>
      <x:c r="L759" s="74"/>
      <x:c r="M759" s="91"/>
      <x:c r="N759" s="91"/>
      <x:c r="O759" s="85"/>
      <x:c r="P759" s="85"/>
      <x:c r="Q759" s="85"/>
      <x:c r="R759" s="85"/>
      <x:c r="T759" s="86"/>
      <x:c r="U759" s="86"/>
      <x:c r="V759" s="32"/>
    </x:row>
    <x:row r="760">
      <x:c r="A760" s="87"/>
      <x:c r="B760" s="88"/>
      <x:c r="D760" s="32"/>
      <x:c r="G760" s="74"/>
      <x:c r="H760" s="74"/>
      <x:c r="I760" s="74"/>
      <x:c r="J760" s="74"/>
      <x:c r="K760" s="74"/>
      <x:c r="L760" s="74"/>
      <x:c r="M760" s="91"/>
      <x:c r="N760" s="91"/>
      <x:c r="O760" s="85"/>
      <x:c r="P760" s="85"/>
      <x:c r="Q760" s="85"/>
      <x:c r="R760" s="85"/>
      <x:c r="T760" s="86"/>
      <x:c r="U760" s="86"/>
      <x:c r="V760" s="32"/>
    </x:row>
    <x:row r="761">
      <x:c r="A761" s="87"/>
      <x:c r="B761" s="88"/>
      <x:c r="D761" s="32"/>
      <x:c r="G761" s="74"/>
      <x:c r="H761" s="74"/>
      <x:c r="I761" s="74"/>
      <x:c r="J761" s="74"/>
      <x:c r="K761" s="74"/>
      <x:c r="L761" s="74"/>
      <x:c r="M761" s="91"/>
      <x:c r="N761" s="91"/>
      <x:c r="O761" s="85"/>
      <x:c r="P761" s="85"/>
      <x:c r="Q761" s="85"/>
      <x:c r="R761" s="85"/>
      <x:c r="T761" s="86"/>
      <x:c r="U761" s="86"/>
      <x:c r="V761" s="32"/>
    </x:row>
    <x:row r="762">
      <x:c r="A762" s="87"/>
      <x:c r="B762" s="88"/>
      <x:c r="D762" s="32"/>
      <x:c r="G762" s="74"/>
      <x:c r="H762" s="74"/>
      <x:c r="I762" s="74"/>
      <x:c r="J762" s="74"/>
      <x:c r="K762" s="74"/>
      <x:c r="L762" s="74"/>
      <x:c r="M762" s="91"/>
      <x:c r="N762" s="91"/>
      <x:c r="O762" s="85"/>
      <x:c r="P762" s="85"/>
      <x:c r="Q762" s="85"/>
      <x:c r="R762" s="85"/>
      <x:c r="T762" s="86"/>
      <x:c r="U762" s="86"/>
      <x:c r="V762" s="32"/>
    </x:row>
    <x:row r="763">
      <x:c r="A763" s="87"/>
      <x:c r="B763" s="88"/>
      <x:c r="D763" s="32"/>
      <x:c r="G763" s="74"/>
      <x:c r="H763" s="74"/>
      <x:c r="I763" s="74"/>
      <x:c r="J763" s="74"/>
      <x:c r="K763" s="74"/>
      <x:c r="L763" s="74"/>
      <x:c r="M763" s="91"/>
      <x:c r="N763" s="91"/>
      <x:c r="O763" s="85"/>
      <x:c r="P763" s="85"/>
      <x:c r="Q763" s="85"/>
      <x:c r="R763" s="85"/>
      <x:c r="T763" s="86"/>
      <x:c r="U763" s="86"/>
      <x:c r="V763" s="32"/>
    </x:row>
    <x:row r="764">
      <x:c r="A764" s="87"/>
      <x:c r="B764" s="88"/>
      <x:c r="D764" s="32"/>
      <x:c r="G764" s="74"/>
      <x:c r="H764" s="74"/>
      <x:c r="I764" s="74"/>
      <x:c r="J764" s="74"/>
      <x:c r="K764" s="74"/>
      <x:c r="L764" s="74"/>
      <x:c r="M764" s="91"/>
      <x:c r="N764" s="91"/>
      <x:c r="O764" s="85"/>
      <x:c r="P764" s="85"/>
      <x:c r="Q764" s="85"/>
      <x:c r="R764" s="85"/>
      <x:c r="T764" s="86"/>
      <x:c r="U764" s="86"/>
      <x:c r="V764" s="32"/>
    </x:row>
    <x:row r="765">
      <x:c r="A765" s="87"/>
      <x:c r="B765" s="88"/>
      <x:c r="D765" s="32"/>
      <x:c r="G765" s="74"/>
      <x:c r="H765" s="74"/>
      <x:c r="I765" s="74"/>
      <x:c r="J765" s="74"/>
      <x:c r="K765" s="74"/>
      <x:c r="L765" s="74"/>
      <x:c r="M765" s="91"/>
      <x:c r="N765" s="91"/>
      <x:c r="O765" s="85"/>
      <x:c r="P765" s="85"/>
      <x:c r="Q765" s="85"/>
      <x:c r="R765" s="85"/>
      <x:c r="T765" s="86"/>
      <x:c r="U765" s="86"/>
      <x:c r="V765" s="32"/>
    </x:row>
    <x:row r="766">
      <x:c r="A766" s="87"/>
      <x:c r="B766" s="88"/>
      <x:c r="D766" s="32"/>
      <x:c r="G766" s="74"/>
      <x:c r="H766" s="74"/>
      <x:c r="I766" s="74"/>
      <x:c r="J766" s="74"/>
      <x:c r="K766" s="74"/>
      <x:c r="L766" s="74"/>
      <x:c r="M766" s="91"/>
      <x:c r="N766" s="91"/>
      <x:c r="O766" s="85"/>
      <x:c r="P766" s="85"/>
      <x:c r="Q766" s="85"/>
      <x:c r="R766" s="85"/>
      <x:c r="T766" s="86"/>
      <x:c r="U766" s="86"/>
      <x:c r="V766" s="32"/>
    </x:row>
    <x:row r="767">
      <x:c r="A767" s="87"/>
      <x:c r="B767" s="88"/>
      <x:c r="D767" s="32"/>
      <x:c r="G767" s="74"/>
      <x:c r="H767" s="74"/>
      <x:c r="I767" s="74"/>
      <x:c r="J767" s="74"/>
      <x:c r="K767" s="74"/>
      <x:c r="L767" s="74"/>
      <x:c r="M767" s="91"/>
      <x:c r="N767" s="91"/>
      <x:c r="O767" s="85"/>
      <x:c r="P767" s="85"/>
      <x:c r="Q767" s="85"/>
      <x:c r="R767" s="85"/>
      <x:c r="T767" s="86"/>
      <x:c r="U767" s="86"/>
      <x:c r="V767" s="32"/>
    </x:row>
    <x:row r="768">
      <x:c r="A768" s="87"/>
      <x:c r="B768" s="88"/>
      <x:c r="D768" s="32"/>
      <x:c r="G768" s="74"/>
      <x:c r="H768" s="74"/>
      <x:c r="I768" s="74"/>
      <x:c r="J768" s="74"/>
      <x:c r="K768" s="74"/>
      <x:c r="L768" s="74"/>
      <x:c r="M768" s="91"/>
      <x:c r="N768" s="91"/>
      <x:c r="O768" s="85"/>
      <x:c r="P768" s="85"/>
      <x:c r="Q768" s="85"/>
      <x:c r="R768" s="85"/>
      <x:c r="T768" s="86"/>
      <x:c r="U768" s="86"/>
      <x:c r="V768" s="32"/>
    </x:row>
    <x:row r="769">
      <x:c r="A769" s="87"/>
      <x:c r="B769" s="88"/>
      <x:c r="D769" s="32"/>
      <x:c r="G769" s="74"/>
      <x:c r="H769" s="74"/>
      <x:c r="I769" s="74"/>
      <x:c r="J769" s="74"/>
      <x:c r="K769" s="74"/>
      <x:c r="L769" s="74"/>
      <x:c r="M769" s="91"/>
      <x:c r="N769" s="91"/>
      <x:c r="O769" s="85"/>
      <x:c r="P769" s="85"/>
      <x:c r="Q769" s="85"/>
      <x:c r="R769" s="85"/>
      <x:c r="T769" s="86"/>
      <x:c r="U769" s="86"/>
      <x:c r="V769" s="32"/>
    </x:row>
    <x:row r="770">
      <x:c r="A770" s="87"/>
      <x:c r="B770" s="88"/>
      <x:c r="D770" s="32"/>
      <x:c r="G770" s="74"/>
      <x:c r="H770" s="74"/>
      <x:c r="I770" s="74"/>
      <x:c r="J770" s="74"/>
      <x:c r="K770" s="74"/>
      <x:c r="L770" s="74"/>
      <x:c r="M770" s="91"/>
      <x:c r="N770" s="91"/>
      <x:c r="O770" s="85"/>
      <x:c r="P770" s="85"/>
      <x:c r="Q770" s="85"/>
      <x:c r="R770" s="85"/>
      <x:c r="T770" s="86"/>
      <x:c r="U770" s="86"/>
      <x:c r="V770" s="32"/>
    </x:row>
    <x:row r="771">
      <x:c r="A771" s="87"/>
      <x:c r="B771" s="88"/>
      <x:c r="D771" s="32"/>
      <x:c r="G771" s="74"/>
      <x:c r="H771" s="74"/>
      <x:c r="I771" s="74"/>
      <x:c r="J771" s="74"/>
      <x:c r="K771" s="74"/>
      <x:c r="L771" s="74"/>
      <x:c r="M771" s="91"/>
      <x:c r="N771" s="91"/>
      <x:c r="O771" s="85"/>
      <x:c r="P771" s="85"/>
      <x:c r="Q771" s="85"/>
      <x:c r="R771" s="85"/>
      <x:c r="T771" s="86"/>
      <x:c r="U771" s="86"/>
      <x:c r="V771" s="32"/>
    </x:row>
    <x:row r="772">
      <x:c r="A772" s="87"/>
      <x:c r="B772" s="88"/>
      <x:c r="D772" s="32"/>
      <x:c r="G772" s="74"/>
      <x:c r="H772" s="74"/>
      <x:c r="I772" s="74"/>
      <x:c r="J772" s="74"/>
      <x:c r="K772" s="74"/>
      <x:c r="L772" s="74"/>
      <x:c r="M772" s="91"/>
      <x:c r="N772" s="91"/>
      <x:c r="O772" s="85"/>
      <x:c r="P772" s="85"/>
      <x:c r="Q772" s="85"/>
      <x:c r="R772" s="85"/>
      <x:c r="T772" s="86"/>
      <x:c r="U772" s="86"/>
      <x:c r="V772" s="32"/>
    </x:row>
    <x:row r="773">
      <x:c r="A773" s="87"/>
      <x:c r="B773" s="88"/>
      <x:c r="D773" s="32"/>
      <x:c r="G773" s="74"/>
      <x:c r="H773" s="74"/>
      <x:c r="I773" s="74"/>
      <x:c r="J773" s="74"/>
      <x:c r="K773" s="74"/>
      <x:c r="L773" s="74"/>
      <x:c r="M773" s="91"/>
      <x:c r="N773" s="91"/>
      <x:c r="O773" s="85"/>
      <x:c r="P773" s="85"/>
      <x:c r="Q773" s="85"/>
      <x:c r="R773" s="85"/>
      <x:c r="T773" s="86"/>
      <x:c r="U773" s="86"/>
      <x:c r="V773" s="32"/>
    </x:row>
    <x:row r="774">
      <x:c r="A774" s="87"/>
      <x:c r="B774" s="88"/>
      <x:c r="D774" s="32"/>
      <x:c r="G774" s="74"/>
      <x:c r="H774" s="74"/>
      <x:c r="I774" s="74"/>
      <x:c r="J774" s="74"/>
      <x:c r="K774" s="74"/>
      <x:c r="L774" s="74"/>
      <x:c r="M774" s="91"/>
      <x:c r="N774" s="91"/>
      <x:c r="O774" s="85"/>
      <x:c r="P774" s="85"/>
      <x:c r="Q774" s="85"/>
      <x:c r="R774" s="85"/>
      <x:c r="T774" s="86"/>
      <x:c r="U774" s="86"/>
      <x:c r="V774" s="32"/>
    </x:row>
    <x:row r="775">
      <x:c r="A775" s="87"/>
      <x:c r="B775" s="88"/>
      <x:c r="D775" s="32"/>
      <x:c r="G775" s="74"/>
      <x:c r="H775" s="74"/>
      <x:c r="I775" s="74"/>
      <x:c r="J775" s="74"/>
      <x:c r="K775" s="74"/>
      <x:c r="L775" s="74"/>
      <x:c r="M775" s="91"/>
      <x:c r="N775" s="91"/>
      <x:c r="O775" s="85"/>
      <x:c r="P775" s="85"/>
      <x:c r="Q775" s="85"/>
      <x:c r="R775" s="85"/>
      <x:c r="T775" s="86"/>
      <x:c r="U775" s="86"/>
      <x:c r="V775" s="32"/>
    </x:row>
    <x:row r="776">
      <x:c r="A776" s="87"/>
      <x:c r="B776" s="88"/>
      <x:c r="D776" s="32"/>
      <x:c r="G776" s="74"/>
      <x:c r="H776" s="74"/>
      <x:c r="I776" s="74"/>
      <x:c r="J776" s="74"/>
      <x:c r="K776" s="74"/>
      <x:c r="L776" s="74"/>
      <x:c r="M776" s="91"/>
      <x:c r="N776" s="91"/>
      <x:c r="O776" s="85"/>
      <x:c r="P776" s="85"/>
      <x:c r="Q776" s="85"/>
      <x:c r="R776" s="85"/>
      <x:c r="T776" s="86"/>
      <x:c r="U776" s="86"/>
      <x:c r="V776" s="32"/>
    </x:row>
    <x:row r="777">
      <x:c r="A777" s="87"/>
      <x:c r="B777" s="88"/>
      <x:c r="D777" s="32"/>
      <x:c r="G777" s="74"/>
      <x:c r="H777" s="74"/>
      <x:c r="I777" s="74"/>
      <x:c r="J777" s="74"/>
      <x:c r="K777" s="74"/>
      <x:c r="L777" s="74"/>
      <x:c r="M777" s="91"/>
      <x:c r="N777" s="91"/>
      <x:c r="O777" s="85"/>
      <x:c r="P777" s="85"/>
      <x:c r="Q777" s="85"/>
      <x:c r="R777" s="85"/>
      <x:c r="T777" s="86"/>
      <x:c r="U777" s="86"/>
      <x:c r="V777" s="32"/>
    </x:row>
    <x:row r="778">
      <x:c r="A778" s="87"/>
      <x:c r="B778" s="88"/>
      <x:c r="D778" s="32"/>
      <x:c r="G778" s="74"/>
      <x:c r="H778" s="74"/>
      <x:c r="I778" s="74"/>
      <x:c r="J778" s="74"/>
      <x:c r="K778" s="74"/>
      <x:c r="L778" s="74"/>
      <x:c r="M778" s="91"/>
      <x:c r="N778" s="91"/>
      <x:c r="O778" s="85"/>
      <x:c r="P778" s="85"/>
      <x:c r="Q778" s="85"/>
      <x:c r="R778" s="85"/>
      <x:c r="T778" s="86"/>
      <x:c r="U778" s="86"/>
      <x:c r="V778" s="32"/>
    </x:row>
    <x:row r="779">
      <x:c r="A779" s="87"/>
      <x:c r="B779" s="88"/>
      <x:c r="D779" s="32"/>
      <x:c r="G779" s="74"/>
      <x:c r="H779" s="74"/>
      <x:c r="I779" s="74"/>
      <x:c r="J779" s="74"/>
      <x:c r="K779" s="74"/>
      <x:c r="L779" s="74"/>
      <x:c r="M779" s="91"/>
      <x:c r="N779" s="91"/>
      <x:c r="O779" s="85"/>
      <x:c r="P779" s="85"/>
      <x:c r="Q779" s="85"/>
      <x:c r="R779" s="85"/>
      <x:c r="T779" s="86"/>
      <x:c r="U779" s="86"/>
      <x:c r="V779" s="32"/>
    </x:row>
    <x:row r="780">
      <x:c r="A780" s="87"/>
      <x:c r="B780" s="88"/>
      <x:c r="D780" s="32"/>
      <x:c r="G780" s="74"/>
      <x:c r="H780" s="74"/>
      <x:c r="I780" s="74"/>
      <x:c r="J780" s="74"/>
      <x:c r="K780" s="74"/>
      <x:c r="L780" s="74"/>
      <x:c r="M780" s="91"/>
      <x:c r="N780" s="91"/>
      <x:c r="O780" s="85"/>
      <x:c r="P780" s="85"/>
      <x:c r="Q780" s="85"/>
      <x:c r="R780" s="85"/>
      <x:c r="T780" s="86"/>
      <x:c r="U780" s="86"/>
      <x:c r="V780" s="32"/>
    </x:row>
    <x:row r="781">
      <x:c r="A781" s="87"/>
      <x:c r="B781" s="88"/>
      <x:c r="D781" s="32"/>
      <x:c r="G781" s="74"/>
      <x:c r="H781" s="74"/>
      <x:c r="I781" s="74"/>
      <x:c r="J781" s="74"/>
      <x:c r="K781" s="74"/>
      <x:c r="L781" s="74"/>
      <x:c r="M781" s="91"/>
      <x:c r="N781" s="91"/>
      <x:c r="O781" s="85"/>
      <x:c r="P781" s="85"/>
      <x:c r="Q781" s="85"/>
      <x:c r="R781" s="85"/>
      <x:c r="T781" s="86"/>
      <x:c r="U781" s="86"/>
      <x:c r="V781" s="32"/>
    </x:row>
    <x:row r="782">
      <x:c r="A782" s="87"/>
      <x:c r="B782" s="88"/>
      <x:c r="D782" s="32"/>
      <x:c r="G782" s="74"/>
      <x:c r="H782" s="74"/>
      <x:c r="I782" s="74"/>
      <x:c r="J782" s="74"/>
      <x:c r="K782" s="74"/>
      <x:c r="L782" s="74"/>
      <x:c r="M782" s="91"/>
      <x:c r="N782" s="91"/>
      <x:c r="O782" s="85"/>
      <x:c r="P782" s="85"/>
      <x:c r="Q782" s="85"/>
      <x:c r="R782" s="85"/>
      <x:c r="T782" s="86"/>
      <x:c r="U782" s="86"/>
      <x:c r="V782" s="32"/>
    </x:row>
    <x:row r="783">
      <x:c r="A783" s="87"/>
      <x:c r="B783" s="88"/>
      <x:c r="D783" s="32"/>
      <x:c r="G783" s="74"/>
      <x:c r="H783" s="74"/>
      <x:c r="I783" s="74"/>
      <x:c r="J783" s="74"/>
      <x:c r="K783" s="74"/>
      <x:c r="L783" s="74"/>
      <x:c r="M783" s="91"/>
      <x:c r="N783" s="91"/>
      <x:c r="O783" s="85"/>
      <x:c r="P783" s="85"/>
      <x:c r="Q783" s="85"/>
      <x:c r="R783" s="85"/>
      <x:c r="T783" s="86"/>
      <x:c r="U783" s="86"/>
      <x:c r="V783" s="32"/>
    </x:row>
    <x:row r="784">
      <x:c r="A784" s="87"/>
      <x:c r="B784" s="88"/>
      <x:c r="D784" s="32"/>
      <x:c r="G784" s="74"/>
      <x:c r="H784" s="74"/>
      <x:c r="I784" s="74"/>
      <x:c r="J784" s="74"/>
      <x:c r="K784" s="74"/>
      <x:c r="L784" s="74"/>
      <x:c r="M784" s="91"/>
      <x:c r="N784" s="91"/>
      <x:c r="O784" s="85"/>
      <x:c r="P784" s="85"/>
      <x:c r="Q784" s="85"/>
      <x:c r="R784" s="85"/>
      <x:c r="T784" s="86"/>
      <x:c r="U784" s="86"/>
      <x:c r="V784" s="32"/>
    </x:row>
    <x:row r="785">
      <x:c r="A785" s="87"/>
      <x:c r="B785" s="88"/>
      <x:c r="D785" s="32"/>
      <x:c r="G785" s="74"/>
      <x:c r="H785" s="74"/>
      <x:c r="I785" s="74"/>
      <x:c r="J785" s="74"/>
      <x:c r="K785" s="74"/>
      <x:c r="L785" s="74"/>
      <x:c r="M785" s="91"/>
      <x:c r="N785" s="91"/>
      <x:c r="O785" s="85"/>
      <x:c r="P785" s="85"/>
      <x:c r="Q785" s="85"/>
      <x:c r="R785" s="85"/>
      <x:c r="T785" s="86"/>
      <x:c r="U785" s="86"/>
      <x:c r="V785" s="32"/>
    </x:row>
    <x:row r="786">
      <x:c r="A786" s="87"/>
      <x:c r="B786" s="88"/>
      <x:c r="D786" s="32"/>
      <x:c r="G786" s="74"/>
      <x:c r="H786" s="74"/>
      <x:c r="I786" s="74"/>
      <x:c r="J786" s="74"/>
      <x:c r="K786" s="74"/>
      <x:c r="L786" s="74"/>
      <x:c r="M786" s="91"/>
      <x:c r="N786" s="91"/>
      <x:c r="O786" s="85"/>
      <x:c r="P786" s="85"/>
      <x:c r="Q786" s="85"/>
      <x:c r="R786" s="85"/>
      <x:c r="T786" s="86"/>
      <x:c r="U786" s="86"/>
      <x:c r="V786" s="32"/>
    </x:row>
    <x:row r="787">
      <x:c r="A787" s="87"/>
      <x:c r="B787" s="88"/>
      <x:c r="D787" s="32"/>
      <x:c r="G787" s="74"/>
      <x:c r="H787" s="74"/>
      <x:c r="I787" s="74"/>
      <x:c r="J787" s="74"/>
      <x:c r="K787" s="74"/>
      <x:c r="L787" s="74"/>
      <x:c r="M787" s="91"/>
      <x:c r="N787" s="91"/>
      <x:c r="O787" s="85"/>
      <x:c r="P787" s="85"/>
      <x:c r="Q787" s="85"/>
      <x:c r="R787" s="85"/>
      <x:c r="T787" s="86"/>
      <x:c r="U787" s="86"/>
      <x:c r="V787" s="32"/>
    </x:row>
    <x:row r="788">
      <x:c r="A788" s="87"/>
      <x:c r="B788" s="88"/>
      <x:c r="D788" s="32"/>
      <x:c r="G788" s="74"/>
      <x:c r="H788" s="74"/>
      <x:c r="I788" s="74"/>
      <x:c r="J788" s="74"/>
      <x:c r="K788" s="74"/>
      <x:c r="L788" s="74"/>
      <x:c r="M788" s="91"/>
      <x:c r="N788" s="91"/>
      <x:c r="O788" s="85"/>
      <x:c r="P788" s="85"/>
      <x:c r="Q788" s="85"/>
      <x:c r="R788" s="85"/>
      <x:c r="T788" s="86"/>
      <x:c r="U788" s="86"/>
      <x:c r="V788" s="32"/>
    </x:row>
    <x:row r="789">
      <x:c r="A789" s="87"/>
      <x:c r="B789" s="88"/>
      <x:c r="D789" s="32"/>
      <x:c r="G789" s="74"/>
      <x:c r="H789" s="74"/>
      <x:c r="I789" s="74"/>
      <x:c r="J789" s="74"/>
      <x:c r="K789" s="74"/>
      <x:c r="L789" s="74"/>
      <x:c r="M789" s="91"/>
      <x:c r="N789" s="91"/>
      <x:c r="O789" s="85"/>
      <x:c r="P789" s="85"/>
      <x:c r="Q789" s="85"/>
      <x:c r="R789" s="85"/>
      <x:c r="T789" s="86"/>
      <x:c r="U789" s="86"/>
      <x:c r="V789" s="32"/>
    </x:row>
    <x:row r="790">
      <x:c r="A790" s="87"/>
      <x:c r="B790" s="88"/>
      <x:c r="D790" s="32"/>
      <x:c r="G790" s="74"/>
      <x:c r="H790" s="74"/>
      <x:c r="I790" s="74"/>
      <x:c r="J790" s="74"/>
      <x:c r="K790" s="74"/>
      <x:c r="L790" s="74"/>
      <x:c r="M790" s="91"/>
      <x:c r="N790" s="91"/>
      <x:c r="O790" s="85"/>
      <x:c r="P790" s="85"/>
      <x:c r="Q790" s="85"/>
      <x:c r="R790" s="85"/>
      <x:c r="T790" s="86"/>
      <x:c r="U790" s="86"/>
      <x:c r="V790" s="32"/>
    </x:row>
    <x:row r="791">
      <x:c r="A791" s="87"/>
      <x:c r="B791" s="88"/>
      <x:c r="D791" s="32"/>
      <x:c r="G791" s="74"/>
      <x:c r="H791" s="74"/>
      <x:c r="I791" s="74"/>
      <x:c r="J791" s="74"/>
      <x:c r="K791" s="74"/>
      <x:c r="L791" s="74"/>
      <x:c r="M791" s="91"/>
      <x:c r="N791" s="91"/>
      <x:c r="O791" s="85"/>
      <x:c r="P791" s="85"/>
      <x:c r="Q791" s="85"/>
      <x:c r="R791" s="85"/>
      <x:c r="T791" s="86"/>
      <x:c r="U791" s="86"/>
      <x:c r="V791" s="32"/>
    </x:row>
    <x:row r="792">
      <x:c r="A792" s="87"/>
      <x:c r="B792" s="88"/>
      <x:c r="D792" s="32"/>
      <x:c r="G792" s="74"/>
      <x:c r="H792" s="74"/>
      <x:c r="I792" s="74"/>
      <x:c r="J792" s="74"/>
      <x:c r="K792" s="74"/>
      <x:c r="L792" s="74"/>
      <x:c r="M792" s="91"/>
      <x:c r="N792" s="91"/>
      <x:c r="O792" s="85"/>
      <x:c r="P792" s="85"/>
      <x:c r="Q792" s="85"/>
      <x:c r="R792" s="85"/>
      <x:c r="T792" s="86"/>
      <x:c r="U792" s="86"/>
      <x:c r="V792" s="32"/>
    </x:row>
    <x:row r="793">
      <x:c r="A793" s="87"/>
      <x:c r="B793" s="88"/>
      <x:c r="D793" s="32"/>
      <x:c r="G793" s="74"/>
      <x:c r="H793" s="74"/>
      <x:c r="I793" s="74"/>
      <x:c r="J793" s="74"/>
      <x:c r="K793" s="74"/>
      <x:c r="L793" s="74"/>
      <x:c r="M793" s="91"/>
      <x:c r="N793" s="91"/>
      <x:c r="O793" s="85"/>
      <x:c r="P793" s="85"/>
      <x:c r="Q793" s="85"/>
      <x:c r="R793" s="85"/>
      <x:c r="T793" s="86"/>
      <x:c r="U793" s="86"/>
      <x:c r="V793" s="32"/>
    </x:row>
    <x:row r="794">
      <x:c r="A794" s="87"/>
      <x:c r="B794" s="88"/>
      <x:c r="D794" s="32"/>
      <x:c r="G794" s="74"/>
      <x:c r="H794" s="74"/>
      <x:c r="I794" s="74"/>
      <x:c r="J794" s="74"/>
      <x:c r="K794" s="74"/>
      <x:c r="L794" s="74"/>
      <x:c r="M794" s="91"/>
      <x:c r="N794" s="91"/>
      <x:c r="O794" s="85"/>
      <x:c r="P794" s="85"/>
      <x:c r="Q794" s="85"/>
      <x:c r="R794" s="85"/>
      <x:c r="T794" s="86"/>
      <x:c r="U794" s="86"/>
      <x:c r="V794" s="32"/>
    </x:row>
    <x:row r="795">
      <x:c r="A795" s="87"/>
      <x:c r="B795" s="88"/>
      <x:c r="D795" s="32"/>
      <x:c r="G795" s="74"/>
      <x:c r="H795" s="74"/>
      <x:c r="I795" s="74"/>
      <x:c r="J795" s="74"/>
      <x:c r="K795" s="74"/>
      <x:c r="L795" s="74"/>
      <x:c r="M795" s="91"/>
      <x:c r="N795" s="91"/>
      <x:c r="O795" s="85"/>
      <x:c r="P795" s="85"/>
      <x:c r="Q795" s="85"/>
      <x:c r="R795" s="85"/>
      <x:c r="T795" s="86"/>
      <x:c r="U795" s="86"/>
      <x:c r="V795" s="32"/>
    </x:row>
    <x:row r="796">
      <x:c r="A796" s="87"/>
      <x:c r="B796" s="88"/>
      <x:c r="D796" s="32"/>
      <x:c r="G796" s="74"/>
      <x:c r="H796" s="74"/>
      <x:c r="I796" s="74"/>
      <x:c r="J796" s="74"/>
      <x:c r="K796" s="74"/>
      <x:c r="L796" s="74"/>
      <x:c r="M796" s="91"/>
      <x:c r="N796" s="91"/>
      <x:c r="O796" s="85"/>
      <x:c r="P796" s="85"/>
      <x:c r="Q796" s="85"/>
      <x:c r="R796" s="85"/>
      <x:c r="T796" s="86"/>
      <x:c r="U796" s="86"/>
      <x:c r="V796" s="32"/>
    </x:row>
    <x:row r="797">
      <x:c r="A797" s="87"/>
      <x:c r="B797" s="88"/>
      <x:c r="D797" s="32"/>
      <x:c r="G797" s="74"/>
      <x:c r="H797" s="74"/>
      <x:c r="I797" s="74"/>
      <x:c r="J797" s="74"/>
      <x:c r="K797" s="74"/>
      <x:c r="L797" s="74"/>
      <x:c r="M797" s="91"/>
      <x:c r="N797" s="91"/>
      <x:c r="O797" s="85"/>
      <x:c r="P797" s="85"/>
      <x:c r="Q797" s="85"/>
      <x:c r="R797" s="85"/>
      <x:c r="T797" s="86"/>
      <x:c r="U797" s="86"/>
      <x:c r="V797" s="32"/>
    </x:row>
    <x:row r="798">
      <x:c r="A798" s="87"/>
      <x:c r="B798" s="88"/>
      <x:c r="D798" s="32"/>
      <x:c r="G798" s="74"/>
      <x:c r="H798" s="74"/>
      <x:c r="I798" s="74"/>
      <x:c r="J798" s="74"/>
      <x:c r="K798" s="74"/>
      <x:c r="L798" s="74"/>
      <x:c r="M798" s="91"/>
      <x:c r="N798" s="91"/>
      <x:c r="O798" s="85"/>
      <x:c r="P798" s="85"/>
      <x:c r="Q798" s="85"/>
      <x:c r="R798" s="85"/>
      <x:c r="T798" s="86"/>
      <x:c r="U798" s="86"/>
      <x:c r="V798" s="32"/>
    </x:row>
    <x:row r="799">
      <x:c r="A799" s="87"/>
      <x:c r="B799" s="88"/>
      <x:c r="D799" s="32"/>
      <x:c r="G799" s="74"/>
      <x:c r="H799" s="74"/>
      <x:c r="I799" s="74"/>
      <x:c r="J799" s="74"/>
      <x:c r="K799" s="74"/>
      <x:c r="L799" s="74"/>
      <x:c r="M799" s="91"/>
      <x:c r="N799" s="91"/>
      <x:c r="O799" s="85"/>
      <x:c r="P799" s="85"/>
      <x:c r="Q799" s="85"/>
      <x:c r="R799" s="85"/>
      <x:c r="T799" s="86"/>
      <x:c r="U799" s="86"/>
      <x:c r="V799" s="32"/>
    </x:row>
    <x:row r="800">
      <x:c r="A800" s="87"/>
      <x:c r="B800" s="88"/>
      <x:c r="D800" s="32"/>
      <x:c r="G800" s="74"/>
      <x:c r="H800" s="74"/>
      <x:c r="I800" s="74"/>
      <x:c r="J800" s="74"/>
      <x:c r="K800" s="74"/>
      <x:c r="L800" s="74"/>
      <x:c r="M800" s="91"/>
      <x:c r="N800" s="91"/>
      <x:c r="O800" s="85"/>
      <x:c r="P800" s="85"/>
      <x:c r="Q800" s="85"/>
      <x:c r="R800" s="85"/>
      <x:c r="T800" s="86"/>
      <x:c r="U800" s="86"/>
      <x:c r="V800" s="32"/>
    </x:row>
    <x:row r="801">
      <x:c r="A801" s="87"/>
      <x:c r="B801" s="88"/>
      <x:c r="D801" s="32"/>
      <x:c r="G801" s="74"/>
      <x:c r="H801" s="74"/>
      <x:c r="I801" s="74"/>
      <x:c r="J801" s="74"/>
      <x:c r="K801" s="74"/>
      <x:c r="L801" s="74"/>
      <x:c r="M801" s="91"/>
      <x:c r="N801" s="91"/>
      <x:c r="O801" s="85"/>
      <x:c r="P801" s="85"/>
      <x:c r="Q801" s="85"/>
      <x:c r="R801" s="85"/>
      <x:c r="T801" s="86"/>
      <x:c r="U801" s="86"/>
      <x:c r="V801" s="32"/>
    </x:row>
    <x:row r="802">
      <x:c r="A802" s="87"/>
      <x:c r="B802" s="88"/>
      <x:c r="D802" s="32"/>
      <x:c r="G802" s="74"/>
      <x:c r="H802" s="74"/>
      <x:c r="I802" s="74"/>
      <x:c r="J802" s="74"/>
      <x:c r="K802" s="74"/>
      <x:c r="L802" s="74"/>
      <x:c r="M802" s="91"/>
      <x:c r="N802" s="91"/>
      <x:c r="O802" s="85"/>
      <x:c r="P802" s="85"/>
      <x:c r="Q802" s="85"/>
      <x:c r="R802" s="85"/>
      <x:c r="T802" s="86"/>
      <x:c r="U802" s="86"/>
      <x:c r="V802" s="32"/>
    </x:row>
    <x:row r="803">
      <x:c r="A803" s="87"/>
      <x:c r="B803" s="88"/>
      <x:c r="D803" s="32"/>
      <x:c r="G803" s="74"/>
      <x:c r="H803" s="74"/>
      <x:c r="I803" s="74"/>
      <x:c r="J803" s="74"/>
      <x:c r="K803" s="74"/>
      <x:c r="L803" s="74"/>
      <x:c r="M803" s="91"/>
      <x:c r="N803" s="91"/>
      <x:c r="O803" s="85"/>
      <x:c r="P803" s="85"/>
      <x:c r="Q803" s="85"/>
      <x:c r="R803" s="85"/>
      <x:c r="T803" s="86"/>
      <x:c r="U803" s="86"/>
      <x:c r="V803" s="32"/>
    </x:row>
    <x:row r="804">
      <x:c r="A804" s="87"/>
      <x:c r="B804" s="88"/>
      <x:c r="D804" s="32"/>
      <x:c r="G804" s="74"/>
      <x:c r="H804" s="74"/>
      <x:c r="I804" s="74"/>
      <x:c r="J804" s="74"/>
      <x:c r="K804" s="74"/>
      <x:c r="L804" s="74"/>
      <x:c r="M804" s="91"/>
      <x:c r="N804" s="91"/>
      <x:c r="O804" s="85"/>
      <x:c r="P804" s="85"/>
      <x:c r="Q804" s="85"/>
      <x:c r="R804" s="85"/>
      <x:c r="T804" s="86"/>
      <x:c r="U804" s="86"/>
      <x:c r="V804" s="32"/>
    </x:row>
    <x:row r="805">
      <x:c r="A805" s="87"/>
      <x:c r="B805" s="88"/>
      <x:c r="D805" s="32"/>
      <x:c r="G805" s="74"/>
      <x:c r="H805" s="74"/>
      <x:c r="I805" s="74"/>
      <x:c r="J805" s="74"/>
      <x:c r="K805" s="74"/>
      <x:c r="L805" s="74"/>
      <x:c r="M805" s="91"/>
      <x:c r="N805" s="91"/>
      <x:c r="O805" s="85"/>
      <x:c r="P805" s="85"/>
      <x:c r="Q805" s="85"/>
      <x:c r="R805" s="85"/>
      <x:c r="T805" s="86"/>
      <x:c r="U805" s="86"/>
      <x:c r="V805" s="32"/>
    </x:row>
    <x:row r="806">
      <x:c r="A806" s="87"/>
      <x:c r="B806" s="88"/>
      <x:c r="D806" s="32"/>
      <x:c r="G806" s="74"/>
      <x:c r="H806" s="74"/>
      <x:c r="I806" s="74"/>
      <x:c r="J806" s="74"/>
      <x:c r="K806" s="74"/>
      <x:c r="L806" s="74"/>
      <x:c r="M806" s="91"/>
      <x:c r="N806" s="91"/>
      <x:c r="O806" s="85"/>
      <x:c r="P806" s="85"/>
      <x:c r="Q806" s="85"/>
      <x:c r="R806" s="85"/>
      <x:c r="T806" s="86"/>
      <x:c r="U806" s="86"/>
      <x:c r="V806" s="32"/>
    </x:row>
    <x:row r="807">
      <x:c r="A807" s="87"/>
      <x:c r="B807" s="88"/>
      <x:c r="D807" s="32"/>
      <x:c r="G807" s="74"/>
      <x:c r="H807" s="74"/>
      <x:c r="I807" s="74"/>
      <x:c r="J807" s="74"/>
      <x:c r="K807" s="74"/>
      <x:c r="L807" s="74"/>
      <x:c r="M807" s="91"/>
      <x:c r="N807" s="91"/>
      <x:c r="O807" s="85"/>
      <x:c r="P807" s="85"/>
      <x:c r="Q807" s="85"/>
      <x:c r="R807" s="85"/>
      <x:c r="T807" s="86"/>
      <x:c r="U807" s="86"/>
      <x:c r="V807" s="32"/>
    </x:row>
    <x:row r="808">
      <x:c r="A808" s="87"/>
      <x:c r="B808" s="88"/>
      <x:c r="D808" s="32"/>
      <x:c r="G808" s="74"/>
      <x:c r="H808" s="74"/>
      <x:c r="I808" s="74"/>
      <x:c r="J808" s="74"/>
      <x:c r="K808" s="74"/>
      <x:c r="L808" s="74"/>
      <x:c r="M808" s="91"/>
      <x:c r="N808" s="91"/>
      <x:c r="O808" s="85"/>
      <x:c r="P808" s="85"/>
      <x:c r="Q808" s="85"/>
      <x:c r="R808" s="85"/>
      <x:c r="T808" s="86"/>
      <x:c r="U808" s="86"/>
      <x:c r="V808" s="32"/>
    </x:row>
    <x:row r="809">
      <x:c r="A809" s="87"/>
      <x:c r="B809" s="88"/>
      <x:c r="D809" s="32"/>
      <x:c r="G809" s="74"/>
      <x:c r="H809" s="74"/>
      <x:c r="I809" s="74"/>
      <x:c r="J809" s="74"/>
      <x:c r="K809" s="74"/>
      <x:c r="L809" s="74"/>
      <x:c r="M809" s="91"/>
      <x:c r="N809" s="91"/>
      <x:c r="O809" s="85"/>
      <x:c r="P809" s="85"/>
      <x:c r="Q809" s="85"/>
      <x:c r="R809" s="85"/>
      <x:c r="T809" s="86"/>
      <x:c r="U809" s="86"/>
      <x:c r="V809" s="32"/>
    </x:row>
    <x:row r="810">
      <x:c r="A810" s="87"/>
      <x:c r="B810" s="88"/>
      <x:c r="D810" s="32"/>
      <x:c r="G810" s="74"/>
      <x:c r="H810" s="74"/>
      <x:c r="I810" s="74"/>
      <x:c r="J810" s="74"/>
      <x:c r="K810" s="74"/>
      <x:c r="L810" s="74"/>
      <x:c r="M810" s="91"/>
      <x:c r="N810" s="91"/>
      <x:c r="O810" s="85"/>
      <x:c r="P810" s="85"/>
      <x:c r="Q810" s="85"/>
      <x:c r="R810" s="85"/>
      <x:c r="T810" s="86"/>
      <x:c r="U810" s="86"/>
      <x:c r="V810" s="32"/>
    </x:row>
    <x:row r="811">
      <x:c r="A811" s="87"/>
      <x:c r="B811" s="88"/>
      <x:c r="D811" s="32"/>
      <x:c r="G811" s="74"/>
      <x:c r="H811" s="74"/>
      <x:c r="I811" s="74"/>
      <x:c r="J811" s="74"/>
      <x:c r="K811" s="74"/>
      <x:c r="L811" s="74"/>
      <x:c r="M811" s="91"/>
      <x:c r="N811" s="91"/>
      <x:c r="O811" s="85"/>
      <x:c r="P811" s="85"/>
      <x:c r="Q811" s="85"/>
      <x:c r="R811" s="85"/>
      <x:c r="T811" s="86"/>
      <x:c r="U811" s="86"/>
      <x:c r="V811" s="32"/>
    </x:row>
    <x:row r="812">
      <x:c r="A812" s="87"/>
      <x:c r="B812" s="88"/>
      <x:c r="D812" s="32"/>
      <x:c r="G812" s="74"/>
      <x:c r="H812" s="74"/>
      <x:c r="I812" s="74"/>
      <x:c r="J812" s="74"/>
      <x:c r="K812" s="74"/>
      <x:c r="L812" s="74"/>
      <x:c r="M812" s="91"/>
      <x:c r="N812" s="91"/>
      <x:c r="O812" s="85"/>
      <x:c r="P812" s="85"/>
      <x:c r="Q812" s="85"/>
      <x:c r="R812" s="85"/>
      <x:c r="T812" s="86"/>
      <x:c r="U812" s="86"/>
      <x:c r="V812" s="32"/>
    </x:row>
    <x:row r="813">
      <x:c r="A813" s="87"/>
      <x:c r="B813" s="88"/>
      <x:c r="D813" s="32"/>
      <x:c r="G813" s="74"/>
      <x:c r="H813" s="74"/>
      <x:c r="I813" s="74"/>
      <x:c r="J813" s="74"/>
      <x:c r="K813" s="74"/>
      <x:c r="L813" s="74"/>
      <x:c r="M813" s="91"/>
      <x:c r="N813" s="91"/>
      <x:c r="O813" s="85"/>
      <x:c r="P813" s="85"/>
      <x:c r="Q813" s="85"/>
      <x:c r="R813" s="85"/>
      <x:c r="T813" s="86"/>
      <x:c r="U813" s="86"/>
      <x:c r="V813" s="32"/>
    </x:row>
    <x:row r="814">
      <x:c r="A814" s="87"/>
      <x:c r="B814" s="88"/>
      <x:c r="D814" s="32"/>
      <x:c r="G814" s="74"/>
      <x:c r="H814" s="74"/>
      <x:c r="I814" s="74"/>
      <x:c r="J814" s="74"/>
      <x:c r="K814" s="74"/>
      <x:c r="L814" s="74"/>
      <x:c r="M814" s="91"/>
      <x:c r="N814" s="91"/>
      <x:c r="O814" s="85"/>
      <x:c r="P814" s="85"/>
      <x:c r="Q814" s="85"/>
      <x:c r="R814" s="85"/>
      <x:c r="T814" s="86"/>
      <x:c r="U814" s="86"/>
      <x:c r="V814" s="32"/>
    </x:row>
    <x:row r="815">
      <x:c r="A815" s="87"/>
      <x:c r="B815" s="88"/>
      <x:c r="D815" s="32"/>
      <x:c r="G815" s="74"/>
      <x:c r="H815" s="74"/>
      <x:c r="I815" s="74"/>
      <x:c r="J815" s="74"/>
      <x:c r="K815" s="74"/>
      <x:c r="L815" s="74"/>
      <x:c r="M815" s="91"/>
      <x:c r="N815" s="91"/>
      <x:c r="O815" s="85"/>
      <x:c r="P815" s="85"/>
      <x:c r="Q815" s="85"/>
      <x:c r="R815" s="85"/>
      <x:c r="T815" s="86"/>
      <x:c r="U815" s="86"/>
      <x:c r="V815" s="32"/>
    </x:row>
    <x:row r="816">
      <x:c r="A816" s="87"/>
      <x:c r="B816" s="88"/>
      <x:c r="D816" s="32"/>
      <x:c r="G816" s="74"/>
      <x:c r="H816" s="74"/>
      <x:c r="I816" s="74"/>
      <x:c r="J816" s="74"/>
      <x:c r="K816" s="74"/>
      <x:c r="L816" s="74"/>
      <x:c r="M816" s="91"/>
      <x:c r="N816" s="91"/>
      <x:c r="O816" s="85"/>
      <x:c r="P816" s="85"/>
      <x:c r="Q816" s="85"/>
      <x:c r="R816" s="85"/>
      <x:c r="T816" s="86"/>
      <x:c r="U816" s="86"/>
      <x:c r="V816" s="32"/>
    </x:row>
    <x:row r="817">
      <x:c r="A817" s="87"/>
      <x:c r="B817" s="88"/>
      <x:c r="D817" s="32"/>
      <x:c r="G817" s="74"/>
      <x:c r="H817" s="74"/>
      <x:c r="I817" s="74"/>
      <x:c r="J817" s="74"/>
      <x:c r="K817" s="74"/>
      <x:c r="L817" s="74"/>
      <x:c r="M817" s="91"/>
      <x:c r="N817" s="91"/>
      <x:c r="O817" s="85"/>
      <x:c r="P817" s="85"/>
      <x:c r="Q817" s="85"/>
      <x:c r="R817" s="85"/>
      <x:c r="T817" s="86"/>
      <x:c r="U817" s="86"/>
      <x:c r="V817" s="32"/>
    </x:row>
    <x:row r="818">
      <x:c r="A818" s="87"/>
      <x:c r="B818" s="88"/>
      <x:c r="D818" s="32"/>
      <x:c r="G818" s="74"/>
      <x:c r="H818" s="74"/>
      <x:c r="I818" s="74"/>
      <x:c r="J818" s="74"/>
      <x:c r="K818" s="74"/>
      <x:c r="L818" s="74"/>
      <x:c r="M818" s="91"/>
      <x:c r="N818" s="91"/>
      <x:c r="O818" s="85"/>
      <x:c r="P818" s="85"/>
      <x:c r="Q818" s="85"/>
      <x:c r="R818" s="85"/>
      <x:c r="T818" s="86"/>
      <x:c r="U818" s="86"/>
      <x:c r="V818" s="32"/>
    </x:row>
    <x:row r="819">
      <x:c r="A819" s="87"/>
      <x:c r="B819" s="88"/>
      <x:c r="D819" s="32"/>
      <x:c r="G819" s="74"/>
      <x:c r="H819" s="74"/>
      <x:c r="I819" s="74"/>
      <x:c r="J819" s="74"/>
      <x:c r="K819" s="74"/>
      <x:c r="L819" s="74"/>
      <x:c r="M819" s="91"/>
      <x:c r="N819" s="91"/>
      <x:c r="O819" s="85"/>
      <x:c r="P819" s="85"/>
      <x:c r="Q819" s="85"/>
      <x:c r="R819" s="85"/>
      <x:c r="T819" s="86"/>
      <x:c r="U819" s="86"/>
      <x:c r="V819" s="32"/>
    </x:row>
    <x:row r="820">
      <x:c r="A820" s="87"/>
      <x:c r="B820" s="88"/>
      <x:c r="D820" s="32"/>
      <x:c r="G820" s="74"/>
      <x:c r="H820" s="74"/>
      <x:c r="I820" s="74"/>
      <x:c r="J820" s="74"/>
      <x:c r="K820" s="74"/>
      <x:c r="L820" s="74"/>
      <x:c r="M820" s="91"/>
      <x:c r="N820" s="91"/>
      <x:c r="O820" s="85"/>
      <x:c r="P820" s="85"/>
      <x:c r="Q820" s="85"/>
      <x:c r="R820" s="85"/>
      <x:c r="T820" s="86"/>
      <x:c r="U820" s="86"/>
      <x:c r="V820" s="32"/>
    </x:row>
    <x:row r="821">
      <x:c r="A821" s="87"/>
      <x:c r="B821" s="88"/>
      <x:c r="D821" s="32"/>
      <x:c r="G821" s="74"/>
      <x:c r="H821" s="74"/>
      <x:c r="I821" s="74"/>
      <x:c r="J821" s="74"/>
      <x:c r="K821" s="74"/>
      <x:c r="L821" s="74"/>
      <x:c r="M821" s="91"/>
      <x:c r="N821" s="91"/>
      <x:c r="O821" s="85"/>
      <x:c r="P821" s="85"/>
      <x:c r="Q821" s="85"/>
      <x:c r="R821" s="85"/>
      <x:c r="T821" s="86"/>
      <x:c r="U821" s="86"/>
      <x:c r="V821" s="32"/>
    </x:row>
    <x:row r="822">
      <x:c r="A822" s="87"/>
      <x:c r="B822" s="88"/>
      <x:c r="D822" s="32"/>
      <x:c r="G822" s="74"/>
      <x:c r="H822" s="74"/>
      <x:c r="I822" s="74"/>
      <x:c r="J822" s="74"/>
      <x:c r="K822" s="74"/>
      <x:c r="L822" s="74"/>
      <x:c r="M822" s="91"/>
      <x:c r="N822" s="91"/>
      <x:c r="O822" s="85"/>
      <x:c r="P822" s="85"/>
      <x:c r="Q822" s="85"/>
      <x:c r="R822" s="85"/>
      <x:c r="T822" s="86"/>
      <x:c r="U822" s="86"/>
      <x:c r="V822" s="32"/>
    </x:row>
    <x:row r="823">
      <x:c r="A823" s="87"/>
      <x:c r="B823" s="88"/>
      <x:c r="D823" s="32"/>
      <x:c r="G823" s="74"/>
      <x:c r="H823" s="74"/>
      <x:c r="I823" s="74"/>
      <x:c r="J823" s="74"/>
      <x:c r="K823" s="74"/>
      <x:c r="L823" s="74"/>
      <x:c r="M823" s="91"/>
      <x:c r="N823" s="91"/>
      <x:c r="O823" s="85"/>
      <x:c r="P823" s="85"/>
      <x:c r="Q823" s="85"/>
      <x:c r="R823" s="85"/>
      <x:c r="T823" s="86"/>
      <x:c r="U823" s="86"/>
      <x:c r="V823" s="32"/>
    </x:row>
    <x:row r="824">
      <x:c r="A824" s="87"/>
      <x:c r="B824" s="88"/>
      <x:c r="D824" s="32"/>
      <x:c r="G824" s="74"/>
      <x:c r="H824" s="74"/>
      <x:c r="I824" s="74"/>
      <x:c r="J824" s="74"/>
      <x:c r="K824" s="74"/>
      <x:c r="L824" s="74"/>
      <x:c r="M824" s="91"/>
      <x:c r="N824" s="91"/>
      <x:c r="O824" s="85"/>
      <x:c r="P824" s="85"/>
      <x:c r="Q824" s="85"/>
      <x:c r="R824" s="85"/>
      <x:c r="T824" s="86"/>
      <x:c r="U824" s="86"/>
      <x:c r="V824" s="32"/>
    </x:row>
    <x:row r="825">
      <x:c r="A825" s="87"/>
      <x:c r="B825" s="88"/>
      <x:c r="D825" s="32"/>
      <x:c r="G825" s="74"/>
      <x:c r="H825" s="74"/>
      <x:c r="I825" s="74"/>
      <x:c r="J825" s="74"/>
      <x:c r="K825" s="74"/>
      <x:c r="L825" s="74"/>
      <x:c r="M825" s="91"/>
      <x:c r="N825" s="91"/>
      <x:c r="O825" s="85"/>
      <x:c r="P825" s="85"/>
      <x:c r="Q825" s="85"/>
      <x:c r="R825" s="85"/>
      <x:c r="T825" s="86"/>
      <x:c r="U825" s="86"/>
      <x:c r="V825" s="32"/>
    </x:row>
    <x:row r="826">
      <x:c r="A826" s="87"/>
      <x:c r="B826" s="88"/>
      <x:c r="D826" s="32"/>
      <x:c r="G826" s="74"/>
      <x:c r="H826" s="74"/>
      <x:c r="I826" s="74"/>
      <x:c r="J826" s="74"/>
      <x:c r="K826" s="74"/>
      <x:c r="L826" s="74"/>
      <x:c r="M826" s="91"/>
      <x:c r="N826" s="91"/>
      <x:c r="O826" s="85"/>
      <x:c r="P826" s="85"/>
      <x:c r="Q826" s="85"/>
      <x:c r="R826" s="85"/>
      <x:c r="T826" s="86"/>
      <x:c r="U826" s="86"/>
      <x:c r="V826" s="32"/>
    </x:row>
    <x:row r="827">
      <x:c r="A827" s="87"/>
      <x:c r="B827" s="88"/>
      <x:c r="D827" s="32"/>
      <x:c r="G827" s="74"/>
      <x:c r="H827" s="74"/>
      <x:c r="I827" s="74"/>
      <x:c r="J827" s="74"/>
      <x:c r="K827" s="74"/>
      <x:c r="L827" s="74"/>
      <x:c r="M827" s="91"/>
      <x:c r="N827" s="91"/>
      <x:c r="O827" s="85"/>
      <x:c r="P827" s="85"/>
      <x:c r="Q827" s="85"/>
      <x:c r="R827" s="85"/>
      <x:c r="T827" s="86"/>
      <x:c r="U827" s="86"/>
      <x:c r="V827" s="32"/>
    </x:row>
    <x:row r="828">
      <x:c r="A828" s="87"/>
      <x:c r="B828" s="88"/>
      <x:c r="D828" s="32"/>
      <x:c r="G828" s="74"/>
      <x:c r="H828" s="74"/>
      <x:c r="I828" s="74"/>
      <x:c r="J828" s="74"/>
      <x:c r="K828" s="74"/>
      <x:c r="L828" s="74"/>
      <x:c r="M828" s="91"/>
      <x:c r="N828" s="91"/>
      <x:c r="O828" s="85"/>
      <x:c r="P828" s="85"/>
      <x:c r="Q828" s="85"/>
      <x:c r="R828" s="85"/>
      <x:c r="T828" s="86"/>
      <x:c r="U828" s="86"/>
      <x:c r="V828" s="32"/>
    </x:row>
    <x:row r="829">
      <x:c r="A829" s="87"/>
      <x:c r="B829" s="88"/>
      <x:c r="D829" s="32"/>
      <x:c r="G829" s="74"/>
      <x:c r="H829" s="74"/>
      <x:c r="I829" s="74"/>
      <x:c r="J829" s="74"/>
      <x:c r="K829" s="74"/>
      <x:c r="L829" s="74"/>
      <x:c r="M829" s="91"/>
      <x:c r="N829" s="91"/>
      <x:c r="O829" s="85"/>
      <x:c r="P829" s="85"/>
      <x:c r="Q829" s="85"/>
      <x:c r="R829" s="85"/>
      <x:c r="T829" s="86"/>
      <x:c r="U829" s="86"/>
      <x:c r="V829" s="32"/>
    </x:row>
    <x:row r="830">
      <x:c r="A830" s="87"/>
      <x:c r="B830" s="88"/>
      <x:c r="D830" s="32"/>
      <x:c r="G830" s="74"/>
      <x:c r="H830" s="74"/>
      <x:c r="I830" s="74"/>
      <x:c r="J830" s="74"/>
      <x:c r="K830" s="74"/>
      <x:c r="L830" s="74"/>
      <x:c r="M830" s="91"/>
      <x:c r="N830" s="91"/>
      <x:c r="O830" s="85"/>
      <x:c r="P830" s="85"/>
      <x:c r="Q830" s="85"/>
      <x:c r="R830" s="85"/>
      <x:c r="T830" s="86"/>
      <x:c r="U830" s="86"/>
      <x:c r="V830" s="32"/>
    </x:row>
    <x:row r="831">
      <x:c r="A831" s="87"/>
      <x:c r="B831" s="88"/>
      <x:c r="D831" s="32"/>
      <x:c r="G831" s="74"/>
      <x:c r="H831" s="74"/>
      <x:c r="I831" s="74"/>
      <x:c r="J831" s="74"/>
      <x:c r="K831" s="74"/>
      <x:c r="L831" s="74"/>
      <x:c r="M831" s="91"/>
      <x:c r="N831" s="91"/>
      <x:c r="O831" s="85"/>
      <x:c r="P831" s="85"/>
      <x:c r="Q831" s="85"/>
      <x:c r="R831" s="85"/>
      <x:c r="T831" s="86"/>
      <x:c r="U831" s="86"/>
      <x:c r="V831" s="32"/>
    </x:row>
    <x:row r="832">
      <x:c r="A832" s="87"/>
      <x:c r="B832" s="88"/>
      <x:c r="D832" s="32"/>
      <x:c r="G832" s="74"/>
      <x:c r="H832" s="74"/>
      <x:c r="I832" s="74"/>
      <x:c r="J832" s="74"/>
      <x:c r="K832" s="74"/>
      <x:c r="L832" s="74"/>
      <x:c r="M832" s="91"/>
      <x:c r="N832" s="91"/>
      <x:c r="O832" s="85"/>
      <x:c r="P832" s="85"/>
      <x:c r="Q832" s="85"/>
      <x:c r="R832" s="85"/>
      <x:c r="T832" s="86"/>
      <x:c r="U832" s="86"/>
      <x:c r="V832" s="32"/>
    </x:row>
    <x:row r="833">
      <x:c r="A833" s="87"/>
      <x:c r="B833" s="88"/>
      <x:c r="D833" s="32"/>
      <x:c r="G833" s="74"/>
      <x:c r="H833" s="74"/>
      <x:c r="I833" s="74"/>
      <x:c r="J833" s="74"/>
      <x:c r="K833" s="74"/>
      <x:c r="L833" s="74"/>
      <x:c r="M833" s="91"/>
      <x:c r="N833" s="91"/>
      <x:c r="O833" s="85"/>
      <x:c r="P833" s="85"/>
      <x:c r="Q833" s="85"/>
      <x:c r="R833" s="85"/>
      <x:c r="T833" s="86"/>
      <x:c r="U833" s="86"/>
      <x:c r="V833" s="32"/>
    </x:row>
    <x:row r="834">
      <x:c r="A834" s="87"/>
      <x:c r="B834" s="88"/>
      <x:c r="D834" s="32"/>
      <x:c r="G834" s="74"/>
      <x:c r="H834" s="74"/>
      <x:c r="I834" s="74"/>
      <x:c r="J834" s="74"/>
      <x:c r="K834" s="74"/>
      <x:c r="L834" s="74"/>
      <x:c r="M834" s="91"/>
      <x:c r="N834" s="91"/>
      <x:c r="O834" s="85"/>
      <x:c r="P834" s="85"/>
      <x:c r="Q834" s="85"/>
      <x:c r="R834" s="85"/>
      <x:c r="T834" s="86"/>
      <x:c r="U834" s="86"/>
      <x:c r="V834" s="32"/>
    </x:row>
    <x:row r="835">
      <x:c r="A835" s="87"/>
      <x:c r="B835" s="88"/>
      <x:c r="D835" s="32"/>
      <x:c r="G835" s="74"/>
      <x:c r="H835" s="74"/>
      <x:c r="I835" s="74"/>
      <x:c r="J835" s="74"/>
      <x:c r="K835" s="74"/>
      <x:c r="L835" s="74"/>
      <x:c r="M835" s="91"/>
      <x:c r="N835" s="91"/>
      <x:c r="O835" s="85"/>
      <x:c r="P835" s="85"/>
      <x:c r="Q835" s="85"/>
      <x:c r="R835" s="85"/>
      <x:c r="T835" s="86"/>
      <x:c r="U835" s="86"/>
      <x:c r="V835" s="32"/>
    </x:row>
    <x:row r="836">
      <x:c r="A836" s="87"/>
      <x:c r="B836" s="88"/>
      <x:c r="D836" s="32"/>
      <x:c r="G836" s="74"/>
      <x:c r="H836" s="74"/>
      <x:c r="I836" s="74"/>
      <x:c r="J836" s="74"/>
      <x:c r="K836" s="74"/>
      <x:c r="L836" s="74"/>
      <x:c r="M836" s="91"/>
      <x:c r="N836" s="91"/>
      <x:c r="O836" s="85"/>
      <x:c r="P836" s="85"/>
      <x:c r="Q836" s="85"/>
      <x:c r="R836" s="85"/>
      <x:c r="T836" s="86"/>
      <x:c r="U836" s="86"/>
      <x:c r="V836" s="32"/>
    </x:row>
    <x:row r="837">
      <x:c r="A837" s="87"/>
      <x:c r="B837" s="88"/>
      <x:c r="D837" s="32"/>
      <x:c r="G837" s="74"/>
      <x:c r="H837" s="74"/>
      <x:c r="I837" s="74"/>
      <x:c r="J837" s="74"/>
      <x:c r="K837" s="74"/>
      <x:c r="L837" s="74"/>
      <x:c r="M837" s="91"/>
      <x:c r="N837" s="91"/>
      <x:c r="O837" s="85"/>
      <x:c r="P837" s="85"/>
      <x:c r="Q837" s="85"/>
      <x:c r="R837" s="85"/>
      <x:c r="T837" s="86"/>
      <x:c r="U837" s="86"/>
      <x:c r="V837" s="32"/>
    </x:row>
    <x:row r="838">
      <x:c r="A838" s="87"/>
      <x:c r="B838" s="88"/>
      <x:c r="D838" s="32"/>
      <x:c r="G838" s="74"/>
      <x:c r="H838" s="74"/>
      <x:c r="I838" s="74"/>
      <x:c r="J838" s="74"/>
      <x:c r="K838" s="74"/>
      <x:c r="L838" s="74"/>
      <x:c r="M838" s="91"/>
      <x:c r="N838" s="91"/>
      <x:c r="O838" s="85"/>
      <x:c r="P838" s="85"/>
      <x:c r="Q838" s="85"/>
      <x:c r="R838" s="85"/>
      <x:c r="T838" s="86"/>
      <x:c r="U838" s="86"/>
      <x:c r="V838" s="32"/>
    </x:row>
    <x:row r="839">
      <x:c r="A839" s="87"/>
      <x:c r="B839" s="88"/>
      <x:c r="D839" s="32"/>
      <x:c r="G839" s="74"/>
      <x:c r="H839" s="74"/>
      <x:c r="I839" s="74"/>
      <x:c r="J839" s="74"/>
      <x:c r="K839" s="74"/>
      <x:c r="L839" s="74"/>
      <x:c r="M839" s="91"/>
      <x:c r="N839" s="91"/>
      <x:c r="O839" s="85"/>
      <x:c r="P839" s="85"/>
      <x:c r="Q839" s="85"/>
      <x:c r="R839" s="85"/>
      <x:c r="T839" s="86"/>
      <x:c r="U839" s="86"/>
      <x:c r="V839" s="32"/>
    </x:row>
    <x:row r="840">
      <x:c r="A840" s="87"/>
      <x:c r="B840" s="88"/>
      <x:c r="D840" s="32"/>
      <x:c r="G840" s="74"/>
      <x:c r="H840" s="74"/>
      <x:c r="I840" s="74"/>
      <x:c r="J840" s="74"/>
      <x:c r="K840" s="74"/>
      <x:c r="L840" s="74"/>
      <x:c r="M840" s="91"/>
      <x:c r="N840" s="91"/>
      <x:c r="O840" s="85"/>
      <x:c r="P840" s="85"/>
      <x:c r="Q840" s="85"/>
      <x:c r="R840" s="85"/>
      <x:c r="T840" s="86"/>
      <x:c r="U840" s="86"/>
      <x:c r="V840" s="32"/>
    </x:row>
    <x:row r="841">
      <x:c r="A841" s="87"/>
      <x:c r="B841" s="88"/>
      <x:c r="D841" s="32"/>
      <x:c r="G841" s="74"/>
      <x:c r="H841" s="74"/>
      <x:c r="I841" s="74"/>
      <x:c r="J841" s="74"/>
      <x:c r="K841" s="74"/>
      <x:c r="L841" s="74"/>
      <x:c r="M841" s="91"/>
      <x:c r="N841" s="91"/>
      <x:c r="O841" s="85"/>
      <x:c r="P841" s="85"/>
      <x:c r="Q841" s="85"/>
      <x:c r="R841" s="85"/>
      <x:c r="T841" s="86"/>
      <x:c r="U841" s="86"/>
      <x:c r="V841" s="32"/>
    </x:row>
    <x:row r="842">
      <x:c r="A842" s="87"/>
      <x:c r="B842" s="88"/>
      <x:c r="D842" s="32"/>
      <x:c r="G842" s="74"/>
      <x:c r="H842" s="74"/>
      <x:c r="I842" s="74"/>
      <x:c r="J842" s="74"/>
      <x:c r="K842" s="74"/>
      <x:c r="L842" s="74"/>
      <x:c r="M842" s="91"/>
      <x:c r="N842" s="91"/>
      <x:c r="O842" s="85"/>
      <x:c r="P842" s="85"/>
      <x:c r="Q842" s="85"/>
      <x:c r="R842" s="85"/>
      <x:c r="T842" s="86"/>
      <x:c r="U842" s="86"/>
      <x:c r="V842" s="32"/>
    </x:row>
    <x:row r="843">
      <x:c r="A843" s="87"/>
      <x:c r="B843" s="88"/>
      <x:c r="D843" s="32"/>
      <x:c r="G843" s="74"/>
      <x:c r="H843" s="74"/>
      <x:c r="I843" s="74"/>
      <x:c r="J843" s="74"/>
      <x:c r="K843" s="74"/>
      <x:c r="L843" s="74"/>
      <x:c r="M843" s="91"/>
      <x:c r="N843" s="91"/>
      <x:c r="O843" s="85"/>
      <x:c r="P843" s="85"/>
      <x:c r="Q843" s="85"/>
      <x:c r="R843" s="85"/>
      <x:c r="T843" s="86"/>
      <x:c r="U843" s="86"/>
      <x:c r="V843" s="32"/>
    </x:row>
    <x:row r="844">
      <x:c r="A844" s="87"/>
      <x:c r="B844" s="88"/>
      <x:c r="D844" s="32"/>
      <x:c r="G844" s="74"/>
      <x:c r="H844" s="74"/>
      <x:c r="I844" s="74"/>
      <x:c r="J844" s="74"/>
      <x:c r="K844" s="74"/>
      <x:c r="L844" s="74"/>
      <x:c r="M844" s="91"/>
      <x:c r="N844" s="91"/>
      <x:c r="O844" s="85"/>
      <x:c r="P844" s="85"/>
      <x:c r="Q844" s="85"/>
      <x:c r="R844" s="85"/>
      <x:c r="T844" s="86"/>
      <x:c r="U844" s="86"/>
      <x:c r="V844" s="32"/>
    </x:row>
    <x:row r="845">
      <x:c r="A845" s="87"/>
      <x:c r="B845" s="88"/>
      <x:c r="D845" s="32"/>
      <x:c r="G845" s="74"/>
      <x:c r="H845" s="74"/>
      <x:c r="I845" s="74"/>
      <x:c r="J845" s="74"/>
      <x:c r="K845" s="74"/>
      <x:c r="L845" s="74"/>
      <x:c r="M845" s="91"/>
      <x:c r="N845" s="91"/>
      <x:c r="O845" s="85"/>
      <x:c r="P845" s="85"/>
      <x:c r="Q845" s="85"/>
      <x:c r="R845" s="85"/>
      <x:c r="T845" s="86"/>
      <x:c r="U845" s="86"/>
      <x:c r="V845" s="32"/>
    </x:row>
    <x:row r="846">
      <x:c r="A846" s="87"/>
      <x:c r="B846" s="88"/>
      <x:c r="D846" s="32"/>
      <x:c r="G846" s="74"/>
      <x:c r="H846" s="74"/>
      <x:c r="I846" s="74"/>
      <x:c r="J846" s="74"/>
      <x:c r="K846" s="74"/>
      <x:c r="L846" s="74"/>
      <x:c r="M846" s="91"/>
      <x:c r="N846" s="91"/>
      <x:c r="O846" s="85"/>
      <x:c r="P846" s="85"/>
      <x:c r="Q846" s="85"/>
      <x:c r="R846" s="85"/>
      <x:c r="T846" s="86"/>
      <x:c r="U846" s="86"/>
      <x:c r="V846" s="32"/>
    </x:row>
    <x:row r="847">
      <x:c r="A847" s="87"/>
      <x:c r="B847" s="88"/>
      <x:c r="D847" s="32"/>
      <x:c r="G847" s="74"/>
      <x:c r="H847" s="74"/>
      <x:c r="I847" s="74"/>
      <x:c r="J847" s="74"/>
      <x:c r="K847" s="74"/>
      <x:c r="L847" s="74"/>
      <x:c r="M847" s="91"/>
      <x:c r="N847" s="91"/>
      <x:c r="O847" s="85"/>
      <x:c r="P847" s="85"/>
      <x:c r="Q847" s="85"/>
      <x:c r="R847" s="85"/>
      <x:c r="T847" s="86"/>
      <x:c r="U847" s="86"/>
      <x:c r="V847" s="32"/>
    </x:row>
    <x:row r="848">
      <x:c r="A848" s="87"/>
      <x:c r="B848" s="88"/>
      <x:c r="D848" s="32"/>
      <x:c r="G848" s="74"/>
      <x:c r="H848" s="74"/>
      <x:c r="I848" s="74"/>
      <x:c r="J848" s="74"/>
      <x:c r="K848" s="74"/>
      <x:c r="L848" s="74"/>
      <x:c r="M848" s="91"/>
      <x:c r="N848" s="91"/>
      <x:c r="O848" s="85"/>
      <x:c r="P848" s="85"/>
      <x:c r="Q848" s="85"/>
      <x:c r="R848" s="85"/>
      <x:c r="T848" s="86"/>
      <x:c r="U848" s="86"/>
      <x:c r="V848" s="32"/>
    </x:row>
    <x:row r="849">
      <x:c r="A849" s="87"/>
      <x:c r="B849" s="88"/>
      <x:c r="D849" s="32"/>
      <x:c r="G849" s="74"/>
      <x:c r="H849" s="74"/>
      <x:c r="I849" s="74"/>
      <x:c r="J849" s="74"/>
      <x:c r="K849" s="74"/>
      <x:c r="L849" s="74"/>
      <x:c r="M849" s="91"/>
      <x:c r="N849" s="91"/>
      <x:c r="O849" s="85"/>
      <x:c r="P849" s="85"/>
      <x:c r="Q849" s="85"/>
      <x:c r="R849" s="85"/>
      <x:c r="T849" s="86"/>
      <x:c r="U849" s="86"/>
      <x:c r="V849" s="32"/>
    </x:row>
    <x:row r="850">
      <x:c r="A850" s="87"/>
      <x:c r="B850" s="88"/>
      <x:c r="D850" s="32"/>
      <x:c r="G850" s="74"/>
      <x:c r="H850" s="74"/>
      <x:c r="I850" s="74"/>
      <x:c r="J850" s="74"/>
      <x:c r="K850" s="74"/>
      <x:c r="L850" s="74"/>
      <x:c r="M850" s="91"/>
      <x:c r="N850" s="91"/>
      <x:c r="O850" s="85"/>
      <x:c r="P850" s="85"/>
      <x:c r="Q850" s="85"/>
      <x:c r="R850" s="85"/>
      <x:c r="T850" s="86"/>
      <x:c r="U850" s="86"/>
      <x:c r="V850" s="32"/>
    </x:row>
    <x:row r="851">
      <x:c r="A851" s="87"/>
      <x:c r="B851" s="88"/>
      <x:c r="D851" s="32"/>
      <x:c r="G851" s="74"/>
      <x:c r="H851" s="74"/>
      <x:c r="I851" s="74"/>
      <x:c r="J851" s="74"/>
      <x:c r="K851" s="74"/>
      <x:c r="L851" s="74"/>
      <x:c r="M851" s="91"/>
      <x:c r="N851" s="91"/>
      <x:c r="O851" s="85"/>
      <x:c r="P851" s="85"/>
      <x:c r="Q851" s="85"/>
      <x:c r="R851" s="85"/>
      <x:c r="T851" s="86"/>
      <x:c r="U851" s="86"/>
      <x:c r="V851" s="32"/>
    </x:row>
    <x:row r="852">
      <x:c r="A852" s="87"/>
      <x:c r="B852" s="88"/>
      <x:c r="D852" s="32"/>
      <x:c r="G852" s="74"/>
      <x:c r="H852" s="74"/>
      <x:c r="I852" s="74"/>
      <x:c r="J852" s="74"/>
      <x:c r="K852" s="74"/>
      <x:c r="L852" s="74"/>
      <x:c r="M852" s="91"/>
      <x:c r="N852" s="91"/>
      <x:c r="O852" s="85"/>
      <x:c r="P852" s="85"/>
      <x:c r="Q852" s="85"/>
      <x:c r="R852" s="85"/>
      <x:c r="T852" s="86"/>
      <x:c r="U852" s="86"/>
      <x:c r="V852" s="32"/>
    </x:row>
    <x:row r="853">
      <x:c r="A853" s="87"/>
      <x:c r="B853" s="88"/>
      <x:c r="D853" s="32"/>
      <x:c r="G853" s="74"/>
      <x:c r="H853" s="74"/>
      <x:c r="I853" s="74"/>
      <x:c r="J853" s="74"/>
      <x:c r="K853" s="74"/>
      <x:c r="L853" s="74"/>
      <x:c r="M853" s="91"/>
      <x:c r="N853" s="91"/>
      <x:c r="O853" s="85"/>
      <x:c r="P853" s="85"/>
      <x:c r="Q853" s="85"/>
      <x:c r="R853" s="85"/>
      <x:c r="T853" s="86"/>
      <x:c r="U853" s="86"/>
      <x:c r="V853" s="32"/>
    </x:row>
    <x:row r="854">
      <x:c r="A854" s="87"/>
      <x:c r="B854" s="88"/>
      <x:c r="D854" s="32"/>
      <x:c r="G854" s="74"/>
      <x:c r="H854" s="74"/>
      <x:c r="I854" s="74"/>
      <x:c r="J854" s="74"/>
      <x:c r="K854" s="74"/>
      <x:c r="L854" s="74"/>
      <x:c r="M854" s="91"/>
      <x:c r="N854" s="91"/>
      <x:c r="O854" s="85"/>
      <x:c r="P854" s="85"/>
      <x:c r="Q854" s="85"/>
      <x:c r="R854" s="85"/>
      <x:c r="T854" s="86"/>
      <x:c r="U854" s="86"/>
      <x:c r="V854" s="32"/>
    </x:row>
    <x:row r="855">
      <x:c r="A855" s="87"/>
      <x:c r="B855" s="88"/>
      <x:c r="D855" s="32"/>
      <x:c r="G855" s="74"/>
      <x:c r="H855" s="74"/>
      <x:c r="I855" s="74"/>
      <x:c r="J855" s="74"/>
      <x:c r="K855" s="74"/>
      <x:c r="L855" s="74"/>
      <x:c r="M855" s="91"/>
      <x:c r="N855" s="91"/>
      <x:c r="O855" s="85"/>
      <x:c r="P855" s="85"/>
      <x:c r="Q855" s="85"/>
      <x:c r="R855" s="85"/>
      <x:c r="T855" s="86"/>
      <x:c r="U855" s="86"/>
      <x:c r="V855" s="32"/>
    </x:row>
    <x:row r="856">
      <x:c r="A856" s="87"/>
      <x:c r="B856" s="88"/>
      <x:c r="D856" s="32"/>
      <x:c r="G856" s="74"/>
      <x:c r="H856" s="74"/>
      <x:c r="I856" s="74"/>
      <x:c r="J856" s="74"/>
      <x:c r="K856" s="74"/>
      <x:c r="L856" s="74"/>
      <x:c r="M856" s="91"/>
      <x:c r="N856" s="91"/>
      <x:c r="O856" s="85"/>
      <x:c r="P856" s="85"/>
      <x:c r="Q856" s="85"/>
      <x:c r="R856" s="85"/>
      <x:c r="T856" s="86"/>
      <x:c r="U856" s="86"/>
      <x:c r="V856" s="32"/>
    </x:row>
    <x:row r="857">
      <x:c r="A857" s="87"/>
      <x:c r="B857" s="88"/>
      <x:c r="D857" s="32"/>
      <x:c r="G857" s="74"/>
      <x:c r="H857" s="74"/>
      <x:c r="I857" s="74"/>
      <x:c r="J857" s="74"/>
      <x:c r="K857" s="74"/>
      <x:c r="L857" s="74"/>
      <x:c r="M857" s="91"/>
      <x:c r="N857" s="91"/>
      <x:c r="O857" s="85"/>
      <x:c r="P857" s="85"/>
      <x:c r="Q857" s="85"/>
      <x:c r="R857" s="85"/>
      <x:c r="T857" s="86"/>
      <x:c r="U857" s="86"/>
      <x:c r="V857" s="32"/>
    </x:row>
    <x:row r="858">
      <x:c r="A858" s="87"/>
      <x:c r="B858" s="88"/>
      <x:c r="D858" s="32"/>
      <x:c r="G858" s="74"/>
      <x:c r="H858" s="74"/>
      <x:c r="I858" s="74"/>
      <x:c r="J858" s="74"/>
      <x:c r="K858" s="74"/>
      <x:c r="L858" s="74"/>
      <x:c r="M858" s="91"/>
      <x:c r="N858" s="91"/>
      <x:c r="O858" s="85"/>
      <x:c r="P858" s="85"/>
      <x:c r="Q858" s="85"/>
      <x:c r="R858" s="85"/>
      <x:c r="T858" s="86"/>
      <x:c r="U858" s="86"/>
      <x:c r="V858" s="32"/>
    </x:row>
    <x:row r="859">
      <x:c r="A859" s="87"/>
      <x:c r="B859" s="88"/>
      <x:c r="D859" s="32"/>
      <x:c r="G859" s="74"/>
      <x:c r="H859" s="74"/>
      <x:c r="I859" s="74"/>
      <x:c r="J859" s="74"/>
      <x:c r="K859" s="74"/>
      <x:c r="L859" s="74"/>
      <x:c r="M859" s="91"/>
      <x:c r="N859" s="91"/>
      <x:c r="O859" s="85"/>
      <x:c r="P859" s="85"/>
      <x:c r="Q859" s="85"/>
      <x:c r="R859" s="85"/>
      <x:c r="T859" s="86"/>
      <x:c r="U859" s="86"/>
      <x:c r="V859" s="32"/>
    </x:row>
    <x:row r="860">
      <x:c r="A860" s="87"/>
      <x:c r="B860" s="88"/>
      <x:c r="D860" s="32"/>
      <x:c r="G860" s="74"/>
      <x:c r="H860" s="74"/>
      <x:c r="I860" s="74"/>
      <x:c r="J860" s="74"/>
      <x:c r="K860" s="74"/>
      <x:c r="L860" s="74"/>
      <x:c r="M860" s="91"/>
      <x:c r="N860" s="91"/>
      <x:c r="O860" s="85"/>
      <x:c r="P860" s="85"/>
      <x:c r="Q860" s="85"/>
      <x:c r="R860" s="85"/>
      <x:c r="T860" s="86"/>
      <x:c r="U860" s="86"/>
      <x:c r="V860" s="32"/>
    </x:row>
    <x:row r="861">
      <x:c r="A861" s="87"/>
      <x:c r="B861" s="88"/>
      <x:c r="D861" s="32"/>
      <x:c r="G861" s="74"/>
      <x:c r="H861" s="74"/>
      <x:c r="I861" s="74"/>
      <x:c r="J861" s="74"/>
      <x:c r="K861" s="74"/>
      <x:c r="L861" s="74"/>
      <x:c r="M861" s="91"/>
      <x:c r="N861" s="91"/>
      <x:c r="O861" s="85"/>
      <x:c r="P861" s="85"/>
      <x:c r="Q861" s="85"/>
      <x:c r="R861" s="85"/>
      <x:c r="T861" s="86"/>
      <x:c r="U861" s="86"/>
      <x:c r="V861" s="32"/>
    </x:row>
    <x:row r="862">
      <x:c r="A862" s="87"/>
      <x:c r="B862" s="88"/>
      <x:c r="D862" s="32"/>
      <x:c r="G862" s="74"/>
      <x:c r="H862" s="74"/>
      <x:c r="I862" s="74"/>
      <x:c r="J862" s="74"/>
      <x:c r="K862" s="74"/>
      <x:c r="L862" s="74"/>
      <x:c r="M862" s="91"/>
      <x:c r="N862" s="91"/>
      <x:c r="O862" s="85"/>
      <x:c r="P862" s="85"/>
      <x:c r="Q862" s="85"/>
      <x:c r="R862" s="85"/>
      <x:c r="T862" s="86"/>
      <x:c r="U862" s="86"/>
      <x:c r="V862" s="32"/>
    </x:row>
    <x:row r="863">
      <x:c r="A863" s="87"/>
      <x:c r="B863" s="88"/>
      <x:c r="D863" s="32"/>
      <x:c r="G863" s="74"/>
      <x:c r="H863" s="74"/>
      <x:c r="I863" s="74"/>
      <x:c r="J863" s="74"/>
      <x:c r="K863" s="74"/>
      <x:c r="L863" s="74"/>
      <x:c r="M863" s="91"/>
      <x:c r="N863" s="91"/>
      <x:c r="O863" s="85"/>
      <x:c r="P863" s="85"/>
      <x:c r="Q863" s="85"/>
      <x:c r="R863" s="85"/>
      <x:c r="T863" s="86"/>
      <x:c r="U863" s="86"/>
      <x:c r="V863" s="32"/>
    </x:row>
    <x:row r="864">
      <x:c r="A864" s="87"/>
      <x:c r="B864" s="88"/>
      <x:c r="D864" s="32"/>
      <x:c r="G864" s="74"/>
      <x:c r="H864" s="74"/>
      <x:c r="I864" s="74"/>
      <x:c r="J864" s="74"/>
      <x:c r="K864" s="74"/>
      <x:c r="L864" s="74"/>
      <x:c r="M864" s="91"/>
      <x:c r="N864" s="91"/>
      <x:c r="O864" s="85"/>
      <x:c r="P864" s="85"/>
      <x:c r="Q864" s="85"/>
      <x:c r="R864" s="85"/>
      <x:c r="T864" s="86"/>
      <x:c r="U864" s="86"/>
      <x:c r="V864" s="32"/>
    </x:row>
    <x:row r="865">
      <x:c r="A865" s="87"/>
      <x:c r="B865" s="88"/>
      <x:c r="D865" s="32"/>
      <x:c r="G865" s="74"/>
      <x:c r="H865" s="74"/>
      <x:c r="I865" s="74"/>
      <x:c r="J865" s="74"/>
      <x:c r="K865" s="74"/>
      <x:c r="L865" s="74"/>
      <x:c r="M865" s="91"/>
      <x:c r="N865" s="91"/>
      <x:c r="O865" s="85"/>
      <x:c r="P865" s="85"/>
      <x:c r="Q865" s="85"/>
      <x:c r="R865" s="85"/>
      <x:c r="T865" s="86"/>
      <x:c r="U865" s="86"/>
      <x:c r="V865" s="32"/>
    </x:row>
    <x:row r="866">
      <x:c r="A866" s="87"/>
      <x:c r="B866" s="88"/>
      <x:c r="D866" s="32"/>
      <x:c r="G866" s="74"/>
      <x:c r="H866" s="74"/>
      <x:c r="I866" s="74"/>
      <x:c r="J866" s="74"/>
      <x:c r="K866" s="74"/>
      <x:c r="L866" s="74"/>
      <x:c r="M866" s="91"/>
      <x:c r="N866" s="91"/>
      <x:c r="O866" s="85"/>
      <x:c r="P866" s="85"/>
      <x:c r="Q866" s="85"/>
      <x:c r="R866" s="85"/>
      <x:c r="T866" s="86"/>
      <x:c r="U866" s="86"/>
      <x:c r="V866" s="32"/>
    </x:row>
    <x:row r="867">
      <x:c r="A867" s="87"/>
      <x:c r="B867" s="88"/>
      <x:c r="D867" s="32"/>
      <x:c r="G867" s="74"/>
      <x:c r="H867" s="74"/>
      <x:c r="I867" s="74"/>
      <x:c r="J867" s="74"/>
      <x:c r="K867" s="74"/>
      <x:c r="L867" s="74"/>
      <x:c r="M867" s="91"/>
      <x:c r="N867" s="91"/>
      <x:c r="O867" s="85"/>
      <x:c r="P867" s="85"/>
      <x:c r="Q867" s="85"/>
      <x:c r="R867" s="85"/>
      <x:c r="T867" s="86"/>
      <x:c r="U867" s="86"/>
      <x:c r="V867" s="32"/>
    </x:row>
    <x:row r="868">
      <x:c r="A868" s="87"/>
      <x:c r="B868" s="88"/>
      <x:c r="D868" s="32"/>
      <x:c r="G868" s="74"/>
      <x:c r="H868" s="74"/>
      <x:c r="I868" s="74"/>
      <x:c r="J868" s="74"/>
      <x:c r="K868" s="74"/>
      <x:c r="L868" s="74"/>
      <x:c r="M868" s="91"/>
      <x:c r="N868" s="91"/>
      <x:c r="O868" s="85"/>
      <x:c r="P868" s="85"/>
      <x:c r="Q868" s="85"/>
      <x:c r="R868" s="85"/>
      <x:c r="T868" s="86"/>
      <x:c r="U868" s="86"/>
      <x:c r="V868" s="32"/>
    </x:row>
    <x:row r="869">
      <x:c r="A869" s="87"/>
      <x:c r="B869" s="88"/>
      <x:c r="D869" s="32"/>
      <x:c r="G869" s="74"/>
      <x:c r="H869" s="74"/>
      <x:c r="I869" s="74"/>
      <x:c r="J869" s="74"/>
      <x:c r="K869" s="74"/>
      <x:c r="L869" s="74"/>
      <x:c r="M869" s="91"/>
      <x:c r="N869" s="91"/>
      <x:c r="O869" s="85"/>
      <x:c r="P869" s="85"/>
      <x:c r="Q869" s="85"/>
      <x:c r="R869" s="85"/>
      <x:c r="T869" s="86"/>
      <x:c r="U869" s="86"/>
      <x:c r="V869" s="32"/>
    </x:row>
    <x:row r="870">
      <x:c r="A870" s="87"/>
      <x:c r="B870" s="88"/>
      <x:c r="D870" s="32"/>
      <x:c r="G870" s="74"/>
      <x:c r="H870" s="74"/>
      <x:c r="I870" s="74"/>
      <x:c r="J870" s="74"/>
      <x:c r="K870" s="74"/>
      <x:c r="L870" s="74"/>
      <x:c r="M870" s="91"/>
      <x:c r="N870" s="91"/>
      <x:c r="O870" s="85"/>
      <x:c r="P870" s="85"/>
      <x:c r="Q870" s="85"/>
      <x:c r="R870" s="85"/>
      <x:c r="T870" s="86"/>
      <x:c r="U870" s="86"/>
      <x:c r="V870" s="32"/>
    </x:row>
    <x:row r="871">
      <x:c r="A871" s="87"/>
      <x:c r="B871" s="88"/>
      <x:c r="D871" s="32"/>
      <x:c r="G871" s="74"/>
      <x:c r="H871" s="74"/>
      <x:c r="I871" s="74"/>
      <x:c r="J871" s="74"/>
      <x:c r="K871" s="74"/>
      <x:c r="L871" s="74"/>
      <x:c r="M871" s="91"/>
      <x:c r="N871" s="91"/>
      <x:c r="O871" s="85"/>
      <x:c r="P871" s="85"/>
      <x:c r="Q871" s="85"/>
      <x:c r="R871" s="85"/>
      <x:c r="T871" s="86"/>
      <x:c r="U871" s="86"/>
      <x:c r="V871" s="32"/>
    </x:row>
    <x:row r="872">
      <x:c r="A872" s="87"/>
      <x:c r="B872" s="88"/>
      <x:c r="D872" s="32"/>
      <x:c r="G872" s="74"/>
      <x:c r="H872" s="74"/>
      <x:c r="I872" s="74"/>
      <x:c r="J872" s="74"/>
      <x:c r="K872" s="74"/>
      <x:c r="L872" s="74"/>
      <x:c r="M872" s="91"/>
      <x:c r="N872" s="91"/>
      <x:c r="O872" s="85"/>
      <x:c r="P872" s="85"/>
      <x:c r="Q872" s="85"/>
      <x:c r="R872" s="85"/>
      <x:c r="T872" s="86"/>
      <x:c r="U872" s="86"/>
      <x:c r="V872" s="32"/>
    </x:row>
    <x:row r="873">
      <x:c r="A873" s="87"/>
      <x:c r="B873" s="88"/>
      <x:c r="D873" s="32"/>
      <x:c r="G873" s="74"/>
      <x:c r="H873" s="74"/>
      <x:c r="I873" s="74"/>
      <x:c r="J873" s="74"/>
      <x:c r="K873" s="74"/>
      <x:c r="L873" s="74"/>
      <x:c r="M873" s="91"/>
      <x:c r="N873" s="91"/>
      <x:c r="O873" s="85"/>
      <x:c r="P873" s="85"/>
      <x:c r="Q873" s="85"/>
      <x:c r="R873" s="85"/>
      <x:c r="T873" s="86"/>
      <x:c r="U873" s="86"/>
      <x:c r="V873" s="32"/>
    </x:row>
    <x:row r="874">
      <x:c r="A874" s="87"/>
      <x:c r="B874" s="88"/>
      <x:c r="D874" s="32"/>
      <x:c r="G874" s="74"/>
      <x:c r="H874" s="74"/>
      <x:c r="I874" s="74"/>
      <x:c r="J874" s="74"/>
      <x:c r="K874" s="74"/>
      <x:c r="L874" s="74"/>
      <x:c r="M874" s="91"/>
      <x:c r="N874" s="91"/>
      <x:c r="O874" s="85"/>
      <x:c r="P874" s="85"/>
      <x:c r="Q874" s="85"/>
      <x:c r="R874" s="85"/>
      <x:c r="T874" s="86"/>
      <x:c r="U874" s="86"/>
      <x:c r="V874" s="32"/>
    </x:row>
    <x:row r="875">
      <x:c r="A875" s="87"/>
      <x:c r="B875" s="88"/>
      <x:c r="D875" s="32"/>
      <x:c r="G875" s="74"/>
      <x:c r="H875" s="74"/>
      <x:c r="I875" s="74"/>
      <x:c r="J875" s="74"/>
      <x:c r="K875" s="74"/>
      <x:c r="L875" s="74"/>
      <x:c r="M875" s="91"/>
      <x:c r="N875" s="91"/>
      <x:c r="O875" s="85"/>
      <x:c r="P875" s="85"/>
      <x:c r="Q875" s="85"/>
      <x:c r="R875" s="85"/>
      <x:c r="T875" s="86"/>
      <x:c r="U875" s="86"/>
      <x:c r="V875" s="32"/>
    </x:row>
    <x:row r="876">
      <x:c r="A876" s="87"/>
      <x:c r="B876" s="88"/>
      <x:c r="D876" s="32"/>
      <x:c r="G876" s="74"/>
      <x:c r="H876" s="74"/>
      <x:c r="I876" s="74"/>
      <x:c r="J876" s="74"/>
      <x:c r="K876" s="74"/>
      <x:c r="L876" s="74"/>
      <x:c r="M876" s="91"/>
      <x:c r="N876" s="91"/>
      <x:c r="O876" s="85"/>
      <x:c r="P876" s="85"/>
      <x:c r="Q876" s="85"/>
      <x:c r="R876" s="85"/>
      <x:c r="T876" s="86"/>
      <x:c r="U876" s="86"/>
      <x:c r="V876" s="32"/>
    </x:row>
    <x:row r="877">
      <x:c r="A877" s="87"/>
      <x:c r="B877" s="88"/>
      <x:c r="D877" s="32"/>
      <x:c r="G877" s="74"/>
      <x:c r="H877" s="74"/>
      <x:c r="I877" s="74"/>
      <x:c r="J877" s="74"/>
      <x:c r="K877" s="74"/>
      <x:c r="L877" s="74"/>
      <x:c r="M877" s="91"/>
      <x:c r="N877" s="91"/>
      <x:c r="O877" s="85"/>
      <x:c r="P877" s="85"/>
      <x:c r="Q877" s="85"/>
      <x:c r="R877" s="85"/>
      <x:c r="T877" s="86"/>
      <x:c r="U877" s="86"/>
      <x:c r="V877" s="32"/>
    </x:row>
    <x:row r="878">
      <x:c r="A878" s="87"/>
      <x:c r="B878" s="88"/>
      <x:c r="D878" s="32"/>
      <x:c r="G878" s="74"/>
      <x:c r="H878" s="74"/>
      <x:c r="I878" s="74"/>
      <x:c r="J878" s="74"/>
      <x:c r="K878" s="74"/>
      <x:c r="L878" s="74"/>
      <x:c r="M878" s="91"/>
      <x:c r="N878" s="91"/>
      <x:c r="O878" s="85"/>
      <x:c r="P878" s="85"/>
      <x:c r="Q878" s="85"/>
      <x:c r="R878" s="85"/>
      <x:c r="T878" s="86"/>
      <x:c r="U878" s="86"/>
      <x:c r="V878" s="32"/>
    </x:row>
    <x:row r="879">
      <x:c r="A879" s="87"/>
      <x:c r="B879" s="88"/>
      <x:c r="D879" s="32"/>
      <x:c r="G879" s="74"/>
      <x:c r="H879" s="74"/>
      <x:c r="I879" s="74"/>
      <x:c r="J879" s="74"/>
      <x:c r="K879" s="74"/>
      <x:c r="L879" s="74"/>
      <x:c r="M879" s="91"/>
      <x:c r="N879" s="91"/>
      <x:c r="O879" s="85"/>
      <x:c r="P879" s="85"/>
      <x:c r="Q879" s="85"/>
      <x:c r="R879" s="85"/>
      <x:c r="T879" s="86"/>
      <x:c r="U879" s="86"/>
      <x:c r="V879" s="32"/>
    </x:row>
    <x:row r="880">
      <x:c r="A880" s="87"/>
      <x:c r="B880" s="88"/>
      <x:c r="D880" s="32"/>
      <x:c r="G880" s="74"/>
      <x:c r="H880" s="74"/>
      <x:c r="I880" s="74"/>
      <x:c r="J880" s="74"/>
      <x:c r="K880" s="74"/>
      <x:c r="L880" s="74"/>
      <x:c r="M880" s="91"/>
      <x:c r="N880" s="91"/>
      <x:c r="O880" s="85"/>
      <x:c r="P880" s="85"/>
      <x:c r="Q880" s="85"/>
      <x:c r="R880" s="85"/>
      <x:c r="T880" s="86"/>
      <x:c r="U880" s="86"/>
      <x:c r="V880" s="32"/>
    </x:row>
    <x:row r="881">
      <x:c r="A881" s="87"/>
      <x:c r="B881" s="88"/>
      <x:c r="D881" s="32"/>
      <x:c r="G881" s="74"/>
      <x:c r="H881" s="74"/>
      <x:c r="I881" s="74"/>
      <x:c r="J881" s="74"/>
      <x:c r="K881" s="74"/>
      <x:c r="L881" s="74"/>
      <x:c r="M881" s="91"/>
      <x:c r="N881" s="91"/>
      <x:c r="O881" s="85"/>
      <x:c r="P881" s="85"/>
      <x:c r="Q881" s="85"/>
      <x:c r="R881" s="85"/>
      <x:c r="T881" s="86"/>
      <x:c r="U881" s="86"/>
      <x:c r="V881" s="32"/>
    </x:row>
    <x:row r="882">
      <x:c r="A882" s="87"/>
      <x:c r="B882" s="88"/>
      <x:c r="D882" s="32"/>
      <x:c r="G882" s="74"/>
      <x:c r="H882" s="74"/>
      <x:c r="I882" s="74"/>
      <x:c r="J882" s="74"/>
      <x:c r="K882" s="74"/>
      <x:c r="L882" s="74"/>
      <x:c r="M882" s="91"/>
      <x:c r="N882" s="91"/>
      <x:c r="O882" s="85"/>
      <x:c r="P882" s="85"/>
      <x:c r="Q882" s="85"/>
      <x:c r="R882" s="85"/>
      <x:c r="T882" s="86"/>
      <x:c r="U882" s="86"/>
      <x:c r="V882" s="32"/>
    </x:row>
    <x:row r="883">
      <x:c r="A883" s="87"/>
      <x:c r="B883" s="88"/>
      <x:c r="D883" s="32"/>
      <x:c r="G883" s="74"/>
      <x:c r="H883" s="74"/>
      <x:c r="I883" s="74"/>
      <x:c r="J883" s="74"/>
      <x:c r="K883" s="74"/>
      <x:c r="L883" s="74"/>
      <x:c r="M883" s="91"/>
      <x:c r="N883" s="91"/>
      <x:c r="O883" s="85"/>
      <x:c r="P883" s="85"/>
      <x:c r="Q883" s="85"/>
      <x:c r="R883" s="85"/>
      <x:c r="T883" s="86"/>
      <x:c r="U883" s="86"/>
      <x:c r="V883" s="32"/>
    </x:row>
    <x:row r="884">
      <x:c r="A884" s="87"/>
      <x:c r="B884" s="88"/>
      <x:c r="D884" s="32"/>
      <x:c r="G884" s="74"/>
      <x:c r="H884" s="74"/>
      <x:c r="I884" s="74"/>
      <x:c r="J884" s="74"/>
      <x:c r="K884" s="74"/>
      <x:c r="L884" s="74"/>
      <x:c r="M884" s="91"/>
      <x:c r="N884" s="91"/>
      <x:c r="O884" s="85"/>
      <x:c r="P884" s="85"/>
      <x:c r="Q884" s="85"/>
      <x:c r="R884" s="85"/>
      <x:c r="T884" s="86"/>
      <x:c r="U884" s="86"/>
      <x:c r="V884" s="32"/>
    </x:row>
    <x:row r="885">
      <x:c r="A885" s="87"/>
      <x:c r="B885" s="88"/>
      <x:c r="D885" s="32"/>
      <x:c r="G885" s="74"/>
      <x:c r="H885" s="74"/>
      <x:c r="I885" s="74"/>
      <x:c r="J885" s="74"/>
      <x:c r="K885" s="74"/>
      <x:c r="L885" s="74"/>
      <x:c r="M885" s="91"/>
      <x:c r="N885" s="91"/>
      <x:c r="O885" s="85"/>
      <x:c r="P885" s="85"/>
      <x:c r="Q885" s="85"/>
      <x:c r="R885" s="85"/>
      <x:c r="T885" s="86"/>
      <x:c r="U885" s="86"/>
      <x:c r="V885" s="32"/>
    </x:row>
    <x:row r="886">
      <x:c r="A886" s="87"/>
      <x:c r="B886" s="88"/>
      <x:c r="D886" s="32"/>
      <x:c r="G886" s="74"/>
      <x:c r="H886" s="74"/>
      <x:c r="I886" s="74"/>
      <x:c r="J886" s="74"/>
      <x:c r="K886" s="74"/>
      <x:c r="L886" s="74"/>
      <x:c r="M886" s="91"/>
      <x:c r="N886" s="91"/>
      <x:c r="O886" s="85"/>
      <x:c r="P886" s="85"/>
      <x:c r="Q886" s="85"/>
      <x:c r="R886" s="85"/>
      <x:c r="T886" s="86"/>
      <x:c r="U886" s="86"/>
      <x:c r="V886" s="32"/>
    </x:row>
    <x:row r="887">
      <x:c r="A887" s="87"/>
      <x:c r="B887" s="88"/>
      <x:c r="D887" s="32"/>
      <x:c r="G887" s="74"/>
      <x:c r="H887" s="74"/>
      <x:c r="I887" s="74"/>
      <x:c r="J887" s="74"/>
      <x:c r="K887" s="74"/>
      <x:c r="L887" s="74"/>
      <x:c r="M887" s="91"/>
      <x:c r="N887" s="91"/>
      <x:c r="O887" s="85"/>
      <x:c r="P887" s="85"/>
      <x:c r="Q887" s="85"/>
      <x:c r="R887" s="85"/>
      <x:c r="T887" s="86"/>
      <x:c r="U887" s="86"/>
      <x:c r="V887" s="32"/>
    </x:row>
    <x:row r="888">
      <x:c r="A888" s="87"/>
      <x:c r="B888" s="88"/>
      <x:c r="D888" s="32"/>
      <x:c r="G888" s="74"/>
      <x:c r="H888" s="74"/>
      <x:c r="I888" s="74"/>
      <x:c r="J888" s="74"/>
      <x:c r="K888" s="74"/>
      <x:c r="L888" s="74"/>
      <x:c r="M888" s="91"/>
      <x:c r="N888" s="91"/>
      <x:c r="O888" s="85"/>
      <x:c r="P888" s="85"/>
      <x:c r="Q888" s="85"/>
      <x:c r="R888" s="85"/>
      <x:c r="T888" s="86"/>
      <x:c r="U888" s="86"/>
      <x:c r="V888" s="32"/>
    </x:row>
    <x:row r="889">
      <x:c r="A889" s="87"/>
      <x:c r="B889" s="88"/>
      <x:c r="D889" s="32"/>
      <x:c r="G889" s="74"/>
      <x:c r="H889" s="74"/>
      <x:c r="I889" s="74"/>
      <x:c r="J889" s="74"/>
      <x:c r="K889" s="74"/>
      <x:c r="L889" s="74"/>
      <x:c r="M889" s="91"/>
      <x:c r="N889" s="91"/>
      <x:c r="O889" s="85"/>
      <x:c r="P889" s="85"/>
      <x:c r="Q889" s="85"/>
      <x:c r="R889" s="85"/>
      <x:c r="T889" s="86"/>
      <x:c r="U889" s="86"/>
      <x:c r="V889" s="32"/>
    </x:row>
    <x:row r="890">
      <x:c r="A890" s="87"/>
      <x:c r="B890" s="88"/>
      <x:c r="D890" s="32"/>
      <x:c r="G890" s="74"/>
      <x:c r="H890" s="74"/>
      <x:c r="I890" s="74"/>
      <x:c r="J890" s="74"/>
      <x:c r="K890" s="74"/>
      <x:c r="L890" s="74"/>
      <x:c r="M890" s="91"/>
      <x:c r="N890" s="91"/>
      <x:c r="O890" s="85"/>
      <x:c r="P890" s="85"/>
      <x:c r="Q890" s="85"/>
      <x:c r="R890" s="85"/>
      <x:c r="T890" s="86"/>
      <x:c r="U890" s="86"/>
      <x:c r="V890" s="32"/>
    </x:row>
    <x:row r="891">
      <x:c r="A891" s="87"/>
      <x:c r="B891" s="88"/>
      <x:c r="D891" s="32"/>
      <x:c r="G891" s="74"/>
      <x:c r="H891" s="74"/>
      <x:c r="I891" s="74"/>
      <x:c r="J891" s="74"/>
      <x:c r="K891" s="74"/>
      <x:c r="L891" s="74"/>
      <x:c r="M891" s="91"/>
      <x:c r="N891" s="91"/>
      <x:c r="O891" s="85"/>
      <x:c r="P891" s="85"/>
      <x:c r="Q891" s="85"/>
      <x:c r="R891" s="85"/>
      <x:c r="T891" s="86"/>
      <x:c r="U891" s="86"/>
      <x:c r="V891" s="32"/>
    </x:row>
    <x:row r="892">
      <x:c r="A892" s="87"/>
      <x:c r="B892" s="88"/>
      <x:c r="D892" s="32"/>
      <x:c r="G892" s="74"/>
      <x:c r="H892" s="74"/>
      <x:c r="I892" s="74"/>
      <x:c r="J892" s="74"/>
      <x:c r="K892" s="74"/>
      <x:c r="L892" s="74"/>
      <x:c r="M892" s="91"/>
      <x:c r="N892" s="91"/>
      <x:c r="O892" s="85"/>
      <x:c r="P892" s="85"/>
      <x:c r="Q892" s="85"/>
      <x:c r="R892" s="85"/>
      <x:c r="T892" s="86"/>
      <x:c r="U892" s="86"/>
      <x:c r="V892" s="32"/>
    </x:row>
    <x:row r="893">
      <x:c r="A893" s="87"/>
      <x:c r="B893" s="88"/>
      <x:c r="D893" s="32"/>
      <x:c r="G893" s="74"/>
      <x:c r="H893" s="74"/>
      <x:c r="I893" s="74"/>
      <x:c r="J893" s="74"/>
      <x:c r="K893" s="74"/>
      <x:c r="L893" s="74"/>
      <x:c r="M893" s="91"/>
      <x:c r="N893" s="91"/>
      <x:c r="O893" s="85"/>
      <x:c r="P893" s="85"/>
      <x:c r="Q893" s="85"/>
      <x:c r="R893" s="85"/>
      <x:c r="T893" s="86"/>
      <x:c r="U893" s="86"/>
      <x:c r="V893" s="32"/>
    </x:row>
    <x:row r="894">
      <x:c r="A894" s="87"/>
      <x:c r="B894" s="88"/>
      <x:c r="D894" s="32"/>
      <x:c r="G894" s="74"/>
      <x:c r="H894" s="74"/>
      <x:c r="I894" s="74"/>
      <x:c r="J894" s="74"/>
      <x:c r="K894" s="74"/>
      <x:c r="L894" s="74"/>
      <x:c r="M894" s="91"/>
      <x:c r="N894" s="91"/>
      <x:c r="O894" s="85"/>
      <x:c r="P894" s="85"/>
      <x:c r="Q894" s="85"/>
      <x:c r="R894" s="85"/>
      <x:c r="T894" s="86"/>
      <x:c r="U894" s="86"/>
      <x:c r="V894" s="32"/>
    </x:row>
    <x:row r="895">
      <x:c r="A895" s="87"/>
      <x:c r="B895" s="88"/>
      <x:c r="D895" s="32"/>
      <x:c r="G895" s="74"/>
      <x:c r="H895" s="74"/>
      <x:c r="I895" s="74"/>
      <x:c r="J895" s="74"/>
      <x:c r="K895" s="74"/>
      <x:c r="L895" s="74"/>
      <x:c r="M895" s="91"/>
      <x:c r="N895" s="91"/>
      <x:c r="O895" s="85"/>
      <x:c r="P895" s="85"/>
      <x:c r="Q895" s="85"/>
      <x:c r="R895" s="85"/>
      <x:c r="T895" s="86"/>
      <x:c r="U895" s="86"/>
      <x:c r="V895" s="32"/>
    </x:row>
    <x:row r="896">
      <x:c r="A896" s="87"/>
      <x:c r="B896" s="88"/>
      <x:c r="D896" s="32"/>
      <x:c r="G896" s="74"/>
      <x:c r="H896" s="74"/>
      <x:c r="I896" s="74"/>
      <x:c r="J896" s="74"/>
      <x:c r="K896" s="74"/>
      <x:c r="L896" s="74"/>
      <x:c r="M896" s="91"/>
      <x:c r="N896" s="91"/>
      <x:c r="O896" s="85"/>
      <x:c r="P896" s="85"/>
      <x:c r="Q896" s="85"/>
      <x:c r="R896" s="85"/>
      <x:c r="T896" s="86"/>
      <x:c r="U896" s="86"/>
      <x:c r="V896" s="32"/>
    </x:row>
    <x:row r="897">
      <x:c r="A897" s="87"/>
      <x:c r="B897" s="88"/>
      <x:c r="D897" s="32"/>
      <x:c r="G897" s="74"/>
      <x:c r="H897" s="74"/>
      <x:c r="I897" s="74"/>
      <x:c r="J897" s="74"/>
      <x:c r="K897" s="74"/>
      <x:c r="L897" s="74"/>
      <x:c r="M897" s="91"/>
      <x:c r="N897" s="91"/>
      <x:c r="O897" s="85"/>
      <x:c r="P897" s="85"/>
      <x:c r="Q897" s="85"/>
      <x:c r="R897" s="85"/>
      <x:c r="T897" s="86"/>
      <x:c r="U897" s="86"/>
      <x:c r="V897" s="32"/>
    </x:row>
    <x:row r="898">
      <x:c r="A898" s="87"/>
      <x:c r="B898" s="88"/>
      <x:c r="D898" s="32"/>
      <x:c r="G898" s="74"/>
      <x:c r="H898" s="74"/>
      <x:c r="I898" s="74"/>
      <x:c r="J898" s="74"/>
      <x:c r="K898" s="74"/>
      <x:c r="L898" s="74"/>
      <x:c r="M898" s="91"/>
      <x:c r="N898" s="91"/>
      <x:c r="O898" s="85"/>
      <x:c r="P898" s="85"/>
      <x:c r="Q898" s="85"/>
      <x:c r="R898" s="85"/>
      <x:c r="T898" s="86"/>
      <x:c r="U898" s="86"/>
      <x:c r="V898" s="32"/>
    </x:row>
    <x:row r="899">
      <x:c r="A899" s="87"/>
      <x:c r="B899" s="88"/>
      <x:c r="D899" s="32"/>
      <x:c r="G899" s="74"/>
      <x:c r="H899" s="74"/>
      <x:c r="I899" s="74"/>
      <x:c r="J899" s="74"/>
      <x:c r="K899" s="74"/>
      <x:c r="L899" s="74"/>
      <x:c r="M899" s="91"/>
      <x:c r="N899" s="91"/>
      <x:c r="O899" s="85"/>
      <x:c r="P899" s="85"/>
      <x:c r="Q899" s="85"/>
      <x:c r="R899" s="85"/>
      <x:c r="T899" s="86"/>
      <x:c r="U899" s="86"/>
      <x:c r="V899" s="32"/>
    </x:row>
    <x:row r="900">
      <x:c r="A900" s="87"/>
      <x:c r="B900" s="88"/>
      <x:c r="D900" s="32"/>
      <x:c r="G900" s="74"/>
      <x:c r="H900" s="74"/>
      <x:c r="I900" s="74"/>
      <x:c r="J900" s="74"/>
      <x:c r="K900" s="74"/>
      <x:c r="L900" s="74"/>
      <x:c r="M900" s="91"/>
      <x:c r="N900" s="91"/>
      <x:c r="O900" s="85"/>
      <x:c r="P900" s="85"/>
      <x:c r="Q900" s="85"/>
      <x:c r="R900" s="85"/>
      <x:c r="T900" s="86"/>
      <x:c r="U900" s="86"/>
      <x:c r="V900" s="32"/>
    </x:row>
    <x:row r="901">
      <x:c r="A901" s="87"/>
      <x:c r="B901" s="88"/>
      <x:c r="D901" s="32"/>
      <x:c r="G901" s="74"/>
      <x:c r="H901" s="74"/>
      <x:c r="I901" s="74"/>
      <x:c r="J901" s="74"/>
      <x:c r="K901" s="74"/>
      <x:c r="L901" s="74"/>
      <x:c r="M901" s="91"/>
      <x:c r="N901" s="91"/>
      <x:c r="O901" s="85"/>
      <x:c r="P901" s="85"/>
      <x:c r="Q901" s="85"/>
      <x:c r="R901" s="85"/>
      <x:c r="T901" s="86"/>
      <x:c r="U901" s="86"/>
      <x:c r="V901" s="32"/>
    </x:row>
    <x:row r="902">
      <x:c r="A902" s="87"/>
      <x:c r="B902" s="88"/>
      <x:c r="D902" s="32"/>
      <x:c r="G902" s="74"/>
      <x:c r="H902" s="74"/>
      <x:c r="I902" s="74"/>
      <x:c r="J902" s="74"/>
      <x:c r="K902" s="74"/>
      <x:c r="L902" s="74"/>
      <x:c r="M902" s="91"/>
      <x:c r="N902" s="91"/>
      <x:c r="O902" s="85"/>
      <x:c r="P902" s="85"/>
      <x:c r="Q902" s="85"/>
      <x:c r="R902" s="85"/>
      <x:c r="T902" s="86"/>
      <x:c r="U902" s="86"/>
      <x:c r="V902" s="32"/>
    </x:row>
    <x:row r="903">
      <x:c r="A903" s="87"/>
      <x:c r="B903" s="88"/>
      <x:c r="D903" s="32"/>
      <x:c r="G903" s="74"/>
      <x:c r="H903" s="74"/>
      <x:c r="I903" s="74"/>
      <x:c r="J903" s="74"/>
      <x:c r="K903" s="74"/>
      <x:c r="L903" s="74"/>
      <x:c r="M903" s="91"/>
      <x:c r="N903" s="91"/>
      <x:c r="O903" s="85"/>
      <x:c r="P903" s="85"/>
      <x:c r="Q903" s="85"/>
      <x:c r="R903" s="85"/>
      <x:c r="T903" s="86"/>
      <x:c r="U903" s="86"/>
      <x:c r="V903" s="32"/>
    </x:row>
    <x:row r="904">
      <x:c r="A904" s="87"/>
      <x:c r="B904" s="88"/>
      <x:c r="D904" s="32"/>
      <x:c r="G904" s="74"/>
      <x:c r="H904" s="74"/>
      <x:c r="I904" s="74"/>
      <x:c r="J904" s="74"/>
      <x:c r="K904" s="74"/>
      <x:c r="L904" s="74"/>
      <x:c r="M904" s="91"/>
      <x:c r="N904" s="91"/>
      <x:c r="O904" s="85"/>
      <x:c r="P904" s="85"/>
      <x:c r="Q904" s="85"/>
      <x:c r="R904" s="85"/>
      <x:c r="T904" s="86"/>
      <x:c r="U904" s="86"/>
      <x:c r="V904" s="32"/>
    </x:row>
    <x:row r="905">
      <x:c r="A905" s="87"/>
      <x:c r="B905" s="88"/>
      <x:c r="D905" s="32"/>
      <x:c r="G905" s="74"/>
      <x:c r="H905" s="74"/>
      <x:c r="I905" s="74"/>
      <x:c r="J905" s="74"/>
      <x:c r="K905" s="74"/>
      <x:c r="L905" s="74"/>
      <x:c r="M905" s="91"/>
      <x:c r="N905" s="91"/>
      <x:c r="O905" s="85"/>
      <x:c r="P905" s="85"/>
      <x:c r="Q905" s="85"/>
      <x:c r="R905" s="85"/>
      <x:c r="T905" s="86"/>
      <x:c r="U905" s="86"/>
      <x:c r="V905" s="32"/>
    </x:row>
    <x:row r="906">
      <x:c r="A906" s="87"/>
      <x:c r="B906" s="88"/>
      <x:c r="D906" s="32"/>
      <x:c r="G906" s="74"/>
      <x:c r="H906" s="74"/>
      <x:c r="I906" s="74"/>
      <x:c r="J906" s="74"/>
      <x:c r="K906" s="74"/>
      <x:c r="L906" s="74"/>
      <x:c r="M906" s="91"/>
      <x:c r="N906" s="91"/>
      <x:c r="O906" s="85"/>
      <x:c r="P906" s="85"/>
      <x:c r="Q906" s="85"/>
      <x:c r="R906" s="85"/>
      <x:c r="T906" s="86"/>
      <x:c r="U906" s="86"/>
      <x:c r="V906" s="32"/>
    </x:row>
    <x:row r="907">
      <x:c r="A907" s="87"/>
      <x:c r="B907" s="88"/>
      <x:c r="D907" s="32"/>
      <x:c r="G907" s="74"/>
      <x:c r="H907" s="74"/>
      <x:c r="I907" s="74"/>
      <x:c r="J907" s="74"/>
      <x:c r="K907" s="74"/>
      <x:c r="L907" s="74"/>
      <x:c r="M907" s="91"/>
      <x:c r="N907" s="91"/>
      <x:c r="O907" s="85"/>
      <x:c r="P907" s="85"/>
      <x:c r="Q907" s="85"/>
      <x:c r="R907" s="85"/>
      <x:c r="T907" s="86"/>
      <x:c r="U907" s="86"/>
      <x:c r="V907" s="32"/>
    </x:row>
    <x:row r="908">
      <x:c r="A908" s="87"/>
      <x:c r="B908" s="88"/>
      <x:c r="D908" s="32"/>
      <x:c r="G908" s="74"/>
      <x:c r="H908" s="74"/>
      <x:c r="I908" s="74"/>
      <x:c r="J908" s="74"/>
      <x:c r="K908" s="74"/>
      <x:c r="L908" s="74"/>
      <x:c r="M908" s="91"/>
      <x:c r="N908" s="91"/>
      <x:c r="O908" s="85"/>
      <x:c r="P908" s="85"/>
      <x:c r="Q908" s="85"/>
      <x:c r="R908" s="85"/>
      <x:c r="T908" s="86"/>
      <x:c r="U908" s="86"/>
      <x:c r="V908" s="32"/>
    </x:row>
    <x:row r="909">
      <x:c r="A909" s="87"/>
      <x:c r="B909" s="88"/>
      <x:c r="D909" s="32"/>
      <x:c r="G909" s="74"/>
      <x:c r="H909" s="74"/>
      <x:c r="I909" s="74"/>
      <x:c r="J909" s="74"/>
      <x:c r="K909" s="74"/>
      <x:c r="L909" s="74"/>
      <x:c r="M909" s="91"/>
      <x:c r="N909" s="91"/>
      <x:c r="O909" s="85"/>
      <x:c r="P909" s="85"/>
      <x:c r="Q909" s="85"/>
      <x:c r="R909" s="85"/>
      <x:c r="T909" s="86"/>
      <x:c r="U909" s="86"/>
      <x:c r="V909" s="32"/>
    </x:row>
    <x:row r="910">
      <x:c r="A910" s="87"/>
      <x:c r="B910" s="88"/>
      <x:c r="D910" s="32"/>
      <x:c r="G910" s="74"/>
      <x:c r="H910" s="74"/>
      <x:c r="I910" s="74"/>
      <x:c r="J910" s="74"/>
      <x:c r="K910" s="74"/>
      <x:c r="L910" s="74"/>
      <x:c r="M910" s="91"/>
      <x:c r="N910" s="91"/>
      <x:c r="O910" s="85"/>
      <x:c r="P910" s="85"/>
      <x:c r="Q910" s="85"/>
      <x:c r="R910" s="85"/>
      <x:c r="T910" s="86"/>
      <x:c r="U910" s="86"/>
      <x:c r="V910" s="32"/>
    </x:row>
    <x:row r="911">
      <x:c r="A911" s="87"/>
      <x:c r="B911" s="88"/>
      <x:c r="D911" s="32"/>
      <x:c r="G911" s="74"/>
      <x:c r="H911" s="74"/>
      <x:c r="I911" s="74"/>
      <x:c r="J911" s="74"/>
      <x:c r="K911" s="74"/>
      <x:c r="L911" s="74"/>
      <x:c r="M911" s="91"/>
      <x:c r="N911" s="91"/>
      <x:c r="O911" s="85"/>
      <x:c r="P911" s="85"/>
      <x:c r="Q911" s="85"/>
      <x:c r="R911" s="85"/>
      <x:c r="T911" s="86"/>
      <x:c r="U911" s="86"/>
      <x:c r="V911" s="32"/>
    </x:row>
    <x:row r="912">
      <x:c r="A912" s="87"/>
      <x:c r="B912" s="88"/>
      <x:c r="D912" s="32"/>
      <x:c r="G912" s="74"/>
      <x:c r="H912" s="74"/>
      <x:c r="I912" s="74"/>
      <x:c r="J912" s="74"/>
      <x:c r="K912" s="74"/>
      <x:c r="L912" s="74"/>
      <x:c r="M912" s="91"/>
      <x:c r="N912" s="91"/>
      <x:c r="O912" s="85"/>
      <x:c r="P912" s="85"/>
      <x:c r="Q912" s="85"/>
      <x:c r="R912" s="85"/>
      <x:c r="T912" s="86"/>
      <x:c r="U912" s="86"/>
      <x:c r="V912" s="32"/>
    </x:row>
    <x:row r="913">
      <x:c r="A913" s="87"/>
      <x:c r="B913" s="88"/>
      <x:c r="D913" s="32"/>
      <x:c r="G913" s="74"/>
      <x:c r="H913" s="74"/>
      <x:c r="I913" s="74"/>
      <x:c r="J913" s="74"/>
      <x:c r="K913" s="74"/>
      <x:c r="L913" s="74"/>
      <x:c r="M913" s="91"/>
      <x:c r="N913" s="91"/>
      <x:c r="O913" s="85"/>
      <x:c r="P913" s="85"/>
      <x:c r="Q913" s="85"/>
      <x:c r="R913" s="85"/>
      <x:c r="T913" s="86"/>
      <x:c r="U913" s="86"/>
      <x:c r="V913" s="32"/>
    </x:row>
    <x:row r="914">
      <x:c r="A914" s="87"/>
      <x:c r="B914" s="88"/>
      <x:c r="D914" s="32"/>
      <x:c r="G914" s="74"/>
      <x:c r="H914" s="74"/>
      <x:c r="I914" s="74"/>
      <x:c r="J914" s="74"/>
      <x:c r="K914" s="74"/>
      <x:c r="L914" s="74"/>
      <x:c r="M914" s="91"/>
      <x:c r="N914" s="91"/>
      <x:c r="O914" s="85"/>
      <x:c r="P914" s="85"/>
      <x:c r="Q914" s="85"/>
      <x:c r="R914" s="85"/>
      <x:c r="T914" s="86"/>
      <x:c r="U914" s="86"/>
      <x:c r="V914" s="32"/>
    </x:row>
    <x:row r="915">
      <x:c r="A915" s="87"/>
      <x:c r="B915" s="88"/>
      <x:c r="D915" s="32"/>
      <x:c r="G915" s="74"/>
      <x:c r="H915" s="74"/>
      <x:c r="I915" s="74"/>
      <x:c r="J915" s="74"/>
      <x:c r="K915" s="74"/>
      <x:c r="L915" s="74"/>
      <x:c r="M915" s="91"/>
      <x:c r="N915" s="91"/>
      <x:c r="O915" s="85"/>
      <x:c r="P915" s="85"/>
      <x:c r="Q915" s="85"/>
      <x:c r="R915" s="85"/>
      <x:c r="T915" s="86"/>
      <x:c r="U915" s="86"/>
      <x:c r="V915" s="32"/>
    </x:row>
    <x:row r="916">
      <x:c r="A916" s="87"/>
      <x:c r="B916" s="88"/>
      <x:c r="D916" s="32"/>
      <x:c r="G916" s="74"/>
      <x:c r="H916" s="74"/>
      <x:c r="I916" s="74"/>
      <x:c r="J916" s="74"/>
      <x:c r="K916" s="74"/>
      <x:c r="L916" s="74"/>
      <x:c r="M916" s="91"/>
      <x:c r="N916" s="91"/>
      <x:c r="O916" s="85"/>
      <x:c r="P916" s="85"/>
      <x:c r="Q916" s="85"/>
      <x:c r="R916" s="85"/>
      <x:c r="T916" s="86"/>
      <x:c r="U916" s="86"/>
      <x:c r="V916" s="32"/>
    </x:row>
    <x:row r="917">
      <x:c r="A917" s="87"/>
      <x:c r="B917" s="88"/>
      <x:c r="D917" s="32"/>
      <x:c r="G917" s="74"/>
      <x:c r="H917" s="74"/>
      <x:c r="I917" s="74"/>
      <x:c r="J917" s="74"/>
      <x:c r="K917" s="74"/>
      <x:c r="L917" s="74"/>
      <x:c r="M917" s="91"/>
      <x:c r="N917" s="91"/>
      <x:c r="O917" s="85"/>
      <x:c r="P917" s="85"/>
      <x:c r="Q917" s="85"/>
      <x:c r="R917" s="85"/>
      <x:c r="T917" s="86"/>
      <x:c r="U917" s="86"/>
      <x:c r="V917" s="32"/>
    </x:row>
    <x:row r="918">
      <x:c r="A918" s="87"/>
      <x:c r="B918" s="88"/>
      <x:c r="D918" s="32"/>
      <x:c r="G918" s="74"/>
      <x:c r="H918" s="74"/>
      <x:c r="I918" s="74"/>
      <x:c r="J918" s="74"/>
      <x:c r="K918" s="74"/>
      <x:c r="L918" s="74"/>
      <x:c r="M918" s="91"/>
      <x:c r="N918" s="91"/>
      <x:c r="O918" s="85"/>
      <x:c r="P918" s="85"/>
      <x:c r="Q918" s="85"/>
      <x:c r="R918" s="85"/>
      <x:c r="T918" s="86"/>
      <x:c r="U918" s="86"/>
      <x:c r="V918" s="32"/>
    </x:row>
    <x:row r="919">
      <x:c r="A919" s="87"/>
      <x:c r="B919" s="88"/>
      <x:c r="D919" s="32"/>
      <x:c r="G919" s="74"/>
      <x:c r="H919" s="74"/>
      <x:c r="I919" s="74"/>
      <x:c r="J919" s="74"/>
      <x:c r="K919" s="74"/>
      <x:c r="L919" s="74"/>
      <x:c r="M919" s="91"/>
      <x:c r="N919" s="91"/>
      <x:c r="O919" s="85"/>
      <x:c r="P919" s="85"/>
      <x:c r="Q919" s="85"/>
      <x:c r="R919" s="85"/>
      <x:c r="T919" s="86"/>
      <x:c r="U919" s="86"/>
      <x:c r="V919" s="32"/>
    </x:row>
    <x:row r="920">
      <x:c r="A920" s="87"/>
      <x:c r="B920" s="88"/>
      <x:c r="D920" s="32"/>
      <x:c r="G920" s="74"/>
      <x:c r="H920" s="74"/>
      <x:c r="I920" s="74"/>
      <x:c r="J920" s="74"/>
      <x:c r="K920" s="74"/>
      <x:c r="L920" s="74"/>
      <x:c r="M920" s="91"/>
      <x:c r="N920" s="91"/>
      <x:c r="O920" s="85"/>
      <x:c r="P920" s="85"/>
      <x:c r="Q920" s="85"/>
      <x:c r="R920" s="85"/>
      <x:c r="T920" s="86"/>
      <x:c r="U920" s="86"/>
      <x:c r="V920" s="32"/>
    </x:row>
    <x:row r="921">
      <x:c r="A921" s="87"/>
      <x:c r="B921" s="88"/>
      <x:c r="D921" s="32"/>
      <x:c r="G921" s="74"/>
      <x:c r="H921" s="74"/>
      <x:c r="I921" s="74"/>
      <x:c r="J921" s="74"/>
      <x:c r="K921" s="74"/>
      <x:c r="L921" s="74"/>
      <x:c r="M921" s="91"/>
      <x:c r="N921" s="91"/>
      <x:c r="O921" s="85"/>
      <x:c r="P921" s="85"/>
      <x:c r="Q921" s="85"/>
      <x:c r="R921" s="85"/>
      <x:c r="T921" s="86"/>
      <x:c r="U921" s="86"/>
      <x:c r="V921" s="32"/>
    </x:row>
    <x:row r="922">
      <x:c r="A922" s="87"/>
      <x:c r="B922" s="88"/>
      <x:c r="D922" s="32"/>
      <x:c r="G922" s="74"/>
      <x:c r="H922" s="74"/>
      <x:c r="I922" s="74"/>
      <x:c r="J922" s="74"/>
      <x:c r="K922" s="74"/>
      <x:c r="L922" s="74"/>
      <x:c r="M922" s="91"/>
      <x:c r="N922" s="91"/>
      <x:c r="O922" s="85"/>
      <x:c r="P922" s="85"/>
      <x:c r="Q922" s="85"/>
      <x:c r="R922" s="85"/>
      <x:c r="T922" s="86"/>
      <x:c r="U922" s="86"/>
      <x:c r="V922" s="32"/>
    </x:row>
    <x:row r="923">
      <x:c r="A923" s="87"/>
      <x:c r="B923" s="88"/>
      <x:c r="D923" s="32"/>
      <x:c r="G923" s="74"/>
      <x:c r="H923" s="74"/>
      <x:c r="I923" s="74"/>
      <x:c r="J923" s="74"/>
      <x:c r="K923" s="74"/>
      <x:c r="L923" s="74"/>
      <x:c r="M923" s="91"/>
      <x:c r="N923" s="91"/>
      <x:c r="O923" s="85"/>
      <x:c r="P923" s="85"/>
      <x:c r="Q923" s="85"/>
      <x:c r="R923" s="85"/>
      <x:c r="T923" s="86"/>
      <x:c r="U923" s="86"/>
      <x:c r="V923" s="32"/>
    </x:row>
    <x:row r="924">
      <x:c r="A924" s="87"/>
      <x:c r="B924" s="88"/>
      <x:c r="D924" s="32"/>
      <x:c r="G924" s="74"/>
      <x:c r="H924" s="74"/>
      <x:c r="I924" s="74"/>
      <x:c r="J924" s="74"/>
      <x:c r="K924" s="74"/>
      <x:c r="L924" s="74"/>
      <x:c r="M924" s="91"/>
      <x:c r="N924" s="91"/>
      <x:c r="O924" s="85"/>
      <x:c r="P924" s="85"/>
      <x:c r="Q924" s="85"/>
      <x:c r="R924" s="85"/>
      <x:c r="T924" s="86"/>
      <x:c r="U924" s="86"/>
      <x:c r="V924" s="32"/>
    </x:row>
    <x:row r="925">
      <x:c r="A925" s="87"/>
      <x:c r="B925" s="88"/>
      <x:c r="D925" s="32"/>
      <x:c r="G925" s="74"/>
      <x:c r="H925" s="74"/>
      <x:c r="I925" s="74"/>
      <x:c r="J925" s="74"/>
      <x:c r="K925" s="74"/>
      <x:c r="L925" s="74"/>
      <x:c r="M925" s="91"/>
      <x:c r="N925" s="91"/>
      <x:c r="O925" s="85"/>
      <x:c r="P925" s="85"/>
      <x:c r="Q925" s="85"/>
      <x:c r="R925" s="85"/>
      <x:c r="T925" s="86"/>
      <x:c r="U925" s="86"/>
      <x:c r="V925" s="32"/>
    </x:row>
    <x:row r="926">
      <x:c r="A926" s="87"/>
      <x:c r="B926" s="88"/>
      <x:c r="D926" s="32"/>
      <x:c r="G926" s="74"/>
      <x:c r="H926" s="74"/>
      <x:c r="I926" s="74"/>
      <x:c r="J926" s="74"/>
      <x:c r="K926" s="74"/>
      <x:c r="L926" s="74"/>
      <x:c r="M926" s="91"/>
      <x:c r="N926" s="91"/>
      <x:c r="O926" s="85"/>
      <x:c r="P926" s="85"/>
      <x:c r="Q926" s="85"/>
      <x:c r="R926" s="85"/>
      <x:c r="T926" s="86"/>
      <x:c r="U926" s="86"/>
      <x:c r="V926" s="32"/>
    </x:row>
    <x:row r="927">
      <x:c r="A927" s="87"/>
      <x:c r="B927" s="88"/>
      <x:c r="D927" s="32"/>
      <x:c r="G927" s="74"/>
      <x:c r="H927" s="74"/>
      <x:c r="I927" s="74"/>
      <x:c r="J927" s="74"/>
      <x:c r="K927" s="74"/>
      <x:c r="L927" s="74"/>
      <x:c r="M927" s="91"/>
      <x:c r="N927" s="91"/>
      <x:c r="O927" s="85"/>
      <x:c r="P927" s="85"/>
      <x:c r="Q927" s="85"/>
      <x:c r="R927" s="85"/>
      <x:c r="T927" s="86"/>
      <x:c r="U927" s="86"/>
      <x:c r="V927" s="32"/>
    </x:row>
    <x:row r="928">
      <x:c r="A928" s="87"/>
      <x:c r="B928" s="88"/>
      <x:c r="D928" s="32"/>
      <x:c r="G928" s="74"/>
      <x:c r="H928" s="74"/>
      <x:c r="I928" s="74"/>
      <x:c r="J928" s="74"/>
      <x:c r="K928" s="74"/>
      <x:c r="L928" s="74"/>
      <x:c r="M928" s="91"/>
      <x:c r="N928" s="91"/>
      <x:c r="O928" s="85"/>
      <x:c r="P928" s="85"/>
      <x:c r="Q928" s="85"/>
      <x:c r="R928" s="85"/>
      <x:c r="T928" s="86"/>
      <x:c r="U928" s="86"/>
      <x:c r="V928" s="32"/>
    </x:row>
    <x:row r="929">
      <x:c r="A929" s="87"/>
      <x:c r="B929" s="88"/>
      <x:c r="D929" s="32"/>
      <x:c r="G929" s="74"/>
      <x:c r="H929" s="74"/>
      <x:c r="I929" s="74"/>
      <x:c r="J929" s="74"/>
      <x:c r="K929" s="74"/>
      <x:c r="L929" s="74"/>
      <x:c r="M929" s="91"/>
      <x:c r="N929" s="91"/>
      <x:c r="O929" s="85"/>
      <x:c r="P929" s="85"/>
      <x:c r="Q929" s="85"/>
      <x:c r="R929" s="85"/>
      <x:c r="T929" s="86"/>
      <x:c r="U929" s="86"/>
      <x:c r="V929" s="32"/>
    </x:row>
    <x:row r="930">
      <x:c r="A930" s="87"/>
      <x:c r="B930" s="88"/>
      <x:c r="D930" s="32"/>
      <x:c r="G930" s="74"/>
      <x:c r="H930" s="74"/>
      <x:c r="I930" s="74"/>
      <x:c r="J930" s="74"/>
      <x:c r="K930" s="74"/>
      <x:c r="L930" s="74"/>
      <x:c r="M930" s="91"/>
      <x:c r="N930" s="91"/>
      <x:c r="O930" s="85"/>
      <x:c r="P930" s="85"/>
      <x:c r="Q930" s="85"/>
      <x:c r="R930" s="85"/>
      <x:c r="T930" s="86"/>
      <x:c r="U930" s="86"/>
      <x:c r="V930" s="32"/>
    </x:row>
    <x:row r="931">
      <x:c r="A931" s="87"/>
      <x:c r="B931" s="88"/>
      <x:c r="D931" s="32"/>
      <x:c r="G931" s="74"/>
      <x:c r="H931" s="74"/>
      <x:c r="I931" s="74"/>
      <x:c r="J931" s="74"/>
      <x:c r="K931" s="74"/>
      <x:c r="L931" s="74"/>
      <x:c r="M931" s="91"/>
      <x:c r="N931" s="91"/>
      <x:c r="O931" s="85"/>
      <x:c r="P931" s="85"/>
      <x:c r="Q931" s="85"/>
      <x:c r="R931" s="85"/>
      <x:c r="T931" s="86"/>
      <x:c r="U931" s="86"/>
      <x:c r="V931" s="32"/>
    </x:row>
    <x:row r="932">
      <x:c r="A932" s="87"/>
      <x:c r="B932" s="88"/>
      <x:c r="D932" s="32"/>
      <x:c r="G932" s="74"/>
      <x:c r="H932" s="74"/>
      <x:c r="I932" s="74"/>
      <x:c r="J932" s="74"/>
      <x:c r="K932" s="74"/>
      <x:c r="L932" s="74"/>
      <x:c r="M932" s="91"/>
      <x:c r="N932" s="91"/>
      <x:c r="O932" s="85"/>
      <x:c r="P932" s="85"/>
      <x:c r="Q932" s="85"/>
      <x:c r="R932" s="85"/>
      <x:c r="T932" s="86"/>
      <x:c r="U932" s="86"/>
      <x:c r="V932" s="32"/>
    </x:row>
    <x:row r="933">
      <x:c r="A933" s="87"/>
      <x:c r="B933" s="88"/>
      <x:c r="D933" s="32"/>
      <x:c r="G933" s="74"/>
      <x:c r="H933" s="74"/>
      <x:c r="I933" s="74"/>
      <x:c r="J933" s="74"/>
      <x:c r="K933" s="74"/>
      <x:c r="L933" s="74"/>
      <x:c r="M933" s="91"/>
      <x:c r="N933" s="91"/>
      <x:c r="O933" s="85"/>
      <x:c r="P933" s="85"/>
      <x:c r="Q933" s="85"/>
      <x:c r="R933" s="85"/>
      <x:c r="T933" s="86"/>
      <x:c r="U933" s="86"/>
      <x:c r="V933" s="32"/>
    </x:row>
    <x:row r="934">
      <x:c r="A934" s="87"/>
      <x:c r="B934" s="88"/>
      <x:c r="D934" s="32"/>
      <x:c r="G934" s="74"/>
      <x:c r="H934" s="74"/>
      <x:c r="I934" s="74"/>
      <x:c r="J934" s="74"/>
      <x:c r="K934" s="74"/>
      <x:c r="L934" s="74"/>
      <x:c r="M934" s="91"/>
      <x:c r="N934" s="91"/>
      <x:c r="O934" s="85"/>
      <x:c r="P934" s="85"/>
      <x:c r="Q934" s="85"/>
      <x:c r="R934" s="85"/>
      <x:c r="T934" s="86"/>
      <x:c r="U934" s="86"/>
      <x:c r="V934" s="32"/>
    </x:row>
    <x:row r="935">
      <x:c r="A935" s="87"/>
      <x:c r="B935" s="88"/>
      <x:c r="D935" s="32"/>
      <x:c r="G935" s="74"/>
      <x:c r="H935" s="74"/>
      <x:c r="I935" s="74"/>
      <x:c r="J935" s="74"/>
      <x:c r="K935" s="74"/>
      <x:c r="L935" s="74"/>
      <x:c r="M935" s="91"/>
      <x:c r="N935" s="91"/>
      <x:c r="O935" s="85"/>
      <x:c r="P935" s="85"/>
      <x:c r="Q935" s="85"/>
      <x:c r="R935" s="85"/>
      <x:c r="T935" s="86"/>
      <x:c r="U935" s="86"/>
      <x:c r="V935" s="32"/>
    </x:row>
    <x:row r="936">
      <x:c r="A936" s="87"/>
      <x:c r="B936" s="88"/>
      <x:c r="D936" s="32"/>
      <x:c r="G936" s="74"/>
      <x:c r="H936" s="74"/>
      <x:c r="I936" s="74"/>
      <x:c r="J936" s="74"/>
      <x:c r="K936" s="74"/>
      <x:c r="L936" s="74"/>
      <x:c r="M936" s="91"/>
      <x:c r="N936" s="91"/>
      <x:c r="O936" s="85"/>
      <x:c r="P936" s="85"/>
      <x:c r="Q936" s="85"/>
      <x:c r="R936" s="85"/>
      <x:c r="T936" s="86"/>
      <x:c r="U936" s="86"/>
      <x:c r="V936" s="32"/>
    </x:row>
    <x:row r="937">
      <x:c r="A937" s="87"/>
      <x:c r="B937" s="88"/>
      <x:c r="D937" s="32"/>
      <x:c r="G937" s="74"/>
      <x:c r="H937" s="74"/>
      <x:c r="I937" s="74"/>
      <x:c r="J937" s="74"/>
      <x:c r="K937" s="74"/>
      <x:c r="L937" s="74"/>
      <x:c r="M937" s="91"/>
      <x:c r="N937" s="91"/>
      <x:c r="O937" s="85"/>
      <x:c r="P937" s="85"/>
      <x:c r="Q937" s="85"/>
      <x:c r="R937" s="85"/>
      <x:c r="T937" s="86"/>
      <x:c r="U937" s="86"/>
      <x:c r="V937" s="32"/>
    </x:row>
    <x:row r="938">
      <x:c r="A938" s="87"/>
      <x:c r="B938" s="88"/>
      <x:c r="D938" s="32"/>
      <x:c r="G938" s="74"/>
      <x:c r="H938" s="74"/>
      <x:c r="I938" s="74"/>
      <x:c r="J938" s="74"/>
      <x:c r="K938" s="74"/>
      <x:c r="L938" s="74"/>
      <x:c r="M938" s="91"/>
      <x:c r="N938" s="91"/>
      <x:c r="O938" s="85"/>
      <x:c r="P938" s="85"/>
      <x:c r="Q938" s="85"/>
      <x:c r="R938" s="85"/>
      <x:c r="T938" s="86"/>
      <x:c r="U938" s="86"/>
      <x:c r="V938" s="32"/>
    </x:row>
    <x:row r="939">
      <x:c r="A939" s="87"/>
      <x:c r="B939" s="88"/>
      <x:c r="D939" s="32"/>
      <x:c r="G939" s="74"/>
      <x:c r="H939" s="74"/>
      <x:c r="I939" s="74"/>
      <x:c r="J939" s="74"/>
      <x:c r="K939" s="74"/>
      <x:c r="L939" s="74"/>
      <x:c r="M939" s="91"/>
      <x:c r="N939" s="91"/>
      <x:c r="O939" s="85"/>
      <x:c r="P939" s="85"/>
      <x:c r="Q939" s="85"/>
      <x:c r="R939" s="85"/>
      <x:c r="T939" s="86"/>
      <x:c r="U939" s="86"/>
      <x:c r="V939" s="32"/>
    </x:row>
    <x:row r="940">
      <x:c r="A940" s="87"/>
      <x:c r="B940" s="88"/>
      <x:c r="D940" s="32"/>
      <x:c r="G940" s="74"/>
      <x:c r="H940" s="74"/>
      <x:c r="I940" s="74"/>
      <x:c r="J940" s="74"/>
      <x:c r="K940" s="74"/>
      <x:c r="L940" s="74"/>
      <x:c r="M940" s="91"/>
      <x:c r="N940" s="91"/>
      <x:c r="O940" s="85"/>
      <x:c r="P940" s="85"/>
      <x:c r="Q940" s="85"/>
      <x:c r="R940" s="85"/>
      <x:c r="T940" s="86"/>
      <x:c r="U940" s="86"/>
      <x:c r="V940" s="32"/>
    </x:row>
    <x:row r="941">
      <x:c r="A941" s="87"/>
      <x:c r="B941" s="88"/>
      <x:c r="D941" s="32"/>
      <x:c r="G941" s="74"/>
      <x:c r="H941" s="74"/>
      <x:c r="I941" s="74"/>
      <x:c r="J941" s="74"/>
      <x:c r="K941" s="74"/>
      <x:c r="L941" s="74"/>
      <x:c r="M941" s="91"/>
      <x:c r="N941" s="91"/>
      <x:c r="O941" s="85"/>
      <x:c r="P941" s="85"/>
      <x:c r="Q941" s="85"/>
      <x:c r="R941" s="85"/>
      <x:c r="T941" s="86"/>
      <x:c r="U941" s="86"/>
      <x:c r="V941" s="32"/>
    </x:row>
    <x:row r="942">
      <x:c r="A942" s="87"/>
      <x:c r="B942" s="88"/>
      <x:c r="D942" s="32"/>
      <x:c r="G942" s="74"/>
      <x:c r="H942" s="74"/>
      <x:c r="I942" s="74"/>
      <x:c r="J942" s="74"/>
      <x:c r="K942" s="74"/>
      <x:c r="L942" s="74"/>
      <x:c r="M942" s="91"/>
      <x:c r="N942" s="91"/>
      <x:c r="O942" s="85"/>
      <x:c r="P942" s="85"/>
      <x:c r="Q942" s="85"/>
      <x:c r="R942" s="85"/>
      <x:c r="T942" s="86"/>
      <x:c r="U942" s="86"/>
      <x:c r="V942" s="32"/>
    </x:row>
    <x:row r="943">
      <x:c r="A943" s="87"/>
      <x:c r="B943" s="88"/>
      <x:c r="D943" s="32"/>
      <x:c r="G943" s="74"/>
      <x:c r="H943" s="74"/>
      <x:c r="I943" s="74"/>
      <x:c r="J943" s="74"/>
      <x:c r="K943" s="74"/>
      <x:c r="L943" s="74"/>
      <x:c r="M943" s="91"/>
      <x:c r="N943" s="91"/>
      <x:c r="O943" s="85"/>
      <x:c r="P943" s="85"/>
      <x:c r="Q943" s="85"/>
      <x:c r="R943" s="85"/>
      <x:c r="T943" s="86"/>
      <x:c r="U943" s="86"/>
      <x:c r="V943" s="32"/>
    </x:row>
    <x:row r="944">
      <x:c r="A944" s="87"/>
      <x:c r="B944" s="88"/>
      <x:c r="D944" s="32"/>
      <x:c r="G944" s="74"/>
      <x:c r="H944" s="74"/>
      <x:c r="I944" s="74"/>
      <x:c r="J944" s="74"/>
      <x:c r="K944" s="74"/>
      <x:c r="L944" s="74"/>
      <x:c r="M944" s="91"/>
      <x:c r="N944" s="91"/>
      <x:c r="O944" s="85"/>
      <x:c r="P944" s="85"/>
      <x:c r="Q944" s="85"/>
      <x:c r="R944" s="85"/>
      <x:c r="T944" s="86"/>
      <x:c r="U944" s="86"/>
      <x:c r="V944" s="32"/>
    </x:row>
    <x:row r="945">
      <x:c r="A945" s="87"/>
      <x:c r="B945" s="88"/>
      <x:c r="D945" s="32"/>
      <x:c r="G945" s="74"/>
      <x:c r="H945" s="74"/>
      <x:c r="I945" s="74"/>
      <x:c r="J945" s="74"/>
      <x:c r="K945" s="74"/>
      <x:c r="L945" s="74"/>
      <x:c r="M945" s="91"/>
      <x:c r="N945" s="91"/>
      <x:c r="O945" s="85"/>
      <x:c r="P945" s="85"/>
      <x:c r="Q945" s="85"/>
      <x:c r="R945" s="85"/>
      <x:c r="T945" s="86"/>
      <x:c r="U945" s="86"/>
      <x:c r="V945" s="32"/>
    </x:row>
    <x:row r="946">
      <x:c r="A946" s="87"/>
      <x:c r="B946" s="88"/>
      <x:c r="D946" s="32"/>
      <x:c r="G946" s="74"/>
      <x:c r="H946" s="74"/>
      <x:c r="I946" s="74"/>
      <x:c r="J946" s="74"/>
      <x:c r="K946" s="74"/>
      <x:c r="L946" s="74"/>
      <x:c r="M946" s="91"/>
      <x:c r="N946" s="91"/>
      <x:c r="O946" s="85"/>
      <x:c r="P946" s="85"/>
      <x:c r="Q946" s="85"/>
      <x:c r="R946" s="85"/>
      <x:c r="T946" s="86"/>
      <x:c r="U946" s="86"/>
      <x:c r="V946" s="32"/>
    </x:row>
    <x:row r="947">
      <x:c r="A947" s="87"/>
      <x:c r="B947" s="88"/>
      <x:c r="D947" s="32"/>
      <x:c r="G947" s="74"/>
      <x:c r="H947" s="74"/>
      <x:c r="I947" s="74"/>
      <x:c r="J947" s="74"/>
      <x:c r="K947" s="74"/>
      <x:c r="L947" s="74"/>
      <x:c r="M947" s="91"/>
      <x:c r="N947" s="91"/>
      <x:c r="O947" s="85"/>
      <x:c r="P947" s="85"/>
      <x:c r="Q947" s="85"/>
      <x:c r="R947" s="85"/>
      <x:c r="T947" s="86"/>
      <x:c r="U947" s="86"/>
      <x:c r="V947" s="32"/>
    </x:row>
    <x:row r="948">
      <x:c r="A948" s="87"/>
      <x:c r="B948" s="88"/>
      <x:c r="D948" s="32"/>
      <x:c r="G948" s="74"/>
      <x:c r="H948" s="74"/>
      <x:c r="I948" s="74"/>
      <x:c r="J948" s="74"/>
      <x:c r="K948" s="74"/>
      <x:c r="L948" s="74"/>
      <x:c r="M948" s="91"/>
      <x:c r="N948" s="91"/>
      <x:c r="O948" s="85"/>
      <x:c r="P948" s="85"/>
      <x:c r="Q948" s="85"/>
      <x:c r="R948" s="85"/>
      <x:c r="T948" s="86"/>
      <x:c r="U948" s="86"/>
      <x:c r="V948" s="32"/>
    </x:row>
    <x:row r="949">
      <x:c r="A949" s="87"/>
      <x:c r="B949" s="88"/>
      <x:c r="D949" s="32"/>
      <x:c r="G949" s="74"/>
      <x:c r="H949" s="74"/>
      <x:c r="I949" s="74"/>
      <x:c r="J949" s="74"/>
      <x:c r="K949" s="74"/>
      <x:c r="L949" s="74"/>
      <x:c r="M949" s="91"/>
      <x:c r="N949" s="91"/>
      <x:c r="O949" s="85"/>
      <x:c r="P949" s="85"/>
      <x:c r="Q949" s="85"/>
      <x:c r="R949" s="85"/>
      <x:c r="T949" s="86"/>
      <x:c r="U949" s="86"/>
      <x:c r="V949" s="32"/>
    </x:row>
    <x:row r="950">
      <x:c r="A950" s="87"/>
      <x:c r="B950" s="88"/>
      <x:c r="D950" s="32"/>
      <x:c r="G950" s="74"/>
      <x:c r="H950" s="74"/>
      <x:c r="I950" s="74"/>
      <x:c r="J950" s="74"/>
      <x:c r="K950" s="74"/>
      <x:c r="L950" s="74"/>
      <x:c r="M950" s="91"/>
      <x:c r="N950" s="91"/>
      <x:c r="O950" s="85"/>
      <x:c r="P950" s="85"/>
      <x:c r="Q950" s="85"/>
      <x:c r="R950" s="85"/>
      <x:c r="T950" s="86"/>
      <x:c r="U950" s="86"/>
      <x:c r="V950" s="32"/>
    </x:row>
    <x:row r="951">
      <x:c r="A951" s="87"/>
      <x:c r="B951" s="88"/>
      <x:c r="D951" s="32"/>
      <x:c r="G951" s="74"/>
      <x:c r="H951" s="74"/>
      <x:c r="I951" s="74"/>
      <x:c r="J951" s="74"/>
      <x:c r="K951" s="74"/>
      <x:c r="L951" s="74"/>
      <x:c r="M951" s="91"/>
      <x:c r="N951" s="91"/>
      <x:c r="O951" s="85"/>
      <x:c r="P951" s="85"/>
      <x:c r="Q951" s="85"/>
      <x:c r="R951" s="85"/>
      <x:c r="T951" s="86"/>
      <x:c r="U951" s="86"/>
      <x:c r="V951" s="32"/>
    </x:row>
    <x:row r="952">
      <x:c r="A952" s="87"/>
      <x:c r="B952" s="88"/>
      <x:c r="D952" s="32"/>
      <x:c r="G952" s="74"/>
      <x:c r="H952" s="74"/>
      <x:c r="I952" s="74"/>
      <x:c r="J952" s="74"/>
      <x:c r="K952" s="74"/>
      <x:c r="L952" s="74"/>
      <x:c r="M952" s="91"/>
      <x:c r="N952" s="91"/>
      <x:c r="O952" s="85"/>
      <x:c r="P952" s="85"/>
      <x:c r="Q952" s="85"/>
      <x:c r="R952" s="85"/>
      <x:c r="T952" s="86"/>
      <x:c r="U952" s="86"/>
      <x:c r="V952" s="32"/>
    </x:row>
    <x:row r="953">
      <x:c r="A953" s="87"/>
      <x:c r="B953" s="88"/>
      <x:c r="D953" s="32"/>
      <x:c r="G953" s="74"/>
      <x:c r="H953" s="74"/>
      <x:c r="I953" s="74"/>
      <x:c r="J953" s="74"/>
      <x:c r="K953" s="74"/>
      <x:c r="L953" s="74"/>
      <x:c r="M953" s="91"/>
      <x:c r="N953" s="91"/>
      <x:c r="O953" s="85"/>
      <x:c r="P953" s="85"/>
      <x:c r="Q953" s="85"/>
      <x:c r="R953" s="85"/>
      <x:c r="T953" s="86"/>
      <x:c r="U953" s="86"/>
      <x:c r="V953" s="32"/>
    </x:row>
    <x:row r="954">
      <x:c r="A954" s="87"/>
      <x:c r="B954" s="88"/>
      <x:c r="D954" s="32"/>
      <x:c r="G954" s="74"/>
      <x:c r="H954" s="74"/>
      <x:c r="I954" s="74"/>
      <x:c r="J954" s="74"/>
      <x:c r="K954" s="74"/>
      <x:c r="L954" s="74"/>
      <x:c r="M954" s="91"/>
      <x:c r="N954" s="91"/>
      <x:c r="O954" s="85"/>
      <x:c r="P954" s="85"/>
      <x:c r="Q954" s="85"/>
      <x:c r="R954" s="85"/>
      <x:c r="T954" s="86"/>
      <x:c r="U954" s="86"/>
      <x:c r="V954" s="32"/>
    </x:row>
    <x:row r="955">
      <x:c r="A955" s="87"/>
      <x:c r="B955" s="88"/>
      <x:c r="D955" s="32"/>
      <x:c r="G955" s="74"/>
      <x:c r="H955" s="74"/>
      <x:c r="I955" s="74"/>
      <x:c r="J955" s="74"/>
      <x:c r="K955" s="74"/>
      <x:c r="L955" s="74"/>
      <x:c r="M955" s="91"/>
      <x:c r="N955" s="91"/>
      <x:c r="O955" s="85"/>
      <x:c r="P955" s="85"/>
      <x:c r="Q955" s="85"/>
      <x:c r="R955" s="85"/>
      <x:c r="T955" s="86"/>
      <x:c r="U955" s="86"/>
      <x:c r="V955" s="32"/>
    </x:row>
    <x:row r="956">
      <x:c r="A956" s="87"/>
      <x:c r="B956" s="88"/>
      <x:c r="D956" s="32"/>
      <x:c r="G956" s="74"/>
      <x:c r="H956" s="74"/>
      <x:c r="I956" s="74"/>
      <x:c r="J956" s="74"/>
      <x:c r="K956" s="74"/>
      <x:c r="L956" s="74"/>
      <x:c r="M956" s="91"/>
      <x:c r="N956" s="91"/>
      <x:c r="O956" s="85"/>
      <x:c r="P956" s="85"/>
      <x:c r="Q956" s="85"/>
      <x:c r="R956" s="85"/>
      <x:c r="T956" s="86"/>
      <x:c r="U956" s="86"/>
      <x:c r="V956" s="32"/>
    </x:row>
    <x:row r="957">
      <x:c r="A957" s="87"/>
      <x:c r="B957" s="88"/>
      <x:c r="D957" s="32"/>
      <x:c r="G957" s="74"/>
      <x:c r="H957" s="74"/>
      <x:c r="I957" s="74"/>
      <x:c r="J957" s="74"/>
      <x:c r="K957" s="74"/>
      <x:c r="L957" s="74"/>
      <x:c r="M957" s="91"/>
      <x:c r="N957" s="91"/>
      <x:c r="O957" s="85"/>
      <x:c r="P957" s="85"/>
      <x:c r="Q957" s="85"/>
      <x:c r="R957" s="85"/>
      <x:c r="T957" s="86"/>
      <x:c r="U957" s="86"/>
      <x:c r="V957" s="32"/>
    </x:row>
    <x:row r="958">
      <x:c r="A958" s="87"/>
      <x:c r="B958" s="88"/>
      <x:c r="D958" s="32"/>
      <x:c r="G958" s="74"/>
      <x:c r="H958" s="74"/>
      <x:c r="I958" s="74"/>
      <x:c r="J958" s="74"/>
      <x:c r="K958" s="74"/>
      <x:c r="L958" s="74"/>
      <x:c r="M958" s="91"/>
      <x:c r="N958" s="91"/>
      <x:c r="O958" s="85"/>
      <x:c r="P958" s="85"/>
      <x:c r="Q958" s="85"/>
      <x:c r="R958" s="85"/>
      <x:c r="T958" s="86"/>
      <x:c r="U958" s="86"/>
      <x:c r="V958" s="32"/>
    </x:row>
    <x:row r="959">
      <x:c r="A959" s="87"/>
      <x:c r="B959" s="88"/>
      <x:c r="D959" s="32"/>
      <x:c r="G959" s="74"/>
      <x:c r="H959" s="74"/>
      <x:c r="I959" s="74"/>
      <x:c r="J959" s="74"/>
      <x:c r="K959" s="74"/>
      <x:c r="L959" s="74"/>
      <x:c r="M959" s="91"/>
      <x:c r="N959" s="91"/>
      <x:c r="O959" s="85"/>
      <x:c r="P959" s="85"/>
      <x:c r="Q959" s="85"/>
      <x:c r="R959" s="85"/>
      <x:c r="T959" s="86"/>
      <x:c r="U959" s="86"/>
      <x:c r="V959" s="32"/>
    </x:row>
    <x:row r="960">
      <x:c r="A960" s="87"/>
      <x:c r="B960" s="88"/>
      <x:c r="D960" s="32"/>
      <x:c r="G960" s="74"/>
      <x:c r="H960" s="74"/>
      <x:c r="I960" s="74"/>
      <x:c r="J960" s="74"/>
      <x:c r="K960" s="74"/>
      <x:c r="L960" s="74"/>
      <x:c r="M960" s="91"/>
      <x:c r="N960" s="91"/>
      <x:c r="O960" s="85"/>
      <x:c r="P960" s="85"/>
      <x:c r="Q960" s="85"/>
      <x:c r="R960" s="85"/>
      <x:c r="T960" s="86"/>
      <x:c r="U960" s="86"/>
      <x:c r="V960" s="32"/>
    </x:row>
    <x:row r="961">
      <x:c r="A961" s="87"/>
      <x:c r="B961" s="88"/>
      <x:c r="D961" s="32"/>
      <x:c r="G961" s="74"/>
      <x:c r="H961" s="74"/>
      <x:c r="I961" s="74"/>
      <x:c r="J961" s="74"/>
      <x:c r="K961" s="74"/>
      <x:c r="L961" s="74"/>
      <x:c r="M961" s="91"/>
      <x:c r="N961" s="91"/>
      <x:c r="O961" s="85"/>
      <x:c r="P961" s="85"/>
      <x:c r="Q961" s="85"/>
      <x:c r="R961" s="85"/>
      <x:c r="T961" s="86"/>
      <x:c r="U961" s="86"/>
      <x:c r="V961" s="32"/>
    </x:row>
    <x:row r="962">
      <x:c r="A962" s="87"/>
      <x:c r="B962" s="88"/>
      <x:c r="D962" s="32"/>
      <x:c r="G962" s="74"/>
      <x:c r="H962" s="74"/>
      <x:c r="I962" s="74"/>
      <x:c r="J962" s="74"/>
      <x:c r="K962" s="74"/>
      <x:c r="L962" s="74"/>
      <x:c r="M962" s="91"/>
      <x:c r="N962" s="91"/>
      <x:c r="O962" s="85"/>
      <x:c r="P962" s="85"/>
      <x:c r="Q962" s="85"/>
      <x:c r="R962" s="85"/>
      <x:c r="T962" s="86"/>
      <x:c r="U962" s="86"/>
      <x:c r="V962" s="32"/>
    </x:row>
    <x:row r="963">
      <x:c r="A963" s="87"/>
      <x:c r="B963" s="88"/>
      <x:c r="D963" s="32"/>
      <x:c r="G963" s="74"/>
      <x:c r="H963" s="74"/>
      <x:c r="I963" s="74"/>
      <x:c r="J963" s="74"/>
      <x:c r="K963" s="74"/>
      <x:c r="L963" s="74"/>
      <x:c r="M963" s="91"/>
      <x:c r="N963" s="91"/>
      <x:c r="O963" s="85"/>
      <x:c r="P963" s="85"/>
      <x:c r="Q963" s="85"/>
      <x:c r="R963" s="85"/>
      <x:c r="T963" s="86"/>
      <x:c r="U963" s="86"/>
      <x:c r="V963" s="32"/>
    </x:row>
    <x:row r="964">
      <x:c r="A964" s="87"/>
      <x:c r="B964" s="88"/>
      <x:c r="D964" s="32"/>
      <x:c r="G964" s="74"/>
      <x:c r="H964" s="74"/>
      <x:c r="I964" s="74"/>
      <x:c r="J964" s="74"/>
      <x:c r="K964" s="74"/>
      <x:c r="L964" s="74"/>
      <x:c r="M964" s="91"/>
      <x:c r="N964" s="91"/>
      <x:c r="O964" s="85"/>
      <x:c r="P964" s="85"/>
      <x:c r="Q964" s="85"/>
      <x:c r="R964" s="85"/>
      <x:c r="T964" s="86"/>
      <x:c r="U964" s="86"/>
      <x:c r="V964" s="32"/>
    </x:row>
    <x:row r="965">
      <x:c r="A965" s="87"/>
      <x:c r="B965" s="88"/>
      <x:c r="D965" s="32"/>
      <x:c r="G965" s="74"/>
      <x:c r="H965" s="74"/>
      <x:c r="I965" s="74"/>
      <x:c r="J965" s="74"/>
      <x:c r="K965" s="74"/>
      <x:c r="L965" s="74"/>
      <x:c r="M965" s="91"/>
      <x:c r="N965" s="91"/>
      <x:c r="O965" s="85"/>
      <x:c r="P965" s="85"/>
      <x:c r="Q965" s="85"/>
      <x:c r="R965" s="85"/>
      <x:c r="T965" s="86"/>
      <x:c r="U965" s="86"/>
      <x:c r="V965" s="32"/>
    </x:row>
    <x:row r="966">
      <x:c r="A966" s="87"/>
      <x:c r="B966" s="88"/>
      <x:c r="D966" s="32"/>
      <x:c r="G966" s="74"/>
      <x:c r="H966" s="74"/>
      <x:c r="I966" s="74"/>
      <x:c r="J966" s="74"/>
      <x:c r="K966" s="74"/>
      <x:c r="L966" s="74"/>
      <x:c r="M966" s="91"/>
      <x:c r="N966" s="91"/>
      <x:c r="O966" s="85"/>
      <x:c r="P966" s="85"/>
      <x:c r="Q966" s="85"/>
      <x:c r="R966" s="85"/>
      <x:c r="T966" s="86"/>
      <x:c r="U966" s="86"/>
      <x:c r="V966" s="32"/>
    </x:row>
    <x:row r="967">
      <x:c r="A967" s="87"/>
      <x:c r="B967" s="88"/>
      <x:c r="D967" s="32"/>
      <x:c r="G967" s="74"/>
      <x:c r="H967" s="74"/>
      <x:c r="I967" s="74"/>
      <x:c r="J967" s="74"/>
      <x:c r="K967" s="74"/>
      <x:c r="L967" s="74"/>
      <x:c r="M967" s="91"/>
      <x:c r="N967" s="91"/>
      <x:c r="O967" s="85"/>
      <x:c r="P967" s="85"/>
      <x:c r="Q967" s="85"/>
      <x:c r="R967" s="85"/>
      <x:c r="T967" s="86"/>
      <x:c r="U967" s="86"/>
      <x:c r="V967" s="32"/>
    </x:row>
    <x:row r="968">
      <x:c r="A968" s="87"/>
      <x:c r="B968" s="88"/>
      <x:c r="D968" s="32"/>
      <x:c r="G968" s="74"/>
      <x:c r="H968" s="74"/>
      <x:c r="I968" s="74"/>
      <x:c r="J968" s="74"/>
      <x:c r="K968" s="74"/>
      <x:c r="L968" s="74"/>
      <x:c r="M968" s="91"/>
      <x:c r="N968" s="91"/>
      <x:c r="O968" s="85"/>
      <x:c r="P968" s="85"/>
      <x:c r="Q968" s="85"/>
      <x:c r="R968" s="85"/>
      <x:c r="T968" s="86"/>
      <x:c r="U968" s="86"/>
      <x:c r="V968" s="32"/>
    </x:row>
    <x:row r="969">
      <x:c r="A969" s="87"/>
      <x:c r="B969" s="88"/>
      <x:c r="D969" s="32"/>
      <x:c r="G969" s="74"/>
      <x:c r="H969" s="74"/>
      <x:c r="I969" s="74"/>
      <x:c r="J969" s="74"/>
      <x:c r="K969" s="74"/>
      <x:c r="L969" s="74"/>
      <x:c r="M969" s="91"/>
      <x:c r="N969" s="91"/>
      <x:c r="O969" s="85"/>
      <x:c r="P969" s="85"/>
      <x:c r="Q969" s="85"/>
      <x:c r="R969" s="85"/>
      <x:c r="T969" s="86"/>
      <x:c r="U969" s="86"/>
      <x:c r="V969" s="32"/>
    </x:row>
    <x:row r="970">
      <x:c r="A970" s="87"/>
      <x:c r="B970" s="88"/>
      <x:c r="D970" s="32"/>
      <x:c r="G970" s="74"/>
      <x:c r="H970" s="74"/>
      <x:c r="I970" s="74"/>
      <x:c r="J970" s="74"/>
      <x:c r="K970" s="74"/>
      <x:c r="L970" s="74"/>
      <x:c r="M970" s="91"/>
      <x:c r="N970" s="91"/>
      <x:c r="O970" s="85"/>
      <x:c r="P970" s="85"/>
      <x:c r="Q970" s="85"/>
      <x:c r="R970" s="85"/>
      <x:c r="T970" s="86"/>
      <x:c r="U970" s="86"/>
      <x:c r="V970" s="32"/>
    </x:row>
    <x:row r="971">
      <x:c r="A971" s="87"/>
      <x:c r="B971" s="88"/>
      <x:c r="D971" s="32"/>
      <x:c r="G971" s="74"/>
      <x:c r="H971" s="74"/>
      <x:c r="I971" s="74"/>
      <x:c r="J971" s="74"/>
      <x:c r="K971" s="74"/>
      <x:c r="L971" s="74"/>
      <x:c r="M971" s="91"/>
      <x:c r="N971" s="91"/>
      <x:c r="O971" s="85"/>
      <x:c r="P971" s="85"/>
      <x:c r="Q971" s="85"/>
      <x:c r="R971" s="85"/>
      <x:c r="T971" s="86"/>
      <x:c r="U971" s="86"/>
      <x:c r="V971" s="32"/>
    </x:row>
    <x:row r="972">
      <x:c r="A972" s="87"/>
      <x:c r="B972" s="88"/>
      <x:c r="D972" s="32"/>
      <x:c r="G972" s="74"/>
      <x:c r="H972" s="74"/>
      <x:c r="I972" s="74"/>
      <x:c r="J972" s="74"/>
      <x:c r="K972" s="74"/>
      <x:c r="L972" s="74"/>
      <x:c r="M972" s="91"/>
      <x:c r="N972" s="91"/>
      <x:c r="O972" s="85"/>
      <x:c r="P972" s="85"/>
      <x:c r="Q972" s="85"/>
      <x:c r="R972" s="85"/>
      <x:c r="T972" s="86"/>
      <x:c r="U972" s="86"/>
      <x:c r="V972" s="32"/>
    </x:row>
    <x:row r="973">
      <x:c r="A973" s="87"/>
      <x:c r="B973" s="88"/>
      <x:c r="D973" s="32"/>
      <x:c r="G973" s="74"/>
      <x:c r="H973" s="74"/>
      <x:c r="I973" s="74"/>
      <x:c r="J973" s="74"/>
      <x:c r="K973" s="74"/>
      <x:c r="L973" s="74"/>
      <x:c r="M973" s="91"/>
      <x:c r="N973" s="91"/>
      <x:c r="O973" s="85"/>
      <x:c r="P973" s="85"/>
      <x:c r="Q973" s="85"/>
      <x:c r="R973" s="85"/>
      <x:c r="T973" s="86"/>
      <x:c r="U973" s="86"/>
      <x:c r="V973" s="32"/>
    </x:row>
    <x:row r="974">
      <x:c r="A974" s="87"/>
      <x:c r="B974" s="88"/>
      <x:c r="D974" s="32"/>
      <x:c r="G974" s="74"/>
      <x:c r="H974" s="74"/>
      <x:c r="I974" s="74"/>
      <x:c r="J974" s="74"/>
      <x:c r="K974" s="74"/>
      <x:c r="L974" s="74"/>
      <x:c r="M974" s="91"/>
      <x:c r="N974" s="91"/>
      <x:c r="O974" s="85"/>
      <x:c r="P974" s="85"/>
      <x:c r="Q974" s="85"/>
      <x:c r="R974" s="85"/>
      <x:c r="T974" s="86"/>
      <x:c r="U974" s="86"/>
      <x:c r="V974" s="32"/>
    </x:row>
    <x:row r="975">
      <x:c r="A975" s="87"/>
      <x:c r="B975" s="88"/>
      <x:c r="D975" s="32"/>
      <x:c r="G975" s="74"/>
      <x:c r="H975" s="74"/>
      <x:c r="I975" s="74"/>
      <x:c r="J975" s="74"/>
      <x:c r="K975" s="74"/>
      <x:c r="L975" s="74"/>
      <x:c r="M975" s="91"/>
      <x:c r="N975" s="91"/>
      <x:c r="O975" s="85"/>
      <x:c r="P975" s="85"/>
      <x:c r="Q975" s="85"/>
      <x:c r="R975" s="85"/>
      <x:c r="T975" s="86"/>
      <x:c r="U975" s="86"/>
      <x:c r="V975" s="32"/>
    </x:row>
    <x:row r="976">
      <x:c r="A976" s="87"/>
      <x:c r="B976" s="88"/>
      <x:c r="D976" s="32"/>
      <x:c r="G976" s="74"/>
      <x:c r="H976" s="74"/>
      <x:c r="I976" s="74"/>
      <x:c r="J976" s="74"/>
      <x:c r="K976" s="74"/>
      <x:c r="L976" s="74"/>
      <x:c r="M976" s="91"/>
      <x:c r="N976" s="91"/>
      <x:c r="O976" s="85"/>
      <x:c r="P976" s="85"/>
      <x:c r="Q976" s="85"/>
      <x:c r="R976" s="85"/>
      <x:c r="T976" s="86"/>
      <x:c r="U976" s="86"/>
      <x:c r="V976" s="32"/>
    </x:row>
    <x:row r="977">
      <x:c r="A977" s="87"/>
      <x:c r="B977" s="88"/>
      <x:c r="D977" s="32"/>
      <x:c r="G977" s="74"/>
      <x:c r="H977" s="74"/>
      <x:c r="I977" s="74"/>
      <x:c r="J977" s="74"/>
      <x:c r="K977" s="74"/>
      <x:c r="L977" s="74"/>
      <x:c r="M977" s="91"/>
      <x:c r="N977" s="91"/>
      <x:c r="O977" s="85"/>
      <x:c r="P977" s="85"/>
      <x:c r="Q977" s="85"/>
      <x:c r="R977" s="85"/>
      <x:c r="T977" s="86"/>
      <x:c r="U977" s="86"/>
      <x:c r="V977" s="32"/>
    </x:row>
    <x:row r="978">
      <x:c r="A978" s="87"/>
      <x:c r="B978" s="88"/>
      <x:c r="D978" s="32"/>
      <x:c r="G978" s="74"/>
      <x:c r="H978" s="74"/>
      <x:c r="I978" s="74"/>
      <x:c r="J978" s="74"/>
      <x:c r="K978" s="74"/>
      <x:c r="L978" s="74"/>
      <x:c r="M978" s="91"/>
      <x:c r="N978" s="91"/>
      <x:c r="O978" s="85"/>
      <x:c r="P978" s="85"/>
      <x:c r="Q978" s="85"/>
      <x:c r="R978" s="85"/>
      <x:c r="T978" s="86"/>
      <x:c r="U978" s="86"/>
      <x:c r="V978" s="32"/>
    </x:row>
    <x:row r="979">
      <x:c r="A979" s="87"/>
      <x:c r="B979" s="88"/>
      <x:c r="D979" s="32"/>
      <x:c r="G979" s="74"/>
      <x:c r="H979" s="74"/>
      <x:c r="I979" s="74"/>
      <x:c r="J979" s="74"/>
      <x:c r="K979" s="74"/>
      <x:c r="L979" s="74"/>
      <x:c r="M979" s="91"/>
      <x:c r="N979" s="91"/>
      <x:c r="O979" s="85"/>
      <x:c r="P979" s="85"/>
      <x:c r="Q979" s="85"/>
      <x:c r="R979" s="85"/>
      <x:c r="T979" s="86"/>
      <x:c r="U979" s="86"/>
      <x:c r="V979" s="32"/>
    </x:row>
    <x:row r="980">
      <x:c r="A980" s="87"/>
      <x:c r="B980" s="88"/>
      <x:c r="D980" s="32"/>
      <x:c r="G980" s="74"/>
      <x:c r="H980" s="74"/>
      <x:c r="I980" s="74"/>
      <x:c r="J980" s="74"/>
      <x:c r="K980" s="74"/>
      <x:c r="L980" s="74"/>
      <x:c r="M980" s="91"/>
      <x:c r="N980" s="91"/>
      <x:c r="O980" s="85"/>
      <x:c r="P980" s="85"/>
      <x:c r="Q980" s="85"/>
      <x:c r="R980" s="85"/>
      <x:c r="T980" s="86"/>
      <x:c r="U980" s="86"/>
      <x:c r="V980" s="32"/>
    </x:row>
    <x:row r="981">
      <x:c r="A981" s="87"/>
      <x:c r="B981" s="88"/>
      <x:c r="D981" s="32"/>
      <x:c r="G981" s="74"/>
      <x:c r="H981" s="74"/>
      <x:c r="I981" s="74"/>
      <x:c r="J981" s="74"/>
      <x:c r="K981" s="74"/>
      <x:c r="L981" s="74"/>
      <x:c r="M981" s="91"/>
      <x:c r="N981" s="91"/>
      <x:c r="O981" s="85"/>
      <x:c r="P981" s="85"/>
      <x:c r="Q981" s="85"/>
      <x:c r="R981" s="85"/>
      <x:c r="T981" s="86"/>
      <x:c r="U981" s="86"/>
      <x:c r="V981" s="32"/>
    </x:row>
    <x:row r="982">
      <x:c r="A982" s="87"/>
      <x:c r="B982" s="88"/>
      <x:c r="D982" s="32"/>
      <x:c r="G982" s="74"/>
      <x:c r="H982" s="74"/>
      <x:c r="I982" s="74"/>
      <x:c r="J982" s="74"/>
      <x:c r="K982" s="74"/>
      <x:c r="L982" s="74"/>
      <x:c r="M982" s="91"/>
      <x:c r="N982" s="91"/>
      <x:c r="O982" s="85"/>
      <x:c r="P982" s="85"/>
      <x:c r="Q982" s="85"/>
      <x:c r="R982" s="85"/>
      <x:c r="T982" s="86"/>
      <x:c r="U982" s="86"/>
      <x:c r="V982" s="32"/>
    </x:row>
    <x:row r="983">
      <x:c r="A983" s="87"/>
      <x:c r="B983" s="88"/>
      <x:c r="D983" s="32"/>
      <x:c r="G983" s="74"/>
      <x:c r="H983" s="74"/>
      <x:c r="I983" s="74"/>
      <x:c r="J983" s="74"/>
      <x:c r="K983" s="74"/>
      <x:c r="L983" s="74"/>
      <x:c r="M983" s="91"/>
      <x:c r="N983" s="91"/>
      <x:c r="O983" s="85"/>
      <x:c r="P983" s="85"/>
      <x:c r="Q983" s="85"/>
      <x:c r="R983" s="85"/>
      <x:c r="T983" s="86"/>
      <x:c r="U983" s="86"/>
      <x:c r="V983" s="32"/>
    </x:row>
    <x:row r="984">
      <x:c r="A984" s="87"/>
      <x:c r="B984" s="88"/>
      <x:c r="D984" s="32"/>
      <x:c r="G984" s="74"/>
      <x:c r="H984" s="74"/>
      <x:c r="I984" s="74"/>
      <x:c r="J984" s="74"/>
      <x:c r="K984" s="74"/>
      <x:c r="L984" s="74"/>
      <x:c r="M984" s="91"/>
      <x:c r="N984" s="91"/>
      <x:c r="O984" s="85"/>
      <x:c r="P984" s="85"/>
      <x:c r="Q984" s="85"/>
      <x:c r="R984" s="85"/>
      <x:c r="T984" s="86"/>
      <x:c r="U984" s="86"/>
      <x:c r="V984" s="32"/>
    </x:row>
    <x:row r="985">
      <x:c r="A985" s="87"/>
      <x:c r="B985" s="88"/>
      <x:c r="D985" s="32"/>
      <x:c r="G985" s="74"/>
      <x:c r="H985" s="74"/>
      <x:c r="I985" s="74"/>
      <x:c r="J985" s="74"/>
      <x:c r="K985" s="74"/>
      <x:c r="L985" s="74"/>
      <x:c r="M985" s="91"/>
      <x:c r="N985" s="91"/>
      <x:c r="O985" s="85"/>
      <x:c r="P985" s="85"/>
      <x:c r="Q985" s="85"/>
      <x:c r="R985" s="85"/>
      <x:c r="T985" s="86"/>
      <x:c r="U985" s="86"/>
      <x:c r="V985" s="32"/>
    </x:row>
    <x:row r="986">
      <x:c r="A986" s="87"/>
      <x:c r="B986" s="88"/>
      <x:c r="D986" s="32"/>
      <x:c r="G986" s="74"/>
      <x:c r="H986" s="74"/>
      <x:c r="I986" s="74"/>
      <x:c r="J986" s="74"/>
      <x:c r="K986" s="74"/>
      <x:c r="L986" s="74"/>
      <x:c r="M986" s="91"/>
      <x:c r="N986" s="91"/>
      <x:c r="O986" s="85"/>
      <x:c r="P986" s="85"/>
      <x:c r="Q986" s="85"/>
      <x:c r="R986" s="85"/>
      <x:c r="T986" s="86"/>
      <x:c r="U986" s="86"/>
      <x:c r="V986" s="32"/>
    </x:row>
    <x:row r="987">
      <x:c r="A987" s="87"/>
      <x:c r="B987" s="88"/>
      <x:c r="D987" s="32"/>
      <x:c r="G987" s="74"/>
      <x:c r="H987" s="74"/>
      <x:c r="I987" s="74"/>
      <x:c r="J987" s="74"/>
      <x:c r="K987" s="74"/>
      <x:c r="L987" s="74"/>
      <x:c r="M987" s="91"/>
      <x:c r="N987" s="91"/>
      <x:c r="O987" s="85"/>
      <x:c r="P987" s="85"/>
      <x:c r="Q987" s="85"/>
      <x:c r="R987" s="85"/>
      <x:c r="T987" s="86"/>
      <x:c r="U987" s="86"/>
      <x:c r="V987" s="32"/>
    </x:row>
    <x:row r="988">
      <x:c r="A988" s="87"/>
      <x:c r="B988" s="88"/>
      <x:c r="D988" s="32"/>
      <x:c r="G988" s="74"/>
      <x:c r="H988" s="74"/>
      <x:c r="I988" s="74"/>
      <x:c r="J988" s="74"/>
      <x:c r="K988" s="74"/>
      <x:c r="L988" s="74"/>
      <x:c r="M988" s="91"/>
      <x:c r="N988" s="91"/>
      <x:c r="O988" s="85"/>
      <x:c r="P988" s="85"/>
      <x:c r="Q988" s="85"/>
      <x:c r="R988" s="85"/>
      <x:c r="T988" s="86"/>
      <x:c r="U988" s="86"/>
      <x:c r="V988" s="32"/>
    </x:row>
    <x:row r="989">
      <x:c r="A989" s="87"/>
      <x:c r="B989" s="88"/>
      <x:c r="D989" s="32"/>
      <x:c r="G989" s="74"/>
      <x:c r="H989" s="74"/>
      <x:c r="I989" s="74"/>
      <x:c r="J989" s="74"/>
      <x:c r="K989" s="74"/>
      <x:c r="L989" s="74"/>
      <x:c r="M989" s="91"/>
      <x:c r="N989" s="91"/>
      <x:c r="O989" s="85"/>
      <x:c r="P989" s="85"/>
      <x:c r="Q989" s="85"/>
      <x:c r="R989" s="85"/>
      <x:c r="T989" s="86"/>
      <x:c r="U989" s="86"/>
      <x:c r="V989" s="32"/>
    </x:row>
    <x:row r="990">
      <x:c r="A990" s="87"/>
      <x:c r="B990" s="88"/>
      <x:c r="D990" s="32"/>
      <x:c r="G990" s="74"/>
      <x:c r="H990" s="74"/>
      <x:c r="I990" s="74"/>
      <x:c r="J990" s="74"/>
      <x:c r="K990" s="74"/>
      <x:c r="L990" s="74"/>
      <x:c r="M990" s="91"/>
      <x:c r="N990" s="91"/>
      <x:c r="O990" s="85"/>
      <x:c r="P990" s="85"/>
      <x:c r="Q990" s="85"/>
      <x:c r="R990" s="85"/>
      <x:c r="T990" s="86"/>
      <x:c r="U990" s="86"/>
      <x:c r="V990" s="32"/>
    </x:row>
    <x:row r="991">
      <x:c r="A991" s="87"/>
      <x:c r="B991" s="88"/>
      <x:c r="D991" s="32"/>
      <x:c r="G991" s="74"/>
      <x:c r="H991" s="74"/>
      <x:c r="I991" s="74"/>
      <x:c r="J991" s="74"/>
      <x:c r="K991" s="74"/>
      <x:c r="L991" s="74"/>
      <x:c r="M991" s="91"/>
      <x:c r="N991" s="91"/>
      <x:c r="O991" s="85"/>
      <x:c r="P991" s="85"/>
      <x:c r="Q991" s="85"/>
      <x:c r="R991" s="85"/>
      <x:c r="T991" s="86"/>
      <x:c r="U991" s="86"/>
      <x:c r="V991" s="32"/>
    </x:row>
    <x:row r="992">
      <x:c r="A992" s="87"/>
      <x:c r="B992" s="88"/>
      <x:c r="D992" s="32"/>
      <x:c r="G992" s="74"/>
      <x:c r="H992" s="74"/>
      <x:c r="I992" s="74"/>
      <x:c r="J992" s="74"/>
      <x:c r="K992" s="74"/>
      <x:c r="L992" s="74"/>
      <x:c r="M992" s="91"/>
      <x:c r="N992" s="91"/>
      <x:c r="O992" s="85"/>
      <x:c r="P992" s="85"/>
      <x:c r="Q992" s="85"/>
      <x:c r="R992" s="85"/>
      <x:c r="T992" s="86"/>
      <x:c r="U992" s="86"/>
      <x:c r="V992" s="32"/>
    </x:row>
    <x:row r="993">
      <x:c r="A993" s="87"/>
      <x:c r="B993" s="88"/>
      <x:c r="D993" s="32"/>
      <x:c r="G993" s="74"/>
      <x:c r="H993" s="74"/>
      <x:c r="I993" s="74"/>
      <x:c r="J993" s="74"/>
      <x:c r="K993" s="74"/>
      <x:c r="L993" s="74"/>
      <x:c r="M993" s="91"/>
      <x:c r="N993" s="91"/>
      <x:c r="O993" s="85"/>
      <x:c r="P993" s="85"/>
      <x:c r="Q993" s="85"/>
      <x:c r="R993" s="85"/>
      <x:c r="T993" s="86"/>
      <x:c r="U993" s="86"/>
      <x:c r="V993" s="32"/>
    </x:row>
    <x:row r="994">
      <x:c r="A994" s="87"/>
      <x:c r="B994" s="88"/>
      <x:c r="D994" s="32"/>
      <x:c r="G994" s="74"/>
      <x:c r="H994" s="74"/>
      <x:c r="I994" s="74"/>
      <x:c r="J994" s="74"/>
      <x:c r="K994" s="74"/>
      <x:c r="L994" s="74"/>
      <x:c r="M994" s="91"/>
      <x:c r="N994" s="91"/>
      <x:c r="O994" s="85"/>
      <x:c r="P994" s="85"/>
      <x:c r="Q994" s="85"/>
      <x:c r="R994" s="85"/>
      <x:c r="T994" s="86"/>
      <x:c r="U994" s="86"/>
      <x:c r="V994" s="32"/>
    </x:row>
    <x:row r="995">
      <x:c r="A995" s="87"/>
      <x:c r="B995" s="88"/>
      <x:c r="D995" s="32"/>
      <x:c r="G995" s="74"/>
      <x:c r="H995" s="74"/>
      <x:c r="I995" s="74"/>
      <x:c r="J995" s="74"/>
      <x:c r="K995" s="74"/>
      <x:c r="L995" s="74"/>
      <x:c r="M995" s="91"/>
      <x:c r="N995" s="91"/>
      <x:c r="O995" s="85"/>
      <x:c r="P995" s="85"/>
      <x:c r="Q995" s="85"/>
      <x:c r="R995" s="85"/>
      <x:c r="T995" s="86"/>
      <x:c r="U995" s="86"/>
      <x:c r="V995" s="32"/>
    </x:row>
    <x:row r="996">
      <x:c r="A996" s="87"/>
      <x:c r="B996" s="88"/>
      <x:c r="D996" s="32"/>
      <x:c r="G996" s="74"/>
      <x:c r="H996" s="74"/>
      <x:c r="I996" s="74"/>
      <x:c r="J996" s="74"/>
      <x:c r="K996" s="74"/>
      <x:c r="L996" s="74"/>
      <x:c r="M996" s="91"/>
      <x:c r="N996" s="91"/>
      <x:c r="O996" s="85"/>
      <x:c r="P996" s="85"/>
      <x:c r="Q996" s="85"/>
      <x:c r="R996" s="85"/>
      <x:c r="T996" s="86"/>
      <x:c r="U996" s="86"/>
      <x:c r="V996" s="32"/>
    </x:row>
    <x:row r="997">
      <x:c r="A997" s="87"/>
      <x:c r="B997" s="88"/>
      <x:c r="D997" s="32"/>
      <x:c r="G997" s="74"/>
      <x:c r="H997" s="74"/>
      <x:c r="I997" s="74"/>
      <x:c r="J997" s="74"/>
      <x:c r="K997" s="74"/>
      <x:c r="L997" s="74"/>
      <x:c r="M997" s="91"/>
      <x:c r="N997" s="91"/>
      <x:c r="O997" s="85"/>
      <x:c r="P997" s="85"/>
      <x:c r="Q997" s="85"/>
      <x:c r="R997" s="85"/>
      <x:c r="T997" s="86"/>
      <x:c r="U997" s="86"/>
      <x:c r="V997" s="32"/>
    </x:row>
    <x:row r="998">
      <x:c r="A998" s="87"/>
      <x:c r="B998" s="88"/>
      <x:c r="D998" s="32"/>
      <x:c r="G998" s="74"/>
      <x:c r="H998" s="74"/>
      <x:c r="I998" s="74"/>
      <x:c r="J998" s="74"/>
      <x:c r="K998" s="74"/>
      <x:c r="L998" s="74"/>
      <x:c r="M998" s="91"/>
      <x:c r="N998" s="91"/>
      <x:c r="O998" s="85"/>
      <x:c r="P998" s="85"/>
      <x:c r="Q998" s="85"/>
      <x:c r="R998" s="85"/>
      <x:c r="T998" s="86"/>
      <x:c r="U998" s="86"/>
      <x:c r="V998" s="32"/>
    </x:row>
    <x:row r="999">
      <x:c r="A999" s="87"/>
      <x:c r="B999" s="88"/>
      <x:c r="D999" s="32"/>
      <x:c r="G999" s="74"/>
      <x:c r="H999" s="74"/>
      <x:c r="I999" s="74"/>
      <x:c r="J999" s="74"/>
      <x:c r="K999" s="74"/>
      <x:c r="L999" s="74"/>
      <x:c r="M999" s="91"/>
      <x:c r="N999" s="91"/>
      <x:c r="O999" s="85"/>
      <x:c r="P999" s="85"/>
      <x:c r="Q999" s="85"/>
      <x:c r="R999" s="85"/>
      <x:c r="T999" s="86"/>
      <x:c r="U999" s="86"/>
      <x:c r="V999" s="32"/>
    </x:row>
    <x:row r="1000">
      <x:c r="A1000" s="87"/>
      <x:c r="B1000" s="88"/>
      <x:c r="D1000" s="32"/>
      <x:c r="G1000" s="74"/>
      <x:c r="H1000" s="74"/>
      <x:c r="I1000" s="74"/>
      <x:c r="J1000" s="74"/>
      <x:c r="K1000" s="74"/>
      <x:c r="L1000" s="74"/>
      <x:c r="M1000" s="91"/>
      <x:c r="N1000" s="91"/>
      <x:c r="O1000" s="85"/>
      <x:c r="P1000" s="85"/>
      <x:c r="Q1000" s="85"/>
      <x:c r="R1000" s="85"/>
      <x:c r="T1000" s="86"/>
      <x:c r="U1000" s="86"/>
      <x:c r="V1000" s="32"/>
    </x:row>
    <x:row r="1001">
      <x:c r="A1001" s="87"/>
      <x:c r="B1001" s="88"/>
      <x:c r="D1001" s="32"/>
      <x:c r="G1001" s="74"/>
      <x:c r="H1001" s="74"/>
      <x:c r="I1001" s="74"/>
      <x:c r="J1001" s="74"/>
      <x:c r="K1001" s="74"/>
      <x:c r="L1001" s="74"/>
      <x:c r="M1001" s="91"/>
      <x:c r="N1001" s="91"/>
      <x:c r="O1001" s="85"/>
      <x:c r="P1001" s="85"/>
      <x:c r="Q1001" s="85"/>
      <x:c r="R1001" s="85"/>
      <x:c r="T1001" s="86"/>
      <x:c r="U1001" s="86"/>
      <x:c r="V1001" s="32"/>
    </x:row>
    <x:row r="1002">
      <x:c r="A1002" s="87"/>
      <x:c r="B1002" s="88"/>
      <x:c r="D1002" s="32"/>
      <x:c r="G1002" s="74"/>
      <x:c r="H1002" s="74"/>
      <x:c r="I1002" s="74"/>
      <x:c r="J1002" s="74"/>
      <x:c r="K1002" s="74"/>
      <x:c r="L1002" s="74"/>
      <x:c r="M1002" s="91"/>
      <x:c r="N1002" s="91"/>
      <x:c r="O1002" s="85"/>
      <x:c r="P1002" s="85"/>
      <x:c r="Q1002" s="85"/>
      <x:c r="R1002" s="85"/>
      <x:c r="T1002" s="86"/>
      <x:c r="U1002" s="86"/>
      <x:c r="V1002" s="32"/>
    </x:row>
    <x:row r="1003">
      <x:c r="A1003" s="87"/>
      <x:c r="B1003" s="88"/>
      <x:c r="D1003" s="32"/>
      <x:c r="G1003" s="74"/>
      <x:c r="H1003" s="74"/>
      <x:c r="I1003" s="74"/>
      <x:c r="J1003" s="74"/>
      <x:c r="K1003" s="74"/>
      <x:c r="L1003" s="74"/>
      <x:c r="M1003" s="91"/>
      <x:c r="N1003" s="91"/>
      <x:c r="O1003" s="85"/>
      <x:c r="P1003" s="85"/>
      <x:c r="Q1003" s="85"/>
      <x:c r="R1003" s="85"/>
      <x:c r="T1003" s="86"/>
      <x:c r="U1003" s="86"/>
      <x:c r="V1003" s="32"/>
    </x:row>
    <x:row r="1004">
      <x:c r="A1004" s="87"/>
      <x:c r="B1004" s="88"/>
      <x:c r="D1004" s="32"/>
      <x:c r="G1004" s="74"/>
      <x:c r="H1004" s="74"/>
      <x:c r="I1004" s="74"/>
      <x:c r="J1004" s="74"/>
      <x:c r="K1004" s="74"/>
      <x:c r="L1004" s="74"/>
      <x:c r="M1004" s="91"/>
      <x:c r="N1004" s="91"/>
      <x:c r="O1004" s="85"/>
      <x:c r="P1004" s="85"/>
      <x:c r="Q1004" s="85"/>
      <x:c r="R1004" s="85"/>
      <x:c r="T1004" s="86"/>
      <x:c r="U1004" s="86"/>
      <x:c r="V1004" s="32"/>
    </x:row>
    <x:row r="1005">
      <x:c r="A1005" s="87"/>
      <x:c r="B1005" s="88"/>
      <x:c r="D1005" s="32"/>
      <x:c r="G1005" s="74"/>
      <x:c r="H1005" s="74"/>
      <x:c r="I1005" s="74"/>
      <x:c r="J1005" s="74"/>
      <x:c r="K1005" s="74"/>
      <x:c r="L1005" s="74"/>
      <x:c r="M1005" s="91"/>
      <x:c r="N1005" s="91"/>
      <x:c r="O1005" s="85"/>
      <x:c r="P1005" s="85"/>
      <x:c r="Q1005" s="85"/>
      <x:c r="R1005" s="85"/>
      <x:c r="T1005" s="86"/>
      <x:c r="U1005" s="86"/>
      <x:c r="V1005" s="32"/>
    </x:row>
    <x:row r="1006">
      <x:c r="A1006" s="87"/>
      <x:c r="B1006" s="88"/>
      <x:c r="D1006" s="32"/>
      <x:c r="G1006" s="74"/>
      <x:c r="H1006" s="74"/>
      <x:c r="I1006" s="74"/>
      <x:c r="J1006" s="74"/>
      <x:c r="K1006" s="74"/>
      <x:c r="L1006" s="74"/>
      <x:c r="M1006" s="91"/>
      <x:c r="N1006" s="91"/>
      <x:c r="O1006" s="85"/>
      <x:c r="P1006" s="85"/>
      <x:c r="Q1006" s="85"/>
      <x:c r="R1006" s="85"/>
      <x:c r="T1006" s="86"/>
      <x:c r="U1006" s="86"/>
      <x:c r="V1006" s="32"/>
    </x:row>
    <x:row r="1007">
      <x:c r="A1007" s="87"/>
      <x:c r="B1007" s="88"/>
      <x:c r="D1007" s="32"/>
      <x:c r="G1007" s="74"/>
      <x:c r="H1007" s="74"/>
      <x:c r="I1007" s="74"/>
      <x:c r="J1007" s="74"/>
      <x:c r="K1007" s="74"/>
      <x:c r="L1007" s="74"/>
      <x:c r="M1007" s="91"/>
      <x:c r="N1007" s="91"/>
      <x:c r="O1007" s="85"/>
      <x:c r="P1007" s="85"/>
      <x:c r="Q1007" s="85"/>
      <x:c r="R1007" s="85"/>
      <x:c r="T1007" s="86"/>
      <x:c r="U1007" s="86"/>
      <x:c r="V1007" s="32"/>
    </x:row>
    <x:row r="1008">
      <x:c r="A1008" s="87"/>
      <x:c r="B1008" s="88"/>
      <x:c r="D1008" s="32"/>
      <x:c r="G1008" s="74"/>
      <x:c r="H1008" s="74"/>
      <x:c r="I1008" s="74"/>
      <x:c r="J1008" s="74"/>
      <x:c r="K1008" s="74"/>
      <x:c r="L1008" s="74"/>
      <x:c r="M1008" s="91"/>
      <x:c r="N1008" s="91"/>
      <x:c r="O1008" s="85"/>
      <x:c r="P1008" s="85"/>
      <x:c r="Q1008" s="85"/>
      <x:c r="R1008" s="85"/>
      <x:c r="T1008" s="86"/>
      <x:c r="U1008" s="86"/>
      <x:c r="V1008" s="32"/>
    </x:row>
    <x:row r="1009">
      <x:c r="A1009" s="87"/>
      <x:c r="B1009" s="88"/>
      <x:c r="D1009" s="32"/>
      <x:c r="G1009" s="74"/>
      <x:c r="H1009" s="74"/>
      <x:c r="I1009" s="74"/>
      <x:c r="J1009" s="74"/>
      <x:c r="K1009" s="74"/>
      <x:c r="L1009" s="74"/>
      <x:c r="M1009" s="91"/>
      <x:c r="N1009" s="91"/>
      <x:c r="O1009" s="85"/>
      <x:c r="P1009" s="85"/>
      <x:c r="Q1009" s="85"/>
      <x:c r="R1009" s="85"/>
      <x:c r="T1009" s="86"/>
      <x:c r="U1009" s="86"/>
      <x:c r="V1009" s="32"/>
    </x:row>
    <x:row r="1010">
      <x:c r="A1010" s="87"/>
      <x:c r="B1010" s="88"/>
      <x:c r="D1010" s="32"/>
      <x:c r="G1010" s="74"/>
      <x:c r="H1010" s="74"/>
      <x:c r="I1010" s="74"/>
      <x:c r="J1010" s="74"/>
      <x:c r="K1010" s="74"/>
      <x:c r="L1010" s="74"/>
      <x:c r="M1010" s="91"/>
      <x:c r="N1010" s="91"/>
      <x:c r="O1010" s="85"/>
      <x:c r="P1010" s="85"/>
      <x:c r="Q1010" s="85"/>
      <x:c r="R1010" s="85"/>
      <x:c r="T1010" s="86"/>
      <x:c r="U1010" s="86"/>
      <x:c r="V1010" s="32"/>
    </x:row>
    <x:row r="1011">
      <x:c r="A1011" s="87"/>
      <x:c r="B1011" s="88"/>
      <x:c r="D1011" s="32"/>
      <x:c r="G1011" s="74"/>
      <x:c r="H1011" s="74"/>
      <x:c r="I1011" s="74"/>
      <x:c r="J1011" s="74"/>
      <x:c r="K1011" s="74"/>
      <x:c r="L1011" s="74"/>
      <x:c r="M1011" s="91"/>
      <x:c r="N1011" s="91"/>
      <x:c r="O1011" s="85"/>
      <x:c r="P1011" s="85"/>
      <x:c r="Q1011" s="85"/>
      <x:c r="R1011" s="85"/>
      <x:c r="T1011" s="86"/>
      <x:c r="U1011" s="86"/>
      <x:c r="V1011" s="32"/>
    </x:row>
    <x:row r="1012">
      <x:c r="A1012" s="87"/>
      <x:c r="B1012" s="88"/>
      <x:c r="D1012" s="32"/>
      <x:c r="G1012" s="74"/>
      <x:c r="H1012" s="74"/>
      <x:c r="I1012" s="74"/>
      <x:c r="J1012" s="74"/>
      <x:c r="K1012" s="74"/>
      <x:c r="L1012" s="74"/>
      <x:c r="M1012" s="91"/>
      <x:c r="N1012" s="91"/>
      <x:c r="O1012" s="85"/>
      <x:c r="P1012" s="85"/>
      <x:c r="Q1012" s="85"/>
      <x:c r="R1012" s="85"/>
      <x:c r="T1012" s="86"/>
      <x:c r="U1012" s="86"/>
      <x:c r="V1012" s="32"/>
    </x:row>
    <x:row r="1013">
      <x:c r="A1013" s="87"/>
      <x:c r="B1013" s="88"/>
      <x:c r="D1013" s="32"/>
      <x:c r="G1013" s="74"/>
      <x:c r="H1013" s="74"/>
      <x:c r="I1013" s="74"/>
      <x:c r="J1013" s="74"/>
      <x:c r="K1013" s="74"/>
      <x:c r="L1013" s="74"/>
      <x:c r="M1013" s="91"/>
      <x:c r="N1013" s="91"/>
      <x:c r="O1013" s="85"/>
      <x:c r="P1013" s="85"/>
      <x:c r="Q1013" s="85"/>
      <x:c r="R1013" s="85"/>
      <x:c r="T1013" s="86"/>
      <x:c r="U1013" s="86"/>
      <x:c r="V1013" s="32"/>
    </x:row>
    <x:row r="1014">
      <x:c r="A1014" s="87"/>
      <x:c r="B1014" s="88"/>
      <x:c r="D1014" s="32"/>
      <x:c r="G1014" s="74"/>
      <x:c r="H1014" s="74"/>
      <x:c r="I1014" s="74"/>
      <x:c r="J1014" s="74"/>
      <x:c r="K1014" s="74"/>
      <x:c r="L1014" s="74"/>
      <x:c r="M1014" s="91"/>
      <x:c r="N1014" s="91"/>
      <x:c r="O1014" s="85"/>
      <x:c r="P1014" s="85"/>
      <x:c r="Q1014" s="85"/>
      <x:c r="R1014" s="85"/>
      <x:c r="T1014" s="86"/>
      <x:c r="U1014" s="86"/>
      <x:c r="V1014" s="32"/>
    </x:row>
    <x:row r="1015">
      <x:c r="A1015" s="87"/>
      <x:c r="B1015" s="88"/>
      <x:c r="D1015" s="32"/>
      <x:c r="G1015" s="74"/>
      <x:c r="H1015" s="74"/>
      <x:c r="I1015" s="74"/>
      <x:c r="J1015" s="74"/>
      <x:c r="K1015" s="74"/>
      <x:c r="L1015" s="74"/>
      <x:c r="M1015" s="91"/>
      <x:c r="N1015" s="91"/>
      <x:c r="O1015" s="85"/>
      <x:c r="P1015" s="85"/>
      <x:c r="Q1015" s="85"/>
      <x:c r="R1015" s="85"/>
      <x:c r="T1015" s="86"/>
      <x:c r="U1015" s="86"/>
      <x:c r="V1015" s="32"/>
    </x:row>
    <x:row r="1016">
      <x:c r="A1016" s="87"/>
      <x:c r="B1016" s="88"/>
      <x:c r="D1016" s="32"/>
      <x:c r="G1016" s="74"/>
      <x:c r="H1016" s="74"/>
      <x:c r="I1016" s="74"/>
      <x:c r="J1016" s="74"/>
      <x:c r="K1016" s="74"/>
      <x:c r="L1016" s="74"/>
      <x:c r="M1016" s="91"/>
      <x:c r="N1016" s="91"/>
      <x:c r="O1016" s="85"/>
      <x:c r="P1016" s="85"/>
      <x:c r="Q1016" s="85"/>
      <x:c r="R1016" s="85"/>
      <x:c r="T1016" s="86"/>
      <x:c r="U1016" s="86"/>
      <x:c r="V1016" s="32"/>
    </x:row>
    <x:row r="1017">
      <x:c r="A1017" s="87"/>
      <x:c r="B1017" s="88"/>
      <x:c r="D1017" s="32"/>
      <x:c r="G1017" s="74"/>
      <x:c r="H1017" s="74"/>
      <x:c r="I1017" s="74"/>
      <x:c r="J1017" s="74"/>
      <x:c r="K1017" s="74"/>
      <x:c r="L1017" s="74"/>
      <x:c r="M1017" s="91"/>
      <x:c r="N1017" s="91"/>
      <x:c r="O1017" s="85"/>
      <x:c r="P1017" s="85"/>
      <x:c r="Q1017" s="85"/>
      <x:c r="R1017" s="85"/>
      <x:c r="T1017" s="86"/>
      <x:c r="U1017" s="86"/>
      <x:c r="V1017" s="32"/>
    </x:row>
    <x:row r="1018">
      <x:c r="A1018" s="87"/>
      <x:c r="B1018" s="88"/>
      <x:c r="D1018" s="32"/>
      <x:c r="G1018" s="74"/>
      <x:c r="H1018" s="74"/>
      <x:c r="I1018" s="74"/>
      <x:c r="J1018" s="74"/>
      <x:c r="K1018" s="74"/>
      <x:c r="L1018" s="74"/>
      <x:c r="M1018" s="91"/>
      <x:c r="N1018" s="91"/>
      <x:c r="O1018" s="85"/>
      <x:c r="P1018" s="85"/>
      <x:c r="Q1018" s="85"/>
      <x:c r="R1018" s="85"/>
      <x:c r="T1018" s="86"/>
      <x:c r="U1018" s="86"/>
      <x:c r="V1018" s="32"/>
    </x:row>
    <x:row r="1019">
      <x:c r="A1019" s="87"/>
      <x:c r="B1019" s="88"/>
      <x:c r="D1019" s="32"/>
      <x:c r="G1019" s="74"/>
      <x:c r="H1019" s="74"/>
      <x:c r="I1019" s="74"/>
      <x:c r="J1019" s="74"/>
      <x:c r="K1019" s="74"/>
      <x:c r="L1019" s="74"/>
      <x:c r="M1019" s="91"/>
      <x:c r="N1019" s="91"/>
      <x:c r="O1019" s="85"/>
      <x:c r="P1019" s="85"/>
      <x:c r="Q1019" s="85"/>
      <x:c r="R1019" s="85"/>
      <x:c r="T1019" s="86"/>
      <x:c r="U1019" s="86"/>
      <x:c r="V1019" s="32"/>
    </x:row>
    <x:row r="1020">
      <x:c r="A1020" s="87"/>
      <x:c r="B1020" s="88"/>
      <x:c r="D1020" s="32"/>
      <x:c r="G1020" s="74"/>
      <x:c r="H1020" s="74"/>
      <x:c r="I1020" s="74"/>
      <x:c r="J1020" s="74"/>
      <x:c r="K1020" s="74"/>
      <x:c r="L1020" s="74"/>
      <x:c r="M1020" s="91"/>
      <x:c r="N1020" s="91"/>
      <x:c r="O1020" s="85"/>
      <x:c r="P1020" s="85"/>
      <x:c r="Q1020" s="85"/>
      <x:c r="R1020" s="85"/>
      <x:c r="T1020" s="86"/>
      <x:c r="U1020" s="86"/>
      <x:c r="V1020" s="32"/>
    </x:row>
    <x:row r="1021">
      <x:c r="A1021" s="87"/>
      <x:c r="B1021" s="88"/>
      <x:c r="D1021" s="32"/>
      <x:c r="G1021" s="74"/>
      <x:c r="H1021" s="74"/>
      <x:c r="I1021" s="74"/>
      <x:c r="J1021" s="74"/>
      <x:c r="K1021" s="74"/>
      <x:c r="L1021" s="74"/>
      <x:c r="M1021" s="91"/>
      <x:c r="N1021" s="91"/>
      <x:c r="O1021" s="85"/>
      <x:c r="P1021" s="85"/>
      <x:c r="Q1021" s="85"/>
      <x:c r="R1021" s="85"/>
      <x:c r="T1021" s="86"/>
      <x:c r="U1021" s="86"/>
      <x:c r="V1021" s="32"/>
    </x:row>
    <x:row r="1022">
      <x:c r="A1022" s="87"/>
      <x:c r="B1022" s="88"/>
      <x:c r="D1022" s="32"/>
      <x:c r="G1022" s="74"/>
      <x:c r="H1022" s="74"/>
      <x:c r="I1022" s="74"/>
      <x:c r="J1022" s="74"/>
      <x:c r="K1022" s="74"/>
      <x:c r="L1022" s="74"/>
      <x:c r="M1022" s="91"/>
      <x:c r="N1022" s="91"/>
      <x:c r="O1022" s="85"/>
      <x:c r="P1022" s="85"/>
      <x:c r="Q1022" s="85"/>
      <x:c r="R1022" s="85"/>
      <x:c r="T1022" s="86"/>
      <x:c r="U1022" s="86"/>
      <x:c r="V1022" s="32"/>
    </x:row>
    <x:row r="1023">
      <x:c r="A1023" s="87"/>
      <x:c r="B1023" s="88"/>
      <x:c r="D1023" s="32"/>
      <x:c r="G1023" s="74"/>
      <x:c r="H1023" s="74"/>
      <x:c r="I1023" s="74"/>
      <x:c r="J1023" s="74"/>
      <x:c r="K1023" s="74"/>
      <x:c r="L1023" s="74"/>
      <x:c r="M1023" s="91"/>
      <x:c r="N1023" s="91"/>
      <x:c r="O1023" s="85"/>
      <x:c r="P1023" s="85"/>
      <x:c r="Q1023" s="85"/>
      <x:c r="R1023" s="85"/>
      <x:c r="T1023" s="86"/>
      <x:c r="U1023" s="86"/>
      <x:c r="V1023" s="32"/>
    </x:row>
    <x:row r="1024">
      <x:c r="A1024" s="87"/>
      <x:c r="B1024" s="88"/>
      <x:c r="D1024" s="32"/>
      <x:c r="G1024" s="74"/>
      <x:c r="H1024" s="74"/>
      <x:c r="I1024" s="74"/>
      <x:c r="J1024" s="74"/>
      <x:c r="K1024" s="74"/>
      <x:c r="L1024" s="74"/>
      <x:c r="M1024" s="91"/>
      <x:c r="N1024" s="91"/>
      <x:c r="O1024" s="85"/>
      <x:c r="P1024" s="85"/>
      <x:c r="Q1024" s="85"/>
      <x:c r="R1024" s="85"/>
      <x:c r="T1024" s="86"/>
      <x:c r="U1024" s="86"/>
      <x:c r="V1024" s="32"/>
    </x:row>
    <x:row r="1025">
      <x:c r="A1025" s="87"/>
      <x:c r="B1025" s="88"/>
      <x:c r="D1025" s="32"/>
      <x:c r="G1025" s="74"/>
      <x:c r="H1025" s="74"/>
      <x:c r="I1025" s="74"/>
      <x:c r="J1025" s="74"/>
      <x:c r="K1025" s="74"/>
      <x:c r="L1025" s="74"/>
      <x:c r="M1025" s="91"/>
      <x:c r="N1025" s="91"/>
      <x:c r="O1025" s="85"/>
      <x:c r="P1025" s="85"/>
      <x:c r="Q1025" s="85"/>
      <x:c r="R1025" s="85"/>
      <x:c r="T1025" s="86"/>
      <x:c r="U1025" s="86"/>
      <x:c r="V1025" s="32"/>
    </x:row>
    <x:row r="1026">
      <x:c r="A1026" s="87"/>
      <x:c r="B1026" s="88"/>
      <x:c r="D1026" s="32"/>
      <x:c r="G1026" s="74"/>
      <x:c r="H1026" s="74"/>
      <x:c r="I1026" s="74"/>
      <x:c r="J1026" s="74"/>
      <x:c r="K1026" s="74"/>
      <x:c r="L1026" s="74"/>
      <x:c r="M1026" s="91"/>
      <x:c r="N1026" s="91"/>
      <x:c r="O1026" s="85"/>
      <x:c r="P1026" s="85"/>
      <x:c r="Q1026" s="85"/>
      <x:c r="R1026" s="85"/>
      <x:c r="T1026" s="86"/>
      <x:c r="U1026" s="86"/>
      <x:c r="V1026" s="32"/>
    </x:row>
    <x:row r="1027">
      <x:c r="A1027" s="87"/>
      <x:c r="B1027" s="88"/>
      <x:c r="D1027" s="32"/>
      <x:c r="G1027" s="74"/>
      <x:c r="H1027" s="74"/>
      <x:c r="I1027" s="74"/>
      <x:c r="J1027" s="74"/>
      <x:c r="K1027" s="74"/>
      <x:c r="L1027" s="74"/>
      <x:c r="M1027" s="91"/>
      <x:c r="N1027" s="91"/>
      <x:c r="O1027" s="85"/>
      <x:c r="P1027" s="85"/>
      <x:c r="Q1027" s="85"/>
      <x:c r="R1027" s="85"/>
      <x:c r="T1027" s="86"/>
      <x:c r="U1027" s="86"/>
      <x:c r="V1027" s="32"/>
    </x:row>
    <x:row r="1028">
      <x:c r="A1028" s="87"/>
      <x:c r="B1028" s="88"/>
      <x:c r="D1028" s="32"/>
      <x:c r="G1028" s="74"/>
      <x:c r="H1028" s="74"/>
      <x:c r="I1028" s="74"/>
      <x:c r="J1028" s="74"/>
      <x:c r="K1028" s="74"/>
      <x:c r="L1028" s="74"/>
      <x:c r="M1028" s="91"/>
      <x:c r="N1028" s="91"/>
      <x:c r="O1028" s="85"/>
      <x:c r="P1028" s="85"/>
      <x:c r="Q1028" s="85"/>
      <x:c r="R1028" s="85"/>
      <x:c r="T1028" s="86"/>
      <x:c r="U1028" s="86"/>
      <x:c r="V1028" s="32"/>
    </x:row>
    <x:row r="1029">
      <x:c r="A1029" s="87"/>
      <x:c r="B1029" s="88"/>
      <x:c r="D1029" s="32"/>
      <x:c r="G1029" s="74"/>
      <x:c r="H1029" s="74"/>
      <x:c r="I1029" s="74"/>
      <x:c r="J1029" s="74"/>
      <x:c r="K1029" s="74"/>
      <x:c r="L1029" s="74"/>
      <x:c r="M1029" s="91"/>
      <x:c r="N1029" s="91"/>
      <x:c r="O1029" s="85"/>
      <x:c r="P1029" s="85"/>
      <x:c r="Q1029" s="85"/>
      <x:c r="R1029" s="85"/>
      <x:c r="T1029" s="86"/>
      <x:c r="U1029" s="86"/>
      <x:c r="V1029" s="32"/>
    </x:row>
    <x:row r="1030">
      <x:c r="A1030" s="87"/>
      <x:c r="B1030" s="88"/>
      <x:c r="D1030" s="32"/>
      <x:c r="G1030" s="74"/>
      <x:c r="H1030" s="74"/>
      <x:c r="I1030" s="74"/>
      <x:c r="J1030" s="74"/>
      <x:c r="K1030" s="74"/>
      <x:c r="L1030" s="74"/>
      <x:c r="M1030" s="91"/>
      <x:c r="N1030" s="91"/>
      <x:c r="O1030" s="85"/>
      <x:c r="P1030" s="85"/>
      <x:c r="Q1030" s="85"/>
      <x:c r="R1030" s="85"/>
      <x:c r="T1030" s="86"/>
      <x:c r="U1030" s="86"/>
      <x:c r="V1030" s="32"/>
    </x:row>
    <x:row r="1031">
      <x:c r="A1031" s="87"/>
      <x:c r="B1031" s="88"/>
      <x:c r="D1031" s="32"/>
      <x:c r="G1031" s="74"/>
      <x:c r="H1031" s="74"/>
      <x:c r="I1031" s="74"/>
      <x:c r="J1031" s="74"/>
      <x:c r="K1031" s="74"/>
      <x:c r="L1031" s="74"/>
      <x:c r="M1031" s="91"/>
      <x:c r="N1031" s="91"/>
      <x:c r="O1031" s="85"/>
      <x:c r="P1031" s="85"/>
      <x:c r="Q1031" s="85"/>
      <x:c r="R1031" s="85"/>
      <x:c r="T1031" s="86"/>
      <x:c r="U1031" s="86"/>
      <x:c r="V1031" s="32"/>
    </x:row>
    <x:row r="1032">
      <x:c r="A1032" s="87"/>
      <x:c r="B1032" s="88"/>
      <x:c r="D1032" s="32"/>
      <x:c r="G1032" s="74"/>
      <x:c r="H1032" s="74"/>
      <x:c r="I1032" s="74"/>
      <x:c r="J1032" s="74"/>
      <x:c r="K1032" s="74"/>
      <x:c r="L1032" s="74"/>
      <x:c r="M1032" s="91"/>
      <x:c r="N1032" s="91"/>
      <x:c r="O1032" s="85"/>
      <x:c r="P1032" s="85"/>
      <x:c r="Q1032" s="85"/>
      <x:c r="R1032" s="85"/>
      <x:c r="T1032" s="86"/>
      <x:c r="U1032" s="86"/>
      <x:c r="V1032" s="32"/>
    </x:row>
    <x:row r="1033">
      <x:c r="A1033" s="87"/>
      <x:c r="B1033" s="88"/>
      <x:c r="D1033" s="32"/>
      <x:c r="G1033" s="74"/>
      <x:c r="H1033" s="74"/>
      <x:c r="I1033" s="74"/>
      <x:c r="J1033" s="74"/>
      <x:c r="K1033" s="74"/>
      <x:c r="L1033" s="74"/>
      <x:c r="M1033" s="91"/>
      <x:c r="N1033" s="91"/>
      <x:c r="O1033" s="85"/>
      <x:c r="P1033" s="85"/>
      <x:c r="Q1033" s="85"/>
      <x:c r="R1033" s="85"/>
      <x:c r="T1033" s="86"/>
      <x:c r="U1033" s="86"/>
      <x:c r="V1033" s="32"/>
    </x:row>
    <x:row r="1034">
      <x:c r="A1034" s="87"/>
      <x:c r="B1034" s="88"/>
      <x:c r="D1034" s="32"/>
      <x:c r="G1034" s="74"/>
      <x:c r="H1034" s="74"/>
      <x:c r="I1034" s="74"/>
      <x:c r="J1034" s="74"/>
      <x:c r="K1034" s="74"/>
      <x:c r="L1034" s="74"/>
      <x:c r="M1034" s="91"/>
      <x:c r="N1034" s="91"/>
      <x:c r="O1034" s="85"/>
      <x:c r="P1034" s="85"/>
      <x:c r="Q1034" s="85"/>
      <x:c r="R1034" s="85"/>
      <x:c r="T1034" s="86"/>
      <x:c r="U1034" s="86"/>
      <x:c r="V1034" s="32"/>
    </x:row>
    <x:row r="1035">
      <x:c r="A1035" s="87"/>
      <x:c r="B1035" s="88"/>
      <x:c r="D1035" s="32"/>
      <x:c r="G1035" s="74"/>
      <x:c r="H1035" s="74"/>
      <x:c r="I1035" s="74"/>
      <x:c r="J1035" s="74"/>
      <x:c r="K1035" s="74"/>
      <x:c r="L1035" s="74"/>
      <x:c r="M1035" s="91"/>
      <x:c r="N1035" s="91"/>
      <x:c r="O1035" s="85"/>
      <x:c r="P1035" s="85"/>
      <x:c r="Q1035" s="85"/>
      <x:c r="R1035" s="85"/>
      <x:c r="T1035" s="86"/>
      <x:c r="U1035" s="86"/>
      <x:c r="V1035" s="32"/>
    </x:row>
    <x:row r="1036">
      <x:c r="A1036" s="87"/>
      <x:c r="B1036" s="88"/>
      <x:c r="D1036" s="32"/>
      <x:c r="G1036" s="74"/>
      <x:c r="H1036" s="74"/>
      <x:c r="I1036" s="74"/>
      <x:c r="J1036" s="74"/>
      <x:c r="K1036" s="74"/>
      <x:c r="L1036" s="74"/>
      <x:c r="M1036" s="91"/>
      <x:c r="N1036" s="91"/>
      <x:c r="O1036" s="85"/>
      <x:c r="P1036" s="85"/>
      <x:c r="Q1036" s="85"/>
      <x:c r="R1036" s="85"/>
      <x:c r="T1036" s="86"/>
      <x:c r="U1036" s="86"/>
      <x:c r="V1036" s="32"/>
    </x:row>
    <x:row r="1037">
      <x:c r="A1037" s="87"/>
      <x:c r="B1037" s="88"/>
      <x:c r="D1037" s="32"/>
      <x:c r="G1037" s="74"/>
      <x:c r="H1037" s="74"/>
      <x:c r="I1037" s="74"/>
      <x:c r="J1037" s="74"/>
      <x:c r="K1037" s="74"/>
      <x:c r="L1037" s="74"/>
      <x:c r="M1037" s="91"/>
      <x:c r="N1037" s="91"/>
      <x:c r="O1037" s="85"/>
      <x:c r="P1037" s="85"/>
      <x:c r="Q1037" s="85"/>
      <x:c r="R1037" s="85"/>
      <x:c r="T1037" s="86"/>
      <x:c r="U1037" s="86"/>
      <x:c r="V1037" s="32"/>
    </x:row>
    <x:row r="1038">
      <x:c r="A1038" s="87"/>
      <x:c r="B1038" s="88"/>
      <x:c r="D1038" s="32"/>
      <x:c r="G1038" s="74"/>
      <x:c r="H1038" s="74"/>
      <x:c r="I1038" s="74"/>
      <x:c r="J1038" s="74"/>
      <x:c r="K1038" s="74"/>
      <x:c r="L1038" s="74"/>
      <x:c r="M1038" s="91"/>
      <x:c r="N1038" s="91"/>
      <x:c r="O1038" s="85"/>
      <x:c r="P1038" s="85"/>
      <x:c r="Q1038" s="85"/>
      <x:c r="R1038" s="85"/>
      <x:c r="T1038" s="86"/>
      <x:c r="U1038" s="86"/>
      <x:c r="V1038" s="32"/>
    </x:row>
    <x:row r="1039">
      <x:c r="A1039" s="87"/>
      <x:c r="B1039" s="88"/>
      <x:c r="D1039" s="32"/>
      <x:c r="G1039" s="74"/>
      <x:c r="H1039" s="74"/>
      <x:c r="I1039" s="74"/>
      <x:c r="J1039" s="74"/>
      <x:c r="K1039" s="74"/>
      <x:c r="L1039" s="74"/>
      <x:c r="M1039" s="91"/>
      <x:c r="N1039" s="91"/>
      <x:c r="O1039" s="85"/>
      <x:c r="P1039" s="85"/>
      <x:c r="Q1039" s="85"/>
      <x:c r="R1039" s="85"/>
      <x:c r="T1039" s="86"/>
      <x:c r="U1039" s="86"/>
      <x:c r="V1039" s="32"/>
    </x:row>
    <x:row r="1040">
      <x:c r="A1040" s="87"/>
      <x:c r="B1040" s="88"/>
      <x:c r="D1040" s="32"/>
      <x:c r="G1040" s="74"/>
      <x:c r="H1040" s="74"/>
      <x:c r="I1040" s="74"/>
      <x:c r="J1040" s="74"/>
      <x:c r="K1040" s="74"/>
      <x:c r="L1040" s="74"/>
      <x:c r="M1040" s="91"/>
      <x:c r="N1040" s="91"/>
      <x:c r="O1040" s="85"/>
      <x:c r="P1040" s="85"/>
      <x:c r="Q1040" s="85"/>
      <x:c r="R1040" s="85"/>
      <x:c r="T1040" s="86"/>
      <x:c r="U1040" s="86"/>
      <x:c r="V1040" s="32"/>
    </x:row>
    <x:row r="1041">
      <x:c r="A1041" s="87"/>
      <x:c r="B1041" s="88"/>
      <x:c r="D1041" s="32"/>
      <x:c r="G1041" s="74"/>
      <x:c r="H1041" s="74"/>
      <x:c r="I1041" s="74"/>
      <x:c r="J1041" s="74"/>
      <x:c r="K1041" s="74"/>
      <x:c r="L1041" s="74"/>
      <x:c r="M1041" s="91"/>
      <x:c r="N1041" s="91"/>
      <x:c r="O1041" s="85"/>
      <x:c r="P1041" s="85"/>
      <x:c r="Q1041" s="85"/>
      <x:c r="R1041" s="85"/>
      <x:c r="T1041" s="86"/>
      <x:c r="U1041" s="86"/>
      <x:c r="V1041" s="32"/>
    </x:row>
    <x:row r="1042">
      <x:c r="A1042" s="87"/>
      <x:c r="B1042" s="88"/>
      <x:c r="D1042" s="32"/>
      <x:c r="G1042" s="74"/>
      <x:c r="H1042" s="74"/>
      <x:c r="I1042" s="74"/>
      <x:c r="J1042" s="74"/>
      <x:c r="K1042" s="74"/>
      <x:c r="L1042" s="74"/>
      <x:c r="M1042" s="91"/>
      <x:c r="N1042" s="91"/>
      <x:c r="O1042" s="85"/>
      <x:c r="P1042" s="85"/>
      <x:c r="Q1042" s="85"/>
      <x:c r="R1042" s="85"/>
      <x:c r="T1042" s="86"/>
      <x:c r="U1042" s="86"/>
      <x:c r="V1042" s="32"/>
    </x:row>
    <x:row r="1043">
      <x:c r="A1043" s="87"/>
      <x:c r="B1043" s="88"/>
      <x:c r="D1043" s="32"/>
      <x:c r="G1043" s="74"/>
      <x:c r="H1043" s="74"/>
      <x:c r="I1043" s="74"/>
      <x:c r="J1043" s="74"/>
      <x:c r="K1043" s="74"/>
      <x:c r="L1043" s="74"/>
      <x:c r="M1043" s="91"/>
      <x:c r="N1043" s="91"/>
      <x:c r="O1043" s="85"/>
      <x:c r="P1043" s="85"/>
      <x:c r="Q1043" s="85"/>
      <x:c r="R1043" s="85"/>
      <x:c r="T1043" s="86"/>
      <x:c r="U1043" s="86"/>
      <x:c r="V1043" s="32"/>
    </x:row>
    <x:row r="1044">
      <x:c r="A1044" s="87"/>
      <x:c r="B1044" s="88"/>
      <x:c r="D1044" s="32"/>
      <x:c r="G1044" s="74"/>
      <x:c r="H1044" s="74"/>
      <x:c r="I1044" s="74"/>
      <x:c r="J1044" s="74"/>
      <x:c r="K1044" s="74"/>
      <x:c r="L1044" s="74"/>
      <x:c r="M1044" s="91"/>
      <x:c r="N1044" s="91"/>
      <x:c r="O1044" s="85"/>
      <x:c r="P1044" s="85"/>
      <x:c r="Q1044" s="85"/>
      <x:c r="R1044" s="85"/>
      <x:c r="T1044" s="86"/>
      <x:c r="U1044" s="86"/>
      <x:c r="V1044" s="32"/>
    </x:row>
    <x:row r="1045">
      <x:c r="A1045" s="87"/>
      <x:c r="B1045" s="88"/>
      <x:c r="D1045" s="32"/>
      <x:c r="G1045" s="74"/>
      <x:c r="H1045" s="74"/>
      <x:c r="I1045" s="74"/>
      <x:c r="J1045" s="74"/>
      <x:c r="K1045" s="74"/>
      <x:c r="L1045" s="74"/>
      <x:c r="M1045" s="91"/>
      <x:c r="N1045" s="91"/>
      <x:c r="O1045" s="85"/>
      <x:c r="P1045" s="85"/>
      <x:c r="Q1045" s="85"/>
      <x:c r="R1045" s="85"/>
      <x:c r="T1045" s="86"/>
      <x:c r="U1045" s="86"/>
      <x:c r="V1045" s="32"/>
    </x:row>
    <x:row r="1046">
      <x:c r="A1046" s="87"/>
      <x:c r="B1046" s="88"/>
      <x:c r="D1046" s="32"/>
      <x:c r="G1046" s="74"/>
      <x:c r="H1046" s="74"/>
      <x:c r="I1046" s="74"/>
      <x:c r="J1046" s="74"/>
      <x:c r="K1046" s="74"/>
      <x:c r="L1046" s="74"/>
      <x:c r="M1046" s="91"/>
      <x:c r="N1046" s="91"/>
      <x:c r="O1046" s="85"/>
      <x:c r="P1046" s="85"/>
      <x:c r="Q1046" s="85"/>
      <x:c r="R1046" s="85"/>
      <x:c r="T1046" s="86"/>
      <x:c r="U1046" s="86"/>
      <x:c r="V1046" s="32"/>
    </x:row>
    <x:row r="1047">
      <x:c r="A1047" s="87"/>
      <x:c r="B1047" s="88"/>
      <x:c r="D1047" s="32"/>
      <x:c r="G1047" s="74"/>
      <x:c r="H1047" s="74"/>
      <x:c r="I1047" s="74"/>
      <x:c r="J1047" s="74"/>
      <x:c r="K1047" s="74"/>
      <x:c r="L1047" s="74"/>
      <x:c r="M1047" s="91"/>
      <x:c r="N1047" s="91"/>
      <x:c r="O1047" s="85"/>
      <x:c r="P1047" s="85"/>
      <x:c r="Q1047" s="85"/>
      <x:c r="R1047" s="85"/>
      <x:c r="T1047" s="86"/>
      <x:c r="U1047" s="86"/>
      <x:c r="V1047" s="32"/>
    </x:row>
    <x:row r="1048">
      <x:c r="A1048" s="87"/>
      <x:c r="B1048" s="88"/>
      <x:c r="D1048" s="32"/>
      <x:c r="G1048" s="74"/>
      <x:c r="H1048" s="74"/>
      <x:c r="I1048" s="74"/>
      <x:c r="J1048" s="74"/>
      <x:c r="K1048" s="74"/>
      <x:c r="L1048" s="74"/>
      <x:c r="M1048" s="91"/>
      <x:c r="N1048" s="91"/>
      <x:c r="O1048" s="85"/>
      <x:c r="P1048" s="85"/>
      <x:c r="Q1048" s="85"/>
      <x:c r="R1048" s="85"/>
      <x:c r="T1048" s="86"/>
      <x:c r="U1048" s="86"/>
      <x:c r="V1048" s="32"/>
    </x:row>
    <x:row r="1049">
      <x:c r="A1049" s="87"/>
      <x:c r="B1049" s="88"/>
      <x:c r="D1049" s="32"/>
      <x:c r="G1049" s="74"/>
      <x:c r="H1049" s="74"/>
      <x:c r="I1049" s="74"/>
      <x:c r="J1049" s="74"/>
      <x:c r="K1049" s="74"/>
      <x:c r="L1049" s="74"/>
      <x:c r="M1049" s="91"/>
      <x:c r="N1049" s="91"/>
      <x:c r="O1049" s="85"/>
      <x:c r="P1049" s="85"/>
      <x:c r="Q1049" s="85"/>
      <x:c r="R1049" s="85"/>
      <x:c r="T1049" s="86"/>
      <x:c r="U1049" s="86"/>
      <x:c r="V1049" s="32"/>
    </x:row>
    <x:row r="1050">
      <x:c r="A1050" s="87"/>
      <x:c r="B1050" s="88"/>
      <x:c r="D1050" s="32"/>
      <x:c r="G1050" s="74"/>
      <x:c r="H1050" s="74"/>
      <x:c r="I1050" s="74"/>
      <x:c r="J1050" s="74"/>
      <x:c r="K1050" s="74"/>
      <x:c r="L1050" s="74"/>
      <x:c r="M1050" s="91"/>
      <x:c r="N1050" s="91"/>
      <x:c r="O1050" s="85"/>
      <x:c r="P1050" s="85"/>
      <x:c r="Q1050" s="85"/>
      <x:c r="R1050" s="85"/>
      <x:c r="T1050" s="86"/>
      <x:c r="U1050" s="86"/>
      <x:c r="V1050" s="32"/>
    </x:row>
    <x:row r="1051">
      <x:c r="A1051" s="87"/>
      <x:c r="B1051" s="88"/>
      <x:c r="D1051" s="32"/>
      <x:c r="G1051" s="74"/>
      <x:c r="H1051" s="74"/>
      <x:c r="I1051" s="74"/>
      <x:c r="J1051" s="74"/>
      <x:c r="K1051" s="74"/>
      <x:c r="L1051" s="74"/>
      <x:c r="M1051" s="91"/>
      <x:c r="N1051" s="91"/>
      <x:c r="O1051" s="85"/>
      <x:c r="P1051" s="85"/>
      <x:c r="Q1051" s="85"/>
      <x:c r="R1051" s="85"/>
      <x:c r="T1051" s="86"/>
      <x:c r="U1051" s="86"/>
      <x:c r="V1051" s="32"/>
    </x:row>
    <x:row r="1052">
      <x:c r="A1052" s="87"/>
      <x:c r="B1052" s="88"/>
      <x:c r="D1052" s="32"/>
      <x:c r="G1052" s="74"/>
      <x:c r="H1052" s="74"/>
      <x:c r="I1052" s="74"/>
      <x:c r="J1052" s="74"/>
      <x:c r="K1052" s="74"/>
      <x:c r="L1052" s="74"/>
      <x:c r="M1052" s="91"/>
      <x:c r="N1052" s="91"/>
      <x:c r="O1052" s="85"/>
      <x:c r="P1052" s="85"/>
      <x:c r="Q1052" s="85"/>
      <x:c r="R1052" s="85"/>
      <x:c r="T1052" s="86"/>
      <x:c r="U1052" s="86"/>
      <x:c r="V1052" s="32"/>
    </x:row>
    <x:row r="1053">
      <x:c r="A1053" s="87"/>
      <x:c r="B1053" s="88"/>
      <x:c r="D1053" s="32"/>
      <x:c r="G1053" s="74"/>
      <x:c r="H1053" s="74"/>
      <x:c r="I1053" s="74"/>
      <x:c r="J1053" s="74"/>
      <x:c r="K1053" s="74"/>
      <x:c r="L1053" s="74"/>
      <x:c r="M1053" s="91"/>
      <x:c r="N1053" s="91"/>
      <x:c r="O1053" s="85"/>
      <x:c r="P1053" s="85"/>
      <x:c r="Q1053" s="85"/>
      <x:c r="R1053" s="85"/>
      <x:c r="T1053" s="86"/>
      <x:c r="U1053" s="86"/>
      <x:c r="V1053" s="32"/>
    </x:row>
    <x:row r="1054">
      <x:c r="A1054" s="87"/>
      <x:c r="B1054" s="88"/>
      <x:c r="D1054" s="32"/>
      <x:c r="G1054" s="74"/>
      <x:c r="H1054" s="74"/>
      <x:c r="I1054" s="74"/>
      <x:c r="J1054" s="74"/>
      <x:c r="K1054" s="74"/>
      <x:c r="L1054" s="74"/>
      <x:c r="M1054" s="91"/>
      <x:c r="N1054" s="91"/>
      <x:c r="O1054" s="85"/>
      <x:c r="P1054" s="85"/>
      <x:c r="Q1054" s="85"/>
      <x:c r="R1054" s="85"/>
      <x:c r="T1054" s="86"/>
      <x:c r="U1054" s="86"/>
      <x:c r="V1054" s="32"/>
    </x:row>
    <x:row r="1055">
      <x:c r="A1055" s="87"/>
      <x:c r="B1055" s="88"/>
      <x:c r="D1055" s="32"/>
      <x:c r="G1055" s="74"/>
      <x:c r="H1055" s="74"/>
      <x:c r="I1055" s="74"/>
      <x:c r="J1055" s="74"/>
      <x:c r="K1055" s="74"/>
      <x:c r="L1055" s="74"/>
      <x:c r="M1055" s="91"/>
      <x:c r="N1055" s="91"/>
      <x:c r="O1055" s="85"/>
      <x:c r="P1055" s="85"/>
      <x:c r="Q1055" s="85"/>
      <x:c r="R1055" s="85"/>
      <x:c r="T1055" s="86"/>
      <x:c r="U1055" s="86"/>
      <x:c r="V1055" s="32"/>
    </x:row>
    <x:row r="1056">
      <x:c r="A1056" s="87"/>
      <x:c r="B1056" s="88"/>
      <x:c r="D1056" s="32"/>
      <x:c r="G1056" s="74"/>
      <x:c r="H1056" s="74"/>
      <x:c r="I1056" s="74"/>
      <x:c r="J1056" s="74"/>
      <x:c r="K1056" s="74"/>
      <x:c r="L1056" s="74"/>
      <x:c r="M1056" s="91"/>
      <x:c r="N1056" s="91"/>
      <x:c r="O1056" s="85"/>
      <x:c r="P1056" s="85"/>
      <x:c r="Q1056" s="85"/>
      <x:c r="R1056" s="85"/>
      <x:c r="T1056" s="86"/>
      <x:c r="U1056" s="86"/>
      <x:c r="V1056" s="32"/>
    </x:row>
    <x:row r="1057">
      <x:c r="A1057" s="87"/>
      <x:c r="B1057" s="88"/>
      <x:c r="D1057" s="32"/>
      <x:c r="G1057" s="74"/>
      <x:c r="H1057" s="74"/>
      <x:c r="I1057" s="74"/>
      <x:c r="J1057" s="74"/>
      <x:c r="K1057" s="74"/>
      <x:c r="L1057" s="74"/>
      <x:c r="M1057" s="91"/>
      <x:c r="N1057" s="91"/>
      <x:c r="O1057" s="85"/>
      <x:c r="P1057" s="85"/>
      <x:c r="Q1057" s="85"/>
      <x:c r="R1057" s="85"/>
      <x:c r="T1057" s="86"/>
      <x:c r="U1057" s="86"/>
      <x:c r="V1057" s="32"/>
    </x:row>
    <x:row r="1058">
      <x:c r="A1058" s="87"/>
      <x:c r="B1058" s="88"/>
      <x:c r="D1058" s="32"/>
      <x:c r="G1058" s="74"/>
      <x:c r="H1058" s="74"/>
      <x:c r="I1058" s="74"/>
      <x:c r="J1058" s="74"/>
      <x:c r="K1058" s="74"/>
      <x:c r="L1058" s="74"/>
      <x:c r="M1058" s="91"/>
      <x:c r="N1058" s="91"/>
      <x:c r="O1058" s="85"/>
      <x:c r="P1058" s="85"/>
      <x:c r="Q1058" s="85"/>
      <x:c r="R1058" s="85"/>
      <x:c r="T1058" s="86"/>
      <x:c r="U1058" s="86"/>
      <x:c r="V1058" s="32"/>
    </x:row>
    <x:row r="1059">
      <x:c r="A1059" s="87"/>
      <x:c r="B1059" s="88"/>
      <x:c r="D1059" s="32"/>
      <x:c r="G1059" s="74"/>
      <x:c r="H1059" s="74"/>
      <x:c r="I1059" s="74"/>
      <x:c r="J1059" s="74"/>
      <x:c r="K1059" s="74"/>
      <x:c r="L1059" s="74"/>
      <x:c r="M1059" s="91"/>
      <x:c r="N1059" s="91"/>
      <x:c r="O1059" s="85"/>
      <x:c r="P1059" s="85"/>
      <x:c r="Q1059" s="85"/>
      <x:c r="R1059" s="85"/>
      <x:c r="T1059" s="86"/>
      <x:c r="U1059" s="86"/>
      <x:c r="V1059" s="32"/>
    </x:row>
    <x:row r="1060">
      <x:c r="A1060" s="87"/>
      <x:c r="B1060" s="88"/>
      <x:c r="D1060" s="32"/>
      <x:c r="G1060" s="74"/>
      <x:c r="H1060" s="74"/>
      <x:c r="I1060" s="74"/>
      <x:c r="J1060" s="74"/>
      <x:c r="K1060" s="74"/>
      <x:c r="L1060" s="74"/>
      <x:c r="M1060" s="91"/>
      <x:c r="N1060" s="91"/>
      <x:c r="O1060" s="85"/>
      <x:c r="P1060" s="85"/>
      <x:c r="Q1060" s="85"/>
      <x:c r="R1060" s="85"/>
      <x:c r="T1060" s="86"/>
      <x:c r="U1060" s="86"/>
      <x:c r="V1060" s="32"/>
    </x:row>
    <x:row r="1061">
      <x:c r="A1061" s="87"/>
      <x:c r="B1061" s="88"/>
      <x:c r="D1061" s="32"/>
      <x:c r="G1061" s="74"/>
      <x:c r="H1061" s="74"/>
      <x:c r="I1061" s="74"/>
      <x:c r="J1061" s="74"/>
      <x:c r="K1061" s="74"/>
      <x:c r="L1061" s="74"/>
      <x:c r="M1061" s="91"/>
      <x:c r="N1061" s="91"/>
      <x:c r="O1061" s="85"/>
      <x:c r="P1061" s="85"/>
      <x:c r="Q1061" s="85"/>
      <x:c r="R1061" s="85"/>
      <x:c r="T1061" s="86"/>
      <x:c r="U1061" s="86"/>
      <x:c r="V1061" s="32"/>
    </x:row>
    <x:row r="1062">
      <x:c r="A1062" s="87"/>
      <x:c r="B1062" s="88"/>
      <x:c r="D1062" s="32"/>
      <x:c r="G1062" s="74"/>
      <x:c r="H1062" s="74"/>
      <x:c r="I1062" s="74"/>
      <x:c r="J1062" s="74"/>
      <x:c r="K1062" s="74"/>
      <x:c r="L1062" s="74"/>
      <x:c r="M1062" s="91"/>
      <x:c r="N1062" s="91"/>
      <x:c r="O1062" s="85"/>
      <x:c r="P1062" s="85"/>
      <x:c r="Q1062" s="85"/>
      <x:c r="R1062" s="85"/>
      <x:c r="T1062" s="86"/>
      <x:c r="U1062" s="86"/>
      <x:c r="V1062" s="32"/>
    </x:row>
    <x:row r="1063">
      <x:c r="A1063" s="87"/>
      <x:c r="B1063" s="88"/>
      <x:c r="D1063" s="32"/>
      <x:c r="G1063" s="74"/>
      <x:c r="H1063" s="74"/>
      <x:c r="I1063" s="74"/>
      <x:c r="J1063" s="74"/>
      <x:c r="K1063" s="74"/>
      <x:c r="L1063" s="74"/>
      <x:c r="M1063" s="91"/>
      <x:c r="N1063" s="91"/>
      <x:c r="O1063" s="85"/>
      <x:c r="P1063" s="85"/>
      <x:c r="Q1063" s="85"/>
      <x:c r="R1063" s="85"/>
      <x:c r="T1063" s="86"/>
      <x:c r="U1063" s="86"/>
      <x:c r="V1063" s="32"/>
    </x:row>
    <x:row r="1064">
      <x:c r="A1064" s="87"/>
      <x:c r="B1064" s="88"/>
      <x:c r="D1064" s="32"/>
      <x:c r="G1064" s="74"/>
      <x:c r="H1064" s="74"/>
      <x:c r="I1064" s="74"/>
      <x:c r="J1064" s="74"/>
      <x:c r="K1064" s="74"/>
      <x:c r="L1064" s="74"/>
      <x:c r="M1064" s="91"/>
      <x:c r="N1064" s="91"/>
      <x:c r="O1064" s="85"/>
      <x:c r="P1064" s="85"/>
      <x:c r="Q1064" s="85"/>
      <x:c r="R1064" s="85"/>
      <x:c r="T1064" s="86"/>
      <x:c r="U1064" s="86"/>
      <x:c r="V1064" s="32"/>
    </x:row>
    <x:row r="1065">
      <x:c r="A1065" s="87"/>
      <x:c r="B1065" s="88"/>
      <x:c r="D1065" s="32"/>
      <x:c r="G1065" s="74"/>
      <x:c r="H1065" s="74"/>
      <x:c r="I1065" s="74"/>
      <x:c r="J1065" s="74"/>
      <x:c r="K1065" s="74"/>
      <x:c r="L1065" s="74"/>
      <x:c r="M1065" s="91"/>
      <x:c r="N1065" s="91"/>
      <x:c r="O1065" s="85"/>
      <x:c r="P1065" s="85"/>
      <x:c r="Q1065" s="85"/>
      <x:c r="R1065" s="85"/>
      <x:c r="T1065" s="86"/>
      <x:c r="U1065" s="86"/>
      <x:c r="V1065" s="32"/>
    </x:row>
    <x:row r="1066">
      <x:c r="A1066" s="87"/>
      <x:c r="B1066" s="88"/>
      <x:c r="D1066" s="32"/>
      <x:c r="G1066" s="74"/>
      <x:c r="H1066" s="74"/>
      <x:c r="I1066" s="74"/>
      <x:c r="J1066" s="74"/>
      <x:c r="K1066" s="74"/>
      <x:c r="L1066" s="74"/>
      <x:c r="M1066" s="91"/>
      <x:c r="N1066" s="91"/>
      <x:c r="O1066" s="85"/>
      <x:c r="P1066" s="85"/>
      <x:c r="Q1066" s="85"/>
      <x:c r="R1066" s="85"/>
      <x:c r="T1066" s="86"/>
      <x:c r="U1066" s="86"/>
      <x:c r="V1066" s="32"/>
    </x:row>
    <x:row r="1067">
      <x:c r="A1067" s="87"/>
      <x:c r="B1067" s="88"/>
      <x:c r="D1067" s="32"/>
      <x:c r="G1067" s="74"/>
      <x:c r="H1067" s="74"/>
      <x:c r="I1067" s="74"/>
      <x:c r="J1067" s="74"/>
      <x:c r="K1067" s="74"/>
      <x:c r="L1067" s="74"/>
      <x:c r="M1067" s="91"/>
      <x:c r="N1067" s="91"/>
      <x:c r="O1067" s="85"/>
      <x:c r="P1067" s="85"/>
      <x:c r="Q1067" s="85"/>
      <x:c r="R1067" s="85"/>
      <x:c r="T1067" s="86"/>
      <x:c r="U1067" s="86"/>
      <x:c r="V1067" s="32"/>
    </x:row>
    <x:row r="1068">
      <x:c r="A1068" s="87"/>
      <x:c r="B1068" s="88"/>
      <x:c r="D1068" s="32"/>
      <x:c r="G1068" s="74"/>
      <x:c r="H1068" s="74"/>
      <x:c r="I1068" s="74"/>
      <x:c r="J1068" s="74"/>
      <x:c r="K1068" s="74"/>
      <x:c r="L1068" s="74"/>
      <x:c r="M1068" s="91"/>
      <x:c r="N1068" s="91"/>
      <x:c r="O1068" s="85"/>
      <x:c r="P1068" s="85"/>
      <x:c r="Q1068" s="85"/>
      <x:c r="R1068" s="85"/>
      <x:c r="T1068" s="86"/>
      <x:c r="U1068" s="86"/>
      <x:c r="V1068" s="32"/>
    </x:row>
    <x:row r="1069">
      <x:c r="A1069" s="87"/>
      <x:c r="B1069" s="88"/>
      <x:c r="D1069" s="32"/>
      <x:c r="G1069" s="74"/>
      <x:c r="H1069" s="74"/>
      <x:c r="I1069" s="74"/>
      <x:c r="J1069" s="74"/>
      <x:c r="K1069" s="74"/>
      <x:c r="L1069" s="74"/>
      <x:c r="M1069" s="91"/>
      <x:c r="N1069" s="91"/>
      <x:c r="O1069" s="85"/>
      <x:c r="P1069" s="85"/>
      <x:c r="Q1069" s="85"/>
      <x:c r="R1069" s="85"/>
      <x:c r="T1069" s="86"/>
      <x:c r="U1069" s="86"/>
      <x:c r="V1069" s="32"/>
    </x:row>
    <x:row r="1070">
      <x:c r="A1070" s="87"/>
      <x:c r="B1070" s="88"/>
      <x:c r="D1070" s="32"/>
      <x:c r="G1070" s="74"/>
      <x:c r="H1070" s="74"/>
      <x:c r="I1070" s="74"/>
      <x:c r="J1070" s="74"/>
      <x:c r="K1070" s="74"/>
      <x:c r="L1070" s="74"/>
      <x:c r="M1070" s="91"/>
      <x:c r="N1070" s="91"/>
      <x:c r="O1070" s="85"/>
      <x:c r="P1070" s="85"/>
      <x:c r="Q1070" s="85"/>
      <x:c r="R1070" s="85"/>
      <x:c r="T1070" s="86"/>
      <x:c r="U1070" s="86"/>
      <x:c r="V1070" s="32"/>
    </x:row>
    <x:row r="1071">
      <x:c r="A1071" s="87"/>
      <x:c r="B1071" s="88"/>
      <x:c r="D1071" s="32"/>
      <x:c r="G1071" s="74"/>
      <x:c r="H1071" s="74"/>
      <x:c r="I1071" s="74"/>
      <x:c r="J1071" s="74"/>
      <x:c r="K1071" s="74"/>
      <x:c r="L1071" s="74"/>
      <x:c r="M1071" s="91"/>
      <x:c r="N1071" s="91"/>
      <x:c r="O1071" s="85"/>
      <x:c r="P1071" s="85"/>
      <x:c r="Q1071" s="85"/>
      <x:c r="R1071" s="85"/>
      <x:c r="T1071" s="86"/>
      <x:c r="U1071" s="86"/>
      <x:c r="V1071" s="32"/>
    </x:row>
    <x:row r="1072">
      <x:c r="A1072" s="87"/>
      <x:c r="B1072" s="88"/>
      <x:c r="D1072" s="32"/>
      <x:c r="G1072" s="74"/>
      <x:c r="H1072" s="74"/>
      <x:c r="I1072" s="74"/>
      <x:c r="J1072" s="74"/>
      <x:c r="K1072" s="74"/>
      <x:c r="L1072" s="74"/>
      <x:c r="M1072" s="91"/>
      <x:c r="N1072" s="91"/>
      <x:c r="O1072" s="85"/>
      <x:c r="P1072" s="85"/>
      <x:c r="Q1072" s="85"/>
      <x:c r="R1072" s="85"/>
      <x:c r="T1072" s="86"/>
      <x:c r="U1072" s="86"/>
      <x:c r="V1072" s="32"/>
    </x:row>
    <x:row r="1073">
      <x:c r="A1073" s="87"/>
      <x:c r="B1073" s="88"/>
      <x:c r="D1073" s="32"/>
      <x:c r="G1073" s="74"/>
      <x:c r="H1073" s="74"/>
      <x:c r="I1073" s="74"/>
      <x:c r="J1073" s="74"/>
      <x:c r="K1073" s="74"/>
      <x:c r="L1073" s="74"/>
      <x:c r="M1073" s="91"/>
      <x:c r="N1073" s="91"/>
      <x:c r="O1073" s="85"/>
      <x:c r="P1073" s="85"/>
      <x:c r="Q1073" s="85"/>
      <x:c r="R1073" s="85"/>
      <x:c r="T1073" s="86"/>
      <x:c r="U1073" s="86"/>
      <x:c r="V1073" s="32"/>
    </x:row>
    <x:row r="1074">
      <x:c r="A1074" s="87"/>
      <x:c r="B1074" s="88"/>
      <x:c r="D1074" s="32"/>
      <x:c r="G1074" s="74"/>
      <x:c r="H1074" s="74"/>
      <x:c r="I1074" s="74"/>
      <x:c r="J1074" s="74"/>
      <x:c r="K1074" s="74"/>
      <x:c r="L1074" s="74"/>
      <x:c r="M1074" s="91"/>
      <x:c r="N1074" s="91"/>
      <x:c r="O1074" s="85"/>
      <x:c r="P1074" s="85"/>
      <x:c r="Q1074" s="85"/>
      <x:c r="R1074" s="85"/>
      <x:c r="T1074" s="86"/>
      <x:c r="U1074" s="86"/>
      <x:c r="V1074" s="32"/>
    </x:row>
    <x:row r="1075">
      <x:c r="A1075" s="87"/>
      <x:c r="B1075" s="88"/>
      <x:c r="D1075" s="32"/>
      <x:c r="G1075" s="74"/>
      <x:c r="H1075" s="74"/>
      <x:c r="I1075" s="74"/>
      <x:c r="J1075" s="74"/>
      <x:c r="K1075" s="74"/>
      <x:c r="L1075" s="74"/>
      <x:c r="M1075" s="91"/>
      <x:c r="N1075" s="91"/>
      <x:c r="O1075" s="85"/>
      <x:c r="P1075" s="85"/>
      <x:c r="Q1075" s="85"/>
      <x:c r="R1075" s="85"/>
      <x:c r="T1075" s="86"/>
      <x:c r="U1075" s="86"/>
      <x:c r="V1075" s="32"/>
    </x:row>
    <x:row r="1076">
      <x:c r="A1076" s="87"/>
      <x:c r="B1076" s="88"/>
      <x:c r="D1076" s="32"/>
      <x:c r="G1076" s="74"/>
      <x:c r="H1076" s="74"/>
      <x:c r="I1076" s="74"/>
      <x:c r="J1076" s="74"/>
      <x:c r="K1076" s="74"/>
      <x:c r="L1076" s="74"/>
      <x:c r="M1076" s="91"/>
      <x:c r="N1076" s="91"/>
      <x:c r="O1076" s="85"/>
      <x:c r="P1076" s="85"/>
      <x:c r="Q1076" s="85"/>
      <x:c r="R1076" s="85"/>
      <x:c r="T1076" s="86"/>
      <x:c r="U1076" s="86"/>
      <x:c r="V1076" s="32"/>
    </x:row>
    <x:row r="1077">
      <x:c r="A1077" s="87"/>
      <x:c r="B1077" s="88"/>
      <x:c r="D1077" s="32"/>
      <x:c r="G1077" s="74"/>
      <x:c r="H1077" s="74"/>
      <x:c r="I1077" s="74"/>
      <x:c r="J1077" s="74"/>
      <x:c r="K1077" s="74"/>
      <x:c r="L1077" s="74"/>
      <x:c r="M1077" s="91"/>
      <x:c r="N1077" s="91"/>
      <x:c r="O1077" s="85"/>
      <x:c r="P1077" s="85"/>
      <x:c r="Q1077" s="85"/>
      <x:c r="R1077" s="85"/>
      <x:c r="T1077" s="86"/>
      <x:c r="U1077" s="86"/>
      <x:c r="V1077" s="32"/>
    </x:row>
    <x:row r="1078">
      <x:c r="A1078" s="87"/>
      <x:c r="B1078" s="88"/>
      <x:c r="D1078" s="32"/>
      <x:c r="G1078" s="74"/>
      <x:c r="H1078" s="74"/>
      <x:c r="I1078" s="74"/>
      <x:c r="J1078" s="74"/>
      <x:c r="K1078" s="74"/>
      <x:c r="L1078" s="74"/>
      <x:c r="M1078" s="91"/>
      <x:c r="N1078" s="91"/>
      <x:c r="O1078" s="85"/>
      <x:c r="P1078" s="85"/>
      <x:c r="Q1078" s="85"/>
      <x:c r="R1078" s="85"/>
      <x:c r="T1078" s="86"/>
      <x:c r="U1078" s="86"/>
      <x:c r="V1078" s="32"/>
    </x:row>
    <x:row r="1079">
      <x:c r="A1079" s="87"/>
      <x:c r="B1079" s="88"/>
      <x:c r="D1079" s="32"/>
      <x:c r="G1079" s="74"/>
      <x:c r="H1079" s="74"/>
      <x:c r="I1079" s="74"/>
      <x:c r="J1079" s="74"/>
      <x:c r="K1079" s="74"/>
      <x:c r="L1079" s="74"/>
      <x:c r="M1079" s="91"/>
      <x:c r="N1079" s="91"/>
      <x:c r="O1079" s="85"/>
      <x:c r="P1079" s="85"/>
      <x:c r="Q1079" s="85"/>
      <x:c r="R1079" s="85"/>
      <x:c r="T1079" s="86"/>
      <x:c r="U1079" s="86"/>
      <x:c r="V1079" s="32"/>
    </x:row>
    <x:row r="1080">
      <x:c r="A1080" s="87"/>
      <x:c r="B1080" s="88"/>
      <x:c r="D1080" s="32"/>
      <x:c r="G1080" s="74"/>
      <x:c r="H1080" s="74"/>
      <x:c r="I1080" s="74"/>
      <x:c r="J1080" s="74"/>
      <x:c r="K1080" s="74"/>
      <x:c r="L1080" s="74"/>
      <x:c r="M1080" s="91"/>
      <x:c r="N1080" s="91"/>
      <x:c r="O1080" s="85"/>
      <x:c r="P1080" s="85"/>
      <x:c r="Q1080" s="85"/>
      <x:c r="R1080" s="85"/>
      <x:c r="T1080" s="86"/>
      <x:c r="U1080" s="86"/>
      <x:c r="V1080" s="32"/>
    </x:row>
    <x:row r="1081">
      <x:c r="A1081" s="87"/>
      <x:c r="B1081" s="88"/>
      <x:c r="D1081" s="32"/>
      <x:c r="G1081" s="74"/>
      <x:c r="H1081" s="74"/>
      <x:c r="I1081" s="74"/>
      <x:c r="J1081" s="74"/>
      <x:c r="K1081" s="74"/>
      <x:c r="L1081" s="74"/>
      <x:c r="M1081" s="91"/>
      <x:c r="N1081" s="91"/>
      <x:c r="O1081" s="85"/>
      <x:c r="P1081" s="85"/>
      <x:c r="Q1081" s="85"/>
      <x:c r="R1081" s="85"/>
      <x:c r="T1081" s="86"/>
      <x:c r="U1081" s="86"/>
      <x:c r="V1081" s="32"/>
    </x:row>
    <x:row r="1082">
      <x:c r="A1082" s="87"/>
      <x:c r="B1082" s="88"/>
      <x:c r="D1082" s="32"/>
      <x:c r="G1082" s="74"/>
      <x:c r="H1082" s="74"/>
      <x:c r="I1082" s="74"/>
      <x:c r="J1082" s="74"/>
      <x:c r="K1082" s="74"/>
      <x:c r="L1082" s="74"/>
      <x:c r="M1082" s="91"/>
      <x:c r="N1082" s="91"/>
      <x:c r="O1082" s="85"/>
      <x:c r="P1082" s="85"/>
      <x:c r="Q1082" s="85"/>
      <x:c r="R1082" s="85"/>
      <x:c r="T1082" s="86"/>
      <x:c r="U1082" s="86"/>
      <x:c r="V1082" s="32"/>
    </x:row>
    <x:row r="1083">
      <x:c r="A1083" s="87"/>
      <x:c r="B1083" s="88"/>
      <x:c r="D1083" s="32"/>
      <x:c r="G1083" s="74"/>
      <x:c r="H1083" s="74"/>
      <x:c r="I1083" s="74"/>
      <x:c r="J1083" s="74"/>
      <x:c r="K1083" s="74"/>
      <x:c r="L1083" s="74"/>
      <x:c r="M1083" s="91"/>
      <x:c r="N1083" s="91"/>
      <x:c r="O1083" s="85"/>
      <x:c r="P1083" s="85"/>
      <x:c r="Q1083" s="85"/>
      <x:c r="R1083" s="85"/>
      <x:c r="T1083" s="86"/>
      <x:c r="U1083" s="86"/>
      <x:c r="V1083" s="32"/>
    </x:row>
    <x:row r="1084">
      <x:c r="A1084" s="87"/>
      <x:c r="B1084" s="88"/>
      <x:c r="D1084" s="32"/>
      <x:c r="G1084" s="74"/>
      <x:c r="H1084" s="74"/>
      <x:c r="I1084" s="74"/>
      <x:c r="J1084" s="74"/>
      <x:c r="K1084" s="74"/>
      <x:c r="L1084" s="74"/>
      <x:c r="M1084" s="91"/>
      <x:c r="N1084" s="91"/>
      <x:c r="O1084" s="85"/>
      <x:c r="P1084" s="85"/>
      <x:c r="Q1084" s="85"/>
      <x:c r="R1084" s="85"/>
      <x:c r="T1084" s="86"/>
      <x:c r="U1084" s="86"/>
      <x:c r="V1084" s="32"/>
    </x:row>
    <x:row r="1085">
      <x:c r="A1085" s="87"/>
      <x:c r="B1085" s="88"/>
      <x:c r="D1085" s="32"/>
      <x:c r="G1085" s="74"/>
      <x:c r="H1085" s="74"/>
      <x:c r="I1085" s="74"/>
      <x:c r="J1085" s="74"/>
      <x:c r="K1085" s="74"/>
      <x:c r="L1085" s="74"/>
      <x:c r="M1085" s="91"/>
      <x:c r="N1085" s="91"/>
      <x:c r="O1085" s="85"/>
      <x:c r="P1085" s="85"/>
      <x:c r="Q1085" s="85"/>
      <x:c r="R1085" s="85"/>
      <x:c r="T1085" s="86"/>
      <x:c r="U1085" s="86"/>
      <x:c r="V1085" s="32"/>
    </x:row>
    <x:row r="1086">
      <x:c r="A1086" s="87"/>
      <x:c r="B1086" s="88"/>
      <x:c r="D1086" s="32"/>
      <x:c r="G1086" s="74"/>
      <x:c r="H1086" s="74"/>
      <x:c r="I1086" s="74"/>
      <x:c r="J1086" s="74"/>
      <x:c r="K1086" s="74"/>
      <x:c r="L1086" s="74"/>
      <x:c r="M1086" s="91"/>
      <x:c r="N1086" s="91"/>
      <x:c r="O1086" s="85"/>
      <x:c r="P1086" s="85"/>
      <x:c r="Q1086" s="85"/>
      <x:c r="R1086" s="85"/>
      <x:c r="T1086" s="86"/>
      <x:c r="U1086" s="86"/>
      <x:c r="V1086" s="32"/>
    </x:row>
    <x:row r="1087">
      <x:c r="A1087" s="87"/>
      <x:c r="B1087" s="88"/>
      <x:c r="D1087" s="32"/>
      <x:c r="G1087" s="74"/>
      <x:c r="H1087" s="74"/>
      <x:c r="I1087" s="74"/>
      <x:c r="J1087" s="74"/>
      <x:c r="K1087" s="74"/>
      <x:c r="L1087" s="74"/>
      <x:c r="M1087" s="91"/>
      <x:c r="N1087" s="91"/>
      <x:c r="O1087" s="85"/>
      <x:c r="P1087" s="85"/>
      <x:c r="Q1087" s="85"/>
      <x:c r="R1087" s="85"/>
      <x:c r="T1087" s="86"/>
      <x:c r="U1087" s="86"/>
      <x:c r="V1087" s="32"/>
    </x:row>
    <x:row r="1088">
      <x:c r="A1088" s="87"/>
      <x:c r="B1088" s="88"/>
      <x:c r="D1088" s="32"/>
      <x:c r="G1088" s="74"/>
      <x:c r="H1088" s="74"/>
      <x:c r="I1088" s="74"/>
      <x:c r="J1088" s="74"/>
      <x:c r="K1088" s="74"/>
      <x:c r="L1088" s="74"/>
      <x:c r="M1088" s="91"/>
      <x:c r="N1088" s="91"/>
      <x:c r="O1088" s="85"/>
      <x:c r="P1088" s="85"/>
      <x:c r="Q1088" s="85"/>
      <x:c r="R1088" s="85"/>
      <x:c r="T1088" s="86"/>
      <x:c r="U1088" s="86"/>
      <x:c r="V1088" s="32"/>
    </x:row>
    <x:row r="1089">
      <x:c r="A1089" s="87"/>
      <x:c r="B1089" s="88"/>
      <x:c r="D1089" s="32"/>
      <x:c r="G1089" s="74"/>
      <x:c r="H1089" s="74"/>
      <x:c r="I1089" s="74"/>
      <x:c r="J1089" s="74"/>
      <x:c r="K1089" s="74"/>
      <x:c r="L1089" s="74"/>
      <x:c r="M1089" s="91"/>
      <x:c r="N1089" s="91"/>
      <x:c r="O1089" s="85"/>
      <x:c r="P1089" s="85"/>
      <x:c r="Q1089" s="85"/>
      <x:c r="R1089" s="85"/>
      <x:c r="T1089" s="86"/>
      <x:c r="U1089" s="86"/>
      <x:c r="V1089" s="32"/>
    </x:row>
    <x:row r="1090">
      <x:c r="A1090" s="87"/>
      <x:c r="B1090" s="88"/>
      <x:c r="D1090" s="32"/>
      <x:c r="G1090" s="74"/>
      <x:c r="H1090" s="74"/>
      <x:c r="I1090" s="74"/>
      <x:c r="J1090" s="74"/>
      <x:c r="K1090" s="74"/>
      <x:c r="L1090" s="74"/>
      <x:c r="M1090" s="91"/>
      <x:c r="N1090" s="91"/>
      <x:c r="O1090" s="85"/>
      <x:c r="P1090" s="85"/>
      <x:c r="Q1090" s="85"/>
      <x:c r="R1090" s="85"/>
      <x:c r="T1090" s="86"/>
      <x:c r="U1090" s="86"/>
      <x:c r="V1090" s="32"/>
    </x:row>
    <x:row r="1091">
      <x:c r="A1091" s="87"/>
      <x:c r="B1091" s="88"/>
      <x:c r="D1091" s="32"/>
      <x:c r="G1091" s="74"/>
      <x:c r="H1091" s="74"/>
      <x:c r="I1091" s="74"/>
      <x:c r="J1091" s="74"/>
      <x:c r="K1091" s="74"/>
      <x:c r="L1091" s="74"/>
      <x:c r="M1091" s="91"/>
      <x:c r="N1091" s="91"/>
      <x:c r="O1091" s="85"/>
      <x:c r="P1091" s="85"/>
      <x:c r="Q1091" s="85"/>
      <x:c r="R1091" s="85"/>
      <x:c r="T1091" s="86"/>
      <x:c r="U1091" s="86"/>
      <x:c r="V1091" s="32"/>
    </x:row>
    <x:row r="1092">
      <x:c r="A1092" s="87"/>
      <x:c r="B1092" s="88"/>
      <x:c r="D1092" s="32"/>
      <x:c r="G1092" s="74"/>
      <x:c r="H1092" s="74"/>
      <x:c r="I1092" s="74"/>
      <x:c r="J1092" s="74"/>
      <x:c r="K1092" s="74"/>
      <x:c r="L1092" s="74"/>
      <x:c r="M1092" s="91"/>
      <x:c r="N1092" s="91"/>
      <x:c r="O1092" s="85"/>
      <x:c r="P1092" s="85"/>
      <x:c r="Q1092" s="85"/>
      <x:c r="R1092" s="85"/>
      <x:c r="T1092" s="86"/>
      <x:c r="U1092" s="86"/>
      <x:c r="V1092" s="32"/>
    </x:row>
    <x:row r="1093">
      <x:c r="A1093" s="87"/>
      <x:c r="B1093" s="88"/>
      <x:c r="D1093" s="32"/>
      <x:c r="G1093" s="74"/>
      <x:c r="H1093" s="74"/>
      <x:c r="I1093" s="74"/>
      <x:c r="J1093" s="74"/>
      <x:c r="K1093" s="74"/>
      <x:c r="L1093" s="74"/>
      <x:c r="M1093" s="91"/>
      <x:c r="N1093" s="91"/>
      <x:c r="O1093" s="85"/>
      <x:c r="P1093" s="85"/>
      <x:c r="Q1093" s="85"/>
      <x:c r="R1093" s="85"/>
      <x:c r="T1093" s="86"/>
      <x:c r="U1093" s="86"/>
      <x:c r="V1093" s="32"/>
    </x:row>
    <x:row r="1094">
      <x:c r="A1094" s="87"/>
      <x:c r="B1094" s="88"/>
      <x:c r="D1094" s="32"/>
      <x:c r="G1094" s="74"/>
      <x:c r="H1094" s="74"/>
      <x:c r="I1094" s="74"/>
      <x:c r="J1094" s="74"/>
      <x:c r="K1094" s="74"/>
      <x:c r="L1094" s="74"/>
      <x:c r="M1094" s="91"/>
      <x:c r="N1094" s="91"/>
      <x:c r="O1094" s="85"/>
      <x:c r="P1094" s="85"/>
      <x:c r="Q1094" s="85"/>
      <x:c r="R1094" s="85"/>
      <x:c r="T1094" s="86"/>
      <x:c r="U1094" s="86"/>
      <x:c r="V1094" s="32"/>
    </x:row>
    <x:row r="1095">
      <x:c r="A1095" s="87"/>
      <x:c r="B1095" s="88"/>
      <x:c r="D1095" s="32"/>
      <x:c r="G1095" s="74"/>
      <x:c r="H1095" s="74"/>
      <x:c r="I1095" s="74"/>
      <x:c r="J1095" s="74"/>
      <x:c r="K1095" s="74"/>
      <x:c r="L1095" s="74"/>
      <x:c r="M1095" s="91"/>
      <x:c r="N1095" s="91"/>
      <x:c r="O1095" s="85"/>
      <x:c r="P1095" s="85"/>
      <x:c r="Q1095" s="85"/>
      <x:c r="R1095" s="85"/>
      <x:c r="T1095" s="86"/>
      <x:c r="U1095" s="86"/>
      <x:c r="V1095" s="32"/>
    </x:row>
    <x:row r="1096">
      <x:c r="A1096" s="87"/>
      <x:c r="B1096" s="88"/>
      <x:c r="D1096" s="32"/>
      <x:c r="G1096" s="74"/>
      <x:c r="H1096" s="74"/>
      <x:c r="I1096" s="74"/>
      <x:c r="J1096" s="74"/>
      <x:c r="K1096" s="74"/>
      <x:c r="L1096" s="74"/>
      <x:c r="M1096" s="91"/>
      <x:c r="N1096" s="91"/>
      <x:c r="O1096" s="85"/>
      <x:c r="P1096" s="85"/>
      <x:c r="Q1096" s="85"/>
      <x:c r="R1096" s="85"/>
      <x:c r="T1096" s="86"/>
      <x:c r="U1096" s="86"/>
      <x:c r="V1096" s="32"/>
    </x:row>
    <x:row r="1097">
      <x:c r="A1097" s="87"/>
      <x:c r="B1097" s="88"/>
      <x:c r="D1097" s="32"/>
      <x:c r="G1097" s="74"/>
      <x:c r="H1097" s="74"/>
      <x:c r="I1097" s="74"/>
      <x:c r="J1097" s="74"/>
      <x:c r="K1097" s="74"/>
      <x:c r="L1097" s="74"/>
      <x:c r="M1097" s="91"/>
      <x:c r="N1097" s="91"/>
      <x:c r="O1097" s="85"/>
      <x:c r="P1097" s="85"/>
      <x:c r="Q1097" s="85"/>
      <x:c r="R1097" s="85"/>
      <x:c r="T1097" s="86"/>
      <x:c r="U1097" s="86"/>
      <x:c r="V1097" s="32"/>
    </x:row>
    <x:row r="1098">
      <x:c r="A1098" s="87"/>
      <x:c r="B1098" s="88"/>
      <x:c r="D1098" s="32"/>
      <x:c r="G1098" s="74"/>
      <x:c r="H1098" s="74"/>
      <x:c r="I1098" s="74"/>
      <x:c r="J1098" s="74"/>
      <x:c r="K1098" s="74"/>
      <x:c r="L1098" s="74"/>
      <x:c r="M1098" s="91"/>
      <x:c r="N1098" s="91"/>
      <x:c r="O1098" s="85"/>
      <x:c r="P1098" s="85"/>
      <x:c r="Q1098" s="85"/>
      <x:c r="R1098" s="85"/>
      <x:c r="T1098" s="86"/>
      <x:c r="U1098" s="86"/>
      <x:c r="V1098" s="32"/>
    </x:row>
    <x:row r="1099">
      <x:c r="A1099" s="87"/>
      <x:c r="B1099" s="88"/>
      <x:c r="D1099" s="32"/>
      <x:c r="G1099" s="74"/>
      <x:c r="H1099" s="74"/>
      <x:c r="I1099" s="74"/>
      <x:c r="J1099" s="74"/>
      <x:c r="K1099" s="74"/>
      <x:c r="L1099" s="74"/>
      <x:c r="M1099" s="91"/>
      <x:c r="N1099" s="91"/>
      <x:c r="O1099" s="85"/>
      <x:c r="P1099" s="85"/>
      <x:c r="Q1099" s="85"/>
      <x:c r="R1099" s="85"/>
      <x:c r="T1099" s="86"/>
      <x:c r="U1099" s="86"/>
      <x:c r="V1099" s="32"/>
    </x:row>
    <x:row r="1100">
      <x:c r="A1100" s="87"/>
      <x:c r="B1100" s="88"/>
      <x:c r="D1100" s="32"/>
      <x:c r="G1100" s="74"/>
      <x:c r="H1100" s="74"/>
      <x:c r="I1100" s="74"/>
      <x:c r="J1100" s="74"/>
      <x:c r="K1100" s="74"/>
      <x:c r="L1100" s="74"/>
      <x:c r="M1100" s="91"/>
      <x:c r="N1100" s="91"/>
      <x:c r="O1100" s="85"/>
      <x:c r="P1100" s="85"/>
      <x:c r="Q1100" s="85"/>
      <x:c r="R1100" s="85"/>
      <x:c r="T1100" s="86"/>
      <x:c r="U1100" s="86"/>
      <x:c r="V1100" s="32"/>
    </x:row>
    <x:row r="1101">
      <x:c r="A1101" s="87"/>
      <x:c r="B1101" s="88"/>
      <x:c r="D1101" s="32"/>
      <x:c r="G1101" s="74"/>
      <x:c r="H1101" s="74"/>
      <x:c r="I1101" s="74"/>
      <x:c r="J1101" s="74"/>
      <x:c r="K1101" s="74"/>
      <x:c r="L1101" s="74"/>
      <x:c r="M1101" s="91"/>
      <x:c r="N1101" s="91"/>
      <x:c r="O1101" s="85"/>
      <x:c r="P1101" s="85"/>
      <x:c r="Q1101" s="85"/>
      <x:c r="R1101" s="85"/>
      <x:c r="T1101" s="86"/>
      <x:c r="U1101" s="86"/>
      <x:c r="V1101" s="32"/>
    </x:row>
    <x:row r="1102">
      <x:c r="A1102" s="87"/>
      <x:c r="B1102" s="88"/>
      <x:c r="D1102" s="32"/>
      <x:c r="G1102" s="74"/>
      <x:c r="H1102" s="74"/>
      <x:c r="I1102" s="74"/>
      <x:c r="J1102" s="74"/>
      <x:c r="K1102" s="74"/>
      <x:c r="L1102" s="74"/>
      <x:c r="M1102" s="91"/>
      <x:c r="N1102" s="91"/>
      <x:c r="O1102" s="85"/>
      <x:c r="P1102" s="85"/>
      <x:c r="Q1102" s="85"/>
      <x:c r="R1102" s="85"/>
      <x:c r="T1102" s="86"/>
      <x:c r="U1102" s="86"/>
      <x:c r="V1102" s="32"/>
    </x:row>
    <x:row r="1103">
      <x:c r="A1103" s="87"/>
      <x:c r="B1103" s="88"/>
      <x:c r="D1103" s="32"/>
      <x:c r="G1103" s="74"/>
      <x:c r="H1103" s="74"/>
      <x:c r="I1103" s="74"/>
      <x:c r="J1103" s="74"/>
      <x:c r="K1103" s="74"/>
      <x:c r="L1103" s="74"/>
      <x:c r="M1103" s="91"/>
      <x:c r="N1103" s="91"/>
      <x:c r="O1103" s="85"/>
      <x:c r="P1103" s="85"/>
      <x:c r="Q1103" s="85"/>
      <x:c r="R1103" s="85"/>
      <x:c r="T1103" s="86"/>
      <x:c r="U1103" s="86"/>
      <x:c r="V1103" s="32"/>
    </x:row>
    <x:row r="1104">
      <x:c r="A1104" s="87"/>
      <x:c r="B1104" s="88"/>
      <x:c r="D1104" s="32"/>
      <x:c r="G1104" s="74"/>
      <x:c r="H1104" s="74"/>
      <x:c r="I1104" s="74"/>
      <x:c r="J1104" s="74"/>
      <x:c r="K1104" s="74"/>
      <x:c r="L1104" s="74"/>
      <x:c r="M1104" s="91"/>
      <x:c r="N1104" s="91"/>
      <x:c r="O1104" s="85"/>
      <x:c r="P1104" s="85"/>
      <x:c r="Q1104" s="85"/>
      <x:c r="R1104" s="85"/>
      <x:c r="T1104" s="86"/>
      <x:c r="U1104" s="86"/>
      <x:c r="V1104" s="32"/>
    </x:row>
    <x:row r="1105">
      <x:c r="A1105" s="87"/>
      <x:c r="B1105" s="88"/>
      <x:c r="D1105" s="32"/>
      <x:c r="G1105" s="74"/>
      <x:c r="H1105" s="74"/>
      <x:c r="I1105" s="74"/>
      <x:c r="J1105" s="74"/>
      <x:c r="K1105" s="74"/>
      <x:c r="L1105" s="74"/>
      <x:c r="M1105" s="91"/>
      <x:c r="N1105" s="91"/>
      <x:c r="O1105" s="85"/>
      <x:c r="P1105" s="85"/>
      <x:c r="Q1105" s="85"/>
      <x:c r="R1105" s="85"/>
      <x:c r="T1105" s="86"/>
      <x:c r="U1105" s="86"/>
      <x:c r="V1105" s="32"/>
    </x:row>
    <x:row r="1106">
      <x:c r="A1106" s="87"/>
      <x:c r="B1106" s="88"/>
      <x:c r="D1106" s="32"/>
      <x:c r="G1106" s="74"/>
      <x:c r="H1106" s="74"/>
      <x:c r="I1106" s="74"/>
      <x:c r="J1106" s="74"/>
      <x:c r="K1106" s="74"/>
      <x:c r="L1106" s="74"/>
      <x:c r="M1106" s="91"/>
      <x:c r="N1106" s="91"/>
      <x:c r="O1106" s="85"/>
      <x:c r="P1106" s="85"/>
      <x:c r="Q1106" s="85"/>
      <x:c r="R1106" s="85"/>
      <x:c r="T1106" s="86"/>
      <x:c r="U1106" s="86"/>
      <x:c r="V1106" s="32"/>
    </x:row>
    <x:row r="1107">
      <x:c r="A1107" s="87"/>
      <x:c r="B1107" s="88"/>
      <x:c r="D1107" s="32"/>
      <x:c r="G1107" s="74"/>
      <x:c r="H1107" s="74"/>
      <x:c r="I1107" s="74"/>
      <x:c r="J1107" s="74"/>
      <x:c r="K1107" s="74"/>
      <x:c r="L1107" s="74"/>
      <x:c r="M1107" s="91"/>
      <x:c r="N1107" s="91"/>
      <x:c r="O1107" s="85"/>
      <x:c r="P1107" s="85"/>
      <x:c r="Q1107" s="85"/>
      <x:c r="R1107" s="85"/>
      <x:c r="T1107" s="86"/>
      <x:c r="U1107" s="86"/>
      <x:c r="V1107" s="32"/>
    </x:row>
    <x:row r="1108">
      <x:c r="A1108" s="87"/>
      <x:c r="B1108" s="88"/>
      <x:c r="D1108" s="32"/>
      <x:c r="G1108" s="74"/>
      <x:c r="H1108" s="74"/>
      <x:c r="I1108" s="74"/>
      <x:c r="J1108" s="74"/>
      <x:c r="K1108" s="74"/>
      <x:c r="L1108" s="74"/>
      <x:c r="M1108" s="91"/>
      <x:c r="N1108" s="91"/>
      <x:c r="O1108" s="85"/>
      <x:c r="P1108" s="85"/>
      <x:c r="Q1108" s="85"/>
      <x:c r="R1108" s="85"/>
      <x:c r="T1108" s="86"/>
      <x:c r="U1108" s="86"/>
      <x:c r="V1108" s="32"/>
    </x:row>
    <x:row r="1109">
      <x:c r="A1109" s="87"/>
      <x:c r="B1109" s="88"/>
      <x:c r="D1109" s="32"/>
      <x:c r="G1109" s="74"/>
      <x:c r="H1109" s="74"/>
      <x:c r="I1109" s="74"/>
      <x:c r="J1109" s="74"/>
      <x:c r="K1109" s="74"/>
      <x:c r="L1109" s="74"/>
      <x:c r="M1109" s="91"/>
      <x:c r="N1109" s="91"/>
      <x:c r="O1109" s="85"/>
      <x:c r="P1109" s="85"/>
      <x:c r="Q1109" s="85"/>
      <x:c r="R1109" s="85"/>
      <x:c r="T1109" s="86"/>
      <x:c r="U1109" s="86"/>
      <x:c r="V1109" s="32"/>
    </x:row>
    <x:row r="1110">
      <x:c r="A1110" s="87"/>
      <x:c r="B1110" s="88"/>
      <x:c r="D1110" s="32"/>
      <x:c r="G1110" s="74"/>
      <x:c r="H1110" s="74"/>
      <x:c r="I1110" s="74"/>
      <x:c r="J1110" s="74"/>
      <x:c r="K1110" s="74"/>
      <x:c r="L1110" s="74"/>
      <x:c r="M1110" s="91"/>
      <x:c r="N1110" s="91"/>
      <x:c r="O1110" s="85"/>
      <x:c r="P1110" s="85"/>
      <x:c r="Q1110" s="85"/>
      <x:c r="R1110" s="85"/>
      <x:c r="T1110" s="86"/>
      <x:c r="U1110" s="86"/>
      <x:c r="V1110" s="32"/>
    </x:row>
    <x:row r="1111">
      <x:c r="A1111" s="87"/>
      <x:c r="B1111" s="88"/>
      <x:c r="D1111" s="32"/>
      <x:c r="G1111" s="74"/>
      <x:c r="H1111" s="74"/>
      <x:c r="I1111" s="74"/>
      <x:c r="J1111" s="74"/>
      <x:c r="K1111" s="74"/>
      <x:c r="L1111" s="74"/>
      <x:c r="M1111" s="91"/>
      <x:c r="N1111" s="91"/>
      <x:c r="O1111" s="85"/>
      <x:c r="P1111" s="85"/>
      <x:c r="Q1111" s="85"/>
      <x:c r="R1111" s="85"/>
      <x:c r="T1111" s="86"/>
      <x:c r="U1111" s="86"/>
      <x:c r="V1111" s="32"/>
    </x:row>
    <x:row r="1112">
      <x:c r="A1112" s="87"/>
      <x:c r="B1112" s="88"/>
      <x:c r="D1112" s="32"/>
      <x:c r="G1112" s="74"/>
      <x:c r="H1112" s="74"/>
      <x:c r="I1112" s="74"/>
      <x:c r="J1112" s="74"/>
      <x:c r="K1112" s="74"/>
      <x:c r="L1112" s="74"/>
      <x:c r="M1112" s="91"/>
      <x:c r="N1112" s="91"/>
      <x:c r="O1112" s="85"/>
      <x:c r="P1112" s="85"/>
      <x:c r="Q1112" s="85"/>
      <x:c r="R1112" s="85"/>
      <x:c r="T1112" s="86"/>
      <x:c r="U1112" s="86"/>
      <x:c r="V1112" s="32"/>
    </x:row>
    <x:row r="1113">
      <x:c r="A1113" s="87"/>
      <x:c r="B1113" s="88"/>
      <x:c r="D1113" s="32"/>
      <x:c r="G1113" s="74"/>
      <x:c r="H1113" s="74"/>
      <x:c r="I1113" s="74"/>
      <x:c r="J1113" s="74"/>
      <x:c r="K1113" s="74"/>
      <x:c r="L1113" s="74"/>
      <x:c r="M1113" s="91"/>
      <x:c r="N1113" s="91"/>
      <x:c r="O1113" s="85"/>
      <x:c r="P1113" s="85"/>
      <x:c r="Q1113" s="85"/>
      <x:c r="R1113" s="85"/>
      <x:c r="T1113" s="86"/>
      <x:c r="U1113" s="86"/>
      <x:c r="V1113" s="32"/>
    </x:row>
    <x:row r="1114">
      <x:c r="A1114" s="87"/>
      <x:c r="B1114" s="88"/>
      <x:c r="D1114" s="32"/>
      <x:c r="G1114" s="74"/>
      <x:c r="H1114" s="74"/>
      <x:c r="I1114" s="74"/>
      <x:c r="J1114" s="74"/>
      <x:c r="K1114" s="74"/>
      <x:c r="L1114" s="74"/>
      <x:c r="M1114" s="91"/>
      <x:c r="N1114" s="91"/>
      <x:c r="O1114" s="85"/>
      <x:c r="P1114" s="85"/>
      <x:c r="Q1114" s="85"/>
      <x:c r="R1114" s="85"/>
      <x:c r="T1114" s="86"/>
      <x:c r="U1114" s="86"/>
      <x:c r="V1114" s="32"/>
    </x:row>
    <x:row r="1115">
      <x:c r="A1115" s="87"/>
      <x:c r="B1115" s="88"/>
      <x:c r="D1115" s="32"/>
      <x:c r="G1115" s="74"/>
      <x:c r="H1115" s="74"/>
      <x:c r="I1115" s="74"/>
      <x:c r="J1115" s="74"/>
      <x:c r="K1115" s="74"/>
      <x:c r="L1115" s="74"/>
      <x:c r="M1115" s="91"/>
      <x:c r="N1115" s="91"/>
      <x:c r="O1115" s="85"/>
      <x:c r="P1115" s="85"/>
      <x:c r="Q1115" s="85"/>
      <x:c r="R1115" s="85"/>
      <x:c r="T1115" s="86"/>
      <x:c r="U1115" s="86"/>
      <x:c r="V1115" s="32"/>
    </x:row>
    <x:row r="1116">
      <x:c r="A1116" s="87"/>
      <x:c r="B1116" s="88"/>
      <x:c r="D1116" s="32"/>
      <x:c r="G1116" s="74"/>
      <x:c r="H1116" s="74"/>
      <x:c r="I1116" s="74"/>
      <x:c r="J1116" s="74"/>
      <x:c r="K1116" s="74"/>
      <x:c r="L1116" s="74"/>
      <x:c r="M1116" s="91"/>
      <x:c r="N1116" s="91"/>
      <x:c r="O1116" s="85"/>
      <x:c r="P1116" s="85"/>
      <x:c r="Q1116" s="85"/>
      <x:c r="R1116" s="85"/>
      <x:c r="T1116" s="86"/>
      <x:c r="U1116" s="86"/>
      <x:c r="V1116" s="32"/>
    </x:row>
    <x:row r="1117">
      <x:c r="A1117" s="87"/>
      <x:c r="B1117" s="88"/>
      <x:c r="D1117" s="32"/>
      <x:c r="G1117" s="74"/>
      <x:c r="H1117" s="74"/>
      <x:c r="I1117" s="74"/>
      <x:c r="J1117" s="74"/>
      <x:c r="K1117" s="74"/>
      <x:c r="L1117" s="74"/>
      <x:c r="M1117" s="91"/>
      <x:c r="N1117" s="91"/>
      <x:c r="O1117" s="85"/>
      <x:c r="P1117" s="85"/>
      <x:c r="Q1117" s="85"/>
      <x:c r="R1117" s="85"/>
      <x:c r="T1117" s="86"/>
      <x:c r="U1117" s="86"/>
      <x:c r="V1117" s="32"/>
    </x:row>
    <x:row r="1118">
      <x:c r="A1118" s="87"/>
      <x:c r="B1118" s="88"/>
      <x:c r="D1118" s="32"/>
      <x:c r="G1118" s="74"/>
      <x:c r="H1118" s="74"/>
      <x:c r="I1118" s="74"/>
      <x:c r="J1118" s="74"/>
      <x:c r="K1118" s="74"/>
      <x:c r="L1118" s="74"/>
      <x:c r="M1118" s="91"/>
      <x:c r="N1118" s="91"/>
      <x:c r="O1118" s="85"/>
      <x:c r="P1118" s="85"/>
      <x:c r="Q1118" s="85"/>
      <x:c r="R1118" s="85"/>
      <x:c r="T1118" s="86"/>
      <x:c r="U1118" s="86"/>
      <x:c r="V1118" s="32"/>
    </x:row>
    <x:row r="1119">
      <x:c r="A1119" s="87"/>
      <x:c r="B1119" s="88"/>
      <x:c r="D1119" s="32"/>
      <x:c r="G1119" s="74"/>
      <x:c r="H1119" s="74"/>
      <x:c r="I1119" s="74"/>
      <x:c r="J1119" s="74"/>
      <x:c r="K1119" s="74"/>
      <x:c r="L1119" s="74"/>
      <x:c r="M1119" s="91"/>
      <x:c r="N1119" s="91"/>
      <x:c r="O1119" s="85"/>
      <x:c r="P1119" s="85"/>
      <x:c r="Q1119" s="85"/>
      <x:c r="R1119" s="85"/>
      <x:c r="T1119" s="86"/>
      <x:c r="U1119" s="86"/>
      <x:c r="V1119" s="32"/>
    </x:row>
    <x:row r="1120">
      <x:c r="A1120" s="87"/>
      <x:c r="B1120" s="88"/>
      <x:c r="D1120" s="32"/>
      <x:c r="G1120" s="74"/>
      <x:c r="H1120" s="74"/>
      <x:c r="I1120" s="74"/>
      <x:c r="J1120" s="74"/>
      <x:c r="K1120" s="74"/>
      <x:c r="L1120" s="74"/>
      <x:c r="M1120" s="91"/>
      <x:c r="N1120" s="91"/>
      <x:c r="O1120" s="85"/>
      <x:c r="P1120" s="85"/>
      <x:c r="Q1120" s="85"/>
      <x:c r="R1120" s="85"/>
      <x:c r="T1120" s="86"/>
      <x:c r="U1120" s="86"/>
      <x:c r="V1120" s="32"/>
    </x:row>
    <x:row r="1121">
      <x:c r="A1121" s="87"/>
      <x:c r="B1121" s="88"/>
      <x:c r="D1121" s="32"/>
      <x:c r="G1121" s="74"/>
      <x:c r="H1121" s="74"/>
      <x:c r="I1121" s="74"/>
      <x:c r="J1121" s="74"/>
      <x:c r="K1121" s="74"/>
      <x:c r="L1121" s="74"/>
      <x:c r="M1121" s="91"/>
      <x:c r="N1121" s="91"/>
      <x:c r="O1121" s="85"/>
      <x:c r="P1121" s="85"/>
      <x:c r="Q1121" s="85"/>
      <x:c r="R1121" s="85"/>
      <x:c r="T1121" s="86"/>
      <x:c r="U1121" s="86"/>
      <x:c r="V1121" s="32"/>
    </x:row>
    <x:row r="1122">
      <x:c r="A1122" s="87"/>
      <x:c r="B1122" s="88"/>
      <x:c r="D1122" s="32"/>
      <x:c r="G1122" s="74"/>
      <x:c r="H1122" s="74"/>
      <x:c r="I1122" s="74"/>
      <x:c r="J1122" s="74"/>
      <x:c r="K1122" s="74"/>
      <x:c r="L1122" s="74"/>
      <x:c r="M1122" s="91"/>
      <x:c r="N1122" s="91"/>
      <x:c r="O1122" s="85"/>
      <x:c r="P1122" s="85"/>
      <x:c r="Q1122" s="85"/>
      <x:c r="R1122" s="85"/>
      <x:c r="T1122" s="86"/>
      <x:c r="U1122" s="86"/>
      <x:c r="V1122" s="32"/>
    </x:row>
    <x:row r="1123">
      <x:c r="A1123" s="87"/>
      <x:c r="B1123" s="88"/>
      <x:c r="D1123" s="32"/>
      <x:c r="G1123" s="74"/>
      <x:c r="H1123" s="74"/>
      <x:c r="I1123" s="74"/>
      <x:c r="J1123" s="74"/>
      <x:c r="K1123" s="74"/>
      <x:c r="L1123" s="74"/>
      <x:c r="M1123" s="91"/>
      <x:c r="N1123" s="91"/>
      <x:c r="O1123" s="85"/>
      <x:c r="P1123" s="85"/>
      <x:c r="Q1123" s="85"/>
      <x:c r="R1123" s="85"/>
      <x:c r="T1123" s="86"/>
      <x:c r="U1123" s="86"/>
      <x:c r="V1123" s="32"/>
    </x:row>
    <x:row r="1124">
      <x:c r="A1124" s="87"/>
      <x:c r="B1124" s="88"/>
      <x:c r="D1124" s="32"/>
      <x:c r="G1124" s="74"/>
      <x:c r="H1124" s="74"/>
      <x:c r="I1124" s="74"/>
      <x:c r="J1124" s="74"/>
      <x:c r="K1124" s="74"/>
      <x:c r="L1124" s="74"/>
      <x:c r="M1124" s="91"/>
      <x:c r="N1124" s="91"/>
      <x:c r="O1124" s="85"/>
      <x:c r="P1124" s="85"/>
      <x:c r="Q1124" s="85"/>
      <x:c r="R1124" s="85"/>
      <x:c r="T1124" s="86"/>
      <x:c r="U1124" s="86"/>
      <x:c r="V1124" s="32"/>
    </x:row>
    <x:row r="1125">
      <x:c r="A1125" s="87"/>
      <x:c r="B1125" s="88"/>
      <x:c r="D1125" s="32"/>
      <x:c r="G1125" s="74"/>
      <x:c r="H1125" s="74"/>
      <x:c r="I1125" s="74"/>
      <x:c r="J1125" s="74"/>
      <x:c r="K1125" s="74"/>
      <x:c r="L1125" s="74"/>
      <x:c r="M1125" s="91"/>
      <x:c r="N1125" s="91"/>
      <x:c r="O1125" s="85"/>
      <x:c r="P1125" s="85"/>
      <x:c r="Q1125" s="85"/>
      <x:c r="R1125" s="85"/>
      <x:c r="T1125" s="86"/>
      <x:c r="U1125" s="86"/>
      <x:c r="V1125" s="32"/>
    </x:row>
    <x:row r="1126">
      <x:c r="A1126" s="87"/>
      <x:c r="B1126" s="88"/>
      <x:c r="D1126" s="32"/>
      <x:c r="G1126" s="74"/>
      <x:c r="H1126" s="74"/>
      <x:c r="I1126" s="74"/>
      <x:c r="J1126" s="74"/>
      <x:c r="K1126" s="74"/>
      <x:c r="L1126" s="74"/>
      <x:c r="M1126" s="91"/>
      <x:c r="N1126" s="91"/>
      <x:c r="O1126" s="85"/>
      <x:c r="P1126" s="85"/>
      <x:c r="Q1126" s="85"/>
      <x:c r="R1126" s="85"/>
      <x:c r="T1126" s="86"/>
      <x:c r="U1126" s="86"/>
      <x:c r="V1126" s="32"/>
    </x:row>
    <x:row r="1127">
      <x:c r="A1127" s="87"/>
      <x:c r="B1127" s="88"/>
      <x:c r="D1127" s="32"/>
      <x:c r="G1127" s="74"/>
      <x:c r="H1127" s="74"/>
      <x:c r="I1127" s="74"/>
      <x:c r="J1127" s="74"/>
      <x:c r="K1127" s="74"/>
      <x:c r="L1127" s="74"/>
      <x:c r="M1127" s="91"/>
      <x:c r="N1127" s="91"/>
      <x:c r="O1127" s="85"/>
      <x:c r="P1127" s="85"/>
      <x:c r="Q1127" s="85"/>
      <x:c r="R1127" s="85"/>
      <x:c r="T1127" s="86"/>
      <x:c r="U1127" s="86"/>
      <x:c r="V1127" s="32"/>
    </x:row>
    <x:row r="1128">
      <x:c r="A1128" s="87"/>
      <x:c r="B1128" s="88"/>
      <x:c r="D1128" s="32"/>
      <x:c r="G1128" s="74"/>
      <x:c r="H1128" s="74"/>
      <x:c r="I1128" s="74"/>
      <x:c r="J1128" s="74"/>
      <x:c r="K1128" s="74"/>
      <x:c r="L1128" s="74"/>
      <x:c r="M1128" s="91"/>
      <x:c r="N1128" s="91"/>
      <x:c r="O1128" s="85"/>
      <x:c r="P1128" s="85"/>
      <x:c r="Q1128" s="85"/>
      <x:c r="R1128" s="85"/>
      <x:c r="T1128" s="86"/>
      <x:c r="U1128" s="86"/>
      <x:c r="V1128" s="32"/>
    </x:row>
    <x:row r="1129">
      <x:c r="A1129" s="87"/>
      <x:c r="B1129" s="88"/>
      <x:c r="D1129" s="32"/>
      <x:c r="G1129" s="74"/>
      <x:c r="H1129" s="74"/>
      <x:c r="I1129" s="74"/>
      <x:c r="J1129" s="74"/>
      <x:c r="K1129" s="74"/>
      <x:c r="L1129" s="74"/>
      <x:c r="M1129" s="91"/>
      <x:c r="N1129" s="91"/>
      <x:c r="O1129" s="85"/>
      <x:c r="P1129" s="85"/>
      <x:c r="Q1129" s="85"/>
      <x:c r="R1129" s="85"/>
      <x:c r="T1129" s="86"/>
      <x:c r="U1129" s="86"/>
      <x:c r="V1129" s="32"/>
    </x:row>
    <x:row r="1130">
      <x:c r="A1130" s="87"/>
      <x:c r="B1130" s="88"/>
      <x:c r="D1130" s="32"/>
      <x:c r="G1130" s="74"/>
      <x:c r="H1130" s="74"/>
      <x:c r="I1130" s="74"/>
      <x:c r="J1130" s="74"/>
      <x:c r="K1130" s="74"/>
      <x:c r="L1130" s="74"/>
      <x:c r="M1130" s="91"/>
      <x:c r="N1130" s="91"/>
      <x:c r="O1130" s="85"/>
      <x:c r="P1130" s="85"/>
      <x:c r="Q1130" s="85"/>
      <x:c r="R1130" s="85"/>
      <x:c r="T1130" s="86"/>
      <x:c r="U1130" s="86"/>
      <x:c r="V1130" s="32"/>
    </x:row>
    <x:row r="1131">
      <x:c r="A1131" s="87"/>
      <x:c r="B1131" s="88"/>
      <x:c r="D1131" s="32"/>
      <x:c r="G1131" s="74"/>
      <x:c r="H1131" s="74"/>
      <x:c r="I1131" s="74"/>
      <x:c r="J1131" s="74"/>
      <x:c r="K1131" s="74"/>
      <x:c r="L1131" s="74"/>
      <x:c r="M1131" s="91"/>
      <x:c r="N1131" s="91"/>
      <x:c r="O1131" s="85"/>
      <x:c r="P1131" s="85"/>
      <x:c r="Q1131" s="85"/>
      <x:c r="R1131" s="85"/>
      <x:c r="T1131" s="86"/>
      <x:c r="U1131" s="86"/>
      <x:c r="V1131" s="32"/>
    </x:row>
    <x:row r="1132">
      <x:c r="A1132" s="87"/>
      <x:c r="B1132" s="88"/>
      <x:c r="D1132" s="32"/>
      <x:c r="G1132" s="74"/>
      <x:c r="H1132" s="74"/>
      <x:c r="I1132" s="74"/>
      <x:c r="J1132" s="74"/>
      <x:c r="K1132" s="74"/>
      <x:c r="L1132" s="74"/>
      <x:c r="M1132" s="91"/>
      <x:c r="N1132" s="91"/>
      <x:c r="O1132" s="85"/>
      <x:c r="P1132" s="85"/>
      <x:c r="Q1132" s="85"/>
      <x:c r="R1132" s="85"/>
      <x:c r="T1132" s="86"/>
      <x:c r="U1132" s="86"/>
      <x:c r="V1132" s="32"/>
    </x:row>
    <x:row r="1133">
      <x:c r="A1133" s="87"/>
      <x:c r="B1133" s="88"/>
      <x:c r="D1133" s="32"/>
      <x:c r="G1133" s="74"/>
      <x:c r="H1133" s="74"/>
      <x:c r="I1133" s="74"/>
      <x:c r="J1133" s="74"/>
      <x:c r="K1133" s="74"/>
      <x:c r="L1133" s="74"/>
      <x:c r="M1133" s="91"/>
      <x:c r="N1133" s="91"/>
      <x:c r="O1133" s="85"/>
      <x:c r="P1133" s="85"/>
      <x:c r="Q1133" s="85"/>
      <x:c r="R1133" s="85"/>
      <x:c r="T1133" s="86"/>
      <x:c r="U1133" s="86"/>
      <x:c r="V1133" s="32"/>
    </x:row>
    <x:row r="1134">
      <x:c r="A1134" s="87"/>
      <x:c r="B1134" s="88"/>
      <x:c r="D1134" s="32"/>
      <x:c r="G1134" s="74"/>
      <x:c r="H1134" s="74"/>
      <x:c r="I1134" s="74"/>
      <x:c r="J1134" s="74"/>
      <x:c r="K1134" s="74"/>
      <x:c r="L1134" s="74"/>
      <x:c r="M1134" s="91"/>
      <x:c r="N1134" s="91"/>
      <x:c r="O1134" s="85"/>
      <x:c r="P1134" s="85"/>
      <x:c r="Q1134" s="85"/>
      <x:c r="R1134" s="85"/>
      <x:c r="T1134" s="86"/>
      <x:c r="U1134" s="86"/>
      <x:c r="V1134" s="32"/>
    </x:row>
    <x:row r="1135">
      <x:c r="A1135" s="87"/>
      <x:c r="B1135" s="88"/>
      <x:c r="D1135" s="32"/>
      <x:c r="G1135" s="74"/>
      <x:c r="H1135" s="74"/>
      <x:c r="I1135" s="74"/>
      <x:c r="J1135" s="74"/>
      <x:c r="K1135" s="74"/>
      <x:c r="L1135" s="74"/>
      <x:c r="M1135" s="91"/>
      <x:c r="N1135" s="91"/>
      <x:c r="O1135" s="85"/>
      <x:c r="P1135" s="85"/>
      <x:c r="Q1135" s="85"/>
      <x:c r="R1135" s="85"/>
      <x:c r="T1135" s="86"/>
      <x:c r="U1135" s="86"/>
      <x:c r="V1135" s="32"/>
    </x:row>
    <x:row r="1136">
      <x:c r="A1136" s="87"/>
      <x:c r="B1136" s="88"/>
      <x:c r="D1136" s="32"/>
      <x:c r="G1136" s="74"/>
      <x:c r="H1136" s="74"/>
      <x:c r="I1136" s="74"/>
      <x:c r="J1136" s="74"/>
      <x:c r="K1136" s="74"/>
      <x:c r="L1136" s="74"/>
      <x:c r="M1136" s="91"/>
      <x:c r="N1136" s="91"/>
      <x:c r="O1136" s="85"/>
      <x:c r="P1136" s="85"/>
      <x:c r="Q1136" s="85"/>
      <x:c r="R1136" s="85"/>
      <x:c r="T1136" s="86"/>
      <x:c r="U1136" s="86"/>
      <x:c r="V1136" s="32"/>
    </x:row>
    <x:row r="1137">
      <x:c r="A1137" s="87"/>
      <x:c r="B1137" s="88"/>
      <x:c r="D1137" s="32"/>
      <x:c r="G1137" s="74"/>
      <x:c r="H1137" s="74"/>
      <x:c r="I1137" s="74"/>
      <x:c r="J1137" s="74"/>
      <x:c r="K1137" s="74"/>
      <x:c r="L1137" s="74"/>
      <x:c r="M1137" s="91"/>
      <x:c r="N1137" s="91"/>
      <x:c r="O1137" s="85"/>
      <x:c r="P1137" s="85"/>
      <x:c r="Q1137" s="85"/>
      <x:c r="R1137" s="85"/>
      <x:c r="T1137" s="86"/>
      <x:c r="U1137" s="86"/>
      <x:c r="V1137" s="32"/>
    </x:row>
    <x:row r="1138">
      <x:c r="A1138" s="87"/>
      <x:c r="B1138" s="88"/>
      <x:c r="D1138" s="32"/>
      <x:c r="G1138" s="74"/>
      <x:c r="H1138" s="74"/>
      <x:c r="I1138" s="74"/>
      <x:c r="J1138" s="74"/>
      <x:c r="K1138" s="74"/>
      <x:c r="L1138" s="74"/>
      <x:c r="M1138" s="91"/>
      <x:c r="N1138" s="91"/>
      <x:c r="O1138" s="85"/>
      <x:c r="P1138" s="85"/>
      <x:c r="Q1138" s="85"/>
      <x:c r="R1138" s="85"/>
      <x:c r="T1138" s="86"/>
      <x:c r="U1138" s="86"/>
      <x:c r="V1138" s="32"/>
    </x:row>
    <x:row r="1139">
      <x:c r="A1139" s="87"/>
      <x:c r="B1139" s="88"/>
      <x:c r="D1139" s="32"/>
      <x:c r="G1139" s="74"/>
      <x:c r="H1139" s="74"/>
      <x:c r="I1139" s="74"/>
      <x:c r="J1139" s="74"/>
      <x:c r="K1139" s="74"/>
      <x:c r="L1139" s="74"/>
      <x:c r="M1139" s="91"/>
      <x:c r="N1139" s="91"/>
      <x:c r="O1139" s="85"/>
      <x:c r="P1139" s="85"/>
      <x:c r="Q1139" s="85"/>
      <x:c r="R1139" s="85"/>
      <x:c r="T1139" s="86"/>
      <x:c r="U1139" s="86"/>
      <x:c r="V1139" s="32"/>
    </x:row>
    <x:row r="1140">
      <x:c r="A1140" s="87"/>
      <x:c r="B1140" s="88"/>
      <x:c r="D1140" s="32"/>
      <x:c r="G1140" s="74"/>
      <x:c r="H1140" s="74"/>
      <x:c r="I1140" s="74"/>
      <x:c r="J1140" s="74"/>
      <x:c r="K1140" s="74"/>
      <x:c r="L1140" s="74"/>
      <x:c r="M1140" s="91"/>
      <x:c r="N1140" s="91"/>
      <x:c r="O1140" s="85"/>
      <x:c r="P1140" s="85"/>
      <x:c r="Q1140" s="85"/>
      <x:c r="R1140" s="85"/>
      <x:c r="T1140" s="86"/>
      <x:c r="U1140" s="86"/>
      <x:c r="V1140" s="32"/>
    </x:row>
    <x:row r="1141">
      <x:c r="A1141" s="87"/>
      <x:c r="B1141" s="88"/>
      <x:c r="D1141" s="32"/>
      <x:c r="G1141" s="74"/>
      <x:c r="H1141" s="74"/>
      <x:c r="I1141" s="74"/>
      <x:c r="J1141" s="74"/>
      <x:c r="K1141" s="74"/>
      <x:c r="L1141" s="74"/>
      <x:c r="M1141" s="91"/>
      <x:c r="N1141" s="91"/>
      <x:c r="O1141" s="85"/>
      <x:c r="P1141" s="85"/>
      <x:c r="Q1141" s="85"/>
      <x:c r="R1141" s="85"/>
      <x:c r="T1141" s="86"/>
      <x:c r="U1141" s="86"/>
      <x:c r="V1141" s="32"/>
    </x:row>
    <x:row r="1142">
      <x:c r="A1142" s="87"/>
      <x:c r="B1142" s="88"/>
      <x:c r="D1142" s="32"/>
      <x:c r="G1142" s="74"/>
      <x:c r="H1142" s="74"/>
      <x:c r="I1142" s="74"/>
      <x:c r="J1142" s="74"/>
      <x:c r="K1142" s="74"/>
      <x:c r="L1142" s="74"/>
      <x:c r="M1142" s="91"/>
      <x:c r="N1142" s="91"/>
      <x:c r="O1142" s="85"/>
      <x:c r="P1142" s="85"/>
      <x:c r="Q1142" s="85"/>
      <x:c r="R1142" s="85"/>
      <x:c r="T1142" s="86"/>
      <x:c r="U1142" s="86"/>
      <x:c r="V1142" s="32"/>
    </x:row>
    <x:row r="1143">
      <x:c r="A1143" s="87"/>
      <x:c r="B1143" s="88"/>
      <x:c r="D1143" s="32"/>
      <x:c r="G1143" s="74"/>
      <x:c r="H1143" s="74"/>
      <x:c r="I1143" s="74"/>
      <x:c r="J1143" s="74"/>
      <x:c r="K1143" s="74"/>
      <x:c r="L1143" s="74"/>
      <x:c r="M1143" s="91"/>
      <x:c r="N1143" s="91"/>
      <x:c r="O1143" s="85"/>
      <x:c r="P1143" s="85"/>
      <x:c r="Q1143" s="85"/>
      <x:c r="R1143" s="85"/>
      <x:c r="T1143" s="86"/>
      <x:c r="U1143" s="86"/>
      <x:c r="V1143" s="32"/>
    </x:row>
    <x:row r="1144">
      <x:c r="A1144" s="87"/>
      <x:c r="B1144" s="88"/>
      <x:c r="D1144" s="32"/>
      <x:c r="G1144" s="74"/>
      <x:c r="H1144" s="74"/>
      <x:c r="I1144" s="74"/>
      <x:c r="J1144" s="74"/>
      <x:c r="K1144" s="74"/>
      <x:c r="L1144" s="74"/>
      <x:c r="M1144" s="91"/>
      <x:c r="N1144" s="91"/>
      <x:c r="O1144" s="85"/>
      <x:c r="P1144" s="85"/>
      <x:c r="Q1144" s="85"/>
      <x:c r="R1144" s="85"/>
      <x:c r="T1144" s="86"/>
      <x:c r="U1144" s="86"/>
      <x:c r="V1144" s="32"/>
    </x:row>
    <x:row r="1145">
      <x:c r="A1145" s="87"/>
      <x:c r="B1145" s="88"/>
      <x:c r="D1145" s="32"/>
      <x:c r="G1145" s="74"/>
      <x:c r="H1145" s="74"/>
      <x:c r="I1145" s="74"/>
      <x:c r="J1145" s="74"/>
      <x:c r="K1145" s="74"/>
      <x:c r="L1145" s="74"/>
      <x:c r="M1145" s="91"/>
      <x:c r="N1145" s="91"/>
      <x:c r="O1145" s="85"/>
      <x:c r="P1145" s="85"/>
      <x:c r="Q1145" s="85"/>
      <x:c r="R1145" s="85"/>
      <x:c r="T1145" s="86"/>
      <x:c r="U1145" s="86"/>
      <x:c r="V1145" s="32"/>
    </x:row>
    <x:row r="1146">
      <x:c r="A1146" s="87"/>
      <x:c r="B1146" s="88"/>
      <x:c r="D1146" s="32"/>
      <x:c r="G1146" s="74"/>
      <x:c r="H1146" s="74"/>
      <x:c r="I1146" s="74"/>
      <x:c r="J1146" s="74"/>
      <x:c r="K1146" s="74"/>
      <x:c r="L1146" s="74"/>
      <x:c r="M1146" s="91"/>
      <x:c r="N1146" s="91"/>
      <x:c r="O1146" s="85"/>
      <x:c r="P1146" s="85"/>
      <x:c r="Q1146" s="85"/>
      <x:c r="R1146" s="85"/>
      <x:c r="T1146" s="86"/>
      <x:c r="U1146" s="86"/>
      <x:c r="V1146" s="32"/>
    </x:row>
    <x:row r="1147">
      <x:c r="A1147" s="87"/>
      <x:c r="B1147" s="88"/>
      <x:c r="D1147" s="32"/>
      <x:c r="G1147" s="74"/>
      <x:c r="H1147" s="74"/>
      <x:c r="I1147" s="74"/>
      <x:c r="J1147" s="74"/>
      <x:c r="K1147" s="74"/>
      <x:c r="L1147" s="74"/>
      <x:c r="M1147" s="91"/>
      <x:c r="N1147" s="91"/>
      <x:c r="O1147" s="85"/>
      <x:c r="P1147" s="85"/>
      <x:c r="Q1147" s="85"/>
      <x:c r="R1147" s="85"/>
      <x:c r="T1147" s="86"/>
      <x:c r="U1147" s="86"/>
      <x:c r="V1147" s="32"/>
    </x:row>
    <x:row r="1148">
      <x:c r="A1148" s="87"/>
      <x:c r="B1148" s="88"/>
      <x:c r="D1148" s="32"/>
      <x:c r="G1148" s="74"/>
      <x:c r="H1148" s="74"/>
      <x:c r="I1148" s="74"/>
      <x:c r="J1148" s="74"/>
      <x:c r="K1148" s="74"/>
      <x:c r="L1148" s="74"/>
      <x:c r="M1148" s="91"/>
      <x:c r="N1148" s="91"/>
      <x:c r="O1148" s="85"/>
      <x:c r="P1148" s="85"/>
      <x:c r="Q1148" s="85"/>
      <x:c r="R1148" s="85"/>
      <x:c r="T1148" s="86"/>
      <x:c r="U1148" s="86"/>
      <x:c r="V1148" s="32"/>
    </x:row>
    <x:row r="1149">
      <x:c r="A1149" s="87"/>
      <x:c r="B1149" s="88"/>
      <x:c r="D1149" s="32"/>
      <x:c r="G1149" s="74"/>
      <x:c r="H1149" s="74"/>
      <x:c r="I1149" s="74"/>
      <x:c r="J1149" s="74"/>
      <x:c r="K1149" s="74"/>
      <x:c r="L1149" s="74"/>
      <x:c r="M1149" s="91"/>
      <x:c r="N1149" s="91"/>
      <x:c r="O1149" s="85"/>
      <x:c r="P1149" s="85"/>
      <x:c r="Q1149" s="85"/>
      <x:c r="R1149" s="85"/>
      <x:c r="T1149" s="86"/>
      <x:c r="U1149" s="86"/>
      <x:c r="V1149" s="32"/>
    </x:row>
  </x:sheetData>
  <x:mergeCells>
    <x:mergeCell ref="A2:B2"/>
    <x:mergeCell ref="A3:B3"/>
  </x:mergeCells>
  <x:conditionalFormatting sqref="C2:C26 D2:N4 O2:R169 S2:T4 B4:B4">
    <x:cfRule type="expression" dxfId="0" priority="1">
      <x:formula>$S2="Done"</x:formula>
    </x:cfRule>
  </x:conditionalFormatting>
  <x:conditionalFormatting sqref="C2:C26 D2:N4 O2:R169 S2:T4 B4:B4">
    <x:cfRule type="expression" dxfId="1" priority="2">
      <x:formula>AND(NOT($S2="Done"), OR(#REF!="Đã CK Anh", #REF!="Đã CK Em"))</x:formula>
    </x:cfRule>
  </x:conditionalFormatting>
  <x:conditionalFormatting sqref="M2:N4 O2:R169">
    <x:cfRule type="expression" dxfId="1" priority="3">
      <x:formula>AND(NOT(#REF!="Done"), OR(#REF!="Đã CK Anh", #REF!="Đã CK Em"))</x:formula>
    </x:cfRule>
  </x:conditionalFormatting>
  <x:conditionalFormatting sqref="M2:N4 O2:R169">
    <x:cfRule type="expression" dxfId="0" priority="4">
      <x:formula>#REF!="Done"</x:formula>
    </x:cfRule>
  </x:conditionalFormatting>
  <x:conditionalFormatting sqref="C2:C26 B5:B6 D5:N6 O5:R169 S5:T6">
    <x:cfRule type="expression" dxfId="0" priority="5">
      <x:formula>$S2="Done"</x:formula>
    </x:cfRule>
  </x:conditionalFormatting>
  <x:conditionalFormatting sqref="C2:C26 B5:B6 D5:N6 O5:R169 S5:T6">
    <x:cfRule type="expression" dxfId="1" priority="6">
      <x:formula>AND(NOT($S2="Done"), OR(#REF!="Đã CK Anh", #REF!="Đã CK Em"))</x:formula>
    </x:cfRule>
  </x:conditionalFormatting>
  <x:conditionalFormatting sqref="M5:N6 O5:R169">
    <x:cfRule type="expression" dxfId="1" priority="7">
      <x:formula>AND(NOT(#REF!="Done"), OR(#REF!="Đã CK Anh", #REF!="Đã CK Em"))</x:formula>
    </x:cfRule>
  </x:conditionalFormatting>
  <x:conditionalFormatting sqref="M5:N6 O5:R169">
    <x:cfRule type="expression" dxfId="0" priority="8">
      <x:formula>#REF!="Done"</x:formula>
    </x:cfRule>
  </x:conditionalFormatting>
  <x:conditionalFormatting sqref="M2:N4 O2:R169 M7:N169">
    <x:cfRule type="expression" dxfId="0" priority="9">
      <x:formula>$U2="Done"</x:formula>
    </x:cfRule>
  </x:conditionalFormatting>
  <x:conditionalFormatting sqref="M2:N4 O2:R169 M7:N169">
    <x:cfRule type="expression" dxfId="1" priority="10">
      <x:formula>AND(NOT($U2="Done"), OR($V2="Đã CK Anh", $V2="Đã CK Em"))</x:formula>
    </x:cfRule>
  </x:conditionalFormatting>
  <x:conditionalFormatting sqref="A84:A88 B84:T85 B88:B88 C88:C99 D88:D89 A90:A90 A92:A92 A94:A169 B111:D111 R151:R152">
    <x:cfRule type="expression" dxfId="1" priority="11">
      <x:formula>AND(NOT($S84="Done"), OR($U84="Đã CK Anh", $U84="Đã CK Em"))</x:formula>
    </x:cfRule>
  </x:conditionalFormatting>
  <x:conditionalFormatting sqref="A84:A88 B84:T85 B88:B88 C88:C99 D88:D89 A90:A90 A92:A92 A94:A169 B111:D111 R151:R152">
    <x:cfRule type="expression" dxfId="0" priority="12">
      <x:formula>$S84="Done"</x:formula>
    </x:cfRule>
  </x:conditionalFormatting>
  <x:conditionalFormatting sqref="A170:B171">
    <x:cfRule type="expression" dxfId="0" priority="13">
      <x:formula>$L170="Done"</x:formula>
    </x:cfRule>
  </x:conditionalFormatting>
  <x:conditionalFormatting sqref="A170:B171">
    <x:cfRule type="expression" dxfId="1" priority="14">
      <x:formula>AND(NOT($L170="Done"), OR($G170="Đã CK Anh", $G170="Đã CK Em"))</x:formula>
    </x:cfRule>
  </x:conditionalFormatting>
  <x:conditionalFormatting sqref="A2:A1149 B2:B4 C2:C83 D2:N4 O2:R1149 S2:T4 B7:B83 D7:L83 M7:N1149 S7:T83 B86:L1149 S86:T1149">
    <x:cfRule type="expression" dxfId="0" priority="15">
      <x:formula>$S2="Done"</x:formula>
    </x:cfRule>
  </x:conditionalFormatting>
  <x:conditionalFormatting sqref="A2:A1149 B2:B4 C2:C83 D2:N4 O2:R1149 S2:T4 B7:B83 D7:L83 M7:N1149 S7:T83 B86:L1149 S86:T1149">
    <x:cfRule type="expression" dxfId="1" priority="16">
      <x:formula>AND(NOT($S2="Done"), OR($U2="Đã CK Anh", $U2="Đã CK Em"))</x:formula>
    </x:cfRule>
  </x:conditionalFormatting>
  <x:conditionalFormatting sqref="U5:U6">
    <x:cfRule type="notContainsBlanks" dxfId="0" priority="17">
      <x:formula>LEN(TRIM(U5))&gt;0</x:formula>
    </x:cfRule>
  </x:conditionalFormatting>
  <x:dataValidations count="2">
    <x:dataValidation type="list" allowBlank="1" showErrorMessage="1" sqref="U4:U1149">
      <x:formula1>"Chưa CK,Đã CK Anh,Đã CK Em"</x:formula1>
    </x:dataValidation>
    <x:dataValidation type="list" allowBlank="1" showErrorMessage="1" sqref="T2:T1149">
      <x:formula1>"Đã tạo đơn,Đã gửi đơn,Done,Chưa lên đơn"</x:formula1>
    </x:dataValidation>
  </x:dataValidations>
  <x:hyperlinks>
    <x:hyperlink xmlns:r="http://schemas.openxmlformats.org/officeDocument/2006/relationships" ref="D4" r:id="Rf5dd246bc9514012"/>
    <x:hyperlink xmlns:r="http://schemas.openxmlformats.org/officeDocument/2006/relationships" ref="D5" r:id="R30fd023cad5e4cca"/>
    <x:hyperlink xmlns:r="http://schemas.openxmlformats.org/officeDocument/2006/relationships" ref="D6" r:id="Rdc47ef14d50f49d7"/>
    <x:hyperlink xmlns:r="http://schemas.openxmlformats.org/officeDocument/2006/relationships" ref="D7" r:id="Rb7aa0ba78a774085"/>
    <x:hyperlink xmlns:r="http://schemas.openxmlformats.org/officeDocument/2006/relationships" ref="D8" r:id="R71fcba52cd844898"/>
    <x:hyperlink xmlns:r="http://schemas.openxmlformats.org/officeDocument/2006/relationships" ref="D9" r:id="R10f4428022a740e0"/>
    <x:hyperlink xmlns:r="http://schemas.openxmlformats.org/officeDocument/2006/relationships" ref="D10" r:id="R7ec49ea4764e4538"/>
    <x:hyperlink xmlns:r="http://schemas.openxmlformats.org/officeDocument/2006/relationships" ref="D12" r:id="Rfcd67a77af5b4138"/>
    <x:hyperlink xmlns:r="http://schemas.openxmlformats.org/officeDocument/2006/relationships" ref="D13" r:id="Rf2a7b2ef0f5143b8"/>
    <x:hyperlink xmlns:r="http://schemas.openxmlformats.org/officeDocument/2006/relationships" ref="D14" r:id="Rfb27ddd389204ef9"/>
    <x:hyperlink xmlns:r="http://schemas.openxmlformats.org/officeDocument/2006/relationships" ref="D15" r:id="R43fac8a690e74ac6"/>
    <x:hyperlink xmlns:r="http://schemas.openxmlformats.org/officeDocument/2006/relationships" ref="D16" r:id="Rf9512c2d572d49df"/>
    <x:hyperlink xmlns:r="http://schemas.openxmlformats.org/officeDocument/2006/relationships" ref="D17" r:id="Ra9850d6096354842"/>
    <x:hyperlink xmlns:r="http://schemas.openxmlformats.org/officeDocument/2006/relationships" ref="D18" r:id="R8b52f428ca58467c"/>
    <x:hyperlink xmlns:r="http://schemas.openxmlformats.org/officeDocument/2006/relationships" ref="D19" r:id="Rb9e61490d1b74757"/>
    <x:hyperlink xmlns:r="http://schemas.openxmlformats.org/officeDocument/2006/relationships" ref="D20" r:id="Rb44946306a984599"/>
    <x:hyperlink xmlns:r="http://schemas.openxmlformats.org/officeDocument/2006/relationships" ref="D21" r:id="Re97cc13768e04958"/>
    <x:hyperlink xmlns:r="http://schemas.openxmlformats.org/officeDocument/2006/relationships" ref="D22" r:id="R3f90ac1407f74fa4"/>
    <x:hyperlink xmlns:r="http://schemas.openxmlformats.org/officeDocument/2006/relationships" ref="D23" r:id="Rd80ca37720b04445"/>
    <x:hyperlink xmlns:r="http://schemas.openxmlformats.org/officeDocument/2006/relationships" ref="D24" r:id="R6dbfeabcb0e24d7e"/>
    <x:hyperlink xmlns:r="http://schemas.openxmlformats.org/officeDocument/2006/relationships" ref="D25" r:id="Read22cbc5b644b5d"/>
    <x:hyperlink xmlns:r="http://schemas.openxmlformats.org/officeDocument/2006/relationships" ref="D26" r:id="R962f6801bf774747"/>
    <x:hyperlink xmlns:r="http://schemas.openxmlformats.org/officeDocument/2006/relationships" ref="D27" r:id="R98b02668d9934b00"/>
    <x:hyperlink xmlns:r="http://schemas.openxmlformats.org/officeDocument/2006/relationships" ref="D28" r:id="R04985800a9534515"/>
    <x:hyperlink xmlns:r="http://schemas.openxmlformats.org/officeDocument/2006/relationships" ref="D29" r:id="R647993492f3e4025"/>
    <x:hyperlink xmlns:r="http://schemas.openxmlformats.org/officeDocument/2006/relationships" ref="D30" r:id="R694b5fe56d1649c1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5" width="12.380000114440918" customWidth="1"/>
    <x:col min="6" max="6" width="14.5" customWidth="1"/>
    <x:col min="7" max="10" width="12.380000114440918" customWidth="1"/>
    <x:col min="11" max="11" width="14.880000114440918" customWidth="1"/>
    <x:col min="12" max="12" width="14.630000114440918" customWidth="1"/>
    <x:col min="16" max="16" width="9.880000114440918" customWidth="1"/>
    <x:col min="17" max="17" width="15.75" customWidth="1"/>
    <x:col min="18" max="18" width="18.5" customWidth="1"/>
  </x:cols>
  <x:sheetData>
    <x:row r="1" ht="21" customHeight="1">
      <x:c r="A1" s="1" t="s">
        <x:v>0</x:v>
      </x:c>
      <x:c r="B1" s="2" t="s">
        <x:v>1</x:v>
      </x:c>
      <x:c r="C1" s="1" t="s">
        <x:v>2</x:v>
      </x:c>
      <x:c r="D1" s="3" t="s">
        <x:v>3</x:v>
      </x:c>
      <x:c r="E1" s="1" t="s">
        <x:v>6</x:v>
      </x:c>
      <x:c r="F1" s="1" t="s">
        <x:v>7</x:v>
      </x:c>
      <x:c r="G1" s="4" t="s">
        <x:v>8</x:v>
      </x:c>
      <x:c r="H1" s="4" t="s">
        <x:v>9</x:v>
      </x:c>
      <x:c r="I1" s="4" t="s">
        <x:v>10</x:v>
      </x:c>
      <x:c r="J1" s="4" t="s">
        <x:v>11</x:v>
      </x:c>
      <x:c r="K1" s="4" t="s">
        <x:v>12</x:v>
      </x:c>
      <x:c r="L1" s="4" t="s">
        <x:v>13</x:v>
      </x:c>
      <x:c r="M1" s="1" t="s">
        <x:v>14</x:v>
      </x:c>
      <x:c r="N1" s="1" t="s">
        <x:v>15</x:v>
      </x:c>
      <x:c r="O1" s="5" t="s">
        <x:v>21</x:v>
      </x:c>
      <x:c r="P1" s="1" t="s">
        <x:v>22</x:v>
      </x:c>
      <x:c r="Q1" s="1" t="s">
        <x:v>23</x:v>
      </x:c>
      <x:c r="R1" s="1" t="s">
        <x:v>24</x:v>
      </x:c>
      <x:c r="S1" s="6" t="s">
        <x:v>25</x:v>
      </x:c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</x:row>
    <x:row r="2" ht="18.75" customHeight="1">
      <x:c r="A2" s="8" t="s">
        <x:v>26</x:v>
      </x:c>
      <x:c r="B2" s="9"/>
      <x:c r="C2" s="10"/>
      <x:c r="D2" s="11"/>
      <x:c r="E2" s="12">
        <x:v>275000.0</x:v>
      </x:c>
      <x:c r="F2" s="12">
        <x:v>260000.0</x:v>
      </x:c>
      <x:c r="G2" s="12">
        <x:v>470000.0</x:v>
      </x:c>
      <x:c r="H2" s="12">
        <x:v>425000.0</x:v>
      </x:c>
      <x:c r="I2" s="12">
        <x:v>360000.0</x:v>
      </x:c>
      <x:c r="J2" s="12">
        <x:v>615000.0</x:v>
      </x:c>
      <x:c r="K2" s="12">
        <x:v>250000.0</x:v>
      </x:c>
      <x:c r="L2" s="12">
        <x:v>240000.0</x:v>
      </x:c>
      <x:c r="M2" s="12">
        <x:v>390000.0</x:v>
      </x:c>
      <x:c r="N2" s="12">
        <x:v>355000.0</x:v>
      </x:c>
      <x:c r="O2" s="14"/>
      <x:c r="P2" s="15"/>
      <x:c r="Q2" s="15"/>
      <x:c r="R2" s="15"/>
      <x:c r="S2" s="16"/>
      <x:c r="T2" s="17"/>
      <x:c r="U2" s="17"/>
      <x:c r="V2" s="17"/>
      <x:c r="W2" s="17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</x:row>
    <x:row r="3" ht="18.75" customHeight="1">
      <x:c r="A3" s="8" t="s">
        <x:v>27</x:v>
      </x:c>
      <x:c r="B3" s="9"/>
      <x:c r="C3" s="10"/>
      <x:c r="D3" s="11"/>
      <x:c r="E3" s="15" t="n">
        <x:f t="shared" ref="E3:N3" si="1">E170</x:f>
        <x:v>0</x:v>
      </x:c>
      <x:c r="F3" s="15">
        <x:f t="shared" si="1"/>
        <x:v>13</x:v>
      </x:c>
      <x:c r="G3" s="18">
        <x:f t="shared" si="1"/>
        <x:v>0</x:v>
      </x:c>
      <x:c r="H3" s="12">
        <x:f t="shared" si="1"/>
        <x:v>0</x:v>
      </x:c>
      <x:c r="I3" s="18">
        <x:f t="shared" si="1"/>
        <x:v>0</x:v>
      </x:c>
      <x:c r="J3" s="18">
        <x:f t="shared" si="1"/>
        <x:v>0</x:v>
      </x:c>
      <x:c r="K3" s="12">
        <x:f t="shared" si="1"/>
        <x:v>5</x:v>
      </x:c>
      <x:c r="L3" s="18">
        <x:f t="shared" si="1"/>
        <x:v>0</x:v>
      </x:c>
      <x:c r="M3" s="15">
        <x:f t="shared" si="1"/>
        <x:v>11</x:v>
      </x:c>
      <x:c r="N3" s="15">
        <x:f t="shared" si="1"/>
        <x:v>0</x:v>
      </x:c>
      <x:c r="O3" s="14"/>
      <x:c r="P3" s="15"/>
      <x:c r="Q3" s="15"/>
      <x:c r="R3" s="15"/>
      <x:c r="S3" s="16"/>
      <x:c r="T3" s="17"/>
      <x:c r="U3" s="17"/>
      <x:c r="V3" s="17"/>
      <x:c r="W3" s="17"/>
      <x:c r="X3" s="16"/>
      <x:c r="Y3" s="16"/>
      <x:c r="Z3" s="16"/>
      <x:c r="AA3" s="16"/>
      <x:c r="AB3" s="16"/>
      <x:c r="AC3" s="16"/>
      <x:c r="AD3" s="16"/>
      <x:c r="AE3" s="16"/>
      <x:c r="AF3" s="16"/>
      <x:c r="AG3" s="16"/>
      <x:c r="AH3" s="16"/>
    </x:row>
    <x:row r="4" ht="18.75" customHeight="1">
      <x:c r="A4" s="19">
        <x:v>1.0</x:v>
      </x:c>
      <x:c r="B4" s="20" t="s">
        <x:v>184</x:v>
      </x:c>
      <x:c r="C4" s="21">
        <x:v>45998.0</x:v>
      </x:c>
      <x:c r="D4" s="22" t="s">
        <x:v>185</x:v>
      </x:c>
      <x:c r="E4" s="23"/>
      <x:c r="F4" s="23"/>
      <x:c r="G4" s="24"/>
      <x:c r="H4" s="24"/>
      <x:c r="I4" s="24"/>
      <x:c r="J4" s="24"/>
      <x:c r="K4" s="24"/>
      <x:c r="L4" s="24"/>
      <x:c r="M4" s="23">
        <x:v>11.0</x:v>
      </x:c>
      <x:c r="N4" s="94"/>
      <x:c r="O4" s="26" t="n">
        <x:f t="shared" ref="O4:O5" si="2">(E4*$E$2+F4*$F$2+G4*$G$2+H4*$H$2+I4*$I$2+J4*$J$2+K4*$K$2+L4*$L$2+M4*$M$2+N4*$N$2)</x:f>
        <x:v>4290000</x:v>
      </x:c>
      <x:c r="P4" s="23" t="s">
        <x:v>37</x:v>
      </x:c>
      <x:c r="Q4" s="23" t="s">
        <x:v>186</x:v>
      </x:c>
      <x:c r="R4" s="27" t="s">
        <x:v>31</x:v>
      </x:c>
      <x:c r="T4" s="28" t="s">
        <x:v>34</x:v>
      </x:c>
      <x:c r="U4" s="28" t="s">
        <x:v>31</x:v>
      </x:c>
      <x:c r="V4" s="28" t="s">
        <x:v>54</x:v>
      </x:c>
      <x:c r="W4" s="28" t="s">
        <x:v>55</x:v>
      </x:c>
    </x:row>
    <x:row r="5">
      <x:c r="A5" s="19">
        <x:v>2.0</x:v>
      </x:c>
      <x:c r="B5" s="30" t="s">
        <x:v>187</x:v>
      </x:c>
      <x:c r="C5" s="21">
        <x:v>45998.0</x:v>
      </x:c>
      <x:c r="D5" s="22" t="s">
        <x:v>188</x:v>
      </x:c>
      <x:c r="E5" s="23"/>
      <x:c r="F5" s="23">
        <x:v>1.0</x:v>
      </x:c>
      <x:c r="G5" s="24"/>
      <x:c r="H5" s="24"/>
      <x:c r="I5" s="24"/>
      <x:c r="J5" s="24"/>
      <x:c r="K5" s="24">
        <x:v>1.0</x:v>
      </x:c>
      <x:c r="L5" s="24"/>
      <x:c r="M5" s="94"/>
      <x:c r="N5" s="94"/>
      <x:c r="O5" s="26">
        <x:f t="shared" si="2"/>
        <x:v>510000</x:v>
      </x:c>
      <x:c r="P5" s="23" t="s">
        <x:v>37</x:v>
      </x:c>
      <x:c r="Q5" s="23" t="s">
        <x:v>186</x:v>
      </x:c>
      <x:c r="R5" s="23" t="s">
        <x:v>31</x:v>
      </x:c>
      <x:c r="T5" s="31" t="n">
        <x:f>SUMIF(R4:R1118, "Đã CK Anh", O4:O1118)</x:f>
        <x:v>520000</x:v>
      </x:c>
      <x:c r="U5" s="31" t="n">
        <x:f>SUMIF(R4:R1118, "Đã CK Em", O4:O1118)</x:f>
        <x:v>8390000</x:v>
      </x:c>
      <x:c r="V5" s="31" t="n">
        <x:f>T5+U5</x:f>
        <x:v>8910000</x:v>
      </x:c>
      <x:c r="W5" s="31" t="n">
        <x:f>SUMIF(R4:R1118, "Chưa CK", O4:O1118)</x:f>
        <x:v>0</x:v>
      </x:c>
    </x:row>
    <x:row r="6" ht="18.75" customHeight="1">
      <x:c r="A6" s="19">
        <x:v>3.0</x:v>
      </x:c>
      <x:c r="B6" s="20" t="s">
        <x:v>189</x:v>
      </x:c>
      <x:c r="C6" s="21">
        <x:v>46009.0</x:v>
      </x:c>
      <x:c r="D6" s="22" t="s">
        <x:v>190</x:v>
      </x:c>
      <x:c r="E6" s="23"/>
      <x:c r="F6" s="23">
        <x:v>3.0</x:v>
      </x:c>
      <x:c r="G6" s="24"/>
      <x:c r="H6" s="24"/>
      <x:c r="I6" s="24"/>
      <x:c r="J6" s="24"/>
      <x:c r="K6" s="24"/>
      <x:c r="L6" s="24"/>
      <x:c r="M6" s="94"/>
      <x:c r="N6" s="94"/>
      <x:c r="O6" s="26" t="n">
        <x:f>(E6*$E$2+F6*$F$2+G6*$G$2+H6*$H$2+I6*$I$2+J6*$J$2+K6*$K$2+L6*$L$2+M6*$M$2+N6*$N$2) - 10000</x:f>
        <x:v>770000</x:v>
      </x:c>
      <x:c r="P6" s="23" t="s">
        <x:v>37</x:v>
      </x:c>
      <x:c r="Q6" s="23"/>
      <x:c r="R6" s="23" t="s">
        <x:v>31</x:v>
      </x:c>
    </x:row>
    <x:row r="7" ht="18.75" customHeight="1">
      <x:c r="A7" s="19">
        <x:v>4.0</x:v>
      </x:c>
      <x:c r="B7" s="29" t="s">
        <x:v>191</x:v>
      </x:c>
      <x:c r="C7" s="21">
        <x:v>46009.0</x:v>
      </x:c>
      <x:c r="D7" s="22" t="s">
        <x:v>192</x:v>
      </x:c>
      <x:c r="E7" s="23"/>
      <x:c r="F7" s="23">
        <x:v>3.0</x:v>
      </x:c>
      <x:c r="G7" s="24"/>
      <x:c r="H7" s="24"/>
      <x:c r="I7" s="24"/>
      <x:c r="J7" s="24"/>
      <x:c r="K7" s="24">
        <x:v>3.0</x:v>
      </x:c>
      <x:c r="L7" s="24"/>
      <x:c r="M7" s="23"/>
      <x:c r="N7" s="23"/>
      <x:c r="O7" s="26" t="n">
        <x:f t="shared" ref="O7:O169" si="3">(E7*$E$2+F7*$F$2+G7*$G$2+H7*$H$2+I7*$I$2+J7*$J$2+K7*$K$2+L7*$L$2+M7*$M$2+N7*$N$2)</x:f>
        <x:v>1530000</x:v>
      </x:c>
      <x:c r="P7" s="23" t="s">
        <x:v>37</x:v>
      </x:c>
      <x:c r="Q7" s="23"/>
      <x:c r="R7" s="27" t="s">
        <x:v>31</x:v>
      </x:c>
    </x:row>
    <x:row r="8" ht="18.75" customHeight="1">
      <x:c r="A8" s="19">
        <x:v>5.0</x:v>
      </x:c>
      <x:c r="B8" s="29" t="s">
        <x:v>193</x:v>
      </x:c>
      <x:c r="C8" s="21">
        <x:v>46009.0</x:v>
      </x:c>
      <x:c r="D8" s="22" t="s">
        <x:v>194</x:v>
      </x:c>
      <x:c r="E8" s="23"/>
      <x:c r="F8" s="23">
        <x:v>1.0</x:v>
      </x:c>
      <x:c r="G8" s="24"/>
      <x:c r="H8" s="24"/>
      <x:c r="I8" s="24"/>
      <x:c r="J8" s="24"/>
      <x:c r="K8" s="24"/>
      <x:c r="L8" s="24"/>
      <x:c r="M8" s="23"/>
      <x:c r="N8" s="23"/>
      <x:c r="O8" s="26">
        <x:f t="shared" si="3"/>
        <x:v>260000</x:v>
      </x:c>
      <x:c r="P8" s="23" t="s">
        <x:v>37</x:v>
      </x:c>
      <x:c r="Q8" s="23"/>
      <x:c r="R8" s="23" t="s">
        <x:v>31</x:v>
      </x:c>
    </x:row>
    <x:row r="9" ht="18.75" customHeight="1">
      <x:c r="A9" s="19">
        <x:v>6.0</x:v>
      </x:c>
      <x:c r="B9" s="29" t="s">
        <x:v>195</x:v>
      </x:c>
      <x:c r="C9" s="21">
        <x:v>46009.0</x:v>
      </x:c>
      <x:c r="D9" s="22" t="s">
        <x:v>196</x:v>
      </x:c>
      <x:c r="E9" s="23"/>
      <x:c r="F9" s="23">
        <x:v>2.0</x:v>
      </x:c>
      <x:c r="G9" s="25"/>
      <x:c r="H9" s="24"/>
      <x:c r="I9" s="25"/>
      <x:c r="J9" s="24"/>
      <x:c r="K9" s="24"/>
      <x:c r="L9" s="25"/>
      <x:c r="M9" s="23"/>
      <x:c r="N9" s="23"/>
      <x:c r="O9" s="26">
        <x:f t="shared" si="3"/>
        <x:v>520000</x:v>
      </x:c>
      <x:c r="P9" s="23" t="s">
        <x:v>37</x:v>
      </x:c>
      <x:c r="Q9" s="23"/>
      <x:c r="R9" s="23" t="s">
        <x:v>34</x:v>
      </x:c>
    </x:row>
    <x:row r="10" ht="18.75" customHeight="1">
      <x:c r="A10" s="19">
        <x:v>7.0</x:v>
      </x:c>
      <x:c r="B10" s="29" t="s">
        <x:v>197</x:v>
      </x:c>
      <x:c r="C10" s="21"/>
      <x:c r="D10" s="22" t="s">
        <x:v>198</x:v>
      </x:c>
      <x:c r="E10" s="23"/>
      <x:c r="F10" s="23">
        <x:v>2.0</x:v>
      </x:c>
      <x:c r="G10" s="25"/>
      <x:c r="H10" s="24"/>
      <x:c r="I10" s="24"/>
      <x:c r="J10" s="24"/>
      <x:c r="K10" s="24"/>
      <x:c r="L10" s="24"/>
      <x:c r="M10" s="94"/>
      <x:c r="N10" s="94"/>
      <x:c r="O10" s="26">
        <x:f t="shared" si="3"/>
        <x:v>520000</x:v>
      </x:c>
      <x:c r="P10" s="23" t="s">
        <x:v>37</x:v>
      </x:c>
      <x:c r="Q10" s="23"/>
      <x:c r="R10" s="23" t="s">
        <x:v>31</x:v>
      </x:c>
      <x:c r="T10" s="37"/>
      <x:c r="U10" s="37"/>
      <x:c r="V10" s="37"/>
      <x:c r="W10" s="37"/>
    </x:row>
    <x:row r="11" ht="18.75" customHeight="1">
      <x:c r="A11" s="19">
        <x:v>9.0</x:v>
      </x:c>
      <x:c r="B11" s="29" t="s">
        <x:v>199</x:v>
      </x:c>
      <x:c r="C11" s="21"/>
      <x:c r="D11" s="22" t="s">
        <x:v>200</x:v>
      </x:c>
      <x:c r="E11" s="23"/>
      <x:c r="F11" s="23"/>
      <x:c r="G11" s="24"/>
      <x:c r="H11" s="24"/>
      <x:c r="I11" s="24"/>
      <x:c r="J11" s="24"/>
      <x:c r="K11" s="24">
        <x:v>1.0</x:v>
      </x:c>
      <x:c r="L11" s="24"/>
      <x:c r="M11" s="23"/>
      <x:c r="N11" s="94"/>
      <x:c r="O11" s="26">
        <x:f t="shared" si="3"/>
        <x:v>250000</x:v>
      </x:c>
      <x:c r="P11" s="23" t="s">
        <x:v>37</x:v>
      </x:c>
      <x:c r="Q11" s="23"/>
      <x:c r="R11" s="23" t="s">
        <x:v>31</x:v>
      </x:c>
      <x:c r="T11" s="33" t="n" cm="1">
        <x:f t="array" ref="T11:T13">_xlfn._xlws.SORT(_xlfn.UNIQUE(C4:C1116))</x:f>
        <x:v>45998</x:v>
      </x:c>
      <x:c r="U11" s="34" t="e">
        <x:f>IFERROR(__xludf.DUMMYFUNCTION("SUM(FILTER($E$4:$N$1118, $C$4:$C$1118 = T11))"),13.0)</x:f>
        <x:v>#NAME?</x:v>
      </x:c>
      <x:c r="V11" s="34" t="e">
        <x:f>IFERROR(__xludf.DUMMYFUNCTION("COUNT(FILTER($C$4:$C$1118, $C$4:$C$1118 = T11))"),2.0)</x:f>
        <x:v>#NAME?</x:v>
      </x:c>
      <x:c r="W11" s="31" t="n">
        <x:f t="shared" ref="W11:W18" si="4">SUMIF($C$4:$C$1118, $T11 , $O$4:$O$1118)</x:f>
        <x:v>4800000</x:v>
      </x:c>
    </x:row>
    <x:row r="12" ht="18.75" customHeight="1">
      <x:c r="A12" s="19">
        <x:v>10.0</x:v>
      </x:c>
      <x:c r="B12" s="29" t="s">
        <x:v>201</x:v>
      </x:c>
      <x:c r="C12" s="21"/>
      <x:c r="D12" s="35"/>
      <x:c r="E12" s="23"/>
      <x:c r="F12" s="23">
        <x:v>1.0</x:v>
      </x:c>
      <x:c r="G12" s="24"/>
      <x:c r="H12" s="24"/>
      <x:c r="I12" s="24"/>
      <x:c r="J12" s="24"/>
      <x:c r="K12" s="24"/>
      <x:c r="L12" s="24"/>
      <x:c r="M12" s="94"/>
      <x:c r="N12" s="94"/>
      <x:c r="O12" s="26">
        <x:f t="shared" si="3"/>
        <x:v>260000</x:v>
      </x:c>
      <x:c r="P12" s="23" t="s">
        <x:v>37</x:v>
      </x:c>
      <x:c r="Q12" s="23" t="s">
        <x:v>186</x:v>
      </x:c>
      <x:c r="R12" s="23" t="s">
        <x:v>31</x:v>
      </x:c>
      <x:c r="T12" s="33" t="n">
        <x:v>46009</x:v>
      </x:c>
      <x:c r="U12" s="34" t="e">
        <x:f>IFERROR(__xludf.DUMMYFUNCTION("SUM(FILTER($E$4:$N$1118, $C$4:$C$1118 = T12))"),12.0)</x:f>
        <x:v>#NAME?</x:v>
      </x:c>
      <x:c r="V12" s="34" t="e">
        <x:f>IFERROR(__xludf.DUMMYFUNCTION("COUNT(FILTER($C$4:$C$1118, $C$4:$C$1118 = T12))"),4.0)</x:f>
        <x:v>#NAME?</x:v>
      </x:c>
      <x:c r="W12" s="31">
        <x:f t="shared" si="4"/>
        <x:v>3080000</x:v>
      </x:c>
    </x:row>
    <x:row r="13" ht="18.75" customHeight="1">
      <x:c r="A13" s="19">
        <x:v>11.0</x:v>
      </x:c>
      <x:c r="B13" s="29"/>
      <x:c r="C13" s="21"/>
      <x:c r="D13" s="35"/>
      <x:c r="E13" s="23"/>
      <x:c r="F13" s="23"/>
      <x:c r="G13" s="25"/>
      <x:c r="H13" s="24"/>
      <x:c r="I13" s="24"/>
      <x:c r="J13" s="24"/>
      <x:c r="K13" s="24"/>
      <x:c r="L13" s="24"/>
      <x:c r="M13" s="23"/>
      <x:c r="N13" s="94"/>
      <x:c r="O13" s="26">
        <x:f t="shared" si="3"/>
        <x:v>0</x:v>
      </x:c>
      <x:c r="P13" s="23"/>
      <x:c r="Q13" s="23"/>
      <x:c r="R13" s="23"/>
      <x:c r="T13" s="33" t="n">
        <x:v>0</x:v>
      </x:c>
      <x:c r="U13" s="34" t="e">
        <x:f>IFERROR(__xludf.DUMMYFUNCTION("SUM(FILTER($E$4:$N$1118, $C$4:$C$1118 = T13))"),5256820.904124863)</x:f>
        <x:v>#NAME?</x:v>
      </x:c>
      <x:c r="V13" s="34" t="e">
        <x:f>IFERROR(__xludf.DUMMYFUNCTION("COUNT(FILTER($C$4:$C$1118, $C$4:$C$1118 = T13))"),0.0)</x:f>
        <x:v>#NAME?</x:v>
      </x:c>
      <x:c r="W13" s="31">
        <x:f t="shared" si="4"/>
        <x:v>0</x:v>
      </x:c>
    </x:row>
    <x:row r="14" ht="18.75" customHeight="1">
      <x:c r="A14" s="19">
        <x:v>12.0</x:v>
      </x:c>
      <x:c r="B14" s="29"/>
      <x:c r="C14" s="21"/>
      <x:c r="D14" s="35"/>
      <x:c r="E14" s="23"/>
      <x:c r="F14" s="23"/>
      <x:c r="G14" s="25"/>
      <x:c r="H14" s="24"/>
      <x:c r="I14" s="24"/>
      <x:c r="J14" s="25"/>
      <x:c r="K14" s="24"/>
      <x:c r="L14" s="24"/>
      <x:c r="M14" s="94"/>
      <x:c r="N14" s="94"/>
      <x:c r="O14" s="26">
        <x:f t="shared" si="3"/>
        <x:v>0</x:v>
      </x:c>
      <x:c r="P14" s="23"/>
      <x:c r="Q14" s="23"/>
      <x:c r="R14" s="23"/>
      <x:c r="T14" s="34"/>
      <x:c r="U14" s="34" t="e">
        <x:f>IFERROR(__xludf.DUMMYFUNCTION("SUM(FILTER($E$4:$N$1118, $C$4:$C$1118 = T14))"),5256820.904124863)</x:f>
        <x:v>#NAME?</x:v>
      </x:c>
      <x:c r="V14" s="34" t="e">
        <x:f>IFERROR(__xludf.DUMMYFUNCTION("COUNT(FILTER($C$4:$C$1118, $C$4:$C$1118 = T14))"),0.0)</x:f>
        <x:v>#NAME?</x:v>
      </x:c>
      <x:c r="W14" s="31">
        <x:f t="shared" si="4"/>
        <x:v>0</x:v>
      </x:c>
    </x:row>
    <x:row r="15" ht="18.75" customHeight="1">
      <x:c r="A15" s="19">
        <x:v>13.0</x:v>
      </x:c>
      <x:c r="B15" s="29"/>
      <x:c r="C15" s="21"/>
      <x:c r="D15" s="35"/>
      <x:c r="E15" s="23"/>
      <x:c r="F15" s="23"/>
      <x:c r="G15" s="24"/>
      <x:c r="H15" s="24"/>
      <x:c r="I15" s="24"/>
      <x:c r="J15" s="24"/>
      <x:c r="K15" s="25"/>
      <x:c r="L15" s="24"/>
      <x:c r="M15" s="23"/>
      <x:c r="N15" s="23"/>
      <x:c r="O15" s="26">
        <x:f t="shared" si="3"/>
        <x:v>0</x:v>
      </x:c>
      <x:c r="P15" s="23"/>
      <x:c r="Q15" s="23"/>
      <x:c r="R15" s="23"/>
      <x:c r="S15" s="32"/>
      <x:c r="T15" s="34"/>
      <x:c r="U15" s="34" t="e">
        <x:f>IFERROR(__xludf.DUMMYFUNCTION("SUM(FILTER($E$4:$N$1118, $C$4:$C$1118 = T15))"),5256820.904124863)</x:f>
        <x:v>#NAME?</x:v>
      </x:c>
      <x:c r="V15" s="34" t="e">
        <x:f>IFERROR(__xludf.DUMMYFUNCTION("COUNT(FILTER($C$4:$C$1118, $C$4:$C$1118 = T15))"),0.0)</x:f>
        <x:v>#NAME?</x:v>
      </x:c>
      <x:c r="W15" s="31">
        <x:f t="shared" si="4"/>
        <x:v>0</x:v>
      </x:c>
    </x:row>
    <x:row r="16" ht="18.75" customHeight="1">
      <x:c r="A16" s="19">
        <x:v>14.0</x:v>
      </x:c>
      <x:c r="B16" s="29"/>
      <x:c r="C16" s="21"/>
      <x:c r="D16" s="35"/>
      <x:c r="E16" s="23"/>
      <x:c r="F16" s="23"/>
      <x:c r="G16" s="24"/>
      <x:c r="H16" s="24"/>
      <x:c r="I16" s="24"/>
      <x:c r="J16" s="24"/>
      <x:c r="K16" s="25"/>
      <x:c r="L16" s="24"/>
      <x:c r="M16" s="23"/>
      <x:c r="N16" s="94"/>
      <x:c r="O16" s="26">
        <x:f t="shared" si="3"/>
        <x:v>0</x:v>
      </x:c>
      <x:c r="P16" s="23"/>
      <x:c r="Q16" s="23"/>
      <x:c r="R16" s="23"/>
      <x:c r="S16" s="32"/>
      <x:c r="T16" s="33"/>
      <x:c r="U16" s="34" t="e">
        <x:f>IFERROR(__xludf.DUMMYFUNCTION("SUM(FILTER($E$4:$N$1118, $C$4:$C$1118 = T16))"),5256820.904124863)</x:f>
        <x:v>#NAME?</x:v>
      </x:c>
      <x:c r="V16" s="34" t="e">
        <x:f>IFERROR(__xludf.DUMMYFUNCTION("COUNT(FILTER($C$4:$C$1118, $C$4:$C$1118 = T16))"),0.0)</x:f>
        <x:v>#NAME?</x:v>
      </x:c>
      <x:c r="W16" s="31">
        <x:f t="shared" si="4"/>
        <x:v>0</x:v>
      </x:c>
    </x:row>
    <x:row r="17" ht="18.75" customHeight="1">
      <x:c r="A17" s="19">
        <x:v>15.0</x:v>
      </x:c>
      <x:c r="B17" s="29"/>
      <x:c r="C17" s="21"/>
      <x:c r="D17" s="35"/>
      <x:c r="E17" s="23"/>
      <x:c r="F17" s="23"/>
      <x:c r="G17" s="24"/>
      <x:c r="H17" s="24"/>
      <x:c r="I17" s="24"/>
      <x:c r="J17" s="24"/>
      <x:c r="K17" s="24"/>
      <x:c r="L17" s="24"/>
      <x:c r="M17" s="94"/>
      <x:c r="N17" s="94"/>
      <x:c r="O17" s="26">
        <x:f t="shared" si="3"/>
        <x:v>0</x:v>
      </x:c>
      <x:c r="P17" s="23"/>
      <x:c r="Q17" s="23"/>
      <x:c r="R17" s="23"/>
      <x:c r="S17" s="32"/>
      <x:c r="T17" s="33"/>
      <x:c r="U17" s="34" t="e">
        <x:f>IFERROR(__xludf.DUMMYFUNCTION("SUM(FILTER($E$4:$N$1118, $C$4:$C$1118 = T17))"),5256820.904124863)</x:f>
        <x:v>#NAME?</x:v>
      </x:c>
      <x:c r="V17" s="34" t="e">
        <x:f>IFERROR(__xludf.DUMMYFUNCTION("COUNT(FILTER($C$4:$C$1118, $C$4:$C$1118 = T17))"),0.0)</x:f>
        <x:v>#NAME?</x:v>
      </x:c>
      <x:c r="W17" s="31">
        <x:f t="shared" si="4"/>
        <x:v>0</x:v>
      </x:c>
    </x:row>
    <x:row r="18">
      <x:c r="A18" s="19">
        <x:v>16.0</x:v>
      </x:c>
      <x:c r="B18" s="29"/>
      <x:c r="C18" s="21"/>
      <x:c r="D18" s="35"/>
      <x:c r="E18" s="23"/>
      <x:c r="F18" s="23"/>
      <x:c r="G18" s="24"/>
      <x:c r="H18" s="24"/>
      <x:c r="I18" s="24"/>
      <x:c r="J18" s="24"/>
      <x:c r="K18" s="24"/>
      <x:c r="L18" s="24"/>
      <x:c r="M18" s="23"/>
      <x:c r="N18" s="94"/>
      <x:c r="O18" s="26">
        <x:f t="shared" si="3"/>
        <x:v>0</x:v>
      </x:c>
      <x:c r="P18" s="23"/>
      <x:c r="Q18" s="23"/>
      <x:c r="R18" s="23"/>
      <x:c r="S18" s="32"/>
      <x:c r="T18" s="33"/>
      <x:c r="U18" s="34" t="e">
        <x:f>IFERROR(__xludf.DUMMYFUNCTION("SUM(FILTER($E$4:$N$1118, $C$4:$C$1118 = T18))"),5256820.904124863)</x:f>
        <x:v>#NAME?</x:v>
      </x:c>
      <x:c r="V18" s="34" t="e">
        <x:f>IFERROR(__xludf.DUMMYFUNCTION("COUNT(FILTER($C$4:$C$1118, $C$4:$C$1118 = T18))"),0.0)</x:f>
        <x:v>#NAME?</x:v>
      </x:c>
      <x:c r="W18" s="31">
        <x:f t="shared" si="4"/>
        <x:v>0</x:v>
      </x:c>
    </x:row>
    <x:row r="19">
      <x:c r="A19" s="19">
        <x:v>17.0</x:v>
      </x:c>
      <x:c r="B19" s="29"/>
      <x:c r="C19" s="21"/>
      <x:c r="D19" s="35"/>
      <x:c r="E19" s="23"/>
      <x:c r="F19" s="23"/>
      <x:c r="G19" s="24"/>
      <x:c r="H19" s="24"/>
      <x:c r="I19" s="24"/>
      <x:c r="J19" s="24"/>
      <x:c r="K19" s="24"/>
      <x:c r="L19" s="24"/>
      <x:c r="M19" s="94"/>
      <x:c r="N19" s="94"/>
      <x:c r="O19" s="26">
        <x:f t="shared" si="3"/>
        <x:v>0</x:v>
      </x:c>
      <x:c r="P19" s="23"/>
      <x:c r="Q19" s="23"/>
      <x:c r="R19" s="23"/>
      <x:c r="S19" s="32"/>
      <x:c r="T19" s="33"/>
      <x:c r="U19" s="34"/>
      <x:c r="V19" s="34"/>
      <x:c r="W19" s="31"/>
    </x:row>
    <x:row r="20" ht="18.75" customHeight="1">
      <x:c r="A20" s="19">
        <x:v>18.0</x:v>
      </x:c>
      <x:c r="B20" s="29"/>
      <x:c r="C20" s="21"/>
      <x:c r="D20" s="35"/>
      <x:c r="E20" s="23"/>
      <x:c r="F20" s="23"/>
      <x:c r="G20" s="24"/>
      <x:c r="H20" s="24"/>
      <x:c r="I20" s="24"/>
      <x:c r="J20" s="24"/>
      <x:c r="K20" s="24"/>
      <x:c r="L20" s="24"/>
      <x:c r="M20" s="23"/>
      <x:c r="N20" s="23"/>
      <x:c r="O20" s="26">
        <x:f t="shared" si="3"/>
        <x:v>0</x:v>
      </x:c>
      <x:c r="P20" s="23"/>
      <x:c r="Q20" s="23"/>
      <x:c r="R20" s="23"/>
      <x:c r="S20" s="32"/>
      <x:c r="T20" s="33"/>
      <x:c r="U20" s="34" t="e">
        <x:f>IFERROR(__xludf.DUMMYFUNCTION("SUM(FILTER($E$4:$N$1118, $C$4:$C$1118 = T20))"),5256820.904124863)</x:f>
        <x:v>#NAME?</x:v>
      </x:c>
      <x:c r="V20" s="34" t="e">
        <x:f>IFERROR(__xludf.DUMMYFUNCTION("COUNT(FILTER($C$4:$C$1118, $C$4:$C$1118 = T20))"),0.0)</x:f>
        <x:v>#NAME?</x:v>
      </x:c>
      <x:c r="W20" s="31" t="n">
        <x:f t="shared" ref="W20:W23" si="5">SUMIF($C$4:$C$1118, $T20 , $O$4:$O$1118)</x:f>
        <x:v>18850000</x:v>
      </x:c>
    </x:row>
    <x:row r="21" ht="18.75" customHeight="1">
      <x:c r="A21" s="19">
        <x:v>19.0</x:v>
      </x:c>
      <x:c r="B21" s="29"/>
      <x:c r="C21" s="21"/>
      <x:c r="D21" s="35"/>
      <x:c r="E21" s="23"/>
      <x:c r="F21" s="23"/>
      <x:c r="G21" s="24"/>
      <x:c r="H21" s="25"/>
      <x:c r="I21" s="24"/>
      <x:c r="J21" s="25"/>
      <x:c r="K21" s="24"/>
      <x:c r="L21" s="24"/>
      <x:c r="M21" s="94"/>
      <x:c r="N21" s="94"/>
      <x:c r="O21" s="26">
        <x:f t="shared" si="3"/>
        <x:v>0</x:v>
      </x:c>
      <x:c r="P21" s="23"/>
      <x:c r="Q21" s="23"/>
      <x:c r="R21" s="23"/>
      <x:c r="S21" s="32"/>
      <x:c r="T21" s="33"/>
      <x:c r="U21" s="34" t="e">
        <x:f>IFERROR(__xludf.DUMMYFUNCTION("SUM(FILTER($E$4:$N$1118, $C$4:$C$1118 = T21))"),5256820.904124863)</x:f>
        <x:v>#NAME?</x:v>
      </x:c>
      <x:c r="V21" s="34" t="e">
        <x:f>IFERROR(__xludf.DUMMYFUNCTION("COUNT(FILTER($C$4:$C$1118, $C$4:$C$1118 = T21))"),0.0)</x:f>
        <x:v>#NAME?</x:v>
      </x:c>
      <x:c r="W21" s="31">
        <x:f t="shared" si="5"/>
        <x:v>0</x:v>
      </x:c>
    </x:row>
    <x:row r="22" ht="18.75" customHeight="1">
      <x:c r="A22" s="19">
        <x:v>20.0</x:v>
      </x:c>
      <x:c r="B22" s="29"/>
      <x:c r="C22" s="21"/>
      <x:c r="D22" s="35"/>
      <x:c r="E22" s="23"/>
      <x:c r="F22" s="23"/>
      <x:c r="G22" s="24"/>
      <x:c r="H22" s="24"/>
      <x:c r="I22" s="24"/>
      <x:c r="J22" s="24"/>
      <x:c r="K22" s="24"/>
      <x:c r="L22" s="24"/>
      <x:c r="M22" s="23"/>
      <x:c r="N22" s="94"/>
      <x:c r="O22" s="26">
        <x:f t="shared" si="3"/>
        <x:v>0</x:v>
      </x:c>
      <x:c r="P22" s="23"/>
      <x:c r="Q22" s="23"/>
      <x:c r="R22" s="23"/>
      <x:c r="S22" s="32"/>
      <x:c r="T22" s="33"/>
      <x:c r="U22" s="34" t="e">
        <x:f>IFERROR(__xludf.DUMMYFUNCTION("SUM(FILTER($E$4:$N$1118, $C$4:$C$1118 = T22))"),5256820.904124863)</x:f>
        <x:v>#NAME?</x:v>
      </x:c>
      <x:c r="V22" s="34" t="e">
        <x:f>IFERROR(__xludf.DUMMYFUNCTION("COUNT(FILTER($C$4:$C$1118, $C$4:$C$1118 = T22))"),0.0)</x:f>
        <x:v>#NAME?</x:v>
      </x:c>
      <x:c r="W22" s="31">
        <x:f t="shared" si="5"/>
        <x:v>0</x:v>
      </x:c>
    </x:row>
    <x:row r="23" ht="18.75" customHeight="1">
      <x:c r="A23" s="19">
        <x:v>21.0</x:v>
      </x:c>
      <x:c r="B23" s="29"/>
      <x:c r="C23" s="21"/>
      <x:c r="D23" s="35"/>
      <x:c r="E23" s="23"/>
      <x:c r="F23" s="23"/>
      <x:c r="G23" s="24"/>
      <x:c r="H23" s="25"/>
      <x:c r="I23" s="25"/>
      <x:c r="J23" s="25"/>
      <x:c r="K23" s="24"/>
      <x:c r="L23" s="24"/>
      <x:c r="M23" s="23"/>
      <x:c r="N23" s="94"/>
      <x:c r="O23" s="26">
        <x:f t="shared" si="3"/>
        <x:v>0</x:v>
      </x:c>
      <x:c r="P23" s="23"/>
      <x:c r="Q23" s="23"/>
      <x:c r="R23" s="23"/>
      <x:c r="S23" s="32"/>
      <x:c r="T23" s="33"/>
      <x:c r="U23" s="34" t="e">
        <x:f>IFERROR(__xludf.DUMMYFUNCTION("SUM(FILTER($E$4:$N$1118, $C$4:$C$1118 = T23))"),5256820.904124863)</x:f>
        <x:v>#NAME?</x:v>
      </x:c>
      <x:c r="V23" s="34" t="e">
        <x:f>IFERROR(__xludf.DUMMYFUNCTION("COUNT(FILTER($C$4:$C$1118, $C$4:$C$1118 = T23))"),0.0)</x:f>
        <x:v>#NAME?</x:v>
      </x:c>
      <x:c r="W23" s="31">
        <x:f t="shared" si="5"/>
        <x:v>0</x:v>
      </x:c>
    </x:row>
    <x:row r="24" ht="18.75" customHeight="1">
      <x:c r="A24" s="19">
        <x:v>22.0</x:v>
      </x:c>
      <x:c r="B24" s="29"/>
      <x:c r="C24" s="21"/>
      <x:c r="D24" s="35"/>
      <x:c r="E24" s="23"/>
      <x:c r="F24" s="23"/>
      <x:c r="G24" s="25"/>
      <x:c r="H24" s="24"/>
      <x:c r="I24" s="24"/>
      <x:c r="J24" s="24"/>
      <x:c r="K24" s="24"/>
      <x:c r="L24" s="24"/>
      <x:c r="M24" s="23"/>
      <x:c r="N24" s="94"/>
      <x:c r="O24" s="26">
        <x:f t="shared" si="3"/>
        <x:v>0</x:v>
      </x:c>
      <x:c r="P24" s="23"/>
      <x:c r="Q24" s="23"/>
      <x:c r="R24" s="23"/>
      <x:c r="S24" s="32"/>
      <x:c r="T24" s="33"/>
      <x:c r="U24" s="34"/>
      <x:c r="V24" s="34"/>
      <x:c r="W24" s="31"/>
    </x:row>
    <x:row r="25" ht="18.75" customHeight="1">
      <x:c r="A25" s="19">
        <x:v>23.0</x:v>
      </x:c>
      <x:c r="B25" s="29"/>
      <x:c r="C25" s="21"/>
      <x:c r="D25" s="35"/>
      <x:c r="E25" s="23"/>
      <x:c r="F25" s="23"/>
      <x:c r="G25" s="25"/>
      <x:c r="H25" s="24"/>
      <x:c r="I25" s="24"/>
      <x:c r="J25" s="24"/>
      <x:c r="K25" s="24"/>
      <x:c r="L25" s="24"/>
      <x:c r="M25" s="23"/>
      <x:c r="N25" s="94"/>
      <x:c r="O25" s="26">
        <x:f t="shared" si="3"/>
        <x:v>0</x:v>
      </x:c>
      <x:c r="P25" s="23"/>
      <x:c r="Q25" s="23"/>
      <x:c r="R25" s="23"/>
      <x:c r="S25" s="32"/>
      <x:c r="T25" s="33"/>
      <x:c r="U25" s="34"/>
      <x:c r="V25" s="34"/>
      <x:c r="W25" s="31"/>
    </x:row>
    <x:row r="26" ht="18.75" customHeight="1">
      <x:c r="A26" s="19">
        <x:v>24.0</x:v>
      </x:c>
      <x:c r="B26" s="29"/>
      <x:c r="C26" s="21"/>
      <x:c r="D26" s="35"/>
      <x:c r="E26" s="23"/>
      <x:c r="F26" s="23"/>
      <x:c r="G26" s="25"/>
      <x:c r="H26" s="24"/>
      <x:c r="I26" s="24"/>
      <x:c r="J26" s="24"/>
      <x:c r="K26" s="24"/>
      <x:c r="L26" s="24"/>
      <x:c r="M26" s="23"/>
      <x:c r="N26" s="94"/>
      <x:c r="O26" s="26">
        <x:f t="shared" si="3"/>
        <x:v>0</x:v>
      </x:c>
      <x:c r="P26" s="23"/>
      <x:c r="Q26" s="23"/>
      <x:c r="R26" s="23"/>
      <x:c r="S26" s="32"/>
      <x:c r="T26" s="33"/>
      <x:c r="U26" s="34" t="e">
        <x:f>IFERROR(__xludf.DUMMYFUNCTION("SUM(FILTER($E$4:$N$1118, $C$4:$C$1118 = T26))"),5256820.904124863)</x:f>
        <x:v>#NAME?</x:v>
      </x:c>
      <x:c r="V26" s="34" t="e">
        <x:f>IFERROR(__xludf.DUMMYFUNCTION("COUNT(FILTER($C$4:$C$1118, $C$4:$C$1118 = T26))"),0.0)</x:f>
        <x:v>#NAME?</x:v>
      </x:c>
      <x:c r="W26" s="31" t="n">
        <x:f t="shared" ref="W26:W39" si="6">SUMIF($C$4:$C$1118, $T26 , $O$4:$O$1118)</x:f>
        <x:v>18850000</x:v>
      </x:c>
    </x:row>
    <x:row r="27">
      <x:c r="A27" s="19">
        <x:v>25.0</x:v>
      </x:c>
      <x:c r="B27" s="29"/>
      <x:c r="C27" s="21"/>
      <x:c r="D27" s="55"/>
      <x:c r="E27" s="56"/>
      <x:c r="F27" s="23"/>
      <x:c r="G27" s="25"/>
      <x:c r="H27" s="25"/>
      <x:c r="I27" s="25"/>
      <x:c r="J27" s="25"/>
      <x:c r="K27" s="24"/>
      <x:c r="L27" s="24"/>
      <x:c r="M27" s="94"/>
      <x:c r="N27" s="23"/>
      <x:c r="O27" s="26">
        <x:f t="shared" si="3"/>
        <x:v>0</x:v>
      </x:c>
      <x:c r="P27" s="23"/>
      <x:c r="Q27" s="23"/>
      <x:c r="R27" s="23"/>
      <x:c r="S27" s="57"/>
      <x:c r="T27" s="33"/>
      <x:c r="U27" s="34" t="e">
        <x:f>IFERROR(__xludf.DUMMYFUNCTION("SUM(FILTER($E$4:$N$1118, $C$4:$C$1118 = T27))"),5256820.904124863)</x:f>
        <x:v>#NAME?</x:v>
      </x:c>
      <x:c r="V27" s="34" t="e">
        <x:f>IFERROR(__xludf.DUMMYFUNCTION("COUNT(FILTER($C$4:$C$1118, $C$4:$C$1118 = T27))"),0.0)</x:f>
        <x:v>#NAME?</x:v>
      </x:c>
      <x:c r="W27" s="31">
        <x:f t="shared" si="6"/>
        <x:v>0</x:v>
      </x:c>
    </x:row>
    <x:row r="28" ht="18.75" customHeight="1">
      <x:c r="A28" s="19">
        <x:v>26.0</x:v>
      </x:c>
      <x:c r="B28" s="29"/>
      <x:c r="C28" s="21"/>
      <x:c r="D28" s="55"/>
      <x:c r="E28" s="56"/>
      <x:c r="F28" s="23"/>
      <x:c r="G28" s="25"/>
      <x:c r="H28" s="24"/>
      <x:c r="I28" s="24"/>
      <x:c r="J28" s="24"/>
      <x:c r="K28" s="24"/>
      <x:c r="L28" s="24"/>
      <x:c r="M28" s="94"/>
      <x:c r="N28" s="94"/>
      <x:c r="O28" s="26">
        <x:f t="shared" si="3"/>
        <x:v>0</x:v>
      </x:c>
      <x:c r="P28" s="23"/>
      <x:c r="Q28" s="23"/>
      <x:c r="R28" s="23"/>
      <x:c r="S28" s="32"/>
      <x:c r="T28" s="33"/>
      <x:c r="U28" s="34" t="e">
        <x:f>IFERROR(__xludf.DUMMYFUNCTION("SUM(FILTER($E$4:$N$1118, $C$4:$C$1118 = T28))"),5256820.904124863)</x:f>
        <x:v>#NAME?</x:v>
      </x:c>
      <x:c r="V28" s="34" t="e">
        <x:f>IFERROR(__xludf.DUMMYFUNCTION("COUNT(FILTER($C$4:$C$1118, $C$4:$C$1118 = T28))"),0.0)</x:f>
        <x:v>#NAME?</x:v>
      </x:c>
      <x:c r="W28" s="31">
        <x:f t="shared" si="6"/>
        <x:v>0</x:v>
      </x:c>
    </x:row>
    <x:row r="29" ht="18.75" customHeight="1">
      <x:c r="A29" s="19">
        <x:v>27.0</x:v>
      </x:c>
      <x:c r="B29" s="29"/>
      <x:c r="C29" s="21"/>
      <x:c r="D29" s="35"/>
      <x:c r="E29" s="23"/>
      <x:c r="F29" s="23"/>
      <x:c r="G29" s="24"/>
      <x:c r="H29" s="25"/>
      <x:c r="I29" s="25"/>
      <x:c r="J29" s="25"/>
      <x:c r="K29" s="25"/>
      <x:c r="L29" s="24"/>
      <x:c r="M29" s="94"/>
      <x:c r="N29" s="94"/>
      <x:c r="O29" s="26">
        <x:f t="shared" si="3"/>
        <x:v>0</x:v>
      </x:c>
      <x:c r="P29" s="23"/>
      <x:c r="Q29" s="23"/>
      <x:c r="R29" s="23"/>
      <x:c r="S29" s="32"/>
      <x:c r="T29" s="33"/>
      <x:c r="U29" s="34" t="e">
        <x:f>IFERROR(__xludf.DUMMYFUNCTION("SUM(FILTER($E$4:$N$1118, $C$4:$C$1118 = T29))"),5256820.904124863)</x:f>
        <x:v>#NAME?</x:v>
      </x:c>
      <x:c r="V29" s="34" t="e">
        <x:f>IFERROR(__xludf.DUMMYFUNCTION("COUNT(FILTER($C$4:$C$1118, $C$4:$C$1118 = T29))"),0.0)</x:f>
        <x:v>#NAME?</x:v>
      </x:c>
      <x:c r="W29" s="31">
        <x:f t="shared" si="6"/>
        <x:v>0</x:v>
      </x:c>
    </x:row>
    <x:row r="30" ht="18.75" customHeight="1">
      <x:c r="A30" s="19">
        <x:v>28.0</x:v>
      </x:c>
      <x:c r="B30" s="29"/>
      <x:c r="C30" s="21"/>
      <x:c r="D30" s="35"/>
      <x:c r="E30" s="23"/>
      <x:c r="F30" s="23"/>
      <x:c r="G30" s="25"/>
      <x:c r="H30" s="25"/>
      <x:c r="I30" s="25"/>
      <x:c r="J30" s="25"/>
      <x:c r="K30" s="25"/>
      <x:c r="L30" s="24"/>
      <x:c r="M30" s="94"/>
      <x:c r="N30" s="94"/>
      <x:c r="O30" s="26">
        <x:f t="shared" si="3"/>
        <x:v>0</x:v>
      </x:c>
      <x:c r="P30" s="23"/>
      <x:c r="Q30" s="23"/>
      <x:c r="R30" s="23"/>
      <x:c r="S30" s="32"/>
      <x:c r="T30" s="33"/>
      <x:c r="U30" s="34" t="e">
        <x:f>IFERROR(__xludf.DUMMYFUNCTION("SUM(FILTER($E$4:$N$1118, $C$4:$C$1118 = T30))"),5256820.904124863)</x:f>
        <x:v>#NAME?</x:v>
      </x:c>
      <x:c r="V30" s="34" t="e">
        <x:f>IFERROR(__xludf.DUMMYFUNCTION("COUNT(FILTER($C$4:$C$1118, $C$4:$C$1118 = T30))"),0.0)</x:f>
        <x:v>#NAME?</x:v>
      </x:c>
      <x:c r="W30" s="31">
        <x:f t="shared" si="6"/>
        <x:v>0</x:v>
      </x:c>
    </x:row>
    <x:row r="31" ht="18.75" customHeight="1">
      <x:c r="A31" s="19">
        <x:v>29.0</x:v>
      </x:c>
      <x:c r="B31" s="29"/>
      <x:c r="C31" s="21"/>
      <x:c r="D31" s="35"/>
      <x:c r="E31" s="23"/>
      <x:c r="F31" s="23"/>
      <x:c r="G31" s="24"/>
      <x:c r="H31" s="24"/>
      <x:c r="I31" s="24"/>
      <x:c r="J31" s="24"/>
      <x:c r="K31" s="25"/>
      <x:c r="L31" s="24"/>
      <x:c r="M31" s="23"/>
      <x:c r="N31" s="94"/>
      <x:c r="O31" s="26">
        <x:f t="shared" si="3"/>
        <x:v>0</x:v>
      </x:c>
      <x:c r="P31" s="23"/>
      <x:c r="Q31" s="23"/>
      <x:c r="R31" s="23"/>
      <x:c r="S31" s="32"/>
      <x:c r="T31" s="33"/>
      <x:c r="U31" s="34" t="e">
        <x:f>IFERROR(__xludf.DUMMYFUNCTION("SUM(FILTER($E$4:$N$1118, $C$4:$C$1118 = T31))"),5256820.904124863)</x:f>
        <x:v>#NAME?</x:v>
      </x:c>
      <x:c r="V31" s="34" t="e">
        <x:f>IFERROR(__xludf.DUMMYFUNCTION("COUNT(FILTER($C$4:$C$1118, $C$4:$C$1118 = T31))"),0.0)</x:f>
        <x:v>#NAME?</x:v>
      </x:c>
      <x:c r="W31" s="31">
        <x:f t="shared" si="6"/>
        <x:v>0</x:v>
      </x:c>
    </x:row>
    <x:row r="32" ht="18.75" customHeight="1">
      <x:c r="A32" s="19">
        <x:v>30.0</x:v>
      </x:c>
      <x:c r="B32" s="29"/>
      <x:c r="C32" s="21"/>
      <x:c r="D32" s="35"/>
      <x:c r="E32" s="23"/>
      <x:c r="F32" s="23"/>
      <x:c r="G32" s="24"/>
      <x:c r="H32" s="24"/>
      <x:c r="I32" s="24"/>
      <x:c r="J32" s="24"/>
      <x:c r="K32" s="25"/>
      <x:c r="L32" s="24"/>
      <x:c r="M32" s="94"/>
      <x:c r="N32" s="94"/>
      <x:c r="O32" s="26">
        <x:f t="shared" si="3"/>
        <x:v>0</x:v>
      </x:c>
      <x:c r="P32" s="23"/>
      <x:c r="Q32" s="23"/>
      <x:c r="R32" s="23"/>
      <x:c r="S32" s="32"/>
      <x:c r="T32" s="33"/>
      <x:c r="U32" s="34" t="e">
        <x:f>IFERROR(__xludf.DUMMYFUNCTION("SUM(FILTER($E$4:$N$1118, $C$4:$C$1118 = T32))"),5256820.904124863)</x:f>
        <x:v>#NAME?</x:v>
      </x:c>
      <x:c r="V32" s="34" t="e">
        <x:f>IFERROR(__xludf.DUMMYFUNCTION("COUNT(FILTER($C$4:$C$1118, $C$4:$C$1118 = T32))"),0.0)</x:f>
        <x:v>#NAME?</x:v>
      </x:c>
      <x:c r="W32" s="31">
        <x:f t="shared" si="6"/>
        <x:v>0</x:v>
      </x:c>
    </x:row>
    <x:row r="33">
      <x:c r="A33" s="19">
        <x:v>31.0</x:v>
      </x:c>
      <x:c r="B33" s="29"/>
      <x:c r="C33" s="21"/>
      <x:c r="D33" s="35"/>
      <x:c r="E33" s="23"/>
      <x:c r="F33" s="23"/>
      <x:c r="G33" s="25"/>
      <x:c r="H33" s="25"/>
      <x:c r="I33" s="25"/>
      <x:c r="J33" s="25"/>
      <x:c r="K33" s="24"/>
      <x:c r="L33" s="24"/>
      <x:c r="M33" s="94"/>
      <x:c r="N33" s="94"/>
      <x:c r="O33" s="26">
        <x:f t="shared" si="3"/>
        <x:v>0</x:v>
      </x:c>
      <x:c r="P33" s="23"/>
      <x:c r="Q33" s="23"/>
      <x:c r="R33" s="23"/>
      <x:c r="S33" s="57"/>
      <x:c r="T33" s="33"/>
      <x:c r="U33" s="34" t="e">
        <x:f>IFERROR(__xludf.DUMMYFUNCTION("SUM(FILTER($E$4:$N$1118, $C$4:$C$1118 = T33))"),5256820.904124863)</x:f>
        <x:v>#NAME?</x:v>
      </x:c>
      <x:c r="V33" s="34" t="e">
        <x:f>IFERROR(__xludf.DUMMYFUNCTION("COUNT(FILTER($C$4:$C$1118, $C$4:$C$1118 = T33))"),0.0)</x:f>
        <x:v>#NAME?</x:v>
      </x:c>
      <x:c r="W33" s="31">
        <x:f t="shared" si="6"/>
        <x:v>0</x:v>
      </x:c>
    </x:row>
    <x:row r="34" ht="18.75" customHeight="1">
      <x:c r="A34" s="19">
        <x:v>32.0</x:v>
      </x:c>
      <x:c r="B34" s="29"/>
      <x:c r="C34" s="21"/>
      <x:c r="D34" s="35"/>
      <x:c r="E34" s="23"/>
      <x:c r="F34" s="23"/>
      <x:c r="G34" s="24"/>
      <x:c r="H34" s="24"/>
      <x:c r="I34" s="24"/>
      <x:c r="J34" s="24"/>
      <x:c r="K34" s="24"/>
      <x:c r="L34" s="24"/>
      <x:c r="M34" s="94"/>
      <x:c r="N34" s="94"/>
      <x:c r="O34" s="26">
        <x:f t="shared" si="3"/>
        <x:v>0</x:v>
      </x:c>
      <x:c r="P34" s="23"/>
      <x:c r="Q34" s="23"/>
      <x:c r="R34" s="23"/>
      <x:c r="S34" s="57"/>
      <x:c r="T34" s="33"/>
      <x:c r="U34" s="34" t="e">
        <x:f>IFERROR(__xludf.DUMMYFUNCTION("SUM(FILTER($E$4:$N$1118, $C$4:$C$1118 = T34))"),5256820.904124863)</x:f>
        <x:v>#NAME?</x:v>
      </x:c>
      <x:c r="V34" s="34" t="e">
        <x:f>IFERROR(__xludf.DUMMYFUNCTION("COUNT(FILTER($C$4:$C$1118, $C$4:$C$1118 = T34))"),0.0)</x:f>
        <x:v>#NAME?</x:v>
      </x:c>
      <x:c r="W34" s="31">
        <x:f t="shared" si="6"/>
        <x:v>0</x:v>
      </x:c>
    </x:row>
    <x:row r="35" ht="18.75" customHeight="1">
      <x:c r="A35" s="19">
        <x:v>33.0</x:v>
      </x:c>
      <x:c r="B35" s="29"/>
      <x:c r="C35" s="21"/>
      <x:c r="D35" s="35"/>
      <x:c r="E35" s="23"/>
      <x:c r="F35" s="23"/>
      <x:c r="G35" s="24"/>
      <x:c r="H35" s="24"/>
      <x:c r="I35" s="24"/>
      <x:c r="J35" s="24"/>
      <x:c r="K35" s="24"/>
      <x:c r="L35" s="24"/>
      <x:c r="M35" s="23"/>
      <x:c r="N35" s="94"/>
      <x:c r="O35" s="26">
        <x:f t="shared" si="3"/>
        <x:v>0</x:v>
      </x:c>
      <x:c r="P35" s="23"/>
      <x:c r="Q35" s="23"/>
      <x:c r="R35" s="23"/>
      <x:c r="S35" s="32"/>
      <x:c r="T35" s="33"/>
      <x:c r="U35" s="34" t="e">
        <x:f>IFERROR(__xludf.DUMMYFUNCTION("SUM(FILTER($E$4:$N$1118, $C$4:$C$1118 = T35))"),5256820.904124863)</x:f>
        <x:v>#NAME?</x:v>
      </x:c>
      <x:c r="V35" s="34" t="e">
        <x:f>IFERROR(__xludf.DUMMYFUNCTION("COUNT(FILTER($C$4:$C$1118, $C$4:$C$1118 = T35))"),0.0)</x:f>
        <x:v>#NAME?</x:v>
      </x:c>
      <x:c r="W35" s="31">
        <x:f t="shared" si="6"/>
        <x:v>0</x:v>
      </x:c>
    </x:row>
    <x:row r="36" ht="18.75" customHeight="1">
      <x:c r="A36" s="19">
        <x:v>35.0</x:v>
      </x:c>
      <x:c r="B36" s="29"/>
      <x:c r="C36" s="21"/>
      <x:c r="D36" s="35"/>
      <x:c r="E36" s="23"/>
      <x:c r="F36" s="23"/>
      <x:c r="G36" s="24"/>
      <x:c r="H36" s="24"/>
      <x:c r="I36" s="24"/>
      <x:c r="J36" s="24"/>
      <x:c r="K36" s="24"/>
      <x:c r="L36" s="24"/>
      <x:c r="M36" s="23"/>
      <x:c r="N36" s="23"/>
      <x:c r="O36" s="26">
        <x:f t="shared" si="3"/>
        <x:v>0</x:v>
      </x:c>
      <x:c r="P36" s="23"/>
      <x:c r="Q36" s="23"/>
      <x:c r="R36" s="23"/>
      <x:c r="S36" s="32"/>
      <x:c r="T36" s="33"/>
      <x:c r="U36" s="34" t="e">
        <x:f>IFERROR(__xludf.DUMMYFUNCTION("SUM(FILTER($E$4:$N$1118, $C$4:$C$1118 = T36))"),5256820.904124863)</x:f>
        <x:v>#NAME?</x:v>
      </x:c>
      <x:c r="V36" s="34" t="e">
        <x:f>IFERROR(__xludf.DUMMYFUNCTION("COUNT(FILTER($C$4:$C$1118, $C$4:$C$1118 = T36))"),0.0)</x:f>
        <x:v>#NAME?</x:v>
      </x:c>
      <x:c r="W36" s="31">
        <x:f t="shared" si="6"/>
        <x:v>0</x:v>
      </x:c>
    </x:row>
    <x:row r="37" ht="18.75" customHeight="1">
      <x:c r="A37" s="19">
        <x:v>36.0</x:v>
      </x:c>
      <x:c r="B37" s="29"/>
      <x:c r="C37" s="21"/>
      <x:c r="D37" s="35"/>
      <x:c r="E37" s="56"/>
      <x:c r="F37" s="23"/>
      <x:c r="G37" s="25"/>
      <x:c r="H37" s="25"/>
      <x:c r="I37" s="25"/>
      <x:c r="J37" s="25"/>
      <x:c r="K37" s="24"/>
      <x:c r="L37" s="25"/>
      <x:c r="M37" s="94"/>
      <x:c r="N37" s="94"/>
      <x:c r="O37" s="26">
        <x:f t="shared" si="3"/>
        <x:v>0</x:v>
      </x:c>
      <x:c r="P37" s="23"/>
      <x:c r="Q37" s="23"/>
      <x:c r="R37" s="23"/>
      <x:c r="S37" s="32"/>
      <x:c r="T37" s="33"/>
      <x:c r="U37" s="34" t="e">
        <x:f>IFERROR(__xludf.DUMMYFUNCTION("SUM(FILTER($E$4:$N$1118, $C$4:$C$1118 = T37))"),5256820.904124863)</x:f>
        <x:v>#NAME?</x:v>
      </x:c>
      <x:c r="V37" s="34" t="e">
        <x:f>IFERROR(__xludf.DUMMYFUNCTION("COUNT(FILTER($C$4:$C$1118, $C$4:$C$1118 = T37))"),0.0)</x:f>
        <x:v>#NAME?</x:v>
      </x:c>
      <x:c r="W37" s="31">
        <x:f t="shared" si="6"/>
        <x:v>0</x:v>
      </x:c>
    </x:row>
    <x:row r="38" ht="18.75" customHeight="1">
      <x:c r="A38" s="19">
        <x:v>37.0</x:v>
      </x:c>
      <x:c r="B38" s="29"/>
      <x:c r="C38" s="21"/>
      <x:c r="D38" s="35"/>
      <x:c r="E38" s="23"/>
      <x:c r="F38" s="23"/>
      <x:c r="G38" s="24"/>
      <x:c r="H38" s="24"/>
      <x:c r="I38" s="24"/>
      <x:c r="J38" s="24"/>
      <x:c r="K38" s="24"/>
      <x:c r="L38" s="24"/>
      <x:c r="M38" s="94"/>
      <x:c r="N38" s="94"/>
      <x:c r="O38" s="26">
        <x:f t="shared" si="3"/>
        <x:v>0</x:v>
      </x:c>
      <x:c r="P38" s="23"/>
      <x:c r="Q38" s="23"/>
      <x:c r="R38" s="23"/>
      <x:c r="S38" s="32"/>
      <x:c r="T38" s="33"/>
      <x:c r="U38" s="34" t="e">
        <x:f>IFERROR(__xludf.DUMMYFUNCTION("SUM(FILTER($E$4:$N$1118, $C$4:$C$1118 = T38))"),5256820.904124863)</x:f>
        <x:v>#NAME?</x:v>
      </x:c>
      <x:c r="V38" s="34" t="e">
        <x:f>IFERROR(__xludf.DUMMYFUNCTION("COUNT(FILTER($C$4:$C$1118, $C$4:$C$1118 = T38))"),0.0)</x:f>
        <x:v>#NAME?</x:v>
      </x:c>
      <x:c r="W38" s="31">
        <x:f t="shared" si="6"/>
        <x:v>0</x:v>
      </x:c>
    </x:row>
    <x:row r="39" ht="18.75" customHeight="1">
      <x:c r="A39" s="19"/>
      <x:c r="B39" s="29"/>
      <x:c r="C39" s="21"/>
      <x:c r="D39" s="35"/>
      <x:c r="E39" s="23"/>
      <x:c r="F39" s="23"/>
      <x:c r="G39" s="25"/>
      <x:c r="H39" s="25"/>
      <x:c r="I39" s="25"/>
      <x:c r="J39" s="25"/>
      <x:c r="K39" s="24"/>
      <x:c r="L39" s="24"/>
      <x:c r="M39" s="94"/>
      <x:c r="N39" s="94"/>
      <x:c r="O39" s="26">
        <x:f t="shared" si="3"/>
        <x:v>0</x:v>
      </x:c>
      <x:c r="P39" s="23"/>
      <x:c r="Q39" s="23"/>
      <x:c r="R39" s="23"/>
      <x:c r="T39" s="33"/>
      <x:c r="U39" s="34" t="e">
        <x:f>IFERROR(__xludf.DUMMYFUNCTION("SUM(FILTER($E$4:$N$1118, $C$4:$C$1118 = T39))"),5256820.904124863)</x:f>
        <x:v>#NAME?</x:v>
      </x:c>
      <x:c r="V39" s="34" t="e">
        <x:f>IFERROR(__xludf.DUMMYFUNCTION("COUNT(FILTER($C$4:$C$1118, $C$4:$C$1118 = T39))"),0.0)</x:f>
        <x:v>#NAME?</x:v>
      </x:c>
      <x:c r="W39" s="31">
        <x:f t="shared" si="6"/>
        <x:v>0</x:v>
      </x:c>
    </x:row>
    <x:row r="40" ht="18.75" customHeight="1">
      <x:c r="A40" s="19"/>
      <x:c r="B40" s="29"/>
      <x:c r="C40" s="21"/>
      <x:c r="D40" s="35"/>
      <x:c r="E40" s="23"/>
      <x:c r="F40" s="23"/>
      <x:c r="G40" s="25"/>
      <x:c r="H40" s="25"/>
      <x:c r="I40" s="25"/>
      <x:c r="J40" s="25"/>
      <x:c r="K40" s="24"/>
      <x:c r="L40" s="24"/>
      <x:c r="M40" s="94"/>
      <x:c r="N40" s="94"/>
      <x:c r="O40" s="26">
        <x:f t="shared" si="3"/>
        <x:v>0</x:v>
      </x:c>
      <x:c r="P40" s="23"/>
      <x:c r="Q40" s="23"/>
      <x:c r="R40" s="23"/>
    </x:row>
    <x:row r="41">
      <x:c r="A41" s="19"/>
      <x:c r="B41" s="29"/>
      <x:c r="C41" s="21"/>
      <x:c r="D41" s="35"/>
      <x:c r="E41" s="56"/>
      <x:c r="F41" s="23"/>
      <x:c r="G41" s="24"/>
      <x:c r="H41" s="24"/>
      <x:c r="I41" s="24"/>
      <x:c r="J41" s="24"/>
      <x:c r="K41" s="24"/>
      <x:c r="L41" s="24"/>
      <x:c r="M41" s="94"/>
      <x:c r="N41" s="94"/>
      <x:c r="O41" s="26">
        <x:f t="shared" si="3"/>
        <x:v>0</x:v>
      </x:c>
      <x:c r="P41" s="23"/>
      <x:c r="Q41" s="23"/>
      <x:c r="R41" s="23"/>
      <x:c r="S41" s="32"/>
    </x:row>
    <x:row r="42" ht="18.75" customHeight="1">
      <x:c r="A42" s="19"/>
      <x:c r="B42" s="29"/>
      <x:c r="C42" s="21"/>
      <x:c r="D42" s="35"/>
      <x:c r="E42" s="23"/>
      <x:c r="F42" s="23"/>
      <x:c r="G42" s="25"/>
      <x:c r="H42" s="25"/>
      <x:c r="I42" s="25"/>
      <x:c r="J42" s="25"/>
      <x:c r="K42" s="24"/>
      <x:c r="L42" s="24"/>
      <x:c r="M42" s="94"/>
      <x:c r="N42" s="94"/>
      <x:c r="O42" s="26">
        <x:f t="shared" si="3"/>
        <x:v>0</x:v>
      </x:c>
      <x:c r="P42" s="23"/>
      <x:c r="Q42" s="23"/>
      <x:c r="R42" s="23"/>
    </x:row>
    <x:row r="43" ht="18.75" customHeight="1">
      <x:c r="A43" s="19"/>
      <x:c r="B43" s="29"/>
      <x:c r="C43" s="21"/>
      <x:c r="D43" s="35"/>
      <x:c r="E43" s="23"/>
      <x:c r="F43" s="23"/>
      <x:c r="G43" s="25"/>
      <x:c r="H43" s="25"/>
      <x:c r="I43" s="25"/>
      <x:c r="J43" s="25"/>
      <x:c r="K43" s="24"/>
      <x:c r="L43" s="24"/>
      <x:c r="M43" s="94"/>
      <x:c r="N43" s="94"/>
      <x:c r="O43" s="26">
        <x:f t="shared" si="3"/>
        <x:v>0</x:v>
      </x:c>
      <x:c r="P43" s="23"/>
      <x:c r="Q43" s="23"/>
      <x:c r="R43" s="23"/>
    </x:row>
    <x:row r="44" ht="18.75" customHeight="1">
      <x:c r="A44" s="19"/>
      <x:c r="B44" s="29"/>
      <x:c r="C44" s="21"/>
      <x:c r="D44" s="35"/>
      <x:c r="E44" s="23"/>
      <x:c r="F44" s="23"/>
      <x:c r="G44" s="24"/>
      <x:c r="H44" s="24"/>
      <x:c r="I44" s="24"/>
      <x:c r="J44" s="24"/>
      <x:c r="K44" s="24"/>
      <x:c r="L44" s="24"/>
      <x:c r="M44" s="94"/>
      <x:c r="N44" s="94"/>
      <x:c r="O44" s="26">
        <x:f t="shared" si="3"/>
        <x:v>0</x:v>
      </x:c>
      <x:c r="P44" s="23"/>
      <x:c r="Q44" s="23"/>
      <x:c r="R44" s="23"/>
    </x:row>
    <x:row r="45" ht="18.75" customHeight="1">
      <x:c r="A45" s="19"/>
      <x:c r="B45" s="29"/>
      <x:c r="C45" s="21"/>
      <x:c r="D45" s="35"/>
      <x:c r="E45" s="23"/>
      <x:c r="F45" s="23"/>
      <x:c r="G45" s="25"/>
      <x:c r="H45" s="25"/>
      <x:c r="I45" s="25"/>
      <x:c r="J45" s="25"/>
      <x:c r="K45" s="24"/>
      <x:c r="L45" s="24"/>
      <x:c r="M45" s="94"/>
      <x:c r="N45" s="94"/>
      <x:c r="O45" s="26">
        <x:f t="shared" si="3"/>
        <x:v>0</x:v>
      </x:c>
      <x:c r="P45" s="23"/>
      <x:c r="Q45" s="23"/>
      <x:c r="R45" s="23"/>
    </x:row>
    <x:row r="46" ht="18.75" customHeight="1">
      <x:c r="A46" s="19"/>
      <x:c r="B46" s="29"/>
      <x:c r="C46" s="21"/>
      <x:c r="D46" s="55"/>
      <x:c r="E46" s="23"/>
      <x:c r="F46" s="23"/>
      <x:c r="G46" s="25"/>
      <x:c r="H46" s="24"/>
      <x:c r="I46" s="24"/>
      <x:c r="J46" s="24"/>
      <x:c r="K46" s="24"/>
      <x:c r="L46" s="24"/>
      <x:c r="M46" s="94"/>
      <x:c r="N46" s="94"/>
      <x:c r="O46" s="26">
        <x:f t="shared" si="3"/>
        <x:v>0</x:v>
      </x:c>
      <x:c r="P46" s="23"/>
      <x:c r="Q46" s="23"/>
      <x:c r="R46" s="23"/>
    </x:row>
    <x:row r="47" ht="18.75" customHeight="1">
      <x:c r="A47" s="19"/>
      <x:c r="B47" s="71"/>
      <x:c r="C47" s="21"/>
      <x:c r="D47" s="35"/>
      <x:c r="E47" s="23"/>
      <x:c r="F47" s="23"/>
      <x:c r="G47" s="25"/>
      <x:c r="H47" s="25"/>
      <x:c r="I47" s="25"/>
      <x:c r="J47" s="25"/>
      <x:c r="K47" s="24"/>
      <x:c r="L47" s="24"/>
      <x:c r="M47" s="94"/>
      <x:c r="N47" s="94"/>
      <x:c r="O47" s="26">
        <x:f t="shared" si="3"/>
        <x:v>0</x:v>
      </x:c>
      <x:c r="P47" s="23"/>
      <x:c r="Q47" s="23"/>
      <x:c r="R47" s="23"/>
    </x:row>
    <x:row r="48" ht="18.75" customHeight="1">
      <x:c r="A48" s="19"/>
      <x:c r="B48" s="29"/>
      <x:c r="C48" s="21"/>
      <x:c r="D48" s="35"/>
      <x:c r="E48" s="56"/>
      <x:c r="F48" s="23"/>
      <x:c r="G48" s="25"/>
      <x:c r="H48" s="25"/>
      <x:c r="I48" s="25"/>
      <x:c r="J48" s="25"/>
      <x:c r="K48" s="24"/>
      <x:c r="L48" s="24"/>
      <x:c r="M48" s="94"/>
      <x:c r="N48" s="94"/>
      <x:c r="O48" s="26">
        <x:f t="shared" si="3"/>
        <x:v>0</x:v>
      </x:c>
      <x:c r="P48" s="23"/>
      <x:c r="Q48" s="23"/>
      <x:c r="R48" s="23"/>
    </x:row>
    <x:row r="49" ht="18.75" customHeight="1">
      <x:c r="A49" s="19"/>
      <x:c r="B49" s="29"/>
      <x:c r="C49" s="21"/>
      <x:c r="D49" s="35"/>
      <x:c r="E49" s="23"/>
      <x:c r="F49" s="23"/>
      <x:c r="G49" s="25"/>
      <x:c r="H49" s="25"/>
      <x:c r="I49" s="25"/>
      <x:c r="J49" s="25"/>
      <x:c r="K49" s="24"/>
      <x:c r="L49" s="25"/>
      <x:c r="M49" s="94"/>
      <x:c r="N49" s="94"/>
      <x:c r="O49" s="26">
        <x:f t="shared" si="3"/>
        <x:v>0</x:v>
      </x:c>
      <x:c r="P49" s="23"/>
      <x:c r="Q49" s="23"/>
      <x:c r="R49" s="23"/>
    </x:row>
    <x:row r="50" ht="18.75" customHeight="1">
      <x:c r="A50" s="19"/>
      <x:c r="B50" s="29"/>
      <x:c r="C50" s="21"/>
      <x:c r="D50" s="55"/>
      <x:c r="E50" s="23"/>
      <x:c r="F50" s="23"/>
      <x:c r="G50" s="25"/>
      <x:c r="H50" s="25"/>
      <x:c r="I50" s="25"/>
      <x:c r="J50" s="25"/>
      <x:c r="K50" s="24"/>
      <x:c r="L50" s="24"/>
      <x:c r="M50" s="94"/>
      <x:c r="N50" s="94"/>
      <x:c r="O50" s="26">
        <x:f t="shared" si="3"/>
        <x:v>0</x:v>
      </x:c>
      <x:c r="P50" s="23"/>
      <x:c r="Q50" s="23"/>
      <x:c r="R50" s="23"/>
    </x:row>
    <x:row r="51" ht="18.75" customHeight="1">
      <x:c r="A51" s="19"/>
      <x:c r="B51" s="29"/>
      <x:c r="C51" s="21"/>
      <x:c r="D51" s="55"/>
      <x:c r="E51" s="56"/>
      <x:c r="F51" s="23"/>
      <x:c r="G51" s="24"/>
      <x:c r="H51" s="24"/>
      <x:c r="I51" s="24"/>
      <x:c r="J51" s="24"/>
      <x:c r="K51" s="24"/>
      <x:c r="L51" s="24"/>
      <x:c r="M51" s="94"/>
      <x:c r="N51" s="94"/>
      <x:c r="O51" s="26">
        <x:f t="shared" si="3"/>
        <x:v>0</x:v>
      </x:c>
      <x:c r="P51" s="23"/>
      <x:c r="Q51" s="23"/>
      <x:c r="R51" s="23"/>
    </x:row>
    <x:row r="52" ht="18.75" customHeight="1">
      <x:c r="A52" s="19"/>
      <x:c r="B52" s="29"/>
      <x:c r="C52" s="21"/>
      <x:c r="D52" s="35"/>
      <x:c r="E52" s="56"/>
      <x:c r="F52" s="23"/>
      <x:c r="G52" s="24"/>
      <x:c r="H52" s="24"/>
      <x:c r="I52" s="24"/>
      <x:c r="J52" s="24"/>
      <x:c r="K52" s="24"/>
      <x:c r="L52" s="24"/>
      <x:c r="M52" s="94"/>
      <x:c r="N52" s="94"/>
      <x:c r="O52" s="26">
        <x:f t="shared" si="3"/>
        <x:v>0</x:v>
      </x:c>
      <x:c r="P52" s="23"/>
      <x:c r="Q52" s="23"/>
      <x:c r="R52" s="23"/>
    </x:row>
    <x:row r="53" ht="18.75" customHeight="1">
      <x:c r="A53" s="19"/>
      <x:c r="B53" s="29"/>
      <x:c r="C53" s="21"/>
      <x:c r="D53" s="55"/>
      <x:c r="E53" s="56"/>
      <x:c r="F53" s="23"/>
      <x:c r="G53" s="24"/>
      <x:c r="H53" s="24"/>
      <x:c r="I53" s="24"/>
      <x:c r="J53" s="24"/>
      <x:c r="K53" s="24"/>
      <x:c r="L53" s="24"/>
      <x:c r="M53" s="94"/>
      <x:c r="N53" s="94"/>
      <x:c r="O53" s="26">
        <x:f t="shared" si="3"/>
        <x:v>0</x:v>
      </x:c>
      <x:c r="P53" s="23"/>
      <x:c r="Q53" s="23"/>
      <x:c r="R53" s="23"/>
      <x:c r="S53" s="39"/>
    </x:row>
    <x:row r="54" ht="18.75" customHeight="1">
      <x:c r="A54" s="19"/>
      <x:c r="B54" s="29"/>
      <x:c r="C54" s="21"/>
      <x:c r="D54" s="35"/>
      <x:c r="E54" s="56"/>
      <x:c r="F54" s="23"/>
      <x:c r="G54" s="24"/>
      <x:c r="H54" s="24"/>
      <x:c r="I54" s="24"/>
      <x:c r="J54" s="24"/>
      <x:c r="K54" s="24"/>
      <x:c r="L54" s="24"/>
      <x:c r="M54" s="23"/>
      <x:c r="N54" s="23"/>
      <x:c r="O54" s="26">
        <x:f t="shared" si="3"/>
        <x:v>0</x:v>
      </x:c>
      <x:c r="P54" s="23"/>
      <x:c r="Q54" s="23"/>
      <x:c r="R54" s="23"/>
    </x:row>
    <x:row r="55" ht="18.75" customHeight="1">
      <x:c r="A55" s="19"/>
      <x:c r="B55" s="29"/>
      <x:c r="C55" s="21"/>
      <x:c r="D55" s="35"/>
      <x:c r="E55" s="56"/>
      <x:c r="F55" s="23"/>
      <x:c r="G55" s="25"/>
      <x:c r="H55" s="25"/>
      <x:c r="I55" s="25"/>
      <x:c r="J55" s="25"/>
      <x:c r="K55" s="24"/>
      <x:c r="L55" s="24"/>
      <x:c r="M55" s="94"/>
      <x:c r="N55" s="94"/>
      <x:c r="O55" s="26">
        <x:f t="shared" si="3"/>
        <x:v>0</x:v>
      </x:c>
      <x:c r="P55" s="23"/>
      <x:c r="Q55" s="23"/>
      <x:c r="R55" s="23"/>
    </x:row>
    <x:row r="56" ht="18.75" customHeight="1">
      <x:c r="A56" s="19"/>
      <x:c r="B56" s="29"/>
      <x:c r="C56" s="21"/>
      <x:c r="D56" s="55"/>
      <x:c r="E56" s="23"/>
      <x:c r="F56" s="23"/>
      <x:c r="G56" s="25"/>
      <x:c r="H56" s="25"/>
      <x:c r="I56" s="25"/>
      <x:c r="J56" s="25"/>
      <x:c r="K56" s="24"/>
      <x:c r="L56" s="24"/>
      <x:c r="M56" s="94"/>
      <x:c r="N56" s="94"/>
      <x:c r="O56" s="26">
        <x:f t="shared" si="3"/>
        <x:v>0</x:v>
      </x:c>
      <x:c r="P56" s="23"/>
      <x:c r="Q56" s="23"/>
      <x:c r="R56" s="23"/>
    </x:row>
    <x:row r="57" ht="18.75" customHeight="1">
      <x:c r="A57" s="19"/>
      <x:c r="B57" s="29"/>
      <x:c r="C57" s="21"/>
      <x:c r="D57" s="35"/>
      <x:c r="E57" s="23"/>
      <x:c r="F57" s="23"/>
      <x:c r="G57" s="25"/>
      <x:c r="H57" s="25"/>
      <x:c r="I57" s="25"/>
      <x:c r="J57" s="25"/>
      <x:c r="K57" s="24"/>
      <x:c r="L57" s="24"/>
      <x:c r="M57" s="94"/>
      <x:c r="N57" s="94"/>
      <x:c r="O57" s="26">
        <x:f t="shared" si="3"/>
        <x:v>0</x:v>
      </x:c>
      <x:c r="P57" s="23"/>
      <x:c r="Q57" s="23"/>
      <x:c r="R57" s="23"/>
    </x:row>
    <x:row r="58" ht="18.75" customHeight="1">
      <x:c r="A58" s="19"/>
      <x:c r="B58" s="29"/>
      <x:c r="C58" s="21"/>
      <x:c r="D58" s="35"/>
      <x:c r="E58" s="56"/>
      <x:c r="F58" s="23"/>
      <x:c r="G58" s="25"/>
      <x:c r="H58" s="25"/>
      <x:c r="I58" s="25"/>
      <x:c r="J58" s="25"/>
      <x:c r="K58" s="24"/>
      <x:c r="L58" s="25"/>
      <x:c r="M58" s="94"/>
      <x:c r="N58" s="94"/>
      <x:c r="O58" s="26">
        <x:f t="shared" si="3"/>
        <x:v>0</x:v>
      </x:c>
      <x:c r="P58" s="23"/>
      <x:c r="Q58" s="23"/>
      <x:c r="R58" s="23"/>
    </x:row>
    <x:row r="59" ht="18.75" customHeight="1">
      <x:c r="A59" s="19"/>
      <x:c r="B59" s="29"/>
      <x:c r="C59" s="21"/>
      <x:c r="D59" s="35"/>
      <x:c r="E59" s="23"/>
      <x:c r="F59" s="23"/>
      <x:c r="G59" s="25"/>
      <x:c r="H59" s="25"/>
      <x:c r="I59" s="25"/>
      <x:c r="J59" s="25"/>
      <x:c r="K59" s="24"/>
      <x:c r="L59" s="24"/>
      <x:c r="M59" s="94"/>
      <x:c r="N59" s="94"/>
      <x:c r="O59" s="26">
        <x:f t="shared" si="3"/>
        <x:v>0</x:v>
      </x:c>
      <x:c r="P59" s="23"/>
      <x:c r="Q59" s="23"/>
      <x:c r="R59" s="23"/>
    </x:row>
    <x:row r="60" ht="18.75" customHeight="1">
      <x:c r="A60" s="19"/>
      <x:c r="B60" s="29"/>
      <x:c r="C60" s="21"/>
      <x:c r="D60" s="35"/>
      <x:c r="E60" s="23"/>
      <x:c r="F60" s="23"/>
      <x:c r="G60" s="25"/>
      <x:c r="H60" s="24"/>
      <x:c r="I60" s="24"/>
      <x:c r="J60" s="24"/>
      <x:c r="K60" s="24"/>
      <x:c r="L60" s="25"/>
      <x:c r="M60" s="94"/>
      <x:c r="N60" s="94"/>
      <x:c r="O60" s="26">
        <x:f t="shared" si="3"/>
        <x:v>0</x:v>
      </x:c>
      <x:c r="P60" s="23"/>
      <x:c r="Q60" s="23"/>
      <x:c r="R60" s="23"/>
    </x:row>
    <x:row r="61" ht="18.75" customHeight="1">
      <x:c r="A61" s="19"/>
      <x:c r="B61" s="29"/>
      <x:c r="C61" s="21"/>
      <x:c r="D61" s="35"/>
      <x:c r="E61" s="23"/>
      <x:c r="F61" s="23"/>
      <x:c r="G61" s="24"/>
      <x:c r="H61" s="24"/>
      <x:c r="I61" s="24"/>
      <x:c r="J61" s="24"/>
      <x:c r="K61" s="24"/>
      <x:c r="L61" s="24"/>
      <x:c r="M61" s="94"/>
      <x:c r="N61" s="94"/>
      <x:c r="O61" s="26">
        <x:f t="shared" si="3"/>
        <x:v>0</x:v>
      </x:c>
      <x:c r="P61" s="23"/>
      <x:c r="Q61" s="23"/>
      <x:c r="R61" s="23"/>
    </x:row>
    <x:row r="62" ht="18.75" customHeight="1">
      <x:c r="A62" s="19"/>
      <x:c r="B62" s="29"/>
      <x:c r="C62" s="21"/>
      <x:c r="D62" s="35"/>
      <x:c r="E62" s="23"/>
      <x:c r="F62" s="23"/>
      <x:c r="G62" s="24"/>
      <x:c r="H62" s="24"/>
      <x:c r="I62" s="24"/>
      <x:c r="J62" s="24"/>
      <x:c r="K62" s="24"/>
      <x:c r="L62" s="24"/>
      <x:c r="M62" s="94"/>
      <x:c r="N62" s="94"/>
      <x:c r="O62" s="26">
        <x:f t="shared" si="3"/>
        <x:v>0</x:v>
      </x:c>
      <x:c r="P62" s="23"/>
      <x:c r="Q62" s="23"/>
      <x:c r="R62" s="23"/>
    </x:row>
    <x:row r="63" ht="18.75" customHeight="1">
      <x:c r="A63" s="19"/>
      <x:c r="B63" s="29"/>
      <x:c r="C63" s="21"/>
      <x:c r="D63" s="55"/>
      <x:c r="E63" s="23"/>
      <x:c r="F63" s="23"/>
      <x:c r="G63" s="24"/>
      <x:c r="H63" s="24"/>
      <x:c r="I63" s="24"/>
      <x:c r="J63" s="24"/>
      <x:c r="K63" s="24"/>
      <x:c r="L63" s="24"/>
      <x:c r="M63" s="94"/>
      <x:c r="N63" s="94"/>
      <x:c r="O63" s="26">
        <x:f t="shared" si="3"/>
        <x:v>0</x:v>
      </x:c>
      <x:c r="P63" s="23"/>
      <x:c r="Q63" s="23"/>
      <x:c r="R63" s="23"/>
    </x:row>
    <x:row r="64" ht="18.75" customHeight="1">
      <x:c r="A64" s="19"/>
      <x:c r="B64" s="29"/>
      <x:c r="C64" s="21"/>
      <x:c r="D64" s="55"/>
      <x:c r="E64" s="23"/>
      <x:c r="F64" s="23"/>
      <x:c r="G64" s="24"/>
      <x:c r="H64" s="24"/>
      <x:c r="I64" s="24"/>
      <x:c r="J64" s="24"/>
      <x:c r="K64" s="25"/>
      <x:c r="L64" s="24"/>
      <x:c r="M64" s="94"/>
      <x:c r="N64" s="94"/>
      <x:c r="O64" s="26">
        <x:f t="shared" si="3"/>
        <x:v>0</x:v>
      </x:c>
      <x:c r="P64" s="23"/>
      <x:c r="Q64" s="23"/>
      <x:c r="R64" s="23"/>
    </x:row>
    <x:row r="65" ht="18.75" customHeight="1">
      <x:c r="A65" s="19"/>
      <x:c r="B65" s="29"/>
      <x:c r="C65" s="21"/>
      <x:c r="D65" s="55"/>
      <x:c r="E65" s="23"/>
      <x:c r="F65" s="23"/>
      <x:c r="G65" s="25"/>
      <x:c r="H65" s="25"/>
      <x:c r="I65" s="25"/>
      <x:c r="J65" s="25"/>
      <x:c r="K65" s="24"/>
      <x:c r="L65" s="24"/>
      <x:c r="M65" s="94"/>
      <x:c r="N65" s="94"/>
      <x:c r="O65" s="26">
        <x:f t="shared" si="3"/>
        <x:v>0</x:v>
      </x:c>
      <x:c r="P65" s="23"/>
      <x:c r="Q65" s="23"/>
      <x:c r="R65" s="23"/>
    </x:row>
    <x:row r="66" ht="18.75" customHeight="1">
      <x:c r="A66" s="19"/>
      <x:c r="B66" s="29"/>
      <x:c r="C66" s="21"/>
      <x:c r="D66" s="55"/>
      <x:c r="E66" s="23"/>
      <x:c r="F66" s="23"/>
      <x:c r="G66" s="24"/>
      <x:c r="H66" s="24"/>
      <x:c r="I66" s="24"/>
      <x:c r="J66" s="24"/>
      <x:c r="K66" s="24"/>
      <x:c r="L66" s="24"/>
      <x:c r="M66" s="94"/>
      <x:c r="N66" s="94"/>
      <x:c r="O66" s="26">
        <x:f t="shared" si="3"/>
        <x:v>0</x:v>
      </x:c>
      <x:c r="P66" s="23"/>
      <x:c r="Q66" s="23"/>
      <x:c r="R66" s="23"/>
    </x:row>
    <x:row r="67" ht="18.75" customHeight="1">
      <x:c r="A67" s="19"/>
      <x:c r="B67" s="29"/>
      <x:c r="C67" s="21"/>
      <x:c r="D67" s="55"/>
      <x:c r="E67" s="23"/>
      <x:c r="F67" s="23"/>
      <x:c r="G67" s="25"/>
      <x:c r="H67" s="25"/>
      <x:c r="I67" s="25"/>
      <x:c r="J67" s="25"/>
      <x:c r="K67" s="24"/>
      <x:c r="L67" s="25"/>
      <x:c r="M67" s="94"/>
      <x:c r="N67" s="94"/>
      <x:c r="O67" s="26">
        <x:f t="shared" si="3"/>
        <x:v>0</x:v>
      </x:c>
      <x:c r="P67" s="23"/>
      <x:c r="Q67" s="23"/>
      <x:c r="R67" s="23"/>
    </x:row>
    <x:row r="68" ht="18.75" customHeight="1">
      <x:c r="A68" s="19"/>
      <x:c r="B68" s="29"/>
      <x:c r="C68" s="21"/>
      <x:c r="D68" s="55"/>
      <x:c r="E68" s="23"/>
      <x:c r="F68" s="23"/>
      <x:c r="G68" s="24"/>
      <x:c r="H68" s="24"/>
      <x:c r="I68" s="24"/>
      <x:c r="J68" s="24"/>
      <x:c r="K68" s="24"/>
      <x:c r="L68" s="24"/>
      <x:c r="M68" s="94"/>
      <x:c r="N68" s="94"/>
      <x:c r="O68" s="26">
        <x:f t="shared" si="3"/>
        <x:v>0</x:v>
      </x:c>
      <x:c r="P68" s="23"/>
      <x:c r="Q68" s="23"/>
      <x:c r="R68" s="23"/>
    </x:row>
    <x:row r="69" ht="18.75" customHeight="1">
      <x:c r="A69" s="19"/>
      <x:c r="B69" s="29"/>
      <x:c r="C69" s="21"/>
      <x:c r="D69" s="35"/>
      <x:c r="E69" s="23"/>
      <x:c r="F69" s="23"/>
      <x:c r="G69" s="25"/>
      <x:c r="H69" s="25"/>
      <x:c r="I69" s="25"/>
      <x:c r="J69" s="25"/>
      <x:c r="K69" s="24"/>
      <x:c r="L69" s="24"/>
      <x:c r="M69" s="94"/>
      <x:c r="N69" s="94"/>
      <x:c r="O69" s="26">
        <x:f t="shared" si="3"/>
        <x:v>0</x:v>
      </x:c>
      <x:c r="P69" s="23"/>
      <x:c r="Q69" s="23"/>
      <x:c r="R69" s="23"/>
    </x:row>
    <x:row r="70" ht="18.75" customHeight="1">
      <x:c r="A70" s="19"/>
      <x:c r="B70" s="29"/>
      <x:c r="C70" s="21"/>
      <x:c r="D70" s="55"/>
      <x:c r="E70" s="23"/>
      <x:c r="F70" s="23"/>
      <x:c r="G70" s="25"/>
      <x:c r="H70" s="25"/>
      <x:c r="I70" s="25"/>
      <x:c r="J70" s="25"/>
      <x:c r="K70" s="25"/>
      <x:c r="L70" s="24"/>
      <x:c r="M70" s="94"/>
      <x:c r="N70" s="94"/>
      <x:c r="O70" s="26">
        <x:f t="shared" si="3"/>
        <x:v>0</x:v>
      </x:c>
      <x:c r="P70" s="23"/>
      <x:c r="Q70" s="23"/>
      <x:c r="R70" s="23"/>
    </x:row>
    <x:row r="71" ht="18.75" customHeight="1">
      <x:c r="A71" s="19"/>
      <x:c r="B71" s="29"/>
      <x:c r="C71" s="21"/>
      <x:c r="D71" s="55"/>
      <x:c r="E71" s="23"/>
      <x:c r="F71" s="23"/>
      <x:c r="G71" s="25"/>
      <x:c r="H71" s="25"/>
      <x:c r="I71" s="25"/>
      <x:c r="J71" s="25"/>
      <x:c r="K71" s="24"/>
      <x:c r="L71" s="25"/>
      <x:c r="M71" s="94"/>
      <x:c r="N71" s="94"/>
      <x:c r="O71" s="26">
        <x:f t="shared" si="3"/>
        <x:v>0</x:v>
      </x:c>
      <x:c r="P71" s="23"/>
      <x:c r="Q71" s="23"/>
      <x:c r="R71" s="23"/>
    </x:row>
    <x:row r="72" ht="18.75" customHeight="1">
      <x:c r="A72" s="19"/>
      <x:c r="B72" s="20"/>
      <x:c r="C72" s="21"/>
      <x:c r="D72" s="55"/>
      <x:c r="E72" s="23"/>
      <x:c r="F72" s="23"/>
      <x:c r="G72" s="25"/>
      <x:c r="H72" s="25"/>
      <x:c r="I72" s="25"/>
      <x:c r="J72" s="25"/>
      <x:c r="K72" s="24"/>
      <x:c r="L72" s="24"/>
      <x:c r="M72" s="94"/>
      <x:c r="N72" s="94"/>
      <x:c r="O72" s="26">
        <x:f t="shared" si="3"/>
        <x:v>0</x:v>
      </x:c>
      <x:c r="P72" s="23"/>
      <x:c r="Q72" s="23"/>
      <x:c r="R72" s="23"/>
    </x:row>
    <x:row r="73" ht="18.75" customHeight="1">
      <x:c r="A73" s="19"/>
      <x:c r="B73" s="20"/>
      <x:c r="C73" s="21"/>
      <x:c r="D73" s="55"/>
      <x:c r="E73" s="23"/>
      <x:c r="F73" s="23"/>
      <x:c r="G73" s="24"/>
      <x:c r="H73" s="24"/>
      <x:c r="I73" s="24"/>
      <x:c r="J73" s="24"/>
      <x:c r="K73" s="24"/>
      <x:c r="L73" s="24"/>
      <x:c r="M73" s="94"/>
      <x:c r="N73" s="94"/>
      <x:c r="O73" s="26">
        <x:f t="shared" si="3"/>
        <x:v>0</x:v>
      </x:c>
      <x:c r="P73" s="23"/>
      <x:c r="Q73" s="23"/>
      <x:c r="R73" s="23"/>
    </x:row>
    <x:row r="74" ht="18.75" customHeight="1">
      <x:c r="A74" s="19"/>
      <x:c r="B74" s="20"/>
      <x:c r="C74" s="21"/>
      <x:c r="D74" s="55"/>
      <x:c r="E74" s="23"/>
      <x:c r="F74" s="23"/>
      <x:c r="G74" s="25"/>
      <x:c r="H74" s="25"/>
      <x:c r="I74" s="25"/>
      <x:c r="J74" s="25"/>
      <x:c r="K74" s="24"/>
      <x:c r="L74" s="25"/>
      <x:c r="M74" s="94"/>
      <x:c r="N74" s="94"/>
      <x:c r="O74" s="26">
        <x:f t="shared" si="3"/>
        <x:v>0</x:v>
      </x:c>
      <x:c r="P74" s="23"/>
      <x:c r="Q74" s="23"/>
      <x:c r="R74" s="23"/>
    </x:row>
    <x:row r="75" ht="18.75" customHeight="1">
      <x:c r="A75" s="19"/>
      <x:c r="B75" s="20"/>
      <x:c r="C75" s="21"/>
      <x:c r="D75" s="55"/>
      <x:c r="E75" s="23"/>
      <x:c r="F75" s="23"/>
      <x:c r="G75" s="24"/>
      <x:c r="H75" s="25"/>
      <x:c r="I75" s="25"/>
      <x:c r="J75" s="25"/>
      <x:c r="K75" s="24"/>
      <x:c r="L75" s="25"/>
      <x:c r="M75" s="94"/>
      <x:c r="N75" s="94"/>
      <x:c r="O75" s="26">
        <x:f t="shared" si="3"/>
        <x:v>0</x:v>
      </x:c>
      <x:c r="P75" s="23"/>
      <x:c r="Q75" s="23"/>
      <x:c r="R75" s="23"/>
    </x:row>
    <x:row r="76" ht="18.75" customHeight="1">
      <x:c r="A76" s="19"/>
      <x:c r="B76" s="20"/>
      <x:c r="C76" s="21"/>
      <x:c r="D76" s="55"/>
      <x:c r="E76" s="23"/>
      <x:c r="F76" s="23"/>
      <x:c r="G76" s="25"/>
      <x:c r="H76" s="25"/>
      <x:c r="I76" s="25"/>
      <x:c r="J76" s="25"/>
      <x:c r="K76" s="24"/>
      <x:c r="L76" s="25"/>
      <x:c r="M76" s="94"/>
      <x:c r="N76" s="94"/>
      <x:c r="O76" s="26">
        <x:f t="shared" si="3"/>
        <x:v>0</x:v>
      </x:c>
      <x:c r="P76" s="23"/>
      <x:c r="Q76" s="23"/>
      <x:c r="R76" s="23"/>
    </x:row>
    <x:row r="77" ht="18.75" customHeight="1">
      <x:c r="A77" s="19"/>
      <x:c r="B77" s="20"/>
      <x:c r="C77" s="21"/>
      <x:c r="D77" s="55"/>
      <x:c r="E77" s="23"/>
      <x:c r="F77" s="23"/>
      <x:c r="G77" s="25"/>
      <x:c r="H77" s="25"/>
      <x:c r="I77" s="25"/>
      <x:c r="J77" s="25"/>
      <x:c r="K77" s="24"/>
      <x:c r="L77" s="25"/>
      <x:c r="M77" s="94"/>
      <x:c r="N77" s="94"/>
      <x:c r="O77" s="26">
        <x:f t="shared" si="3"/>
        <x:v>0</x:v>
      </x:c>
      <x:c r="P77" s="23"/>
      <x:c r="Q77" s="23"/>
      <x:c r="R77" s="23"/>
    </x:row>
    <x:row r="78" ht="18.75" customHeight="1">
      <x:c r="A78" s="19"/>
      <x:c r="B78" s="20"/>
      <x:c r="C78" s="21"/>
      <x:c r="D78" s="35"/>
      <x:c r="E78" s="23"/>
      <x:c r="F78" s="23"/>
      <x:c r="G78" s="25"/>
      <x:c r="H78" s="25"/>
      <x:c r="I78" s="25"/>
      <x:c r="J78" s="25"/>
      <x:c r="K78" s="25"/>
      <x:c r="L78" s="24"/>
      <x:c r="M78" s="94"/>
      <x:c r="N78" s="94"/>
      <x:c r="O78" s="26">
        <x:f t="shared" si="3"/>
        <x:v>0</x:v>
      </x:c>
      <x:c r="P78" s="23"/>
      <x:c r="Q78" s="23"/>
      <x:c r="R78" s="23"/>
    </x:row>
    <x:row r="79" ht="18.75" customHeight="1">
      <x:c r="A79" s="19"/>
      <x:c r="B79" s="20"/>
      <x:c r="C79" s="21"/>
      <x:c r="D79" s="55"/>
      <x:c r="E79" s="23"/>
      <x:c r="F79" s="23"/>
      <x:c r="G79" s="25"/>
      <x:c r="H79" s="25"/>
      <x:c r="I79" s="25"/>
      <x:c r="J79" s="25"/>
      <x:c r="K79" s="25"/>
      <x:c r="L79" s="24"/>
      <x:c r="M79" s="94"/>
      <x:c r="N79" s="94"/>
      <x:c r="O79" s="26">
        <x:f t="shared" si="3"/>
        <x:v>0</x:v>
      </x:c>
      <x:c r="P79" s="23"/>
      <x:c r="Q79" s="23"/>
      <x:c r="R79" s="23"/>
    </x:row>
    <x:row r="80" ht="18.75" customHeight="1">
      <x:c r="A80" s="19"/>
      <x:c r="B80" s="71"/>
      <x:c r="C80" s="21"/>
      <x:c r="D80" s="55"/>
      <x:c r="E80" s="23"/>
      <x:c r="F80" s="23"/>
      <x:c r="G80" s="25"/>
      <x:c r="H80" s="25"/>
      <x:c r="I80" s="25"/>
      <x:c r="J80" s="25"/>
      <x:c r="K80" s="24"/>
      <x:c r="L80" s="25"/>
      <x:c r="M80" s="94"/>
      <x:c r="N80" s="94"/>
      <x:c r="O80" s="26">
        <x:f t="shared" si="3"/>
        <x:v>0</x:v>
      </x:c>
      <x:c r="P80" s="23"/>
      <x:c r="Q80" s="23"/>
      <x:c r="R80" s="23"/>
    </x:row>
    <x:row r="81" ht="18.75" customHeight="1">
      <x:c r="A81" s="19"/>
      <x:c r="B81" s="20"/>
      <x:c r="C81" s="21"/>
      <x:c r="D81" s="35"/>
      <x:c r="E81" s="23"/>
      <x:c r="F81" s="23"/>
      <x:c r="G81" s="25"/>
      <x:c r="H81" s="25"/>
      <x:c r="I81" s="25"/>
      <x:c r="J81" s="25"/>
      <x:c r="K81" s="24"/>
      <x:c r="L81" s="24"/>
      <x:c r="M81" s="94"/>
      <x:c r="N81" s="94"/>
      <x:c r="O81" s="26">
        <x:f t="shared" si="3"/>
        <x:v>0</x:v>
      </x:c>
      <x:c r="P81" s="23"/>
      <x:c r="Q81" s="23"/>
      <x:c r="R81" s="23"/>
    </x:row>
    <x:row r="82" ht="18.75" customHeight="1">
      <x:c r="A82" s="19"/>
      <x:c r="B82" s="20"/>
      <x:c r="C82" s="21"/>
      <x:c r="D82" s="55"/>
      <x:c r="E82" s="23"/>
      <x:c r="F82" s="23"/>
      <x:c r="G82" s="24"/>
      <x:c r="H82" s="25"/>
      <x:c r="I82" s="25"/>
      <x:c r="J82" s="25"/>
      <x:c r="K82" s="24"/>
      <x:c r="L82" s="24"/>
      <x:c r="M82" s="94"/>
      <x:c r="N82" s="94"/>
      <x:c r="O82" s="26">
        <x:f t="shared" si="3"/>
        <x:v>0</x:v>
      </x:c>
      <x:c r="P82" s="23"/>
      <x:c r="Q82" s="23"/>
      <x:c r="R82" s="23"/>
    </x:row>
    <x:row r="83" ht="18.75" customHeight="1">
      <x:c r="A83" s="19"/>
      <x:c r="B83" s="20"/>
      <x:c r="C83" s="21"/>
      <x:c r="D83" s="35"/>
      <x:c r="E83" s="23"/>
      <x:c r="F83" s="23"/>
      <x:c r="G83" s="25"/>
      <x:c r="H83" s="25"/>
      <x:c r="I83" s="25"/>
      <x:c r="J83" s="25"/>
      <x:c r="K83" s="25"/>
      <x:c r="L83" s="24"/>
      <x:c r="M83" s="94"/>
      <x:c r="N83" s="94"/>
      <x:c r="O83" s="26">
        <x:f t="shared" si="3"/>
        <x:v>0</x:v>
      </x:c>
      <x:c r="P83" s="23"/>
      <x:c r="Q83" s="23"/>
      <x:c r="R83" s="23"/>
    </x:row>
    <x:row r="84" ht="18.75" customHeight="1">
      <x:c r="A84" s="19"/>
      <x:c r="B84" s="20"/>
      <x:c r="C84" s="21"/>
      <x:c r="D84" s="55"/>
      <x:c r="E84" s="23"/>
      <x:c r="F84" s="23"/>
      <x:c r="G84" s="25"/>
      <x:c r="H84" s="25"/>
      <x:c r="I84" s="25"/>
      <x:c r="J84" s="25"/>
      <x:c r="K84" s="24"/>
      <x:c r="L84" s="25"/>
      <x:c r="M84" s="94"/>
      <x:c r="N84" s="94"/>
      <x:c r="O84" s="26">
        <x:f t="shared" si="3"/>
        <x:v>0</x:v>
      </x:c>
      <x:c r="P84" s="23"/>
      <x:c r="Q84" s="23"/>
      <x:c r="R84" s="23"/>
    </x:row>
    <x:row r="85" ht="18.75" customHeight="1">
      <x:c r="A85" s="19"/>
      <x:c r="B85" s="20"/>
      <x:c r="C85" s="21"/>
      <x:c r="D85" s="55"/>
      <x:c r="E85" s="23"/>
      <x:c r="F85" s="23"/>
      <x:c r="G85" s="25"/>
      <x:c r="H85" s="25"/>
      <x:c r="I85" s="25"/>
      <x:c r="J85" s="25"/>
      <x:c r="K85" s="24"/>
      <x:c r="L85" s="25"/>
      <x:c r="M85" s="94"/>
      <x:c r="N85" s="94"/>
      <x:c r="O85" s="26">
        <x:f t="shared" si="3"/>
        <x:v>0</x:v>
      </x:c>
      <x:c r="P85" s="23"/>
      <x:c r="Q85" s="23"/>
      <x:c r="R85" s="23"/>
    </x:row>
    <x:row r="86" ht="18.75" customHeight="1">
      <x:c r="A86" s="19"/>
      <x:c r="B86" s="20"/>
      <x:c r="C86" s="21"/>
      <x:c r="D86" s="35"/>
      <x:c r="E86" s="23"/>
      <x:c r="F86" s="23"/>
      <x:c r="G86" s="25"/>
      <x:c r="H86" s="25"/>
      <x:c r="I86" s="25"/>
      <x:c r="J86" s="25"/>
      <x:c r="K86" s="25"/>
      <x:c r="L86" s="25"/>
      <x:c r="M86" s="94"/>
      <x:c r="N86" s="94"/>
      <x:c r="O86" s="26">
        <x:f t="shared" si="3"/>
        <x:v>0</x:v>
      </x:c>
      <x:c r="P86" s="23"/>
      <x:c r="Q86" s="23"/>
      <x:c r="R86" s="23"/>
    </x:row>
    <x:row r="87" ht="18.75" customHeight="1">
      <x:c r="A87" s="19"/>
      <x:c r="B87" s="29"/>
      <x:c r="C87" s="21"/>
      <x:c r="D87" s="55"/>
      <x:c r="E87" s="56"/>
      <x:c r="F87" s="23"/>
      <x:c r="G87" s="25"/>
      <x:c r="H87" s="25"/>
      <x:c r="I87" s="25"/>
      <x:c r="J87" s="25"/>
      <x:c r="K87" s="25"/>
      <x:c r="L87" s="25"/>
      <x:c r="M87" s="94"/>
      <x:c r="N87" s="94"/>
      <x:c r="O87" s="26">
        <x:f t="shared" si="3"/>
        <x:v>0</x:v>
      </x:c>
      <x:c r="P87" s="23"/>
      <x:c r="Q87" s="23"/>
      <x:c r="R87" s="23"/>
    </x:row>
    <x:row r="88" ht="18.75" customHeight="1">
      <x:c r="A88" s="19"/>
      <x:c r="B88" s="20"/>
      <x:c r="C88" s="21"/>
      <x:c r="D88" s="55"/>
      <x:c r="E88" s="56"/>
      <x:c r="F88" s="23"/>
      <x:c r="G88" s="25"/>
      <x:c r="H88" s="25"/>
      <x:c r="I88" s="25"/>
      <x:c r="J88" s="25"/>
      <x:c r="K88" s="24"/>
      <x:c r="L88" s="25"/>
      <x:c r="M88" s="94"/>
      <x:c r="N88" s="94"/>
      <x:c r="O88" s="26">
        <x:f t="shared" si="3"/>
        <x:v>0</x:v>
      </x:c>
      <x:c r="P88" s="23"/>
      <x:c r="Q88" s="23"/>
      <x:c r="R88" s="23"/>
    </x:row>
    <x:row r="89" ht="18.75" customHeight="1">
      <x:c r="A89" s="19"/>
      <x:c r="B89" s="29"/>
      <x:c r="C89" s="21"/>
      <x:c r="D89" s="23"/>
      <x:c r="E89" s="56"/>
      <x:c r="F89" s="23"/>
      <x:c r="G89" s="25"/>
      <x:c r="H89" s="25"/>
      <x:c r="I89" s="25"/>
      <x:c r="J89" s="25"/>
      <x:c r="K89" s="24"/>
      <x:c r="L89" s="24"/>
      <x:c r="M89" s="94"/>
      <x:c r="N89" s="94"/>
      <x:c r="O89" s="26">
        <x:f t="shared" si="3"/>
        <x:v>0</x:v>
      </x:c>
      <x:c r="P89" s="23"/>
      <x:c r="Q89" s="23"/>
      <x:c r="R89" s="23"/>
    </x:row>
    <x:row r="90" ht="18.75" customHeight="1">
      <x:c r="A90" s="19"/>
      <x:c r="B90" s="29"/>
      <x:c r="C90" s="21"/>
      <x:c r="D90" s="35"/>
      <x:c r="E90" s="56"/>
      <x:c r="F90" s="23"/>
      <x:c r="G90" s="25"/>
      <x:c r="H90" s="25"/>
      <x:c r="I90" s="25"/>
      <x:c r="J90" s="25"/>
      <x:c r="K90" s="24"/>
      <x:c r="L90" s="25"/>
      <x:c r="M90" s="94"/>
      <x:c r="N90" s="94"/>
      <x:c r="O90" s="26">
        <x:f t="shared" si="3"/>
        <x:v>0</x:v>
      </x:c>
      <x:c r="P90" s="23"/>
      <x:c r="Q90" s="23"/>
      <x:c r="R90" s="23"/>
    </x:row>
    <x:row r="91" ht="18.75" customHeight="1">
      <x:c r="A91" s="19"/>
      <x:c r="B91" s="29"/>
      <x:c r="C91" s="21"/>
      <x:c r="D91" s="55"/>
      <x:c r="E91" s="56"/>
      <x:c r="F91" s="23"/>
      <x:c r="G91" s="25"/>
      <x:c r="H91" s="25"/>
      <x:c r="I91" s="25"/>
      <x:c r="J91" s="25"/>
      <x:c r="K91" s="24"/>
      <x:c r="L91" s="25"/>
      <x:c r="M91" s="94"/>
      <x:c r="N91" s="94"/>
      <x:c r="O91" s="26">
        <x:f t="shared" si="3"/>
        <x:v>0</x:v>
      </x:c>
      <x:c r="P91" s="23"/>
      <x:c r="Q91" s="23"/>
      <x:c r="R91" s="23"/>
    </x:row>
    <x:row r="92" ht="18.75" customHeight="1">
      <x:c r="A92" s="19"/>
      <x:c r="B92" s="29"/>
      <x:c r="C92" s="21"/>
      <x:c r="D92" s="55"/>
      <x:c r="E92" s="23"/>
      <x:c r="F92" s="23"/>
      <x:c r="G92" s="25"/>
      <x:c r="H92" s="25"/>
      <x:c r="I92" s="25"/>
      <x:c r="J92" s="25"/>
      <x:c r="K92" s="24"/>
      <x:c r="L92" s="25"/>
      <x:c r="M92" s="94"/>
      <x:c r="N92" s="94"/>
      <x:c r="O92" s="26">
        <x:f t="shared" si="3"/>
        <x:v>0</x:v>
      </x:c>
      <x:c r="P92" s="23"/>
      <x:c r="Q92" s="23"/>
      <x:c r="R92" s="23"/>
    </x:row>
    <x:row r="93" ht="18.75" customHeight="1">
      <x:c r="A93" s="19"/>
      <x:c r="B93" s="29"/>
      <x:c r="C93" s="21"/>
      <x:c r="D93" s="35"/>
      <x:c r="E93" s="56"/>
      <x:c r="F93" s="23"/>
      <x:c r="G93" s="25"/>
      <x:c r="H93" s="25"/>
      <x:c r="I93" s="25"/>
      <x:c r="J93" s="25"/>
      <x:c r="K93" s="25"/>
      <x:c r="L93" s="25"/>
      <x:c r="M93" s="94"/>
      <x:c r="N93" s="94"/>
      <x:c r="O93" s="26">
        <x:f t="shared" si="3"/>
        <x:v>0</x:v>
      </x:c>
      <x:c r="P93" s="23"/>
      <x:c r="Q93" s="23"/>
      <x:c r="R93" s="23"/>
    </x:row>
    <x:row r="94" ht="18.75" customHeight="1">
      <x:c r="A94" s="19"/>
      <x:c r="B94" s="29"/>
      <x:c r="C94" s="21"/>
      <x:c r="D94" s="35"/>
      <x:c r="E94" s="56"/>
      <x:c r="F94" s="23"/>
      <x:c r="G94" s="25"/>
      <x:c r="H94" s="25"/>
      <x:c r="I94" s="25"/>
      <x:c r="J94" s="25"/>
      <x:c r="K94" s="25"/>
      <x:c r="L94" s="24"/>
      <x:c r="M94" s="94"/>
      <x:c r="N94" s="94"/>
      <x:c r="O94" s="26">
        <x:f t="shared" si="3"/>
        <x:v>0</x:v>
      </x:c>
      <x:c r="P94" s="23"/>
      <x:c r="Q94" s="23"/>
      <x:c r="R94" s="23"/>
    </x:row>
    <x:row r="95" ht="18.75" customHeight="1">
      <x:c r="A95" s="19"/>
      <x:c r="B95" s="29"/>
      <x:c r="C95" s="21"/>
      <x:c r="D95" s="55"/>
      <x:c r="E95" s="56"/>
      <x:c r="F95" s="23"/>
      <x:c r="G95" s="25"/>
      <x:c r="H95" s="25"/>
      <x:c r="I95" s="25"/>
      <x:c r="J95" s="25"/>
      <x:c r="K95" s="24"/>
      <x:c r="L95" s="25"/>
      <x:c r="M95" s="94"/>
      <x:c r="N95" s="94"/>
      <x:c r="O95" s="26">
        <x:f t="shared" si="3"/>
        <x:v>0</x:v>
      </x:c>
      <x:c r="P95" s="23"/>
      <x:c r="Q95" s="23"/>
      <x:c r="R95" s="23"/>
    </x:row>
    <x:row r="96" ht="18.75" customHeight="1">
      <x:c r="A96" s="19"/>
      <x:c r="B96" s="29"/>
      <x:c r="C96" s="21"/>
      <x:c r="D96" s="55"/>
      <x:c r="E96" s="23"/>
      <x:c r="F96" s="23"/>
      <x:c r="G96" s="25"/>
      <x:c r="H96" s="25"/>
      <x:c r="I96" s="25"/>
      <x:c r="J96" s="25"/>
      <x:c r="K96" s="25"/>
      <x:c r="L96" s="25"/>
      <x:c r="M96" s="94"/>
      <x:c r="N96" s="94"/>
      <x:c r="O96" s="26">
        <x:f t="shared" si="3"/>
        <x:v>0</x:v>
      </x:c>
      <x:c r="P96" s="23"/>
      <x:c r="Q96" s="23"/>
      <x:c r="R96" s="23"/>
    </x:row>
    <x:row r="97" ht="18.75" customHeight="1">
      <x:c r="A97" s="19"/>
      <x:c r="B97" s="29"/>
      <x:c r="C97" s="21"/>
      <x:c r="D97" s="55"/>
      <x:c r="E97" s="23"/>
      <x:c r="F97" s="23"/>
      <x:c r="G97" s="25"/>
      <x:c r="H97" s="25"/>
      <x:c r="I97" s="25"/>
      <x:c r="J97" s="25"/>
      <x:c r="K97" s="24"/>
      <x:c r="L97" s="24"/>
      <x:c r="M97" s="94"/>
      <x:c r="N97" s="94"/>
      <x:c r="O97" s="26">
        <x:f t="shared" si="3"/>
        <x:v>0</x:v>
      </x:c>
      <x:c r="P97" s="23"/>
      <x:c r="Q97" s="23"/>
      <x:c r="R97" s="23"/>
    </x:row>
    <x:row r="98" ht="18.75" customHeight="1">
      <x:c r="A98" s="19"/>
      <x:c r="B98" s="29"/>
      <x:c r="C98" s="21"/>
      <x:c r="D98" s="35"/>
      <x:c r="E98" s="56"/>
      <x:c r="F98" s="23"/>
      <x:c r="G98" s="25"/>
      <x:c r="H98" s="25"/>
      <x:c r="I98" s="25"/>
      <x:c r="J98" s="25"/>
      <x:c r="K98" s="25"/>
      <x:c r="L98" s="24"/>
      <x:c r="M98" s="94"/>
      <x:c r="N98" s="94"/>
      <x:c r="O98" s="26">
        <x:f t="shared" si="3"/>
        <x:v>0</x:v>
      </x:c>
      <x:c r="P98" s="23"/>
      <x:c r="Q98" s="23"/>
      <x:c r="R98" s="23"/>
    </x:row>
    <x:row r="99" ht="18.75" customHeight="1">
      <x:c r="A99" s="19"/>
      <x:c r="B99" s="29"/>
      <x:c r="C99" s="21"/>
      <x:c r="D99" s="35"/>
      <x:c r="E99" s="56"/>
      <x:c r="F99" s="23"/>
      <x:c r="G99" s="25"/>
      <x:c r="H99" s="25"/>
      <x:c r="I99" s="25"/>
      <x:c r="J99" s="25"/>
      <x:c r="K99" s="25"/>
      <x:c r="L99" s="25"/>
      <x:c r="M99" s="94"/>
      <x:c r="N99" s="94"/>
      <x:c r="O99" s="26">
        <x:f t="shared" si="3"/>
        <x:v>0</x:v>
      </x:c>
      <x:c r="P99" s="23"/>
      <x:c r="Q99" s="23"/>
      <x:c r="R99" s="23"/>
    </x:row>
    <x:row r="100" ht="18.75" customHeight="1">
      <x:c r="A100" s="19"/>
      <x:c r="B100" s="29"/>
      <x:c r="C100" s="21"/>
      <x:c r="D100" s="55"/>
      <x:c r="E100" s="23"/>
      <x:c r="F100" s="23"/>
      <x:c r="G100" s="25"/>
      <x:c r="H100" s="25"/>
      <x:c r="I100" s="25"/>
      <x:c r="J100" s="25"/>
      <x:c r="K100" s="24"/>
      <x:c r="L100" s="24"/>
      <x:c r="M100" s="94"/>
      <x:c r="N100" s="94"/>
      <x:c r="O100" s="26">
        <x:f t="shared" si="3"/>
        <x:v>0</x:v>
      </x:c>
      <x:c r="P100" s="23"/>
      <x:c r="Q100" s="23"/>
      <x:c r="R100" s="23"/>
    </x:row>
    <x:row r="101" ht="18.75" customHeight="1">
      <x:c r="A101" s="19"/>
      <x:c r="B101" s="29"/>
      <x:c r="C101" s="21"/>
      <x:c r="D101" s="55"/>
      <x:c r="E101" s="56"/>
      <x:c r="F101" s="23"/>
      <x:c r="G101" s="25"/>
      <x:c r="H101" s="25"/>
      <x:c r="I101" s="25"/>
      <x:c r="J101" s="25"/>
      <x:c r="K101" s="25"/>
      <x:c r="L101" s="24"/>
      <x:c r="M101" s="94"/>
      <x:c r="N101" s="94"/>
      <x:c r="O101" s="26">
        <x:f t="shared" si="3"/>
        <x:v>0</x:v>
      </x:c>
      <x:c r="P101" s="23"/>
      <x:c r="Q101" s="23"/>
      <x:c r="R101" s="23"/>
    </x:row>
    <x:row r="102" ht="18.75" customHeight="1">
      <x:c r="A102" s="19"/>
      <x:c r="B102" s="29"/>
      <x:c r="C102" s="21"/>
      <x:c r="D102" s="35"/>
      <x:c r="E102" s="56"/>
      <x:c r="F102" s="23"/>
      <x:c r="G102" s="25"/>
      <x:c r="H102" s="25"/>
      <x:c r="I102" s="25"/>
      <x:c r="J102" s="25"/>
      <x:c r="K102" s="25"/>
      <x:c r="L102" s="24"/>
      <x:c r="M102" s="94"/>
      <x:c r="N102" s="94"/>
      <x:c r="O102" s="26">
        <x:f t="shared" si="3"/>
        <x:v>0</x:v>
      </x:c>
      <x:c r="P102" s="23"/>
      <x:c r="Q102" s="23"/>
      <x:c r="R102" s="23"/>
    </x:row>
    <x:row r="103" ht="18.75" customHeight="1">
      <x:c r="A103" s="19"/>
      <x:c r="B103" s="29"/>
      <x:c r="C103" s="21"/>
      <x:c r="D103" s="55"/>
      <x:c r="E103" s="56"/>
      <x:c r="F103" s="23"/>
      <x:c r="G103" s="25"/>
      <x:c r="H103" s="25"/>
      <x:c r="I103" s="25"/>
      <x:c r="J103" s="25"/>
      <x:c r="K103" s="25"/>
      <x:c r="L103" s="24"/>
      <x:c r="M103" s="94"/>
      <x:c r="N103" s="94"/>
      <x:c r="O103" s="26">
        <x:f t="shared" si="3"/>
        <x:v>0</x:v>
      </x:c>
      <x:c r="P103" s="23"/>
      <x:c r="Q103" s="23"/>
      <x:c r="R103" s="23"/>
    </x:row>
    <x:row r="104" ht="18.75" customHeight="1">
      <x:c r="A104" s="19"/>
      <x:c r="B104" s="29"/>
      <x:c r="C104" s="21"/>
      <x:c r="D104" s="55"/>
      <x:c r="E104" s="56"/>
      <x:c r="F104" s="23"/>
      <x:c r="G104" s="25"/>
      <x:c r="H104" s="25"/>
      <x:c r="I104" s="25"/>
      <x:c r="J104" s="25"/>
      <x:c r="K104" s="24"/>
      <x:c r="L104" s="25"/>
      <x:c r="M104" s="94"/>
      <x:c r="N104" s="94"/>
      <x:c r="O104" s="26">
        <x:f t="shared" si="3"/>
        <x:v>0</x:v>
      </x:c>
      <x:c r="P104" s="23"/>
      <x:c r="Q104" s="23"/>
      <x:c r="R104" s="23"/>
    </x:row>
    <x:row r="105" ht="18.75" customHeight="1">
      <x:c r="A105" s="19"/>
      <x:c r="B105" s="29"/>
      <x:c r="C105" s="21"/>
      <x:c r="D105" s="55"/>
      <x:c r="E105" s="56"/>
      <x:c r="F105" s="23"/>
      <x:c r="G105" s="25"/>
      <x:c r="H105" s="25"/>
      <x:c r="I105" s="25"/>
      <x:c r="J105" s="25"/>
      <x:c r="K105" s="25"/>
      <x:c r="L105" s="25"/>
      <x:c r="M105" s="94"/>
      <x:c r="N105" s="94"/>
      <x:c r="O105" s="26">
        <x:f t="shared" si="3"/>
        <x:v>0</x:v>
      </x:c>
      <x:c r="P105" s="23"/>
      <x:c r="Q105" s="23"/>
      <x:c r="R105" s="23"/>
    </x:row>
    <x:row r="106" ht="18.75" customHeight="1">
      <x:c r="A106" s="19"/>
      <x:c r="B106" s="29"/>
      <x:c r="C106" s="21"/>
      <x:c r="D106" s="35"/>
      <x:c r="E106" s="56"/>
      <x:c r="F106" s="23"/>
      <x:c r="G106" s="25"/>
      <x:c r="H106" s="25"/>
      <x:c r="I106" s="25"/>
      <x:c r="J106" s="25"/>
      <x:c r="K106" s="24"/>
      <x:c r="L106" s="25"/>
      <x:c r="M106" s="94"/>
      <x:c r="N106" s="94"/>
      <x:c r="O106" s="26">
        <x:f t="shared" si="3"/>
        <x:v>0</x:v>
      </x:c>
      <x:c r="P106" s="23"/>
      <x:c r="Q106" s="23"/>
      <x:c r="R106" s="23"/>
    </x:row>
    <x:row r="107" ht="18.75" customHeight="1">
      <x:c r="A107" s="19"/>
      <x:c r="B107" s="29"/>
      <x:c r="C107" s="21"/>
      <x:c r="D107" s="55"/>
      <x:c r="E107" s="56"/>
      <x:c r="F107" s="23"/>
      <x:c r="G107" s="25"/>
      <x:c r="H107" s="25"/>
      <x:c r="I107" s="25"/>
      <x:c r="J107" s="25"/>
      <x:c r="K107" s="24"/>
      <x:c r="L107" s="25"/>
      <x:c r="M107" s="94"/>
      <x:c r="N107" s="94"/>
      <x:c r="O107" s="26">
        <x:f t="shared" si="3"/>
        <x:v>0</x:v>
      </x:c>
      <x:c r="P107" s="23"/>
      <x:c r="Q107" s="23"/>
      <x:c r="R107" s="23"/>
    </x:row>
    <x:row r="108" ht="18.75" customHeight="1">
      <x:c r="A108" s="19"/>
      <x:c r="B108" s="29"/>
      <x:c r="C108" s="21"/>
      <x:c r="D108" s="55"/>
      <x:c r="E108" s="56"/>
      <x:c r="F108" s="23"/>
      <x:c r="G108" s="24"/>
      <x:c r="H108" s="25"/>
      <x:c r="I108" s="25"/>
      <x:c r="J108" s="25"/>
      <x:c r="K108" s="25"/>
      <x:c r="L108" s="25"/>
      <x:c r="M108" s="94"/>
      <x:c r="N108" s="94"/>
      <x:c r="O108" s="26">
        <x:f t="shared" si="3"/>
        <x:v>0</x:v>
      </x:c>
      <x:c r="P108" s="23"/>
      <x:c r="Q108" s="23"/>
      <x:c r="R108" s="23"/>
    </x:row>
    <x:row r="109" ht="18.75" customHeight="1">
      <x:c r="A109" s="19"/>
      <x:c r="B109" s="29"/>
      <x:c r="C109" s="21"/>
      <x:c r="D109" s="35"/>
      <x:c r="E109" s="56"/>
      <x:c r="F109" s="23"/>
      <x:c r="G109" s="25"/>
      <x:c r="H109" s="25"/>
      <x:c r="I109" s="25"/>
      <x:c r="J109" s="25"/>
      <x:c r="K109" s="25"/>
      <x:c r="L109" s="24"/>
      <x:c r="M109" s="94"/>
      <x:c r="N109" s="94"/>
      <x:c r="O109" s="26">
        <x:f t="shared" si="3"/>
        <x:v>0</x:v>
      </x:c>
      <x:c r="P109" s="23"/>
      <x:c r="Q109" s="23"/>
      <x:c r="R109" s="23"/>
    </x:row>
    <x:row r="110" ht="18.75" customHeight="1">
      <x:c r="A110" s="19"/>
      <x:c r="B110" s="29"/>
      <x:c r="C110" s="21"/>
      <x:c r="D110" s="55"/>
      <x:c r="E110" s="56"/>
      <x:c r="F110" s="23"/>
      <x:c r="G110" s="25"/>
      <x:c r="H110" s="25"/>
      <x:c r="I110" s="25"/>
      <x:c r="J110" s="25"/>
      <x:c r="K110" s="24"/>
      <x:c r="L110" s="24"/>
      <x:c r="M110" s="94"/>
      <x:c r="N110" s="94"/>
      <x:c r="O110" s="26">
        <x:f t="shared" si="3"/>
        <x:v>0</x:v>
      </x:c>
      <x:c r="P110" s="23"/>
      <x:c r="Q110" s="23"/>
      <x:c r="R110" s="23"/>
    </x:row>
    <x:row r="111" ht="18.75" customHeight="1">
      <x:c r="A111" s="19"/>
      <x:c r="B111" s="20"/>
      <x:c r="C111" s="21"/>
      <x:c r="D111" s="55"/>
      <x:c r="E111" s="56"/>
      <x:c r="F111" s="23"/>
      <x:c r="G111" s="24"/>
      <x:c r="H111" s="25"/>
      <x:c r="I111" s="25"/>
      <x:c r="J111" s="25"/>
      <x:c r="K111" s="24"/>
      <x:c r="L111" s="25"/>
      <x:c r="M111" s="94"/>
      <x:c r="N111" s="94"/>
      <x:c r="O111" s="26">
        <x:f t="shared" si="3"/>
        <x:v>0</x:v>
      </x:c>
      <x:c r="P111" s="23"/>
      <x:c r="Q111" s="23"/>
      <x:c r="R111" s="23"/>
    </x:row>
    <x:row r="112" ht="18.75" customHeight="1">
      <x:c r="A112" s="19"/>
      <x:c r="B112" s="29"/>
      <x:c r="C112" s="21"/>
      <x:c r="D112" s="35"/>
      <x:c r="E112" s="56"/>
      <x:c r="F112" s="23"/>
      <x:c r="G112" s="25"/>
      <x:c r="H112" s="25"/>
      <x:c r="I112" s="25"/>
      <x:c r="J112" s="25"/>
      <x:c r="K112" s="25"/>
      <x:c r="L112" s="24"/>
      <x:c r="M112" s="94"/>
      <x:c r="N112" s="94"/>
      <x:c r="O112" s="26">
        <x:f t="shared" si="3"/>
        <x:v>0</x:v>
      </x:c>
      <x:c r="P112" s="23"/>
      <x:c r="Q112" s="23"/>
      <x:c r="R112" s="23"/>
    </x:row>
    <x:row r="113" ht="18.75" customHeight="1">
      <x:c r="A113" s="19"/>
      <x:c r="B113" s="29"/>
      <x:c r="C113" s="21"/>
      <x:c r="D113" s="55"/>
      <x:c r="E113" s="56"/>
      <x:c r="F113" s="23"/>
      <x:c r="G113" s="25"/>
      <x:c r="H113" s="25"/>
      <x:c r="I113" s="25"/>
      <x:c r="J113" s="25"/>
      <x:c r="K113" s="25"/>
      <x:c r="L113" s="24"/>
      <x:c r="M113" s="94"/>
      <x:c r="N113" s="94"/>
      <x:c r="O113" s="26">
        <x:f t="shared" si="3"/>
        <x:v>0</x:v>
      </x:c>
      <x:c r="P113" s="23"/>
      <x:c r="Q113" s="23"/>
      <x:c r="R113" s="23"/>
    </x:row>
    <x:row r="114" ht="18.75" customHeight="1">
      <x:c r="A114" s="19"/>
      <x:c r="B114" s="29"/>
      <x:c r="C114" s="21"/>
      <x:c r="D114" s="55"/>
      <x:c r="E114" s="56"/>
      <x:c r="F114" s="23"/>
      <x:c r="G114" s="25"/>
      <x:c r="H114" s="25"/>
      <x:c r="I114" s="25"/>
      <x:c r="J114" s="25"/>
      <x:c r="K114" s="25"/>
      <x:c r="L114" s="24"/>
      <x:c r="M114" s="94"/>
      <x:c r="N114" s="94"/>
      <x:c r="O114" s="26">
        <x:f t="shared" si="3"/>
        <x:v>0</x:v>
      </x:c>
      <x:c r="P114" s="23"/>
      <x:c r="Q114" s="23"/>
      <x:c r="R114" s="23"/>
    </x:row>
    <x:row r="115" ht="18.75" customHeight="1">
      <x:c r="A115" s="19"/>
      <x:c r="B115" s="29"/>
      <x:c r="C115" s="21"/>
      <x:c r="D115" s="55"/>
      <x:c r="E115" s="56"/>
      <x:c r="F115" s="23"/>
      <x:c r="G115" s="25"/>
      <x:c r="H115" s="25"/>
      <x:c r="I115" s="25"/>
      <x:c r="J115" s="25"/>
      <x:c r="K115" s="25"/>
      <x:c r="L115" s="25"/>
      <x:c r="M115" s="94"/>
      <x:c r="N115" s="94"/>
      <x:c r="O115" s="26">
        <x:f t="shared" si="3"/>
        <x:v>0</x:v>
      </x:c>
      <x:c r="P115" s="23"/>
      <x:c r="Q115" s="23"/>
      <x:c r="R115" s="23"/>
    </x:row>
    <x:row r="116" ht="18.75" customHeight="1">
      <x:c r="A116" s="19"/>
      <x:c r="B116" s="29"/>
      <x:c r="C116" s="21"/>
      <x:c r="D116" s="55"/>
      <x:c r="E116" s="56"/>
      <x:c r="F116" s="23"/>
      <x:c r="G116" s="25"/>
      <x:c r="H116" s="25"/>
      <x:c r="I116" s="25"/>
      <x:c r="J116" s="25"/>
      <x:c r="K116" s="24"/>
      <x:c r="L116" s="25"/>
      <x:c r="M116" s="94"/>
      <x:c r="N116" s="94"/>
      <x:c r="O116" s="26">
        <x:f t="shared" si="3"/>
        <x:v>0</x:v>
      </x:c>
      <x:c r="P116" s="23"/>
      <x:c r="Q116" s="23"/>
      <x:c r="R116" s="23"/>
    </x:row>
    <x:row r="117" ht="18.75" customHeight="1">
      <x:c r="A117" s="19"/>
      <x:c r="B117" s="29"/>
      <x:c r="C117" s="21"/>
      <x:c r="D117" s="55"/>
      <x:c r="E117" s="56"/>
      <x:c r="F117" s="23"/>
      <x:c r="G117" s="25"/>
      <x:c r="H117" s="25"/>
      <x:c r="I117" s="25"/>
      <x:c r="J117" s="25"/>
      <x:c r="K117" s="25"/>
      <x:c r="L117" s="25"/>
      <x:c r="M117" s="94"/>
      <x:c r="N117" s="94"/>
      <x:c r="O117" s="26">
        <x:f t="shared" si="3"/>
        <x:v>0</x:v>
      </x:c>
      <x:c r="P117" s="23"/>
      <x:c r="Q117" s="23"/>
      <x:c r="R117" s="23"/>
    </x:row>
    <x:row r="118" ht="18.75" customHeight="1">
      <x:c r="A118" s="19"/>
      <x:c r="B118" s="29"/>
      <x:c r="C118" s="21"/>
      <x:c r="D118" s="35"/>
      <x:c r="E118" s="56"/>
      <x:c r="F118" s="23"/>
      <x:c r="G118" s="25"/>
      <x:c r="H118" s="25"/>
      <x:c r="I118" s="25"/>
      <x:c r="J118" s="25"/>
      <x:c r="K118" s="24"/>
      <x:c r="L118" s="25"/>
      <x:c r="M118" s="94"/>
      <x:c r="N118" s="94"/>
      <x:c r="O118" s="26">
        <x:f t="shared" si="3"/>
        <x:v>0</x:v>
      </x:c>
      <x:c r="P118" s="23"/>
      <x:c r="Q118" s="23"/>
      <x:c r="R118" s="23"/>
    </x:row>
    <x:row r="119" ht="18.75" customHeight="1">
      <x:c r="A119" s="19"/>
      <x:c r="B119" s="29"/>
      <x:c r="C119" s="21"/>
      <x:c r="D119" s="55"/>
      <x:c r="E119" s="56"/>
      <x:c r="F119" s="23"/>
      <x:c r="G119" s="25"/>
      <x:c r="H119" s="25"/>
      <x:c r="I119" s="25"/>
      <x:c r="J119" s="25"/>
      <x:c r="K119" s="25"/>
      <x:c r="L119" s="25"/>
      <x:c r="M119" s="94"/>
      <x:c r="N119" s="94"/>
      <x:c r="O119" s="26">
        <x:f t="shared" si="3"/>
        <x:v>0</x:v>
      </x:c>
      <x:c r="P119" s="23"/>
      <x:c r="Q119" s="23"/>
      <x:c r="R119" s="23"/>
    </x:row>
    <x:row r="120" ht="18.75" customHeight="1">
      <x:c r="A120" s="19"/>
      <x:c r="B120" s="29"/>
      <x:c r="C120" s="21"/>
      <x:c r="D120" s="55"/>
      <x:c r="E120" s="56"/>
      <x:c r="F120" s="23"/>
      <x:c r="G120" s="25"/>
      <x:c r="H120" s="25"/>
      <x:c r="I120" s="25"/>
      <x:c r="J120" s="25"/>
      <x:c r="K120" s="25"/>
      <x:c r="L120" s="24"/>
      <x:c r="M120" s="94"/>
      <x:c r="N120" s="94"/>
      <x:c r="O120" s="26">
        <x:f t="shared" si="3"/>
        <x:v>0</x:v>
      </x:c>
      <x:c r="P120" s="23"/>
      <x:c r="Q120" s="23"/>
      <x:c r="R120" s="23"/>
    </x:row>
    <x:row r="121" ht="18.75" customHeight="1">
      <x:c r="A121" s="19"/>
      <x:c r="B121" s="29"/>
      <x:c r="C121" s="21"/>
      <x:c r="D121" s="55"/>
      <x:c r="E121" s="56"/>
      <x:c r="F121" s="23"/>
      <x:c r="G121" s="25"/>
      <x:c r="H121" s="25"/>
      <x:c r="I121" s="25"/>
      <x:c r="J121" s="25"/>
      <x:c r="K121" s="25"/>
      <x:c r="L121" s="25"/>
      <x:c r="M121" s="94"/>
      <x:c r="N121" s="94"/>
      <x:c r="O121" s="26">
        <x:f t="shared" si="3"/>
        <x:v>0</x:v>
      </x:c>
      <x:c r="P121" s="23"/>
      <x:c r="Q121" s="23"/>
      <x:c r="R121" s="23"/>
    </x:row>
    <x:row r="122" ht="18.75" customHeight="1">
      <x:c r="A122" s="19"/>
      <x:c r="B122" s="29"/>
      <x:c r="C122" s="21"/>
      <x:c r="D122" s="55"/>
      <x:c r="E122" s="56"/>
      <x:c r="F122" s="23"/>
      <x:c r="G122" s="25"/>
      <x:c r="H122" s="25"/>
      <x:c r="I122" s="25"/>
      <x:c r="J122" s="25"/>
      <x:c r="K122" s="25"/>
      <x:c r="L122" s="25"/>
      <x:c r="M122" s="94"/>
      <x:c r="N122" s="94"/>
      <x:c r="O122" s="26">
        <x:f t="shared" si="3"/>
        <x:v>0</x:v>
      </x:c>
      <x:c r="P122" s="23"/>
      <x:c r="Q122" s="23"/>
      <x:c r="R122" s="23"/>
    </x:row>
    <x:row r="123" ht="18.75" customHeight="1">
      <x:c r="A123" s="19"/>
      <x:c r="B123" s="29"/>
      <x:c r="C123" s="21"/>
      <x:c r="D123" s="55"/>
      <x:c r="E123" s="56"/>
      <x:c r="F123" s="23"/>
      <x:c r="G123" s="25"/>
      <x:c r="H123" s="25"/>
      <x:c r="I123" s="25"/>
      <x:c r="J123" s="25"/>
      <x:c r="K123" s="25"/>
      <x:c r="L123" s="25"/>
      <x:c r="M123" s="94"/>
      <x:c r="N123" s="94"/>
      <x:c r="O123" s="26">
        <x:f t="shared" si="3"/>
        <x:v>0</x:v>
      </x:c>
      <x:c r="P123" s="23"/>
      <x:c r="Q123" s="23"/>
      <x:c r="R123" s="23"/>
    </x:row>
    <x:row r="124" ht="18.75" customHeight="1">
      <x:c r="A124" s="19"/>
      <x:c r="B124" s="29"/>
      <x:c r="C124" s="21"/>
      <x:c r="D124" s="55"/>
      <x:c r="E124" s="56"/>
      <x:c r="F124" s="23"/>
      <x:c r="G124" s="25"/>
      <x:c r="H124" s="25"/>
      <x:c r="I124" s="25"/>
      <x:c r="J124" s="25"/>
      <x:c r="K124" s="25"/>
      <x:c r="L124" s="25"/>
      <x:c r="M124" s="94"/>
      <x:c r="N124" s="94"/>
      <x:c r="O124" s="26">
        <x:f t="shared" si="3"/>
        <x:v>0</x:v>
      </x:c>
      <x:c r="P124" s="23"/>
      <x:c r="Q124" s="23"/>
      <x:c r="R124" s="23"/>
    </x:row>
    <x:row r="125" ht="18.75" customHeight="1">
      <x:c r="A125" s="19"/>
      <x:c r="B125" s="29"/>
      <x:c r="C125" s="21"/>
      <x:c r="D125" s="55"/>
      <x:c r="E125" s="56"/>
      <x:c r="F125" s="23"/>
      <x:c r="G125" s="25"/>
      <x:c r="H125" s="25"/>
      <x:c r="I125" s="25"/>
      <x:c r="J125" s="25"/>
      <x:c r="K125" s="25"/>
      <x:c r="L125" s="24"/>
      <x:c r="M125" s="94"/>
      <x:c r="N125" s="94"/>
      <x:c r="O125" s="26">
        <x:f t="shared" si="3"/>
        <x:v>0</x:v>
      </x:c>
      <x:c r="P125" s="23"/>
      <x:c r="Q125" s="23"/>
      <x:c r="R125" s="23"/>
    </x:row>
    <x:row r="126" ht="18.75" customHeight="1">
      <x:c r="A126" s="19"/>
      <x:c r="B126" s="29"/>
      <x:c r="C126" s="21"/>
      <x:c r="D126" s="55"/>
      <x:c r="E126" s="56"/>
      <x:c r="F126" s="23"/>
      <x:c r="G126" s="24"/>
      <x:c r="H126" s="25"/>
      <x:c r="I126" s="25"/>
      <x:c r="J126" s="25"/>
      <x:c r="K126" s="24"/>
      <x:c r="L126" s="25"/>
      <x:c r="M126" s="94"/>
      <x:c r="N126" s="94"/>
      <x:c r="O126" s="26">
        <x:f t="shared" si="3"/>
        <x:v>0</x:v>
      </x:c>
      <x:c r="P126" s="23"/>
      <x:c r="Q126" s="23"/>
      <x:c r="R126" s="23"/>
    </x:row>
    <x:row r="127" ht="18.75" customHeight="1">
      <x:c r="A127" s="19"/>
      <x:c r="B127" s="29"/>
      <x:c r="C127" s="21"/>
      <x:c r="D127" s="55"/>
      <x:c r="E127" s="56"/>
      <x:c r="F127" s="23"/>
      <x:c r="G127" s="25"/>
      <x:c r="H127" s="25"/>
      <x:c r="I127" s="25"/>
      <x:c r="J127" s="25"/>
      <x:c r="K127" s="24"/>
      <x:c r="L127" s="24"/>
      <x:c r="M127" s="94"/>
      <x:c r="N127" s="94"/>
      <x:c r="O127" s="26">
        <x:f t="shared" si="3"/>
        <x:v>0</x:v>
      </x:c>
      <x:c r="P127" s="23"/>
      <x:c r="Q127" s="23"/>
      <x:c r="R127" s="23"/>
    </x:row>
    <x:row r="128" ht="18.75" customHeight="1">
      <x:c r="A128" s="19"/>
      <x:c r="B128" s="29"/>
      <x:c r="C128" s="21"/>
      <x:c r="D128" s="55"/>
      <x:c r="E128" s="56"/>
      <x:c r="F128" s="23"/>
      <x:c r="G128" s="25"/>
      <x:c r="H128" s="25"/>
      <x:c r="I128" s="25"/>
      <x:c r="J128" s="25"/>
      <x:c r="K128" s="24"/>
      <x:c r="L128" s="25"/>
      <x:c r="M128" s="94"/>
      <x:c r="N128" s="94"/>
      <x:c r="O128" s="26">
        <x:f t="shared" si="3"/>
        <x:v>0</x:v>
      </x:c>
      <x:c r="P128" s="23"/>
      <x:c r="Q128" s="23"/>
      <x:c r="R128" s="23"/>
    </x:row>
    <x:row r="129" ht="18.75" customHeight="1">
      <x:c r="A129" s="19"/>
      <x:c r="B129" s="29"/>
      <x:c r="C129" s="21"/>
      <x:c r="D129" s="55"/>
      <x:c r="E129" s="56"/>
      <x:c r="F129" s="23"/>
      <x:c r="G129" s="25"/>
      <x:c r="H129" s="25"/>
      <x:c r="I129" s="25"/>
      <x:c r="J129" s="25"/>
      <x:c r="K129" s="25"/>
      <x:c r="L129" s="24"/>
      <x:c r="M129" s="94"/>
      <x:c r="N129" s="94"/>
      <x:c r="O129" s="26">
        <x:f t="shared" si="3"/>
        <x:v>0</x:v>
      </x:c>
      <x:c r="P129" s="23"/>
      <x:c r="Q129" s="23"/>
      <x:c r="R129" s="23"/>
    </x:row>
    <x:row r="130" ht="18.75" customHeight="1">
      <x:c r="A130" s="19"/>
      <x:c r="B130" s="29"/>
      <x:c r="C130" s="21"/>
      <x:c r="D130" s="35"/>
      <x:c r="E130" s="56"/>
      <x:c r="F130" s="23"/>
      <x:c r="G130" s="25"/>
      <x:c r="H130" s="25"/>
      <x:c r="I130" s="25"/>
      <x:c r="J130" s="25"/>
      <x:c r="K130" s="25"/>
      <x:c r="L130" s="25"/>
      <x:c r="M130" s="94"/>
      <x:c r="N130" s="94"/>
      <x:c r="O130" s="26">
        <x:f t="shared" si="3"/>
        <x:v>0</x:v>
      </x:c>
      <x:c r="P130" s="23"/>
      <x:c r="Q130" s="23"/>
      <x:c r="R130" s="23"/>
    </x:row>
    <x:row r="131" ht="18.75" customHeight="1">
      <x:c r="A131" s="19"/>
      <x:c r="B131" s="29"/>
      <x:c r="C131" s="21"/>
      <x:c r="D131" s="55"/>
      <x:c r="E131" s="56"/>
      <x:c r="F131" s="23"/>
      <x:c r="G131" s="25"/>
      <x:c r="H131" s="25"/>
      <x:c r="I131" s="25"/>
      <x:c r="J131" s="25"/>
      <x:c r="K131" s="25"/>
      <x:c r="L131" s="25"/>
      <x:c r="M131" s="94"/>
      <x:c r="N131" s="94"/>
      <x:c r="O131" s="26">
        <x:f t="shared" si="3"/>
        <x:v>0</x:v>
      </x:c>
      <x:c r="P131" s="23"/>
      <x:c r="Q131" s="23"/>
      <x:c r="R131" s="23"/>
    </x:row>
    <x:row r="132" ht="18.75" customHeight="1">
      <x:c r="A132" s="19"/>
      <x:c r="B132" s="29"/>
      <x:c r="C132" s="21"/>
      <x:c r="D132" s="55"/>
      <x:c r="E132" s="56"/>
      <x:c r="F132" s="23"/>
      <x:c r="G132" s="25"/>
      <x:c r="H132" s="25"/>
      <x:c r="I132" s="25"/>
      <x:c r="J132" s="25"/>
      <x:c r="K132" s="25"/>
      <x:c r="L132" s="25"/>
      <x:c r="M132" s="94"/>
      <x:c r="N132" s="94"/>
      <x:c r="O132" s="26">
        <x:f t="shared" si="3"/>
        <x:v>0</x:v>
      </x:c>
      <x:c r="P132" s="23"/>
      <x:c r="Q132" s="23"/>
      <x:c r="R132" s="23"/>
    </x:row>
    <x:row r="133" ht="18.75" customHeight="1">
      <x:c r="A133" s="19"/>
      <x:c r="B133" s="29"/>
      <x:c r="C133" s="21"/>
      <x:c r="D133" s="55"/>
      <x:c r="E133" s="56"/>
      <x:c r="F133" s="23"/>
      <x:c r="G133" s="25"/>
      <x:c r="H133" s="25"/>
      <x:c r="I133" s="25"/>
      <x:c r="J133" s="25"/>
      <x:c r="K133" s="25"/>
      <x:c r="L133" s="25"/>
      <x:c r="M133" s="94"/>
      <x:c r="N133" s="94"/>
      <x:c r="O133" s="26">
        <x:f t="shared" si="3"/>
        <x:v>0</x:v>
      </x:c>
      <x:c r="P133" s="23"/>
      <x:c r="Q133" s="23"/>
      <x:c r="R133" s="23"/>
    </x:row>
    <x:row r="134" ht="18.75" customHeight="1">
      <x:c r="A134" s="19"/>
      <x:c r="B134" s="29"/>
      <x:c r="C134" s="21"/>
      <x:c r="D134" s="55"/>
      <x:c r="E134" s="56"/>
      <x:c r="F134" s="23"/>
      <x:c r="G134" s="25"/>
      <x:c r="H134" s="25"/>
      <x:c r="I134" s="25"/>
      <x:c r="J134" s="25"/>
      <x:c r="K134" s="25"/>
      <x:c r="L134" s="25"/>
      <x:c r="M134" s="94"/>
      <x:c r="N134" s="94"/>
      <x:c r="O134" s="26">
        <x:f t="shared" si="3"/>
        <x:v>0</x:v>
      </x:c>
      <x:c r="P134" s="23"/>
      <x:c r="Q134" s="23"/>
      <x:c r="R134" s="23"/>
    </x:row>
    <x:row r="135" ht="18.75" customHeight="1">
      <x:c r="A135" s="19"/>
      <x:c r="B135" s="29"/>
      <x:c r="C135" s="21"/>
      <x:c r="D135" s="55"/>
      <x:c r="E135" s="56"/>
      <x:c r="F135" s="23"/>
      <x:c r="G135" s="25"/>
      <x:c r="H135" s="25"/>
      <x:c r="I135" s="25"/>
      <x:c r="J135" s="25"/>
      <x:c r="K135" s="25"/>
      <x:c r="L135" s="25"/>
      <x:c r="M135" s="94"/>
      <x:c r="N135" s="94"/>
      <x:c r="O135" s="26">
        <x:f t="shared" si="3"/>
        <x:v>0</x:v>
      </x:c>
      <x:c r="P135" s="23"/>
      <x:c r="Q135" s="23"/>
      <x:c r="R135" s="23"/>
    </x:row>
    <x:row r="136" ht="18.75" customHeight="1">
      <x:c r="A136" s="19"/>
      <x:c r="B136" s="29"/>
      <x:c r="C136" s="21"/>
      <x:c r="D136" s="55"/>
      <x:c r="E136" s="56"/>
      <x:c r="F136" s="23"/>
      <x:c r="G136" s="25"/>
      <x:c r="H136" s="25"/>
      <x:c r="I136" s="25"/>
      <x:c r="J136" s="25"/>
      <x:c r="K136" s="25"/>
      <x:c r="L136" s="25"/>
      <x:c r="M136" s="94"/>
      <x:c r="N136" s="94"/>
      <x:c r="O136" s="26">
        <x:f t="shared" si="3"/>
        <x:v>0</x:v>
      </x:c>
      <x:c r="P136" s="23"/>
      <x:c r="Q136" s="23"/>
      <x:c r="R136" s="23"/>
    </x:row>
    <x:row r="137" ht="18.75" customHeight="1">
      <x:c r="A137" s="19"/>
      <x:c r="B137" s="29"/>
      <x:c r="C137" s="21"/>
      <x:c r="D137" s="55"/>
      <x:c r="E137" s="56"/>
      <x:c r="F137" s="23"/>
      <x:c r="G137" s="25"/>
      <x:c r="H137" s="25"/>
      <x:c r="I137" s="25"/>
      <x:c r="J137" s="25"/>
      <x:c r="K137" s="25"/>
      <x:c r="L137" s="24"/>
      <x:c r="M137" s="94"/>
      <x:c r="N137" s="94"/>
      <x:c r="O137" s="26">
        <x:f t="shared" si="3"/>
        <x:v>0</x:v>
      </x:c>
      <x:c r="P137" s="23"/>
      <x:c r="Q137" s="23"/>
      <x:c r="R137" s="23"/>
    </x:row>
    <x:row r="138" ht="18.75" customHeight="1">
      <x:c r="A138" s="19"/>
      <x:c r="B138" s="29"/>
      <x:c r="C138" s="21"/>
      <x:c r="D138" s="55"/>
      <x:c r="E138" s="56"/>
      <x:c r="F138" s="23"/>
      <x:c r="G138" s="25"/>
      <x:c r="H138" s="25"/>
      <x:c r="I138" s="25"/>
      <x:c r="J138" s="25"/>
      <x:c r="K138" s="24"/>
      <x:c r="L138" s="24"/>
      <x:c r="M138" s="94"/>
      <x:c r="N138" s="94"/>
      <x:c r="O138" s="26">
        <x:f t="shared" si="3"/>
        <x:v>0</x:v>
      </x:c>
      <x:c r="P138" s="23"/>
      <x:c r="Q138" s="23"/>
      <x:c r="R138" s="23"/>
    </x:row>
    <x:row r="139" ht="18.75" customHeight="1">
      <x:c r="A139" s="19"/>
      <x:c r="B139" s="29"/>
      <x:c r="C139" s="21"/>
      <x:c r="D139" s="55"/>
      <x:c r="E139" s="56"/>
      <x:c r="F139" s="23"/>
      <x:c r="G139" s="24"/>
      <x:c r="H139" s="25"/>
      <x:c r="I139" s="25"/>
      <x:c r="J139" s="25"/>
      <x:c r="K139" s="25"/>
      <x:c r="L139" s="25"/>
      <x:c r="M139" s="94"/>
      <x:c r="N139" s="94"/>
      <x:c r="O139" s="26">
        <x:f t="shared" si="3"/>
        <x:v>0</x:v>
      </x:c>
      <x:c r="P139" s="23"/>
      <x:c r="Q139" s="23"/>
      <x:c r="R139" s="23"/>
    </x:row>
    <x:row r="140" ht="18.75" customHeight="1">
      <x:c r="A140" s="19"/>
      <x:c r="B140" s="29"/>
      <x:c r="C140" s="21"/>
      <x:c r="D140" s="55"/>
      <x:c r="E140" s="56"/>
      <x:c r="F140" s="23"/>
      <x:c r="G140" s="25"/>
      <x:c r="H140" s="25"/>
      <x:c r="I140" s="25"/>
      <x:c r="J140" s="25"/>
      <x:c r="K140" s="25"/>
      <x:c r="L140" s="24"/>
      <x:c r="M140" s="94"/>
      <x:c r="N140" s="94"/>
      <x:c r="O140" s="26">
        <x:f t="shared" si="3"/>
        <x:v>0</x:v>
      </x:c>
      <x:c r="P140" s="23"/>
      <x:c r="Q140" s="23"/>
      <x:c r="R140" s="23"/>
    </x:row>
    <x:row r="141" ht="18.75" customHeight="1">
      <x:c r="A141" s="19"/>
      <x:c r="B141" s="29"/>
      <x:c r="C141" s="21"/>
      <x:c r="D141" s="55"/>
      <x:c r="E141" s="56"/>
      <x:c r="F141" s="23"/>
      <x:c r="G141" s="25"/>
      <x:c r="H141" s="25"/>
      <x:c r="I141" s="25"/>
      <x:c r="J141" s="25"/>
      <x:c r="K141" s="24"/>
      <x:c r="L141" s="24"/>
      <x:c r="M141" s="94"/>
      <x:c r="N141" s="94"/>
      <x:c r="O141" s="26">
        <x:f t="shared" si="3"/>
        <x:v>0</x:v>
      </x:c>
      <x:c r="P141" s="23"/>
      <x:c r="Q141" s="23"/>
      <x:c r="R141" s="23"/>
    </x:row>
    <x:row r="142" ht="18.75" customHeight="1">
      <x:c r="A142" s="19"/>
      <x:c r="B142" s="29"/>
      <x:c r="C142" s="21"/>
      <x:c r="D142" s="55"/>
      <x:c r="E142" s="56"/>
      <x:c r="F142" s="23"/>
      <x:c r="G142" s="25"/>
      <x:c r="H142" s="25"/>
      <x:c r="I142" s="25"/>
      <x:c r="J142" s="25"/>
      <x:c r="K142" s="25"/>
      <x:c r="L142" s="24"/>
      <x:c r="M142" s="94"/>
      <x:c r="N142" s="94"/>
      <x:c r="O142" s="26">
        <x:f t="shared" si="3"/>
        <x:v>0</x:v>
      </x:c>
      <x:c r="P142" s="23"/>
      <x:c r="Q142" s="23"/>
      <x:c r="R142" s="23"/>
    </x:row>
    <x:row r="143" ht="18.75" customHeight="1">
      <x:c r="A143" s="19"/>
      <x:c r="B143" s="29"/>
      <x:c r="C143" s="21"/>
      <x:c r="D143" s="55"/>
      <x:c r="E143" s="56"/>
      <x:c r="F143" s="23"/>
      <x:c r="G143" s="25"/>
      <x:c r="H143" s="25"/>
      <x:c r="I143" s="25"/>
      <x:c r="J143" s="25"/>
      <x:c r="K143" s="25"/>
      <x:c r="L143" s="24"/>
      <x:c r="M143" s="94"/>
      <x:c r="N143" s="94"/>
      <x:c r="O143" s="26">
        <x:f t="shared" si="3"/>
        <x:v>0</x:v>
      </x:c>
      <x:c r="P143" s="23"/>
      <x:c r="Q143" s="23"/>
      <x:c r="R143" s="23"/>
    </x:row>
    <x:row r="144" ht="18.75" customHeight="1">
      <x:c r="A144" s="19"/>
      <x:c r="B144" s="29"/>
      <x:c r="C144" s="21"/>
      <x:c r="D144" s="55"/>
      <x:c r="E144" s="56"/>
      <x:c r="F144" s="23"/>
      <x:c r="G144" s="25"/>
      <x:c r="H144" s="25"/>
      <x:c r="I144" s="25"/>
      <x:c r="J144" s="25"/>
      <x:c r="K144" s="25"/>
      <x:c r="L144" s="25"/>
      <x:c r="M144" s="94"/>
      <x:c r="N144" s="94"/>
      <x:c r="O144" s="26">
        <x:f t="shared" si="3"/>
        <x:v>0</x:v>
      </x:c>
      <x:c r="P144" s="23"/>
      <x:c r="Q144" s="23"/>
      <x:c r="R144" s="23"/>
    </x:row>
    <x:row r="145" ht="18.75" customHeight="1">
      <x:c r="A145" s="19"/>
      <x:c r="B145" s="29"/>
      <x:c r="C145" s="21"/>
      <x:c r="D145" s="55"/>
      <x:c r="E145" s="56"/>
      <x:c r="F145" s="23"/>
      <x:c r="G145" s="25"/>
      <x:c r="H145" s="25"/>
      <x:c r="I145" s="25"/>
      <x:c r="J145" s="25"/>
      <x:c r="K145" s="25"/>
      <x:c r="L145" s="24"/>
      <x:c r="M145" s="94"/>
      <x:c r="N145" s="94"/>
      <x:c r="O145" s="26">
        <x:f t="shared" si="3"/>
        <x:v>0</x:v>
      </x:c>
      <x:c r="P145" s="23"/>
      <x:c r="Q145" s="23"/>
      <x:c r="R145" s="23"/>
    </x:row>
    <x:row r="146" ht="18.75" customHeight="1">
      <x:c r="A146" s="19"/>
      <x:c r="B146" s="29"/>
      <x:c r="C146" s="21"/>
      <x:c r="D146" s="55"/>
      <x:c r="E146" s="56"/>
      <x:c r="F146" s="23"/>
      <x:c r="G146" s="25"/>
      <x:c r="H146" s="25"/>
      <x:c r="I146" s="25"/>
      <x:c r="J146" s="25"/>
      <x:c r="K146" s="25"/>
      <x:c r="L146" s="24"/>
      <x:c r="M146" s="94"/>
      <x:c r="N146" s="94"/>
      <x:c r="O146" s="26">
        <x:f t="shared" si="3"/>
        <x:v>0</x:v>
      </x:c>
      <x:c r="P146" s="23"/>
      <x:c r="Q146" s="23"/>
      <x:c r="R146" s="23"/>
    </x:row>
    <x:row r="147" ht="18.75" customHeight="1">
      <x:c r="A147" s="19"/>
      <x:c r="B147" s="29"/>
      <x:c r="C147" s="21"/>
      <x:c r="D147" s="55"/>
      <x:c r="E147" s="56"/>
      <x:c r="F147" s="23"/>
      <x:c r="G147" s="25"/>
      <x:c r="H147" s="24"/>
      <x:c r="I147" s="24"/>
      <x:c r="J147" s="24"/>
      <x:c r="K147" s="25"/>
      <x:c r="L147" s="24"/>
      <x:c r="M147" s="94"/>
      <x:c r="N147" s="94"/>
      <x:c r="O147" s="26">
        <x:f t="shared" si="3"/>
        <x:v>0</x:v>
      </x:c>
      <x:c r="P147" s="23"/>
      <x:c r="Q147" s="23"/>
      <x:c r="R147" s="23"/>
    </x:row>
    <x:row r="148" ht="18.75" customHeight="1">
      <x:c r="A148" s="19"/>
      <x:c r="B148" s="29"/>
      <x:c r="C148" s="21"/>
      <x:c r="D148" s="55"/>
      <x:c r="E148" s="56"/>
      <x:c r="F148" s="23"/>
      <x:c r="G148" s="25"/>
      <x:c r="H148" s="25"/>
      <x:c r="I148" s="25"/>
      <x:c r="J148" s="25"/>
      <x:c r="K148" s="24"/>
      <x:c r="L148" s="25"/>
      <x:c r="M148" s="94"/>
      <x:c r="N148" s="94"/>
      <x:c r="O148" s="26">
        <x:f t="shared" si="3"/>
        <x:v>0</x:v>
      </x:c>
      <x:c r="P148" s="23"/>
      <x:c r="Q148" s="23"/>
      <x:c r="R148" s="23"/>
    </x:row>
    <x:row r="149" ht="18.75" customHeight="1">
      <x:c r="A149" s="19"/>
      <x:c r="B149" s="29"/>
      <x:c r="C149" s="21"/>
      <x:c r="D149" s="55"/>
      <x:c r="E149" s="56"/>
      <x:c r="F149" s="23"/>
      <x:c r="G149" s="25"/>
      <x:c r="H149" s="25"/>
      <x:c r="I149" s="25"/>
      <x:c r="J149" s="25"/>
      <x:c r="K149" s="25"/>
      <x:c r="L149" s="24"/>
      <x:c r="M149" s="94"/>
      <x:c r="N149" s="94"/>
      <x:c r="O149" s="26">
        <x:f t="shared" si="3"/>
        <x:v>0</x:v>
      </x:c>
      <x:c r="P149" s="23"/>
      <x:c r="Q149" s="23"/>
      <x:c r="R149" s="23"/>
    </x:row>
    <x:row r="150" ht="18.75" customHeight="1">
      <x:c r="A150" s="19"/>
      <x:c r="B150" s="29"/>
      <x:c r="C150" s="21"/>
      <x:c r="D150" s="55"/>
      <x:c r="E150" s="56"/>
      <x:c r="F150" s="23"/>
      <x:c r="G150" s="25"/>
      <x:c r="H150" s="25"/>
      <x:c r="I150" s="25"/>
      <x:c r="J150" s="25"/>
      <x:c r="K150" s="24"/>
      <x:c r="L150" s="25"/>
      <x:c r="M150" s="94"/>
      <x:c r="N150" s="94"/>
      <x:c r="O150" s="26">
        <x:f t="shared" si="3"/>
        <x:v>0</x:v>
      </x:c>
      <x:c r="P150" s="23"/>
      <x:c r="Q150" s="23"/>
      <x:c r="R150" s="23"/>
    </x:row>
    <x:row r="151" ht="18.75" customHeight="1">
      <x:c r="A151" s="19"/>
      <x:c r="B151" s="29"/>
      <x:c r="C151" s="21"/>
      <x:c r="D151" s="55"/>
      <x:c r="E151" s="56"/>
      <x:c r="F151" s="23"/>
      <x:c r="G151" s="25"/>
      <x:c r="H151" s="25"/>
      <x:c r="I151" s="25"/>
      <x:c r="J151" s="25"/>
      <x:c r="K151" s="24"/>
      <x:c r="L151" s="25"/>
      <x:c r="M151" s="94"/>
      <x:c r="N151" s="94"/>
      <x:c r="O151" s="26">
        <x:f t="shared" si="3"/>
        <x:v>0</x:v>
      </x:c>
      <x:c r="P151" s="23"/>
      <x:c r="Q151" s="23"/>
      <x:c r="R151" s="23"/>
    </x:row>
    <x:row r="152" ht="18.75" customHeight="1">
      <x:c r="A152" s="19"/>
      <x:c r="B152" s="29"/>
      <x:c r="C152" s="21"/>
      <x:c r="D152" s="55"/>
      <x:c r="E152" s="56"/>
      <x:c r="F152" s="23"/>
      <x:c r="G152" s="25"/>
      <x:c r="H152" s="25"/>
      <x:c r="I152" s="25"/>
      <x:c r="J152" s="25"/>
      <x:c r="K152" s="24"/>
      <x:c r="L152" s="24"/>
      <x:c r="M152" s="94"/>
      <x:c r="N152" s="94"/>
      <x:c r="O152" s="26">
        <x:f t="shared" si="3"/>
        <x:v>0</x:v>
      </x:c>
      <x:c r="P152" s="23"/>
      <x:c r="Q152" s="23"/>
      <x:c r="R152" s="23"/>
    </x:row>
    <x:row r="153" ht="18.75" customHeight="1">
      <x:c r="A153" s="19"/>
      <x:c r="B153" s="29"/>
      <x:c r="C153" s="21"/>
      <x:c r="D153" s="55"/>
      <x:c r="E153" s="56"/>
      <x:c r="F153" s="23"/>
      <x:c r="G153" s="25"/>
      <x:c r="H153" s="25"/>
      <x:c r="I153" s="25"/>
      <x:c r="J153" s="25"/>
      <x:c r="K153" s="25"/>
      <x:c r="L153" s="25"/>
      <x:c r="M153" s="94"/>
      <x:c r="N153" s="94"/>
      <x:c r="O153" s="26">
        <x:f t="shared" si="3"/>
        <x:v>0</x:v>
      </x:c>
      <x:c r="P153" s="23"/>
      <x:c r="Q153" s="23"/>
      <x:c r="R153" s="23"/>
    </x:row>
    <x:row r="154" ht="18.75" customHeight="1">
      <x:c r="A154" s="19"/>
      <x:c r="B154" s="29"/>
      <x:c r="C154" s="21"/>
      <x:c r="D154" s="55"/>
      <x:c r="E154" s="56"/>
      <x:c r="F154" s="23"/>
      <x:c r="G154" s="25"/>
      <x:c r="H154" s="25"/>
      <x:c r="I154" s="25"/>
      <x:c r="J154" s="25"/>
      <x:c r="K154" s="24"/>
      <x:c r="L154" s="25"/>
      <x:c r="M154" s="94"/>
      <x:c r="N154" s="94"/>
      <x:c r="O154" s="26">
        <x:f t="shared" si="3"/>
        <x:v>0</x:v>
      </x:c>
      <x:c r="P154" s="23"/>
      <x:c r="Q154" s="23"/>
      <x:c r="R154" s="23"/>
    </x:row>
    <x:row r="155" ht="18.75" customHeight="1">
      <x:c r="A155" s="19"/>
      <x:c r="B155" s="29"/>
      <x:c r="C155" s="21"/>
      <x:c r="D155" s="55"/>
      <x:c r="E155" s="56"/>
      <x:c r="F155" s="23"/>
      <x:c r="G155" s="25"/>
      <x:c r="H155" s="25"/>
      <x:c r="I155" s="25"/>
      <x:c r="J155" s="25"/>
      <x:c r="K155" s="25"/>
      <x:c r="L155" s="25"/>
      <x:c r="M155" s="94"/>
      <x:c r="N155" s="94"/>
      <x:c r="O155" s="26">
        <x:f t="shared" si="3"/>
        <x:v>0</x:v>
      </x:c>
      <x:c r="P155" s="23"/>
      <x:c r="Q155" s="23"/>
      <x:c r="R155" s="23"/>
    </x:row>
    <x:row r="156" ht="18.75" customHeight="1">
      <x:c r="A156" s="19"/>
      <x:c r="B156" s="29"/>
      <x:c r="C156" s="21"/>
      <x:c r="D156" s="55"/>
      <x:c r="E156" s="56"/>
      <x:c r="F156" s="23"/>
      <x:c r="G156" s="25"/>
      <x:c r="H156" s="25"/>
      <x:c r="I156" s="25"/>
      <x:c r="J156" s="25"/>
      <x:c r="K156" s="25"/>
      <x:c r="L156" s="25"/>
      <x:c r="M156" s="94"/>
      <x:c r="N156" s="94"/>
      <x:c r="O156" s="26">
        <x:f t="shared" si="3"/>
        <x:v>0</x:v>
      </x:c>
      <x:c r="P156" s="23"/>
      <x:c r="Q156" s="23"/>
      <x:c r="R156" s="23"/>
    </x:row>
    <x:row r="157" ht="18.75" customHeight="1">
      <x:c r="A157" s="19"/>
      <x:c r="B157" s="29"/>
      <x:c r="C157" s="21"/>
      <x:c r="D157" s="55"/>
      <x:c r="E157" s="56"/>
      <x:c r="F157" s="23"/>
      <x:c r="G157" s="25"/>
      <x:c r="H157" s="25"/>
      <x:c r="I157" s="25"/>
      <x:c r="J157" s="25"/>
      <x:c r="K157" s="24"/>
      <x:c r="L157" s="25"/>
      <x:c r="M157" s="94"/>
      <x:c r="N157" s="94"/>
      <x:c r="O157" s="26">
        <x:f t="shared" si="3"/>
        <x:v>0</x:v>
      </x:c>
      <x:c r="P157" s="23"/>
      <x:c r="Q157" s="23"/>
      <x:c r="R157" s="23"/>
    </x:row>
    <x:row r="158" ht="18.75" customHeight="1">
      <x:c r="A158" s="19"/>
      <x:c r="B158" s="29"/>
      <x:c r="C158" s="21"/>
      <x:c r="D158" s="55"/>
      <x:c r="E158" s="56"/>
      <x:c r="F158" s="23"/>
      <x:c r="G158" s="25"/>
      <x:c r="H158" s="24"/>
      <x:c r="I158" s="24"/>
      <x:c r="J158" s="24"/>
      <x:c r="K158" s="25"/>
      <x:c r="L158" s="25"/>
      <x:c r="M158" s="94"/>
      <x:c r="N158" s="94"/>
      <x:c r="O158" s="26">
        <x:f t="shared" si="3"/>
        <x:v>0</x:v>
      </x:c>
      <x:c r="P158" s="23"/>
      <x:c r="Q158" s="23"/>
      <x:c r="R158" s="23"/>
    </x:row>
    <x:row r="159" ht="18.75" customHeight="1">
      <x:c r="A159" s="19"/>
      <x:c r="B159" s="29"/>
      <x:c r="C159" s="21"/>
      <x:c r="D159" s="55"/>
      <x:c r="E159" s="56"/>
      <x:c r="F159" s="23"/>
      <x:c r="G159" s="25"/>
      <x:c r="H159" s="25"/>
      <x:c r="I159" s="25"/>
      <x:c r="J159" s="25"/>
      <x:c r="K159" s="25"/>
      <x:c r="L159" s="24"/>
      <x:c r="M159" s="94"/>
      <x:c r="N159" s="94"/>
      <x:c r="O159" s="26">
        <x:f t="shared" si="3"/>
        <x:v>0</x:v>
      </x:c>
      <x:c r="P159" s="23"/>
      <x:c r="Q159" s="23"/>
      <x:c r="R159" s="23"/>
    </x:row>
    <x:row r="160" ht="18.75" customHeight="1">
      <x:c r="A160" s="19"/>
      <x:c r="B160" s="29"/>
      <x:c r="C160" s="21"/>
      <x:c r="D160" s="55"/>
      <x:c r="E160" s="56"/>
      <x:c r="F160" s="23"/>
      <x:c r="G160" s="25"/>
      <x:c r="H160" s="25"/>
      <x:c r="I160" s="25"/>
      <x:c r="J160" s="25"/>
      <x:c r="K160" s="25"/>
      <x:c r="L160" s="24"/>
      <x:c r="M160" s="94"/>
      <x:c r="N160" s="94"/>
      <x:c r="O160" s="26">
        <x:f t="shared" si="3"/>
        <x:v>0</x:v>
      </x:c>
      <x:c r="P160" s="23"/>
      <x:c r="Q160" s="23"/>
      <x:c r="R160" s="23"/>
    </x:row>
    <x:row r="161" ht="18.75" customHeight="1">
      <x:c r="A161" s="19"/>
      <x:c r="B161" s="29"/>
      <x:c r="C161" s="21"/>
      <x:c r="D161" s="55"/>
      <x:c r="E161" s="56"/>
      <x:c r="F161" s="23"/>
      <x:c r="G161" s="25"/>
      <x:c r="H161" s="25"/>
      <x:c r="I161" s="25"/>
      <x:c r="J161" s="25"/>
      <x:c r="K161" s="25"/>
      <x:c r="M161" s="91"/>
      <x:c r="N161" s="94"/>
      <x:c r="O161" s="26">
        <x:f t="shared" si="3"/>
        <x:v>0</x:v>
      </x:c>
      <x:c r="P161" s="23"/>
      <x:c r="Q161" s="23"/>
      <x:c r="R161" s="23"/>
    </x:row>
    <x:row r="162" ht="18.75" customHeight="1">
      <x:c r="A162" s="19"/>
      <x:c r="B162" s="29"/>
      <x:c r="C162" s="21"/>
      <x:c r="D162" s="55"/>
      <x:c r="E162" s="56"/>
      <x:c r="F162" s="23"/>
      <x:c r="G162" s="25"/>
      <x:c r="H162" s="25"/>
      <x:c r="I162" s="25"/>
      <x:c r="J162" s="25"/>
      <x:c r="K162" s="24"/>
      <x:c r="L162" s="25"/>
      <x:c r="M162" s="94"/>
      <x:c r="N162" s="94"/>
      <x:c r="O162" s="26">
        <x:f t="shared" si="3"/>
        <x:v>0</x:v>
      </x:c>
      <x:c r="P162" s="23"/>
      <x:c r="Q162" s="23"/>
      <x:c r="R162" s="23"/>
    </x:row>
    <x:row r="163" ht="18.75" customHeight="1">
      <x:c r="A163" s="19"/>
      <x:c r="B163" s="29"/>
      <x:c r="C163" s="21"/>
      <x:c r="D163" s="55"/>
      <x:c r="E163" s="56"/>
      <x:c r="F163" s="23"/>
      <x:c r="G163" s="25"/>
      <x:c r="H163" s="25"/>
      <x:c r="I163" s="25"/>
      <x:c r="J163" s="25"/>
      <x:c r="K163" s="25"/>
      <x:c r="L163" s="24"/>
      <x:c r="M163" s="94"/>
      <x:c r="N163" s="94"/>
      <x:c r="O163" s="26">
        <x:f t="shared" si="3"/>
        <x:v>0</x:v>
      </x:c>
      <x:c r="P163" s="23"/>
      <x:c r="Q163" s="23"/>
      <x:c r="R163" s="23"/>
    </x:row>
    <x:row r="164" ht="18.75" customHeight="1">
      <x:c r="A164" s="19"/>
      <x:c r="B164" s="29"/>
      <x:c r="C164" s="21"/>
      <x:c r="D164" s="55"/>
      <x:c r="E164" s="56"/>
      <x:c r="F164" s="23"/>
      <x:c r="G164" s="25"/>
      <x:c r="H164" s="25"/>
      <x:c r="I164" s="25"/>
      <x:c r="J164" s="25"/>
      <x:c r="K164" s="25"/>
      <x:c r="L164" s="24"/>
      <x:c r="M164" s="94"/>
      <x:c r="N164" s="94"/>
      <x:c r="O164" s="26">
        <x:f t="shared" si="3"/>
        <x:v>0</x:v>
      </x:c>
      <x:c r="P164" s="23"/>
      <x:c r="Q164" s="23"/>
      <x:c r="R164" s="23"/>
    </x:row>
    <x:row r="165" ht="18.75" customHeight="1">
      <x:c r="A165" s="19"/>
      <x:c r="B165" s="29"/>
      <x:c r="C165" s="21"/>
      <x:c r="D165" s="55"/>
      <x:c r="E165" s="56"/>
      <x:c r="F165" s="23"/>
      <x:c r="G165" s="25"/>
      <x:c r="H165" s="25"/>
      <x:c r="I165" s="25"/>
      <x:c r="J165" s="25"/>
      <x:c r="K165" s="25"/>
      <x:c r="L165" s="25"/>
      <x:c r="M165" s="94"/>
      <x:c r="N165" s="94"/>
      <x:c r="O165" s="26">
        <x:f t="shared" si="3"/>
        <x:v>0</x:v>
      </x:c>
      <x:c r="P165" s="23"/>
      <x:c r="Q165" s="23"/>
      <x:c r="R165" s="23"/>
    </x:row>
    <x:row r="166" ht="18.75" customHeight="1">
      <x:c r="A166" s="19"/>
      <x:c r="B166" s="29"/>
      <x:c r="C166" s="21"/>
      <x:c r="D166" s="55"/>
      <x:c r="E166" s="56"/>
      <x:c r="F166" s="23"/>
      <x:c r="G166" s="25"/>
      <x:c r="H166" s="25"/>
      <x:c r="I166" s="25"/>
      <x:c r="J166" s="25"/>
      <x:c r="K166" s="25"/>
      <x:c r="L166" s="24"/>
      <x:c r="M166" s="94"/>
      <x:c r="N166" s="94"/>
      <x:c r="O166" s="26">
        <x:f t="shared" si="3"/>
        <x:v>0</x:v>
      </x:c>
      <x:c r="P166" s="23"/>
      <x:c r="Q166" s="23"/>
      <x:c r="R166" s="23"/>
    </x:row>
    <x:row r="167" ht="18.75" customHeight="1">
      <x:c r="A167" s="19"/>
      <x:c r="B167" s="29"/>
      <x:c r="C167" s="21"/>
      <x:c r="D167" s="55"/>
      <x:c r="E167" s="56"/>
      <x:c r="F167" s="23"/>
      <x:c r="G167" s="25"/>
      <x:c r="H167" s="25"/>
      <x:c r="I167" s="25"/>
      <x:c r="J167" s="25"/>
      <x:c r="K167" s="25"/>
      <x:c r="L167" s="24"/>
      <x:c r="M167" s="94"/>
      <x:c r="N167" s="94"/>
      <x:c r="O167" s="26">
        <x:f t="shared" si="3"/>
        <x:v>0</x:v>
      </x:c>
      <x:c r="P167" s="23"/>
      <x:c r="Q167" s="23"/>
      <x:c r="R167" s="23"/>
    </x:row>
    <x:row r="168" ht="18.75" customHeight="1">
      <x:c r="A168" s="19"/>
      <x:c r="B168" s="29"/>
      <x:c r="C168" s="21"/>
      <x:c r="D168" s="55"/>
      <x:c r="E168" s="56"/>
      <x:c r="F168" s="23"/>
      <x:c r="G168" s="25"/>
      <x:c r="H168" s="25"/>
      <x:c r="I168" s="25"/>
      <x:c r="J168" s="25"/>
      <x:c r="K168" s="24"/>
      <x:c r="L168" s="25"/>
      <x:c r="M168" s="94"/>
      <x:c r="N168" s="94"/>
      <x:c r="O168" s="26">
        <x:f t="shared" si="3"/>
        <x:v>0</x:v>
      </x:c>
      <x:c r="P168" s="23"/>
      <x:c r="Q168" s="23"/>
      <x:c r="R168" s="23"/>
    </x:row>
    <x:row r="169" ht="18.75" customHeight="1">
      <x:c r="A169" s="19"/>
      <x:c r="B169" s="29"/>
      <x:c r="C169" s="21"/>
      <x:c r="D169" s="55"/>
      <x:c r="E169" s="56"/>
      <x:c r="F169" s="23"/>
      <x:c r="G169" s="25"/>
      <x:c r="H169" s="24"/>
      <x:c r="I169" s="24"/>
      <x:c r="J169" s="24"/>
      <x:c r="K169" s="25"/>
      <x:c r="L169" s="24"/>
      <x:c r="M169" s="94"/>
      <x:c r="N169" s="94"/>
      <x:c r="O169" s="26">
        <x:f t="shared" si="3"/>
        <x:v>0</x:v>
      </x:c>
      <x:c r="P169" s="23"/>
      <x:c r="Q169" s="23"/>
      <x:c r="R169" s="23"/>
    </x:row>
    <x:row r="170">
      <x:c r="A170" s="75"/>
      <x:c r="B170" s="76" t="s">
        <x:v>27</x:v>
      </x:c>
      <x:c r="C170" s="77"/>
      <x:c r="D170" s="78"/>
      <x:c r="E170" s="77" t="n">
        <x:f>SUM(E4:E141)</x:f>
        <x:v>0</x:v>
      </x:c>
      <x:c r="F170" s="77" t="n">
        <x:f t="shared" ref="F170:O170" si="7">SUM(F4:F169)</x:f>
        <x:v>13</x:v>
      </x:c>
      <x:c r="G170" s="79">
        <x:f t="shared" si="7"/>
        <x:v>0</x:v>
      </x:c>
      <x:c r="H170" s="79">
        <x:f t="shared" si="7"/>
        <x:v>0</x:v>
      </x:c>
      <x:c r="I170" s="79">
        <x:f t="shared" si="7"/>
        <x:v>0</x:v>
      </x:c>
      <x:c r="J170" s="79">
        <x:f t="shared" si="7"/>
        <x:v>0</x:v>
      </x:c>
      <x:c r="K170" s="79">
        <x:f t="shared" si="7"/>
        <x:v>5</x:v>
      </x:c>
      <x:c r="L170" s="79">
        <x:f t="shared" si="7"/>
        <x:v>0</x:v>
      </x:c>
      <x:c r="M170" s="77">
        <x:f t="shared" si="7"/>
        <x:v>11</x:v>
      </x:c>
      <x:c r="N170" s="77">
        <x:f t="shared" si="7"/>
        <x:v>0</x:v>
      </x:c>
      <x:c r="O170" s="80">
        <x:f t="shared" si="7"/>
        <x:v>8910000</x:v>
      </x:c>
      <x:c r="P170" s="77"/>
      <x:c r="Q170" s="77"/>
      <x:c r="R170" s="77"/>
    </x:row>
    <x:row r="171">
      <x:c r="A171" s="75"/>
      <x:c r="B171" s="76" t="s">
        <x:v>51</x:v>
      </x:c>
      <x:c r="C171" s="81"/>
      <x:c r="D171" s="82">
        <x:v>300000.0</x:v>
      </x:c>
      <x:c r="E171" s="83" t="n">
        <x:f>E170*Inventory_batches!I114</x:f>
        <x:v>0</x:v>
      </x:c>
      <x:c r="F171" s="83" t="n">
        <x:f>F170*Inventory_batches!I124</x:f>
        <x:v>2205630.9166666665</x:v>
      </x:c>
      <x:c r="G171" s="84" t="n">
        <x:f>G170*Inventory_batches!I116</x:f>
        <x:v>0</x:v>
      </x:c>
      <x:c r="H171" s="84" t="n">
        <x:f>H170*Inventory_batches!I115</x:f>
        <x:v>0</x:v>
      </x:c>
      <x:c r="I171" s="84" t="n">
        <x:f>I170*Inventory_batches!I104</x:f>
        <x:v>0</x:v>
      </x:c>
      <x:c r="J171" s="84" t="n">
        <x:f>J170*Inventory_batches!I108</x:f>
        <x:v>0</x:v>
      </x:c>
      <x:c r="K171" s="84" t="n">
        <x:f>K170*Inventory_batches!I118</x:f>
        <x:v>691301.044</x:v>
      </x:c>
      <x:c r="L171" s="84" t="n">
        <x:f>L170*Inventory_batches!I112</x:f>
        <x:v>0</x:v>
      </x:c>
      <x:c r="M171" s="84" t="n">
        <x:f>M170*Inventory_batches!I107</x:f>
        <x:v>2359855.9433962265</x:v>
      </x:c>
      <x:c r="N171" s="83" t="n">
        <x:f>N170*Inventory_batches!I70</x:f>
        <x:v>0</x:v>
      </x:c>
      <x:c r="O171" s="83" t="n">
        <x:f>SUM(E171:N171)+D171</x:f>
        <x:v>5556787.904062893</x:v>
      </x:c>
      <x:c r="P171" s="85" t="n">
        <x:f>O171-T5</x:f>
        <x:v>5036787.904062893</x:v>
      </x:c>
      <x:c r="Q171" s="86"/>
      <x:c r="R171" s="86"/>
      <x:c r="S171" s="32"/>
    </x:row>
    <x:row r="172">
      <x:c r="A172" s="87"/>
      <x:c r="B172" s="88"/>
      <x:c r="D172" s="32"/>
      <x:c r="G172" s="74"/>
      <x:c r="H172" s="74"/>
      <x:c r="I172" s="74"/>
      <x:c r="J172" s="74"/>
      <x:c r="K172" s="74"/>
      <x:c r="L172" s="74"/>
      <x:c r="M172" s="89"/>
      <x:c r="N172" s="89"/>
      <x:c r="O172" s="90" t="n">
        <x:f>O170-O171</x:f>
        <x:v>3353212.0959371068</x:v>
      </x:c>
      <x:c r="P172" s="85" t="n">
        <x:f>O172/2</x:f>
        <x:v>1676606.0479685534</x:v>
      </x:c>
      <x:c r="Q172" s="86"/>
      <x:c r="R172" s="86"/>
      <x:c r="S172" s="32"/>
    </x:row>
    <x:row r="173">
      <x:c r="A173" s="87"/>
      <x:c r="B173" s="88"/>
      <x:c r="D173" s="32"/>
      <x:c r="G173" s="74"/>
      <x:c r="H173" s="74"/>
      <x:c r="I173" s="74"/>
      <x:c r="J173" s="74"/>
      <x:c r="K173" s="74"/>
      <x:c r="L173" s="74"/>
      <x:c r="M173" s="91"/>
      <x:c r="N173" s="91"/>
      <x:c r="O173" s="85"/>
      <x:c r="P173" s="85" t="n">
        <x:f>P171+P172</x:f>
        <x:v>6713393.952031447</x:v>
      </x:c>
      <x:c r="Q173" s="86"/>
      <x:c r="R173" s="86"/>
      <x:c r="S173" s="32"/>
    </x:row>
    <x:row r="174">
      <x:c r="A174" s="87"/>
      <x:c r="B174" s="88"/>
      <x:c r="D174" s="32"/>
      <x:c r="G174" s="74"/>
      <x:c r="H174" s="74"/>
      <x:c r="I174" s="74"/>
      <x:c r="J174" s="74"/>
      <x:c r="K174" s="74"/>
      <x:c r="L174" s="74"/>
      <x:c r="M174" s="91"/>
      <x:c r="N174" s="91"/>
      <x:c r="O174" s="85"/>
      <x:c r="Q174" s="86"/>
      <x:c r="R174" s="86"/>
      <x:c r="S174" s="32"/>
    </x:row>
    <x:row r="175">
      <x:c r="A175" s="87"/>
      <x:c r="B175" s="88"/>
      <x:c r="D175" s="32"/>
      <x:c r="G175" s="74"/>
      <x:c r="H175" s="74"/>
      <x:c r="I175" s="74"/>
      <x:c r="J175" s="74"/>
      <x:c r="K175" s="74"/>
      <x:c r="L175" s="74"/>
      <x:c r="M175" s="91"/>
      <x:c r="N175" s="91"/>
      <x:c r="O175" s="85"/>
      <x:c r="Q175" s="86"/>
      <x:c r="R175" s="86"/>
      <x:c r="S175" s="32"/>
    </x:row>
    <x:row r="176">
      <x:c r="A176" s="87"/>
      <x:c r="B176" s="88"/>
      <x:c r="D176" s="32"/>
      <x:c r="G176" s="74"/>
      <x:c r="H176" s="74"/>
      <x:c r="I176" s="74"/>
      <x:c r="J176" s="74"/>
      <x:c r="K176" s="74"/>
      <x:c r="L176" s="74"/>
      <x:c r="M176" s="91"/>
      <x:c r="N176" s="91"/>
      <x:c r="O176" s="85"/>
      <x:c r="Q176" s="86"/>
      <x:c r="R176" s="86"/>
      <x:c r="S176" s="32"/>
    </x:row>
    <x:row r="177">
      <x:c r="A177" s="87"/>
      <x:c r="B177" s="88"/>
      <x:c r="D177" s="32"/>
      <x:c r="G177" s="74"/>
      <x:c r="H177" s="74"/>
      <x:c r="I177" s="74"/>
      <x:c r="J177" s="74"/>
      <x:c r="K177" s="74"/>
      <x:c r="L177" s="74"/>
      <x:c r="M177" s="91"/>
      <x:c r="N177" s="91"/>
      <x:c r="O177" s="85"/>
      <x:c r="Q177" s="86"/>
      <x:c r="R177" s="86"/>
      <x:c r="S177" s="32"/>
    </x:row>
    <x:row r="178">
      <x:c r="A178" s="87"/>
      <x:c r="B178" s="88"/>
      <x:c r="D178" s="32"/>
      <x:c r="G178" s="74"/>
      <x:c r="H178" s="74"/>
      <x:c r="I178" s="74"/>
      <x:c r="J178" s="74"/>
      <x:c r="K178" s="74"/>
      <x:c r="L178" s="74"/>
      <x:c r="M178" s="91"/>
      <x:c r="N178" s="91"/>
      <x:c r="O178" s="85"/>
      <x:c r="Q178" s="86"/>
      <x:c r="R178" s="86"/>
      <x:c r="S178" s="32"/>
    </x:row>
    <x:row r="179">
      <x:c r="A179" s="87"/>
      <x:c r="B179" s="88"/>
      <x:c r="D179" s="32"/>
      <x:c r="G179" s="74"/>
      <x:c r="H179" s="74"/>
      <x:c r="I179" s="74"/>
      <x:c r="J179" s="74"/>
      <x:c r="K179" s="74"/>
      <x:c r="L179" s="74"/>
      <x:c r="M179" s="91"/>
      <x:c r="N179" s="91"/>
      <x:c r="O179" s="85"/>
      <x:c r="Q179" s="86"/>
      <x:c r="R179" s="86"/>
      <x:c r="S179" s="32"/>
    </x:row>
    <x:row r="180">
      <x:c r="A180" s="87"/>
      <x:c r="B180" s="88"/>
      <x:c r="D180" s="32"/>
      <x:c r="G180" s="74"/>
      <x:c r="H180" s="74"/>
      <x:c r="I180" s="74"/>
      <x:c r="J180" s="74"/>
      <x:c r="K180" s="74"/>
      <x:c r="L180" s="74"/>
      <x:c r="M180" s="91"/>
      <x:c r="N180" s="91"/>
      <x:c r="O180" s="85"/>
      <x:c r="Q180" s="86"/>
      <x:c r="R180" s="86"/>
      <x:c r="S180" s="32"/>
    </x:row>
    <x:row r="181">
      <x:c r="A181" s="87"/>
      <x:c r="B181" s="88"/>
      <x:c r="D181" s="32"/>
      <x:c r="G181" s="74"/>
      <x:c r="H181" s="74"/>
      <x:c r="I181" s="74"/>
      <x:c r="J181" s="74"/>
      <x:c r="K181" s="74"/>
      <x:c r="L181" s="74"/>
      <x:c r="M181" s="91"/>
      <x:c r="N181" s="91"/>
      <x:c r="O181" s="85"/>
      <x:c r="Q181" s="86"/>
      <x:c r="R181" s="86"/>
      <x:c r="S181" s="32"/>
    </x:row>
    <x:row r="182">
      <x:c r="A182" s="87"/>
      <x:c r="B182" s="88"/>
      <x:c r="D182" s="32"/>
      <x:c r="G182" s="74"/>
      <x:c r="H182" s="74"/>
      <x:c r="I182" s="74"/>
      <x:c r="J182" s="74"/>
      <x:c r="K182" s="74"/>
      <x:c r="L182" s="74"/>
      <x:c r="M182" s="91"/>
      <x:c r="N182" s="91"/>
      <x:c r="O182" s="85"/>
      <x:c r="Q182" s="86"/>
      <x:c r="R182" s="86"/>
      <x:c r="S182" s="32"/>
    </x:row>
    <x:row r="183">
      <x:c r="A183" s="87"/>
      <x:c r="B183" s="88"/>
      <x:c r="D183" s="32"/>
      <x:c r="G183" s="74"/>
      <x:c r="H183" s="74"/>
      <x:c r="I183" s="74"/>
      <x:c r="J183" s="74"/>
      <x:c r="K183" s="74"/>
      <x:c r="L183" s="74"/>
      <x:c r="M183" s="91"/>
      <x:c r="N183" s="91"/>
      <x:c r="O183" s="85"/>
      <x:c r="Q183" s="86"/>
      <x:c r="R183" s="86"/>
      <x:c r="S183" s="32"/>
    </x:row>
    <x:row r="184">
      <x:c r="A184" s="87"/>
      <x:c r="B184" s="88"/>
      <x:c r="D184" s="32"/>
      <x:c r="G184" s="74"/>
      <x:c r="H184" s="74"/>
      <x:c r="I184" s="74"/>
      <x:c r="J184" s="74"/>
      <x:c r="K184" s="74"/>
      <x:c r="L184" s="74"/>
      <x:c r="M184" s="91"/>
      <x:c r="N184" s="91"/>
      <x:c r="O184" s="85"/>
      <x:c r="Q184" s="86"/>
      <x:c r="R184" s="86"/>
      <x:c r="S184" s="32"/>
    </x:row>
    <x:row r="185">
      <x:c r="A185" s="87"/>
      <x:c r="B185" s="88"/>
      <x:c r="D185" s="32"/>
      <x:c r="G185" s="74"/>
      <x:c r="H185" s="74"/>
      <x:c r="I185" s="74"/>
      <x:c r="J185" s="74"/>
      <x:c r="K185" s="74"/>
      <x:c r="L185" s="74"/>
      <x:c r="M185" s="91"/>
      <x:c r="N185" s="91"/>
      <x:c r="O185" s="85"/>
      <x:c r="Q185" s="86"/>
      <x:c r="R185" s="86"/>
      <x:c r="S185" s="32"/>
    </x:row>
    <x:row r="186">
      <x:c r="A186" s="87"/>
      <x:c r="B186" s="88"/>
      <x:c r="D186" s="32"/>
      <x:c r="G186" s="74"/>
      <x:c r="H186" s="74"/>
      <x:c r="I186" s="74"/>
      <x:c r="J186" s="74"/>
      <x:c r="K186" s="74"/>
      <x:c r="L186" s="74"/>
      <x:c r="M186" s="91"/>
      <x:c r="N186" s="91"/>
      <x:c r="O186" s="85"/>
      <x:c r="Q186" s="86"/>
      <x:c r="R186" s="86"/>
      <x:c r="S186" s="32"/>
    </x:row>
    <x:row r="187">
      <x:c r="A187" s="87"/>
      <x:c r="B187" s="88"/>
      <x:c r="D187" s="32"/>
      <x:c r="G187" s="74"/>
      <x:c r="H187" s="74"/>
      <x:c r="I187" s="74"/>
      <x:c r="J187" s="74"/>
      <x:c r="K187" s="74"/>
      <x:c r="L187" s="74"/>
      <x:c r="M187" s="91"/>
      <x:c r="N187" s="91"/>
      <x:c r="O187" s="85"/>
      <x:c r="Q187" s="86"/>
      <x:c r="R187" s="86"/>
      <x:c r="S187" s="32"/>
    </x:row>
    <x:row r="188">
      <x:c r="A188" s="87"/>
      <x:c r="B188" s="88"/>
      <x:c r="D188" s="32"/>
      <x:c r="G188" s="74"/>
      <x:c r="H188" s="74"/>
      <x:c r="I188" s="74"/>
      <x:c r="J188" s="74"/>
      <x:c r="K188" s="74"/>
      <x:c r="L188" s="74"/>
      <x:c r="M188" s="91"/>
      <x:c r="N188" s="91"/>
      <x:c r="O188" s="85"/>
      <x:c r="Q188" s="86"/>
      <x:c r="R188" s="86"/>
      <x:c r="S188" s="32"/>
    </x:row>
    <x:row r="189">
      <x:c r="A189" s="87"/>
      <x:c r="B189" s="88"/>
      <x:c r="D189" s="32"/>
      <x:c r="G189" s="74"/>
      <x:c r="H189" s="74"/>
      <x:c r="I189" s="74"/>
      <x:c r="J189" s="74"/>
      <x:c r="K189" s="74"/>
      <x:c r="L189" s="74"/>
      <x:c r="M189" s="91"/>
      <x:c r="N189" s="91"/>
      <x:c r="O189" s="85"/>
      <x:c r="Q189" s="86"/>
      <x:c r="R189" s="86"/>
      <x:c r="S189" s="32"/>
    </x:row>
    <x:row r="190">
      <x:c r="A190" s="87"/>
      <x:c r="B190" s="88"/>
      <x:c r="D190" s="32"/>
      <x:c r="G190" s="74"/>
      <x:c r="H190" s="74"/>
      <x:c r="I190" s="74"/>
      <x:c r="J190" s="74"/>
      <x:c r="K190" s="74"/>
      <x:c r="L190" s="74"/>
      <x:c r="M190" s="91"/>
      <x:c r="N190" s="91"/>
      <x:c r="O190" s="85"/>
      <x:c r="Q190" s="86"/>
      <x:c r="R190" s="86"/>
      <x:c r="S190" s="32"/>
    </x:row>
    <x:row r="191">
      <x:c r="A191" s="87"/>
      <x:c r="B191" s="88"/>
      <x:c r="D191" s="32"/>
      <x:c r="G191" s="74"/>
      <x:c r="H191" s="74"/>
      <x:c r="I191" s="74"/>
      <x:c r="J191" s="74"/>
      <x:c r="K191" s="74"/>
      <x:c r="L191" s="74"/>
      <x:c r="M191" s="91"/>
      <x:c r="N191" s="91"/>
      <x:c r="O191" s="85"/>
      <x:c r="Q191" s="86"/>
      <x:c r="R191" s="86"/>
      <x:c r="S191" s="32"/>
    </x:row>
    <x:row r="192">
      <x:c r="A192" s="87"/>
      <x:c r="B192" s="88"/>
      <x:c r="D192" s="32"/>
      <x:c r="G192" s="74"/>
      <x:c r="H192" s="74"/>
      <x:c r="I192" s="74"/>
      <x:c r="J192" s="74"/>
      <x:c r="K192" s="74"/>
      <x:c r="L192" s="74"/>
      <x:c r="M192" s="91"/>
      <x:c r="N192" s="91"/>
      <x:c r="O192" s="85"/>
      <x:c r="Q192" s="86"/>
      <x:c r="R192" s="86"/>
      <x:c r="S192" s="32"/>
    </x:row>
    <x:row r="193">
      <x:c r="A193" s="87"/>
      <x:c r="B193" s="88"/>
      <x:c r="D193" s="32"/>
      <x:c r="G193" s="74"/>
      <x:c r="H193" s="74"/>
      <x:c r="I193" s="74"/>
      <x:c r="J193" s="74"/>
      <x:c r="K193" s="74"/>
      <x:c r="L193" s="74"/>
      <x:c r="M193" s="91"/>
      <x:c r="N193" s="91"/>
      <x:c r="O193" s="85"/>
      <x:c r="Q193" s="86"/>
      <x:c r="R193" s="86"/>
      <x:c r="S193" s="32"/>
    </x:row>
    <x:row r="194">
      <x:c r="A194" s="87"/>
      <x:c r="B194" s="88"/>
      <x:c r="D194" s="32"/>
      <x:c r="G194" s="74"/>
      <x:c r="H194" s="74"/>
      <x:c r="I194" s="74"/>
      <x:c r="J194" s="74"/>
      <x:c r="K194" s="74"/>
      <x:c r="L194" s="74"/>
      <x:c r="M194" s="91"/>
      <x:c r="N194" s="91"/>
      <x:c r="O194" s="85"/>
      <x:c r="Q194" s="86"/>
      <x:c r="R194" s="86"/>
      <x:c r="S194" s="32"/>
    </x:row>
    <x:row r="195">
      <x:c r="A195" s="87"/>
      <x:c r="B195" s="88"/>
      <x:c r="D195" s="32"/>
      <x:c r="G195" s="74"/>
      <x:c r="H195" s="74"/>
      <x:c r="I195" s="74"/>
      <x:c r="J195" s="74"/>
      <x:c r="K195" s="74"/>
      <x:c r="L195" s="74"/>
      <x:c r="M195" s="91"/>
      <x:c r="N195" s="91"/>
      <x:c r="O195" s="85"/>
      <x:c r="Q195" s="86"/>
      <x:c r="R195" s="86"/>
      <x:c r="S195" s="32"/>
    </x:row>
    <x:row r="196">
      <x:c r="A196" s="87"/>
      <x:c r="B196" s="88"/>
      <x:c r="D196" s="32"/>
      <x:c r="G196" s="74"/>
      <x:c r="H196" s="74"/>
      <x:c r="I196" s="74"/>
      <x:c r="J196" s="74"/>
      <x:c r="K196" s="74"/>
      <x:c r="L196" s="74"/>
      <x:c r="M196" s="91"/>
      <x:c r="N196" s="91"/>
      <x:c r="O196" s="85"/>
      <x:c r="Q196" s="86"/>
      <x:c r="R196" s="86"/>
      <x:c r="S196" s="32"/>
    </x:row>
    <x:row r="197">
      <x:c r="A197" s="87"/>
      <x:c r="B197" s="88"/>
      <x:c r="D197" s="32"/>
      <x:c r="G197" s="74"/>
      <x:c r="H197" s="74"/>
      <x:c r="I197" s="74"/>
      <x:c r="J197" s="74"/>
      <x:c r="K197" s="74"/>
      <x:c r="L197" s="74"/>
      <x:c r="M197" s="91"/>
      <x:c r="N197" s="91"/>
      <x:c r="O197" s="85"/>
      <x:c r="Q197" s="86"/>
      <x:c r="R197" s="86"/>
      <x:c r="S197" s="32"/>
    </x:row>
    <x:row r="198">
      <x:c r="A198" s="87"/>
      <x:c r="B198" s="88"/>
      <x:c r="D198" s="32"/>
      <x:c r="G198" s="74"/>
      <x:c r="H198" s="74"/>
      <x:c r="I198" s="74"/>
      <x:c r="J198" s="74"/>
      <x:c r="K198" s="74"/>
      <x:c r="L198" s="74"/>
      <x:c r="M198" s="91"/>
      <x:c r="N198" s="91"/>
      <x:c r="O198" s="85"/>
      <x:c r="Q198" s="86"/>
      <x:c r="R198" s="86"/>
      <x:c r="S198" s="32"/>
    </x:row>
    <x:row r="199">
      <x:c r="A199" s="87"/>
      <x:c r="B199" s="88"/>
      <x:c r="D199" s="32"/>
      <x:c r="G199" s="74"/>
      <x:c r="H199" s="74"/>
      <x:c r="I199" s="74"/>
      <x:c r="J199" s="74"/>
      <x:c r="K199" s="74"/>
      <x:c r="L199" s="74"/>
      <x:c r="M199" s="91"/>
      <x:c r="N199" s="91"/>
      <x:c r="O199" s="85"/>
      <x:c r="Q199" s="86"/>
      <x:c r="R199" s="86"/>
      <x:c r="S199" s="32"/>
    </x:row>
    <x:row r="200">
      <x:c r="A200" s="87"/>
      <x:c r="B200" s="88"/>
      <x:c r="D200" s="32"/>
      <x:c r="G200" s="74"/>
      <x:c r="H200" s="74"/>
      <x:c r="I200" s="74"/>
      <x:c r="J200" s="74"/>
      <x:c r="K200" s="74"/>
      <x:c r="L200" s="74"/>
      <x:c r="M200" s="91"/>
      <x:c r="N200" s="91"/>
      <x:c r="O200" s="85"/>
      <x:c r="Q200" s="86"/>
      <x:c r="R200" s="86"/>
      <x:c r="S200" s="32"/>
    </x:row>
    <x:row r="201">
      <x:c r="A201" s="87"/>
      <x:c r="B201" s="88"/>
      <x:c r="D201" s="32"/>
      <x:c r="G201" s="74"/>
      <x:c r="H201" s="74"/>
      <x:c r="I201" s="74"/>
      <x:c r="J201" s="74"/>
      <x:c r="K201" s="74"/>
      <x:c r="L201" s="74"/>
      <x:c r="M201" s="91"/>
      <x:c r="N201" s="91"/>
      <x:c r="O201" s="85"/>
      <x:c r="Q201" s="86"/>
      <x:c r="R201" s="86"/>
      <x:c r="S201" s="32"/>
    </x:row>
    <x:row r="202">
      <x:c r="A202" s="87"/>
      <x:c r="B202" s="88"/>
      <x:c r="D202" s="32"/>
      <x:c r="G202" s="74"/>
      <x:c r="H202" s="74"/>
      <x:c r="I202" s="74"/>
      <x:c r="J202" s="74"/>
      <x:c r="K202" s="74"/>
      <x:c r="L202" s="74"/>
      <x:c r="M202" s="91"/>
      <x:c r="N202" s="91"/>
      <x:c r="O202" s="85"/>
      <x:c r="Q202" s="86"/>
      <x:c r="R202" s="86"/>
      <x:c r="S202" s="32"/>
    </x:row>
    <x:row r="203">
      <x:c r="A203" s="87"/>
      <x:c r="B203" s="88"/>
      <x:c r="D203" s="32"/>
      <x:c r="G203" s="74"/>
      <x:c r="H203" s="74"/>
      <x:c r="I203" s="74"/>
      <x:c r="J203" s="74"/>
      <x:c r="K203" s="74"/>
      <x:c r="L203" s="74"/>
      <x:c r="M203" s="91"/>
      <x:c r="N203" s="91"/>
      <x:c r="O203" s="85"/>
      <x:c r="Q203" s="86"/>
      <x:c r="R203" s="86"/>
      <x:c r="S203" s="32"/>
    </x:row>
    <x:row r="204">
      <x:c r="A204" s="87"/>
      <x:c r="B204" s="88"/>
      <x:c r="D204" s="32"/>
      <x:c r="G204" s="74"/>
      <x:c r="H204" s="74"/>
      <x:c r="I204" s="74"/>
      <x:c r="J204" s="74"/>
      <x:c r="K204" s="74"/>
      <x:c r="L204" s="74"/>
      <x:c r="M204" s="91"/>
      <x:c r="N204" s="91"/>
      <x:c r="O204" s="85"/>
      <x:c r="Q204" s="86"/>
      <x:c r="R204" s="86"/>
      <x:c r="S204" s="32"/>
    </x:row>
    <x:row r="205">
      <x:c r="A205" s="87"/>
      <x:c r="B205" s="88"/>
      <x:c r="D205" s="32"/>
      <x:c r="G205" s="74"/>
      <x:c r="H205" s="74"/>
      <x:c r="I205" s="74"/>
      <x:c r="J205" s="74"/>
      <x:c r="K205" s="74"/>
      <x:c r="L205" s="74"/>
      <x:c r="M205" s="91"/>
      <x:c r="N205" s="91"/>
      <x:c r="O205" s="85"/>
      <x:c r="Q205" s="86"/>
      <x:c r="R205" s="86"/>
      <x:c r="S205" s="32"/>
    </x:row>
    <x:row r="206">
      <x:c r="A206" s="87"/>
      <x:c r="B206" s="88"/>
      <x:c r="D206" s="32"/>
      <x:c r="G206" s="74"/>
      <x:c r="H206" s="74"/>
      <x:c r="I206" s="74"/>
      <x:c r="J206" s="74"/>
      <x:c r="K206" s="74"/>
      <x:c r="L206" s="74"/>
      <x:c r="M206" s="91"/>
      <x:c r="N206" s="91"/>
      <x:c r="O206" s="85"/>
      <x:c r="Q206" s="86"/>
      <x:c r="R206" s="86"/>
      <x:c r="S206" s="32"/>
    </x:row>
    <x:row r="207">
      <x:c r="A207" s="87"/>
      <x:c r="B207" s="88"/>
      <x:c r="D207" s="32"/>
      <x:c r="G207" s="74"/>
      <x:c r="H207" s="74"/>
      <x:c r="I207" s="74"/>
      <x:c r="J207" s="74"/>
      <x:c r="K207" s="74"/>
      <x:c r="L207" s="74"/>
      <x:c r="M207" s="91"/>
      <x:c r="N207" s="91"/>
      <x:c r="O207" s="85"/>
      <x:c r="Q207" s="86"/>
      <x:c r="R207" s="86"/>
      <x:c r="S207" s="32"/>
    </x:row>
    <x:row r="208">
      <x:c r="A208" s="87"/>
      <x:c r="B208" s="88"/>
      <x:c r="D208" s="32"/>
      <x:c r="G208" s="74"/>
      <x:c r="H208" s="74"/>
      <x:c r="I208" s="74"/>
      <x:c r="J208" s="74"/>
      <x:c r="K208" s="74"/>
      <x:c r="L208" s="74"/>
      <x:c r="M208" s="91"/>
      <x:c r="N208" s="91"/>
      <x:c r="O208" s="85"/>
      <x:c r="Q208" s="86"/>
      <x:c r="R208" s="86"/>
      <x:c r="S208" s="32"/>
    </x:row>
    <x:row r="209">
      <x:c r="A209" s="87"/>
      <x:c r="B209" s="88"/>
      <x:c r="D209" s="32"/>
      <x:c r="G209" s="74"/>
      <x:c r="H209" s="74"/>
      <x:c r="I209" s="74"/>
      <x:c r="J209" s="74"/>
      <x:c r="K209" s="74"/>
      <x:c r="L209" s="74"/>
      <x:c r="M209" s="91"/>
      <x:c r="N209" s="91"/>
      <x:c r="O209" s="85"/>
      <x:c r="Q209" s="86"/>
      <x:c r="R209" s="86"/>
      <x:c r="S209" s="32"/>
    </x:row>
    <x:row r="210">
      <x:c r="A210" s="87"/>
      <x:c r="B210" s="88"/>
      <x:c r="D210" s="32"/>
      <x:c r="G210" s="74"/>
      <x:c r="H210" s="74"/>
      <x:c r="I210" s="74"/>
      <x:c r="J210" s="74"/>
      <x:c r="K210" s="74"/>
      <x:c r="L210" s="74"/>
      <x:c r="M210" s="91"/>
      <x:c r="N210" s="91"/>
      <x:c r="O210" s="85"/>
      <x:c r="Q210" s="86"/>
      <x:c r="R210" s="86"/>
      <x:c r="S210" s="32"/>
    </x:row>
    <x:row r="211">
      <x:c r="A211" s="87"/>
      <x:c r="B211" s="88"/>
      <x:c r="D211" s="32"/>
      <x:c r="G211" s="74"/>
      <x:c r="H211" s="74"/>
      <x:c r="I211" s="74"/>
      <x:c r="J211" s="74"/>
      <x:c r="K211" s="74"/>
      <x:c r="L211" s="74"/>
      <x:c r="M211" s="91"/>
      <x:c r="N211" s="91"/>
      <x:c r="O211" s="85"/>
      <x:c r="Q211" s="86"/>
      <x:c r="R211" s="86"/>
      <x:c r="S211" s="32"/>
    </x:row>
    <x:row r="212">
      <x:c r="A212" s="87"/>
      <x:c r="B212" s="88"/>
      <x:c r="D212" s="32"/>
      <x:c r="G212" s="74"/>
      <x:c r="H212" s="74"/>
      <x:c r="I212" s="74"/>
      <x:c r="J212" s="74"/>
      <x:c r="K212" s="74"/>
      <x:c r="L212" s="74"/>
      <x:c r="M212" s="91"/>
      <x:c r="N212" s="91"/>
      <x:c r="O212" s="85"/>
      <x:c r="Q212" s="86"/>
      <x:c r="R212" s="86"/>
      <x:c r="S212" s="32"/>
    </x:row>
    <x:row r="213">
      <x:c r="A213" s="87"/>
      <x:c r="B213" s="88"/>
      <x:c r="D213" s="32"/>
      <x:c r="G213" s="74"/>
      <x:c r="H213" s="74"/>
      <x:c r="I213" s="74"/>
      <x:c r="J213" s="74"/>
      <x:c r="K213" s="74"/>
      <x:c r="L213" s="74"/>
      <x:c r="M213" s="91"/>
      <x:c r="N213" s="91"/>
      <x:c r="O213" s="85"/>
      <x:c r="Q213" s="86"/>
      <x:c r="R213" s="86"/>
      <x:c r="S213" s="32"/>
    </x:row>
    <x:row r="214">
      <x:c r="A214" s="87"/>
      <x:c r="B214" s="88"/>
      <x:c r="D214" s="32"/>
      <x:c r="G214" s="74"/>
      <x:c r="H214" s="74"/>
      <x:c r="I214" s="74"/>
      <x:c r="J214" s="74"/>
      <x:c r="K214" s="74"/>
      <x:c r="L214" s="74"/>
      <x:c r="M214" s="91"/>
      <x:c r="N214" s="91"/>
      <x:c r="O214" s="85"/>
      <x:c r="Q214" s="86"/>
      <x:c r="R214" s="86"/>
      <x:c r="S214" s="32"/>
    </x:row>
    <x:row r="215">
      <x:c r="A215" s="87"/>
      <x:c r="B215" s="88"/>
      <x:c r="D215" s="32"/>
      <x:c r="G215" s="74"/>
      <x:c r="H215" s="74"/>
      <x:c r="I215" s="74"/>
      <x:c r="J215" s="74"/>
      <x:c r="K215" s="74"/>
      <x:c r="L215" s="74"/>
      <x:c r="M215" s="91"/>
      <x:c r="N215" s="91"/>
      <x:c r="O215" s="85"/>
      <x:c r="Q215" s="86"/>
      <x:c r="R215" s="86"/>
      <x:c r="S215" s="32"/>
    </x:row>
    <x:row r="216">
      <x:c r="A216" s="87"/>
      <x:c r="B216" s="88"/>
      <x:c r="D216" s="32"/>
      <x:c r="G216" s="74"/>
      <x:c r="H216" s="74"/>
      <x:c r="I216" s="74"/>
      <x:c r="J216" s="74"/>
      <x:c r="K216" s="74"/>
      <x:c r="L216" s="74"/>
      <x:c r="M216" s="91"/>
      <x:c r="N216" s="91"/>
      <x:c r="O216" s="85"/>
      <x:c r="Q216" s="86"/>
      <x:c r="R216" s="86"/>
      <x:c r="S216" s="32"/>
    </x:row>
    <x:row r="217">
      <x:c r="A217" s="87"/>
      <x:c r="B217" s="88"/>
      <x:c r="D217" s="32"/>
      <x:c r="G217" s="74"/>
      <x:c r="H217" s="74"/>
      <x:c r="I217" s="74"/>
      <x:c r="J217" s="74"/>
      <x:c r="K217" s="74"/>
      <x:c r="L217" s="74"/>
      <x:c r="M217" s="91"/>
      <x:c r="N217" s="91"/>
      <x:c r="O217" s="85"/>
      <x:c r="Q217" s="86"/>
      <x:c r="R217" s="86"/>
      <x:c r="S217" s="32"/>
    </x:row>
    <x:row r="218">
      <x:c r="A218" s="87"/>
      <x:c r="B218" s="88"/>
      <x:c r="D218" s="32"/>
      <x:c r="G218" s="74"/>
      <x:c r="H218" s="74"/>
      <x:c r="I218" s="74"/>
      <x:c r="J218" s="74"/>
      <x:c r="K218" s="74"/>
      <x:c r="L218" s="74"/>
      <x:c r="M218" s="91"/>
      <x:c r="N218" s="91"/>
      <x:c r="O218" s="85"/>
      <x:c r="Q218" s="86"/>
      <x:c r="R218" s="86"/>
      <x:c r="S218" s="32"/>
    </x:row>
    <x:row r="219">
      <x:c r="A219" s="87"/>
      <x:c r="B219" s="88"/>
      <x:c r="D219" s="32"/>
      <x:c r="G219" s="74"/>
      <x:c r="H219" s="74"/>
      <x:c r="I219" s="74"/>
      <x:c r="J219" s="74"/>
      <x:c r="K219" s="74"/>
      <x:c r="L219" s="74"/>
      <x:c r="M219" s="91"/>
      <x:c r="N219" s="91"/>
      <x:c r="O219" s="85"/>
      <x:c r="Q219" s="86"/>
      <x:c r="R219" s="86"/>
      <x:c r="S219" s="32"/>
    </x:row>
    <x:row r="220">
      <x:c r="A220" s="87"/>
      <x:c r="B220" s="88"/>
      <x:c r="D220" s="32"/>
      <x:c r="G220" s="74"/>
      <x:c r="H220" s="74"/>
      <x:c r="I220" s="74"/>
      <x:c r="J220" s="74"/>
      <x:c r="K220" s="74"/>
      <x:c r="L220" s="74"/>
      <x:c r="M220" s="91"/>
      <x:c r="N220" s="91"/>
      <x:c r="O220" s="85"/>
      <x:c r="Q220" s="86"/>
      <x:c r="R220" s="86"/>
      <x:c r="S220" s="32"/>
    </x:row>
    <x:row r="221">
      <x:c r="A221" s="87"/>
      <x:c r="B221" s="88"/>
      <x:c r="D221" s="32"/>
      <x:c r="G221" s="74"/>
      <x:c r="H221" s="74"/>
      <x:c r="I221" s="74"/>
      <x:c r="J221" s="74"/>
      <x:c r="K221" s="74"/>
      <x:c r="L221" s="74"/>
      <x:c r="M221" s="91"/>
      <x:c r="N221" s="91"/>
      <x:c r="O221" s="85"/>
      <x:c r="Q221" s="86"/>
      <x:c r="R221" s="86"/>
      <x:c r="S221" s="32"/>
    </x:row>
    <x:row r="222">
      <x:c r="A222" s="87"/>
      <x:c r="B222" s="88"/>
      <x:c r="D222" s="32"/>
      <x:c r="G222" s="74"/>
      <x:c r="H222" s="74"/>
      <x:c r="I222" s="74"/>
      <x:c r="J222" s="74"/>
      <x:c r="K222" s="74"/>
      <x:c r="L222" s="74"/>
      <x:c r="M222" s="91"/>
      <x:c r="N222" s="91"/>
      <x:c r="O222" s="85"/>
      <x:c r="Q222" s="86"/>
      <x:c r="R222" s="86"/>
      <x:c r="S222" s="32"/>
    </x:row>
    <x:row r="223">
      <x:c r="A223" s="87"/>
      <x:c r="B223" s="88"/>
      <x:c r="D223" s="32"/>
      <x:c r="G223" s="74"/>
      <x:c r="H223" s="74"/>
      <x:c r="I223" s="74"/>
      <x:c r="J223" s="74"/>
      <x:c r="K223" s="74"/>
      <x:c r="L223" s="74"/>
      <x:c r="M223" s="91"/>
      <x:c r="N223" s="91"/>
      <x:c r="O223" s="85"/>
      <x:c r="Q223" s="86"/>
      <x:c r="R223" s="86"/>
      <x:c r="S223" s="32"/>
    </x:row>
    <x:row r="224">
      <x:c r="A224" s="87"/>
      <x:c r="B224" s="88"/>
      <x:c r="D224" s="32"/>
      <x:c r="G224" s="74"/>
      <x:c r="H224" s="74"/>
      <x:c r="I224" s="74"/>
      <x:c r="J224" s="74"/>
      <x:c r="K224" s="74"/>
      <x:c r="L224" s="74"/>
      <x:c r="M224" s="91"/>
      <x:c r="N224" s="91"/>
      <x:c r="O224" s="85"/>
      <x:c r="Q224" s="86"/>
      <x:c r="R224" s="86"/>
      <x:c r="S224" s="32"/>
    </x:row>
    <x:row r="225">
      <x:c r="A225" s="87"/>
      <x:c r="B225" s="88"/>
      <x:c r="D225" s="32"/>
      <x:c r="G225" s="74"/>
      <x:c r="H225" s="74"/>
      <x:c r="I225" s="74"/>
      <x:c r="J225" s="74"/>
      <x:c r="K225" s="74"/>
      <x:c r="L225" s="74"/>
      <x:c r="M225" s="91"/>
      <x:c r="N225" s="91"/>
      <x:c r="O225" s="85"/>
      <x:c r="Q225" s="86"/>
      <x:c r="R225" s="86"/>
      <x:c r="S225" s="32"/>
    </x:row>
    <x:row r="226">
      <x:c r="A226" s="87"/>
      <x:c r="B226" s="88"/>
      <x:c r="D226" s="32"/>
      <x:c r="G226" s="74"/>
      <x:c r="H226" s="74"/>
      <x:c r="I226" s="74"/>
      <x:c r="J226" s="74"/>
      <x:c r="K226" s="74"/>
      <x:c r="L226" s="74"/>
      <x:c r="M226" s="91"/>
      <x:c r="N226" s="91"/>
      <x:c r="O226" s="85"/>
      <x:c r="Q226" s="86"/>
      <x:c r="R226" s="86"/>
      <x:c r="S226" s="32"/>
    </x:row>
    <x:row r="227">
      <x:c r="A227" s="87"/>
      <x:c r="B227" s="88"/>
      <x:c r="D227" s="32"/>
      <x:c r="G227" s="74"/>
      <x:c r="H227" s="74"/>
      <x:c r="I227" s="74"/>
      <x:c r="J227" s="74"/>
      <x:c r="K227" s="74"/>
      <x:c r="L227" s="74"/>
      <x:c r="M227" s="91"/>
      <x:c r="N227" s="91"/>
      <x:c r="O227" s="85"/>
      <x:c r="Q227" s="86"/>
      <x:c r="R227" s="86"/>
      <x:c r="S227" s="32"/>
    </x:row>
    <x:row r="228">
      <x:c r="A228" s="87"/>
      <x:c r="B228" s="88"/>
      <x:c r="D228" s="32"/>
      <x:c r="G228" s="74"/>
      <x:c r="H228" s="74"/>
      <x:c r="I228" s="74"/>
      <x:c r="J228" s="74"/>
      <x:c r="K228" s="74"/>
      <x:c r="L228" s="74"/>
      <x:c r="M228" s="91"/>
      <x:c r="N228" s="91"/>
      <x:c r="O228" s="85"/>
      <x:c r="Q228" s="86"/>
      <x:c r="R228" s="86"/>
      <x:c r="S228" s="32"/>
    </x:row>
    <x:row r="229">
      <x:c r="A229" s="87"/>
      <x:c r="B229" s="88"/>
      <x:c r="D229" s="32"/>
      <x:c r="G229" s="74"/>
      <x:c r="H229" s="74"/>
      <x:c r="I229" s="74"/>
      <x:c r="J229" s="74"/>
      <x:c r="K229" s="74"/>
      <x:c r="L229" s="74"/>
      <x:c r="M229" s="91"/>
      <x:c r="N229" s="91"/>
      <x:c r="O229" s="85"/>
      <x:c r="Q229" s="86"/>
      <x:c r="R229" s="86"/>
      <x:c r="S229" s="32"/>
    </x:row>
    <x:row r="230">
      <x:c r="A230" s="87"/>
      <x:c r="B230" s="88"/>
      <x:c r="D230" s="32"/>
      <x:c r="G230" s="74"/>
      <x:c r="H230" s="74"/>
      <x:c r="I230" s="74"/>
      <x:c r="J230" s="74"/>
      <x:c r="K230" s="74"/>
      <x:c r="L230" s="74"/>
      <x:c r="M230" s="91"/>
      <x:c r="N230" s="91"/>
      <x:c r="O230" s="85"/>
      <x:c r="Q230" s="86"/>
      <x:c r="R230" s="86"/>
      <x:c r="S230" s="32"/>
    </x:row>
    <x:row r="231">
      <x:c r="A231" s="87"/>
      <x:c r="B231" s="88"/>
      <x:c r="D231" s="32"/>
      <x:c r="G231" s="74"/>
      <x:c r="H231" s="74"/>
      <x:c r="I231" s="74"/>
      <x:c r="J231" s="74"/>
      <x:c r="K231" s="74"/>
      <x:c r="L231" s="74"/>
      <x:c r="M231" s="91"/>
      <x:c r="N231" s="91"/>
      <x:c r="O231" s="85"/>
      <x:c r="Q231" s="86"/>
      <x:c r="R231" s="86"/>
      <x:c r="S231" s="32"/>
    </x:row>
    <x:row r="232">
      <x:c r="A232" s="87"/>
      <x:c r="B232" s="88"/>
      <x:c r="D232" s="32"/>
      <x:c r="G232" s="74"/>
      <x:c r="H232" s="74"/>
      <x:c r="I232" s="74"/>
      <x:c r="J232" s="74"/>
      <x:c r="K232" s="74"/>
      <x:c r="L232" s="74"/>
      <x:c r="M232" s="91"/>
      <x:c r="N232" s="91"/>
      <x:c r="O232" s="85"/>
      <x:c r="Q232" s="86"/>
      <x:c r="R232" s="86"/>
      <x:c r="S232" s="32"/>
    </x:row>
    <x:row r="233">
      <x:c r="A233" s="87"/>
      <x:c r="B233" s="88"/>
      <x:c r="D233" s="32"/>
      <x:c r="G233" s="74"/>
      <x:c r="H233" s="74"/>
      <x:c r="I233" s="74"/>
      <x:c r="J233" s="74"/>
      <x:c r="K233" s="74"/>
      <x:c r="L233" s="74"/>
      <x:c r="M233" s="91"/>
      <x:c r="N233" s="91"/>
      <x:c r="O233" s="85"/>
      <x:c r="Q233" s="86"/>
      <x:c r="R233" s="86"/>
      <x:c r="S233" s="32"/>
    </x:row>
    <x:row r="234">
      <x:c r="A234" s="87"/>
      <x:c r="B234" s="88"/>
      <x:c r="D234" s="32"/>
      <x:c r="G234" s="74"/>
      <x:c r="H234" s="74"/>
      <x:c r="I234" s="74"/>
      <x:c r="J234" s="74"/>
      <x:c r="K234" s="74"/>
      <x:c r="L234" s="74"/>
      <x:c r="M234" s="91"/>
      <x:c r="N234" s="91"/>
      <x:c r="O234" s="85"/>
      <x:c r="Q234" s="86"/>
      <x:c r="R234" s="86"/>
      <x:c r="S234" s="32"/>
    </x:row>
    <x:row r="235">
      <x:c r="A235" s="87"/>
      <x:c r="B235" s="88"/>
      <x:c r="D235" s="32"/>
      <x:c r="G235" s="74"/>
      <x:c r="H235" s="74"/>
      <x:c r="I235" s="74"/>
      <x:c r="J235" s="74"/>
      <x:c r="K235" s="74"/>
      <x:c r="L235" s="74"/>
      <x:c r="M235" s="91"/>
      <x:c r="N235" s="91"/>
      <x:c r="O235" s="85"/>
      <x:c r="Q235" s="86"/>
      <x:c r="R235" s="86"/>
      <x:c r="S235" s="32"/>
    </x:row>
    <x:row r="236">
      <x:c r="A236" s="87"/>
      <x:c r="B236" s="88"/>
      <x:c r="D236" s="32"/>
      <x:c r="G236" s="74"/>
      <x:c r="H236" s="74"/>
      <x:c r="I236" s="74"/>
      <x:c r="J236" s="74"/>
      <x:c r="K236" s="74"/>
      <x:c r="L236" s="74"/>
      <x:c r="M236" s="91"/>
      <x:c r="N236" s="91"/>
      <x:c r="O236" s="85"/>
      <x:c r="Q236" s="86"/>
      <x:c r="R236" s="86"/>
      <x:c r="S236" s="32"/>
    </x:row>
    <x:row r="237">
      <x:c r="A237" s="87"/>
      <x:c r="B237" s="88"/>
      <x:c r="D237" s="32"/>
      <x:c r="G237" s="74"/>
      <x:c r="H237" s="74"/>
      <x:c r="I237" s="74"/>
      <x:c r="J237" s="74"/>
      <x:c r="K237" s="74"/>
      <x:c r="L237" s="74"/>
      <x:c r="M237" s="91"/>
      <x:c r="N237" s="91"/>
      <x:c r="O237" s="85"/>
      <x:c r="Q237" s="86"/>
      <x:c r="R237" s="86"/>
      <x:c r="S237" s="32"/>
    </x:row>
    <x:row r="238">
      <x:c r="A238" s="87"/>
      <x:c r="B238" s="88"/>
      <x:c r="D238" s="32"/>
      <x:c r="G238" s="74"/>
      <x:c r="H238" s="74"/>
      <x:c r="I238" s="74"/>
      <x:c r="J238" s="74"/>
      <x:c r="K238" s="74"/>
      <x:c r="L238" s="74"/>
      <x:c r="M238" s="91"/>
      <x:c r="N238" s="91"/>
      <x:c r="O238" s="85"/>
      <x:c r="Q238" s="86"/>
      <x:c r="R238" s="86"/>
      <x:c r="S238" s="32"/>
    </x:row>
    <x:row r="239">
      <x:c r="A239" s="87"/>
      <x:c r="B239" s="88"/>
      <x:c r="D239" s="32"/>
      <x:c r="G239" s="74"/>
      <x:c r="H239" s="74"/>
      <x:c r="I239" s="74"/>
      <x:c r="J239" s="74"/>
      <x:c r="K239" s="74"/>
      <x:c r="L239" s="74"/>
      <x:c r="M239" s="91"/>
      <x:c r="N239" s="91"/>
      <x:c r="O239" s="85"/>
      <x:c r="Q239" s="86"/>
      <x:c r="R239" s="86"/>
      <x:c r="S239" s="32"/>
    </x:row>
    <x:row r="240">
      <x:c r="A240" s="87"/>
      <x:c r="B240" s="88"/>
      <x:c r="D240" s="32"/>
      <x:c r="G240" s="74"/>
      <x:c r="H240" s="74"/>
      <x:c r="I240" s="74"/>
      <x:c r="J240" s="74"/>
      <x:c r="K240" s="74"/>
      <x:c r="L240" s="74"/>
      <x:c r="M240" s="91"/>
      <x:c r="N240" s="91"/>
      <x:c r="O240" s="85"/>
      <x:c r="Q240" s="86"/>
      <x:c r="R240" s="86"/>
      <x:c r="S240" s="32"/>
    </x:row>
    <x:row r="241">
      <x:c r="A241" s="87"/>
      <x:c r="B241" s="88"/>
      <x:c r="D241" s="32"/>
      <x:c r="G241" s="74"/>
      <x:c r="H241" s="74"/>
      <x:c r="I241" s="74"/>
      <x:c r="J241" s="74"/>
      <x:c r="K241" s="74"/>
      <x:c r="L241" s="74"/>
      <x:c r="M241" s="91"/>
      <x:c r="N241" s="91"/>
      <x:c r="O241" s="85"/>
      <x:c r="Q241" s="86"/>
      <x:c r="R241" s="86"/>
      <x:c r="S241" s="32"/>
    </x:row>
    <x:row r="242">
      <x:c r="A242" s="87"/>
      <x:c r="B242" s="88"/>
      <x:c r="D242" s="32"/>
      <x:c r="G242" s="74"/>
      <x:c r="H242" s="74"/>
      <x:c r="I242" s="74"/>
      <x:c r="J242" s="74"/>
      <x:c r="K242" s="74"/>
      <x:c r="L242" s="74"/>
      <x:c r="M242" s="91"/>
      <x:c r="N242" s="91"/>
      <x:c r="O242" s="85"/>
      <x:c r="Q242" s="86"/>
      <x:c r="R242" s="86"/>
      <x:c r="S242" s="32"/>
    </x:row>
    <x:row r="243">
      <x:c r="A243" s="87"/>
      <x:c r="B243" s="88"/>
      <x:c r="D243" s="32"/>
      <x:c r="G243" s="74"/>
      <x:c r="H243" s="74"/>
      <x:c r="I243" s="74"/>
      <x:c r="J243" s="74"/>
      <x:c r="K243" s="74"/>
      <x:c r="L243" s="74"/>
      <x:c r="M243" s="91"/>
      <x:c r="N243" s="91"/>
      <x:c r="O243" s="85"/>
      <x:c r="Q243" s="86"/>
      <x:c r="R243" s="86"/>
      <x:c r="S243" s="32"/>
    </x:row>
    <x:row r="244">
      <x:c r="A244" s="87"/>
      <x:c r="B244" s="88"/>
      <x:c r="D244" s="32"/>
      <x:c r="G244" s="74"/>
      <x:c r="H244" s="74"/>
      <x:c r="I244" s="74"/>
      <x:c r="J244" s="74"/>
      <x:c r="K244" s="74"/>
      <x:c r="L244" s="74"/>
      <x:c r="M244" s="91"/>
      <x:c r="N244" s="91"/>
      <x:c r="O244" s="85"/>
      <x:c r="Q244" s="86"/>
      <x:c r="R244" s="86"/>
      <x:c r="S244" s="32"/>
    </x:row>
    <x:row r="245">
      <x:c r="A245" s="87"/>
      <x:c r="B245" s="88"/>
      <x:c r="D245" s="32"/>
      <x:c r="G245" s="74"/>
      <x:c r="H245" s="74"/>
      <x:c r="I245" s="74"/>
      <x:c r="J245" s="74"/>
      <x:c r="K245" s="74"/>
      <x:c r="L245" s="74"/>
      <x:c r="M245" s="91"/>
      <x:c r="N245" s="91"/>
      <x:c r="O245" s="85"/>
      <x:c r="Q245" s="86"/>
      <x:c r="R245" s="86"/>
      <x:c r="S245" s="32"/>
    </x:row>
    <x:row r="246">
      <x:c r="A246" s="87"/>
      <x:c r="B246" s="88"/>
      <x:c r="D246" s="32"/>
      <x:c r="G246" s="74"/>
      <x:c r="H246" s="74"/>
      <x:c r="I246" s="74"/>
      <x:c r="J246" s="74"/>
      <x:c r="K246" s="74"/>
      <x:c r="L246" s="74"/>
      <x:c r="M246" s="91"/>
      <x:c r="N246" s="91"/>
      <x:c r="O246" s="85"/>
      <x:c r="Q246" s="86"/>
      <x:c r="R246" s="86"/>
      <x:c r="S246" s="32"/>
    </x:row>
    <x:row r="247">
      <x:c r="A247" s="87"/>
      <x:c r="B247" s="88"/>
      <x:c r="D247" s="32"/>
      <x:c r="G247" s="74"/>
      <x:c r="H247" s="74"/>
      <x:c r="I247" s="74"/>
      <x:c r="J247" s="74"/>
      <x:c r="K247" s="74"/>
      <x:c r="L247" s="74"/>
      <x:c r="M247" s="91"/>
      <x:c r="N247" s="91"/>
      <x:c r="O247" s="85"/>
      <x:c r="Q247" s="86"/>
      <x:c r="R247" s="86"/>
      <x:c r="S247" s="32"/>
    </x:row>
    <x:row r="248">
      <x:c r="A248" s="87"/>
      <x:c r="B248" s="88"/>
      <x:c r="D248" s="32"/>
      <x:c r="G248" s="74"/>
      <x:c r="H248" s="74"/>
      <x:c r="I248" s="74"/>
      <x:c r="J248" s="74"/>
      <x:c r="K248" s="74"/>
      <x:c r="L248" s="74"/>
      <x:c r="M248" s="91"/>
      <x:c r="N248" s="91"/>
      <x:c r="O248" s="85"/>
      <x:c r="Q248" s="86"/>
      <x:c r="R248" s="86"/>
      <x:c r="S248" s="32"/>
    </x:row>
    <x:row r="249">
      <x:c r="A249" s="87"/>
      <x:c r="B249" s="88"/>
      <x:c r="D249" s="32"/>
      <x:c r="G249" s="74"/>
      <x:c r="H249" s="74"/>
      <x:c r="I249" s="74"/>
      <x:c r="J249" s="74"/>
      <x:c r="K249" s="74"/>
      <x:c r="L249" s="74"/>
      <x:c r="M249" s="91"/>
      <x:c r="N249" s="91"/>
      <x:c r="O249" s="85"/>
      <x:c r="Q249" s="86"/>
      <x:c r="R249" s="86"/>
      <x:c r="S249" s="32"/>
    </x:row>
    <x:row r="250">
      <x:c r="A250" s="87"/>
      <x:c r="B250" s="88"/>
      <x:c r="D250" s="32"/>
      <x:c r="G250" s="74"/>
      <x:c r="H250" s="74"/>
      <x:c r="I250" s="74"/>
      <x:c r="J250" s="74"/>
      <x:c r="K250" s="74"/>
      <x:c r="L250" s="74"/>
      <x:c r="M250" s="91"/>
      <x:c r="N250" s="91"/>
      <x:c r="O250" s="85"/>
      <x:c r="Q250" s="86"/>
      <x:c r="R250" s="86"/>
      <x:c r="S250" s="32"/>
    </x:row>
    <x:row r="251">
      <x:c r="A251" s="87"/>
      <x:c r="B251" s="88"/>
      <x:c r="D251" s="32"/>
      <x:c r="G251" s="74"/>
      <x:c r="H251" s="74"/>
      <x:c r="I251" s="74"/>
      <x:c r="J251" s="74"/>
      <x:c r="K251" s="74"/>
      <x:c r="L251" s="74"/>
      <x:c r="M251" s="91"/>
      <x:c r="N251" s="91"/>
      <x:c r="O251" s="85"/>
      <x:c r="Q251" s="86"/>
      <x:c r="R251" s="86"/>
      <x:c r="S251" s="32"/>
    </x:row>
    <x:row r="252">
      <x:c r="A252" s="87"/>
      <x:c r="B252" s="88"/>
      <x:c r="D252" s="32"/>
      <x:c r="G252" s="74"/>
      <x:c r="H252" s="74"/>
      <x:c r="I252" s="74"/>
      <x:c r="J252" s="74"/>
      <x:c r="K252" s="74"/>
      <x:c r="L252" s="74"/>
      <x:c r="M252" s="91"/>
      <x:c r="N252" s="91"/>
      <x:c r="O252" s="85"/>
      <x:c r="Q252" s="86"/>
      <x:c r="R252" s="86"/>
      <x:c r="S252" s="32"/>
    </x:row>
    <x:row r="253">
      <x:c r="A253" s="87"/>
      <x:c r="B253" s="88"/>
      <x:c r="D253" s="32"/>
      <x:c r="G253" s="74"/>
      <x:c r="H253" s="74"/>
      <x:c r="I253" s="74"/>
      <x:c r="J253" s="74"/>
      <x:c r="K253" s="74"/>
      <x:c r="L253" s="74"/>
      <x:c r="M253" s="91"/>
      <x:c r="N253" s="91"/>
      <x:c r="O253" s="85"/>
      <x:c r="Q253" s="86"/>
      <x:c r="R253" s="86"/>
      <x:c r="S253" s="32"/>
    </x:row>
    <x:row r="254">
      <x:c r="A254" s="87"/>
      <x:c r="B254" s="88"/>
      <x:c r="D254" s="32"/>
      <x:c r="G254" s="74"/>
      <x:c r="H254" s="74"/>
      <x:c r="I254" s="74"/>
      <x:c r="J254" s="74"/>
      <x:c r="K254" s="74"/>
      <x:c r="L254" s="74"/>
      <x:c r="M254" s="91"/>
      <x:c r="N254" s="91"/>
      <x:c r="O254" s="85"/>
      <x:c r="Q254" s="86"/>
      <x:c r="R254" s="86"/>
      <x:c r="S254" s="32"/>
    </x:row>
    <x:row r="255">
      <x:c r="A255" s="87"/>
      <x:c r="B255" s="88"/>
      <x:c r="D255" s="32"/>
      <x:c r="G255" s="74"/>
      <x:c r="H255" s="74"/>
      <x:c r="I255" s="74"/>
      <x:c r="J255" s="74"/>
      <x:c r="K255" s="74"/>
      <x:c r="L255" s="74"/>
      <x:c r="M255" s="91"/>
      <x:c r="N255" s="91"/>
      <x:c r="O255" s="85"/>
      <x:c r="Q255" s="86"/>
      <x:c r="R255" s="86"/>
      <x:c r="S255" s="32"/>
    </x:row>
    <x:row r="256">
      <x:c r="A256" s="87"/>
      <x:c r="B256" s="88"/>
      <x:c r="D256" s="32"/>
      <x:c r="G256" s="74"/>
      <x:c r="H256" s="74"/>
      <x:c r="I256" s="74"/>
      <x:c r="J256" s="74"/>
      <x:c r="K256" s="74"/>
      <x:c r="L256" s="74"/>
      <x:c r="M256" s="91"/>
      <x:c r="N256" s="91"/>
      <x:c r="O256" s="85"/>
      <x:c r="Q256" s="86"/>
      <x:c r="R256" s="86"/>
      <x:c r="S256" s="32"/>
    </x:row>
    <x:row r="257">
      <x:c r="A257" s="87"/>
      <x:c r="B257" s="88"/>
      <x:c r="D257" s="32"/>
      <x:c r="G257" s="74"/>
      <x:c r="H257" s="74"/>
      <x:c r="I257" s="74"/>
      <x:c r="J257" s="74"/>
      <x:c r="K257" s="74"/>
      <x:c r="L257" s="74"/>
      <x:c r="M257" s="91"/>
      <x:c r="N257" s="91"/>
      <x:c r="O257" s="85"/>
      <x:c r="Q257" s="86"/>
      <x:c r="R257" s="86"/>
      <x:c r="S257" s="32"/>
    </x:row>
    <x:row r="258">
      <x:c r="A258" s="87"/>
      <x:c r="B258" s="88"/>
      <x:c r="D258" s="32"/>
      <x:c r="G258" s="74"/>
      <x:c r="H258" s="74"/>
      <x:c r="I258" s="74"/>
      <x:c r="J258" s="74"/>
      <x:c r="K258" s="74"/>
      <x:c r="L258" s="74"/>
      <x:c r="M258" s="91"/>
      <x:c r="N258" s="91"/>
      <x:c r="O258" s="85"/>
      <x:c r="Q258" s="86"/>
      <x:c r="R258" s="86"/>
      <x:c r="S258" s="32"/>
    </x:row>
    <x:row r="259">
      <x:c r="A259" s="87"/>
      <x:c r="B259" s="88"/>
      <x:c r="D259" s="32"/>
      <x:c r="G259" s="74"/>
      <x:c r="H259" s="74"/>
      <x:c r="I259" s="74"/>
      <x:c r="J259" s="74"/>
      <x:c r="K259" s="74"/>
      <x:c r="L259" s="74"/>
      <x:c r="M259" s="91"/>
      <x:c r="N259" s="91"/>
      <x:c r="O259" s="85"/>
      <x:c r="Q259" s="86"/>
      <x:c r="R259" s="86"/>
      <x:c r="S259" s="32"/>
    </x:row>
    <x:row r="260">
      <x:c r="A260" s="87"/>
      <x:c r="B260" s="88"/>
      <x:c r="D260" s="32"/>
      <x:c r="G260" s="74"/>
      <x:c r="H260" s="74"/>
      <x:c r="I260" s="74"/>
      <x:c r="J260" s="74"/>
      <x:c r="K260" s="74"/>
      <x:c r="L260" s="74"/>
      <x:c r="M260" s="91"/>
      <x:c r="N260" s="91"/>
      <x:c r="O260" s="85"/>
      <x:c r="Q260" s="86"/>
      <x:c r="R260" s="86"/>
      <x:c r="S260" s="32"/>
    </x:row>
    <x:row r="261">
      <x:c r="A261" s="87"/>
      <x:c r="B261" s="88"/>
      <x:c r="D261" s="32"/>
      <x:c r="G261" s="74"/>
      <x:c r="H261" s="74"/>
      <x:c r="I261" s="74"/>
      <x:c r="J261" s="74"/>
      <x:c r="K261" s="74"/>
      <x:c r="L261" s="74"/>
      <x:c r="M261" s="91"/>
      <x:c r="N261" s="91"/>
      <x:c r="O261" s="85"/>
      <x:c r="Q261" s="86"/>
      <x:c r="R261" s="86"/>
      <x:c r="S261" s="32"/>
    </x:row>
    <x:row r="262">
      <x:c r="A262" s="87"/>
      <x:c r="B262" s="88"/>
      <x:c r="D262" s="32"/>
      <x:c r="G262" s="74"/>
      <x:c r="H262" s="74"/>
      <x:c r="I262" s="74"/>
      <x:c r="J262" s="74"/>
      <x:c r="K262" s="74"/>
      <x:c r="L262" s="74"/>
      <x:c r="M262" s="91"/>
      <x:c r="N262" s="91"/>
      <x:c r="O262" s="85"/>
      <x:c r="Q262" s="86"/>
      <x:c r="R262" s="86"/>
      <x:c r="S262" s="32"/>
    </x:row>
    <x:row r="263">
      <x:c r="A263" s="87"/>
      <x:c r="B263" s="88"/>
      <x:c r="D263" s="32"/>
      <x:c r="G263" s="74"/>
      <x:c r="H263" s="74"/>
      <x:c r="I263" s="74"/>
      <x:c r="J263" s="74"/>
      <x:c r="K263" s="74"/>
      <x:c r="L263" s="74"/>
      <x:c r="M263" s="91"/>
      <x:c r="N263" s="91"/>
      <x:c r="O263" s="85"/>
      <x:c r="Q263" s="86"/>
      <x:c r="R263" s="86"/>
      <x:c r="S263" s="32"/>
    </x:row>
    <x:row r="264">
      <x:c r="A264" s="87"/>
      <x:c r="B264" s="88"/>
      <x:c r="D264" s="32"/>
      <x:c r="G264" s="74"/>
      <x:c r="H264" s="74"/>
      <x:c r="I264" s="74"/>
      <x:c r="J264" s="74"/>
      <x:c r="K264" s="74"/>
      <x:c r="L264" s="74"/>
      <x:c r="M264" s="91"/>
      <x:c r="N264" s="91"/>
      <x:c r="O264" s="85"/>
      <x:c r="Q264" s="86"/>
      <x:c r="R264" s="86"/>
      <x:c r="S264" s="32"/>
    </x:row>
    <x:row r="265">
      <x:c r="A265" s="87"/>
      <x:c r="B265" s="88"/>
      <x:c r="D265" s="32"/>
      <x:c r="G265" s="74"/>
      <x:c r="H265" s="74"/>
      <x:c r="I265" s="74"/>
      <x:c r="J265" s="74"/>
      <x:c r="K265" s="74"/>
      <x:c r="L265" s="74"/>
      <x:c r="M265" s="91"/>
      <x:c r="N265" s="91"/>
      <x:c r="O265" s="85"/>
      <x:c r="Q265" s="86"/>
      <x:c r="R265" s="86"/>
      <x:c r="S265" s="32"/>
    </x:row>
    <x:row r="266">
      <x:c r="A266" s="87"/>
      <x:c r="B266" s="88"/>
      <x:c r="D266" s="32"/>
      <x:c r="G266" s="74"/>
      <x:c r="H266" s="74"/>
      <x:c r="I266" s="74"/>
      <x:c r="J266" s="74"/>
      <x:c r="K266" s="74"/>
      <x:c r="L266" s="74"/>
      <x:c r="M266" s="91"/>
      <x:c r="N266" s="91"/>
      <x:c r="O266" s="85"/>
      <x:c r="Q266" s="86"/>
      <x:c r="R266" s="86"/>
      <x:c r="S266" s="32"/>
    </x:row>
    <x:row r="267">
      <x:c r="A267" s="87"/>
      <x:c r="B267" s="88"/>
      <x:c r="D267" s="32"/>
      <x:c r="G267" s="74"/>
      <x:c r="H267" s="74"/>
      <x:c r="I267" s="74"/>
      <x:c r="J267" s="74"/>
      <x:c r="K267" s="74"/>
      <x:c r="L267" s="74"/>
      <x:c r="M267" s="91"/>
      <x:c r="N267" s="91"/>
      <x:c r="O267" s="85"/>
      <x:c r="Q267" s="86"/>
      <x:c r="R267" s="86"/>
      <x:c r="S267" s="32"/>
    </x:row>
    <x:row r="268">
      <x:c r="A268" s="87"/>
      <x:c r="B268" s="88"/>
      <x:c r="D268" s="32"/>
      <x:c r="G268" s="74"/>
      <x:c r="H268" s="74"/>
      <x:c r="I268" s="74"/>
      <x:c r="J268" s="74"/>
      <x:c r="K268" s="74"/>
      <x:c r="L268" s="74"/>
      <x:c r="M268" s="91"/>
      <x:c r="N268" s="91"/>
      <x:c r="O268" s="85"/>
      <x:c r="Q268" s="86"/>
      <x:c r="R268" s="86"/>
      <x:c r="S268" s="32"/>
    </x:row>
    <x:row r="269">
      <x:c r="A269" s="87"/>
      <x:c r="B269" s="88"/>
      <x:c r="D269" s="32"/>
      <x:c r="G269" s="74"/>
      <x:c r="H269" s="74"/>
      <x:c r="I269" s="74"/>
      <x:c r="J269" s="74"/>
      <x:c r="K269" s="74"/>
      <x:c r="L269" s="74"/>
      <x:c r="M269" s="91"/>
      <x:c r="N269" s="91"/>
      <x:c r="O269" s="85"/>
      <x:c r="Q269" s="86"/>
      <x:c r="R269" s="86"/>
      <x:c r="S269" s="32"/>
    </x:row>
    <x:row r="270">
      <x:c r="A270" s="87"/>
      <x:c r="B270" s="88"/>
      <x:c r="D270" s="32"/>
      <x:c r="G270" s="74"/>
      <x:c r="H270" s="74"/>
      <x:c r="I270" s="74"/>
      <x:c r="J270" s="74"/>
      <x:c r="K270" s="74"/>
      <x:c r="L270" s="74"/>
      <x:c r="M270" s="91"/>
      <x:c r="N270" s="91"/>
      <x:c r="O270" s="85"/>
      <x:c r="Q270" s="86"/>
      <x:c r="R270" s="86"/>
      <x:c r="S270" s="32"/>
    </x:row>
    <x:row r="271">
      <x:c r="A271" s="87"/>
      <x:c r="B271" s="88"/>
      <x:c r="D271" s="32"/>
      <x:c r="G271" s="74"/>
      <x:c r="H271" s="74"/>
      <x:c r="I271" s="74"/>
      <x:c r="J271" s="74"/>
      <x:c r="K271" s="74"/>
      <x:c r="L271" s="74"/>
      <x:c r="M271" s="91"/>
      <x:c r="N271" s="91"/>
      <x:c r="O271" s="85"/>
      <x:c r="Q271" s="86"/>
      <x:c r="R271" s="86"/>
      <x:c r="S271" s="32"/>
    </x:row>
    <x:row r="272">
      <x:c r="A272" s="87"/>
      <x:c r="B272" s="88"/>
      <x:c r="D272" s="32"/>
      <x:c r="G272" s="74"/>
      <x:c r="H272" s="74"/>
      <x:c r="I272" s="74"/>
      <x:c r="J272" s="74"/>
      <x:c r="K272" s="74"/>
      <x:c r="L272" s="74"/>
      <x:c r="M272" s="91"/>
      <x:c r="N272" s="91"/>
      <x:c r="O272" s="85"/>
      <x:c r="Q272" s="86"/>
      <x:c r="R272" s="86"/>
      <x:c r="S272" s="32"/>
    </x:row>
    <x:row r="273">
      <x:c r="A273" s="87"/>
      <x:c r="B273" s="88"/>
      <x:c r="D273" s="32"/>
      <x:c r="G273" s="74"/>
      <x:c r="H273" s="74"/>
      <x:c r="I273" s="74"/>
      <x:c r="J273" s="74"/>
      <x:c r="K273" s="74"/>
      <x:c r="L273" s="74"/>
      <x:c r="M273" s="91"/>
      <x:c r="N273" s="91"/>
      <x:c r="O273" s="85"/>
      <x:c r="Q273" s="86"/>
      <x:c r="R273" s="86"/>
      <x:c r="S273" s="32"/>
    </x:row>
    <x:row r="274">
      <x:c r="A274" s="87"/>
      <x:c r="B274" s="88"/>
      <x:c r="D274" s="32"/>
      <x:c r="G274" s="74"/>
      <x:c r="H274" s="74"/>
      <x:c r="I274" s="74"/>
      <x:c r="J274" s="74"/>
      <x:c r="K274" s="74"/>
      <x:c r="L274" s="74"/>
      <x:c r="M274" s="91"/>
      <x:c r="N274" s="91"/>
      <x:c r="O274" s="85"/>
      <x:c r="Q274" s="86"/>
      <x:c r="R274" s="86"/>
      <x:c r="S274" s="32"/>
    </x:row>
    <x:row r="275">
      <x:c r="A275" s="87"/>
      <x:c r="B275" s="88"/>
      <x:c r="D275" s="32"/>
      <x:c r="G275" s="74"/>
      <x:c r="H275" s="74"/>
      <x:c r="I275" s="74"/>
      <x:c r="J275" s="74"/>
      <x:c r="K275" s="74"/>
      <x:c r="L275" s="74"/>
      <x:c r="M275" s="91"/>
      <x:c r="N275" s="91"/>
      <x:c r="O275" s="85"/>
      <x:c r="Q275" s="86"/>
      <x:c r="R275" s="86"/>
      <x:c r="S275" s="32"/>
    </x:row>
    <x:row r="276">
      <x:c r="A276" s="87"/>
      <x:c r="B276" s="88"/>
      <x:c r="D276" s="32"/>
      <x:c r="G276" s="74"/>
      <x:c r="H276" s="74"/>
      <x:c r="I276" s="74"/>
      <x:c r="J276" s="74"/>
      <x:c r="K276" s="74"/>
      <x:c r="L276" s="74"/>
      <x:c r="M276" s="91"/>
      <x:c r="N276" s="91"/>
      <x:c r="O276" s="85"/>
      <x:c r="Q276" s="86"/>
      <x:c r="R276" s="86"/>
      <x:c r="S276" s="32"/>
    </x:row>
    <x:row r="277">
      <x:c r="A277" s="87"/>
      <x:c r="B277" s="88"/>
      <x:c r="D277" s="32"/>
      <x:c r="G277" s="74"/>
      <x:c r="H277" s="74"/>
      <x:c r="I277" s="74"/>
      <x:c r="J277" s="74"/>
      <x:c r="K277" s="74"/>
      <x:c r="L277" s="74"/>
      <x:c r="M277" s="91"/>
      <x:c r="N277" s="91"/>
      <x:c r="O277" s="85"/>
      <x:c r="Q277" s="86"/>
      <x:c r="R277" s="86"/>
      <x:c r="S277" s="32"/>
    </x:row>
    <x:row r="278">
      <x:c r="A278" s="87"/>
      <x:c r="B278" s="88"/>
      <x:c r="D278" s="32"/>
      <x:c r="G278" s="74"/>
      <x:c r="H278" s="74"/>
      <x:c r="I278" s="74"/>
      <x:c r="J278" s="74"/>
      <x:c r="K278" s="74"/>
      <x:c r="L278" s="74"/>
      <x:c r="M278" s="91"/>
      <x:c r="N278" s="91"/>
      <x:c r="O278" s="85"/>
      <x:c r="Q278" s="86"/>
      <x:c r="R278" s="86"/>
      <x:c r="S278" s="32"/>
    </x:row>
    <x:row r="279">
      <x:c r="A279" s="87"/>
      <x:c r="B279" s="88"/>
      <x:c r="D279" s="32"/>
      <x:c r="G279" s="74"/>
      <x:c r="H279" s="74"/>
      <x:c r="I279" s="74"/>
      <x:c r="J279" s="74"/>
      <x:c r="K279" s="74"/>
      <x:c r="L279" s="74"/>
      <x:c r="M279" s="91"/>
      <x:c r="N279" s="91"/>
      <x:c r="O279" s="85"/>
      <x:c r="Q279" s="86"/>
      <x:c r="R279" s="86"/>
      <x:c r="S279" s="32"/>
    </x:row>
    <x:row r="280">
      <x:c r="A280" s="87"/>
      <x:c r="B280" s="88"/>
      <x:c r="D280" s="32"/>
      <x:c r="G280" s="74"/>
      <x:c r="H280" s="74"/>
      <x:c r="I280" s="74"/>
      <x:c r="J280" s="74"/>
      <x:c r="K280" s="74"/>
      <x:c r="L280" s="74"/>
      <x:c r="M280" s="91"/>
      <x:c r="N280" s="91"/>
      <x:c r="O280" s="85"/>
      <x:c r="Q280" s="86"/>
      <x:c r="R280" s="86"/>
      <x:c r="S280" s="32"/>
    </x:row>
    <x:row r="281">
      <x:c r="A281" s="87"/>
      <x:c r="B281" s="88"/>
      <x:c r="D281" s="32"/>
      <x:c r="G281" s="74"/>
      <x:c r="H281" s="74"/>
      <x:c r="I281" s="74"/>
      <x:c r="J281" s="74"/>
      <x:c r="K281" s="74"/>
      <x:c r="L281" s="74"/>
      <x:c r="M281" s="91"/>
      <x:c r="N281" s="91"/>
      <x:c r="O281" s="85"/>
      <x:c r="Q281" s="86"/>
      <x:c r="R281" s="86"/>
      <x:c r="S281" s="32"/>
    </x:row>
    <x:row r="282">
      <x:c r="A282" s="87"/>
      <x:c r="B282" s="88"/>
      <x:c r="D282" s="32"/>
      <x:c r="G282" s="74"/>
      <x:c r="H282" s="74"/>
      <x:c r="I282" s="74"/>
      <x:c r="J282" s="74"/>
      <x:c r="K282" s="74"/>
      <x:c r="L282" s="74"/>
      <x:c r="M282" s="91"/>
      <x:c r="N282" s="91"/>
      <x:c r="O282" s="85"/>
      <x:c r="Q282" s="86"/>
      <x:c r="R282" s="86"/>
      <x:c r="S282" s="32"/>
    </x:row>
    <x:row r="283">
      <x:c r="A283" s="87"/>
      <x:c r="B283" s="88"/>
      <x:c r="D283" s="32"/>
      <x:c r="G283" s="74"/>
      <x:c r="H283" s="74"/>
      <x:c r="I283" s="74"/>
      <x:c r="J283" s="74"/>
      <x:c r="K283" s="74"/>
      <x:c r="L283" s="74"/>
      <x:c r="M283" s="91"/>
      <x:c r="N283" s="91"/>
      <x:c r="O283" s="85"/>
      <x:c r="Q283" s="86"/>
      <x:c r="R283" s="86"/>
      <x:c r="S283" s="32"/>
    </x:row>
    <x:row r="284">
      <x:c r="A284" s="87"/>
      <x:c r="B284" s="88"/>
      <x:c r="D284" s="32"/>
      <x:c r="G284" s="74"/>
      <x:c r="H284" s="74"/>
      <x:c r="I284" s="74"/>
      <x:c r="J284" s="74"/>
      <x:c r="K284" s="74"/>
      <x:c r="L284" s="74"/>
      <x:c r="M284" s="91"/>
      <x:c r="N284" s="91"/>
      <x:c r="O284" s="85"/>
      <x:c r="Q284" s="86"/>
      <x:c r="R284" s="86"/>
      <x:c r="S284" s="32"/>
    </x:row>
    <x:row r="285">
      <x:c r="A285" s="87"/>
      <x:c r="B285" s="88"/>
      <x:c r="D285" s="32"/>
      <x:c r="G285" s="74"/>
      <x:c r="H285" s="74"/>
      <x:c r="I285" s="74"/>
      <x:c r="J285" s="74"/>
      <x:c r="K285" s="74"/>
      <x:c r="L285" s="74"/>
      <x:c r="M285" s="91"/>
      <x:c r="N285" s="91"/>
      <x:c r="O285" s="85"/>
      <x:c r="Q285" s="86"/>
      <x:c r="R285" s="86"/>
      <x:c r="S285" s="32"/>
    </x:row>
    <x:row r="286">
      <x:c r="A286" s="87"/>
      <x:c r="B286" s="88"/>
      <x:c r="D286" s="32"/>
      <x:c r="G286" s="74"/>
      <x:c r="H286" s="74"/>
      <x:c r="I286" s="74"/>
      <x:c r="J286" s="74"/>
      <x:c r="K286" s="74"/>
      <x:c r="L286" s="74"/>
      <x:c r="M286" s="91"/>
      <x:c r="N286" s="91"/>
      <x:c r="O286" s="85"/>
      <x:c r="Q286" s="86"/>
      <x:c r="R286" s="86"/>
      <x:c r="S286" s="32"/>
    </x:row>
    <x:row r="287">
      <x:c r="A287" s="87"/>
      <x:c r="B287" s="88"/>
      <x:c r="D287" s="32"/>
      <x:c r="G287" s="74"/>
      <x:c r="H287" s="74"/>
      <x:c r="I287" s="74"/>
      <x:c r="J287" s="74"/>
      <x:c r="K287" s="74"/>
      <x:c r="L287" s="74"/>
      <x:c r="M287" s="91"/>
      <x:c r="N287" s="91"/>
      <x:c r="O287" s="85"/>
      <x:c r="Q287" s="86"/>
      <x:c r="R287" s="86"/>
      <x:c r="S287" s="32"/>
    </x:row>
    <x:row r="288">
      <x:c r="A288" s="87"/>
      <x:c r="B288" s="88"/>
      <x:c r="D288" s="32"/>
      <x:c r="G288" s="74"/>
      <x:c r="H288" s="74"/>
      <x:c r="I288" s="74"/>
      <x:c r="J288" s="74"/>
      <x:c r="K288" s="74"/>
      <x:c r="L288" s="74"/>
      <x:c r="M288" s="91"/>
      <x:c r="N288" s="91"/>
      <x:c r="O288" s="85"/>
      <x:c r="Q288" s="86"/>
      <x:c r="R288" s="86"/>
      <x:c r="S288" s="32"/>
    </x:row>
    <x:row r="289">
      <x:c r="A289" s="87"/>
      <x:c r="B289" s="88"/>
      <x:c r="D289" s="32"/>
      <x:c r="G289" s="74"/>
      <x:c r="H289" s="74"/>
      <x:c r="I289" s="74"/>
      <x:c r="J289" s="74"/>
      <x:c r="K289" s="74"/>
      <x:c r="L289" s="74"/>
      <x:c r="M289" s="91"/>
      <x:c r="N289" s="91"/>
      <x:c r="O289" s="85"/>
      <x:c r="Q289" s="86"/>
      <x:c r="R289" s="86"/>
      <x:c r="S289" s="32"/>
    </x:row>
    <x:row r="290">
      <x:c r="A290" s="87"/>
      <x:c r="B290" s="88"/>
      <x:c r="D290" s="32"/>
      <x:c r="G290" s="74"/>
      <x:c r="H290" s="74"/>
      <x:c r="I290" s="74"/>
      <x:c r="J290" s="74"/>
      <x:c r="K290" s="74"/>
      <x:c r="L290" s="74"/>
      <x:c r="M290" s="91"/>
      <x:c r="N290" s="91"/>
      <x:c r="O290" s="85"/>
      <x:c r="Q290" s="86"/>
      <x:c r="R290" s="86"/>
      <x:c r="S290" s="32"/>
    </x:row>
    <x:row r="291">
      <x:c r="A291" s="87"/>
      <x:c r="B291" s="88"/>
      <x:c r="D291" s="32"/>
      <x:c r="G291" s="74"/>
      <x:c r="H291" s="74"/>
      <x:c r="I291" s="74"/>
      <x:c r="J291" s="74"/>
      <x:c r="K291" s="74"/>
      <x:c r="L291" s="74"/>
      <x:c r="M291" s="91"/>
      <x:c r="N291" s="91"/>
      <x:c r="O291" s="85"/>
      <x:c r="Q291" s="86"/>
      <x:c r="R291" s="86"/>
      <x:c r="S291" s="32"/>
    </x:row>
    <x:row r="292">
      <x:c r="A292" s="87"/>
      <x:c r="B292" s="88"/>
      <x:c r="D292" s="32"/>
      <x:c r="G292" s="74"/>
      <x:c r="H292" s="74"/>
      <x:c r="I292" s="74"/>
      <x:c r="J292" s="74"/>
      <x:c r="K292" s="74"/>
      <x:c r="L292" s="74"/>
      <x:c r="M292" s="91"/>
      <x:c r="N292" s="91"/>
      <x:c r="O292" s="85"/>
      <x:c r="Q292" s="86"/>
      <x:c r="R292" s="86"/>
      <x:c r="S292" s="32"/>
    </x:row>
    <x:row r="293">
      <x:c r="A293" s="87"/>
      <x:c r="B293" s="88"/>
      <x:c r="D293" s="32"/>
      <x:c r="G293" s="74"/>
      <x:c r="H293" s="74"/>
      <x:c r="I293" s="74"/>
      <x:c r="J293" s="74"/>
      <x:c r="K293" s="74"/>
      <x:c r="L293" s="74"/>
      <x:c r="M293" s="91"/>
      <x:c r="N293" s="91"/>
      <x:c r="O293" s="85"/>
      <x:c r="Q293" s="86"/>
      <x:c r="R293" s="86"/>
      <x:c r="S293" s="32"/>
    </x:row>
    <x:row r="294">
      <x:c r="A294" s="87"/>
      <x:c r="B294" s="88"/>
      <x:c r="D294" s="32"/>
      <x:c r="G294" s="74"/>
      <x:c r="H294" s="74"/>
      <x:c r="I294" s="74"/>
      <x:c r="J294" s="74"/>
      <x:c r="K294" s="74"/>
      <x:c r="L294" s="74"/>
      <x:c r="M294" s="91"/>
      <x:c r="N294" s="91"/>
      <x:c r="O294" s="85"/>
      <x:c r="Q294" s="86"/>
      <x:c r="R294" s="86"/>
      <x:c r="S294" s="32"/>
    </x:row>
    <x:row r="295">
      <x:c r="A295" s="87"/>
      <x:c r="B295" s="88"/>
      <x:c r="D295" s="32"/>
      <x:c r="G295" s="74"/>
      <x:c r="H295" s="74"/>
      <x:c r="I295" s="74"/>
      <x:c r="J295" s="74"/>
      <x:c r="K295" s="74"/>
      <x:c r="L295" s="74"/>
      <x:c r="M295" s="91"/>
      <x:c r="N295" s="91"/>
      <x:c r="O295" s="85"/>
      <x:c r="Q295" s="86"/>
      <x:c r="R295" s="86"/>
      <x:c r="S295" s="32"/>
    </x:row>
    <x:row r="296">
      <x:c r="A296" s="87"/>
      <x:c r="B296" s="88"/>
      <x:c r="D296" s="32"/>
      <x:c r="G296" s="74"/>
      <x:c r="H296" s="74"/>
      <x:c r="I296" s="74"/>
      <x:c r="J296" s="74"/>
      <x:c r="K296" s="74"/>
      <x:c r="L296" s="74"/>
      <x:c r="M296" s="91"/>
      <x:c r="N296" s="91"/>
      <x:c r="O296" s="85"/>
      <x:c r="Q296" s="86"/>
      <x:c r="R296" s="86"/>
      <x:c r="S296" s="32"/>
    </x:row>
    <x:row r="297">
      <x:c r="A297" s="87"/>
      <x:c r="B297" s="88"/>
      <x:c r="D297" s="32"/>
      <x:c r="G297" s="74"/>
      <x:c r="H297" s="74"/>
      <x:c r="I297" s="74"/>
      <x:c r="J297" s="74"/>
      <x:c r="K297" s="74"/>
      <x:c r="L297" s="74"/>
      <x:c r="M297" s="91"/>
      <x:c r="N297" s="91"/>
      <x:c r="O297" s="85"/>
      <x:c r="Q297" s="86"/>
      <x:c r="R297" s="86"/>
      <x:c r="S297" s="32"/>
    </x:row>
    <x:row r="298">
      <x:c r="A298" s="87"/>
      <x:c r="B298" s="88"/>
      <x:c r="D298" s="32"/>
      <x:c r="G298" s="74"/>
      <x:c r="H298" s="74"/>
      <x:c r="I298" s="74"/>
      <x:c r="J298" s="74"/>
      <x:c r="K298" s="74"/>
      <x:c r="L298" s="74"/>
      <x:c r="M298" s="91"/>
      <x:c r="N298" s="91"/>
      <x:c r="O298" s="85"/>
      <x:c r="Q298" s="86"/>
      <x:c r="R298" s="86"/>
      <x:c r="S298" s="32"/>
    </x:row>
    <x:row r="299">
      <x:c r="A299" s="87"/>
      <x:c r="B299" s="88"/>
      <x:c r="D299" s="32"/>
      <x:c r="G299" s="74"/>
      <x:c r="H299" s="74"/>
      <x:c r="I299" s="74"/>
      <x:c r="J299" s="74"/>
      <x:c r="K299" s="74"/>
      <x:c r="L299" s="74"/>
      <x:c r="M299" s="91"/>
      <x:c r="N299" s="91"/>
      <x:c r="O299" s="85"/>
      <x:c r="Q299" s="86"/>
      <x:c r="R299" s="86"/>
      <x:c r="S299" s="32"/>
    </x:row>
    <x:row r="300">
      <x:c r="A300" s="87"/>
      <x:c r="B300" s="88"/>
      <x:c r="D300" s="32"/>
      <x:c r="G300" s="74"/>
      <x:c r="H300" s="74"/>
      <x:c r="I300" s="74"/>
      <x:c r="J300" s="74"/>
      <x:c r="K300" s="74"/>
      <x:c r="L300" s="74"/>
      <x:c r="M300" s="91"/>
      <x:c r="N300" s="91"/>
      <x:c r="O300" s="85"/>
      <x:c r="Q300" s="86"/>
      <x:c r="R300" s="86"/>
      <x:c r="S300" s="32"/>
    </x:row>
    <x:row r="301">
      <x:c r="A301" s="87"/>
      <x:c r="B301" s="88"/>
      <x:c r="D301" s="32"/>
      <x:c r="G301" s="74"/>
      <x:c r="H301" s="74"/>
      <x:c r="I301" s="74"/>
      <x:c r="J301" s="74"/>
      <x:c r="K301" s="74"/>
      <x:c r="L301" s="74"/>
      <x:c r="M301" s="91"/>
      <x:c r="N301" s="91"/>
      <x:c r="O301" s="85"/>
      <x:c r="Q301" s="86"/>
      <x:c r="R301" s="86"/>
      <x:c r="S301" s="32"/>
    </x:row>
    <x:row r="302">
      <x:c r="A302" s="87"/>
      <x:c r="B302" s="88"/>
      <x:c r="D302" s="32"/>
      <x:c r="G302" s="74"/>
      <x:c r="H302" s="74"/>
      <x:c r="I302" s="74"/>
      <x:c r="J302" s="74"/>
      <x:c r="K302" s="74"/>
      <x:c r="L302" s="74"/>
      <x:c r="M302" s="91"/>
      <x:c r="N302" s="91"/>
      <x:c r="O302" s="85"/>
      <x:c r="Q302" s="86"/>
      <x:c r="R302" s="86"/>
      <x:c r="S302" s="32"/>
    </x:row>
    <x:row r="303">
      <x:c r="A303" s="87"/>
      <x:c r="B303" s="88"/>
      <x:c r="D303" s="32"/>
      <x:c r="G303" s="74"/>
      <x:c r="H303" s="74"/>
      <x:c r="I303" s="74"/>
      <x:c r="J303" s="74"/>
      <x:c r="K303" s="74"/>
      <x:c r="L303" s="74"/>
      <x:c r="M303" s="91"/>
      <x:c r="N303" s="91"/>
      <x:c r="O303" s="85"/>
      <x:c r="Q303" s="86"/>
      <x:c r="R303" s="86"/>
      <x:c r="S303" s="32"/>
    </x:row>
    <x:row r="304">
      <x:c r="A304" s="87"/>
      <x:c r="B304" s="88"/>
      <x:c r="D304" s="32"/>
      <x:c r="G304" s="74"/>
      <x:c r="H304" s="74"/>
      <x:c r="I304" s="74"/>
      <x:c r="J304" s="74"/>
      <x:c r="K304" s="74"/>
      <x:c r="L304" s="74"/>
      <x:c r="M304" s="91"/>
      <x:c r="N304" s="91"/>
      <x:c r="O304" s="85"/>
      <x:c r="Q304" s="86"/>
      <x:c r="R304" s="86"/>
      <x:c r="S304" s="32"/>
    </x:row>
    <x:row r="305">
      <x:c r="A305" s="87"/>
      <x:c r="B305" s="88"/>
      <x:c r="D305" s="32"/>
      <x:c r="G305" s="74"/>
      <x:c r="H305" s="74"/>
      <x:c r="I305" s="74"/>
      <x:c r="J305" s="74"/>
      <x:c r="K305" s="74"/>
      <x:c r="L305" s="74"/>
      <x:c r="M305" s="91"/>
      <x:c r="N305" s="91"/>
      <x:c r="O305" s="85"/>
      <x:c r="Q305" s="86"/>
      <x:c r="R305" s="86"/>
      <x:c r="S305" s="32"/>
    </x:row>
    <x:row r="306">
      <x:c r="A306" s="87"/>
      <x:c r="B306" s="88"/>
      <x:c r="D306" s="32"/>
      <x:c r="G306" s="74"/>
      <x:c r="H306" s="74"/>
      <x:c r="I306" s="74"/>
      <x:c r="J306" s="74"/>
      <x:c r="K306" s="74"/>
      <x:c r="L306" s="74"/>
      <x:c r="M306" s="91"/>
      <x:c r="N306" s="91"/>
      <x:c r="O306" s="85"/>
      <x:c r="Q306" s="86"/>
      <x:c r="R306" s="86"/>
      <x:c r="S306" s="32"/>
    </x:row>
    <x:row r="307">
      <x:c r="A307" s="87"/>
      <x:c r="B307" s="88"/>
      <x:c r="D307" s="32"/>
      <x:c r="G307" s="74"/>
      <x:c r="H307" s="74"/>
      <x:c r="I307" s="74"/>
      <x:c r="J307" s="74"/>
      <x:c r="K307" s="74"/>
      <x:c r="L307" s="74"/>
      <x:c r="M307" s="91"/>
      <x:c r="N307" s="91"/>
      <x:c r="O307" s="85"/>
      <x:c r="Q307" s="86"/>
      <x:c r="R307" s="86"/>
      <x:c r="S307" s="32"/>
    </x:row>
    <x:row r="308">
      <x:c r="A308" s="87"/>
      <x:c r="B308" s="88"/>
      <x:c r="D308" s="32"/>
      <x:c r="G308" s="74"/>
      <x:c r="H308" s="74"/>
      <x:c r="I308" s="74"/>
      <x:c r="J308" s="74"/>
      <x:c r="K308" s="74"/>
      <x:c r="L308" s="74"/>
      <x:c r="M308" s="91"/>
      <x:c r="N308" s="91"/>
      <x:c r="O308" s="85"/>
      <x:c r="Q308" s="86"/>
      <x:c r="R308" s="86"/>
      <x:c r="S308" s="32"/>
    </x:row>
    <x:row r="309">
      <x:c r="A309" s="87"/>
      <x:c r="B309" s="88"/>
      <x:c r="D309" s="32"/>
      <x:c r="G309" s="74"/>
      <x:c r="H309" s="74"/>
      <x:c r="I309" s="74"/>
      <x:c r="J309" s="74"/>
      <x:c r="K309" s="74"/>
      <x:c r="L309" s="74"/>
      <x:c r="M309" s="91"/>
      <x:c r="N309" s="91"/>
      <x:c r="O309" s="85"/>
      <x:c r="Q309" s="86"/>
      <x:c r="R309" s="86"/>
      <x:c r="S309" s="32"/>
    </x:row>
    <x:row r="310">
      <x:c r="A310" s="87"/>
      <x:c r="B310" s="88"/>
      <x:c r="D310" s="32"/>
      <x:c r="G310" s="74"/>
      <x:c r="H310" s="74"/>
      <x:c r="I310" s="74"/>
      <x:c r="J310" s="74"/>
      <x:c r="K310" s="74"/>
      <x:c r="L310" s="74"/>
      <x:c r="M310" s="91"/>
      <x:c r="N310" s="91"/>
      <x:c r="O310" s="85"/>
      <x:c r="Q310" s="86"/>
      <x:c r="R310" s="86"/>
      <x:c r="S310" s="32"/>
    </x:row>
    <x:row r="311">
      <x:c r="A311" s="87"/>
      <x:c r="B311" s="88"/>
      <x:c r="D311" s="32"/>
      <x:c r="G311" s="74"/>
      <x:c r="H311" s="74"/>
      <x:c r="I311" s="74"/>
      <x:c r="J311" s="74"/>
      <x:c r="K311" s="74"/>
      <x:c r="L311" s="74"/>
      <x:c r="M311" s="91"/>
      <x:c r="N311" s="91"/>
      <x:c r="O311" s="85"/>
      <x:c r="Q311" s="86"/>
      <x:c r="R311" s="86"/>
      <x:c r="S311" s="32"/>
    </x:row>
    <x:row r="312">
      <x:c r="A312" s="87"/>
      <x:c r="B312" s="88"/>
      <x:c r="D312" s="32"/>
      <x:c r="G312" s="74"/>
      <x:c r="H312" s="74"/>
      <x:c r="I312" s="74"/>
      <x:c r="J312" s="74"/>
      <x:c r="K312" s="74"/>
      <x:c r="L312" s="74"/>
      <x:c r="M312" s="91"/>
      <x:c r="N312" s="91"/>
      <x:c r="O312" s="85"/>
      <x:c r="Q312" s="86"/>
      <x:c r="R312" s="86"/>
      <x:c r="S312" s="32"/>
    </x:row>
    <x:row r="313">
      <x:c r="A313" s="87"/>
      <x:c r="B313" s="88"/>
      <x:c r="D313" s="32"/>
      <x:c r="G313" s="74"/>
      <x:c r="H313" s="74"/>
      <x:c r="I313" s="74"/>
      <x:c r="J313" s="74"/>
      <x:c r="K313" s="74"/>
      <x:c r="L313" s="74"/>
      <x:c r="M313" s="91"/>
      <x:c r="N313" s="91"/>
      <x:c r="O313" s="85"/>
      <x:c r="Q313" s="86"/>
      <x:c r="R313" s="86"/>
      <x:c r="S313" s="32"/>
    </x:row>
    <x:row r="314">
      <x:c r="A314" s="87"/>
      <x:c r="B314" s="88"/>
      <x:c r="D314" s="32"/>
      <x:c r="G314" s="74"/>
      <x:c r="H314" s="74"/>
      <x:c r="I314" s="74"/>
      <x:c r="J314" s="74"/>
      <x:c r="K314" s="74"/>
      <x:c r="L314" s="74"/>
      <x:c r="M314" s="91"/>
      <x:c r="N314" s="91"/>
      <x:c r="O314" s="85"/>
      <x:c r="Q314" s="86"/>
      <x:c r="R314" s="86"/>
      <x:c r="S314" s="32"/>
    </x:row>
    <x:row r="315">
      <x:c r="A315" s="87"/>
      <x:c r="B315" s="88"/>
      <x:c r="D315" s="32"/>
      <x:c r="G315" s="74"/>
      <x:c r="H315" s="74"/>
      <x:c r="I315" s="74"/>
      <x:c r="J315" s="74"/>
      <x:c r="K315" s="74"/>
      <x:c r="L315" s="74"/>
      <x:c r="M315" s="91"/>
      <x:c r="N315" s="91"/>
      <x:c r="O315" s="85"/>
      <x:c r="Q315" s="86"/>
      <x:c r="R315" s="86"/>
      <x:c r="S315" s="32"/>
    </x:row>
    <x:row r="316">
      <x:c r="A316" s="87"/>
      <x:c r="B316" s="88"/>
      <x:c r="D316" s="32"/>
      <x:c r="G316" s="74"/>
      <x:c r="H316" s="74"/>
      <x:c r="I316" s="74"/>
      <x:c r="J316" s="74"/>
      <x:c r="K316" s="74"/>
      <x:c r="L316" s="74"/>
      <x:c r="M316" s="91"/>
      <x:c r="N316" s="91"/>
      <x:c r="O316" s="85"/>
      <x:c r="Q316" s="86"/>
      <x:c r="R316" s="86"/>
      <x:c r="S316" s="32"/>
    </x:row>
    <x:row r="317">
      <x:c r="A317" s="87"/>
      <x:c r="B317" s="88"/>
      <x:c r="D317" s="32"/>
      <x:c r="G317" s="74"/>
      <x:c r="H317" s="74"/>
      <x:c r="I317" s="74"/>
      <x:c r="J317" s="74"/>
      <x:c r="K317" s="74"/>
      <x:c r="L317" s="74"/>
      <x:c r="M317" s="91"/>
      <x:c r="N317" s="91"/>
      <x:c r="O317" s="85"/>
      <x:c r="Q317" s="86"/>
      <x:c r="R317" s="86"/>
      <x:c r="S317" s="32"/>
    </x:row>
    <x:row r="318">
      <x:c r="A318" s="87"/>
      <x:c r="B318" s="88"/>
      <x:c r="D318" s="32"/>
      <x:c r="G318" s="74"/>
      <x:c r="H318" s="74"/>
      <x:c r="I318" s="74"/>
      <x:c r="J318" s="74"/>
      <x:c r="K318" s="74"/>
      <x:c r="L318" s="74"/>
      <x:c r="M318" s="91"/>
      <x:c r="N318" s="91"/>
      <x:c r="O318" s="85"/>
      <x:c r="Q318" s="86"/>
      <x:c r="R318" s="86"/>
      <x:c r="S318" s="32"/>
    </x:row>
    <x:row r="319">
      <x:c r="A319" s="87"/>
      <x:c r="B319" s="88"/>
      <x:c r="D319" s="32"/>
      <x:c r="G319" s="74"/>
      <x:c r="H319" s="74"/>
      <x:c r="I319" s="74"/>
      <x:c r="J319" s="74"/>
      <x:c r="K319" s="74"/>
      <x:c r="L319" s="74"/>
      <x:c r="M319" s="91"/>
      <x:c r="N319" s="91"/>
      <x:c r="O319" s="85"/>
      <x:c r="Q319" s="86"/>
      <x:c r="R319" s="86"/>
      <x:c r="S319" s="32"/>
    </x:row>
    <x:row r="320">
      <x:c r="A320" s="87"/>
      <x:c r="B320" s="88"/>
      <x:c r="D320" s="32"/>
      <x:c r="G320" s="74"/>
      <x:c r="H320" s="74"/>
      <x:c r="I320" s="74"/>
      <x:c r="J320" s="74"/>
      <x:c r="K320" s="74"/>
      <x:c r="L320" s="74"/>
      <x:c r="M320" s="91"/>
      <x:c r="N320" s="91"/>
      <x:c r="O320" s="85"/>
      <x:c r="Q320" s="86"/>
      <x:c r="R320" s="86"/>
      <x:c r="S320" s="32"/>
    </x:row>
    <x:row r="321">
      <x:c r="A321" s="87"/>
      <x:c r="B321" s="88"/>
      <x:c r="D321" s="32"/>
      <x:c r="G321" s="74"/>
      <x:c r="H321" s="74"/>
      <x:c r="I321" s="74"/>
      <x:c r="J321" s="74"/>
      <x:c r="K321" s="74"/>
      <x:c r="L321" s="74"/>
      <x:c r="M321" s="91"/>
      <x:c r="N321" s="91"/>
      <x:c r="O321" s="85"/>
      <x:c r="Q321" s="86"/>
      <x:c r="R321" s="86"/>
      <x:c r="S321" s="32"/>
    </x:row>
    <x:row r="322">
      <x:c r="A322" s="87"/>
      <x:c r="B322" s="88"/>
      <x:c r="D322" s="32"/>
      <x:c r="G322" s="74"/>
      <x:c r="H322" s="74"/>
      <x:c r="I322" s="74"/>
      <x:c r="J322" s="74"/>
      <x:c r="K322" s="74"/>
      <x:c r="L322" s="74"/>
      <x:c r="M322" s="91"/>
      <x:c r="N322" s="91"/>
      <x:c r="O322" s="85"/>
      <x:c r="Q322" s="86"/>
      <x:c r="R322" s="86"/>
      <x:c r="S322" s="32"/>
    </x:row>
    <x:row r="323">
      <x:c r="A323" s="87"/>
      <x:c r="B323" s="88"/>
      <x:c r="D323" s="32"/>
      <x:c r="G323" s="74"/>
      <x:c r="H323" s="74"/>
      <x:c r="I323" s="74"/>
      <x:c r="J323" s="74"/>
      <x:c r="K323" s="74"/>
      <x:c r="L323" s="74"/>
      <x:c r="M323" s="91"/>
      <x:c r="N323" s="91"/>
      <x:c r="O323" s="85"/>
      <x:c r="Q323" s="86"/>
      <x:c r="R323" s="86"/>
      <x:c r="S323" s="32"/>
    </x:row>
    <x:row r="324">
      <x:c r="A324" s="87"/>
      <x:c r="B324" s="88"/>
      <x:c r="D324" s="32"/>
      <x:c r="G324" s="74"/>
      <x:c r="H324" s="74"/>
      <x:c r="I324" s="74"/>
      <x:c r="J324" s="74"/>
      <x:c r="K324" s="74"/>
      <x:c r="L324" s="74"/>
      <x:c r="M324" s="91"/>
      <x:c r="N324" s="91"/>
      <x:c r="O324" s="85"/>
      <x:c r="Q324" s="86"/>
      <x:c r="R324" s="86"/>
      <x:c r="S324" s="32"/>
    </x:row>
    <x:row r="325">
      <x:c r="A325" s="87"/>
      <x:c r="B325" s="88"/>
      <x:c r="D325" s="32"/>
      <x:c r="G325" s="74"/>
      <x:c r="H325" s="74"/>
      <x:c r="I325" s="74"/>
      <x:c r="J325" s="74"/>
      <x:c r="K325" s="74"/>
      <x:c r="L325" s="74"/>
      <x:c r="M325" s="91"/>
      <x:c r="N325" s="91"/>
      <x:c r="O325" s="85"/>
      <x:c r="Q325" s="86"/>
      <x:c r="R325" s="86"/>
      <x:c r="S325" s="32"/>
    </x:row>
    <x:row r="326">
      <x:c r="A326" s="87"/>
      <x:c r="B326" s="88"/>
      <x:c r="D326" s="32"/>
      <x:c r="G326" s="74"/>
      <x:c r="H326" s="74"/>
      <x:c r="I326" s="74"/>
      <x:c r="J326" s="74"/>
      <x:c r="K326" s="74"/>
      <x:c r="L326" s="74"/>
      <x:c r="M326" s="91"/>
      <x:c r="N326" s="91"/>
      <x:c r="O326" s="85"/>
      <x:c r="Q326" s="86"/>
      <x:c r="R326" s="86"/>
      <x:c r="S326" s="32"/>
    </x:row>
    <x:row r="327">
      <x:c r="A327" s="87"/>
      <x:c r="B327" s="88"/>
      <x:c r="D327" s="32"/>
      <x:c r="G327" s="74"/>
      <x:c r="H327" s="74"/>
      <x:c r="I327" s="74"/>
      <x:c r="J327" s="74"/>
      <x:c r="K327" s="74"/>
      <x:c r="L327" s="74"/>
      <x:c r="M327" s="91"/>
      <x:c r="N327" s="91"/>
      <x:c r="O327" s="85"/>
      <x:c r="Q327" s="86"/>
      <x:c r="R327" s="86"/>
      <x:c r="S327" s="32"/>
    </x:row>
    <x:row r="328">
      <x:c r="A328" s="87"/>
      <x:c r="B328" s="88"/>
      <x:c r="D328" s="32"/>
      <x:c r="G328" s="74"/>
      <x:c r="H328" s="74"/>
      <x:c r="I328" s="74"/>
      <x:c r="J328" s="74"/>
      <x:c r="K328" s="74"/>
      <x:c r="L328" s="74"/>
      <x:c r="M328" s="91"/>
      <x:c r="N328" s="91"/>
      <x:c r="O328" s="85"/>
      <x:c r="Q328" s="86"/>
      <x:c r="R328" s="86"/>
      <x:c r="S328" s="32"/>
    </x:row>
    <x:row r="329">
      <x:c r="A329" s="87"/>
      <x:c r="B329" s="88"/>
      <x:c r="D329" s="32"/>
      <x:c r="G329" s="74"/>
      <x:c r="H329" s="74"/>
      <x:c r="I329" s="74"/>
      <x:c r="J329" s="74"/>
      <x:c r="K329" s="74"/>
      <x:c r="L329" s="74"/>
      <x:c r="M329" s="91"/>
      <x:c r="N329" s="91"/>
      <x:c r="O329" s="85"/>
      <x:c r="Q329" s="86"/>
      <x:c r="R329" s="86"/>
      <x:c r="S329" s="32"/>
    </x:row>
    <x:row r="330">
      <x:c r="A330" s="87"/>
      <x:c r="B330" s="88"/>
      <x:c r="D330" s="32"/>
      <x:c r="G330" s="74"/>
      <x:c r="H330" s="74"/>
      <x:c r="I330" s="74"/>
      <x:c r="J330" s="74"/>
      <x:c r="K330" s="74"/>
      <x:c r="L330" s="74"/>
      <x:c r="M330" s="91"/>
      <x:c r="N330" s="91"/>
      <x:c r="O330" s="85"/>
      <x:c r="Q330" s="86"/>
      <x:c r="R330" s="86"/>
      <x:c r="S330" s="32"/>
    </x:row>
    <x:row r="331">
      <x:c r="A331" s="87"/>
      <x:c r="B331" s="88"/>
      <x:c r="D331" s="32"/>
      <x:c r="G331" s="74"/>
      <x:c r="H331" s="74"/>
      <x:c r="I331" s="74"/>
      <x:c r="J331" s="74"/>
      <x:c r="K331" s="74"/>
      <x:c r="L331" s="74"/>
      <x:c r="M331" s="91"/>
      <x:c r="N331" s="91"/>
      <x:c r="O331" s="85"/>
      <x:c r="Q331" s="86"/>
      <x:c r="R331" s="86"/>
      <x:c r="S331" s="32"/>
    </x:row>
    <x:row r="332">
      <x:c r="A332" s="87"/>
      <x:c r="B332" s="88"/>
      <x:c r="D332" s="32"/>
      <x:c r="G332" s="74"/>
      <x:c r="H332" s="74"/>
      <x:c r="I332" s="74"/>
      <x:c r="J332" s="74"/>
      <x:c r="K332" s="74"/>
      <x:c r="L332" s="74"/>
      <x:c r="M332" s="91"/>
      <x:c r="N332" s="91"/>
      <x:c r="O332" s="85"/>
      <x:c r="Q332" s="86"/>
      <x:c r="R332" s="86"/>
      <x:c r="S332" s="32"/>
    </x:row>
    <x:row r="333">
      <x:c r="A333" s="87"/>
      <x:c r="B333" s="88"/>
      <x:c r="D333" s="32"/>
      <x:c r="G333" s="74"/>
      <x:c r="H333" s="74"/>
      <x:c r="I333" s="74"/>
      <x:c r="J333" s="74"/>
      <x:c r="K333" s="74"/>
      <x:c r="L333" s="74"/>
      <x:c r="M333" s="91"/>
      <x:c r="N333" s="91"/>
      <x:c r="O333" s="85"/>
      <x:c r="Q333" s="86"/>
      <x:c r="R333" s="86"/>
      <x:c r="S333" s="32"/>
    </x:row>
    <x:row r="334">
      <x:c r="A334" s="87"/>
      <x:c r="B334" s="88"/>
      <x:c r="D334" s="32"/>
      <x:c r="G334" s="74"/>
      <x:c r="H334" s="74"/>
      <x:c r="I334" s="74"/>
      <x:c r="J334" s="74"/>
      <x:c r="K334" s="74"/>
      <x:c r="L334" s="74"/>
      <x:c r="M334" s="91"/>
      <x:c r="N334" s="91"/>
      <x:c r="O334" s="85"/>
      <x:c r="Q334" s="86"/>
      <x:c r="R334" s="86"/>
      <x:c r="S334" s="32"/>
    </x:row>
    <x:row r="335">
      <x:c r="A335" s="87"/>
      <x:c r="B335" s="88"/>
      <x:c r="D335" s="32"/>
      <x:c r="G335" s="74"/>
      <x:c r="H335" s="74"/>
      <x:c r="I335" s="74"/>
      <x:c r="J335" s="74"/>
      <x:c r="K335" s="74"/>
      <x:c r="L335" s="74"/>
      <x:c r="M335" s="91"/>
      <x:c r="N335" s="91"/>
      <x:c r="O335" s="85"/>
      <x:c r="Q335" s="86"/>
      <x:c r="R335" s="86"/>
      <x:c r="S335" s="32"/>
    </x:row>
    <x:row r="336">
      <x:c r="A336" s="87"/>
      <x:c r="B336" s="88"/>
      <x:c r="D336" s="32"/>
      <x:c r="G336" s="74"/>
      <x:c r="H336" s="74"/>
      <x:c r="I336" s="74"/>
      <x:c r="J336" s="74"/>
      <x:c r="K336" s="74"/>
      <x:c r="L336" s="74"/>
      <x:c r="M336" s="91"/>
      <x:c r="N336" s="91"/>
      <x:c r="O336" s="85"/>
      <x:c r="Q336" s="86"/>
      <x:c r="R336" s="86"/>
      <x:c r="S336" s="32"/>
    </x:row>
    <x:row r="337">
      <x:c r="A337" s="87"/>
      <x:c r="B337" s="88"/>
      <x:c r="D337" s="32"/>
      <x:c r="G337" s="74"/>
      <x:c r="H337" s="74"/>
      <x:c r="I337" s="74"/>
      <x:c r="J337" s="74"/>
      <x:c r="K337" s="74"/>
      <x:c r="L337" s="74"/>
      <x:c r="M337" s="91"/>
      <x:c r="N337" s="91"/>
      <x:c r="O337" s="85"/>
      <x:c r="Q337" s="86"/>
      <x:c r="R337" s="86"/>
      <x:c r="S337" s="32"/>
    </x:row>
    <x:row r="338">
      <x:c r="A338" s="87"/>
      <x:c r="B338" s="88"/>
      <x:c r="D338" s="32"/>
      <x:c r="G338" s="74"/>
      <x:c r="H338" s="74"/>
      <x:c r="I338" s="74"/>
      <x:c r="J338" s="74"/>
      <x:c r="K338" s="74"/>
      <x:c r="L338" s="74"/>
      <x:c r="M338" s="91"/>
      <x:c r="N338" s="91"/>
      <x:c r="O338" s="85"/>
      <x:c r="Q338" s="86"/>
      <x:c r="R338" s="86"/>
      <x:c r="S338" s="32"/>
    </x:row>
    <x:row r="339">
      <x:c r="A339" s="87"/>
      <x:c r="B339" s="88"/>
      <x:c r="D339" s="32"/>
      <x:c r="G339" s="74"/>
      <x:c r="H339" s="74"/>
      <x:c r="I339" s="74"/>
      <x:c r="J339" s="74"/>
      <x:c r="K339" s="74"/>
      <x:c r="L339" s="74"/>
      <x:c r="M339" s="91"/>
      <x:c r="N339" s="91"/>
      <x:c r="O339" s="85"/>
      <x:c r="Q339" s="86"/>
      <x:c r="R339" s="86"/>
      <x:c r="S339" s="32"/>
    </x:row>
    <x:row r="340">
      <x:c r="A340" s="87"/>
      <x:c r="B340" s="88"/>
      <x:c r="D340" s="32"/>
      <x:c r="G340" s="74"/>
      <x:c r="H340" s="74"/>
      <x:c r="I340" s="74"/>
      <x:c r="J340" s="74"/>
      <x:c r="K340" s="74"/>
      <x:c r="L340" s="74"/>
      <x:c r="M340" s="91"/>
      <x:c r="N340" s="91"/>
      <x:c r="O340" s="85"/>
      <x:c r="Q340" s="86"/>
      <x:c r="R340" s="86"/>
      <x:c r="S340" s="32"/>
    </x:row>
    <x:row r="341">
      <x:c r="A341" s="87"/>
      <x:c r="B341" s="88"/>
      <x:c r="D341" s="32"/>
      <x:c r="G341" s="74"/>
      <x:c r="H341" s="74"/>
      <x:c r="I341" s="74"/>
      <x:c r="J341" s="74"/>
      <x:c r="K341" s="74"/>
      <x:c r="L341" s="74"/>
      <x:c r="M341" s="91"/>
      <x:c r="N341" s="91"/>
      <x:c r="O341" s="85"/>
      <x:c r="Q341" s="86"/>
      <x:c r="R341" s="86"/>
      <x:c r="S341" s="32"/>
    </x:row>
    <x:row r="342">
      <x:c r="A342" s="87"/>
      <x:c r="B342" s="88"/>
      <x:c r="D342" s="32"/>
      <x:c r="G342" s="74"/>
      <x:c r="H342" s="74"/>
      <x:c r="I342" s="74"/>
      <x:c r="J342" s="74"/>
      <x:c r="K342" s="74"/>
      <x:c r="L342" s="74"/>
      <x:c r="M342" s="91"/>
      <x:c r="N342" s="91"/>
      <x:c r="O342" s="85"/>
      <x:c r="Q342" s="86"/>
      <x:c r="R342" s="86"/>
      <x:c r="S342" s="32"/>
    </x:row>
    <x:row r="343">
      <x:c r="A343" s="87"/>
      <x:c r="B343" s="88"/>
      <x:c r="D343" s="32"/>
      <x:c r="G343" s="74"/>
      <x:c r="H343" s="74"/>
      <x:c r="I343" s="74"/>
      <x:c r="J343" s="74"/>
      <x:c r="K343" s="74"/>
      <x:c r="L343" s="74"/>
      <x:c r="M343" s="91"/>
      <x:c r="N343" s="91"/>
      <x:c r="O343" s="85"/>
      <x:c r="Q343" s="86"/>
      <x:c r="R343" s="86"/>
      <x:c r="S343" s="32"/>
    </x:row>
    <x:row r="344">
      <x:c r="A344" s="87"/>
      <x:c r="B344" s="88"/>
      <x:c r="D344" s="32"/>
      <x:c r="G344" s="74"/>
      <x:c r="H344" s="74"/>
      <x:c r="I344" s="74"/>
      <x:c r="J344" s="74"/>
      <x:c r="K344" s="74"/>
      <x:c r="L344" s="74"/>
      <x:c r="M344" s="91"/>
      <x:c r="N344" s="91"/>
      <x:c r="O344" s="85"/>
      <x:c r="Q344" s="86"/>
      <x:c r="R344" s="86"/>
      <x:c r="S344" s="32"/>
    </x:row>
    <x:row r="345">
      <x:c r="A345" s="87"/>
      <x:c r="B345" s="88"/>
      <x:c r="D345" s="32"/>
      <x:c r="G345" s="74"/>
      <x:c r="H345" s="74"/>
      <x:c r="I345" s="74"/>
      <x:c r="J345" s="74"/>
      <x:c r="K345" s="74"/>
      <x:c r="L345" s="74"/>
      <x:c r="M345" s="91"/>
      <x:c r="N345" s="91"/>
      <x:c r="O345" s="85"/>
      <x:c r="Q345" s="86"/>
      <x:c r="R345" s="86"/>
      <x:c r="S345" s="32"/>
    </x:row>
    <x:row r="346">
      <x:c r="A346" s="87"/>
      <x:c r="B346" s="88"/>
      <x:c r="D346" s="32"/>
      <x:c r="G346" s="74"/>
      <x:c r="H346" s="74"/>
      <x:c r="I346" s="74"/>
      <x:c r="J346" s="74"/>
      <x:c r="K346" s="74"/>
      <x:c r="L346" s="74"/>
      <x:c r="M346" s="91"/>
      <x:c r="N346" s="91"/>
      <x:c r="O346" s="85"/>
      <x:c r="Q346" s="86"/>
      <x:c r="R346" s="86"/>
      <x:c r="S346" s="32"/>
    </x:row>
    <x:row r="347">
      <x:c r="A347" s="87"/>
      <x:c r="B347" s="88"/>
      <x:c r="D347" s="32"/>
      <x:c r="G347" s="74"/>
      <x:c r="H347" s="74"/>
      <x:c r="I347" s="74"/>
      <x:c r="J347" s="74"/>
      <x:c r="K347" s="74"/>
      <x:c r="L347" s="74"/>
      <x:c r="M347" s="91"/>
      <x:c r="N347" s="91"/>
      <x:c r="O347" s="85"/>
      <x:c r="Q347" s="86"/>
      <x:c r="R347" s="86"/>
      <x:c r="S347" s="32"/>
    </x:row>
    <x:row r="348">
      <x:c r="A348" s="87"/>
      <x:c r="B348" s="88"/>
      <x:c r="D348" s="32"/>
      <x:c r="G348" s="74"/>
      <x:c r="H348" s="74"/>
      <x:c r="I348" s="74"/>
      <x:c r="J348" s="74"/>
      <x:c r="K348" s="74"/>
      <x:c r="L348" s="74"/>
      <x:c r="M348" s="91"/>
      <x:c r="N348" s="91"/>
      <x:c r="O348" s="85"/>
      <x:c r="Q348" s="86"/>
      <x:c r="R348" s="86"/>
      <x:c r="S348" s="32"/>
    </x:row>
    <x:row r="349">
      <x:c r="A349" s="87"/>
      <x:c r="B349" s="88"/>
      <x:c r="D349" s="32"/>
      <x:c r="G349" s="74"/>
      <x:c r="H349" s="74"/>
      <x:c r="I349" s="74"/>
      <x:c r="J349" s="74"/>
      <x:c r="K349" s="74"/>
      <x:c r="L349" s="74"/>
      <x:c r="M349" s="91"/>
      <x:c r="N349" s="91"/>
      <x:c r="O349" s="85"/>
      <x:c r="Q349" s="86"/>
      <x:c r="R349" s="86"/>
      <x:c r="S349" s="32"/>
    </x:row>
    <x:row r="350">
      <x:c r="A350" s="87"/>
      <x:c r="B350" s="88"/>
      <x:c r="D350" s="32"/>
      <x:c r="G350" s="74"/>
      <x:c r="H350" s="74"/>
      <x:c r="I350" s="74"/>
      <x:c r="J350" s="74"/>
      <x:c r="K350" s="74"/>
      <x:c r="L350" s="74"/>
      <x:c r="M350" s="91"/>
      <x:c r="N350" s="91"/>
      <x:c r="O350" s="85"/>
      <x:c r="Q350" s="86"/>
      <x:c r="R350" s="86"/>
      <x:c r="S350" s="32"/>
    </x:row>
    <x:row r="351">
      <x:c r="A351" s="87"/>
      <x:c r="B351" s="88"/>
      <x:c r="D351" s="32"/>
      <x:c r="G351" s="74"/>
      <x:c r="H351" s="74"/>
      <x:c r="I351" s="74"/>
      <x:c r="J351" s="74"/>
      <x:c r="K351" s="74"/>
      <x:c r="L351" s="74"/>
      <x:c r="M351" s="91"/>
      <x:c r="N351" s="91"/>
      <x:c r="O351" s="85"/>
      <x:c r="Q351" s="86"/>
      <x:c r="R351" s="86"/>
      <x:c r="S351" s="32"/>
    </x:row>
    <x:row r="352">
      <x:c r="A352" s="87"/>
      <x:c r="B352" s="88"/>
      <x:c r="D352" s="32"/>
      <x:c r="G352" s="74"/>
      <x:c r="H352" s="74"/>
      <x:c r="I352" s="74"/>
      <x:c r="J352" s="74"/>
      <x:c r="K352" s="74"/>
      <x:c r="L352" s="74"/>
      <x:c r="M352" s="91"/>
      <x:c r="N352" s="91"/>
      <x:c r="O352" s="85"/>
      <x:c r="Q352" s="86"/>
      <x:c r="R352" s="86"/>
      <x:c r="S352" s="32"/>
    </x:row>
    <x:row r="353">
      <x:c r="A353" s="87"/>
      <x:c r="B353" s="88"/>
      <x:c r="D353" s="32"/>
      <x:c r="G353" s="74"/>
      <x:c r="H353" s="74"/>
      <x:c r="I353" s="74"/>
      <x:c r="J353" s="74"/>
      <x:c r="K353" s="74"/>
      <x:c r="L353" s="74"/>
      <x:c r="M353" s="91"/>
      <x:c r="N353" s="91"/>
      <x:c r="O353" s="85"/>
      <x:c r="Q353" s="86"/>
      <x:c r="R353" s="86"/>
      <x:c r="S353" s="32"/>
    </x:row>
    <x:row r="354">
      <x:c r="A354" s="87"/>
      <x:c r="B354" s="88"/>
      <x:c r="D354" s="32"/>
      <x:c r="G354" s="74"/>
      <x:c r="H354" s="74"/>
      <x:c r="I354" s="74"/>
      <x:c r="J354" s="74"/>
      <x:c r="K354" s="74"/>
      <x:c r="L354" s="74"/>
      <x:c r="M354" s="91"/>
      <x:c r="N354" s="91"/>
      <x:c r="O354" s="85"/>
      <x:c r="Q354" s="86"/>
      <x:c r="R354" s="86"/>
      <x:c r="S354" s="32"/>
    </x:row>
    <x:row r="355">
      <x:c r="A355" s="87"/>
      <x:c r="B355" s="88"/>
      <x:c r="D355" s="32"/>
      <x:c r="G355" s="74"/>
      <x:c r="H355" s="74"/>
      <x:c r="I355" s="74"/>
      <x:c r="J355" s="74"/>
      <x:c r="K355" s="74"/>
      <x:c r="L355" s="74"/>
      <x:c r="M355" s="91"/>
      <x:c r="N355" s="91"/>
      <x:c r="O355" s="85"/>
      <x:c r="Q355" s="86"/>
      <x:c r="R355" s="86"/>
      <x:c r="S355" s="32"/>
    </x:row>
    <x:row r="356">
      <x:c r="A356" s="87"/>
      <x:c r="B356" s="88"/>
      <x:c r="D356" s="32"/>
      <x:c r="G356" s="74"/>
      <x:c r="H356" s="74"/>
      <x:c r="I356" s="74"/>
      <x:c r="J356" s="74"/>
      <x:c r="K356" s="74"/>
      <x:c r="L356" s="74"/>
      <x:c r="M356" s="91"/>
      <x:c r="N356" s="91"/>
      <x:c r="O356" s="85"/>
      <x:c r="Q356" s="86"/>
      <x:c r="R356" s="86"/>
      <x:c r="S356" s="32"/>
    </x:row>
    <x:row r="357">
      <x:c r="A357" s="87"/>
      <x:c r="B357" s="88"/>
      <x:c r="D357" s="32"/>
      <x:c r="G357" s="74"/>
      <x:c r="H357" s="74"/>
      <x:c r="I357" s="74"/>
      <x:c r="J357" s="74"/>
      <x:c r="K357" s="74"/>
      <x:c r="L357" s="74"/>
      <x:c r="M357" s="91"/>
      <x:c r="N357" s="91"/>
      <x:c r="O357" s="85"/>
      <x:c r="Q357" s="86"/>
      <x:c r="R357" s="86"/>
      <x:c r="S357" s="32"/>
    </x:row>
    <x:row r="358">
      <x:c r="A358" s="87"/>
      <x:c r="B358" s="88"/>
      <x:c r="D358" s="32"/>
      <x:c r="G358" s="74"/>
      <x:c r="H358" s="74"/>
      <x:c r="I358" s="74"/>
      <x:c r="J358" s="74"/>
      <x:c r="K358" s="74"/>
      <x:c r="L358" s="74"/>
      <x:c r="M358" s="91"/>
      <x:c r="N358" s="91"/>
      <x:c r="O358" s="85"/>
      <x:c r="Q358" s="86"/>
      <x:c r="R358" s="86"/>
      <x:c r="S358" s="32"/>
    </x:row>
    <x:row r="359">
      <x:c r="A359" s="87"/>
      <x:c r="B359" s="88"/>
      <x:c r="D359" s="32"/>
      <x:c r="G359" s="74"/>
      <x:c r="H359" s="74"/>
      <x:c r="I359" s="74"/>
      <x:c r="J359" s="74"/>
      <x:c r="K359" s="74"/>
      <x:c r="L359" s="74"/>
      <x:c r="M359" s="91"/>
      <x:c r="N359" s="91"/>
      <x:c r="O359" s="85"/>
      <x:c r="Q359" s="86"/>
      <x:c r="R359" s="86"/>
      <x:c r="S359" s="32"/>
    </x:row>
    <x:row r="360">
      <x:c r="A360" s="87"/>
      <x:c r="B360" s="88"/>
      <x:c r="D360" s="32"/>
      <x:c r="G360" s="74"/>
      <x:c r="H360" s="74"/>
      <x:c r="I360" s="74"/>
      <x:c r="J360" s="74"/>
      <x:c r="K360" s="74"/>
      <x:c r="L360" s="74"/>
      <x:c r="M360" s="91"/>
      <x:c r="N360" s="91"/>
      <x:c r="O360" s="85"/>
      <x:c r="Q360" s="86"/>
      <x:c r="R360" s="86"/>
      <x:c r="S360" s="32"/>
    </x:row>
    <x:row r="361">
      <x:c r="A361" s="87"/>
      <x:c r="B361" s="88"/>
      <x:c r="D361" s="32"/>
      <x:c r="G361" s="74"/>
      <x:c r="H361" s="74"/>
      <x:c r="I361" s="74"/>
      <x:c r="J361" s="74"/>
      <x:c r="K361" s="74"/>
      <x:c r="L361" s="74"/>
      <x:c r="M361" s="91"/>
      <x:c r="N361" s="91"/>
      <x:c r="O361" s="85"/>
      <x:c r="Q361" s="86"/>
      <x:c r="R361" s="86"/>
      <x:c r="S361" s="32"/>
    </x:row>
    <x:row r="362">
      <x:c r="A362" s="87"/>
      <x:c r="B362" s="88"/>
      <x:c r="D362" s="32"/>
      <x:c r="G362" s="74"/>
      <x:c r="H362" s="74"/>
      <x:c r="I362" s="74"/>
      <x:c r="J362" s="74"/>
      <x:c r="K362" s="74"/>
      <x:c r="L362" s="74"/>
      <x:c r="M362" s="91"/>
      <x:c r="N362" s="91"/>
      <x:c r="O362" s="85"/>
      <x:c r="Q362" s="86"/>
      <x:c r="R362" s="86"/>
      <x:c r="S362" s="32"/>
    </x:row>
    <x:row r="363">
      <x:c r="A363" s="87"/>
      <x:c r="B363" s="88"/>
      <x:c r="D363" s="32"/>
      <x:c r="G363" s="74"/>
      <x:c r="H363" s="74"/>
      <x:c r="I363" s="74"/>
      <x:c r="J363" s="74"/>
      <x:c r="K363" s="74"/>
      <x:c r="L363" s="74"/>
      <x:c r="M363" s="91"/>
      <x:c r="N363" s="91"/>
      <x:c r="O363" s="85"/>
      <x:c r="Q363" s="86"/>
      <x:c r="R363" s="86"/>
      <x:c r="S363" s="32"/>
    </x:row>
    <x:row r="364">
      <x:c r="A364" s="87"/>
      <x:c r="B364" s="88"/>
      <x:c r="D364" s="32"/>
      <x:c r="G364" s="74"/>
      <x:c r="H364" s="74"/>
      <x:c r="I364" s="74"/>
      <x:c r="J364" s="74"/>
      <x:c r="K364" s="74"/>
      <x:c r="L364" s="74"/>
      <x:c r="M364" s="91"/>
      <x:c r="N364" s="91"/>
      <x:c r="O364" s="85"/>
      <x:c r="Q364" s="86"/>
      <x:c r="R364" s="86"/>
      <x:c r="S364" s="32"/>
    </x:row>
    <x:row r="365">
      <x:c r="A365" s="87"/>
      <x:c r="B365" s="88"/>
      <x:c r="D365" s="32"/>
      <x:c r="G365" s="74"/>
      <x:c r="H365" s="74"/>
      <x:c r="I365" s="74"/>
      <x:c r="J365" s="74"/>
      <x:c r="K365" s="74"/>
      <x:c r="L365" s="74"/>
      <x:c r="M365" s="91"/>
      <x:c r="N365" s="91"/>
      <x:c r="O365" s="85"/>
      <x:c r="Q365" s="86"/>
      <x:c r="R365" s="86"/>
      <x:c r="S365" s="32"/>
    </x:row>
    <x:row r="366">
      <x:c r="A366" s="87"/>
      <x:c r="B366" s="88"/>
      <x:c r="D366" s="32"/>
      <x:c r="G366" s="74"/>
      <x:c r="H366" s="74"/>
      <x:c r="I366" s="74"/>
      <x:c r="J366" s="74"/>
      <x:c r="K366" s="74"/>
      <x:c r="L366" s="74"/>
      <x:c r="M366" s="91"/>
      <x:c r="N366" s="91"/>
      <x:c r="O366" s="85"/>
      <x:c r="Q366" s="86"/>
      <x:c r="R366" s="86"/>
      <x:c r="S366" s="32"/>
    </x:row>
    <x:row r="367">
      <x:c r="A367" s="87"/>
      <x:c r="B367" s="88"/>
      <x:c r="D367" s="32"/>
      <x:c r="G367" s="74"/>
      <x:c r="H367" s="74"/>
      <x:c r="I367" s="74"/>
      <x:c r="J367" s="74"/>
      <x:c r="K367" s="74"/>
      <x:c r="L367" s="74"/>
      <x:c r="M367" s="91"/>
      <x:c r="N367" s="91"/>
      <x:c r="O367" s="85"/>
      <x:c r="Q367" s="86"/>
      <x:c r="R367" s="86"/>
      <x:c r="S367" s="32"/>
    </x:row>
    <x:row r="368">
      <x:c r="A368" s="87"/>
      <x:c r="B368" s="88"/>
      <x:c r="D368" s="32"/>
      <x:c r="G368" s="74"/>
      <x:c r="H368" s="74"/>
      <x:c r="I368" s="74"/>
      <x:c r="J368" s="74"/>
      <x:c r="K368" s="74"/>
      <x:c r="L368" s="74"/>
      <x:c r="M368" s="91"/>
      <x:c r="N368" s="91"/>
      <x:c r="O368" s="85"/>
      <x:c r="Q368" s="86"/>
      <x:c r="R368" s="86"/>
      <x:c r="S368" s="32"/>
    </x:row>
    <x:row r="369">
      <x:c r="A369" s="87"/>
      <x:c r="B369" s="88"/>
      <x:c r="D369" s="32"/>
      <x:c r="G369" s="74"/>
      <x:c r="H369" s="74"/>
      <x:c r="I369" s="74"/>
      <x:c r="J369" s="74"/>
      <x:c r="K369" s="74"/>
      <x:c r="L369" s="74"/>
      <x:c r="M369" s="91"/>
      <x:c r="N369" s="91"/>
      <x:c r="O369" s="85"/>
      <x:c r="Q369" s="86"/>
      <x:c r="R369" s="86"/>
      <x:c r="S369" s="32"/>
    </x:row>
    <x:row r="370">
      <x:c r="A370" s="87"/>
      <x:c r="B370" s="88"/>
      <x:c r="D370" s="32"/>
      <x:c r="G370" s="74"/>
      <x:c r="H370" s="74"/>
      <x:c r="I370" s="74"/>
      <x:c r="J370" s="74"/>
      <x:c r="K370" s="74"/>
      <x:c r="L370" s="74"/>
      <x:c r="M370" s="91"/>
      <x:c r="N370" s="91"/>
      <x:c r="O370" s="85"/>
      <x:c r="Q370" s="86"/>
      <x:c r="R370" s="86"/>
      <x:c r="S370" s="32"/>
    </x:row>
    <x:row r="371">
      <x:c r="A371" s="87"/>
      <x:c r="B371" s="88"/>
      <x:c r="D371" s="32"/>
      <x:c r="G371" s="74"/>
      <x:c r="H371" s="74"/>
      <x:c r="I371" s="74"/>
      <x:c r="J371" s="74"/>
      <x:c r="K371" s="74"/>
      <x:c r="L371" s="74"/>
      <x:c r="M371" s="91"/>
      <x:c r="N371" s="91"/>
      <x:c r="O371" s="85"/>
      <x:c r="Q371" s="86"/>
      <x:c r="R371" s="86"/>
      <x:c r="S371" s="32"/>
    </x:row>
    <x:row r="372">
      <x:c r="A372" s="87"/>
      <x:c r="B372" s="88"/>
      <x:c r="D372" s="32"/>
      <x:c r="G372" s="74"/>
      <x:c r="H372" s="74"/>
      <x:c r="I372" s="74"/>
      <x:c r="J372" s="74"/>
      <x:c r="K372" s="74"/>
      <x:c r="L372" s="74"/>
      <x:c r="M372" s="91"/>
      <x:c r="N372" s="91"/>
      <x:c r="O372" s="85"/>
      <x:c r="Q372" s="86"/>
      <x:c r="R372" s="86"/>
      <x:c r="S372" s="32"/>
    </x:row>
    <x:row r="373">
      <x:c r="A373" s="87"/>
      <x:c r="B373" s="88"/>
      <x:c r="D373" s="32"/>
      <x:c r="G373" s="74"/>
      <x:c r="H373" s="74"/>
      <x:c r="I373" s="74"/>
      <x:c r="J373" s="74"/>
      <x:c r="K373" s="74"/>
      <x:c r="L373" s="74"/>
      <x:c r="M373" s="91"/>
      <x:c r="N373" s="91"/>
      <x:c r="O373" s="85"/>
      <x:c r="Q373" s="86"/>
      <x:c r="R373" s="86"/>
      <x:c r="S373" s="32"/>
    </x:row>
    <x:row r="374">
      <x:c r="A374" s="87"/>
      <x:c r="B374" s="88"/>
      <x:c r="D374" s="32"/>
      <x:c r="G374" s="74"/>
      <x:c r="H374" s="74"/>
      <x:c r="I374" s="74"/>
      <x:c r="J374" s="74"/>
      <x:c r="K374" s="74"/>
      <x:c r="L374" s="74"/>
      <x:c r="M374" s="91"/>
      <x:c r="N374" s="91"/>
      <x:c r="O374" s="85"/>
      <x:c r="Q374" s="86"/>
      <x:c r="R374" s="86"/>
      <x:c r="S374" s="32"/>
    </x:row>
    <x:row r="375">
      <x:c r="A375" s="87"/>
      <x:c r="B375" s="88"/>
      <x:c r="D375" s="32"/>
      <x:c r="G375" s="74"/>
      <x:c r="H375" s="74"/>
      <x:c r="I375" s="74"/>
      <x:c r="J375" s="74"/>
      <x:c r="K375" s="74"/>
      <x:c r="L375" s="74"/>
      <x:c r="M375" s="91"/>
      <x:c r="N375" s="91"/>
      <x:c r="O375" s="85"/>
      <x:c r="Q375" s="86"/>
      <x:c r="R375" s="86"/>
      <x:c r="S375" s="32"/>
    </x:row>
    <x:row r="376">
      <x:c r="A376" s="87"/>
      <x:c r="B376" s="88"/>
      <x:c r="D376" s="32"/>
      <x:c r="G376" s="74"/>
      <x:c r="H376" s="74"/>
      <x:c r="I376" s="74"/>
      <x:c r="J376" s="74"/>
      <x:c r="K376" s="74"/>
      <x:c r="L376" s="74"/>
      <x:c r="M376" s="91"/>
      <x:c r="N376" s="91"/>
      <x:c r="O376" s="85"/>
      <x:c r="Q376" s="86"/>
      <x:c r="R376" s="86"/>
      <x:c r="S376" s="32"/>
    </x:row>
    <x:row r="377">
      <x:c r="A377" s="87"/>
      <x:c r="B377" s="88"/>
      <x:c r="D377" s="32"/>
      <x:c r="G377" s="74"/>
      <x:c r="H377" s="74"/>
      <x:c r="I377" s="74"/>
      <x:c r="J377" s="74"/>
      <x:c r="K377" s="74"/>
      <x:c r="L377" s="74"/>
      <x:c r="M377" s="91"/>
      <x:c r="N377" s="91"/>
      <x:c r="O377" s="85"/>
      <x:c r="Q377" s="86"/>
      <x:c r="R377" s="86"/>
      <x:c r="S377" s="32"/>
    </x:row>
    <x:row r="378">
      <x:c r="A378" s="87"/>
      <x:c r="B378" s="88"/>
      <x:c r="D378" s="32"/>
      <x:c r="G378" s="74"/>
      <x:c r="H378" s="74"/>
      <x:c r="I378" s="74"/>
      <x:c r="J378" s="74"/>
      <x:c r="K378" s="74"/>
      <x:c r="L378" s="74"/>
      <x:c r="M378" s="91"/>
      <x:c r="N378" s="91"/>
      <x:c r="O378" s="85"/>
      <x:c r="Q378" s="86"/>
      <x:c r="R378" s="86"/>
      <x:c r="S378" s="32"/>
    </x:row>
    <x:row r="379">
      <x:c r="A379" s="87"/>
      <x:c r="B379" s="88"/>
      <x:c r="D379" s="32"/>
      <x:c r="G379" s="74"/>
      <x:c r="H379" s="74"/>
      <x:c r="I379" s="74"/>
      <x:c r="J379" s="74"/>
      <x:c r="K379" s="74"/>
      <x:c r="L379" s="74"/>
      <x:c r="M379" s="91"/>
      <x:c r="N379" s="91"/>
      <x:c r="O379" s="85"/>
      <x:c r="Q379" s="86"/>
      <x:c r="R379" s="86"/>
      <x:c r="S379" s="32"/>
    </x:row>
    <x:row r="380">
      <x:c r="A380" s="87"/>
      <x:c r="B380" s="88"/>
      <x:c r="D380" s="32"/>
      <x:c r="G380" s="74"/>
      <x:c r="H380" s="74"/>
      <x:c r="I380" s="74"/>
      <x:c r="J380" s="74"/>
      <x:c r="K380" s="74"/>
      <x:c r="L380" s="74"/>
      <x:c r="M380" s="91"/>
      <x:c r="N380" s="91"/>
      <x:c r="O380" s="85"/>
      <x:c r="Q380" s="86"/>
      <x:c r="R380" s="86"/>
      <x:c r="S380" s="32"/>
    </x:row>
    <x:row r="381">
      <x:c r="A381" s="87"/>
      <x:c r="B381" s="88"/>
      <x:c r="D381" s="32"/>
      <x:c r="G381" s="74"/>
      <x:c r="H381" s="74"/>
      <x:c r="I381" s="74"/>
      <x:c r="J381" s="74"/>
      <x:c r="K381" s="74"/>
      <x:c r="L381" s="74"/>
      <x:c r="M381" s="91"/>
      <x:c r="N381" s="91"/>
      <x:c r="O381" s="85"/>
      <x:c r="Q381" s="86"/>
      <x:c r="R381" s="86"/>
      <x:c r="S381" s="32"/>
    </x:row>
    <x:row r="382">
      <x:c r="A382" s="87"/>
      <x:c r="B382" s="88"/>
      <x:c r="D382" s="32"/>
      <x:c r="G382" s="74"/>
      <x:c r="H382" s="74"/>
      <x:c r="I382" s="74"/>
      <x:c r="J382" s="74"/>
      <x:c r="K382" s="74"/>
      <x:c r="L382" s="74"/>
      <x:c r="M382" s="91"/>
      <x:c r="N382" s="91"/>
      <x:c r="O382" s="85"/>
      <x:c r="Q382" s="86"/>
      <x:c r="R382" s="86"/>
      <x:c r="S382" s="32"/>
    </x:row>
    <x:row r="383">
      <x:c r="A383" s="87"/>
      <x:c r="B383" s="88"/>
      <x:c r="D383" s="32"/>
      <x:c r="G383" s="74"/>
      <x:c r="H383" s="74"/>
      <x:c r="I383" s="74"/>
      <x:c r="J383" s="74"/>
      <x:c r="K383" s="74"/>
      <x:c r="L383" s="74"/>
      <x:c r="M383" s="91"/>
      <x:c r="N383" s="91"/>
      <x:c r="O383" s="85"/>
      <x:c r="Q383" s="86"/>
      <x:c r="R383" s="86"/>
      <x:c r="S383" s="32"/>
    </x:row>
    <x:row r="384">
      <x:c r="A384" s="87"/>
      <x:c r="B384" s="88"/>
      <x:c r="D384" s="32"/>
      <x:c r="G384" s="74"/>
      <x:c r="H384" s="74"/>
      <x:c r="I384" s="74"/>
      <x:c r="J384" s="74"/>
      <x:c r="K384" s="74"/>
      <x:c r="L384" s="74"/>
      <x:c r="M384" s="91"/>
      <x:c r="N384" s="91"/>
      <x:c r="O384" s="85"/>
      <x:c r="Q384" s="86"/>
      <x:c r="R384" s="86"/>
      <x:c r="S384" s="32"/>
    </x:row>
    <x:row r="385">
      <x:c r="A385" s="87"/>
      <x:c r="B385" s="88"/>
      <x:c r="D385" s="32"/>
      <x:c r="G385" s="74"/>
      <x:c r="H385" s="74"/>
      <x:c r="I385" s="74"/>
      <x:c r="J385" s="74"/>
      <x:c r="K385" s="74"/>
      <x:c r="L385" s="74"/>
      <x:c r="M385" s="91"/>
      <x:c r="N385" s="91"/>
      <x:c r="O385" s="85"/>
      <x:c r="Q385" s="86"/>
      <x:c r="R385" s="86"/>
      <x:c r="S385" s="32"/>
    </x:row>
    <x:row r="386">
      <x:c r="A386" s="87"/>
      <x:c r="B386" s="88"/>
      <x:c r="D386" s="32"/>
      <x:c r="G386" s="74"/>
      <x:c r="H386" s="74"/>
      <x:c r="I386" s="74"/>
      <x:c r="J386" s="74"/>
      <x:c r="K386" s="74"/>
      <x:c r="L386" s="74"/>
      <x:c r="M386" s="91"/>
      <x:c r="N386" s="91"/>
      <x:c r="O386" s="85"/>
      <x:c r="Q386" s="86"/>
      <x:c r="R386" s="86"/>
      <x:c r="S386" s="32"/>
    </x:row>
    <x:row r="387">
      <x:c r="A387" s="87"/>
      <x:c r="B387" s="88"/>
      <x:c r="D387" s="32"/>
      <x:c r="G387" s="74"/>
      <x:c r="H387" s="74"/>
      <x:c r="I387" s="74"/>
      <x:c r="J387" s="74"/>
      <x:c r="K387" s="74"/>
      <x:c r="L387" s="74"/>
      <x:c r="M387" s="91"/>
      <x:c r="N387" s="91"/>
      <x:c r="O387" s="85"/>
      <x:c r="Q387" s="86"/>
      <x:c r="R387" s="86"/>
      <x:c r="S387" s="32"/>
    </x:row>
    <x:row r="388">
      <x:c r="A388" s="87"/>
      <x:c r="B388" s="88"/>
      <x:c r="D388" s="32"/>
      <x:c r="G388" s="74"/>
      <x:c r="H388" s="74"/>
      <x:c r="I388" s="74"/>
      <x:c r="J388" s="74"/>
      <x:c r="K388" s="74"/>
      <x:c r="L388" s="74"/>
      <x:c r="M388" s="91"/>
      <x:c r="N388" s="91"/>
      <x:c r="O388" s="85"/>
      <x:c r="Q388" s="86"/>
      <x:c r="R388" s="86"/>
      <x:c r="S388" s="32"/>
    </x:row>
    <x:row r="389">
      <x:c r="A389" s="87"/>
      <x:c r="B389" s="88"/>
      <x:c r="D389" s="32"/>
      <x:c r="G389" s="74"/>
      <x:c r="H389" s="74"/>
      <x:c r="I389" s="74"/>
      <x:c r="J389" s="74"/>
      <x:c r="K389" s="74"/>
      <x:c r="L389" s="74"/>
      <x:c r="M389" s="91"/>
      <x:c r="N389" s="91"/>
      <x:c r="O389" s="85"/>
      <x:c r="Q389" s="86"/>
      <x:c r="R389" s="86"/>
      <x:c r="S389" s="32"/>
    </x:row>
    <x:row r="390">
      <x:c r="A390" s="87"/>
      <x:c r="B390" s="88"/>
      <x:c r="D390" s="32"/>
      <x:c r="G390" s="74"/>
      <x:c r="H390" s="74"/>
      <x:c r="I390" s="74"/>
      <x:c r="J390" s="74"/>
      <x:c r="K390" s="74"/>
      <x:c r="L390" s="74"/>
      <x:c r="M390" s="91"/>
      <x:c r="N390" s="91"/>
      <x:c r="O390" s="85"/>
      <x:c r="Q390" s="86"/>
      <x:c r="R390" s="86"/>
      <x:c r="S390" s="32"/>
    </x:row>
    <x:row r="391">
      <x:c r="A391" s="87"/>
      <x:c r="B391" s="88"/>
      <x:c r="D391" s="32"/>
      <x:c r="G391" s="74"/>
      <x:c r="H391" s="74"/>
      <x:c r="I391" s="74"/>
      <x:c r="J391" s="74"/>
      <x:c r="K391" s="74"/>
      <x:c r="L391" s="74"/>
      <x:c r="M391" s="91"/>
      <x:c r="N391" s="91"/>
      <x:c r="O391" s="85"/>
      <x:c r="Q391" s="86"/>
      <x:c r="R391" s="86"/>
      <x:c r="S391" s="32"/>
    </x:row>
    <x:row r="392">
      <x:c r="A392" s="87"/>
      <x:c r="B392" s="88"/>
      <x:c r="D392" s="32"/>
      <x:c r="G392" s="74"/>
      <x:c r="H392" s="74"/>
      <x:c r="I392" s="74"/>
      <x:c r="J392" s="74"/>
      <x:c r="K392" s="74"/>
      <x:c r="L392" s="74"/>
      <x:c r="M392" s="91"/>
      <x:c r="N392" s="91"/>
      <x:c r="O392" s="85"/>
      <x:c r="Q392" s="86"/>
      <x:c r="R392" s="86"/>
      <x:c r="S392" s="32"/>
    </x:row>
    <x:row r="393">
      <x:c r="A393" s="87"/>
      <x:c r="B393" s="88"/>
      <x:c r="D393" s="32"/>
      <x:c r="G393" s="74"/>
      <x:c r="H393" s="74"/>
      <x:c r="I393" s="74"/>
      <x:c r="J393" s="74"/>
      <x:c r="K393" s="74"/>
      <x:c r="L393" s="74"/>
      <x:c r="M393" s="91"/>
      <x:c r="N393" s="91"/>
      <x:c r="O393" s="85"/>
      <x:c r="Q393" s="86"/>
      <x:c r="R393" s="86"/>
      <x:c r="S393" s="32"/>
    </x:row>
    <x:row r="394">
      <x:c r="A394" s="87"/>
      <x:c r="B394" s="88"/>
      <x:c r="D394" s="32"/>
      <x:c r="G394" s="74"/>
      <x:c r="H394" s="74"/>
      <x:c r="I394" s="74"/>
      <x:c r="J394" s="74"/>
      <x:c r="K394" s="74"/>
      <x:c r="L394" s="74"/>
      <x:c r="M394" s="91"/>
      <x:c r="N394" s="91"/>
      <x:c r="O394" s="85"/>
      <x:c r="Q394" s="86"/>
      <x:c r="R394" s="86"/>
      <x:c r="S394" s="32"/>
    </x:row>
    <x:row r="395">
      <x:c r="A395" s="87"/>
      <x:c r="B395" s="88"/>
      <x:c r="D395" s="32"/>
      <x:c r="G395" s="74"/>
      <x:c r="H395" s="74"/>
      <x:c r="I395" s="74"/>
      <x:c r="J395" s="74"/>
      <x:c r="K395" s="74"/>
      <x:c r="L395" s="74"/>
      <x:c r="M395" s="91"/>
      <x:c r="N395" s="91"/>
      <x:c r="O395" s="85"/>
      <x:c r="Q395" s="86"/>
      <x:c r="R395" s="86"/>
      <x:c r="S395" s="32"/>
    </x:row>
    <x:row r="396">
      <x:c r="A396" s="87"/>
      <x:c r="B396" s="88"/>
      <x:c r="D396" s="32"/>
      <x:c r="G396" s="74"/>
      <x:c r="H396" s="74"/>
      <x:c r="I396" s="74"/>
      <x:c r="J396" s="74"/>
      <x:c r="K396" s="74"/>
      <x:c r="L396" s="74"/>
      <x:c r="M396" s="91"/>
      <x:c r="N396" s="91"/>
      <x:c r="O396" s="85"/>
      <x:c r="Q396" s="86"/>
      <x:c r="R396" s="86"/>
      <x:c r="S396" s="32"/>
    </x:row>
    <x:row r="397">
      <x:c r="A397" s="87"/>
      <x:c r="B397" s="88"/>
      <x:c r="D397" s="32"/>
      <x:c r="G397" s="74"/>
      <x:c r="H397" s="74"/>
      <x:c r="I397" s="74"/>
      <x:c r="J397" s="74"/>
      <x:c r="K397" s="74"/>
      <x:c r="L397" s="74"/>
      <x:c r="M397" s="91"/>
      <x:c r="N397" s="91"/>
      <x:c r="O397" s="85"/>
      <x:c r="Q397" s="86"/>
      <x:c r="R397" s="86"/>
      <x:c r="S397" s="32"/>
    </x:row>
    <x:row r="398">
      <x:c r="A398" s="87"/>
      <x:c r="B398" s="88"/>
      <x:c r="D398" s="32"/>
      <x:c r="G398" s="74"/>
      <x:c r="H398" s="74"/>
      <x:c r="I398" s="74"/>
      <x:c r="J398" s="74"/>
      <x:c r="K398" s="74"/>
      <x:c r="L398" s="74"/>
      <x:c r="M398" s="91"/>
      <x:c r="N398" s="91"/>
      <x:c r="O398" s="85"/>
      <x:c r="Q398" s="86"/>
      <x:c r="R398" s="86"/>
      <x:c r="S398" s="32"/>
    </x:row>
    <x:row r="399">
      <x:c r="A399" s="87"/>
      <x:c r="B399" s="88"/>
      <x:c r="D399" s="32"/>
      <x:c r="G399" s="74"/>
      <x:c r="H399" s="74"/>
      <x:c r="I399" s="74"/>
      <x:c r="J399" s="74"/>
      <x:c r="K399" s="74"/>
      <x:c r="L399" s="74"/>
      <x:c r="M399" s="91"/>
      <x:c r="N399" s="91"/>
      <x:c r="O399" s="85"/>
      <x:c r="Q399" s="86"/>
      <x:c r="R399" s="86"/>
      <x:c r="S399" s="32"/>
    </x:row>
    <x:row r="400">
      <x:c r="A400" s="87"/>
      <x:c r="B400" s="88"/>
      <x:c r="D400" s="32"/>
      <x:c r="G400" s="74"/>
      <x:c r="H400" s="74"/>
      <x:c r="I400" s="74"/>
      <x:c r="J400" s="74"/>
      <x:c r="K400" s="74"/>
      <x:c r="L400" s="74"/>
      <x:c r="M400" s="91"/>
      <x:c r="N400" s="91"/>
      <x:c r="O400" s="85"/>
      <x:c r="Q400" s="86"/>
      <x:c r="R400" s="86"/>
      <x:c r="S400" s="32"/>
    </x:row>
    <x:row r="401">
      <x:c r="A401" s="87"/>
      <x:c r="B401" s="88"/>
      <x:c r="D401" s="32"/>
      <x:c r="G401" s="74"/>
      <x:c r="H401" s="74"/>
      <x:c r="I401" s="74"/>
      <x:c r="J401" s="74"/>
      <x:c r="K401" s="74"/>
      <x:c r="L401" s="74"/>
      <x:c r="M401" s="91"/>
      <x:c r="N401" s="91"/>
      <x:c r="O401" s="85"/>
      <x:c r="Q401" s="86"/>
      <x:c r="R401" s="86"/>
      <x:c r="S401" s="32"/>
    </x:row>
    <x:row r="402">
      <x:c r="A402" s="87"/>
      <x:c r="B402" s="88"/>
      <x:c r="D402" s="32"/>
      <x:c r="G402" s="74"/>
      <x:c r="H402" s="74"/>
      <x:c r="I402" s="74"/>
      <x:c r="J402" s="74"/>
      <x:c r="K402" s="74"/>
      <x:c r="L402" s="74"/>
      <x:c r="M402" s="91"/>
      <x:c r="N402" s="91"/>
      <x:c r="O402" s="85"/>
      <x:c r="Q402" s="86"/>
      <x:c r="R402" s="86"/>
      <x:c r="S402" s="32"/>
    </x:row>
    <x:row r="403">
      <x:c r="A403" s="87"/>
      <x:c r="B403" s="88"/>
      <x:c r="D403" s="32"/>
      <x:c r="G403" s="74"/>
      <x:c r="H403" s="74"/>
      <x:c r="I403" s="74"/>
      <x:c r="J403" s="74"/>
      <x:c r="K403" s="74"/>
      <x:c r="L403" s="74"/>
      <x:c r="M403" s="91"/>
      <x:c r="N403" s="91"/>
      <x:c r="O403" s="85"/>
      <x:c r="Q403" s="86"/>
      <x:c r="R403" s="86"/>
      <x:c r="S403" s="32"/>
    </x:row>
    <x:row r="404">
      <x:c r="A404" s="87"/>
      <x:c r="B404" s="88"/>
      <x:c r="D404" s="32"/>
      <x:c r="G404" s="74"/>
      <x:c r="H404" s="74"/>
      <x:c r="I404" s="74"/>
      <x:c r="J404" s="74"/>
      <x:c r="K404" s="74"/>
      <x:c r="L404" s="74"/>
      <x:c r="M404" s="91"/>
      <x:c r="N404" s="91"/>
      <x:c r="O404" s="85"/>
      <x:c r="Q404" s="86"/>
      <x:c r="R404" s="86"/>
      <x:c r="S404" s="32"/>
    </x:row>
    <x:row r="405">
      <x:c r="A405" s="87"/>
      <x:c r="B405" s="88"/>
      <x:c r="D405" s="32"/>
      <x:c r="G405" s="74"/>
      <x:c r="H405" s="74"/>
      <x:c r="I405" s="74"/>
      <x:c r="J405" s="74"/>
      <x:c r="K405" s="74"/>
      <x:c r="L405" s="74"/>
      <x:c r="M405" s="91"/>
      <x:c r="N405" s="91"/>
      <x:c r="O405" s="85"/>
      <x:c r="Q405" s="86"/>
      <x:c r="R405" s="86"/>
      <x:c r="S405" s="32"/>
    </x:row>
    <x:row r="406">
      <x:c r="A406" s="87"/>
      <x:c r="B406" s="88"/>
      <x:c r="D406" s="32"/>
      <x:c r="G406" s="74"/>
      <x:c r="H406" s="74"/>
      <x:c r="I406" s="74"/>
      <x:c r="J406" s="74"/>
      <x:c r="K406" s="74"/>
      <x:c r="L406" s="74"/>
      <x:c r="M406" s="91"/>
      <x:c r="N406" s="91"/>
      <x:c r="O406" s="85"/>
      <x:c r="Q406" s="86"/>
      <x:c r="R406" s="86"/>
      <x:c r="S406" s="32"/>
    </x:row>
    <x:row r="407">
      <x:c r="A407" s="87"/>
      <x:c r="B407" s="88"/>
      <x:c r="D407" s="32"/>
      <x:c r="G407" s="74"/>
      <x:c r="H407" s="74"/>
      <x:c r="I407" s="74"/>
      <x:c r="J407" s="74"/>
      <x:c r="K407" s="74"/>
      <x:c r="L407" s="74"/>
      <x:c r="M407" s="91"/>
      <x:c r="N407" s="91"/>
      <x:c r="O407" s="85"/>
      <x:c r="Q407" s="86"/>
      <x:c r="R407" s="86"/>
      <x:c r="S407" s="32"/>
    </x:row>
    <x:row r="408">
      <x:c r="A408" s="87"/>
      <x:c r="B408" s="88"/>
      <x:c r="D408" s="32"/>
      <x:c r="G408" s="74"/>
      <x:c r="H408" s="74"/>
      <x:c r="I408" s="74"/>
      <x:c r="J408" s="74"/>
      <x:c r="K408" s="74"/>
      <x:c r="L408" s="74"/>
      <x:c r="M408" s="91"/>
      <x:c r="N408" s="91"/>
      <x:c r="O408" s="85"/>
      <x:c r="Q408" s="86"/>
      <x:c r="R408" s="86"/>
      <x:c r="S408" s="32"/>
    </x:row>
    <x:row r="409">
      <x:c r="A409" s="87"/>
      <x:c r="B409" s="88"/>
      <x:c r="D409" s="32"/>
      <x:c r="G409" s="74"/>
      <x:c r="H409" s="74"/>
      <x:c r="I409" s="74"/>
      <x:c r="J409" s="74"/>
      <x:c r="K409" s="74"/>
      <x:c r="L409" s="74"/>
      <x:c r="M409" s="91"/>
      <x:c r="N409" s="91"/>
      <x:c r="O409" s="85"/>
      <x:c r="Q409" s="86"/>
      <x:c r="R409" s="86"/>
      <x:c r="S409" s="32"/>
    </x:row>
    <x:row r="410">
      <x:c r="A410" s="87"/>
      <x:c r="B410" s="88"/>
      <x:c r="D410" s="32"/>
      <x:c r="G410" s="74"/>
      <x:c r="H410" s="74"/>
      <x:c r="I410" s="74"/>
      <x:c r="J410" s="74"/>
      <x:c r="K410" s="74"/>
      <x:c r="L410" s="74"/>
      <x:c r="M410" s="91"/>
      <x:c r="N410" s="91"/>
      <x:c r="O410" s="85"/>
      <x:c r="Q410" s="86"/>
      <x:c r="R410" s="86"/>
      <x:c r="S410" s="32"/>
    </x:row>
    <x:row r="411">
      <x:c r="A411" s="87"/>
      <x:c r="B411" s="88"/>
      <x:c r="D411" s="32"/>
      <x:c r="G411" s="74"/>
      <x:c r="H411" s="74"/>
      <x:c r="I411" s="74"/>
      <x:c r="J411" s="74"/>
      <x:c r="K411" s="74"/>
      <x:c r="L411" s="74"/>
      <x:c r="M411" s="91"/>
      <x:c r="N411" s="91"/>
      <x:c r="O411" s="85"/>
      <x:c r="Q411" s="86"/>
      <x:c r="R411" s="86"/>
      <x:c r="S411" s="32"/>
    </x:row>
    <x:row r="412">
      <x:c r="A412" s="87"/>
      <x:c r="B412" s="88"/>
      <x:c r="D412" s="32"/>
      <x:c r="G412" s="74"/>
      <x:c r="H412" s="74"/>
      <x:c r="I412" s="74"/>
      <x:c r="J412" s="74"/>
      <x:c r="K412" s="74"/>
      <x:c r="L412" s="74"/>
      <x:c r="M412" s="91"/>
      <x:c r="N412" s="91"/>
      <x:c r="O412" s="85"/>
      <x:c r="Q412" s="86"/>
      <x:c r="R412" s="86"/>
      <x:c r="S412" s="32"/>
    </x:row>
    <x:row r="413">
      <x:c r="A413" s="87"/>
      <x:c r="B413" s="88"/>
      <x:c r="D413" s="32"/>
      <x:c r="G413" s="74"/>
      <x:c r="H413" s="74"/>
      <x:c r="I413" s="74"/>
      <x:c r="J413" s="74"/>
      <x:c r="K413" s="74"/>
      <x:c r="L413" s="74"/>
      <x:c r="M413" s="91"/>
      <x:c r="N413" s="91"/>
      <x:c r="O413" s="85"/>
      <x:c r="Q413" s="86"/>
      <x:c r="R413" s="86"/>
      <x:c r="S413" s="32"/>
    </x:row>
    <x:row r="414">
      <x:c r="A414" s="87"/>
      <x:c r="B414" s="88"/>
      <x:c r="D414" s="32"/>
      <x:c r="G414" s="74"/>
      <x:c r="H414" s="74"/>
      <x:c r="I414" s="74"/>
      <x:c r="J414" s="74"/>
      <x:c r="K414" s="74"/>
      <x:c r="L414" s="74"/>
      <x:c r="M414" s="91"/>
      <x:c r="N414" s="91"/>
      <x:c r="O414" s="85"/>
      <x:c r="Q414" s="86"/>
      <x:c r="R414" s="86"/>
      <x:c r="S414" s="32"/>
    </x:row>
    <x:row r="415">
      <x:c r="A415" s="87"/>
      <x:c r="B415" s="88"/>
      <x:c r="D415" s="32"/>
      <x:c r="G415" s="74"/>
      <x:c r="H415" s="74"/>
      <x:c r="I415" s="74"/>
      <x:c r="J415" s="74"/>
      <x:c r="K415" s="74"/>
      <x:c r="L415" s="74"/>
      <x:c r="M415" s="91"/>
      <x:c r="N415" s="91"/>
      <x:c r="O415" s="85"/>
      <x:c r="Q415" s="86"/>
      <x:c r="R415" s="86"/>
      <x:c r="S415" s="32"/>
    </x:row>
    <x:row r="416">
      <x:c r="A416" s="87"/>
      <x:c r="B416" s="88"/>
      <x:c r="D416" s="32"/>
      <x:c r="G416" s="74"/>
      <x:c r="H416" s="74"/>
      <x:c r="I416" s="74"/>
      <x:c r="J416" s="74"/>
      <x:c r="K416" s="74"/>
      <x:c r="L416" s="74"/>
      <x:c r="M416" s="91"/>
      <x:c r="N416" s="91"/>
      <x:c r="O416" s="85"/>
      <x:c r="Q416" s="86"/>
      <x:c r="R416" s="86"/>
      <x:c r="S416" s="32"/>
    </x:row>
    <x:row r="417">
      <x:c r="A417" s="87"/>
      <x:c r="B417" s="88"/>
      <x:c r="D417" s="32"/>
      <x:c r="G417" s="74"/>
      <x:c r="H417" s="74"/>
      <x:c r="I417" s="74"/>
      <x:c r="J417" s="74"/>
      <x:c r="K417" s="74"/>
      <x:c r="L417" s="74"/>
      <x:c r="M417" s="91"/>
      <x:c r="N417" s="91"/>
      <x:c r="O417" s="85"/>
      <x:c r="Q417" s="86"/>
      <x:c r="R417" s="86"/>
      <x:c r="S417" s="32"/>
    </x:row>
    <x:row r="418">
      <x:c r="A418" s="87"/>
      <x:c r="B418" s="88"/>
      <x:c r="D418" s="32"/>
      <x:c r="G418" s="74"/>
      <x:c r="H418" s="74"/>
      <x:c r="I418" s="74"/>
      <x:c r="J418" s="74"/>
      <x:c r="K418" s="74"/>
      <x:c r="L418" s="74"/>
      <x:c r="M418" s="91"/>
      <x:c r="N418" s="91"/>
      <x:c r="O418" s="85"/>
      <x:c r="Q418" s="86"/>
      <x:c r="R418" s="86"/>
      <x:c r="S418" s="32"/>
    </x:row>
    <x:row r="419">
      <x:c r="A419" s="87"/>
      <x:c r="B419" s="88"/>
      <x:c r="D419" s="32"/>
      <x:c r="G419" s="74"/>
      <x:c r="H419" s="74"/>
      <x:c r="I419" s="74"/>
      <x:c r="J419" s="74"/>
      <x:c r="K419" s="74"/>
      <x:c r="L419" s="74"/>
      <x:c r="M419" s="91"/>
      <x:c r="N419" s="91"/>
      <x:c r="O419" s="85"/>
      <x:c r="Q419" s="86"/>
      <x:c r="R419" s="86"/>
      <x:c r="S419" s="32"/>
    </x:row>
    <x:row r="420">
      <x:c r="A420" s="87"/>
      <x:c r="B420" s="88"/>
      <x:c r="D420" s="32"/>
      <x:c r="G420" s="74"/>
      <x:c r="H420" s="74"/>
      <x:c r="I420" s="74"/>
      <x:c r="J420" s="74"/>
      <x:c r="K420" s="74"/>
      <x:c r="L420" s="74"/>
      <x:c r="M420" s="91"/>
      <x:c r="N420" s="91"/>
      <x:c r="O420" s="85"/>
      <x:c r="Q420" s="86"/>
      <x:c r="R420" s="86"/>
      <x:c r="S420" s="32"/>
    </x:row>
    <x:row r="421">
      <x:c r="A421" s="87"/>
      <x:c r="B421" s="88"/>
      <x:c r="D421" s="32"/>
      <x:c r="G421" s="74"/>
      <x:c r="H421" s="74"/>
      <x:c r="I421" s="74"/>
      <x:c r="J421" s="74"/>
      <x:c r="K421" s="74"/>
      <x:c r="L421" s="74"/>
      <x:c r="M421" s="91"/>
      <x:c r="N421" s="91"/>
      <x:c r="O421" s="85"/>
      <x:c r="Q421" s="86"/>
      <x:c r="R421" s="86"/>
      <x:c r="S421" s="32"/>
    </x:row>
    <x:row r="422">
      <x:c r="A422" s="87"/>
      <x:c r="B422" s="88"/>
      <x:c r="D422" s="32"/>
      <x:c r="G422" s="74"/>
      <x:c r="H422" s="74"/>
      <x:c r="I422" s="74"/>
      <x:c r="J422" s="74"/>
      <x:c r="K422" s="74"/>
      <x:c r="L422" s="74"/>
      <x:c r="M422" s="91"/>
      <x:c r="N422" s="91"/>
      <x:c r="O422" s="85"/>
      <x:c r="Q422" s="86"/>
      <x:c r="R422" s="86"/>
      <x:c r="S422" s="32"/>
    </x:row>
    <x:row r="423">
      <x:c r="A423" s="87"/>
      <x:c r="B423" s="88"/>
      <x:c r="D423" s="32"/>
      <x:c r="G423" s="74"/>
      <x:c r="H423" s="74"/>
      <x:c r="I423" s="74"/>
      <x:c r="J423" s="74"/>
      <x:c r="K423" s="74"/>
      <x:c r="L423" s="74"/>
      <x:c r="M423" s="91"/>
      <x:c r="N423" s="91"/>
      <x:c r="O423" s="85"/>
      <x:c r="Q423" s="86"/>
      <x:c r="R423" s="86"/>
      <x:c r="S423" s="32"/>
    </x:row>
    <x:row r="424">
      <x:c r="A424" s="87"/>
      <x:c r="B424" s="88"/>
      <x:c r="D424" s="32"/>
      <x:c r="G424" s="74"/>
      <x:c r="H424" s="74"/>
      <x:c r="I424" s="74"/>
      <x:c r="J424" s="74"/>
      <x:c r="K424" s="74"/>
      <x:c r="L424" s="74"/>
      <x:c r="M424" s="91"/>
      <x:c r="N424" s="91"/>
      <x:c r="O424" s="85"/>
      <x:c r="Q424" s="86"/>
      <x:c r="R424" s="86"/>
      <x:c r="S424" s="32"/>
    </x:row>
    <x:row r="425">
      <x:c r="A425" s="87"/>
      <x:c r="B425" s="88"/>
      <x:c r="D425" s="32"/>
      <x:c r="G425" s="74"/>
      <x:c r="H425" s="74"/>
      <x:c r="I425" s="74"/>
      <x:c r="J425" s="74"/>
      <x:c r="K425" s="74"/>
      <x:c r="L425" s="74"/>
      <x:c r="M425" s="91"/>
      <x:c r="N425" s="91"/>
      <x:c r="O425" s="85"/>
      <x:c r="Q425" s="86"/>
      <x:c r="R425" s="86"/>
      <x:c r="S425" s="32"/>
    </x:row>
    <x:row r="426">
      <x:c r="A426" s="87"/>
      <x:c r="B426" s="88"/>
      <x:c r="D426" s="32"/>
      <x:c r="G426" s="74"/>
      <x:c r="H426" s="74"/>
      <x:c r="I426" s="74"/>
      <x:c r="J426" s="74"/>
      <x:c r="K426" s="74"/>
      <x:c r="L426" s="74"/>
      <x:c r="M426" s="91"/>
      <x:c r="N426" s="91"/>
      <x:c r="O426" s="85"/>
      <x:c r="Q426" s="86"/>
      <x:c r="R426" s="86"/>
      <x:c r="S426" s="32"/>
    </x:row>
    <x:row r="427">
      <x:c r="A427" s="87"/>
      <x:c r="B427" s="88"/>
      <x:c r="D427" s="32"/>
      <x:c r="G427" s="74"/>
      <x:c r="H427" s="74"/>
      <x:c r="I427" s="74"/>
      <x:c r="J427" s="74"/>
      <x:c r="K427" s="74"/>
      <x:c r="L427" s="74"/>
      <x:c r="M427" s="91"/>
      <x:c r="N427" s="91"/>
      <x:c r="O427" s="85"/>
      <x:c r="Q427" s="86"/>
      <x:c r="R427" s="86"/>
      <x:c r="S427" s="32"/>
    </x:row>
    <x:row r="428">
      <x:c r="A428" s="87"/>
      <x:c r="B428" s="88"/>
      <x:c r="D428" s="32"/>
      <x:c r="G428" s="74"/>
      <x:c r="H428" s="74"/>
      <x:c r="I428" s="74"/>
      <x:c r="J428" s="74"/>
      <x:c r="K428" s="74"/>
      <x:c r="L428" s="74"/>
      <x:c r="M428" s="91"/>
      <x:c r="N428" s="91"/>
      <x:c r="O428" s="85"/>
      <x:c r="Q428" s="86"/>
      <x:c r="R428" s="86"/>
      <x:c r="S428" s="32"/>
    </x:row>
    <x:row r="429">
      <x:c r="A429" s="87"/>
      <x:c r="B429" s="88"/>
      <x:c r="D429" s="32"/>
      <x:c r="G429" s="74"/>
      <x:c r="H429" s="74"/>
      <x:c r="I429" s="74"/>
      <x:c r="J429" s="74"/>
      <x:c r="K429" s="74"/>
      <x:c r="L429" s="74"/>
      <x:c r="M429" s="91"/>
      <x:c r="N429" s="91"/>
      <x:c r="O429" s="85"/>
      <x:c r="Q429" s="86"/>
      <x:c r="R429" s="86"/>
      <x:c r="S429" s="32"/>
    </x:row>
    <x:row r="430">
      <x:c r="A430" s="87"/>
      <x:c r="B430" s="88"/>
      <x:c r="D430" s="32"/>
      <x:c r="G430" s="74"/>
      <x:c r="H430" s="74"/>
      <x:c r="I430" s="74"/>
      <x:c r="J430" s="74"/>
      <x:c r="K430" s="74"/>
      <x:c r="L430" s="74"/>
      <x:c r="M430" s="91"/>
      <x:c r="N430" s="91"/>
      <x:c r="O430" s="85"/>
      <x:c r="Q430" s="86"/>
      <x:c r="R430" s="86"/>
      <x:c r="S430" s="32"/>
    </x:row>
    <x:row r="431">
      <x:c r="A431" s="87"/>
      <x:c r="B431" s="88"/>
      <x:c r="D431" s="32"/>
      <x:c r="G431" s="74"/>
      <x:c r="H431" s="74"/>
      <x:c r="I431" s="74"/>
      <x:c r="J431" s="74"/>
      <x:c r="K431" s="74"/>
      <x:c r="L431" s="74"/>
      <x:c r="M431" s="91"/>
      <x:c r="N431" s="91"/>
      <x:c r="O431" s="85"/>
      <x:c r="Q431" s="86"/>
      <x:c r="R431" s="86"/>
      <x:c r="S431" s="32"/>
    </x:row>
    <x:row r="432">
      <x:c r="A432" s="87"/>
      <x:c r="B432" s="88"/>
      <x:c r="D432" s="32"/>
      <x:c r="G432" s="74"/>
      <x:c r="H432" s="74"/>
      <x:c r="I432" s="74"/>
      <x:c r="J432" s="74"/>
      <x:c r="K432" s="74"/>
      <x:c r="L432" s="74"/>
      <x:c r="M432" s="91"/>
      <x:c r="N432" s="91"/>
      <x:c r="O432" s="85"/>
      <x:c r="Q432" s="86"/>
      <x:c r="R432" s="86"/>
      <x:c r="S432" s="32"/>
    </x:row>
    <x:row r="433">
      <x:c r="A433" s="87"/>
      <x:c r="B433" s="88"/>
      <x:c r="D433" s="32"/>
      <x:c r="G433" s="74"/>
      <x:c r="H433" s="74"/>
      <x:c r="I433" s="74"/>
      <x:c r="J433" s="74"/>
      <x:c r="K433" s="74"/>
      <x:c r="L433" s="74"/>
      <x:c r="M433" s="91"/>
      <x:c r="N433" s="91"/>
      <x:c r="O433" s="85"/>
      <x:c r="Q433" s="86"/>
      <x:c r="R433" s="86"/>
      <x:c r="S433" s="32"/>
    </x:row>
    <x:row r="434">
      <x:c r="A434" s="87"/>
      <x:c r="B434" s="88"/>
      <x:c r="D434" s="32"/>
      <x:c r="G434" s="74"/>
      <x:c r="H434" s="74"/>
      <x:c r="I434" s="74"/>
      <x:c r="J434" s="74"/>
      <x:c r="K434" s="74"/>
      <x:c r="L434" s="74"/>
      <x:c r="M434" s="91"/>
      <x:c r="N434" s="91"/>
      <x:c r="O434" s="85"/>
      <x:c r="Q434" s="86"/>
      <x:c r="R434" s="86"/>
      <x:c r="S434" s="32"/>
    </x:row>
    <x:row r="435">
      <x:c r="A435" s="87"/>
      <x:c r="B435" s="88"/>
      <x:c r="D435" s="32"/>
      <x:c r="G435" s="74"/>
      <x:c r="H435" s="74"/>
      <x:c r="I435" s="74"/>
      <x:c r="J435" s="74"/>
      <x:c r="K435" s="74"/>
      <x:c r="L435" s="74"/>
      <x:c r="M435" s="91"/>
      <x:c r="N435" s="91"/>
      <x:c r="O435" s="85"/>
      <x:c r="Q435" s="86"/>
      <x:c r="R435" s="86"/>
      <x:c r="S435" s="32"/>
    </x:row>
    <x:row r="436">
      <x:c r="A436" s="87"/>
      <x:c r="B436" s="88"/>
      <x:c r="D436" s="32"/>
      <x:c r="G436" s="74"/>
      <x:c r="H436" s="74"/>
      <x:c r="I436" s="74"/>
      <x:c r="J436" s="74"/>
      <x:c r="K436" s="74"/>
      <x:c r="L436" s="74"/>
      <x:c r="M436" s="91"/>
      <x:c r="N436" s="91"/>
      <x:c r="O436" s="85"/>
      <x:c r="Q436" s="86"/>
      <x:c r="R436" s="86"/>
      <x:c r="S436" s="32"/>
    </x:row>
    <x:row r="437">
      <x:c r="A437" s="87"/>
      <x:c r="B437" s="88"/>
      <x:c r="D437" s="32"/>
      <x:c r="G437" s="74"/>
      <x:c r="H437" s="74"/>
      <x:c r="I437" s="74"/>
      <x:c r="J437" s="74"/>
      <x:c r="K437" s="74"/>
      <x:c r="L437" s="74"/>
      <x:c r="M437" s="91"/>
      <x:c r="N437" s="91"/>
      <x:c r="O437" s="85"/>
      <x:c r="Q437" s="86"/>
      <x:c r="R437" s="86"/>
      <x:c r="S437" s="32"/>
    </x:row>
    <x:row r="438">
      <x:c r="A438" s="87"/>
      <x:c r="B438" s="88"/>
      <x:c r="D438" s="32"/>
      <x:c r="G438" s="74"/>
      <x:c r="H438" s="74"/>
      <x:c r="I438" s="74"/>
      <x:c r="J438" s="74"/>
      <x:c r="K438" s="74"/>
      <x:c r="L438" s="74"/>
      <x:c r="M438" s="91"/>
      <x:c r="N438" s="91"/>
      <x:c r="O438" s="85"/>
      <x:c r="Q438" s="86"/>
      <x:c r="R438" s="86"/>
      <x:c r="S438" s="32"/>
    </x:row>
    <x:row r="439">
      <x:c r="A439" s="87"/>
      <x:c r="B439" s="88"/>
      <x:c r="D439" s="32"/>
      <x:c r="G439" s="74"/>
      <x:c r="H439" s="74"/>
      <x:c r="I439" s="74"/>
      <x:c r="J439" s="74"/>
      <x:c r="K439" s="74"/>
      <x:c r="L439" s="74"/>
      <x:c r="M439" s="91"/>
      <x:c r="N439" s="91"/>
      <x:c r="O439" s="85"/>
      <x:c r="Q439" s="86"/>
      <x:c r="R439" s="86"/>
      <x:c r="S439" s="32"/>
    </x:row>
    <x:row r="440">
      <x:c r="A440" s="87"/>
      <x:c r="B440" s="88"/>
      <x:c r="D440" s="32"/>
      <x:c r="G440" s="74"/>
      <x:c r="H440" s="74"/>
      <x:c r="I440" s="74"/>
      <x:c r="J440" s="74"/>
      <x:c r="K440" s="74"/>
      <x:c r="L440" s="74"/>
      <x:c r="M440" s="91"/>
      <x:c r="N440" s="91"/>
      <x:c r="O440" s="85"/>
      <x:c r="Q440" s="86"/>
      <x:c r="R440" s="86"/>
      <x:c r="S440" s="32"/>
    </x:row>
    <x:row r="441">
      <x:c r="A441" s="87"/>
      <x:c r="B441" s="88"/>
      <x:c r="D441" s="32"/>
      <x:c r="G441" s="74"/>
      <x:c r="H441" s="74"/>
      <x:c r="I441" s="74"/>
      <x:c r="J441" s="74"/>
      <x:c r="K441" s="74"/>
      <x:c r="L441" s="74"/>
      <x:c r="M441" s="91"/>
      <x:c r="N441" s="91"/>
      <x:c r="O441" s="85"/>
      <x:c r="Q441" s="86"/>
      <x:c r="R441" s="86"/>
      <x:c r="S441" s="32"/>
    </x:row>
    <x:row r="442">
      <x:c r="A442" s="87"/>
      <x:c r="B442" s="88"/>
      <x:c r="D442" s="32"/>
      <x:c r="G442" s="74"/>
      <x:c r="H442" s="74"/>
      <x:c r="I442" s="74"/>
      <x:c r="J442" s="74"/>
      <x:c r="K442" s="74"/>
      <x:c r="L442" s="74"/>
      <x:c r="M442" s="91"/>
      <x:c r="N442" s="91"/>
      <x:c r="O442" s="85"/>
      <x:c r="Q442" s="86"/>
      <x:c r="R442" s="86"/>
      <x:c r="S442" s="32"/>
    </x:row>
    <x:row r="443">
      <x:c r="A443" s="87"/>
      <x:c r="B443" s="88"/>
      <x:c r="D443" s="32"/>
      <x:c r="G443" s="74"/>
      <x:c r="H443" s="74"/>
      <x:c r="I443" s="74"/>
      <x:c r="J443" s="74"/>
      <x:c r="K443" s="74"/>
      <x:c r="L443" s="74"/>
      <x:c r="M443" s="91"/>
      <x:c r="N443" s="91"/>
      <x:c r="O443" s="85"/>
      <x:c r="Q443" s="86"/>
      <x:c r="R443" s="86"/>
      <x:c r="S443" s="32"/>
    </x:row>
    <x:row r="444">
      <x:c r="A444" s="87"/>
      <x:c r="B444" s="88"/>
      <x:c r="D444" s="32"/>
      <x:c r="G444" s="74"/>
      <x:c r="H444" s="74"/>
      <x:c r="I444" s="74"/>
      <x:c r="J444" s="74"/>
      <x:c r="K444" s="74"/>
      <x:c r="L444" s="74"/>
      <x:c r="M444" s="91"/>
      <x:c r="N444" s="91"/>
      <x:c r="O444" s="85"/>
      <x:c r="Q444" s="86"/>
      <x:c r="R444" s="86"/>
      <x:c r="S444" s="32"/>
    </x:row>
    <x:row r="445">
      <x:c r="A445" s="87"/>
      <x:c r="B445" s="88"/>
      <x:c r="D445" s="32"/>
      <x:c r="G445" s="74"/>
      <x:c r="H445" s="74"/>
      <x:c r="I445" s="74"/>
      <x:c r="J445" s="74"/>
      <x:c r="K445" s="74"/>
      <x:c r="L445" s="74"/>
      <x:c r="M445" s="91"/>
      <x:c r="N445" s="91"/>
      <x:c r="O445" s="85"/>
      <x:c r="Q445" s="86"/>
      <x:c r="R445" s="86"/>
      <x:c r="S445" s="32"/>
    </x:row>
    <x:row r="446">
      <x:c r="A446" s="87"/>
      <x:c r="B446" s="88"/>
      <x:c r="D446" s="32"/>
      <x:c r="G446" s="74"/>
      <x:c r="H446" s="74"/>
      <x:c r="I446" s="74"/>
      <x:c r="J446" s="74"/>
      <x:c r="K446" s="74"/>
      <x:c r="L446" s="74"/>
      <x:c r="M446" s="91"/>
      <x:c r="N446" s="91"/>
      <x:c r="O446" s="85"/>
      <x:c r="Q446" s="86"/>
      <x:c r="R446" s="86"/>
      <x:c r="S446" s="32"/>
    </x:row>
    <x:row r="447">
      <x:c r="A447" s="87"/>
      <x:c r="B447" s="88"/>
      <x:c r="D447" s="32"/>
      <x:c r="G447" s="74"/>
      <x:c r="H447" s="74"/>
      <x:c r="I447" s="74"/>
      <x:c r="J447" s="74"/>
      <x:c r="K447" s="74"/>
      <x:c r="L447" s="74"/>
      <x:c r="M447" s="91"/>
      <x:c r="N447" s="91"/>
      <x:c r="O447" s="85"/>
      <x:c r="Q447" s="86"/>
      <x:c r="R447" s="86"/>
      <x:c r="S447" s="32"/>
    </x:row>
    <x:row r="448">
      <x:c r="A448" s="87"/>
      <x:c r="B448" s="88"/>
      <x:c r="D448" s="32"/>
      <x:c r="G448" s="74"/>
      <x:c r="H448" s="74"/>
      <x:c r="I448" s="74"/>
      <x:c r="J448" s="74"/>
      <x:c r="K448" s="74"/>
      <x:c r="L448" s="74"/>
      <x:c r="M448" s="91"/>
      <x:c r="N448" s="91"/>
      <x:c r="O448" s="85"/>
      <x:c r="Q448" s="86"/>
      <x:c r="R448" s="86"/>
      <x:c r="S448" s="32"/>
    </x:row>
    <x:row r="449">
      <x:c r="A449" s="87"/>
      <x:c r="B449" s="88"/>
      <x:c r="D449" s="32"/>
      <x:c r="G449" s="74"/>
      <x:c r="H449" s="74"/>
      <x:c r="I449" s="74"/>
      <x:c r="J449" s="74"/>
      <x:c r="K449" s="74"/>
      <x:c r="L449" s="74"/>
      <x:c r="M449" s="91"/>
      <x:c r="N449" s="91"/>
      <x:c r="O449" s="85"/>
      <x:c r="Q449" s="86"/>
      <x:c r="R449" s="86"/>
      <x:c r="S449" s="32"/>
    </x:row>
    <x:row r="450">
      <x:c r="A450" s="87"/>
      <x:c r="B450" s="88"/>
      <x:c r="D450" s="32"/>
      <x:c r="G450" s="74"/>
      <x:c r="H450" s="74"/>
      <x:c r="I450" s="74"/>
      <x:c r="J450" s="74"/>
      <x:c r="K450" s="74"/>
      <x:c r="L450" s="74"/>
      <x:c r="M450" s="91"/>
      <x:c r="N450" s="91"/>
      <x:c r="O450" s="85"/>
      <x:c r="Q450" s="86"/>
      <x:c r="R450" s="86"/>
      <x:c r="S450" s="32"/>
    </x:row>
    <x:row r="451">
      <x:c r="A451" s="87"/>
      <x:c r="B451" s="88"/>
      <x:c r="D451" s="32"/>
      <x:c r="G451" s="74"/>
      <x:c r="H451" s="74"/>
      <x:c r="I451" s="74"/>
      <x:c r="J451" s="74"/>
      <x:c r="K451" s="74"/>
      <x:c r="L451" s="74"/>
      <x:c r="M451" s="91"/>
      <x:c r="N451" s="91"/>
      <x:c r="O451" s="85"/>
      <x:c r="Q451" s="86"/>
      <x:c r="R451" s="86"/>
      <x:c r="S451" s="32"/>
    </x:row>
    <x:row r="452">
      <x:c r="A452" s="87"/>
      <x:c r="B452" s="88"/>
      <x:c r="D452" s="32"/>
      <x:c r="G452" s="74"/>
      <x:c r="H452" s="74"/>
      <x:c r="I452" s="74"/>
      <x:c r="J452" s="74"/>
      <x:c r="K452" s="74"/>
      <x:c r="L452" s="74"/>
      <x:c r="M452" s="91"/>
      <x:c r="N452" s="91"/>
      <x:c r="O452" s="85"/>
      <x:c r="Q452" s="86"/>
      <x:c r="R452" s="86"/>
      <x:c r="S452" s="32"/>
    </x:row>
    <x:row r="453">
      <x:c r="A453" s="87"/>
      <x:c r="B453" s="88"/>
      <x:c r="D453" s="32"/>
      <x:c r="G453" s="74"/>
      <x:c r="H453" s="74"/>
      <x:c r="I453" s="74"/>
      <x:c r="J453" s="74"/>
      <x:c r="K453" s="74"/>
      <x:c r="L453" s="74"/>
      <x:c r="M453" s="91"/>
      <x:c r="N453" s="91"/>
      <x:c r="O453" s="85"/>
      <x:c r="Q453" s="86"/>
      <x:c r="R453" s="86"/>
      <x:c r="S453" s="32"/>
    </x:row>
    <x:row r="454">
      <x:c r="A454" s="87"/>
      <x:c r="B454" s="88"/>
      <x:c r="D454" s="32"/>
      <x:c r="G454" s="74"/>
      <x:c r="H454" s="74"/>
      <x:c r="I454" s="74"/>
      <x:c r="J454" s="74"/>
      <x:c r="K454" s="74"/>
      <x:c r="L454" s="74"/>
      <x:c r="M454" s="91"/>
      <x:c r="N454" s="91"/>
      <x:c r="O454" s="85"/>
      <x:c r="Q454" s="86"/>
      <x:c r="R454" s="86"/>
      <x:c r="S454" s="32"/>
    </x:row>
    <x:row r="455">
      <x:c r="A455" s="87"/>
      <x:c r="B455" s="88"/>
      <x:c r="D455" s="32"/>
      <x:c r="G455" s="74"/>
      <x:c r="H455" s="74"/>
      <x:c r="I455" s="74"/>
      <x:c r="J455" s="74"/>
      <x:c r="K455" s="74"/>
      <x:c r="L455" s="74"/>
      <x:c r="M455" s="91"/>
      <x:c r="N455" s="91"/>
      <x:c r="O455" s="85"/>
      <x:c r="Q455" s="86"/>
      <x:c r="R455" s="86"/>
      <x:c r="S455" s="32"/>
    </x:row>
    <x:row r="456">
      <x:c r="A456" s="87"/>
      <x:c r="B456" s="88"/>
      <x:c r="D456" s="32"/>
      <x:c r="G456" s="74"/>
      <x:c r="H456" s="74"/>
      <x:c r="I456" s="74"/>
      <x:c r="J456" s="74"/>
      <x:c r="K456" s="74"/>
      <x:c r="L456" s="74"/>
      <x:c r="M456" s="91"/>
      <x:c r="N456" s="91"/>
      <x:c r="O456" s="85"/>
      <x:c r="Q456" s="86"/>
      <x:c r="R456" s="86"/>
      <x:c r="S456" s="32"/>
    </x:row>
    <x:row r="457">
      <x:c r="A457" s="87"/>
      <x:c r="B457" s="88"/>
      <x:c r="D457" s="32"/>
      <x:c r="G457" s="74"/>
      <x:c r="H457" s="74"/>
      <x:c r="I457" s="74"/>
      <x:c r="J457" s="74"/>
      <x:c r="K457" s="74"/>
      <x:c r="L457" s="74"/>
      <x:c r="M457" s="91"/>
      <x:c r="N457" s="91"/>
      <x:c r="O457" s="85"/>
      <x:c r="Q457" s="86"/>
      <x:c r="R457" s="86"/>
      <x:c r="S457" s="32"/>
    </x:row>
    <x:row r="458">
      <x:c r="A458" s="87"/>
      <x:c r="B458" s="88"/>
      <x:c r="D458" s="32"/>
      <x:c r="G458" s="74"/>
      <x:c r="H458" s="74"/>
      <x:c r="I458" s="74"/>
      <x:c r="J458" s="74"/>
      <x:c r="K458" s="74"/>
      <x:c r="L458" s="74"/>
      <x:c r="M458" s="91"/>
      <x:c r="N458" s="91"/>
      <x:c r="O458" s="85"/>
      <x:c r="Q458" s="86"/>
      <x:c r="R458" s="86"/>
      <x:c r="S458" s="32"/>
    </x:row>
    <x:row r="459">
      <x:c r="A459" s="87"/>
      <x:c r="B459" s="88"/>
      <x:c r="D459" s="32"/>
      <x:c r="G459" s="74"/>
      <x:c r="H459" s="74"/>
      <x:c r="I459" s="74"/>
      <x:c r="J459" s="74"/>
      <x:c r="K459" s="74"/>
      <x:c r="L459" s="74"/>
      <x:c r="M459" s="91"/>
      <x:c r="N459" s="91"/>
      <x:c r="O459" s="85"/>
      <x:c r="Q459" s="86"/>
      <x:c r="R459" s="86"/>
      <x:c r="S459" s="32"/>
    </x:row>
    <x:row r="460">
      <x:c r="A460" s="87"/>
      <x:c r="B460" s="88"/>
      <x:c r="D460" s="32"/>
      <x:c r="G460" s="74"/>
      <x:c r="H460" s="74"/>
      <x:c r="I460" s="74"/>
      <x:c r="J460" s="74"/>
      <x:c r="K460" s="74"/>
      <x:c r="L460" s="74"/>
      <x:c r="M460" s="91"/>
      <x:c r="N460" s="91"/>
      <x:c r="O460" s="85"/>
      <x:c r="Q460" s="86"/>
      <x:c r="R460" s="86"/>
      <x:c r="S460" s="32"/>
    </x:row>
    <x:row r="461">
      <x:c r="A461" s="87"/>
      <x:c r="B461" s="88"/>
      <x:c r="D461" s="32"/>
      <x:c r="G461" s="74"/>
      <x:c r="H461" s="74"/>
      <x:c r="I461" s="74"/>
      <x:c r="J461" s="74"/>
      <x:c r="K461" s="74"/>
      <x:c r="L461" s="74"/>
      <x:c r="M461" s="91"/>
      <x:c r="N461" s="91"/>
      <x:c r="O461" s="85"/>
      <x:c r="Q461" s="86"/>
      <x:c r="R461" s="86"/>
      <x:c r="S461" s="32"/>
    </x:row>
    <x:row r="462">
      <x:c r="A462" s="87"/>
      <x:c r="B462" s="88"/>
      <x:c r="D462" s="32"/>
      <x:c r="G462" s="74"/>
      <x:c r="H462" s="74"/>
      <x:c r="I462" s="74"/>
      <x:c r="J462" s="74"/>
      <x:c r="K462" s="74"/>
      <x:c r="L462" s="74"/>
      <x:c r="M462" s="91"/>
      <x:c r="N462" s="91"/>
      <x:c r="O462" s="85"/>
      <x:c r="Q462" s="86"/>
      <x:c r="R462" s="86"/>
      <x:c r="S462" s="32"/>
    </x:row>
    <x:row r="463">
      <x:c r="A463" s="87"/>
      <x:c r="B463" s="88"/>
      <x:c r="D463" s="32"/>
      <x:c r="G463" s="74"/>
      <x:c r="H463" s="74"/>
      <x:c r="I463" s="74"/>
      <x:c r="J463" s="74"/>
      <x:c r="K463" s="74"/>
      <x:c r="L463" s="74"/>
      <x:c r="M463" s="91"/>
      <x:c r="N463" s="91"/>
      <x:c r="O463" s="85"/>
      <x:c r="Q463" s="86"/>
      <x:c r="R463" s="86"/>
      <x:c r="S463" s="32"/>
    </x:row>
    <x:row r="464">
      <x:c r="A464" s="87"/>
      <x:c r="B464" s="88"/>
      <x:c r="D464" s="32"/>
      <x:c r="G464" s="74"/>
      <x:c r="H464" s="74"/>
      <x:c r="I464" s="74"/>
      <x:c r="J464" s="74"/>
      <x:c r="K464" s="74"/>
      <x:c r="L464" s="74"/>
      <x:c r="M464" s="91"/>
      <x:c r="N464" s="91"/>
      <x:c r="O464" s="85"/>
      <x:c r="Q464" s="86"/>
      <x:c r="R464" s="86"/>
      <x:c r="S464" s="32"/>
    </x:row>
    <x:row r="465">
      <x:c r="A465" s="87"/>
      <x:c r="B465" s="88"/>
      <x:c r="D465" s="32"/>
      <x:c r="G465" s="74"/>
      <x:c r="H465" s="74"/>
      <x:c r="I465" s="74"/>
      <x:c r="J465" s="74"/>
      <x:c r="K465" s="74"/>
      <x:c r="L465" s="74"/>
      <x:c r="M465" s="91"/>
      <x:c r="N465" s="91"/>
      <x:c r="O465" s="85"/>
      <x:c r="Q465" s="86"/>
      <x:c r="R465" s="86"/>
      <x:c r="S465" s="32"/>
    </x:row>
    <x:row r="466">
      <x:c r="A466" s="87"/>
      <x:c r="B466" s="88"/>
      <x:c r="D466" s="32"/>
      <x:c r="G466" s="74"/>
      <x:c r="H466" s="74"/>
      <x:c r="I466" s="74"/>
      <x:c r="J466" s="74"/>
      <x:c r="K466" s="74"/>
      <x:c r="L466" s="74"/>
      <x:c r="M466" s="91"/>
      <x:c r="N466" s="91"/>
      <x:c r="O466" s="85"/>
      <x:c r="Q466" s="86"/>
      <x:c r="R466" s="86"/>
      <x:c r="S466" s="32"/>
    </x:row>
    <x:row r="467">
      <x:c r="A467" s="87"/>
      <x:c r="B467" s="88"/>
      <x:c r="D467" s="32"/>
      <x:c r="G467" s="74"/>
      <x:c r="H467" s="74"/>
      <x:c r="I467" s="74"/>
      <x:c r="J467" s="74"/>
      <x:c r="K467" s="74"/>
      <x:c r="L467" s="74"/>
      <x:c r="M467" s="91"/>
      <x:c r="N467" s="91"/>
      <x:c r="O467" s="85"/>
      <x:c r="Q467" s="86"/>
      <x:c r="R467" s="86"/>
      <x:c r="S467" s="32"/>
    </x:row>
    <x:row r="468">
      <x:c r="A468" s="87"/>
      <x:c r="B468" s="88"/>
      <x:c r="D468" s="32"/>
      <x:c r="G468" s="74"/>
      <x:c r="H468" s="74"/>
      <x:c r="I468" s="74"/>
      <x:c r="J468" s="74"/>
      <x:c r="K468" s="74"/>
      <x:c r="L468" s="74"/>
      <x:c r="M468" s="91"/>
      <x:c r="N468" s="91"/>
      <x:c r="O468" s="85"/>
      <x:c r="Q468" s="86"/>
      <x:c r="R468" s="86"/>
      <x:c r="S468" s="32"/>
    </x:row>
    <x:row r="469">
      <x:c r="A469" s="87"/>
      <x:c r="B469" s="88"/>
      <x:c r="D469" s="32"/>
      <x:c r="G469" s="74"/>
      <x:c r="H469" s="74"/>
      <x:c r="I469" s="74"/>
      <x:c r="J469" s="74"/>
      <x:c r="K469" s="74"/>
      <x:c r="L469" s="74"/>
      <x:c r="M469" s="91"/>
      <x:c r="N469" s="91"/>
      <x:c r="O469" s="85"/>
      <x:c r="Q469" s="86"/>
      <x:c r="R469" s="86"/>
      <x:c r="S469" s="32"/>
    </x:row>
    <x:row r="470">
      <x:c r="A470" s="87"/>
      <x:c r="B470" s="88"/>
      <x:c r="D470" s="32"/>
      <x:c r="G470" s="74"/>
      <x:c r="H470" s="74"/>
      <x:c r="I470" s="74"/>
      <x:c r="J470" s="74"/>
      <x:c r="K470" s="74"/>
      <x:c r="L470" s="74"/>
      <x:c r="M470" s="91"/>
      <x:c r="N470" s="91"/>
      <x:c r="O470" s="85"/>
      <x:c r="Q470" s="86"/>
      <x:c r="R470" s="86"/>
      <x:c r="S470" s="32"/>
    </x:row>
    <x:row r="471">
      <x:c r="A471" s="87"/>
      <x:c r="B471" s="88"/>
      <x:c r="D471" s="32"/>
      <x:c r="G471" s="74"/>
      <x:c r="H471" s="74"/>
      <x:c r="I471" s="74"/>
      <x:c r="J471" s="74"/>
      <x:c r="K471" s="74"/>
      <x:c r="L471" s="74"/>
      <x:c r="M471" s="91"/>
      <x:c r="N471" s="91"/>
      <x:c r="O471" s="85"/>
      <x:c r="Q471" s="86"/>
      <x:c r="R471" s="86"/>
      <x:c r="S471" s="32"/>
    </x:row>
    <x:row r="472">
      <x:c r="A472" s="87"/>
      <x:c r="B472" s="88"/>
      <x:c r="D472" s="32"/>
      <x:c r="G472" s="74"/>
      <x:c r="H472" s="74"/>
      <x:c r="I472" s="74"/>
      <x:c r="J472" s="74"/>
      <x:c r="K472" s="74"/>
      <x:c r="L472" s="74"/>
      <x:c r="M472" s="91"/>
      <x:c r="N472" s="91"/>
      <x:c r="O472" s="85"/>
      <x:c r="Q472" s="86"/>
      <x:c r="R472" s="86"/>
      <x:c r="S472" s="32"/>
    </x:row>
    <x:row r="473">
      <x:c r="A473" s="87"/>
      <x:c r="B473" s="88"/>
      <x:c r="D473" s="32"/>
      <x:c r="G473" s="74"/>
      <x:c r="H473" s="74"/>
      <x:c r="I473" s="74"/>
      <x:c r="J473" s="74"/>
      <x:c r="K473" s="74"/>
      <x:c r="L473" s="74"/>
      <x:c r="M473" s="91"/>
      <x:c r="N473" s="91"/>
      <x:c r="O473" s="85"/>
      <x:c r="Q473" s="86"/>
      <x:c r="R473" s="86"/>
      <x:c r="S473" s="32"/>
    </x:row>
    <x:row r="474">
      <x:c r="A474" s="87"/>
      <x:c r="B474" s="88"/>
      <x:c r="D474" s="32"/>
      <x:c r="G474" s="74"/>
      <x:c r="H474" s="74"/>
      <x:c r="I474" s="74"/>
      <x:c r="J474" s="74"/>
      <x:c r="K474" s="74"/>
      <x:c r="L474" s="74"/>
      <x:c r="M474" s="91"/>
      <x:c r="N474" s="91"/>
      <x:c r="O474" s="85"/>
      <x:c r="Q474" s="86"/>
      <x:c r="R474" s="86"/>
      <x:c r="S474" s="32"/>
    </x:row>
    <x:row r="475">
      <x:c r="A475" s="87"/>
      <x:c r="B475" s="88"/>
      <x:c r="D475" s="32"/>
      <x:c r="G475" s="74"/>
      <x:c r="H475" s="74"/>
      <x:c r="I475" s="74"/>
      <x:c r="J475" s="74"/>
      <x:c r="K475" s="74"/>
      <x:c r="L475" s="74"/>
      <x:c r="M475" s="91"/>
      <x:c r="N475" s="91"/>
      <x:c r="O475" s="85"/>
      <x:c r="Q475" s="86"/>
      <x:c r="R475" s="86"/>
      <x:c r="S475" s="32"/>
    </x:row>
    <x:row r="476">
      <x:c r="A476" s="87"/>
      <x:c r="B476" s="88"/>
      <x:c r="D476" s="32"/>
      <x:c r="G476" s="74"/>
      <x:c r="H476" s="74"/>
      <x:c r="I476" s="74"/>
      <x:c r="J476" s="74"/>
      <x:c r="K476" s="74"/>
      <x:c r="L476" s="74"/>
      <x:c r="M476" s="91"/>
      <x:c r="N476" s="91"/>
      <x:c r="O476" s="85"/>
      <x:c r="Q476" s="86"/>
      <x:c r="R476" s="86"/>
      <x:c r="S476" s="32"/>
    </x:row>
    <x:row r="477">
      <x:c r="A477" s="87"/>
      <x:c r="B477" s="88"/>
      <x:c r="D477" s="32"/>
      <x:c r="G477" s="74"/>
      <x:c r="H477" s="74"/>
      <x:c r="I477" s="74"/>
      <x:c r="J477" s="74"/>
      <x:c r="K477" s="74"/>
      <x:c r="L477" s="74"/>
      <x:c r="M477" s="91"/>
      <x:c r="N477" s="91"/>
      <x:c r="O477" s="85"/>
      <x:c r="Q477" s="86"/>
      <x:c r="R477" s="86"/>
      <x:c r="S477" s="32"/>
    </x:row>
    <x:row r="478">
      <x:c r="A478" s="87"/>
      <x:c r="B478" s="88"/>
      <x:c r="D478" s="32"/>
      <x:c r="G478" s="74"/>
      <x:c r="H478" s="74"/>
      <x:c r="I478" s="74"/>
      <x:c r="J478" s="74"/>
      <x:c r="K478" s="74"/>
      <x:c r="L478" s="74"/>
      <x:c r="M478" s="91"/>
      <x:c r="N478" s="91"/>
      <x:c r="O478" s="85"/>
      <x:c r="Q478" s="86"/>
      <x:c r="R478" s="86"/>
      <x:c r="S478" s="32"/>
    </x:row>
    <x:row r="479">
      <x:c r="A479" s="87"/>
      <x:c r="B479" s="88"/>
      <x:c r="D479" s="32"/>
      <x:c r="G479" s="74"/>
      <x:c r="H479" s="74"/>
      <x:c r="I479" s="74"/>
      <x:c r="J479" s="74"/>
      <x:c r="K479" s="74"/>
      <x:c r="L479" s="74"/>
      <x:c r="M479" s="91"/>
      <x:c r="N479" s="91"/>
      <x:c r="O479" s="85"/>
      <x:c r="Q479" s="86"/>
      <x:c r="R479" s="86"/>
      <x:c r="S479" s="32"/>
    </x:row>
    <x:row r="480">
      <x:c r="A480" s="87"/>
      <x:c r="B480" s="88"/>
      <x:c r="D480" s="32"/>
      <x:c r="G480" s="74"/>
      <x:c r="H480" s="74"/>
      <x:c r="I480" s="74"/>
      <x:c r="J480" s="74"/>
      <x:c r="K480" s="74"/>
      <x:c r="L480" s="74"/>
      <x:c r="M480" s="91"/>
      <x:c r="N480" s="91"/>
      <x:c r="O480" s="85"/>
      <x:c r="Q480" s="86"/>
      <x:c r="R480" s="86"/>
      <x:c r="S480" s="32"/>
    </x:row>
    <x:row r="481">
      <x:c r="A481" s="87"/>
      <x:c r="B481" s="88"/>
      <x:c r="D481" s="32"/>
      <x:c r="G481" s="74"/>
      <x:c r="H481" s="74"/>
      <x:c r="I481" s="74"/>
      <x:c r="J481" s="74"/>
      <x:c r="K481" s="74"/>
      <x:c r="L481" s="74"/>
      <x:c r="M481" s="91"/>
      <x:c r="N481" s="91"/>
      <x:c r="O481" s="85"/>
      <x:c r="Q481" s="86"/>
      <x:c r="R481" s="86"/>
      <x:c r="S481" s="32"/>
    </x:row>
    <x:row r="482">
      <x:c r="A482" s="87"/>
      <x:c r="B482" s="88"/>
      <x:c r="D482" s="32"/>
      <x:c r="G482" s="74"/>
      <x:c r="H482" s="74"/>
      <x:c r="I482" s="74"/>
      <x:c r="J482" s="74"/>
      <x:c r="K482" s="74"/>
      <x:c r="L482" s="74"/>
      <x:c r="M482" s="91"/>
      <x:c r="N482" s="91"/>
      <x:c r="O482" s="85"/>
      <x:c r="Q482" s="86"/>
      <x:c r="R482" s="86"/>
      <x:c r="S482" s="32"/>
    </x:row>
    <x:row r="483">
      <x:c r="A483" s="87"/>
      <x:c r="B483" s="88"/>
      <x:c r="D483" s="32"/>
      <x:c r="G483" s="74"/>
      <x:c r="H483" s="74"/>
      <x:c r="I483" s="74"/>
      <x:c r="J483" s="74"/>
      <x:c r="K483" s="74"/>
      <x:c r="L483" s="74"/>
      <x:c r="M483" s="91"/>
      <x:c r="N483" s="91"/>
      <x:c r="O483" s="85"/>
      <x:c r="Q483" s="86"/>
      <x:c r="R483" s="86"/>
      <x:c r="S483" s="32"/>
    </x:row>
    <x:row r="484">
      <x:c r="A484" s="87"/>
      <x:c r="B484" s="88"/>
      <x:c r="D484" s="32"/>
      <x:c r="G484" s="74"/>
      <x:c r="H484" s="74"/>
      <x:c r="I484" s="74"/>
      <x:c r="J484" s="74"/>
      <x:c r="K484" s="74"/>
      <x:c r="L484" s="74"/>
      <x:c r="M484" s="91"/>
      <x:c r="N484" s="91"/>
      <x:c r="O484" s="85"/>
      <x:c r="Q484" s="86"/>
      <x:c r="R484" s="86"/>
      <x:c r="S484" s="32"/>
    </x:row>
    <x:row r="485">
      <x:c r="A485" s="87"/>
      <x:c r="B485" s="88"/>
      <x:c r="D485" s="32"/>
      <x:c r="G485" s="74"/>
      <x:c r="H485" s="74"/>
      <x:c r="I485" s="74"/>
      <x:c r="J485" s="74"/>
      <x:c r="K485" s="74"/>
      <x:c r="L485" s="74"/>
      <x:c r="M485" s="91"/>
      <x:c r="N485" s="91"/>
      <x:c r="O485" s="85"/>
      <x:c r="Q485" s="86"/>
      <x:c r="R485" s="86"/>
      <x:c r="S485" s="32"/>
    </x:row>
    <x:row r="486">
      <x:c r="A486" s="87"/>
      <x:c r="B486" s="88"/>
      <x:c r="D486" s="32"/>
      <x:c r="G486" s="74"/>
      <x:c r="H486" s="74"/>
      <x:c r="I486" s="74"/>
      <x:c r="J486" s="74"/>
      <x:c r="K486" s="74"/>
      <x:c r="L486" s="74"/>
      <x:c r="M486" s="91"/>
      <x:c r="N486" s="91"/>
      <x:c r="O486" s="85"/>
      <x:c r="Q486" s="86"/>
      <x:c r="R486" s="86"/>
      <x:c r="S486" s="32"/>
    </x:row>
    <x:row r="487">
      <x:c r="A487" s="87"/>
      <x:c r="B487" s="88"/>
      <x:c r="D487" s="32"/>
      <x:c r="G487" s="74"/>
      <x:c r="H487" s="74"/>
      <x:c r="I487" s="74"/>
      <x:c r="J487" s="74"/>
      <x:c r="K487" s="74"/>
      <x:c r="L487" s="74"/>
      <x:c r="M487" s="91"/>
      <x:c r="N487" s="91"/>
      <x:c r="O487" s="85"/>
      <x:c r="Q487" s="86"/>
      <x:c r="R487" s="86"/>
      <x:c r="S487" s="32"/>
    </x:row>
    <x:row r="488">
      <x:c r="A488" s="87"/>
      <x:c r="B488" s="88"/>
      <x:c r="D488" s="32"/>
      <x:c r="G488" s="74"/>
      <x:c r="H488" s="74"/>
      <x:c r="I488" s="74"/>
      <x:c r="J488" s="74"/>
      <x:c r="K488" s="74"/>
      <x:c r="L488" s="74"/>
      <x:c r="M488" s="91"/>
      <x:c r="N488" s="91"/>
      <x:c r="O488" s="85"/>
      <x:c r="Q488" s="86"/>
      <x:c r="R488" s="86"/>
      <x:c r="S488" s="32"/>
    </x:row>
    <x:row r="489">
      <x:c r="A489" s="87"/>
      <x:c r="B489" s="88"/>
      <x:c r="D489" s="32"/>
      <x:c r="G489" s="74"/>
      <x:c r="H489" s="74"/>
      <x:c r="I489" s="74"/>
      <x:c r="J489" s="74"/>
      <x:c r="K489" s="74"/>
      <x:c r="L489" s="74"/>
      <x:c r="M489" s="91"/>
      <x:c r="N489" s="91"/>
      <x:c r="O489" s="85"/>
      <x:c r="Q489" s="86"/>
      <x:c r="R489" s="86"/>
      <x:c r="S489" s="32"/>
    </x:row>
    <x:row r="490">
      <x:c r="A490" s="87"/>
      <x:c r="B490" s="88"/>
      <x:c r="D490" s="32"/>
      <x:c r="G490" s="74"/>
      <x:c r="H490" s="74"/>
      <x:c r="I490" s="74"/>
      <x:c r="J490" s="74"/>
      <x:c r="K490" s="74"/>
      <x:c r="L490" s="74"/>
      <x:c r="M490" s="91"/>
      <x:c r="N490" s="91"/>
      <x:c r="O490" s="85"/>
      <x:c r="Q490" s="86"/>
      <x:c r="R490" s="86"/>
      <x:c r="S490" s="32"/>
    </x:row>
    <x:row r="491">
      <x:c r="A491" s="87"/>
      <x:c r="B491" s="88"/>
      <x:c r="D491" s="32"/>
      <x:c r="G491" s="74"/>
      <x:c r="H491" s="74"/>
      <x:c r="I491" s="74"/>
      <x:c r="J491" s="74"/>
      <x:c r="K491" s="74"/>
      <x:c r="L491" s="74"/>
      <x:c r="M491" s="91"/>
      <x:c r="N491" s="91"/>
      <x:c r="O491" s="85"/>
      <x:c r="Q491" s="86"/>
      <x:c r="R491" s="86"/>
      <x:c r="S491" s="32"/>
    </x:row>
    <x:row r="492">
      <x:c r="A492" s="87"/>
      <x:c r="B492" s="88"/>
      <x:c r="D492" s="32"/>
      <x:c r="G492" s="74"/>
      <x:c r="H492" s="74"/>
      <x:c r="I492" s="74"/>
      <x:c r="J492" s="74"/>
      <x:c r="K492" s="74"/>
      <x:c r="L492" s="74"/>
      <x:c r="M492" s="91"/>
      <x:c r="N492" s="91"/>
      <x:c r="O492" s="85"/>
      <x:c r="Q492" s="86"/>
      <x:c r="R492" s="86"/>
      <x:c r="S492" s="32"/>
    </x:row>
    <x:row r="493">
      <x:c r="A493" s="87"/>
      <x:c r="B493" s="88"/>
      <x:c r="D493" s="32"/>
      <x:c r="G493" s="74"/>
      <x:c r="H493" s="74"/>
      <x:c r="I493" s="74"/>
      <x:c r="J493" s="74"/>
      <x:c r="K493" s="74"/>
      <x:c r="L493" s="74"/>
      <x:c r="M493" s="91"/>
      <x:c r="N493" s="91"/>
      <x:c r="O493" s="85"/>
      <x:c r="Q493" s="86"/>
      <x:c r="R493" s="86"/>
      <x:c r="S493" s="32"/>
    </x:row>
    <x:row r="494">
      <x:c r="A494" s="87"/>
      <x:c r="B494" s="88"/>
      <x:c r="D494" s="32"/>
      <x:c r="G494" s="74"/>
      <x:c r="H494" s="74"/>
      <x:c r="I494" s="74"/>
      <x:c r="J494" s="74"/>
      <x:c r="K494" s="74"/>
      <x:c r="L494" s="74"/>
      <x:c r="M494" s="91"/>
      <x:c r="N494" s="91"/>
      <x:c r="O494" s="85"/>
      <x:c r="Q494" s="86"/>
      <x:c r="R494" s="86"/>
      <x:c r="S494" s="32"/>
    </x:row>
    <x:row r="495">
      <x:c r="A495" s="87"/>
      <x:c r="B495" s="88"/>
      <x:c r="D495" s="32"/>
      <x:c r="G495" s="74"/>
      <x:c r="H495" s="74"/>
      <x:c r="I495" s="74"/>
      <x:c r="J495" s="74"/>
      <x:c r="K495" s="74"/>
      <x:c r="L495" s="74"/>
      <x:c r="M495" s="91"/>
      <x:c r="N495" s="91"/>
      <x:c r="O495" s="85"/>
      <x:c r="Q495" s="86"/>
      <x:c r="R495" s="86"/>
      <x:c r="S495" s="32"/>
    </x:row>
    <x:row r="496">
      <x:c r="A496" s="87"/>
      <x:c r="B496" s="88"/>
      <x:c r="D496" s="32"/>
      <x:c r="G496" s="74"/>
      <x:c r="H496" s="74"/>
      <x:c r="I496" s="74"/>
      <x:c r="J496" s="74"/>
      <x:c r="K496" s="74"/>
      <x:c r="L496" s="74"/>
      <x:c r="M496" s="91"/>
      <x:c r="N496" s="91"/>
      <x:c r="O496" s="85"/>
      <x:c r="Q496" s="86"/>
      <x:c r="R496" s="86"/>
      <x:c r="S496" s="32"/>
    </x:row>
    <x:row r="497">
      <x:c r="A497" s="87"/>
      <x:c r="B497" s="88"/>
      <x:c r="D497" s="32"/>
      <x:c r="G497" s="74"/>
      <x:c r="H497" s="74"/>
      <x:c r="I497" s="74"/>
      <x:c r="J497" s="74"/>
      <x:c r="K497" s="74"/>
      <x:c r="L497" s="74"/>
      <x:c r="M497" s="91"/>
      <x:c r="N497" s="91"/>
      <x:c r="O497" s="85"/>
      <x:c r="Q497" s="86"/>
      <x:c r="R497" s="86"/>
      <x:c r="S497" s="32"/>
    </x:row>
    <x:row r="498">
      <x:c r="A498" s="87"/>
      <x:c r="B498" s="88"/>
      <x:c r="D498" s="32"/>
      <x:c r="G498" s="74"/>
      <x:c r="H498" s="74"/>
      <x:c r="I498" s="74"/>
      <x:c r="J498" s="74"/>
      <x:c r="K498" s="74"/>
      <x:c r="L498" s="74"/>
      <x:c r="M498" s="91"/>
      <x:c r="N498" s="91"/>
      <x:c r="O498" s="85"/>
      <x:c r="Q498" s="86"/>
      <x:c r="R498" s="86"/>
      <x:c r="S498" s="32"/>
    </x:row>
    <x:row r="499">
      <x:c r="A499" s="87"/>
      <x:c r="B499" s="88"/>
      <x:c r="D499" s="32"/>
      <x:c r="G499" s="74"/>
      <x:c r="H499" s="74"/>
      <x:c r="I499" s="74"/>
      <x:c r="J499" s="74"/>
      <x:c r="K499" s="74"/>
      <x:c r="L499" s="74"/>
      <x:c r="M499" s="91"/>
      <x:c r="N499" s="91"/>
      <x:c r="O499" s="85"/>
      <x:c r="Q499" s="86"/>
      <x:c r="R499" s="86"/>
      <x:c r="S499" s="32"/>
    </x:row>
    <x:row r="500">
      <x:c r="A500" s="87"/>
      <x:c r="B500" s="88"/>
      <x:c r="D500" s="32"/>
      <x:c r="G500" s="74"/>
      <x:c r="H500" s="74"/>
      <x:c r="I500" s="74"/>
      <x:c r="J500" s="74"/>
      <x:c r="K500" s="74"/>
      <x:c r="L500" s="74"/>
      <x:c r="M500" s="91"/>
      <x:c r="N500" s="91"/>
      <x:c r="O500" s="85"/>
      <x:c r="Q500" s="86"/>
      <x:c r="R500" s="86"/>
      <x:c r="S500" s="32"/>
    </x:row>
    <x:row r="501">
      <x:c r="A501" s="87"/>
      <x:c r="B501" s="88"/>
      <x:c r="D501" s="32"/>
      <x:c r="G501" s="74"/>
      <x:c r="H501" s="74"/>
      <x:c r="I501" s="74"/>
      <x:c r="J501" s="74"/>
      <x:c r="K501" s="74"/>
      <x:c r="L501" s="74"/>
      <x:c r="M501" s="91"/>
      <x:c r="N501" s="91"/>
      <x:c r="O501" s="85"/>
      <x:c r="Q501" s="86"/>
      <x:c r="R501" s="86"/>
      <x:c r="S501" s="32"/>
    </x:row>
    <x:row r="502">
      <x:c r="A502" s="87"/>
      <x:c r="B502" s="88"/>
      <x:c r="D502" s="32"/>
      <x:c r="G502" s="74"/>
      <x:c r="H502" s="74"/>
      <x:c r="I502" s="74"/>
      <x:c r="J502" s="74"/>
      <x:c r="K502" s="74"/>
      <x:c r="L502" s="74"/>
      <x:c r="M502" s="91"/>
      <x:c r="N502" s="91"/>
      <x:c r="O502" s="85"/>
      <x:c r="Q502" s="86"/>
      <x:c r="R502" s="86"/>
      <x:c r="S502" s="32"/>
    </x:row>
    <x:row r="503">
      <x:c r="A503" s="87"/>
      <x:c r="B503" s="88"/>
      <x:c r="D503" s="32"/>
      <x:c r="G503" s="74"/>
      <x:c r="H503" s="74"/>
      <x:c r="I503" s="74"/>
      <x:c r="J503" s="74"/>
      <x:c r="K503" s="74"/>
      <x:c r="L503" s="74"/>
      <x:c r="M503" s="91"/>
      <x:c r="N503" s="91"/>
      <x:c r="O503" s="85"/>
      <x:c r="Q503" s="86"/>
      <x:c r="R503" s="86"/>
      <x:c r="S503" s="32"/>
    </x:row>
    <x:row r="504">
      <x:c r="A504" s="87"/>
      <x:c r="B504" s="88"/>
      <x:c r="D504" s="32"/>
      <x:c r="G504" s="74"/>
      <x:c r="H504" s="74"/>
      <x:c r="I504" s="74"/>
      <x:c r="J504" s="74"/>
      <x:c r="K504" s="74"/>
      <x:c r="L504" s="74"/>
      <x:c r="M504" s="91"/>
      <x:c r="N504" s="91"/>
      <x:c r="O504" s="85"/>
      <x:c r="Q504" s="86"/>
      <x:c r="R504" s="86"/>
      <x:c r="S504" s="32"/>
    </x:row>
    <x:row r="505">
      <x:c r="A505" s="87"/>
      <x:c r="B505" s="88"/>
      <x:c r="D505" s="32"/>
      <x:c r="G505" s="74"/>
      <x:c r="H505" s="74"/>
      <x:c r="I505" s="74"/>
      <x:c r="J505" s="74"/>
      <x:c r="K505" s="74"/>
      <x:c r="L505" s="74"/>
      <x:c r="M505" s="91"/>
      <x:c r="N505" s="91"/>
      <x:c r="O505" s="85"/>
      <x:c r="Q505" s="86"/>
      <x:c r="R505" s="86"/>
      <x:c r="S505" s="32"/>
    </x:row>
    <x:row r="506">
      <x:c r="A506" s="87"/>
      <x:c r="B506" s="88"/>
      <x:c r="D506" s="32"/>
      <x:c r="G506" s="74"/>
      <x:c r="H506" s="74"/>
      <x:c r="I506" s="74"/>
      <x:c r="J506" s="74"/>
      <x:c r="K506" s="74"/>
      <x:c r="L506" s="74"/>
      <x:c r="M506" s="91"/>
      <x:c r="N506" s="91"/>
      <x:c r="O506" s="85"/>
      <x:c r="Q506" s="86"/>
      <x:c r="R506" s="86"/>
      <x:c r="S506" s="32"/>
    </x:row>
    <x:row r="507">
      <x:c r="A507" s="87"/>
      <x:c r="B507" s="88"/>
      <x:c r="D507" s="32"/>
      <x:c r="G507" s="74"/>
      <x:c r="H507" s="74"/>
      <x:c r="I507" s="74"/>
      <x:c r="J507" s="74"/>
      <x:c r="K507" s="74"/>
      <x:c r="L507" s="74"/>
      <x:c r="M507" s="91"/>
      <x:c r="N507" s="91"/>
      <x:c r="O507" s="85"/>
      <x:c r="Q507" s="86"/>
      <x:c r="R507" s="86"/>
      <x:c r="S507" s="32"/>
    </x:row>
    <x:row r="508">
      <x:c r="A508" s="87"/>
      <x:c r="B508" s="88"/>
      <x:c r="D508" s="32"/>
      <x:c r="G508" s="74"/>
      <x:c r="H508" s="74"/>
      <x:c r="I508" s="74"/>
      <x:c r="J508" s="74"/>
      <x:c r="K508" s="74"/>
      <x:c r="L508" s="74"/>
      <x:c r="M508" s="91"/>
      <x:c r="N508" s="91"/>
      <x:c r="O508" s="85"/>
      <x:c r="Q508" s="86"/>
      <x:c r="R508" s="86"/>
      <x:c r="S508" s="32"/>
    </x:row>
    <x:row r="509">
      <x:c r="A509" s="87"/>
      <x:c r="B509" s="88"/>
      <x:c r="D509" s="32"/>
      <x:c r="G509" s="74"/>
      <x:c r="H509" s="74"/>
      <x:c r="I509" s="74"/>
      <x:c r="J509" s="74"/>
      <x:c r="K509" s="74"/>
      <x:c r="L509" s="74"/>
      <x:c r="M509" s="91"/>
      <x:c r="N509" s="91"/>
      <x:c r="O509" s="85"/>
      <x:c r="Q509" s="86"/>
      <x:c r="R509" s="86"/>
      <x:c r="S509" s="32"/>
    </x:row>
    <x:row r="510">
      <x:c r="A510" s="87"/>
      <x:c r="B510" s="88"/>
      <x:c r="D510" s="32"/>
      <x:c r="G510" s="74"/>
      <x:c r="H510" s="74"/>
      <x:c r="I510" s="74"/>
      <x:c r="J510" s="74"/>
      <x:c r="K510" s="74"/>
      <x:c r="L510" s="74"/>
      <x:c r="M510" s="91"/>
      <x:c r="N510" s="91"/>
      <x:c r="O510" s="85"/>
      <x:c r="Q510" s="86"/>
      <x:c r="R510" s="86"/>
      <x:c r="S510" s="32"/>
    </x:row>
    <x:row r="511">
      <x:c r="A511" s="87"/>
      <x:c r="B511" s="88"/>
      <x:c r="D511" s="32"/>
      <x:c r="G511" s="74"/>
      <x:c r="H511" s="74"/>
      <x:c r="I511" s="74"/>
      <x:c r="J511" s="74"/>
      <x:c r="K511" s="74"/>
      <x:c r="L511" s="74"/>
      <x:c r="M511" s="91"/>
      <x:c r="N511" s="91"/>
      <x:c r="O511" s="85"/>
      <x:c r="Q511" s="86"/>
      <x:c r="R511" s="86"/>
      <x:c r="S511" s="32"/>
    </x:row>
    <x:row r="512">
      <x:c r="A512" s="87"/>
      <x:c r="B512" s="88"/>
      <x:c r="D512" s="32"/>
      <x:c r="G512" s="74"/>
      <x:c r="H512" s="74"/>
      <x:c r="I512" s="74"/>
      <x:c r="J512" s="74"/>
      <x:c r="K512" s="74"/>
      <x:c r="L512" s="74"/>
      <x:c r="M512" s="91"/>
      <x:c r="N512" s="91"/>
      <x:c r="O512" s="85"/>
      <x:c r="Q512" s="86"/>
      <x:c r="R512" s="86"/>
      <x:c r="S512" s="32"/>
    </x:row>
    <x:row r="513">
      <x:c r="A513" s="87"/>
      <x:c r="B513" s="88"/>
      <x:c r="D513" s="32"/>
      <x:c r="G513" s="74"/>
      <x:c r="H513" s="74"/>
      <x:c r="I513" s="74"/>
      <x:c r="J513" s="74"/>
      <x:c r="K513" s="74"/>
      <x:c r="L513" s="74"/>
      <x:c r="M513" s="91"/>
      <x:c r="N513" s="91"/>
      <x:c r="O513" s="85"/>
      <x:c r="Q513" s="86"/>
      <x:c r="R513" s="86"/>
      <x:c r="S513" s="32"/>
    </x:row>
    <x:row r="514">
      <x:c r="A514" s="87"/>
      <x:c r="B514" s="88"/>
      <x:c r="D514" s="32"/>
      <x:c r="G514" s="74"/>
      <x:c r="H514" s="74"/>
      <x:c r="I514" s="74"/>
      <x:c r="J514" s="74"/>
      <x:c r="K514" s="74"/>
      <x:c r="L514" s="74"/>
      <x:c r="M514" s="91"/>
      <x:c r="N514" s="91"/>
      <x:c r="O514" s="85"/>
      <x:c r="Q514" s="86"/>
      <x:c r="R514" s="86"/>
      <x:c r="S514" s="32"/>
    </x:row>
    <x:row r="515">
      <x:c r="A515" s="87"/>
      <x:c r="B515" s="88"/>
      <x:c r="D515" s="32"/>
      <x:c r="G515" s="74"/>
      <x:c r="H515" s="74"/>
      <x:c r="I515" s="74"/>
      <x:c r="J515" s="74"/>
      <x:c r="K515" s="74"/>
      <x:c r="L515" s="74"/>
      <x:c r="M515" s="91"/>
      <x:c r="N515" s="91"/>
      <x:c r="O515" s="85"/>
      <x:c r="Q515" s="86"/>
      <x:c r="R515" s="86"/>
      <x:c r="S515" s="32"/>
    </x:row>
    <x:row r="516">
      <x:c r="A516" s="87"/>
      <x:c r="B516" s="88"/>
      <x:c r="D516" s="32"/>
      <x:c r="G516" s="74"/>
      <x:c r="H516" s="74"/>
      <x:c r="I516" s="74"/>
      <x:c r="J516" s="74"/>
      <x:c r="K516" s="74"/>
      <x:c r="L516" s="74"/>
      <x:c r="M516" s="91"/>
      <x:c r="N516" s="91"/>
      <x:c r="O516" s="85"/>
      <x:c r="Q516" s="86"/>
      <x:c r="R516" s="86"/>
      <x:c r="S516" s="32"/>
    </x:row>
    <x:row r="517">
      <x:c r="A517" s="87"/>
      <x:c r="B517" s="88"/>
      <x:c r="D517" s="32"/>
      <x:c r="G517" s="74"/>
      <x:c r="H517" s="74"/>
      <x:c r="I517" s="74"/>
      <x:c r="J517" s="74"/>
      <x:c r="K517" s="74"/>
      <x:c r="L517" s="74"/>
      <x:c r="M517" s="91"/>
      <x:c r="N517" s="91"/>
      <x:c r="O517" s="85"/>
      <x:c r="Q517" s="86"/>
      <x:c r="R517" s="86"/>
      <x:c r="S517" s="32"/>
    </x:row>
    <x:row r="518">
      <x:c r="A518" s="87"/>
      <x:c r="B518" s="88"/>
      <x:c r="D518" s="32"/>
      <x:c r="G518" s="74"/>
      <x:c r="H518" s="74"/>
      <x:c r="I518" s="74"/>
      <x:c r="J518" s="74"/>
      <x:c r="K518" s="74"/>
      <x:c r="L518" s="74"/>
      <x:c r="M518" s="91"/>
      <x:c r="N518" s="91"/>
      <x:c r="O518" s="85"/>
      <x:c r="Q518" s="86"/>
      <x:c r="R518" s="86"/>
      <x:c r="S518" s="32"/>
    </x:row>
    <x:row r="519">
      <x:c r="A519" s="87"/>
      <x:c r="B519" s="88"/>
      <x:c r="D519" s="32"/>
      <x:c r="G519" s="74"/>
      <x:c r="H519" s="74"/>
      <x:c r="I519" s="74"/>
      <x:c r="J519" s="74"/>
      <x:c r="K519" s="74"/>
      <x:c r="L519" s="74"/>
      <x:c r="M519" s="91"/>
      <x:c r="N519" s="91"/>
      <x:c r="O519" s="85"/>
      <x:c r="Q519" s="86"/>
      <x:c r="R519" s="86"/>
      <x:c r="S519" s="32"/>
    </x:row>
    <x:row r="520">
      <x:c r="A520" s="87"/>
      <x:c r="B520" s="88"/>
      <x:c r="D520" s="32"/>
      <x:c r="G520" s="74"/>
      <x:c r="H520" s="74"/>
      <x:c r="I520" s="74"/>
      <x:c r="J520" s="74"/>
      <x:c r="K520" s="74"/>
      <x:c r="L520" s="74"/>
      <x:c r="M520" s="91"/>
      <x:c r="N520" s="91"/>
      <x:c r="O520" s="85"/>
      <x:c r="Q520" s="86"/>
      <x:c r="R520" s="86"/>
      <x:c r="S520" s="32"/>
    </x:row>
    <x:row r="521">
      <x:c r="A521" s="87"/>
      <x:c r="B521" s="88"/>
      <x:c r="D521" s="32"/>
      <x:c r="G521" s="74"/>
      <x:c r="H521" s="74"/>
      <x:c r="I521" s="74"/>
      <x:c r="J521" s="74"/>
      <x:c r="K521" s="74"/>
      <x:c r="L521" s="74"/>
      <x:c r="M521" s="91"/>
      <x:c r="N521" s="91"/>
      <x:c r="O521" s="85"/>
      <x:c r="Q521" s="86"/>
      <x:c r="R521" s="86"/>
      <x:c r="S521" s="32"/>
    </x:row>
    <x:row r="522">
      <x:c r="A522" s="87"/>
      <x:c r="B522" s="88"/>
      <x:c r="D522" s="32"/>
      <x:c r="G522" s="74"/>
      <x:c r="H522" s="74"/>
      <x:c r="I522" s="74"/>
      <x:c r="J522" s="74"/>
      <x:c r="K522" s="74"/>
      <x:c r="L522" s="74"/>
      <x:c r="M522" s="91"/>
      <x:c r="N522" s="91"/>
      <x:c r="O522" s="85"/>
      <x:c r="Q522" s="86"/>
      <x:c r="R522" s="86"/>
      <x:c r="S522" s="32"/>
    </x:row>
    <x:row r="523">
      <x:c r="A523" s="87"/>
      <x:c r="B523" s="88"/>
      <x:c r="D523" s="32"/>
      <x:c r="G523" s="74"/>
      <x:c r="H523" s="74"/>
      <x:c r="I523" s="74"/>
      <x:c r="J523" s="74"/>
      <x:c r="K523" s="74"/>
      <x:c r="L523" s="74"/>
      <x:c r="M523" s="91"/>
      <x:c r="N523" s="91"/>
      <x:c r="O523" s="85"/>
      <x:c r="Q523" s="86"/>
      <x:c r="R523" s="86"/>
      <x:c r="S523" s="32"/>
    </x:row>
    <x:row r="524">
      <x:c r="A524" s="87"/>
      <x:c r="B524" s="88"/>
      <x:c r="D524" s="32"/>
      <x:c r="G524" s="74"/>
      <x:c r="H524" s="74"/>
      <x:c r="I524" s="74"/>
      <x:c r="J524" s="74"/>
      <x:c r="K524" s="74"/>
      <x:c r="L524" s="74"/>
      <x:c r="M524" s="91"/>
      <x:c r="N524" s="91"/>
      <x:c r="O524" s="85"/>
      <x:c r="Q524" s="86"/>
      <x:c r="R524" s="86"/>
      <x:c r="S524" s="32"/>
    </x:row>
    <x:row r="525">
      <x:c r="A525" s="87"/>
      <x:c r="B525" s="88"/>
      <x:c r="D525" s="32"/>
      <x:c r="G525" s="74"/>
      <x:c r="H525" s="74"/>
      <x:c r="I525" s="74"/>
      <x:c r="J525" s="74"/>
      <x:c r="K525" s="74"/>
      <x:c r="L525" s="74"/>
      <x:c r="M525" s="91"/>
      <x:c r="N525" s="91"/>
      <x:c r="O525" s="85"/>
      <x:c r="Q525" s="86"/>
      <x:c r="R525" s="86"/>
      <x:c r="S525" s="32"/>
    </x:row>
    <x:row r="526">
      <x:c r="A526" s="87"/>
      <x:c r="B526" s="88"/>
      <x:c r="D526" s="32"/>
      <x:c r="G526" s="74"/>
      <x:c r="H526" s="74"/>
      <x:c r="I526" s="74"/>
      <x:c r="J526" s="74"/>
      <x:c r="K526" s="74"/>
      <x:c r="L526" s="74"/>
      <x:c r="M526" s="91"/>
      <x:c r="N526" s="91"/>
      <x:c r="O526" s="85"/>
      <x:c r="Q526" s="86"/>
      <x:c r="R526" s="86"/>
      <x:c r="S526" s="32"/>
    </x:row>
    <x:row r="527">
      <x:c r="A527" s="87"/>
      <x:c r="B527" s="88"/>
      <x:c r="D527" s="32"/>
      <x:c r="G527" s="74"/>
      <x:c r="H527" s="74"/>
      <x:c r="I527" s="74"/>
      <x:c r="J527" s="74"/>
      <x:c r="K527" s="74"/>
      <x:c r="L527" s="74"/>
      <x:c r="M527" s="91"/>
      <x:c r="N527" s="91"/>
      <x:c r="O527" s="85"/>
      <x:c r="Q527" s="86"/>
      <x:c r="R527" s="86"/>
      <x:c r="S527" s="32"/>
    </x:row>
    <x:row r="528">
      <x:c r="A528" s="87"/>
      <x:c r="B528" s="88"/>
      <x:c r="D528" s="32"/>
      <x:c r="G528" s="74"/>
      <x:c r="H528" s="74"/>
      <x:c r="I528" s="74"/>
      <x:c r="J528" s="74"/>
      <x:c r="K528" s="74"/>
      <x:c r="L528" s="74"/>
      <x:c r="M528" s="91"/>
      <x:c r="N528" s="91"/>
      <x:c r="O528" s="85"/>
      <x:c r="Q528" s="86"/>
      <x:c r="R528" s="86"/>
      <x:c r="S528" s="32"/>
    </x:row>
    <x:row r="529">
      <x:c r="A529" s="87"/>
      <x:c r="B529" s="88"/>
      <x:c r="D529" s="32"/>
      <x:c r="G529" s="74"/>
      <x:c r="H529" s="74"/>
      <x:c r="I529" s="74"/>
      <x:c r="J529" s="74"/>
      <x:c r="K529" s="74"/>
      <x:c r="L529" s="74"/>
      <x:c r="M529" s="91"/>
      <x:c r="N529" s="91"/>
      <x:c r="O529" s="85"/>
      <x:c r="Q529" s="86"/>
      <x:c r="R529" s="86"/>
      <x:c r="S529" s="32"/>
    </x:row>
    <x:row r="530">
      <x:c r="A530" s="87"/>
      <x:c r="B530" s="88"/>
      <x:c r="D530" s="32"/>
      <x:c r="G530" s="74"/>
      <x:c r="H530" s="74"/>
      <x:c r="I530" s="74"/>
      <x:c r="J530" s="74"/>
      <x:c r="K530" s="74"/>
      <x:c r="L530" s="74"/>
      <x:c r="M530" s="91"/>
      <x:c r="N530" s="91"/>
      <x:c r="O530" s="85"/>
      <x:c r="Q530" s="86"/>
      <x:c r="R530" s="86"/>
      <x:c r="S530" s="32"/>
    </x:row>
    <x:row r="531">
      <x:c r="A531" s="87"/>
      <x:c r="B531" s="88"/>
      <x:c r="D531" s="32"/>
      <x:c r="G531" s="74"/>
      <x:c r="H531" s="74"/>
      <x:c r="I531" s="74"/>
      <x:c r="J531" s="74"/>
      <x:c r="K531" s="74"/>
      <x:c r="L531" s="74"/>
      <x:c r="M531" s="91"/>
      <x:c r="N531" s="91"/>
      <x:c r="O531" s="85"/>
      <x:c r="Q531" s="86"/>
      <x:c r="R531" s="86"/>
      <x:c r="S531" s="32"/>
    </x:row>
    <x:row r="532">
      <x:c r="A532" s="87"/>
      <x:c r="B532" s="88"/>
      <x:c r="D532" s="32"/>
      <x:c r="G532" s="74"/>
      <x:c r="H532" s="74"/>
      <x:c r="I532" s="74"/>
      <x:c r="J532" s="74"/>
      <x:c r="K532" s="74"/>
      <x:c r="L532" s="74"/>
      <x:c r="M532" s="91"/>
      <x:c r="N532" s="91"/>
      <x:c r="O532" s="85"/>
      <x:c r="Q532" s="86"/>
      <x:c r="R532" s="86"/>
      <x:c r="S532" s="32"/>
    </x:row>
    <x:row r="533">
      <x:c r="A533" s="87"/>
      <x:c r="B533" s="88"/>
      <x:c r="D533" s="32"/>
      <x:c r="G533" s="74"/>
      <x:c r="H533" s="74"/>
      <x:c r="I533" s="74"/>
      <x:c r="J533" s="74"/>
      <x:c r="K533" s="74"/>
      <x:c r="L533" s="74"/>
      <x:c r="M533" s="91"/>
      <x:c r="N533" s="91"/>
      <x:c r="O533" s="85"/>
      <x:c r="Q533" s="86"/>
      <x:c r="R533" s="86"/>
      <x:c r="S533" s="32"/>
    </x:row>
    <x:row r="534">
      <x:c r="A534" s="87"/>
      <x:c r="B534" s="88"/>
      <x:c r="D534" s="32"/>
      <x:c r="G534" s="74"/>
      <x:c r="H534" s="74"/>
      <x:c r="I534" s="74"/>
      <x:c r="J534" s="74"/>
      <x:c r="K534" s="74"/>
      <x:c r="L534" s="74"/>
      <x:c r="M534" s="91"/>
      <x:c r="N534" s="91"/>
      <x:c r="O534" s="85"/>
      <x:c r="Q534" s="86"/>
      <x:c r="R534" s="86"/>
      <x:c r="S534" s="32"/>
    </x:row>
    <x:row r="535">
      <x:c r="A535" s="87"/>
      <x:c r="B535" s="88"/>
      <x:c r="D535" s="32"/>
      <x:c r="G535" s="74"/>
      <x:c r="H535" s="74"/>
      <x:c r="I535" s="74"/>
      <x:c r="J535" s="74"/>
      <x:c r="K535" s="74"/>
      <x:c r="L535" s="74"/>
      <x:c r="M535" s="91"/>
      <x:c r="N535" s="91"/>
      <x:c r="O535" s="85"/>
      <x:c r="Q535" s="86"/>
      <x:c r="R535" s="86"/>
      <x:c r="S535" s="32"/>
    </x:row>
    <x:row r="536">
      <x:c r="A536" s="87"/>
      <x:c r="B536" s="88"/>
      <x:c r="D536" s="32"/>
      <x:c r="G536" s="74"/>
      <x:c r="H536" s="74"/>
      <x:c r="I536" s="74"/>
      <x:c r="J536" s="74"/>
      <x:c r="K536" s="74"/>
      <x:c r="L536" s="74"/>
      <x:c r="M536" s="91"/>
      <x:c r="N536" s="91"/>
      <x:c r="O536" s="85"/>
      <x:c r="Q536" s="86"/>
      <x:c r="R536" s="86"/>
      <x:c r="S536" s="32"/>
    </x:row>
    <x:row r="537">
      <x:c r="A537" s="87"/>
      <x:c r="B537" s="88"/>
      <x:c r="D537" s="32"/>
      <x:c r="G537" s="74"/>
      <x:c r="H537" s="74"/>
      <x:c r="I537" s="74"/>
      <x:c r="J537" s="74"/>
      <x:c r="K537" s="74"/>
      <x:c r="L537" s="74"/>
      <x:c r="M537" s="91"/>
      <x:c r="N537" s="91"/>
      <x:c r="O537" s="85"/>
      <x:c r="Q537" s="86"/>
      <x:c r="R537" s="86"/>
      <x:c r="S537" s="32"/>
    </x:row>
    <x:row r="538">
      <x:c r="A538" s="87"/>
      <x:c r="B538" s="88"/>
      <x:c r="D538" s="32"/>
      <x:c r="G538" s="74"/>
      <x:c r="H538" s="74"/>
      <x:c r="I538" s="74"/>
      <x:c r="J538" s="74"/>
      <x:c r="K538" s="74"/>
      <x:c r="L538" s="74"/>
      <x:c r="M538" s="91"/>
      <x:c r="N538" s="91"/>
      <x:c r="O538" s="85"/>
      <x:c r="Q538" s="86"/>
      <x:c r="R538" s="86"/>
      <x:c r="S538" s="32"/>
    </x:row>
    <x:row r="539">
      <x:c r="A539" s="87"/>
      <x:c r="B539" s="88"/>
      <x:c r="D539" s="32"/>
      <x:c r="G539" s="74"/>
      <x:c r="H539" s="74"/>
      <x:c r="I539" s="74"/>
      <x:c r="J539" s="74"/>
      <x:c r="K539" s="74"/>
      <x:c r="L539" s="74"/>
      <x:c r="M539" s="91"/>
      <x:c r="N539" s="91"/>
      <x:c r="O539" s="85"/>
      <x:c r="Q539" s="86"/>
      <x:c r="R539" s="86"/>
      <x:c r="S539" s="32"/>
    </x:row>
    <x:row r="540">
      <x:c r="A540" s="87"/>
      <x:c r="B540" s="88"/>
      <x:c r="D540" s="32"/>
      <x:c r="G540" s="74"/>
      <x:c r="H540" s="74"/>
      <x:c r="I540" s="74"/>
      <x:c r="J540" s="74"/>
      <x:c r="K540" s="74"/>
      <x:c r="L540" s="74"/>
      <x:c r="M540" s="91"/>
      <x:c r="N540" s="91"/>
      <x:c r="O540" s="85"/>
      <x:c r="Q540" s="86"/>
      <x:c r="R540" s="86"/>
      <x:c r="S540" s="32"/>
    </x:row>
    <x:row r="541">
      <x:c r="A541" s="87"/>
      <x:c r="B541" s="88"/>
      <x:c r="D541" s="32"/>
      <x:c r="G541" s="74"/>
      <x:c r="H541" s="74"/>
      <x:c r="I541" s="74"/>
      <x:c r="J541" s="74"/>
      <x:c r="K541" s="74"/>
      <x:c r="L541" s="74"/>
      <x:c r="M541" s="91"/>
      <x:c r="N541" s="91"/>
      <x:c r="O541" s="85"/>
      <x:c r="Q541" s="86"/>
      <x:c r="R541" s="86"/>
      <x:c r="S541" s="32"/>
    </x:row>
    <x:row r="542">
      <x:c r="A542" s="87"/>
      <x:c r="B542" s="88"/>
      <x:c r="D542" s="32"/>
      <x:c r="G542" s="74"/>
      <x:c r="H542" s="74"/>
      <x:c r="I542" s="74"/>
      <x:c r="J542" s="74"/>
      <x:c r="K542" s="74"/>
      <x:c r="L542" s="74"/>
      <x:c r="M542" s="91"/>
      <x:c r="N542" s="91"/>
      <x:c r="O542" s="85"/>
      <x:c r="Q542" s="86"/>
      <x:c r="R542" s="86"/>
      <x:c r="S542" s="32"/>
    </x:row>
    <x:row r="543">
      <x:c r="A543" s="87"/>
      <x:c r="B543" s="88"/>
      <x:c r="D543" s="32"/>
      <x:c r="G543" s="74"/>
      <x:c r="H543" s="74"/>
      <x:c r="I543" s="74"/>
      <x:c r="J543" s="74"/>
      <x:c r="K543" s="74"/>
      <x:c r="L543" s="74"/>
      <x:c r="M543" s="91"/>
      <x:c r="N543" s="91"/>
      <x:c r="O543" s="85"/>
      <x:c r="Q543" s="86"/>
      <x:c r="R543" s="86"/>
      <x:c r="S543" s="32"/>
    </x:row>
    <x:row r="544">
      <x:c r="A544" s="87"/>
      <x:c r="B544" s="88"/>
      <x:c r="D544" s="32"/>
      <x:c r="G544" s="74"/>
      <x:c r="H544" s="74"/>
      <x:c r="I544" s="74"/>
      <x:c r="J544" s="74"/>
      <x:c r="K544" s="74"/>
      <x:c r="L544" s="74"/>
      <x:c r="M544" s="91"/>
      <x:c r="N544" s="91"/>
      <x:c r="O544" s="85"/>
      <x:c r="Q544" s="86"/>
      <x:c r="R544" s="86"/>
      <x:c r="S544" s="32"/>
    </x:row>
    <x:row r="545">
      <x:c r="A545" s="87"/>
      <x:c r="B545" s="88"/>
      <x:c r="D545" s="32"/>
      <x:c r="G545" s="74"/>
      <x:c r="H545" s="74"/>
      <x:c r="I545" s="74"/>
      <x:c r="J545" s="74"/>
      <x:c r="K545" s="74"/>
      <x:c r="L545" s="74"/>
      <x:c r="M545" s="91"/>
      <x:c r="N545" s="91"/>
      <x:c r="O545" s="85"/>
      <x:c r="Q545" s="86"/>
      <x:c r="R545" s="86"/>
      <x:c r="S545" s="32"/>
    </x:row>
    <x:row r="546">
      <x:c r="A546" s="87"/>
      <x:c r="B546" s="88"/>
      <x:c r="D546" s="32"/>
      <x:c r="G546" s="74"/>
      <x:c r="H546" s="74"/>
      <x:c r="I546" s="74"/>
      <x:c r="J546" s="74"/>
      <x:c r="K546" s="74"/>
      <x:c r="L546" s="74"/>
      <x:c r="M546" s="91"/>
      <x:c r="N546" s="91"/>
      <x:c r="O546" s="85"/>
      <x:c r="Q546" s="86"/>
      <x:c r="R546" s="86"/>
      <x:c r="S546" s="32"/>
    </x:row>
    <x:row r="547">
      <x:c r="A547" s="87"/>
      <x:c r="B547" s="88"/>
      <x:c r="D547" s="32"/>
      <x:c r="G547" s="74"/>
      <x:c r="H547" s="74"/>
      <x:c r="I547" s="74"/>
      <x:c r="J547" s="74"/>
      <x:c r="K547" s="74"/>
      <x:c r="L547" s="74"/>
      <x:c r="M547" s="91"/>
      <x:c r="N547" s="91"/>
      <x:c r="O547" s="85"/>
      <x:c r="Q547" s="86"/>
      <x:c r="R547" s="86"/>
      <x:c r="S547" s="32"/>
    </x:row>
    <x:row r="548">
      <x:c r="A548" s="87"/>
      <x:c r="B548" s="88"/>
      <x:c r="D548" s="32"/>
      <x:c r="G548" s="74"/>
      <x:c r="H548" s="74"/>
      <x:c r="I548" s="74"/>
      <x:c r="J548" s="74"/>
      <x:c r="K548" s="74"/>
      <x:c r="L548" s="74"/>
      <x:c r="M548" s="91"/>
      <x:c r="N548" s="91"/>
      <x:c r="O548" s="85"/>
      <x:c r="Q548" s="86"/>
      <x:c r="R548" s="86"/>
      <x:c r="S548" s="32"/>
    </x:row>
    <x:row r="549">
      <x:c r="A549" s="87"/>
      <x:c r="B549" s="88"/>
      <x:c r="D549" s="32"/>
      <x:c r="G549" s="74"/>
      <x:c r="H549" s="74"/>
      <x:c r="I549" s="74"/>
      <x:c r="J549" s="74"/>
      <x:c r="K549" s="74"/>
      <x:c r="L549" s="74"/>
      <x:c r="M549" s="91"/>
      <x:c r="N549" s="91"/>
      <x:c r="O549" s="85"/>
      <x:c r="Q549" s="86"/>
      <x:c r="R549" s="86"/>
      <x:c r="S549" s="32"/>
    </x:row>
    <x:row r="550">
      <x:c r="A550" s="87"/>
      <x:c r="B550" s="88"/>
      <x:c r="D550" s="32"/>
      <x:c r="G550" s="74"/>
      <x:c r="H550" s="74"/>
      <x:c r="I550" s="74"/>
      <x:c r="J550" s="74"/>
      <x:c r="K550" s="74"/>
      <x:c r="L550" s="74"/>
      <x:c r="M550" s="91"/>
      <x:c r="N550" s="91"/>
      <x:c r="O550" s="85"/>
      <x:c r="Q550" s="86"/>
      <x:c r="R550" s="86"/>
      <x:c r="S550" s="32"/>
    </x:row>
    <x:row r="551">
      <x:c r="A551" s="87"/>
      <x:c r="B551" s="88"/>
      <x:c r="D551" s="32"/>
      <x:c r="G551" s="74"/>
      <x:c r="H551" s="74"/>
      <x:c r="I551" s="74"/>
      <x:c r="J551" s="74"/>
      <x:c r="K551" s="74"/>
      <x:c r="L551" s="74"/>
      <x:c r="M551" s="91"/>
      <x:c r="N551" s="91"/>
      <x:c r="O551" s="85"/>
      <x:c r="Q551" s="86"/>
      <x:c r="R551" s="86"/>
      <x:c r="S551" s="32"/>
    </x:row>
    <x:row r="552">
      <x:c r="A552" s="87"/>
      <x:c r="B552" s="88"/>
      <x:c r="D552" s="32"/>
      <x:c r="G552" s="74"/>
      <x:c r="H552" s="74"/>
      <x:c r="I552" s="74"/>
      <x:c r="J552" s="74"/>
      <x:c r="K552" s="74"/>
      <x:c r="L552" s="74"/>
      <x:c r="M552" s="91"/>
      <x:c r="N552" s="91"/>
      <x:c r="O552" s="85"/>
      <x:c r="Q552" s="86"/>
      <x:c r="R552" s="86"/>
      <x:c r="S552" s="32"/>
    </x:row>
    <x:row r="553">
      <x:c r="A553" s="87"/>
      <x:c r="B553" s="88"/>
      <x:c r="D553" s="32"/>
      <x:c r="G553" s="74"/>
      <x:c r="H553" s="74"/>
      <x:c r="I553" s="74"/>
      <x:c r="J553" s="74"/>
      <x:c r="K553" s="74"/>
      <x:c r="L553" s="74"/>
      <x:c r="M553" s="91"/>
      <x:c r="N553" s="91"/>
      <x:c r="O553" s="85"/>
      <x:c r="Q553" s="86"/>
      <x:c r="R553" s="86"/>
      <x:c r="S553" s="32"/>
    </x:row>
    <x:row r="554">
      <x:c r="A554" s="87"/>
      <x:c r="B554" s="88"/>
      <x:c r="D554" s="32"/>
      <x:c r="G554" s="74"/>
      <x:c r="H554" s="74"/>
      <x:c r="I554" s="74"/>
      <x:c r="J554" s="74"/>
      <x:c r="K554" s="74"/>
      <x:c r="L554" s="74"/>
      <x:c r="M554" s="91"/>
      <x:c r="N554" s="91"/>
      <x:c r="O554" s="85"/>
      <x:c r="Q554" s="86"/>
      <x:c r="R554" s="86"/>
      <x:c r="S554" s="32"/>
    </x:row>
    <x:row r="555">
      <x:c r="A555" s="87"/>
      <x:c r="B555" s="88"/>
      <x:c r="D555" s="32"/>
      <x:c r="G555" s="74"/>
      <x:c r="H555" s="74"/>
      <x:c r="I555" s="74"/>
      <x:c r="J555" s="74"/>
      <x:c r="K555" s="74"/>
      <x:c r="L555" s="74"/>
      <x:c r="M555" s="91"/>
      <x:c r="N555" s="91"/>
      <x:c r="O555" s="85"/>
      <x:c r="Q555" s="86"/>
      <x:c r="R555" s="86"/>
      <x:c r="S555" s="32"/>
    </x:row>
    <x:row r="556">
      <x:c r="A556" s="87"/>
      <x:c r="B556" s="88"/>
      <x:c r="D556" s="32"/>
      <x:c r="G556" s="74"/>
      <x:c r="H556" s="74"/>
      <x:c r="I556" s="74"/>
      <x:c r="J556" s="74"/>
      <x:c r="K556" s="74"/>
      <x:c r="L556" s="74"/>
      <x:c r="M556" s="91"/>
      <x:c r="N556" s="91"/>
      <x:c r="O556" s="85"/>
      <x:c r="Q556" s="86"/>
      <x:c r="R556" s="86"/>
      <x:c r="S556" s="32"/>
    </x:row>
    <x:row r="557">
      <x:c r="A557" s="87"/>
      <x:c r="B557" s="88"/>
      <x:c r="D557" s="32"/>
      <x:c r="G557" s="74"/>
      <x:c r="H557" s="74"/>
      <x:c r="I557" s="74"/>
      <x:c r="J557" s="74"/>
      <x:c r="K557" s="74"/>
      <x:c r="L557" s="74"/>
      <x:c r="M557" s="91"/>
      <x:c r="N557" s="91"/>
      <x:c r="O557" s="85"/>
      <x:c r="Q557" s="86"/>
      <x:c r="R557" s="86"/>
      <x:c r="S557" s="32"/>
    </x:row>
    <x:row r="558">
      <x:c r="A558" s="87"/>
      <x:c r="B558" s="88"/>
      <x:c r="D558" s="32"/>
      <x:c r="G558" s="74"/>
      <x:c r="H558" s="74"/>
      <x:c r="I558" s="74"/>
      <x:c r="J558" s="74"/>
      <x:c r="K558" s="74"/>
      <x:c r="L558" s="74"/>
      <x:c r="M558" s="91"/>
      <x:c r="N558" s="91"/>
      <x:c r="O558" s="85"/>
      <x:c r="Q558" s="86"/>
      <x:c r="R558" s="86"/>
      <x:c r="S558" s="32"/>
    </x:row>
    <x:row r="559">
      <x:c r="A559" s="87"/>
      <x:c r="B559" s="88"/>
      <x:c r="D559" s="32"/>
      <x:c r="G559" s="74"/>
      <x:c r="H559" s="74"/>
      <x:c r="I559" s="74"/>
      <x:c r="J559" s="74"/>
      <x:c r="K559" s="74"/>
      <x:c r="L559" s="74"/>
      <x:c r="M559" s="91"/>
      <x:c r="N559" s="91"/>
      <x:c r="O559" s="85"/>
      <x:c r="Q559" s="86"/>
      <x:c r="R559" s="86"/>
      <x:c r="S559" s="32"/>
    </x:row>
    <x:row r="560">
      <x:c r="A560" s="87"/>
      <x:c r="B560" s="88"/>
      <x:c r="D560" s="32"/>
      <x:c r="G560" s="74"/>
      <x:c r="H560" s="74"/>
      <x:c r="I560" s="74"/>
      <x:c r="J560" s="74"/>
      <x:c r="K560" s="74"/>
      <x:c r="L560" s="74"/>
      <x:c r="M560" s="91"/>
      <x:c r="N560" s="91"/>
      <x:c r="O560" s="85"/>
      <x:c r="Q560" s="86"/>
      <x:c r="R560" s="86"/>
      <x:c r="S560" s="32"/>
    </x:row>
    <x:row r="561">
      <x:c r="A561" s="87"/>
      <x:c r="B561" s="88"/>
      <x:c r="D561" s="32"/>
      <x:c r="G561" s="74"/>
      <x:c r="H561" s="74"/>
      <x:c r="I561" s="74"/>
      <x:c r="J561" s="74"/>
      <x:c r="K561" s="74"/>
      <x:c r="L561" s="74"/>
      <x:c r="M561" s="91"/>
      <x:c r="N561" s="91"/>
      <x:c r="O561" s="85"/>
      <x:c r="Q561" s="86"/>
      <x:c r="R561" s="86"/>
      <x:c r="S561" s="32"/>
    </x:row>
    <x:row r="562">
      <x:c r="A562" s="87"/>
      <x:c r="B562" s="88"/>
      <x:c r="D562" s="32"/>
      <x:c r="G562" s="74"/>
      <x:c r="H562" s="74"/>
      <x:c r="I562" s="74"/>
      <x:c r="J562" s="74"/>
      <x:c r="K562" s="74"/>
      <x:c r="L562" s="74"/>
      <x:c r="M562" s="91"/>
      <x:c r="N562" s="91"/>
      <x:c r="O562" s="85"/>
      <x:c r="Q562" s="86"/>
      <x:c r="R562" s="86"/>
      <x:c r="S562" s="32"/>
    </x:row>
    <x:row r="563">
      <x:c r="A563" s="87"/>
      <x:c r="B563" s="88"/>
      <x:c r="D563" s="32"/>
      <x:c r="G563" s="74"/>
      <x:c r="H563" s="74"/>
      <x:c r="I563" s="74"/>
      <x:c r="J563" s="74"/>
      <x:c r="K563" s="74"/>
      <x:c r="L563" s="74"/>
      <x:c r="M563" s="91"/>
      <x:c r="N563" s="91"/>
      <x:c r="O563" s="85"/>
      <x:c r="Q563" s="86"/>
      <x:c r="R563" s="86"/>
      <x:c r="S563" s="32"/>
    </x:row>
    <x:row r="564">
      <x:c r="A564" s="87"/>
      <x:c r="B564" s="88"/>
      <x:c r="D564" s="32"/>
      <x:c r="G564" s="74"/>
      <x:c r="H564" s="74"/>
      <x:c r="I564" s="74"/>
      <x:c r="J564" s="74"/>
      <x:c r="K564" s="74"/>
      <x:c r="L564" s="74"/>
      <x:c r="M564" s="91"/>
      <x:c r="N564" s="91"/>
      <x:c r="O564" s="85"/>
      <x:c r="Q564" s="86"/>
      <x:c r="R564" s="86"/>
      <x:c r="S564" s="32"/>
    </x:row>
    <x:row r="565">
      <x:c r="A565" s="87"/>
      <x:c r="B565" s="88"/>
      <x:c r="D565" s="32"/>
      <x:c r="G565" s="74"/>
      <x:c r="H565" s="74"/>
      <x:c r="I565" s="74"/>
      <x:c r="J565" s="74"/>
      <x:c r="K565" s="74"/>
      <x:c r="L565" s="74"/>
      <x:c r="M565" s="91"/>
      <x:c r="N565" s="91"/>
      <x:c r="O565" s="85"/>
      <x:c r="Q565" s="86"/>
      <x:c r="R565" s="86"/>
      <x:c r="S565" s="32"/>
    </x:row>
    <x:row r="566">
      <x:c r="A566" s="87"/>
      <x:c r="B566" s="88"/>
      <x:c r="D566" s="32"/>
      <x:c r="G566" s="74"/>
      <x:c r="H566" s="74"/>
      <x:c r="I566" s="74"/>
      <x:c r="J566" s="74"/>
      <x:c r="K566" s="74"/>
      <x:c r="L566" s="74"/>
      <x:c r="M566" s="91"/>
      <x:c r="N566" s="91"/>
      <x:c r="O566" s="85"/>
      <x:c r="Q566" s="86"/>
      <x:c r="R566" s="86"/>
      <x:c r="S566" s="32"/>
    </x:row>
    <x:row r="567">
      <x:c r="A567" s="87"/>
      <x:c r="B567" s="88"/>
      <x:c r="D567" s="32"/>
      <x:c r="G567" s="74"/>
      <x:c r="H567" s="74"/>
      <x:c r="I567" s="74"/>
      <x:c r="J567" s="74"/>
      <x:c r="K567" s="74"/>
      <x:c r="L567" s="74"/>
      <x:c r="M567" s="91"/>
      <x:c r="N567" s="91"/>
      <x:c r="O567" s="85"/>
      <x:c r="Q567" s="86"/>
      <x:c r="R567" s="86"/>
      <x:c r="S567" s="32"/>
    </x:row>
    <x:row r="568">
      <x:c r="A568" s="87"/>
      <x:c r="B568" s="88"/>
      <x:c r="D568" s="32"/>
      <x:c r="G568" s="74"/>
      <x:c r="H568" s="74"/>
      <x:c r="I568" s="74"/>
      <x:c r="J568" s="74"/>
      <x:c r="K568" s="74"/>
      <x:c r="L568" s="74"/>
      <x:c r="M568" s="91"/>
      <x:c r="N568" s="91"/>
      <x:c r="O568" s="85"/>
      <x:c r="Q568" s="86"/>
      <x:c r="R568" s="86"/>
      <x:c r="S568" s="32"/>
    </x:row>
    <x:row r="569">
      <x:c r="A569" s="87"/>
      <x:c r="B569" s="88"/>
      <x:c r="D569" s="32"/>
      <x:c r="G569" s="74"/>
      <x:c r="H569" s="74"/>
      <x:c r="I569" s="74"/>
      <x:c r="J569" s="74"/>
      <x:c r="K569" s="74"/>
      <x:c r="L569" s="74"/>
      <x:c r="M569" s="91"/>
      <x:c r="N569" s="91"/>
      <x:c r="O569" s="85"/>
      <x:c r="Q569" s="86"/>
      <x:c r="R569" s="86"/>
      <x:c r="S569" s="32"/>
    </x:row>
    <x:row r="570">
      <x:c r="A570" s="87"/>
      <x:c r="B570" s="88"/>
      <x:c r="D570" s="32"/>
      <x:c r="G570" s="74"/>
      <x:c r="H570" s="74"/>
      <x:c r="I570" s="74"/>
      <x:c r="J570" s="74"/>
      <x:c r="K570" s="74"/>
      <x:c r="L570" s="74"/>
      <x:c r="M570" s="91"/>
      <x:c r="N570" s="91"/>
      <x:c r="O570" s="85"/>
      <x:c r="Q570" s="86"/>
      <x:c r="R570" s="86"/>
      <x:c r="S570" s="32"/>
    </x:row>
    <x:row r="571">
      <x:c r="A571" s="87"/>
      <x:c r="B571" s="88"/>
      <x:c r="D571" s="32"/>
      <x:c r="G571" s="74"/>
      <x:c r="H571" s="74"/>
      <x:c r="I571" s="74"/>
      <x:c r="J571" s="74"/>
      <x:c r="K571" s="74"/>
      <x:c r="L571" s="74"/>
      <x:c r="M571" s="91"/>
      <x:c r="N571" s="91"/>
      <x:c r="O571" s="85"/>
      <x:c r="Q571" s="86"/>
      <x:c r="R571" s="86"/>
      <x:c r="S571" s="32"/>
    </x:row>
    <x:row r="572">
      <x:c r="A572" s="87"/>
      <x:c r="B572" s="88"/>
      <x:c r="D572" s="32"/>
      <x:c r="G572" s="74"/>
      <x:c r="H572" s="74"/>
      <x:c r="I572" s="74"/>
      <x:c r="J572" s="74"/>
      <x:c r="K572" s="74"/>
      <x:c r="L572" s="74"/>
      <x:c r="M572" s="91"/>
      <x:c r="N572" s="91"/>
      <x:c r="O572" s="85"/>
      <x:c r="Q572" s="86"/>
      <x:c r="R572" s="86"/>
      <x:c r="S572" s="32"/>
    </x:row>
    <x:row r="573">
      <x:c r="A573" s="87"/>
      <x:c r="B573" s="88"/>
      <x:c r="D573" s="32"/>
      <x:c r="G573" s="74"/>
      <x:c r="H573" s="74"/>
      <x:c r="I573" s="74"/>
      <x:c r="J573" s="74"/>
      <x:c r="K573" s="74"/>
      <x:c r="L573" s="74"/>
      <x:c r="M573" s="91"/>
      <x:c r="N573" s="91"/>
      <x:c r="O573" s="85"/>
      <x:c r="Q573" s="86"/>
      <x:c r="R573" s="86"/>
      <x:c r="S573" s="32"/>
    </x:row>
    <x:row r="574">
      <x:c r="A574" s="87"/>
      <x:c r="B574" s="88"/>
      <x:c r="D574" s="32"/>
      <x:c r="G574" s="74"/>
      <x:c r="H574" s="74"/>
      <x:c r="I574" s="74"/>
      <x:c r="J574" s="74"/>
      <x:c r="K574" s="74"/>
      <x:c r="L574" s="74"/>
      <x:c r="M574" s="91"/>
      <x:c r="N574" s="91"/>
      <x:c r="O574" s="85"/>
      <x:c r="Q574" s="86"/>
      <x:c r="R574" s="86"/>
      <x:c r="S574" s="32"/>
    </x:row>
    <x:row r="575">
      <x:c r="A575" s="87"/>
      <x:c r="B575" s="88"/>
      <x:c r="D575" s="32"/>
      <x:c r="G575" s="74"/>
      <x:c r="H575" s="74"/>
      <x:c r="I575" s="74"/>
      <x:c r="J575" s="74"/>
      <x:c r="K575" s="74"/>
      <x:c r="L575" s="74"/>
      <x:c r="M575" s="91"/>
      <x:c r="N575" s="91"/>
      <x:c r="O575" s="85"/>
      <x:c r="Q575" s="86"/>
      <x:c r="R575" s="86"/>
      <x:c r="S575" s="32"/>
    </x:row>
    <x:row r="576">
      <x:c r="A576" s="87"/>
      <x:c r="B576" s="88"/>
      <x:c r="D576" s="32"/>
      <x:c r="G576" s="74"/>
      <x:c r="H576" s="74"/>
      <x:c r="I576" s="74"/>
      <x:c r="J576" s="74"/>
      <x:c r="K576" s="74"/>
      <x:c r="L576" s="74"/>
      <x:c r="M576" s="91"/>
      <x:c r="N576" s="91"/>
      <x:c r="O576" s="85"/>
      <x:c r="Q576" s="86"/>
      <x:c r="R576" s="86"/>
      <x:c r="S576" s="32"/>
    </x:row>
    <x:row r="577">
      <x:c r="A577" s="87"/>
      <x:c r="B577" s="88"/>
      <x:c r="D577" s="32"/>
      <x:c r="G577" s="74"/>
      <x:c r="H577" s="74"/>
      <x:c r="I577" s="74"/>
      <x:c r="J577" s="74"/>
      <x:c r="K577" s="74"/>
      <x:c r="L577" s="74"/>
      <x:c r="M577" s="91"/>
      <x:c r="N577" s="91"/>
      <x:c r="O577" s="85"/>
      <x:c r="Q577" s="86"/>
      <x:c r="R577" s="86"/>
      <x:c r="S577" s="32"/>
    </x:row>
    <x:row r="578">
      <x:c r="A578" s="87"/>
      <x:c r="B578" s="88"/>
      <x:c r="D578" s="32"/>
      <x:c r="G578" s="74"/>
      <x:c r="H578" s="74"/>
      <x:c r="I578" s="74"/>
      <x:c r="J578" s="74"/>
      <x:c r="K578" s="74"/>
      <x:c r="L578" s="74"/>
      <x:c r="M578" s="91"/>
      <x:c r="N578" s="91"/>
      <x:c r="O578" s="85"/>
      <x:c r="Q578" s="86"/>
      <x:c r="R578" s="86"/>
      <x:c r="S578" s="32"/>
    </x:row>
    <x:row r="579">
      <x:c r="A579" s="87"/>
      <x:c r="B579" s="88"/>
      <x:c r="D579" s="32"/>
      <x:c r="G579" s="74"/>
      <x:c r="H579" s="74"/>
      <x:c r="I579" s="74"/>
      <x:c r="J579" s="74"/>
      <x:c r="K579" s="74"/>
      <x:c r="L579" s="74"/>
      <x:c r="M579" s="91"/>
      <x:c r="N579" s="91"/>
      <x:c r="O579" s="85"/>
      <x:c r="Q579" s="86"/>
      <x:c r="R579" s="86"/>
      <x:c r="S579" s="32"/>
    </x:row>
    <x:row r="580">
      <x:c r="A580" s="87"/>
      <x:c r="B580" s="88"/>
      <x:c r="D580" s="32"/>
      <x:c r="G580" s="74"/>
      <x:c r="H580" s="74"/>
      <x:c r="I580" s="74"/>
      <x:c r="J580" s="74"/>
      <x:c r="K580" s="74"/>
      <x:c r="L580" s="74"/>
      <x:c r="M580" s="91"/>
      <x:c r="N580" s="91"/>
      <x:c r="O580" s="85"/>
      <x:c r="Q580" s="86"/>
      <x:c r="R580" s="86"/>
      <x:c r="S580" s="32"/>
    </x:row>
    <x:row r="581">
      <x:c r="A581" s="87"/>
      <x:c r="B581" s="88"/>
      <x:c r="D581" s="32"/>
      <x:c r="G581" s="74"/>
      <x:c r="H581" s="74"/>
      <x:c r="I581" s="74"/>
      <x:c r="J581" s="74"/>
      <x:c r="K581" s="74"/>
      <x:c r="L581" s="74"/>
      <x:c r="M581" s="91"/>
      <x:c r="N581" s="91"/>
      <x:c r="O581" s="85"/>
      <x:c r="Q581" s="86"/>
      <x:c r="R581" s="86"/>
      <x:c r="S581" s="32"/>
    </x:row>
    <x:row r="582">
      <x:c r="A582" s="87"/>
      <x:c r="B582" s="88"/>
      <x:c r="D582" s="32"/>
      <x:c r="G582" s="74"/>
      <x:c r="H582" s="74"/>
      <x:c r="I582" s="74"/>
      <x:c r="J582" s="74"/>
      <x:c r="K582" s="74"/>
      <x:c r="L582" s="74"/>
      <x:c r="M582" s="91"/>
      <x:c r="N582" s="91"/>
      <x:c r="O582" s="85"/>
      <x:c r="Q582" s="86"/>
      <x:c r="R582" s="86"/>
      <x:c r="S582" s="32"/>
    </x:row>
    <x:row r="583">
      <x:c r="A583" s="87"/>
      <x:c r="B583" s="88"/>
      <x:c r="D583" s="32"/>
      <x:c r="G583" s="74"/>
      <x:c r="H583" s="74"/>
      <x:c r="I583" s="74"/>
      <x:c r="J583" s="74"/>
      <x:c r="K583" s="74"/>
      <x:c r="L583" s="74"/>
      <x:c r="M583" s="91"/>
      <x:c r="N583" s="91"/>
      <x:c r="O583" s="85"/>
      <x:c r="Q583" s="86"/>
      <x:c r="R583" s="86"/>
      <x:c r="S583" s="32"/>
    </x:row>
    <x:row r="584">
      <x:c r="A584" s="87"/>
      <x:c r="B584" s="88"/>
      <x:c r="D584" s="32"/>
      <x:c r="G584" s="74"/>
      <x:c r="H584" s="74"/>
      <x:c r="I584" s="74"/>
      <x:c r="J584" s="74"/>
      <x:c r="K584" s="74"/>
      <x:c r="L584" s="74"/>
      <x:c r="M584" s="91"/>
      <x:c r="N584" s="91"/>
      <x:c r="O584" s="85"/>
      <x:c r="Q584" s="86"/>
      <x:c r="R584" s="86"/>
      <x:c r="S584" s="32"/>
    </x:row>
    <x:row r="585">
      <x:c r="A585" s="87"/>
      <x:c r="B585" s="88"/>
      <x:c r="D585" s="32"/>
      <x:c r="G585" s="74"/>
      <x:c r="H585" s="74"/>
      <x:c r="I585" s="74"/>
      <x:c r="J585" s="74"/>
      <x:c r="K585" s="74"/>
      <x:c r="L585" s="74"/>
      <x:c r="M585" s="91"/>
      <x:c r="N585" s="91"/>
      <x:c r="O585" s="85"/>
      <x:c r="Q585" s="86"/>
      <x:c r="R585" s="86"/>
      <x:c r="S585" s="32"/>
    </x:row>
    <x:row r="586">
      <x:c r="A586" s="87"/>
      <x:c r="B586" s="88"/>
      <x:c r="D586" s="32"/>
      <x:c r="G586" s="74"/>
      <x:c r="H586" s="74"/>
      <x:c r="I586" s="74"/>
      <x:c r="J586" s="74"/>
      <x:c r="K586" s="74"/>
      <x:c r="L586" s="74"/>
      <x:c r="M586" s="91"/>
      <x:c r="N586" s="91"/>
      <x:c r="O586" s="85"/>
      <x:c r="Q586" s="86"/>
      <x:c r="R586" s="86"/>
      <x:c r="S586" s="32"/>
    </x:row>
    <x:row r="587">
      <x:c r="A587" s="87"/>
      <x:c r="B587" s="88"/>
      <x:c r="D587" s="32"/>
      <x:c r="G587" s="74"/>
      <x:c r="H587" s="74"/>
      <x:c r="I587" s="74"/>
      <x:c r="J587" s="74"/>
      <x:c r="K587" s="74"/>
      <x:c r="L587" s="74"/>
      <x:c r="M587" s="91"/>
      <x:c r="N587" s="91"/>
      <x:c r="O587" s="85"/>
      <x:c r="Q587" s="86"/>
      <x:c r="R587" s="86"/>
      <x:c r="S587" s="32"/>
    </x:row>
    <x:row r="588">
      <x:c r="A588" s="87"/>
      <x:c r="B588" s="88"/>
      <x:c r="D588" s="32"/>
      <x:c r="G588" s="74"/>
      <x:c r="H588" s="74"/>
      <x:c r="I588" s="74"/>
      <x:c r="J588" s="74"/>
      <x:c r="K588" s="74"/>
      <x:c r="L588" s="74"/>
      <x:c r="M588" s="91"/>
      <x:c r="N588" s="91"/>
      <x:c r="O588" s="85"/>
      <x:c r="Q588" s="86"/>
      <x:c r="R588" s="86"/>
      <x:c r="S588" s="32"/>
    </x:row>
    <x:row r="589">
      <x:c r="A589" s="87"/>
      <x:c r="B589" s="88"/>
      <x:c r="D589" s="32"/>
      <x:c r="G589" s="74"/>
      <x:c r="H589" s="74"/>
      <x:c r="I589" s="74"/>
      <x:c r="J589" s="74"/>
      <x:c r="K589" s="74"/>
      <x:c r="L589" s="74"/>
      <x:c r="M589" s="91"/>
      <x:c r="N589" s="91"/>
      <x:c r="O589" s="85"/>
      <x:c r="Q589" s="86"/>
      <x:c r="R589" s="86"/>
      <x:c r="S589" s="32"/>
    </x:row>
    <x:row r="590">
      <x:c r="A590" s="87"/>
      <x:c r="B590" s="88"/>
      <x:c r="D590" s="32"/>
      <x:c r="G590" s="74"/>
      <x:c r="H590" s="74"/>
      <x:c r="I590" s="74"/>
      <x:c r="J590" s="74"/>
      <x:c r="K590" s="74"/>
      <x:c r="L590" s="74"/>
      <x:c r="M590" s="91"/>
      <x:c r="N590" s="91"/>
      <x:c r="O590" s="85"/>
      <x:c r="Q590" s="86"/>
      <x:c r="R590" s="86"/>
      <x:c r="S590" s="32"/>
    </x:row>
    <x:row r="591">
      <x:c r="A591" s="87"/>
      <x:c r="B591" s="88"/>
      <x:c r="D591" s="32"/>
      <x:c r="G591" s="74"/>
      <x:c r="H591" s="74"/>
      <x:c r="I591" s="74"/>
      <x:c r="J591" s="74"/>
      <x:c r="K591" s="74"/>
      <x:c r="L591" s="74"/>
      <x:c r="M591" s="91"/>
      <x:c r="N591" s="91"/>
      <x:c r="O591" s="85"/>
      <x:c r="Q591" s="86"/>
      <x:c r="R591" s="86"/>
      <x:c r="S591" s="32"/>
    </x:row>
    <x:row r="592">
      <x:c r="A592" s="87"/>
      <x:c r="B592" s="88"/>
      <x:c r="D592" s="32"/>
      <x:c r="G592" s="74"/>
      <x:c r="H592" s="74"/>
      <x:c r="I592" s="74"/>
      <x:c r="J592" s="74"/>
      <x:c r="K592" s="74"/>
      <x:c r="L592" s="74"/>
      <x:c r="M592" s="91"/>
      <x:c r="N592" s="91"/>
      <x:c r="O592" s="85"/>
      <x:c r="Q592" s="86"/>
      <x:c r="R592" s="86"/>
      <x:c r="S592" s="32"/>
    </x:row>
    <x:row r="593">
      <x:c r="A593" s="87"/>
      <x:c r="B593" s="88"/>
      <x:c r="D593" s="32"/>
      <x:c r="G593" s="74"/>
      <x:c r="H593" s="74"/>
      <x:c r="I593" s="74"/>
      <x:c r="J593" s="74"/>
      <x:c r="K593" s="74"/>
      <x:c r="L593" s="74"/>
      <x:c r="M593" s="91"/>
      <x:c r="N593" s="91"/>
      <x:c r="O593" s="85"/>
      <x:c r="Q593" s="86"/>
      <x:c r="R593" s="86"/>
      <x:c r="S593" s="32"/>
    </x:row>
    <x:row r="594">
      <x:c r="A594" s="87"/>
      <x:c r="B594" s="88"/>
      <x:c r="D594" s="32"/>
      <x:c r="G594" s="74"/>
      <x:c r="H594" s="74"/>
      <x:c r="I594" s="74"/>
      <x:c r="J594" s="74"/>
      <x:c r="K594" s="74"/>
      <x:c r="L594" s="74"/>
      <x:c r="M594" s="91"/>
      <x:c r="N594" s="91"/>
      <x:c r="O594" s="85"/>
      <x:c r="Q594" s="86"/>
      <x:c r="R594" s="86"/>
      <x:c r="S594" s="32"/>
    </x:row>
    <x:row r="595">
      <x:c r="A595" s="87"/>
      <x:c r="B595" s="88"/>
      <x:c r="D595" s="32"/>
      <x:c r="G595" s="74"/>
      <x:c r="H595" s="74"/>
      <x:c r="I595" s="74"/>
      <x:c r="J595" s="74"/>
      <x:c r="K595" s="74"/>
      <x:c r="L595" s="74"/>
      <x:c r="M595" s="91"/>
      <x:c r="N595" s="91"/>
      <x:c r="O595" s="85"/>
      <x:c r="Q595" s="86"/>
      <x:c r="R595" s="86"/>
      <x:c r="S595" s="32"/>
    </x:row>
    <x:row r="596">
      <x:c r="A596" s="87"/>
      <x:c r="B596" s="88"/>
      <x:c r="D596" s="32"/>
      <x:c r="G596" s="74"/>
      <x:c r="H596" s="74"/>
      <x:c r="I596" s="74"/>
      <x:c r="J596" s="74"/>
      <x:c r="K596" s="74"/>
      <x:c r="L596" s="74"/>
      <x:c r="M596" s="91"/>
      <x:c r="N596" s="91"/>
      <x:c r="O596" s="85"/>
      <x:c r="Q596" s="86"/>
      <x:c r="R596" s="86"/>
      <x:c r="S596" s="32"/>
    </x:row>
    <x:row r="597">
      <x:c r="A597" s="87"/>
      <x:c r="B597" s="88"/>
      <x:c r="D597" s="32"/>
      <x:c r="G597" s="74"/>
      <x:c r="H597" s="74"/>
      <x:c r="I597" s="74"/>
      <x:c r="J597" s="74"/>
      <x:c r="K597" s="74"/>
      <x:c r="L597" s="74"/>
      <x:c r="M597" s="91"/>
      <x:c r="N597" s="91"/>
      <x:c r="O597" s="85"/>
      <x:c r="Q597" s="86"/>
      <x:c r="R597" s="86"/>
      <x:c r="S597" s="32"/>
    </x:row>
    <x:row r="598">
      <x:c r="A598" s="87"/>
      <x:c r="B598" s="88"/>
      <x:c r="D598" s="32"/>
      <x:c r="G598" s="74"/>
      <x:c r="H598" s="74"/>
      <x:c r="I598" s="74"/>
      <x:c r="J598" s="74"/>
      <x:c r="K598" s="74"/>
      <x:c r="L598" s="74"/>
      <x:c r="M598" s="91"/>
      <x:c r="N598" s="91"/>
      <x:c r="O598" s="85"/>
      <x:c r="Q598" s="86"/>
      <x:c r="R598" s="86"/>
      <x:c r="S598" s="32"/>
    </x:row>
    <x:row r="599">
      <x:c r="A599" s="87"/>
      <x:c r="B599" s="88"/>
      <x:c r="D599" s="32"/>
      <x:c r="G599" s="74"/>
      <x:c r="H599" s="74"/>
      <x:c r="I599" s="74"/>
      <x:c r="J599" s="74"/>
      <x:c r="K599" s="74"/>
      <x:c r="L599" s="74"/>
      <x:c r="M599" s="91"/>
      <x:c r="N599" s="91"/>
      <x:c r="O599" s="85"/>
      <x:c r="Q599" s="86"/>
      <x:c r="R599" s="86"/>
      <x:c r="S599" s="32"/>
    </x:row>
    <x:row r="600">
      <x:c r="A600" s="87"/>
      <x:c r="B600" s="88"/>
      <x:c r="D600" s="32"/>
      <x:c r="G600" s="74"/>
      <x:c r="H600" s="74"/>
      <x:c r="I600" s="74"/>
      <x:c r="J600" s="74"/>
      <x:c r="K600" s="74"/>
      <x:c r="L600" s="74"/>
      <x:c r="M600" s="91"/>
      <x:c r="N600" s="91"/>
      <x:c r="O600" s="85"/>
      <x:c r="Q600" s="86"/>
      <x:c r="R600" s="86"/>
      <x:c r="S600" s="32"/>
    </x:row>
    <x:row r="601">
      <x:c r="A601" s="87"/>
      <x:c r="B601" s="88"/>
      <x:c r="D601" s="32"/>
      <x:c r="G601" s="74"/>
      <x:c r="H601" s="74"/>
      <x:c r="I601" s="74"/>
      <x:c r="J601" s="74"/>
      <x:c r="K601" s="74"/>
      <x:c r="L601" s="74"/>
      <x:c r="M601" s="91"/>
      <x:c r="N601" s="91"/>
      <x:c r="O601" s="85"/>
      <x:c r="Q601" s="86"/>
      <x:c r="R601" s="86"/>
      <x:c r="S601" s="32"/>
    </x:row>
    <x:row r="602">
      <x:c r="A602" s="87"/>
      <x:c r="B602" s="88"/>
      <x:c r="D602" s="32"/>
      <x:c r="G602" s="74"/>
      <x:c r="H602" s="74"/>
      <x:c r="I602" s="74"/>
      <x:c r="J602" s="74"/>
      <x:c r="K602" s="74"/>
      <x:c r="L602" s="74"/>
      <x:c r="M602" s="91"/>
      <x:c r="N602" s="91"/>
      <x:c r="O602" s="85"/>
      <x:c r="Q602" s="86"/>
      <x:c r="R602" s="86"/>
      <x:c r="S602" s="32"/>
    </x:row>
    <x:row r="603">
      <x:c r="A603" s="87"/>
      <x:c r="B603" s="88"/>
      <x:c r="D603" s="32"/>
      <x:c r="G603" s="74"/>
      <x:c r="H603" s="74"/>
      <x:c r="I603" s="74"/>
      <x:c r="J603" s="74"/>
      <x:c r="K603" s="74"/>
      <x:c r="L603" s="74"/>
      <x:c r="M603" s="91"/>
      <x:c r="N603" s="91"/>
      <x:c r="O603" s="85"/>
      <x:c r="Q603" s="86"/>
      <x:c r="R603" s="86"/>
      <x:c r="S603" s="32"/>
    </x:row>
    <x:row r="604">
      <x:c r="A604" s="87"/>
      <x:c r="B604" s="88"/>
      <x:c r="D604" s="32"/>
      <x:c r="G604" s="74"/>
      <x:c r="H604" s="74"/>
      <x:c r="I604" s="74"/>
      <x:c r="J604" s="74"/>
      <x:c r="K604" s="74"/>
      <x:c r="L604" s="74"/>
      <x:c r="M604" s="91"/>
      <x:c r="N604" s="91"/>
      <x:c r="O604" s="85"/>
      <x:c r="Q604" s="86"/>
      <x:c r="R604" s="86"/>
      <x:c r="S604" s="32"/>
    </x:row>
    <x:row r="605">
      <x:c r="A605" s="87"/>
      <x:c r="B605" s="88"/>
      <x:c r="D605" s="32"/>
      <x:c r="G605" s="74"/>
      <x:c r="H605" s="74"/>
      <x:c r="I605" s="74"/>
      <x:c r="J605" s="74"/>
      <x:c r="K605" s="74"/>
      <x:c r="L605" s="74"/>
      <x:c r="M605" s="91"/>
      <x:c r="N605" s="91"/>
      <x:c r="O605" s="85"/>
      <x:c r="Q605" s="86"/>
      <x:c r="R605" s="86"/>
      <x:c r="S605" s="32"/>
    </x:row>
    <x:row r="606">
      <x:c r="A606" s="87"/>
      <x:c r="B606" s="88"/>
      <x:c r="D606" s="32"/>
      <x:c r="G606" s="74"/>
      <x:c r="H606" s="74"/>
      <x:c r="I606" s="74"/>
      <x:c r="J606" s="74"/>
      <x:c r="K606" s="74"/>
      <x:c r="L606" s="74"/>
      <x:c r="M606" s="91"/>
      <x:c r="N606" s="91"/>
      <x:c r="O606" s="85"/>
      <x:c r="Q606" s="86"/>
      <x:c r="R606" s="86"/>
      <x:c r="S606" s="32"/>
    </x:row>
    <x:row r="607">
      <x:c r="A607" s="87"/>
      <x:c r="B607" s="88"/>
      <x:c r="D607" s="32"/>
      <x:c r="G607" s="74"/>
      <x:c r="H607" s="74"/>
      <x:c r="I607" s="74"/>
      <x:c r="J607" s="74"/>
      <x:c r="K607" s="74"/>
      <x:c r="L607" s="74"/>
      <x:c r="M607" s="91"/>
      <x:c r="N607" s="91"/>
      <x:c r="O607" s="85"/>
      <x:c r="Q607" s="86"/>
      <x:c r="R607" s="86"/>
      <x:c r="S607" s="32"/>
    </x:row>
    <x:row r="608">
      <x:c r="A608" s="87"/>
      <x:c r="B608" s="88"/>
      <x:c r="D608" s="32"/>
      <x:c r="G608" s="74"/>
      <x:c r="H608" s="74"/>
      <x:c r="I608" s="74"/>
      <x:c r="J608" s="74"/>
      <x:c r="K608" s="74"/>
      <x:c r="L608" s="74"/>
      <x:c r="M608" s="91"/>
      <x:c r="N608" s="91"/>
      <x:c r="O608" s="85"/>
      <x:c r="Q608" s="86"/>
      <x:c r="R608" s="86"/>
      <x:c r="S608" s="32"/>
    </x:row>
    <x:row r="609">
      <x:c r="A609" s="87"/>
      <x:c r="B609" s="88"/>
      <x:c r="D609" s="32"/>
      <x:c r="G609" s="74"/>
      <x:c r="H609" s="74"/>
      <x:c r="I609" s="74"/>
      <x:c r="J609" s="74"/>
      <x:c r="K609" s="74"/>
      <x:c r="L609" s="74"/>
      <x:c r="M609" s="91"/>
      <x:c r="N609" s="91"/>
      <x:c r="O609" s="85"/>
      <x:c r="Q609" s="86"/>
      <x:c r="R609" s="86"/>
      <x:c r="S609" s="32"/>
    </x:row>
    <x:row r="610">
      <x:c r="A610" s="87"/>
      <x:c r="B610" s="88"/>
      <x:c r="D610" s="32"/>
      <x:c r="G610" s="74"/>
      <x:c r="H610" s="74"/>
      <x:c r="I610" s="74"/>
      <x:c r="J610" s="74"/>
      <x:c r="K610" s="74"/>
      <x:c r="L610" s="74"/>
      <x:c r="M610" s="91"/>
      <x:c r="N610" s="91"/>
      <x:c r="O610" s="85"/>
      <x:c r="Q610" s="86"/>
      <x:c r="R610" s="86"/>
      <x:c r="S610" s="32"/>
    </x:row>
    <x:row r="611">
      <x:c r="A611" s="87"/>
      <x:c r="B611" s="88"/>
      <x:c r="D611" s="32"/>
      <x:c r="G611" s="74"/>
      <x:c r="H611" s="74"/>
      <x:c r="I611" s="74"/>
      <x:c r="J611" s="74"/>
      <x:c r="K611" s="74"/>
      <x:c r="L611" s="74"/>
      <x:c r="M611" s="91"/>
      <x:c r="N611" s="91"/>
      <x:c r="O611" s="85"/>
      <x:c r="Q611" s="86"/>
      <x:c r="R611" s="86"/>
      <x:c r="S611" s="32"/>
    </x:row>
    <x:row r="612">
      <x:c r="A612" s="87"/>
      <x:c r="B612" s="88"/>
      <x:c r="D612" s="32"/>
      <x:c r="G612" s="74"/>
      <x:c r="H612" s="74"/>
      <x:c r="I612" s="74"/>
      <x:c r="J612" s="74"/>
      <x:c r="K612" s="74"/>
      <x:c r="L612" s="74"/>
      <x:c r="M612" s="91"/>
      <x:c r="N612" s="91"/>
      <x:c r="O612" s="85"/>
      <x:c r="Q612" s="86"/>
      <x:c r="R612" s="86"/>
      <x:c r="S612" s="32"/>
    </x:row>
    <x:row r="613">
      <x:c r="A613" s="87"/>
      <x:c r="B613" s="88"/>
      <x:c r="D613" s="32"/>
      <x:c r="G613" s="74"/>
      <x:c r="H613" s="74"/>
      <x:c r="I613" s="74"/>
      <x:c r="J613" s="74"/>
      <x:c r="K613" s="74"/>
      <x:c r="L613" s="74"/>
      <x:c r="M613" s="91"/>
      <x:c r="N613" s="91"/>
      <x:c r="O613" s="85"/>
      <x:c r="Q613" s="86"/>
      <x:c r="R613" s="86"/>
      <x:c r="S613" s="32"/>
    </x:row>
    <x:row r="614">
      <x:c r="A614" s="87"/>
      <x:c r="B614" s="88"/>
      <x:c r="D614" s="32"/>
      <x:c r="G614" s="74"/>
      <x:c r="H614" s="74"/>
      <x:c r="I614" s="74"/>
      <x:c r="J614" s="74"/>
      <x:c r="K614" s="74"/>
      <x:c r="L614" s="74"/>
      <x:c r="M614" s="91"/>
      <x:c r="N614" s="91"/>
      <x:c r="O614" s="85"/>
      <x:c r="Q614" s="86"/>
      <x:c r="R614" s="86"/>
      <x:c r="S614" s="32"/>
    </x:row>
    <x:row r="615">
      <x:c r="A615" s="87"/>
      <x:c r="B615" s="88"/>
      <x:c r="D615" s="32"/>
      <x:c r="G615" s="74"/>
      <x:c r="H615" s="74"/>
      <x:c r="I615" s="74"/>
      <x:c r="J615" s="74"/>
      <x:c r="K615" s="74"/>
      <x:c r="L615" s="74"/>
      <x:c r="M615" s="91"/>
      <x:c r="N615" s="91"/>
      <x:c r="O615" s="85"/>
      <x:c r="Q615" s="86"/>
      <x:c r="R615" s="86"/>
      <x:c r="S615" s="32"/>
    </x:row>
    <x:row r="616">
      <x:c r="A616" s="87"/>
      <x:c r="B616" s="88"/>
      <x:c r="D616" s="32"/>
      <x:c r="G616" s="74"/>
      <x:c r="H616" s="74"/>
      <x:c r="I616" s="74"/>
      <x:c r="J616" s="74"/>
      <x:c r="K616" s="74"/>
      <x:c r="L616" s="74"/>
      <x:c r="M616" s="91"/>
      <x:c r="N616" s="91"/>
      <x:c r="O616" s="85"/>
      <x:c r="Q616" s="86"/>
      <x:c r="R616" s="86"/>
      <x:c r="S616" s="32"/>
    </x:row>
    <x:row r="617">
      <x:c r="A617" s="87"/>
      <x:c r="B617" s="88"/>
      <x:c r="D617" s="32"/>
      <x:c r="G617" s="74"/>
      <x:c r="H617" s="74"/>
      <x:c r="I617" s="74"/>
      <x:c r="J617" s="74"/>
      <x:c r="K617" s="74"/>
      <x:c r="L617" s="74"/>
      <x:c r="M617" s="91"/>
      <x:c r="N617" s="91"/>
      <x:c r="O617" s="85"/>
      <x:c r="Q617" s="86"/>
      <x:c r="R617" s="86"/>
      <x:c r="S617" s="32"/>
    </x:row>
    <x:row r="618">
      <x:c r="A618" s="87"/>
      <x:c r="B618" s="88"/>
      <x:c r="D618" s="32"/>
      <x:c r="G618" s="74"/>
      <x:c r="H618" s="74"/>
      <x:c r="I618" s="74"/>
      <x:c r="J618" s="74"/>
      <x:c r="K618" s="74"/>
      <x:c r="L618" s="74"/>
      <x:c r="M618" s="91"/>
      <x:c r="N618" s="91"/>
      <x:c r="O618" s="85"/>
      <x:c r="Q618" s="86"/>
      <x:c r="R618" s="86"/>
      <x:c r="S618" s="32"/>
    </x:row>
    <x:row r="619">
      <x:c r="A619" s="87"/>
      <x:c r="B619" s="88"/>
      <x:c r="D619" s="32"/>
      <x:c r="G619" s="74"/>
      <x:c r="H619" s="74"/>
      <x:c r="I619" s="74"/>
      <x:c r="J619" s="74"/>
      <x:c r="K619" s="74"/>
      <x:c r="L619" s="74"/>
      <x:c r="M619" s="91"/>
      <x:c r="N619" s="91"/>
      <x:c r="O619" s="85"/>
      <x:c r="Q619" s="86"/>
      <x:c r="R619" s="86"/>
      <x:c r="S619" s="32"/>
    </x:row>
    <x:row r="620">
      <x:c r="A620" s="87"/>
      <x:c r="B620" s="88"/>
      <x:c r="D620" s="32"/>
      <x:c r="G620" s="74"/>
      <x:c r="H620" s="74"/>
      <x:c r="I620" s="74"/>
      <x:c r="J620" s="74"/>
      <x:c r="K620" s="74"/>
      <x:c r="L620" s="74"/>
      <x:c r="M620" s="91"/>
      <x:c r="N620" s="91"/>
      <x:c r="O620" s="85"/>
      <x:c r="Q620" s="86"/>
      <x:c r="R620" s="86"/>
      <x:c r="S620" s="32"/>
    </x:row>
    <x:row r="621">
      <x:c r="A621" s="87"/>
      <x:c r="B621" s="88"/>
      <x:c r="D621" s="32"/>
      <x:c r="G621" s="74"/>
      <x:c r="H621" s="74"/>
      <x:c r="I621" s="74"/>
      <x:c r="J621" s="74"/>
      <x:c r="K621" s="74"/>
      <x:c r="L621" s="74"/>
      <x:c r="M621" s="91"/>
      <x:c r="N621" s="91"/>
      <x:c r="O621" s="85"/>
      <x:c r="Q621" s="86"/>
      <x:c r="R621" s="86"/>
      <x:c r="S621" s="32"/>
    </x:row>
    <x:row r="622">
      <x:c r="A622" s="87"/>
      <x:c r="B622" s="88"/>
      <x:c r="D622" s="32"/>
      <x:c r="G622" s="74"/>
      <x:c r="H622" s="74"/>
      <x:c r="I622" s="74"/>
      <x:c r="J622" s="74"/>
      <x:c r="K622" s="74"/>
      <x:c r="L622" s="74"/>
      <x:c r="M622" s="91"/>
      <x:c r="N622" s="91"/>
      <x:c r="O622" s="85"/>
      <x:c r="Q622" s="86"/>
      <x:c r="R622" s="86"/>
      <x:c r="S622" s="32"/>
    </x:row>
    <x:row r="623">
      <x:c r="A623" s="87"/>
      <x:c r="B623" s="88"/>
      <x:c r="D623" s="32"/>
      <x:c r="G623" s="74"/>
      <x:c r="H623" s="74"/>
      <x:c r="I623" s="74"/>
      <x:c r="J623" s="74"/>
      <x:c r="K623" s="74"/>
      <x:c r="L623" s="74"/>
      <x:c r="M623" s="91"/>
      <x:c r="N623" s="91"/>
      <x:c r="O623" s="85"/>
      <x:c r="Q623" s="86"/>
      <x:c r="R623" s="86"/>
      <x:c r="S623" s="32"/>
    </x:row>
    <x:row r="624">
      <x:c r="A624" s="87"/>
      <x:c r="B624" s="88"/>
      <x:c r="D624" s="32"/>
      <x:c r="G624" s="74"/>
      <x:c r="H624" s="74"/>
      <x:c r="I624" s="74"/>
      <x:c r="J624" s="74"/>
      <x:c r="K624" s="74"/>
      <x:c r="L624" s="74"/>
      <x:c r="M624" s="91"/>
      <x:c r="N624" s="91"/>
      <x:c r="O624" s="85"/>
      <x:c r="Q624" s="86"/>
      <x:c r="R624" s="86"/>
      <x:c r="S624" s="32"/>
    </x:row>
    <x:row r="625">
      <x:c r="A625" s="87"/>
      <x:c r="B625" s="88"/>
      <x:c r="D625" s="32"/>
      <x:c r="G625" s="74"/>
      <x:c r="H625" s="74"/>
      <x:c r="I625" s="74"/>
      <x:c r="J625" s="74"/>
      <x:c r="K625" s="74"/>
      <x:c r="L625" s="74"/>
      <x:c r="M625" s="91"/>
      <x:c r="N625" s="91"/>
      <x:c r="O625" s="85"/>
      <x:c r="Q625" s="86"/>
      <x:c r="R625" s="86"/>
      <x:c r="S625" s="32"/>
    </x:row>
    <x:row r="626">
      <x:c r="A626" s="87"/>
      <x:c r="B626" s="88"/>
      <x:c r="D626" s="32"/>
      <x:c r="G626" s="74"/>
      <x:c r="H626" s="74"/>
      <x:c r="I626" s="74"/>
      <x:c r="J626" s="74"/>
      <x:c r="K626" s="74"/>
      <x:c r="L626" s="74"/>
      <x:c r="M626" s="91"/>
      <x:c r="N626" s="91"/>
      <x:c r="O626" s="85"/>
      <x:c r="Q626" s="86"/>
      <x:c r="R626" s="86"/>
      <x:c r="S626" s="32"/>
    </x:row>
    <x:row r="627">
      <x:c r="A627" s="87"/>
      <x:c r="B627" s="88"/>
      <x:c r="D627" s="32"/>
      <x:c r="G627" s="74"/>
      <x:c r="H627" s="74"/>
      <x:c r="I627" s="74"/>
      <x:c r="J627" s="74"/>
      <x:c r="K627" s="74"/>
      <x:c r="L627" s="74"/>
      <x:c r="M627" s="91"/>
      <x:c r="N627" s="91"/>
      <x:c r="O627" s="85"/>
      <x:c r="Q627" s="86"/>
      <x:c r="R627" s="86"/>
      <x:c r="S627" s="32"/>
    </x:row>
    <x:row r="628">
      <x:c r="A628" s="87"/>
      <x:c r="B628" s="88"/>
      <x:c r="D628" s="32"/>
      <x:c r="G628" s="74"/>
      <x:c r="H628" s="74"/>
      <x:c r="I628" s="74"/>
      <x:c r="J628" s="74"/>
      <x:c r="K628" s="74"/>
      <x:c r="L628" s="74"/>
      <x:c r="M628" s="91"/>
      <x:c r="N628" s="91"/>
      <x:c r="O628" s="85"/>
      <x:c r="Q628" s="86"/>
      <x:c r="R628" s="86"/>
      <x:c r="S628" s="32"/>
    </x:row>
    <x:row r="629">
      <x:c r="A629" s="87"/>
      <x:c r="B629" s="88"/>
      <x:c r="D629" s="32"/>
      <x:c r="G629" s="74"/>
      <x:c r="H629" s="74"/>
      <x:c r="I629" s="74"/>
      <x:c r="J629" s="74"/>
      <x:c r="K629" s="74"/>
      <x:c r="L629" s="74"/>
      <x:c r="M629" s="91"/>
      <x:c r="N629" s="91"/>
      <x:c r="O629" s="85"/>
      <x:c r="Q629" s="86"/>
      <x:c r="R629" s="86"/>
      <x:c r="S629" s="32"/>
    </x:row>
    <x:row r="630">
      <x:c r="A630" s="87"/>
      <x:c r="B630" s="88"/>
      <x:c r="D630" s="32"/>
      <x:c r="G630" s="74"/>
      <x:c r="H630" s="74"/>
      <x:c r="I630" s="74"/>
      <x:c r="J630" s="74"/>
      <x:c r="K630" s="74"/>
      <x:c r="L630" s="74"/>
      <x:c r="M630" s="91"/>
      <x:c r="N630" s="91"/>
      <x:c r="O630" s="85"/>
      <x:c r="Q630" s="86"/>
      <x:c r="R630" s="86"/>
      <x:c r="S630" s="32"/>
    </x:row>
    <x:row r="631">
      <x:c r="A631" s="87"/>
      <x:c r="B631" s="88"/>
      <x:c r="D631" s="32"/>
      <x:c r="G631" s="74"/>
      <x:c r="H631" s="74"/>
      <x:c r="I631" s="74"/>
      <x:c r="J631" s="74"/>
      <x:c r="K631" s="74"/>
      <x:c r="L631" s="74"/>
      <x:c r="M631" s="91"/>
      <x:c r="N631" s="91"/>
      <x:c r="O631" s="85"/>
      <x:c r="Q631" s="86"/>
      <x:c r="R631" s="86"/>
      <x:c r="S631" s="32"/>
    </x:row>
    <x:row r="632">
      <x:c r="A632" s="87"/>
      <x:c r="B632" s="88"/>
      <x:c r="D632" s="32"/>
      <x:c r="G632" s="74"/>
      <x:c r="H632" s="74"/>
      <x:c r="I632" s="74"/>
      <x:c r="J632" s="74"/>
      <x:c r="K632" s="74"/>
      <x:c r="L632" s="74"/>
      <x:c r="M632" s="91"/>
      <x:c r="N632" s="91"/>
      <x:c r="O632" s="85"/>
      <x:c r="Q632" s="86"/>
      <x:c r="R632" s="86"/>
      <x:c r="S632" s="32"/>
    </x:row>
    <x:row r="633">
      <x:c r="A633" s="87"/>
      <x:c r="B633" s="88"/>
      <x:c r="D633" s="32"/>
      <x:c r="G633" s="74"/>
      <x:c r="H633" s="74"/>
      <x:c r="I633" s="74"/>
      <x:c r="J633" s="74"/>
      <x:c r="K633" s="74"/>
      <x:c r="L633" s="74"/>
      <x:c r="M633" s="91"/>
      <x:c r="N633" s="91"/>
      <x:c r="O633" s="85"/>
      <x:c r="Q633" s="86"/>
      <x:c r="R633" s="86"/>
      <x:c r="S633" s="32"/>
    </x:row>
    <x:row r="634">
      <x:c r="A634" s="87"/>
      <x:c r="B634" s="88"/>
      <x:c r="D634" s="32"/>
      <x:c r="G634" s="74"/>
      <x:c r="H634" s="74"/>
      <x:c r="I634" s="74"/>
      <x:c r="J634" s="74"/>
      <x:c r="K634" s="74"/>
      <x:c r="L634" s="74"/>
      <x:c r="M634" s="91"/>
      <x:c r="N634" s="91"/>
      <x:c r="O634" s="85"/>
      <x:c r="Q634" s="86"/>
      <x:c r="R634" s="86"/>
      <x:c r="S634" s="32"/>
    </x:row>
    <x:row r="635">
      <x:c r="A635" s="87"/>
      <x:c r="B635" s="88"/>
      <x:c r="D635" s="32"/>
      <x:c r="G635" s="74"/>
      <x:c r="H635" s="74"/>
      <x:c r="I635" s="74"/>
      <x:c r="J635" s="74"/>
      <x:c r="K635" s="74"/>
      <x:c r="L635" s="74"/>
      <x:c r="M635" s="91"/>
      <x:c r="N635" s="91"/>
      <x:c r="O635" s="85"/>
      <x:c r="Q635" s="86"/>
      <x:c r="R635" s="86"/>
      <x:c r="S635" s="32"/>
    </x:row>
    <x:row r="636">
      <x:c r="A636" s="87"/>
      <x:c r="B636" s="88"/>
      <x:c r="D636" s="32"/>
      <x:c r="G636" s="74"/>
      <x:c r="H636" s="74"/>
      <x:c r="I636" s="74"/>
      <x:c r="J636" s="74"/>
      <x:c r="K636" s="74"/>
      <x:c r="L636" s="74"/>
      <x:c r="M636" s="91"/>
      <x:c r="N636" s="91"/>
      <x:c r="O636" s="85"/>
      <x:c r="Q636" s="86"/>
      <x:c r="R636" s="86"/>
      <x:c r="S636" s="32"/>
    </x:row>
    <x:row r="637">
      <x:c r="A637" s="87"/>
      <x:c r="B637" s="88"/>
      <x:c r="D637" s="32"/>
      <x:c r="G637" s="74"/>
      <x:c r="H637" s="74"/>
      <x:c r="I637" s="74"/>
      <x:c r="J637" s="74"/>
      <x:c r="K637" s="74"/>
      <x:c r="L637" s="74"/>
      <x:c r="M637" s="91"/>
      <x:c r="N637" s="91"/>
      <x:c r="O637" s="85"/>
      <x:c r="Q637" s="86"/>
      <x:c r="R637" s="86"/>
      <x:c r="S637" s="32"/>
    </x:row>
    <x:row r="638">
      <x:c r="A638" s="87"/>
      <x:c r="B638" s="88"/>
      <x:c r="D638" s="32"/>
      <x:c r="G638" s="74"/>
      <x:c r="H638" s="74"/>
      <x:c r="I638" s="74"/>
      <x:c r="J638" s="74"/>
      <x:c r="K638" s="74"/>
      <x:c r="L638" s="74"/>
      <x:c r="M638" s="91"/>
      <x:c r="N638" s="91"/>
      <x:c r="O638" s="85"/>
      <x:c r="Q638" s="86"/>
      <x:c r="R638" s="86"/>
      <x:c r="S638" s="32"/>
    </x:row>
    <x:row r="639">
      <x:c r="A639" s="87"/>
      <x:c r="B639" s="88"/>
      <x:c r="D639" s="32"/>
      <x:c r="G639" s="74"/>
      <x:c r="H639" s="74"/>
      <x:c r="I639" s="74"/>
      <x:c r="J639" s="74"/>
      <x:c r="K639" s="74"/>
      <x:c r="L639" s="74"/>
      <x:c r="M639" s="91"/>
      <x:c r="N639" s="91"/>
      <x:c r="O639" s="85"/>
      <x:c r="Q639" s="86"/>
      <x:c r="R639" s="86"/>
      <x:c r="S639" s="32"/>
    </x:row>
    <x:row r="640">
      <x:c r="A640" s="87"/>
      <x:c r="B640" s="88"/>
      <x:c r="D640" s="32"/>
      <x:c r="G640" s="74"/>
      <x:c r="H640" s="74"/>
      <x:c r="I640" s="74"/>
      <x:c r="J640" s="74"/>
      <x:c r="K640" s="74"/>
      <x:c r="L640" s="74"/>
      <x:c r="M640" s="91"/>
      <x:c r="N640" s="91"/>
      <x:c r="O640" s="85"/>
      <x:c r="Q640" s="86"/>
      <x:c r="R640" s="86"/>
      <x:c r="S640" s="32"/>
    </x:row>
    <x:row r="641">
      <x:c r="A641" s="87"/>
      <x:c r="B641" s="88"/>
      <x:c r="D641" s="32"/>
      <x:c r="G641" s="74"/>
      <x:c r="H641" s="74"/>
      <x:c r="I641" s="74"/>
      <x:c r="J641" s="74"/>
      <x:c r="K641" s="74"/>
      <x:c r="L641" s="74"/>
      <x:c r="M641" s="91"/>
      <x:c r="N641" s="91"/>
      <x:c r="O641" s="85"/>
      <x:c r="Q641" s="86"/>
      <x:c r="R641" s="86"/>
      <x:c r="S641" s="32"/>
    </x:row>
    <x:row r="642">
      <x:c r="A642" s="87"/>
      <x:c r="B642" s="88"/>
      <x:c r="D642" s="32"/>
      <x:c r="G642" s="74"/>
      <x:c r="H642" s="74"/>
      <x:c r="I642" s="74"/>
      <x:c r="J642" s="74"/>
      <x:c r="K642" s="74"/>
      <x:c r="L642" s="74"/>
      <x:c r="M642" s="91"/>
      <x:c r="N642" s="91"/>
      <x:c r="O642" s="85"/>
      <x:c r="Q642" s="86"/>
      <x:c r="R642" s="86"/>
      <x:c r="S642" s="32"/>
    </x:row>
    <x:row r="643">
      <x:c r="A643" s="87"/>
      <x:c r="B643" s="88"/>
      <x:c r="D643" s="32"/>
      <x:c r="G643" s="74"/>
      <x:c r="H643" s="74"/>
      <x:c r="I643" s="74"/>
      <x:c r="J643" s="74"/>
      <x:c r="K643" s="74"/>
      <x:c r="L643" s="74"/>
      <x:c r="M643" s="91"/>
      <x:c r="N643" s="91"/>
      <x:c r="O643" s="85"/>
      <x:c r="Q643" s="86"/>
      <x:c r="R643" s="86"/>
      <x:c r="S643" s="32"/>
    </x:row>
    <x:row r="644">
      <x:c r="A644" s="87"/>
      <x:c r="B644" s="88"/>
      <x:c r="D644" s="32"/>
      <x:c r="G644" s="74"/>
      <x:c r="H644" s="74"/>
      <x:c r="I644" s="74"/>
      <x:c r="J644" s="74"/>
      <x:c r="K644" s="74"/>
      <x:c r="L644" s="74"/>
      <x:c r="M644" s="91"/>
      <x:c r="N644" s="91"/>
      <x:c r="O644" s="85"/>
      <x:c r="Q644" s="86"/>
      <x:c r="R644" s="86"/>
      <x:c r="S644" s="32"/>
    </x:row>
    <x:row r="645">
      <x:c r="A645" s="87"/>
      <x:c r="B645" s="88"/>
      <x:c r="D645" s="32"/>
      <x:c r="G645" s="74"/>
      <x:c r="H645" s="74"/>
      <x:c r="I645" s="74"/>
      <x:c r="J645" s="74"/>
      <x:c r="K645" s="74"/>
      <x:c r="L645" s="74"/>
      <x:c r="M645" s="91"/>
      <x:c r="N645" s="91"/>
      <x:c r="O645" s="85"/>
      <x:c r="Q645" s="86"/>
      <x:c r="R645" s="86"/>
      <x:c r="S645" s="32"/>
    </x:row>
    <x:row r="646">
      <x:c r="A646" s="87"/>
      <x:c r="B646" s="88"/>
      <x:c r="D646" s="32"/>
      <x:c r="G646" s="74"/>
      <x:c r="H646" s="74"/>
      <x:c r="I646" s="74"/>
      <x:c r="J646" s="74"/>
      <x:c r="K646" s="74"/>
      <x:c r="L646" s="74"/>
      <x:c r="M646" s="91"/>
      <x:c r="N646" s="91"/>
      <x:c r="O646" s="85"/>
      <x:c r="Q646" s="86"/>
      <x:c r="R646" s="86"/>
      <x:c r="S646" s="32"/>
    </x:row>
    <x:row r="647">
      <x:c r="A647" s="87"/>
      <x:c r="B647" s="88"/>
      <x:c r="D647" s="32"/>
      <x:c r="G647" s="74"/>
      <x:c r="H647" s="74"/>
      <x:c r="I647" s="74"/>
      <x:c r="J647" s="74"/>
      <x:c r="K647" s="74"/>
      <x:c r="L647" s="74"/>
      <x:c r="M647" s="91"/>
      <x:c r="N647" s="91"/>
      <x:c r="O647" s="85"/>
      <x:c r="Q647" s="86"/>
      <x:c r="R647" s="86"/>
      <x:c r="S647" s="32"/>
    </x:row>
    <x:row r="648">
      <x:c r="A648" s="87"/>
      <x:c r="B648" s="88"/>
      <x:c r="D648" s="32"/>
      <x:c r="G648" s="74"/>
      <x:c r="H648" s="74"/>
      <x:c r="I648" s="74"/>
      <x:c r="J648" s="74"/>
      <x:c r="K648" s="74"/>
      <x:c r="L648" s="74"/>
      <x:c r="M648" s="91"/>
      <x:c r="N648" s="91"/>
      <x:c r="O648" s="85"/>
      <x:c r="Q648" s="86"/>
      <x:c r="R648" s="86"/>
      <x:c r="S648" s="32"/>
    </x:row>
    <x:row r="649">
      <x:c r="A649" s="87"/>
      <x:c r="B649" s="88"/>
      <x:c r="D649" s="32"/>
      <x:c r="G649" s="74"/>
      <x:c r="H649" s="74"/>
      <x:c r="I649" s="74"/>
      <x:c r="J649" s="74"/>
      <x:c r="K649" s="74"/>
      <x:c r="L649" s="74"/>
      <x:c r="M649" s="91"/>
      <x:c r="N649" s="91"/>
      <x:c r="O649" s="85"/>
      <x:c r="Q649" s="86"/>
      <x:c r="R649" s="86"/>
      <x:c r="S649" s="32"/>
    </x:row>
    <x:row r="650">
      <x:c r="A650" s="87"/>
      <x:c r="B650" s="88"/>
      <x:c r="D650" s="32"/>
      <x:c r="G650" s="74"/>
      <x:c r="H650" s="74"/>
      <x:c r="I650" s="74"/>
      <x:c r="J650" s="74"/>
      <x:c r="K650" s="74"/>
      <x:c r="L650" s="74"/>
      <x:c r="M650" s="91"/>
      <x:c r="N650" s="91"/>
      <x:c r="O650" s="85"/>
      <x:c r="Q650" s="86"/>
      <x:c r="R650" s="86"/>
      <x:c r="S650" s="32"/>
    </x:row>
    <x:row r="651">
      <x:c r="A651" s="87"/>
      <x:c r="B651" s="88"/>
      <x:c r="D651" s="32"/>
      <x:c r="G651" s="74"/>
      <x:c r="H651" s="74"/>
      <x:c r="I651" s="74"/>
      <x:c r="J651" s="74"/>
      <x:c r="K651" s="74"/>
      <x:c r="L651" s="74"/>
      <x:c r="M651" s="91"/>
      <x:c r="N651" s="91"/>
      <x:c r="O651" s="85"/>
      <x:c r="Q651" s="86"/>
      <x:c r="R651" s="86"/>
      <x:c r="S651" s="32"/>
    </x:row>
    <x:row r="652">
      <x:c r="A652" s="87"/>
      <x:c r="B652" s="88"/>
      <x:c r="D652" s="32"/>
      <x:c r="G652" s="74"/>
      <x:c r="H652" s="74"/>
      <x:c r="I652" s="74"/>
      <x:c r="J652" s="74"/>
      <x:c r="K652" s="74"/>
      <x:c r="L652" s="74"/>
      <x:c r="M652" s="91"/>
      <x:c r="N652" s="91"/>
      <x:c r="O652" s="85"/>
      <x:c r="Q652" s="86"/>
      <x:c r="R652" s="86"/>
      <x:c r="S652" s="32"/>
    </x:row>
    <x:row r="653">
      <x:c r="A653" s="87"/>
      <x:c r="B653" s="88"/>
      <x:c r="D653" s="32"/>
      <x:c r="G653" s="74"/>
      <x:c r="H653" s="74"/>
      <x:c r="I653" s="74"/>
      <x:c r="J653" s="74"/>
      <x:c r="K653" s="74"/>
      <x:c r="L653" s="74"/>
      <x:c r="M653" s="91"/>
      <x:c r="N653" s="91"/>
      <x:c r="O653" s="85"/>
      <x:c r="Q653" s="86"/>
      <x:c r="R653" s="86"/>
      <x:c r="S653" s="32"/>
    </x:row>
    <x:row r="654">
      <x:c r="A654" s="87"/>
      <x:c r="B654" s="88"/>
      <x:c r="D654" s="32"/>
      <x:c r="G654" s="74"/>
      <x:c r="H654" s="74"/>
      <x:c r="I654" s="74"/>
      <x:c r="J654" s="74"/>
      <x:c r="K654" s="74"/>
      <x:c r="L654" s="74"/>
      <x:c r="M654" s="91"/>
      <x:c r="N654" s="91"/>
      <x:c r="O654" s="85"/>
      <x:c r="Q654" s="86"/>
      <x:c r="R654" s="86"/>
      <x:c r="S654" s="32"/>
    </x:row>
    <x:row r="655">
      <x:c r="A655" s="87"/>
      <x:c r="B655" s="88"/>
      <x:c r="D655" s="32"/>
      <x:c r="G655" s="74"/>
      <x:c r="H655" s="74"/>
      <x:c r="I655" s="74"/>
      <x:c r="J655" s="74"/>
      <x:c r="K655" s="74"/>
      <x:c r="L655" s="74"/>
      <x:c r="M655" s="91"/>
      <x:c r="N655" s="91"/>
      <x:c r="O655" s="85"/>
      <x:c r="Q655" s="86"/>
      <x:c r="R655" s="86"/>
      <x:c r="S655" s="32"/>
    </x:row>
    <x:row r="656">
      <x:c r="A656" s="87"/>
      <x:c r="B656" s="88"/>
      <x:c r="D656" s="32"/>
      <x:c r="G656" s="74"/>
      <x:c r="H656" s="74"/>
      <x:c r="I656" s="74"/>
      <x:c r="J656" s="74"/>
      <x:c r="K656" s="74"/>
      <x:c r="L656" s="74"/>
      <x:c r="M656" s="91"/>
      <x:c r="N656" s="91"/>
      <x:c r="O656" s="85"/>
      <x:c r="Q656" s="86"/>
      <x:c r="R656" s="86"/>
      <x:c r="S656" s="32"/>
    </x:row>
    <x:row r="657">
      <x:c r="A657" s="87"/>
      <x:c r="B657" s="88"/>
      <x:c r="D657" s="32"/>
      <x:c r="G657" s="74"/>
      <x:c r="H657" s="74"/>
      <x:c r="I657" s="74"/>
      <x:c r="J657" s="74"/>
      <x:c r="K657" s="74"/>
      <x:c r="L657" s="74"/>
      <x:c r="M657" s="91"/>
      <x:c r="N657" s="91"/>
      <x:c r="O657" s="85"/>
      <x:c r="Q657" s="86"/>
      <x:c r="R657" s="86"/>
      <x:c r="S657" s="32"/>
    </x:row>
    <x:row r="658">
      <x:c r="A658" s="87"/>
      <x:c r="B658" s="88"/>
      <x:c r="D658" s="32"/>
      <x:c r="G658" s="74"/>
      <x:c r="H658" s="74"/>
      <x:c r="I658" s="74"/>
      <x:c r="J658" s="74"/>
      <x:c r="K658" s="74"/>
      <x:c r="L658" s="74"/>
      <x:c r="M658" s="91"/>
      <x:c r="N658" s="91"/>
      <x:c r="O658" s="85"/>
      <x:c r="Q658" s="86"/>
      <x:c r="R658" s="86"/>
      <x:c r="S658" s="32"/>
    </x:row>
    <x:row r="659">
      <x:c r="A659" s="87"/>
      <x:c r="B659" s="88"/>
      <x:c r="D659" s="32"/>
      <x:c r="G659" s="74"/>
      <x:c r="H659" s="74"/>
      <x:c r="I659" s="74"/>
      <x:c r="J659" s="74"/>
      <x:c r="K659" s="74"/>
      <x:c r="L659" s="74"/>
      <x:c r="M659" s="91"/>
      <x:c r="N659" s="91"/>
      <x:c r="O659" s="85"/>
      <x:c r="Q659" s="86"/>
      <x:c r="R659" s="86"/>
      <x:c r="S659" s="32"/>
    </x:row>
    <x:row r="660">
      <x:c r="A660" s="87"/>
      <x:c r="B660" s="88"/>
      <x:c r="D660" s="32"/>
      <x:c r="G660" s="74"/>
      <x:c r="H660" s="74"/>
      <x:c r="I660" s="74"/>
      <x:c r="J660" s="74"/>
      <x:c r="K660" s="74"/>
      <x:c r="L660" s="74"/>
      <x:c r="M660" s="91"/>
      <x:c r="N660" s="91"/>
      <x:c r="O660" s="85"/>
      <x:c r="Q660" s="86"/>
      <x:c r="R660" s="86"/>
      <x:c r="S660" s="32"/>
    </x:row>
    <x:row r="661">
      <x:c r="A661" s="87"/>
      <x:c r="B661" s="88"/>
      <x:c r="D661" s="32"/>
      <x:c r="G661" s="74"/>
      <x:c r="H661" s="74"/>
      <x:c r="I661" s="74"/>
      <x:c r="J661" s="74"/>
      <x:c r="K661" s="74"/>
      <x:c r="L661" s="74"/>
      <x:c r="M661" s="91"/>
      <x:c r="N661" s="91"/>
      <x:c r="O661" s="85"/>
      <x:c r="Q661" s="86"/>
      <x:c r="R661" s="86"/>
      <x:c r="S661" s="32"/>
    </x:row>
    <x:row r="662">
      <x:c r="A662" s="87"/>
      <x:c r="B662" s="88"/>
      <x:c r="D662" s="32"/>
      <x:c r="G662" s="74"/>
      <x:c r="H662" s="74"/>
      <x:c r="I662" s="74"/>
      <x:c r="J662" s="74"/>
      <x:c r="K662" s="74"/>
      <x:c r="L662" s="74"/>
      <x:c r="M662" s="91"/>
      <x:c r="N662" s="91"/>
      <x:c r="O662" s="85"/>
      <x:c r="Q662" s="86"/>
      <x:c r="R662" s="86"/>
      <x:c r="S662" s="32"/>
    </x:row>
    <x:row r="663">
      <x:c r="A663" s="87"/>
      <x:c r="B663" s="88"/>
      <x:c r="D663" s="32"/>
      <x:c r="G663" s="74"/>
      <x:c r="H663" s="74"/>
      <x:c r="I663" s="74"/>
      <x:c r="J663" s="74"/>
      <x:c r="K663" s="74"/>
      <x:c r="L663" s="74"/>
      <x:c r="M663" s="91"/>
      <x:c r="N663" s="91"/>
      <x:c r="O663" s="85"/>
      <x:c r="Q663" s="86"/>
      <x:c r="R663" s="86"/>
      <x:c r="S663" s="32"/>
    </x:row>
    <x:row r="664">
      <x:c r="A664" s="87"/>
      <x:c r="B664" s="88"/>
      <x:c r="D664" s="32"/>
      <x:c r="G664" s="74"/>
      <x:c r="H664" s="74"/>
      <x:c r="I664" s="74"/>
      <x:c r="J664" s="74"/>
      <x:c r="K664" s="74"/>
      <x:c r="L664" s="74"/>
      <x:c r="M664" s="91"/>
      <x:c r="N664" s="91"/>
      <x:c r="O664" s="85"/>
      <x:c r="Q664" s="86"/>
      <x:c r="R664" s="86"/>
      <x:c r="S664" s="32"/>
    </x:row>
    <x:row r="665">
      <x:c r="A665" s="87"/>
      <x:c r="B665" s="88"/>
      <x:c r="D665" s="32"/>
      <x:c r="G665" s="74"/>
      <x:c r="H665" s="74"/>
      <x:c r="I665" s="74"/>
      <x:c r="J665" s="74"/>
      <x:c r="K665" s="74"/>
      <x:c r="L665" s="74"/>
      <x:c r="M665" s="91"/>
      <x:c r="N665" s="91"/>
      <x:c r="O665" s="85"/>
      <x:c r="Q665" s="86"/>
      <x:c r="R665" s="86"/>
      <x:c r="S665" s="32"/>
    </x:row>
    <x:row r="666">
      <x:c r="A666" s="87"/>
      <x:c r="B666" s="88"/>
      <x:c r="D666" s="32"/>
      <x:c r="G666" s="74"/>
      <x:c r="H666" s="74"/>
      <x:c r="I666" s="74"/>
      <x:c r="J666" s="74"/>
      <x:c r="K666" s="74"/>
      <x:c r="L666" s="74"/>
      <x:c r="M666" s="91"/>
      <x:c r="N666" s="91"/>
      <x:c r="O666" s="85"/>
      <x:c r="Q666" s="86"/>
      <x:c r="R666" s="86"/>
      <x:c r="S666" s="32"/>
    </x:row>
    <x:row r="667">
      <x:c r="A667" s="87"/>
      <x:c r="B667" s="88"/>
      <x:c r="D667" s="32"/>
      <x:c r="G667" s="74"/>
      <x:c r="H667" s="74"/>
      <x:c r="I667" s="74"/>
      <x:c r="J667" s="74"/>
      <x:c r="K667" s="74"/>
      <x:c r="L667" s="74"/>
      <x:c r="M667" s="91"/>
      <x:c r="N667" s="91"/>
      <x:c r="O667" s="85"/>
      <x:c r="Q667" s="86"/>
      <x:c r="R667" s="86"/>
      <x:c r="S667" s="32"/>
    </x:row>
    <x:row r="668">
      <x:c r="A668" s="87"/>
      <x:c r="B668" s="88"/>
      <x:c r="D668" s="32"/>
      <x:c r="G668" s="74"/>
      <x:c r="H668" s="74"/>
      <x:c r="I668" s="74"/>
      <x:c r="J668" s="74"/>
      <x:c r="K668" s="74"/>
      <x:c r="L668" s="74"/>
      <x:c r="M668" s="91"/>
      <x:c r="N668" s="91"/>
      <x:c r="O668" s="85"/>
      <x:c r="Q668" s="86"/>
      <x:c r="R668" s="86"/>
      <x:c r="S668" s="32"/>
    </x:row>
    <x:row r="669">
      <x:c r="A669" s="87"/>
      <x:c r="B669" s="88"/>
      <x:c r="D669" s="32"/>
      <x:c r="G669" s="74"/>
      <x:c r="H669" s="74"/>
      <x:c r="I669" s="74"/>
      <x:c r="J669" s="74"/>
      <x:c r="K669" s="74"/>
      <x:c r="L669" s="74"/>
      <x:c r="M669" s="91"/>
      <x:c r="N669" s="91"/>
      <x:c r="O669" s="85"/>
      <x:c r="Q669" s="86"/>
      <x:c r="R669" s="86"/>
      <x:c r="S669" s="32"/>
    </x:row>
    <x:row r="670">
      <x:c r="A670" s="87"/>
      <x:c r="B670" s="88"/>
      <x:c r="D670" s="32"/>
      <x:c r="G670" s="74"/>
      <x:c r="H670" s="74"/>
      <x:c r="I670" s="74"/>
      <x:c r="J670" s="74"/>
      <x:c r="K670" s="74"/>
      <x:c r="L670" s="74"/>
      <x:c r="M670" s="91"/>
      <x:c r="N670" s="91"/>
      <x:c r="O670" s="85"/>
      <x:c r="Q670" s="86"/>
      <x:c r="R670" s="86"/>
      <x:c r="S670" s="32"/>
    </x:row>
    <x:row r="671">
      <x:c r="A671" s="87"/>
      <x:c r="B671" s="88"/>
      <x:c r="D671" s="32"/>
      <x:c r="G671" s="74"/>
      <x:c r="H671" s="74"/>
      <x:c r="I671" s="74"/>
      <x:c r="J671" s="74"/>
      <x:c r="K671" s="74"/>
      <x:c r="L671" s="74"/>
      <x:c r="M671" s="91"/>
      <x:c r="N671" s="91"/>
      <x:c r="O671" s="85"/>
      <x:c r="Q671" s="86"/>
      <x:c r="R671" s="86"/>
      <x:c r="S671" s="32"/>
    </x:row>
    <x:row r="672">
      <x:c r="A672" s="87"/>
      <x:c r="B672" s="88"/>
      <x:c r="D672" s="32"/>
      <x:c r="G672" s="74"/>
      <x:c r="H672" s="74"/>
      <x:c r="I672" s="74"/>
      <x:c r="J672" s="74"/>
      <x:c r="K672" s="74"/>
      <x:c r="L672" s="74"/>
      <x:c r="M672" s="91"/>
      <x:c r="N672" s="91"/>
      <x:c r="O672" s="85"/>
      <x:c r="Q672" s="86"/>
      <x:c r="R672" s="86"/>
      <x:c r="S672" s="32"/>
    </x:row>
    <x:row r="673">
      <x:c r="A673" s="87"/>
      <x:c r="B673" s="88"/>
      <x:c r="D673" s="32"/>
      <x:c r="G673" s="74"/>
      <x:c r="H673" s="74"/>
      <x:c r="I673" s="74"/>
      <x:c r="J673" s="74"/>
      <x:c r="K673" s="74"/>
      <x:c r="L673" s="74"/>
      <x:c r="M673" s="91"/>
      <x:c r="N673" s="91"/>
      <x:c r="O673" s="85"/>
      <x:c r="Q673" s="86"/>
      <x:c r="R673" s="86"/>
      <x:c r="S673" s="32"/>
    </x:row>
    <x:row r="674">
      <x:c r="A674" s="87"/>
      <x:c r="B674" s="88"/>
      <x:c r="D674" s="32"/>
      <x:c r="G674" s="74"/>
      <x:c r="H674" s="74"/>
      <x:c r="I674" s="74"/>
      <x:c r="J674" s="74"/>
      <x:c r="K674" s="74"/>
      <x:c r="L674" s="74"/>
      <x:c r="M674" s="91"/>
      <x:c r="N674" s="91"/>
      <x:c r="O674" s="85"/>
      <x:c r="Q674" s="86"/>
      <x:c r="R674" s="86"/>
      <x:c r="S674" s="32"/>
    </x:row>
    <x:row r="675">
      <x:c r="A675" s="87"/>
      <x:c r="B675" s="88"/>
      <x:c r="D675" s="32"/>
      <x:c r="G675" s="74"/>
      <x:c r="H675" s="74"/>
      <x:c r="I675" s="74"/>
      <x:c r="J675" s="74"/>
      <x:c r="K675" s="74"/>
      <x:c r="L675" s="74"/>
      <x:c r="M675" s="91"/>
      <x:c r="N675" s="91"/>
      <x:c r="O675" s="85"/>
      <x:c r="Q675" s="86"/>
      <x:c r="R675" s="86"/>
      <x:c r="S675" s="32"/>
    </x:row>
    <x:row r="676">
      <x:c r="A676" s="87"/>
      <x:c r="B676" s="88"/>
      <x:c r="D676" s="32"/>
      <x:c r="G676" s="74"/>
      <x:c r="H676" s="74"/>
      <x:c r="I676" s="74"/>
      <x:c r="J676" s="74"/>
      <x:c r="K676" s="74"/>
      <x:c r="L676" s="74"/>
      <x:c r="M676" s="91"/>
      <x:c r="N676" s="91"/>
      <x:c r="O676" s="85"/>
      <x:c r="Q676" s="86"/>
      <x:c r="R676" s="86"/>
      <x:c r="S676" s="32"/>
    </x:row>
    <x:row r="677">
      <x:c r="A677" s="87"/>
      <x:c r="B677" s="88"/>
      <x:c r="D677" s="32"/>
      <x:c r="G677" s="74"/>
      <x:c r="H677" s="74"/>
      <x:c r="I677" s="74"/>
      <x:c r="J677" s="74"/>
      <x:c r="K677" s="74"/>
      <x:c r="L677" s="74"/>
      <x:c r="M677" s="91"/>
      <x:c r="N677" s="91"/>
      <x:c r="O677" s="85"/>
      <x:c r="Q677" s="86"/>
      <x:c r="R677" s="86"/>
      <x:c r="S677" s="32"/>
    </x:row>
    <x:row r="678">
      <x:c r="A678" s="87"/>
      <x:c r="B678" s="88"/>
      <x:c r="D678" s="32"/>
      <x:c r="G678" s="74"/>
      <x:c r="H678" s="74"/>
      <x:c r="I678" s="74"/>
      <x:c r="J678" s="74"/>
      <x:c r="K678" s="74"/>
      <x:c r="L678" s="74"/>
      <x:c r="M678" s="91"/>
      <x:c r="N678" s="91"/>
      <x:c r="O678" s="85"/>
      <x:c r="Q678" s="86"/>
      <x:c r="R678" s="86"/>
      <x:c r="S678" s="32"/>
    </x:row>
    <x:row r="679">
      <x:c r="A679" s="87"/>
      <x:c r="B679" s="88"/>
      <x:c r="D679" s="32"/>
      <x:c r="G679" s="74"/>
      <x:c r="H679" s="74"/>
      <x:c r="I679" s="74"/>
      <x:c r="J679" s="74"/>
      <x:c r="K679" s="74"/>
      <x:c r="L679" s="74"/>
      <x:c r="M679" s="91"/>
      <x:c r="N679" s="91"/>
      <x:c r="O679" s="85"/>
      <x:c r="Q679" s="86"/>
      <x:c r="R679" s="86"/>
      <x:c r="S679" s="32"/>
    </x:row>
    <x:row r="680">
      <x:c r="A680" s="87"/>
      <x:c r="B680" s="88"/>
      <x:c r="D680" s="32"/>
      <x:c r="G680" s="74"/>
      <x:c r="H680" s="74"/>
      <x:c r="I680" s="74"/>
      <x:c r="J680" s="74"/>
      <x:c r="K680" s="74"/>
      <x:c r="L680" s="74"/>
      <x:c r="M680" s="91"/>
      <x:c r="N680" s="91"/>
      <x:c r="O680" s="85"/>
      <x:c r="Q680" s="86"/>
      <x:c r="R680" s="86"/>
      <x:c r="S680" s="32"/>
    </x:row>
    <x:row r="681">
      <x:c r="A681" s="87"/>
      <x:c r="B681" s="88"/>
      <x:c r="D681" s="32"/>
      <x:c r="G681" s="74"/>
      <x:c r="H681" s="74"/>
      <x:c r="I681" s="74"/>
      <x:c r="J681" s="74"/>
      <x:c r="K681" s="74"/>
      <x:c r="L681" s="74"/>
      <x:c r="M681" s="91"/>
      <x:c r="N681" s="91"/>
      <x:c r="O681" s="85"/>
      <x:c r="Q681" s="86"/>
      <x:c r="R681" s="86"/>
      <x:c r="S681" s="32"/>
    </x:row>
    <x:row r="682">
      <x:c r="A682" s="87"/>
      <x:c r="B682" s="88"/>
      <x:c r="D682" s="32"/>
      <x:c r="G682" s="74"/>
      <x:c r="H682" s="74"/>
      <x:c r="I682" s="74"/>
      <x:c r="J682" s="74"/>
      <x:c r="K682" s="74"/>
      <x:c r="L682" s="74"/>
      <x:c r="M682" s="91"/>
      <x:c r="N682" s="91"/>
      <x:c r="O682" s="85"/>
      <x:c r="Q682" s="86"/>
      <x:c r="R682" s="86"/>
      <x:c r="S682" s="32"/>
    </x:row>
    <x:row r="683">
      <x:c r="A683" s="87"/>
      <x:c r="B683" s="88"/>
      <x:c r="D683" s="32"/>
      <x:c r="G683" s="74"/>
      <x:c r="H683" s="74"/>
      <x:c r="I683" s="74"/>
      <x:c r="J683" s="74"/>
      <x:c r="K683" s="74"/>
      <x:c r="L683" s="74"/>
      <x:c r="M683" s="91"/>
      <x:c r="N683" s="91"/>
      <x:c r="O683" s="85"/>
      <x:c r="Q683" s="86"/>
      <x:c r="R683" s="86"/>
      <x:c r="S683" s="32"/>
    </x:row>
    <x:row r="684">
      <x:c r="A684" s="87"/>
      <x:c r="B684" s="88"/>
      <x:c r="D684" s="32"/>
      <x:c r="G684" s="74"/>
      <x:c r="H684" s="74"/>
      <x:c r="I684" s="74"/>
      <x:c r="J684" s="74"/>
      <x:c r="K684" s="74"/>
      <x:c r="L684" s="74"/>
      <x:c r="M684" s="91"/>
      <x:c r="N684" s="91"/>
      <x:c r="O684" s="85"/>
      <x:c r="Q684" s="86"/>
      <x:c r="R684" s="86"/>
      <x:c r="S684" s="32"/>
    </x:row>
    <x:row r="685">
      <x:c r="A685" s="87"/>
      <x:c r="B685" s="88"/>
      <x:c r="D685" s="32"/>
      <x:c r="G685" s="74"/>
      <x:c r="H685" s="74"/>
      <x:c r="I685" s="74"/>
      <x:c r="J685" s="74"/>
      <x:c r="K685" s="74"/>
      <x:c r="L685" s="74"/>
      <x:c r="M685" s="91"/>
      <x:c r="N685" s="91"/>
      <x:c r="O685" s="85"/>
      <x:c r="Q685" s="86"/>
      <x:c r="R685" s="86"/>
      <x:c r="S685" s="32"/>
    </x:row>
    <x:row r="686">
      <x:c r="A686" s="87"/>
      <x:c r="B686" s="88"/>
      <x:c r="D686" s="32"/>
      <x:c r="G686" s="74"/>
      <x:c r="H686" s="74"/>
      <x:c r="I686" s="74"/>
      <x:c r="J686" s="74"/>
      <x:c r="K686" s="74"/>
      <x:c r="L686" s="74"/>
      <x:c r="M686" s="91"/>
      <x:c r="N686" s="91"/>
      <x:c r="O686" s="85"/>
      <x:c r="Q686" s="86"/>
      <x:c r="R686" s="86"/>
      <x:c r="S686" s="32"/>
    </x:row>
    <x:row r="687">
      <x:c r="A687" s="87"/>
      <x:c r="B687" s="88"/>
      <x:c r="D687" s="32"/>
      <x:c r="G687" s="74"/>
      <x:c r="H687" s="74"/>
      <x:c r="I687" s="74"/>
      <x:c r="J687" s="74"/>
      <x:c r="K687" s="74"/>
      <x:c r="L687" s="74"/>
      <x:c r="M687" s="91"/>
      <x:c r="N687" s="91"/>
      <x:c r="O687" s="85"/>
      <x:c r="Q687" s="86"/>
      <x:c r="R687" s="86"/>
      <x:c r="S687" s="32"/>
    </x:row>
    <x:row r="688">
      <x:c r="A688" s="87"/>
      <x:c r="B688" s="88"/>
      <x:c r="D688" s="32"/>
      <x:c r="G688" s="74"/>
      <x:c r="H688" s="74"/>
      <x:c r="I688" s="74"/>
      <x:c r="J688" s="74"/>
      <x:c r="K688" s="74"/>
      <x:c r="L688" s="74"/>
      <x:c r="M688" s="91"/>
      <x:c r="N688" s="91"/>
      <x:c r="O688" s="85"/>
      <x:c r="Q688" s="86"/>
      <x:c r="R688" s="86"/>
      <x:c r="S688" s="32"/>
    </x:row>
    <x:row r="689">
      <x:c r="A689" s="87"/>
      <x:c r="B689" s="88"/>
      <x:c r="D689" s="32"/>
      <x:c r="G689" s="74"/>
      <x:c r="H689" s="74"/>
      <x:c r="I689" s="74"/>
      <x:c r="J689" s="74"/>
      <x:c r="K689" s="74"/>
      <x:c r="L689" s="74"/>
      <x:c r="M689" s="91"/>
      <x:c r="N689" s="91"/>
      <x:c r="O689" s="85"/>
      <x:c r="Q689" s="86"/>
      <x:c r="R689" s="86"/>
      <x:c r="S689" s="32"/>
    </x:row>
    <x:row r="690">
      <x:c r="A690" s="87"/>
      <x:c r="B690" s="88"/>
      <x:c r="D690" s="32"/>
      <x:c r="G690" s="74"/>
      <x:c r="H690" s="74"/>
      <x:c r="I690" s="74"/>
      <x:c r="J690" s="74"/>
      <x:c r="K690" s="74"/>
      <x:c r="L690" s="74"/>
      <x:c r="M690" s="91"/>
      <x:c r="N690" s="91"/>
      <x:c r="O690" s="85"/>
      <x:c r="Q690" s="86"/>
      <x:c r="R690" s="86"/>
      <x:c r="S690" s="32"/>
    </x:row>
    <x:row r="691">
      <x:c r="A691" s="87"/>
      <x:c r="B691" s="88"/>
      <x:c r="D691" s="32"/>
      <x:c r="G691" s="74"/>
      <x:c r="H691" s="74"/>
      <x:c r="I691" s="74"/>
      <x:c r="J691" s="74"/>
      <x:c r="K691" s="74"/>
      <x:c r="L691" s="74"/>
      <x:c r="M691" s="91"/>
      <x:c r="N691" s="91"/>
      <x:c r="O691" s="85"/>
      <x:c r="Q691" s="86"/>
      <x:c r="R691" s="86"/>
      <x:c r="S691" s="32"/>
    </x:row>
    <x:row r="692">
      <x:c r="A692" s="87"/>
      <x:c r="B692" s="88"/>
      <x:c r="D692" s="32"/>
      <x:c r="G692" s="74"/>
      <x:c r="H692" s="74"/>
      <x:c r="I692" s="74"/>
      <x:c r="J692" s="74"/>
      <x:c r="K692" s="74"/>
      <x:c r="L692" s="74"/>
      <x:c r="M692" s="91"/>
      <x:c r="N692" s="91"/>
      <x:c r="O692" s="85"/>
      <x:c r="Q692" s="86"/>
      <x:c r="R692" s="86"/>
      <x:c r="S692" s="32"/>
    </x:row>
    <x:row r="693">
      <x:c r="A693" s="87"/>
      <x:c r="B693" s="88"/>
      <x:c r="D693" s="32"/>
      <x:c r="G693" s="74"/>
      <x:c r="H693" s="74"/>
      <x:c r="I693" s="74"/>
      <x:c r="J693" s="74"/>
      <x:c r="K693" s="74"/>
      <x:c r="L693" s="74"/>
      <x:c r="M693" s="91"/>
      <x:c r="N693" s="91"/>
      <x:c r="O693" s="85"/>
      <x:c r="Q693" s="86"/>
      <x:c r="R693" s="86"/>
      <x:c r="S693" s="32"/>
    </x:row>
    <x:row r="694">
      <x:c r="A694" s="87"/>
      <x:c r="B694" s="88"/>
      <x:c r="D694" s="32"/>
      <x:c r="G694" s="74"/>
      <x:c r="H694" s="74"/>
      <x:c r="I694" s="74"/>
      <x:c r="J694" s="74"/>
      <x:c r="K694" s="74"/>
      <x:c r="L694" s="74"/>
      <x:c r="M694" s="91"/>
      <x:c r="N694" s="91"/>
      <x:c r="O694" s="85"/>
      <x:c r="Q694" s="86"/>
      <x:c r="R694" s="86"/>
      <x:c r="S694" s="32"/>
    </x:row>
    <x:row r="695">
      <x:c r="A695" s="87"/>
      <x:c r="B695" s="88"/>
      <x:c r="D695" s="32"/>
      <x:c r="G695" s="74"/>
      <x:c r="H695" s="74"/>
      <x:c r="I695" s="74"/>
      <x:c r="J695" s="74"/>
      <x:c r="K695" s="74"/>
      <x:c r="L695" s="74"/>
      <x:c r="M695" s="91"/>
      <x:c r="N695" s="91"/>
      <x:c r="O695" s="85"/>
      <x:c r="Q695" s="86"/>
      <x:c r="R695" s="86"/>
      <x:c r="S695" s="32"/>
    </x:row>
    <x:row r="696">
      <x:c r="A696" s="87"/>
      <x:c r="B696" s="88"/>
      <x:c r="D696" s="32"/>
      <x:c r="G696" s="74"/>
      <x:c r="H696" s="74"/>
      <x:c r="I696" s="74"/>
      <x:c r="J696" s="74"/>
      <x:c r="K696" s="74"/>
      <x:c r="L696" s="74"/>
      <x:c r="M696" s="91"/>
      <x:c r="N696" s="91"/>
      <x:c r="O696" s="85"/>
      <x:c r="Q696" s="86"/>
      <x:c r="R696" s="86"/>
      <x:c r="S696" s="32"/>
    </x:row>
    <x:row r="697">
      <x:c r="A697" s="87"/>
      <x:c r="B697" s="88"/>
      <x:c r="D697" s="32"/>
      <x:c r="G697" s="74"/>
      <x:c r="H697" s="74"/>
      <x:c r="I697" s="74"/>
      <x:c r="J697" s="74"/>
      <x:c r="K697" s="74"/>
      <x:c r="L697" s="74"/>
      <x:c r="M697" s="91"/>
      <x:c r="N697" s="91"/>
      <x:c r="O697" s="85"/>
      <x:c r="Q697" s="86"/>
      <x:c r="R697" s="86"/>
      <x:c r="S697" s="32"/>
    </x:row>
    <x:row r="698">
      <x:c r="A698" s="87"/>
      <x:c r="B698" s="88"/>
      <x:c r="D698" s="32"/>
      <x:c r="G698" s="74"/>
      <x:c r="H698" s="74"/>
      <x:c r="I698" s="74"/>
      <x:c r="J698" s="74"/>
      <x:c r="K698" s="74"/>
      <x:c r="L698" s="74"/>
      <x:c r="M698" s="91"/>
      <x:c r="N698" s="91"/>
      <x:c r="O698" s="85"/>
      <x:c r="Q698" s="86"/>
      <x:c r="R698" s="86"/>
      <x:c r="S698" s="32"/>
    </x:row>
    <x:row r="699">
      <x:c r="A699" s="87"/>
      <x:c r="B699" s="88"/>
      <x:c r="D699" s="32"/>
      <x:c r="G699" s="74"/>
      <x:c r="H699" s="74"/>
      <x:c r="I699" s="74"/>
      <x:c r="J699" s="74"/>
      <x:c r="K699" s="74"/>
      <x:c r="L699" s="74"/>
      <x:c r="M699" s="91"/>
      <x:c r="N699" s="91"/>
      <x:c r="O699" s="85"/>
      <x:c r="Q699" s="86"/>
      <x:c r="R699" s="86"/>
      <x:c r="S699" s="32"/>
    </x:row>
    <x:row r="700">
      <x:c r="A700" s="87"/>
      <x:c r="B700" s="88"/>
      <x:c r="D700" s="32"/>
      <x:c r="G700" s="74"/>
      <x:c r="H700" s="74"/>
      <x:c r="I700" s="74"/>
      <x:c r="J700" s="74"/>
      <x:c r="K700" s="74"/>
      <x:c r="L700" s="74"/>
      <x:c r="M700" s="91"/>
      <x:c r="N700" s="91"/>
      <x:c r="O700" s="85"/>
      <x:c r="Q700" s="86"/>
      <x:c r="R700" s="86"/>
      <x:c r="S700" s="32"/>
    </x:row>
    <x:row r="701">
      <x:c r="A701" s="87"/>
      <x:c r="B701" s="88"/>
      <x:c r="D701" s="32"/>
      <x:c r="G701" s="74"/>
      <x:c r="H701" s="74"/>
      <x:c r="I701" s="74"/>
      <x:c r="J701" s="74"/>
      <x:c r="K701" s="74"/>
      <x:c r="L701" s="74"/>
      <x:c r="M701" s="91"/>
      <x:c r="N701" s="91"/>
      <x:c r="O701" s="85"/>
      <x:c r="Q701" s="86"/>
      <x:c r="R701" s="86"/>
      <x:c r="S701" s="32"/>
    </x:row>
    <x:row r="702">
      <x:c r="A702" s="87"/>
      <x:c r="B702" s="88"/>
      <x:c r="D702" s="32"/>
      <x:c r="G702" s="74"/>
      <x:c r="H702" s="74"/>
      <x:c r="I702" s="74"/>
      <x:c r="J702" s="74"/>
      <x:c r="K702" s="74"/>
      <x:c r="L702" s="74"/>
      <x:c r="M702" s="91"/>
      <x:c r="N702" s="91"/>
      <x:c r="O702" s="85"/>
      <x:c r="Q702" s="86"/>
      <x:c r="R702" s="86"/>
      <x:c r="S702" s="32"/>
    </x:row>
    <x:row r="703">
      <x:c r="A703" s="87"/>
      <x:c r="B703" s="88"/>
      <x:c r="D703" s="32"/>
      <x:c r="G703" s="74"/>
      <x:c r="H703" s="74"/>
      <x:c r="I703" s="74"/>
      <x:c r="J703" s="74"/>
      <x:c r="K703" s="74"/>
      <x:c r="L703" s="74"/>
      <x:c r="M703" s="91"/>
      <x:c r="N703" s="91"/>
      <x:c r="O703" s="85"/>
      <x:c r="Q703" s="86"/>
      <x:c r="R703" s="86"/>
      <x:c r="S703" s="32"/>
    </x:row>
    <x:row r="704">
      <x:c r="A704" s="87"/>
      <x:c r="B704" s="88"/>
      <x:c r="D704" s="32"/>
      <x:c r="G704" s="74"/>
      <x:c r="H704" s="74"/>
      <x:c r="I704" s="74"/>
      <x:c r="J704" s="74"/>
      <x:c r="K704" s="74"/>
      <x:c r="L704" s="74"/>
      <x:c r="M704" s="91"/>
      <x:c r="N704" s="91"/>
      <x:c r="O704" s="85"/>
      <x:c r="Q704" s="86"/>
      <x:c r="R704" s="86"/>
      <x:c r="S704" s="32"/>
    </x:row>
    <x:row r="705">
      <x:c r="A705" s="87"/>
      <x:c r="B705" s="88"/>
      <x:c r="D705" s="32"/>
      <x:c r="G705" s="74"/>
      <x:c r="H705" s="74"/>
      <x:c r="I705" s="74"/>
      <x:c r="J705" s="74"/>
      <x:c r="K705" s="74"/>
      <x:c r="L705" s="74"/>
      <x:c r="M705" s="91"/>
      <x:c r="N705" s="91"/>
      <x:c r="O705" s="85"/>
      <x:c r="Q705" s="86"/>
      <x:c r="R705" s="86"/>
      <x:c r="S705" s="32"/>
    </x:row>
    <x:row r="706">
      <x:c r="A706" s="87"/>
      <x:c r="B706" s="88"/>
      <x:c r="D706" s="32"/>
      <x:c r="G706" s="74"/>
      <x:c r="H706" s="74"/>
      <x:c r="I706" s="74"/>
      <x:c r="J706" s="74"/>
      <x:c r="K706" s="74"/>
      <x:c r="L706" s="74"/>
      <x:c r="M706" s="91"/>
      <x:c r="N706" s="91"/>
      <x:c r="O706" s="85"/>
      <x:c r="Q706" s="86"/>
      <x:c r="R706" s="86"/>
      <x:c r="S706" s="32"/>
    </x:row>
    <x:row r="707">
      <x:c r="A707" s="87"/>
      <x:c r="B707" s="88"/>
      <x:c r="D707" s="32"/>
      <x:c r="G707" s="74"/>
      <x:c r="H707" s="74"/>
      <x:c r="I707" s="74"/>
      <x:c r="J707" s="74"/>
      <x:c r="K707" s="74"/>
      <x:c r="L707" s="74"/>
      <x:c r="M707" s="91"/>
      <x:c r="N707" s="91"/>
      <x:c r="O707" s="85"/>
      <x:c r="Q707" s="86"/>
      <x:c r="R707" s="86"/>
      <x:c r="S707" s="32"/>
    </x:row>
    <x:row r="708">
      <x:c r="A708" s="87"/>
      <x:c r="B708" s="88"/>
      <x:c r="D708" s="32"/>
      <x:c r="G708" s="74"/>
      <x:c r="H708" s="74"/>
      <x:c r="I708" s="74"/>
      <x:c r="J708" s="74"/>
      <x:c r="K708" s="74"/>
      <x:c r="L708" s="74"/>
      <x:c r="M708" s="91"/>
      <x:c r="N708" s="91"/>
      <x:c r="O708" s="85"/>
      <x:c r="Q708" s="86"/>
      <x:c r="R708" s="86"/>
      <x:c r="S708" s="32"/>
    </x:row>
    <x:row r="709">
      <x:c r="A709" s="87"/>
      <x:c r="B709" s="88"/>
      <x:c r="D709" s="32"/>
      <x:c r="G709" s="74"/>
      <x:c r="H709" s="74"/>
      <x:c r="I709" s="74"/>
      <x:c r="J709" s="74"/>
      <x:c r="K709" s="74"/>
      <x:c r="L709" s="74"/>
      <x:c r="M709" s="91"/>
      <x:c r="N709" s="91"/>
      <x:c r="O709" s="85"/>
      <x:c r="Q709" s="86"/>
      <x:c r="R709" s="86"/>
      <x:c r="S709" s="32"/>
    </x:row>
    <x:row r="710">
      <x:c r="A710" s="87"/>
      <x:c r="B710" s="88"/>
      <x:c r="D710" s="32"/>
      <x:c r="G710" s="74"/>
      <x:c r="H710" s="74"/>
      <x:c r="I710" s="74"/>
      <x:c r="J710" s="74"/>
      <x:c r="K710" s="74"/>
      <x:c r="L710" s="74"/>
      <x:c r="M710" s="91"/>
      <x:c r="N710" s="91"/>
      <x:c r="O710" s="85"/>
      <x:c r="Q710" s="86"/>
      <x:c r="R710" s="86"/>
      <x:c r="S710" s="32"/>
    </x:row>
    <x:row r="711">
      <x:c r="A711" s="87"/>
      <x:c r="B711" s="88"/>
      <x:c r="D711" s="32"/>
      <x:c r="G711" s="74"/>
      <x:c r="H711" s="74"/>
      <x:c r="I711" s="74"/>
      <x:c r="J711" s="74"/>
      <x:c r="K711" s="74"/>
      <x:c r="L711" s="74"/>
      <x:c r="M711" s="91"/>
      <x:c r="N711" s="91"/>
      <x:c r="O711" s="85"/>
      <x:c r="Q711" s="86"/>
      <x:c r="R711" s="86"/>
      <x:c r="S711" s="32"/>
    </x:row>
    <x:row r="712">
      <x:c r="A712" s="87"/>
      <x:c r="B712" s="88"/>
      <x:c r="D712" s="32"/>
      <x:c r="G712" s="74"/>
      <x:c r="H712" s="74"/>
      <x:c r="I712" s="74"/>
      <x:c r="J712" s="74"/>
      <x:c r="K712" s="74"/>
      <x:c r="L712" s="74"/>
      <x:c r="M712" s="91"/>
      <x:c r="N712" s="91"/>
      <x:c r="O712" s="85"/>
      <x:c r="Q712" s="86"/>
      <x:c r="R712" s="86"/>
      <x:c r="S712" s="32"/>
    </x:row>
    <x:row r="713">
      <x:c r="A713" s="87"/>
      <x:c r="B713" s="88"/>
      <x:c r="D713" s="32"/>
      <x:c r="G713" s="74"/>
      <x:c r="H713" s="74"/>
      <x:c r="I713" s="74"/>
      <x:c r="J713" s="74"/>
      <x:c r="K713" s="74"/>
      <x:c r="L713" s="74"/>
      <x:c r="M713" s="91"/>
      <x:c r="N713" s="91"/>
      <x:c r="O713" s="85"/>
      <x:c r="Q713" s="86"/>
      <x:c r="R713" s="86"/>
      <x:c r="S713" s="32"/>
    </x:row>
    <x:row r="714">
      <x:c r="A714" s="87"/>
      <x:c r="B714" s="88"/>
      <x:c r="D714" s="32"/>
      <x:c r="G714" s="74"/>
      <x:c r="H714" s="74"/>
      <x:c r="I714" s="74"/>
      <x:c r="J714" s="74"/>
      <x:c r="K714" s="74"/>
      <x:c r="L714" s="74"/>
      <x:c r="M714" s="91"/>
      <x:c r="N714" s="91"/>
      <x:c r="O714" s="85"/>
      <x:c r="Q714" s="86"/>
      <x:c r="R714" s="86"/>
      <x:c r="S714" s="32"/>
    </x:row>
    <x:row r="715">
      <x:c r="A715" s="87"/>
      <x:c r="B715" s="88"/>
      <x:c r="D715" s="32"/>
      <x:c r="G715" s="74"/>
      <x:c r="H715" s="74"/>
      <x:c r="I715" s="74"/>
      <x:c r="J715" s="74"/>
      <x:c r="K715" s="74"/>
      <x:c r="L715" s="74"/>
      <x:c r="M715" s="91"/>
      <x:c r="N715" s="91"/>
      <x:c r="O715" s="85"/>
      <x:c r="Q715" s="86"/>
      <x:c r="R715" s="86"/>
      <x:c r="S715" s="32"/>
    </x:row>
    <x:row r="716">
      <x:c r="A716" s="87"/>
      <x:c r="B716" s="88"/>
      <x:c r="D716" s="32"/>
      <x:c r="G716" s="74"/>
      <x:c r="H716" s="74"/>
      <x:c r="I716" s="74"/>
      <x:c r="J716" s="74"/>
      <x:c r="K716" s="74"/>
      <x:c r="L716" s="74"/>
      <x:c r="M716" s="91"/>
      <x:c r="N716" s="91"/>
      <x:c r="O716" s="85"/>
      <x:c r="Q716" s="86"/>
      <x:c r="R716" s="86"/>
      <x:c r="S716" s="32"/>
    </x:row>
    <x:row r="717">
      <x:c r="A717" s="87"/>
      <x:c r="B717" s="88"/>
      <x:c r="D717" s="32"/>
      <x:c r="G717" s="74"/>
      <x:c r="H717" s="74"/>
      <x:c r="I717" s="74"/>
      <x:c r="J717" s="74"/>
      <x:c r="K717" s="74"/>
      <x:c r="L717" s="74"/>
      <x:c r="M717" s="91"/>
      <x:c r="N717" s="91"/>
      <x:c r="O717" s="85"/>
      <x:c r="Q717" s="86"/>
      <x:c r="R717" s="86"/>
      <x:c r="S717" s="32"/>
    </x:row>
    <x:row r="718">
      <x:c r="A718" s="87"/>
      <x:c r="B718" s="88"/>
      <x:c r="D718" s="32"/>
      <x:c r="G718" s="74"/>
      <x:c r="H718" s="74"/>
      <x:c r="I718" s="74"/>
      <x:c r="J718" s="74"/>
      <x:c r="K718" s="74"/>
      <x:c r="L718" s="74"/>
      <x:c r="M718" s="91"/>
      <x:c r="N718" s="91"/>
      <x:c r="O718" s="85"/>
      <x:c r="Q718" s="86"/>
      <x:c r="R718" s="86"/>
      <x:c r="S718" s="32"/>
    </x:row>
    <x:row r="719">
      <x:c r="A719" s="87"/>
      <x:c r="B719" s="88"/>
      <x:c r="D719" s="32"/>
      <x:c r="G719" s="74"/>
      <x:c r="H719" s="74"/>
      <x:c r="I719" s="74"/>
      <x:c r="J719" s="74"/>
      <x:c r="K719" s="74"/>
      <x:c r="L719" s="74"/>
      <x:c r="M719" s="91"/>
      <x:c r="N719" s="91"/>
      <x:c r="O719" s="85"/>
      <x:c r="Q719" s="86"/>
      <x:c r="R719" s="86"/>
      <x:c r="S719" s="32"/>
    </x:row>
    <x:row r="720">
      <x:c r="A720" s="87"/>
      <x:c r="B720" s="88"/>
      <x:c r="D720" s="32"/>
      <x:c r="G720" s="74"/>
      <x:c r="H720" s="74"/>
      <x:c r="I720" s="74"/>
      <x:c r="J720" s="74"/>
      <x:c r="K720" s="74"/>
      <x:c r="L720" s="74"/>
      <x:c r="M720" s="91"/>
      <x:c r="N720" s="91"/>
      <x:c r="O720" s="85"/>
      <x:c r="Q720" s="86"/>
      <x:c r="R720" s="86"/>
      <x:c r="S720" s="32"/>
    </x:row>
    <x:row r="721">
      <x:c r="A721" s="87"/>
      <x:c r="B721" s="88"/>
      <x:c r="D721" s="32"/>
      <x:c r="G721" s="74"/>
      <x:c r="H721" s="74"/>
      <x:c r="I721" s="74"/>
      <x:c r="J721" s="74"/>
      <x:c r="K721" s="74"/>
      <x:c r="L721" s="74"/>
      <x:c r="M721" s="91"/>
      <x:c r="N721" s="91"/>
      <x:c r="O721" s="85"/>
      <x:c r="Q721" s="86"/>
      <x:c r="R721" s="86"/>
      <x:c r="S721" s="32"/>
    </x:row>
    <x:row r="722">
      <x:c r="A722" s="87"/>
      <x:c r="B722" s="88"/>
      <x:c r="D722" s="32"/>
      <x:c r="G722" s="74"/>
      <x:c r="H722" s="74"/>
      <x:c r="I722" s="74"/>
      <x:c r="J722" s="74"/>
      <x:c r="K722" s="74"/>
      <x:c r="L722" s="74"/>
      <x:c r="M722" s="91"/>
      <x:c r="N722" s="91"/>
      <x:c r="O722" s="85"/>
      <x:c r="Q722" s="86"/>
      <x:c r="R722" s="86"/>
      <x:c r="S722" s="32"/>
    </x:row>
    <x:row r="723">
      <x:c r="A723" s="87"/>
      <x:c r="B723" s="88"/>
      <x:c r="D723" s="32"/>
      <x:c r="G723" s="74"/>
      <x:c r="H723" s="74"/>
      <x:c r="I723" s="74"/>
      <x:c r="J723" s="74"/>
      <x:c r="K723" s="74"/>
      <x:c r="L723" s="74"/>
      <x:c r="M723" s="91"/>
      <x:c r="N723" s="91"/>
      <x:c r="O723" s="85"/>
      <x:c r="Q723" s="86"/>
      <x:c r="R723" s="86"/>
      <x:c r="S723" s="32"/>
    </x:row>
    <x:row r="724">
      <x:c r="A724" s="87"/>
      <x:c r="B724" s="88"/>
      <x:c r="D724" s="32"/>
      <x:c r="G724" s="74"/>
      <x:c r="H724" s="74"/>
      <x:c r="I724" s="74"/>
      <x:c r="J724" s="74"/>
      <x:c r="K724" s="74"/>
      <x:c r="L724" s="74"/>
      <x:c r="M724" s="91"/>
      <x:c r="N724" s="91"/>
      <x:c r="O724" s="85"/>
      <x:c r="Q724" s="86"/>
      <x:c r="R724" s="86"/>
      <x:c r="S724" s="32"/>
    </x:row>
    <x:row r="725">
      <x:c r="A725" s="87"/>
      <x:c r="B725" s="88"/>
      <x:c r="D725" s="32"/>
      <x:c r="G725" s="74"/>
      <x:c r="H725" s="74"/>
      <x:c r="I725" s="74"/>
      <x:c r="J725" s="74"/>
      <x:c r="K725" s="74"/>
      <x:c r="L725" s="74"/>
      <x:c r="M725" s="91"/>
      <x:c r="N725" s="91"/>
      <x:c r="O725" s="85"/>
      <x:c r="Q725" s="86"/>
      <x:c r="R725" s="86"/>
      <x:c r="S725" s="32"/>
    </x:row>
    <x:row r="726">
      <x:c r="A726" s="87"/>
      <x:c r="B726" s="88"/>
      <x:c r="D726" s="32"/>
      <x:c r="G726" s="74"/>
      <x:c r="H726" s="74"/>
      <x:c r="I726" s="74"/>
      <x:c r="J726" s="74"/>
      <x:c r="K726" s="74"/>
      <x:c r="L726" s="74"/>
      <x:c r="M726" s="91"/>
      <x:c r="N726" s="91"/>
      <x:c r="O726" s="85"/>
      <x:c r="Q726" s="86"/>
      <x:c r="R726" s="86"/>
      <x:c r="S726" s="32"/>
    </x:row>
    <x:row r="727">
      <x:c r="A727" s="87"/>
      <x:c r="B727" s="88"/>
      <x:c r="D727" s="32"/>
      <x:c r="G727" s="74"/>
      <x:c r="H727" s="74"/>
      <x:c r="I727" s="74"/>
      <x:c r="J727" s="74"/>
      <x:c r="K727" s="74"/>
      <x:c r="L727" s="74"/>
      <x:c r="M727" s="91"/>
      <x:c r="N727" s="91"/>
      <x:c r="O727" s="85"/>
      <x:c r="Q727" s="86"/>
      <x:c r="R727" s="86"/>
      <x:c r="S727" s="32"/>
    </x:row>
    <x:row r="728">
      <x:c r="A728" s="87"/>
      <x:c r="B728" s="88"/>
      <x:c r="D728" s="32"/>
      <x:c r="G728" s="74"/>
      <x:c r="H728" s="74"/>
      <x:c r="I728" s="74"/>
      <x:c r="J728" s="74"/>
      <x:c r="K728" s="74"/>
      <x:c r="L728" s="74"/>
      <x:c r="M728" s="91"/>
      <x:c r="N728" s="91"/>
      <x:c r="O728" s="85"/>
      <x:c r="Q728" s="86"/>
      <x:c r="R728" s="86"/>
      <x:c r="S728" s="32"/>
    </x:row>
    <x:row r="729">
      <x:c r="A729" s="87"/>
      <x:c r="B729" s="88"/>
      <x:c r="D729" s="32"/>
      <x:c r="G729" s="74"/>
      <x:c r="H729" s="74"/>
      <x:c r="I729" s="74"/>
      <x:c r="J729" s="74"/>
      <x:c r="K729" s="74"/>
      <x:c r="L729" s="74"/>
      <x:c r="M729" s="91"/>
      <x:c r="N729" s="91"/>
      <x:c r="O729" s="85"/>
      <x:c r="Q729" s="86"/>
      <x:c r="R729" s="86"/>
      <x:c r="S729" s="32"/>
    </x:row>
    <x:row r="730">
      <x:c r="A730" s="87"/>
      <x:c r="B730" s="88"/>
      <x:c r="D730" s="32"/>
      <x:c r="G730" s="74"/>
      <x:c r="H730" s="74"/>
      <x:c r="I730" s="74"/>
      <x:c r="J730" s="74"/>
      <x:c r="K730" s="74"/>
      <x:c r="L730" s="74"/>
      <x:c r="M730" s="91"/>
      <x:c r="N730" s="91"/>
      <x:c r="O730" s="85"/>
      <x:c r="Q730" s="86"/>
      <x:c r="R730" s="86"/>
      <x:c r="S730" s="32"/>
    </x:row>
    <x:row r="731">
      <x:c r="A731" s="87"/>
      <x:c r="B731" s="88"/>
      <x:c r="D731" s="32"/>
      <x:c r="G731" s="74"/>
      <x:c r="H731" s="74"/>
      <x:c r="I731" s="74"/>
      <x:c r="J731" s="74"/>
      <x:c r="K731" s="74"/>
      <x:c r="L731" s="74"/>
      <x:c r="M731" s="91"/>
      <x:c r="N731" s="91"/>
      <x:c r="O731" s="85"/>
      <x:c r="Q731" s="86"/>
      <x:c r="R731" s="86"/>
      <x:c r="S731" s="32"/>
    </x:row>
    <x:row r="732">
      <x:c r="A732" s="87"/>
      <x:c r="B732" s="88"/>
      <x:c r="D732" s="32"/>
      <x:c r="G732" s="74"/>
      <x:c r="H732" s="74"/>
      <x:c r="I732" s="74"/>
      <x:c r="J732" s="74"/>
      <x:c r="K732" s="74"/>
      <x:c r="L732" s="74"/>
      <x:c r="M732" s="91"/>
      <x:c r="N732" s="91"/>
      <x:c r="O732" s="85"/>
      <x:c r="Q732" s="86"/>
      <x:c r="R732" s="86"/>
      <x:c r="S732" s="32"/>
    </x:row>
    <x:row r="733">
      <x:c r="A733" s="87"/>
      <x:c r="B733" s="88"/>
      <x:c r="D733" s="32"/>
      <x:c r="G733" s="74"/>
      <x:c r="H733" s="74"/>
      <x:c r="I733" s="74"/>
      <x:c r="J733" s="74"/>
      <x:c r="K733" s="74"/>
      <x:c r="L733" s="74"/>
      <x:c r="M733" s="91"/>
      <x:c r="N733" s="91"/>
      <x:c r="O733" s="85"/>
      <x:c r="Q733" s="86"/>
      <x:c r="R733" s="86"/>
      <x:c r="S733" s="32"/>
    </x:row>
    <x:row r="734">
      <x:c r="A734" s="87"/>
      <x:c r="B734" s="88"/>
      <x:c r="D734" s="32"/>
      <x:c r="G734" s="74"/>
      <x:c r="H734" s="74"/>
      <x:c r="I734" s="74"/>
      <x:c r="J734" s="74"/>
      <x:c r="K734" s="74"/>
      <x:c r="L734" s="74"/>
      <x:c r="M734" s="91"/>
      <x:c r="N734" s="91"/>
      <x:c r="O734" s="85"/>
      <x:c r="Q734" s="86"/>
      <x:c r="R734" s="86"/>
      <x:c r="S734" s="32"/>
    </x:row>
    <x:row r="735">
      <x:c r="A735" s="87"/>
      <x:c r="B735" s="88"/>
      <x:c r="D735" s="32"/>
      <x:c r="G735" s="74"/>
      <x:c r="H735" s="74"/>
      <x:c r="I735" s="74"/>
      <x:c r="J735" s="74"/>
      <x:c r="K735" s="74"/>
      <x:c r="L735" s="74"/>
      <x:c r="M735" s="91"/>
      <x:c r="N735" s="91"/>
      <x:c r="O735" s="85"/>
      <x:c r="Q735" s="86"/>
      <x:c r="R735" s="86"/>
      <x:c r="S735" s="32"/>
    </x:row>
    <x:row r="736">
      <x:c r="A736" s="87"/>
      <x:c r="B736" s="88"/>
      <x:c r="D736" s="32"/>
      <x:c r="G736" s="74"/>
      <x:c r="H736" s="74"/>
      <x:c r="I736" s="74"/>
      <x:c r="J736" s="74"/>
      <x:c r="K736" s="74"/>
      <x:c r="L736" s="74"/>
      <x:c r="M736" s="91"/>
      <x:c r="N736" s="91"/>
      <x:c r="O736" s="85"/>
      <x:c r="Q736" s="86"/>
      <x:c r="R736" s="86"/>
      <x:c r="S736" s="32"/>
    </x:row>
    <x:row r="737">
      <x:c r="A737" s="87"/>
      <x:c r="B737" s="88"/>
      <x:c r="D737" s="32"/>
      <x:c r="G737" s="74"/>
      <x:c r="H737" s="74"/>
      <x:c r="I737" s="74"/>
      <x:c r="J737" s="74"/>
      <x:c r="K737" s="74"/>
      <x:c r="L737" s="74"/>
      <x:c r="M737" s="91"/>
      <x:c r="N737" s="91"/>
      <x:c r="O737" s="85"/>
      <x:c r="Q737" s="86"/>
      <x:c r="R737" s="86"/>
      <x:c r="S737" s="32"/>
    </x:row>
    <x:row r="738">
      <x:c r="A738" s="87"/>
      <x:c r="B738" s="88"/>
      <x:c r="D738" s="32"/>
      <x:c r="G738" s="74"/>
      <x:c r="H738" s="74"/>
      <x:c r="I738" s="74"/>
      <x:c r="J738" s="74"/>
      <x:c r="K738" s="74"/>
      <x:c r="L738" s="74"/>
      <x:c r="M738" s="91"/>
      <x:c r="N738" s="91"/>
      <x:c r="O738" s="85"/>
      <x:c r="Q738" s="86"/>
      <x:c r="R738" s="86"/>
      <x:c r="S738" s="32"/>
    </x:row>
    <x:row r="739">
      <x:c r="A739" s="87"/>
      <x:c r="B739" s="88"/>
      <x:c r="D739" s="32"/>
      <x:c r="G739" s="74"/>
      <x:c r="H739" s="74"/>
      <x:c r="I739" s="74"/>
      <x:c r="J739" s="74"/>
      <x:c r="K739" s="74"/>
      <x:c r="L739" s="74"/>
      <x:c r="M739" s="91"/>
      <x:c r="N739" s="91"/>
      <x:c r="O739" s="85"/>
      <x:c r="Q739" s="86"/>
      <x:c r="R739" s="86"/>
      <x:c r="S739" s="32"/>
    </x:row>
    <x:row r="740">
      <x:c r="A740" s="87"/>
      <x:c r="B740" s="88"/>
      <x:c r="D740" s="32"/>
      <x:c r="G740" s="74"/>
      <x:c r="H740" s="74"/>
      <x:c r="I740" s="74"/>
      <x:c r="J740" s="74"/>
      <x:c r="K740" s="74"/>
      <x:c r="L740" s="74"/>
      <x:c r="M740" s="91"/>
      <x:c r="N740" s="91"/>
      <x:c r="O740" s="85"/>
      <x:c r="Q740" s="86"/>
      <x:c r="R740" s="86"/>
      <x:c r="S740" s="32"/>
    </x:row>
    <x:row r="741">
      <x:c r="A741" s="87"/>
      <x:c r="B741" s="88"/>
      <x:c r="D741" s="32"/>
      <x:c r="G741" s="74"/>
      <x:c r="H741" s="74"/>
      <x:c r="I741" s="74"/>
      <x:c r="J741" s="74"/>
      <x:c r="K741" s="74"/>
      <x:c r="L741" s="74"/>
      <x:c r="M741" s="91"/>
      <x:c r="N741" s="91"/>
      <x:c r="O741" s="85"/>
      <x:c r="Q741" s="86"/>
      <x:c r="R741" s="86"/>
      <x:c r="S741" s="32"/>
    </x:row>
    <x:row r="742">
      <x:c r="A742" s="87"/>
      <x:c r="B742" s="88"/>
      <x:c r="D742" s="32"/>
      <x:c r="G742" s="74"/>
      <x:c r="H742" s="74"/>
      <x:c r="I742" s="74"/>
      <x:c r="J742" s="74"/>
      <x:c r="K742" s="74"/>
      <x:c r="L742" s="74"/>
      <x:c r="M742" s="91"/>
      <x:c r="N742" s="91"/>
      <x:c r="O742" s="85"/>
      <x:c r="Q742" s="86"/>
      <x:c r="R742" s="86"/>
      <x:c r="S742" s="32"/>
    </x:row>
    <x:row r="743">
      <x:c r="A743" s="87"/>
      <x:c r="B743" s="88"/>
      <x:c r="D743" s="32"/>
      <x:c r="G743" s="74"/>
      <x:c r="H743" s="74"/>
      <x:c r="I743" s="74"/>
      <x:c r="J743" s="74"/>
      <x:c r="K743" s="74"/>
      <x:c r="L743" s="74"/>
      <x:c r="M743" s="91"/>
      <x:c r="N743" s="91"/>
      <x:c r="O743" s="85"/>
      <x:c r="Q743" s="86"/>
      <x:c r="R743" s="86"/>
      <x:c r="S743" s="32"/>
    </x:row>
    <x:row r="744">
      <x:c r="A744" s="87"/>
      <x:c r="B744" s="88"/>
      <x:c r="D744" s="32"/>
      <x:c r="G744" s="74"/>
      <x:c r="H744" s="74"/>
      <x:c r="I744" s="74"/>
      <x:c r="J744" s="74"/>
      <x:c r="K744" s="74"/>
      <x:c r="L744" s="74"/>
      <x:c r="M744" s="91"/>
      <x:c r="N744" s="91"/>
      <x:c r="O744" s="85"/>
      <x:c r="Q744" s="86"/>
      <x:c r="R744" s="86"/>
      <x:c r="S744" s="32"/>
    </x:row>
    <x:row r="745">
      <x:c r="A745" s="87"/>
      <x:c r="B745" s="88"/>
      <x:c r="D745" s="32"/>
      <x:c r="G745" s="74"/>
      <x:c r="H745" s="74"/>
      <x:c r="I745" s="74"/>
      <x:c r="J745" s="74"/>
      <x:c r="K745" s="74"/>
      <x:c r="L745" s="74"/>
      <x:c r="M745" s="91"/>
      <x:c r="N745" s="91"/>
      <x:c r="O745" s="85"/>
      <x:c r="Q745" s="86"/>
      <x:c r="R745" s="86"/>
      <x:c r="S745" s="32"/>
    </x:row>
    <x:row r="746">
      <x:c r="A746" s="87"/>
      <x:c r="B746" s="88"/>
      <x:c r="D746" s="32"/>
      <x:c r="G746" s="74"/>
      <x:c r="H746" s="74"/>
      <x:c r="I746" s="74"/>
      <x:c r="J746" s="74"/>
      <x:c r="K746" s="74"/>
      <x:c r="L746" s="74"/>
      <x:c r="M746" s="91"/>
      <x:c r="N746" s="91"/>
      <x:c r="O746" s="85"/>
      <x:c r="Q746" s="86"/>
      <x:c r="R746" s="86"/>
      <x:c r="S746" s="32"/>
    </x:row>
    <x:row r="747">
      <x:c r="A747" s="87"/>
      <x:c r="B747" s="88"/>
      <x:c r="D747" s="32"/>
      <x:c r="G747" s="74"/>
      <x:c r="H747" s="74"/>
      <x:c r="I747" s="74"/>
      <x:c r="J747" s="74"/>
      <x:c r="K747" s="74"/>
      <x:c r="L747" s="74"/>
      <x:c r="M747" s="91"/>
      <x:c r="N747" s="91"/>
      <x:c r="O747" s="85"/>
      <x:c r="Q747" s="86"/>
      <x:c r="R747" s="86"/>
      <x:c r="S747" s="32"/>
    </x:row>
    <x:row r="748">
      <x:c r="A748" s="87"/>
      <x:c r="B748" s="88"/>
      <x:c r="D748" s="32"/>
      <x:c r="G748" s="74"/>
      <x:c r="H748" s="74"/>
      <x:c r="I748" s="74"/>
      <x:c r="J748" s="74"/>
      <x:c r="K748" s="74"/>
      <x:c r="L748" s="74"/>
      <x:c r="M748" s="91"/>
      <x:c r="N748" s="91"/>
      <x:c r="O748" s="85"/>
      <x:c r="Q748" s="86"/>
      <x:c r="R748" s="86"/>
      <x:c r="S748" s="32"/>
    </x:row>
    <x:row r="749">
      <x:c r="A749" s="87"/>
      <x:c r="B749" s="88"/>
      <x:c r="D749" s="32"/>
      <x:c r="G749" s="74"/>
      <x:c r="H749" s="74"/>
      <x:c r="I749" s="74"/>
      <x:c r="J749" s="74"/>
      <x:c r="K749" s="74"/>
      <x:c r="L749" s="74"/>
      <x:c r="M749" s="91"/>
      <x:c r="N749" s="91"/>
      <x:c r="O749" s="85"/>
      <x:c r="Q749" s="86"/>
      <x:c r="R749" s="86"/>
      <x:c r="S749" s="32"/>
    </x:row>
    <x:row r="750">
      <x:c r="A750" s="87"/>
      <x:c r="B750" s="88"/>
      <x:c r="D750" s="32"/>
      <x:c r="G750" s="74"/>
      <x:c r="H750" s="74"/>
      <x:c r="I750" s="74"/>
      <x:c r="J750" s="74"/>
      <x:c r="K750" s="74"/>
      <x:c r="L750" s="74"/>
      <x:c r="M750" s="91"/>
      <x:c r="N750" s="91"/>
      <x:c r="O750" s="85"/>
      <x:c r="Q750" s="86"/>
      <x:c r="R750" s="86"/>
      <x:c r="S750" s="32"/>
    </x:row>
    <x:row r="751">
      <x:c r="A751" s="87"/>
      <x:c r="B751" s="88"/>
      <x:c r="D751" s="32"/>
      <x:c r="G751" s="74"/>
      <x:c r="H751" s="74"/>
      <x:c r="I751" s="74"/>
      <x:c r="J751" s="74"/>
      <x:c r="K751" s="74"/>
      <x:c r="L751" s="74"/>
      <x:c r="M751" s="91"/>
      <x:c r="N751" s="91"/>
      <x:c r="O751" s="85"/>
      <x:c r="Q751" s="86"/>
      <x:c r="R751" s="86"/>
      <x:c r="S751" s="32"/>
    </x:row>
    <x:row r="752">
      <x:c r="A752" s="87"/>
      <x:c r="B752" s="88"/>
      <x:c r="D752" s="32"/>
      <x:c r="G752" s="74"/>
      <x:c r="H752" s="74"/>
      <x:c r="I752" s="74"/>
      <x:c r="J752" s="74"/>
      <x:c r="K752" s="74"/>
      <x:c r="L752" s="74"/>
      <x:c r="M752" s="91"/>
      <x:c r="N752" s="91"/>
      <x:c r="O752" s="85"/>
      <x:c r="Q752" s="86"/>
      <x:c r="R752" s="86"/>
      <x:c r="S752" s="32"/>
    </x:row>
    <x:row r="753">
      <x:c r="A753" s="87"/>
      <x:c r="B753" s="88"/>
      <x:c r="D753" s="32"/>
      <x:c r="G753" s="74"/>
      <x:c r="H753" s="74"/>
      <x:c r="I753" s="74"/>
      <x:c r="J753" s="74"/>
      <x:c r="K753" s="74"/>
      <x:c r="L753" s="74"/>
      <x:c r="M753" s="91"/>
      <x:c r="N753" s="91"/>
      <x:c r="O753" s="85"/>
      <x:c r="Q753" s="86"/>
      <x:c r="R753" s="86"/>
      <x:c r="S753" s="32"/>
    </x:row>
    <x:row r="754">
      <x:c r="A754" s="87"/>
      <x:c r="B754" s="88"/>
      <x:c r="D754" s="32"/>
      <x:c r="G754" s="74"/>
      <x:c r="H754" s="74"/>
      <x:c r="I754" s="74"/>
      <x:c r="J754" s="74"/>
      <x:c r="K754" s="74"/>
      <x:c r="L754" s="74"/>
      <x:c r="M754" s="91"/>
      <x:c r="N754" s="91"/>
      <x:c r="O754" s="85"/>
      <x:c r="Q754" s="86"/>
      <x:c r="R754" s="86"/>
      <x:c r="S754" s="32"/>
    </x:row>
    <x:row r="755">
      <x:c r="A755" s="87"/>
      <x:c r="B755" s="88"/>
      <x:c r="D755" s="32"/>
      <x:c r="G755" s="74"/>
      <x:c r="H755" s="74"/>
      <x:c r="I755" s="74"/>
      <x:c r="J755" s="74"/>
      <x:c r="K755" s="74"/>
      <x:c r="L755" s="74"/>
      <x:c r="M755" s="91"/>
      <x:c r="N755" s="91"/>
      <x:c r="O755" s="85"/>
      <x:c r="Q755" s="86"/>
      <x:c r="R755" s="86"/>
      <x:c r="S755" s="32"/>
    </x:row>
    <x:row r="756">
      <x:c r="A756" s="87"/>
      <x:c r="B756" s="88"/>
      <x:c r="D756" s="32"/>
      <x:c r="G756" s="74"/>
      <x:c r="H756" s="74"/>
      <x:c r="I756" s="74"/>
      <x:c r="J756" s="74"/>
      <x:c r="K756" s="74"/>
      <x:c r="L756" s="74"/>
      <x:c r="M756" s="91"/>
      <x:c r="N756" s="91"/>
      <x:c r="O756" s="85"/>
      <x:c r="Q756" s="86"/>
      <x:c r="R756" s="86"/>
      <x:c r="S756" s="32"/>
    </x:row>
    <x:row r="757">
      <x:c r="A757" s="87"/>
      <x:c r="B757" s="88"/>
      <x:c r="D757" s="32"/>
      <x:c r="G757" s="74"/>
      <x:c r="H757" s="74"/>
      <x:c r="I757" s="74"/>
      <x:c r="J757" s="74"/>
      <x:c r="K757" s="74"/>
      <x:c r="L757" s="74"/>
      <x:c r="M757" s="91"/>
      <x:c r="N757" s="91"/>
      <x:c r="O757" s="85"/>
      <x:c r="Q757" s="86"/>
      <x:c r="R757" s="86"/>
      <x:c r="S757" s="32"/>
    </x:row>
    <x:row r="758">
      <x:c r="A758" s="87"/>
      <x:c r="B758" s="88"/>
      <x:c r="D758" s="32"/>
      <x:c r="G758" s="74"/>
      <x:c r="H758" s="74"/>
      <x:c r="I758" s="74"/>
      <x:c r="J758" s="74"/>
      <x:c r="K758" s="74"/>
      <x:c r="L758" s="74"/>
      <x:c r="M758" s="91"/>
      <x:c r="N758" s="91"/>
      <x:c r="O758" s="85"/>
      <x:c r="Q758" s="86"/>
      <x:c r="R758" s="86"/>
      <x:c r="S758" s="32"/>
    </x:row>
    <x:row r="759">
      <x:c r="A759" s="87"/>
      <x:c r="B759" s="88"/>
      <x:c r="D759" s="32"/>
      <x:c r="G759" s="74"/>
      <x:c r="H759" s="74"/>
      <x:c r="I759" s="74"/>
      <x:c r="J759" s="74"/>
      <x:c r="K759" s="74"/>
      <x:c r="L759" s="74"/>
      <x:c r="M759" s="91"/>
      <x:c r="N759" s="91"/>
      <x:c r="O759" s="85"/>
      <x:c r="Q759" s="86"/>
      <x:c r="R759" s="86"/>
      <x:c r="S759" s="32"/>
    </x:row>
    <x:row r="760">
      <x:c r="A760" s="87"/>
      <x:c r="B760" s="88"/>
      <x:c r="D760" s="32"/>
      <x:c r="G760" s="74"/>
      <x:c r="H760" s="74"/>
      <x:c r="I760" s="74"/>
      <x:c r="J760" s="74"/>
      <x:c r="K760" s="74"/>
      <x:c r="L760" s="74"/>
      <x:c r="M760" s="91"/>
      <x:c r="N760" s="91"/>
      <x:c r="O760" s="85"/>
      <x:c r="Q760" s="86"/>
      <x:c r="R760" s="86"/>
      <x:c r="S760" s="32"/>
    </x:row>
    <x:row r="761">
      <x:c r="A761" s="87"/>
      <x:c r="B761" s="88"/>
      <x:c r="D761" s="32"/>
      <x:c r="G761" s="74"/>
      <x:c r="H761" s="74"/>
      <x:c r="I761" s="74"/>
      <x:c r="J761" s="74"/>
      <x:c r="K761" s="74"/>
      <x:c r="L761" s="74"/>
      <x:c r="M761" s="91"/>
      <x:c r="N761" s="91"/>
      <x:c r="O761" s="85"/>
      <x:c r="Q761" s="86"/>
      <x:c r="R761" s="86"/>
      <x:c r="S761" s="32"/>
    </x:row>
    <x:row r="762">
      <x:c r="A762" s="87"/>
      <x:c r="B762" s="88"/>
      <x:c r="D762" s="32"/>
      <x:c r="G762" s="74"/>
      <x:c r="H762" s="74"/>
      <x:c r="I762" s="74"/>
      <x:c r="J762" s="74"/>
      <x:c r="K762" s="74"/>
      <x:c r="L762" s="74"/>
      <x:c r="M762" s="91"/>
      <x:c r="N762" s="91"/>
      <x:c r="O762" s="85"/>
      <x:c r="Q762" s="86"/>
      <x:c r="R762" s="86"/>
      <x:c r="S762" s="32"/>
    </x:row>
    <x:row r="763">
      <x:c r="A763" s="87"/>
      <x:c r="B763" s="88"/>
      <x:c r="D763" s="32"/>
      <x:c r="G763" s="74"/>
      <x:c r="H763" s="74"/>
      <x:c r="I763" s="74"/>
      <x:c r="J763" s="74"/>
      <x:c r="K763" s="74"/>
      <x:c r="L763" s="74"/>
      <x:c r="M763" s="91"/>
      <x:c r="N763" s="91"/>
      <x:c r="O763" s="85"/>
      <x:c r="Q763" s="86"/>
      <x:c r="R763" s="86"/>
      <x:c r="S763" s="32"/>
    </x:row>
    <x:row r="764">
      <x:c r="A764" s="87"/>
      <x:c r="B764" s="88"/>
      <x:c r="D764" s="32"/>
      <x:c r="G764" s="74"/>
      <x:c r="H764" s="74"/>
      <x:c r="I764" s="74"/>
      <x:c r="J764" s="74"/>
      <x:c r="K764" s="74"/>
      <x:c r="L764" s="74"/>
      <x:c r="M764" s="91"/>
      <x:c r="N764" s="91"/>
      <x:c r="O764" s="85"/>
      <x:c r="Q764" s="86"/>
      <x:c r="R764" s="86"/>
      <x:c r="S764" s="32"/>
    </x:row>
    <x:row r="765">
      <x:c r="A765" s="87"/>
      <x:c r="B765" s="88"/>
      <x:c r="D765" s="32"/>
      <x:c r="G765" s="74"/>
      <x:c r="H765" s="74"/>
      <x:c r="I765" s="74"/>
      <x:c r="J765" s="74"/>
      <x:c r="K765" s="74"/>
      <x:c r="L765" s="74"/>
      <x:c r="M765" s="91"/>
      <x:c r="N765" s="91"/>
      <x:c r="O765" s="85"/>
      <x:c r="Q765" s="86"/>
      <x:c r="R765" s="86"/>
      <x:c r="S765" s="32"/>
    </x:row>
    <x:row r="766">
      <x:c r="A766" s="87"/>
      <x:c r="B766" s="88"/>
      <x:c r="D766" s="32"/>
      <x:c r="G766" s="74"/>
      <x:c r="H766" s="74"/>
      <x:c r="I766" s="74"/>
      <x:c r="J766" s="74"/>
      <x:c r="K766" s="74"/>
      <x:c r="L766" s="74"/>
      <x:c r="M766" s="91"/>
      <x:c r="N766" s="91"/>
      <x:c r="O766" s="85"/>
      <x:c r="Q766" s="86"/>
      <x:c r="R766" s="86"/>
      <x:c r="S766" s="32"/>
    </x:row>
    <x:row r="767">
      <x:c r="A767" s="87"/>
      <x:c r="B767" s="88"/>
      <x:c r="D767" s="32"/>
      <x:c r="G767" s="74"/>
      <x:c r="H767" s="74"/>
      <x:c r="I767" s="74"/>
      <x:c r="J767" s="74"/>
      <x:c r="K767" s="74"/>
      <x:c r="L767" s="74"/>
      <x:c r="M767" s="91"/>
      <x:c r="N767" s="91"/>
      <x:c r="O767" s="85"/>
      <x:c r="Q767" s="86"/>
      <x:c r="R767" s="86"/>
      <x:c r="S767" s="32"/>
    </x:row>
    <x:row r="768">
      <x:c r="A768" s="87"/>
      <x:c r="B768" s="88"/>
      <x:c r="D768" s="32"/>
      <x:c r="G768" s="74"/>
      <x:c r="H768" s="74"/>
      <x:c r="I768" s="74"/>
      <x:c r="J768" s="74"/>
      <x:c r="K768" s="74"/>
      <x:c r="L768" s="74"/>
      <x:c r="M768" s="91"/>
      <x:c r="N768" s="91"/>
      <x:c r="O768" s="85"/>
      <x:c r="Q768" s="86"/>
      <x:c r="R768" s="86"/>
      <x:c r="S768" s="32"/>
    </x:row>
    <x:row r="769">
      <x:c r="A769" s="87"/>
      <x:c r="B769" s="88"/>
      <x:c r="D769" s="32"/>
      <x:c r="G769" s="74"/>
      <x:c r="H769" s="74"/>
      <x:c r="I769" s="74"/>
      <x:c r="J769" s="74"/>
      <x:c r="K769" s="74"/>
      <x:c r="L769" s="74"/>
      <x:c r="M769" s="91"/>
      <x:c r="N769" s="91"/>
      <x:c r="O769" s="85"/>
      <x:c r="Q769" s="86"/>
      <x:c r="R769" s="86"/>
      <x:c r="S769" s="32"/>
    </x:row>
    <x:row r="770">
      <x:c r="A770" s="87"/>
      <x:c r="B770" s="88"/>
      <x:c r="D770" s="32"/>
      <x:c r="G770" s="74"/>
      <x:c r="H770" s="74"/>
      <x:c r="I770" s="74"/>
      <x:c r="J770" s="74"/>
      <x:c r="K770" s="74"/>
      <x:c r="L770" s="74"/>
      <x:c r="M770" s="91"/>
      <x:c r="N770" s="91"/>
      <x:c r="O770" s="85"/>
      <x:c r="Q770" s="86"/>
      <x:c r="R770" s="86"/>
      <x:c r="S770" s="32"/>
    </x:row>
    <x:row r="771">
      <x:c r="A771" s="87"/>
      <x:c r="B771" s="88"/>
      <x:c r="D771" s="32"/>
      <x:c r="G771" s="74"/>
      <x:c r="H771" s="74"/>
      <x:c r="I771" s="74"/>
      <x:c r="J771" s="74"/>
      <x:c r="K771" s="74"/>
      <x:c r="L771" s="74"/>
      <x:c r="M771" s="91"/>
      <x:c r="N771" s="91"/>
      <x:c r="O771" s="85"/>
      <x:c r="Q771" s="86"/>
      <x:c r="R771" s="86"/>
      <x:c r="S771" s="32"/>
    </x:row>
    <x:row r="772">
      <x:c r="A772" s="87"/>
      <x:c r="B772" s="88"/>
      <x:c r="D772" s="32"/>
      <x:c r="G772" s="74"/>
      <x:c r="H772" s="74"/>
      <x:c r="I772" s="74"/>
      <x:c r="J772" s="74"/>
      <x:c r="K772" s="74"/>
      <x:c r="L772" s="74"/>
      <x:c r="M772" s="91"/>
      <x:c r="N772" s="91"/>
      <x:c r="O772" s="85"/>
      <x:c r="Q772" s="86"/>
      <x:c r="R772" s="86"/>
      <x:c r="S772" s="32"/>
    </x:row>
    <x:row r="773">
      <x:c r="A773" s="87"/>
      <x:c r="B773" s="88"/>
      <x:c r="D773" s="32"/>
      <x:c r="G773" s="74"/>
      <x:c r="H773" s="74"/>
      <x:c r="I773" s="74"/>
      <x:c r="J773" s="74"/>
      <x:c r="K773" s="74"/>
      <x:c r="L773" s="74"/>
      <x:c r="M773" s="91"/>
      <x:c r="N773" s="91"/>
      <x:c r="O773" s="85"/>
      <x:c r="Q773" s="86"/>
      <x:c r="R773" s="86"/>
      <x:c r="S773" s="32"/>
    </x:row>
    <x:row r="774">
      <x:c r="A774" s="87"/>
      <x:c r="B774" s="88"/>
      <x:c r="D774" s="32"/>
      <x:c r="G774" s="74"/>
      <x:c r="H774" s="74"/>
      <x:c r="I774" s="74"/>
      <x:c r="J774" s="74"/>
      <x:c r="K774" s="74"/>
      <x:c r="L774" s="74"/>
      <x:c r="M774" s="91"/>
      <x:c r="N774" s="91"/>
      <x:c r="O774" s="85"/>
      <x:c r="Q774" s="86"/>
      <x:c r="R774" s="86"/>
      <x:c r="S774" s="32"/>
    </x:row>
    <x:row r="775">
      <x:c r="A775" s="87"/>
      <x:c r="B775" s="88"/>
      <x:c r="D775" s="32"/>
      <x:c r="G775" s="74"/>
      <x:c r="H775" s="74"/>
      <x:c r="I775" s="74"/>
      <x:c r="J775" s="74"/>
      <x:c r="K775" s="74"/>
      <x:c r="L775" s="74"/>
      <x:c r="M775" s="91"/>
      <x:c r="N775" s="91"/>
      <x:c r="O775" s="85"/>
      <x:c r="Q775" s="86"/>
      <x:c r="R775" s="86"/>
      <x:c r="S775" s="32"/>
    </x:row>
    <x:row r="776">
      <x:c r="A776" s="87"/>
      <x:c r="B776" s="88"/>
      <x:c r="D776" s="32"/>
      <x:c r="G776" s="74"/>
      <x:c r="H776" s="74"/>
      <x:c r="I776" s="74"/>
      <x:c r="J776" s="74"/>
      <x:c r="K776" s="74"/>
      <x:c r="L776" s="74"/>
      <x:c r="M776" s="91"/>
      <x:c r="N776" s="91"/>
      <x:c r="O776" s="85"/>
      <x:c r="Q776" s="86"/>
      <x:c r="R776" s="86"/>
      <x:c r="S776" s="32"/>
    </x:row>
    <x:row r="777">
      <x:c r="A777" s="87"/>
      <x:c r="B777" s="88"/>
      <x:c r="D777" s="32"/>
      <x:c r="G777" s="74"/>
      <x:c r="H777" s="74"/>
      <x:c r="I777" s="74"/>
      <x:c r="J777" s="74"/>
      <x:c r="K777" s="74"/>
      <x:c r="L777" s="74"/>
      <x:c r="M777" s="91"/>
      <x:c r="N777" s="91"/>
      <x:c r="O777" s="85"/>
      <x:c r="Q777" s="86"/>
      <x:c r="R777" s="86"/>
      <x:c r="S777" s="32"/>
    </x:row>
    <x:row r="778">
      <x:c r="A778" s="87"/>
      <x:c r="B778" s="88"/>
      <x:c r="D778" s="32"/>
      <x:c r="G778" s="74"/>
      <x:c r="H778" s="74"/>
      <x:c r="I778" s="74"/>
      <x:c r="J778" s="74"/>
      <x:c r="K778" s="74"/>
      <x:c r="L778" s="74"/>
      <x:c r="M778" s="91"/>
      <x:c r="N778" s="91"/>
      <x:c r="O778" s="85"/>
      <x:c r="Q778" s="86"/>
      <x:c r="R778" s="86"/>
      <x:c r="S778" s="32"/>
    </x:row>
    <x:row r="779">
      <x:c r="A779" s="87"/>
      <x:c r="B779" s="88"/>
      <x:c r="D779" s="32"/>
      <x:c r="G779" s="74"/>
      <x:c r="H779" s="74"/>
      <x:c r="I779" s="74"/>
      <x:c r="J779" s="74"/>
      <x:c r="K779" s="74"/>
      <x:c r="L779" s="74"/>
      <x:c r="M779" s="91"/>
      <x:c r="N779" s="91"/>
      <x:c r="O779" s="85"/>
      <x:c r="Q779" s="86"/>
      <x:c r="R779" s="86"/>
      <x:c r="S779" s="32"/>
    </x:row>
    <x:row r="780">
      <x:c r="A780" s="87"/>
      <x:c r="B780" s="88"/>
      <x:c r="D780" s="32"/>
      <x:c r="G780" s="74"/>
      <x:c r="H780" s="74"/>
      <x:c r="I780" s="74"/>
      <x:c r="J780" s="74"/>
      <x:c r="K780" s="74"/>
      <x:c r="L780" s="74"/>
      <x:c r="M780" s="91"/>
      <x:c r="N780" s="91"/>
      <x:c r="O780" s="85"/>
      <x:c r="Q780" s="86"/>
      <x:c r="R780" s="86"/>
      <x:c r="S780" s="32"/>
    </x:row>
    <x:row r="781">
      <x:c r="A781" s="87"/>
      <x:c r="B781" s="88"/>
      <x:c r="D781" s="32"/>
      <x:c r="G781" s="74"/>
      <x:c r="H781" s="74"/>
      <x:c r="I781" s="74"/>
      <x:c r="J781" s="74"/>
      <x:c r="K781" s="74"/>
      <x:c r="L781" s="74"/>
      <x:c r="M781" s="91"/>
      <x:c r="N781" s="91"/>
      <x:c r="O781" s="85"/>
      <x:c r="Q781" s="86"/>
      <x:c r="R781" s="86"/>
      <x:c r="S781" s="32"/>
    </x:row>
    <x:row r="782">
      <x:c r="A782" s="87"/>
      <x:c r="B782" s="88"/>
      <x:c r="D782" s="32"/>
      <x:c r="G782" s="74"/>
      <x:c r="H782" s="74"/>
      <x:c r="I782" s="74"/>
      <x:c r="J782" s="74"/>
      <x:c r="K782" s="74"/>
      <x:c r="L782" s="74"/>
      <x:c r="M782" s="91"/>
      <x:c r="N782" s="91"/>
      <x:c r="O782" s="85"/>
      <x:c r="Q782" s="86"/>
      <x:c r="R782" s="86"/>
      <x:c r="S782" s="32"/>
    </x:row>
    <x:row r="783">
      <x:c r="A783" s="87"/>
      <x:c r="B783" s="88"/>
      <x:c r="D783" s="32"/>
      <x:c r="G783" s="74"/>
      <x:c r="H783" s="74"/>
      <x:c r="I783" s="74"/>
      <x:c r="J783" s="74"/>
      <x:c r="K783" s="74"/>
      <x:c r="L783" s="74"/>
      <x:c r="M783" s="91"/>
      <x:c r="N783" s="91"/>
      <x:c r="O783" s="85"/>
      <x:c r="Q783" s="86"/>
      <x:c r="R783" s="86"/>
      <x:c r="S783" s="32"/>
    </x:row>
    <x:row r="784">
      <x:c r="A784" s="87"/>
      <x:c r="B784" s="88"/>
      <x:c r="D784" s="32"/>
      <x:c r="G784" s="74"/>
      <x:c r="H784" s="74"/>
      <x:c r="I784" s="74"/>
      <x:c r="J784" s="74"/>
      <x:c r="K784" s="74"/>
      <x:c r="L784" s="74"/>
      <x:c r="M784" s="91"/>
      <x:c r="N784" s="91"/>
      <x:c r="O784" s="85"/>
      <x:c r="Q784" s="86"/>
      <x:c r="R784" s="86"/>
      <x:c r="S784" s="32"/>
    </x:row>
    <x:row r="785">
      <x:c r="A785" s="87"/>
      <x:c r="B785" s="88"/>
      <x:c r="D785" s="32"/>
      <x:c r="G785" s="74"/>
      <x:c r="H785" s="74"/>
      <x:c r="I785" s="74"/>
      <x:c r="J785" s="74"/>
      <x:c r="K785" s="74"/>
      <x:c r="L785" s="74"/>
      <x:c r="M785" s="91"/>
      <x:c r="N785" s="91"/>
      <x:c r="O785" s="85"/>
      <x:c r="Q785" s="86"/>
      <x:c r="R785" s="86"/>
      <x:c r="S785" s="32"/>
    </x:row>
    <x:row r="786">
      <x:c r="A786" s="87"/>
      <x:c r="B786" s="88"/>
      <x:c r="D786" s="32"/>
      <x:c r="G786" s="74"/>
      <x:c r="H786" s="74"/>
      <x:c r="I786" s="74"/>
      <x:c r="J786" s="74"/>
      <x:c r="K786" s="74"/>
      <x:c r="L786" s="74"/>
      <x:c r="M786" s="91"/>
      <x:c r="N786" s="91"/>
      <x:c r="O786" s="85"/>
      <x:c r="Q786" s="86"/>
      <x:c r="R786" s="86"/>
      <x:c r="S786" s="32"/>
    </x:row>
    <x:row r="787">
      <x:c r="A787" s="87"/>
      <x:c r="B787" s="88"/>
      <x:c r="D787" s="32"/>
      <x:c r="G787" s="74"/>
      <x:c r="H787" s="74"/>
      <x:c r="I787" s="74"/>
      <x:c r="J787" s="74"/>
      <x:c r="K787" s="74"/>
      <x:c r="L787" s="74"/>
      <x:c r="M787" s="91"/>
      <x:c r="N787" s="91"/>
      <x:c r="O787" s="85"/>
      <x:c r="Q787" s="86"/>
      <x:c r="R787" s="86"/>
      <x:c r="S787" s="32"/>
    </x:row>
    <x:row r="788">
      <x:c r="A788" s="87"/>
      <x:c r="B788" s="88"/>
      <x:c r="D788" s="32"/>
      <x:c r="G788" s="74"/>
      <x:c r="H788" s="74"/>
      <x:c r="I788" s="74"/>
      <x:c r="J788" s="74"/>
      <x:c r="K788" s="74"/>
      <x:c r="L788" s="74"/>
      <x:c r="M788" s="91"/>
      <x:c r="N788" s="91"/>
      <x:c r="O788" s="85"/>
      <x:c r="Q788" s="86"/>
      <x:c r="R788" s="86"/>
      <x:c r="S788" s="32"/>
    </x:row>
    <x:row r="789">
      <x:c r="A789" s="87"/>
      <x:c r="B789" s="88"/>
      <x:c r="D789" s="32"/>
      <x:c r="G789" s="74"/>
      <x:c r="H789" s="74"/>
      <x:c r="I789" s="74"/>
      <x:c r="J789" s="74"/>
      <x:c r="K789" s="74"/>
      <x:c r="L789" s="74"/>
      <x:c r="M789" s="91"/>
      <x:c r="N789" s="91"/>
      <x:c r="O789" s="85"/>
      <x:c r="Q789" s="86"/>
      <x:c r="R789" s="86"/>
      <x:c r="S789" s="32"/>
    </x:row>
    <x:row r="790">
      <x:c r="A790" s="87"/>
      <x:c r="B790" s="88"/>
      <x:c r="D790" s="32"/>
      <x:c r="G790" s="74"/>
      <x:c r="H790" s="74"/>
      <x:c r="I790" s="74"/>
      <x:c r="J790" s="74"/>
      <x:c r="K790" s="74"/>
      <x:c r="L790" s="74"/>
      <x:c r="M790" s="91"/>
      <x:c r="N790" s="91"/>
      <x:c r="O790" s="85"/>
      <x:c r="Q790" s="86"/>
      <x:c r="R790" s="86"/>
      <x:c r="S790" s="32"/>
    </x:row>
    <x:row r="791">
      <x:c r="A791" s="87"/>
      <x:c r="B791" s="88"/>
      <x:c r="D791" s="32"/>
      <x:c r="G791" s="74"/>
      <x:c r="H791" s="74"/>
      <x:c r="I791" s="74"/>
      <x:c r="J791" s="74"/>
      <x:c r="K791" s="74"/>
      <x:c r="L791" s="74"/>
      <x:c r="M791" s="91"/>
      <x:c r="N791" s="91"/>
      <x:c r="O791" s="85"/>
      <x:c r="Q791" s="86"/>
      <x:c r="R791" s="86"/>
      <x:c r="S791" s="32"/>
    </x:row>
    <x:row r="792">
      <x:c r="A792" s="87"/>
      <x:c r="B792" s="88"/>
      <x:c r="D792" s="32"/>
      <x:c r="G792" s="74"/>
      <x:c r="H792" s="74"/>
      <x:c r="I792" s="74"/>
      <x:c r="J792" s="74"/>
      <x:c r="K792" s="74"/>
      <x:c r="L792" s="74"/>
      <x:c r="M792" s="91"/>
      <x:c r="N792" s="91"/>
      <x:c r="O792" s="85"/>
      <x:c r="Q792" s="86"/>
      <x:c r="R792" s="86"/>
      <x:c r="S792" s="32"/>
    </x:row>
    <x:row r="793">
      <x:c r="A793" s="87"/>
      <x:c r="B793" s="88"/>
      <x:c r="D793" s="32"/>
      <x:c r="G793" s="74"/>
      <x:c r="H793" s="74"/>
      <x:c r="I793" s="74"/>
      <x:c r="J793" s="74"/>
      <x:c r="K793" s="74"/>
      <x:c r="L793" s="74"/>
      <x:c r="M793" s="91"/>
      <x:c r="N793" s="91"/>
      <x:c r="O793" s="85"/>
      <x:c r="Q793" s="86"/>
      <x:c r="R793" s="86"/>
      <x:c r="S793" s="32"/>
    </x:row>
    <x:row r="794">
      <x:c r="A794" s="87"/>
      <x:c r="B794" s="88"/>
      <x:c r="D794" s="32"/>
      <x:c r="G794" s="74"/>
      <x:c r="H794" s="74"/>
      <x:c r="I794" s="74"/>
      <x:c r="J794" s="74"/>
      <x:c r="K794" s="74"/>
      <x:c r="L794" s="74"/>
      <x:c r="M794" s="91"/>
      <x:c r="N794" s="91"/>
      <x:c r="O794" s="85"/>
      <x:c r="Q794" s="86"/>
      <x:c r="R794" s="86"/>
      <x:c r="S794" s="32"/>
    </x:row>
    <x:row r="795">
      <x:c r="A795" s="87"/>
      <x:c r="B795" s="88"/>
      <x:c r="D795" s="32"/>
      <x:c r="G795" s="74"/>
      <x:c r="H795" s="74"/>
      <x:c r="I795" s="74"/>
      <x:c r="J795" s="74"/>
      <x:c r="K795" s="74"/>
      <x:c r="L795" s="74"/>
      <x:c r="M795" s="91"/>
      <x:c r="N795" s="91"/>
      <x:c r="O795" s="85"/>
      <x:c r="Q795" s="86"/>
      <x:c r="R795" s="86"/>
      <x:c r="S795" s="32"/>
    </x:row>
    <x:row r="796">
      <x:c r="A796" s="87"/>
      <x:c r="B796" s="88"/>
      <x:c r="D796" s="32"/>
      <x:c r="G796" s="74"/>
      <x:c r="H796" s="74"/>
      <x:c r="I796" s="74"/>
      <x:c r="J796" s="74"/>
      <x:c r="K796" s="74"/>
      <x:c r="L796" s="74"/>
      <x:c r="M796" s="91"/>
      <x:c r="N796" s="91"/>
      <x:c r="O796" s="85"/>
      <x:c r="Q796" s="86"/>
      <x:c r="R796" s="86"/>
      <x:c r="S796" s="32"/>
    </x:row>
    <x:row r="797">
      <x:c r="A797" s="87"/>
      <x:c r="B797" s="88"/>
      <x:c r="D797" s="32"/>
      <x:c r="G797" s="74"/>
      <x:c r="H797" s="74"/>
      <x:c r="I797" s="74"/>
      <x:c r="J797" s="74"/>
      <x:c r="K797" s="74"/>
      <x:c r="L797" s="74"/>
      <x:c r="M797" s="91"/>
      <x:c r="N797" s="91"/>
      <x:c r="O797" s="85"/>
      <x:c r="Q797" s="86"/>
      <x:c r="R797" s="86"/>
      <x:c r="S797" s="32"/>
    </x:row>
    <x:row r="798">
      <x:c r="A798" s="87"/>
      <x:c r="B798" s="88"/>
      <x:c r="D798" s="32"/>
      <x:c r="G798" s="74"/>
      <x:c r="H798" s="74"/>
      <x:c r="I798" s="74"/>
      <x:c r="J798" s="74"/>
      <x:c r="K798" s="74"/>
      <x:c r="L798" s="74"/>
      <x:c r="M798" s="91"/>
      <x:c r="N798" s="91"/>
      <x:c r="O798" s="85"/>
      <x:c r="Q798" s="86"/>
      <x:c r="R798" s="86"/>
      <x:c r="S798" s="32"/>
    </x:row>
    <x:row r="799">
      <x:c r="A799" s="87"/>
      <x:c r="B799" s="88"/>
      <x:c r="D799" s="32"/>
      <x:c r="G799" s="74"/>
      <x:c r="H799" s="74"/>
      <x:c r="I799" s="74"/>
      <x:c r="J799" s="74"/>
      <x:c r="K799" s="74"/>
      <x:c r="L799" s="74"/>
      <x:c r="M799" s="91"/>
      <x:c r="N799" s="91"/>
      <x:c r="O799" s="85"/>
      <x:c r="Q799" s="86"/>
      <x:c r="R799" s="86"/>
      <x:c r="S799" s="32"/>
    </x:row>
    <x:row r="800">
      <x:c r="A800" s="87"/>
      <x:c r="B800" s="88"/>
      <x:c r="D800" s="32"/>
      <x:c r="G800" s="74"/>
      <x:c r="H800" s="74"/>
      <x:c r="I800" s="74"/>
      <x:c r="J800" s="74"/>
      <x:c r="K800" s="74"/>
      <x:c r="L800" s="74"/>
      <x:c r="M800" s="91"/>
      <x:c r="N800" s="91"/>
      <x:c r="O800" s="85"/>
      <x:c r="Q800" s="86"/>
      <x:c r="R800" s="86"/>
      <x:c r="S800" s="32"/>
    </x:row>
    <x:row r="801">
      <x:c r="A801" s="87"/>
      <x:c r="B801" s="88"/>
      <x:c r="D801" s="32"/>
      <x:c r="G801" s="74"/>
      <x:c r="H801" s="74"/>
      <x:c r="I801" s="74"/>
      <x:c r="J801" s="74"/>
      <x:c r="K801" s="74"/>
      <x:c r="L801" s="74"/>
      <x:c r="M801" s="91"/>
      <x:c r="N801" s="91"/>
      <x:c r="O801" s="85"/>
      <x:c r="Q801" s="86"/>
      <x:c r="R801" s="86"/>
      <x:c r="S801" s="32"/>
    </x:row>
    <x:row r="802">
      <x:c r="A802" s="87"/>
      <x:c r="B802" s="88"/>
      <x:c r="D802" s="32"/>
      <x:c r="G802" s="74"/>
      <x:c r="H802" s="74"/>
      <x:c r="I802" s="74"/>
      <x:c r="J802" s="74"/>
      <x:c r="K802" s="74"/>
      <x:c r="L802" s="74"/>
      <x:c r="M802" s="91"/>
      <x:c r="N802" s="91"/>
      <x:c r="O802" s="85"/>
      <x:c r="Q802" s="86"/>
      <x:c r="R802" s="86"/>
      <x:c r="S802" s="32"/>
    </x:row>
    <x:row r="803">
      <x:c r="A803" s="87"/>
      <x:c r="B803" s="88"/>
      <x:c r="D803" s="32"/>
      <x:c r="G803" s="74"/>
      <x:c r="H803" s="74"/>
      <x:c r="I803" s="74"/>
      <x:c r="J803" s="74"/>
      <x:c r="K803" s="74"/>
      <x:c r="L803" s="74"/>
      <x:c r="M803" s="91"/>
      <x:c r="N803" s="91"/>
      <x:c r="O803" s="85"/>
      <x:c r="Q803" s="86"/>
      <x:c r="R803" s="86"/>
      <x:c r="S803" s="32"/>
    </x:row>
    <x:row r="804">
      <x:c r="A804" s="87"/>
      <x:c r="B804" s="88"/>
      <x:c r="D804" s="32"/>
      <x:c r="G804" s="74"/>
      <x:c r="H804" s="74"/>
      <x:c r="I804" s="74"/>
      <x:c r="J804" s="74"/>
      <x:c r="K804" s="74"/>
      <x:c r="L804" s="74"/>
      <x:c r="M804" s="91"/>
      <x:c r="N804" s="91"/>
      <x:c r="O804" s="85"/>
      <x:c r="Q804" s="86"/>
      <x:c r="R804" s="86"/>
      <x:c r="S804" s="32"/>
    </x:row>
    <x:row r="805">
      <x:c r="A805" s="87"/>
      <x:c r="B805" s="88"/>
      <x:c r="D805" s="32"/>
      <x:c r="G805" s="74"/>
      <x:c r="H805" s="74"/>
      <x:c r="I805" s="74"/>
      <x:c r="J805" s="74"/>
      <x:c r="K805" s="74"/>
      <x:c r="L805" s="74"/>
      <x:c r="M805" s="91"/>
      <x:c r="N805" s="91"/>
      <x:c r="O805" s="85"/>
      <x:c r="Q805" s="86"/>
      <x:c r="R805" s="86"/>
      <x:c r="S805" s="32"/>
    </x:row>
    <x:row r="806">
      <x:c r="A806" s="87"/>
      <x:c r="B806" s="88"/>
      <x:c r="D806" s="32"/>
      <x:c r="G806" s="74"/>
      <x:c r="H806" s="74"/>
      <x:c r="I806" s="74"/>
      <x:c r="J806" s="74"/>
      <x:c r="K806" s="74"/>
      <x:c r="L806" s="74"/>
      <x:c r="M806" s="91"/>
      <x:c r="N806" s="91"/>
      <x:c r="O806" s="85"/>
      <x:c r="Q806" s="86"/>
      <x:c r="R806" s="86"/>
      <x:c r="S806" s="32"/>
    </x:row>
    <x:row r="807">
      <x:c r="A807" s="87"/>
      <x:c r="B807" s="88"/>
      <x:c r="D807" s="32"/>
      <x:c r="G807" s="74"/>
      <x:c r="H807" s="74"/>
      <x:c r="I807" s="74"/>
      <x:c r="J807" s="74"/>
      <x:c r="K807" s="74"/>
      <x:c r="L807" s="74"/>
      <x:c r="M807" s="91"/>
      <x:c r="N807" s="91"/>
      <x:c r="O807" s="85"/>
      <x:c r="Q807" s="86"/>
      <x:c r="R807" s="86"/>
      <x:c r="S807" s="32"/>
    </x:row>
    <x:row r="808">
      <x:c r="A808" s="87"/>
      <x:c r="B808" s="88"/>
      <x:c r="D808" s="32"/>
      <x:c r="G808" s="74"/>
      <x:c r="H808" s="74"/>
      <x:c r="I808" s="74"/>
      <x:c r="J808" s="74"/>
      <x:c r="K808" s="74"/>
      <x:c r="L808" s="74"/>
      <x:c r="M808" s="91"/>
      <x:c r="N808" s="91"/>
      <x:c r="O808" s="85"/>
      <x:c r="Q808" s="86"/>
      <x:c r="R808" s="86"/>
      <x:c r="S808" s="32"/>
    </x:row>
    <x:row r="809">
      <x:c r="A809" s="87"/>
      <x:c r="B809" s="88"/>
      <x:c r="D809" s="32"/>
      <x:c r="G809" s="74"/>
      <x:c r="H809" s="74"/>
      <x:c r="I809" s="74"/>
      <x:c r="J809" s="74"/>
      <x:c r="K809" s="74"/>
      <x:c r="L809" s="74"/>
      <x:c r="M809" s="91"/>
      <x:c r="N809" s="91"/>
      <x:c r="O809" s="85"/>
      <x:c r="Q809" s="86"/>
      <x:c r="R809" s="86"/>
      <x:c r="S809" s="32"/>
    </x:row>
    <x:row r="810">
      <x:c r="A810" s="87"/>
      <x:c r="B810" s="88"/>
      <x:c r="D810" s="32"/>
      <x:c r="G810" s="74"/>
      <x:c r="H810" s="74"/>
      <x:c r="I810" s="74"/>
      <x:c r="J810" s="74"/>
      <x:c r="K810" s="74"/>
      <x:c r="L810" s="74"/>
      <x:c r="M810" s="91"/>
      <x:c r="N810" s="91"/>
      <x:c r="O810" s="85"/>
      <x:c r="Q810" s="86"/>
      <x:c r="R810" s="86"/>
      <x:c r="S810" s="32"/>
    </x:row>
    <x:row r="811">
      <x:c r="A811" s="87"/>
      <x:c r="B811" s="88"/>
      <x:c r="D811" s="32"/>
      <x:c r="G811" s="74"/>
      <x:c r="H811" s="74"/>
      <x:c r="I811" s="74"/>
      <x:c r="J811" s="74"/>
      <x:c r="K811" s="74"/>
      <x:c r="L811" s="74"/>
      <x:c r="M811" s="91"/>
      <x:c r="N811" s="91"/>
      <x:c r="O811" s="85"/>
      <x:c r="Q811" s="86"/>
      <x:c r="R811" s="86"/>
      <x:c r="S811" s="32"/>
    </x:row>
    <x:row r="812">
      <x:c r="A812" s="87"/>
      <x:c r="B812" s="88"/>
      <x:c r="D812" s="32"/>
      <x:c r="G812" s="74"/>
      <x:c r="H812" s="74"/>
      <x:c r="I812" s="74"/>
      <x:c r="J812" s="74"/>
      <x:c r="K812" s="74"/>
      <x:c r="L812" s="74"/>
      <x:c r="M812" s="91"/>
      <x:c r="N812" s="91"/>
      <x:c r="O812" s="85"/>
      <x:c r="Q812" s="86"/>
      <x:c r="R812" s="86"/>
      <x:c r="S812" s="32"/>
    </x:row>
    <x:row r="813">
      <x:c r="A813" s="87"/>
      <x:c r="B813" s="88"/>
      <x:c r="D813" s="32"/>
      <x:c r="G813" s="74"/>
      <x:c r="H813" s="74"/>
      <x:c r="I813" s="74"/>
      <x:c r="J813" s="74"/>
      <x:c r="K813" s="74"/>
      <x:c r="L813" s="74"/>
      <x:c r="M813" s="91"/>
      <x:c r="N813" s="91"/>
      <x:c r="O813" s="85"/>
      <x:c r="Q813" s="86"/>
      <x:c r="R813" s="86"/>
      <x:c r="S813" s="32"/>
    </x:row>
    <x:row r="814">
      <x:c r="A814" s="87"/>
      <x:c r="B814" s="88"/>
      <x:c r="D814" s="32"/>
      <x:c r="G814" s="74"/>
      <x:c r="H814" s="74"/>
      <x:c r="I814" s="74"/>
      <x:c r="J814" s="74"/>
      <x:c r="K814" s="74"/>
      <x:c r="L814" s="74"/>
      <x:c r="M814" s="91"/>
      <x:c r="N814" s="91"/>
      <x:c r="O814" s="85"/>
      <x:c r="Q814" s="86"/>
      <x:c r="R814" s="86"/>
      <x:c r="S814" s="32"/>
    </x:row>
    <x:row r="815">
      <x:c r="A815" s="87"/>
      <x:c r="B815" s="88"/>
      <x:c r="D815" s="32"/>
      <x:c r="G815" s="74"/>
      <x:c r="H815" s="74"/>
      <x:c r="I815" s="74"/>
      <x:c r="J815" s="74"/>
      <x:c r="K815" s="74"/>
      <x:c r="L815" s="74"/>
      <x:c r="M815" s="91"/>
      <x:c r="N815" s="91"/>
      <x:c r="O815" s="85"/>
      <x:c r="Q815" s="86"/>
      <x:c r="R815" s="86"/>
      <x:c r="S815" s="32"/>
    </x:row>
    <x:row r="816">
      <x:c r="A816" s="87"/>
      <x:c r="B816" s="88"/>
      <x:c r="D816" s="32"/>
      <x:c r="G816" s="74"/>
      <x:c r="H816" s="74"/>
      <x:c r="I816" s="74"/>
      <x:c r="J816" s="74"/>
      <x:c r="K816" s="74"/>
      <x:c r="L816" s="74"/>
      <x:c r="M816" s="91"/>
      <x:c r="N816" s="91"/>
      <x:c r="O816" s="85"/>
      <x:c r="Q816" s="86"/>
      <x:c r="R816" s="86"/>
      <x:c r="S816" s="32"/>
    </x:row>
    <x:row r="817">
      <x:c r="A817" s="87"/>
      <x:c r="B817" s="88"/>
      <x:c r="D817" s="32"/>
      <x:c r="G817" s="74"/>
      <x:c r="H817" s="74"/>
      <x:c r="I817" s="74"/>
      <x:c r="J817" s="74"/>
      <x:c r="K817" s="74"/>
      <x:c r="L817" s="74"/>
      <x:c r="M817" s="91"/>
      <x:c r="N817" s="91"/>
      <x:c r="O817" s="85"/>
      <x:c r="Q817" s="86"/>
      <x:c r="R817" s="86"/>
      <x:c r="S817" s="32"/>
    </x:row>
    <x:row r="818">
      <x:c r="A818" s="87"/>
      <x:c r="B818" s="88"/>
      <x:c r="D818" s="32"/>
      <x:c r="G818" s="74"/>
      <x:c r="H818" s="74"/>
      <x:c r="I818" s="74"/>
      <x:c r="J818" s="74"/>
      <x:c r="K818" s="74"/>
      <x:c r="L818" s="74"/>
      <x:c r="M818" s="91"/>
      <x:c r="N818" s="91"/>
      <x:c r="O818" s="85"/>
      <x:c r="Q818" s="86"/>
      <x:c r="R818" s="86"/>
      <x:c r="S818" s="32"/>
    </x:row>
    <x:row r="819">
      <x:c r="A819" s="87"/>
      <x:c r="B819" s="88"/>
      <x:c r="D819" s="32"/>
      <x:c r="G819" s="74"/>
      <x:c r="H819" s="74"/>
      <x:c r="I819" s="74"/>
      <x:c r="J819" s="74"/>
      <x:c r="K819" s="74"/>
      <x:c r="L819" s="74"/>
      <x:c r="M819" s="91"/>
      <x:c r="N819" s="91"/>
      <x:c r="O819" s="85"/>
      <x:c r="Q819" s="86"/>
      <x:c r="R819" s="86"/>
      <x:c r="S819" s="32"/>
    </x:row>
    <x:row r="820">
      <x:c r="A820" s="87"/>
      <x:c r="B820" s="88"/>
      <x:c r="D820" s="32"/>
      <x:c r="G820" s="74"/>
      <x:c r="H820" s="74"/>
      <x:c r="I820" s="74"/>
      <x:c r="J820" s="74"/>
      <x:c r="K820" s="74"/>
      <x:c r="L820" s="74"/>
      <x:c r="M820" s="91"/>
      <x:c r="N820" s="91"/>
      <x:c r="O820" s="85"/>
      <x:c r="Q820" s="86"/>
      <x:c r="R820" s="86"/>
      <x:c r="S820" s="32"/>
    </x:row>
    <x:row r="821">
      <x:c r="A821" s="87"/>
      <x:c r="B821" s="88"/>
      <x:c r="D821" s="32"/>
      <x:c r="G821" s="74"/>
      <x:c r="H821" s="74"/>
      <x:c r="I821" s="74"/>
      <x:c r="J821" s="74"/>
      <x:c r="K821" s="74"/>
      <x:c r="L821" s="74"/>
      <x:c r="M821" s="91"/>
      <x:c r="N821" s="91"/>
      <x:c r="O821" s="85"/>
      <x:c r="Q821" s="86"/>
      <x:c r="R821" s="86"/>
      <x:c r="S821" s="32"/>
    </x:row>
    <x:row r="822">
      <x:c r="A822" s="87"/>
      <x:c r="B822" s="88"/>
      <x:c r="D822" s="32"/>
      <x:c r="G822" s="74"/>
      <x:c r="H822" s="74"/>
      <x:c r="I822" s="74"/>
      <x:c r="J822" s="74"/>
      <x:c r="K822" s="74"/>
      <x:c r="L822" s="74"/>
      <x:c r="M822" s="91"/>
      <x:c r="N822" s="91"/>
      <x:c r="O822" s="85"/>
      <x:c r="Q822" s="86"/>
      <x:c r="R822" s="86"/>
      <x:c r="S822" s="32"/>
    </x:row>
    <x:row r="823">
      <x:c r="A823" s="87"/>
      <x:c r="B823" s="88"/>
      <x:c r="D823" s="32"/>
      <x:c r="G823" s="74"/>
      <x:c r="H823" s="74"/>
      <x:c r="I823" s="74"/>
      <x:c r="J823" s="74"/>
      <x:c r="K823" s="74"/>
      <x:c r="L823" s="74"/>
      <x:c r="M823" s="91"/>
      <x:c r="N823" s="91"/>
      <x:c r="O823" s="85"/>
      <x:c r="Q823" s="86"/>
      <x:c r="R823" s="86"/>
      <x:c r="S823" s="32"/>
    </x:row>
    <x:row r="824">
      <x:c r="A824" s="87"/>
      <x:c r="B824" s="88"/>
      <x:c r="D824" s="32"/>
      <x:c r="G824" s="74"/>
      <x:c r="H824" s="74"/>
      <x:c r="I824" s="74"/>
      <x:c r="J824" s="74"/>
      <x:c r="K824" s="74"/>
      <x:c r="L824" s="74"/>
      <x:c r="M824" s="91"/>
      <x:c r="N824" s="91"/>
      <x:c r="O824" s="85"/>
      <x:c r="Q824" s="86"/>
      <x:c r="R824" s="86"/>
      <x:c r="S824" s="32"/>
    </x:row>
    <x:row r="825">
      <x:c r="A825" s="87"/>
      <x:c r="B825" s="88"/>
      <x:c r="D825" s="32"/>
      <x:c r="G825" s="74"/>
      <x:c r="H825" s="74"/>
      <x:c r="I825" s="74"/>
      <x:c r="J825" s="74"/>
      <x:c r="K825" s="74"/>
      <x:c r="L825" s="74"/>
      <x:c r="M825" s="91"/>
      <x:c r="N825" s="91"/>
      <x:c r="O825" s="85"/>
      <x:c r="Q825" s="86"/>
      <x:c r="R825" s="86"/>
      <x:c r="S825" s="32"/>
    </x:row>
    <x:row r="826">
      <x:c r="A826" s="87"/>
      <x:c r="B826" s="88"/>
      <x:c r="D826" s="32"/>
      <x:c r="G826" s="74"/>
      <x:c r="H826" s="74"/>
      <x:c r="I826" s="74"/>
      <x:c r="J826" s="74"/>
      <x:c r="K826" s="74"/>
      <x:c r="L826" s="74"/>
      <x:c r="M826" s="91"/>
      <x:c r="N826" s="91"/>
      <x:c r="O826" s="85"/>
      <x:c r="Q826" s="86"/>
      <x:c r="R826" s="86"/>
      <x:c r="S826" s="32"/>
    </x:row>
    <x:row r="827">
      <x:c r="A827" s="87"/>
      <x:c r="B827" s="88"/>
      <x:c r="D827" s="32"/>
      <x:c r="G827" s="74"/>
      <x:c r="H827" s="74"/>
      <x:c r="I827" s="74"/>
      <x:c r="J827" s="74"/>
      <x:c r="K827" s="74"/>
      <x:c r="L827" s="74"/>
      <x:c r="M827" s="91"/>
      <x:c r="N827" s="91"/>
      <x:c r="O827" s="85"/>
      <x:c r="Q827" s="86"/>
      <x:c r="R827" s="86"/>
      <x:c r="S827" s="32"/>
    </x:row>
    <x:row r="828">
      <x:c r="A828" s="87"/>
      <x:c r="B828" s="88"/>
      <x:c r="D828" s="32"/>
      <x:c r="G828" s="74"/>
      <x:c r="H828" s="74"/>
      <x:c r="I828" s="74"/>
      <x:c r="J828" s="74"/>
      <x:c r="K828" s="74"/>
      <x:c r="L828" s="74"/>
      <x:c r="M828" s="91"/>
      <x:c r="N828" s="91"/>
      <x:c r="O828" s="85"/>
      <x:c r="Q828" s="86"/>
      <x:c r="R828" s="86"/>
      <x:c r="S828" s="32"/>
    </x:row>
    <x:row r="829">
      <x:c r="A829" s="87"/>
      <x:c r="B829" s="88"/>
      <x:c r="D829" s="32"/>
      <x:c r="G829" s="74"/>
      <x:c r="H829" s="74"/>
      <x:c r="I829" s="74"/>
      <x:c r="J829" s="74"/>
      <x:c r="K829" s="74"/>
      <x:c r="L829" s="74"/>
      <x:c r="M829" s="91"/>
      <x:c r="N829" s="91"/>
      <x:c r="O829" s="85"/>
      <x:c r="Q829" s="86"/>
      <x:c r="R829" s="86"/>
      <x:c r="S829" s="32"/>
    </x:row>
    <x:row r="830">
      <x:c r="A830" s="87"/>
      <x:c r="B830" s="88"/>
      <x:c r="D830" s="32"/>
      <x:c r="G830" s="74"/>
      <x:c r="H830" s="74"/>
      <x:c r="I830" s="74"/>
      <x:c r="J830" s="74"/>
      <x:c r="K830" s="74"/>
      <x:c r="L830" s="74"/>
      <x:c r="M830" s="91"/>
      <x:c r="N830" s="91"/>
      <x:c r="O830" s="85"/>
      <x:c r="Q830" s="86"/>
      <x:c r="R830" s="86"/>
      <x:c r="S830" s="32"/>
    </x:row>
    <x:row r="831">
      <x:c r="A831" s="87"/>
      <x:c r="B831" s="88"/>
      <x:c r="D831" s="32"/>
      <x:c r="G831" s="74"/>
      <x:c r="H831" s="74"/>
      <x:c r="I831" s="74"/>
      <x:c r="J831" s="74"/>
      <x:c r="K831" s="74"/>
      <x:c r="L831" s="74"/>
      <x:c r="M831" s="91"/>
      <x:c r="N831" s="91"/>
      <x:c r="O831" s="85"/>
      <x:c r="Q831" s="86"/>
      <x:c r="R831" s="86"/>
      <x:c r="S831" s="32"/>
    </x:row>
    <x:row r="832">
      <x:c r="A832" s="87"/>
      <x:c r="B832" s="88"/>
      <x:c r="D832" s="32"/>
      <x:c r="G832" s="74"/>
      <x:c r="H832" s="74"/>
      <x:c r="I832" s="74"/>
      <x:c r="J832" s="74"/>
      <x:c r="K832" s="74"/>
      <x:c r="L832" s="74"/>
      <x:c r="M832" s="91"/>
      <x:c r="N832" s="91"/>
      <x:c r="O832" s="85"/>
      <x:c r="Q832" s="86"/>
      <x:c r="R832" s="86"/>
      <x:c r="S832" s="32"/>
    </x:row>
    <x:row r="833">
      <x:c r="A833" s="87"/>
      <x:c r="B833" s="88"/>
      <x:c r="D833" s="32"/>
      <x:c r="G833" s="74"/>
      <x:c r="H833" s="74"/>
      <x:c r="I833" s="74"/>
      <x:c r="J833" s="74"/>
      <x:c r="K833" s="74"/>
      <x:c r="L833" s="74"/>
      <x:c r="M833" s="91"/>
      <x:c r="N833" s="91"/>
      <x:c r="O833" s="85"/>
      <x:c r="Q833" s="86"/>
      <x:c r="R833" s="86"/>
      <x:c r="S833" s="32"/>
    </x:row>
    <x:row r="834">
      <x:c r="A834" s="87"/>
      <x:c r="B834" s="88"/>
      <x:c r="D834" s="32"/>
      <x:c r="G834" s="74"/>
      <x:c r="H834" s="74"/>
      <x:c r="I834" s="74"/>
      <x:c r="J834" s="74"/>
      <x:c r="K834" s="74"/>
      <x:c r="L834" s="74"/>
      <x:c r="M834" s="91"/>
      <x:c r="N834" s="91"/>
      <x:c r="O834" s="85"/>
      <x:c r="Q834" s="86"/>
      <x:c r="R834" s="86"/>
      <x:c r="S834" s="32"/>
    </x:row>
    <x:row r="835">
      <x:c r="A835" s="87"/>
      <x:c r="B835" s="88"/>
      <x:c r="D835" s="32"/>
      <x:c r="G835" s="74"/>
      <x:c r="H835" s="74"/>
      <x:c r="I835" s="74"/>
      <x:c r="J835" s="74"/>
      <x:c r="K835" s="74"/>
      <x:c r="L835" s="74"/>
      <x:c r="M835" s="91"/>
      <x:c r="N835" s="91"/>
      <x:c r="O835" s="85"/>
      <x:c r="Q835" s="86"/>
      <x:c r="R835" s="86"/>
      <x:c r="S835" s="32"/>
    </x:row>
    <x:row r="836">
      <x:c r="A836" s="87"/>
      <x:c r="B836" s="88"/>
      <x:c r="D836" s="32"/>
      <x:c r="G836" s="74"/>
      <x:c r="H836" s="74"/>
      <x:c r="I836" s="74"/>
      <x:c r="J836" s="74"/>
      <x:c r="K836" s="74"/>
      <x:c r="L836" s="74"/>
      <x:c r="M836" s="91"/>
      <x:c r="N836" s="91"/>
      <x:c r="O836" s="85"/>
      <x:c r="Q836" s="86"/>
      <x:c r="R836" s="86"/>
      <x:c r="S836" s="32"/>
    </x:row>
    <x:row r="837">
      <x:c r="A837" s="87"/>
      <x:c r="B837" s="88"/>
      <x:c r="D837" s="32"/>
      <x:c r="G837" s="74"/>
      <x:c r="H837" s="74"/>
      <x:c r="I837" s="74"/>
      <x:c r="J837" s="74"/>
      <x:c r="K837" s="74"/>
      <x:c r="L837" s="74"/>
      <x:c r="M837" s="91"/>
      <x:c r="N837" s="91"/>
      <x:c r="O837" s="85"/>
      <x:c r="Q837" s="86"/>
      <x:c r="R837" s="86"/>
      <x:c r="S837" s="32"/>
    </x:row>
    <x:row r="838">
      <x:c r="A838" s="87"/>
      <x:c r="B838" s="88"/>
      <x:c r="D838" s="32"/>
      <x:c r="G838" s="74"/>
      <x:c r="H838" s="74"/>
      <x:c r="I838" s="74"/>
      <x:c r="J838" s="74"/>
      <x:c r="K838" s="74"/>
      <x:c r="L838" s="74"/>
      <x:c r="M838" s="91"/>
      <x:c r="N838" s="91"/>
      <x:c r="O838" s="85"/>
      <x:c r="Q838" s="86"/>
      <x:c r="R838" s="86"/>
      <x:c r="S838" s="32"/>
    </x:row>
    <x:row r="839">
      <x:c r="A839" s="87"/>
      <x:c r="B839" s="88"/>
      <x:c r="D839" s="32"/>
      <x:c r="G839" s="74"/>
      <x:c r="H839" s="74"/>
      <x:c r="I839" s="74"/>
      <x:c r="J839" s="74"/>
      <x:c r="K839" s="74"/>
      <x:c r="L839" s="74"/>
      <x:c r="M839" s="91"/>
      <x:c r="N839" s="91"/>
      <x:c r="O839" s="85"/>
      <x:c r="Q839" s="86"/>
      <x:c r="R839" s="86"/>
      <x:c r="S839" s="32"/>
    </x:row>
    <x:row r="840">
      <x:c r="A840" s="87"/>
      <x:c r="B840" s="88"/>
      <x:c r="D840" s="32"/>
      <x:c r="G840" s="74"/>
      <x:c r="H840" s="74"/>
      <x:c r="I840" s="74"/>
      <x:c r="J840" s="74"/>
      <x:c r="K840" s="74"/>
      <x:c r="L840" s="74"/>
      <x:c r="M840" s="91"/>
      <x:c r="N840" s="91"/>
      <x:c r="O840" s="85"/>
      <x:c r="Q840" s="86"/>
      <x:c r="R840" s="86"/>
      <x:c r="S840" s="32"/>
    </x:row>
    <x:row r="841">
      <x:c r="A841" s="87"/>
      <x:c r="B841" s="88"/>
      <x:c r="D841" s="32"/>
      <x:c r="G841" s="74"/>
      <x:c r="H841" s="74"/>
      <x:c r="I841" s="74"/>
      <x:c r="J841" s="74"/>
      <x:c r="K841" s="74"/>
      <x:c r="L841" s="74"/>
      <x:c r="M841" s="91"/>
      <x:c r="N841" s="91"/>
      <x:c r="O841" s="85"/>
      <x:c r="Q841" s="86"/>
      <x:c r="R841" s="86"/>
      <x:c r="S841" s="32"/>
    </x:row>
    <x:row r="842">
      <x:c r="A842" s="87"/>
      <x:c r="B842" s="88"/>
      <x:c r="D842" s="32"/>
      <x:c r="G842" s="74"/>
      <x:c r="H842" s="74"/>
      <x:c r="I842" s="74"/>
      <x:c r="J842" s="74"/>
      <x:c r="K842" s="74"/>
      <x:c r="L842" s="74"/>
      <x:c r="M842" s="91"/>
      <x:c r="N842" s="91"/>
      <x:c r="O842" s="85"/>
      <x:c r="Q842" s="86"/>
      <x:c r="R842" s="86"/>
      <x:c r="S842" s="32"/>
    </x:row>
    <x:row r="843">
      <x:c r="A843" s="87"/>
      <x:c r="B843" s="88"/>
      <x:c r="D843" s="32"/>
      <x:c r="G843" s="74"/>
      <x:c r="H843" s="74"/>
      <x:c r="I843" s="74"/>
      <x:c r="J843" s="74"/>
      <x:c r="K843" s="74"/>
      <x:c r="L843" s="74"/>
      <x:c r="M843" s="91"/>
      <x:c r="N843" s="91"/>
      <x:c r="O843" s="85"/>
      <x:c r="Q843" s="86"/>
      <x:c r="R843" s="86"/>
      <x:c r="S843" s="32"/>
    </x:row>
    <x:row r="844">
      <x:c r="A844" s="87"/>
      <x:c r="B844" s="88"/>
      <x:c r="D844" s="32"/>
      <x:c r="G844" s="74"/>
      <x:c r="H844" s="74"/>
      <x:c r="I844" s="74"/>
      <x:c r="J844" s="74"/>
      <x:c r="K844" s="74"/>
      <x:c r="L844" s="74"/>
      <x:c r="M844" s="91"/>
      <x:c r="N844" s="91"/>
      <x:c r="O844" s="85"/>
      <x:c r="Q844" s="86"/>
      <x:c r="R844" s="86"/>
      <x:c r="S844" s="32"/>
    </x:row>
    <x:row r="845">
      <x:c r="A845" s="87"/>
      <x:c r="B845" s="88"/>
      <x:c r="D845" s="32"/>
      <x:c r="G845" s="74"/>
      <x:c r="H845" s="74"/>
      <x:c r="I845" s="74"/>
      <x:c r="J845" s="74"/>
      <x:c r="K845" s="74"/>
      <x:c r="L845" s="74"/>
      <x:c r="M845" s="91"/>
      <x:c r="N845" s="91"/>
      <x:c r="O845" s="85"/>
      <x:c r="Q845" s="86"/>
      <x:c r="R845" s="86"/>
      <x:c r="S845" s="32"/>
    </x:row>
    <x:row r="846">
      <x:c r="A846" s="87"/>
      <x:c r="B846" s="88"/>
      <x:c r="D846" s="32"/>
      <x:c r="G846" s="74"/>
      <x:c r="H846" s="74"/>
      <x:c r="I846" s="74"/>
      <x:c r="J846" s="74"/>
      <x:c r="K846" s="74"/>
      <x:c r="L846" s="74"/>
      <x:c r="M846" s="91"/>
      <x:c r="N846" s="91"/>
      <x:c r="O846" s="85"/>
      <x:c r="Q846" s="86"/>
      <x:c r="R846" s="86"/>
      <x:c r="S846" s="32"/>
    </x:row>
    <x:row r="847">
      <x:c r="A847" s="87"/>
      <x:c r="B847" s="88"/>
      <x:c r="D847" s="32"/>
      <x:c r="G847" s="74"/>
      <x:c r="H847" s="74"/>
      <x:c r="I847" s="74"/>
      <x:c r="J847" s="74"/>
      <x:c r="K847" s="74"/>
      <x:c r="L847" s="74"/>
      <x:c r="M847" s="91"/>
      <x:c r="N847" s="91"/>
      <x:c r="O847" s="85"/>
      <x:c r="Q847" s="86"/>
      <x:c r="R847" s="86"/>
      <x:c r="S847" s="32"/>
    </x:row>
    <x:row r="848">
      <x:c r="A848" s="87"/>
      <x:c r="B848" s="88"/>
      <x:c r="D848" s="32"/>
      <x:c r="G848" s="74"/>
      <x:c r="H848" s="74"/>
      <x:c r="I848" s="74"/>
      <x:c r="J848" s="74"/>
      <x:c r="K848" s="74"/>
      <x:c r="L848" s="74"/>
      <x:c r="M848" s="91"/>
      <x:c r="N848" s="91"/>
      <x:c r="O848" s="85"/>
      <x:c r="Q848" s="86"/>
      <x:c r="R848" s="86"/>
      <x:c r="S848" s="32"/>
    </x:row>
    <x:row r="849">
      <x:c r="A849" s="87"/>
      <x:c r="B849" s="88"/>
      <x:c r="D849" s="32"/>
      <x:c r="G849" s="74"/>
      <x:c r="H849" s="74"/>
      <x:c r="I849" s="74"/>
      <x:c r="J849" s="74"/>
      <x:c r="K849" s="74"/>
      <x:c r="L849" s="74"/>
      <x:c r="M849" s="91"/>
      <x:c r="N849" s="91"/>
      <x:c r="O849" s="85"/>
      <x:c r="Q849" s="86"/>
      <x:c r="R849" s="86"/>
      <x:c r="S849" s="32"/>
    </x:row>
    <x:row r="850">
      <x:c r="A850" s="87"/>
      <x:c r="B850" s="88"/>
      <x:c r="D850" s="32"/>
      <x:c r="G850" s="74"/>
      <x:c r="H850" s="74"/>
      <x:c r="I850" s="74"/>
      <x:c r="J850" s="74"/>
      <x:c r="K850" s="74"/>
      <x:c r="L850" s="74"/>
      <x:c r="M850" s="91"/>
      <x:c r="N850" s="91"/>
      <x:c r="O850" s="85"/>
      <x:c r="Q850" s="86"/>
      <x:c r="R850" s="86"/>
      <x:c r="S850" s="32"/>
    </x:row>
    <x:row r="851">
      <x:c r="A851" s="87"/>
      <x:c r="B851" s="88"/>
      <x:c r="D851" s="32"/>
      <x:c r="G851" s="74"/>
      <x:c r="H851" s="74"/>
      <x:c r="I851" s="74"/>
      <x:c r="J851" s="74"/>
      <x:c r="K851" s="74"/>
      <x:c r="L851" s="74"/>
      <x:c r="M851" s="91"/>
      <x:c r="N851" s="91"/>
      <x:c r="O851" s="85"/>
      <x:c r="Q851" s="86"/>
      <x:c r="R851" s="86"/>
      <x:c r="S851" s="32"/>
    </x:row>
    <x:row r="852">
      <x:c r="A852" s="87"/>
      <x:c r="B852" s="88"/>
      <x:c r="D852" s="32"/>
      <x:c r="G852" s="74"/>
      <x:c r="H852" s="74"/>
      <x:c r="I852" s="74"/>
      <x:c r="J852" s="74"/>
      <x:c r="K852" s="74"/>
      <x:c r="L852" s="74"/>
      <x:c r="M852" s="91"/>
      <x:c r="N852" s="91"/>
      <x:c r="O852" s="85"/>
      <x:c r="Q852" s="86"/>
      <x:c r="R852" s="86"/>
      <x:c r="S852" s="32"/>
    </x:row>
    <x:row r="853">
      <x:c r="A853" s="87"/>
      <x:c r="B853" s="88"/>
      <x:c r="D853" s="32"/>
      <x:c r="G853" s="74"/>
      <x:c r="H853" s="74"/>
      <x:c r="I853" s="74"/>
      <x:c r="J853" s="74"/>
      <x:c r="K853" s="74"/>
      <x:c r="L853" s="74"/>
      <x:c r="M853" s="91"/>
      <x:c r="N853" s="91"/>
      <x:c r="O853" s="85"/>
      <x:c r="Q853" s="86"/>
      <x:c r="R853" s="86"/>
      <x:c r="S853" s="32"/>
    </x:row>
    <x:row r="854">
      <x:c r="A854" s="87"/>
      <x:c r="B854" s="88"/>
      <x:c r="D854" s="32"/>
      <x:c r="G854" s="74"/>
      <x:c r="H854" s="74"/>
      <x:c r="I854" s="74"/>
      <x:c r="J854" s="74"/>
      <x:c r="K854" s="74"/>
      <x:c r="L854" s="74"/>
      <x:c r="M854" s="91"/>
      <x:c r="N854" s="91"/>
      <x:c r="O854" s="85"/>
      <x:c r="Q854" s="86"/>
      <x:c r="R854" s="86"/>
      <x:c r="S854" s="32"/>
    </x:row>
    <x:row r="855">
      <x:c r="A855" s="87"/>
      <x:c r="B855" s="88"/>
      <x:c r="D855" s="32"/>
      <x:c r="G855" s="74"/>
      <x:c r="H855" s="74"/>
      <x:c r="I855" s="74"/>
      <x:c r="J855" s="74"/>
      <x:c r="K855" s="74"/>
      <x:c r="L855" s="74"/>
      <x:c r="M855" s="91"/>
      <x:c r="N855" s="91"/>
      <x:c r="O855" s="85"/>
      <x:c r="Q855" s="86"/>
      <x:c r="R855" s="86"/>
      <x:c r="S855" s="32"/>
    </x:row>
    <x:row r="856">
      <x:c r="A856" s="87"/>
      <x:c r="B856" s="88"/>
      <x:c r="D856" s="32"/>
      <x:c r="G856" s="74"/>
      <x:c r="H856" s="74"/>
      <x:c r="I856" s="74"/>
      <x:c r="J856" s="74"/>
      <x:c r="K856" s="74"/>
      <x:c r="L856" s="74"/>
      <x:c r="M856" s="91"/>
      <x:c r="N856" s="91"/>
      <x:c r="O856" s="85"/>
      <x:c r="Q856" s="86"/>
      <x:c r="R856" s="86"/>
      <x:c r="S856" s="32"/>
    </x:row>
    <x:row r="857">
      <x:c r="A857" s="87"/>
      <x:c r="B857" s="88"/>
      <x:c r="D857" s="32"/>
      <x:c r="G857" s="74"/>
      <x:c r="H857" s="74"/>
      <x:c r="I857" s="74"/>
      <x:c r="J857" s="74"/>
      <x:c r="K857" s="74"/>
      <x:c r="L857" s="74"/>
      <x:c r="M857" s="91"/>
      <x:c r="N857" s="91"/>
      <x:c r="O857" s="85"/>
      <x:c r="Q857" s="86"/>
      <x:c r="R857" s="86"/>
      <x:c r="S857" s="32"/>
    </x:row>
    <x:row r="858">
      <x:c r="A858" s="87"/>
      <x:c r="B858" s="88"/>
      <x:c r="D858" s="32"/>
      <x:c r="G858" s="74"/>
      <x:c r="H858" s="74"/>
      <x:c r="I858" s="74"/>
      <x:c r="J858" s="74"/>
      <x:c r="K858" s="74"/>
      <x:c r="L858" s="74"/>
      <x:c r="M858" s="91"/>
      <x:c r="N858" s="91"/>
      <x:c r="O858" s="85"/>
      <x:c r="Q858" s="86"/>
      <x:c r="R858" s="86"/>
      <x:c r="S858" s="32"/>
    </x:row>
    <x:row r="859">
      <x:c r="A859" s="87"/>
      <x:c r="B859" s="88"/>
      <x:c r="D859" s="32"/>
      <x:c r="G859" s="74"/>
      <x:c r="H859" s="74"/>
      <x:c r="I859" s="74"/>
      <x:c r="J859" s="74"/>
      <x:c r="K859" s="74"/>
      <x:c r="L859" s="74"/>
      <x:c r="M859" s="91"/>
      <x:c r="N859" s="91"/>
      <x:c r="O859" s="85"/>
      <x:c r="Q859" s="86"/>
      <x:c r="R859" s="86"/>
      <x:c r="S859" s="32"/>
    </x:row>
    <x:row r="860">
      <x:c r="A860" s="87"/>
      <x:c r="B860" s="88"/>
      <x:c r="D860" s="32"/>
      <x:c r="G860" s="74"/>
      <x:c r="H860" s="74"/>
      <x:c r="I860" s="74"/>
      <x:c r="J860" s="74"/>
      <x:c r="K860" s="74"/>
      <x:c r="L860" s="74"/>
      <x:c r="M860" s="91"/>
      <x:c r="N860" s="91"/>
      <x:c r="O860" s="85"/>
      <x:c r="Q860" s="86"/>
      <x:c r="R860" s="86"/>
      <x:c r="S860" s="32"/>
    </x:row>
    <x:row r="861">
      <x:c r="A861" s="87"/>
      <x:c r="B861" s="88"/>
      <x:c r="D861" s="32"/>
      <x:c r="G861" s="74"/>
      <x:c r="H861" s="74"/>
      <x:c r="I861" s="74"/>
      <x:c r="J861" s="74"/>
      <x:c r="K861" s="74"/>
      <x:c r="L861" s="74"/>
      <x:c r="M861" s="91"/>
      <x:c r="N861" s="91"/>
      <x:c r="O861" s="85"/>
      <x:c r="Q861" s="86"/>
      <x:c r="R861" s="86"/>
      <x:c r="S861" s="32"/>
    </x:row>
    <x:row r="862">
      <x:c r="A862" s="87"/>
      <x:c r="B862" s="88"/>
      <x:c r="D862" s="32"/>
      <x:c r="G862" s="74"/>
      <x:c r="H862" s="74"/>
      <x:c r="I862" s="74"/>
      <x:c r="J862" s="74"/>
      <x:c r="K862" s="74"/>
      <x:c r="L862" s="74"/>
      <x:c r="M862" s="91"/>
      <x:c r="N862" s="91"/>
      <x:c r="O862" s="85"/>
      <x:c r="Q862" s="86"/>
      <x:c r="R862" s="86"/>
      <x:c r="S862" s="32"/>
    </x:row>
    <x:row r="863">
      <x:c r="A863" s="87"/>
      <x:c r="B863" s="88"/>
      <x:c r="D863" s="32"/>
      <x:c r="G863" s="74"/>
      <x:c r="H863" s="74"/>
      <x:c r="I863" s="74"/>
      <x:c r="J863" s="74"/>
      <x:c r="K863" s="74"/>
      <x:c r="L863" s="74"/>
      <x:c r="M863" s="91"/>
      <x:c r="N863" s="91"/>
      <x:c r="O863" s="85"/>
      <x:c r="Q863" s="86"/>
      <x:c r="R863" s="86"/>
      <x:c r="S863" s="32"/>
    </x:row>
    <x:row r="864">
      <x:c r="A864" s="87"/>
      <x:c r="B864" s="88"/>
      <x:c r="D864" s="32"/>
      <x:c r="G864" s="74"/>
      <x:c r="H864" s="74"/>
      <x:c r="I864" s="74"/>
      <x:c r="J864" s="74"/>
      <x:c r="K864" s="74"/>
      <x:c r="L864" s="74"/>
      <x:c r="M864" s="91"/>
      <x:c r="N864" s="91"/>
      <x:c r="O864" s="85"/>
      <x:c r="Q864" s="86"/>
      <x:c r="R864" s="86"/>
      <x:c r="S864" s="32"/>
    </x:row>
    <x:row r="865">
      <x:c r="A865" s="87"/>
      <x:c r="B865" s="88"/>
      <x:c r="D865" s="32"/>
      <x:c r="G865" s="74"/>
      <x:c r="H865" s="74"/>
      <x:c r="I865" s="74"/>
      <x:c r="J865" s="74"/>
      <x:c r="K865" s="74"/>
      <x:c r="L865" s="74"/>
      <x:c r="M865" s="91"/>
      <x:c r="N865" s="91"/>
      <x:c r="O865" s="85"/>
      <x:c r="Q865" s="86"/>
      <x:c r="R865" s="86"/>
      <x:c r="S865" s="32"/>
    </x:row>
    <x:row r="866">
      <x:c r="A866" s="87"/>
      <x:c r="B866" s="88"/>
      <x:c r="D866" s="32"/>
      <x:c r="G866" s="74"/>
      <x:c r="H866" s="74"/>
      <x:c r="I866" s="74"/>
      <x:c r="J866" s="74"/>
      <x:c r="K866" s="74"/>
      <x:c r="L866" s="74"/>
      <x:c r="M866" s="91"/>
      <x:c r="N866" s="91"/>
      <x:c r="O866" s="85"/>
      <x:c r="Q866" s="86"/>
      <x:c r="R866" s="86"/>
      <x:c r="S866" s="32"/>
    </x:row>
    <x:row r="867">
      <x:c r="A867" s="87"/>
      <x:c r="B867" s="88"/>
      <x:c r="D867" s="32"/>
      <x:c r="G867" s="74"/>
      <x:c r="H867" s="74"/>
      <x:c r="I867" s="74"/>
      <x:c r="J867" s="74"/>
      <x:c r="K867" s="74"/>
      <x:c r="L867" s="74"/>
      <x:c r="M867" s="91"/>
      <x:c r="N867" s="91"/>
      <x:c r="O867" s="85"/>
      <x:c r="Q867" s="86"/>
      <x:c r="R867" s="86"/>
      <x:c r="S867" s="32"/>
    </x:row>
    <x:row r="868">
      <x:c r="A868" s="87"/>
      <x:c r="B868" s="88"/>
      <x:c r="D868" s="32"/>
      <x:c r="G868" s="74"/>
      <x:c r="H868" s="74"/>
      <x:c r="I868" s="74"/>
      <x:c r="J868" s="74"/>
      <x:c r="K868" s="74"/>
      <x:c r="L868" s="74"/>
      <x:c r="M868" s="91"/>
      <x:c r="N868" s="91"/>
      <x:c r="O868" s="85"/>
      <x:c r="Q868" s="86"/>
      <x:c r="R868" s="86"/>
      <x:c r="S868" s="32"/>
    </x:row>
    <x:row r="869">
      <x:c r="A869" s="87"/>
      <x:c r="B869" s="88"/>
      <x:c r="D869" s="32"/>
      <x:c r="G869" s="74"/>
      <x:c r="H869" s="74"/>
      <x:c r="I869" s="74"/>
      <x:c r="J869" s="74"/>
      <x:c r="K869" s="74"/>
      <x:c r="L869" s="74"/>
      <x:c r="M869" s="91"/>
      <x:c r="N869" s="91"/>
      <x:c r="O869" s="85"/>
      <x:c r="Q869" s="86"/>
      <x:c r="R869" s="86"/>
      <x:c r="S869" s="32"/>
    </x:row>
    <x:row r="870">
      <x:c r="A870" s="87"/>
      <x:c r="B870" s="88"/>
      <x:c r="D870" s="32"/>
      <x:c r="G870" s="74"/>
      <x:c r="H870" s="74"/>
      <x:c r="I870" s="74"/>
      <x:c r="J870" s="74"/>
      <x:c r="K870" s="74"/>
      <x:c r="L870" s="74"/>
      <x:c r="M870" s="91"/>
      <x:c r="N870" s="91"/>
      <x:c r="O870" s="85"/>
      <x:c r="Q870" s="86"/>
      <x:c r="R870" s="86"/>
      <x:c r="S870" s="32"/>
    </x:row>
    <x:row r="871">
      <x:c r="A871" s="87"/>
      <x:c r="B871" s="88"/>
      <x:c r="D871" s="32"/>
      <x:c r="G871" s="74"/>
      <x:c r="H871" s="74"/>
      <x:c r="I871" s="74"/>
      <x:c r="J871" s="74"/>
      <x:c r="K871" s="74"/>
      <x:c r="L871" s="74"/>
      <x:c r="M871" s="91"/>
      <x:c r="N871" s="91"/>
      <x:c r="O871" s="85"/>
      <x:c r="Q871" s="86"/>
      <x:c r="R871" s="86"/>
      <x:c r="S871" s="32"/>
    </x:row>
    <x:row r="872">
      <x:c r="A872" s="87"/>
      <x:c r="B872" s="88"/>
      <x:c r="D872" s="32"/>
      <x:c r="G872" s="74"/>
      <x:c r="H872" s="74"/>
      <x:c r="I872" s="74"/>
      <x:c r="J872" s="74"/>
      <x:c r="K872" s="74"/>
      <x:c r="L872" s="74"/>
      <x:c r="M872" s="91"/>
      <x:c r="N872" s="91"/>
      <x:c r="O872" s="85"/>
      <x:c r="Q872" s="86"/>
      <x:c r="R872" s="86"/>
      <x:c r="S872" s="32"/>
    </x:row>
    <x:row r="873">
      <x:c r="A873" s="87"/>
      <x:c r="B873" s="88"/>
      <x:c r="D873" s="32"/>
      <x:c r="G873" s="74"/>
      <x:c r="H873" s="74"/>
      <x:c r="I873" s="74"/>
      <x:c r="J873" s="74"/>
      <x:c r="K873" s="74"/>
      <x:c r="L873" s="74"/>
      <x:c r="M873" s="91"/>
      <x:c r="N873" s="91"/>
      <x:c r="O873" s="85"/>
      <x:c r="Q873" s="86"/>
      <x:c r="R873" s="86"/>
      <x:c r="S873" s="32"/>
    </x:row>
    <x:row r="874">
      <x:c r="A874" s="87"/>
      <x:c r="B874" s="88"/>
      <x:c r="D874" s="32"/>
      <x:c r="G874" s="74"/>
      <x:c r="H874" s="74"/>
      <x:c r="I874" s="74"/>
      <x:c r="J874" s="74"/>
      <x:c r="K874" s="74"/>
      <x:c r="L874" s="74"/>
      <x:c r="M874" s="91"/>
      <x:c r="N874" s="91"/>
      <x:c r="O874" s="85"/>
      <x:c r="Q874" s="86"/>
      <x:c r="R874" s="86"/>
      <x:c r="S874" s="32"/>
    </x:row>
    <x:row r="875">
      <x:c r="A875" s="87"/>
      <x:c r="B875" s="88"/>
      <x:c r="D875" s="32"/>
      <x:c r="G875" s="74"/>
      <x:c r="H875" s="74"/>
      <x:c r="I875" s="74"/>
      <x:c r="J875" s="74"/>
      <x:c r="K875" s="74"/>
      <x:c r="L875" s="74"/>
      <x:c r="M875" s="91"/>
      <x:c r="N875" s="91"/>
      <x:c r="O875" s="85"/>
      <x:c r="Q875" s="86"/>
      <x:c r="R875" s="86"/>
      <x:c r="S875" s="32"/>
    </x:row>
    <x:row r="876">
      <x:c r="A876" s="87"/>
      <x:c r="B876" s="88"/>
      <x:c r="D876" s="32"/>
      <x:c r="G876" s="74"/>
      <x:c r="H876" s="74"/>
      <x:c r="I876" s="74"/>
      <x:c r="J876" s="74"/>
      <x:c r="K876" s="74"/>
      <x:c r="L876" s="74"/>
      <x:c r="M876" s="91"/>
      <x:c r="N876" s="91"/>
      <x:c r="O876" s="85"/>
      <x:c r="Q876" s="86"/>
      <x:c r="R876" s="86"/>
      <x:c r="S876" s="32"/>
    </x:row>
    <x:row r="877">
      <x:c r="A877" s="87"/>
      <x:c r="B877" s="88"/>
      <x:c r="D877" s="32"/>
      <x:c r="G877" s="74"/>
      <x:c r="H877" s="74"/>
      <x:c r="I877" s="74"/>
      <x:c r="J877" s="74"/>
      <x:c r="K877" s="74"/>
      <x:c r="L877" s="74"/>
      <x:c r="M877" s="91"/>
      <x:c r="N877" s="91"/>
      <x:c r="O877" s="85"/>
      <x:c r="Q877" s="86"/>
      <x:c r="R877" s="86"/>
      <x:c r="S877" s="32"/>
    </x:row>
    <x:row r="878">
      <x:c r="A878" s="87"/>
      <x:c r="B878" s="88"/>
      <x:c r="D878" s="32"/>
      <x:c r="G878" s="74"/>
      <x:c r="H878" s="74"/>
      <x:c r="I878" s="74"/>
      <x:c r="J878" s="74"/>
      <x:c r="K878" s="74"/>
      <x:c r="L878" s="74"/>
      <x:c r="M878" s="91"/>
      <x:c r="N878" s="91"/>
      <x:c r="O878" s="85"/>
      <x:c r="Q878" s="86"/>
      <x:c r="R878" s="86"/>
      <x:c r="S878" s="32"/>
    </x:row>
    <x:row r="879">
      <x:c r="A879" s="87"/>
      <x:c r="B879" s="88"/>
      <x:c r="D879" s="32"/>
      <x:c r="G879" s="74"/>
      <x:c r="H879" s="74"/>
      <x:c r="I879" s="74"/>
      <x:c r="J879" s="74"/>
      <x:c r="K879" s="74"/>
      <x:c r="L879" s="74"/>
      <x:c r="M879" s="91"/>
      <x:c r="N879" s="91"/>
      <x:c r="O879" s="85"/>
      <x:c r="Q879" s="86"/>
      <x:c r="R879" s="86"/>
      <x:c r="S879" s="32"/>
    </x:row>
    <x:row r="880">
      <x:c r="A880" s="87"/>
      <x:c r="B880" s="88"/>
      <x:c r="D880" s="32"/>
      <x:c r="G880" s="74"/>
      <x:c r="H880" s="74"/>
      <x:c r="I880" s="74"/>
      <x:c r="J880" s="74"/>
      <x:c r="K880" s="74"/>
      <x:c r="L880" s="74"/>
      <x:c r="M880" s="91"/>
      <x:c r="N880" s="91"/>
      <x:c r="O880" s="85"/>
      <x:c r="Q880" s="86"/>
      <x:c r="R880" s="86"/>
      <x:c r="S880" s="32"/>
    </x:row>
    <x:row r="881">
      <x:c r="A881" s="87"/>
      <x:c r="B881" s="88"/>
      <x:c r="D881" s="32"/>
      <x:c r="G881" s="74"/>
      <x:c r="H881" s="74"/>
      <x:c r="I881" s="74"/>
      <x:c r="J881" s="74"/>
      <x:c r="K881" s="74"/>
      <x:c r="L881" s="74"/>
      <x:c r="M881" s="91"/>
      <x:c r="N881" s="91"/>
      <x:c r="O881" s="85"/>
      <x:c r="Q881" s="86"/>
      <x:c r="R881" s="86"/>
      <x:c r="S881" s="32"/>
    </x:row>
    <x:row r="882">
      <x:c r="A882" s="87"/>
      <x:c r="B882" s="88"/>
      <x:c r="D882" s="32"/>
      <x:c r="G882" s="74"/>
      <x:c r="H882" s="74"/>
      <x:c r="I882" s="74"/>
      <x:c r="J882" s="74"/>
      <x:c r="K882" s="74"/>
      <x:c r="L882" s="74"/>
      <x:c r="M882" s="91"/>
      <x:c r="N882" s="91"/>
      <x:c r="O882" s="85"/>
      <x:c r="Q882" s="86"/>
      <x:c r="R882" s="86"/>
      <x:c r="S882" s="32"/>
    </x:row>
    <x:row r="883">
      <x:c r="A883" s="87"/>
      <x:c r="B883" s="88"/>
      <x:c r="D883" s="32"/>
      <x:c r="G883" s="74"/>
      <x:c r="H883" s="74"/>
      <x:c r="I883" s="74"/>
      <x:c r="J883" s="74"/>
      <x:c r="K883" s="74"/>
      <x:c r="L883" s="74"/>
      <x:c r="M883" s="91"/>
      <x:c r="N883" s="91"/>
      <x:c r="O883" s="85"/>
      <x:c r="Q883" s="86"/>
      <x:c r="R883" s="86"/>
      <x:c r="S883" s="32"/>
    </x:row>
    <x:row r="884">
      <x:c r="A884" s="87"/>
      <x:c r="B884" s="88"/>
      <x:c r="D884" s="32"/>
      <x:c r="G884" s="74"/>
      <x:c r="H884" s="74"/>
      <x:c r="I884" s="74"/>
      <x:c r="J884" s="74"/>
      <x:c r="K884" s="74"/>
      <x:c r="L884" s="74"/>
      <x:c r="M884" s="91"/>
      <x:c r="N884" s="91"/>
      <x:c r="O884" s="85"/>
      <x:c r="Q884" s="86"/>
      <x:c r="R884" s="86"/>
      <x:c r="S884" s="32"/>
    </x:row>
    <x:row r="885">
      <x:c r="A885" s="87"/>
      <x:c r="B885" s="88"/>
      <x:c r="D885" s="32"/>
      <x:c r="G885" s="74"/>
      <x:c r="H885" s="74"/>
      <x:c r="I885" s="74"/>
      <x:c r="J885" s="74"/>
      <x:c r="K885" s="74"/>
      <x:c r="L885" s="74"/>
      <x:c r="M885" s="91"/>
      <x:c r="N885" s="91"/>
      <x:c r="O885" s="85"/>
      <x:c r="Q885" s="86"/>
      <x:c r="R885" s="86"/>
      <x:c r="S885" s="32"/>
    </x:row>
    <x:row r="886">
      <x:c r="A886" s="87"/>
      <x:c r="B886" s="88"/>
      <x:c r="D886" s="32"/>
      <x:c r="G886" s="74"/>
      <x:c r="H886" s="74"/>
      <x:c r="I886" s="74"/>
      <x:c r="J886" s="74"/>
      <x:c r="K886" s="74"/>
      <x:c r="L886" s="74"/>
      <x:c r="M886" s="91"/>
      <x:c r="N886" s="91"/>
      <x:c r="O886" s="85"/>
      <x:c r="Q886" s="86"/>
      <x:c r="R886" s="86"/>
      <x:c r="S886" s="32"/>
    </x:row>
    <x:row r="887">
      <x:c r="A887" s="87"/>
      <x:c r="B887" s="88"/>
      <x:c r="D887" s="32"/>
      <x:c r="G887" s="74"/>
      <x:c r="H887" s="74"/>
      <x:c r="I887" s="74"/>
      <x:c r="J887" s="74"/>
      <x:c r="K887" s="74"/>
      <x:c r="L887" s="74"/>
      <x:c r="M887" s="91"/>
      <x:c r="N887" s="91"/>
      <x:c r="O887" s="85"/>
      <x:c r="Q887" s="86"/>
      <x:c r="R887" s="86"/>
      <x:c r="S887" s="32"/>
    </x:row>
    <x:row r="888">
      <x:c r="A888" s="87"/>
      <x:c r="B888" s="88"/>
      <x:c r="D888" s="32"/>
      <x:c r="G888" s="74"/>
      <x:c r="H888" s="74"/>
      <x:c r="I888" s="74"/>
      <x:c r="J888" s="74"/>
      <x:c r="K888" s="74"/>
      <x:c r="L888" s="74"/>
      <x:c r="M888" s="91"/>
      <x:c r="N888" s="91"/>
      <x:c r="O888" s="85"/>
      <x:c r="Q888" s="86"/>
      <x:c r="R888" s="86"/>
      <x:c r="S888" s="32"/>
    </x:row>
    <x:row r="889">
      <x:c r="A889" s="87"/>
      <x:c r="B889" s="88"/>
      <x:c r="D889" s="32"/>
      <x:c r="G889" s="74"/>
      <x:c r="H889" s="74"/>
      <x:c r="I889" s="74"/>
      <x:c r="J889" s="74"/>
      <x:c r="K889" s="74"/>
      <x:c r="L889" s="74"/>
      <x:c r="M889" s="91"/>
      <x:c r="N889" s="91"/>
      <x:c r="O889" s="85"/>
      <x:c r="Q889" s="86"/>
      <x:c r="R889" s="86"/>
      <x:c r="S889" s="32"/>
    </x:row>
    <x:row r="890">
      <x:c r="A890" s="87"/>
      <x:c r="B890" s="88"/>
      <x:c r="D890" s="32"/>
      <x:c r="G890" s="74"/>
      <x:c r="H890" s="74"/>
      <x:c r="I890" s="74"/>
      <x:c r="J890" s="74"/>
      <x:c r="K890" s="74"/>
      <x:c r="L890" s="74"/>
      <x:c r="M890" s="91"/>
      <x:c r="N890" s="91"/>
      <x:c r="O890" s="85"/>
      <x:c r="Q890" s="86"/>
      <x:c r="R890" s="86"/>
      <x:c r="S890" s="32"/>
    </x:row>
    <x:row r="891">
      <x:c r="A891" s="87"/>
      <x:c r="B891" s="88"/>
      <x:c r="D891" s="32"/>
      <x:c r="G891" s="74"/>
      <x:c r="H891" s="74"/>
      <x:c r="I891" s="74"/>
      <x:c r="J891" s="74"/>
      <x:c r="K891" s="74"/>
      <x:c r="L891" s="74"/>
      <x:c r="M891" s="91"/>
      <x:c r="N891" s="91"/>
      <x:c r="O891" s="85"/>
      <x:c r="Q891" s="86"/>
      <x:c r="R891" s="86"/>
      <x:c r="S891" s="32"/>
    </x:row>
    <x:row r="892">
      <x:c r="A892" s="87"/>
      <x:c r="B892" s="88"/>
      <x:c r="D892" s="32"/>
      <x:c r="G892" s="74"/>
      <x:c r="H892" s="74"/>
      <x:c r="I892" s="74"/>
      <x:c r="J892" s="74"/>
      <x:c r="K892" s="74"/>
      <x:c r="L892" s="74"/>
      <x:c r="M892" s="91"/>
      <x:c r="N892" s="91"/>
      <x:c r="O892" s="85"/>
      <x:c r="Q892" s="86"/>
      <x:c r="R892" s="86"/>
      <x:c r="S892" s="32"/>
    </x:row>
    <x:row r="893">
      <x:c r="A893" s="87"/>
      <x:c r="B893" s="88"/>
      <x:c r="D893" s="32"/>
      <x:c r="G893" s="74"/>
      <x:c r="H893" s="74"/>
      <x:c r="I893" s="74"/>
      <x:c r="J893" s="74"/>
      <x:c r="K893" s="74"/>
      <x:c r="L893" s="74"/>
      <x:c r="M893" s="91"/>
      <x:c r="N893" s="91"/>
      <x:c r="O893" s="85"/>
      <x:c r="Q893" s="86"/>
      <x:c r="R893" s="86"/>
      <x:c r="S893" s="32"/>
    </x:row>
    <x:row r="894">
      <x:c r="A894" s="87"/>
      <x:c r="B894" s="88"/>
      <x:c r="D894" s="32"/>
      <x:c r="G894" s="74"/>
      <x:c r="H894" s="74"/>
      <x:c r="I894" s="74"/>
      <x:c r="J894" s="74"/>
      <x:c r="K894" s="74"/>
      <x:c r="L894" s="74"/>
      <x:c r="M894" s="91"/>
      <x:c r="N894" s="91"/>
      <x:c r="O894" s="85"/>
      <x:c r="Q894" s="86"/>
      <x:c r="R894" s="86"/>
      <x:c r="S894" s="32"/>
    </x:row>
    <x:row r="895">
      <x:c r="A895" s="87"/>
      <x:c r="B895" s="88"/>
      <x:c r="D895" s="32"/>
      <x:c r="G895" s="74"/>
      <x:c r="H895" s="74"/>
      <x:c r="I895" s="74"/>
      <x:c r="J895" s="74"/>
      <x:c r="K895" s="74"/>
      <x:c r="L895" s="74"/>
      <x:c r="M895" s="91"/>
      <x:c r="N895" s="91"/>
      <x:c r="O895" s="85"/>
      <x:c r="Q895" s="86"/>
      <x:c r="R895" s="86"/>
      <x:c r="S895" s="32"/>
    </x:row>
    <x:row r="896">
      <x:c r="A896" s="87"/>
      <x:c r="B896" s="88"/>
      <x:c r="D896" s="32"/>
      <x:c r="G896" s="74"/>
      <x:c r="H896" s="74"/>
      <x:c r="I896" s="74"/>
      <x:c r="J896" s="74"/>
      <x:c r="K896" s="74"/>
      <x:c r="L896" s="74"/>
      <x:c r="M896" s="91"/>
      <x:c r="N896" s="91"/>
      <x:c r="O896" s="85"/>
      <x:c r="Q896" s="86"/>
      <x:c r="R896" s="86"/>
      <x:c r="S896" s="32"/>
    </x:row>
    <x:row r="897">
      <x:c r="A897" s="87"/>
      <x:c r="B897" s="88"/>
      <x:c r="D897" s="32"/>
      <x:c r="G897" s="74"/>
      <x:c r="H897" s="74"/>
      <x:c r="I897" s="74"/>
      <x:c r="J897" s="74"/>
      <x:c r="K897" s="74"/>
      <x:c r="L897" s="74"/>
      <x:c r="M897" s="91"/>
      <x:c r="N897" s="91"/>
      <x:c r="O897" s="85"/>
      <x:c r="Q897" s="86"/>
      <x:c r="R897" s="86"/>
      <x:c r="S897" s="32"/>
    </x:row>
    <x:row r="898">
      <x:c r="A898" s="87"/>
      <x:c r="B898" s="88"/>
      <x:c r="D898" s="32"/>
      <x:c r="G898" s="74"/>
      <x:c r="H898" s="74"/>
      <x:c r="I898" s="74"/>
      <x:c r="J898" s="74"/>
      <x:c r="K898" s="74"/>
      <x:c r="L898" s="74"/>
      <x:c r="M898" s="91"/>
      <x:c r="N898" s="91"/>
      <x:c r="O898" s="85"/>
      <x:c r="Q898" s="86"/>
      <x:c r="R898" s="86"/>
      <x:c r="S898" s="32"/>
    </x:row>
    <x:row r="899">
      <x:c r="A899" s="87"/>
      <x:c r="B899" s="88"/>
      <x:c r="D899" s="32"/>
      <x:c r="G899" s="74"/>
      <x:c r="H899" s="74"/>
      <x:c r="I899" s="74"/>
      <x:c r="J899" s="74"/>
      <x:c r="K899" s="74"/>
      <x:c r="L899" s="74"/>
      <x:c r="M899" s="91"/>
      <x:c r="N899" s="91"/>
      <x:c r="O899" s="85"/>
      <x:c r="Q899" s="86"/>
      <x:c r="R899" s="86"/>
      <x:c r="S899" s="32"/>
    </x:row>
    <x:row r="900">
      <x:c r="A900" s="87"/>
      <x:c r="B900" s="88"/>
      <x:c r="D900" s="32"/>
      <x:c r="G900" s="74"/>
      <x:c r="H900" s="74"/>
      <x:c r="I900" s="74"/>
      <x:c r="J900" s="74"/>
      <x:c r="K900" s="74"/>
      <x:c r="L900" s="74"/>
      <x:c r="M900" s="91"/>
      <x:c r="N900" s="91"/>
      <x:c r="O900" s="85"/>
      <x:c r="Q900" s="86"/>
      <x:c r="R900" s="86"/>
      <x:c r="S900" s="32"/>
    </x:row>
    <x:row r="901">
      <x:c r="A901" s="87"/>
      <x:c r="B901" s="88"/>
      <x:c r="D901" s="32"/>
      <x:c r="G901" s="74"/>
      <x:c r="H901" s="74"/>
      <x:c r="I901" s="74"/>
      <x:c r="J901" s="74"/>
      <x:c r="K901" s="74"/>
      <x:c r="L901" s="74"/>
      <x:c r="M901" s="91"/>
      <x:c r="N901" s="91"/>
      <x:c r="O901" s="85"/>
      <x:c r="Q901" s="86"/>
      <x:c r="R901" s="86"/>
      <x:c r="S901" s="32"/>
    </x:row>
    <x:row r="902">
      <x:c r="A902" s="87"/>
      <x:c r="B902" s="88"/>
      <x:c r="D902" s="32"/>
      <x:c r="G902" s="74"/>
      <x:c r="H902" s="74"/>
      <x:c r="I902" s="74"/>
      <x:c r="J902" s="74"/>
      <x:c r="K902" s="74"/>
      <x:c r="L902" s="74"/>
      <x:c r="M902" s="91"/>
      <x:c r="N902" s="91"/>
      <x:c r="O902" s="85"/>
      <x:c r="Q902" s="86"/>
      <x:c r="R902" s="86"/>
      <x:c r="S902" s="32"/>
    </x:row>
    <x:row r="903">
      <x:c r="A903" s="87"/>
      <x:c r="B903" s="88"/>
      <x:c r="D903" s="32"/>
      <x:c r="G903" s="74"/>
      <x:c r="H903" s="74"/>
      <x:c r="I903" s="74"/>
      <x:c r="J903" s="74"/>
      <x:c r="K903" s="74"/>
      <x:c r="L903" s="74"/>
      <x:c r="M903" s="91"/>
      <x:c r="N903" s="91"/>
      <x:c r="O903" s="85"/>
      <x:c r="Q903" s="86"/>
      <x:c r="R903" s="86"/>
      <x:c r="S903" s="32"/>
    </x:row>
    <x:row r="904">
      <x:c r="A904" s="87"/>
      <x:c r="B904" s="88"/>
      <x:c r="D904" s="32"/>
      <x:c r="G904" s="74"/>
      <x:c r="H904" s="74"/>
      <x:c r="I904" s="74"/>
      <x:c r="J904" s="74"/>
      <x:c r="K904" s="74"/>
      <x:c r="L904" s="74"/>
      <x:c r="M904" s="91"/>
      <x:c r="N904" s="91"/>
      <x:c r="O904" s="85"/>
      <x:c r="Q904" s="86"/>
      <x:c r="R904" s="86"/>
      <x:c r="S904" s="32"/>
    </x:row>
    <x:row r="905">
      <x:c r="A905" s="87"/>
      <x:c r="B905" s="88"/>
      <x:c r="D905" s="32"/>
      <x:c r="G905" s="74"/>
      <x:c r="H905" s="74"/>
      <x:c r="I905" s="74"/>
      <x:c r="J905" s="74"/>
      <x:c r="K905" s="74"/>
      <x:c r="L905" s="74"/>
      <x:c r="M905" s="91"/>
      <x:c r="N905" s="91"/>
      <x:c r="O905" s="85"/>
      <x:c r="Q905" s="86"/>
      <x:c r="R905" s="86"/>
      <x:c r="S905" s="32"/>
    </x:row>
    <x:row r="906">
      <x:c r="A906" s="87"/>
      <x:c r="B906" s="88"/>
      <x:c r="D906" s="32"/>
      <x:c r="G906" s="74"/>
      <x:c r="H906" s="74"/>
      <x:c r="I906" s="74"/>
      <x:c r="J906" s="74"/>
      <x:c r="K906" s="74"/>
      <x:c r="L906" s="74"/>
      <x:c r="M906" s="91"/>
      <x:c r="N906" s="91"/>
      <x:c r="O906" s="85"/>
      <x:c r="Q906" s="86"/>
      <x:c r="R906" s="86"/>
      <x:c r="S906" s="32"/>
    </x:row>
    <x:row r="907">
      <x:c r="A907" s="87"/>
      <x:c r="B907" s="88"/>
      <x:c r="D907" s="32"/>
      <x:c r="G907" s="74"/>
      <x:c r="H907" s="74"/>
      <x:c r="I907" s="74"/>
      <x:c r="J907" s="74"/>
      <x:c r="K907" s="74"/>
      <x:c r="L907" s="74"/>
      <x:c r="M907" s="91"/>
      <x:c r="N907" s="91"/>
      <x:c r="O907" s="85"/>
      <x:c r="Q907" s="86"/>
      <x:c r="R907" s="86"/>
      <x:c r="S907" s="32"/>
    </x:row>
    <x:row r="908">
      <x:c r="A908" s="87"/>
      <x:c r="B908" s="88"/>
      <x:c r="D908" s="32"/>
      <x:c r="G908" s="74"/>
      <x:c r="H908" s="74"/>
      <x:c r="I908" s="74"/>
      <x:c r="J908" s="74"/>
      <x:c r="K908" s="74"/>
      <x:c r="L908" s="74"/>
      <x:c r="M908" s="91"/>
      <x:c r="N908" s="91"/>
      <x:c r="O908" s="85"/>
      <x:c r="Q908" s="86"/>
      <x:c r="R908" s="86"/>
      <x:c r="S908" s="32"/>
    </x:row>
    <x:row r="909">
      <x:c r="A909" s="87"/>
      <x:c r="B909" s="88"/>
      <x:c r="D909" s="32"/>
      <x:c r="G909" s="74"/>
      <x:c r="H909" s="74"/>
      <x:c r="I909" s="74"/>
      <x:c r="J909" s="74"/>
      <x:c r="K909" s="74"/>
      <x:c r="L909" s="74"/>
      <x:c r="M909" s="91"/>
      <x:c r="N909" s="91"/>
      <x:c r="O909" s="85"/>
      <x:c r="Q909" s="86"/>
      <x:c r="R909" s="86"/>
      <x:c r="S909" s="32"/>
    </x:row>
    <x:row r="910">
      <x:c r="A910" s="87"/>
      <x:c r="B910" s="88"/>
      <x:c r="D910" s="32"/>
      <x:c r="G910" s="74"/>
      <x:c r="H910" s="74"/>
      <x:c r="I910" s="74"/>
      <x:c r="J910" s="74"/>
      <x:c r="K910" s="74"/>
      <x:c r="L910" s="74"/>
      <x:c r="M910" s="91"/>
      <x:c r="N910" s="91"/>
      <x:c r="O910" s="85"/>
      <x:c r="Q910" s="86"/>
      <x:c r="R910" s="86"/>
      <x:c r="S910" s="32"/>
    </x:row>
    <x:row r="911">
      <x:c r="A911" s="87"/>
      <x:c r="B911" s="88"/>
      <x:c r="D911" s="32"/>
      <x:c r="G911" s="74"/>
      <x:c r="H911" s="74"/>
      <x:c r="I911" s="74"/>
      <x:c r="J911" s="74"/>
      <x:c r="K911" s="74"/>
      <x:c r="L911" s="74"/>
      <x:c r="M911" s="91"/>
      <x:c r="N911" s="91"/>
      <x:c r="O911" s="85"/>
      <x:c r="Q911" s="86"/>
      <x:c r="R911" s="86"/>
      <x:c r="S911" s="32"/>
    </x:row>
    <x:row r="912">
      <x:c r="A912" s="87"/>
      <x:c r="B912" s="88"/>
      <x:c r="D912" s="32"/>
      <x:c r="G912" s="74"/>
      <x:c r="H912" s="74"/>
      <x:c r="I912" s="74"/>
      <x:c r="J912" s="74"/>
      <x:c r="K912" s="74"/>
      <x:c r="L912" s="74"/>
      <x:c r="M912" s="91"/>
      <x:c r="N912" s="91"/>
      <x:c r="O912" s="85"/>
      <x:c r="Q912" s="86"/>
      <x:c r="R912" s="86"/>
      <x:c r="S912" s="32"/>
    </x:row>
    <x:row r="913">
      <x:c r="A913" s="87"/>
      <x:c r="B913" s="88"/>
      <x:c r="D913" s="32"/>
      <x:c r="G913" s="74"/>
      <x:c r="H913" s="74"/>
      <x:c r="I913" s="74"/>
      <x:c r="J913" s="74"/>
      <x:c r="K913" s="74"/>
      <x:c r="L913" s="74"/>
      <x:c r="M913" s="91"/>
      <x:c r="N913" s="91"/>
      <x:c r="O913" s="85"/>
      <x:c r="Q913" s="86"/>
      <x:c r="R913" s="86"/>
      <x:c r="S913" s="32"/>
    </x:row>
    <x:row r="914">
      <x:c r="A914" s="87"/>
      <x:c r="B914" s="88"/>
      <x:c r="D914" s="32"/>
      <x:c r="G914" s="74"/>
      <x:c r="H914" s="74"/>
      <x:c r="I914" s="74"/>
      <x:c r="J914" s="74"/>
      <x:c r="K914" s="74"/>
      <x:c r="L914" s="74"/>
      <x:c r="M914" s="91"/>
      <x:c r="N914" s="91"/>
      <x:c r="O914" s="85"/>
      <x:c r="Q914" s="86"/>
      <x:c r="R914" s="86"/>
      <x:c r="S914" s="32"/>
    </x:row>
    <x:row r="915">
      <x:c r="A915" s="87"/>
      <x:c r="B915" s="88"/>
      <x:c r="D915" s="32"/>
      <x:c r="G915" s="74"/>
      <x:c r="H915" s="74"/>
      <x:c r="I915" s="74"/>
      <x:c r="J915" s="74"/>
      <x:c r="K915" s="74"/>
      <x:c r="L915" s="74"/>
      <x:c r="M915" s="91"/>
      <x:c r="N915" s="91"/>
      <x:c r="O915" s="85"/>
      <x:c r="Q915" s="86"/>
      <x:c r="R915" s="86"/>
      <x:c r="S915" s="32"/>
    </x:row>
    <x:row r="916">
      <x:c r="A916" s="87"/>
      <x:c r="B916" s="88"/>
      <x:c r="D916" s="32"/>
      <x:c r="G916" s="74"/>
      <x:c r="H916" s="74"/>
      <x:c r="I916" s="74"/>
      <x:c r="J916" s="74"/>
      <x:c r="K916" s="74"/>
      <x:c r="L916" s="74"/>
      <x:c r="M916" s="91"/>
      <x:c r="N916" s="91"/>
      <x:c r="O916" s="85"/>
      <x:c r="Q916" s="86"/>
      <x:c r="R916" s="86"/>
      <x:c r="S916" s="32"/>
    </x:row>
    <x:row r="917">
      <x:c r="A917" s="87"/>
      <x:c r="B917" s="88"/>
      <x:c r="D917" s="32"/>
      <x:c r="G917" s="74"/>
      <x:c r="H917" s="74"/>
      <x:c r="I917" s="74"/>
      <x:c r="J917" s="74"/>
      <x:c r="K917" s="74"/>
      <x:c r="L917" s="74"/>
      <x:c r="M917" s="91"/>
      <x:c r="N917" s="91"/>
      <x:c r="O917" s="85"/>
      <x:c r="Q917" s="86"/>
      <x:c r="R917" s="86"/>
      <x:c r="S917" s="32"/>
    </x:row>
    <x:row r="918">
      <x:c r="A918" s="87"/>
      <x:c r="B918" s="88"/>
      <x:c r="D918" s="32"/>
      <x:c r="G918" s="74"/>
      <x:c r="H918" s="74"/>
      <x:c r="I918" s="74"/>
      <x:c r="J918" s="74"/>
      <x:c r="K918" s="74"/>
      <x:c r="L918" s="74"/>
      <x:c r="M918" s="91"/>
      <x:c r="N918" s="91"/>
      <x:c r="O918" s="85"/>
      <x:c r="Q918" s="86"/>
      <x:c r="R918" s="86"/>
      <x:c r="S918" s="32"/>
    </x:row>
    <x:row r="919">
      <x:c r="A919" s="87"/>
      <x:c r="B919" s="88"/>
      <x:c r="D919" s="32"/>
      <x:c r="G919" s="74"/>
      <x:c r="H919" s="74"/>
      <x:c r="I919" s="74"/>
      <x:c r="J919" s="74"/>
      <x:c r="K919" s="74"/>
      <x:c r="L919" s="74"/>
      <x:c r="M919" s="91"/>
      <x:c r="N919" s="91"/>
      <x:c r="O919" s="85"/>
      <x:c r="Q919" s="86"/>
      <x:c r="R919" s="86"/>
      <x:c r="S919" s="32"/>
    </x:row>
    <x:row r="920">
      <x:c r="A920" s="87"/>
      <x:c r="B920" s="88"/>
      <x:c r="D920" s="32"/>
      <x:c r="G920" s="74"/>
      <x:c r="H920" s="74"/>
      <x:c r="I920" s="74"/>
      <x:c r="J920" s="74"/>
      <x:c r="K920" s="74"/>
      <x:c r="L920" s="74"/>
      <x:c r="M920" s="91"/>
      <x:c r="N920" s="91"/>
      <x:c r="O920" s="85"/>
      <x:c r="Q920" s="86"/>
      <x:c r="R920" s="86"/>
      <x:c r="S920" s="32"/>
    </x:row>
    <x:row r="921">
      <x:c r="A921" s="87"/>
      <x:c r="B921" s="88"/>
      <x:c r="D921" s="32"/>
      <x:c r="G921" s="74"/>
      <x:c r="H921" s="74"/>
      <x:c r="I921" s="74"/>
      <x:c r="J921" s="74"/>
      <x:c r="K921" s="74"/>
      <x:c r="L921" s="74"/>
      <x:c r="M921" s="91"/>
      <x:c r="N921" s="91"/>
      <x:c r="O921" s="85"/>
      <x:c r="Q921" s="86"/>
      <x:c r="R921" s="86"/>
      <x:c r="S921" s="32"/>
    </x:row>
    <x:row r="922">
      <x:c r="A922" s="87"/>
      <x:c r="B922" s="88"/>
      <x:c r="D922" s="32"/>
      <x:c r="G922" s="74"/>
      <x:c r="H922" s="74"/>
      <x:c r="I922" s="74"/>
      <x:c r="J922" s="74"/>
      <x:c r="K922" s="74"/>
      <x:c r="L922" s="74"/>
      <x:c r="M922" s="91"/>
      <x:c r="N922" s="91"/>
      <x:c r="O922" s="85"/>
      <x:c r="Q922" s="86"/>
      <x:c r="R922" s="86"/>
      <x:c r="S922" s="32"/>
    </x:row>
    <x:row r="923">
      <x:c r="A923" s="87"/>
      <x:c r="B923" s="88"/>
      <x:c r="D923" s="32"/>
      <x:c r="G923" s="74"/>
      <x:c r="H923" s="74"/>
      <x:c r="I923" s="74"/>
      <x:c r="J923" s="74"/>
      <x:c r="K923" s="74"/>
      <x:c r="L923" s="74"/>
      <x:c r="M923" s="91"/>
      <x:c r="N923" s="91"/>
      <x:c r="O923" s="85"/>
      <x:c r="Q923" s="86"/>
      <x:c r="R923" s="86"/>
      <x:c r="S923" s="32"/>
    </x:row>
    <x:row r="924">
      <x:c r="A924" s="87"/>
      <x:c r="B924" s="88"/>
      <x:c r="D924" s="32"/>
      <x:c r="G924" s="74"/>
      <x:c r="H924" s="74"/>
      <x:c r="I924" s="74"/>
      <x:c r="J924" s="74"/>
      <x:c r="K924" s="74"/>
      <x:c r="L924" s="74"/>
      <x:c r="M924" s="91"/>
      <x:c r="N924" s="91"/>
      <x:c r="O924" s="85"/>
      <x:c r="Q924" s="86"/>
      <x:c r="R924" s="86"/>
      <x:c r="S924" s="32"/>
    </x:row>
    <x:row r="925">
      <x:c r="A925" s="87"/>
      <x:c r="B925" s="88"/>
      <x:c r="D925" s="32"/>
      <x:c r="G925" s="74"/>
      <x:c r="H925" s="74"/>
      <x:c r="I925" s="74"/>
      <x:c r="J925" s="74"/>
      <x:c r="K925" s="74"/>
      <x:c r="L925" s="74"/>
      <x:c r="M925" s="91"/>
      <x:c r="N925" s="91"/>
      <x:c r="O925" s="85"/>
      <x:c r="Q925" s="86"/>
      <x:c r="R925" s="86"/>
      <x:c r="S925" s="32"/>
    </x:row>
    <x:row r="926">
      <x:c r="A926" s="87"/>
      <x:c r="B926" s="88"/>
      <x:c r="D926" s="32"/>
      <x:c r="G926" s="74"/>
      <x:c r="H926" s="74"/>
      <x:c r="I926" s="74"/>
      <x:c r="J926" s="74"/>
      <x:c r="K926" s="74"/>
      <x:c r="L926" s="74"/>
      <x:c r="M926" s="91"/>
      <x:c r="N926" s="91"/>
      <x:c r="O926" s="85"/>
      <x:c r="Q926" s="86"/>
      <x:c r="R926" s="86"/>
      <x:c r="S926" s="32"/>
    </x:row>
    <x:row r="927">
      <x:c r="A927" s="87"/>
      <x:c r="B927" s="88"/>
      <x:c r="D927" s="32"/>
      <x:c r="G927" s="74"/>
      <x:c r="H927" s="74"/>
      <x:c r="I927" s="74"/>
      <x:c r="J927" s="74"/>
      <x:c r="K927" s="74"/>
      <x:c r="L927" s="74"/>
      <x:c r="M927" s="91"/>
      <x:c r="N927" s="91"/>
      <x:c r="O927" s="85"/>
      <x:c r="Q927" s="86"/>
      <x:c r="R927" s="86"/>
      <x:c r="S927" s="32"/>
    </x:row>
    <x:row r="928">
      <x:c r="A928" s="87"/>
      <x:c r="B928" s="88"/>
      <x:c r="D928" s="32"/>
      <x:c r="G928" s="74"/>
      <x:c r="H928" s="74"/>
      <x:c r="I928" s="74"/>
      <x:c r="J928" s="74"/>
      <x:c r="K928" s="74"/>
      <x:c r="L928" s="74"/>
      <x:c r="M928" s="91"/>
      <x:c r="N928" s="91"/>
      <x:c r="O928" s="85"/>
      <x:c r="Q928" s="86"/>
      <x:c r="R928" s="86"/>
      <x:c r="S928" s="32"/>
    </x:row>
    <x:row r="929">
      <x:c r="A929" s="87"/>
      <x:c r="B929" s="88"/>
      <x:c r="D929" s="32"/>
      <x:c r="G929" s="74"/>
      <x:c r="H929" s="74"/>
      <x:c r="I929" s="74"/>
      <x:c r="J929" s="74"/>
      <x:c r="K929" s="74"/>
      <x:c r="L929" s="74"/>
      <x:c r="M929" s="91"/>
      <x:c r="N929" s="91"/>
      <x:c r="O929" s="85"/>
      <x:c r="Q929" s="86"/>
      <x:c r="R929" s="86"/>
      <x:c r="S929" s="32"/>
    </x:row>
    <x:row r="930">
      <x:c r="A930" s="87"/>
      <x:c r="B930" s="88"/>
      <x:c r="D930" s="32"/>
      <x:c r="G930" s="74"/>
      <x:c r="H930" s="74"/>
      <x:c r="I930" s="74"/>
      <x:c r="J930" s="74"/>
      <x:c r="K930" s="74"/>
      <x:c r="L930" s="74"/>
      <x:c r="M930" s="91"/>
      <x:c r="N930" s="91"/>
      <x:c r="O930" s="85"/>
      <x:c r="Q930" s="86"/>
      <x:c r="R930" s="86"/>
      <x:c r="S930" s="32"/>
    </x:row>
    <x:row r="931">
      <x:c r="A931" s="87"/>
      <x:c r="B931" s="88"/>
      <x:c r="D931" s="32"/>
      <x:c r="G931" s="74"/>
      <x:c r="H931" s="74"/>
      <x:c r="I931" s="74"/>
      <x:c r="J931" s="74"/>
      <x:c r="K931" s="74"/>
      <x:c r="L931" s="74"/>
      <x:c r="M931" s="91"/>
      <x:c r="N931" s="91"/>
      <x:c r="O931" s="85"/>
      <x:c r="Q931" s="86"/>
      <x:c r="R931" s="86"/>
      <x:c r="S931" s="32"/>
    </x:row>
    <x:row r="932">
      <x:c r="A932" s="87"/>
      <x:c r="B932" s="88"/>
      <x:c r="D932" s="32"/>
      <x:c r="G932" s="74"/>
      <x:c r="H932" s="74"/>
      <x:c r="I932" s="74"/>
      <x:c r="J932" s="74"/>
      <x:c r="K932" s="74"/>
      <x:c r="L932" s="74"/>
      <x:c r="M932" s="91"/>
      <x:c r="N932" s="91"/>
      <x:c r="O932" s="85"/>
      <x:c r="Q932" s="86"/>
      <x:c r="R932" s="86"/>
      <x:c r="S932" s="32"/>
    </x:row>
    <x:row r="933">
      <x:c r="A933" s="87"/>
      <x:c r="B933" s="88"/>
      <x:c r="D933" s="32"/>
      <x:c r="G933" s="74"/>
      <x:c r="H933" s="74"/>
      <x:c r="I933" s="74"/>
      <x:c r="J933" s="74"/>
      <x:c r="K933" s="74"/>
      <x:c r="L933" s="74"/>
      <x:c r="M933" s="91"/>
      <x:c r="N933" s="91"/>
      <x:c r="O933" s="85"/>
      <x:c r="Q933" s="86"/>
      <x:c r="R933" s="86"/>
      <x:c r="S933" s="32"/>
    </x:row>
    <x:row r="934">
      <x:c r="A934" s="87"/>
      <x:c r="B934" s="88"/>
      <x:c r="D934" s="32"/>
      <x:c r="G934" s="74"/>
      <x:c r="H934" s="74"/>
      <x:c r="I934" s="74"/>
      <x:c r="J934" s="74"/>
      <x:c r="K934" s="74"/>
      <x:c r="L934" s="74"/>
      <x:c r="M934" s="91"/>
      <x:c r="N934" s="91"/>
      <x:c r="O934" s="85"/>
      <x:c r="Q934" s="86"/>
      <x:c r="R934" s="86"/>
      <x:c r="S934" s="32"/>
    </x:row>
    <x:row r="935">
      <x:c r="A935" s="87"/>
      <x:c r="B935" s="88"/>
      <x:c r="D935" s="32"/>
      <x:c r="G935" s="74"/>
      <x:c r="H935" s="74"/>
      <x:c r="I935" s="74"/>
      <x:c r="J935" s="74"/>
      <x:c r="K935" s="74"/>
      <x:c r="L935" s="74"/>
      <x:c r="M935" s="91"/>
      <x:c r="N935" s="91"/>
      <x:c r="O935" s="85"/>
      <x:c r="Q935" s="86"/>
      <x:c r="R935" s="86"/>
      <x:c r="S935" s="32"/>
    </x:row>
    <x:row r="936">
      <x:c r="A936" s="87"/>
      <x:c r="B936" s="88"/>
      <x:c r="D936" s="32"/>
      <x:c r="G936" s="74"/>
      <x:c r="H936" s="74"/>
      <x:c r="I936" s="74"/>
      <x:c r="J936" s="74"/>
      <x:c r="K936" s="74"/>
      <x:c r="L936" s="74"/>
      <x:c r="M936" s="91"/>
      <x:c r="N936" s="91"/>
      <x:c r="O936" s="85"/>
      <x:c r="Q936" s="86"/>
      <x:c r="R936" s="86"/>
      <x:c r="S936" s="32"/>
    </x:row>
    <x:row r="937">
      <x:c r="A937" s="87"/>
      <x:c r="B937" s="88"/>
      <x:c r="D937" s="32"/>
      <x:c r="G937" s="74"/>
      <x:c r="H937" s="74"/>
      <x:c r="I937" s="74"/>
      <x:c r="J937" s="74"/>
      <x:c r="K937" s="74"/>
      <x:c r="L937" s="74"/>
      <x:c r="M937" s="91"/>
      <x:c r="N937" s="91"/>
      <x:c r="O937" s="85"/>
      <x:c r="Q937" s="86"/>
      <x:c r="R937" s="86"/>
      <x:c r="S937" s="32"/>
    </x:row>
    <x:row r="938">
      <x:c r="A938" s="87"/>
      <x:c r="B938" s="88"/>
      <x:c r="D938" s="32"/>
      <x:c r="G938" s="74"/>
      <x:c r="H938" s="74"/>
      <x:c r="I938" s="74"/>
      <x:c r="J938" s="74"/>
      <x:c r="K938" s="74"/>
      <x:c r="L938" s="74"/>
      <x:c r="M938" s="91"/>
      <x:c r="N938" s="91"/>
      <x:c r="O938" s="85"/>
      <x:c r="Q938" s="86"/>
      <x:c r="R938" s="86"/>
      <x:c r="S938" s="32"/>
    </x:row>
    <x:row r="939">
      <x:c r="A939" s="87"/>
      <x:c r="B939" s="88"/>
      <x:c r="D939" s="32"/>
      <x:c r="G939" s="74"/>
      <x:c r="H939" s="74"/>
      <x:c r="I939" s="74"/>
      <x:c r="J939" s="74"/>
      <x:c r="K939" s="74"/>
      <x:c r="L939" s="74"/>
      <x:c r="M939" s="91"/>
      <x:c r="N939" s="91"/>
      <x:c r="O939" s="85"/>
      <x:c r="Q939" s="86"/>
      <x:c r="R939" s="86"/>
      <x:c r="S939" s="32"/>
    </x:row>
    <x:row r="940">
      <x:c r="A940" s="87"/>
      <x:c r="B940" s="88"/>
      <x:c r="D940" s="32"/>
      <x:c r="G940" s="74"/>
      <x:c r="H940" s="74"/>
      <x:c r="I940" s="74"/>
      <x:c r="J940" s="74"/>
      <x:c r="K940" s="74"/>
      <x:c r="L940" s="74"/>
      <x:c r="M940" s="91"/>
      <x:c r="N940" s="91"/>
      <x:c r="O940" s="85"/>
      <x:c r="Q940" s="86"/>
      <x:c r="R940" s="86"/>
      <x:c r="S940" s="32"/>
    </x:row>
    <x:row r="941">
      <x:c r="A941" s="87"/>
      <x:c r="B941" s="88"/>
      <x:c r="D941" s="32"/>
      <x:c r="G941" s="74"/>
      <x:c r="H941" s="74"/>
      <x:c r="I941" s="74"/>
      <x:c r="J941" s="74"/>
      <x:c r="K941" s="74"/>
      <x:c r="L941" s="74"/>
      <x:c r="M941" s="91"/>
      <x:c r="N941" s="91"/>
      <x:c r="O941" s="85"/>
      <x:c r="Q941" s="86"/>
      <x:c r="R941" s="86"/>
      <x:c r="S941" s="32"/>
    </x:row>
    <x:row r="942">
      <x:c r="A942" s="87"/>
      <x:c r="B942" s="88"/>
      <x:c r="D942" s="32"/>
      <x:c r="G942" s="74"/>
      <x:c r="H942" s="74"/>
      <x:c r="I942" s="74"/>
      <x:c r="J942" s="74"/>
      <x:c r="K942" s="74"/>
      <x:c r="L942" s="74"/>
      <x:c r="M942" s="91"/>
      <x:c r="N942" s="91"/>
      <x:c r="O942" s="85"/>
      <x:c r="Q942" s="86"/>
      <x:c r="R942" s="86"/>
      <x:c r="S942" s="32"/>
    </x:row>
    <x:row r="943">
      <x:c r="A943" s="87"/>
      <x:c r="B943" s="88"/>
      <x:c r="D943" s="32"/>
      <x:c r="G943" s="74"/>
      <x:c r="H943" s="74"/>
      <x:c r="I943" s="74"/>
      <x:c r="J943" s="74"/>
      <x:c r="K943" s="74"/>
      <x:c r="L943" s="74"/>
      <x:c r="M943" s="91"/>
      <x:c r="N943" s="91"/>
      <x:c r="O943" s="85"/>
      <x:c r="Q943" s="86"/>
      <x:c r="R943" s="86"/>
      <x:c r="S943" s="32"/>
    </x:row>
    <x:row r="944">
      <x:c r="A944" s="87"/>
      <x:c r="B944" s="88"/>
      <x:c r="D944" s="32"/>
      <x:c r="G944" s="74"/>
      <x:c r="H944" s="74"/>
      <x:c r="I944" s="74"/>
      <x:c r="J944" s="74"/>
      <x:c r="K944" s="74"/>
      <x:c r="L944" s="74"/>
      <x:c r="M944" s="91"/>
      <x:c r="N944" s="91"/>
      <x:c r="O944" s="85"/>
      <x:c r="Q944" s="86"/>
      <x:c r="R944" s="86"/>
      <x:c r="S944" s="32"/>
    </x:row>
    <x:row r="945">
      <x:c r="A945" s="87"/>
      <x:c r="B945" s="88"/>
      <x:c r="D945" s="32"/>
      <x:c r="G945" s="74"/>
      <x:c r="H945" s="74"/>
      <x:c r="I945" s="74"/>
      <x:c r="J945" s="74"/>
      <x:c r="K945" s="74"/>
      <x:c r="L945" s="74"/>
      <x:c r="M945" s="91"/>
      <x:c r="N945" s="91"/>
      <x:c r="O945" s="85"/>
      <x:c r="Q945" s="86"/>
      <x:c r="R945" s="86"/>
      <x:c r="S945" s="32"/>
    </x:row>
    <x:row r="946">
      <x:c r="A946" s="87"/>
      <x:c r="B946" s="88"/>
      <x:c r="D946" s="32"/>
      <x:c r="G946" s="74"/>
      <x:c r="H946" s="74"/>
      <x:c r="I946" s="74"/>
      <x:c r="J946" s="74"/>
      <x:c r="K946" s="74"/>
      <x:c r="L946" s="74"/>
      <x:c r="M946" s="91"/>
      <x:c r="N946" s="91"/>
      <x:c r="O946" s="85"/>
      <x:c r="Q946" s="86"/>
      <x:c r="R946" s="86"/>
      <x:c r="S946" s="32"/>
    </x:row>
    <x:row r="947">
      <x:c r="A947" s="87"/>
      <x:c r="B947" s="88"/>
      <x:c r="D947" s="32"/>
      <x:c r="G947" s="74"/>
      <x:c r="H947" s="74"/>
      <x:c r="I947" s="74"/>
      <x:c r="J947" s="74"/>
      <x:c r="K947" s="74"/>
      <x:c r="L947" s="74"/>
      <x:c r="M947" s="91"/>
      <x:c r="N947" s="91"/>
      <x:c r="O947" s="85"/>
      <x:c r="Q947" s="86"/>
      <x:c r="R947" s="86"/>
      <x:c r="S947" s="32"/>
    </x:row>
    <x:row r="948">
      <x:c r="A948" s="87"/>
      <x:c r="B948" s="88"/>
      <x:c r="D948" s="32"/>
      <x:c r="G948" s="74"/>
      <x:c r="H948" s="74"/>
      <x:c r="I948" s="74"/>
      <x:c r="J948" s="74"/>
      <x:c r="K948" s="74"/>
      <x:c r="L948" s="74"/>
      <x:c r="M948" s="91"/>
      <x:c r="N948" s="91"/>
      <x:c r="O948" s="85"/>
      <x:c r="Q948" s="86"/>
      <x:c r="R948" s="86"/>
      <x:c r="S948" s="32"/>
    </x:row>
    <x:row r="949">
      <x:c r="A949" s="87"/>
      <x:c r="B949" s="88"/>
      <x:c r="D949" s="32"/>
      <x:c r="G949" s="74"/>
      <x:c r="H949" s="74"/>
      <x:c r="I949" s="74"/>
      <x:c r="J949" s="74"/>
      <x:c r="K949" s="74"/>
      <x:c r="L949" s="74"/>
      <x:c r="M949" s="91"/>
      <x:c r="N949" s="91"/>
      <x:c r="O949" s="85"/>
      <x:c r="Q949" s="86"/>
      <x:c r="R949" s="86"/>
      <x:c r="S949" s="32"/>
    </x:row>
    <x:row r="950">
      <x:c r="A950" s="87"/>
      <x:c r="B950" s="88"/>
      <x:c r="D950" s="32"/>
      <x:c r="G950" s="74"/>
      <x:c r="H950" s="74"/>
      <x:c r="I950" s="74"/>
      <x:c r="J950" s="74"/>
      <x:c r="K950" s="74"/>
      <x:c r="L950" s="74"/>
      <x:c r="M950" s="91"/>
      <x:c r="N950" s="91"/>
      <x:c r="O950" s="85"/>
      <x:c r="Q950" s="86"/>
      <x:c r="R950" s="86"/>
      <x:c r="S950" s="32"/>
    </x:row>
    <x:row r="951">
      <x:c r="A951" s="87"/>
      <x:c r="B951" s="88"/>
      <x:c r="D951" s="32"/>
      <x:c r="G951" s="74"/>
      <x:c r="H951" s="74"/>
      <x:c r="I951" s="74"/>
      <x:c r="J951" s="74"/>
      <x:c r="K951" s="74"/>
      <x:c r="L951" s="74"/>
      <x:c r="M951" s="91"/>
      <x:c r="N951" s="91"/>
      <x:c r="O951" s="85"/>
      <x:c r="Q951" s="86"/>
      <x:c r="R951" s="86"/>
      <x:c r="S951" s="32"/>
    </x:row>
    <x:row r="952">
      <x:c r="A952" s="87"/>
      <x:c r="B952" s="88"/>
      <x:c r="D952" s="32"/>
      <x:c r="G952" s="74"/>
      <x:c r="H952" s="74"/>
      <x:c r="I952" s="74"/>
      <x:c r="J952" s="74"/>
      <x:c r="K952" s="74"/>
      <x:c r="L952" s="74"/>
      <x:c r="M952" s="91"/>
      <x:c r="N952" s="91"/>
      <x:c r="O952" s="85"/>
      <x:c r="Q952" s="86"/>
      <x:c r="R952" s="86"/>
      <x:c r="S952" s="32"/>
    </x:row>
    <x:row r="953">
      <x:c r="A953" s="87"/>
      <x:c r="B953" s="88"/>
      <x:c r="D953" s="32"/>
      <x:c r="G953" s="74"/>
      <x:c r="H953" s="74"/>
      <x:c r="I953" s="74"/>
      <x:c r="J953" s="74"/>
      <x:c r="K953" s="74"/>
      <x:c r="L953" s="74"/>
      <x:c r="M953" s="91"/>
      <x:c r="N953" s="91"/>
      <x:c r="O953" s="85"/>
      <x:c r="Q953" s="86"/>
      <x:c r="R953" s="86"/>
      <x:c r="S953" s="32"/>
    </x:row>
    <x:row r="954">
      <x:c r="A954" s="87"/>
      <x:c r="B954" s="88"/>
      <x:c r="D954" s="32"/>
      <x:c r="G954" s="74"/>
      <x:c r="H954" s="74"/>
      <x:c r="I954" s="74"/>
      <x:c r="J954" s="74"/>
      <x:c r="K954" s="74"/>
      <x:c r="L954" s="74"/>
      <x:c r="M954" s="91"/>
      <x:c r="N954" s="91"/>
      <x:c r="O954" s="85"/>
      <x:c r="Q954" s="86"/>
      <x:c r="R954" s="86"/>
      <x:c r="S954" s="32"/>
    </x:row>
    <x:row r="955">
      <x:c r="A955" s="87"/>
      <x:c r="B955" s="88"/>
      <x:c r="D955" s="32"/>
      <x:c r="G955" s="74"/>
      <x:c r="H955" s="74"/>
      <x:c r="I955" s="74"/>
      <x:c r="J955" s="74"/>
      <x:c r="K955" s="74"/>
      <x:c r="L955" s="74"/>
      <x:c r="M955" s="91"/>
      <x:c r="N955" s="91"/>
      <x:c r="O955" s="85"/>
      <x:c r="Q955" s="86"/>
      <x:c r="R955" s="86"/>
      <x:c r="S955" s="32"/>
    </x:row>
    <x:row r="956">
      <x:c r="A956" s="87"/>
      <x:c r="B956" s="88"/>
      <x:c r="D956" s="32"/>
      <x:c r="G956" s="74"/>
      <x:c r="H956" s="74"/>
      <x:c r="I956" s="74"/>
      <x:c r="J956" s="74"/>
      <x:c r="K956" s="74"/>
      <x:c r="L956" s="74"/>
      <x:c r="M956" s="91"/>
      <x:c r="N956" s="91"/>
      <x:c r="O956" s="85"/>
      <x:c r="Q956" s="86"/>
      <x:c r="R956" s="86"/>
      <x:c r="S956" s="32"/>
    </x:row>
    <x:row r="957">
      <x:c r="A957" s="87"/>
      <x:c r="B957" s="88"/>
      <x:c r="D957" s="32"/>
      <x:c r="G957" s="74"/>
      <x:c r="H957" s="74"/>
      <x:c r="I957" s="74"/>
      <x:c r="J957" s="74"/>
      <x:c r="K957" s="74"/>
      <x:c r="L957" s="74"/>
      <x:c r="M957" s="91"/>
      <x:c r="N957" s="91"/>
      <x:c r="O957" s="85"/>
      <x:c r="Q957" s="86"/>
      <x:c r="R957" s="86"/>
      <x:c r="S957" s="32"/>
    </x:row>
    <x:row r="958">
      <x:c r="A958" s="87"/>
      <x:c r="B958" s="88"/>
      <x:c r="D958" s="32"/>
      <x:c r="G958" s="74"/>
      <x:c r="H958" s="74"/>
      <x:c r="I958" s="74"/>
      <x:c r="J958" s="74"/>
      <x:c r="K958" s="74"/>
      <x:c r="L958" s="74"/>
      <x:c r="M958" s="91"/>
      <x:c r="N958" s="91"/>
      <x:c r="O958" s="85"/>
      <x:c r="Q958" s="86"/>
      <x:c r="R958" s="86"/>
      <x:c r="S958" s="32"/>
    </x:row>
    <x:row r="959">
      <x:c r="A959" s="87"/>
      <x:c r="B959" s="88"/>
      <x:c r="D959" s="32"/>
      <x:c r="G959" s="74"/>
      <x:c r="H959" s="74"/>
      <x:c r="I959" s="74"/>
      <x:c r="J959" s="74"/>
      <x:c r="K959" s="74"/>
      <x:c r="L959" s="74"/>
      <x:c r="M959" s="91"/>
      <x:c r="N959" s="91"/>
      <x:c r="O959" s="85"/>
      <x:c r="Q959" s="86"/>
      <x:c r="R959" s="86"/>
      <x:c r="S959" s="32"/>
    </x:row>
    <x:row r="960">
      <x:c r="A960" s="87"/>
      <x:c r="B960" s="88"/>
      <x:c r="D960" s="32"/>
      <x:c r="G960" s="74"/>
      <x:c r="H960" s="74"/>
      <x:c r="I960" s="74"/>
      <x:c r="J960" s="74"/>
      <x:c r="K960" s="74"/>
      <x:c r="L960" s="74"/>
      <x:c r="M960" s="91"/>
      <x:c r="N960" s="91"/>
      <x:c r="O960" s="85"/>
      <x:c r="Q960" s="86"/>
      <x:c r="R960" s="86"/>
      <x:c r="S960" s="32"/>
    </x:row>
    <x:row r="961">
      <x:c r="A961" s="87"/>
      <x:c r="B961" s="88"/>
      <x:c r="D961" s="32"/>
      <x:c r="G961" s="74"/>
      <x:c r="H961" s="74"/>
      <x:c r="I961" s="74"/>
      <x:c r="J961" s="74"/>
      <x:c r="K961" s="74"/>
      <x:c r="L961" s="74"/>
      <x:c r="M961" s="91"/>
      <x:c r="N961" s="91"/>
      <x:c r="O961" s="85"/>
      <x:c r="Q961" s="86"/>
      <x:c r="R961" s="86"/>
      <x:c r="S961" s="32"/>
    </x:row>
    <x:row r="962">
      <x:c r="A962" s="87"/>
      <x:c r="B962" s="88"/>
      <x:c r="D962" s="32"/>
      <x:c r="G962" s="74"/>
      <x:c r="H962" s="74"/>
      <x:c r="I962" s="74"/>
      <x:c r="J962" s="74"/>
      <x:c r="K962" s="74"/>
      <x:c r="L962" s="74"/>
      <x:c r="M962" s="91"/>
      <x:c r="N962" s="91"/>
      <x:c r="O962" s="85"/>
      <x:c r="Q962" s="86"/>
      <x:c r="R962" s="86"/>
      <x:c r="S962" s="32"/>
    </x:row>
    <x:row r="963">
      <x:c r="A963" s="87"/>
      <x:c r="B963" s="88"/>
      <x:c r="D963" s="32"/>
      <x:c r="G963" s="74"/>
      <x:c r="H963" s="74"/>
      <x:c r="I963" s="74"/>
      <x:c r="J963" s="74"/>
      <x:c r="K963" s="74"/>
      <x:c r="L963" s="74"/>
      <x:c r="M963" s="91"/>
      <x:c r="N963" s="91"/>
      <x:c r="O963" s="85"/>
      <x:c r="Q963" s="86"/>
      <x:c r="R963" s="86"/>
      <x:c r="S963" s="32"/>
    </x:row>
    <x:row r="964">
      <x:c r="A964" s="87"/>
      <x:c r="B964" s="88"/>
      <x:c r="D964" s="32"/>
      <x:c r="G964" s="74"/>
      <x:c r="H964" s="74"/>
      <x:c r="I964" s="74"/>
      <x:c r="J964" s="74"/>
      <x:c r="K964" s="74"/>
      <x:c r="L964" s="74"/>
      <x:c r="M964" s="91"/>
      <x:c r="N964" s="91"/>
      <x:c r="O964" s="85"/>
      <x:c r="Q964" s="86"/>
      <x:c r="R964" s="86"/>
      <x:c r="S964" s="32"/>
    </x:row>
    <x:row r="965">
      <x:c r="A965" s="87"/>
      <x:c r="B965" s="88"/>
      <x:c r="D965" s="32"/>
      <x:c r="G965" s="74"/>
      <x:c r="H965" s="74"/>
      <x:c r="I965" s="74"/>
      <x:c r="J965" s="74"/>
      <x:c r="K965" s="74"/>
      <x:c r="L965" s="74"/>
      <x:c r="M965" s="91"/>
      <x:c r="N965" s="91"/>
      <x:c r="O965" s="85"/>
      <x:c r="Q965" s="86"/>
      <x:c r="R965" s="86"/>
      <x:c r="S965" s="32"/>
    </x:row>
    <x:row r="966">
      <x:c r="A966" s="87"/>
      <x:c r="B966" s="88"/>
      <x:c r="D966" s="32"/>
      <x:c r="G966" s="74"/>
      <x:c r="H966" s="74"/>
      <x:c r="I966" s="74"/>
      <x:c r="J966" s="74"/>
      <x:c r="K966" s="74"/>
      <x:c r="L966" s="74"/>
      <x:c r="M966" s="91"/>
      <x:c r="N966" s="91"/>
      <x:c r="O966" s="85"/>
      <x:c r="Q966" s="86"/>
      <x:c r="R966" s="86"/>
      <x:c r="S966" s="32"/>
    </x:row>
    <x:row r="967">
      <x:c r="A967" s="87"/>
      <x:c r="B967" s="88"/>
      <x:c r="D967" s="32"/>
      <x:c r="G967" s="74"/>
      <x:c r="H967" s="74"/>
      <x:c r="I967" s="74"/>
      <x:c r="J967" s="74"/>
      <x:c r="K967" s="74"/>
      <x:c r="L967" s="74"/>
      <x:c r="M967" s="91"/>
      <x:c r="N967" s="91"/>
      <x:c r="O967" s="85"/>
      <x:c r="Q967" s="86"/>
      <x:c r="R967" s="86"/>
      <x:c r="S967" s="32"/>
    </x:row>
    <x:row r="968">
      <x:c r="A968" s="87"/>
      <x:c r="B968" s="88"/>
      <x:c r="D968" s="32"/>
      <x:c r="G968" s="74"/>
      <x:c r="H968" s="74"/>
      <x:c r="I968" s="74"/>
      <x:c r="J968" s="74"/>
      <x:c r="K968" s="74"/>
      <x:c r="L968" s="74"/>
      <x:c r="M968" s="91"/>
      <x:c r="N968" s="91"/>
      <x:c r="O968" s="85"/>
      <x:c r="Q968" s="86"/>
      <x:c r="R968" s="86"/>
      <x:c r="S968" s="32"/>
    </x:row>
    <x:row r="969">
      <x:c r="A969" s="87"/>
      <x:c r="B969" s="88"/>
      <x:c r="D969" s="32"/>
      <x:c r="G969" s="74"/>
      <x:c r="H969" s="74"/>
      <x:c r="I969" s="74"/>
      <x:c r="J969" s="74"/>
      <x:c r="K969" s="74"/>
      <x:c r="L969" s="74"/>
      <x:c r="M969" s="91"/>
      <x:c r="N969" s="91"/>
      <x:c r="O969" s="85"/>
      <x:c r="Q969" s="86"/>
      <x:c r="R969" s="86"/>
      <x:c r="S969" s="32"/>
    </x:row>
    <x:row r="970">
      <x:c r="A970" s="87"/>
      <x:c r="B970" s="88"/>
      <x:c r="D970" s="32"/>
      <x:c r="G970" s="74"/>
      <x:c r="H970" s="74"/>
      <x:c r="I970" s="74"/>
      <x:c r="J970" s="74"/>
      <x:c r="K970" s="74"/>
      <x:c r="L970" s="74"/>
      <x:c r="M970" s="91"/>
      <x:c r="N970" s="91"/>
      <x:c r="O970" s="85"/>
      <x:c r="Q970" s="86"/>
      <x:c r="R970" s="86"/>
      <x:c r="S970" s="32"/>
    </x:row>
    <x:row r="971">
      <x:c r="A971" s="87"/>
      <x:c r="B971" s="88"/>
      <x:c r="D971" s="32"/>
      <x:c r="G971" s="74"/>
      <x:c r="H971" s="74"/>
      <x:c r="I971" s="74"/>
      <x:c r="J971" s="74"/>
      <x:c r="K971" s="74"/>
      <x:c r="L971" s="74"/>
      <x:c r="M971" s="91"/>
      <x:c r="N971" s="91"/>
      <x:c r="O971" s="85"/>
      <x:c r="Q971" s="86"/>
      <x:c r="R971" s="86"/>
      <x:c r="S971" s="32"/>
    </x:row>
    <x:row r="972">
      <x:c r="A972" s="87"/>
      <x:c r="B972" s="88"/>
      <x:c r="D972" s="32"/>
      <x:c r="G972" s="74"/>
      <x:c r="H972" s="74"/>
      <x:c r="I972" s="74"/>
      <x:c r="J972" s="74"/>
      <x:c r="K972" s="74"/>
      <x:c r="L972" s="74"/>
      <x:c r="M972" s="91"/>
      <x:c r="N972" s="91"/>
      <x:c r="O972" s="85"/>
      <x:c r="Q972" s="86"/>
      <x:c r="R972" s="86"/>
      <x:c r="S972" s="32"/>
    </x:row>
    <x:row r="973">
      <x:c r="A973" s="87"/>
      <x:c r="B973" s="88"/>
      <x:c r="D973" s="32"/>
      <x:c r="G973" s="74"/>
      <x:c r="H973" s="74"/>
      <x:c r="I973" s="74"/>
      <x:c r="J973" s="74"/>
      <x:c r="K973" s="74"/>
      <x:c r="L973" s="74"/>
      <x:c r="M973" s="91"/>
      <x:c r="N973" s="91"/>
      <x:c r="O973" s="85"/>
      <x:c r="Q973" s="86"/>
      <x:c r="R973" s="86"/>
      <x:c r="S973" s="32"/>
    </x:row>
    <x:row r="974">
      <x:c r="A974" s="87"/>
      <x:c r="B974" s="88"/>
      <x:c r="D974" s="32"/>
      <x:c r="G974" s="74"/>
      <x:c r="H974" s="74"/>
      <x:c r="I974" s="74"/>
      <x:c r="J974" s="74"/>
      <x:c r="K974" s="74"/>
      <x:c r="L974" s="74"/>
      <x:c r="M974" s="91"/>
      <x:c r="N974" s="91"/>
      <x:c r="O974" s="85"/>
      <x:c r="Q974" s="86"/>
      <x:c r="R974" s="86"/>
      <x:c r="S974" s="32"/>
    </x:row>
    <x:row r="975">
      <x:c r="A975" s="87"/>
      <x:c r="B975" s="88"/>
      <x:c r="D975" s="32"/>
      <x:c r="G975" s="74"/>
      <x:c r="H975" s="74"/>
      <x:c r="I975" s="74"/>
      <x:c r="J975" s="74"/>
      <x:c r="K975" s="74"/>
      <x:c r="L975" s="74"/>
      <x:c r="M975" s="91"/>
      <x:c r="N975" s="91"/>
      <x:c r="O975" s="85"/>
      <x:c r="Q975" s="86"/>
      <x:c r="R975" s="86"/>
      <x:c r="S975" s="32"/>
    </x:row>
    <x:row r="976">
      <x:c r="A976" s="87"/>
      <x:c r="B976" s="88"/>
      <x:c r="D976" s="32"/>
      <x:c r="G976" s="74"/>
      <x:c r="H976" s="74"/>
      <x:c r="I976" s="74"/>
      <x:c r="J976" s="74"/>
      <x:c r="K976" s="74"/>
      <x:c r="L976" s="74"/>
      <x:c r="M976" s="91"/>
      <x:c r="N976" s="91"/>
      <x:c r="O976" s="85"/>
      <x:c r="Q976" s="86"/>
      <x:c r="R976" s="86"/>
      <x:c r="S976" s="32"/>
    </x:row>
    <x:row r="977">
      <x:c r="A977" s="87"/>
      <x:c r="B977" s="88"/>
      <x:c r="D977" s="32"/>
      <x:c r="G977" s="74"/>
      <x:c r="H977" s="74"/>
      <x:c r="I977" s="74"/>
      <x:c r="J977" s="74"/>
      <x:c r="K977" s="74"/>
      <x:c r="L977" s="74"/>
      <x:c r="M977" s="91"/>
      <x:c r="N977" s="91"/>
      <x:c r="O977" s="85"/>
      <x:c r="Q977" s="86"/>
      <x:c r="R977" s="86"/>
      <x:c r="S977" s="32"/>
    </x:row>
    <x:row r="978">
      <x:c r="A978" s="87"/>
      <x:c r="B978" s="88"/>
      <x:c r="D978" s="32"/>
      <x:c r="G978" s="74"/>
      <x:c r="H978" s="74"/>
      <x:c r="I978" s="74"/>
      <x:c r="J978" s="74"/>
      <x:c r="K978" s="74"/>
      <x:c r="L978" s="74"/>
      <x:c r="M978" s="91"/>
      <x:c r="N978" s="91"/>
      <x:c r="O978" s="85"/>
      <x:c r="Q978" s="86"/>
      <x:c r="R978" s="86"/>
      <x:c r="S978" s="32"/>
    </x:row>
    <x:row r="979">
      <x:c r="A979" s="87"/>
      <x:c r="B979" s="88"/>
      <x:c r="D979" s="32"/>
      <x:c r="G979" s="74"/>
      <x:c r="H979" s="74"/>
      <x:c r="I979" s="74"/>
      <x:c r="J979" s="74"/>
      <x:c r="K979" s="74"/>
      <x:c r="L979" s="74"/>
      <x:c r="M979" s="91"/>
      <x:c r="N979" s="91"/>
      <x:c r="O979" s="85"/>
      <x:c r="Q979" s="86"/>
      <x:c r="R979" s="86"/>
      <x:c r="S979" s="32"/>
    </x:row>
    <x:row r="980">
      <x:c r="A980" s="87"/>
      <x:c r="B980" s="88"/>
      <x:c r="D980" s="32"/>
      <x:c r="G980" s="74"/>
      <x:c r="H980" s="74"/>
      <x:c r="I980" s="74"/>
      <x:c r="J980" s="74"/>
      <x:c r="K980" s="74"/>
      <x:c r="L980" s="74"/>
      <x:c r="M980" s="91"/>
      <x:c r="N980" s="91"/>
      <x:c r="O980" s="85"/>
      <x:c r="Q980" s="86"/>
      <x:c r="R980" s="86"/>
      <x:c r="S980" s="32"/>
    </x:row>
    <x:row r="981">
      <x:c r="A981" s="87"/>
      <x:c r="B981" s="88"/>
      <x:c r="D981" s="32"/>
      <x:c r="G981" s="74"/>
      <x:c r="H981" s="74"/>
      <x:c r="I981" s="74"/>
      <x:c r="J981" s="74"/>
      <x:c r="K981" s="74"/>
      <x:c r="L981" s="74"/>
      <x:c r="M981" s="91"/>
      <x:c r="N981" s="91"/>
      <x:c r="O981" s="85"/>
      <x:c r="Q981" s="86"/>
      <x:c r="R981" s="86"/>
      <x:c r="S981" s="32"/>
    </x:row>
    <x:row r="982">
      <x:c r="A982" s="87"/>
      <x:c r="B982" s="88"/>
      <x:c r="D982" s="32"/>
      <x:c r="G982" s="74"/>
      <x:c r="H982" s="74"/>
      <x:c r="I982" s="74"/>
      <x:c r="J982" s="74"/>
      <x:c r="K982" s="74"/>
      <x:c r="L982" s="74"/>
      <x:c r="M982" s="91"/>
      <x:c r="N982" s="91"/>
      <x:c r="O982" s="85"/>
      <x:c r="Q982" s="86"/>
      <x:c r="R982" s="86"/>
      <x:c r="S982" s="32"/>
    </x:row>
    <x:row r="983">
      <x:c r="A983" s="87"/>
      <x:c r="B983" s="88"/>
      <x:c r="D983" s="32"/>
      <x:c r="G983" s="74"/>
      <x:c r="H983" s="74"/>
      <x:c r="I983" s="74"/>
      <x:c r="J983" s="74"/>
      <x:c r="K983" s="74"/>
      <x:c r="L983" s="74"/>
      <x:c r="M983" s="91"/>
      <x:c r="N983" s="91"/>
      <x:c r="O983" s="85"/>
      <x:c r="Q983" s="86"/>
      <x:c r="R983" s="86"/>
      <x:c r="S983" s="32"/>
    </x:row>
    <x:row r="984">
      <x:c r="A984" s="87"/>
      <x:c r="B984" s="88"/>
      <x:c r="D984" s="32"/>
      <x:c r="G984" s="74"/>
      <x:c r="H984" s="74"/>
      <x:c r="I984" s="74"/>
      <x:c r="J984" s="74"/>
      <x:c r="K984" s="74"/>
      <x:c r="L984" s="74"/>
      <x:c r="M984" s="91"/>
      <x:c r="N984" s="91"/>
      <x:c r="O984" s="85"/>
      <x:c r="Q984" s="86"/>
      <x:c r="R984" s="86"/>
      <x:c r="S984" s="32"/>
    </x:row>
    <x:row r="985">
      <x:c r="A985" s="87"/>
      <x:c r="B985" s="88"/>
      <x:c r="D985" s="32"/>
      <x:c r="G985" s="74"/>
      <x:c r="H985" s="74"/>
      <x:c r="I985" s="74"/>
      <x:c r="J985" s="74"/>
      <x:c r="K985" s="74"/>
      <x:c r="L985" s="74"/>
      <x:c r="M985" s="91"/>
      <x:c r="N985" s="91"/>
      <x:c r="O985" s="85"/>
      <x:c r="Q985" s="86"/>
      <x:c r="R985" s="86"/>
      <x:c r="S985" s="32"/>
    </x:row>
    <x:row r="986">
      <x:c r="A986" s="87"/>
      <x:c r="B986" s="88"/>
      <x:c r="D986" s="32"/>
      <x:c r="G986" s="74"/>
      <x:c r="H986" s="74"/>
      <x:c r="I986" s="74"/>
      <x:c r="J986" s="74"/>
      <x:c r="K986" s="74"/>
      <x:c r="L986" s="74"/>
      <x:c r="M986" s="91"/>
      <x:c r="N986" s="91"/>
      <x:c r="O986" s="85"/>
      <x:c r="Q986" s="86"/>
      <x:c r="R986" s="86"/>
      <x:c r="S986" s="32"/>
    </x:row>
    <x:row r="987">
      <x:c r="A987" s="87"/>
      <x:c r="B987" s="88"/>
      <x:c r="D987" s="32"/>
      <x:c r="G987" s="74"/>
      <x:c r="H987" s="74"/>
      <x:c r="I987" s="74"/>
      <x:c r="J987" s="74"/>
      <x:c r="K987" s="74"/>
      <x:c r="L987" s="74"/>
      <x:c r="M987" s="91"/>
      <x:c r="N987" s="91"/>
      <x:c r="O987" s="85"/>
      <x:c r="Q987" s="86"/>
      <x:c r="R987" s="86"/>
      <x:c r="S987" s="32"/>
    </x:row>
    <x:row r="988">
      <x:c r="A988" s="87"/>
      <x:c r="B988" s="88"/>
      <x:c r="D988" s="32"/>
      <x:c r="G988" s="74"/>
      <x:c r="H988" s="74"/>
      <x:c r="I988" s="74"/>
      <x:c r="J988" s="74"/>
      <x:c r="K988" s="74"/>
      <x:c r="L988" s="74"/>
      <x:c r="M988" s="91"/>
      <x:c r="N988" s="91"/>
      <x:c r="O988" s="85"/>
      <x:c r="Q988" s="86"/>
      <x:c r="R988" s="86"/>
      <x:c r="S988" s="32"/>
    </x:row>
    <x:row r="989">
      <x:c r="A989" s="87"/>
      <x:c r="B989" s="88"/>
      <x:c r="D989" s="32"/>
      <x:c r="G989" s="74"/>
      <x:c r="H989" s="74"/>
      <x:c r="I989" s="74"/>
      <x:c r="J989" s="74"/>
      <x:c r="K989" s="74"/>
      <x:c r="L989" s="74"/>
      <x:c r="M989" s="91"/>
      <x:c r="N989" s="91"/>
      <x:c r="O989" s="85"/>
      <x:c r="Q989" s="86"/>
      <x:c r="R989" s="86"/>
      <x:c r="S989" s="32"/>
    </x:row>
    <x:row r="990">
      <x:c r="A990" s="87"/>
      <x:c r="B990" s="88"/>
      <x:c r="D990" s="32"/>
      <x:c r="G990" s="74"/>
      <x:c r="H990" s="74"/>
      <x:c r="I990" s="74"/>
      <x:c r="J990" s="74"/>
      <x:c r="K990" s="74"/>
      <x:c r="L990" s="74"/>
      <x:c r="M990" s="91"/>
      <x:c r="N990" s="91"/>
      <x:c r="O990" s="85"/>
      <x:c r="Q990" s="86"/>
      <x:c r="R990" s="86"/>
      <x:c r="S990" s="32"/>
    </x:row>
    <x:row r="991">
      <x:c r="A991" s="87"/>
      <x:c r="B991" s="88"/>
      <x:c r="D991" s="32"/>
      <x:c r="G991" s="74"/>
      <x:c r="H991" s="74"/>
      <x:c r="I991" s="74"/>
      <x:c r="J991" s="74"/>
      <x:c r="K991" s="74"/>
      <x:c r="L991" s="74"/>
      <x:c r="M991" s="91"/>
      <x:c r="N991" s="91"/>
      <x:c r="O991" s="85"/>
      <x:c r="Q991" s="86"/>
      <x:c r="R991" s="86"/>
      <x:c r="S991" s="32"/>
    </x:row>
    <x:row r="992">
      <x:c r="A992" s="87"/>
      <x:c r="B992" s="88"/>
      <x:c r="D992" s="32"/>
      <x:c r="G992" s="74"/>
      <x:c r="H992" s="74"/>
      <x:c r="I992" s="74"/>
      <x:c r="J992" s="74"/>
      <x:c r="K992" s="74"/>
      <x:c r="L992" s="74"/>
      <x:c r="M992" s="91"/>
      <x:c r="N992" s="91"/>
      <x:c r="O992" s="85"/>
      <x:c r="Q992" s="86"/>
      <x:c r="R992" s="86"/>
      <x:c r="S992" s="32"/>
    </x:row>
    <x:row r="993">
      <x:c r="A993" s="87"/>
      <x:c r="B993" s="88"/>
      <x:c r="D993" s="32"/>
      <x:c r="G993" s="74"/>
      <x:c r="H993" s="74"/>
      <x:c r="I993" s="74"/>
      <x:c r="J993" s="74"/>
      <x:c r="K993" s="74"/>
      <x:c r="L993" s="74"/>
      <x:c r="M993" s="91"/>
      <x:c r="N993" s="91"/>
      <x:c r="O993" s="85"/>
      <x:c r="Q993" s="86"/>
      <x:c r="R993" s="86"/>
      <x:c r="S993" s="32"/>
    </x:row>
    <x:row r="994">
      <x:c r="A994" s="87"/>
      <x:c r="B994" s="88"/>
      <x:c r="D994" s="32"/>
      <x:c r="G994" s="74"/>
      <x:c r="H994" s="74"/>
      <x:c r="I994" s="74"/>
      <x:c r="J994" s="74"/>
      <x:c r="K994" s="74"/>
      <x:c r="L994" s="74"/>
      <x:c r="M994" s="91"/>
      <x:c r="N994" s="91"/>
      <x:c r="O994" s="85"/>
      <x:c r="Q994" s="86"/>
      <x:c r="R994" s="86"/>
      <x:c r="S994" s="32"/>
    </x:row>
    <x:row r="995">
      <x:c r="A995" s="87"/>
      <x:c r="B995" s="88"/>
      <x:c r="D995" s="32"/>
      <x:c r="G995" s="74"/>
      <x:c r="H995" s="74"/>
      <x:c r="I995" s="74"/>
      <x:c r="J995" s="74"/>
      <x:c r="K995" s="74"/>
      <x:c r="L995" s="74"/>
      <x:c r="M995" s="91"/>
      <x:c r="N995" s="91"/>
      <x:c r="O995" s="85"/>
      <x:c r="Q995" s="86"/>
      <x:c r="R995" s="86"/>
      <x:c r="S995" s="32"/>
    </x:row>
    <x:row r="996">
      <x:c r="A996" s="87"/>
      <x:c r="B996" s="88"/>
      <x:c r="D996" s="32"/>
      <x:c r="G996" s="74"/>
      <x:c r="H996" s="74"/>
      <x:c r="I996" s="74"/>
      <x:c r="J996" s="74"/>
      <x:c r="K996" s="74"/>
      <x:c r="L996" s="74"/>
      <x:c r="M996" s="91"/>
      <x:c r="N996" s="91"/>
      <x:c r="O996" s="85"/>
      <x:c r="Q996" s="86"/>
      <x:c r="R996" s="86"/>
      <x:c r="S996" s="32"/>
    </x:row>
    <x:row r="997">
      <x:c r="A997" s="87"/>
      <x:c r="B997" s="88"/>
      <x:c r="D997" s="32"/>
      <x:c r="G997" s="74"/>
      <x:c r="H997" s="74"/>
      <x:c r="I997" s="74"/>
      <x:c r="J997" s="74"/>
      <x:c r="K997" s="74"/>
      <x:c r="L997" s="74"/>
      <x:c r="M997" s="91"/>
      <x:c r="N997" s="91"/>
      <x:c r="O997" s="85"/>
      <x:c r="Q997" s="86"/>
      <x:c r="R997" s="86"/>
      <x:c r="S997" s="32"/>
    </x:row>
    <x:row r="998">
      <x:c r="A998" s="87"/>
      <x:c r="B998" s="88"/>
      <x:c r="D998" s="32"/>
      <x:c r="G998" s="74"/>
      <x:c r="H998" s="74"/>
      <x:c r="I998" s="74"/>
      <x:c r="J998" s="74"/>
      <x:c r="K998" s="74"/>
      <x:c r="L998" s="74"/>
      <x:c r="M998" s="91"/>
      <x:c r="N998" s="91"/>
      <x:c r="O998" s="85"/>
      <x:c r="Q998" s="86"/>
      <x:c r="R998" s="86"/>
      <x:c r="S998" s="32"/>
    </x:row>
    <x:row r="999">
      <x:c r="A999" s="87"/>
      <x:c r="B999" s="88"/>
      <x:c r="D999" s="32"/>
      <x:c r="G999" s="74"/>
      <x:c r="H999" s="74"/>
      <x:c r="I999" s="74"/>
      <x:c r="J999" s="74"/>
      <x:c r="K999" s="74"/>
      <x:c r="L999" s="74"/>
      <x:c r="M999" s="91"/>
      <x:c r="N999" s="91"/>
      <x:c r="O999" s="85"/>
      <x:c r="Q999" s="86"/>
      <x:c r="R999" s="86"/>
      <x:c r="S999" s="32"/>
    </x:row>
    <x:row r="1000">
      <x:c r="A1000" s="87"/>
      <x:c r="B1000" s="88"/>
      <x:c r="D1000" s="32"/>
      <x:c r="G1000" s="74"/>
      <x:c r="H1000" s="74"/>
      <x:c r="I1000" s="74"/>
      <x:c r="J1000" s="74"/>
      <x:c r="K1000" s="74"/>
      <x:c r="L1000" s="74"/>
      <x:c r="M1000" s="91"/>
      <x:c r="N1000" s="91"/>
      <x:c r="O1000" s="85"/>
      <x:c r="Q1000" s="86"/>
      <x:c r="R1000" s="86"/>
      <x:c r="S1000" s="32"/>
    </x:row>
    <x:row r="1001">
      <x:c r="A1001" s="87"/>
      <x:c r="B1001" s="88"/>
      <x:c r="D1001" s="32"/>
      <x:c r="G1001" s="74"/>
      <x:c r="H1001" s="74"/>
      <x:c r="I1001" s="74"/>
      <x:c r="J1001" s="74"/>
      <x:c r="K1001" s="74"/>
      <x:c r="L1001" s="74"/>
      <x:c r="M1001" s="91"/>
      <x:c r="N1001" s="91"/>
      <x:c r="O1001" s="85"/>
      <x:c r="Q1001" s="86"/>
      <x:c r="R1001" s="86"/>
      <x:c r="S1001" s="32"/>
    </x:row>
    <x:row r="1002">
      <x:c r="A1002" s="87"/>
      <x:c r="B1002" s="88"/>
      <x:c r="D1002" s="32"/>
      <x:c r="G1002" s="74"/>
      <x:c r="H1002" s="74"/>
      <x:c r="I1002" s="74"/>
      <x:c r="J1002" s="74"/>
      <x:c r="K1002" s="74"/>
      <x:c r="L1002" s="74"/>
      <x:c r="M1002" s="91"/>
      <x:c r="N1002" s="91"/>
      <x:c r="O1002" s="85"/>
      <x:c r="Q1002" s="86"/>
      <x:c r="R1002" s="86"/>
      <x:c r="S1002" s="32"/>
    </x:row>
    <x:row r="1003">
      <x:c r="A1003" s="87"/>
      <x:c r="B1003" s="88"/>
      <x:c r="D1003" s="32"/>
      <x:c r="G1003" s="74"/>
      <x:c r="H1003" s="74"/>
      <x:c r="I1003" s="74"/>
      <x:c r="J1003" s="74"/>
      <x:c r="K1003" s="74"/>
      <x:c r="L1003" s="74"/>
      <x:c r="M1003" s="91"/>
      <x:c r="N1003" s="91"/>
      <x:c r="O1003" s="85"/>
      <x:c r="Q1003" s="86"/>
      <x:c r="R1003" s="86"/>
      <x:c r="S1003" s="32"/>
    </x:row>
    <x:row r="1004">
      <x:c r="A1004" s="87"/>
      <x:c r="B1004" s="88"/>
      <x:c r="D1004" s="32"/>
      <x:c r="G1004" s="74"/>
      <x:c r="H1004" s="74"/>
      <x:c r="I1004" s="74"/>
      <x:c r="J1004" s="74"/>
      <x:c r="K1004" s="74"/>
      <x:c r="L1004" s="74"/>
      <x:c r="M1004" s="91"/>
      <x:c r="N1004" s="91"/>
      <x:c r="O1004" s="85"/>
      <x:c r="Q1004" s="86"/>
      <x:c r="R1004" s="86"/>
      <x:c r="S1004" s="32"/>
    </x:row>
    <x:row r="1005">
      <x:c r="A1005" s="87"/>
      <x:c r="B1005" s="88"/>
      <x:c r="D1005" s="32"/>
      <x:c r="G1005" s="74"/>
      <x:c r="H1005" s="74"/>
      <x:c r="I1005" s="74"/>
      <x:c r="J1005" s="74"/>
      <x:c r="K1005" s="74"/>
      <x:c r="L1005" s="74"/>
      <x:c r="M1005" s="91"/>
      <x:c r="N1005" s="91"/>
      <x:c r="O1005" s="85"/>
      <x:c r="Q1005" s="86"/>
      <x:c r="R1005" s="86"/>
      <x:c r="S1005" s="32"/>
    </x:row>
    <x:row r="1006">
      <x:c r="A1006" s="87"/>
      <x:c r="B1006" s="88"/>
      <x:c r="D1006" s="32"/>
      <x:c r="G1006" s="74"/>
      <x:c r="H1006" s="74"/>
      <x:c r="I1006" s="74"/>
      <x:c r="J1006" s="74"/>
      <x:c r="K1006" s="74"/>
      <x:c r="L1006" s="74"/>
      <x:c r="M1006" s="91"/>
      <x:c r="N1006" s="91"/>
      <x:c r="O1006" s="85"/>
      <x:c r="Q1006" s="86"/>
      <x:c r="R1006" s="86"/>
      <x:c r="S1006" s="32"/>
    </x:row>
    <x:row r="1007">
      <x:c r="A1007" s="87"/>
      <x:c r="B1007" s="88"/>
      <x:c r="D1007" s="32"/>
      <x:c r="G1007" s="74"/>
      <x:c r="H1007" s="74"/>
      <x:c r="I1007" s="74"/>
      <x:c r="J1007" s="74"/>
      <x:c r="K1007" s="74"/>
      <x:c r="L1007" s="74"/>
      <x:c r="M1007" s="91"/>
      <x:c r="N1007" s="91"/>
      <x:c r="O1007" s="85"/>
      <x:c r="Q1007" s="86"/>
      <x:c r="R1007" s="86"/>
      <x:c r="S1007" s="32"/>
    </x:row>
    <x:row r="1008">
      <x:c r="A1008" s="87"/>
      <x:c r="B1008" s="88"/>
      <x:c r="D1008" s="32"/>
      <x:c r="G1008" s="74"/>
      <x:c r="H1008" s="74"/>
      <x:c r="I1008" s="74"/>
      <x:c r="J1008" s="74"/>
      <x:c r="K1008" s="74"/>
      <x:c r="L1008" s="74"/>
      <x:c r="M1008" s="91"/>
      <x:c r="N1008" s="91"/>
      <x:c r="O1008" s="85"/>
      <x:c r="Q1008" s="86"/>
      <x:c r="R1008" s="86"/>
      <x:c r="S1008" s="32"/>
    </x:row>
    <x:row r="1009">
      <x:c r="A1009" s="87"/>
      <x:c r="B1009" s="88"/>
      <x:c r="D1009" s="32"/>
      <x:c r="G1009" s="74"/>
      <x:c r="H1009" s="74"/>
      <x:c r="I1009" s="74"/>
      <x:c r="J1009" s="74"/>
      <x:c r="K1009" s="74"/>
      <x:c r="L1009" s="74"/>
      <x:c r="M1009" s="91"/>
      <x:c r="N1009" s="91"/>
      <x:c r="O1009" s="85"/>
      <x:c r="Q1009" s="86"/>
      <x:c r="R1009" s="86"/>
      <x:c r="S1009" s="32"/>
    </x:row>
    <x:row r="1010">
      <x:c r="A1010" s="87"/>
      <x:c r="B1010" s="88"/>
      <x:c r="D1010" s="32"/>
      <x:c r="G1010" s="74"/>
      <x:c r="H1010" s="74"/>
      <x:c r="I1010" s="74"/>
      <x:c r="J1010" s="74"/>
      <x:c r="K1010" s="74"/>
      <x:c r="L1010" s="74"/>
      <x:c r="M1010" s="91"/>
      <x:c r="N1010" s="91"/>
      <x:c r="O1010" s="85"/>
      <x:c r="Q1010" s="86"/>
      <x:c r="R1010" s="86"/>
      <x:c r="S1010" s="32"/>
    </x:row>
    <x:row r="1011">
      <x:c r="A1011" s="87"/>
      <x:c r="B1011" s="88"/>
      <x:c r="D1011" s="32"/>
      <x:c r="G1011" s="74"/>
      <x:c r="H1011" s="74"/>
      <x:c r="I1011" s="74"/>
      <x:c r="J1011" s="74"/>
      <x:c r="K1011" s="74"/>
      <x:c r="L1011" s="74"/>
      <x:c r="M1011" s="91"/>
      <x:c r="N1011" s="91"/>
      <x:c r="O1011" s="85"/>
      <x:c r="Q1011" s="86"/>
      <x:c r="R1011" s="86"/>
      <x:c r="S1011" s="32"/>
    </x:row>
    <x:row r="1012">
      <x:c r="A1012" s="87"/>
      <x:c r="B1012" s="88"/>
      <x:c r="D1012" s="32"/>
      <x:c r="G1012" s="74"/>
      <x:c r="H1012" s="74"/>
      <x:c r="I1012" s="74"/>
      <x:c r="J1012" s="74"/>
      <x:c r="K1012" s="74"/>
      <x:c r="L1012" s="74"/>
      <x:c r="M1012" s="91"/>
      <x:c r="N1012" s="91"/>
      <x:c r="O1012" s="85"/>
      <x:c r="Q1012" s="86"/>
      <x:c r="R1012" s="86"/>
      <x:c r="S1012" s="32"/>
    </x:row>
    <x:row r="1013">
      <x:c r="A1013" s="87"/>
      <x:c r="B1013" s="88"/>
      <x:c r="D1013" s="32"/>
      <x:c r="G1013" s="74"/>
      <x:c r="H1013" s="74"/>
      <x:c r="I1013" s="74"/>
      <x:c r="J1013" s="74"/>
      <x:c r="K1013" s="74"/>
      <x:c r="L1013" s="74"/>
      <x:c r="M1013" s="91"/>
      <x:c r="N1013" s="91"/>
      <x:c r="O1013" s="85"/>
      <x:c r="Q1013" s="86"/>
      <x:c r="R1013" s="86"/>
      <x:c r="S1013" s="32"/>
    </x:row>
    <x:row r="1014">
      <x:c r="A1014" s="87"/>
      <x:c r="B1014" s="88"/>
      <x:c r="D1014" s="32"/>
      <x:c r="G1014" s="74"/>
      <x:c r="H1014" s="74"/>
      <x:c r="I1014" s="74"/>
      <x:c r="J1014" s="74"/>
      <x:c r="K1014" s="74"/>
      <x:c r="L1014" s="74"/>
      <x:c r="M1014" s="91"/>
      <x:c r="N1014" s="91"/>
      <x:c r="O1014" s="85"/>
      <x:c r="Q1014" s="86"/>
      <x:c r="R1014" s="86"/>
      <x:c r="S1014" s="32"/>
    </x:row>
    <x:row r="1015">
      <x:c r="A1015" s="87"/>
      <x:c r="B1015" s="88"/>
      <x:c r="D1015" s="32"/>
      <x:c r="G1015" s="74"/>
      <x:c r="H1015" s="74"/>
      <x:c r="I1015" s="74"/>
      <x:c r="J1015" s="74"/>
      <x:c r="K1015" s="74"/>
      <x:c r="L1015" s="74"/>
      <x:c r="M1015" s="91"/>
      <x:c r="N1015" s="91"/>
      <x:c r="O1015" s="85"/>
      <x:c r="Q1015" s="86"/>
      <x:c r="R1015" s="86"/>
      <x:c r="S1015" s="32"/>
    </x:row>
    <x:row r="1016">
      <x:c r="A1016" s="87"/>
      <x:c r="B1016" s="88"/>
      <x:c r="D1016" s="32"/>
      <x:c r="G1016" s="74"/>
      <x:c r="H1016" s="74"/>
      <x:c r="I1016" s="74"/>
      <x:c r="J1016" s="74"/>
      <x:c r="K1016" s="74"/>
      <x:c r="L1016" s="74"/>
      <x:c r="M1016" s="91"/>
      <x:c r="N1016" s="91"/>
      <x:c r="O1016" s="85"/>
      <x:c r="Q1016" s="86"/>
      <x:c r="R1016" s="86"/>
      <x:c r="S1016" s="32"/>
    </x:row>
    <x:row r="1017">
      <x:c r="A1017" s="87"/>
      <x:c r="B1017" s="88"/>
      <x:c r="D1017" s="32"/>
      <x:c r="G1017" s="74"/>
      <x:c r="H1017" s="74"/>
      <x:c r="I1017" s="74"/>
      <x:c r="J1017" s="74"/>
      <x:c r="K1017" s="74"/>
      <x:c r="L1017" s="74"/>
      <x:c r="M1017" s="91"/>
      <x:c r="N1017" s="91"/>
      <x:c r="O1017" s="85"/>
      <x:c r="Q1017" s="86"/>
      <x:c r="R1017" s="86"/>
      <x:c r="S1017" s="32"/>
    </x:row>
    <x:row r="1018">
      <x:c r="A1018" s="87"/>
      <x:c r="B1018" s="88"/>
      <x:c r="D1018" s="32"/>
      <x:c r="G1018" s="74"/>
      <x:c r="H1018" s="74"/>
      <x:c r="I1018" s="74"/>
      <x:c r="J1018" s="74"/>
      <x:c r="K1018" s="74"/>
      <x:c r="L1018" s="74"/>
      <x:c r="M1018" s="91"/>
      <x:c r="N1018" s="91"/>
      <x:c r="O1018" s="85"/>
      <x:c r="Q1018" s="86"/>
      <x:c r="R1018" s="86"/>
      <x:c r="S1018" s="32"/>
    </x:row>
    <x:row r="1019">
      <x:c r="A1019" s="87"/>
      <x:c r="B1019" s="88"/>
      <x:c r="D1019" s="32"/>
      <x:c r="G1019" s="74"/>
      <x:c r="H1019" s="74"/>
      <x:c r="I1019" s="74"/>
      <x:c r="J1019" s="74"/>
      <x:c r="K1019" s="74"/>
      <x:c r="L1019" s="74"/>
      <x:c r="M1019" s="91"/>
      <x:c r="N1019" s="91"/>
      <x:c r="O1019" s="85"/>
      <x:c r="Q1019" s="86"/>
      <x:c r="R1019" s="86"/>
      <x:c r="S1019" s="32"/>
    </x:row>
    <x:row r="1020">
      <x:c r="A1020" s="87"/>
      <x:c r="B1020" s="88"/>
      <x:c r="D1020" s="32"/>
      <x:c r="G1020" s="74"/>
      <x:c r="H1020" s="74"/>
      <x:c r="I1020" s="74"/>
      <x:c r="J1020" s="74"/>
      <x:c r="K1020" s="74"/>
      <x:c r="L1020" s="74"/>
      <x:c r="M1020" s="91"/>
      <x:c r="N1020" s="91"/>
      <x:c r="O1020" s="85"/>
      <x:c r="Q1020" s="86"/>
      <x:c r="R1020" s="86"/>
      <x:c r="S1020" s="32"/>
    </x:row>
    <x:row r="1021">
      <x:c r="A1021" s="87"/>
      <x:c r="B1021" s="88"/>
      <x:c r="D1021" s="32"/>
      <x:c r="G1021" s="74"/>
      <x:c r="H1021" s="74"/>
      <x:c r="I1021" s="74"/>
      <x:c r="J1021" s="74"/>
      <x:c r="K1021" s="74"/>
      <x:c r="L1021" s="74"/>
      <x:c r="M1021" s="91"/>
      <x:c r="N1021" s="91"/>
      <x:c r="O1021" s="85"/>
      <x:c r="Q1021" s="86"/>
      <x:c r="R1021" s="86"/>
      <x:c r="S1021" s="32"/>
    </x:row>
    <x:row r="1022">
      <x:c r="A1022" s="87"/>
      <x:c r="B1022" s="88"/>
      <x:c r="D1022" s="32"/>
      <x:c r="G1022" s="74"/>
      <x:c r="H1022" s="74"/>
      <x:c r="I1022" s="74"/>
      <x:c r="J1022" s="74"/>
      <x:c r="K1022" s="74"/>
      <x:c r="L1022" s="74"/>
      <x:c r="M1022" s="91"/>
      <x:c r="N1022" s="91"/>
      <x:c r="O1022" s="85"/>
      <x:c r="Q1022" s="86"/>
      <x:c r="R1022" s="86"/>
      <x:c r="S1022" s="32"/>
    </x:row>
    <x:row r="1023">
      <x:c r="A1023" s="87"/>
      <x:c r="B1023" s="88"/>
      <x:c r="D1023" s="32"/>
      <x:c r="G1023" s="74"/>
      <x:c r="H1023" s="74"/>
      <x:c r="I1023" s="74"/>
      <x:c r="J1023" s="74"/>
      <x:c r="K1023" s="74"/>
      <x:c r="L1023" s="74"/>
      <x:c r="M1023" s="91"/>
      <x:c r="N1023" s="91"/>
      <x:c r="O1023" s="85"/>
      <x:c r="Q1023" s="86"/>
      <x:c r="R1023" s="86"/>
      <x:c r="S1023" s="32"/>
    </x:row>
    <x:row r="1024">
      <x:c r="A1024" s="87"/>
      <x:c r="B1024" s="88"/>
      <x:c r="D1024" s="32"/>
      <x:c r="G1024" s="74"/>
      <x:c r="H1024" s="74"/>
      <x:c r="I1024" s="74"/>
      <x:c r="J1024" s="74"/>
      <x:c r="K1024" s="74"/>
      <x:c r="L1024" s="74"/>
      <x:c r="M1024" s="91"/>
      <x:c r="N1024" s="91"/>
      <x:c r="O1024" s="85"/>
      <x:c r="Q1024" s="86"/>
      <x:c r="R1024" s="86"/>
      <x:c r="S1024" s="32"/>
    </x:row>
    <x:row r="1025">
      <x:c r="A1025" s="87"/>
      <x:c r="B1025" s="88"/>
      <x:c r="D1025" s="32"/>
      <x:c r="G1025" s="74"/>
      <x:c r="H1025" s="74"/>
      <x:c r="I1025" s="74"/>
      <x:c r="J1025" s="74"/>
      <x:c r="K1025" s="74"/>
      <x:c r="L1025" s="74"/>
      <x:c r="M1025" s="91"/>
      <x:c r="N1025" s="91"/>
      <x:c r="O1025" s="85"/>
      <x:c r="Q1025" s="86"/>
      <x:c r="R1025" s="86"/>
      <x:c r="S1025" s="32"/>
    </x:row>
    <x:row r="1026">
      <x:c r="A1026" s="87"/>
      <x:c r="B1026" s="88"/>
      <x:c r="D1026" s="32"/>
      <x:c r="G1026" s="74"/>
      <x:c r="H1026" s="74"/>
      <x:c r="I1026" s="74"/>
      <x:c r="J1026" s="74"/>
      <x:c r="K1026" s="74"/>
      <x:c r="L1026" s="74"/>
      <x:c r="M1026" s="91"/>
      <x:c r="N1026" s="91"/>
      <x:c r="O1026" s="85"/>
      <x:c r="Q1026" s="86"/>
      <x:c r="R1026" s="86"/>
      <x:c r="S1026" s="32"/>
    </x:row>
    <x:row r="1027">
      <x:c r="A1027" s="87"/>
      <x:c r="B1027" s="88"/>
      <x:c r="D1027" s="32"/>
      <x:c r="G1027" s="74"/>
      <x:c r="H1027" s="74"/>
      <x:c r="I1027" s="74"/>
      <x:c r="J1027" s="74"/>
      <x:c r="K1027" s="74"/>
      <x:c r="L1027" s="74"/>
      <x:c r="M1027" s="91"/>
      <x:c r="N1027" s="91"/>
      <x:c r="O1027" s="85"/>
      <x:c r="Q1027" s="86"/>
      <x:c r="R1027" s="86"/>
      <x:c r="S1027" s="32"/>
    </x:row>
    <x:row r="1028">
      <x:c r="A1028" s="87"/>
      <x:c r="B1028" s="88"/>
      <x:c r="D1028" s="32"/>
      <x:c r="G1028" s="74"/>
      <x:c r="H1028" s="74"/>
      <x:c r="I1028" s="74"/>
      <x:c r="J1028" s="74"/>
      <x:c r="K1028" s="74"/>
      <x:c r="L1028" s="74"/>
      <x:c r="M1028" s="91"/>
      <x:c r="N1028" s="91"/>
      <x:c r="O1028" s="85"/>
      <x:c r="Q1028" s="86"/>
      <x:c r="R1028" s="86"/>
      <x:c r="S1028" s="32"/>
    </x:row>
    <x:row r="1029">
      <x:c r="A1029" s="87"/>
      <x:c r="B1029" s="88"/>
      <x:c r="D1029" s="32"/>
      <x:c r="G1029" s="74"/>
      <x:c r="H1029" s="74"/>
      <x:c r="I1029" s="74"/>
      <x:c r="J1029" s="74"/>
      <x:c r="K1029" s="74"/>
      <x:c r="L1029" s="74"/>
      <x:c r="M1029" s="91"/>
      <x:c r="N1029" s="91"/>
      <x:c r="O1029" s="85"/>
      <x:c r="Q1029" s="86"/>
      <x:c r="R1029" s="86"/>
      <x:c r="S1029" s="32"/>
    </x:row>
    <x:row r="1030">
      <x:c r="A1030" s="87"/>
      <x:c r="B1030" s="88"/>
      <x:c r="D1030" s="32"/>
      <x:c r="G1030" s="74"/>
      <x:c r="H1030" s="74"/>
      <x:c r="I1030" s="74"/>
      <x:c r="J1030" s="74"/>
      <x:c r="K1030" s="74"/>
      <x:c r="L1030" s="74"/>
      <x:c r="M1030" s="91"/>
      <x:c r="N1030" s="91"/>
      <x:c r="O1030" s="85"/>
      <x:c r="Q1030" s="86"/>
      <x:c r="R1030" s="86"/>
      <x:c r="S1030" s="32"/>
    </x:row>
    <x:row r="1031">
      <x:c r="A1031" s="87"/>
      <x:c r="B1031" s="88"/>
      <x:c r="D1031" s="32"/>
      <x:c r="G1031" s="74"/>
      <x:c r="H1031" s="74"/>
      <x:c r="I1031" s="74"/>
      <x:c r="J1031" s="74"/>
      <x:c r="K1031" s="74"/>
      <x:c r="L1031" s="74"/>
      <x:c r="M1031" s="91"/>
      <x:c r="N1031" s="91"/>
      <x:c r="O1031" s="85"/>
      <x:c r="Q1031" s="86"/>
      <x:c r="R1031" s="86"/>
      <x:c r="S1031" s="32"/>
    </x:row>
    <x:row r="1032">
      <x:c r="A1032" s="87"/>
      <x:c r="B1032" s="88"/>
      <x:c r="D1032" s="32"/>
      <x:c r="G1032" s="74"/>
      <x:c r="H1032" s="74"/>
      <x:c r="I1032" s="74"/>
      <x:c r="J1032" s="74"/>
      <x:c r="K1032" s="74"/>
      <x:c r="L1032" s="74"/>
      <x:c r="M1032" s="91"/>
      <x:c r="N1032" s="91"/>
      <x:c r="O1032" s="85"/>
      <x:c r="Q1032" s="86"/>
      <x:c r="R1032" s="86"/>
      <x:c r="S1032" s="32"/>
    </x:row>
    <x:row r="1033">
      <x:c r="A1033" s="87"/>
      <x:c r="B1033" s="88"/>
      <x:c r="D1033" s="32"/>
      <x:c r="G1033" s="74"/>
      <x:c r="H1033" s="74"/>
      <x:c r="I1033" s="74"/>
      <x:c r="J1033" s="74"/>
      <x:c r="K1033" s="74"/>
      <x:c r="L1033" s="74"/>
      <x:c r="M1033" s="91"/>
      <x:c r="N1033" s="91"/>
      <x:c r="O1033" s="85"/>
      <x:c r="Q1033" s="86"/>
      <x:c r="R1033" s="86"/>
      <x:c r="S1033" s="32"/>
    </x:row>
    <x:row r="1034">
      <x:c r="A1034" s="87"/>
      <x:c r="B1034" s="88"/>
      <x:c r="D1034" s="32"/>
      <x:c r="G1034" s="74"/>
      <x:c r="H1034" s="74"/>
      <x:c r="I1034" s="74"/>
      <x:c r="J1034" s="74"/>
      <x:c r="K1034" s="74"/>
      <x:c r="L1034" s="74"/>
      <x:c r="M1034" s="91"/>
      <x:c r="N1034" s="91"/>
      <x:c r="O1034" s="85"/>
      <x:c r="Q1034" s="86"/>
      <x:c r="R1034" s="86"/>
      <x:c r="S1034" s="32"/>
    </x:row>
    <x:row r="1035">
      <x:c r="A1035" s="87"/>
      <x:c r="B1035" s="88"/>
      <x:c r="D1035" s="32"/>
      <x:c r="G1035" s="74"/>
      <x:c r="H1035" s="74"/>
      <x:c r="I1035" s="74"/>
      <x:c r="J1035" s="74"/>
      <x:c r="K1035" s="74"/>
      <x:c r="L1035" s="74"/>
      <x:c r="M1035" s="91"/>
      <x:c r="N1035" s="91"/>
      <x:c r="O1035" s="85"/>
      <x:c r="Q1035" s="86"/>
      <x:c r="R1035" s="86"/>
      <x:c r="S1035" s="32"/>
    </x:row>
    <x:row r="1036">
      <x:c r="A1036" s="87"/>
      <x:c r="B1036" s="88"/>
      <x:c r="D1036" s="32"/>
      <x:c r="G1036" s="74"/>
      <x:c r="H1036" s="74"/>
      <x:c r="I1036" s="74"/>
      <x:c r="J1036" s="74"/>
      <x:c r="K1036" s="74"/>
      <x:c r="L1036" s="74"/>
      <x:c r="M1036" s="91"/>
      <x:c r="N1036" s="91"/>
      <x:c r="O1036" s="85"/>
      <x:c r="Q1036" s="86"/>
      <x:c r="R1036" s="86"/>
      <x:c r="S1036" s="32"/>
    </x:row>
    <x:row r="1037">
      <x:c r="A1037" s="87"/>
      <x:c r="B1037" s="88"/>
      <x:c r="D1037" s="32"/>
      <x:c r="G1037" s="74"/>
      <x:c r="H1037" s="74"/>
      <x:c r="I1037" s="74"/>
      <x:c r="J1037" s="74"/>
      <x:c r="K1037" s="74"/>
      <x:c r="L1037" s="74"/>
      <x:c r="M1037" s="91"/>
      <x:c r="N1037" s="91"/>
      <x:c r="O1037" s="85"/>
      <x:c r="Q1037" s="86"/>
      <x:c r="R1037" s="86"/>
      <x:c r="S1037" s="32"/>
    </x:row>
    <x:row r="1038">
      <x:c r="A1038" s="87"/>
      <x:c r="B1038" s="88"/>
      <x:c r="D1038" s="32"/>
      <x:c r="G1038" s="74"/>
      <x:c r="H1038" s="74"/>
      <x:c r="I1038" s="74"/>
      <x:c r="J1038" s="74"/>
      <x:c r="K1038" s="74"/>
      <x:c r="L1038" s="74"/>
      <x:c r="M1038" s="91"/>
      <x:c r="N1038" s="91"/>
      <x:c r="O1038" s="85"/>
      <x:c r="Q1038" s="86"/>
      <x:c r="R1038" s="86"/>
      <x:c r="S1038" s="32"/>
    </x:row>
    <x:row r="1039">
      <x:c r="A1039" s="87"/>
      <x:c r="B1039" s="88"/>
      <x:c r="D1039" s="32"/>
      <x:c r="G1039" s="74"/>
      <x:c r="H1039" s="74"/>
      <x:c r="I1039" s="74"/>
      <x:c r="J1039" s="74"/>
      <x:c r="K1039" s="74"/>
      <x:c r="L1039" s="74"/>
      <x:c r="M1039" s="91"/>
      <x:c r="N1039" s="91"/>
      <x:c r="O1039" s="85"/>
      <x:c r="Q1039" s="86"/>
      <x:c r="R1039" s="86"/>
      <x:c r="S1039" s="32"/>
    </x:row>
    <x:row r="1040">
      <x:c r="A1040" s="87"/>
      <x:c r="B1040" s="88"/>
      <x:c r="D1040" s="32"/>
      <x:c r="G1040" s="74"/>
      <x:c r="H1040" s="74"/>
      <x:c r="I1040" s="74"/>
      <x:c r="J1040" s="74"/>
      <x:c r="K1040" s="74"/>
      <x:c r="L1040" s="74"/>
      <x:c r="M1040" s="91"/>
      <x:c r="N1040" s="91"/>
      <x:c r="O1040" s="85"/>
      <x:c r="Q1040" s="86"/>
      <x:c r="R1040" s="86"/>
      <x:c r="S1040" s="32"/>
    </x:row>
    <x:row r="1041">
      <x:c r="A1041" s="87"/>
      <x:c r="B1041" s="88"/>
      <x:c r="D1041" s="32"/>
      <x:c r="G1041" s="74"/>
      <x:c r="H1041" s="74"/>
      <x:c r="I1041" s="74"/>
      <x:c r="J1041" s="74"/>
      <x:c r="K1041" s="74"/>
      <x:c r="L1041" s="74"/>
      <x:c r="M1041" s="91"/>
      <x:c r="N1041" s="91"/>
      <x:c r="O1041" s="85"/>
      <x:c r="Q1041" s="86"/>
      <x:c r="R1041" s="86"/>
      <x:c r="S1041" s="32"/>
    </x:row>
    <x:row r="1042">
      <x:c r="A1042" s="87"/>
      <x:c r="B1042" s="88"/>
      <x:c r="D1042" s="32"/>
      <x:c r="G1042" s="74"/>
      <x:c r="H1042" s="74"/>
      <x:c r="I1042" s="74"/>
      <x:c r="J1042" s="74"/>
      <x:c r="K1042" s="74"/>
      <x:c r="L1042" s="74"/>
      <x:c r="M1042" s="91"/>
      <x:c r="N1042" s="91"/>
      <x:c r="O1042" s="85"/>
      <x:c r="Q1042" s="86"/>
      <x:c r="R1042" s="86"/>
      <x:c r="S1042" s="32"/>
    </x:row>
    <x:row r="1043">
      <x:c r="A1043" s="87"/>
      <x:c r="B1043" s="88"/>
      <x:c r="D1043" s="32"/>
      <x:c r="G1043" s="74"/>
      <x:c r="H1043" s="74"/>
      <x:c r="I1043" s="74"/>
      <x:c r="J1043" s="74"/>
      <x:c r="K1043" s="74"/>
      <x:c r="L1043" s="74"/>
      <x:c r="M1043" s="91"/>
      <x:c r="N1043" s="91"/>
      <x:c r="O1043" s="85"/>
      <x:c r="Q1043" s="86"/>
      <x:c r="R1043" s="86"/>
      <x:c r="S1043" s="32"/>
    </x:row>
    <x:row r="1044">
      <x:c r="A1044" s="87"/>
      <x:c r="B1044" s="88"/>
      <x:c r="D1044" s="32"/>
      <x:c r="G1044" s="74"/>
      <x:c r="H1044" s="74"/>
      <x:c r="I1044" s="74"/>
      <x:c r="J1044" s="74"/>
      <x:c r="K1044" s="74"/>
      <x:c r="L1044" s="74"/>
      <x:c r="M1044" s="91"/>
      <x:c r="N1044" s="91"/>
      <x:c r="O1044" s="85"/>
      <x:c r="Q1044" s="86"/>
      <x:c r="R1044" s="86"/>
      <x:c r="S1044" s="32"/>
    </x:row>
    <x:row r="1045">
      <x:c r="A1045" s="87"/>
      <x:c r="B1045" s="88"/>
      <x:c r="D1045" s="32"/>
      <x:c r="G1045" s="74"/>
      <x:c r="H1045" s="74"/>
      <x:c r="I1045" s="74"/>
      <x:c r="J1045" s="74"/>
      <x:c r="K1045" s="74"/>
      <x:c r="L1045" s="74"/>
      <x:c r="M1045" s="91"/>
      <x:c r="N1045" s="91"/>
      <x:c r="O1045" s="85"/>
      <x:c r="Q1045" s="86"/>
      <x:c r="R1045" s="86"/>
      <x:c r="S1045" s="32"/>
    </x:row>
    <x:row r="1046">
      <x:c r="A1046" s="87"/>
      <x:c r="B1046" s="88"/>
      <x:c r="D1046" s="32"/>
      <x:c r="G1046" s="74"/>
      <x:c r="H1046" s="74"/>
      <x:c r="I1046" s="74"/>
      <x:c r="J1046" s="74"/>
      <x:c r="K1046" s="74"/>
      <x:c r="L1046" s="74"/>
      <x:c r="M1046" s="91"/>
      <x:c r="N1046" s="91"/>
      <x:c r="O1046" s="85"/>
      <x:c r="Q1046" s="86"/>
      <x:c r="R1046" s="86"/>
      <x:c r="S1046" s="32"/>
    </x:row>
    <x:row r="1047">
      <x:c r="A1047" s="87"/>
      <x:c r="B1047" s="88"/>
      <x:c r="D1047" s="32"/>
      <x:c r="G1047" s="74"/>
      <x:c r="H1047" s="74"/>
      <x:c r="I1047" s="74"/>
      <x:c r="J1047" s="74"/>
      <x:c r="K1047" s="74"/>
      <x:c r="L1047" s="74"/>
      <x:c r="M1047" s="91"/>
      <x:c r="N1047" s="91"/>
      <x:c r="O1047" s="85"/>
      <x:c r="Q1047" s="86"/>
      <x:c r="R1047" s="86"/>
      <x:c r="S1047" s="32"/>
    </x:row>
    <x:row r="1048">
      <x:c r="A1048" s="87"/>
      <x:c r="B1048" s="88"/>
      <x:c r="D1048" s="32"/>
      <x:c r="G1048" s="74"/>
      <x:c r="H1048" s="74"/>
      <x:c r="I1048" s="74"/>
      <x:c r="J1048" s="74"/>
      <x:c r="K1048" s="74"/>
      <x:c r="L1048" s="74"/>
      <x:c r="M1048" s="91"/>
      <x:c r="N1048" s="91"/>
      <x:c r="O1048" s="85"/>
      <x:c r="Q1048" s="86"/>
      <x:c r="R1048" s="86"/>
      <x:c r="S1048" s="32"/>
    </x:row>
    <x:row r="1049">
      <x:c r="A1049" s="87"/>
      <x:c r="B1049" s="88"/>
      <x:c r="D1049" s="32"/>
      <x:c r="G1049" s="74"/>
      <x:c r="H1049" s="74"/>
      <x:c r="I1049" s="74"/>
      <x:c r="J1049" s="74"/>
      <x:c r="K1049" s="74"/>
      <x:c r="L1049" s="74"/>
      <x:c r="M1049" s="91"/>
      <x:c r="N1049" s="91"/>
      <x:c r="O1049" s="85"/>
      <x:c r="Q1049" s="86"/>
      <x:c r="R1049" s="86"/>
      <x:c r="S1049" s="32"/>
    </x:row>
    <x:row r="1050">
      <x:c r="A1050" s="87"/>
      <x:c r="B1050" s="88"/>
      <x:c r="D1050" s="32"/>
      <x:c r="G1050" s="74"/>
      <x:c r="H1050" s="74"/>
      <x:c r="I1050" s="74"/>
      <x:c r="J1050" s="74"/>
      <x:c r="K1050" s="74"/>
      <x:c r="L1050" s="74"/>
      <x:c r="M1050" s="91"/>
      <x:c r="N1050" s="91"/>
      <x:c r="O1050" s="85"/>
      <x:c r="Q1050" s="86"/>
      <x:c r="R1050" s="86"/>
      <x:c r="S1050" s="32"/>
    </x:row>
    <x:row r="1051">
      <x:c r="A1051" s="87"/>
      <x:c r="B1051" s="88"/>
      <x:c r="D1051" s="32"/>
      <x:c r="G1051" s="74"/>
      <x:c r="H1051" s="74"/>
      <x:c r="I1051" s="74"/>
      <x:c r="J1051" s="74"/>
      <x:c r="K1051" s="74"/>
      <x:c r="L1051" s="74"/>
      <x:c r="M1051" s="91"/>
      <x:c r="N1051" s="91"/>
      <x:c r="O1051" s="85"/>
      <x:c r="Q1051" s="86"/>
      <x:c r="R1051" s="86"/>
      <x:c r="S1051" s="32"/>
    </x:row>
    <x:row r="1052">
      <x:c r="A1052" s="87"/>
      <x:c r="B1052" s="88"/>
      <x:c r="D1052" s="32"/>
      <x:c r="G1052" s="74"/>
      <x:c r="H1052" s="74"/>
      <x:c r="I1052" s="74"/>
      <x:c r="J1052" s="74"/>
      <x:c r="K1052" s="74"/>
      <x:c r="L1052" s="74"/>
      <x:c r="M1052" s="91"/>
      <x:c r="N1052" s="91"/>
      <x:c r="O1052" s="85"/>
      <x:c r="Q1052" s="86"/>
      <x:c r="R1052" s="86"/>
      <x:c r="S1052" s="32"/>
    </x:row>
    <x:row r="1053">
      <x:c r="A1053" s="87"/>
      <x:c r="B1053" s="88"/>
      <x:c r="D1053" s="32"/>
      <x:c r="G1053" s="74"/>
      <x:c r="H1053" s="74"/>
      <x:c r="I1053" s="74"/>
      <x:c r="J1053" s="74"/>
      <x:c r="K1053" s="74"/>
      <x:c r="L1053" s="74"/>
      <x:c r="M1053" s="91"/>
      <x:c r="N1053" s="91"/>
      <x:c r="O1053" s="85"/>
      <x:c r="Q1053" s="86"/>
      <x:c r="R1053" s="86"/>
      <x:c r="S1053" s="32"/>
    </x:row>
    <x:row r="1054">
      <x:c r="A1054" s="87"/>
      <x:c r="B1054" s="88"/>
      <x:c r="D1054" s="32"/>
      <x:c r="G1054" s="74"/>
      <x:c r="H1054" s="74"/>
      <x:c r="I1054" s="74"/>
      <x:c r="J1054" s="74"/>
      <x:c r="K1054" s="74"/>
      <x:c r="L1054" s="74"/>
      <x:c r="M1054" s="91"/>
      <x:c r="N1054" s="91"/>
      <x:c r="O1054" s="85"/>
      <x:c r="Q1054" s="86"/>
      <x:c r="R1054" s="86"/>
      <x:c r="S1054" s="32"/>
    </x:row>
    <x:row r="1055">
      <x:c r="A1055" s="87"/>
      <x:c r="B1055" s="88"/>
      <x:c r="D1055" s="32"/>
      <x:c r="G1055" s="74"/>
      <x:c r="H1055" s="74"/>
      <x:c r="I1055" s="74"/>
      <x:c r="J1055" s="74"/>
      <x:c r="K1055" s="74"/>
      <x:c r="L1055" s="74"/>
      <x:c r="M1055" s="91"/>
      <x:c r="N1055" s="91"/>
      <x:c r="O1055" s="85"/>
      <x:c r="Q1055" s="86"/>
      <x:c r="R1055" s="86"/>
      <x:c r="S1055" s="32"/>
    </x:row>
    <x:row r="1056">
      <x:c r="A1056" s="87"/>
      <x:c r="B1056" s="88"/>
      <x:c r="D1056" s="32"/>
      <x:c r="G1056" s="74"/>
      <x:c r="H1056" s="74"/>
      <x:c r="I1056" s="74"/>
      <x:c r="J1056" s="74"/>
      <x:c r="K1056" s="74"/>
      <x:c r="L1056" s="74"/>
      <x:c r="M1056" s="91"/>
      <x:c r="N1056" s="91"/>
      <x:c r="O1056" s="85"/>
      <x:c r="Q1056" s="86"/>
      <x:c r="R1056" s="86"/>
      <x:c r="S1056" s="32"/>
    </x:row>
    <x:row r="1057">
      <x:c r="A1057" s="87"/>
      <x:c r="B1057" s="88"/>
      <x:c r="D1057" s="32"/>
      <x:c r="G1057" s="74"/>
      <x:c r="H1057" s="74"/>
      <x:c r="I1057" s="74"/>
      <x:c r="J1057" s="74"/>
      <x:c r="K1057" s="74"/>
      <x:c r="L1057" s="74"/>
      <x:c r="M1057" s="91"/>
      <x:c r="N1057" s="91"/>
      <x:c r="O1057" s="85"/>
      <x:c r="Q1057" s="86"/>
      <x:c r="R1057" s="86"/>
      <x:c r="S1057" s="32"/>
    </x:row>
    <x:row r="1058">
      <x:c r="A1058" s="87"/>
      <x:c r="B1058" s="88"/>
      <x:c r="D1058" s="32"/>
      <x:c r="G1058" s="74"/>
      <x:c r="H1058" s="74"/>
      <x:c r="I1058" s="74"/>
      <x:c r="J1058" s="74"/>
      <x:c r="K1058" s="74"/>
      <x:c r="L1058" s="74"/>
      <x:c r="M1058" s="91"/>
      <x:c r="N1058" s="91"/>
      <x:c r="O1058" s="85"/>
      <x:c r="Q1058" s="86"/>
      <x:c r="R1058" s="86"/>
      <x:c r="S1058" s="32"/>
    </x:row>
    <x:row r="1059">
      <x:c r="A1059" s="87"/>
      <x:c r="B1059" s="88"/>
      <x:c r="D1059" s="32"/>
      <x:c r="G1059" s="74"/>
      <x:c r="H1059" s="74"/>
      <x:c r="I1059" s="74"/>
      <x:c r="J1059" s="74"/>
      <x:c r="K1059" s="74"/>
      <x:c r="L1059" s="74"/>
      <x:c r="M1059" s="91"/>
      <x:c r="N1059" s="91"/>
      <x:c r="O1059" s="85"/>
      <x:c r="Q1059" s="86"/>
      <x:c r="R1059" s="86"/>
      <x:c r="S1059" s="32"/>
    </x:row>
    <x:row r="1060">
      <x:c r="A1060" s="87"/>
      <x:c r="B1060" s="88"/>
      <x:c r="D1060" s="32"/>
      <x:c r="G1060" s="74"/>
      <x:c r="H1060" s="74"/>
      <x:c r="I1060" s="74"/>
      <x:c r="J1060" s="74"/>
      <x:c r="K1060" s="74"/>
      <x:c r="L1060" s="74"/>
      <x:c r="M1060" s="91"/>
      <x:c r="N1060" s="91"/>
      <x:c r="O1060" s="85"/>
      <x:c r="Q1060" s="86"/>
      <x:c r="R1060" s="86"/>
      <x:c r="S1060" s="32"/>
    </x:row>
    <x:row r="1061">
      <x:c r="A1061" s="87"/>
      <x:c r="B1061" s="88"/>
      <x:c r="D1061" s="32"/>
      <x:c r="G1061" s="74"/>
      <x:c r="H1061" s="74"/>
      <x:c r="I1061" s="74"/>
      <x:c r="J1061" s="74"/>
      <x:c r="K1061" s="74"/>
      <x:c r="L1061" s="74"/>
      <x:c r="M1061" s="91"/>
      <x:c r="N1061" s="91"/>
      <x:c r="O1061" s="85"/>
      <x:c r="Q1061" s="86"/>
      <x:c r="R1061" s="86"/>
      <x:c r="S1061" s="32"/>
    </x:row>
    <x:row r="1062">
      <x:c r="A1062" s="87"/>
      <x:c r="B1062" s="88"/>
      <x:c r="D1062" s="32"/>
      <x:c r="G1062" s="74"/>
      <x:c r="H1062" s="74"/>
      <x:c r="I1062" s="74"/>
      <x:c r="J1062" s="74"/>
      <x:c r="K1062" s="74"/>
      <x:c r="L1062" s="74"/>
      <x:c r="M1062" s="91"/>
      <x:c r="N1062" s="91"/>
      <x:c r="O1062" s="85"/>
      <x:c r="Q1062" s="86"/>
      <x:c r="R1062" s="86"/>
      <x:c r="S1062" s="32"/>
    </x:row>
    <x:row r="1063">
      <x:c r="A1063" s="87"/>
      <x:c r="B1063" s="88"/>
      <x:c r="D1063" s="32"/>
      <x:c r="G1063" s="74"/>
      <x:c r="H1063" s="74"/>
      <x:c r="I1063" s="74"/>
      <x:c r="J1063" s="74"/>
      <x:c r="K1063" s="74"/>
      <x:c r="L1063" s="74"/>
      <x:c r="M1063" s="91"/>
      <x:c r="N1063" s="91"/>
      <x:c r="O1063" s="85"/>
      <x:c r="Q1063" s="86"/>
      <x:c r="R1063" s="86"/>
      <x:c r="S1063" s="32"/>
    </x:row>
    <x:row r="1064">
      <x:c r="A1064" s="87"/>
      <x:c r="B1064" s="88"/>
      <x:c r="D1064" s="32"/>
      <x:c r="G1064" s="74"/>
      <x:c r="H1064" s="74"/>
      <x:c r="I1064" s="74"/>
      <x:c r="J1064" s="74"/>
      <x:c r="K1064" s="74"/>
      <x:c r="L1064" s="74"/>
      <x:c r="M1064" s="91"/>
      <x:c r="N1064" s="91"/>
      <x:c r="O1064" s="85"/>
      <x:c r="Q1064" s="86"/>
      <x:c r="R1064" s="86"/>
      <x:c r="S1064" s="32"/>
    </x:row>
    <x:row r="1065">
      <x:c r="A1065" s="87"/>
      <x:c r="B1065" s="88"/>
      <x:c r="D1065" s="32"/>
      <x:c r="G1065" s="74"/>
      <x:c r="H1065" s="74"/>
      <x:c r="I1065" s="74"/>
      <x:c r="J1065" s="74"/>
      <x:c r="K1065" s="74"/>
      <x:c r="L1065" s="74"/>
      <x:c r="M1065" s="91"/>
      <x:c r="N1065" s="91"/>
      <x:c r="O1065" s="85"/>
      <x:c r="Q1065" s="86"/>
      <x:c r="R1065" s="86"/>
      <x:c r="S1065" s="32"/>
    </x:row>
    <x:row r="1066">
      <x:c r="A1066" s="87"/>
      <x:c r="B1066" s="88"/>
      <x:c r="D1066" s="32"/>
      <x:c r="G1066" s="74"/>
      <x:c r="H1066" s="74"/>
      <x:c r="I1066" s="74"/>
      <x:c r="J1066" s="74"/>
      <x:c r="K1066" s="74"/>
      <x:c r="L1066" s="74"/>
      <x:c r="M1066" s="91"/>
      <x:c r="N1066" s="91"/>
      <x:c r="O1066" s="85"/>
      <x:c r="Q1066" s="86"/>
      <x:c r="R1066" s="86"/>
      <x:c r="S1066" s="32"/>
    </x:row>
    <x:row r="1067">
      <x:c r="A1067" s="87"/>
      <x:c r="B1067" s="88"/>
      <x:c r="D1067" s="32"/>
      <x:c r="G1067" s="74"/>
      <x:c r="H1067" s="74"/>
      <x:c r="I1067" s="74"/>
      <x:c r="J1067" s="74"/>
      <x:c r="K1067" s="74"/>
      <x:c r="L1067" s="74"/>
      <x:c r="M1067" s="91"/>
      <x:c r="N1067" s="91"/>
      <x:c r="O1067" s="85"/>
      <x:c r="Q1067" s="86"/>
      <x:c r="R1067" s="86"/>
      <x:c r="S1067" s="32"/>
    </x:row>
    <x:row r="1068">
      <x:c r="A1068" s="87"/>
      <x:c r="B1068" s="88"/>
      <x:c r="D1068" s="32"/>
      <x:c r="G1068" s="74"/>
      <x:c r="H1068" s="74"/>
      <x:c r="I1068" s="74"/>
      <x:c r="J1068" s="74"/>
      <x:c r="K1068" s="74"/>
      <x:c r="L1068" s="74"/>
      <x:c r="M1068" s="91"/>
      <x:c r="N1068" s="91"/>
      <x:c r="O1068" s="85"/>
      <x:c r="Q1068" s="86"/>
      <x:c r="R1068" s="86"/>
      <x:c r="S1068" s="32"/>
    </x:row>
    <x:row r="1069">
      <x:c r="A1069" s="87"/>
      <x:c r="B1069" s="88"/>
      <x:c r="D1069" s="32"/>
      <x:c r="G1069" s="74"/>
      <x:c r="H1069" s="74"/>
      <x:c r="I1069" s="74"/>
      <x:c r="J1069" s="74"/>
      <x:c r="K1069" s="74"/>
      <x:c r="L1069" s="74"/>
      <x:c r="M1069" s="91"/>
      <x:c r="N1069" s="91"/>
      <x:c r="O1069" s="85"/>
      <x:c r="Q1069" s="86"/>
      <x:c r="R1069" s="86"/>
      <x:c r="S1069" s="32"/>
    </x:row>
    <x:row r="1070">
      <x:c r="A1070" s="87"/>
      <x:c r="B1070" s="88"/>
      <x:c r="D1070" s="32"/>
      <x:c r="G1070" s="74"/>
      <x:c r="H1070" s="74"/>
      <x:c r="I1070" s="74"/>
      <x:c r="J1070" s="74"/>
      <x:c r="K1070" s="74"/>
      <x:c r="L1070" s="74"/>
      <x:c r="M1070" s="91"/>
      <x:c r="N1070" s="91"/>
      <x:c r="O1070" s="85"/>
      <x:c r="Q1070" s="86"/>
      <x:c r="R1070" s="86"/>
      <x:c r="S1070" s="32"/>
    </x:row>
    <x:row r="1071">
      <x:c r="A1071" s="87"/>
      <x:c r="B1071" s="88"/>
      <x:c r="D1071" s="32"/>
      <x:c r="G1071" s="74"/>
      <x:c r="H1071" s="74"/>
      <x:c r="I1071" s="74"/>
      <x:c r="J1071" s="74"/>
      <x:c r="K1071" s="74"/>
      <x:c r="L1071" s="74"/>
      <x:c r="M1071" s="91"/>
      <x:c r="N1071" s="91"/>
      <x:c r="O1071" s="85"/>
      <x:c r="Q1071" s="86"/>
      <x:c r="R1071" s="86"/>
      <x:c r="S1071" s="32"/>
    </x:row>
    <x:row r="1072">
      <x:c r="A1072" s="87"/>
      <x:c r="B1072" s="88"/>
      <x:c r="D1072" s="32"/>
      <x:c r="G1072" s="74"/>
      <x:c r="H1072" s="74"/>
      <x:c r="I1072" s="74"/>
      <x:c r="J1072" s="74"/>
      <x:c r="K1072" s="74"/>
      <x:c r="L1072" s="74"/>
      <x:c r="M1072" s="91"/>
      <x:c r="N1072" s="91"/>
      <x:c r="O1072" s="85"/>
      <x:c r="Q1072" s="86"/>
      <x:c r="R1072" s="86"/>
      <x:c r="S1072" s="32"/>
    </x:row>
    <x:row r="1073">
      <x:c r="A1073" s="87"/>
      <x:c r="B1073" s="88"/>
      <x:c r="D1073" s="32"/>
      <x:c r="G1073" s="74"/>
      <x:c r="H1073" s="74"/>
      <x:c r="I1073" s="74"/>
      <x:c r="J1073" s="74"/>
      <x:c r="K1073" s="74"/>
      <x:c r="L1073" s="74"/>
      <x:c r="M1073" s="91"/>
      <x:c r="N1073" s="91"/>
      <x:c r="O1073" s="85"/>
      <x:c r="Q1073" s="86"/>
      <x:c r="R1073" s="86"/>
      <x:c r="S1073" s="32"/>
    </x:row>
    <x:row r="1074">
      <x:c r="A1074" s="87"/>
      <x:c r="B1074" s="88"/>
      <x:c r="D1074" s="32"/>
      <x:c r="G1074" s="74"/>
      <x:c r="H1074" s="74"/>
      <x:c r="I1074" s="74"/>
      <x:c r="J1074" s="74"/>
      <x:c r="K1074" s="74"/>
      <x:c r="L1074" s="74"/>
      <x:c r="M1074" s="91"/>
      <x:c r="N1074" s="91"/>
      <x:c r="O1074" s="85"/>
      <x:c r="Q1074" s="86"/>
      <x:c r="R1074" s="86"/>
      <x:c r="S1074" s="32"/>
    </x:row>
    <x:row r="1075">
      <x:c r="A1075" s="87"/>
      <x:c r="B1075" s="88"/>
      <x:c r="D1075" s="32"/>
      <x:c r="G1075" s="74"/>
      <x:c r="H1075" s="74"/>
      <x:c r="I1075" s="74"/>
      <x:c r="J1075" s="74"/>
      <x:c r="K1075" s="74"/>
      <x:c r="L1075" s="74"/>
      <x:c r="M1075" s="91"/>
      <x:c r="N1075" s="91"/>
      <x:c r="O1075" s="85"/>
      <x:c r="Q1075" s="86"/>
      <x:c r="R1075" s="86"/>
      <x:c r="S1075" s="32"/>
    </x:row>
    <x:row r="1076">
      <x:c r="A1076" s="87"/>
      <x:c r="B1076" s="88"/>
      <x:c r="D1076" s="32"/>
      <x:c r="G1076" s="74"/>
      <x:c r="H1076" s="74"/>
      <x:c r="I1076" s="74"/>
      <x:c r="J1076" s="74"/>
      <x:c r="K1076" s="74"/>
      <x:c r="L1076" s="74"/>
      <x:c r="M1076" s="91"/>
      <x:c r="N1076" s="91"/>
      <x:c r="O1076" s="85"/>
      <x:c r="Q1076" s="86"/>
      <x:c r="R1076" s="86"/>
      <x:c r="S1076" s="32"/>
    </x:row>
    <x:row r="1077">
      <x:c r="A1077" s="87"/>
      <x:c r="B1077" s="88"/>
      <x:c r="D1077" s="32"/>
      <x:c r="G1077" s="74"/>
      <x:c r="H1077" s="74"/>
      <x:c r="I1077" s="74"/>
      <x:c r="J1077" s="74"/>
      <x:c r="K1077" s="74"/>
      <x:c r="L1077" s="74"/>
      <x:c r="M1077" s="91"/>
      <x:c r="N1077" s="91"/>
      <x:c r="O1077" s="85"/>
      <x:c r="Q1077" s="86"/>
      <x:c r="R1077" s="86"/>
      <x:c r="S1077" s="32"/>
    </x:row>
    <x:row r="1078">
      <x:c r="A1078" s="87"/>
      <x:c r="B1078" s="88"/>
      <x:c r="D1078" s="32"/>
      <x:c r="G1078" s="74"/>
      <x:c r="H1078" s="74"/>
      <x:c r="I1078" s="74"/>
      <x:c r="J1078" s="74"/>
      <x:c r="K1078" s="74"/>
      <x:c r="L1078" s="74"/>
      <x:c r="M1078" s="91"/>
      <x:c r="N1078" s="91"/>
      <x:c r="O1078" s="85"/>
      <x:c r="Q1078" s="86"/>
      <x:c r="R1078" s="86"/>
      <x:c r="S1078" s="32"/>
    </x:row>
    <x:row r="1079">
      <x:c r="A1079" s="87"/>
      <x:c r="B1079" s="88"/>
      <x:c r="D1079" s="32"/>
      <x:c r="G1079" s="74"/>
      <x:c r="H1079" s="74"/>
      <x:c r="I1079" s="74"/>
      <x:c r="J1079" s="74"/>
      <x:c r="K1079" s="74"/>
      <x:c r="L1079" s="74"/>
      <x:c r="M1079" s="91"/>
      <x:c r="N1079" s="91"/>
      <x:c r="O1079" s="85"/>
      <x:c r="Q1079" s="86"/>
      <x:c r="R1079" s="86"/>
      <x:c r="S1079" s="32"/>
    </x:row>
    <x:row r="1080">
      <x:c r="A1080" s="87"/>
      <x:c r="B1080" s="88"/>
      <x:c r="D1080" s="32"/>
      <x:c r="G1080" s="74"/>
      <x:c r="H1080" s="74"/>
      <x:c r="I1080" s="74"/>
      <x:c r="J1080" s="74"/>
      <x:c r="K1080" s="74"/>
      <x:c r="L1080" s="74"/>
      <x:c r="M1080" s="91"/>
      <x:c r="N1080" s="91"/>
      <x:c r="O1080" s="85"/>
      <x:c r="Q1080" s="86"/>
      <x:c r="R1080" s="86"/>
      <x:c r="S1080" s="32"/>
    </x:row>
    <x:row r="1081">
      <x:c r="A1081" s="87"/>
      <x:c r="B1081" s="88"/>
      <x:c r="D1081" s="32"/>
      <x:c r="G1081" s="74"/>
      <x:c r="H1081" s="74"/>
      <x:c r="I1081" s="74"/>
      <x:c r="J1081" s="74"/>
      <x:c r="K1081" s="74"/>
      <x:c r="L1081" s="74"/>
      <x:c r="M1081" s="91"/>
      <x:c r="N1081" s="91"/>
      <x:c r="O1081" s="85"/>
      <x:c r="Q1081" s="86"/>
      <x:c r="R1081" s="86"/>
      <x:c r="S1081" s="32"/>
    </x:row>
    <x:row r="1082">
      <x:c r="A1082" s="87"/>
      <x:c r="B1082" s="88"/>
      <x:c r="D1082" s="32"/>
      <x:c r="G1082" s="74"/>
      <x:c r="H1082" s="74"/>
      <x:c r="I1082" s="74"/>
      <x:c r="J1082" s="74"/>
      <x:c r="K1082" s="74"/>
      <x:c r="L1082" s="74"/>
      <x:c r="M1082" s="91"/>
      <x:c r="N1082" s="91"/>
      <x:c r="O1082" s="85"/>
      <x:c r="Q1082" s="86"/>
      <x:c r="R1082" s="86"/>
      <x:c r="S1082" s="32"/>
    </x:row>
    <x:row r="1083">
      <x:c r="A1083" s="87"/>
      <x:c r="B1083" s="88"/>
      <x:c r="D1083" s="32"/>
      <x:c r="G1083" s="74"/>
      <x:c r="H1083" s="74"/>
      <x:c r="I1083" s="74"/>
      <x:c r="J1083" s="74"/>
      <x:c r="K1083" s="74"/>
      <x:c r="L1083" s="74"/>
      <x:c r="M1083" s="91"/>
      <x:c r="N1083" s="91"/>
      <x:c r="O1083" s="85"/>
      <x:c r="Q1083" s="86"/>
      <x:c r="R1083" s="86"/>
      <x:c r="S1083" s="32"/>
    </x:row>
    <x:row r="1084">
      <x:c r="A1084" s="87"/>
      <x:c r="B1084" s="88"/>
      <x:c r="D1084" s="32"/>
      <x:c r="G1084" s="74"/>
      <x:c r="H1084" s="74"/>
      <x:c r="I1084" s="74"/>
      <x:c r="J1084" s="74"/>
      <x:c r="K1084" s="74"/>
      <x:c r="L1084" s="74"/>
      <x:c r="M1084" s="91"/>
      <x:c r="N1084" s="91"/>
      <x:c r="O1084" s="85"/>
      <x:c r="Q1084" s="86"/>
      <x:c r="R1084" s="86"/>
      <x:c r="S1084" s="32"/>
    </x:row>
    <x:row r="1085">
      <x:c r="A1085" s="87"/>
      <x:c r="B1085" s="88"/>
      <x:c r="D1085" s="32"/>
      <x:c r="G1085" s="74"/>
      <x:c r="H1085" s="74"/>
      <x:c r="I1085" s="74"/>
      <x:c r="J1085" s="74"/>
      <x:c r="K1085" s="74"/>
      <x:c r="L1085" s="74"/>
      <x:c r="M1085" s="91"/>
      <x:c r="N1085" s="91"/>
      <x:c r="O1085" s="85"/>
      <x:c r="Q1085" s="86"/>
      <x:c r="R1085" s="86"/>
      <x:c r="S1085" s="32"/>
    </x:row>
    <x:row r="1086">
      <x:c r="A1086" s="87"/>
      <x:c r="B1086" s="88"/>
      <x:c r="D1086" s="32"/>
      <x:c r="G1086" s="74"/>
      <x:c r="H1086" s="74"/>
      <x:c r="I1086" s="74"/>
      <x:c r="J1086" s="74"/>
      <x:c r="K1086" s="74"/>
      <x:c r="L1086" s="74"/>
      <x:c r="M1086" s="91"/>
      <x:c r="N1086" s="91"/>
      <x:c r="O1086" s="85"/>
      <x:c r="Q1086" s="86"/>
      <x:c r="R1086" s="86"/>
      <x:c r="S1086" s="32"/>
    </x:row>
    <x:row r="1087">
      <x:c r="A1087" s="87"/>
      <x:c r="B1087" s="88"/>
      <x:c r="D1087" s="32"/>
      <x:c r="G1087" s="74"/>
      <x:c r="H1087" s="74"/>
      <x:c r="I1087" s="74"/>
      <x:c r="J1087" s="74"/>
      <x:c r="K1087" s="74"/>
      <x:c r="L1087" s="74"/>
      <x:c r="M1087" s="91"/>
      <x:c r="N1087" s="91"/>
      <x:c r="O1087" s="85"/>
      <x:c r="Q1087" s="86"/>
      <x:c r="R1087" s="86"/>
      <x:c r="S1087" s="32"/>
    </x:row>
    <x:row r="1088">
      <x:c r="A1088" s="87"/>
      <x:c r="B1088" s="88"/>
      <x:c r="D1088" s="32"/>
      <x:c r="G1088" s="74"/>
      <x:c r="H1088" s="74"/>
      <x:c r="I1088" s="74"/>
      <x:c r="J1088" s="74"/>
      <x:c r="K1088" s="74"/>
      <x:c r="L1088" s="74"/>
      <x:c r="M1088" s="91"/>
      <x:c r="N1088" s="91"/>
      <x:c r="O1088" s="85"/>
      <x:c r="Q1088" s="86"/>
      <x:c r="R1088" s="86"/>
      <x:c r="S1088" s="32"/>
    </x:row>
    <x:row r="1089">
      <x:c r="A1089" s="87"/>
      <x:c r="B1089" s="88"/>
      <x:c r="D1089" s="32"/>
      <x:c r="G1089" s="74"/>
      <x:c r="H1089" s="74"/>
      <x:c r="I1089" s="74"/>
      <x:c r="J1089" s="74"/>
      <x:c r="K1089" s="74"/>
      <x:c r="L1089" s="74"/>
      <x:c r="M1089" s="91"/>
      <x:c r="N1089" s="91"/>
      <x:c r="O1089" s="85"/>
      <x:c r="Q1089" s="86"/>
      <x:c r="R1089" s="86"/>
      <x:c r="S1089" s="32"/>
    </x:row>
    <x:row r="1090">
      <x:c r="A1090" s="87"/>
      <x:c r="B1090" s="88"/>
      <x:c r="D1090" s="32"/>
      <x:c r="G1090" s="74"/>
      <x:c r="H1090" s="74"/>
      <x:c r="I1090" s="74"/>
      <x:c r="J1090" s="74"/>
      <x:c r="K1090" s="74"/>
      <x:c r="L1090" s="74"/>
      <x:c r="M1090" s="91"/>
      <x:c r="N1090" s="91"/>
      <x:c r="O1090" s="85"/>
      <x:c r="Q1090" s="86"/>
      <x:c r="R1090" s="86"/>
      <x:c r="S1090" s="32"/>
    </x:row>
    <x:row r="1091">
      <x:c r="A1091" s="87"/>
      <x:c r="B1091" s="88"/>
      <x:c r="D1091" s="32"/>
      <x:c r="G1091" s="74"/>
      <x:c r="H1091" s="74"/>
      <x:c r="I1091" s="74"/>
      <x:c r="J1091" s="74"/>
      <x:c r="K1091" s="74"/>
      <x:c r="L1091" s="74"/>
      <x:c r="M1091" s="91"/>
      <x:c r="N1091" s="91"/>
      <x:c r="O1091" s="85"/>
      <x:c r="Q1091" s="86"/>
      <x:c r="R1091" s="86"/>
      <x:c r="S1091" s="32"/>
    </x:row>
    <x:row r="1092">
      <x:c r="A1092" s="87"/>
      <x:c r="B1092" s="88"/>
      <x:c r="D1092" s="32"/>
      <x:c r="G1092" s="74"/>
      <x:c r="H1092" s="74"/>
      <x:c r="I1092" s="74"/>
      <x:c r="J1092" s="74"/>
      <x:c r="K1092" s="74"/>
      <x:c r="L1092" s="74"/>
      <x:c r="M1092" s="91"/>
      <x:c r="N1092" s="91"/>
      <x:c r="O1092" s="85"/>
      <x:c r="Q1092" s="86"/>
      <x:c r="R1092" s="86"/>
      <x:c r="S1092" s="32"/>
    </x:row>
    <x:row r="1093">
      <x:c r="A1093" s="87"/>
      <x:c r="B1093" s="88"/>
      <x:c r="D1093" s="32"/>
      <x:c r="G1093" s="74"/>
      <x:c r="H1093" s="74"/>
      <x:c r="I1093" s="74"/>
      <x:c r="J1093" s="74"/>
      <x:c r="K1093" s="74"/>
      <x:c r="L1093" s="74"/>
      <x:c r="M1093" s="91"/>
      <x:c r="N1093" s="91"/>
      <x:c r="O1093" s="85"/>
      <x:c r="Q1093" s="86"/>
      <x:c r="R1093" s="86"/>
      <x:c r="S1093" s="32"/>
    </x:row>
    <x:row r="1094">
      <x:c r="A1094" s="87"/>
      <x:c r="B1094" s="88"/>
      <x:c r="D1094" s="32"/>
      <x:c r="G1094" s="74"/>
      <x:c r="H1094" s="74"/>
      <x:c r="I1094" s="74"/>
      <x:c r="J1094" s="74"/>
      <x:c r="K1094" s="74"/>
      <x:c r="L1094" s="74"/>
      <x:c r="M1094" s="91"/>
      <x:c r="N1094" s="91"/>
      <x:c r="O1094" s="85"/>
      <x:c r="Q1094" s="86"/>
      <x:c r="R1094" s="86"/>
      <x:c r="S1094" s="32"/>
    </x:row>
    <x:row r="1095">
      <x:c r="A1095" s="87"/>
      <x:c r="B1095" s="88"/>
      <x:c r="D1095" s="32"/>
      <x:c r="G1095" s="74"/>
      <x:c r="H1095" s="74"/>
      <x:c r="I1095" s="74"/>
      <x:c r="J1095" s="74"/>
      <x:c r="K1095" s="74"/>
      <x:c r="L1095" s="74"/>
      <x:c r="M1095" s="91"/>
      <x:c r="N1095" s="91"/>
      <x:c r="O1095" s="85"/>
      <x:c r="Q1095" s="86"/>
      <x:c r="R1095" s="86"/>
      <x:c r="S1095" s="32"/>
    </x:row>
    <x:row r="1096">
      <x:c r="A1096" s="87"/>
      <x:c r="B1096" s="88"/>
      <x:c r="D1096" s="32"/>
      <x:c r="G1096" s="74"/>
      <x:c r="H1096" s="74"/>
      <x:c r="I1096" s="74"/>
      <x:c r="J1096" s="74"/>
      <x:c r="K1096" s="74"/>
      <x:c r="L1096" s="74"/>
      <x:c r="M1096" s="91"/>
      <x:c r="N1096" s="91"/>
      <x:c r="O1096" s="85"/>
      <x:c r="Q1096" s="86"/>
      <x:c r="R1096" s="86"/>
      <x:c r="S1096" s="32"/>
    </x:row>
    <x:row r="1097">
      <x:c r="A1097" s="87"/>
      <x:c r="B1097" s="88"/>
      <x:c r="D1097" s="32"/>
      <x:c r="G1097" s="74"/>
      <x:c r="H1097" s="74"/>
      <x:c r="I1097" s="74"/>
      <x:c r="J1097" s="74"/>
      <x:c r="K1097" s="74"/>
      <x:c r="L1097" s="74"/>
      <x:c r="M1097" s="91"/>
      <x:c r="N1097" s="91"/>
      <x:c r="O1097" s="85"/>
      <x:c r="Q1097" s="86"/>
      <x:c r="R1097" s="86"/>
      <x:c r="S1097" s="32"/>
    </x:row>
    <x:row r="1098">
      <x:c r="A1098" s="87"/>
      <x:c r="B1098" s="88"/>
      <x:c r="D1098" s="32"/>
      <x:c r="G1098" s="74"/>
      <x:c r="H1098" s="74"/>
      <x:c r="I1098" s="74"/>
      <x:c r="J1098" s="74"/>
      <x:c r="K1098" s="74"/>
      <x:c r="L1098" s="74"/>
      <x:c r="M1098" s="91"/>
      <x:c r="N1098" s="91"/>
      <x:c r="O1098" s="85"/>
      <x:c r="Q1098" s="86"/>
      <x:c r="R1098" s="86"/>
      <x:c r="S1098" s="32"/>
    </x:row>
    <x:row r="1099">
      <x:c r="A1099" s="87"/>
      <x:c r="B1099" s="88"/>
      <x:c r="D1099" s="32"/>
      <x:c r="G1099" s="74"/>
      <x:c r="H1099" s="74"/>
      <x:c r="I1099" s="74"/>
      <x:c r="J1099" s="74"/>
      <x:c r="K1099" s="74"/>
      <x:c r="L1099" s="74"/>
      <x:c r="M1099" s="91"/>
      <x:c r="N1099" s="91"/>
      <x:c r="O1099" s="85"/>
      <x:c r="Q1099" s="86"/>
      <x:c r="R1099" s="86"/>
      <x:c r="S1099" s="32"/>
    </x:row>
    <x:row r="1100">
      <x:c r="A1100" s="87"/>
      <x:c r="B1100" s="88"/>
      <x:c r="D1100" s="32"/>
      <x:c r="G1100" s="74"/>
      <x:c r="H1100" s="74"/>
      <x:c r="I1100" s="74"/>
      <x:c r="J1100" s="74"/>
      <x:c r="K1100" s="74"/>
      <x:c r="L1100" s="74"/>
      <x:c r="M1100" s="91"/>
      <x:c r="N1100" s="91"/>
      <x:c r="O1100" s="85"/>
      <x:c r="Q1100" s="86"/>
      <x:c r="R1100" s="86"/>
      <x:c r="S1100" s="32"/>
    </x:row>
    <x:row r="1101">
      <x:c r="A1101" s="87"/>
      <x:c r="B1101" s="88"/>
      <x:c r="D1101" s="32"/>
      <x:c r="G1101" s="74"/>
      <x:c r="H1101" s="74"/>
      <x:c r="I1101" s="74"/>
      <x:c r="J1101" s="74"/>
      <x:c r="K1101" s="74"/>
      <x:c r="L1101" s="74"/>
      <x:c r="M1101" s="91"/>
      <x:c r="N1101" s="91"/>
      <x:c r="O1101" s="85"/>
      <x:c r="Q1101" s="86"/>
      <x:c r="R1101" s="86"/>
      <x:c r="S1101" s="32"/>
    </x:row>
    <x:row r="1102">
      <x:c r="A1102" s="87"/>
      <x:c r="B1102" s="88"/>
      <x:c r="D1102" s="32"/>
      <x:c r="G1102" s="74"/>
      <x:c r="H1102" s="74"/>
      <x:c r="I1102" s="74"/>
      <x:c r="J1102" s="74"/>
      <x:c r="K1102" s="74"/>
      <x:c r="L1102" s="74"/>
      <x:c r="M1102" s="91"/>
      <x:c r="N1102" s="91"/>
      <x:c r="O1102" s="85"/>
      <x:c r="Q1102" s="86"/>
      <x:c r="R1102" s="86"/>
      <x:c r="S1102" s="32"/>
    </x:row>
    <x:row r="1103">
      <x:c r="A1103" s="87"/>
      <x:c r="B1103" s="88"/>
      <x:c r="D1103" s="32"/>
      <x:c r="G1103" s="74"/>
      <x:c r="H1103" s="74"/>
      <x:c r="I1103" s="74"/>
      <x:c r="J1103" s="74"/>
      <x:c r="K1103" s="74"/>
      <x:c r="L1103" s="74"/>
      <x:c r="M1103" s="91"/>
      <x:c r="N1103" s="91"/>
      <x:c r="O1103" s="85"/>
      <x:c r="Q1103" s="86"/>
      <x:c r="R1103" s="86"/>
      <x:c r="S1103" s="32"/>
    </x:row>
    <x:row r="1104">
      <x:c r="A1104" s="87"/>
      <x:c r="B1104" s="88"/>
      <x:c r="D1104" s="32"/>
      <x:c r="G1104" s="74"/>
      <x:c r="H1104" s="74"/>
      <x:c r="I1104" s="74"/>
      <x:c r="J1104" s="74"/>
      <x:c r="K1104" s="74"/>
      <x:c r="L1104" s="74"/>
      <x:c r="M1104" s="91"/>
      <x:c r="N1104" s="91"/>
      <x:c r="O1104" s="85"/>
      <x:c r="Q1104" s="86"/>
      <x:c r="R1104" s="86"/>
      <x:c r="S1104" s="32"/>
    </x:row>
    <x:row r="1105">
      <x:c r="A1105" s="87"/>
      <x:c r="B1105" s="88"/>
      <x:c r="D1105" s="32"/>
      <x:c r="G1105" s="74"/>
      <x:c r="H1105" s="74"/>
      <x:c r="I1105" s="74"/>
      <x:c r="J1105" s="74"/>
      <x:c r="K1105" s="74"/>
      <x:c r="L1105" s="74"/>
      <x:c r="M1105" s="91"/>
      <x:c r="N1105" s="91"/>
      <x:c r="O1105" s="85"/>
      <x:c r="Q1105" s="86"/>
      <x:c r="R1105" s="86"/>
      <x:c r="S1105" s="32"/>
    </x:row>
    <x:row r="1106">
      <x:c r="A1106" s="87"/>
      <x:c r="B1106" s="88"/>
      <x:c r="D1106" s="32"/>
      <x:c r="G1106" s="74"/>
      <x:c r="H1106" s="74"/>
      <x:c r="I1106" s="74"/>
      <x:c r="J1106" s="74"/>
      <x:c r="K1106" s="74"/>
      <x:c r="L1106" s="74"/>
      <x:c r="M1106" s="91"/>
      <x:c r="N1106" s="91"/>
      <x:c r="O1106" s="85"/>
      <x:c r="Q1106" s="86"/>
      <x:c r="R1106" s="86"/>
      <x:c r="S1106" s="32"/>
    </x:row>
    <x:row r="1107">
      <x:c r="A1107" s="87"/>
      <x:c r="B1107" s="88"/>
      <x:c r="D1107" s="32"/>
      <x:c r="G1107" s="74"/>
      <x:c r="H1107" s="74"/>
      <x:c r="I1107" s="74"/>
      <x:c r="J1107" s="74"/>
      <x:c r="K1107" s="74"/>
      <x:c r="L1107" s="74"/>
      <x:c r="M1107" s="91"/>
      <x:c r="N1107" s="91"/>
      <x:c r="O1107" s="85"/>
      <x:c r="Q1107" s="86"/>
      <x:c r="R1107" s="86"/>
      <x:c r="S1107" s="32"/>
    </x:row>
    <x:row r="1108">
      <x:c r="A1108" s="87"/>
      <x:c r="B1108" s="88"/>
      <x:c r="D1108" s="32"/>
      <x:c r="G1108" s="74"/>
      <x:c r="H1108" s="74"/>
      <x:c r="I1108" s="74"/>
      <x:c r="J1108" s="74"/>
      <x:c r="K1108" s="74"/>
      <x:c r="L1108" s="74"/>
      <x:c r="M1108" s="91"/>
      <x:c r="N1108" s="91"/>
      <x:c r="O1108" s="85"/>
      <x:c r="Q1108" s="86"/>
      <x:c r="R1108" s="86"/>
      <x:c r="S1108" s="32"/>
    </x:row>
    <x:row r="1109">
      <x:c r="A1109" s="87"/>
      <x:c r="B1109" s="88"/>
      <x:c r="D1109" s="32"/>
      <x:c r="G1109" s="74"/>
      <x:c r="H1109" s="74"/>
      <x:c r="I1109" s="74"/>
      <x:c r="J1109" s="74"/>
      <x:c r="K1109" s="74"/>
      <x:c r="L1109" s="74"/>
      <x:c r="M1109" s="91"/>
      <x:c r="N1109" s="91"/>
      <x:c r="O1109" s="85"/>
      <x:c r="Q1109" s="86"/>
      <x:c r="R1109" s="86"/>
      <x:c r="S1109" s="32"/>
    </x:row>
    <x:row r="1110">
      <x:c r="A1110" s="87"/>
      <x:c r="B1110" s="88"/>
      <x:c r="D1110" s="32"/>
      <x:c r="G1110" s="74"/>
      <x:c r="H1110" s="74"/>
      <x:c r="I1110" s="74"/>
      <x:c r="J1110" s="74"/>
      <x:c r="K1110" s="74"/>
      <x:c r="L1110" s="74"/>
      <x:c r="M1110" s="91"/>
      <x:c r="N1110" s="91"/>
      <x:c r="O1110" s="85"/>
      <x:c r="Q1110" s="86"/>
      <x:c r="R1110" s="86"/>
      <x:c r="S1110" s="32"/>
    </x:row>
    <x:row r="1111">
      <x:c r="A1111" s="87"/>
      <x:c r="B1111" s="88"/>
      <x:c r="D1111" s="32"/>
      <x:c r="G1111" s="74"/>
      <x:c r="H1111" s="74"/>
      <x:c r="I1111" s="74"/>
      <x:c r="J1111" s="74"/>
      <x:c r="K1111" s="74"/>
      <x:c r="L1111" s="74"/>
      <x:c r="M1111" s="91"/>
      <x:c r="N1111" s="91"/>
      <x:c r="O1111" s="85"/>
      <x:c r="Q1111" s="86"/>
      <x:c r="R1111" s="86"/>
      <x:c r="S1111" s="32"/>
    </x:row>
    <x:row r="1112">
      <x:c r="A1112" s="87"/>
      <x:c r="B1112" s="88"/>
      <x:c r="D1112" s="32"/>
      <x:c r="G1112" s="74"/>
      <x:c r="H1112" s="74"/>
      <x:c r="I1112" s="74"/>
      <x:c r="J1112" s="74"/>
      <x:c r="K1112" s="74"/>
      <x:c r="L1112" s="74"/>
      <x:c r="M1112" s="91"/>
      <x:c r="N1112" s="91"/>
      <x:c r="O1112" s="85"/>
      <x:c r="Q1112" s="86"/>
      <x:c r="R1112" s="86"/>
      <x:c r="S1112" s="32"/>
    </x:row>
    <x:row r="1113">
      <x:c r="A1113" s="87"/>
      <x:c r="B1113" s="88"/>
      <x:c r="D1113" s="32"/>
      <x:c r="G1113" s="74"/>
      <x:c r="H1113" s="74"/>
      <x:c r="I1113" s="74"/>
      <x:c r="J1113" s="74"/>
      <x:c r="K1113" s="74"/>
      <x:c r="L1113" s="74"/>
      <x:c r="M1113" s="91"/>
      <x:c r="N1113" s="91"/>
      <x:c r="O1113" s="85"/>
      <x:c r="Q1113" s="86"/>
      <x:c r="R1113" s="86"/>
      <x:c r="S1113" s="32"/>
    </x:row>
    <x:row r="1114">
      <x:c r="A1114" s="87"/>
      <x:c r="B1114" s="88"/>
      <x:c r="D1114" s="32"/>
      <x:c r="G1114" s="74"/>
      <x:c r="H1114" s="74"/>
      <x:c r="I1114" s="74"/>
      <x:c r="J1114" s="74"/>
      <x:c r="K1114" s="74"/>
      <x:c r="L1114" s="74"/>
      <x:c r="M1114" s="91"/>
      <x:c r="N1114" s="91"/>
      <x:c r="O1114" s="85"/>
      <x:c r="Q1114" s="86"/>
      <x:c r="R1114" s="86"/>
      <x:c r="S1114" s="32"/>
    </x:row>
    <x:row r="1115">
      <x:c r="A1115" s="87"/>
      <x:c r="B1115" s="88"/>
      <x:c r="D1115" s="32"/>
      <x:c r="G1115" s="74"/>
      <x:c r="H1115" s="74"/>
      <x:c r="I1115" s="74"/>
      <x:c r="J1115" s="74"/>
      <x:c r="K1115" s="74"/>
      <x:c r="L1115" s="74"/>
      <x:c r="M1115" s="91"/>
      <x:c r="N1115" s="91"/>
      <x:c r="O1115" s="85"/>
      <x:c r="Q1115" s="86"/>
      <x:c r="R1115" s="86"/>
      <x:c r="S1115" s="32"/>
    </x:row>
    <x:row r="1116">
      <x:c r="A1116" s="87"/>
      <x:c r="B1116" s="88"/>
      <x:c r="D1116" s="32"/>
      <x:c r="G1116" s="74"/>
      <x:c r="H1116" s="74"/>
      <x:c r="I1116" s="74"/>
      <x:c r="J1116" s="74"/>
      <x:c r="K1116" s="74"/>
      <x:c r="L1116" s="74"/>
      <x:c r="M1116" s="91"/>
      <x:c r="N1116" s="91"/>
      <x:c r="O1116" s="85"/>
      <x:c r="Q1116" s="86"/>
      <x:c r="R1116" s="86"/>
      <x:c r="S1116" s="32"/>
    </x:row>
    <x:row r="1117">
      <x:c r="A1117" s="87"/>
      <x:c r="B1117" s="88"/>
      <x:c r="D1117" s="32"/>
      <x:c r="G1117" s="74"/>
      <x:c r="H1117" s="74"/>
      <x:c r="I1117" s="74"/>
      <x:c r="J1117" s="74"/>
      <x:c r="K1117" s="74"/>
      <x:c r="L1117" s="74"/>
      <x:c r="M1117" s="91"/>
      <x:c r="N1117" s="91"/>
      <x:c r="O1117" s="85"/>
      <x:c r="Q1117" s="86"/>
      <x:c r="R1117" s="86"/>
      <x:c r="S1117" s="32"/>
    </x:row>
    <x:row r="1118">
      <x:c r="A1118" s="87"/>
      <x:c r="B1118" s="88"/>
      <x:c r="D1118" s="32"/>
      <x:c r="G1118" s="74"/>
      <x:c r="H1118" s="74"/>
      <x:c r="I1118" s="74"/>
      <x:c r="J1118" s="74"/>
      <x:c r="K1118" s="74"/>
      <x:c r="L1118" s="74"/>
      <x:c r="M1118" s="91"/>
      <x:c r="N1118" s="91"/>
      <x:c r="O1118" s="85"/>
      <x:c r="Q1118" s="86"/>
      <x:c r="R1118" s="86"/>
      <x:c r="S1118" s="32"/>
    </x:row>
    <x:row r="1119">
      <x:c r="A1119" s="87"/>
      <x:c r="B1119" s="88"/>
      <x:c r="D1119" s="32"/>
      <x:c r="G1119" s="74"/>
      <x:c r="H1119" s="74"/>
      <x:c r="I1119" s="74"/>
      <x:c r="J1119" s="74"/>
      <x:c r="K1119" s="74"/>
      <x:c r="L1119" s="74"/>
      <x:c r="M1119" s="91"/>
      <x:c r="N1119" s="91"/>
      <x:c r="O1119" s="85"/>
      <x:c r="Q1119" s="86"/>
      <x:c r="R1119" s="86"/>
      <x:c r="S1119" s="32"/>
    </x:row>
    <x:row r="1120">
      <x:c r="A1120" s="87"/>
      <x:c r="B1120" s="88"/>
      <x:c r="D1120" s="32"/>
      <x:c r="G1120" s="74"/>
      <x:c r="H1120" s="74"/>
      <x:c r="I1120" s="74"/>
      <x:c r="J1120" s="74"/>
      <x:c r="K1120" s="74"/>
      <x:c r="L1120" s="74"/>
      <x:c r="M1120" s="91"/>
      <x:c r="N1120" s="91"/>
      <x:c r="O1120" s="85"/>
      <x:c r="Q1120" s="86"/>
      <x:c r="R1120" s="86"/>
      <x:c r="S1120" s="32"/>
    </x:row>
    <x:row r="1121">
      <x:c r="A1121" s="87"/>
      <x:c r="B1121" s="88"/>
      <x:c r="D1121" s="32"/>
      <x:c r="G1121" s="74"/>
      <x:c r="H1121" s="74"/>
      <x:c r="I1121" s="74"/>
      <x:c r="J1121" s="74"/>
      <x:c r="K1121" s="74"/>
      <x:c r="L1121" s="74"/>
      <x:c r="M1121" s="91"/>
      <x:c r="N1121" s="91"/>
      <x:c r="O1121" s="85"/>
      <x:c r="Q1121" s="86"/>
      <x:c r="R1121" s="86"/>
      <x:c r="S1121" s="32"/>
    </x:row>
    <x:row r="1122">
      <x:c r="A1122" s="87"/>
      <x:c r="B1122" s="88"/>
      <x:c r="D1122" s="32"/>
      <x:c r="G1122" s="74"/>
      <x:c r="H1122" s="74"/>
      <x:c r="I1122" s="74"/>
      <x:c r="J1122" s="74"/>
      <x:c r="K1122" s="74"/>
      <x:c r="L1122" s="74"/>
      <x:c r="M1122" s="91"/>
      <x:c r="N1122" s="91"/>
      <x:c r="O1122" s="85"/>
      <x:c r="Q1122" s="86"/>
      <x:c r="R1122" s="86"/>
      <x:c r="S1122" s="32"/>
    </x:row>
    <x:row r="1123">
      <x:c r="A1123" s="87"/>
      <x:c r="B1123" s="88"/>
      <x:c r="D1123" s="32"/>
      <x:c r="G1123" s="74"/>
      <x:c r="H1123" s="74"/>
      <x:c r="I1123" s="74"/>
      <x:c r="J1123" s="74"/>
      <x:c r="K1123" s="74"/>
      <x:c r="L1123" s="74"/>
      <x:c r="M1123" s="91"/>
      <x:c r="N1123" s="91"/>
      <x:c r="O1123" s="85"/>
      <x:c r="Q1123" s="86"/>
      <x:c r="R1123" s="86"/>
      <x:c r="S1123" s="32"/>
    </x:row>
    <x:row r="1124">
      <x:c r="A1124" s="87"/>
      <x:c r="B1124" s="88"/>
      <x:c r="D1124" s="32"/>
      <x:c r="G1124" s="74"/>
      <x:c r="H1124" s="74"/>
      <x:c r="I1124" s="74"/>
      <x:c r="J1124" s="74"/>
      <x:c r="K1124" s="74"/>
      <x:c r="L1124" s="74"/>
      <x:c r="M1124" s="91"/>
      <x:c r="N1124" s="91"/>
      <x:c r="O1124" s="85"/>
      <x:c r="Q1124" s="86"/>
      <x:c r="R1124" s="86"/>
      <x:c r="S1124" s="32"/>
    </x:row>
    <x:row r="1125">
      <x:c r="A1125" s="87"/>
      <x:c r="B1125" s="88"/>
      <x:c r="D1125" s="32"/>
      <x:c r="G1125" s="74"/>
      <x:c r="H1125" s="74"/>
      <x:c r="I1125" s="74"/>
      <x:c r="J1125" s="74"/>
      <x:c r="K1125" s="74"/>
      <x:c r="L1125" s="74"/>
      <x:c r="M1125" s="91"/>
      <x:c r="N1125" s="91"/>
      <x:c r="O1125" s="85"/>
      <x:c r="Q1125" s="86"/>
      <x:c r="R1125" s="86"/>
      <x:c r="S1125" s="32"/>
    </x:row>
    <x:row r="1126">
      <x:c r="A1126" s="87"/>
      <x:c r="B1126" s="88"/>
      <x:c r="D1126" s="32"/>
      <x:c r="G1126" s="74"/>
      <x:c r="H1126" s="74"/>
      <x:c r="I1126" s="74"/>
      <x:c r="J1126" s="74"/>
      <x:c r="K1126" s="74"/>
      <x:c r="L1126" s="74"/>
      <x:c r="M1126" s="91"/>
      <x:c r="N1126" s="91"/>
      <x:c r="O1126" s="85"/>
      <x:c r="Q1126" s="86"/>
      <x:c r="R1126" s="86"/>
      <x:c r="S1126" s="32"/>
    </x:row>
    <x:row r="1127">
      <x:c r="A1127" s="87"/>
      <x:c r="B1127" s="88"/>
      <x:c r="D1127" s="32"/>
      <x:c r="G1127" s="74"/>
      <x:c r="H1127" s="74"/>
      <x:c r="I1127" s="74"/>
      <x:c r="J1127" s="74"/>
      <x:c r="K1127" s="74"/>
      <x:c r="L1127" s="74"/>
      <x:c r="M1127" s="91"/>
      <x:c r="N1127" s="91"/>
      <x:c r="O1127" s="85"/>
      <x:c r="Q1127" s="86"/>
      <x:c r="R1127" s="86"/>
      <x:c r="S1127" s="32"/>
    </x:row>
    <x:row r="1128">
      <x:c r="A1128" s="87"/>
      <x:c r="B1128" s="88"/>
      <x:c r="D1128" s="32"/>
      <x:c r="G1128" s="74"/>
      <x:c r="H1128" s="74"/>
      <x:c r="I1128" s="74"/>
      <x:c r="J1128" s="74"/>
      <x:c r="K1128" s="74"/>
      <x:c r="L1128" s="74"/>
      <x:c r="M1128" s="91"/>
      <x:c r="N1128" s="91"/>
      <x:c r="O1128" s="85"/>
      <x:c r="Q1128" s="86"/>
      <x:c r="R1128" s="86"/>
      <x:c r="S1128" s="32"/>
    </x:row>
    <x:row r="1129">
      <x:c r="A1129" s="87"/>
      <x:c r="B1129" s="88"/>
      <x:c r="D1129" s="32"/>
      <x:c r="G1129" s="74"/>
      <x:c r="H1129" s="74"/>
      <x:c r="I1129" s="74"/>
      <x:c r="J1129" s="74"/>
      <x:c r="K1129" s="74"/>
      <x:c r="L1129" s="74"/>
      <x:c r="M1129" s="91"/>
      <x:c r="N1129" s="91"/>
      <x:c r="O1129" s="85"/>
      <x:c r="Q1129" s="86"/>
      <x:c r="R1129" s="86"/>
      <x:c r="S1129" s="32"/>
    </x:row>
    <x:row r="1130">
      <x:c r="A1130" s="87"/>
      <x:c r="B1130" s="88"/>
      <x:c r="D1130" s="32"/>
      <x:c r="G1130" s="74"/>
      <x:c r="H1130" s="74"/>
      <x:c r="I1130" s="74"/>
      <x:c r="J1130" s="74"/>
      <x:c r="K1130" s="74"/>
      <x:c r="L1130" s="74"/>
      <x:c r="M1130" s="91"/>
      <x:c r="N1130" s="91"/>
      <x:c r="O1130" s="85"/>
      <x:c r="Q1130" s="86"/>
      <x:c r="R1130" s="86"/>
      <x:c r="S1130" s="32"/>
    </x:row>
    <x:row r="1131">
      <x:c r="A1131" s="87"/>
      <x:c r="B1131" s="88"/>
      <x:c r="D1131" s="32"/>
      <x:c r="G1131" s="74"/>
      <x:c r="H1131" s="74"/>
      <x:c r="I1131" s="74"/>
      <x:c r="J1131" s="74"/>
      <x:c r="K1131" s="74"/>
      <x:c r="L1131" s="74"/>
      <x:c r="M1131" s="91"/>
      <x:c r="N1131" s="91"/>
      <x:c r="O1131" s="85"/>
      <x:c r="Q1131" s="86"/>
      <x:c r="R1131" s="86"/>
      <x:c r="S1131" s="32"/>
    </x:row>
    <x:row r="1132">
      <x:c r="A1132" s="87"/>
      <x:c r="B1132" s="88"/>
      <x:c r="D1132" s="32"/>
      <x:c r="G1132" s="74"/>
      <x:c r="H1132" s="74"/>
      <x:c r="I1132" s="74"/>
      <x:c r="J1132" s="74"/>
      <x:c r="K1132" s="74"/>
      <x:c r="L1132" s="74"/>
      <x:c r="M1132" s="91"/>
      <x:c r="N1132" s="91"/>
      <x:c r="O1132" s="85"/>
      <x:c r="Q1132" s="86"/>
      <x:c r="R1132" s="86"/>
      <x:c r="S1132" s="32"/>
    </x:row>
    <x:row r="1133">
      <x:c r="A1133" s="87"/>
      <x:c r="B1133" s="88"/>
      <x:c r="D1133" s="32"/>
      <x:c r="G1133" s="74"/>
      <x:c r="H1133" s="74"/>
      <x:c r="I1133" s="74"/>
      <x:c r="J1133" s="74"/>
      <x:c r="K1133" s="74"/>
      <x:c r="L1133" s="74"/>
      <x:c r="M1133" s="91"/>
      <x:c r="N1133" s="91"/>
      <x:c r="O1133" s="85"/>
      <x:c r="Q1133" s="86"/>
      <x:c r="R1133" s="86"/>
      <x:c r="S1133" s="32"/>
    </x:row>
    <x:row r="1134">
      <x:c r="A1134" s="87"/>
      <x:c r="B1134" s="88"/>
      <x:c r="D1134" s="32"/>
      <x:c r="G1134" s="74"/>
      <x:c r="H1134" s="74"/>
      <x:c r="I1134" s="74"/>
      <x:c r="J1134" s="74"/>
      <x:c r="K1134" s="74"/>
      <x:c r="L1134" s="74"/>
      <x:c r="M1134" s="91"/>
      <x:c r="N1134" s="91"/>
      <x:c r="O1134" s="85"/>
      <x:c r="Q1134" s="86"/>
      <x:c r="R1134" s="86"/>
      <x:c r="S1134" s="32"/>
    </x:row>
    <x:row r="1135">
      <x:c r="A1135" s="87"/>
      <x:c r="B1135" s="88"/>
      <x:c r="D1135" s="32"/>
      <x:c r="G1135" s="74"/>
      <x:c r="H1135" s="74"/>
      <x:c r="I1135" s="74"/>
      <x:c r="J1135" s="74"/>
      <x:c r="K1135" s="74"/>
      <x:c r="L1135" s="74"/>
      <x:c r="M1135" s="91"/>
      <x:c r="N1135" s="91"/>
      <x:c r="O1135" s="85"/>
      <x:c r="Q1135" s="86"/>
      <x:c r="R1135" s="86"/>
      <x:c r="S1135" s="32"/>
    </x:row>
    <x:row r="1136">
      <x:c r="A1136" s="87"/>
      <x:c r="B1136" s="88"/>
      <x:c r="D1136" s="32"/>
      <x:c r="G1136" s="74"/>
      <x:c r="H1136" s="74"/>
      <x:c r="I1136" s="74"/>
      <x:c r="J1136" s="74"/>
      <x:c r="K1136" s="74"/>
      <x:c r="L1136" s="74"/>
      <x:c r="M1136" s="91"/>
      <x:c r="N1136" s="91"/>
      <x:c r="O1136" s="85"/>
      <x:c r="Q1136" s="86"/>
      <x:c r="R1136" s="86"/>
      <x:c r="S1136" s="32"/>
    </x:row>
    <x:row r="1137">
      <x:c r="A1137" s="87"/>
      <x:c r="B1137" s="88"/>
      <x:c r="D1137" s="32"/>
      <x:c r="G1137" s="74"/>
      <x:c r="H1137" s="74"/>
      <x:c r="I1137" s="74"/>
      <x:c r="J1137" s="74"/>
      <x:c r="K1137" s="74"/>
      <x:c r="L1137" s="74"/>
      <x:c r="M1137" s="91"/>
      <x:c r="N1137" s="91"/>
      <x:c r="O1137" s="85"/>
      <x:c r="Q1137" s="86"/>
      <x:c r="R1137" s="86"/>
      <x:c r="S1137" s="32"/>
    </x:row>
    <x:row r="1138">
      <x:c r="A1138" s="87"/>
      <x:c r="B1138" s="88"/>
      <x:c r="D1138" s="32"/>
      <x:c r="G1138" s="74"/>
      <x:c r="H1138" s="74"/>
      <x:c r="I1138" s="74"/>
      <x:c r="J1138" s="74"/>
      <x:c r="K1138" s="74"/>
      <x:c r="L1138" s="74"/>
      <x:c r="M1138" s="91"/>
      <x:c r="N1138" s="91"/>
      <x:c r="O1138" s="85"/>
      <x:c r="Q1138" s="86"/>
      <x:c r="R1138" s="86"/>
      <x:c r="S1138" s="32"/>
    </x:row>
    <x:row r="1139">
      <x:c r="A1139" s="87"/>
      <x:c r="B1139" s="88"/>
      <x:c r="D1139" s="32"/>
      <x:c r="G1139" s="74"/>
      <x:c r="H1139" s="74"/>
      <x:c r="I1139" s="74"/>
      <x:c r="J1139" s="74"/>
      <x:c r="K1139" s="74"/>
      <x:c r="L1139" s="74"/>
      <x:c r="M1139" s="91"/>
      <x:c r="N1139" s="91"/>
      <x:c r="O1139" s="85"/>
      <x:c r="Q1139" s="86"/>
      <x:c r="R1139" s="86"/>
      <x:c r="S1139" s="32"/>
    </x:row>
    <x:row r="1140">
      <x:c r="A1140" s="87"/>
      <x:c r="B1140" s="88"/>
      <x:c r="D1140" s="32"/>
      <x:c r="G1140" s="74"/>
      <x:c r="H1140" s="74"/>
      <x:c r="I1140" s="74"/>
      <x:c r="J1140" s="74"/>
      <x:c r="K1140" s="74"/>
      <x:c r="L1140" s="74"/>
      <x:c r="M1140" s="91"/>
      <x:c r="N1140" s="91"/>
      <x:c r="O1140" s="85"/>
      <x:c r="Q1140" s="86"/>
      <x:c r="R1140" s="86"/>
      <x:c r="S1140" s="32"/>
    </x:row>
    <x:row r="1141">
      <x:c r="A1141" s="87"/>
      <x:c r="B1141" s="88"/>
      <x:c r="D1141" s="32"/>
      <x:c r="G1141" s="74"/>
      <x:c r="H1141" s="74"/>
      <x:c r="I1141" s="74"/>
      <x:c r="J1141" s="74"/>
      <x:c r="K1141" s="74"/>
      <x:c r="L1141" s="74"/>
      <x:c r="M1141" s="91"/>
      <x:c r="N1141" s="91"/>
      <x:c r="O1141" s="85"/>
      <x:c r="Q1141" s="86"/>
      <x:c r="R1141" s="86"/>
      <x:c r="S1141" s="32"/>
    </x:row>
    <x:row r="1142">
      <x:c r="A1142" s="87"/>
      <x:c r="B1142" s="88"/>
      <x:c r="D1142" s="32"/>
      <x:c r="G1142" s="74"/>
      <x:c r="H1142" s="74"/>
      <x:c r="I1142" s="74"/>
      <x:c r="J1142" s="74"/>
      <x:c r="K1142" s="74"/>
      <x:c r="L1142" s="74"/>
      <x:c r="M1142" s="91"/>
      <x:c r="N1142" s="91"/>
      <x:c r="O1142" s="85"/>
      <x:c r="Q1142" s="86"/>
      <x:c r="R1142" s="86"/>
      <x:c r="S1142" s="32"/>
    </x:row>
    <x:row r="1143">
      <x:c r="A1143" s="87"/>
      <x:c r="B1143" s="88"/>
      <x:c r="D1143" s="32"/>
      <x:c r="G1143" s="74"/>
      <x:c r="H1143" s="74"/>
      <x:c r="I1143" s="74"/>
      <x:c r="J1143" s="74"/>
      <x:c r="K1143" s="74"/>
      <x:c r="L1143" s="74"/>
      <x:c r="M1143" s="91"/>
      <x:c r="N1143" s="91"/>
      <x:c r="O1143" s="85"/>
      <x:c r="Q1143" s="86"/>
      <x:c r="R1143" s="86"/>
      <x:c r="S1143" s="32"/>
    </x:row>
    <x:row r="1144">
      <x:c r="A1144" s="87"/>
      <x:c r="B1144" s="88"/>
      <x:c r="D1144" s="32"/>
      <x:c r="G1144" s="74"/>
      <x:c r="H1144" s="74"/>
      <x:c r="I1144" s="74"/>
      <x:c r="J1144" s="74"/>
      <x:c r="K1144" s="74"/>
      <x:c r="L1144" s="74"/>
      <x:c r="M1144" s="91"/>
      <x:c r="N1144" s="91"/>
      <x:c r="O1144" s="85"/>
      <x:c r="Q1144" s="86"/>
      <x:c r="R1144" s="86"/>
      <x:c r="S1144" s="32"/>
    </x:row>
    <x:row r="1145">
      <x:c r="A1145" s="87"/>
      <x:c r="B1145" s="88"/>
      <x:c r="D1145" s="32"/>
      <x:c r="G1145" s="74"/>
      <x:c r="H1145" s="74"/>
      <x:c r="I1145" s="74"/>
      <x:c r="J1145" s="74"/>
      <x:c r="K1145" s="74"/>
      <x:c r="L1145" s="74"/>
      <x:c r="M1145" s="91"/>
      <x:c r="N1145" s="91"/>
      <x:c r="O1145" s="85"/>
      <x:c r="Q1145" s="86"/>
      <x:c r="R1145" s="86"/>
      <x:c r="S1145" s="32"/>
    </x:row>
    <x:row r="1146">
      <x:c r="A1146" s="87"/>
      <x:c r="B1146" s="88"/>
      <x:c r="D1146" s="32"/>
      <x:c r="G1146" s="74"/>
      <x:c r="H1146" s="74"/>
      <x:c r="I1146" s="74"/>
      <x:c r="J1146" s="74"/>
      <x:c r="K1146" s="74"/>
      <x:c r="L1146" s="74"/>
      <x:c r="M1146" s="91"/>
      <x:c r="N1146" s="91"/>
      <x:c r="O1146" s="85"/>
      <x:c r="Q1146" s="86"/>
      <x:c r="R1146" s="86"/>
      <x:c r="S1146" s="32"/>
    </x:row>
    <x:row r="1147">
      <x:c r="A1147" s="87"/>
      <x:c r="B1147" s="88"/>
      <x:c r="D1147" s="32"/>
      <x:c r="G1147" s="74"/>
      <x:c r="H1147" s="74"/>
      <x:c r="I1147" s="74"/>
      <x:c r="J1147" s="74"/>
      <x:c r="K1147" s="74"/>
      <x:c r="L1147" s="74"/>
      <x:c r="M1147" s="91"/>
      <x:c r="N1147" s="91"/>
      <x:c r="O1147" s="85"/>
      <x:c r="Q1147" s="86"/>
      <x:c r="R1147" s="86"/>
      <x:c r="S1147" s="32"/>
    </x:row>
    <x:row r="1148">
      <x:c r="A1148" s="87"/>
      <x:c r="B1148" s="88"/>
      <x:c r="D1148" s="32"/>
      <x:c r="G1148" s="74"/>
      <x:c r="H1148" s="74"/>
      <x:c r="I1148" s="74"/>
      <x:c r="J1148" s="74"/>
      <x:c r="K1148" s="74"/>
      <x:c r="L1148" s="74"/>
      <x:c r="M1148" s="91"/>
      <x:c r="N1148" s="91"/>
      <x:c r="O1148" s="85"/>
      <x:c r="Q1148" s="86"/>
      <x:c r="R1148" s="86"/>
      <x:c r="S1148" s="32"/>
    </x:row>
    <x:row r="1149">
      <x:c r="A1149" s="87"/>
      <x:c r="B1149" s="88"/>
      <x:c r="D1149" s="32"/>
      <x:c r="G1149" s="74"/>
      <x:c r="H1149" s="74"/>
      <x:c r="I1149" s="74"/>
      <x:c r="J1149" s="74"/>
      <x:c r="K1149" s="74"/>
      <x:c r="L1149" s="74"/>
      <x:c r="M1149" s="91"/>
      <x:c r="N1149" s="91"/>
      <x:c r="O1149" s="85"/>
      <x:c r="Q1149" s="86"/>
      <x:c r="R1149" s="86"/>
      <x:c r="S1149" s="32"/>
    </x:row>
  </x:sheetData>
  <x:mergeCells>
    <x:mergeCell ref="A2:B2"/>
    <x:mergeCell ref="A3:B3"/>
  </x:mergeCells>
  <x:conditionalFormatting sqref="C2:C18 D2:N4 O2:O169 P2:Q4 B4:B4">
    <x:cfRule type="expression" dxfId="0" priority="1">
      <x:formula>$P2="Done"</x:formula>
    </x:cfRule>
  </x:conditionalFormatting>
  <x:conditionalFormatting sqref="C2:C18 D2:N4 O2:O169 P2:Q4 B4:B4">
    <x:cfRule type="expression" dxfId="1" priority="2">
      <x:formula>AND(NOT($P2="Done"), OR(#REF!="Đã CK Anh", #REF!="Đã CK Em"))</x:formula>
    </x:cfRule>
  </x:conditionalFormatting>
  <x:conditionalFormatting sqref="M2:N4 O2:O169">
    <x:cfRule type="expression" dxfId="1" priority="3">
      <x:formula>AND(NOT(#REF!="Done"), OR(#REF!="Đã CK Anh", #REF!="Đã CK Em"))</x:formula>
    </x:cfRule>
  </x:conditionalFormatting>
  <x:conditionalFormatting sqref="M2:N4 O2:O169">
    <x:cfRule type="expression" dxfId="0" priority="4">
      <x:formula>#REF!="Done"</x:formula>
    </x:cfRule>
  </x:conditionalFormatting>
  <x:conditionalFormatting sqref="C2:C18 B5:B6 D5:N6 O5:O169 P5:Q6">
    <x:cfRule type="expression" dxfId="0" priority="5">
      <x:formula>$P2="Done"</x:formula>
    </x:cfRule>
  </x:conditionalFormatting>
  <x:conditionalFormatting sqref="C2:C18 B5:B6 D5:N6 O5:O169 P5:Q6">
    <x:cfRule type="expression" dxfId="1" priority="6">
      <x:formula>AND(NOT($P2="Done"), OR(#REF!="Đã CK Anh", #REF!="Đã CK Em"))</x:formula>
    </x:cfRule>
  </x:conditionalFormatting>
  <x:conditionalFormatting sqref="M5:N6 O5:O169">
    <x:cfRule type="expression" dxfId="1" priority="7">
      <x:formula>AND(NOT(#REF!="Done"), OR(#REF!="Đã CK Anh", #REF!="Đã CK Em"))</x:formula>
    </x:cfRule>
  </x:conditionalFormatting>
  <x:conditionalFormatting sqref="M5:N6 O5:O169">
    <x:cfRule type="expression" dxfId="0" priority="8">
      <x:formula>#REF!="Done"</x:formula>
    </x:cfRule>
  </x:conditionalFormatting>
  <x:conditionalFormatting sqref="M2:N4 O2:O169 M7:N169">
    <x:cfRule type="expression" dxfId="0" priority="9">
      <x:formula>$R2="Done"</x:formula>
    </x:cfRule>
  </x:conditionalFormatting>
  <x:conditionalFormatting sqref="M2:N4 O2:O169 M7:N169">
    <x:cfRule type="expression" dxfId="1" priority="10">
      <x:formula>AND(NOT($R2="Done"), OR($S2="Đã CK Anh", $S2="Đã CK Em"))</x:formula>
    </x:cfRule>
  </x:conditionalFormatting>
  <x:conditionalFormatting sqref="A84:A88 B84:Q85 B88:B88 C88:C99 D88:D89 A90:A90 A92:A92 A94:A169 B111:D111">
    <x:cfRule type="expression" dxfId="1" priority="11">
      <x:formula>AND(NOT($P84="Done"), OR($R84="Đã CK Anh", $R84="Đã CK Em"))</x:formula>
    </x:cfRule>
  </x:conditionalFormatting>
  <x:conditionalFormatting sqref="A84:A88 B84:Q85 B88:B88 C88:C99 D88:D89 A90:A90 A92:A92 A94:A169 B111:D111">
    <x:cfRule type="expression" dxfId="0" priority="12">
      <x:formula>$P84="Done"</x:formula>
    </x:cfRule>
  </x:conditionalFormatting>
  <x:conditionalFormatting sqref="A170:B171">
    <x:cfRule type="expression" dxfId="0" priority="13">
      <x:formula>$L170="Done"</x:formula>
    </x:cfRule>
  </x:conditionalFormatting>
  <x:conditionalFormatting sqref="A170:B171">
    <x:cfRule type="expression" dxfId="1" priority="14">
      <x:formula>AND(NOT($L170="Done"), OR($G170="Đã CK Anh", $G170="Đã CK Em"))</x:formula>
    </x:cfRule>
  </x:conditionalFormatting>
  <x:conditionalFormatting sqref="A2:A1149 B2:B4 C2:C83 D2:N4 O2:O1149 P2:Q4 B7:B83 D7:L83 M7:N1149 P7:Q83 B86:L1149 P86:Q1149">
    <x:cfRule type="expression" dxfId="0" priority="15">
      <x:formula>$P2="Done"</x:formula>
    </x:cfRule>
  </x:conditionalFormatting>
  <x:conditionalFormatting sqref="A2:A1149 B2:B4 C2:C83 D2:N4 O2:O1149 P2:Q4 B7:B83 D7:L83 M7:N1149 P7:Q83 B86:L1149 P86:Q1149">
    <x:cfRule type="expression" dxfId="1" priority="16">
      <x:formula>AND(NOT($P2="Done"), OR($R2="Đã CK Anh", $R2="Đã CK Em"))</x:formula>
    </x:cfRule>
  </x:conditionalFormatting>
  <x:conditionalFormatting sqref="R5:R6">
    <x:cfRule type="notContainsBlanks" dxfId="0" priority="17">
      <x:formula>LEN(TRIM(R5))&gt;0</x:formula>
    </x:cfRule>
  </x:conditionalFormatting>
  <x:dataValidations count="2">
    <x:dataValidation type="list" allowBlank="1" showErrorMessage="1" sqref="R4:R1149">
      <x:formula1>"Chưa CK,Đã CK Anh,Đã CK Em"</x:formula1>
    </x:dataValidation>
    <x:dataValidation type="list" allowBlank="1" showErrorMessage="1" sqref="Q2:Q1149">
      <x:formula1>"Đã tạo đơn,Đã gửi đơn,Done"</x:formula1>
    </x:dataValidation>
  </x:dataValidations>
  <x:hyperlinks>
    <x:hyperlink xmlns:r="http://schemas.openxmlformats.org/officeDocument/2006/relationships" ref="D4" r:id="Rfacc10906c514aa1"/>
    <x:hyperlink xmlns:r="http://schemas.openxmlformats.org/officeDocument/2006/relationships" ref="D5" r:id="Rf384fbb22ff346c3"/>
    <x:hyperlink xmlns:r="http://schemas.openxmlformats.org/officeDocument/2006/relationships" ref="D6" r:id="Rb9cf5af6e4154b28"/>
    <x:hyperlink xmlns:r="http://schemas.openxmlformats.org/officeDocument/2006/relationships" ref="D7" r:id="Rd1347e3275b84ab5"/>
    <x:hyperlink xmlns:r="http://schemas.openxmlformats.org/officeDocument/2006/relationships" ref="D8" r:id="R20a1b7fc133e4b00"/>
    <x:hyperlink xmlns:r="http://schemas.openxmlformats.org/officeDocument/2006/relationships" ref="D9" r:id="R19206c530333486a"/>
    <x:hyperlink xmlns:r="http://schemas.openxmlformats.org/officeDocument/2006/relationships" ref="D10" r:id="Rcbcfb7e217cf42f5"/>
    <x:hyperlink xmlns:r="http://schemas.openxmlformats.org/officeDocument/2006/relationships" ref="D11" r:id="Rc3d4413ec0954dfc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5" width="12.380000114440918" customWidth="1"/>
    <x:col min="6" max="6" width="14.5" customWidth="1"/>
    <x:col min="7" max="10" width="12.380000114440918" customWidth="1"/>
    <x:col min="11" max="11" width="14.880000114440918" customWidth="1"/>
    <x:col min="12" max="12" width="14.630000114440918" customWidth="1"/>
    <x:col min="16" max="16" width="12.130000114440918" customWidth="1"/>
    <x:col min="17" max="17" width="15.75" customWidth="1"/>
    <x:col min="18" max="18" width="18.5" customWidth="1"/>
  </x:cols>
  <x:sheetData>
    <x:row r="1" ht="21" customHeight="1">
      <x:c r="A1" s="1" t="s">
        <x:v>0</x:v>
      </x:c>
      <x:c r="B1" s="2" t="s">
        <x:v>1</x:v>
      </x:c>
      <x:c r="C1" s="1" t="s">
        <x:v>2</x:v>
      </x:c>
      <x:c r="D1" s="3" t="s">
        <x:v>3</x:v>
      </x:c>
      <x:c r="E1" s="1" t="s">
        <x:v>6</x:v>
      </x:c>
      <x:c r="F1" s="1" t="s">
        <x:v>7</x:v>
      </x:c>
      <x:c r="G1" s="4" t="s">
        <x:v>8</x:v>
      </x:c>
      <x:c r="H1" s="4" t="s">
        <x:v>9</x:v>
      </x:c>
      <x:c r="I1" s="4" t="s">
        <x:v>10</x:v>
      </x:c>
      <x:c r="J1" s="4" t="s">
        <x:v>11</x:v>
      </x:c>
      <x:c r="K1" s="4" t="s">
        <x:v>12</x:v>
      </x:c>
      <x:c r="L1" s="4" t="s">
        <x:v>13</x:v>
      </x:c>
      <x:c r="M1" s="1" t="s">
        <x:v>14</x:v>
      </x:c>
      <x:c r="N1" s="1" t="s">
        <x:v>15</x:v>
      </x:c>
      <x:c r="O1" s="5" t="s">
        <x:v>21</x:v>
      </x:c>
      <x:c r="P1" s="1" t="s">
        <x:v>22</x:v>
      </x:c>
      <x:c r="Q1" s="1" t="s">
        <x:v>23</x:v>
      </x:c>
      <x:c r="R1" s="1" t="s">
        <x:v>24</x:v>
      </x:c>
      <x:c r="S1" s="6" t="s">
        <x:v>25</x:v>
      </x:c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</x:row>
    <x:row r="2" ht="18.75" customHeight="1">
      <x:c r="A2" s="8" t="s">
        <x:v>26</x:v>
      </x:c>
      <x:c r="B2" s="9"/>
      <x:c r="C2" s="10"/>
      <x:c r="D2" s="11"/>
      <x:c r="E2" s="12">
        <x:v>275000.0</x:v>
      </x:c>
      <x:c r="F2" s="12">
        <x:v>260000.0</x:v>
      </x:c>
      <x:c r="G2" s="12">
        <x:v>470000.0</x:v>
      </x:c>
      <x:c r="H2" s="12">
        <x:v>425000.0</x:v>
      </x:c>
      <x:c r="I2" s="12">
        <x:v>360000.0</x:v>
      </x:c>
      <x:c r="J2" s="12">
        <x:v>615000.0</x:v>
      </x:c>
      <x:c r="K2" s="12">
        <x:v>250000.0</x:v>
      </x:c>
      <x:c r="L2" s="12">
        <x:v>240000.0</x:v>
      </x:c>
      <x:c r="M2" s="12">
        <x:v>390000.0</x:v>
      </x:c>
      <x:c r="N2" s="12">
        <x:v>355000.0</x:v>
      </x:c>
      <x:c r="O2" s="14"/>
      <x:c r="P2" s="15"/>
      <x:c r="Q2" s="15"/>
      <x:c r="R2" s="15"/>
      <x:c r="S2" s="16"/>
      <x:c r="T2" s="17"/>
      <x:c r="U2" s="17"/>
      <x:c r="V2" s="17"/>
      <x:c r="W2" s="17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</x:row>
    <x:row r="3" ht="18.75" customHeight="1">
      <x:c r="A3" s="8" t="s">
        <x:v>27</x:v>
      </x:c>
      <x:c r="B3" s="9"/>
      <x:c r="C3" s="10"/>
      <x:c r="D3" s="11"/>
      <x:c r="E3" s="15" t="n">
        <x:f t="shared" ref="E3:N3" si="1">E170</x:f>
        <x:v>10</x:v>
      </x:c>
      <x:c r="F3" s="15">
        <x:f t="shared" si="1"/>
        <x:v>35</x:v>
      </x:c>
      <x:c r="G3" s="18">
        <x:f t="shared" si="1"/>
        <x:v>0</x:v>
      </x:c>
      <x:c r="H3" s="12">
        <x:f t="shared" si="1"/>
        <x:v>15</x:v>
      </x:c>
      <x:c r="I3" s="18">
        <x:f t="shared" si="1"/>
        <x:v>0</x:v>
      </x:c>
      <x:c r="J3" s="18">
        <x:f t="shared" si="1"/>
        <x:v>0</x:v>
      </x:c>
      <x:c r="K3" s="12">
        <x:f t="shared" si="1"/>
        <x:v>7</x:v>
      </x:c>
      <x:c r="L3" s="18">
        <x:f t="shared" si="1"/>
        <x:v>0</x:v>
      </x:c>
      <x:c r="M3" s="15">
        <x:f t="shared" si="1"/>
        <x:v>11</x:v>
      </x:c>
      <x:c r="N3" s="15">
        <x:f t="shared" si="1"/>
        <x:v>0</x:v>
      </x:c>
      <x:c r="O3" s="14"/>
      <x:c r="P3" s="15"/>
      <x:c r="Q3" s="15"/>
      <x:c r="R3" s="15"/>
      <x:c r="S3" s="16"/>
      <x:c r="T3" s="17"/>
      <x:c r="U3" s="17"/>
      <x:c r="V3" s="17"/>
      <x:c r="W3" s="17"/>
      <x:c r="X3" s="16"/>
      <x:c r="Y3" s="16"/>
      <x:c r="Z3" s="16"/>
      <x:c r="AA3" s="16"/>
      <x:c r="AB3" s="16"/>
      <x:c r="AC3" s="16"/>
      <x:c r="AD3" s="16"/>
      <x:c r="AE3" s="16"/>
      <x:c r="AF3" s="16"/>
      <x:c r="AG3" s="16"/>
      <x:c r="AH3" s="16"/>
    </x:row>
    <x:row r="4" ht="18.75" customHeight="1">
      <x:c r="A4" s="19">
        <x:v>1.0</x:v>
      </x:c>
      <x:c r="B4" s="20" t="s">
        <x:v>202</x:v>
      </x:c>
      <x:c r="C4" s="21">
        <x:v>45964.0</x:v>
      </x:c>
      <x:c r="D4" s="22" t="s">
        <x:v>203</x:v>
      </x:c>
      <x:c r="E4" s="23"/>
      <x:c r="F4" s="23">
        <x:v>1.0</x:v>
      </x:c>
      <x:c r="G4" s="24"/>
      <x:c r="H4" s="24"/>
      <x:c r="I4" s="24"/>
      <x:c r="J4" s="24"/>
      <x:c r="K4" s="24"/>
      <x:c r="L4" s="24"/>
      <x:c r="M4" s="23"/>
      <x:c r="N4" s="94"/>
      <x:c r="O4" s="26" t="n">
        <x:f t="shared" ref="O4:O11" si="2">(E4*$E$2+F4*$F$2+G4*$G$2+H4*$H$2+I4*$I$2+J4*$J$2+K4*$K$2+L4*$L$2+M4*$M$2+N4*$N$2)</x:f>
        <x:v>260000</x:v>
      </x:c>
      <x:c r="P4" s="23" t="s">
        <x:v>37</x:v>
      </x:c>
      <x:c r="Q4" s="23"/>
      <x:c r="R4" s="27" t="s">
        <x:v>31</x:v>
      </x:c>
      <x:c r="T4" s="28" t="s">
        <x:v>34</x:v>
      </x:c>
      <x:c r="U4" s="28" t="s">
        <x:v>31</x:v>
      </x:c>
      <x:c r="V4" s="28" t="s">
        <x:v>54</x:v>
      </x:c>
      <x:c r="W4" s="28" t="s">
        <x:v>55</x:v>
      </x:c>
    </x:row>
    <x:row r="5" ht="18.75" customHeight="1">
      <x:c r="A5" s="19">
        <x:v>2.0</x:v>
      </x:c>
      <x:c r="B5" s="20" t="s">
        <x:v>204</x:v>
      </x:c>
      <x:c r="C5" s="21">
        <x:v>45976.0</x:v>
      </x:c>
      <x:c r="D5" s="22" t="s">
        <x:v>205</x:v>
      </x:c>
      <x:c r="E5" s="23"/>
      <x:c r="F5" s="23">
        <x:v>1.0</x:v>
      </x:c>
      <x:c r="G5" s="24"/>
      <x:c r="H5" s="24"/>
      <x:c r="I5" s="24"/>
      <x:c r="J5" s="24"/>
      <x:c r="K5" s="24"/>
      <x:c r="L5" s="24"/>
      <x:c r="M5" s="94"/>
      <x:c r="N5" s="94"/>
      <x:c r="O5" s="26">
        <x:f t="shared" si="2"/>
        <x:v>260000</x:v>
      </x:c>
      <x:c r="P5" s="23" t="s">
        <x:v>37</x:v>
      </x:c>
      <x:c r="Q5" s="23"/>
      <x:c r="R5" s="23" t="s">
        <x:v>31</x:v>
      </x:c>
      <x:c r="T5" s="31" t="n">
        <x:f>SUMIF(R4:R1118, "Đã CK Anh", O4:O1118)</x:f>
        <x:v>935000</x:v>
      </x:c>
      <x:c r="U5" s="31" t="n">
        <x:f>SUMIF(R4:R1118, "Đã CK Em", O4:O1118)</x:f>
        <x:v>23278000</x:v>
      </x:c>
      <x:c r="V5" s="31" t="n">
        <x:f>T5+U5</x:f>
        <x:v>24213000</x:v>
      </x:c>
      <x:c r="W5" s="31" t="n">
        <x:f>SUMIF(R4:R1118, "Chưa CK", O4:O1118)</x:f>
        <x:v>0</x:v>
      </x:c>
    </x:row>
    <x:row r="6" ht="18.75" customHeight="1">
      <x:c r="A6" s="19">
        <x:v>3.0</x:v>
      </x:c>
      <x:c r="B6" s="20" t="s">
        <x:v>206</x:v>
      </x:c>
      <x:c r="C6" s="21">
        <x:v>45976.0</x:v>
      </x:c>
      <x:c r="D6" s="22" t="s">
        <x:v>207</x:v>
      </x:c>
      <x:c r="E6" s="23"/>
      <x:c r="F6" s="23">
        <x:v>1.0</x:v>
      </x:c>
      <x:c r="G6" s="24"/>
      <x:c r="H6" s="24"/>
      <x:c r="I6" s="24"/>
      <x:c r="J6" s="24"/>
      <x:c r="K6" s="24"/>
      <x:c r="L6" s="24"/>
      <x:c r="M6" s="94"/>
      <x:c r="N6" s="94"/>
      <x:c r="O6" s="26">
        <x:f t="shared" si="2"/>
        <x:v>260000</x:v>
      </x:c>
      <x:c r="P6" s="23" t="s">
        <x:v>37</x:v>
      </x:c>
      <x:c r="Q6" s="23"/>
      <x:c r="R6" s="23" t="s">
        <x:v>31</x:v>
      </x:c>
    </x:row>
    <x:row r="7" ht="18.75" customHeight="1">
      <x:c r="A7" s="19">
        <x:v>4.0</x:v>
      </x:c>
      <x:c r="B7" s="29" t="s">
        <x:v>208</x:v>
      </x:c>
      <x:c r="C7" s="21">
        <x:v>45976.0</x:v>
      </x:c>
      <x:c r="D7" s="22" t="s">
        <x:v>209</x:v>
      </x:c>
      <x:c r="E7" s="23"/>
      <x:c r="F7" s="23">
        <x:v>1.0</x:v>
      </x:c>
      <x:c r="G7" s="24"/>
      <x:c r="H7" s="24"/>
      <x:c r="I7" s="24"/>
      <x:c r="J7" s="24"/>
      <x:c r="K7" s="24"/>
      <x:c r="L7" s="24"/>
      <x:c r="M7" s="23"/>
      <x:c r="N7" s="23"/>
      <x:c r="O7" s="26">
        <x:f t="shared" si="2"/>
        <x:v>260000</x:v>
      </x:c>
      <x:c r="P7" s="23" t="s">
        <x:v>37</x:v>
      </x:c>
      <x:c r="Q7" s="23"/>
      <x:c r="R7" s="27" t="s">
        <x:v>31</x:v>
      </x:c>
    </x:row>
    <x:row r="8" ht="18.75" customHeight="1">
      <x:c r="A8" s="19">
        <x:v>5.0</x:v>
      </x:c>
      <x:c r="B8" s="29" t="s">
        <x:v>210</x:v>
      </x:c>
      <x:c r="C8" s="21">
        <x:v>45978.0</x:v>
      </x:c>
      <x:c r="D8" s="22" t="s">
        <x:v>211</x:v>
      </x:c>
      <x:c r="E8" s="23"/>
      <x:c r="F8" s="23"/>
      <x:c r="G8" s="24"/>
      <x:c r="H8" s="24">
        <x:v>1.0</x:v>
      </x:c>
      <x:c r="I8" s="24"/>
      <x:c r="J8" s="24"/>
      <x:c r="K8" s="24"/>
      <x:c r="L8" s="24"/>
      <x:c r="M8" s="23"/>
      <x:c r="N8" s="23"/>
      <x:c r="O8" s="26">
        <x:f t="shared" si="2"/>
        <x:v>425000</x:v>
      </x:c>
      <x:c r="P8" s="23" t="s">
        <x:v>37</x:v>
      </x:c>
      <x:c r="Q8" s="23"/>
      <x:c r="R8" s="23" t="s">
        <x:v>31</x:v>
      </x:c>
    </x:row>
    <x:row r="9" ht="18.75" customHeight="1">
      <x:c r="A9" s="19">
        <x:v>6.0</x:v>
      </x:c>
      <x:c r="B9" s="29" t="s">
        <x:v>212</x:v>
      </x:c>
      <x:c r="C9" s="21">
        <x:v>45978.0</x:v>
      </x:c>
      <x:c r="D9" s="22" t="s">
        <x:v>213</x:v>
      </x:c>
      <x:c r="E9" s="23"/>
      <x:c r="F9" s="23">
        <x:v>1.0</x:v>
      </x:c>
      <x:c r="G9" s="25"/>
      <x:c r="H9" s="24">
        <x:v>1.0</x:v>
      </x:c>
      <x:c r="I9" s="25"/>
      <x:c r="J9" s="24"/>
      <x:c r="K9" s="24"/>
      <x:c r="L9" s="25"/>
      <x:c r="M9" s="23"/>
      <x:c r="N9" s="23"/>
      <x:c r="O9" s="26">
        <x:f t="shared" si="2"/>
        <x:v>685000</x:v>
      </x:c>
      <x:c r="P9" s="23" t="s">
        <x:v>37</x:v>
      </x:c>
      <x:c r="Q9" s="23"/>
      <x:c r="R9" s="23" t="s">
        <x:v>34</x:v>
      </x:c>
    </x:row>
    <x:row r="10" ht="18.75" customHeight="1">
      <x:c r="A10" s="19">
        <x:v>7.0</x:v>
      </x:c>
      <x:c r="B10" s="29" t="s">
        <x:v>214</x:v>
      </x:c>
      <x:c r="C10" s="21">
        <x:v>45978.0</x:v>
      </x:c>
      <x:c r="D10" s="22" t="s">
        <x:v>215</x:v>
      </x:c>
      <x:c r="E10" s="23"/>
      <x:c r="F10" s="23"/>
      <x:c r="G10" s="25"/>
      <x:c r="H10" s="24">
        <x:v>1.0</x:v>
      </x:c>
      <x:c r="I10" s="24"/>
      <x:c r="J10" s="24"/>
      <x:c r="K10" s="24"/>
      <x:c r="L10" s="24"/>
      <x:c r="M10" s="94"/>
      <x:c r="N10" s="94"/>
      <x:c r="O10" s="26">
        <x:f t="shared" si="2"/>
        <x:v>425000</x:v>
      </x:c>
      <x:c r="P10" s="23" t="s">
        <x:v>37</x:v>
      </x:c>
      <x:c r="Q10" s="23"/>
      <x:c r="R10" s="23" t="s">
        <x:v>31</x:v>
      </x:c>
      <x:c r="T10" s="37"/>
      <x:c r="U10" s="37"/>
      <x:c r="V10" s="37"/>
      <x:c r="W10" s="37"/>
    </x:row>
    <x:row r="11" ht="18.75" customHeight="1">
      <x:c r="A11" s="19">
        <x:v>9.0</x:v>
      </x:c>
      <x:c r="B11" s="29" t="s">
        <x:v>216</x:v>
      </x:c>
      <x:c r="C11" s="21">
        <x:v>45978.0</x:v>
      </x:c>
      <x:c r="D11" s="22" t="s">
        <x:v>217</x:v>
      </x:c>
      <x:c r="E11" s="23"/>
      <x:c r="F11" s="23"/>
      <x:c r="G11" s="24"/>
      <x:c r="H11" s="24">
        <x:v>1.0</x:v>
      </x:c>
      <x:c r="I11" s="24"/>
      <x:c r="J11" s="24"/>
      <x:c r="K11" s="25"/>
      <x:c r="L11" s="24"/>
      <x:c r="M11" s="23"/>
      <x:c r="N11" s="94"/>
      <x:c r="O11" s="26">
        <x:f t="shared" si="2"/>
        <x:v>425000</x:v>
      </x:c>
      <x:c r="P11" s="23" t="s">
        <x:v>37</x:v>
      </x:c>
      <x:c r="Q11" s="23"/>
      <x:c r="R11" s="23" t="s">
        <x:v>31</x:v>
      </x:c>
      <x:c r="T11" s="33" t="n" cm="1">
        <x:f t="array" ref="T11:T19">_xlfn._xlws.SORT(_xlfn.UNIQUE(C4:C1116))</x:f>
        <x:v>45964</x:v>
      </x:c>
      <x:c r="U11" s="34" t="e">
        <x:f>IFERROR(__xludf.DUMMYFUNCTION("SUM(FILTER($E$4:$N$1118, $C$4:$C$1118 = T11))"),1.0)</x:f>
        <x:v>#NAME?</x:v>
      </x:c>
      <x:c r="V11" s="34" t="e">
        <x:f>IFERROR(__xludf.DUMMYFUNCTION("COUNT(FILTER($C$4:$C$1118, $C$4:$C$1118 = T11))"),1.0)</x:f>
        <x:v>#NAME?</x:v>
      </x:c>
      <x:c r="W11" s="31" t="n">
        <x:f t="shared" ref="W11:W18" si="3">SUMIF($C$4:$C$1118, $T11 , $O$4:$O$1118)</x:f>
        <x:v>260000</x:v>
      </x:c>
    </x:row>
    <x:row r="12" ht="18.75" customHeight="1">
      <x:c r="A12" s="19">
        <x:v>10.0</x:v>
      </x:c>
      <x:c r="B12" s="29" t="s">
        <x:v>218</x:v>
      </x:c>
      <x:c r="C12" s="21">
        <x:v>45978.0</x:v>
      </x:c>
      <x:c r="D12" s="35"/>
      <x:c r="E12" s="23"/>
      <x:c r="F12" s="23">
        <x:v>1.0</x:v>
      </x:c>
      <x:c r="G12" s="24"/>
      <x:c r="H12" s="24"/>
      <x:c r="I12" s="24"/>
      <x:c r="J12" s="24"/>
      <x:c r="K12" s="24"/>
      <x:c r="L12" s="24"/>
      <x:c r="M12" s="94"/>
      <x:c r="N12" s="94"/>
      <x:c r="O12" s="26" t="n">
        <x:f>(E12*$E$2+F12*$F$2+G12*$G$2+H12*$H$2+I12*$I$2+J12*$J$2+K12*$K$2+L12*$L$2+M12*$M$2+N12*$N$2)+150000</x:f>
        <x:v>410000</x:v>
      </x:c>
      <x:c r="P12" s="23" t="s">
        <x:v>37</x:v>
      </x:c>
      <x:c r="Q12" s="23"/>
      <x:c r="R12" s="23" t="s">
        <x:v>31</x:v>
      </x:c>
      <x:c r="T12" s="33" t="n">
        <x:v>45976</x:v>
      </x:c>
      <x:c r="U12" s="34" t="e">
        <x:f>IFERROR(__xludf.DUMMYFUNCTION("SUM(FILTER($E$4:$N$1118, $C$4:$C$1118 = T12))"),3.0)</x:f>
        <x:v>#NAME?</x:v>
      </x:c>
      <x:c r="V12" s="34" t="e">
        <x:f>IFERROR(__xludf.DUMMYFUNCTION("COUNT(FILTER($C$4:$C$1118, $C$4:$C$1118 = T12))"),3.0)</x:f>
        <x:v>#NAME?</x:v>
      </x:c>
      <x:c r="W12" s="31">
        <x:f t="shared" si="3"/>
        <x:v>780000</x:v>
      </x:c>
    </x:row>
    <x:row r="13" ht="18.75" customHeight="1">
      <x:c r="A13" s="19">
        <x:v>11.0</x:v>
      </x:c>
      <x:c r="B13" s="29" t="s">
        <x:v>219</x:v>
      </x:c>
      <x:c r="C13" s="21">
        <x:v>45978.0</x:v>
      </x:c>
      <x:c r="D13" s="22" t="s">
        <x:v>220</x:v>
      </x:c>
      <x:c r="E13" s="23"/>
      <x:c r="F13" s="23"/>
      <x:c r="G13" s="25"/>
      <x:c r="H13" s="24">
        <x:v>1.0</x:v>
      </x:c>
      <x:c r="I13" s="24"/>
      <x:c r="J13" s="24"/>
      <x:c r="K13" s="24"/>
      <x:c r="L13" s="24"/>
      <x:c r="M13" s="23"/>
      <x:c r="N13" s="94"/>
      <x:c r="O13" s="26" t="n">
        <x:f>(E13*$E$2+F13*$F$2+G13*$G$2+H13*$H$2+I13*$I$2+J13*$J$2+K13*$K$2+L13*$L$2+M13*$M$2+N13*$N$2)</x:f>
        <x:v>425000</x:v>
      </x:c>
      <x:c r="P13" s="23" t="s">
        <x:v>37</x:v>
      </x:c>
      <x:c r="Q13" s="23"/>
      <x:c r="R13" s="23" t="s">
        <x:v>31</x:v>
      </x:c>
      <x:c r="T13" s="33" t="n">
        <x:v>45978</x:v>
      </x:c>
      <x:c r="U13" s="34" t="e">
        <x:f>IFERROR(__xludf.DUMMYFUNCTION("SUM(FILTER($E$4:$N$1118, $C$4:$C$1118 = T13))"),32.0)</x:f>
        <x:v>#NAME?</x:v>
      </x:c>
      <x:c r="V13" s="34" t="e">
        <x:f>IFERROR(__xludf.DUMMYFUNCTION("COUNT(FILTER($C$4:$C$1118, $C$4:$C$1118 = T13))"),11.0)</x:f>
        <x:v>#NAME?</x:v>
      </x:c>
      <x:c r="W13" s="31">
        <x:f t="shared" si="3"/>
        <x:v>12210000</x:v>
      </x:c>
    </x:row>
    <x:row r="14" ht="18.75" customHeight="1">
      <x:c r="A14" s="19">
        <x:v>12.0</x:v>
      </x:c>
      <x:c r="B14" s="29" t="s">
        <x:v>221</x:v>
      </x:c>
      <x:c r="C14" s="21">
        <x:v>45978.0</x:v>
      </x:c>
      <x:c r="D14" s="22" t="s">
        <x:v>220</x:v>
      </x:c>
      <x:c r="E14" s="23"/>
      <x:c r="F14" s="23"/>
      <x:c r="G14" s="25"/>
      <x:c r="H14" s="24">
        <x:v>5.0</x:v>
      </x:c>
      <x:c r="I14" s="24"/>
      <x:c r="J14" s="25"/>
      <x:c r="K14" s="24"/>
      <x:c r="L14" s="24"/>
      <x:c r="M14" s="94"/>
      <x:c r="N14" s="94"/>
      <x:c r="O14" s="26" t="n">
        <x:f>(E14*$E$2+F14*$F$2+G14*$G$2+H14*$H$2+I14*$I$2+J14*$J$2+K14*$K$2+L14*$L$2+M14*$M$2+N14*$N$2) - 15000</x:f>
        <x:v>2110000</x:v>
      </x:c>
      <x:c r="P14" s="23" t="s">
        <x:v>37</x:v>
      </x:c>
      <x:c r="Q14" s="23"/>
      <x:c r="R14" s="23" t="s">
        <x:v>31</x:v>
      </x:c>
      <x:c r="T14" s="33" t="n">
        <x:v>45979</x:v>
      </x:c>
      <x:c r="U14" s="34" t="e">
        <x:f>IFERROR(__xludf.DUMMYFUNCTION("SUM(FILTER($E$4:$N$1118, $C$4:$C$1118 = T14))"),2.0)</x:f>
        <x:v>#NAME?</x:v>
      </x:c>
      <x:c r="V14" s="34" t="e">
        <x:f>IFERROR(__xludf.DUMMYFUNCTION("COUNT(FILTER($C$4:$C$1118, $C$4:$C$1118 = T14))"),1.0)</x:f>
        <x:v>#NAME?</x:v>
      </x:c>
      <x:c r="W14" s="31">
        <x:f t="shared" si="3"/>
        <x:v>535000</x:v>
      </x:c>
    </x:row>
    <x:row r="15" ht="18.75" customHeight="1">
      <x:c r="A15" s="19">
        <x:v>13.0</x:v>
      </x:c>
      <x:c r="B15" s="29" t="s">
        <x:v>222</x:v>
      </x:c>
      <x:c r="C15" s="21">
        <x:v>45978.0</x:v>
      </x:c>
      <x:c r="D15" s="22" t="s">
        <x:v>223</x:v>
      </x:c>
      <x:c r="E15" s="23"/>
      <x:c r="F15" s="23"/>
      <x:c r="G15" s="24"/>
      <x:c r="H15" s="24">
        <x:v>5.0</x:v>
      </x:c>
      <x:c r="I15" s="24"/>
      <x:c r="J15" s="24"/>
      <x:c r="K15" s="25"/>
      <x:c r="L15" s="24"/>
      <x:c r="M15" s="23">
        <x:v>10.0</x:v>
      </x:c>
      <x:c r="N15" s="23"/>
      <x:c r="O15" s="26" t="n">
        <x:f>(E15*$E$2+F15*$F$2+G15*$G$2+H15*$H$2+I15*$I$2+J15*$J$2+K15*$K$2+L15*$L$2+M15*$M$2+N15*$N$2) - 35000</x:f>
        <x:v>5990000</x:v>
      </x:c>
      <x:c r="P15" s="23" t="s">
        <x:v>37</x:v>
      </x:c>
      <x:c r="Q15" s="23"/>
      <x:c r="R15" s="23" t="s">
        <x:v>31</x:v>
      </x:c>
      <x:c r="S15" s="32"/>
      <x:c r="T15" s="33" t="n">
        <x:v>45980</x:v>
      </x:c>
      <x:c r="U15" s="34" t="e">
        <x:f>IFERROR(__xludf.DUMMYFUNCTION("SUM(FILTER($E$4:$N$1118, $C$4:$C$1118 = T15))"),8.0)</x:f>
        <x:v>#NAME?</x:v>
      </x:c>
      <x:c r="V15" s="34" t="e">
        <x:f>IFERROR(__xludf.DUMMYFUNCTION("COUNT(FILTER($C$4:$C$1118, $C$4:$C$1118 = T15))"),4.0)</x:f>
        <x:v>#NAME?</x:v>
      </x:c>
      <x:c r="W15" s="31">
        <x:f t="shared" si="3"/>
        <x:v>2110000</x:v>
      </x:c>
    </x:row>
    <x:row r="16" ht="18.75" customHeight="1">
      <x:c r="A16" s="19">
        <x:v>14.0</x:v>
      </x:c>
      <x:c r="B16" s="29" t="s">
        <x:v>147</x:v>
      </x:c>
      <x:c r="C16" s="21">
        <x:v>45978.0</x:v>
      </x:c>
      <x:c r="D16" s="22" t="s">
        <x:v>224</x:v>
      </x:c>
      <x:c r="E16" s="23"/>
      <x:c r="F16" s="23">
        <x:v>2.0</x:v>
      </x:c>
      <x:c r="G16" s="24"/>
      <x:c r="H16" s="24"/>
      <x:c r="I16" s="24"/>
      <x:c r="J16" s="24"/>
      <x:c r="K16" s="25"/>
      <x:c r="L16" s="24"/>
      <x:c r="M16" s="23"/>
      <x:c r="N16" s="94"/>
      <x:c r="O16" s="26" t="n">
        <x:f t="shared" ref="O16:O25" si="4">(E16*$E$2+F16*$F$2+G16*$G$2+H16*$H$2+I16*$I$2+J16*$J$2+K16*$K$2+L16*$L$2+M16*$M$2+N16*$N$2)</x:f>
        <x:v>520000</x:v>
      </x:c>
      <x:c r="P16" s="23" t="s">
        <x:v>37</x:v>
      </x:c>
      <x:c r="Q16" s="23"/>
      <x:c r="R16" s="23" t="s">
        <x:v>31</x:v>
      </x:c>
      <x:c r="S16" s="32"/>
      <x:c r="T16" s="33" t="n">
        <x:v>45985</x:v>
      </x:c>
      <x:c r="U16" s="34" t="e">
        <x:f>IFERROR(__xludf.DUMMYFUNCTION("SUM(FILTER($E$4:$N$1118, $C$4:$C$1118 = T16))"),1.0)</x:f>
        <x:v>#NAME?</x:v>
      </x:c>
      <x:c r="V16" s="34" t="e">
        <x:f>IFERROR(__xludf.DUMMYFUNCTION("COUNT(FILTER($C$4:$C$1118, $C$4:$C$1118 = T16))"),1.0)</x:f>
        <x:v>#NAME?</x:v>
      </x:c>
      <x:c r="W16" s="31">
        <x:f t="shared" si="3"/>
        <x:v>260000</x:v>
      </x:c>
    </x:row>
    <x:row r="17" ht="18.75" customHeight="1">
      <x:c r="A17" s="19">
        <x:v>15.0</x:v>
      </x:c>
      <x:c r="B17" s="29" t="s">
        <x:v>225</x:v>
      </x:c>
      <x:c r="C17" s="21">
        <x:v>45978.0</x:v>
      </x:c>
      <x:c r="D17" s="22" t="s">
        <x:v>226</x:v>
      </x:c>
      <x:c r="E17" s="23">
        <x:v>1.0</x:v>
      </x:c>
      <x:c r="F17" s="23">
        <x:v>1.0</x:v>
      </x:c>
      <x:c r="G17" s="24"/>
      <x:c r="H17" s="24"/>
      <x:c r="I17" s="24"/>
      <x:c r="J17" s="24"/>
      <x:c r="K17" s="24"/>
      <x:c r="L17" s="24"/>
      <x:c r="M17" s="94"/>
      <x:c r="N17" s="94"/>
      <x:c r="O17" s="26">
        <x:f t="shared" si="4"/>
        <x:v>535000</x:v>
      </x:c>
      <x:c r="P17" s="23" t="s">
        <x:v>37</x:v>
      </x:c>
      <x:c r="Q17" s="23"/>
      <x:c r="R17" s="23" t="s">
        <x:v>31</x:v>
      </x:c>
      <x:c r="S17" s="32"/>
      <x:c r="T17" s="33" t="n">
        <x:v>45986</x:v>
      </x:c>
      <x:c r="U17" s="34" t="e">
        <x:f>IFERROR(__xludf.DUMMYFUNCTION("SUM(FILTER($E$4:$N$1118, $C$4:$C$1118 = T17))"),1.0)</x:f>
        <x:v>#NAME?</x:v>
      </x:c>
      <x:c r="V17" s="34" t="e">
        <x:f>IFERROR(__xludf.DUMMYFUNCTION("COUNT(FILTER($C$4:$C$1118, $C$4:$C$1118 = T17))"),1.0)</x:f>
        <x:v>#NAME?</x:v>
      </x:c>
      <x:c r="W17" s="31">
        <x:f t="shared" si="3"/>
        <x:v>390000</x:v>
      </x:c>
    </x:row>
    <x:row r="18">
      <x:c r="A18" s="19">
        <x:v>16.0</x:v>
      </x:c>
      <x:c r="B18" s="29" t="s">
        <x:v>227</x:v>
      </x:c>
      <x:c r="C18" s="21">
        <x:v>45978.0</x:v>
      </x:c>
      <x:c r="D18" s="22" t="s">
        <x:v>228</x:v>
      </x:c>
      <x:c r="E18" s="23"/>
      <x:c r="F18" s="23">
        <x:v>1.0</x:v>
      </x:c>
      <x:c r="G18" s="24"/>
      <x:c r="H18" s="24"/>
      <x:c r="I18" s="24"/>
      <x:c r="J18" s="24"/>
      <x:c r="K18" s="24"/>
      <x:c r="L18" s="24"/>
      <x:c r="M18" s="23"/>
      <x:c r="N18" s="94"/>
      <x:c r="O18" s="26">
        <x:f t="shared" si="4"/>
        <x:v>260000</x:v>
      </x:c>
      <x:c r="P18" s="23" t="s">
        <x:v>37</x:v>
      </x:c>
      <x:c r="Q18" s="23"/>
      <x:c r="R18" s="23" t="s">
        <x:v>31</x:v>
      </x:c>
      <x:c r="S18" s="32"/>
      <x:c r="T18" s="33" t="n">
        <x:v>45987</x:v>
      </x:c>
      <x:c r="U18" s="34" t="e">
        <x:f>IFERROR(__xludf.DUMMYFUNCTION("SUM(FILTER($E$4:$N$1118, $C$4:$C$1118 = T18))"),10.0)</x:f>
        <x:v>#NAME?</x:v>
      </x:c>
      <x:c r="V18" s="34" t="e">
        <x:f>IFERROR(__xludf.DUMMYFUNCTION("COUNT(FILTER($C$4:$C$1118, $C$4:$C$1118 = T18))"),8.0)</x:f>
        <x:v>#NAME?</x:v>
      </x:c>
      <x:c r="W18" s="31">
        <x:f t="shared" si="3"/>
        <x:v>2580000</x:v>
      </x:c>
    </x:row>
    <x:row r="19">
      <x:c r="A19" s="19">
        <x:v>17.0</x:v>
      </x:c>
      <x:c r="B19" s="29" t="s">
        <x:v>229</x:v>
      </x:c>
      <x:c r="C19" s="21">
        <x:v>45979.0</x:v>
      </x:c>
      <x:c r="D19" s="35"/>
      <x:c r="E19" s="23">
        <x:v>1.0</x:v>
      </x:c>
      <x:c r="F19" s="23">
        <x:v>1.0</x:v>
      </x:c>
      <x:c r="G19" s="24"/>
      <x:c r="H19" s="24"/>
      <x:c r="I19" s="24"/>
      <x:c r="J19" s="24"/>
      <x:c r="K19" s="24"/>
      <x:c r="L19" s="24"/>
      <x:c r="M19" s="94"/>
      <x:c r="N19" s="94"/>
      <x:c r="O19" s="26">
        <x:f t="shared" si="4"/>
        <x:v>535000</x:v>
      </x:c>
      <x:c r="P19" s="23" t="s">
        <x:v>37</x:v>
      </x:c>
      <x:c r="Q19" s="23"/>
      <x:c r="R19" s="23" t="s">
        <x:v>31</x:v>
      </x:c>
      <x:c r="S19" s="32"/>
      <x:c r="T19" s="33" t="n">
        <x:v>0</x:v>
      </x:c>
      <x:c r="U19" s="34"/>
      <x:c r="V19" s="34"/>
      <x:c r="W19" s="31"/>
    </x:row>
    <x:row r="20" ht="18.75" customHeight="1">
      <x:c r="A20" s="19">
        <x:v>18.0</x:v>
      </x:c>
      <x:c r="B20" s="29" t="s">
        <x:v>230</x:v>
      </x:c>
      <x:c r="C20" s="21">
        <x:v>45980.0</x:v>
      </x:c>
      <x:c r="D20" s="22" t="s">
        <x:v>231</x:v>
      </x:c>
      <x:c r="E20" s="23"/>
      <x:c r="F20" s="23">
        <x:v>3.0</x:v>
      </x:c>
      <x:c r="G20" s="24"/>
      <x:c r="H20" s="24"/>
      <x:c r="I20" s="24"/>
      <x:c r="J20" s="24"/>
      <x:c r="K20" s="24"/>
      <x:c r="L20" s="24"/>
      <x:c r="M20" s="23"/>
      <x:c r="N20" s="23"/>
      <x:c r="O20" s="26">
        <x:f t="shared" si="4"/>
        <x:v>780000</x:v>
      </x:c>
      <x:c r="P20" s="23" t="s">
        <x:v>107</x:v>
      </x:c>
      <x:c r="Q20" s="23"/>
      <x:c r="R20" s="23" t="s">
        <x:v>31</x:v>
      </x:c>
      <x:c r="S20" s="32"/>
      <x:c r="T20" s="33"/>
      <x:c r="U20" s="34" t="e">
        <x:f>IFERROR(__xludf.DUMMYFUNCTION("SUM(FILTER($E$4:$N$1118, $C$4:$C$1118 = T20))"),1.3908230453511667E7)</x:f>
        <x:v>#NAME?</x:v>
      </x:c>
      <x:c r="V20" s="34" t="e">
        <x:f>IFERROR(__xludf.DUMMYFUNCTION("COUNT(FILTER($C$4:$C$1118, $C$4:$C$1118 = T20))"),0.0)</x:f>
        <x:v>#NAME?</x:v>
      </x:c>
      <x:c r="W20" s="31" t="n">
        <x:f t="shared" ref="W20:W23" si="5">SUMIF($C$4:$C$1118, $T20 , $O$4:$O$1118)</x:f>
        <x:v>53514000</x:v>
      </x:c>
    </x:row>
    <x:row r="21" ht="18.75" customHeight="1">
      <x:c r="A21" s="19">
        <x:v>19.0</x:v>
      </x:c>
      <x:c r="B21" s="29" t="s">
        <x:v>232</x:v>
      </x:c>
      <x:c r="C21" s="21">
        <x:v>45980.0</x:v>
      </x:c>
      <x:c r="D21" s="22" t="s">
        <x:v>233</x:v>
      </x:c>
      <x:c r="E21" s="23"/>
      <x:c r="F21" s="23">
        <x:v>1.0</x:v>
      </x:c>
      <x:c r="G21" s="24"/>
      <x:c r="H21" s="25"/>
      <x:c r="I21" s="24"/>
      <x:c r="J21" s="25"/>
      <x:c r="K21" s="24"/>
      <x:c r="L21" s="24"/>
      <x:c r="M21" s="94"/>
      <x:c r="N21" s="94"/>
      <x:c r="O21" s="26">
        <x:f t="shared" si="4"/>
        <x:v>260000</x:v>
      </x:c>
      <x:c r="P21" s="23" t="s">
        <x:v>37</x:v>
      </x:c>
      <x:c r="Q21" s="23"/>
      <x:c r="R21" s="23" t="s">
        <x:v>31</x:v>
      </x:c>
      <x:c r="S21" s="32"/>
      <x:c r="T21" s="33"/>
      <x:c r="U21" s="34" t="e">
        <x:f>IFERROR(__xludf.DUMMYFUNCTION("SUM(FILTER($E$4:$N$1118, $C$4:$C$1118 = T21))"),1.3908230453511667E7)</x:f>
        <x:v>#NAME?</x:v>
      </x:c>
      <x:c r="V21" s="34" t="e">
        <x:f>IFERROR(__xludf.DUMMYFUNCTION("COUNT(FILTER($C$4:$C$1118, $C$4:$C$1118 = T21))"),0.0)</x:f>
        <x:v>#NAME?</x:v>
      </x:c>
      <x:c r="W21" s="31">
        <x:f t="shared" si="5"/>
        <x:v>0</x:v>
      </x:c>
    </x:row>
    <x:row r="22" ht="18.75" customHeight="1">
      <x:c r="A22" s="19">
        <x:v>20.0</x:v>
      </x:c>
      <x:c r="B22" s="29" t="s">
        <x:v>234</x:v>
      </x:c>
      <x:c r="C22" s="21">
        <x:v>45980.0</x:v>
      </x:c>
      <x:c r="D22" s="22" t="s">
        <x:v>235</x:v>
      </x:c>
      <x:c r="E22" s="23">
        <x:v>1.0</x:v>
      </x:c>
      <x:c r="F22" s="23">
        <x:v>1.0</x:v>
      </x:c>
      <x:c r="G22" s="24"/>
      <x:c r="H22" s="24"/>
      <x:c r="I22" s="24"/>
      <x:c r="J22" s="24"/>
      <x:c r="K22" s="24"/>
      <x:c r="L22" s="24"/>
      <x:c r="M22" s="23"/>
      <x:c r="N22" s="94"/>
      <x:c r="O22" s="26">
        <x:f t="shared" si="4"/>
        <x:v>535000</x:v>
      </x:c>
      <x:c r="P22" s="23" t="s">
        <x:v>37</x:v>
      </x:c>
      <x:c r="Q22" s="23"/>
      <x:c r="R22" s="23" t="s">
        <x:v>31</x:v>
      </x:c>
      <x:c r="S22" s="32"/>
      <x:c r="T22" s="33"/>
      <x:c r="U22" s="34" t="e">
        <x:f>IFERROR(__xludf.DUMMYFUNCTION("SUM(FILTER($E$4:$N$1118, $C$4:$C$1118 = T22))"),1.3908230453511667E7)</x:f>
        <x:v>#NAME?</x:v>
      </x:c>
      <x:c r="V22" s="34" t="e">
        <x:f>IFERROR(__xludf.DUMMYFUNCTION("COUNT(FILTER($C$4:$C$1118, $C$4:$C$1118 = T22))"),0.0)</x:f>
        <x:v>#NAME?</x:v>
      </x:c>
      <x:c r="W22" s="31">
        <x:f t="shared" si="5"/>
        <x:v>0</x:v>
      </x:c>
    </x:row>
    <x:row r="23" ht="18.75" customHeight="1">
      <x:c r="A23" s="19">
        <x:v>21.0</x:v>
      </x:c>
      <x:c r="B23" s="29" t="s">
        <x:v>236</x:v>
      </x:c>
      <x:c r="C23" s="21">
        <x:v>45980.0</x:v>
      </x:c>
      <x:c r="D23" s="22" t="s">
        <x:v>237</x:v>
      </x:c>
      <x:c r="E23" s="23">
        <x:v>1.0</x:v>
      </x:c>
      <x:c r="F23" s="23">
        <x:v>1.0</x:v>
      </x:c>
      <x:c r="G23" s="24"/>
      <x:c r="H23" s="25"/>
      <x:c r="I23" s="25"/>
      <x:c r="J23" s="25"/>
      <x:c r="K23" s="24"/>
      <x:c r="L23" s="24"/>
      <x:c r="M23" s="23"/>
      <x:c r="N23" s="94"/>
      <x:c r="O23" s="26">
        <x:f t="shared" si="4"/>
        <x:v>535000</x:v>
      </x:c>
      <x:c r="P23" s="23" t="s">
        <x:v>37</x:v>
      </x:c>
      <x:c r="Q23" s="23"/>
      <x:c r="R23" s="23" t="s">
        <x:v>31</x:v>
      </x:c>
      <x:c r="S23" s="32"/>
      <x:c r="T23" s="33"/>
      <x:c r="U23" s="34" t="e">
        <x:f>IFERROR(__xludf.DUMMYFUNCTION("SUM(FILTER($E$4:$N$1118, $C$4:$C$1118 = T23))"),1.3908230453511667E7)</x:f>
        <x:v>#NAME?</x:v>
      </x:c>
      <x:c r="V23" s="34" t="e">
        <x:f>IFERROR(__xludf.DUMMYFUNCTION("COUNT(FILTER($C$4:$C$1118, $C$4:$C$1118 = T23))"),0.0)</x:f>
        <x:v>#NAME?</x:v>
      </x:c>
      <x:c r="W23" s="31">
        <x:f t="shared" si="5"/>
        <x:v>0</x:v>
      </x:c>
    </x:row>
    <x:row r="24" ht="18.75" customHeight="1">
      <x:c r="A24" s="19">
        <x:v>22.0</x:v>
      </x:c>
      <x:c r="B24" s="29" t="s">
        <x:v>238</x:v>
      </x:c>
      <x:c r="C24" s="21">
        <x:v>45985.0</x:v>
      </x:c>
      <x:c r="D24" s="22" t="s">
        <x:v>239</x:v>
      </x:c>
      <x:c r="E24" s="23"/>
      <x:c r="F24" s="23">
        <x:v>1.0</x:v>
      </x:c>
      <x:c r="G24" s="25"/>
      <x:c r="H24" s="24"/>
      <x:c r="I24" s="24"/>
      <x:c r="J24" s="24"/>
      <x:c r="K24" s="24"/>
      <x:c r="L24" s="24"/>
      <x:c r="M24" s="23"/>
      <x:c r="N24" s="94"/>
      <x:c r="O24" s="26">
        <x:f t="shared" si="4"/>
        <x:v>260000</x:v>
      </x:c>
      <x:c r="P24" s="23" t="s">
        <x:v>37</x:v>
      </x:c>
      <x:c r="Q24" s="23" t="s">
        <x:v>74</x:v>
      </x:c>
      <x:c r="R24" s="23" t="s">
        <x:v>31</x:v>
      </x:c>
      <x:c r="S24" s="32"/>
      <x:c r="T24" s="33"/>
      <x:c r="U24" s="34"/>
      <x:c r="V24" s="34"/>
      <x:c r="W24" s="31"/>
    </x:row>
    <x:row r="25" ht="18.75" customHeight="1">
      <x:c r="A25" s="19">
        <x:v>23.0</x:v>
      </x:c>
      <x:c r="B25" s="29" t="s">
        <x:v>240</x:v>
      </x:c>
      <x:c r="C25" s="21">
        <x:v>45986.0</x:v>
      </x:c>
      <x:c r="D25" s="22" t="s">
        <x:v>241</x:v>
      </x:c>
      <x:c r="E25" s="23"/>
      <x:c r="F25" s="23"/>
      <x:c r="G25" s="25"/>
      <x:c r="H25" s="24"/>
      <x:c r="I25" s="24"/>
      <x:c r="J25" s="24"/>
      <x:c r="K25" s="24"/>
      <x:c r="L25" s="24"/>
      <x:c r="M25" s="23">
        <x:v>1.0</x:v>
      </x:c>
      <x:c r="N25" s="94"/>
      <x:c r="O25" s="26">
        <x:f t="shared" si="4"/>
        <x:v>390000</x:v>
      </x:c>
      <x:c r="P25" s="23" t="s">
        <x:v>107</x:v>
      </x:c>
      <x:c r="Q25" s="23" t="s">
        <x:v>30</x:v>
      </x:c>
      <x:c r="R25" s="23" t="s">
        <x:v>31</x:v>
      </x:c>
      <x:c r="S25" s="32"/>
      <x:c r="T25" s="33"/>
      <x:c r="U25" s="34"/>
      <x:c r="V25" s="34"/>
      <x:c r="W25" s="31"/>
    </x:row>
    <x:row r="26" ht="18.75" customHeight="1">
      <x:c r="A26" s="19">
        <x:v>24.0</x:v>
      </x:c>
      <x:c r="B26" s="29" t="s">
        <x:v>242</x:v>
      </x:c>
      <x:c r="C26" s="21">
        <x:v>45987.0</x:v>
      </x:c>
      <x:c r="D26" s="22" t="s">
        <x:v>243</x:v>
      </x:c>
      <x:c r="E26" s="23"/>
      <x:c r="F26" s="23">
        <x:v>3.0</x:v>
      </x:c>
      <x:c r="G26" s="25"/>
      <x:c r="H26" s="24"/>
      <x:c r="I26" s="24"/>
      <x:c r="J26" s="24"/>
      <x:c r="K26" s="24"/>
      <x:c r="L26" s="24"/>
      <x:c r="M26" s="23"/>
      <x:c r="N26" s="94"/>
      <x:c r="O26" s="26" t="n">
        <x:f>(E26*$E$2+F26*$F$2+G26*$G$2+H26*$H$2+I26*$I$2+J26*$J$2+K26*$K$2+L26*$L$2+M26*$M$2+N26*$N$2)-10000</x:f>
        <x:v>770000</x:v>
      </x:c>
      <x:c r="P26" s="23" t="s">
        <x:v>37</x:v>
      </x:c>
      <x:c r="Q26" s="23"/>
      <x:c r="R26" s="23" t="s">
        <x:v>31</x:v>
      </x:c>
      <x:c r="S26" s="32"/>
      <x:c r="T26" s="33"/>
      <x:c r="U26" s="34" t="e">
        <x:f>IFERROR(__xludf.DUMMYFUNCTION("SUM(FILTER($E$4:$N$1118, $C$4:$C$1118 = T26))"),1.3908230453511667E7)</x:f>
        <x:v>#NAME?</x:v>
      </x:c>
      <x:c r="V26" s="34" t="e">
        <x:f>IFERROR(__xludf.DUMMYFUNCTION("COUNT(FILTER($C$4:$C$1118, $C$4:$C$1118 = T26))"),0.0)</x:f>
        <x:v>#NAME?</x:v>
      </x:c>
      <x:c r="W26" s="31" t="n">
        <x:f t="shared" ref="W26:W39" si="6">SUMIF($C$4:$C$1118, $T26 , $O$4:$O$1118)</x:f>
        <x:v>53514000</x:v>
      </x:c>
    </x:row>
    <x:row r="27">
      <x:c r="A27" s="19">
        <x:v>25.0</x:v>
      </x:c>
      <x:c r="B27" s="29" t="s">
        <x:v>244</x:v>
      </x:c>
      <x:c r="C27" s="21">
        <x:v>45987.0</x:v>
      </x:c>
      <x:c r="D27" s="58" t="s">
        <x:v>245</x:v>
      </x:c>
      <x:c r="E27" s="56"/>
      <x:c r="F27" s="23">
        <x:v>1.0</x:v>
      </x:c>
      <x:c r="G27" s="25"/>
      <x:c r="H27" s="25"/>
      <x:c r="I27" s="25"/>
      <x:c r="J27" s="25"/>
      <x:c r="K27" s="24"/>
      <x:c r="L27" s="24"/>
      <x:c r="M27" s="94"/>
      <x:c r="N27" s="23"/>
      <x:c r="O27" s="26" t="n">
        <x:f t="shared" ref="O27:O34" si="7">(E27*$E$2+F27*$F$2+G27*$G$2+H27*$H$2+I27*$I$2+J27*$J$2+K27*$K$2+L27*$L$2+M27*$M$2+N27*$N$2)</x:f>
        <x:v>260000</x:v>
      </x:c>
      <x:c r="P27" s="23" t="s">
        <x:v>37</x:v>
      </x:c>
      <x:c r="Q27" s="23"/>
      <x:c r="R27" s="23" t="s">
        <x:v>31</x:v>
      </x:c>
      <x:c r="S27" s="57"/>
      <x:c r="T27" s="33"/>
      <x:c r="U27" s="34" t="e">
        <x:f>IFERROR(__xludf.DUMMYFUNCTION("SUM(FILTER($E$4:$N$1118, $C$4:$C$1118 = T27))"),1.3908230453511667E7)</x:f>
        <x:v>#NAME?</x:v>
      </x:c>
      <x:c r="V27" s="34" t="e">
        <x:f>IFERROR(__xludf.DUMMYFUNCTION("COUNT(FILTER($C$4:$C$1118, $C$4:$C$1118 = T27))"),0.0)</x:f>
        <x:v>#NAME?</x:v>
      </x:c>
      <x:c r="W27" s="31">
        <x:f t="shared" si="6"/>
        <x:v>0</x:v>
      </x:c>
    </x:row>
    <x:row r="28" ht="18.75" customHeight="1">
      <x:c r="A28" s="19">
        <x:v>26.0</x:v>
      </x:c>
      <x:c r="B28" s="29" t="s">
        <x:v>246</x:v>
      </x:c>
      <x:c r="C28" s="21">
        <x:v>45987.0</x:v>
      </x:c>
      <x:c r="D28" s="58" t="s">
        <x:v>198</x:v>
      </x:c>
      <x:c r="E28" s="56"/>
      <x:c r="F28" s="23">
        <x:v>1.0</x:v>
      </x:c>
      <x:c r="G28" s="25"/>
      <x:c r="H28" s="24"/>
      <x:c r="I28" s="24"/>
      <x:c r="J28" s="24"/>
      <x:c r="K28" s="24"/>
      <x:c r="L28" s="24"/>
      <x:c r="M28" s="94"/>
      <x:c r="N28" s="94"/>
      <x:c r="O28" s="26">
        <x:f t="shared" si="7"/>
        <x:v>260000</x:v>
      </x:c>
      <x:c r="P28" s="23" t="s">
        <x:v>107</x:v>
      </x:c>
      <x:c r="Q28" s="23" t="s">
        <x:v>30</x:v>
      </x:c>
      <x:c r="R28" s="23" t="s">
        <x:v>31</x:v>
      </x:c>
      <x:c r="S28" s="32"/>
      <x:c r="T28" s="33"/>
      <x:c r="U28" s="34" t="e">
        <x:f>IFERROR(__xludf.DUMMYFUNCTION("SUM(FILTER($E$4:$N$1118, $C$4:$C$1118 = T28))"),1.3908230453511667E7)</x:f>
        <x:v>#NAME?</x:v>
      </x:c>
      <x:c r="V28" s="34" t="e">
        <x:f>IFERROR(__xludf.DUMMYFUNCTION("COUNT(FILTER($C$4:$C$1118, $C$4:$C$1118 = T28))"),0.0)</x:f>
        <x:v>#NAME?</x:v>
      </x:c>
      <x:c r="W28" s="31">
        <x:f t="shared" si="6"/>
        <x:v>0</x:v>
      </x:c>
    </x:row>
    <x:row r="29" ht="18.75" customHeight="1">
      <x:c r="A29" s="19">
        <x:v>27.0</x:v>
      </x:c>
      <x:c r="B29" s="29" t="s">
        <x:v>247</x:v>
      </x:c>
      <x:c r="C29" s="21">
        <x:v>45987.0</x:v>
      </x:c>
      <x:c r="D29" s="22" t="s">
        <x:v>248</x:v>
      </x:c>
      <x:c r="E29" s="23"/>
      <x:c r="F29" s="23">
        <x:v>1.0</x:v>
      </x:c>
      <x:c r="G29" s="24"/>
      <x:c r="H29" s="25"/>
      <x:c r="I29" s="25"/>
      <x:c r="J29" s="25"/>
      <x:c r="K29" s="25"/>
      <x:c r="L29" s="24"/>
      <x:c r="M29" s="94"/>
      <x:c r="N29" s="94"/>
      <x:c r="O29" s="26">
        <x:f t="shared" si="7"/>
        <x:v>260000</x:v>
      </x:c>
      <x:c r="P29" s="23" t="s">
        <x:v>249</x:v>
      </x:c>
      <x:c r="Q29" s="23"/>
      <x:c r="R29" s="23" t="s">
        <x:v>31</x:v>
      </x:c>
      <x:c r="S29" s="32"/>
      <x:c r="T29" s="33"/>
      <x:c r="U29" s="34" t="e">
        <x:f>IFERROR(__xludf.DUMMYFUNCTION("SUM(FILTER($E$4:$N$1118, $C$4:$C$1118 = T29))"),1.3908230453511667E7)</x:f>
        <x:v>#NAME?</x:v>
      </x:c>
      <x:c r="V29" s="34" t="e">
        <x:f>IFERROR(__xludf.DUMMYFUNCTION("COUNT(FILTER($C$4:$C$1118, $C$4:$C$1118 = T29))"),0.0)</x:f>
        <x:v>#NAME?</x:v>
      </x:c>
      <x:c r="W29" s="31">
        <x:f t="shared" si="6"/>
        <x:v>0</x:v>
      </x:c>
    </x:row>
    <x:row r="30" ht="18.75" customHeight="1">
      <x:c r="A30" s="19">
        <x:v>28.0</x:v>
      </x:c>
      <x:c r="B30" s="29" t="s">
        <x:v>250</x:v>
      </x:c>
      <x:c r="C30" s="21">
        <x:v>45987.0</x:v>
      </x:c>
      <x:c r="D30" s="22" t="s">
        <x:v>251</x:v>
      </x:c>
      <x:c r="E30" s="23"/>
      <x:c r="F30" s="23">
        <x:v>1.0</x:v>
      </x:c>
      <x:c r="G30" s="25"/>
      <x:c r="H30" s="25"/>
      <x:c r="I30" s="25"/>
      <x:c r="J30" s="25"/>
      <x:c r="K30" s="25"/>
      <x:c r="L30" s="24"/>
      <x:c r="M30" s="94"/>
      <x:c r="N30" s="94"/>
      <x:c r="O30" s="26">
        <x:f t="shared" si="7"/>
        <x:v>260000</x:v>
      </x:c>
      <x:c r="P30" s="23" t="s">
        <x:v>37</x:v>
      </x:c>
      <x:c r="Q30" s="23"/>
      <x:c r="R30" s="23" t="s">
        <x:v>31</x:v>
      </x:c>
      <x:c r="S30" s="32"/>
      <x:c r="T30" s="33"/>
      <x:c r="U30" s="34" t="e">
        <x:f>IFERROR(__xludf.DUMMYFUNCTION("SUM(FILTER($E$4:$N$1118, $C$4:$C$1118 = T30))"),1.3908230453511667E7)</x:f>
        <x:v>#NAME?</x:v>
      </x:c>
      <x:c r="V30" s="34" t="e">
        <x:f>IFERROR(__xludf.DUMMYFUNCTION("COUNT(FILTER($C$4:$C$1118, $C$4:$C$1118 = T30))"),0.0)</x:f>
        <x:v>#NAME?</x:v>
      </x:c>
      <x:c r="W30" s="31">
        <x:f t="shared" si="6"/>
        <x:v>0</x:v>
      </x:c>
    </x:row>
    <x:row r="31" ht="18.75" customHeight="1">
      <x:c r="A31" s="19">
        <x:v>29.0</x:v>
      </x:c>
      <x:c r="B31" s="29" t="s">
        <x:v>252</x:v>
      </x:c>
      <x:c r="C31" s="21">
        <x:v>45987.0</x:v>
      </x:c>
      <x:c r="D31" s="22" t="s">
        <x:v>253</x:v>
      </x:c>
      <x:c r="E31" s="23"/>
      <x:c r="F31" s="23">
        <x:v>1.0</x:v>
      </x:c>
      <x:c r="G31" s="24"/>
      <x:c r="H31" s="24"/>
      <x:c r="I31" s="24"/>
      <x:c r="J31" s="24"/>
      <x:c r="K31" s="25"/>
      <x:c r="L31" s="24"/>
      <x:c r="M31" s="23"/>
      <x:c r="N31" s="94"/>
      <x:c r="O31" s="26">
        <x:f t="shared" si="7"/>
        <x:v>260000</x:v>
      </x:c>
      <x:c r="P31" s="23" t="s">
        <x:v>37</x:v>
      </x:c>
      <x:c r="Q31" s="23"/>
      <x:c r="R31" s="23" t="s">
        <x:v>31</x:v>
      </x:c>
      <x:c r="S31" s="32"/>
      <x:c r="T31" s="33"/>
      <x:c r="U31" s="34" t="e">
        <x:f>IFERROR(__xludf.DUMMYFUNCTION("SUM(FILTER($E$4:$N$1118, $C$4:$C$1118 = T31))"),1.3908230453511667E7)</x:f>
        <x:v>#NAME?</x:v>
      </x:c>
      <x:c r="V31" s="34" t="e">
        <x:f>IFERROR(__xludf.DUMMYFUNCTION("COUNT(FILTER($C$4:$C$1118, $C$4:$C$1118 = T31))"),0.0)</x:f>
        <x:v>#NAME?</x:v>
      </x:c>
      <x:c r="W31" s="31">
        <x:f t="shared" si="6"/>
        <x:v>0</x:v>
      </x:c>
    </x:row>
    <x:row r="32" ht="18.75" customHeight="1">
      <x:c r="A32" s="19">
        <x:v>30.0</x:v>
      </x:c>
      <x:c r="B32" s="29" t="s">
        <x:v>254</x:v>
      </x:c>
      <x:c r="C32" s="21">
        <x:v>45987.0</x:v>
      </x:c>
      <x:c r="D32" s="22" t="s">
        <x:v>255</x:v>
      </x:c>
      <x:c r="E32" s="23"/>
      <x:c r="F32" s="23">
        <x:v>1.0</x:v>
      </x:c>
      <x:c r="G32" s="24"/>
      <x:c r="H32" s="24"/>
      <x:c r="I32" s="24"/>
      <x:c r="J32" s="24"/>
      <x:c r="K32" s="25"/>
      <x:c r="L32" s="24"/>
      <x:c r="M32" s="94"/>
      <x:c r="N32" s="94"/>
      <x:c r="O32" s="26">
        <x:f t="shared" si="7"/>
        <x:v>260000</x:v>
      </x:c>
      <x:c r="P32" s="23" t="s">
        <x:v>37</x:v>
      </x:c>
      <x:c r="Q32" s="23"/>
      <x:c r="R32" s="23" t="s">
        <x:v>31</x:v>
      </x:c>
      <x:c r="S32" s="32"/>
      <x:c r="T32" s="33"/>
      <x:c r="U32" s="34" t="e">
        <x:f>IFERROR(__xludf.DUMMYFUNCTION("SUM(FILTER($E$4:$N$1118, $C$4:$C$1118 = T32))"),1.3908230453511667E7)</x:f>
        <x:v>#NAME?</x:v>
      </x:c>
      <x:c r="V32" s="34" t="e">
        <x:f>IFERROR(__xludf.DUMMYFUNCTION("COUNT(FILTER($C$4:$C$1118, $C$4:$C$1118 = T32))"),0.0)</x:f>
        <x:v>#NAME?</x:v>
      </x:c>
      <x:c r="W32" s="31">
        <x:f t="shared" si="6"/>
        <x:v>0</x:v>
      </x:c>
    </x:row>
    <x:row r="33">
      <x:c r="A33" s="19">
        <x:v>31.0</x:v>
      </x:c>
      <x:c r="B33" s="29" t="s">
        <x:v>256</x:v>
      </x:c>
      <x:c r="C33" s="21">
        <x:v>45987.0</x:v>
      </x:c>
      <x:c r="D33" s="35"/>
      <x:c r="E33" s="23"/>
      <x:c r="F33" s="23"/>
      <x:c r="G33" s="25"/>
      <x:c r="H33" s="25"/>
      <x:c r="I33" s="25"/>
      <x:c r="J33" s="25"/>
      <x:c r="K33" s="24">
        <x:v>1.0</x:v>
      </x:c>
      <x:c r="L33" s="24"/>
      <x:c r="M33" s="94"/>
      <x:c r="N33" s="94"/>
      <x:c r="O33" s="26">
        <x:f t="shared" si="7"/>
        <x:v>250000</x:v>
      </x:c>
      <x:c r="P33" s="23" t="s">
        <x:v>37</x:v>
      </x:c>
      <x:c r="Q33" s="23"/>
      <x:c r="R33" s="23" t="s">
        <x:v>34</x:v>
      </x:c>
      <x:c r="S33" s="57"/>
      <x:c r="T33" s="33"/>
      <x:c r="U33" s="34" t="e">
        <x:f>IFERROR(__xludf.DUMMYFUNCTION("SUM(FILTER($E$4:$N$1118, $C$4:$C$1118 = T33))"),1.3908230453511667E7)</x:f>
        <x:v>#NAME?</x:v>
      </x:c>
      <x:c r="V33" s="34" t="e">
        <x:f>IFERROR(__xludf.DUMMYFUNCTION("COUNT(FILTER($C$4:$C$1118, $C$4:$C$1118 = T33))"),0.0)</x:f>
        <x:v>#NAME?</x:v>
      </x:c>
      <x:c r="W33" s="31">
        <x:f t="shared" si="6"/>
        <x:v>0</x:v>
      </x:c>
    </x:row>
    <x:row r="34" ht="18.75" customHeight="1">
      <x:c r="A34" s="19">
        <x:v>32.0</x:v>
      </x:c>
      <x:c r="B34" s="29" t="s">
        <x:v>257</x:v>
      </x:c>
      <x:c r="C34" s="21"/>
      <x:c r="D34" s="35"/>
      <x:c r="E34" s="23">
        <x:v>1.0</x:v>
      </x:c>
      <x:c r="F34" s="23">
        <x:v>1.0</x:v>
      </x:c>
      <x:c r="G34" s="24"/>
      <x:c r="H34" s="24"/>
      <x:c r="I34" s="24"/>
      <x:c r="J34" s="24"/>
      <x:c r="K34" s="24"/>
      <x:c r="L34" s="24"/>
      <x:c r="M34" s="94"/>
      <x:c r="N34" s="94"/>
      <x:c r="O34" s="26">
        <x:f t="shared" si="7"/>
        <x:v>535000</x:v>
      </x:c>
      <x:c r="P34" s="23" t="s">
        <x:v>74</x:v>
      </x:c>
      <x:c r="Q34" s="23"/>
      <x:c r="R34" s="23" t="s">
        <x:v>31</x:v>
      </x:c>
      <x:c r="S34" s="57"/>
      <x:c r="T34" s="33"/>
      <x:c r="U34" s="34" t="e">
        <x:f>IFERROR(__xludf.DUMMYFUNCTION("SUM(FILTER($E$4:$N$1118, $C$4:$C$1118 = T34))"),1.3908230453511667E7)</x:f>
        <x:v>#NAME?</x:v>
      </x:c>
      <x:c r="V34" s="34" t="e">
        <x:f>IFERROR(__xludf.DUMMYFUNCTION("COUNT(FILTER($C$4:$C$1118, $C$4:$C$1118 = T34))"),0.0)</x:f>
        <x:v>#NAME?</x:v>
      </x:c>
      <x:c r="W34" s="31">
        <x:f t="shared" si="6"/>
        <x:v>0</x:v>
      </x:c>
    </x:row>
    <x:row r="35" ht="18.75" customHeight="1">
      <x:c r="A35" s="19">
        <x:v>33.0</x:v>
      </x:c>
      <x:c r="B35" s="29" t="s">
        <x:v>258</x:v>
      </x:c>
      <x:c r="C35" s="21"/>
      <x:c r="D35" s="35"/>
      <x:c r="E35" s="23">
        <x:v>5.0</x:v>
      </x:c>
      <x:c r="F35" s="23">
        <x:v>6.0</x:v>
      </x:c>
      <x:c r="G35" s="24"/>
      <x:c r="H35" s="24"/>
      <x:c r="I35" s="24"/>
      <x:c r="J35" s="24"/>
      <x:c r="K35" s="24">
        <x:v>6.0</x:v>
      </x:c>
      <x:c r="L35" s="24"/>
      <x:c r="M35" s="23"/>
      <x:c r="N35" s="94"/>
      <x:c r="O35" s="26" t="n">
        <x:f>(E35*$E$2+F35*$F$2+G35*$G$2+H35*$H$2+I35*$I$2+J35*$J$2+K35*$K$2+L35*$L$2+M35*$M$2+N35*$N$2)-105000 - 37000</x:f>
        <x:v>4293000</x:v>
      </x:c>
      <x:c r="P35" s="23" t="s">
        <x:v>37</x:v>
      </x:c>
      <x:c r="Q35" s="23"/>
      <x:c r="R35" s="23" t="s">
        <x:v>31</x:v>
      </x:c>
      <x:c r="S35" s="32"/>
      <x:c r="T35" s="33"/>
      <x:c r="U35" s="34" t="e">
        <x:f>IFERROR(__xludf.DUMMYFUNCTION("SUM(FILTER($E$4:$N$1118, $C$4:$C$1118 = T35))"),1.3908230453511667E7)</x:f>
        <x:v>#NAME?</x:v>
      </x:c>
      <x:c r="V35" s="34" t="e">
        <x:f>IFERROR(__xludf.DUMMYFUNCTION("COUNT(FILTER($C$4:$C$1118, $C$4:$C$1118 = T35))"),0.0)</x:f>
        <x:v>#NAME?</x:v>
      </x:c>
      <x:c r="W35" s="31">
        <x:f t="shared" si="6"/>
        <x:v>0</x:v>
      </x:c>
    </x:row>
    <x:row r="36" ht="18.75" customHeight="1">
      <x:c r="A36" s="19">
        <x:v>35.0</x:v>
      </x:c>
      <x:c r="B36" s="29" t="s">
        <x:v>259</x:v>
      </x:c>
      <x:c r="C36" s="21"/>
      <x:c r="D36" s="35"/>
      <x:c r="E36" s="23"/>
      <x:c r="F36" s="23">
        <x:v>1.0</x:v>
      </x:c>
      <x:c r="G36" s="24"/>
      <x:c r="H36" s="24"/>
      <x:c r="I36" s="24"/>
      <x:c r="J36" s="24"/>
      <x:c r="K36" s="24"/>
      <x:c r="L36" s="24"/>
      <x:c r="M36" s="23"/>
      <x:c r="N36" s="23"/>
      <x:c r="O36" s="26" t="n">
        <x:f t="shared" ref="O36:O169" si="8">(E36*$E$2+F36*$F$2+G36*$G$2+H36*$H$2+I36*$I$2+J36*$J$2+K36*$K$2+L36*$L$2+M36*$M$2+N36*$N$2)</x:f>
        <x:v>260000</x:v>
      </x:c>
      <x:c r="P36" s="23" t="s">
        <x:v>37</x:v>
      </x:c>
      <x:c r="Q36" s="23"/>
      <x:c r="R36" s="23" t="s">
        <x:v>31</x:v>
      </x:c>
      <x:c r="S36" s="32"/>
      <x:c r="T36" s="33"/>
      <x:c r="U36" s="34" t="e">
        <x:f>IFERROR(__xludf.DUMMYFUNCTION("SUM(FILTER($E$4:$N$1118, $C$4:$C$1118 = T36))"),1.3908230453511667E7)</x:f>
        <x:v>#NAME?</x:v>
      </x:c>
      <x:c r="V36" s="34" t="e">
        <x:f>IFERROR(__xludf.DUMMYFUNCTION("COUNT(FILTER($C$4:$C$1118, $C$4:$C$1118 = T36))"),0.0)</x:f>
        <x:v>#NAME?</x:v>
      </x:c>
      <x:c r="W36" s="31">
        <x:f t="shared" si="6"/>
        <x:v>0</x:v>
      </x:c>
    </x:row>
    <x:row r="37" ht="18.75" customHeight="1">
      <x:c r="A37" s="19">
        <x:v>36.0</x:v>
      </x:c>
      <x:c r="B37" s="29"/>
      <x:c r="C37" s="21"/>
      <x:c r="D37" s="35"/>
      <x:c r="E37" s="56"/>
      <x:c r="F37" s="23"/>
      <x:c r="G37" s="25"/>
      <x:c r="H37" s="25"/>
      <x:c r="I37" s="25"/>
      <x:c r="J37" s="25"/>
      <x:c r="K37" s="24"/>
      <x:c r="L37" s="25"/>
      <x:c r="M37" s="94"/>
      <x:c r="N37" s="94"/>
      <x:c r="O37" s="26">
        <x:f t="shared" si="8"/>
        <x:v>0</x:v>
      </x:c>
      <x:c r="P37" s="23"/>
      <x:c r="Q37" s="23"/>
      <x:c r="R37" s="23"/>
      <x:c r="S37" s="32"/>
      <x:c r="T37" s="33"/>
      <x:c r="U37" s="34" t="e">
        <x:f>IFERROR(__xludf.DUMMYFUNCTION("SUM(FILTER($E$4:$N$1118, $C$4:$C$1118 = T37))"),1.3908230453511667E7)</x:f>
        <x:v>#NAME?</x:v>
      </x:c>
      <x:c r="V37" s="34" t="e">
        <x:f>IFERROR(__xludf.DUMMYFUNCTION("COUNT(FILTER($C$4:$C$1118, $C$4:$C$1118 = T37))"),0.0)</x:f>
        <x:v>#NAME?</x:v>
      </x:c>
      <x:c r="W37" s="31">
        <x:f t="shared" si="6"/>
        <x:v>0</x:v>
      </x:c>
    </x:row>
    <x:row r="38" ht="18.75" customHeight="1">
      <x:c r="A38" s="19">
        <x:v>37.0</x:v>
      </x:c>
      <x:c r="B38" s="29"/>
      <x:c r="C38" s="21"/>
      <x:c r="D38" s="35"/>
      <x:c r="E38" s="23"/>
      <x:c r="F38" s="23"/>
      <x:c r="G38" s="24"/>
      <x:c r="H38" s="24"/>
      <x:c r="I38" s="24"/>
      <x:c r="J38" s="24"/>
      <x:c r="K38" s="24"/>
      <x:c r="L38" s="24"/>
      <x:c r="M38" s="94"/>
      <x:c r="N38" s="94"/>
      <x:c r="O38" s="26">
        <x:f t="shared" si="8"/>
        <x:v>0</x:v>
      </x:c>
      <x:c r="P38" s="23"/>
      <x:c r="Q38" s="23"/>
      <x:c r="R38" s="23"/>
      <x:c r="S38" s="32"/>
      <x:c r="T38" s="33"/>
      <x:c r="U38" s="34" t="e">
        <x:f>IFERROR(__xludf.DUMMYFUNCTION("SUM(FILTER($E$4:$N$1118, $C$4:$C$1118 = T38))"),1.3908230453511667E7)</x:f>
        <x:v>#NAME?</x:v>
      </x:c>
      <x:c r="V38" s="34" t="e">
        <x:f>IFERROR(__xludf.DUMMYFUNCTION("COUNT(FILTER($C$4:$C$1118, $C$4:$C$1118 = T38))"),0.0)</x:f>
        <x:v>#NAME?</x:v>
      </x:c>
      <x:c r="W38" s="31">
        <x:f t="shared" si="6"/>
        <x:v>0</x:v>
      </x:c>
    </x:row>
    <x:row r="39" ht="18.75" customHeight="1">
      <x:c r="A39" s="19"/>
      <x:c r="B39" s="29"/>
      <x:c r="C39" s="21"/>
      <x:c r="D39" s="35"/>
      <x:c r="E39" s="23"/>
      <x:c r="F39" s="23"/>
      <x:c r="G39" s="25"/>
      <x:c r="H39" s="25"/>
      <x:c r="I39" s="25"/>
      <x:c r="J39" s="25"/>
      <x:c r="K39" s="24"/>
      <x:c r="L39" s="24"/>
      <x:c r="M39" s="94"/>
      <x:c r="N39" s="94"/>
      <x:c r="O39" s="26">
        <x:f t="shared" si="8"/>
        <x:v>0</x:v>
      </x:c>
      <x:c r="P39" s="23"/>
      <x:c r="Q39" s="23"/>
      <x:c r="R39" s="23"/>
      <x:c r="T39" s="33"/>
      <x:c r="U39" s="34" t="e">
        <x:f>IFERROR(__xludf.DUMMYFUNCTION("SUM(FILTER($E$4:$N$1118, $C$4:$C$1118 = T39))"),1.3908230453511667E7)</x:f>
        <x:v>#NAME?</x:v>
      </x:c>
      <x:c r="V39" s="34" t="e">
        <x:f>IFERROR(__xludf.DUMMYFUNCTION("COUNT(FILTER($C$4:$C$1118, $C$4:$C$1118 = T39))"),0.0)</x:f>
        <x:v>#NAME?</x:v>
      </x:c>
      <x:c r="W39" s="31">
        <x:f t="shared" si="6"/>
        <x:v>0</x:v>
      </x:c>
    </x:row>
    <x:row r="40" ht="18.75" customHeight="1">
      <x:c r="A40" s="19"/>
      <x:c r="B40" s="29"/>
      <x:c r="C40" s="21"/>
      <x:c r="D40" s="35"/>
      <x:c r="E40" s="23"/>
      <x:c r="F40" s="23"/>
      <x:c r="G40" s="25"/>
      <x:c r="H40" s="25"/>
      <x:c r="I40" s="25"/>
      <x:c r="J40" s="25"/>
      <x:c r="K40" s="24"/>
      <x:c r="L40" s="24"/>
      <x:c r="M40" s="94"/>
      <x:c r="N40" s="94"/>
      <x:c r="O40" s="26">
        <x:f t="shared" si="8"/>
        <x:v>0</x:v>
      </x:c>
      <x:c r="P40" s="23"/>
      <x:c r="Q40" s="23"/>
      <x:c r="R40" s="23"/>
    </x:row>
    <x:row r="41">
      <x:c r="A41" s="19"/>
      <x:c r="B41" s="29"/>
      <x:c r="C41" s="21"/>
      <x:c r="D41" s="35"/>
      <x:c r="E41" s="56"/>
      <x:c r="F41" s="23"/>
      <x:c r="G41" s="24"/>
      <x:c r="H41" s="24"/>
      <x:c r="I41" s="24"/>
      <x:c r="J41" s="24"/>
      <x:c r="K41" s="24"/>
      <x:c r="L41" s="24"/>
      <x:c r="M41" s="94"/>
      <x:c r="N41" s="94"/>
      <x:c r="O41" s="26">
        <x:f t="shared" si="8"/>
        <x:v>0</x:v>
      </x:c>
      <x:c r="P41" s="23"/>
      <x:c r="Q41" s="23"/>
      <x:c r="R41" s="23"/>
      <x:c r="S41" s="32"/>
    </x:row>
    <x:row r="42" ht="18.75" customHeight="1">
      <x:c r="A42" s="19"/>
      <x:c r="B42" s="29"/>
      <x:c r="C42" s="21"/>
      <x:c r="D42" s="35"/>
      <x:c r="E42" s="23"/>
      <x:c r="F42" s="23"/>
      <x:c r="G42" s="25"/>
      <x:c r="H42" s="25"/>
      <x:c r="I42" s="25"/>
      <x:c r="J42" s="25"/>
      <x:c r="K42" s="24"/>
      <x:c r="L42" s="24"/>
      <x:c r="M42" s="94"/>
      <x:c r="N42" s="94"/>
      <x:c r="O42" s="26">
        <x:f t="shared" si="8"/>
        <x:v>0</x:v>
      </x:c>
      <x:c r="P42" s="23"/>
      <x:c r="Q42" s="23"/>
      <x:c r="R42" s="23"/>
    </x:row>
    <x:row r="43" ht="18.75" customHeight="1">
      <x:c r="A43" s="19"/>
      <x:c r="B43" s="29"/>
      <x:c r="C43" s="21"/>
      <x:c r="D43" s="35"/>
      <x:c r="E43" s="23"/>
      <x:c r="F43" s="23"/>
      <x:c r="G43" s="25"/>
      <x:c r="H43" s="25"/>
      <x:c r="I43" s="25"/>
      <x:c r="J43" s="25"/>
      <x:c r="K43" s="24"/>
      <x:c r="L43" s="24"/>
      <x:c r="M43" s="94"/>
      <x:c r="N43" s="94"/>
      <x:c r="O43" s="26">
        <x:f t="shared" si="8"/>
        <x:v>0</x:v>
      </x:c>
      <x:c r="P43" s="23"/>
      <x:c r="Q43" s="23"/>
      <x:c r="R43" s="23"/>
    </x:row>
    <x:row r="44" ht="18.75" customHeight="1">
      <x:c r="A44" s="19"/>
      <x:c r="B44" s="29"/>
      <x:c r="C44" s="21"/>
      <x:c r="D44" s="35"/>
      <x:c r="E44" s="23"/>
      <x:c r="F44" s="23"/>
      <x:c r="G44" s="24"/>
      <x:c r="H44" s="24"/>
      <x:c r="I44" s="24"/>
      <x:c r="J44" s="24"/>
      <x:c r="K44" s="24"/>
      <x:c r="L44" s="24"/>
      <x:c r="M44" s="94"/>
      <x:c r="N44" s="94"/>
      <x:c r="O44" s="26">
        <x:f t="shared" si="8"/>
        <x:v>0</x:v>
      </x:c>
      <x:c r="P44" s="23"/>
      <x:c r="Q44" s="23"/>
      <x:c r="R44" s="23"/>
    </x:row>
    <x:row r="45" ht="18.75" customHeight="1">
      <x:c r="A45" s="19"/>
      <x:c r="B45" s="29"/>
      <x:c r="C45" s="21"/>
      <x:c r="D45" s="35"/>
      <x:c r="E45" s="23"/>
      <x:c r="F45" s="23"/>
      <x:c r="G45" s="25"/>
      <x:c r="H45" s="25"/>
      <x:c r="I45" s="25"/>
      <x:c r="J45" s="25"/>
      <x:c r="K45" s="24"/>
      <x:c r="L45" s="24"/>
      <x:c r="M45" s="94"/>
      <x:c r="N45" s="94"/>
      <x:c r="O45" s="26">
        <x:f t="shared" si="8"/>
        <x:v>0</x:v>
      </x:c>
      <x:c r="P45" s="23"/>
      <x:c r="Q45" s="23"/>
      <x:c r="R45" s="23"/>
    </x:row>
    <x:row r="46" ht="18.75" customHeight="1">
      <x:c r="A46" s="19"/>
      <x:c r="B46" s="29"/>
      <x:c r="C46" s="21"/>
      <x:c r="D46" s="55"/>
      <x:c r="E46" s="23"/>
      <x:c r="F46" s="23"/>
      <x:c r="G46" s="25"/>
      <x:c r="H46" s="24"/>
      <x:c r="I46" s="24"/>
      <x:c r="J46" s="24"/>
      <x:c r="K46" s="24"/>
      <x:c r="L46" s="24"/>
      <x:c r="M46" s="94"/>
      <x:c r="N46" s="94"/>
      <x:c r="O46" s="26">
        <x:f t="shared" si="8"/>
        <x:v>0</x:v>
      </x:c>
      <x:c r="P46" s="23"/>
      <x:c r="Q46" s="23"/>
      <x:c r="R46" s="23"/>
    </x:row>
    <x:row r="47" ht="18.75" customHeight="1">
      <x:c r="A47" s="19"/>
      <x:c r="B47" s="71"/>
      <x:c r="C47" s="21"/>
      <x:c r="D47" s="35"/>
      <x:c r="E47" s="23"/>
      <x:c r="F47" s="23"/>
      <x:c r="G47" s="25"/>
      <x:c r="H47" s="25"/>
      <x:c r="I47" s="25"/>
      <x:c r="J47" s="25"/>
      <x:c r="K47" s="24"/>
      <x:c r="L47" s="24"/>
      <x:c r="M47" s="94"/>
      <x:c r="N47" s="94"/>
      <x:c r="O47" s="26">
        <x:f t="shared" si="8"/>
        <x:v>0</x:v>
      </x:c>
      <x:c r="P47" s="23"/>
      <x:c r="Q47" s="23"/>
      <x:c r="R47" s="23"/>
    </x:row>
    <x:row r="48" ht="18.75" customHeight="1">
      <x:c r="A48" s="19"/>
      <x:c r="B48" s="29"/>
      <x:c r="C48" s="21"/>
      <x:c r="D48" s="35"/>
      <x:c r="E48" s="56"/>
      <x:c r="F48" s="23"/>
      <x:c r="G48" s="25"/>
      <x:c r="H48" s="25"/>
      <x:c r="I48" s="25"/>
      <x:c r="J48" s="25"/>
      <x:c r="K48" s="24"/>
      <x:c r="L48" s="24"/>
      <x:c r="M48" s="94"/>
      <x:c r="N48" s="94"/>
      <x:c r="O48" s="26">
        <x:f t="shared" si="8"/>
        <x:v>0</x:v>
      </x:c>
      <x:c r="P48" s="23"/>
      <x:c r="Q48" s="23"/>
      <x:c r="R48" s="23"/>
    </x:row>
    <x:row r="49" ht="18.75" customHeight="1">
      <x:c r="A49" s="19"/>
      <x:c r="B49" s="29"/>
      <x:c r="C49" s="21"/>
      <x:c r="D49" s="35"/>
      <x:c r="E49" s="23"/>
      <x:c r="F49" s="23"/>
      <x:c r="G49" s="25"/>
      <x:c r="H49" s="25"/>
      <x:c r="I49" s="25"/>
      <x:c r="J49" s="25"/>
      <x:c r="K49" s="24"/>
      <x:c r="L49" s="25"/>
      <x:c r="M49" s="94"/>
      <x:c r="N49" s="94"/>
      <x:c r="O49" s="26">
        <x:f t="shared" si="8"/>
        <x:v>0</x:v>
      </x:c>
      <x:c r="P49" s="23"/>
      <x:c r="Q49" s="23"/>
      <x:c r="R49" s="23"/>
    </x:row>
    <x:row r="50" ht="18.75" customHeight="1">
      <x:c r="A50" s="19"/>
      <x:c r="B50" s="29"/>
      <x:c r="C50" s="21"/>
      <x:c r="D50" s="55"/>
      <x:c r="E50" s="23"/>
      <x:c r="F50" s="23"/>
      <x:c r="G50" s="25"/>
      <x:c r="H50" s="25"/>
      <x:c r="I50" s="25"/>
      <x:c r="J50" s="25"/>
      <x:c r="K50" s="24"/>
      <x:c r="L50" s="24"/>
      <x:c r="M50" s="94"/>
      <x:c r="N50" s="94"/>
      <x:c r="O50" s="26">
        <x:f t="shared" si="8"/>
        <x:v>0</x:v>
      </x:c>
      <x:c r="P50" s="23"/>
      <x:c r="Q50" s="23"/>
      <x:c r="R50" s="23"/>
    </x:row>
    <x:row r="51" ht="18.75" customHeight="1">
      <x:c r="A51" s="19"/>
      <x:c r="B51" s="29"/>
      <x:c r="C51" s="21"/>
      <x:c r="D51" s="55"/>
      <x:c r="E51" s="56"/>
      <x:c r="F51" s="23"/>
      <x:c r="G51" s="24"/>
      <x:c r="H51" s="24"/>
      <x:c r="I51" s="24"/>
      <x:c r="J51" s="24"/>
      <x:c r="K51" s="24"/>
      <x:c r="L51" s="24"/>
      <x:c r="M51" s="94"/>
      <x:c r="N51" s="94"/>
      <x:c r="O51" s="26">
        <x:f t="shared" si="8"/>
        <x:v>0</x:v>
      </x:c>
      <x:c r="P51" s="23"/>
      <x:c r="Q51" s="23"/>
      <x:c r="R51" s="23"/>
    </x:row>
    <x:row r="52" ht="18.75" customHeight="1">
      <x:c r="A52" s="19"/>
      <x:c r="B52" s="29"/>
      <x:c r="C52" s="21"/>
      <x:c r="D52" s="35"/>
      <x:c r="E52" s="56"/>
      <x:c r="F52" s="23"/>
      <x:c r="G52" s="24"/>
      <x:c r="H52" s="24"/>
      <x:c r="I52" s="24"/>
      <x:c r="J52" s="24"/>
      <x:c r="K52" s="24"/>
      <x:c r="L52" s="24"/>
      <x:c r="M52" s="94"/>
      <x:c r="N52" s="94"/>
      <x:c r="O52" s="26">
        <x:f t="shared" si="8"/>
        <x:v>0</x:v>
      </x:c>
      <x:c r="P52" s="23"/>
      <x:c r="Q52" s="23"/>
      <x:c r="R52" s="23"/>
    </x:row>
    <x:row r="53" ht="18.75" customHeight="1">
      <x:c r="A53" s="19"/>
      <x:c r="B53" s="29"/>
      <x:c r="C53" s="21"/>
      <x:c r="D53" s="55"/>
      <x:c r="E53" s="56"/>
      <x:c r="F53" s="23"/>
      <x:c r="G53" s="24"/>
      <x:c r="H53" s="24"/>
      <x:c r="I53" s="24"/>
      <x:c r="J53" s="24"/>
      <x:c r="K53" s="24"/>
      <x:c r="L53" s="24"/>
      <x:c r="M53" s="94"/>
      <x:c r="N53" s="94"/>
      <x:c r="O53" s="26">
        <x:f t="shared" si="8"/>
        <x:v>0</x:v>
      </x:c>
      <x:c r="P53" s="23"/>
      <x:c r="Q53" s="23"/>
      <x:c r="R53" s="23"/>
      <x:c r="S53" s="39"/>
    </x:row>
    <x:row r="54" ht="18.75" customHeight="1">
      <x:c r="A54" s="19"/>
      <x:c r="B54" s="29"/>
      <x:c r="C54" s="21"/>
      <x:c r="D54" s="35"/>
      <x:c r="E54" s="56"/>
      <x:c r="F54" s="23"/>
      <x:c r="G54" s="24"/>
      <x:c r="H54" s="24"/>
      <x:c r="I54" s="24"/>
      <x:c r="J54" s="24"/>
      <x:c r="K54" s="24"/>
      <x:c r="L54" s="24"/>
      <x:c r="M54" s="23"/>
      <x:c r="N54" s="23"/>
      <x:c r="O54" s="26">
        <x:f t="shared" si="8"/>
        <x:v>0</x:v>
      </x:c>
      <x:c r="P54" s="23"/>
      <x:c r="Q54" s="23"/>
      <x:c r="R54" s="23"/>
    </x:row>
    <x:row r="55" ht="18.75" customHeight="1">
      <x:c r="A55" s="19"/>
      <x:c r="B55" s="29"/>
      <x:c r="C55" s="21"/>
      <x:c r="D55" s="35"/>
      <x:c r="E55" s="56"/>
      <x:c r="F55" s="23"/>
      <x:c r="G55" s="25"/>
      <x:c r="H55" s="25"/>
      <x:c r="I55" s="25"/>
      <x:c r="J55" s="25"/>
      <x:c r="K55" s="24"/>
      <x:c r="L55" s="24"/>
      <x:c r="M55" s="94"/>
      <x:c r="N55" s="94"/>
      <x:c r="O55" s="26">
        <x:f t="shared" si="8"/>
        <x:v>0</x:v>
      </x:c>
      <x:c r="P55" s="23"/>
      <x:c r="Q55" s="23"/>
      <x:c r="R55" s="23"/>
    </x:row>
    <x:row r="56" ht="18.75" customHeight="1">
      <x:c r="A56" s="19"/>
      <x:c r="B56" s="29"/>
      <x:c r="C56" s="21"/>
      <x:c r="D56" s="55"/>
      <x:c r="E56" s="23"/>
      <x:c r="F56" s="23"/>
      <x:c r="G56" s="25"/>
      <x:c r="H56" s="25"/>
      <x:c r="I56" s="25"/>
      <x:c r="J56" s="25"/>
      <x:c r="K56" s="24"/>
      <x:c r="L56" s="24"/>
      <x:c r="M56" s="94"/>
      <x:c r="N56" s="94"/>
      <x:c r="O56" s="26">
        <x:f t="shared" si="8"/>
        <x:v>0</x:v>
      </x:c>
      <x:c r="P56" s="23"/>
      <x:c r="Q56" s="23"/>
      <x:c r="R56" s="23"/>
    </x:row>
    <x:row r="57" ht="18.75" customHeight="1">
      <x:c r="A57" s="19"/>
      <x:c r="B57" s="29"/>
      <x:c r="C57" s="21"/>
      <x:c r="D57" s="35"/>
      <x:c r="E57" s="23"/>
      <x:c r="F57" s="23"/>
      <x:c r="G57" s="25"/>
      <x:c r="H57" s="25"/>
      <x:c r="I57" s="25"/>
      <x:c r="J57" s="25"/>
      <x:c r="K57" s="24"/>
      <x:c r="L57" s="24"/>
      <x:c r="M57" s="94"/>
      <x:c r="N57" s="94"/>
      <x:c r="O57" s="26">
        <x:f t="shared" si="8"/>
        <x:v>0</x:v>
      </x:c>
      <x:c r="P57" s="23"/>
      <x:c r="Q57" s="23"/>
      <x:c r="R57" s="23"/>
    </x:row>
    <x:row r="58" ht="18.75" customHeight="1">
      <x:c r="A58" s="19"/>
      <x:c r="B58" s="29"/>
      <x:c r="C58" s="21"/>
      <x:c r="D58" s="35"/>
      <x:c r="E58" s="56"/>
      <x:c r="F58" s="23"/>
      <x:c r="G58" s="25"/>
      <x:c r="H58" s="25"/>
      <x:c r="I58" s="25"/>
      <x:c r="J58" s="25"/>
      <x:c r="K58" s="24"/>
      <x:c r="L58" s="25"/>
      <x:c r="M58" s="94"/>
      <x:c r="N58" s="94"/>
      <x:c r="O58" s="26">
        <x:f t="shared" si="8"/>
        <x:v>0</x:v>
      </x:c>
      <x:c r="P58" s="23"/>
      <x:c r="Q58" s="23"/>
      <x:c r="R58" s="23"/>
    </x:row>
    <x:row r="59" ht="18.75" customHeight="1">
      <x:c r="A59" s="19"/>
      <x:c r="B59" s="29"/>
      <x:c r="C59" s="21"/>
      <x:c r="D59" s="35"/>
      <x:c r="E59" s="23"/>
      <x:c r="F59" s="23"/>
      <x:c r="G59" s="25"/>
      <x:c r="H59" s="25"/>
      <x:c r="I59" s="25"/>
      <x:c r="J59" s="25"/>
      <x:c r="K59" s="24"/>
      <x:c r="L59" s="24"/>
      <x:c r="M59" s="94"/>
      <x:c r="N59" s="94"/>
      <x:c r="O59" s="26">
        <x:f t="shared" si="8"/>
        <x:v>0</x:v>
      </x:c>
      <x:c r="P59" s="23"/>
      <x:c r="Q59" s="23"/>
      <x:c r="R59" s="23"/>
    </x:row>
    <x:row r="60" ht="18.75" customHeight="1">
      <x:c r="A60" s="19"/>
      <x:c r="B60" s="29"/>
      <x:c r="C60" s="21"/>
      <x:c r="D60" s="35"/>
      <x:c r="E60" s="23"/>
      <x:c r="F60" s="23"/>
      <x:c r="G60" s="25"/>
      <x:c r="H60" s="24"/>
      <x:c r="I60" s="24"/>
      <x:c r="J60" s="24"/>
      <x:c r="K60" s="24"/>
      <x:c r="L60" s="25"/>
      <x:c r="M60" s="94"/>
      <x:c r="N60" s="94"/>
      <x:c r="O60" s="26">
        <x:f t="shared" si="8"/>
        <x:v>0</x:v>
      </x:c>
      <x:c r="P60" s="23"/>
      <x:c r="Q60" s="23"/>
      <x:c r="R60" s="23"/>
    </x:row>
    <x:row r="61" ht="18.75" customHeight="1">
      <x:c r="A61" s="19"/>
      <x:c r="B61" s="29"/>
      <x:c r="C61" s="21"/>
      <x:c r="D61" s="35"/>
      <x:c r="E61" s="23"/>
      <x:c r="F61" s="23"/>
      <x:c r="G61" s="24"/>
      <x:c r="H61" s="24"/>
      <x:c r="I61" s="24"/>
      <x:c r="J61" s="24"/>
      <x:c r="K61" s="24"/>
      <x:c r="L61" s="24"/>
      <x:c r="M61" s="94"/>
      <x:c r="N61" s="94"/>
      <x:c r="O61" s="26">
        <x:f t="shared" si="8"/>
        <x:v>0</x:v>
      </x:c>
      <x:c r="P61" s="23"/>
      <x:c r="Q61" s="23"/>
      <x:c r="R61" s="23"/>
    </x:row>
    <x:row r="62" ht="18.75" customHeight="1">
      <x:c r="A62" s="19"/>
      <x:c r="B62" s="29"/>
      <x:c r="C62" s="21"/>
      <x:c r="D62" s="35"/>
      <x:c r="E62" s="23"/>
      <x:c r="F62" s="23"/>
      <x:c r="G62" s="24"/>
      <x:c r="H62" s="24"/>
      <x:c r="I62" s="24"/>
      <x:c r="J62" s="24"/>
      <x:c r="K62" s="24"/>
      <x:c r="L62" s="24"/>
      <x:c r="M62" s="94"/>
      <x:c r="N62" s="94"/>
      <x:c r="O62" s="26">
        <x:f t="shared" si="8"/>
        <x:v>0</x:v>
      </x:c>
      <x:c r="P62" s="23"/>
      <x:c r="Q62" s="23"/>
      <x:c r="R62" s="23"/>
    </x:row>
    <x:row r="63" ht="18.75" customHeight="1">
      <x:c r="A63" s="19"/>
      <x:c r="B63" s="29"/>
      <x:c r="C63" s="21"/>
      <x:c r="D63" s="55"/>
      <x:c r="E63" s="23"/>
      <x:c r="F63" s="23"/>
      <x:c r="G63" s="24"/>
      <x:c r="H63" s="24"/>
      <x:c r="I63" s="24"/>
      <x:c r="J63" s="24"/>
      <x:c r="K63" s="24"/>
      <x:c r="L63" s="24"/>
      <x:c r="M63" s="94"/>
      <x:c r="N63" s="94"/>
      <x:c r="O63" s="26">
        <x:f t="shared" si="8"/>
        <x:v>0</x:v>
      </x:c>
      <x:c r="P63" s="23"/>
      <x:c r="Q63" s="23"/>
      <x:c r="R63" s="23"/>
    </x:row>
    <x:row r="64" ht="18.75" customHeight="1">
      <x:c r="A64" s="19"/>
      <x:c r="B64" s="29"/>
      <x:c r="C64" s="21"/>
      <x:c r="D64" s="55"/>
      <x:c r="E64" s="23"/>
      <x:c r="F64" s="23"/>
      <x:c r="G64" s="24"/>
      <x:c r="H64" s="24"/>
      <x:c r="I64" s="24"/>
      <x:c r="J64" s="24"/>
      <x:c r="K64" s="25"/>
      <x:c r="L64" s="24"/>
      <x:c r="M64" s="94"/>
      <x:c r="N64" s="94"/>
      <x:c r="O64" s="26">
        <x:f t="shared" si="8"/>
        <x:v>0</x:v>
      </x:c>
      <x:c r="P64" s="23"/>
      <x:c r="Q64" s="23"/>
      <x:c r="R64" s="23"/>
    </x:row>
    <x:row r="65" ht="18.75" customHeight="1">
      <x:c r="A65" s="19"/>
      <x:c r="B65" s="29"/>
      <x:c r="C65" s="21"/>
      <x:c r="D65" s="55"/>
      <x:c r="E65" s="23"/>
      <x:c r="F65" s="23"/>
      <x:c r="G65" s="25"/>
      <x:c r="H65" s="25"/>
      <x:c r="I65" s="25"/>
      <x:c r="J65" s="25"/>
      <x:c r="K65" s="24"/>
      <x:c r="L65" s="24"/>
      <x:c r="M65" s="94"/>
      <x:c r="N65" s="94"/>
      <x:c r="O65" s="26">
        <x:f t="shared" si="8"/>
        <x:v>0</x:v>
      </x:c>
      <x:c r="P65" s="23"/>
      <x:c r="Q65" s="23"/>
      <x:c r="R65" s="23"/>
    </x:row>
    <x:row r="66" ht="18.75" customHeight="1">
      <x:c r="A66" s="19"/>
      <x:c r="B66" s="29"/>
      <x:c r="C66" s="21"/>
      <x:c r="D66" s="55"/>
      <x:c r="E66" s="23"/>
      <x:c r="F66" s="23"/>
      <x:c r="G66" s="24"/>
      <x:c r="H66" s="24"/>
      <x:c r="I66" s="24"/>
      <x:c r="J66" s="24"/>
      <x:c r="K66" s="24"/>
      <x:c r="L66" s="24"/>
      <x:c r="M66" s="94"/>
      <x:c r="N66" s="94"/>
      <x:c r="O66" s="26">
        <x:f t="shared" si="8"/>
        <x:v>0</x:v>
      </x:c>
      <x:c r="P66" s="23"/>
      <x:c r="Q66" s="23"/>
      <x:c r="R66" s="23"/>
    </x:row>
    <x:row r="67" ht="18.75" customHeight="1">
      <x:c r="A67" s="19"/>
      <x:c r="B67" s="29"/>
      <x:c r="C67" s="21"/>
      <x:c r="D67" s="55"/>
      <x:c r="E67" s="23"/>
      <x:c r="F67" s="23"/>
      <x:c r="G67" s="25"/>
      <x:c r="H67" s="25"/>
      <x:c r="I67" s="25"/>
      <x:c r="J67" s="25"/>
      <x:c r="K67" s="24"/>
      <x:c r="L67" s="25"/>
      <x:c r="M67" s="94"/>
      <x:c r="N67" s="94"/>
      <x:c r="O67" s="26">
        <x:f t="shared" si="8"/>
        <x:v>0</x:v>
      </x:c>
      <x:c r="P67" s="23"/>
      <x:c r="Q67" s="23"/>
      <x:c r="R67" s="23"/>
    </x:row>
    <x:row r="68" ht="18.75" customHeight="1">
      <x:c r="A68" s="19"/>
      <x:c r="B68" s="29"/>
      <x:c r="C68" s="21"/>
      <x:c r="D68" s="55"/>
      <x:c r="E68" s="23"/>
      <x:c r="F68" s="23"/>
      <x:c r="G68" s="24"/>
      <x:c r="H68" s="24"/>
      <x:c r="I68" s="24"/>
      <x:c r="J68" s="24"/>
      <x:c r="K68" s="24"/>
      <x:c r="L68" s="24"/>
      <x:c r="M68" s="94"/>
      <x:c r="N68" s="94"/>
      <x:c r="O68" s="26">
        <x:f t="shared" si="8"/>
        <x:v>0</x:v>
      </x:c>
      <x:c r="P68" s="23"/>
      <x:c r="Q68" s="23"/>
      <x:c r="R68" s="23"/>
    </x:row>
    <x:row r="69" ht="18.75" customHeight="1">
      <x:c r="A69" s="19"/>
      <x:c r="B69" s="29"/>
      <x:c r="C69" s="21"/>
      <x:c r="D69" s="35"/>
      <x:c r="E69" s="23"/>
      <x:c r="F69" s="23"/>
      <x:c r="G69" s="25"/>
      <x:c r="H69" s="25"/>
      <x:c r="I69" s="25"/>
      <x:c r="J69" s="25"/>
      <x:c r="K69" s="24"/>
      <x:c r="L69" s="24"/>
      <x:c r="M69" s="94"/>
      <x:c r="N69" s="94"/>
      <x:c r="O69" s="26">
        <x:f t="shared" si="8"/>
        <x:v>0</x:v>
      </x:c>
      <x:c r="P69" s="23"/>
      <x:c r="Q69" s="23"/>
      <x:c r="R69" s="23"/>
    </x:row>
    <x:row r="70" ht="18.75" customHeight="1">
      <x:c r="A70" s="19"/>
      <x:c r="B70" s="29"/>
      <x:c r="C70" s="21"/>
      <x:c r="D70" s="55"/>
      <x:c r="E70" s="23"/>
      <x:c r="F70" s="23"/>
      <x:c r="G70" s="25"/>
      <x:c r="H70" s="25"/>
      <x:c r="I70" s="25"/>
      <x:c r="J70" s="25"/>
      <x:c r="K70" s="25"/>
      <x:c r="L70" s="24"/>
      <x:c r="M70" s="94"/>
      <x:c r="N70" s="94"/>
      <x:c r="O70" s="26">
        <x:f t="shared" si="8"/>
        <x:v>0</x:v>
      </x:c>
      <x:c r="P70" s="23"/>
      <x:c r="Q70" s="23"/>
      <x:c r="R70" s="23"/>
    </x:row>
    <x:row r="71" ht="18.75" customHeight="1">
      <x:c r="A71" s="19"/>
      <x:c r="B71" s="29"/>
      <x:c r="C71" s="21"/>
      <x:c r="D71" s="55"/>
      <x:c r="E71" s="23"/>
      <x:c r="F71" s="23"/>
      <x:c r="G71" s="25"/>
      <x:c r="H71" s="25"/>
      <x:c r="I71" s="25"/>
      <x:c r="J71" s="25"/>
      <x:c r="K71" s="24"/>
      <x:c r="L71" s="25"/>
      <x:c r="M71" s="94"/>
      <x:c r="N71" s="94"/>
      <x:c r="O71" s="26">
        <x:f t="shared" si="8"/>
        <x:v>0</x:v>
      </x:c>
      <x:c r="P71" s="23"/>
      <x:c r="Q71" s="23"/>
      <x:c r="R71" s="23"/>
    </x:row>
    <x:row r="72" ht="18.75" customHeight="1">
      <x:c r="A72" s="19"/>
      <x:c r="B72" s="20"/>
      <x:c r="C72" s="21"/>
      <x:c r="D72" s="55"/>
      <x:c r="E72" s="23"/>
      <x:c r="F72" s="23"/>
      <x:c r="G72" s="25"/>
      <x:c r="H72" s="25"/>
      <x:c r="I72" s="25"/>
      <x:c r="J72" s="25"/>
      <x:c r="K72" s="24"/>
      <x:c r="L72" s="24"/>
      <x:c r="M72" s="94"/>
      <x:c r="N72" s="94"/>
      <x:c r="O72" s="26">
        <x:f t="shared" si="8"/>
        <x:v>0</x:v>
      </x:c>
      <x:c r="P72" s="23"/>
      <x:c r="Q72" s="23"/>
      <x:c r="R72" s="23"/>
    </x:row>
    <x:row r="73" ht="18.75" customHeight="1">
      <x:c r="A73" s="19"/>
      <x:c r="B73" s="20"/>
      <x:c r="C73" s="21"/>
      <x:c r="D73" s="55"/>
      <x:c r="E73" s="23"/>
      <x:c r="F73" s="23"/>
      <x:c r="G73" s="24"/>
      <x:c r="H73" s="24"/>
      <x:c r="I73" s="24"/>
      <x:c r="J73" s="24"/>
      <x:c r="K73" s="24"/>
      <x:c r="L73" s="24"/>
      <x:c r="M73" s="94"/>
      <x:c r="N73" s="94"/>
      <x:c r="O73" s="26">
        <x:f t="shared" si="8"/>
        <x:v>0</x:v>
      </x:c>
      <x:c r="P73" s="23"/>
      <x:c r="Q73" s="23"/>
      <x:c r="R73" s="23"/>
    </x:row>
    <x:row r="74" ht="18.75" customHeight="1">
      <x:c r="A74" s="19"/>
      <x:c r="B74" s="20"/>
      <x:c r="C74" s="21"/>
      <x:c r="D74" s="55"/>
      <x:c r="E74" s="23"/>
      <x:c r="F74" s="23"/>
      <x:c r="G74" s="25"/>
      <x:c r="H74" s="25"/>
      <x:c r="I74" s="25"/>
      <x:c r="J74" s="25"/>
      <x:c r="K74" s="24"/>
      <x:c r="L74" s="25"/>
      <x:c r="M74" s="94"/>
      <x:c r="N74" s="94"/>
      <x:c r="O74" s="26">
        <x:f t="shared" si="8"/>
        <x:v>0</x:v>
      </x:c>
      <x:c r="P74" s="23"/>
      <x:c r="Q74" s="23"/>
      <x:c r="R74" s="23"/>
    </x:row>
    <x:row r="75" ht="18.75" customHeight="1">
      <x:c r="A75" s="19"/>
      <x:c r="B75" s="20"/>
      <x:c r="C75" s="21"/>
      <x:c r="D75" s="55"/>
      <x:c r="E75" s="23"/>
      <x:c r="F75" s="23"/>
      <x:c r="G75" s="24"/>
      <x:c r="H75" s="25"/>
      <x:c r="I75" s="25"/>
      <x:c r="J75" s="25"/>
      <x:c r="K75" s="24"/>
      <x:c r="L75" s="25"/>
      <x:c r="M75" s="94"/>
      <x:c r="N75" s="94"/>
      <x:c r="O75" s="26">
        <x:f t="shared" si="8"/>
        <x:v>0</x:v>
      </x:c>
      <x:c r="P75" s="23"/>
      <x:c r="Q75" s="23"/>
      <x:c r="R75" s="23"/>
    </x:row>
    <x:row r="76" ht="18.75" customHeight="1">
      <x:c r="A76" s="19"/>
      <x:c r="B76" s="20"/>
      <x:c r="C76" s="21"/>
      <x:c r="D76" s="55"/>
      <x:c r="E76" s="23"/>
      <x:c r="F76" s="23"/>
      <x:c r="G76" s="25"/>
      <x:c r="H76" s="25"/>
      <x:c r="I76" s="25"/>
      <x:c r="J76" s="25"/>
      <x:c r="K76" s="24"/>
      <x:c r="L76" s="25"/>
      <x:c r="M76" s="94"/>
      <x:c r="N76" s="94"/>
      <x:c r="O76" s="26">
        <x:f t="shared" si="8"/>
        <x:v>0</x:v>
      </x:c>
      <x:c r="P76" s="23"/>
      <x:c r="Q76" s="23"/>
      <x:c r="R76" s="23"/>
    </x:row>
    <x:row r="77" ht="18.75" customHeight="1">
      <x:c r="A77" s="19"/>
      <x:c r="B77" s="20"/>
      <x:c r="C77" s="21"/>
      <x:c r="D77" s="55"/>
      <x:c r="E77" s="23"/>
      <x:c r="F77" s="23"/>
      <x:c r="G77" s="25"/>
      <x:c r="H77" s="25"/>
      <x:c r="I77" s="25"/>
      <x:c r="J77" s="25"/>
      <x:c r="K77" s="24"/>
      <x:c r="L77" s="25"/>
      <x:c r="M77" s="94"/>
      <x:c r="N77" s="94"/>
      <x:c r="O77" s="26">
        <x:f t="shared" si="8"/>
        <x:v>0</x:v>
      </x:c>
      <x:c r="P77" s="23"/>
      <x:c r="Q77" s="23"/>
      <x:c r="R77" s="23"/>
    </x:row>
    <x:row r="78" ht="18.75" customHeight="1">
      <x:c r="A78" s="19"/>
      <x:c r="B78" s="20"/>
      <x:c r="C78" s="21"/>
      <x:c r="D78" s="35"/>
      <x:c r="E78" s="23"/>
      <x:c r="F78" s="23"/>
      <x:c r="G78" s="25"/>
      <x:c r="H78" s="25"/>
      <x:c r="I78" s="25"/>
      <x:c r="J78" s="25"/>
      <x:c r="K78" s="25"/>
      <x:c r="L78" s="24"/>
      <x:c r="M78" s="94"/>
      <x:c r="N78" s="94"/>
      <x:c r="O78" s="26">
        <x:f t="shared" si="8"/>
        <x:v>0</x:v>
      </x:c>
      <x:c r="P78" s="23"/>
      <x:c r="Q78" s="23"/>
      <x:c r="R78" s="23"/>
    </x:row>
    <x:row r="79" ht="18.75" customHeight="1">
      <x:c r="A79" s="19"/>
      <x:c r="B79" s="20"/>
      <x:c r="C79" s="21"/>
      <x:c r="D79" s="55"/>
      <x:c r="E79" s="23"/>
      <x:c r="F79" s="23"/>
      <x:c r="G79" s="25"/>
      <x:c r="H79" s="25"/>
      <x:c r="I79" s="25"/>
      <x:c r="J79" s="25"/>
      <x:c r="K79" s="25"/>
      <x:c r="L79" s="24"/>
      <x:c r="M79" s="94"/>
      <x:c r="N79" s="94"/>
      <x:c r="O79" s="26">
        <x:f t="shared" si="8"/>
        <x:v>0</x:v>
      </x:c>
      <x:c r="P79" s="23"/>
      <x:c r="Q79" s="23"/>
      <x:c r="R79" s="23"/>
    </x:row>
    <x:row r="80" ht="18.75" customHeight="1">
      <x:c r="A80" s="19"/>
      <x:c r="B80" s="71"/>
      <x:c r="C80" s="21"/>
      <x:c r="D80" s="55"/>
      <x:c r="E80" s="23"/>
      <x:c r="F80" s="23"/>
      <x:c r="G80" s="25"/>
      <x:c r="H80" s="25"/>
      <x:c r="I80" s="25"/>
      <x:c r="J80" s="25"/>
      <x:c r="K80" s="24"/>
      <x:c r="L80" s="25"/>
      <x:c r="M80" s="94"/>
      <x:c r="N80" s="94"/>
      <x:c r="O80" s="26">
        <x:f t="shared" si="8"/>
        <x:v>0</x:v>
      </x:c>
      <x:c r="P80" s="23"/>
      <x:c r="Q80" s="23"/>
      <x:c r="R80" s="23"/>
    </x:row>
    <x:row r="81" ht="18.75" customHeight="1">
      <x:c r="A81" s="19"/>
      <x:c r="B81" s="20"/>
      <x:c r="C81" s="21"/>
      <x:c r="D81" s="35"/>
      <x:c r="E81" s="23"/>
      <x:c r="F81" s="23"/>
      <x:c r="G81" s="25"/>
      <x:c r="H81" s="25"/>
      <x:c r="I81" s="25"/>
      <x:c r="J81" s="25"/>
      <x:c r="K81" s="24"/>
      <x:c r="L81" s="24"/>
      <x:c r="M81" s="94"/>
      <x:c r="N81" s="94"/>
      <x:c r="O81" s="26">
        <x:f t="shared" si="8"/>
        <x:v>0</x:v>
      </x:c>
      <x:c r="P81" s="23"/>
      <x:c r="Q81" s="23"/>
      <x:c r="R81" s="23"/>
    </x:row>
    <x:row r="82" ht="18.75" customHeight="1">
      <x:c r="A82" s="19"/>
      <x:c r="B82" s="20"/>
      <x:c r="C82" s="21"/>
      <x:c r="D82" s="55"/>
      <x:c r="E82" s="23"/>
      <x:c r="F82" s="23"/>
      <x:c r="G82" s="24"/>
      <x:c r="H82" s="25"/>
      <x:c r="I82" s="25"/>
      <x:c r="J82" s="25"/>
      <x:c r="K82" s="24"/>
      <x:c r="L82" s="24"/>
      <x:c r="M82" s="94"/>
      <x:c r="N82" s="94"/>
      <x:c r="O82" s="26">
        <x:f t="shared" si="8"/>
        <x:v>0</x:v>
      </x:c>
      <x:c r="P82" s="23"/>
      <x:c r="Q82" s="23"/>
      <x:c r="R82" s="23"/>
    </x:row>
    <x:row r="83" ht="18.75" customHeight="1">
      <x:c r="A83" s="19"/>
      <x:c r="B83" s="20"/>
      <x:c r="C83" s="21"/>
      <x:c r="D83" s="35"/>
      <x:c r="E83" s="23"/>
      <x:c r="F83" s="23"/>
      <x:c r="G83" s="25"/>
      <x:c r="H83" s="25"/>
      <x:c r="I83" s="25"/>
      <x:c r="J83" s="25"/>
      <x:c r="K83" s="25"/>
      <x:c r="L83" s="24"/>
      <x:c r="M83" s="94"/>
      <x:c r="N83" s="94"/>
      <x:c r="O83" s="26">
        <x:f t="shared" si="8"/>
        <x:v>0</x:v>
      </x:c>
      <x:c r="P83" s="23"/>
      <x:c r="Q83" s="23"/>
      <x:c r="R83" s="23"/>
    </x:row>
    <x:row r="84" ht="18.75" customHeight="1">
      <x:c r="A84" s="19"/>
      <x:c r="B84" s="20"/>
      <x:c r="C84" s="21"/>
      <x:c r="D84" s="55"/>
      <x:c r="E84" s="23"/>
      <x:c r="F84" s="23"/>
      <x:c r="G84" s="25"/>
      <x:c r="H84" s="25"/>
      <x:c r="I84" s="25"/>
      <x:c r="J84" s="25"/>
      <x:c r="K84" s="24"/>
      <x:c r="L84" s="25"/>
      <x:c r="M84" s="94"/>
      <x:c r="N84" s="94"/>
      <x:c r="O84" s="26">
        <x:f t="shared" si="8"/>
        <x:v>0</x:v>
      </x:c>
      <x:c r="P84" s="23"/>
      <x:c r="Q84" s="23"/>
      <x:c r="R84" s="23"/>
    </x:row>
    <x:row r="85" ht="18.75" customHeight="1">
      <x:c r="A85" s="19"/>
      <x:c r="B85" s="20"/>
      <x:c r="C85" s="21"/>
      <x:c r="D85" s="55"/>
      <x:c r="E85" s="23"/>
      <x:c r="F85" s="23"/>
      <x:c r="G85" s="25"/>
      <x:c r="H85" s="25"/>
      <x:c r="I85" s="25"/>
      <x:c r="J85" s="25"/>
      <x:c r="K85" s="24"/>
      <x:c r="L85" s="25"/>
      <x:c r="M85" s="94"/>
      <x:c r="N85" s="94"/>
      <x:c r="O85" s="26">
        <x:f t="shared" si="8"/>
        <x:v>0</x:v>
      </x:c>
      <x:c r="P85" s="23"/>
      <x:c r="Q85" s="23"/>
      <x:c r="R85" s="23"/>
    </x:row>
    <x:row r="86" ht="18.75" customHeight="1">
      <x:c r="A86" s="19"/>
      <x:c r="B86" s="20"/>
      <x:c r="C86" s="21"/>
      <x:c r="D86" s="35"/>
      <x:c r="E86" s="23"/>
      <x:c r="F86" s="23"/>
      <x:c r="G86" s="25"/>
      <x:c r="H86" s="25"/>
      <x:c r="I86" s="25"/>
      <x:c r="J86" s="25"/>
      <x:c r="K86" s="25"/>
      <x:c r="L86" s="25"/>
      <x:c r="M86" s="94"/>
      <x:c r="N86" s="94"/>
      <x:c r="O86" s="26">
        <x:f t="shared" si="8"/>
        <x:v>0</x:v>
      </x:c>
      <x:c r="P86" s="23"/>
      <x:c r="Q86" s="23"/>
      <x:c r="R86" s="23"/>
    </x:row>
    <x:row r="87" ht="18.75" customHeight="1">
      <x:c r="A87" s="19"/>
      <x:c r="B87" s="29"/>
      <x:c r="C87" s="21"/>
      <x:c r="D87" s="55"/>
      <x:c r="E87" s="56"/>
      <x:c r="F87" s="23"/>
      <x:c r="G87" s="25"/>
      <x:c r="H87" s="25"/>
      <x:c r="I87" s="25"/>
      <x:c r="J87" s="25"/>
      <x:c r="K87" s="25"/>
      <x:c r="L87" s="25"/>
      <x:c r="M87" s="94"/>
      <x:c r="N87" s="94"/>
      <x:c r="O87" s="26">
        <x:f t="shared" si="8"/>
        <x:v>0</x:v>
      </x:c>
      <x:c r="P87" s="23"/>
      <x:c r="Q87" s="23"/>
      <x:c r="R87" s="23"/>
    </x:row>
    <x:row r="88" ht="18.75" customHeight="1">
      <x:c r="A88" s="19"/>
      <x:c r="B88" s="20"/>
      <x:c r="C88" s="21"/>
      <x:c r="D88" s="55"/>
      <x:c r="E88" s="56"/>
      <x:c r="F88" s="23"/>
      <x:c r="G88" s="25"/>
      <x:c r="H88" s="25"/>
      <x:c r="I88" s="25"/>
      <x:c r="J88" s="25"/>
      <x:c r="K88" s="24"/>
      <x:c r="L88" s="25"/>
      <x:c r="M88" s="94"/>
      <x:c r="N88" s="94"/>
      <x:c r="O88" s="26">
        <x:f t="shared" si="8"/>
        <x:v>0</x:v>
      </x:c>
      <x:c r="P88" s="23"/>
      <x:c r="Q88" s="23"/>
      <x:c r="R88" s="23"/>
    </x:row>
    <x:row r="89" ht="18.75" customHeight="1">
      <x:c r="A89" s="19"/>
      <x:c r="B89" s="29"/>
      <x:c r="C89" s="21"/>
      <x:c r="D89" s="23"/>
      <x:c r="E89" s="56"/>
      <x:c r="F89" s="23"/>
      <x:c r="G89" s="25"/>
      <x:c r="H89" s="25"/>
      <x:c r="I89" s="25"/>
      <x:c r="J89" s="25"/>
      <x:c r="K89" s="24"/>
      <x:c r="L89" s="24"/>
      <x:c r="M89" s="94"/>
      <x:c r="N89" s="94"/>
      <x:c r="O89" s="26">
        <x:f t="shared" si="8"/>
        <x:v>0</x:v>
      </x:c>
      <x:c r="P89" s="23"/>
      <x:c r="Q89" s="23"/>
      <x:c r="R89" s="23"/>
    </x:row>
    <x:row r="90" ht="18.75" customHeight="1">
      <x:c r="A90" s="19"/>
      <x:c r="B90" s="29"/>
      <x:c r="C90" s="21"/>
      <x:c r="D90" s="35"/>
      <x:c r="E90" s="56"/>
      <x:c r="F90" s="23"/>
      <x:c r="G90" s="25"/>
      <x:c r="H90" s="25"/>
      <x:c r="I90" s="25"/>
      <x:c r="J90" s="25"/>
      <x:c r="K90" s="24"/>
      <x:c r="L90" s="25"/>
      <x:c r="M90" s="94"/>
      <x:c r="N90" s="94"/>
      <x:c r="O90" s="26">
        <x:f t="shared" si="8"/>
        <x:v>0</x:v>
      </x:c>
      <x:c r="P90" s="23"/>
      <x:c r="Q90" s="23"/>
      <x:c r="R90" s="23"/>
    </x:row>
    <x:row r="91" ht="18.75" customHeight="1">
      <x:c r="A91" s="19"/>
      <x:c r="B91" s="29"/>
      <x:c r="C91" s="21"/>
      <x:c r="D91" s="55"/>
      <x:c r="E91" s="56"/>
      <x:c r="F91" s="23"/>
      <x:c r="G91" s="25"/>
      <x:c r="H91" s="25"/>
      <x:c r="I91" s="25"/>
      <x:c r="J91" s="25"/>
      <x:c r="K91" s="24"/>
      <x:c r="L91" s="25"/>
      <x:c r="M91" s="94"/>
      <x:c r="N91" s="94"/>
      <x:c r="O91" s="26">
        <x:f t="shared" si="8"/>
        <x:v>0</x:v>
      </x:c>
      <x:c r="P91" s="23"/>
      <x:c r="Q91" s="23"/>
      <x:c r="R91" s="23"/>
    </x:row>
    <x:row r="92" ht="18.75" customHeight="1">
      <x:c r="A92" s="19"/>
      <x:c r="B92" s="29"/>
      <x:c r="C92" s="21"/>
      <x:c r="D92" s="55"/>
      <x:c r="E92" s="23"/>
      <x:c r="F92" s="23"/>
      <x:c r="G92" s="25"/>
      <x:c r="H92" s="25"/>
      <x:c r="I92" s="25"/>
      <x:c r="J92" s="25"/>
      <x:c r="K92" s="24"/>
      <x:c r="L92" s="25"/>
      <x:c r="M92" s="94"/>
      <x:c r="N92" s="94"/>
      <x:c r="O92" s="26">
        <x:f t="shared" si="8"/>
        <x:v>0</x:v>
      </x:c>
      <x:c r="P92" s="23"/>
      <x:c r="Q92" s="23"/>
      <x:c r="R92" s="23"/>
    </x:row>
    <x:row r="93" ht="18.75" customHeight="1">
      <x:c r="A93" s="19"/>
      <x:c r="B93" s="29"/>
      <x:c r="C93" s="21"/>
      <x:c r="D93" s="35"/>
      <x:c r="E93" s="56"/>
      <x:c r="F93" s="23"/>
      <x:c r="G93" s="25"/>
      <x:c r="H93" s="25"/>
      <x:c r="I93" s="25"/>
      <x:c r="J93" s="25"/>
      <x:c r="K93" s="25"/>
      <x:c r="L93" s="25"/>
      <x:c r="M93" s="94"/>
      <x:c r="N93" s="94"/>
      <x:c r="O93" s="26">
        <x:f t="shared" si="8"/>
        <x:v>0</x:v>
      </x:c>
      <x:c r="P93" s="23"/>
      <x:c r="Q93" s="23"/>
      <x:c r="R93" s="23"/>
    </x:row>
    <x:row r="94" ht="18.75" customHeight="1">
      <x:c r="A94" s="19"/>
      <x:c r="B94" s="29"/>
      <x:c r="C94" s="21"/>
      <x:c r="D94" s="35"/>
      <x:c r="E94" s="56"/>
      <x:c r="F94" s="23"/>
      <x:c r="G94" s="25"/>
      <x:c r="H94" s="25"/>
      <x:c r="I94" s="25"/>
      <x:c r="J94" s="25"/>
      <x:c r="K94" s="25"/>
      <x:c r="L94" s="24"/>
      <x:c r="M94" s="94"/>
      <x:c r="N94" s="94"/>
      <x:c r="O94" s="26">
        <x:f t="shared" si="8"/>
        <x:v>0</x:v>
      </x:c>
      <x:c r="P94" s="23"/>
      <x:c r="Q94" s="23"/>
      <x:c r="R94" s="23"/>
    </x:row>
    <x:row r="95" ht="18.75" customHeight="1">
      <x:c r="A95" s="19"/>
      <x:c r="B95" s="29"/>
      <x:c r="C95" s="21"/>
      <x:c r="D95" s="55"/>
      <x:c r="E95" s="56"/>
      <x:c r="F95" s="23"/>
      <x:c r="G95" s="25"/>
      <x:c r="H95" s="25"/>
      <x:c r="I95" s="25"/>
      <x:c r="J95" s="25"/>
      <x:c r="K95" s="24"/>
      <x:c r="L95" s="25"/>
      <x:c r="M95" s="94"/>
      <x:c r="N95" s="94"/>
      <x:c r="O95" s="26">
        <x:f t="shared" si="8"/>
        <x:v>0</x:v>
      </x:c>
      <x:c r="P95" s="23"/>
      <x:c r="Q95" s="23"/>
      <x:c r="R95" s="23"/>
    </x:row>
    <x:row r="96" ht="18.75" customHeight="1">
      <x:c r="A96" s="19"/>
      <x:c r="B96" s="29"/>
      <x:c r="C96" s="21"/>
      <x:c r="D96" s="55"/>
      <x:c r="E96" s="23"/>
      <x:c r="F96" s="23"/>
      <x:c r="G96" s="25"/>
      <x:c r="H96" s="25"/>
      <x:c r="I96" s="25"/>
      <x:c r="J96" s="25"/>
      <x:c r="K96" s="25"/>
      <x:c r="L96" s="25"/>
      <x:c r="M96" s="94"/>
      <x:c r="N96" s="94"/>
      <x:c r="O96" s="26">
        <x:f t="shared" si="8"/>
        <x:v>0</x:v>
      </x:c>
      <x:c r="P96" s="23"/>
      <x:c r="Q96" s="23"/>
      <x:c r="R96" s="23"/>
    </x:row>
    <x:row r="97" ht="18.75" customHeight="1">
      <x:c r="A97" s="19"/>
      <x:c r="B97" s="29"/>
      <x:c r="C97" s="21"/>
      <x:c r="D97" s="55"/>
      <x:c r="E97" s="23"/>
      <x:c r="F97" s="23"/>
      <x:c r="G97" s="25"/>
      <x:c r="H97" s="25"/>
      <x:c r="I97" s="25"/>
      <x:c r="J97" s="25"/>
      <x:c r="K97" s="24"/>
      <x:c r="L97" s="24"/>
      <x:c r="M97" s="94"/>
      <x:c r="N97" s="94"/>
      <x:c r="O97" s="26">
        <x:f t="shared" si="8"/>
        <x:v>0</x:v>
      </x:c>
      <x:c r="P97" s="23"/>
      <x:c r="Q97" s="23"/>
      <x:c r="R97" s="23"/>
    </x:row>
    <x:row r="98" ht="18.75" customHeight="1">
      <x:c r="A98" s="19"/>
      <x:c r="B98" s="29"/>
      <x:c r="C98" s="21"/>
      <x:c r="D98" s="35"/>
      <x:c r="E98" s="56"/>
      <x:c r="F98" s="23"/>
      <x:c r="G98" s="25"/>
      <x:c r="H98" s="25"/>
      <x:c r="I98" s="25"/>
      <x:c r="J98" s="25"/>
      <x:c r="K98" s="25"/>
      <x:c r="L98" s="24"/>
      <x:c r="M98" s="94"/>
      <x:c r="N98" s="94"/>
      <x:c r="O98" s="26">
        <x:f t="shared" si="8"/>
        <x:v>0</x:v>
      </x:c>
      <x:c r="P98" s="23"/>
      <x:c r="Q98" s="23"/>
      <x:c r="R98" s="23"/>
    </x:row>
    <x:row r="99" ht="18.75" customHeight="1">
      <x:c r="A99" s="19"/>
      <x:c r="B99" s="29"/>
      <x:c r="C99" s="21"/>
      <x:c r="D99" s="35"/>
      <x:c r="E99" s="56"/>
      <x:c r="F99" s="23"/>
      <x:c r="G99" s="25"/>
      <x:c r="H99" s="25"/>
      <x:c r="I99" s="25"/>
      <x:c r="J99" s="25"/>
      <x:c r="K99" s="25"/>
      <x:c r="L99" s="25"/>
      <x:c r="M99" s="94"/>
      <x:c r="N99" s="94"/>
      <x:c r="O99" s="26">
        <x:f t="shared" si="8"/>
        <x:v>0</x:v>
      </x:c>
      <x:c r="P99" s="23"/>
      <x:c r="Q99" s="23"/>
      <x:c r="R99" s="23"/>
    </x:row>
    <x:row r="100" ht="18.75" customHeight="1">
      <x:c r="A100" s="19"/>
      <x:c r="B100" s="29"/>
      <x:c r="C100" s="21"/>
      <x:c r="D100" s="55"/>
      <x:c r="E100" s="23"/>
      <x:c r="F100" s="23"/>
      <x:c r="G100" s="25"/>
      <x:c r="H100" s="25"/>
      <x:c r="I100" s="25"/>
      <x:c r="J100" s="25"/>
      <x:c r="K100" s="24"/>
      <x:c r="L100" s="24"/>
      <x:c r="M100" s="94"/>
      <x:c r="N100" s="94"/>
      <x:c r="O100" s="26">
        <x:f t="shared" si="8"/>
        <x:v>0</x:v>
      </x:c>
      <x:c r="P100" s="23"/>
      <x:c r="Q100" s="23"/>
      <x:c r="R100" s="23"/>
    </x:row>
    <x:row r="101" ht="18.75" customHeight="1">
      <x:c r="A101" s="19"/>
      <x:c r="B101" s="29"/>
      <x:c r="C101" s="21"/>
      <x:c r="D101" s="55"/>
      <x:c r="E101" s="56"/>
      <x:c r="F101" s="23"/>
      <x:c r="G101" s="25"/>
      <x:c r="H101" s="25"/>
      <x:c r="I101" s="25"/>
      <x:c r="J101" s="25"/>
      <x:c r="K101" s="25"/>
      <x:c r="L101" s="24"/>
      <x:c r="M101" s="94"/>
      <x:c r="N101" s="94"/>
      <x:c r="O101" s="26">
        <x:f t="shared" si="8"/>
        <x:v>0</x:v>
      </x:c>
      <x:c r="P101" s="23"/>
      <x:c r="Q101" s="23"/>
      <x:c r="R101" s="23"/>
    </x:row>
    <x:row r="102" ht="18.75" customHeight="1">
      <x:c r="A102" s="19"/>
      <x:c r="B102" s="29"/>
      <x:c r="C102" s="21"/>
      <x:c r="D102" s="35"/>
      <x:c r="E102" s="56"/>
      <x:c r="F102" s="23"/>
      <x:c r="G102" s="25"/>
      <x:c r="H102" s="25"/>
      <x:c r="I102" s="25"/>
      <x:c r="J102" s="25"/>
      <x:c r="K102" s="25"/>
      <x:c r="L102" s="24"/>
      <x:c r="M102" s="94"/>
      <x:c r="N102" s="94"/>
      <x:c r="O102" s="26">
        <x:f t="shared" si="8"/>
        <x:v>0</x:v>
      </x:c>
      <x:c r="P102" s="23"/>
      <x:c r="Q102" s="23"/>
      <x:c r="R102" s="23"/>
    </x:row>
    <x:row r="103" ht="18.75" customHeight="1">
      <x:c r="A103" s="19"/>
      <x:c r="B103" s="29"/>
      <x:c r="C103" s="21"/>
      <x:c r="D103" s="55"/>
      <x:c r="E103" s="56"/>
      <x:c r="F103" s="23"/>
      <x:c r="G103" s="25"/>
      <x:c r="H103" s="25"/>
      <x:c r="I103" s="25"/>
      <x:c r="J103" s="25"/>
      <x:c r="K103" s="25"/>
      <x:c r="L103" s="24"/>
      <x:c r="M103" s="94"/>
      <x:c r="N103" s="94"/>
      <x:c r="O103" s="26">
        <x:f t="shared" si="8"/>
        <x:v>0</x:v>
      </x:c>
      <x:c r="P103" s="23"/>
      <x:c r="Q103" s="23"/>
      <x:c r="R103" s="23"/>
    </x:row>
    <x:row r="104" ht="18.75" customHeight="1">
      <x:c r="A104" s="19"/>
      <x:c r="B104" s="29"/>
      <x:c r="C104" s="21"/>
      <x:c r="D104" s="55"/>
      <x:c r="E104" s="56"/>
      <x:c r="F104" s="23"/>
      <x:c r="G104" s="25"/>
      <x:c r="H104" s="25"/>
      <x:c r="I104" s="25"/>
      <x:c r="J104" s="25"/>
      <x:c r="K104" s="24"/>
      <x:c r="L104" s="25"/>
      <x:c r="M104" s="94"/>
      <x:c r="N104" s="94"/>
      <x:c r="O104" s="26">
        <x:f t="shared" si="8"/>
        <x:v>0</x:v>
      </x:c>
      <x:c r="P104" s="23"/>
      <x:c r="Q104" s="23"/>
      <x:c r="R104" s="23"/>
    </x:row>
    <x:row r="105" ht="18.75" customHeight="1">
      <x:c r="A105" s="19"/>
      <x:c r="B105" s="29"/>
      <x:c r="C105" s="21"/>
      <x:c r="D105" s="55"/>
      <x:c r="E105" s="56"/>
      <x:c r="F105" s="23"/>
      <x:c r="G105" s="25"/>
      <x:c r="H105" s="25"/>
      <x:c r="I105" s="25"/>
      <x:c r="J105" s="25"/>
      <x:c r="K105" s="25"/>
      <x:c r="L105" s="25"/>
      <x:c r="M105" s="94"/>
      <x:c r="N105" s="94"/>
      <x:c r="O105" s="26">
        <x:f t="shared" si="8"/>
        <x:v>0</x:v>
      </x:c>
      <x:c r="P105" s="23"/>
      <x:c r="Q105" s="23"/>
      <x:c r="R105" s="23"/>
    </x:row>
    <x:row r="106" ht="18.75" customHeight="1">
      <x:c r="A106" s="19"/>
      <x:c r="B106" s="29"/>
      <x:c r="C106" s="21"/>
      <x:c r="D106" s="35"/>
      <x:c r="E106" s="56"/>
      <x:c r="F106" s="23"/>
      <x:c r="G106" s="25"/>
      <x:c r="H106" s="25"/>
      <x:c r="I106" s="25"/>
      <x:c r="J106" s="25"/>
      <x:c r="K106" s="24"/>
      <x:c r="L106" s="25"/>
      <x:c r="M106" s="94"/>
      <x:c r="N106" s="94"/>
      <x:c r="O106" s="26">
        <x:f t="shared" si="8"/>
        <x:v>0</x:v>
      </x:c>
      <x:c r="P106" s="23"/>
      <x:c r="Q106" s="23"/>
      <x:c r="R106" s="23"/>
    </x:row>
    <x:row r="107" ht="18.75" customHeight="1">
      <x:c r="A107" s="19"/>
      <x:c r="B107" s="29"/>
      <x:c r="C107" s="21"/>
      <x:c r="D107" s="55"/>
      <x:c r="E107" s="56"/>
      <x:c r="F107" s="23"/>
      <x:c r="G107" s="25"/>
      <x:c r="H107" s="25"/>
      <x:c r="I107" s="25"/>
      <x:c r="J107" s="25"/>
      <x:c r="K107" s="24"/>
      <x:c r="L107" s="25"/>
      <x:c r="M107" s="94"/>
      <x:c r="N107" s="94"/>
      <x:c r="O107" s="26">
        <x:f t="shared" si="8"/>
        <x:v>0</x:v>
      </x:c>
      <x:c r="P107" s="23"/>
      <x:c r="Q107" s="23"/>
      <x:c r="R107" s="23"/>
    </x:row>
    <x:row r="108" ht="18.75" customHeight="1">
      <x:c r="A108" s="19"/>
      <x:c r="B108" s="29"/>
      <x:c r="C108" s="21"/>
      <x:c r="D108" s="55"/>
      <x:c r="E108" s="56"/>
      <x:c r="F108" s="23"/>
      <x:c r="G108" s="24"/>
      <x:c r="H108" s="25"/>
      <x:c r="I108" s="25"/>
      <x:c r="J108" s="25"/>
      <x:c r="K108" s="25"/>
      <x:c r="L108" s="25"/>
      <x:c r="M108" s="94"/>
      <x:c r="N108" s="94"/>
      <x:c r="O108" s="26">
        <x:f t="shared" si="8"/>
        <x:v>0</x:v>
      </x:c>
      <x:c r="P108" s="23"/>
      <x:c r="Q108" s="23"/>
      <x:c r="R108" s="23"/>
    </x:row>
    <x:row r="109" ht="18.75" customHeight="1">
      <x:c r="A109" s="19"/>
      <x:c r="B109" s="29"/>
      <x:c r="C109" s="21"/>
      <x:c r="D109" s="35"/>
      <x:c r="E109" s="56"/>
      <x:c r="F109" s="23"/>
      <x:c r="G109" s="25"/>
      <x:c r="H109" s="25"/>
      <x:c r="I109" s="25"/>
      <x:c r="J109" s="25"/>
      <x:c r="K109" s="25"/>
      <x:c r="L109" s="24"/>
      <x:c r="M109" s="94"/>
      <x:c r="N109" s="94"/>
      <x:c r="O109" s="26">
        <x:f t="shared" si="8"/>
        <x:v>0</x:v>
      </x:c>
      <x:c r="P109" s="23"/>
      <x:c r="Q109" s="23"/>
      <x:c r="R109" s="23"/>
    </x:row>
    <x:row r="110" ht="18.75" customHeight="1">
      <x:c r="A110" s="19"/>
      <x:c r="B110" s="29"/>
      <x:c r="C110" s="21"/>
      <x:c r="D110" s="55"/>
      <x:c r="E110" s="56"/>
      <x:c r="F110" s="23"/>
      <x:c r="G110" s="25"/>
      <x:c r="H110" s="25"/>
      <x:c r="I110" s="25"/>
      <x:c r="J110" s="25"/>
      <x:c r="K110" s="24"/>
      <x:c r="L110" s="24"/>
      <x:c r="M110" s="94"/>
      <x:c r="N110" s="94"/>
      <x:c r="O110" s="26">
        <x:f t="shared" si="8"/>
        <x:v>0</x:v>
      </x:c>
      <x:c r="P110" s="23"/>
      <x:c r="Q110" s="23"/>
      <x:c r="R110" s="23"/>
    </x:row>
    <x:row r="111" ht="18.75" customHeight="1">
      <x:c r="A111" s="19"/>
      <x:c r="B111" s="20"/>
      <x:c r="C111" s="21"/>
      <x:c r="D111" s="55"/>
      <x:c r="E111" s="56"/>
      <x:c r="F111" s="23"/>
      <x:c r="G111" s="24"/>
      <x:c r="H111" s="25"/>
      <x:c r="I111" s="25"/>
      <x:c r="J111" s="25"/>
      <x:c r="K111" s="24"/>
      <x:c r="L111" s="25"/>
      <x:c r="M111" s="94"/>
      <x:c r="N111" s="94"/>
      <x:c r="O111" s="26">
        <x:f t="shared" si="8"/>
        <x:v>0</x:v>
      </x:c>
      <x:c r="P111" s="23"/>
      <x:c r="Q111" s="23"/>
      <x:c r="R111" s="23"/>
    </x:row>
    <x:row r="112" ht="18.75" customHeight="1">
      <x:c r="A112" s="19"/>
      <x:c r="B112" s="29"/>
      <x:c r="C112" s="21"/>
      <x:c r="D112" s="35"/>
      <x:c r="E112" s="56"/>
      <x:c r="F112" s="23"/>
      <x:c r="G112" s="25"/>
      <x:c r="H112" s="25"/>
      <x:c r="I112" s="25"/>
      <x:c r="J112" s="25"/>
      <x:c r="K112" s="25"/>
      <x:c r="L112" s="24"/>
      <x:c r="M112" s="94"/>
      <x:c r="N112" s="94"/>
      <x:c r="O112" s="26">
        <x:f t="shared" si="8"/>
        <x:v>0</x:v>
      </x:c>
      <x:c r="P112" s="23"/>
      <x:c r="Q112" s="23"/>
      <x:c r="R112" s="23"/>
    </x:row>
    <x:row r="113" ht="18.75" customHeight="1">
      <x:c r="A113" s="19"/>
      <x:c r="B113" s="29"/>
      <x:c r="C113" s="21"/>
      <x:c r="D113" s="55"/>
      <x:c r="E113" s="56"/>
      <x:c r="F113" s="23"/>
      <x:c r="G113" s="25"/>
      <x:c r="H113" s="25"/>
      <x:c r="I113" s="25"/>
      <x:c r="J113" s="25"/>
      <x:c r="K113" s="25"/>
      <x:c r="L113" s="24"/>
      <x:c r="M113" s="94"/>
      <x:c r="N113" s="94"/>
      <x:c r="O113" s="26">
        <x:f t="shared" si="8"/>
        <x:v>0</x:v>
      </x:c>
      <x:c r="P113" s="23"/>
      <x:c r="Q113" s="23"/>
      <x:c r="R113" s="23"/>
    </x:row>
    <x:row r="114" ht="18.75" customHeight="1">
      <x:c r="A114" s="19"/>
      <x:c r="B114" s="29"/>
      <x:c r="C114" s="21"/>
      <x:c r="D114" s="55"/>
      <x:c r="E114" s="56"/>
      <x:c r="F114" s="23"/>
      <x:c r="G114" s="25"/>
      <x:c r="H114" s="25"/>
      <x:c r="I114" s="25"/>
      <x:c r="J114" s="25"/>
      <x:c r="K114" s="25"/>
      <x:c r="L114" s="24"/>
      <x:c r="M114" s="94"/>
      <x:c r="N114" s="94"/>
      <x:c r="O114" s="26">
        <x:f t="shared" si="8"/>
        <x:v>0</x:v>
      </x:c>
      <x:c r="P114" s="23"/>
      <x:c r="Q114" s="23"/>
      <x:c r="R114" s="23"/>
    </x:row>
    <x:row r="115" ht="18.75" customHeight="1">
      <x:c r="A115" s="19"/>
      <x:c r="B115" s="29"/>
      <x:c r="C115" s="21"/>
      <x:c r="D115" s="55"/>
      <x:c r="E115" s="56"/>
      <x:c r="F115" s="23"/>
      <x:c r="G115" s="25"/>
      <x:c r="H115" s="25"/>
      <x:c r="I115" s="25"/>
      <x:c r="J115" s="25"/>
      <x:c r="K115" s="25"/>
      <x:c r="L115" s="25"/>
      <x:c r="M115" s="94"/>
      <x:c r="N115" s="94"/>
      <x:c r="O115" s="26">
        <x:f t="shared" si="8"/>
        <x:v>0</x:v>
      </x:c>
      <x:c r="P115" s="23"/>
      <x:c r="Q115" s="23"/>
      <x:c r="R115" s="23"/>
    </x:row>
    <x:row r="116" ht="18.75" customHeight="1">
      <x:c r="A116" s="19"/>
      <x:c r="B116" s="29"/>
      <x:c r="C116" s="21"/>
      <x:c r="D116" s="55"/>
      <x:c r="E116" s="56"/>
      <x:c r="F116" s="23"/>
      <x:c r="G116" s="25"/>
      <x:c r="H116" s="25"/>
      <x:c r="I116" s="25"/>
      <x:c r="J116" s="25"/>
      <x:c r="K116" s="24"/>
      <x:c r="L116" s="25"/>
      <x:c r="M116" s="94"/>
      <x:c r="N116" s="94"/>
      <x:c r="O116" s="26">
        <x:f t="shared" si="8"/>
        <x:v>0</x:v>
      </x:c>
      <x:c r="P116" s="23"/>
      <x:c r="Q116" s="23"/>
      <x:c r="R116" s="23"/>
    </x:row>
    <x:row r="117" ht="18.75" customHeight="1">
      <x:c r="A117" s="19"/>
      <x:c r="B117" s="29"/>
      <x:c r="C117" s="21"/>
      <x:c r="D117" s="55"/>
      <x:c r="E117" s="56"/>
      <x:c r="F117" s="23"/>
      <x:c r="G117" s="25"/>
      <x:c r="H117" s="25"/>
      <x:c r="I117" s="25"/>
      <x:c r="J117" s="25"/>
      <x:c r="K117" s="25"/>
      <x:c r="L117" s="25"/>
      <x:c r="M117" s="94"/>
      <x:c r="N117" s="94"/>
      <x:c r="O117" s="26">
        <x:f t="shared" si="8"/>
        <x:v>0</x:v>
      </x:c>
      <x:c r="P117" s="23"/>
      <x:c r="Q117" s="23"/>
      <x:c r="R117" s="23"/>
    </x:row>
    <x:row r="118" ht="18.75" customHeight="1">
      <x:c r="A118" s="19"/>
      <x:c r="B118" s="29"/>
      <x:c r="C118" s="21"/>
      <x:c r="D118" s="35"/>
      <x:c r="E118" s="56"/>
      <x:c r="F118" s="23"/>
      <x:c r="G118" s="25"/>
      <x:c r="H118" s="25"/>
      <x:c r="I118" s="25"/>
      <x:c r="J118" s="25"/>
      <x:c r="K118" s="24"/>
      <x:c r="L118" s="25"/>
      <x:c r="M118" s="94"/>
      <x:c r="N118" s="94"/>
      <x:c r="O118" s="26">
        <x:f t="shared" si="8"/>
        <x:v>0</x:v>
      </x:c>
      <x:c r="P118" s="23"/>
      <x:c r="Q118" s="23"/>
      <x:c r="R118" s="23"/>
    </x:row>
    <x:row r="119" ht="18.75" customHeight="1">
      <x:c r="A119" s="19"/>
      <x:c r="B119" s="29"/>
      <x:c r="C119" s="21"/>
      <x:c r="D119" s="55"/>
      <x:c r="E119" s="56"/>
      <x:c r="F119" s="23"/>
      <x:c r="G119" s="25"/>
      <x:c r="H119" s="25"/>
      <x:c r="I119" s="25"/>
      <x:c r="J119" s="25"/>
      <x:c r="K119" s="25"/>
      <x:c r="L119" s="25"/>
      <x:c r="M119" s="94"/>
      <x:c r="N119" s="94"/>
      <x:c r="O119" s="26">
        <x:f t="shared" si="8"/>
        <x:v>0</x:v>
      </x:c>
      <x:c r="P119" s="23"/>
      <x:c r="Q119" s="23"/>
      <x:c r="R119" s="23"/>
    </x:row>
    <x:row r="120" ht="18.75" customHeight="1">
      <x:c r="A120" s="19"/>
      <x:c r="B120" s="29"/>
      <x:c r="C120" s="21"/>
      <x:c r="D120" s="55"/>
      <x:c r="E120" s="56"/>
      <x:c r="F120" s="23"/>
      <x:c r="G120" s="25"/>
      <x:c r="H120" s="25"/>
      <x:c r="I120" s="25"/>
      <x:c r="J120" s="25"/>
      <x:c r="K120" s="25"/>
      <x:c r="L120" s="24"/>
      <x:c r="M120" s="94"/>
      <x:c r="N120" s="94"/>
      <x:c r="O120" s="26">
        <x:f t="shared" si="8"/>
        <x:v>0</x:v>
      </x:c>
      <x:c r="P120" s="23"/>
      <x:c r="Q120" s="23"/>
      <x:c r="R120" s="23"/>
    </x:row>
    <x:row r="121" ht="18.75" customHeight="1">
      <x:c r="A121" s="19"/>
      <x:c r="B121" s="29"/>
      <x:c r="C121" s="21"/>
      <x:c r="D121" s="55"/>
      <x:c r="E121" s="56"/>
      <x:c r="F121" s="23"/>
      <x:c r="G121" s="25"/>
      <x:c r="H121" s="25"/>
      <x:c r="I121" s="25"/>
      <x:c r="J121" s="25"/>
      <x:c r="K121" s="25"/>
      <x:c r="L121" s="25"/>
      <x:c r="M121" s="94"/>
      <x:c r="N121" s="94"/>
      <x:c r="O121" s="26">
        <x:f t="shared" si="8"/>
        <x:v>0</x:v>
      </x:c>
      <x:c r="P121" s="23"/>
      <x:c r="Q121" s="23"/>
      <x:c r="R121" s="23"/>
    </x:row>
    <x:row r="122" ht="18.75" customHeight="1">
      <x:c r="A122" s="19"/>
      <x:c r="B122" s="29"/>
      <x:c r="C122" s="21"/>
      <x:c r="D122" s="55"/>
      <x:c r="E122" s="56"/>
      <x:c r="F122" s="23"/>
      <x:c r="G122" s="25"/>
      <x:c r="H122" s="25"/>
      <x:c r="I122" s="25"/>
      <x:c r="J122" s="25"/>
      <x:c r="K122" s="25"/>
      <x:c r="L122" s="25"/>
      <x:c r="M122" s="94"/>
      <x:c r="N122" s="94"/>
      <x:c r="O122" s="26">
        <x:f t="shared" si="8"/>
        <x:v>0</x:v>
      </x:c>
      <x:c r="P122" s="23"/>
      <x:c r="Q122" s="23"/>
      <x:c r="R122" s="23"/>
    </x:row>
    <x:row r="123" ht="18.75" customHeight="1">
      <x:c r="A123" s="19"/>
      <x:c r="B123" s="29"/>
      <x:c r="C123" s="21"/>
      <x:c r="D123" s="55"/>
      <x:c r="E123" s="56"/>
      <x:c r="F123" s="23"/>
      <x:c r="G123" s="25"/>
      <x:c r="H123" s="25"/>
      <x:c r="I123" s="25"/>
      <x:c r="J123" s="25"/>
      <x:c r="K123" s="25"/>
      <x:c r="L123" s="25"/>
      <x:c r="M123" s="94"/>
      <x:c r="N123" s="94"/>
      <x:c r="O123" s="26">
        <x:f t="shared" si="8"/>
        <x:v>0</x:v>
      </x:c>
      <x:c r="P123" s="23"/>
      <x:c r="Q123" s="23"/>
      <x:c r="R123" s="23"/>
    </x:row>
    <x:row r="124" ht="18.75" customHeight="1">
      <x:c r="A124" s="19"/>
      <x:c r="B124" s="29"/>
      <x:c r="C124" s="21"/>
      <x:c r="D124" s="55"/>
      <x:c r="E124" s="56"/>
      <x:c r="F124" s="23"/>
      <x:c r="G124" s="25"/>
      <x:c r="H124" s="25"/>
      <x:c r="I124" s="25"/>
      <x:c r="J124" s="25"/>
      <x:c r="K124" s="25"/>
      <x:c r="L124" s="25"/>
      <x:c r="M124" s="94"/>
      <x:c r="N124" s="94"/>
      <x:c r="O124" s="26">
        <x:f t="shared" si="8"/>
        <x:v>0</x:v>
      </x:c>
      <x:c r="P124" s="23"/>
      <x:c r="Q124" s="23"/>
      <x:c r="R124" s="23"/>
    </x:row>
    <x:row r="125" ht="18.75" customHeight="1">
      <x:c r="A125" s="19"/>
      <x:c r="B125" s="29"/>
      <x:c r="C125" s="21"/>
      <x:c r="D125" s="55"/>
      <x:c r="E125" s="56"/>
      <x:c r="F125" s="23"/>
      <x:c r="G125" s="25"/>
      <x:c r="H125" s="25"/>
      <x:c r="I125" s="25"/>
      <x:c r="J125" s="25"/>
      <x:c r="K125" s="25"/>
      <x:c r="L125" s="24"/>
      <x:c r="M125" s="94"/>
      <x:c r="N125" s="94"/>
      <x:c r="O125" s="26">
        <x:f t="shared" si="8"/>
        <x:v>0</x:v>
      </x:c>
      <x:c r="P125" s="23"/>
      <x:c r="Q125" s="23"/>
      <x:c r="R125" s="23"/>
    </x:row>
    <x:row r="126" ht="18.75" customHeight="1">
      <x:c r="A126" s="19"/>
      <x:c r="B126" s="29"/>
      <x:c r="C126" s="21"/>
      <x:c r="D126" s="55"/>
      <x:c r="E126" s="56"/>
      <x:c r="F126" s="23"/>
      <x:c r="G126" s="24"/>
      <x:c r="H126" s="25"/>
      <x:c r="I126" s="25"/>
      <x:c r="J126" s="25"/>
      <x:c r="K126" s="24"/>
      <x:c r="L126" s="25"/>
      <x:c r="M126" s="94"/>
      <x:c r="N126" s="94"/>
      <x:c r="O126" s="26">
        <x:f t="shared" si="8"/>
        <x:v>0</x:v>
      </x:c>
      <x:c r="P126" s="23"/>
      <x:c r="Q126" s="23"/>
      <x:c r="R126" s="23"/>
    </x:row>
    <x:row r="127" ht="18.75" customHeight="1">
      <x:c r="A127" s="19"/>
      <x:c r="B127" s="29"/>
      <x:c r="C127" s="21"/>
      <x:c r="D127" s="55"/>
      <x:c r="E127" s="56"/>
      <x:c r="F127" s="23"/>
      <x:c r="G127" s="25"/>
      <x:c r="H127" s="25"/>
      <x:c r="I127" s="25"/>
      <x:c r="J127" s="25"/>
      <x:c r="K127" s="24"/>
      <x:c r="L127" s="24"/>
      <x:c r="M127" s="94"/>
      <x:c r="N127" s="94"/>
      <x:c r="O127" s="26">
        <x:f t="shared" si="8"/>
        <x:v>0</x:v>
      </x:c>
      <x:c r="P127" s="23"/>
      <x:c r="Q127" s="23"/>
      <x:c r="R127" s="23"/>
    </x:row>
    <x:row r="128" ht="18.75" customHeight="1">
      <x:c r="A128" s="19"/>
      <x:c r="B128" s="29"/>
      <x:c r="C128" s="21"/>
      <x:c r="D128" s="55"/>
      <x:c r="E128" s="56"/>
      <x:c r="F128" s="23"/>
      <x:c r="G128" s="25"/>
      <x:c r="H128" s="25"/>
      <x:c r="I128" s="25"/>
      <x:c r="J128" s="25"/>
      <x:c r="K128" s="24"/>
      <x:c r="L128" s="25"/>
      <x:c r="M128" s="94"/>
      <x:c r="N128" s="94"/>
      <x:c r="O128" s="26">
        <x:f t="shared" si="8"/>
        <x:v>0</x:v>
      </x:c>
      <x:c r="P128" s="23"/>
      <x:c r="Q128" s="23"/>
      <x:c r="R128" s="23"/>
    </x:row>
    <x:row r="129" ht="18.75" customHeight="1">
      <x:c r="A129" s="19"/>
      <x:c r="B129" s="29"/>
      <x:c r="C129" s="21"/>
      <x:c r="D129" s="55"/>
      <x:c r="E129" s="56"/>
      <x:c r="F129" s="23"/>
      <x:c r="G129" s="25"/>
      <x:c r="H129" s="25"/>
      <x:c r="I129" s="25"/>
      <x:c r="J129" s="25"/>
      <x:c r="K129" s="25"/>
      <x:c r="L129" s="24"/>
      <x:c r="M129" s="94"/>
      <x:c r="N129" s="94"/>
      <x:c r="O129" s="26">
        <x:f t="shared" si="8"/>
        <x:v>0</x:v>
      </x:c>
      <x:c r="P129" s="23"/>
      <x:c r="Q129" s="23"/>
      <x:c r="R129" s="23"/>
    </x:row>
    <x:row r="130" ht="18.75" customHeight="1">
      <x:c r="A130" s="19"/>
      <x:c r="B130" s="29"/>
      <x:c r="C130" s="21"/>
      <x:c r="D130" s="35"/>
      <x:c r="E130" s="56"/>
      <x:c r="F130" s="23"/>
      <x:c r="G130" s="25"/>
      <x:c r="H130" s="25"/>
      <x:c r="I130" s="25"/>
      <x:c r="J130" s="25"/>
      <x:c r="K130" s="25"/>
      <x:c r="L130" s="25"/>
      <x:c r="M130" s="94"/>
      <x:c r="N130" s="94"/>
      <x:c r="O130" s="26">
        <x:f t="shared" si="8"/>
        <x:v>0</x:v>
      </x:c>
      <x:c r="P130" s="23"/>
      <x:c r="Q130" s="23"/>
      <x:c r="R130" s="23"/>
    </x:row>
    <x:row r="131" ht="18.75" customHeight="1">
      <x:c r="A131" s="19"/>
      <x:c r="B131" s="29"/>
      <x:c r="C131" s="21"/>
      <x:c r="D131" s="55"/>
      <x:c r="E131" s="56"/>
      <x:c r="F131" s="23"/>
      <x:c r="G131" s="25"/>
      <x:c r="H131" s="25"/>
      <x:c r="I131" s="25"/>
      <x:c r="J131" s="25"/>
      <x:c r="K131" s="25"/>
      <x:c r="L131" s="25"/>
      <x:c r="M131" s="94"/>
      <x:c r="N131" s="94"/>
      <x:c r="O131" s="26">
        <x:f t="shared" si="8"/>
        <x:v>0</x:v>
      </x:c>
      <x:c r="P131" s="23"/>
      <x:c r="Q131" s="23"/>
      <x:c r="R131" s="23"/>
    </x:row>
    <x:row r="132" ht="18.75" customHeight="1">
      <x:c r="A132" s="19"/>
      <x:c r="B132" s="29"/>
      <x:c r="C132" s="21"/>
      <x:c r="D132" s="55"/>
      <x:c r="E132" s="56"/>
      <x:c r="F132" s="23"/>
      <x:c r="G132" s="25"/>
      <x:c r="H132" s="25"/>
      <x:c r="I132" s="25"/>
      <x:c r="J132" s="25"/>
      <x:c r="K132" s="25"/>
      <x:c r="L132" s="25"/>
      <x:c r="M132" s="94"/>
      <x:c r="N132" s="94"/>
      <x:c r="O132" s="26">
        <x:f t="shared" si="8"/>
        <x:v>0</x:v>
      </x:c>
      <x:c r="P132" s="23"/>
      <x:c r="Q132" s="23"/>
      <x:c r="R132" s="23"/>
    </x:row>
    <x:row r="133" ht="18.75" customHeight="1">
      <x:c r="A133" s="19"/>
      <x:c r="B133" s="29"/>
      <x:c r="C133" s="21"/>
      <x:c r="D133" s="55"/>
      <x:c r="E133" s="56"/>
      <x:c r="F133" s="23"/>
      <x:c r="G133" s="25"/>
      <x:c r="H133" s="25"/>
      <x:c r="I133" s="25"/>
      <x:c r="J133" s="25"/>
      <x:c r="K133" s="25"/>
      <x:c r="L133" s="25"/>
      <x:c r="M133" s="94"/>
      <x:c r="N133" s="94"/>
      <x:c r="O133" s="26">
        <x:f t="shared" si="8"/>
        <x:v>0</x:v>
      </x:c>
      <x:c r="P133" s="23"/>
      <x:c r="Q133" s="23"/>
      <x:c r="R133" s="23"/>
    </x:row>
    <x:row r="134" ht="18.75" customHeight="1">
      <x:c r="A134" s="19"/>
      <x:c r="B134" s="29"/>
      <x:c r="C134" s="21"/>
      <x:c r="D134" s="55"/>
      <x:c r="E134" s="56"/>
      <x:c r="F134" s="23"/>
      <x:c r="G134" s="25"/>
      <x:c r="H134" s="25"/>
      <x:c r="I134" s="25"/>
      <x:c r="J134" s="25"/>
      <x:c r="K134" s="25"/>
      <x:c r="L134" s="25"/>
      <x:c r="M134" s="94"/>
      <x:c r="N134" s="94"/>
      <x:c r="O134" s="26">
        <x:f t="shared" si="8"/>
        <x:v>0</x:v>
      </x:c>
      <x:c r="P134" s="23"/>
      <x:c r="Q134" s="23"/>
      <x:c r="R134" s="23"/>
    </x:row>
    <x:row r="135" ht="18.75" customHeight="1">
      <x:c r="A135" s="19"/>
      <x:c r="B135" s="29"/>
      <x:c r="C135" s="21"/>
      <x:c r="D135" s="55"/>
      <x:c r="E135" s="56"/>
      <x:c r="F135" s="23"/>
      <x:c r="G135" s="25"/>
      <x:c r="H135" s="25"/>
      <x:c r="I135" s="25"/>
      <x:c r="J135" s="25"/>
      <x:c r="K135" s="25"/>
      <x:c r="L135" s="25"/>
      <x:c r="M135" s="94"/>
      <x:c r="N135" s="94"/>
      <x:c r="O135" s="26">
        <x:f t="shared" si="8"/>
        <x:v>0</x:v>
      </x:c>
      <x:c r="P135" s="23"/>
      <x:c r="Q135" s="23"/>
      <x:c r="R135" s="23"/>
    </x:row>
    <x:row r="136" ht="18.75" customHeight="1">
      <x:c r="A136" s="19"/>
      <x:c r="B136" s="29"/>
      <x:c r="C136" s="21"/>
      <x:c r="D136" s="55"/>
      <x:c r="E136" s="56"/>
      <x:c r="F136" s="23"/>
      <x:c r="G136" s="25"/>
      <x:c r="H136" s="25"/>
      <x:c r="I136" s="25"/>
      <x:c r="J136" s="25"/>
      <x:c r="K136" s="25"/>
      <x:c r="L136" s="25"/>
      <x:c r="M136" s="94"/>
      <x:c r="N136" s="94"/>
      <x:c r="O136" s="26">
        <x:f t="shared" si="8"/>
        <x:v>0</x:v>
      </x:c>
      <x:c r="P136" s="23"/>
      <x:c r="Q136" s="23"/>
      <x:c r="R136" s="23"/>
    </x:row>
    <x:row r="137" ht="18.75" customHeight="1">
      <x:c r="A137" s="19"/>
      <x:c r="B137" s="29"/>
      <x:c r="C137" s="21"/>
      <x:c r="D137" s="55"/>
      <x:c r="E137" s="56"/>
      <x:c r="F137" s="23"/>
      <x:c r="G137" s="25"/>
      <x:c r="H137" s="25"/>
      <x:c r="I137" s="25"/>
      <x:c r="J137" s="25"/>
      <x:c r="K137" s="25"/>
      <x:c r="L137" s="24"/>
      <x:c r="M137" s="94"/>
      <x:c r="N137" s="94"/>
      <x:c r="O137" s="26">
        <x:f t="shared" si="8"/>
        <x:v>0</x:v>
      </x:c>
      <x:c r="P137" s="23"/>
      <x:c r="Q137" s="23"/>
      <x:c r="R137" s="23"/>
    </x:row>
    <x:row r="138" ht="18.75" customHeight="1">
      <x:c r="A138" s="19"/>
      <x:c r="B138" s="29"/>
      <x:c r="C138" s="21"/>
      <x:c r="D138" s="55"/>
      <x:c r="E138" s="56"/>
      <x:c r="F138" s="23"/>
      <x:c r="G138" s="25"/>
      <x:c r="H138" s="25"/>
      <x:c r="I138" s="25"/>
      <x:c r="J138" s="25"/>
      <x:c r="K138" s="24"/>
      <x:c r="L138" s="24"/>
      <x:c r="M138" s="94"/>
      <x:c r="N138" s="94"/>
      <x:c r="O138" s="26">
        <x:f t="shared" si="8"/>
        <x:v>0</x:v>
      </x:c>
      <x:c r="P138" s="23"/>
      <x:c r="Q138" s="23"/>
      <x:c r="R138" s="23"/>
    </x:row>
    <x:row r="139" ht="18.75" customHeight="1">
      <x:c r="A139" s="19"/>
      <x:c r="B139" s="29"/>
      <x:c r="C139" s="21"/>
      <x:c r="D139" s="55"/>
      <x:c r="E139" s="56"/>
      <x:c r="F139" s="23"/>
      <x:c r="G139" s="24"/>
      <x:c r="H139" s="25"/>
      <x:c r="I139" s="25"/>
      <x:c r="J139" s="25"/>
      <x:c r="K139" s="25"/>
      <x:c r="L139" s="25"/>
      <x:c r="M139" s="94"/>
      <x:c r="N139" s="94"/>
      <x:c r="O139" s="26">
        <x:f t="shared" si="8"/>
        <x:v>0</x:v>
      </x:c>
      <x:c r="P139" s="23"/>
      <x:c r="Q139" s="23"/>
      <x:c r="R139" s="23"/>
    </x:row>
    <x:row r="140" ht="18.75" customHeight="1">
      <x:c r="A140" s="19"/>
      <x:c r="B140" s="29"/>
      <x:c r="C140" s="21"/>
      <x:c r="D140" s="55"/>
      <x:c r="E140" s="56"/>
      <x:c r="F140" s="23"/>
      <x:c r="G140" s="25"/>
      <x:c r="H140" s="25"/>
      <x:c r="I140" s="25"/>
      <x:c r="J140" s="25"/>
      <x:c r="K140" s="25"/>
      <x:c r="L140" s="24"/>
      <x:c r="M140" s="94"/>
      <x:c r="N140" s="94"/>
      <x:c r="O140" s="26">
        <x:f t="shared" si="8"/>
        <x:v>0</x:v>
      </x:c>
      <x:c r="P140" s="23"/>
      <x:c r="Q140" s="23"/>
      <x:c r="R140" s="23"/>
    </x:row>
    <x:row r="141" ht="18.75" customHeight="1">
      <x:c r="A141" s="19"/>
      <x:c r="B141" s="29"/>
      <x:c r="C141" s="21"/>
      <x:c r="D141" s="55"/>
      <x:c r="E141" s="56"/>
      <x:c r="F141" s="23"/>
      <x:c r="G141" s="25"/>
      <x:c r="H141" s="25"/>
      <x:c r="I141" s="25"/>
      <x:c r="J141" s="25"/>
      <x:c r="K141" s="24"/>
      <x:c r="L141" s="24"/>
      <x:c r="M141" s="94"/>
      <x:c r="N141" s="94"/>
      <x:c r="O141" s="26">
        <x:f t="shared" si="8"/>
        <x:v>0</x:v>
      </x:c>
      <x:c r="P141" s="23"/>
      <x:c r="Q141" s="23"/>
      <x:c r="R141" s="23"/>
    </x:row>
    <x:row r="142" ht="18.75" customHeight="1">
      <x:c r="A142" s="19"/>
      <x:c r="B142" s="29"/>
      <x:c r="C142" s="21"/>
      <x:c r="D142" s="55"/>
      <x:c r="E142" s="56"/>
      <x:c r="F142" s="23"/>
      <x:c r="G142" s="25"/>
      <x:c r="H142" s="25"/>
      <x:c r="I142" s="25"/>
      <x:c r="J142" s="25"/>
      <x:c r="K142" s="25"/>
      <x:c r="L142" s="24"/>
      <x:c r="M142" s="94"/>
      <x:c r="N142" s="94"/>
      <x:c r="O142" s="26">
        <x:f t="shared" si="8"/>
        <x:v>0</x:v>
      </x:c>
      <x:c r="P142" s="23"/>
      <x:c r="Q142" s="23"/>
      <x:c r="R142" s="23"/>
    </x:row>
    <x:row r="143" ht="18.75" customHeight="1">
      <x:c r="A143" s="19"/>
      <x:c r="B143" s="29"/>
      <x:c r="C143" s="21"/>
      <x:c r="D143" s="55"/>
      <x:c r="E143" s="56"/>
      <x:c r="F143" s="23"/>
      <x:c r="G143" s="25"/>
      <x:c r="H143" s="25"/>
      <x:c r="I143" s="25"/>
      <x:c r="J143" s="25"/>
      <x:c r="K143" s="25"/>
      <x:c r="L143" s="24"/>
      <x:c r="M143" s="94"/>
      <x:c r="N143" s="94"/>
      <x:c r="O143" s="26">
        <x:f t="shared" si="8"/>
        <x:v>0</x:v>
      </x:c>
      <x:c r="P143" s="23"/>
      <x:c r="Q143" s="23"/>
      <x:c r="R143" s="23"/>
    </x:row>
    <x:row r="144" ht="18.75" customHeight="1">
      <x:c r="A144" s="19"/>
      <x:c r="B144" s="29"/>
      <x:c r="C144" s="21"/>
      <x:c r="D144" s="55"/>
      <x:c r="E144" s="56"/>
      <x:c r="F144" s="23"/>
      <x:c r="G144" s="25"/>
      <x:c r="H144" s="25"/>
      <x:c r="I144" s="25"/>
      <x:c r="J144" s="25"/>
      <x:c r="K144" s="25"/>
      <x:c r="L144" s="25"/>
      <x:c r="M144" s="94"/>
      <x:c r="N144" s="94"/>
      <x:c r="O144" s="26">
        <x:f t="shared" si="8"/>
        <x:v>0</x:v>
      </x:c>
      <x:c r="P144" s="23"/>
      <x:c r="Q144" s="23"/>
      <x:c r="R144" s="23"/>
    </x:row>
    <x:row r="145" ht="18.75" customHeight="1">
      <x:c r="A145" s="19"/>
      <x:c r="B145" s="29"/>
      <x:c r="C145" s="21"/>
      <x:c r="D145" s="55"/>
      <x:c r="E145" s="56"/>
      <x:c r="F145" s="23"/>
      <x:c r="G145" s="25"/>
      <x:c r="H145" s="25"/>
      <x:c r="I145" s="25"/>
      <x:c r="J145" s="25"/>
      <x:c r="K145" s="25"/>
      <x:c r="L145" s="24"/>
      <x:c r="M145" s="94"/>
      <x:c r="N145" s="94"/>
      <x:c r="O145" s="26">
        <x:f t="shared" si="8"/>
        <x:v>0</x:v>
      </x:c>
      <x:c r="P145" s="23"/>
      <x:c r="Q145" s="23"/>
      <x:c r="R145" s="23"/>
    </x:row>
    <x:row r="146" ht="18.75" customHeight="1">
      <x:c r="A146" s="19"/>
      <x:c r="B146" s="29"/>
      <x:c r="C146" s="21"/>
      <x:c r="D146" s="55"/>
      <x:c r="E146" s="56"/>
      <x:c r="F146" s="23"/>
      <x:c r="G146" s="25"/>
      <x:c r="H146" s="25"/>
      <x:c r="I146" s="25"/>
      <x:c r="J146" s="25"/>
      <x:c r="K146" s="25"/>
      <x:c r="L146" s="24"/>
      <x:c r="M146" s="94"/>
      <x:c r="N146" s="94"/>
      <x:c r="O146" s="26">
        <x:f t="shared" si="8"/>
        <x:v>0</x:v>
      </x:c>
      <x:c r="P146" s="23"/>
      <x:c r="Q146" s="23"/>
      <x:c r="R146" s="23"/>
    </x:row>
    <x:row r="147" ht="18.75" customHeight="1">
      <x:c r="A147" s="19"/>
      <x:c r="B147" s="29"/>
      <x:c r="C147" s="21"/>
      <x:c r="D147" s="55"/>
      <x:c r="E147" s="56"/>
      <x:c r="F147" s="23"/>
      <x:c r="G147" s="25"/>
      <x:c r="H147" s="24"/>
      <x:c r="I147" s="24"/>
      <x:c r="J147" s="24"/>
      <x:c r="K147" s="25"/>
      <x:c r="L147" s="24"/>
      <x:c r="M147" s="94"/>
      <x:c r="N147" s="94"/>
      <x:c r="O147" s="26">
        <x:f t="shared" si="8"/>
        <x:v>0</x:v>
      </x:c>
      <x:c r="P147" s="23"/>
      <x:c r="Q147" s="23"/>
      <x:c r="R147" s="23"/>
    </x:row>
    <x:row r="148" ht="18.75" customHeight="1">
      <x:c r="A148" s="19"/>
      <x:c r="B148" s="29"/>
      <x:c r="C148" s="21"/>
      <x:c r="D148" s="55"/>
      <x:c r="E148" s="56"/>
      <x:c r="F148" s="23"/>
      <x:c r="G148" s="25"/>
      <x:c r="H148" s="25"/>
      <x:c r="I148" s="25"/>
      <x:c r="J148" s="25"/>
      <x:c r="K148" s="24"/>
      <x:c r="L148" s="25"/>
      <x:c r="M148" s="94"/>
      <x:c r="N148" s="94"/>
      <x:c r="O148" s="26">
        <x:f t="shared" si="8"/>
        <x:v>0</x:v>
      </x:c>
      <x:c r="P148" s="23"/>
      <x:c r="Q148" s="23"/>
      <x:c r="R148" s="23"/>
    </x:row>
    <x:row r="149" ht="18.75" customHeight="1">
      <x:c r="A149" s="19"/>
      <x:c r="B149" s="29"/>
      <x:c r="C149" s="21"/>
      <x:c r="D149" s="55"/>
      <x:c r="E149" s="56"/>
      <x:c r="F149" s="23"/>
      <x:c r="G149" s="25"/>
      <x:c r="H149" s="25"/>
      <x:c r="I149" s="25"/>
      <x:c r="J149" s="25"/>
      <x:c r="K149" s="25"/>
      <x:c r="L149" s="24"/>
      <x:c r="M149" s="94"/>
      <x:c r="N149" s="94"/>
      <x:c r="O149" s="26">
        <x:f t="shared" si="8"/>
        <x:v>0</x:v>
      </x:c>
      <x:c r="P149" s="23"/>
      <x:c r="Q149" s="23"/>
      <x:c r="R149" s="23"/>
    </x:row>
    <x:row r="150" ht="18.75" customHeight="1">
      <x:c r="A150" s="19"/>
      <x:c r="B150" s="29"/>
      <x:c r="C150" s="21"/>
      <x:c r="D150" s="55"/>
      <x:c r="E150" s="56"/>
      <x:c r="F150" s="23"/>
      <x:c r="G150" s="25"/>
      <x:c r="H150" s="25"/>
      <x:c r="I150" s="25"/>
      <x:c r="J150" s="25"/>
      <x:c r="K150" s="24"/>
      <x:c r="L150" s="25"/>
      <x:c r="M150" s="94"/>
      <x:c r="N150" s="94"/>
      <x:c r="O150" s="26">
        <x:f t="shared" si="8"/>
        <x:v>0</x:v>
      </x:c>
      <x:c r="P150" s="23"/>
      <x:c r="Q150" s="23"/>
      <x:c r="R150" s="23"/>
    </x:row>
    <x:row r="151" ht="18.75" customHeight="1">
      <x:c r="A151" s="19"/>
      <x:c r="B151" s="29"/>
      <x:c r="C151" s="21"/>
      <x:c r="D151" s="55"/>
      <x:c r="E151" s="56"/>
      <x:c r="F151" s="23"/>
      <x:c r="G151" s="25"/>
      <x:c r="H151" s="25"/>
      <x:c r="I151" s="25"/>
      <x:c r="J151" s="25"/>
      <x:c r="K151" s="24"/>
      <x:c r="L151" s="25"/>
      <x:c r="M151" s="94"/>
      <x:c r="N151" s="94"/>
      <x:c r="O151" s="26">
        <x:f t="shared" si="8"/>
        <x:v>0</x:v>
      </x:c>
      <x:c r="P151" s="23"/>
      <x:c r="Q151" s="23"/>
      <x:c r="R151" s="23"/>
    </x:row>
    <x:row r="152" ht="18.75" customHeight="1">
      <x:c r="A152" s="19"/>
      <x:c r="B152" s="29"/>
      <x:c r="C152" s="21"/>
      <x:c r="D152" s="55"/>
      <x:c r="E152" s="56"/>
      <x:c r="F152" s="23"/>
      <x:c r="G152" s="25"/>
      <x:c r="H152" s="25"/>
      <x:c r="I152" s="25"/>
      <x:c r="J152" s="25"/>
      <x:c r="K152" s="24"/>
      <x:c r="L152" s="24"/>
      <x:c r="M152" s="94"/>
      <x:c r="N152" s="94"/>
      <x:c r="O152" s="26">
        <x:f t="shared" si="8"/>
        <x:v>0</x:v>
      </x:c>
      <x:c r="P152" s="23"/>
      <x:c r="Q152" s="23"/>
      <x:c r="R152" s="23"/>
    </x:row>
    <x:row r="153" ht="18.75" customHeight="1">
      <x:c r="A153" s="19"/>
      <x:c r="B153" s="29"/>
      <x:c r="C153" s="21"/>
      <x:c r="D153" s="55"/>
      <x:c r="E153" s="56"/>
      <x:c r="F153" s="23"/>
      <x:c r="G153" s="25"/>
      <x:c r="H153" s="25"/>
      <x:c r="I153" s="25"/>
      <x:c r="J153" s="25"/>
      <x:c r="K153" s="25"/>
      <x:c r="L153" s="25"/>
      <x:c r="M153" s="94"/>
      <x:c r="N153" s="94"/>
      <x:c r="O153" s="26">
        <x:f t="shared" si="8"/>
        <x:v>0</x:v>
      </x:c>
      <x:c r="P153" s="23"/>
      <x:c r="Q153" s="23"/>
      <x:c r="R153" s="23"/>
    </x:row>
    <x:row r="154" ht="18.75" customHeight="1">
      <x:c r="A154" s="19"/>
      <x:c r="B154" s="29"/>
      <x:c r="C154" s="21"/>
      <x:c r="D154" s="55"/>
      <x:c r="E154" s="56"/>
      <x:c r="F154" s="23"/>
      <x:c r="G154" s="25"/>
      <x:c r="H154" s="25"/>
      <x:c r="I154" s="25"/>
      <x:c r="J154" s="25"/>
      <x:c r="K154" s="24"/>
      <x:c r="L154" s="25"/>
      <x:c r="M154" s="94"/>
      <x:c r="N154" s="94"/>
      <x:c r="O154" s="26">
        <x:f t="shared" si="8"/>
        <x:v>0</x:v>
      </x:c>
      <x:c r="P154" s="23"/>
      <x:c r="Q154" s="23"/>
      <x:c r="R154" s="23"/>
    </x:row>
    <x:row r="155" ht="18.75" customHeight="1">
      <x:c r="A155" s="19"/>
      <x:c r="B155" s="29"/>
      <x:c r="C155" s="21"/>
      <x:c r="D155" s="55"/>
      <x:c r="E155" s="56"/>
      <x:c r="F155" s="23"/>
      <x:c r="G155" s="25"/>
      <x:c r="H155" s="25"/>
      <x:c r="I155" s="25"/>
      <x:c r="J155" s="25"/>
      <x:c r="K155" s="25"/>
      <x:c r="L155" s="25"/>
      <x:c r="M155" s="94"/>
      <x:c r="N155" s="94"/>
      <x:c r="O155" s="26">
        <x:f t="shared" si="8"/>
        <x:v>0</x:v>
      </x:c>
      <x:c r="P155" s="23"/>
      <x:c r="Q155" s="23"/>
      <x:c r="R155" s="23"/>
    </x:row>
    <x:row r="156" ht="18.75" customHeight="1">
      <x:c r="A156" s="19"/>
      <x:c r="B156" s="29"/>
      <x:c r="C156" s="21"/>
      <x:c r="D156" s="55"/>
      <x:c r="E156" s="56"/>
      <x:c r="F156" s="23"/>
      <x:c r="G156" s="25"/>
      <x:c r="H156" s="25"/>
      <x:c r="I156" s="25"/>
      <x:c r="J156" s="25"/>
      <x:c r="K156" s="25"/>
      <x:c r="L156" s="25"/>
      <x:c r="M156" s="94"/>
      <x:c r="N156" s="94"/>
      <x:c r="O156" s="26">
        <x:f t="shared" si="8"/>
        <x:v>0</x:v>
      </x:c>
      <x:c r="P156" s="23"/>
      <x:c r="Q156" s="23"/>
      <x:c r="R156" s="23"/>
    </x:row>
    <x:row r="157" ht="18.75" customHeight="1">
      <x:c r="A157" s="19"/>
      <x:c r="B157" s="29"/>
      <x:c r="C157" s="21"/>
      <x:c r="D157" s="55"/>
      <x:c r="E157" s="56"/>
      <x:c r="F157" s="23"/>
      <x:c r="G157" s="25"/>
      <x:c r="H157" s="25"/>
      <x:c r="I157" s="25"/>
      <x:c r="J157" s="25"/>
      <x:c r="K157" s="24"/>
      <x:c r="L157" s="25"/>
      <x:c r="M157" s="94"/>
      <x:c r="N157" s="94"/>
      <x:c r="O157" s="26">
        <x:f t="shared" si="8"/>
        <x:v>0</x:v>
      </x:c>
      <x:c r="P157" s="23"/>
      <x:c r="Q157" s="23"/>
      <x:c r="R157" s="23"/>
    </x:row>
    <x:row r="158" ht="18.75" customHeight="1">
      <x:c r="A158" s="19"/>
      <x:c r="B158" s="29"/>
      <x:c r="C158" s="21"/>
      <x:c r="D158" s="55"/>
      <x:c r="E158" s="56"/>
      <x:c r="F158" s="23"/>
      <x:c r="G158" s="25"/>
      <x:c r="H158" s="24"/>
      <x:c r="I158" s="24"/>
      <x:c r="J158" s="24"/>
      <x:c r="K158" s="25"/>
      <x:c r="L158" s="25"/>
      <x:c r="M158" s="94"/>
      <x:c r="N158" s="94"/>
      <x:c r="O158" s="26">
        <x:f t="shared" si="8"/>
        <x:v>0</x:v>
      </x:c>
      <x:c r="P158" s="23"/>
      <x:c r="Q158" s="23"/>
      <x:c r="R158" s="23"/>
    </x:row>
    <x:row r="159" ht="18.75" customHeight="1">
      <x:c r="A159" s="19"/>
      <x:c r="B159" s="29"/>
      <x:c r="C159" s="21"/>
      <x:c r="D159" s="55"/>
      <x:c r="E159" s="56"/>
      <x:c r="F159" s="23"/>
      <x:c r="G159" s="25"/>
      <x:c r="H159" s="25"/>
      <x:c r="I159" s="25"/>
      <x:c r="J159" s="25"/>
      <x:c r="K159" s="25"/>
      <x:c r="L159" s="24"/>
      <x:c r="M159" s="94"/>
      <x:c r="N159" s="94"/>
      <x:c r="O159" s="26">
        <x:f t="shared" si="8"/>
        <x:v>0</x:v>
      </x:c>
      <x:c r="P159" s="23"/>
      <x:c r="Q159" s="23"/>
      <x:c r="R159" s="23"/>
    </x:row>
    <x:row r="160" ht="18.75" customHeight="1">
      <x:c r="A160" s="19"/>
      <x:c r="B160" s="29"/>
      <x:c r="C160" s="21"/>
      <x:c r="D160" s="55"/>
      <x:c r="E160" s="56"/>
      <x:c r="F160" s="23"/>
      <x:c r="G160" s="25"/>
      <x:c r="H160" s="25"/>
      <x:c r="I160" s="25"/>
      <x:c r="J160" s="25"/>
      <x:c r="K160" s="25"/>
      <x:c r="L160" s="24"/>
      <x:c r="M160" s="94"/>
      <x:c r="N160" s="94"/>
      <x:c r="O160" s="26">
        <x:f t="shared" si="8"/>
        <x:v>0</x:v>
      </x:c>
      <x:c r="P160" s="23"/>
      <x:c r="Q160" s="23"/>
      <x:c r="R160" s="23"/>
    </x:row>
    <x:row r="161" ht="18.75" customHeight="1">
      <x:c r="A161" s="19"/>
      <x:c r="B161" s="29"/>
      <x:c r="C161" s="21"/>
      <x:c r="D161" s="55"/>
      <x:c r="E161" s="56"/>
      <x:c r="F161" s="23"/>
      <x:c r="G161" s="25"/>
      <x:c r="H161" s="25"/>
      <x:c r="I161" s="25"/>
      <x:c r="J161" s="25"/>
      <x:c r="K161" s="25"/>
      <x:c r="M161" s="91"/>
      <x:c r="N161" s="94"/>
      <x:c r="O161" s="26">
        <x:f t="shared" si="8"/>
        <x:v>0</x:v>
      </x:c>
      <x:c r="P161" s="23"/>
      <x:c r="Q161" s="23"/>
      <x:c r="R161" s="23"/>
    </x:row>
    <x:row r="162" ht="18.75" customHeight="1">
      <x:c r="A162" s="19"/>
      <x:c r="B162" s="29"/>
      <x:c r="C162" s="21"/>
      <x:c r="D162" s="55"/>
      <x:c r="E162" s="56"/>
      <x:c r="F162" s="23"/>
      <x:c r="G162" s="25"/>
      <x:c r="H162" s="25"/>
      <x:c r="I162" s="25"/>
      <x:c r="J162" s="25"/>
      <x:c r="K162" s="24"/>
      <x:c r="L162" s="25"/>
      <x:c r="M162" s="94"/>
      <x:c r="N162" s="94"/>
      <x:c r="O162" s="26">
        <x:f t="shared" si="8"/>
        <x:v>0</x:v>
      </x:c>
      <x:c r="P162" s="23"/>
      <x:c r="Q162" s="23"/>
      <x:c r="R162" s="23"/>
    </x:row>
    <x:row r="163" ht="18.75" customHeight="1">
      <x:c r="A163" s="19"/>
      <x:c r="B163" s="29"/>
      <x:c r="C163" s="21"/>
      <x:c r="D163" s="55"/>
      <x:c r="E163" s="56"/>
      <x:c r="F163" s="23"/>
      <x:c r="G163" s="25"/>
      <x:c r="H163" s="25"/>
      <x:c r="I163" s="25"/>
      <x:c r="J163" s="25"/>
      <x:c r="K163" s="25"/>
      <x:c r="L163" s="24"/>
      <x:c r="M163" s="94"/>
      <x:c r="N163" s="94"/>
      <x:c r="O163" s="26">
        <x:f t="shared" si="8"/>
        <x:v>0</x:v>
      </x:c>
      <x:c r="P163" s="23"/>
      <x:c r="Q163" s="23"/>
      <x:c r="R163" s="23"/>
    </x:row>
    <x:row r="164" ht="18.75" customHeight="1">
      <x:c r="A164" s="19"/>
      <x:c r="B164" s="29"/>
      <x:c r="C164" s="21"/>
      <x:c r="D164" s="55"/>
      <x:c r="E164" s="56"/>
      <x:c r="F164" s="23"/>
      <x:c r="G164" s="25"/>
      <x:c r="H164" s="25"/>
      <x:c r="I164" s="25"/>
      <x:c r="J164" s="25"/>
      <x:c r="K164" s="25"/>
      <x:c r="L164" s="24"/>
      <x:c r="M164" s="94"/>
      <x:c r="N164" s="94"/>
      <x:c r="O164" s="26">
        <x:f t="shared" si="8"/>
        <x:v>0</x:v>
      </x:c>
      <x:c r="P164" s="23"/>
      <x:c r="Q164" s="23"/>
      <x:c r="R164" s="23"/>
    </x:row>
    <x:row r="165" ht="18.75" customHeight="1">
      <x:c r="A165" s="19"/>
      <x:c r="B165" s="29"/>
      <x:c r="C165" s="21"/>
      <x:c r="D165" s="55"/>
      <x:c r="E165" s="56"/>
      <x:c r="F165" s="23"/>
      <x:c r="G165" s="25"/>
      <x:c r="H165" s="25"/>
      <x:c r="I165" s="25"/>
      <x:c r="J165" s="25"/>
      <x:c r="K165" s="25"/>
      <x:c r="L165" s="25"/>
      <x:c r="M165" s="94"/>
      <x:c r="N165" s="94"/>
      <x:c r="O165" s="26">
        <x:f t="shared" si="8"/>
        <x:v>0</x:v>
      </x:c>
      <x:c r="P165" s="23"/>
      <x:c r="Q165" s="23"/>
      <x:c r="R165" s="23"/>
    </x:row>
    <x:row r="166" ht="18.75" customHeight="1">
      <x:c r="A166" s="19"/>
      <x:c r="B166" s="29"/>
      <x:c r="C166" s="21"/>
      <x:c r="D166" s="55"/>
      <x:c r="E166" s="56"/>
      <x:c r="F166" s="23"/>
      <x:c r="G166" s="25"/>
      <x:c r="H166" s="25"/>
      <x:c r="I166" s="25"/>
      <x:c r="J166" s="25"/>
      <x:c r="K166" s="25"/>
      <x:c r="L166" s="24"/>
      <x:c r="M166" s="94"/>
      <x:c r="N166" s="94"/>
      <x:c r="O166" s="26">
        <x:f t="shared" si="8"/>
        <x:v>0</x:v>
      </x:c>
      <x:c r="P166" s="23"/>
      <x:c r="Q166" s="23"/>
      <x:c r="R166" s="23"/>
    </x:row>
    <x:row r="167" ht="18.75" customHeight="1">
      <x:c r="A167" s="19"/>
      <x:c r="B167" s="29"/>
      <x:c r="C167" s="21"/>
      <x:c r="D167" s="55"/>
      <x:c r="E167" s="56"/>
      <x:c r="F167" s="23"/>
      <x:c r="G167" s="25"/>
      <x:c r="H167" s="25"/>
      <x:c r="I167" s="25"/>
      <x:c r="J167" s="25"/>
      <x:c r="K167" s="25"/>
      <x:c r="L167" s="24"/>
      <x:c r="M167" s="94"/>
      <x:c r="N167" s="94"/>
      <x:c r="O167" s="26">
        <x:f t="shared" si="8"/>
        <x:v>0</x:v>
      </x:c>
      <x:c r="P167" s="23"/>
      <x:c r="Q167" s="23"/>
      <x:c r="R167" s="23"/>
    </x:row>
    <x:row r="168" ht="18.75" customHeight="1">
      <x:c r="A168" s="19"/>
      <x:c r="B168" s="29"/>
      <x:c r="C168" s="21"/>
      <x:c r="D168" s="55"/>
      <x:c r="E168" s="56"/>
      <x:c r="F168" s="23"/>
      <x:c r="G168" s="25"/>
      <x:c r="H168" s="25"/>
      <x:c r="I168" s="25"/>
      <x:c r="J168" s="25"/>
      <x:c r="K168" s="24"/>
      <x:c r="L168" s="25"/>
      <x:c r="M168" s="94"/>
      <x:c r="N168" s="94"/>
      <x:c r="O168" s="26">
        <x:f t="shared" si="8"/>
        <x:v>0</x:v>
      </x:c>
      <x:c r="P168" s="23"/>
      <x:c r="Q168" s="23"/>
      <x:c r="R168" s="23"/>
    </x:row>
    <x:row r="169" ht="18.75" customHeight="1">
      <x:c r="A169" s="19"/>
      <x:c r="B169" s="29"/>
      <x:c r="C169" s="21"/>
      <x:c r="D169" s="55"/>
      <x:c r="E169" s="56"/>
      <x:c r="F169" s="23"/>
      <x:c r="G169" s="25"/>
      <x:c r="H169" s="24"/>
      <x:c r="I169" s="24"/>
      <x:c r="J169" s="24"/>
      <x:c r="K169" s="25"/>
      <x:c r="L169" s="24"/>
      <x:c r="M169" s="94"/>
      <x:c r="N169" s="94"/>
      <x:c r="O169" s="26">
        <x:f t="shared" si="8"/>
        <x:v>0</x:v>
      </x:c>
      <x:c r="P169" s="23"/>
      <x:c r="Q169" s="23"/>
      <x:c r="R169" s="23"/>
    </x:row>
    <x:row r="170">
      <x:c r="A170" s="75"/>
      <x:c r="B170" s="76" t="s">
        <x:v>27</x:v>
      </x:c>
      <x:c r="C170" s="77"/>
      <x:c r="D170" s="78"/>
      <x:c r="E170" s="77" t="n">
        <x:f>SUM(E4:E141)</x:f>
        <x:v>10</x:v>
      </x:c>
      <x:c r="F170" s="77" t="n">
        <x:f t="shared" ref="F170:O170" si="9">SUM(F4:F169)</x:f>
        <x:v>35</x:v>
      </x:c>
      <x:c r="G170" s="79">
        <x:f t="shared" si="9"/>
        <x:v>0</x:v>
      </x:c>
      <x:c r="H170" s="79">
        <x:f t="shared" si="9"/>
        <x:v>15</x:v>
      </x:c>
      <x:c r="I170" s="79">
        <x:f t="shared" si="9"/>
        <x:v>0</x:v>
      </x:c>
      <x:c r="J170" s="79">
        <x:f t="shared" si="9"/>
        <x:v>0</x:v>
      </x:c>
      <x:c r="K170" s="79">
        <x:f t="shared" si="9"/>
        <x:v>7</x:v>
      </x:c>
      <x:c r="L170" s="79">
        <x:f t="shared" si="9"/>
        <x:v>0</x:v>
      </x:c>
      <x:c r="M170" s="77">
        <x:f t="shared" si="9"/>
        <x:v>11</x:v>
      </x:c>
      <x:c r="N170" s="77">
        <x:f t="shared" si="9"/>
        <x:v>0</x:v>
      </x:c>
      <x:c r="O170" s="80">
        <x:f t="shared" si="9"/>
        <x:v>24213000</x:v>
      </x:c>
      <x:c r="P170" s="77"/>
      <x:c r="Q170" s="77"/>
      <x:c r="R170" s="77"/>
    </x:row>
    <x:row r="171">
      <x:c r="A171" s="75"/>
      <x:c r="B171" s="76" t="s">
        <x:v>51</x:v>
      </x:c>
      <x:c r="C171" s="81"/>
      <x:c r="D171" s="82">
        <x:v>300000.0</x:v>
      </x:c>
      <x:c r="E171" s="83" t="n">
        <x:f>E170*Inventory_batches!I114</x:f>
        <x:v>1636473.4789999998</x:v>
      </x:c>
      <x:c r="F171" s="83" t="n">
        <x:f>F170*Inventory_batches!I113</x:f>
        <x:v>5727657.1765</x:v>
      </x:c>
      <x:c r="G171" s="84" t="n">
        <x:f>G170*Inventory_batches!I116</x:f>
        <x:v>0</x:v>
      </x:c>
      <x:c r="H171" s="84" t="n">
        <x:f>H170*Inventory_batches!I115</x:f>
        <x:v>3216324.3915</x:v>
      </x:c>
      <x:c r="I171" s="84" t="n">
        <x:f>I170*Inventory_batches!I104</x:f>
        <x:v>0</x:v>
      </x:c>
      <x:c r="J171" s="84" t="n">
        <x:f>J170*Inventory_batches!I108</x:f>
        <x:v>0</x:v>
      </x:c>
      <x:c r="K171" s="84" t="n">
        <x:f>K170*Inventory_batches!I118</x:f>
        <x:v>967821.4615999999</x:v>
      </x:c>
      <x:c r="L171" s="84" t="n">
        <x:f>L170*Inventory_batches!I112</x:f>
        <x:v>0</x:v>
      </x:c>
      <x:c r="M171" s="84" t="n">
        <x:f>M170*Inventory_batches!I107</x:f>
        <x:v>2359855.9433962265</x:v>
      </x:c>
      <x:c r="N171" s="83" t="n">
        <x:f>N170*Inventory_batches!I70</x:f>
        <x:v>0</x:v>
      </x:c>
      <x:c r="O171" s="83" t="n">
        <x:f>SUM(E171:N171)+D171</x:f>
        <x:v>14208132.451996226</x:v>
      </x:c>
      <x:c r="P171" s="85" t="n">
        <x:f>O171-T5</x:f>
        <x:v>13273132.451996226</x:v>
      </x:c>
      <x:c r="Q171" s="86"/>
      <x:c r="R171" s="86"/>
      <x:c r="S171" s="32"/>
    </x:row>
    <x:row r="172">
      <x:c r="A172" s="87"/>
      <x:c r="B172" s="88"/>
      <x:c r="D172" s="32"/>
      <x:c r="G172" s="74"/>
      <x:c r="H172" s="74"/>
      <x:c r="I172" s="74"/>
      <x:c r="J172" s="74"/>
      <x:c r="K172" s="74"/>
      <x:c r="L172" s="74"/>
      <x:c r="M172" s="89"/>
      <x:c r="N172" s="89"/>
      <x:c r="O172" s="90" t="n">
        <x:f>O170-O171</x:f>
        <x:v>10004867.548003774</x:v>
      </x:c>
      <x:c r="P172" s="85" t="n">
        <x:f>O172/2</x:f>
        <x:v>5002433.774001887</x:v>
      </x:c>
      <x:c r="Q172" s="86"/>
      <x:c r="R172" s="86"/>
      <x:c r="S172" s="32"/>
    </x:row>
    <x:row r="173">
      <x:c r="A173" s="87"/>
      <x:c r="B173" s="88"/>
      <x:c r="D173" s="32"/>
      <x:c r="G173" s="74"/>
      <x:c r="H173" s="74"/>
      <x:c r="I173" s="74"/>
      <x:c r="J173" s="74"/>
      <x:c r="K173" s="74"/>
      <x:c r="L173" s="74"/>
      <x:c r="M173" s="91"/>
      <x:c r="N173" s="91"/>
      <x:c r="O173" s="85"/>
      <x:c r="P173" s="85" t="n">
        <x:f>P171+P172</x:f>
        <x:v>18275566.22599811</x:v>
      </x:c>
      <x:c r="Q173" s="86"/>
      <x:c r="R173" s="86"/>
      <x:c r="S173" s="32"/>
    </x:row>
    <x:row r="174">
      <x:c r="A174" s="87"/>
      <x:c r="B174" s="88"/>
      <x:c r="D174" s="32"/>
      <x:c r="G174" s="74"/>
      <x:c r="H174" s="74"/>
      <x:c r="I174" s="74"/>
      <x:c r="J174" s="74"/>
      <x:c r="K174" s="74"/>
      <x:c r="L174" s="74"/>
      <x:c r="M174" s="91"/>
      <x:c r="N174" s="91"/>
      <x:c r="O174" s="85"/>
      <x:c r="Q174" s="86"/>
      <x:c r="R174" s="86"/>
      <x:c r="S174" s="32"/>
    </x:row>
    <x:row r="175">
      <x:c r="A175" s="87"/>
      <x:c r="B175" s="88"/>
      <x:c r="D175" s="32"/>
      <x:c r="G175" s="74"/>
      <x:c r="H175" s="74"/>
      <x:c r="I175" s="74"/>
      <x:c r="J175" s="74"/>
      <x:c r="K175" s="74"/>
      <x:c r="L175" s="74"/>
      <x:c r="M175" s="91"/>
      <x:c r="N175" s="91"/>
      <x:c r="O175" s="85"/>
      <x:c r="Q175" s="86"/>
      <x:c r="R175" s="86"/>
      <x:c r="S175" s="32"/>
    </x:row>
    <x:row r="176">
      <x:c r="A176" s="87"/>
      <x:c r="B176" s="88"/>
      <x:c r="D176" s="32"/>
      <x:c r="G176" s="74"/>
      <x:c r="H176" s="74"/>
      <x:c r="I176" s="74"/>
      <x:c r="J176" s="74"/>
      <x:c r="K176" s="74"/>
      <x:c r="L176" s="74"/>
      <x:c r="M176" s="91"/>
      <x:c r="N176" s="91"/>
      <x:c r="O176" s="85"/>
      <x:c r="Q176" s="86"/>
      <x:c r="R176" s="86"/>
      <x:c r="S176" s="32"/>
    </x:row>
    <x:row r="177">
      <x:c r="A177" s="87"/>
      <x:c r="B177" s="88"/>
      <x:c r="D177" s="32"/>
      <x:c r="G177" s="74"/>
      <x:c r="H177" s="74"/>
      <x:c r="I177" s="74"/>
      <x:c r="J177" s="74"/>
      <x:c r="K177" s="74"/>
      <x:c r="L177" s="74"/>
      <x:c r="M177" s="91"/>
      <x:c r="N177" s="91"/>
      <x:c r="O177" s="85"/>
      <x:c r="Q177" s="86"/>
      <x:c r="R177" s="86"/>
      <x:c r="S177" s="32"/>
    </x:row>
    <x:row r="178">
      <x:c r="A178" s="87"/>
      <x:c r="B178" s="88"/>
      <x:c r="D178" s="32"/>
      <x:c r="G178" s="74"/>
      <x:c r="H178" s="74"/>
      <x:c r="I178" s="74"/>
      <x:c r="J178" s="74"/>
      <x:c r="K178" s="74"/>
      <x:c r="L178" s="74"/>
      <x:c r="M178" s="91"/>
      <x:c r="N178" s="91"/>
      <x:c r="O178" s="85"/>
      <x:c r="Q178" s="86"/>
      <x:c r="R178" s="86"/>
      <x:c r="S178" s="32"/>
    </x:row>
    <x:row r="179">
      <x:c r="A179" s="87"/>
      <x:c r="B179" s="88"/>
      <x:c r="D179" s="32"/>
      <x:c r="G179" s="74"/>
      <x:c r="H179" s="74"/>
      <x:c r="I179" s="74"/>
      <x:c r="J179" s="74"/>
      <x:c r="K179" s="74"/>
      <x:c r="L179" s="74"/>
      <x:c r="M179" s="91"/>
      <x:c r="N179" s="91"/>
      <x:c r="O179" s="85"/>
      <x:c r="Q179" s="86"/>
      <x:c r="R179" s="86"/>
      <x:c r="S179" s="32"/>
    </x:row>
    <x:row r="180">
      <x:c r="A180" s="87"/>
      <x:c r="B180" s="88"/>
      <x:c r="D180" s="32"/>
      <x:c r="G180" s="74"/>
      <x:c r="H180" s="74"/>
      <x:c r="I180" s="74"/>
      <x:c r="J180" s="74"/>
      <x:c r="K180" s="74"/>
      <x:c r="L180" s="74"/>
      <x:c r="M180" s="91"/>
      <x:c r="N180" s="91"/>
      <x:c r="O180" s="85"/>
      <x:c r="Q180" s="86"/>
      <x:c r="R180" s="86"/>
      <x:c r="S180" s="32"/>
    </x:row>
    <x:row r="181">
      <x:c r="A181" s="87"/>
      <x:c r="B181" s="88"/>
      <x:c r="D181" s="32"/>
      <x:c r="G181" s="74"/>
      <x:c r="H181" s="74"/>
      <x:c r="I181" s="74"/>
      <x:c r="J181" s="74"/>
      <x:c r="K181" s="74"/>
      <x:c r="L181" s="74"/>
      <x:c r="M181" s="91"/>
      <x:c r="N181" s="91"/>
      <x:c r="O181" s="85"/>
      <x:c r="Q181" s="86"/>
      <x:c r="R181" s="86"/>
      <x:c r="S181" s="32"/>
    </x:row>
    <x:row r="182">
      <x:c r="A182" s="87"/>
      <x:c r="B182" s="88"/>
      <x:c r="D182" s="32"/>
      <x:c r="G182" s="74"/>
      <x:c r="H182" s="74"/>
      <x:c r="I182" s="74"/>
      <x:c r="J182" s="74"/>
      <x:c r="K182" s="74"/>
      <x:c r="L182" s="74"/>
      <x:c r="M182" s="91"/>
      <x:c r="N182" s="91"/>
      <x:c r="O182" s="85"/>
      <x:c r="Q182" s="86"/>
      <x:c r="R182" s="86"/>
      <x:c r="S182" s="32"/>
    </x:row>
    <x:row r="183">
      <x:c r="A183" s="87"/>
      <x:c r="B183" s="88"/>
      <x:c r="D183" s="32"/>
      <x:c r="G183" s="74"/>
      <x:c r="H183" s="74"/>
      <x:c r="I183" s="74"/>
      <x:c r="J183" s="74"/>
      <x:c r="K183" s="74"/>
      <x:c r="L183" s="74"/>
      <x:c r="M183" s="91"/>
      <x:c r="N183" s="91"/>
      <x:c r="O183" s="85"/>
      <x:c r="Q183" s="86"/>
      <x:c r="R183" s="86"/>
      <x:c r="S183" s="32"/>
    </x:row>
    <x:row r="184">
      <x:c r="A184" s="87"/>
      <x:c r="B184" s="88"/>
      <x:c r="D184" s="32"/>
      <x:c r="G184" s="74"/>
      <x:c r="H184" s="74"/>
      <x:c r="I184" s="74"/>
      <x:c r="J184" s="74"/>
      <x:c r="K184" s="74"/>
      <x:c r="L184" s="74"/>
      <x:c r="M184" s="91"/>
      <x:c r="N184" s="91"/>
      <x:c r="O184" s="85"/>
      <x:c r="Q184" s="86"/>
      <x:c r="R184" s="86"/>
      <x:c r="S184" s="32"/>
    </x:row>
    <x:row r="185">
      <x:c r="A185" s="87"/>
      <x:c r="B185" s="88"/>
      <x:c r="D185" s="32"/>
      <x:c r="G185" s="74"/>
      <x:c r="H185" s="74"/>
      <x:c r="I185" s="74"/>
      <x:c r="J185" s="74"/>
      <x:c r="K185" s="74"/>
      <x:c r="L185" s="74"/>
      <x:c r="M185" s="91"/>
      <x:c r="N185" s="91"/>
      <x:c r="O185" s="85"/>
      <x:c r="Q185" s="86"/>
      <x:c r="R185" s="86"/>
      <x:c r="S185" s="32"/>
    </x:row>
    <x:row r="186">
      <x:c r="A186" s="87"/>
      <x:c r="B186" s="88"/>
      <x:c r="D186" s="32"/>
      <x:c r="G186" s="74"/>
      <x:c r="H186" s="74"/>
      <x:c r="I186" s="74"/>
      <x:c r="J186" s="74"/>
      <x:c r="K186" s="74"/>
      <x:c r="L186" s="74"/>
      <x:c r="M186" s="91"/>
      <x:c r="N186" s="91"/>
      <x:c r="O186" s="85"/>
      <x:c r="Q186" s="86"/>
      <x:c r="R186" s="86"/>
      <x:c r="S186" s="32"/>
    </x:row>
    <x:row r="187">
      <x:c r="A187" s="87"/>
      <x:c r="B187" s="88"/>
      <x:c r="D187" s="32"/>
      <x:c r="G187" s="74"/>
      <x:c r="H187" s="74"/>
      <x:c r="I187" s="74"/>
      <x:c r="J187" s="74"/>
      <x:c r="K187" s="74"/>
      <x:c r="L187" s="74"/>
      <x:c r="M187" s="91"/>
      <x:c r="N187" s="91"/>
      <x:c r="O187" s="85"/>
      <x:c r="Q187" s="86"/>
      <x:c r="R187" s="86"/>
      <x:c r="S187" s="32"/>
    </x:row>
    <x:row r="188">
      <x:c r="A188" s="87"/>
      <x:c r="B188" s="88"/>
      <x:c r="D188" s="32"/>
      <x:c r="G188" s="74"/>
      <x:c r="H188" s="74"/>
      <x:c r="I188" s="74"/>
      <x:c r="J188" s="74"/>
      <x:c r="K188" s="74"/>
      <x:c r="L188" s="74"/>
      <x:c r="M188" s="91"/>
      <x:c r="N188" s="91"/>
      <x:c r="O188" s="85"/>
      <x:c r="Q188" s="86"/>
      <x:c r="R188" s="86"/>
      <x:c r="S188" s="32"/>
    </x:row>
    <x:row r="189">
      <x:c r="A189" s="87"/>
      <x:c r="B189" s="88"/>
      <x:c r="D189" s="32"/>
      <x:c r="G189" s="74"/>
      <x:c r="H189" s="74"/>
      <x:c r="I189" s="74"/>
      <x:c r="J189" s="74"/>
      <x:c r="K189" s="74"/>
      <x:c r="L189" s="74"/>
      <x:c r="M189" s="91"/>
      <x:c r="N189" s="91"/>
      <x:c r="O189" s="85"/>
      <x:c r="Q189" s="86"/>
      <x:c r="R189" s="86"/>
      <x:c r="S189" s="32"/>
    </x:row>
    <x:row r="190">
      <x:c r="A190" s="87"/>
      <x:c r="B190" s="88"/>
      <x:c r="D190" s="32"/>
      <x:c r="G190" s="74"/>
      <x:c r="H190" s="74"/>
      <x:c r="I190" s="74"/>
      <x:c r="J190" s="74"/>
      <x:c r="K190" s="74"/>
      <x:c r="L190" s="74"/>
      <x:c r="M190" s="91"/>
      <x:c r="N190" s="91"/>
      <x:c r="O190" s="85"/>
      <x:c r="Q190" s="86"/>
      <x:c r="R190" s="86"/>
      <x:c r="S190" s="32"/>
    </x:row>
    <x:row r="191">
      <x:c r="A191" s="87"/>
      <x:c r="B191" s="88"/>
      <x:c r="D191" s="32"/>
      <x:c r="G191" s="74"/>
      <x:c r="H191" s="74"/>
      <x:c r="I191" s="74"/>
      <x:c r="J191" s="74"/>
      <x:c r="K191" s="74"/>
      <x:c r="L191" s="74"/>
      <x:c r="M191" s="91"/>
      <x:c r="N191" s="91"/>
      <x:c r="O191" s="85"/>
      <x:c r="Q191" s="86"/>
      <x:c r="R191" s="86"/>
      <x:c r="S191" s="32"/>
    </x:row>
    <x:row r="192">
      <x:c r="A192" s="87"/>
      <x:c r="B192" s="88"/>
      <x:c r="D192" s="32"/>
      <x:c r="G192" s="74"/>
      <x:c r="H192" s="74"/>
      <x:c r="I192" s="74"/>
      <x:c r="J192" s="74"/>
      <x:c r="K192" s="74"/>
      <x:c r="L192" s="74"/>
      <x:c r="M192" s="91"/>
      <x:c r="N192" s="91"/>
      <x:c r="O192" s="85"/>
      <x:c r="Q192" s="86"/>
      <x:c r="R192" s="86"/>
      <x:c r="S192" s="32"/>
    </x:row>
    <x:row r="193">
      <x:c r="A193" s="87"/>
      <x:c r="B193" s="88"/>
      <x:c r="D193" s="32"/>
      <x:c r="G193" s="74"/>
      <x:c r="H193" s="74"/>
      <x:c r="I193" s="74"/>
      <x:c r="J193" s="74"/>
      <x:c r="K193" s="74"/>
      <x:c r="L193" s="74"/>
      <x:c r="M193" s="91"/>
      <x:c r="N193" s="91"/>
      <x:c r="O193" s="85"/>
      <x:c r="Q193" s="86"/>
      <x:c r="R193" s="86"/>
      <x:c r="S193" s="32"/>
    </x:row>
    <x:row r="194">
      <x:c r="A194" s="87"/>
      <x:c r="B194" s="88"/>
      <x:c r="D194" s="32"/>
      <x:c r="G194" s="74"/>
      <x:c r="H194" s="74"/>
      <x:c r="I194" s="74"/>
      <x:c r="J194" s="74"/>
      <x:c r="K194" s="74"/>
      <x:c r="L194" s="74"/>
      <x:c r="M194" s="91"/>
      <x:c r="N194" s="91"/>
      <x:c r="O194" s="85"/>
      <x:c r="Q194" s="86"/>
      <x:c r="R194" s="86"/>
      <x:c r="S194" s="32"/>
    </x:row>
    <x:row r="195">
      <x:c r="A195" s="87"/>
      <x:c r="B195" s="88"/>
      <x:c r="D195" s="32"/>
      <x:c r="G195" s="74"/>
      <x:c r="H195" s="74"/>
      <x:c r="I195" s="74"/>
      <x:c r="J195" s="74"/>
      <x:c r="K195" s="74"/>
      <x:c r="L195" s="74"/>
      <x:c r="M195" s="91"/>
      <x:c r="N195" s="91"/>
      <x:c r="O195" s="85"/>
      <x:c r="Q195" s="86"/>
      <x:c r="R195" s="86"/>
      <x:c r="S195" s="32"/>
    </x:row>
    <x:row r="196">
      <x:c r="A196" s="87"/>
      <x:c r="B196" s="88"/>
      <x:c r="D196" s="32"/>
      <x:c r="G196" s="74"/>
      <x:c r="H196" s="74"/>
      <x:c r="I196" s="74"/>
      <x:c r="J196" s="74"/>
      <x:c r="K196" s="74"/>
      <x:c r="L196" s="74"/>
      <x:c r="M196" s="91"/>
      <x:c r="N196" s="91"/>
      <x:c r="O196" s="85"/>
      <x:c r="Q196" s="86"/>
      <x:c r="R196" s="86"/>
      <x:c r="S196" s="32"/>
    </x:row>
    <x:row r="197">
      <x:c r="A197" s="87"/>
      <x:c r="B197" s="88"/>
      <x:c r="D197" s="32"/>
      <x:c r="G197" s="74"/>
      <x:c r="H197" s="74"/>
      <x:c r="I197" s="74"/>
      <x:c r="J197" s="74"/>
      <x:c r="K197" s="74"/>
      <x:c r="L197" s="74"/>
      <x:c r="M197" s="91"/>
      <x:c r="N197" s="91"/>
      <x:c r="O197" s="85"/>
      <x:c r="Q197" s="86"/>
      <x:c r="R197" s="86"/>
      <x:c r="S197" s="32"/>
    </x:row>
    <x:row r="198">
      <x:c r="A198" s="87"/>
      <x:c r="B198" s="88"/>
      <x:c r="D198" s="32"/>
      <x:c r="G198" s="74"/>
      <x:c r="H198" s="74"/>
      <x:c r="I198" s="74"/>
      <x:c r="J198" s="74"/>
      <x:c r="K198" s="74"/>
      <x:c r="L198" s="74"/>
      <x:c r="M198" s="91"/>
      <x:c r="N198" s="91"/>
      <x:c r="O198" s="85"/>
      <x:c r="Q198" s="86"/>
      <x:c r="R198" s="86"/>
      <x:c r="S198" s="32"/>
    </x:row>
    <x:row r="199">
      <x:c r="A199" s="87"/>
      <x:c r="B199" s="88"/>
      <x:c r="D199" s="32"/>
      <x:c r="G199" s="74"/>
      <x:c r="H199" s="74"/>
      <x:c r="I199" s="74"/>
      <x:c r="J199" s="74"/>
      <x:c r="K199" s="74"/>
      <x:c r="L199" s="74"/>
      <x:c r="M199" s="91"/>
      <x:c r="N199" s="91"/>
      <x:c r="O199" s="85"/>
      <x:c r="Q199" s="86"/>
      <x:c r="R199" s="86"/>
      <x:c r="S199" s="32"/>
    </x:row>
    <x:row r="200">
      <x:c r="A200" s="87"/>
      <x:c r="B200" s="88"/>
      <x:c r="D200" s="32"/>
      <x:c r="G200" s="74"/>
      <x:c r="H200" s="74"/>
      <x:c r="I200" s="74"/>
      <x:c r="J200" s="74"/>
      <x:c r="K200" s="74"/>
      <x:c r="L200" s="74"/>
      <x:c r="M200" s="91"/>
      <x:c r="N200" s="91"/>
      <x:c r="O200" s="85"/>
      <x:c r="Q200" s="86"/>
      <x:c r="R200" s="86"/>
      <x:c r="S200" s="32"/>
    </x:row>
    <x:row r="201">
      <x:c r="A201" s="87"/>
      <x:c r="B201" s="88"/>
      <x:c r="D201" s="32"/>
      <x:c r="G201" s="74"/>
      <x:c r="H201" s="74"/>
      <x:c r="I201" s="74"/>
      <x:c r="J201" s="74"/>
      <x:c r="K201" s="74"/>
      <x:c r="L201" s="74"/>
      <x:c r="M201" s="91"/>
      <x:c r="N201" s="91"/>
      <x:c r="O201" s="85"/>
      <x:c r="Q201" s="86"/>
      <x:c r="R201" s="86"/>
      <x:c r="S201" s="32"/>
    </x:row>
    <x:row r="202">
      <x:c r="A202" s="87"/>
      <x:c r="B202" s="88"/>
      <x:c r="D202" s="32"/>
      <x:c r="G202" s="74"/>
      <x:c r="H202" s="74"/>
      <x:c r="I202" s="74"/>
      <x:c r="J202" s="74"/>
      <x:c r="K202" s="74"/>
      <x:c r="L202" s="74"/>
      <x:c r="M202" s="91"/>
      <x:c r="N202" s="91"/>
      <x:c r="O202" s="85"/>
      <x:c r="Q202" s="86"/>
      <x:c r="R202" s="86"/>
      <x:c r="S202" s="32"/>
    </x:row>
    <x:row r="203">
      <x:c r="A203" s="87"/>
      <x:c r="B203" s="88"/>
      <x:c r="D203" s="32"/>
      <x:c r="G203" s="74"/>
      <x:c r="H203" s="74"/>
      <x:c r="I203" s="74"/>
      <x:c r="J203" s="74"/>
      <x:c r="K203" s="74"/>
      <x:c r="L203" s="74"/>
      <x:c r="M203" s="91"/>
      <x:c r="N203" s="91"/>
      <x:c r="O203" s="85"/>
      <x:c r="Q203" s="86"/>
      <x:c r="R203" s="86"/>
      <x:c r="S203" s="32"/>
    </x:row>
    <x:row r="204">
      <x:c r="A204" s="87"/>
      <x:c r="B204" s="88"/>
      <x:c r="D204" s="32"/>
      <x:c r="G204" s="74"/>
      <x:c r="H204" s="74"/>
      <x:c r="I204" s="74"/>
      <x:c r="J204" s="74"/>
      <x:c r="K204" s="74"/>
      <x:c r="L204" s="74"/>
      <x:c r="M204" s="91"/>
      <x:c r="N204" s="91"/>
      <x:c r="O204" s="85"/>
      <x:c r="Q204" s="86"/>
      <x:c r="R204" s="86"/>
      <x:c r="S204" s="32"/>
    </x:row>
    <x:row r="205">
      <x:c r="A205" s="87"/>
      <x:c r="B205" s="88"/>
      <x:c r="D205" s="32"/>
      <x:c r="G205" s="74"/>
      <x:c r="H205" s="74"/>
      <x:c r="I205" s="74"/>
      <x:c r="J205" s="74"/>
      <x:c r="K205" s="74"/>
      <x:c r="L205" s="74"/>
      <x:c r="M205" s="91"/>
      <x:c r="N205" s="91"/>
      <x:c r="O205" s="85"/>
      <x:c r="Q205" s="86"/>
      <x:c r="R205" s="86"/>
      <x:c r="S205" s="32"/>
    </x:row>
    <x:row r="206">
      <x:c r="A206" s="87"/>
      <x:c r="B206" s="88"/>
      <x:c r="D206" s="32"/>
      <x:c r="G206" s="74"/>
      <x:c r="H206" s="74"/>
      <x:c r="I206" s="74"/>
      <x:c r="J206" s="74"/>
      <x:c r="K206" s="74"/>
      <x:c r="L206" s="74"/>
      <x:c r="M206" s="91"/>
      <x:c r="N206" s="91"/>
      <x:c r="O206" s="85"/>
      <x:c r="Q206" s="86"/>
      <x:c r="R206" s="86"/>
      <x:c r="S206" s="32"/>
    </x:row>
    <x:row r="207">
      <x:c r="A207" s="87"/>
      <x:c r="B207" s="88"/>
      <x:c r="D207" s="32"/>
      <x:c r="G207" s="74"/>
      <x:c r="H207" s="74"/>
      <x:c r="I207" s="74"/>
      <x:c r="J207" s="74"/>
      <x:c r="K207" s="74"/>
      <x:c r="L207" s="74"/>
      <x:c r="M207" s="91"/>
      <x:c r="N207" s="91"/>
      <x:c r="O207" s="85"/>
      <x:c r="Q207" s="86"/>
      <x:c r="R207" s="86"/>
      <x:c r="S207" s="32"/>
    </x:row>
    <x:row r="208">
      <x:c r="A208" s="87"/>
      <x:c r="B208" s="88"/>
      <x:c r="D208" s="32"/>
      <x:c r="G208" s="74"/>
      <x:c r="H208" s="74"/>
      <x:c r="I208" s="74"/>
      <x:c r="J208" s="74"/>
      <x:c r="K208" s="74"/>
      <x:c r="L208" s="74"/>
      <x:c r="M208" s="91"/>
      <x:c r="N208" s="91"/>
      <x:c r="O208" s="85"/>
      <x:c r="Q208" s="86"/>
      <x:c r="R208" s="86"/>
      <x:c r="S208" s="32"/>
    </x:row>
    <x:row r="209">
      <x:c r="A209" s="87"/>
      <x:c r="B209" s="88"/>
      <x:c r="D209" s="32"/>
      <x:c r="G209" s="74"/>
      <x:c r="H209" s="74"/>
      <x:c r="I209" s="74"/>
      <x:c r="J209" s="74"/>
      <x:c r="K209" s="74"/>
      <x:c r="L209" s="74"/>
      <x:c r="M209" s="91"/>
      <x:c r="N209" s="91"/>
      <x:c r="O209" s="85"/>
      <x:c r="Q209" s="86"/>
      <x:c r="R209" s="86"/>
      <x:c r="S209" s="32"/>
    </x:row>
    <x:row r="210">
      <x:c r="A210" s="87"/>
      <x:c r="B210" s="88"/>
      <x:c r="D210" s="32"/>
      <x:c r="G210" s="74"/>
      <x:c r="H210" s="74"/>
      <x:c r="I210" s="74"/>
      <x:c r="J210" s="74"/>
      <x:c r="K210" s="74"/>
      <x:c r="L210" s="74"/>
      <x:c r="M210" s="91"/>
      <x:c r="N210" s="91"/>
      <x:c r="O210" s="85"/>
      <x:c r="Q210" s="86"/>
      <x:c r="R210" s="86"/>
      <x:c r="S210" s="32"/>
    </x:row>
    <x:row r="211">
      <x:c r="A211" s="87"/>
      <x:c r="B211" s="88"/>
      <x:c r="D211" s="32"/>
      <x:c r="G211" s="74"/>
      <x:c r="H211" s="74"/>
      <x:c r="I211" s="74"/>
      <x:c r="J211" s="74"/>
      <x:c r="K211" s="74"/>
      <x:c r="L211" s="74"/>
      <x:c r="M211" s="91"/>
      <x:c r="N211" s="91"/>
      <x:c r="O211" s="85"/>
      <x:c r="Q211" s="86"/>
      <x:c r="R211" s="86"/>
      <x:c r="S211" s="32"/>
    </x:row>
    <x:row r="212">
      <x:c r="A212" s="87"/>
      <x:c r="B212" s="88"/>
      <x:c r="D212" s="32"/>
      <x:c r="G212" s="74"/>
      <x:c r="H212" s="74"/>
      <x:c r="I212" s="74"/>
      <x:c r="J212" s="74"/>
      <x:c r="K212" s="74"/>
      <x:c r="L212" s="74"/>
      <x:c r="M212" s="91"/>
      <x:c r="N212" s="91"/>
      <x:c r="O212" s="85"/>
      <x:c r="Q212" s="86"/>
      <x:c r="R212" s="86"/>
      <x:c r="S212" s="32"/>
    </x:row>
    <x:row r="213">
      <x:c r="A213" s="87"/>
      <x:c r="B213" s="88"/>
      <x:c r="D213" s="32"/>
      <x:c r="G213" s="74"/>
      <x:c r="H213" s="74"/>
      <x:c r="I213" s="74"/>
      <x:c r="J213" s="74"/>
      <x:c r="K213" s="74"/>
      <x:c r="L213" s="74"/>
      <x:c r="M213" s="91"/>
      <x:c r="N213" s="91"/>
      <x:c r="O213" s="85"/>
      <x:c r="Q213" s="86"/>
      <x:c r="R213" s="86"/>
      <x:c r="S213" s="32"/>
    </x:row>
    <x:row r="214">
      <x:c r="A214" s="87"/>
      <x:c r="B214" s="88"/>
      <x:c r="D214" s="32"/>
      <x:c r="G214" s="74"/>
      <x:c r="H214" s="74"/>
      <x:c r="I214" s="74"/>
      <x:c r="J214" s="74"/>
      <x:c r="K214" s="74"/>
      <x:c r="L214" s="74"/>
      <x:c r="M214" s="91"/>
      <x:c r="N214" s="91"/>
      <x:c r="O214" s="85"/>
      <x:c r="Q214" s="86"/>
      <x:c r="R214" s="86"/>
      <x:c r="S214" s="32"/>
    </x:row>
    <x:row r="215">
      <x:c r="A215" s="87"/>
      <x:c r="B215" s="88"/>
      <x:c r="D215" s="32"/>
      <x:c r="G215" s="74"/>
      <x:c r="H215" s="74"/>
      <x:c r="I215" s="74"/>
      <x:c r="J215" s="74"/>
      <x:c r="K215" s="74"/>
      <x:c r="L215" s="74"/>
      <x:c r="M215" s="91"/>
      <x:c r="N215" s="91"/>
      <x:c r="O215" s="85"/>
      <x:c r="Q215" s="86"/>
      <x:c r="R215" s="86"/>
      <x:c r="S215" s="32"/>
    </x:row>
    <x:row r="216">
      <x:c r="A216" s="87"/>
      <x:c r="B216" s="88"/>
      <x:c r="D216" s="32"/>
      <x:c r="G216" s="74"/>
      <x:c r="H216" s="74"/>
      <x:c r="I216" s="74"/>
      <x:c r="J216" s="74"/>
      <x:c r="K216" s="74"/>
      <x:c r="L216" s="74"/>
      <x:c r="M216" s="91"/>
      <x:c r="N216" s="91"/>
      <x:c r="O216" s="85"/>
      <x:c r="Q216" s="86"/>
      <x:c r="R216" s="86"/>
      <x:c r="S216" s="32"/>
    </x:row>
    <x:row r="217">
      <x:c r="A217" s="87"/>
      <x:c r="B217" s="88"/>
      <x:c r="D217" s="32"/>
      <x:c r="G217" s="74"/>
      <x:c r="H217" s="74"/>
      <x:c r="I217" s="74"/>
      <x:c r="J217" s="74"/>
      <x:c r="K217" s="74"/>
      <x:c r="L217" s="74"/>
      <x:c r="M217" s="91"/>
      <x:c r="N217" s="91"/>
      <x:c r="O217" s="85"/>
      <x:c r="Q217" s="86"/>
      <x:c r="R217" s="86"/>
      <x:c r="S217" s="32"/>
    </x:row>
    <x:row r="218">
      <x:c r="A218" s="87"/>
      <x:c r="B218" s="88"/>
      <x:c r="D218" s="32"/>
      <x:c r="G218" s="74"/>
      <x:c r="H218" s="74"/>
      <x:c r="I218" s="74"/>
      <x:c r="J218" s="74"/>
      <x:c r="K218" s="74"/>
      <x:c r="L218" s="74"/>
      <x:c r="M218" s="91"/>
      <x:c r="N218" s="91"/>
      <x:c r="O218" s="85"/>
      <x:c r="Q218" s="86"/>
      <x:c r="R218" s="86"/>
      <x:c r="S218" s="32"/>
    </x:row>
    <x:row r="219">
      <x:c r="A219" s="87"/>
      <x:c r="B219" s="88"/>
      <x:c r="D219" s="32"/>
      <x:c r="G219" s="74"/>
      <x:c r="H219" s="74"/>
      <x:c r="I219" s="74"/>
      <x:c r="J219" s="74"/>
      <x:c r="K219" s="74"/>
      <x:c r="L219" s="74"/>
      <x:c r="M219" s="91"/>
      <x:c r="N219" s="91"/>
      <x:c r="O219" s="85"/>
      <x:c r="Q219" s="86"/>
      <x:c r="R219" s="86"/>
      <x:c r="S219" s="32"/>
    </x:row>
    <x:row r="220">
      <x:c r="A220" s="87"/>
      <x:c r="B220" s="88"/>
      <x:c r="D220" s="32"/>
      <x:c r="G220" s="74"/>
      <x:c r="H220" s="74"/>
      <x:c r="I220" s="74"/>
      <x:c r="J220" s="74"/>
      <x:c r="K220" s="74"/>
      <x:c r="L220" s="74"/>
      <x:c r="M220" s="91"/>
      <x:c r="N220" s="91"/>
      <x:c r="O220" s="85"/>
      <x:c r="Q220" s="86"/>
      <x:c r="R220" s="86"/>
      <x:c r="S220" s="32"/>
    </x:row>
    <x:row r="221">
      <x:c r="A221" s="87"/>
      <x:c r="B221" s="88"/>
      <x:c r="D221" s="32"/>
      <x:c r="G221" s="74"/>
      <x:c r="H221" s="74"/>
      <x:c r="I221" s="74"/>
      <x:c r="J221" s="74"/>
      <x:c r="K221" s="74"/>
      <x:c r="L221" s="74"/>
      <x:c r="M221" s="91"/>
      <x:c r="N221" s="91"/>
      <x:c r="O221" s="85"/>
      <x:c r="Q221" s="86"/>
      <x:c r="R221" s="86"/>
      <x:c r="S221" s="32"/>
    </x:row>
    <x:row r="222">
      <x:c r="A222" s="87"/>
      <x:c r="B222" s="88"/>
      <x:c r="D222" s="32"/>
      <x:c r="G222" s="74"/>
      <x:c r="H222" s="74"/>
      <x:c r="I222" s="74"/>
      <x:c r="J222" s="74"/>
      <x:c r="K222" s="74"/>
      <x:c r="L222" s="74"/>
      <x:c r="M222" s="91"/>
      <x:c r="N222" s="91"/>
      <x:c r="O222" s="85"/>
      <x:c r="Q222" s="86"/>
      <x:c r="R222" s="86"/>
      <x:c r="S222" s="32"/>
    </x:row>
    <x:row r="223">
      <x:c r="A223" s="87"/>
      <x:c r="B223" s="88"/>
      <x:c r="D223" s="32"/>
      <x:c r="G223" s="74"/>
      <x:c r="H223" s="74"/>
      <x:c r="I223" s="74"/>
      <x:c r="J223" s="74"/>
      <x:c r="K223" s="74"/>
      <x:c r="L223" s="74"/>
      <x:c r="M223" s="91"/>
      <x:c r="N223" s="91"/>
      <x:c r="O223" s="85"/>
      <x:c r="Q223" s="86"/>
      <x:c r="R223" s="86"/>
      <x:c r="S223" s="32"/>
    </x:row>
    <x:row r="224">
      <x:c r="A224" s="87"/>
      <x:c r="B224" s="88"/>
      <x:c r="D224" s="32"/>
      <x:c r="G224" s="74"/>
      <x:c r="H224" s="74"/>
      <x:c r="I224" s="74"/>
      <x:c r="J224" s="74"/>
      <x:c r="K224" s="74"/>
      <x:c r="L224" s="74"/>
      <x:c r="M224" s="91"/>
      <x:c r="N224" s="91"/>
      <x:c r="O224" s="85"/>
      <x:c r="Q224" s="86"/>
      <x:c r="R224" s="86"/>
      <x:c r="S224" s="32"/>
    </x:row>
    <x:row r="225">
      <x:c r="A225" s="87"/>
      <x:c r="B225" s="88"/>
      <x:c r="D225" s="32"/>
      <x:c r="G225" s="74"/>
      <x:c r="H225" s="74"/>
      <x:c r="I225" s="74"/>
      <x:c r="J225" s="74"/>
      <x:c r="K225" s="74"/>
      <x:c r="L225" s="74"/>
      <x:c r="M225" s="91"/>
      <x:c r="N225" s="91"/>
      <x:c r="O225" s="85"/>
      <x:c r="Q225" s="86"/>
      <x:c r="R225" s="86"/>
      <x:c r="S225" s="32"/>
    </x:row>
    <x:row r="226">
      <x:c r="A226" s="87"/>
      <x:c r="B226" s="88"/>
      <x:c r="D226" s="32"/>
      <x:c r="G226" s="74"/>
      <x:c r="H226" s="74"/>
      <x:c r="I226" s="74"/>
      <x:c r="J226" s="74"/>
      <x:c r="K226" s="74"/>
      <x:c r="L226" s="74"/>
      <x:c r="M226" s="91"/>
      <x:c r="N226" s="91"/>
      <x:c r="O226" s="85"/>
      <x:c r="Q226" s="86"/>
      <x:c r="R226" s="86"/>
      <x:c r="S226" s="32"/>
    </x:row>
    <x:row r="227">
      <x:c r="A227" s="87"/>
      <x:c r="B227" s="88"/>
      <x:c r="D227" s="32"/>
      <x:c r="G227" s="74"/>
      <x:c r="H227" s="74"/>
      <x:c r="I227" s="74"/>
      <x:c r="J227" s="74"/>
      <x:c r="K227" s="74"/>
      <x:c r="L227" s="74"/>
      <x:c r="M227" s="91"/>
      <x:c r="N227" s="91"/>
      <x:c r="O227" s="85"/>
      <x:c r="Q227" s="86"/>
      <x:c r="R227" s="86"/>
      <x:c r="S227" s="32"/>
    </x:row>
    <x:row r="228">
      <x:c r="A228" s="87"/>
      <x:c r="B228" s="88"/>
      <x:c r="D228" s="32"/>
      <x:c r="G228" s="74"/>
      <x:c r="H228" s="74"/>
      <x:c r="I228" s="74"/>
      <x:c r="J228" s="74"/>
      <x:c r="K228" s="74"/>
      <x:c r="L228" s="74"/>
      <x:c r="M228" s="91"/>
      <x:c r="N228" s="91"/>
      <x:c r="O228" s="85"/>
      <x:c r="Q228" s="86"/>
      <x:c r="R228" s="86"/>
      <x:c r="S228" s="32"/>
    </x:row>
    <x:row r="229">
      <x:c r="A229" s="87"/>
      <x:c r="B229" s="88"/>
      <x:c r="D229" s="32"/>
      <x:c r="G229" s="74"/>
      <x:c r="H229" s="74"/>
      <x:c r="I229" s="74"/>
      <x:c r="J229" s="74"/>
      <x:c r="K229" s="74"/>
      <x:c r="L229" s="74"/>
      <x:c r="M229" s="91"/>
      <x:c r="N229" s="91"/>
      <x:c r="O229" s="85"/>
      <x:c r="Q229" s="86"/>
      <x:c r="R229" s="86"/>
      <x:c r="S229" s="32"/>
    </x:row>
    <x:row r="230">
      <x:c r="A230" s="87"/>
      <x:c r="B230" s="88"/>
      <x:c r="D230" s="32"/>
      <x:c r="G230" s="74"/>
      <x:c r="H230" s="74"/>
      <x:c r="I230" s="74"/>
      <x:c r="J230" s="74"/>
      <x:c r="K230" s="74"/>
      <x:c r="L230" s="74"/>
      <x:c r="M230" s="91"/>
      <x:c r="N230" s="91"/>
      <x:c r="O230" s="85"/>
      <x:c r="Q230" s="86"/>
      <x:c r="R230" s="86"/>
      <x:c r="S230" s="32"/>
    </x:row>
    <x:row r="231">
      <x:c r="A231" s="87"/>
      <x:c r="B231" s="88"/>
      <x:c r="D231" s="32"/>
      <x:c r="G231" s="74"/>
      <x:c r="H231" s="74"/>
      <x:c r="I231" s="74"/>
      <x:c r="J231" s="74"/>
      <x:c r="K231" s="74"/>
      <x:c r="L231" s="74"/>
      <x:c r="M231" s="91"/>
      <x:c r="N231" s="91"/>
      <x:c r="O231" s="85"/>
      <x:c r="Q231" s="86"/>
      <x:c r="R231" s="86"/>
      <x:c r="S231" s="32"/>
    </x:row>
    <x:row r="232">
      <x:c r="A232" s="87"/>
      <x:c r="B232" s="88"/>
      <x:c r="D232" s="32"/>
      <x:c r="G232" s="74"/>
      <x:c r="H232" s="74"/>
      <x:c r="I232" s="74"/>
      <x:c r="J232" s="74"/>
      <x:c r="K232" s="74"/>
      <x:c r="L232" s="74"/>
      <x:c r="M232" s="91"/>
      <x:c r="N232" s="91"/>
      <x:c r="O232" s="85"/>
      <x:c r="Q232" s="86"/>
      <x:c r="R232" s="86"/>
      <x:c r="S232" s="32"/>
    </x:row>
    <x:row r="233">
      <x:c r="A233" s="87"/>
      <x:c r="B233" s="88"/>
      <x:c r="D233" s="32"/>
      <x:c r="G233" s="74"/>
      <x:c r="H233" s="74"/>
      <x:c r="I233" s="74"/>
      <x:c r="J233" s="74"/>
      <x:c r="K233" s="74"/>
      <x:c r="L233" s="74"/>
      <x:c r="M233" s="91"/>
      <x:c r="N233" s="91"/>
      <x:c r="O233" s="85"/>
      <x:c r="Q233" s="86"/>
      <x:c r="R233" s="86"/>
      <x:c r="S233" s="32"/>
    </x:row>
    <x:row r="234">
      <x:c r="A234" s="87"/>
      <x:c r="B234" s="88"/>
      <x:c r="D234" s="32"/>
      <x:c r="G234" s="74"/>
      <x:c r="H234" s="74"/>
      <x:c r="I234" s="74"/>
      <x:c r="J234" s="74"/>
      <x:c r="K234" s="74"/>
      <x:c r="L234" s="74"/>
      <x:c r="M234" s="91"/>
      <x:c r="N234" s="91"/>
      <x:c r="O234" s="85"/>
      <x:c r="Q234" s="86"/>
      <x:c r="R234" s="86"/>
      <x:c r="S234" s="32"/>
    </x:row>
    <x:row r="235">
      <x:c r="A235" s="87"/>
      <x:c r="B235" s="88"/>
      <x:c r="D235" s="32"/>
      <x:c r="G235" s="74"/>
      <x:c r="H235" s="74"/>
      <x:c r="I235" s="74"/>
      <x:c r="J235" s="74"/>
      <x:c r="K235" s="74"/>
      <x:c r="L235" s="74"/>
      <x:c r="M235" s="91"/>
      <x:c r="N235" s="91"/>
      <x:c r="O235" s="85"/>
      <x:c r="Q235" s="86"/>
      <x:c r="R235" s="86"/>
      <x:c r="S235" s="32"/>
    </x:row>
    <x:row r="236">
      <x:c r="A236" s="87"/>
      <x:c r="B236" s="88"/>
      <x:c r="D236" s="32"/>
      <x:c r="G236" s="74"/>
      <x:c r="H236" s="74"/>
      <x:c r="I236" s="74"/>
      <x:c r="J236" s="74"/>
      <x:c r="K236" s="74"/>
      <x:c r="L236" s="74"/>
      <x:c r="M236" s="91"/>
      <x:c r="N236" s="91"/>
      <x:c r="O236" s="85"/>
      <x:c r="Q236" s="86"/>
      <x:c r="R236" s="86"/>
      <x:c r="S236" s="32"/>
    </x:row>
    <x:row r="237">
      <x:c r="A237" s="87"/>
      <x:c r="B237" s="88"/>
      <x:c r="D237" s="32"/>
      <x:c r="G237" s="74"/>
      <x:c r="H237" s="74"/>
      <x:c r="I237" s="74"/>
      <x:c r="J237" s="74"/>
      <x:c r="K237" s="74"/>
      <x:c r="L237" s="74"/>
      <x:c r="M237" s="91"/>
      <x:c r="N237" s="91"/>
      <x:c r="O237" s="85"/>
      <x:c r="Q237" s="86"/>
      <x:c r="R237" s="86"/>
      <x:c r="S237" s="32"/>
    </x:row>
    <x:row r="238">
      <x:c r="A238" s="87"/>
      <x:c r="B238" s="88"/>
      <x:c r="D238" s="32"/>
      <x:c r="G238" s="74"/>
      <x:c r="H238" s="74"/>
      <x:c r="I238" s="74"/>
      <x:c r="J238" s="74"/>
      <x:c r="K238" s="74"/>
      <x:c r="L238" s="74"/>
      <x:c r="M238" s="91"/>
      <x:c r="N238" s="91"/>
      <x:c r="O238" s="85"/>
      <x:c r="Q238" s="86"/>
      <x:c r="R238" s="86"/>
      <x:c r="S238" s="32"/>
    </x:row>
    <x:row r="239">
      <x:c r="A239" s="87"/>
      <x:c r="B239" s="88"/>
      <x:c r="D239" s="32"/>
      <x:c r="G239" s="74"/>
      <x:c r="H239" s="74"/>
      <x:c r="I239" s="74"/>
      <x:c r="J239" s="74"/>
      <x:c r="K239" s="74"/>
      <x:c r="L239" s="74"/>
      <x:c r="M239" s="91"/>
      <x:c r="N239" s="91"/>
      <x:c r="O239" s="85"/>
      <x:c r="Q239" s="86"/>
      <x:c r="R239" s="86"/>
      <x:c r="S239" s="32"/>
    </x:row>
    <x:row r="240">
      <x:c r="A240" s="87"/>
      <x:c r="B240" s="88"/>
      <x:c r="D240" s="32"/>
      <x:c r="G240" s="74"/>
      <x:c r="H240" s="74"/>
      <x:c r="I240" s="74"/>
      <x:c r="J240" s="74"/>
      <x:c r="K240" s="74"/>
      <x:c r="L240" s="74"/>
      <x:c r="M240" s="91"/>
      <x:c r="N240" s="91"/>
      <x:c r="O240" s="85"/>
      <x:c r="Q240" s="86"/>
      <x:c r="R240" s="86"/>
      <x:c r="S240" s="32"/>
    </x:row>
    <x:row r="241">
      <x:c r="A241" s="87"/>
      <x:c r="B241" s="88"/>
      <x:c r="D241" s="32"/>
      <x:c r="G241" s="74"/>
      <x:c r="H241" s="74"/>
      <x:c r="I241" s="74"/>
      <x:c r="J241" s="74"/>
      <x:c r="K241" s="74"/>
      <x:c r="L241" s="74"/>
      <x:c r="M241" s="91"/>
      <x:c r="N241" s="91"/>
      <x:c r="O241" s="85"/>
      <x:c r="Q241" s="86"/>
      <x:c r="R241" s="86"/>
      <x:c r="S241" s="32"/>
    </x:row>
    <x:row r="242">
      <x:c r="A242" s="87"/>
      <x:c r="B242" s="88"/>
      <x:c r="D242" s="32"/>
      <x:c r="G242" s="74"/>
      <x:c r="H242" s="74"/>
      <x:c r="I242" s="74"/>
      <x:c r="J242" s="74"/>
      <x:c r="K242" s="74"/>
      <x:c r="L242" s="74"/>
      <x:c r="M242" s="91"/>
      <x:c r="N242" s="91"/>
      <x:c r="O242" s="85"/>
      <x:c r="Q242" s="86"/>
      <x:c r="R242" s="86"/>
      <x:c r="S242" s="32"/>
    </x:row>
    <x:row r="243">
      <x:c r="A243" s="87"/>
      <x:c r="B243" s="88"/>
      <x:c r="D243" s="32"/>
      <x:c r="G243" s="74"/>
      <x:c r="H243" s="74"/>
      <x:c r="I243" s="74"/>
      <x:c r="J243" s="74"/>
      <x:c r="K243" s="74"/>
      <x:c r="L243" s="74"/>
      <x:c r="M243" s="91"/>
      <x:c r="N243" s="91"/>
      <x:c r="O243" s="85"/>
      <x:c r="Q243" s="86"/>
      <x:c r="R243" s="86"/>
      <x:c r="S243" s="32"/>
    </x:row>
    <x:row r="244">
      <x:c r="A244" s="87"/>
      <x:c r="B244" s="88"/>
      <x:c r="D244" s="32"/>
      <x:c r="G244" s="74"/>
      <x:c r="H244" s="74"/>
      <x:c r="I244" s="74"/>
      <x:c r="J244" s="74"/>
      <x:c r="K244" s="74"/>
      <x:c r="L244" s="74"/>
      <x:c r="M244" s="91"/>
      <x:c r="N244" s="91"/>
      <x:c r="O244" s="85"/>
      <x:c r="Q244" s="86"/>
      <x:c r="R244" s="86"/>
      <x:c r="S244" s="32"/>
    </x:row>
    <x:row r="245">
      <x:c r="A245" s="87"/>
      <x:c r="B245" s="88"/>
      <x:c r="D245" s="32"/>
      <x:c r="G245" s="74"/>
      <x:c r="H245" s="74"/>
      <x:c r="I245" s="74"/>
      <x:c r="J245" s="74"/>
      <x:c r="K245" s="74"/>
      <x:c r="L245" s="74"/>
      <x:c r="M245" s="91"/>
      <x:c r="N245" s="91"/>
      <x:c r="O245" s="85"/>
      <x:c r="Q245" s="86"/>
      <x:c r="R245" s="86"/>
      <x:c r="S245" s="32"/>
    </x:row>
    <x:row r="246">
      <x:c r="A246" s="87"/>
      <x:c r="B246" s="88"/>
      <x:c r="D246" s="32"/>
      <x:c r="G246" s="74"/>
      <x:c r="H246" s="74"/>
      <x:c r="I246" s="74"/>
      <x:c r="J246" s="74"/>
      <x:c r="K246" s="74"/>
      <x:c r="L246" s="74"/>
      <x:c r="M246" s="91"/>
      <x:c r="N246" s="91"/>
      <x:c r="O246" s="85"/>
      <x:c r="Q246" s="86"/>
      <x:c r="R246" s="86"/>
      <x:c r="S246" s="32"/>
    </x:row>
    <x:row r="247">
      <x:c r="A247" s="87"/>
      <x:c r="B247" s="88"/>
      <x:c r="D247" s="32"/>
      <x:c r="G247" s="74"/>
      <x:c r="H247" s="74"/>
      <x:c r="I247" s="74"/>
      <x:c r="J247" s="74"/>
      <x:c r="K247" s="74"/>
      <x:c r="L247" s="74"/>
      <x:c r="M247" s="91"/>
      <x:c r="N247" s="91"/>
      <x:c r="O247" s="85"/>
      <x:c r="Q247" s="86"/>
      <x:c r="R247" s="86"/>
      <x:c r="S247" s="32"/>
    </x:row>
    <x:row r="248">
      <x:c r="A248" s="87"/>
      <x:c r="B248" s="88"/>
      <x:c r="D248" s="32"/>
      <x:c r="G248" s="74"/>
      <x:c r="H248" s="74"/>
      <x:c r="I248" s="74"/>
      <x:c r="J248" s="74"/>
      <x:c r="K248" s="74"/>
      <x:c r="L248" s="74"/>
      <x:c r="M248" s="91"/>
      <x:c r="N248" s="91"/>
      <x:c r="O248" s="85"/>
      <x:c r="Q248" s="86"/>
      <x:c r="R248" s="86"/>
      <x:c r="S248" s="32"/>
    </x:row>
    <x:row r="249">
      <x:c r="A249" s="87"/>
      <x:c r="B249" s="88"/>
      <x:c r="D249" s="32"/>
      <x:c r="G249" s="74"/>
      <x:c r="H249" s="74"/>
      <x:c r="I249" s="74"/>
      <x:c r="J249" s="74"/>
      <x:c r="K249" s="74"/>
      <x:c r="L249" s="74"/>
      <x:c r="M249" s="91"/>
      <x:c r="N249" s="91"/>
      <x:c r="O249" s="85"/>
      <x:c r="Q249" s="86"/>
      <x:c r="R249" s="86"/>
      <x:c r="S249" s="32"/>
    </x:row>
    <x:row r="250">
      <x:c r="A250" s="87"/>
      <x:c r="B250" s="88"/>
      <x:c r="D250" s="32"/>
      <x:c r="G250" s="74"/>
      <x:c r="H250" s="74"/>
      <x:c r="I250" s="74"/>
      <x:c r="J250" s="74"/>
      <x:c r="K250" s="74"/>
      <x:c r="L250" s="74"/>
      <x:c r="M250" s="91"/>
      <x:c r="N250" s="91"/>
      <x:c r="O250" s="85"/>
      <x:c r="Q250" s="86"/>
      <x:c r="R250" s="86"/>
      <x:c r="S250" s="32"/>
    </x:row>
    <x:row r="251">
      <x:c r="A251" s="87"/>
      <x:c r="B251" s="88"/>
      <x:c r="D251" s="32"/>
      <x:c r="G251" s="74"/>
      <x:c r="H251" s="74"/>
      <x:c r="I251" s="74"/>
      <x:c r="J251" s="74"/>
      <x:c r="K251" s="74"/>
      <x:c r="L251" s="74"/>
      <x:c r="M251" s="91"/>
      <x:c r="N251" s="91"/>
      <x:c r="O251" s="85"/>
      <x:c r="Q251" s="86"/>
      <x:c r="R251" s="86"/>
      <x:c r="S251" s="32"/>
    </x:row>
    <x:row r="252">
      <x:c r="A252" s="87"/>
      <x:c r="B252" s="88"/>
      <x:c r="D252" s="32"/>
      <x:c r="G252" s="74"/>
      <x:c r="H252" s="74"/>
      <x:c r="I252" s="74"/>
      <x:c r="J252" s="74"/>
      <x:c r="K252" s="74"/>
      <x:c r="L252" s="74"/>
      <x:c r="M252" s="91"/>
      <x:c r="N252" s="91"/>
      <x:c r="O252" s="85"/>
      <x:c r="Q252" s="86"/>
      <x:c r="R252" s="86"/>
      <x:c r="S252" s="32"/>
    </x:row>
    <x:row r="253">
      <x:c r="A253" s="87"/>
      <x:c r="B253" s="88"/>
      <x:c r="D253" s="32"/>
      <x:c r="G253" s="74"/>
      <x:c r="H253" s="74"/>
      <x:c r="I253" s="74"/>
      <x:c r="J253" s="74"/>
      <x:c r="K253" s="74"/>
      <x:c r="L253" s="74"/>
      <x:c r="M253" s="91"/>
      <x:c r="N253" s="91"/>
      <x:c r="O253" s="85"/>
      <x:c r="Q253" s="86"/>
      <x:c r="R253" s="86"/>
      <x:c r="S253" s="32"/>
    </x:row>
    <x:row r="254">
      <x:c r="A254" s="87"/>
      <x:c r="B254" s="88"/>
      <x:c r="D254" s="32"/>
      <x:c r="G254" s="74"/>
      <x:c r="H254" s="74"/>
      <x:c r="I254" s="74"/>
      <x:c r="J254" s="74"/>
      <x:c r="K254" s="74"/>
      <x:c r="L254" s="74"/>
      <x:c r="M254" s="91"/>
      <x:c r="N254" s="91"/>
      <x:c r="O254" s="85"/>
      <x:c r="Q254" s="86"/>
      <x:c r="R254" s="86"/>
      <x:c r="S254" s="32"/>
    </x:row>
    <x:row r="255">
      <x:c r="A255" s="87"/>
      <x:c r="B255" s="88"/>
      <x:c r="D255" s="32"/>
      <x:c r="G255" s="74"/>
      <x:c r="H255" s="74"/>
      <x:c r="I255" s="74"/>
      <x:c r="J255" s="74"/>
      <x:c r="K255" s="74"/>
      <x:c r="L255" s="74"/>
      <x:c r="M255" s="91"/>
      <x:c r="N255" s="91"/>
      <x:c r="O255" s="85"/>
      <x:c r="Q255" s="86"/>
      <x:c r="R255" s="86"/>
      <x:c r="S255" s="32"/>
    </x:row>
    <x:row r="256">
      <x:c r="A256" s="87"/>
      <x:c r="B256" s="88"/>
      <x:c r="D256" s="32"/>
      <x:c r="G256" s="74"/>
      <x:c r="H256" s="74"/>
      <x:c r="I256" s="74"/>
      <x:c r="J256" s="74"/>
      <x:c r="K256" s="74"/>
      <x:c r="L256" s="74"/>
      <x:c r="M256" s="91"/>
      <x:c r="N256" s="91"/>
      <x:c r="O256" s="85"/>
      <x:c r="Q256" s="86"/>
      <x:c r="R256" s="86"/>
      <x:c r="S256" s="32"/>
    </x:row>
    <x:row r="257">
      <x:c r="A257" s="87"/>
      <x:c r="B257" s="88"/>
      <x:c r="D257" s="32"/>
      <x:c r="G257" s="74"/>
      <x:c r="H257" s="74"/>
      <x:c r="I257" s="74"/>
      <x:c r="J257" s="74"/>
      <x:c r="K257" s="74"/>
      <x:c r="L257" s="74"/>
      <x:c r="M257" s="91"/>
      <x:c r="N257" s="91"/>
      <x:c r="O257" s="85"/>
      <x:c r="Q257" s="86"/>
      <x:c r="R257" s="86"/>
      <x:c r="S257" s="32"/>
    </x:row>
    <x:row r="258">
      <x:c r="A258" s="87"/>
      <x:c r="B258" s="88"/>
      <x:c r="D258" s="32"/>
      <x:c r="G258" s="74"/>
      <x:c r="H258" s="74"/>
      <x:c r="I258" s="74"/>
      <x:c r="J258" s="74"/>
      <x:c r="K258" s="74"/>
      <x:c r="L258" s="74"/>
      <x:c r="M258" s="91"/>
      <x:c r="N258" s="91"/>
      <x:c r="O258" s="85"/>
      <x:c r="Q258" s="86"/>
      <x:c r="R258" s="86"/>
      <x:c r="S258" s="32"/>
    </x:row>
    <x:row r="259">
      <x:c r="A259" s="87"/>
      <x:c r="B259" s="88"/>
      <x:c r="D259" s="32"/>
      <x:c r="G259" s="74"/>
      <x:c r="H259" s="74"/>
      <x:c r="I259" s="74"/>
      <x:c r="J259" s="74"/>
      <x:c r="K259" s="74"/>
      <x:c r="L259" s="74"/>
      <x:c r="M259" s="91"/>
      <x:c r="N259" s="91"/>
      <x:c r="O259" s="85"/>
      <x:c r="Q259" s="86"/>
      <x:c r="R259" s="86"/>
      <x:c r="S259" s="32"/>
    </x:row>
    <x:row r="260">
      <x:c r="A260" s="87"/>
      <x:c r="B260" s="88"/>
      <x:c r="D260" s="32"/>
      <x:c r="G260" s="74"/>
      <x:c r="H260" s="74"/>
      <x:c r="I260" s="74"/>
      <x:c r="J260" s="74"/>
      <x:c r="K260" s="74"/>
      <x:c r="L260" s="74"/>
      <x:c r="M260" s="91"/>
      <x:c r="N260" s="91"/>
      <x:c r="O260" s="85"/>
      <x:c r="Q260" s="86"/>
      <x:c r="R260" s="86"/>
      <x:c r="S260" s="32"/>
    </x:row>
    <x:row r="261">
      <x:c r="A261" s="87"/>
      <x:c r="B261" s="88"/>
      <x:c r="D261" s="32"/>
      <x:c r="G261" s="74"/>
      <x:c r="H261" s="74"/>
      <x:c r="I261" s="74"/>
      <x:c r="J261" s="74"/>
      <x:c r="K261" s="74"/>
      <x:c r="L261" s="74"/>
      <x:c r="M261" s="91"/>
      <x:c r="N261" s="91"/>
      <x:c r="O261" s="85"/>
      <x:c r="Q261" s="86"/>
      <x:c r="R261" s="86"/>
      <x:c r="S261" s="32"/>
    </x:row>
    <x:row r="262">
      <x:c r="A262" s="87"/>
      <x:c r="B262" s="88"/>
      <x:c r="D262" s="32"/>
      <x:c r="G262" s="74"/>
      <x:c r="H262" s="74"/>
      <x:c r="I262" s="74"/>
      <x:c r="J262" s="74"/>
      <x:c r="K262" s="74"/>
      <x:c r="L262" s="74"/>
      <x:c r="M262" s="91"/>
      <x:c r="N262" s="91"/>
      <x:c r="O262" s="85"/>
      <x:c r="Q262" s="86"/>
      <x:c r="R262" s="86"/>
      <x:c r="S262" s="32"/>
    </x:row>
    <x:row r="263">
      <x:c r="A263" s="87"/>
      <x:c r="B263" s="88"/>
      <x:c r="D263" s="32"/>
      <x:c r="G263" s="74"/>
      <x:c r="H263" s="74"/>
      <x:c r="I263" s="74"/>
      <x:c r="J263" s="74"/>
      <x:c r="K263" s="74"/>
      <x:c r="L263" s="74"/>
      <x:c r="M263" s="91"/>
      <x:c r="N263" s="91"/>
      <x:c r="O263" s="85"/>
      <x:c r="Q263" s="86"/>
      <x:c r="R263" s="86"/>
      <x:c r="S263" s="32"/>
    </x:row>
    <x:row r="264">
      <x:c r="A264" s="87"/>
      <x:c r="B264" s="88"/>
      <x:c r="D264" s="32"/>
      <x:c r="G264" s="74"/>
      <x:c r="H264" s="74"/>
      <x:c r="I264" s="74"/>
      <x:c r="J264" s="74"/>
      <x:c r="K264" s="74"/>
      <x:c r="L264" s="74"/>
      <x:c r="M264" s="91"/>
      <x:c r="N264" s="91"/>
      <x:c r="O264" s="85"/>
      <x:c r="Q264" s="86"/>
      <x:c r="R264" s="86"/>
      <x:c r="S264" s="32"/>
    </x:row>
    <x:row r="265">
      <x:c r="A265" s="87"/>
      <x:c r="B265" s="88"/>
      <x:c r="D265" s="32"/>
      <x:c r="G265" s="74"/>
      <x:c r="H265" s="74"/>
      <x:c r="I265" s="74"/>
      <x:c r="J265" s="74"/>
      <x:c r="K265" s="74"/>
      <x:c r="L265" s="74"/>
      <x:c r="M265" s="91"/>
      <x:c r="N265" s="91"/>
      <x:c r="O265" s="85"/>
      <x:c r="Q265" s="86"/>
      <x:c r="R265" s="86"/>
      <x:c r="S265" s="32"/>
    </x:row>
    <x:row r="266">
      <x:c r="A266" s="87"/>
      <x:c r="B266" s="88"/>
      <x:c r="D266" s="32"/>
      <x:c r="G266" s="74"/>
      <x:c r="H266" s="74"/>
      <x:c r="I266" s="74"/>
      <x:c r="J266" s="74"/>
      <x:c r="K266" s="74"/>
      <x:c r="L266" s="74"/>
      <x:c r="M266" s="91"/>
      <x:c r="N266" s="91"/>
      <x:c r="O266" s="85"/>
      <x:c r="Q266" s="86"/>
      <x:c r="R266" s="86"/>
      <x:c r="S266" s="32"/>
    </x:row>
    <x:row r="267">
      <x:c r="A267" s="87"/>
      <x:c r="B267" s="88"/>
      <x:c r="D267" s="32"/>
      <x:c r="G267" s="74"/>
      <x:c r="H267" s="74"/>
      <x:c r="I267" s="74"/>
      <x:c r="J267" s="74"/>
      <x:c r="K267" s="74"/>
      <x:c r="L267" s="74"/>
      <x:c r="M267" s="91"/>
      <x:c r="N267" s="91"/>
      <x:c r="O267" s="85"/>
      <x:c r="Q267" s="86"/>
      <x:c r="R267" s="86"/>
      <x:c r="S267" s="32"/>
    </x:row>
    <x:row r="268">
      <x:c r="A268" s="87"/>
      <x:c r="B268" s="88"/>
      <x:c r="D268" s="32"/>
      <x:c r="G268" s="74"/>
      <x:c r="H268" s="74"/>
      <x:c r="I268" s="74"/>
      <x:c r="J268" s="74"/>
      <x:c r="K268" s="74"/>
      <x:c r="L268" s="74"/>
      <x:c r="M268" s="91"/>
      <x:c r="N268" s="91"/>
      <x:c r="O268" s="85"/>
      <x:c r="Q268" s="86"/>
      <x:c r="R268" s="86"/>
      <x:c r="S268" s="32"/>
    </x:row>
    <x:row r="269">
      <x:c r="A269" s="87"/>
      <x:c r="B269" s="88"/>
      <x:c r="D269" s="32"/>
      <x:c r="G269" s="74"/>
      <x:c r="H269" s="74"/>
      <x:c r="I269" s="74"/>
      <x:c r="J269" s="74"/>
      <x:c r="K269" s="74"/>
      <x:c r="L269" s="74"/>
      <x:c r="M269" s="91"/>
      <x:c r="N269" s="91"/>
      <x:c r="O269" s="85"/>
      <x:c r="Q269" s="86"/>
      <x:c r="R269" s="86"/>
      <x:c r="S269" s="32"/>
    </x:row>
    <x:row r="270">
      <x:c r="A270" s="87"/>
      <x:c r="B270" s="88"/>
      <x:c r="D270" s="32"/>
      <x:c r="G270" s="74"/>
      <x:c r="H270" s="74"/>
      <x:c r="I270" s="74"/>
      <x:c r="J270" s="74"/>
      <x:c r="K270" s="74"/>
      <x:c r="L270" s="74"/>
      <x:c r="M270" s="91"/>
      <x:c r="N270" s="91"/>
      <x:c r="O270" s="85"/>
      <x:c r="Q270" s="86"/>
      <x:c r="R270" s="86"/>
      <x:c r="S270" s="32"/>
    </x:row>
    <x:row r="271">
      <x:c r="A271" s="87"/>
      <x:c r="B271" s="88"/>
      <x:c r="D271" s="32"/>
      <x:c r="G271" s="74"/>
      <x:c r="H271" s="74"/>
      <x:c r="I271" s="74"/>
      <x:c r="J271" s="74"/>
      <x:c r="K271" s="74"/>
      <x:c r="L271" s="74"/>
      <x:c r="M271" s="91"/>
      <x:c r="N271" s="91"/>
      <x:c r="O271" s="85"/>
      <x:c r="Q271" s="86"/>
      <x:c r="R271" s="86"/>
      <x:c r="S271" s="32"/>
    </x:row>
    <x:row r="272">
      <x:c r="A272" s="87"/>
      <x:c r="B272" s="88"/>
      <x:c r="D272" s="32"/>
      <x:c r="G272" s="74"/>
      <x:c r="H272" s="74"/>
      <x:c r="I272" s="74"/>
      <x:c r="J272" s="74"/>
      <x:c r="K272" s="74"/>
      <x:c r="L272" s="74"/>
      <x:c r="M272" s="91"/>
      <x:c r="N272" s="91"/>
      <x:c r="O272" s="85"/>
      <x:c r="Q272" s="86"/>
      <x:c r="R272" s="86"/>
      <x:c r="S272" s="32"/>
    </x:row>
    <x:row r="273">
      <x:c r="A273" s="87"/>
      <x:c r="B273" s="88"/>
      <x:c r="D273" s="32"/>
      <x:c r="G273" s="74"/>
      <x:c r="H273" s="74"/>
      <x:c r="I273" s="74"/>
      <x:c r="J273" s="74"/>
      <x:c r="K273" s="74"/>
      <x:c r="L273" s="74"/>
      <x:c r="M273" s="91"/>
      <x:c r="N273" s="91"/>
      <x:c r="O273" s="85"/>
      <x:c r="Q273" s="86"/>
      <x:c r="R273" s="86"/>
      <x:c r="S273" s="32"/>
    </x:row>
    <x:row r="274">
      <x:c r="A274" s="87"/>
      <x:c r="B274" s="88"/>
      <x:c r="D274" s="32"/>
      <x:c r="G274" s="74"/>
      <x:c r="H274" s="74"/>
      <x:c r="I274" s="74"/>
      <x:c r="J274" s="74"/>
      <x:c r="K274" s="74"/>
      <x:c r="L274" s="74"/>
      <x:c r="M274" s="91"/>
      <x:c r="N274" s="91"/>
      <x:c r="O274" s="85"/>
      <x:c r="Q274" s="86"/>
      <x:c r="R274" s="86"/>
      <x:c r="S274" s="32"/>
    </x:row>
    <x:row r="275">
      <x:c r="A275" s="87"/>
      <x:c r="B275" s="88"/>
      <x:c r="D275" s="32"/>
      <x:c r="G275" s="74"/>
      <x:c r="H275" s="74"/>
      <x:c r="I275" s="74"/>
      <x:c r="J275" s="74"/>
      <x:c r="K275" s="74"/>
      <x:c r="L275" s="74"/>
      <x:c r="M275" s="91"/>
      <x:c r="N275" s="91"/>
      <x:c r="O275" s="85"/>
      <x:c r="Q275" s="86"/>
      <x:c r="R275" s="86"/>
      <x:c r="S275" s="32"/>
    </x:row>
    <x:row r="276">
      <x:c r="A276" s="87"/>
      <x:c r="B276" s="88"/>
      <x:c r="D276" s="32"/>
      <x:c r="G276" s="74"/>
      <x:c r="H276" s="74"/>
      <x:c r="I276" s="74"/>
      <x:c r="J276" s="74"/>
      <x:c r="K276" s="74"/>
      <x:c r="L276" s="74"/>
      <x:c r="M276" s="91"/>
      <x:c r="N276" s="91"/>
      <x:c r="O276" s="85"/>
      <x:c r="Q276" s="86"/>
      <x:c r="R276" s="86"/>
      <x:c r="S276" s="32"/>
    </x:row>
    <x:row r="277">
      <x:c r="A277" s="87"/>
      <x:c r="B277" s="88"/>
      <x:c r="D277" s="32"/>
      <x:c r="G277" s="74"/>
      <x:c r="H277" s="74"/>
      <x:c r="I277" s="74"/>
      <x:c r="J277" s="74"/>
      <x:c r="K277" s="74"/>
      <x:c r="L277" s="74"/>
      <x:c r="M277" s="91"/>
      <x:c r="N277" s="91"/>
      <x:c r="O277" s="85"/>
      <x:c r="Q277" s="86"/>
      <x:c r="R277" s="86"/>
      <x:c r="S277" s="32"/>
    </x:row>
    <x:row r="278">
      <x:c r="A278" s="87"/>
      <x:c r="B278" s="88"/>
      <x:c r="D278" s="32"/>
      <x:c r="G278" s="74"/>
      <x:c r="H278" s="74"/>
      <x:c r="I278" s="74"/>
      <x:c r="J278" s="74"/>
      <x:c r="K278" s="74"/>
      <x:c r="L278" s="74"/>
      <x:c r="M278" s="91"/>
      <x:c r="N278" s="91"/>
      <x:c r="O278" s="85"/>
      <x:c r="Q278" s="86"/>
      <x:c r="R278" s="86"/>
      <x:c r="S278" s="32"/>
    </x:row>
    <x:row r="279">
      <x:c r="A279" s="87"/>
      <x:c r="B279" s="88"/>
      <x:c r="D279" s="32"/>
      <x:c r="G279" s="74"/>
      <x:c r="H279" s="74"/>
      <x:c r="I279" s="74"/>
      <x:c r="J279" s="74"/>
      <x:c r="K279" s="74"/>
      <x:c r="L279" s="74"/>
      <x:c r="M279" s="91"/>
      <x:c r="N279" s="91"/>
      <x:c r="O279" s="85"/>
      <x:c r="Q279" s="86"/>
      <x:c r="R279" s="86"/>
      <x:c r="S279" s="32"/>
    </x:row>
    <x:row r="280">
      <x:c r="A280" s="87"/>
      <x:c r="B280" s="88"/>
      <x:c r="D280" s="32"/>
      <x:c r="G280" s="74"/>
      <x:c r="H280" s="74"/>
      <x:c r="I280" s="74"/>
      <x:c r="J280" s="74"/>
      <x:c r="K280" s="74"/>
      <x:c r="L280" s="74"/>
      <x:c r="M280" s="91"/>
      <x:c r="N280" s="91"/>
      <x:c r="O280" s="85"/>
      <x:c r="Q280" s="86"/>
      <x:c r="R280" s="86"/>
      <x:c r="S280" s="32"/>
    </x:row>
    <x:row r="281">
      <x:c r="A281" s="87"/>
      <x:c r="B281" s="88"/>
      <x:c r="D281" s="32"/>
      <x:c r="G281" s="74"/>
      <x:c r="H281" s="74"/>
      <x:c r="I281" s="74"/>
      <x:c r="J281" s="74"/>
      <x:c r="K281" s="74"/>
      <x:c r="L281" s="74"/>
      <x:c r="M281" s="91"/>
      <x:c r="N281" s="91"/>
      <x:c r="O281" s="85"/>
      <x:c r="Q281" s="86"/>
      <x:c r="R281" s="86"/>
      <x:c r="S281" s="32"/>
    </x:row>
    <x:row r="282">
      <x:c r="A282" s="87"/>
      <x:c r="B282" s="88"/>
      <x:c r="D282" s="32"/>
      <x:c r="G282" s="74"/>
      <x:c r="H282" s="74"/>
      <x:c r="I282" s="74"/>
      <x:c r="J282" s="74"/>
      <x:c r="K282" s="74"/>
      <x:c r="L282" s="74"/>
      <x:c r="M282" s="91"/>
      <x:c r="N282" s="91"/>
      <x:c r="O282" s="85"/>
      <x:c r="Q282" s="86"/>
      <x:c r="R282" s="86"/>
      <x:c r="S282" s="32"/>
    </x:row>
    <x:row r="283">
      <x:c r="A283" s="87"/>
      <x:c r="B283" s="88"/>
      <x:c r="D283" s="32"/>
      <x:c r="G283" s="74"/>
      <x:c r="H283" s="74"/>
      <x:c r="I283" s="74"/>
      <x:c r="J283" s="74"/>
      <x:c r="K283" s="74"/>
      <x:c r="L283" s="74"/>
      <x:c r="M283" s="91"/>
      <x:c r="N283" s="91"/>
      <x:c r="O283" s="85"/>
      <x:c r="Q283" s="86"/>
      <x:c r="R283" s="86"/>
      <x:c r="S283" s="32"/>
    </x:row>
    <x:row r="284">
      <x:c r="A284" s="87"/>
      <x:c r="B284" s="88"/>
      <x:c r="D284" s="32"/>
      <x:c r="G284" s="74"/>
      <x:c r="H284" s="74"/>
      <x:c r="I284" s="74"/>
      <x:c r="J284" s="74"/>
      <x:c r="K284" s="74"/>
      <x:c r="L284" s="74"/>
      <x:c r="M284" s="91"/>
      <x:c r="N284" s="91"/>
      <x:c r="O284" s="85"/>
      <x:c r="Q284" s="86"/>
      <x:c r="R284" s="86"/>
      <x:c r="S284" s="32"/>
    </x:row>
    <x:row r="285">
      <x:c r="A285" s="87"/>
      <x:c r="B285" s="88"/>
      <x:c r="D285" s="32"/>
      <x:c r="G285" s="74"/>
      <x:c r="H285" s="74"/>
      <x:c r="I285" s="74"/>
      <x:c r="J285" s="74"/>
      <x:c r="K285" s="74"/>
      <x:c r="L285" s="74"/>
      <x:c r="M285" s="91"/>
      <x:c r="N285" s="91"/>
      <x:c r="O285" s="85"/>
      <x:c r="Q285" s="86"/>
      <x:c r="R285" s="86"/>
      <x:c r="S285" s="32"/>
    </x:row>
    <x:row r="286">
      <x:c r="A286" s="87"/>
      <x:c r="B286" s="88"/>
      <x:c r="D286" s="32"/>
      <x:c r="G286" s="74"/>
      <x:c r="H286" s="74"/>
      <x:c r="I286" s="74"/>
      <x:c r="J286" s="74"/>
      <x:c r="K286" s="74"/>
      <x:c r="L286" s="74"/>
      <x:c r="M286" s="91"/>
      <x:c r="N286" s="91"/>
      <x:c r="O286" s="85"/>
      <x:c r="Q286" s="86"/>
      <x:c r="R286" s="86"/>
      <x:c r="S286" s="32"/>
    </x:row>
    <x:row r="287">
      <x:c r="A287" s="87"/>
      <x:c r="B287" s="88"/>
      <x:c r="D287" s="32"/>
      <x:c r="G287" s="74"/>
      <x:c r="H287" s="74"/>
      <x:c r="I287" s="74"/>
      <x:c r="J287" s="74"/>
      <x:c r="K287" s="74"/>
      <x:c r="L287" s="74"/>
      <x:c r="M287" s="91"/>
      <x:c r="N287" s="91"/>
      <x:c r="O287" s="85"/>
      <x:c r="Q287" s="86"/>
      <x:c r="R287" s="86"/>
      <x:c r="S287" s="32"/>
    </x:row>
    <x:row r="288">
      <x:c r="A288" s="87"/>
      <x:c r="B288" s="88"/>
      <x:c r="D288" s="32"/>
      <x:c r="G288" s="74"/>
      <x:c r="H288" s="74"/>
      <x:c r="I288" s="74"/>
      <x:c r="J288" s="74"/>
      <x:c r="K288" s="74"/>
      <x:c r="L288" s="74"/>
      <x:c r="M288" s="91"/>
      <x:c r="N288" s="91"/>
      <x:c r="O288" s="85"/>
      <x:c r="Q288" s="86"/>
      <x:c r="R288" s="86"/>
      <x:c r="S288" s="32"/>
    </x:row>
    <x:row r="289">
      <x:c r="A289" s="87"/>
      <x:c r="B289" s="88"/>
      <x:c r="D289" s="32"/>
      <x:c r="G289" s="74"/>
      <x:c r="H289" s="74"/>
      <x:c r="I289" s="74"/>
      <x:c r="J289" s="74"/>
      <x:c r="K289" s="74"/>
      <x:c r="L289" s="74"/>
      <x:c r="M289" s="91"/>
      <x:c r="N289" s="91"/>
      <x:c r="O289" s="85"/>
      <x:c r="Q289" s="86"/>
      <x:c r="R289" s="86"/>
      <x:c r="S289" s="32"/>
    </x:row>
    <x:row r="290">
      <x:c r="A290" s="87"/>
      <x:c r="B290" s="88"/>
      <x:c r="D290" s="32"/>
      <x:c r="G290" s="74"/>
      <x:c r="H290" s="74"/>
      <x:c r="I290" s="74"/>
      <x:c r="J290" s="74"/>
      <x:c r="K290" s="74"/>
      <x:c r="L290" s="74"/>
      <x:c r="M290" s="91"/>
      <x:c r="N290" s="91"/>
      <x:c r="O290" s="85"/>
      <x:c r="Q290" s="86"/>
      <x:c r="R290" s="86"/>
      <x:c r="S290" s="32"/>
    </x:row>
    <x:row r="291">
      <x:c r="A291" s="87"/>
      <x:c r="B291" s="88"/>
      <x:c r="D291" s="32"/>
      <x:c r="G291" s="74"/>
      <x:c r="H291" s="74"/>
      <x:c r="I291" s="74"/>
      <x:c r="J291" s="74"/>
      <x:c r="K291" s="74"/>
      <x:c r="L291" s="74"/>
      <x:c r="M291" s="91"/>
      <x:c r="N291" s="91"/>
      <x:c r="O291" s="85"/>
      <x:c r="Q291" s="86"/>
      <x:c r="R291" s="86"/>
      <x:c r="S291" s="32"/>
    </x:row>
    <x:row r="292">
      <x:c r="A292" s="87"/>
      <x:c r="B292" s="88"/>
      <x:c r="D292" s="32"/>
      <x:c r="G292" s="74"/>
      <x:c r="H292" s="74"/>
      <x:c r="I292" s="74"/>
      <x:c r="J292" s="74"/>
      <x:c r="K292" s="74"/>
      <x:c r="L292" s="74"/>
      <x:c r="M292" s="91"/>
      <x:c r="N292" s="91"/>
      <x:c r="O292" s="85"/>
      <x:c r="Q292" s="86"/>
      <x:c r="R292" s="86"/>
      <x:c r="S292" s="32"/>
    </x:row>
    <x:row r="293">
      <x:c r="A293" s="87"/>
      <x:c r="B293" s="88"/>
      <x:c r="D293" s="32"/>
      <x:c r="G293" s="74"/>
      <x:c r="H293" s="74"/>
      <x:c r="I293" s="74"/>
      <x:c r="J293" s="74"/>
      <x:c r="K293" s="74"/>
      <x:c r="L293" s="74"/>
      <x:c r="M293" s="91"/>
      <x:c r="N293" s="91"/>
      <x:c r="O293" s="85"/>
      <x:c r="Q293" s="86"/>
      <x:c r="R293" s="86"/>
      <x:c r="S293" s="32"/>
    </x:row>
    <x:row r="294">
      <x:c r="A294" s="87"/>
      <x:c r="B294" s="88"/>
      <x:c r="D294" s="32"/>
      <x:c r="G294" s="74"/>
      <x:c r="H294" s="74"/>
      <x:c r="I294" s="74"/>
      <x:c r="J294" s="74"/>
      <x:c r="K294" s="74"/>
      <x:c r="L294" s="74"/>
      <x:c r="M294" s="91"/>
      <x:c r="N294" s="91"/>
      <x:c r="O294" s="85"/>
      <x:c r="Q294" s="86"/>
      <x:c r="R294" s="86"/>
      <x:c r="S294" s="32"/>
    </x:row>
    <x:row r="295">
      <x:c r="A295" s="87"/>
      <x:c r="B295" s="88"/>
      <x:c r="D295" s="32"/>
      <x:c r="G295" s="74"/>
      <x:c r="H295" s="74"/>
      <x:c r="I295" s="74"/>
      <x:c r="J295" s="74"/>
      <x:c r="K295" s="74"/>
      <x:c r="L295" s="74"/>
      <x:c r="M295" s="91"/>
      <x:c r="N295" s="91"/>
      <x:c r="O295" s="85"/>
      <x:c r="Q295" s="86"/>
      <x:c r="R295" s="86"/>
      <x:c r="S295" s="32"/>
    </x:row>
    <x:row r="296">
      <x:c r="A296" s="87"/>
      <x:c r="B296" s="88"/>
      <x:c r="D296" s="32"/>
      <x:c r="G296" s="74"/>
      <x:c r="H296" s="74"/>
      <x:c r="I296" s="74"/>
      <x:c r="J296" s="74"/>
      <x:c r="K296" s="74"/>
      <x:c r="L296" s="74"/>
      <x:c r="M296" s="91"/>
      <x:c r="N296" s="91"/>
      <x:c r="O296" s="85"/>
      <x:c r="Q296" s="86"/>
      <x:c r="R296" s="86"/>
      <x:c r="S296" s="32"/>
    </x:row>
    <x:row r="297">
      <x:c r="A297" s="87"/>
      <x:c r="B297" s="88"/>
      <x:c r="D297" s="32"/>
      <x:c r="G297" s="74"/>
      <x:c r="H297" s="74"/>
      <x:c r="I297" s="74"/>
      <x:c r="J297" s="74"/>
      <x:c r="K297" s="74"/>
      <x:c r="L297" s="74"/>
      <x:c r="M297" s="91"/>
      <x:c r="N297" s="91"/>
      <x:c r="O297" s="85"/>
      <x:c r="Q297" s="86"/>
      <x:c r="R297" s="86"/>
      <x:c r="S297" s="32"/>
    </x:row>
    <x:row r="298">
      <x:c r="A298" s="87"/>
      <x:c r="B298" s="88"/>
      <x:c r="D298" s="32"/>
      <x:c r="G298" s="74"/>
      <x:c r="H298" s="74"/>
      <x:c r="I298" s="74"/>
      <x:c r="J298" s="74"/>
      <x:c r="K298" s="74"/>
      <x:c r="L298" s="74"/>
      <x:c r="M298" s="91"/>
      <x:c r="N298" s="91"/>
      <x:c r="O298" s="85"/>
      <x:c r="Q298" s="86"/>
      <x:c r="R298" s="86"/>
      <x:c r="S298" s="32"/>
    </x:row>
    <x:row r="299">
      <x:c r="A299" s="87"/>
      <x:c r="B299" s="88"/>
      <x:c r="D299" s="32"/>
      <x:c r="G299" s="74"/>
      <x:c r="H299" s="74"/>
      <x:c r="I299" s="74"/>
      <x:c r="J299" s="74"/>
      <x:c r="K299" s="74"/>
      <x:c r="L299" s="74"/>
      <x:c r="M299" s="91"/>
      <x:c r="N299" s="91"/>
      <x:c r="O299" s="85"/>
      <x:c r="Q299" s="86"/>
      <x:c r="R299" s="86"/>
      <x:c r="S299" s="32"/>
    </x:row>
    <x:row r="300">
      <x:c r="A300" s="87"/>
      <x:c r="B300" s="88"/>
      <x:c r="D300" s="32"/>
      <x:c r="G300" s="74"/>
      <x:c r="H300" s="74"/>
      <x:c r="I300" s="74"/>
      <x:c r="J300" s="74"/>
      <x:c r="K300" s="74"/>
      <x:c r="L300" s="74"/>
      <x:c r="M300" s="91"/>
      <x:c r="N300" s="91"/>
      <x:c r="O300" s="85"/>
      <x:c r="Q300" s="86"/>
      <x:c r="R300" s="86"/>
      <x:c r="S300" s="32"/>
    </x:row>
    <x:row r="301">
      <x:c r="A301" s="87"/>
      <x:c r="B301" s="88"/>
      <x:c r="D301" s="32"/>
      <x:c r="G301" s="74"/>
      <x:c r="H301" s="74"/>
      <x:c r="I301" s="74"/>
      <x:c r="J301" s="74"/>
      <x:c r="K301" s="74"/>
      <x:c r="L301" s="74"/>
      <x:c r="M301" s="91"/>
      <x:c r="N301" s="91"/>
      <x:c r="O301" s="85"/>
      <x:c r="Q301" s="86"/>
      <x:c r="R301" s="86"/>
      <x:c r="S301" s="32"/>
    </x:row>
    <x:row r="302">
      <x:c r="A302" s="87"/>
      <x:c r="B302" s="88"/>
      <x:c r="D302" s="32"/>
      <x:c r="G302" s="74"/>
      <x:c r="H302" s="74"/>
      <x:c r="I302" s="74"/>
      <x:c r="J302" s="74"/>
      <x:c r="K302" s="74"/>
      <x:c r="L302" s="74"/>
      <x:c r="M302" s="91"/>
      <x:c r="N302" s="91"/>
      <x:c r="O302" s="85"/>
      <x:c r="Q302" s="86"/>
      <x:c r="R302" s="86"/>
      <x:c r="S302" s="32"/>
    </x:row>
    <x:row r="303">
      <x:c r="A303" s="87"/>
      <x:c r="B303" s="88"/>
      <x:c r="D303" s="32"/>
      <x:c r="G303" s="74"/>
      <x:c r="H303" s="74"/>
      <x:c r="I303" s="74"/>
      <x:c r="J303" s="74"/>
      <x:c r="K303" s="74"/>
      <x:c r="L303" s="74"/>
      <x:c r="M303" s="91"/>
      <x:c r="N303" s="91"/>
      <x:c r="O303" s="85"/>
      <x:c r="Q303" s="86"/>
      <x:c r="R303" s="86"/>
      <x:c r="S303" s="32"/>
    </x:row>
    <x:row r="304">
      <x:c r="A304" s="87"/>
      <x:c r="B304" s="88"/>
      <x:c r="D304" s="32"/>
      <x:c r="G304" s="74"/>
      <x:c r="H304" s="74"/>
      <x:c r="I304" s="74"/>
      <x:c r="J304" s="74"/>
      <x:c r="K304" s="74"/>
      <x:c r="L304" s="74"/>
      <x:c r="M304" s="91"/>
      <x:c r="N304" s="91"/>
      <x:c r="O304" s="85"/>
      <x:c r="Q304" s="86"/>
      <x:c r="R304" s="86"/>
      <x:c r="S304" s="32"/>
    </x:row>
    <x:row r="305">
      <x:c r="A305" s="87"/>
      <x:c r="B305" s="88"/>
      <x:c r="D305" s="32"/>
      <x:c r="G305" s="74"/>
      <x:c r="H305" s="74"/>
      <x:c r="I305" s="74"/>
      <x:c r="J305" s="74"/>
      <x:c r="K305" s="74"/>
      <x:c r="L305" s="74"/>
      <x:c r="M305" s="91"/>
      <x:c r="N305" s="91"/>
      <x:c r="O305" s="85"/>
      <x:c r="Q305" s="86"/>
      <x:c r="R305" s="86"/>
      <x:c r="S305" s="32"/>
    </x:row>
    <x:row r="306">
      <x:c r="A306" s="87"/>
      <x:c r="B306" s="88"/>
      <x:c r="D306" s="32"/>
      <x:c r="G306" s="74"/>
      <x:c r="H306" s="74"/>
      <x:c r="I306" s="74"/>
      <x:c r="J306" s="74"/>
      <x:c r="K306" s="74"/>
      <x:c r="L306" s="74"/>
      <x:c r="M306" s="91"/>
      <x:c r="N306" s="91"/>
      <x:c r="O306" s="85"/>
      <x:c r="Q306" s="86"/>
      <x:c r="R306" s="86"/>
      <x:c r="S306" s="32"/>
    </x:row>
    <x:row r="307">
      <x:c r="A307" s="87"/>
      <x:c r="B307" s="88"/>
      <x:c r="D307" s="32"/>
      <x:c r="G307" s="74"/>
      <x:c r="H307" s="74"/>
      <x:c r="I307" s="74"/>
      <x:c r="J307" s="74"/>
      <x:c r="K307" s="74"/>
      <x:c r="L307" s="74"/>
      <x:c r="M307" s="91"/>
      <x:c r="N307" s="91"/>
      <x:c r="O307" s="85"/>
      <x:c r="Q307" s="86"/>
      <x:c r="R307" s="86"/>
      <x:c r="S307" s="32"/>
    </x:row>
    <x:row r="308">
      <x:c r="A308" s="87"/>
      <x:c r="B308" s="88"/>
      <x:c r="D308" s="32"/>
      <x:c r="G308" s="74"/>
      <x:c r="H308" s="74"/>
      <x:c r="I308" s="74"/>
      <x:c r="J308" s="74"/>
      <x:c r="K308" s="74"/>
      <x:c r="L308" s="74"/>
      <x:c r="M308" s="91"/>
      <x:c r="N308" s="91"/>
      <x:c r="O308" s="85"/>
      <x:c r="Q308" s="86"/>
      <x:c r="R308" s="86"/>
      <x:c r="S308" s="32"/>
    </x:row>
    <x:row r="309">
      <x:c r="A309" s="87"/>
      <x:c r="B309" s="88"/>
      <x:c r="D309" s="32"/>
      <x:c r="G309" s="74"/>
      <x:c r="H309" s="74"/>
      <x:c r="I309" s="74"/>
      <x:c r="J309" s="74"/>
      <x:c r="K309" s="74"/>
      <x:c r="L309" s="74"/>
      <x:c r="M309" s="91"/>
      <x:c r="N309" s="91"/>
      <x:c r="O309" s="85"/>
      <x:c r="Q309" s="86"/>
      <x:c r="R309" s="86"/>
      <x:c r="S309" s="32"/>
    </x:row>
    <x:row r="310">
      <x:c r="A310" s="87"/>
      <x:c r="B310" s="88"/>
      <x:c r="D310" s="32"/>
      <x:c r="G310" s="74"/>
      <x:c r="H310" s="74"/>
      <x:c r="I310" s="74"/>
      <x:c r="J310" s="74"/>
      <x:c r="K310" s="74"/>
      <x:c r="L310" s="74"/>
      <x:c r="M310" s="91"/>
      <x:c r="N310" s="91"/>
      <x:c r="O310" s="85"/>
      <x:c r="Q310" s="86"/>
      <x:c r="R310" s="86"/>
      <x:c r="S310" s="32"/>
    </x:row>
    <x:row r="311">
      <x:c r="A311" s="87"/>
      <x:c r="B311" s="88"/>
      <x:c r="D311" s="32"/>
      <x:c r="G311" s="74"/>
      <x:c r="H311" s="74"/>
      <x:c r="I311" s="74"/>
      <x:c r="J311" s="74"/>
      <x:c r="K311" s="74"/>
      <x:c r="L311" s="74"/>
      <x:c r="M311" s="91"/>
      <x:c r="N311" s="91"/>
      <x:c r="O311" s="85"/>
      <x:c r="Q311" s="86"/>
      <x:c r="R311" s="86"/>
      <x:c r="S311" s="32"/>
    </x:row>
    <x:row r="312">
      <x:c r="A312" s="87"/>
      <x:c r="B312" s="88"/>
      <x:c r="D312" s="32"/>
      <x:c r="G312" s="74"/>
      <x:c r="H312" s="74"/>
      <x:c r="I312" s="74"/>
      <x:c r="J312" s="74"/>
      <x:c r="K312" s="74"/>
      <x:c r="L312" s="74"/>
      <x:c r="M312" s="91"/>
      <x:c r="N312" s="91"/>
      <x:c r="O312" s="85"/>
      <x:c r="Q312" s="86"/>
      <x:c r="R312" s="86"/>
      <x:c r="S312" s="32"/>
    </x:row>
    <x:row r="313">
      <x:c r="A313" s="87"/>
      <x:c r="B313" s="88"/>
      <x:c r="D313" s="32"/>
      <x:c r="G313" s="74"/>
      <x:c r="H313" s="74"/>
      <x:c r="I313" s="74"/>
      <x:c r="J313" s="74"/>
      <x:c r="K313" s="74"/>
      <x:c r="L313" s="74"/>
      <x:c r="M313" s="91"/>
      <x:c r="N313" s="91"/>
      <x:c r="O313" s="85"/>
      <x:c r="Q313" s="86"/>
      <x:c r="R313" s="86"/>
      <x:c r="S313" s="32"/>
    </x:row>
    <x:row r="314">
      <x:c r="A314" s="87"/>
      <x:c r="B314" s="88"/>
      <x:c r="D314" s="32"/>
      <x:c r="G314" s="74"/>
      <x:c r="H314" s="74"/>
      <x:c r="I314" s="74"/>
      <x:c r="J314" s="74"/>
      <x:c r="K314" s="74"/>
      <x:c r="L314" s="74"/>
      <x:c r="M314" s="91"/>
      <x:c r="N314" s="91"/>
      <x:c r="O314" s="85"/>
      <x:c r="Q314" s="86"/>
      <x:c r="R314" s="86"/>
      <x:c r="S314" s="32"/>
    </x:row>
    <x:row r="315">
      <x:c r="A315" s="87"/>
      <x:c r="B315" s="88"/>
      <x:c r="D315" s="32"/>
      <x:c r="G315" s="74"/>
      <x:c r="H315" s="74"/>
      <x:c r="I315" s="74"/>
      <x:c r="J315" s="74"/>
      <x:c r="K315" s="74"/>
      <x:c r="L315" s="74"/>
      <x:c r="M315" s="91"/>
      <x:c r="N315" s="91"/>
      <x:c r="O315" s="85"/>
      <x:c r="Q315" s="86"/>
      <x:c r="R315" s="86"/>
      <x:c r="S315" s="32"/>
    </x:row>
    <x:row r="316">
      <x:c r="A316" s="87"/>
      <x:c r="B316" s="88"/>
      <x:c r="D316" s="32"/>
      <x:c r="G316" s="74"/>
      <x:c r="H316" s="74"/>
      <x:c r="I316" s="74"/>
      <x:c r="J316" s="74"/>
      <x:c r="K316" s="74"/>
      <x:c r="L316" s="74"/>
      <x:c r="M316" s="91"/>
      <x:c r="N316" s="91"/>
      <x:c r="O316" s="85"/>
      <x:c r="Q316" s="86"/>
      <x:c r="R316" s="86"/>
      <x:c r="S316" s="32"/>
    </x:row>
    <x:row r="317">
      <x:c r="A317" s="87"/>
      <x:c r="B317" s="88"/>
      <x:c r="D317" s="32"/>
      <x:c r="G317" s="74"/>
      <x:c r="H317" s="74"/>
      <x:c r="I317" s="74"/>
      <x:c r="J317" s="74"/>
      <x:c r="K317" s="74"/>
      <x:c r="L317" s="74"/>
      <x:c r="M317" s="91"/>
      <x:c r="N317" s="91"/>
      <x:c r="O317" s="85"/>
      <x:c r="Q317" s="86"/>
      <x:c r="R317" s="86"/>
      <x:c r="S317" s="32"/>
    </x:row>
    <x:row r="318">
      <x:c r="A318" s="87"/>
      <x:c r="B318" s="88"/>
      <x:c r="D318" s="32"/>
      <x:c r="G318" s="74"/>
      <x:c r="H318" s="74"/>
      <x:c r="I318" s="74"/>
      <x:c r="J318" s="74"/>
      <x:c r="K318" s="74"/>
      <x:c r="L318" s="74"/>
      <x:c r="M318" s="91"/>
      <x:c r="N318" s="91"/>
      <x:c r="O318" s="85"/>
      <x:c r="Q318" s="86"/>
      <x:c r="R318" s="86"/>
      <x:c r="S318" s="32"/>
    </x:row>
    <x:row r="319">
      <x:c r="A319" s="87"/>
      <x:c r="B319" s="88"/>
      <x:c r="D319" s="32"/>
      <x:c r="G319" s="74"/>
      <x:c r="H319" s="74"/>
      <x:c r="I319" s="74"/>
      <x:c r="J319" s="74"/>
      <x:c r="K319" s="74"/>
      <x:c r="L319" s="74"/>
      <x:c r="M319" s="91"/>
      <x:c r="N319" s="91"/>
      <x:c r="O319" s="85"/>
      <x:c r="Q319" s="86"/>
      <x:c r="R319" s="86"/>
      <x:c r="S319" s="32"/>
    </x:row>
    <x:row r="320">
      <x:c r="A320" s="87"/>
      <x:c r="B320" s="88"/>
      <x:c r="D320" s="32"/>
      <x:c r="G320" s="74"/>
      <x:c r="H320" s="74"/>
      <x:c r="I320" s="74"/>
      <x:c r="J320" s="74"/>
      <x:c r="K320" s="74"/>
      <x:c r="L320" s="74"/>
      <x:c r="M320" s="91"/>
      <x:c r="N320" s="91"/>
      <x:c r="O320" s="85"/>
      <x:c r="Q320" s="86"/>
      <x:c r="R320" s="86"/>
      <x:c r="S320" s="32"/>
    </x:row>
    <x:row r="321">
      <x:c r="A321" s="87"/>
      <x:c r="B321" s="88"/>
      <x:c r="D321" s="32"/>
      <x:c r="G321" s="74"/>
      <x:c r="H321" s="74"/>
      <x:c r="I321" s="74"/>
      <x:c r="J321" s="74"/>
      <x:c r="K321" s="74"/>
      <x:c r="L321" s="74"/>
      <x:c r="M321" s="91"/>
      <x:c r="N321" s="91"/>
      <x:c r="O321" s="85"/>
      <x:c r="Q321" s="86"/>
      <x:c r="R321" s="86"/>
      <x:c r="S321" s="32"/>
    </x:row>
    <x:row r="322">
      <x:c r="A322" s="87"/>
      <x:c r="B322" s="88"/>
      <x:c r="D322" s="32"/>
      <x:c r="G322" s="74"/>
      <x:c r="H322" s="74"/>
      <x:c r="I322" s="74"/>
      <x:c r="J322" s="74"/>
      <x:c r="K322" s="74"/>
      <x:c r="L322" s="74"/>
      <x:c r="M322" s="91"/>
      <x:c r="N322" s="91"/>
      <x:c r="O322" s="85"/>
      <x:c r="Q322" s="86"/>
      <x:c r="R322" s="86"/>
      <x:c r="S322" s="32"/>
    </x:row>
    <x:row r="323">
      <x:c r="A323" s="87"/>
      <x:c r="B323" s="88"/>
      <x:c r="D323" s="32"/>
      <x:c r="G323" s="74"/>
      <x:c r="H323" s="74"/>
      <x:c r="I323" s="74"/>
      <x:c r="J323" s="74"/>
      <x:c r="K323" s="74"/>
      <x:c r="L323" s="74"/>
      <x:c r="M323" s="91"/>
      <x:c r="N323" s="91"/>
      <x:c r="O323" s="85"/>
      <x:c r="Q323" s="86"/>
      <x:c r="R323" s="86"/>
      <x:c r="S323" s="32"/>
    </x:row>
    <x:row r="324">
      <x:c r="A324" s="87"/>
      <x:c r="B324" s="88"/>
      <x:c r="D324" s="32"/>
      <x:c r="G324" s="74"/>
      <x:c r="H324" s="74"/>
      <x:c r="I324" s="74"/>
      <x:c r="J324" s="74"/>
      <x:c r="K324" s="74"/>
      <x:c r="L324" s="74"/>
      <x:c r="M324" s="91"/>
      <x:c r="N324" s="91"/>
      <x:c r="O324" s="85"/>
      <x:c r="Q324" s="86"/>
      <x:c r="R324" s="86"/>
      <x:c r="S324" s="32"/>
    </x:row>
    <x:row r="325">
      <x:c r="A325" s="87"/>
      <x:c r="B325" s="88"/>
      <x:c r="D325" s="32"/>
      <x:c r="G325" s="74"/>
      <x:c r="H325" s="74"/>
      <x:c r="I325" s="74"/>
      <x:c r="J325" s="74"/>
      <x:c r="K325" s="74"/>
      <x:c r="L325" s="74"/>
      <x:c r="M325" s="91"/>
      <x:c r="N325" s="91"/>
      <x:c r="O325" s="85"/>
      <x:c r="Q325" s="86"/>
      <x:c r="R325" s="86"/>
      <x:c r="S325" s="32"/>
    </x:row>
    <x:row r="326">
      <x:c r="A326" s="87"/>
      <x:c r="B326" s="88"/>
      <x:c r="D326" s="32"/>
      <x:c r="G326" s="74"/>
      <x:c r="H326" s="74"/>
      <x:c r="I326" s="74"/>
      <x:c r="J326" s="74"/>
      <x:c r="K326" s="74"/>
      <x:c r="L326" s="74"/>
      <x:c r="M326" s="91"/>
      <x:c r="N326" s="91"/>
      <x:c r="O326" s="85"/>
      <x:c r="Q326" s="86"/>
      <x:c r="R326" s="86"/>
      <x:c r="S326" s="32"/>
    </x:row>
    <x:row r="327">
      <x:c r="A327" s="87"/>
      <x:c r="B327" s="88"/>
      <x:c r="D327" s="32"/>
      <x:c r="G327" s="74"/>
      <x:c r="H327" s="74"/>
      <x:c r="I327" s="74"/>
      <x:c r="J327" s="74"/>
      <x:c r="K327" s="74"/>
      <x:c r="L327" s="74"/>
      <x:c r="M327" s="91"/>
      <x:c r="N327" s="91"/>
      <x:c r="O327" s="85"/>
      <x:c r="Q327" s="86"/>
      <x:c r="R327" s="86"/>
      <x:c r="S327" s="32"/>
    </x:row>
    <x:row r="328">
      <x:c r="A328" s="87"/>
      <x:c r="B328" s="88"/>
      <x:c r="D328" s="32"/>
      <x:c r="G328" s="74"/>
      <x:c r="H328" s="74"/>
      <x:c r="I328" s="74"/>
      <x:c r="J328" s="74"/>
      <x:c r="K328" s="74"/>
      <x:c r="L328" s="74"/>
      <x:c r="M328" s="91"/>
      <x:c r="N328" s="91"/>
      <x:c r="O328" s="85"/>
      <x:c r="Q328" s="86"/>
      <x:c r="R328" s="86"/>
      <x:c r="S328" s="32"/>
    </x:row>
    <x:row r="329">
      <x:c r="A329" s="87"/>
      <x:c r="B329" s="88"/>
      <x:c r="D329" s="32"/>
      <x:c r="G329" s="74"/>
      <x:c r="H329" s="74"/>
      <x:c r="I329" s="74"/>
      <x:c r="J329" s="74"/>
      <x:c r="K329" s="74"/>
      <x:c r="L329" s="74"/>
      <x:c r="M329" s="91"/>
      <x:c r="N329" s="91"/>
      <x:c r="O329" s="85"/>
      <x:c r="Q329" s="86"/>
      <x:c r="R329" s="86"/>
      <x:c r="S329" s="32"/>
    </x:row>
    <x:row r="330">
      <x:c r="A330" s="87"/>
      <x:c r="B330" s="88"/>
      <x:c r="D330" s="32"/>
      <x:c r="G330" s="74"/>
      <x:c r="H330" s="74"/>
      <x:c r="I330" s="74"/>
      <x:c r="J330" s="74"/>
      <x:c r="K330" s="74"/>
      <x:c r="L330" s="74"/>
      <x:c r="M330" s="91"/>
      <x:c r="N330" s="91"/>
      <x:c r="O330" s="85"/>
      <x:c r="Q330" s="86"/>
      <x:c r="R330" s="86"/>
      <x:c r="S330" s="32"/>
    </x:row>
    <x:row r="331">
      <x:c r="A331" s="87"/>
      <x:c r="B331" s="88"/>
      <x:c r="D331" s="32"/>
      <x:c r="G331" s="74"/>
      <x:c r="H331" s="74"/>
      <x:c r="I331" s="74"/>
      <x:c r="J331" s="74"/>
      <x:c r="K331" s="74"/>
      <x:c r="L331" s="74"/>
      <x:c r="M331" s="91"/>
      <x:c r="N331" s="91"/>
      <x:c r="O331" s="85"/>
      <x:c r="Q331" s="86"/>
      <x:c r="R331" s="86"/>
      <x:c r="S331" s="32"/>
    </x:row>
    <x:row r="332">
      <x:c r="A332" s="87"/>
      <x:c r="B332" s="88"/>
      <x:c r="D332" s="32"/>
      <x:c r="G332" s="74"/>
      <x:c r="H332" s="74"/>
      <x:c r="I332" s="74"/>
      <x:c r="J332" s="74"/>
      <x:c r="K332" s="74"/>
      <x:c r="L332" s="74"/>
      <x:c r="M332" s="91"/>
      <x:c r="N332" s="91"/>
      <x:c r="O332" s="85"/>
      <x:c r="Q332" s="86"/>
      <x:c r="R332" s="86"/>
      <x:c r="S332" s="32"/>
    </x:row>
    <x:row r="333">
      <x:c r="A333" s="87"/>
      <x:c r="B333" s="88"/>
      <x:c r="D333" s="32"/>
      <x:c r="G333" s="74"/>
      <x:c r="H333" s="74"/>
      <x:c r="I333" s="74"/>
      <x:c r="J333" s="74"/>
      <x:c r="K333" s="74"/>
      <x:c r="L333" s="74"/>
      <x:c r="M333" s="91"/>
      <x:c r="N333" s="91"/>
      <x:c r="O333" s="85"/>
      <x:c r="Q333" s="86"/>
      <x:c r="R333" s="86"/>
      <x:c r="S333" s="32"/>
    </x:row>
    <x:row r="334">
      <x:c r="A334" s="87"/>
      <x:c r="B334" s="88"/>
      <x:c r="D334" s="32"/>
      <x:c r="G334" s="74"/>
      <x:c r="H334" s="74"/>
      <x:c r="I334" s="74"/>
      <x:c r="J334" s="74"/>
      <x:c r="K334" s="74"/>
      <x:c r="L334" s="74"/>
      <x:c r="M334" s="91"/>
      <x:c r="N334" s="91"/>
      <x:c r="O334" s="85"/>
      <x:c r="Q334" s="86"/>
      <x:c r="R334" s="86"/>
      <x:c r="S334" s="32"/>
    </x:row>
    <x:row r="335">
      <x:c r="A335" s="87"/>
      <x:c r="B335" s="88"/>
      <x:c r="D335" s="32"/>
      <x:c r="G335" s="74"/>
      <x:c r="H335" s="74"/>
      <x:c r="I335" s="74"/>
      <x:c r="J335" s="74"/>
      <x:c r="K335" s="74"/>
      <x:c r="L335" s="74"/>
      <x:c r="M335" s="91"/>
      <x:c r="N335" s="91"/>
      <x:c r="O335" s="85"/>
      <x:c r="Q335" s="86"/>
      <x:c r="R335" s="86"/>
      <x:c r="S335" s="32"/>
    </x:row>
    <x:row r="336">
      <x:c r="A336" s="87"/>
      <x:c r="B336" s="88"/>
      <x:c r="D336" s="32"/>
      <x:c r="G336" s="74"/>
      <x:c r="H336" s="74"/>
      <x:c r="I336" s="74"/>
      <x:c r="J336" s="74"/>
      <x:c r="K336" s="74"/>
      <x:c r="L336" s="74"/>
      <x:c r="M336" s="91"/>
      <x:c r="N336" s="91"/>
      <x:c r="O336" s="85"/>
      <x:c r="Q336" s="86"/>
      <x:c r="R336" s="86"/>
      <x:c r="S336" s="32"/>
    </x:row>
    <x:row r="337">
      <x:c r="A337" s="87"/>
      <x:c r="B337" s="88"/>
      <x:c r="D337" s="32"/>
      <x:c r="G337" s="74"/>
      <x:c r="H337" s="74"/>
      <x:c r="I337" s="74"/>
      <x:c r="J337" s="74"/>
      <x:c r="K337" s="74"/>
      <x:c r="L337" s="74"/>
      <x:c r="M337" s="91"/>
      <x:c r="N337" s="91"/>
      <x:c r="O337" s="85"/>
      <x:c r="Q337" s="86"/>
      <x:c r="R337" s="86"/>
      <x:c r="S337" s="32"/>
    </x:row>
    <x:row r="338">
      <x:c r="A338" s="87"/>
      <x:c r="B338" s="88"/>
      <x:c r="D338" s="32"/>
      <x:c r="G338" s="74"/>
      <x:c r="H338" s="74"/>
      <x:c r="I338" s="74"/>
      <x:c r="J338" s="74"/>
      <x:c r="K338" s="74"/>
      <x:c r="L338" s="74"/>
      <x:c r="M338" s="91"/>
      <x:c r="N338" s="91"/>
      <x:c r="O338" s="85"/>
      <x:c r="Q338" s="86"/>
      <x:c r="R338" s="86"/>
      <x:c r="S338" s="32"/>
    </x:row>
    <x:row r="339">
      <x:c r="A339" s="87"/>
      <x:c r="B339" s="88"/>
      <x:c r="D339" s="32"/>
      <x:c r="G339" s="74"/>
      <x:c r="H339" s="74"/>
      <x:c r="I339" s="74"/>
      <x:c r="J339" s="74"/>
      <x:c r="K339" s="74"/>
      <x:c r="L339" s="74"/>
      <x:c r="M339" s="91"/>
      <x:c r="N339" s="91"/>
      <x:c r="O339" s="85"/>
      <x:c r="Q339" s="86"/>
      <x:c r="R339" s="86"/>
      <x:c r="S339" s="32"/>
    </x:row>
    <x:row r="340">
      <x:c r="A340" s="87"/>
      <x:c r="B340" s="88"/>
      <x:c r="D340" s="32"/>
      <x:c r="G340" s="74"/>
      <x:c r="H340" s="74"/>
      <x:c r="I340" s="74"/>
      <x:c r="J340" s="74"/>
      <x:c r="K340" s="74"/>
      <x:c r="L340" s="74"/>
      <x:c r="M340" s="91"/>
      <x:c r="N340" s="91"/>
      <x:c r="O340" s="85"/>
      <x:c r="Q340" s="86"/>
      <x:c r="R340" s="86"/>
      <x:c r="S340" s="32"/>
    </x:row>
    <x:row r="341">
      <x:c r="A341" s="87"/>
      <x:c r="B341" s="88"/>
      <x:c r="D341" s="32"/>
      <x:c r="G341" s="74"/>
      <x:c r="H341" s="74"/>
      <x:c r="I341" s="74"/>
      <x:c r="J341" s="74"/>
      <x:c r="K341" s="74"/>
      <x:c r="L341" s="74"/>
      <x:c r="M341" s="91"/>
      <x:c r="N341" s="91"/>
      <x:c r="O341" s="85"/>
      <x:c r="Q341" s="86"/>
      <x:c r="R341" s="86"/>
      <x:c r="S341" s="32"/>
    </x:row>
    <x:row r="342">
      <x:c r="A342" s="87"/>
      <x:c r="B342" s="88"/>
      <x:c r="D342" s="32"/>
      <x:c r="G342" s="74"/>
      <x:c r="H342" s="74"/>
      <x:c r="I342" s="74"/>
      <x:c r="J342" s="74"/>
      <x:c r="K342" s="74"/>
      <x:c r="L342" s="74"/>
      <x:c r="M342" s="91"/>
      <x:c r="N342" s="91"/>
      <x:c r="O342" s="85"/>
      <x:c r="Q342" s="86"/>
      <x:c r="R342" s="86"/>
      <x:c r="S342" s="32"/>
    </x:row>
    <x:row r="343">
      <x:c r="A343" s="87"/>
      <x:c r="B343" s="88"/>
      <x:c r="D343" s="32"/>
      <x:c r="G343" s="74"/>
      <x:c r="H343" s="74"/>
      <x:c r="I343" s="74"/>
      <x:c r="J343" s="74"/>
      <x:c r="K343" s="74"/>
      <x:c r="L343" s="74"/>
      <x:c r="M343" s="91"/>
      <x:c r="N343" s="91"/>
      <x:c r="O343" s="85"/>
      <x:c r="Q343" s="86"/>
      <x:c r="R343" s="86"/>
      <x:c r="S343" s="32"/>
    </x:row>
    <x:row r="344">
      <x:c r="A344" s="87"/>
      <x:c r="B344" s="88"/>
      <x:c r="D344" s="32"/>
      <x:c r="G344" s="74"/>
      <x:c r="H344" s="74"/>
      <x:c r="I344" s="74"/>
      <x:c r="J344" s="74"/>
      <x:c r="K344" s="74"/>
      <x:c r="L344" s="74"/>
      <x:c r="M344" s="91"/>
      <x:c r="N344" s="91"/>
      <x:c r="O344" s="85"/>
      <x:c r="Q344" s="86"/>
      <x:c r="R344" s="86"/>
      <x:c r="S344" s="32"/>
    </x:row>
    <x:row r="345">
      <x:c r="A345" s="87"/>
      <x:c r="B345" s="88"/>
      <x:c r="D345" s="32"/>
      <x:c r="G345" s="74"/>
      <x:c r="H345" s="74"/>
      <x:c r="I345" s="74"/>
      <x:c r="J345" s="74"/>
      <x:c r="K345" s="74"/>
      <x:c r="L345" s="74"/>
      <x:c r="M345" s="91"/>
      <x:c r="N345" s="91"/>
      <x:c r="O345" s="85"/>
      <x:c r="Q345" s="86"/>
      <x:c r="R345" s="86"/>
      <x:c r="S345" s="32"/>
    </x:row>
    <x:row r="346">
      <x:c r="A346" s="87"/>
      <x:c r="B346" s="88"/>
      <x:c r="D346" s="32"/>
      <x:c r="G346" s="74"/>
      <x:c r="H346" s="74"/>
      <x:c r="I346" s="74"/>
      <x:c r="J346" s="74"/>
      <x:c r="K346" s="74"/>
      <x:c r="L346" s="74"/>
      <x:c r="M346" s="91"/>
      <x:c r="N346" s="91"/>
      <x:c r="O346" s="85"/>
      <x:c r="Q346" s="86"/>
      <x:c r="R346" s="86"/>
      <x:c r="S346" s="32"/>
    </x:row>
    <x:row r="347">
      <x:c r="A347" s="87"/>
      <x:c r="B347" s="88"/>
      <x:c r="D347" s="32"/>
      <x:c r="G347" s="74"/>
      <x:c r="H347" s="74"/>
      <x:c r="I347" s="74"/>
      <x:c r="J347" s="74"/>
      <x:c r="K347" s="74"/>
      <x:c r="L347" s="74"/>
      <x:c r="M347" s="91"/>
      <x:c r="N347" s="91"/>
      <x:c r="O347" s="85"/>
      <x:c r="Q347" s="86"/>
      <x:c r="R347" s="86"/>
      <x:c r="S347" s="32"/>
    </x:row>
    <x:row r="348">
      <x:c r="A348" s="87"/>
      <x:c r="B348" s="88"/>
      <x:c r="D348" s="32"/>
      <x:c r="G348" s="74"/>
      <x:c r="H348" s="74"/>
      <x:c r="I348" s="74"/>
      <x:c r="J348" s="74"/>
      <x:c r="K348" s="74"/>
      <x:c r="L348" s="74"/>
      <x:c r="M348" s="91"/>
      <x:c r="N348" s="91"/>
      <x:c r="O348" s="85"/>
      <x:c r="Q348" s="86"/>
      <x:c r="R348" s="86"/>
      <x:c r="S348" s="32"/>
    </x:row>
    <x:row r="349">
      <x:c r="A349" s="87"/>
      <x:c r="B349" s="88"/>
      <x:c r="D349" s="32"/>
      <x:c r="G349" s="74"/>
      <x:c r="H349" s="74"/>
      <x:c r="I349" s="74"/>
      <x:c r="J349" s="74"/>
      <x:c r="K349" s="74"/>
      <x:c r="L349" s="74"/>
      <x:c r="M349" s="91"/>
      <x:c r="N349" s="91"/>
      <x:c r="O349" s="85"/>
      <x:c r="Q349" s="86"/>
      <x:c r="R349" s="86"/>
      <x:c r="S349" s="32"/>
    </x:row>
    <x:row r="350">
      <x:c r="A350" s="87"/>
      <x:c r="B350" s="88"/>
      <x:c r="D350" s="32"/>
      <x:c r="G350" s="74"/>
      <x:c r="H350" s="74"/>
      <x:c r="I350" s="74"/>
      <x:c r="J350" s="74"/>
      <x:c r="K350" s="74"/>
      <x:c r="L350" s="74"/>
      <x:c r="M350" s="91"/>
      <x:c r="N350" s="91"/>
      <x:c r="O350" s="85"/>
      <x:c r="Q350" s="86"/>
      <x:c r="R350" s="86"/>
      <x:c r="S350" s="32"/>
    </x:row>
    <x:row r="351">
      <x:c r="A351" s="87"/>
      <x:c r="B351" s="88"/>
      <x:c r="D351" s="32"/>
      <x:c r="G351" s="74"/>
      <x:c r="H351" s="74"/>
      <x:c r="I351" s="74"/>
      <x:c r="J351" s="74"/>
      <x:c r="K351" s="74"/>
      <x:c r="L351" s="74"/>
      <x:c r="M351" s="91"/>
      <x:c r="N351" s="91"/>
      <x:c r="O351" s="85"/>
      <x:c r="Q351" s="86"/>
      <x:c r="R351" s="86"/>
      <x:c r="S351" s="32"/>
    </x:row>
    <x:row r="352">
      <x:c r="A352" s="87"/>
      <x:c r="B352" s="88"/>
      <x:c r="D352" s="32"/>
      <x:c r="G352" s="74"/>
      <x:c r="H352" s="74"/>
      <x:c r="I352" s="74"/>
      <x:c r="J352" s="74"/>
      <x:c r="K352" s="74"/>
      <x:c r="L352" s="74"/>
      <x:c r="M352" s="91"/>
      <x:c r="N352" s="91"/>
      <x:c r="O352" s="85"/>
      <x:c r="Q352" s="86"/>
      <x:c r="R352" s="86"/>
      <x:c r="S352" s="32"/>
    </x:row>
    <x:row r="353">
      <x:c r="A353" s="87"/>
      <x:c r="B353" s="88"/>
      <x:c r="D353" s="32"/>
      <x:c r="G353" s="74"/>
      <x:c r="H353" s="74"/>
      <x:c r="I353" s="74"/>
      <x:c r="J353" s="74"/>
      <x:c r="K353" s="74"/>
      <x:c r="L353" s="74"/>
      <x:c r="M353" s="91"/>
      <x:c r="N353" s="91"/>
      <x:c r="O353" s="85"/>
      <x:c r="Q353" s="86"/>
      <x:c r="R353" s="86"/>
      <x:c r="S353" s="32"/>
    </x:row>
    <x:row r="354">
      <x:c r="A354" s="87"/>
      <x:c r="B354" s="88"/>
      <x:c r="D354" s="32"/>
      <x:c r="G354" s="74"/>
      <x:c r="H354" s="74"/>
      <x:c r="I354" s="74"/>
      <x:c r="J354" s="74"/>
      <x:c r="K354" s="74"/>
      <x:c r="L354" s="74"/>
      <x:c r="M354" s="91"/>
      <x:c r="N354" s="91"/>
      <x:c r="O354" s="85"/>
      <x:c r="Q354" s="86"/>
      <x:c r="R354" s="86"/>
      <x:c r="S354" s="32"/>
    </x:row>
    <x:row r="355">
      <x:c r="A355" s="87"/>
      <x:c r="B355" s="88"/>
      <x:c r="D355" s="32"/>
      <x:c r="G355" s="74"/>
      <x:c r="H355" s="74"/>
      <x:c r="I355" s="74"/>
      <x:c r="J355" s="74"/>
      <x:c r="K355" s="74"/>
      <x:c r="L355" s="74"/>
      <x:c r="M355" s="91"/>
      <x:c r="N355" s="91"/>
      <x:c r="O355" s="85"/>
      <x:c r="Q355" s="86"/>
      <x:c r="R355" s="86"/>
      <x:c r="S355" s="32"/>
    </x:row>
    <x:row r="356">
      <x:c r="A356" s="87"/>
      <x:c r="B356" s="88"/>
      <x:c r="D356" s="32"/>
      <x:c r="G356" s="74"/>
      <x:c r="H356" s="74"/>
      <x:c r="I356" s="74"/>
      <x:c r="J356" s="74"/>
      <x:c r="K356" s="74"/>
      <x:c r="L356" s="74"/>
      <x:c r="M356" s="91"/>
      <x:c r="N356" s="91"/>
      <x:c r="O356" s="85"/>
      <x:c r="Q356" s="86"/>
      <x:c r="R356" s="86"/>
      <x:c r="S356" s="32"/>
    </x:row>
    <x:row r="357">
      <x:c r="A357" s="87"/>
      <x:c r="B357" s="88"/>
      <x:c r="D357" s="32"/>
      <x:c r="G357" s="74"/>
      <x:c r="H357" s="74"/>
      <x:c r="I357" s="74"/>
      <x:c r="J357" s="74"/>
      <x:c r="K357" s="74"/>
      <x:c r="L357" s="74"/>
      <x:c r="M357" s="91"/>
      <x:c r="N357" s="91"/>
      <x:c r="O357" s="85"/>
      <x:c r="Q357" s="86"/>
      <x:c r="R357" s="86"/>
      <x:c r="S357" s="32"/>
    </x:row>
    <x:row r="358">
      <x:c r="A358" s="87"/>
      <x:c r="B358" s="88"/>
      <x:c r="D358" s="32"/>
      <x:c r="G358" s="74"/>
      <x:c r="H358" s="74"/>
      <x:c r="I358" s="74"/>
      <x:c r="J358" s="74"/>
      <x:c r="K358" s="74"/>
      <x:c r="L358" s="74"/>
      <x:c r="M358" s="91"/>
      <x:c r="N358" s="91"/>
      <x:c r="O358" s="85"/>
      <x:c r="Q358" s="86"/>
      <x:c r="R358" s="86"/>
      <x:c r="S358" s="32"/>
    </x:row>
    <x:row r="359">
      <x:c r="A359" s="87"/>
      <x:c r="B359" s="88"/>
      <x:c r="D359" s="32"/>
      <x:c r="G359" s="74"/>
      <x:c r="H359" s="74"/>
      <x:c r="I359" s="74"/>
      <x:c r="J359" s="74"/>
      <x:c r="K359" s="74"/>
      <x:c r="L359" s="74"/>
      <x:c r="M359" s="91"/>
      <x:c r="N359" s="91"/>
      <x:c r="O359" s="85"/>
      <x:c r="Q359" s="86"/>
      <x:c r="R359" s="86"/>
      <x:c r="S359" s="32"/>
    </x:row>
    <x:row r="360">
      <x:c r="A360" s="87"/>
      <x:c r="B360" s="88"/>
      <x:c r="D360" s="32"/>
      <x:c r="G360" s="74"/>
      <x:c r="H360" s="74"/>
      <x:c r="I360" s="74"/>
      <x:c r="J360" s="74"/>
      <x:c r="K360" s="74"/>
      <x:c r="L360" s="74"/>
      <x:c r="M360" s="91"/>
      <x:c r="N360" s="91"/>
      <x:c r="O360" s="85"/>
      <x:c r="Q360" s="86"/>
      <x:c r="R360" s="86"/>
      <x:c r="S360" s="32"/>
    </x:row>
    <x:row r="361">
      <x:c r="A361" s="87"/>
      <x:c r="B361" s="88"/>
      <x:c r="D361" s="32"/>
      <x:c r="G361" s="74"/>
      <x:c r="H361" s="74"/>
      <x:c r="I361" s="74"/>
      <x:c r="J361" s="74"/>
      <x:c r="K361" s="74"/>
      <x:c r="L361" s="74"/>
      <x:c r="M361" s="91"/>
      <x:c r="N361" s="91"/>
      <x:c r="O361" s="85"/>
      <x:c r="Q361" s="86"/>
      <x:c r="R361" s="86"/>
      <x:c r="S361" s="32"/>
    </x:row>
    <x:row r="362">
      <x:c r="A362" s="87"/>
      <x:c r="B362" s="88"/>
      <x:c r="D362" s="32"/>
      <x:c r="G362" s="74"/>
      <x:c r="H362" s="74"/>
      <x:c r="I362" s="74"/>
      <x:c r="J362" s="74"/>
      <x:c r="K362" s="74"/>
      <x:c r="L362" s="74"/>
      <x:c r="M362" s="91"/>
      <x:c r="N362" s="91"/>
      <x:c r="O362" s="85"/>
      <x:c r="Q362" s="86"/>
      <x:c r="R362" s="86"/>
      <x:c r="S362" s="32"/>
    </x:row>
    <x:row r="363">
      <x:c r="A363" s="87"/>
      <x:c r="B363" s="88"/>
      <x:c r="D363" s="32"/>
      <x:c r="G363" s="74"/>
      <x:c r="H363" s="74"/>
      <x:c r="I363" s="74"/>
      <x:c r="J363" s="74"/>
      <x:c r="K363" s="74"/>
      <x:c r="L363" s="74"/>
      <x:c r="M363" s="91"/>
      <x:c r="N363" s="91"/>
      <x:c r="O363" s="85"/>
      <x:c r="Q363" s="86"/>
      <x:c r="R363" s="86"/>
      <x:c r="S363" s="32"/>
    </x:row>
    <x:row r="364">
      <x:c r="A364" s="87"/>
      <x:c r="B364" s="88"/>
      <x:c r="D364" s="32"/>
      <x:c r="G364" s="74"/>
      <x:c r="H364" s="74"/>
      <x:c r="I364" s="74"/>
      <x:c r="J364" s="74"/>
      <x:c r="K364" s="74"/>
      <x:c r="L364" s="74"/>
      <x:c r="M364" s="91"/>
      <x:c r="N364" s="91"/>
      <x:c r="O364" s="85"/>
      <x:c r="Q364" s="86"/>
      <x:c r="R364" s="86"/>
      <x:c r="S364" s="32"/>
    </x:row>
    <x:row r="365">
      <x:c r="A365" s="87"/>
      <x:c r="B365" s="88"/>
      <x:c r="D365" s="32"/>
      <x:c r="G365" s="74"/>
      <x:c r="H365" s="74"/>
      <x:c r="I365" s="74"/>
      <x:c r="J365" s="74"/>
      <x:c r="K365" s="74"/>
      <x:c r="L365" s="74"/>
      <x:c r="M365" s="91"/>
      <x:c r="N365" s="91"/>
      <x:c r="O365" s="85"/>
      <x:c r="Q365" s="86"/>
      <x:c r="R365" s="86"/>
      <x:c r="S365" s="32"/>
    </x:row>
    <x:row r="366">
      <x:c r="A366" s="87"/>
      <x:c r="B366" s="88"/>
      <x:c r="D366" s="32"/>
      <x:c r="G366" s="74"/>
      <x:c r="H366" s="74"/>
      <x:c r="I366" s="74"/>
      <x:c r="J366" s="74"/>
      <x:c r="K366" s="74"/>
      <x:c r="L366" s="74"/>
      <x:c r="M366" s="91"/>
      <x:c r="N366" s="91"/>
      <x:c r="O366" s="85"/>
      <x:c r="Q366" s="86"/>
      <x:c r="R366" s="86"/>
      <x:c r="S366" s="32"/>
    </x:row>
    <x:row r="367">
      <x:c r="A367" s="87"/>
      <x:c r="B367" s="88"/>
      <x:c r="D367" s="32"/>
      <x:c r="G367" s="74"/>
      <x:c r="H367" s="74"/>
      <x:c r="I367" s="74"/>
      <x:c r="J367" s="74"/>
      <x:c r="K367" s="74"/>
      <x:c r="L367" s="74"/>
      <x:c r="M367" s="91"/>
      <x:c r="N367" s="91"/>
      <x:c r="O367" s="85"/>
      <x:c r="Q367" s="86"/>
      <x:c r="R367" s="86"/>
      <x:c r="S367" s="32"/>
    </x:row>
    <x:row r="368">
      <x:c r="A368" s="87"/>
      <x:c r="B368" s="88"/>
      <x:c r="D368" s="32"/>
      <x:c r="G368" s="74"/>
      <x:c r="H368" s="74"/>
      <x:c r="I368" s="74"/>
      <x:c r="J368" s="74"/>
      <x:c r="K368" s="74"/>
      <x:c r="L368" s="74"/>
      <x:c r="M368" s="91"/>
      <x:c r="N368" s="91"/>
      <x:c r="O368" s="85"/>
      <x:c r="Q368" s="86"/>
      <x:c r="R368" s="86"/>
      <x:c r="S368" s="32"/>
    </x:row>
    <x:row r="369">
      <x:c r="A369" s="87"/>
      <x:c r="B369" s="88"/>
      <x:c r="D369" s="32"/>
      <x:c r="G369" s="74"/>
      <x:c r="H369" s="74"/>
      <x:c r="I369" s="74"/>
      <x:c r="J369" s="74"/>
      <x:c r="K369" s="74"/>
      <x:c r="L369" s="74"/>
      <x:c r="M369" s="91"/>
      <x:c r="N369" s="91"/>
      <x:c r="O369" s="85"/>
      <x:c r="Q369" s="86"/>
      <x:c r="R369" s="86"/>
      <x:c r="S369" s="32"/>
    </x:row>
    <x:row r="370">
      <x:c r="A370" s="87"/>
      <x:c r="B370" s="88"/>
      <x:c r="D370" s="32"/>
      <x:c r="G370" s="74"/>
      <x:c r="H370" s="74"/>
      <x:c r="I370" s="74"/>
      <x:c r="J370" s="74"/>
      <x:c r="K370" s="74"/>
      <x:c r="L370" s="74"/>
      <x:c r="M370" s="91"/>
      <x:c r="N370" s="91"/>
      <x:c r="O370" s="85"/>
      <x:c r="Q370" s="86"/>
      <x:c r="R370" s="86"/>
      <x:c r="S370" s="32"/>
    </x:row>
    <x:row r="371">
      <x:c r="A371" s="87"/>
      <x:c r="B371" s="88"/>
      <x:c r="D371" s="32"/>
      <x:c r="G371" s="74"/>
      <x:c r="H371" s="74"/>
      <x:c r="I371" s="74"/>
      <x:c r="J371" s="74"/>
      <x:c r="K371" s="74"/>
      <x:c r="L371" s="74"/>
      <x:c r="M371" s="91"/>
      <x:c r="N371" s="91"/>
      <x:c r="O371" s="85"/>
      <x:c r="Q371" s="86"/>
      <x:c r="R371" s="86"/>
      <x:c r="S371" s="32"/>
    </x:row>
    <x:row r="372">
      <x:c r="A372" s="87"/>
      <x:c r="B372" s="88"/>
      <x:c r="D372" s="32"/>
      <x:c r="G372" s="74"/>
      <x:c r="H372" s="74"/>
      <x:c r="I372" s="74"/>
      <x:c r="J372" s="74"/>
      <x:c r="K372" s="74"/>
      <x:c r="L372" s="74"/>
      <x:c r="M372" s="91"/>
      <x:c r="N372" s="91"/>
      <x:c r="O372" s="85"/>
      <x:c r="Q372" s="86"/>
      <x:c r="R372" s="86"/>
      <x:c r="S372" s="32"/>
    </x:row>
    <x:row r="373">
      <x:c r="A373" s="87"/>
      <x:c r="B373" s="88"/>
      <x:c r="D373" s="32"/>
      <x:c r="G373" s="74"/>
      <x:c r="H373" s="74"/>
      <x:c r="I373" s="74"/>
      <x:c r="J373" s="74"/>
      <x:c r="K373" s="74"/>
      <x:c r="L373" s="74"/>
      <x:c r="M373" s="91"/>
      <x:c r="N373" s="91"/>
      <x:c r="O373" s="85"/>
      <x:c r="Q373" s="86"/>
      <x:c r="R373" s="86"/>
      <x:c r="S373" s="32"/>
    </x:row>
    <x:row r="374">
      <x:c r="A374" s="87"/>
      <x:c r="B374" s="88"/>
      <x:c r="D374" s="32"/>
      <x:c r="G374" s="74"/>
      <x:c r="H374" s="74"/>
      <x:c r="I374" s="74"/>
      <x:c r="J374" s="74"/>
      <x:c r="K374" s="74"/>
      <x:c r="L374" s="74"/>
      <x:c r="M374" s="91"/>
      <x:c r="N374" s="91"/>
      <x:c r="O374" s="85"/>
      <x:c r="Q374" s="86"/>
      <x:c r="R374" s="86"/>
      <x:c r="S374" s="32"/>
    </x:row>
    <x:row r="375">
      <x:c r="A375" s="87"/>
      <x:c r="B375" s="88"/>
      <x:c r="D375" s="32"/>
      <x:c r="G375" s="74"/>
      <x:c r="H375" s="74"/>
      <x:c r="I375" s="74"/>
      <x:c r="J375" s="74"/>
      <x:c r="K375" s="74"/>
      <x:c r="L375" s="74"/>
      <x:c r="M375" s="91"/>
      <x:c r="N375" s="91"/>
      <x:c r="O375" s="85"/>
      <x:c r="Q375" s="86"/>
      <x:c r="R375" s="86"/>
      <x:c r="S375" s="32"/>
    </x:row>
    <x:row r="376">
      <x:c r="A376" s="87"/>
      <x:c r="B376" s="88"/>
      <x:c r="D376" s="32"/>
      <x:c r="G376" s="74"/>
      <x:c r="H376" s="74"/>
      <x:c r="I376" s="74"/>
      <x:c r="J376" s="74"/>
      <x:c r="K376" s="74"/>
      <x:c r="L376" s="74"/>
      <x:c r="M376" s="91"/>
      <x:c r="N376" s="91"/>
      <x:c r="O376" s="85"/>
      <x:c r="Q376" s="86"/>
      <x:c r="R376" s="86"/>
      <x:c r="S376" s="32"/>
    </x:row>
    <x:row r="377">
      <x:c r="A377" s="87"/>
      <x:c r="B377" s="88"/>
      <x:c r="D377" s="32"/>
      <x:c r="G377" s="74"/>
      <x:c r="H377" s="74"/>
      <x:c r="I377" s="74"/>
      <x:c r="J377" s="74"/>
      <x:c r="K377" s="74"/>
      <x:c r="L377" s="74"/>
      <x:c r="M377" s="91"/>
      <x:c r="N377" s="91"/>
      <x:c r="O377" s="85"/>
      <x:c r="Q377" s="86"/>
      <x:c r="R377" s="86"/>
      <x:c r="S377" s="32"/>
    </x:row>
    <x:row r="378">
      <x:c r="A378" s="87"/>
      <x:c r="B378" s="88"/>
      <x:c r="D378" s="32"/>
      <x:c r="G378" s="74"/>
      <x:c r="H378" s="74"/>
      <x:c r="I378" s="74"/>
      <x:c r="J378" s="74"/>
      <x:c r="K378" s="74"/>
      <x:c r="L378" s="74"/>
      <x:c r="M378" s="91"/>
      <x:c r="N378" s="91"/>
      <x:c r="O378" s="85"/>
      <x:c r="Q378" s="86"/>
      <x:c r="R378" s="86"/>
      <x:c r="S378" s="32"/>
    </x:row>
    <x:row r="379">
      <x:c r="A379" s="87"/>
      <x:c r="B379" s="88"/>
      <x:c r="D379" s="32"/>
      <x:c r="G379" s="74"/>
      <x:c r="H379" s="74"/>
      <x:c r="I379" s="74"/>
      <x:c r="J379" s="74"/>
      <x:c r="K379" s="74"/>
      <x:c r="L379" s="74"/>
      <x:c r="M379" s="91"/>
      <x:c r="N379" s="91"/>
      <x:c r="O379" s="85"/>
      <x:c r="Q379" s="86"/>
      <x:c r="R379" s="86"/>
      <x:c r="S379" s="32"/>
    </x:row>
    <x:row r="380">
      <x:c r="A380" s="87"/>
      <x:c r="B380" s="88"/>
      <x:c r="D380" s="32"/>
      <x:c r="G380" s="74"/>
      <x:c r="H380" s="74"/>
      <x:c r="I380" s="74"/>
      <x:c r="J380" s="74"/>
      <x:c r="K380" s="74"/>
      <x:c r="L380" s="74"/>
      <x:c r="M380" s="91"/>
      <x:c r="N380" s="91"/>
      <x:c r="O380" s="85"/>
      <x:c r="Q380" s="86"/>
      <x:c r="R380" s="86"/>
      <x:c r="S380" s="32"/>
    </x:row>
    <x:row r="381">
      <x:c r="A381" s="87"/>
      <x:c r="B381" s="88"/>
      <x:c r="D381" s="32"/>
      <x:c r="G381" s="74"/>
      <x:c r="H381" s="74"/>
      <x:c r="I381" s="74"/>
      <x:c r="J381" s="74"/>
      <x:c r="K381" s="74"/>
      <x:c r="L381" s="74"/>
      <x:c r="M381" s="91"/>
      <x:c r="N381" s="91"/>
      <x:c r="O381" s="85"/>
      <x:c r="Q381" s="86"/>
      <x:c r="R381" s="86"/>
      <x:c r="S381" s="32"/>
    </x:row>
    <x:row r="382">
      <x:c r="A382" s="87"/>
      <x:c r="B382" s="88"/>
      <x:c r="D382" s="32"/>
      <x:c r="G382" s="74"/>
      <x:c r="H382" s="74"/>
      <x:c r="I382" s="74"/>
      <x:c r="J382" s="74"/>
      <x:c r="K382" s="74"/>
      <x:c r="L382" s="74"/>
      <x:c r="M382" s="91"/>
      <x:c r="N382" s="91"/>
      <x:c r="O382" s="85"/>
      <x:c r="Q382" s="86"/>
      <x:c r="R382" s="86"/>
      <x:c r="S382" s="32"/>
    </x:row>
    <x:row r="383">
      <x:c r="A383" s="87"/>
      <x:c r="B383" s="88"/>
      <x:c r="D383" s="32"/>
      <x:c r="G383" s="74"/>
      <x:c r="H383" s="74"/>
      <x:c r="I383" s="74"/>
      <x:c r="J383" s="74"/>
      <x:c r="K383" s="74"/>
      <x:c r="L383" s="74"/>
      <x:c r="M383" s="91"/>
      <x:c r="N383" s="91"/>
      <x:c r="O383" s="85"/>
      <x:c r="Q383" s="86"/>
      <x:c r="R383" s="86"/>
      <x:c r="S383" s="32"/>
    </x:row>
    <x:row r="384">
      <x:c r="A384" s="87"/>
      <x:c r="B384" s="88"/>
      <x:c r="D384" s="32"/>
      <x:c r="G384" s="74"/>
      <x:c r="H384" s="74"/>
      <x:c r="I384" s="74"/>
      <x:c r="J384" s="74"/>
      <x:c r="K384" s="74"/>
      <x:c r="L384" s="74"/>
      <x:c r="M384" s="91"/>
      <x:c r="N384" s="91"/>
      <x:c r="O384" s="85"/>
      <x:c r="Q384" s="86"/>
      <x:c r="R384" s="86"/>
      <x:c r="S384" s="32"/>
    </x:row>
    <x:row r="385">
      <x:c r="A385" s="87"/>
      <x:c r="B385" s="88"/>
      <x:c r="D385" s="32"/>
      <x:c r="G385" s="74"/>
      <x:c r="H385" s="74"/>
      <x:c r="I385" s="74"/>
      <x:c r="J385" s="74"/>
      <x:c r="K385" s="74"/>
      <x:c r="L385" s="74"/>
      <x:c r="M385" s="91"/>
      <x:c r="N385" s="91"/>
      <x:c r="O385" s="85"/>
      <x:c r="Q385" s="86"/>
      <x:c r="R385" s="86"/>
      <x:c r="S385" s="32"/>
    </x:row>
    <x:row r="386">
      <x:c r="A386" s="87"/>
      <x:c r="B386" s="88"/>
      <x:c r="D386" s="32"/>
      <x:c r="G386" s="74"/>
      <x:c r="H386" s="74"/>
      <x:c r="I386" s="74"/>
      <x:c r="J386" s="74"/>
      <x:c r="K386" s="74"/>
      <x:c r="L386" s="74"/>
      <x:c r="M386" s="91"/>
      <x:c r="N386" s="91"/>
      <x:c r="O386" s="85"/>
      <x:c r="Q386" s="86"/>
      <x:c r="R386" s="86"/>
      <x:c r="S386" s="32"/>
    </x:row>
    <x:row r="387">
      <x:c r="A387" s="87"/>
      <x:c r="B387" s="88"/>
      <x:c r="D387" s="32"/>
      <x:c r="G387" s="74"/>
      <x:c r="H387" s="74"/>
      <x:c r="I387" s="74"/>
      <x:c r="J387" s="74"/>
      <x:c r="K387" s="74"/>
      <x:c r="L387" s="74"/>
      <x:c r="M387" s="91"/>
      <x:c r="N387" s="91"/>
      <x:c r="O387" s="85"/>
      <x:c r="Q387" s="86"/>
      <x:c r="R387" s="86"/>
      <x:c r="S387" s="32"/>
    </x:row>
    <x:row r="388">
      <x:c r="A388" s="87"/>
      <x:c r="B388" s="88"/>
      <x:c r="D388" s="32"/>
      <x:c r="G388" s="74"/>
      <x:c r="H388" s="74"/>
      <x:c r="I388" s="74"/>
      <x:c r="J388" s="74"/>
      <x:c r="K388" s="74"/>
      <x:c r="L388" s="74"/>
      <x:c r="M388" s="91"/>
      <x:c r="N388" s="91"/>
      <x:c r="O388" s="85"/>
      <x:c r="Q388" s="86"/>
      <x:c r="R388" s="86"/>
      <x:c r="S388" s="32"/>
    </x:row>
    <x:row r="389">
      <x:c r="A389" s="87"/>
      <x:c r="B389" s="88"/>
      <x:c r="D389" s="32"/>
      <x:c r="G389" s="74"/>
      <x:c r="H389" s="74"/>
      <x:c r="I389" s="74"/>
      <x:c r="J389" s="74"/>
      <x:c r="K389" s="74"/>
      <x:c r="L389" s="74"/>
      <x:c r="M389" s="91"/>
      <x:c r="N389" s="91"/>
      <x:c r="O389" s="85"/>
      <x:c r="Q389" s="86"/>
      <x:c r="R389" s="86"/>
      <x:c r="S389" s="32"/>
    </x:row>
    <x:row r="390">
      <x:c r="A390" s="87"/>
      <x:c r="B390" s="88"/>
      <x:c r="D390" s="32"/>
      <x:c r="G390" s="74"/>
      <x:c r="H390" s="74"/>
      <x:c r="I390" s="74"/>
      <x:c r="J390" s="74"/>
      <x:c r="K390" s="74"/>
      <x:c r="L390" s="74"/>
      <x:c r="M390" s="91"/>
      <x:c r="N390" s="91"/>
      <x:c r="O390" s="85"/>
      <x:c r="Q390" s="86"/>
      <x:c r="R390" s="86"/>
      <x:c r="S390" s="32"/>
    </x:row>
    <x:row r="391">
      <x:c r="A391" s="87"/>
      <x:c r="B391" s="88"/>
      <x:c r="D391" s="32"/>
      <x:c r="G391" s="74"/>
      <x:c r="H391" s="74"/>
      <x:c r="I391" s="74"/>
      <x:c r="J391" s="74"/>
      <x:c r="K391" s="74"/>
      <x:c r="L391" s="74"/>
      <x:c r="M391" s="91"/>
      <x:c r="N391" s="91"/>
      <x:c r="O391" s="85"/>
      <x:c r="Q391" s="86"/>
      <x:c r="R391" s="86"/>
      <x:c r="S391" s="32"/>
    </x:row>
    <x:row r="392">
      <x:c r="A392" s="87"/>
      <x:c r="B392" s="88"/>
      <x:c r="D392" s="32"/>
      <x:c r="G392" s="74"/>
      <x:c r="H392" s="74"/>
      <x:c r="I392" s="74"/>
      <x:c r="J392" s="74"/>
      <x:c r="K392" s="74"/>
      <x:c r="L392" s="74"/>
      <x:c r="M392" s="91"/>
      <x:c r="N392" s="91"/>
      <x:c r="O392" s="85"/>
      <x:c r="Q392" s="86"/>
      <x:c r="R392" s="86"/>
      <x:c r="S392" s="32"/>
    </x:row>
    <x:row r="393">
      <x:c r="A393" s="87"/>
      <x:c r="B393" s="88"/>
      <x:c r="D393" s="32"/>
      <x:c r="G393" s="74"/>
      <x:c r="H393" s="74"/>
      <x:c r="I393" s="74"/>
      <x:c r="J393" s="74"/>
      <x:c r="K393" s="74"/>
      <x:c r="L393" s="74"/>
      <x:c r="M393" s="91"/>
      <x:c r="N393" s="91"/>
      <x:c r="O393" s="85"/>
      <x:c r="Q393" s="86"/>
      <x:c r="R393" s="86"/>
      <x:c r="S393" s="32"/>
    </x:row>
    <x:row r="394">
      <x:c r="A394" s="87"/>
      <x:c r="B394" s="88"/>
      <x:c r="D394" s="32"/>
      <x:c r="G394" s="74"/>
      <x:c r="H394" s="74"/>
      <x:c r="I394" s="74"/>
      <x:c r="J394" s="74"/>
      <x:c r="K394" s="74"/>
      <x:c r="L394" s="74"/>
      <x:c r="M394" s="91"/>
      <x:c r="N394" s="91"/>
      <x:c r="O394" s="85"/>
      <x:c r="Q394" s="86"/>
      <x:c r="R394" s="86"/>
      <x:c r="S394" s="32"/>
    </x:row>
    <x:row r="395">
      <x:c r="A395" s="87"/>
      <x:c r="B395" s="88"/>
      <x:c r="D395" s="32"/>
      <x:c r="G395" s="74"/>
      <x:c r="H395" s="74"/>
      <x:c r="I395" s="74"/>
      <x:c r="J395" s="74"/>
      <x:c r="K395" s="74"/>
      <x:c r="L395" s="74"/>
      <x:c r="M395" s="91"/>
      <x:c r="N395" s="91"/>
      <x:c r="O395" s="85"/>
      <x:c r="Q395" s="86"/>
      <x:c r="R395" s="86"/>
      <x:c r="S395" s="32"/>
    </x:row>
    <x:row r="396">
      <x:c r="A396" s="87"/>
      <x:c r="B396" s="88"/>
      <x:c r="D396" s="32"/>
      <x:c r="G396" s="74"/>
      <x:c r="H396" s="74"/>
      <x:c r="I396" s="74"/>
      <x:c r="J396" s="74"/>
      <x:c r="K396" s="74"/>
      <x:c r="L396" s="74"/>
      <x:c r="M396" s="91"/>
      <x:c r="N396" s="91"/>
      <x:c r="O396" s="85"/>
      <x:c r="Q396" s="86"/>
      <x:c r="R396" s="86"/>
      <x:c r="S396" s="32"/>
    </x:row>
    <x:row r="397">
      <x:c r="A397" s="87"/>
      <x:c r="B397" s="88"/>
      <x:c r="D397" s="32"/>
      <x:c r="G397" s="74"/>
      <x:c r="H397" s="74"/>
      <x:c r="I397" s="74"/>
      <x:c r="J397" s="74"/>
      <x:c r="K397" s="74"/>
      <x:c r="L397" s="74"/>
      <x:c r="M397" s="91"/>
      <x:c r="N397" s="91"/>
      <x:c r="O397" s="85"/>
      <x:c r="Q397" s="86"/>
      <x:c r="R397" s="86"/>
      <x:c r="S397" s="32"/>
    </x:row>
    <x:row r="398">
      <x:c r="A398" s="87"/>
      <x:c r="B398" s="88"/>
      <x:c r="D398" s="32"/>
      <x:c r="G398" s="74"/>
      <x:c r="H398" s="74"/>
      <x:c r="I398" s="74"/>
      <x:c r="J398" s="74"/>
      <x:c r="K398" s="74"/>
      <x:c r="L398" s="74"/>
      <x:c r="M398" s="91"/>
      <x:c r="N398" s="91"/>
      <x:c r="O398" s="85"/>
      <x:c r="Q398" s="86"/>
      <x:c r="R398" s="86"/>
      <x:c r="S398" s="32"/>
    </x:row>
    <x:row r="399">
      <x:c r="A399" s="87"/>
      <x:c r="B399" s="88"/>
      <x:c r="D399" s="32"/>
      <x:c r="G399" s="74"/>
      <x:c r="H399" s="74"/>
      <x:c r="I399" s="74"/>
      <x:c r="J399" s="74"/>
      <x:c r="K399" s="74"/>
      <x:c r="L399" s="74"/>
      <x:c r="M399" s="91"/>
      <x:c r="N399" s="91"/>
      <x:c r="O399" s="85"/>
      <x:c r="Q399" s="86"/>
      <x:c r="R399" s="86"/>
      <x:c r="S399" s="32"/>
    </x:row>
    <x:row r="400">
      <x:c r="A400" s="87"/>
      <x:c r="B400" s="88"/>
      <x:c r="D400" s="32"/>
      <x:c r="G400" s="74"/>
      <x:c r="H400" s="74"/>
      <x:c r="I400" s="74"/>
      <x:c r="J400" s="74"/>
      <x:c r="K400" s="74"/>
      <x:c r="L400" s="74"/>
      <x:c r="M400" s="91"/>
      <x:c r="N400" s="91"/>
      <x:c r="O400" s="85"/>
      <x:c r="Q400" s="86"/>
      <x:c r="R400" s="86"/>
      <x:c r="S400" s="32"/>
    </x:row>
    <x:row r="401">
      <x:c r="A401" s="87"/>
      <x:c r="B401" s="88"/>
      <x:c r="D401" s="32"/>
      <x:c r="G401" s="74"/>
      <x:c r="H401" s="74"/>
      <x:c r="I401" s="74"/>
      <x:c r="J401" s="74"/>
      <x:c r="K401" s="74"/>
      <x:c r="L401" s="74"/>
      <x:c r="M401" s="91"/>
      <x:c r="N401" s="91"/>
      <x:c r="O401" s="85"/>
      <x:c r="Q401" s="86"/>
      <x:c r="R401" s="86"/>
      <x:c r="S401" s="32"/>
    </x:row>
    <x:row r="402">
      <x:c r="A402" s="87"/>
      <x:c r="B402" s="88"/>
      <x:c r="D402" s="32"/>
      <x:c r="G402" s="74"/>
      <x:c r="H402" s="74"/>
      <x:c r="I402" s="74"/>
      <x:c r="J402" s="74"/>
      <x:c r="K402" s="74"/>
      <x:c r="L402" s="74"/>
      <x:c r="M402" s="91"/>
      <x:c r="N402" s="91"/>
      <x:c r="O402" s="85"/>
      <x:c r="Q402" s="86"/>
      <x:c r="R402" s="86"/>
      <x:c r="S402" s="32"/>
    </x:row>
    <x:row r="403">
      <x:c r="A403" s="87"/>
      <x:c r="B403" s="88"/>
      <x:c r="D403" s="32"/>
      <x:c r="G403" s="74"/>
      <x:c r="H403" s="74"/>
      <x:c r="I403" s="74"/>
      <x:c r="J403" s="74"/>
      <x:c r="K403" s="74"/>
      <x:c r="L403" s="74"/>
      <x:c r="M403" s="91"/>
      <x:c r="N403" s="91"/>
      <x:c r="O403" s="85"/>
      <x:c r="Q403" s="86"/>
      <x:c r="R403" s="86"/>
      <x:c r="S403" s="32"/>
    </x:row>
    <x:row r="404">
      <x:c r="A404" s="87"/>
      <x:c r="B404" s="88"/>
      <x:c r="D404" s="32"/>
      <x:c r="G404" s="74"/>
      <x:c r="H404" s="74"/>
      <x:c r="I404" s="74"/>
      <x:c r="J404" s="74"/>
      <x:c r="K404" s="74"/>
      <x:c r="L404" s="74"/>
      <x:c r="M404" s="91"/>
      <x:c r="N404" s="91"/>
      <x:c r="O404" s="85"/>
      <x:c r="Q404" s="86"/>
      <x:c r="R404" s="86"/>
      <x:c r="S404" s="32"/>
    </x:row>
    <x:row r="405">
      <x:c r="A405" s="87"/>
      <x:c r="B405" s="88"/>
      <x:c r="D405" s="32"/>
      <x:c r="G405" s="74"/>
      <x:c r="H405" s="74"/>
      <x:c r="I405" s="74"/>
      <x:c r="J405" s="74"/>
      <x:c r="K405" s="74"/>
      <x:c r="L405" s="74"/>
      <x:c r="M405" s="91"/>
      <x:c r="N405" s="91"/>
      <x:c r="O405" s="85"/>
      <x:c r="Q405" s="86"/>
      <x:c r="R405" s="86"/>
      <x:c r="S405" s="32"/>
    </x:row>
    <x:row r="406">
      <x:c r="A406" s="87"/>
      <x:c r="B406" s="88"/>
      <x:c r="D406" s="32"/>
      <x:c r="G406" s="74"/>
      <x:c r="H406" s="74"/>
      <x:c r="I406" s="74"/>
      <x:c r="J406" s="74"/>
      <x:c r="K406" s="74"/>
      <x:c r="L406" s="74"/>
      <x:c r="M406" s="91"/>
      <x:c r="N406" s="91"/>
      <x:c r="O406" s="85"/>
      <x:c r="Q406" s="86"/>
      <x:c r="R406" s="86"/>
      <x:c r="S406" s="32"/>
    </x:row>
    <x:row r="407">
      <x:c r="A407" s="87"/>
      <x:c r="B407" s="88"/>
      <x:c r="D407" s="32"/>
      <x:c r="G407" s="74"/>
      <x:c r="H407" s="74"/>
      <x:c r="I407" s="74"/>
      <x:c r="J407" s="74"/>
      <x:c r="K407" s="74"/>
      <x:c r="L407" s="74"/>
      <x:c r="M407" s="91"/>
      <x:c r="N407" s="91"/>
      <x:c r="O407" s="85"/>
      <x:c r="Q407" s="86"/>
      <x:c r="R407" s="86"/>
      <x:c r="S407" s="32"/>
    </x:row>
    <x:row r="408">
      <x:c r="A408" s="87"/>
      <x:c r="B408" s="88"/>
      <x:c r="D408" s="32"/>
      <x:c r="G408" s="74"/>
      <x:c r="H408" s="74"/>
      <x:c r="I408" s="74"/>
      <x:c r="J408" s="74"/>
      <x:c r="K408" s="74"/>
      <x:c r="L408" s="74"/>
      <x:c r="M408" s="91"/>
      <x:c r="N408" s="91"/>
      <x:c r="O408" s="85"/>
      <x:c r="Q408" s="86"/>
      <x:c r="R408" s="86"/>
      <x:c r="S408" s="32"/>
    </x:row>
    <x:row r="409">
      <x:c r="A409" s="87"/>
      <x:c r="B409" s="88"/>
      <x:c r="D409" s="32"/>
      <x:c r="G409" s="74"/>
      <x:c r="H409" s="74"/>
      <x:c r="I409" s="74"/>
      <x:c r="J409" s="74"/>
      <x:c r="K409" s="74"/>
      <x:c r="L409" s="74"/>
      <x:c r="M409" s="91"/>
      <x:c r="N409" s="91"/>
      <x:c r="O409" s="85"/>
      <x:c r="Q409" s="86"/>
      <x:c r="R409" s="86"/>
      <x:c r="S409" s="32"/>
    </x:row>
    <x:row r="410">
      <x:c r="A410" s="87"/>
      <x:c r="B410" s="88"/>
      <x:c r="D410" s="32"/>
      <x:c r="G410" s="74"/>
      <x:c r="H410" s="74"/>
      <x:c r="I410" s="74"/>
      <x:c r="J410" s="74"/>
      <x:c r="K410" s="74"/>
      <x:c r="L410" s="74"/>
      <x:c r="M410" s="91"/>
      <x:c r="N410" s="91"/>
      <x:c r="O410" s="85"/>
      <x:c r="Q410" s="86"/>
      <x:c r="R410" s="86"/>
      <x:c r="S410" s="32"/>
    </x:row>
    <x:row r="411">
      <x:c r="A411" s="87"/>
      <x:c r="B411" s="88"/>
      <x:c r="D411" s="32"/>
      <x:c r="G411" s="74"/>
      <x:c r="H411" s="74"/>
      <x:c r="I411" s="74"/>
      <x:c r="J411" s="74"/>
      <x:c r="K411" s="74"/>
      <x:c r="L411" s="74"/>
      <x:c r="M411" s="91"/>
      <x:c r="N411" s="91"/>
      <x:c r="O411" s="85"/>
      <x:c r="Q411" s="86"/>
      <x:c r="R411" s="86"/>
      <x:c r="S411" s="32"/>
    </x:row>
    <x:row r="412">
      <x:c r="A412" s="87"/>
      <x:c r="B412" s="88"/>
      <x:c r="D412" s="32"/>
      <x:c r="G412" s="74"/>
      <x:c r="H412" s="74"/>
      <x:c r="I412" s="74"/>
      <x:c r="J412" s="74"/>
      <x:c r="K412" s="74"/>
      <x:c r="L412" s="74"/>
      <x:c r="M412" s="91"/>
      <x:c r="N412" s="91"/>
      <x:c r="O412" s="85"/>
      <x:c r="Q412" s="86"/>
      <x:c r="R412" s="86"/>
      <x:c r="S412" s="32"/>
    </x:row>
    <x:row r="413">
      <x:c r="A413" s="87"/>
      <x:c r="B413" s="88"/>
      <x:c r="D413" s="32"/>
      <x:c r="G413" s="74"/>
      <x:c r="H413" s="74"/>
      <x:c r="I413" s="74"/>
      <x:c r="J413" s="74"/>
      <x:c r="K413" s="74"/>
      <x:c r="L413" s="74"/>
      <x:c r="M413" s="91"/>
      <x:c r="N413" s="91"/>
      <x:c r="O413" s="85"/>
      <x:c r="Q413" s="86"/>
      <x:c r="R413" s="86"/>
      <x:c r="S413" s="32"/>
    </x:row>
    <x:row r="414">
      <x:c r="A414" s="87"/>
      <x:c r="B414" s="88"/>
      <x:c r="D414" s="32"/>
      <x:c r="G414" s="74"/>
      <x:c r="H414" s="74"/>
      <x:c r="I414" s="74"/>
      <x:c r="J414" s="74"/>
      <x:c r="K414" s="74"/>
      <x:c r="L414" s="74"/>
      <x:c r="M414" s="91"/>
      <x:c r="N414" s="91"/>
      <x:c r="O414" s="85"/>
      <x:c r="Q414" s="86"/>
      <x:c r="R414" s="86"/>
      <x:c r="S414" s="32"/>
    </x:row>
    <x:row r="415">
      <x:c r="A415" s="87"/>
      <x:c r="B415" s="88"/>
      <x:c r="D415" s="32"/>
      <x:c r="G415" s="74"/>
      <x:c r="H415" s="74"/>
      <x:c r="I415" s="74"/>
      <x:c r="J415" s="74"/>
      <x:c r="K415" s="74"/>
      <x:c r="L415" s="74"/>
      <x:c r="M415" s="91"/>
      <x:c r="N415" s="91"/>
      <x:c r="O415" s="85"/>
      <x:c r="Q415" s="86"/>
      <x:c r="R415" s="86"/>
      <x:c r="S415" s="32"/>
    </x:row>
    <x:row r="416">
      <x:c r="A416" s="87"/>
      <x:c r="B416" s="88"/>
      <x:c r="D416" s="32"/>
      <x:c r="G416" s="74"/>
      <x:c r="H416" s="74"/>
      <x:c r="I416" s="74"/>
      <x:c r="J416" s="74"/>
      <x:c r="K416" s="74"/>
      <x:c r="L416" s="74"/>
      <x:c r="M416" s="91"/>
      <x:c r="N416" s="91"/>
      <x:c r="O416" s="85"/>
      <x:c r="Q416" s="86"/>
      <x:c r="R416" s="86"/>
      <x:c r="S416" s="32"/>
    </x:row>
    <x:row r="417">
      <x:c r="A417" s="87"/>
      <x:c r="B417" s="88"/>
      <x:c r="D417" s="32"/>
      <x:c r="G417" s="74"/>
      <x:c r="H417" s="74"/>
      <x:c r="I417" s="74"/>
      <x:c r="J417" s="74"/>
      <x:c r="K417" s="74"/>
      <x:c r="L417" s="74"/>
      <x:c r="M417" s="91"/>
      <x:c r="N417" s="91"/>
      <x:c r="O417" s="85"/>
      <x:c r="Q417" s="86"/>
      <x:c r="R417" s="86"/>
      <x:c r="S417" s="32"/>
    </x:row>
    <x:row r="418">
      <x:c r="A418" s="87"/>
      <x:c r="B418" s="88"/>
      <x:c r="D418" s="32"/>
      <x:c r="G418" s="74"/>
      <x:c r="H418" s="74"/>
      <x:c r="I418" s="74"/>
      <x:c r="J418" s="74"/>
      <x:c r="K418" s="74"/>
      <x:c r="L418" s="74"/>
      <x:c r="M418" s="91"/>
      <x:c r="N418" s="91"/>
      <x:c r="O418" s="85"/>
      <x:c r="Q418" s="86"/>
      <x:c r="R418" s="86"/>
      <x:c r="S418" s="32"/>
    </x:row>
    <x:row r="419">
      <x:c r="A419" s="87"/>
      <x:c r="B419" s="88"/>
      <x:c r="D419" s="32"/>
      <x:c r="G419" s="74"/>
      <x:c r="H419" s="74"/>
      <x:c r="I419" s="74"/>
      <x:c r="J419" s="74"/>
      <x:c r="K419" s="74"/>
      <x:c r="L419" s="74"/>
      <x:c r="M419" s="91"/>
      <x:c r="N419" s="91"/>
      <x:c r="O419" s="85"/>
      <x:c r="Q419" s="86"/>
      <x:c r="R419" s="86"/>
      <x:c r="S419" s="32"/>
    </x:row>
    <x:row r="420">
      <x:c r="A420" s="87"/>
      <x:c r="B420" s="88"/>
      <x:c r="D420" s="32"/>
      <x:c r="G420" s="74"/>
      <x:c r="H420" s="74"/>
      <x:c r="I420" s="74"/>
      <x:c r="J420" s="74"/>
      <x:c r="K420" s="74"/>
      <x:c r="L420" s="74"/>
      <x:c r="M420" s="91"/>
      <x:c r="N420" s="91"/>
      <x:c r="O420" s="85"/>
      <x:c r="Q420" s="86"/>
      <x:c r="R420" s="86"/>
      <x:c r="S420" s="32"/>
    </x:row>
    <x:row r="421">
      <x:c r="A421" s="87"/>
      <x:c r="B421" s="88"/>
      <x:c r="D421" s="32"/>
      <x:c r="G421" s="74"/>
      <x:c r="H421" s="74"/>
      <x:c r="I421" s="74"/>
      <x:c r="J421" s="74"/>
      <x:c r="K421" s="74"/>
      <x:c r="L421" s="74"/>
      <x:c r="M421" s="91"/>
      <x:c r="N421" s="91"/>
      <x:c r="O421" s="85"/>
      <x:c r="Q421" s="86"/>
      <x:c r="R421" s="86"/>
      <x:c r="S421" s="32"/>
    </x:row>
    <x:row r="422">
      <x:c r="A422" s="87"/>
      <x:c r="B422" s="88"/>
      <x:c r="D422" s="32"/>
      <x:c r="G422" s="74"/>
      <x:c r="H422" s="74"/>
      <x:c r="I422" s="74"/>
      <x:c r="J422" s="74"/>
      <x:c r="K422" s="74"/>
      <x:c r="L422" s="74"/>
      <x:c r="M422" s="91"/>
      <x:c r="N422" s="91"/>
      <x:c r="O422" s="85"/>
      <x:c r="Q422" s="86"/>
      <x:c r="R422" s="86"/>
      <x:c r="S422" s="32"/>
    </x:row>
    <x:row r="423">
      <x:c r="A423" s="87"/>
      <x:c r="B423" s="88"/>
      <x:c r="D423" s="32"/>
      <x:c r="G423" s="74"/>
      <x:c r="H423" s="74"/>
      <x:c r="I423" s="74"/>
      <x:c r="J423" s="74"/>
      <x:c r="K423" s="74"/>
      <x:c r="L423" s="74"/>
      <x:c r="M423" s="91"/>
      <x:c r="N423" s="91"/>
      <x:c r="O423" s="85"/>
      <x:c r="Q423" s="86"/>
      <x:c r="R423" s="86"/>
      <x:c r="S423" s="32"/>
    </x:row>
    <x:row r="424">
      <x:c r="A424" s="87"/>
      <x:c r="B424" s="88"/>
      <x:c r="D424" s="32"/>
      <x:c r="G424" s="74"/>
      <x:c r="H424" s="74"/>
      <x:c r="I424" s="74"/>
      <x:c r="J424" s="74"/>
      <x:c r="K424" s="74"/>
      <x:c r="L424" s="74"/>
      <x:c r="M424" s="91"/>
      <x:c r="N424" s="91"/>
      <x:c r="O424" s="85"/>
      <x:c r="Q424" s="86"/>
      <x:c r="R424" s="86"/>
      <x:c r="S424" s="32"/>
    </x:row>
    <x:row r="425">
      <x:c r="A425" s="87"/>
      <x:c r="B425" s="88"/>
      <x:c r="D425" s="32"/>
      <x:c r="G425" s="74"/>
      <x:c r="H425" s="74"/>
      <x:c r="I425" s="74"/>
      <x:c r="J425" s="74"/>
      <x:c r="K425" s="74"/>
      <x:c r="L425" s="74"/>
      <x:c r="M425" s="91"/>
      <x:c r="N425" s="91"/>
      <x:c r="O425" s="85"/>
      <x:c r="Q425" s="86"/>
      <x:c r="R425" s="86"/>
      <x:c r="S425" s="32"/>
    </x:row>
    <x:row r="426">
      <x:c r="A426" s="87"/>
      <x:c r="B426" s="88"/>
      <x:c r="D426" s="32"/>
      <x:c r="G426" s="74"/>
      <x:c r="H426" s="74"/>
      <x:c r="I426" s="74"/>
      <x:c r="J426" s="74"/>
      <x:c r="K426" s="74"/>
      <x:c r="L426" s="74"/>
      <x:c r="M426" s="91"/>
      <x:c r="N426" s="91"/>
      <x:c r="O426" s="85"/>
      <x:c r="Q426" s="86"/>
      <x:c r="R426" s="86"/>
      <x:c r="S426" s="32"/>
    </x:row>
    <x:row r="427">
      <x:c r="A427" s="87"/>
      <x:c r="B427" s="88"/>
      <x:c r="D427" s="32"/>
      <x:c r="G427" s="74"/>
      <x:c r="H427" s="74"/>
      <x:c r="I427" s="74"/>
      <x:c r="J427" s="74"/>
      <x:c r="K427" s="74"/>
      <x:c r="L427" s="74"/>
      <x:c r="M427" s="91"/>
      <x:c r="N427" s="91"/>
      <x:c r="O427" s="85"/>
      <x:c r="Q427" s="86"/>
      <x:c r="R427" s="86"/>
      <x:c r="S427" s="32"/>
    </x:row>
    <x:row r="428">
      <x:c r="A428" s="87"/>
      <x:c r="B428" s="88"/>
      <x:c r="D428" s="32"/>
      <x:c r="G428" s="74"/>
      <x:c r="H428" s="74"/>
      <x:c r="I428" s="74"/>
      <x:c r="J428" s="74"/>
      <x:c r="K428" s="74"/>
      <x:c r="L428" s="74"/>
      <x:c r="M428" s="91"/>
      <x:c r="N428" s="91"/>
      <x:c r="O428" s="85"/>
      <x:c r="Q428" s="86"/>
      <x:c r="R428" s="86"/>
      <x:c r="S428" s="32"/>
    </x:row>
    <x:row r="429">
      <x:c r="A429" s="87"/>
      <x:c r="B429" s="88"/>
      <x:c r="D429" s="32"/>
      <x:c r="G429" s="74"/>
      <x:c r="H429" s="74"/>
      <x:c r="I429" s="74"/>
      <x:c r="J429" s="74"/>
      <x:c r="K429" s="74"/>
      <x:c r="L429" s="74"/>
      <x:c r="M429" s="91"/>
      <x:c r="N429" s="91"/>
      <x:c r="O429" s="85"/>
      <x:c r="Q429" s="86"/>
      <x:c r="R429" s="86"/>
      <x:c r="S429" s="32"/>
    </x:row>
    <x:row r="430">
      <x:c r="A430" s="87"/>
      <x:c r="B430" s="88"/>
      <x:c r="D430" s="32"/>
      <x:c r="G430" s="74"/>
      <x:c r="H430" s="74"/>
      <x:c r="I430" s="74"/>
      <x:c r="J430" s="74"/>
      <x:c r="K430" s="74"/>
      <x:c r="L430" s="74"/>
      <x:c r="M430" s="91"/>
      <x:c r="N430" s="91"/>
      <x:c r="O430" s="85"/>
      <x:c r="Q430" s="86"/>
      <x:c r="R430" s="86"/>
      <x:c r="S430" s="32"/>
    </x:row>
    <x:row r="431">
      <x:c r="A431" s="87"/>
      <x:c r="B431" s="88"/>
      <x:c r="D431" s="32"/>
      <x:c r="G431" s="74"/>
      <x:c r="H431" s="74"/>
      <x:c r="I431" s="74"/>
      <x:c r="J431" s="74"/>
      <x:c r="K431" s="74"/>
      <x:c r="L431" s="74"/>
      <x:c r="M431" s="91"/>
      <x:c r="N431" s="91"/>
      <x:c r="O431" s="85"/>
      <x:c r="Q431" s="86"/>
      <x:c r="R431" s="86"/>
      <x:c r="S431" s="32"/>
    </x:row>
    <x:row r="432">
      <x:c r="A432" s="87"/>
      <x:c r="B432" s="88"/>
      <x:c r="D432" s="32"/>
      <x:c r="G432" s="74"/>
      <x:c r="H432" s="74"/>
      <x:c r="I432" s="74"/>
      <x:c r="J432" s="74"/>
      <x:c r="K432" s="74"/>
      <x:c r="L432" s="74"/>
      <x:c r="M432" s="91"/>
      <x:c r="N432" s="91"/>
      <x:c r="O432" s="85"/>
      <x:c r="Q432" s="86"/>
      <x:c r="R432" s="86"/>
      <x:c r="S432" s="32"/>
    </x:row>
    <x:row r="433">
      <x:c r="A433" s="87"/>
      <x:c r="B433" s="88"/>
      <x:c r="D433" s="32"/>
      <x:c r="G433" s="74"/>
      <x:c r="H433" s="74"/>
      <x:c r="I433" s="74"/>
      <x:c r="J433" s="74"/>
      <x:c r="K433" s="74"/>
      <x:c r="L433" s="74"/>
      <x:c r="M433" s="91"/>
      <x:c r="N433" s="91"/>
      <x:c r="O433" s="85"/>
      <x:c r="Q433" s="86"/>
      <x:c r="R433" s="86"/>
      <x:c r="S433" s="32"/>
    </x:row>
    <x:row r="434">
      <x:c r="A434" s="87"/>
      <x:c r="B434" s="88"/>
      <x:c r="D434" s="32"/>
      <x:c r="G434" s="74"/>
      <x:c r="H434" s="74"/>
      <x:c r="I434" s="74"/>
      <x:c r="J434" s="74"/>
      <x:c r="K434" s="74"/>
      <x:c r="L434" s="74"/>
      <x:c r="M434" s="91"/>
      <x:c r="N434" s="91"/>
      <x:c r="O434" s="85"/>
      <x:c r="Q434" s="86"/>
      <x:c r="R434" s="86"/>
      <x:c r="S434" s="32"/>
    </x:row>
    <x:row r="435">
      <x:c r="A435" s="87"/>
      <x:c r="B435" s="88"/>
      <x:c r="D435" s="32"/>
      <x:c r="G435" s="74"/>
      <x:c r="H435" s="74"/>
      <x:c r="I435" s="74"/>
      <x:c r="J435" s="74"/>
      <x:c r="K435" s="74"/>
      <x:c r="L435" s="74"/>
      <x:c r="M435" s="91"/>
      <x:c r="N435" s="91"/>
      <x:c r="O435" s="85"/>
      <x:c r="Q435" s="86"/>
      <x:c r="R435" s="86"/>
      <x:c r="S435" s="32"/>
    </x:row>
    <x:row r="436">
      <x:c r="A436" s="87"/>
      <x:c r="B436" s="88"/>
      <x:c r="D436" s="32"/>
      <x:c r="G436" s="74"/>
      <x:c r="H436" s="74"/>
      <x:c r="I436" s="74"/>
      <x:c r="J436" s="74"/>
      <x:c r="K436" s="74"/>
      <x:c r="L436" s="74"/>
      <x:c r="M436" s="91"/>
      <x:c r="N436" s="91"/>
      <x:c r="O436" s="85"/>
      <x:c r="Q436" s="86"/>
      <x:c r="R436" s="86"/>
      <x:c r="S436" s="32"/>
    </x:row>
    <x:row r="437">
      <x:c r="A437" s="87"/>
      <x:c r="B437" s="88"/>
      <x:c r="D437" s="32"/>
      <x:c r="G437" s="74"/>
      <x:c r="H437" s="74"/>
      <x:c r="I437" s="74"/>
      <x:c r="J437" s="74"/>
      <x:c r="K437" s="74"/>
      <x:c r="L437" s="74"/>
      <x:c r="M437" s="91"/>
      <x:c r="N437" s="91"/>
      <x:c r="O437" s="85"/>
      <x:c r="Q437" s="86"/>
      <x:c r="R437" s="86"/>
      <x:c r="S437" s="32"/>
    </x:row>
    <x:row r="438">
      <x:c r="A438" s="87"/>
      <x:c r="B438" s="88"/>
      <x:c r="D438" s="32"/>
      <x:c r="G438" s="74"/>
      <x:c r="H438" s="74"/>
      <x:c r="I438" s="74"/>
      <x:c r="J438" s="74"/>
      <x:c r="K438" s="74"/>
      <x:c r="L438" s="74"/>
      <x:c r="M438" s="91"/>
      <x:c r="N438" s="91"/>
      <x:c r="O438" s="85"/>
      <x:c r="Q438" s="86"/>
      <x:c r="R438" s="86"/>
      <x:c r="S438" s="32"/>
    </x:row>
    <x:row r="439">
      <x:c r="A439" s="87"/>
      <x:c r="B439" s="88"/>
      <x:c r="D439" s="32"/>
      <x:c r="G439" s="74"/>
      <x:c r="H439" s="74"/>
      <x:c r="I439" s="74"/>
      <x:c r="J439" s="74"/>
      <x:c r="K439" s="74"/>
      <x:c r="L439" s="74"/>
      <x:c r="M439" s="91"/>
      <x:c r="N439" s="91"/>
      <x:c r="O439" s="85"/>
      <x:c r="Q439" s="86"/>
      <x:c r="R439" s="86"/>
      <x:c r="S439" s="32"/>
    </x:row>
    <x:row r="440">
      <x:c r="A440" s="87"/>
      <x:c r="B440" s="88"/>
      <x:c r="D440" s="32"/>
      <x:c r="G440" s="74"/>
      <x:c r="H440" s="74"/>
      <x:c r="I440" s="74"/>
      <x:c r="J440" s="74"/>
      <x:c r="K440" s="74"/>
      <x:c r="L440" s="74"/>
      <x:c r="M440" s="91"/>
      <x:c r="N440" s="91"/>
      <x:c r="O440" s="85"/>
      <x:c r="Q440" s="86"/>
      <x:c r="R440" s="86"/>
      <x:c r="S440" s="32"/>
    </x:row>
    <x:row r="441">
      <x:c r="A441" s="87"/>
      <x:c r="B441" s="88"/>
      <x:c r="D441" s="32"/>
      <x:c r="G441" s="74"/>
      <x:c r="H441" s="74"/>
      <x:c r="I441" s="74"/>
      <x:c r="J441" s="74"/>
      <x:c r="K441" s="74"/>
      <x:c r="L441" s="74"/>
      <x:c r="M441" s="91"/>
      <x:c r="N441" s="91"/>
      <x:c r="O441" s="85"/>
      <x:c r="Q441" s="86"/>
      <x:c r="R441" s="86"/>
      <x:c r="S441" s="32"/>
    </x:row>
    <x:row r="442">
      <x:c r="A442" s="87"/>
      <x:c r="B442" s="88"/>
      <x:c r="D442" s="32"/>
      <x:c r="G442" s="74"/>
      <x:c r="H442" s="74"/>
      <x:c r="I442" s="74"/>
      <x:c r="J442" s="74"/>
      <x:c r="K442" s="74"/>
      <x:c r="L442" s="74"/>
      <x:c r="M442" s="91"/>
      <x:c r="N442" s="91"/>
      <x:c r="O442" s="85"/>
      <x:c r="Q442" s="86"/>
      <x:c r="R442" s="86"/>
      <x:c r="S442" s="32"/>
    </x:row>
    <x:row r="443">
      <x:c r="A443" s="87"/>
      <x:c r="B443" s="88"/>
      <x:c r="D443" s="32"/>
      <x:c r="G443" s="74"/>
      <x:c r="H443" s="74"/>
      <x:c r="I443" s="74"/>
      <x:c r="J443" s="74"/>
      <x:c r="K443" s="74"/>
      <x:c r="L443" s="74"/>
      <x:c r="M443" s="91"/>
      <x:c r="N443" s="91"/>
      <x:c r="O443" s="85"/>
      <x:c r="Q443" s="86"/>
      <x:c r="R443" s="86"/>
      <x:c r="S443" s="32"/>
    </x:row>
    <x:row r="444">
      <x:c r="A444" s="87"/>
      <x:c r="B444" s="88"/>
      <x:c r="D444" s="32"/>
      <x:c r="G444" s="74"/>
      <x:c r="H444" s="74"/>
      <x:c r="I444" s="74"/>
      <x:c r="J444" s="74"/>
      <x:c r="K444" s="74"/>
      <x:c r="L444" s="74"/>
      <x:c r="M444" s="91"/>
      <x:c r="N444" s="91"/>
      <x:c r="O444" s="85"/>
      <x:c r="Q444" s="86"/>
      <x:c r="R444" s="86"/>
      <x:c r="S444" s="32"/>
    </x:row>
    <x:row r="445">
      <x:c r="A445" s="87"/>
      <x:c r="B445" s="88"/>
      <x:c r="D445" s="32"/>
      <x:c r="G445" s="74"/>
      <x:c r="H445" s="74"/>
      <x:c r="I445" s="74"/>
      <x:c r="J445" s="74"/>
      <x:c r="K445" s="74"/>
      <x:c r="L445" s="74"/>
      <x:c r="M445" s="91"/>
      <x:c r="N445" s="91"/>
      <x:c r="O445" s="85"/>
      <x:c r="Q445" s="86"/>
      <x:c r="R445" s="86"/>
      <x:c r="S445" s="32"/>
    </x:row>
    <x:row r="446">
      <x:c r="A446" s="87"/>
      <x:c r="B446" s="88"/>
      <x:c r="D446" s="32"/>
      <x:c r="G446" s="74"/>
      <x:c r="H446" s="74"/>
      <x:c r="I446" s="74"/>
      <x:c r="J446" s="74"/>
      <x:c r="K446" s="74"/>
      <x:c r="L446" s="74"/>
      <x:c r="M446" s="91"/>
      <x:c r="N446" s="91"/>
      <x:c r="O446" s="85"/>
      <x:c r="Q446" s="86"/>
      <x:c r="R446" s="86"/>
      <x:c r="S446" s="32"/>
    </x:row>
    <x:row r="447">
      <x:c r="A447" s="87"/>
      <x:c r="B447" s="88"/>
      <x:c r="D447" s="32"/>
      <x:c r="G447" s="74"/>
      <x:c r="H447" s="74"/>
      <x:c r="I447" s="74"/>
      <x:c r="J447" s="74"/>
      <x:c r="K447" s="74"/>
      <x:c r="L447" s="74"/>
      <x:c r="M447" s="91"/>
      <x:c r="N447" s="91"/>
      <x:c r="O447" s="85"/>
      <x:c r="Q447" s="86"/>
      <x:c r="R447" s="86"/>
      <x:c r="S447" s="32"/>
    </x:row>
    <x:row r="448">
      <x:c r="A448" s="87"/>
      <x:c r="B448" s="88"/>
      <x:c r="D448" s="32"/>
      <x:c r="G448" s="74"/>
      <x:c r="H448" s="74"/>
      <x:c r="I448" s="74"/>
      <x:c r="J448" s="74"/>
      <x:c r="K448" s="74"/>
      <x:c r="L448" s="74"/>
      <x:c r="M448" s="91"/>
      <x:c r="N448" s="91"/>
      <x:c r="O448" s="85"/>
      <x:c r="Q448" s="86"/>
      <x:c r="R448" s="86"/>
      <x:c r="S448" s="32"/>
    </x:row>
    <x:row r="449">
      <x:c r="A449" s="87"/>
      <x:c r="B449" s="88"/>
      <x:c r="D449" s="32"/>
      <x:c r="G449" s="74"/>
      <x:c r="H449" s="74"/>
      <x:c r="I449" s="74"/>
      <x:c r="J449" s="74"/>
      <x:c r="K449" s="74"/>
      <x:c r="L449" s="74"/>
      <x:c r="M449" s="91"/>
      <x:c r="N449" s="91"/>
      <x:c r="O449" s="85"/>
      <x:c r="Q449" s="86"/>
      <x:c r="R449" s="86"/>
      <x:c r="S449" s="32"/>
    </x:row>
    <x:row r="450">
      <x:c r="A450" s="87"/>
      <x:c r="B450" s="88"/>
      <x:c r="D450" s="32"/>
      <x:c r="G450" s="74"/>
      <x:c r="H450" s="74"/>
      <x:c r="I450" s="74"/>
      <x:c r="J450" s="74"/>
      <x:c r="K450" s="74"/>
      <x:c r="L450" s="74"/>
      <x:c r="M450" s="91"/>
      <x:c r="N450" s="91"/>
      <x:c r="O450" s="85"/>
      <x:c r="Q450" s="86"/>
      <x:c r="R450" s="86"/>
      <x:c r="S450" s="32"/>
    </x:row>
    <x:row r="451">
      <x:c r="A451" s="87"/>
      <x:c r="B451" s="88"/>
      <x:c r="D451" s="32"/>
      <x:c r="G451" s="74"/>
      <x:c r="H451" s="74"/>
      <x:c r="I451" s="74"/>
      <x:c r="J451" s="74"/>
      <x:c r="K451" s="74"/>
      <x:c r="L451" s="74"/>
      <x:c r="M451" s="91"/>
      <x:c r="N451" s="91"/>
      <x:c r="O451" s="85"/>
      <x:c r="Q451" s="86"/>
      <x:c r="R451" s="86"/>
      <x:c r="S451" s="32"/>
    </x:row>
    <x:row r="452">
      <x:c r="A452" s="87"/>
      <x:c r="B452" s="88"/>
      <x:c r="D452" s="32"/>
      <x:c r="G452" s="74"/>
      <x:c r="H452" s="74"/>
      <x:c r="I452" s="74"/>
      <x:c r="J452" s="74"/>
      <x:c r="K452" s="74"/>
      <x:c r="L452" s="74"/>
      <x:c r="M452" s="91"/>
      <x:c r="N452" s="91"/>
      <x:c r="O452" s="85"/>
      <x:c r="Q452" s="86"/>
      <x:c r="R452" s="86"/>
      <x:c r="S452" s="32"/>
    </x:row>
    <x:row r="453">
      <x:c r="A453" s="87"/>
      <x:c r="B453" s="88"/>
      <x:c r="D453" s="32"/>
      <x:c r="G453" s="74"/>
      <x:c r="H453" s="74"/>
      <x:c r="I453" s="74"/>
      <x:c r="J453" s="74"/>
      <x:c r="K453" s="74"/>
      <x:c r="L453" s="74"/>
      <x:c r="M453" s="91"/>
      <x:c r="N453" s="91"/>
      <x:c r="O453" s="85"/>
      <x:c r="Q453" s="86"/>
      <x:c r="R453" s="86"/>
      <x:c r="S453" s="32"/>
    </x:row>
    <x:row r="454">
      <x:c r="A454" s="87"/>
      <x:c r="B454" s="88"/>
      <x:c r="D454" s="32"/>
      <x:c r="G454" s="74"/>
      <x:c r="H454" s="74"/>
      <x:c r="I454" s="74"/>
      <x:c r="J454" s="74"/>
      <x:c r="K454" s="74"/>
      <x:c r="L454" s="74"/>
      <x:c r="M454" s="91"/>
      <x:c r="N454" s="91"/>
      <x:c r="O454" s="85"/>
      <x:c r="Q454" s="86"/>
      <x:c r="R454" s="86"/>
      <x:c r="S454" s="32"/>
    </x:row>
    <x:row r="455">
      <x:c r="A455" s="87"/>
      <x:c r="B455" s="88"/>
      <x:c r="D455" s="32"/>
      <x:c r="G455" s="74"/>
      <x:c r="H455" s="74"/>
      <x:c r="I455" s="74"/>
      <x:c r="J455" s="74"/>
      <x:c r="K455" s="74"/>
      <x:c r="L455" s="74"/>
      <x:c r="M455" s="91"/>
      <x:c r="N455" s="91"/>
      <x:c r="O455" s="85"/>
      <x:c r="Q455" s="86"/>
      <x:c r="R455" s="86"/>
      <x:c r="S455" s="32"/>
    </x:row>
    <x:row r="456">
      <x:c r="A456" s="87"/>
      <x:c r="B456" s="88"/>
      <x:c r="D456" s="32"/>
      <x:c r="G456" s="74"/>
      <x:c r="H456" s="74"/>
      <x:c r="I456" s="74"/>
      <x:c r="J456" s="74"/>
      <x:c r="K456" s="74"/>
      <x:c r="L456" s="74"/>
      <x:c r="M456" s="91"/>
      <x:c r="N456" s="91"/>
      <x:c r="O456" s="85"/>
      <x:c r="Q456" s="86"/>
      <x:c r="R456" s="86"/>
      <x:c r="S456" s="32"/>
    </x:row>
    <x:row r="457">
      <x:c r="A457" s="87"/>
      <x:c r="B457" s="88"/>
      <x:c r="D457" s="32"/>
      <x:c r="G457" s="74"/>
      <x:c r="H457" s="74"/>
      <x:c r="I457" s="74"/>
      <x:c r="J457" s="74"/>
      <x:c r="K457" s="74"/>
      <x:c r="L457" s="74"/>
      <x:c r="M457" s="91"/>
      <x:c r="N457" s="91"/>
      <x:c r="O457" s="85"/>
      <x:c r="Q457" s="86"/>
      <x:c r="R457" s="86"/>
      <x:c r="S457" s="32"/>
    </x:row>
    <x:row r="458">
      <x:c r="A458" s="87"/>
      <x:c r="B458" s="88"/>
      <x:c r="D458" s="32"/>
      <x:c r="G458" s="74"/>
      <x:c r="H458" s="74"/>
      <x:c r="I458" s="74"/>
      <x:c r="J458" s="74"/>
      <x:c r="K458" s="74"/>
      <x:c r="L458" s="74"/>
      <x:c r="M458" s="91"/>
      <x:c r="N458" s="91"/>
      <x:c r="O458" s="85"/>
      <x:c r="Q458" s="86"/>
      <x:c r="R458" s="86"/>
      <x:c r="S458" s="32"/>
    </x:row>
    <x:row r="459">
      <x:c r="A459" s="87"/>
      <x:c r="B459" s="88"/>
      <x:c r="D459" s="32"/>
      <x:c r="G459" s="74"/>
      <x:c r="H459" s="74"/>
      <x:c r="I459" s="74"/>
      <x:c r="J459" s="74"/>
      <x:c r="K459" s="74"/>
      <x:c r="L459" s="74"/>
      <x:c r="M459" s="91"/>
      <x:c r="N459" s="91"/>
      <x:c r="O459" s="85"/>
      <x:c r="Q459" s="86"/>
      <x:c r="R459" s="86"/>
      <x:c r="S459" s="32"/>
    </x:row>
    <x:row r="460">
      <x:c r="A460" s="87"/>
      <x:c r="B460" s="88"/>
      <x:c r="D460" s="32"/>
      <x:c r="G460" s="74"/>
      <x:c r="H460" s="74"/>
      <x:c r="I460" s="74"/>
      <x:c r="J460" s="74"/>
      <x:c r="K460" s="74"/>
      <x:c r="L460" s="74"/>
      <x:c r="M460" s="91"/>
      <x:c r="N460" s="91"/>
      <x:c r="O460" s="85"/>
      <x:c r="Q460" s="86"/>
      <x:c r="R460" s="86"/>
      <x:c r="S460" s="32"/>
    </x:row>
    <x:row r="461">
      <x:c r="A461" s="87"/>
      <x:c r="B461" s="88"/>
      <x:c r="D461" s="32"/>
      <x:c r="G461" s="74"/>
      <x:c r="H461" s="74"/>
      <x:c r="I461" s="74"/>
      <x:c r="J461" s="74"/>
      <x:c r="K461" s="74"/>
      <x:c r="L461" s="74"/>
      <x:c r="M461" s="91"/>
      <x:c r="N461" s="91"/>
      <x:c r="O461" s="85"/>
      <x:c r="Q461" s="86"/>
      <x:c r="R461" s="86"/>
      <x:c r="S461" s="32"/>
    </x:row>
    <x:row r="462">
      <x:c r="A462" s="87"/>
      <x:c r="B462" s="88"/>
      <x:c r="D462" s="32"/>
      <x:c r="G462" s="74"/>
      <x:c r="H462" s="74"/>
      <x:c r="I462" s="74"/>
      <x:c r="J462" s="74"/>
      <x:c r="K462" s="74"/>
      <x:c r="L462" s="74"/>
      <x:c r="M462" s="91"/>
      <x:c r="N462" s="91"/>
      <x:c r="O462" s="85"/>
      <x:c r="Q462" s="86"/>
      <x:c r="R462" s="86"/>
      <x:c r="S462" s="32"/>
    </x:row>
    <x:row r="463">
      <x:c r="A463" s="87"/>
      <x:c r="B463" s="88"/>
      <x:c r="D463" s="32"/>
      <x:c r="G463" s="74"/>
      <x:c r="H463" s="74"/>
      <x:c r="I463" s="74"/>
      <x:c r="J463" s="74"/>
      <x:c r="K463" s="74"/>
      <x:c r="L463" s="74"/>
      <x:c r="M463" s="91"/>
      <x:c r="N463" s="91"/>
      <x:c r="O463" s="85"/>
      <x:c r="Q463" s="86"/>
      <x:c r="R463" s="86"/>
      <x:c r="S463" s="32"/>
    </x:row>
    <x:row r="464">
      <x:c r="A464" s="87"/>
      <x:c r="B464" s="88"/>
      <x:c r="D464" s="32"/>
      <x:c r="G464" s="74"/>
      <x:c r="H464" s="74"/>
      <x:c r="I464" s="74"/>
      <x:c r="J464" s="74"/>
      <x:c r="K464" s="74"/>
      <x:c r="L464" s="74"/>
      <x:c r="M464" s="91"/>
      <x:c r="N464" s="91"/>
      <x:c r="O464" s="85"/>
      <x:c r="Q464" s="86"/>
      <x:c r="R464" s="86"/>
      <x:c r="S464" s="32"/>
    </x:row>
    <x:row r="465">
      <x:c r="A465" s="87"/>
      <x:c r="B465" s="88"/>
      <x:c r="D465" s="32"/>
      <x:c r="G465" s="74"/>
      <x:c r="H465" s="74"/>
      <x:c r="I465" s="74"/>
      <x:c r="J465" s="74"/>
      <x:c r="K465" s="74"/>
      <x:c r="L465" s="74"/>
      <x:c r="M465" s="91"/>
      <x:c r="N465" s="91"/>
      <x:c r="O465" s="85"/>
      <x:c r="Q465" s="86"/>
      <x:c r="R465" s="86"/>
      <x:c r="S465" s="32"/>
    </x:row>
    <x:row r="466">
      <x:c r="A466" s="87"/>
      <x:c r="B466" s="88"/>
      <x:c r="D466" s="32"/>
      <x:c r="G466" s="74"/>
      <x:c r="H466" s="74"/>
      <x:c r="I466" s="74"/>
      <x:c r="J466" s="74"/>
      <x:c r="K466" s="74"/>
      <x:c r="L466" s="74"/>
      <x:c r="M466" s="91"/>
      <x:c r="N466" s="91"/>
      <x:c r="O466" s="85"/>
      <x:c r="Q466" s="86"/>
      <x:c r="R466" s="86"/>
      <x:c r="S466" s="32"/>
    </x:row>
    <x:row r="467">
      <x:c r="A467" s="87"/>
      <x:c r="B467" s="88"/>
      <x:c r="D467" s="32"/>
      <x:c r="G467" s="74"/>
      <x:c r="H467" s="74"/>
      <x:c r="I467" s="74"/>
      <x:c r="J467" s="74"/>
      <x:c r="K467" s="74"/>
      <x:c r="L467" s="74"/>
      <x:c r="M467" s="91"/>
      <x:c r="N467" s="91"/>
      <x:c r="O467" s="85"/>
      <x:c r="Q467" s="86"/>
      <x:c r="R467" s="86"/>
      <x:c r="S467" s="32"/>
    </x:row>
    <x:row r="468">
      <x:c r="A468" s="87"/>
      <x:c r="B468" s="88"/>
      <x:c r="D468" s="32"/>
      <x:c r="G468" s="74"/>
      <x:c r="H468" s="74"/>
      <x:c r="I468" s="74"/>
      <x:c r="J468" s="74"/>
      <x:c r="K468" s="74"/>
      <x:c r="L468" s="74"/>
      <x:c r="M468" s="91"/>
      <x:c r="N468" s="91"/>
      <x:c r="O468" s="85"/>
      <x:c r="Q468" s="86"/>
      <x:c r="R468" s="86"/>
      <x:c r="S468" s="32"/>
    </x:row>
    <x:row r="469">
      <x:c r="A469" s="87"/>
      <x:c r="B469" s="88"/>
      <x:c r="D469" s="32"/>
      <x:c r="G469" s="74"/>
      <x:c r="H469" s="74"/>
      <x:c r="I469" s="74"/>
      <x:c r="J469" s="74"/>
      <x:c r="K469" s="74"/>
      <x:c r="L469" s="74"/>
      <x:c r="M469" s="91"/>
      <x:c r="N469" s="91"/>
      <x:c r="O469" s="85"/>
      <x:c r="Q469" s="86"/>
      <x:c r="R469" s="86"/>
      <x:c r="S469" s="32"/>
    </x:row>
    <x:row r="470">
      <x:c r="A470" s="87"/>
      <x:c r="B470" s="88"/>
      <x:c r="D470" s="32"/>
      <x:c r="G470" s="74"/>
      <x:c r="H470" s="74"/>
      <x:c r="I470" s="74"/>
      <x:c r="J470" s="74"/>
      <x:c r="K470" s="74"/>
      <x:c r="L470" s="74"/>
      <x:c r="M470" s="91"/>
      <x:c r="N470" s="91"/>
      <x:c r="O470" s="85"/>
      <x:c r="Q470" s="86"/>
      <x:c r="R470" s="86"/>
      <x:c r="S470" s="32"/>
    </x:row>
    <x:row r="471">
      <x:c r="A471" s="87"/>
      <x:c r="B471" s="88"/>
      <x:c r="D471" s="32"/>
      <x:c r="G471" s="74"/>
      <x:c r="H471" s="74"/>
      <x:c r="I471" s="74"/>
      <x:c r="J471" s="74"/>
      <x:c r="K471" s="74"/>
      <x:c r="L471" s="74"/>
      <x:c r="M471" s="91"/>
      <x:c r="N471" s="91"/>
      <x:c r="O471" s="85"/>
      <x:c r="Q471" s="86"/>
      <x:c r="R471" s="86"/>
      <x:c r="S471" s="32"/>
    </x:row>
    <x:row r="472">
      <x:c r="A472" s="87"/>
      <x:c r="B472" s="88"/>
      <x:c r="D472" s="32"/>
      <x:c r="G472" s="74"/>
      <x:c r="H472" s="74"/>
      <x:c r="I472" s="74"/>
      <x:c r="J472" s="74"/>
      <x:c r="K472" s="74"/>
      <x:c r="L472" s="74"/>
      <x:c r="M472" s="91"/>
      <x:c r="N472" s="91"/>
      <x:c r="O472" s="85"/>
      <x:c r="Q472" s="86"/>
      <x:c r="R472" s="86"/>
      <x:c r="S472" s="32"/>
    </x:row>
    <x:row r="473">
      <x:c r="A473" s="87"/>
      <x:c r="B473" s="88"/>
      <x:c r="D473" s="32"/>
      <x:c r="G473" s="74"/>
      <x:c r="H473" s="74"/>
      <x:c r="I473" s="74"/>
      <x:c r="J473" s="74"/>
      <x:c r="K473" s="74"/>
      <x:c r="L473" s="74"/>
      <x:c r="M473" s="91"/>
      <x:c r="N473" s="91"/>
      <x:c r="O473" s="85"/>
      <x:c r="Q473" s="86"/>
      <x:c r="R473" s="86"/>
      <x:c r="S473" s="32"/>
    </x:row>
    <x:row r="474">
      <x:c r="A474" s="87"/>
      <x:c r="B474" s="88"/>
      <x:c r="D474" s="32"/>
      <x:c r="G474" s="74"/>
      <x:c r="H474" s="74"/>
      <x:c r="I474" s="74"/>
      <x:c r="J474" s="74"/>
      <x:c r="K474" s="74"/>
      <x:c r="L474" s="74"/>
      <x:c r="M474" s="91"/>
      <x:c r="N474" s="91"/>
      <x:c r="O474" s="85"/>
      <x:c r="Q474" s="86"/>
      <x:c r="R474" s="86"/>
      <x:c r="S474" s="32"/>
    </x:row>
    <x:row r="475">
      <x:c r="A475" s="87"/>
      <x:c r="B475" s="88"/>
      <x:c r="D475" s="32"/>
      <x:c r="G475" s="74"/>
      <x:c r="H475" s="74"/>
      <x:c r="I475" s="74"/>
      <x:c r="J475" s="74"/>
      <x:c r="K475" s="74"/>
      <x:c r="L475" s="74"/>
      <x:c r="M475" s="91"/>
      <x:c r="N475" s="91"/>
      <x:c r="O475" s="85"/>
      <x:c r="Q475" s="86"/>
      <x:c r="R475" s="86"/>
      <x:c r="S475" s="32"/>
    </x:row>
    <x:row r="476">
      <x:c r="A476" s="87"/>
      <x:c r="B476" s="88"/>
      <x:c r="D476" s="32"/>
      <x:c r="G476" s="74"/>
      <x:c r="H476" s="74"/>
      <x:c r="I476" s="74"/>
      <x:c r="J476" s="74"/>
      <x:c r="K476" s="74"/>
      <x:c r="L476" s="74"/>
      <x:c r="M476" s="91"/>
      <x:c r="N476" s="91"/>
      <x:c r="O476" s="85"/>
      <x:c r="Q476" s="86"/>
      <x:c r="R476" s="86"/>
      <x:c r="S476" s="32"/>
    </x:row>
    <x:row r="477">
      <x:c r="A477" s="87"/>
      <x:c r="B477" s="88"/>
      <x:c r="D477" s="32"/>
      <x:c r="G477" s="74"/>
      <x:c r="H477" s="74"/>
      <x:c r="I477" s="74"/>
      <x:c r="J477" s="74"/>
      <x:c r="K477" s="74"/>
      <x:c r="L477" s="74"/>
      <x:c r="M477" s="91"/>
      <x:c r="N477" s="91"/>
      <x:c r="O477" s="85"/>
      <x:c r="Q477" s="86"/>
      <x:c r="R477" s="86"/>
      <x:c r="S477" s="32"/>
    </x:row>
    <x:row r="478">
      <x:c r="A478" s="87"/>
      <x:c r="B478" s="88"/>
      <x:c r="D478" s="32"/>
      <x:c r="G478" s="74"/>
      <x:c r="H478" s="74"/>
      <x:c r="I478" s="74"/>
      <x:c r="J478" s="74"/>
      <x:c r="K478" s="74"/>
      <x:c r="L478" s="74"/>
      <x:c r="M478" s="91"/>
      <x:c r="N478" s="91"/>
      <x:c r="O478" s="85"/>
      <x:c r="Q478" s="86"/>
      <x:c r="R478" s="86"/>
      <x:c r="S478" s="32"/>
    </x:row>
    <x:row r="479">
      <x:c r="A479" s="87"/>
      <x:c r="B479" s="88"/>
      <x:c r="D479" s="32"/>
      <x:c r="G479" s="74"/>
      <x:c r="H479" s="74"/>
      <x:c r="I479" s="74"/>
      <x:c r="J479" s="74"/>
      <x:c r="K479" s="74"/>
      <x:c r="L479" s="74"/>
      <x:c r="M479" s="91"/>
      <x:c r="N479" s="91"/>
      <x:c r="O479" s="85"/>
      <x:c r="Q479" s="86"/>
      <x:c r="R479" s="86"/>
      <x:c r="S479" s="32"/>
    </x:row>
    <x:row r="480">
      <x:c r="A480" s="87"/>
      <x:c r="B480" s="88"/>
      <x:c r="D480" s="32"/>
      <x:c r="G480" s="74"/>
      <x:c r="H480" s="74"/>
      <x:c r="I480" s="74"/>
      <x:c r="J480" s="74"/>
      <x:c r="K480" s="74"/>
      <x:c r="L480" s="74"/>
      <x:c r="M480" s="91"/>
      <x:c r="N480" s="91"/>
      <x:c r="O480" s="85"/>
      <x:c r="Q480" s="86"/>
      <x:c r="R480" s="86"/>
      <x:c r="S480" s="32"/>
    </x:row>
    <x:row r="481">
      <x:c r="A481" s="87"/>
      <x:c r="B481" s="88"/>
      <x:c r="D481" s="32"/>
      <x:c r="G481" s="74"/>
      <x:c r="H481" s="74"/>
      <x:c r="I481" s="74"/>
      <x:c r="J481" s="74"/>
      <x:c r="K481" s="74"/>
      <x:c r="L481" s="74"/>
      <x:c r="M481" s="91"/>
      <x:c r="N481" s="91"/>
      <x:c r="O481" s="85"/>
      <x:c r="Q481" s="86"/>
      <x:c r="R481" s="86"/>
      <x:c r="S481" s="32"/>
    </x:row>
    <x:row r="482">
      <x:c r="A482" s="87"/>
      <x:c r="B482" s="88"/>
      <x:c r="D482" s="32"/>
      <x:c r="G482" s="74"/>
      <x:c r="H482" s="74"/>
      <x:c r="I482" s="74"/>
      <x:c r="J482" s="74"/>
      <x:c r="K482" s="74"/>
      <x:c r="L482" s="74"/>
      <x:c r="M482" s="91"/>
      <x:c r="N482" s="91"/>
      <x:c r="O482" s="85"/>
      <x:c r="Q482" s="86"/>
      <x:c r="R482" s="86"/>
      <x:c r="S482" s="32"/>
    </x:row>
    <x:row r="483">
      <x:c r="A483" s="87"/>
      <x:c r="B483" s="88"/>
      <x:c r="D483" s="32"/>
      <x:c r="G483" s="74"/>
      <x:c r="H483" s="74"/>
      <x:c r="I483" s="74"/>
      <x:c r="J483" s="74"/>
      <x:c r="K483" s="74"/>
      <x:c r="L483" s="74"/>
      <x:c r="M483" s="91"/>
      <x:c r="N483" s="91"/>
      <x:c r="O483" s="85"/>
      <x:c r="Q483" s="86"/>
      <x:c r="R483" s="86"/>
      <x:c r="S483" s="32"/>
    </x:row>
    <x:row r="484">
      <x:c r="A484" s="87"/>
      <x:c r="B484" s="88"/>
      <x:c r="D484" s="32"/>
      <x:c r="G484" s="74"/>
      <x:c r="H484" s="74"/>
      <x:c r="I484" s="74"/>
      <x:c r="J484" s="74"/>
      <x:c r="K484" s="74"/>
      <x:c r="L484" s="74"/>
      <x:c r="M484" s="91"/>
      <x:c r="N484" s="91"/>
      <x:c r="O484" s="85"/>
      <x:c r="Q484" s="86"/>
      <x:c r="R484" s="86"/>
      <x:c r="S484" s="32"/>
    </x:row>
    <x:row r="485">
      <x:c r="A485" s="87"/>
      <x:c r="B485" s="88"/>
      <x:c r="D485" s="32"/>
      <x:c r="G485" s="74"/>
      <x:c r="H485" s="74"/>
      <x:c r="I485" s="74"/>
      <x:c r="J485" s="74"/>
      <x:c r="K485" s="74"/>
      <x:c r="L485" s="74"/>
      <x:c r="M485" s="91"/>
      <x:c r="N485" s="91"/>
      <x:c r="O485" s="85"/>
      <x:c r="Q485" s="86"/>
      <x:c r="R485" s="86"/>
      <x:c r="S485" s="32"/>
    </x:row>
    <x:row r="486">
      <x:c r="A486" s="87"/>
      <x:c r="B486" s="88"/>
      <x:c r="D486" s="32"/>
      <x:c r="G486" s="74"/>
      <x:c r="H486" s="74"/>
      <x:c r="I486" s="74"/>
      <x:c r="J486" s="74"/>
      <x:c r="K486" s="74"/>
      <x:c r="L486" s="74"/>
      <x:c r="M486" s="91"/>
      <x:c r="N486" s="91"/>
      <x:c r="O486" s="85"/>
      <x:c r="Q486" s="86"/>
      <x:c r="R486" s="86"/>
      <x:c r="S486" s="32"/>
    </x:row>
    <x:row r="487">
      <x:c r="A487" s="87"/>
      <x:c r="B487" s="88"/>
      <x:c r="D487" s="32"/>
      <x:c r="G487" s="74"/>
      <x:c r="H487" s="74"/>
      <x:c r="I487" s="74"/>
      <x:c r="J487" s="74"/>
      <x:c r="K487" s="74"/>
      <x:c r="L487" s="74"/>
      <x:c r="M487" s="91"/>
      <x:c r="N487" s="91"/>
      <x:c r="O487" s="85"/>
      <x:c r="Q487" s="86"/>
      <x:c r="R487" s="86"/>
      <x:c r="S487" s="32"/>
    </x:row>
    <x:row r="488">
      <x:c r="A488" s="87"/>
      <x:c r="B488" s="88"/>
      <x:c r="D488" s="32"/>
      <x:c r="G488" s="74"/>
      <x:c r="H488" s="74"/>
      <x:c r="I488" s="74"/>
      <x:c r="J488" s="74"/>
      <x:c r="K488" s="74"/>
      <x:c r="L488" s="74"/>
      <x:c r="M488" s="91"/>
      <x:c r="N488" s="91"/>
      <x:c r="O488" s="85"/>
      <x:c r="Q488" s="86"/>
      <x:c r="R488" s="86"/>
      <x:c r="S488" s="32"/>
    </x:row>
    <x:row r="489">
      <x:c r="A489" s="87"/>
      <x:c r="B489" s="88"/>
      <x:c r="D489" s="32"/>
      <x:c r="G489" s="74"/>
      <x:c r="H489" s="74"/>
      <x:c r="I489" s="74"/>
      <x:c r="J489" s="74"/>
      <x:c r="K489" s="74"/>
      <x:c r="L489" s="74"/>
      <x:c r="M489" s="91"/>
      <x:c r="N489" s="91"/>
      <x:c r="O489" s="85"/>
      <x:c r="Q489" s="86"/>
      <x:c r="R489" s="86"/>
      <x:c r="S489" s="32"/>
    </x:row>
    <x:row r="490">
      <x:c r="A490" s="87"/>
      <x:c r="B490" s="88"/>
      <x:c r="D490" s="32"/>
      <x:c r="G490" s="74"/>
      <x:c r="H490" s="74"/>
      <x:c r="I490" s="74"/>
      <x:c r="J490" s="74"/>
      <x:c r="K490" s="74"/>
      <x:c r="L490" s="74"/>
      <x:c r="M490" s="91"/>
      <x:c r="N490" s="91"/>
      <x:c r="O490" s="85"/>
      <x:c r="Q490" s="86"/>
      <x:c r="R490" s="86"/>
      <x:c r="S490" s="32"/>
    </x:row>
    <x:row r="491">
      <x:c r="A491" s="87"/>
      <x:c r="B491" s="88"/>
      <x:c r="D491" s="32"/>
      <x:c r="G491" s="74"/>
      <x:c r="H491" s="74"/>
      <x:c r="I491" s="74"/>
      <x:c r="J491" s="74"/>
      <x:c r="K491" s="74"/>
      <x:c r="L491" s="74"/>
      <x:c r="M491" s="91"/>
      <x:c r="N491" s="91"/>
      <x:c r="O491" s="85"/>
      <x:c r="Q491" s="86"/>
      <x:c r="R491" s="86"/>
      <x:c r="S491" s="32"/>
    </x:row>
    <x:row r="492">
      <x:c r="A492" s="87"/>
      <x:c r="B492" s="88"/>
      <x:c r="D492" s="32"/>
      <x:c r="G492" s="74"/>
      <x:c r="H492" s="74"/>
      <x:c r="I492" s="74"/>
      <x:c r="J492" s="74"/>
      <x:c r="K492" s="74"/>
      <x:c r="L492" s="74"/>
      <x:c r="M492" s="91"/>
      <x:c r="N492" s="91"/>
      <x:c r="O492" s="85"/>
      <x:c r="Q492" s="86"/>
      <x:c r="R492" s="86"/>
      <x:c r="S492" s="32"/>
    </x:row>
    <x:row r="493">
      <x:c r="A493" s="87"/>
      <x:c r="B493" s="88"/>
      <x:c r="D493" s="32"/>
      <x:c r="G493" s="74"/>
      <x:c r="H493" s="74"/>
      <x:c r="I493" s="74"/>
      <x:c r="J493" s="74"/>
      <x:c r="K493" s="74"/>
      <x:c r="L493" s="74"/>
      <x:c r="M493" s="91"/>
      <x:c r="N493" s="91"/>
      <x:c r="O493" s="85"/>
      <x:c r="Q493" s="86"/>
      <x:c r="R493" s="86"/>
      <x:c r="S493" s="32"/>
    </x:row>
    <x:row r="494">
      <x:c r="A494" s="87"/>
      <x:c r="B494" s="88"/>
      <x:c r="D494" s="32"/>
      <x:c r="G494" s="74"/>
      <x:c r="H494" s="74"/>
      <x:c r="I494" s="74"/>
      <x:c r="J494" s="74"/>
      <x:c r="K494" s="74"/>
      <x:c r="L494" s="74"/>
      <x:c r="M494" s="91"/>
      <x:c r="N494" s="91"/>
      <x:c r="O494" s="85"/>
      <x:c r="Q494" s="86"/>
      <x:c r="R494" s="86"/>
      <x:c r="S494" s="32"/>
    </x:row>
    <x:row r="495">
      <x:c r="A495" s="87"/>
      <x:c r="B495" s="88"/>
      <x:c r="D495" s="32"/>
      <x:c r="G495" s="74"/>
      <x:c r="H495" s="74"/>
      <x:c r="I495" s="74"/>
      <x:c r="J495" s="74"/>
      <x:c r="K495" s="74"/>
      <x:c r="L495" s="74"/>
      <x:c r="M495" s="91"/>
      <x:c r="N495" s="91"/>
      <x:c r="O495" s="85"/>
      <x:c r="Q495" s="86"/>
      <x:c r="R495" s="86"/>
      <x:c r="S495" s="32"/>
    </x:row>
    <x:row r="496">
      <x:c r="A496" s="87"/>
      <x:c r="B496" s="88"/>
      <x:c r="D496" s="32"/>
      <x:c r="G496" s="74"/>
      <x:c r="H496" s="74"/>
      <x:c r="I496" s="74"/>
      <x:c r="J496" s="74"/>
      <x:c r="K496" s="74"/>
      <x:c r="L496" s="74"/>
      <x:c r="M496" s="91"/>
      <x:c r="N496" s="91"/>
      <x:c r="O496" s="85"/>
      <x:c r="Q496" s="86"/>
      <x:c r="R496" s="86"/>
      <x:c r="S496" s="32"/>
    </x:row>
    <x:row r="497">
      <x:c r="A497" s="87"/>
      <x:c r="B497" s="88"/>
      <x:c r="D497" s="32"/>
      <x:c r="G497" s="74"/>
      <x:c r="H497" s="74"/>
      <x:c r="I497" s="74"/>
      <x:c r="J497" s="74"/>
      <x:c r="K497" s="74"/>
      <x:c r="L497" s="74"/>
      <x:c r="M497" s="91"/>
      <x:c r="N497" s="91"/>
      <x:c r="O497" s="85"/>
      <x:c r="Q497" s="86"/>
      <x:c r="R497" s="86"/>
      <x:c r="S497" s="32"/>
    </x:row>
    <x:row r="498">
      <x:c r="A498" s="87"/>
      <x:c r="B498" s="88"/>
      <x:c r="D498" s="32"/>
      <x:c r="G498" s="74"/>
      <x:c r="H498" s="74"/>
      <x:c r="I498" s="74"/>
      <x:c r="J498" s="74"/>
      <x:c r="K498" s="74"/>
      <x:c r="L498" s="74"/>
      <x:c r="M498" s="91"/>
      <x:c r="N498" s="91"/>
      <x:c r="O498" s="85"/>
      <x:c r="Q498" s="86"/>
      <x:c r="R498" s="86"/>
      <x:c r="S498" s="32"/>
    </x:row>
    <x:row r="499">
      <x:c r="A499" s="87"/>
      <x:c r="B499" s="88"/>
      <x:c r="D499" s="32"/>
      <x:c r="G499" s="74"/>
      <x:c r="H499" s="74"/>
      <x:c r="I499" s="74"/>
      <x:c r="J499" s="74"/>
      <x:c r="K499" s="74"/>
      <x:c r="L499" s="74"/>
      <x:c r="M499" s="91"/>
      <x:c r="N499" s="91"/>
      <x:c r="O499" s="85"/>
      <x:c r="Q499" s="86"/>
      <x:c r="R499" s="86"/>
      <x:c r="S499" s="32"/>
    </x:row>
    <x:row r="500">
      <x:c r="A500" s="87"/>
      <x:c r="B500" s="88"/>
      <x:c r="D500" s="32"/>
      <x:c r="G500" s="74"/>
      <x:c r="H500" s="74"/>
      <x:c r="I500" s="74"/>
      <x:c r="J500" s="74"/>
      <x:c r="K500" s="74"/>
      <x:c r="L500" s="74"/>
      <x:c r="M500" s="91"/>
      <x:c r="N500" s="91"/>
      <x:c r="O500" s="85"/>
      <x:c r="Q500" s="86"/>
      <x:c r="R500" s="86"/>
      <x:c r="S500" s="32"/>
    </x:row>
    <x:row r="501">
      <x:c r="A501" s="87"/>
      <x:c r="B501" s="88"/>
      <x:c r="D501" s="32"/>
      <x:c r="G501" s="74"/>
      <x:c r="H501" s="74"/>
      <x:c r="I501" s="74"/>
      <x:c r="J501" s="74"/>
      <x:c r="K501" s="74"/>
      <x:c r="L501" s="74"/>
      <x:c r="M501" s="91"/>
      <x:c r="N501" s="91"/>
      <x:c r="O501" s="85"/>
      <x:c r="Q501" s="86"/>
      <x:c r="R501" s="86"/>
      <x:c r="S501" s="32"/>
    </x:row>
    <x:row r="502">
      <x:c r="A502" s="87"/>
      <x:c r="B502" s="88"/>
      <x:c r="D502" s="32"/>
      <x:c r="G502" s="74"/>
      <x:c r="H502" s="74"/>
      <x:c r="I502" s="74"/>
      <x:c r="J502" s="74"/>
      <x:c r="K502" s="74"/>
      <x:c r="L502" s="74"/>
      <x:c r="M502" s="91"/>
      <x:c r="N502" s="91"/>
      <x:c r="O502" s="85"/>
      <x:c r="Q502" s="86"/>
      <x:c r="R502" s="86"/>
      <x:c r="S502" s="32"/>
    </x:row>
    <x:row r="503">
      <x:c r="A503" s="87"/>
      <x:c r="B503" s="88"/>
      <x:c r="D503" s="32"/>
      <x:c r="G503" s="74"/>
      <x:c r="H503" s="74"/>
      <x:c r="I503" s="74"/>
      <x:c r="J503" s="74"/>
      <x:c r="K503" s="74"/>
      <x:c r="L503" s="74"/>
      <x:c r="M503" s="91"/>
      <x:c r="N503" s="91"/>
      <x:c r="O503" s="85"/>
      <x:c r="Q503" s="86"/>
      <x:c r="R503" s="86"/>
      <x:c r="S503" s="32"/>
    </x:row>
    <x:row r="504">
      <x:c r="A504" s="87"/>
      <x:c r="B504" s="88"/>
      <x:c r="D504" s="32"/>
      <x:c r="G504" s="74"/>
      <x:c r="H504" s="74"/>
      <x:c r="I504" s="74"/>
      <x:c r="J504" s="74"/>
      <x:c r="K504" s="74"/>
      <x:c r="L504" s="74"/>
      <x:c r="M504" s="91"/>
      <x:c r="N504" s="91"/>
      <x:c r="O504" s="85"/>
      <x:c r="Q504" s="86"/>
      <x:c r="R504" s="86"/>
      <x:c r="S504" s="32"/>
    </x:row>
    <x:row r="505">
      <x:c r="A505" s="87"/>
      <x:c r="B505" s="88"/>
      <x:c r="D505" s="32"/>
      <x:c r="G505" s="74"/>
      <x:c r="H505" s="74"/>
      <x:c r="I505" s="74"/>
      <x:c r="J505" s="74"/>
      <x:c r="K505" s="74"/>
      <x:c r="L505" s="74"/>
      <x:c r="M505" s="91"/>
      <x:c r="N505" s="91"/>
      <x:c r="O505" s="85"/>
      <x:c r="Q505" s="86"/>
      <x:c r="R505" s="86"/>
      <x:c r="S505" s="32"/>
    </x:row>
    <x:row r="506">
      <x:c r="A506" s="87"/>
      <x:c r="B506" s="88"/>
      <x:c r="D506" s="32"/>
      <x:c r="G506" s="74"/>
      <x:c r="H506" s="74"/>
      <x:c r="I506" s="74"/>
      <x:c r="J506" s="74"/>
      <x:c r="K506" s="74"/>
      <x:c r="L506" s="74"/>
      <x:c r="M506" s="91"/>
      <x:c r="N506" s="91"/>
      <x:c r="O506" s="85"/>
      <x:c r="Q506" s="86"/>
      <x:c r="R506" s="86"/>
      <x:c r="S506" s="32"/>
    </x:row>
    <x:row r="507">
      <x:c r="A507" s="87"/>
      <x:c r="B507" s="88"/>
      <x:c r="D507" s="32"/>
      <x:c r="G507" s="74"/>
      <x:c r="H507" s="74"/>
      <x:c r="I507" s="74"/>
      <x:c r="J507" s="74"/>
      <x:c r="K507" s="74"/>
      <x:c r="L507" s="74"/>
      <x:c r="M507" s="91"/>
      <x:c r="N507" s="91"/>
      <x:c r="O507" s="85"/>
      <x:c r="Q507" s="86"/>
      <x:c r="R507" s="86"/>
      <x:c r="S507" s="32"/>
    </x:row>
    <x:row r="508">
      <x:c r="A508" s="87"/>
      <x:c r="B508" s="88"/>
      <x:c r="D508" s="32"/>
      <x:c r="G508" s="74"/>
      <x:c r="H508" s="74"/>
      <x:c r="I508" s="74"/>
      <x:c r="J508" s="74"/>
      <x:c r="K508" s="74"/>
      <x:c r="L508" s="74"/>
      <x:c r="M508" s="91"/>
      <x:c r="N508" s="91"/>
      <x:c r="O508" s="85"/>
      <x:c r="Q508" s="86"/>
      <x:c r="R508" s="86"/>
      <x:c r="S508" s="32"/>
    </x:row>
    <x:row r="509">
      <x:c r="A509" s="87"/>
      <x:c r="B509" s="88"/>
      <x:c r="D509" s="32"/>
      <x:c r="G509" s="74"/>
      <x:c r="H509" s="74"/>
      <x:c r="I509" s="74"/>
      <x:c r="J509" s="74"/>
      <x:c r="K509" s="74"/>
      <x:c r="L509" s="74"/>
      <x:c r="M509" s="91"/>
      <x:c r="N509" s="91"/>
      <x:c r="O509" s="85"/>
      <x:c r="Q509" s="86"/>
      <x:c r="R509" s="86"/>
      <x:c r="S509" s="32"/>
    </x:row>
    <x:row r="510">
      <x:c r="A510" s="87"/>
      <x:c r="B510" s="88"/>
      <x:c r="D510" s="32"/>
      <x:c r="G510" s="74"/>
      <x:c r="H510" s="74"/>
      <x:c r="I510" s="74"/>
      <x:c r="J510" s="74"/>
      <x:c r="K510" s="74"/>
      <x:c r="L510" s="74"/>
      <x:c r="M510" s="91"/>
      <x:c r="N510" s="91"/>
      <x:c r="O510" s="85"/>
      <x:c r="Q510" s="86"/>
      <x:c r="R510" s="86"/>
      <x:c r="S510" s="32"/>
    </x:row>
    <x:row r="511">
      <x:c r="A511" s="87"/>
      <x:c r="B511" s="88"/>
      <x:c r="D511" s="32"/>
      <x:c r="G511" s="74"/>
      <x:c r="H511" s="74"/>
      <x:c r="I511" s="74"/>
      <x:c r="J511" s="74"/>
      <x:c r="K511" s="74"/>
      <x:c r="L511" s="74"/>
      <x:c r="M511" s="91"/>
      <x:c r="N511" s="91"/>
      <x:c r="O511" s="85"/>
      <x:c r="Q511" s="86"/>
      <x:c r="R511" s="86"/>
      <x:c r="S511" s="32"/>
    </x:row>
    <x:row r="512">
      <x:c r="A512" s="87"/>
      <x:c r="B512" s="88"/>
      <x:c r="D512" s="32"/>
      <x:c r="G512" s="74"/>
      <x:c r="H512" s="74"/>
      <x:c r="I512" s="74"/>
      <x:c r="J512" s="74"/>
      <x:c r="K512" s="74"/>
      <x:c r="L512" s="74"/>
      <x:c r="M512" s="91"/>
      <x:c r="N512" s="91"/>
      <x:c r="O512" s="85"/>
      <x:c r="Q512" s="86"/>
      <x:c r="R512" s="86"/>
      <x:c r="S512" s="32"/>
    </x:row>
    <x:row r="513">
      <x:c r="A513" s="87"/>
      <x:c r="B513" s="88"/>
      <x:c r="D513" s="32"/>
      <x:c r="G513" s="74"/>
      <x:c r="H513" s="74"/>
      <x:c r="I513" s="74"/>
      <x:c r="J513" s="74"/>
      <x:c r="K513" s="74"/>
      <x:c r="L513" s="74"/>
      <x:c r="M513" s="91"/>
      <x:c r="N513" s="91"/>
      <x:c r="O513" s="85"/>
      <x:c r="Q513" s="86"/>
      <x:c r="R513" s="86"/>
      <x:c r="S513" s="32"/>
    </x:row>
    <x:row r="514">
      <x:c r="A514" s="87"/>
      <x:c r="B514" s="88"/>
      <x:c r="D514" s="32"/>
      <x:c r="G514" s="74"/>
      <x:c r="H514" s="74"/>
      <x:c r="I514" s="74"/>
      <x:c r="J514" s="74"/>
      <x:c r="K514" s="74"/>
      <x:c r="L514" s="74"/>
      <x:c r="M514" s="91"/>
      <x:c r="N514" s="91"/>
      <x:c r="O514" s="85"/>
      <x:c r="Q514" s="86"/>
      <x:c r="R514" s="86"/>
      <x:c r="S514" s="32"/>
    </x:row>
    <x:row r="515">
      <x:c r="A515" s="87"/>
      <x:c r="B515" s="88"/>
      <x:c r="D515" s="32"/>
      <x:c r="G515" s="74"/>
      <x:c r="H515" s="74"/>
      <x:c r="I515" s="74"/>
      <x:c r="J515" s="74"/>
      <x:c r="K515" s="74"/>
      <x:c r="L515" s="74"/>
      <x:c r="M515" s="91"/>
      <x:c r="N515" s="91"/>
      <x:c r="O515" s="85"/>
      <x:c r="Q515" s="86"/>
      <x:c r="R515" s="86"/>
      <x:c r="S515" s="32"/>
    </x:row>
    <x:row r="516">
      <x:c r="A516" s="87"/>
      <x:c r="B516" s="88"/>
      <x:c r="D516" s="32"/>
      <x:c r="G516" s="74"/>
      <x:c r="H516" s="74"/>
      <x:c r="I516" s="74"/>
      <x:c r="J516" s="74"/>
      <x:c r="K516" s="74"/>
      <x:c r="L516" s="74"/>
      <x:c r="M516" s="91"/>
      <x:c r="N516" s="91"/>
      <x:c r="O516" s="85"/>
      <x:c r="Q516" s="86"/>
      <x:c r="R516" s="86"/>
      <x:c r="S516" s="32"/>
    </x:row>
    <x:row r="517">
      <x:c r="A517" s="87"/>
      <x:c r="B517" s="88"/>
      <x:c r="D517" s="32"/>
      <x:c r="G517" s="74"/>
      <x:c r="H517" s="74"/>
      <x:c r="I517" s="74"/>
      <x:c r="J517" s="74"/>
      <x:c r="K517" s="74"/>
      <x:c r="L517" s="74"/>
      <x:c r="M517" s="91"/>
      <x:c r="N517" s="91"/>
      <x:c r="O517" s="85"/>
      <x:c r="Q517" s="86"/>
      <x:c r="R517" s="86"/>
      <x:c r="S517" s="32"/>
    </x:row>
    <x:row r="518">
      <x:c r="A518" s="87"/>
      <x:c r="B518" s="88"/>
      <x:c r="D518" s="32"/>
      <x:c r="G518" s="74"/>
      <x:c r="H518" s="74"/>
      <x:c r="I518" s="74"/>
      <x:c r="J518" s="74"/>
      <x:c r="K518" s="74"/>
      <x:c r="L518" s="74"/>
      <x:c r="M518" s="91"/>
      <x:c r="N518" s="91"/>
      <x:c r="O518" s="85"/>
      <x:c r="Q518" s="86"/>
      <x:c r="R518" s="86"/>
      <x:c r="S518" s="32"/>
    </x:row>
    <x:row r="519">
      <x:c r="A519" s="87"/>
      <x:c r="B519" s="88"/>
      <x:c r="D519" s="32"/>
      <x:c r="G519" s="74"/>
      <x:c r="H519" s="74"/>
      <x:c r="I519" s="74"/>
      <x:c r="J519" s="74"/>
      <x:c r="K519" s="74"/>
      <x:c r="L519" s="74"/>
      <x:c r="M519" s="91"/>
      <x:c r="N519" s="91"/>
      <x:c r="O519" s="85"/>
      <x:c r="Q519" s="86"/>
      <x:c r="R519" s="86"/>
      <x:c r="S519" s="32"/>
    </x:row>
    <x:row r="520">
      <x:c r="A520" s="87"/>
      <x:c r="B520" s="88"/>
      <x:c r="D520" s="32"/>
      <x:c r="G520" s="74"/>
      <x:c r="H520" s="74"/>
      <x:c r="I520" s="74"/>
      <x:c r="J520" s="74"/>
      <x:c r="K520" s="74"/>
      <x:c r="L520" s="74"/>
      <x:c r="M520" s="91"/>
      <x:c r="N520" s="91"/>
      <x:c r="O520" s="85"/>
      <x:c r="Q520" s="86"/>
      <x:c r="R520" s="86"/>
      <x:c r="S520" s="32"/>
    </x:row>
    <x:row r="521">
      <x:c r="A521" s="87"/>
      <x:c r="B521" s="88"/>
      <x:c r="D521" s="32"/>
      <x:c r="G521" s="74"/>
      <x:c r="H521" s="74"/>
      <x:c r="I521" s="74"/>
      <x:c r="J521" s="74"/>
      <x:c r="K521" s="74"/>
      <x:c r="L521" s="74"/>
      <x:c r="M521" s="91"/>
      <x:c r="N521" s="91"/>
      <x:c r="O521" s="85"/>
      <x:c r="Q521" s="86"/>
      <x:c r="R521" s="86"/>
      <x:c r="S521" s="32"/>
    </x:row>
    <x:row r="522">
      <x:c r="A522" s="87"/>
      <x:c r="B522" s="88"/>
      <x:c r="D522" s="32"/>
      <x:c r="G522" s="74"/>
      <x:c r="H522" s="74"/>
      <x:c r="I522" s="74"/>
      <x:c r="J522" s="74"/>
      <x:c r="K522" s="74"/>
      <x:c r="L522" s="74"/>
      <x:c r="M522" s="91"/>
      <x:c r="N522" s="91"/>
      <x:c r="O522" s="85"/>
      <x:c r="Q522" s="86"/>
      <x:c r="R522" s="86"/>
      <x:c r="S522" s="32"/>
    </x:row>
    <x:row r="523">
      <x:c r="A523" s="87"/>
      <x:c r="B523" s="88"/>
      <x:c r="D523" s="32"/>
      <x:c r="G523" s="74"/>
      <x:c r="H523" s="74"/>
      <x:c r="I523" s="74"/>
      <x:c r="J523" s="74"/>
      <x:c r="K523" s="74"/>
      <x:c r="L523" s="74"/>
      <x:c r="M523" s="91"/>
      <x:c r="N523" s="91"/>
      <x:c r="O523" s="85"/>
      <x:c r="Q523" s="86"/>
      <x:c r="R523" s="86"/>
      <x:c r="S523" s="32"/>
    </x:row>
    <x:row r="524">
      <x:c r="A524" s="87"/>
      <x:c r="B524" s="88"/>
      <x:c r="D524" s="32"/>
      <x:c r="G524" s="74"/>
      <x:c r="H524" s="74"/>
      <x:c r="I524" s="74"/>
      <x:c r="J524" s="74"/>
      <x:c r="K524" s="74"/>
      <x:c r="L524" s="74"/>
      <x:c r="M524" s="91"/>
      <x:c r="N524" s="91"/>
      <x:c r="O524" s="85"/>
      <x:c r="Q524" s="86"/>
      <x:c r="R524" s="86"/>
      <x:c r="S524" s="32"/>
    </x:row>
    <x:row r="525">
      <x:c r="A525" s="87"/>
      <x:c r="B525" s="88"/>
      <x:c r="D525" s="32"/>
      <x:c r="G525" s="74"/>
      <x:c r="H525" s="74"/>
      <x:c r="I525" s="74"/>
      <x:c r="J525" s="74"/>
      <x:c r="K525" s="74"/>
      <x:c r="L525" s="74"/>
      <x:c r="M525" s="91"/>
      <x:c r="N525" s="91"/>
      <x:c r="O525" s="85"/>
      <x:c r="Q525" s="86"/>
      <x:c r="R525" s="86"/>
      <x:c r="S525" s="32"/>
    </x:row>
    <x:row r="526">
      <x:c r="A526" s="87"/>
      <x:c r="B526" s="88"/>
      <x:c r="D526" s="32"/>
      <x:c r="G526" s="74"/>
      <x:c r="H526" s="74"/>
      <x:c r="I526" s="74"/>
      <x:c r="J526" s="74"/>
      <x:c r="K526" s="74"/>
      <x:c r="L526" s="74"/>
      <x:c r="M526" s="91"/>
      <x:c r="N526" s="91"/>
      <x:c r="O526" s="85"/>
      <x:c r="Q526" s="86"/>
      <x:c r="R526" s="86"/>
      <x:c r="S526" s="32"/>
    </x:row>
    <x:row r="527">
      <x:c r="A527" s="87"/>
      <x:c r="B527" s="88"/>
      <x:c r="D527" s="32"/>
      <x:c r="G527" s="74"/>
      <x:c r="H527" s="74"/>
      <x:c r="I527" s="74"/>
      <x:c r="J527" s="74"/>
      <x:c r="K527" s="74"/>
      <x:c r="L527" s="74"/>
      <x:c r="M527" s="91"/>
      <x:c r="N527" s="91"/>
      <x:c r="O527" s="85"/>
      <x:c r="Q527" s="86"/>
      <x:c r="R527" s="86"/>
      <x:c r="S527" s="32"/>
    </x:row>
    <x:row r="528">
      <x:c r="A528" s="87"/>
      <x:c r="B528" s="88"/>
      <x:c r="D528" s="32"/>
      <x:c r="G528" s="74"/>
      <x:c r="H528" s="74"/>
      <x:c r="I528" s="74"/>
      <x:c r="J528" s="74"/>
      <x:c r="K528" s="74"/>
      <x:c r="L528" s="74"/>
      <x:c r="M528" s="91"/>
      <x:c r="N528" s="91"/>
      <x:c r="O528" s="85"/>
      <x:c r="Q528" s="86"/>
      <x:c r="R528" s="86"/>
      <x:c r="S528" s="32"/>
    </x:row>
    <x:row r="529">
      <x:c r="A529" s="87"/>
      <x:c r="B529" s="88"/>
      <x:c r="D529" s="32"/>
      <x:c r="G529" s="74"/>
      <x:c r="H529" s="74"/>
      <x:c r="I529" s="74"/>
      <x:c r="J529" s="74"/>
      <x:c r="K529" s="74"/>
      <x:c r="L529" s="74"/>
      <x:c r="M529" s="91"/>
      <x:c r="N529" s="91"/>
      <x:c r="O529" s="85"/>
      <x:c r="Q529" s="86"/>
      <x:c r="R529" s="86"/>
      <x:c r="S529" s="32"/>
    </x:row>
    <x:row r="530">
      <x:c r="A530" s="87"/>
      <x:c r="B530" s="88"/>
      <x:c r="D530" s="32"/>
      <x:c r="G530" s="74"/>
      <x:c r="H530" s="74"/>
      <x:c r="I530" s="74"/>
      <x:c r="J530" s="74"/>
      <x:c r="K530" s="74"/>
      <x:c r="L530" s="74"/>
      <x:c r="M530" s="91"/>
      <x:c r="N530" s="91"/>
      <x:c r="O530" s="85"/>
      <x:c r="Q530" s="86"/>
      <x:c r="R530" s="86"/>
      <x:c r="S530" s="32"/>
    </x:row>
    <x:row r="531">
      <x:c r="A531" s="87"/>
      <x:c r="B531" s="88"/>
      <x:c r="D531" s="32"/>
      <x:c r="G531" s="74"/>
      <x:c r="H531" s="74"/>
      <x:c r="I531" s="74"/>
      <x:c r="J531" s="74"/>
      <x:c r="K531" s="74"/>
      <x:c r="L531" s="74"/>
      <x:c r="M531" s="91"/>
      <x:c r="N531" s="91"/>
      <x:c r="O531" s="85"/>
      <x:c r="Q531" s="86"/>
      <x:c r="R531" s="86"/>
      <x:c r="S531" s="32"/>
    </x:row>
    <x:row r="532">
      <x:c r="A532" s="87"/>
      <x:c r="B532" s="88"/>
      <x:c r="D532" s="32"/>
      <x:c r="G532" s="74"/>
      <x:c r="H532" s="74"/>
      <x:c r="I532" s="74"/>
      <x:c r="J532" s="74"/>
      <x:c r="K532" s="74"/>
      <x:c r="L532" s="74"/>
      <x:c r="M532" s="91"/>
      <x:c r="N532" s="91"/>
      <x:c r="O532" s="85"/>
      <x:c r="Q532" s="86"/>
      <x:c r="R532" s="86"/>
      <x:c r="S532" s="32"/>
    </x:row>
    <x:row r="533">
      <x:c r="A533" s="87"/>
      <x:c r="B533" s="88"/>
      <x:c r="D533" s="32"/>
      <x:c r="G533" s="74"/>
      <x:c r="H533" s="74"/>
      <x:c r="I533" s="74"/>
      <x:c r="J533" s="74"/>
      <x:c r="K533" s="74"/>
      <x:c r="L533" s="74"/>
      <x:c r="M533" s="91"/>
      <x:c r="N533" s="91"/>
      <x:c r="O533" s="85"/>
      <x:c r="Q533" s="86"/>
      <x:c r="R533" s="86"/>
      <x:c r="S533" s="32"/>
    </x:row>
    <x:row r="534">
      <x:c r="A534" s="87"/>
      <x:c r="B534" s="88"/>
      <x:c r="D534" s="32"/>
      <x:c r="G534" s="74"/>
      <x:c r="H534" s="74"/>
      <x:c r="I534" s="74"/>
      <x:c r="J534" s="74"/>
      <x:c r="K534" s="74"/>
      <x:c r="L534" s="74"/>
      <x:c r="M534" s="91"/>
      <x:c r="N534" s="91"/>
      <x:c r="O534" s="85"/>
      <x:c r="Q534" s="86"/>
      <x:c r="R534" s="86"/>
      <x:c r="S534" s="32"/>
    </x:row>
    <x:row r="535">
      <x:c r="A535" s="87"/>
      <x:c r="B535" s="88"/>
      <x:c r="D535" s="32"/>
      <x:c r="G535" s="74"/>
      <x:c r="H535" s="74"/>
      <x:c r="I535" s="74"/>
      <x:c r="J535" s="74"/>
      <x:c r="K535" s="74"/>
      <x:c r="L535" s="74"/>
      <x:c r="M535" s="91"/>
      <x:c r="N535" s="91"/>
      <x:c r="O535" s="85"/>
      <x:c r="Q535" s="86"/>
      <x:c r="R535" s="86"/>
      <x:c r="S535" s="32"/>
    </x:row>
    <x:row r="536">
      <x:c r="A536" s="87"/>
      <x:c r="B536" s="88"/>
      <x:c r="D536" s="32"/>
      <x:c r="G536" s="74"/>
      <x:c r="H536" s="74"/>
      <x:c r="I536" s="74"/>
      <x:c r="J536" s="74"/>
      <x:c r="K536" s="74"/>
      <x:c r="L536" s="74"/>
      <x:c r="M536" s="91"/>
      <x:c r="N536" s="91"/>
      <x:c r="O536" s="85"/>
      <x:c r="Q536" s="86"/>
      <x:c r="R536" s="86"/>
      <x:c r="S536" s="32"/>
    </x:row>
    <x:row r="537">
      <x:c r="A537" s="87"/>
      <x:c r="B537" s="88"/>
      <x:c r="D537" s="32"/>
      <x:c r="G537" s="74"/>
      <x:c r="H537" s="74"/>
      <x:c r="I537" s="74"/>
      <x:c r="J537" s="74"/>
      <x:c r="K537" s="74"/>
      <x:c r="L537" s="74"/>
      <x:c r="M537" s="91"/>
      <x:c r="N537" s="91"/>
      <x:c r="O537" s="85"/>
      <x:c r="Q537" s="86"/>
      <x:c r="R537" s="86"/>
      <x:c r="S537" s="32"/>
    </x:row>
    <x:row r="538">
      <x:c r="A538" s="87"/>
      <x:c r="B538" s="88"/>
      <x:c r="D538" s="32"/>
      <x:c r="G538" s="74"/>
      <x:c r="H538" s="74"/>
      <x:c r="I538" s="74"/>
      <x:c r="J538" s="74"/>
      <x:c r="K538" s="74"/>
      <x:c r="L538" s="74"/>
      <x:c r="M538" s="91"/>
      <x:c r="N538" s="91"/>
      <x:c r="O538" s="85"/>
      <x:c r="Q538" s="86"/>
      <x:c r="R538" s="86"/>
      <x:c r="S538" s="32"/>
    </x:row>
    <x:row r="539">
      <x:c r="A539" s="87"/>
      <x:c r="B539" s="88"/>
      <x:c r="D539" s="32"/>
      <x:c r="G539" s="74"/>
      <x:c r="H539" s="74"/>
      <x:c r="I539" s="74"/>
      <x:c r="J539" s="74"/>
      <x:c r="K539" s="74"/>
      <x:c r="L539" s="74"/>
      <x:c r="M539" s="91"/>
      <x:c r="N539" s="91"/>
      <x:c r="O539" s="85"/>
      <x:c r="Q539" s="86"/>
      <x:c r="R539" s="86"/>
      <x:c r="S539" s="32"/>
    </x:row>
    <x:row r="540">
      <x:c r="A540" s="87"/>
      <x:c r="B540" s="88"/>
      <x:c r="D540" s="32"/>
      <x:c r="G540" s="74"/>
      <x:c r="H540" s="74"/>
      <x:c r="I540" s="74"/>
      <x:c r="J540" s="74"/>
      <x:c r="K540" s="74"/>
      <x:c r="L540" s="74"/>
      <x:c r="M540" s="91"/>
      <x:c r="N540" s="91"/>
      <x:c r="O540" s="85"/>
      <x:c r="Q540" s="86"/>
      <x:c r="R540" s="86"/>
      <x:c r="S540" s="32"/>
    </x:row>
    <x:row r="541">
      <x:c r="A541" s="87"/>
      <x:c r="B541" s="88"/>
      <x:c r="D541" s="32"/>
      <x:c r="G541" s="74"/>
      <x:c r="H541" s="74"/>
      <x:c r="I541" s="74"/>
      <x:c r="J541" s="74"/>
      <x:c r="K541" s="74"/>
      <x:c r="L541" s="74"/>
      <x:c r="M541" s="91"/>
      <x:c r="N541" s="91"/>
      <x:c r="O541" s="85"/>
      <x:c r="Q541" s="86"/>
      <x:c r="R541" s="86"/>
      <x:c r="S541" s="32"/>
    </x:row>
    <x:row r="542">
      <x:c r="A542" s="87"/>
      <x:c r="B542" s="88"/>
      <x:c r="D542" s="32"/>
      <x:c r="G542" s="74"/>
      <x:c r="H542" s="74"/>
      <x:c r="I542" s="74"/>
      <x:c r="J542" s="74"/>
      <x:c r="K542" s="74"/>
      <x:c r="L542" s="74"/>
      <x:c r="M542" s="91"/>
      <x:c r="N542" s="91"/>
      <x:c r="O542" s="85"/>
      <x:c r="Q542" s="86"/>
      <x:c r="R542" s="86"/>
      <x:c r="S542" s="32"/>
    </x:row>
    <x:row r="543">
      <x:c r="A543" s="87"/>
      <x:c r="B543" s="88"/>
      <x:c r="D543" s="32"/>
      <x:c r="G543" s="74"/>
      <x:c r="H543" s="74"/>
      <x:c r="I543" s="74"/>
      <x:c r="J543" s="74"/>
      <x:c r="K543" s="74"/>
      <x:c r="L543" s="74"/>
      <x:c r="M543" s="91"/>
      <x:c r="N543" s="91"/>
      <x:c r="O543" s="85"/>
      <x:c r="Q543" s="86"/>
      <x:c r="R543" s="86"/>
      <x:c r="S543" s="32"/>
    </x:row>
    <x:row r="544">
      <x:c r="A544" s="87"/>
      <x:c r="B544" s="88"/>
      <x:c r="D544" s="32"/>
      <x:c r="G544" s="74"/>
      <x:c r="H544" s="74"/>
      <x:c r="I544" s="74"/>
      <x:c r="J544" s="74"/>
      <x:c r="K544" s="74"/>
      <x:c r="L544" s="74"/>
      <x:c r="M544" s="91"/>
      <x:c r="N544" s="91"/>
      <x:c r="O544" s="85"/>
      <x:c r="Q544" s="86"/>
      <x:c r="R544" s="86"/>
      <x:c r="S544" s="32"/>
    </x:row>
    <x:row r="545">
      <x:c r="A545" s="87"/>
      <x:c r="B545" s="88"/>
      <x:c r="D545" s="32"/>
      <x:c r="G545" s="74"/>
      <x:c r="H545" s="74"/>
      <x:c r="I545" s="74"/>
      <x:c r="J545" s="74"/>
      <x:c r="K545" s="74"/>
      <x:c r="L545" s="74"/>
      <x:c r="M545" s="91"/>
      <x:c r="N545" s="91"/>
      <x:c r="O545" s="85"/>
      <x:c r="Q545" s="86"/>
      <x:c r="R545" s="86"/>
      <x:c r="S545" s="32"/>
    </x:row>
    <x:row r="546">
      <x:c r="A546" s="87"/>
      <x:c r="B546" s="88"/>
      <x:c r="D546" s="32"/>
      <x:c r="G546" s="74"/>
      <x:c r="H546" s="74"/>
      <x:c r="I546" s="74"/>
      <x:c r="J546" s="74"/>
      <x:c r="K546" s="74"/>
      <x:c r="L546" s="74"/>
      <x:c r="M546" s="91"/>
      <x:c r="N546" s="91"/>
      <x:c r="O546" s="85"/>
      <x:c r="Q546" s="86"/>
      <x:c r="R546" s="86"/>
      <x:c r="S546" s="32"/>
    </x:row>
    <x:row r="547">
      <x:c r="A547" s="87"/>
      <x:c r="B547" s="88"/>
      <x:c r="D547" s="32"/>
      <x:c r="G547" s="74"/>
      <x:c r="H547" s="74"/>
      <x:c r="I547" s="74"/>
      <x:c r="J547" s="74"/>
      <x:c r="K547" s="74"/>
      <x:c r="L547" s="74"/>
      <x:c r="M547" s="91"/>
      <x:c r="N547" s="91"/>
      <x:c r="O547" s="85"/>
      <x:c r="Q547" s="86"/>
      <x:c r="R547" s="86"/>
      <x:c r="S547" s="32"/>
    </x:row>
    <x:row r="548">
      <x:c r="A548" s="87"/>
      <x:c r="B548" s="88"/>
      <x:c r="D548" s="32"/>
      <x:c r="G548" s="74"/>
      <x:c r="H548" s="74"/>
      <x:c r="I548" s="74"/>
      <x:c r="J548" s="74"/>
      <x:c r="K548" s="74"/>
      <x:c r="L548" s="74"/>
      <x:c r="M548" s="91"/>
      <x:c r="N548" s="91"/>
      <x:c r="O548" s="85"/>
      <x:c r="Q548" s="86"/>
      <x:c r="R548" s="86"/>
      <x:c r="S548" s="32"/>
    </x:row>
    <x:row r="549">
      <x:c r="A549" s="87"/>
      <x:c r="B549" s="88"/>
      <x:c r="D549" s="32"/>
      <x:c r="G549" s="74"/>
      <x:c r="H549" s="74"/>
      <x:c r="I549" s="74"/>
      <x:c r="J549" s="74"/>
      <x:c r="K549" s="74"/>
      <x:c r="L549" s="74"/>
      <x:c r="M549" s="91"/>
      <x:c r="N549" s="91"/>
      <x:c r="O549" s="85"/>
      <x:c r="Q549" s="86"/>
      <x:c r="R549" s="86"/>
      <x:c r="S549" s="32"/>
    </x:row>
    <x:row r="550">
      <x:c r="A550" s="87"/>
      <x:c r="B550" s="88"/>
      <x:c r="D550" s="32"/>
      <x:c r="G550" s="74"/>
      <x:c r="H550" s="74"/>
      <x:c r="I550" s="74"/>
      <x:c r="J550" s="74"/>
      <x:c r="K550" s="74"/>
      <x:c r="L550" s="74"/>
      <x:c r="M550" s="91"/>
      <x:c r="N550" s="91"/>
      <x:c r="O550" s="85"/>
      <x:c r="Q550" s="86"/>
      <x:c r="R550" s="86"/>
      <x:c r="S550" s="32"/>
    </x:row>
    <x:row r="551">
      <x:c r="A551" s="87"/>
      <x:c r="B551" s="88"/>
      <x:c r="D551" s="32"/>
      <x:c r="G551" s="74"/>
      <x:c r="H551" s="74"/>
      <x:c r="I551" s="74"/>
      <x:c r="J551" s="74"/>
      <x:c r="K551" s="74"/>
      <x:c r="L551" s="74"/>
      <x:c r="M551" s="91"/>
      <x:c r="N551" s="91"/>
      <x:c r="O551" s="85"/>
      <x:c r="Q551" s="86"/>
      <x:c r="R551" s="86"/>
      <x:c r="S551" s="32"/>
    </x:row>
    <x:row r="552">
      <x:c r="A552" s="87"/>
      <x:c r="B552" s="88"/>
      <x:c r="D552" s="32"/>
      <x:c r="G552" s="74"/>
      <x:c r="H552" s="74"/>
      <x:c r="I552" s="74"/>
      <x:c r="J552" s="74"/>
      <x:c r="K552" s="74"/>
      <x:c r="L552" s="74"/>
      <x:c r="M552" s="91"/>
      <x:c r="N552" s="91"/>
      <x:c r="O552" s="85"/>
      <x:c r="Q552" s="86"/>
      <x:c r="R552" s="86"/>
      <x:c r="S552" s="32"/>
    </x:row>
    <x:row r="553">
      <x:c r="A553" s="87"/>
      <x:c r="B553" s="88"/>
      <x:c r="D553" s="32"/>
      <x:c r="G553" s="74"/>
      <x:c r="H553" s="74"/>
      <x:c r="I553" s="74"/>
      <x:c r="J553" s="74"/>
      <x:c r="K553" s="74"/>
      <x:c r="L553" s="74"/>
      <x:c r="M553" s="91"/>
      <x:c r="N553" s="91"/>
      <x:c r="O553" s="85"/>
      <x:c r="Q553" s="86"/>
      <x:c r="R553" s="86"/>
      <x:c r="S553" s="32"/>
    </x:row>
    <x:row r="554">
      <x:c r="A554" s="87"/>
      <x:c r="B554" s="88"/>
      <x:c r="D554" s="32"/>
      <x:c r="G554" s="74"/>
      <x:c r="H554" s="74"/>
      <x:c r="I554" s="74"/>
      <x:c r="J554" s="74"/>
      <x:c r="K554" s="74"/>
      <x:c r="L554" s="74"/>
      <x:c r="M554" s="91"/>
      <x:c r="N554" s="91"/>
      <x:c r="O554" s="85"/>
      <x:c r="Q554" s="86"/>
      <x:c r="R554" s="86"/>
      <x:c r="S554" s="32"/>
    </x:row>
    <x:row r="555">
      <x:c r="A555" s="87"/>
      <x:c r="B555" s="88"/>
      <x:c r="D555" s="32"/>
      <x:c r="G555" s="74"/>
      <x:c r="H555" s="74"/>
      <x:c r="I555" s="74"/>
      <x:c r="J555" s="74"/>
      <x:c r="K555" s="74"/>
      <x:c r="L555" s="74"/>
      <x:c r="M555" s="91"/>
      <x:c r="N555" s="91"/>
      <x:c r="O555" s="85"/>
      <x:c r="Q555" s="86"/>
      <x:c r="R555" s="86"/>
      <x:c r="S555" s="32"/>
    </x:row>
    <x:row r="556">
      <x:c r="A556" s="87"/>
      <x:c r="B556" s="88"/>
      <x:c r="D556" s="32"/>
      <x:c r="G556" s="74"/>
      <x:c r="H556" s="74"/>
      <x:c r="I556" s="74"/>
      <x:c r="J556" s="74"/>
      <x:c r="K556" s="74"/>
      <x:c r="L556" s="74"/>
      <x:c r="M556" s="91"/>
      <x:c r="N556" s="91"/>
      <x:c r="O556" s="85"/>
      <x:c r="Q556" s="86"/>
      <x:c r="R556" s="86"/>
      <x:c r="S556" s="32"/>
    </x:row>
    <x:row r="557">
      <x:c r="A557" s="87"/>
      <x:c r="B557" s="88"/>
      <x:c r="D557" s="32"/>
      <x:c r="G557" s="74"/>
      <x:c r="H557" s="74"/>
      <x:c r="I557" s="74"/>
      <x:c r="J557" s="74"/>
      <x:c r="K557" s="74"/>
      <x:c r="L557" s="74"/>
      <x:c r="M557" s="91"/>
      <x:c r="N557" s="91"/>
      <x:c r="O557" s="85"/>
      <x:c r="Q557" s="86"/>
      <x:c r="R557" s="86"/>
      <x:c r="S557" s="32"/>
    </x:row>
    <x:row r="558">
      <x:c r="A558" s="87"/>
      <x:c r="B558" s="88"/>
      <x:c r="D558" s="32"/>
      <x:c r="G558" s="74"/>
      <x:c r="H558" s="74"/>
      <x:c r="I558" s="74"/>
      <x:c r="J558" s="74"/>
      <x:c r="K558" s="74"/>
      <x:c r="L558" s="74"/>
      <x:c r="M558" s="91"/>
      <x:c r="N558" s="91"/>
      <x:c r="O558" s="85"/>
      <x:c r="Q558" s="86"/>
      <x:c r="R558" s="86"/>
      <x:c r="S558" s="32"/>
    </x:row>
    <x:row r="559">
      <x:c r="A559" s="87"/>
      <x:c r="B559" s="88"/>
      <x:c r="D559" s="32"/>
      <x:c r="G559" s="74"/>
      <x:c r="H559" s="74"/>
      <x:c r="I559" s="74"/>
      <x:c r="J559" s="74"/>
      <x:c r="K559" s="74"/>
      <x:c r="L559" s="74"/>
      <x:c r="M559" s="91"/>
      <x:c r="N559" s="91"/>
      <x:c r="O559" s="85"/>
      <x:c r="Q559" s="86"/>
      <x:c r="R559" s="86"/>
      <x:c r="S559" s="32"/>
    </x:row>
    <x:row r="560">
      <x:c r="A560" s="87"/>
      <x:c r="B560" s="88"/>
      <x:c r="D560" s="32"/>
      <x:c r="G560" s="74"/>
      <x:c r="H560" s="74"/>
      <x:c r="I560" s="74"/>
      <x:c r="J560" s="74"/>
      <x:c r="K560" s="74"/>
      <x:c r="L560" s="74"/>
      <x:c r="M560" s="91"/>
      <x:c r="N560" s="91"/>
      <x:c r="O560" s="85"/>
      <x:c r="Q560" s="86"/>
      <x:c r="R560" s="86"/>
      <x:c r="S560" s="32"/>
    </x:row>
    <x:row r="561">
      <x:c r="A561" s="87"/>
      <x:c r="B561" s="88"/>
      <x:c r="D561" s="32"/>
      <x:c r="G561" s="74"/>
      <x:c r="H561" s="74"/>
      <x:c r="I561" s="74"/>
      <x:c r="J561" s="74"/>
      <x:c r="K561" s="74"/>
      <x:c r="L561" s="74"/>
      <x:c r="M561" s="91"/>
      <x:c r="N561" s="91"/>
      <x:c r="O561" s="85"/>
      <x:c r="Q561" s="86"/>
      <x:c r="R561" s="86"/>
      <x:c r="S561" s="32"/>
    </x:row>
    <x:row r="562">
      <x:c r="A562" s="87"/>
      <x:c r="B562" s="88"/>
      <x:c r="D562" s="32"/>
      <x:c r="G562" s="74"/>
      <x:c r="H562" s="74"/>
      <x:c r="I562" s="74"/>
      <x:c r="J562" s="74"/>
      <x:c r="K562" s="74"/>
      <x:c r="L562" s="74"/>
      <x:c r="M562" s="91"/>
      <x:c r="N562" s="91"/>
      <x:c r="O562" s="85"/>
      <x:c r="Q562" s="86"/>
      <x:c r="R562" s="86"/>
      <x:c r="S562" s="32"/>
    </x:row>
    <x:row r="563">
      <x:c r="A563" s="87"/>
      <x:c r="B563" s="88"/>
      <x:c r="D563" s="32"/>
      <x:c r="G563" s="74"/>
      <x:c r="H563" s="74"/>
      <x:c r="I563" s="74"/>
      <x:c r="J563" s="74"/>
      <x:c r="K563" s="74"/>
      <x:c r="L563" s="74"/>
      <x:c r="M563" s="91"/>
      <x:c r="N563" s="91"/>
      <x:c r="O563" s="85"/>
      <x:c r="Q563" s="86"/>
      <x:c r="R563" s="86"/>
      <x:c r="S563" s="32"/>
    </x:row>
    <x:row r="564">
      <x:c r="A564" s="87"/>
      <x:c r="B564" s="88"/>
      <x:c r="D564" s="32"/>
      <x:c r="G564" s="74"/>
      <x:c r="H564" s="74"/>
      <x:c r="I564" s="74"/>
      <x:c r="J564" s="74"/>
      <x:c r="K564" s="74"/>
      <x:c r="L564" s="74"/>
      <x:c r="M564" s="91"/>
      <x:c r="N564" s="91"/>
      <x:c r="O564" s="85"/>
      <x:c r="Q564" s="86"/>
      <x:c r="R564" s="86"/>
      <x:c r="S564" s="32"/>
    </x:row>
    <x:row r="565">
      <x:c r="A565" s="87"/>
      <x:c r="B565" s="88"/>
      <x:c r="D565" s="32"/>
      <x:c r="G565" s="74"/>
      <x:c r="H565" s="74"/>
      <x:c r="I565" s="74"/>
      <x:c r="J565" s="74"/>
      <x:c r="K565" s="74"/>
      <x:c r="L565" s="74"/>
      <x:c r="M565" s="91"/>
      <x:c r="N565" s="91"/>
      <x:c r="O565" s="85"/>
      <x:c r="Q565" s="86"/>
      <x:c r="R565" s="86"/>
      <x:c r="S565" s="32"/>
    </x:row>
    <x:row r="566">
      <x:c r="A566" s="87"/>
      <x:c r="B566" s="88"/>
      <x:c r="D566" s="32"/>
      <x:c r="G566" s="74"/>
      <x:c r="H566" s="74"/>
      <x:c r="I566" s="74"/>
      <x:c r="J566" s="74"/>
      <x:c r="K566" s="74"/>
      <x:c r="L566" s="74"/>
      <x:c r="M566" s="91"/>
      <x:c r="N566" s="91"/>
      <x:c r="O566" s="85"/>
      <x:c r="Q566" s="86"/>
      <x:c r="R566" s="86"/>
      <x:c r="S566" s="32"/>
    </x:row>
    <x:row r="567">
      <x:c r="A567" s="87"/>
      <x:c r="B567" s="88"/>
      <x:c r="D567" s="32"/>
      <x:c r="G567" s="74"/>
      <x:c r="H567" s="74"/>
      <x:c r="I567" s="74"/>
      <x:c r="J567" s="74"/>
      <x:c r="K567" s="74"/>
      <x:c r="L567" s="74"/>
      <x:c r="M567" s="91"/>
      <x:c r="N567" s="91"/>
      <x:c r="O567" s="85"/>
      <x:c r="Q567" s="86"/>
      <x:c r="R567" s="86"/>
      <x:c r="S567" s="32"/>
    </x:row>
    <x:row r="568">
      <x:c r="A568" s="87"/>
      <x:c r="B568" s="88"/>
      <x:c r="D568" s="32"/>
      <x:c r="G568" s="74"/>
      <x:c r="H568" s="74"/>
      <x:c r="I568" s="74"/>
      <x:c r="J568" s="74"/>
      <x:c r="K568" s="74"/>
      <x:c r="L568" s="74"/>
      <x:c r="M568" s="91"/>
      <x:c r="N568" s="91"/>
      <x:c r="O568" s="85"/>
      <x:c r="Q568" s="86"/>
      <x:c r="R568" s="86"/>
      <x:c r="S568" s="32"/>
    </x:row>
    <x:row r="569">
      <x:c r="A569" s="87"/>
      <x:c r="B569" s="88"/>
      <x:c r="D569" s="32"/>
      <x:c r="G569" s="74"/>
      <x:c r="H569" s="74"/>
      <x:c r="I569" s="74"/>
      <x:c r="J569" s="74"/>
      <x:c r="K569" s="74"/>
      <x:c r="L569" s="74"/>
      <x:c r="M569" s="91"/>
      <x:c r="N569" s="91"/>
      <x:c r="O569" s="85"/>
      <x:c r="Q569" s="86"/>
      <x:c r="R569" s="86"/>
      <x:c r="S569" s="32"/>
    </x:row>
    <x:row r="570">
      <x:c r="A570" s="87"/>
      <x:c r="B570" s="88"/>
      <x:c r="D570" s="32"/>
      <x:c r="G570" s="74"/>
      <x:c r="H570" s="74"/>
      <x:c r="I570" s="74"/>
      <x:c r="J570" s="74"/>
      <x:c r="K570" s="74"/>
      <x:c r="L570" s="74"/>
      <x:c r="M570" s="91"/>
      <x:c r="N570" s="91"/>
      <x:c r="O570" s="85"/>
      <x:c r="Q570" s="86"/>
      <x:c r="R570" s="86"/>
      <x:c r="S570" s="32"/>
    </x:row>
    <x:row r="571">
      <x:c r="A571" s="87"/>
      <x:c r="B571" s="88"/>
      <x:c r="D571" s="32"/>
      <x:c r="G571" s="74"/>
      <x:c r="H571" s="74"/>
      <x:c r="I571" s="74"/>
      <x:c r="J571" s="74"/>
      <x:c r="K571" s="74"/>
      <x:c r="L571" s="74"/>
      <x:c r="M571" s="91"/>
      <x:c r="N571" s="91"/>
      <x:c r="O571" s="85"/>
      <x:c r="Q571" s="86"/>
      <x:c r="R571" s="86"/>
      <x:c r="S571" s="32"/>
    </x:row>
    <x:row r="572">
      <x:c r="A572" s="87"/>
      <x:c r="B572" s="88"/>
      <x:c r="D572" s="32"/>
      <x:c r="G572" s="74"/>
      <x:c r="H572" s="74"/>
      <x:c r="I572" s="74"/>
      <x:c r="J572" s="74"/>
      <x:c r="K572" s="74"/>
      <x:c r="L572" s="74"/>
      <x:c r="M572" s="91"/>
      <x:c r="N572" s="91"/>
      <x:c r="O572" s="85"/>
      <x:c r="Q572" s="86"/>
      <x:c r="R572" s="86"/>
      <x:c r="S572" s="32"/>
    </x:row>
    <x:row r="573">
      <x:c r="A573" s="87"/>
      <x:c r="B573" s="88"/>
      <x:c r="D573" s="32"/>
      <x:c r="G573" s="74"/>
      <x:c r="H573" s="74"/>
      <x:c r="I573" s="74"/>
      <x:c r="J573" s="74"/>
      <x:c r="K573" s="74"/>
      <x:c r="L573" s="74"/>
      <x:c r="M573" s="91"/>
      <x:c r="N573" s="91"/>
      <x:c r="O573" s="85"/>
      <x:c r="Q573" s="86"/>
      <x:c r="R573" s="86"/>
      <x:c r="S573" s="32"/>
    </x:row>
    <x:row r="574">
      <x:c r="A574" s="87"/>
      <x:c r="B574" s="88"/>
      <x:c r="D574" s="32"/>
      <x:c r="G574" s="74"/>
      <x:c r="H574" s="74"/>
      <x:c r="I574" s="74"/>
      <x:c r="J574" s="74"/>
      <x:c r="K574" s="74"/>
      <x:c r="L574" s="74"/>
      <x:c r="M574" s="91"/>
      <x:c r="N574" s="91"/>
      <x:c r="O574" s="85"/>
      <x:c r="Q574" s="86"/>
      <x:c r="R574" s="86"/>
      <x:c r="S574" s="32"/>
    </x:row>
    <x:row r="575">
      <x:c r="A575" s="87"/>
      <x:c r="B575" s="88"/>
      <x:c r="D575" s="32"/>
      <x:c r="G575" s="74"/>
      <x:c r="H575" s="74"/>
      <x:c r="I575" s="74"/>
      <x:c r="J575" s="74"/>
      <x:c r="K575" s="74"/>
      <x:c r="L575" s="74"/>
      <x:c r="M575" s="91"/>
      <x:c r="N575" s="91"/>
      <x:c r="O575" s="85"/>
      <x:c r="Q575" s="86"/>
      <x:c r="R575" s="86"/>
      <x:c r="S575" s="32"/>
    </x:row>
    <x:row r="576">
      <x:c r="A576" s="87"/>
      <x:c r="B576" s="88"/>
      <x:c r="D576" s="32"/>
      <x:c r="G576" s="74"/>
      <x:c r="H576" s="74"/>
      <x:c r="I576" s="74"/>
      <x:c r="J576" s="74"/>
      <x:c r="K576" s="74"/>
      <x:c r="L576" s="74"/>
      <x:c r="M576" s="91"/>
      <x:c r="N576" s="91"/>
      <x:c r="O576" s="85"/>
      <x:c r="Q576" s="86"/>
      <x:c r="R576" s="86"/>
      <x:c r="S576" s="32"/>
    </x:row>
    <x:row r="577">
      <x:c r="A577" s="87"/>
      <x:c r="B577" s="88"/>
      <x:c r="D577" s="32"/>
      <x:c r="G577" s="74"/>
      <x:c r="H577" s="74"/>
      <x:c r="I577" s="74"/>
      <x:c r="J577" s="74"/>
      <x:c r="K577" s="74"/>
      <x:c r="L577" s="74"/>
      <x:c r="M577" s="91"/>
      <x:c r="N577" s="91"/>
      <x:c r="O577" s="85"/>
      <x:c r="Q577" s="86"/>
      <x:c r="R577" s="86"/>
      <x:c r="S577" s="32"/>
    </x:row>
    <x:row r="578">
      <x:c r="A578" s="87"/>
      <x:c r="B578" s="88"/>
      <x:c r="D578" s="32"/>
      <x:c r="G578" s="74"/>
      <x:c r="H578" s="74"/>
      <x:c r="I578" s="74"/>
      <x:c r="J578" s="74"/>
      <x:c r="K578" s="74"/>
      <x:c r="L578" s="74"/>
      <x:c r="M578" s="91"/>
      <x:c r="N578" s="91"/>
      <x:c r="O578" s="85"/>
      <x:c r="Q578" s="86"/>
      <x:c r="R578" s="86"/>
      <x:c r="S578" s="32"/>
    </x:row>
    <x:row r="579">
      <x:c r="A579" s="87"/>
      <x:c r="B579" s="88"/>
      <x:c r="D579" s="32"/>
      <x:c r="G579" s="74"/>
      <x:c r="H579" s="74"/>
      <x:c r="I579" s="74"/>
      <x:c r="J579" s="74"/>
      <x:c r="K579" s="74"/>
      <x:c r="L579" s="74"/>
      <x:c r="M579" s="91"/>
      <x:c r="N579" s="91"/>
      <x:c r="O579" s="85"/>
      <x:c r="Q579" s="86"/>
      <x:c r="R579" s="86"/>
      <x:c r="S579" s="32"/>
    </x:row>
    <x:row r="580">
      <x:c r="A580" s="87"/>
      <x:c r="B580" s="88"/>
      <x:c r="D580" s="32"/>
      <x:c r="G580" s="74"/>
      <x:c r="H580" s="74"/>
      <x:c r="I580" s="74"/>
      <x:c r="J580" s="74"/>
      <x:c r="K580" s="74"/>
      <x:c r="L580" s="74"/>
      <x:c r="M580" s="91"/>
      <x:c r="N580" s="91"/>
      <x:c r="O580" s="85"/>
      <x:c r="Q580" s="86"/>
      <x:c r="R580" s="86"/>
      <x:c r="S580" s="32"/>
    </x:row>
    <x:row r="581">
      <x:c r="A581" s="87"/>
      <x:c r="B581" s="88"/>
      <x:c r="D581" s="32"/>
      <x:c r="G581" s="74"/>
      <x:c r="H581" s="74"/>
      <x:c r="I581" s="74"/>
      <x:c r="J581" s="74"/>
      <x:c r="K581" s="74"/>
      <x:c r="L581" s="74"/>
      <x:c r="M581" s="91"/>
      <x:c r="N581" s="91"/>
      <x:c r="O581" s="85"/>
      <x:c r="Q581" s="86"/>
      <x:c r="R581" s="86"/>
      <x:c r="S581" s="32"/>
    </x:row>
    <x:row r="582">
      <x:c r="A582" s="87"/>
      <x:c r="B582" s="88"/>
      <x:c r="D582" s="32"/>
      <x:c r="G582" s="74"/>
      <x:c r="H582" s="74"/>
      <x:c r="I582" s="74"/>
      <x:c r="J582" s="74"/>
      <x:c r="K582" s="74"/>
      <x:c r="L582" s="74"/>
      <x:c r="M582" s="91"/>
      <x:c r="N582" s="91"/>
      <x:c r="O582" s="85"/>
      <x:c r="Q582" s="86"/>
      <x:c r="R582" s="86"/>
      <x:c r="S582" s="32"/>
    </x:row>
    <x:row r="583">
      <x:c r="A583" s="87"/>
      <x:c r="B583" s="88"/>
      <x:c r="D583" s="32"/>
      <x:c r="G583" s="74"/>
      <x:c r="H583" s="74"/>
      <x:c r="I583" s="74"/>
      <x:c r="J583" s="74"/>
      <x:c r="K583" s="74"/>
      <x:c r="L583" s="74"/>
      <x:c r="M583" s="91"/>
      <x:c r="N583" s="91"/>
      <x:c r="O583" s="85"/>
      <x:c r="Q583" s="86"/>
      <x:c r="R583" s="86"/>
      <x:c r="S583" s="32"/>
    </x:row>
    <x:row r="584">
      <x:c r="A584" s="87"/>
      <x:c r="B584" s="88"/>
      <x:c r="D584" s="32"/>
      <x:c r="G584" s="74"/>
      <x:c r="H584" s="74"/>
      <x:c r="I584" s="74"/>
      <x:c r="J584" s="74"/>
      <x:c r="K584" s="74"/>
      <x:c r="L584" s="74"/>
      <x:c r="M584" s="91"/>
      <x:c r="N584" s="91"/>
      <x:c r="O584" s="85"/>
      <x:c r="Q584" s="86"/>
      <x:c r="R584" s="86"/>
      <x:c r="S584" s="32"/>
    </x:row>
    <x:row r="585">
      <x:c r="A585" s="87"/>
      <x:c r="B585" s="88"/>
      <x:c r="D585" s="32"/>
      <x:c r="G585" s="74"/>
      <x:c r="H585" s="74"/>
      <x:c r="I585" s="74"/>
      <x:c r="J585" s="74"/>
      <x:c r="K585" s="74"/>
      <x:c r="L585" s="74"/>
      <x:c r="M585" s="91"/>
      <x:c r="N585" s="91"/>
      <x:c r="O585" s="85"/>
      <x:c r="Q585" s="86"/>
      <x:c r="R585" s="86"/>
      <x:c r="S585" s="32"/>
    </x:row>
    <x:row r="586">
      <x:c r="A586" s="87"/>
      <x:c r="B586" s="88"/>
      <x:c r="D586" s="32"/>
      <x:c r="G586" s="74"/>
      <x:c r="H586" s="74"/>
      <x:c r="I586" s="74"/>
      <x:c r="J586" s="74"/>
      <x:c r="K586" s="74"/>
      <x:c r="L586" s="74"/>
      <x:c r="M586" s="91"/>
      <x:c r="N586" s="91"/>
      <x:c r="O586" s="85"/>
      <x:c r="Q586" s="86"/>
      <x:c r="R586" s="86"/>
      <x:c r="S586" s="32"/>
    </x:row>
    <x:row r="587">
      <x:c r="A587" s="87"/>
      <x:c r="B587" s="88"/>
      <x:c r="D587" s="32"/>
      <x:c r="G587" s="74"/>
      <x:c r="H587" s="74"/>
      <x:c r="I587" s="74"/>
      <x:c r="J587" s="74"/>
      <x:c r="K587" s="74"/>
      <x:c r="L587" s="74"/>
      <x:c r="M587" s="91"/>
      <x:c r="N587" s="91"/>
      <x:c r="O587" s="85"/>
      <x:c r="Q587" s="86"/>
      <x:c r="R587" s="86"/>
      <x:c r="S587" s="32"/>
    </x:row>
    <x:row r="588">
      <x:c r="A588" s="87"/>
      <x:c r="B588" s="88"/>
      <x:c r="D588" s="32"/>
      <x:c r="G588" s="74"/>
      <x:c r="H588" s="74"/>
      <x:c r="I588" s="74"/>
      <x:c r="J588" s="74"/>
      <x:c r="K588" s="74"/>
      <x:c r="L588" s="74"/>
      <x:c r="M588" s="91"/>
      <x:c r="N588" s="91"/>
      <x:c r="O588" s="85"/>
      <x:c r="Q588" s="86"/>
      <x:c r="R588" s="86"/>
      <x:c r="S588" s="32"/>
    </x:row>
    <x:row r="589">
      <x:c r="A589" s="87"/>
      <x:c r="B589" s="88"/>
      <x:c r="D589" s="32"/>
      <x:c r="G589" s="74"/>
      <x:c r="H589" s="74"/>
      <x:c r="I589" s="74"/>
      <x:c r="J589" s="74"/>
      <x:c r="K589" s="74"/>
      <x:c r="L589" s="74"/>
      <x:c r="M589" s="91"/>
      <x:c r="N589" s="91"/>
      <x:c r="O589" s="85"/>
      <x:c r="Q589" s="86"/>
      <x:c r="R589" s="86"/>
      <x:c r="S589" s="32"/>
    </x:row>
    <x:row r="590">
      <x:c r="A590" s="87"/>
      <x:c r="B590" s="88"/>
      <x:c r="D590" s="32"/>
      <x:c r="G590" s="74"/>
      <x:c r="H590" s="74"/>
      <x:c r="I590" s="74"/>
      <x:c r="J590" s="74"/>
      <x:c r="K590" s="74"/>
      <x:c r="L590" s="74"/>
      <x:c r="M590" s="91"/>
      <x:c r="N590" s="91"/>
      <x:c r="O590" s="85"/>
      <x:c r="Q590" s="86"/>
      <x:c r="R590" s="86"/>
      <x:c r="S590" s="32"/>
    </x:row>
    <x:row r="591">
      <x:c r="A591" s="87"/>
      <x:c r="B591" s="88"/>
      <x:c r="D591" s="32"/>
      <x:c r="G591" s="74"/>
      <x:c r="H591" s="74"/>
      <x:c r="I591" s="74"/>
      <x:c r="J591" s="74"/>
      <x:c r="K591" s="74"/>
      <x:c r="L591" s="74"/>
      <x:c r="M591" s="91"/>
      <x:c r="N591" s="91"/>
      <x:c r="O591" s="85"/>
      <x:c r="Q591" s="86"/>
      <x:c r="R591" s="86"/>
      <x:c r="S591" s="32"/>
    </x:row>
    <x:row r="592">
      <x:c r="A592" s="87"/>
      <x:c r="B592" s="88"/>
      <x:c r="D592" s="32"/>
      <x:c r="G592" s="74"/>
      <x:c r="H592" s="74"/>
      <x:c r="I592" s="74"/>
      <x:c r="J592" s="74"/>
      <x:c r="K592" s="74"/>
      <x:c r="L592" s="74"/>
      <x:c r="M592" s="91"/>
      <x:c r="N592" s="91"/>
      <x:c r="O592" s="85"/>
      <x:c r="Q592" s="86"/>
      <x:c r="R592" s="86"/>
      <x:c r="S592" s="32"/>
    </x:row>
    <x:row r="593">
      <x:c r="A593" s="87"/>
      <x:c r="B593" s="88"/>
      <x:c r="D593" s="32"/>
      <x:c r="G593" s="74"/>
      <x:c r="H593" s="74"/>
      <x:c r="I593" s="74"/>
      <x:c r="J593" s="74"/>
      <x:c r="K593" s="74"/>
      <x:c r="L593" s="74"/>
      <x:c r="M593" s="91"/>
      <x:c r="N593" s="91"/>
      <x:c r="O593" s="85"/>
      <x:c r="Q593" s="86"/>
      <x:c r="R593" s="86"/>
      <x:c r="S593" s="32"/>
    </x:row>
    <x:row r="594">
      <x:c r="A594" s="87"/>
      <x:c r="B594" s="88"/>
      <x:c r="D594" s="32"/>
      <x:c r="G594" s="74"/>
      <x:c r="H594" s="74"/>
      <x:c r="I594" s="74"/>
      <x:c r="J594" s="74"/>
      <x:c r="K594" s="74"/>
      <x:c r="L594" s="74"/>
      <x:c r="M594" s="91"/>
      <x:c r="N594" s="91"/>
      <x:c r="O594" s="85"/>
      <x:c r="Q594" s="86"/>
      <x:c r="R594" s="86"/>
      <x:c r="S594" s="32"/>
    </x:row>
    <x:row r="595">
      <x:c r="A595" s="87"/>
      <x:c r="B595" s="88"/>
      <x:c r="D595" s="32"/>
      <x:c r="G595" s="74"/>
      <x:c r="H595" s="74"/>
      <x:c r="I595" s="74"/>
      <x:c r="J595" s="74"/>
      <x:c r="K595" s="74"/>
      <x:c r="L595" s="74"/>
      <x:c r="M595" s="91"/>
      <x:c r="N595" s="91"/>
      <x:c r="O595" s="85"/>
      <x:c r="Q595" s="86"/>
      <x:c r="R595" s="86"/>
      <x:c r="S595" s="32"/>
    </x:row>
    <x:row r="596">
      <x:c r="A596" s="87"/>
      <x:c r="B596" s="88"/>
      <x:c r="D596" s="32"/>
      <x:c r="G596" s="74"/>
      <x:c r="H596" s="74"/>
      <x:c r="I596" s="74"/>
      <x:c r="J596" s="74"/>
      <x:c r="K596" s="74"/>
      <x:c r="L596" s="74"/>
      <x:c r="M596" s="91"/>
      <x:c r="N596" s="91"/>
      <x:c r="O596" s="85"/>
      <x:c r="Q596" s="86"/>
      <x:c r="R596" s="86"/>
      <x:c r="S596" s="32"/>
    </x:row>
    <x:row r="597">
      <x:c r="A597" s="87"/>
      <x:c r="B597" s="88"/>
      <x:c r="D597" s="32"/>
      <x:c r="G597" s="74"/>
      <x:c r="H597" s="74"/>
      <x:c r="I597" s="74"/>
      <x:c r="J597" s="74"/>
      <x:c r="K597" s="74"/>
      <x:c r="L597" s="74"/>
      <x:c r="M597" s="91"/>
      <x:c r="N597" s="91"/>
      <x:c r="O597" s="85"/>
      <x:c r="Q597" s="86"/>
      <x:c r="R597" s="86"/>
      <x:c r="S597" s="32"/>
    </x:row>
    <x:row r="598">
      <x:c r="A598" s="87"/>
      <x:c r="B598" s="88"/>
      <x:c r="D598" s="32"/>
      <x:c r="G598" s="74"/>
      <x:c r="H598" s="74"/>
      <x:c r="I598" s="74"/>
      <x:c r="J598" s="74"/>
      <x:c r="K598" s="74"/>
      <x:c r="L598" s="74"/>
      <x:c r="M598" s="91"/>
      <x:c r="N598" s="91"/>
      <x:c r="O598" s="85"/>
      <x:c r="Q598" s="86"/>
      <x:c r="R598" s="86"/>
      <x:c r="S598" s="32"/>
    </x:row>
    <x:row r="599">
      <x:c r="A599" s="87"/>
      <x:c r="B599" s="88"/>
      <x:c r="D599" s="32"/>
      <x:c r="G599" s="74"/>
      <x:c r="H599" s="74"/>
      <x:c r="I599" s="74"/>
      <x:c r="J599" s="74"/>
      <x:c r="K599" s="74"/>
      <x:c r="L599" s="74"/>
      <x:c r="M599" s="91"/>
      <x:c r="N599" s="91"/>
      <x:c r="O599" s="85"/>
      <x:c r="Q599" s="86"/>
      <x:c r="R599" s="86"/>
      <x:c r="S599" s="32"/>
    </x:row>
    <x:row r="600">
      <x:c r="A600" s="87"/>
      <x:c r="B600" s="88"/>
      <x:c r="D600" s="32"/>
      <x:c r="G600" s="74"/>
      <x:c r="H600" s="74"/>
      <x:c r="I600" s="74"/>
      <x:c r="J600" s="74"/>
      <x:c r="K600" s="74"/>
      <x:c r="L600" s="74"/>
      <x:c r="M600" s="91"/>
      <x:c r="N600" s="91"/>
      <x:c r="O600" s="85"/>
      <x:c r="Q600" s="86"/>
      <x:c r="R600" s="86"/>
      <x:c r="S600" s="32"/>
    </x:row>
    <x:row r="601">
      <x:c r="A601" s="87"/>
      <x:c r="B601" s="88"/>
      <x:c r="D601" s="32"/>
      <x:c r="G601" s="74"/>
      <x:c r="H601" s="74"/>
      <x:c r="I601" s="74"/>
      <x:c r="J601" s="74"/>
      <x:c r="K601" s="74"/>
      <x:c r="L601" s="74"/>
      <x:c r="M601" s="91"/>
      <x:c r="N601" s="91"/>
      <x:c r="O601" s="85"/>
      <x:c r="Q601" s="86"/>
      <x:c r="R601" s="86"/>
      <x:c r="S601" s="32"/>
    </x:row>
    <x:row r="602">
      <x:c r="A602" s="87"/>
      <x:c r="B602" s="88"/>
      <x:c r="D602" s="32"/>
      <x:c r="G602" s="74"/>
      <x:c r="H602" s="74"/>
      <x:c r="I602" s="74"/>
      <x:c r="J602" s="74"/>
      <x:c r="K602" s="74"/>
      <x:c r="L602" s="74"/>
      <x:c r="M602" s="91"/>
      <x:c r="N602" s="91"/>
      <x:c r="O602" s="85"/>
      <x:c r="Q602" s="86"/>
      <x:c r="R602" s="86"/>
      <x:c r="S602" s="32"/>
    </x:row>
    <x:row r="603">
      <x:c r="A603" s="87"/>
      <x:c r="B603" s="88"/>
      <x:c r="D603" s="32"/>
      <x:c r="G603" s="74"/>
      <x:c r="H603" s="74"/>
      <x:c r="I603" s="74"/>
      <x:c r="J603" s="74"/>
      <x:c r="K603" s="74"/>
      <x:c r="L603" s="74"/>
      <x:c r="M603" s="91"/>
      <x:c r="N603" s="91"/>
      <x:c r="O603" s="85"/>
      <x:c r="Q603" s="86"/>
      <x:c r="R603" s="86"/>
      <x:c r="S603" s="32"/>
    </x:row>
    <x:row r="604">
      <x:c r="A604" s="87"/>
      <x:c r="B604" s="88"/>
      <x:c r="D604" s="32"/>
      <x:c r="G604" s="74"/>
      <x:c r="H604" s="74"/>
      <x:c r="I604" s="74"/>
      <x:c r="J604" s="74"/>
      <x:c r="K604" s="74"/>
      <x:c r="L604" s="74"/>
      <x:c r="M604" s="91"/>
      <x:c r="N604" s="91"/>
      <x:c r="O604" s="85"/>
      <x:c r="Q604" s="86"/>
      <x:c r="R604" s="86"/>
      <x:c r="S604" s="32"/>
    </x:row>
    <x:row r="605">
      <x:c r="A605" s="87"/>
      <x:c r="B605" s="88"/>
      <x:c r="D605" s="32"/>
      <x:c r="G605" s="74"/>
      <x:c r="H605" s="74"/>
      <x:c r="I605" s="74"/>
      <x:c r="J605" s="74"/>
      <x:c r="K605" s="74"/>
      <x:c r="L605" s="74"/>
      <x:c r="M605" s="91"/>
      <x:c r="N605" s="91"/>
      <x:c r="O605" s="85"/>
      <x:c r="Q605" s="86"/>
      <x:c r="R605" s="86"/>
      <x:c r="S605" s="32"/>
    </x:row>
    <x:row r="606">
      <x:c r="A606" s="87"/>
      <x:c r="B606" s="88"/>
      <x:c r="D606" s="32"/>
      <x:c r="G606" s="74"/>
      <x:c r="H606" s="74"/>
      <x:c r="I606" s="74"/>
      <x:c r="J606" s="74"/>
      <x:c r="K606" s="74"/>
      <x:c r="L606" s="74"/>
      <x:c r="M606" s="91"/>
      <x:c r="N606" s="91"/>
      <x:c r="O606" s="85"/>
      <x:c r="Q606" s="86"/>
      <x:c r="R606" s="86"/>
      <x:c r="S606" s="32"/>
    </x:row>
    <x:row r="607">
      <x:c r="A607" s="87"/>
      <x:c r="B607" s="88"/>
      <x:c r="D607" s="32"/>
      <x:c r="G607" s="74"/>
      <x:c r="H607" s="74"/>
      <x:c r="I607" s="74"/>
      <x:c r="J607" s="74"/>
      <x:c r="K607" s="74"/>
      <x:c r="L607" s="74"/>
      <x:c r="M607" s="91"/>
      <x:c r="N607" s="91"/>
      <x:c r="O607" s="85"/>
      <x:c r="Q607" s="86"/>
      <x:c r="R607" s="86"/>
      <x:c r="S607" s="32"/>
    </x:row>
    <x:row r="608">
      <x:c r="A608" s="87"/>
      <x:c r="B608" s="88"/>
      <x:c r="D608" s="32"/>
      <x:c r="G608" s="74"/>
      <x:c r="H608" s="74"/>
      <x:c r="I608" s="74"/>
      <x:c r="J608" s="74"/>
      <x:c r="K608" s="74"/>
      <x:c r="L608" s="74"/>
      <x:c r="M608" s="91"/>
      <x:c r="N608" s="91"/>
      <x:c r="O608" s="85"/>
      <x:c r="Q608" s="86"/>
      <x:c r="R608" s="86"/>
      <x:c r="S608" s="32"/>
    </x:row>
    <x:row r="609">
      <x:c r="A609" s="87"/>
      <x:c r="B609" s="88"/>
      <x:c r="D609" s="32"/>
      <x:c r="G609" s="74"/>
      <x:c r="H609" s="74"/>
      <x:c r="I609" s="74"/>
      <x:c r="J609" s="74"/>
      <x:c r="K609" s="74"/>
      <x:c r="L609" s="74"/>
      <x:c r="M609" s="91"/>
      <x:c r="N609" s="91"/>
      <x:c r="O609" s="85"/>
      <x:c r="Q609" s="86"/>
      <x:c r="R609" s="86"/>
      <x:c r="S609" s="32"/>
    </x:row>
    <x:row r="610">
      <x:c r="A610" s="87"/>
      <x:c r="B610" s="88"/>
      <x:c r="D610" s="32"/>
      <x:c r="G610" s="74"/>
      <x:c r="H610" s="74"/>
      <x:c r="I610" s="74"/>
      <x:c r="J610" s="74"/>
      <x:c r="K610" s="74"/>
      <x:c r="L610" s="74"/>
      <x:c r="M610" s="91"/>
      <x:c r="N610" s="91"/>
      <x:c r="O610" s="85"/>
      <x:c r="Q610" s="86"/>
      <x:c r="R610" s="86"/>
      <x:c r="S610" s="32"/>
    </x:row>
    <x:row r="611">
      <x:c r="A611" s="87"/>
      <x:c r="B611" s="88"/>
      <x:c r="D611" s="32"/>
      <x:c r="G611" s="74"/>
      <x:c r="H611" s="74"/>
      <x:c r="I611" s="74"/>
      <x:c r="J611" s="74"/>
      <x:c r="K611" s="74"/>
      <x:c r="L611" s="74"/>
      <x:c r="M611" s="91"/>
      <x:c r="N611" s="91"/>
      <x:c r="O611" s="85"/>
      <x:c r="Q611" s="86"/>
      <x:c r="R611" s="86"/>
      <x:c r="S611" s="32"/>
    </x:row>
    <x:row r="612">
      <x:c r="A612" s="87"/>
      <x:c r="B612" s="88"/>
      <x:c r="D612" s="32"/>
      <x:c r="G612" s="74"/>
      <x:c r="H612" s="74"/>
      <x:c r="I612" s="74"/>
      <x:c r="J612" s="74"/>
      <x:c r="K612" s="74"/>
      <x:c r="L612" s="74"/>
      <x:c r="M612" s="91"/>
      <x:c r="N612" s="91"/>
      <x:c r="O612" s="85"/>
      <x:c r="Q612" s="86"/>
      <x:c r="R612" s="86"/>
      <x:c r="S612" s="32"/>
    </x:row>
    <x:row r="613">
      <x:c r="A613" s="87"/>
      <x:c r="B613" s="88"/>
      <x:c r="D613" s="32"/>
      <x:c r="G613" s="74"/>
      <x:c r="H613" s="74"/>
      <x:c r="I613" s="74"/>
      <x:c r="J613" s="74"/>
      <x:c r="K613" s="74"/>
      <x:c r="L613" s="74"/>
      <x:c r="M613" s="91"/>
      <x:c r="N613" s="91"/>
      <x:c r="O613" s="85"/>
      <x:c r="Q613" s="86"/>
      <x:c r="R613" s="86"/>
      <x:c r="S613" s="32"/>
    </x:row>
    <x:row r="614">
      <x:c r="A614" s="87"/>
      <x:c r="B614" s="88"/>
      <x:c r="D614" s="32"/>
      <x:c r="G614" s="74"/>
      <x:c r="H614" s="74"/>
      <x:c r="I614" s="74"/>
      <x:c r="J614" s="74"/>
      <x:c r="K614" s="74"/>
      <x:c r="L614" s="74"/>
      <x:c r="M614" s="91"/>
      <x:c r="N614" s="91"/>
      <x:c r="O614" s="85"/>
      <x:c r="Q614" s="86"/>
      <x:c r="R614" s="86"/>
      <x:c r="S614" s="32"/>
    </x:row>
    <x:row r="615">
      <x:c r="A615" s="87"/>
      <x:c r="B615" s="88"/>
      <x:c r="D615" s="32"/>
      <x:c r="G615" s="74"/>
      <x:c r="H615" s="74"/>
      <x:c r="I615" s="74"/>
      <x:c r="J615" s="74"/>
      <x:c r="K615" s="74"/>
      <x:c r="L615" s="74"/>
      <x:c r="M615" s="91"/>
      <x:c r="N615" s="91"/>
      <x:c r="O615" s="85"/>
      <x:c r="Q615" s="86"/>
      <x:c r="R615" s="86"/>
      <x:c r="S615" s="32"/>
    </x:row>
    <x:row r="616">
      <x:c r="A616" s="87"/>
      <x:c r="B616" s="88"/>
      <x:c r="D616" s="32"/>
      <x:c r="G616" s="74"/>
      <x:c r="H616" s="74"/>
      <x:c r="I616" s="74"/>
      <x:c r="J616" s="74"/>
      <x:c r="K616" s="74"/>
      <x:c r="L616" s="74"/>
      <x:c r="M616" s="91"/>
      <x:c r="N616" s="91"/>
      <x:c r="O616" s="85"/>
      <x:c r="Q616" s="86"/>
      <x:c r="R616" s="86"/>
      <x:c r="S616" s="32"/>
    </x:row>
    <x:row r="617">
      <x:c r="A617" s="87"/>
      <x:c r="B617" s="88"/>
      <x:c r="D617" s="32"/>
      <x:c r="G617" s="74"/>
      <x:c r="H617" s="74"/>
      <x:c r="I617" s="74"/>
      <x:c r="J617" s="74"/>
      <x:c r="K617" s="74"/>
      <x:c r="L617" s="74"/>
      <x:c r="M617" s="91"/>
      <x:c r="N617" s="91"/>
      <x:c r="O617" s="85"/>
      <x:c r="Q617" s="86"/>
      <x:c r="R617" s="86"/>
      <x:c r="S617" s="32"/>
    </x:row>
    <x:row r="618">
      <x:c r="A618" s="87"/>
      <x:c r="B618" s="88"/>
      <x:c r="D618" s="32"/>
      <x:c r="G618" s="74"/>
      <x:c r="H618" s="74"/>
      <x:c r="I618" s="74"/>
      <x:c r="J618" s="74"/>
      <x:c r="K618" s="74"/>
      <x:c r="L618" s="74"/>
      <x:c r="M618" s="91"/>
      <x:c r="N618" s="91"/>
      <x:c r="O618" s="85"/>
      <x:c r="Q618" s="86"/>
      <x:c r="R618" s="86"/>
      <x:c r="S618" s="32"/>
    </x:row>
    <x:row r="619">
      <x:c r="A619" s="87"/>
      <x:c r="B619" s="88"/>
      <x:c r="D619" s="32"/>
      <x:c r="G619" s="74"/>
      <x:c r="H619" s="74"/>
      <x:c r="I619" s="74"/>
      <x:c r="J619" s="74"/>
      <x:c r="K619" s="74"/>
      <x:c r="L619" s="74"/>
      <x:c r="M619" s="91"/>
      <x:c r="N619" s="91"/>
      <x:c r="O619" s="85"/>
      <x:c r="Q619" s="86"/>
      <x:c r="R619" s="86"/>
      <x:c r="S619" s="32"/>
    </x:row>
    <x:row r="620">
      <x:c r="A620" s="87"/>
      <x:c r="B620" s="88"/>
      <x:c r="D620" s="32"/>
      <x:c r="G620" s="74"/>
      <x:c r="H620" s="74"/>
      <x:c r="I620" s="74"/>
      <x:c r="J620" s="74"/>
      <x:c r="K620" s="74"/>
      <x:c r="L620" s="74"/>
      <x:c r="M620" s="91"/>
      <x:c r="N620" s="91"/>
      <x:c r="O620" s="85"/>
      <x:c r="Q620" s="86"/>
      <x:c r="R620" s="86"/>
      <x:c r="S620" s="32"/>
    </x:row>
    <x:row r="621">
      <x:c r="A621" s="87"/>
      <x:c r="B621" s="88"/>
      <x:c r="D621" s="32"/>
      <x:c r="G621" s="74"/>
      <x:c r="H621" s="74"/>
      <x:c r="I621" s="74"/>
      <x:c r="J621" s="74"/>
      <x:c r="K621" s="74"/>
      <x:c r="L621" s="74"/>
      <x:c r="M621" s="91"/>
      <x:c r="N621" s="91"/>
      <x:c r="O621" s="85"/>
      <x:c r="Q621" s="86"/>
      <x:c r="R621" s="86"/>
      <x:c r="S621" s="32"/>
    </x:row>
    <x:row r="622">
      <x:c r="A622" s="87"/>
      <x:c r="B622" s="88"/>
      <x:c r="D622" s="32"/>
      <x:c r="G622" s="74"/>
      <x:c r="H622" s="74"/>
      <x:c r="I622" s="74"/>
      <x:c r="J622" s="74"/>
      <x:c r="K622" s="74"/>
      <x:c r="L622" s="74"/>
      <x:c r="M622" s="91"/>
      <x:c r="N622" s="91"/>
      <x:c r="O622" s="85"/>
      <x:c r="Q622" s="86"/>
      <x:c r="R622" s="86"/>
      <x:c r="S622" s="32"/>
    </x:row>
    <x:row r="623">
      <x:c r="A623" s="87"/>
      <x:c r="B623" s="88"/>
      <x:c r="D623" s="32"/>
      <x:c r="G623" s="74"/>
      <x:c r="H623" s="74"/>
      <x:c r="I623" s="74"/>
      <x:c r="J623" s="74"/>
      <x:c r="K623" s="74"/>
      <x:c r="L623" s="74"/>
      <x:c r="M623" s="91"/>
      <x:c r="N623" s="91"/>
      <x:c r="O623" s="85"/>
      <x:c r="Q623" s="86"/>
      <x:c r="R623" s="86"/>
      <x:c r="S623" s="32"/>
    </x:row>
    <x:row r="624">
      <x:c r="A624" s="87"/>
      <x:c r="B624" s="88"/>
      <x:c r="D624" s="32"/>
      <x:c r="G624" s="74"/>
      <x:c r="H624" s="74"/>
      <x:c r="I624" s="74"/>
      <x:c r="J624" s="74"/>
      <x:c r="K624" s="74"/>
      <x:c r="L624" s="74"/>
      <x:c r="M624" s="91"/>
      <x:c r="N624" s="91"/>
      <x:c r="O624" s="85"/>
      <x:c r="Q624" s="86"/>
      <x:c r="R624" s="86"/>
      <x:c r="S624" s="32"/>
    </x:row>
    <x:row r="625">
      <x:c r="A625" s="87"/>
      <x:c r="B625" s="88"/>
      <x:c r="D625" s="32"/>
      <x:c r="G625" s="74"/>
      <x:c r="H625" s="74"/>
      <x:c r="I625" s="74"/>
      <x:c r="J625" s="74"/>
      <x:c r="K625" s="74"/>
      <x:c r="L625" s="74"/>
      <x:c r="M625" s="91"/>
      <x:c r="N625" s="91"/>
      <x:c r="O625" s="85"/>
      <x:c r="Q625" s="86"/>
      <x:c r="R625" s="86"/>
      <x:c r="S625" s="32"/>
    </x:row>
    <x:row r="626">
      <x:c r="A626" s="87"/>
      <x:c r="B626" s="88"/>
      <x:c r="D626" s="32"/>
      <x:c r="G626" s="74"/>
      <x:c r="H626" s="74"/>
      <x:c r="I626" s="74"/>
      <x:c r="J626" s="74"/>
      <x:c r="K626" s="74"/>
      <x:c r="L626" s="74"/>
      <x:c r="M626" s="91"/>
      <x:c r="N626" s="91"/>
      <x:c r="O626" s="85"/>
      <x:c r="Q626" s="86"/>
      <x:c r="R626" s="86"/>
      <x:c r="S626" s="32"/>
    </x:row>
    <x:row r="627">
      <x:c r="A627" s="87"/>
      <x:c r="B627" s="88"/>
      <x:c r="D627" s="32"/>
      <x:c r="G627" s="74"/>
      <x:c r="H627" s="74"/>
      <x:c r="I627" s="74"/>
      <x:c r="J627" s="74"/>
      <x:c r="K627" s="74"/>
      <x:c r="L627" s="74"/>
      <x:c r="M627" s="91"/>
      <x:c r="N627" s="91"/>
      <x:c r="O627" s="85"/>
      <x:c r="Q627" s="86"/>
      <x:c r="R627" s="86"/>
      <x:c r="S627" s="32"/>
    </x:row>
    <x:row r="628">
      <x:c r="A628" s="87"/>
      <x:c r="B628" s="88"/>
      <x:c r="D628" s="32"/>
      <x:c r="G628" s="74"/>
      <x:c r="H628" s="74"/>
      <x:c r="I628" s="74"/>
      <x:c r="J628" s="74"/>
      <x:c r="K628" s="74"/>
      <x:c r="L628" s="74"/>
      <x:c r="M628" s="91"/>
      <x:c r="N628" s="91"/>
      <x:c r="O628" s="85"/>
      <x:c r="Q628" s="86"/>
      <x:c r="R628" s="86"/>
      <x:c r="S628" s="32"/>
    </x:row>
    <x:row r="629">
      <x:c r="A629" s="87"/>
      <x:c r="B629" s="88"/>
      <x:c r="D629" s="32"/>
      <x:c r="G629" s="74"/>
      <x:c r="H629" s="74"/>
      <x:c r="I629" s="74"/>
      <x:c r="J629" s="74"/>
      <x:c r="K629" s="74"/>
      <x:c r="L629" s="74"/>
      <x:c r="M629" s="91"/>
      <x:c r="N629" s="91"/>
      <x:c r="O629" s="85"/>
      <x:c r="Q629" s="86"/>
      <x:c r="R629" s="86"/>
      <x:c r="S629" s="32"/>
    </x:row>
    <x:row r="630">
      <x:c r="A630" s="87"/>
      <x:c r="B630" s="88"/>
      <x:c r="D630" s="32"/>
      <x:c r="G630" s="74"/>
      <x:c r="H630" s="74"/>
      <x:c r="I630" s="74"/>
      <x:c r="J630" s="74"/>
      <x:c r="K630" s="74"/>
      <x:c r="L630" s="74"/>
      <x:c r="M630" s="91"/>
      <x:c r="N630" s="91"/>
      <x:c r="O630" s="85"/>
      <x:c r="Q630" s="86"/>
      <x:c r="R630" s="86"/>
      <x:c r="S630" s="32"/>
    </x:row>
    <x:row r="631">
      <x:c r="A631" s="87"/>
      <x:c r="B631" s="88"/>
      <x:c r="D631" s="32"/>
      <x:c r="G631" s="74"/>
      <x:c r="H631" s="74"/>
      <x:c r="I631" s="74"/>
      <x:c r="J631" s="74"/>
      <x:c r="K631" s="74"/>
      <x:c r="L631" s="74"/>
      <x:c r="M631" s="91"/>
      <x:c r="N631" s="91"/>
      <x:c r="O631" s="85"/>
      <x:c r="Q631" s="86"/>
      <x:c r="R631" s="86"/>
      <x:c r="S631" s="32"/>
    </x:row>
    <x:row r="632">
      <x:c r="A632" s="87"/>
      <x:c r="B632" s="88"/>
      <x:c r="D632" s="32"/>
      <x:c r="G632" s="74"/>
      <x:c r="H632" s="74"/>
      <x:c r="I632" s="74"/>
      <x:c r="J632" s="74"/>
      <x:c r="K632" s="74"/>
      <x:c r="L632" s="74"/>
      <x:c r="M632" s="91"/>
      <x:c r="N632" s="91"/>
      <x:c r="O632" s="85"/>
      <x:c r="Q632" s="86"/>
      <x:c r="R632" s="86"/>
      <x:c r="S632" s="32"/>
    </x:row>
    <x:row r="633">
      <x:c r="A633" s="87"/>
      <x:c r="B633" s="88"/>
      <x:c r="D633" s="32"/>
      <x:c r="G633" s="74"/>
      <x:c r="H633" s="74"/>
      <x:c r="I633" s="74"/>
      <x:c r="J633" s="74"/>
      <x:c r="K633" s="74"/>
      <x:c r="L633" s="74"/>
      <x:c r="M633" s="91"/>
      <x:c r="N633" s="91"/>
      <x:c r="O633" s="85"/>
      <x:c r="Q633" s="86"/>
      <x:c r="R633" s="86"/>
      <x:c r="S633" s="32"/>
    </x:row>
    <x:row r="634">
      <x:c r="A634" s="87"/>
      <x:c r="B634" s="88"/>
      <x:c r="D634" s="32"/>
      <x:c r="G634" s="74"/>
      <x:c r="H634" s="74"/>
      <x:c r="I634" s="74"/>
      <x:c r="J634" s="74"/>
      <x:c r="K634" s="74"/>
      <x:c r="L634" s="74"/>
      <x:c r="M634" s="91"/>
      <x:c r="N634" s="91"/>
      <x:c r="O634" s="85"/>
      <x:c r="Q634" s="86"/>
      <x:c r="R634" s="86"/>
      <x:c r="S634" s="32"/>
    </x:row>
    <x:row r="635">
      <x:c r="A635" s="87"/>
      <x:c r="B635" s="88"/>
      <x:c r="D635" s="32"/>
      <x:c r="G635" s="74"/>
      <x:c r="H635" s="74"/>
      <x:c r="I635" s="74"/>
      <x:c r="J635" s="74"/>
      <x:c r="K635" s="74"/>
      <x:c r="L635" s="74"/>
      <x:c r="M635" s="91"/>
      <x:c r="N635" s="91"/>
      <x:c r="O635" s="85"/>
      <x:c r="Q635" s="86"/>
      <x:c r="R635" s="86"/>
      <x:c r="S635" s="32"/>
    </x:row>
    <x:row r="636">
      <x:c r="A636" s="87"/>
      <x:c r="B636" s="88"/>
      <x:c r="D636" s="32"/>
      <x:c r="G636" s="74"/>
      <x:c r="H636" s="74"/>
      <x:c r="I636" s="74"/>
      <x:c r="J636" s="74"/>
      <x:c r="K636" s="74"/>
      <x:c r="L636" s="74"/>
      <x:c r="M636" s="91"/>
      <x:c r="N636" s="91"/>
      <x:c r="O636" s="85"/>
      <x:c r="Q636" s="86"/>
      <x:c r="R636" s="86"/>
      <x:c r="S636" s="32"/>
    </x:row>
    <x:row r="637">
      <x:c r="A637" s="87"/>
      <x:c r="B637" s="88"/>
      <x:c r="D637" s="32"/>
      <x:c r="G637" s="74"/>
      <x:c r="H637" s="74"/>
      <x:c r="I637" s="74"/>
      <x:c r="J637" s="74"/>
      <x:c r="K637" s="74"/>
      <x:c r="L637" s="74"/>
      <x:c r="M637" s="91"/>
      <x:c r="N637" s="91"/>
      <x:c r="O637" s="85"/>
      <x:c r="Q637" s="86"/>
      <x:c r="R637" s="86"/>
      <x:c r="S637" s="32"/>
    </x:row>
    <x:row r="638">
      <x:c r="A638" s="87"/>
      <x:c r="B638" s="88"/>
      <x:c r="D638" s="32"/>
      <x:c r="G638" s="74"/>
      <x:c r="H638" s="74"/>
      <x:c r="I638" s="74"/>
      <x:c r="J638" s="74"/>
      <x:c r="K638" s="74"/>
      <x:c r="L638" s="74"/>
      <x:c r="M638" s="91"/>
      <x:c r="N638" s="91"/>
      <x:c r="O638" s="85"/>
      <x:c r="Q638" s="86"/>
      <x:c r="R638" s="86"/>
      <x:c r="S638" s="32"/>
    </x:row>
    <x:row r="639">
      <x:c r="A639" s="87"/>
      <x:c r="B639" s="88"/>
      <x:c r="D639" s="32"/>
      <x:c r="G639" s="74"/>
      <x:c r="H639" s="74"/>
      <x:c r="I639" s="74"/>
      <x:c r="J639" s="74"/>
      <x:c r="K639" s="74"/>
      <x:c r="L639" s="74"/>
      <x:c r="M639" s="91"/>
      <x:c r="N639" s="91"/>
      <x:c r="O639" s="85"/>
      <x:c r="Q639" s="86"/>
      <x:c r="R639" s="86"/>
      <x:c r="S639" s="32"/>
    </x:row>
    <x:row r="640">
      <x:c r="A640" s="87"/>
      <x:c r="B640" s="88"/>
      <x:c r="D640" s="32"/>
      <x:c r="G640" s="74"/>
      <x:c r="H640" s="74"/>
      <x:c r="I640" s="74"/>
      <x:c r="J640" s="74"/>
      <x:c r="K640" s="74"/>
      <x:c r="L640" s="74"/>
      <x:c r="M640" s="91"/>
      <x:c r="N640" s="91"/>
      <x:c r="O640" s="85"/>
      <x:c r="Q640" s="86"/>
      <x:c r="R640" s="86"/>
      <x:c r="S640" s="32"/>
    </x:row>
    <x:row r="641">
      <x:c r="A641" s="87"/>
      <x:c r="B641" s="88"/>
      <x:c r="D641" s="32"/>
      <x:c r="G641" s="74"/>
      <x:c r="H641" s="74"/>
      <x:c r="I641" s="74"/>
      <x:c r="J641" s="74"/>
      <x:c r="K641" s="74"/>
      <x:c r="L641" s="74"/>
      <x:c r="M641" s="91"/>
      <x:c r="N641" s="91"/>
      <x:c r="O641" s="85"/>
      <x:c r="Q641" s="86"/>
      <x:c r="R641" s="86"/>
      <x:c r="S641" s="32"/>
    </x:row>
    <x:row r="642">
      <x:c r="A642" s="87"/>
      <x:c r="B642" s="88"/>
      <x:c r="D642" s="32"/>
      <x:c r="G642" s="74"/>
      <x:c r="H642" s="74"/>
      <x:c r="I642" s="74"/>
      <x:c r="J642" s="74"/>
      <x:c r="K642" s="74"/>
      <x:c r="L642" s="74"/>
      <x:c r="M642" s="91"/>
      <x:c r="N642" s="91"/>
      <x:c r="O642" s="85"/>
      <x:c r="Q642" s="86"/>
      <x:c r="R642" s="86"/>
      <x:c r="S642" s="32"/>
    </x:row>
    <x:row r="643">
      <x:c r="A643" s="87"/>
      <x:c r="B643" s="88"/>
      <x:c r="D643" s="32"/>
      <x:c r="G643" s="74"/>
      <x:c r="H643" s="74"/>
      <x:c r="I643" s="74"/>
      <x:c r="J643" s="74"/>
      <x:c r="K643" s="74"/>
      <x:c r="L643" s="74"/>
      <x:c r="M643" s="91"/>
      <x:c r="N643" s="91"/>
      <x:c r="O643" s="85"/>
      <x:c r="Q643" s="86"/>
      <x:c r="R643" s="86"/>
      <x:c r="S643" s="32"/>
    </x:row>
    <x:row r="644">
      <x:c r="A644" s="87"/>
      <x:c r="B644" s="88"/>
      <x:c r="D644" s="32"/>
      <x:c r="G644" s="74"/>
      <x:c r="H644" s="74"/>
      <x:c r="I644" s="74"/>
      <x:c r="J644" s="74"/>
      <x:c r="K644" s="74"/>
      <x:c r="L644" s="74"/>
      <x:c r="M644" s="91"/>
      <x:c r="N644" s="91"/>
      <x:c r="O644" s="85"/>
      <x:c r="Q644" s="86"/>
      <x:c r="R644" s="86"/>
      <x:c r="S644" s="32"/>
    </x:row>
    <x:row r="645">
      <x:c r="A645" s="87"/>
      <x:c r="B645" s="88"/>
      <x:c r="D645" s="32"/>
      <x:c r="G645" s="74"/>
      <x:c r="H645" s="74"/>
      <x:c r="I645" s="74"/>
      <x:c r="J645" s="74"/>
      <x:c r="K645" s="74"/>
      <x:c r="L645" s="74"/>
      <x:c r="M645" s="91"/>
      <x:c r="N645" s="91"/>
      <x:c r="O645" s="85"/>
      <x:c r="Q645" s="86"/>
      <x:c r="R645" s="86"/>
      <x:c r="S645" s="32"/>
    </x:row>
    <x:row r="646">
      <x:c r="A646" s="87"/>
      <x:c r="B646" s="88"/>
      <x:c r="D646" s="32"/>
      <x:c r="G646" s="74"/>
      <x:c r="H646" s="74"/>
      <x:c r="I646" s="74"/>
      <x:c r="J646" s="74"/>
      <x:c r="K646" s="74"/>
      <x:c r="L646" s="74"/>
      <x:c r="M646" s="91"/>
      <x:c r="N646" s="91"/>
      <x:c r="O646" s="85"/>
      <x:c r="Q646" s="86"/>
      <x:c r="R646" s="86"/>
      <x:c r="S646" s="32"/>
    </x:row>
    <x:row r="647">
      <x:c r="A647" s="87"/>
      <x:c r="B647" s="88"/>
      <x:c r="D647" s="32"/>
      <x:c r="G647" s="74"/>
      <x:c r="H647" s="74"/>
      <x:c r="I647" s="74"/>
      <x:c r="J647" s="74"/>
      <x:c r="K647" s="74"/>
      <x:c r="L647" s="74"/>
      <x:c r="M647" s="91"/>
      <x:c r="N647" s="91"/>
      <x:c r="O647" s="85"/>
      <x:c r="Q647" s="86"/>
      <x:c r="R647" s="86"/>
      <x:c r="S647" s="32"/>
    </x:row>
    <x:row r="648">
      <x:c r="A648" s="87"/>
      <x:c r="B648" s="88"/>
      <x:c r="D648" s="32"/>
      <x:c r="G648" s="74"/>
      <x:c r="H648" s="74"/>
      <x:c r="I648" s="74"/>
      <x:c r="J648" s="74"/>
      <x:c r="K648" s="74"/>
      <x:c r="L648" s="74"/>
      <x:c r="M648" s="91"/>
      <x:c r="N648" s="91"/>
      <x:c r="O648" s="85"/>
      <x:c r="Q648" s="86"/>
      <x:c r="R648" s="86"/>
      <x:c r="S648" s="32"/>
    </x:row>
    <x:row r="649">
      <x:c r="A649" s="87"/>
      <x:c r="B649" s="88"/>
      <x:c r="D649" s="32"/>
      <x:c r="G649" s="74"/>
      <x:c r="H649" s="74"/>
      <x:c r="I649" s="74"/>
      <x:c r="J649" s="74"/>
      <x:c r="K649" s="74"/>
      <x:c r="L649" s="74"/>
      <x:c r="M649" s="91"/>
      <x:c r="N649" s="91"/>
      <x:c r="O649" s="85"/>
      <x:c r="Q649" s="86"/>
      <x:c r="R649" s="86"/>
      <x:c r="S649" s="32"/>
    </x:row>
    <x:row r="650">
      <x:c r="A650" s="87"/>
      <x:c r="B650" s="88"/>
      <x:c r="D650" s="32"/>
      <x:c r="G650" s="74"/>
      <x:c r="H650" s="74"/>
      <x:c r="I650" s="74"/>
      <x:c r="J650" s="74"/>
      <x:c r="K650" s="74"/>
      <x:c r="L650" s="74"/>
      <x:c r="M650" s="91"/>
      <x:c r="N650" s="91"/>
      <x:c r="O650" s="85"/>
      <x:c r="Q650" s="86"/>
      <x:c r="R650" s="86"/>
      <x:c r="S650" s="32"/>
    </x:row>
    <x:row r="651">
      <x:c r="A651" s="87"/>
      <x:c r="B651" s="88"/>
      <x:c r="D651" s="32"/>
      <x:c r="G651" s="74"/>
      <x:c r="H651" s="74"/>
      <x:c r="I651" s="74"/>
      <x:c r="J651" s="74"/>
      <x:c r="K651" s="74"/>
      <x:c r="L651" s="74"/>
      <x:c r="M651" s="91"/>
      <x:c r="N651" s="91"/>
      <x:c r="O651" s="85"/>
      <x:c r="Q651" s="86"/>
      <x:c r="R651" s="86"/>
      <x:c r="S651" s="32"/>
    </x:row>
    <x:row r="652">
      <x:c r="A652" s="87"/>
      <x:c r="B652" s="88"/>
      <x:c r="D652" s="32"/>
      <x:c r="G652" s="74"/>
      <x:c r="H652" s="74"/>
      <x:c r="I652" s="74"/>
      <x:c r="J652" s="74"/>
      <x:c r="K652" s="74"/>
      <x:c r="L652" s="74"/>
      <x:c r="M652" s="91"/>
      <x:c r="N652" s="91"/>
      <x:c r="O652" s="85"/>
      <x:c r="Q652" s="86"/>
      <x:c r="R652" s="86"/>
      <x:c r="S652" s="32"/>
    </x:row>
    <x:row r="653">
      <x:c r="A653" s="87"/>
      <x:c r="B653" s="88"/>
      <x:c r="D653" s="32"/>
      <x:c r="G653" s="74"/>
      <x:c r="H653" s="74"/>
      <x:c r="I653" s="74"/>
      <x:c r="J653" s="74"/>
      <x:c r="K653" s="74"/>
      <x:c r="L653" s="74"/>
      <x:c r="M653" s="91"/>
      <x:c r="N653" s="91"/>
      <x:c r="O653" s="85"/>
      <x:c r="Q653" s="86"/>
      <x:c r="R653" s="86"/>
      <x:c r="S653" s="32"/>
    </x:row>
    <x:row r="654">
      <x:c r="A654" s="87"/>
      <x:c r="B654" s="88"/>
      <x:c r="D654" s="32"/>
      <x:c r="G654" s="74"/>
      <x:c r="H654" s="74"/>
      <x:c r="I654" s="74"/>
      <x:c r="J654" s="74"/>
      <x:c r="K654" s="74"/>
      <x:c r="L654" s="74"/>
      <x:c r="M654" s="91"/>
      <x:c r="N654" s="91"/>
      <x:c r="O654" s="85"/>
      <x:c r="Q654" s="86"/>
      <x:c r="R654" s="86"/>
      <x:c r="S654" s="32"/>
    </x:row>
    <x:row r="655">
      <x:c r="A655" s="87"/>
      <x:c r="B655" s="88"/>
      <x:c r="D655" s="32"/>
      <x:c r="G655" s="74"/>
      <x:c r="H655" s="74"/>
      <x:c r="I655" s="74"/>
      <x:c r="J655" s="74"/>
      <x:c r="K655" s="74"/>
      <x:c r="L655" s="74"/>
      <x:c r="M655" s="91"/>
      <x:c r="N655" s="91"/>
      <x:c r="O655" s="85"/>
      <x:c r="Q655" s="86"/>
      <x:c r="R655" s="86"/>
      <x:c r="S655" s="32"/>
    </x:row>
    <x:row r="656">
      <x:c r="A656" s="87"/>
      <x:c r="B656" s="88"/>
      <x:c r="D656" s="32"/>
      <x:c r="G656" s="74"/>
      <x:c r="H656" s="74"/>
      <x:c r="I656" s="74"/>
      <x:c r="J656" s="74"/>
      <x:c r="K656" s="74"/>
      <x:c r="L656" s="74"/>
      <x:c r="M656" s="91"/>
      <x:c r="N656" s="91"/>
      <x:c r="O656" s="85"/>
      <x:c r="Q656" s="86"/>
      <x:c r="R656" s="86"/>
      <x:c r="S656" s="32"/>
    </x:row>
    <x:row r="657">
      <x:c r="A657" s="87"/>
      <x:c r="B657" s="88"/>
      <x:c r="D657" s="32"/>
      <x:c r="G657" s="74"/>
      <x:c r="H657" s="74"/>
      <x:c r="I657" s="74"/>
      <x:c r="J657" s="74"/>
      <x:c r="K657" s="74"/>
      <x:c r="L657" s="74"/>
      <x:c r="M657" s="91"/>
      <x:c r="N657" s="91"/>
      <x:c r="O657" s="85"/>
      <x:c r="Q657" s="86"/>
      <x:c r="R657" s="86"/>
      <x:c r="S657" s="32"/>
    </x:row>
    <x:row r="658">
      <x:c r="A658" s="87"/>
      <x:c r="B658" s="88"/>
      <x:c r="D658" s="32"/>
      <x:c r="G658" s="74"/>
      <x:c r="H658" s="74"/>
      <x:c r="I658" s="74"/>
      <x:c r="J658" s="74"/>
      <x:c r="K658" s="74"/>
      <x:c r="L658" s="74"/>
      <x:c r="M658" s="91"/>
      <x:c r="N658" s="91"/>
      <x:c r="O658" s="85"/>
      <x:c r="Q658" s="86"/>
      <x:c r="R658" s="86"/>
      <x:c r="S658" s="32"/>
    </x:row>
    <x:row r="659">
      <x:c r="A659" s="87"/>
      <x:c r="B659" s="88"/>
      <x:c r="D659" s="32"/>
      <x:c r="G659" s="74"/>
      <x:c r="H659" s="74"/>
      <x:c r="I659" s="74"/>
      <x:c r="J659" s="74"/>
      <x:c r="K659" s="74"/>
      <x:c r="L659" s="74"/>
      <x:c r="M659" s="91"/>
      <x:c r="N659" s="91"/>
      <x:c r="O659" s="85"/>
      <x:c r="Q659" s="86"/>
      <x:c r="R659" s="86"/>
      <x:c r="S659" s="32"/>
    </x:row>
    <x:row r="660">
      <x:c r="A660" s="87"/>
      <x:c r="B660" s="88"/>
      <x:c r="D660" s="32"/>
      <x:c r="G660" s="74"/>
      <x:c r="H660" s="74"/>
      <x:c r="I660" s="74"/>
      <x:c r="J660" s="74"/>
      <x:c r="K660" s="74"/>
      <x:c r="L660" s="74"/>
      <x:c r="M660" s="91"/>
      <x:c r="N660" s="91"/>
      <x:c r="O660" s="85"/>
      <x:c r="Q660" s="86"/>
      <x:c r="R660" s="86"/>
      <x:c r="S660" s="32"/>
    </x:row>
    <x:row r="661">
      <x:c r="A661" s="87"/>
      <x:c r="B661" s="88"/>
      <x:c r="D661" s="32"/>
      <x:c r="G661" s="74"/>
      <x:c r="H661" s="74"/>
      <x:c r="I661" s="74"/>
      <x:c r="J661" s="74"/>
      <x:c r="K661" s="74"/>
      <x:c r="L661" s="74"/>
      <x:c r="M661" s="91"/>
      <x:c r="N661" s="91"/>
      <x:c r="O661" s="85"/>
      <x:c r="Q661" s="86"/>
      <x:c r="R661" s="86"/>
      <x:c r="S661" s="32"/>
    </x:row>
    <x:row r="662">
      <x:c r="A662" s="87"/>
      <x:c r="B662" s="88"/>
      <x:c r="D662" s="32"/>
      <x:c r="G662" s="74"/>
      <x:c r="H662" s="74"/>
      <x:c r="I662" s="74"/>
      <x:c r="J662" s="74"/>
      <x:c r="K662" s="74"/>
      <x:c r="L662" s="74"/>
      <x:c r="M662" s="91"/>
      <x:c r="N662" s="91"/>
      <x:c r="O662" s="85"/>
      <x:c r="Q662" s="86"/>
      <x:c r="R662" s="86"/>
      <x:c r="S662" s="32"/>
    </x:row>
    <x:row r="663">
      <x:c r="A663" s="87"/>
      <x:c r="B663" s="88"/>
      <x:c r="D663" s="32"/>
      <x:c r="G663" s="74"/>
      <x:c r="H663" s="74"/>
      <x:c r="I663" s="74"/>
      <x:c r="J663" s="74"/>
      <x:c r="K663" s="74"/>
      <x:c r="L663" s="74"/>
      <x:c r="M663" s="91"/>
      <x:c r="N663" s="91"/>
      <x:c r="O663" s="85"/>
      <x:c r="Q663" s="86"/>
      <x:c r="R663" s="86"/>
      <x:c r="S663" s="32"/>
    </x:row>
    <x:row r="664">
      <x:c r="A664" s="87"/>
      <x:c r="B664" s="88"/>
      <x:c r="D664" s="32"/>
      <x:c r="G664" s="74"/>
      <x:c r="H664" s="74"/>
      <x:c r="I664" s="74"/>
      <x:c r="J664" s="74"/>
      <x:c r="K664" s="74"/>
      <x:c r="L664" s="74"/>
      <x:c r="M664" s="91"/>
      <x:c r="N664" s="91"/>
      <x:c r="O664" s="85"/>
      <x:c r="Q664" s="86"/>
      <x:c r="R664" s="86"/>
      <x:c r="S664" s="32"/>
    </x:row>
    <x:row r="665">
      <x:c r="A665" s="87"/>
      <x:c r="B665" s="88"/>
      <x:c r="D665" s="32"/>
      <x:c r="G665" s="74"/>
      <x:c r="H665" s="74"/>
      <x:c r="I665" s="74"/>
      <x:c r="J665" s="74"/>
      <x:c r="K665" s="74"/>
      <x:c r="L665" s="74"/>
      <x:c r="M665" s="91"/>
      <x:c r="N665" s="91"/>
      <x:c r="O665" s="85"/>
      <x:c r="Q665" s="86"/>
      <x:c r="R665" s="86"/>
      <x:c r="S665" s="32"/>
    </x:row>
    <x:row r="666">
      <x:c r="A666" s="87"/>
      <x:c r="B666" s="88"/>
      <x:c r="D666" s="32"/>
      <x:c r="G666" s="74"/>
      <x:c r="H666" s="74"/>
      <x:c r="I666" s="74"/>
      <x:c r="J666" s="74"/>
      <x:c r="K666" s="74"/>
      <x:c r="L666" s="74"/>
      <x:c r="M666" s="91"/>
      <x:c r="N666" s="91"/>
      <x:c r="O666" s="85"/>
      <x:c r="Q666" s="86"/>
      <x:c r="R666" s="86"/>
      <x:c r="S666" s="32"/>
    </x:row>
    <x:row r="667">
      <x:c r="A667" s="87"/>
      <x:c r="B667" s="88"/>
      <x:c r="D667" s="32"/>
      <x:c r="G667" s="74"/>
      <x:c r="H667" s="74"/>
      <x:c r="I667" s="74"/>
      <x:c r="J667" s="74"/>
      <x:c r="K667" s="74"/>
      <x:c r="L667" s="74"/>
      <x:c r="M667" s="91"/>
      <x:c r="N667" s="91"/>
      <x:c r="O667" s="85"/>
      <x:c r="Q667" s="86"/>
      <x:c r="R667" s="86"/>
      <x:c r="S667" s="32"/>
    </x:row>
    <x:row r="668">
      <x:c r="A668" s="87"/>
      <x:c r="B668" s="88"/>
      <x:c r="D668" s="32"/>
      <x:c r="G668" s="74"/>
      <x:c r="H668" s="74"/>
      <x:c r="I668" s="74"/>
      <x:c r="J668" s="74"/>
      <x:c r="K668" s="74"/>
      <x:c r="L668" s="74"/>
      <x:c r="M668" s="91"/>
      <x:c r="N668" s="91"/>
      <x:c r="O668" s="85"/>
      <x:c r="Q668" s="86"/>
      <x:c r="R668" s="86"/>
      <x:c r="S668" s="32"/>
    </x:row>
    <x:row r="669">
      <x:c r="A669" s="87"/>
      <x:c r="B669" s="88"/>
      <x:c r="D669" s="32"/>
      <x:c r="G669" s="74"/>
      <x:c r="H669" s="74"/>
      <x:c r="I669" s="74"/>
      <x:c r="J669" s="74"/>
      <x:c r="K669" s="74"/>
      <x:c r="L669" s="74"/>
      <x:c r="M669" s="91"/>
      <x:c r="N669" s="91"/>
      <x:c r="O669" s="85"/>
      <x:c r="Q669" s="86"/>
      <x:c r="R669" s="86"/>
      <x:c r="S669" s="32"/>
    </x:row>
    <x:row r="670">
      <x:c r="A670" s="87"/>
      <x:c r="B670" s="88"/>
      <x:c r="D670" s="32"/>
      <x:c r="G670" s="74"/>
      <x:c r="H670" s="74"/>
      <x:c r="I670" s="74"/>
      <x:c r="J670" s="74"/>
      <x:c r="K670" s="74"/>
      <x:c r="L670" s="74"/>
      <x:c r="M670" s="91"/>
      <x:c r="N670" s="91"/>
      <x:c r="O670" s="85"/>
      <x:c r="Q670" s="86"/>
      <x:c r="R670" s="86"/>
      <x:c r="S670" s="32"/>
    </x:row>
    <x:row r="671">
      <x:c r="A671" s="87"/>
      <x:c r="B671" s="88"/>
      <x:c r="D671" s="32"/>
      <x:c r="G671" s="74"/>
      <x:c r="H671" s="74"/>
      <x:c r="I671" s="74"/>
      <x:c r="J671" s="74"/>
      <x:c r="K671" s="74"/>
      <x:c r="L671" s="74"/>
      <x:c r="M671" s="91"/>
      <x:c r="N671" s="91"/>
      <x:c r="O671" s="85"/>
      <x:c r="Q671" s="86"/>
      <x:c r="R671" s="86"/>
      <x:c r="S671" s="32"/>
    </x:row>
    <x:row r="672">
      <x:c r="A672" s="87"/>
      <x:c r="B672" s="88"/>
      <x:c r="D672" s="32"/>
      <x:c r="G672" s="74"/>
      <x:c r="H672" s="74"/>
      <x:c r="I672" s="74"/>
      <x:c r="J672" s="74"/>
      <x:c r="K672" s="74"/>
      <x:c r="L672" s="74"/>
      <x:c r="M672" s="91"/>
      <x:c r="N672" s="91"/>
      <x:c r="O672" s="85"/>
      <x:c r="Q672" s="86"/>
      <x:c r="R672" s="86"/>
      <x:c r="S672" s="32"/>
    </x:row>
    <x:row r="673">
      <x:c r="A673" s="87"/>
      <x:c r="B673" s="88"/>
      <x:c r="D673" s="32"/>
      <x:c r="G673" s="74"/>
      <x:c r="H673" s="74"/>
      <x:c r="I673" s="74"/>
      <x:c r="J673" s="74"/>
      <x:c r="K673" s="74"/>
      <x:c r="L673" s="74"/>
      <x:c r="M673" s="91"/>
      <x:c r="N673" s="91"/>
      <x:c r="O673" s="85"/>
      <x:c r="Q673" s="86"/>
      <x:c r="R673" s="86"/>
      <x:c r="S673" s="32"/>
    </x:row>
    <x:row r="674">
      <x:c r="A674" s="87"/>
      <x:c r="B674" s="88"/>
      <x:c r="D674" s="32"/>
      <x:c r="G674" s="74"/>
      <x:c r="H674" s="74"/>
      <x:c r="I674" s="74"/>
      <x:c r="J674" s="74"/>
      <x:c r="K674" s="74"/>
      <x:c r="L674" s="74"/>
      <x:c r="M674" s="91"/>
      <x:c r="N674" s="91"/>
      <x:c r="O674" s="85"/>
      <x:c r="Q674" s="86"/>
      <x:c r="R674" s="86"/>
      <x:c r="S674" s="32"/>
    </x:row>
    <x:row r="675">
      <x:c r="A675" s="87"/>
      <x:c r="B675" s="88"/>
      <x:c r="D675" s="32"/>
      <x:c r="G675" s="74"/>
      <x:c r="H675" s="74"/>
      <x:c r="I675" s="74"/>
      <x:c r="J675" s="74"/>
      <x:c r="K675" s="74"/>
      <x:c r="L675" s="74"/>
      <x:c r="M675" s="91"/>
      <x:c r="N675" s="91"/>
      <x:c r="O675" s="85"/>
      <x:c r="Q675" s="86"/>
      <x:c r="R675" s="86"/>
      <x:c r="S675" s="32"/>
    </x:row>
    <x:row r="676">
      <x:c r="A676" s="87"/>
      <x:c r="B676" s="88"/>
      <x:c r="D676" s="32"/>
      <x:c r="G676" s="74"/>
      <x:c r="H676" s="74"/>
      <x:c r="I676" s="74"/>
      <x:c r="J676" s="74"/>
      <x:c r="K676" s="74"/>
      <x:c r="L676" s="74"/>
      <x:c r="M676" s="91"/>
      <x:c r="N676" s="91"/>
      <x:c r="O676" s="85"/>
      <x:c r="Q676" s="86"/>
      <x:c r="R676" s="86"/>
      <x:c r="S676" s="32"/>
    </x:row>
    <x:row r="677">
      <x:c r="A677" s="87"/>
      <x:c r="B677" s="88"/>
      <x:c r="D677" s="32"/>
      <x:c r="G677" s="74"/>
      <x:c r="H677" s="74"/>
      <x:c r="I677" s="74"/>
      <x:c r="J677" s="74"/>
      <x:c r="K677" s="74"/>
      <x:c r="L677" s="74"/>
      <x:c r="M677" s="91"/>
      <x:c r="N677" s="91"/>
      <x:c r="O677" s="85"/>
      <x:c r="Q677" s="86"/>
      <x:c r="R677" s="86"/>
      <x:c r="S677" s="32"/>
    </x:row>
    <x:row r="678">
      <x:c r="A678" s="87"/>
      <x:c r="B678" s="88"/>
      <x:c r="D678" s="32"/>
      <x:c r="G678" s="74"/>
      <x:c r="H678" s="74"/>
      <x:c r="I678" s="74"/>
      <x:c r="J678" s="74"/>
      <x:c r="K678" s="74"/>
      <x:c r="L678" s="74"/>
      <x:c r="M678" s="91"/>
      <x:c r="N678" s="91"/>
      <x:c r="O678" s="85"/>
      <x:c r="Q678" s="86"/>
      <x:c r="R678" s="86"/>
      <x:c r="S678" s="32"/>
    </x:row>
    <x:row r="679">
      <x:c r="A679" s="87"/>
      <x:c r="B679" s="88"/>
      <x:c r="D679" s="32"/>
      <x:c r="G679" s="74"/>
      <x:c r="H679" s="74"/>
      <x:c r="I679" s="74"/>
      <x:c r="J679" s="74"/>
      <x:c r="K679" s="74"/>
      <x:c r="L679" s="74"/>
      <x:c r="M679" s="91"/>
      <x:c r="N679" s="91"/>
      <x:c r="O679" s="85"/>
      <x:c r="Q679" s="86"/>
      <x:c r="R679" s="86"/>
      <x:c r="S679" s="32"/>
    </x:row>
    <x:row r="680">
      <x:c r="A680" s="87"/>
      <x:c r="B680" s="88"/>
      <x:c r="D680" s="32"/>
      <x:c r="G680" s="74"/>
      <x:c r="H680" s="74"/>
      <x:c r="I680" s="74"/>
      <x:c r="J680" s="74"/>
      <x:c r="K680" s="74"/>
      <x:c r="L680" s="74"/>
      <x:c r="M680" s="91"/>
      <x:c r="N680" s="91"/>
      <x:c r="O680" s="85"/>
      <x:c r="Q680" s="86"/>
      <x:c r="R680" s="86"/>
      <x:c r="S680" s="32"/>
    </x:row>
    <x:row r="681">
      <x:c r="A681" s="87"/>
      <x:c r="B681" s="88"/>
      <x:c r="D681" s="32"/>
      <x:c r="G681" s="74"/>
      <x:c r="H681" s="74"/>
      <x:c r="I681" s="74"/>
      <x:c r="J681" s="74"/>
      <x:c r="K681" s="74"/>
      <x:c r="L681" s="74"/>
      <x:c r="M681" s="91"/>
      <x:c r="N681" s="91"/>
      <x:c r="O681" s="85"/>
      <x:c r="Q681" s="86"/>
      <x:c r="R681" s="86"/>
      <x:c r="S681" s="32"/>
    </x:row>
    <x:row r="682">
      <x:c r="A682" s="87"/>
      <x:c r="B682" s="88"/>
      <x:c r="D682" s="32"/>
      <x:c r="G682" s="74"/>
      <x:c r="H682" s="74"/>
      <x:c r="I682" s="74"/>
      <x:c r="J682" s="74"/>
      <x:c r="K682" s="74"/>
      <x:c r="L682" s="74"/>
      <x:c r="M682" s="91"/>
      <x:c r="N682" s="91"/>
      <x:c r="O682" s="85"/>
      <x:c r="Q682" s="86"/>
      <x:c r="R682" s="86"/>
      <x:c r="S682" s="32"/>
    </x:row>
    <x:row r="683">
      <x:c r="A683" s="87"/>
      <x:c r="B683" s="88"/>
      <x:c r="D683" s="32"/>
      <x:c r="G683" s="74"/>
      <x:c r="H683" s="74"/>
      <x:c r="I683" s="74"/>
      <x:c r="J683" s="74"/>
      <x:c r="K683" s="74"/>
      <x:c r="L683" s="74"/>
      <x:c r="M683" s="91"/>
      <x:c r="N683" s="91"/>
      <x:c r="O683" s="85"/>
      <x:c r="Q683" s="86"/>
      <x:c r="R683" s="86"/>
      <x:c r="S683" s="32"/>
    </x:row>
    <x:row r="684">
      <x:c r="A684" s="87"/>
      <x:c r="B684" s="88"/>
      <x:c r="D684" s="32"/>
      <x:c r="G684" s="74"/>
      <x:c r="H684" s="74"/>
      <x:c r="I684" s="74"/>
      <x:c r="J684" s="74"/>
      <x:c r="K684" s="74"/>
      <x:c r="L684" s="74"/>
      <x:c r="M684" s="91"/>
      <x:c r="N684" s="91"/>
      <x:c r="O684" s="85"/>
      <x:c r="Q684" s="86"/>
      <x:c r="R684" s="86"/>
      <x:c r="S684" s="32"/>
    </x:row>
    <x:row r="685">
      <x:c r="A685" s="87"/>
      <x:c r="B685" s="88"/>
      <x:c r="D685" s="32"/>
      <x:c r="G685" s="74"/>
      <x:c r="H685" s="74"/>
      <x:c r="I685" s="74"/>
      <x:c r="J685" s="74"/>
      <x:c r="K685" s="74"/>
      <x:c r="L685" s="74"/>
      <x:c r="M685" s="91"/>
      <x:c r="N685" s="91"/>
      <x:c r="O685" s="85"/>
      <x:c r="Q685" s="86"/>
      <x:c r="R685" s="86"/>
      <x:c r="S685" s="32"/>
    </x:row>
    <x:row r="686">
      <x:c r="A686" s="87"/>
      <x:c r="B686" s="88"/>
      <x:c r="D686" s="32"/>
      <x:c r="G686" s="74"/>
      <x:c r="H686" s="74"/>
      <x:c r="I686" s="74"/>
      <x:c r="J686" s="74"/>
      <x:c r="K686" s="74"/>
      <x:c r="L686" s="74"/>
      <x:c r="M686" s="91"/>
      <x:c r="N686" s="91"/>
      <x:c r="O686" s="85"/>
      <x:c r="Q686" s="86"/>
      <x:c r="R686" s="86"/>
      <x:c r="S686" s="32"/>
    </x:row>
    <x:row r="687">
      <x:c r="A687" s="87"/>
      <x:c r="B687" s="88"/>
      <x:c r="D687" s="32"/>
      <x:c r="G687" s="74"/>
      <x:c r="H687" s="74"/>
      <x:c r="I687" s="74"/>
      <x:c r="J687" s="74"/>
      <x:c r="K687" s="74"/>
      <x:c r="L687" s="74"/>
      <x:c r="M687" s="91"/>
      <x:c r="N687" s="91"/>
      <x:c r="O687" s="85"/>
      <x:c r="Q687" s="86"/>
      <x:c r="R687" s="86"/>
      <x:c r="S687" s="32"/>
    </x:row>
    <x:row r="688">
      <x:c r="A688" s="87"/>
      <x:c r="B688" s="88"/>
      <x:c r="D688" s="32"/>
      <x:c r="G688" s="74"/>
      <x:c r="H688" s="74"/>
      <x:c r="I688" s="74"/>
      <x:c r="J688" s="74"/>
      <x:c r="K688" s="74"/>
      <x:c r="L688" s="74"/>
      <x:c r="M688" s="91"/>
      <x:c r="N688" s="91"/>
      <x:c r="O688" s="85"/>
      <x:c r="Q688" s="86"/>
      <x:c r="R688" s="86"/>
      <x:c r="S688" s="32"/>
    </x:row>
    <x:row r="689">
      <x:c r="A689" s="87"/>
      <x:c r="B689" s="88"/>
      <x:c r="D689" s="32"/>
      <x:c r="G689" s="74"/>
      <x:c r="H689" s="74"/>
      <x:c r="I689" s="74"/>
      <x:c r="J689" s="74"/>
      <x:c r="K689" s="74"/>
      <x:c r="L689" s="74"/>
      <x:c r="M689" s="91"/>
      <x:c r="N689" s="91"/>
      <x:c r="O689" s="85"/>
      <x:c r="Q689" s="86"/>
      <x:c r="R689" s="86"/>
      <x:c r="S689" s="32"/>
    </x:row>
    <x:row r="690">
      <x:c r="A690" s="87"/>
      <x:c r="B690" s="88"/>
      <x:c r="D690" s="32"/>
      <x:c r="G690" s="74"/>
      <x:c r="H690" s="74"/>
      <x:c r="I690" s="74"/>
      <x:c r="J690" s="74"/>
      <x:c r="K690" s="74"/>
      <x:c r="L690" s="74"/>
      <x:c r="M690" s="91"/>
      <x:c r="N690" s="91"/>
      <x:c r="O690" s="85"/>
      <x:c r="Q690" s="86"/>
      <x:c r="R690" s="86"/>
      <x:c r="S690" s="32"/>
    </x:row>
    <x:row r="691">
      <x:c r="A691" s="87"/>
      <x:c r="B691" s="88"/>
      <x:c r="D691" s="32"/>
      <x:c r="G691" s="74"/>
      <x:c r="H691" s="74"/>
      <x:c r="I691" s="74"/>
      <x:c r="J691" s="74"/>
      <x:c r="K691" s="74"/>
      <x:c r="L691" s="74"/>
      <x:c r="M691" s="91"/>
      <x:c r="N691" s="91"/>
      <x:c r="O691" s="85"/>
      <x:c r="Q691" s="86"/>
      <x:c r="R691" s="86"/>
      <x:c r="S691" s="32"/>
    </x:row>
    <x:row r="692">
      <x:c r="A692" s="87"/>
      <x:c r="B692" s="88"/>
      <x:c r="D692" s="32"/>
      <x:c r="G692" s="74"/>
      <x:c r="H692" s="74"/>
      <x:c r="I692" s="74"/>
      <x:c r="J692" s="74"/>
      <x:c r="K692" s="74"/>
      <x:c r="L692" s="74"/>
      <x:c r="M692" s="91"/>
      <x:c r="N692" s="91"/>
      <x:c r="O692" s="85"/>
      <x:c r="Q692" s="86"/>
      <x:c r="R692" s="86"/>
      <x:c r="S692" s="32"/>
    </x:row>
    <x:row r="693">
      <x:c r="A693" s="87"/>
      <x:c r="B693" s="88"/>
      <x:c r="D693" s="32"/>
      <x:c r="G693" s="74"/>
      <x:c r="H693" s="74"/>
      <x:c r="I693" s="74"/>
      <x:c r="J693" s="74"/>
      <x:c r="K693" s="74"/>
      <x:c r="L693" s="74"/>
      <x:c r="M693" s="91"/>
      <x:c r="N693" s="91"/>
      <x:c r="O693" s="85"/>
      <x:c r="Q693" s="86"/>
      <x:c r="R693" s="86"/>
      <x:c r="S693" s="32"/>
    </x:row>
    <x:row r="694">
      <x:c r="A694" s="87"/>
      <x:c r="B694" s="88"/>
      <x:c r="D694" s="32"/>
      <x:c r="G694" s="74"/>
      <x:c r="H694" s="74"/>
      <x:c r="I694" s="74"/>
      <x:c r="J694" s="74"/>
      <x:c r="K694" s="74"/>
      <x:c r="L694" s="74"/>
      <x:c r="M694" s="91"/>
      <x:c r="N694" s="91"/>
      <x:c r="O694" s="85"/>
      <x:c r="Q694" s="86"/>
      <x:c r="R694" s="86"/>
      <x:c r="S694" s="32"/>
    </x:row>
    <x:row r="695">
      <x:c r="A695" s="87"/>
      <x:c r="B695" s="88"/>
      <x:c r="D695" s="32"/>
      <x:c r="G695" s="74"/>
      <x:c r="H695" s="74"/>
      <x:c r="I695" s="74"/>
      <x:c r="J695" s="74"/>
      <x:c r="K695" s="74"/>
      <x:c r="L695" s="74"/>
      <x:c r="M695" s="91"/>
      <x:c r="N695" s="91"/>
      <x:c r="O695" s="85"/>
      <x:c r="Q695" s="86"/>
      <x:c r="R695" s="86"/>
      <x:c r="S695" s="32"/>
    </x:row>
    <x:row r="696">
      <x:c r="A696" s="87"/>
      <x:c r="B696" s="88"/>
      <x:c r="D696" s="32"/>
      <x:c r="G696" s="74"/>
      <x:c r="H696" s="74"/>
      <x:c r="I696" s="74"/>
      <x:c r="J696" s="74"/>
      <x:c r="K696" s="74"/>
      <x:c r="L696" s="74"/>
      <x:c r="M696" s="91"/>
      <x:c r="N696" s="91"/>
      <x:c r="O696" s="85"/>
      <x:c r="Q696" s="86"/>
      <x:c r="R696" s="86"/>
      <x:c r="S696" s="32"/>
    </x:row>
    <x:row r="697">
      <x:c r="A697" s="87"/>
      <x:c r="B697" s="88"/>
      <x:c r="D697" s="32"/>
      <x:c r="G697" s="74"/>
      <x:c r="H697" s="74"/>
      <x:c r="I697" s="74"/>
      <x:c r="J697" s="74"/>
      <x:c r="K697" s="74"/>
      <x:c r="L697" s="74"/>
      <x:c r="M697" s="91"/>
      <x:c r="N697" s="91"/>
      <x:c r="O697" s="85"/>
      <x:c r="Q697" s="86"/>
      <x:c r="R697" s="86"/>
      <x:c r="S697" s="32"/>
    </x:row>
    <x:row r="698">
      <x:c r="A698" s="87"/>
      <x:c r="B698" s="88"/>
      <x:c r="D698" s="32"/>
      <x:c r="G698" s="74"/>
      <x:c r="H698" s="74"/>
      <x:c r="I698" s="74"/>
      <x:c r="J698" s="74"/>
      <x:c r="K698" s="74"/>
      <x:c r="L698" s="74"/>
      <x:c r="M698" s="91"/>
      <x:c r="N698" s="91"/>
      <x:c r="O698" s="85"/>
      <x:c r="Q698" s="86"/>
      <x:c r="R698" s="86"/>
      <x:c r="S698" s="32"/>
    </x:row>
    <x:row r="699">
      <x:c r="A699" s="87"/>
      <x:c r="B699" s="88"/>
      <x:c r="D699" s="32"/>
      <x:c r="G699" s="74"/>
      <x:c r="H699" s="74"/>
      <x:c r="I699" s="74"/>
      <x:c r="J699" s="74"/>
      <x:c r="K699" s="74"/>
      <x:c r="L699" s="74"/>
      <x:c r="M699" s="91"/>
      <x:c r="N699" s="91"/>
      <x:c r="O699" s="85"/>
      <x:c r="Q699" s="86"/>
      <x:c r="R699" s="86"/>
      <x:c r="S699" s="32"/>
    </x:row>
    <x:row r="700">
      <x:c r="A700" s="87"/>
      <x:c r="B700" s="88"/>
      <x:c r="D700" s="32"/>
      <x:c r="G700" s="74"/>
      <x:c r="H700" s="74"/>
      <x:c r="I700" s="74"/>
      <x:c r="J700" s="74"/>
      <x:c r="K700" s="74"/>
      <x:c r="L700" s="74"/>
      <x:c r="M700" s="91"/>
      <x:c r="N700" s="91"/>
      <x:c r="O700" s="85"/>
      <x:c r="Q700" s="86"/>
      <x:c r="R700" s="86"/>
      <x:c r="S700" s="32"/>
    </x:row>
    <x:row r="701">
      <x:c r="A701" s="87"/>
      <x:c r="B701" s="88"/>
      <x:c r="D701" s="32"/>
      <x:c r="G701" s="74"/>
      <x:c r="H701" s="74"/>
      <x:c r="I701" s="74"/>
      <x:c r="J701" s="74"/>
      <x:c r="K701" s="74"/>
      <x:c r="L701" s="74"/>
      <x:c r="M701" s="91"/>
      <x:c r="N701" s="91"/>
      <x:c r="O701" s="85"/>
      <x:c r="Q701" s="86"/>
      <x:c r="R701" s="86"/>
      <x:c r="S701" s="32"/>
    </x:row>
    <x:row r="702">
      <x:c r="A702" s="87"/>
      <x:c r="B702" s="88"/>
      <x:c r="D702" s="32"/>
      <x:c r="G702" s="74"/>
      <x:c r="H702" s="74"/>
      <x:c r="I702" s="74"/>
      <x:c r="J702" s="74"/>
      <x:c r="K702" s="74"/>
      <x:c r="L702" s="74"/>
      <x:c r="M702" s="91"/>
      <x:c r="N702" s="91"/>
      <x:c r="O702" s="85"/>
      <x:c r="Q702" s="86"/>
      <x:c r="R702" s="86"/>
      <x:c r="S702" s="32"/>
    </x:row>
    <x:row r="703">
      <x:c r="A703" s="87"/>
      <x:c r="B703" s="88"/>
      <x:c r="D703" s="32"/>
      <x:c r="G703" s="74"/>
      <x:c r="H703" s="74"/>
      <x:c r="I703" s="74"/>
      <x:c r="J703" s="74"/>
      <x:c r="K703" s="74"/>
      <x:c r="L703" s="74"/>
      <x:c r="M703" s="91"/>
      <x:c r="N703" s="91"/>
      <x:c r="O703" s="85"/>
      <x:c r="Q703" s="86"/>
      <x:c r="R703" s="86"/>
      <x:c r="S703" s="32"/>
    </x:row>
    <x:row r="704">
      <x:c r="A704" s="87"/>
      <x:c r="B704" s="88"/>
      <x:c r="D704" s="32"/>
      <x:c r="G704" s="74"/>
      <x:c r="H704" s="74"/>
      <x:c r="I704" s="74"/>
      <x:c r="J704" s="74"/>
      <x:c r="K704" s="74"/>
      <x:c r="L704" s="74"/>
      <x:c r="M704" s="91"/>
      <x:c r="N704" s="91"/>
      <x:c r="O704" s="85"/>
      <x:c r="Q704" s="86"/>
      <x:c r="R704" s="86"/>
      <x:c r="S704" s="32"/>
    </x:row>
    <x:row r="705">
      <x:c r="A705" s="87"/>
      <x:c r="B705" s="88"/>
      <x:c r="D705" s="32"/>
      <x:c r="G705" s="74"/>
      <x:c r="H705" s="74"/>
      <x:c r="I705" s="74"/>
      <x:c r="J705" s="74"/>
      <x:c r="K705" s="74"/>
      <x:c r="L705" s="74"/>
      <x:c r="M705" s="91"/>
      <x:c r="N705" s="91"/>
      <x:c r="O705" s="85"/>
      <x:c r="Q705" s="86"/>
      <x:c r="R705" s="86"/>
      <x:c r="S705" s="32"/>
    </x:row>
    <x:row r="706">
      <x:c r="A706" s="87"/>
      <x:c r="B706" s="88"/>
      <x:c r="D706" s="32"/>
      <x:c r="G706" s="74"/>
      <x:c r="H706" s="74"/>
      <x:c r="I706" s="74"/>
      <x:c r="J706" s="74"/>
      <x:c r="K706" s="74"/>
      <x:c r="L706" s="74"/>
      <x:c r="M706" s="91"/>
      <x:c r="N706" s="91"/>
      <x:c r="O706" s="85"/>
      <x:c r="Q706" s="86"/>
      <x:c r="R706" s="86"/>
      <x:c r="S706" s="32"/>
    </x:row>
    <x:row r="707">
      <x:c r="A707" s="87"/>
      <x:c r="B707" s="88"/>
      <x:c r="D707" s="32"/>
      <x:c r="G707" s="74"/>
      <x:c r="H707" s="74"/>
      <x:c r="I707" s="74"/>
      <x:c r="J707" s="74"/>
      <x:c r="K707" s="74"/>
      <x:c r="L707" s="74"/>
      <x:c r="M707" s="91"/>
      <x:c r="N707" s="91"/>
      <x:c r="O707" s="85"/>
      <x:c r="Q707" s="86"/>
      <x:c r="R707" s="86"/>
      <x:c r="S707" s="32"/>
    </x:row>
    <x:row r="708">
      <x:c r="A708" s="87"/>
      <x:c r="B708" s="88"/>
      <x:c r="D708" s="32"/>
      <x:c r="G708" s="74"/>
      <x:c r="H708" s="74"/>
      <x:c r="I708" s="74"/>
      <x:c r="J708" s="74"/>
      <x:c r="K708" s="74"/>
      <x:c r="L708" s="74"/>
      <x:c r="M708" s="91"/>
      <x:c r="N708" s="91"/>
      <x:c r="O708" s="85"/>
      <x:c r="Q708" s="86"/>
      <x:c r="R708" s="86"/>
      <x:c r="S708" s="32"/>
    </x:row>
    <x:row r="709">
      <x:c r="A709" s="87"/>
      <x:c r="B709" s="88"/>
      <x:c r="D709" s="32"/>
      <x:c r="G709" s="74"/>
      <x:c r="H709" s="74"/>
      <x:c r="I709" s="74"/>
      <x:c r="J709" s="74"/>
      <x:c r="K709" s="74"/>
      <x:c r="L709" s="74"/>
      <x:c r="M709" s="91"/>
      <x:c r="N709" s="91"/>
      <x:c r="O709" s="85"/>
      <x:c r="Q709" s="86"/>
      <x:c r="R709" s="86"/>
      <x:c r="S709" s="32"/>
    </x:row>
    <x:row r="710">
      <x:c r="A710" s="87"/>
      <x:c r="B710" s="88"/>
      <x:c r="D710" s="32"/>
      <x:c r="G710" s="74"/>
      <x:c r="H710" s="74"/>
      <x:c r="I710" s="74"/>
      <x:c r="J710" s="74"/>
      <x:c r="K710" s="74"/>
      <x:c r="L710" s="74"/>
      <x:c r="M710" s="91"/>
      <x:c r="N710" s="91"/>
      <x:c r="O710" s="85"/>
      <x:c r="Q710" s="86"/>
      <x:c r="R710" s="86"/>
      <x:c r="S710" s="32"/>
    </x:row>
    <x:row r="711">
      <x:c r="A711" s="87"/>
      <x:c r="B711" s="88"/>
      <x:c r="D711" s="32"/>
      <x:c r="G711" s="74"/>
      <x:c r="H711" s="74"/>
      <x:c r="I711" s="74"/>
      <x:c r="J711" s="74"/>
      <x:c r="K711" s="74"/>
      <x:c r="L711" s="74"/>
      <x:c r="M711" s="91"/>
      <x:c r="N711" s="91"/>
      <x:c r="O711" s="85"/>
      <x:c r="Q711" s="86"/>
      <x:c r="R711" s="86"/>
      <x:c r="S711" s="32"/>
    </x:row>
    <x:row r="712">
      <x:c r="A712" s="87"/>
      <x:c r="B712" s="88"/>
      <x:c r="D712" s="32"/>
      <x:c r="G712" s="74"/>
      <x:c r="H712" s="74"/>
      <x:c r="I712" s="74"/>
      <x:c r="J712" s="74"/>
      <x:c r="K712" s="74"/>
      <x:c r="L712" s="74"/>
      <x:c r="M712" s="91"/>
      <x:c r="N712" s="91"/>
      <x:c r="O712" s="85"/>
      <x:c r="Q712" s="86"/>
      <x:c r="R712" s="86"/>
      <x:c r="S712" s="32"/>
    </x:row>
    <x:row r="713">
      <x:c r="A713" s="87"/>
      <x:c r="B713" s="88"/>
      <x:c r="D713" s="32"/>
      <x:c r="G713" s="74"/>
      <x:c r="H713" s="74"/>
      <x:c r="I713" s="74"/>
      <x:c r="J713" s="74"/>
      <x:c r="K713" s="74"/>
      <x:c r="L713" s="74"/>
      <x:c r="M713" s="91"/>
      <x:c r="N713" s="91"/>
      <x:c r="O713" s="85"/>
      <x:c r="Q713" s="86"/>
      <x:c r="R713" s="86"/>
      <x:c r="S713" s="32"/>
    </x:row>
    <x:row r="714">
      <x:c r="A714" s="87"/>
      <x:c r="B714" s="88"/>
      <x:c r="D714" s="32"/>
      <x:c r="G714" s="74"/>
      <x:c r="H714" s="74"/>
      <x:c r="I714" s="74"/>
      <x:c r="J714" s="74"/>
      <x:c r="K714" s="74"/>
      <x:c r="L714" s="74"/>
      <x:c r="M714" s="91"/>
      <x:c r="N714" s="91"/>
      <x:c r="O714" s="85"/>
      <x:c r="Q714" s="86"/>
      <x:c r="R714" s="86"/>
      <x:c r="S714" s="32"/>
    </x:row>
    <x:row r="715">
      <x:c r="A715" s="87"/>
      <x:c r="B715" s="88"/>
      <x:c r="D715" s="32"/>
      <x:c r="G715" s="74"/>
      <x:c r="H715" s="74"/>
      <x:c r="I715" s="74"/>
      <x:c r="J715" s="74"/>
      <x:c r="K715" s="74"/>
      <x:c r="L715" s="74"/>
      <x:c r="M715" s="91"/>
      <x:c r="N715" s="91"/>
      <x:c r="O715" s="85"/>
      <x:c r="Q715" s="86"/>
      <x:c r="R715" s="86"/>
      <x:c r="S715" s="32"/>
    </x:row>
    <x:row r="716">
      <x:c r="A716" s="87"/>
      <x:c r="B716" s="88"/>
      <x:c r="D716" s="32"/>
      <x:c r="G716" s="74"/>
      <x:c r="H716" s="74"/>
      <x:c r="I716" s="74"/>
      <x:c r="J716" s="74"/>
      <x:c r="K716" s="74"/>
      <x:c r="L716" s="74"/>
      <x:c r="M716" s="91"/>
      <x:c r="N716" s="91"/>
      <x:c r="O716" s="85"/>
      <x:c r="Q716" s="86"/>
      <x:c r="R716" s="86"/>
      <x:c r="S716" s="32"/>
    </x:row>
    <x:row r="717">
      <x:c r="A717" s="87"/>
      <x:c r="B717" s="88"/>
      <x:c r="D717" s="32"/>
      <x:c r="G717" s="74"/>
      <x:c r="H717" s="74"/>
      <x:c r="I717" s="74"/>
      <x:c r="J717" s="74"/>
      <x:c r="K717" s="74"/>
      <x:c r="L717" s="74"/>
      <x:c r="M717" s="91"/>
      <x:c r="N717" s="91"/>
      <x:c r="O717" s="85"/>
      <x:c r="Q717" s="86"/>
      <x:c r="R717" s="86"/>
      <x:c r="S717" s="32"/>
    </x:row>
    <x:row r="718">
      <x:c r="A718" s="87"/>
      <x:c r="B718" s="88"/>
      <x:c r="D718" s="32"/>
      <x:c r="G718" s="74"/>
      <x:c r="H718" s="74"/>
      <x:c r="I718" s="74"/>
      <x:c r="J718" s="74"/>
      <x:c r="K718" s="74"/>
      <x:c r="L718" s="74"/>
      <x:c r="M718" s="91"/>
      <x:c r="N718" s="91"/>
      <x:c r="O718" s="85"/>
      <x:c r="Q718" s="86"/>
      <x:c r="R718" s="86"/>
      <x:c r="S718" s="32"/>
    </x:row>
    <x:row r="719">
      <x:c r="A719" s="87"/>
      <x:c r="B719" s="88"/>
      <x:c r="D719" s="32"/>
      <x:c r="G719" s="74"/>
      <x:c r="H719" s="74"/>
      <x:c r="I719" s="74"/>
      <x:c r="J719" s="74"/>
      <x:c r="K719" s="74"/>
      <x:c r="L719" s="74"/>
      <x:c r="M719" s="91"/>
      <x:c r="N719" s="91"/>
      <x:c r="O719" s="85"/>
      <x:c r="Q719" s="86"/>
      <x:c r="R719" s="86"/>
      <x:c r="S719" s="32"/>
    </x:row>
    <x:row r="720">
      <x:c r="A720" s="87"/>
      <x:c r="B720" s="88"/>
      <x:c r="D720" s="32"/>
      <x:c r="G720" s="74"/>
      <x:c r="H720" s="74"/>
      <x:c r="I720" s="74"/>
      <x:c r="J720" s="74"/>
      <x:c r="K720" s="74"/>
      <x:c r="L720" s="74"/>
      <x:c r="M720" s="91"/>
      <x:c r="N720" s="91"/>
      <x:c r="O720" s="85"/>
      <x:c r="Q720" s="86"/>
      <x:c r="R720" s="86"/>
      <x:c r="S720" s="32"/>
    </x:row>
    <x:row r="721">
      <x:c r="A721" s="87"/>
      <x:c r="B721" s="88"/>
      <x:c r="D721" s="32"/>
      <x:c r="G721" s="74"/>
      <x:c r="H721" s="74"/>
      <x:c r="I721" s="74"/>
      <x:c r="J721" s="74"/>
      <x:c r="K721" s="74"/>
      <x:c r="L721" s="74"/>
      <x:c r="M721" s="91"/>
      <x:c r="N721" s="91"/>
      <x:c r="O721" s="85"/>
      <x:c r="Q721" s="86"/>
      <x:c r="R721" s="86"/>
      <x:c r="S721" s="32"/>
    </x:row>
    <x:row r="722">
      <x:c r="A722" s="87"/>
      <x:c r="B722" s="88"/>
      <x:c r="D722" s="32"/>
      <x:c r="G722" s="74"/>
      <x:c r="H722" s="74"/>
      <x:c r="I722" s="74"/>
      <x:c r="J722" s="74"/>
      <x:c r="K722" s="74"/>
      <x:c r="L722" s="74"/>
      <x:c r="M722" s="91"/>
      <x:c r="N722" s="91"/>
      <x:c r="O722" s="85"/>
      <x:c r="Q722" s="86"/>
      <x:c r="R722" s="86"/>
      <x:c r="S722" s="32"/>
    </x:row>
    <x:row r="723">
      <x:c r="A723" s="87"/>
      <x:c r="B723" s="88"/>
      <x:c r="D723" s="32"/>
      <x:c r="G723" s="74"/>
      <x:c r="H723" s="74"/>
      <x:c r="I723" s="74"/>
      <x:c r="J723" s="74"/>
      <x:c r="K723" s="74"/>
      <x:c r="L723" s="74"/>
      <x:c r="M723" s="91"/>
      <x:c r="N723" s="91"/>
      <x:c r="O723" s="85"/>
      <x:c r="Q723" s="86"/>
      <x:c r="R723" s="86"/>
      <x:c r="S723" s="32"/>
    </x:row>
    <x:row r="724">
      <x:c r="A724" s="87"/>
      <x:c r="B724" s="88"/>
      <x:c r="D724" s="32"/>
      <x:c r="G724" s="74"/>
      <x:c r="H724" s="74"/>
      <x:c r="I724" s="74"/>
      <x:c r="J724" s="74"/>
      <x:c r="K724" s="74"/>
      <x:c r="L724" s="74"/>
      <x:c r="M724" s="91"/>
      <x:c r="N724" s="91"/>
      <x:c r="O724" s="85"/>
      <x:c r="Q724" s="86"/>
      <x:c r="R724" s="86"/>
      <x:c r="S724" s="32"/>
    </x:row>
    <x:row r="725">
      <x:c r="A725" s="87"/>
      <x:c r="B725" s="88"/>
      <x:c r="D725" s="32"/>
      <x:c r="G725" s="74"/>
      <x:c r="H725" s="74"/>
      <x:c r="I725" s="74"/>
      <x:c r="J725" s="74"/>
      <x:c r="K725" s="74"/>
      <x:c r="L725" s="74"/>
      <x:c r="M725" s="91"/>
      <x:c r="N725" s="91"/>
      <x:c r="O725" s="85"/>
      <x:c r="Q725" s="86"/>
      <x:c r="R725" s="86"/>
      <x:c r="S725" s="32"/>
    </x:row>
    <x:row r="726">
      <x:c r="A726" s="87"/>
      <x:c r="B726" s="88"/>
      <x:c r="D726" s="32"/>
      <x:c r="G726" s="74"/>
      <x:c r="H726" s="74"/>
      <x:c r="I726" s="74"/>
      <x:c r="J726" s="74"/>
      <x:c r="K726" s="74"/>
      <x:c r="L726" s="74"/>
      <x:c r="M726" s="91"/>
      <x:c r="N726" s="91"/>
      <x:c r="O726" s="85"/>
      <x:c r="Q726" s="86"/>
      <x:c r="R726" s="86"/>
      <x:c r="S726" s="32"/>
    </x:row>
    <x:row r="727">
      <x:c r="A727" s="87"/>
      <x:c r="B727" s="88"/>
      <x:c r="D727" s="32"/>
      <x:c r="G727" s="74"/>
      <x:c r="H727" s="74"/>
      <x:c r="I727" s="74"/>
      <x:c r="J727" s="74"/>
      <x:c r="K727" s="74"/>
      <x:c r="L727" s="74"/>
      <x:c r="M727" s="91"/>
      <x:c r="N727" s="91"/>
      <x:c r="O727" s="85"/>
      <x:c r="Q727" s="86"/>
      <x:c r="R727" s="86"/>
      <x:c r="S727" s="32"/>
    </x:row>
    <x:row r="728">
      <x:c r="A728" s="87"/>
      <x:c r="B728" s="88"/>
      <x:c r="D728" s="32"/>
      <x:c r="G728" s="74"/>
      <x:c r="H728" s="74"/>
      <x:c r="I728" s="74"/>
      <x:c r="J728" s="74"/>
      <x:c r="K728" s="74"/>
      <x:c r="L728" s="74"/>
      <x:c r="M728" s="91"/>
      <x:c r="N728" s="91"/>
      <x:c r="O728" s="85"/>
      <x:c r="Q728" s="86"/>
      <x:c r="R728" s="86"/>
      <x:c r="S728" s="32"/>
    </x:row>
    <x:row r="729">
      <x:c r="A729" s="87"/>
      <x:c r="B729" s="88"/>
      <x:c r="D729" s="32"/>
      <x:c r="G729" s="74"/>
      <x:c r="H729" s="74"/>
      <x:c r="I729" s="74"/>
      <x:c r="J729" s="74"/>
      <x:c r="K729" s="74"/>
      <x:c r="L729" s="74"/>
      <x:c r="M729" s="91"/>
      <x:c r="N729" s="91"/>
      <x:c r="O729" s="85"/>
      <x:c r="Q729" s="86"/>
      <x:c r="R729" s="86"/>
      <x:c r="S729" s="32"/>
    </x:row>
    <x:row r="730">
      <x:c r="A730" s="87"/>
      <x:c r="B730" s="88"/>
      <x:c r="D730" s="32"/>
      <x:c r="G730" s="74"/>
      <x:c r="H730" s="74"/>
      <x:c r="I730" s="74"/>
      <x:c r="J730" s="74"/>
      <x:c r="K730" s="74"/>
      <x:c r="L730" s="74"/>
      <x:c r="M730" s="91"/>
      <x:c r="N730" s="91"/>
      <x:c r="O730" s="85"/>
      <x:c r="Q730" s="86"/>
      <x:c r="R730" s="86"/>
      <x:c r="S730" s="32"/>
    </x:row>
    <x:row r="731">
      <x:c r="A731" s="87"/>
      <x:c r="B731" s="88"/>
      <x:c r="D731" s="32"/>
      <x:c r="G731" s="74"/>
      <x:c r="H731" s="74"/>
      <x:c r="I731" s="74"/>
      <x:c r="J731" s="74"/>
      <x:c r="K731" s="74"/>
      <x:c r="L731" s="74"/>
      <x:c r="M731" s="91"/>
      <x:c r="N731" s="91"/>
      <x:c r="O731" s="85"/>
      <x:c r="Q731" s="86"/>
      <x:c r="R731" s="86"/>
      <x:c r="S731" s="32"/>
    </x:row>
    <x:row r="732">
      <x:c r="A732" s="87"/>
      <x:c r="B732" s="88"/>
      <x:c r="D732" s="32"/>
      <x:c r="G732" s="74"/>
      <x:c r="H732" s="74"/>
      <x:c r="I732" s="74"/>
      <x:c r="J732" s="74"/>
      <x:c r="K732" s="74"/>
      <x:c r="L732" s="74"/>
      <x:c r="M732" s="91"/>
      <x:c r="N732" s="91"/>
      <x:c r="O732" s="85"/>
      <x:c r="Q732" s="86"/>
      <x:c r="R732" s="86"/>
      <x:c r="S732" s="32"/>
    </x:row>
    <x:row r="733">
      <x:c r="A733" s="87"/>
      <x:c r="B733" s="88"/>
      <x:c r="D733" s="32"/>
      <x:c r="G733" s="74"/>
      <x:c r="H733" s="74"/>
      <x:c r="I733" s="74"/>
      <x:c r="J733" s="74"/>
      <x:c r="K733" s="74"/>
      <x:c r="L733" s="74"/>
      <x:c r="M733" s="91"/>
      <x:c r="N733" s="91"/>
      <x:c r="O733" s="85"/>
      <x:c r="Q733" s="86"/>
      <x:c r="R733" s="86"/>
      <x:c r="S733" s="32"/>
    </x:row>
    <x:row r="734">
      <x:c r="A734" s="87"/>
      <x:c r="B734" s="88"/>
      <x:c r="D734" s="32"/>
      <x:c r="G734" s="74"/>
      <x:c r="H734" s="74"/>
      <x:c r="I734" s="74"/>
      <x:c r="J734" s="74"/>
      <x:c r="K734" s="74"/>
      <x:c r="L734" s="74"/>
      <x:c r="M734" s="91"/>
      <x:c r="N734" s="91"/>
      <x:c r="O734" s="85"/>
      <x:c r="Q734" s="86"/>
      <x:c r="R734" s="86"/>
      <x:c r="S734" s="32"/>
    </x:row>
    <x:row r="735">
      <x:c r="A735" s="87"/>
      <x:c r="B735" s="88"/>
      <x:c r="D735" s="32"/>
      <x:c r="G735" s="74"/>
      <x:c r="H735" s="74"/>
      <x:c r="I735" s="74"/>
      <x:c r="J735" s="74"/>
      <x:c r="K735" s="74"/>
      <x:c r="L735" s="74"/>
      <x:c r="M735" s="91"/>
      <x:c r="N735" s="91"/>
      <x:c r="O735" s="85"/>
      <x:c r="Q735" s="86"/>
      <x:c r="R735" s="86"/>
      <x:c r="S735" s="32"/>
    </x:row>
    <x:row r="736">
      <x:c r="A736" s="87"/>
      <x:c r="B736" s="88"/>
      <x:c r="D736" s="32"/>
      <x:c r="G736" s="74"/>
      <x:c r="H736" s="74"/>
      <x:c r="I736" s="74"/>
      <x:c r="J736" s="74"/>
      <x:c r="K736" s="74"/>
      <x:c r="L736" s="74"/>
      <x:c r="M736" s="91"/>
      <x:c r="N736" s="91"/>
      <x:c r="O736" s="85"/>
      <x:c r="Q736" s="86"/>
      <x:c r="R736" s="86"/>
      <x:c r="S736" s="32"/>
    </x:row>
    <x:row r="737">
      <x:c r="A737" s="87"/>
      <x:c r="B737" s="88"/>
      <x:c r="D737" s="32"/>
      <x:c r="G737" s="74"/>
      <x:c r="H737" s="74"/>
      <x:c r="I737" s="74"/>
      <x:c r="J737" s="74"/>
      <x:c r="K737" s="74"/>
      <x:c r="L737" s="74"/>
      <x:c r="M737" s="91"/>
      <x:c r="N737" s="91"/>
      <x:c r="O737" s="85"/>
      <x:c r="Q737" s="86"/>
      <x:c r="R737" s="86"/>
      <x:c r="S737" s="32"/>
    </x:row>
    <x:row r="738">
      <x:c r="A738" s="87"/>
      <x:c r="B738" s="88"/>
      <x:c r="D738" s="32"/>
      <x:c r="G738" s="74"/>
      <x:c r="H738" s="74"/>
      <x:c r="I738" s="74"/>
      <x:c r="J738" s="74"/>
      <x:c r="K738" s="74"/>
      <x:c r="L738" s="74"/>
      <x:c r="M738" s="91"/>
      <x:c r="N738" s="91"/>
      <x:c r="O738" s="85"/>
      <x:c r="Q738" s="86"/>
      <x:c r="R738" s="86"/>
      <x:c r="S738" s="32"/>
    </x:row>
    <x:row r="739">
      <x:c r="A739" s="87"/>
      <x:c r="B739" s="88"/>
      <x:c r="D739" s="32"/>
      <x:c r="G739" s="74"/>
      <x:c r="H739" s="74"/>
      <x:c r="I739" s="74"/>
      <x:c r="J739" s="74"/>
      <x:c r="K739" s="74"/>
      <x:c r="L739" s="74"/>
      <x:c r="M739" s="91"/>
      <x:c r="N739" s="91"/>
      <x:c r="O739" s="85"/>
      <x:c r="Q739" s="86"/>
      <x:c r="R739" s="86"/>
      <x:c r="S739" s="32"/>
    </x:row>
    <x:row r="740">
      <x:c r="A740" s="87"/>
      <x:c r="B740" s="88"/>
      <x:c r="D740" s="32"/>
      <x:c r="G740" s="74"/>
      <x:c r="H740" s="74"/>
      <x:c r="I740" s="74"/>
      <x:c r="J740" s="74"/>
      <x:c r="K740" s="74"/>
      <x:c r="L740" s="74"/>
      <x:c r="M740" s="91"/>
      <x:c r="N740" s="91"/>
      <x:c r="O740" s="85"/>
      <x:c r="Q740" s="86"/>
      <x:c r="R740" s="86"/>
      <x:c r="S740" s="32"/>
    </x:row>
    <x:row r="741">
      <x:c r="A741" s="87"/>
      <x:c r="B741" s="88"/>
      <x:c r="D741" s="32"/>
      <x:c r="G741" s="74"/>
      <x:c r="H741" s="74"/>
      <x:c r="I741" s="74"/>
      <x:c r="J741" s="74"/>
      <x:c r="K741" s="74"/>
      <x:c r="L741" s="74"/>
      <x:c r="M741" s="91"/>
      <x:c r="N741" s="91"/>
      <x:c r="O741" s="85"/>
      <x:c r="Q741" s="86"/>
      <x:c r="R741" s="86"/>
      <x:c r="S741" s="32"/>
    </x:row>
    <x:row r="742">
      <x:c r="A742" s="87"/>
      <x:c r="B742" s="88"/>
      <x:c r="D742" s="32"/>
      <x:c r="G742" s="74"/>
      <x:c r="H742" s="74"/>
      <x:c r="I742" s="74"/>
      <x:c r="J742" s="74"/>
      <x:c r="K742" s="74"/>
      <x:c r="L742" s="74"/>
      <x:c r="M742" s="91"/>
      <x:c r="N742" s="91"/>
      <x:c r="O742" s="85"/>
      <x:c r="Q742" s="86"/>
      <x:c r="R742" s="86"/>
      <x:c r="S742" s="32"/>
    </x:row>
    <x:row r="743">
      <x:c r="A743" s="87"/>
      <x:c r="B743" s="88"/>
      <x:c r="D743" s="32"/>
      <x:c r="G743" s="74"/>
      <x:c r="H743" s="74"/>
      <x:c r="I743" s="74"/>
      <x:c r="J743" s="74"/>
      <x:c r="K743" s="74"/>
      <x:c r="L743" s="74"/>
      <x:c r="M743" s="91"/>
      <x:c r="N743" s="91"/>
      <x:c r="O743" s="85"/>
      <x:c r="Q743" s="86"/>
      <x:c r="R743" s="86"/>
      <x:c r="S743" s="32"/>
    </x:row>
    <x:row r="744">
      <x:c r="A744" s="87"/>
      <x:c r="B744" s="88"/>
      <x:c r="D744" s="32"/>
      <x:c r="G744" s="74"/>
      <x:c r="H744" s="74"/>
      <x:c r="I744" s="74"/>
      <x:c r="J744" s="74"/>
      <x:c r="K744" s="74"/>
      <x:c r="L744" s="74"/>
      <x:c r="M744" s="91"/>
      <x:c r="N744" s="91"/>
      <x:c r="O744" s="85"/>
      <x:c r="Q744" s="86"/>
      <x:c r="R744" s="86"/>
      <x:c r="S744" s="32"/>
    </x:row>
    <x:row r="745">
      <x:c r="A745" s="87"/>
      <x:c r="B745" s="88"/>
      <x:c r="D745" s="32"/>
      <x:c r="G745" s="74"/>
      <x:c r="H745" s="74"/>
      <x:c r="I745" s="74"/>
      <x:c r="J745" s="74"/>
      <x:c r="K745" s="74"/>
      <x:c r="L745" s="74"/>
      <x:c r="M745" s="91"/>
      <x:c r="N745" s="91"/>
      <x:c r="O745" s="85"/>
      <x:c r="Q745" s="86"/>
      <x:c r="R745" s="86"/>
      <x:c r="S745" s="32"/>
    </x:row>
    <x:row r="746">
      <x:c r="A746" s="87"/>
      <x:c r="B746" s="88"/>
      <x:c r="D746" s="32"/>
      <x:c r="G746" s="74"/>
      <x:c r="H746" s="74"/>
      <x:c r="I746" s="74"/>
      <x:c r="J746" s="74"/>
      <x:c r="K746" s="74"/>
      <x:c r="L746" s="74"/>
      <x:c r="M746" s="91"/>
      <x:c r="N746" s="91"/>
      <x:c r="O746" s="85"/>
      <x:c r="Q746" s="86"/>
      <x:c r="R746" s="86"/>
      <x:c r="S746" s="32"/>
    </x:row>
    <x:row r="747">
      <x:c r="A747" s="87"/>
      <x:c r="B747" s="88"/>
      <x:c r="D747" s="32"/>
      <x:c r="G747" s="74"/>
      <x:c r="H747" s="74"/>
      <x:c r="I747" s="74"/>
      <x:c r="J747" s="74"/>
      <x:c r="K747" s="74"/>
      <x:c r="L747" s="74"/>
      <x:c r="M747" s="91"/>
      <x:c r="N747" s="91"/>
      <x:c r="O747" s="85"/>
      <x:c r="Q747" s="86"/>
      <x:c r="R747" s="86"/>
      <x:c r="S747" s="32"/>
    </x:row>
    <x:row r="748">
      <x:c r="A748" s="87"/>
      <x:c r="B748" s="88"/>
      <x:c r="D748" s="32"/>
      <x:c r="G748" s="74"/>
      <x:c r="H748" s="74"/>
      <x:c r="I748" s="74"/>
      <x:c r="J748" s="74"/>
      <x:c r="K748" s="74"/>
      <x:c r="L748" s="74"/>
      <x:c r="M748" s="91"/>
      <x:c r="N748" s="91"/>
      <x:c r="O748" s="85"/>
      <x:c r="Q748" s="86"/>
      <x:c r="R748" s="86"/>
      <x:c r="S748" s="32"/>
    </x:row>
    <x:row r="749">
      <x:c r="A749" s="87"/>
      <x:c r="B749" s="88"/>
      <x:c r="D749" s="32"/>
      <x:c r="G749" s="74"/>
      <x:c r="H749" s="74"/>
      <x:c r="I749" s="74"/>
      <x:c r="J749" s="74"/>
      <x:c r="K749" s="74"/>
      <x:c r="L749" s="74"/>
      <x:c r="M749" s="91"/>
      <x:c r="N749" s="91"/>
      <x:c r="O749" s="85"/>
      <x:c r="Q749" s="86"/>
      <x:c r="R749" s="86"/>
      <x:c r="S749" s="32"/>
    </x:row>
    <x:row r="750">
      <x:c r="A750" s="87"/>
      <x:c r="B750" s="88"/>
      <x:c r="D750" s="32"/>
      <x:c r="G750" s="74"/>
      <x:c r="H750" s="74"/>
      <x:c r="I750" s="74"/>
      <x:c r="J750" s="74"/>
      <x:c r="K750" s="74"/>
      <x:c r="L750" s="74"/>
      <x:c r="M750" s="91"/>
      <x:c r="N750" s="91"/>
      <x:c r="O750" s="85"/>
      <x:c r="Q750" s="86"/>
      <x:c r="R750" s="86"/>
      <x:c r="S750" s="32"/>
    </x:row>
    <x:row r="751">
      <x:c r="A751" s="87"/>
      <x:c r="B751" s="88"/>
      <x:c r="D751" s="32"/>
      <x:c r="G751" s="74"/>
      <x:c r="H751" s="74"/>
      <x:c r="I751" s="74"/>
      <x:c r="J751" s="74"/>
      <x:c r="K751" s="74"/>
      <x:c r="L751" s="74"/>
      <x:c r="M751" s="91"/>
      <x:c r="N751" s="91"/>
      <x:c r="O751" s="85"/>
      <x:c r="Q751" s="86"/>
      <x:c r="R751" s="86"/>
      <x:c r="S751" s="32"/>
    </x:row>
    <x:row r="752">
      <x:c r="A752" s="87"/>
      <x:c r="B752" s="88"/>
      <x:c r="D752" s="32"/>
      <x:c r="G752" s="74"/>
      <x:c r="H752" s="74"/>
      <x:c r="I752" s="74"/>
      <x:c r="J752" s="74"/>
      <x:c r="K752" s="74"/>
      <x:c r="L752" s="74"/>
      <x:c r="M752" s="91"/>
      <x:c r="N752" s="91"/>
      <x:c r="O752" s="85"/>
      <x:c r="Q752" s="86"/>
      <x:c r="R752" s="86"/>
      <x:c r="S752" s="32"/>
    </x:row>
    <x:row r="753">
      <x:c r="A753" s="87"/>
      <x:c r="B753" s="88"/>
      <x:c r="D753" s="32"/>
      <x:c r="G753" s="74"/>
      <x:c r="H753" s="74"/>
      <x:c r="I753" s="74"/>
      <x:c r="J753" s="74"/>
      <x:c r="K753" s="74"/>
      <x:c r="L753" s="74"/>
      <x:c r="M753" s="91"/>
      <x:c r="N753" s="91"/>
      <x:c r="O753" s="85"/>
      <x:c r="Q753" s="86"/>
      <x:c r="R753" s="86"/>
      <x:c r="S753" s="32"/>
    </x:row>
    <x:row r="754">
      <x:c r="A754" s="87"/>
      <x:c r="B754" s="88"/>
      <x:c r="D754" s="32"/>
      <x:c r="G754" s="74"/>
      <x:c r="H754" s="74"/>
      <x:c r="I754" s="74"/>
      <x:c r="J754" s="74"/>
      <x:c r="K754" s="74"/>
      <x:c r="L754" s="74"/>
      <x:c r="M754" s="91"/>
      <x:c r="N754" s="91"/>
      <x:c r="O754" s="85"/>
      <x:c r="Q754" s="86"/>
      <x:c r="R754" s="86"/>
      <x:c r="S754" s="32"/>
    </x:row>
    <x:row r="755">
      <x:c r="A755" s="87"/>
      <x:c r="B755" s="88"/>
      <x:c r="D755" s="32"/>
      <x:c r="G755" s="74"/>
      <x:c r="H755" s="74"/>
      <x:c r="I755" s="74"/>
      <x:c r="J755" s="74"/>
      <x:c r="K755" s="74"/>
      <x:c r="L755" s="74"/>
      <x:c r="M755" s="91"/>
      <x:c r="N755" s="91"/>
      <x:c r="O755" s="85"/>
      <x:c r="Q755" s="86"/>
      <x:c r="R755" s="86"/>
      <x:c r="S755" s="32"/>
    </x:row>
    <x:row r="756">
      <x:c r="A756" s="87"/>
      <x:c r="B756" s="88"/>
      <x:c r="D756" s="32"/>
      <x:c r="G756" s="74"/>
      <x:c r="H756" s="74"/>
      <x:c r="I756" s="74"/>
      <x:c r="J756" s="74"/>
      <x:c r="K756" s="74"/>
      <x:c r="L756" s="74"/>
      <x:c r="M756" s="91"/>
      <x:c r="N756" s="91"/>
      <x:c r="O756" s="85"/>
      <x:c r="Q756" s="86"/>
      <x:c r="R756" s="86"/>
      <x:c r="S756" s="32"/>
    </x:row>
    <x:row r="757">
      <x:c r="A757" s="87"/>
      <x:c r="B757" s="88"/>
      <x:c r="D757" s="32"/>
      <x:c r="G757" s="74"/>
      <x:c r="H757" s="74"/>
      <x:c r="I757" s="74"/>
      <x:c r="J757" s="74"/>
      <x:c r="K757" s="74"/>
      <x:c r="L757" s="74"/>
      <x:c r="M757" s="91"/>
      <x:c r="N757" s="91"/>
      <x:c r="O757" s="85"/>
      <x:c r="Q757" s="86"/>
      <x:c r="R757" s="86"/>
      <x:c r="S757" s="32"/>
    </x:row>
    <x:row r="758">
      <x:c r="A758" s="87"/>
      <x:c r="B758" s="88"/>
      <x:c r="D758" s="32"/>
      <x:c r="G758" s="74"/>
      <x:c r="H758" s="74"/>
      <x:c r="I758" s="74"/>
      <x:c r="J758" s="74"/>
      <x:c r="K758" s="74"/>
      <x:c r="L758" s="74"/>
      <x:c r="M758" s="91"/>
      <x:c r="N758" s="91"/>
      <x:c r="O758" s="85"/>
      <x:c r="Q758" s="86"/>
      <x:c r="R758" s="86"/>
      <x:c r="S758" s="32"/>
    </x:row>
    <x:row r="759">
      <x:c r="A759" s="87"/>
      <x:c r="B759" s="88"/>
      <x:c r="D759" s="32"/>
      <x:c r="G759" s="74"/>
      <x:c r="H759" s="74"/>
      <x:c r="I759" s="74"/>
      <x:c r="J759" s="74"/>
      <x:c r="K759" s="74"/>
      <x:c r="L759" s="74"/>
      <x:c r="M759" s="91"/>
      <x:c r="N759" s="91"/>
      <x:c r="O759" s="85"/>
      <x:c r="Q759" s="86"/>
      <x:c r="R759" s="86"/>
      <x:c r="S759" s="32"/>
    </x:row>
    <x:row r="760">
      <x:c r="A760" s="87"/>
      <x:c r="B760" s="88"/>
      <x:c r="D760" s="32"/>
      <x:c r="G760" s="74"/>
      <x:c r="H760" s="74"/>
      <x:c r="I760" s="74"/>
      <x:c r="J760" s="74"/>
      <x:c r="K760" s="74"/>
      <x:c r="L760" s="74"/>
      <x:c r="M760" s="91"/>
      <x:c r="N760" s="91"/>
      <x:c r="O760" s="85"/>
      <x:c r="Q760" s="86"/>
      <x:c r="R760" s="86"/>
      <x:c r="S760" s="32"/>
    </x:row>
    <x:row r="761">
      <x:c r="A761" s="87"/>
      <x:c r="B761" s="88"/>
      <x:c r="D761" s="32"/>
      <x:c r="G761" s="74"/>
      <x:c r="H761" s="74"/>
      <x:c r="I761" s="74"/>
      <x:c r="J761" s="74"/>
      <x:c r="K761" s="74"/>
      <x:c r="L761" s="74"/>
      <x:c r="M761" s="91"/>
      <x:c r="N761" s="91"/>
      <x:c r="O761" s="85"/>
      <x:c r="Q761" s="86"/>
      <x:c r="R761" s="86"/>
      <x:c r="S761" s="32"/>
    </x:row>
    <x:row r="762">
      <x:c r="A762" s="87"/>
      <x:c r="B762" s="88"/>
      <x:c r="D762" s="32"/>
      <x:c r="G762" s="74"/>
      <x:c r="H762" s="74"/>
      <x:c r="I762" s="74"/>
      <x:c r="J762" s="74"/>
      <x:c r="K762" s="74"/>
      <x:c r="L762" s="74"/>
      <x:c r="M762" s="91"/>
      <x:c r="N762" s="91"/>
      <x:c r="O762" s="85"/>
      <x:c r="Q762" s="86"/>
      <x:c r="R762" s="86"/>
      <x:c r="S762" s="32"/>
    </x:row>
    <x:row r="763">
      <x:c r="A763" s="87"/>
      <x:c r="B763" s="88"/>
      <x:c r="D763" s="32"/>
      <x:c r="G763" s="74"/>
      <x:c r="H763" s="74"/>
      <x:c r="I763" s="74"/>
      <x:c r="J763" s="74"/>
      <x:c r="K763" s="74"/>
      <x:c r="L763" s="74"/>
      <x:c r="M763" s="91"/>
      <x:c r="N763" s="91"/>
      <x:c r="O763" s="85"/>
      <x:c r="Q763" s="86"/>
      <x:c r="R763" s="86"/>
      <x:c r="S763" s="32"/>
    </x:row>
    <x:row r="764">
      <x:c r="A764" s="87"/>
      <x:c r="B764" s="88"/>
      <x:c r="D764" s="32"/>
      <x:c r="G764" s="74"/>
      <x:c r="H764" s="74"/>
      <x:c r="I764" s="74"/>
      <x:c r="J764" s="74"/>
      <x:c r="K764" s="74"/>
      <x:c r="L764" s="74"/>
      <x:c r="M764" s="91"/>
      <x:c r="N764" s="91"/>
      <x:c r="O764" s="85"/>
      <x:c r="Q764" s="86"/>
      <x:c r="R764" s="86"/>
      <x:c r="S764" s="32"/>
    </x:row>
    <x:row r="765">
      <x:c r="A765" s="87"/>
      <x:c r="B765" s="88"/>
      <x:c r="D765" s="32"/>
      <x:c r="G765" s="74"/>
      <x:c r="H765" s="74"/>
      <x:c r="I765" s="74"/>
      <x:c r="J765" s="74"/>
      <x:c r="K765" s="74"/>
      <x:c r="L765" s="74"/>
      <x:c r="M765" s="91"/>
      <x:c r="N765" s="91"/>
      <x:c r="O765" s="85"/>
      <x:c r="Q765" s="86"/>
      <x:c r="R765" s="86"/>
      <x:c r="S765" s="32"/>
    </x:row>
    <x:row r="766">
      <x:c r="A766" s="87"/>
      <x:c r="B766" s="88"/>
      <x:c r="D766" s="32"/>
      <x:c r="G766" s="74"/>
      <x:c r="H766" s="74"/>
      <x:c r="I766" s="74"/>
      <x:c r="J766" s="74"/>
      <x:c r="K766" s="74"/>
      <x:c r="L766" s="74"/>
      <x:c r="M766" s="91"/>
      <x:c r="N766" s="91"/>
      <x:c r="O766" s="85"/>
      <x:c r="Q766" s="86"/>
      <x:c r="R766" s="86"/>
      <x:c r="S766" s="32"/>
    </x:row>
    <x:row r="767">
      <x:c r="A767" s="87"/>
      <x:c r="B767" s="88"/>
      <x:c r="D767" s="32"/>
      <x:c r="G767" s="74"/>
      <x:c r="H767" s="74"/>
      <x:c r="I767" s="74"/>
      <x:c r="J767" s="74"/>
      <x:c r="K767" s="74"/>
      <x:c r="L767" s="74"/>
      <x:c r="M767" s="91"/>
      <x:c r="N767" s="91"/>
      <x:c r="O767" s="85"/>
      <x:c r="Q767" s="86"/>
      <x:c r="R767" s="86"/>
      <x:c r="S767" s="32"/>
    </x:row>
    <x:row r="768">
      <x:c r="A768" s="87"/>
      <x:c r="B768" s="88"/>
      <x:c r="D768" s="32"/>
      <x:c r="G768" s="74"/>
      <x:c r="H768" s="74"/>
      <x:c r="I768" s="74"/>
      <x:c r="J768" s="74"/>
      <x:c r="K768" s="74"/>
      <x:c r="L768" s="74"/>
      <x:c r="M768" s="91"/>
      <x:c r="N768" s="91"/>
      <x:c r="O768" s="85"/>
      <x:c r="Q768" s="86"/>
      <x:c r="R768" s="86"/>
      <x:c r="S768" s="32"/>
    </x:row>
    <x:row r="769">
      <x:c r="A769" s="87"/>
      <x:c r="B769" s="88"/>
      <x:c r="D769" s="32"/>
      <x:c r="G769" s="74"/>
      <x:c r="H769" s="74"/>
      <x:c r="I769" s="74"/>
      <x:c r="J769" s="74"/>
      <x:c r="K769" s="74"/>
      <x:c r="L769" s="74"/>
      <x:c r="M769" s="91"/>
      <x:c r="N769" s="91"/>
      <x:c r="O769" s="85"/>
      <x:c r="Q769" s="86"/>
      <x:c r="R769" s="86"/>
      <x:c r="S769" s="32"/>
    </x:row>
    <x:row r="770">
      <x:c r="A770" s="87"/>
      <x:c r="B770" s="88"/>
      <x:c r="D770" s="32"/>
      <x:c r="G770" s="74"/>
      <x:c r="H770" s="74"/>
      <x:c r="I770" s="74"/>
      <x:c r="J770" s="74"/>
      <x:c r="K770" s="74"/>
      <x:c r="L770" s="74"/>
      <x:c r="M770" s="91"/>
      <x:c r="N770" s="91"/>
      <x:c r="O770" s="85"/>
      <x:c r="Q770" s="86"/>
      <x:c r="R770" s="86"/>
      <x:c r="S770" s="32"/>
    </x:row>
    <x:row r="771">
      <x:c r="A771" s="87"/>
      <x:c r="B771" s="88"/>
      <x:c r="D771" s="32"/>
      <x:c r="G771" s="74"/>
      <x:c r="H771" s="74"/>
      <x:c r="I771" s="74"/>
      <x:c r="J771" s="74"/>
      <x:c r="K771" s="74"/>
      <x:c r="L771" s="74"/>
      <x:c r="M771" s="91"/>
      <x:c r="N771" s="91"/>
      <x:c r="O771" s="85"/>
      <x:c r="Q771" s="86"/>
      <x:c r="R771" s="86"/>
      <x:c r="S771" s="32"/>
    </x:row>
    <x:row r="772">
      <x:c r="A772" s="87"/>
      <x:c r="B772" s="88"/>
      <x:c r="D772" s="32"/>
      <x:c r="G772" s="74"/>
      <x:c r="H772" s="74"/>
      <x:c r="I772" s="74"/>
      <x:c r="J772" s="74"/>
      <x:c r="K772" s="74"/>
      <x:c r="L772" s="74"/>
      <x:c r="M772" s="91"/>
      <x:c r="N772" s="91"/>
      <x:c r="O772" s="85"/>
      <x:c r="Q772" s="86"/>
      <x:c r="R772" s="86"/>
      <x:c r="S772" s="32"/>
    </x:row>
    <x:row r="773">
      <x:c r="A773" s="87"/>
      <x:c r="B773" s="88"/>
      <x:c r="D773" s="32"/>
      <x:c r="G773" s="74"/>
      <x:c r="H773" s="74"/>
      <x:c r="I773" s="74"/>
      <x:c r="J773" s="74"/>
      <x:c r="K773" s="74"/>
      <x:c r="L773" s="74"/>
      <x:c r="M773" s="91"/>
      <x:c r="N773" s="91"/>
      <x:c r="O773" s="85"/>
      <x:c r="Q773" s="86"/>
      <x:c r="R773" s="86"/>
      <x:c r="S773" s="32"/>
    </x:row>
    <x:row r="774">
      <x:c r="A774" s="87"/>
      <x:c r="B774" s="88"/>
      <x:c r="D774" s="32"/>
      <x:c r="G774" s="74"/>
      <x:c r="H774" s="74"/>
      <x:c r="I774" s="74"/>
      <x:c r="J774" s="74"/>
      <x:c r="K774" s="74"/>
      <x:c r="L774" s="74"/>
      <x:c r="M774" s="91"/>
      <x:c r="N774" s="91"/>
      <x:c r="O774" s="85"/>
      <x:c r="Q774" s="86"/>
      <x:c r="R774" s="86"/>
      <x:c r="S774" s="32"/>
    </x:row>
    <x:row r="775">
      <x:c r="A775" s="87"/>
      <x:c r="B775" s="88"/>
      <x:c r="D775" s="32"/>
      <x:c r="G775" s="74"/>
      <x:c r="H775" s="74"/>
      <x:c r="I775" s="74"/>
      <x:c r="J775" s="74"/>
      <x:c r="K775" s="74"/>
      <x:c r="L775" s="74"/>
      <x:c r="M775" s="91"/>
      <x:c r="N775" s="91"/>
      <x:c r="O775" s="85"/>
      <x:c r="Q775" s="86"/>
      <x:c r="R775" s="86"/>
      <x:c r="S775" s="32"/>
    </x:row>
    <x:row r="776">
      <x:c r="A776" s="87"/>
      <x:c r="B776" s="88"/>
      <x:c r="D776" s="32"/>
      <x:c r="G776" s="74"/>
      <x:c r="H776" s="74"/>
      <x:c r="I776" s="74"/>
      <x:c r="J776" s="74"/>
      <x:c r="K776" s="74"/>
      <x:c r="L776" s="74"/>
      <x:c r="M776" s="91"/>
      <x:c r="N776" s="91"/>
      <x:c r="O776" s="85"/>
      <x:c r="Q776" s="86"/>
      <x:c r="R776" s="86"/>
      <x:c r="S776" s="32"/>
    </x:row>
    <x:row r="777">
      <x:c r="A777" s="87"/>
      <x:c r="B777" s="88"/>
      <x:c r="D777" s="32"/>
      <x:c r="G777" s="74"/>
      <x:c r="H777" s="74"/>
      <x:c r="I777" s="74"/>
      <x:c r="J777" s="74"/>
      <x:c r="K777" s="74"/>
      <x:c r="L777" s="74"/>
      <x:c r="M777" s="91"/>
      <x:c r="N777" s="91"/>
      <x:c r="O777" s="85"/>
      <x:c r="Q777" s="86"/>
      <x:c r="R777" s="86"/>
      <x:c r="S777" s="32"/>
    </x:row>
    <x:row r="778">
      <x:c r="A778" s="87"/>
      <x:c r="B778" s="88"/>
      <x:c r="D778" s="32"/>
      <x:c r="G778" s="74"/>
      <x:c r="H778" s="74"/>
      <x:c r="I778" s="74"/>
      <x:c r="J778" s="74"/>
      <x:c r="K778" s="74"/>
      <x:c r="L778" s="74"/>
      <x:c r="M778" s="91"/>
      <x:c r="N778" s="91"/>
      <x:c r="O778" s="85"/>
      <x:c r="Q778" s="86"/>
      <x:c r="R778" s="86"/>
      <x:c r="S778" s="32"/>
    </x:row>
    <x:row r="779">
      <x:c r="A779" s="87"/>
      <x:c r="B779" s="88"/>
      <x:c r="D779" s="32"/>
      <x:c r="G779" s="74"/>
      <x:c r="H779" s="74"/>
      <x:c r="I779" s="74"/>
      <x:c r="J779" s="74"/>
      <x:c r="K779" s="74"/>
      <x:c r="L779" s="74"/>
      <x:c r="M779" s="91"/>
      <x:c r="N779" s="91"/>
      <x:c r="O779" s="85"/>
      <x:c r="Q779" s="86"/>
      <x:c r="R779" s="86"/>
      <x:c r="S779" s="32"/>
    </x:row>
    <x:row r="780">
      <x:c r="A780" s="87"/>
      <x:c r="B780" s="88"/>
      <x:c r="D780" s="32"/>
      <x:c r="G780" s="74"/>
      <x:c r="H780" s="74"/>
      <x:c r="I780" s="74"/>
      <x:c r="J780" s="74"/>
      <x:c r="K780" s="74"/>
      <x:c r="L780" s="74"/>
      <x:c r="M780" s="91"/>
      <x:c r="N780" s="91"/>
      <x:c r="O780" s="85"/>
      <x:c r="Q780" s="86"/>
      <x:c r="R780" s="86"/>
      <x:c r="S780" s="32"/>
    </x:row>
    <x:row r="781">
      <x:c r="A781" s="87"/>
      <x:c r="B781" s="88"/>
      <x:c r="D781" s="32"/>
      <x:c r="G781" s="74"/>
      <x:c r="H781" s="74"/>
      <x:c r="I781" s="74"/>
      <x:c r="J781" s="74"/>
      <x:c r="K781" s="74"/>
      <x:c r="L781" s="74"/>
      <x:c r="M781" s="91"/>
      <x:c r="N781" s="91"/>
      <x:c r="O781" s="85"/>
      <x:c r="Q781" s="86"/>
      <x:c r="R781" s="86"/>
      <x:c r="S781" s="32"/>
    </x:row>
    <x:row r="782">
      <x:c r="A782" s="87"/>
      <x:c r="B782" s="88"/>
      <x:c r="D782" s="32"/>
      <x:c r="G782" s="74"/>
      <x:c r="H782" s="74"/>
      <x:c r="I782" s="74"/>
      <x:c r="J782" s="74"/>
      <x:c r="K782" s="74"/>
      <x:c r="L782" s="74"/>
      <x:c r="M782" s="91"/>
      <x:c r="N782" s="91"/>
      <x:c r="O782" s="85"/>
      <x:c r="Q782" s="86"/>
      <x:c r="R782" s="86"/>
      <x:c r="S782" s="32"/>
    </x:row>
    <x:row r="783">
      <x:c r="A783" s="87"/>
      <x:c r="B783" s="88"/>
      <x:c r="D783" s="32"/>
      <x:c r="G783" s="74"/>
      <x:c r="H783" s="74"/>
      <x:c r="I783" s="74"/>
      <x:c r="J783" s="74"/>
      <x:c r="K783" s="74"/>
      <x:c r="L783" s="74"/>
      <x:c r="M783" s="91"/>
      <x:c r="N783" s="91"/>
      <x:c r="O783" s="85"/>
      <x:c r="Q783" s="86"/>
      <x:c r="R783" s="86"/>
      <x:c r="S783" s="32"/>
    </x:row>
    <x:row r="784">
      <x:c r="A784" s="87"/>
      <x:c r="B784" s="88"/>
      <x:c r="D784" s="32"/>
      <x:c r="G784" s="74"/>
      <x:c r="H784" s="74"/>
      <x:c r="I784" s="74"/>
      <x:c r="J784" s="74"/>
      <x:c r="K784" s="74"/>
      <x:c r="L784" s="74"/>
      <x:c r="M784" s="91"/>
      <x:c r="N784" s="91"/>
      <x:c r="O784" s="85"/>
      <x:c r="Q784" s="86"/>
      <x:c r="R784" s="86"/>
      <x:c r="S784" s="32"/>
    </x:row>
    <x:row r="785">
      <x:c r="A785" s="87"/>
      <x:c r="B785" s="88"/>
      <x:c r="D785" s="32"/>
      <x:c r="G785" s="74"/>
      <x:c r="H785" s="74"/>
      <x:c r="I785" s="74"/>
      <x:c r="J785" s="74"/>
      <x:c r="K785" s="74"/>
      <x:c r="L785" s="74"/>
      <x:c r="M785" s="91"/>
      <x:c r="N785" s="91"/>
      <x:c r="O785" s="85"/>
      <x:c r="Q785" s="86"/>
      <x:c r="R785" s="86"/>
      <x:c r="S785" s="32"/>
    </x:row>
    <x:row r="786">
      <x:c r="A786" s="87"/>
      <x:c r="B786" s="88"/>
      <x:c r="D786" s="32"/>
      <x:c r="G786" s="74"/>
      <x:c r="H786" s="74"/>
      <x:c r="I786" s="74"/>
      <x:c r="J786" s="74"/>
      <x:c r="K786" s="74"/>
      <x:c r="L786" s="74"/>
      <x:c r="M786" s="91"/>
      <x:c r="N786" s="91"/>
      <x:c r="O786" s="85"/>
      <x:c r="Q786" s="86"/>
      <x:c r="R786" s="86"/>
      <x:c r="S786" s="32"/>
    </x:row>
    <x:row r="787">
      <x:c r="A787" s="87"/>
      <x:c r="B787" s="88"/>
      <x:c r="D787" s="32"/>
      <x:c r="G787" s="74"/>
      <x:c r="H787" s="74"/>
      <x:c r="I787" s="74"/>
      <x:c r="J787" s="74"/>
      <x:c r="K787" s="74"/>
      <x:c r="L787" s="74"/>
      <x:c r="M787" s="91"/>
      <x:c r="N787" s="91"/>
      <x:c r="O787" s="85"/>
      <x:c r="Q787" s="86"/>
      <x:c r="R787" s="86"/>
      <x:c r="S787" s="32"/>
    </x:row>
    <x:row r="788">
      <x:c r="A788" s="87"/>
      <x:c r="B788" s="88"/>
      <x:c r="D788" s="32"/>
      <x:c r="G788" s="74"/>
      <x:c r="H788" s="74"/>
      <x:c r="I788" s="74"/>
      <x:c r="J788" s="74"/>
      <x:c r="K788" s="74"/>
      <x:c r="L788" s="74"/>
      <x:c r="M788" s="91"/>
      <x:c r="N788" s="91"/>
      <x:c r="O788" s="85"/>
      <x:c r="Q788" s="86"/>
      <x:c r="R788" s="86"/>
      <x:c r="S788" s="32"/>
    </x:row>
    <x:row r="789">
      <x:c r="A789" s="87"/>
      <x:c r="B789" s="88"/>
      <x:c r="D789" s="32"/>
      <x:c r="G789" s="74"/>
      <x:c r="H789" s="74"/>
      <x:c r="I789" s="74"/>
      <x:c r="J789" s="74"/>
      <x:c r="K789" s="74"/>
      <x:c r="L789" s="74"/>
      <x:c r="M789" s="91"/>
      <x:c r="N789" s="91"/>
      <x:c r="O789" s="85"/>
      <x:c r="Q789" s="86"/>
      <x:c r="R789" s="86"/>
      <x:c r="S789" s="32"/>
    </x:row>
    <x:row r="790">
      <x:c r="A790" s="87"/>
      <x:c r="B790" s="88"/>
      <x:c r="D790" s="32"/>
      <x:c r="G790" s="74"/>
      <x:c r="H790" s="74"/>
      <x:c r="I790" s="74"/>
      <x:c r="J790" s="74"/>
      <x:c r="K790" s="74"/>
      <x:c r="L790" s="74"/>
      <x:c r="M790" s="91"/>
      <x:c r="N790" s="91"/>
      <x:c r="O790" s="85"/>
      <x:c r="Q790" s="86"/>
      <x:c r="R790" s="86"/>
      <x:c r="S790" s="32"/>
    </x:row>
    <x:row r="791">
      <x:c r="A791" s="87"/>
      <x:c r="B791" s="88"/>
      <x:c r="D791" s="32"/>
      <x:c r="G791" s="74"/>
      <x:c r="H791" s="74"/>
      <x:c r="I791" s="74"/>
      <x:c r="J791" s="74"/>
      <x:c r="K791" s="74"/>
      <x:c r="L791" s="74"/>
      <x:c r="M791" s="91"/>
      <x:c r="N791" s="91"/>
      <x:c r="O791" s="85"/>
      <x:c r="Q791" s="86"/>
      <x:c r="R791" s="86"/>
      <x:c r="S791" s="32"/>
    </x:row>
    <x:row r="792">
      <x:c r="A792" s="87"/>
      <x:c r="B792" s="88"/>
      <x:c r="D792" s="32"/>
      <x:c r="G792" s="74"/>
      <x:c r="H792" s="74"/>
      <x:c r="I792" s="74"/>
      <x:c r="J792" s="74"/>
      <x:c r="K792" s="74"/>
      <x:c r="L792" s="74"/>
      <x:c r="M792" s="91"/>
      <x:c r="N792" s="91"/>
      <x:c r="O792" s="85"/>
      <x:c r="Q792" s="86"/>
      <x:c r="R792" s="86"/>
      <x:c r="S792" s="32"/>
    </x:row>
    <x:row r="793">
      <x:c r="A793" s="87"/>
      <x:c r="B793" s="88"/>
      <x:c r="D793" s="32"/>
      <x:c r="G793" s="74"/>
      <x:c r="H793" s="74"/>
      <x:c r="I793" s="74"/>
      <x:c r="J793" s="74"/>
      <x:c r="K793" s="74"/>
      <x:c r="L793" s="74"/>
      <x:c r="M793" s="91"/>
      <x:c r="N793" s="91"/>
      <x:c r="O793" s="85"/>
      <x:c r="Q793" s="86"/>
      <x:c r="R793" s="86"/>
      <x:c r="S793" s="32"/>
    </x:row>
    <x:row r="794">
      <x:c r="A794" s="87"/>
      <x:c r="B794" s="88"/>
      <x:c r="D794" s="32"/>
      <x:c r="G794" s="74"/>
      <x:c r="H794" s="74"/>
      <x:c r="I794" s="74"/>
      <x:c r="J794" s="74"/>
      <x:c r="K794" s="74"/>
      <x:c r="L794" s="74"/>
      <x:c r="M794" s="91"/>
      <x:c r="N794" s="91"/>
      <x:c r="O794" s="85"/>
      <x:c r="Q794" s="86"/>
      <x:c r="R794" s="86"/>
      <x:c r="S794" s="32"/>
    </x:row>
    <x:row r="795">
      <x:c r="A795" s="87"/>
      <x:c r="B795" s="88"/>
      <x:c r="D795" s="32"/>
      <x:c r="G795" s="74"/>
      <x:c r="H795" s="74"/>
      <x:c r="I795" s="74"/>
      <x:c r="J795" s="74"/>
      <x:c r="K795" s="74"/>
      <x:c r="L795" s="74"/>
      <x:c r="M795" s="91"/>
      <x:c r="N795" s="91"/>
      <x:c r="O795" s="85"/>
      <x:c r="Q795" s="86"/>
      <x:c r="R795" s="86"/>
      <x:c r="S795" s="32"/>
    </x:row>
    <x:row r="796">
      <x:c r="A796" s="87"/>
      <x:c r="B796" s="88"/>
      <x:c r="D796" s="32"/>
      <x:c r="G796" s="74"/>
      <x:c r="H796" s="74"/>
      <x:c r="I796" s="74"/>
      <x:c r="J796" s="74"/>
      <x:c r="K796" s="74"/>
      <x:c r="L796" s="74"/>
      <x:c r="M796" s="91"/>
      <x:c r="N796" s="91"/>
      <x:c r="O796" s="85"/>
      <x:c r="Q796" s="86"/>
      <x:c r="R796" s="86"/>
      <x:c r="S796" s="32"/>
    </x:row>
    <x:row r="797">
      <x:c r="A797" s="87"/>
      <x:c r="B797" s="88"/>
      <x:c r="D797" s="32"/>
      <x:c r="G797" s="74"/>
      <x:c r="H797" s="74"/>
      <x:c r="I797" s="74"/>
      <x:c r="J797" s="74"/>
      <x:c r="K797" s="74"/>
      <x:c r="L797" s="74"/>
      <x:c r="M797" s="91"/>
      <x:c r="N797" s="91"/>
      <x:c r="O797" s="85"/>
      <x:c r="Q797" s="86"/>
      <x:c r="R797" s="86"/>
      <x:c r="S797" s="32"/>
    </x:row>
    <x:row r="798">
      <x:c r="A798" s="87"/>
      <x:c r="B798" s="88"/>
      <x:c r="D798" s="32"/>
      <x:c r="G798" s="74"/>
      <x:c r="H798" s="74"/>
      <x:c r="I798" s="74"/>
      <x:c r="J798" s="74"/>
      <x:c r="K798" s="74"/>
      <x:c r="L798" s="74"/>
      <x:c r="M798" s="91"/>
      <x:c r="N798" s="91"/>
      <x:c r="O798" s="85"/>
      <x:c r="Q798" s="86"/>
      <x:c r="R798" s="86"/>
      <x:c r="S798" s="32"/>
    </x:row>
    <x:row r="799">
      <x:c r="A799" s="87"/>
      <x:c r="B799" s="88"/>
      <x:c r="D799" s="32"/>
      <x:c r="G799" s="74"/>
      <x:c r="H799" s="74"/>
      <x:c r="I799" s="74"/>
      <x:c r="J799" s="74"/>
      <x:c r="K799" s="74"/>
      <x:c r="L799" s="74"/>
      <x:c r="M799" s="91"/>
      <x:c r="N799" s="91"/>
      <x:c r="O799" s="85"/>
      <x:c r="Q799" s="86"/>
      <x:c r="R799" s="86"/>
      <x:c r="S799" s="32"/>
    </x:row>
    <x:row r="800">
      <x:c r="A800" s="87"/>
      <x:c r="B800" s="88"/>
      <x:c r="D800" s="32"/>
      <x:c r="G800" s="74"/>
      <x:c r="H800" s="74"/>
      <x:c r="I800" s="74"/>
      <x:c r="J800" s="74"/>
      <x:c r="K800" s="74"/>
      <x:c r="L800" s="74"/>
      <x:c r="M800" s="91"/>
      <x:c r="N800" s="91"/>
      <x:c r="O800" s="85"/>
      <x:c r="Q800" s="86"/>
      <x:c r="R800" s="86"/>
      <x:c r="S800" s="32"/>
    </x:row>
    <x:row r="801">
      <x:c r="A801" s="87"/>
      <x:c r="B801" s="88"/>
      <x:c r="D801" s="32"/>
      <x:c r="G801" s="74"/>
      <x:c r="H801" s="74"/>
      <x:c r="I801" s="74"/>
      <x:c r="J801" s="74"/>
      <x:c r="K801" s="74"/>
      <x:c r="L801" s="74"/>
      <x:c r="M801" s="91"/>
      <x:c r="N801" s="91"/>
      <x:c r="O801" s="85"/>
      <x:c r="Q801" s="86"/>
      <x:c r="R801" s="86"/>
      <x:c r="S801" s="32"/>
    </x:row>
    <x:row r="802">
      <x:c r="A802" s="87"/>
      <x:c r="B802" s="88"/>
      <x:c r="D802" s="32"/>
      <x:c r="G802" s="74"/>
      <x:c r="H802" s="74"/>
      <x:c r="I802" s="74"/>
      <x:c r="J802" s="74"/>
      <x:c r="K802" s="74"/>
      <x:c r="L802" s="74"/>
      <x:c r="M802" s="91"/>
      <x:c r="N802" s="91"/>
      <x:c r="O802" s="85"/>
      <x:c r="Q802" s="86"/>
      <x:c r="R802" s="86"/>
      <x:c r="S802" s="32"/>
    </x:row>
    <x:row r="803">
      <x:c r="A803" s="87"/>
      <x:c r="B803" s="88"/>
      <x:c r="D803" s="32"/>
      <x:c r="G803" s="74"/>
      <x:c r="H803" s="74"/>
      <x:c r="I803" s="74"/>
      <x:c r="J803" s="74"/>
      <x:c r="K803" s="74"/>
      <x:c r="L803" s="74"/>
      <x:c r="M803" s="91"/>
      <x:c r="N803" s="91"/>
      <x:c r="O803" s="85"/>
      <x:c r="Q803" s="86"/>
      <x:c r="R803" s="86"/>
      <x:c r="S803" s="32"/>
    </x:row>
    <x:row r="804">
      <x:c r="A804" s="87"/>
      <x:c r="B804" s="88"/>
      <x:c r="D804" s="32"/>
      <x:c r="G804" s="74"/>
      <x:c r="H804" s="74"/>
      <x:c r="I804" s="74"/>
      <x:c r="J804" s="74"/>
      <x:c r="K804" s="74"/>
      <x:c r="L804" s="74"/>
      <x:c r="M804" s="91"/>
      <x:c r="N804" s="91"/>
      <x:c r="O804" s="85"/>
      <x:c r="Q804" s="86"/>
      <x:c r="R804" s="86"/>
      <x:c r="S804" s="32"/>
    </x:row>
    <x:row r="805">
      <x:c r="A805" s="87"/>
      <x:c r="B805" s="88"/>
      <x:c r="D805" s="32"/>
      <x:c r="G805" s="74"/>
      <x:c r="H805" s="74"/>
      <x:c r="I805" s="74"/>
      <x:c r="J805" s="74"/>
      <x:c r="K805" s="74"/>
      <x:c r="L805" s="74"/>
      <x:c r="M805" s="91"/>
      <x:c r="N805" s="91"/>
      <x:c r="O805" s="85"/>
      <x:c r="Q805" s="86"/>
      <x:c r="R805" s="86"/>
      <x:c r="S805" s="32"/>
    </x:row>
    <x:row r="806">
      <x:c r="A806" s="87"/>
      <x:c r="B806" s="88"/>
      <x:c r="D806" s="32"/>
      <x:c r="G806" s="74"/>
      <x:c r="H806" s="74"/>
      <x:c r="I806" s="74"/>
      <x:c r="J806" s="74"/>
      <x:c r="K806" s="74"/>
      <x:c r="L806" s="74"/>
      <x:c r="M806" s="91"/>
      <x:c r="N806" s="91"/>
      <x:c r="O806" s="85"/>
      <x:c r="Q806" s="86"/>
      <x:c r="R806" s="86"/>
      <x:c r="S806" s="32"/>
    </x:row>
    <x:row r="807">
      <x:c r="A807" s="87"/>
      <x:c r="B807" s="88"/>
      <x:c r="D807" s="32"/>
      <x:c r="G807" s="74"/>
      <x:c r="H807" s="74"/>
      <x:c r="I807" s="74"/>
      <x:c r="J807" s="74"/>
      <x:c r="K807" s="74"/>
      <x:c r="L807" s="74"/>
      <x:c r="M807" s="91"/>
      <x:c r="N807" s="91"/>
      <x:c r="O807" s="85"/>
      <x:c r="Q807" s="86"/>
      <x:c r="R807" s="86"/>
      <x:c r="S807" s="32"/>
    </x:row>
    <x:row r="808">
      <x:c r="A808" s="87"/>
      <x:c r="B808" s="88"/>
      <x:c r="D808" s="32"/>
      <x:c r="G808" s="74"/>
      <x:c r="H808" s="74"/>
      <x:c r="I808" s="74"/>
      <x:c r="J808" s="74"/>
      <x:c r="K808" s="74"/>
      <x:c r="L808" s="74"/>
      <x:c r="M808" s="91"/>
      <x:c r="N808" s="91"/>
      <x:c r="O808" s="85"/>
      <x:c r="Q808" s="86"/>
      <x:c r="R808" s="86"/>
      <x:c r="S808" s="32"/>
    </x:row>
    <x:row r="809">
      <x:c r="A809" s="87"/>
      <x:c r="B809" s="88"/>
      <x:c r="D809" s="32"/>
      <x:c r="G809" s="74"/>
      <x:c r="H809" s="74"/>
      <x:c r="I809" s="74"/>
      <x:c r="J809" s="74"/>
      <x:c r="K809" s="74"/>
      <x:c r="L809" s="74"/>
      <x:c r="M809" s="91"/>
      <x:c r="N809" s="91"/>
      <x:c r="O809" s="85"/>
      <x:c r="Q809" s="86"/>
      <x:c r="R809" s="86"/>
      <x:c r="S809" s="32"/>
    </x:row>
    <x:row r="810">
      <x:c r="A810" s="87"/>
      <x:c r="B810" s="88"/>
      <x:c r="D810" s="32"/>
      <x:c r="G810" s="74"/>
      <x:c r="H810" s="74"/>
      <x:c r="I810" s="74"/>
      <x:c r="J810" s="74"/>
      <x:c r="K810" s="74"/>
      <x:c r="L810" s="74"/>
      <x:c r="M810" s="91"/>
      <x:c r="N810" s="91"/>
      <x:c r="O810" s="85"/>
      <x:c r="Q810" s="86"/>
      <x:c r="R810" s="86"/>
      <x:c r="S810" s="32"/>
    </x:row>
    <x:row r="811">
      <x:c r="A811" s="87"/>
      <x:c r="B811" s="88"/>
      <x:c r="D811" s="32"/>
      <x:c r="G811" s="74"/>
      <x:c r="H811" s="74"/>
      <x:c r="I811" s="74"/>
      <x:c r="J811" s="74"/>
      <x:c r="K811" s="74"/>
      <x:c r="L811" s="74"/>
      <x:c r="M811" s="91"/>
      <x:c r="N811" s="91"/>
      <x:c r="O811" s="85"/>
      <x:c r="Q811" s="86"/>
      <x:c r="R811" s="86"/>
      <x:c r="S811" s="32"/>
    </x:row>
    <x:row r="812">
      <x:c r="A812" s="87"/>
      <x:c r="B812" s="88"/>
      <x:c r="D812" s="32"/>
      <x:c r="G812" s="74"/>
      <x:c r="H812" s="74"/>
      <x:c r="I812" s="74"/>
      <x:c r="J812" s="74"/>
      <x:c r="K812" s="74"/>
      <x:c r="L812" s="74"/>
      <x:c r="M812" s="91"/>
      <x:c r="N812" s="91"/>
      <x:c r="O812" s="85"/>
      <x:c r="Q812" s="86"/>
      <x:c r="R812" s="86"/>
      <x:c r="S812" s="32"/>
    </x:row>
    <x:row r="813">
      <x:c r="A813" s="87"/>
      <x:c r="B813" s="88"/>
      <x:c r="D813" s="32"/>
      <x:c r="G813" s="74"/>
      <x:c r="H813" s="74"/>
      <x:c r="I813" s="74"/>
      <x:c r="J813" s="74"/>
      <x:c r="K813" s="74"/>
      <x:c r="L813" s="74"/>
      <x:c r="M813" s="91"/>
      <x:c r="N813" s="91"/>
      <x:c r="O813" s="85"/>
      <x:c r="Q813" s="86"/>
      <x:c r="R813" s="86"/>
      <x:c r="S813" s="32"/>
    </x:row>
    <x:row r="814">
      <x:c r="A814" s="87"/>
      <x:c r="B814" s="88"/>
      <x:c r="D814" s="32"/>
      <x:c r="G814" s="74"/>
      <x:c r="H814" s="74"/>
      <x:c r="I814" s="74"/>
      <x:c r="J814" s="74"/>
      <x:c r="K814" s="74"/>
      <x:c r="L814" s="74"/>
      <x:c r="M814" s="91"/>
      <x:c r="N814" s="91"/>
      <x:c r="O814" s="85"/>
      <x:c r="Q814" s="86"/>
      <x:c r="R814" s="86"/>
      <x:c r="S814" s="32"/>
    </x:row>
    <x:row r="815">
      <x:c r="A815" s="87"/>
      <x:c r="B815" s="88"/>
      <x:c r="D815" s="32"/>
      <x:c r="G815" s="74"/>
      <x:c r="H815" s="74"/>
      <x:c r="I815" s="74"/>
      <x:c r="J815" s="74"/>
      <x:c r="K815" s="74"/>
      <x:c r="L815" s="74"/>
      <x:c r="M815" s="91"/>
      <x:c r="N815" s="91"/>
      <x:c r="O815" s="85"/>
      <x:c r="Q815" s="86"/>
      <x:c r="R815" s="86"/>
      <x:c r="S815" s="32"/>
    </x:row>
    <x:row r="816">
      <x:c r="A816" s="87"/>
      <x:c r="B816" s="88"/>
      <x:c r="D816" s="32"/>
      <x:c r="G816" s="74"/>
      <x:c r="H816" s="74"/>
      <x:c r="I816" s="74"/>
      <x:c r="J816" s="74"/>
      <x:c r="K816" s="74"/>
      <x:c r="L816" s="74"/>
      <x:c r="M816" s="91"/>
      <x:c r="N816" s="91"/>
      <x:c r="O816" s="85"/>
      <x:c r="Q816" s="86"/>
      <x:c r="R816" s="86"/>
      <x:c r="S816" s="32"/>
    </x:row>
    <x:row r="817">
      <x:c r="A817" s="87"/>
      <x:c r="B817" s="88"/>
      <x:c r="D817" s="32"/>
      <x:c r="G817" s="74"/>
      <x:c r="H817" s="74"/>
      <x:c r="I817" s="74"/>
      <x:c r="J817" s="74"/>
      <x:c r="K817" s="74"/>
      <x:c r="L817" s="74"/>
      <x:c r="M817" s="91"/>
      <x:c r="N817" s="91"/>
      <x:c r="O817" s="85"/>
      <x:c r="Q817" s="86"/>
      <x:c r="R817" s="86"/>
      <x:c r="S817" s="32"/>
    </x:row>
    <x:row r="818">
      <x:c r="A818" s="87"/>
      <x:c r="B818" s="88"/>
      <x:c r="D818" s="32"/>
      <x:c r="G818" s="74"/>
      <x:c r="H818" s="74"/>
      <x:c r="I818" s="74"/>
      <x:c r="J818" s="74"/>
      <x:c r="K818" s="74"/>
      <x:c r="L818" s="74"/>
      <x:c r="M818" s="91"/>
      <x:c r="N818" s="91"/>
      <x:c r="O818" s="85"/>
      <x:c r="Q818" s="86"/>
      <x:c r="R818" s="86"/>
      <x:c r="S818" s="32"/>
    </x:row>
    <x:row r="819">
      <x:c r="A819" s="87"/>
      <x:c r="B819" s="88"/>
      <x:c r="D819" s="32"/>
      <x:c r="G819" s="74"/>
      <x:c r="H819" s="74"/>
      <x:c r="I819" s="74"/>
      <x:c r="J819" s="74"/>
      <x:c r="K819" s="74"/>
      <x:c r="L819" s="74"/>
      <x:c r="M819" s="91"/>
      <x:c r="N819" s="91"/>
      <x:c r="O819" s="85"/>
      <x:c r="Q819" s="86"/>
      <x:c r="R819" s="86"/>
      <x:c r="S819" s="32"/>
    </x:row>
    <x:row r="820">
      <x:c r="A820" s="87"/>
      <x:c r="B820" s="88"/>
      <x:c r="D820" s="32"/>
      <x:c r="G820" s="74"/>
      <x:c r="H820" s="74"/>
      <x:c r="I820" s="74"/>
      <x:c r="J820" s="74"/>
      <x:c r="K820" s="74"/>
      <x:c r="L820" s="74"/>
      <x:c r="M820" s="91"/>
      <x:c r="N820" s="91"/>
      <x:c r="O820" s="85"/>
      <x:c r="Q820" s="86"/>
      <x:c r="R820" s="86"/>
      <x:c r="S820" s="32"/>
    </x:row>
    <x:row r="821">
      <x:c r="A821" s="87"/>
      <x:c r="B821" s="88"/>
      <x:c r="D821" s="32"/>
      <x:c r="G821" s="74"/>
      <x:c r="H821" s="74"/>
      <x:c r="I821" s="74"/>
      <x:c r="J821" s="74"/>
      <x:c r="K821" s="74"/>
      <x:c r="L821" s="74"/>
      <x:c r="M821" s="91"/>
      <x:c r="N821" s="91"/>
      <x:c r="O821" s="85"/>
      <x:c r="Q821" s="86"/>
      <x:c r="R821" s="86"/>
      <x:c r="S821" s="32"/>
    </x:row>
    <x:row r="822">
      <x:c r="A822" s="87"/>
      <x:c r="B822" s="88"/>
      <x:c r="D822" s="32"/>
      <x:c r="G822" s="74"/>
      <x:c r="H822" s="74"/>
      <x:c r="I822" s="74"/>
      <x:c r="J822" s="74"/>
      <x:c r="K822" s="74"/>
      <x:c r="L822" s="74"/>
      <x:c r="M822" s="91"/>
      <x:c r="N822" s="91"/>
      <x:c r="O822" s="85"/>
      <x:c r="Q822" s="86"/>
      <x:c r="R822" s="86"/>
      <x:c r="S822" s="32"/>
    </x:row>
    <x:row r="823">
      <x:c r="A823" s="87"/>
      <x:c r="B823" s="88"/>
      <x:c r="D823" s="32"/>
      <x:c r="G823" s="74"/>
      <x:c r="H823" s="74"/>
      <x:c r="I823" s="74"/>
      <x:c r="J823" s="74"/>
      <x:c r="K823" s="74"/>
      <x:c r="L823" s="74"/>
      <x:c r="M823" s="91"/>
      <x:c r="N823" s="91"/>
      <x:c r="O823" s="85"/>
      <x:c r="Q823" s="86"/>
      <x:c r="R823" s="86"/>
      <x:c r="S823" s="32"/>
    </x:row>
    <x:row r="824">
      <x:c r="A824" s="87"/>
      <x:c r="B824" s="88"/>
      <x:c r="D824" s="32"/>
      <x:c r="G824" s="74"/>
      <x:c r="H824" s="74"/>
      <x:c r="I824" s="74"/>
      <x:c r="J824" s="74"/>
      <x:c r="K824" s="74"/>
      <x:c r="L824" s="74"/>
      <x:c r="M824" s="91"/>
      <x:c r="N824" s="91"/>
      <x:c r="O824" s="85"/>
      <x:c r="Q824" s="86"/>
      <x:c r="R824" s="86"/>
      <x:c r="S824" s="32"/>
    </x:row>
    <x:row r="825">
      <x:c r="A825" s="87"/>
      <x:c r="B825" s="88"/>
      <x:c r="D825" s="32"/>
      <x:c r="G825" s="74"/>
      <x:c r="H825" s="74"/>
      <x:c r="I825" s="74"/>
      <x:c r="J825" s="74"/>
      <x:c r="K825" s="74"/>
      <x:c r="L825" s="74"/>
      <x:c r="M825" s="91"/>
      <x:c r="N825" s="91"/>
      <x:c r="O825" s="85"/>
      <x:c r="Q825" s="86"/>
      <x:c r="R825" s="86"/>
      <x:c r="S825" s="32"/>
    </x:row>
    <x:row r="826">
      <x:c r="A826" s="87"/>
      <x:c r="B826" s="88"/>
      <x:c r="D826" s="32"/>
      <x:c r="G826" s="74"/>
      <x:c r="H826" s="74"/>
      <x:c r="I826" s="74"/>
      <x:c r="J826" s="74"/>
      <x:c r="K826" s="74"/>
      <x:c r="L826" s="74"/>
      <x:c r="M826" s="91"/>
      <x:c r="N826" s="91"/>
      <x:c r="O826" s="85"/>
      <x:c r="Q826" s="86"/>
      <x:c r="R826" s="86"/>
      <x:c r="S826" s="32"/>
    </x:row>
    <x:row r="827">
      <x:c r="A827" s="87"/>
      <x:c r="B827" s="88"/>
      <x:c r="D827" s="32"/>
      <x:c r="G827" s="74"/>
      <x:c r="H827" s="74"/>
      <x:c r="I827" s="74"/>
      <x:c r="J827" s="74"/>
      <x:c r="K827" s="74"/>
      <x:c r="L827" s="74"/>
      <x:c r="M827" s="91"/>
      <x:c r="N827" s="91"/>
      <x:c r="O827" s="85"/>
      <x:c r="Q827" s="86"/>
      <x:c r="R827" s="86"/>
      <x:c r="S827" s="32"/>
    </x:row>
    <x:row r="828">
      <x:c r="A828" s="87"/>
      <x:c r="B828" s="88"/>
      <x:c r="D828" s="32"/>
      <x:c r="G828" s="74"/>
      <x:c r="H828" s="74"/>
      <x:c r="I828" s="74"/>
      <x:c r="J828" s="74"/>
      <x:c r="K828" s="74"/>
      <x:c r="L828" s="74"/>
      <x:c r="M828" s="91"/>
      <x:c r="N828" s="91"/>
      <x:c r="O828" s="85"/>
      <x:c r="Q828" s="86"/>
      <x:c r="R828" s="86"/>
      <x:c r="S828" s="32"/>
    </x:row>
    <x:row r="829">
      <x:c r="A829" s="87"/>
      <x:c r="B829" s="88"/>
      <x:c r="D829" s="32"/>
      <x:c r="G829" s="74"/>
      <x:c r="H829" s="74"/>
      <x:c r="I829" s="74"/>
      <x:c r="J829" s="74"/>
      <x:c r="K829" s="74"/>
      <x:c r="L829" s="74"/>
      <x:c r="M829" s="91"/>
      <x:c r="N829" s="91"/>
      <x:c r="O829" s="85"/>
      <x:c r="Q829" s="86"/>
      <x:c r="R829" s="86"/>
      <x:c r="S829" s="32"/>
    </x:row>
    <x:row r="830">
      <x:c r="A830" s="87"/>
      <x:c r="B830" s="88"/>
      <x:c r="D830" s="32"/>
      <x:c r="G830" s="74"/>
      <x:c r="H830" s="74"/>
      <x:c r="I830" s="74"/>
      <x:c r="J830" s="74"/>
      <x:c r="K830" s="74"/>
      <x:c r="L830" s="74"/>
      <x:c r="M830" s="91"/>
      <x:c r="N830" s="91"/>
      <x:c r="O830" s="85"/>
      <x:c r="Q830" s="86"/>
      <x:c r="R830" s="86"/>
      <x:c r="S830" s="32"/>
    </x:row>
    <x:row r="831">
      <x:c r="A831" s="87"/>
      <x:c r="B831" s="88"/>
      <x:c r="D831" s="32"/>
      <x:c r="G831" s="74"/>
      <x:c r="H831" s="74"/>
      <x:c r="I831" s="74"/>
      <x:c r="J831" s="74"/>
      <x:c r="K831" s="74"/>
      <x:c r="L831" s="74"/>
      <x:c r="M831" s="91"/>
      <x:c r="N831" s="91"/>
      <x:c r="O831" s="85"/>
      <x:c r="Q831" s="86"/>
      <x:c r="R831" s="86"/>
      <x:c r="S831" s="32"/>
    </x:row>
    <x:row r="832">
      <x:c r="A832" s="87"/>
      <x:c r="B832" s="88"/>
      <x:c r="D832" s="32"/>
      <x:c r="G832" s="74"/>
      <x:c r="H832" s="74"/>
      <x:c r="I832" s="74"/>
      <x:c r="J832" s="74"/>
      <x:c r="K832" s="74"/>
      <x:c r="L832" s="74"/>
      <x:c r="M832" s="91"/>
      <x:c r="N832" s="91"/>
      <x:c r="O832" s="85"/>
      <x:c r="Q832" s="86"/>
      <x:c r="R832" s="86"/>
      <x:c r="S832" s="32"/>
    </x:row>
    <x:row r="833">
      <x:c r="A833" s="87"/>
      <x:c r="B833" s="88"/>
      <x:c r="D833" s="32"/>
      <x:c r="G833" s="74"/>
      <x:c r="H833" s="74"/>
      <x:c r="I833" s="74"/>
      <x:c r="J833" s="74"/>
      <x:c r="K833" s="74"/>
      <x:c r="L833" s="74"/>
      <x:c r="M833" s="91"/>
      <x:c r="N833" s="91"/>
      <x:c r="O833" s="85"/>
      <x:c r="Q833" s="86"/>
      <x:c r="R833" s="86"/>
      <x:c r="S833" s="32"/>
    </x:row>
    <x:row r="834">
      <x:c r="A834" s="87"/>
      <x:c r="B834" s="88"/>
      <x:c r="D834" s="32"/>
      <x:c r="G834" s="74"/>
      <x:c r="H834" s="74"/>
      <x:c r="I834" s="74"/>
      <x:c r="J834" s="74"/>
      <x:c r="K834" s="74"/>
      <x:c r="L834" s="74"/>
      <x:c r="M834" s="91"/>
      <x:c r="N834" s="91"/>
      <x:c r="O834" s="85"/>
      <x:c r="Q834" s="86"/>
      <x:c r="R834" s="86"/>
      <x:c r="S834" s="32"/>
    </x:row>
    <x:row r="835">
      <x:c r="A835" s="87"/>
      <x:c r="B835" s="88"/>
      <x:c r="D835" s="32"/>
      <x:c r="G835" s="74"/>
      <x:c r="H835" s="74"/>
      <x:c r="I835" s="74"/>
      <x:c r="J835" s="74"/>
      <x:c r="K835" s="74"/>
      <x:c r="L835" s="74"/>
      <x:c r="M835" s="91"/>
      <x:c r="N835" s="91"/>
      <x:c r="O835" s="85"/>
      <x:c r="Q835" s="86"/>
      <x:c r="R835" s="86"/>
      <x:c r="S835" s="32"/>
    </x:row>
    <x:row r="836">
      <x:c r="A836" s="87"/>
      <x:c r="B836" s="88"/>
      <x:c r="D836" s="32"/>
      <x:c r="G836" s="74"/>
      <x:c r="H836" s="74"/>
      <x:c r="I836" s="74"/>
      <x:c r="J836" s="74"/>
      <x:c r="K836" s="74"/>
      <x:c r="L836" s="74"/>
      <x:c r="M836" s="91"/>
      <x:c r="N836" s="91"/>
      <x:c r="O836" s="85"/>
      <x:c r="Q836" s="86"/>
      <x:c r="R836" s="86"/>
      <x:c r="S836" s="32"/>
    </x:row>
    <x:row r="837">
      <x:c r="A837" s="87"/>
      <x:c r="B837" s="88"/>
      <x:c r="D837" s="32"/>
      <x:c r="G837" s="74"/>
      <x:c r="H837" s="74"/>
      <x:c r="I837" s="74"/>
      <x:c r="J837" s="74"/>
      <x:c r="K837" s="74"/>
      <x:c r="L837" s="74"/>
      <x:c r="M837" s="91"/>
      <x:c r="N837" s="91"/>
      <x:c r="O837" s="85"/>
      <x:c r="Q837" s="86"/>
      <x:c r="R837" s="86"/>
      <x:c r="S837" s="32"/>
    </x:row>
    <x:row r="838">
      <x:c r="A838" s="87"/>
      <x:c r="B838" s="88"/>
      <x:c r="D838" s="32"/>
      <x:c r="G838" s="74"/>
      <x:c r="H838" s="74"/>
      <x:c r="I838" s="74"/>
      <x:c r="J838" s="74"/>
      <x:c r="K838" s="74"/>
      <x:c r="L838" s="74"/>
      <x:c r="M838" s="91"/>
      <x:c r="N838" s="91"/>
      <x:c r="O838" s="85"/>
      <x:c r="Q838" s="86"/>
      <x:c r="R838" s="86"/>
      <x:c r="S838" s="32"/>
    </x:row>
    <x:row r="839">
      <x:c r="A839" s="87"/>
      <x:c r="B839" s="88"/>
      <x:c r="D839" s="32"/>
      <x:c r="G839" s="74"/>
      <x:c r="H839" s="74"/>
      <x:c r="I839" s="74"/>
      <x:c r="J839" s="74"/>
      <x:c r="K839" s="74"/>
      <x:c r="L839" s="74"/>
      <x:c r="M839" s="91"/>
      <x:c r="N839" s="91"/>
      <x:c r="O839" s="85"/>
      <x:c r="Q839" s="86"/>
      <x:c r="R839" s="86"/>
      <x:c r="S839" s="32"/>
    </x:row>
    <x:row r="840">
      <x:c r="A840" s="87"/>
      <x:c r="B840" s="88"/>
      <x:c r="D840" s="32"/>
      <x:c r="G840" s="74"/>
      <x:c r="H840" s="74"/>
      <x:c r="I840" s="74"/>
      <x:c r="J840" s="74"/>
      <x:c r="K840" s="74"/>
      <x:c r="L840" s="74"/>
      <x:c r="M840" s="91"/>
      <x:c r="N840" s="91"/>
      <x:c r="O840" s="85"/>
      <x:c r="Q840" s="86"/>
      <x:c r="R840" s="86"/>
      <x:c r="S840" s="32"/>
    </x:row>
    <x:row r="841">
      <x:c r="A841" s="87"/>
      <x:c r="B841" s="88"/>
      <x:c r="D841" s="32"/>
      <x:c r="G841" s="74"/>
      <x:c r="H841" s="74"/>
      <x:c r="I841" s="74"/>
      <x:c r="J841" s="74"/>
      <x:c r="K841" s="74"/>
      <x:c r="L841" s="74"/>
      <x:c r="M841" s="91"/>
      <x:c r="N841" s="91"/>
      <x:c r="O841" s="85"/>
      <x:c r="Q841" s="86"/>
      <x:c r="R841" s="86"/>
      <x:c r="S841" s="32"/>
    </x:row>
    <x:row r="842">
      <x:c r="A842" s="87"/>
      <x:c r="B842" s="88"/>
      <x:c r="D842" s="32"/>
      <x:c r="G842" s="74"/>
      <x:c r="H842" s="74"/>
      <x:c r="I842" s="74"/>
      <x:c r="J842" s="74"/>
      <x:c r="K842" s="74"/>
      <x:c r="L842" s="74"/>
      <x:c r="M842" s="91"/>
      <x:c r="N842" s="91"/>
      <x:c r="O842" s="85"/>
      <x:c r="Q842" s="86"/>
      <x:c r="R842" s="86"/>
      <x:c r="S842" s="32"/>
    </x:row>
    <x:row r="843">
      <x:c r="A843" s="87"/>
      <x:c r="B843" s="88"/>
      <x:c r="D843" s="32"/>
      <x:c r="G843" s="74"/>
      <x:c r="H843" s="74"/>
      <x:c r="I843" s="74"/>
      <x:c r="J843" s="74"/>
      <x:c r="K843" s="74"/>
      <x:c r="L843" s="74"/>
      <x:c r="M843" s="91"/>
      <x:c r="N843" s="91"/>
      <x:c r="O843" s="85"/>
      <x:c r="Q843" s="86"/>
      <x:c r="R843" s="86"/>
      <x:c r="S843" s="32"/>
    </x:row>
    <x:row r="844">
      <x:c r="A844" s="87"/>
      <x:c r="B844" s="88"/>
      <x:c r="D844" s="32"/>
      <x:c r="G844" s="74"/>
      <x:c r="H844" s="74"/>
      <x:c r="I844" s="74"/>
      <x:c r="J844" s="74"/>
      <x:c r="K844" s="74"/>
      <x:c r="L844" s="74"/>
      <x:c r="M844" s="91"/>
      <x:c r="N844" s="91"/>
      <x:c r="O844" s="85"/>
      <x:c r="Q844" s="86"/>
      <x:c r="R844" s="86"/>
      <x:c r="S844" s="32"/>
    </x:row>
    <x:row r="845">
      <x:c r="A845" s="87"/>
      <x:c r="B845" s="88"/>
      <x:c r="D845" s="32"/>
      <x:c r="G845" s="74"/>
      <x:c r="H845" s="74"/>
      <x:c r="I845" s="74"/>
      <x:c r="J845" s="74"/>
      <x:c r="K845" s="74"/>
      <x:c r="L845" s="74"/>
      <x:c r="M845" s="91"/>
      <x:c r="N845" s="91"/>
      <x:c r="O845" s="85"/>
      <x:c r="Q845" s="86"/>
      <x:c r="R845" s="86"/>
      <x:c r="S845" s="32"/>
    </x:row>
    <x:row r="846">
      <x:c r="A846" s="87"/>
      <x:c r="B846" s="88"/>
      <x:c r="D846" s="32"/>
      <x:c r="G846" s="74"/>
      <x:c r="H846" s="74"/>
      <x:c r="I846" s="74"/>
      <x:c r="J846" s="74"/>
      <x:c r="K846" s="74"/>
      <x:c r="L846" s="74"/>
      <x:c r="M846" s="91"/>
      <x:c r="N846" s="91"/>
      <x:c r="O846" s="85"/>
      <x:c r="Q846" s="86"/>
      <x:c r="R846" s="86"/>
      <x:c r="S846" s="32"/>
    </x:row>
    <x:row r="847">
      <x:c r="A847" s="87"/>
      <x:c r="B847" s="88"/>
      <x:c r="D847" s="32"/>
      <x:c r="G847" s="74"/>
      <x:c r="H847" s="74"/>
      <x:c r="I847" s="74"/>
      <x:c r="J847" s="74"/>
      <x:c r="K847" s="74"/>
      <x:c r="L847" s="74"/>
      <x:c r="M847" s="91"/>
      <x:c r="N847" s="91"/>
      <x:c r="O847" s="85"/>
      <x:c r="Q847" s="86"/>
      <x:c r="R847" s="86"/>
      <x:c r="S847" s="32"/>
    </x:row>
    <x:row r="848">
      <x:c r="A848" s="87"/>
      <x:c r="B848" s="88"/>
      <x:c r="D848" s="32"/>
      <x:c r="G848" s="74"/>
      <x:c r="H848" s="74"/>
      <x:c r="I848" s="74"/>
      <x:c r="J848" s="74"/>
      <x:c r="K848" s="74"/>
      <x:c r="L848" s="74"/>
      <x:c r="M848" s="91"/>
      <x:c r="N848" s="91"/>
      <x:c r="O848" s="85"/>
      <x:c r="Q848" s="86"/>
      <x:c r="R848" s="86"/>
      <x:c r="S848" s="32"/>
    </x:row>
    <x:row r="849">
      <x:c r="A849" s="87"/>
      <x:c r="B849" s="88"/>
      <x:c r="D849" s="32"/>
      <x:c r="G849" s="74"/>
      <x:c r="H849" s="74"/>
      <x:c r="I849" s="74"/>
      <x:c r="J849" s="74"/>
      <x:c r="K849" s="74"/>
      <x:c r="L849" s="74"/>
      <x:c r="M849" s="91"/>
      <x:c r="N849" s="91"/>
      <x:c r="O849" s="85"/>
      <x:c r="Q849" s="86"/>
      <x:c r="R849" s="86"/>
      <x:c r="S849" s="32"/>
    </x:row>
    <x:row r="850">
      <x:c r="A850" s="87"/>
      <x:c r="B850" s="88"/>
      <x:c r="D850" s="32"/>
      <x:c r="G850" s="74"/>
      <x:c r="H850" s="74"/>
      <x:c r="I850" s="74"/>
      <x:c r="J850" s="74"/>
      <x:c r="K850" s="74"/>
      <x:c r="L850" s="74"/>
      <x:c r="M850" s="91"/>
      <x:c r="N850" s="91"/>
      <x:c r="O850" s="85"/>
      <x:c r="Q850" s="86"/>
      <x:c r="R850" s="86"/>
      <x:c r="S850" s="32"/>
    </x:row>
    <x:row r="851">
      <x:c r="A851" s="87"/>
      <x:c r="B851" s="88"/>
      <x:c r="D851" s="32"/>
      <x:c r="G851" s="74"/>
      <x:c r="H851" s="74"/>
      <x:c r="I851" s="74"/>
      <x:c r="J851" s="74"/>
      <x:c r="K851" s="74"/>
      <x:c r="L851" s="74"/>
      <x:c r="M851" s="91"/>
      <x:c r="N851" s="91"/>
      <x:c r="O851" s="85"/>
      <x:c r="Q851" s="86"/>
      <x:c r="R851" s="86"/>
      <x:c r="S851" s="32"/>
    </x:row>
    <x:row r="852">
      <x:c r="A852" s="87"/>
      <x:c r="B852" s="88"/>
      <x:c r="D852" s="32"/>
      <x:c r="G852" s="74"/>
      <x:c r="H852" s="74"/>
      <x:c r="I852" s="74"/>
      <x:c r="J852" s="74"/>
      <x:c r="K852" s="74"/>
      <x:c r="L852" s="74"/>
      <x:c r="M852" s="91"/>
      <x:c r="N852" s="91"/>
      <x:c r="O852" s="85"/>
      <x:c r="Q852" s="86"/>
      <x:c r="R852" s="86"/>
      <x:c r="S852" s="32"/>
    </x:row>
    <x:row r="853">
      <x:c r="A853" s="87"/>
      <x:c r="B853" s="88"/>
      <x:c r="D853" s="32"/>
      <x:c r="G853" s="74"/>
      <x:c r="H853" s="74"/>
      <x:c r="I853" s="74"/>
      <x:c r="J853" s="74"/>
      <x:c r="K853" s="74"/>
      <x:c r="L853" s="74"/>
      <x:c r="M853" s="91"/>
      <x:c r="N853" s="91"/>
      <x:c r="O853" s="85"/>
      <x:c r="Q853" s="86"/>
      <x:c r="R853" s="86"/>
      <x:c r="S853" s="32"/>
    </x:row>
    <x:row r="854">
      <x:c r="A854" s="87"/>
      <x:c r="B854" s="88"/>
      <x:c r="D854" s="32"/>
      <x:c r="G854" s="74"/>
      <x:c r="H854" s="74"/>
      <x:c r="I854" s="74"/>
      <x:c r="J854" s="74"/>
      <x:c r="K854" s="74"/>
      <x:c r="L854" s="74"/>
      <x:c r="M854" s="91"/>
      <x:c r="N854" s="91"/>
      <x:c r="O854" s="85"/>
      <x:c r="Q854" s="86"/>
      <x:c r="R854" s="86"/>
      <x:c r="S854" s="32"/>
    </x:row>
    <x:row r="855">
      <x:c r="A855" s="87"/>
      <x:c r="B855" s="88"/>
      <x:c r="D855" s="32"/>
      <x:c r="G855" s="74"/>
      <x:c r="H855" s="74"/>
      <x:c r="I855" s="74"/>
      <x:c r="J855" s="74"/>
      <x:c r="K855" s="74"/>
      <x:c r="L855" s="74"/>
      <x:c r="M855" s="91"/>
      <x:c r="N855" s="91"/>
      <x:c r="O855" s="85"/>
      <x:c r="Q855" s="86"/>
      <x:c r="R855" s="86"/>
      <x:c r="S855" s="32"/>
    </x:row>
    <x:row r="856">
      <x:c r="A856" s="87"/>
      <x:c r="B856" s="88"/>
      <x:c r="D856" s="32"/>
      <x:c r="G856" s="74"/>
      <x:c r="H856" s="74"/>
      <x:c r="I856" s="74"/>
      <x:c r="J856" s="74"/>
      <x:c r="K856" s="74"/>
      <x:c r="L856" s="74"/>
      <x:c r="M856" s="91"/>
      <x:c r="N856" s="91"/>
      <x:c r="O856" s="85"/>
      <x:c r="Q856" s="86"/>
      <x:c r="R856" s="86"/>
      <x:c r="S856" s="32"/>
    </x:row>
    <x:row r="857">
      <x:c r="A857" s="87"/>
      <x:c r="B857" s="88"/>
      <x:c r="D857" s="32"/>
      <x:c r="G857" s="74"/>
      <x:c r="H857" s="74"/>
      <x:c r="I857" s="74"/>
      <x:c r="J857" s="74"/>
      <x:c r="K857" s="74"/>
      <x:c r="L857" s="74"/>
      <x:c r="M857" s="91"/>
      <x:c r="N857" s="91"/>
      <x:c r="O857" s="85"/>
      <x:c r="Q857" s="86"/>
      <x:c r="R857" s="86"/>
      <x:c r="S857" s="32"/>
    </x:row>
    <x:row r="858">
      <x:c r="A858" s="87"/>
      <x:c r="B858" s="88"/>
      <x:c r="D858" s="32"/>
      <x:c r="G858" s="74"/>
      <x:c r="H858" s="74"/>
      <x:c r="I858" s="74"/>
      <x:c r="J858" s="74"/>
      <x:c r="K858" s="74"/>
      <x:c r="L858" s="74"/>
      <x:c r="M858" s="91"/>
      <x:c r="N858" s="91"/>
      <x:c r="O858" s="85"/>
      <x:c r="Q858" s="86"/>
      <x:c r="R858" s="86"/>
      <x:c r="S858" s="32"/>
    </x:row>
    <x:row r="859">
      <x:c r="A859" s="87"/>
      <x:c r="B859" s="88"/>
      <x:c r="D859" s="32"/>
      <x:c r="G859" s="74"/>
      <x:c r="H859" s="74"/>
      <x:c r="I859" s="74"/>
      <x:c r="J859" s="74"/>
      <x:c r="K859" s="74"/>
      <x:c r="L859" s="74"/>
      <x:c r="M859" s="91"/>
      <x:c r="N859" s="91"/>
      <x:c r="O859" s="85"/>
      <x:c r="Q859" s="86"/>
      <x:c r="R859" s="86"/>
      <x:c r="S859" s="32"/>
    </x:row>
    <x:row r="860">
      <x:c r="A860" s="87"/>
      <x:c r="B860" s="88"/>
      <x:c r="D860" s="32"/>
      <x:c r="G860" s="74"/>
      <x:c r="H860" s="74"/>
      <x:c r="I860" s="74"/>
      <x:c r="J860" s="74"/>
      <x:c r="K860" s="74"/>
      <x:c r="L860" s="74"/>
      <x:c r="M860" s="91"/>
      <x:c r="N860" s="91"/>
      <x:c r="O860" s="85"/>
      <x:c r="Q860" s="86"/>
      <x:c r="R860" s="86"/>
      <x:c r="S860" s="32"/>
    </x:row>
    <x:row r="861">
      <x:c r="A861" s="87"/>
      <x:c r="B861" s="88"/>
      <x:c r="D861" s="32"/>
      <x:c r="G861" s="74"/>
      <x:c r="H861" s="74"/>
      <x:c r="I861" s="74"/>
      <x:c r="J861" s="74"/>
      <x:c r="K861" s="74"/>
      <x:c r="L861" s="74"/>
      <x:c r="M861" s="91"/>
      <x:c r="N861" s="91"/>
      <x:c r="O861" s="85"/>
      <x:c r="Q861" s="86"/>
      <x:c r="R861" s="86"/>
      <x:c r="S861" s="32"/>
    </x:row>
    <x:row r="862">
      <x:c r="A862" s="87"/>
      <x:c r="B862" s="88"/>
      <x:c r="D862" s="32"/>
      <x:c r="G862" s="74"/>
      <x:c r="H862" s="74"/>
      <x:c r="I862" s="74"/>
      <x:c r="J862" s="74"/>
      <x:c r="K862" s="74"/>
      <x:c r="L862" s="74"/>
      <x:c r="M862" s="91"/>
      <x:c r="N862" s="91"/>
      <x:c r="O862" s="85"/>
      <x:c r="Q862" s="86"/>
      <x:c r="R862" s="86"/>
      <x:c r="S862" s="32"/>
    </x:row>
    <x:row r="863">
      <x:c r="A863" s="87"/>
      <x:c r="B863" s="88"/>
      <x:c r="D863" s="32"/>
      <x:c r="G863" s="74"/>
      <x:c r="H863" s="74"/>
      <x:c r="I863" s="74"/>
      <x:c r="J863" s="74"/>
      <x:c r="K863" s="74"/>
      <x:c r="L863" s="74"/>
      <x:c r="M863" s="91"/>
      <x:c r="N863" s="91"/>
      <x:c r="O863" s="85"/>
      <x:c r="Q863" s="86"/>
      <x:c r="R863" s="86"/>
      <x:c r="S863" s="32"/>
    </x:row>
    <x:row r="864">
      <x:c r="A864" s="87"/>
      <x:c r="B864" s="88"/>
      <x:c r="D864" s="32"/>
      <x:c r="G864" s="74"/>
      <x:c r="H864" s="74"/>
      <x:c r="I864" s="74"/>
      <x:c r="J864" s="74"/>
      <x:c r="K864" s="74"/>
      <x:c r="L864" s="74"/>
      <x:c r="M864" s="91"/>
      <x:c r="N864" s="91"/>
      <x:c r="O864" s="85"/>
      <x:c r="Q864" s="86"/>
      <x:c r="R864" s="86"/>
      <x:c r="S864" s="32"/>
    </x:row>
    <x:row r="865">
      <x:c r="A865" s="87"/>
      <x:c r="B865" s="88"/>
      <x:c r="D865" s="32"/>
      <x:c r="G865" s="74"/>
      <x:c r="H865" s="74"/>
      <x:c r="I865" s="74"/>
      <x:c r="J865" s="74"/>
      <x:c r="K865" s="74"/>
      <x:c r="L865" s="74"/>
      <x:c r="M865" s="91"/>
      <x:c r="N865" s="91"/>
      <x:c r="O865" s="85"/>
      <x:c r="Q865" s="86"/>
      <x:c r="R865" s="86"/>
      <x:c r="S865" s="32"/>
    </x:row>
    <x:row r="866">
      <x:c r="A866" s="87"/>
      <x:c r="B866" s="88"/>
      <x:c r="D866" s="32"/>
      <x:c r="G866" s="74"/>
      <x:c r="H866" s="74"/>
      <x:c r="I866" s="74"/>
      <x:c r="J866" s="74"/>
      <x:c r="K866" s="74"/>
      <x:c r="L866" s="74"/>
      <x:c r="M866" s="91"/>
      <x:c r="N866" s="91"/>
      <x:c r="O866" s="85"/>
      <x:c r="Q866" s="86"/>
      <x:c r="R866" s="86"/>
      <x:c r="S866" s="32"/>
    </x:row>
    <x:row r="867">
      <x:c r="A867" s="87"/>
      <x:c r="B867" s="88"/>
      <x:c r="D867" s="32"/>
      <x:c r="G867" s="74"/>
      <x:c r="H867" s="74"/>
      <x:c r="I867" s="74"/>
      <x:c r="J867" s="74"/>
      <x:c r="K867" s="74"/>
      <x:c r="L867" s="74"/>
      <x:c r="M867" s="91"/>
      <x:c r="N867" s="91"/>
      <x:c r="O867" s="85"/>
      <x:c r="Q867" s="86"/>
      <x:c r="R867" s="86"/>
      <x:c r="S867" s="32"/>
    </x:row>
    <x:row r="868">
      <x:c r="A868" s="87"/>
      <x:c r="B868" s="88"/>
      <x:c r="D868" s="32"/>
      <x:c r="G868" s="74"/>
      <x:c r="H868" s="74"/>
      <x:c r="I868" s="74"/>
      <x:c r="J868" s="74"/>
      <x:c r="K868" s="74"/>
      <x:c r="L868" s="74"/>
      <x:c r="M868" s="91"/>
      <x:c r="N868" s="91"/>
      <x:c r="O868" s="85"/>
      <x:c r="Q868" s="86"/>
      <x:c r="R868" s="86"/>
      <x:c r="S868" s="32"/>
    </x:row>
    <x:row r="869">
      <x:c r="A869" s="87"/>
      <x:c r="B869" s="88"/>
      <x:c r="D869" s="32"/>
      <x:c r="G869" s="74"/>
      <x:c r="H869" s="74"/>
      <x:c r="I869" s="74"/>
      <x:c r="J869" s="74"/>
      <x:c r="K869" s="74"/>
      <x:c r="L869" s="74"/>
      <x:c r="M869" s="91"/>
      <x:c r="N869" s="91"/>
      <x:c r="O869" s="85"/>
      <x:c r="Q869" s="86"/>
      <x:c r="R869" s="86"/>
      <x:c r="S869" s="32"/>
    </x:row>
    <x:row r="870">
      <x:c r="A870" s="87"/>
      <x:c r="B870" s="88"/>
      <x:c r="D870" s="32"/>
      <x:c r="G870" s="74"/>
      <x:c r="H870" s="74"/>
      <x:c r="I870" s="74"/>
      <x:c r="J870" s="74"/>
      <x:c r="K870" s="74"/>
      <x:c r="L870" s="74"/>
      <x:c r="M870" s="91"/>
      <x:c r="N870" s="91"/>
      <x:c r="O870" s="85"/>
      <x:c r="Q870" s="86"/>
      <x:c r="R870" s="86"/>
      <x:c r="S870" s="32"/>
    </x:row>
    <x:row r="871">
      <x:c r="A871" s="87"/>
      <x:c r="B871" s="88"/>
      <x:c r="D871" s="32"/>
      <x:c r="G871" s="74"/>
      <x:c r="H871" s="74"/>
      <x:c r="I871" s="74"/>
      <x:c r="J871" s="74"/>
      <x:c r="K871" s="74"/>
      <x:c r="L871" s="74"/>
      <x:c r="M871" s="91"/>
      <x:c r="N871" s="91"/>
      <x:c r="O871" s="85"/>
      <x:c r="Q871" s="86"/>
      <x:c r="R871" s="86"/>
      <x:c r="S871" s="32"/>
    </x:row>
    <x:row r="872">
      <x:c r="A872" s="87"/>
      <x:c r="B872" s="88"/>
      <x:c r="D872" s="32"/>
      <x:c r="G872" s="74"/>
      <x:c r="H872" s="74"/>
      <x:c r="I872" s="74"/>
      <x:c r="J872" s="74"/>
      <x:c r="K872" s="74"/>
      <x:c r="L872" s="74"/>
      <x:c r="M872" s="91"/>
      <x:c r="N872" s="91"/>
      <x:c r="O872" s="85"/>
      <x:c r="Q872" s="86"/>
      <x:c r="R872" s="86"/>
      <x:c r="S872" s="32"/>
    </x:row>
    <x:row r="873">
      <x:c r="A873" s="87"/>
      <x:c r="B873" s="88"/>
      <x:c r="D873" s="32"/>
      <x:c r="G873" s="74"/>
      <x:c r="H873" s="74"/>
      <x:c r="I873" s="74"/>
      <x:c r="J873" s="74"/>
      <x:c r="K873" s="74"/>
      <x:c r="L873" s="74"/>
      <x:c r="M873" s="91"/>
      <x:c r="N873" s="91"/>
      <x:c r="O873" s="85"/>
      <x:c r="Q873" s="86"/>
      <x:c r="R873" s="86"/>
      <x:c r="S873" s="32"/>
    </x:row>
    <x:row r="874">
      <x:c r="A874" s="87"/>
      <x:c r="B874" s="88"/>
      <x:c r="D874" s="32"/>
      <x:c r="G874" s="74"/>
      <x:c r="H874" s="74"/>
      <x:c r="I874" s="74"/>
      <x:c r="J874" s="74"/>
      <x:c r="K874" s="74"/>
      <x:c r="L874" s="74"/>
      <x:c r="M874" s="91"/>
      <x:c r="N874" s="91"/>
      <x:c r="O874" s="85"/>
      <x:c r="Q874" s="86"/>
      <x:c r="R874" s="86"/>
      <x:c r="S874" s="32"/>
    </x:row>
    <x:row r="875">
      <x:c r="A875" s="87"/>
      <x:c r="B875" s="88"/>
      <x:c r="D875" s="32"/>
      <x:c r="G875" s="74"/>
      <x:c r="H875" s="74"/>
      <x:c r="I875" s="74"/>
      <x:c r="J875" s="74"/>
      <x:c r="K875" s="74"/>
      <x:c r="L875" s="74"/>
      <x:c r="M875" s="91"/>
      <x:c r="N875" s="91"/>
      <x:c r="O875" s="85"/>
      <x:c r="Q875" s="86"/>
      <x:c r="R875" s="86"/>
      <x:c r="S875" s="32"/>
    </x:row>
    <x:row r="876">
      <x:c r="A876" s="87"/>
      <x:c r="B876" s="88"/>
      <x:c r="D876" s="32"/>
      <x:c r="G876" s="74"/>
      <x:c r="H876" s="74"/>
      <x:c r="I876" s="74"/>
      <x:c r="J876" s="74"/>
      <x:c r="K876" s="74"/>
      <x:c r="L876" s="74"/>
      <x:c r="M876" s="91"/>
      <x:c r="N876" s="91"/>
      <x:c r="O876" s="85"/>
      <x:c r="Q876" s="86"/>
      <x:c r="R876" s="86"/>
      <x:c r="S876" s="32"/>
    </x:row>
    <x:row r="877">
      <x:c r="A877" s="87"/>
      <x:c r="B877" s="88"/>
      <x:c r="D877" s="32"/>
      <x:c r="G877" s="74"/>
      <x:c r="H877" s="74"/>
      <x:c r="I877" s="74"/>
      <x:c r="J877" s="74"/>
      <x:c r="K877" s="74"/>
      <x:c r="L877" s="74"/>
      <x:c r="M877" s="91"/>
      <x:c r="N877" s="91"/>
      <x:c r="O877" s="85"/>
      <x:c r="Q877" s="86"/>
      <x:c r="R877" s="86"/>
      <x:c r="S877" s="32"/>
    </x:row>
    <x:row r="878">
      <x:c r="A878" s="87"/>
      <x:c r="B878" s="88"/>
      <x:c r="D878" s="32"/>
      <x:c r="G878" s="74"/>
      <x:c r="H878" s="74"/>
      <x:c r="I878" s="74"/>
      <x:c r="J878" s="74"/>
      <x:c r="K878" s="74"/>
      <x:c r="L878" s="74"/>
      <x:c r="M878" s="91"/>
      <x:c r="N878" s="91"/>
      <x:c r="O878" s="85"/>
      <x:c r="Q878" s="86"/>
      <x:c r="R878" s="86"/>
      <x:c r="S878" s="32"/>
    </x:row>
    <x:row r="879">
      <x:c r="A879" s="87"/>
      <x:c r="B879" s="88"/>
      <x:c r="D879" s="32"/>
      <x:c r="G879" s="74"/>
      <x:c r="H879" s="74"/>
      <x:c r="I879" s="74"/>
      <x:c r="J879" s="74"/>
      <x:c r="K879" s="74"/>
      <x:c r="L879" s="74"/>
      <x:c r="M879" s="91"/>
      <x:c r="N879" s="91"/>
      <x:c r="O879" s="85"/>
      <x:c r="Q879" s="86"/>
      <x:c r="R879" s="86"/>
      <x:c r="S879" s="32"/>
    </x:row>
    <x:row r="880">
      <x:c r="A880" s="87"/>
      <x:c r="B880" s="88"/>
      <x:c r="D880" s="32"/>
      <x:c r="G880" s="74"/>
      <x:c r="H880" s="74"/>
      <x:c r="I880" s="74"/>
      <x:c r="J880" s="74"/>
      <x:c r="K880" s="74"/>
      <x:c r="L880" s="74"/>
      <x:c r="M880" s="91"/>
      <x:c r="N880" s="91"/>
      <x:c r="O880" s="85"/>
      <x:c r="Q880" s="86"/>
      <x:c r="R880" s="86"/>
      <x:c r="S880" s="32"/>
    </x:row>
    <x:row r="881">
      <x:c r="A881" s="87"/>
      <x:c r="B881" s="88"/>
      <x:c r="D881" s="32"/>
      <x:c r="G881" s="74"/>
      <x:c r="H881" s="74"/>
      <x:c r="I881" s="74"/>
      <x:c r="J881" s="74"/>
      <x:c r="K881" s="74"/>
      <x:c r="L881" s="74"/>
      <x:c r="M881" s="91"/>
      <x:c r="N881" s="91"/>
      <x:c r="O881" s="85"/>
      <x:c r="Q881" s="86"/>
      <x:c r="R881" s="86"/>
      <x:c r="S881" s="32"/>
    </x:row>
    <x:row r="882">
      <x:c r="A882" s="87"/>
      <x:c r="B882" s="88"/>
      <x:c r="D882" s="32"/>
      <x:c r="G882" s="74"/>
      <x:c r="H882" s="74"/>
      <x:c r="I882" s="74"/>
      <x:c r="J882" s="74"/>
      <x:c r="K882" s="74"/>
      <x:c r="L882" s="74"/>
      <x:c r="M882" s="91"/>
      <x:c r="N882" s="91"/>
      <x:c r="O882" s="85"/>
      <x:c r="Q882" s="86"/>
      <x:c r="R882" s="86"/>
      <x:c r="S882" s="32"/>
    </x:row>
    <x:row r="883">
      <x:c r="A883" s="87"/>
      <x:c r="B883" s="88"/>
      <x:c r="D883" s="32"/>
      <x:c r="G883" s="74"/>
      <x:c r="H883" s="74"/>
      <x:c r="I883" s="74"/>
      <x:c r="J883" s="74"/>
      <x:c r="K883" s="74"/>
      <x:c r="L883" s="74"/>
      <x:c r="M883" s="91"/>
      <x:c r="N883" s="91"/>
      <x:c r="O883" s="85"/>
      <x:c r="Q883" s="86"/>
      <x:c r="R883" s="86"/>
      <x:c r="S883" s="32"/>
    </x:row>
    <x:row r="884">
      <x:c r="A884" s="87"/>
      <x:c r="B884" s="88"/>
      <x:c r="D884" s="32"/>
      <x:c r="G884" s="74"/>
      <x:c r="H884" s="74"/>
      <x:c r="I884" s="74"/>
      <x:c r="J884" s="74"/>
      <x:c r="K884" s="74"/>
      <x:c r="L884" s="74"/>
      <x:c r="M884" s="91"/>
      <x:c r="N884" s="91"/>
      <x:c r="O884" s="85"/>
      <x:c r="Q884" s="86"/>
      <x:c r="R884" s="86"/>
      <x:c r="S884" s="32"/>
    </x:row>
    <x:row r="885">
      <x:c r="A885" s="87"/>
      <x:c r="B885" s="88"/>
      <x:c r="D885" s="32"/>
      <x:c r="G885" s="74"/>
      <x:c r="H885" s="74"/>
      <x:c r="I885" s="74"/>
      <x:c r="J885" s="74"/>
      <x:c r="K885" s="74"/>
      <x:c r="L885" s="74"/>
      <x:c r="M885" s="91"/>
      <x:c r="N885" s="91"/>
      <x:c r="O885" s="85"/>
      <x:c r="Q885" s="86"/>
      <x:c r="R885" s="86"/>
      <x:c r="S885" s="32"/>
    </x:row>
    <x:row r="886">
      <x:c r="A886" s="87"/>
      <x:c r="B886" s="88"/>
      <x:c r="D886" s="32"/>
      <x:c r="G886" s="74"/>
      <x:c r="H886" s="74"/>
      <x:c r="I886" s="74"/>
      <x:c r="J886" s="74"/>
      <x:c r="K886" s="74"/>
      <x:c r="L886" s="74"/>
      <x:c r="M886" s="91"/>
      <x:c r="N886" s="91"/>
      <x:c r="O886" s="85"/>
      <x:c r="Q886" s="86"/>
      <x:c r="R886" s="86"/>
      <x:c r="S886" s="32"/>
    </x:row>
    <x:row r="887">
      <x:c r="A887" s="87"/>
      <x:c r="B887" s="88"/>
      <x:c r="D887" s="32"/>
      <x:c r="G887" s="74"/>
      <x:c r="H887" s="74"/>
      <x:c r="I887" s="74"/>
      <x:c r="J887" s="74"/>
      <x:c r="K887" s="74"/>
      <x:c r="L887" s="74"/>
      <x:c r="M887" s="91"/>
      <x:c r="N887" s="91"/>
      <x:c r="O887" s="85"/>
      <x:c r="Q887" s="86"/>
      <x:c r="R887" s="86"/>
      <x:c r="S887" s="32"/>
    </x:row>
    <x:row r="888">
      <x:c r="A888" s="87"/>
      <x:c r="B888" s="88"/>
      <x:c r="D888" s="32"/>
      <x:c r="G888" s="74"/>
      <x:c r="H888" s="74"/>
      <x:c r="I888" s="74"/>
      <x:c r="J888" s="74"/>
      <x:c r="K888" s="74"/>
      <x:c r="L888" s="74"/>
      <x:c r="M888" s="91"/>
      <x:c r="N888" s="91"/>
      <x:c r="O888" s="85"/>
      <x:c r="Q888" s="86"/>
      <x:c r="R888" s="86"/>
      <x:c r="S888" s="32"/>
    </x:row>
    <x:row r="889">
      <x:c r="A889" s="87"/>
      <x:c r="B889" s="88"/>
      <x:c r="D889" s="32"/>
      <x:c r="G889" s="74"/>
      <x:c r="H889" s="74"/>
      <x:c r="I889" s="74"/>
      <x:c r="J889" s="74"/>
      <x:c r="K889" s="74"/>
      <x:c r="L889" s="74"/>
      <x:c r="M889" s="91"/>
      <x:c r="N889" s="91"/>
      <x:c r="O889" s="85"/>
      <x:c r="Q889" s="86"/>
      <x:c r="R889" s="86"/>
      <x:c r="S889" s="32"/>
    </x:row>
    <x:row r="890">
      <x:c r="A890" s="87"/>
      <x:c r="B890" s="88"/>
      <x:c r="D890" s="32"/>
      <x:c r="G890" s="74"/>
      <x:c r="H890" s="74"/>
      <x:c r="I890" s="74"/>
      <x:c r="J890" s="74"/>
      <x:c r="K890" s="74"/>
      <x:c r="L890" s="74"/>
      <x:c r="M890" s="91"/>
      <x:c r="N890" s="91"/>
      <x:c r="O890" s="85"/>
      <x:c r="Q890" s="86"/>
      <x:c r="R890" s="86"/>
      <x:c r="S890" s="32"/>
    </x:row>
    <x:row r="891">
      <x:c r="A891" s="87"/>
      <x:c r="B891" s="88"/>
      <x:c r="D891" s="32"/>
      <x:c r="G891" s="74"/>
      <x:c r="H891" s="74"/>
      <x:c r="I891" s="74"/>
      <x:c r="J891" s="74"/>
      <x:c r="K891" s="74"/>
      <x:c r="L891" s="74"/>
      <x:c r="M891" s="91"/>
      <x:c r="N891" s="91"/>
      <x:c r="O891" s="85"/>
      <x:c r="Q891" s="86"/>
      <x:c r="R891" s="86"/>
      <x:c r="S891" s="32"/>
    </x:row>
    <x:row r="892">
      <x:c r="A892" s="87"/>
      <x:c r="B892" s="88"/>
      <x:c r="D892" s="32"/>
      <x:c r="G892" s="74"/>
      <x:c r="H892" s="74"/>
      <x:c r="I892" s="74"/>
      <x:c r="J892" s="74"/>
      <x:c r="K892" s="74"/>
      <x:c r="L892" s="74"/>
      <x:c r="M892" s="91"/>
      <x:c r="N892" s="91"/>
      <x:c r="O892" s="85"/>
      <x:c r="Q892" s="86"/>
      <x:c r="R892" s="86"/>
      <x:c r="S892" s="32"/>
    </x:row>
    <x:row r="893">
      <x:c r="A893" s="87"/>
      <x:c r="B893" s="88"/>
      <x:c r="D893" s="32"/>
      <x:c r="G893" s="74"/>
      <x:c r="H893" s="74"/>
      <x:c r="I893" s="74"/>
      <x:c r="J893" s="74"/>
      <x:c r="K893" s="74"/>
      <x:c r="L893" s="74"/>
      <x:c r="M893" s="91"/>
      <x:c r="N893" s="91"/>
      <x:c r="O893" s="85"/>
      <x:c r="Q893" s="86"/>
      <x:c r="R893" s="86"/>
      <x:c r="S893" s="32"/>
    </x:row>
    <x:row r="894">
      <x:c r="A894" s="87"/>
      <x:c r="B894" s="88"/>
      <x:c r="D894" s="32"/>
      <x:c r="G894" s="74"/>
      <x:c r="H894" s="74"/>
      <x:c r="I894" s="74"/>
      <x:c r="J894" s="74"/>
      <x:c r="K894" s="74"/>
      <x:c r="L894" s="74"/>
      <x:c r="M894" s="91"/>
      <x:c r="N894" s="91"/>
      <x:c r="O894" s="85"/>
      <x:c r="Q894" s="86"/>
      <x:c r="R894" s="86"/>
      <x:c r="S894" s="32"/>
    </x:row>
    <x:row r="895">
      <x:c r="A895" s="87"/>
      <x:c r="B895" s="88"/>
      <x:c r="D895" s="32"/>
      <x:c r="G895" s="74"/>
      <x:c r="H895" s="74"/>
      <x:c r="I895" s="74"/>
      <x:c r="J895" s="74"/>
      <x:c r="K895" s="74"/>
      <x:c r="L895" s="74"/>
      <x:c r="M895" s="91"/>
      <x:c r="N895" s="91"/>
      <x:c r="O895" s="85"/>
      <x:c r="Q895" s="86"/>
      <x:c r="R895" s="86"/>
      <x:c r="S895" s="32"/>
    </x:row>
    <x:row r="896">
      <x:c r="A896" s="87"/>
      <x:c r="B896" s="88"/>
      <x:c r="D896" s="32"/>
      <x:c r="G896" s="74"/>
      <x:c r="H896" s="74"/>
      <x:c r="I896" s="74"/>
      <x:c r="J896" s="74"/>
      <x:c r="K896" s="74"/>
      <x:c r="L896" s="74"/>
      <x:c r="M896" s="91"/>
      <x:c r="N896" s="91"/>
      <x:c r="O896" s="85"/>
      <x:c r="Q896" s="86"/>
      <x:c r="R896" s="86"/>
      <x:c r="S896" s="32"/>
    </x:row>
    <x:row r="897">
      <x:c r="A897" s="87"/>
      <x:c r="B897" s="88"/>
      <x:c r="D897" s="32"/>
      <x:c r="G897" s="74"/>
      <x:c r="H897" s="74"/>
      <x:c r="I897" s="74"/>
      <x:c r="J897" s="74"/>
      <x:c r="K897" s="74"/>
      <x:c r="L897" s="74"/>
      <x:c r="M897" s="91"/>
      <x:c r="N897" s="91"/>
      <x:c r="O897" s="85"/>
      <x:c r="Q897" s="86"/>
      <x:c r="R897" s="86"/>
      <x:c r="S897" s="32"/>
    </x:row>
    <x:row r="898">
      <x:c r="A898" s="87"/>
      <x:c r="B898" s="88"/>
      <x:c r="D898" s="32"/>
      <x:c r="G898" s="74"/>
      <x:c r="H898" s="74"/>
      <x:c r="I898" s="74"/>
      <x:c r="J898" s="74"/>
      <x:c r="K898" s="74"/>
      <x:c r="L898" s="74"/>
      <x:c r="M898" s="91"/>
      <x:c r="N898" s="91"/>
      <x:c r="O898" s="85"/>
      <x:c r="Q898" s="86"/>
      <x:c r="R898" s="86"/>
      <x:c r="S898" s="32"/>
    </x:row>
    <x:row r="899">
      <x:c r="A899" s="87"/>
      <x:c r="B899" s="88"/>
      <x:c r="D899" s="32"/>
      <x:c r="G899" s="74"/>
      <x:c r="H899" s="74"/>
      <x:c r="I899" s="74"/>
      <x:c r="J899" s="74"/>
      <x:c r="K899" s="74"/>
      <x:c r="L899" s="74"/>
      <x:c r="M899" s="91"/>
      <x:c r="N899" s="91"/>
      <x:c r="O899" s="85"/>
      <x:c r="Q899" s="86"/>
      <x:c r="R899" s="86"/>
      <x:c r="S899" s="32"/>
    </x:row>
    <x:row r="900">
      <x:c r="A900" s="87"/>
      <x:c r="B900" s="88"/>
      <x:c r="D900" s="32"/>
      <x:c r="G900" s="74"/>
      <x:c r="H900" s="74"/>
      <x:c r="I900" s="74"/>
      <x:c r="J900" s="74"/>
      <x:c r="K900" s="74"/>
      <x:c r="L900" s="74"/>
      <x:c r="M900" s="91"/>
      <x:c r="N900" s="91"/>
      <x:c r="O900" s="85"/>
      <x:c r="Q900" s="86"/>
      <x:c r="R900" s="86"/>
      <x:c r="S900" s="32"/>
    </x:row>
    <x:row r="901">
      <x:c r="A901" s="87"/>
      <x:c r="B901" s="88"/>
      <x:c r="D901" s="32"/>
      <x:c r="G901" s="74"/>
      <x:c r="H901" s="74"/>
      <x:c r="I901" s="74"/>
      <x:c r="J901" s="74"/>
      <x:c r="K901" s="74"/>
      <x:c r="L901" s="74"/>
      <x:c r="M901" s="91"/>
      <x:c r="N901" s="91"/>
      <x:c r="O901" s="85"/>
      <x:c r="Q901" s="86"/>
      <x:c r="R901" s="86"/>
      <x:c r="S901" s="32"/>
    </x:row>
    <x:row r="902">
      <x:c r="A902" s="87"/>
      <x:c r="B902" s="88"/>
      <x:c r="D902" s="32"/>
      <x:c r="G902" s="74"/>
      <x:c r="H902" s="74"/>
      <x:c r="I902" s="74"/>
      <x:c r="J902" s="74"/>
      <x:c r="K902" s="74"/>
      <x:c r="L902" s="74"/>
      <x:c r="M902" s="91"/>
      <x:c r="N902" s="91"/>
      <x:c r="O902" s="85"/>
      <x:c r="Q902" s="86"/>
      <x:c r="R902" s="86"/>
      <x:c r="S902" s="32"/>
    </x:row>
    <x:row r="903">
      <x:c r="A903" s="87"/>
      <x:c r="B903" s="88"/>
      <x:c r="D903" s="32"/>
      <x:c r="G903" s="74"/>
      <x:c r="H903" s="74"/>
      <x:c r="I903" s="74"/>
      <x:c r="J903" s="74"/>
      <x:c r="K903" s="74"/>
      <x:c r="L903" s="74"/>
      <x:c r="M903" s="91"/>
      <x:c r="N903" s="91"/>
      <x:c r="O903" s="85"/>
      <x:c r="Q903" s="86"/>
      <x:c r="R903" s="86"/>
      <x:c r="S903" s="32"/>
    </x:row>
    <x:row r="904">
      <x:c r="A904" s="87"/>
      <x:c r="B904" s="88"/>
      <x:c r="D904" s="32"/>
      <x:c r="G904" s="74"/>
      <x:c r="H904" s="74"/>
      <x:c r="I904" s="74"/>
      <x:c r="J904" s="74"/>
      <x:c r="K904" s="74"/>
      <x:c r="L904" s="74"/>
      <x:c r="M904" s="91"/>
      <x:c r="N904" s="91"/>
      <x:c r="O904" s="85"/>
      <x:c r="Q904" s="86"/>
      <x:c r="R904" s="86"/>
      <x:c r="S904" s="32"/>
    </x:row>
    <x:row r="905">
      <x:c r="A905" s="87"/>
      <x:c r="B905" s="88"/>
      <x:c r="D905" s="32"/>
      <x:c r="G905" s="74"/>
      <x:c r="H905" s="74"/>
      <x:c r="I905" s="74"/>
      <x:c r="J905" s="74"/>
      <x:c r="K905" s="74"/>
      <x:c r="L905" s="74"/>
      <x:c r="M905" s="91"/>
      <x:c r="N905" s="91"/>
      <x:c r="O905" s="85"/>
      <x:c r="Q905" s="86"/>
      <x:c r="R905" s="86"/>
      <x:c r="S905" s="32"/>
    </x:row>
    <x:row r="906">
      <x:c r="A906" s="87"/>
      <x:c r="B906" s="88"/>
      <x:c r="D906" s="32"/>
      <x:c r="G906" s="74"/>
      <x:c r="H906" s="74"/>
      <x:c r="I906" s="74"/>
      <x:c r="J906" s="74"/>
      <x:c r="K906" s="74"/>
      <x:c r="L906" s="74"/>
      <x:c r="M906" s="91"/>
      <x:c r="N906" s="91"/>
      <x:c r="O906" s="85"/>
      <x:c r="Q906" s="86"/>
      <x:c r="R906" s="86"/>
      <x:c r="S906" s="32"/>
    </x:row>
    <x:row r="907">
      <x:c r="A907" s="87"/>
      <x:c r="B907" s="88"/>
      <x:c r="D907" s="32"/>
      <x:c r="G907" s="74"/>
      <x:c r="H907" s="74"/>
      <x:c r="I907" s="74"/>
      <x:c r="J907" s="74"/>
      <x:c r="K907" s="74"/>
      <x:c r="L907" s="74"/>
      <x:c r="M907" s="91"/>
      <x:c r="N907" s="91"/>
      <x:c r="O907" s="85"/>
      <x:c r="Q907" s="86"/>
      <x:c r="R907" s="86"/>
      <x:c r="S907" s="32"/>
    </x:row>
    <x:row r="908">
      <x:c r="A908" s="87"/>
      <x:c r="B908" s="88"/>
      <x:c r="D908" s="32"/>
      <x:c r="G908" s="74"/>
      <x:c r="H908" s="74"/>
      <x:c r="I908" s="74"/>
      <x:c r="J908" s="74"/>
      <x:c r="K908" s="74"/>
      <x:c r="L908" s="74"/>
      <x:c r="M908" s="91"/>
      <x:c r="N908" s="91"/>
      <x:c r="O908" s="85"/>
      <x:c r="Q908" s="86"/>
      <x:c r="R908" s="86"/>
      <x:c r="S908" s="32"/>
    </x:row>
    <x:row r="909">
      <x:c r="A909" s="87"/>
      <x:c r="B909" s="88"/>
      <x:c r="D909" s="32"/>
      <x:c r="G909" s="74"/>
      <x:c r="H909" s="74"/>
      <x:c r="I909" s="74"/>
      <x:c r="J909" s="74"/>
      <x:c r="K909" s="74"/>
      <x:c r="L909" s="74"/>
      <x:c r="M909" s="91"/>
      <x:c r="N909" s="91"/>
      <x:c r="O909" s="85"/>
      <x:c r="Q909" s="86"/>
      <x:c r="R909" s="86"/>
      <x:c r="S909" s="32"/>
    </x:row>
    <x:row r="910">
      <x:c r="A910" s="87"/>
      <x:c r="B910" s="88"/>
      <x:c r="D910" s="32"/>
      <x:c r="G910" s="74"/>
      <x:c r="H910" s="74"/>
      <x:c r="I910" s="74"/>
      <x:c r="J910" s="74"/>
      <x:c r="K910" s="74"/>
      <x:c r="L910" s="74"/>
      <x:c r="M910" s="91"/>
      <x:c r="N910" s="91"/>
      <x:c r="O910" s="85"/>
      <x:c r="Q910" s="86"/>
      <x:c r="R910" s="86"/>
      <x:c r="S910" s="32"/>
    </x:row>
    <x:row r="911">
      <x:c r="A911" s="87"/>
      <x:c r="B911" s="88"/>
      <x:c r="D911" s="32"/>
      <x:c r="G911" s="74"/>
      <x:c r="H911" s="74"/>
      <x:c r="I911" s="74"/>
      <x:c r="J911" s="74"/>
      <x:c r="K911" s="74"/>
      <x:c r="L911" s="74"/>
      <x:c r="M911" s="91"/>
      <x:c r="N911" s="91"/>
      <x:c r="O911" s="85"/>
      <x:c r="Q911" s="86"/>
      <x:c r="R911" s="86"/>
      <x:c r="S911" s="32"/>
    </x:row>
    <x:row r="912">
      <x:c r="A912" s="87"/>
      <x:c r="B912" s="88"/>
      <x:c r="D912" s="32"/>
      <x:c r="G912" s="74"/>
      <x:c r="H912" s="74"/>
      <x:c r="I912" s="74"/>
      <x:c r="J912" s="74"/>
      <x:c r="K912" s="74"/>
      <x:c r="L912" s="74"/>
      <x:c r="M912" s="91"/>
      <x:c r="N912" s="91"/>
      <x:c r="O912" s="85"/>
      <x:c r="Q912" s="86"/>
      <x:c r="R912" s="86"/>
      <x:c r="S912" s="32"/>
    </x:row>
    <x:row r="913">
      <x:c r="A913" s="87"/>
      <x:c r="B913" s="88"/>
      <x:c r="D913" s="32"/>
      <x:c r="G913" s="74"/>
      <x:c r="H913" s="74"/>
      <x:c r="I913" s="74"/>
      <x:c r="J913" s="74"/>
      <x:c r="K913" s="74"/>
      <x:c r="L913" s="74"/>
      <x:c r="M913" s="91"/>
      <x:c r="N913" s="91"/>
      <x:c r="O913" s="85"/>
      <x:c r="Q913" s="86"/>
      <x:c r="R913" s="86"/>
      <x:c r="S913" s="32"/>
    </x:row>
    <x:row r="914">
      <x:c r="A914" s="87"/>
      <x:c r="B914" s="88"/>
      <x:c r="D914" s="32"/>
      <x:c r="G914" s="74"/>
      <x:c r="H914" s="74"/>
      <x:c r="I914" s="74"/>
      <x:c r="J914" s="74"/>
      <x:c r="K914" s="74"/>
      <x:c r="L914" s="74"/>
      <x:c r="M914" s="91"/>
      <x:c r="N914" s="91"/>
      <x:c r="O914" s="85"/>
      <x:c r="Q914" s="86"/>
      <x:c r="R914" s="86"/>
      <x:c r="S914" s="32"/>
    </x:row>
    <x:row r="915">
      <x:c r="A915" s="87"/>
      <x:c r="B915" s="88"/>
      <x:c r="D915" s="32"/>
      <x:c r="G915" s="74"/>
      <x:c r="H915" s="74"/>
      <x:c r="I915" s="74"/>
      <x:c r="J915" s="74"/>
      <x:c r="K915" s="74"/>
      <x:c r="L915" s="74"/>
      <x:c r="M915" s="91"/>
      <x:c r="N915" s="91"/>
      <x:c r="O915" s="85"/>
      <x:c r="Q915" s="86"/>
      <x:c r="R915" s="86"/>
      <x:c r="S915" s="32"/>
    </x:row>
    <x:row r="916">
      <x:c r="A916" s="87"/>
      <x:c r="B916" s="88"/>
      <x:c r="D916" s="32"/>
      <x:c r="G916" s="74"/>
      <x:c r="H916" s="74"/>
      <x:c r="I916" s="74"/>
      <x:c r="J916" s="74"/>
      <x:c r="K916" s="74"/>
      <x:c r="L916" s="74"/>
      <x:c r="M916" s="91"/>
      <x:c r="N916" s="91"/>
      <x:c r="O916" s="85"/>
      <x:c r="Q916" s="86"/>
      <x:c r="R916" s="86"/>
      <x:c r="S916" s="32"/>
    </x:row>
    <x:row r="917">
      <x:c r="A917" s="87"/>
      <x:c r="B917" s="88"/>
      <x:c r="D917" s="32"/>
      <x:c r="G917" s="74"/>
      <x:c r="H917" s="74"/>
      <x:c r="I917" s="74"/>
      <x:c r="J917" s="74"/>
      <x:c r="K917" s="74"/>
      <x:c r="L917" s="74"/>
      <x:c r="M917" s="91"/>
      <x:c r="N917" s="91"/>
      <x:c r="O917" s="85"/>
      <x:c r="Q917" s="86"/>
      <x:c r="R917" s="86"/>
      <x:c r="S917" s="32"/>
    </x:row>
    <x:row r="918">
      <x:c r="A918" s="87"/>
      <x:c r="B918" s="88"/>
      <x:c r="D918" s="32"/>
      <x:c r="G918" s="74"/>
      <x:c r="H918" s="74"/>
      <x:c r="I918" s="74"/>
      <x:c r="J918" s="74"/>
      <x:c r="K918" s="74"/>
      <x:c r="L918" s="74"/>
      <x:c r="M918" s="91"/>
      <x:c r="N918" s="91"/>
      <x:c r="O918" s="85"/>
      <x:c r="Q918" s="86"/>
      <x:c r="R918" s="86"/>
      <x:c r="S918" s="32"/>
    </x:row>
    <x:row r="919">
      <x:c r="A919" s="87"/>
      <x:c r="B919" s="88"/>
      <x:c r="D919" s="32"/>
      <x:c r="G919" s="74"/>
      <x:c r="H919" s="74"/>
      <x:c r="I919" s="74"/>
      <x:c r="J919" s="74"/>
      <x:c r="K919" s="74"/>
      <x:c r="L919" s="74"/>
      <x:c r="M919" s="91"/>
      <x:c r="N919" s="91"/>
      <x:c r="O919" s="85"/>
      <x:c r="Q919" s="86"/>
      <x:c r="R919" s="86"/>
      <x:c r="S919" s="32"/>
    </x:row>
    <x:row r="920">
      <x:c r="A920" s="87"/>
      <x:c r="B920" s="88"/>
      <x:c r="D920" s="32"/>
      <x:c r="G920" s="74"/>
      <x:c r="H920" s="74"/>
      <x:c r="I920" s="74"/>
      <x:c r="J920" s="74"/>
      <x:c r="K920" s="74"/>
      <x:c r="L920" s="74"/>
      <x:c r="M920" s="91"/>
      <x:c r="N920" s="91"/>
      <x:c r="O920" s="85"/>
      <x:c r="Q920" s="86"/>
      <x:c r="R920" s="86"/>
      <x:c r="S920" s="32"/>
    </x:row>
    <x:row r="921">
      <x:c r="A921" s="87"/>
      <x:c r="B921" s="88"/>
      <x:c r="D921" s="32"/>
      <x:c r="G921" s="74"/>
      <x:c r="H921" s="74"/>
      <x:c r="I921" s="74"/>
      <x:c r="J921" s="74"/>
      <x:c r="K921" s="74"/>
      <x:c r="L921" s="74"/>
      <x:c r="M921" s="91"/>
      <x:c r="N921" s="91"/>
      <x:c r="O921" s="85"/>
      <x:c r="Q921" s="86"/>
      <x:c r="R921" s="86"/>
      <x:c r="S921" s="32"/>
    </x:row>
    <x:row r="922">
      <x:c r="A922" s="87"/>
      <x:c r="B922" s="88"/>
      <x:c r="D922" s="32"/>
      <x:c r="G922" s="74"/>
      <x:c r="H922" s="74"/>
      <x:c r="I922" s="74"/>
      <x:c r="J922" s="74"/>
      <x:c r="K922" s="74"/>
      <x:c r="L922" s="74"/>
      <x:c r="M922" s="91"/>
      <x:c r="N922" s="91"/>
      <x:c r="O922" s="85"/>
      <x:c r="Q922" s="86"/>
      <x:c r="R922" s="86"/>
      <x:c r="S922" s="32"/>
    </x:row>
    <x:row r="923">
      <x:c r="A923" s="87"/>
      <x:c r="B923" s="88"/>
      <x:c r="D923" s="32"/>
      <x:c r="G923" s="74"/>
      <x:c r="H923" s="74"/>
      <x:c r="I923" s="74"/>
      <x:c r="J923" s="74"/>
      <x:c r="K923" s="74"/>
      <x:c r="L923" s="74"/>
      <x:c r="M923" s="91"/>
      <x:c r="N923" s="91"/>
      <x:c r="O923" s="85"/>
      <x:c r="Q923" s="86"/>
      <x:c r="R923" s="86"/>
      <x:c r="S923" s="32"/>
    </x:row>
    <x:row r="924">
      <x:c r="A924" s="87"/>
      <x:c r="B924" s="88"/>
      <x:c r="D924" s="32"/>
      <x:c r="G924" s="74"/>
      <x:c r="H924" s="74"/>
      <x:c r="I924" s="74"/>
      <x:c r="J924" s="74"/>
      <x:c r="K924" s="74"/>
      <x:c r="L924" s="74"/>
      <x:c r="M924" s="91"/>
      <x:c r="N924" s="91"/>
      <x:c r="O924" s="85"/>
      <x:c r="Q924" s="86"/>
      <x:c r="R924" s="86"/>
      <x:c r="S924" s="32"/>
    </x:row>
    <x:row r="925">
      <x:c r="A925" s="87"/>
      <x:c r="B925" s="88"/>
      <x:c r="D925" s="32"/>
      <x:c r="G925" s="74"/>
      <x:c r="H925" s="74"/>
      <x:c r="I925" s="74"/>
      <x:c r="J925" s="74"/>
      <x:c r="K925" s="74"/>
      <x:c r="L925" s="74"/>
      <x:c r="M925" s="91"/>
      <x:c r="N925" s="91"/>
      <x:c r="O925" s="85"/>
      <x:c r="Q925" s="86"/>
      <x:c r="R925" s="86"/>
      <x:c r="S925" s="32"/>
    </x:row>
    <x:row r="926">
      <x:c r="A926" s="87"/>
      <x:c r="B926" s="88"/>
      <x:c r="D926" s="32"/>
      <x:c r="G926" s="74"/>
      <x:c r="H926" s="74"/>
      <x:c r="I926" s="74"/>
      <x:c r="J926" s="74"/>
      <x:c r="K926" s="74"/>
      <x:c r="L926" s="74"/>
      <x:c r="M926" s="91"/>
      <x:c r="N926" s="91"/>
      <x:c r="O926" s="85"/>
      <x:c r="Q926" s="86"/>
      <x:c r="R926" s="86"/>
      <x:c r="S926" s="32"/>
    </x:row>
    <x:row r="927">
      <x:c r="A927" s="87"/>
      <x:c r="B927" s="88"/>
      <x:c r="D927" s="32"/>
      <x:c r="G927" s="74"/>
      <x:c r="H927" s="74"/>
      <x:c r="I927" s="74"/>
      <x:c r="J927" s="74"/>
      <x:c r="K927" s="74"/>
      <x:c r="L927" s="74"/>
      <x:c r="M927" s="91"/>
      <x:c r="N927" s="91"/>
      <x:c r="O927" s="85"/>
      <x:c r="Q927" s="86"/>
      <x:c r="R927" s="86"/>
      <x:c r="S927" s="32"/>
    </x:row>
    <x:row r="928">
      <x:c r="A928" s="87"/>
      <x:c r="B928" s="88"/>
      <x:c r="D928" s="32"/>
      <x:c r="G928" s="74"/>
      <x:c r="H928" s="74"/>
      <x:c r="I928" s="74"/>
      <x:c r="J928" s="74"/>
      <x:c r="K928" s="74"/>
      <x:c r="L928" s="74"/>
      <x:c r="M928" s="91"/>
      <x:c r="N928" s="91"/>
      <x:c r="O928" s="85"/>
      <x:c r="Q928" s="86"/>
      <x:c r="R928" s="86"/>
      <x:c r="S928" s="32"/>
    </x:row>
    <x:row r="929">
      <x:c r="A929" s="87"/>
      <x:c r="B929" s="88"/>
      <x:c r="D929" s="32"/>
      <x:c r="G929" s="74"/>
      <x:c r="H929" s="74"/>
      <x:c r="I929" s="74"/>
      <x:c r="J929" s="74"/>
      <x:c r="K929" s="74"/>
      <x:c r="L929" s="74"/>
      <x:c r="M929" s="91"/>
      <x:c r="N929" s="91"/>
      <x:c r="O929" s="85"/>
      <x:c r="Q929" s="86"/>
      <x:c r="R929" s="86"/>
      <x:c r="S929" s="32"/>
    </x:row>
    <x:row r="930">
      <x:c r="A930" s="87"/>
      <x:c r="B930" s="88"/>
      <x:c r="D930" s="32"/>
      <x:c r="G930" s="74"/>
      <x:c r="H930" s="74"/>
      <x:c r="I930" s="74"/>
      <x:c r="J930" s="74"/>
      <x:c r="K930" s="74"/>
      <x:c r="L930" s="74"/>
      <x:c r="M930" s="91"/>
      <x:c r="N930" s="91"/>
      <x:c r="O930" s="85"/>
      <x:c r="Q930" s="86"/>
      <x:c r="R930" s="86"/>
      <x:c r="S930" s="32"/>
    </x:row>
    <x:row r="931">
      <x:c r="A931" s="87"/>
      <x:c r="B931" s="88"/>
      <x:c r="D931" s="32"/>
      <x:c r="G931" s="74"/>
      <x:c r="H931" s="74"/>
      <x:c r="I931" s="74"/>
      <x:c r="J931" s="74"/>
      <x:c r="K931" s="74"/>
      <x:c r="L931" s="74"/>
      <x:c r="M931" s="91"/>
      <x:c r="N931" s="91"/>
      <x:c r="O931" s="85"/>
      <x:c r="Q931" s="86"/>
      <x:c r="R931" s="86"/>
      <x:c r="S931" s="32"/>
    </x:row>
    <x:row r="932">
      <x:c r="A932" s="87"/>
      <x:c r="B932" s="88"/>
      <x:c r="D932" s="32"/>
      <x:c r="G932" s="74"/>
      <x:c r="H932" s="74"/>
      <x:c r="I932" s="74"/>
      <x:c r="J932" s="74"/>
      <x:c r="K932" s="74"/>
      <x:c r="L932" s="74"/>
      <x:c r="M932" s="91"/>
      <x:c r="N932" s="91"/>
      <x:c r="O932" s="85"/>
      <x:c r="Q932" s="86"/>
      <x:c r="R932" s="86"/>
      <x:c r="S932" s="32"/>
    </x:row>
    <x:row r="933">
      <x:c r="A933" s="87"/>
      <x:c r="B933" s="88"/>
      <x:c r="D933" s="32"/>
      <x:c r="G933" s="74"/>
      <x:c r="H933" s="74"/>
      <x:c r="I933" s="74"/>
      <x:c r="J933" s="74"/>
      <x:c r="K933" s="74"/>
      <x:c r="L933" s="74"/>
      <x:c r="M933" s="91"/>
      <x:c r="N933" s="91"/>
      <x:c r="O933" s="85"/>
      <x:c r="Q933" s="86"/>
      <x:c r="R933" s="86"/>
      <x:c r="S933" s="32"/>
    </x:row>
    <x:row r="934">
      <x:c r="A934" s="87"/>
      <x:c r="B934" s="88"/>
      <x:c r="D934" s="32"/>
      <x:c r="G934" s="74"/>
      <x:c r="H934" s="74"/>
      <x:c r="I934" s="74"/>
      <x:c r="J934" s="74"/>
      <x:c r="K934" s="74"/>
      <x:c r="L934" s="74"/>
      <x:c r="M934" s="91"/>
      <x:c r="N934" s="91"/>
      <x:c r="O934" s="85"/>
      <x:c r="Q934" s="86"/>
      <x:c r="R934" s="86"/>
      <x:c r="S934" s="32"/>
    </x:row>
    <x:row r="935">
      <x:c r="A935" s="87"/>
      <x:c r="B935" s="88"/>
      <x:c r="D935" s="32"/>
      <x:c r="G935" s="74"/>
      <x:c r="H935" s="74"/>
      <x:c r="I935" s="74"/>
      <x:c r="J935" s="74"/>
      <x:c r="K935" s="74"/>
      <x:c r="L935" s="74"/>
      <x:c r="M935" s="91"/>
      <x:c r="N935" s="91"/>
      <x:c r="O935" s="85"/>
      <x:c r="Q935" s="86"/>
      <x:c r="R935" s="86"/>
      <x:c r="S935" s="32"/>
    </x:row>
    <x:row r="936">
      <x:c r="A936" s="87"/>
      <x:c r="B936" s="88"/>
      <x:c r="D936" s="32"/>
      <x:c r="G936" s="74"/>
      <x:c r="H936" s="74"/>
      <x:c r="I936" s="74"/>
      <x:c r="J936" s="74"/>
      <x:c r="K936" s="74"/>
      <x:c r="L936" s="74"/>
      <x:c r="M936" s="91"/>
      <x:c r="N936" s="91"/>
      <x:c r="O936" s="85"/>
      <x:c r="Q936" s="86"/>
      <x:c r="R936" s="86"/>
      <x:c r="S936" s="32"/>
    </x:row>
    <x:row r="937">
      <x:c r="A937" s="87"/>
      <x:c r="B937" s="88"/>
      <x:c r="D937" s="32"/>
      <x:c r="G937" s="74"/>
      <x:c r="H937" s="74"/>
      <x:c r="I937" s="74"/>
      <x:c r="J937" s="74"/>
      <x:c r="K937" s="74"/>
      <x:c r="L937" s="74"/>
      <x:c r="M937" s="91"/>
      <x:c r="N937" s="91"/>
      <x:c r="O937" s="85"/>
      <x:c r="Q937" s="86"/>
      <x:c r="R937" s="86"/>
      <x:c r="S937" s="32"/>
    </x:row>
    <x:row r="938">
      <x:c r="A938" s="87"/>
      <x:c r="B938" s="88"/>
      <x:c r="D938" s="32"/>
      <x:c r="G938" s="74"/>
      <x:c r="H938" s="74"/>
      <x:c r="I938" s="74"/>
      <x:c r="J938" s="74"/>
      <x:c r="K938" s="74"/>
      <x:c r="L938" s="74"/>
      <x:c r="M938" s="91"/>
      <x:c r="N938" s="91"/>
      <x:c r="O938" s="85"/>
      <x:c r="Q938" s="86"/>
      <x:c r="R938" s="86"/>
      <x:c r="S938" s="32"/>
    </x:row>
    <x:row r="939">
      <x:c r="A939" s="87"/>
      <x:c r="B939" s="88"/>
      <x:c r="D939" s="32"/>
      <x:c r="G939" s="74"/>
      <x:c r="H939" s="74"/>
      <x:c r="I939" s="74"/>
      <x:c r="J939" s="74"/>
      <x:c r="K939" s="74"/>
      <x:c r="L939" s="74"/>
      <x:c r="M939" s="91"/>
      <x:c r="N939" s="91"/>
      <x:c r="O939" s="85"/>
      <x:c r="Q939" s="86"/>
      <x:c r="R939" s="86"/>
      <x:c r="S939" s="32"/>
    </x:row>
    <x:row r="940">
      <x:c r="A940" s="87"/>
      <x:c r="B940" s="88"/>
      <x:c r="D940" s="32"/>
      <x:c r="G940" s="74"/>
      <x:c r="H940" s="74"/>
      <x:c r="I940" s="74"/>
      <x:c r="J940" s="74"/>
      <x:c r="K940" s="74"/>
      <x:c r="L940" s="74"/>
      <x:c r="M940" s="91"/>
      <x:c r="N940" s="91"/>
      <x:c r="O940" s="85"/>
      <x:c r="Q940" s="86"/>
      <x:c r="R940" s="86"/>
      <x:c r="S940" s="32"/>
    </x:row>
    <x:row r="941">
      <x:c r="A941" s="87"/>
      <x:c r="B941" s="88"/>
      <x:c r="D941" s="32"/>
      <x:c r="G941" s="74"/>
      <x:c r="H941" s="74"/>
      <x:c r="I941" s="74"/>
      <x:c r="J941" s="74"/>
      <x:c r="K941" s="74"/>
      <x:c r="L941" s="74"/>
      <x:c r="M941" s="91"/>
      <x:c r="N941" s="91"/>
      <x:c r="O941" s="85"/>
      <x:c r="Q941" s="86"/>
      <x:c r="R941" s="86"/>
      <x:c r="S941" s="32"/>
    </x:row>
    <x:row r="942">
      <x:c r="A942" s="87"/>
      <x:c r="B942" s="88"/>
      <x:c r="D942" s="32"/>
      <x:c r="G942" s="74"/>
      <x:c r="H942" s="74"/>
      <x:c r="I942" s="74"/>
      <x:c r="J942" s="74"/>
      <x:c r="K942" s="74"/>
      <x:c r="L942" s="74"/>
      <x:c r="M942" s="91"/>
      <x:c r="N942" s="91"/>
      <x:c r="O942" s="85"/>
      <x:c r="Q942" s="86"/>
      <x:c r="R942" s="86"/>
      <x:c r="S942" s="32"/>
    </x:row>
    <x:row r="943">
      <x:c r="A943" s="87"/>
      <x:c r="B943" s="88"/>
      <x:c r="D943" s="32"/>
      <x:c r="G943" s="74"/>
      <x:c r="H943" s="74"/>
      <x:c r="I943" s="74"/>
      <x:c r="J943" s="74"/>
      <x:c r="K943" s="74"/>
      <x:c r="L943" s="74"/>
      <x:c r="M943" s="91"/>
      <x:c r="N943" s="91"/>
      <x:c r="O943" s="85"/>
      <x:c r="Q943" s="86"/>
      <x:c r="R943" s="86"/>
      <x:c r="S943" s="32"/>
    </x:row>
    <x:row r="944">
      <x:c r="A944" s="87"/>
      <x:c r="B944" s="88"/>
      <x:c r="D944" s="32"/>
      <x:c r="G944" s="74"/>
      <x:c r="H944" s="74"/>
      <x:c r="I944" s="74"/>
      <x:c r="J944" s="74"/>
      <x:c r="K944" s="74"/>
      <x:c r="L944" s="74"/>
      <x:c r="M944" s="91"/>
      <x:c r="N944" s="91"/>
      <x:c r="O944" s="85"/>
      <x:c r="Q944" s="86"/>
      <x:c r="R944" s="86"/>
      <x:c r="S944" s="32"/>
    </x:row>
    <x:row r="945">
      <x:c r="A945" s="87"/>
      <x:c r="B945" s="88"/>
      <x:c r="D945" s="32"/>
      <x:c r="G945" s="74"/>
      <x:c r="H945" s="74"/>
      <x:c r="I945" s="74"/>
      <x:c r="J945" s="74"/>
      <x:c r="K945" s="74"/>
      <x:c r="L945" s="74"/>
      <x:c r="M945" s="91"/>
      <x:c r="N945" s="91"/>
      <x:c r="O945" s="85"/>
      <x:c r="Q945" s="86"/>
      <x:c r="R945" s="86"/>
      <x:c r="S945" s="32"/>
    </x:row>
    <x:row r="946">
      <x:c r="A946" s="87"/>
      <x:c r="B946" s="88"/>
      <x:c r="D946" s="32"/>
      <x:c r="G946" s="74"/>
      <x:c r="H946" s="74"/>
      <x:c r="I946" s="74"/>
      <x:c r="J946" s="74"/>
      <x:c r="K946" s="74"/>
      <x:c r="L946" s="74"/>
      <x:c r="M946" s="91"/>
      <x:c r="N946" s="91"/>
      <x:c r="O946" s="85"/>
      <x:c r="Q946" s="86"/>
      <x:c r="R946" s="86"/>
      <x:c r="S946" s="32"/>
    </x:row>
    <x:row r="947">
      <x:c r="A947" s="87"/>
      <x:c r="B947" s="88"/>
      <x:c r="D947" s="32"/>
      <x:c r="G947" s="74"/>
      <x:c r="H947" s="74"/>
      <x:c r="I947" s="74"/>
      <x:c r="J947" s="74"/>
      <x:c r="K947" s="74"/>
      <x:c r="L947" s="74"/>
      <x:c r="M947" s="91"/>
      <x:c r="N947" s="91"/>
      <x:c r="O947" s="85"/>
      <x:c r="Q947" s="86"/>
      <x:c r="R947" s="86"/>
      <x:c r="S947" s="32"/>
    </x:row>
    <x:row r="948">
      <x:c r="A948" s="87"/>
      <x:c r="B948" s="88"/>
      <x:c r="D948" s="32"/>
      <x:c r="G948" s="74"/>
      <x:c r="H948" s="74"/>
      <x:c r="I948" s="74"/>
      <x:c r="J948" s="74"/>
      <x:c r="K948" s="74"/>
      <x:c r="L948" s="74"/>
      <x:c r="M948" s="91"/>
      <x:c r="N948" s="91"/>
      <x:c r="O948" s="85"/>
      <x:c r="Q948" s="86"/>
      <x:c r="R948" s="86"/>
      <x:c r="S948" s="32"/>
    </x:row>
    <x:row r="949">
      <x:c r="A949" s="87"/>
      <x:c r="B949" s="88"/>
      <x:c r="D949" s="32"/>
      <x:c r="G949" s="74"/>
      <x:c r="H949" s="74"/>
      <x:c r="I949" s="74"/>
      <x:c r="J949" s="74"/>
      <x:c r="K949" s="74"/>
      <x:c r="L949" s="74"/>
      <x:c r="M949" s="91"/>
      <x:c r="N949" s="91"/>
      <x:c r="O949" s="85"/>
      <x:c r="Q949" s="86"/>
      <x:c r="R949" s="86"/>
      <x:c r="S949" s="32"/>
    </x:row>
    <x:row r="950">
      <x:c r="A950" s="87"/>
      <x:c r="B950" s="88"/>
      <x:c r="D950" s="32"/>
      <x:c r="G950" s="74"/>
      <x:c r="H950" s="74"/>
      <x:c r="I950" s="74"/>
      <x:c r="J950" s="74"/>
      <x:c r="K950" s="74"/>
      <x:c r="L950" s="74"/>
      <x:c r="M950" s="91"/>
      <x:c r="N950" s="91"/>
      <x:c r="O950" s="85"/>
      <x:c r="Q950" s="86"/>
      <x:c r="R950" s="86"/>
      <x:c r="S950" s="32"/>
    </x:row>
    <x:row r="951">
      <x:c r="A951" s="87"/>
      <x:c r="B951" s="88"/>
      <x:c r="D951" s="32"/>
      <x:c r="G951" s="74"/>
      <x:c r="H951" s="74"/>
      <x:c r="I951" s="74"/>
      <x:c r="J951" s="74"/>
      <x:c r="K951" s="74"/>
      <x:c r="L951" s="74"/>
      <x:c r="M951" s="91"/>
      <x:c r="N951" s="91"/>
      <x:c r="O951" s="85"/>
      <x:c r="Q951" s="86"/>
      <x:c r="R951" s="86"/>
      <x:c r="S951" s="32"/>
    </x:row>
    <x:row r="952">
      <x:c r="A952" s="87"/>
      <x:c r="B952" s="88"/>
      <x:c r="D952" s="32"/>
      <x:c r="G952" s="74"/>
      <x:c r="H952" s="74"/>
      <x:c r="I952" s="74"/>
      <x:c r="J952" s="74"/>
      <x:c r="K952" s="74"/>
      <x:c r="L952" s="74"/>
      <x:c r="M952" s="91"/>
      <x:c r="N952" s="91"/>
      <x:c r="O952" s="85"/>
      <x:c r="Q952" s="86"/>
      <x:c r="R952" s="86"/>
      <x:c r="S952" s="32"/>
    </x:row>
    <x:row r="953">
      <x:c r="A953" s="87"/>
      <x:c r="B953" s="88"/>
      <x:c r="D953" s="32"/>
      <x:c r="G953" s="74"/>
      <x:c r="H953" s="74"/>
      <x:c r="I953" s="74"/>
      <x:c r="J953" s="74"/>
      <x:c r="K953" s="74"/>
      <x:c r="L953" s="74"/>
      <x:c r="M953" s="91"/>
      <x:c r="N953" s="91"/>
      <x:c r="O953" s="85"/>
      <x:c r="Q953" s="86"/>
      <x:c r="R953" s="86"/>
      <x:c r="S953" s="32"/>
    </x:row>
    <x:row r="954">
      <x:c r="A954" s="87"/>
      <x:c r="B954" s="88"/>
      <x:c r="D954" s="32"/>
      <x:c r="G954" s="74"/>
      <x:c r="H954" s="74"/>
      <x:c r="I954" s="74"/>
      <x:c r="J954" s="74"/>
      <x:c r="K954" s="74"/>
      <x:c r="L954" s="74"/>
      <x:c r="M954" s="91"/>
      <x:c r="N954" s="91"/>
      <x:c r="O954" s="85"/>
      <x:c r="Q954" s="86"/>
      <x:c r="R954" s="86"/>
      <x:c r="S954" s="32"/>
    </x:row>
    <x:row r="955">
      <x:c r="A955" s="87"/>
      <x:c r="B955" s="88"/>
      <x:c r="D955" s="32"/>
      <x:c r="G955" s="74"/>
      <x:c r="H955" s="74"/>
      <x:c r="I955" s="74"/>
      <x:c r="J955" s="74"/>
      <x:c r="K955" s="74"/>
      <x:c r="L955" s="74"/>
      <x:c r="M955" s="91"/>
      <x:c r="N955" s="91"/>
      <x:c r="O955" s="85"/>
      <x:c r="Q955" s="86"/>
      <x:c r="R955" s="86"/>
      <x:c r="S955" s="32"/>
    </x:row>
    <x:row r="956">
      <x:c r="A956" s="87"/>
      <x:c r="B956" s="88"/>
      <x:c r="D956" s="32"/>
      <x:c r="G956" s="74"/>
      <x:c r="H956" s="74"/>
      <x:c r="I956" s="74"/>
      <x:c r="J956" s="74"/>
      <x:c r="K956" s="74"/>
      <x:c r="L956" s="74"/>
      <x:c r="M956" s="91"/>
      <x:c r="N956" s="91"/>
      <x:c r="O956" s="85"/>
      <x:c r="Q956" s="86"/>
      <x:c r="R956" s="86"/>
      <x:c r="S956" s="32"/>
    </x:row>
    <x:row r="957">
      <x:c r="A957" s="87"/>
      <x:c r="B957" s="88"/>
      <x:c r="D957" s="32"/>
      <x:c r="G957" s="74"/>
      <x:c r="H957" s="74"/>
      <x:c r="I957" s="74"/>
      <x:c r="J957" s="74"/>
      <x:c r="K957" s="74"/>
      <x:c r="L957" s="74"/>
      <x:c r="M957" s="91"/>
      <x:c r="N957" s="91"/>
      <x:c r="O957" s="85"/>
      <x:c r="Q957" s="86"/>
      <x:c r="R957" s="86"/>
      <x:c r="S957" s="32"/>
    </x:row>
    <x:row r="958">
      <x:c r="A958" s="87"/>
      <x:c r="B958" s="88"/>
      <x:c r="D958" s="32"/>
      <x:c r="G958" s="74"/>
      <x:c r="H958" s="74"/>
      <x:c r="I958" s="74"/>
      <x:c r="J958" s="74"/>
      <x:c r="K958" s="74"/>
      <x:c r="L958" s="74"/>
      <x:c r="M958" s="91"/>
      <x:c r="N958" s="91"/>
      <x:c r="O958" s="85"/>
      <x:c r="Q958" s="86"/>
      <x:c r="R958" s="86"/>
      <x:c r="S958" s="32"/>
    </x:row>
    <x:row r="959">
      <x:c r="A959" s="87"/>
      <x:c r="B959" s="88"/>
      <x:c r="D959" s="32"/>
      <x:c r="G959" s="74"/>
      <x:c r="H959" s="74"/>
      <x:c r="I959" s="74"/>
      <x:c r="J959" s="74"/>
      <x:c r="K959" s="74"/>
      <x:c r="L959" s="74"/>
      <x:c r="M959" s="91"/>
      <x:c r="N959" s="91"/>
      <x:c r="O959" s="85"/>
      <x:c r="Q959" s="86"/>
      <x:c r="R959" s="86"/>
      <x:c r="S959" s="32"/>
    </x:row>
    <x:row r="960">
      <x:c r="A960" s="87"/>
      <x:c r="B960" s="88"/>
      <x:c r="D960" s="32"/>
      <x:c r="G960" s="74"/>
      <x:c r="H960" s="74"/>
      <x:c r="I960" s="74"/>
      <x:c r="J960" s="74"/>
      <x:c r="K960" s="74"/>
      <x:c r="L960" s="74"/>
      <x:c r="M960" s="91"/>
      <x:c r="N960" s="91"/>
      <x:c r="O960" s="85"/>
      <x:c r="Q960" s="86"/>
      <x:c r="R960" s="86"/>
      <x:c r="S960" s="32"/>
    </x:row>
    <x:row r="961">
      <x:c r="A961" s="87"/>
      <x:c r="B961" s="88"/>
      <x:c r="D961" s="32"/>
      <x:c r="G961" s="74"/>
      <x:c r="H961" s="74"/>
      <x:c r="I961" s="74"/>
      <x:c r="J961" s="74"/>
      <x:c r="K961" s="74"/>
      <x:c r="L961" s="74"/>
      <x:c r="M961" s="91"/>
      <x:c r="N961" s="91"/>
      <x:c r="O961" s="85"/>
      <x:c r="Q961" s="86"/>
      <x:c r="R961" s="86"/>
      <x:c r="S961" s="32"/>
    </x:row>
    <x:row r="962">
      <x:c r="A962" s="87"/>
      <x:c r="B962" s="88"/>
      <x:c r="D962" s="32"/>
      <x:c r="G962" s="74"/>
      <x:c r="H962" s="74"/>
      <x:c r="I962" s="74"/>
      <x:c r="J962" s="74"/>
      <x:c r="K962" s="74"/>
      <x:c r="L962" s="74"/>
      <x:c r="M962" s="91"/>
      <x:c r="N962" s="91"/>
      <x:c r="O962" s="85"/>
      <x:c r="Q962" s="86"/>
      <x:c r="R962" s="86"/>
      <x:c r="S962" s="32"/>
    </x:row>
    <x:row r="963">
      <x:c r="A963" s="87"/>
      <x:c r="B963" s="88"/>
      <x:c r="D963" s="32"/>
      <x:c r="G963" s="74"/>
      <x:c r="H963" s="74"/>
      <x:c r="I963" s="74"/>
      <x:c r="J963" s="74"/>
      <x:c r="K963" s="74"/>
      <x:c r="L963" s="74"/>
      <x:c r="M963" s="91"/>
      <x:c r="N963" s="91"/>
      <x:c r="O963" s="85"/>
      <x:c r="Q963" s="86"/>
      <x:c r="R963" s="86"/>
      <x:c r="S963" s="32"/>
    </x:row>
    <x:row r="964">
      <x:c r="A964" s="87"/>
      <x:c r="B964" s="88"/>
      <x:c r="D964" s="32"/>
      <x:c r="G964" s="74"/>
      <x:c r="H964" s="74"/>
      <x:c r="I964" s="74"/>
      <x:c r="J964" s="74"/>
      <x:c r="K964" s="74"/>
      <x:c r="L964" s="74"/>
      <x:c r="M964" s="91"/>
      <x:c r="N964" s="91"/>
      <x:c r="O964" s="85"/>
      <x:c r="Q964" s="86"/>
      <x:c r="R964" s="86"/>
      <x:c r="S964" s="32"/>
    </x:row>
    <x:row r="965">
      <x:c r="A965" s="87"/>
      <x:c r="B965" s="88"/>
      <x:c r="D965" s="32"/>
      <x:c r="G965" s="74"/>
      <x:c r="H965" s="74"/>
      <x:c r="I965" s="74"/>
      <x:c r="J965" s="74"/>
      <x:c r="K965" s="74"/>
      <x:c r="L965" s="74"/>
      <x:c r="M965" s="91"/>
      <x:c r="N965" s="91"/>
      <x:c r="O965" s="85"/>
      <x:c r="Q965" s="86"/>
      <x:c r="R965" s="86"/>
      <x:c r="S965" s="32"/>
    </x:row>
    <x:row r="966">
      <x:c r="A966" s="87"/>
      <x:c r="B966" s="88"/>
      <x:c r="D966" s="32"/>
      <x:c r="G966" s="74"/>
      <x:c r="H966" s="74"/>
      <x:c r="I966" s="74"/>
      <x:c r="J966" s="74"/>
      <x:c r="K966" s="74"/>
      <x:c r="L966" s="74"/>
      <x:c r="M966" s="91"/>
      <x:c r="N966" s="91"/>
      <x:c r="O966" s="85"/>
      <x:c r="Q966" s="86"/>
      <x:c r="R966" s="86"/>
      <x:c r="S966" s="32"/>
    </x:row>
    <x:row r="967">
      <x:c r="A967" s="87"/>
      <x:c r="B967" s="88"/>
      <x:c r="D967" s="32"/>
      <x:c r="G967" s="74"/>
      <x:c r="H967" s="74"/>
      <x:c r="I967" s="74"/>
      <x:c r="J967" s="74"/>
      <x:c r="K967" s="74"/>
      <x:c r="L967" s="74"/>
      <x:c r="M967" s="91"/>
      <x:c r="N967" s="91"/>
      <x:c r="O967" s="85"/>
      <x:c r="Q967" s="86"/>
      <x:c r="R967" s="86"/>
      <x:c r="S967" s="32"/>
    </x:row>
    <x:row r="968">
      <x:c r="A968" s="87"/>
      <x:c r="B968" s="88"/>
      <x:c r="D968" s="32"/>
      <x:c r="G968" s="74"/>
      <x:c r="H968" s="74"/>
      <x:c r="I968" s="74"/>
      <x:c r="J968" s="74"/>
      <x:c r="K968" s="74"/>
      <x:c r="L968" s="74"/>
      <x:c r="M968" s="91"/>
      <x:c r="N968" s="91"/>
      <x:c r="O968" s="85"/>
      <x:c r="Q968" s="86"/>
      <x:c r="R968" s="86"/>
      <x:c r="S968" s="32"/>
    </x:row>
    <x:row r="969">
      <x:c r="A969" s="87"/>
      <x:c r="B969" s="88"/>
      <x:c r="D969" s="32"/>
      <x:c r="G969" s="74"/>
      <x:c r="H969" s="74"/>
      <x:c r="I969" s="74"/>
      <x:c r="J969" s="74"/>
      <x:c r="K969" s="74"/>
      <x:c r="L969" s="74"/>
      <x:c r="M969" s="91"/>
      <x:c r="N969" s="91"/>
      <x:c r="O969" s="85"/>
      <x:c r="Q969" s="86"/>
      <x:c r="R969" s="86"/>
      <x:c r="S969" s="32"/>
    </x:row>
    <x:row r="970">
      <x:c r="A970" s="87"/>
      <x:c r="B970" s="88"/>
      <x:c r="D970" s="32"/>
      <x:c r="G970" s="74"/>
      <x:c r="H970" s="74"/>
      <x:c r="I970" s="74"/>
      <x:c r="J970" s="74"/>
      <x:c r="K970" s="74"/>
      <x:c r="L970" s="74"/>
      <x:c r="M970" s="91"/>
      <x:c r="N970" s="91"/>
      <x:c r="O970" s="85"/>
      <x:c r="Q970" s="86"/>
      <x:c r="R970" s="86"/>
      <x:c r="S970" s="32"/>
    </x:row>
    <x:row r="971">
      <x:c r="A971" s="87"/>
      <x:c r="B971" s="88"/>
      <x:c r="D971" s="32"/>
      <x:c r="G971" s="74"/>
      <x:c r="H971" s="74"/>
      <x:c r="I971" s="74"/>
      <x:c r="J971" s="74"/>
      <x:c r="K971" s="74"/>
      <x:c r="L971" s="74"/>
      <x:c r="M971" s="91"/>
      <x:c r="N971" s="91"/>
      <x:c r="O971" s="85"/>
      <x:c r="Q971" s="86"/>
      <x:c r="R971" s="86"/>
      <x:c r="S971" s="32"/>
    </x:row>
    <x:row r="972">
      <x:c r="A972" s="87"/>
      <x:c r="B972" s="88"/>
      <x:c r="D972" s="32"/>
      <x:c r="G972" s="74"/>
      <x:c r="H972" s="74"/>
      <x:c r="I972" s="74"/>
      <x:c r="J972" s="74"/>
      <x:c r="K972" s="74"/>
      <x:c r="L972" s="74"/>
      <x:c r="M972" s="91"/>
      <x:c r="N972" s="91"/>
      <x:c r="O972" s="85"/>
      <x:c r="Q972" s="86"/>
      <x:c r="R972" s="86"/>
      <x:c r="S972" s="32"/>
    </x:row>
    <x:row r="973">
      <x:c r="A973" s="87"/>
      <x:c r="B973" s="88"/>
      <x:c r="D973" s="32"/>
      <x:c r="G973" s="74"/>
      <x:c r="H973" s="74"/>
      <x:c r="I973" s="74"/>
      <x:c r="J973" s="74"/>
      <x:c r="K973" s="74"/>
      <x:c r="L973" s="74"/>
      <x:c r="M973" s="91"/>
      <x:c r="N973" s="91"/>
      <x:c r="O973" s="85"/>
      <x:c r="Q973" s="86"/>
      <x:c r="R973" s="86"/>
      <x:c r="S973" s="32"/>
    </x:row>
    <x:row r="974">
      <x:c r="A974" s="87"/>
      <x:c r="B974" s="88"/>
      <x:c r="D974" s="32"/>
      <x:c r="G974" s="74"/>
      <x:c r="H974" s="74"/>
      <x:c r="I974" s="74"/>
      <x:c r="J974" s="74"/>
      <x:c r="K974" s="74"/>
      <x:c r="L974" s="74"/>
      <x:c r="M974" s="91"/>
      <x:c r="N974" s="91"/>
      <x:c r="O974" s="85"/>
      <x:c r="Q974" s="86"/>
      <x:c r="R974" s="86"/>
      <x:c r="S974" s="32"/>
    </x:row>
    <x:row r="975">
      <x:c r="A975" s="87"/>
      <x:c r="B975" s="88"/>
      <x:c r="D975" s="32"/>
      <x:c r="G975" s="74"/>
      <x:c r="H975" s="74"/>
      <x:c r="I975" s="74"/>
      <x:c r="J975" s="74"/>
      <x:c r="K975" s="74"/>
      <x:c r="L975" s="74"/>
      <x:c r="M975" s="91"/>
      <x:c r="N975" s="91"/>
      <x:c r="O975" s="85"/>
      <x:c r="Q975" s="86"/>
      <x:c r="R975" s="86"/>
      <x:c r="S975" s="32"/>
    </x:row>
    <x:row r="976">
      <x:c r="A976" s="87"/>
      <x:c r="B976" s="88"/>
      <x:c r="D976" s="32"/>
      <x:c r="G976" s="74"/>
      <x:c r="H976" s="74"/>
      <x:c r="I976" s="74"/>
      <x:c r="J976" s="74"/>
      <x:c r="K976" s="74"/>
      <x:c r="L976" s="74"/>
      <x:c r="M976" s="91"/>
      <x:c r="N976" s="91"/>
      <x:c r="O976" s="85"/>
      <x:c r="Q976" s="86"/>
      <x:c r="R976" s="86"/>
      <x:c r="S976" s="32"/>
    </x:row>
    <x:row r="977">
      <x:c r="A977" s="87"/>
      <x:c r="B977" s="88"/>
      <x:c r="D977" s="32"/>
      <x:c r="G977" s="74"/>
      <x:c r="H977" s="74"/>
      <x:c r="I977" s="74"/>
      <x:c r="J977" s="74"/>
      <x:c r="K977" s="74"/>
      <x:c r="L977" s="74"/>
      <x:c r="M977" s="91"/>
      <x:c r="N977" s="91"/>
      <x:c r="O977" s="85"/>
      <x:c r="Q977" s="86"/>
      <x:c r="R977" s="86"/>
      <x:c r="S977" s="32"/>
    </x:row>
    <x:row r="978">
      <x:c r="A978" s="87"/>
      <x:c r="B978" s="88"/>
      <x:c r="D978" s="32"/>
      <x:c r="G978" s="74"/>
      <x:c r="H978" s="74"/>
      <x:c r="I978" s="74"/>
      <x:c r="J978" s="74"/>
      <x:c r="K978" s="74"/>
      <x:c r="L978" s="74"/>
      <x:c r="M978" s="91"/>
      <x:c r="N978" s="91"/>
      <x:c r="O978" s="85"/>
      <x:c r="Q978" s="86"/>
      <x:c r="R978" s="86"/>
      <x:c r="S978" s="32"/>
    </x:row>
    <x:row r="979">
      <x:c r="A979" s="87"/>
      <x:c r="B979" s="88"/>
      <x:c r="D979" s="32"/>
      <x:c r="G979" s="74"/>
      <x:c r="H979" s="74"/>
      <x:c r="I979" s="74"/>
      <x:c r="J979" s="74"/>
      <x:c r="K979" s="74"/>
      <x:c r="L979" s="74"/>
      <x:c r="M979" s="91"/>
      <x:c r="N979" s="91"/>
      <x:c r="O979" s="85"/>
      <x:c r="Q979" s="86"/>
      <x:c r="R979" s="86"/>
      <x:c r="S979" s="32"/>
    </x:row>
    <x:row r="980">
      <x:c r="A980" s="87"/>
      <x:c r="B980" s="88"/>
      <x:c r="D980" s="32"/>
      <x:c r="G980" s="74"/>
      <x:c r="H980" s="74"/>
      <x:c r="I980" s="74"/>
      <x:c r="J980" s="74"/>
      <x:c r="K980" s="74"/>
      <x:c r="L980" s="74"/>
      <x:c r="M980" s="91"/>
      <x:c r="N980" s="91"/>
      <x:c r="O980" s="85"/>
      <x:c r="Q980" s="86"/>
      <x:c r="R980" s="86"/>
      <x:c r="S980" s="32"/>
    </x:row>
    <x:row r="981">
      <x:c r="A981" s="87"/>
      <x:c r="B981" s="88"/>
      <x:c r="D981" s="32"/>
      <x:c r="G981" s="74"/>
      <x:c r="H981" s="74"/>
      <x:c r="I981" s="74"/>
      <x:c r="J981" s="74"/>
      <x:c r="K981" s="74"/>
      <x:c r="L981" s="74"/>
      <x:c r="M981" s="91"/>
      <x:c r="N981" s="91"/>
      <x:c r="O981" s="85"/>
      <x:c r="Q981" s="86"/>
      <x:c r="R981" s="86"/>
      <x:c r="S981" s="32"/>
    </x:row>
    <x:row r="982">
      <x:c r="A982" s="87"/>
      <x:c r="B982" s="88"/>
      <x:c r="D982" s="32"/>
      <x:c r="G982" s="74"/>
      <x:c r="H982" s="74"/>
      <x:c r="I982" s="74"/>
      <x:c r="J982" s="74"/>
      <x:c r="K982" s="74"/>
      <x:c r="L982" s="74"/>
      <x:c r="M982" s="91"/>
      <x:c r="N982" s="91"/>
      <x:c r="O982" s="85"/>
      <x:c r="Q982" s="86"/>
      <x:c r="R982" s="86"/>
      <x:c r="S982" s="32"/>
    </x:row>
    <x:row r="983">
      <x:c r="A983" s="87"/>
      <x:c r="B983" s="88"/>
      <x:c r="D983" s="32"/>
      <x:c r="G983" s="74"/>
      <x:c r="H983" s="74"/>
      <x:c r="I983" s="74"/>
      <x:c r="J983" s="74"/>
      <x:c r="K983" s="74"/>
      <x:c r="L983" s="74"/>
      <x:c r="M983" s="91"/>
      <x:c r="N983" s="91"/>
      <x:c r="O983" s="85"/>
      <x:c r="Q983" s="86"/>
      <x:c r="R983" s="86"/>
      <x:c r="S983" s="32"/>
    </x:row>
    <x:row r="984">
      <x:c r="A984" s="87"/>
      <x:c r="B984" s="88"/>
      <x:c r="D984" s="32"/>
      <x:c r="G984" s="74"/>
      <x:c r="H984" s="74"/>
      <x:c r="I984" s="74"/>
      <x:c r="J984" s="74"/>
      <x:c r="K984" s="74"/>
      <x:c r="L984" s="74"/>
      <x:c r="M984" s="91"/>
      <x:c r="N984" s="91"/>
      <x:c r="O984" s="85"/>
      <x:c r="Q984" s="86"/>
      <x:c r="R984" s="86"/>
      <x:c r="S984" s="32"/>
    </x:row>
    <x:row r="985">
      <x:c r="A985" s="87"/>
      <x:c r="B985" s="88"/>
      <x:c r="D985" s="32"/>
      <x:c r="G985" s="74"/>
      <x:c r="H985" s="74"/>
      <x:c r="I985" s="74"/>
      <x:c r="J985" s="74"/>
      <x:c r="K985" s="74"/>
      <x:c r="L985" s="74"/>
      <x:c r="M985" s="91"/>
      <x:c r="N985" s="91"/>
      <x:c r="O985" s="85"/>
      <x:c r="Q985" s="86"/>
      <x:c r="R985" s="86"/>
      <x:c r="S985" s="32"/>
    </x:row>
    <x:row r="986">
      <x:c r="A986" s="87"/>
      <x:c r="B986" s="88"/>
      <x:c r="D986" s="32"/>
      <x:c r="G986" s="74"/>
      <x:c r="H986" s="74"/>
      <x:c r="I986" s="74"/>
      <x:c r="J986" s="74"/>
      <x:c r="K986" s="74"/>
      <x:c r="L986" s="74"/>
      <x:c r="M986" s="91"/>
      <x:c r="N986" s="91"/>
      <x:c r="O986" s="85"/>
      <x:c r="Q986" s="86"/>
      <x:c r="R986" s="86"/>
      <x:c r="S986" s="32"/>
    </x:row>
    <x:row r="987">
      <x:c r="A987" s="87"/>
      <x:c r="B987" s="88"/>
      <x:c r="D987" s="32"/>
      <x:c r="G987" s="74"/>
      <x:c r="H987" s="74"/>
      <x:c r="I987" s="74"/>
      <x:c r="J987" s="74"/>
      <x:c r="K987" s="74"/>
      <x:c r="L987" s="74"/>
      <x:c r="M987" s="91"/>
      <x:c r="N987" s="91"/>
      <x:c r="O987" s="85"/>
      <x:c r="Q987" s="86"/>
      <x:c r="R987" s="86"/>
      <x:c r="S987" s="32"/>
    </x:row>
    <x:row r="988">
      <x:c r="A988" s="87"/>
      <x:c r="B988" s="88"/>
      <x:c r="D988" s="32"/>
      <x:c r="G988" s="74"/>
      <x:c r="H988" s="74"/>
      <x:c r="I988" s="74"/>
      <x:c r="J988" s="74"/>
      <x:c r="K988" s="74"/>
      <x:c r="L988" s="74"/>
      <x:c r="M988" s="91"/>
      <x:c r="N988" s="91"/>
      <x:c r="O988" s="85"/>
      <x:c r="Q988" s="86"/>
      <x:c r="R988" s="86"/>
      <x:c r="S988" s="32"/>
    </x:row>
    <x:row r="989">
      <x:c r="A989" s="87"/>
      <x:c r="B989" s="88"/>
      <x:c r="D989" s="32"/>
      <x:c r="G989" s="74"/>
      <x:c r="H989" s="74"/>
      <x:c r="I989" s="74"/>
      <x:c r="J989" s="74"/>
      <x:c r="K989" s="74"/>
      <x:c r="L989" s="74"/>
      <x:c r="M989" s="91"/>
      <x:c r="N989" s="91"/>
      <x:c r="O989" s="85"/>
      <x:c r="Q989" s="86"/>
      <x:c r="R989" s="86"/>
      <x:c r="S989" s="32"/>
    </x:row>
    <x:row r="990">
      <x:c r="A990" s="87"/>
      <x:c r="B990" s="88"/>
      <x:c r="D990" s="32"/>
      <x:c r="G990" s="74"/>
      <x:c r="H990" s="74"/>
      <x:c r="I990" s="74"/>
      <x:c r="J990" s="74"/>
      <x:c r="K990" s="74"/>
      <x:c r="L990" s="74"/>
      <x:c r="M990" s="91"/>
      <x:c r="N990" s="91"/>
      <x:c r="O990" s="85"/>
      <x:c r="Q990" s="86"/>
      <x:c r="R990" s="86"/>
      <x:c r="S990" s="32"/>
    </x:row>
    <x:row r="991">
      <x:c r="A991" s="87"/>
      <x:c r="B991" s="88"/>
      <x:c r="D991" s="32"/>
      <x:c r="G991" s="74"/>
      <x:c r="H991" s="74"/>
      <x:c r="I991" s="74"/>
      <x:c r="J991" s="74"/>
      <x:c r="K991" s="74"/>
      <x:c r="L991" s="74"/>
      <x:c r="M991" s="91"/>
      <x:c r="N991" s="91"/>
      <x:c r="O991" s="85"/>
      <x:c r="Q991" s="86"/>
      <x:c r="R991" s="86"/>
      <x:c r="S991" s="32"/>
    </x:row>
    <x:row r="992">
      <x:c r="A992" s="87"/>
      <x:c r="B992" s="88"/>
      <x:c r="D992" s="32"/>
      <x:c r="G992" s="74"/>
      <x:c r="H992" s="74"/>
      <x:c r="I992" s="74"/>
      <x:c r="J992" s="74"/>
      <x:c r="K992" s="74"/>
      <x:c r="L992" s="74"/>
      <x:c r="M992" s="91"/>
      <x:c r="N992" s="91"/>
      <x:c r="O992" s="85"/>
      <x:c r="Q992" s="86"/>
      <x:c r="R992" s="86"/>
      <x:c r="S992" s="32"/>
    </x:row>
    <x:row r="993">
      <x:c r="A993" s="87"/>
      <x:c r="B993" s="88"/>
      <x:c r="D993" s="32"/>
      <x:c r="G993" s="74"/>
      <x:c r="H993" s="74"/>
      <x:c r="I993" s="74"/>
      <x:c r="J993" s="74"/>
      <x:c r="K993" s="74"/>
      <x:c r="L993" s="74"/>
      <x:c r="M993" s="91"/>
      <x:c r="N993" s="91"/>
      <x:c r="O993" s="85"/>
      <x:c r="Q993" s="86"/>
      <x:c r="R993" s="86"/>
      <x:c r="S993" s="32"/>
    </x:row>
    <x:row r="994">
      <x:c r="A994" s="87"/>
      <x:c r="B994" s="88"/>
      <x:c r="D994" s="32"/>
      <x:c r="G994" s="74"/>
      <x:c r="H994" s="74"/>
      <x:c r="I994" s="74"/>
      <x:c r="J994" s="74"/>
      <x:c r="K994" s="74"/>
      <x:c r="L994" s="74"/>
      <x:c r="M994" s="91"/>
      <x:c r="N994" s="91"/>
      <x:c r="O994" s="85"/>
      <x:c r="Q994" s="86"/>
      <x:c r="R994" s="86"/>
      <x:c r="S994" s="32"/>
    </x:row>
    <x:row r="995">
      <x:c r="A995" s="87"/>
      <x:c r="B995" s="88"/>
      <x:c r="D995" s="32"/>
      <x:c r="G995" s="74"/>
      <x:c r="H995" s="74"/>
      <x:c r="I995" s="74"/>
      <x:c r="J995" s="74"/>
      <x:c r="K995" s="74"/>
      <x:c r="L995" s="74"/>
      <x:c r="M995" s="91"/>
      <x:c r="N995" s="91"/>
      <x:c r="O995" s="85"/>
      <x:c r="Q995" s="86"/>
      <x:c r="R995" s="86"/>
      <x:c r="S995" s="32"/>
    </x:row>
    <x:row r="996">
      <x:c r="A996" s="87"/>
      <x:c r="B996" s="88"/>
      <x:c r="D996" s="32"/>
      <x:c r="G996" s="74"/>
      <x:c r="H996" s="74"/>
      <x:c r="I996" s="74"/>
      <x:c r="J996" s="74"/>
      <x:c r="K996" s="74"/>
      <x:c r="L996" s="74"/>
      <x:c r="M996" s="91"/>
      <x:c r="N996" s="91"/>
      <x:c r="O996" s="85"/>
      <x:c r="Q996" s="86"/>
      <x:c r="R996" s="86"/>
      <x:c r="S996" s="32"/>
    </x:row>
    <x:row r="997">
      <x:c r="A997" s="87"/>
      <x:c r="B997" s="88"/>
      <x:c r="D997" s="32"/>
      <x:c r="G997" s="74"/>
      <x:c r="H997" s="74"/>
      <x:c r="I997" s="74"/>
      <x:c r="J997" s="74"/>
      <x:c r="K997" s="74"/>
      <x:c r="L997" s="74"/>
      <x:c r="M997" s="91"/>
      <x:c r="N997" s="91"/>
      <x:c r="O997" s="85"/>
      <x:c r="Q997" s="86"/>
      <x:c r="R997" s="86"/>
      <x:c r="S997" s="32"/>
    </x:row>
    <x:row r="998">
      <x:c r="A998" s="87"/>
      <x:c r="B998" s="88"/>
      <x:c r="D998" s="32"/>
      <x:c r="G998" s="74"/>
      <x:c r="H998" s="74"/>
      <x:c r="I998" s="74"/>
      <x:c r="J998" s="74"/>
      <x:c r="K998" s="74"/>
      <x:c r="L998" s="74"/>
      <x:c r="M998" s="91"/>
      <x:c r="N998" s="91"/>
      <x:c r="O998" s="85"/>
      <x:c r="Q998" s="86"/>
      <x:c r="R998" s="86"/>
      <x:c r="S998" s="32"/>
    </x:row>
    <x:row r="999">
      <x:c r="A999" s="87"/>
      <x:c r="B999" s="88"/>
      <x:c r="D999" s="32"/>
      <x:c r="G999" s="74"/>
      <x:c r="H999" s="74"/>
      <x:c r="I999" s="74"/>
      <x:c r="J999" s="74"/>
      <x:c r="K999" s="74"/>
      <x:c r="L999" s="74"/>
      <x:c r="M999" s="91"/>
      <x:c r="N999" s="91"/>
      <x:c r="O999" s="85"/>
      <x:c r="Q999" s="86"/>
      <x:c r="R999" s="86"/>
      <x:c r="S999" s="32"/>
    </x:row>
    <x:row r="1000">
      <x:c r="A1000" s="87"/>
      <x:c r="B1000" s="88"/>
      <x:c r="D1000" s="32"/>
      <x:c r="G1000" s="74"/>
      <x:c r="H1000" s="74"/>
      <x:c r="I1000" s="74"/>
      <x:c r="J1000" s="74"/>
      <x:c r="K1000" s="74"/>
      <x:c r="L1000" s="74"/>
      <x:c r="M1000" s="91"/>
      <x:c r="N1000" s="91"/>
      <x:c r="O1000" s="85"/>
      <x:c r="Q1000" s="86"/>
      <x:c r="R1000" s="86"/>
      <x:c r="S1000" s="32"/>
    </x:row>
    <x:row r="1001">
      <x:c r="A1001" s="87"/>
      <x:c r="B1001" s="88"/>
      <x:c r="D1001" s="32"/>
      <x:c r="G1001" s="74"/>
      <x:c r="H1001" s="74"/>
      <x:c r="I1001" s="74"/>
      <x:c r="J1001" s="74"/>
      <x:c r="K1001" s="74"/>
      <x:c r="L1001" s="74"/>
      <x:c r="M1001" s="91"/>
      <x:c r="N1001" s="91"/>
      <x:c r="O1001" s="85"/>
      <x:c r="Q1001" s="86"/>
      <x:c r="R1001" s="86"/>
      <x:c r="S1001" s="32"/>
    </x:row>
    <x:row r="1002">
      <x:c r="A1002" s="87"/>
      <x:c r="B1002" s="88"/>
      <x:c r="D1002" s="32"/>
      <x:c r="G1002" s="74"/>
      <x:c r="H1002" s="74"/>
      <x:c r="I1002" s="74"/>
      <x:c r="J1002" s="74"/>
      <x:c r="K1002" s="74"/>
      <x:c r="L1002" s="74"/>
      <x:c r="M1002" s="91"/>
      <x:c r="N1002" s="91"/>
      <x:c r="O1002" s="85"/>
      <x:c r="Q1002" s="86"/>
      <x:c r="R1002" s="86"/>
      <x:c r="S1002" s="32"/>
    </x:row>
    <x:row r="1003">
      <x:c r="A1003" s="87"/>
      <x:c r="B1003" s="88"/>
      <x:c r="D1003" s="32"/>
      <x:c r="G1003" s="74"/>
      <x:c r="H1003" s="74"/>
      <x:c r="I1003" s="74"/>
      <x:c r="J1003" s="74"/>
      <x:c r="K1003" s="74"/>
      <x:c r="L1003" s="74"/>
      <x:c r="M1003" s="91"/>
      <x:c r="N1003" s="91"/>
      <x:c r="O1003" s="85"/>
      <x:c r="Q1003" s="86"/>
      <x:c r="R1003" s="86"/>
      <x:c r="S1003" s="32"/>
    </x:row>
    <x:row r="1004">
      <x:c r="A1004" s="87"/>
      <x:c r="B1004" s="88"/>
      <x:c r="D1004" s="32"/>
      <x:c r="G1004" s="74"/>
      <x:c r="H1004" s="74"/>
      <x:c r="I1004" s="74"/>
      <x:c r="J1004" s="74"/>
      <x:c r="K1004" s="74"/>
      <x:c r="L1004" s="74"/>
      <x:c r="M1004" s="91"/>
      <x:c r="N1004" s="91"/>
      <x:c r="O1004" s="85"/>
      <x:c r="Q1004" s="86"/>
      <x:c r="R1004" s="86"/>
      <x:c r="S1004" s="32"/>
    </x:row>
    <x:row r="1005">
      <x:c r="A1005" s="87"/>
      <x:c r="B1005" s="88"/>
      <x:c r="D1005" s="32"/>
      <x:c r="G1005" s="74"/>
      <x:c r="H1005" s="74"/>
      <x:c r="I1005" s="74"/>
      <x:c r="J1005" s="74"/>
      <x:c r="K1005" s="74"/>
      <x:c r="L1005" s="74"/>
      <x:c r="M1005" s="91"/>
      <x:c r="N1005" s="91"/>
      <x:c r="O1005" s="85"/>
      <x:c r="Q1005" s="86"/>
      <x:c r="R1005" s="86"/>
      <x:c r="S1005" s="32"/>
    </x:row>
    <x:row r="1006">
      <x:c r="A1006" s="87"/>
      <x:c r="B1006" s="88"/>
      <x:c r="D1006" s="32"/>
      <x:c r="G1006" s="74"/>
      <x:c r="H1006" s="74"/>
      <x:c r="I1006" s="74"/>
      <x:c r="J1006" s="74"/>
      <x:c r="K1006" s="74"/>
      <x:c r="L1006" s="74"/>
      <x:c r="M1006" s="91"/>
      <x:c r="N1006" s="91"/>
      <x:c r="O1006" s="85"/>
      <x:c r="Q1006" s="86"/>
      <x:c r="R1006" s="86"/>
      <x:c r="S1006" s="32"/>
    </x:row>
    <x:row r="1007">
      <x:c r="A1007" s="87"/>
      <x:c r="B1007" s="88"/>
      <x:c r="D1007" s="32"/>
      <x:c r="G1007" s="74"/>
      <x:c r="H1007" s="74"/>
      <x:c r="I1007" s="74"/>
      <x:c r="J1007" s="74"/>
      <x:c r="K1007" s="74"/>
      <x:c r="L1007" s="74"/>
      <x:c r="M1007" s="91"/>
      <x:c r="N1007" s="91"/>
      <x:c r="O1007" s="85"/>
      <x:c r="Q1007" s="86"/>
      <x:c r="R1007" s="86"/>
      <x:c r="S1007" s="32"/>
    </x:row>
    <x:row r="1008">
      <x:c r="A1008" s="87"/>
      <x:c r="B1008" s="88"/>
      <x:c r="D1008" s="32"/>
      <x:c r="G1008" s="74"/>
      <x:c r="H1008" s="74"/>
      <x:c r="I1008" s="74"/>
      <x:c r="J1008" s="74"/>
      <x:c r="K1008" s="74"/>
      <x:c r="L1008" s="74"/>
      <x:c r="M1008" s="91"/>
      <x:c r="N1008" s="91"/>
      <x:c r="O1008" s="85"/>
      <x:c r="Q1008" s="86"/>
      <x:c r="R1008" s="86"/>
      <x:c r="S1008" s="32"/>
    </x:row>
    <x:row r="1009">
      <x:c r="A1009" s="87"/>
      <x:c r="B1009" s="88"/>
      <x:c r="D1009" s="32"/>
      <x:c r="G1009" s="74"/>
      <x:c r="H1009" s="74"/>
      <x:c r="I1009" s="74"/>
      <x:c r="J1009" s="74"/>
      <x:c r="K1009" s="74"/>
      <x:c r="L1009" s="74"/>
      <x:c r="M1009" s="91"/>
      <x:c r="N1009" s="91"/>
      <x:c r="O1009" s="85"/>
      <x:c r="Q1009" s="86"/>
      <x:c r="R1009" s="86"/>
      <x:c r="S1009" s="32"/>
    </x:row>
    <x:row r="1010">
      <x:c r="A1010" s="87"/>
      <x:c r="B1010" s="88"/>
      <x:c r="D1010" s="32"/>
      <x:c r="G1010" s="74"/>
      <x:c r="H1010" s="74"/>
      <x:c r="I1010" s="74"/>
      <x:c r="J1010" s="74"/>
      <x:c r="K1010" s="74"/>
      <x:c r="L1010" s="74"/>
      <x:c r="M1010" s="91"/>
      <x:c r="N1010" s="91"/>
      <x:c r="O1010" s="85"/>
      <x:c r="Q1010" s="86"/>
      <x:c r="R1010" s="86"/>
      <x:c r="S1010" s="32"/>
    </x:row>
    <x:row r="1011">
      <x:c r="A1011" s="87"/>
      <x:c r="B1011" s="88"/>
      <x:c r="D1011" s="32"/>
      <x:c r="G1011" s="74"/>
      <x:c r="H1011" s="74"/>
      <x:c r="I1011" s="74"/>
      <x:c r="J1011" s="74"/>
      <x:c r="K1011" s="74"/>
      <x:c r="L1011" s="74"/>
      <x:c r="M1011" s="91"/>
      <x:c r="N1011" s="91"/>
      <x:c r="O1011" s="85"/>
      <x:c r="Q1011" s="86"/>
      <x:c r="R1011" s="86"/>
      <x:c r="S1011" s="32"/>
    </x:row>
    <x:row r="1012">
      <x:c r="A1012" s="87"/>
      <x:c r="B1012" s="88"/>
      <x:c r="D1012" s="32"/>
      <x:c r="G1012" s="74"/>
      <x:c r="H1012" s="74"/>
      <x:c r="I1012" s="74"/>
      <x:c r="J1012" s="74"/>
      <x:c r="K1012" s="74"/>
      <x:c r="L1012" s="74"/>
      <x:c r="M1012" s="91"/>
      <x:c r="N1012" s="91"/>
      <x:c r="O1012" s="85"/>
      <x:c r="Q1012" s="86"/>
      <x:c r="R1012" s="86"/>
      <x:c r="S1012" s="32"/>
    </x:row>
    <x:row r="1013">
      <x:c r="A1013" s="87"/>
      <x:c r="B1013" s="88"/>
      <x:c r="D1013" s="32"/>
      <x:c r="G1013" s="74"/>
      <x:c r="H1013" s="74"/>
      <x:c r="I1013" s="74"/>
      <x:c r="J1013" s="74"/>
      <x:c r="K1013" s="74"/>
      <x:c r="L1013" s="74"/>
      <x:c r="M1013" s="91"/>
      <x:c r="N1013" s="91"/>
      <x:c r="O1013" s="85"/>
      <x:c r="Q1013" s="86"/>
      <x:c r="R1013" s="86"/>
      <x:c r="S1013" s="32"/>
    </x:row>
    <x:row r="1014">
      <x:c r="A1014" s="87"/>
      <x:c r="B1014" s="88"/>
      <x:c r="D1014" s="32"/>
      <x:c r="G1014" s="74"/>
      <x:c r="H1014" s="74"/>
      <x:c r="I1014" s="74"/>
      <x:c r="J1014" s="74"/>
      <x:c r="K1014" s="74"/>
      <x:c r="L1014" s="74"/>
      <x:c r="M1014" s="91"/>
      <x:c r="N1014" s="91"/>
      <x:c r="O1014" s="85"/>
      <x:c r="Q1014" s="86"/>
      <x:c r="R1014" s="86"/>
      <x:c r="S1014" s="32"/>
    </x:row>
    <x:row r="1015">
      <x:c r="A1015" s="87"/>
      <x:c r="B1015" s="88"/>
      <x:c r="D1015" s="32"/>
      <x:c r="G1015" s="74"/>
      <x:c r="H1015" s="74"/>
      <x:c r="I1015" s="74"/>
      <x:c r="J1015" s="74"/>
      <x:c r="K1015" s="74"/>
      <x:c r="L1015" s="74"/>
      <x:c r="M1015" s="91"/>
      <x:c r="N1015" s="91"/>
      <x:c r="O1015" s="85"/>
      <x:c r="Q1015" s="86"/>
      <x:c r="R1015" s="86"/>
      <x:c r="S1015" s="32"/>
    </x:row>
    <x:row r="1016">
      <x:c r="A1016" s="87"/>
      <x:c r="B1016" s="88"/>
      <x:c r="D1016" s="32"/>
      <x:c r="G1016" s="74"/>
      <x:c r="H1016" s="74"/>
      <x:c r="I1016" s="74"/>
      <x:c r="J1016" s="74"/>
      <x:c r="K1016" s="74"/>
      <x:c r="L1016" s="74"/>
      <x:c r="M1016" s="91"/>
      <x:c r="N1016" s="91"/>
      <x:c r="O1016" s="85"/>
      <x:c r="Q1016" s="86"/>
      <x:c r="R1016" s="86"/>
      <x:c r="S1016" s="32"/>
    </x:row>
    <x:row r="1017">
      <x:c r="A1017" s="87"/>
      <x:c r="B1017" s="88"/>
      <x:c r="D1017" s="32"/>
      <x:c r="G1017" s="74"/>
      <x:c r="H1017" s="74"/>
      <x:c r="I1017" s="74"/>
      <x:c r="J1017" s="74"/>
      <x:c r="K1017" s="74"/>
      <x:c r="L1017" s="74"/>
      <x:c r="M1017" s="91"/>
      <x:c r="N1017" s="91"/>
      <x:c r="O1017" s="85"/>
      <x:c r="Q1017" s="86"/>
      <x:c r="R1017" s="86"/>
      <x:c r="S1017" s="32"/>
    </x:row>
    <x:row r="1018">
      <x:c r="A1018" s="87"/>
      <x:c r="B1018" s="88"/>
      <x:c r="D1018" s="32"/>
      <x:c r="G1018" s="74"/>
      <x:c r="H1018" s="74"/>
      <x:c r="I1018" s="74"/>
      <x:c r="J1018" s="74"/>
      <x:c r="K1018" s="74"/>
      <x:c r="L1018" s="74"/>
      <x:c r="M1018" s="91"/>
      <x:c r="N1018" s="91"/>
      <x:c r="O1018" s="85"/>
      <x:c r="Q1018" s="86"/>
      <x:c r="R1018" s="86"/>
      <x:c r="S1018" s="32"/>
    </x:row>
    <x:row r="1019">
      <x:c r="A1019" s="87"/>
      <x:c r="B1019" s="88"/>
      <x:c r="D1019" s="32"/>
      <x:c r="G1019" s="74"/>
      <x:c r="H1019" s="74"/>
      <x:c r="I1019" s="74"/>
      <x:c r="J1019" s="74"/>
      <x:c r="K1019" s="74"/>
      <x:c r="L1019" s="74"/>
      <x:c r="M1019" s="91"/>
      <x:c r="N1019" s="91"/>
      <x:c r="O1019" s="85"/>
      <x:c r="Q1019" s="86"/>
      <x:c r="R1019" s="86"/>
      <x:c r="S1019" s="32"/>
    </x:row>
    <x:row r="1020">
      <x:c r="A1020" s="87"/>
      <x:c r="B1020" s="88"/>
      <x:c r="D1020" s="32"/>
      <x:c r="G1020" s="74"/>
      <x:c r="H1020" s="74"/>
      <x:c r="I1020" s="74"/>
      <x:c r="J1020" s="74"/>
      <x:c r="K1020" s="74"/>
      <x:c r="L1020" s="74"/>
      <x:c r="M1020" s="91"/>
      <x:c r="N1020" s="91"/>
      <x:c r="O1020" s="85"/>
      <x:c r="Q1020" s="86"/>
      <x:c r="R1020" s="86"/>
      <x:c r="S1020" s="32"/>
    </x:row>
    <x:row r="1021">
      <x:c r="A1021" s="87"/>
      <x:c r="B1021" s="88"/>
      <x:c r="D1021" s="32"/>
      <x:c r="G1021" s="74"/>
      <x:c r="H1021" s="74"/>
      <x:c r="I1021" s="74"/>
      <x:c r="J1021" s="74"/>
      <x:c r="K1021" s="74"/>
      <x:c r="L1021" s="74"/>
      <x:c r="M1021" s="91"/>
      <x:c r="N1021" s="91"/>
      <x:c r="O1021" s="85"/>
      <x:c r="Q1021" s="86"/>
      <x:c r="R1021" s="86"/>
      <x:c r="S1021" s="32"/>
    </x:row>
    <x:row r="1022">
      <x:c r="A1022" s="87"/>
      <x:c r="B1022" s="88"/>
      <x:c r="D1022" s="32"/>
      <x:c r="G1022" s="74"/>
      <x:c r="H1022" s="74"/>
      <x:c r="I1022" s="74"/>
      <x:c r="J1022" s="74"/>
      <x:c r="K1022" s="74"/>
      <x:c r="L1022" s="74"/>
      <x:c r="M1022" s="91"/>
      <x:c r="N1022" s="91"/>
      <x:c r="O1022" s="85"/>
      <x:c r="Q1022" s="86"/>
      <x:c r="R1022" s="86"/>
      <x:c r="S1022" s="32"/>
    </x:row>
    <x:row r="1023">
      <x:c r="A1023" s="87"/>
      <x:c r="B1023" s="88"/>
      <x:c r="D1023" s="32"/>
      <x:c r="G1023" s="74"/>
      <x:c r="H1023" s="74"/>
      <x:c r="I1023" s="74"/>
      <x:c r="J1023" s="74"/>
      <x:c r="K1023" s="74"/>
      <x:c r="L1023" s="74"/>
      <x:c r="M1023" s="91"/>
      <x:c r="N1023" s="91"/>
      <x:c r="O1023" s="85"/>
      <x:c r="Q1023" s="86"/>
      <x:c r="R1023" s="86"/>
      <x:c r="S1023" s="32"/>
    </x:row>
    <x:row r="1024">
      <x:c r="A1024" s="87"/>
      <x:c r="B1024" s="88"/>
      <x:c r="D1024" s="32"/>
      <x:c r="G1024" s="74"/>
      <x:c r="H1024" s="74"/>
      <x:c r="I1024" s="74"/>
      <x:c r="J1024" s="74"/>
      <x:c r="K1024" s="74"/>
      <x:c r="L1024" s="74"/>
      <x:c r="M1024" s="91"/>
      <x:c r="N1024" s="91"/>
      <x:c r="O1024" s="85"/>
      <x:c r="Q1024" s="86"/>
      <x:c r="R1024" s="86"/>
      <x:c r="S1024" s="32"/>
    </x:row>
    <x:row r="1025">
      <x:c r="A1025" s="87"/>
      <x:c r="B1025" s="88"/>
      <x:c r="D1025" s="32"/>
      <x:c r="G1025" s="74"/>
      <x:c r="H1025" s="74"/>
      <x:c r="I1025" s="74"/>
      <x:c r="J1025" s="74"/>
      <x:c r="K1025" s="74"/>
      <x:c r="L1025" s="74"/>
      <x:c r="M1025" s="91"/>
      <x:c r="N1025" s="91"/>
      <x:c r="O1025" s="85"/>
      <x:c r="Q1025" s="86"/>
      <x:c r="R1025" s="86"/>
      <x:c r="S1025" s="32"/>
    </x:row>
    <x:row r="1026">
      <x:c r="A1026" s="87"/>
      <x:c r="B1026" s="88"/>
      <x:c r="D1026" s="32"/>
      <x:c r="G1026" s="74"/>
      <x:c r="H1026" s="74"/>
      <x:c r="I1026" s="74"/>
      <x:c r="J1026" s="74"/>
      <x:c r="K1026" s="74"/>
      <x:c r="L1026" s="74"/>
      <x:c r="M1026" s="91"/>
      <x:c r="N1026" s="91"/>
      <x:c r="O1026" s="85"/>
      <x:c r="Q1026" s="86"/>
      <x:c r="R1026" s="86"/>
      <x:c r="S1026" s="32"/>
    </x:row>
    <x:row r="1027">
      <x:c r="A1027" s="87"/>
      <x:c r="B1027" s="88"/>
      <x:c r="D1027" s="32"/>
      <x:c r="G1027" s="74"/>
      <x:c r="H1027" s="74"/>
      <x:c r="I1027" s="74"/>
      <x:c r="J1027" s="74"/>
      <x:c r="K1027" s="74"/>
      <x:c r="L1027" s="74"/>
      <x:c r="M1027" s="91"/>
      <x:c r="N1027" s="91"/>
      <x:c r="O1027" s="85"/>
      <x:c r="Q1027" s="86"/>
      <x:c r="R1027" s="86"/>
      <x:c r="S1027" s="32"/>
    </x:row>
    <x:row r="1028">
      <x:c r="A1028" s="87"/>
      <x:c r="B1028" s="88"/>
      <x:c r="D1028" s="32"/>
      <x:c r="G1028" s="74"/>
      <x:c r="H1028" s="74"/>
      <x:c r="I1028" s="74"/>
      <x:c r="J1028" s="74"/>
      <x:c r="K1028" s="74"/>
      <x:c r="L1028" s="74"/>
      <x:c r="M1028" s="91"/>
      <x:c r="N1028" s="91"/>
      <x:c r="O1028" s="85"/>
      <x:c r="Q1028" s="86"/>
      <x:c r="R1028" s="86"/>
      <x:c r="S1028" s="32"/>
    </x:row>
    <x:row r="1029">
      <x:c r="A1029" s="87"/>
      <x:c r="B1029" s="88"/>
      <x:c r="D1029" s="32"/>
      <x:c r="G1029" s="74"/>
      <x:c r="H1029" s="74"/>
      <x:c r="I1029" s="74"/>
      <x:c r="J1029" s="74"/>
      <x:c r="K1029" s="74"/>
      <x:c r="L1029" s="74"/>
      <x:c r="M1029" s="91"/>
      <x:c r="N1029" s="91"/>
      <x:c r="O1029" s="85"/>
      <x:c r="Q1029" s="86"/>
      <x:c r="R1029" s="86"/>
      <x:c r="S1029" s="32"/>
    </x:row>
    <x:row r="1030">
      <x:c r="A1030" s="87"/>
      <x:c r="B1030" s="88"/>
      <x:c r="D1030" s="32"/>
      <x:c r="G1030" s="74"/>
      <x:c r="H1030" s="74"/>
      <x:c r="I1030" s="74"/>
      <x:c r="J1030" s="74"/>
      <x:c r="K1030" s="74"/>
      <x:c r="L1030" s="74"/>
      <x:c r="M1030" s="91"/>
      <x:c r="N1030" s="91"/>
      <x:c r="O1030" s="85"/>
      <x:c r="Q1030" s="86"/>
      <x:c r="R1030" s="86"/>
      <x:c r="S1030" s="32"/>
    </x:row>
    <x:row r="1031">
      <x:c r="A1031" s="87"/>
      <x:c r="B1031" s="88"/>
      <x:c r="D1031" s="32"/>
      <x:c r="G1031" s="74"/>
      <x:c r="H1031" s="74"/>
      <x:c r="I1031" s="74"/>
      <x:c r="J1031" s="74"/>
      <x:c r="K1031" s="74"/>
      <x:c r="L1031" s="74"/>
      <x:c r="M1031" s="91"/>
      <x:c r="N1031" s="91"/>
      <x:c r="O1031" s="85"/>
      <x:c r="Q1031" s="86"/>
      <x:c r="R1031" s="86"/>
      <x:c r="S1031" s="32"/>
    </x:row>
    <x:row r="1032">
      <x:c r="A1032" s="87"/>
      <x:c r="B1032" s="88"/>
      <x:c r="D1032" s="32"/>
      <x:c r="G1032" s="74"/>
      <x:c r="H1032" s="74"/>
      <x:c r="I1032" s="74"/>
      <x:c r="J1032" s="74"/>
      <x:c r="K1032" s="74"/>
      <x:c r="L1032" s="74"/>
      <x:c r="M1032" s="91"/>
      <x:c r="N1032" s="91"/>
      <x:c r="O1032" s="85"/>
      <x:c r="Q1032" s="86"/>
      <x:c r="R1032" s="86"/>
      <x:c r="S1032" s="32"/>
    </x:row>
    <x:row r="1033">
      <x:c r="A1033" s="87"/>
      <x:c r="B1033" s="88"/>
      <x:c r="D1033" s="32"/>
      <x:c r="G1033" s="74"/>
      <x:c r="H1033" s="74"/>
      <x:c r="I1033" s="74"/>
      <x:c r="J1033" s="74"/>
      <x:c r="K1033" s="74"/>
      <x:c r="L1033" s="74"/>
      <x:c r="M1033" s="91"/>
      <x:c r="N1033" s="91"/>
      <x:c r="O1033" s="85"/>
      <x:c r="Q1033" s="86"/>
      <x:c r="R1033" s="86"/>
      <x:c r="S1033" s="32"/>
    </x:row>
    <x:row r="1034">
      <x:c r="A1034" s="87"/>
      <x:c r="B1034" s="88"/>
      <x:c r="D1034" s="32"/>
      <x:c r="G1034" s="74"/>
      <x:c r="H1034" s="74"/>
      <x:c r="I1034" s="74"/>
      <x:c r="J1034" s="74"/>
      <x:c r="K1034" s="74"/>
      <x:c r="L1034" s="74"/>
      <x:c r="M1034" s="91"/>
      <x:c r="N1034" s="91"/>
      <x:c r="O1034" s="85"/>
      <x:c r="Q1034" s="86"/>
      <x:c r="R1034" s="86"/>
      <x:c r="S1034" s="32"/>
    </x:row>
    <x:row r="1035">
      <x:c r="A1035" s="87"/>
      <x:c r="B1035" s="88"/>
      <x:c r="D1035" s="32"/>
      <x:c r="G1035" s="74"/>
      <x:c r="H1035" s="74"/>
      <x:c r="I1035" s="74"/>
      <x:c r="J1035" s="74"/>
      <x:c r="K1035" s="74"/>
      <x:c r="L1035" s="74"/>
      <x:c r="M1035" s="91"/>
      <x:c r="N1035" s="91"/>
      <x:c r="O1035" s="85"/>
      <x:c r="Q1035" s="86"/>
      <x:c r="R1035" s="86"/>
      <x:c r="S1035" s="32"/>
    </x:row>
    <x:row r="1036">
      <x:c r="A1036" s="87"/>
      <x:c r="B1036" s="88"/>
      <x:c r="D1036" s="32"/>
      <x:c r="G1036" s="74"/>
      <x:c r="H1036" s="74"/>
      <x:c r="I1036" s="74"/>
      <x:c r="J1036" s="74"/>
      <x:c r="K1036" s="74"/>
      <x:c r="L1036" s="74"/>
      <x:c r="M1036" s="91"/>
      <x:c r="N1036" s="91"/>
      <x:c r="O1036" s="85"/>
      <x:c r="Q1036" s="86"/>
      <x:c r="R1036" s="86"/>
      <x:c r="S1036" s="32"/>
    </x:row>
    <x:row r="1037">
      <x:c r="A1037" s="87"/>
      <x:c r="B1037" s="88"/>
      <x:c r="D1037" s="32"/>
      <x:c r="G1037" s="74"/>
      <x:c r="H1037" s="74"/>
      <x:c r="I1037" s="74"/>
      <x:c r="J1037" s="74"/>
      <x:c r="K1037" s="74"/>
      <x:c r="L1037" s="74"/>
      <x:c r="M1037" s="91"/>
      <x:c r="N1037" s="91"/>
      <x:c r="O1037" s="85"/>
      <x:c r="Q1037" s="86"/>
      <x:c r="R1037" s="86"/>
      <x:c r="S1037" s="32"/>
    </x:row>
    <x:row r="1038">
      <x:c r="A1038" s="87"/>
      <x:c r="B1038" s="88"/>
      <x:c r="D1038" s="32"/>
      <x:c r="G1038" s="74"/>
      <x:c r="H1038" s="74"/>
      <x:c r="I1038" s="74"/>
      <x:c r="J1038" s="74"/>
      <x:c r="K1038" s="74"/>
      <x:c r="L1038" s="74"/>
      <x:c r="M1038" s="91"/>
      <x:c r="N1038" s="91"/>
      <x:c r="O1038" s="85"/>
      <x:c r="Q1038" s="86"/>
      <x:c r="R1038" s="86"/>
      <x:c r="S1038" s="32"/>
    </x:row>
    <x:row r="1039">
      <x:c r="A1039" s="87"/>
      <x:c r="B1039" s="88"/>
      <x:c r="D1039" s="32"/>
      <x:c r="G1039" s="74"/>
      <x:c r="H1039" s="74"/>
      <x:c r="I1039" s="74"/>
      <x:c r="J1039" s="74"/>
      <x:c r="K1039" s="74"/>
      <x:c r="L1039" s="74"/>
      <x:c r="M1039" s="91"/>
      <x:c r="N1039" s="91"/>
      <x:c r="O1039" s="85"/>
      <x:c r="Q1039" s="86"/>
      <x:c r="R1039" s="86"/>
      <x:c r="S1039" s="32"/>
    </x:row>
    <x:row r="1040">
      <x:c r="A1040" s="87"/>
      <x:c r="B1040" s="88"/>
      <x:c r="D1040" s="32"/>
      <x:c r="G1040" s="74"/>
      <x:c r="H1040" s="74"/>
      <x:c r="I1040" s="74"/>
      <x:c r="J1040" s="74"/>
      <x:c r="K1040" s="74"/>
      <x:c r="L1040" s="74"/>
      <x:c r="M1040" s="91"/>
      <x:c r="N1040" s="91"/>
      <x:c r="O1040" s="85"/>
      <x:c r="Q1040" s="86"/>
      <x:c r="R1040" s="86"/>
      <x:c r="S1040" s="32"/>
    </x:row>
    <x:row r="1041">
      <x:c r="A1041" s="87"/>
      <x:c r="B1041" s="88"/>
      <x:c r="D1041" s="32"/>
      <x:c r="G1041" s="74"/>
      <x:c r="H1041" s="74"/>
      <x:c r="I1041" s="74"/>
      <x:c r="J1041" s="74"/>
      <x:c r="K1041" s="74"/>
      <x:c r="L1041" s="74"/>
      <x:c r="M1041" s="91"/>
      <x:c r="N1041" s="91"/>
      <x:c r="O1041" s="85"/>
      <x:c r="Q1041" s="86"/>
      <x:c r="R1041" s="86"/>
      <x:c r="S1041" s="32"/>
    </x:row>
    <x:row r="1042">
      <x:c r="A1042" s="87"/>
      <x:c r="B1042" s="88"/>
      <x:c r="D1042" s="32"/>
      <x:c r="G1042" s="74"/>
      <x:c r="H1042" s="74"/>
      <x:c r="I1042" s="74"/>
      <x:c r="J1042" s="74"/>
      <x:c r="K1042" s="74"/>
      <x:c r="L1042" s="74"/>
      <x:c r="M1042" s="91"/>
      <x:c r="N1042" s="91"/>
      <x:c r="O1042" s="85"/>
      <x:c r="Q1042" s="86"/>
      <x:c r="R1042" s="86"/>
      <x:c r="S1042" s="32"/>
    </x:row>
    <x:row r="1043">
      <x:c r="A1043" s="87"/>
      <x:c r="B1043" s="88"/>
      <x:c r="D1043" s="32"/>
      <x:c r="G1043" s="74"/>
      <x:c r="H1043" s="74"/>
      <x:c r="I1043" s="74"/>
      <x:c r="J1043" s="74"/>
      <x:c r="K1043" s="74"/>
      <x:c r="L1043" s="74"/>
      <x:c r="M1043" s="91"/>
      <x:c r="N1043" s="91"/>
      <x:c r="O1043" s="85"/>
      <x:c r="Q1043" s="86"/>
      <x:c r="R1043" s="86"/>
      <x:c r="S1043" s="32"/>
    </x:row>
    <x:row r="1044">
      <x:c r="A1044" s="87"/>
      <x:c r="B1044" s="88"/>
      <x:c r="D1044" s="32"/>
      <x:c r="G1044" s="74"/>
      <x:c r="H1044" s="74"/>
      <x:c r="I1044" s="74"/>
      <x:c r="J1044" s="74"/>
      <x:c r="K1044" s="74"/>
      <x:c r="L1044" s="74"/>
      <x:c r="M1044" s="91"/>
      <x:c r="N1044" s="91"/>
      <x:c r="O1044" s="85"/>
      <x:c r="Q1044" s="86"/>
      <x:c r="R1044" s="86"/>
      <x:c r="S1044" s="32"/>
    </x:row>
    <x:row r="1045">
      <x:c r="A1045" s="87"/>
      <x:c r="B1045" s="88"/>
      <x:c r="D1045" s="32"/>
      <x:c r="G1045" s="74"/>
      <x:c r="H1045" s="74"/>
      <x:c r="I1045" s="74"/>
      <x:c r="J1045" s="74"/>
      <x:c r="K1045" s="74"/>
      <x:c r="L1045" s="74"/>
      <x:c r="M1045" s="91"/>
      <x:c r="N1045" s="91"/>
      <x:c r="O1045" s="85"/>
      <x:c r="Q1045" s="86"/>
      <x:c r="R1045" s="86"/>
      <x:c r="S1045" s="32"/>
    </x:row>
    <x:row r="1046">
      <x:c r="A1046" s="87"/>
      <x:c r="B1046" s="88"/>
      <x:c r="D1046" s="32"/>
      <x:c r="G1046" s="74"/>
      <x:c r="H1046" s="74"/>
      <x:c r="I1046" s="74"/>
      <x:c r="J1046" s="74"/>
      <x:c r="K1046" s="74"/>
      <x:c r="L1046" s="74"/>
      <x:c r="M1046" s="91"/>
      <x:c r="N1046" s="91"/>
      <x:c r="O1046" s="85"/>
      <x:c r="Q1046" s="86"/>
      <x:c r="R1046" s="86"/>
      <x:c r="S1046" s="32"/>
    </x:row>
    <x:row r="1047">
      <x:c r="A1047" s="87"/>
      <x:c r="B1047" s="88"/>
      <x:c r="D1047" s="32"/>
      <x:c r="G1047" s="74"/>
      <x:c r="H1047" s="74"/>
      <x:c r="I1047" s="74"/>
      <x:c r="J1047" s="74"/>
      <x:c r="K1047" s="74"/>
      <x:c r="L1047" s="74"/>
      <x:c r="M1047" s="91"/>
      <x:c r="N1047" s="91"/>
      <x:c r="O1047" s="85"/>
      <x:c r="Q1047" s="86"/>
      <x:c r="R1047" s="86"/>
      <x:c r="S1047" s="32"/>
    </x:row>
    <x:row r="1048">
      <x:c r="A1048" s="87"/>
      <x:c r="B1048" s="88"/>
      <x:c r="D1048" s="32"/>
      <x:c r="G1048" s="74"/>
      <x:c r="H1048" s="74"/>
      <x:c r="I1048" s="74"/>
      <x:c r="J1048" s="74"/>
      <x:c r="K1048" s="74"/>
      <x:c r="L1048" s="74"/>
      <x:c r="M1048" s="91"/>
      <x:c r="N1048" s="91"/>
      <x:c r="O1048" s="85"/>
      <x:c r="Q1048" s="86"/>
      <x:c r="R1048" s="86"/>
      <x:c r="S1048" s="32"/>
    </x:row>
    <x:row r="1049">
      <x:c r="A1049" s="87"/>
      <x:c r="B1049" s="88"/>
      <x:c r="D1049" s="32"/>
      <x:c r="G1049" s="74"/>
      <x:c r="H1049" s="74"/>
      <x:c r="I1049" s="74"/>
      <x:c r="J1049" s="74"/>
      <x:c r="K1049" s="74"/>
      <x:c r="L1049" s="74"/>
      <x:c r="M1049" s="91"/>
      <x:c r="N1049" s="91"/>
      <x:c r="O1049" s="85"/>
      <x:c r="Q1049" s="86"/>
      <x:c r="R1049" s="86"/>
      <x:c r="S1049" s="32"/>
    </x:row>
    <x:row r="1050">
      <x:c r="A1050" s="87"/>
      <x:c r="B1050" s="88"/>
      <x:c r="D1050" s="32"/>
      <x:c r="G1050" s="74"/>
      <x:c r="H1050" s="74"/>
      <x:c r="I1050" s="74"/>
      <x:c r="J1050" s="74"/>
      <x:c r="K1050" s="74"/>
      <x:c r="L1050" s="74"/>
      <x:c r="M1050" s="91"/>
      <x:c r="N1050" s="91"/>
      <x:c r="O1050" s="85"/>
      <x:c r="Q1050" s="86"/>
      <x:c r="R1050" s="86"/>
      <x:c r="S1050" s="32"/>
    </x:row>
    <x:row r="1051">
      <x:c r="A1051" s="87"/>
      <x:c r="B1051" s="88"/>
      <x:c r="D1051" s="32"/>
      <x:c r="G1051" s="74"/>
      <x:c r="H1051" s="74"/>
      <x:c r="I1051" s="74"/>
      <x:c r="J1051" s="74"/>
      <x:c r="K1051" s="74"/>
      <x:c r="L1051" s="74"/>
      <x:c r="M1051" s="91"/>
      <x:c r="N1051" s="91"/>
      <x:c r="O1051" s="85"/>
      <x:c r="Q1051" s="86"/>
      <x:c r="R1051" s="86"/>
      <x:c r="S1051" s="32"/>
    </x:row>
    <x:row r="1052">
      <x:c r="A1052" s="87"/>
      <x:c r="B1052" s="88"/>
      <x:c r="D1052" s="32"/>
      <x:c r="G1052" s="74"/>
      <x:c r="H1052" s="74"/>
      <x:c r="I1052" s="74"/>
      <x:c r="J1052" s="74"/>
      <x:c r="K1052" s="74"/>
      <x:c r="L1052" s="74"/>
      <x:c r="M1052" s="91"/>
      <x:c r="N1052" s="91"/>
      <x:c r="O1052" s="85"/>
      <x:c r="Q1052" s="86"/>
      <x:c r="R1052" s="86"/>
      <x:c r="S1052" s="32"/>
    </x:row>
    <x:row r="1053">
      <x:c r="A1053" s="87"/>
      <x:c r="B1053" s="88"/>
      <x:c r="D1053" s="32"/>
      <x:c r="G1053" s="74"/>
      <x:c r="H1053" s="74"/>
      <x:c r="I1053" s="74"/>
      <x:c r="J1053" s="74"/>
      <x:c r="K1053" s="74"/>
      <x:c r="L1053" s="74"/>
      <x:c r="M1053" s="91"/>
      <x:c r="N1053" s="91"/>
      <x:c r="O1053" s="85"/>
      <x:c r="Q1053" s="86"/>
      <x:c r="R1053" s="86"/>
      <x:c r="S1053" s="32"/>
    </x:row>
    <x:row r="1054">
      <x:c r="A1054" s="87"/>
      <x:c r="B1054" s="88"/>
      <x:c r="D1054" s="32"/>
      <x:c r="G1054" s="74"/>
      <x:c r="H1054" s="74"/>
      <x:c r="I1054" s="74"/>
      <x:c r="J1054" s="74"/>
      <x:c r="K1054" s="74"/>
      <x:c r="L1054" s="74"/>
      <x:c r="M1054" s="91"/>
      <x:c r="N1054" s="91"/>
      <x:c r="O1054" s="85"/>
      <x:c r="Q1054" s="86"/>
      <x:c r="R1054" s="86"/>
      <x:c r="S1054" s="32"/>
    </x:row>
    <x:row r="1055">
      <x:c r="A1055" s="87"/>
      <x:c r="B1055" s="88"/>
      <x:c r="D1055" s="32"/>
      <x:c r="G1055" s="74"/>
      <x:c r="H1055" s="74"/>
      <x:c r="I1055" s="74"/>
      <x:c r="J1055" s="74"/>
      <x:c r="K1055" s="74"/>
      <x:c r="L1055" s="74"/>
      <x:c r="M1055" s="91"/>
      <x:c r="N1055" s="91"/>
      <x:c r="O1055" s="85"/>
      <x:c r="Q1055" s="86"/>
      <x:c r="R1055" s="86"/>
      <x:c r="S1055" s="32"/>
    </x:row>
    <x:row r="1056">
      <x:c r="A1056" s="87"/>
      <x:c r="B1056" s="88"/>
      <x:c r="D1056" s="32"/>
      <x:c r="G1056" s="74"/>
      <x:c r="H1056" s="74"/>
      <x:c r="I1056" s="74"/>
      <x:c r="J1056" s="74"/>
      <x:c r="K1056" s="74"/>
      <x:c r="L1056" s="74"/>
      <x:c r="M1056" s="91"/>
      <x:c r="N1056" s="91"/>
      <x:c r="O1056" s="85"/>
      <x:c r="Q1056" s="86"/>
      <x:c r="R1056" s="86"/>
      <x:c r="S1056" s="32"/>
    </x:row>
    <x:row r="1057">
      <x:c r="A1057" s="87"/>
      <x:c r="B1057" s="88"/>
      <x:c r="D1057" s="32"/>
      <x:c r="G1057" s="74"/>
      <x:c r="H1057" s="74"/>
      <x:c r="I1057" s="74"/>
      <x:c r="J1057" s="74"/>
      <x:c r="K1057" s="74"/>
      <x:c r="L1057" s="74"/>
      <x:c r="M1057" s="91"/>
      <x:c r="N1057" s="91"/>
      <x:c r="O1057" s="85"/>
      <x:c r="Q1057" s="86"/>
      <x:c r="R1057" s="86"/>
      <x:c r="S1057" s="32"/>
    </x:row>
    <x:row r="1058">
      <x:c r="A1058" s="87"/>
      <x:c r="B1058" s="88"/>
      <x:c r="D1058" s="32"/>
      <x:c r="G1058" s="74"/>
      <x:c r="H1058" s="74"/>
      <x:c r="I1058" s="74"/>
      <x:c r="J1058" s="74"/>
      <x:c r="K1058" s="74"/>
      <x:c r="L1058" s="74"/>
      <x:c r="M1058" s="91"/>
      <x:c r="N1058" s="91"/>
      <x:c r="O1058" s="85"/>
      <x:c r="Q1058" s="86"/>
      <x:c r="R1058" s="86"/>
      <x:c r="S1058" s="32"/>
    </x:row>
    <x:row r="1059">
      <x:c r="A1059" s="87"/>
      <x:c r="B1059" s="88"/>
      <x:c r="D1059" s="32"/>
      <x:c r="G1059" s="74"/>
      <x:c r="H1059" s="74"/>
      <x:c r="I1059" s="74"/>
      <x:c r="J1059" s="74"/>
      <x:c r="K1059" s="74"/>
      <x:c r="L1059" s="74"/>
      <x:c r="M1059" s="91"/>
      <x:c r="N1059" s="91"/>
      <x:c r="O1059" s="85"/>
      <x:c r="Q1059" s="86"/>
      <x:c r="R1059" s="86"/>
      <x:c r="S1059" s="32"/>
    </x:row>
    <x:row r="1060">
      <x:c r="A1060" s="87"/>
      <x:c r="B1060" s="88"/>
      <x:c r="D1060" s="32"/>
      <x:c r="G1060" s="74"/>
      <x:c r="H1060" s="74"/>
      <x:c r="I1060" s="74"/>
      <x:c r="J1060" s="74"/>
      <x:c r="K1060" s="74"/>
      <x:c r="L1060" s="74"/>
      <x:c r="M1060" s="91"/>
      <x:c r="N1060" s="91"/>
      <x:c r="O1060" s="85"/>
      <x:c r="Q1060" s="86"/>
      <x:c r="R1060" s="86"/>
      <x:c r="S1060" s="32"/>
    </x:row>
    <x:row r="1061">
      <x:c r="A1061" s="87"/>
      <x:c r="B1061" s="88"/>
      <x:c r="D1061" s="32"/>
      <x:c r="G1061" s="74"/>
      <x:c r="H1061" s="74"/>
      <x:c r="I1061" s="74"/>
      <x:c r="J1061" s="74"/>
      <x:c r="K1061" s="74"/>
      <x:c r="L1061" s="74"/>
      <x:c r="M1061" s="91"/>
      <x:c r="N1061" s="91"/>
      <x:c r="O1061" s="85"/>
      <x:c r="Q1061" s="86"/>
      <x:c r="R1061" s="86"/>
      <x:c r="S1061" s="32"/>
    </x:row>
    <x:row r="1062">
      <x:c r="A1062" s="87"/>
      <x:c r="B1062" s="88"/>
      <x:c r="D1062" s="32"/>
      <x:c r="G1062" s="74"/>
      <x:c r="H1062" s="74"/>
      <x:c r="I1062" s="74"/>
      <x:c r="J1062" s="74"/>
      <x:c r="K1062" s="74"/>
      <x:c r="L1062" s="74"/>
      <x:c r="M1062" s="91"/>
      <x:c r="N1062" s="91"/>
      <x:c r="O1062" s="85"/>
      <x:c r="Q1062" s="86"/>
      <x:c r="R1062" s="86"/>
      <x:c r="S1062" s="32"/>
    </x:row>
    <x:row r="1063">
      <x:c r="A1063" s="87"/>
      <x:c r="B1063" s="88"/>
      <x:c r="D1063" s="32"/>
      <x:c r="G1063" s="74"/>
      <x:c r="H1063" s="74"/>
      <x:c r="I1063" s="74"/>
      <x:c r="J1063" s="74"/>
      <x:c r="K1063" s="74"/>
      <x:c r="L1063" s="74"/>
      <x:c r="M1063" s="91"/>
      <x:c r="N1063" s="91"/>
      <x:c r="O1063" s="85"/>
      <x:c r="Q1063" s="86"/>
      <x:c r="R1063" s="86"/>
      <x:c r="S1063" s="32"/>
    </x:row>
    <x:row r="1064">
      <x:c r="A1064" s="87"/>
      <x:c r="B1064" s="88"/>
      <x:c r="D1064" s="32"/>
      <x:c r="G1064" s="74"/>
      <x:c r="H1064" s="74"/>
      <x:c r="I1064" s="74"/>
      <x:c r="J1064" s="74"/>
      <x:c r="K1064" s="74"/>
      <x:c r="L1064" s="74"/>
      <x:c r="M1064" s="91"/>
      <x:c r="N1064" s="91"/>
      <x:c r="O1064" s="85"/>
      <x:c r="Q1064" s="86"/>
      <x:c r="R1064" s="86"/>
      <x:c r="S1064" s="32"/>
    </x:row>
    <x:row r="1065">
      <x:c r="A1065" s="87"/>
      <x:c r="B1065" s="88"/>
      <x:c r="D1065" s="32"/>
      <x:c r="G1065" s="74"/>
      <x:c r="H1065" s="74"/>
      <x:c r="I1065" s="74"/>
      <x:c r="J1065" s="74"/>
      <x:c r="K1065" s="74"/>
      <x:c r="L1065" s="74"/>
      <x:c r="M1065" s="91"/>
      <x:c r="N1065" s="91"/>
      <x:c r="O1065" s="85"/>
      <x:c r="Q1065" s="86"/>
      <x:c r="R1065" s="86"/>
      <x:c r="S1065" s="32"/>
    </x:row>
    <x:row r="1066">
      <x:c r="A1066" s="87"/>
      <x:c r="B1066" s="88"/>
      <x:c r="D1066" s="32"/>
      <x:c r="G1066" s="74"/>
      <x:c r="H1066" s="74"/>
      <x:c r="I1066" s="74"/>
      <x:c r="J1066" s="74"/>
      <x:c r="K1066" s="74"/>
      <x:c r="L1066" s="74"/>
      <x:c r="M1066" s="91"/>
      <x:c r="N1066" s="91"/>
      <x:c r="O1066" s="85"/>
      <x:c r="Q1066" s="86"/>
      <x:c r="R1066" s="86"/>
      <x:c r="S1066" s="32"/>
    </x:row>
    <x:row r="1067">
      <x:c r="A1067" s="87"/>
      <x:c r="B1067" s="88"/>
      <x:c r="D1067" s="32"/>
      <x:c r="G1067" s="74"/>
      <x:c r="H1067" s="74"/>
      <x:c r="I1067" s="74"/>
      <x:c r="J1067" s="74"/>
      <x:c r="K1067" s="74"/>
      <x:c r="L1067" s="74"/>
      <x:c r="M1067" s="91"/>
      <x:c r="N1067" s="91"/>
      <x:c r="O1067" s="85"/>
      <x:c r="Q1067" s="86"/>
      <x:c r="R1067" s="86"/>
      <x:c r="S1067" s="32"/>
    </x:row>
    <x:row r="1068">
      <x:c r="A1068" s="87"/>
      <x:c r="B1068" s="88"/>
      <x:c r="D1068" s="32"/>
      <x:c r="G1068" s="74"/>
      <x:c r="H1068" s="74"/>
      <x:c r="I1068" s="74"/>
      <x:c r="J1068" s="74"/>
      <x:c r="K1068" s="74"/>
      <x:c r="L1068" s="74"/>
      <x:c r="M1068" s="91"/>
      <x:c r="N1068" s="91"/>
      <x:c r="O1068" s="85"/>
      <x:c r="Q1068" s="86"/>
      <x:c r="R1068" s="86"/>
      <x:c r="S1068" s="32"/>
    </x:row>
    <x:row r="1069">
      <x:c r="A1069" s="87"/>
      <x:c r="B1069" s="88"/>
      <x:c r="D1069" s="32"/>
      <x:c r="G1069" s="74"/>
      <x:c r="H1069" s="74"/>
      <x:c r="I1069" s="74"/>
      <x:c r="J1069" s="74"/>
      <x:c r="K1069" s="74"/>
      <x:c r="L1069" s="74"/>
      <x:c r="M1069" s="91"/>
      <x:c r="N1069" s="91"/>
      <x:c r="O1069" s="85"/>
      <x:c r="Q1069" s="86"/>
      <x:c r="R1069" s="86"/>
      <x:c r="S1069" s="32"/>
    </x:row>
    <x:row r="1070">
      <x:c r="A1070" s="87"/>
      <x:c r="B1070" s="88"/>
      <x:c r="D1070" s="32"/>
      <x:c r="G1070" s="74"/>
      <x:c r="H1070" s="74"/>
      <x:c r="I1070" s="74"/>
      <x:c r="J1070" s="74"/>
      <x:c r="K1070" s="74"/>
      <x:c r="L1070" s="74"/>
      <x:c r="M1070" s="91"/>
      <x:c r="N1070" s="91"/>
      <x:c r="O1070" s="85"/>
      <x:c r="Q1070" s="86"/>
      <x:c r="R1070" s="86"/>
      <x:c r="S1070" s="32"/>
    </x:row>
    <x:row r="1071">
      <x:c r="A1071" s="87"/>
      <x:c r="B1071" s="88"/>
      <x:c r="D1071" s="32"/>
      <x:c r="G1071" s="74"/>
      <x:c r="H1071" s="74"/>
      <x:c r="I1071" s="74"/>
      <x:c r="J1071" s="74"/>
      <x:c r="K1071" s="74"/>
      <x:c r="L1071" s="74"/>
      <x:c r="M1071" s="91"/>
      <x:c r="N1071" s="91"/>
      <x:c r="O1071" s="85"/>
      <x:c r="Q1071" s="86"/>
      <x:c r="R1071" s="86"/>
      <x:c r="S1071" s="32"/>
    </x:row>
    <x:row r="1072">
      <x:c r="A1072" s="87"/>
      <x:c r="B1072" s="88"/>
      <x:c r="D1072" s="32"/>
      <x:c r="G1072" s="74"/>
      <x:c r="H1072" s="74"/>
      <x:c r="I1072" s="74"/>
      <x:c r="J1072" s="74"/>
      <x:c r="K1072" s="74"/>
      <x:c r="L1072" s="74"/>
      <x:c r="M1072" s="91"/>
      <x:c r="N1072" s="91"/>
      <x:c r="O1072" s="85"/>
      <x:c r="Q1072" s="86"/>
      <x:c r="R1072" s="86"/>
      <x:c r="S1072" s="32"/>
    </x:row>
    <x:row r="1073">
      <x:c r="A1073" s="87"/>
      <x:c r="B1073" s="88"/>
      <x:c r="D1073" s="32"/>
      <x:c r="G1073" s="74"/>
      <x:c r="H1073" s="74"/>
      <x:c r="I1073" s="74"/>
      <x:c r="J1073" s="74"/>
      <x:c r="K1073" s="74"/>
      <x:c r="L1073" s="74"/>
      <x:c r="M1073" s="91"/>
      <x:c r="N1073" s="91"/>
      <x:c r="O1073" s="85"/>
      <x:c r="Q1073" s="86"/>
      <x:c r="R1073" s="86"/>
      <x:c r="S1073" s="32"/>
    </x:row>
    <x:row r="1074">
      <x:c r="A1074" s="87"/>
      <x:c r="B1074" s="88"/>
      <x:c r="D1074" s="32"/>
      <x:c r="G1074" s="74"/>
      <x:c r="H1074" s="74"/>
      <x:c r="I1074" s="74"/>
      <x:c r="J1074" s="74"/>
      <x:c r="K1074" s="74"/>
      <x:c r="L1074" s="74"/>
      <x:c r="M1074" s="91"/>
      <x:c r="N1074" s="91"/>
      <x:c r="O1074" s="85"/>
      <x:c r="Q1074" s="86"/>
      <x:c r="R1074" s="86"/>
      <x:c r="S1074" s="32"/>
    </x:row>
    <x:row r="1075">
      <x:c r="A1075" s="87"/>
      <x:c r="B1075" s="88"/>
      <x:c r="D1075" s="32"/>
      <x:c r="G1075" s="74"/>
      <x:c r="H1075" s="74"/>
      <x:c r="I1075" s="74"/>
      <x:c r="J1075" s="74"/>
      <x:c r="K1075" s="74"/>
      <x:c r="L1075" s="74"/>
      <x:c r="M1075" s="91"/>
      <x:c r="N1075" s="91"/>
      <x:c r="O1075" s="85"/>
      <x:c r="Q1075" s="86"/>
      <x:c r="R1075" s="86"/>
      <x:c r="S1075" s="32"/>
    </x:row>
    <x:row r="1076">
      <x:c r="A1076" s="87"/>
      <x:c r="B1076" s="88"/>
      <x:c r="D1076" s="32"/>
      <x:c r="G1076" s="74"/>
      <x:c r="H1076" s="74"/>
      <x:c r="I1076" s="74"/>
      <x:c r="J1076" s="74"/>
      <x:c r="K1076" s="74"/>
      <x:c r="L1076" s="74"/>
      <x:c r="M1076" s="91"/>
      <x:c r="N1076" s="91"/>
      <x:c r="O1076" s="85"/>
      <x:c r="Q1076" s="86"/>
      <x:c r="R1076" s="86"/>
      <x:c r="S1076" s="32"/>
    </x:row>
    <x:row r="1077">
      <x:c r="A1077" s="87"/>
      <x:c r="B1077" s="88"/>
      <x:c r="D1077" s="32"/>
      <x:c r="G1077" s="74"/>
      <x:c r="H1077" s="74"/>
      <x:c r="I1077" s="74"/>
      <x:c r="J1077" s="74"/>
      <x:c r="K1077" s="74"/>
      <x:c r="L1077" s="74"/>
      <x:c r="M1077" s="91"/>
      <x:c r="N1077" s="91"/>
      <x:c r="O1077" s="85"/>
      <x:c r="Q1077" s="86"/>
      <x:c r="R1077" s="86"/>
      <x:c r="S1077" s="32"/>
    </x:row>
    <x:row r="1078">
      <x:c r="A1078" s="87"/>
      <x:c r="B1078" s="88"/>
      <x:c r="D1078" s="32"/>
      <x:c r="G1078" s="74"/>
      <x:c r="H1078" s="74"/>
      <x:c r="I1078" s="74"/>
      <x:c r="J1078" s="74"/>
      <x:c r="K1078" s="74"/>
      <x:c r="L1078" s="74"/>
      <x:c r="M1078" s="91"/>
      <x:c r="N1078" s="91"/>
      <x:c r="O1078" s="85"/>
      <x:c r="Q1078" s="86"/>
      <x:c r="R1078" s="86"/>
      <x:c r="S1078" s="32"/>
    </x:row>
    <x:row r="1079">
      <x:c r="A1079" s="87"/>
      <x:c r="B1079" s="88"/>
      <x:c r="D1079" s="32"/>
      <x:c r="G1079" s="74"/>
      <x:c r="H1079" s="74"/>
      <x:c r="I1079" s="74"/>
      <x:c r="J1079" s="74"/>
      <x:c r="K1079" s="74"/>
      <x:c r="L1079" s="74"/>
      <x:c r="M1079" s="91"/>
      <x:c r="N1079" s="91"/>
      <x:c r="O1079" s="85"/>
      <x:c r="Q1079" s="86"/>
      <x:c r="R1079" s="86"/>
      <x:c r="S1079" s="32"/>
    </x:row>
    <x:row r="1080">
      <x:c r="A1080" s="87"/>
      <x:c r="B1080" s="88"/>
      <x:c r="D1080" s="32"/>
      <x:c r="G1080" s="74"/>
      <x:c r="H1080" s="74"/>
      <x:c r="I1080" s="74"/>
      <x:c r="J1080" s="74"/>
      <x:c r="K1080" s="74"/>
      <x:c r="L1080" s="74"/>
      <x:c r="M1080" s="91"/>
      <x:c r="N1080" s="91"/>
      <x:c r="O1080" s="85"/>
      <x:c r="Q1080" s="86"/>
      <x:c r="R1080" s="86"/>
      <x:c r="S1080" s="32"/>
    </x:row>
    <x:row r="1081">
      <x:c r="A1081" s="87"/>
      <x:c r="B1081" s="88"/>
      <x:c r="D1081" s="32"/>
      <x:c r="G1081" s="74"/>
      <x:c r="H1081" s="74"/>
      <x:c r="I1081" s="74"/>
      <x:c r="J1081" s="74"/>
      <x:c r="K1081" s="74"/>
      <x:c r="L1081" s="74"/>
      <x:c r="M1081" s="91"/>
      <x:c r="N1081" s="91"/>
      <x:c r="O1081" s="85"/>
      <x:c r="Q1081" s="86"/>
      <x:c r="R1081" s="86"/>
      <x:c r="S1081" s="32"/>
    </x:row>
    <x:row r="1082">
      <x:c r="A1082" s="87"/>
      <x:c r="B1082" s="88"/>
      <x:c r="D1082" s="32"/>
      <x:c r="G1082" s="74"/>
      <x:c r="H1082" s="74"/>
      <x:c r="I1082" s="74"/>
      <x:c r="J1082" s="74"/>
      <x:c r="K1082" s="74"/>
      <x:c r="L1082" s="74"/>
      <x:c r="M1082" s="91"/>
      <x:c r="N1082" s="91"/>
      <x:c r="O1082" s="85"/>
      <x:c r="Q1082" s="86"/>
      <x:c r="R1082" s="86"/>
      <x:c r="S1082" s="32"/>
    </x:row>
    <x:row r="1083">
      <x:c r="A1083" s="87"/>
      <x:c r="B1083" s="88"/>
      <x:c r="D1083" s="32"/>
      <x:c r="G1083" s="74"/>
      <x:c r="H1083" s="74"/>
      <x:c r="I1083" s="74"/>
      <x:c r="J1083" s="74"/>
      <x:c r="K1083" s="74"/>
      <x:c r="L1083" s="74"/>
      <x:c r="M1083" s="91"/>
      <x:c r="N1083" s="91"/>
      <x:c r="O1083" s="85"/>
      <x:c r="Q1083" s="86"/>
      <x:c r="R1083" s="86"/>
      <x:c r="S1083" s="32"/>
    </x:row>
    <x:row r="1084">
      <x:c r="A1084" s="87"/>
      <x:c r="B1084" s="88"/>
      <x:c r="D1084" s="32"/>
      <x:c r="G1084" s="74"/>
      <x:c r="H1084" s="74"/>
      <x:c r="I1084" s="74"/>
      <x:c r="J1084" s="74"/>
      <x:c r="K1084" s="74"/>
      <x:c r="L1084" s="74"/>
      <x:c r="M1084" s="91"/>
      <x:c r="N1084" s="91"/>
      <x:c r="O1084" s="85"/>
      <x:c r="Q1084" s="86"/>
      <x:c r="R1084" s="86"/>
      <x:c r="S1084" s="32"/>
    </x:row>
    <x:row r="1085">
      <x:c r="A1085" s="87"/>
      <x:c r="B1085" s="88"/>
      <x:c r="D1085" s="32"/>
      <x:c r="G1085" s="74"/>
      <x:c r="H1085" s="74"/>
      <x:c r="I1085" s="74"/>
      <x:c r="J1085" s="74"/>
      <x:c r="K1085" s="74"/>
      <x:c r="L1085" s="74"/>
      <x:c r="M1085" s="91"/>
      <x:c r="N1085" s="91"/>
      <x:c r="O1085" s="85"/>
      <x:c r="Q1085" s="86"/>
      <x:c r="R1085" s="86"/>
      <x:c r="S1085" s="32"/>
    </x:row>
    <x:row r="1086">
      <x:c r="A1086" s="87"/>
      <x:c r="B1086" s="88"/>
      <x:c r="D1086" s="32"/>
      <x:c r="G1086" s="74"/>
      <x:c r="H1086" s="74"/>
      <x:c r="I1086" s="74"/>
      <x:c r="J1086" s="74"/>
      <x:c r="K1086" s="74"/>
      <x:c r="L1086" s="74"/>
      <x:c r="M1086" s="91"/>
      <x:c r="N1086" s="91"/>
      <x:c r="O1086" s="85"/>
      <x:c r="Q1086" s="86"/>
      <x:c r="R1086" s="86"/>
      <x:c r="S1086" s="32"/>
    </x:row>
    <x:row r="1087">
      <x:c r="A1087" s="87"/>
      <x:c r="B1087" s="88"/>
      <x:c r="D1087" s="32"/>
      <x:c r="G1087" s="74"/>
      <x:c r="H1087" s="74"/>
      <x:c r="I1087" s="74"/>
      <x:c r="J1087" s="74"/>
      <x:c r="K1087" s="74"/>
      <x:c r="L1087" s="74"/>
      <x:c r="M1087" s="91"/>
      <x:c r="N1087" s="91"/>
      <x:c r="O1087" s="85"/>
      <x:c r="Q1087" s="86"/>
      <x:c r="R1087" s="86"/>
      <x:c r="S1087" s="32"/>
    </x:row>
    <x:row r="1088">
      <x:c r="A1088" s="87"/>
      <x:c r="B1088" s="88"/>
      <x:c r="D1088" s="32"/>
      <x:c r="G1088" s="74"/>
      <x:c r="H1088" s="74"/>
      <x:c r="I1088" s="74"/>
      <x:c r="J1088" s="74"/>
      <x:c r="K1088" s="74"/>
      <x:c r="L1088" s="74"/>
      <x:c r="M1088" s="91"/>
      <x:c r="N1088" s="91"/>
      <x:c r="O1088" s="85"/>
      <x:c r="Q1088" s="86"/>
      <x:c r="R1088" s="86"/>
      <x:c r="S1088" s="32"/>
    </x:row>
    <x:row r="1089">
      <x:c r="A1089" s="87"/>
      <x:c r="B1089" s="88"/>
      <x:c r="D1089" s="32"/>
      <x:c r="G1089" s="74"/>
      <x:c r="H1089" s="74"/>
      <x:c r="I1089" s="74"/>
      <x:c r="J1089" s="74"/>
      <x:c r="K1089" s="74"/>
      <x:c r="L1089" s="74"/>
      <x:c r="M1089" s="91"/>
      <x:c r="N1089" s="91"/>
      <x:c r="O1089" s="85"/>
      <x:c r="Q1089" s="86"/>
      <x:c r="R1089" s="86"/>
      <x:c r="S1089" s="32"/>
    </x:row>
    <x:row r="1090">
      <x:c r="A1090" s="87"/>
      <x:c r="B1090" s="88"/>
      <x:c r="D1090" s="32"/>
      <x:c r="G1090" s="74"/>
      <x:c r="H1090" s="74"/>
      <x:c r="I1090" s="74"/>
      <x:c r="J1090" s="74"/>
      <x:c r="K1090" s="74"/>
      <x:c r="L1090" s="74"/>
      <x:c r="M1090" s="91"/>
      <x:c r="N1090" s="91"/>
      <x:c r="O1090" s="85"/>
      <x:c r="Q1090" s="86"/>
      <x:c r="R1090" s="86"/>
      <x:c r="S1090" s="32"/>
    </x:row>
    <x:row r="1091">
      <x:c r="A1091" s="87"/>
      <x:c r="B1091" s="88"/>
      <x:c r="D1091" s="32"/>
      <x:c r="G1091" s="74"/>
      <x:c r="H1091" s="74"/>
      <x:c r="I1091" s="74"/>
      <x:c r="J1091" s="74"/>
      <x:c r="K1091" s="74"/>
      <x:c r="L1091" s="74"/>
      <x:c r="M1091" s="91"/>
      <x:c r="N1091" s="91"/>
      <x:c r="O1091" s="85"/>
      <x:c r="Q1091" s="86"/>
      <x:c r="R1091" s="86"/>
      <x:c r="S1091" s="32"/>
    </x:row>
    <x:row r="1092">
      <x:c r="A1092" s="87"/>
      <x:c r="B1092" s="88"/>
      <x:c r="D1092" s="32"/>
      <x:c r="G1092" s="74"/>
      <x:c r="H1092" s="74"/>
      <x:c r="I1092" s="74"/>
      <x:c r="J1092" s="74"/>
      <x:c r="K1092" s="74"/>
      <x:c r="L1092" s="74"/>
      <x:c r="M1092" s="91"/>
      <x:c r="N1092" s="91"/>
      <x:c r="O1092" s="85"/>
      <x:c r="Q1092" s="86"/>
      <x:c r="R1092" s="86"/>
      <x:c r="S1092" s="32"/>
    </x:row>
    <x:row r="1093">
      <x:c r="A1093" s="87"/>
      <x:c r="B1093" s="88"/>
      <x:c r="D1093" s="32"/>
      <x:c r="G1093" s="74"/>
      <x:c r="H1093" s="74"/>
      <x:c r="I1093" s="74"/>
      <x:c r="J1093" s="74"/>
      <x:c r="K1093" s="74"/>
      <x:c r="L1093" s="74"/>
      <x:c r="M1093" s="91"/>
      <x:c r="N1093" s="91"/>
      <x:c r="O1093" s="85"/>
      <x:c r="Q1093" s="86"/>
      <x:c r="R1093" s="86"/>
      <x:c r="S1093" s="32"/>
    </x:row>
    <x:row r="1094">
      <x:c r="A1094" s="87"/>
      <x:c r="B1094" s="88"/>
      <x:c r="D1094" s="32"/>
      <x:c r="G1094" s="74"/>
      <x:c r="H1094" s="74"/>
      <x:c r="I1094" s="74"/>
      <x:c r="J1094" s="74"/>
      <x:c r="K1094" s="74"/>
      <x:c r="L1094" s="74"/>
      <x:c r="M1094" s="91"/>
      <x:c r="N1094" s="91"/>
      <x:c r="O1094" s="85"/>
      <x:c r="Q1094" s="86"/>
      <x:c r="R1094" s="86"/>
      <x:c r="S1094" s="32"/>
    </x:row>
    <x:row r="1095">
      <x:c r="A1095" s="87"/>
      <x:c r="B1095" s="88"/>
      <x:c r="D1095" s="32"/>
      <x:c r="G1095" s="74"/>
      <x:c r="H1095" s="74"/>
      <x:c r="I1095" s="74"/>
      <x:c r="J1095" s="74"/>
      <x:c r="K1095" s="74"/>
      <x:c r="L1095" s="74"/>
      <x:c r="M1095" s="91"/>
      <x:c r="N1095" s="91"/>
      <x:c r="O1095" s="85"/>
      <x:c r="Q1095" s="86"/>
      <x:c r="R1095" s="86"/>
      <x:c r="S1095" s="32"/>
    </x:row>
    <x:row r="1096">
      <x:c r="A1096" s="87"/>
      <x:c r="B1096" s="88"/>
      <x:c r="D1096" s="32"/>
      <x:c r="G1096" s="74"/>
      <x:c r="H1096" s="74"/>
      <x:c r="I1096" s="74"/>
      <x:c r="J1096" s="74"/>
      <x:c r="K1096" s="74"/>
      <x:c r="L1096" s="74"/>
      <x:c r="M1096" s="91"/>
      <x:c r="N1096" s="91"/>
      <x:c r="O1096" s="85"/>
      <x:c r="Q1096" s="86"/>
      <x:c r="R1096" s="86"/>
      <x:c r="S1096" s="32"/>
    </x:row>
    <x:row r="1097">
      <x:c r="A1097" s="87"/>
      <x:c r="B1097" s="88"/>
      <x:c r="D1097" s="32"/>
      <x:c r="G1097" s="74"/>
      <x:c r="H1097" s="74"/>
      <x:c r="I1097" s="74"/>
      <x:c r="J1097" s="74"/>
      <x:c r="K1097" s="74"/>
      <x:c r="L1097" s="74"/>
      <x:c r="M1097" s="91"/>
      <x:c r="N1097" s="91"/>
      <x:c r="O1097" s="85"/>
      <x:c r="Q1097" s="86"/>
      <x:c r="R1097" s="86"/>
      <x:c r="S1097" s="32"/>
    </x:row>
    <x:row r="1098">
      <x:c r="A1098" s="87"/>
      <x:c r="B1098" s="88"/>
      <x:c r="D1098" s="32"/>
      <x:c r="G1098" s="74"/>
      <x:c r="H1098" s="74"/>
      <x:c r="I1098" s="74"/>
      <x:c r="J1098" s="74"/>
      <x:c r="K1098" s="74"/>
      <x:c r="L1098" s="74"/>
      <x:c r="M1098" s="91"/>
      <x:c r="N1098" s="91"/>
      <x:c r="O1098" s="85"/>
      <x:c r="Q1098" s="86"/>
      <x:c r="R1098" s="86"/>
      <x:c r="S1098" s="32"/>
    </x:row>
    <x:row r="1099">
      <x:c r="A1099" s="87"/>
      <x:c r="B1099" s="88"/>
      <x:c r="D1099" s="32"/>
      <x:c r="G1099" s="74"/>
      <x:c r="H1099" s="74"/>
      <x:c r="I1099" s="74"/>
      <x:c r="J1099" s="74"/>
      <x:c r="K1099" s="74"/>
      <x:c r="L1099" s="74"/>
      <x:c r="M1099" s="91"/>
      <x:c r="N1099" s="91"/>
      <x:c r="O1099" s="85"/>
      <x:c r="Q1099" s="86"/>
      <x:c r="R1099" s="86"/>
      <x:c r="S1099" s="32"/>
    </x:row>
    <x:row r="1100">
      <x:c r="A1100" s="87"/>
      <x:c r="B1100" s="88"/>
      <x:c r="D1100" s="32"/>
      <x:c r="G1100" s="74"/>
      <x:c r="H1100" s="74"/>
      <x:c r="I1100" s="74"/>
      <x:c r="J1100" s="74"/>
      <x:c r="K1100" s="74"/>
      <x:c r="L1100" s="74"/>
      <x:c r="M1100" s="91"/>
      <x:c r="N1100" s="91"/>
      <x:c r="O1100" s="85"/>
      <x:c r="Q1100" s="86"/>
      <x:c r="R1100" s="86"/>
      <x:c r="S1100" s="32"/>
    </x:row>
    <x:row r="1101">
      <x:c r="A1101" s="87"/>
      <x:c r="B1101" s="88"/>
      <x:c r="D1101" s="32"/>
      <x:c r="G1101" s="74"/>
      <x:c r="H1101" s="74"/>
      <x:c r="I1101" s="74"/>
      <x:c r="J1101" s="74"/>
      <x:c r="K1101" s="74"/>
      <x:c r="L1101" s="74"/>
      <x:c r="M1101" s="91"/>
      <x:c r="N1101" s="91"/>
      <x:c r="O1101" s="85"/>
      <x:c r="Q1101" s="86"/>
      <x:c r="R1101" s="86"/>
      <x:c r="S1101" s="32"/>
    </x:row>
    <x:row r="1102">
      <x:c r="A1102" s="87"/>
      <x:c r="B1102" s="88"/>
      <x:c r="D1102" s="32"/>
      <x:c r="G1102" s="74"/>
      <x:c r="H1102" s="74"/>
      <x:c r="I1102" s="74"/>
      <x:c r="J1102" s="74"/>
      <x:c r="K1102" s="74"/>
      <x:c r="L1102" s="74"/>
      <x:c r="M1102" s="91"/>
      <x:c r="N1102" s="91"/>
      <x:c r="O1102" s="85"/>
      <x:c r="Q1102" s="86"/>
      <x:c r="R1102" s="86"/>
      <x:c r="S1102" s="32"/>
    </x:row>
    <x:row r="1103">
      <x:c r="A1103" s="87"/>
      <x:c r="B1103" s="88"/>
      <x:c r="D1103" s="32"/>
      <x:c r="G1103" s="74"/>
      <x:c r="H1103" s="74"/>
      <x:c r="I1103" s="74"/>
      <x:c r="J1103" s="74"/>
      <x:c r="K1103" s="74"/>
      <x:c r="L1103" s="74"/>
      <x:c r="M1103" s="91"/>
      <x:c r="N1103" s="91"/>
      <x:c r="O1103" s="85"/>
      <x:c r="Q1103" s="86"/>
      <x:c r="R1103" s="86"/>
      <x:c r="S1103" s="32"/>
    </x:row>
    <x:row r="1104">
      <x:c r="A1104" s="87"/>
      <x:c r="B1104" s="88"/>
      <x:c r="D1104" s="32"/>
      <x:c r="G1104" s="74"/>
      <x:c r="H1104" s="74"/>
      <x:c r="I1104" s="74"/>
      <x:c r="J1104" s="74"/>
      <x:c r="K1104" s="74"/>
      <x:c r="L1104" s="74"/>
      <x:c r="M1104" s="91"/>
      <x:c r="N1104" s="91"/>
      <x:c r="O1104" s="85"/>
      <x:c r="Q1104" s="86"/>
      <x:c r="R1104" s="86"/>
      <x:c r="S1104" s="32"/>
    </x:row>
    <x:row r="1105">
      <x:c r="A1105" s="87"/>
      <x:c r="B1105" s="88"/>
      <x:c r="D1105" s="32"/>
      <x:c r="G1105" s="74"/>
      <x:c r="H1105" s="74"/>
      <x:c r="I1105" s="74"/>
      <x:c r="J1105" s="74"/>
      <x:c r="K1105" s="74"/>
      <x:c r="L1105" s="74"/>
      <x:c r="M1105" s="91"/>
      <x:c r="N1105" s="91"/>
      <x:c r="O1105" s="85"/>
      <x:c r="Q1105" s="86"/>
      <x:c r="R1105" s="86"/>
      <x:c r="S1105" s="32"/>
    </x:row>
    <x:row r="1106">
      <x:c r="A1106" s="87"/>
      <x:c r="B1106" s="88"/>
      <x:c r="D1106" s="32"/>
      <x:c r="G1106" s="74"/>
      <x:c r="H1106" s="74"/>
      <x:c r="I1106" s="74"/>
      <x:c r="J1106" s="74"/>
      <x:c r="K1106" s="74"/>
      <x:c r="L1106" s="74"/>
      <x:c r="M1106" s="91"/>
      <x:c r="N1106" s="91"/>
      <x:c r="O1106" s="85"/>
      <x:c r="Q1106" s="86"/>
      <x:c r="R1106" s="86"/>
      <x:c r="S1106" s="32"/>
    </x:row>
    <x:row r="1107">
      <x:c r="A1107" s="87"/>
      <x:c r="B1107" s="88"/>
      <x:c r="D1107" s="32"/>
      <x:c r="G1107" s="74"/>
      <x:c r="H1107" s="74"/>
      <x:c r="I1107" s="74"/>
      <x:c r="J1107" s="74"/>
      <x:c r="K1107" s="74"/>
      <x:c r="L1107" s="74"/>
      <x:c r="M1107" s="91"/>
      <x:c r="N1107" s="91"/>
      <x:c r="O1107" s="85"/>
      <x:c r="Q1107" s="86"/>
      <x:c r="R1107" s="86"/>
      <x:c r="S1107" s="32"/>
    </x:row>
    <x:row r="1108">
      <x:c r="A1108" s="87"/>
      <x:c r="B1108" s="88"/>
      <x:c r="D1108" s="32"/>
      <x:c r="G1108" s="74"/>
      <x:c r="H1108" s="74"/>
      <x:c r="I1108" s="74"/>
      <x:c r="J1108" s="74"/>
      <x:c r="K1108" s="74"/>
      <x:c r="L1108" s="74"/>
      <x:c r="M1108" s="91"/>
      <x:c r="N1108" s="91"/>
      <x:c r="O1108" s="85"/>
      <x:c r="Q1108" s="86"/>
      <x:c r="R1108" s="86"/>
      <x:c r="S1108" s="32"/>
    </x:row>
    <x:row r="1109">
      <x:c r="A1109" s="87"/>
      <x:c r="B1109" s="88"/>
      <x:c r="D1109" s="32"/>
      <x:c r="G1109" s="74"/>
      <x:c r="H1109" s="74"/>
      <x:c r="I1109" s="74"/>
      <x:c r="J1109" s="74"/>
      <x:c r="K1109" s="74"/>
      <x:c r="L1109" s="74"/>
      <x:c r="M1109" s="91"/>
      <x:c r="N1109" s="91"/>
      <x:c r="O1109" s="85"/>
      <x:c r="Q1109" s="86"/>
      <x:c r="R1109" s="86"/>
      <x:c r="S1109" s="32"/>
    </x:row>
    <x:row r="1110">
      <x:c r="A1110" s="87"/>
      <x:c r="B1110" s="88"/>
      <x:c r="D1110" s="32"/>
      <x:c r="G1110" s="74"/>
      <x:c r="H1110" s="74"/>
      <x:c r="I1110" s="74"/>
      <x:c r="J1110" s="74"/>
      <x:c r="K1110" s="74"/>
      <x:c r="L1110" s="74"/>
      <x:c r="M1110" s="91"/>
      <x:c r="N1110" s="91"/>
      <x:c r="O1110" s="85"/>
      <x:c r="Q1110" s="86"/>
      <x:c r="R1110" s="86"/>
      <x:c r="S1110" s="32"/>
    </x:row>
    <x:row r="1111">
      <x:c r="A1111" s="87"/>
      <x:c r="B1111" s="88"/>
      <x:c r="D1111" s="32"/>
      <x:c r="G1111" s="74"/>
      <x:c r="H1111" s="74"/>
      <x:c r="I1111" s="74"/>
      <x:c r="J1111" s="74"/>
      <x:c r="K1111" s="74"/>
      <x:c r="L1111" s="74"/>
      <x:c r="M1111" s="91"/>
      <x:c r="N1111" s="91"/>
      <x:c r="O1111" s="85"/>
      <x:c r="Q1111" s="86"/>
      <x:c r="R1111" s="86"/>
      <x:c r="S1111" s="32"/>
    </x:row>
    <x:row r="1112">
      <x:c r="A1112" s="87"/>
      <x:c r="B1112" s="88"/>
      <x:c r="D1112" s="32"/>
      <x:c r="G1112" s="74"/>
      <x:c r="H1112" s="74"/>
      <x:c r="I1112" s="74"/>
      <x:c r="J1112" s="74"/>
      <x:c r="K1112" s="74"/>
      <x:c r="L1112" s="74"/>
      <x:c r="M1112" s="91"/>
      <x:c r="N1112" s="91"/>
      <x:c r="O1112" s="85"/>
      <x:c r="Q1112" s="86"/>
      <x:c r="R1112" s="86"/>
      <x:c r="S1112" s="32"/>
    </x:row>
    <x:row r="1113">
      <x:c r="A1113" s="87"/>
      <x:c r="B1113" s="88"/>
      <x:c r="D1113" s="32"/>
      <x:c r="G1113" s="74"/>
      <x:c r="H1113" s="74"/>
      <x:c r="I1113" s="74"/>
      <x:c r="J1113" s="74"/>
      <x:c r="K1113" s="74"/>
      <x:c r="L1113" s="74"/>
      <x:c r="M1113" s="91"/>
      <x:c r="N1113" s="91"/>
      <x:c r="O1113" s="85"/>
      <x:c r="Q1113" s="86"/>
      <x:c r="R1113" s="86"/>
      <x:c r="S1113" s="32"/>
    </x:row>
    <x:row r="1114">
      <x:c r="A1114" s="87"/>
      <x:c r="B1114" s="88"/>
      <x:c r="D1114" s="32"/>
      <x:c r="G1114" s="74"/>
      <x:c r="H1114" s="74"/>
      <x:c r="I1114" s="74"/>
      <x:c r="J1114" s="74"/>
      <x:c r="K1114" s="74"/>
      <x:c r="L1114" s="74"/>
      <x:c r="M1114" s="91"/>
      <x:c r="N1114" s="91"/>
      <x:c r="O1114" s="85"/>
      <x:c r="Q1114" s="86"/>
      <x:c r="R1114" s="86"/>
      <x:c r="S1114" s="32"/>
    </x:row>
    <x:row r="1115">
      <x:c r="A1115" s="87"/>
      <x:c r="B1115" s="88"/>
      <x:c r="D1115" s="32"/>
      <x:c r="G1115" s="74"/>
      <x:c r="H1115" s="74"/>
      <x:c r="I1115" s="74"/>
      <x:c r="J1115" s="74"/>
      <x:c r="K1115" s="74"/>
      <x:c r="L1115" s="74"/>
      <x:c r="M1115" s="91"/>
      <x:c r="N1115" s="91"/>
      <x:c r="O1115" s="85"/>
      <x:c r="Q1115" s="86"/>
      <x:c r="R1115" s="86"/>
      <x:c r="S1115" s="32"/>
    </x:row>
    <x:row r="1116">
      <x:c r="A1116" s="87"/>
      <x:c r="B1116" s="88"/>
      <x:c r="D1116" s="32"/>
      <x:c r="G1116" s="74"/>
      <x:c r="H1116" s="74"/>
      <x:c r="I1116" s="74"/>
      <x:c r="J1116" s="74"/>
      <x:c r="K1116" s="74"/>
      <x:c r="L1116" s="74"/>
      <x:c r="M1116" s="91"/>
      <x:c r="N1116" s="91"/>
      <x:c r="O1116" s="85"/>
      <x:c r="Q1116" s="86"/>
      <x:c r="R1116" s="86"/>
      <x:c r="S1116" s="32"/>
    </x:row>
    <x:row r="1117">
      <x:c r="A1117" s="87"/>
      <x:c r="B1117" s="88"/>
      <x:c r="D1117" s="32"/>
      <x:c r="G1117" s="74"/>
      <x:c r="H1117" s="74"/>
      <x:c r="I1117" s="74"/>
      <x:c r="J1117" s="74"/>
      <x:c r="K1117" s="74"/>
      <x:c r="L1117" s="74"/>
      <x:c r="M1117" s="91"/>
      <x:c r="N1117" s="91"/>
      <x:c r="O1117" s="85"/>
      <x:c r="Q1117" s="86"/>
      <x:c r="R1117" s="86"/>
      <x:c r="S1117" s="32"/>
    </x:row>
    <x:row r="1118">
      <x:c r="A1118" s="87"/>
      <x:c r="B1118" s="88"/>
      <x:c r="D1118" s="32"/>
      <x:c r="G1118" s="74"/>
      <x:c r="H1118" s="74"/>
      <x:c r="I1118" s="74"/>
      <x:c r="J1118" s="74"/>
      <x:c r="K1118" s="74"/>
      <x:c r="L1118" s="74"/>
      <x:c r="M1118" s="91"/>
      <x:c r="N1118" s="91"/>
      <x:c r="O1118" s="85"/>
      <x:c r="Q1118" s="86"/>
      <x:c r="R1118" s="86"/>
      <x:c r="S1118" s="32"/>
    </x:row>
    <x:row r="1119">
      <x:c r="A1119" s="87"/>
      <x:c r="B1119" s="88"/>
      <x:c r="D1119" s="32"/>
      <x:c r="G1119" s="74"/>
      <x:c r="H1119" s="74"/>
      <x:c r="I1119" s="74"/>
      <x:c r="J1119" s="74"/>
      <x:c r="K1119" s="74"/>
      <x:c r="L1119" s="74"/>
      <x:c r="M1119" s="91"/>
      <x:c r="N1119" s="91"/>
      <x:c r="O1119" s="85"/>
      <x:c r="Q1119" s="86"/>
      <x:c r="R1119" s="86"/>
      <x:c r="S1119" s="32"/>
    </x:row>
    <x:row r="1120">
      <x:c r="A1120" s="87"/>
      <x:c r="B1120" s="88"/>
      <x:c r="D1120" s="32"/>
      <x:c r="G1120" s="74"/>
      <x:c r="H1120" s="74"/>
      <x:c r="I1120" s="74"/>
      <x:c r="J1120" s="74"/>
      <x:c r="K1120" s="74"/>
      <x:c r="L1120" s="74"/>
      <x:c r="M1120" s="91"/>
      <x:c r="N1120" s="91"/>
      <x:c r="O1120" s="85"/>
      <x:c r="Q1120" s="86"/>
      <x:c r="R1120" s="86"/>
      <x:c r="S1120" s="32"/>
    </x:row>
    <x:row r="1121">
      <x:c r="A1121" s="87"/>
      <x:c r="B1121" s="88"/>
      <x:c r="D1121" s="32"/>
      <x:c r="G1121" s="74"/>
      <x:c r="H1121" s="74"/>
      <x:c r="I1121" s="74"/>
      <x:c r="J1121" s="74"/>
      <x:c r="K1121" s="74"/>
      <x:c r="L1121" s="74"/>
      <x:c r="M1121" s="91"/>
      <x:c r="N1121" s="91"/>
      <x:c r="O1121" s="85"/>
      <x:c r="Q1121" s="86"/>
      <x:c r="R1121" s="86"/>
      <x:c r="S1121" s="32"/>
    </x:row>
    <x:row r="1122">
      <x:c r="A1122" s="87"/>
      <x:c r="B1122" s="88"/>
      <x:c r="D1122" s="32"/>
      <x:c r="G1122" s="74"/>
      <x:c r="H1122" s="74"/>
      <x:c r="I1122" s="74"/>
      <x:c r="J1122" s="74"/>
      <x:c r="K1122" s="74"/>
      <x:c r="L1122" s="74"/>
      <x:c r="M1122" s="91"/>
      <x:c r="N1122" s="91"/>
      <x:c r="O1122" s="85"/>
      <x:c r="Q1122" s="86"/>
      <x:c r="R1122" s="86"/>
      <x:c r="S1122" s="32"/>
    </x:row>
    <x:row r="1123">
      <x:c r="A1123" s="87"/>
      <x:c r="B1123" s="88"/>
      <x:c r="D1123" s="32"/>
      <x:c r="G1123" s="74"/>
      <x:c r="H1123" s="74"/>
      <x:c r="I1123" s="74"/>
      <x:c r="J1123" s="74"/>
      <x:c r="K1123" s="74"/>
      <x:c r="L1123" s="74"/>
      <x:c r="M1123" s="91"/>
      <x:c r="N1123" s="91"/>
      <x:c r="O1123" s="85"/>
      <x:c r="Q1123" s="86"/>
      <x:c r="R1123" s="86"/>
      <x:c r="S1123" s="32"/>
    </x:row>
    <x:row r="1124">
      <x:c r="A1124" s="87"/>
      <x:c r="B1124" s="88"/>
      <x:c r="D1124" s="32"/>
      <x:c r="G1124" s="74"/>
      <x:c r="H1124" s="74"/>
      <x:c r="I1124" s="74"/>
      <x:c r="J1124" s="74"/>
      <x:c r="K1124" s="74"/>
      <x:c r="L1124" s="74"/>
      <x:c r="M1124" s="91"/>
      <x:c r="N1124" s="91"/>
      <x:c r="O1124" s="85"/>
      <x:c r="Q1124" s="86"/>
      <x:c r="R1124" s="86"/>
      <x:c r="S1124" s="32"/>
    </x:row>
    <x:row r="1125">
      <x:c r="A1125" s="87"/>
      <x:c r="B1125" s="88"/>
      <x:c r="D1125" s="32"/>
      <x:c r="G1125" s="74"/>
      <x:c r="H1125" s="74"/>
      <x:c r="I1125" s="74"/>
      <x:c r="J1125" s="74"/>
      <x:c r="K1125" s="74"/>
      <x:c r="L1125" s="74"/>
      <x:c r="M1125" s="91"/>
      <x:c r="N1125" s="91"/>
      <x:c r="O1125" s="85"/>
      <x:c r="Q1125" s="86"/>
      <x:c r="R1125" s="86"/>
      <x:c r="S1125" s="32"/>
    </x:row>
    <x:row r="1126">
      <x:c r="A1126" s="87"/>
      <x:c r="B1126" s="88"/>
      <x:c r="D1126" s="32"/>
      <x:c r="G1126" s="74"/>
      <x:c r="H1126" s="74"/>
      <x:c r="I1126" s="74"/>
      <x:c r="J1126" s="74"/>
      <x:c r="K1126" s="74"/>
      <x:c r="L1126" s="74"/>
      <x:c r="M1126" s="91"/>
      <x:c r="N1126" s="91"/>
      <x:c r="O1126" s="85"/>
      <x:c r="Q1126" s="86"/>
      <x:c r="R1126" s="86"/>
      <x:c r="S1126" s="32"/>
    </x:row>
    <x:row r="1127">
      <x:c r="A1127" s="87"/>
      <x:c r="B1127" s="88"/>
      <x:c r="D1127" s="32"/>
      <x:c r="G1127" s="74"/>
      <x:c r="H1127" s="74"/>
      <x:c r="I1127" s="74"/>
      <x:c r="J1127" s="74"/>
      <x:c r="K1127" s="74"/>
      <x:c r="L1127" s="74"/>
      <x:c r="M1127" s="91"/>
      <x:c r="N1127" s="91"/>
      <x:c r="O1127" s="85"/>
      <x:c r="Q1127" s="86"/>
      <x:c r="R1127" s="86"/>
      <x:c r="S1127" s="32"/>
    </x:row>
    <x:row r="1128">
      <x:c r="A1128" s="87"/>
      <x:c r="B1128" s="88"/>
      <x:c r="D1128" s="32"/>
      <x:c r="G1128" s="74"/>
      <x:c r="H1128" s="74"/>
      <x:c r="I1128" s="74"/>
      <x:c r="J1128" s="74"/>
      <x:c r="K1128" s="74"/>
      <x:c r="L1128" s="74"/>
      <x:c r="M1128" s="91"/>
      <x:c r="N1128" s="91"/>
      <x:c r="O1128" s="85"/>
      <x:c r="Q1128" s="86"/>
      <x:c r="R1128" s="86"/>
      <x:c r="S1128" s="32"/>
    </x:row>
    <x:row r="1129">
      <x:c r="A1129" s="87"/>
      <x:c r="B1129" s="88"/>
      <x:c r="D1129" s="32"/>
      <x:c r="G1129" s="74"/>
      <x:c r="H1129" s="74"/>
      <x:c r="I1129" s="74"/>
      <x:c r="J1129" s="74"/>
      <x:c r="K1129" s="74"/>
      <x:c r="L1129" s="74"/>
      <x:c r="M1129" s="91"/>
      <x:c r="N1129" s="91"/>
      <x:c r="O1129" s="85"/>
      <x:c r="Q1129" s="86"/>
      <x:c r="R1129" s="86"/>
      <x:c r="S1129" s="32"/>
    </x:row>
    <x:row r="1130">
      <x:c r="A1130" s="87"/>
      <x:c r="B1130" s="88"/>
      <x:c r="D1130" s="32"/>
      <x:c r="G1130" s="74"/>
      <x:c r="H1130" s="74"/>
      <x:c r="I1130" s="74"/>
      <x:c r="J1130" s="74"/>
      <x:c r="K1130" s="74"/>
      <x:c r="L1130" s="74"/>
      <x:c r="M1130" s="91"/>
      <x:c r="N1130" s="91"/>
      <x:c r="O1130" s="85"/>
      <x:c r="Q1130" s="86"/>
      <x:c r="R1130" s="86"/>
      <x:c r="S1130" s="32"/>
    </x:row>
    <x:row r="1131">
      <x:c r="A1131" s="87"/>
      <x:c r="B1131" s="88"/>
      <x:c r="D1131" s="32"/>
      <x:c r="G1131" s="74"/>
      <x:c r="H1131" s="74"/>
      <x:c r="I1131" s="74"/>
      <x:c r="J1131" s="74"/>
      <x:c r="K1131" s="74"/>
      <x:c r="L1131" s="74"/>
      <x:c r="M1131" s="91"/>
      <x:c r="N1131" s="91"/>
      <x:c r="O1131" s="85"/>
      <x:c r="Q1131" s="86"/>
      <x:c r="R1131" s="86"/>
      <x:c r="S1131" s="32"/>
    </x:row>
    <x:row r="1132">
      <x:c r="A1132" s="87"/>
      <x:c r="B1132" s="88"/>
      <x:c r="D1132" s="32"/>
      <x:c r="G1132" s="74"/>
      <x:c r="H1132" s="74"/>
      <x:c r="I1132" s="74"/>
      <x:c r="J1132" s="74"/>
      <x:c r="K1132" s="74"/>
      <x:c r="L1132" s="74"/>
      <x:c r="M1132" s="91"/>
      <x:c r="N1132" s="91"/>
      <x:c r="O1132" s="85"/>
      <x:c r="Q1132" s="86"/>
      <x:c r="R1132" s="86"/>
      <x:c r="S1132" s="32"/>
    </x:row>
    <x:row r="1133">
      <x:c r="A1133" s="87"/>
      <x:c r="B1133" s="88"/>
      <x:c r="D1133" s="32"/>
      <x:c r="G1133" s="74"/>
      <x:c r="H1133" s="74"/>
      <x:c r="I1133" s="74"/>
      <x:c r="J1133" s="74"/>
      <x:c r="K1133" s="74"/>
      <x:c r="L1133" s="74"/>
      <x:c r="M1133" s="91"/>
      <x:c r="N1133" s="91"/>
      <x:c r="O1133" s="85"/>
      <x:c r="Q1133" s="86"/>
      <x:c r="R1133" s="86"/>
      <x:c r="S1133" s="32"/>
    </x:row>
    <x:row r="1134">
      <x:c r="A1134" s="87"/>
      <x:c r="B1134" s="88"/>
      <x:c r="D1134" s="32"/>
      <x:c r="G1134" s="74"/>
      <x:c r="H1134" s="74"/>
      <x:c r="I1134" s="74"/>
      <x:c r="J1134" s="74"/>
      <x:c r="K1134" s="74"/>
      <x:c r="L1134" s="74"/>
      <x:c r="M1134" s="91"/>
      <x:c r="N1134" s="91"/>
      <x:c r="O1134" s="85"/>
      <x:c r="Q1134" s="86"/>
      <x:c r="R1134" s="86"/>
      <x:c r="S1134" s="32"/>
    </x:row>
    <x:row r="1135">
      <x:c r="A1135" s="87"/>
      <x:c r="B1135" s="88"/>
      <x:c r="D1135" s="32"/>
      <x:c r="G1135" s="74"/>
      <x:c r="H1135" s="74"/>
      <x:c r="I1135" s="74"/>
      <x:c r="J1135" s="74"/>
      <x:c r="K1135" s="74"/>
      <x:c r="L1135" s="74"/>
      <x:c r="M1135" s="91"/>
      <x:c r="N1135" s="91"/>
      <x:c r="O1135" s="85"/>
      <x:c r="Q1135" s="86"/>
      <x:c r="R1135" s="86"/>
      <x:c r="S1135" s="32"/>
    </x:row>
    <x:row r="1136">
      <x:c r="A1136" s="87"/>
      <x:c r="B1136" s="88"/>
      <x:c r="D1136" s="32"/>
      <x:c r="G1136" s="74"/>
      <x:c r="H1136" s="74"/>
      <x:c r="I1136" s="74"/>
      <x:c r="J1136" s="74"/>
      <x:c r="K1136" s="74"/>
      <x:c r="L1136" s="74"/>
      <x:c r="M1136" s="91"/>
      <x:c r="N1136" s="91"/>
      <x:c r="O1136" s="85"/>
      <x:c r="Q1136" s="86"/>
      <x:c r="R1136" s="86"/>
      <x:c r="S1136" s="32"/>
    </x:row>
    <x:row r="1137">
      <x:c r="A1137" s="87"/>
      <x:c r="B1137" s="88"/>
      <x:c r="D1137" s="32"/>
      <x:c r="G1137" s="74"/>
      <x:c r="H1137" s="74"/>
      <x:c r="I1137" s="74"/>
      <x:c r="J1137" s="74"/>
      <x:c r="K1137" s="74"/>
      <x:c r="L1137" s="74"/>
      <x:c r="M1137" s="91"/>
      <x:c r="N1137" s="91"/>
      <x:c r="O1137" s="85"/>
      <x:c r="Q1137" s="86"/>
      <x:c r="R1137" s="86"/>
      <x:c r="S1137" s="32"/>
    </x:row>
    <x:row r="1138">
      <x:c r="A1138" s="87"/>
      <x:c r="B1138" s="88"/>
      <x:c r="D1138" s="32"/>
      <x:c r="G1138" s="74"/>
      <x:c r="H1138" s="74"/>
      <x:c r="I1138" s="74"/>
      <x:c r="J1138" s="74"/>
      <x:c r="K1138" s="74"/>
      <x:c r="L1138" s="74"/>
      <x:c r="M1138" s="91"/>
      <x:c r="N1138" s="91"/>
      <x:c r="O1138" s="85"/>
      <x:c r="Q1138" s="86"/>
      <x:c r="R1138" s="86"/>
      <x:c r="S1138" s="32"/>
    </x:row>
    <x:row r="1139">
      <x:c r="A1139" s="87"/>
      <x:c r="B1139" s="88"/>
      <x:c r="D1139" s="32"/>
      <x:c r="G1139" s="74"/>
      <x:c r="H1139" s="74"/>
      <x:c r="I1139" s="74"/>
      <x:c r="J1139" s="74"/>
      <x:c r="K1139" s="74"/>
      <x:c r="L1139" s="74"/>
      <x:c r="M1139" s="91"/>
      <x:c r="N1139" s="91"/>
      <x:c r="O1139" s="85"/>
      <x:c r="Q1139" s="86"/>
      <x:c r="R1139" s="86"/>
      <x:c r="S1139" s="32"/>
    </x:row>
    <x:row r="1140">
      <x:c r="A1140" s="87"/>
      <x:c r="B1140" s="88"/>
      <x:c r="D1140" s="32"/>
      <x:c r="G1140" s="74"/>
      <x:c r="H1140" s="74"/>
      <x:c r="I1140" s="74"/>
      <x:c r="J1140" s="74"/>
      <x:c r="K1140" s="74"/>
      <x:c r="L1140" s="74"/>
      <x:c r="M1140" s="91"/>
      <x:c r="N1140" s="91"/>
      <x:c r="O1140" s="85"/>
      <x:c r="Q1140" s="86"/>
      <x:c r="R1140" s="86"/>
      <x:c r="S1140" s="32"/>
    </x:row>
    <x:row r="1141">
      <x:c r="A1141" s="87"/>
      <x:c r="B1141" s="88"/>
      <x:c r="D1141" s="32"/>
      <x:c r="G1141" s="74"/>
      <x:c r="H1141" s="74"/>
      <x:c r="I1141" s="74"/>
      <x:c r="J1141" s="74"/>
      <x:c r="K1141" s="74"/>
      <x:c r="L1141" s="74"/>
      <x:c r="M1141" s="91"/>
      <x:c r="N1141" s="91"/>
      <x:c r="O1141" s="85"/>
      <x:c r="Q1141" s="86"/>
      <x:c r="R1141" s="86"/>
      <x:c r="S1141" s="32"/>
    </x:row>
    <x:row r="1142">
      <x:c r="A1142" s="87"/>
      <x:c r="B1142" s="88"/>
      <x:c r="D1142" s="32"/>
      <x:c r="G1142" s="74"/>
      <x:c r="H1142" s="74"/>
      <x:c r="I1142" s="74"/>
      <x:c r="J1142" s="74"/>
      <x:c r="K1142" s="74"/>
      <x:c r="L1142" s="74"/>
      <x:c r="M1142" s="91"/>
      <x:c r="N1142" s="91"/>
      <x:c r="O1142" s="85"/>
      <x:c r="Q1142" s="86"/>
      <x:c r="R1142" s="86"/>
      <x:c r="S1142" s="32"/>
    </x:row>
    <x:row r="1143">
      <x:c r="A1143" s="87"/>
      <x:c r="B1143" s="88"/>
      <x:c r="D1143" s="32"/>
      <x:c r="G1143" s="74"/>
      <x:c r="H1143" s="74"/>
      <x:c r="I1143" s="74"/>
      <x:c r="J1143" s="74"/>
      <x:c r="K1143" s="74"/>
      <x:c r="L1143" s="74"/>
      <x:c r="M1143" s="91"/>
      <x:c r="N1143" s="91"/>
      <x:c r="O1143" s="85"/>
      <x:c r="Q1143" s="86"/>
      <x:c r="R1143" s="86"/>
      <x:c r="S1143" s="32"/>
    </x:row>
    <x:row r="1144">
      <x:c r="A1144" s="87"/>
      <x:c r="B1144" s="88"/>
      <x:c r="D1144" s="32"/>
      <x:c r="G1144" s="74"/>
      <x:c r="H1144" s="74"/>
      <x:c r="I1144" s="74"/>
      <x:c r="J1144" s="74"/>
      <x:c r="K1144" s="74"/>
      <x:c r="L1144" s="74"/>
      <x:c r="M1144" s="91"/>
      <x:c r="N1144" s="91"/>
      <x:c r="O1144" s="85"/>
      <x:c r="Q1144" s="86"/>
      <x:c r="R1144" s="86"/>
      <x:c r="S1144" s="32"/>
    </x:row>
    <x:row r="1145">
      <x:c r="A1145" s="87"/>
      <x:c r="B1145" s="88"/>
      <x:c r="D1145" s="32"/>
      <x:c r="G1145" s="74"/>
      <x:c r="H1145" s="74"/>
      <x:c r="I1145" s="74"/>
      <x:c r="J1145" s="74"/>
      <x:c r="K1145" s="74"/>
      <x:c r="L1145" s="74"/>
      <x:c r="M1145" s="91"/>
      <x:c r="N1145" s="91"/>
      <x:c r="O1145" s="85"/>
      <x:c r="Q1145" s="86"/>
      <x:c r="R1145" s="86"/>
      <x:c r="S1145" s="32"/>
    </x:row>
    <x:row r="1146">
      <x:c r="A1146" s="87"/>
      <x:c r="B1146" s="88"/>
      <x:c r="D1146" s="32"/>
      <x:c r="G1146" s="74"/>
      <x:c r="H1146" s="74"/>
      <x:c r="I1146" s="74"/>
      <x:c r="J1146" s="74"/>
      <x:c r="K1146" s="74"/>
      <x:c r="L1146" s="74"/>
      <x:c r="M1146" s="91"/>
      <x:c r="N1146" s="91"/>
      <x:c r="O1146" s="85"/>
      <x:c r="Q1146" s="86"/>
      <x:c r="R1146" s="86"/>
      <x:c r="S1146" s="32"/>
    </x:row>
    <x:row r="1147">
      <x:c r="A1147" s="87"/>
      <x:c r="B1147" s="88"/>
      <x:c r="D1147" s="32"/>
      <x:c r="G1147" s="74"/>
      <x:c r="H1147" s="74"/>
      <x:c r="I1147" s="74"/>
      <x:c r="J1147" s="74"/>
      <x:c r="K1147" s="74"/>
      <x:c r="L1147" s="74"/>
      <x:c r="M1147" s="91"/>
      <x:c r="N1147" s="91"/>
      <x:c r="O1147" s="85"/>
      <x:c r="Q1147" s="86"/>
      <x:c r="R1147" s="86"/>
      <x:c r="S1147" s="32"/>
    </x:row>
    <x:row r="1148">
      <x:c r="A1148" s="87"/>
      <x:c r="B1148" s="88"/>
      <x:c r="D1148" s="32"/>
      <x:c r="G1148" s="74"/>
      <x:c r="H1148" s="74"/>
      <x:c r="I1148" s="74"/>
      <x:c r="J1148" s="74"/>
      <x:c r="K1148" s="74"/>
      <x:c r="L1148" s="74"/>
      <x:c r="M1148" s="91"/>
      <x:c r="N1148" s="91"/>
      <x:c r="O1148" s="85"/>
      <x:c r="Q1148" s="86"/>
      <x:c r="R1148" s="86"/>
      <x:c r="S1148" s="32"/>
    </x:row>
    <x:row r="1149">
      <x:c r="A1149" s="87"/>
      <x:c r="B1149" s="88"/>
      <x:c r="D1149" s="32"/>
      <x:c r="G1149" s="74"/>
      <x:c r="H1149" s="74"/>
      <x:c r="I1149" s="74"/>
      <x:c r="J1149" s="74"/>
      <x:c r="K1149" s="74"/>
      <x:c r="L1149" s="74"/>
      <x:c r="M1149" s="91"/>
      <x:c r="N1149" s="91"/>
      <x:c r="O1149" s="85"/>
      <x:c r="Q1149" s="86"/>
      <x:c r="R1149" s="86"/>
      <x:c r="S1149" s="32"/>
    </x:row>
  </x:sheetData>
  <x:mergeCells>
    <x:mergeCell ref="A2:B2"/>
    <x:mergeCell ref="A3:B3"/>
  </x:mergeCells>
  <x:conditionalFormatting sqref="C2:C18 D2:N4 O2:O169 P2:Q4 B4:B4">
    <x:cfRule type="expression" dxfId="0" priority="1">
      <x:formula>$P2="Done"</x:formula>
    </x:cfRule>
  </x:conditionalFormatting>
  <x:conditionalFormatting sqref="C2:C18 D2:N4 O2:O169 P2:Q4 B4:B4">
    <x:cfRule type="expression" dxfId="1" priority="2">
      <x:formula>AND(NOT($P2="Done"), OR(#REF!="Đã CK Anh", #REF!="Đã CK Em"))</x:formula>
    </x:cfRule>
  </x:conditionalFormatting>
  <x:conditionalFormatting sqref="M2:N4 O2:O169">
    <x:cfRule type="expression" dxfId="1" priority="3">
      <x:formula>AND(NOT(#REF!="Done"), OR(#REF!="Đã CK Anh", #REF!="Đã CK Em"))</x:formula>
    </x:cfRule>
  </x:conditionalFormatting>
  <x:conditionalFormatting sqref="M2:N4 O2:O169">
    <x:cfRule type="expression" dxfId="0" priority="4">
      <x:formula>#REF!="Done"</x:formula>
    </x:cfRule>
  </x:conditionalFormatting>
  <x:conditionalFormatting sqref="C2:C18 B5:B6 D5:N6 O5:O169 P5:Q6">
    <x:cfRule type="expression" dxfId="0" priority="5">
      <x:formula>$P2="Done"</x:formula>
    </x:cfRule>
  </x:conditionalFormatting>
  <x:conditionalFormatting sqref="C2:C18 B5:B6 D5:N6 O5:O169 P5:Q6">
    <x:cfRule type="expression" dxfId="1" priority="6">
      <x:formula>AND(NOT($P2="Done"), OR(#REF!="Đã CK Anh", #REF!="Đã CK Em"))</x:formula>
    </x:cfRule>
  </x:conditionalFormatting>
  <x:conditionalFormatting sqref="M5:N6 O5:O169">
    <x:cfRule type="expression" dxfId="1" priority="7">
      <x:formula>AND(NOT(#REF!="Done"), OR(#REF!="Đã CK Anh", #REF!="Đã CK Em"))</x:formula>
    </x:cfRule>
  </x:conditionalFormatting>
  <x:conditionalFormatting sqref="M5:N6 O5:O169">
    <x:cfRule type="expression" dxfId="0" priority="8">
      <x:formula>#REF!="Done"</x:formula>
    </x:cfRule>
  </x:conditionalFormatting>
  <x:conditionalFormatting sqref="M2:N4 O2:O169 M7:N169">
    <x:cfRule type="expression" dxfId="0" priority="9">
      <x:formula>$R2="Done"</x:formula>
    </x:cfRule>
  </x:conditionalFormatting>
  <x:conditionalFormatting sqref="M2:N4 O2:O169 M7:N169">
    <x:cfRule type="expression" dxfId="1" priority="10">
      <x:formula>AND(NOT($R2="Done"), OR($S2="Đã CK Anh", $S2="Đã CK Em"))</x:formula>
    </x:cfRule>
  </x:conditionalFormatting>
  <x:conditionalFormatting sqref="A84:A88 B84:Q85 B88:B88 C88:C99 D88:D89 A90:A90 A92:A92 A94:A169 B111:D111">
    <x:cfRule type="expression" dxfId="1" priority="11">
      <x:formula>AND(NOT($P84="Done"), OR($R84="Đã CK Anh", $R84="Đã CK Em"))</x:formula>
    </x:cfRule>
  </x:conditionalFormatting>
  <x:conditionalFormatting sqref="A84:A88 B84:Q85 B88:B88 C88:C99 D88:D89 A90:A90 A92:A92 A94:A169 B111:D111">
    <x:cfRule type="expression" dxfId="0" priority="12">
      <x:formula>$P84="Done"</x:formula>
    </x:cfRule>
  </x:conditionalFormatting>
  <x:conditionalFormatting sqref="A170:B171">
    <x:cfRule type="expression" dxfId="0" priority="13">
      <x:formula>$L170="Done"</x:formula>
    </x:cfRule>
  </x:conditionalFormatting>
  <x:conditionalFormatting sqref="A170:B171">
    <x:cfRule type="expression" dxfId="1" priority="14">
      <x:formula>AND(NOT($L170="Done"), OR($G170="Đã CK Anh", $G170="Đã CK Em"))</x:formula>
    </x:cfRule>
  </x:conditionalFormatting>
  <x:conditionalFormatting sqref="A2:A1149 B2:B4 C2:C83 D2:N4 O2:O1149 P2:Q4 B7:B83 D7:L83 M7:N1149 P7:Q83 B86:L1149 P86:Q1149">
    <x:cfRule type="expression" dxfId="0" priority="15">
      <x:formula>$P2="Done"</x:formula>
    </x:cfRule>
  </x:conditionalFormatting>
  <x:conditionalFormatting sqref="A2:A1149 B2:B4 C2:C83 D2:N4 O2:O1149 P2:Q4 B7:B83 D7:L83 M7:N1149 P7:Q83 B86:L1149 P86:Q1149">
    <x:cfRule type="expression" dxfId="1" priority="16">
      <x:formula>AND(NOT($P2="Done"), OR($R2="Đã CK Anh", $R2="Đã CK Em"))</x:formula>
    </x:cfRule>
  </x:conditionalFormatting>
  <x:conditionalFormatting sqref="R5:R6">
    <x:cfRule type="notContainsBlanks" dxfId="0" priority="17">
      <x:formula>LEN(TRIM(R5))&gt;0</x:formula>
    </x:cfRule>
  </x:conditionalFormatting>
  <x:dataValidations count="2">
    <x:dataValidation type="list" allowBlank="1" showErrorMessage="1" sqref="R4:R1149">
      <x:formula1>"Chưa CK,Đã CK Anh,Đã CK Em"</x:formula1>
    </x:dataValidation>
    <x:dataValidation type="list" allowBlank="1" showErrorMessage="1" sqref="Q2:Q1149">
      <x:formula1>"Đã tạo đơn,Đã gửi đơn,Done"</x:formula1>
    </x:dataValidation>
  </x:dataValidations>
  <x:hyperlinks>
    <x:hyperlink xmlns:r="http://schemas.openxmlformats.org/officeDocument/2006/relationships" ref="D4" r:id="Re9e24c60a08248ab"/>
    <x:hyperlink xmlns:r="http://schemas.openxmlformats.org/officeDocument/2006/relationships" ref="D5" r:id="Rbd60a4958a6640d1"/>
    <x:hyperlink xmlns:r="http://schemas.openxmlformats.org/officeDocument/2006/relationships" ref="D6" r:id="Rc76a7d9aae334cc1"/>
    <x:hyperlink xmlns:r="http://schemas.openxmlformats.org/officeDocument/2006/relationships" ref="D7" r:id="R2ad03a5dfd954bd0"/>
    <x:hyperlink xmlns:r="http://schemas.openxmlformats.org/officeDocument/2006/relationships" ref="D8" r:id="Rac4f3562d7c048db"/>
    <x:hyperlink xmlns:r="http://schemas.openxmlformats.org/officeDocument/2006/relationships" ref="D9" r:id="R222f37273d614d91"/>
    <x:hyperlink xmlns:r="http://schemas.openxmlformats.org/officeDocument/2006/relationships" ref="D10" r:id="R4119cc3dec154757"/>
    <x:hyperlink xmlns:r="http://schemas.openxmlformats.org/officeDocument/2006/relationships" ref="D11" r:id="Re065dff2db8748fa"/>
    <x:hyperlink xmlns:r="http://schemas.openxmlformats.org/officeDocument/2006/relationships" ref="D13" r:id="Rdbb6c4c0b70844ed"/>
    <x:hyperlink xmlns:r="http://schemas.openxmlformats.org/officeDocument/2006/relationships" ref="D14" r:id="R8b716309439644be"/>
    <x:hyperlink xmlns:r="http://schemas.openxmlformats.org/officeDocument/2006/relationships" ref="D15" r:id="R81d5ad5a24fe4822"/>
    <x:hyperlink xmlns:r="http://schemas.openxmlformats.org/officeDocument/2006/relationships" ref="D16" r:id="R2565dbe3df1a4130"/>
    <x:hyperlink xmlns:r="http://schemas.openxmlformats.org/officeDocument/2006/relationships" ref="D17" r:id="R238ad4b016cf4499"/>
    <x:hyperlink xmlns:r="http://schemas.openxmlformats.org/officeDocument/2006/relationships" ref="D18" r:id="R959eee01501b4bf8"/>
    <x:hyperlink xmlns:r="http://schemas.openxmlformats.org/officeDocument/2006/relationships" ref="D20" r:id="R0e21741df8ff4b6e"/>
    <x:hyperlink xmlns:r="http://schemas.openxmlformats.org/officeDocument/2006/relationships" ref="D21" r:id="Rde927ec22b504a7b"/>
    <x:hyperlink xmlns:r="http://schemas.openxmlformats.org/officeDocument/2006/relationships" ref="D22" r:id="R68169b834d704d3d"/>
    <x:hyperlink xmlns:r="http://schemas.openxmlformats.org/officeDocument/2006/relationships" ref="D23" r:id="R03f5d057615644d1"/>
    <x:hyperlink xmlns:r="http://schemas.openxmlformats.org/officeDocument/2006/relationships" ref="D24" r:id="R25d29a8071b247fe"/>
    <x:hyperlink xmlns:r="http://schemas.openxmlformats.org/officeDocument/2006/relationships" ref="D25" r:id="R3f343f86f7b34c6d"/>
    <x:hyperlink xmlns:r="http://schemas.openxmlformats.org/officeDocument/2006/relationships" ref="D26" r:id="Rd35a6f7599274ff9"/>
    <x:hyperlink xmlns:r="http://schemas.openxmlformats.org/officeDocument/2006/relationships" ref="D27" r:id="Rad17326bcb844f69"/>
    <x:hyperlink xmlns:r="http://schemas.openxmlformats.org/officeDocument/2006/relationships" ref="D28" r:id="Ra5e6f2b598b54715"/>
    <x:hyperlink xmlns:r="http://schemas.openxmlformats.org/officeDocument/2006/relationships" ref="D29" r:id="Rc8e9b6cb6fac4df4"/>
    <x:hyperlink xmlns:r="http://schemas.openxmlformats.org/officeDocument/2006/relationships" ref="D30" r:id="R6a446bc09a244ef0"/>
    <x:hyperlink xmlns:r="http://schemas.openxmlformats.org/officeDocument/2006/relationships" ref="D31" r:id="Rae77d34158114604"/>
    <x:hyperlink xmlns:r="http://schemas.openxmlformats.org/officeDocument/2006/relationships" ref="D32" r:id="Rd26c2769a68a4224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5" width="12.380000114440918" customWidth="1"/>
    <x:col min="6" max="6" width="14.5" customWidth="1"/>
    <x:col min="7" max="10" width="12.380000114440918" customWidth="1"/>
    <x:col min="11" max="11" width="14.880000114440918" customWidth="1"/>
    <x:col min="12" max="12" width="14.630000114440918" customWidth="1"/>
    <x:col min="16" max="16" width="25.8799991607666" customWidth="1"/>
    <x:col min="17" max="17" width="18.5" customWidth="1"/>
  </x:cols>
  <x:sheetData>
    <x:row r="1" ht="21" customHeight="1">
      <x:c r="A1" s="1" t="s">
        <x:v>0</x:v>
      </x:c>
      <x:c r="B1" s="2" t="s">
        <x:v>1</x:v>
      </x:c>
      <x:c r="C1" s="1" t="s">
        <x:v>2</x:v>
      </x:c>
      <x:c r="D1" s="3" t="s">
        <x:v>3</x:v>
      </x:c>
      <x:c r="E1" s="1" t="s">
        <x:v>6</x:v>
      </x:c>
      <x:c r="F1" s="1" t="s">
        <x:v>7</x:v>
      </x:c>
      <x:c r="G1" s="4" t="s">
        <x:v>8</x:v>
      </x:c>
      <x:c r="H1" s="4" t="s">
        <x:v>9</x:v>
      </x:c>
      <x:c r="I1" s="4" t="s">
        <x:v>10</x:v>
      </x:c>
      <x:c r="J1" s="4" t="s">
        <x:v>11</x:v>
      </x:c>
      <x:c r="K1" s="4" t="s">
        <x:v>12</x:v>
      </x:c>
      <x:c r="L1" s="4" t="s">
        <x:v>13</x:v>
      </x:c>
      <x:c r="M1" s="1" t="s">
        <x:v>14</x:v>
      </x:c>
      <x:c r="N1" s="1" t="s">
        <x:v>15</x:v>
      </x:c>
      <x:c r="O1" s="5" t="s">
        <x:v>21</x:v>
      </x:c>
      <x:c r="P1" s="1" t="s">
        <x:v>22</x:v>
      </x:c>
      <x:c r="Q1" s="1" t="s">
        <x:v>24</x:v>
      </x:c>
      <x:c r="R1" s="6" t="s">
        <x:v>25</x:v>
      </x:c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</x:row>
    <x:row r="2" ht="18.75" customHeight="1">
      <x:c r="A2" s="8" t="s">
        <x:v>26</x:v>
      </x:c>
      <x:c r="B2" s="9"/>
      <x:c r="C2" s="10"/>
      <x:c r="D2" s="11"/>
      <x:c r="E2" s="12">
        <x:v>270000.0</x:v>
      </x:c>
      <x:c r="F2" s="12">
        <x:v>260000.0</x:v>
      </x:c>
      <x:c r="G2" s="12">
        <x:v>470000.0</x:v>
      </x:c>
      <x:c r="H2" s="12">
        <x:v>415000.0</x:v>
      </x:c>
      <x:c r="I2" s="12">
        <x:v>360000.0</x:v>
      </x:c>
      <x:c r="J2" s="12">
        <x:v>615000.0</x:v>
      </x:c>
      <x:c r="K2" s="12">
        <x:v>250000.0</x:v>
      </x:c>
      <x:c r="L2" s="12">
        <x:v>240000.0</x:v>
      </x:c>
      <x:c r="M2" s="12">
        <x:v>390000.0</x:v>
      </x:c>
      <x:c r="N2" s="12">
        <x:v>355000.0</x:v>
      </x:c>
      <x:c r="O2" s="14"/>
      <x:c r="P2" s="15"/>
      <x:c r="Q2" s="15"/>
      <x:c r="R2" s="16"/>
      <x:c r="S2" s="17"/>
      <x:c r="T2" s="17"/>
      <x:c r="U2" s="17"/>
      <x:c r="V2" s="17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</x:row>
    <x:row r="3" ht="18.75" customHeight="1">
      <x:c r="A3" s="8" t="s">
        <x:v>27</x:v>
      </x:c>
      <x:c r="B3" s="9"/>
      <x:c r="C3" s="10"/>
      <x:c r="D3" s="11"/>
      <x:c r="E3" s="95" t="n">
        <x:f t="shared" ref="E3:N3" si="1">E171</x:f>
        <x:v>10</x:v>
      </x:c>
      <x:c r="F3" s="15">
        <x:f t="shared" si="1"/>
        <x:v>32</x:v>
      </x:c>
      <x:c r="G3" s="18">
        <x:f t="shared" si="1"/>
        <x:v>20</x:v>
      </x:c>
      <x:c r="H3" s="18">
        <x:f t="shared" si="1"/>
        <x:v>10</x:v>
      </x:c>
      <x:c r="I3" s="18">
        <x:f t="shared" si="1"/>
        <x:v>8</x:v>
      </x:c>
      <x:c r="J3" s="18">
        <x:f t="shared" si="1"/>
        <x:v>1</x:v>
      </x:c>
      <x:c r="K3" s="12">
        <x:f t="shared" si="1"/>
        <x:v>7</x:v>
      </x:c>
      <x:c r="L3" s="18">
        <x:f t="shared" si="1"/>
        <x:v>11</x:v>
      </x:c>
      <x:c r="M3" s="15">
        <x:f t="shared" si="1"/>
        <x:v>5</x:v>
      </x:c>
      <x:c r="N3" s="15">
        <x:f t="shared" si="1"/>
        <x:v>5</x:v>
      </x:c>
      <x:c r="O3" s="14"/>
      <x:c r="P3" s="15"/>
      <x:c r="Q3" s="15"/>
      <x:c r="R3" s="16"/>
      <x:c r="S3" s="17"/>
      <x:c r="T3" s="17"/>
      <x:c r="U3" s="17"/>
      <x:c r="V3" s="17"/>
      <x:c r="W3" s="16"/>
      <x:c r="X3" s="16"/>
      <x:c r="Y3" s="16"/>
      <x:c r="Z3" s="16"/>
      <x:c r="AA3" s="16"/>
      <x:c r="AB3" s="16"/>
      <x:c r="AC3" s="16"/>
      <x:c r="AD3" s="16"/>
      <x:c r="AE3" s="16"/>
      <x:c r="AF3" s="16"/>
      <x:c r="AG3" s="16"/>
    </x:row>
    <x:row r="4" ht="18.75" customHeight="1">
      <x:c r="A4" s="19">
        <x:v>1.0</x:v>
      </x:c>
      <x:c r="B4" s="20" t="s">
        <x:v>114</x:v>
      </x:c>
      <x:c r="C4" s="21">
        <x:v>45945.0</x:v>
      </x:c>
      <x:c r="D4" s="22" t="s">
        <x:v>115</x:v>
      </x:c>
      <x:c r="E4" s="23"/>
      <x:c r="F4" s="23"/>
      <x:c r="G4" s="24">
        <x:v>10.0</x:v>
      </x:c>
      <x:c r="H4" s="24"/>
      <x:c r="I4" s="24"/>
      <x:c r="J4" s="24"/>
      <x:c r="K4" s="24"/>
      <x:c r="L4" s="24"/>
      <x:c r="M4" s="23"/>
      <x:c r="N4" s="94"/>
      <x:c r="O4" s="26" t="n">
        <x:f>(E4*$E$2+F4*$F$2+G4*$G$2+H4*$H$2+I4*$I$2+J4*$J$2+K4*$K$2+L4*$L$2+M4*$M$2+N4*$N$2)-7000</x:f>
        <x:v>4693000</x:v>
      </x:c>
      <x:c r="P4" s="23" t="s">
        <x:v>37</x:v>
      </x:c>
      <x:c r="Q4" s="27" t="s">
        <x:v>31</x:v>
      </x:c>
      <x:c r="S4" s="28" t="s">
        <x:v>34</x:v>
      </x:c>
      <x:c r="T4" s="28" t="s">
        <x:v>31</x:v>
      </x:c>
      <x:c r="U4" s="28" t="s">
        <x:v>54</x:v>
      </x:c>
      <x:c r="V4" s="28" t="s">
        <x:v>55</x:v>
      </x:c>
    </x:row>
    <x:row r="5" ht="18.75" customHeight="1">
      <x:c r="A5" s="19">
        <x:v>2.0</x:v>
      </x:c>
      <x:c r="B5" s="20" t="s">
        <x:v>260</x:v>
      </x:c>
      <x:c r="C5" s="21">
        <x:v>45945.0</x:v>
      </x:c>
      <x:c r="D5" s="22" t="s">
        <x:v>261</x:v>
      </x:c>
      <x:c r="E5" s="23">
        <x:v>1.0</x:v>
      </x:c>
      <x:c r="F5" s="23"/>
      <x:c r="G5" s="24"/>
      <x:c r="H5" s="24"/>
      <x:c r="I5" s="24"/>
      <x:c r="J5" s="24"/>
      <x:c r="K5" s="24"/>
      <x:c r="L5" s="24"/>
      <x:c r="M5" s="94"/>
      <x:c r="N5" s="94"/>
      <x:c r="O5" s="26" t="n">
        <x:f>(E5*$E$2+F5*$F$2+G5*$G$2+H5*$H$2+I5*$I$2+J5*$J$2+K5*$K$2+L5*$L$2+M5*$M$2+N5*$N$2)</x:f>
        <x:v>270000</x:v>
      </x:c>
      <x:c r="P5" s="23" t="s">
        <x:v>74</x:v>
      </x:c>
      <x:c r="Q5" s="23" t="s">
        <x:v>34</x:v>
      </x:c>
      <x:c r="S5" s="31" t="n">
        <x:f>SUMIF(Q4:Q1119, "Đã CK Anh", O4:O1119)</x:f>
        <x:v>2080000</x:v>
      </x:c>
      <x:c r="T5" s="31" t="n">
        <x:f>SUMIF(Q4:Q1119, "Đã CK Em", O4:O1119)</x:f>
        <x:v>33626500</x:v>
      </x:c>
      <x:c r="U5" s="31" t="n">
        <x:f>S5+T5</x:f>
        <x:v>35706500</x:v>
      </x:c>
      <x:c r="V5" s="31" t="n">
        <x:f>SUMIF(Q4:Q1119, "Chưa CK", O4:O1119)</x:f>
        <x:v>0</x:v>
      </x:c>
    </x:row>
    <x:row r="6" ht="18.75" customHeight="1">
      <x:c r="A6" s="19">
        <x:v>3.0</x:v>
      </x:c>
      <x:c r="B6" s="20" t="s">
        <x:v>262</x:v>
      </x:c>
      <x:c r="C6" s="21">
        <x:v>45945.0</x:v>
      </x:c>
      <x:c r="D6" s="22" t="s">
        <x:v>185</x:v>
      </x:c>
      <x:c r="E6" s="23"/>
      <x:c r="F6" s="23"/>
      <x:c r="G6" s="24"/>
      <x:c r="H6" s="24">
        <x:v>10.0</x:v>
      </x:c>
      <x:c r="I6" s="24"/>
      <x:c r="J6" s="24"/>
      <x:c r="K6" s="24"/>
      <x:c r="L6" s="24"/>
      <x:c r="M6" s="94"/>
      <x:c r="N6" s="94"/>
      <x:c r="O6" s="26" t="n">
        <x:f>(E6*$E$2+F6*$F$2+G6*$G$2+H6*$H$2+I6*$I$2+J6*$J$2+K6*$K$2+L6*$L$2+M6*$M$2+N6*$N$2)-100000-7000</x:f>
        <x:v>4043000</x:v>
      </x:c>
      <x:c r="P6" s="23" t="s">
        <x:v>74</x:v>
      </x:c>
      <x:c r="Q6" s="23" t="s">
        <x:v>31</x:v>
      </x:c>
    </x:row>
    <x:row r="7" ht="18.75" customHeight="1">
      <x:c r="A7" s="19">
        <x:v>4.0</x:v>
      </x:c>
      <x:c r="B7" s="29" t="s">
        <x:v>263</x:v>
      </x:c>
      <x:c r="C7" s="21">
        <x:v>45945.0</x:v>
      </x:c>
      <x:c r="D7" s="22" t="s">
        <x:v>146</x:v>
      </x:c>
      <x:c r="E7" s="23"/>
      <x:c r="F7" s="23">
        <x:v>5.0</x:v>
      </x:c>
      <x:c r="G7" s="24"/>
      <x:c r="H7" s="24"/>
      <x:c r="I7" s="24"/>
      <x:c r="J7" s="24"/>
      <x:c r="K7" s="24"/>
      <x:c r="L7" s="24">
        <x:v>1.0</x:v>
      </x:c>
      <x:c r="M7" s="23"/>
      <x:c r="N7" s="23">
        <x:v>5.0</x:v>
      </x:c>
      <x:c r="O7" s="26" t="n">
        <x:f>(E7*$E$2+F7*$F$2+G7*$G$2+H7*$H$2+I7*$I$2+J7*$J$2+K7*$K$2+L7*$L$2+M7*$M$2+N7*$N$2)-315000</x:f>
        <x:v>3000000</x:v>
      </x:c>
      <x:c r="P7" s="23" t="s">
        <x:v>74</x:v>
      </x:c>
      <x:c r="Q7" s="27" t="s">
        <x:v>31</x:v>
      </x:c>
    </x:row>
    <x:row r="8" ht="18.75" customHeight="1">
      <x:c r="A8" s="19">
        <x:v>5.0</x:v>
      </x:c>
      <x:c r="B8" s="29" t="s">
        <x:v>264</x:v>
      </x:c>
      <x:c r="C8" s="21">
        <x:v>45945.0</x:v>
      </x:c>
      <x:c r="D8" s="22" t="s">
        <x:v>155</x:v>
      </x:c>
      <x:c r="E8" s="23"/>
      <x:c r="F8" s="23"/>
      <x:c r="G8" s="24"/>
      <x:c r="H8" s="24"/>
      <x:c r="I8" s="24">
        <x:v>1.0</x:v>
      </x:c>
      <x:c r="J8" s="24"/>
      <x:c r="K8" s="24"/>
      <x:c r="L8" s="24"/>
      <x:c r="M8" s="23"/>
      <x:c r="N8" s="23"/>
      <x:c r="O8" s="26" t="n">
        <x:f t="shared" ref="O8:O20" si="2">(E8*$E$2+F8*$F$2+G8*$G$2+H8*$H$2+I8*$I$2+J8*$J$2+K8*$K$2+L8*$L$2+M8*$M$2+N8*$N$2)</x:f>
        <x:v>360000</x:v>
      </x:c>
      <x:c r="P8" s="23" t="s">
        <x:v>74</x:v>
      </x:c>
      <x:c r="Q8" s="23" t="s">
        <x:v>31</x:v>
      </x:c>
    </x:row>
    <x:row r="9" ht="18.75" customHeight="1">
      <x:c r="A9" s="19">
        <x:v>6.0</x:v>
      </x:c>
      <x:c r="B9" s="29" t="s">
        <x:v>265</x:v>
      </x:c>
      <x:c r="C9" s="21">
        <x:v>45945.0</x:v>
      </x:c>
      <x:c r="D9" s="22" t="s">
        <x:v>266</x:v>
      </x:c>
      <x:c r="E9" s="23"/>
      <x:c r="F9" s="23">
        <x:v>1.0</x:v>
      </x:c>
      <x:c r="G9" s="25"/>
      <x:c r="H9" s="24"/>
      <x:c r="I9" s="25"/>
      <x:c r="J9" s="24"/>
      <x:c r="K9" s="24"/>
      <x:c r="L9" s="25"/>
      <x:c r="M9" s="23"/>
      <x:c r="N9" s="23"/>
      <x:c r="O9" s="26">
        <x:f t="shared" si="2"/>
        <x:v>260000</x:v>
      </x:c>
      <x:c r="P9" s="23" t="s">
        <x:v>74</x:v>
      </x:c>
      <x:c r="Q9" s="23" t="s">
        <x:v>31</x:v>
      </x:c>
    </x:row>
    <x:row r="10" ht="18.75" customHeight="1">
      <x:c r="A10" s="19">
        <x:v>7.0</x:v>
      </x:c>
      <x:c r="B10" s="29" t="s">
        <x:v>267</x:v>
      </x:c>
      <x:c r="C10" s="21">
        <x:v>45946.0</x:v>
      </x:c>
      <x:c r="D10" s="22" t="s">
        <x:v>268</x:v>
      </x:c>
      <x:c r="E10" s="23"/>
      <x:c r="F10" s="23">
        <x:v>2.0</x:v>
      </x:c>
      <x:c r="G10" s="25"/>
      <x:c r="H10" s="24"/>
      <x:c r="I10" s="24">
        <x:v>2.0</x:v>
      </x:c>
      <x:c r="J10" s="24"/>
      <x:c r="K10" s="24"/>
      <x:c r="L10" s="24"/>
      <x:c r="M10" s="94"/>
      <x:c r="N10" s="94"/>
      <x:c r="O10" s="26">
        <x:f t="shared" si="2"/>
        <x:v>1240000</x:v>
      </x:c>
      <x:c r="P10" s="23" t="s">
        <x:v>37</x:v>
      </x:c>
      <x:c r="Q10" s="23" t="s">
        <x:v>31</x:v>
      </x:c>
      <x:c r="S10" s="37"/>
      <x:c r="T10" s="37"/>
      <x:c r="U10" s="37"/>
      <x:c r="V10" s="37"/>
    </x:row>
    <x:row r="11" ht="18.75" customHeight="1">
      <x:c r="A11" s="19">
        <x:v>9.0</x:v>
      </x:c>
      <x:c r="B11" s="29" t="s">
        <x:v>269</x:v>
      </x:c>
      <x:c r="C11" s="21">
        <x:v>45946.0</x:v>
      </x:c>
      <x:c r="D11" s="22" t="s">
        <x:v>270</x:v>
      </x:c>
      <x:c r="E11" s="23"/>
      <x:c r="F11" s="23">
        <x:v>1.0</x:v>
      </x:c>
      <x:c r="G11" s="24"/>
      <x:c r="H11" s="24"/>
      <x:c r="I11" s="24">
        <x:v>2.0</x:v>
      </x:c>
      <x:c r="J11" s="24"/>
      <x:c r="K11" s="25"/>
      <x:c r="L11" s="24"/>
      <x:c r="M11" s="23"/>
      <x:c r="N11" s="94"/>
      <x:c r="O11" s="26">
        <x:f t="shared" si="2"/>
        <x:v>980000</x:v>
      </x:c>
      <x:c r="P11" s="23" t="s">
        <x:v>74</x:v>
      </x:c>
      <x:c r="Q11" s="23" t="s">
        <x:v>31</x:v>
      </x:c>
      <x:c r="S11" s="33" t="n" cm="1">
        <x:f t="array" ref="S11:S22">_xlfn._xlws.SORT(_xlfn.UNIQUE(C4:C1117))</x:f>
        <x:v>45945</x:v>
      </x:c>
      <x:c r="T11" s="34" t="e">
        <x:f>IFERROR(__xludf.DUMMYFUNCTION("SUM(FILTER($E$4:$N$1119, $C$4:$C$1119 = S11))"),34.0)</x:f>
        <x:v>#NAME?</x:v>
      </x:c>
      <x:c r="U11" s="34" t="e">
        <x:f>IFERROR(__xludf.DUMMYFUNCTION("COUNT(FILTER($C$4:$C$1119, $C$4:$C$1119 = S11))"),6.0)</x:f>
        <x:v>#NAME?</x:v>
      </x:c>
      <x:c r="V11" s="31" t="n">
        <x:f t="shared" ref="V11:V18" si="3">SUMIF($C$4:$C$1119, $S11 , $O$4:$O$1119)</x:f>
        <x:v>12626000</x:v>
      </x:c>
    </x:row>
    <x:row r="12" ht="18.75" customHeight="1">
      <x:c r="A12" s="19">
        <x:v>10.0</x:v>
      </x:c>
      <x:c r="B12" s="29" t="s">
        <x:v>271</x:v>
      </x:c>
      <x:c r="C12" s="21">
        <x:v>45946.0</x:v>
      </x:c>
      <x:c r="D12" s="22" t="s">
        <x:v>272</x:v>
      </x:c>
      <x:c r="E12" s="23">
        <x:v>1.0</x:v>
      </x:c>
      <x:c r="F12" s="23"/>
      <x:c r="G12" s="24"/>
      <x:c r="H12" s="24"/>
      <x:c r="I12" s="24"/>
      <x:c r="J12" s="24"/>
      <x:c r="K12" s="24"/>
      <x:c r="L12" s="24">
        <x:v>2.0</x:v>
      </x:c>
      <x:c r="M12" s="94"/>
      <x:c r="N12" s="94"/>
      <x:c r="O12" s="26">
        <x:f t="shared" si="2"/>
        <x:v>750000</x:v>
      </x:c>
      <x:c r="P12" s="23" t="s">
        <x:v>74</x:v>
      </x:c>
      <x:c r="Q12" s="23" t="s">
        <x:v>31</x:v>
      </x:c>
      <x:c r="S12" s="33" t="n">
        <x:v>45946</x:v>
      </x:c>
      <x:c r="T12" s="34" t="e">
        <x:f>IFERROR(__xludf.DUMMYFUNCTION("SUM(FILTER($E$4:$N$1119, $C$4:$C$1119 = S12))"),13.0)</x:f>
        <x:v>#NAME?</x:v>
      </x:c>
      <x:c r="U12" s="34" t="e">
        <x:f>IFERROR(__xludf.DUMMYFUNCTION("COUNT(FILTER($C$4:$C$1119, $C$4:$C$1119 = S12))"),5.0)</x:f>
        <x:v>#NAME?</x:v>
      </x:c>
      <x:c r="V12" s="31">
        <x:f t="shared" si="3"/>
        <x:v>3850000</x:v>
      </x:c>
    </x:row>
    <x:row r="13" ht="18.75" customHeight="1">
      <x:c r="A13" s="19">
        <x:v>11.0</x:v>
      </x:c>
      <x:c r="B13" s="29" t="s">
        <x:v>234</x:v>
      </x:c>
      <x:c r="C13" s="21">
        <x:v>45946.0</x:v>
      </x:c>
      <x:c r="D13" s="22" t="s">
        <x:v>235</x:v>
      </x:c>
      <x:c r="E13" s="23">
        <x:v>1.0</x:v>
      </x:c>
      <x:c r="F13" s="23"/>
      <x:c r="G13" s="25"/>
      <x:c r="H13" s="24"/>
      <x:c r="I13" s="24"/>
      <x:c r="J13" s="24"/>
      <x:c r="K13" s="24"/>
      <x:c r="L13" s="24"/>
      <x:c r="M13" s="23"/>
      <x:c r="N13" s="94"/>
      <x:c r="O13" s="26">
        <x:f t="shared" si="2"/>
        <x:v>270000</x:v>
      </x:c>
      <x:c r="P13" s="23" t="s">
        <x:v>74</x:v>
      </x:c>
      <x:c r="Q13" s="23" t="s">
        <x:v>31</x:v>
      </x:c>
      <x:c r="S13" s="33" t="n">
        <x:v>45947</x:v>
      </x:c>
      <x:c r="T13" s="34" t="e">
        <x:f>IFERROR(__xludf.DUMMYFUNCTION("SUM(FILTER($E$4:$N$1119, $C$4:$C$1119 = S13))"),10.0)</x:f>
        <x:v>#NAME?</x:v>
      </x:c>
      <x:c r="U13" s="34" t="e">
        <x:f>IFERROR(__xludf.DUMMYFUNCTION("COUNT(FILTER($C$4:$C$1119, $C$4:$C$1119 = S13))"),5.0)</x:f>
        <x:v>#NAME?</x:v>
      </x:c>
      <x:c r="V13" s="31">
        <x:f t="shared" si="3"/>
        <x:v>2920000</x:v>
      </x:c>
    </x:row>
    <x:row r="14" ht="18.75" customHeight="1">
      <x:c r="A14" s="19">
        <x:v>12.0</x:v>
      </x:c>
      <x:c r="B14" s="29" t="s">
        <x:v>273</x:v>
      </x:c>
      <x:c r="C14" s="21">
        <x:v>45946.0</x:v>
      </x:c>
      <x:c r="D14" s="22" t="s">
        <x:v>274</x:v>
      </x:c>
      <x:c r="E14" s="23"/>
      <x:c r="F14" s="23"/>
      <x:c r="G14" s="25"/>
      <x:c r="H14" s="25"/>
      <x:c r="I14" s="24">
        <x:v>1.0</x:v>
      </x:c>
      <x:c r="J14" s="25"/>
      <x:c r="K14" s="24">
        <x:v>1.0</x:v>
      </x:c>
      <x:c r="L14" s="24"/>
      <x:c r="M14" s="94"/>
      <x:c r="N14" s="94"/>
      <x:c r="O14" s="26">
        <x:f t="shared" si="2"/>
        <x:v>610000</x:v>
      </x:c>
      <x:c r="P14" s="23" t="s">
        <x:v>74</x:v>
      </x:c>
      <x:c r="Q14" s="23" t="s">
        <x:v>31</x:v>
      </x:c>
      <x:c r="S14" s="33" t="n">
        <x:v>45948</x:v>
      </x:c>
      <x:c r="T14" s="34" t="e">
        <x:f>IFERROR(__xludf.DUMMYFUNCTION("SUM(FILTER($E$4:$N$1119, $C$4:$C$1119 = S14))"),1.0)</x:f>
        <x:v>#NAME?</x:v>
      </x:c>
      <x:c r="U14" s="34" t="e">
        <x:f>IFERROR(__xludf.DUMMYFUNCTION("COUNT(FILTER($C$4:$C$1119, $C$4:$C$1119 = S14))"),1.0)</x:f>
        <x:v>#NAME?</x:v>
      </x:c>
      <x:c r="V14" s="31">
        <x:f t="shared" si="3"/>
        <x:v>470000</x:v>
      </x:c>
    </x:row>
    <x:row r="15" ht="18.75" customHeight="1">
      <x:c r="A15" s="19">
        <x:v>13.0</x:v>
      </x:c>
      <x:c r="B15" s="29" t="s">
        <x:v>275</x:v>
      </x:c>
      <x:c r="C15" s="21">
        <x:v>45947.0</x:v>
      </x:c>
      <x:c r="D15" s="22" t="s">
        <x:v>73</x:v>
      </x:c>
      <x:c r="E15" s="23"/>
      <x:c r="F15" s="23"/>
      <x:c r="G15" s="24"/>
      <x:c r="H15" s="24"/>
      <x:c r="I15" s="24"/>
      <x:c r="J15" s="24"/>
      <x:c r="K15" s="25"/>
      <x:c r="L15" s="24">
        <x:v>1.0</x:v>
      </x:c>
      <x:c r="M15" s="23">
        <x:v>1.0</x:v>
      </x:c>
      <x:c r="N15" s="23"/>
      <x:c r="O15" s="26">
        <x:f t="shared" si="2"/>
        <x:v>630000</x:v>
      </x:c>
      <x:c r="P15" s="23" t="s">
        <x:v>74</x:v>
      </x:c>
      <x:c r="Q15" s="23" t="s">
        <x:v>31</x:v>
      </x:c>
      <x:c r="R15" s="32"/>
      <x:c r="S15" s="33" t="n">
        <x:v>45949</x:v>
      </x:c>
      <x:c r="T15" s="34" t="e">
        <x:f>IFERROR(__xludf.DUMMYFUNCTION("SUM(FILTER($E$4:$N$1119, $C$4:$C$1119 = S15))"),14.0)</x:f>
        <x:v>#NAME?</x:v>
      </x:c>
      <x:c r="U15" s="34" t="e">
        <x:f>IFERROR(__xludf.DUMMYFUNCTION("COUNT(FILTER($C$4:$C$1119, $C$4:$C$1119 = S15))"),2.0)</x:f>
        <x:v>#NAME?</x:v>
      </x:c>
      <x:c r="V15" s="31">
        <x:f t="shared" si="3"/>
        <x:v>5540000</x:v>
      </x:c>
    </x:row>
    <x:row r="16" ht="18.75" customHeight="1">
      <x:c r="A16" s="19">
        <x:v>14.0</x:v>
      </x:c>
      <x:c r="B16" s="29" t="s">
        <x:v>276</x:v>
      </x:c>
      <x:c r="C16" s="21">
        <x:v>45947.0</x:v>
      </x:c>
      <x:c r="D16" s="22" t="s">
        <x:v>277</x:v>
      </x:c>
      <x:c r="E16" s="23"/>
      <x:c r="F16" s="23">
        <x:v>2.0</x:v>
      </x:c>
      <x:c r="G16" s="24"/>
      <x:c r="H16" s="24"/>
      <x:c r="I16" s="24">
        <x:v>1.0</x:v>
      </x:c>
      <x:c r="J16" s="24"/>
      <x:c r="K16" s="25"/>
      <x:c r="L16" s="24"/>
      <x:c r="M16" s="23"/>
      <x:c r="N16" s="94"/>
      <x:c r="O16" s="26">
        <x:f t="shared" si="2"/>
        <x:v>880000</x:v>
      </x:c>
      <x:c r="P16" s="23" t="s">
        <x:v>74</x:v>
      </x:c>
      <x:c r="Q16" s="23" t="s">
        <x:v>31</x:v>
      </x:c>
      <x:c r="R16" s="32"/>
      <x:c r="S16" s="33" t="n">
        <x:v>45950</x:v>
      </x:c>
      <x:c r="T16" s="34" t="e">
        <x:f>IFERROR(__xludf.DUMMYFUNCTION("SUM(FILTER($E$4:$N$1119, $C$4:$C$1119 = S16))"),10.0)</x:f>
        <x:v>#NAME?</x:v>
      </x:c>
      <x:c r="U16" s="34" t="e">
        <x:f>IFERROR(__xludf.DUMMYFUNCTION("COUNT(FILTER($C$4:$C$1119, $C$4:$C$1119 = S16))"),3.0)</x:f>
        <x:v>#NAME?</x:v>
      </x:c>
      <x:c r="V16" s="31">
        <x:f t="shared" si="3"/>
        <x:v>3008500</x:v>
      </x:c>
    </x:row>
    <x:row r="17" ht="18.75" customHeight="1">
      <x:c r="A17" s="19">
        <x:v>15.0</x:v>
      </x:c>
      <x:c r="B17" s="29" t="s">
        <x:v>38</x:v>
      </x:c>
      <x:c r="C17" s="21">
        <x:v>45947.0</x:v>
      </x:c>
      <x:c r="D17" s="22" t="s">
        <x:v>278</x:v>
      </x:c>
      <x:c r="E17" s="23">
        <x:v>1.0</x:v>
      </x:c>
      <x:c r="F17" s="23"/>
      <x:c r="G17" s="24"/>
      <x:c r="H17" s="24"/>
      <x:c r="I17" s="24"/>
      <x:c r="J17" s="24"/>
      <x:c r="K17" s="24"/>
      <x:c r="L17" s="24"/>
      <x:c r="M17" s="94"/>
      <x:c r="N17" s="94"/>
      <x:c r="O17" s="26">
        <x:f t="shared" si="2"/>
        <x:v>270000</x:v>
      </x:c>
      <x:c r="P17" s="23" t="s">
        <x:v>74</x:v>
      </x:c>
      <x:c r="Q17" s="23" t="s">
        <x:v>31</x:v>
      </x:c>
      <x:c r="R17" s="32"/>
      <x:c r="S17" s="33" t="n">
        <x:v>45951</x:v>
      </x:c>
      <x:c r="T17" s="34" t="e">
        <x:f>IFERROR(__xludf.DUMMYFUNCTION("SUM(FILTER($E$4:$N$1119, $C$4:$C$1119 = S17))"),4.0)</x:f>
        <x:v>#NAME?</x:v>
      </x:c>
      <x:c r="U17" s="34" t="e">
        <x:f>IFERROR(__xludf.DUMMYFUNCTION("COUNT(FILTER($C$4:$C$1119, $C$4:$C$1119 = S17))"),2.0)</x:f>
        <x:v>#NAME?</x:v>
      </x:c>
      <x:c r="V17" s="31">
        <x:f t="shared" si="3"/>
        <x:v>1150000</x:v>
      </x:c>
    </x:row>
    <x:row r="18">
      <x:c r="A18" s="19">
        <x:v>16.0</x:v>
      </x:c>
      <x:c r="B18" s="29" t="s">
        <x:v>279</x:v>
      </x:c>
      <x:c r="C18" s="21">
        <x:v>45947.0</x:v>
      </x:c>
      <x:c r="D18" s="22" t="s">
        <x:v>280</x:v>
      </x:c>
      <x:c r="E18" s="23">
        <x:v>1.0</x:v>
      </x:c>
      <x:c r="F18" s="23"/>
      <x:c r="G18" s="24"/>
      <x:c r="H18" s="24"/>
      <x:c r="I18" s="24"/>
      <x:c r="J18" s="24"/>
      <x:c r="K18" s="24"/>
      <x:c r="L18" s="24"/>
      <x:c r="M18" s="23"/>
      <x:c r="N18" s="94"/>
      <x:c r="O18" s="26">
        <x:f t="shared" si="2"/>
        <x:v>270000</x:v>
      </x:c>
      <x:c r="P18" s="23" t="s">
        <x:v>74</x:v>
      </x:c>
      <x:c r="Q18" s="23" t="s">
        <x:v>31</x:v>
      </x:c>
      <x:c r="R18" s="32"/>
      <x:c r="S18" s="33" t="n">
        <x:v>45952</x:v>
      </x:c>
      <x:c r="T18" s="34" t="e">
        <x:f>IFERROR(__xludf.DUMMYFUNCTION("SUM(FILTER($E$4:$N$1119, $C$4:$C$1119 = S18))"),9.0)</x:f>
        <x:v>#NAME?</x:v>
      </x:c>
      <x:c r="U18" s="34" t="e">
        <x:f>IFERROR(__xludf.DUMMYFUNCTION("COUNT(FILTER($C$4:$C$1119, $C$4:$C$1119 = S18))"),5.0)</x:f>
        <x:v>#NAME?</x:v>
      </x:c>
      <x:c r="V18" s="31">
        <x:f t="shared" si="3"/>
        <x:v>2430000</x:v>
      </x:c>
    </x:row>
    <x:row r="19">
      <x:c r="A19" s="19">
        <x:v>17.0</x:v>
      </x:c>
      <x:c r="B19" s="29" t="s">
        <x:v>281</x:v>
      </x:c>
      <x:c r="C19" s="21">
        <x:v>45947.0</x:v>
      </x:c>
      <x:c r="D19" s="22" t="s">
        <x:v>282</x:v>
      </x:c>
      <x:c r="E19" s="23"/>
      <x:c r="F19" s="23">
        <x:v>1.0</x:v>
      </x:c>
      <x:c r="G19" s="24"/>
      <x:c r="H19" s="24"/>
      <x:c r="I19" s="24">
        <x:v>1.0</x:v>
      </x:c>
      <x:c r="J19" s="24"/>
      <x:c r="K19" s="24">
        <x:v>1.0</x:v>
      </x:c>
      <x:c r="L19" s="24"/>
      <x:c r="M19" s="94"/>
      <x:c r="N19" s="94"/>
      <x:c r="O19" s="26">
        <x:f t="shared" si="2"/>
        <x:v>870000</x:v>
      </x:c>
      <x:c r="P19" s="23" t="s">
        <x:v>74</x:v>
      </x:c>
      <x:c r="Q19" s="23" t="s">
        <x:v>31</x:v>
      </x:c>
      <x:c r="R19" s="32"/>
      <x:c r="S19" s="33" t="n">
        <x:v>45955</x:v>
      </x:c>
      <x:c r="T19" s="34"/>
      <x:c r="U19" s="34"/>
      <x:c r="V19" s="31"/>
    </x:row>
    <x:row r="20" ht="18.75" customHeight="1">
      <x:c r="A20" s="19">
        <x:v>18.0</x:v>
      </x:c>
      <x:c r="B20" s="29" t="s">
        <x:v>283</x:v>
      </x:c>
      <x:c r="C20" s="21">
        <x:v>45948.0</x:v>
      </x:c>
      <x:c r="D20" s="22" t="s">
        <x:v>284</x:v>
      </x:c>
      <x:c r="E20" s="23"/>
      <x:c r="F20" s="23"/>
      <x:c r="G20" s="24">
        <x:v>1.0</x:v>
      </x:c>
      <x:c r="H20" s="24"/>
      <x:c r="I20" s="24"/>
      <x:c r="J20" s="24"/>
      <x:c r="K20" s="24"/>
      <x:c r="L20" s="24"/>
      <x:c r="M20" s="23"/>
      <x:c r="N20" s="23"/>
      <x:c r="O20" s="26">
        <x:f t="shared" si="2"/>
        <x:v>470000</x:v>
      </x:c>
      <x:c r="P20" s="23" t="s">
        <x:v>37</x:v>
      </x:c>
      <x:c r="Q20" s="23" t="s">
        <x:v>31</x:v>
      </x:c>
      <x:c r="R20" s="32"/>
      <x:c r="S20" s="33" t="n">
        <x:v>45959</x:v>
      </x:c>
      <x:c r="T20" s="34" t="e">
        <x:f>IFERROR(__xludf.DUMMYFUNCTION("SUM(FILTER($E$4:$N$1119, $C$4:$C$1119 = S20))"),7.0)</x:f>
        <x:v>#NAME?</x:v>
      </x:c>
      <x:c r="U20" s="34" t="e">
        <x:f>IFERROR(__xludf.DUMMYFUNCTION("COUNT(FILTER($C$4:$C$1119, $C$4:$C$1119 = S20))"),4.0)</x:f>
        <x:v>#NAME?</x:v>
      </x:c>
      <x:c r="V20" s="31" t="n">
        <x:f t="shared" ref="V20:V23" si="4">SUMIF($C$4:$C$1119, $S20 , $O$4:$O$1119)</x:f>
        <x:v>1922000</x:v>
      </x:c>
    </x:row>
    <x:row r="21" ht="18.75" customHeight="1">
      <x:c r="A21" s="19">
        <x:v>19.0</x:v>
      </x:c>
      <x:c r="B21" s="29" t="s">
        <x:v>285</x:v>
      </x:c>
      <x:c r="C21" s="21">
        <x:v>45949.0</x:v>
      </x:c>
      <x:c r="D21" s="22" t="s">
        <x:v>196</x:v>
      </x:c>
      <x:c r="E21" s="23">
        <x:v>2.0</x:v>
      </x:c>
      <x:c r="F21" s="23">
        <x:v>3.0</x:v>
      </x:c>
      <x:c r="G21" s="24"/>
      <x:c r="H21" s="25"/>
      <x:c r="I21" s="24"/>
      <x:c r="J21" s="25"/>
      <x:c r="K21" s="24"/>
      <x:c r="L21" s="24"/>
      <x:c r="M21" s="94"/>
      <x:c r="N21" s="94"/>
      <x:c r="O21" s="26" t="n">
        <x:f>(E21*$E$2+F21*$F$2+G21*$G$2+H21*$H$2+I21*$I$2+J21*$J$2+K21*$K$2+L21*$L$2+M21*$M$2+N21*$N$2)-10000</x:f>
        <x:v>1310000</x:v>
      </x:c>
      <x:c r="P21" s="23" t="s">
        <x:v>37</x:v>
      </x:c>
      <x:c r="Q21" s="23" t="s">
        <x:v>34</x:v>
      </x:c>
      <x:c r="R21" s="32"/>
      <x:c r="S21" s="33" t="n">
        <x:v>45961</x:v>
      </x:c>
      <x:c r="T21" s="34" t="e">
        <x:f>IFERROR(__xludf.DUMMYFUNCTION("SUM(FILTER($E$4:$N$1119, $C$4:$C$1119 = S21))"),3.0)</x:f>
        <x:v>#NAME?</x:v>
      </x:c>
      <x:c r="U21" s="34" t="e">
        <x:f>IFERROR(__xludf.DUMMYFUNCTION("COUNT(FILTER($C$4:$C$1119, $C$4:$C$1119 = S21))"),2.0)</x:f>
        <x:v>#NAME?</x:v>
      </x:c>
      <x:c r="V21" s="31">
        <x:f t="shared" si="4"/>
        <x:v>780000</x:v>
      </x:c>
    </x:row>
    <x:row r="22" ht="18.75" customHeight="1">
      <x:c r="A22" s="19">
        <x:v>20.0</x:v>
      </x:c>
      <x:c r="B22" s="29" t="s">
        <x:v>286</x:v>
      </x:c>
      <x:c r="C22" s="21">
        <x:v>45949.0</x:v>
      </x:c>
      <x:c r="D22" s="22" t="s">
        <x:v>287</x:v>
      </x:c>
      <x:c r="E22" s="23"/>
      <x:c r="F22" s="23"/>
      <x:c r="G22" s="24">
        <x:v>9.0</x:v>
      </x:c>
      <x:c r="H22" s="24"/>
      <x:c r="I22" s="24"/>
      <x:c r="J22" s="24"/>
      <x:c r="K22" s="24"/>
      <x:c r="L22" s="24"/>
      <x:c r="M22" s="23"/>
      <x:c r="N22" s="94"/>
      <x:c r="O22" s="26" t="n">
        <x:f>(E22*$E$2+F22*$F$2+G22*$G$2+H22*$H$2+I22*$I$2+J22*$J$2+K22*$K$2+L22*$L$2+M22*$M$2+N22*$N$2)</x:f>
        <x:v>4230000</x:v>
      </x:c>
      <x:c r="P22" s="23" t="s">
        <x:v>37</x:v>
      </x:c>
      <x:c r="Q22" s="23" t="s">
        <x:v>31</x:v>
      </x:c>
      <x:c r="R22" s="32"/>
      <x:c r="S22" s="33" t="n">
        <x:v>0</x:v>
      </x:c>
      <x:c r="T22" s="34" t="e">
        <x:f>IFERROR(__xludf.DUMMYFUNCTION("SUM(FILTER($E$4:$N$1119, $C$4:$C$1119 = S22))"),2.0242308867299248E7)</x:f>
        <x:v>#NAME?</x:v>
      </x:c>
      <x:c r="U22" s="34" t="e">
        <x:f>IFERROR(__xludf.DUMMYFUNCTION("COUNT(FILTER($C$4:$C$1119, $C$4:$C$1119 = S22))"),0.0)</x:f>
        <x:v>#NAME?</x:v>
      </x:c>
      <x:c r="V22" s="31">
        <x:f t="shared" si="4"/>
        <x:v>0</x:v>
      </x:c>
    </x:row>
    <x:row r="23" ht="18.75" customHeight="1">
      <x:c r="A23" s="19">
        <x:v>21.0</x:v>
      </x:c>
      <x:c r="B23" s="29" t="s">
        <x:v>166</x:v>
      </x:c>
      <x:c r="C23" s="21">
        <x:v>45950.0</x:v>
      </x:c>
      <x:c r="D23" s="22" t="s">
        <x:v>167</x:v>
      </x:c>
      <x:c r="E23" s="23">
        <x:v>1.0</x:v>
      </x:c>
      <x:c r="F23" s="23"/>
      <x:c r="G23" s="24"/>
      <x:c r="H23" s="25"/>
      <x:c r="I23" s="25"/>
      <x:c r="J23" s="25"/>
      <x:c r="K23" s="24">
        <x:v>2.0</x:v>
      </x:c>
      <x:c r="L23" s="24">
        <x:v>3.0</x:v>
      </x:c>
      <x:c r="M23" s="23">
        <x:v>1.0</x:v>
      </x:c>
      <x:c r="N23" s="94"/>
      <x:c r="O23" s="26" t="n">
        <x:f>(E23*$E$2+F23*$F$2+G23*$G$2+H23*$H$2+I23*$I$2+J23*$J$2+K23*$K$2+L23*$L$2+M23*$M$2+N23*$N$2)-26500</x:f>
        <x:v>1853500</x:v>
      </x:c>
      <x:c r="P23" s="23" t="s">
        <x:v>37</x:v>
      </x:c>
      <x:c r="Q23" s="23" t="s">
        <x:v>31</x:v>
      </x:c>
      <x:c r="R23" s="32"/>
      <x:c r="S23" s="33"/>
      <x:c r="T23" s="34" t="e">
        <x:f>IFERROR(__xludf.DUMMYFUNCTION("SUM(FILTER($E$4:$N$1119, $C$4:$C$1119 = S23))"),2.0242308867299248E7)</x:f>
        <x:v>#NAME?</x:v>
      </x:c>
      <x:c r="U23" s="34" t="e">
        <x:f>IFERROR(__xludf.DUMMYFUNCTION("COUNT(FILTER($C$4:$C$1119, $C$4:$C$1119 = S23))"),0.0)</x:f>
        <x:v>#NAME?</x:v>
      </x:c>
      <x:c r="V23" s="31">
        <x:f t="shared" si="4"/>
        <x:v>0</x:v>
      </x:c>
    </x:row>
    <x:row r="24" ht="18.75" customHeight="1">
      <x:c r="A24" s="19">
        <x:v>22.0</x:v>
      </x:c>
      <x:c r="B24" s="29" t="s">
        <x:v>288</x:v>
      </x:c>
      <x:c r="C24" s="21">
        <x:v>45950.0</x:v>
      </x:c>
      <x:c r="D24" s="22" t="s">
        <x:v>289</x:v>
      </x:c>
      <x:c r="E24" s="23">
        <x:v>2.0</x:v>
      </x:c>
      <x:c r="F24" s="23"/>
      <x:c r="G24" s="25"/>
      <x:c r="H24" s="24"/>
      <x:c r="I24" s="24"/>
      <x:c r="J24" s="24"/>
      <x:c r="K24" s="24"/>
      <x:c r="L24" s="24"/>
      <x:c r="M24" s="23"/>
      <x:c r="N24" s="94"/>
      <x:c r="O24" s="26" t="n">
        <x:f t="shared" ref="O24:O35" si="5">(E24*$E$2+F24*$F$2+G24*$G$2+H24*$H$2+I24*$I$2+J24*$J$2+K24*$K$2+L24*$L$2+M24*$M$2+N24*$N$2)</x:f>
        <x:v>540000</x:v>
      </x:c>
      <x:c r="P24" s="23" t="s">
        <x:v>37</x:v>
      </x:c>
      <x:c r="Q24" s="23" t="s">
        <x:v>31</x:v>
      </x:c>
      <x:c r="R24" s="32"/>
      <x:c r="S24" s="33"/>
      <x:c r="T24" s="34"/>
      <x:c r="U24" s="34"/>
      <x:c r="V24" s="31"/>
    </x:row>
    <x:row r="25" ht="18.75" customHeight="1">
      <x:c r="A25" s="19">
        <x:v>23.0</x:v>
      </x:c>
      <x:c r="B25" s="29" t="s">
        <x:v>290</x:v>
      </x:c>
      <x:c r="C25" s="21">
        <x:v>45950.0</x:v>
      </x:c>
      <x:c r="D25" s="22" t="s">
        <x:v>291</x:v>
      </x:c>
      <x:c r="E25" s="23"/>
      <x:c r="F25" s="23"/>
      <x:c r="G25" s="25"/>
      <x:c r="H25" s="24"/>
      <x:c r="I25" s="24"/>
      <x:c r="J25" s="24">
        <x:v>1.0</x:v>
      </x:c>
      <x:c r="K25" s="24"/>
      <x:c r="L25" s="24"/>
      <x:c r="M25" s="23"/>
      <x:c r="N25" s="94"/>
      <x:c r="O25" s="26">
        <x:f t="shared" si="5"/>
        <x:v>615000</x:v>
      </x:c>
      <x:c r="P25" s="23" t="s">
        <x:v>37</x:v>
      </x:c>
      <x:c r="Q25" s="23" t="s">
        <x:v>31</x:v>
      </x:c>
      <x:c r="R25" s="32"/>
      <x:c r="S25" s="33"/>
      <x:c r="T25" s="34"/>
      <x:c r="U25" s="34"/>
      <x:c r="V25" s="31"/>
    </x:row>
    <x:row r="26" ht="18.75" customHeight="1">
      <x:c r="A26" s="19">
        <x:v>24.0</x:v>
      </x:c>
      <x:c r="B26" s="29" t="s">
        <x:v>292</x:v>
      </x:c>
      <x:c r="C26" s="21">
        <x:v>45951.0</x:v>
      </x:c>
      <x:c r="D26" s="22" t="s">
        <x:v>293</x:v>
      </x:c>
      <x:c r="E26" s="23"/>
      <x:c r="F26" s="23">
        <x:v>1.0</x:v>
      </x:c>
      <x:c r="G26" s="25"/>
      <x:c r="H26" s="24"/>
      <x:c r="I26" s="24"/>
      <x:c r="J26" s="24"/>
      <x:c r="K26" s="24"/>
      <x:c r="L26" s="24"/>
      <x:c r="M26" s="23">
        <x:v>1.0</x:v>
      </x:c>
      <x:c r="N26" s="94"/>
      <x:c r="O26" s="26">
        <x:f t="shared" si="5"/>
        <x:v>650000</x:v>
      </x:c>
      <x:c r="P26" s="23" t="s">
        <x:v>37</x:v>
      </x:c>
      <x:c r="Q26" s="23" t="s">
        <x:v>31</x:v>
      </x:c>
      <x:c r="R26" s="32"/>
      <x:c r="S26" s="33"/>
      <x:c r="T26" s="34" t="e">
        <x:f>IFERROR(__xludf.DUMMYFUNCTION("SUM(FILTER($E$4:$N$1119, $C$4:$C$1119 = S26))"),2.0242308867299248E7)</x:f>
        <x:v>#NAME?</x:v>
      </x:c>
      <x:c r="U26" s="34" t="e">
        <x:f>IFERROR(__xludf.DUMMYFUNCTION("COUNT(FILTER($C$4:$C$1119, $C$4:$C$1119 = S26))"),0.0)</x:f>
        <x:v>#NAME?</x:v>
      </x:c>
      <x:c r="V26" s="31" t="n">
        <x:f t="shared" ref="V26:V40" si="6">SUMIF($C$4:$C$1119, $S26 , $O$4:$O$1119)</x:f>
        <x:v>71413000</x:v>
      </x:c>
    </x:row>
    <x:row r="27">
      <x:c r="A27" s="19">
        <x:v>25.0</x:v>
      </x:c>
      <x:c r="B27" s="29" t="s">
        <x:v>294</x:v>
      </x:c>
      <x:c r="C27" s="21">
        <x:v>45951.0</x:v>
      </x:c>
      <x:c r="D27" s="58" t="s">
        <x:v>194</x:v>
      </x:c>
      <x:c r="E27" s="56"/>
      <x:c r="F27" s="23">
        <x:v>1.0</x:v>
      </x:c>
      <x:c r="G27" s="25"/>
      <x:c r="H27" s="25"/>
      <x:c r="I27" s="25"/>
      <x:c r="J27" s="25"/>
      <x:c r="K27" s="24"/>
      <x:c r="L27" s="24">
        <x:v>1.0</x:v>
      </x:c>
      <x:c r="M27" s="94"/>
      <x:c r="N27" s="23"/>
      <x:c r="O27" s="26">
        <x:f t="shared" si="5"/>
        <x:v>500000</x:v>
      </x:c>
      <x:c r="P27" s="23" t="s">
        <x:v>37</x:v>
      </x:c>
      <x:c r="Q27" s="23" t="s">
        <x:v>31</x:v>
      </x:c>
      <x:c r="R27" s="57"/>
      <x:c r="S27" s="33"/>
      <x:c r="T27" s="34" t="e">
        <x:f>IFERROR(__xludf.DUMMYFUNCTION("SUM(FILTER($E$4:$N$1119, $C$4:$C$1119 = S27))"),2.0242308867299248E7)</x:f>
        <x:v>#NAME?</x:v>
      </x:c>
      <x:c r="U27" s="34" t="e">
        <x:f>IFERROR(__xludf.DUMMYFUNCTION("COUNT(FILTER($C$4:$C$1119, $C$4:$C$1119 = S27))"),0.0)</x:f>
        <x:v>#NAME?</x:v>
      </x:c>
      <x:c r="V27" s="31">
        <x:f t="shared" si="6"/>
        <x:v>0</x:v>
      </x:c>
    </x:row>
    <x:row r="28" ht="18.75" customHeight="1">
      <x:c r="A28" s="19">
        <x:v>26.0</x:v>
      </x:c>
      <x:c r="B28" s="29" t="s">
        <x:v>295</x:v>
      </x:c>
      <x:c r="C28" s="21">
        <x:v>45952.0</x:v>
      </x:c>
      <x:c r="D28" s="58" t="s">
        <x:v>296</x:v>
      </x:c>
      <x:c r="E28" s="56"/>
      <x:c r="F28" s="23">
        <x:v>1.0</x:v>
      </x:c>
      <x:c r="G28" s="25"/>
      <x:c r="H28" s="24"/>
      <x:c r="I28" s="24"/>
      <x:c r="J28" s="24"/>
      <x:c r="K28" s="24"/>
      <x:c r="L28" s="24">
        <x:v>1.0</x:v>
      </x:c>
      <x:c r="M28" s="94"/>
      <x:c r="N28" s="94"/>
      <x:c r="O28" s="26">
        <x:f t="shared" si="5"/>
        <x:v>500000</x:v>
      </x:c>
      <x:c r="P28" s="23" t="s">
        <x:v>37</x:v>
      </x:c>
      <x:c r="Q28" s="23" t="s">
        <x:v>31</x:v>
      </x:c>
      <x:c r="R28" s="32"/>
      <x:c r="S28" s="33"/>
      <x:c r="T28" s="34" t="e">
        <x:f>IFERROR(__xludf.DUMMYFUNCTION("SUM(FILTER($E$4:$N$1119, $C$4:$C$1119 = S28))"),2.0242308867299248E7)</x:f>
        <x:v>#NAME?</x:v>
      </x:c>
      <x:c r="U28" s="34" t="e">
        <x:f>IFERROR(__xludf.DUMMYFUNCTION("COUNT(FILTER($C$4:$C$1119, $C$4:$C$1119 = S28))"),0.0)</x:f>
        <x:v>#NAME?</x:v>
      </x:c>
      <x:c r="V28" s="31">
        <x:f t="shared" si="6"/>
        <x:v>0</x:v>
      </x:c>
    </x:row>
    <x:row r="29" ht="18.75" customHeight="1">
      <x:c r="A29" s="19">
        <x:v>27.0</x:v>
      </x:c>
      <x:c r="B29" s="29" t="s">
        <x:v>297</x:v>
      </x:c>
      <x:c r="C29" s="21">
        <x:v>45952.0</x:v>
      </x:c>
      <x:c r="D29" s="22" t="s">
        <x:v>298</x:v>
      </x:c>
      <x:c r="E29" s="23"/>
      <x:c r="F29" s="23"/>
      <x:c r="G29" s="24"/>
      <x:c r="H29" s="25"/>
      <x:c r="I29" s="25"/>
      <x:c r="J29" s="25"/>
      <x:c r="K29" s="25"/>
      <x:c r="L29" s="24">
        <x:v>1.0</x:v>
      </x:c>
      <x:c r="M29" s="94"/>
      <x:c r="N29" s="94"/>
      <x:c r="O29" s="26">
        <x:f t="shared" si="5"/>
        <x:v>240000</x:v>
      </x:c>
      <x:c r="P29" s="23" t="s">
        <x:v>37</x:v>
      </x:c>
      <x:c r="Q29" s="23" t="s">
        <x:v>31</x:v>
      </x:c>
      <x:c r="R29" s="32"/>
      <x:c r="S29" s="33"/>
      <x:c r="T29" s="34" t="e">
        <x:f>IFERROR(__xludf.DUMMYFUNCTION("SUM(FILTER($E$4:$N$1119, $C$4:$C$1119 = S29))"),2.0242308867299248E7)</x:f>
        <x:v>#NAME?</x:v>
      </x:c>
      <x:c r="U29" s="34" t="e">
        <x:f>IFERROR(__xludf.DUMMYFUNCTION("COUNT(FILTER($C$4:$C$1119, $C$4:$C$1119 = S29))"),0.0)</x:f>
        <x:v>#NAME?</x:v>
      </x:c>
      <x:c r="V29" s="31">
        <x:f t="shared" si="6"/>
        <x:v>0</x:v>
      </x:c>
    </x:row>
    <x:row r="30" ht="18.75" customHeight="1">
      <x:c r="A30" s="19">
        <x:v>28.0</x:v>
      </x:c>
      <x:c r="B30" s="29" t="s">
        <x:v>299</x:v>
      </x:c>
      <x:c r="C30" s="21">
        <x:v>45952.0</x:v>
      </x:c>
      <x:c r="D30" s="22" t="s">
        <x:v>300</x:v>
      </x:c>
      <x:c r="E30" s="23"/>
      <x:c r="F30" s="23">
        <x:v>3.0</x:v>
      </x:c>
      <x:c r="G30" s="25"/>
      <x:c r="H30" s="25"/>
      <x:c r="I30" s="25"/>
      <x:c r="J30" s="25"/>
      <x:c r="K30" s="25"/>
      <x:c r="L30" s="24"/>
      <x:c r="M30" s="94"/>
      <x:c r="N30" s="94"/>
      <x:c r="O30" s="26">
        <x:f t="shared" si="5"/>
        <x:v>780000</x:v>
      </x:c>
      <x:c r="P30" s="23" t="s">
        <x:v>74</x:v>
      </x:c>
      <x:c r="Q30" s="23" t="s">
        <x:v>31</x:v>
      </x:c>
      <x:c r="R30" s="32"/>
      <x:c r="S30" s="33"/>
      <x:c r="T30" s="34" t="e">
        <x:f>IFERROR(__xludf.DUMMYFUNCTION("SUM(FILTER($E$4:$N$1119, $C$4:$C$1119 = S30))"),2.0242308867299248E7)</x:f>
        <x:v>#NAME?</x:v>
      </x:c>
      <x:c r="U30" s="34" t="e">
        <x:f>IFERROR(__xludf.DUMMYFUNCTION("COUNT(FILTER($C$4:$C$1119, $C$4:$C$1119 = S30))"),0.0)</x:f>
        <x:v>#NAME?</x:v>
      </x:c>
      <x:c r="V30" s="31">
        <x:f t="shared" si="6"/>
        <x:v>0</x:v>
      </x:c>
    </x:row>
    <x:row r="31" ht="18.75" customHeight="1">
      <x:c r="A31" s="19">
        <x:v>29.0</x:v>
      </x:c>
      <x:c r="B31" s="29" t="s">
        <x:v>301</x:v>
      </x:c>
      <x:c r="C31" s="21">
        <x:v>45952.0</x:v>
      </x:c>
      <x:c r="D31" s="22" t="s">
        <x:v>302</x:v>
      </x:c>
      <x:c r="E31" s="23"/>
      <x:c r="F31" s="23">
        <x:v>1.0</x:v>
      </x:c>
      <x:c r="G31" s="24"/>
      <x:c r="H31" s="24"/>
      <x:c r="I31" s="24"/>
      <x:c r="J31" s="24"/>
      <x:c r="K31" s="25"/>
      <x:c r="L31" s="24"/>
      <x:c r="M31" s="23">
        <x:v>1.0</x:v>
      </x:c>
      <x:c r="N31" s="94"/>
      <x:c r="O31" s="26">
        <x:f t="shared" si="5"/>
        <x:v>650000</x:v>
      </x:c>
      <x:c r="P31" s="23" t="s">
        <x:v>37</x:v>
      </x:c>
      <x:c r="Q31" s="23" t="s">
        <x:v>31</x:v>
      </x:c>
      <x:c r="R31" s="32"/>
      <x:c r="S31" s="33"/>
      <x:c r="T31" s="34" t="e">
        <x:f>IFERROR(__xludf.DUMMYFUNCTION("SUM(FILTER($E$4:$N$1119, $C$4:$C$1119 = S31))"),2.0242308867299248E7)</x:f>
        <x:v>#NAME?</x:v>
      </x:c>
      <x:c r="U31" s="34" t="e">
        <x:f>IFERROR(__xludf.DUMMYFUNCTION("COUNT(FILTER($C$4:$C$1119, $C$4:$C$1119 = S31))"),0.0)</x:f>
        <x:v>#NAME?</x:v>
      </x:c>
      <x:c r="V31" s="31">
        <x:f t="shared" si="6"/>
        <x:v>0</x:v>
      </x:c>
    </x:row>
    <x:row r="32" ht="18.75" customHeight="1">
      <x:c r="A32" s="19">
        <x:v>30.0</x:v>
      </x:c>
      <x:c r="B32" s="29" t="s">
        <x:v>303</x:v>
      </x:c>
      <x:c r="C32" s="21">
        <x:v>45952.0</x:v>
      </x:c>
      <x:c r="D32" s="22" t="s">
        <x:v>304</x:v>
      </x:c>
      <x:c r="E32" s="23"/>
      <x:c r="F32" s="23">
        <x:v>1.0</x:v>
      </x:c>
      <x:c r="G32" s="24"/>
      <x:c r="H32" s="24"/>
      <x:c r="I32" s="24"/>
      <x:c r="J32" s="24"/>
      <x:c r="K32" s="25"/>
      <x:c r="L32" s="24"/>
      <x:c r="M32" s="94"/>
      <x:c r="N32" s="94"/>
      <x:c r="O32" s="26">
        <x:f t="shared" si="5"/>
        <x:v>260000</x:v>
      </x:c>
      <x:c r="P32" s="23" t="s">
        <x:v>37</x:v>
      </x:c>
      <x:c r="Q32" s="23" t="s">
        <x:v>31</x:v>
      </x:c>
      <x:c r="R32" s="32"/>
      <x:c r="S32" s="33"/>
      <x:c r="T32" s="34" t="e">
        <x:f>IFERROR(__xludf.DUMMYFUNCTION("SUM(FILTER($E$4:$N$1119, $C$4:$C$1119 = S32))"),2.0242308867299248E7)</x:f>
        <x:v>#NAME?</x:v>
      </x:c>
      <x:c r="U32" s="34" t="e">
        <x:f>IFERROR(__xludf.DUMMYFUNCTION("COUNT(FILTER($C$4:$C$1119, $C$4:$C$1119 = S32))"),0.0)</x:f>
        <x:v>#NAME?</x:v>
      </x:c>
      <x:c r="V32" s="31">
        <x:f t="shared" si="6"/>
        <x:v>0</x:v>
      </x:c>
    </x:row>
    <x:row r="33">
      <x:c r="A33" s="19">
        <x:v>31.0</x:v>
      </x:c>
      <x:c r="B33" s="29" t="s">
        <x:v>305</x:v>
      </x:c>
      <x:c r="C33" s="21">
        <x:v>45955.0</x:v>
      </x:c>
      <x:c r="D33" s="22" t="s">
        <x:v>306</x:v>
      </x:c>
      <x:c r="E33" s="23"/>
      <x:c r="F33" s="23">
        <x:v>1.0</x:v>
      </x:c>
      <x:c r="G33" s="25"/>
      <x:c r="H33" s="25"/>
      <x:c r="I33" s="25"/>
      <x:c r="J33" s="25"/>
      <x:c r="K33" s="24">
        <x:v>1.0</x:v>
      </x:c>
      <x:c r="L33" s="24"/>
      <x:c r="M33" s="94"/>
      <x:c r="N33" s="94"/>
      <x:c r="O33" s="26">
        <x:f t="shared" si="5"/>
        <x:v>510000</x:v>
      </x:c>
      <x:c r="P33" s="23" t="s">
        <x:v>37</x:v>
      </x:c>
      <x:c r="Q33" s="23" t="s">
        <x:v>31</x:v>
      </x:c>
      <x:c r="R33" s="57"/>
      <x:c r="S33" s="33"/>
      <x:c r="T33" s="34" t="e">
        <x:f>IFERROR(__xludf.DUMMYFUNCTION("SUM(FILTER($E$4:$N$1119, $C$4:$C$1119 = S33))"),2.0242308867299248E7)</x:f>
        <x:v>#NAME?</x:v>
      </x:c>
      <x:c r="U33" s="34" t="e">
        <x:f>IFERROR(__xludf.DUMMYFUNCTION("COUNT(FILTER($C$4:$C$1119, $C$4:$C$1119 = S33))"),0.0)</x:f>
        <x:v>#NAME?</x:v>
      </x:c>
      <x:c r="V33" s="31">
        <x:f t="shared" si="6"/>
        <x:v>0</x:v>
      </x:c>
    </x:row>
    <x:row r="34" ht="18.75" customHeight="1">
      <x:c r="A34" s="19">
        <x:v>32.0</x:v>
      </x:c>
      <x:c r="B34" s="29" t="s">
        <x:v>307</x:v>
      </x:c>
      <x:c r="C34" s="21">
        <x:v>45955.0</x:v>
      </x:c>
      <x:c r="D34" s="22" t="s">
        <x:v>308</x:v>
      </x:c>
      <x:c r="E34" s="56"/>
      <x:c r="F34" s="23">
        <x:v>1.0</x:v>
      </x:c>
      <x:c r="G34" s="24"/>
      <x:c r="H34" s="24"/>
      <x:c r="I34" s="24"/>
      <x:c r="J34" s="24"/>
      <x:c r="K34" s="24"/>
      <x:c r="L34" s="24">
        <x:v>1.0</x:v>
      </x:c>
      <x:c r="M34" s="94"/>
      <x:c r="N34" s="94"/>
      <x:c r="O34" s="26">
        <x:f t="shared" si="5"/>
        <x:v>500000</x:v>
      </x:c>
      <x:c r="P34" s="23" t="s">
        <x:v>37</x:v>
      </x:c>
      <x:c r="Q34" s="23" t="s">
        <x:v>34</x:v>
      </x:c>
      <x:c r="R34" s="57"/>
      <x:c r="S34" s="33"/>
      <x:c r="T34" s="34" t="e">
        <x:f>IFERROR(__xludf.DUMMYFUNCTION("SUM(FILTER($E$4:$N$1119, $C$4:$C$1119 = S34))"),2.0242308867299248E7)</x:f>
        <x:v>#NAME?</x:v>
      </x:c>
      <x:c r="U34" s="34" t="e">
        <x:f>IFERROR(__xludf.DUMMYFUNCTION("COUNT(FILTER($C$4:$C$1119, $C$4:$C$1119 = S34))"),0.0)</x:f>
        <x:v>#NAME?</x:v>
      </x:c>
      <x:c r="V34" s="31">
        <x:f t="shared" si="6"/>
        <x:v>0</x:v>
      </x:c>
    </x:row>
    <x:row r="35" ht="18.75" customHeight="1">
      <x:c r="A35" s="19">
        <x:v>33.0</x:v>
      </x:c>
      <x:c r="B35" s="29" t="s">
        <x:v>309</x:v>
      </x:c>
      <x:c r="C35" s="21">
        <x:v>45959.0</x:v>
      </x:c>
      <x:c r="D35" s="22" t="s">
        <x:v>310</x:v>
      </x:c>
      <x:c r="E35" s="56"/>
      <x:c r="F35" s="23">
        <x:v>1.0</x:v>
      </x:c>
      <x:c r="G35" s="24"/>
      <x:c r="H35" s="24"/>
      <x:c r="I35" s="24"/>
      <x:c r="J35" s="24"/>
      <x:c r="K35" s="24"/>
      <x:c r="L35" s="24"/>
      <x:c r="M35" s="23">
        <x:v>1.0</x:v>
      </x:c>
      <x:c r="N35" s="94"/>
      <x:c r="O35" s="26">
        <x:f t="shared" si="5"/>
        <x:v>650000</x:v>
      </x:c>
      <x:c r="P35" s="23" t="s">
        <x:v>37</x:v>
      </x:c>
      <x:c r="Q35" s="23" t="s">
        <x:v>31</x:v>
      </x:c>
      <x:c r="R35" s="32"/>
      <x:c r="S35" s="33"/>
      <x:c r="T35" s="34" t="e">
        <x:f>IFERROR(__xludf.DUMMYFUNCTION("SUM(FILTER($E$4:$N$1119, $C$4:$C$1119 = S35))"),2.0242308867299248E7)</x:f>
        <x:v>#NAME?</x:v>
      </x:c>
      <x:c r="U35" s="34" t="e">
        <x:f>IFERROR(__xludf.DUMMYFUNCTION("COUNT(FILTER($C$4:$C$1119, $C$4:$C$1119 = S35))"),0.0)</x:f>
        <x:v>#NAME?</x:v>
      </x:c>
      <x:c r="V35" s="31">
        <x:f t="shared" si="6"/>
        <x:v>0</x:v>
      </x:c>
    </x:row>
    <x:row r="36" ht="18.75" customHeight="1">
      <x:c r="A36" s="19">
        <x:v>34.0</x:v>
      </x:c>
      <x:c r="B36" s="29" t="s">
        <x:v>311</x:v>
      </x:c>
      <x:c r="C36" s="21">
        <x:v>45959.0</x:v>
      </x:c>
      <x:c r="D36" s="58" t="s">
        <x:v>312</x:v>
      </x:c>
      <x:c r="E36" s="23"/>
      <x:c r="F36" s="23">
        <x:v>1.0</x:v>
      </x:c>
      <x:c r="G36" s="24"/>
      <x:c r="H36" s="24"/>
      <x:c r="I36" s="24"/>
      <x:c r="J36" s="24"/>
      <x:c r="K36" s="24"/>
      <x:c r="L36" s="24"/>
      <x:c r="M36" s="94"/>
      <x:c r="N36" s="94"/>
      <x:c r="O36" s="26" t="n">
        <x:f>(E36*$E$2+F36*$F$2+G36*$G$2+H36*$H$2+I36*$I$2+J36*$J$2+K36*$K$2+L36*$L$2+M36*$M$2+N36*$N$2) - 8000</x:f>
        <x:v>252000</x:v>
      </x:c>
      <x:c r="P36" s="23" t="s">
        <x:v>37</x:v>
      </x:c>
      <x:c r="Q36" s="23" t="s">
        <x:v>31</x:v>
      </x:c>
      <x:c r="R36" s="32"/>
      <x:c r="S36" s="33"/>
      <x:c r="T36" s="34" t="e">
        <x:f>IFERROR(__xludf.DUMMYFUNCTION("SUM(FILTER($E$4:$N$1119, $C$4:$C$1119 = S36))"),2.0242308867299248E7)</x:f>
        <x:v>#NAME?</x:v>
      </x:c>
      <x:c r="U36" s="34" t="e">
        <x:f>IFERROR(__xludf.DUMMYFUNCTION("COUNT(FILTER($C$4:$C$1119, $C$4:$C$1119 = S36))"),0.0)</x:f>
        <x:v>#NAME?</x:v>
      </x:c>
      <x:c r="V36" s="31">
        <x:f t="shared" si="6"/>
        <x:v>0</x:v>
      </x:c>
    </x:row>
    <x:row r="37" ht="18.75" customHeight="1">
      <x:c r="A37" s="19">
        <x:v>35.0</x:v>
      </x:c>
      <x:c r="B37" s="29" t="s">
        <x:v>313</x:v>
      </x:c>
      <x:c r="C37" s="21">
        <x:v>45959.0</x:v>
      </x:c>
      <x:c r="D37" s="22" t="s">
        <x:v>314</x:v>
      </x:c>
      <x:c r="E37" s="23"/>
      <x:c r="F37" s="23"/>
      <x:c r="G37" s="24"/>
      <x:c r="H37" s="24"/>
      <x:c r="I37" s="24"/>
      <x:c r="J37" s="24"/>
      <x:c r="K37" s="24">
        <x:v>1.0</x:v>
      </x:c>
      <x:c r="L37" s="24"/>
      <x:c r="M37" s="23"/>
      <x:c r="N37" s="23"/>
      <x:c r="O37" s="26" t="n">
        <x:f t="shared" ref="O37:O170" si="7">(E37*$E$2+F37*$F$2+G37*$G$2+H37*$H$2+I37*$I$2+J37*$J$2+K37*$K$2+L37*$L$2+M37*$M$2+N37*$N$2)</x:f>
        <x:v>250000</x:v>
      </x:c>
      <x:c r="P37" s="23" t="s">
        <x:v>37</x:v>
      </x:c>
      <x:c r="Q37" s="23" t="s">
        <x:v>31</x:v>
      </x:c>
      <x:c r="R37" s="32"/>
      <x:c r="S37" s="33"/>
      <x:c r="T37" s="34" t="e">
        <x:f>IFERROR(__xludf.DUMMYFUNCTION("SUM(FILTER($E$4:$N$1119, $C$4:$C$1119 = S37))"),2.0242308867299248E7)</x:f>
        <x:v>#NAME?</x:v>
      </x:c>
      <x:c r="U37" s="34" t="e">
        <x:f>IFERROR(__xludf.DUMMYFUNCTION("COUNT(FILTER($C$4:$C$1119, $C$4:$C$1119 = S37))"),0.0)</x:f>
        <x:v>#NAME?</x:v>
      </x:c>
      <x:c r="V37" s="31">
        <x:f t="shared" si="6"/>
        <x:v>0</x:v>
      </x:c>
    </x:row>
    <x:row r="38" ht="18.75" customHeight="1">
      <x:c r="A38" s="19">
        <x:v>36.0</x:v>
      </x:c>
      <x:c r="B38" s="29" t="s">
        <x:v>315</x:v>
      </x:c>
      <x:c r="C38" s="21">
        <x:v>45959.0</x:v>
      </x:c>
      <x:c r="D38" s="22" t="s">
        <x:v>316</x:v>
      </x:c>
      <x:c r="E38" s="56"/>
      <x:c r="F38" s="23">
        <x:v>2.0</x:v>
      </x:c>
      <x:c r="G38" s="25"/>
      <x:c r="H38" s="25"/>
      <x:c r="I38" s="25"/>
      <x:c r="J38" s="25"/>
      <x:c r="K38" s="24">
        <x:v>1.0</x:v>
      </x:c>
      <x:c r="L38" s="25"/>
      <x:c r="M38" s="94"/>
      <x:c r="N38" s="94"/>
      <x:c r="O38" s="26">
        <x:f t="shared" si="7"/>
        <x:v>770000</x:v>
      </x:c>
      <x:c r="P38" s="23" t="s">
        <x:v>37</x:v>
      </x:c>
      <x:c r="Q38" s="23" t="s">
        <x:v>31</x:v>
      </x:c>
      <x:c r="R38" s="32"/>
      <x:c r="S38" s="33"/>
      <x:c r="T38" s="34" t="e">
        <x:f>IFERROR(__xludf.DUMMYFUNCTION("SUM(FILTER($E$4:$N$1119, $C$4:$C$1119 = S38))"),2.0242308867299248E7)</x:f>
        <x:v>#NAME?</x:v>
      </x:c>
      <x:c r="U38" s="34" t="e">
        <x:f>IFERROR(__xludf.DUMMYFUNCTION("COUNT(FILTER($C$4:$C$1119, $C$4:$C$1119 = S38))"),0.0)</x:f>
        <x:v>#NAME?</x:v>
      </x:c>
      <x:c r="V38" s="31">
        <x:f t="shared" si="6"/>
        <x:v>0</x:v>
      </x:c>
    </x:row>
    <x:row r="39" ht="18.75" customHeight="1">
      <x:c r="A39" s="19">
        <x:v>37.0</x:v>
      </x:c>
      <x:c r="B39" s="29" t="s">
        <x:v>317</x:v>
      </x:c>
      <x:c r="C39" s="21">
        <x:v>45961.0</x:v>
      </x:c>
      <x:c r="D39" s="22" t="s">
        <x:v>318</x:v>
      </x:c>
      <x:c r="E39" s="23"/>
      <x:c r="F39" s="23">
        <x:v>1.0</x:v>
      </x:c>
      <x:c r="G39" s="24"/>
      <x:c r="H39" s="24"/>
      <x:c r="I39" s="24"/>
      <x:c r="J39" s="24"/>
      <x:c r="K39" s="24"/>
      <x:c r="L39" s="24"/>
      <x:c r="M39" s="94"/>
      <x:c r="N39" s="94"/>
      <x:c r="O39" s="26">
        <x:f t="shared" si="7"/>
        <x:v>260000</x:v>
      </x:c>
      <x:c r="P39" s="23" t="s">
        <x:v>37</x:v>
      </x:c>
      <x:c r="Q39" s="23" t="s">
        <x:v>31</x:v>
      </x:c>
      <x:c r="R39" s="32"/>
      <x:c r="S39" s="33"/>
      <x:c r="T39" s="34" t="e">
        <x:f>IFERROR(__xludf.DUMMYFUNCTION("SUM(FILTER($E$4:$N$1119, $C$4:$C$1119 = S39))"),2.0242308867299248E7)</x:f>
        <x:v>#NAME?</x:v>
      </x:c>
      <x:c r="U39" s="34" t="e">
        <x:f>IFERROR(__xludf.DUMMYFUNCTION("COUNT(FILTER($C$4:$C$1119, $C$4:$C$1119 = S39))"),0.0)</x:f>
        <x:v>#NAME?</x:v>
      </x:c>
      <x:c r="V39" s="31">
        <x:f t="shared" si="6"/>
        <x:v>0</x:v>
      </x:c>
    </x:row>
    <x:row r="40" ht="18.75" customHeight="1">
      <x:c r="A40" s="19">
        <x:v>38.0</x:v>
      </x:c>
      <x:c r="B40" s="29" t="s">
        <x:v>319</x:v>
      </x:c>
      <x:c r="C40" s="21">
        <x:v>45961.0</x:v>
      </x:c>
      <x:c r="D40" s="22" t="s">
        <x:v>320</x:v>
      </x:c>
      <x:c r="E40" s="23"/>
      <x:c r="F40" s="23">
        <x:v>2.0</x:v>
      </x:c>
      <x:c r="G40" s="25"/>
      <x:c r="H40" s="25"/>
      <x:c r="I40" s="25"/>
      <x:c r="J40" s="25"/>
      <x:c r="K40" s="24"/>
      <x:c r="L40" s="24"/>
      <x:c r="M40" s="94"/>
      <x:c r="N40" s="94"/>
      <x:c r="O40" s="26">
        <x:f t="shared" si="7"/>
        <x:v>520000</x:v>
      </x:c>
      <x:c r="P40" s="23" t="s">
        <x:v>37</x:v>
      </x:c>
      <x:c r="Q40" s="23" t="s">
        <x:v>31</x:v>
      </x:c>
      <x:c r="S40" s="33"/>
      <x:c r="T40" s="34" t="e">
        <x:f>IFERROR(__xludf.DUMMYFUNCTION("SUM(FILTER($E$4:$N$1119, $C$4:$C$1119 = S40))"),2.0242308867299248E7)</x:f>
        <x:v>#NAME?</x:v>
      </x:c>
      <x:c r="U40" s="34" t="e">
        <x:f>IFERROR(__xludf.DUMMYFUNCTION("COUNT(FILTER($C$4:$C$1119, $C$4:$C$1119 = S40))"),0.0)</x:f>
        <x:v>#NAME?</x:v>
      </x:c>
      <x:c r="V40" s="31">
        <x:f t="shared" si="6"/>
        <x:v>0</x:v>
      </x:c>
    </x:row>
    <x:row r="41" ht="18.75" customHeight="1">
      <x:c r="A41" s="19"/>
      <x:c r="B41" s="29"/>
      <x:c r="C41" s="21"/>
      <x:c r="D41" s="35"/>
      <x:c r="E41" s="23"/>
      <x:c r="F41" s="23"/>
      <x:c r="G41" s="25"/>
      <x:c r="H41" s="25"/>
      <x:c r="I41" s="25"/>
      <x:c r="J41" s="25"/>
      <x:c r="K41" s="24"/>
      <x:c r="L41" s="24"/>
      <x:c r="M41" s="94"/>
      <x:c r="N41" s="94"/>
      <x:c r="O41" s="26">
        <x:f t="shared" si="7"/>
        <x:v>0</x:v>
      </x:c>
      <x:c r="P41" s="23"/>
      <x:c r="Q41" s="23"/>
    </x:row>
    <x:row r="42">
      <x:c r="A42" s="19"/>
      <x:c r="B42" s="29"/>
      <x:c r="C42" s="21"/>
      <x:c r="D42" s="35"/>
      <x:c r="E42" s="56"/>
      <x:c r="F42" s="23"/>
      <x:c r="G42" s="24"/>
      <x:c r="H42" s="24"/>
      <x:c r="I42" s="24"/>
      <x:c r="J42" s="24"/>
      <x:c r="K42" s="24"/>
      <x:c r="L42" s="24"/>
      <x:c r="M42" s="94"/>
      <x:c r="N42" s="94"/>
      <x:c r="O42" s="26">
        <x:f t="shared" si="7"/>
        <x:v>0</x:v>
      </x:c>
      <x:c r="P42" s="23"/>
      <x:c r="Q42" s="23"/>
      <x:c r="R42" s="32"/>
    </x:row>
    <x:row r="43" ht="18.75" customHeight="1">
      <x:c r="A43" s="19"/>
      <x:c r="B43" s="29"/>
      <x:c r="C43" s="21"/>
      <x:c r="D43" s="35"/>
      <x:c r="E43" s="23"/>
      <x:c r="F43" s="23"/>
      <x:c r="G43" s="25"/>
      <x:c r="H43" s="25"/>
      <x:c r="I43" s="25"/>
      <x:c r="J43" s="25"/>
      <x:c r="K43" s="24"/>
      <x:c r="L43" s="24"/>
      <x:c r="M43" s="94"/>
      <x:c r="N43" s="94"/>
      <x:c r="O43" s="26">
        <x:f t="shared" si="7"/>
        <x:v>0</x:v>
      </x:c>
      <x:c r="P43" s="23"/>
      <x:c r="Q43" s="23"/>
    </x:row>
    <x:row r="44" ht="18.75" customHeight="1">
      <x:c r="A44" s="19"/>
      <x:c r="B44" s="29"/>
      <x:c r="C44" s="21"/>
      <x:c r="D44" s="35"/>
      <x:c r="E44" s="23"/>
      <x:c r="F44" s="23"/>
      <x:c r="G44" s="25"/>
      <x:c r="H44" s="25"/>
      <x:c r="I44" s="25"/>
      <x:c r="J44" s="25"/>
      <x:c r="K44" s="24"/>
      <x:c r="L44" s="24"/>
      <x:c r="M44" s="94"/>
      <x:c r="N44" s="94"/>
      <x:c r="O44" s="26">
        <x:f t="shared" si="7"/>
        <x:v>0</x:v>
      </x:c>
      <x:c r="P44" s="23"/>
      <x:c r="Q44" s="23"/>
    </x:row>
    <x:row r="45" ht="18.75" customHeight="1">
      <x:c r="A45" s="19"/>
      <x:c r="B45" s="29"/>
      <x:c r="C45" s="21"/>
      <x:c r="D45" s="35"/>
      <x:c r="E45" s="23"/>
      <x:c r="F45" s="23"/>
      <x:c r="G45" s="24"/>
      <x:c r="H45" s="24"/>
      <x:c r="I45" s="24"/>
      <x:c r="J45" s="24"/>
      <x:c r="K45" s="24"/>
      <x:c r="L45" s="24"/>
      <x:c r="M45" s="94"/>
      <x:c r="N45" s="94"/>
      <x:c r="O45" s="26">
        <x:f t="shared" si="7"/>
        <x:v>0</x:v>
      </x:c>
      <x:c r="P45" s="23"/>
      <x:c r="Q45" s="23"/>
    </x:row>
    <x:row r="46" ht="18.75" customHeight="1">
      <x:c r="A46" s="19"/>
      <x:c r="B46" s="29"/>
      <x:c r="C46" s="21"/>
      <x:c r="D46" s="35"/>
      <x:c r="E46" s="23"/>
      <x:c r="F46" s="23"/>
      <x:c r="G46" s="25"/>
      <x:c r="H46" s="25"/>
      <x:c r="I46" s="25"/>
      <x:c r="J46" s="25"/>
      <x:c r="K46" s="24"/>
      <x:c r="L46" s="24"/>
      <x:c r="M46" s="94"/>
      <x:c r="N46" s="94"/>
      <x:c r="O46" s="26">
        <x:f t="shared" si="7"/>
        <x:v>0</x:v>
      </x:c>
      <x:c r="P46" s="23"/>
      <x:c r="Q46" s="23"/>
    </x:row>
    <x:row r="47" ht="18.75" customHeight="1">
      <x:c r="A47" s="19"/>
      <x:c r="B47" s="29"/>
      <x:c r="C47" s="21"/>
      <x:c r="D47" s="55"/>
      <x:c r="E47" s="23"/>
      <x:c r="F47" s="23"/>
      <x:c r="G47" s="25"/>
      <x:c r="H47" s="24"/>
      <x:c r="I47" s="24"/>
      <x:c r="J47" s="24"/>
      <x:c r="K47" s="24"/>
      <x:c r="L47" s="24"/>
      <x:c r="M47" s="94"/>
      <x:c r="N47" s="94"/>
      <x:c r="O47" s="26">
        <x:f t="shared" si="7"/>
        <x:v>0</x:v>
      </x:c>
      <x:c r="P47" s="23"/>
      <x:c r="Q47" s="23"/>
    </x:row>
    <x:row r="48" ht="18.75" customHeight="1">
      <x:c r="A48" s="19"/>
      <x:c r="B48" s="71"/>
      <x:c r="C48" s="21"/>
      <x:c r="D48" s="35"/>
      <x:c r="E48" s="23"/>
      <x:c r="F48" s="23"/>
      <x:c r="G48" s="25"/>
      <x:c r="H48" s="25"/>
      <x:c r="I48" s="25"/>
      <x:c r="J48" s="25"/>
      <x:c r="K48" s="24"/>
      <x:c r="L48" s="24"/>
      <x:c r="M48" s="94"/>
      <x:c r="N48" s="94"/>
      <x:c r="O48" s="26">
        <x:f t="shared" si="7"/>
        <x:v>0</x:v>
      </x:c>
      <x:c r="P48" s="23"/>
      <x:c r="Q48" s="23"/>
    </x:row>
    <x:row r="49" ht="18.75" customHeight="1">
      <x:c r="A49" s="19"/>
      <x:c r="B49" s="29"/>
      <x:c r="C49" s="21"/>
      <x:c r="D49" s="35"/>
      <x:c r="E49" s="56"/>
      <x:c r="F49" s="23"/>
      <x:c r="G49" s="25"/>
      <x:c r="H49" s="25"/>
      <x:c r="I49" s="25"/>
      <x:c r="J49" s="25"/>
      <x:c r="K49" s="24"/>
      <x:c r="L49" s="24"/>
      <x:c r="M49" s="94"/>
      <x:c r="N49" s="94"/>
      <x:c r="O49" s="26">
        <x:f t="shared" si="7"/>
        <x:v>0</x:v>
      </x:c>
      <x:c r="P49" s="23"/>
      <x:c r="Q49" s="23"/>
    </x:row>
    <x:row r="50" ht="18.75" customHeight="1">
      <x:c r="A50" s="19"/>
      <x:c r="B50" s="29"/>
      <x:c r="C50" s="21"/>
      <x:c r="D50" s="35"/>
      <x:c r="E50" s="23"/>
      <x:c r="F50" s="23"/>
      <x:c r="G50" s="25"/>
      <x:c r="H50" s="25"/>
      <x:c r="I50" s="25"/>
      <x:c r="J50" s="25"/>
      <x:c r="K50" s="24"/>
      <x:c r="L50" s="25"/>
      <x:c r="M50" s="94"/>
      <x:c r="N50" s="94"/>
      <x:c r="O50" s="26">
        <x:f t="shared" si="7"/>
        <x:v>0</x:v>
      </x:c>
      <x:c r="P50" s="23"/>
      <x:c r="Q50" s="23"/>
    </x:row>
    <x:row r="51" ht="18.75" customHeight="1">
      <x:c r="A51" s="19"/>
      <x:c r="B51" s="29"/>
      <x:c r="C51" s="21"/>
      <x:c r="D51" s="55"/>
      <x:c r="E51" s="23"/>
      <x:c r="F51" s="23"/>
      <x:c r="G51" s="25"/>
      <x:c r="H51" s="25"/>
      <x:c r="I51" s="25"/>
      <x:c r="J51" s="25"/>
      <x:c r="K51" s="24"/>
      <x:c r="L51" s="24"/>
      <x:c r="M51" s="94"/>
      <x:c r="N51" s="94"/>
      <x:c r="O51" s="26">
        <x:f t="shared" si="7"/>
        <x:v>0</x:v>
      </x:c>
      <x:c r="P51" s="23"/>
      <x:c r="Q51" s="23"/>
    </x:row>
    <x:row r="52" ht="18.75" customHeight="1">
      <x:c r="A52" s="19"/>
      <x:c r="B52" s="29"/>
      <x:c r="C52" s="21"/>
      <x:c r="D52" s="55"/>
      <x:c r="E52" s="56"/>
      <x:c r="F52" s="23"/>
      <x:c r="G52" s="24"/>
      <x:c r="H52" s="24"/>
      <x:c r="I52" s="24"/>
      <x:c r="J52" s="24"/>
      <x:c r="K52" s="24"/>
      <x:c r="L52" s="24"/>
      <x:c r="M52" s="94"/>
      <x:c r="N52" s="94"/>
      <x:c r="O52" s="26">
        <x:f t="shared" si="7"/>
        <x:v>0</x:v>
      </x:c>
      <x:c r="P52" s="23"/>
      <x:c r="Q52" s="23"/>
    </x:row>
    <x:row r="53" ht="18.75" customHeight="1">
      <x:c r="A53" s="19"/>
      <x:c r="B53" s="29"/>
      <x:c r="C53" s="21"/>
      <x:c r="D53" s="35"/>
      <x:c r="E53" s="56"/>
      <x:c r="F53" s="23"/>
      <x:c r="G53" s="24"/>
      <x:c r="H53" s="24"/>
      <x:c r="I53" s="24"/>
      <x:c r="J53" s="24"/>
      <x:c r="K53" s="24"/>
      <x:c r="L53" s="24"/>
      <x:c r="M53" s="94"/>
      <x:c r="N53" s="94"/>
      <x:c r="O53" s="26">
        <x:f t="shared" si="7"/>
        <x:v>0</x:v>
      </x:c>
      <x:c r="P53" s="23"/>
      <x:c r="Q53" s="23"/>
    </x:row>
    <x:row r="54" ht="18.75" customHeight="1">
      <x:c r="A54" s="19"/>
      <x:c r="B54" s="29"/>
      <x:c r="C54" s="21"/>
      <x:c r="D54" s="55"/>
      <x:c r="E54" s="56"/>
      <x:c r="F54" s="23"/>
      <x:c r="G54" s="24"/>
      <x:c r="H54" s="24"/>
      <x:c r="I54" s="24"/>
      <x:c r="J54" s="24"/>
      <x:c r="K54" s="24"/>
      <x:c r="L54" s="24"/>
      <x:c r="M54" s="94"/>
      <x:c r="N54" s="94"/>
      <x:c r="O54" s="26">
        <x:f t="shared" si="7"/>
        <x:v>0</x:v>
      </x:c>
      <x:c r="P54" s="23"/>
      <x:c r="Q54" s="23"/>
      <x:c r="R54" s="39"/>
    </x:row>
    <x:row r="55" ht="18.75" customHeight="1">
      <x:c r="A55" s="19"/>
      <x:c r="B55" s="29"/>
      <x:c r="C55" s="21"/>
      <x:c r="D55" s="35"/>
      <x:c r="E55" s="56"/>
      <x:c r="F55" s="23"/>
      <x:c r="G55" s="24"/>
      <x:c r="H55" s="24"/>
      <x:c r="I55" s="24"/>
      <x:c r="J55" s="24"/>
      <x:c r="K55" s="24"/>
      <x:c r="L55" s="24"/>
      <x:c r="M55" s="23"/>
      <x:c r="N55" s="23"/>
      <x:c r="O55" s="26">
        <x:f t="shared" si="7"/>
        <x:v>0</x:v>
      </x:c>
      <x:c r="P55" s="23"/>
      <x:c r="Q55" s="23"/>
    </x:row>
    <x:row r="56" ht="18.75" customHeight="1">
      <x:c r="A56" s="19"/>
      <x:c r="B56" s="29"/>
      <x:c r="C56" s="21"/>
      <x:c r="D56" s="35"/>
      <x:c r="E56" s="56"/>
      <x:c r="F56" s="23"/>
      <x:c r="G56" s="25"/>
      <x:c r="H56" s="25"/>
      <x:c r="I56" s="25"/>
      <x:c r="J56" s="25"/>
      <x:c r="K56" s="24"/>
      <x:c r="L56" s="24"/>
      <x:c r="M56" s="94"/>
      <x:c r="N56" s="94"/>
      <x:c r="O56" s="26">
        <x:f t="shared" si="7"/>
        <x:v>0</x:v>
      </x:c>
      <x:c r="P56" s="23"/>
      <x:c r="Q56" s="23"/>
    </x:row>
    <x:row r="57" ht="18.75" customHeight="1">
      <x:c r="A57" s="19"/>
      <x:c r="B57" s="29"/>
      <x:c r="C57" s="21"/>
      <x:c r="D57" s="55"/>
      <x:c r="E57" s="23"/>
      <x:c r="F57" s="23"/>
      <x:c r="G57" s="25"/>
      <x:c r="H57" s="25"/>
      <x:c r="I57" s="25"/>
      <x:c r="J57" s="25"/>
      <x:c r="K57" s="24"/>
      <x:c r="L57" s="24"/>
      <x:c r="M57" s="94"/>
      <x:c r="N57" s="94"/>
      <x:c r="O57" s="26">
        <x:f t="shared" si="7"/>
        <x:v>0</x:v>
      </x:c>
      <x:c r="P57" s="23"/>
      <x:c r="Q57" s="23"/>
    </x:row>
    <x:row r="58" ht="18.75" customHeight="1">
      <x:c r="A58" s="19"/>
      <x:c r="B58" s="29"/>
      <x:c r="C58" s="21"/>
      <x:c r="D58" s="35"/>
      <x:c r="E58" s="23"/>
      <x:c r="F58" s="23"/>
      <x:c r="G58" s="25"/>
      <x:c r="H58" s="25"/>
      <x:c r="I58" s="25"/>
      <x:c r="J58" s="25"/>
      <x:c r="K58" s="24"/>
      <x:c r="L58" s="24"/>
      <x:c r="M58" s="94"/>
      <x:c r="N58" s="94"/>
      <x:c r="O58" s="26">
        <x:f t="shared" si="7"/>
        <x:v>0</x:v>
      </x:c>
      <x:c r="P58" s="23"/>
      <x:c r="Q58" s="23"/>
    </x:row>
    <x:row r="59" ht="18.75" customHeight="1">
      <x:c r="A59" s="19"/>
      <x:c r="B59" s="29"/>
      <x:c r="C59" s="21"/>
      <x:c r="D59" s="35"/>
      <x:c r="E59" s="56"/>
      <x:c r="F59" s="23"/>
      <x:c r="G59" s="25"/>
      <x:c r="H59" s="25"/>
      <x:c r="I59" s="25"/>
      <x:c r="J59" s="25"/>
      <x:c r="K59" s="24"/>
      <x:c r="L59" s="25"/>
      <x:c r="M59" s="94"/>
      <x:c r="N59" s="94"/>
      <x:c r="O59" s="26">
        <x:f t="shared" si="7"/>
        <x:v>0</x:v>
      </x:c>
      <x:c r="P59" s="23"/>
      <x:c r="Q59" s="23"/>
    </x:row>
    <x:row r="60" ht="18.75" customHeight="1">
      <x:c r="A60" s="19"/>
      <x:c r="B60" s="29"/>
      <x:c r="C60" s="21"/>
      <x:c r="D60" s="35"/>
      <x:c r="E60" s="23"/>
      <x:c r="F60" s="23"/>
      <x:c r="G60" s="25"/>
      <x:c r="H60" s="25"/>
      <x:c r="I60" s="25"/>
      <x:c r="J60" s="25"/>
      <x:c r="K60" s="24"/>
      <x:c r="L60" s="24"/>
      <x:c r="M60" s="94"/>
      <x:c r="N60" s="94"/>
      <x:c r="O60" s="26">
        <x:f t="shared" si="7"/>
        <x:v>0</x:v>
      </x:c>
      <x:c r="P60" s="23"/>
      <x:c r="Q60" s="23"/>
    </x:row>
    <x:row r="61" ht="18.75" customHeight="1">
      <x:c r="A61" s="19"/>
      <x:c r="B61" s="29"/>
      <x:c r="C61" s="21"/>
      <x:c r="D61" s="35"/>
      <x:c r="E61" s="23"/>
      <x:c r="F61" s="23"/>
      <x:c r="G61" s="25"/>
      <x:c r="H61" s="24"/>
      <x:c r="I61" s="24"/>
      <x:c r="J61" s="24"/>
      <x:c r="K61" s="24"/>
      <x:c r="L61" s="25"/>
      <x:c r="M61" s="94"/>
      <x:c r="N61" s="94"/>
      <x:c r="O61" s="26">
        <x:f t="shared" si="7"/>
        <x:v>0</x:v>
      </x:c>
      <x:c r="P61" s="23"/>
      <x:c r="Q61" s="23"/>
    </x:row>
    <x:row r="62" ht="18.75" customHeight="1">
      <x:c r="A62" s="19"/>
      <x:c r="B62" s="29"/>
      <x:c r="C62" s="21"/>
      <x:c r="D62" s="35"/>
      <x:c r="E62" s="23"/>
      <x:c r="F62" s="23"/>
      <x:c r="G62" s="24"/>
      <x:c r="H62" s="24"/>
      <x:c r="I62" s="24"/>
      <x:c r="J62" s="24"/>
      <x:c r="K62" s="24"/>
      <x:c r="L62" s="24"/>
      <x:c r="M62" s="94"/>
      <x:c r="N62" s="94"/>
      <x:c r="O62" s="26">
        <x:f t="shared" si="7"/>
        <x:v>0</x:v>
      </x:c>
      <x:c r="P62" s="23"/>
      <x:c r="Q62" s="23"/>
    </x:row>
    <x:row r="63" ht="18.75" customHeight="1">
      <x:c r="A63" s="19"/>
      <x:c r="B63" s="29"/>
      <x:c r="C63" s="21"/>
      <x:c r="D63" s="35"/>
      <x:c r="E63" s="23"/>
      <x:c r="F63" s="23"/>
      <x:c r="G63" s="24"/>
      <x:c r="H63" s="24"/>
      <x:c r="I63" s="24"/>
      <x:c r="J63" s="24"/>
      <x:c r="K63" s="24"/>
      <x:c r="L63" s="24"/>
      <x:c r="M63" s="94"/>
      <x:c r="N63" s="94"/>
      <x:c r="O63" s="26">
        <x:f t="shared" si="7"/>
        <x:v>0</x:v>
      </x:c>
      <x:c r="P63" s="23"/>
      <x:c r="Q63" s="23"/>
    </x:row>
    <x:row r="64" ht="18.75" customHeight="1">
      <x:c r="A64" s="19"/>
      <x:c r="B64" s="29"/>
      <x:c r="C64" s="21"/>
      <x:c r="D64" s="55"/>
      <x:c r="E64" s="23"/>
      <x:c r="F64" s="23"/>
      <x:c r="G64" s="24"/>
      <x:c r="H64" s="24"/>
      <x:c r="I64" s="24"/>
      <x:c r="J64" s="24"/>
      <x:c r="K64" s="24"/>
      <x:c r="L64" s="24"/>
      <x:c r="M64" s="94"/>
      <x:c r="N64" s="94"/>
      <x:c r="O64" s="26">
        <x:f t="shared" si="7"/>
        <x:v>0</x:v>
      </x:c>
      <x:c r="P64" s="23"/>
      <x:c r="Q64" s="23"/>
    </x:row>
    <x:row r="65" ht="18.75" customHeight="1">
      <x:c r="A65" s="19"/>
      <x:c r="B65" s="29"/>
      <x:c r="C65" s="21"/>
      <x:c r="D65" s="55"/>
      <x:c r="E65" s="23"/>
      <x:c r="F65" s="23"/>
      <x:c r="G65" s="24"/>
      <x:c r="H65" s="24"/>
      <x:c r="I65" s="24"/>
      <x:c r="J65" s="24"/>
      <x:c r="K65" s="25"/>
      <x:c r="L65" s="24"/>
      <x:c r="M65" s="94"/>
      <x:c r="N65" s="94"/>
      <x:c r="O65" s="26">
        <x:f t="shared" si="7"/>
        <x:v>0</x:v>
      </x:c>
      <x:c r="P65" s="23"/>
      <x:c r="Q65" s="23"/>
    </x:row>
    <x:row r="66" ht="18.75" customHeight="1">
      <x:c r="A66" s="19"/>
      <x:c r="B66" s="29"/>
      <x:c r="C66" s="21"/>
      <x:c r="D66" s="55"/>
      <x:c r="E66" s="23"/>
      <x:c r="F66" s="23"/>
      <x:c r="G66" s="25"/>
      <x:c r="H66" s="25"/>
      <x:c r="I66" s="25"/>
      <x:c r="J66" s="25"/>
      <x:c r="K66" s="24"/>
      <x:c r="L66" s="24"/>
      <x:c r="M66" s="94"/>
      <x:c r="N66" s="94"/>
      <x:c r="O66" s="26">
        <x:f t="shared" si="7"/>
        <x:v>0</x:v>
      </x:c>
      <x:c r="P66" s="23"/>
      <x:c r="Q66" s="23"/>
    </x:row>
    <x:row r="67" ht="18.75" customHeight="1">
      <x:c r="A67" s="19"/>
      <x:c r="B67" s="29"/>
      <x:c r="C67" s="21"/>
      <x:c r="D67" s="55"/>
      <x:c r="E67" s="23"/>
      <x:c r="F67" s="23"/>
      <x:c r="G67" s="24"/>
      <x:c r="H67" s="24"/>
      <x:c r="I67" s="24"/>
      <x:c r="J67" s="24"/>
      <x:c r="K67" s="24"/>
      <x:c r="L67" s="24"/>
      <x:c r="M67" s="94"/>
      <x:c r="N67" s="94"/>
      <x:c r="O67" s="26">
        <x:f t="shared" si="7"/>
        <x:v>0</x:v>
      </x:c>
      <x:c r="P67" s="23"/>
      <x:c r="Q67" s="23"/>
    </x:row>
    <x:row r="68" ht="18.75" customHeight="1">
      <x:c r="A68" s="19"/>
      <x:c r="B68" s="29"/>
      <x:c r="C68" s="21"/>
      <x:c r="D68" s="55"/>
      <x:c r="E68" s="23"/>
      <x:c r="F68" s="23"/>
      <x:c r="G68" s="25"/>
      <x:c r="H68" s="25"/>
      <x:c r="I68" s="25"/>
      <x:c r="J68" s="25"/>
      <x:c r="K68" s="24"/>
      <x:c r="L68" s="25"/>
      <x:c r="M68" s="94"/>
      <x:c r="N68" s="94"/>
      <x:c r="O68" s="26">
        <x:f t="shared" si="7"/>
        <x:v>0</x:v>
      </x:c>
      <x:c r="P68" s="23"/>
      <x:c r="Q68" s="23"/>
    </x:row>
    <x:row r="69" ht="18.75" customHeight="1">
      <x:c r="A69" s="19"/>
      <x:c r="B69" s="29"/>
      <x:c r="C69" s="21"/>
      <x:c r="D69" s="55"/>
      <x:c r="E69" s="23"/>
      <x:c r="F69" s="23"/>
      <x:c r="G69" s="24"/>
      <x:c r="H69" s="24"/>
      <x:c r="I69" s="24"/>
      <x:c r="J69" s="24"/>
      <x:c r="K69" s="24"/>
      <x:c r="L69" s="24"/>
      <x:c r="M69" s="94"/>
      <x:c r="N69" s="94"/>
      <x:c r="O69" s="26">
        <x:f t="shared" si="7"/>
        <x:v>0</x:v>
      </x:c>
      <x:c r="P69" s="23"/>
      <x:c r="Q69" s="23"/>
    </x:row>
    <x:row r="70" ht="18.75" customHeight="1">
      <x:c r="A70" s="19"/>
      <x:c r="B70" s="29"/>
      <x:c r="C70" s="21"/>
      <x:c r="D70" s="35"/>
      <x:c r="E70" s="23"/>
      <x:c r="F70" s="23"/>
      <x:c r="G70" s="25"/>
      <x:c r="H70" s="25"/>
      <x:c r="I70" s="25"/>
      <x:c r="J70" s="25"/>
      <x:c r="K70" s="24"/>
      <x:c r="L70" s="24"/>
      <x:c r="M70" s="94"/>
      <x:c r="N70" s="94"/>
      <x:c r="O70" s="26">
        <x:f t="shared" si="7"/>
        <x:v>0</x:v>
      </x:c>
      <x:c r="P70" s="23"/>
      <x:c r="Q70" s="23"/>
    </x:row>
    <x:row r="71" ht="18.75" customHeight="1">
      <x:c r="A71" s="19"/>
      <x:c r="B71" s="29"/>
      <x:c r="C71" s="21"/>
      <x:c r="D71" s="55"/>
      <x:c r="E71" s="23"/>
      <x:c r="F71" s="23"/>
      <x:c r="G71" s="25"/>
      <x:c r="H71" s="25"/>
      <x:c r="I71" s="25"/>
      <x:c r="J71" s="25"/>
      <x:c r="K71" s="25"/>
      <x:c r="L71" s="24"/>
      <x:c r="M71" s="94"/>
      <x:c r="N71" s="94"/>
      <x:c r="O71" s="26">
        <x:f t="shared" si="7"/>
        <x:v>0</x:v>
      </x:c>
      <x:c r="P71" s="23"/>
      <x:c r="Q71" s="23"/>
    </x:row>
    <x:row r="72" ht="18.75" customHeight="1">
      <x:c r="A72" s="19"/>
      <x:c r="B72" s="29"/>
      <x:c r="C72" s="21"/>
      <x:c r="D72" s="55"/>
      <x:c r="E72" s="23"/>
      <x:c r="F72" s="23"/>
      <x:c r="G72" s="25"/>
      <x:c r="H72" s="25"/>
      <x:c r="I72" s="25"/>
      <x:c r="J72" s="25"/>
      <x:c r="K72" s="24"/>
      <x:c r="L72" s="25"/>
      <x:c r="M72" s="94"/>
      <x:c r="N72" s="94"/>
      <x:c r="O72" s="26">
        <x:f t="shared" si="7"/>
        <x:v>0</x:v>
      </x:c>
      <x:c r="P72" s="23"/>
      <x:c r="Q72" s="23"/>
    </x:row>
    <x:row r="73" ht="18.75" customHeight="1">
      <x:c r="A73" s="19"/>
      <x:c r="B73" s="20"/>
      <x:c r="C73" s="21"/>
      <x:c r="D73" s="55"/>
      <x:c r="E73" s="23"/>
      <x:c r="F73" s="23"/>
      <x:c r="G73" s="25"/>
      <x:c r="H73" s="25"/>
      <x:c r="I73" s="25"/>
      <x:c r="J73" s="25"/>
      <x:c r="K73" s="24"/>
      <x:c r="L73" s="24"/>
      <x:c r="M73" s="94"/>
      <x:c r="N73" s="94"/>
      <x:c r="O73" s="26">
        <x:f t="shared" si="7"/>
        <x:v>0</x:v>
      </x:c>
      <x:c r="P73" s="23"/>
      <x:c r="Q73" s="23"/>
    </x:row>
    <x:row r="74" ht="18.75" customHeight="1">
      <x:c r="A74" s="19"/>
      <x:c r="B74" s="20"/>
      <x:c r="C74" s="21"/>
      <x:c r="D74" s="55"/>
      <x:c r="E74" s="23"/>
      <x:c r="F74" s="23"/>
      <x:c r="G74" s="24"/>
      <x:c r="H74" s="24"/>
      <x:c r="I74" s="24"/>
      <x:c r="J74" s="24"/>
      <x:c r="K74" s="24"/>
      <x:c r="L74" s="24"/>
      <x:c r="M74" s="94"/>
      <x:c r="N74" s="94"/>
      <x:c r="O74" s="26">
        <x:f t="shared" si="7"/>
        <x:v>0</x:v>
      </x:c>
      <x:c r="P74" s="23"/>
      <x:c r="Q74" s="23"/>
    </x:row>
    <x:row r="75" ht="18.75" customHeight="1">
      <x:c r="A75" s="19"/>
      <x:c r="B75" s="20"/>
      <x:c r="C75" s="21"/>
      <x:c r="D75" s="55"/>
      <x:c r="E75" s="23"/>
      <x:c r="F75" s="23"/>
      <x:c r="G75" s="25"/>
      <x:c r="H75" s="25"/>
      <x:c r="I75" s="25"/>
      <x:c r="J75" s="25"/>
      <x:c r="K75" s="24"/>
      <x:c r="L75" s="25"/>
      <x:c r="M75" s="94"/>
      <x:c r="N75" s="94"/>
      <x:c r="O75" s="26">
        <x:f t="shared" si="7"/>
        <x:v>0</x:v>
      </x:c>
      <x:c r="P75" s="23"/>
      <x:c r="Q75" s="23"/>
    </x:row>
    <x:row r="76" ht="18.75" customHeight="1">
      <x:c r="A76" s="19"/>
      <x:c r="B76" s="20"/>
      <x:c r="C76" s="21"/>
      <x:c r="D76" s="55"/>
      <x:c r="E76" s="23"/>
      <x:c r="F76" s="23"/>
      <x:c r="G76" s="24"/>
      <x:c r="H76" s="25"/>
      <x:c r="I76" s="25"/>
      <x:c r="J76" s="25"/>
      <x:c r="K76" s="24"/>
      <x:c r="L76" s="25"/>
      <x:c r="M76" s="94"/>
      <x:c r="N76" s="94"/>
      <x:c r="O76" s="26">
        <x:f t="shared" si="7"/>
        <x:v>0</x:v>
      </x:c>
      <x:c r="P76" s="23"/>
      <x:c r="Q76" s="23"/>
    </x:row>
    <x:row r="77" ht="18.75" customHeight="1">
      <x:c r="A77" s="19"/>
      <x:c r="B77" s="20"/>
      <x:c r="C77" s="21"/>
      <x:c r="D77" s="55"/>
      <x:c r="E77" s="23"/>
      <x:c r="F77" s="23"/>
      <x:c r="G77" s="25"/>
      <x:c r="H77" s="25"/>
      <x:c r="I77" s="25"/>
      <x:c r="J77" s="25"/>
      <x:c r="K77" s="24"/>
      <x:c r="L77" s="25"/>
      <x:c r="M77" s="94"/>
      <x:c r="N77" s="94"/>
      <x:c r="O77" s="26">
        <x:f t="shared" si="7"/>
        <x:v>0</x:v>
      </x:c>
      <x:c r="P77" s="23"/>
      <x:c r="Q77" s="23"/>
    </x:row>
    <x:row r="78" ht="18.75" customHeight="1">
      <x:c r="A78" s="19"/>
      <x:c r="B78" s="20"/>
      <x:c r="C78" s="21"/>
      <x:c r="D78" s="55"/>
      <x:c r="E78" s="23"/>
      <x:c r="F78" s="23"/>
      <x:c r="G78" s="25"/>
      <x:c r="H78" s="25"/>
      <x:c r="I78" s="25"/>
      <x:c r="J78" s="25"/>
      <x:c r="K78" s="24"/>
      <x:c r="L78" s="25"/>
      <x:c r="M78" s="94"/>
      <x:c r="N78" s="94"/>
      <x:c r="O78" s="26">
        <x:f t="shared" si="7"/>
        <x:v>0</x:v>
      </x:c>
      <x:c r="P78" s="23"/>
      <x:c r="Q78" s="23"/>
    </x:row>
    <x:row r="79" ht="18.75" customHeight="1">
      <x:c r="A79" s="19"/>
      <x:c r="B79" s="20"/>
      <x:c r="C79" s="21"/>
      <x:c r="D79" s="35"/>
      <x:c r="E79" s="23"/>
      <x:c r="F79" s="23"/>
      <x:c r="G79" s="25"/>
      <x:c r="H79" s="25"/>
      <x:c r="I79" s="25"/>
      <x:c r="J79" s="25"/>
      <x:c r="K79" s="25"/>
      <x:c r="L79" s="24"/>
      <x:c r="M79" s="94"/>
      <x:c r="N79" s="94"/>
      <x:c r="O79" s="26">
        <x:f t="shared" si="7"/>
        <x:v>0</x:v>
      </x:c>
      <x:c r="P79" s="23"/>
      <x:c r="Q79" s="23"/>
    </x:row>
    <x:row r="80" ht="18.75" customHeight="1">
      <x:c r="A80" s="19"/>
      <x:c r="B80" s="20"/>
      <x:c r="C80" s="21"/>
      <x:c r="D80" s="55"/>
      <x:c r="E80" s="23"/>
      <x:c r="F80" s="23"/>
      <x:c r="G80" s="25"/>
      <x:c r="H80" s="25"/>
      <x:c r="I80" s="25"/>
      <x:c r="J80" s="25"/>
      <x:c r="K80" s="25"/>
      <x:c r="L80" s="24"/>
      <x:c r="M80" s="94"/>
      <x:c r="N80" s="94"/>
      <x:c r="O80" s="26">
        <x:f t="shared" si="7"/>
        <x:v>0</x:v>
      </x:c>
      <x:c r="P80" s="23"/>
      <x:c r="Q80" s="23"/>
    </x:row>
    <x:row r="81" ht="18.75" customHeight="1">
      <x:c r="A81" s="19"/>
      <x:c r="B81" s="71"/>
      <x:c r="C81" s="21"/>
      <x:c r="D81" s="55"/>
      <x:c r="E81" s="23"/>
      <x:c r="F81" s="23"/>
      <x:c r="G81" s="25"/>
      <x:c r="H81" s="25"/>
      <x:c r="I81" s="25"/>
      <x:c r="J81" s="25"/>
      <x:c r="K81" s="24"/>
      <x:c r="L81" s="25"/>
      <x:c r="M81" s="94"/>
      <x:c r="N81" s="94"/>
      <x:c r="O81" s="26">
        <x:f t="shared" si="7"/>
        <x:v>0</x:v>
      </x:c>
      <x:c r="P81" s="23"/>
      <x:c r="Q81" s="23"/>
    </x:row>
    <x:row r="82" ht="18.75" customHeight="1">
      <x:c r="A82" s="19"/>
      <x:c r="B82" s="20"/>
      <x:c r="C82" s="21"/>
      <x:c r="D82" s="35"/>
      <x:c r="E82" s="23"/>
      <x:c r="F82" s="23"/>
      <x:c r="G82" s="25"/>
      <x:c r="H82" s="25"/>
      <x:c r="I82" s="25"/>
      <x:c r="J82" s="25"/>
      <x:c r="K82" s="24"/>
      <x:c r="L82" s="24"/>
      <x:c r="M82" s="94"/>
      <x:c r="N82" s="94"/>
      <x:c r="O82" s="26">
        <x:f t="shared" si="7"/>
        <x:v>0</x:v>
      </x:c>
      <x:c r="P82" s="23"/>
      <x:c r="Q82" s="23"/>
    </x:row>
    <x:row r="83" ht="18.75" customHeight="1">
      <x:c r="A83" s="19"/>
      <x:c r="B83" s="20"/>
      <x:c r="C83" s="21"/>
      <x:c r="D83" s="55"/>
      <x:c r="E83" s="23"/>
      <x:c r="F83" s="23"/>
      <x:c r="G83" s="24"/>
      <x:c r="H83" s="25"/>
      <x:c r="I83" s="25"/>
      <x:c r="J83" s="25"/>
      <x:c r="K83" s="24"/>
      <x:c r="L83" s="24"/>
      <x:c r="M83" s="94"/>
      <x:c r="N83" s="94"/>
      <x:c r="O83" s="26">
        <x:f t="shared" si="7"/>
        <x:v>0</x:v>
      </x:c>
      <x:c r="P83" s="23"/>
      <x:c r="Q83" s="23"/>
    </x:row>
    <x:row r="84" ht="18.75" customHeight="1">
      <x:c r="A84" s="19"/>
      <x:c r="B84" s="20"/>
      <x:c r="C84" s="21"/>
      <x:c r="D84" s="35"/>
      <x:c r="E84" s="23"/>
      <x:c r="F84" s="23"/>
      <x:c r="G84" s="25"/>
      <x:c r="H84" s="25"/>
      <x:c r="I84" s="25"/>
      <x:c r="J84" s="25"/>
      <x:c r="K84" s="25"/>
      <x:c r="L84" s="24"/>
      <x:c r="M84" s="94"/>
      <x:c r="N84" s="94"/>
      <x:c r="O84" s="26">
        <x:f t="shared" si="7"/>
        <x:v>0</x:v>
      </x:c>
      <x:c r="P84" s="23"/>
      <x:c r="Q84" s="23"/>
    </x:row>
    <x:row r="85" ht="18.75" customHeight="1">
      <x:c r="A85" s="19"/>
      <x:c r="B85" s="20"/>
      <x:c r="C85" s="21"/>
      <x:c r="D85" s="55"/>
      <x:c r="E85" s="23"/>
      <x:c r="F85" s="23"/>
      <x:c r="G85" s="25"/>
      <x:c r="H85" s="25"/>
      <x:c r="I85" s="25"/>
      <x:c r="J85" s="25"/>
      <x:c r="K85" s="24"/>
      <x:c r="L85" s="25"/>
      <x:c r="M85" s="94"/>
      <x:c r="N85" s="94"/>
      <x:c r="O85" s="26">
        <x:f t="shared" si="7"/>
        <x:v>0</x:v>
      </x:c>
      <x:c r="P85" s="23"/>
      <x:c r="Q85" s="23"/>
    </x:row>
    <x:row r="86" ht="18.75" customHeight="1">
      <x:c r="A86" s="19"/>
      <x:c r="B86" s="20"/>
      <x:c r="C86" s="21"/>
      <x:c r="D86" s="55"/>
      <x:c r="E86" s="23"/>
      <x:c r="F86" s="23"/>
      <x:c r="G86" s="25"/>
      <x:c r="H86" s="25"/>
      <x:c r="I86" s="25"/>
      <x:c r="J86" s="25"/>
      <x:c r="K86" s="24"/>
      <x:c r="L86" s="25"/>
      <x:c r="M86" s="94"/>
      <x:c r="N86" s="94"/>
      <x:c r="O86" s="26">
        <x:f t="shared" si="7"/>
        <x:v>0</x:v>
      </x:c>
      <x:c r="P86" s="23"/>
      <x:c r="Q86" s="23"/>
    </x:row>
    <x:row r="87" ht="18.75" customHeight="1">
      <x:c r="A87" s="19"/>
      <x:c r="B87" s="20"/>
      <x:c r="C87" s="21"/>
      <x:c r="D87" s="35"/>
      <x:c r="E87" s="23"/>
      <x:c r="F87" s="23"/>
      <x:c r="G87" s="25"/>
      <x:c r="H87" s="25"/>
      <x:c r="I87" s="25"/>
      <x:c r="J87" s="25"/>
      <x:c r="K87" s="25"/>
      <x:c r="L87" s="25"/>
      <x:c r="M87" s="94"/>
      <x:c r="N87" s="94"/>
      <x:c r="O87" s="26">
        <x:f t="shared" si="7"/>
        <x:v>0</x:v>
      </x:c>
      <x:c r="P87" s="23"/>
      <x:c r="Q87" s="23"/>
    </x:row>
    <x:row r="88" ht="18.75" customHeight="1">
      <x:c r="A88" s="19"/>
      <x:c r="B88" s="29"/>
      <x:c r="C88" s="21"/>
      <x:c r="D88" s="55"/>
      <x:c r="E88" s="56"/>
      <x:c r="F88" s="23"/>
      <x:c r="G88" s="25"/>
      <x:c r="H88" s="25"/>
      <x:c r="I88" s="25"/>
      <x:c r="J88" s="25"/>
      <x:c r="K88" s="25"/>
      <x:c r="L88" s="25"/>
      <x:c r="M88" s="94"/>
      <x:c r="N88" s="94"/>
      <x:c r="O88" s="26">
        <x:f t="shared" si="7"/>
        <x:v>0</x:v>
      </x:c>
      <x:c r="P88" s="23"/>
      <x:c r="Q88" s="23"/>
    </x:row>
    <x:row r="89" ht="18.75" customHeight="1">
      <x:c r="A89" s="19"/>
      <x:c r="B89" s="20"/>
      <x:c r="C89" s="21"/>
      <x:c r="D89" s="55"/>
      <x:c r="E89" s="56"/>
      <x:c r="F89" s="23"/>
      <x:c r="G89" s="25"/>
      <x:c r="H89" s="25"/>
      <x:c r="I89" s="25"/>
      <x:c r="J89" s="25"/>
      <x:c r="K89" s="24"/>
      <x:c r="L89" s="25"/>
      <x:c r="M89" s="94"/>
      <x:c r="N89" s="94"/>
      <x:c r="O89" s="26">
        <x:f t="shared" si="7"/>
        <x:v>0</x:v>
      </x:c>
      <x:c r="P89" s="23"/>
      <x:c r="Q89" s="23"/>
    </x:row>
    <x:row r="90" ht="18.75" customHeight="1">
      <x:c r="A90" s="19"/>
      <x:c r="B90" s="29"/>
      <x:c r="C90" s="21"/>
      <x:c r="D90" s="23"/>
      <x:c r="E90" s="56"/>
      <x:c r="F90" s="23"/>
      <x:c r="G90" s="25"/>
      <x:c r="H90" s="25"/>
      <x:c r="I90" s="25"/>
      <x:c r="J90" s="25"/>
      <x:c r="K90" s="24"/>
      <x:c r="L90" s="24"/>
      <x:c r="M90" s="94"/>
      <x:c r="N90" s="94"/>
      <x:c r="O90" s="26">
        <x:f t="shared" si="7"/>
        <x:v>0</x:v>
      </x:c>
      <x:c r="P90" s="23"/>
      <x:c r="Q90" s="23"/>
    </x:row>
    <x:row r="91" ht="18.75" customHeight="1">
      <x:c r="A91" s="19"/>
      <x:c r="B91" s="29"/>
      <x:c r="C91" s="21"/>
      <x:c r="D91" s="35"/>
      <x:c r="E91" s="56"/>
      <x:c r="F91" s="23"/>
      <x:c r="G91" s="25"/>
      <x:c r="H91" s="25"/>
      <x:c r="I91" s="25"/>
      <x:c r="J91" s="25"/>
      <x:c r="K91" s="24"/>
      <x:c r="L91" s="25"/>
      <x:c r="M91" s="94"/>
      <x:c r="N91" s="94"/>
      <x:c r="O91" s="26">
        <x:f t="shared" si="7"/>
        <x:v>0</x:v>
      </x:c>
      <x:c r="P91" s="23"/>
      <x:c r="Q91" s="23"/>
    </x:row>
    <x:row r="92" ht="18.75" customHeight="1">
      <x:c r="A92" s="19"/>
      <x:c r="B92" s="29"/>
      <x:c r="C92" s="21"/>
      <x:c r="D92" s="55"/>
      <x:c r="E92" s="56"/>
      <x:c r="F92" s="23"/>
      <x:c r="G92" s="25"/>
      <x:c r="H92" s="25"/>
      <x:c r="I92" s="25"/>
      <x:c r="J92" s="25"/>
      <x:c r="K92" s="24"/>
      <x:c r="L92" s="25"/>
      <x:c r="M92" s="94"/>
      <x:c r="N92" s="94"/>
      <x:c r="O92" s="26">
        <x:f t="shared" si="7"/>
        <x:v>0</x:v>
      </x:c>
      <x:c r="P92" s="23"/>
      <x:c r="Q92" s="23"/>
    </x:row>
    <x:row r="93" ht="18.75" customHeight="1">
      <x:c r="A93" s="19"/>
      <x:c r="B93" s="29"/>
      <x:c r="C93" s="21"/>
      <x:c r="D93" s="55"/>
      <x:c r="E93" s="23"/>
      <x:c r="F93" s="23"/>
      <x:c r="G93" s="25"/>
      <x:c r="H93" s="25"/>
      <x:c r="I93" s="25"/>
      <x:c r="J93" s="25"/>
      <x:c r="K93" s="24"/>
      <x:c r="L93" s="25"/>
      <x:c r="M93" s="94"/>
      <x:c r="N93" s="94"/>
      <x:c r="O93" s="26">
        <x:f t="shared" si="7"/>
        <x:v>0</x:v>
      </x:c>
      <x:c r="P93" s="23"/>
      <x:c r="Q93" s="23"/>
    </x:row>
    <x:row r="94" ht="18.75" customHeight="1">
      <x:c r="A94" s="19"/>
      <x:c r="B94" s="29"/>
      <x:c r="C94" s="21"/>
      <x:c r="D94" s="35"/>
      <x:c r="E94" s="56"/>
      <x:c r="F94" s="23"/>
      <x:c r="G94" s="25"/>
      <x:c r="H94" s="25"/>
      <x:c r="I94" s="25"/>
      <x:c r="J94" s="25"/>
      <x:c r="K94" s="25"/>
      <x:c r="L94" s="25"/>
      <x:c r="M94" s="94"/>
      <x:c r="N94" s="94"/>
      <x:c r="O94" s="26">
        <x:f t="shared" si="7"/>
        <x:v>0</x:v>
      </x:c>
      <x:c r="P94" s="23"/>
      <x:c r="Q94" s="23"/>
    </x:row>
    <x:row r="95" ht="18.75" customHeight="1">
      <x:c r="A95" s="19"/>
      <x:c r="B95" s="29"/>
      <x:c r="C95" s="21"/>
      <x:c r="D95" s="35"/>
      <x:c r="E95" s="56"/>
      <x:c r="F95" s="23"/>
      <x:c r="G95" s="25"/>
      <x:c r="H95" s="25"/>
      <x:c r="I95" s="25"/>
      <x:c r="J95" s="25"/>
      <x:c r="K95" s="25"/>
      <x:c r="L95" s="24"/>
      <x:c r="M95" s="94"/>
      <x:c r="N95" s="94"/>
      <x:c r="O95" s="26">
        <x:f t="shared" si="7"/>
        <x:v>0</x:v>
      </x:c>
      <x:c r="P95" s="23"/>
      <x:c r="Q95" s="23"/>
    </x:row>
    <x:row r="96" ht="18.75" customHeight="1">
      <x:c r="A96" s="19"/>
      <x:c r="B96" s="29"/>
      <x:c r="C96" s="21"/>
      <x:c r="D96" s="55"/>
      <x:c r="E96" s="56"/>
      <x:c r="F96" s="23"/>
      <x:c r="G96" s="25"/>
      <x:c r="H96" s="25"/>
      <x:c r="I96" s="25"/>
      <x:c r="J96" s="25"/>
      <x:c r="K96" s="24"/>
      <x:c r="L96" s="25"/>
      <x:c r="M96" s="94"/>
      <x:c r="N96" s="94"/>
      <x:c r="O96" s="26">
        <x:f t="shared" si="7"/>
        <x:v>0</x:v>
      </x:c>
      <x:c r="P96" s="23"/>
      <x:c r="Q96" s="23"/>
    </x:row>
    <x:row r="97" ht="18.75" customHeight="1">
      <x:c r="A97" s="19"/>
      <x:c r="B97" s="29"/>
      <x:c r="C97" s="21"/>
      <x:c r="D97" s="55"/>
      <x:c r="E97" s="23"/>
      <x:c r="F97" s="23"/>
      <x:c r="G97" s="25"/>
      <x:c r="H97" s="25"/>
      <x:c r="I97" s="25"/>
      <x:c r="J97" s="25"/>
      <x:c r="K97" s="25"/>
      <x:c r="L97" s="25"/>
      <x:c r="M97" s="94"/>
      <x:c r="N97" s="94"/>
      <x:c r="O97" s="26">
        <x:f t="shared" si="7"/>
        <x:v>0</x:v>
      </x:c>
      <x:c r="P97" s="23"/>
      <x:c r="Q97" s="23"/>
    </x:row>
    <x:row r="98" ht="18.75" customHeight="1">
      <x:c r="A98" s="19"/>
      <x:c r="B98" s="29"/>
      <x:c r="C98" s="21"/>
      <x:c r="D98" s="55"/>
      <x:c r="E98" s="23"/>
      <x:c r="F98" s="23"/>
      <x:c r="G98" s="25"/>
      <x:c r="H98" s="25"/>
      <x:c r="I98" s="25"/>
      <x:c r="J98" s="25"/>
      <x:c r="K98" s="24"/>
      <x:c r="L98" s="24"/>
      <x:c r="M98" s="94"/>
      <x:c r="N98" s="94"/>
      <x:c r="O98" s="26">
        <x:f t="shared" si="7"/>
        <x:v>0</x:v>
      </x:c>
      <x:c r="P98" s="23"/>
      <x:c r="Q98" s="23"/>
    </x:row>
    <x:row r="99" ht="18.75" customHeight="1">
      <x:c r="A99" s="19"/>
      <x:c r="B99" s="29"/>
      <x:c r="C99" s="21"/>
      <x:c r="D99" s="35"/>
      <x:c r="E99" s="56"/>
      <x:c r="F99" s="23"/>
      <x:c r="G99" s="25"/>
      <x:c r="H99" s="25"/>
      <x:c r="I99" s="25"/>
      <x:c r="J99" s="25"/>
      <x:c r="K99" s="25"/>
      <x:c r="L99" s="24"/>
      <x:c r="M99" s="94"/>
      <x:c r="N99" s="94"/>
      <x:c r="O99" s="26">
        <x:f t="shared" si="7"/>
        <x:v>0</x:v>
      </x:c>
      <x:c r="P99" s="23"/>
      <x:c r="Q99" s="23"/>
    </x:row>
    <x:row r="100" ht="18.75" customHeight="1">
      <x:c r="A100" s="19"/>
      <x:c r="B100" s="29"/>
      <x:c r="C100" s="21"/>
      <x:c r="D100" s="35"/>
      <x:c r="E100" s="56"/>
      <x:c r="F100" s="23"/>
      <x:c r="G100" s="25"/>
      <x:c r="H100" s="25"/>
      <x:c r="I100" s="25"/>
      <x:c r="J100" s="25"/>
      <x:c r="K100" s="25"/>
      <x:c r="L100" s="25"/>
      <x:c r="M100" s="94"/>
      <x:c r="N100" s="94"/>
      <x:c r="O100" s="26">
        <x:f t="shared" si="7"/>
        <x:v>0</x:v>
      </x:c>
      <x:c r="P100" s="23"/>
      <x:c r="Q100" s="23"/>
    </x:row>
    <x:row r="101" ht="18.75" customHeight="1">
      <x:c r="A101" s="19"/>
      <x:c r="B101" s="29"/>
      <x:c r="C101" s="21"/>
      <x:c r="D101" s="55"/>
      <x:c r="E101" s="23"/>
      <x:c r="F101" s="23"/>
      <x:c r="G101" s="25"/>
      <x:c r="H101" s="25"/>
      <x:c r="I101" s="25"/>
      <x:c r="J101" s="25"/>
      <x:c r="K101" s="24"/>
      <x:c r="L101" s="24"/>
      <x:c r="M101" s="94"/>
      <x:c r="N101" s="94"/>
      <x:c r="O101" s="26">
        <x:f t="shared" si="7"/>
        <x:v>0</x:v>
      </x:c>
      <x:c r="P101" s="23"/>
      <x:c r="Q101" s="23"/>
    </x:row>
    <x:row r="102" ht="18.75" customHeight="1">
      <x:c r="A102" s="19"/>
      <x:c r="B102" s="29"/>
      <x:c r="C102" s="21"/>
      <x:c r="D102" s="55"/>
      <x:c r="E102" s="56"/>
      <x:c r="F102" s="23"/>
      <x:c r="G102" s="25"/>
      <x:c r="H102" s="25"/>
      <x:c r="I102" s="25"/>
      <x:c r="J102" s="25"/>
      <x:c r="K102" s="25"/>
      <x:c r="L102" s="24"/>
      <x:c r="M102" s="94"/>
      <x:c r="N102" s="94"/>
      <x:c r="O102" s="26">
        <x:f t="shared" si="7"/>
        <x:v>0</x:v>
      </x:c>
      <x:c r="P102" s="23"/>
      <x:c r="Q102" s="23"/>
    </x:row>
    <x:row r="103" ht="18.75" customHeight="1">
      <x:c r="A103" s="19"/>
      <x:c r="B103" s="29"/>
      <x:c r="C103" s="21"/>
      <x:c r="D103" s="35"/>
      <x:c r="E103" s="56"/>
      <x:c r="F103" s="23"/>
      <x:c r="G103" s="25"/>
      <x:c r="H103" s="25"/>
      <x:c r="I103" s="25"/>
      <x:c r="J103" s="25"/>
      <x:c r="K103" s="25"/>
      <x:c r="L103" s="24"/>
      <x:c r="M103" s="94"/>
      <x:c r="N103" s="94"/>
      <x:c r="O103" s="26">
        <x:f t="shared" si="7"/>
        <x:v>0</x:v>
      </x:c>
      <x:c r="P103" s="23"/>
      <x:c r="Q103" s="23"/>
    </x:row>
    <x:row r="104" ht="18.75" customHeight="1">
      <x:c r="A104" s="19"/>
      <x:c r="B104" s="29"/>
      <x:c r="C104" s="21"/>
      <x:c r="D104" s="55"/>
      <x:c r="E104" s="56"/>
      <x:c r="F104" s="23"/>
      <x:c r="G104" s="25"/>
      <x:c r="H104" s="25"/>
      <x:c r="I104" s="25"/>
      <x:c r="J104" s="25"/>
      <x:c r="K104" s="25"/>
      <x:c r="L104" s="24"/>
      <x:c r="M104" s="94"/>
      <x:c r="N104" s="94"/>
      <x:c r="O104" s="26">
        <x:f t="shared" si="7"/>
        <x:v>0</x:v>
      </x:c>
      <x:c r="P104" s="23"/>
      <x:c r="Q104" s="23"/>
    </x:row>
    <x:row r="105" ht="18.75" customHeight="1">
      <x:c r="A105" s="19"/>
      <x:c r="B105" s="29"/>
      <x:c r="C105" s="21"/>
      <x:c r="D105" s="55"/>
      <x:c r="E105" s="56"/>
      <x:c r="F105" s="23"/>
      <x:c r="G105" s="25"/>
      <x:c r="H105" s="25"/>
      <x:c r="I105" s="25"/>
      <x:c r="J105" s="25"/>
      <x:c r="K105" s="24"/>
      <x:c r="L105" s="25"/>
      <x:c r="M105" s="94"/>
      <x:c r="N105" s="94"/>
      <x:c r="O105" s="26">
        <x:f t="shared" si="7"/>
        <x:v>0</x:v>
      </x:c>
      <x:c r="P105" s="23"/>
      <x:c r="Q105" s="23"/>
    </x:row>
    <x:row r="106" ht="18.75" customHeight="1">
      <x:c r="A106" s="19"/>
      <x:c r="B106" s="29"/>
      <x:c r="C106" s="21"/>
      <x:c r="D106" s="55"/>
      <x:c r="E106" s="56"/>
      <x:c r="F106" s="23"/>
      <x:c r="G106" s="25"/>
      <x:c r="H106" s="25"/>
      <x:c r="I106" s="25"/>
      <x:c r="J106" s="25"/>
      <x:c r="K106" s="25"/>
      <x:c r="L106" s="25"/>
      <x:c r="M106" s="94"/>
      <x:c r="N106" s="94"/>
      <x:c r="O106" s="26">
        <x:f t="shared" si="7"/>
        <x:v>0</x:v>
      </x:c>
      <x:c r="P106" s="23"/>
      <x:c r="Q106" s="23"/>
    </x:row>
    <x:row r="107" ht="18.75" customHeight="1">
      <x:c r="A107" s="19"/>
      <x:c r="B107" s="29"/>
      <x:c r="C107" s="21"/>
      <x:c r="D107" s="35"/>
      <x:c r="E107" s="56"/>
      <x:c r="F107" s="23"/>
      <x:c r="G107" s="25"/>
      <x:c r="H107" s="25"/>
      <x:c r="I107" s="25"/>
      <x:c r="J107" s="25"/>
      <x:c r="K107" s="24"/>
      <x:c r="L107" s="25"/>
      <x:c r="M107" s="94"/>
      <x:c r="N107" s="94"/>
      <x:c r="O107" s="26">
        <x:f t="shared" si="7"/>
        <x:v>0</x:v>
      </x:c>
      <x:c r="P107" s="23"/>
      <x:c r="Q107" s="23"/>
    </x:row>
    <x:row r="108" ht="18.75" customHeight="1">
      <x:c r="A108" s="19"/>
      <x:c r="B108" s="29"/>
      <x:c r="C108" s="21"/>
      <x:c r="D108" s="55"/>
      <x:c r="E108" s="56"/>
      <x:c r="F108" s="23"/>
      <x:c r="G108" s="25"/>
      <x:c r="H108" s="25"/>
      <x:c r="I108" s="25"/>
      <x:c r="J108" s="25"/>
      <x:c r="K108" s="24"/>
      <x:c r="L108" s="25"/>
      <x:c r="M108" s="94"/>
      <x:c r="N108" s="94"/>
      <x:c r="O108" s="26">
        <x:f t="shared" si="7"/>
        <x:v>0</x:v>
      </x:c>
      <x:c r="P108" s="23"/>
      <x:c r="Q108" s="23"/>
    </x:row>
    <x:row r="109" ht="18.75" customHeight="1">
      <x:c r="A109" s="19"/>
      <x:c r="B109" s="29"/>
      <x:c r="C109" s="21"/>
      <x:c r="D109" s="55"/>
      <x:c r="E109" s="56"/>
      <x:c r="F109" s="23"/>
      <x:c r="G109" s="24"/>
      <x:c r="H109" s="25"/>
      <x:c r="I109" s="25"/>
      <x:c r="J109" s="25"/>
      <x:c r="K109" s="25"/>
      <x:c r="L109" s="25"/>
      <x:c r="M109" s="94"/>
      <x:c r="N109" s="94"/>
      <x:c r="O109" s="26">
        <x:f t="shared" si="7"/>
        <x:v>0</x:v>
      </x:c>
      <x:c r="P109" s="23"/>
      <x:c r="Q109" s="23"/>
    </x:row>
    <x:row r="110" ht="18.75" customHeight="1">
      <x:c r="A110" s="19"/>
      <x:c r="B110" s="29"/>
      <x:c r="C110" s="21"/>
      <x:c r="D110" s="35"/>
      <x:c r="E110" s="56"/>
      <x:c r="F110" s="23"/>
      <x:c r="G110" s="25"/>
      <x:c r="H110" s="25"/>
      <x:c r="I110" s="25"/>
      <x:c r="J110" s="25"/>
      <x:c r="K110" s="25"/>
      <x:c r="L110" s="24"/>
      <x:c r="M110" s="94"/>
      <x:c r="N110" s="94"/>
      <x:c r="O110" s="26">
        <x:f t="shared" si="7"/>
        <x:v>0</x:v>
      </x:c>
      <x:c r="P110" s="23"/>
      <x:c r="Q110" s="23"/>
    </x:row>
    <x:row r="111" ht="18.75" customHeight="1">
      <x:c r="A111" s="19"/>
      <x:c r="B111" s="29"/>
      <x:c r="C111" s="21"/>
      <x:c r="D111" s="55"/>
      <x:c r="E111" s="56"/>
      <x:c r="F111" s="23"/>
      <x:c r="G111" s="25"/>
      <x:c r="H111" s="25"/>
      <x:c r="I111" s="25"/>
      <x:c r="J111" s="25"/>
      <x:c r="K111" s="24"/>
      <x:c r="L111" s="24"/>
      <x:c r="M111" s="94"/>
      <x:c r="N111" s="94"/>
      <x:c r="O111" s="26">
        <x:f t="shared" si="7"/>
        <x:v>0</x:v>
      </x:c>
      <x:c r="P111" s="23"/>
      <x:c r="Q111" s="23"/>
    </x:row>
    <x:row r="112" ht="18.75" customHeight="1">
      <x:c r="A112" s="19"/>
      <x:c r="B112" s="20"/>
      <x:c r="C112" s="21"/>
      <x:c r="D112" s="55"/>
      <x:c r="E112" s="56"/>
      <x:c r="F112" s="23"/>
      <x:c r="G112" s="24"/>
      <x:c r="H112" s="25"/>
      <x:c r="I112" s="25"/>
      <x:c r="J112" s="25"/>
      <x:c r="K112" s="24"/>
      <x:c r="L112" s="25"/>
      <x:c r="M112" s="94"/>
      <x:c r="N112" s="94"/>
      <x:c r="O112" s="26">
        <x:f t="shared" si="7"/>
        <x:v>0</x:v>
      </x:c>
      <x:c r="P112" s="23"/>
      <x:c r="Q112" s="23"/>
    </x:row>
    <x:row r="113" ht="18.75" customHeight="1">
      <x:c r="A113" s="19"/>
      <x:c r="B113" s="29"/>
      <x:c r="C113" s="21"/>
      <x:c r="D113" s="35"/>
      <x:c r="E113" s="56"/>
      <x:c r="F113" s="23"/>
      <x:c r="G113" s="25"/>
      <x:c r="H113" s="25"/>
      <x:c r="I113" s="25"/>
      <x:c r="J113" s="25"/>
      <x:c r="K113" s="25"/>
      <x:c r="L113" s="24"/>
      <x:c r="M113" s="94"/>
      <x:c r="N113" s="94"/>
      <x:c r="O113" s="26">
        <x:f t="shared" si="7"/>
        <x:v>0</x:v>
      </x:c>
      <x:c r="P113" s="23"/>
      <x:c r="Q113" s="23"/>
    </x:row>
    <x:row r="114" ht="18.75" customHeight="1">
      <x:c r="A114" s="19"/>
      <x:c r="B114" s="29"/>
      <x:c r="C114" s="21"/>
      <x:c r="D114" s="55"/>
      <x:c r="E114" s="56"/>
      <x:c r="F114" s="23"/>
      <x:c r="G114" s="25"/>
      <x:c r="H114" s="25"/>
      <x:c r="I114" s="25"/>
      <x:c r="J114" s="25"/>
      <x:c r="K114" s="25"/>
      <x:c r="L114" s="24"/>
      <x:c r="M114" s="94"/>
      <x:c r="N114" s="94"/>
      <x:c r="O114" s="26">
        <x:f t="shared" si="7"/>
        <x:v>0</x:v>
      </x:c>
      <x:c r="P114" s="23"/>
      <x:c r="Q114" s="23"/>
    </x:row>
    <x:row r="115" ht="18.75" customHeight="1">
      <x:c r="A115" s="19"/>
      <x:c r="B115" s="29"/>
      <x:c r="C115" s="21"/>
      <x:c r="D115" s="55"/>
      <x:c r="E115" s="56"/>
      <x:c r="F115" s="23"/>
      <x:c r="G115" s="25"/>
      <x:c r="H115" s="25"/>
      <x:c r="I115" s="25"/>
      <x:c r="J115" s="25"/>
      <x:c r="K115" s="25"/>
      <x:c r="L115" s="24"/>
      <x:c r="M115" s="94"/>
      <x:c r="N115" s="94"/>
      <x:c r="O115" s="26">
        <x:f t="shared" si="7"/>
        <x:v>0</x:v>
      </x:c>
      <x:c r="P115" s="23"/>
      <x:c r="Q115" s="23"/>
    </x:row>
    <x:row r="116" ht="18.75" customHeight="1">
      <x:c r="A116" s="19"/>
      <x:c r="B116" s="29"/>
      <x:c r="C116" s="21"/>
      <x:c r="D116" s="55"/>
      <x:c r="E116" s="56"/>
      <x:c r="F116" s="23"/>
      <x:c r="G116" s="25"/>
      <x:c r="H116" s="25"/>
      <x:c r="I116" s="25"/>
      <x:c r="J116" s="25"/>
      <x:c r="K116" s="25"/>
      <x:c r="L116" s="25"/>
      <x:c r="M116" s="94"/>
      <x:c r="N116" s="94"/>
      <x:c r="O116" s="26">
        <x:f t="shared" si="7"/>
        <x:v>0</x:v>
      </x:c>
      <x:c r="P116" s="23"/>
      <x:c r="Q116" s="23"/>
    </x:row>
    <x:row r="117" ht="18.75" customHeight="1">
      <x:c r="A117" s="19"/>
      <x:c r="B117" s="29"/>
      <x:c r="C117" s="21"/>
      <x:c r="D117" s="55"/>
      <x:c r="E117" s="56"/>
      <x:c r="F117" s="23"/>
      <x:c r="G117" s="25"/>
      <x:c r="H117" s="25"/>
      <x:c r="I117" s="25"/>
      <x:c r="J117" s="25"/>
      <x:c r="K117" s="24"/>
      <x:c r="L117" s="25"/>
      <x:c r="M117" s="94"/>
      <x:c r="N117" s="94"/>
      <x:c r="O117" s="26">
        <x:f t="shared" si="7"/>
        <x:v>0</x:v>
      </x:c>
      <x:c r="P117" s="23"/>
      <x:c r="Q117" s="23"/>
    </x:row>
    <x:row r="118" ht="18.75" customHeight="1">
      <x:c r="A118" s="19"/>
      <x:c r="B118" s="29"/>
      <x:c r="C118" s="21"/>
      <x:c r="D118" s="55"/>
      <x:c r="E118" s="56"/>
      <x:c r="F118" s="23"/>
      <x:c r="G118" s="25"/>
      <x:c r="H118" s="25"/>
      <x:c r="I118" s="25"/>
      <x:c r="J118" s="25"/>
      <x:c r="K118" s="25"/>
      <x:c r="L118" s="25"/>
      <x:c r="M118" s="94"/>
      <x:c r="N118" s="94"/>
      <x:c r="O118" s="26">
        <x:f t="shared" si="7"/>
        <x:v>0</x:v>
      </x:c>
      <x:c r="P118" s="23"/>
      <x:c r="Q118" s="23"/>
    </x:row>
    <x:row r="119" ht="18.75" customHeight="1">
      <x:c r="A119" s="19"/>
      <x:c r="B119" s="29"/>
      <x:c r="C119" s="21"/>
      <x:c r="D119" s="35"/>
      <x:c r="E119" s="56"/>
      <x:c r="F119" s="23"/>
      <x:c r="G119" s="25"/>
      <x:c r="H119" s="25"/>
      <x:c r="I119" s="25"/>
      <x:c r="J119" s="25"/>
      <x:c r="K119" s="24"/>
      <x:c r="L119" s="25"/>
      <x:c r="M119" s="94"/>
      <x:c r="N119" s="94"/>
      <x:c r="O119" s="26">
        <x:f t="shared" si="7"/>
        <x:v>0</x:v>
      </x:c>
      <x:c r="P119" s="23"/>
      <x:c r="Q119" s="23"/>
    </x:row>
    <x:row r="120" ht="18.75" customHeight="1">
      <x:c r="A120" s="19"/>
      <x:c r="B120" s="29"/>
      <x:c r="C120" s="21"/>
      <x:c r="D120" s="55"/>
      <x:c r="E120" s="56"/>
      <x:c r="F120" s="23"/>
      <x:c r="G120" s="25"/>
      <x:c r="H120" s="25"/>
      <x:c r="I120" s="25"/>
      <x:c r="J120" s="25"/>
      <x:c r="K120" s="25"/>
      <x:c r="L120" s="25"/>
      <x:c r="M120" s="94"/>
      <x:c r="N120" s="94"/>
      <x:c r="O120" s="26">
        <x:f t="shared" si="7"/>
        <x:v>0</x:v>
      </x:c>
      <x:c r="P120" s="23"/>
      <x:c r="Q120" s="23"/>
    </x:row>
    <x:row r="121" ht="18.75" customHeight="1">
      <x:c r="A121" s="19"/>
      <x:c r="B121" s="29"/>
      <x:c r="C121" s="21"/>
      <x:c r="D121" s="55"/>
      <x:c r="E121" s="56"/>
      <x:c r="F121" s="23"/>
      <x:c r="G121" s="25"/>
      <x:c r="H121" s="25"/>
      <x:c r="I121" s="25"/>
      <x:c r="J121" s="25"/>
      <x:c r="K121" s="25"/>
      <x:c r="L121" s="24"/>
      <x:c r="M121" s="94"/>
      <x:c r="N121" s="94"/>
      <x:c r="O121" s="26">
        <x:f t="shared" si="7"/>
        <x:v>0</x:v>
      </x:c>
      <x:c r="P121" s="23"/>
      <x:c r="Q121" s="23"/>
    </x:row>
    <x:row r="122" ht="18.75" customHeight="1">
      <x:c r="A122" s="19"/>
      <x:c r="B122" s="29"/>
      <x:c r="C122" s="21"/>
      <x:c r="D122" s="55"/>
      <x:c r="E122" s="56"/>
      <x:c r="F122" s="23"/>
      <x:c r="G122" s="25"/>
      <x:c r="H122" s="25"/>
      <x:c r="I122" s="25"/>
      <x:c r="J122" s="25"/>
      <x:c r="K122" s="25"/>
      <x:c r="L122" s="25"/>
      <x:c r="M122" s="94"/>
      <x:c r="N122" s="94"/>
      <x:c r="O122" s="26">
        <x:f t="shared" si="7"/>
        <x:v>0</x:v>
      </x:c>
      <x:c r="P122" s="23"/>
      <x:c r="Q122" s="23"/>
    </x:row>
    <x:row r="123" ht="18.75" customHeight="1">
      <x:c r="A123" s="19"/>
      <x:c r="B123" s="29"/>
      <x:c r="C123" s="21"/>
      <x:c r="D123" s="55"/>
      <x:c r="E123" s="56"/>
      <x:c r="F123" s="23"/>
      <x:c r="G123" s="25"/>
      <x:c r="H123" s="25"/>
      <x:c r="I123" s="25"/>
      <x:c r="J123" s="25"/>
      <x:c r="K123" s="25"/>
      <x:c r="L123" s="25"/>
      <x:c r="M123" s="94"/>
      <x:c r="N123" s="94"/>
      <x:c r="O123" s="26">
        <x:f t="shared" si="7"/>
        <x:v>0</x:v>
      </x:c>
      <x:c r="P123" s="23"/>
      <x:c r="Q123" s="23"/>
    </x:row>
    <x:row r="124" ht="18.75" customHeight="1">
      <x:c r="A124" s="19"/>
      <x:c r="B124" s="29"/>
      <x:c r="C124" s="21"/>
      <x:c r="D124" s="55"/>
      <x:c r="E124" s="56"/>
      <x:c r="F124" s="23"/>
      <x:c r="G124" s="25"/>
      <x:c r="H124" s="25"/>
      <x:c r="I124" s="25"/>
      <x:c r="J124" s="25"/>
      <x:c r="K124" s="25"/>
      <x:c r="L124" s="25"/>
      <x:c r="M124" s="94"/>
      <x:c r="N124" s="94"/>
      <x:c r="O124" s="26">
        <x:f t="shared" si="7"/>
        <x:v>0</x:v>
      </x:c>
      <x:c r="P124" s="23"/>
      <x:c r="Q124" s="23"/>
    </x:row>
    <x:row r="125" ht="18.75" customHeight="1">
      <x:c r="A125" s="19"/>
      <x:c r="B125" s="29"/>
      <x:c r="C125" s="21"/>
      <x:c r="D125" s="55"/>
      <x:c r="E125" s="56"/>
      <x:c r="F125" s="23"/>
      <x:c r="G125" s="25"/>
      <x:c r="H125" s="25"/>
      <x:c r="I125" s="25"/>
      <x:c r="J125" s="25"/>
      <x:c r="K125" s="25"/>
      <x:c r="L125" s="25"/>
      <x:c r="M125" s="94"/>
      <x:c r="N125" s="94"/>
      <x:c r="O125" s="26">
        <x:f t="shared" si="7"/>
        <x:v>0</x:v>
      </x:c>
      <x:c r="P125" s="23"/>
      <x:c r="Q125" s="23"/>
    </x:row>
    <x:row r="126" ht="18.75" customHeight="1">
      <x:c r="A126" s="19"/>
      <x:c r="B126" s="29"/>
      <x:c r="C126" s="21"/>
      <x:c r="D126" s="55"/>
      <x:c r="E126" s="56"/>
      <x:c r="F126" s="23"/>
      <x:c r="G126" s="25"/>
      <x:c r="H126" s="25"/>
      <x:c r="I126" s="25"/>
      <x:c r="J126" s="25"/>
      <x:c r="K126" s="25"/>
      <x:c r="L126" s="24"/>
      <x:c r="M126" s="94"/>
      <x:c r="N126" s="94"/>
      <x:c r="O126" s="26">
        <x:f t="shared" si="7"/>
        <x:v>0</x:v>
      </x:c>
      <x:c r="P126" s="23"/>
      <x:c r="Q126" s="23"/>
    </x:row>
    <x:row r="127" ht="18.75" customHeight="1">
      <x:c r="A127" s="19"/>
      <x:c r="B127" s="29"/>
      <x:c r="C127" s="21"/>
      <x:c r="D127" s="55"/>
      <x:c r="E127" s="56"/>
      <x:c r="F127" s="23"/>
      <x:c r="G127" s="24"/>
      <x:c r="H127" s="25"/>
      <x:c r="I127" s="25"/>
      <x:c r="J127" s="25"/>
      <x:c r="K127" s="24"/>
      <x:c r="L127" s="25"/>
      <x:c r="M127" s="94"/>
      <x:c r="N127" s="94"/>
      <x:c r="O127" s="26">
        <x:f t="shared" si="7"/>
        <x:v>0</x:v>
      </x:c>
      <x:c r="P127" s="23"/>
      <x:c r="Q127" s="23"/>
    </x:row>
    <x:row r="128" ht="18.75" customHeight="1">
      <x:c r="A128" s="19"/>
      <x:c r="B128" s="29"/>
      <x:c r="C128" s="21"/>
      <x:c r="D128" s="55"/>
      <x:c r="E128" s="56"/>
      <x:c r="F128" s="23"/>
      <x:c r="G128" s="25"/>
      <x:c r="H128" s="25"/>
      <x:c r="I128" s="25"/>
      <x:c r="J128" s="25"/>
      <x:c r="K128" s="24"/>
      <x:c r="L128" s="24"/>
      <x:c r="M128" s="94"/>
      <x:c r="N128" s="94"/>
      <x:c r="O128" s="26">
        <x:f t="shared" si="7"/>
        <x:v>0</x:v>
      </x:c>
      <x:c r="P128" s="23"/>
      <x:c r="Q128" s="23"/>
    </x:row>
    <x:row r="129" ht="18.75" customHeight="1">
      <x:c r="A129" s="19"/>
      <x:c r="B129" s="29"/>
      <x:c r="C129" s="21"/>
      <x:c r="D129" s="55"/>
      <x:c r="E129" s="56"/>
      <x:c r="F129" s="23"/>
      <x:c r="G129" s="25"/>
      <x:c r="H129" s="25"/>
      <x:c r="I129" s="25"/>
      <x:c r="J129" s="25"/>
      <x:c r="K129" s="24"/>
      <x:c r="L129" s="25"/>
      <x:c r="M129" s="94"/>
      <x:c r="N129" s="94"/>
      <x:c r="O129" s="26">
        <x:f t="shared" si="7"/>
        <x:v>0</x:v>
      </x:c>
      <x:c r="P129" s="23"/>
      <x:c r="Q129" s="23"/>
    </x:row>
    <x:row r="130" ht="18.75" customHeight="1">
      <x:c r="A130" s="19"/>
      <x:c r="B130" s="29"/>
      <x:c r="C130" s="21"/>
      <x:c r="D130" s="55"/>
      <x:c r="E130" s="56"/>
      <x:c r="F130" s="23"/>
      <x:c r="G130" s="25"/>
      <x:c r="H130" s="25"/>
      <x:c r="I130" s="25"/>
      <x:c r="J130" s="25"/>
      <x:c r="K130" s="25"/>
      <x:c r="L130" s="24"/>
      <x:c r="M130" s="94"/>
      <x:c r="N130" s="94"/>
      <x:c r="O130" s="26">
        <x:f t="shared" si="7"/>
        <x:v>0</x:v>
      </x:c>
      <x:c r="P130" s="23"/>
      <x:c r="Q130" s="23"/>
    </x:row>
    <x:row r="131" ht="18.75" customHeight="1">
      <x:c r="A131" s="19"/>
      <x:c r="B131" s="29"/>
      <x:c r="C131" s="21"/>
      <x:c r="D131" s="35"/>
      <x:c r="E131" s="56"/>
      <x:c r="F131" s="23"/>
      <x:c r="G131" s="25"/>
      <x:c r="H131" s="25"/>
      <x:c r="I131" s="25"/>
      <x:c r="J131" s="25"/>
      <x:c r="K131" s="25"/>
      <x:c r="L131" s="25"/>
      <x:c r="M131" s="94"/>
      <x:c r="N131" s="94"/>
      <x:c r="O131" s="26">
        <x:f t="shared" si="7"/>
        <x:v>0</x:v>
      </x:c>
      <x:c r="P131" s="23"/>
      <x:c r="Q131" s="23"/>
    </x:row>
    <x:row r="132" ht="18.75" customHeight="1">
      <x:c r="A132" s="19"/>
      <x:c r="B132" s="29"/>
      <x:c r="C132" s="21"/>
      <x:c r="D132" s="55"/>
      <x:c r="E132" s="56"/>
      <x:c r="F132" s="23"/>
      <x:c r="G132" s="25"/>
      <x:c r="H132" s="25"/>
      <x:c r="I132" s="25"/>
      <x:c r="J132" s="25"/>
      <x:c r="K132" s="25"/>
      <x:c r="L132" s="25"/>
      <x:c r="M132" s="94"/>
      <x:c r="N132" s="94"/>
      <x:c r="O132" s="26">
        <x:f t="shared" si="7"/>
        <x:v>0</x:v>
      </x:c>
      <x:c r="P132" s="23"/>
      <x:c r="Q132" s="23"/>
    </x:row>
    <x:row r="133" ht="18.75" customHeight="1">
      <x:c r="A133" s="19"/>
      <x:c r="B133" s="29"/>
      <x:c r="C133" s="21"/>
      <x:c r="D133" s="55"/>
      <x:c r="E133" s="56"/>
      <x:c r="F133" s="23"/>
      <x:c r="G133" s="25"/>
      <x:c r="H133" s="25"/>
      <x:c r="I133" s="25"/>
      <x:c r="J133" s="25"/>
      <x:c r="K133" s="25"/>
      <x:c r="L133" s="25"/>
      <x:c r="M133" s="94"/>
      <x:c r="N133" s="94"/>
      <x:c r="O133" s="26">
        <x:f t="shared" si="7"/>
        <x:v>0</x:v>
      </x:c>
      <x:c r="P133" s="23"/>
      <x:c r="Q133" s="23"/>
    </x:row>
    <x:row r="134" ht="18.75" customHeight="1">
      <x:c r="A134" s="19"/>
      <x:c r="B134" s="29"/>
      <x:c r="C134" s="21"/>
      <x:c r="D134" s="55"/>
      <x:c r="E134" s="56"/>
      <x:c r="F134" s="23"/>
      <x:c r="G134" s="25"/>
      <x:c r="H134" s="25"/>
      <x:c r="I134" s="25"/>
      <x:c r="J134" s="25"/>
      <x:c r="K134" s="25"/>
      <x:c r="L134" s="25"/>
      <x:c r="M134" s="94"/>
      <x:c r="N134" s="94"/>
      <x:c r="O134" s="26">
        <x:f t="shared" si="7"/>
        <x:v>0</x:v>
      </x:c>
      <x:c r="P134" s="23"/>
      <x:c r="Q134" s="23"/>
    </x:row>
    <x:row r="135" ht="18.75" customHeight="1">
      <x:c r="A135" s="19"/>
      <x:c r="B135" s="29"/>
      <x:c r="C135" s="21"/>
      <x:c r="D135" s="55"/>
      <x:c r="E135" s="56"/>
      <x:c r="F135" s="23"/>
      <x:c r="G135" s="25"/>
      <x:c r="H135" s="25"/>
      <x:c r="I135" s="25"/>
      <x:c r="J135" s="25"/>
      <x:c r="K135" s="25"/>
      <x:c r="L135" s="25"/>
      <x:c r="M135" s="94"/>
      <x:c r="N135" s="94"/>
      <x:c r="O135" s="26">
        <x:f t="shared" si="7"/>
        <x:v>0</x:v>
      </x:c>
      <x:c r="P135" s="23"/>
      <x:c r="Q135" s="23"/>
    </x:row>
    <x:row r="136" ht="18.75" customHeight="1">
      <x:c r="A136" s="19"/>
      <x:c r="B136" s="29"/>
      <x:c r="C136" s="21"/>
      <x:c r="D136" s="55"/>
      <x:c r="E136" s="56"/>
      <x:c r="F136" s="23"/>
      <x:c r="G136" s="25"/>
      <x:c r="H136" s="25"/>
      <x:c r="I136" s="25"/>
      <x:c r="J136" s="25"/>
      <x:c r="K136" s="25"/>
      <x:c r="L136" s="25"/>
      <x:c r="M136" s="94"/>
      <x:c r="N136" s="94"/>
      <x:c r="O136" s="26">
        <x:f t="shared" si="7"/>
        <x:v>0</x:v>
      </x:c>
      <x:c r="P136" s="23"/>
      <x:c r="Q136" s="23"/>
    </x:row>
    <x:row r="137" ht="18.75" customHeight="1">
      <x:c r="A137" s="19"/>
      <x:c r="B137" s="29"/>
      <x:c r="C137" s="21"/>
      <x:c r="D137" s="55"/>
      <x:c r="E137" s="56"/>
      <x:c r="F137" s="23"/>
      <x:c r="G137" s="25"/>
      <x:c r="H137" s="25"/>
      <x:c r="I137" s="25"/>
      <x:c r="J137" s="25"/>
      <x:c r="K137" s="25"/>
      <x:c r="L137" s="25"/>
      <x:c r="M137" s="94"/>
      <x:c r="N137" s="94"/>
      <x:c r="O137" s="26">
        <x:f t="shared" si="7"/>
        <x:v>0</x:v>
      </x:c>
      <x:c r="P137" s="23"/>
      <x:c r="Q137" s="23"/>
    </x:row>
    <x:row r="138" ht="18.75" customHeight="1">
      <x:c r="A138" s="19"/>
      <x:c r="B138" s="29"/>
      <x:c r="C138" s="21"/>
      <x:c r="D138" s="55"/>
      <x:c r="E138" s="56"/>
      <x:c r="F138" s="23"/>
      <x:c r="G138" s="25"/>
      <x:c r="H138" s="25"/>
      <x:c r="I138" s="25"/>
      <x:c r="J138" s="25"/>
      <x:c r="K138" s="25"/>
      <x:c r="L138" s="24"/>
      <x:c r="M138" s="94"/>
      <x:c r="N138" s="94"/>
      <x:c r="O138" s="26">
        <x:f t="shared" si="7"/>
        <x:v>0</x:v>
      </x:c>
      <x:c r="P138" s="23"/>
      <x:c r="Q138" s="23"/>
    </x:row>
    <x:row r="139" ht="18.75" customHeight="1">
      <x:c r="A139" s="19"/>
      <x:c r="B139" s="29"/>
      <x:c r="C139" s="21"/>
      <x:c r="D139" s="55"/>
      <x:c r="E139" s="56"/>
      <x:c r="F139" s="23"/>
      <x:c r="G139" s="25"/>
      <x:c r="H139" s="25"/>
      <x:c r="I139" s="25"/>
      <x:c r="J139" s="25"/>
      <x:c r="K139" s="24"/>
      <x:c r="L139" s="24"/>
      <x:c r="M139" s="94"/>
      <x:c r="N139" s="94"/>
      <x:c r="O139" s="26">
        <x:f t="shared" si="7"/>
        <x:v>0</x:v>
      </x:c>
      <x:c r="P139" s="23"/>
      <x:c r="Q139" s="23"/>
    </x:row>
    <x:row r="140" ht="18.75" customHeight="1">
      <x:c r="A140" s="19"/>
      <x:c r="B140" s="29"/>
      <x:c r="C140" s="21"/>
      <x:c r="D140" s="55"/>
      <x:c r="E140" s="56"/>
      <x:c r="F140" s="23"/>
      <x:c r="G140" s="24"/>
      <x:c r="H140" s="25"/>
      <x:c r="I140" s="25"/>
      <x:c r="J140" s="25"/>
      <x:c r="K140" s="25"/>
      <x:c r="L140" s="25"/>
      <x:c r="M140" s="94"/>
      <x:c r="N140" s="94"/>
      <x:c r="O140" s="26">
        <x:f t="shared" si="7"/>
        <x:v>0</x:v>
      </x:c>
      <x:c r="P140" s="23"/>
      <x:c r="Q140" s="23"/>
    </x:row>
    <x:row r="141" ht="18.75" customHeight="1">
      <x:c r="A141" s="19"/>
      <x:c r="B141" s="29"/>
      <x:c r="C141" s="21"/>
      <x:c r="D141" s="55"/>
      <x:c r="E141" s="56"/>
      <x:c r="F141" s="23"/>
      <x:c r="G141" s="25"/>
      <x:c r="H141" s="25"/>
      <x:c r="I141" s="25"/>
      <x:c r="J141" s="25"/>
      <x:c r="K141" s="25"/>
      <x:c r="L141" s="24"/>
      <x:c r="M141" s="94"/>
      <x:c r="N141" s="94"/>
      <x:c r="O141" s="26">
        <x:f t="shared" si="7"/>
        <x:v>0</x:v>
      </x:c>
      <x:c r="P141" s="23"/>
      <x:c r="Q141" s="23"/>
    </x:row>
    <x:row r="142" ht="18.75" customHeight="1">
      <x:c r="A142" s="19"/>
      <x:c r="B142" s="29"/>
      <x:c r="C142" s="21"/>
      <x:c r="D142" s="55"/>
      <x:c r="E142" s="56"/>
      <x:c r="F142" s="23"/>
      <x:c r="G142" s="25"/>
      <x:c r="H142" s="25"/>
      <x:c r="I142" s="25"/>
      <x:c r="J142" s="25"/>
      <x:c r="K142" s="24"/>
      <x:c r="L142" s="24"/>
      <x:c r="M142" s="94"/>
      <x:c r="N142" s="94"/>
      <x:c r="O142" s="26">
        <x:f t="shared" si="7"/>
        <x:v>0</x:v>
      </x:c>
      <x:c r="P142" s="23"/>
      <x:c r="Q142" s="23"/>
    </x:row>
    <x:row r="143" ht="18.75" customHeight="1">
      <x:c r="A143" s="19"/>
      <x:c r="B143" s="29"/>
      <x:c r="C143" s="21"/>
      <x:c r="D143" s="55"/>
      <x:c r="E143" s="56"/>
      <x:c r="F143" s="23"/>
      <x:c r="G143" s="25"/>
      <x:c r="H143" s="25"/>
      <x:c r="I143" s="25"/>
      <x:c r="J143" s="25"/>
      <x:c r="K143" s="25"/>
      <x:c r="L143" s="24"/>
      <x:c r="M143" s="94"/>
      <x:c r="N143" s="94"/>
      <x:c r="O143" s="26">
        <x:f t="shared" si="7"/>
        <x:v>0</x:v>
      </x:c>
      <x:c r="P143" s="23"/>
      <x:c r="Q143" s="23"/>
    </x:row>
    <x:row r="144" ht="18.75" customHeight="1">
      <x:c r="A144" s="19"/>
      <x:c r="B144" s="29"/>
      <x:c r="C144" s="21"/>
      <x:c r="D144" s="55"/>
      <x:c r="E144" s="56"/>
      <x:c r="F144" s="23"/>
      <x:c r="G144" s="25"/>
      <x:c r="H144" s="25"/>
      <x:c r="I144" s="25"/>
      <x:c r="J144" s="25"/>
      <x:c r="K144" s="25"/>
      <x:c r="L144" s="24"/>
      <x:c r="M144" s="94"/>
      <x:c r="N144" s="94"/>
      <x:c r="O144" s="26">
        <x:f t="shared" si="7"/>
        <x:v>0</x:v>
      </x:c>
      <x:c r="P144" s="23"/>
      <x:c r="Q144" s="23"/>
    </x:row>
    <x:row r="145" ht="18.75" customHeight="1">
      <x:c r="A145" s="19"/>
      <x:c r="B145" s="29"/>
      <x:c r="C145" s="21"/>
      <x:c r="D145" s="55"/>
      <x:c r="E145" s="56"/>
      <x:c r="F145" s="23"/>
      <x:c r="G145" s="25"/>
      <x:c r="H145" s="25"/>
      <x:c r="I145" s="25"/>
      <x:c r="J145" s="25"/>
      <x:c r="K145" s="25"/>
      <x:c r="L145" s="25"/>
      <x:c r="M145" s="94"/>
      <x:c r="N145" s="94"/>
      <x:c r="O145" s="26">
        <x:f t="shared" si="7"/>
        <x:v>0</x:v>
      </x:c>
      <x:c r="P145" s="23"/>
      <x:c r="Q145" s="23"/>
    </x:row>
    <x:row r="146" ht="18.75" customHeight="1">
      <x:c r="A146" s="19"/>
      <x:c r="B146" s="29"/>
      <x:c r="C146" s="21"/>
      <x:c r="D146" s="55"/>
      <x:c r="E146" s="56"/>
      <x:c r="F146" s="23"/>
      <x:c r="G146" s="25"/>
      <x:c r="H146" s="25"/>
      <x:c r="I146" s="25"/>
      <x:c r="J146" s="25"/>
      <x:c r="K146" s="25"/>
      <x:c r="L146" s="24"/>
      <x:c r="M146" s="94"/>
      <x:c r="N146" s="94"/>
      <x:c r="O146" s="26">
        <x:f t="shared" si="7"/>
        <x:v>0</x:v>
      </x:c>
      <x:c r="P146" s="23"/>
      <x:c r="Q146" s="23"/>
    </x:row>
    <x:row r="147" ht="18.75" customHeight="1">
      <x:c r="A147" s="19"/>
      <x:c r="B147" s="29"/>
      <x:c r="C147" s="21"/>
      <x:c r="D147" s="55"/>
      <x:c r="E147" s="56"/>
      <x:c r="F147" s="23"/>
      <x:c r="G147" s="25"/>
      <x:c r="H147" s="25"/>
      <x:c r="I147" s="25"/>
      <x:c r="J147" s="25"/>
      <x:c r="K147" s="25"/>
      <x:c r="L147" s="24"/>
      <x:c r="M147" s="94"/>
      <x:c r="N147" s="94"/>
      <x:c r="O147" s="26">
        <x:f t="shared" si="7"/>
        <x:v>0</x:v>
      </x:c>
      <x:c r="P147" s="23"/>
      <x:c r="Q147" s="23"/>
    </x:row>
    <x:row r="148" ht="18.75" customHeight="1">
      <x:c r="A148" s="19"/>
      <x:c r="B148" s="29"/>
      <x:c r="C148" s="21"/>
      <x:c r="D148" s="55"/>
      <x:c r="E148" s="56"/>
      <x:c r="F148" s="23"/>
      <x:c r="G148" s="25"/>
      <x:c r="H148" s="24"/>
      <x:c r="I148" s="24"/>
      <x:c r="J148" s="24"/>
      <x:c r="K148" s="25"/>
      <x:c r="L148" s="24"/>
      <x:c r="M148" s="94"/>
      <x:c r="N148" s="94"/>
      <x:c r="O148" s="26">
        <x:f t="shared" si="7"/>
        <x:v>0</x:v>
      </x:c>
      <x:c r="P148" s="23"/>
      <x:c r="Q148" s="23"/>
    </x:row>
    <x:row r="149" ht="18.75" customHeight="1">
      <x:c r="A149" s="19"/>
      <x:c r="B149" s="29"/>
      <x:c r="C149" s="21"/>
      <x:c r="D149" s="55"/>
      <x:c r="E149" s="56"/>
      <x:c r="F149" s="23"/>
      <x:c r="G149" s="25"/>
      <x:c r="H149" s="25"/>
      <x:c r="I149" s="25"/>
      <x:c r="J149" s="25"/>
      <x:c r="K149" s="24"/>
      <x:c r="L149" s="25"/>
      <x:c r="M149" s="94"/>
      <x:c r="N149" s="94"/>
      <x:c r="O149" s="26">
        <x:f t="shared" si="7"/>
        <x:v>0</x:v>
      </x:c>
      <x:c r="P149" s="23"/>
      <x:c r="Q149" s="23"/>
    </x:row>
    <x:row r="150" ht="18.75" customHeight="1">
      <x:c r="A150" s="19"/>
      <x:c r="B150" s="29"/>
      <x:c r="C150" s="21"/>
      <x:c r="D150" s="55"/>
      <x:c r="E150" s="56"/>
      <x:c r="F150" s="23"/>
      <x:c r="G150" s="25"/>
      <x:c r="H150" s="25"/>
      <x:c r="I150" s="25"/>
      <x:c r="J150" s="25"/>
      <x:c r="K150" s="25"/>
      <x:c r="L150" s="24"/>
      <x:c r="M150" s="94"/>
      <x:c r="N150" s="94"/>
      <x:c r="O150" s="26">
        <x:f t="shared" si="7"/>
        <x:v>0</x:v>
      </x:c>
      <x:c r="P150" s="23"/>
      <x:c r="Q150" s="23"/>
    </x:row>
    <x:row r="151" ht="18.75" customHeight="1">
      <x:c r="A151" s="19"/>
      <x:c r="B151" s="29"/>
      <x:c r="C151" s="21"/>
      <x:c r="D151" s="55"/>
      <x:c r="E151" s="56"/>
      <x:c r="F151" s="23"/>
      <x:c r="G151" s="25"/>
      <x:c r="H151" s="25"/>
      <x:c r="I151" s="25"/>
      <x:c r="J151" s="25"/>
      <x:c r="K151" s="24"/>
      <x:c r="L151" s="25"/>
      <x:c r="M151" s="94"/>
      <x:c r="N151" s="94"/>
      <x:c r="O151" s="26">
        <x:f t="shared" si="7"/>
        <x:v>0</x:v>
      </x:c>
      <x:c r="P151" s="23"/>
      <x:c r="Q151" s="23"/>
    </x:row>
    <x:row r="152" ht="18.75" customHeight="1">
      <x:c r="A152" s="19"/>
      <x:c r="B152" s="29"/>
      <x:c r="C152" s="21"/>
      <x:c r="D152" s="55"/>
      <x:c r="E152" s="56"/>
      <x:c r="F152" s="23"/>
      <x:c r="G152" s="25"/>
      <x:c r="H152" s="25"/>
      <x:c r="I152" s="25"/>
      <x:c r="J152" s="25"/>
      <x:c r="K152" s="24"/>
      <x:c r="L152" s="25"/>
      <x:c r="M152" s="94"/>
      <x:c r="N152" s="94"/>
      <x:c r="O152" s="26">
        <x:f t="shared" si="7"/>
        <x:v>0</x:v>
      </x:c>
      <x:c r="P152" s="23"/>
      <x:c r="Q152" s="23"/>
    </x:row>
    <x:row r="153" ht="18.75" customHeight="1">
      <x:c r="A153" s="19"/>
      <x:c r="B153" s="29"/>
      <x:c r="C153" s="21"/>
      <x:c r="D153" s="55"/>
      <x:c r="E153" s="56"/>
      <x:c r="F153" s="23"/>
      <x:c r="G153" s="25"/>
      <x:c r="H153" s="25"/>
      <x:c r="I153" s="25"/>
      <x:c r="J153" s="25"/>
      <x:c r="K153" s="24"/>
      <x:c r="L153" s="24"/>
      <x:c r="M153" s="94"/>
      <x:c r="N153" s="94"/>
      <x:c r="O153" s="26">
        <x:f t="shared" si="7"/>
        <x:v>0</x:v>
      </x:c>
      <x:c r="P153" s="23"/>
      <x:c r="Q153" s="23"/>
    </x:row>
    <x:row r="154" ht="18.75" customHeight="1">
      <x:c r="A154" s="19"/>
      <x:c r="B154" s="29"/>
      <x:c r="C154" s="21"/>
      <x:c r="D154" s="55"/>
      <x:c r="E154" s="56"/>
      <x:c r="F154" s="23"/>
      <x:c r="G154" s="25"/>
      <x:c r="H154" s="25"/>
      <x:c r="I154" s="25"/>
      <x:c r="J154" s="25"/>
      <x:c r="K154" s="25"/>
      <x:c r="L154" s="25"/>
      <x:c r="M154" s="94"/>
      <x:c r="N154" s="94"/>
      <x:c r="O154" s="26">
        <x:f t="shared" si="7"/>
        <x:v>0</x:v>
      </x:c>
      <x:c r="P154" s="23"/>
      <x:c r="Q154" s="23"/>
    </x:row>
    <x:row r="155" ht="18.75" customHeight="1">
      <x:c r="A155" s="19"/>
      <x:c r="B155" s="29"/>
      <x:c r="C155" s="21"/>
      <x:c r="D155" s="55"/>
      <x:c r="E155" s="56"/>
      <x:c r="F155" s="23"/>
      <x:c r="G155" s="25"/>
      <x:c r="H155" s="25"/>
      <x:c r="I155" s="25"/>
      <x:c r="J155" s="25"/>
      <x:c r="K155" s="24"/>
      <x:c r="L155" s="25"/>
      <x:c r="M155" s="94"/>
      <x:c r="N155" s="94"/>
      <x:c r="O155" s="26">
        <x:f t="shared" si="7"/>
        <x:v>0</x:v>
      </x:c>
      <x:c r="P155" s="23"/>
      <x:c r="Q155" s="23"/>
    </x:row>
    <x:row r="156" ht="18.75" customHeight="1">
      <x:c r="A156" s="19"/>
      <x:c r="B156" s="29"/>
      <x:c r="C156" s="21"/>
      <x:c r="D156" s="55"/>
      <x:c r="E156" s="56"/>
      <x:c r="F156" s="23"/>
      <x:c r="G156" s="25"/>
      <x:c r="H156" s="25"/>
      <x:c r="I156" s="25"/>
      <x:c r="J156" s="25"/>
      <x:c r="K156" s="25"/>
      <x:c r="L156" s="25"/>
      <x:c r="M156" s="94"/>
      <x:c r="N156" s="94"/>
      <x:c r="O156" s="26">
        <x:f t="shared" si="7"/>
        <x:v>0</x:v>
      </x:c>
      <x:c r="P156" s="23"/>
      <x:c r="Q156" s="23"/>
    </x:row>
    <x:row r="157" ht="18.75" customHeight="1">
      <x:c r="A157" s="19"/>
      <x:c r="B157" s="29"/>
      <x:c r="C157" s="21"/>
      <x:c r="D157" s="55"/>
      <x:c r="E157" s="56"/>
      <x:c r="F157" s="23"/>
      <x:c r="G157" s="25"/>
      <x:c r="H157" s="25"/>
      <x:c r="I157" s="25"/>
      <x:c r="J157" s="25"/>
      <x:c r="K157" s="25"/>
      <x:c r="L157" s="25"/>
      <x:c r="M157" s="94"/>
      <x:c r="N157" s="94"/>
      <x:c r="O157" s="26">
        <x:f t="shared" si="7"/>
        <x:v>0</x:v>
      </x:c>
      <x:c r="P157" s="23"/>
      <x:c r="Q157" s="23"/>
    </x:row>
    <x:row r="158" ht="18.75" customHeight="1">
      <x:c r="A158" s="19"/>
      <x:c r="B158" s="29"/>
      <x:c r="C158" s="21"/>
      <x:c r="D158" s="55"/>
      <x:c r="E158" s="56"/>
      <x:c r="F158" s="23"/>
      <x:c r="G158" s="25"/>
      <x:c r="H158" s="25"/>
      <x:c r="I158" s="25"/>
      <x:c r="J158" s="25"/>
      <x:c r="K158" s="24"/>
      <x:c r="L158" s="25"/>
      <x:c r="M158" s="94"/>
      <x:c r="N158" s="94"/>
      <x:c r="O158" s="26">
        <x:f t="shared" si="7"/>
        <x:v>0</x:v>
      </x:c>
      <x:c r="P158" s="23"/>
      <x:c r="Q158" s="23"/>
    </x:row>
    <x:row r="159" ht="18.75" customHeight="1">
      <x:c r="A159" s="19"/>
      <x:c r="B159" s="29"/>
      <x:c r="C159" s="21"/>
      <x:c r="D159" s="55"/>
      <x:c r="E159" s="56"/>
      <x:c r="F159" s="23"/>
      <x:c r="G159" s="25"/>
      <x:c r="H159" s="24"/>
      <x:c r="I159" s="24"/>
      <x:c r="J159" s="24"/>
      <x:c r="K159" s="25"/>
      <x:c r="L159" s="25"/>
      <x:c r="M159" s="94"/>
      <x:c r="N159" s="94"/>
      <x:c r="O159" s="26">
        <x:f t="shared" si="7"/>
        <x:v>0</x:v>
      </x:c>
      <x:c r="P159" s="23"/>
      <x:c r="Q159" s="23"/>
    </x:row>
    <x:row r="160" ht="18.75" customHeight="1">
      <x:c r="A160" s="19"/>
      <x:c r="B160" s="29"/>
      <x:c r="C160" s="21"/>
      <x:c r="D160" s="55"/>
      <x:c r="E160" s="56"/>
      <x:c r="F160" s="23"/>
      <x:c r="G160" s="25"/>
      <x:c r="H160" s="25"/>
      <x:c r="I160" s="25"/>
      <x:c r="J160" s="25"/>
      <x:c r="K160" s="25"/>
      <x:c r="L160" s="24"/>
      <x:c r="M160" s="94"/>
      <x:c r="N160" s="94"/>
      <x:c r="O160" s="26">
        <x:f t="shared" si="7"/>
        <x:v>0</x:v>
      </x:c>
      <x:c r="P160" s="23"/>
      <x:c r="Q160" s="23"/>
    </x:row>
    <x:row r="161" ht="18.75" customHeight="1">
      <x:c r="A161" s="19"/>
      <x:c r="B161" s="29"/>
      <x:c r="C161" s="21"/>
      <x:c r="D161" s="55"/>
      <x:c r="E161" s="56"/>
      <x:c r="F161" s="23"/>
      <x:c r="G161" s="25"/>
      <x:c r="H161" s="25"/>
      <x:c r="I161" s="25"/>
      <x:c r="J161" s="25"/>
      <x:c r="K161" s="25"/>
      <x:c r="L161" s="24"/>
      <x:c r="M161" s="94"/>
      <x:c r="N161" s="94"/>
      <x:c r="O161" s="26">
        <x:f t="shared" si="7"/>
        <x:v>0</x:v>
      </x:c>
      <x:c r="P161" s="23"/>
      <x:c r="Q161" s="23"/>
    </x:row>
    <x:row r="162" ht="18.75" customHeight="1">
      <x:c r="A162" s="19"/>
      <x:c r="B162" s="29"/>
      <x:c r="C162" s="21"/>
      <x:c r="D162" s="55"/>
      <x:c r="E162" s="56"/>
      <x:c r="F162" s="23"/>
      <x:c r="G162" s="25"/>
      <x:c r="H162" s="25"/>
      <x:c r="I162" s="25"/>
      <x:c r="J162" s="25"/>
      <x:c r="K162" s="25"/>
      <x:c r="M162" s="91"/>
      <x:c r="N162" s="94"/>
      <x:c r="O162" s="26">
        <x:f t="shared" si="7"/>
        <x:v>0</x:v>
      </x:c>
      <x:c r="P162" s="23"/>
      <x:c r="Q162" s="23"/>
    </x:row>
    <x:row r="163" ht="18.75" customHeight="1">
      <x:c r="A163" s="19"/>
      <x:c r="B163" s="29"/>
      <x:c r="C163" s="21"/>
      <x:c r="D163" s="55"/>
      <x:c r="E163" s="56"/>
      <x:c r="F163" s="23"/>
      <x:c r="G163" s="25"/>
      <x:c r="H163" s="25"/>
      <x:c r="I163" s="25"/>
      <x:c r="J163" s="25"/>
      <x:c r="K163" s="24"/>
      <x:c r="L163" s="25"/>
      <x:c r="M163" s="94"/>
      <x:c r="N163" s="94"/>
      <x:c r="O163" s="26">
        <x:f t="shared" si="7"/>
        <x:v>0</x:v>
      </x:c>
      <x:c r="P163" s="23"/>
      <x:c r="Q163" s="23"/>
    </x:row>
    <x:row r="164" ht="18.75" customHeight="1">
      <x:c r="A164" s="19"/>
      <x:c r="B164" s="29"/>
      <x:c r="C164" s="21"/>
      <x:c r="D164" s="55"/>
      <x:c r="E164" s="56"/>
      <x:c r="F164" s="23"/>
      <x:c r="G164" s="25"/>
      <x:c r="H164" s="25"/>
      <x:c r="I164" s="25"/>
      <x:c r="J164" s="25"/>
      <x:c r="K164" s="25"/>
      <x:c r="L164" s="24"/>
      <x:c r="M164" s="94"/>
      <x:c r="N164" s="94"/>
      <x:c r="O164" s="26">
        <x:f t="shared" si="7"/>
        <x:v>0</x:v>
      </x:c>
      <x:c r="P164" s="23"/>
      <x:c r="Q164" s="23"/>
    </x:row>
    <x:row r="165" ht="18.75" customHeight="1">
      <x:c r="A165" s="19"/>
      <x:c r="B165" s="29"/>
      <x:c r="C165" s="21"/>
      <x:c r="D165" s="55"/>
      <x:c r="E165" s="56"/>
      <x:c r="F165" s="23"/>
      <x:c r="G165" s="25"/>
      <x:c r="H165" s="25"/>
      <x:c r="I165" s="25"/>
      <x:c r="J165" s="25"/>
      <x:c r="K165" s="25"/>
      <x:c r="L165" s="24"/>
      <x:c r="M165" s="94"/>
      <x:c r="N165" s="94"/>
      <x:c r="O165" s="26">
        <x:f t="shared" si="7"/>
        <x:v>0</x:v>
      </x:c>
      <x:c r="P165" s="23"/>
      <x:c r="Q165" s="23"/>
    </x:row>
    <x:row r="166" ht="18.75" customHeight="1">
      <x:c r="A166" s="19"/>
      <x:c r="B166" s="29"/>
      <x:c r="C166" s="21"/>
      <x:c r="D166" s="55"/>
      <x:c r="E166" s="56"/>
      <x:c r="F166" s="23"/>
      <x:c r="G166" s="25"/>
      <x:c r="H166" s="25"/>
      <x:c r="I166" s="25"/>
      <x:c r="J166" s="25"/>
      <x:c r="K166" s="25"/>
      <x:c r="L166" s="25"/>
      <x:c r="M166" s="94"/>
      <x:c r="N166" s="94"/>
      <x:c r="O166" s="26">
        <x:f t="shared" si="7"/>
        <x:v>0</x:v>
      </x:c>
      <x:c r="P166" s="23"/>
      <x:c r="Q166" s="23"/>
    </x:row>
    <x:row r="167" ht="18.75" customHeight="1">
      <x:c r="A167" s="19"/>
      <x:c r="B167" s="29"/>
      <x:c r="C167" s="21"/>
      <x:c r="D167" s="55"/>
      <x:c r="E167" s="56"/>
      <x:c r="F167" s="23"/>
      <x:c r="G167" s="25"/>
      <x:c r="H167" s="25"/>
      <x:c r="I167" s="25"/>
      <x:c r="J167" s="25"/>
      <x:c r="K167" s="25"/>
      <x:c r="L167" s="24"/>
      <x:c r="M167" s="94"/>
      <x:c r="N167" s="94"/>
      <x:c r="O167" s="26">
        <x:f t="shared" si="7"/>
        <x:v>0</x:v>
      </x:c>
      <x:c r="P167" s="23"/>
      <x:c r="Q167" s="23"/>
    </x:row>
    <x:row r="168" ht="18.75" customHeight="1">
      <x:c r="A168" s="19"/>
      <x:c r="B168" s="29"/>
      <x:c r="C168" s="21"/>
      <x:c r="D168" s="55"/>
      <x:c r="E168" s="56"/>
      <x:c r="F168" s="23"/>
      <x:c r="G168" s="25"/>
      <x:c r="H168" s="25"/>
      <x:c r="I168" s="25"/>
      <x:c r="J168" s="25"/>
      <x:c r="K168" s="25"/>
      <x:c r="L168" s="24"/>
      <x:c r="M168" s="94"/>
      <x:c r="N168" s="94"/>
      <x:c r="O168" s="26">
        <x:f t="shared" si="7"/>
        <x:v>0</x:v>
      </x:c>
      <x:c r="P168" s="23"/>
      <x:c r="Q168" s="23"/>
    </x:row>
    <x:row r="169" ht="18.75" customHeight="1">
      <x:c r="A169" s="19"/>
      <x:c r="B169" s="29"/>
      <x:c r="C169" s="21"/>
      <x:c r="D169" s="55"/>
      <x:c r="E169" s="56"/>
      <x:c r="F169" s="23"/>
      <x:c r="G169" s="25"/>
      <x:c r="H169" s="25"/>
      <x:c r="I169" s="25"/>
      <x:c r="J169" s="25"/>
      <x:c r="K169" s="24"/>
      <x:c r="L169" s="25"/>
      <x:c r="M169" s="94"/>
      <x:c r="N169" s="94"/>
      <x:c r="O169" s="26">
        <x:f t="shared" si="7"/>
        <x:v>0</x:v>
      </x:c>
      <x:c r="P169" s="23"/>
      <x:c r="Q169" s="23"/>
    </x:row>
    <x:row r="170" ht="18.75" customHeight="1">
      <x:c r="A170" s="19"/>
      <x:c r="B170" s="29"/>
      <x:c r="C170" s="21"/>
      <x:c r="D170" s="55"/>
      <x:c r="E170" s="56"/>
      <x:c r="F170" s="23"/>
      <x:c r="G170" s="25"/>
      <x:c r="H170" s="24"/>
      <x:c r="I170" s="24"/>
      <x:c r="J170" s="24"/>
      <x:c r="K170" s="25"/>
      <x:c r="L170" s="24"/>
      <x:c r="M170" s="94"/>
      <x:c r="N170" s="94"/>
      <x:c r="O170" s="26">
        <x:f t="shared" si="7"/>
        <x:v>0</x:v>
      </x:c>
      <x:c r="P170" s="23"/>
      <x:c r="Q170" s="23"/>
    </x:row>
    <x:row r="171">
      <x:c r="A171" s="75"/>
      <x:c r="B171" s="76" t="s">
        <x:v>27</x:v>
      </x:c>
      <x:c r="C171" s="77"/>
      <x:c r="D171" s="78"/>
      <x:c r="E171" s="77" t="n">
        <x:f>SUM(E4:E142)</x:f>
        <x:v>10</x:v>
      </x:c>
      <x:c r="F171" s="77" t="n">
        <x:f t="shared" ref="F171:O171" si="8">SUM(F4:F170)</x:f>
        <x:v>32</x:v>
      </x:c>
      <x:c r="G171" s="79">
        <x:f t="shared" si="8"/>
        <x:v>20</x:v>
      </x:c>
      <x:c r="H171" s="79">
        <x:f t="shared" si="8"/>
        <x:v>10</x:v>
      </x:c>
      <x:c r="I171" s="79">
        <x:f t="shared" si="8"/>
        <x:v>8</x:v>
      </x:c>
      <x:c r="J171" s="79">
        <x:f t="shared" si="8"/>
        <x:v>1</x:v>
      </x:c>
      <x:c r="K171" s="79">
        <x:f t="shared" si="8"/>
        <x:v>7</x:v>
      </x:c>
      <x:c r="L171" s="79">
        <x:f t="shared" si="8"/>
        <x:v>11</x:v>
      </x:c>
      <x:c r="M171" s="77">
        <x:f t="shared" si="8"/>
        <x:v>5</x:v>
      </x:c>
      <x:c r="N171" s="77">
        <x:f t="shared" si="8"/>
        <x:v>5</x:v>
      </x:c>
      <x:c r="O171" s="80">
        <x:f t="shared" si="8"/>
        <x:v>35706500</x:v>
      </x:c>
      <x:c r="P171" s="77"/>
      <x:c r="Q171" s="77"/>
    </x:row>
    <x:row r="172">
      <x:c r="A172" s="75"/>
      <x:c r="B172" s="76" t="s">
        <x:v>51</x:v>
      </x:c>
      <x:c r="C172" s="81"/>
      <x:c r="D172" s="82">
        <x:v>300000.0</x:v>
      </x:c>
      <x:c r="E172" s="83" t="n">
        <x:f>E171*Inventory_batches!I114</x:f>
        <x:v>1636473.4789999998</x:v>
      </x:c>
      <x:c r="F172" s="83" t="n">
        <x:f>F171*Inventory_batches!I113</x:f>
        <x:v>5236715.1328</x:v>
      </x:c>
      <x:c r="G172" s="84" t="n">
        <x:f>G171*Inventory_batches!I116</x:f>
        <x:v>4796175.304</x:v>
      </x:c>
      <x:c r="H172" s="84" t="n">
        <x:f>H171*Inventory_batches!I115</x:f>
        <x:v>2144216.261</x:v>
      </x:c>
      <x:c r="I172" s="84" t="n">
        <x:f>I171*Inventory_batches!I104</x:f>
        <x:v>1513798.8679245282</x:v>
      </x:c>
      <x:c r="J172" s="84" t="n">
        <x:f>J171*Inventory_batches!I108</x:f>
        <x:v>391684.858490566</x:v>
      </x:c>
      <x:c r="K172" s="84" t="n">
        <x:f>K171*Inventory_batches!I118</x:f>
        <x:v>967821.4615999999</x:v>
      </x:c>
      <x:c r="L172" s="84" t="n">
        <x:f>L171*Inventory_batches!I112</x:f>
        <x:v>1520862.2969363343</x:v>
      </x:c>
      <x:c r="M172" s="84" t="n">
        <x:f>M171*Inventory_batches!I107</x:f>
        <x:v>1072661.7924528301</x:v>
      </x:c>
      <x:c r="N172" s="83" t="n">
        <x:f>N171*Inventory_batches!I70</x:f>
        <x:v>961790.4109589041</x:v>
      </x:c>
      <x:c r="O172" s="83" t="n">
        <x:f>SUM(E172:N172)+D172</x:f>
        <x:v>20542199.865163162</x:v>
      </x:c>
      <x:c r="P172" s="85" t="n">
        <x:f>O172-S5</x:f>
        <x:v>18462199.865163162</x:v>
      </x:c>
      <x:c r="Q172" s="86"/>
      <x:c r="R172" s="32"/>
    </x:row>
    <x:row r="173">
      <x:c r="A173" s="87"/>
      <x:c r="B173" s="88"/>
      <x:c r="D173" s="32"/>
      <x:c r="G173" s="74"/>
      <x:c r="H173" s="74"/>
      <x:c r="I173" s="74"/>
      <x:c r="J173" s="74"/>
      <x:c r="K173" s="74"/>
      <x:c r="L173" s="74"/>
      <x:c r="M173" s="89"/>
      <x:c r="N173" s="89"/>
      <x:c r="O173" s="90" t="n">
        <x:f>O171-O172</x:f>
        <x:v>15164300.134836838</x:v>
      </x:c>
      <x:c r="P173" s="85" t="n">
        <x:f>O173/2</x:f>
        <x:v>7582150.067418419</x:v>
      </x:c>
      <x:c r="Q173" s="86"/>
      <x:c r="R173" s="32"/>
    </x:row>
    <x:row r="174">
      <x:c r="A174" s="87"/>
      <x:c r="B174" s="88"/>
      <x:c r="D174" s="32"/>
      <x:c r="G174" s="74"/>
      <x:c r="H174" s="74"/>
      <x:c r="I174" s="74"/>
      <x:c r="J174" s="74"/>
      <x:c r="K174" s="74"/>
      <x:c r="L174" s="74"/>
      <x:c r="M174" s="91"/>
      <x:c r="N174" s="91"/>
      <x:c r="O174" s="85"/>
      <x:c r="P174" s="85" t="n">
        <x:f>P172+P173</x:f>
        <x:v>26044349.93258158</x:v>
      </x:c>
      <x:c r="Q174" s="86"/>
      <x:c r="R174" s="32"/>
    </x:row>
    <x:row r="175">
      <x:c r="A175" s="87"/>
      <x:c r="B175" s="88"/>
      <x:c r="D175" s="32"/>
      <x:c r="G175" s="74"/>
      <x:c r="H175" s="74"/>
      <x:c r="I175" s="74"/>
      <x:c r="J175" s="74"/>
      <x:c r="K175" s="74"/>
      <x:c r="L175" s="74"/>
      <x:c r="M175" s="91"/>
      <x:c r="N175" s="91"/>
      <x:c r="O175" s="85"/>
      <x:c r="Q175" s="86"/>
      <x:c r="R175" s="32"/>
    </x:row>
    <x:row r="176">
      <x:c r="A176" s="87"/>
      <x:c r="B176" s="88"/>
      <x:c r="D176" s="32"/>
      <x:c r="G176" s="74"/>
      <x:c r="H176" s="74"/>
      <x:c r="I176" s="74"/>
      <x:c r="J176" s="74"/>
      <x:c r="K176" s="74"/>
      <x:c r="L176" s="74"/>
      <x:c r="M176" s="91"/>
      <x:c r="N176" s="91"/>
      <x:c r="O176" s="85"/>
      <x:c r="Q176" s="86"/>
      <x:c r="R176" s="32"/>
    </x:row>
    <x:row r="177">
      <x:c r="A177" s="87"/>
      <x:c r="B177" s="88"/>
      <x:c r="D177" s="32"/>
      <x:c r="G177" s="74"/>
      <x:c r="H177" s="74"/>
      <x:c r="I177" s="74"/>
      <x:c r="J177" s="74"/>
      <x:c r="K177" s="74"/>
      <x:c r="L177" s="74"/>
      <x:c r="M177" s="91"/>
      <x:c r="N177" s="91"/>
      <x:c r="O177" s="85"/>
      <x:c r="Q177" s="86"/>
      <x:c r="R177" s="32"/>
    </x:row>
    <x:row r="178">
      <x:c r="A178" s="87"/>
      <x:c r="B178" s="88"/>
      <x:c r="D178" s="32"/>
      <x:c r="G178" s="74"/>
      <x:c r="H178" s="74"/>
      <x:c r="I178" s="74"/>
      <x:c r="J178" s="74"/>
      <x:c r="K178" s="74"/>
      <x:c r="L178" s="74"/>
      <x:c r="M178" s="91"/>
      <x:c r="N178" s="91"/>
      <x:c r="O178" s="85"/>
      <x:c r="Q178" s="86"/>
      <x:c r="R178" s="32"/>
    </x:row>
    <x:row r="179">
      <x:c r="A179" s="87"/>
      <x:c r="B179" s="88"/>
      <x:c r="D179" s="32"/>
      <x:c r="G179" s="74"/>
      <x:c r="H179" s="74"/>
      <x:c r="I179" s="74"/>
      <x:c r="J179" s="74"/>
      <x:c r="K179" s="74"/>
      <x:c r="L179" s="74"/>
      <x:c r="M179" s="91"/>
      <x:c r="N179" s="91"/>
      <x:c r="O179" s="85"/>
      <x:c r="Q179" s="86"/>
      <x:c r="R179" s="32"/>
    </x:row>
    <x:row r="180">
      <x:c r="A180" s="87"/>
      <x:c r="B180" s="88"/>
      <x:c r="D180" s="32"/>
      <x:c r="G180" s="74"/>
      <x:c r="H180" s="74"/>
      <x:c r="I180" s="74"/>
      <x:c r="J180" s="74"/>
      <x:c r="K180" s="74"/>
      <x:c r="L180" s="74"/>
      <x:c r="M180" s="91"/>
      <x:c r="N180" s="91"/>
      <x:c r="O180" s="85"/>
      <x:c r="Q180" s="86"/>
      <x:c r="R180" s="32"/>
    </x:row>
    <x:row r="181">
      <x:c r="A181" s="87"/>
      <x:c r="B181" s="88"/>
      <x:c r="D181" s="32"/>
      <x:c r="G181" s="74"/>
      <x:c r="H181" s="74"/>
      <x:c r="I181" s="74"/>
      <x:c r="J181" s="74"/>
      <x:c r="K181" s="74"/>
      <x:c r="L181" s="74"/>
      <x:c r="M181" s="91"/>
      <x:c r="N181" s="91"/>
      <x:c r="O181" s="85"/>
      <x:c r="Q181" s="86"/>
      <x:c r="R181" s="32"/>
    </x:row>
    <x:row r="182">
      <x:c r="A182" s="87"/>
      <x:c r="B182" s="88"/>
      <x:c r="D182" s="32"/>
      <x:c r="G182" s="74"/>
      <x:c r="H182" s="74"/>
      <x:c r="I182" s="74"/>
      <x:c r="J182" s="74"/>
      <x:c r="K182" s="74"/>
      <x:c r="L182" s="74"/>
      <x:c r="M182" s="91"/>
      <x:c r="N182" s="91"/>
      <x:c r="O182" s="85"/>
      <x:c r="Q182" s="86"/>
      <x:c r="R182" s="32"/>
    </x:row>
    <x:row r="183">
      <x:c r="A183" s="87"/>
      <x:c r="B183" s="88"/>
      <x:c r="D183" s="32"/>
      <x:c r="G183" s="74"/>
      <x:c r="H183" s="74"/>
      <x:c r="I183" s="74"/>
      <x:c r="J183" s="74"/>
      <x:c r="K183" s="74"/>
      <x:c r="L183" s="74"/>
      <x:c r="M183" s="91"/>
      <x:c r="N183" s="91"/>
      <x:c r="O183" s="85"/>
      <x:c r="Q183" s="86"/>
      <x:c r="R183" s="32"/>
    </x:row>
    <x:row r="184">
      <x:c r="A184" s="87"/>
      <x:c r="B184" s="88"/>
      <x:c r="D184" s="32"/>
      <x:c r="G184" s="74"/>
      <x:c r="H184" s="74"/>
      <x:c r="I184" s="74"/>
      <x:c r="J184" s="74"/>
      <x:c r="K184" s="74"/>
      <x:c r="L184" s="74"/>
      <x:c r="M184" s="91"/>
      <x:c r="N184" s="91"/>
      <x:c r="O184" s="85"/>
      <x:c r="Q184" s="86"/>
      <x:c r="R184" s="32"/>
    </x:row>
    <x:row r="185">
      <x:c r="A185" s="87"/>
      <x:c r="B185" s="88"/>
      <x:c r="D185" s="32"/>
      <x:c r="G185" s="74"/>
      <x:c r="H185" s="74"/>
      <x:c r="I185" s="74"/>
      <x:c r="J185" s="74"/>
      <x:c r="K185" s="74"/>
      <x:c r="L185" s="74"/>
      <x:c r="M185" s="91"/>
      <x:c r="N185" s="91"/>
      <x:c r="O185" s="85"/>
      <x:c r="Q185" s="86"/>
      <x:c r="R185" s="32"/>
    </x:row>
    <x:row r="186">
      <x:c r="A186" s="87"/>
      <x:c r="B186" s="88"/>
      <x:c r="D186" s="32"/>
      <x:c r="G186" s="74"/>
      <x:c r="H186" s="74"/>
      <x:c r="I186" s="74"/>
      <x:c r="J186" s="74"/>
      <x:c r="K186" s="74"/>
      <x:c r="L186" s="74"/>
      <x:c r="M186" s="91"/>
      <x:c r="N186" s="91"/>
      <x:c r="O186" s="85"/>
      <x:c r="Q186" s="86"/>
      <x:c r="R186" s="32"/>
    </x:row>
    <x:row r="187">
      <x:c r="A187" s="87"/>
      <x:c r="B187" s="88"/>
      <x:c r="D187" s="32"/>
      <x:c r="G187" s="74"/>
      <x:c r="H187" s="74"/>
      <x:c r="I187" s="74"/>
      <x:c r="J187" s="74"/>
      <x:c r="K187" s="74"/>
      <x:c r="L187" s="74"/>
      <x:c r="M187" s="91"/>
      <x:c r="N187" s="91"/>
      <x:c r="O187" s="85"/>
      <x:c r="Q187" s="86"/>
      <x:c r="R187" s="32"/>
    </x:row>
    <x:row r="188">
      <x:c r="A188" s="87"/>
      <x:c r="B188" s="88"/>
      <x:c r="D188" s="32"/>
      <x:c r="G188" s="74"/>
      <x:c r="H188" s="74"/>
      <x:c r="I188" s="74"/>
      <x:c r="J188" s="74"/>
      <x:c r="K188" s="74"/>
      <x:c r="L188" s="74"/>
      <x:c r="M188" s="91"/>
      <x:c r="N188" s="91"/>
      <x:c r="O188" s="85"/>
      <x:c r="Q188" s="86"/>
      <x:c r="R188" s="32"/>
    </x:row>
    <x:row r="189">
      <x:c r="A189" s="87"/>
      <x:c r="B189" s="88"/>
      <x:c r="D189" s="32"/>
      <x:c r="G189" s="74"/>
      <x:c r="H189" s="74"/>
      <x:c r="I189" s="74"/>
      <x:c r="J189" s="74"/>
      <x:c r="K189" s="74"/>
      <x:c r="L189" s="74"/>
      <x:c r="M189" s="91"/>
      <x:c r="N189" s="91"/>
      <x:c r="O189" s="85"/>
      <x:c r="Q189" s="86"/>
      <x:c r="R189" s="32"/>
    </x:row>
    <x:row r="190">
      <x:c r="A190" s="87"/>
      <x:c r="B190" s="88"/>
      <x:c r="D190" s="32"/>
      <x:c r="G190" s="74"/>
      <x:c r="H190" s="74"/>
      <x:c r="I190" s="74"/>
      <x:c r="J190" s="74"/>
      <x:c r="K190" s="74"/>
      <x:c r="L190" s="74"/>
      <x:c r="M190" s="91"/>
      <x:c r="N190" s="91"/>
      <x:c r="O190" s="85"/>
      <x:c r="Q190" s="86"/>
      <x:c r="R190" s="32"/>
    </x:row>
    <x:row r="191">
      <x:c r="A191" s="87"/>
      <x:c r="B191" s="88"/>
      <x:c r="D191" s="32"/>
      <x:c r="G191" s="74"/>
      <x:c r="H191" s="74"/>
      <x:c r="I191" s="74"/>
      <x:c r="J191" s="74"/>
      <x:c r="K191" s="74"/>
      <x:c r="L191" s="74"/>
      <x:c r="M191" s="91"/>
      <x:c r="N191" s="91"/>
      <x:c r="O191" s="85"/>
      <x:c r="Q191" s="86"/>
      <x:c r="R191" s="32"/>
    </x:row>
    <x:row r="192">
      <x:c r="A192" s="87"/>
      <x:c r="B192" s="88"/>
      <x:c r="D192" s="32"/>
      <x:c r="G192" s="74"/>
      <x:c r="H192" s="74"/>
      <x:c r="I192" s="74"/>
      <x:c r="J192" s="74"/>
      <x:c r="K192" s="74"/>
      <x:c r="L192" s="74"/>
      <x:c r="M192" s="91"/>
      <x:c r="N192" s="91"/>
      <x:c r="O192" s="85"/>
      <x:c r="Q192" s="86"/>
      <x:c r="R192" s="32"/>
    </x:row>
    <x:row r="193">
      <x:c r="A193" s="87"/>
      <x:c r="B193" s="88"/>
      <x:c r="D193" s="32"/>
      <x:c r="G193" s="74"/>
      <x:c r="H193" s="74"/>
      <x:c r="I193" s="74"/>
      <x:c r="J193" s="74"/>
      <x:c r="K193" s="74"/>
      <x:c r="L193" s="74"/>
      <x:c r="M193" s="91"/>
      <x:c r="N193" s="91"/>
      <x:c r="O193" s="85"/>
      <x:c r="Q193" s="86"/>
      <x:c r="R193" s="32"/>
    </x:row>
    <x:row r="194">
      <x:c r="A194" s="87"/>
      <x:c r="B194" s="88"/>
      <x:c r="D194" s="32"/>
      <x:c r="G194" s="74"/>
      <x:c r="H194" s="74"/>
      <x:c r="I194" s="74"/>
      <x:c r="J194" s="74"/>
      <x:c r="K194" s="74"/>
      <x:c r="L194" s="74"/>
      <x:c r="M194" s="91"/>
      <x:c r="N194" s="91"/>
      <x:c r="O194" s="85"/>
      <x:c r="Q194" s="86"/>
      <x:c r="R194" s="32"/>
    </x:row>
    <x:row r="195">
      <x:c r="A195" s="87"/>
      <x:c r="B195" s="88"/>
      <x:c r="D195" s="32"/>
      <x:c r="G195" s="74"/>
      <x:c r="H195" s="74"/>
      <x:c r="I195" s="74"/>
      <x:c r="J195" s="74"/>
      <x:c r="K195" s="74"/>
      <x:c r="L195" s="74"/>
      <x:c r="M195" s="91"/>
      <x:c r="N195" s="91"/>
      <x:c r="O195" s="85"/>
      <x:c r="Q195" s="86"/>
      <x:c r="R195" s="32"/>
    </x:row>
    <x:row r="196">
      <x:c r="A196" s="87"/>
      <x:c r="B196" s="88"/>
      <x:c r="D196" s="32"/>
      <x:c r="G196" s="74"/>
      <x:c r="H196" s="74"/>
      <x:c r="I196" s="74"/>
      <x:c r="J196" s="74"/>
      <x:c r="K196" s="74"/>
      <x:c r="L196" s="74"/>
      <x:c r="M196" s="91"/>
      <x:c r="N196" s="91"/>
      <x:c r="O196" s="85"/>
      <x:c r="Q196" s="86"/>
      <x:c r="R196" s="32"/>
    </x:row>
    <x:row r="197">
      <x:c r="A197" s="87"/>
      <x:c r="B197" s="88"/>
      <x:c r="D197" s="32"/>
      <x:c r="G197" s="74"/>
      <x:c r="H197" s="74"/>
      <x:c r="I197" s="74"/>
      <x:c r="J197" s="74"/>
      <x:c r="K197" s="74"/>
      <x:c r="L197" s="74"/>
      <x:c r="M197" s="91"/>
      <x:c r="N197" s="91"/>
      <x:c r="O197" s="85"/>
      <x:c r="Q197" s="86"/>
      <x:c r="R197" s="32"/>
    </x:row>
    <x:row r="198">
      <x:c r="A198" s="87"/>
      <x:c r="B198" s="88"/>
      <x:c r="D198" s="32"/>
      <x:c r="G198" s="74"/>
      <x:c r="H198" s="74"/>
      <x:c r="I198" s="74"/>
      <x:c r="J198" s="74"/>
      <x:c r="K198" s="74"/>
      <x:c r="L198" s="74"/>
      <x:c r="M198" s="91"/>
      <x:c r="N198" s="91"/>
      <x:c r="O198" s="85"/>
      <x:c r="Q198" s="86"/>
      <x:c r="R198" s="32"/>
    </x:row>
    <x:row r="199">
      <x:c r="A199" s="87"/>
      <x:c r="B199" s="88"/>
      <x:c r="D199" s="32"/>
      <x:c r="G199" s="74"/>
      <x:c r="H199" s="74"/>
      <x:c r="I199" s="74"/>
      <x:c r="J199" s="74"/>
      <x:c r="K199" s="74"/>
      <x:c r="L199" s="74"/>
      <x:c r="M199" s="91"/>
      <x:c r="N199" s="91"/>
      <x:c r="O199" s="85"/>
      <x:c r="Q199" s="86"/>
      <x:c r="R199" s="32"/>
    </x:row>
    <x:row r="200">
      <x:c r="A200" s="87"/>
      <x:c r="B200" s="88"/>
      <x:c r="D200" s="32"/>
      <x:c r="G200" s="74"/>
      <x:c r="H200" s="74"/>
      <x:c r="I200" s="74"/>
      <x:c r="J200" s="74"/>
      <x:c r="K200" s="74"/>
      <x:c r="L200" s="74"/>
      <x:c r="M200" s="91"/>
      <x:c r="N200" s="91"/>
      <x:c r="O200" s="85"/>
      <x:c r="Q200" s="86"/>
      <x:c r="R200" s="32"/>
    </x:row>
    <x:row r="201">
      <x:c r="A201" s="87"/>
      <x:c r="B201" s="88"/>
      <x:c r="D201" s="32"/>
      <x:c r="G201" s="74"/>
      <x:c r="H201" s="74"/>
      <x:c r="I201" s="74"/>
      <x:c r="J201" s="74"/>
      <x:c r="K201" s="74"/>
      <x:c r="L201" s="74"/>
      <x:c r="M201" s="91"/>
      <x:c r="N201" s="91"/>
      <x:c r="O201" s="85"/>
      <x:c r="Q201" s="86"/>
      <x:c r="R201" s="32"/>
    </x:row>
    <x:row r="202">
      <x:c r="A202" s="87"/>
      <x:c r="B202" s="88"/>
      <x:c r="D202" s="32"/>
      <x:c r="G202" s="74"/>
      <x:c r="H202" s="74"/>
      <x:c r="I202" s="74"/>
      <x:c r="J202" s="74"/>
      <x:c r="K202" s="74"/>
      <x:c r="L202" s="74"/>
      <x:c r="M202" s="91"/>
      <x:c r="N202" s="91"/>
      <x:c r="O202" s="85"/>
      <x:c r="Q202" s="86"/>
      <x:c r="R202" s="32"/>
    </x:row>
    <x:row r="203">
      <x:c r="A203" s="87"/>
      <x:c r="B203" s="88"/>
      <x:c r="D203" s="32"/>
      <x:c r="G203" s="74"/>
      <x:c r="H203" s="74"/>
      <x:c r="I203" s="74"/>
      <x:c r="J203" s="74"/>
      <x:c r="K203" s="74"/>
      <x:c r="L203" s="74"/>
      <x:c r="M203" s="91"/>
      <x:c r="N203" s="91"/>
      <x:c r="O203" s="85"/>
      <x:c r="Q203" s="86"/>
      <x:c r="R203" s="32"/>
    </x:row>
    <x:row r="204">
      <x:c r="A204" s="87"/>
      <x:c r="B204" s="88"/>
      <x:c r="D204" s="32"/>
      <x:c r="G204" s="74"/>
      <x:c r="H204" s="74"/>
      <x:c r="I204" s="74"/>
      <x:c r="J204" s="74"/>
      <x:c r="K204" s="74"/>
      <x:c r="L204" s="74"/>
      <x:c r="M204" s="91"/>
      <x:c r="N204" s="91"/>
      <x:c r="O204" s="85"/>
      <x:c r="Q204" s="86"/>
      <x:c r="R204" s="32"/>
    </x:row>
    <x:row r="205">
      <x:c r="A205" s="87"/>
      <x:c r="B205" s="88"/>
      <x:c r="D205" s="32"/>
      <x:c r="G205" s="74"/>
      <x:c r="H205" s="74"/>
      <x:c r="I205" s="74"/>
      <x:c r="J205" s="74"/>
      <x:c r="K205" s="74"/>
      <x:c r="L205" s="74"/>
      <x:c r="M205" s="91"/>
      <x:c r="N205" s="91"/>
      <x:c r="O205" s="85"/>
      <x:c r="Q205" s="86"/>
      <x:c r="R205" s="32"/>
    </x:row>
    <x:row r="206">
      <x:c r="A206" s="87"/>
      <x:c r="B206" s="88"/>
      <x:c r="D206" s="32"/>
      <x:c r="G206" s="74"/>
      <x:c r="H206" s="74"/>
      <x:c r="I206" s="74"/>
      <x:c r="J206" s="74"/>
      <x:c r="K206" s="74"/>
      <x:c r="L206" s="74"/>
      <x:c r="M206" s="91"/>
      <x:c r="N206" s="91"/>
      <x:c r="O206" s="85"/>
      <x:c r="Q206" s="86"/>
      <x:c r="R206" s="32"/>
    </x:row>
    <x:row r="207">
      <x:c r="A207" s="87"/>
      <x:c r="B207" s="88"/>
      <x:c r="D207" s="32"/>
      <x:c r="G207" s="74"/>
      <x:c r="H207" s="74"/>
      <x:c r="I207" s="74"/>
      <x:c r="J207" s="74"/>
      <x:c r="K207" s="74"/>
      <x:c r="L207" s="74"/>
      <x:c r="M207" s="91"/>
      <x:c r="N207" s="91"/>
      <x:c r="O207" s="85"/>
      <x:c r="Q207" s="86"/>
      <x:c r="R207" s="32"/>
    </x:row>
    <x:row r="208">
      <x:c r="A208" s="87"/>
      <x:c r="B208" s="88"/>
      <x:c r="D208" s="32"/>
      <x:c r="G208" s="74"/>
      <x:c r="H208" s="74"/>
      <x:c r="I208" s="74"/>
      <x:c r="J208" s="74"/>
      <x:c r="K208" s="74"/>
      <x:c r="L208" s="74"/>
      <x:c r="M208" s="91"/>
      <x:c r="N208" s="91"/>
      <x:c r="O208" s="85"/>
      <x:c r="Q208" s="86"/>
      <x:c r="R208" s="32"/>
    </x:row>
    <x:row r="209">
      <x:c r="A209" s="87"/>
      <x:c r="B209" s="88"/>
      <x:c r="D209" s="32"/>
      <x:c r="G209" s="74"/>
      <x:c r="H209" s="74"/>
      <x:c r="I209" s="74"/>
      <x:c r="J209" s="74"/>
      <x:c r="K209" s="74"/>
      <x:c r="L209" s="74"/>
      <x:c r="M209" s="91"/>
      <x:c r="N209" s="91"/>
      <x:c r="O209" s="85"/>
      <x:c r="Q209" s="86"/>
      <x:c r="R209" s="32"/>
    </x:row>
    <x:row r="210">
      <x:c r="A210" s="87"/>
      <x:c r="B210" s="88"/>
      <x:c r="D210" s="32"/>
      <x:c r="G210" s="74"/>
      <x:c r="H210" s="74"/>
      <x:c r="I210" s="74"/>
      <x:c r="J210" s="74"/>
      <x:c r="K210" s="74"/>
      <x:c r="L210" s="74"/>
      <x:c r="M210" s="91"/>
      <x:c r="N210" s="91"/>
      <x:c r="O210" s="85"/>
      <x:c r="Q210" s="86"/>
      <x:c r="R210" s="32"/>
    </x:row>
    <x:row r="211">
      <x:c r="A211" s="87"/>
      <x:c r="B211" s="88"/>
      <x:c r="D211" s="32"/>
      <x:c r="G211" s="74"/>
      <x:c r="H211" s="74"/>
      <x:c r="I211" s="74"/>
      <x:c r="J211" s="74"/>
      <x:c r="K211" s="74"/>
      <x:c r="L211" s="74"/>
      <x:c r="M211" s="91"/>
      <x:c r="N211" s="91"/>
      <x:c r="O211" s="85"/>
      <x:c r="Q211" s="86"/>
      <x:c r="R211" s="32"/>
    </x:row>
    <x:row r="212">
      <x:c r="A212" s="87"/>
      <x:c r="B212" s="88"/>
      <x:c r="D212" s="32"/>
      <x:c r="G212" s="74"/>
      <x:c r="H212" s="74"/>
      <x:c r="I212" s="74"/>
      <x:c r="J212" s="74"/>
      <x:c r="K212" s="74"/>
      <x:c r="L212" s="74"/>
      <x:c r="M212" s="91"/>
      <x:c r="N212" s="91"/>
      <x:c r="O212" s="85"/>
      <x:c r="Q212" s="86"/>
      <x:c r="R212" s="32"/>
    </x:row>
    <x:row r="213">
      <x:c r="A213" s="87"/>
      <x:c r="B213" s="88"/>
      <x:c r="D213" s="32"/>
      <x:c r="G213" s="74"/>
      <x:c r="H213" s="74"/>
      <x:c r="I213" s="74"/>
      <x:c r="J213" s="74"/>
      <x:c r="K213" s="74"/>
      <x:c r="L213" s="74"/>
      <x:c r="M213" s="91"/>
      <x:c r="N213" s="91"/>
      <x:c r="O213" s="85"/>
      <x:c r="Q213" s="86"/>
      <x:c r="R213" s="32"/>
    </x:row>
    <x:row r="214">
      <x:c r="A214" s="87"/>
      <x:c r="B214" s="88"/>
      <x:c r="D214" s="32"/>
      <x:c r="G214" s="74"/>
      <x:c r="H214" s="74"/>
      <x:c r="I214" s="74"/>
      <x:c r="J214" s="74"/>
      <x:c r="K214" s="74"/>
      <x:c r="L214" s="74"/>
      <x:c r="M214" s="91"/>
      <x:c r="N214" s="91"/>
      <x:c r="O214" s="85"/>
      <x:c r="Q214" s="86"/>
      <x:c r="R214" s="32"/>
    </x:row>
    <x:row r="215">
      <x:c r="A215" s="87"/>
      <x:c r="B215" s="88"/>
      <x:c r="D215" s="32"/>
      <x:c r="G215" s="74"/>
      <x:c r="H215" s="74"/>
      <x:c r="I215" s="74"/>
      <x:c r="J215" s="74"/>
      <x:c r="K215" s="74"/>
      <x:c r="L215" s="74"/>
      <x:c r="M215" s="91"/>
      <x:c r="N215" s="91"/>
      <x:c r="O215" s="85"/>
      <x:c r="Q215" s="86"/>
      <x:c r="R215" s="32"/>
    </x:row>
    <x:row r="216">
      <x:c r="A216" s="87"/>
      <x:c r="B216" s="88"/>
      <x:c r="D216" s="32"/>
      <x:c r="G216" s="74"/>
      <x:c r="H216" s="74"/>
      <x:c r="I216" s="74"/>
      <x:c r="J216" s="74"/>
      <x:c r="K216" s="74"/>
      <x:c r="L216" s="74"/>
      <x:c r="M216" s="91"/>
      <x:c r="N216" s="91"/>
      <x:c r="O216" s="85"/>
      <x:c r="Q216" s="86"/>
      <x:c r="R216" s="32"/>
    </x:row>
    <x:row r="217">
      <x:c r="A217" s="87"/>
      <x:c r="B217" s="88"/>
      <x:c r="D217" s="32"/>
      <x:c r="G217" s="74"/>
      <x:c r="H217" s="74"/>
      <x:c r="I217" s="74"/>
      <x:c r="J217" s="74"/>
      <x:c r="K217" s="74"/>
      <x:c r="L217" s="74"/>
      <x:c r="M217" s="91"/>
      <x:c r="N217" s="91"/>
      <x:c r="O217" s="85"/>
      <x:c r="Q217" s="86"/>
      <x:c r="R217" s="32"/>
    </x:row>
    <x:row r="218">
      <x:c r="A218" s="87"/>
      <x:c r="B218" s="88"/>
      <x:c r="D218" s="32"/>
      <x:c r="G218" s="74"/>
      <x:c r="H218" s="74"/>
      <x:c r="I218" s="74"/>
      <x:c r="J218" s="74"/>
      <x:c r="K218" s="74"/>
      <x:c r="L218" s="74"/>
      <x:c r="M218" s="91"/>
      <x:c r="N218" s="91"/>
      <x:c r="O218" s="85"/>
      <x:c r="Q218" s="86"/>
      <x:c r="R218" s="32"/>
    </x:row>
    <x:row r="219">
      <x:c r="A219" s="87"/>
      <x:c r="B219" s="88"/>
      <x:c r="D219" s="32"/>
      <x:c r="G219" s="74"/>
      <x:c r="H219" s="74"/>
      <x:c r="I219" s="74"/>
      <x:c r="J219" s="74"/>
      <x:c r="K219" s="74"/>
      <x:c r="L219" s="74"/>
      <x:c r="M219" s="91"/>
      <x:c r="N219" s="91"/>
      <x:c r="O219" s="85"/>
      <x:c r="Q219" s="86"/>
      <x:c r="R219" s="32"/>
    </x:row>
    <x:row r="220">
      <x:c r="A220" s="87"/>
      <x:c r="B220" s="88"/>
      <x:c r="D220" s="32"/>
      <x:c r="G220" s="74"/>
      <x:c r="H220" s="74"/>
      <x:c r="I220" s="74"/>
      <x:c r="J220" s="74"/>
      <x:c r="K220" s="74"/>
      <x:c r="L220" s="74"/>
      <x:c r="M220" s="91"/>
      <x:c r="N220" s="91"/>
      <x:c r="O220" s="85"/>
      <x:c r="Q220" s="86"/>
      <x:c r="R220" s="32"/>
    </x:row>
    <x:row r="221">
      <x:c r="A221" s="87"/>
      <x:c r="B221" s="88"/>
      <x:c r="D221" s="32"/>
      <x:c r="G221" s="74"/>
      <x:c r="H221" s="74"/>
      <x:c r="I221" s="74"/>
      <x:c r="J221" s="74"/>
      <x:c r="K221" s="74"/>
      <x:c r="L221" s="74"/>
      <x:c r="M221" s="91"/>
      <x:c r="N221" s="91"/>
      <x:c r="O221" s="85"/>
      <x:c r="Q221" s="86"/>
      <x:c r="R221" s="32"/>
    </x:row>
    <x:row r="222">
      <x:c r="A222" s="87"/>
      <x:c r="B222" s="88"/>
      <x:c r="D222" s="32"/>
      <x:c r="G222" s="74"/>
      <x:c r="H222" s="74"/>
      <x:c r="I222" s="74"/>
      <x:c r="J222" s="74"/>
      <x:c r="K222" s="74"/>
      <x:c r="L222" s="74"/>
      <x:c r="M222" s="91"/>
      <x:c r="N222" s="91"/>
      <x:c r="O222" s="85"/>
      <x:c r="Q222" s="86"/>
      <x:c r="R222" s="32"/>
    </x:row>
    <x:row r="223">
      <x:c r="A223" s="87"/>
      <x:c r="B223" s="88"/>
      <x:c r="D223" s="32"/>
      <x:c r="G223" s="74"/>
      <x:c r="H223" s="74"/>
      <x:c r="I223" s="74"/>
      <x:c r="J223" s="74"/>
      <x:c r="K223" s="74"/>
      <x:c r="L223" s="74"/>
      <x:c r="M223" s="91"/>
      <x:c r="N223" s="91"/>
      <x:c r="O223" s="85"/>
      <x:c r="Q223" s="86"/>
      <x:c r="R223" s="32"/>
    </x:row>
    <x:row r="224">
      <x:c r="A224" s="87"/>
      <x:c r="B224" s="88"/>
      <x:c r="D224" s="32"/>
      <x:c r="G224" s="74"/>
      <x:c r="H224" s="74"/>
      <x:c r="I224" s="74"/>
      <x:c r="J224" s="74"/>
      <x:c r="K224" s="74"/>
      <x:c r="L224" s="74"/>
      <x:c r="M224" s="91"/>
      <x:c r="N224" s="91"/>
      <x:c r="O224" s="85"/>
      <x:c r="Q224" s="86"/>
      <x:c r="R224" s="32"/>
    </x:row>
    <x:row r="225">
      <x:c r="A225" s="87"/>
      <x:c r="B225" s="88"/>
      <x:c r="D225" s="32"/>
      <x:c r="G225" s="74"/>
      <x:c r="H225" s="74"/>
      <x:c r="I225" s="74"/>
      <x:c r="J225" s="74"/>
      <x:c r="K225" s="74"/>
      <x:c r="L225" s="74"/>
      <x:c r="M225" s="91"/>
      <x:c r="N225" s="91"/>
      <x:c r="O225" s="85"/>
      <x:c r="Q225" s="86"/>
      <x:c r="R225" s="32"/>
    </x:row>
    <x:row r="226">
      <x:c r="A226" s="87"/>
      <x:c r="B226" s="88"/>
      <x:c r="D226" s="32"/>
      <x:c r="G226" s="74"/>
      <x:c r="H226" s="74"/>
      <x:c r="I226" s="74"/>
      <x:c r="J226" s="74"/>
      <x:c r="K226" s="74"/>
      <x:c r="L226" s="74"/>
      <x:c r="M226" s="91"/>
      <x:c r="N226" s="91"/>
      <x:c r="O226" s="85"/>
      <x:c r="Q226" s="86"/>
      <x:c r="R226" s="32"/>
    </x:row>
    <x:row r="227">
      <x:c r="A227" s="87"/>
      <x:c r="B227" s="88"/>
      <x:c r="D227" s="32"/>
      <x:c r="G227" s="74"/>
      <x:c r="H227" s="74"/>
      <x:c r="I227" s="74"/>
      <x:c r="J227" s="74"/>
      <x:c r="K227" s="74"/>
      <x:c r="L227" s="74"/>
      <x:c r="M227" s="91"/>
      <x:c r="N227" s="91"/>
      <x:c r="O227" s="85"/>
      <x:c r="Q227" s="86"/>
      <x:c r="R227" s="32"/>
    </x:row>
    <x:row r="228">
      <x:c r="A228" s="87"/>
      <x:c r="B228" s="88"/>
      <x:c r="D228" s="32"/>
      <x:c r="G228" s="74"/>
      <x:c r="H228" s="74"/>
      <x:c r="I228" s="74"/>
      <x:c r="J228" s="74"/>
      <x:c r="K228" s="74"/>
      <x:c r="L228" s="74"/>
      <x:c r="M228" s="91"/>
      <x:c r="N228" s="91"/>
      <x:c r="O228" s="85"/>
      <x:c r="Q228" s="86"/>
      <x:c r="R228" s="32"/>
    </x:row>
    <x:row r="229">
      <x:c r="A229" s="87"/>
      <x:c r="B229" s="88"/>
      <x:c r="D229" s="32"/>
      <x:c r="G229" s="74"/>
      <x:c r="H229" s="74"/>
      <x:c r="I229" s="74"/>
      <x:c r="J229" s="74"/>
      <x:c r="K229" s="74"/>
      <x:c r="L229" s="74"/>
      <x:c r="M229" s="91"/>
      <x:c r="N229" s="91"/>
      <x:c r="O229" s="85"/>
      <x:c r="Q229" s="86"/>
      <x:c r="R229" s="32"/>
    </x:row>
    <x:row r="230">
      <x:c r="A230" s="87"/>
      <x:c r="B230" s="88"/>
      <x:c r="D230" s="32"/>
      <x:c r="G230" s="74"/>
      <x:c r="H230" s="74"/>
      <x:c r="I230" s="74"/>
      <x:c r="J230" s="74"/>
      <x:c r="K230" s="74"/>
      <x:c r="L230" s="74"/>
      <x:c r="M230" s="91"/>
      <x:c r="N230" s="91"/>
      <x:c r="O230" s="85"/>
      <x:c r="Q230" s="86"/>
      <x:c r="R230" s="32"/>
    </x:row>
    <x:row r="231">
      <x:c r="A231" s="87"/>
      <x:c r="B231" s="88"/>
      <x:c r="D231" s="32"/>
      <x:c r="G231" s="74"/>
      <x:c r="H231" s="74"/>
      <x:c r="I231" s="74"/>
      <x:c r="J231" s="74"/>
      <x:c r="K231" s="74"/>
      <x:c r="L231" s="74"/>
      <x:c r="M231" s="91"/>
      <x:c r="N231" s="91"/>
      <x:c r="O231" s="85"/>
      <x:c r="Q231" s="86"/>
      <x:c r="R231" s="32"/>
    </x:row>
    <x:row r="232">
      <x:c r="A232" s="87"/>
      <x:c r="B232" s="88"/>
      <x:c r="D232" s="32"/>
      <x:c r="G232" s="74"/>
      <x:c r="H232" s="74"/>
      <x:c r="I232" s="74"/>
      <x:c r="J232" s="74"/>
      <x:c r="K232" s="74"/>
      <x:c r="L232" s="74"/>
      <x:c r="M232" s="91"/>
      <x:c r="N232" s="91"/>
      <x:c r="O232" s="85"/>
      <x:c r="Q232" s="86"/>
      <x:c r="R232" s="32"/>
    </x:row>
    <x:row r="233">
      <x:c r="A233" s="87"/>
      <x:c r="B233" s="88"/>
      <x:c r="D233" s="32"/>
      <x:c r="G233" s="74"/>
      <x:c r="H233" s="74"/>
      <x:c r="I233" s="74"/>
      <x:c r="J233" s="74"/>
      <x:c r="K233" s="74"/>
      <x:c r="L233" s="74"/>
      <x:c r="M233" s="91"/>
      <x:c r="N233" s="91"/>
      <x:c r="O233" s="85"/>
      <x:c r="Q233" s="86"/>
      <x:c r="R233" s="32"/>
    </x:row>
    <x:row r="234">
      <x:c r="A234" s="87"/>
      <x:c r="B234" s="88"/>
      <x:c r="D234" s="32"/>
      <x:c r="G234" s="74"/>
      <x:c r="H234" s="74"/>
      <x:c r="I234" s="74"/>
      <x:c r="J234" s="74"/>
      <x:c r="K234" s="74"/>
      <x:c r="L234" s="74"/>
      <x:c r="M234" s="91"/>
      <x:c r="N234" s="91"/>
      <x:c r="O234" s="85"/>
      <x:c r="Q234" s="86"/>
      <x:c r="R234" s="32"/>
    </x:row>
    <x:row r="235">
      <x:c r="A235" s="87"/>
      <x:c r="B235" s="88"/>
      <x:c r="D235" s="32"/>
      <x:c r="G235" s="74"/>
      <x:c r="H235" s="74"/>
      <x:c r="I235" s="74"/>
      <x:c r="J235" s="74"/>
      <x:c r="K235" s="74"/>
      <x:c r="L235" s="74"/>
      <x:c r="M235" s="91"/>
      <x:c r="N235" s="91"/>
      <x:c r="O235" s="85"/>
      <x:c r="Q235" s="86"/>
      <x:c r="R235" s="32"/>
    </x:row>
    <x:row r="236">
      <x:c r="A236" s="87"/>
      <x:c r="B236" s="88"/>
      <x:c r="D236" s="32"/>
      <x:c r="G236" s="74"/>
      <x:c r="H236" s="74"/>
      <x:c r="I236" s="74"/>
      <x:c r="J236" s="74"/>
      <x:c r="K236" s="74"/>
      <x:c r="L236" s="74"/>
      <x:c r="M236" s="91"/>
      <x:c r="N236" s="91"/>
      <x:c r="O236" s="85"/>
      <x:c r="Q236" s="86"/>
      <x:c r="R236" s="32"/>
    </x:row>
    <x:row r="237">
      <x:c r="A237" s="87"/>
      <x:c r="B237" s="88"/>
      <x:c r="D237" s="32"/>
      <x:c r="G237" s="74"/>
      <x:c r="H237" s="74"/>
      <x:c r="I237" s="74"/>
      <x:c r="J237" s="74"/>
      <x:c r="K237" s="74"/>
      <x:c r="L237" s="74"/>
      <x:c r="M237" s="91"/>
      <x:c r="N237" s="91"/>
      <x:c r="O237" s="85"/>
      <x:c r="Q237" s="86"/>
      <x:c r="R237" s="32"/>
    </x:row>
    <x:row r="238">
      <x:c r="A238" s="87"/>
      <x:c r="B238" s="88"/>
      <x:c r="D238" s="32"/>
      <x:c r="G238" s="74"/>
      <x:c r="H238" s="74"/>
      <x:c r="I238" s="74"/>
      <x:c r="J238" s="74"/>
      <x:c r="K238" s="74"/>
      <x:c r="L238" s="74"/>
      <x:c r="M238" s="91"/>
      <x:c r="N238" s="91"/>
      <x:c r="O238" s="85"/>
      <x:c r="Q238" s="86"/>
      <x:c r="R238" s="32"/>
    </x:row>
    <x:row r="239">
      <x:c r="A239" s="87"/>
      <x:c r="B239" s="88"/>
      <x:c r="D239" s="32"/>
      <x:c r="G239" s="74"/>
      <x:c r="H239" s="74"/>
      <x:c r="I239" s="74"/>
      <x:c r="J239" s="74"/>
      <x:c r="K239" s="74"/>
      <x:c r="L239" s="74"/>
      <x:c r="M239" s="91"/>
      <x:c r="N239" s="91"/>
      <x:c r="O239" s="85"/>
      <x:c r="Q239" s="86"/>
      <x:c r="R239" s="32"/>
    </x:row>
    <x:row r="240">
      <x:c r="A240" s="87"/>
      <x:c r="B240" s="88"/>
      <x:c r="D240" s="32"/>
      <x:c r="G240" s="74"/>
      <x:c r="H240" s="74"/>
      <x:c r="I240" s="74"/>
      <x:c r="J240" s="74"/>
      <x:c r="K240" s="74"/>
      <x:c r="L240" s="74"/>
      <x:c r="M240" s="91"/>
      <x:c r="N240" s="91"/>
      <x:c r="O240" s="85"/>
      <x:c r="Q240" s="86"/>
      <x:c r="R240" s="32"/>
    </x:row>
    <x:row r="241">
      <x:c r="A241" s="87"/>
      <x:c r="B241" s="88"/>
      <x:c r="D241" s="32"/>
      <x:c r="G241" s="74"/>
      <x:c r="H241" s="74"/>
      <x:c r="I241" s="74"/>
      <x:c r="J241" s="74"/>
      <x:c r="K241" s="74"/>
      <x:c r="L241" s="74"/>
      <x:c r="M241" s="91"/>
      <x:c r="N241" s="91"/>
      <x:c r="O241" s="85"/>
      <x:c r="Q241" s="86"/>
      <x:c r="R241" s="32"/>
    </x:row>
    <x:row r="242">
      <x:c r="A242" s="87"/>
      <x:c r="B242" s="88"/>
      <x:c r="D242" s="32"/>
      <x:c r="G242" s="74"/>
      <x:c r="H242" s="74"/>
      <x:c r="I242" s="74"/>
      <x:c r="J242" s="74"/>
      <x:c r="K242" s="74"/>
      <x:c r="L242" s="74"/>
      <x:c r="M242" s="91"/>
      <x:c r="N242" s="91"/>
      <x:c r="O242" s="85"/>
      <x:c r="Q242" s="86"/>
      <x:c r="R242" s="32"/>
    </x:row>
    <x:row r="243">
      <x:c r="A243" s="87"/>
      <x:c r="B243" s="88"/>
      <x:c r="D243" s="32"/>
      <x:c r="G243" s="74"/>
      <x:c r="H243" s="74"/>
      <x:c r="I243" s="74"/>
      <x:c r="J243" s="74"/>
      <x:c r="K243" s="74"/>
      <x:c r="L243" s="74"/>
      <x:c r="M243" s="91"/>
      <x:c r="N243" s="91"/>
      <x:c r="O243" s="85"/>
      <x:c r="Q243" s="86"/>
      <x:c r="R243" s="32"/>
    </x:row>
    <x:row r="244">
      <x:c r="A244" s="87"/>
      <x:c r="B244" s="88"/>
      <x:c r="D244" s="32"/>
      <x:c r="G244" s="74"/>
      <x:c r="H244" s="74"/>
      <x:c r="I244" s="74"/>
      <x:c r="J244" s="74"/>
      <x:c r="K244" s="74"/>
      <x:c r="L244" s="74"/>
      <x:c r="M244" s="91"/>
      <x:c r="N244" s="91"/>
      <x:c r="O244" s="85"/>
      <x:c r="Q244" s="86"/>
      <x:c r="R244" s="32"/>
    </x:row>
    <x:row r="245">
      <x:c r="A245" s="87"/>
      <x:c r="B245" s="88"/>
      <x:c r="D245" s="32"/>
      <x:c r="G245" s="74"/>
      <x:c r="H245" s="74"/>
      <x:c r="I245" s="74"/>
      <x:c r="J245" s="74"/>
      <x:c r="K245" s="74"/>
      <x:c r="L245" s="74"/>
      <x:c r="M245" s="91"/>
      <x:c r="N245" s="91"/>
      <x:c r="O245" s="85"/>
      <x:c r="Q245" s="86"/>
      <x:c r="R245" s="32"/>
    </x:row>
    <x:row r="246">
      <x:c r="A246" s="87"/>
      <x:c r="B246" s="88"/>
      <x:c r="D246" s="32"/>
      <x:c r="G246" s="74"/>
      <x:c r="H246" s="74"/>
      <x:c r="I246" s="74"/>
      <x:c r="J246" s="74"/>
      <x:c r="K246" s="74"/>
      <x:c r="L246" s="74"/>
      <x:c r="M246" s="91"/>
      <x:c r="N246" s="91"/>
      <x:c r="O246" s="85"/>
      <x:c r="Q246" s="86"/>
      <x:c r="R246" s="32"/>
    </x:row>
    <x:row r="247">
      <x:c r="A247" s="87"/>
      <x:c r="B247" s="88"/>
      <x:c r="D247" s="32"/>
      <x:c r="G247" s="74"/>
      <x:c r="H247" s="74"/>
      <x:c r="I247" s="74"/>
      <x:c r="J247" s="74"/>
      <x:c r="K247" s="74"/>
      <x:c r="L247" s="74"/>
      <x:c r="M247" s="91"/>
      <x:c r="N247" s="91"/>
      <x:c r="O247" s="85"/>
      <x:c r="Q247" s="86"/>
      <x:c r="R247" s="32"/>
    </x:row>
    <x:row r="248">
      <x:c r="A248" s="87"/>
      <x:c r="B248" s="88"/>
      <x:c r="D248" s="32"/>
      <x:c r="G248" s="74"/>
      <x:c r="H248" s="74"/>
      <x:c r="I248" s="74"/>
      <x:c r="J248" s="74"/>
      <x:c r="K248" s="74"/>
      <x:c r="L248" s="74"/>
      <x:c r="M248" s="91"/>
      <x:c r="N248" s="91"/>
      <x:c r="O248" s="85"/>
      <x:c r="Q248" s="86"/>
      <x:c r="R248" s="32"/>
    </x:row>
    <x:row r="249">
      <x:c r="A249" s="87"/>
      <x:c r="B249" s="88"/>
      <x:c r="D249" s="32"/>
      <x:c r="G249" s="74"/>
      <x:c r="H249" s="74"/>
      <x:c r="I249" s="74"/>
      <x:c r="J249" s="74"/>
      <x:c r="K249" s="74"/>
      <x:c r="L249" s="74"/>
      <x:c r="M249" s="91"/>
      <x:c r="N249" s="91"/>
      <x:c r="O249" s="85"/>
      <x:c r="Q249" s="86"/>
      <x:c r="R249" s="32"/>
    </x:row>
    <x:row r="250">
      <x:c r="A250" s="87"/>
      <x:c r="B250" s="88"/>
      <x:c r="D250" s="32"/>
      <x:c r="G250" s="74"/>
      <x:c r="H250" s="74"/>
      <x:c r="I250" s="74"/>
      <x:c r="J250" s="74"/>
      <x:c r="K250" s="74"/>
      <x:c r="L250" s="74"/>
      <x:c r="M250" s="91"/>
      <x:c r="N250" s="91"/>
      <x:c r="O250" s="85"/>
      <x:c r="Q250" s="86"/>
      <x:c r="R250" s="32"/>
    </x:row>
    <x:row r="251">
      <x:c r="A251" s="87"/>
      <x:c r="B251" s="88"/>
      <x:c r="D251" s="32"/>
      <x:c r="G251" s="74"/>
      <x:c r="H251" s="74"/>
      <x:c r="I251" s="74"/>
      <x:c r="J251" s="74"/>
      <x:c r="K251" s="74"/>
      <x:c r="L251" s="74"/>
      <x:c r="M251" s="91"/>
      <x:c r="N251" s="91"/>
      <x:c r="O251" s="85"/>
      <x:c r="Q251" s="86"/>
      <x:c r="R251" s="32"/>
    </x:row>
    <x:row r="252">
      <x:c r="A252" s="87"/>
      <x:c r="B252" s="88"/>
      <x:c r="D252" s="32"/>
      <x:c r="G252" s="74"/>
      <x:c r="H252" s="74"/>
      <x:c r="I252" s="74"/>
      <x:c r="J252" s="74"/>
      <x:c r="K252" s="74"/>
      <x:c r="L252" s="74"/>
      <x:c r="M252" s="91"/>
      <x:c r="N252" s="91"/>
      <x:c r="O252" s="85"/>
      <x:c r="Q252" s="86"/>
      <x:c r="R252" s="32"/>
    </x:row>
    <x:row r="253">
      <x:c r="A253" s="87"/>
      <x:c r="B253" s="88"/>
      <x:c r="D253" s="32"/>
      <x:c r="G253" s="74"/>
      <x:c r="H253" s="74"/>
      <x:c r="I253" s="74"/>
      <x:c r="J253" s="74"/>
      <x:c r="K253" s="74"/>
      <x:c r="L253" s="74"/>
      <x:c r="M253" s="91"/>
      <x:c r="N253" s="91"/>
      <x:c r="O253" s="85"/>
      <x:c r="Q253" s="86"/>
      <x:c r="R253" s="32"/>
    </x:row>
    <x:row r="254">
      <x:c r="A254" s="87"/>
      <x:c r="B254" s="88"/>
      <x:c r="D254" s="32"/>
      <x:c r="G254" s="74"/>
      <x:c r="H254" s="74"/>
      <x:c r="I254" s="74"/>
      <x:c r="J254" s="74"/>
      <x:c r="K254" s="74"/>
      <x:c r="L254" s="74"/>
      <x:c r="M254" s="91"/>
      <x:c r="N254" s="91"/>
      <x:c r="O254" s="85"/>
      <x:c r="Q254" s="86"/>
      <x:c r="R254" s="32"/>
    </x:row>
    <x:row r="255">
      <x:c r="A255" s="87"/>
      <x:c r="B255" s="88"/>
      <x:c r="D255" s="32"/>
      <x:c r="G255" s="74"/>
      <x:c r="H255" s="74"/>
      <x:c r="I255" s="74"/>
      <x:c r="J255" s="74"/>
      <x:c r="K255" s="74"/>
      <x:c r="L255" s="74"/>
      <x:c r="M255" s="91"/>
      <x:c r="N255" s="91"/>
      <x:c r="O255" s="85"/>
      <x:c r="Q255" s="86"/>
      <x:c r="R255" s="32"/>
    </x:row>
    <x:row r="256">
      <x:c r="A256" s="87"/>
      <x:c r="B256" s="88"/>
      <x:c r="D256" s="32"/>
      <x:c r="G256" s="74"/>
      <x:c r="H256" s="74"/>
      <x:c r="I256" s="74"/>
      <x:c r="J256" s="74"/>
      <x:c r="K256" s="74"/>
      <x:c r="L256" s="74"/>
      <x:c r="M256" s="91"/>
      <x:c r="N256" s="91"/>
      <x:c r="O256" s="85"/>
      <x:c r="Q256" s="86"/>
      <x:c r="R256" s="32"/>
    </x:row>
    <x:row r="257">
      <x:c r="A257" s="87"/>
      <x:c r="B257" s="88"/>
      <x:c r="D257" s="32"/>
      <x:c r="G257" s="74"/>
      <x:c r="H257" s="74"/>
      <x:c r="I257" s="74"/>
      <x:c r="J257" s="74"/>
      <x:c r="K257" s="74"/>
      <x:c r="L257" s="74"/>
      <x:c r="M257" s="91"/>
      <x:c r="N257" s="91"/>
      <x:c r="O257" s="85"/>
      <x:c r="Q257" s="86"/>
      <x:c r="R257" s="32"/>
    </x:row>
    <x:row r="258">
      <x:c r="A258" s="87"/>
      <x:c r="B258" s="88"/>
      <x:c r="D258" s="32"/>
      <x:c r="G258" s="74"/>
      <x:c r="H258" s="74"/>
      <x:c r="I258" s="74"/>
      <x:c r="J258" s="74"/>
      <x:c r="K258" s="74"/>
      <x:c r="L258" s="74"/>
      <x:c r="M258" s="91"/>
      <x:c r="N258" s="91"/>
      <x:c r="O258" s="85"/>
      <x:c r="Q258" s="86"/>
      <x:c r="R258" s="32"/>
    </x:row>
    <x:row r="259">
      <x:c r="A259" s="87"/>
      <x:c r="B259" s="88"/>
      <x:c r="D259" s="32"/>
      <x:c r="G259" s="74"/>
      <x:c r="H259" s="74"/>
      <x:c r="I259" s="74"/>
      <x:c r="J259" s="74"/>
      <x:c r="K259" s="74"/>
      <x:c r="L259" s="74"/>
      <x:c r="M259" s="91"/>
      <x:c r="N259" s="91"/>
      <x:c r="O259" s="85"/>
      <x:c r="Q259" s="86"/>
      <x:c r="R259" s="32"/>
    </x:row>
    <x:row r="260">
      <x:c r="A260" s="87"/>
      <x:c r="B260" s="88"/>
      <x:c r="D260" s="32"/>
      <x:c r="G260" s="74"/>
      <x:c r="H260" s="74"/>
      <x:c r="I260" s="74"/>
      <x:c r="J260" s="74"/>
      <x:c r="K260" s="74"/>
      <x:c r="L260" s="74"/>
      <x:c r="M260" s="91"/>
      <x:c r="N260" s="91"/>
      <x:c r="O260" s="85"/>
      <x:c r="Q260" s="86"/>
      <x:c r="R260" s="32"/>
    </x:row>
    <x:row r="261">
      <x:c r="A261" s="87"/>
      <x:c r="B261" s="88"/>
      <x:c r="D261" s="32"/>
      <x:c r="G261" s="74"/>
      <x:c r="H261" s="74"/>
      <x:c r="I261" s="74"/>
      <x:c r="J261" s="74"/>
      <x:c r="K261" s="74"/>
      <x:c r="L261" s="74"/>
      <x:c r="M261" s="91"/>
      <x:c r="N261" s="91"/>
      <x:c r="O261" s="85"/>
      <x:c r="Q261" s="86"/>
      <x:c r="R261" s="32"/>
    </x:row>
    <x:row r="262">
      <x:c r="A262" s="87"/>
      <x:c r="B262" s="88"/>
      <x:c r="D262" s="32"/>
      <x:c r="G262" s="74"/>
      <x:c r="H262" s="74"/>
      <x:c r="I262" s="74"/>
      <x:c r="J262" s="74"/>
      <x:c r="K262" s="74"/>
      <x:c r="L262" s="74"/>
      <x:c r="M262" s="91"/>
      <x:c r="N262" s="91"/>
      <x:c r="O262" s="85"/>
      <x:c r="Q262" s="86"/>
      <x:c r="R262" s="32"/>
    </x:row>
    <x:row r="263">
      <x:c r="A263" s="87"/>
      <x:c r="B263" s="88"/>
      <x:c r="D263" s="32"/>
      <x:c r="G263" s="74"/>
      <x:c r="H263" s="74"/>
      <x:c r="I263" s="74"/>
      <x:c r="J263" s="74"/>
      <x:c r="K263" s="74"/>
      <x:c r="L263" s="74"/>
      <x:c r="M263" s="91"/>
      <x:c r="N263" s="91"/>
      <x:c r="O263" s="85"/>
      <x:c r="Q263" s="86"/>
      <x:c r="R263" s="32"/>
    </x:row>
    <x:row r="264">
      <x:c r="A264" s="87"/>
      <x:c r="B264" s="88"/>
      <x:c r="D264" s="32"/>
      <x:c r="G264" s="74"/>
      <x:c r="H264" s="74"/>
      <x:c r="I264" s="74"/>
      <x:c r="J264" s="74"/>
      <x:c r="K264" s="74"/>
      <x:c r="L264" s="74"/>
      <x:c r="M264" s="91"/>
      <x:c r="N264" s="91"/>
      <x:c r="O264" s="85"/>
      <x:c r="Q264" s="86"/>
      <x:c r="R264" s="32"/>
    </x:row>
    <x:row r="265">
      <x:c r="A265" s="87"/>
      <x:c r="B265" s="88"/>
      <x:c r="D265" s="32"/>
      <x:c r="G265" s="74"/>
      <x:c r="H265" s="74"/>
      <x:c r="I265" s="74"/>
      <x:c r="J265" s="74"/>
      <x:c r="K265" s="74"/>
      <x:c r="L265" s="74"/>
      <x:c r="M265" s="91"/>
      <x:c r="N265" s="91"/>
      <x:c r="O265" s="85"/>
      <x:c r="Q265" s="86"/>
      <x:c r="R265" s="32"/>
    </x:row>
    <x:row r="266">
      <x:c r="A266" s="87"/>
      <x:c r="B266" s="88"/>
      <x:c r="D266" s="32"/>
      <x:c r="G266" s="74"/>
      <x:c r="H266" s="74"/>
      <x:c r="I266" s="74"/>
      <x:c r="J266" s="74"/>
      <x:c r="K266" s="74"/>
      <x:c r="L266" s="74"/>
      <x:c r="M266" s="91"/>
      <x:c r="N266" s="91"/>
      <x:c r="O266" s="85"/>
      <x:c r="Q266" s="86"/>
      <x:c r="R266" s="32"/>
    </x:row>
    <x:row r="267">
      <x:c r="A267" s="87"/>
      <x:c r="B267" s="88"/>
      <x:c r="D267" s="32"/>
      <x:c r="G267" s="74"/>
      <x:c r="H267" s="74"/>
      <x:c r="I267" s="74"/>
      <x:c r="J267" s="74"/>
      <x:c r="K267" s="74"/>
      <x:c r="L267" s="74"/>
      <x:c r="M267" s="91"/>
      <x:c r="N267" s="91"/>
      <x:c r="O267" s="85"/>
      <x:c r="Q267" s="86"/>
      <x:c r="R267" s="32"/>
    </x:row>
    <x:row r="268">
      <x:c r="A268" s="87"/>
      <x:c r="B268" s="88"/>
      <x:c r="D268" s="32"/>
      <x:c r="G268" s="74"/>
      <x:c r="H268" s="74"/>
      <x:c r="I268" s="74"/>
      <x:c r="J268" s="74"/>
      <x:c r="K268" s="74"/>
      <x:c r="L268" s="74"/>
      <x:c r="M268" s="91"/>
      <x:c r="N268" s="91"/>
      <x:c r="O268" s="85"/>
      <x:c r="Q268" s="86"/>
      <x:c r="R268" s="32"/>
    </x:row>
    <x:row r="269">
      <x:c r="A269" s="87"/>
      <x:c r="B269" s="88"/>
      <x:c r="D269" s="32"/>
      <x:c r="G269" s="74"/>
      <x:c r="H269" s="74"/>
      <x:c r="I269" s="74"/>
      <x:c r="J269" s="74"/>
      <x:c r="K269" s="74"/>
      <x:c r="L269" s="74"/>
      <x:c r="M269" s="91"/>
      <x:c r="N269" s="91"/>
      <x:c r="O269" s="85"/>
      <x:c r="Q269" s="86"/>
      <x:c r="R269" s="32"/>
    </x:row>
    <x:row r="270">
      <x:c r="A270" s="87"/>
      <x:c r="B270" s="88"/>
      <x:c r="D270" s="32"/>
      <x:c r="G270" s="74"/>
      <x:c r="H270" s="74"/>
      <x:c r="I270" s="74"/>
      <x:c r="J270" s="74"/>
      <x:c r="K270" s="74"/>
      <x:c r="L270" s="74"/>
      <x:c r="M270" s="91"/>
      <x:c r="N270" s="91"/>
      <x:c r="O270" s="85"/>
      <x:c r="Q270" s="86"/>
      <x:c r="R270" s="32"/>
    </x:row>
    <x:row r="271">
      <x:c r="A271" s="87"/>
      <x:c r="B271" s="88"/>
      <x:c r="D271" s="32"/>
      <x:c r="G271" s="74"/>
      <x:c r="H271" s="74"/>
      <x:c r="I271" s="74"/>
      <x:c r="J271" s="74"/>
      <x:c r="K271" s="74"/>
      <x:c r="L271" s="74"/>
      <x:c r="M271" s="91"/>
      <x:c r="N271" s="91"/>
      <x:c r="O271" s="85"/>
      <x:c r="Q271" s="86"/>
      <x:c r="R271" s="32"/>
    </x:row>
    <x:row r="272">
      <x:c r="A272" s="87"/>
      <x:c r="B272" s="88"/>
      <x:c r="D272" s="32"/>
      <x:c r="G272" s="74"/>
      <x:c r="H272" s="74"/>
      <x:c r="I272" s="74"/>
      <x:c r="J272" s="74"/>
      <x:c r="K272" s="74"/>
      <x:c r="L272" s="74"/>
      <x:c r="M272" s="91"/>
      <x:c r="N272" s="91"/>
      <x:c r="O272" s="85"/>
      <x:c r="Q272" s="86"/>
      <x:c r="R272" s="32"/>
    </x:row>
    <x:row r="273">
      <x:c r="A273" s="87"/>
      <x:c r="B273" s="88"/>
      <x:c r="D273" s="32"/>
      <x:c r="G273" s="74"/>
      <x:c r="H273" s="74"/>
      <x:c r="I273" s="74"/>
      <x:c r="J273" s="74"/>
      <x:c r="K273" s="74"/>
      <x:c r="L273" s="74"/>
      <x:c r="M273" s="91"/>
      <x:c r="N273" s="91"/>
      <x:c r="O273" s="85"/>
      <x:c r="Q273" s="86"/>
      <x:c r="R273" s="32"/>
    </x:row>
    <x:row r="274">
      <x:c r="A274" s="87"/>
      <x:c r="B274" s="88"/>
      <x:c r="D274" s="32"/>
      <x:c r="G274" s="74"/>
      <x:c r="H274" s="74"/>
      <x:c r="I274" s="74"/>
      <x:c r="J274" s="74"/>
      <x:c r="K274" s="74"/>
      <x:c r="L274" s="74"/>
      <x:c r="M274" s="91"/>
      <x:c r="N274" s="91"/>
      <x:c r="O274" s="85"/>
      <x:c r="Q274" s="86"/>
      <x:c r="R274" s="32"/>
    </x:row>
    <x:row r="275">
      <x:c r="A275" s="87"/>
      <x:c r="B275" s="88"/>
      <x:c r="D275" s="32"/>
      <x:c r="G275" s="74"/>
      <x:c r="H275" s="74"/>
      <x:c r="I275" s="74"/>
      <x:c r="J275" s="74"/>
      <x:c r="K275" s="74"/>
      <x:c r="L275" s="74"/>
      <x:c r="M275" s="91"/>
      <x:c r="N275" s="91"/>
      <x:c r="O275" s="85"/>
      <x:c r="Q275" s="86"/>
      <x:c r="R275" s="32"/>
    </x:row>
    <x:row r="276">
      <x:c r="A276" s="87"/>
      <x:c r="B276" s="88"/>
      <x:c r="D276" s="32"/>
      <x:c r="G276" s="74"/>
      <x:c r="H276" s="74"/>
      <x:c r="I276" s="74"/>
      <x:c r="J276" s="74"/>
      <x:c r="K276" s="74"/>
      <x:c r="L276" s="74"/>
      <x:c r="M276" s="91"/>
      <x:c r="N276" s="91"/>
      <x:c r="O276" s="85"/>
      <x:c r="Q276" s="86"/>
      <x:c r="R276" s="32"/>
    </x:row>
    <x:row r="277">
      <x:c r="A277" s="87"/>
      <x:c r="B277" s="88"/>
      <x:c r="D277" s="32"/>
      <x:c r="G277" s="74"/>
      <x:c r="H277" s="74"/>
      <x:c r="I277" s="74"/>
      <x:c r="J277" s="74"/>
      <x:c r="K277" s="74"/>
      <x:c r="L277" s="74"/>
      <x:c r="M277" s="91"/>
      <x:c r="N277" s="91"/>
      <x:c r="O277" s="85"/>
      <x:c r="Q277" s="86"/>
      <x:c r="R277" s="32"/>
    </x:row>
    <x:row r="278">
      <x:c r="A278" s="87"/>
      <x:c r="B278" s="88"/>
      <x:c r="D278" s="32"/>
      <x:c r="G278" s="74"/>
      <x:c r="H278" s="74"/>
      <x:c r="I278" s="74"/>
      <x:c r="J278" s="74"/>
      <x:c r="K278" s="74"/>
      <x:c r="L278" s="74"/>
      <x:c r="M278" s="91"/>
      <x:c r="N278" s="91"/>
      <x:c r="O278" s="85"/>
      <x:c r="Q278" s="86"/>
      <x:c r="R278" s="32"/>
    </x:row>
    <x:row r="279">
      <x:c r="A279" s="87"/>
      <x:c r="B279" s="88"/>
      <x:c r="D279" s="32"/>
      <x:c r="G279" s="74"/>
      <x:c r="H279" s="74"/>
      <x:c r="I279" s="74"/>
      <x:c r="J279" s="74"/>
      <x:c r="K279" s="74"/>
      <x:c r="L279" s="74"/>
      <x:c r="M279" s="91"/>
      <x:c r="N279" s="91"/>
      <x:c r="O279" s="85"/>
      <x:c r="Q279" s="86"/>
      <x:c r="R279" s="32"/>
    </x:row>
    <x:row r="280">
      <x:c r="A280" s="87"/>
      <x:c r="B280" s="88"/>
      <x:c r="D280" s="32"/>
      <x:c r="G280" s="74"/>
      <x:c r="H280" s="74"/>
      <x:c r="I280" s="74"/>
      <x:c r="J280" s="74"/>
      <x:c r="K280" s="74"/>
      <x:c r="L280" s="74"/>
      <x:c r="M280" s="91"/>
      <x:c r="N280" s="91"/>
      <x:c r="O280" s="85"/>
      <x:c r="Q280" s="86"/>
      <x:c r="R280" s="32"/>
    </x:row>
    <x:row r="281">
      <x:c r="A281" s="87"/>
      <x:c r="B281" s="88"/>
      <x:c r="D281" s="32"/>
      <x:c r="G281" s="74"/>
      <x:c r="H281" s="74"/>
      <x:c r="I281" s="74"/>
      <x:c r="J281" s="74"/>
      <x:c r="K281" s="74"/>
      <x:c r="L281" s="74"/>
      <x:c r="M281" s="91"/>
      <x:c r="N281" s="91"/>
      <x:c r="O281" s="85"/>
      <x:c r="Q281" s="86"/>
      <x:c r="R281" s="32"/>
    </x:row>
    <x:row r="282">
      <x:c r="A282" s="87"/>
      <x:c r="B282" s="88"/>
      <x:c r="D282" s="32"/>
      <x:c r="G282" s="74"/>
      <x:c r="H282" s="74"/>
      <x:c r="I282" s="74"/>
      <x:c r="J282" s="74"/>
      <x:c r="K282" s="74"/>
      <x:c r="L282" s="74"/>
      <x:c r="M282" s="91"/>
      <x:c r="N282" s="91"/>
      <x:c r="O282" s="85"/>
      <x:c r="Q282" s="86"/>
      <x:c r="R282" s="32"/>
    </x:row>
    <x:row r="283">
      <x:c r="A283" s="87"/>
      <x:c r="B283" s="88"/>
      <x:c r="D283" s="32"/>
      <x:c r="G283" s="74"/>
      <x:c r="H283" s="74"/>
      <x:c r="I283" s="74"/>
      <x:c r="J283" s="74"/>
      <x:c r="K283" s="74"/>
      <x:c r="L283" s="74"/>
      <x:c r="M283" s="91"/>
      <x:c r="N283" s="91"/>
      <x:c r="O283" s="85"/>
      <x:c r="Q283" s="86"/>
      <x:c r="R283" s="32"/>
    </x:row>
    <x:row r="284">
      <x:c r="A284" s="87"/>
      <x:c r="B284" s="88"/>
      <x:c r="D284" s="32"/>
      <x:c r="G284" s="74"/>
      <x:c r="H284" s="74"/>
      <x:c r="I284" s="74"/>
      <x:c r="J284" s="74"/>
      <x:c r="K284" s="74"/>
      <x:c r="L284" s="74"/>
      <x:c r="M284" s="91"/>
      <x:c r="N284" s="91"/>
      <x:c r="O284" s="85"/>
      <x:c r="Q284" s="86"/>
      <x:c r="R284" s="32"/>
    </x:row>
    <x:row r="285">
      <x:c r="A285" s="87"/>
      <x:c r="B285" s="88"/>
      <x:c r="D285" s="32"/>
      <x:c r="G285" s="74"/>
      <x:c r="H285" s="74"/>
      <x:c r="I285" s="74"/>
      <x:c r="J285" s="74"/>
      <x:c r="K285" s="74"/>
      <x:c r="L285" s="74"/>
      <x:c r="M285" s="91"/>
      <x:c r="N285" s="91"/>
      <x:c r="O285" s="85"/>
      <x:c r="Q285" s="86"/>
      <x:c r="R285" s="32"/>
    </x:row>
    <x:row r="286">
      <x:c r="A286" s="87"/>
      <x:c r="B286" s="88"/>
      <x:c r="D286" s="32"/>
      <x:c r="G286" s="74"/>
      <x:c r="H286" s="74"/>
      <x:c r="I286" s="74"/>
      <x:c r="J286" s="74"/>
      <x:c r="K286" s="74"/>
      <x:c r="L286" s="74"/>
      <x:c r="M286" s="91"/>
      <x:c r="N286" s="91"/>
      <x:c r="O286" s="85"/>
      <x:c r="Q286" s="86"/>
      <x:c r="R286" s="32"/>
    </x:row>
    <x:row r="287">
      <x:c r="A287" s="87"/>
      <x:c r="B287" s="88"/>
      <x:c r="D287" s="32"/>
      <x:c r="G287" s="74"/>
      <x:c r="H287" s="74"/>
      <x:c r="I287" s="74"/>
      <x:c r="J287" s="74"/>
      <x:c r="K287" s="74"/>
      <x:c r="L287" s="74"/>
      <x:c r="M287" s="91"/>
      <x:c r="N287" s="91"/>
      <x:c r="O287" s="85"/>
      <x:c r="Q287" s="86"/>
      <x:c r="R287" s="32"/>
    </x:row>
    <x:row r="288">
      <x:c r="A288" s="87"/>
      <x:c r="B288" s="88"/>
      <x:c r="D288" s="32"/>
      <x:c r="G288" s="74"/>
      <x:c r="H288" s="74"/>
      <x:c r="I288" s="74"/>
      <x:c r="J288" s="74"/>
      <x:c r="K288" s="74"/>
      <x:c r="L288" s="74"/>
      <x:c r="M288" s="91"/>
      <x:c r="N288" s="91"/>
      <x:c r="O288" s="85"/>
      <x:c r="Q288" s="86"/>
      <x:c r="R288" s="32"/>
    </x:row>
    <x:row r="289">
      <x:c r="A289" s="87"/>
      <x:c r="B289" s="88"/>
      <x:c r="D289" s="32"/>
      <x:c r="G289" s="74"/>
      <x:c r="H289" s="74"/>
      <x:c r="I289" s="74"/>
      <x:c r="J289" s="74"/>
      <x:c r="K289" s="74"/>
      <x:c r="L289" s="74"/>
      <x:c r="M289" s="91"/>
      <x:c r="N289" s="91"/>
      <x:c r="O289" s="85"/>
      <x:c r="Q289" s="86"/>
      <x:c r="R289" s="32"/>
    </x:row>
    <x:row r="290">
      <x:c r="A290" s="87"/>
      <x:c r="B290" s="88"/>
      <x:c r="D290" s="32"/>
      <x:c r="G290" s="74"/>
      <x:c r="H290" s="74"/>
      <x:c r="I290" s="74"/>
      <x:c r="J290" s="74"/>
      <x:c r="K290" s="74"/>
      <x:c r="L290" s="74"/>
      <x:c r="M290" s="91"/>
      <x:c r="N290" s="91"/>
      <x:c r="O290" s="85"/>
      <x:c r="Q290" s="86"/>
      <x:c r="R290" s="32"/>
    </x:row>
    <x:row r="291">
      <x:c r="A291" s="87"/>
      <x:c r="B291" s="88"/>
      <x:c r="D291" s="32"/>
      <x:c r="G291" s="74"/>
      <x:c r="H291" s="74"/>
      <x:c r="I291" s="74"/>
      <x:c r="J291" s="74"/>
      <x:c r="K291" s="74"/>
      <x:c r="L291" s="74"/>
      <x:c r="M291" s="91"/>
      <x:c r="N291" s="91"/>
      <x:c r="O291" s="85"/>
      <x:c r="Q291" s="86"/>
      <x:c r="R291" s="32"/>
    </x:row>
    <x:row r="292">
      <x:c r="A292" s="87"/>
      <x:c r="B292" s="88"/>
      <x:c r="D292" s="32"/>
      <x:c r="G292" s="74"/>
      <x:c r="H292" s="74"/>
      <x:c r="I292" s="74"/>
      <x:c r="J292" s="74"/>
      <x:c r="K292" s="74"/>
      <x:c r="L292" s="74"/>
      <x:c r="M292" s="91"/>
      <x:c r="N292" s="91"/>
      <x:c r="O292" s="85"/>
      <x:c r="Q292" s="86"/>
      <x:c r="R292" s="32"/>
    </x:row>
    <x:row r="293">
      <x:c r="A293" s="87"/>
      <x:c r="B293" s="88"/>
      <x:c r="D293" s="32"/>
      <x:c r="G293" s="74"/>
      <x:c r="H293" s="74"/>
      <x:c r="I293" s="74"/>
      <x:c r="J293" s="74"/>
      <x:c r="K293" s="74"/>
      <x:c r="L293" s="74"/>
      <x:c r="M293" s="91"/>
      <x:c r="N293" s="91"/>
      <x:c r="O293" s="85"/>
      <x:c r="Q293" s="86"/>
      <x:c r="R293" s="32"/>
    </x:row>
    <x:row r="294">
      <x:c r="A294" s="87"/>
      <x:c r="B294" s="88"/>
      <x:c r="D294" s="32"/>
      <x:c r="G294" s="74"/>
      <x:c r="H294" s="74"/>
      <x:c r="I294" s="74"/>
      <x:c r="J294" s="74"/>
      <x:c r="K294" s="74"/>
      <x:c r="L294" s="74"/>
      <x:c r="M294" s="91"/>
      <x:c r="N294" s="91"/>
      <x:c r="O294" s="85"/>
      <x:c r="Q294" s="86"/>
      <x:c r="R294" s="32"/>
    </x:row>
    <x:row r="295">
      <x:c r="A295" s="87"/>
      <x:c r="B295" s="88"/>
      <x:c r="D295" s="32"/>
      <x:c r="G295" s="74"/>
      <x:c r="H295" s="74"/>
      <x:c r="I295" s="74"/>
      <x:c r="J295" s="74"/>
      <x:c r="K295" s="74"/>
      <x:c r="L295" s="74"/>
      <x:c r="M295" s="91"/>
      <x:c r="N295" s="91"/>
      <x:c r="O295" s="85"/>
      <x:c r="Q295" s="86"/>
      <x:c r="R295" s="32"/>
    </x:row>
    <x:row r="296">
      <x:c r="A296" s="87"/>
      <x:c r="B296" s="88"/>
      <x:c r="D296" s="32"/>
      <x:c r="G296" s="74"/>
      <x:c r="H296" s="74"/>
      <x:c r="I296" s="74"/>
      <x:c r="J296" s="74"/>
      <x:c r="K296" s="74"/>
      <x:c r="L296" s="74"/>
      <x:c r="M296" s="91"/>
      <x:c r="N296" s="91"/>
      <x:c r="O296" s="85"/>
      <x:c r="Q296" s="86"/>
      <x:c r="R296" s="32"/>
    </x:row>
    <x:row r="297">
      <x:c r="A297" s="87"/>
      <x:c r="B297" s="88"/>
      <x:c r="D297" s="32"/>
      <x:c r="G297" s="74"/>
      <x:c r="H297" s="74"/>
      <x:c r="I297" s="74"/>
      <x:c r="J297" s="74"/>
      <x:c r="K297" s="74"/>
      <x:c r="L297" s="74"/>
      <x:c r="M297" s="91"/>
      <x:c r="N297" s="91"/>
      <x:c r="O297" s="85"/>
      <x:c r="Q297" s="86"/>
      <x:c r="R297" s="32"/>
    </x:row>
    <x:row r="298">
      <x:c r="A298" s="87"/>
      <x:c r="B298" s="88"/>
      <x:c r="D298" s="32"/>
      <x:c r="G298" s="74"/>
      <x:c r="H298" s="74"/>
      <x:c r="I298" s="74"/>
      <x:c r="J298" s="74"/>
      <x:c r="K298" s="74"/>
      <x:c r="L298" s="74"/>
      <x:c r="M298" s="91"/>
      <x:c r="N298" s="91"/>
      <x:c r="O298" s="85"/>
      <x:c r="Q298" s="86"/>
      <x:c r="R298" s="32"/>
    </x:row>
    <x:row r="299">
      <x:c r="A299" s="87"/>
      <x:c r="B299" s="88"/>
      <x:c r="D299" s="32"/>
      <x:c r="G299" s="74"/>
      <x:c r="H299" s="74"/>
      <x:c r="I299" s="74"/>
      <x:c r="J299" s="74"/>
      <x:c r="K299" s="74"/>
      <x:c r="L299" s="74"/>
      <x:c r="M299" s="91"/>
      <x:c r="N299" s="91"/>
      <x:c r="O299" s="85"/>
      <x:c r="Q299" s="86"/>
      <x:c r="R299" s="32"/>
    </x:row>
    <x:row r="300">
      <x:c r="A300" s="87"/>
      <x:c r="B300" s="88"/>
      <x:c r="D300" s="32"/>
      <x:c r="G300" s="74"/>
      <x:c r="H300" s="74"/>
      <x:c r="I300" s="74"/>
      <x:c r="J300" s="74"/>
      <x:c r="K300" s="74"/>
      <x:c r="L300" s="74"/>
      <x:c r="M300" s="91"/>
      <x:c r="N300" s="91"/>
      <x:c r="O300" s="85"/>
      <x:c r="Q300" s="86"/>
      <x:c r="R300" s="32"/>
    </x:row>
    <x:row r="301">
      <x:c r="A301" s="87"/>
      <x:c r="B301" s="88"/>
      <x:c r="D301" s="32"/>
      <x:c r="G301" s="74"/>
      <x:c r="H301" s="74"/>
      <x:c r="I301" s="74"/>
      <x:c r="J301" s="74"/>
      <x:c r="K301" s="74"/>
      <x:c r="L301" s="74"/>
      <x:c r="M301" s="91"/>
      <x:c r="N301" s="91"/>
      <x:c r="O301" s="85"/>
      <x:c r="Q301" s="86"/>
      <x:c r="R301" s="32"/>
    </x:row>
    <x:row r="302">
      <x:c r="A302" s="87"/>
      <x:c r="B302" s="88"/>
      <x:c r="D302" s="32"/>
      <x:c r="G302" s="74"/>
      <x:c r="H302" s="74"/>
      <x:c r="I302" s="74"/>
      <x:c r="J302" s="74"/>
      <x:c r="K302" s="74"/>
      <x:c r="L302" s="74"/>
      <x:c r="M302" s="91"/>
      <x:c r="N302" s="91"/>
      <x:c r="O302" s="85"/>
      <x:c r="Q302" s="86"/>
      <x:c r="R302" s="32"/>
    </x:row>
    <x:row r="303">
      <x:c r="A303" s="87"/>
      <x:c r="B303" s="88"/>
      <x:c r="D303" s="32"/>
      <x:c r="G303" s="74"/>
      <x:c r="H303" s="74"/>
      <x:c r="I303" s="74"/>
      <x:c r="J303" s="74"/>
      <x:c r="K303" s="74"/>
      <x:c r="L303" s="74"/>
      <x:c r="M303" s="91"/>
      <x:c r="N303" s="91"/>
      <x:c r="O303" s="85"/>
      <x:c r="Q303" s="86"/>
      <x:c r="R303" s="32"/>
    </x:row>
    <x:row r="304">
      <x:c r="A304" s="87"/>
      <x:c r="B304" s="88"/>
      <x:c r="D304" s="32"/>
      <x:c r="G304" s="74"/>
      <x:c r="H304" s="74"/>
      <x:c r="I304" s="74"/>
      <x:c r="J304" s="74"/>
      <x:c r="K304" s="74"/>
      <x:c r="L304" s="74"/>
      <x:c r="M304" s="91"/>
      <x:c r="N304" s="91"/>
      <x:c r="O304" s="85"/>
      <x:c r="Q304" s="86"/>
      <x:c r="R304" s="32"/>
    </x:row>
    <x:row r="305">
      <x:c r="A305" s="87"/>
      <x:c r="B305" s="88"/>
      <x:c r="D305" s="32"/>
      <x:c r="G305" s="74"/>
      <x:c r="H305" s="74"/>
      <x:c r="I305" s="74"/>
      <x:c r="J305" s="74"/>
      <x:c r="K305" s="74"/>
      <x:c r="L305" s="74"/>
      <x:c r="M305" s="91"/>
      <x:c r="N305" s="91"/>
      <x:c r="O305" s="85"/>
      <x:c r="Q305" s="86"/>
      <x:c r="R305" s="32"/>
    </x:row>
    <x:row r="306">
      <x:c r="A306" s="87"/>
      <x:c r="B306" s="88"/>
      <x:c r="D306" s="32"/>
      <x:c r="G306" s="74"/>
      <x:c r="H306" s="74"/>
      <x:c r="I306" s="74"/>
      <x:c r="J306" s="74"/>
      <x:c r="K306" s="74"/>
      <x:c r="L306" s="74"/>
      <x:c r="M306" s="91"/>
      <x:c r="N306" s="91"/>
      <x:c r="O306" s="85"/>
      <x:c r="Q306" s="86"/>
      <x:c r="R306" s="32"/>
    </x:row>
    <x:row r="307">
      <x:c r="A307" s="87"/>
      <x:c r="B307" s="88"/>
      <x:c r="D307" s="32"/>
      <x:c r="G307" s="74"/>
      <x:c r="H307" s="74"/>
      <x:c r="I307" s="74"/>
      <x:c r="J307" s="74"/>
      <x:c r="K307" s="74"/>
      <x:c r="L307" s="74"/>
      <x:c r="M307" s="91"/>
      <x:c r="N307" s="91"/>
      <x:c r="O307" s="85"/>
      <x:c r="Q307" s="86"/>
      <x:c r="R307" s="32"/>
    </x:row>
    <x:row r="308">
      <x:c r="A308" s="87"/>
      <x:c r="B308" s="88"/>
      <x:c r="D308" s="32"/>
      <x:c r="G308" s="74"/>
      <x:c r="H308" s="74"/>
      <x:c r="I308" s="74"/>
      <x:c r="J308" s="74"/>
      <x:c r="K308" s="74"/>
      <x:c r="L308" s="74"/>
      <x:c r="M308" s="91"/>
      <x:c r="N308" s="91"/>
      <x:c r="O308" s="85"/>
      <x:c r="Q308" s="86"/>
      <x:c r="R308" s="32"/>
    </x:row>
    <x:row r="309">
      <x:c r="A309" s="87"/>
      <x:c r="B309" s="88"/>
      <x:c r="D309" s="32"/>
      <x:c r="G309" s="74"/>
      <x:c r="H309" s="74"/>
      <x:c r="I309" s="74"/>
      <x:c r="J309" s="74"/>
      <x:c r="K309" s="74"/>
      <x:c r="L309" s="74"/>
      <x:c r="M309" s="91"/>
      <x:c r="N309" s="91"/>
      <x:c r="O309" s="85"/>
      <x:c r="Q309" s="86"/>
      <x:c r="R309" s="32"/>
    </x:row>
    <x:row r="310">
      <x:c r="A310" s="87"/>
      <x:c r="B310" s="88"/>
      <x:c r="D310" s="32"/>
      <x:c r="G310" s="74"/>
      <x:c r="H310" s="74"/>
      <x:c r="I310" s="74"/>
      <x:c r="J310" s="74"/>
      <x:c r="K310" s="74"/>
      <x:c r="L310" s="74"/>
      <x:c r="M310" s="91"/>
      <x:c r="N310" s="91"/>
      <x:c r="O310" s="85"/>
      <x:c r="Q310" s="86"/>
      <x:c r="R310" s="32"/>
    </x:row>
    <x:row r="311">
      <x:c r="A311" s="87"/>
      <x:c r="B311" s="88"/>
      <x:c r="D311" s="32"/>
      <x:c r="G311" s="74"/>
      <x:c r="H311" s="74"/>
      <x:c r="I311" s="74"/>
      <x:c r="J311" s="74"/>
      <x:c r="K311" s="74"/>
      <x:c r="L311" s="74"/>
      <x:c r="M311" s="91"/>
      <x:c r="N311" s="91"/>
      <x:c r="O311" s="85"/>
      <x:c r="Q311" s="86"/>
      <x:c r="R311" s="32"/>
    </x:row>
    <x:row r="312">
      <x:c r="A312" s="87"/>
      <x:c r="B312" s="88"/>
      <x:c r="D312" s="32"/>
      <x:c r="G312" s="74"/>
      <x:c r="H312" s="74"/>
      <x:c r="I312" s="74"/>
      <x:c r="J312" s="74"/>
      <x:c r="K312" s="74"/>
      <x:c r="L312" s="74"/>
      <x:c r="M312" s="91"/>
      <x:c r="N312" s="91"/>
      <x:c r="O312" s="85"/>
      <x:c r="Q312" s="86"/>
      <x:c r="R312" s="32"/>
    </x:row>
    <x:row r="313">
      <x:c r="A313" s="87"/>
      <x:c r="B313" s="88"/>
      <x:c r="D313" s="32"/>
      <x:c r="G313" s="74"/>
      <x:c r="H313" s="74"/>
      <x:c r="I313" s="74"/>
      <x:c r="J313" s="74"/>
      <x:c r="K313" s="74"/>
      <x:c r="L313" s="74"/>
      <x:c r="M313" s="91"/>
      <x:c r="N313" s="91"/>
      <x:c r="O313" s="85"/>
      <x:c r="Q313" s="86"/>
      <x:c r="R313" s="32"/>
    </x:row>
    <x:row r="314">
      <x:c r="A314" s="87"/>
      <x:c r="B314" s="88"/>
      <x:c r="D314" s="32"/>
      <x:c r="G314" s="74"/>
      <x:c r="H314" s="74"/>
      <x:c r="I314" s="74"/>
      <x:c r="J314" s="74"/>
      <x:c r="K314" s="74"/>
      <x:c r="L314" s="74"/>
      <x:c r="M314" s="91"/>
      <x:c r="N314" s="91"/>
      <x:c r="O314" s="85"/>
      <x:c r="Q314" s="86"/>
      <x:c r="R314" s="32"/>
    </x:row>
    <x:row r="315">
      <x:c r="A315" s="87"/>
      <x:c r="B315" s="88"/>
      <x:c r="D315" s="32"/>
      <x:c r="G315" s="74"/>
      <x:c r="H315" s="74"/>
      <x:c r="I315" s="74"/>
      <x:c r="J315" s="74"/>
      <x:c r="K315" s="74"/>
      <x:c r="L315" s="74"/>
      <x:c r="M315" s="91"/>
      <x:c r="N315" s="91"/>
      <x:c r="O315" s="85"/>
      <x:c r="Q315" s="86"/>
      <x:c r="R315" s="32"/>
    </x:row>
    <x:row r="316">
      <x:c r="A316" s="87"/>
      <x:c r="B316" s="88"/>
      <x:c r="D316" s="32"/>
      <x:c r="G316" s="74"/>
      <x:c r="H316" s="74"/>
      <x:c r="I316" s="74"/>
      <x:c r="J316" s="74"/>
      <x:c r="K316" s="74"/>
      <x:c r="L316" s="74"/>
      <x:c r="M316" s="91"/>
      <x:c r="N316" s="91"/>
      <x:c r="O316" s="85"/>
      <x:c r="Q316" s="86"/>
      <x:c r="R316" s="32"/>
    </x:row>
    <x:row r="317">
      <x:c r="A317" s="87"/>
      <x:c r="B317" s="88"/>
      <x:c r="D317" s="32"/>
      <x:c r="G317" s="74"/>
      <x:c r="H317" s="74"/>
      <x:c r="I317" s="74"/>
      <x:c r="J317" s="74"/>
      <x:c r="K317" s="74"/>
      <x:c r="L317" s="74"/>
      <x:c r="M317" s="91"/>
      <x:c r="N317" s="91"/>
      <x:c r="O317" s="85"/>
      <x:c r="Q317" s="86"/>
      <x:c r="R317" s="32"/>
    </x:row>
    <x:row r="318">
      <x:c r="A318" s="87"/>
      <x:c r="B318" s="88"/>
      <x:c r="D318" s="32"/>
      <x:c r="G318" s="74"/>
      <x:c r="H318" s="74"/>
      <x:c r="I318" s="74"/>
      <x:c r="J318" s="74"/>
      <x:c r="K318" s="74"/>
      <x:c r="L318" s="74"/>
      <x:c r="M318" s="91"/>
      <x:c r="N318" s="91"/>
      <x:c r="O318" s="85"/>
      <x:c r="Q318" s="86"/>
      <x:c r="R318" s="32"/>
    </x:row>
    <x:row r="319">
      <x:c r="A319" s="87"/>
      <x:c r="B319" s="88"/>
      <x:c r="D319" s="32"/>
      <x:c r="G319" s="74"/>
      <x:c r="H319" s="74"/>
      <x:c r="I319" s="74"/>
      <x:c r="J319" s="74"/>
      <x:c r="K319" s="74"/>
      <x:c r="L319" s="74"/>
      <x:c r="M319" s="91"/>
      <x:c r="N319" s="91"/>
      <x:c r="O319" s="85"/>
      <x:c r="Q319" s="86"/>
      <x:c r="R319" s="32"/>
    </x:row>
    <x:row r="320">
      <x:c r="A320" s="87"/>
      <x:c r="B320" s="88"/>
      <x:c r="D320" s="32"/>
      <x:c r="G320" s="74"/>
      <x:c r="H320" s="74"/>
      <x:c r="I320" s="74"/>
      <x:c r="J320" s="74"/>
      <x:c r="K320" s="74"/>
      <x:c r="L320" s="74"/>
      <x:c r="M320" s="91"/>
      <x:c r="N320" s="91"/>
      <x:c r="O320" s="85"/>
      <x:c r="Q320" s="86"/>
      <x:c r="R320" s="32"/>
    </x:row>
    <x:row r="321">
      <x:c r="A321" s="87"/>
      <x:c r="B321" s="88"/>
      <x:c r="D321" s="32"/>
      <x:c r="G321" s="74"/>
      <x:c r="H321" s="74"/>
      <x:c r="I321" s="74"/>
      <x:c r="J321" s="74"/>
      <x:c r="K321" s="74"/>
      <x:c r="L321" s="74"/>
      <x:c r="M321" s="91"/>
      <x:c r="N321" s="91"/>
      <x:c r="O321" s="85"/>
      <x:c r="Q321" s="86"/>
      <x:c r="R321" s="32"/>
    </x:row>
    <x:row r="322">
      <x:c r="A322" s="87"/>
      <x:c r="B322" s="88"/>
      <x:c r="D322" s="32"/>
      <x:c r="G322" s="74"/>
      <x:c r="H322" s="74"/>
      <x:c r="I322" s="74"/>
      <x:c r="J322" s="74"/>
      <x:c r="K322" s="74"/>
      <x:c r="L322" s="74"/>
      <x:c r="M322" s="91"/>
      <x:c r="N322" s="91"/>
      <x:c r="O322" s="85"/>
      <x:c r="Q322" s="86"/>
      <x:c r="R322" s="32"/>
    </x:row>
    <x:row r="323">
      <x:c r="A323" s="87"/>
      <x:c r="B323" s="88"/>
      <x:c r="D323" s="32"/>
      <x:c r="G323" s="74"/>
      <x:c r="H323" s="74"/>
      <x:c r="I323" s="74"/>
      <x:c r="J323" s="74"/>
      <x:c r="K323" s="74"/>
      <x:c r="L323" s="74"/>
      <x:c r="M323" s="91"/>
      <x:c r="N323" s="91"/>
      <x:c r="O323" s="85"/>
      <x:c r="Q323" s="86"/>
      <x:c r="R323" s="32"/>
    </x:row>
    <x:row r="324">
      <x:c r="A324" s="87"/>
      <x:c r="B324" s="88"/>
      <x:c r="D324" s="32"/>
      <x:c r="G324" s="74"/>
      <x:c r="H324" s="74"/>
      <x:c r="I324" s="74"/>
      <x:c r="J324" s="74"/>
      <x:c r="K324" s="74"/>
      <x:c r="L324" s="74"/>
      <x:c r="M324" s="91"/>
      <x:c r="N324" s="91"/>
      <x:c r="O324" s="85"/>
      <x:c r="Q324" s="86"/>
      <x:c r="R324" s="32"/>
    </x:row>
    <x:row r="325">
      <x:c r="A325" s="87"/>
      <x:c r="B325" s="88"/>
      <x:c r="D325" s="32"/>
      <x:c r="G325" s="74"/>
      <x:c r="H325" s="74"/>
      <x:c r="I325" s="74"/>
      <x:c r="J325" s="74"/>
      <x:c r="K325" s="74"/>
      <x:c r="L325" s="74"/>
      <x:c r="M325" s="91"/>
      <x:c r="N325" s="91"/>
      <x:c r="O325" s="85"/>
      <x:c r="Q325" s="86"/>
      <x:c r="R325" s="32"/>
    </x:row>
    <x:row r="326">
      <x:c r="A326" s="87"/>
      <x:c r="B326" s="88"/>
      <x:c r="D326" s="32"/>
      <x:c r="G326" s="74"/>
      <x:c r="H326" s="74"/>
      <x:c r="I326" s="74"/>
      <x:c r="J326" s="74"/>
      <x:c r="K326" s="74"/>
      <x:c r="L326" s="74"/>
      <x:c r="M326" s="91"/>
      <x:c r="N326" s="91"/>
      <x:c r="O326" s="85"/>
      <x:c r="Q326" s="86"/>
      <x:c r="R326" s="32"/>
    </x:row>
    <x:row r="327">
      <x:c r="A327" s="87"/>
      <x:c r="B327" s="88"/>
      <x:c r="D327" s="32"/>
      <x:c r="G327" s="74"/>
      <x:c r="H327" s="74"/>
      <x:c r="I327" s="74"/>
      <x:c r="J327" s="74"/>
      <x:c r="K327" s="74"/>
      <x:c r="L327" s="74"/>
      <x:c r="M327" s="91"/>
      <x:c r="N327" s="91"/>
      <x:c r="O327" s="85"/>
      <x:c r="Q327" s="86"/>
      <x:c r="R327" s="32"/>
    </x:row>
    <x:row r="328">
      <x:c r="A328" s="87"/>
      <x:c r="B328" s="88"/>
      <x:c r="D328" s="32"/>
      <x:c r="G328" s="74"/>
      <x:c r="H328" s="74"/>
      <x:c r="I328" s="74"/>
      <x:c r="J328" s="74"/>
      <x:c r="K328" s="74"/>
      <x:c r="L328" s="74"/>
      <x:c r="M328" s="91"/>
      <x:c r="N328" s="91"/>
      <x:c r="O328" s="85"/>
      <x:c r="Q328" s="86"/>
      <x:c r="R328" s="32"/>
    </x:row>
    <x:row r="329">
      <x:c r="A329" s="87"/>
      <x:c r="B329" s="88"/>
      <x:c r="D329" s="32"/>
      <x:c r="G329" s="74"/>
      <x:c r="H329" s="74"/>
      <x:c r="I329" s="74"/>
      <x:c r="J329" s="74"/>
      <x:c r="K329" s="74"/>
      <x:c r="L329" s="74"/>
      <x:c r="M329" s="91"/>
      <x:c r="N329" s="91"/>
      <x:c r="O329" s="85"/>
      <x:c r="Q329" s="86"/>
      <x:c r="R329" s="32"/>
    </x:row>
    <x:row r="330">
      <x:c r="A330" s="87"/>
      <x:c r="B330" s="88"/>
      <x:c r="D330" s="32"/>
      <x:c r="G330" s="74"/>
      <x:c r="H330" s="74"/>
      <x:c r="I330" s="74"/>
      <x:c r="J330" s="74"/>
      <x:c r="K330" s="74"/>
      <x:c r="L330" s="74"/>
      <x:c r="M330" s="91"/>
      <x:c r="N330" s="91"/>
      <x:c r="O330" s="85"/>
      <x:c r="Q330" s="86"/>
      <x:c r="R330" s="32"/>
    </x:row>
    <x:row r="331">
      <x:c r="A331" s="87"/>
      <x:c r="B331" s="88"/>
      <x:c r="D331" s="32"/>
      <x:c r="G331" s="74"/>
      <x:c r="H331" s="74"/>
      <x:c r="I331" s="74"/>
      <x:c r="J331" s="74"/>
      <x:c r="K331" s="74"/>
      <x:c r="L331" s="74"/>
      <x:c r="M331" s="91"/>
      <x:c r="N331" s="91"/>
      <x:c r="O331" s="85"/>
      <x:c r="Q331" s="86"/>
      <x:c r="R331" s="32"/>
    </x:row>
    <x:row r="332">
      <x:c r="A332" s="87"/>
      <x:c r="B332" s="88"/>
      <x:c r="D332" s="32"/>
      <x:c r="G332" s="74"/>
      <x:c r="H332" s="74"/>
      <x:c r="I332" s="74"/>
      <x:c r="J332" s="74"/>
      <x:c r="K332" s="74"/>
      <x:c r="L332" s="74"/>
      <x:c r="M332" s="91"/>
      <x:c r="N332" s="91"/>
      <x:c r="O332" s="85"/>
      <x:c r="Q332" s="86"/>
      <x:c r="R332" s="32"/>
    </x:row>
    <x:row r="333">
      <x:c r="A333" s="87"/>
      <x:c r="B333" s="88"/>
      <x:c r="D333" s="32"/>
      <x:c r="G333" s="74"/>
      <x:c r="H333" s="74"/>
      <x:c r="I333" s="74"/>
      <x:c r="J333" s="74"/>
      <x:c r="K333" s="74"/>
      <x:c r="L333" s="74"/>
      <x:c r="M333" s="91"/>
      <x:c r="N333" s="91"/>
      <x:c r="O333" s="85"/>
      <x:c r="Q333" s="86"/>
      <x:c r="R333" s="32"/>
    </x:row>
    <x:row r="334">
      <x:c r="A334" s="87"/>
      <x:c r="B334" s="88"/>
      <x:c r="D334" s="32"/>
      <x:c r="G334" s="74"/>
      <x:c r="H334" s="74"/>
      <x:c r="I334" s="74"/>
      <x:c r="J334" s="74"/>
      <x:c r="K334" s="74"/>
      <x:c r="L334" s="74"/>
      <x:c r="M334" s="91"/>
      <x:c r="N334" s="91"/>
      <x:c r="O334" s="85"/>
      <x:c r="Q334" s="86"/>
      <x:c r="R334" s="32"/>
    </x:row>
    <x:row r="335">
      <x:c r="A335" s="87"/>
      <x:c r="B335" s="88"/>
      <x:c r="D335" s="32"/>
      <x:c r="G335" s="74"/>
      <x:c r="H335" s="74"/>
      <x:c r="I335" s="74"/>
      <x:c r="J335" s="74"/>
      <x:c r="K335" s="74"/>
      <x:c r="L335" s="74"/>
      <x:c r="M335" s="91"/>
      <x:c r="N335" s="91"/>
      <x:c r="O335" s="85"/>
      <x:c r="Q335" s="86"/>
      <x:c r="R335" s="32"/>
    </x:row>
    <x:row r="336">
      <x:c r="A336" s="87"/>
      <x:c r="B336" s="88"/>
      <x:c r="D336" s="32"/>
      <x:c r="G336" s="74"/>
      <x:c r="H336" s="74"/>
      <x:c r="I336" s="74"/>
      <x:c r="J336" s="74"/>
      <x:c r="K336" s="74"/>
      <x:c r="L336" s="74"/>
      <x:c r="M336" s="91"/>
      <x:c r="N336" s="91"/>
      <x:c r="O336" s="85"/>
      <x:c r="Q336" s="86"/>
      <x:c r="R336" s="32"/>
    </x:row>
    <x:row r="337">
      <x:c r="A337" s="87"/>
      <x:c r="B337" s="88"/>
      <x:c r="D337" s="32"/>
      <x:c r="G337" s="74"/>
      <x:c r="H337" s="74"/>
      <x:c r="I337" s="74"/>
      <x:c r="J337" s="74"/>
      <x:c r="K337" s="74"/>
      <x:c r="L337" s="74"/>
      <x:c r="M337" s="91"/>
      <x:c r="N337" s="91"/>
      <x:c r="O337" s="85"/>
      <x:c r="Q337" s="86"/>
      <x:c r="R337" s="32"/>
    </x:row>
    <x:row r="338">
      <x:c r="A338" s="87"/>
      <x:c r="B338" s="88"/>
      <x:c r="D338" s="32"/>
      <x:c r="G338" s="74"/>
      <x:c r="H338" s="74"/>
      <x:c r="I338" s="74"/>
      <x:c r="J338" s="74"/>
      <x:c r="K338" s="74"/>
      <x:c r="L338" s="74"/>
      <x:c r="M338" s="91"/>
      <x:c r="N338" s="91"/>
      <x:c r="O338" s="85"/>
      <x:c r="Q338" s="86"/>
      <x:c r="R338" s="32"/>
    </x:row>
    <x:row r="339">
      <x:c r="A339" s="87"/>
      <x:c r="B339" s="88"/>
      <x:c r="D339" s="32"/>
      <x:c r="G339" s="74"/>
      <x:c r="H339" s="74"/>
      <x:c r="I339" s="74"/>
      <x:c r="J339" s="74"/>
      <x:c r="K339" s="74"/>
      <x:c r="L339" s="74"/>
      <x:c r="M339" s="91"/>
      <x:c r="N339" s="91"/>
      <x:c r="O339" s="85"/>
      <x:c r="Q339" s="86"/>
      <x:c r="R339" s="32"/>
    </x:row>
    <x:row r="340">
      <x:c r="A340" s="87"/>
      <x:c r="B340" s="88"/>
      <x:c r="D340" s="32"/>
      <x:c r="G340" s="74"/>
      <x:c r="H340" s="74"/>
      <x:c r="I340" s="74"/>
      <x:c r="J340" s="74"/>
      <x:c r="K340" s="74"/>
      <x:c r="L340" s="74"/>
      <x:c r="M340" s="91"/>
      <x:c r="N340" s="91"/>
      <x:c r="O340" s="85"/>
      <x:c r="Q340" s="86"/>
      <x:c r="R340" s="32"/>
    </x:row>
    <x:row r="341">
      <x:c r="A341" s="87"/>
      <x:c r="B341" s="88"/>
      <x:c r="D341" s="32"/>
      <x:c r="G341" s="74"/>
      <x:c r="H341" s="74"/>
      <x:c r="I341" s="74"/>
      <x:c r="J341" s="74"/>
      <x:c r="K341" s="74"/>
      <x:c r="L341" s="74"/>
      <x:c r="M341" s="91"/>
      <x:c r="N341" s="91"/>
      <x:c r="O341" s="85"/>
      <x:c r="Q341" s="86"/>
      <x:c r="R341" s="32"/>
    </x:row>
    <x:row r="342">
      <x:c r="A342" s="87"/>
      <x:c r="B342" s="88"/>
      <x:c r="D342" s="32"/>
      <x:c r="G342" s="74"/>
      <x:c r="H342" s="74"/>
      <x:c r="I342" s="74"/>
      <x:c r="J342" s="74"/>
      <x:c r="K342" s="74"/>
      <x:c r="L342" s="74"/>
      <x:c r="M342" s="91"/>
      <x:c r="N342" s="91"/>
      <x:c r="O342" s="85"/>
      <x:c r="Q342" s="86"/>
      <x:c r="R342" s="32"/>
    </x:row>
    <x:row r="343">
      <x:c r="A343" s="87"/>
      <x:c r="B343" s="88"/>
      <x:c r="D343" s="32"/>
      <x:c r="G343" s="74"/>
      <x:c r="H343" s="74"/>
      <x:c r="I343" s="74"/>
      <x:c r="J343" s="74"/>
      <x:c r="K343" s="74"/>
      <x:c r="L343" s="74"/>
      <x:c r="M343" s="91"/>
      <x:c r="N343" s="91"/>
      <x:c r="O343" s="85"/>
      <x:c r="Q343" s="86"/>
      <x:c r="R343" s="32"/>
    </x:row>
    <x:row r="344">
      <x:c r="A344" s="87"/>
      <x:c r="B344" s="88"/>
      <x:c r="D344" s="32"/>
      <x:c r="G344" s="74"/>
      <x:c r="H344" s="74"/>
      <x:c r="I344" s="74"/>
      <x:c r="J344" s="74"/>
      <x:c r="K344" s="74"/>
      <x:c r="L344" s="74"/>
      <x:c r="M344" s="91"/>
      <x:c r="N344" s="91"/>
      <x:c r="O344" s="85"/>
      <x:c r="Q344" s="86"/>
      <x:c r="R344" s="32"/>
    </x:row>
    <x:row r="345">
      <x:c r="A345" s="87"/>
      <x:c r="B345" s="88"/>
      <x:c r="D345" s="32"/>
      <x:c r="G345" s="74"/>
      <x:c r="H345" s="74"/>
      <x:c r="I345" s="74"/>
      <x:c r="J345" s="74"/>
      <x:c r="K345" s="74"/>
      <x:c r="L345" s="74"/>
      <x:c r="M345" s="91"/>
      <x:c r="N345" s="91"/>
      <x:c r="O345" s="85"/>
      <x:c r="Q345" s="86"/>
      <x:c r="R345" s="32"/>
    </x:row>
    <x:row r="346">
      <x:c r="A346" s="87"/>
      <x:c r="B346" s="88"/>
      <x:c r="D346" s="32"/>
      <x:c r="G346" s="74"/>
      <x:c r="H346" s="74"/>
      <x:c r="I346" s="74"/>
      <x:c r="J346" s="74"/>
      <x:c r="K346" s="74"/>
      <x:c r="L346" s="74"/>
      <x:c r="M346" s="91"/>
      <x:c r="N346" s="91"/>
      <x:c r="O346" s="85"/>
      <x:c r="Q346" s="86"/>
      <x:c r="R346" s="32"/>
    </x:row>
    <x:row r="347">
      <x:c r="A347" s="87"/>
      <x:c r="B347" s="88"/>
      <x:c r="D347" s="32"/>
      <x:c r="G347" s="74"/>
      <x:c r="H347" s="74"/>
      <x:c r="I347" s="74"/>
      <x:c r="J347" s="74"/>
      <x:c r="K347" s="74"/>
      <x:c r="L347" s="74"/>
      <x:c r="M347" s="91"/>
      <x:c r="N347" s="91"/>
      <x:c r="O347" s="85"/>
      <x:c r="Q347" s="86"/>
      <x:c r="R347" s="32"/>
    </x:row>
    <x:row r="348">
      <x:c r="A348" s="87"/>
      <x:c r="B348" s="88"/>
      <x:c r="D348" s="32"/>
      <x:c r="G348" s="74"/>
      <x:c r="H348" s="74"/>
      <x:c r="I348" s="74"/>
      <x:c r="J348" s="74"/>
      <x:c r="K348" s="74"/>
      <x:c r="L348" s="74"/>
      <x:c r="M348" s="91"/>
      <x:c r="N348" s="91"/>
      <x:c r="O348" s="85"/>
      <x:c r="Q348" s="86"/>
      <x:c r="R348" s="32"/>
    </x:row>
    <x:row r="349">
      <x:c r="A349" s="87"/>
      <x:c r="B349" s="88"/>
      <x:c r="D349" s="32"/>
      <x:c r="G349" s="74"/>
      <x:c r="H349" s="74"/>
      <x:c r="I349" s="74"/>
      <x:c r="J349" s="74"/>
      <x:c r="K349" s="74"/>
      <x:c r="L349" s="74"/>
      <x:c r="M349" s="91"/>
      <x:c r="N349" s="91"/>
      <x:c r="O349" s="85"/>
      <x:c r="Q349" s="86"/>
      <x:c r="R349" s="32"/>
    </x:row>
    <x:row r="350">
      <x:c r="A350" s="87"/>
      <x:c r="B350" s="88"/>
      <x:c r="D350" s="32"/>
      <x:c r="G350" s="74"/>
      <x:c r="H350" s="74"/>
      <x:c r="I350" s="74"/>
      <x:c r="J350" s="74"/>
      <x:c r="K350" s="74"/>
      <x:c r="L350" s="74"/>
      <x:c r="M350" s="91"/>
      <x:c r="N350" s="91"/>
      <x:c r="O350" s="85"/>
      <x:c r="Q350" s="86"/>
      <x:c r="R350" s="32"/>
    </x:row>
    <x:row r="351">
      <x:c r="A351" s="87"/>
      <x:c r="B351" s="88"/>
      <x:c r="D351" s="32"/>
      <x:c r="G351" s="74"/>
      <x:c r="H351" s="74"/>
      <x:c r="I351" s="74"/>
      <x:c r="J351" s="74"/>
      <x:c r="K351" s="74"/>
      <x:c r="L351" s="74"/>
      <x:c r="M351" s="91"/>
      <x:c r="N351" s="91"/>
      <x:c r="O351" s="85"/>
      <x:c r="Q351" s="86"/>
      <x:c r="R351" s="32"/>
    </x:row>
    <x:row r="352">
      <x:c r="A352" s="87"/>
      <x:c r="B352" s="88"/>
      <x:c r="D352" s="32"/>
      <x:c r="G352" s="74"/>
      <x:c r="H352" s="74"/>
      <x:c r="I352" s="74"/>
      <x:c r="J352" s="74"/>
      <x:c r="K352" s="74"/>
      <x:c r="L352" s="74"/>
      <x:c r="M352" s="91"/>
      <x:c r="N352" s="91"/>
      <x:c r="O352" s="85"/>
      <x:c r="Q352" s="86"/>
      <x:c r="R352" s="32"/>
    </x:row>
    <x:row r="353">
      <x:c r="A353" s="87"/>
      <x:c r="B353" s="88"/>
      <x:c r="D353" s="32"/>
      <x:c r="G353" s="74"/>
      <x:c r="H353" s="74"/>
      <x:c r="I353" s="74"/>
      <x:c r="J353" s="74"/>
      <x:c r="K353" s="74"/>
      <x:c r="L353" s="74"/>
      <x:c r="M353" s="91"/>
      <x:c r="N353" s="91"/>
      <x:c r="O353" s="85"/>
      <x:c r="Q353" s="86"/>
      <x:c r="R353" s="32"/>
    </x:row>
    <x:row r="354">
      <x:c r="A354" s="87"/>
      <x:c r="B354" s="88"/>
      <x:c r="D354" s="32"/>
      <x:c r="G354" s="74"/>
      <x:c r="H354" s="74"/>
      <x:c r="I354" s="74"/>
      <x:c r="J354" s="74"/>
      <x:c r="K354" s="74"/>
      <x:c r="L354" s="74"/>
      <x:c r="M354" s="91"/>
      <x:c r="N354" s="91"/>
      <x:c r="O354" s="85"/>
      <x:c r="Q354" s="86"/>
      <x:c r="R354" s="32"/>
    </x:row>
    <x:row r="355">
      <x:c r="A355" s="87"/>
      <x:c r="B355" s="88"/>
      <x:c r="D355" s="32"/>
      <x:c r="G355" s="74"/>
      <x:c r="H355" s="74"/>
      <x:c r="I355" s="74"/>
      <x:c r="J355" s="74"/>
      <x:c r="K355" s="74"/>
      <x:c r="L355" s="74"/>
      <x:c r="M355" s="91"/>
      <x:c r="N355" s="91"/>
      <x:c r="O355" s="85"/>
      <x:c r="Q355" s="86"/>
      <x:c r="R355" s="32"/>
    </x:row>
    <x:row r="356">
      <x:c r="A356" s="87"/>
      <x:c r="B356" s="88"/>
      <x:c r="D356" s="32"/>
      <x:c r="G356" s="74"/>
      <x:c r="H356" s="74"/>
      <x:c r="I356" s="74"/>
      <x:c r="J356" s="74"/>
      <x:c r="K356" s="74"/>
      <x:c r="L356" s="74"/>
      <x:c r="M356" s="91"/>
      <x:c r="N356" s="91"/>
      <x:c r="O356" s="85"/>
      <x:c r="Q356" s="86"/>
      <x:c r="R356" s="32"/>
    </x:row>
    <x:row r="357">
      <x:c r="A357" s="87"/>
      <x:c r="B357" s="88"/>
      <x:c r="D357" s="32"/>
      <x:c r="G357" s="74"/>
      <x:c r="H357" s="74"/>
      <x:c r="I357" s="74"/>
      <x:c r="J357" s="74"/>
      <x:c r="K357" s="74"/>
      <x:c r="L357" s="74"/>
      <x:c r="M357" s="91"/>
      <x:c r="N357" s="91"/>
      <x:c r="O357" s="85"/>
      <x:c r="Q357" s="86"/>
      <x:c r="R357" s="32"/>
    </x:row>
    <x:row r="358">
      <x:c r="A358" s="87"/>
      <x:c r="B358" s="88"/>
      <x:c r="D358" s="32"/>
      <x:c r="G358" s="74"/>
      <x:c r="H358" s="74"/>
      <x:c r="I358" s="74"/>
      <x:c r="J358" s="74"/>
      <x:c r="K358" s="74"/>
      <x:c r="L358" s="74"/>
      <x:c r="M358" s="91"/>
      <x:c r="N358" s="91"/>
      <x:c r="O358" s="85"/>
      <x:c r="Q358" s="86"/>
      <x:c r="R358" s="32"/>
    </x:row>
    <x:row r="359">
      <x:c r="A359" s="87"/>
      <x:c r="B359" s="88"/>
      <x:c r="D359" s="32"/>
      <x:c r="G359" s="74"/>
      <x:c r="H359" s="74"/>
      <x:c r="I359" s="74"/>
      <x:c r="J359" s="74"/>
      <x:c r="K359" s="74"/>
      <x:c r="L359" s="74"/>
      <x:c r="M359" s="91"/>
      <x:c r="N359" s="91"/>
      <x:c r="O359" s="85"/>
      <x:c r="Q359" s="86"/>
      <x:c r="R359" s="32"/>
    </x:row>
    <x:row r="360">
      <x:c r="A360" s="87"/>
      <x:c r="B360" s="88"/>
      <x:c r="D360" s="32"/>
      <x:c r="G360" s="74"/>
      <x:c r="H360" s="74"/>
      <x:c r="I360" s="74"/>
      <x:c r="J360" s="74"/>
      <x:c r="K360" s="74"/>
      <x:c r="L360" s="74"/>
      <x:c r="M360" s="91"/>
      <x:c r="N360" s="91"/>
      <x:c r="O360" s="85"/>
      <x:c r="Q360" s="86"/>
      <x:c r="R360" s="32"/>
    </x:row>
    <x:row r="361">
      <x:c r="A361" s="87"/>
      <x:c r="B361" s="88"/>
      <x:c r="D361" s="32"/>
      <x:c r="G361" s="74"/>
      <x:c r="H361" s="74"/>
      <x:c r="I361" s="74"/>
      <x:c r="J361" s="74"/>
      <x:c r="K361" s="74"/>
      <x:c r="L361" s="74"/>
      <x:c r="M361" s="91"/>
      <x:c r="N361" s="91"/>
      <x:c r="O361" s="85"/>
      <x:c r="Q361" s="86"/>
      <x:c r="R361" s="32"/>
    </x:row>
    <x:row r="362">
      <x:c r="A362" s="87"/>
      <x:c r="B362" s="88"/>
      <x:c r="D362" s="32"/>
      <x:c r="G362" s="74"/>
      <x:c r="H362" s="74"/>
      <x:c r="I362" s="74"/>
      <x:c r="J362" s="74"/>
      <x:c r="K362" s="74"/>
      <x:c r="L362" s="74"/>
      <x:c r="M362" s="91"/>
      <x:c r="N362" s="91"/>
      <x:c r="O362" s="85"/>
      <x:c r="Q362" s="86"/>
      <x:c r="R362" s="32"/>
    </x:row>
    <x:row r="363">
      <x:c r="A363" s="87"/>
      <x:c r="B363" s="88"/>
      <x:c r="D363" s="32"/>
      <x:c r="G363" s="74"/>
      <x:c r="H363" s="74"/>
      <x:c r="I363" s="74"/>
      <x:c r="J363" s="74"/>
      <x:c r="K363" s="74"/>
      <x:c r="L363" s="74"/>
      <x:c r="M363" s="91"/>
      <x:c r="N363" s="91"/>
      <x:c r="O363" s="85"/>
      <x:c r="Q363" s="86"/>
      <x:c r="R363" s="32"/>
    </x:row>
    <x:row r="364">
      <x:c r="A364" s="87"/>
      <x:c r="B364" s="88"/>
      <x:c r="D364" s="32"/>
      <x:c r="G364" s="74"/>
      <x:c r="H364" s="74"/>
      <x:c r="I364" s="74"/>
      <x:c r="J364" s="74"/>
      <x:c r="K364" s="74"/>
      <x:c r="L364" s="74"/>
      <x:c r="M364" s="91"/>
      <x:c r="N364" s="91"/>
      <x:c r="O364" s="85"/>
      <x:c r="Q364" s="86"/>
      <x:c r="R364" s="32"/>
    </x:row>
    <x:row r="365">
      <x:c r="A365" s="87"/>
      <x:c r="B365" s="88"/>
      <x:c r="D365" s="32"/>
      <x:c r="G365" s="74"/>
      <x:c r="H365" s="74"/>
      <x:c r="I365" s="74"/>
      <x:c r="J365" s="74"/>
      <x:c r="K365" s="74"/>
      <x:c r="L365" s="74"/>
      <x:c r="M365" s="91"/>
      <x:c r="N365" s="91"/>
      <x:c r="O365" s="85"/>
      <x:c r="Q365" s="86"/>
      <x:c r="R365" s="32"/>
    </x:row>
    <x:row r="366">
      <x:c r="A366" s="87"/>
      <x:c r="B366" s="88"/>
      <x:c r="D366" s="32"/>
      <x:c r="G366" s="74"/>
      <x:c r="H366" s="74"/>
      <x:c r="I366" s="74"/>
      <x:c r="J366" s="74"/>
      <x:c r="K366" s="74"/>
      <x:c r="L366" s="74"/>
      <x:c r="M366" s="91"/>
      <x:c r="N366" s="91"/>
      <x:c r="O366" s="85"/>
      <x:c r="Q366" s="86"/>
      <x:c r="R366" s="32"/>
    </x:row>
    <x:row r="367">
      <x:c r="A367" s="87"/>
      <x:c r="B367" s="88"/>
      <x:c r="D367" s="32"/>
      <x:c r="G367" s="74"/>
      <x:c r="H367" s="74"/>
      <x:c r="I367" s="74"/>
      <x:c r="J367" s="74"/>
      <x:c r="K367" s="74"/>
      <x:c r="L367" s="74"/>
      <x:c r="M367" s="91"/>
      <x:c r="N367" s="91"/>
      <x:c r="O367" s="85"/>
      <x:c r="Q367" s="86"/>
      <x:c r="R367" s="32"/>
    </x:row>
    <x:row r="368">
      <x:c r="A368" s="87"/>
      <x:c r="B368" s="88"/>
      <x:c r="D368" s="32"/>
      <x:c r="G368" s="74"/>
      <x:c r="H368" s="74"/>
      <x:c r="I368" s="74"/>
      <x:c r="J368" s="74"/>
      <x:c r="K368" s="74"/>
      <x:c r="L368" s="74"/>
      <x:c r="M368" s="91"/>
      <x:c r="N368" s="91"/>
      <x:c r="O368" s="85"/>
      <x:c r="Q368" s="86"/>
      <x:c r="R368" s="32"/>
    </x:row>
    <x:row r="369">
      <x:c r="A369" s="87"/>
      <x:c r="B369" s="88"/>
      <x:c r="D369" s="32"/>
      <x:c r="G369" s="74"/>
      <x:c r="H369" s="74"/>
      <x:c r="I369" s="74"/>
      <x:c r="J369" s="74"/>
      <x:c r="K369" s="74"/>
      <x:c r="L369" s="74"/>
      <x:c r="M369" s="91"/>
      <x:c r="N369" s="91"/>
      <x:c r="O369" s="85"/>
      <x:c r="Q369" s="86"/>
      <x:c r="R369" s="32"/>
    </x:row>
    <x:row r="370">
      <x:c r="A370" s="87"/>
      <x:c r="B370" s="88"/>
      <x:c r="D370" s="32"/>
      <x:c r="G370" s="74"/>
      <x:c r="H370" s="74"/>
      <x:c r="I370" s="74"/>
      <x:c r="J370" s="74"/>
      <x:c r="K370" s="74"/>
      <x:c r="L370" s="74"/>
      <x:c r="M370" s="91"/>
      <x:c r="N370" s="91"/>
      <x:c r="O370" s="85"/>
      <x:c r="Q370" s="86"/>
      <x:c r="R370" s="32"/>
    </x:row>
    <x:row r="371">
      <x:c r="A371" s="87"/>
      <x:c r="B371" s="88"/>
      <x:c r="D371" s="32"/>
      <x:c r="G371" s="74"/>
      <x:c r="H371" s="74"/>
      <x:c r="I371" s="74"/>
      <x:c r="J371" s="74"/>
      <x:c r="K371" s="74"/>
      <x:c r="L371" s="74"/>
      <x:c r="M371" s="91"/>
      <x:c r="N371" s="91"/>
      <x:c r="O371" s="85"/>
      <x:c r="Q371" s="86"/>
      <x:c r="R371" s="32"/>
    </x:row>
    <x:row r="372">
      <x:c r="A372" s="87"/>
      <x:c r="B372" s="88"/>
      <x:c r="D372" s="32"/>
      <x:c r="G372" s="74"/>
      <x:c r="H372" s="74"/>
      <x:c r="I372" s="74"/>
      <x:c r="J372" s="74"/>
      <x:c r="K372" s="74"/>
      <x:c r="L372" s="74"/>
      <x:c r="M372" s="91"/>
      <x:c r="N372" s="91"/>
      <x:c r="O372" s="85"/>
      <x:c r="Q372" s="86"/>
      <x:c r="R372" s="32"/>
    </x:row>
    <x:row r="373">
      <x:c r="A373" s="87"/>
      <x:c r="B373" s="88"/>
      <x:c r="D373" s="32"/>
      <x:c r="G373" s="74"/>
      <x:c r="H373" s="74"/>
      <x:c r="I373" s="74"/>
      <x:c r="J373" s="74"/>
      <x:c r="K373" s="74"/>
      <x:c r="L373" s="74"/>
      <x:c r="M373" s="91"/>
      <x:c r="N373" s="91"/>
      <x:c r="O373" s="85"/>
      <x:c r="Q373" s="86"/>
      <x:c r="R373" s="32"/>
    </x:row>
    <x:row r="374">
      <x:c r="A374" s="87"/>
      <x:c r="B374" s="88"/>
      <x:c r="D374" s="32"/>
      <x:c r="G374" s="74"/>
      <x:c r="H374" s="74"/>
      <x:c r="I374" s="74"/>
      <x:c r="J374" s="74"/>
      <x:c r="K374" s="74"/>
      <x:c r="L374" s="74"/>
      <x:c r="M374" s="91"/>
      <x:c r="N374" s="91"/>
      <x:c r="O374" s="85"/>
      <x:c r="Q374" s="86"/>
      <x:c r="R374" s="32"/>
    </x:row>
    <x:row r="375">
      <x:c r="A375" s="87"/>
      <x:c r="B375" s="88"/>
      <x:c r="D375" s="32"/>
      <x:c r="G375" s="74"/>
      <x:c r="H375" s="74"/>
      <x:c r="I375" s="74"/>
      <x:c r="J375" s="74"/>
      <x:c r="K375" s="74"/>
      <x:c r="L375" s="74"/>
      <x:c r="M375" s="91"/>
      <x:c r="N375" s="91"/>
      <x:c r="O375" s="85"/>
      <x:c r="Q375" s="86"/>
      <x:c r="R375" s="32"/>
    </x:row>
    <x:row r="376">
      <x:c r="A376" s="87"/>
      <x:c r="B376" s="88"/>
      <x:c r="D376" s="32"/>
      <x:c r="G376" s="74"/>
      <x:c r="H376" s="74"/>
      <x:c r="I376" s="74"/>
      <x:c r="J376" s="74"/>
      <x:c r="K376" s="74"/>
      <x:c r="L376" s="74"/>
      <x:c r="M376" s="91"/>
      <x:c r="N376" s="91"/>
      <x:c r="O376" s="85"/>
      <x:c r="Q376" s="86"/>
      <x:c r="R376" s="32"/>
    </x:row>
    <x:row r="377">
      <x:c r="A377" s="87"/>
      <x:c r="B377" s="88"/>
      <x:c r="D377" s="32"/>
      <x:c r="G377" s="74"/>
      <x:c r="H377" s="74"/>
      <x:c r="I377" s="74"/>
      <x:c r="J377" s="74"/>
      <x:c r="K377" s="74"/>
      <x:c r="L377" s="74"/>
      <x:c r="M377" s="91"/>
      <x:c r="N377" s="91"/>
      <x:c r="O377" s="85"/>
      <x:c r="Q377" s="86"/>
      <x:c r="R377" s="32"/>
    </x:row>
    <x:row r="378">
      <x:c r="A378" s="87"/>
      <x:c r="B378" s="88"/>
      <x:c r="D378" s="32"/>
      <x:c r="G378" s="74"/>
      <x:c r="H378" s="74"/>
      <x:c r="I378" s="74"/>
      <x:c r="J378" s="74"/>
      <x:c r="K378" s="74"/>
      <x:c r="L378" s="74"/>
      <x:c r="M378" s="91"/>
      <x:c r="N378" s="91"/>
      <x:c r="O378" s="85"/>
      <x:c r="Q378" s="86"/>
      <x:c r="R378" s="32"/>
    </x:row>
    <x:row r="379">
      <x:c r="A379" s="87"/>
      <x:c r="B379" s="88"/>
      <x:c r="D379" s="32"/>
      <x:c r="G379" s="74"/>
      <x:c r="H379" s="74"/>
      <x:c r="I379" s="74"/>
      <x:c r="J379" s="74"/>
      <x:c r="K379" s="74"/>
      <x:c r="L379" s="74"/>
      <x:c r="M379" s="91"/>
      <x:c r="N379" s="91"/>
      <x:c r="O379" s="85"/>
      <x:c r="Q379" s="86"/>
      <x:c r="R379" s="32"/>
    </x:row>
    <x:row r="380">
      <x:c r="A380" s="87"/>
      <x:c r="B380" s="88"/>
      <x:c r="D380" s="32"/>
      <x:c r="G380" s="74"/>
      <x:c r="H380" s="74"/>
      <x:c r="I380" s="74"/>
      <x:c r="J380" s="74"/>
      <x:c r="K380" s="74"/>
      <x:c r="L380" s="74"/>
      <x:c r="M380" s="91"/>
      <x:c r="N380" s="91"/>
      <x:c r="O380" s="85"/>
      <x:c r="Q380" s="86"/>
      <x:c r="R380" s="32"/>
    </x:row>
    <x:row r="381">
      <x:c r="A381" s="87"/>
      <x:c r="B381" s="88"/>
      <x:c r="D381" s="32"/>
      <x:c r="G381" s="74"/>
      <x:c r="H381" s="74"/>
      <x:c r="I381" s="74"/>
      <x:c r="J381" s="74"/>
      <x:c r="K381" s="74"/>
      <x:c r="L381" s="74"/>
      <x:c r="M381" s="91"/>
      <x:c r="N381" s="91"/>
      <x:c r="O381" s="85"/>
      <x:c r="Q381" s="86"/>
      <x:c r="R381" s="32"/>
    </x:row>
    <x:row r="382">
      <x:c r="A382" s="87"/>
      <x:c r="B382" s="88"/>
      <x:c r="D382" s="32"/>
      <x:c r="G382" s="74"/>
      <x:c r="H382" s="74"/>
      <x:c r="I382" s="74"/>
      <x:c r="J382" s="74"/>
      <x:c r="K382" s="74"/>
      <x:c r="L382" s="74"/>
      <x:c r="M382" s="91"/>
      <x:c r="N382" s="91"/>
      <x:c r="O382" s="85"/>
      <x:c r="Q382" s="86"/>
      <x:c r="R382" s="32"/>
    </x:row>
    <x:row r="383">
      <x:c r="A383" s="87"/>
      <x:c r="B383" s="88"/>
      <x:c r="D383" s="32"/>
      <x:c r="G383" s="74"/>
      <x:c r="H383" s="74"/>
      <x:c r="I383" s="74"/>
      <x:c r="J383" s="74"/>
      <x:c r="K383" s="74"/>
      <x:c r="L383" s="74"/>
      <x:c r="M383" s="91"/>
      <x:c r="N383" s="91"/>
      <x:c r="O383" s="85"/>
      <x:c r="Q383" s="86"/>
      <x:c r="R383" s="32"/>
    </x:row>
    <x:row r="384">
      <x:c r="A384" s="87"/>
      <x:c r="B384" s="88"/>
      <x:c r="D384" s="32"/>
      <x:c r="G384" s="74"/>
      <x:c r="H384" s="74"/>
      <x:c r="I384" s="74"/>
      <x:c r="J384" s="74"/>
      <x:c r="K384" s="74"/>
      <x:c r="L384" s="74"/>
      <x:c r="M384" s="91"/>
      <x:c r="N384" s="91"/>
      <x:c r="O384" s="85"/>
      <x:c r="Q384" s="86"/>
      <x:c r="R384" s="32"/>
    </x:row>
    <x:row r="385">
      <x:c r="A385" s="87"/>
      <x:c r="B385" s="88"/>
      <x:c r="D385" s="32"/>
      <x:c r="G385" s="74"/>
      <x:c r="H385" s="74"/>
      <x:c r="I385" s="74"/>
      <x:c r="J385" s="74"/>
      <x:c r="K385" s="74"/>
      <x:c r="L385" s="74"/>
      <x:c r="M385" s="91"/>
      <x:c r="N385" s="91"/>
      <x:c r="O385" s="85"/>
      <x:c r="Q385" s="86"/>
      <x:c r="R385" s="32"/>
    </x:row>
    <x:row r="386">
      <x:c r="A386" s="87"/>
      <x:c r="B386" s="88"/>
      <x:c r="D386" s="32"/>
      <x:c r="G386" s="74"/>
      <x:c r="H386" s="74"/>
      <x:c r="I386" s="74"/>
      <x:c r="J386" s="74"/>
      <x:c r="K386" s="74"/>
      <x:c r="L386" s="74"/>
      <x:c r="M386" s="91"/>
      <x:c r="N386" s="91"/>
      <x:c r="O386" s="85"/>
      <x:c r="Q386" s="86"/>
      <x:c r="R386" s="32"/>
    </x:row>
    <x:row r="387">
      <x:c r="A387" s="87"/>
      <x:c r="B387" s="88"/>
      <x:c r="D387" s="32"/>
      <x:c r="G387" s="74"/>
      <x:c r="H387" s="74"/>
      <x:c r="I387" s="74"/>
      <x:c r="J387" s="74"/>
      <x:c r="K387" s="74"/>
      <x:c r="L387" s="74"/>
      <x:c r="M387" s="91"/>
      <x:c r="N387" s="91"/>
      <x:c r="O387" s="85"/>
      <x:c r="Q387" s="86"/>
      <x:c r="R387" s="32"/>
    </x:row>
    <x:row r="388">
      <x:c r="A388" s="87"/>
      <x:c r="B388" s="88"/>
      <x:c r="D388" s="32"/>
      <x:c r="G388" s="74"/>
      <x:c r="H388" s="74"/>
      <x:c r="I388" s="74"/>
      <x:c r="J388" s="74"/>
      <x:c r="K388" s="74"/>
      <x:c r="L388" s="74"/>
      <x:c r="M388" s="91"/>
      <x:c r="N388" s="91"/>
      <x:c r="O388" s="85"/>
      <x:c r="Q388" s="86"/>
      <x:c r="R388" s="32"/>
    </x:row>
    <x:row r="389">
      <x:c r="A389" s="87"/>
      <x:c r="B389" s="88"/>
      <x:c r="D389" s="32"/>
      <x:c r="G389" s="74"/>
      <x:c r="H389" s="74"/>
      <x:c r="I389" s="74"/>
      <x:c r="J389" s="74"/>
      <x:c r="K389" s="74"/>
      <x:c r="L389" s="74"/>
      <x:c r="M389" s="91"/>
      <x:c r="N389" s="91"/>
      <x:c r="O389" s="85"/>
      <x:c r="Q389" s="86"/>
      <x:c r="R389" s="32"/>
    </x:row>
    <x:row r="390">
      <x:c r="A390" s="87"/>
      <x:c r="B390" s="88"/>
      <x:c r="D390" s="32"/>
      <x:c r="G390" s="74"/>
      <x:c r="H390" s="74"/>
      <x:c r="I390" s="74"/>
      <x:c r="J390" s="74"/>
      <x:c r="K390" s="74"/>
      <x:c r="L390" s="74"/>
      <x:c r="M390" s="91"/>
      <x:c r="N390" s="91"/>
      <x:c r="O390" s="85"/>
      <x:c r="Q390" s="86"/>
      <x:c r="R390" s="32"/>
    </x:row>
    <x:row r="391">
      <x:c r="A391" s="87"/>
      <x:c r="B391" s="88"/>
      <x:c r="D391" s="32"/>
      <x:c r="G391" s="74"/>
      <x:c r="H391" s="74"/>
      <x:c r="I391" s="74"/>
      <x:c r="J391" s="74"/>
      <x:c r="K391" s="74"/>
      <x:c r="L391" s="74"/>
      <x:c r="M391" s="91"/>
      <x:c r="N391" s="91"/>
      <x:c r="O391" s="85"/>
      <x:c r="Q391" s="86"/>
      <x:c r="R391" s="32"/>
    </x:row>
    <x:row r="392">
      <x:c r="A392" s="87"/>
      <x:c r="B392" s="88"/>
      <x:c r="D392" s="32"/>
      <x:c r="G392" s="74"/>
      <x:c r="H392" s="74"/>
      <x:c r="I392" s="74"/>
      <x:c r="J392" s="74"/>
      <x:c r="K392" s="74"/>
      <x:c r="L392" s="74"/>
      <x:c r="M392" s="91"/>
      <x:c r="N392" s="91"/>
      <x:c r="O392" s="85"/>
      <x:c r="Q392" s="86"/>
      <x:c r="R392" s="32"/>
    </x:row>
    <x:row r="393">
      <x:c r="A393" s="87"/>
      <x:c r="B393" s="88"/>
      <x:c r="D393" s="32"/>
      <x:c r="G393" s="74"/>
      <x:c r="H393" s="74"/>
      <x:c r="I393" s="74"/>
      <x:c r="J393" s="74"/>
      <x:c r="K393" s="74"/>
      <x:c r="L393" s="74"/>
      <x:c r="M393" s="91"/>
      <x:c r="N393" s="91"/>
      <x:c r="O393" s="85"/>
      <x:c r="Q393" s="86"/>
      <x:c r="R393" s="32"/>
    </x:row>
    <x:row r="394">
      <x:c r="A394" s="87"/>
      <x:c r="B394" s="88"/>
      <x:c r="D394" s="32"/>
      <x:c r="G394" s="74"/>
      <x:c r="H394" s="74"/>
      <x:c r="I394" s="74"/>
      <x:c r="J394" s="74"/>
      <x:c r="K394" s="74"/>
      <x:c r="L394" s="74"/>
      <x:c r="M394" s="91"/>
      <x:c r="N394" s="91"/>
      <x:c r="O394" s="85"/>
      <x:c r="Q394" s="86"/>
      <x:c r="R394" s="32"/>
    </x:row>
    <x:row r="395">
      <x:c r="A395" s="87"/>
      <x:c r="B395" s="88"/>
      <x:c r="D395" s="32"/>
      <x:c r="G395" s="74"/>
      <x:c r="H395" s="74"/>
      <x:c r="I395" s="74"/>
      <x:c r="J395" s="74"/>
      <x:c r="K395" s="74"/>
      <x:c r="L395" s="74"/>
      <x:c r="M395" s="91"/>
      <x:c r="N395" s="91"/>
      <x:c r="O395" s="85"/>
      <x:c r="Q395" s="86"/>
      <x:c r="R395" s="32"/>
    </x:row>
    <x:row r="396">
      <x:c r="A396" s="87"/>
      <x:c r="B396" s="88"/>
      <x:c r="D396" s="32"/>
      <x:c r="G396" s="74"/>
      <x:c r="H396" s="74"/>
      <x:c r="I396" s="74"/>
      <x:c r="J396" s="74"/>
      <x:c r="K396" s="74"/>
      <x:c r="L396" s="74"/>
      <x:c r="M396" s="91"/>
      <x:c r="N396" s="91"/>
      <x:c r="O396" s="85"/>
      <x:c r="Q396" s="86"/>
      <x:c r="R396" s="32"/>
    </x:row>
    <x:row r="397">
      <x:c r="A397" s="87"/>
      <x:c r="B397" s="88"/>
      <x:c r="D397" s="32"/>
      <x:c r="G397" s="74"/>
      <x:c r="H397" s="74"/>
      <x:c r="I397" s="74"/>
      <x:c r="J397" s="74"/>
      <x:c r="K397" s="74"/>
      <x:c r="L397" s="74"/>
      <x:c r="M397" s="91"/>
      <x:c r="N397" s="91"/>
      <x:c r="O397" s="85"/>
      <x:c r="Q397" s="86"/>
      <x:c r="R397" s="32"/>
    </x:row>
    <x:row r="398">
      <x:c r="A398" s="87"/>
      <x:c r="B398" s="88"/>
      <x:c r="D398" s="32"/>
      <x:c r="G398" s="74"/>
      <x:c r="H398" s="74"/>
      <x:c r="I398" s="74"/>
      <x:c r="J398" s="74"/>
      <x:c r="K398" s="74"/>
      <x:c r="L398" s="74"/>
      <x:c r="M398" s="91"/>
      <x:c r="N398" s="91"/>
      <x:c r="O398" s="85"/>
      <x:c r="Q398" s="86"/>
      <x:c r="R398" s="32"/>
    </x:row>
    <x:row r="399">
      <x:c r="A399" s="87"/>
      <x:c r="B399" s="88"/>
      <x:c r="D399" s="32"/>
      <x:c r="G399" s="74"/>
      <x:c r="H399" s="74"/>
      <x:c r="I399" s="74"/>
      <x:c r="J399" s="74"/>
      <x:c r="K399" s="74"/>
      <x:c r="L399" s="74"/>
      <x:c r="M399" s="91"/>
      <x:c r="N399" s="91"/>
      <x:c r="O399" s="85"/>
      <x:c r="Q399" s="86"/>
      <x:c r="R399" s="32"/>
    </x:row>
    <x:row r="400">
      <x:c r="A400" s="87"/>
      <x:c r="B400" s="88"/>
      <x:c r="D400" s="32"/>
      <x:c r="G400" s="74"/>
      <x:c r="H400" s="74"/>
      <x:c r="I400" s="74"/>
      <x:c r="J400" s="74"/>
      <x:c r="K400" s="74"/>
      <x:c r="L400" s="74"/>
      <x:c r="M400" s="91"/>
      <x:c r="N400" s="91"/>
      <x:c r="O400" s="85"/>
      <x:c r="Q400" s="86"/>
      <x:c r="R400" s="32"/>
    </x:row>
    <x:row r="401">
      <x:c r="A401" s="87"/>
      <x:c r="B401" s="88"/>
      <x:c r="D401" s="32"/>
      <x:c r="G401" s="74"/>
      <x:c r="H401" s="74"/>
      <x:c r="I401" s="74"/>
      <x:c r="J401" s="74"/>
      <x:c r="K401" s="74"/>
      <x:c r="L401" s="74"/>
      <x:c r="M401" s="91"/>
      <x:c r="N401" s="91"/>
      <x:c r="O401" s="85"/>
      <x:c r="Q401" s="86"/>
      <x:c r="R401" s="32"/>
    </x:row>
    <x:row r="402">
      <x:c r="A402" s="87"/>
      <x:c r="B402" s="88"/>
      <x:c r="D402" s="32"/>
      <x:c r="G402" s="74"/>
      <x:c r="H402" s="74"/>
      <x:c r="I402" s="74"/>
      <x:c r="J402" s="74"/>
      <x:c r="K402" s="74"/>
      <x:c r="L402" s="74"/>
      <x:c r="M402" s="91"/>
      <x:c r="N402" s="91"/>
      <x:c r="O402" s="85"/>
      <x:c r="Q402" s="86"/>
      <x:c r="R402" s="32"/>
    </x:row>
    <x:row r="403">
      <x:c r="A403" s="87"/>
      <x:c r="B403" s="88"/>
      <x:c r="D403" s="32"/>
      <x:c r="G403" s="74"/>
      <x:c r="H403" s="74"/>
      <x:c r="I403" s="74"/>
      <x:c r="J403" s="74"/>
      <x:c r="K403" s="74"/>
      <x:c r="L403" s="74"/>
      <x:c r="M403" s="91"/>
      <x:c r="N403" s="91"/>
      <x:c r="O403" s="85"/>
      <x:c r="Q403" s="86"/>
      <x:c r="R403" s="32"/>
    </x:row>
    <x:row r="404">
      <x:c r="A404" s="87"/>
      <x:c r="B404" s="88"/>
      <x:c r="D404" s="32"/>
      <x:c r="G404" s="74"/>
      <x:c r="H404" s="74"/>
      <x:c r="I404" s="74"/>
      <x:c r="J404" s="74"/>
      <x:c r="K404" s="74"/>
      <x:c r="L404" s="74"/>
      <x:c r="M404" s="91"/>
      <x:c r="N404" s="91"/>
      <x:c r="O404" s="85"/>
      <x:c r="Q404" s="86"/>
      <x:c r="R404" s="32"/>
    </x:row>
    <x:row r="405">
      <x:c r="A405" s="87"/>
      <x:c r="B405" s="88"/>
      <x:c r="D405" s="32"/>
      <x:c r="G405" s="74"/>
      <x:c r="H405" s="74"/>
      <x:c r="I405" s="74"/>
      <x:c r="J405" s="74"/>
      <x:c r="K405" s="74"/>
      <x:c r="L405" s="74"/>
      <x:c r="M405" s="91"/>
      <x:c r="N405" s="91"/>
      <x:c r="O405" s="85"/>
      <x:c r="Q405" s="86"/>
      <x:c r="R405" s="32"/>
    </x:row>
    <x:row r="406">
      <x:c r="A406" s="87"/>
      <x:c r="B406" s="88"/>
      <x:c r="D406" s="32"/>
      <x:c r="G406" s="74"/>
      <x:c r="H406" s="74"/>
      <x:c r="I406" s="74"/>
      <x:c r="J406" s="74"/>
      <x:c r="K406" s="74"/>
      <x:c r="L406" s="74"/>
      <x:c r="M406" s="91"/>
      <x:c r="N406" s="91"/>
      <x:c r="O406" s="85"/>
      <x:c r="Q406" s="86"/>
      <x:c r="R406" s="32"/>
    </x:row>
    <x:row r="407">
      <x:c r="A407" s="87"/>
      <x:c r="B407" s="88"/>
      <x:c r="D407" s="32"/>
      <x:c r="G407" s="74"/>
      <x:c r="H407" s="74"/>
      <x:c r="I407" s="74"/>
      <x:c r="J407" s="74"/>
      <x:c r="K407" s="74"/>
      <x:c r="L407" s="74"/>
      <x:c r="M407" s="91"/>
      <x:c r="N407" s="91"/>
      <x:c r="O407" s="85"/>
      <x:c r="Q407" s="86"/>
      <x:c r="R407" s="32"/>
    </x:row>
    <x:row r="408">
      <x:c r="A408" s="87"/>
      <x:c r="B408" s="88"/>
      <x:c r="D408" s="32"/>
      <x:c r="G408" s="74"/>
      <x:c r="H408" s="74"/>
      <x:c r="I408" s="74"/>
      <x:c r="J408" s="74"/>
      <x:c r="K408" s="74"/>
      <x:c r="L408" s="74"/>
      <x:c r="M408" s="91"/>
      <x:c r="N408" s="91"/>
      <x:c r="O408" s="85"/>
      <x:c r="Q408" s="86"/>
      <x:c r="R408" s="32"/>
    </x:row>
    <x:row r="409">
      <x:c r="A409" s="87"/>
      <x:c r="B409" s="88"/>
      <x:c r="D409" s="32"/>
      <x:c r="G409" s="74"/>
      <x:c r="H409" s="74"/>
      <x:c r="I409" s="74"/>
      <x:c r="J409" s="74"/>
      <x:c r="K409" s="74"/>
      <x:c r="L409" s="74"/>
      <x:c r="M409" s="91"/>
      <x:c r="N409" s="91"/>
      <x:c r="O409" s="85"/>
      <x:c r="Q409" s="86"/>
      <x:c r="R409" s="32"/>
    </x:row>
    <x:row r="410">
      <x:c r="A410" s="87"/>
      <x:c r="B410" s="88"/>
      <x:c r="D410" s="32"/>
      <x:c r="G410" s="74"/>
      <x:c r="H410" s="74"/>
      <x:c r="I410" s="74"/>
      <x:c r="J410" s="74"/>
      <x:c r="K410" s="74"/>
      <x:c r="L410" s="74"/>
      <x:c r="M410" s="91"/>
      <x:c r="N410" s="91"/>
      <x:c r="O410" s="85"/>
      <x:c r="Q410" s="86"/>
      <x:c r="R410" s="32"/>
    </x:row>
    <x:row r="411">
      <x:c r="A411" s="87"/>
      <x:c r="B411" s="88"/>
      <x:c r="D411" s="32"/>
      <x:c r="G411" s="74"/>
      <x:c r="H411" s="74"/>
      <x:c r="I411" s="74"/>
      <x:c r="J411" s="74"/>
      <x:c r="K411" s="74"/>
      <x:c r="L411" s="74"/>
      <x:c r="M411" s="91"/>
      <x:c r="N411" s="91"/>
      <x:c r="O411" s="85"/>
      <x:c r="Q411" s="86"/>
      <x:c r="R411" s="32"/>
    </x:row>
    <x:row r="412">
      <x:c r="A412" s="87"/>
      <x:c r="B412" s="88"/>
      <x:c r="D412" s="32"/>
      <x:c r="G412" s="74"/>
      <x:c r="H412" s="74"/>
      <x:c r="I412" s="74"/>
      <x:c r="J412" s="74"/>
      <x:c r="K412" s="74"/>
      <x:c r="L412" s="74"/>
      <x:c r="M412" s="91"/>
      <x:c r="N412" s="91"/>
      <x:c r="O412" s="85"/>
      <x:c r="Q412" s="86"/>
      <x:c r="R412" s="32"/>
    </x:row>
    <x:row r="413">
      <x:c r="A413" s="87"/>
      <x:c r="B413" s="88"/>
      <x:c r="D413" s="32"/>
      <x:c r="G413" s="74"/>
      <x:c r="H413" s="74"/>
      <x:c r="I413" s="74"/>
      <x:c r="J413" s="74"/>
      <x:c r="K413" s="74"/>
      <x:c r="L413" s="74"/>
      <x:c r="M413" s="91"/>
      <x:c r="N413" s="91"/>
      <x:c r="O413" s="85"/>
      <x:c r="Q413" s="86"/>
      <x:c r="R413" s="32"/>
    </x:row>
    <x:row r="414">
      <x:c r="A414" s="87"/>
      <x:c r="B414" s="88"/>
      <x:c r="D414" s="32"/>
      <x:c r="G414" s="74"/>
      <x:c r="H414" s="74"/>
      <x:c r="I414" s="74"/>
      <x:c r="J414" s="74"/>
      <x:c r="K414" s="74"/>
      <x:c r="L414" s="74"/>
      <x:c r="M414" s="91"/>
      <x:c r="N414" s="91"/>
      <x:c r="O414" s="85"/>
      <x:c r="Q414" s="86"/>
      <x:c r="R414" s="32"/>
    </x:row>
    <x:row r="415">
      <x:c r="A415" s="87"/>
      <x:c r="B415" s="88"/>
      <x:c r="D415" s="32"/>
      <x:c r="G415" s="74"/>
      <x:c r="H415" s="74"/>
      <x:c r="I415" s="74"/>
      <x:c r="J415" s="74"/>
      <x:c r="K415" s="74"/>
      <x:c r="L415" s="74"/>
      <x:c r="M415" s="91"/>
      <x:c r="N415" s="91"/>
      <x:c r="O415" s="85"/>
      <x:c r="Q415" s="86"/>
      <x:c r="R415" s="32"/>
    </x:row>
    <x:row r="416">
      <x:c r="A416" s="87"/>
      <x:c r="B416" s="88"/>
      <x:c r="D416" s="32"/>
      <x:c r="G416" s="74"/>
      <x:c r="H416" s="74"/>
      <x:c r="I416" s="74"/>
      <x:c r="J416" s="74"/>
      <x:c r="K416" s="74"/>
      <x:c r="L416" s="74"/>
      <x:c r="M416" s="91"/>
      <x:c r="N416" s="91"/>
      <x:c r="O416" s="85"/>
      <x:c r="Q416" s="86"/>
      <x:c r="R416" s="32"/>
    </x:row>
    <x:row r="417">
      <x:c r="A417" s="87"/>
      <x:c r="B417" s="88"/>
      <x:c r="D417" s="32"/>
      <x:c r="G417" s="74"/>
      <x:c r="H417" s="74"/>
      <x:c r="I417" s="74"/>
      <x:c r="J417" s="74"/>
      <x:c r="K417" s="74"/>
      <x:c r="L417" s="74"/>
      <x:c r="M417" s="91"/>
      <x:c r="N417" s="91"/>
      <x:c r="O417" s="85"/>
      <x:c r="Q417" s="86"/>
      <x:c r="R417" s="32"/>
    </x:row>
    <x:row r="418">
      <x:c r="A418" s="87"/>
      <x:c r="B418" s="88"/>
      <x:c r="D418" s="32"/>
      <x:c r="G418" s="74"/>
      <x:c r="H418" s="74"/>
      <x:c r="I418" s="74"/>
      <x:c r="J418" s="74"/>
      <x:c r="K418" s="74"/>
      <x:c r="L418" s="74"/>
      <x:c r="M418" s="91"/>
      <x:c r="N418" s="91"/>
      <x:c r="O418" s="85"/>
      <x:c r="Q418" s="86"/>
      <x:c r="R418" s="32"/>
    </x:row>
    <x:row r="419">
      <x:c r="A419" s="87"/>
      <x:c r="B419" s="88"/>
      <x:c r="D419" s="32"/>
      <x:c r="G419" s="74"/>
      <x:c r="H419" s="74"/>
      <x:c r="I419" s="74"/>
      <x:c r="J419" s="74"/>
      <x:c r="K419" s="74"/>
      <x:c r="L419" s="74"/>
      <x:c r="M419" s="91"/>
      <x:c r="N419" s="91"/>
      <x:c r="O419" s="85"/>
      <x:c r="Q419" s="86"/>
      <x:c r="R419" s="32"/>
    </x:row>
    <x:row r="420">
      <x:c r="A420" s="87"/>
      <x:c r="B420" s="88"/>
      <x:c r="D420" s="32"/>
      <x:c r="G420" s="74"/>
      <x:c r="H420" s="74"/>
      <x:c r="I420" s="74"/>
      <x:c r="J420" s="74"/>
      <x:c r="K420" s="74"/>
      <x:c r="L420" s="74"/>
      <x:c r="M420" s="91"/>
      <x:c r="N420" s="91"/>
      <x:c r="O420" s="85"/>
      <x:c r="Q420" s="86"/>
      <x:c r="R420" s="32"/>
    </x:row>
    <x:row r="421">
      <x:c r="A421" s="87"/>
      <x:c r="B421" s="88"/>
      <x:c r="D421" s="32"/>
      <x:c r="G421" s="74"/>
      <x:c r="H421" s="74"/>
      <x:c r="I421" s="74"/>
      <x:c r="J421" s="74"/>
      <x:c r="K421" s="74"/>
      <x:c r="L421" s="74"/>
      <x:c r="M421" s="91"/>
      <x:c r="N421" s="91"/>
      <x:c r="O421" s="85"/>
      <x:c r="Q421" s="86"/>
      <x:c r="R421" s="32"/>
    </x:row>
    <x:row r="422">
      <x:c r="A422" s="87"/>
      <x:c r="B422" s="88"/>
      <x:c r="D422" s="32"/>
      <x:c r="G422" s="74"/>
      <x:c r="H422" s="74"/>
      <x:c r="I422" s="74"/>
      <x:c r="J422" s="74"/>
      <x:c r="K422" s="74"/>
      <x:c r="L422" s="74"/>
      <x:c r="M422" s="91"/>
      <x:c r="N422" s="91"/>
      <x:c r="O422" s="85"/>
      <x:c r="Q422" s="86"/>
      <x:c r="R422" s="32"/>
    </x:row>
    <x:row r="423">
      <x:c r="A423" s="87"/>
      <x:c r="B423" s="88"/>
      <x:c r="D423" s="32"/>
      <x:c r="G423" s="74"/>
      <x:c r="H423" s="74"/>
      <x:c r="I423" s="74"/>
      <x:c r="J423" s="74"/>
      <x:c r="K423" s="74"/>
      <x:c r="L423" s="74"/>
      <x:c r="M423" s="91"/>
      <x:c r="N423" s="91"/>
      <x:c r="O423" s="85"/>
      <x:c r="Q423" s="86"/>
      <x:c r="R423" s="32"/>
    </x:row>
    <x:row r="424">
      <x:c r="A424" s="87"/>
      <x:c r="B424" s="88"/>
      <x:c r="D424" s="32"/>
      <x:c r="G424" s="74"/>
      <x:c r="H424" s="74"/>
      <x:c r="I424" s="74"/>
      <x:c r="J424" s="74"/>
      <x:c r="K424" s="74"/>
      <x:c r="L424" s="74"/>
      <x:c r="M424" s="91"/>
      <x:c r="N424" s="91"/>
      <x:c r="O424" s="85"/>
      <x:c r="Q424" s="86"/>
      <x:c r="R424" s="32"/>
    </x:row>
    <x:row r="425">
      <x:c r="A425" s="87"/>
      <x:c r="B425" s="88"/>
      <x:c r="D425" s="32"/>
      <x:c r="G425" s="74"/>
      <x:c r="H425" s="74"/>
      <x:c r="I425" s="74"/>
      <x:c r="J425" s="74"/>
      <x:c r="K425" s="74"/>
      <x:c r="L425" s="74"/>
      <x:c r="M425" s="91"/>
      <x:c r="N425" s="91"/>
      <x:c r="O425" s="85"/>
      <x:c r="Q425" s="86"/>
      <x:c r="R425" s="32"/>
    </x:row>
    <x:row r="426">
      <x:c r="A426" s="87"/>
      <x:c r="B426" s="88"/>
      <x:c r="D426" s="32"/>
      <x:c r="G426" s="74"/>
      <x:c r="H426" s="74"/>
      <x:c r="I426" s="74"/>
      <x:c r="J426" s="74"/>
      <x:c r="K426" s="74"/>
      <x:c r="L426" s="74"/>
      <x:c r="M426" s="91"/>
      <x:c r="N426" s="91"/>
      <x:c r="O426" s="85"/>
      <x:c r="Q426" s="86"/>
      <x:c r="R426" s="32"/>
    </x:row>
    <x:row r="427">
      <x:c r="A427" s="87"/>
      <x:c r="B427" s="88"/>
      <x:c r="D427" s="32"/>
      <x:c r="G427" s="74"/>
      <x:c r="H427" s="74"/>
      <x:c r="I427" s="74"/>
      <x:c r="J427" s="74"/>
      <x:c r="K427" s="74"/>
      <x:c r="L427" s="74"/>
      <x:c r="M427" s="91"/>
      <x:c r="N427" s="91"/>
      <x:c r="O427" s="85"/>
      <x:c r="Q427" s="86"/>
      <x:c r="R427" s="32"/>
    </x:row>
    <x:row r="428">
      <x:c r="A428" s="87"/>
      <x:c r="B428" s="88"/>
      <x:c r="D428" s="32"/>
      <x:c r="G428" s="74"/>
      <x:c r="H428" s="74"/>
      <x:c r="I428" s="74"/>
      <x:c r="J428" s="74"/>
      <x:c r="K428" s="74"/>
      <x:c r="L428" s="74"/>
      <x:c r="M428" s="91"/>
      <x:c r="N428" s="91"/>
      <x:c r="O428" s="85"/>
      <x:c r="Q428" s="86"/>
      <x:c r="R428" s="32"/>
    </x:row>
    <x:row r="429">
      <x:c r="A429" s="87"/>
      <x:c r="B429" s="88"/>
      <x:c r="D429" s="32"/>
      <x:c r="G429" s="74"/>
      <x:c r="H429" s="74"/>
      <x:c r="I429" s="74"/>
      <x:c r="J429" s="74"/>
      <x:c r="K429" s="74"/>
      <x:c r="L429" s="74"/>
      <x:c r="M429" s="91"/>
      <x:c r="N429" s="91"/>
      <x:c r="O429" s="85"/>
      <x:c r="Q429" s="86"/>
      <x:c r="R429" s="32"/>
    </x:row>
    <x:row r="430">
      <x:c r="A430" s="87"/>
      <x:c r="B430" s="88"/>
      <x:c r="D430" s="32"/>
      <x:c r="G430" s="74"/>
      <x:c r="H430" s="74"/>
      <x:c r="I430" s="74"/>
      <x:c r="J430" s="74"/>
      <x:c r="K430" s="74"/>
      <x:c r="L430" s="74"/>
      <x:c r="M430" s="91"/>
      <x:c r="N430" s="91"/>
      <x:c r="O430" s="85"/>
      <x:c r="Q430" s="86"/>
      <x:c r="R430" s="32"/>
    </x:row>
    <x:row r="431">
      <x:c r="A431" s="87"/>
      <x:c r="B431" s="88"/>
      <x:c r="D431" s="32"/>
      <x:c r="G431" s="74"/>
      <x:c r="H431" s="74"/>
      <x:c r="I431" s="74"/>
      <x:c r="J431" s="74"/>
      <x:c r="K431" s="74"/>
      <x:c r="L431" s="74"/>
      <x:c r="M431" s="91"/>
      <x:c r="N431" s="91"/>
      <x:c r="O431" s="85"/>
      <x:c r="Q431" s="86"/>
      <x:c r="R431" s="32"/>
    </x:row>
    <x:row r="432">
      <x:c r="A432" s="87"/>
      <x:c r="B432" s="88"/>
      <x:c r="D432" s="32"/>
      <x:c r="G432" s="74"/>
      <x:c r="H432" s="74"/>
      <x:c r="I432" s="74"/>
      <x:c r="J432" s="74"/>
      <x:c r="K432" s="74"/>
      <x:c r="L432" s="74"/>
      <x:c r="M432" s="91"/>
      <x:c r="N432" s="91"/>
      <x:c r="O432" s="85"/>
      <x:c r="Q432" s="86"/>
      <x:c r="R432" s="32"/>
    </x:row>
    <x:row r="433">
      <x:c r="A433" s="87"/>
      <x:c r="B433" s="88"/>
      <x:c r="D433" s="32"/>
      <x:c r="G433" s="74"/>
      <x:c r="H433" s="74"/>
      <x:c r="I433" s="74"/>
      <x:c r="J433" s="74"/>
      <x:c r="K433" s="74"/>
      <x:c r="L433" s="74"/>
      <x:c r="M433" s="91"/>
      <x:c r="N433" s="91"/>
      <x:c r="O433" s="85"/>
      <x:c r="Q433" s="86"/>
      <x:c r="R433" s="32"/>
    </x:row>
    <x:row r="434">
      <x:c r="A434" s="87"/>
      <x:c r="B434" s="88"/>
      <x:c r="D434" s="32"/>
      <x:c r="G434" s="74"/>
      <x:c r="H434" s="74"/>
      <x:c r="I434" s="74"/>
      <x:c r="J434" s="74"/>
      <x:c r="K434" s="74"/>
      <x:c r="L434" s="74"/>
      <x:c r="M434" s="91"/>
      <x:c r="N434" s="91"/>
      <x:c r="O434" s="85"/>
      <x:c r="Q434" s="86"/>
      <x:c r="R434" s="32"/>
    </x:row>
    <x:row r="435">
      <x:c r="A435" s="87"/>
      <x:c r="B435" s="88"/>
      <x:c r="D435" s="32"/>
      <x:c r="G435" s="74"/>
      <x:c r="H435" s="74"/>
      <x:c r="I435" s="74"/>
      <x:c r="J435" s="74"/>
      <x:c r="K435" s="74"/>
      <x:c r="L435" s="74"/>
      <x:c r="M435" s="91"/>
      <x:c r="N435" s="91"/>
      <x:c r="O435" s="85"/>
      <x:c r="Q435" s="86"/>
      <x:c r="R435" s="32"/>
    </x:row>
    <x:row r="436">
      <x:c r="A436" s="87"/>
      <x:c r="B436" s="88"/>
      <x:c r="D436" s="32"/>
      <x:c r="G436" s="74"/>
      <x:c r="H436" s="74"/>
      <x:c r="I436" s="74"/>
      <x:c r="J436" s="74"/>
      <x:c r="K436" s="74"/>
      <x:c r="L436" s="74"/>
      <x:c r="M436" s="91"/>
      <x:c r="N436" s="91"/>
      <x:c r="O436" s="85"/>
      <x:c r="Q436" s="86"/>
      <x:c r="R436" s="32"/>
    </x:row>
    <x:row r="437">
      <x:c r="A437" s="87"/>
      <x:c r="B437" s="88"/>
      <x:c r="D437" s="32"/>
      <x:c r="G437" s="74"/>
      <x:c r="H437" s="74"/>
      <x:c r="I437" s="74"/>
      <x:c r="J437" s="74"/>
      <x:c r="K437" s="74"/>
      <x:c r="L437" s="74"/>
      <x:c r="M437" s="91"/>
      <x:c r="N437" s="91"/>
      <x:c r="O437" s="85"/>
      <x:c r="Q437" s="86"/>
      <x:c r="R437" s="32"/>
    </x:row>
    <x:row r="438">
      <x:c r="A438" s="87"/>
      <x:c r="B438" s="88"/>
      <x:c r="D438" s="32"/>
      <x:c r="G438" s="74"/>
      <x:c r="H438" s="74"/>
      <x:c r="I438" s="74"/>
      <x:c r="J438" s="74"/>
      <x:c r="K438" s="74"/>
      <x:c r="L438" s="74"/>
      <x:c r="M438" s="91"/>
      <x:c r="N438" s="91"/>
      <x:c r="O438" s="85"/>
      <x:c r="Q438" s="86"/>
      <x:c r="R438" s="32"/>
    </x:row>
    <x:row r="439">
      <x:c r="A439" s="87"/>
      <x:c r="B439" s="88"/>
      <x:c r="D439" s="32"/>
      <x:c r="G439" s="74"/>
      <x:c r="H439" s="74"/>
      <x:c r="I439" s="74"/>
      <x:c r="J439" s="74"/>
      <x:c r="K439" s="74"/>
      <x:c r="L439" s="74"/>
      <x:c r="M439" s="91"/>
      <x:c r="N439" s="91"/>
      <x:c r="O439" s="85"/>
      <x:c r="Q439" s="86"/>
      <x:c r="R439" s="32"/>
    </x:row>
    <x:row r="440">
      <x:c r="A440" s="87"/>
      <x:c r="B440" s="88"/>
      <x:c r="D440" s="32"/>
      <x:c r="G440" s="74"/>
      <x:c r="H440" s="74"/>
      <x:c r="I440" s="74"/>
      <x:c r="J440" s="74"/>
      <x:c r="K440" s="74"/>
      <x:c r="L440" s="74"/>
      <x:c r="M440" s="91"/>
      <x:c r="N440" s="91"/>
      <x:c r="O440" s="85"/>
      <x:c r="Q440" s="86"/>
      <x:c r="R440" s="32"/>
    </x:row>
    <x:row r="441">
      <x:c r="A441" s="87"/>
      <x:c r="B441" s="88"/>
      <x:c r="D441" s="32"/>
      <x:c r="G441" s="74"/>
      <x:c r="H441" s="74"/>
      <x:c r="I441" s="74"/>
      <x:c r="J441" s="74"/>
      <x:c r="K441" s="74"/>
      <x:c r="L441" s="74"/>
      <x:c r="M441" s="91"/>
      <x:c r="N441" s="91"/>
      <x:c r="O441" s="85"/>
      <x:c r="Q441" s="86"/>
      <x:c r="R441" s="32"/>
    </x:row>
    <x:row r="442">
      <x:c r="A442" s="87"/>
      <x:c r="B442" s="88"/>
      <x:c r="D442" s="32"/>
      <x:c r="G442" s="74"/>
      <x:c r="H442" s="74"/>
      <x:c r="I442" s="74"/>
      <x:c r="J442" s="74"/>
      <x:c r="K442" s="74"/>
      <x:c r="L442" s="74"/>
      <x:c r="M442" s="91"/>
      <x:c r="N442" s="91"/>
      <x:c r="O442" s="85"/>
      <x:c r="Q442" s="86"/>
      <x:c r="R442" s="32"/>
    </x:row>
    <x:row r="443">
      <x:c r="A443" s="87"/>
      <x:c r="B443" s="88"/>
      <x:c r="D443" s="32"/>
      <x:c r="G443" s="74"/>
      <x:c r="H443" s="74"/>
      <x:c r="I443" s="74"/>
      <x:c r="J443" s="74"/>
      <x:c r="K443" s="74"/>
      <x:c r="L443" s="74"/>
      <x:c r="M443" s="91"/>
      <x:c r="N443" s="91"/>
      <x:c r="O443" s="85"/>
      <x:c r="Q443" s="86"/>
      <x:c r="R443" s="32"/>
    </x:row>
    <x:row r="444">
      <x:c r="A444" s="87"/>
      <x:c r="B444" s="88"/>
      <x:c r="D444" s="32"/>
      <x:c r="G444" s="74"/>
      <x:c r="H444" s="74"/>
      <x:c r="I444" s="74"/>
      <x:c r="J444" s="74"/>
      <x:c r="K444" s="74"/>
      <x:c r="L444" s="74"/>
      <x:c r="M444" s="91"/>
      <x:c r="N444" s="91"/>
      <x:c r="O444" s="85"/>
      <x:c r="Q444" s="86"/>
      <x:c r="R444" s="32"/>
    </x:row>
    <x:row r="445">
      <x:c r="A445" s="87"/>
      <x:c r="B445" s="88"/>
      <x:c r="D445" s="32"/>
      <x:c r="G445" s="74"/>
      <x:c r="H445" s="74"/>
      <x:c r="I445" s="74"/>
      <x:c r="J445" s="74"/>
      <x:c r="K445" s="74"/>
      <x:c r="L445" s="74"/>
      <x:c r="M445" s="91"/>
      <x:c r="N445" s="91"/>
      <x:c r="O445" s="85"/>
      <x:c r="Q445" s="86"/>
      <x:c r="R445" s="32"/>
    </x:row>
    <x:row r="446">
      <x:c r="A446" s="87"/>
      <x:c r="B446" s="88"/>
      <x:c r="D446" s="32"/>
      <x:c r="G446" s="74"/>
      <x:c r="H446" s="74"/>
      <x:c r="I446" s="74"/>
      <x:c r="J446" s="74"/>
      <x:c r="K446" s="74"/>
      <x:c r="L446" s="74"/>
      <x:c r="M446" s="91"/>
      <x:c r="N446" s="91"/>
      <x:c r="O446" s="85"/>
      <x:c r="Q446" s="86"/>
      <x:c r="R446" s="32"/>
    </x:row>
    <x:row r="447">
      <x:c r="A447" s="87"/>
      <x:c r="B447" s="88"/>
      <x:c r="D447" s="32"/>
      <x:c r="G447" s="74"/>
      <x:c r="H447" s="74"/>
      <x:c r="I447" s="74"/>
      <x:c r="J447" s="74"/>
      <x:c r="K447" s="74"/>
      <x:c r="L447" s="74"/>
      <x:c r="M447" s="91"/>
      <x:c r="N447" s="91"/>
      <x:c r="O447" s="85"/>
      <x:c r="Q447" s="86"/>
      <x:c r="R447" s="32"/>
    </x:row>
    <x:row r="448">
      <x:c r="A448" s="87"/>
      <x:c r="B448" s="88"/>
      <x:c r="D448" s="32"/>
      <x:c r="G448" s="74"/>
      <x:c r="H448" s="74"/>
      <x:c r="I448" s="74"/>
      <x:c r="J448" s="74"/>
      <x:c r="K448" s="74"/>
      <x:c r="L448" s="74"/>
      <x:c r="M448" s="91"/>
      <x:c r="N448" s="91"/>
      <x:c r="O448" s="85"/>
      <x:c r="Q448" s="86"/>
      <x:c r="R448" s="32"/>
    </x:row>
    <x:row r="449">
      <x:c r="A449" s="87"/>
      <x:c r="B449" s="88"/>
      <x:c r="D449" s="32"/>
      <x:c r="G449" s="74"/>
      <x:c r="H449" s="74"/>
      <x:c r="I449" s="74"/>
      <x:c r="J449" s="74"/>
      <x:c r="K449" s="74"/>
      <x:c r="L449" s="74"/>
      <x:c r="M449" s="91"/>
      <x:c r="N449" s="91"/>
      <x:c r="O449" s="85"/>
      <x:c r="Q449" s="86"/>
      <x:c r="R449" s="32"/>
    </x:row>
    <x:row r="450">
      <x:c r="A450" s="87"/>
      <x:c r="B450" s="88"/>
      <x:c r="D450" s="32"/>
      <x:c r="G450" s="74"/>
      <x:c r="H450" s="74"/>
      <x:c r="I450" s="74"/>
      <x:c r="J450" s="74"/>
      <x:c r="K450" s="74"/>
      <x:c r="L450" s="74"/>
      <x:c r="M450" s="91"/>
      <x:c r="N450" s="91"/>
      <x:c r="O450" s="85"/>
      <x:c r="Q450" s="86"/>
      <x:c r="R450" s="32"/>
    </x:row>
    <x:row r="451">
      <x:c r="A451" s="87"/>
      <x:c r="B451" s="88"/>
      <x:c r="D451" s="32"/>
      <x:c r="G451" s="74"/>
      <x:c r="H451" s="74"/>
      <x:c r="I451" s="74"/>
      <x:c r="J451" s="74"/>
      <x:c r="K451" s="74"/>
      <x:c r="L451" s="74"/>
      <x:c r="M451" s="91"/>
      <x:c r="N451" s="91"/>
      <x:c r="O451" s="85"/>
      <x:c r="Q451" s="86"/>
      <x:c r="R451" s="32"/>
    </x:row>
    <x:row r="452">
      <x:c r="A452" s="87"/>
      <x:c r="B452" s="88"/>
      <x:c r="D452" s="32"/>
      <x:c r="G452" s="74"/>
      <x:c r="H452" s="74"/>
      <x:c r="I452" s="74"/>
      <x:c r="J452" s="74"/>
      <x:c r="K452" s="74"/>
      <x:c r="L452" s="74"/>
      <x:c r="M452" s="91"/>
      <x:c r="N452" s="91"/>
      <x:c r="O452" s="85"/>
      <x:c r="Q452" s="86"/>
      <x:c r="R452" s="32"/>
    </x:row>
    <x:row r="453">
      <x:c r="A453" s="87"/>
      <x:c r="B453" s="88"/>
      <x:c r="D453" s="32"/>
      <x:c r="G453" s="74"/>
      <x:c r="H453" s="74"/>
      <x:c r="I453" s="74"/>
      <x:c r="J453" s="74"/>
      <x:c r="K453" s="74"/>
      <x:c r="L453" s="74"/>
      <x:c r="M453" s="91"/>
      <x:c r="N453" s="91"/>
      <x:c r="O453" s="85"/>
      <x:c r="Q453" s="86"/>
      <x:c r="R453" s="32"/>
    </x:row>
    <x:row r="454">
      <x:c r="A454" s="87"/>
      <x:c r="B454" s="88"/>
      <x:c r="D454" s="32"/>
      <x:c r="G454" s="74"/>
      <x:c r="H454" s="74"/>
      <x:c r="I454" s="74"/>
      <x:c r="J454" s="74"/>
      <x:c r="K454" s="74"/>
      <x:c r="L454" s="74"/>
      <x:c r="M454" s="91"/>
      <x:c r="N454" s="91"/>
      <x:c r="O454" s="85"/>
      <x:c r="Q454" s="86"/>
      <x:c r="R454" s="32"/>
    </x:row>
    <x:row r="455">
      <x:c r="A455" s="87"/>
      <x:c r="B455" s="88"/>
      <x:c r="D455" s="32"/>
      <x:c r="G455" s="74"/>
      <x:c r="H455" s="74"/>
      <x:c r="I455" s="74"/>
      <x:c r="J455" s="74"/>
      <x:c r="K455" s="74"/>
      <x:c r="L455" s="74"/>
      <x:c r="M455" s="91"/>
      <x:c r="N455" s="91"/>
      <x:c r="O455" s="85"/>
      <x:c r="Q455" s="86"/>
      <x:c r="R455" s="32"/>
    </x:row>
    <x:row r="456">
      <x:c r="A456" s="87"/>
      <x:c r="B456" s="88"/>
      <x:c r="D456" s="32"/>
      <x:c r="G456" s="74"/>
      <x:c r="H456" s="74"/>
      <x:c r="I456" s="74"/>
      <x:c r="J456" s="74"/>
      <x:c r="K456" s="74"/>
      <x:c r="L456" s="74"/>
      <x:c r="M456" s="91"/>
      <x:c r="N456" s="91"/>
      <x:c r="O456" s="85"/>
      <x:c r="Q456" s="86"/>
      <x:c r="R456" s="32"/>
    </x:row>
    <x:row r="457">
      <x:c r="A457" s="87"/>
      <x:c r="B457" s="88"/>
      <x:c r="D457" s="32"/>
      <x:c r="G457" s="74"/>
      <x:c r="H457" s="74"/>
      <x:c r="I457" s="74"/>
      <x:c r="J457" s="74"/>
      <x:c r="K457" s="74"/>
      <x:c r="L457" s="74"/>
      <x:c r="M457" s="91"/>
      <x:c r="N457" s="91"/>
      <x:c r="O457" s="85"/>
      <x:c r="Q457" s="86"/>
      <x:c r="R457" s="32"/>
    </x:row>
    <x:row r="458">
      <x:c r="A458" s="87"/>
      <x:c r="B458" s="88"/>
      <x:c r="D458" s="32"/>
      <x:c r="G458" s="74"/>
      <x:c r="H458" s="74"/>
      <x:c r="I458" s="74"/>
      <x:c r="J458" s="74"/>
      <x:c r="K458" s="74"/>
      <x:c r="L458" s="74"/>
      <x:c r="M458" s="91"/>
      <x:c r="N458" s="91"/>
      <x:c r="O458" s="85"/>
      <x:c r="Q458" s="86"/>
      <x:c r="R458" s="32"/>
    </x:row>
    <x:row r="459">
      <x:c r="A459" s="87"/>
      <x:c r="B459" s="88"/>
      <x:c r="D459" s="32"/>
      <x:c r="G459" s="74"/>
      <x:c r="H459" s="74"/>
      <x:c r="I459" s="74"/>
      <x:c r="J459" s="74"/>
      <x:c r="K459" s="74"/>
      <x:c r="L459" s="74"/>
      <x:c r="M459" s="91"/>
      <x:c r="N459" s="91"/>
      <x:c r="O459" s="85"/>
      <x:c r="Q459" s="86"/>
      <x:c r="R459" s="32"/>
    </x:row>
    <x:row r="460">
      <x:c r="A460" s="87"/>
      <x:c r="B460" s="88"/>
      <x:c r="D460" s="32"/>
      <x:c r="G460" s="74"/>
      <x:c r="H460" s="74"/>
      <x:c r="I460" s="74"/>
      <x:c r="J460" s="74"/>
      <x:c r="K460" s="74"/>
      <x:c r="L460" s="74"/>
      <x:c r="M460" s="91"/>
      <x:c r="N460" s="91"/>
      <x:c r="O460" s="85"/>
      <x:c r="Q460" s="86"/>
      <x:c r="R460" s="32"/>
    </x:row>
    <x:row r="461">
      <x:c r="A461" s="87"/>
      <x:c r="B461" s="88"/>
      <x:c r="D461" s="32"/>
      <x:c r="G461" s="74"/>
      <x:c r="H461" s="74"/>
      <x:c r="I461" s="74"/>
      <x:c r="J461" s="74"/>
      <x:c r="K461" s="74"/>
      <x:c r="L461" s="74"/>
      <x:c r="M461" s="91"/>
      <x:c r="N461" s="91"/>
      <x:c r="O461" s="85"/>
      <x:c r="Q461" s="86"/>
      <x:c r="R461" s="32"/>
    </x:row>
    <x:row r="462">
      <x:c r="A462" s="87"/>
      <x:c r="B462" s="88"/>
      <x:c r="D462" s="32"/>
      <x:c r="G462" s="74"/>
      <x:c r="H462" s="74"/>
      <x:c r="I462" s="74"/>
      <x:c r="J462" s="74"/>
      <x:c r="K462" s="74"/>
      <x:c r="L462" s="74"/>
      <x:c r="M462" s="91"/>
      <x:c r="N462" s="91"/>
      <x:c r="O462" s="85"/>
      <x:c r="Q462" s="86"/>
      <x:c r="R462" s="32"/>
    </x:row>
    <x:row r="463">
      <x:c r="A463" s="87"/>
      <x:c r="B463" s="88"/>
      <x:c r="D463" s="32"/>
      <x:c r="G463" s="74"/>
      <x:c r="H463" s="74"/>
      <x:c r="I463" s="74"/>
      <x:c r="J463" s="74"/>
      <x:c r="K463" s="74"/>
      <x:c r="L463" s="74"/>
      <x:c r="M463" s="91"/>
      <x:c r="N463" s="91"/>
      <x:c r="O463" s="85"/>
      <x:c r="Q463" s="86"/>
      <x:c r="R463" s="32"/>
    </x:row>
    <x:row r="464">
      <x:c r="A464" s="87"/>
      <x:c r="B464" s="88"/>
      <x:c r="D464" s="32"/>
      <x:c r="G464" s="74"/>
      <x:c r="H464" s="74"/>
      <x:c r="I464" s="74"/>
      <x:c r="J464" s="74"/>
      <x:c r="K464" s="74"/>
      <x:c r="L464" s="74"/>
      <x:c r="M464" s="91"/>
      <x:c r="N464" s="91"/>
      <x:c r="O464" s="85"/>
      <x:c r="Q464" s="86"/>
      <x:c r="R464" s="32"/>
    </x:row>
    <x:row r="465">
      <x:c r="A465" s="87"/>
      <x:c r="B465" s="88"/>
      <x:c r="D465" s="32"/>
      <x:c r="G465" s="74"/>
      <x:c r="H465" s="74"/>
      <x:c r="I465" s="74"/>
      <x:c r="J465" s="74"/>
      <x:c r="K465" s="74"/>
      <x:c r="L465" s="74"/>
      <x:c r="M465" s="91"/>
      <x:c r="N465" s="91"/>
      <x:c r="O465" s="85"/>
      <x:c r="Q465" s="86"/>
      <x:c r="R465" s="32"/>
    </x:row>
    <x:row r="466">
      <x:c r="A466" s="87"/>
      <x:c r="B466" s="88"/>
      <x:c r="D466" s="32"/>
      <x:c r="G466" s="74"/>
      <x:c r="H466" s="74"/>
      <x:c r="I466" s="74"/>
      <x:c r="J466" s="74"/>
      <x:c r="K466" s="74"/>
      <x:c r="L466" s="74"/>
      <x:c r="M466" s="91"/>
      <x:c r="N466" s="91"/>
      <x:c r="O466" s="85"/>
      <x:c r="Q466" s="86"/>
      <x:c r="R466" s="32"/>
    </x:row>
    <x:row r="467">
      <x:c r="A467" s="87"/>
      <x:c r="B467" s="88"/>
      <x:c r="D467" s="32"/>
      <x:c r="G467" s="74"/>
      <x:c r="H467" s="74"/>
      <x:c r="I467" s="74"/>
      <x:c r="J467" s="74"/>
      <x:c r="K467" s="74"/>
      <x:c r="L467" s="74"/>
      <x:c r="M467" s="91"/>
      <x:c r="N467" s="91"/>
      <x:c r="O467" s="85"/>
      <x:c r="Q467" s="86"/>
      <x:c r="R467" s="32"/>
    </x:row>
    <x:row r="468">
      <x:c r="A468" s="87"/>
      <x:c r="B468" s="88"/>
      <x:c r="D468" s="32"/>
      <x:c r="G468" s="74"/>
      <x:c r="H468" s="74"/>
      <x:c r="I468" s="74"/>
      <x:c r="J468" s="74"/>
      <x:c r="K468" s="74"/>
      <x:c r="L468" s="74"/>
      <x:c r="M468" s="91"/>
      <x:c r="N468" s="91"/>
      <x:c r="O468" s="85"/>
      <x:c r="Q468" s="86"/>
      <x:c r="R468" s="32"/>
    </x:row>
    <x:row r="469">
      <x:c r="A469" s="87"/>
      <x:c r="B469" s="88"/>
      <x:c r="D469" s="32"/>
      <x:c r="G469" s="74"/>
      <x:c r="H469" s="74"/>
      <x:c r="I469" s="74"/>
      <x:c r="J469" s="74"/>
      <x:c r="K469" s="74"/>
      <x:c r="L469" s="74"/>
      <x:c r="M469" s="91"/>
      <x:c r="N469" s="91"/>
      <x:c r="O469" s="85"/>
      <x:c r="Q469" s="86"/>
      <x:c r="R469" s="32"/>
    </x:row>
    <x:row r="470">
      <x:c r="A470" s="87"/>
      <x:c r="B470" s="88"/>
      <x:c r="D470" s="32"/>
      <x:c r="G470" s="74"/>
      <x:c r="H470" s="74"/>
      <x:c r="I470" s="74"/>
      <x:c r="J470" s="74"/>
      <x:c r="K470" s="74"/>
      <x:c r="L470" s="74"/>
      <x:c r="M470" s="91"/>
      <x:c r="N470" s="91"/>
      <x:c r="O470" s="85"/>
      <x:c r="Q470" s="86"/>
      <x:c r="R470" s="32"/>
    </x:row>
    <x:row r="471">
      <x:c r="A471" s="87"/>
      <x:c r="B471" s="88"/>
      <x:c r="D471" s="32"/>
      <x:c r="G471" s="74"/>
      <x:c r="H471" s="74"/>
      <x:c r="I471" s="74"/>
      <x:c r="J471" s="74"/>
      <x:c r="K471" s="74"/>
      <x:c r="L471" s="74"/>
      <x:c r="M471" s="91"/>
      <x:c r="N471" s="91"/>
      <x:c r="O471" s="85"/>
      <x:c r="Q471" s="86"/>
      <x:c r="R471" s="32"/>
    </x:row>
    <x:row r="472">
      <x:c r="A472" s="87"/>
      <x:c r="B472" s="88"/>
      <x:c r="D472" s="32"/>
      <x:c r="G472" s="74"/>
      <x:c r="H472" s="74"/>
      <x:c r="I472" s="74"/>
      <x:c r="J472" s="74"/>
      <x:c r="K472" s="74"/>
      <x:c r="L472" s="74"/>
      <x:c r="M472" s="91"/>
      <x:c r="N472" s="91"/>
      <x:c r="O472" s="85"/>
      <x:c r="Q472" s="86"/>
      <x:c r="R472" s="32"/>
    </x:row>
    <x:row r="473">
      <x:c r="A473" s="87"/>
      <x:c r="B473" s="88"/>
      <x:c r="D473" s="32"/>
      <x:c r="G473" s="74"/>
      <x:c r="H473" s="74"/>
      <x:c r="I473" s="74"/>
      <x:c r="J473" s="74"/>
      <x:c r="K473" s="74"/>
      <x:c r="L473" s="74"/>
      <x:c r="M473" s="91"/>
      <x:c r="N473" s="91"/>
      <x:c r="O473" s="85"/>
      <x:c r="Q473" s="86"/>
      <x:c r="R473" s="32"/>
    </x:row>
    <x:row r="474">
      <x:c r="A474" s="87"/>
      <x:c r="B474" s="88"/>
      <x:c r="D474" s="32"/>
      <x:c r="G474" s="74"/>
      <x:c r="H474" s="74"/>
      <x:c r="I474" s="74"/>
      <x:c r="J474" s="74"/>
      <x:c r="K474" s="74"/>
      <x:c r="L474" s="74"/>
      <x:c r="M474" s="91"/>
      <x:c r="N474" s="91"/>
      <x:c r="O474" s="85"/>
      <x:c r="Q474" s="86"/>
      <x:c r="R474" s="32"/>
    </x:row>
    <x:row r="475">
      <x:c r="A475" s="87"/>
      <x:c r="B475" s="88"/>
      <x:c r="D475" s="32"/>
      <x:c r="G475" s="74"/>
      <x:c r="H475" s="74"/>
      <x:c r="I475" s="74"/>
      <x:c r="J475" s="74"/>
      <x:c r="K475" s="74"/>
      <x:c r="L475" s="74"/>
      <x:c r="M475" s="91"/>
      <x:c r="N475" s="91"/>
      <x:c r="O475" s="85"/>
      <x:c r="Q475" s="86"/>
      <x:c r="R475" s="32"/>
    </x:row>
    <x:row r="476">
      <x:c r="A476" s="87"/>
      <x:c r="B476" s="88"/>
      <x:c r="D476" s="32"/>
      <x:c r="G476" s="74"/>
      <x:c r="H476" s="74"/>
      <x:c r="I476" s="74"/>
      <x:c r="J476" s="74"/>
      <x:c r="K476" s="74"/>
      <x:c r="L476" s="74"/>
      <x:c r="M476" s="91"/>
      <x:c r="N476" s="91"/>
      <x:c r="O476" s="85"/>
      <x:c r="Q476" s="86"/>
      <x:c r="R476" s="32"/>
    </x:row>
    <x:row r="477">
      <x:c r="A477" s="87"/>
      <x:c r="B477" s="88"/>
      <x:c r="D477" s="32"/>
      <x:c r="G477" s="74"/>
      <x:c r="H477" s="74"/>
      <x:c r="I477" s="74"/>
      <x:c r="J477" s="74"/>
      <x:c r="K477" s="74"/>
      <x:c r="L477" s="74"/>
      <x:c r="M477" s="91"/>
      <x:c r="N477" s="91"/>
      <x:c r="O477" s="85"/>
      <x:c r="Q477" s="86"/>
      <x:c r="R477" s="32"/>
    </x:row>
    <x:row r="478">
      <x:c r="A478" s="87"/>
      <x:c r="B478" s="88"/>
      <x:c r="D478" s="32"/>
      <x:c r="G478" s="74"/>
      <x:c r="H478" s="74"/>
      <x:c r="I478" s="74"/>
      <x:c r="J478" s="74"/>
      <x:c r="K478" s="74"/>
      <x:c r="L478" s="74"/>
      <x:c r="M478" s="91"/>
      <x:c r="N478" s="91"/>
      <x:c r="O478" s="85"/>
      <x:c r="Q478" s="86"/>
      <x:c r="R478" s="32"/>
    </x:row>
    <x:row r="479">
      <x:c r="A479" s="87"/>
      <x:c r="B479" s="88"/>
      <x:c r="D479" s="32"/>
      <x:c r="G479" s="74"/>
      <x:c r="H479" s="74"/>
      <x:c r="I479" s="74"/>
      <x:c r="J479" s="74"/>
      <x:c r="K479" s="74"/>
      <x:c r="L479" s="74"/>
      <x:c r="M479" s="91"/>
      <x:c r="N479" s="91"/>
      <x:c r="O479" s="85"/>
      <x:c r="Q479" s="86"/>
      <x:c r="R479" s="32"/>
    </x:row>
    <x:row r="480">
      <x:c r="A480" s="87"/>
      <x:c r="B480" s="88"/>
      <x:c r="D480" s="32"/>
      <x:c r="G480" s="74"/>
      <x:c r="H480" s="74"/>
      <x:c r="I480" s="74"/>
      <x:c r="J480" s="74"/>
      <x:c r="K480" s="74"/>
      <x:c r="L480" s="74"/>
      <x:c r="M480" s="91"/>
      <x:c r="N480" s="91"/>
      <x:c r="O480" s="85"/>
      <x:c r="Q480" s="86"/>
      <x:c r="R480" s="32"/>
    </x:row>
    <x:row r="481">
      <x:c r="A481" s="87"/>
      <x:c r="B481" s="88"/>
      <x:c r="D481" s="32"/>
      <x:c r="G481" s="74"/>
      <x:c r="H481" s="74"/>
      <x:c r="I481" s="74"/>
      <x:c r="J481" s="74"/>
      <x:c r="K481" s="74"/>
      <x:c r="L481" s="74"/>
      <x:c r="M481" s="91"/>
      <x:c r="N481" s="91"/>
      <x:c r="O481" s="85"/>
      <x:c r="Q481" s="86"/>
      <x:c r="R481" s="32"/>
    </x:row>
    <x:row r="482">
      <x:c r="A482" s="87"/>
      <x:c r="B482" s="88"/>
      <x:c r="D482" s="32"/>
      <x:c r="G482" s="74"/>
      <x:c r="H482" s="74"/>
      <x:c r="I482" s="74"/>
      <x:c r="J482" s="74"/>
      <x:c r="K482" s="74"/>
      <x:c r="L482" s="74"/>
      <x:c r="M482" s="91"/>
      <x:c r="N482" s="91"/>
      <x:c r="O482" s="85"/>
      <x:c r="Q482" s="86"/>
      <x:c r="R482" s="32"/>
    </x:row>
    <x:row r="483">
      <x:c r="A483" s="87"/>
      <x:c r="B483" s="88"/>
      <x:c r="D483" s="32"/>
      <x:c r="G483" s="74"/>
      <x:c r="H483" s="74"/>
      <x:c r="I483" s="74"/>
      <x:c r="J483" s="74"/>
      <x:c r="K483" s="74"/>
      <x:c r="L483" s="74"/>
      <x:c r="M483" s="91"/>
      <x:c r="N483" s="91"/>
      <x:c r="O483" s="85"/>
      <x:c r="Q483" s="86"/>
      <x:c r="R483" s="32"/>
    </x:row>
    <x:row r="484">
      <x:c r="A484" s="87"/>
      <x:c r="B484" s="88"/>
      <x:c r="D484" s="32"/>
      <x:c r="G484" s="74"/>
      <x:c r="H484" s="74"/>
      <x:c r="I484" s="74"/>
      <x:c r="J484" s="74"/>
      <x:c r="K484" s="74"/>
      <x:c r="L484" s="74"/>
      <x:c r="M484" s="91"/>
      <x:c r="N484" s="91"/>
      <x:c r="O484" s="85"/>
      <x:c r="Q484" s="86"/>
      <x:c r="R484" s="32"/>
    </x:row>
    <x:row r="485">
      <x:c r="A485" s="87"/>
      <x:c r="B485" s="88"/>
      <x:c r="D485" s="32"/>
      <x:c r="G485" s="74"/>
      <x:c r="H485" s="74"/>
      <x:c r="I485" s="74"/>
      <x:c r="J485" s="74"/>
      <x:c r="K485" s="74"/>
      <x:c r="L485" s="74"/>
      <x:c r="M485" s="91"/>
      <x:c r="N485" s="91"/>
      <x:c r="O485" s="85"/>
      <x:c r="Q485" s="86"/>
      <x:c r="R485" s="32"/>
    </x:row>
    <x:row r="486">
      <x:c r="A486" s="87"/>
      <x:c r="B486" s="88"/>
      <x:c r="D486" s="32"/>
      <x:c r="G486" s="74"/>
      <x:c r="H486" s="74"/>
      <x:c r="I486" s="74"/>
      <x:c r="J486" s="74"/>
      <x:c r="K486" s="74"/>
      <x:c r="L486" s="74"/>
      <x:c r="M486" s="91"/>
      <x:c r="N486" s="91"/>
      <x:c r="O486" s="85"/>
      <x:c r="Q486" s="86"/>
      <x:c r="R486" s="32"/>
    </x:row>
    <x:row r="487">
      <x:c r="A487" s="87"/>
      <x:c r="B487" s="88"/>
      <x:c r="D487" s="32"/>
      <x:c r="G487" s="74"/>
      <x:c r="H487" s="74"/>
      <x:c r="I487" s="74"/>
      <x:c r="J487" s="74"/>
      <x:c r="K487" s="74"/>
      <x:c r="L487" s="74"/>
      <x:c r="M487" s="91"/>
      <x:c r="N487" s="91"/>
      <x:c r="O487" s="85"/>
      <x:c r="Q487" s="86"/>
      <x:c r="R487" s="32"/>
    </x:row>
    <x:row r="488">
      <x:c r="A488" s="87"/>
      <x:c r="B488" s="88"/>
      <x:c r="D488" s="32"/>
      <x:c r="G488" s="74"/>
      <x:c r="H488" s="74"/>
      <x:c r="I488" s="74"/>
      <x:c r="J488" s="74"/>
      <x:c r="K488" s="74"/>
      <x:c r="L488" s="74"/>
      <x:c r="M488" s="91"/>
      <x:c r="N488" s="91"/>
      <x:c r="O488" s="85"/>
      <x:c r="Q488" s="86"/>
      <x:c r="R488" s="32"/>
    </x:row>
    <x:row r="489">
      <x:c r="A489" s="87"/>
      <x:c r="B489" s="88"/>
      <x:c r="D489" s="32"/>
      <x:c r="G489" s="74"/>
      <x:c r="H489" s="74"/>
      <x:c r="I489" s="74"/>
      <x:c r="J489" s="74"/>
      <x:c r="K489" s="74"/>
      <x:c r="L489" s="74"/>
      <x:c r="M489" s="91"/>
      <x:c r="N489" s="91"/>
      <x:c r="O489" s="85"/>
      <x:c r="Q489" s="86"/>
      <x:c r="R489" s="32"/>
    </x:row>
    <x:row r="490">
      <x:c r="A490" s="87"/>
      <x:c r="B490" s="88"/>
      <x:c r="D490" s="32"/>
      <x:c r="G490" s="74"/>
      <x:c r="H490" s="74"/>
      <x:c r="I490" s="74"/>
      <x:c r="J490" s="74"/>
      <x:c r="K490" s="74"/>
      <x:c r="L490" s="74"/>
      <x:c r="M490" s="91"/>
      <x:c r="N490" s="91"/>
      <x:c r="O490" s="85"/>
      <x:c r="Q490" s="86"/>
      <x:c r="R490" s="32"/>
    </x:row>
    <x:row r="491">
      <x:c r="A491" s="87"/>
      <x:c r="B491" s="88"/>
      <x:c r="D491" s="32"/>
      <x:c r="G491" s="74"/>
      <x:c r="H491" s="74"/>
      <x:c r="I491" s="74"/>
      <x:c r="J491" s="74"/>
      <x:c r="K491" s="74"/>
      <x:c r="L491" s="74"/>
      <x:c r="M491" s="91"/>
      <x:c r="N491" s="91"/>
      <x:c r="O491" s="85"/>
      <x:c r="Q491" s="86"/>
      <x:c r="R491" s="32"/>
    </x:row>
    <x:row r="492">
      <x:c r="A492" s="87"/>
      <x:c r="B492" s="88"/>
      <x:c r="D492" s="32"/>
      <x:c r="G492" s="74"/>
      <x:c r="H492" s="74"/>
      <x:c r="I492" s="74"/>
      <x:c r="J492" s="74"/>
      <x:c r="K492" s="74"/>
      <x:c r="L492" s="74"/>
      <x:c r="M492" s="91"/>
      <x:c r="N492" s="91"/>
      <x:c r="O492" s="85"/>
      <x:c r="Q492" s="86"/>
      <x:c r="R492" s="32"/>
    </x:row>
    <x:row r="493">
      <x:c r="A493" s="87"/>
      <x:c r="B493" s="88"/>
      <x:c r="D493" s="32"/>
      <x:c r="G493" s="74"/>
      <x:c r="H493" s="74"/>
      <x:c r="I493" s="74"/>
      <x:c r="J493" s="74"/>
      <x:c r="K493" s="74"/>
      <x:c r="L493" s="74"/>
      <x:c r="M493" s="91"/>
      <x:c r="N493" s="91"/>
      <x:c r="O493" s="85"/>
      <x:c r="Q493" s="86"/>
      <x:c r="R493" s="32"/>
    </x:row>
    <x:row r="494">
      <x:c r="A494" s="87"/>
      <x:c r="B494" s="88"/>
      <x:c r="D494" s="32"/>
      <x:c r="G494" s="74"/>
      <x:c r="H494" s="74"/>
      <x:c r="I494" s="74"/>
      <x:c r="J494" s="74"/>
      <x:c r="K494" s="74"/>
      <x:c r="L494" s="74"/>
      <x:c r="M494" s="91"/>
      <x:c r="N494" s="91"/>
      <x:c r="O494" s="85"/>
      <x:c r="Q494" s="86"/>
      <x:c r="R494" s="32"/>
    </x:row>
    <x:row r="495">
      <x:c r="A495" s="87"/>
      <x:c r="B495" s="88"/>
      <x:c r="D495" s="32"/>
      <x:c r="G495" s="74"/>
      <x:c r="H495" s="74"/>
      <x:c r="I495" s="74"/>
      <x:c r="J495" s="74"/>
      <x:c r="K495" s="74"/>
      <x:c r="L495" s="74"/>
      <x:c r="M495" s="91"/>
      <x:c r="N495" s="91"/>
      <x:c r="O495" s="85"/>
      <x:c r="Q495" s="86"/>
      <x:c r="R495" s="32"/>
    </x:row>
    <x:row r="496">
      <x:c r="A496" s="87"/>
      <x:c r="B496" s="88"/>
      <x:c r="D496" s="32"/>
      <x:c r="G496" s="74"/>
      <x:c r="H496" s="74"/>
      <x:c r="I496" s="74"/>
      <x:c r="J496" s="74"/>
      <x:c r="K496" s="74"/>
      <x:c r="L496" s="74"/>
      <x:c r="M496" s="91"/>
      <x:c r="N496" s="91"/>
      <x:c r="O496" s="85"/>
      <x:c r="Q496" s="86"/>
      <x:c r="R496" s="32"/>
    </x:row>
    <x:row r="497">
      <x:c r="A497" s="87"/>
      <x:c r="B497" s="88"/>
      <x:c r="D497" s="32"/>
      <x:c r="G497" s="74"/>
      <x:c r="H497" s="74"/>
      <x:c r="I497" s="74"/>
      <x:c r="J497" s="74"/>
      <x:c r="K497" s="74"/>
      <x:c r="L497" s="74"/>
      <x:c r="M497" s="91"/>
      <x:c r="N497" s="91"/>
      <x:c r="O497" s="85"/>
      <x:c r="Q497" s="86"/>
      <x:c r="R497" s="32"/>
    </x:row>
    <x:row r="498">
      <x:c r="A498" s="87"/>
      <x:c r="B498" s="88"/>
      <x:c r="D498" s="32"/>
      <x:c r="G498" s="74"/>
      <x:c r="H498" s="74"/>
      <x:c r="I498" s="74"/>
      <x:c r="J498" s="74"/>
      <x:c r="K498" s="74"/>
      <x:c r="L498" s="74"/>
      <x:c r="M498" s="91"/>
      <x:c r="N498" s="91"/>
      <x:c r="O498" s="85"/>
      <x:c r="Q498" s="86"/>
      <x:c r="R498" s="32"/>
    </x:row>
    <x:row r="499">
      <x:c r="A499" s="87"/>
      <x:c r="B499" s="88"/>
      <x:c r="D499" s="32"/>
      <x:c r="G499" s="74"/>
      <x:c r="H499" s="74"/>
      <x:c r="I499" s="74"/>
      <x:c r="J499" s="74"/>
      <x:c r="K499" s="74"/>
      <x:c r="L499" s="74"/>
      <x:c r="M499" s="91"/>
      <x:c r="N499" s="91"/>
      <x:c r="O499" s="85"/>
      <x:c r="Q499" s="86"/>
      <x:c r="R499" s="32"/>
    </x:row>
    <x:row r="500">
      <x:c r="A500" s="87"/>
      <x:c r="B500" s="88"/>
      <x:c r="D500" s="32"/>
      <x:c r="G500" s="74"/>
      <x:c r="H500" s="74"/>
      <x:c r="I500" s="74"/>
      <x:c r="J500" s="74"/>
      <x:c r="K500" s="74"/>
      <x:c r="L500" s="74"/>
      <x:c r="M500" s="91"/>
      <x:c r="N500" s="91"/>
      <x:c r="O500" s="85"/>
      <x:c r="Q500" s="86"/>
      <x:c r="R500" s="32"/>
    </x:row>
    <x:row r="501">
      <x:c r="A501" s="87"/>
      <x:c r="B501" s="88"/>
      <x:c r="D501" s="32"/>
      <x:c r="G501" s="74"/>
      <x:c r="H501" s="74"/>
      <x:c r="I501" s="74"/>
      <x:c r="J501" s="74"/>
      <x:c r="K501" s="74"/>
      <x:c r="L501" s="74"/>
      <x:c r="M501" s="91"/>
      <x:c r="N501" s="91"/>
      <x:c r="O501" s="85"/>
      <x:c r="Q501" s="86"/>
      <x:c r="R501" s="32"/>
    </x:row>
    <x:row r="502">
      <x:c r="A502" s="87"/>
      <x:c r="B502" s="88"/>
      <x:c r="D502" s="32"/>
      <x:c r="G502" s="74"/>
      <x:c r="H502" s="74"/>
      <x:c r="I502" s="74"/>
      <x:c r="J502" s="74"/>
      <x:c r="K502" s="74"/>
      <x:c r="L502" s="74"/>
      <x:c r="M502" s="91"/>
      <x:c r="N502" s="91"/>
      <x:c r="O502" s="85"/>
      <x:c r="Q502" s="86"/>
      <x:c r="R502" s="32"/>
    </x:row>
    <x:row r="503">
      <x:c r="A503" s="87"/>
      <x:c r="B503" s="88"/>
      <x:c r="D503" s="32"/>
      <x:c r="G503" s="74"/>
      <x:c r="H503" s="74"/>
      <x:c r="I503" s="74"/>
      <x:c r="J503" s="74"/>
      <x:c r="K503" s="74"/>
      <x:c r="L503" s="74"/>
      <x:c r="M503" s="91"/>
      <x:c r="N503" s="91"/>
      <x:c r="O503" s="85"/>
      <x:c r="Q503" s="86"/>
      <x:c r="R503" s="32"/>
    </x:row>
    <x:row r="504">
      <x:c r="A504" s="87"/>
      <x:c r="B504" s="88"/>
      <x:c r="D504" s="32"/>
      <x:c r="G504" s="74"/>
      <x:c r="H504" s="74"/>
      <x:c r="I504" s="74"/>
      <x:c r="J504" s="74"/>
      <x:c r="K504" s="74"/>
      <x:c r="L504" s="74"/>
      <x:c r="M504" s="91"/>
      <x:c r="N504" s="91"/>
      <x:c r="O504" s="85"/>
      <x:c r="Q504" s="86"/>
      <x:c r="R504" s="32"/>
    </x:row>
    <x:row r="505">
      <x:c r="A505" s="87"/>
      <x:c r="B505" s="88"/>
      <x:c r="D505" s="32"/>
      <x:c r="G505" s="74"/>
      <x:c r="H505" s="74"/>
      <x:c r="I505" s="74"/>
      <x:c r="J505" s="74"/>
      <x:c r="K505" s="74"/>
      <x:c r="L505" s="74"/>
      <x:c r="M505" s="91"/>
      <x:c r="N505" s="91"/>
      <x:c r="O505" s="85"/>
      <x:c r="Q505" s="86"/>
      <x:c r="R505" s="32"/>
    </x:row>
    <x:row r="506">
      <x:c r="A506" s="87"/>
      <x:c r="B506" s="88"/>
      <x:c r="D506" s="32"/>
      <x:c r="G506" s="74"/>
      <x:c r="H506" s="74"/>
      <x:c r="I506" s="74"/>
      <x:c r="J506" s="74"/>
      <x:c r="K506" s="74"/>
      <x:c r="L506" s="74"/>
      <x:c r="M506" s="91"/>
      <x:c r="N506" s="91"/>
      <x:c r="O506" s="85"/>
      <x:c r="Q506" s="86"/>
      <x:c r="R506" s="32"/>
    </x:row>
    <x:row r="507">
      <x:c r="A507" s="87"/>
      <x:c r="B507" s="88"/>
      <x:c r="D507" s="32"/>
      <x:c r="G507" s="74"/>
      <x:c r="H507" s="74"/>
      <x:c r="I507" s="74"/>
      <x:c r="J507" s="74"/>
      <x:c r="K507" s="74"/>
      <x:c r="L507" s="74"/>
      <x:c r="M507" s="91"/>
      <x:c r="N507" s="91"/>
      <x:c r="O507" s="85"/>
      <x:c r="Q507" s="86"/>
      <x:c r="R507" s="32"/>
    </x:row>
    <x:row r="508">
      <x:c r="A508" s="87"/>
      <x:c r="B508" s="88"/>
      <x:c r="D508" s="32"/>
      <x:c r="G508" s="74"/>
      <x:c r="H508" s="74"/>
      <x:c r="I508" s="74"/>
      <x:c r="J508" s="74"/>
      <x:c r="K508" s="74"/>
      <x:c r="L508" s="74"/>
      <x:c r="M508" s="91"/>
      <x:c r="N508" s="91"/>
      <x:c r="O508" s="85"/>
      <x:c r="Q508" s="86"/>
      <x:c r="R508" s="32"/>
    </x:row>
    <x:row r="509">
      <x:c r="A509" s="87"/>
      <x:c r="B509" s="88"/>
      <x:c r="D509" s="32"/>
      <x:c r="G509" s="74"/>
      <x:c r="H509" s="74"/>
      <x:c r="I509" s="74"/>
      <x:c r="J509" s="74"/>
      <x:c r="K509" s="74"/>
      <x:c r="L509" s="74"/>
      <x:c r="M509" s="91"/>
      <x:c r="N509" s="91"/>
      <x:c r="O509" s="85"/>
      <x:c r="Q509" s="86"/>
      <x:c r="R509" s="32"/>
    </x:row>
    <x:row r="510">
      <x:c r="A510" s="87"/>
      <x:c r="B510" s="88"/>
      <x:c r="D510" s="32"/>
      <x:c r="G510" s="74"/>
      <x:c r="H510" s="74"/>
      <x:c r="I510" s="74"/>
      <x:c r="J510" s="74"/>
      <x:c r="K510" s="74"/>
      <x:c r="L510" s="74"/>
      <x:c r="M510" s="91"/>
      <x:c r="N510" s="91"/>
      <x:c r="O510" s="85"/>
      <x:c r="Q510" s="86"/>
      <x:c r="R510" s="32"/>
    </x:row>
    <x:row r="511">
      <x:c r="A511" s="87"/>
      <x:c r="B511" s="88"/>
      <x:c r="D511" s="32"/>
      <x:c r="G511" s="74"/>
      <x:c r="H511" s="74"/>
      <x:c r="I511" s="74"/>
      <x:c r="J511" s="74"/>
      <x:c r="K511" s="74"/>
      <x:c r="L511" s="74"/>
      <x:c r="M511" s="91"/>
      <x:c r="N511" s="91"/>
      <x:c r="O511" s="85"/>
      <x:c r="Q511" s="86"/>
      <x:c r="R511" s="32"/>
    </x:row>
    <x:row r="512">
      <x:c r="A512" s="87"/>
      <x:c r="B512" s="88"/>
      <x:c r="D512" s="32"/>
      <x:c r="G512" s="74"/>
      <x:c r="H512" s="74"/>
      <x:c r="I512" s="74"/>
      <x:c r="J512" s="74"/>
      <x:c r="K512" s="74"/>
      <x:c r="L512" s="74"/>
      <x:c r="M512" s="91"/>
      <x:c r="N512" s="91"/>
      <x:c r="O512" s="85"/>
      <x:c r="Q512" s="86"/>
      <x:c r="R512" s="32"/>
    </x:row>
    <x:row r="513">
      <x:c r="A513" s="87"/>
      <x:c r="B513" s="88"/>
      <x:c r="D513" s="32"/>
      <x:c r="G513" s="74"/>
      <x:c r="H513" s="74"/>
      <x:c r="I513" s="74"/>
      <x:c r="J513" s="74"/>
      <x:c r="K513" s="74"/>
      <x:c r="L513" s="74"/>
      <x:c r="M513" s="91"/>
      <x:c r="N513" s="91"/>
      <x:c r="O513" s="85"/>
      <x:c r="Q513" s="86"/>
      <x:c r="R513" s="32"/>
    </x:row>
    <x:row r="514">
      <x:c r="A514" s="87"/>
      <x:c r="B514" s="88"/>
      <x:c r="D514" s="32"/>
      <x:c r="G514" s="74"/>
      <x:c r="H514" s="74"/>
      <x:c r="I514" s="74"/>
      <x:c r="J514" s="74"/>
      <x:c r="K514" s="74"/>
      <x:c r="L514" s="74"/>
      <x:c r="M514" s="91"/>
      <x:c r="N514" s="91"/>
      <x:c r="O514" s="85"/>
      <x:c r="Q514" s="86"/>
      <x:c r="R514" s="32"/>
    </x:row>
    <x:row r="515">
      <x:c r="A515" s="87"/>
      <x:c r="B515" s="88"/>
      <x:c r="D515" s="32"/>
      <x:c r="G515" s="74"/>
      <x:c r="H515" s="74"/>
      <x:c r="I515" s="74"/>
      <x:c r="J515" s="74"/>
      <x:c r="K515" s="74"/>
      <x:c r="L515" s="74"/>
      <x:c r="M515" s="91"/>
      <x:c r="N515" s="91"/>
      <x:c r="O515" s="85"/>
      <x:c r="Q515" s="86"/>
      <x:c r="R515" s="32"/>
    </x:row>
    <x:row r="516">
      <x:c r="A516" s="87"/>
      <x:c r="B516" s="88"/>
      <x:c r="D516" s="32"/>
      <x:c r="G516" s="74"/>
      <x:c r="H516" s="74"/>
      <x:c r="I516" s="74"/>
      <x:c r="J516" s="74"/>
      <x:c r="K516" s="74"/>
      <x:c r="L516" s="74"/>
      <x:c r="M516" s="91"/>
      <x:c r="N516" s="91"/>
      <x:c r="O516" s="85"/>
      <x:c r="Q516" s="86"/>
      <x:c r="R516" s="32"/>
    </x:row>
    <x:row r="517">
      <x:c r="A517" s="87"/>
      <x:c r="B517" s="88"/>
      <x:c r="D517" s="32"/>
      <x:c r="G517" s="74"/>
      <x:c r="H517" s="74"/>
      <x:c r="I517" s="74"/>
      <x:c r="J517" s="74"/>
      <x:c r="K517" s="74"/>
      <x:c r="L517" s="74"/>
      <x:c r="M517" s="91"/>
      <x:c r="N517" s="91"/>
      <x:c r="O517" s="85"/>
      <x:c r="Q517" s="86"/>
      <x:c r="R517" s="32"/>
    </x:row>
    <x:row r="518">
      <x:c r="A518" s="87"/>
      <x:c r="B518" s="88"/>
      <x:c r="D518" s="32"/>
      <x:c r="G518" s="74"/>
      <x:c r="H518" s="74"/>
      <x:c r="I518" s="74"/>
      <x:c r="J518" s="74"/>
      <x:c r="K518" s="74"/>
      <x:c r="L518" s="74"/>
      <x:c r="M518" s="91"/>
      <x:c r="N518" s="91"/>
      <x:c r="O518" s="85"/>
      <x:c r="Q518" s="86"/>
      <x:c r="R518" s="32"/>
    </x:row>
    <x:row r="519">
      <x:c r="A519" s="87"/>
      <x:c r="B519" s="88"/>
      <x:c r="D519" s="32"/>
      <x:c r="G519" s="74"/>
      <x:c r="H519" s="74"/>
      <x:c r="I519" s="74"/>
      <x:c r="J519" s="74"/>
      <x:c r="K519" s="74"/>
      <x:c r="L519" s="74"/>
      <x:c r="M519" s="91"/>
      <x:c r="N519" s="91"/>
      <x:c r="O519" s="85"/>
      <x:c r="Q519" s="86"/>
      <x:c r="R519" s="32"/>
    </x:row>
    <x:row r="520">
      <x:c r="A520" s="87"/>
      <x:c r="B520" s="88"/>
      <x:c r="D520" s="32"/>
      <x:c r="G520" s="74"/>
      <x:c r="H520" s="74"/>
      <x:c r="I520" s="74"/>
      <x:c r="J520" s="74"/>
      <x:c r="K520" s="74"/>
      <x:c r="L520" s="74"/>
      <x:c r="M520" s="91"/>
      <x:c r="N520" s="91"/>
      <x:c r="O520" s="85"/>
      <x:c r="Q520" s="86"/>
      <x:c r="R520" s="32"/>
    </x:row>
    <x:row r="521">
      <x:c r="A521" s="87"/>
      <x:c r="B521" s="88"/>
      <x:c r="D521" s="32"/>
      <x:c r="G521" s="74"/>
      <x:c r="H521" s="74"/>
      <x:c r="I521" s="74"/>
      <x:c r="J521" s="74"/>
      <x:c r="K521" s="74"/>
      <x:c r="L521" s="74"/>
      <x:c r="M521" s="91"/>
      <x:c r="N521" s="91"/>
      <x:c r="O521" s="85"/>
      <x:c r="Q521" s="86"/>
      <x:c r="R521" s="32"/>
    </x:row>
    <x:row r="522">
      <x:c r="A522" s="87"/>
      <x:c r="B522" s="88"/>
      <x:c r="D522" s="32"/>
      <x:c r="G522" s="74"/>
      <x:c r="H522" s="74"/>
      <x:c r="I522" s="74"/>
      <x:c r="J522" s="74"/>
      <x:c r="K522" s="74"/>
      <x:c r="L522" s="74"/>
      <x:c r="M522" s="91"/>
      <x:c r="N522" s="91"/>
      <x:c r="O522" s="85"/>
      <x:c r="Q522" s="86"/>
      <x:c r="R522" s="32"/>
    </x:row>
    <x:row r="523">
      <x:c r="A523" s="87"/>
      <x:c r="B523" s="88"/>
      <x:c r="D523" s="32"/>
      <x:c r="G523" s="74"/>
      <x:c r="H523" s="74"/>
      <x:c r="I523" s="74"/>
      <x:c r="J523" s="74"/>
      <x:c r="K523" s="74"/>
      <x:c r="L523" s="74"/>
      <x:c r="M523" s="91"/>
      <x:c r="N523" s="91"/>
      <x:c r="O523" s="85"/>
      <x:c r="Q523" s="86"/>
      <x:c r="R523" s="32"/>
    </x:row>
    <x:row r="524">
      <x:c r="A524" s="87"/>
      <x:c r="B524" s="88"/>
      <x:c r="D524" s="32"/>
      <x:c r="G524" s="74"/>
      <x:c r="H524" s="74"/>
      <x:c r="I524" s="74"/>
      <x:c r="J524" s="74"/>
      <x:c r="K524" s="74"/>
      <x:c r="L524" s="74"/>
      <x:c r="M524" s="91"/>
      <x:c r="N524" s="91"/>
      <x:c r="O524" s="85"/>
      <x:c r="Q524" s="86"/>
      <x:c r="R524" s="32"/>
    </x:row>
    <x:row r="525">
      <x:c r="A525" s="87"/>
      <x:c r="B525" s="88"/>
      <x:c r="D525" s="32"/>
      <x:c r="G525" s="74"/>
      <x:c r="H525" s="74"/>
      <x:c r="I525" s="74"/>
      <x:c r="J525" s="74"/>
      <x:c r="K525" s="74"/>
      <x:c r="L525" s="74"/>
      <x:c r="M525" s="91"/>
      <x:c r="N525" s="91"/>
      <x:c r="O525" s="85"/>
      <x:c r="Q525" s="86"/>
      <x:c r="R525" s="32"/>
    </x:row>
    <x:row r="526">
      <x:c r="A526" s="87"/>
      <x:c r="B526" s="88"/>
      <x:c r="D526" s="32"/>
      <x:c r="G526" s="74"/>
      <x:c r="H526" s="74"/>
      <x:c r="I526" s="74"/>
      <x:c r="J526" s="74"/>
      <x:c r="K526" s="74"/>
      <x:c r="L526" s="74"/>
      <x:c r="M526" s="91"/>
      <x:c r="N526" s="91"/>
      <x:c r="O526" s="85"/>
      <x:c r="Q526" s="86"/>
      <x:c r="R526" s="32"/>
    </x:row>
    <x:row r="527">
      <x:c r="A527" s="87"/>
      <x:c r="B527" s="88"/>
      <x:c r="D527" s="32"/>
      <x:c r="G527" s="74"/>
      <x:c r="H527" s="74"/>
      <x:c r="I527" s="74"/>
      <x:c r="J527" s="74"/>
      <x:c r="K527" s="74"/>
      <x:c r="L527" s="74"/>
      <x:c r="M527" s="91"/>
      <x:c r="N527" s="91"/>
      <x:c r="O527" s="85"/>
      <x:c r="Q527" s="86"/>
      <x:c r="R527" s="32"/>
    </x:row>
    <x:row r="528">
      <x:c r="A528" s="87"/>
      <x:c r="B528" s="88"/>
      <x:c r="D528" s="32"/>
      <x:c r="G528" s="74"/>
      <x:c r="H528" s="74"/>
      <x:c r="I528" s="74"/>
      <x:c r="J528" s="74"/>
      <x:c r="K528" s="74"/>
      <x:c r="L528" s="74"/>
      <x:c r="M528" s="91"/>
      <x:c r="N528" s="91"/>
      <x:c r="O528" s="85"/>
      <x:c r="Q528" s="86"/>
      <x:c r="R528" s="32"/>
    </x:row>
    <x:row r="529">
      <x:c r="A529" s="87"/>
      <x:c r="B529" s="88"/>
      <x:c r="D529" s="32"/>
      <x:c r="G529" s="74"/>
      <x:c r="H529" s="74"/>
      <x:c r="I529" s="74"/>
      <x:c r="J529" s="74"/>
      <x:c r="K529" s="74"/>
      <x:c r="L529" s="74"/>
      <x:c r="M529" s="91"/>
      <x:c r="N529" s="91"/>
      <x:c r="O529" s="85"/>
      <x:c r="Q529" s="86"/>
      <x:c r="R529" s="32"/>
    </x:row>
    <x:row r="530">
      <x:c r="A530" s="87"/>
      <x:c r="B530" s="88"/>
      <x:c r="D530" s="32"/>
      <x:c r="G530" s="74"/>
      <x:c r="H530" s="74"/>
      <x:c r="I530" s="74"/>
      <x:c r="J530" s="74"/>
      <x:c r="K530" s="74"/>
      <x:c r="L530" s="74"/>
      <x:c r="M530" s="91"/>
      <x:c r="N530" s="91"/>
      <x:c r="O530" s="85"/>
      <x:c r="Q530" s="86"/>
      <x:c r="R530" s="32"/>
    </x:row>
    <x:row r="531">
      <x:c r="A531" s="87"/>
      <x:c r="B531" s="88"/>
      <x:c r="D531" s="32"/>
      <x:c r="G531" s="74"/>
      <x:c r="H531" s="74"/>
      <x:c r="I531" s="74"/>
      <x:c r="J531" s="74"/>
      <x:c r="K531" s="74"/>
      <x:c r="L531" s="74"/>
      <x:c r="M531" s="91"/>
      <x:c r="N531" s="91"/>
      <x:c r="O531" s="85"/>
      <x:c r="Q531" s="86"/>
      <x:c r="R531" s="32"/>
    </x:row>
    <x:row r="532">
      <x:c r="A532" s="87"/>
      <x:c r="B532" s="88"/>
      <x:c r="D532" s="32"/>
      <x:c r="G532" s="74"/>
      <x:c r="H532" s="74"/>
      <x:c r="I532" s="74"/>
      <x:c r="J532" s="74"/>
      <x:c r="K532" s="74"/>
      <x:c r="L532" s="74"/>
      <x:c r="M532" s="91"/>
      <x:c r="N532" s="91"/>
      <x:c r="O532" s="85"/>
      <x:c r="Q532" s="86"/>
      <x:c r="R532" s="32"/>
    </x:row>
    <x:row r="533">
      <x:c r="A533" s="87"/>
      <x:c r="B533" s="88"/>
      <x:c r="D533" s="32"/>
      <x:c r="G533" s="74"/>
      <x:c r="H533" s="74"/>
      <x:c r="I533" s="74"/>
      <x:c r="J533" s="74"/>
      <x:c r="K533" s="74"/>
      <x:c r="L533" s="74"/>
      <x:c r="M533" s="91"/>
      <x:c r="N533" s="91"/>
      <x:c r="O533" s="85"/>
      <x:c r="Q533" s="86"/>
      <x:c r="R533" s="32"/>
    </x:row>
    <x:row r="534">
      <x:c r="A534" s="87"/>
      <x:c r="B534" s="88"/>
      <x:c r="D534" s="32"/>
      <x:c r="G534" s="74"/>
      <x:c r="H534" s="74"/>
      <x:c r="I534" s="74"/>
      <x:c r="J534" s="74"/>
      <x:c r="K534" s="74"/>
      <x:c r="L534" s="74"/>
      <x:c r="M534" s="91"/>
      <x:c r="N534" s="91"/>
      <x:c r="O534" s="85"/>
      <x:c r="Q534" s="86"/>
      <x:c r="R534" s="32"/>
    </x:row>
    <x:row r="535">
      <x:c r="A535" s="87"/>
      <x:c r="B535" s="88"/>
      <x:c r="D535" s="32"/>
      <x:c r="G535" s="74"/>
      <x:c r="H535" s="74"/>
      <x:c r="I535" s="74"/>
      <x:c r="J535" s="74"/>
      <x:c r="K535" s="74"/>
      <x:c r="L535" s="74"/>
      <x:c r="M535" s="91"/>
      <x:c r="N535" s="91"/>
      <x:c r="O535" s="85"/>
      <x:c r="Q535" s="86"/>
      <x:c r="R535" s="32"/>
    </x:row>
    <x:row r="536">
      <x:c r="A536" s="87"/>
      <x:c r="B536" s="88"/>
      <x:c r="D536" s="32"/>
      <x:c r="G536" s="74"/>
      <x:c r="H536" s="74"/>
      <x:c r="I536" s="74"/>
      <x:c r="J536" s="74"/>
      <x:c r="K536" s="74"/>
      <x:c r="L536" s="74"/>
      <x:c r="M536" s="91"/>
      <x:c r="N536" s="91"/>
      <x:c r="O536" s="85"/>
      <x:c r="Q536" s="86"/>
      <x:c r="R536" s="32"/>
    </x:row>
    <x:row r="537">
      <x:c r="A537" s="87"/>
      <x:c r="B537" s="88"/>
      <x:c r="D537" s="32"/>
      <x:c r="G537" s="74"/>
      <x:c r="H537" s="74"/>
      <x:c r="I537" s="74"/>
      <x:c r="J537" s="74"/>
      <x:c r="K537" s="74"/>
      <x:c r="L537" s="74"/>
      <x:c r="M537" s="91"/>
      <x:c r="N537" s="91"/>
      <x:c r="O537" s="85"/>
      <x:c r="Q537" s="86"/>
      <x:c r="R537" s="32"/>
    </x:row>
    <x:row r="538">
      <x:c r="A538" s="87"/>
      <x:c r="B538" s="88"/>
      <x:c r="D538" s="32"/>
      <x:c r="G538" s="74"/>
      <x:c r="H538" s="74"/>
      <x:c r="I538" s="74"/>
      <x:c r="J538" s="74"/>
      <x:c r="K538" s="74"/>
      <x:c r="L538" s="74"/>
      <x:c r="M538" s="91"/>
      <x:c r="N538" s="91"/>
      <x:c r="O538" s="85"/>
      <x:c r="Q538" s="86"/>
      <x:c r="R538" s="32"/>
    </x:row>
    <x:row r="539">
      <x:c r="A539" s="87"/>
      <x:c r="B539" s="88"/>
      <x:c r="D539" s="32"/>
      <x:c r="G539" s="74"/>
      <x:c r="H539" s="74"/>
      <x:c r="I539" s="74"/>
      <x:c r="J539" s="74"/>
      <x:c r="K539" s="74"/>
      <x:c r="L539" s="74"/>
      <x:c r="M539" s="91"/>
      <x:c r="N539" s="91"/>
      <x:c r="O539" s="85"/>
      <x:c r="Q539" s="86"/>
      <x:c r="R539" s="32"/>
    </x:row>
    <x:row r="540">
      <x:c r="A540" s="87"/>
      <x:c r="B540" s="88"/>
      <x:c r="D540" s="32"/>
      <x:c r="G540" s="74"/>
      <x:c r="H540" s="74"/>
      <x:c r="I540" s="74"/>
      <x:c r="J540" s="74"/>
      <x:c r="K540" s="74"/>
      <x:c r="L540" s="74"/>
      <x:c r="M540" s="91"/>
      <x:c r="N540" s="91"/>
      <x:c r="O540" s="85"/>
      <x:c r="Q540" s="86"/>
      <x:c r="R540" s="32"/>
    </x:row>
    <x:row r="541">
      <x:c r="A541" s="87"/>
      <x:c r="B541" s="88"/>
      <x:c r="D541" s="32"/>
      <x:c r="G541" s="74"/>
      <x:c r="H541" s="74"/>
      <x:c r="I541" s="74"/>
      <x:c r="J541" s="74"/>
      <x:c r="K541" s="74"/>
      <x:c r="L541" s="74"/>
      <x:c r="M541" s="91"/>
      <x:c r="N541" s="91"/>
      <x:c r="O541" s="85"/>
      <x:c r="Q541" s="86"/>
      <x:c r="R541" s="32"/>
    </x:row>
    <x:row r="542">
      <x:c r="A542" s="87"/>
      <x:c r="B542" s="88"/>
      <x:c r="D542" s="32"/>
      <x:c r="G542" s="74"/>
      <x:c r="H542" s="74"/>
      <x:c r="I542" s="74"/>
      <x:c r="J542" s="74"/>
      <x:c r="K542" s="74"/>
      <x:c r="L542" s="74"/>
      <x:c r="M542" s="91"/>
      <x:c r="N542" s="91"/>
      <x:c r="O542" s="85"/>
      <x:c r="Q542" s="86"/>
      <x:c r="R542" s="32"/>
    </x:row>
    <x:row r="543">
      <x:c r="A543" s="87"/>
      <x:c r="B543" s="88"/>
      <x:c r="D543" s="32"/>
      <x:c r="G543" s="74"/>
      <x:c r="H543" s="74"/>
      <x:c r="I543" s="74"/>
      <x:c r="J543" s="74"/>
      <x:c r="K543" s="74"/>
      <x:c r="L543" s="74"/>
      <x:c r="M543" s="91"/>
      <x:c r="N543" s="91"/>
      <x:c r="O543" s="85"/>
      <x:c r="Q543" s="86"/>
      <x:c r="R543" s="32"/>
    </x:row>
    <x:row r="544">
      <x:c r="A544" s="87"/>
      <x:c r="B544" s="88"/>
      <x:c r="D544" s="32"/>
      <x:c r="G544" s="74"/>
      <x:c r="H544" s="74"/>
      <x:c r="I544" s="74"/>
      <x:c r="J544" s="74"/>
      <x:c r="K544" s="74"/>
      <x:c r="L544" s="74"/>
      <x:c r="M544" s="91"/>
      <x:c r="N544" s="91"/>
      <x:c r="O544" s="85"/>
      <x:c r="Q544" s="86"/>
      <x:c r="R544" s="32"/>
    </x:row>
    <x:row r="545">
      <x:c r="A545" s="87"/>
      <x:c r="B545" s="88"/>
      <x:c r="D545" s="32"/>
      <x:c r="G545" s="74"/>
      <x:c r="H545" s="74"/>
      <x:c r="I545" s="74"/>
      <x:c r="J545" s="74"/>
      <x:c r="K545" s="74"/>
      <x:c r="L545" s="74"/>
      <x:c r="M545" s="91"/>
      <x:c r="N545" s="91"/>
      <x:c r="O545" s="85"/>
      <x:c r="Q545" s="86"/>
      <x:c r="R545" s="32"/>
    </x:row>
    <x:row r="546">
      <x:c r="A546" s="87"/>
      <x:c r="B546" s="88"/>
      <x:c r="D546" s="32"/>
      <x:c r="G546" s="74"/>
      <x:c r="H546" s="74"/>
      <x:c r="I546" s="74"/>
      <x:c r="J546" s="74"/>
      <x:c r="K546" s="74"/>
      <x:c r="L546" s="74"/>
      <x:c r="M546" s="91"/>
      <x:c r="N546" s="91"/>
      <x:c r="O546" s="85"/>
      <x:c r="Q546" s="86"/>
      <x:c r="R546" s="32"/>
    </x:row>
    <x:row r="547">
      <x:c r="A547" s="87"/>
      <x:c r="B547" s="88"/>
      <x:c r="D547" s="32"/>
      <x:c r="G547" s="74"/>
      <x:c r="H547" s="74"/>
      <x:c r="I547" s="74"/>
      <x:c r="J547" s="74"/>
      <x:c r="K547" s="74"/>
      <x:c r="L547" s="74"/>
      <x:c r="M547" s="91"/>
      <x:c r="N547" s="91"/>
      <x:c r="O547" s="85"/>
      <x:c r="Q547" s="86"/>
      <x:c r="R547" s="32"/>
    </x:row>
    <x:row r="548">
      <x:c r="A548" s="87"/>
      <x:c r="B548" s="88"/>
      <x:c r="D548" s="32"/>
      <x:c r="G548" s="74"/>
      <x:c r="H548" s="74"/>
      <x:c r="I548" s="74"/>
      <x:c r="J548" s="74"/>
      <x:c r="K548" s="74"/>
      <x:c r="L548" s="74"/>
      <x:c r="M548" s="91"/>
      <x:c r="N548" s="91"/>
      <x:c r="O548" s="85"/>
      <x:c r="Q548" s="86"/>
      <x:c r="R548" s="32"/>
    </x:row>
    <x:row r="549">
      <x:c r="A549" s="87"/>
      <x:c r="B549" s="88"/>
      <x:c r="D549" s="32"/>
      <x:c r="G549" s="74"/>
      <x:c r="H549" s="74"/>
      <x:c r="I549" s="74"/>
      <x:c r="J549" s="74"/>
      <x:c r="K549" s="74"/>
      <x:c r="L549" s="74"/>
      <x:c r="M549" s="91"/>
      <x:c r="N549" s="91"/>
      <x:c r="O549" s="85"/>
      <x:c r="Q549" s="86"/>
      <x:c r="R549" s="32"/>
    </x:row>
    <x:row r="550">
      <x:c r="A550" s="87"/>
      <x:c r="B550" s="88"/>
      <x:c r="D550" s="32"/>
      <x:c r="G550" s="74"/>
      <x:c r="H550" s="74"/>
      <x:c r="I550" s="74"/>
      <x:c r="J550" s="74"/>
      <x:c r="K550" s="74"/>
      <x:c r="L550" s="74"/>
      <x:c r="M550" s="91"/>
      <x:c r="N550" s="91"/>
      <x:c r="O550" s="85"/>
      <x:c r="Q550" s="86"/>
      <x:c r="R550" s="32"/>
    </x:row>
    <x:row r="551">
      <x:c r="A551" s="87"/>
      <x:c r="B551" s="88"/>
      <x:c r="D551" s="32"/>
      <x:c r="G551" s="74"/>
      <x:c r="H551" s="74"/>
      <x:c r="I551" s="74"/>
      <x:c r="J551" s="74"/>
      <x:c r="K551" s="74"/>
      <x:c r="L551" s="74"/>
      <x:c r="M551" s="91"/>
      <x:c r="N551" s="91"/>
      <x:c r="O551" s="85"/>
      <x:c r="Q551" s="86"/>
      <x:c r="R551" s="32"/>
    </x:row>
    <x:row r="552">
      <x:c r="A552" s="87"/>
      <x:c r="B552" s="88"/>
      <x:c r="D552" s="32"/>
      <x:c r="G552" s="74"/>
      <x:c r="H552" s="74"/>
      <x:c r="I552" s="74"/>
      <x:c r="J552" s="74"/>
      <x:c r="K552" s="74"/>
      <x:c r="L552" s="74"/>
      <x:c r="M552" s="91"/>
      <x:c r="N552" s="91"/>
      <x:c r="O552" s="85"/>
      <x:c r="Q552" s="86"/>
      <x:c r="R552" s="32"/>
    </x:row>
    <x:row r="553">
      <x:c r="A553" s="87"/>
      <x:c r="B553" s="88"/>
      <x:c r="D553" s="32"/>
      <x:c r="G553" s="74"/>
      <x:c r="H553" s="74"/>
      <x:c r="I553" s="74"/>
      <x:c r="J553" s="74"/>
      <x:c r="K553" s="74"/>
      <x:c r="L553" s="74"/>
      <x:c r="M553" s="91"/>
      <x:c r="N553" s="91"/>
      <x:c r="O553" s="85"/>
      <x:c r="Q553" s="86"/>
      <x:c r="R553" s="32"/>
    </x:row>
    <x:row r="554">
      <x:c r="A554" s="87"/>
      <x:c r="B554" s="88"/>
      <x:c r="D554" s="32"/>
      <x:c r="G554" s="74"/>
      <x:c r="H554" s="74"/>
      <x:c r="I554" s="74"/>
      <x:c r="J554" s="74"/>
      <x:c r="K554" s="74"/>
      <x:c r="L554" s="74"/>
      <x:c r="M554" s="91"/>
      <x:c r="N554" s="91"/>
      <x:c r="O554" s="85"/>
      <x:c r="Q554" s="86"/>
      <x:c r="R554" s="32"/>
    </x:row>
    <x:row r="555">
      <x:c r="A555" s="87"/>
      <x:c r="B555" s="88"/>
      <x:c r="D555" s="32"/>
      <x:c r="G555" s="74"/>
      <x:c r="H555" s="74"/>
      <x:c r="I555" s="74"/>
      <x:c r="J555" s="74"/>
      <x:c r="K555" s="74"/>
      <x:c r="L555" s="74"/>
      <x:c r="M555" s="91"/>
      <x:c r="N555" s="91"/>
      <x:c r="O555" s="85"/>
      <x:c r="Q555" s="86"/>
      <x:c r="R555" s="32"/>
    </x:row>
    <x:row r="556">
      <x:c r="A556" s="87"/>
      <x:c r="B556" s="88"/>
      <x:c r="D556" s="32"/>
      <x:c r="G556" s="74"/>
      <x:c r="H556" s="74"/>
      <x:c r="I556" s="74"/>
      <x:c r="J556" s="74"/>
      <x:c r="K556" s="74"/>
      <x:c r="L556" s="74"/>
      <x:c r="M556" s="91"/>
      <x:c r="N556" s="91"/>
      <x:c r="O556" s="85"/>
      <x:c r="Q556" s="86"/>
      <x:c r="R556" s="32"/>
    </x:row>
    <x:row r="557">
      <x:c r="A557" s="87"/>
      <x:c r="B557" s="88"/>
      <x:c r="D557" s="32"/>
      <x:c r="G557" s="74"/>
      <x:c r="H557" s="74"/>
      <x:c r="I557" s="74"/>
      <x:c r="J557" s="74"/>
      <x:c r="K557" s="74"/>
      <x:c r="L557" s="74"/>
      <x:c r="M557" s="91"/>
      <x:c r="N557" s="91"/>
      <x:c r="O557" s="85"/>
      <x:c r="Q557" s="86"/>
      <x:c r="R557" s="32"/>
    </x:row>
    <x:row r="558">
      <x:c r="A558" s="87"/>
      <x:c r="B558" s="88"/>
      <x:c r="D558" s="32"/>
      <x:c r="G558" s="74"/>
      <x:c r="H558" s="74"/>
      <x:c r="I558" s="74"/>
      <x:c r="J558" s="74"/>
      <x:c r="K558" s="74"/>
      <x:c r="L558" s="74"/>
      <x:c r="M558" s="91"/>
      <x:c r="N558" s="91"/>
      <x:c r="O558" s="85"/>
      <x:c r="Q558" s="86"/>
      <x:c r="R558" s="32"/>
    </x:row>
    <x:row r="559">
      <x:c r="A559" s="87"/>
      <x:c r="B559" s="88"/>
      <x:c r="D559" s="32"/>
      <x:c r="G559" s="74"/>
      <x:c r="H559" s="74"/>
      <x:c r="I559" s="74"/>
      <x:c r="J559" s="74"/>
      <x:c r="K559" s="74"/>
      <x:c r="L559" s="74"/>
      <x:c r="M559" s="91"/>
      <x:c r="N559" s="91"/>
      <x:c r="O559" s="85"/>
      <x:c r="Q559" s="86"/>
      <x:c r="R559" s="32"/>
    </x:row>
    <x:row r="560">
      <x:c r="A560" s="87"/>
      <x:c r="B560" s="88"/>
      <x:c r="D560" s="32"/>
      <x:c r="G560" s="74"/>
      <x:c r="H560" s="74"/>
      <x:c r="I560" s="74"/>
      <x:c r="J560" s="74"/>
      <x:c r="K560" s="74"/>
      <x:c r="L560" s="74"/>
      <x:c r="M560" s="91"/>
      <x:c r="N560" s="91"/>
      <x:c r="O560" s="85"/>
      <x:c r="Q560" s="86"/>
      <x:c r="R560" s="32"/>
    </x:row>
    <x:row r="561">
      <x:c r="A561" s="87"/>
      <x:c r="B561" s="88"/>
      <x:c r="D561" s="32"/>
      <x:c r="G561" s="74"/>
      <x:c r="H561" s="74"/>
      <x:c r="I561" s="74"/>
      <x:c r="J561" s="74"/>
      <x:c r="K561" s="74"/>
      <x:c r="L561" s="74"/>
      <x:c r="M561" s="91"/>
      <x:c r="N561" s="91"/>
      <x:c r="O561" s="85"/>
      <x:c r="Q561" s="86"/>
      <x:c r="R561" s="32"/>
    </x:row>
    <x:row r="562">
      <x:c r="A562" s="87"/>
      <x:c r="B562" s="88"/>
      <x:c r="D562" s="32"/>
      <x:c r="G562" s="74"/>
      <x:c r="H562" s="74"/>
      <x:c r="I562" s="74"/>
      <x:c r="J562" s="74"/>
      <x:c r="K562" s="74"/>
      <x:c r="L562" s="74"/>
      <x:c r="M562" s="91"/>
      <x:c r="N562" s="91"/>
      <x:c r="O562" s="85"/>
      <x:c r="Q562" s="86"/>
      <x:c r="R562" s="32"/>
    </x:row>
    <x:row r="563">
      <x:c r="A563" s="87"/>
      <x:c r="B563" s="88"/>
      <x:c r="D563" s="32"/>
      <x:c r="G563" s="74"/>
      <x:c r="H563" s="74"/>
      <x:c r="I563" s="74"/>
      <x:c r="J563" s="74"/>
      <x:c r="K563" s="74"/>
      <x:c r="L563" s="74"/>
      <x:c r="M563" s="91"/>
      <x:c r="N563" s="91"/>
      <x:c r="O563" s="85"/>
      <x:c r="Q563" s="86"/>
      <x:c r="R563" s="32"/>
    </x:row>
    <x:row r="564">
      <x:c r="A564" s="87"/>
      <x:c r="B564" s="88"/>
      <x:c r="D564" s="32"/>
      <x:c r="G564" s="74"/>
      <x:c r="H564" s="74"/>
      <x:c r="I564" s="74"/>
      <x:c r="J564" s="74"/>
      <x:c r="K564" s="74"/>
      <x:c r="L564" s="74"/>
      <x:c r="M564" s="91"/>
      <x:c r="N564" s="91"/>
      <x:c r="O564" s="85"/>
      <x:c r="Q564" s="86"/>
      <x:c r="R564" s="32"/>
    </x:row>
    <x:row r="565">
      <x:c r="A565" s="87"/>
      <x:c r="B565" s="88"/>
      <x:c r="D565" s="32"/>
      <x:c r="G565" s="74"/>
      <x:c r="H565" s="74"/>
      <x:c r="I565" s="74"/>
      <x:c r="J565" s="74"/>
      <x:c r="K565" s="74"/>
      <x:c r="L565" s="74"/>
      <x:c r="M565" s="91"/>
      <x:c r="N565" s="91"/>
      <x:c r="O565" s="85"/>
      <x:c r="Q565" s="86"/>
      <x:c r="R565" s="32"/>
    </x:row>
    <x:row r="566">
      <x:c r="A566" s="87"/>
      <x:c r="B566" s="88"/>
      <x:c r="D566" s="32"/>
      <x:c r="G566" s="74"/>
      <x:c r="H566" s="74"/>
      <x:c r="I566" s="74"/>
      <x:c r="J566" s="74"/>
      <x:c r="K566" s="74"/>
      <x:c r="L566" s="74"/>
      <x:c r="M566" s="91"/>
      <x:c r="N566" s="91"/>
      <x:c r="O566" s="85"/>
      <x:c r="Q566" s="86"/>
      <x:c r="R566" s="32"/>
    </x:row>
    <x:row r="567">
      <x:c r="A567" s="87"/>
      <x:c r="B567" s="88"/>
      <x:c r="D567" s="32"/>
      <x:c r="G567" s="74"/>
      <x:c r="H567" s="74"/>
      <x:c r="I567" s="74"/>
      <x:c r="J567" s="74"/>
      <x:c r="K567" s="74"/>
      <x:c r="L567" s="74"/>
      <x:c r="M567" s="91"/>
      <x:c r="N567" s="91"/>
      <x:c r="O567" s="85"/>
      <x:c r="Q567" s="86"/>
      <x:c r="R567" s="32"/>
    </x:row>
    <x:row r="568">
      <x:c r="A568" s="87"/>
      <x:c r="B568" s="88"/>
      <x:c r="D568" s="32"/>
      <x:c r="G568" s="74"/>
      <x:c r="H568" s="74"/>
      <x:c r="I568" s="74"/>
      <x:c r="J568" s="74"/>
      <x:c r="K568" s="74"/>
      <x:c r="L568" s="74"/>
      <x:c r="M568" s="91"/>
      <x:c r="N568" s="91"/>
      <x:c r="O568" s="85"/>
      <x:c r="Q568" s="86"/>
      <x:c r="R568" s="32"/>
    </x:row>
    <x:row r="569">
      <x:c r="A569" s="87"/>
      <x:c r="B569" s="88"/>
      <x:c r="D569" s="32"/>
      <x:c r="G569" s="74"/>
      <x:c r="H569" s="74"/>
      <x:c r="I569" s="74"/>
      <x:c r="J569" s="74"/>
      <x:c r="K569" s="74"/>
      <x:c r="L569" s="74"/>
      <x:c r="M569" s="91"/>
      <x:c r="N569" s="91"/>
      <x:c r="O569" s="85"/>
      <x:c r="Q569" s="86"/>
      <x:c r="R569" s="32"/>
    </x:row>
    <x:row r="570">
      <x:c r="A570" s="87"/>
      <x:c r="B570" s="88"/>
      <x:c r="D570" s="32"/>
      <x:c r="G570" s="74"/>
      <x:c r="H570" s="74"/>
      <x:c r="I570" s="74"/>
      <x:c r="J570" s="74"/>
      <x:c r="K570" s="74"/>
      <x:c r="L570" s="74"/>
      <x:c r="M570" s="91"/>
      <x:c r="N570" s="91"/>
      <x:c r="O570" s="85"/>
      <x:c r="Q570" s="86"/>
      <x:c r="R570" s="32"/>
    </x:row>
    <x:row r="571">
      <x:c r="A571" s="87"/>
      <x:c r="B571" s="88"/>
      <x:c r="D571" s="32"/>
      <x:c r="G571" s="74"/>
      <x:c r="H571" s="74"/>
      <x:c r="I571" s="74"/>
      <x:c r="J571" s="74"/>
      <x:c r="K571" s="74"/>
      <x:c r="L571" s="74"/>
      <x:c r="M571" s="91"/>
      <x:c r="N571" s="91"/>
      <x:c r="O571" s="85"/>
      <x:c r="Q571" s="86"/>
      <x:c r="R571" s="32"/>
    </x:row>
    <x:row r="572">
      <x:c r="A572" s="87"/>
      <x:c r="B572" s="88"/>
      <x:c r="D572" s="32"/>
      <x:c r="G572" s="74"/>
      <x:c r="H572" s="74"/>
      <x:c r="I572" s="74"/>
      <x:c r="J572" s="74"/>
      <x:c r="K572" s="74"/>
      <x:c r="L572" s="74"/>
      <x:c r="M572" s="91"/>
      <x:c r="N572" s="91"/>
      <x:c r="O572" s="85"/>
      <x:c r="Q572" s="86"/>
      <x:c r="R572" s="32"/>
    </x:row>
    <x:row r="573">
      <x:c r="A573" s="87"/>
      <x:c r="B573" s="88"/>
      <x:c r="D573" s="32"/>
      <x:c r="G573" s="74"/>
      <x:c r="H573" s="74"/>
      <x:c r="I573" s="74"/>
      <x:c r="J573" s="74"/>
      <x:c r="K573" s="74"/>
      <x:c r="L573" s="74"/>
      <x:c r="M573" s="91"/>
      <x:c r="N573" s="91"/>
      <x:c r="O573" s="85"/>
      <x:c r="Q573" s="86"/>
      <x:c r="R573" s="32"/>
    </x:row>
    <x:row r="574">
      <x:c r="A574" s="87"/>
      <x:c r="B574" s="88"/>
      <x:c r="D574" s="32"/>
      <x:c r="G574" s="74"/>
      <x:c r="H574" s="74"/>
      <x:c r="I574" s="74"/>
      <x:c r="J574" s="74"/>
      <x:c r="K574" s="74"/>
      <x:c r="L574" s="74"/>
      <x:c r="M574" s="91"/>
      <x:c r="N574" s="91"/>
      <x:c r="O574" s="85"/>
      <x:c r="Q574" s="86"/>
      <x:c r="R574" s="32"/>
    </x:row>
    <x:row r="575">
      <x:c r="A575" s="87"/>
      <x:c r="B575" s="88"/>
      <x:c r="D575" s="32"/>
      <x:c r="G575" s="74"/>
      <x:c r="H575" s="74"/>
      <x:c r="I575" s="74"/>
      <x:c r="J575" s="74"/>
      <x:c r="K575" s="74"/>
      <x:c r="L575" s="74"/>
      <x:c r="M575" s="91"/>
      <x:c r="N575" s="91"/>
      <x:c r="O575" s="85"/>
      <x:c r="Q575" s="86"/>
      <x:c r="R575" s="32"/>
    </x:row>
    <x:row r="576">
      <x:c r="A576" s="87"/>
      <x:c r="B576" s="88"/>
      <x:c r="D576" s="32"/>
      <x:c r="G576" s="74"/>
      <x:c r="H576" s="74"/>
      <x:c r="I576" s="74"/>
      <x:c r="J576" s="74"/>
      <x:c r="K576" s="74"/>
      <x:c r="L576" s="74"/>
      <x:c r="M576" s="91"/>
      <x:c r="N576" s="91"/>
      <x:c r="O576" s="85"/>
      <x:c r="Q576" s="86"/>
      <x:c r="R576" s="32"/>
    </x:row>
    <x:row r="577">
      <x:c r="A577" s="87"/>
      <x:c r="B577" s="88"/>
      <x:c r="D577" s="32"/>
      <x:c r="G577" s="74"/>
      <x:c r="H577" s="74"/>
      <x:c r="I577" s="74"/>
      <x:c r="J577" s="74"/>
      <x:c r="K577" s="74"/>
      <x:c r="L577" s="74"/>
      <x:c r="M577" s="91"/>
      <x:c r="N577" s="91"/>
      <x:c r="O577" s="85"/>
      <x:c r="Q577" s="86"/>
      <x:c r="R577" s="32"/>
    </x:row>
    <x:row r="578">
      <x:c r="A578" s="87"/>
      <x:c r="B578" s="88"/>
      <x:c r="D578" s="32"/>
      <x:c r="G578" s="74"/>
      <x:c r="H578" s="74"/>
      <x:c r="I578" s="74"/>
      <x:c r="J578" s="74"/>
      <x:c r="K578" s="74"/>
      <x:c r="L578" s="74"/>
      <x:c r="M578" s="91"/>
      <x:c r="N578" s="91"/>
      <x:c r="O578" s="85"/>
      <x:c r="Q578" s="86"/>
      <x:c r="R578" s="32"/>
    </x:row>
    <x:row r="579">
      <x:c r="A579" s="87"/>
      <x:c r="B579" s="88"/>
      <x:c r="D579" s="32"/>
      <x:c r="G579" s="74"/>
      <x:c r="H579" s="74"/>
      <x:c r="I579" s="74"/>
      <x:c r="J579" s="74"/>
      <x:c r="K579" s="74"/>
      <x:c r="L579" s="74"/>
      <x:c r="M579" s="91"/>
      <x:c r="N579" s="91"/>
      <x:c r="O579" s="85"/>
      <x:c r="Q579" s="86"/>
      <x:c r="R579" s="32"/>
    </x:row>
    <x:row r="580">
      <x:c r="A580" s="87"/>
      <x:c r="B580" s="88"/>
      <x:c r="D580" s="32"/>
      <x:c r="G580" s="74"/>
      <x:c r="H580" s="74"/>
      <x:c r="I580" s="74"/>
      <x:c r="J580" s="74"/>
      <x:c r="K580" s="74"/>
      <x:c r="L580" s="74"/>
      <x:c r="M580" s="91"/>
      <x:c r="N580" s="91"/>
      <x:c r="O580" s="85"/>
      <x:c r="Q580" s="86"/>
      <x:c r="R580" s="32"/>
    </x:row>
    <x:row r="581">
      <x:c r="A581" s="87"/>
      <x:c r="B581" s="88"/>
      <x:c r="D581" s="32"/>
      <x:c r="G581" s="74"/>
      <x:c r="H581" s="74"/>
      <x:c r="I581" s="74"/>
      <x:c r="J581" s="74"/>
      <x:c r="K581" s="74"/>
      <x:c r="L581" s="74"/>
      <x:c r="M581" s="91"/>
      <x:c r="N581" s="91"/>
      <x:c r="O581" s="85"/>
      <x:c r="Q581" s="86"/>
      <x:c r="R581" s="32"/>
    </x:row>
    <x:row r="582">
      <x:c r="A582" s="87"/>
      <x:c r="B582" s="88"/>
      <x:c r="D582" s="32"/>
      <x:c r="G582" s="74"/>
      <x:c r="H582" s="74"/>
      <x:c r="I582" s="74"/>
      <x:c r="J582" s="74"/>
      <x:c r="K582" s="74"/>
      <x:c r="L582" s="74"/>
      <x:c r="M582" s="91"/>
      <x:c r="N582" s="91"/>
      <x:c r="O582" s="85"/>
      <x:c r="Q582" s="86"/>
      <x:c r="R582" s="32"/>
    </x:row>
    <x:row r="583">
      <x:c r="A583" s="87"/>
      <x:c r="B583" s="88"/>
      <x:c r="D583" s="32"/>
      <x:c r="G583" s="74"/>
      <x:c r="H583" s="74"/>
      <x:c r="I583" s="74"/>
      <x:c r="J583" s="74"/>
      <x:c r="K583" s="74"/>
      <x:c r="L583" s="74"/>
      <x:c r="M583" s="91"/>
      <x:c r="N583" s="91"/>
      <x:c r="O583" s="85"/>
      <x:c r="Q583" s="86"/>
      <x:c r="R583" s="32"/>
    </x:row>
    <x:row r="584">
      <x:c r="A584" s="87"/>
      <x:c r="B584" s="88"/>
      <x:c r="D584" s="32"/>
      <x:c r="G584" s="74"/>
      <x:c r="H584" s="74"/>
      <x:c r="I584" s="74"/>
      <x:c r="J584" s="74"/>
      <x:c r="K584" s="74"/>
      <x:c r="L584" s="74"/>
      <x:c r="M584" s="91"/>
      <x:c r="N584" s="91"/>
      <x:c r="O584" s="85"/>
      <x:c r="Q584" s="86"/>
      <x:c r="R584" s="32"/>
    </x:row>
    <x:row r="585">
      <x:c r="A585" s="87"/>
      <x:c r="B585" s="88"/>
      <x:c r="D585" s="32"/>
      <x:c r="G585" s="74"/>
      <x:c r="H585" s="74"/>
      <x:c r="I585" s="74"/>
      <x:c r="J585" s="74"/>
      <x:c r="K585" s="74"/>
      <x:c r="L585" s="74"/>
      <x:c r="M585" s="91"/>
      <x:c r="N585" s="91"/>
      <x:c r="O585" s="85"/>
      <x:c r="Q585" s="86"/>
      <x:c r="R585" s="32"/>
    </x:row>
    <x:row r="586">
      <x:c r="A586" s="87"/>
      <x:c r="B586" s="88"/>
      <x:c r="D586" s="32"/>
      <x:c r="G586" s="74"/>
      <x:c r="H586" s="74"/>
      <x:c r="I586" s="74"/>
      <x:c r="J586" s="74"/>
      <x:c r="K586" s="74"/>
      <x:c r="L586" s="74"/>
      <x:c r="M586" s="91"/>
      <x:c r="N586" s="91"/>
      <x:c r="O586" s="85"/>
      <x:c r="Q586" s="86"/>
      <x:c r="R586" s="32"/>
    </x:row>
    <x:row r="587">
      <x:c r="A587" s="87"/>
      <x:c r="B587" s="88"/>
      <x:c r="D587" s="32"/>
      <x:c r="G587" s="74"/>
      <x:c r="H587" s="74"/>
      <x:c r="I587" s="74"/>
      <x:c r="J587" s="74"/>
      <x:c r="K587" s="74"/>
      <x:c r="L587" s="74"/>
      <x:c r="M587" s="91"/>
      <x:c r="N587" s="91"/>
      <x:c r="O587" s="85"/>
      <x:c r="Q587" s="86"/>
      <x:c r="R587" s="32"/>
    </x:row>
    <x:row r="588">
      <x:c r="A588" s="87"/>
      <x:c r="B588" s="88"/>
      <x:c r="D588" s="32"/>
      <x:c r="G588" s="74"/>
      <x:c r="H588" s="74"/>
      <x:c r="I588" s="74"/>
      <x:c r="J588" s="74"/>
      <x:c r="K588" s="74"/>
      <x:c r="L588" s="74"/>
      <x:c r="M588" s="91"/>
      <x:c r="N588" s="91"/>
      <x:c r="O588" s="85"/>
      <x:c r="Q588" s="86"/>
      <x:c r="R588" s="32"/>
    </x:row>
    <x:row r="589">
      <x:c r="A589" s="87"/>
      <x:c r="B589" s="88"/>
      <x:c r="D589" s="32"/>
      <x:c r="G589" s="74"/>
      <x:c r="H589" s="74"/>
      <x:c r="I589" s="74"/>
      <x:c r="J589" s="74"/>
      <x:c r="K589" s="74"/>
      <x:c r="L589" s="74"/>
      <x:c r="M589" s="91"/>
      <x:c r="N589" s="91"/>
      <x:c r="O589" s="85"/>
      <x:c r="Q589" s="86"/>
      <x:c r="R589" s="32"/>
    </x:row>
    <x:row r="590">
      <x:c r="A590" s="87"/>
      <x:c r="B590" s="88"/>
      <x:c r="D590" s="32"/>
      <x:c r="G590" s="74"/>
      <x:c r="H590" s="74"/>
      <x:c r="I590" s="74"/>
      <x:c r="J590" s="74"/>
      <x:c r="K590" s="74"/>
      <x:c r="L590" s="74"/>
      <x:c r="M590" s="91"/>
      <x:c r="N590" s="91"/>
      <x:c r="O590" s="85"/>
      <x:c r="Q590" s="86"/>
      <x:c r="R590" s="32"/>
    </x:row>
    <x:row r="591">
      <x:c r="A591" s="87"/>
      <x:c r="B591" s="88"/>
      <x:c r="D591" s="32"/>
      <x:c r="G591" s="74"/>
      <x:c r="H591" s="74"/>
      <x:c r="I591" s="74"/>
      <x:c r="J591" s="74"/>
      <x:c r="K591" s="74"/>
      <x:c r="L591" s="74"/>
      <x:c r="M591" s="91"/>
      <x:c r="N591" s="91"/>
      <x:c r="O591" s="85"/>
      <x:c r="Q591" s="86"/>
      <x:c r="R591" s="32"/>
    </x:row>
    <x:row r="592">
      <x:c r="A592" s="87"/>
      <x:c r="B592" s="88"/>
      <x:c r="D592" s="32"/>
      <x:c r="G592" s="74"/>
      <x:c r="H592" s="74"/>
      <x:c r="I592" s="74"/>
      <x:c r="J592" s="74"/>
      <x:c r="K592" s="74"/>
      <x:c r="L592" s="74"/>
      <x:c r="M592" s="91"/>
      <x:c r="N592" s="91"/>
      <x:c r="O592" s="85"/>
      <x:c r="Q592" s="86"/>
      <x:c r="R592" s="32"/>
    </x:row>
    <x:row r="593">
      <x:c r="A593" s="87"/>
      <x:c r="B593" s="88"/>
      <x:c r="D593" s="32"/>
      <x:c r="G593" s="74"/>
      <x:c r="H593" s="74"/>
      <x:c r="I593" s="74"/>
      <x:c r="J593" s="74"/>
      <x:c r="K593" s="74"/>
      <x:c r="L593" s="74"/>
      <x:c r="M593" s="91"/>
      <x:c r="N593" s="91"/>
      <x:c r="O593" s="85"/>
      <x:c r="Q593" s="86"/>
      <x:c r="R593" s="32"/>
    </x:row>
    <x:row r="594">
      <x:c r="A594" s="87"/>
      <x:c r="B594" s="88"/>
      <x:c r="D594" s="32"/>
      <x:c r="G594" s="74"/>
      <x:c r="H594" s="74"/>
      <x:c r="I594" s="74"/>
      <x:c r="J594" s="74"/>
      <x:c r="K594" s="74"/>
      <x:c r="L594" s="74"/>
      <x:c r="M594" s="91"/>
      <x:c r="N594" s="91"/>
      <x:c r="O594" s="85"/>
      <x:c r="Q594" s="86"/>
      <x:c r="R594" s="32"/>
    </x:row>
    <x:row r="595">
      <x:c r="A595" s="87"/>
      <x:c r="B595" s="88"/>
      <x:c r="D595" s="32"/>
      <x:c r="G595" s="74"/>
      <x:c r="H595" s="74"/>
      <x:c r="I595" s="74"/>
      <x:c r="J595" s="74"/>
      <x:c r="K595" s="74"/>
      <x:c r="L595" s="74"/>
      <x:c r="M595" s="91"/>
      <x:c r="N595" s="91"/>
      <x:c r="O595" s="85"/>
      <x:c r="Q595" s="86"/>
      <x:c r="R595" s="32"/>
    </x:row>
    <x:row r="596">
      <x:c r="A596" s="87"/>
      <x:c r="B596" s="88"/>
      <x:c r="D596" s="32"/>
      <x:c r="G596" s="74"/>
      <x:c r="H596" s="74"/>
      <x:c r="I596" s="74"/>
      <x:c r="J596" s="74"/>
      <x:c r="K596" s="74"/>
      <x:c r="L596" s="74"/>
      <x:c r="M596" s="91"/>
      <x:c r="N596" s="91"/>
      <x:c r="O596" s="85"/>
      <x:c r="Q596" s="86"/>
      <x:c r="R596" s="32"/>
    </x:row>
    <x:row r="597">
      <x:c r="A597" s="87"/>
      <x:c r="B597" s="88"/>
      <x:c r="D597" s="32"/>
      <x:c r="G597" s="74"/>
      <x:c r="H597" s="74"/>
      <x:c r="I597" s="74"/>
      <x:c r="J597" s="74"/>
      <x:c r="K597" s="74"/>
      <x:c r="L597" s="74"/>
      <x:c r="M597" s="91"/>
      <x:c r="N597" s="91"/>
      <x:c r="O597" s="85"/>
      <x:c r="Q597" s="86"/>
      <x:c r="R597" s="32"/>
    </x:row>
    <x:row r="598">
      <x:c r="A598" s="87"/>
      <x:c r="B598" s="88"/>
      <x:c r="D598" s="32"/>
      <x:c r="G598" s="74"/>
      <x:c r="H598" s="74"/>
      <x:c r="I598" s="74"/>
      <x:c r="J598" s="74"/>
      <x:c r="K598" s="74"/>
      <x:c r="L598" s="74"/>
      <x:c r="M598" s="91"/>
      <x:c r="N598" s="91"/>
      <x:c r="O598" s="85"/>
      <x:c r="Q598" s="86"/>
      <x:c r="R598" s="32"/>
    </x:row>
    <x:row r="599">
      <x:c r="A599" s="87"/>
      <x:c r="B599" s="88"/>
      <x:c r="D599" s="32"/>
      <x:c r="G599" s="74"/>
      <x:c r="H599" s="74"/>
      <x:c r="I599" s="74"/>
      <x:c r="J599" s="74"/>
      <x:c r="K599" s="74"/>
      <x:c r="L599" s="74"/>
      <x:c r="M599" s="91"/>
      <x:c r="N599" s="91"/>
      <x:c r="O599" s="85"/>
      <x:c r="Q599" s="86"/>
      <x:c r="R599" s="32"/>
    </x:row>
    <x:row r="600">
      <x:c r="A600" s="87"/>
      <x:c r="B600" s="88"/>
      <x:c r="D600" s="32"/>
      <x:c r="G600" s="74"/>
      <x:c r="H600" s="74"/>
      <x:c r="I600" s="74"/>
      <x:c r="J600" s="74"/>
      <x:c r="K600" s="74"/>
      <x:c r="L600" s="74"/>
      <x:c r="M600" s="91"/>
      <x:c r="N600" s="91"/>
      <x:c r="O600" s="85"/>
      <x:c r="Q600" s="86"/>
      <x:c r="R600" s="32"/>
    </x:row>
    <x:row r="601">
      <x:c r="A601" s="87"/>
      <x:c r="B601" s="88"/>
      <x:c r="D601" s="32"/>
      <x:c r="G601" s="74"/>
      <x:c r="H601" s="74"/>
      <x:c r="I601" s="74"/>
      <x:c r="J601" s="74"/>
      <x:c r="K601" s="74"/>
      <x:c r="L601" s="74"/>
      <x:c r="M601" s="91"/>
      <x:c r="N601" s="91"/>
      <x:c r="O601" s="85"/>
      <x:c r="Q601" s="86"/>
      <x:c r="R601" s="32"/>
    </x:row>
    <x:row r="602">
      <x:c r="A602" s="87"/>
      <x:c r="B602" s="88"/>
      <x:c r="D602" s="32"/>
      <x:c r="G602" s="74"/>
      <x:c r="H602" s="74"/>
      <x:c r="I602" s="74"/>
      <x:c r="J602" s="74"/>
      <x:c r="K602" s="74"/>
      <x:c r="L602" s="74"/>
      <x:c r="M602" s="91"/>
      <x:c r="N602" s="91"/>
      <x:c r="O602" s="85"/>
      <x:c r="Q602" s="86"/>
      <x:c r="R602" s="32"/>
    </x:row>
    <x:row r="603">
      <x:c r="A603" s="87"/>
      <x:c r="B603" s="88"/>
      <x:c r="D603" s="32"/>
      <x:c r="G603" s="74"/>
      <x:c r="H603" s="74"/>
      <x:c r="I603" s="74"/>
      <x:c r="J603" s="74"/>
      <x:c r="K603" s="74"/>
      <x:c r="L603" s="74"/>
      <x:c r="M603" s="91"/>
      <x:c r="N603" s="91"/>
      <x:c r="O603" s="85"/>
      <x:c r="Q603" s="86"/>
      <x:c r="R603" s="32"/>
    </x:row>
    <x:row r="604">
      <x:c r="A604" s="87"/>
      <x:c r="B604" s="88"/>
      <x:c r="D604" s="32"/>
      <x:c r="G604" s="74"/>
      <x:c r="H604" s="74"/>
      <x:c r="I604" s="74"/>
      <x:c r="J604" s="74"/>
      <x:c r="K604" s="74"/>
      <x:c r="L604" s="74"/>
      <x:c r="M604" s="91"/>
      <x:c r="N604" s="91"/>
      <x:c r="O604" s="85"/>
      <x:c r="Q604" s="86"/>
      <x:c r="R604" s="32"/>
    </x:row>
    <x:row r="605">
      <x:c r="A605" s="87"/>
      <x:c r="B605" s="88"/>
      <x:c r="D605" s="32"/>
      <x:c r="G605" s="74"/>
      <x:c r="H605" s="74"/>
      <x:c r="I605" s="74"/>
      <x:c r="J605" s="74"/>
      <x:c r="K605" s="74"/>
      <x:c r="L605" s="74"/>
      <x:c r="M605" s="91"/>
      <x:c r="N605" s="91"/>
      <x:c r="O605" s="85"/>
      <x:c r="Q605" s="86"/>
      <x:c r="R605" s="32"/>
    </x:row>
    <x:row r="606">
      <x:c r="A606" s="87"/>
      <x:c r="B606" s="88"/>
      <x:c r="D606" s="32"/>
      <x:c r="G606" s="74"/>
      <x:c r="H606" s="74"/>
      <x:c r="I606" s="74"/>
      <x:c r="J606" s="74"/>
      <x:c r="K606" s="74"/>
      <x:c r="L606" s="74"/>
      <x:c r="M606" s="91"/>
      <x:c r="N606" s="91"/>
      <x:c r="O606" s="85"/>
      <x:c r="Q606" s="86"/>
      <x:c r="R606" s="32"/>
    </x:row>
    <x:row r="607">
      <x:c r="A607" s="87"/>
      <x:c r="B607" s="88"/>
      <x:c r="D607" s="32"/>
      <x:c r="G607" s="74"/>
      <x:c r="H607" s="74"/>
      <x:c r="I607" s="74"/>
      <x:c r="J607" s="74"/>
      <x:c r="K607" s="74"/>
      <x:c r="L607" s="74"/>
      <x:c r="M607" s="91"/>
      <x:c r="N607" s="91"/>
      <x:c r="O607" s="85"/>
      <x:c r="Q607" s="86"/>
      <x:c r="R607" s="32"/>
    </x:row>
    <x:row r="608">
      <x:c r="A608" s="87"/>
      <x:c r="B608" s="88"/>
      <x:c r="D608" s="32"/>
      <x:c r="G608" s="74"/>
      <x:c r="H608" s="74"/>
      <x:c r="I608" s="74"/>
      <x:c r="J608" s="74"/>
      <x:c r="K608" s="74"/>
      <x:c r="L608" s="74"/>
      <x:c r="M608" s="91"/>
      <x:c r="N608" s="91"/>
      <x:c r="O608" s="85"/>
      <x:c r="Q608" s="86"/>
      <x:c r="R608" s="32"/>
    </x:row>
    <x:row r="609">
      <x:c r="A609" s="87"/>
      <x:c r="B609" s="88"/>
      <x:c r="D609" s="32"/>
      <x:c r="G609" s="74"/>
      <x:c r="H609" s="74"/>
      <x:c r="I609" s="74"/>
      <x:c r="J609" s="74"/>
      <x:c r="K609" s="74"/>
      <x:c r="L609" s="74"/>
      <x:c r="M609" s="91"/>
      <x:c r="N609" s="91"/>
      <x:c r="O609" s="85"/>
      <x:c r="Q609" s="86"/>
      <x:c r="R609" s="32"/>
    </x:row>
    <x:row r="610">
      <x:c r="A610" s="87"/>
      <x:c r="B610" s="88"/>
      <x:c r="D610" s="32"/>
      <x:c r="G610" s="74"/>
      <x:c r="H610" s="74"/>
      <x:c r="I610" s="74"/>
      <x:c r="J610" s="74"/>
      <x:c r="K610" s="74"/>
      <x:c r="L610" s="74"/>
      <x:c r="M610" s="91"/>
      <x:c r="N610" s="91"/>
      <x:c r="O610" s="85"/>
      <x:c r="Q610" s="86"/>
      <x:c r="R610" s="32"/>
    </x:row>
    <x:row r="611">
      <x:c r="A611" s="87"/>
      <x:c r="B611" s="88"/>
      <x:c r="D611" s="32"/>
      <x:c r="G611" s="74"/>
      <x:c r="H611" s="74"/>
      <x:c r="I611" s="74"/>
      <x:c r="J611" s="74"/>
      <x:c r="K611" s="74"/>
      <x:c r="L611" s="74"/>
      <x:c r="M611" s="91"/>
      <x:c r="N611" s="91"/>
      <x:c r="O611" s="85"/>
      <x:c r="Q611" s="86"/>
      <x:c r="R611" s="32"/>
    </x:row>
    <x:row r="612">
      <x:c r="A612" s="87"/>
      <x:c r="B612" s="88"/>
      <x:c r="D612" s="32"/>
      <x:c r="G612" s="74"/>
      <x:c r="H612" s="74"/>
      <x:c r="I612" s="74"/>
      <x:c r="J612" s="74"/>
      <x:c r="K612" s="74"/>
      <x:c r="L612" s="74"/>
      <x:c r="M612" s="91"/>
      <x:c r="N612" s="91"/>
      <x:c r="O612" s="85"/>
      <x:c r="Q612" s="86"/>
      <x:c r="R612" s="32"/>
    </x:row>
    <x:row r="613">
      <x:c r="A613" s="87"/>
      <x:c r="B613" s="88"/>
      <x:c r="D613" s="32"/>
      <x:c r="G613" s="74"/>
      <x:c r="H613" s="74"/>
      <x:c r="I613" s="74"/>
      <x:c r="J613" s="74"/>
      <x:c r="K613" s="74"/>
      <x:c r="L613" s="74"/>
      <x:c r="M613" s="91"/>
      <x:c r="N613" s="91"/>
      <x:c r="O613" s="85"/>
      <x:c r="Q613" s="86"/>
      <x:c r="R613" s="32"/>
    </x:row>
    <x:row r="614">
      <x:c r="A614" s="87"/>
      <x:c r="B614" s="88"/>
      <x:c r="D614" s="32"/>
      <x:c r="G614" s="74"/>
      <x:c r="H614" s="74"/>
      <x:c r="I614" s="74"/>
      <x:c r="J614" s="74"/>
      <x:c r="K614" s="74"/>
      <x:c r="L614" s="74"/>
      <x:c r="M614" s="91"/>
      <x:c r="N614" s="91"/>
      <x:c r="O614" s="85"/>
      <x:c r="Q614" s="86"/>
      <x:c r="R614" s="32"/>
    </x:row>
    <x:row r="615">
      <x:c r="A615" s="87"/>
      <x:c r="B615" s="88"/>
      <x:c r="D615" s="32"/>
      <x:c r="G615" s="74"/>
      <x:c r="H615" s="74"/>
      <x:c r="I615" s="74"/>
      <x:c r="J615" s="74"/>
      <x:c r="K615" s="74"/>
      <x:c r="L615" s="74"/>
      <x:c r="M615" s="91"/>
      <x:c r="N615" s="91"/>
      <x:c r="O615" s="85"/>
      <x:c r="Q615" s="86"/>
      <x:c r="R615" s="32"/>
    </x:row>
    <x:row r="616">
      <x:c r="A616" s="87"/>
      <x:c r="B616" s="88"/>
      <x:c r="D616" s="32"/>
      <x:c r="G616" s="74"/>
      <x:c r="H616" s="74"/>
      <x:c r="I616" s="74"/>
      <x:c r="J616" s="74"/>
      <x:c r="K616" s="74"/>
      <x:c r="L616" s="74"/>
      <x:c r="M616" s="91"/>
      <x:c r="N616" s="91"/>
      <x:c r="O616" s="85"/>
      <x:c r="Q616" s="86"/>
      <x:c r="R616" s="32"/>
    </x:row>
    <x:row r="617">
      <x:c r="A617" s="87"/>
      <x:c r="B617" s="88"/>
      <x:c r="D617" s="32"/>
      <x:c r="G617" s="74"/>
      <x:c r="H617" s="74"/>
      <x:c r="I617" s="74"/>
      <x:c r="J617" s="74"/>
      <x:c r="K617" s="74"/>
      <x:c r="L617" s="74"/>
      <x:c r="M617" s="91"/>
      <x:c r="N617" s="91"/>
      <x:c r="O617" s="85"/>
      <x:c r="Q617" s="86"/>
      <x:c r="R617" s="32"/>
    </x:row>
    <x:row r="618">
      <x:c r="A618" s="87"/>
      <x:c r="B618" s="88"/>
      <x:c r="D618" s="32"/>
      <x:c r="G618" s="74"/>
      <x:c r="H618" s="74"/>
      <x:c r="I618" s="74"/>
      <x:c r="J618" s="74"/>
      <x:c r="K618" s="74"/>
      <x:c r="L618" s="74"/>
      <x:c r="M618" s="91"/>
      <x:c r="N618" s="91"/>
      <x:c r="O618" s="85"/>
      <x:c r="Q618" s="86"/>
      <x:c r="R618" s="32"/>
    </x:row>
    <x:row r="619">
      <x:c r="A619" s="87"/>
      <x:c r="B619" s="88"/>
      <x:c r="D619" s="32"/>
      <x:c r="G619" s="74"/>
      <x:c r="H619" s="74"/>
      <x:c r="I619" s="74"/>
      <x:c r="J619" s="74"/>
      <x:c r="K619" s="74"/>
      <x:c r="L619" s="74"/>
      <x:c r="M619" s="91"/>
      <x:c r="N619" s="91"/>
      <x:c r="O619" s="85"/>
      <x:c r="Q619" s="86"/>
      <x:c r="R619" s="32"/>
    </x:row>
    <x:row r="620">
      <x:c r="A620" s="87"/>
      <x:c r="B620" s="88"/>
      <x:c r="D620" s="32"/>
      <x:c r="G620" s="74"/>
      <x:c r="H620" s="74"/>
      <x:c r="I620" s="74"/>
      <x:c r="J620" s="74"/>
      <x:c r="K620" s="74"/>
      <x:c r="L620" s="74"/>
      <x:c r="M620" s="91"/>
      <x:c r="N620" s="91"/>
      <x:c r="O620" s="85"/>
      <x:c r="Q620" s="86"/>
      <x:c r="R620" s="32"/>
    </x:row>
    <x:row r="621">
      <x:c r="A621" s="87"/>
      <x:c r="B621" s="88"/>
      <x:c r="D621" s="32"/>
      <x:c r="G621" s="74"/>
      <x:c r="H621" s="74"/>
      <x:c r="I621" s="74"/>
      <x:c r="J621" s="74"/>
      <x:c r="K621" s="74"/>
      <x:c r="L621" s="74"/>
      <x:c r="M621" s="91"/>
      <x:c r="N621" s="91"/>
      <x:c r="O621" s="85"/>
      <x:c r="Q621" s="86"/>
      <x:c r="R621" s="32"/>
    </x:row>
    <x:row r="622">
      <x:c r="A622" s="87"/>
      <x:c r="B622" s="88"/>
      <x:c r="D622" s="32"/>
      <x:c r="G622" s="74"/>
      <x:c r="H622" s="74"/>
      <x:c r="I622" s="74"/>
      <x:c r="J622" s="74"/>
      <x:c r="K622" s="74"/>
      <x:c r="L622" s="74"/>
      <x:c r="M622" s="91"/>
      <x:c r="N622" s="91"/>
      <x:c r="O622" s="85"/>
      <x:c r="Q622" s="86"/>
      <x:c r="R622" s="32"/>
    </x:row>
    <x:row r="623">
      <x:c r="A623" s="87"/>
      <x:c r="B623" s="88"/>
      <x:c r="D623" s="32"/>
      <x:c r="G623" s="74"/>
      <x:c r="H623" s="74"/>
      <x:c r="I623" s="74"/>
      <x:c r="J623" s="74"/>
      <x:c r="K623" s="74"/>
      <x:c r="L623" s="74"/>
      <x:c r="M623" s="91"/>
      <x:c r="N623" s="91"/>
      <x:c r="O623" s="85"/>
      <x:c r="Q623" s="86"/>
      <x:c r="R623" s="32"/>
    </x:row>
    <x:row r="624">
      <x:c r="A624" s="87"/>
      <x:c r="B624" s="88"/>
      <x:c r="D624" s="32"/>
      <x:c r="G624" s="74"/>
      <x:c r="H624" s="74"/>
      <x:c r="I624" s="74"/>
      <x:c r="J624" s="74"/>
      <x:c r="K624" s="74"/>
      <x:c r="L624" s="74"/>
      <x:c r="M624" s="91"/>
      <x:c r="N624" s="91"/>
      <x:c r="O624" s="85"/>
      <x:c r="Q624" s="86"/>
      <x:c r="R624" s="32"/>
    </x:row>
    <x:row r="625">
      <x:c r="A625" s="87"/>
      <x:c r="B625" s="88"/>
      <x:c r="D625" s="32"/>
      <x:c r="G625" s="74"/>
      <x:c r="H625" s="74"/>
      <x:c r="I625" s="74"/>
      <x:c r="J625" s="74"/>
      <x:c r="K625" s="74"/>
      <x:c r="L625" s="74"/>
      <x:c r="M625" s="91"/>
      <x:c r="N625" s="91"/>
      <x:c r="O625" s="85"/>
      <x:c r="Q625" s="86"/>
      <x:c r="R625" s="32"/>
    </x:row>
    <x:row r="626">
      <x:c r="A626" s="87"/>
      <x:c r="B626" s="88"/>
      <x:c r="D626" s="32"/>
      <x:c r="G626" s="74"/>
      <x:c r="H626" s="74"/>
      <x:c r="I626" s="74"/>
      <x:c r="J626" s="74"/>
      <x:c r="K626" s="74"/>
      <x:c r="L626" s="74"/>
      <x:c r="M626" s="91"/>
      <x:c r="N626" s="91"/>
      <x:c r="O626" s="85"/>
      <x:c r="Q626" s="86"/>
      <x:c r="R626" s="32"/>
    </x:row>
    <x:row r="627">
      <x:c r="A627" s="87"/>
      <x:c r="B627" s="88"/>
      <x:c r="D627" s="32"/>
      <x:c r="G627" s="74"/>
      <x:c r="H627" s="74"/>
      <x:c r="I627" s="74"/>
      <x:c r="J627" s="74"/>
      <x:c r="K627" s="74"/>
      <x:c r="L627" s="74"/>
      <x:c r="M627" s="91"/>
      <x:c r="N627" s="91"/>
      <x:c r="O627" s="85"/>
      <x:c r="Q627" s="86"/>
      <x:c r="R627" s="32"/>
    </x:row>
    <x:row r="628">
      <x:c r="A628" s="87"/>
      <x:c r="B628" s="88"/>
      <x:c r="D628" s="32"/>
      <x:c r="G628" s="74"/>
      <x:c r="H628" s="74"/>
      <x:c r="I628" s="74"/>
      <x:c r="J628" s="74"/>
      <x:c r="K628" s="74"/>
      <x:c r="L628" s="74"/>
      <x:c r="M628" s="91"/>
      <x:c r="N628" s="91"/>
      <x:c r="O628" s="85"/>
      <x:c r="Q628" s="86"/>
      <x:c r="R628" s="32"/>
    </x:row>
    <x:row r="629">
      <x:c r="A629" s="87"/>
      <x:c r="B629" s="88"/>
      <x:c r="D629" s="32"/>
      <x:c r="G629" s="74"/>
      <x:c r="H629" s="74"/>
      <x:c r="I629" s="74"/>
      <x:c r="J629" s="74"/>
      <x:c r="K629" s="74"/>
      <x:c r="L629" s="74"/>
      <x:c r="M629" s="91"/>
      <x:c r="N629" s="91"/>
      <x:c r="O629" s="85"/>
      <x:c r="Q629" s="86"/>
      <x:c r="R629" s="32"/>
    </x:row>
    <x:row r="630">
      <x:c r="A630" s="87"/>
      <x:c r="B630" s="88"/>
      <x:c r="D630" s="32"/>
      <x:c r="G630" s="74"/>
      <x:c r="H630" s="74"/>
      <x:c r="I630" s="74"/>
      <x:c r="J630" s="74"/>
      <x:c r="K630" s="74"/>
      <x:c r="L630" s="74"/>
      <x:c r="M630" s="91"/>
      <x:c r="N630" s="91"/>
      <x:c r="O630" s="85"/>
      <x:c r="Q630" s="86"/>
      <x:c r="R630" s="32"/>
    </x:row>
    <x:row r="631">
      <x:c r="A631" s="87"/>
      <x:c r="B631" s="88"/>
      <x:c r="D631" s="32"/>
      <x:c r="G631" s="74"/>
      <x:c r="H631" s="74"/>
      <x:c r="I631" s="74"/>
      <x:c r="J631" s="74"/>
      <x:c r="K631" s="74"/>
      <x:c r="L631" s="74"/>
      <x:c r="M631" s="91"/>
      <x:c r="N631" s="91"/>
      <x:c r="O631" s="85"/>
      <x:c r="Q631" s="86"/>
      <x:c r="R631" s="32"/>
    </x:row>
    <x:row r="632">
      <x:c r="A632" s="87"/>
      <x:c r="B632" s="88"/>
      <x:c r="D632" s="32"/>
      <x:c r="G632" s="74"/>
      <x:c r="H632" s="74"/>
      <x:c r="I632" s="74"/>
      <x:c r="J632" s="74"/>
      <x:c r="K632" s="74"/>
      <x:c r="L632" s="74"/>
      <x:c r="M632" s="91"/>
      <x:c r="N632" s="91"/>
      <x:c r="O632" s="85"/>
      <x:c r="Q632" s="86"/>
      <x:c r="R632" s="32"/>
    </x:row>
    <x:row r="633">
      <x:c r="A633" s="87"/>
      <x:c r="B633" s="88"/>
      <x:c r="D633" s="32"/>
      <x:c r="G633" s="74"/>
      <x:c r="H633" s="74"/>
      <x:c r="I633" s="74"/>
      <x:c r="J633" s="74"/>
      <x:c r="K633" s="74"/>
      <x:c r="L633" s="74"/>
      <x:c r="M633" s="91"/>
      <x:c r="N633" s="91"/>
      <x:c r="O633" s="85"/>
      <x:c r="Q633" s="86"/>
      <x:c r="R633" s="32"/>
    </x:row>
    <x:row r="634">
      <x:c r="A634" s="87"/>
      <x:c r="B634" s="88"/>
      <x:c r="D634" s="32"/>
      <x:c r="G634" s="74"/>
      <x:c r="H634" s="74"/>
      <x:c r="I634" s="74"/>
      <x:c r="J634" s="74"/>
      <x:c r="K634" s="74"/>
      <x:c r="L634" s="74"/>
      <x:c r="M634" s="91"/>
      <x:c r="N634" s="91"/>
      <x:c r="O634" s="85"/>
      <x:c r="Q634" s="86"/>
      <x:c r="R634" s="32"/>
    </x:row>
    <x:row r="635">
      <x:c r="A635" s="87"/>
      <x:c r="B635" s="88"/>
      <x:c r="D635" s="32"/>
      <x:c r="G635" s="74"/>
      <x:c r="H635" s="74"/>
      <x:c r="I635" s="74"/>
      <x:c r="J635" s="74"/>
      <x:c r="K635" s="74"/>
      <x:c r="L635" s="74"/>
      <x:c r="M635" s="91"/>
      <x:c r="N635" s="91"/>
      <x:c r="O635" s="85"/>
      <x:c r="Q635" s="86"/>
      <x:c r="R635" s="32"/>
    </x:row>
    <x:row r="636">
      <x:c r="A636" s="87"/>
      <x:c r="B636" s="88"/>
      <x:c r="D636" s="32"/>
      <x:c r="G636" s="74"/>
      <x:c r="H636" s="74"/>
      <x:c r="I636" s="74"/>
      <x:c r="J636" s="74"/>
      <x:c r="K636" s="74"/>
      <x:c r="L636" s="74"/>
      <x:c r="M636" s="91"/>
      <x:c r="N636" s="91"/>
      <x:c r="O636" s="85"/>
      <x:c r="Q636" s="86"/>
      <x:c r="R636" s="32"/>
    </x:row>
    <x:row r="637">
      <x:c r="A637" s="87"/>
      <x:c r="B637" s="88"/>
      <x:c r="D637" s="32"/>
      <x:c r="G637" s="74"/>
      <x:c r="H637" s="74"/>
      <x:c r="I637" s="74"/>
      <x:c r="J637" s="74"/>
      <x:c r="K637" s="74"/>
      <x:c r="L637" s="74"/>
      <x:c r="M637" s="91"/>
      <x:c r="N637" s="91"/>
      <x:c r="O637" s="85"/>
      <x:c r="Q637" s="86"/>
      <x:c r="R637" s="32"/>
    </x:row>
    <x:row r="638">
      <x:c r="A638" s="87"/>
      <x:c r="B638" s="88"/>
      <x:c r="D638" s="32"/>
      <x:c r="G638" s="74"/>
      <x:c r="H638" s="74"/>
      <x:c r="I638" s="74"/>
      <x:c r="J638" s="74"/>
      <x:c r="K638" s="74"/>
      <x:c r="L638" s="74"/>
      <x:c r="M638" s="91"/>
      <x:c r="N638" s="91"/>
      <x:c r="O638" s="85"/>
      <x:c r="Q638" s="86"/>
      <x:c r="R638" s="32"/>
    </x:row>
    <x:row r="639">
      <x:c r="A639" s="87"/>
      <x:c r="B639" s="88"/>
      <x:c r="D639" s="32"/>
      <x:c r="G639" s="74"/>
      <x:c r="H639" s="74"/>
      <x:c r="I639" s="74"/>
      <x:c r="J639" s="74"/>
      <x:c r="K639" s="74"/>
      <x:c r="L639" s="74"/>
      <x:c r="M639" s="91"/>
      <x:c r="N639" s="91"/>
      <x:c r="O639" s="85"/>
      <x:c r="Q639" s="86"/>
      <x:c r="R639" s="32"/>
    </x:row>
    <x:row r="640">
      <x:c r="A640" s="87"/>
      <x:c r="B640" s="88"/>
      <x:c r="D640" s="32"/>
      <x:c r="G640" s="74"/>
      <x:c r="H640" s="74"/>
      <x:c r="I640" s="74"/>
      <x:c r="J640" s="74"/>
      <x:c r="K640" s="74"/>
      <x:c r="L640" s="74"/>
      <x:c r="M640" s="91"/>
      <x:c r="N640" s="91"/>
      <x:c r="O640" s="85"/>
      <x:c r="Q640" s="86"/>
      <x:c r="R640" s="32"/>
    </x:row>
    <x:row r="641">
      <x:c r="A641" s="87"/>
      <x:c r="B641" s="88"/>
      <x:c r="D641" s="32"/>
      <x:c r="G641" s="74"/>
      <x:c r="H641" s="74"/>
      <x:c r="I641" s="74"/>
      <x:c r="J641" s="74"/>
      <x:c r="K641" s="74"/>
      <x:c r="L641" s="74"/>
      <x:c r="M641" s="91"/>
      <x:c r="N641" s="91"/>
      <x:c r="O641" s="85"/>
      <x:c r="Q641" s="86"/>
      <x:c r="R641" s="32"/>
    </x:row>
    <x:row r="642">
      <x:c r="A642" s="87"/>
      <x:c r="B642" s="88"/>
      <x:c r="D642" s="32"/>
      <x:c r="G642" s="74"/>
      <x:c r="H642" s="74"/>
      <x:c r="I642" s="74"/>
      <x:c r="J642" s="74"/>
      <x:c r="K642" s="74"/>
      <x:c r="L642" s="74"/>
      <x:c r="M642" s="91"/>
      <x:c r="N642" s="91"/>
      <x:c r="O642" s="85"/>
      <x:c r="Q642" s="86"/>
      <x:c r="R642" s="32"/>
    </x:row>
    <x:row r="643">
      <x:c r="A643" s="87"/>
      <x:c r="B643" s="88"/>
      <x:c r="D643" s="32"/>
      <x:c r="G643" s="74"/>
      <x:c r="H643" s="74"/>
      <x:c r="I643" s="74"/>
      <x:c r="J643" s="74"/>
      <x:c r="K643" s="74"/>
      <x:c r="L643" s="74"/>
      <x:c r="M643" s="91"/>
      <x:c r="N643" s="91"/>
      <x:c r="O643" s="85"/>
      <x:c r="Q643" s="86"/>
      <x:c r="R643" s="32"/>
    </x:row>
    <x:row r="644">
      <x:c r="A644" s="87"/>
      <x:c r="B644" s="88"/>
      <x:c r="D644" s="32"/>
      <x:c r="G644" s="74"/>
      <x:c r="H644" s="74"/>
      <x:c r="I644" s="74"/>
      <x:c r="J644" s="74"/>
      <x:c r="K644" s="74"/>
      <x:c r="L644" s="74"/>
      <x:c r="M644" s="91"/>
      <x:c r="N644" s="91"/>
      <x:c r="O644" s="85"/>
      <x:c r="Q644" s="86"/>
      <x:c r="R644" s="32"/>
    </x:row>
    <x:row r="645">
      <x:c r="A645" s="87"/>
      <x:c r="B645" s="88"/>
      <x:c r="D645" s="32"/>
      <x:c r="G645" s="74"/>
      <x:c r="H645" s="74"/>
      <x:c r="I645" s="74"/>
      <x:c r="J645" s="74"/>
      <x:c r="K645" s="74"/>
      <x:c r="L645" s="74"/>
      <x:c r="M645" s="91"/>
      <x:c r="N645" s="91"/>
      <x:c r="O645" s="85"/>
      <x:c r="Q645" s="86"/>
      <x:c r="R645" s="32"/>
    </x:row>
    <x:row r="646">
      <x:c r="A646" s="87"/>
      <x:c r="B646" s="88"/>
      <x:c r="D646" s="32"/>
      <x:c r="G646" s="74"/>
      <x:c r="H646" s="74"/>
      <x:c r="I646" s="74"/>
      <x:c r="J646" s="74"/>
      <x:c r="K646" s="74"/>
      <x:c r="L646" s="74"/>
      <x:c r="M646" s="91"/>
      <x:c r="N646" s="91"/>
      <x:c r="O646" s="85"/>
      <x:c r="Q646" s="86"/>
      <x:c r="R646" s="32"/>
    </x:row>
    <x:row r="647">
      <x:c r="A647" s="87"/>
      <x:c r="B647" s="88"/>
      <x:c r="D647" s="32"/>
      <x:c r="G647" s="74"/>
      <x:c r="H647" s="74"/>
      <x:c r="I647" s="74"/>
      <x:c r="J647" s="74"/>
      <x:c r="K647" s="74"/>
      <x:c r="L647" s="74"/>
      <x:c r="M647" s="91"/>
      <x:c r="N647" s="91"/>
      <x:c r="O647" s="85"/>
      <x:c r="Q647" s="86"/>
      <x:c r="R647" s="32"/>
    </x:row>
    <x:row r="648">
      <x:c r="A648" s="87"/>
      <x:c r="B648" s="88"/>
      <x:c r="D648" s="32"/>
      <x:c r="G648" s="74"/>
      <x:c r="H648" s="74"/>
      <x:c r="I648" s="74"/>
      <x:c r="J648" s="74"/>
      <x:c r="K648" s="74"/>
      <x:c r="L648" s="74"/>
      <x:c r="M648" s="91"/>
      <x:c r="N648" s="91"/>
      <x:c r="O648" s="85"/>
      <x:c r="Q648" s="86"/>
      <x:c r="R648" s="32"/>
    </x:row>
    <x:row r="649">
      <x:c r="A649" s="87"/>
      <x:c r="B649" s="88"/>
      <x:c r="D649" s="32"/>
      <x:c r="G649" s="74"/>
      <x:c r="H649" s="74"/>
      <x:c r="I649" s="74"/>
      <x:c r="J649" s="74"/>
      <x:c r="K649" s="74"/>
      <x:c r="L649" s="74"/>
      <x:c r="M649" s="91"/>
      <x:c r="N649" s="91"/>
      <x:c r="O649" s="85"/>
      <x:c r="Q649" s="86"/>
      <x:c r="R649" s="32"/>
    </x:row>
    <x:row r="650">
      <x:c r="A650" s="87"/>
      <x:c r="B650" s="88"/>
      <x:c r="D650" s="32"/>
      <x:c r="G650" s="74"/>
      <x:c r="H650" s="74"/>
      <x:c r="I650" s="74"/>
      <x:c r="J650" s="74"/>
      <x:c r="K650" s="74"/>
      <x:c r="L650" s="74"/>
      <x:c r="M650" s="91"/>
      <x:c r="N650" s="91"/>
      <x:c r="O650" s="85"/>
      <x:c r="Q650" s="86"/>
      <x:c r="R650" s="32"/>
    </x:row>
    <x:row r="651">
      <x:c r="A651" s="87"/>
      <x:c r="B651" s="88"/>
      <x:c r="D651" s="32"/>
      <x:c r="G651" s="74"/>
      <x:c r="H651" s="74"/>
      <x:c r="I651" s="74"/>
      <x:c r="J651" s="74"/>
      <x:c r="K651" s="74"/>
      <x:c r="L651" s="74"/>
      <x:c r="M651" s="91"/>
      <x:c r="N651" s="91"/>
      <x:c r="O651" s="85"/>
      <x:c r="Q651" s="86"/>
      <x:c r="R651" s="32"/>
    </x:row>
    <x:row r="652">
      <x:c r="A652" s="87"/>
      <x:c r="B652" s="88"/>
      <x:c r="D652" s="32"/>
      <x:c r="G652" s="74"/>
      <x:c r="H652" s="74"/>
      <x:c r="I652" s="74"/>
      <x:c r="J652" s="74"/>
      <x:c r="K652" s="74"/>
      <x:c r="L652" s="74"/>
      <x:c r="M652" s="91"/>
      <x:c r="N652" s="91"/>
      <x:c r="O652" s="85"/>
      <x:c r="Q652" s="86"/>
      <x:c r="R652" s="32"/>
    </x:row>
    <x:row r="653">
      <x:c r="A653" s="87"/>
      <x:c r="B653" s="88"/>
      <x:c r="D653" s="32"/>
      <x:c r="G653" s="74"/>
      <x:c r="H653" s="74"/>
      <x:c r="I653" s="74"/>
      <x:c r="J653" s="74"/>
      <x:c r="K653" s="74"/>
      <x:c r="L653" s="74"/>
      <x:c r="M653" s="91"/>
      <x:c r="N653" s="91"/>
      <x:c r="O653" s="85"/>
      <x:c r="Q653" s="86"/>
      <x:c r="R653" s="32"/>
    </x:row>
    <x:row r="654">
      <x:c r="A654" s="87"/>
      <x:c r="B654" s="88"/>
      <x:c r="D654" s="32"/>
      <x:c r="G654" s="74"/>
      <x:c r="H654" s="74"/>
      <x:c r="I654" s="74"/>
      <x:c r="J654" s="74"/>
      <x:c r="K654" s="74"/>
      <x:c r="L654" s="74"/>
      <x:c r="M654" s="91"/>
      <x:c r="N654" s="91"/>
      <x:c r="O654" s="85"/>
      <x:c r="Q654" s="86"/>
      <x:c r="R654" s="32"/>
    </x:row>
    <x:row r="655">
      <x:c r="A655" s="87"/>
      <x:c r="B655" s="88"/>
      <x:c r="D655" s="32"/>
      <x:c r="G655" s="74"/>
      <x:c r="H655" s="74"/>
      <x:c r="I655" s="74"/>
      <x:c r="J655" s="74"/>
      <x:c r="K655" s="74"/>
      <x:c r="L655" s="74"/>
      <x:c r="M655" s="91"/>
      <x:c r="N655" s="91"/>
      <x:c r="O655" s="85"/>
      <x:c r="Q655" s="86"/>
      <x:c r="R655" s="32"/>
    </x:row>
    <x:row r="656">
      <x:c r="A656" s="87"/>
      <x:c r="B656" s="88"/>
      <x:c r="D656" s="32"/>
      <x:c r="G656" s="74"/>
      <x:c r="H656" s="74"/>
      <x:c r="I656" s="74"/>
      <x:c r="J656" s="74"/>
      <x:c r="K656" s="74"/>
      <x:c r="L656" s="74"/>
      <x:c r="M656" s="91"/>
      <x:c r="N656" s="91"/>
      <x:c r="O656" s="85"/>
      <x:c r="Q656" s="86"/>
      <x:c r="R656" s="32"/>
    </x:row>
    <x:row r="657">
      <x:c r="A657" s="87"/>
      <x:c r="B657" s="88"/>
      <x:c r="D657" s="32"/>
      <x:c r="G657" s="74"/>
      <x:c r="H657" s="74"/>
      <x:c r="I657" s="74"/>
      <x:c r="J657" s="74"/>
      <x:c r="K657" s="74"/>
      <x:c r="L657" s="74"/>
      <x:c r="M657" s="91"/>
      <x:c r="N657" s="91"/>
      <x:c r="O657" s="85"/>
      <x:c r="Q657" s="86"/>
      <x:c r="R657" s="32"/>
    </x:row>
    <x:row r="658">
      <x:c r="A658" s="87"/>
      <x:c r="B658" s="88"/>
      <x:c r="D658" s="32"/>
      <x:c r="G658" s="74"/>
      <x:c r="H658" s="74"/>
      <x:c r="I658" s="74"/>
      <x:c r="J658" s="74"/>
      <x:c r="K658" s="74"/>
      <x:c r="L658" s="74"/>
      <x:c r="M658" s="91"/>
      <x:c r="N658" s="91"/>
      <x:c r="O658" s="85"/>
      <x:c r="Q658" s="86"/>
      <x:c r="R658" s="32"/>
    </x:row>
    <x:row r="659">
      <x:c r="A659" s="87"/>
      <x:c r="B659" s="88"/>
      <x:c r="D659" s="32"/>
      <x:c r="G659" s="74"/>
      <x:c r="H659" s="74"/>
      <x:c r="I659" s="74"/>
      <x:c r="J659" s="74"/>
      <x:c r="K659" s="74"/>
      <x:c r="L659" s="74"/>
      <x:c r="M659" s="91"/>
      <x:c r="N659" s="91"/>
      <x:c r="O659" s="85"/>
      <x:c r="Q659" s="86"/>
      <x:c r="R659" s="32"/>
    </x:row>
    <x:row r="660">
      <x:c r="A660" s="87"/>
      <x:c r="B660" s="88"/>
      <x:c r="D660" s="32"/>
      <x:c r="G660" s="74"/>
      <x:c r="H660" s="74"/>
      <x:c r="I660" s="74"/>
      <x:c r="J660" s="74"/>
      <x:c r="K660" s="74"/>
      <x:c r="L660" s="74"/>
      <x:c r="M660" s="91"/>
      <x:c r="N660" s="91"/>
      <x:c r="O660" s="85"/>
      <x:c r="Q660" s="86"/>
      <x:c r="R660" s="32"/>
    </x:row>
    <x:row r="661">
      <x:c r="A661" s="87"/>
      <x:c r="B661" s="88"/>
      <x:c r="D661" s="32"/>
      <x:c r="G661" s="74"/>
      <x:c r="H661" s="74"/>
      <x:c r="I661" s="74"/>
      <x:c r="J661" s="74"/>
      <x:c r="K661" s="74"/>
      <x:c r="L661" s="74"/>
      <x:c r="M661" s="91"/>
      <x:c r="N661" s="91"/>
      <x:c r="O661" s="85"/>
      <x:c r="Q661" s="86"/>
      <x:c r="R661" s="32"/>
    </x:row>
    <x:row r="662">
      <x:c r="A662" s="87"/>
      <x:c r="B662" s="88"/>
      <x:c r="D662" s="32"/>
      <x:c r="G662" s="74"/>
      <x:c r="H662" s="74"/>
      <x:c r="I662" s="74"/>
      <x:c r="J662" s="74"/>
      <x:c r="K662" s="74"/>
      <x:c r="L662" s="74"/>
      <x:c r="M662" s="91"/>
      <x:c r="N662" s="91"/>
      <x:c r="O662" s="85"/>
      <x:c r="Q662" s="86"/>
      <x:c r="R662" s="32"/>
    </x:row>
    <x:row r="663">
      <x:c r="A663" s="87"/>
      <x:c r="B663" s="88"/>
      <x:c r="D663" s="32"/>
      <x:c r="G663" s="74"/>
      <x:c r="H663" s="74"/>
      <x:c r="I663" s="74"/>
      <x:c r="J663" s="74"/>
      <x:c r="K663" s="74"/>
      <x:c r="L663" s="74"/>
      <x:c r="M663" s="91"/>
      <x:c r="N663" s="91"/>
      <x:c r="O663" s="85"/>
      <x:c r="Q663" s="86"/>
      <x:c r="R663" s="32"/>
    </x:row>
    <x:row r="664">
      <x:c r="A664" s="87"/>
      <x:c r="B664" s="88"/>
      <x:c r="D664" s="32"/>
      <x:c r="G664" s="74"/>
      <x:c r="H664" s="74"/>
      <x:c r="I664" s="74"/>
      <x:c r="J664" s="74"/>
      <x:c r="K664" s="74"/>
      <x:c r="L664" s="74"/>
      <x:c r="M664" s="91"/>
      <x:c r="N664" s="91"/>
      <x:c r="O664" s="85"/>
      <x:c r="Q664" s="86"/>
      <x:c r="R664" s="32"/>
    </x:row>
    <x:row r="665">
      <x:c r="A665" s="87"/>
      <x:c r="B665" s="88"/>
      <x:c r="D665" s="32"/>
      <x:c r="G665" s="74"/>
      <x:c r="H665" s="74"/>
      <x:c r="I665" s="74"/>
      <x:c r="J665" s="74"/>
      <x:c r="K665" s="74"/>
      <x:c r="L665" s="74"/>
      <x:c r="M665" s="91"/>
      <x:c r="N665" s="91"/>
      <x:c r="O665" s="85"/>
      <x:c r="Q665" s="86"/>
      <x:c r="R665" s="32"/>
    </x:row>
    <x:row r="666">
      <x:c r="A666" s="87"/>
      <x:c r="B666" s="88"/>
      <x:c r="D666" s="32"/>
      <x:c r="G666" s="74"/>
      <x:c r="H666" s="74"/>
      <x:c r="I666" s="74"/>
      <x:c r="J666" s="74"/>
      <x:c r="K666" s="74"/>
      <x:c r="L666" s="74"/>
      <x:c r="M666" s="91"/>
      <x:c r="N666" s="91"/>
      <x:c r="O666" s="85"/>
      <x:c r="Q666" s="86"/>
      <x:c r="R666" s="32"/>
    </x:row>
    <x:row r="667">
      <x:c r="A667" s="87"/>
      <x:c r="B667" s="88"/>
      <x:c r="D667" s="32"/>
      <x:c r="G667" s="74"/>
      <x:c r="H667" s="74"/>
      <x:c r="I667" s="74"/>
      <x:c r="J667" s="74"/>
      <x:c r="K667" s="74"/>
      <x:c r="L667" s="74"/>
      <x:c r="M667" s="91"/>
      <x:c r="N667" s="91"/>
      <x:c r="O667" s="85"/>
      <x:c r="Q667" s="86"/>
      <x:c r="R667" s="32"/>
    </x:row>
    <x:row r="668">
      <x:c r="A668" s="87"/>
      <x:c r="B668" s="88"/>
      <x:c r="D668" s="32"/>
      <x:c r="G668" s="74"/>
      <x:c r="H668" s="74"/>
      <x:c r="I668" s="74"/>
      <x:c r="J668" s="74"/>
      <x:c r="K668" s="74"/>
      <x:c r="L668" s="74"/>
      <x:c r="M668" s="91"/>
      <x:c r="N668" s="91"/>
      <x:c r="O668" s="85"/>
      <x:c r="Q668" s="86"/>
      <x:c r="R668" s="32"/>
    </x:row>
    <x:row r="669">
      <x:c r="A669" s="87"/>
      <x:c r="B669" s="88"/>
      <x:c r="D669" s="32"/>
      <x:c r="G669" s="74"/>
      <x:c r="H669" s="74"/>
      <x:c r="I669" s="74"/>
      <x:c r="J669" s="74"/>
      <x:c r="K669" s="74"/>
      <x:c r="L669" s="74"/>
      <x:c r="M669" s="91"/>
      <x:c r="N669" s="91"/>
      <x:c r="O669" s="85"/>
      <x:c r="Q669" s="86"/>
      <x:c r="R669" s="32"/>
    </x:row>
    <x:row r="670">
      <x:c r="A670" s="87"/>
      <x:c r="B670" s="88"/>
      <x:c r="D670" s="32"/>
      <x:c r="G670" s="74"/>
      <x:c r="H670" s="74"/>
      <x:c r="I670" s="74"/>
      <x:c r="J670" s="74"/>
      <x:c r="K670" s="74"/>
      <x:c r="L670" s="74"/>
      <x:c r="M670" s="91"/>
      <x:c r="N670" s="91"/>
      <x:c r="O670" s="85"/>
      <x:c r="Q670" s="86"/>
      <x:c r="R670" s="32"/>
    </x:row>
    <x:row r="671">
      <x:c r="A671" s="87"/>
      <x:c r="B671" s="88"/>
      <x:c r="D671" s="32"/>
      <x:c r="G671" s="74"/>
      <x:c r="H671" s="74"/>
      <x:c r="I671" s="74"/>
      <x:c r="J671" s="74"/>
      <x:c r="K671" s="74"/>
      <x:c r="L671" s="74"/>
      <x:c r="M671" s="91"/>
      <x:c r="N671" s="91"/>
      <x:c r="O671" s="85"/>
      <x:c r="Q671" s="86"/>
      <x:c r="R671" s="32"/>
    </x:row>
    <x:row r="672">
      <x:c r="A672" s="87"/>
      <x:c r="B672" s="88"/>
      <x:c r="D672" s="32"/>
      <x:c r="G672" s="74"/>
      <x:c r="H672" s="74"/>
      <x:c r="I672" s="74"/>
      <x:c r="J672" s="74"/>
      <x:c r="K672" s="74"/>
      <x:c r="L672" s="74"/>
      <x:c r="M672" s="91"/>
      <x:c r="N672" s="91"/>
      <x:c r="O672" s="85"/>
      <x:c r="Q672" s="86"/>
      <x:c r="R672" s="32"/>
    </x:row>
    <x:row r="673">
      <x:c r="A673" s="87"/>
      <x:c r="B673" s="88"/>
      <x:c r="D673" s="32"/>
      <x:c r="G673" s="74"/>
      <x:c r="H673" s="74"/>
      <x:c r="I673" s="74"/>
      <x:c r="J673" s="74"/>
      <x:c r="K673" s="74"/>
      <x:c r="L673" s="74"/>
      <x:c r="M673" s="91"/>
      <x:c r="N673" s="91"/>
      <x:c r="O673" s="85"/>
      <x:c r="Q673" s="86"/>
      <x:c r="R673" s="32"/>
    </x:row>
    <x:row r="674">
      <x:c r="A674" s="87"/>
      <x:c r="B674" s="88"/>
      <x:c r="D674" s="32"/>
      <x:c r="G674" s="74"/>
      <x:c r="H674" s="74"/>
      <x:c r="I674" s="74"/>
      <x:c r="J674" s="74"/>
      <x:c r="K674" s="74"/>
      <x:c r="L674" s="74"/>
      <x:c r="M674" s="91"/>
      <x:c r="N674" s="91"/>
      <x:c r="O674" s="85"/>
      <x:c r="Q674" s="86"/>
      <x:c r="R674" s="32"/>
    </x:row>
    <x:row r="675">
      <x:c r="A675" s="87"/>
      <x:c r="B675" s="88"/>
      <x:c r="D675" s="32"/>
      <x:c r="G675" s="74"/>
      <x:c r="H675" s="74"/>
      <x:c r="I675" s="74"/>
      <x:c r="J675" s="74"/>
      <x:c r="K675" s="74"/>
      <x:c r="L675" s="74"/>
      <x:c r="M675" s="91"/>
      <x:c r="N675" s="91"/>
      <x:c r="O675" s="85"/>
      <x:c r="Q675" s="86"/>
      <x:c r="R675" s="32"/>
    </x:row>
    <x:row r="676">
      <x:c r="A676" s="87"/>
      <x:c r="B676" s="88"/>
      <x:c r="D676" s="32"/>
      <x:c r="G676" s="74"/>
      <x:c r="H676" s="74"/>
      <x:c r="I676" s="74"/>
      <x:c r="J676" s="74"/>
      <x:c r="K676" s="74"/>
      <x:c r="L676" s="74"/>
      <x:c r="M676" s="91"/>
      <x:c r="N676" s="91"/>
      <x:c r="O676" s="85"/>
      <x:c r="Q676" s="86"/>
      <x:c r="R676" s="32"/>
    </x:row>
    <x:row r="677">
      <x:c r="A677" s="87"/>
      <x:c r="B677" s="88"/>
      <x:c r="D677" s="32"/>
      <x:c r="G677" s="74"/>
      <x:c r="H677" s="74"/>
      <x:c r="I677" s="74"/>
      <x:c r="J677" s="74"/>
      <x:c r="K677" s="74"/>
      <x:c r="L677" s="74"/>
      <x:c r="M677" s="91"/>
      <x:c r="N677" s="91"/>
      <x:c r="O677" s="85"/>
      <x:c r="Q677" s="86"/>
      <x:c r="R677" s="32"/>
    </x:row>
    <x:row r="678">
      <x:c r="A678" s="87"/>
      <x:c r="B678" s="88"/>
      <x:c r="D678" s="32"/>
      <x:c r="G678" s="74"/>
      <x:c r="H678" s="74"/>
      <x:c r="I678" s="74"/>
      <x:c r="J678" s="74"/>
      <x:c r="K678" s="74"/>
      <x:c r="L678" s="74"/>
      <x:c r="M678" s="91"/>
      <x:c r="N678" s="91"/>
      <x:c r="O678" s="85"/>
      <x:c r="Q678" s="86"/>
      <x:c r="R678" s="32"/>
    </x:row>
    <x:row r="679">
      <x:c r="A679" s="87"/>
      <x:c r="B679" s="88"/>
      <x:c r="D679" s="32"/>
      <x:c r="G679" s="74"/>
      <x:c r="H679" s="74"/>
      <x:c r="I679" s="74"/>
      <x:c r="J679" s="74"/>
      <x:c r="K679" s="74"/>
      <x:c r="L679" s="74"/>
      <x:c r="M679" s="91"/>
      <x:c r="N679" s="91"/>
      <x:c r="O679" s="85"/>
      <x:c r="Q679" s="86"/>
      <x:c r="R679" s="32"/>
    </x:row>
    <x:row r="680">
      <x:c r="A680" s="87"/>
      <x:c r="B680" s="88"/>
      <x:c r="D680" s="32"/>
      <x:c r="G680" s="74"/>
      <x:c r="H680" s="74"/>
      <x:c r="I680" s="74"/>
      <x:c r="J680" s="74"/>
      <x:c r="K680" s="74"/>
      <x:c r="L680" s="74"/>
      <x:c r="M680" s="91"/>
      <x:c r="N680" s="91"/>
      <x:c r="O680" s="85"/>
      <x:c r="Q680" s="86"/>
      <x:c r="R680" s="32"/>
    </x:row>
    <x:row r="681">
      <x:c r="A681" s="87"/>
      <x:c r="B681" s="88"/>
      <x:c r="D681" s="32"/>
      <x:c r="G681" s="74"/>
      <x:c r="H681" s="74"/>
      <x:c r="I681" s="74"/>
      <x:c r="J681" s="74"/>
      <x:c r="K681" s="74"/>
      <x:c r="L681" s="74"/>
      <x:c r="M681" s="91"/>
      <x:c r="N681" s="91"/>
      <x:c r="O681" s="85"/>
      <x:c r="Q681" s="86"/>
      <x:c r="R681" s="32"/>
    </x:row>
    <x:row r="682">
      <x:c r="A682" s="87"/>
      <x:c r="B682" s="88"/>
      <x:c r="D682" s="32"/>
      <x:c r="G682" s="74"/>
      <x:c r="H682" s="74"/>
      <x:c r="I682" s="74"/>
      <x:c r="J682" s="74"/>
      <x:c r="K682" s="74"/>
      <x:c r="L682" s="74"/>
      <x:c r="M682" s="91"/>
      <x:c r="N682" s="91"/>
      <x:c r="O682" s="85"/>
      <x:c r="Q682" s="86"/>
      <x:c r="R682" s="32"/>
    </x:row>
    <x:row r="683">
      <x:c r="A683" s="87"/>
      <x:c r="B683" s="88"/>
      <x:c r="D683" s="32"/>
      <x:c r="G683" s="74"/>
      <x:c r="H683" s="74"/>
      <x:c r="I683" s="74"/>
      <x:c r="J683" s="74"/>
      <x:c r="K683" s="74"/>
      <x:c r="L683" s="74"/>
      <x:c r="M683" s="91"/>
      <x:c r="N683" s="91"/>
      <x:c r="O683" s="85"/>
      <x:c r="Q683" s="86"/>
      <x:c r="R683" s="32"/>
    </x:row>
    <x:row r="684">
      <x:c r="A684" s="87"/>
      <x:c r="B684" s="88"/>
      <x:c r="D684" s="32"/>
      <x:c r="G684" s="74"/>
      <x:c r="H684" s="74"/>
      <x:c r="I684" s="74"/>
      <x:c r="J684" s="74"/>
      <x:c r="K684" s="74"/>
      <x:c r="L684" s="74"/>
      <x:c r="M684" s="91"/>
      <x:c r="N684" s="91"/>
      <x:c r="O684" s="85"/>
      <x:c r="Q684" s="86"/>
      <x:c r="R684" s="32"/>
    </x:row>
    <x:row r="685">
      <x:c r="A685" s="87"/>
      <x:c r="B685" s="88"/>
      <x:c r="D685" s="32"/>
      <x:c r="G685" s="74"/>
      <x:c r="H685" s="74"/>
      <x:c r="I685" s="74"/>
      <x:c r="J685" s="74"/>
      <x:c r="K685" s="74"/>
      <x:c r="L685" s="74"/>
      <x:c r="M685" s="91"/>
      <x:c r="N685" s="91"/>
      <x:c r="O685" s="85"/>
      <x:c r="Q685" s="86"/>
      <x:c r="R685" s="32"/>
    </x:row>
    <x:row r="686">
      <x:c r="A686" s="87"/>
      <x:c r="B686" s="88"/>
      <x:c r="D686" s="32"/>
      <x:c r="G686" s="74"/>
      <x:c r="H686" s="74"/>
      <x:c r="I686" s="74"/>
      <x:c r="J686" s="74"/>
      <x:c r="K686" s="74"/>
      <x:c r="L686" s="74"/>
      <x:c r="M686" s="91"/>
      <x:c r="N686" s="91"/>
      <x:c r="O686" s="85"/>
      <x:c r="Q686" s="86"/>
      <x:c r="R686" s="32"/>
    </x:row>
    <x:row r="687">
      <x:c r="A687" s="87"/>
      <x:c r="B687" s="88"/>
      <x:c r="D687" s="32"/>
      <x:c r="G687" s="74"/>
      <x:c r="H687" s="74"/>
      <x:c r="I687" s="74"/>
      <x:c r="J687" s="74"/>
      <x:c r="K687" s="74"/>
      <x:c r="L687" s="74"/>
      <x:c r="M687" s="91"/>
      <x:c r="N687" s="91"/>
      <x:c r="O687" s="85"/>
      <x:c r="Q687" s="86"/>
      <x:c r="R687" s="32"/>
    </x:row>
    <x:row r="688">
      <x:c r="A688" s="87"/>
      <x:c r="B688" s="88"/>
      <x:c r="D688" s="32"/>
      <x:c r="G688" s="74"/>
      <x:c r="H688" s="74"/>
      <x:c r="I688" s="74"/>
      <x:c r="J688" s="74"/>
      <x:c r="K688" s="74"/>
      <x:c r="L688" s="74"/>
      <x:c r="M688" s="91"/>
      <x:c r="N688" s="91"/>
      <x:c r="O688" s="85"/>
      <x:c r="Q688" s="86"/>
      <x:c r="R688" s="32"/>
    </x:row>
    <x:row r="689">
      <x:c r="A689" s="87"/>
      <x:c r="B689" s="88"/>
      <x:c r="D689" s="32"/>
      <x:c r="G689" s="74"/>
      <x:c r="H689" s="74"/>
      <x:c r="I689" s="74"/>
      <x:c r="J689" s="74"/>
      <x:c r="K689" s="74"/>
      <x:c r="L689" s="74"/>
      <x:c r="M689" s="91"/>
      <x:c r="N689" s="91"/>
      <x:c r="O689" s="85"/>
      <x:c r="Q689" s="86"/>
      <x:c r="R689" s="32"/>
    </x:row>
    <x:row r="690">
      <x:c r="A690" s="87"/>
      <x:c r="B690" s="88"/>
      <x:c r="D690" s="32"/>
      <x:c r="G690" s="74"/>
      <x:c r="H690" s="74"/>
      <x:c r="I690" s="74"/>
      <x:c r="J690" s="74"/>
      <x:c r="K690" s="74"/>
      <x:c r="L690" s="74"/>
      <x:c r="M690" s="91"/>
      <x:c r="N690" s="91"/>
      <x:c r="O690" s="85"/>
      <x:c r="Q690" s="86"/>
      <x:c r="R690" s="32"/>
    </x:row>
    <x:row r="691">
      <x:c r="A691" s="87"/>
      <x:c r="B691" s="88"/>
      <x:c r="D691" s="32"/>
      <x:c r="G691" s="74"/>
      <x:c r="H691" s="74"/>
      <x:c r="I691" s="74"/>
      <x:c r="J691" s="74"/>
      <x:c r="K691" s="74"/>
      <x:c r="L691" s="74"/>
      <x:c r="M691" s="91"/>
      <x:c r="N691" s="91"/>
      <x:c r="O691" s="85"/>
      <x:c r="Q691" s="86"/>
      <x:c r="R691" s="32"/>
    </x:row>
    <x:row r="692">
      <x:c r="A692" s="87"/>
      <x:c r="B692" s="88"/>
      <x:c r="D692" s="32"/>
      <x:c r="G692" s="74"/>
      <x:c r="H692" s="74"/>
      <x:c r="I692" s="74"/>
      <x:c r="J692" s="74"/>
      <x:c r="K692" s="74"/>
      <x:c r="L692" s="74"/>
      <x:c r="M692" s="91"/>
      <x:c r="N692" s="91"/>
      <x:c r="O692" s="85"/>
      <x:c r="Q692" s="86"/>
      <x:c r="R692" s="32"/>
    </x:row>
    <x:row r="693">
      <x:c r="A693" s="87"/>
      <x:c r="B693" s="88"/>
      <x:c r="D693" s="32"/>
      <x:c r="G693" s="74"/>
      <x:c r="H693" s="74"/>
      <x:c r="I693" s="74"/>
      <x:c r="J693" s="74"/>
      <x:c r="K693" s="74"/>
      <x:c r="L693" s="74"/>
      <x:c r="M693" s="91"/>
      <x:c r="N693" s="91"/>
      <x:c r="O693" s="85"/>
      <x:c r="Q693" s="86"/>
      <x:c r="R693" s="32"/>
    </x:row>
    <x:row r="694">
      <x:c r="A694" s="87"/>
      <x:c r="B694" s="88"/>
      <x:c r="D694" s="32"/>
      <x:c r="G694" s="74"/>
      <x:c r="H694" s="74"/>
      <x:c r="I694" s="74"/>
      <x:c r="J694" s="74"/>
      <x:c r="K694" s="74"/>
      <x:c r="L694" s="74"/>
      <x:c r="M694" s="91"/>
      <x:c r="N694" s="91"/>
      <x:c r="O694" s="85"/>
      <x:c r="Q694" s="86"/>
      <x:c r="R694" s="32"/>
    </x:row>
    <x:row r="695">
      <x:c r="A695" s="87"/>
      <x:c r="B695" s="88"/>
      <x:c r="D695" s="32"/>
      <x:c r="G695" s="74"/>
      <x:c r="H695" s="74"/>
      <x:c r="I695" s="74"/>
      <x:c r="J695" s="74"/>
      <x:c r="K695" s="74"/>
      <x:c r="L695" s="74"/>
      <x:c r="M695" s="91"/>
      <x:c r="N695" s="91"/>
      <x:c r="O695" s="85"/>
      <x:c r="Q695" s="86"/>
      <x:c r="R695" s="32"/>
    </x:row>
    <x:row r="696">
      <x:c r="A696" s="87"/>
      <x:c r="B696" s="88"/>
      <x:c r="D696" s="32"/>
      <x:c r="G696" s="74"/>
      <x:c r="H696" s="74"/>
      <x:c r="I696" s="74"/>
      <x:c r="J696" s="74"/>
      <x:c r="K696" s="74"/>
      <x:c r="L696" s="74"/>
      <x:c r="M696" s="91"/>
      <x:c r="N696" s="91"/>
      <x:c r="O696" s="85"/>
      <x:c r="Q696" s="86"/>
      <x:c r="R696" s="32"/>
    </x:row>
    <x:row r="697">
      <x:c r="A697" s="87"/>
      <x:c r="B697" s="88"/>
      <x:c r="D697" s="32"/>
      <x:c r="G697" s="74"/>
      <x:c r="H697" s="74"/>
      <x:c r="I697" s="74"/>
      <x:c r="J697" s="74"/>
      <x:c r="K697" s="74"/>
      <x:c r="L697" s="74"/>
      <x:c r="M697" s="91"/>
      <x:c r="N697" s="91"/>
      <x:c r="O697" s="85"/>
      <x:c r="Q697" s="86"/>
      <x:c r="R697" s="32"/>
    </x:row>
    <x:row r="698">
      <x:c r="A698" s="87"/>
      <x:c r="B698" s="88"/>
      <x:c r="D698" s="32"/>
      <x:c r="G698" s="74"/>
      <x:c r="H698" s="74"/>
      <x:c r="I698" s="74"/>
      <x:c r="J698" s="74"/>
      <x:c r="K698" s="74"/>
      <x:c r="L698" s="74"/>
      <x:c r="M698" s="91"/>
      <x:c r="N698" s="91"/>
      <x:c r="O698" s="85"/>
      <x:c r="Q698" s="86"/>
      <x:c r="R698" s="32"/>
    </x:row>
    <x:row r="699">
      <x:c r="A699" s="87"/>
      <x:c r="B699" s="88"/>
      <x:c r="D699" s="32"/>
      <x:c r="G699" s="74"/>
      <x:c r="H699" s="74"/>
      <x:c r="I699" s="74"/>
      <x:c r="J699" s="74"/>
      <x:c r="K699" s="74"/>
      <x:c r="L699" s="74"/>
      <x:c r="M699" s="91"/>
      <x:c r="N699" s="91"/>
      <x:c r="O699" s="85"/>
      <x:c r="Q699" s="86"/>
      <x:c r="R699" s="32"/>
    </x:row>
    <x:row r="700">
      <x:c r="A700" s="87"/>
      <x:c r="B700" s="88"/>
      <x:c r="D700" s="32"/>
      <x:c r="G700" s="74"/>
      <x:c r="H700" s="74"/>
      <x:c r="I700" s="74"/>
      <x:c r="J700" s="74"/>
      <x:c r="K700" s="74"/>
      <x:c r="L700" s="74"/>
      <x:c r="M700" s="91"/>
      <x:c r="N700" s="91"/>
      <x:c r="O700" s="85"/>
      <x:c r="Q700" s="86"/>
      <x:c r="R700" s="32"/>
    </x:row>
    <x:row r="701">
      <x:c r="A701" s="87"/>
      <x:c r="B701" s="88"/>
      <x:c r="D701" s="32"/>
      <x:c r="G701" s="74"/>
      <x:c r="H701" s="74"/>
      <x:c r="I701" s="74"/>
      <x:c r="J701" s="74"/>
      <x:c r="K701" s="74"/>
      <x:c r="L701" s="74"/>
      <x:c r="M701" s="91"/>
      <x:c r="N701" s="91"/>
      <x:c r="O701" s="85"/>
      <x:c r="Q701" s="86"/>
      <x:c r="R701" s="32"/>
    </x:row>
    <x:row r="702">
      <x:c r="A702" s="87"/>
      <x:c r="B702" s="88"/>
      <x:c r="D702" s="32"/>
      <x:c r="G702" s="74"/>
      <x:c r="H702" s="74"/>
      <x:c r="I702" s="74"/>
      <x:c r="J702" s="74"/>
      <x:c r="K702" s="74"/>
      <x:c r="L702" s="74"/>
      <x:c r="M702" s="91"/>
      <x:c r="N702" s="91"/>
      <x:c r="O702" s="85"/>
      <x:c r="Q702" s="86"/>
      <x:c r="R702" s="32"/>
    </x:row>
    <x:row r="703">
      <x:c r="A703" s="87"/>
      <x:c r="B703" s="88"/>
      <x:c r="D703" s="32"/>
      <x:c r="G703" s="74"/>
      <x:c r="H703" s="74"/>
      <x:c r="I703" s="74"/>
      <x:c r="J703" s="74"/>
      <x:c r="K703" s="74"/>
      <x:c r="L703" s="74"/>
      <x:c r="M703" s="91"/>
      <x:c r="N703" s="91"/>
      <x:c r="O703" s="85"/>
      <x:c r="Q703" s="86"/>
      <x:c r="R703" s="32"/>
    </x:row>
    <x:row r="704">
      <x:c r="A704" s="87"/>
      <x:c r="B704" s="88"/>
      <x:c r="D704" s="32"/>
      <x:c r="G704" s="74"/>
      <x:c r="H704" s="74"/>
      <x:c r="I704" s="74"/>
      <x:c r="J704" s="74"/>
      <x:c r="K704" s="74"/>
      <x:c r="L704" s="74"/>
      <x:c r="M704" s="91"/>
      <x:c r="N704" s="91"/>
      <x:c r="O704" s="85"/>
      <x:c r="Q704" s="86"/>
      <x:c r="R704" s="32"/>
    </x:row>
    <x:row r="705">
      <x:c r="A705" s="87"/>
      <x:c r="B705" s="88"/>
      <x:c r="D705" s="32"/>
      <x:c r="G705" s="74"/>
      <x:c r="H705" s="74"/>
      <x:c r="I705" s="74"/>
      <x:c r="J705" s="74"/>
      <x:c r="K705" s="74"/>
      <x:c r="L705" s="74"/>
      <x:c r="M705" s="91"/>
      <x:c r="N705" s="91"/>
      <x:c r="O705" s="85"/>
      <x:c r="Q705" s="86"/>
      <x:c r="R705" s="32"/>
    </x:row>
    <x:row r="706">
      <x:c r="A706" s="87"/>
      <x:c r="B706" s="88"/>
      <x:c r="D706" s="32"/>
      <x:c r="G706" s="74"/>
      <x:c r="H706" s="74"/>
      <x:c r="I706" s="74"/>
      <x:c r="J706" s="74"/>
      <x:c r="K706" s="74"/>
      <x:c r="L706" s="74"/>
      <x:c r="M706" s="91"/>
      <x:c r="N706" s="91"/>
      <x:c r="O706" s="85"/>
      <x:c r="Q706" s="86"/>
      <x:c r="R706" s="32"/>
    </x:row>
    <x:row r="707">
      <x:c r="A707" s="87"/>
      <x:c r="B707" s="88"/>
      <x:c r="D707" s="32"/>
      <x:c r="G707" s="74"/>
      <x:c r="H707" s="74"/>
      <x:c r="I707" s="74"/>
      <x:c r="J707" s="74"/>
      <x:c r="K707" s="74"/>
      <x:c r="L707" s="74"/>
      <x:c r="M707" s="91"/>
      <x:c r="N707" s="91"/>
      <x:c r="O707" s="85"/>
      <x:c r="Q707" s="86"/>
      <x:c r="R707" s="32"/>
    </x:row>
    <x:row r="708">
      <x:c r="A708" s="87"/>
      <x:c r="B708" s="88"/>
      <x:c r="D708" s="32"/>
      <x:c r="G708" s="74"/>
      <x:c r="H708" s="74"/>
      <x:c r="I708" s="74"/>
      <x:c r="J708" s="74"/>
      <x:c r="K708" s="74"/>
      <x:c r="L708" s="74"/>
      <x:c r="M708" s="91"/>
      <x:c r="N708" s="91"/>
      <x:c r="O708" s="85"/>
      <x:c r="Q708" s="86"/>
      <x:c r="R708" s="32"/>
    </x:row>
    <x:row r="709">
      <x:c r="A709" s="87"/>
      <x:c r="B709" s="88"/>
      <x:c r="D709" s="32"/>
      <x:c r="G709" s="74"/>
      <x:c r="H709" s="74"/>
      <x:c r="I709" s="74"/>
      <x:c r="J709" s="74"/>
      <x:c r="K709" s="74"/>
      <x:c r="L709" s="74"/>
      <x:c r="M709" s="91"/>
      <x:c r="N709" s="91"/>
      <x:c r="O709" s="85"/>
      <x:c r="Q709" s="86"/>
      <x:c r="R709" s="32"/>
    </x:row>
    <x:row r="710">
      <x:c r="A710" s="87"/>
      <x:c r="B710" s="88"/>
      <x:c r="D710" s="32"/>
      <x:c r="G710" s="74"/>
      <x:c r="H710" s="74"/>
      <x:c r="I710" s="74"/>
      <x:c r="J710" s="74"/>
      <x:c r="K710" s="74"/>
      <x:c r="L710" s="74"/>
      <x:c r="M710" s="91"/>
      <x:c r="N710" s="91"/>
      <x:c r="O710" s="85"/>
      <x:c r="Q710" s="86"/>
      <x:c r="R710" s="32"/>
    </x:row>
    <x:row r="711">
      <x:c r="A711" s="87"/>
      <x:c r="B711" s="88"/>
      <x:c r="D711" s="32"/>
      <x:c r="G711" s="74"/>
      <x:c r="H711" s="74"/>
      <x:c r="I711" s="74"/>
      <x:c r="J711" s="74"/>
      <x:c r="K711" s="74"/>
      <x:c r="L711" s="74"/>
      <x:c r="M711" s="91"/>
      <x:c r="N711" s="91"/>
      <x:c r="O711" s="85"/>
      <x:c r="Q711" s="86"/>
      <x:c r="R711" s="32"/>
    </x:row>
    <x:row r="712">
      <x:c r="A712" s="87"/>
      <x:c r="B712" s="88"/>
      <x:c r="D712" s="32"/>
      <x:c r="G712" s="74"/>
      <x:c r="H712" s="74"/>
      <x:c r="I712" s="74"/>
      <x:c r="J712" s="74"/>
      <x:c r="K712" s="74"/>
      <x:c r="L712" s="74"/>
      <x:c r="M712" s="91"/>
      <x:c r="N712" s="91"/>
      <x:c r="O712" s="85"/>
      <x:c r="Q712" s="86"/>
      <x:c r="R712" s="32"/>
    </x:row>
    <x:row r="713">
      <x:c r="A713" s="87"/>
      <x:c r="B713" s="88"/>
      <x:c r="D713" s="32"/>
      <x:c r="G713" s="74"/>
      <x:c r="H713" s="74"/>
      <x:c r="I713" s="74"/>
      <x:c r="J713" s="74"/>
      <x:c r="K713" s="74"/>
      <x:c r="L713" s="74"/>
      <x:c r="M713" s="91"/>
      <x:c r="N713" s="91"/>
      <x:c r="O713" s="85"/>
      <x:c r="Q713" s="86"/>
      <x:c r="R713" s="32"/>
    </x:row>
    <x:row r="714">
      <x:c r="A714" s="87"/>
      <x:c r="B714" s="88"/>
      <x:c r="D714" s="32"/>
      <x:c r="G714" s="74"/>
      <x:c r="H714" s="74"/>
      <x:c r="I714" s="74"/>
      <x:c r="J714" s="74"/>
      <x:c r="K714" s="74"/>
      <x:c r="L714" s="74"/>
      <x:c r="M714" s="91"/>
      <x:c r="N714" s="91"/>
      <x:c r="O714" s="85"/>
      <x:c r="Q714" s="86"/>
      <x:c r="R714" s="32"/>
    </x:row>
    <x:row r="715">
      <x:c r="A715" s="87"/>
      <x:c r="B715" s="88"/>
      <x:c r="D715" s="32"/>
      <x:c r="G715" s="74"/>
      <x:c r="H715" s="74"/>
      <x:c r="I715" s="74"/>
      <x:c r="J715" s="74"/>
      <x:c r="K715" s="74"/>
      <x:c r="L715" s="74"/>
      <x:c r="M715" s="91"/>
      <x:c r="N715" s="91"/>
      <x:c r="O715" s="85"/>
      <x:c r="Q715" s="86"/>
      <x:c r="R715" s="32"/>
    </x:row>
    <x:row r="716">
      <x:c r="A716" s="87"/>
      <x:c r="B716" s="88"/>
      <x:c r="D716" s="32"/>
      <x:c r="G716" s="74"/>
      <x:c r="H716" s="74"/>
      <x:c r="I716" s="74"/>
      <x:c r="J716" s="74"/>
      <x:c r="K716" s="74"/>
      <x:c r="L716" s="74"/>
      <x:c r="M716" s="91"/>
      <x:c r="N716" s="91"/>
      <x:c r="O716" s="85"/>
      <x:c r="Q716" s="86"/>
      <x:c r="R716" s="32"/>
    </x:row>
    <x:row r="717">
      <x:c r="A717" s="87"/>
      <x:c r="B717" s="88"/>
      <x:c r="D717" s="32"/>
      <x:c r="G717" s="74"/>
      <x:c r="H717" s="74"/>
      <x:c r="I717" s="74"/>
      <x:c r="J717" s="74"/>
      <x:c r="K717" s="74"/>
      <x:c r="L717" s="74"/>
      <x:c r="M717" s="91"/>
      <x:c r="N717" s="91"/>
      <x:c r="O717" s="85"/>
      <x:c r="Q717" s="86"/>
      <x:c r="R717" s="32"/>
    </x:row>
    <x:row r="718">
      <x:c r="A718" s="87"/>
      <x:c r="B718" s="88"/>
      <x:c r="D718" s="32"/>
      <x:c r="G718" s="74"/>
      <x:c r="H718" s="74"/>
      <x:c r="I718" s="74"/>
      <x:c r="J718" s="74"/>
      <x:c r="K718" s="74"/>
      <x:c r="L718" s="74"/>
      <x:c r="M718" s="91"/>
      <x:c r="N718" s="91"/>
      <x:c r="O718" s="85"/>
      <x:c r="Q718" s="86"/>
      <x:c r="R718" s="32"/>
    </x:row>
    <x:row r="719">
      <x:c r="A719" s="87"/>
      <x:c r="B719" s="88"/>
      <x:c r="D719" s="32"/>
      <x:c r="G719" s="74"/>
      <x:c r="H719" s="74"/>
      <x:c r="I719" s="74"/>
      <x:c r="J719" s="74"/>
      <x:c r="K719" s="74"/>
      <x:c r="L719" s="74"/>
      <x:c r="M719" s="91"/>
      <x:c r="N719" s="91"/>
      <x:c r="O719" s="85"/>
      <x:c r="Q719" s="86"/>
      <x:c r="R719" s="32"/>
    </x:row>
    <x:row r="720">
      <x:c r="A720" s="87"/>
      <x:c r="B720" s="88"/>
      <x:c r="D720" s="32"/>
      <x:c r="G720" s="74"/>
      <x:c r="H720" s="74"/>
      <x:c r="I720" s="74"/>
      <x:c r="J720" s="74"/>
      <x:c r="K720" s="74"/>
      <x:c r="L720" s="74"/>
      <x:c r="M720" s="91"/>
      <x:c r="N720" s="91"/>
      <x:c r="O720" s="85"/>
      <x:c r="Q720" s="86"/>
      <x:c r="R720" s="32"/>
    </x:row>
    <x:row r="721">
      <x:c r="A721" s="87"/>
      <x:c r="B721" s="88"/>
      <x:c r="D721" s="32"/>
      <x:c r="G721" s="74"/>
      <x:c r="H721" s="74"/>
      <x:c r="I721" s="74"/>
      <x:c r="J721" s="74"/>
      <x:c r="K721" s="74"/>
      <x:c r="L721" s="74"/>
      <x:c r="M721" s="91"/>
      <x:c r="N721" s="91"/>
      <x:c r="O721" s="85"/>
      <x:c r="Q721" s="86"/>
      <x:c r="R721" s="32"/>
    </x:row>
    <x:row r="722">
      <x:c r="A722" s="87"/>
      <x:c r="B722" s="88"/>
      <x:c r="D722" s="32"/>
      <x:c r="G722" s="74"/>
      <x:c r="H722" s="74"/>
      <x:c r="I722" s="74"/>
      <x:c r="J722" s="74"/>
      <x:c r="K722" s="74"/>
      <x:c r="L722" s="74"/>
      <x:c r="M722" s="91"/>
      <x:c r="N722" s="91"/>
      <x:c r="O722" s="85"/>
      <x:c r="Q722" s="86"/>
      <x:c r="R722" s="32"/>
    </x:row>
    <x:row r="723">
      <x:c r="A723" s="87"/>
      <x:c r="B723" s="88"/>
      <x:c r="D723" s="32"/>
      <x:c r="G723" s="74"/>
      <x:c r="H723" s="74"/>
      <x:c r="I723" s="74"/>
      <x:c r="J723" s="74"/>
      <x:c r="K723" s="74"/>
      <x:c r="L723" s="74"/>
      <x:c r="M723" s="91"/>
      <x:c r="N723" s="91"/>
      <x:c r="O723" s="85"/>
      <x:c r="Q723" s="86"/>
      <x:c r="R723" s="32"/>
    </x:row>
    <x:row r="724">
      <x:c r="A724" s="87"/>
      <x:c r="B724" s="88"/>
      <x:c r="D724" s="32"/>
      <x:c r="G724" s="74"/>
      <x:c r="H724" s="74"/>
      <x:c r="I724" s="74"/>
      <x:c r="J724" s="74"/>
      <x:c r="K724" s="74"/>
      <x:c r="L724" s="74"/>
      <x:c r="M724" s="91"/>
      <x:c r="N724" s="91"/>
      <x:c r="O724" s="85"/>
      <x:c r="Q724" s="86"/>
      <x:c r="R724" s="32"/>
    </x:row>
    <x:row r="725">
      <x:c r="A725" s="87"/>
      <x:c r="B725" s="88"/>
      <x:c r="D725" s="32"/>
      <x:c r="G725" s="74"/>
      <x:c r="H725" s="74"/>
      <x:c r="I725" s="74"/>
      <x:c r="J725" s="74"/>
      <x:c r="K725" s="74"/>
      <x:c r="L725" s="74"/>
      <x:c r="M725" s="91"/>
      <x:c r="N725" s="91"/>
      <x:c r="O725" s="85"/>
      <x:c r="Q725" s="86"/>
      <x:c r="R725" s="32"/>
    </x:row>
    <x:row r="726">
      <x:c r="A726" s="87"/>
      <x:c r="B726" s="88"/>
      <x:c r="D726" s="32"/>
      <x:c r="G726" s="74"/>
      <x:c r="H726" s="74"/>
      <x:c r="I726" s="74"/>
      <x:c r="J726" s="74"/>
      <x:c r="K726" s="74"/>
      <x:c r="L726" s="74"/>
      <x:c r="M726" s="91"/>
      <x:c r="N726" s="91"/>
      <x:c r="O726" s="85"/>
      <x:c r="Q726" s="86"/>
      <x:c r="R726" s="32"/>
    </x:row>
    <x:row r="727">
      <x:c r="A727" s="87"/>
      <x:c r="B727" s="88"/>
      <x:c r="D727" s="32"/>
      <x:c r="G727" s="74"/>
      <x:c r="H727" s="74"/>
      <x:c r="I727" s="74"/>
      <x:c r="J727" s="74"/>
      <x:c r="K727" s="74"/>
      <x:c r="L727" s="74"/>
      <x:c r="M727" s="91"/>
      <x:c r="N727" s="91"/>
      <x:c r="O727" s="85"/>
      <x:c r="Q727" s="86"/>
      <x:c r="R727" s="32"/>
    </x:row>
    <x:row r="728">
      <x:c r="A728" s="87"/>
      <x:c r="B728" s="88"/>
      <x:c r="D728" s="32"/>
      <x:c r="G728" s="74"/>
      <x:c r="H728" s="74"/>
      <x:c r="I728" s="74"/>
      <x:c r="J728" s="74"/>
      <x:c r="K728" s="74"/>
      <x:c r="L728" s="74"/>
      <x:c r="M728" s="91"/>
      <x:c r="N728" s="91"/>
      <x:c r="O728" s="85"/>
      <x:c r="Q728" s="86"/>
      <x:c r="R728" s="32"/>
    </x:row>
    <x:row r="729">
      <x:c r="A729" s="87"/>
      <x:c r="B729" s="88"/>
      <x:c r="D729" s="32"/>
      <x:c r="G729" s="74"/>
      <x:c r="H729" s="74"/>
      <x:c r="I729" s="74"/>
      <x:c r="J729" s="74"/>
      <x:c r="K729" s="74"/>
      <x:c r="L729" s="74"/>
      <x:c r="M729" s="91"/>
      <x:c r="N729" s="91"/>
      <x:c r="O729" s="85"/>
      <x:c r="Q729" s="86"/>
      <x:c r="R729" s="32"/>
    </x:row>
    <x:row r="730">
      <x:c r="A730" s="87"/>
      <x:c r="B730" s="88"/>
      <x:c r="D730" s="32"/>
      <x:c r="G730" s="74"/>
      <x:c r="H730" s="74"/>
      <x:c r="I730" s="74"/>
      <x:c r="J730" s="74"/>
      <x:c r="K730" s="74"/>
      <x:c r="L730" s="74"/>
      <x:c r="M730" s="91"/>
      <x:c r="N730" s="91"/>
      <x:c r="O730" s="85"/>
      <x:c r="Q730" s="86"/>
      <x:c r="R730" s="32"/>
    </x:row>
    <x:row r="731">
      <x:c r="A731" s="87"/>
      <x:c r="B731" s="88"/>
      <x:c r="D731" s="32"/>
      <x:c r="G731" s="74"/>
      <x:c r="H731" s="74"/>
      <x:c r="I731" s="74"/>
      <x:c r="J731" s="74"/>
      <x:c r="K731" s="74"/>
      <x:c r="L731" s="74"/>
      <x:c r="M731" s="91"/>
      <x:c r="N731" s="91"/>
      <x:c r="O731" s="85"/>
      <x:c r="Q731" s="86"/>
      <x:c r="R731" s="32"/>
    </x:row>
    <x:row r="732">
      <x:c r="A732" s="87"/>
      <x:c r="B732" s="88"/>
      <x:c r="D732" s="32"/>
      <x:c r="G732" s="74"/>
      <x:c r="H732" s="74"/>
      <x:c r="I732" s="74"/>
      <x:c r="J732" s="74"/>
      <x:c r="K732" s="74"/>
      <x:c r="L732" s="74"/>
      <x:c r="M732" s="91"/>
      <x:c r="N732" s="91"/>
      <x:c r="O732" s="85"/>
      <x:c r="Q732" s="86"/>
      <x:c r="R732" s="32"/>
    </x:row>
    <x:row r="733">
      <x:c r="A733" s="87"/>
      <x:c r="B733" s="88"/>
      <x:c r="D733" s="32"/>
      <x:c r="G733" s="74"/>
      <x:c r="H733" s="74"/>
      <x:c r="I733" s="74"/>
      <x:c r="J733" s="74"/>
      <x:c r="K733" s="74"/>
      <x:c r="L733" s="74"/>
      <x:c r="M733" s="91"/>
      <x:c r="N733" s="91"/>
      <x:c r="O733" s="85"/>
      <x:c r="Q733" s="86"/>
      <x:c r="R733" s="32"/>
    </x:row>
    <x:row r="734">
      <x:c r="A734" s="87"/>
      <x:c r="B734" s="88"/>
      <x:c r="D734" s="32"/>
      <x:c r="G734" s="74"/>
      <x:c r="H734" s="74"/>
      <x:c r="I734" s="74"/>
      <x:c r="J734" s="74"/>
      <x:c r="K734" s="74"/>
      <x:c r="L734" s="74"/>
      <x:c r="M734" s="91"/>
      <x:c r="N734" s="91"/>
      <x:c r="O734" s="85"/>
      <x:c r="Q734" s="86"/>
      <x:c r="R734" s="32"/>
    </x:row>
    <x:row r="735">
      <x:c r="A735" s="87"/>
      <x:c r="B735" s="88"/>
      <x:c r="D735" s="32"/>
      <x:c r="G735" s="74"/>
      <x:c r="H735" s="74"/>
      <x:c r="I735" s="74"/>
      <x:c r="J735" s="74"/>
      <x:c r="K735" s="74"/>
      <x:c r="L735" s="74"/>
      <x:c r="M735" s="91"/>
      <x:c r="N735" s="91"/>
      <x:c r="O735" s="85"/>
      <x:c r="Q735" s="86"/>
      <x:c r="R735" s="32"/>
    </x:row>
    <x:row r="736">
      <x:c r="A736" s="87"/>
      <x:c r="B736" s="88"/>
      <x:c r="D736" s="32"/>
      <x:c r="G736" s="74"/>
      <x:c r="H736" s="74"/>
      <x:c r="I736" s="74"/>
      <x:c r="J736" s="74"/>
      <x:c r="K736" s="74"/>
      <x:c r="L736" s="74"/>
      <x:c r="M736" s="91"/>
      <x:c r="N736" s="91"/>
      <x:c r="O736" s="85"/>
      <x:c r="Q736" s="86"/>
      <x:c r="R736" s="32"/>
    </x:row>
    <x:row r="737">
      <x:c r="A737" s="87"/>
      <x:c r="B737" s="88"/>
      <x:c r="D737" s="32"/>
      <x:c r="G737" s="74"/>
      <x:c r="H737" s="74"/>
      <x:c r="I737" s="74"/>
      <x:c r="J737" s="74"/>
      <x:c r="K737" s="74"/>
      <x:c r="L737" s="74"/>
      <x:c r="M737" s="91"/>
      <x:c r="N737" s="91"/>
      <x:c r="O737" s="85"/>
      <x:c r="Q737" s="86"/>
      <x:c r="R737" s="32"/>
    </x:row>
    <x:row r="738">
      <x:c r="A738" s="87"/>
      <x:c r="B738" s="88"/>
      <x:c r="D738" s="32"/>
      <x:c r="G738" s="74"/>
      <x:c r="H738" s="74"/>
      <x:c r="I738" s="74"/>
      <x:c r="J738" s="74"/>
      <x:c r="K738" s="74"/>
      <x:c r="L738" s="74"/>
      <x:c r="M738" s="91"/>
      <x:c r="N738" s="91"/>
      <x:c r="O738" s="85"/>
      <x:c r="Q738" s="86"/>
      <x:c r="R738" s="32"/>
    </x:row>
    <x:row r="739">
      <x:c r="A739" s="87"/>
      <x:c r="B739" s="88"/>
      <x:c r="D739" s="32"/>
      <x:c r="G739" s="74"/>
      <x:c r="H739" s="74"/>
      <x:c r="I739" s="74"/>
      <x:c r="J739" s="74"/>
      <x:c r="K739" s="74"/>
      <x:c r="L739" s="74"/>
      <x:c r="M739" s="91"/>
      <x:c r="N739" s="91"/>
      <x:c r="O739" s="85"/>
      <x:c r="Q739" s="86"/>
      <x:c r="R739" s="32"/>
    </x:row>
    <x:row r="740">
      <x:c r="A740" s="87"/>
      <x:c r="B740" s="88"/>
      <x:c r="D740" s="32"/>
      <x:c r="G740" s="74"/>
      <x:c r="H740" s="74"/>
      <x:c r="I740" s="74"/>
      <x:c r="J740" s="74"/>
      <x:c r="K740" s="74"/>
      <x:c r="L740" s="74"/>
      <x:c r="M740" s="91"/>
      <x:c r="N740" s="91"/>
      <x:c r="O740" s="85"/>
      <x:c r="Q740" s="86"/>
      <x:c r="R740" s="32"/>
    </x:row>
    <x:row r="741">
      <x:c r="A741" s="87"/>
      <x:c r="B741" s="88"/>
      <x:c r="D741" s="32"/>
      <x:c r="G741" s="74"/>
      <x:c r="H741" s="74"/>
      <x:c r="I741" s="74"/>
      <x:c r="J741" s="74"/>
      <x:c r="K741" s="74"/>
      <x:c r="L741" s="74"/>
      <x:c r="M741" s="91"/>
      <x:c r="N741" s="91"/>
      <x:c r="O741" s="85"/>
      <x:c r="Q741" s="86"/>
      <x:c r="R741" s="32"/>
    </x:row>
    <x:row r="742">
      <x:c r="A742" s="87"/>
      <x:c r="B742" s="88"/>
      <x:c r="D742" s="32"/>
      <x:c r="G742" s="74"/>
      <x:c r="H742" s="74"/>
      <x:c r="I742" s="74"/>
      <x:c r="J742" s="74"/>
      <x:c r="K742" s="74"/>
      <x:c r="L742" s="74"/>
      <x:c r="M742" s="91"/>
      <x:c r="N742" s="91"/>
      <x:c r="O742" s="85"/>
      <x:c r="Q742" s="86"/>
      <x:c r="R742" s="32"/>
    </x:row>
    <x:row r="743">
      <x:c r="A743" s="87"/>
      <x:c r="B743" s="88"/>
      <x:c r="D743" s="32"/>
      <x:c r="G743" s="74"/>
      <x:c r="H743" s="74"/>
      <x:c r="I743" s="74"/>
      <x:c r="J743" s="74"/>
      <x:c r="K743" s="74"/>
      <x:c r="L743" s="74"/>
      <x:c r="M743" s="91"/>
      <x:c r="N743" s="91"/>
      <x:c r="O743" s="85"/>
      <x:c r="Q743" s="86"/>
      <x:c r="R743" s="32"/>
    </x:row>
    <x:row r="744">
      <x:c r="A744" s="87"/>
      <x:c r="B744" s="88"/>
      <x:c r="D744" s="32"/>
      <x:c r="G744" s="74"/>
      <x:c r="H744" s="74"/>
      <x:c r="I744" s="74"/>
      <x:c r="J744" s="74"/>
      <x:c r="K744" s="74"/>
      <x:c r="L744" s="74"/>
      <x:c r="M744" s="91"/>
      <x:c r="N744" s="91"/>
      <x:c r="O744" s="85"/>
      <x:c r="Q744" s="86"/>
      <x:c r="R744" s="32"/>
    </x:row>
    <x:row r="745">
      <x:c r="A745" s="87"/>
      <x:c r="B745" s="88"/>
      <x:c r="D745" s="32"/>
      <x:c r="G745" s="74"/>
      <x:c r="H745" s="74"/>
      <x:c r="I745" s="74"/>
      <x:c r="J745" s="74"/>
      <x:c r="K745" s="74"/>
      <x:c r="L745" s="74"/>
      <x:c r="M745" s="91"/>
      <x:c r="N745" s="91"/>
      <x:c r="O745" s="85"/>
      <x:c r="Q745" s="86"/>
      <x:c r="R745" s="32"/>
    </x:row>
    <x:row r="746">
      <x:c r="A746" s="87"/>
      <x:c r="B746" s="88"/>
      <x:c r="D746" s="32"/>
      <x:c r="G746" s="74"/>
      <x:c r="H746" s="74"/>
      <x:c r="I746" s="74"/>
      <x:c r="J746" s="74"/>
      <x:c r="K746" s="74"/>
      <x:c r="L746" s="74"/>
      <x:c r="M746" s="91"/>
      <x:c r="N746" s="91"/>
      <x:c r="O746" s="85"/>
      <x:c r="Q746" s="86"/>
      <x:c r="R746" s="32"/>
    </x:row>
    <x:row r="747">
      <x:c r="A747" s="87"/>
      <x:c r="B747" s="88"/>
      <x:c r="D747" s="32"/>
      <x:c r="G747" s="74"/>
      <x:c r="H747" s="74"/>
      <x:c r="I747" s="74"/>
      <x:c r="J747" s="74"/>
      <x:c r="K747" s="74"/>
      <x:c r="L747" s="74"/>
      <x:c r="M747" s="91"/>
      <x:c r="N747" s="91"/>
      <x:c r="O747" s="85"/>
      <x:c r="Q747" s="86"/>
      <x:c r="R747" s="32"/>
    </x:row>
    <x:row r="748">
      <x:c r="A748" s="87"/>
      <x:c r="B748" s="88"/>
      <x:c r="D748" s="32"/>
      <x:c r="G748" s="74"/>
      <x:c r="H748" s="74"/>
      <x:c r="I748" s="74"/>
      <x:c r="J748" s="74"/>
      <x:c r="K748" s="74"/>
      <x:c r="L748" s="74"/>
      <x:c r="M748" s="91"/>
      <x:c r="N748" s="91"/>
      <x:c r="O748" s="85"/>
      <x:c r="Q748" s="86"/>
      <x:c r="R748" s="32"/>
    </x:row>
    <x:row r="749">
      <x:c r="A749" s="87"/>
      <x:c r="B749" s="88"/>
      <x:c r="D749" s="32"/>
      <x:c r="G749" s="74"/>
      <x:c r="H749" s="74"/>
      <x:c r="I749" s="74"/>
      <x:c r="J749" s="74"/>
      <x:c r="K749" s="74"/>
      <x:c r="L749" s="74"/>
      <x:c r="M749" s="91"/>
      <x:c r="N749" s="91"/>
      <x:c r="O749" s="85"/>
      <x:c r="Q749" s="86"/>
      <x:c r="R749" s="32"/>
    </x:row>
    <x:row r="750">
      <x:c r="A750" s="87"/>
      <x:c r="B750" s="88"/>
      <x:c r="D750" s="32"/>
      <x:c r="G750" s="74"/>
      <x:c r="H750" s="74"/>
      <x:c r="I750" s="74"/>
      <x:c r="J750" s="74"/>
      <x:c r="K750" s="74"/>
      <x:c r="L750" s="74"/>
      <x:c r="M750" s="91"/>
      <x:c r="N750" s="91"/>
      <x:c r="O750" s="85"/>
      <x:c r="Q750" s="86"/>
      <x:c r="R750" s="32"/>
    </x:row>
    <x:row r="751">
      <x:c r="A751" s="87"/>
      <x:c r="B751" s="88"/>
      <x:c r="D751" s="32"/>
      <x:c r="G751" s="74"/>
      <x:c r="H751" s="74"/>
      <x:c r="I751" s="74"/>
      <x:c r="J751" s="74"/>
      <x:c r="K751" s="74"/>
      <x:c r="L751" s="74"/>
      <x:c r="M751" s="91"/>
      <x:c r="N751" s="91"/>
      <x:c r="O751" s="85"/>
      <x:c r="Q751" s="86"/>
      <x:c r="R751" s="32"/>
    </x:row>
    <x:row r="752">
      <x:c r="A752" s="87"/>
      <x:c r="B752" s="88"/>
      <x:c r="D752" s="32"/>
      <x:c r="G752" s="74"/>
      <x:c r="H752" s="74"/>
      <x:c r="I752" s="74"/>
      <x:c r="J752" s="74"/>
      <x:c r="K752" s="74"/>
      <x:c r="L752" s="74"/>
      <x:c r="M752" s="91"/>
      <x:c r="N752" s="91"/>
      <x:c r="O752" s="85"/>
      <x:c r="Q752" s="86"/>
      <x:c r="R752" s="32"/>
    </x:row>
    <x:row r="753">
      <x:c r="A753" s="87"/>
      <x:c r="B753" s="88"/>
      <x:c r="D753" s="32"/>
      <x:c r="G753" s="74"/>
      <x:c r="H753" s="74"/>
      <x:c r="I753" s="74"/>
      <x:c r="J753" s="74"/>
      <x:c r="K753" s="74"/>
      <x:c r="L753" s="74"/>
      <x:c r="M753" s="91"/>
      <x:c r="N753" s="91"/>
      <x:c r="O753" s="85"/>
      <x:c r="Q753" s="86"/>
      <x:c r="R753" s="32"/>
    </x:row>
    <x:row r="754">
      <x:c r="A754" s="87"/>
      <x:c r="B754" s="88"/>
      <x:c r="D754" s="32"/>
      <x:c r="G754" s="74"/>
      <x:c r="H754" s="74"/>
      <x:c r="I754" s="74"/>
      <x:c r="J754" s="74"/>
      <x:c r="K754" s="74"/>
      <x:c r="L754" s="74"/>
      <x:c r="M754" s="91"/>
      <x:c r="N754" s="91"/>
      <x:c r="O754" s="85"/>
      <x:c r="Q754" s="86"/>
      <x:c r="R754" s="32"/>
    </x:row>
    <x:row r="755">
      <x:c r="A755" s="87"/>
      <x:c r="B755" s="88"/>
      <x:c r="D755" s="32"/>
      <x:c r="G755" s="74"/>
      <x:c r="H755" s="74"/>
      <x:c r="I755" s="74"/>
      <x:c r="J755" s="74"/>
      <x:c r="K755" s="74"/>
      <x:c r="L755" s="74"/>
      <x:c r="M755" s="91"/>
      <x:c r="N755" s="91"/>
      <x:c r="O755" s="85"/>
      <x:c r="Q755" s="86"/>
      <x:c r="R755" s="32"/>
    </x:row>
    <x:row r="756">
      <x:c r="A756" s="87"/>
      <x:c r="B756" s="88"/>
      <x:c r="D756" s="32"/>
      <x:c r="G756" s="74"/>
      <x:c r="H756" s="74"/>
      <x:c r="I756" s="74"/>
      <x:c r="J756" s="74"/>
      <x:c r="K756" s="74"/>
      <x:c r="L756" s="74"/>
      <x:c r="M756" s="91"/>
      <x:c r="N756" s="91"/>
      <x:c r="O756" s="85"/>
      <x:c r="Q756" s="86"/>
      <x:c r="R756" s="32"/>
    </x:row>
    <x:row r="757">
      <x:c r="A757" s="87"/>
      <x:c r="B757" s="88"/>
      <x:c r="D757" s="32"/>
      <x:c r="G757" s="74"/>
      <x:c r="H757" s="74"/>
      <x:c r="I757" s="74"/>
      <x:c r="J757" s="74"/>
      <x:c r="K757" s="74"/>
      <x:c r="L757" s="74"/>
      <x:c r="M757" s="91"/>
      <x:c r="N757" s="91"/>
      <x:c r="O757" s="85"/>
      <x:c r="Q757" s="86"/>
      <x:c r="R757" s="32"/>
    </x:row>
    <x:row r="758">
      <x:c r="A758" s="87"/>
      <x:c r="B758" s="88"/>
      <x:c r="D758" s="32"/>
      <x:c r="G758" s="74"/>
      <x:c r="H758" s="74"/>
      <x:c r="I758" s="74"/>
      <x:c r="J758" s="74"/>
      <x:c r="K758" s="74"/>
      <x:c r="L758" s="74"/>
      <x:c r="M758" s="91"/>
      <x:c r="N758" s="91"/>
      <x:c r="O758" s="85"/>
      <x:c r="Q758" s="86"/>
      <x:c r="R758" s="32"/>
    </x:row>
    <x:row r="759">
      <x:c r="A759" s="87"/>
      <x:c r="B759" s="88"/>
      <x:c r="D759" s="32"/>
      <x:c r="G759" s="74"/>
      <x:c r="H759" s="74"/>
      <x:c r="I759" s="74"/>
      <x:c r="J759" s="74"/>
      <x:c r="K759" s="74"/>
      <x:c r="L759" s="74"/>
      <x:c r="M759" s="91"/>
      <x:c r="N759" s="91"/>
      <x:c r="O759" s="85"/>
      <x:c r="Q759" s="86"/>
      <x:c r="R759" s="32"/>
    </x:row>
    <x:row r="760">
      <x:c r="A760" s="87"/>
      <x:c r="B760" s="88"/>
      <x:c r="D760" s="32"/>
      <x:c r="G760" s="74"/>
      <x:c r="H760" s="74"/>
      <x:c r="I760" s="74"/>
      <x:c r="J760" s="74"/>
      <x:c r="K760" s="74"/>
      <x:c r="L760" s="74"/>
      <x:c r="M760" s="91"/>
      <x:c r="N760" s="91"/>
      <x:c r="O760" s="85"/>
      <x:c r="Q760" s="86"/>
      <x:c r="R760" s="32"/>
    </x:row>
    <x:row r="761">
      <x:c r="A761" s="87"/>
      <x:c r="B761" s="88"/>
      <x:c r="D761" s="32"/>
      <x:c r="G761" s="74"/>
      <x:c r="H761" s="74"/>
      <x:c r="I761" s="74"/>
      <x:c r="J761" s="74"/>
      <x:c r="K761" s="74"/>
      <x:c r="L761" s="74"/>
      <x:c r="M761" s="91"/>
      <x:c r="N761" s="91"/>
      <x:c r="O761" s="85"/>
      <x:c r="Q761" s="86"/>
      <x:c r="R761" s="32"/>
    </x:row>
    <x:row r="762">
      <x:c r="A762" s="87"/>
      <x:c r="B762" s="88"/>
      <x:c r="D762" s="32"/>
      <x:c r="G762" s="74"/>
      <x:c r="H762" s="74"/>
      <x:c r="I762" s="74"/>
      <x:c r="J762" s="74"/>
      <x:c r="K762" s="74"/>
      <x:c r="L762" s="74"/>
      <x:c r="M762" s="91"/>
      <x:c r="N762" s="91"/>
      <x:c r="O762" s="85"/>
      <x:c r="Q762" s="86"/>
      <x:c r="R762" s="32"/>
    </x:row>
    <x:row r="763">
      <x:c r="A763" s="87"/>
      <x:c r="B763" s="88"/>
      <x:c r="D763" s="32"/>
      <x:c r="G763" s="74"/>
      <x:c r="H763" s="74"/>
      <x:c r="I763" s="74"/>
      <x:c r="J763" s="74"/>
      <x:c r="K763" s="74"/>
      <x:c r="L763" s="74"/>
      <x:c r="M763" s="91"/>
      <x:c r="N763" s="91"/>
      <x:c r="O763" s="85"/>
      <x:c r="Q763" s="86"/>
      <x:c r="R763" s="32"/>
    </x:row>
    <x:row r="764">
      <x:c r="A764" s="87"/>
      <x:c r="B764" s="88"/>
      <x:c r="D764" s="32"/>
      <x:c r="G764" s="74"/>
      <x:c r="H764" s="74"/>
      <x:c r="I764" s="74"/>
      <x:c r="J764" s="74"/>
      <x:c r="K764" s="74"/>
      <x:c r="L764" s="74"/>
      <x:c r="M764" s="91"/>
      <x:c r="N764" s="91"/>
      <x:c r="O764" s="85"/>
      <x:c r="Q764" s="86"/>
      <x:c r="R764" s="32"/>
    </x:row>
    <x:row r="765">
      <x:c r="A765" s="87"/>
      <x:c r="B765" s="88"/>
      <x:c r="D765" s="32"/>
      <x:c r="G765" s="74"/>
      <x:c r="H765" s="74"/>
      <x:c r="I765" s="74"/>
      <x:c r="J765" s="74"/>
      <x:c r="K765" s="74"/>
      <x:c r="L765" s="74"/>
      <x:c r="M765" s="91"/>
      <x:c r="N765" s="91"/>
      <x:c r="O765" s="85"/>
      <x:c r="Q765" s="86"/>
      <x:c r="R765" s="32"/>
    </x:row>
    <x:row r="766">
      <x:c r="A766" s="87"/>
      <x:c r="B766" s="88"/>
      <x:c r="D766" s="32"/>
      <x:c r="G766" s="74"/>
      <x:c r="H766" s="74"/>
      <x:c r="I766" s="74"/>
      <x:c r="J766" s="74"/>
      <x:c r="K766" s="74"/>
      <x:c r="L766" s="74"/>
      <x:c r="M766" s="91"/>
      <x:c r="N766" s="91"/>
      <x:c r="O766" s="85"/>
      <x:c r="Q766" s="86"/>
      <x:c r="R766" s="32"/>
    </x:row>
    <x:row r="767">
      <x:c r="A767" s="87"/>
      <x:c r="B767" s="88"/>
      <x:c r="D767" s="32"/>
      <x:c r="G767" s="74"/>
      <x:c r="H767" s="74"/>
      <x:c r="I767" s="74"/>
      <x:c r="J767" s="74"/>
      <x:c r="K767" s="74"/>
      <x:c r="L767" s="74"/>
      <x:c r="M767" s="91"/>
      <x:c r="N767" s="91"/>
      <x:c r="O767" s="85"/>
      <x:c r="Q767" s="86"/>
      <x:c r="R767" s="32"/>
    </x:row>
    <x:row r="768">
      <x:c r="A768" s="87"/>
      <x:c r="B768" s="88"/>
      <x:c r="D768" s="32"/>
      <x:c r="G768" s="74"/>
      <x:c r="H768" s="74"/>
      <x:c r="I768" s="74"/>
      <x:c r="J768" s="74"/>
      <x:c r="K768" s="74"/>
      <x:c r="L768" s="74"/>
      <x:c r="M768" s="91"/>
      <x:c r="N768" s="91"/>
      <x:c r="O768" s="85"/>
      <x:c r="Q768" s="86"/>
      <x:c r="R768" s="32"/>
    </x:row>
    <x:row r="769">
      <x:c r="A769" s="87"/>
      <x:c r="B769" s="88"/>
      <x:c r="D769" s="32"/>
      <x:c r="G769" s="74"/>
      <x:c r="H769" s="74"/>
      <x:c r="I769" s="74"/>
      <x:c r="J769" s="74"/>
      <x:c r="K769" s="74"/>
      <x:c r="L769" s="74"/>
      <x:c r="M769" s="91"/>
      <x:c r="N769" s="91"/>
      <x:c r="O769" s="85"/>
      <x:c r="Q769" s="86"/>
      <x:c r="R769" s="32"/>
    </x:row>
    <x:row r="770">
      <x:c r="A770" s="87"/>
      <x:c r="B770" s="88"/>
      <x:c r="D770" s="32"/>
      <x:c r="G770" s="74"/>
      <x:c r="H770" s="74"/>
      <x:c r="I770" s="74"/>
      <x:c r="J770" s="74"/>
      <x:c r="K770" s="74"/>
      <x:c r="L770" s="74"/>
      <x:c r="M770" s="91"/>
      <x:c r="N770" s="91"/>
      <x:c r="O770" s="85"/>
      <x:c r="Q770" s="86"/>
      <x:c r="R770" s="32"/>
    </x:row>
    <x:row r="771">
      <x:c r="A771" s="87"/>
      <x:c r="B771" s="88"/>
      <x:c r="D771" s="32"/>
      <x:c r="G771" s="74"/>
      <x:c r="H771" s="74"/>
      <x:c r="I771" s="74"/>
      <x:c r="J771" s="74"/>
      <x:c r="K771" s="74"/>
      <x:c r="L771" s="74"/>
      <x:c r="M771" s="91"/>
      <x:c r="N771" s="91"/>
      <x:c r="O771" s="85"/>
      <x:c r="Q771" s="86"/>
      <x:c r="R771" s="32"/>
    </x:row>
    <x:row r="772">
      <x:c r="A772" s="87"/>
      <x:c r="B772" s="88"/>
      <x:c r="D772" s="32"/>
      <x:c r="G772" s="74"/>
      <x:c r="H772" s="74"/>
      <x:c r="I772" s="74"/>
      <x:c r="J772" s="74"/>
      <x:c r="K772" s="74"/>
      <x:c r="L772" s="74"/>
      <x:c r="M772" s="91"/>
      <x:c r="N772" s="91"/>
      <x:c r="O772" s="85"/>
      <x:c r="Q772" s="86"/>
      <x:c r="R772" s="32"/>
    </x:row>
    <x:row r="773">
      <x:c r="A773" s="87"/>
      <x:c r="B773" s="88"/>
      <x:c r="D773" s="32"/>
      <x:c r="G773" s="74"/>
      <x:c r="H773" s="74"/>
      <x:c r="I773" s="74"/>
      <x:c r="J773" s="74"/>
      <x:c r="K773" s="74"/>
      <x:c r="L773" s="74"/>
      <x:c r="M773" s="91"/>
      <x:c r="N773" s="91"/>
      <x:c r="O773" s="85"/>
      <x:c r="Q773" s="86"/>
      <x:c r="R773" s="32"/>
    </x:row>
    <x:row r="774">
      <x:c r="A774" s="87"/>
      <x:c r="B774" s="88"/>
      <x:c r="D774" s="32"/>
      <x:c r="G774" s="74"/>
      <x:c r="H774" s="74"/>
      <x:c r="I774" s="74"/>
      <x:c r="J774" s="74"/>
      <x:c r="K774" s="74"/>
      <x:c r="L774" s="74"/>
      <x:c r="M774" s="91"/>
      <x:c r="N774" s="91"/>
      <x:c r="O774" s="85"/>
      <x:c r="Q774" s="86"/>
      <x:c r="R774" s="32"/>
    </x:row>
    <x:row r="775">
      <x:c r="A775" s="87"/>
      <x:c r="B775" s="88"/>
      <x:c r="D775" s="32"/>
      <x:c r="G775" s="74"/>
      <x:c r="H775" s="74"/>
      <x:c r="I775" s="74"/>
      <x:c r="J775" s="74"/>
      <x:c r="K775" s="74"/>
      <x:c r="L775" s="74"/>
      <x:c r="M775" s="91"/>
      <x:c r="N775" s="91"/>
      <x:c r="O775" s="85"/>
      <x:c r="Q775" s="86"/>
      <x:c r="R775" s="32"/>
    </x:row>
    <x:row r="776">
      <x:c r="A776" s="87"/>
      <x:c r="B776" s="88"/>
      <x:c r="D776" s="32"/>
      <x:c r="G776" s="74"/>
      <x:c r="H776" s="74"/>
      <x:c r="I776" s="74"/>
      <x:c r="J776" s="74"/>
      <x:c r="K776" s="74"/>
      <x:c r="L776" s="74"/>
      <x:c r="M776" s="91"/>
      <x:c r="N776" s="91"/>
      <x:c r="O776" s="85"/>
      <x:c r="Q776" s="86"/>
      <x:c r="R776" s="32"/>
    </x:row>
    <x:row r="777">
      <x:c r="A777" s="87"/>
      <x:c r="B777" s="88"/>
      <x:c r="D777" s="32"/>
      <x:c r="G777" s="74"/>
      <x:c r="H777" s="74"/>
      <x:c r="I777" s="74"/>
      <x:c r="J777" s="74"/>
      <x:c r="K777" s="74"/>
      <x:c r="L777" s="74"/>
      <x:c r="M777" s="91"/>
      <x:c r="N777" s="91"/>
      <x:c r="O777" s="85"/>
      <x:c r="Q777" s="86"/>
      <x:c r="R777" s="32"/>
    </x:row>
    <x:row r="778">
      <x:c r="A778" s="87"/>
      <x:c r="B778" s="88"/>
      <x:c r="D778" s="32"/>
      <x:c r="G778" s="74"/>
      <x:c r="H778" s="74"/>
      <x:c r="I778" s="74"/>
      <x:c r="J778" s="74"/>
      <x:c r="K778" s="74"/>
      <x:c r="L778" s="74"/>
      <x:c r="M778" s="91"/>
      <x:c r="N778" s="91"/>
      <x:c r="O778" s="85"/>
      <x:c r="Q778" s="86"/>
      <x:c r="R778" s="32"/>
    </x:row>
    <x:row r="779">
      <x:c r="A779" s="87"/>
      <x:c r="B779" s="88"/>
      <x:c r="D779" s="32"/>
      <x:c r="G779" s="74"/>
      <x:c r="H779" s="74"/>
      <x:c r="I779" s="74"/>
      <x:c r="J779" s="74"/>
      <x:c r="K779" s="74"/>
      <x:c r="L779" s="74"/>
      <x:c r="M779" s="91"/>
      <x:c r="N779" s="91"/>
      <x:c r="O779" s="85"/>
      <x:c r="Q779" s="86"/>
      <x:c r="R779" s="32"/>
    </x:row>
    <x:row r="780">
      <x:c r="A780" s="87"/>
      <x:c r="B780" s="88"/>
      <x:c r="D780" s="32"/>
      <x:c r="G780" s="74"/>
      <x:c r="H780" s="74"/>
      <x:c r="I780" s="74"/>
      <x:c r="J780" s="74"/>
      <x:c r="K780" s="74"/>
      <x:c r="L780" s="74"/>
      <x:c r="M780" s="91"/>
      <x:c r="N780" s="91"/>
      <x:c r="O780" s="85"/>
      <x:c r="Q780" s="86"/>
      <x:c r="R780" s="32"/>
    </x:row>
    <x:row r="781">
      <x:c r="A781" s="87"/>
      <x:c r="B781" s="88"/>
      <x:c r="D781" s="32"/>
      <x:c r="G781" s="74"/>
      <x:c r="H781" s="74"/>
      <x:c r="I781" s="74"/>
      <x:c r="J781" s="74"/>
      <x:c r="K781" s="74"/>
      <x:c r="L781" s="74"/>
      <x:c r="M781" s="91"/>
      <x:c r="N781" s="91"/>
      <x:c r="O781" s="85"/>
      <x:c r="Q781" s="86"/>
      <x:c r="R781" s="32"/>
    </x:row>
    <x:row r="782">
      <x:c r="A782" s="87"/>
      <x:c r="B782" s="88"/>
      <x:c r="D782" s="32"/>
      <x:c r="G782" s="74"/>
      <x:c r="H782" s="74"/>
      <x:c r="I782" s="74"/>
      <x:c r="J782" s="74"/>
      <x:c r="K782" s="74"/>
      <x:c r="L782" s="74"/>
      <x:c r="M782" s="91"/>
      <x:c r="N782" s="91"/>
      <x:c r="O782" s="85"/>
      <x:c r="Q782" s="86"/>
      <x:c r="R782" s="32"/>
    </x:row>
    <x:row r="783">
      <x:c r="A783" s="87"/>
      <x:c r="B783" s="88"/>
      <x:c r="D783" s="32"/>
      <x:c r="G783" s="74"/>
      <x:c r="H783" s="74"/>
      <x:c r="I783" s="74"/>
      <x:c r="J783" s="74"/>
      <x:c r="K783" s="74"/>
      <x:c r="L783" s="74"/>
      <x:c r="M783" s="91"/>
      <x:c r="N783" s="91"/>
      <x:c r="O783" s="85"/>
      <x:c r="Q783" s="86"/>
      <x:c r="R783" s="32"/>
    </x:row>
    <x:row r="784">
      <x:c r="A784" s="87"/>
      <x:c r="B784" s="88"/>
      <x:c r="D784" s="32"/>
      <x:c r="G784" s="74"/>
      <x:c r="H784" s="74"/>
      <x:c r="I784" s="74"/>
      <x:c r="J784" s="74"/>
      <x:c r="K784" s="74"/>
      <x:c r="L784" s="74"/>
      <x:c r="M784" s="91"/>
      <x:c r="N784" s="91"/>
      <x:c r="O784" s="85"/>
      <x:c r="Q784" s="86"/>
      <x:c r="R784" s="32"/>
    </x:row>
    <x:row r="785">
      <x:c r="A785" s="87"/>
      <x:c r="B785" s="88"/>
      <x:c r="D785" s="32"/>
      <x:c r="G785" s="74"/>
      <x:c r="H785" s="74"/>
      <x:c r="I785" s="74"/>
      <x:c r="J785" s="74"/>
      <x:c r="K785" s="74"/>
      <x:c r="L785" s="74"/>
      <x:c r="M785" s="91"/>
      <x:c r="N785" s="91"/>
      <x:c r="O785" s="85"/>
      <x:c r="Q785" s="86"/>
      <x:c r="R785" s="32"/>
    </x:row>
    <x:row r="786">
      <x:c r="A786" s="87"/>
      <x:c r="B786" s="88"/>
      <x:c r="D786" s="32"/>
      <x:c r="G786" s="74"/>
      <x:c r="H786" s="74"/>
      <x:c r="I786" s="74"/>
      <x:c r="J786" s="74"/>
      <x:c r="K786" s="74"/>
      <x:c r="L786" s="74"/>
      <x:c r="M786" s="91"/>
      <x:c r="N786" s="91"/>
      <x:c r="O786" s="85"/>
      <x:c r="Q786" s="86"/>
      <x:c r="R786" s="32"/>
    </x:row>
    <x:row r="787">
      <x:c r="A787" s="87"/>
      <x:c r="B787" s="88"/>
      <x:c r="D787" s="32"/>
      <x:c r="G787" s="74"/>
      <x:c r="H787" s="74"/>
      <x:c r="I787" s="74"/>
      <x:c r="J787" s="74"/>
      <x:c r="K787" s="74"/>
      <x:c r="L787" s="74"/>
      <x:c r="M787" s="91"/>
      <x:c r="N787" s="91"/>
      <x:c r="O787" s="85"/>
      <x:c r="Q787" s="86"/>
      <x:c r="R787" s="32"/>
    </x:row>
    <x:row r="788">
      <x:c r="A788" s="87"/>
      <x:c r="B788" s="88"/>
      <x:c r="D788" s="32"/>
      <x:c r="G788" s="74"/>
      <x:c r="H788" s="74"/>
      <x:c r="I788" s="74"/>
      <x:c r="J788" s="74"/>
      <x:c r="K788" s="74"/>
      <x:c r="L788" s="74"/>
      <x:c r="M788" s="91"/>
      <x:c r="N788" s="91"/>
      <x:c r="O788" s="85"/>
      <x:c r="Q788" s="86"/>
      <x:c r="R788" s="32"/>
    </x:row>
    <x:row r="789">
      <x:c r="A789" s="87"/>
      <x:c r="B789" s="88"/>
      <x:c r="D789" s="32"/>
      <x:c r="G789" s="74"/>
      <x:c r="H789" s="74"/>
      <x:c r="I789" s="74"/>
      <x:c r="J789" s="74"/>
      <x:c r="K789" s="74"/>
      <x:c r="L789" s="74"/>
      <x:c r="M789" s="91"/>
      <x:c r="N789" s="91"/>
      <x:c r="O789" s="85"/>
      <x:c r="Q789" s="86"/>
      <x:c r="R789" s="32"/>
    </x:row>
    <x:row r="790">
      <x:c r="A790" s="87"/>
      <x:c r="B790" s="88"/>
      <x:c r="D790" s="32"/>
      <x:c r="G790" s="74"/>
      <x:c r="H790" s="74"/>
      <x:c r="I790" s="74"/>
      <x:c r="J790" s="74"/>
      <x:c r="K790" s="74"/>
      <x:c r="L790" s="74"/>
      <x:c r="M790" s="91"/>
      <x:c r="N790" s="91"/>
      <x:c r="O790" s="85"/>
      <x:c r="Q790" s="86"/>
      <x:c r="R790" s="32"/>
    </x:row>
    <x:row r="791">
      <x:c r="A791" s="87"/>
      <x:c r="B791" s="88"/>
      <x:c r="D791" s="32"/>
      <x:c r="G791" s="74"/>
      <x:c r="H791" s="74"/>
      <x:c r="I791" s="74"/>
      <x:c r="J791" s="74"/>
      <x:c r="K791" s="74"/>
      <x:c r="L791" s="74"/>
      <x:c r="M791" s="91"/>
      <x:c r="N791" s="91"/>
      <x:c r="O791" s="85"/>
      <x:c r="Q791" s="86"/>
      <x:c r="R791" s="32"/>
    </x:row>
    <x:row r="792">
      <x:c r="A792" s="87"/>
      <x:c r="B792" s="88"/>
      <x:c r="D792" s="32"/>
      <x:c r="G792" s="74"/>
      <x:c r="H792" s="74"/>
      <x:c r="I792" s="74"/>
      <x:c r="J792" s="74"/>
      <x:c r="K792" s="74"/>
      <x:c r="L792" s="74"/>
      <x:c r="M792" s="91"/>
      <x:c r="N792" s="91"/>
      <x:c r="O792" s="85"/>
      <x:c r="Q792" s="86"/>
      <x:c r="R792" s="32"/>
    </x:row>
    <x:row r="793">
      <x:c r="A793" s="87"/>
      <x:c r="B793" s="88"/>
      <x:c r="D793" s="32"/>
      <x:c r="G793" s="74"/>
      <x:c r="H793" s="74"/>
      <x:c r="I793" s="74"/>
      <x:c r="J793" s="74"/>
      <x:c r="K793" s="74"/>
      <x:c r="L793" s="74"/>
      <x:c r="M793" s="91"/>
      <x:c r="N793" s="91"/>
      <x:c r="O793" s="85"/>
      <x:c r="Q793" s="86"/>
      <x:c r="R793" s="32"/>
    </x:row>
    <x:row r="794">
      <x:c r="A794" s="87"/>
      <x:c r="B794" s="88"/>
      <x:c r="D794" s="32"/>
      <x:c r="G794" s="74"/>
      <x:c r="H794" s="74"/>
      <x:c r="I794" s="74"/>
      <x:c r="J794" s="74"/>
      <x:c r="K794" s="74"/>
      <x:c r="L794" s="74"/>
      <x:c r="M794" s="91"/>
      <x:c r="N794" s="91"/>
      <x:c r="O794" s="85"/>
      <x:c r="Q794" s="86"/>
      <x:c r="R794" s="32"/>
    </x:row>
    <x:row r="795">
      <x:c r="A795" s="87"/>
      <x:c r="B795" s="88"/>
      <x:c r="D795" s="32"/>
      <x:c r="G795" s="74"/>
      <x:c r="H795" s="74"/>
      <x:c r="I795" s="74"/>
      <x:c r="J795" s="74"/>
      <x:c r="K795" s="74"/>
      <x:c r="L795" s="74"/>
      <x:c r="M795" s="91"/>
      <x:c r="N795" s="91"/>
      <x:c r="O795" s="85"/>
      <x:c r="Q795" s="86"/>
      <x:c r="R795" s="32"/>
    </x:row>
    <x:row r="796">
      <x:c r="A796" s="87"/>
      <x:c r="B796" s="88"/>
      <x:c r="D796" s="32"/>
      <x:c r="G796" s="74"/>
      <x:c r="H796" s="74"/>
      <x:c r="I796" s="74"/>
      <x:c r="J796" s="74"/>
      <x:c r="K796" s="74"/>
      <x:c r="L796" s="74"/>
      <x:c r="M796" s="91"/>
      <x:c r="N796" s="91"/>
      <x:c r="O796" s="85"/>
      <x:c r="Q796" s="86"/>
      <x:c r="R796" s="32"/>
    </x:row>
    <x:row r="797">
      <x:c r="A797" s="87"/>
      <x:c r="B797" s="88"/>
      <x:c r="D797" s="32"/>
      <x:c r="G797" s="74"/>
      <x:c r="H797" s="74"/>
      <x:c r="I797" s="74"/>
      <x:c r="J797" s="74"/>
      <x:c r="K797" s="74"/>
      <x:c r="L797" s="74"/>
      <x:c r="M797" s="91"/>
      <x:c r="N797" s="91"/>
      <x:c r="O797" s="85"/>
      <x:c r="Q797" s="86"/>
      <x:c r="R797" s="32"/>
    </x:row>
    <x:row r="798">
      <x:c r="A798" s="87"/>
      <x:c r="B798" s="88"/>
      <x:c r="D798" s="32"/>
      <x:c r="G798" s="74"/>
      <x:c r="H798" s="74"/>
      <x:c r="I798" s="74"/>
      <x:c r="J798" s="74"/>
      <x:c r="K798" s="74"/>
      <x:c r="L798" s="74"/>
      <x:c r="M798" s="91"/>
      <x:c r="N798" s="91"/>
      <x:c r="O798" s="85"/>
      <x:c r="Q798" s="86"/>
      <x:c r="R798" s="32"/>
    </x:row>
    <x:row r="799">
      <x:c r="A799" s="87"/>
      <x:c r="B799" s="88"/>
      <x:c r="D799" s="32"/>
      <x:c r="G799" s="74"/>
      <x:c r="H799" s="74"/>
      <x:c r="I799" s="74"/>
      <x:c r="J799" s="74"/>
      <x:c r="K799" s="74"/>
      <x:c r="L799" s="74"/>
      <x:c r="M799" s="91"/>
      <x:c r="N799" s="91"/>
      <x:c r="O799" s="85"/>
      <x:c r="Q799" s="86"/>
      <x:c r="R799" s="32"/>
    </x:row>
    <x:row r="800">
      <x:c r="A800" s="87"/>
      <x:c r="B800" s="88"/>
      <x:c r="D800" s="32"/>
      <x:c r="G800" s="74"/>
      <x:c r="H800" s="74"/>
      <x:c r="I800" s="74"/>
      <x:c r="J800" s="74"/>
      <x:c r="K800" s="74"/>
      <x:c r="L800" s="74"/>
      <x:c r="M800" s="91"/>
      <x:c r="N800" s="91"/>
      <x:c r="O800" s="85"/>
      <x:c r="Q800" s="86"/>
      <x:c r="R800" s="32"/>
    </x:row>
    <x:row r="801">
      <x:c r="A801" s="87"/>
      <x:c r="B801" s="88"/>
      <x:c r="D801" s="32"/>
      <x:c r="G801" s="74"/>
      <x:c r="H801" s="74"/>
      <x:c r="I801" s="74"/>
      <x:c r="J801" s="74"/>
      <x:c r="K801" s="74"/>
      <x:c r="L801" s="74"/>
      <x:c r="M801" s="91"/>
      <x:c r="N801" s="91"/>
      <x:c r="O801" s="85"/>
      <x:c r="Q801" s="86"/>
      <x:c r="R801" s="32"/>
    </x:row>
    <x:row r="802">
      <x:c r="A802" s="87"/>
      <x:c r="B802" s="88"/>
      <x:c r="D802" s="32"/>
      <x:c r="G802" s="74"/>
      <x:c r="H802" s="74"/>
      <x:c r="I802" s="74"/>
      <x:c r="J802" s="74"/>
      <x:c r="K802" s="74"/>
      <x:c r="L802" s="74"/>
      <x:c r="M802" s="91"/>
      <x:c r="N802" s="91"/>
      <x:c r="O802" s="85"/>
      <x:c r="Q802" s="86"/>
      <x:c r="R802" s="32"/>
    </x:row>
    <x:row r="803">
      <x:c r="A803" s="87"/>
      <x:c r="B803" s="88"/>
      <x:c r="D803" s="32"/>
      <x:c r="G803" s="74"/>
      <x:c r="H803" s="74"/>
      <x:c r="I803" s="74"/>
      <x:c r="J803" s="74"/>
      <x:c r="K803" s="74"/>
      <x:c r="L803" s="74"/>
      <x:c r="M803" s="91"/>
      <x:c r="N803" s="91"/>
      <x:c r="O803" s="85"/>
      <x:c r="Q803" s="86"/>
      <x:c r="R803" s="32"/>
    </x:row>
    <x:row r="804">
      <x:c r="A804" s="87"/>
      <x:c r="B804" s="88"/>
      <x:c r="D804" s="32"/>
      <x:c r="G804" s="74"/>
      <x:c r="H804" s="74"/>
      <x:c r="I804" s="74"/>
      <x:c r="J804" s="74"/>
      <x:c r="K804" s="74"/>
      <x:c r="L804" s="74"/>
      <x:c r="M804" s="91"/>
      <x:c r="N804" s="91"/>
      <x:c r="O804" s="85"/>
      <x:c r="Q804" s="86"/>
      <x:c r="R804" s="32"/>
    </x:row>
    <x:row r="805">
      <x:c r="A805" s="87"/>
      <x:c r="B805" s="88"/>
      <x:c r="D805" s="32"/>
      <x:c r="G805" s="74"/>
      <x:c r="H805" s="74"/>
      <x:c r="I805" s="74"/>
      <x:c r="J805" s="74"/>
      <x:c r="K805" s="74"/>
      <x:c r="L805" s="74"/>
      <x:c r="M805" s="91"/>
      <x:c r="N805" s="91"/>
      <x:c r="O805" s="85"/>
      <x:c r="Q805" s="86"/>
      <x:c r="R805" s="32"/>
    </x:row>
    <x:row r="806">
      <x:c r="A806" s="87"/>
      <x:c r="B806" s="88"/>
      <x:c r="D806" s="32"/>
      <x:c r="G806" s="74"/>
      <x:c r="H806" s="74"/>
      <x:c r="I806" s="74"/>
      <x:c r="J806" s="74"/>
      <x:c r="K806" s="74"/>
      <x:c r="L806" s="74"/>
      <x:c r="M806" s="91"/>
      <x:c r="N806" s="91"/>
      <x:c r="O806" s="85"/>
      <x:c r="Q806" s="86"/>
      <x:c r="R806" s="32"/>
    </x:row>
    <x:row r="807">
      <x:c r="A807" s="87"/>
      <x:c r="B807" s="88"/>
      <x:c r="D807" s="32"/>
      <x:c r="G807" s="74"/>
      <x:c r="H807" s="74"/>
      <x:c r="I807" s="74"/>
      <x:c r="J807" s="74"/>
      <x:c r="K807" s="74"/>
      <x:c r="L807" s="74"/>
      <x:c r="M807" s="91"/>
      <x:c r="N807" s="91"/>
      <x:c r="O807" s="85"/>
      <x:c r="Q807" s="86"/>
      <x:c r="R807" s="32"/>
    </x:row>
    <x:row r="808">
      <x:c r="A808" s="87"/>
      <x:c r="B808" s="88"/>
      <x:c r="D808" s="32"/>
      <x:c r="G808" s="74"/>
      <x:c r="H808" s="74"/>
      <x:c r="I808" s="74"/>
      <x:c r="J808" s="74"/>
      <x:c r="K808" s="74"/>
      <x:c r="L808" s="74"/>
      <x:c r="M808" s="91"/>
      <x:c r="N808" s="91"/>
      <x:c r="O808" s="85"/>
      <x:c r="Q808" s="86"/>
      <x:c r="R808" s="32"/>
    </x:row>
    <x:row r="809">
      <x:c r="A809" s="87"/>
      <x:c r="B809" s="88"/>
      <x:c r="D809" s="32"/>
      <x:c r="G809" s="74"/>
      <x:c r="H809" s="74"/>
      <x:c r="I809" s="74"/>
      <x:c r="J809" s="74"/>
      <x:c r="K809" s="74"/>
      <x:c r="L809" s="74"/>
      <x:c r="M809" s="91"/>
      <x:c r="N809" s="91"/>
      <x:c r="O809" s="85"/>
      <x:c r="Q809" s="86"/>
      <x:c r="R809" s="32"/>
    </x:row>
    <x:row r="810">
      <x:c r="A810" s="87"/>
      <x:c r="B810" s="88"/>
      <x:c r="D810" s="32"/>
      <x:c r="G810" s="74"/>
      <x:c r="H810" s="74"/>
      <x:c r="I810" s="74"/>
      <x:c r="J810" s="74"/>
      <x:c r="K810" s="74"/>
      <x:c r="L810" s="74"/>
      <x:c r="M810" s="91"/>
      <x:c r="N810" s="91"/>
      <x:c r="O810" s="85"/>
      <x:c r="Q810" s="86"/>
      <x:c r="R810" s="32"/>
    </x:row>
    <x:row r="811">
      <x:c r="A811" s="87"/>
      <x:c r="B811" s="88"/>
      <x:c r="D811" s="32"/>
      <x:c r="G811" s="74"/>
      <x:c r="H811" s="74"/>
      <x:c r="I811" s="74"/>
      <x:c r="J811" s="74"/>
      <x:c r="K811" s="74"/>
      <x:c r="L811" s="74"/>
      <x:c r="M811" s="91"/>
      <x:c r="N811" s="91"/>
      <x:c r="O811" s="85"/>
      <x:c r="Q811" s="86"/>
      <x:c r="R811" s="32"/>
    </x:row>
    <x:row r="812">
      <x:c r="A812" s="87"/>
      <x:c r="B812" s="88"/>
      <x:c r="D812" s="32"/>
      <x:c r="G812" s="74"/>
      <x:c r="H812" s="74"/>
      <x:c r="I812" s="74"/>
      <x:c r="J812" s="74"/>
      <x:c r="K812" s="74"/>
      <x:c r="L812" s="74"/>
      <x:c r="M812" s="91"/>
      <x:c r="N812" s="91"/>
      <x:c r="O812" s="85"/>
      <x:c r="Q812" s="86"/>
      <x:c r="R812" s="32"/>
    </x:row>
    <x:row r="813">
      <x:c r="A813" s="87"/>
      <x:c r="B813" s="88"/>
      <x:c r="D813" s="32"/>
      <x:c r="G813" s="74"/>
      <x:c r="H813" s="74"/>
      <x:c r="I813" s="74"/>
      <x:c r="J813" s="74"/>
      <x:c r="K813" s="74"/>
      <x:c r="L813" s="74"/>
      <x:c r="M813" s="91"/>
      <x:c r="N813" s="91"/>
      <x:c r="O813" s="85"/>
      <x:c r="Q813" s="86"/>
      <x:c r="R813" s="32"/>
    </x:row>
    <x:row r="814">
      <x:c r="A814" s="87"/>
      <x:c r="B814" s="88"/>
      <x:c r="D814" s="32"/>
      <x:c r="G814" s="74"/>
      <x:c r="H814" s="74"/>
      <x:c r="I814" s="74"/>
      <x:c r="J814" s="74"/>
      <x:c r="K814" s="74"/>
      <x:c r="L814" s="74"/>
      <x:c r="M814" s="91"/>
      <x:c r="N814" s="91"/>
      <x:c r="O814" s="85"/>
      <x:c r="Q814" s="86"/>
      <x:c r="R814" s="32"/>
    </x:row>
    <x:row r="815">
      <x:c r="A815" s="87"/>
      <x:c r="B815" s="88"/>
      <x:c r="D815" s="32"/>
      <x:c r="G815" s="74"/>
      <x:c r="H815" s="74"/>
      <x:c r="I815" s="74"/>
      <x:c r="J815" s="74"/>
      <x:c r="K815" s="74"/>
      <x:c r="L815" s="74"/>
      <x:c r="M815" s="91"/>
      <x:c r="N815" s="91"/>
      <x:c r="O815" s="85"/>
      <x:c r="Q815" s="86"/>
      <x:c r="R815" s="32"/>
    </x:row>
    <x:row r="816">
      <x:c r="A816" s="87"/>
      <x:c r="B816" s="88"/>
      <x:c r="D816" s="32"/>
      <x:c r="G816" s="74"/>
      <x:c r="H816" s="74"/>
      <x:c r="I816" s="74"/>
      <x:c r="J816" s="74"/>
      <x:c r="K816" s="74"/>
      <x:c r="L816" s="74"/>
      <x:c r="M816" s="91"/>
      <x:c r="N816" s="91"/>
      <x:c r="O816" s="85"/>
      <x:c r="Q816" s="86"/>
      <x:c r="R816" s="32"/>
    </x:row>
    <x:row r="817">
      <x:c r="A817" s="87"/>
      <x:c r="B817" s="88"/>
      <x:c r="D817" s="32"/>
      <x:c r="G817" s="74"/>
      <x:c r="H817" s="74"/>
      <x:c r="I817" s="74"/>
      <x:c r="J817" s="74"/>
      <x:c r="K817" s="74"/>
      <x:c r="L817" s="74"/>
      <x:c r="M817" s="91"/>
      <x:c r="N817" s="91"/>
      <x:c r="O817" s="85"/>
      <x:c r="Q817" s="86"/>
      <x:c r="R817" s="32"/>
    </x:row>
    <x:row r="818">
      <x:c r="A818" s="87"/>
      <x:c r="B818" s="88"/>
      <x:c r="D818" s="32"/>
      <x:c r="G818" s="74"/>
      <x:c r="H818" s="74"/>
      <x:c r="I818" s="74"/>
      <x:c r="J818" s="74"/>
      <x:c r="K818" s="74"/>
      <x:c r="L818" s="74"/>
      <x:c r="M818" s="91"/>
      <x:c r="N818" s="91"/>
      <x:c r="O818" s="85"/>
      <x:c r="Q818" s="86"/>
      <x:c r="R818" s="32"/>
    </x:row>
    <x:row r="819">
      <x:c r="A819" s="87"/>
      <x:c r="B819" s="88"/>
      <x:c r="D819" s="32"/>
      <x:c r="G819" s="74"/>
      <x:c r="H819" s="74"/>
      <x:c r="I819" s="74"/>
      <x:c r="J819" s="74"/>
      <x:c r="K819" s="74"/>
      <x:c r="L819" s="74"/>
      <x:c r="M819" s="91"/>
      <x:c r="N819" s="91"/>
      <x:c r="O819" s="85"/>
      <x:c r="Q819" s="86"/>
      <x:c r="R819" s="32"/>
    </x:row>
    <x:row r="820">
      <x:c r="A820" s="87"/>
      <x:c r="B820" s="88"/>
      <x:c r="D820" s="32"/>
      <x:c r="G820" s="74"/>
      <x:c r="H820" s="74"/>
      <x:c r="I820" s="74"/>
      <x:c r="J820" s="74"/>
      <x:c r="K820" s="74"/>
      <x:c r="L820" s="74"/>
      <x:c r="M820" s="91"/>
      <x:c r="N820" s="91"/>
      <x:c r="O820" s="85"/>
      <x:c r="Q820" s="86"/>
      <x:c r="R820" s="32"/>
    </x:row>
    <x:row r="821">
      <x:c r="A821" s="87"/>
      <x:c r="B821" s="88"/>
      <x:c r="D821" s="32"/>
      <x:c r="G821" s="74"/>
      <x:c r="H821" s="74"/>
      <x:c r="I821" s="74"/>
      <x:c r="J821" s="74"/>
      <x:c r="K821" s="74"/>
      <x:c r="L821" s="74"/>
      <x:c r="M821" s="91"/>
      <x:c r="N821" s="91"/>
      <x:c r="O821" s="85"/>
      <x:c r="Q821" s="86"/>
      <x:c r="R821" s="32"/>
    </x:row>
    <x:row r="822">
      <x:c r="A822" s="87"/>
      <x:c r="B822" s="88"/>
      <x:c r="D822" s="32"/>
      <x:c r="G822" s="74"/>
      <x:c r="H822" s="74"/>
      <x:c r="I822" s="74"/>
      <x:c r="J822" s="74"/>
      <x:c r="K822" s="74"/>
      <x:c r="L822" s="74"/>
      <x:c r="M822" s="91"/>
      <x:c r="N822" s="91"/>
      <x:c r="O822" s="85"/>
      <x:c r="Q822" s="86"/>
      <x:c r="R822" s="32"/>
    </x:row>
    <x:row r="823">
      <x:c r="A823" s="87"/>
      <x:c r="B823" s="88"/>
      <x:c r="D823" s="32"/>
      <x:c r="G823" s="74"/>
      <x:c r="H823" s="74"/>
      <x:c r="I823" s="74"/>
      <x:c r="J823" s="74"/>
      <x:c r="K823" s="74"/>
      <x:c r="L823" s="74"/>
      <x:c r="M823" s="91"/>
      <x:c r="N823" s="91"/>
      <x:c r="O823" s="85"/>
      <x:c r="Q823" s="86"/>
      <x:c r="R823" s="32"/>
    </x:row>
    <x:row r="824">
      <x:c r="A824" s="87"/>
      <x:c r="B824" s="88"/>
      <x:c r="D824" s="32"/>
      <x:c r="G824" s="74"/>
      <x:c r="H824" s="74"/>
      <x:c r="I824" s="74"/>
      <x:c r="J824" s="74"/>
      <x:c r="K824" s="74"/>
      <x:c r="L824" s="74"/>
      <x:c r="M824" s="91"/>
      <x:c r="N824" s="91"/>
      <x:c r="O824" s="85"/>
      <x:c r="Q824" s="86"/>
      <x:c r="R824" s="32"/>
    </x:row>
    <x:row r="825">
      <x:c r="A825" s="87"/>
      <x:c r="B825" s="88"/>
      <x:c r="D825" s="32"/>
      <x:c r="G825" s="74"/>
      <x:c r="H825" s="74"/>
      <x:c r="I825" s="74"/>
      <x:c r="J825" s="74"/>
      <x:c r="K825" s="74"/>
      <x:c r="L825" s="74"/>
      <x:c r="M825" s="91"/>
      <x:c r="N825" s="91"/>
      <x:c r="O825" s="85"/>
      <x:c r="Q825" s="86"/>
      <x:c r="R825" s="32"/>
    </x:row>
    <x:row r="826">
      <x:c r="A826" s="87"/>
      <x:c r="B826" s="88"/>
      <x:c r="D826" s="32"/>
      <x:c r="G826" s="74"/>
      <x:c r="H826" s="74"/>
      <x:c r="I826" s="74"/>
      <x:c r="J826" s="74"/>
      <x:c r="K826" s="74"/>
      <x:c r="L826" s="74"/>
      <x:c r="M826" s="91"/>
      <x:c r="N826" s="91"/>
      <x:c r="O826" s="85"/>
      <x:c r="Q826" s="86"/>
      <x:c r="R826" s="32"/>
    </x:row>
    <x:row r="827">
      <x:c r="A827" s="87"/>
      <x:c r="B827" s="88"/>
      <x:c r="D827" s="32"/>
      <x:c r="G827" s="74"/>
      <x:c r="H827" s="74"/>
      <x:c r="I827" s="74"/>
      <x:c r="J827" s="74"/>
      <x:c r="K827" s="74"/>
      <x:c r="L827" s="74"/>
      <x:c r="M827" s="91"/>
      <x:c r="N827" s="91"/>
      <x:c r="O827" s="85"/>
      <x:c r="Q827" s="86"/>
      <x:c r="R827" s="32"/>
    </x:row>
    <x:row r="828">
      <x:c r="A828" s="87"/>
      <x:c r="B828" s="88"/>
      <x:c r="D828" s="32"/>
      <x:c r="G828" s="74"/>
      <x:c r="H828" s="74"/>
      <x:c r="I828" s="74"/>
      <x:c r="J828" s="74"/>
      <x:c r="K828" s="74"/>
      <x:c r="L828" s="74"/>
      <x:c r="M828" s="91"/>
      <x:c r="N828" s="91"/>
      <x:c r="O828" s="85"/>
      <x:c r="Q828" s="86"/>
      <x:c r="R828" s="32"/>
    </x:row>
    <x:row r="829">
      <x:c r="A829" s="87"/>
      <x:c r="B829" s="88"/>
      <x:c r="D829" s="32"/>
      <x:c r="G829" s="74"/>
      <x:c r="H829" s="74"/>
      <x:c r="I829" s="74"/>
      <x:c r="J829" s="74"/>
      <x:c r="K829" s="74"/>
      <x:c r="L829" s="74"/>
      <x:c r="M829" s="91"/>
      <x:c r="N829" s="91"/>
      <x:c r="O829" s="85"/>
      <x:c r="Q829" s="86"/>
      <x:c r="R829" s="32"/>
    </x:row>
    <x:row r="830">
      <x:c r="A830" s="87"/>
      <x:c r="B830" s="88"/>
      <x:c r="D830" s="32"/>
      <x:c r="G830" s="74"/>
      <x:c r="H830" s="74"/>
      <x:c r="I830" s="74"/>
      <x:c r="J830" s="74"/>
      <x:c r="K830" s="74"/>
      <x:c r="L830" s="74"/>
      <x:c r="M830" s="91"/>
      <x:c r="N830" s="91"/>
      <x:c r="O830" s="85"/>
      <x:c r="Q830" s="86"/>
      <x:c r="R830" s="32"/>
    </x:row>
    <x:row r="831">
      <x:c r="A831" s="87"/>
      <x:c r="B831" s="88"/>
      <x:c r="D831" s="32"/>
      <x:c r="G831" s="74"/>
      <x:c r="H831" s="74"/>
      <x:c r="I831" s="74"/>
      <x:c r="J831" s="74"/>
      <x:c r="K831" s="74"/>
      <x:c r="L831" s="74"/>
      <x:c r="M831" s="91"/>
      <x:c r="N831" s="91"/>
      <x:c r="O831" s="85"/>
      <x:c r="Q831" s="86"/>
      <x:c r="R831" s="32"/>
    </x:row>
    <x:row r="832">
      <x:c r="A832" s="87"/>
      <x:c r="B832" s="88"/>
      <x:c r="D832" s="32"/>
      <x:c r="G832" s="74"/>
      <x:c r="H832" s="74"/>
      <x:c r="I832" s="74"/>
      <x:c r="J832" s="74"/>
      <x:c r="K832" s="74"/>
      <x:c r="L832" s="74"/>
      <x:c r="M832" s="91"/>
      <x:c r="N832" s="91"/>
      <x:c r="O832" s="85"/>
      <x:c r="Q832" s="86"/>
      <x:c r="R832" s="32"/>
    </x:row>
    <x:row r="833">
      <x:c r="A833" s="87"/>
      <x:c r="B833" s="88"/>
      <x:c r="D833" s="32"/>
      <x:c r="G833" s="74"/>
      <x:c r="H833" s="74"/>
      <x:c r="I833" s="74"/>
      <x:c r="J833" s="74"/>
      <x:c r="K833" s="74"/>
      <x:c r="L833" s="74"/>
      <x:c r="M833" s="91"/>
      <x:c r="N833" s="91"/>
      <x:c r="O833" s="85"/>
      <x:c r="Q833" s="86"/>
      <x:c r="R833" s="32"/>
    </x:row>
    <x:row r="834">
      <x:c r="A834" s="87"/>
      <x:c r="B834" s="88"/>
      <x:c r="D834" s="32"/>
      <x:c r="G834" s="74"/>
      <x:c r="H834" s="74"/>
      <x:c r="I834" s="74"/>
      <x:c r="J834" s="74"/>
      <x:c r="K834" s="74"/>
      <x:c r="L834" s="74"/>
      <x:c r="M834" s="91"/>
      <x:c r="N834" s="91"/>
      <x:c r="O834" s="85"/>
      <x:c r="Q834" s="86"/>
      <x:c r="R834" s="32"/>
    </x:row>
    <x:row r="835">
      <x:c r="A835" s="87"/>
      <x:c r="B835" s="88"/>
      <x:c r="D835" s="32"/>
      <x:c r="G835" s="74"/>
      <x:c r="H835" s="74"/>
      <x:c r="I835" s="74"/>
      <x:c r="J835" s="74"/>
      <x:c r="K835" s="74"/>
      <x:c r="L835" s="74"/>
      <x:c r="M835" s="91"/>
      <x:c r="N835" s="91"/>
      <x:c r="O835" s="85"/>
      <x:c r="Q835" s="86"/>
      <x:c r="R835" s="32"/>
    </x:row>
    <x:row r="836">
      <x:c r="A836" s="87"/>
      <x:c r="B836" s="88"/>
      <x:c r="D836" s="32"/>
      <x:c r="G836" s="74"/>
      <x:c r="H836" s="74"/>
      <x:c r="I836" s="74"/>
      <x:c r="J836" s="74"/>
      <x:c r="K836" s="74"/>
      <x:c r="L836" s="74"/>
      <x:c r="M836" s="91"/>
      <x:c r="N836" s="91"/>
      <x:c r="O836" s="85"/>
      <x:c r="Q836" s="86"/>
      <x:c r="R836" s="32"/>
    </x:row>
    <x:row r="837">
      <x:c r="A837" s="87"/>
      <x:c r="B837" s="88"/>
      <x:c r="D837" s="32"/>
      <x:c r="G837" s="74"/>
      <x:c r="H837" s="74"/>
      <x:c r="I837" s="74"/>
      <x:c r="J837" s="74"/>
      <x:c r="K837" s="74"/>
      <x:c r="L837" s="74"/>
      <x:c r="M837" s="91"/>
      <x:c r="N837" s="91"/>
      <x:c r="O837" s="85"/>
      <x:c r="Q837" s="86"/>
      <x:c r="R837" s="32"/>
    </x:row>
    <x:row r="838">
      <x:c r="A838" s="87"/>
      <x:c r="B838" s="88"/>
      <x:c r="D838" s="32"/>
      <x:c r="G838" s="74"/>
      <x:c r="H838" s="74"/>
      <x:c r="I838" s="74"/>
      <x:c r="J838" s="74"/>
      <x:c r="K838" s="74"/>
      <x:c r="L838" s="74"/>
      <x:c r="M838" s="91"/>
      <x:c r="N838" s="91"/>
      <x:c r="O838" s="85"/>
      <x:c r="Q838" s="86"/>
      <x:c r="R838" s="32"/>
    </x:row>
    <x:row r="839">
      <x:c r="A839" s="87"/>
      <x:c r="B839" s="88"/>
      <x:c r="D839" s="32"/>
      <x:c r="G839" s="74"/>
      <x:c r="H839" s="74"/>
      <x:c r="I839" s="74"/>
      <x:c r="J839" s="74"/>
      <x:c r="K839" s="74"/>
      <x:c r="L839" s="74"/>
      <x:c r="M839" s="91"/>
      <x:c r="N839" s="91"/>
      <x:c r="O839" s="85"/>
      <x:c r="Q839" s="86"/>
      <x:c r="R839" s="32"/>
    </x:row>
    <x:row r="840">
      <x:c r="A840" s="87"/>
      <x:c r="B840" s="88"/>
      <x:c r="D840" s="32"/>
      <x:c r="G840" s="74"/>
      <x:c r="H840" s="74"/>
      <x:c r="I840" s="74"/>
      <x:c r="J840" s="74"/>
      <x:c r="K840" s="74"/>
      <x:c r="L840" s="74"/>
      <x:c r="M840" s="91"/>
      <x:c r="N840" s="91"/>
      <x:c r="O840" s="85"/>
      <x:c r="Q840" s="86"/>
      <x:c r="R840" s="32"/>
    </x:row>
    <x:row r="841">
      <x:c r="A841" s="87"/>
      <x:c r="B841" s="88"/>
      <x:c r="D841" s="32"/>
      <x:c r="G841" s="74"/>
      <x:c r="H841" s="74"/>
      <x:c r="I841" s="74"/>
      <x:c r="J841" s="74"/>
      <x:c r="K841" s="74"/>
      <x:c r="L841" s="74"/>
      <x:c r="M841" s="91"/>
      <x:c r="N841" s="91"/>
      <x:c r="O841" s="85"/>
      <x:c r="Q841" s="86"/>
      <x:c r="R841" s="32"/>
    </x:row>
    <x:row r="842">
      <x:c r="A842" s="87"/>
      <x:c r="B842" s="88"/>
      <x:c r="D842" s="32"/>
      <x:c r="G842" s="74"/>
      <x:c r="H842" s="74"/>
      <x:c r="I842" s="74"/>
      <x:c r="J842" s="74"/>
      <x:c r="K842" s="74"/>
      <x:c r="L842" s="74"/>
      <x:c r="M842" s="91"/>
      <x:c r="N842" s="91"/>
      <x:c r="O842" s="85"/>
      <x:c r="Q842" s="86"/>
      <x:c r="R842" s="32"/>
    </x:row>
    <x:row r="843">
      <x:c r="A843" s="87"/>
      <x:c r="B843" s="88"/>
      <x:c r="D843" s="32"/>
      <x:c r="G843" s="74"/>
      <x:c r="H843" s="74"/>
      <x:c r="I843" s="74"/>
      <x:c r="J843" s="74"/>
      <x:c r="K843" s="74"/>
      <x:c r="L843" s="74"/>
      <x:c r="M843" s="91"/>
      <x:c r="N843" s="91"/>
      <x:c r="O843" s="85"/>
      <x:c r="Q843" s="86"/>
      <x:c r="R843" s="32"/>
    </x:row>
    <x:row r="844">
      <x:c r="A844" s="87"/>
      <x:c r="B844" s="88"/>
      <x:c r="D844" s="32"/>
      <x:c r="G844" s="74"/>
      <x:c r="H844" s="74"/>
      <x:c r="I844" s="74"/>
      <x:c r="J844" s="74"/>
      <x:c r="K844" s="74"/>
      <x:c r="L844" s="74"/>
      <x:c r="M844" s="91"/>
      <x:c r="N844" s="91"/>
      <x:c r="O844" s="85"/>
      <x:c r="Q844" s="86"/>
      <x:c r="R844" s="32"/>
    </x:row>
    <x:row r="845">
      <x:c r="A845" s="87"/>
      <x:c r="B845" s="88"/>
      <x:c r="D845" s="32"/>
      <x:c r="G845" s="74"/>
      <x:c r="H845" s="74"/>
      <x:c r="I845" s="74"/>
      <x:c r="J845" s="74"/>
      <x:c r="K845" s="74"/>
      <x:c r="L845" s="74"/>
      <x:c r="M845" s="91"/>
      <x:c r="N845" s="91"/>
      <x:c r="O845" s="85"/>
      <x:c r="Q845" s="86"/>
      <x:c r="R845" s="32"/>
    </x:row>
    <x:row r="846">
      <x:c r="A846" s="87"/>
      <x:c r="B846" s="88"/>
      <x:c r="D846" s="32"/>
      <x:c r="G846" s="74"/>
      <x:c r="H846" s="74"/>
      <x:c r="I846" s="74"/>
      <x:c r="J846" s="74"/>
      <x:c r="K846" s="74"/>
      <x:c r="L846" s="74"/>
      <x:c r="M846" s="91"/>
      <x:c r="N846" s="91"/>
      <x:c r="O846" s="85"/>
      <x:c r="Q846" s="86"/>
      <x:c r="R846" s="32"/>
    </x:row>
    <x:row r="847">
      <x:c r="A847" s="87"/>
      <x:c r="B847" s="88"/>
      <x:c r="D847" s="32"/>
      <x:c r="G847" s="74"/>
      <x:c r="H847" s="74"/>
      <x:c r="I847" s="74"/>
      <x:c r="J847" s="74"/>
      <x:c r="K847" s="74"/>
      <x:c r="L847" s="74"/>
      <x:c r="M847" s="91"/>
      <x:c r="N847" s="91"/>
      <x:c r="O847" s="85"/>
      <x:c r="Q847" s="86"/>
      <x:c r="R847" s="32"/>
    </x:row>
    <x:row r="848">
      <x:c r="A848" s="87"/>
      <x:c r="B848" s="88"/>
      <x:c r="D848" s="32"/>
      <x:c r="G848" s="74"/>
      <x:c r="H848" s="74"/>
      <x:c r="I848" s="74"/>
      <x:c r="J848" s="74"/>
      <x:c r="K848" s="74"/>
      <x:c r="L848" s="74"/>
      <x:c r="M848" s="91"/>
      <x:c r="N848" s="91"/>
      <x:c r="O848" s="85"/>
      <x:c r="Q848" s="86"/>
      <x:c r="R848" s="32"/>
    </x:row>
    <x:row r="849">
      <x:c r="A849" s="87"/>
      <x:c r="B849" s="88"/>
      <x:c r="D849" s="32"/>
      <x:c r="G849" s="74"/>
      <x:c r="H849" s="74"/>
      <x:c r="I849" s="74"/>
      <x:c r="J849" s="74"/>
      <x:c r="K849" s="74"/>
      <x:c r="L849" s="74"/>
      <x:c r="M849" s="91"/>
      <x:c r="N849" s="91"/>
      <x:c r="O849" s="85"/>
      <x:c r="Q849" s="86"/>
      <x:c r="R849" s="32"/>
    </x:row>
    <x:row r="850">
      <x:c r="A850" s="87"/>
      <x:c r="B850" s="88"/>
      <x:c r="D850" s="32"/>
      <x:c r="G850" s="74"/>
      <x:c r="H850" s="74"/>
      <x:c r="I850" s="74"/>
      <x:c r="J850" s="74"/>
      <x:c r="K850" s="74"/>
      <x:c r="L850" s="74"/>
      <x:c r="M850" s="91"/>
      <x:c r="N850" s="91"/>
      <x:c r="O850" s="85"/>
      <x:c r="Q850" s="86"/>
      <x:c r="R850" s="32"/>
    </x:row>
    <x:row r="851">
      <x:c r="A851" s="87"/>
      <x:c r="B851" s="88"/>
      <x:c r="D851" s="32"/>
      <x:c r="G851" s="74"/>
      <x:c r="H851" s="74"/>
      <x:c r="I851" s="74"/>
      <x:c r="J851" s="74"/>
      <x:c r="K851" s="74"/>
      <x:c r="L851" s="74"/>
      <x:c r="M851" s="91"/>
      <x:c r="N851" s="91"/>
      <x:c r="O851" s="85"/>
      <x:c r="Q851" s="86"/>
      <x:c r="R851" s="32"/>
    </x:row>
    <x:row r="852">
      <x:c r="A852" s="87"/>
      <x:c r="B852" s="88"/>
      <x:c r="D852" s="32"/>
      <x:c r="G852" s="74"/>
      <x:c r="H852" s="74"/>
      <x:c r="I852" s="74"/>
      <x:c r="J852" s="74"/>
      <x:c r="K852" s="74"/>
      <x:c r="L852" s="74"/>
      <x:c r="M852" s="91"/>
      <x:c r="N852" s="91"/>
      <x:c r="O852" s="85"/>
      <x:c r="Q852" s="86"/>
      <x:c r="R852" s="32"/>
    </x:row>
    <x:row r="853">
      <x:c r="A853" s="87"/>
      <x:c r="B853" s="88"/>
      <x:c r="D853" s="32"/>
      <x:c r="G853" s="74"/>
      <x:c r="H853" s="74"/>
      <x:c r="I853" s="74"/>
      <x:c r="J853" s="74"/>
      <x:c r="K853" s="74"/>
      <x:c r="L853" s="74"/>
      <x:c r="M853" s="91"/>
      <x:c r="N853" s="91"/>
      <x:c r="O853" s="85"/>
      <x:c r="Q853" s="86"/>
      <x:c r="R853" s="32"/>
    </x:row>
    <x:row r="854">
      <x:c r="A854" s="87"/>
      <x:c r="B854" s="88"/>
      <x:c r="D854" s="32"/>
      <x:c r="G854" s="74"/>
      <x:c r="H854" s="74"/>
      <x:c r="I854" s="74"/>
      <x:c r="J854" s="74"/>
      <x:c r="K854" s="74"/>
      <x:c r="L854" s="74"/>
      <x:c r="M854" s="91"/>
      <x:c r="N854" s="91"/>
      <x:c r="O854" s="85"/>
      <x:c r="Q854" s="86"/>
      <x:c r="R854" s="32"/>
    </x:row>
    <x:row r="855">
      <x:c r="A855" s="87"/>
      <x:c r="B855" s="88"/>
      <x:c r="D855" s="32"/>
      <x:c r="G855" s="74"/>
      <x:c r="H855" s="74"/>
      <x:c r="I855" s="74"/>
      <x:c r="J855" s="74"/>
      <x:c r="K855" s="74"/>
      <x:c r="L855" s="74"/>
      <x:c r="M855" s="91"/>
      <x:c r="N855" s="91"/>
      <x:c r="O855" s="85"/>
      <x:c r="Q855" s="86"/>
      <x:c r="R855" s="32"/>
    </x:row>
    <x:row r="856">
      <x:c r="A856" s="87"/>
      <x:c r="B856" s="88"/>
      <x:c r="D856" s="32"/>
      <x:c r="G856" s="74"/>
      <x:c r="H856" s="74"/>
      <x:c r="I856" s="74"/>
      <x:c r="J856" s="74"/>
      <x:c r="K856" s="74"/>
      <x:c r="L856" s="74"/>
      <x:c r="M856" s="91"/>
      <x:c r="N856" s="91"/>
      <x:c r="O856" s="85"/>
      <x:c r="Q856" s="86"/>
      <x:c r="R856" s="32"/>
    </x:row>
    <x:row r="857">
      <x:c r="A857" s="87"/>
      <x:c r="B857" s="88"/>
      <x:c r="D857" s="32"/>
      <x:c r="G857" s="74"/>
      <x:c r="H857" s="74"/>
      <x:c r="I857" s="74"/>
      <x:c r="J857" s="74"/>
      <x:c r="K857" s="74"/>
      <x:c r="L857" s="74"/>
      <x:c r="M857" s="91"/>
      <x:c r="N857" s="91"/>
      <x:c r="O857" s="85"/>
      <x:c r="Q857" s="86"/>
      <x:c r="R857" s="32"/>
    </x:row>
    <x:row r="858">
      <x:c r="A858" s="87"/>
      <x:c r="B858" s="88"/>
      <x:c r="D858" s="32"/>
      <x:c r="G858" s="74"/>
      <x:c r="H858" s="74"/>
      <x:c r="I858" s="74"/>
      <x:c r="J858" s="74"/>
      <x:c r="K858" s="74"/>
      <x:c r="L858" s="74"/>
      <x:c r="M858" s="91"/>
      <x:c r="N858" s="91"/>
      <x:c r="O858" s="85"/>
      <x:c r="Q858" s="86"/>
      <x:c r="R858" s="32"/>
    </x:row>
    <x:row r="859">
      <x:c r="A859" s="87"/>
      <x:c r="B859" s="88"/>
      <x:c r="D859" s="32"/>
      <x:c r="G859" s="74"/>
      <x:c r="H859" s="74"/>
      <x:c r="I859" s="74"/>
      <x:c r="J859" s="74"/>
      <x:c r="K859" s="74"/>
      <x:c r="L859" s="74"/>
      <x:c r="M859" s="91"/>
      <x:c r="N859" s="91"/>
      <x:c r="O859" s="85"/>
      <x:c r="Q859" s="86"/>
      <x:c r="R859" s="32"/>
    </x:row>
    <x:row r="860">
      <x:c r="A860" s="87"/>
      <x:c r="B860" s="88"/>
      <x:c r="D860" s="32"/>
      <x:c r="G860" s="74"/>
      <x:c r="H860" s="74"/>
      <x:c r="I860" s="74"/>
      <x:c r="J860" s="74"/>
      <x:c r="K860" s="74"/>
      <x:c r="L860" s="74"/>
      <x:c r="M860" s="91"/>
      <x:c r="N860" s="91"/>
      <x:c r="O860" s="85"/>
      <x:c r="Q860" s="86"/>
      <x:c r="R860" s="32"/>
    </x:row>
    <x:row r="861">
      <x:c r="A861" s="87"/>
      <x:c r="B861" s="88"/>
      <x:c r="D861" s="32"/>
      <x:c r="G861" s="74"/>
      <x:c r="H861" s="74"/>
      <x:c r="I861" s="74"/>
      <x:c r="J861" s="74"/>
      <x:c r="K861" s="74"/>
      <x:c r="L861" s="74"/>
      <x:c r="M861" s="91"/>
      <x:c r="N861" s="91"/>
      <x:c r="O861" s="85"/>
      <x:c r="Q861" s="86"/>
      <x:c r="R861" s="32"/>
    </x:row>
    <x:row r="862">
      <x:c r="A862" s="87"/>
      <x:c r="B862" s="88"/>
      <x:c r="D862" s="32"/>
      <x:c r="G862" s="74"/>
      <x:c r="H862" s="74"/>
      <x:c r="I862" s="74"/>
      <x:c r="J862" s="74"/>
      <x:c r="K862" s="74"/>
      <x:c r="L862" s="74"/>
      <x:c r="M862" s="91"/>
      <x:c r="N862" s="91"/>
      <x:c r="O862" s="85"/>
      <x:c r="Q862" s="86"/>
      <x:c r="R862" s="32"/>
    </x:row>
    <x:row r="863">
      <x:c r="A863" s="87"/>
      <x:c r="B863" s="88"/>
      <x:c r="D863" s="32"/>
      <x:c r="G863" s="74"/>
      <x:c r="H863" s="74"/>
      <x:c r="I863" s="74"/>
      <x:c r="J863" s="74"/>
      <x:c r="K863" s="74"/>
      <x:c r="L863" s="74"/>
      <x:c r="M863" s="91"/>
      <x:c r="N863" s="91"/>
      <x:c r="O863" s="85"/>
      <x:c r="Q863" s="86"/>
      <x:c r="R863" s="32"/>
    </x:row>
    <x:row r="864">
      <x:c r="A864" s="87"/>
      <x:c r="B864" s="88"/>
      <x:c r="D864" s="32"/>
      <x:c r="G864" s="74"/>
      <x:c r="H864" s="74"/>
      <x:c r="I864" s="74"/>
      <x:c r="J864" s="74"/>
      <x:c r="K864" s="74"/>
      <x:c r="L864" s="74"/>
      <x:c r="M864" s="91"/>
      <x:c r="N864" s="91"/>
      <x:c r="O864" s="85"/>
      <x:c r="Q864" s="86"/>
      <x:c r="R864" s="32"/>
    </x:row>
    <x:row r="865">
      <x:c r="A865" s="87"/>
      <x:c r="B865" s="88"/>
      <x:c r="D865" s="32"/>
      <x:c r="G865" s="74"/>
      <x:c r="H865" s="74"/>
      <x:c r="I865" s="74"/>
      <x:c r="J865" s="74"/>
      <x:c r="K865" s="74"/>
      <x:c r="L865" s="74"/>
      <x:c r="M865" s="91"/>
      <x:c r="N865" s="91"/>
      <x:c r="O865" s="85"/>
      <x:c r="Q865" s="86"/>
      <x:c r="R865" s="32"/>
    </x:row>
    <x:row r="866">
      <x:c r="A866" s="87"/>
      <x:c r="B866" s="88"/>
      <x:c r="D866" s="32"/>
      <x:c r="G866" s="74"/>
      <x:c r="H866" s="74"/>
      <x:c r="I866" s="74"/>
      <x:c r="J866" s="74"/>
      <x:c r="K866" s="74"/>
      <x:c r="L866" s="74"/>
      <x:c r="M866" s="91"/>
      <x:c r="N866" s="91"/>
      <x:c r="O866" s="85"/>
      <x:c r="Q866" s="86"/>
      <x:c r="R866" s="32"/>
    </x:row>
    <x:row r="867">
      <x:c r="A867" s="87"/>
      <x:c r="B867" s="88"/>
      <x:c r="D867" s="32"/>
      <x:c r="G867" s="74"/>
      <x:c r="H867" s="74"/>
      <x:c r="I867" s="74"/>
      <x:c r="J867" s="74"/>
      <x:c r="K867" s="74"/>
      <x:c r="L867" s="74"/>
      <x:c r="M867" s="91"/>
      <x:c r="N867" s="91"/>
      <x:c r="O867" s="85"/>
      <x:c r="Q867" s="86"/>
      <x:c r="R867" s="32"/>
    </x:row>
    <x:row r="868">
      <x:c r="A868" s="87"/>
      <x:c r="B868" s="88"/>
      <x:c r="D868" s="32"/>
      <x:c r="G868" s="74"/>
      <x:c r="H868" s="74"/>
      <x:c r="I868" s="74"/>
      <x:c r="J868" s="74"/>
      <x:c r="K868" s="74"/>
      <x:c r="L868" s="74"/>
      <x:c r="M868" s="91"/>
      <x:c r="N868" s="91"/>
      <x:c r="O868" s="85"/>
      <x:c r="Q868" s="86"/>
      <x:c r="R868" s="32"/>
    </x:row>
    <x:row r="869">
      <x:c r="A869" s="87"/>
      <x:c r="B869" s="88"/>
      <x:c r="D869" s="32"/>
      <x:c r="G869" s="74"/>
      <x:c r="H869" s="74"/>
      <x:c r="I869" s="74"/>
      <x:c r="J869" s="74"/>
      <x:c r="K869" s="74"/>
      <x:c r="L869" s="74"/>
      <x:c r="M869" s="91"/>
      <x:c r="N869" s="91"/>
      <x:c r="O869" s="85"/>
      <x:c r="Q869" s="86"/>
      <x:c r="R869" s="32"/>
    </x:row>
    <x:row r="870">
      <x:c r="A870" s="87"/>
      <x:c r="B870" s="88"/>
      <x:c r="D870" s="32"/>
      <x:c r="G870" s="74"/>
      <x:c r="H870" s="74"/>
      <x:c r="I870" s="74"/>
      <x:c r="J870" s="74"/>
      <x:c r="K870" s="74"/>
      <x:c r="L870" s="74"/>
      <x:c r="M870" s="91"/>
      <x:c r="N870" s="91"/>
      <x:c r="O870" s="85"/>
      <x:c r="Q870" s="86"/>
      <x:c r="R870" s="32"/>
    </x:row>
    <x:row r="871">
      <x:c r="A871" s="87"/>
      <x:c r="B871" s="88"/>
      <x:c r="D871" s="32"/>
      <x:c r="G871" s="74"/>
      <x:c r="H871" s="74"/>
      <x:c r="I871" s="74"/>
      <x:c r="J871" s="74"/>
      <x:c r="K871" s="74"/>
      <x:c r="L871" s="74"/>
      <x:c r="M871" s="91"/>
      <x:c r="N871" s="91"/>
      <x:c r="O871" s="85"/>
      <x:c r="Q871" s="86"/>
      <x:c r="R871" s="32"/>
    </x:row>
    <x:row r="872">
      <x:c r="A872" s="87"/>
      <x:c r="B872" s="88"/>
      <x:c r="D872" s="32"/>
      <x:c r="G872" s="74"/>
      <x:c r="H872" s="74"/>
      <x:c r="I872" s="74"/>
      <x:c r="J872" s="74"/>
      <x:c r="K872" s="74"/>
      <x:c r="L872" s="74"/>
      <x:c r="M872" s="91"/>
      <x:c r="N872" s="91"/>
      <x:c r="O872" s="85"/>
      <x:c r="Q872" s="86"/>
      <x:c r="R872" s="32"/>
    </x:row>
    <x:row r="873">
      <x:c r="A873" s="87"/>
      <x:c r="B873" s="88"/>
      <x:c r="D873" s="32"/>
      <x:c r="G873" s="74"/>
      <x:c r="H873" s="74"/>
      <x:c r="I873" s="74"/>
      <x:c r="J873" s="74"/>
      <x:c r="K873" s="74"/>
      <x:c r="L873" s="74"/>
      <x:c r="M873" s="91"/>
      <x:c r="N873" s="91"/>
      <x:c r="O873" s="85"/>
      <x:c r="Q873" s="86"/>
      <x:c r="R873" s="32"/>
    </x:row>
    <x:row r="874">
      <x:c r="A874" s="87"/>
      <x:c r="B874" s="88"/>
      <x:c r="D874" s="32"/>
      <x:c r="G874" s="74"/>
      <x:c r="H874" s="74"/>
      <x:c r="I874" s="74"/>
      <x:c r="J874" s="74"/>
      <x:c r="K874" s="74"/>
      <x:c r="L874" s="74"/>
      <x:c r="M874" s="91"/>
      <x:c r="N874" s="91"/>
      <x:c r="O874" s="85"/>
      <x:c r="Q874" s="86"/>
      <x:c r="R874" s="32"/>
    </x:row>
    <x:row r="875">
      <x:c r="A875" s="87"/>
      <x:c r="B875" s="88"/>
      <x:c r="D875" s="32"/>
      <x:c r="G875" s="74"/>
      <x:c r="H875" s="74"/>
      <x:c r="I875" s="74"/>
      <x:c r="J875" s="74"/>
      <x:c r="K875" s="74"/>
      <x:c r="L875" s="74"/>
      <x:c r="M875" s="91"/>
      <x:c r="N875" s="91"/>
      <x:c r="O875" s="85"/>
      <x:c r="Q875" s="86"/>
      <x:c r="R875" s="32"/>
    </x:row>
    <x:row r="876">
      <x:c r="A876" s="87"/>
      <x:c r="B876" s="88"/>
      <x:c r="D876" s="32"/>
      <x:c r="G876" s="74"/>
      <x:c r="H876" s="74"/>
      <x:c r="I876" s="74"/>
      <x:c r="J876" s="74"/>
      <x:c r="K876" s="74"/>
      <x:c r="L876" s="74"/>
      <x:c r="M876" s="91"/>
      <x:c r="N876" s="91"/>
      <x:c r="O876" s="85"/>
      <x:c r="Q876" s="86"/>
      <x:c r="R876" s="32"/>
    </x:row>
    <x:row r="877">
      <x:c r="A877" s="87"/>
      <x:c r="B877" s="88"/>
      <x:c r="D877" s="32"/>
      <x:c r="G877" s="74"/>
      <x:c r="H877" s="74"/>
      <x:c r="I877" s="74"/>
      <x:c r="J877" s="74"/>
      <x:c r="K877" s="74"/>
      <x:c r="L877" s="74"/>
      <x:c r="M877" s="91"/>
      <x:c r="N877" s="91"/>
      <x:c r="O877" s="85"/>
      <x:c r="Q877" s="86"/>
      <x:c r="R877" s="32"/>
    </x:row>
    <x:row r="878">
      <x:c r="A878" s="87"/>
      <x:c r="B878" s="88"/>
      <x:c r="D878" s="32"/>
      <x:c r="G878" s="74"/>
      <x:c r="H878" s="74"/>
      <x:c r="I878" s="74"/>
      <x:c r="J878" s="74"/>
      <x:c r="K878" s="74"/>
      <x:c r="L878" s="74"/>
      <x:c r="M878" s="91"/>
      <x:c r="N878" s="91"/>
      <x:c r="O878" s="85"/>
      <x:c r="Q878" s="86"/>
      <x:c r="R878" s="32"/>
    </x:row>
    <x:row r="879">
      <x:c r="A879" s="87"/>
      <x:c r="B879" s="88"/>
      <x:c r="D879" s="32"/>
      <x:c r="G879" s="74"/>
      <x:c r="H879" s="74"/>
      <x:c r="I879" s="74"/>
      <x:c r="J879" s="74"/>
      <x:c r="K879" s="74"/>
      <x:c r="L879" s="74"/>
      <x:c r="M879" s="91"/>
      <x:c r="N879" s="91"/>
      <x:c r="O879" s="85"/>
      <x:c r="Q879" s="86"/>
      <x:c r="R879" s="32"/>
    </x:row>
    <x:row r="880">
      <x:c r="A880" s="87"/>
      <x:c r="B880" s="88"/>
      <x:c r="D880" s="32"/>
      <x:c r="G880" s="74"/>
      <x:c r="H880" s="74"/>
      <x:c r="I880" s="74"/>
      <x:c r="J880" s="74"/>
      <x:c r="K880" s="74"/>
      <x:c r="L880" s="74"/>
      <x:c r="M880" s="91"/>
      <x:c r="N880" s="91"/>
      <x:c r="O880" s="85"/>
      <x:c r="Q880" s="86"/>
      <x:c r="R880" s="32"/>
    </x:row>
    <x:row r="881">
      <x:c r="A881" s="87"/>
      <x:c r="B881" s="88"/>
      <x:c r="D881" s="32"/>
      <x:c r="G881" s="74"/>
      <x:c r="H881" s="74"/>
      <x:c r="I881" s="74"/>
      <x:c r="J881" s="74"/>
      <x:c r="K881" s="74"/>
      <x:c r="L881" s="74"/>
      <x:c r="M881" s="91"/>
      <x:c r="N881" s="91"/>
      <x:c r="O881" s="85"/>
      <x:c r="Q881" s="86"/>
      <x:c r="R881" s="32"/>
    </x:row>
    <x:row r="882">
      <x:c r="A882" s="87"/>
      <x:c r="B882" s="88"/>
      <x:c r="D882" s="32"/>
      <x:c r="G882" s="74"/>
      <x:c r="H882" s="74"/>
      <x:c r="I882" s="74"/>
      <x:c r="J882" s="74"/>
      <x:c r="K882" s="74"/>
      <x:c r="L882" s="74"/>
      <x:c r="M882" s="91"/>
      <x:c r="N882" s="91"/>
      <x:c r="O882" s="85"/>
      <x:c r="Q882" s="86"/>
      <x:c r="R882" s="32"/>
    </x:row>
    <x:row r="883">
      <x:c r="A883" s="87"/>
      <x:c r="B883" s="88"/>
      <x:c r="D883" s="32"/>
      <x:c r="G883" s="74"/>
      <x:c r="H883" s="74"/>
      <x:c r="I883" s="74"/>
      <x:c r="J883" s="74"/>
      <x:c r="K883" s="74"/>
      <x:c r="L883" s="74"/>
      <x:c r="M883" s="91"/>
      <x:c r="N883" s="91"/>
      <x:c r="O883" s="85"/>
      <x:c r="Q883" s="86"/>
      <x:c r="R883" s="32"/>
    </x:row>
    <x:row r="884">
      <x:c r="A884" s="87"/>
      <x:c r="B884" s="88"/>
      <x:c r="D884" s="32"/>
      <x:c r="G884" s="74"/>
      <x:c r="H884" s="74"/>
      <x:c r="I884" s="74"/>
      <x:c r="J884" s="74"/>
      <x:c r="K884" s="74"/>
      <x:c r="L884" s="74"/>
      <x:c r="M884" s="91"/>
      <x:c r="N884" s="91"/>
      <x:c r="O884" s="85"/>
      <x:c r="Q884" s="86"/>
      <x:c r="R884" s="32"/>
    </x:row>
    <x:row r="885">
      <x:c r="A885" s="87"/>
      <x:c r="B885" s="88"/>
      <x:c r="D885" s="32"/>
      <x:c r="G885" s="74"/>
      <x:c r="H885" s="74"/>
      <x:c r="I885" s="74"/>
      <x:c r="J885" s="74"/>
      <x:c r="K885" s="74"/>
      <x:c r="L885" s="74"/>
      <x:c r="M885" s="91"/>
      <x:c r="N885" s="91"/>
      <x:c r="O885" s="85"/>
      <x:c r="Q885" s="86"/>
      <x:c r="R885" s="32"/>
    </x:row>
    <x:row r="886">
      <x:c r="A886" s="87"/>
      <x:c r="B886" s="88"/>
      <x:c r="D886" s="32"/>
      <x:c r="G886" s="74"/>
      <x:c r="H886" s="74"/>
      <x:c r="I886" s="74"/>
      <x:c r="J886" s="74"/>
      <x:c r="K886" s="74"/>
      <x:c r="L886" s="74"/>
      <x:c r="M886" s="91"/>
      <x:c r="N886" s="91"/>
      <x:c r="O886" s="85"/>
      <x:c r="Q886" s="86"/>
      <x:c r="R886" s="32"/>
    </x:row>
    <x:row r="887">
      <x:c r="A887" s="87"/>
      <x:c r="B887" s="88"/>
      <x:c r="D887" s="32"/>
      <x:c r="G887" s="74"/>
      <x:c r="H887" s="74"/>
      <x:c r="I887" s="74"/>
      <x:c r="J887" s="74"/>
      <x:c r="K887" s="74"/>
      <x:c r="L887" s="74"/>
      <x:c r="M887" s="91"/>
      <x:c r="N887" s="91"/>
      <x:c r="O887" s="85"/>
      <x:c r="Q887" s="86"/>
      <x:c r="R887" s="32"/>
    </x:row>
    <x:row r="888">
      <x:c r="A888" s="87"/>
      <x:c r="B888" s="88"/>
      <x:c r="D888" s="32"/>
      <x:c r="G888" s="74"/>
      <x:c r="H888" s="74"/>
      <x:c r="I888" s="74"/>
      <x:c r="J888" s="74"/>
      <x:c r="K888" s="74"/>
      <x:c r="L888" s="74"/>
      <x:c r="M888" s="91"/>
      <x:c r="N888" s="91"/>
      <x:c r="O888" s="85"/>
      <x:c r="Q888" s="86"/>
      <x:c r="R888" s="32"/>
    </x:row>
    <x:row r="889">
      <x:c r="A889" s="87"/>
      <x:c r="B889" s="88"/>
      <x:c r="D889" s="32"/>
      <x:c r="G889" s="74"/>
      <x:c r="H889" s="74"/>
      <x:c r="I889" s="74"/>
      <x:c r="J889" s="74"/>
      <x:c r="K889" s="74"/>
      <x:c r="L889" s="74"/>
      <x:c r="M889" s="91"/>
      <x:c r="N889" s="91"/>
      <x:c r="O889" s="85"/>
      <x:c r="Q889" s="86"/>
      <x:c r="R889" s="32"/>
    </x:row>
    <x:row r="890">
      <x:c r="A890" s="87"/>
      <x:c r="B890" s="88"/>
      <x:c r="D890" s="32"/>
      <x:c r="G890" s="74"/>
      <x:c r="H890" s="74"/>
      <x:c r="I890" s="74"/>
      <x:c r="J890" s="74"/>
      <x:c r="K890" s="74"/>
      <x:c r="L890" s="74"/>
      <x:c r="M890" s="91"/>
      <x:c r="N890" s="91"/>
      <x:c r="O890" s="85"/>
      <x:c r="Q890" s="86"/>
      <x:c r="R890" s="32"/>
    </x:row>
    <x:row r="891">
      <x:c r="A891" s="87"/>
      <x:c r="B891" s="88"/>
      <x:c r="D891" s="32"/>
      <x:c r="G891" s="74"/>
      <x:c r="H891" s="74"/>
      <x:c r="I891" s="74"/>
      <x:c r="J891" s="74"/>
      <x:c r="K891" s="74"/>
      <x:c r="L891" s="74"/>
      <x:c r="M891" s="91"/>
      <x:c r="N891" s="91"/>
      <x:c r="O891" s="85"/>
      <x:c r="Q891" s="86"/>
      <x:c r="R891" s="32"/>
    </x:row>
    <x:row r="892">
      <x:c r="A892" s="87"/>
      <x:c r="B892" s="88"/>
      <x:c r="D892" s="32"/>
      <x:c r="G892" s="74"/>
      <x:c r="H892" s="74"/>
      <x:c r="I892" s="74"/>
      <x:c r="J892" s="74"/>
      <x:c r="K892" s="74"/>
      <x:c r="L892" s="74"/>
      <x:c r="M892" s="91"/>
      <x:c r="N892" s="91"/>
      <x:c r="O892" s="85"/>
      <x:c r="Q892" s="86"/>
      <x:c r="R892" s="32"/>
    </x:row>
    <x:row r="893">
      <x:c r="A893" s="87"/>
      <x:c r="B893" s="88"/>
      <x:c r="D893" s="32"/>
      <x:c r="G893" s="74"/>
      <x:c r="H893" s="74"/>
      <x:c r="I893" s="74"/>
      <x:c r="J893" s="74"/>
      <x:c r="K893" s="74"/>
      <x:c r="L893" s="74"/>
      <x:c r="M893" s="91"/>
      <x:c r="N893" s="91"/>
      <x:c r="O893" s="85"/>
      <x:c r="Q893" s="86"/>
      <x:c r="R893" s="32"/>
    </x:row>
    <x:row r="894">
      <x:c r="A894" s="87"/>
      <x:c r="B894" s="88"/>
      <x:c r="D894" s="32"/>
      <x:c r="G894" s="74"/>
      <x:c r="H894" s="74"/>
      <x:c r="I894" s="74"/>
      <x:c r="J894" s="74"/>
      <x:c r="K894" s="74"/>
      <x:c r="L894" s="74"/>
      <x:c r="M894" s="91"/>
      <x:c r="N894" s="91"/>
      <x:c r="O894" s="85"/>
      <x:c r="Q894" s="86"/>
      <x:c r="R894" s="32"/>
    </x:row>
    <x:row r="895">
      <x:c r="A895" s="87"/>
      <x:c r="B895" s="88"/>
      <x:c r="D895" s="32"/>
      <x:c r="G895" s="74"/>
      <x:c r="H895" s="74"/>
      <x:c r="I895" s="74"/>
      <x:c r="J895" s="74"/>
      <x:c r="K895" s="74"/>
      <x:c r="L895" s="74"/>
      <x:c r="M895" s="91"/>
      <x:c r="N895" s="91"/>
      <x:c r="O895" s="85"/>
      <x:c r="Q895" s="86"/>
      <x:c r="R895" s="32"/>
    </x:row>
    <x:row r="896">
      <x:c r="A896" s="87"/>
      <x:c r="B896" s="88"/>
      <x:c r="D896" s="32"/>
      <x:c r="G896" s="74"/>
      <x:c r="H896" s="74"/>
      <x:c r="I896" s="74"/>
      <x:c r="J896" s="74"/>
      <x:c r="K896" s="74"/>
      <x:c r="L896" s="74"/>
      <x:c r="M896" s="91"/>
      <x:c r="N896" s="91"/>
      <x:c r="O896" s="85"/>
      <x:c r="Q896" s="86"/>
      <x:c r="R896" s="32"/>
    </x:row>
    <x:row r="897">
      <x:c r="A897" s="87"/>
      <x:c r="B897" s="88"/>
      <x:c r="D897" s="32"/>
      <x:c r="G897" s="74"/>
      <x:c r="H897" s="74"/>
      <x:c r="I897" s="74"/>
      <x:c r="J897" s="74"/>
      <x:c r="K897" s="74"/>
      <x:c r="L897" s="74"/>
      <x:c r="M897" s="91"/>
      <x:c r="N897" s="91"/>
      <x:c r="O897" s="85"/>
      <x:c r="Q897" s="86"/>
      <x:c r="R897" s="32"/>
    </x:row>
    <x:row r="898">
      <x:c r="A898" s="87"/>
      <x:c r="B898" s="88"/>
      <x:c r="D898" s="32"/>
      <x:c r="G898" s="74"/>
      <x:c r="H898" s="74"/>
      <x:c r="I898" s="74"/>
      <x:c r="J898" s="74"/>
      <x:c r="K898" s="74"/>
      <x:c r="L898" s="74"/>
      <x:c r="M898" s="91"/>
      <x:c r="N898" s="91"/>
      <x:c r="O898" s="85"/>
      <x:c r="Q898" s="86"/>
      <x:c r="R898" s="32"/>
    </x:row>
    <x:row r="899">
      <x:c r="A899" s="87"/>
      <x:c r="B899" s="88"/>
      <x:c r="D899" s="32"/>
      <x:c r="G899" s="74"/>
      <x:c r="H899" s="74"/>
      <x:c r="I899" s="74"/>
      <x:c r="J899" s="74"/>
      <x:c r="K899" s="74"/>
      <x:c r="L899" s="74"/>
      <x:c r="M899" s="91"/>
      <x:c r="N899" s="91"/>
      <x:c r="O899" s="85"/>
      <x:c r="Q899" s="86"/>
      <x:c r="R899" s="32"/>
    </x:row>
    <x:row r="900">
      <x:c r="A900" s="87"/>
      <x:c r="B900" s="88"/>
      <x:c r="D900" s="32"/>
      <x:c r="G900" s="74"/>
      <x:c r="H900" s="74"/>
      <x:c r="I900" s="74"/>
      <x:c r="J900" s="74"/>
      <x:c r="K900" s="74"/>
      <x:c r="L900" s="74"/>
      <x:c r="M900" s="91"/>
      <x:c r="N900" s="91"/>
      <x:c r="O900" s="85"/>
      <x:c r="Q900" s="86"/>
      <x:c r="R900" s="32"/>
    </x:row>
    <x:row r="901">
      <x:c r="A901" s="87"/>
      <x:c r="B901" s="88"/>
      <x:c r="D901" s="32"/>
      <x:c r="G901" s="74"/>
      <x:c r="H901" s="74"/>
      <x:c r="I901" s="74"/>
      <x:c r="J901" s="74"/>
      <x:c r="K901" s="74"/>
      <x:c r="L901" s="74"/>
      <x:c r="M901" s="91"/>
      <x:c r="N901" s="91"/>
      <x:c r="O901" s="85"/>
      <x:c r="Q901" s="86"/>
      <x:c r="R901" s="32"/>
    </x:row>
    <x:row r="902">
      <x:c r="A902" s="87"/>
      <x:c r="B902" s="88"/>
      <x:c r="D902" s="32"/>
      <x:c r="G902" s="74"/>
      <x:c r="H902" s="74"/>
      <x:c r="I902" s="74"/>
      <x:c r="J902" s="74"/>
      <x:c r="K902" s="74"/>
      <x:c r="L902" s="74"/>
      <x:c r="M902" s="91"/>
      <x:c r="N902" s="91"/>
      <x:c r="O902" s="85"/>
      <x:c r="Q902" s="86"/>
      <x:c r="R902" s="32"/>
    </x:row>
    <x:row r="903">
      <x:c r="A903" s="87"/>
      <x:c r="B903" s="88"/>
      <x:c r="D903" s="32"/>
      <x:c r="G903" s="74"/>
      <x:c r="H903" s="74"/>
      <x:c r="I903" s="74"/>
      <x:c r="J903" s="74"/>
      <x:c r="K903" s="74"/>
      <x:c r="L903" s="74"/>
      <x:c r="M903" s="91"/>
      <x:c r="N903" s="91"/>
      <x:c r="O903" s="85"/>
      <x:c r="Q903" s="86"/>
      <x:c r="R903" s="32"/>
    </x:row>
    <x:row r="904">
      <x:c r="A904" s="87"/>
      <x:c r="B904" s="88"/>
      <x:c r="D904" s="32"/>
      <x:c r="G904" s="74"/>
      <x:c r="H904" s="74"/>
      <x:c r="I904" s="74"/>
      <x:c r="J904" s="74"/>
      <x:c r="K904" s="74"/>
      <x:c r="L904" s="74"/>
      <x:c r="M904" s="91"/>
      <x:c r="N904" s="91"/>
      <x:c r="O904" s="85"/>
      <x:c r="Q904" s="86"/>
      <x:c r="R904" s="32"/>
    </x:row>
    <x:row r="905">
      <x:c r="A905" s="87"/>
      <x:c r="B905" s="88"/>
      <x:c r="D905" s="32"/>
      <x:c r="G905" s="74"/>
      <x:c r="H905" s="74"/>
      <x:c r="I905" s="74"/>
      <x:c r="J905" s="74"/>
      <x:c r="K905" s="74"/>
      <x:c r="L905" s="74"/>
      <x:c r="M905" s="91"/>
      <x:c r="N905" s="91"/>
      <x:c r="O905" s="85"/>
      <x:c r="Q905" s="86"/>
      <x:c r="R905" s="32"/>
    </x:row>
    <x:row r="906">
      <x:c r="A906" s="87"/>
      <x:c r="B906" s="88"/>
      <x:c r="D906" s="32"/>
      <x:c r="G906" s="74"/>
      <x:c r="H906" s="74"/>
      <x:c r="I906" s="74"/>
      <x:c r="J906" s="74"/>
      <x:c r="K906" s="74"/>
      <x:c r="L906" s="74"/>
      <x:c r="M906" s="91"/>
      <x:c r="N906" s="91"/>
      <x:c r="O906" s="85"/>
      <x:c r="Q906" s="86"/>
      <x:c r="R906" s="32"/>
    </x:row>
    <x:row r="907">
      <x:c r="A907" s="87"/>
      <x:c r="B907" s="88"/>
      <x:c r="D907" s="32"/>
      <x:c r="G907" s="74"/>
      <x:c r="H907" s="74"/>
      <x:c r="I907" s="74"/>
      <x:c r="J907" s="74"/>
      <x:c r="K907" s="74"/>
      <x:c r="L907" s="74"/>
      <x:c r="M907" s="91"/>
      <x:c r="N907" s="91"/>
      <x:c r="O907" s="85"/>
      <x:c r="Q907" s="86"/>
      <x:c r="R907" s="32"/>
    </x:row>
    <x:row r="908">
      <x:c r="A908" s="87"/>
      <x:c r="B908" s="88"/>
      <x:c r="D908" s="32"/>
      <x:c r="G908" s="74"/>
      <x:c r="H908" s="74"/>
      <x:c r="I908" s="74"/>
      <x:c r="J908" s="74"/>
      <x:c r="K908" s="74"/>
      <x:c r="L908" s="74"/>
      <x:c r="M908" s="91"/>
      <x:c r="N908" s="91"/>
      <x:c r="O908" s="85"/>
      <x:c r="Q908" s="86"/>
      <x:c r="R908" s="32"/>
    </x:row>
    <x:row r="909">
      <x:c r="A909" s="87"/>
      <x:c r="B909" s="88"/>
      <x:c r="D909" s="32"/>
      <x:c r="G909" s="74"/>
      <x:c r="H909" s="74"/>
      <x:c r="I909" s="74"/>
      <x:c r="J909" s="74"/>
      <x:c r="K909" s="74"/>
      <x:c r="L909" s="74"/>
      <x:c r="M909" s="91"/>
      <x:c r="N909" s="91"/>
      <x:c r="O909" s="85"/>
      <x:c r="Q909" s="86"/>
      <x:c r="R909" s="32"/>
    </x:row>
    <x:row r="910">
      <x:c r="A910" s="87"/>
      <x:c r="B910" s="88"/>
      <x:c r="D910" s="32"/>
      <x:c r="G910" s="74"/>
      <x:c r="H910" s="74"/>
      <x:c r="I910" s="74"/>
      <x:c r="J910" s="74"/>
      <x:c r="K910" s="74"/>
      <x:c r="L910" s="74"/>
      <x:c r="M910" s="91"/>
      <x:c r="N910" s="91"/>
      <x:c r="O910" s="85"/>
      <x:c r="Q910" s="86"/>
      <x:c r="R910" s="32"/>
    </x:row>
    <x:row r="911">
      <x:c r="A911" s="87"/>
      <x:c r="B911" s="88"/>
      <x:c r="D911" s="32"/>
      <x:c r="G911" s="74"/>
      <x:c r="H911" s="74"/>
      <x:c r="I911" s="74"/>
      <x:c r="J911" s="74"/>
      <x:c r="K911" s="74"/>
      <x:c r="L911" s="74"/>
      <x:c r="M911" s="91"/>
      <x:c r="N911" s="91"/>
      <x:c r="O911" s="85"/>
      <x:c r="Q911" s="86"/>
      <x:c r="R911" s="32"/>
    </x:row>
    <x:row r="912">
      <x:c r="A912" s="87"/>
      <x:c r="B912" s="88"/>
      <x:c r="D912" s="32"/>
      <x:c r="G912" s="74"/>
      <x:c r="H912" s="74"/>
      <x:c r="I912" s="74"/>
      <x:c r="J912" s="74"/>
      <x:c r="K912" s="74"/>
      <x:c r="L912" s="74"/>
      <x:c r="M912" s="91"/>
      <x:c r="N912" s="91"/>
      <x:c r="O912" s="85"/>
      <x:c r="Q912" s="86"/>
      <x:c r="R912" s="32"/>
    </x:row>
    <x:row r="913">
      <x:c r="A913" s="87"/>
      <x:c r="B913" s="88"/>
      <x:c r="D913" s="32"/>
      <x:c r="G913" s="74"/>
      <x:c r="H913" s="74"/>
      <x:c r="I913" s="74"/>
      <x:c r="J913" s="74"/>
      <x:c r="K913" s="74"/>
      <x:c r="L913" s="74"/>
      <x:c r="M913" s="91"/>
      <x:c r="N913" s="91"/>
      <x:c r="O913" s="85"/>
      <x:c r="Q913" s="86"/>
      <x:c r="R913" s="32"/>
    </x:row>
    <x:row r="914">
      <x:c r="A914" s="87"/>
      <x:c r="B914" s="88"/>
      <x:c r="D914" s="32"/>
      <x:c r="G914" s="74"/>
      <x:c r="H914" s="74"/>
      <x:c r="I914" s="74"/>
      <x:c r="J914" s="74"/>
      <x:c r="K914" s="74"/>
      <x:c r="L914" s="74"/>
      <x:c r="M914" s="91"/>
      <x:c r="N914" s="91"/>
      <x:c r="O914" s="85"/>
      <x:c r="Q914" s="86"/>
      <x:c r="R914" s="32"/>
    </x:row>
    <x:row r="915">
      <x:c r="A915" s="87"/>
      <x:c r="B915" s="88"/>
      <x:c r="D915" s="32"/>
      <x:c r="G915" s="74"/>
      <x:c r="H915" s="74"/>
      <x:c r="I915" s="74"/>
      <x:c r="J915" s="74"/>
      <x:c r="K915" s="74"/>
      <x:c r="L915" s="74"/>
      <x:c r="M915" s="91"/>
      <x:c r="N915" s="91"/>
      <x:c r="O915" s="85"/>
      <x:c r="Q915" s="86"/>
      <x:c r="R915" s="32"/>
    </x:row>
    <x:row r="916">
      <x:c r="A916" s="87"/>
      <x:c r="B916" s="88"/>
      <x:c r="D916" s="32"/>
      <x:c r="G916" s="74"/>
      <x:c r="H916" s="74"/>
      <x:c r="I916" s="74"/>
      <x:c r="J916" s="74"/>
      <x:c r="K916" s="74"/>
      <x:c r="L916" s="74"/>
      <x:c r="M916" s="91"/>
      <x:c r="N916" s="91"/>
      <x:c r="O916" s="85"/>
      <x:c r="Q916" s="86"/>
      <x:c r="R916" s="32"/>
    </x:row>
    <x:row r="917">
      <x:c r="A917" s="87"/>
      <x:c r="B917" s="88"/>
      <x:c r="D917" s="32"/>
      <x:c r="G917" s="74"/>
      <x:c r="H917" s="74"/>
      <x:c r="I917" s="74"/>
      <x:c r="J917" s="74"/>
      <x:c r="K917" s="74"/>
      <x:c r="L917" s="74"/>
      <x:c r="M917" s="91"/>
      <x:c r="N917" s="91"/>
      <x:c r="O917" s="85"/>
      <x:c r="Q917" s="86"/>
      <x:c r="R917" s="32"/>
    </x:row>
    <x:row r="918">
      <x:c r="A918" s="87"/>
      <x:c r="B918" s="88"/>
      <x:c r="D918" s="32"/>
      <x:c r="G918" s="74"/>
      <x:c r="H918" s="74"/>
      <x:c r="I918" s="74"/>
      <x:c r="J918" s="74"/>
      <x:c r="K918" s="74"/>
      <x:c r="L918" s="74"/>
      <x:c r="M918" s="91"/>
      <x:c r="N918" s="91"/>
      <x:c r="O918" s="85"/>
      <x:c r="Q918" s="86"/>
      <x:c r="R918" s="32"/>
    </x:row>
    <x:row r="919">
      <x:c r="A919" s="87"/>
      <x:c r="B919" s="88"/>
      <x:c r="D919" s="32"/>
      <x:c r="G919" s="74"/>
      <x:c r="H919" s="74"/>
      <x:c r="I919" s="74"/>
      <x:c r="J919" s="74"/>
      <x:c r="K919" s="74"/>
      <x:c r="L919" s="74"/>
      <x:c r="M919" s="91"/>
      <x:c r="N919" s="91"/>
      <x:c r="O919" s="85"/>
      <x:c r="Q919" s="86"/>
      <x:c r="R919" s="32"/>
    </x:row>
    <x:row r="920">
      <x:c r="A920" s="87"/>
      <x:c r="B920" s="88"/>
      <x:c r="D920" s="32"/>
      <x:c r="G920" s="74"/>
      <x:c r="H920" s="74"/>
      <x:c r="I920" s="74"/>
      <x:c r="J920" s="74"/>
      <x:c r="K920" s="74"/>
      <x:c r="L920" s="74"/>
      <x:c r="M920" s="91"/>
      <x:c r="N920" s="91"/>
      <x:c r="O920" s="85"/>
      <x:c r="Q920" s="86"/>
      <x:c r="R920" s="32"/>
    </x:row>
    <x:row r="921">
      <x:c r="A921" s="87"/>
      <x:c r="B921" s="88"/>
      <x:c r="D921" s="32"/>
      <x:c r="G921" s="74"/>
      <x:c r="H921" s="74"/>
      <x:c r="I921" s="74"/>
      <x:c r="J921" s="74"/>
      <x:c r="K921" s="74"/>
      <x:c r="L921" s="74"/>
      <x:c r="M921" s="91"/>
      <x:c r="N921" s="91"/>
      <x:c r="O921" s="85"/>
      <x:c r="Q921" s="86"/>
      <x:c r="R921" s="32"/>
    </x:row>
    <x:row r="922">
      <x:c r="A922" s="87"/>
      <x:c r="B922" s="88"/>
      <x:c r="D922" s="32"/>
      <x:c r="G922" s="74"/>
      <x:c r="H922" s="74"/>
      <x:c r="I922" s="74"/>
      <x:c r="J922" s="74"/>
      <x:c r="K922" s="74"/>
      <x:c r="L922" s="74"/>
      <x:c r="M922" s="91"/>
      <x:c r="N922" s="91"/>
      <x:c r="O922" s="85"/>
      <x:c r="Q922" s="86"/>
      <x:c r="R922" s="32"/>
    </x:row>
    <x:row r="923">
      <x:c r="A923" s="87"/>
      <x:c r="B923" s="88"/>
      <x:c r="D923" s="32"/>
      <x:c r="G923" s="74"/>
      <x:c r="H923" s="74"/>
      <x:c r="I923" s="74"/>
      <x:c r="J923" s="74"/>
      <x:c r="K923" s="74"/>
      <x:c r="L923" s="74"/>
      <x:c r="M923" s="91"/>
      <x:c r="N923" s="91"/>
      <x:c r="O923" s="85"/>
      <x:c r="Q923" s="86"/>
      <x:c r="R923" s="32"/>
    </x:row>
    <x:row r="924">
      <x:c r="A924" s="87"/>
      <x:c r="B924" s="88"/>
      <x:c r="D924" s="32"/>
      <x:c r="G924" s="74"/>
      <x:c r="H924" s="74"/>
      <x:c r="I924" s="74"/>
      <x:c r="J924" s="74"/>
      <x:c r="K924" s="74"/>
      <x:c r="L924" s="74"/>
      <x:c r="M924" s="91"/>
      <x:c r="N924" s="91"/>
      <x:c r="O924" s="85"/>
      <x:c r="Q924" s="86"/>
      <x:c r="R924" s="32"/>
    </x:row>
    <x:row r="925">
      <x:c r="A925" s="87"/>
      <x:c r="B925" s="88"/>
      <x:c r="D925" s="32"/>
      <x:c r="G925" s="74"/>
      <x:c r="H925" s="74"/>
      <x:c r="I925" s="74"/>
      <x:c r="J925" s="74"/>
      <x:c r="K925" s="74"/>
      <x:c r="L925" s="74"/>
      <x:c r="M925" s="91"/>
      <x:c r="N925" s="91"/>
      <x:c r="O925" s="85"/>
      <x:c r="Q925" s="86"/>
      <x:c r="R925" s="32"/>
    </x:row>
    <x:row r="926">
      <x:c r="A926" s="87"/>
      <x:c r="B926" s="88"/>
      <x:c r="D926" s="32"/>
      <x:c r="G926" s="74"/>
      <x:c r="H926" s="74"/>
      <x:c r="I926" s="74"/>
      <x:c r="J926" s="74"/>
      <x:c r="K926" s="74"/>
      <x:c r="L926" s="74"/>
      <x:c r="M926" s="91"/>
      <x:c r="N926" s="91"/>
      <x:c r="O926" s="85"/>
      <x:c r="Q926" s="86"/>
      <x:c r="R926" s="32"/>
    </x:row>
    <x:row r="927">
      <x:c r="A927" s="87"/>
      <x:c r="B927" s="88"/>
      <x:c r="D927" s="32"/>
      <x:c r="G927" s="74"/>
      <x:c r="H927" s="74"/>
      <x:c r="I927" s="74"/>
      <x:c r="J927" s="74"/>
      <x:c r="K927" s="74"/>
      <x:c r="L927" s="74"/>
      <x:c r="M927" s="91"/>
      <x:c r="N927" s="91"/>
      <x:c r="O927" s="85"/>
      <x:c r="Q927" s="86"/>
      <x:c r="R927" s="32"/>
    </x:row>
    <x:row r="928">
      <x:c r="A928" s="87"/>
      <x:c r="B928" s="88"/>
      <x:c r="D928" s="32"/>
      <x:c r="G928" s="74"/>
      <x:c r="H928" s="74"/>
      <x:c r="I928" s="74"/>
      <x:c r="J928" s="74"/>
      <x:c r="K928" s="74"/>
      <x:c r="L928" s="74"/>
      <x:c r="M928" s="91"/>
      <x:c r="N928" s="91"/>
      <x:c r="O928" s="85"/>
      <x:c r="Q928" s="86"/>
      <x:c r="R928" s="32"/>
    </x:row>
    <x:row r="929">
      <x:c r="A929" s="87"/>
      <x:c r="B929" s="88"/>
      <x:c r="D929" s="32"/>
      <x:c r="G929" s="74"/>
      <x:c r="H929" s="74"/>
      <x:c r="I929" s="74"/>
      <x:c r="J929" s="74"/>
      <x:c r="K929" s="74"/>
      <x:c r="L929" s="74"/>
      <x:c r="M929" s="91"/>
      <x:c r="N929" s="91"/>
      <x:c r="O929" s="85"/>
      <x:c r="Q929" s="86"/>
      <x:c r="R929" s="32"/>
    </x:row>
    <x:row r="930">
      <x:c r="A930" s="87"/>
      <x:c r="B930" s="88"/>
      <x:c r="D930" s="32"/>
      <x:c r="G930" s="74"/>
      <x:c r="H930" s="74"/>
      <x:c r="I930" s="74"/>
      <x:c r="J930" s="74"/>
      <x:c r="K930" s="74"/>
      <x:c r="L930" s="74"/>
      <x:c r="M930" s="91"/>
      <x:c r="N930" s="91"/>
      <x:c r="O930" s="85"/>
      <x:c r="Q930" s="86"/>
      <x:c r="R930" s="32"/>
    </x:row>
    <x:row r="931">
      <x:c r="A931" s="87"/>
      <x:c r="B931" s="88"/>
      <x:c r="D931" s="32"/>
      <x:c r="G931" s="74"/>
      <x:c r="H931" s="74"/>
      <x:c r="I931" s="74"/>
      <x:c r="J931" s="74"/>
      <x:c r="K931" s="74"/>
      <x:c r="L931" s="74"/>
      <x:c r="M931" s="91"/>
      <x:c r="N931" s="91"/>
      <x:c r="O931" s="85"/>
      <x:c r="Q931" s="86"/>
      <x:c r="R931" s="32"/>
    </x:row>
    <x:row r="932">
      <x:c r="A932" s="87"/>
      <x:c r="B932" s="88"/>
      <x:c r="D932" s="32"/>
      <x:c r="G932" s="74"/>
      <x:c r="H932" s="74"/>
      <x:c r="I932" s="74"/>
      <x:c r="J932" s="74"/>
      <x:c r="K932" s="74"/>
      <x:c r="L932" s="74"/>
      <x:c r="M932" s="91"/>
      <x:c r="N932" s="91"/>
      <x:c r="O932" s="85"/>
      <x:c r="Q932" s="86"/>
      <x:c r="R932" s="32"/>
    </x:row>
    <x:row r="933">
      <x:c r="A933" s="87"/>
      <x:c r="B933" s="88"/>
      <x:c r="D933" s="32"/>
      <x:c r="G933" s="74"/>
      <x:c r="H933" s="74"/>
      <x:c r="I933" s="74"/>
      <x:c r="J933" s="74"/>
      <x:c r="K933" s="74"/>
      <x:c r="L933" s="74"/>
      <x:c r="M933" s="91"/>
      <x:c r="N933" s="91"/>
      <x:c r="O933" s="85"/>
      <x:c r="Q933" s="86"/>
      <x:c r="R933" s="32"/>
    </x:row>
    <x:row r="934">
      <x:c r="A934" s="87"/>
      <x:c r="B934" s="88"/>
      <x:c r="D934" s="32"/>
      <x:c r="G934" s="74"/>
      <x:c r="H934" s="74"/>
      <x:c r="I934" s="74"/>
      <x:c r="J934" s="74"/>
      <x:c r="K934" s="74"/>
      <x:c r="L934" s="74"/>
      <x:c r="M934" s="91"/>
      <x:c r="N934" s="91"/>
      <x:c r="O934" s="85"/>
      <x:c r="Q934" s="86"/>
      <x:c r="R934" s="32"/>
    </x:row>
    <x:row r="935">
      <x:c r="A935" s="87"/>
      <x:c r="B935" s="88"/>
      <x:c r="D935" s="32"/>
      <x:c r="G935" s="74"/>
      <x:c r="H935" s="74"/>
      <x:c r="I935" s="74"/>
      <x:c r="J935" s="74"/>
      <x:c r="K935" s="74"/>
      <x:c r="L935" s="74"/>
      <x:c r="M935" s="91"/>
      <x:c r="N935" s="91"/>
      <x:c r="O935" s="85"/>
      <x:c r="Q935" s="86"/>
      <x:c r="R935" s="32"/>
    </x:row>
    <x:row r="936">
      <x:c r="A936" s="87"/>
      <x:c r="B936" s="88"/>
      <x:c r="D936" s="32"/>
      <x:c r="G936" s="74"/>
      <x:c r="H936" s="74"/>
      <x:c r="I936" s="74"/>
      <x:c r="J936" s="74"/>
      <x:c r="K936" s="74"/>
      <x:c r="L936" s="74"/>
      <x:c r="M936" s="91"/>
      <x:c r="N936" s="91"/>
      <x:c r="O936" s="85"/>
      <x:c r="Q936" s="86"/>
      <x:c r="R936" s="32"/>
    </x:row>
    <x:row r="937">
      <x:c r="A937" s="87"/>
      <x:c r="B937" s="88"/>
      <x:c r="D937" s="32"/>
      <x:c r="G937" s="74"/>
      <x:c r="H937" s="74"/>
      <x:c r="I937" s="74"/>
      <x:c r="J937" s="74"/>
      <x:c r="K937" s="74"/>
      <x:c r="L937" s="74"/>
      <x:c r="M937" s="91"/>
      <x:c r="N937" s="91"/>
      <x:c r="O937" s="85"/>
      <x:c r="Q937" s="86"/>
      <x:c r="R937" s="32"/>
    </x:row>
    <x:row r="938">
      <x:c r="A938" s="87"/>
      <x:c r="B938" s="88"/>
      <x:c r="D938" s="32"/>
      <x:c r="G938" s="74"/>
      <x:c r="H938" s="74"/>
      <x:c r="I938" s="74"/>
      <x:c r="J938" s="74"/>
      <x:c r="K938" s="74"/>
      <x:c r="L938" s="74"/>
      <x:c r="M938" s="91"/>
      <x:c r="N938" s="91"/>
      <x:c r="O938" s="85"/>
      <x:c r="Q938" s="86"/>
      <x:c r="R938" s="32"/>
    </x:row>
    <x:row r="939">
      <x:c r="A939" s="87"/>
      <x:c r="B939" s="88"/>
      <x:c r="D939" s="32"/>
      <x:c r="G939" s="74"/>
      <x:c r="H939" s="74"/>
      <x:c r="I939" s="74"/>
      <x:c r="J939" s="74"/>
      <x:c r="K939" s="74"/>
      <x:c r="L939" s="74"/>
      <x:c r="M939" s="91"/>
      <x:c r="N939" s="91"/>
      <x:c r="O939" s="85"/>
      <x:c r="Q939" s="86"/>
      <x:c r="R939" s="32"/>
    </x:row>
    <x:row r="940">
      <x:c r="A940" s="87"/>
      <x:c r="B940" s="88"/>
      <x:c r="D940" s="32"/>
      <x:c r="G940" s="74"/>
      <x:c r="H940" s="74"/>
      <x:c r="I940" s="74"/>
      <x:c r="J940" s="74"/>
      <x:c r="K940" s="74"/>
      <x:c r="L940" s="74"/>
      <x:c r="M940" s="91"/>
      <x:c r="N940" s="91"/>
      <x:c r="O940" s="85"/>
      <x:c r="Q940" s="86"/>
      <x:c r="R940" s="32"/>
    </x:row>
    <x:row r="941">
      <x:c r="A941" s="87"/>
      <x:c r="B941" s="88"/>
      <x:c r="D941" s="32"/>
      <x:c r="G941" s="74"/>
      <x:c r="H941" s="74"/>
      <x:c r="I941" s="74"/>
      <x:c r="J941" s="74"/>
      <x:c r="K941" s="74"/>
      <x:c r="L941" s="74"/>
      <x:c r="M941" s="91"/>
      <x:c r="N941" s="91"/>
      <x:c r="O941" s="85"/>
      <x:c r="Q941" s="86"/>
      <x:c r="R941" s="32"/>
    </x:row>
    <x:row r="942">
      <x:c r="A942" s="87"/>
      <x:c r="B942" s="88"/>
      <x:c r="D942" s="32"/>
      <x:c r="G942" s="74"/>
      <x:c r="H942" s="74"/>
      <x:c r="I942" s="74"/>
      <x:c r="J942" s="74"/>
      <x:c r="K942" s="74"/>
      <x:c r="L942" s="74"/>
      <x:c r="M942" s="91"/>
      <x:c r="N942" s="91"/>
      <x:c r="O942" s="85"/>
      <x:c r="Q942" s="86"/>
      <x:c r="R942" s="32"/>
    </x:row>
    <x:row r="943">
      <x:c r="A943" s="87"/>
      <x:c r="B943" s="88"/>
      <x:c r="D943" s="32"/>
      <x:c r="G943" s="74"/>
      <x:c r="H943" s="74"/>
      <x:c r="I943" s="74"/>
      <x:c r="J943" s="74"/>
      <x:c r="K943" s="74"/>
      <x:c r="L943" s="74"/>
      <x:c r="M943" s="91"/>
      <x:c r="N943" s="91"/>
      <x:c r="O943" s="85"/>
      <x:c r="Q943" s="86"/>
      <x:c r="R943" s="32"/>
    </x:row>
    <x:row r="944">
      <x:c r="A944" s="87"/>
      <x:c r="B944" s="88"/>
      <x:c r="D944" s="32"/>
      <x:c r="G944" s="74"/>
      <x:c r="H944" s="74"/>
      <x:c r="I944" s="74"/>
      <x:c r="J944" s="74"/>
      <x:c r="K944" s="74"/>
      <x:c r="L944" s="74"/>
      <x:c r="M944" s="91"/>
      <x:c r="N944" s="91"/>
      <x:c r="O944" s="85"/>
      <x:c r="Q944" s="86"/>
      <x:c r="R944" s="32"/>
    </x:row>
    <x:row r="945">
      <x:c r="A945" s="87"/>
      <x:c r="B945" s="88"/>
      <x:c r="D945" s="32"/>
      <x:c r="G945" s="74"/>
      <x:c r="H945" s="74"/>
      <x:c r="I945" s="74"/>
      <x:c r="J945" s="74"/>
      <x:c r="K945" s="74"/>
      <x:c r="L945" s="74"/>
      <x:c r="M945" s="91"/>
      <x:c r="N945" s="91"/>
      <x:c r="O945" s="85"/>
      <x:c r="Q945" s="86"/>
      <x:c r="R945" s="32"/>
    </x:row>
    <x:row r="946">
      <x:c r="A946" s="87"/>
      <x:c r="B946" s="88"/>
      <x:c r="D946" s="32"/>
      <x:c r="G946" s="74"/>
      <x:c r="H946" s="74"/>
      <x:c r="I946" s="74"/>
      <x:c r="J946" s="74"/>
      <x:c r="K946" s="74"/>
      <x:c r="L946" s="74"/>
      <x:c r="M946" s="91"/>
      <x:c r="N946" s="91"/>
      <x:c r="O946" s="85"/>
      <x:c r="Q946" s="86"/>
      <x:c r="R946" s="32"/>
    </x:row>
    <x:row r="947">
      <x:c r="A947" s="87"/>
      <x:c r="B947" s="88"/>
      <x:c r="D947" s="32"/>
      <x:c r="G947" s="74"/>
      <x:c r="H947" s="74"/>
      <x:c r="I947" s="74"/>
      <x:c r="J947" s="74"/>
      <x:c r="K947" s="74"/>
      <x:c r="L947" s="74"/>
      <x:c r="M947" s="91"/>
      <x:c r="N947" s="91"/>
      <x:c r="O947" s="85"/>
      <x:c r="Q947" s="86"/>
      <x:c r="R947" s="32"/>
    </x:row>
    <x:row r="948">
      <x:c r="A948" s="87"/>
      <x:c r="B948" s="88"/>
      <x:c r="D948" s="32"/>
      <x:c r="G948" s="74"/>
      <x:c r="H948" s="74"/>
      <x:c r="I948" s="74"/>
      <x:c r="J948" s="74"/>
      <x:c r="K948" s="74"/>
      <x:c r="L948" s="74"/>
      <x:c r="M948" s="91"/>
      <x:c r="N948" s="91"/>
      <x:c r="O948" s="85"/>
      <x:c r="Q948" s="86"/>
      <x:c r="R948" s="32"/>
    </x:row>
    <x:row r="949">
      <x:c r="A949" s="87"/>
      <x:c r="B949" s="88"/>
      <x:c r="D949" s="32"/>
      <x:c r="G949" s="74"/>
      <x:c r="H949" s="74"/>
      <x:c r="I949" s="74"/>
      <x:c r="J949" s="74"/>
      <x:c r="K949" s="74"/>
      <x:c r="L949" s="74"/>
      <x:c r="M949" s="91"/>
      <x:c r="N949" s="91"/>
      <x:c r="O949" s="85"/>
      <x:c r="Q949" s="86"/>
      <x:c r="R949" s="32"/>
    </x:row>
    <x:row r="950">
      <x:c r="A950" s="87"/>
      <x:c r="B950" s="88"/>
      <x:c r="D950" s="32"/>
      <x:c r="G950" s="74"/>
      <x:c r="H950" s="74"/>
      <x:c r="I950" s="74"/>
      <x:c r="J950" s="74"/>
      <x:c r="K950" s="74"/>
      <x:c r="L950" s="74"/>
      <x:c r="M950" s="91"/>
      <x:c r="N950" s="91"/>
      <x:c r="O950" s="85"/>
      <x:c r="Q950" s="86"/>
      <x:c r="R950" s="32"/>
    </x:row>
    <x:row r="951">
      <x:c r="A951" s="87"/>
      <x:c r="B951" s="88"/>
      <x:c r="D951" s="32"/>
      <x:c r="G951" s="74"/>
      <x:c r="H951" s="74"/>
      <x:c r="I951" s="74"/>
      <x:c r="J951" s="74"/>
      <x:c r="K951" s="74"/>
      <x:c r="L951" s="74"/>
      <x:c r="M951" s="91"/>
      <x:c r="N951" s="91"/>
      <x:c r="O951" s="85"/>
      <x:c r="Q951" s="86"/>
      <x:c r="R951" s="32"/>
    </x:row>
    <x:row r="952">
      <x:c r="A952" s="87"/>
      <x:c r="B952" s="88"/>
      <x:c r="D952" s="32"/>
      <x:c r="G952" s="74"/>
      <x:c r="H952" s="74"/>
      <x:c r="I952" s="74"/>
      <x:c r="J952" s="74"/>
      <x:c r="K952" s="74"/>
      <x:c r="L952" s="74"/>
      <x:c r="M952" s="91"/>
      <x:c r="N952" s="91"/>
      <x:c r="O952" s="85"/>
      <x:c r="Q952" s="86"/>
      <x:c r="R952" s="32"/>
    </x:row>
    <x:row r="953">
      <x:c r="A953" s="87"/>
      <x:c r="B953" s="88"/>
      <x:c r="D953" s="32"/>
      <x:c r="G953" s="74"/>
      <x:c r="H953" s="74"/>
      <x:c r="I953" s="74"/>
      <x:c r="J953" s="74"/>
      <x:c r="K953" s="74"/>
      <x:c r="L953" s="74"/>
      <x:c r="M953" s="91"/>
      <x:c r="N953" s="91"/>
      <x:c r="O953" s="85"/>
      <x:c r="Q953" s="86"/>
      <x:c r="R953" s="32"/>
    </x:row>
    <x:row r="954">
      <x:c r="A954" s="87"/>
      <x:c r="B954" s="88"/>
      <x:c r="D954" s="32"/>
      <x:c r="G954" s="74"/>
      <x:c r="H954" s="74"/>
      <x:c r="I954" s="74"/>
      <x:c r="J954" s="74"/>
      <x:c r="K954" s="74"/>
      <x:c r="L954" s="74"/>
      <x:c r="M954" s="91"/>
      <x:c r="N954" s="91"/>
      <x:c r="O954" s="85"/>
      <x:c r="Q954" s="86"/>
      <x:c r="R954" s="32"/>
    </x:row>
    <x:row r="955">
      <x:c r="A955" s="87"/>
      <x:c r="B955" s="88"/>
      <x:c r="D955" s="32"/>
      <x:c r="G955" s="74"/>
      <x:c r="H955" s="74"/>
      <x:c r="I955" s="74"/>
      <x:c r="J955" s="74"/>
      <x:c r="K955" s="74"/>
      <x:c r="L955" s="74"/>
      <x:c r="M955" s="91"/>
      <x:c r="N955" s="91"/>
      <x:c r="O955" s="85"/>
      <x:c r="Q955" s="86"/>
      <x:c r="R955" s="32"/>
    </x:row>
    <x:row r="956">
      <x:c r="A956" s="87"/>
      <x:c r="B956" s="88"/>
      <x:c r="D956" s="32"/>
      <x:c r="G956" s="74"/>
      <x:c r="H956" s="74"/>
      <x:c r="I956" s="74"/>
      <x:c r="J956" s="74"/>
      <x:c r="K956" s="74"/>
      <x:c r="L956" s="74"/>
      <x:c r="M956" s="91"/>
      <x:c r="N956" s="91"/>
      <x:c r="O956" s="85"/>
      <x:c r="Q956" s="86"/>
      <x:c r="R956" s="32"/>
    </x:row>
    <x:row r="957">
      <x:c r="A957" s="87"/>
      <x:c r="B957" s="88"/>
      <x:c r="D957" s="32"/>
      <x:c r="G957" s="74"/>
      <x:c r="H957" s="74"/>
      <x:c r="I957" s="74"/>
      <x:c r="J957" s="74"/>
      <x:c r="K957" s="74"/>
      <x:c r="L957" s="74"/>
      <x:c r="M957" s="91"/>
      <x:c r="N957" s="91"/>
      <x:c r="O957" s="85"/>
      <x:c r="Q957" s="86"/>
      <x:c r="R957" s="32"/>
    </x:row>
    <x:row r="958">
      <x:c r="A958" s="87"/>
      <x:c r="B958" s="88"/>
      <x:c r="D958" s="32"/>
      <x:c r="G958" s="74"/>
      <x:c r="H958" s="74"/>
      <x:c r="I958" s="74"/>
      <x:c r="J958" s="74"/>
      <x:c r="K958" s="74"/>
      <x:c r="L958" s="74"/>
      <x:c r="M958" s="91"/>
      <x:c r="N958" s="91"/>
      <x:c r="O958" s="85"/>
      <x:c r="Q958" s="86"/>
      <x:c r="R958" s="32"/>
    </x:row>
    <x:row r="959">
      <x:c r="A959" s="87"/>
      <x:c r="B959" s="88"/>
      <x:c r="D959" s="32"/>
      <x:c r="G959" s="74"/>
      <x:c r="H959" s="74"/>
      <x:c r="I959" s="74"/>
      <x:c r="J959" s="74"/>
      <x:c r="K959" s="74"/>
      <x:c r="L959" s="74"/>
      <x:c r="M959" s="91"/>
      <x:c r="N959" s="91"/>
      <x:c r="O959" s="85"/>
      <x:c r="Q959" s="86"/>
      <x:c r="R959" s="32"/>
    </x:row>
    <x:row r="960">
      <x:c r="A960" s="87"/>
      <x:c r="B960" s="88"/>
      <x:c r="D960" s="32"/>
      <x:c r="G960" s="74"/>
      <x:c r="H960" s="74"/>
      <x:c r="I960" s="74"/>
      <x:c r="J960" s="74"/>
      <x:c r="K960" s="74"/>
      <x:c r="L960" s="74"/>
      <x:c r="M960" s="91"/>
      <x:c r="N960" s="91"/>
      <x:c r="O960" s="85"/>
      <x:c r="Q960" s="86"/>
      <x:c r="R960" s="32"/>
    </x:row>
    <x:row r="961">
      <x:c r="A961" s="87"/>
      <x:c r="B961" s="88"/>
      <x:c r="D961" s="32"/>
      <x:c r="G961" s="74"/>
      <x:c r="H961" s="74"/>
      <x:c r="I961" s="74"/>
      <x:c r="J961" s="74"/>
      <x:c r="K961" s="74"/>
      <x:c r="L961" s="74"/>
      <x:c r="M961" s="91"/>
      <x:c r="N961" s="91"/>
      <x:c r="O961" s="85"/>
      <x:c r="Q961" s="86"/>
      <x:c r="R961" s="32"/>
    </x:row>
    <x:row r="962">
      <x:c r="A962" s="87"/>
      <x:c r="B962" s="88"/>
      <x:c r="D962" s="32"/>
      <x:c r="G962" s="74"/>
      <x:c r="H962" s="74"/>
      <x:c r="I962" s="74"/>
      <x:c r="J962" s="74"/>
      <x:c r="K962" s="74"/>
      <x:c r="L962" s="74"/>
      <x:c r="M962" s="91"/>
      <x:c r="N962" s="91"/>
      <x:c r="O962" s="85"/>
      <x:c r="Q962" s="86"/>
      <x:c r="R962" s="32"/>
    </x:row>
    <x:row r="963">
      <x:c r="A963" s="87"/>
      <x:c r="B963" s="88"/>
      <x:c r="D963" s="32"/>
      <x:c r="G963" s="74"/>
      <x:c r="H963" s="74"/>
      <x:c r="I963" s="74"/>
      <x:c r="J963" s="74"/>
      <x:c r="K963" s="74"/>
      <x:c r="L963" s="74"/>
      <x:c r="M963" s="91"/>
      <x:c r="N963" s="91"/>
      <x:c r="O963" s="85"/>
      <x:c r="Q963" s="86"/>
      <x:c r="R963" s="32"/>
    </x:row>
    <x:row r="964">
      <x:c r="A964" s="87"/>
      <x:c r="B964" s="88"/>
      <x:c r="D964" s="32"/>
      <x:c r="G964" s="74"/>
      <x:c r="H964" s="74"/>
      <x:c r="I964" s="74"/>
      <x:c r="J964" s="74"/>
      <x:c r="K964" s="74"/>
      <x:c r="L964" s="74"/>
      <x:c r="M964" s="91"/>
      <x:c r="N964" s="91"/>
      <x:c r="O964" s="85"/>
      <x:c r="Q964" s="86"/>
      <x:c r="R964" s="32"/>
    </x:row>
    <x:row r="965">
      <x:c r="A965" s="87"/>
      <x:c r="B965" s="88"/>
      <x:c r="D965" s="32"/>
      <x:c r="G965" s="74"/>
      <x:c r="H965" s="74"/>
      <x:c r="I965" s="74"/>
      <x:c r="J965" s="74"/>
      <x:c r="K965" s="74"/>
      <x:c r="L965" s="74"/>
      <x:c r="M965" s="91"/>
      <x:c r="N965" s="91"/>
      <x:c r="O965" s="85"/>
      <x:c r="Q965" s="86"/>
      <x:c r="R965" s="32"/>
    </x:row>
    <x:row r="966">
      <x:c r="A966" s="87"/>
      <x:c r="B966" s="88"/>
      <x:c r="D966" s="32"/>
      <x:c r="G966" s="74"/>
      <x:c r="H966" s="74"/>
      <x:c r="I966" s="74"/>
      <x:c r="J966" s="74"/>
      <x:c r="K966" s="74"/>
      <x:c r="L966" s="74"/>
      <x:c r="M966" s="91"/>
      <x:c r="N966" s="91"/>
      <x:c r="O966" s="85"/>
      <x:c r="Q966" s="86"/>
      <x:c r="R966" s="32"/>
    </x:row>
    <x:row r="967">
      <x:c r="A967" s="87"/>
      <x:c r="B967" s="88"/>
      <x:c r="D967" s="32"/>
      <x:c r="G967" s="74"/>
      <x:c r="H967" s="74"/>
      <x:c r="I967" s="74"/>
      <x:c r="J967" s="74"/>
      <x:c r="K967" s="74"/>
      <x:c r="L967" s="74"/>
      <x:c r="M967" s="91"/>
      <x:c r="N967" s="91"/>
      <x:c r="O967" s="85"/>
      <x:c r="Q967" s="86"/>
      <x:c r="R967" s="32"/>
    </x:row>
    <x:row r="968">
      <x:c r="A968" s="87"/>
      <x:c r="B968" s="88"/>
      <x:c r="D968" s="32"/>
      <x:c r="G968" s="74"/>
      <x:c r="H968" s="74"/>
      <x:c r="I968" s="74"/>
      <x:c r="J968" s="74"/>
      <x:c r="K968" s="74"/>
      <x:c r="L968" s="74"/>
      <x:c r="M968" s="91"/>
      <x:c r="N968" s="91"/>
      <x:c r="O968" s="85"/>
      <x:c r="Q968" s="86"/>
      <x:c r="R968" s="32"/>
    </x:row>
    <x:row r="969">
      <x:c r="A969" s="87"/>
      <x:c r="B969" s="88"/>
      <x:c r="D969" s="32"/>
      <x:c r="G969" s="74"/>
      <x:c r="H969" s="74"/>
      <x:c r="I969" s="74"/>
      <x:c r="J969" s="74"/>
      <x:c r="K969" s="74"/>
      <x:c r="L969" s="74"/>
      <x:c r="M969" s="91"/>
      <x:c r="N969" s="91"/>
      <x:c r="O969" s="85"/>
      <x:c r="Q969" s="86"/>
      <x:c r="R969" s="32"/>
    </x:row>
    <x:row r="970">
      <x:c r="A970" s="87"/>
      <x:c r="B970" s="88"/>
      <x:c r="D970" s="32"/>
      <x:c r="G970" s="74"/>
      <x:c r="H970" s="74"/>
      <x:c r="I970" s="74"/>
      <x:c r="J970" s="74"/>
      <x:c r="K970" s="74"/>
      <x:c r="L970" s="74"/>
      <x:c r="M970" s="91"/>
      <x:c r="N970" s="91"/>
      <x:c r="O970" s="85"/>
      <x:c r="Q970" s="86"/>
      <x:c r="R970" s="32"/>
    </x:row>
    <x:row r="971">
      <x:c r="A971" s="87"/>
      <x:c r="B971" s="88"/>
      <x:c r="D971" s="32"/>
      <x:c r="G971" s="74"/>
      <x:c r="H971" s="74"/>
      <x:c r="I971" s="74"/>
      <x:c r="J971" s="74"/>
      <x:c r="K971" s="74"/>
      <x:c r="L971" s="74"/>
      <x:c r="M971" s="91"/>
      <x:c r="N971" s="91"/>
      <x:c r="O971" s="85"/>
      <x:c r="Q971" s="86"/>
      <x:c r="R971" s="32"/>
    </x:row>
    <x:row r="972">
      <x:c r="A972" s="87"/>
      <x:c r="B972" s="88"/>
      <x:c r="D972" s="32"/>
      <x:c r="G972" s="74"/>
      <x:c r="H972" s="74"/>
      <x:c r="I972" s="74"/>
      <x:c r="J972" s="74"/>
      <x:c r="K972" s="74"/>
      <x:c r="L972" s="74"/>
      <x:c r="M972" s="91"/>
      <x:c r="N972" s="91"/>
      <x:c r="O972" s="85"/>
      <x:c r="Q972" s="86"/>
      <x:c r="R972" s="32"/>
    </x:row>
    <x:row r="973">
      <x:c r="A973" s="87"/>
      <x:c r="B973" s="88"/>
      <x:c r="D973" s="32"/>
      <x:c r="G973" s="74"/>
      <x:c r="H973" s="74"/>
      <x:c r="I973" s="74"/>
      <x:c r="J973" s="74"/>
      <x:c r="K973" s="74"/>
      <x:c r="L973" s="74"/>
      <x:c r="M973" s="91"/>
      <x:c r="N973" s="91"/>
      <x:c r="O973" s="85"/>
      <x:c r="Q973" s="86"/>
      <x:c r="R973" s="32"/>
    </x:row>
    <x:row r="974">
      <x:c r="A974" s="87"/>
      <x:c r="B974" s="88"/>
      <x:c r="D974" s="32"/>
      <x:c r="G974" s="74"/>
      <x:c r="H974" s="74"/>
      <x:c r="I974" s="74"/>
      <x:c r="J974" s="74"/>
      <x:c r="K974" s="74"/>
      <x:c r="L974" s="74"/>
      <x:c r="M974" s="91"/>
      <x:c r="N974" s="91"/>
      <x:c r="O974" s="85"/>
      <x:c r="Q974" s="86"/>
      <x:c r="R974" s="32"/>
    </x:row>
    <x:row r="975">
      <x:c r="A975" s="87"/>
      <x:c r="B975" s="88"/>
      <x:c r="D975" s="32"/>
      <x:c r="G975" s="74"/>
      <x:c r="H975" s="74"/>
      <x:c r="I975" s="74"/>
      <x:c r="J975" s="74"/>
      <x:c r="K975" s="74"/>
      <x:c r="L975" s="74"/>
      <x:c r="M975" s="91"/>
      <x:c r="N975" s="91"/>
      <x:c r="O975" s="85"/>
      <x:c r="Q975" s="86"/>
      <x:c r="R975" s="32"/>
    </x:row>
    <x:row r="976">
      <x:c r="A976" s="87"/>
      <x:c r="B976" s="88"/>
      <x:c r="D976" s="32"/>
      <x:c r="G976" s="74"/>
      <x:c r="H976" s="74"/>
      <x:c r="I976" s="74"/>
      <x:c r="J976" s="74"/>
      <x:c r="K976" s="74"/>
      <x:c r="L976" s="74"/>
      <x:c r="M976" s="91"/>
      <x:c r="N976" s="91"/>
      <x:c r="O976" s="85"/>
      <x:c r="Q976" s="86"/>
      <x:c r="R976" s="32"/>
    </x:row>
    <x:row r="977">
      <x:c r="A977" s="87"/>
      <x:c r="B977" s="88"/>
      <x:c r="D977" s="32"/>
      <x:c r="G977" s="74"/>
      <x:c r="H977" s="74"/>
      <x:c r="I977" s="74"/>
      <x:c r="J977" s="74"/>
      <x:c r="K977" s="74"/>
      <x:c r="L977" s="74"/>
      <x:c r="M977" s="91"/>
      <x:c r="N977" s="91"/>
      <x:c r="O977" s="85"/>
      <x:c r="Q977" s="86"/>
      <x:c r="R977" s="32"/>
    </x:row>
    <x:row r="978">
      <x:c r="A978" s="87"/>
      <x:c r="B978" s="88"/>
      <x:c r="D978" s="32"/>
      <x:c r="G978" s="74"/>
      <x:c r="H978" s="74"/>
      <x:c r="I978" s="74"/>
      <x:c r="J978" s="74"/>
      <x:c r="K978" s="74"/>
      <x:c r="L978" s="74"/>
      <x:c r="M978" s="91"/>
      <x:c r="N978" s="91"/>
      <x:c r="O978" s="85"/>
      <x:c r="Q978" s="86"/>
      <x:c r="R978" s="32"/>
    </x:row>
    <x:row r="979">
      <x:c r="A979" s="87"/>
      <x:c r="B979" s="88"/>
      <x:c r="D979" s="32"/>
      <x:c r="G979" s="74"/>
      <x:c r="H979" s="74"/>
      <x:c r="I979" s="74"/>
      <x:c r="J979" s="74"/>
      <x:c r="K979" s="74"/>
      <x:c r="L979" s="74"/>
      <x:c r="M979" s="91"/>
      <x:c r="N979" s="91"/>
      <x:c r="O979" s="85"/>
      <x:c r="Q979" s="86"/>
      <x:c r="R979" s="32"/>
    </x:row>
    <x:row r="980">
      <x:c r="A980" s="87"/>
      <x:c r="B980" s="88"/>
      <x:c r="D980" s="32"/>
      <x:c r="G980" s="74"/>
      <x:c r="H980" s="74"/>
      <x:c r="I980" s="74"/>
      <x:c r="J980" s="74"/>
      <x:c r="K980" s="74"/>
      <x:c r="L980" s="74"/>
      <x:c r="M980" s="91"/>
      <x:c r="N980" s="91"/>
      <x:c r="O980" s="85"/>
      <x:c r="Q980" s="86"/>
      <x:c r="R980" s="32"/>
    </x:row>
    <x:row r="981">
      <x:c r="A981" s="87"/>
      <x:c r="B981" s="88"/>
      <x:c r="D981" s="32"/>
      <x:c r="G981" s="74"/>
      <x:c r="H981" s="74"/>
      <x:c r="I981" s="74"/>
      <x:c r="J981" s="74"/>
      <x:c r="K981" s="74"/>
      <x:c r="L981" s="74"/>
      <x:c r="M981" s="91"/>
      <x:c r="N981" s="91"/>
      <x:c r="O981" s="85"/>
      <x:c r="Q981" s="86"/>
      <x:c r="R981" s="32"/>
    </x:row>
    <x:row r="982">
      <x:c r="A982" s="87"/>
      <x:c r="B982" s="88"/>
      <x:c r="D982" s="32"/>
      <x:c r="G982" s="74"/>
      <x:c r="H982" s="74"/>
      <x:c r="I982" s="74"/>
      <x:c r="J982" s="74"/>
      <x:c r="K982" s="74"/>
      <x:c r="L982" s="74"/>
      <x:c r="M982" s="91"/>
      <x:c r="N982" s="91"/>
      <x:c r="O982" s="85"/>
      <x:c r="Q982" s="86"/>
      <x:c r="R982" s="32"/>
    </x:row>
    <x:row r="983">
      <x:c r="A983" s="87"/>
      <x:c r="B983" s="88"/>
      <x:c r="D983" s="32"/>
      <x:c r="G983" s="74"/>
      <x:c r="H983" s="74"/>
      <x:c r="I983" s="74"/>
      <x:c r="J983" s="74"/>
      <x:c r="K983" s="74"/>
      <x:c r="L983" s="74"/>
      <x:c r="M983" s="91"/>
      <x:c r="N983" s="91"/>
      <x:c r="O983" s="85"/>
      <x:c r="Q983" s="86"/>
      <x:c r="R983" s="32"/>
    </x:row>
    <x:row r="984">
      <x:c r="A984" s="87"/>
      <x:c r="B984" s="88"/>
      <x:c r="D984" s="32"/>
      <x:c r="G984" s="74"/>
      <x:c r="H984" s="74"/>
      <x:c r="I984" s="74"/>
      <x:c r="J984" s="74"/>
      <x:c r="K984" s="74"/>
      <x:c r="L984" s="74"/>
      <x:c r="M984" s="91"/>
      <x:c r="N984" s="91"/>
      <x:c r="O984" s="85"/>
      <x:c r="Q984" s="86"/>
      <x:c r="R984" s="32"/>
    </x:row>
    <x:row r="985">
      <x:c r="A985" s="87"/>
      <x:c r="B985" s="88"/>
      <x:c r="D985" s="32"/>
      <x:c r="G985" s="74"/>
      <x:c r="H985" s="74"/>
      <x:c r="I985" s="74"/>
      <x:c r="J985" s="74"/>
      <x:c r="K985" s="74"/>
      <x:c r="L985" s="74"/>
      <x:c r="M985" s="91"/>
      <x:c r="N985" s="91"/>
      <x:c r="O985" s="85"/>
      <x:c r="Q985" s="86"/>
      <x:c r="R985" s="32"/>
    </x:row>
    <x:row r="986">
      <x:c r="A986" s="87"/>
      <x:c r="B986" s="88"/>
      <x:c r="D986" s="32"/>
      <x:c r="G986" s="74"/>
      <x:c r="H986" s="74"/>
      <x:c r="I986" s="74"/>
      <x:c r="J986" s="74"/>
      <x:c r="K986" s="74"/>
      <x:c r="L986" s="74"/>
      <x:c r="M986" s="91"/>
      <x:c r="N986" s="91"/>
      <x:c r="O986" s="85"/>
      <x:c r="Q986" s="86"/>
      <x:c r="R986" s="32"/>
    </x:row>
    <x:row r="987">
      <x:c r="A987" s="87"/>
      <x:c r="B987" s="88"/>
      <x:c r="D987" s="32"/>
      <x:c r="G987" s="74"/>
      <x:c r="H987" s="74"/>
      <x:c r="I987" s="74"/>
      <x:c r="J987" s="74"/>
      <x:c r="K987" s="74"/>
      <x:c r="L987" s="74"/>
      <x:c r="M987" s="91"/>
      <x:c r="N987" s="91"/>
      <x:c r="O987" s="85"/>
      <x:c r="Q987" s="86"/>
      <x:c r="R987" s="32"/>
    </x:row>
    <x:row r="988">
      <x:c r="A988" s="87"/>
      <x:c r="B988" s="88"/>
      <x:c r="D988" s="32"/>
      <x:c r="G988" s="74"/>
      <x:c r="H988" s="74"/>
      <x:c r="I988" s="74"/>
      <x:c r="J988" s="74"/>
      <x:c r="K988" s="74"/>
      <x:c r="L988" s="74"/>
      <x:c r="M988" s="91"/>
      <x:c r="N988" s="91"/>
      <x:c r="O988" s="85"/>
      <x:c r="Q988" s="86"/>
      <x:c r="R988" s="32"/>
    </x:row>
    <x:row r="989">
      <x:c r="A989" s="87"/>
      <x:c r="B989" s="88"/>
      <x:c r="D989" s="32"/>
      <x:c r="G989" s="74"/>
      <x:c r="H989" s="74"/>
      <x:c r="I989" s="74"/>
      <x:c r="J989" s="74"/>
      <x:c r="K989" s="74"/>
      <x:c r="L989" s="74"/>
      <x:c r="M989" s="91"/>
      <x:c r="N989" s="91"/>
      <x:c r="O989" s="85"/>
      <x:c r="Q989" s="86"/>
      <x:c r="R989" s="32"/>
    </x:row>
    <x:row r="990">
      <x:c r="A990" s="87"/>
      <x:c r="B990" s="88"/>
      <x:c r="D990" s="32"/>
      <x:c r="G990" s="74"/>
      <x:c r="H990" s="74"/>
      <x:c r="I990" s="74"/>
      <x:c r="J990" s="74"/>
      <x:c r="K990" s="74"/>
      <x:c r="L990" s="74"/>
      <x:c r="M990" s="91"/>
      <x:c r="N990" s="91"/>
      <x:c r="O990" s="85"/>
      <x:c r="Q990" s="86"/>
      <x:c r="R990" s="32"/>
    </x:row>
    <x:row r="991">
      <x:c r="A991" s="87"/>
      <x:c r="B991" s="88"/>
      <x:c r="D991" s="32"/>
      <x:c r="G991" s="74"/>
      <x:c r="H991" s="74"/>
      <x:c r="I991" s="74"/>
      <x:c r="J991" s="74"/>
      <x:c r="K991" s="74"/>
      <x:c r="L991" s="74"/>
      <x:c r="M991" s="91"/>
      <x:c r="N991" s="91"/>
      <x:c r="O991" s="85"/>
      <x:c r="Q991" s="86"/>
      <x:c r="R991" s="32"/>
    </x:row>
    <x:row r="992">
      <x:c r="A992" s="87"/>
      <x:c r="B992" s="88"/>
      <x:c r="D992" s="32"/>
      <x:c r="G992" s="74"/>
      <x:c r="H992" s="74"/>
      <x:c r="I992" s="74"/>
      <x:c r="J992" s="74"/>
      <x:c r="K992" s="74"/>
      <x:c r="L992" s="74"/>
      <x:c r="M992" s="91"/>
      <x:c r="N992" s="91"/>
      <x:c r="O992" s="85"/>
      <x:c r="Q992" s="86"/>
      <x:c r="R992" s="32"/>
    </x:row>
    <x:row r="993">
      <x:c r="A993" s="87"/>
      <x:c r="B993" s="88"/>
      <x:c r="D993" s="32"/>
      <x:c r="G993" s="74"/>
      <x:c r="H993" s="74"/>
      <x:c r="I993" s="74"/>
      <x:c r="J993" s="74"/>
      <x:c r="K993" s="74"/>
      <x:c r="L993" s="74"/>
      <x:c r="M993" s="91"/>
      <x:c r="N993" s="91"/>
      <x:c r="O993" s="85"/>
      <x:c r="Q993" s="86"/>
      <x:c r="R993" s="32"/>
    </x:row>
    <x:row r="994">
      <x:c r="A994" s="87"/>
      <x:c r="B994" s="88"/>
      <x:c r="D994" s="32"/>
      <x:c r="G994" s="74"/>
      <x:c r="H994" s="74"/>
      <x:c r="I994" s="74"/>
      <x:c r="J994" s="74"/>
      <x:c r="K994" s="74"/>
      <x:c r="L994" s="74"/>
      <x:c r="M994" s="91"/>
      <x:c r="N994" s="91"/>
      <x:c r="O994" s="85"/>
      <x:c r="Q994" s="86"/>
      <x:c r="R994" s="32"/>
    </x:row>
    <x:row r="995">
      <x:c r="A995" s="87"/>
      <x:c r="B995" s="88"/>
      <x:c r="D995" s="32"/>
      <x:c r="G995" s="74"/>
      <x:c r="H995" s="74"/>
      <x:c r="I995" s="74"/>
      <x:c r="J995" s="74"/>
      <x:c r="K995" s="74"/>
      <x:c r="L995" s="74"/>
      <x:c r="M995" s="91"/>
      <x:c r="N995" s="91"/>
      <x:c r="O995" s="85"/>
      <x:c r="Q995" s="86"/>
      <x:c r="R995" s="32"/>
    </x:row>
    <x:row r="996">
      <x:c r="A996" s="87"/>
      <x:c r="B996" s="88"/>
      <x:c r="D996" s="32"/>
      <x:c r="G996" s="74"/>
      <x:c r="H996" s="74"/>
      <x:c r="I996" s="74"/>
      <x:c r="J996" s="74"/>
      <x:c r="K996" s="74"/>
      <x:c r="L996" s="74"/>
      <x:c r="M996" s="91"/>
      <x:c r="N996" s="91"/>
      <x:c r="O996" s="85"/>
      <x:c r="Q996" s="86"/>
      <x:c r="R996" s="32"/>
    </x:row>
    <x:row r="997">
      <x:c r="A997" s="87"/>
      <x:c r="B997" s="88"/>
      <x:c r="D997" s="32"/>
      <x:c r="G997" s="74"/>
      <x:c r="H997" s="74"/>
      <x:c r="I997" s="74"/>
      <x:c r="J997" s="74"/>
      <x:c r="K997" s="74"/>
      <x:c r="L997" s="74"/>
      <x:c r="M997" s="91"/>
      <x:c r="N997" s="91"/>
      <x:c r="O997" s="85"/>
      <x:c r="Q997" s="86"/>
      <x:c r="R997" s="32"/>
    </x:row>
    <x:row r="998">
      <x:c r="A998" s="87"/>
      <x:c r="B998" s="88"/>
      <x:c r="D998" s="32"/>
      <x:c r="G998" s="74"/>
      <x:c r="H998" s="74"/>
      <x:c r="I998" s="74"/>
      <x:c r="J998" s="74"/>
      <x:c r="K998" s="74"/>
      <x:c r="L998" s="74"/>
      <x:c r="M998" s="91"/>
      <x:c r="N998" s="91"/>
      <x:c r="O998" s="85"/>
      <x:c r="Q998" s="86"/>
      <x:c r="R998" s="32"/>
    </x:row>
    <x:row r="999">
      <x:c r="A999" s="87"/>
      <x:c r="B999" s="88"/>
      <x:c r="D999" s="32"/>
      <x:c r="G999" s="74"/>
      <x:c r="H999" s="74"/>
      <x:c r="I999" s="74"/>
      <x:c r="J999" s="74"/>
      <x:c r="K999" s="74"/>
      <x:c r="L999" s="74"/>
      <x:c r="M999" s="91"/>
      <x:c r="N999" s="91"/>
      <x:c r="O999" s="85"/>
      <x:c r="Q999" s="86"/>
      <x:c r="R999" s="32"/>
    </x:row>
    <x:row r="1000">
      <x:c r="A1000" s="87"/>
      <x:c r="B1000" s="88"/>
      <x:c r="D1000" s="32"/>
      <x:c r="G1000" s="74"/>
      <x:c r="H1000" s="74"/>
      <x:c r="I1000" s="74"/>
      <x:c r="J1000" s="74"/>
      <x:c r="K1000" s="74"/>
      <x:c r="L1000" s="74"/>
      <x:c r="M1000" s="91"/>
      <x:c r="N1000" s="91"/>
      <x:c r="O1000" s="85"/>
      <x:c r="Q1000" s="86"/>
      <x:c r="R1000" s="32"/>
    </x:row>
    <x:row r="1001">
      <x:c r="A1001" s="87"/>
      <x:c r="B1001" s="88"/>
      <x:c r="D1001" s="32"/>
      <x:c r="G1001" s="74"/>
      <x:c r="H1001" s="74"/>
      <x:c r="I1001" s="74"/>
      <x:c r="J1001" s="74"/>
      <x:c r="K1001" s="74"/>
      <x:c r="L1001" s="74"/>
      <x:c r="M1001" s="91"/>
      <x:c r="N1001" s="91"/>
      <x:c r="O1001" s="85"/>
      <x:c r="Q1001" s="86"/>
      <x:c r="R1001" s="32"/>
    </x:row>
    <x:row r="1002">
      <x:c r="A1002" s="87"/>
      <x:c r="B1002" s="88"/>
      <x:c r="D1002" s="32"/>
      <x:c r="G1002" s="74"/>
      <x:c r="H1002" s="74"/>
      <x:c r="I1002" s="74"/>
      <x:c r="J1002" s="74"/>
      <x:c r="K1002" s="74"/>
      <x:c r="L1002" s="74"/>
      <x:c r="M1002" s="91"/>
      <x:c r="N1002" s="91"/>
      <x:c r="O1002" s="85"/>
      <x:c r="Q1002" s="86"/>
      <x:c r="R1002" s="32"/>
    </x:row>
    <x:row r="1003">
      <x:c r="A1003" s="87"/>
      <x:c r="B1003" s="88"/>
      <x:c r="D1003" s="32"/>
      <x:c r="G1003" s="74"/>
      <x:c r="H1003" s="74"/>
      <x:c r="I1003" s="74"/>
      <x:c r="J1003" s="74"/>
      <x:c r="K1003" s="74"/>
      <x:c r="L1003" s="74"/>
      <x:c r="M1003" s="91"/>
      <x:c r="N1003" s="91"/>
      <x:c r="O1003" s="85"/>
      <x:c r="Q1003" s="86"/>
      <x:c r="R1003" s="32"/>
    </x:row>
    <x:row r="1004">
      <x:c r="A1004" s="87"/>
      <x:c r="B1004" s="88"/>
      <x:c r="D1004" s="32"/>
      <x:c r="G1004" s="74"/>
      <x:c r="H1004" s="74"/>
      <x:c r="I1004" s="74"/>
      <x:c r="J1004" s="74"/>
      <x:c r="K1004" s="74"/>
      <x:c r="L1004" s="74"/>
      <x:c r="M1004" s="91"/>
      <x:c r="N1004" s="91"/>
      <x:c r="O1004" s="85"/>
      <x:c r="Q1004" s="86"/>
      <x:c r="R1004" s="32"/>
    </x:row>
    <x:row r="1005">
      <x:c r="A1005" s="87"/>
      <x:c r="B1005" s="88"/>
      <x:c r="D1005" s="32"/>
      <x:c r="G1005" s="74"/>
      <x:c r="H1005" s="74"/>
      <x:c r="I1005" s="74"/>
      <x:c r="J1005" s="74"/>
      <x:c r="K1005" s="74"/>
      <x:c r="L1005" s="74"/>
      <x:c r="M1005" s="91"/>
      <x:c r="N1005" s="91"/>
      <x:c r="O1005" s="85"/>
      <x:c r="Q1005" s="86"/>
      <x:c r="R1005" s="32"/>
    </x:row>
    <x:row r="1006">
      <x:c r="A1006" s="87"/>
      <x:c r="B1006" s="88"/>
      <x:c r="D1006" s="32"/>
      <x:c r="G1006" s="74"/>
      <x:c r="H1006" s="74"/>
      <x:c r="I1006" s="74"/>
      <x:c r="J1006" s="74"/>
      <x:c r="K1006" s="74"/>
      <x:c r="L1006" s="74"/>
      <x:c r="M1006" s="91"/>
      <x:c r="N1006" s="91"/>
      <x:c r="O1006" s="85"/>
      <x:c r="Q1006" s="86"/>
      <x:c r="R1006" s="32"/>
    </x:row>
    <x:row r="1007">
      <x:c r="A1007" s="87"/>
      <x:c r="B1007" s="88"/>
      <x:c r="D1007" s="32"/>
      <x:c r="G1007" s="74"/>
      <x:c r="H1007" s="74"/>
      <x:c r="I1007" s="74"/>
      <x:c r="J1007" s="74"/>
      <x:c r="K1007" s="74"/>
      <x:c r="L1007" s="74"/>
      <x:c r="M1007" s="91"/>
      <x:c r="N1007" s="91"/>
      <x:c r="O1007" s="85"/>
      <x:c r="Q1007" s="86"/>
      <x:c r="R1007" s="32"/>
    </x:row>
    <x:row r="1008">
      <x:c r="A1008" s="87"/>
      <x:c r="B1008" s="88"/>
      <x:c r="D1008" s="32"/>
      <x:c r="G1008" s="74"/>
      <x:c r="H1008" s="74"/>
      <x:c r="I1008" s="74"/>
      <x:c r="J1008" s="74"/>
      <x:c r="K1008" s="74"/>
      <x:c r="L1008" s="74"/>
      <x:c r="M1008" s="91"/>
      <x:c r="N1008" s="91"/>
      <x:c r="O1008" s="85"/>
      <x:c r="Q1008" s="86"/>
      <x:c r="R1008" s="32"/>
    </x:row>
    <x:row r="1009">
      <x:c r="A1009" s="87"/>
      <x:c r="B1009" s="88"/>
      <x:c r="D1009" s="32"/>
      <x:c r="G1009" s="74"/>
      <x:c r="H1009" s="74"/>
      <x:c r="I1009" s="74"/>
      <x:c r="J1009" s="74"/>
      <x:c r="K1009" s="74"/>
      <x:c r="L1009" s="74"/>
      <x:c r="M1009" s="91"/>
      <x:c r="N1009" s="91"/>
      <x:c r="O1009" s="85"/>
      <x:c r="Q1009" s="86"/>
      <x:c r="R1009" s="32"/>
    </x:row>
    <x:row r="1010">
      <x:c r="A1010" s="87"/>
      <x:c r="B1010" s="88"/>
      <x:c r="D1010" s="32"/>
      <x:c r="G1010" s="74"/>
      <x:c r="H1010" s="74"/>
      <x:c r="I1010" s="74"/>
      <x:c r="J1010" s="74"/>
      <x:c r="K1010" s="74"/>
      <x:c r="L1010" s="74"/>
      <x:c r="M1010" s="91"/>
      <x:c r="N1010" s="91"/>
      <x:c r="O1010" s="85"/>
      <x:c r="Q1010" s="86"/>
      <x:c r="R1010" s="32"/>
    </x:row>
    <x:row r="1011">
      <x:c r="A1011" s="87"/>
      <x:c r="B1011" s="88"/>
      <x:c r="D1011" s="32"/>
      <x:c r="G1011" s="74"/>
      <x:c r="H1011" s="74"/>
      <x:c r="I1011" s="74"/>
      <x:c r="J1011" s="74"/>
      <x:c r="K1011" s="74"/>
      <x:c r="L1011" s="74"/>
      <x:c r="M1011" s="91"/>
      <x:c r="N1011" s="91"/>
      <x:c r="O1011" s="85"/>
      <x:c r="Q1011" s="86"/>
      <x:c r="R1011" s="32"/>
    </x:row>
    <x:row r="1012">
      <x:c r="A1012" s="87"/>
      <x:c r="B1012" s="88"/>
      <x:c r="D1012" s="32"/>
      <x:c r="G1012" s="74"/>
      <x:c r="H1012" s="74"/>
      <x:c r="I1012" s="74"/>
      <x:c r="J1012" s="74"/>
      <x:c r="K1012" s="74"/>
      <x:c r="L1012" s="74"/>
      <x:c r="M1012" s="91"/>
      <x:c r="N1012" s="91"/>
      <x:c r="O1012" s="85"/>
      <x:c r="Q1012" s="86"/>
      <x:c r="R1012" s="32"/>
    </x:row>
    <x:row r="1013">
      <x:c r="A1013" s="87"/>
      <x:c r="B1013" s="88"/>
      <x:c r="D1013" s="32"/>
      <x:c r="G1013" s="74"/>
      <x:c r="H1013" s="74"/>
      <x:c r="I1013" s="74"/>
      <x:c r="J1013" s="74"/>
      <x:c r="K1013" s="74"/>
      <x:c r="L1013" s="74"/>
      <x:c r="M1013" s="91"/>
      <x:c r="N1013" s="91"/>
      <x:c r="O1013" s="85"/>
      <x:c r="Q1013" s="86"/>
      <x:c r="R1013" s="32"/>
    </x:row>
    <x:row r="1014">
      <x:c r="A1014" s="87"/>
      <x:c r="B1014" s="88"/>
      <x:c r="D1014" s="32"/>
      <x:c r="G1014" s="74"/>
      <x:c r="H1014" s="74"/>
      <x:c r="I1014" s="74"/>
      <x:c r="J1014" s="74"/>
      <x:c r="K1014" s="74"/>
      <x:c r="L1014" s="74"/>
      <x:c r="M1014" s="91"/>
      <x:c r="N1014" s="91"/>
      <x:c r="O1014" s="85"/>
      <x:c r="Q1014" s="86"/>
      <x:c r="R1014" s="32"/>
    </x:row>
    <x:row r="1015">
      <x:c r="A1015" s="87"/>
      <x:c r="B1015" s="88"/>
      <x:c r="D1015" s="32"/>
      <x:c r="G1015" s="74"/>
      <x:c r="H1015" s="74"/>
      <x:c r="I1015" s="74"/>
      <x:c r="J1015" s="74"/>
      <x:c r="K1015" s="74"/>
      <x:c r="L1015" s="74"/>
      <x:c r="M1015" s="91"/>
      <x:c r="N1015" s="91"/>
      <x:c r="O1015" s="85"/>
      <x:c r="Q1015" s="86"/>
      <x:c r="R1015" s="32"/>
    </x:row>
    <x:row r="1016">
      <x:c r="A1016" s="87"/>
      <x:c r="B1016" s="88"/>
      <x:c r="D1016" s="32"/>
      <x:c r="G1016" s="74"/>
      <x:c r="H1016" s="74"/>
      <x:c r="I1016" s="74"/>
      <x:c r="J1016" s="74"/>
      <x:c r="K1016" s="74"/>
      <x:c r="L1016" s="74"/>
      <x:c r="M1016" s="91"/>
      <x:c r="N1016" s="91"/>
      <x:c r="O1016" s="85"/>
      <x:c r="Q1016" s="86"/>
      <x:c r="R1016" s="32"/>
    </x:row>
    <x:row r="1017">
      <x:c r="A1017" s="87"/>
      <x:c r="B1017" s="88"/>
      <x:c r="D1017" s="32"/>
      <x:c r="G1017" s="74"/>
      <x:c r="H1017" s="74"/>
      <x:c r="I1017" s="74"/>
      <x:c r="J1017" s="74"/>
      <x:c r="K1017" s="74"/>
      <x:c r="L1017" s="74"/>
      <x:c r="M1017" s="91"/>
      <x:c r="N1017" s="91"/>
      <x:c r="O1017" s="85"/>
      <x:c r="Q1017" s="86"/>
      <x:c r="R1017" s="32"/>
    </x:row>
    <x:row r="1018">
      <x:c r="A1018" s="87"/>
      <x:c r="B1018" s="88"/>
      <x:c r="D1018" s="32"/>
      <x:c r="G1018" s="74"/>
      <x:c r="H1018" s="74"/>
      <x:c r="I1018" s="74"/>
      <x:c r="J1018" s="74"/>
      <x:c r="K1018" s="74"/>
      <x:c r="L1018" s="74"/>
      <x:c r="M1018" s="91"/>
      <x:c r="N1018" s="91"/>
      <x:c r="O1018" s="85"/>
      <x:c r="Q1018" s="86"/>
      <x:c r="R1018" s="32"/>
    </x:row>
    <x:row r="1019">
      <x:c r="A1019" s="87"/>
      <x:c r="B1019" s="88"/>
      <x:c r="D1019" s="32"/>
      <x:c r="G1019" s="74"/>
      <x:c r="H1019" s="74"/>
      <x:c r="I1019" s="74"/>
      <x:c r="J1019" s="74"/>
      <x:c r="K1019" s="74"/>
      <x:c r="L1019" s="74"/>
      <x:c r="M1019" s="91"/>
      <x:c r="N1019" s="91"/>
      <x:c r="O1019" s="85"/>
      <x:c r="Q1019" s="86"/>
      <x:c r="R1019" s="32"/>
    </x:row>
    <x:row r="1020">
      <x:c r="A1020" s="87"/>
      <x:c r="B1020" s="88"/>
      <x:c r="D1020" s="32"/>
      <x:c r="G1020" s="74"/>
      <x:c r="H1020" s="74"/>
      <x:c r="I1020" s="74"/>
      <x:c r="J1020" s="74"/>
      <x:c r="K1020" s="74"/>
      <x:c r="L1020" s="74"/>
      <x:c r="M1020" s="91"/>
      <x:c r="N1020" s="91"/>
      <x:c r="O1020" s="85"/>
      <x:c r="Q1020" s="86"/>
      <x:c r="R1020" s="32"/>
    </x:row>
    <x:row r="1021">
      <x:c r="A1021" s="87"/>
      <x:c r="B1021" s="88"/>
      <x:c r="D1021" s="32"/>
      <x:c r="G1021" s="74"/>
      <x:c r="H1021" s="74"/>
      <x:c r="I1021" s="74"/>
      <x:c r="J1021" s="74"/>
      <x:c r="K1021" s="74"/>
      <x:c r="L1021" s="74"/>
      <x:c r="M1021" s="91"/>
      <x:c r="N1021" s="91"/>
      <x:c r="O1021" s="85"/>
      <x:c r="Q1021" s="86"/>
      <x:c r="R1021" s="32"/>
    </x:row>
    <x:row r="1022">
      <x:c r="A1022" s="87"/>
      <x:c r="B1022" s="88"/>
      <x:c r="D1022" s="32"/>
      <x:c r="G1022" s="74"/>
      <x:c r="H1022" s="74"/>
      <x:c r="I1022" s="74"/>
      <x:c r="J1022" s="74"/>
      <x:c r="K1022" s="74"/>
      <x:c r="L1022" s="74"/>
      <x:c r="M1022" s="91"/>
      <x:c r="N1022" s="91"/>
      <x:c r="O1022" s="85"/>
      <x:c r="Q1022" s="86"/>
      <x:c r="R1022" s="32"/>
    </x:row>
    <x:row r="1023">
      <x:c r="A1023" s="87"/>
      <x:c r="B1023" s="88"/>
      <x:c r="D1023" s="32"/>
      <x:c r="G1023" s="74"/>
      <x:c r="H1023" s="74"/>
      <x:c r="I1023" s="74"/>
      <x:c r="J1023" s="74"/>
      <x:c r="K1023" s="74"/>
      <x:c r="L1023" s="74"/>
      <x:c r="M1023" s="91"/>
      <x:c r="N1023" s="91"/>
      <x:c r="O1023" s="85"/>
      <x:c r="Q1023" s="86"/>
      <x:c r="R1023" s="32"/>
    </x:row>
    <x:row r="1024">
      <x:c r="A1024" s="87"/>
      <x:c r="B1024" s="88"/>
      <x:c r="D1024" s="32"/>
      <x:c r="G1024" s="74"/>
      <x:c r="H1024" s="74"/>
      <x:c r="I1024" s="74"/>
      <x:c r="J1024" s="74"/>
      <x:c r="K1024" s="74"/>
      <x:c r="L1024" s="74"/>
      <x:c r="M1024" s="91"/>
      <x:c r="N1024" s="91"/>
      <x:c r="O1024" s="85"/>
      <x:c r="Q1024" s="86"/>
      <x:c r="R1024" s="32"/>
    </x:row>
    <x:row r="1025">
      <x:c r="A1025" s="87"/>
      <x:c r="B1025" s="88"/>
      <x:c r="D1025" s="32"/>
      <x:c r="G1025" s="74"/>
      <x:c r="H1025" s="74"/>
      <x:c r="I1025" s="74"/>
      <x:c r="J1025" s="74"/>
      <x:c r="K1025" s="74"/>
      <x:c r="L1025" s="74"/>
      <x:c r="M1025" s="91"/>
      <x:c r="N1025" s="91"/>
      <x:c r="O1025" s="85"/>
      <x:c r="Q1025" s="86"/>
      <x:c r="R1025" s="32"/>
    </x:row>
    <x:row r="1026">
      <x:c r="A1026" s="87"/>
      <x:c r="B1026" s="88"/>
      <x:c r="D1026" s="32"/>
      <x:c r="G1026" s="74"/>
      <x:c r="H1026" s="74"/>
      <x:c r="I1026" s="74"/>
      <x:c r="J1026" s="74"/>
      <x:c r="K1026" s="74"/>
      <x:c r="L1026" s="74"/>
      <x:c r="M1026" s="91"/>
      <x:c r="N1026" s="91"/>
      <x:c r="O1026" s="85"/>
      <x:c r="Q1026" s="86"/>
      <x:c r="R1026" s="32"/>
    </x:row>
    <x:row r="1027">
      <x:c r="A1027" s="87"/>
      <x:c r="B1027" s="88"/>
      <x:c r="D1027" s="32"/>
      <x:c r="G1027" s="74"/>
      <x:c r="H1027" s="74"/>
      <x:c r="I1027" s="74"/>
      <x:c r="J1027" s="74"/>
      <x:c r="K1027" s="74"/>
      <x:c r="L1027" s="74"/>
      <x:c r="M1027" s="91"/>
      <x:c r="N1027" s="91"/>
      <x:c r="O1027" s="85"/>
      <x:c r="Q1027" s="86"/>
      <x:c r="R1027" s="32"/>
    </x:row>
    <x:row r="1028">
      <x:c r="A1028" s="87"/>
      <x:c r="B1028" s="88"/>
      <x:c r="D1028" s="32"/>
      <x:c r="G1028" s="74"/>
      <x:c r="H1028" s="74"/>
      <x:c r="I1028" s="74"/>
      <x:c r="J1028" s="74"/>
      <x:c r="K1028" s="74"/>
      <x:c r="L1028" s="74"/>
      <x:c r="M1028" s="91"/>
      <x:c r="N1028" s="91"/>
      <x:c r="O1028" s="85"/>
      <x:c r="Q1028" s="86"/>
      <x:c r="R1028" s="32"/>
    </x:row>
    <x:row r="1029">
      <x:c r="A1029" s="87"/>
      <x:c r="B1029" s="88"/>
      <x:c r="D1029" s="32"/>
      <x:c r="G1029" s="74"/>
      <x:c r="H1029" s="74"/>
      <x:c r="I1029" s="74"/>
      <x:c r="J1029" s="74"/>
      <x:c r="K1029" s="74"/>
      <x:c r="L1029" s="74"/>
      <x:c r="M1029" s="91"/>
      <x:c r="N1029" s="91"/>
      <x:c r="O1029" s="85"/>
      <x:c r="Q1029" s="86"/>
      <x:c r="R1029" s="32"/>
    </x:row>
    <x:row r="1030">
      <x:c r="A1030" s="87"/>
      <x:c r="B1030" s="88"/>
      <x:c r="D1030" s="32"/>
      <x:c r="G1030" s="74"/>
      <x:c r="H1030" s="74"/>
      <x:c r="I1030" s="74"/>
      <x:c r="J1030" s="74"/>
      <x:c r="K1030" s="74"/>
      <x:c r="L1030" s="74"/>
      <x:c r="M1030" s="91"/>
      <x:c r="N1030" s="91"/>
      <x:c r="O1030" s="85"/>
      <x:c r="Q1030" s="86"/>
      <x:c r="R1030" s="32"/>
    </x:row>
    <x:row r="1031">
      <x:c r="A1031" s="87"/>
      <x:c r="B1031" s="88"/>
      <x:c r="D1031" s="32"/>
      <x:c r="G1031" s="74"/>
      <x:c r="H1031" s="74"/>
      <x:c r="I1031" s="74"/>
      <x:c r="J1031" s="74"/>
      <x:c r="K1031" s="74"/>
      <x:c r="L1031" s="74"/>
      <x:c r="M1031" s="91"/>
      <x:c r="N1031" s="91"/>
      <x:c r="O1031" s="85"/>
      <x:c r="Q1031" s="86"/>
      <x:c r="R1031" s="32"/>
    </x:row>
    <x:row r="1032">
      <x:c r="A1032" s="87"/>
      <x:c r="B1032" s="88"/>
      <x:c r="D1032" s="32"/>
      <x:c r="G1032" s="74"/>
      <x:c r="H1032" s="74"/>
      <x:c r="I1032" s="74"/>
      <x:c r="J1032" s="74"/>
      <x:c r="K1032" s="74"/>
      <x:c r="L1032" s="74"/>
      <x:c r="M1032" s="91"/>
      <x:c r="N1032" s="91"/>
      <x:c r="O1032" s="85"/>
      <x:c r="Q1032" s="86"/>
      <x:c r="R1032" s="32"/>
    </x:row>
    <x:row r="1033">
      <x:c r="A1033" s="87"/>
      <x:c r="B1033" s="88"/>
      <x:c r="D1033" s="32"/>
      <x:c r="G1033" s="74"/>
      <x:c r="H1033" s="74"/>
      <x:c r="I1033" s="74"/>
      <x:c r="J1033" s="74"/>
      <x:c r="K1033" s="74"/>
      <x:c r="L1033" s="74"/>
      <x:c r="M1033" s="91"/>
      <x:c r="N1033" s="91"/>
      <x:c r="O1033" s="85"/>
      <x:c r="Q1033" s="86"/>
      <x:c r="R1033" s="32"/>
    </x:row>
    <x:row r="1034">
      <x:c r="A1034" s="87"/>
      <x:c r="B1034" s="88"/>
      <x:c r="D1034" s="32"/>
      <x:c r="G1034" s="74"/>
      <x:c r="H1034" s="74"/>
      <x:c r="I1034" s="74"/>
      <x:c r="J1034" s="74"/>
      <x:c r="K1034" s="74"/>
      <x:c r="L1034" s="74"/>
      <x:c r="M1034" s="91"/>
      <x:c r="N1034" s="91"/>
      <x:c r="O1034" s="85"/>
      <x:c r="Q1034" s="86"/>
      <x:c r="R1034" s="32"/>
    </x:row>
    <x:row r="1035">
      <x:c r="A1035" s="87"/>
      <x:c r="B1035" s="88"/>
      <x:c r="D1035" s="32"/>
      <x:c r="G1035" s="74"/>
      <x:c r="H1035" s="74"/>
      <x:c r="I1035" s="74"/>
      <x:c r="J1035" s="74"/>
      <x:c r="K1035" s="74"/>
      <x:c r="L1035" s="74"/>
      <x:c r="M1035" s="91"/>
      <x:c r="N1035" s="91"/>
      <x:c r="O1035" s="85"/>
      <x:c r="Q1035" s="86"/>
      <x:c r="R1035" s="32"/>
    </x:row>
    <x:row r="1036">
      <x:c r="A1036" s="87"/>
      <x:c r="B1036" s="88"/>
      <x:c r="D1036" s="32"/>
      <x:c r="G1036" s="74"/>
      <x:c r="H1036" s="74"/>
      <x:c r="I1036" s="74"/>
      <x:c r="J1036" s="74"/>
      <x:c r="K1036" s="74"/>
      <x:c r="L1036" s="74"/>
      <x:c r="M1036" s="91"/>
      <x:c r="N1036" s="91"/>
      <x:c r="O1036" s="85"/>
      <x:c r="Q1036" s="86"/>
      <x:c r="R1036" s="32"/>
    </x:row>
    <x:row r="1037">
      <x:c r="A1037" s="87"/>
      <x:c r="B1037" s="88"/>
      <x:c r="D1037" s="32"/>
      <x:c r="G1037" s="74"/>
      <x:c r="H1037" s="74"/>
      <x:c r="I1037" s="74"/>
      <x:c r="J1037" s="74"/>
      <x:c r="K1037" s="74"/>
      <x:c r="L1037" s="74"/>
      <x:c r="M1037" s="91"/>
      <x:c r="N1037" s="91"/>
      <x:c r="O1037" s="85"/>
      <x:c r="Q1037" s="86"/>
      <x:c r="R1037" s="32"/>
    </x:row>
    <x:row r="1038">
      <x:c r="A1038" s="87"/>
      <x:c r="B1038" s="88"/>
      <x:c r="D1038" s="32"/>
      <x:c r="G1038" s="74"/>
      <x:c r="H1038" s="74"/>
      <x:c r="I1038" s="74"/>
      <x:c r="J1038" s="74"/>
      <x:c r="K1038" s="74"/>
      <x:c r="L1038" s="74"/>
      <x:c r="M1038" s="91"/>
      <x:c r="N1038" s="91"/>
      <x:c r="O1038" s="85"/>
      <x:c r="Q1038" s="86"/>
      <x:c r="R1038" s="32"/>
    </x:row>
    <x:row r="1039">
      <x:c r="A1039" s="87"/>
      <x:c r="B1039" s="88"/>
      <x:c r="D1039" s="32"/>
      <x:c r="G1039" s="74"/>
      <x:c r="H1039" s="74"/>
      <x:c r="I1039" s="74"/>
      <x:c r="J1039" s="74"/>
      <x:c r="K1039" s="74"/>
      <x:c r="L1039" s="74"/>
      <x:c r="M1039" s="91"/>
      <x:c r="N1039" s="91"/>
      <x:c r="O1039" s="85"/>
      <x:c r="Q1039" s="86"/>
      <x:c r="R1039" s="32"/>
    </x:row>
    <x:row r="1040">
      <x:c r="A1040" s="87"/>
      <x:c r="B1040" s="88"/>
      <x:c r="D1040" s="32"/>
      <x:c r="G1040" s="74"/>
      <x:c r="H1040" s="74"/>
      <x:c r="I1040" s="74"/>
      <x:c r="J1040" s="74"/>
      <x:c r="K1040" s="74"/>
      <x:c r="L1040" s="74"/>
      <x:c r="M1040" s="91"/>
      <x:c r="N1040" s="91"/>
      <x:c r="O1040" s="85"/>
      <x:c r="Q1040" s="86"/>
      <x:c r="R1040" s="32"/>
    </x:row>
    <x:row r="1041">
      <x:c r="A1041" s="87"/>
      <x:c r="B1041" s="88"/>
      <x:c r="D1041" s="32"/>
      <x:c r="G1041" s="74"/>
      <x:c r="H1041" s="74"/>
      <x:c r="I1041" s="74"/>
      <x:c r="J1041" s="74"/>
      <x:c r="K1041" s="74"/>
      <x:c r="L1041" s="74"/>
      <x:c r="M1041" s="91"/>
      <x:c r="N1041" s="91"/>
      <x:c r="O1041" s="85"/>
      <x:c r="Q1041" s="86"/>
      <x:c r="R1041" s="32"/>
    </x:row>
    <x:row r="1042">
      <x:c r="A1042" s="87"/>
      <x:c r="B1042" s="88"/>
      <x:c r="D1042" s="32"/>
      <x:c r="G1042" s="74"/>
      <x:c r="H1042" s="74"/>
      <x:c r="I1042" s="74"/>
      <x:c r="J1042" s="74"/>
      <x:c r="K1042" s="74"/>
      <x:c r="L1042" s="74"/>
      <x:c r="M1042" s="91"/>
      <x:c r="N1042" s="91"/>
      <x:c r="O1042" s="85"/>
      <x:c r="Q1042" s="86"/>
      <x:c r="R1042" s="32"/>
    </x:row>
    <x:row r="1043">
      <x:c r="A1043" s="87"/>
      <x:c r="B1043" s="88"/>
      <x:c r="D1043" s="32"/>
      <x:c r="G1043" s="74"/>
      <x:c r="H1043" s="74"/>
      <x:c r="I1043" s="74"/>
      <x:c r="J1043" s="74"/>
      <x:c r="K1043" s="74"/>
      <x:c r="L1043" s="74"/>
      <x:c r="M1043" s="91"/>
      <x:c r="N1043" s="91"/>
      <x:c r="O1043" s="85"/>
      <x:c r="Q1043" s="86"/>
      <x:c r="R1043" s="32"/>
    </x:row>
    <x:row r="1044">
      <x:c r="A1044" s="87"/>
      <x:c r="B1044" s="88"/>
      <x:c r="D1044" s="32"/>
      <x:c r="G1044" s="74"/>
      <x:c r="H1044" s="74"/>
      <x:c r="I1044" s="74"/>
      <x:c r="J1044" s="74"/>
      <x:c r="K1044" s="74"/>
      <x:c r="L1044" s="74"/>
      <x:c r="M1044" s="91"/>
      <x:c r="N1044" s="91"/>
      <x:c r="O1044" s="85"/>
      <x:c r="Q1044" s="86"/>
      <x:c r="R1044" s="32"/>
    </x:row>
    <x:row r="1045">
      <x:c r="A1045" s="87"/>
      <x:c r="B1045" s="88"/>
      <x:c r="D1045" s="32"/>
      <x:c r="G1045" s="74"/>
      <x:c r="H1045" s="74"/>
      <x:c r="I1045" s="74"/>
      <x:c r="J1045" s="74"/>
      <x:c r="K1045" s="74"/>
      <x:c r="L1045" s="74"/>
      <x:c r="M1045" s="91"/>
      <x:c r="N1045" s="91"/>
      <x:c r="O1045" s="85"/>
      <x:c r="Q1045" s="86"/>
      <x:c r="R1045" s="32"/>
    </x:row>
    <x:row r="1046">
      <x:c r="A1046" s="87"/>
      <x:c r="B1046" s="88"/>
      <x:c r="D1046" s="32"/>
      <x:c r="G1046" s="74"/>
      <x:c r="H1046" s="74"/>
      <x:c r="I1046" s="74"/>
      <x:c r="J1046" s="74"/>
      <x:c r="K1046" s="74"/>
      <x:c r="L1046" s="74"/>
      <x:c r="M1046" s="91"/>
      <x:c r="N1046" s="91"/>
      <x:c r="O1046" s="85"/>
      <x:c r="Q1046" s="86"/>
      <x:c r="R1046" s="32"/>
    </x:row>
    <x:row r="1047">
      <x:c r="A1047" s="87"/>
      <x:c r="B1047" s="88"/>
      <x:c r="D1047" s="32"/>
      <x:c r="G1047" s="74"/>
      <x:c r="H1047" s="74"/>
      <x:c r="I1047" s="74"/>
      <x:c r="J1047" s="74"/>
      <x:c r="K1047" s="74"/>
      <x:c r="L1047" s="74"/>
      <x:c r="M1047" s="91"/>
      <x:c r="N1047" s="91"/>
      <x:c r="O1047" s="85"/>
      <x:c r="Q1047" s="86"/>
      <x:c r="R1047" s="32"/>
    </x:row>
    <x:row r="1048">
      <x:c r="A1048" s="87"/>
      <x:c r="B1048" s="88"/>
      <x:c r="D1048" s="32"/>
      <x:c r="G1048" s="74"/>
      <x:c r="H1048" s="74"/>
      <x:c r="I1048" s="74"/>
      <x:c r="J1048" s="74"/>
      <x:c r="K1048" s="74"/>
      <x:c r="L1048" s="74"/>
      <x:c r="M1048" s="91"/>
      <x:c r="N1048" s="91"/>
      <x:c r="O1048" s="85"/>
      <x:c r="Q1048" s="86"/>
      <x:c r="R1048" s="32"/>
    </x:row>
    <x:row r="1049">
      <x:c r="A1049" s="87"/>
      <x:c r="B1049" s="88"/>
      <x:c r="D1049" s="32"/>
      <x:c r="G1049" s="74"/>
      <x:c r="H1049" s="74"/>
      <x:c r="I1049" s="74"/>
      <x:c r="J1049" s="74"/>
      <x:c r="K1049" s="74"/>
      <x:c r="L1049" s="74"/>
      <x:c r="M1049" s="91"/>
      <x:c r="N1049" s="91"/>
      <x:c r="O1049" s="85"/>
      <x:c r="Q1049" s="86"/>
      <x:c r="R1049" s="32"/>
    </x:row>
    <x:row r="1050">
      <x:c r="A1050" s="87"/>
      <x:c r="B1050" s="88"/>
      <x:c r="D1050" s="32"/>
      <x:c r="G1050" s="74"/>
      <x:c r="H1050" s="74"/>
      <x:c r="I1050" s="74"/>
      <x:c r="J1050" s="74"/>
      <x:c r="K1050" s="74"/>
      <x:c r="L1050" s="74"/>
      <x:c r="M1050" s="91"/>
      <x:c r="N1050" s="91"/>
      <x:c r="O1050" s="85"/>
      <x:c r="Q1050" s="86"/>
      <x:c r="R1050" s="32"/>
    </x:row>
    <x:row r="1051">
      <x:c r="A1051" s="87"/>
      <x:c r="B1051" s="88"/>
      <x:c r="D1051" s="32"/>
      <x:c r="G1051" s="74"/>
      <x:c r="H1051" s="74"/>
      <x:c r="I1051" s="74"/>
      <x:c r="J1051" s="74"/>
      <x:c r="K1051" s="74"/>
      <x:c r="L1051" s="74"/>
      <x:c r="M1051" s="91"/>
      <x:c r="N1051" s="91"/>
      <x:c r="O1051" s="85"/>
      <x:c r="Q1051" s="86"/>
      <x:c r="R1051" s="32"/>
    </x:row>
    <x:row r="1052">
      <x:c r="A1052" s="87"/>
      <x:c r="B1052" s="88"/>
      <x:c r="D1052" s="32"/>
      <x:c r="G1052" s="74"/>
      <x:c r="H1052" s="74"/>
      <x:c r="I1052" s="74"/>
      <x:c r="J1052" s="74"/>
      <x:c r="K1052" s="74"/>
      <x:c r="L1052" s="74"/>
      <x:c r="M1052" s="91"/>
      <x:c r="N1052" s="91"/>
      <x:c r="O1052" s="85"/>
      <x:c r="Q1052" s="86"/>
      <x:c r="R1052" s="32"/>
    </x:row>
    <x:row r="1053">
      <x:c r="A1053" s="87"/>
      <x:c r="B1053" s="88"/>
      <x:c r="D1053" s="32"/>
      <x:c r="G1053" s="74"/>
      <x:c r="H1053" s="74"/>
      <x:c r="I1053" s="74"/>
      <x:c r="J1053" s="74"/>
      <x:c r="K1053" s="74"/>
      <x:c r="L1053" s="74"/>
      <x:c r="M1053" s="91"/>
      <x:c r="N1053" s="91"/>
      <x:c r="O1053" s="85"/>
      <x:c r="Q1053" s="86"/>
      <x:c r="R1053" s="32"/>
    </x:row>
    <x:row r="1054">
      <x:c r="A1054" s="87"/>
      <x:c r="B1054" s="88"/>
      <x:c r="D1054" s="32"/>
      <x:c r="G1054" s="74"/>
      <x:c r="H1054" s="74"/>
      <x:c r="I1054" s="74"/>
      <x:c r="J1054" s="74"/>
      <x:c r="K1054" s="74"/>
      <x:c r="L1054" s="74"/>
      <x:c r="M1054" s="91"/>
      <x:c r="N1054" s="91"/>
      <x:c r="O1054" s="85"/>
      <x:c r="Q1054" s="86"/>
      <x:c r="R1054" s="32"/>
    </x:row>
    <x:row r="1055">
      <x:c r="A1055" s="87"/>
      <x:c r="B1055" s="88"/>
      <x:c r="D1055" s="32"/>
      <x:c r="G1055" s="74"/>
      <x:c r="H1055" s="74"/>
      <x:c r="I1055" s="74"/>
      <x:c r="J1055" s="74"/>
      <x:c r="K1055" s="74"/>
      <x:c r="L1055" s="74"/>
      <x:c r="M1055" s="91"/>
      <x:c r="N1055" s="91"/>
      <x:c r="O1055" s="85"/>
      <x:c r="Q1055" s="86"/>
      <x:c r="R1055" s="32"/>
    </x:row>
    <x:row r="1056">
      <x:c r="A1056" s="87"/>
      <x:c r="B1056" s="88"/>
      <x:c r="D1056" s="32"/>
      <x:c r="G1056" s="74"/>
      <x:c r="H1056" s="74"/>
      <x:c r="I1056" s="74"/>
      <x:c r="J1056" s="74"/>
      <x:c r="K1056" s="74"/>
      <x:c r="L1056" s="74"/>
      <x:c r="M1056" s="91"/>
      <x:c r="N1056" s="91"/>
      <x:c r="O1056" s="85"/>
      <x:c r="Q1056" s="86"/>
      <x:c r="R1056" s="32"/>
    </x:row>
    <x:row r="1057">
      <x:c r="A1057" s="87"/>
      <x:c r="B1057" s="88"/>
      <x:c r="D1057" s="32"/>
      <x:c r="G1057" s="74"/>
      <x:c r="H1057" s="74"/>
      <x:c r="I1057" s="74"/>
      <x:c r="J1057" s="74"/>
      <x:c r="K1057" s="74"/>
      <x:c r="L1057" s="74"/>
      <x:c r="M1057" s="91"/>
      <x:c r="N1057" s="91"/>
      <x:c r="O1057" s="85"/>
      <x:c r="Q1057" s="86"/>
      <x:c r="R1057" s="32"/>
    </x:row>
    <x:row r="1058">
      <x:c r="A1058" s="87"/>
      <x:c r="B1058" s="88"/>
      <x:c r="D1058" s="32"/>
      <x:c r="G1058" s="74"/>
      <x:c r="H1058" s="74"/>
      <x:c r="I1058" s="74"/>
      <x:c r="J1058" s="74"/>
      <x:c r="K1058" s="74"/>
      <x:c r="L1058" s="74"/>
      <x:c r="M1058" s="91"/>
      <x:c r="N1058" s="91"/>
      <x:c r="O1058" s="85"/>
      <x:c r="Q1058" s="86"/>
      <x:c r="R1058" s="32"/>
    </x:row>
    <x:row r="1059">
      <x:c r="A1059" s="87"/>
      <x:c r="B1059" s="88"/>
      <x:c r="D1059" s="32"/>
      <x:c r="G1059" s="74"/>
      <x:c r="H1059" s="74"/>
      <x:c r="I1059" s="74"/>
      <x:c r="J1059" s="74"/>
      <x:c r="K1059" s="74"/>
      <x:c r="L1059" s="74"/>
      <x:c r="M1059" s="91"/>
      <x:c r="N1059" s="91"/>
      <x:c r="O1059" s="85"/>
      <x:c r="Q1059" s="86"/>
      <x:c r="R1059" s="32"/>
    </x:row>
    <x:row r="1060">
      <x:c r="A1060" s="87"/>
      <x:c r="B1060" s="88"/>
      <x:c r="D1060" s="32"/>
      <x:c r="G1060" s="74"/>
      <x:c r="H1060" s="74"/>
      <x:c r="I1060" s="74"/>
      <x:c r="J1060" s="74"/>
      <x:c r="K1060" s="74"/>
      <x:c r="L1060" s="74"/>
      <x:c r="M1060" s="91"/>
      <x:c r="N1060" s="91"/>
      <x:c r="O1060" s="85"/>
      <x:c r="Q1060" s="86"/>
      <x:c r="R1060" s="32"/>
    </x:row>
    <x:row r="1061">
      <x:c r="A1061" s="87"/>
      <x:c r="B1061" s="88"/>
      <x:c r="D1061" s="32"/>
      <x:c r="G1061" s="74"/>
      <x:c r="H1061" s="74"/>
      <x:c r="I1061" s="74"/>
      <x:c r="J1061" s="74"/>
      <x:c r="K1061" s="74"/>
      <x:c r="L1061" s="74"/>
      <x:c r="M1061" s="91"/>
      <x:c r="N1061" s="91"/>
      <x:c r="O1061" s="85"/>
      <x:c r="Q1061" s="86"/>
      <x:c r="R1061" s="32"/>
    </x:row>
    <x:row r="1062">
      <x:c r="A1062" s="87"/>
      <x:c r="B1062" s="88"/>
      <x:c r="D1062" s="32"/>
      <x:c r="G1062" s="74"/>
      <x:c r="H1062" s="74"/>
      <x:c r="I1062" s="74"/>
      <x:c r="J1062" s="74"/>
      <x:c r="K1062" s="74"/>
      <x:c r="L1062" s="74"/>
      <x:c r="M1062" s="91"/>
      <x:c r="N1062" s="91"/>
      <x:c r="O1062" s="85"/>
      <x:c r="Q1062" s="86"/>
      <x:c r="R1062" s="32"/>
    </x:row>
    <x:row r="1063">
      <x:c r="A1063" s="87"/>
      <x:c r="B1063" s="88"/>
      <x:c r="D1063" s="32"/>
      <x:c r="G1063" s="74"/>
      <x:c r="H1063" s="74"/>
      <x:c r="I1063" s="74"/>
      <x:c r="J1063" s="74"/>
      <x:c r="K1063" s="74"/>
      <x:c r="L1063" s="74"/>
      <x:c r="M1063" s="91"/>
      <x:c r="N1063" s="91"/>
      <x:c r="O1063" s="85"/>
      <x:c r="Q1063" s="86"/>
      <x:c r="R1063" s="32"/>
    </x:row>
    <x:row r="1064">
      <x:c r="A1064" s="87"/>
      <x:c r="B1064" s="88"/>
      <x:c r="D1064" s="32"/>
      <x:c r="G1064" s="74"/>
      <x:c r="H1064" s="74"/>
      <x:c r="I1064" s="74"/>
      <x:c r="J1064" s="74"/>
      <x:c r="K1064" s="74"/>
      <x:c r="L1064" s="74"/>
      <x:c r="M1064" s="91"/>
      <x:c r="N1064" s="91"/>
      <x:c r="O1064" s="85"/>
      <x:c r="Q1064" s="86"/>
      <x:c r="R1064" s="32"/>
    </x:row>
    <x:row r="1065">
      <x:c r="A1065" s="87"/>
      <x:c r="B1065" s="88"/>
      <x:c r="D1065" s="32"/>
      <x:c r="G1065" s="74"/>
      <x:c r="H1065" s="74"/>
      <x:c r="I1065" s="74"/>
      <x:c r="J1065" s="74"/>
      <x:c r="K1065" s="74"/>
      <x:c r="L1065" s="74"/>
      <x:c r="M1065" s="91"/>
      <x:c r="N1065" s="91"/>
      <x:c r="O1065" s="85"/>
      <x:c r="Q1065" s="86"/>
      <x:c r="R1065" s="32"/>
    </x:row>
    <x:row r="1066">
      <x:c r="A1066" s="87"/>
      <x:c r="B1066" s="88"/>
      <x:c r="D1066" s="32"/>
      <x:c r="G1066" s="74"/>
      <x:c r="H1066" s="74"/>
      <x:c r="I1066" s="74"/>
      <x:c r="J1066" s="74"/>
      <x:c r="K1066" s="74"/>
      <x:c r="L1066" s="74"/>
      <x:c r="M1066" s="91"/>
      <x:c r="N1066" s="91"/>
      <x:c r="O1066" s="85"/>
      <x:c r="Q1066" s="86"/>
      <x:c r="R1066" s="32"/>
    </x:row>
    <x:row r="1067">
      <x:c r="A1067" s="87"/>
      <x:c r="B1067" s="88"/>
      <x:c r="D1067" s="32"/>
      <x:c r="G1067" s="74"/>
      <x:c r="H1067" s="74"/>
      <x:c r="I1067" s="74"/>
      <x:c r="J1067" s="74"/>
      <x:c r="K1067" s="74"/>
      <x:c r="L1067" s="74"/>
      <x:c r="M1067" s="91"/>
      <x:c r="N1067" s="91"/>
      <x:c r="O1067" s="85"/>
      <x:c r="Q1067" s="86"/>
      <x:c r="R1067" s="32"/>
    </x:row>
    <x:row r="1068">
      <x:c r="A1068" s="87"/>
      <x:c r="B1068" s="88"/>
      <x:c r="D1068" s="32"/>
      <x:c r="G1068" s="74"/>
      <x:c r="H1068" s="74"/>
      <x:c r="I1068" s="74"/>
      <x:c r="J1068" s="74"/>
      <x:c r="K1068" s="74"/>
      <x:c r="L1068" s="74"/>
      <x:c r="M1068" s="91"/>
      <x:c r="N1068" s="91"/>
      <x:c r="O1068" s="85"/>
      <x:c r="Q1068" s="86"/>
      <x:c r="R1068" s="32"/>
    </x:row>
    <x:row r="1069">
      <x:c r="A1069" s="87"/>
      <x:c r="B1069" s="88"/>
      <x:c r="D1069" s="32"/>
      <x:c r="G1069" s="74"/>
      <x:c r="H1069" s="74"/>
      <x:c r="I1069" s="74"/>
      <x:c r="J1069" s="74"/>
      <x:c r="K1069" s="74"/>
      <x:c r="L1069" s="74"/>
      <x:c r="M1069" s="91"/>
      <x:c r="N1069" s="91"/>
      <x:c r="O1069" s="85"/>
      <x:c r="Q1069" s="86"/>
      <x:c r="R1069" s="32"/>
    </x:row>
    <x:row r="1070">
      <x:c r="A1070" s="87"/>
      <x:c r="B1070" s="88"/>
      <x:c r="D1070" s="32"/>
      <x:c r="G1070" s="74"/>
      <x:c r="H1070" s="74"/>
      <x:c r="I1070" s="74"/>
      <x:c r="J1070" s="74"/>
      <x:c r="K1070" s="74"/>
      <x:c r="L1070" s="74"/>
      <x:c r="M1070" s="91"/>
      <x:c r="N1070" s="91"/>
      <x:c r="O1070" s="85"/>
      <x:c r="Q1070" s="86"/>
      <x:c r="R1070" s="32"/>
    </x:row>
    <x:row r="1071">
      <x:c r="A1071" s="87"/>
      <x:c r="B1071" s="88"/>
      <x:c r="D1071" s="32"/>
      <x:c r="G1071" s="74"/>
      <x:c r="H1071" s="74"/>
      <x:c r="I1071" s="74"/>
      <x:c r="J1071" s="74"/>
      <x:c r="K1071" s="74"/>
      <x:c r="L1071" s="74"/>
      <x:c r="M1071" s="91"/>
      <x:c r="N1071" s="91"/>
      <x:c r="O1071" s="85"/>
      <x:c r="Q1071" s="86"/>
      <x:c r="R1071" s="32"/>
    </x:row>
    <x:row r="1072">
      <x:c r="A1072" s="87"/>
      <x:c r="B1072" s="88"/>
      <x:c r="D1072" s="32"/>
      <x:c r="G1072" s="74"/>
      <x:c r="H1072" s="74"/>
      <x:c r="I1072" s="74"/>
      <x:c r="J1072" s="74"/>
      <x:c r="K1072" s="74"/>
      <x:c r="L1072" s="74"/>
      <x:c r="M1072" s="91"/>
      <x:c r="N1072" s="91"/>
      <x:c r="O1072" s="85"/>
      <x:c r="Q1072" s="86"/>
      <x:c r="R1072" s="32"/>
    </x:row>
    <x:row r="1073">
      <x:c r="A1073" s="87"/>
      <x:c r="B1073" s="88"/>
      <x:c r="D1073" s="32"/>
      <x:c r="G1073" s="74"/>
      <x:c r="H1073" s="74"/>
      <x:c r="I1073" s="74"/>
      <x:c r="J1073" s="74"/>
      <x:c r="K1073" s="74"/>
      <x:c r="L1073" s="74"/>
      <x:c r="M1073" s="91"/>
      <x:c r="N1073" s="91"/>
      <x:c r="O1073" s="85"/>
      <x:c r="Q1073" s="86"/>
      <x:c r="R1073" s="32"/>
    </x:row>
    <x:row r="1074">
      <x:c r="A1074" s="87"/>
      <x:c r="B1074" s="88"/>
      <x:c r="D1074" s="32"/>
      <x:c r="G1074" s="74"/>
      <x:c r="H1074" s="74"/>
      <x:c r="I1074" s="74"/>
      <x:c r="J1074" s="74"/>
      <x:c r="K1074" s="74"/>
      <x:c r="L1074" s="74"/>
      <x:c r="M1074" s="91"/>
      <x:c r="N1074" s="91"/>
      <x:c r="O1074" s="85"/>
      <x:c r="Q1074" s="86"/>
      <x:c r="R1074" s="32"/>
    </x:row>
    <x:row r="1075">
      <x:c r="A1075" s="87"/>
      <x:c r="B1075" s="88"/>
      <x:c r="D1075" s="32"/>
      <x:c r="G1075" s="74"/>
      <x:c r="H1075" s="74"/>
      <x:c r="I1075" s="74"/>
      <x:c r="J1075" s="74"/>
      <x:c r="K1075" s="74"/>
      <x:c r="L1075" s="74"/>
      <x:c r="M1075" s="91"/>
      <x:c r="N1075" s="91"/>
      <x:c r="O1075" s="85"/>
      <x:c r="Q1075" s="86"/>
      <x:c r="R1075" s="32"/>
    </x:row>
    <x:row r="1076">
      <x:c r="A1076" s="87"/>
      <x:c r="B1076" s="88"/>
      <x:c r="D1076" s="32"/>
      <x:c r="G1076" s="74"/>
      <x:c r="H1076" s="74"/>
      <x:c r="I1076" s="74"/>
      <x:c r="J1076" s="74"/>
      <x:c r="K1076" s="74"/>
      <x:c r="L1076" s="74"/>
      <x:c r="M1076" s="91"/>
      <x:c r="N1076" s="91"/>
      <x:c r="O1076" s="85"/>
      <x:c r="Q1076" s="86"/>
      <x:c r="R1076" s="32"/>
    </x:row>
    <x:row r="1077">
      <x:c r="A1077" s="87"/>
      <x:c r="B1077" s="88"/>
      <x:c r="D1077" s="32"/>
      <x:c r="G1077" s="74"/>
      <x:c r="H1077" s="74"/>
      <x:c r="I1077" s="74"/>
      <x:c r="J1077" s="74"/>
      <x:c r="K1077" s="74"/>
      <x:c r="L1077" s="74"/>
      <x:c r="M1077" s="91"/>
      <x:c r="N1077" s="91"/>
      <x:c r="O1077" s="85"/>
      <x:c r="Q1077" s="86"/>
      <x:c r="R1077" s="32"/>
    </x:row>
    <x:row r="1078">
      <x:c r="A1078" s="87"/>
      <x:c r="B1078" s="88"/>
      <x:c r="D1078" s="32"/>
      <x:c r="G1078" s="74"/>
      <x:c r="H1078" s="74"/>
      <x:c r="I1078" s="74"/>
      <x:c r="J1078" s="74"/>
      <x:c r="K1078" s="74"/>
      <x:c r="L1078" s="74"/>
      <x:c r="M1078" s="91"/>
      <x:c r="N1078" s="91"/>
      <x:c r="O1078" s="85"/>
      <x:c r="Q1078" s="86"/>
      <x:c r="R1078" s="32"/>
    </x:row>
    <x:row r="1079">
      <x:c r="A1079" s="87"/>
      <x:c r="B1079" s="88"/>
      <x:c r="D1079" s="32"/>
      <x:c r="G1079" s="74"/>
      <x:c r="H1079" s="74"/>
      <x:c r="I1079" s="74"/>
      <x:c r="J1079" s="74"/>
      <x:c r="K1079" s="74"/>
      <x:c r="L1079" s="74"/>
      <x:c r="M1079" s="91"/>
      <x:c r="N1079" s="91"/>
      <x:c r="O1079" s="85"/>
      <x:c r="Q1079" s="86"/>
      <x:c r="R1079" s="32"/>
    </x:row>
    <x:row r="1080">
      <x:c r="A1080" s="87"/>
      <x:c r="B1080" s="88"/>
      <x:c r="D1080" s="32"/>
      <x:c r="G1080" s="74"/>
      <x:c r="H1080" s="74"/>
      <x:c r="I1080" s="74"/>
      <x:c r="J1080" s="74"/>
      <x:c r="K1080" s="74"/>
      <x:c r="L1080" s="74"/>
      <x:c r="M1080" s="91"/>
      <x:c r="N1080" s="91"/>
      <x:c r="O1080" s="85"/>
      <x:c r="Q1080" s="86"/>
      <x:c r="R1080" s="32"/>
    </x:row>
    <x:row r="1081">
      <x:c r="A1081" s="87"/>
      <x:c r="B1081" s="88"/>
      <x:c r="D1081" s="32"/>
      <x:c r="G1081" s="74"/>
      <x:c r="H1081" s="74"/>
      <x:c r="I1081" s="74"/>
      <x:c r="J1081" s="74"/>
      <x:c r="K1081" s="74"/>
      <x:c r="L1081" s="74"/>
      <x:c r="M1081" s="91"/>
      <x:c r="N1081" s="91"/>
      <x:c r="O1081" s="85"/>
      <x:c r="Q1081" s="86"/>
      <x:c r="R1081" s="32"/>
    </x:row>
    <x:row r="1082">
      <x:c r="A1082" s="87"/>
      <x:c r="B1082" s="88"/>
      <x:c r="D1082" s="32"/>
      <x:c r="G1082" s="74"/>
      <x:c r="H1082" s="74"/>
      <x:c r="I1082" s="74"/>
      <x:c r="J1082" s="74"/>
      <x:c r="K1082" s="74"/>
      <x:c r="L1082" s="74"/>
      <x:c r="M1082" s="91"/>
      <x:c r="N1082" s="91"/>
      <x:c r="O1082" s="85"/>
      <x:c r="Q1082" s="86"/>
      <x:c r="R1082" s="32"/>
    </x:row>
    <x:row r="1083">
      <x:c r="A1083" s="87"/>
      <x:c r="B1083" s="88"/>
      <x:c r="D1083" s="32"/>
      <x:c r="G1083" s="74"/>
      <x:c r="H1083" s="74"/>
      <x:c r="I1083" s="74"/>
      <x:c r="J1083" s="74"/>
      <x:c r="K1083" s="74"/>
      <x:c r="L1083" s="74"/>
      <x:c r="M1083" s="91"/>
      <x:c r="N1083" s="91"/>
      <x:c r="O1083" s="85"/>
      <x:c r="Q1083" s="86"/>
      <x:c r="R1083" s="32"/>
    </x:row>
    <x:row r="1084">
      <x:c r="A1084" s="87"/>
      <x:c r="B1084" s="88"/>
      <x:c r="D1084" s="32"/>
      <x:c r="G1084" s="74"/>
      <x:c r="H1084" s="74"/>
      <x:c r="I1084" s="74"/>
      <x:c r="J1084" s="74"/>
      <x:c r="K1084" s="74"/>
      <x:c r="L1084" s="74"/>
      <x:c r="M1084" s="91"/>
      <x:c r="N1084" s="91"/>
      <x:c r="O1084" s="85"/>
      <x:c r="Q1084" s="86"/>
      <x:c r="R1084" s="32"/>
    </x:row>
    <x:row r="1085">
      <x:c r="A1085" s="87"/>
      <x:c r="B1085" s="88"/>
      <x:c r="D1085" s="32"/>
      <x:c r="G1085" s="74"/>
      <x:c r="H1085" s="74"/>
      <x:c r="I1085" s="74"/>
      <x:c r="J1085" s="74"/>
      <x:c r="K1085" s="74"/>
      <x:c r="L1085" s="74"/>
      <x:c r="M1085" s="91"/>
      <x:c r="N1085" s="91"/>
      <x:c r="O1085" s="85"/>
      <x:c r="Q1085" s="86"/>
      <x:c r="R1085" s="32"/>
    </x:row>
    <x:row r="1086">
      <x:c r="A1086" s="87"/>
      <x:c r="B1086" s="88"/>
      <x:c r="D1086" s="32"/>
      <x:c r="G1086" s="74"/>
      <x:c r="H1086" s="74"/>
      <x:c r="I1086" s="74"/>
      <x:c r="J1086" s="74"/>
      <x:c r="K1086" s="74"/>
      <x:c r="L1086" s="74"/>
      <x:c r="M1086" s="91"/>
      <x:c r="N1086" s="91"/>
      <x:c r="O1086" s="85"/>
      <x:c r="Q1086" s="86"/>
      <x:c r="R1086" s="32"/>
    </x:row>
    <x:row r="1087">
      <x:c r="A1087" s="87"/>
      <x:c r="B1087" s="88"/>
      <x:c r="D1087" s="32"/>
      <x:c r="G1087" s="74"/>
      <x:c r="H1087" s="74"/>
      <x:c r="I1087" s="74"/>
      <x:c r="J1087" s="74"/>
      <x:c r="K1087" s="74"/>
      <x:c r="L1087" s="74"/>
      <x:c r="M1087" s="91"/>
      <x:c r="N1087" s="91"/>
      <x:c r="O1087" s="85"/>
      <x:c r="Q1087" s="86"/>
      <x:c r="R1087" s="32"/>
    </x:row>
    <x:row r="1088">
      <x:c r="A1088" s="87"/>
      <x:c r="B1088" s="88"/>
      <x:c r="D1088" s="32"/>
      <x:c r="G1088" s="74"/>
      <x:c r="H1088" s="74"/>
      <x:c r="I1088" s="74"/>
      <x:c r="J1088" s="74"/>
      <x:c r="K1088" s="74"/>
      <x:c r="L1088" s="74"/>
      <x:c r="M1088" s="91"/>
      <x:c r="N1088" s="91"/>
      <x:c r="O1088" s="85"/>
      <x:c r="Q1088" s="86"/>
      <x:c r="R1088" s="32"/>
    </x:row>
    <x:row r="1089">
      <x:c r="A1089" s="87"/>
      <x:c r="B1089" s="88"/>
      <x:c r="D1089" s="32"/>
      <x:c r="G1089" s="74"/>
      <x:c r="H1089" s="74"/>
      <x:c r="I1089" s="74"/>
      <x:c r="J1089" s="74"/>
      <x:c r="K1089" s="74"/>
      <x:c r="L1089" s="74"/>
      <x:c r="M1089" s="91"/>
      <x:c r="N1089" s="91"/>
      <x:c r="O1089" s="85"/>
      <x:c r="Q1089" s="86"/>
      <x:c r="R1089" s="32"/>
    </x:row>
    <x:row r="1090">
      <x:c r="A1090" s="87"/>
      <x:c r="B1090" s="88"/>
      <x:c r="D1090" s="32"/>
      <x:c r="G1090" s="74"/>
      <x:c r="H1090" s="74"/>
      <x:c r="I1090" s="74"/>
      <x:c r="J1090" s="74"/>
      <x:c r="K1090" s="74"/>
      <x:c r="L1090" s="74"/>
      <x:c r="M1090" s="91"/>
      <x:c r="N1090" s="91"/>
      <x:c r="O1090" s="85"/>
      <x:c r="Q1090" s="86"/>
      <x:c r="R1090" s="32"/>
    </x:row>
    <x:row r="1091">
      <x:c r="A1091" s="87"/>
      <x:c r="B1091" s="88"/>
      <x:c r="D1091" s="32"/>
      <x:c r="G1091" s="74"/>
      <x:c r="H1091" s="74"/>
      <x:c r="I1091" s="74"/>
      <x:c r="J1091" s="74"/>
      <x:c r="K1091" s="74"/>
      <x:c r="L1091" s="74"/>
      <x:c r="M1091" s="91"/>
      <x:c r="N1091" s="91"/>
      <x:c r="O1091" s="85"/>
      <x:c r="Q1091" s="86"/>
      <x:c r="R1091" s="32"/>
    </x:row>
    <x:row r="1092">
      <x:c r="A1092" s="87"/>
      <x:c r="B1092" s="88"/>
      <x:c r="D1092" s="32"/>
      <x:c r="G1092" s="74"/>
      <x:c r="H1092" s="74"/>
      <x:c r="I1092" s="74"/>
      <x:c r="J1092" s="74"/>
      <x:c r="K1092" s="74"/>
      <x:c r="L1092" s="74"/>
      <x:c r="M1092" s="91"/>
      <x:c r="N1092" s="91"/>
      <x:c r="O1092" s="85"/>
      <x:c r="Q1092" s="86"/>
      <x:c r="R1092" s="32"/>
    </x:row>
    <x:row r="1093">
      <x:c r="A1093" s="87"/>
      <x:c r="B1093" s="88"/>
      <x:c r="D1093" s="32"/>
      <x:c r="G1093" s="74"/>
      <x:c r="H1093" s="74"/>
      <x:c r="I1093" s="74"/>
      <x:c r="J1093" s="74"/>
      <x:c r="K1093" s="74"/>
      <x:c r="L1093" s="74"/>
      <x:c r="M1093" s="91"/>
      <x:c r="N1093" s="91"/>
      <x:c r="O1093" s="85"/>
      <x:c r="Q1093" s="86"/>
      <x:c r="R1093" s="32"/>
    </x:row>
    <x:row r="1094">
      <x:c r="A1094" s="87"/>
      <x:c r="B1094" s="88"/>
      <x:c r="D1094" s="32"/>
      <x:c r="G1094" s="74"/>
      <x:c r="H1094" s="74"/>
      <x:c r="I1094" s="74"/>
      <x:c r="J1094" s="74"/>
      <x:c r="K1094" s="74"/>
      <x:c r="L1094" s="74"/>
      <x:c r="M1094" s="91"/>
      <x:c r="N1094" s="91"/>
      <x:c r="O1094" s="85"/>
      <x:c r="Q1094" s="86"/>
      <x:c r="R1094" s="32"/>
    </x:row>
    <x:row r="1095">
      <x:c r="A1095" s="87"/>
      <x:c r="B1095" s="88"/>
      <x:c r="D1095" s="32"/>
      <x:c r="G1095" s="74"/>
      <x:c r="H1095" s="74"/>
      <x:c r="I1095" s="74"/>
      <x:c r="J1095" s="74"/>
      <x:c r="K1095" s="74"/>
      <x:c r="L1095" s="74"/>
      <x:c r="M1095" s="91"/>
      <x:c r="N1095" s="91"/>
      <x:c r="O1095" s="85"/>
      <x:c r="Q1095" s="86"/>
      <x:c r="R1095" s="32"/>
    </x:row>
    <x:row r="1096">
      <x:c r="A1096" s="87"/>
      <x:c r="B1096" s="88"/>
      <x:c r="D1096" s="32"/>
      <x:c r="G1096" s="74"/>
      <x:c r="H1096" s="74"/>
      <x:c r="I1096" s="74"/>
      <x:c r="J1096" s="74"/>
      <x:c r="K1096" s="74"/>
      <x:c r="L1096" s="74"/>
      <x:c r="M1096" s="91"/>
      <x:c r="N1096" s="91"/>
      <x:c r="O1096" s="85"/>
      <x:c r="Q1096" s="86"/>
      <x:c r="R1096" s="32"/>
    </x:row>
    <x:row r="1097">
      <x:c r="A1097" s="87"/>
      <x:c r="B1097" s="88"/>
      <x:c r="D1097" s="32"/>
      <x:c r="G1097" s="74"/>
      <x:c r="H1097" s="74"/>
      <x:c r="I1097" s="74"/>
      <x:c r="J1097" s="74"/>
      <x:c r="K1097" s="74"/>
      <x:c r="L1097" s="74"/>
      <x:c r="M1097" s="91"/>
      <x:c r="N1097" s="91"/>
      <x:c r="O1097" s="85"/>
      <x:c r="Q1097" s="86"/>
      <x:c r="R1097" s="32"/>
    </x:row>
    <x:row r="1098">
      <x:c r="A1098" s="87"/>
      <x:c r="B1098" s="88"/>
      <x:c r="D1098" s="32"/>
      <x:c r="G1098" s="74"/>
      <x:c r="H1098" s="74"/>
      <x:c r="I1098" s="74"/>
      <x:c r="J1098" s="74"/>
      <x:c r="K1098" s="74"/>
      <x:c r="L1098" s="74"/>
      <x:c r="M1098" s="91"/>
      <x:c r="N1098" s="91"/>
      <x:c r="O1098" s="85"/>
      <x:c r="Q1098" s="86"/>
      <x:c r="R1098" s="32"/>
    </x:row>
    <x:row r="1099">
      <x:c r="A1099" s="87"/>
      <x:c r="B1099" s="88"/>
      <x:c r="D1099" s="32"/>
      <x:c r="G1099" s="74"/>
      <x:c r="H1099" s="74"/>
      <x:c r="I1099" s="74"/>
      <x:c r="J1099" s="74"/>
      <x:c r="K1099" s="74"/>
      <x:c r="L1099" s="74"/>
      <x:c r="M1099" s="91"/>
      <x:c r="N1099" s="91"/>
      <x:c r="O1099" s="85"/>
      <x:c r="Q1099" s="86"/>
      <x:c r="R1099" s="32"/>
    </x:row>
    <x:row r="1100">
      <x:c r="A1100" s="87"/>
      <x:c r="B1100" s="88"/>
      <x:c r="D1100" s="32"/>
      <x:c r="G1100" s="74"/>
      <x:c r="H1100" s="74"/>
      <x:c r="I1100" s="74"/>
      <x:c r="J1100" s="74"/>
      <x:c r="K1100" s="74"/>
      <x:c r="L1100" s="74"/>
      <x:c r="M1100" s="91"/>
      <x:c r="N1100" s="91"/>
      <x:c r="O1100" s="85"/>
      <x:c r="Q1100" s="86"/>
      <x:c r="R1100" s="32"/>
    </x:row>
    <x:row r="1101">
      <x:c r="A1101" s="87"/>
      <x:c r="B1101" s="88"/>
      <x:c r="D1101" s="32"/>
      <x:c r="G1101" s="74"/>
      <x:c r="H1101" s="74"/>
      <x:c r="I1101" s="74"/>
      <x:c r="J1101" s="74"/>
      <x:c r="K1101" s="74"/>
      <x:c r="L1101" s="74"/>
      <x:c r="M1101" s="91"/>
      <x:c r="N1101" s="91"/>
      <x:c r="O1101" s="85"/>
      <x:c r="Q1101" s="86"/>
      <x:c r="R1101" s="32"/>
    </x:row>
    <x:row r="1102">
      <x:c r="A1102" s="87"/>
      <x:c r="B1102" s="88"/>
      <x:c r="D1102" s="32"/>
      <x:c r="G1102" s="74"/>
      <x:c r="H1102" s="74"/>
      <x:c r="I1102" s="74"/>
      <x:c r="J1102" s="74"/>
      <x:c r="K1102" s="74"/>
      <x:c r="L1102" s="74"/>
      <x:c r="M1102" s="91"/>
      <x:c r="N1102" s="91"/>
      <x:c r="O1102" s="85"/>
      <x:c r="Q1102" s="86"/>
      <x:c r="R1102" s="32"/>
    </x:row>
    <x:row r="1103">
      <x:c r="A1103" s="87"/>
      <x:c r="B1103" s="88"/>
      <x:c r="D1103" s="32"/>
      <x:c r="G1103" s="74"/>
      <x:c r="H1103" s="74"/>
      <x:c r="I1103" s="74"/>
      <x:c r="J1103" s="74"/>
      <x:c r="K1103" s="74"/>
      <x:c r="L1103" s="74"/>
      <x:c r="M1103" s="91"/>
      <x:c r="N1103" s="91"/>
      <x:c r="O1103" s="85"/>
      <x:c r="Q1103" s="86"/>
      <x:c r="R1103" s="32"/>
    </x:row>
    <x:row r="1104">
      <x:c r="A1104" s="87"/>
      <x:c r="B1104" s="88"/>
      <x:c r="D1104" s="32"/>
      <x:c r="G1104" s="74"/>
      <x:c r="H1104" s="74"/>
      <x:c r="I1104" s="74"/>
      <x:c r="J1104" s="74"/>
      <x:c r="K1104" s="74"/>
      <x:c r="L1104" s="74"/>
      <x:c r="M1104" s="91"/>
      <x:c r="N1104" s="91"/>
      <x:c r="O1104" s="85"/>
      <x:c r="Q1104" s="86"/>
      <x:c r="R1104" s="32"/>
    </x:row>
    <x:row r="1105">
      <x:c r="A1105" s="87"/>
      <x:c r="B1105" s="88"/>
      <x:c r="D1105" s="32"/>
      <x:c r="G1105" s="74"/>
      <x:c r="H1105" s="74"/>
      <x:c r="I1105" s="74"/>
      <x:c r="J1105" s="74"/>
      <x:c r="K1105" s="74"/>
      <x:c r="L1105" s="74"/>
      <x:c r="M1105" s="91"/>
      <x:c r="N1105" s="91"/>
      <x:c r="O1105" s="85"/>
      <x:c r="Q1105" s="86"/>
      <x:c r="R1105" s="32"/>
    </x:row>
    <x:row r="1106">
      <x:c r="A1106" s="87"/>
      <x:c r="B1106" s="88"/>
      <x:c r="D1106" s="32"/>
      <x:c r="G1106" s="74"/>
      <x:c r="H1106" s="74"/>
      <x:c r="I1106" s="74"/>
      <x:c r="J1106" s="74"/>
      <x:c r="K1106" s="74"/>
      <x:c r="L1106" s="74"/>
      <x:c r="M1106" s="91"/>
      <x:c r="N1106" s="91"/>
      <x:c r="O1106" s="85"/>
      <x:c r="Q1106" s="86"/>
      <x:c r="R1106" s="32"/>
    </x:row>
    <x:row r="1107">
      <x:c r="A1107" s="87"/>
      <x:c r="B1107" s="88"/>
      <x:c r="D1107" s="32"/>
      <x:c r="G1107" s="74"/>
      <x:c r="H1107" s="74"/>
      <x:c r="I1107" s="74"/>
      <x:c r="J1107" s="74"/>
      <x:c r="K1107" s="74"/>
      <x:c r="L1107" s="74"/>
      <x:c r="M1107" s="91"/>
      <x:c r="N1107" s="91"/>
      <x:c r="O1107" s="85"/>
      <x:c r="Q1107" s="86"/>
      <x:c r="R1107" s="32"/>
    </x:row>
    <x:row r="1108">
      <x:c r="A1108" s="87"/>
      <x:c r="B1108" s="88"/>
      <x:c r="D1108" s="32"/>
      <x:c r="G1108" s="74"/>
      <x:c r="H1108" s="74"/>
      <x:c r="I1108" s="74"/>
      <x:c r="J1108" s="74"/>
      <x:c r="K1108" s="74"/>
      <x:c r="L1108" s="74"/>
      <x:c r="M1108" s="91"/>
      <x:c r="N1108" s="91"/>
      <x:c r="O1108" s="85"/>
      <x:c r="Q1108" s="86"/>
      <x:c r="R1108" s="32"/>
    </x:row>
    <x:row r="1109">
      <x:c r="A1109" s="87"/>
      <x:c r="B1109" s="88"/>
      <x:c r="D1109" s="32"/>
      <x:c r="G1109" s="74"/>
      <x:c r="H1109" s="74"/>
      <x:c r="I1109" s="74"/>
      <x:c r="J1109" s="74"/>
      <x:c r="K1109" s="74"/>
      <x:c r="L1109" s="74"/>
      <x:c r="M1109" s="91"/>
      <x:c r="N1109" s="91"/>
      <x:c r="O1109" s="85"/>
      <x:c r="Q1109" s="86"/>
      <x:c r="R1109" s="32"/>
    </x:row>
    <x:row r="1110">
      <x:c r="A1110" s="87"/>
      <x:c r="B1110" s="88"/>
      <x:c r="D1110" s="32"/>
      <x:c r="G1110" s="74"/>
      <x:c r="H1110" s="74"/>
      <x:c r="I1110" s="74"/>
      <x:c r="J1110" s="74"/>
      <x:c r="K1110" s="74"/>
      <x:c r="L1110" s="74"/>
      <x:c r="M1110" s="91"/>
      <x:c r="N1110" s="91"/>
      <x:c r="O1110" s="85"/>
      <x:c r="Q1110" s="86"/>
      <x:c r="R1110" s="32"/>
    </x:row>
    <x:row r="1111">
      <x:c r="A1111" s="87"/>
      <x:c r="B1111" s="88"/>
      <x:c r="D1111" s="32"/>
      <x:c r="G1111" s="74"/>
      <x:c r="H1111" s="74"/>
      <x:c r="I1111" s="74"/>
      <x:c r="J1111" s="74"/>
      <x:c r="K1111" s="74"/>
      <x:c r="L1111" s="74"/>
      <x:c r="M1111" s="91"/>
      <x:c r="N1111" s="91"/>
      <x:c r="O1111" s="85"/>
      <x:c r="Q1111" s="86"/>
      <x:c r="R1111" s="32"/>
    </x:row>
    <x:row r="1112">
      <x:c r="A1112" s="87"/>
      <x:c r="B1112" s="88"/>
      <x:c r="D1112" s="32"/>
      <x:c r="G1112" s="74"/>
      <x:c r="H1112" s="74"/>
      <x:c r="I1112" s="74"/>
      <x:c r="J1112" s="74"/>
      <x:c r="K1112" s="74"/>
      <x:c r="L1112" s="74"/>
      <x:c r="M1112" s="91"/>
      <x:c r="N1112" s="91"/>
      <x:c r="O1112" s="85"/>
      <x:c r="Q1112" s="86"/>
      <x:c r="R1112" s="32"/>
    </x:row>
    <x:row r="1113">
      <x:c r="A1113" s="87"/>
      <x:c r="B1113" s="88"/>
      <x:c r="D1113" s="32"/>
      <x:c r="G1113" s="74"/>
      <x:c r="H1113" s="74"/>
      <x:c r="I1113" s="74"/>
      <x:c r="J1113" s="74"/>
      <x:c r="K1113" s="74"/>
      <x:c r="L1113" s="74"/>
      <x:c r="M1113" s="91"/>
      <x:c r="N1113" s="91"/>
      <x:c r="O1113" s="85"/>
      <x:c r="Q1113" s="86"/>
      <x:c r="R1113" s="32"/>
    </x:row>
    <x:row r="1114">
      <x:c r="A1114" s="87"/>
      <x:c r="B1114" s="88"/>
      <x:c r="D1114" s="32"/>
      <x:c r="G1114" s="74"/>
      <x:c r="H1114" s="74"/>
      <x:c r="I1114" s="74"/>
      <x:c r="J1114" s="74"/>
      <x:c r="K1114" s="74"/>
      <x:c r="L1114" s="74"/>
      <x:c r="M1114" s="91"/>
      <x:c r="N1114" s="91"/>
      <x:c r="O1114" s="85"/>
      <x:c r="Q1114" s="86"/>
      <x:c r="R1114" s="32"/>
    </x:row>
    <x:row r="1115">
      <x:c r="A1115" s="87"/>
      <x:c r="B1115" s="88"/>
      <x:c r="D1115" s="32"/>
      <x:c r="G1115" s="74"/>
      <x:c r="H1115" s="74"/>
      <x:c r="I1115" s="74"/>
      <x:c r="J1115" s="74"/>
      <x:c r="K1115" s="74"/>
      <x:c r="L1115" s="74"/>
      <x:c r="M1115" s="91"/>
      <x:c r="N1115" s="91"/>
      <x:c r="O1115" s="85"/>
      <x:c r="Q1115" s="86"/>
      <x:c r="R1115" s="32"/>
    </x:row>
    <x:row r="1116">
      <x:c r="A1116" s="87"/>
      <x:c r="B1116" s="88"/>
      <x:c r="D1116" s="32"/>
      <x:c r="G1116" s="74"/>
      <x:c r="H1116" s="74"/>
      <x:c r="I1116" s="74"/>
      <x:c r="J1116" s="74"/>
      <x:c r="K1116" s="74"/>
      <x:c r="L1116" s="74"/>
      <x:c r="M1116" s="91"/>
      <x:c r="N1116" s="91"/>
      <x:c r="O1116" s="85"/>
      <x:c r="Q1116" s="86"/>
      <x:c r="R1116" s="32"/>
    </x:row>
    <x:row r="1117">
      <x:c r="A1117" s="87"/>
      <x:c r="B1117" s="88"/>
      <x:c r="D1117" s="32"/>
      <x:c r="G1117" s="74"/>
      <x:c r="H1117" s="74"/>
      <x:c r="I1117" s="74"/>
      <x:c r="J1117" s="74"/>
      <x:c r="K1117" s="74"/>
      <x:c r="L1117" s="74"/>
      <x:c r="M1117" s="91"/>
      <x:c r="N1117" s="91"/>
      <x:c r="O1117" s="85"/>
      <x:c r="Q1117" s="86"/>
      <x:c r="R1117" s="32"/>
    </x:row>
    <x:row r="1118">
      <x:c r="A1118" s="87"/>
      <x:c r="B1118" s="88"/>
      <x:c r="D1118" s="32"/>
      <x:c r="G1118" s="74"/>
      <x:c r="H1118" s="74"/>
      <x:c r="I1118" s="74"/>
      <x:c r="J1118" s="74"/>
      <x:c r="K1118" s="74"/>
      <x:c r="L1118" s="74"/>
      <x:c r="M1118" s="91"/>
      <x:c r="N1118" s="91"/>
      <x:c r="O1118" s="85"/>
      <x:c r="Q1118" s="86"/>
      <x:c r="R1118" s="32"/>
    </x:row>
    <x:row r="1119">
      <x:c r="A1119" s="87"/>
      <x:c r="B1119" s="88"/>
      <x:c r="D1119" s="32"/>
      <x:c r="G1119" s="74"/>
      <x:c r="H1119" s="74"/>
      <x:c r="I1119" s="74"/>
      <x:c r="J1119" s="74"/>
      <x:c r="K1119" s="74"/>
      <x:c r="L1119" s="74"/>
      <x:c r="M1119" s="91"/>
      <x:c r="N1119" s="91"/>
      <x:c r="O1119" s="85"/>
      <x:c r="Q1119" s="86"/>
      <x:c r="R1119" s="32"/>
    </x:row>
    <x:row r="1120">
      <x:c r="A1120" s="87"/>
      <x:c r="B1120" s="88"/>
      <x:c r="D1120" s="32"/>
      <x:c r="G1120" s="74"/>
      <x:c r="H1120" s="74"/>
      <x:c r="I1120" s="74"/>
      <x:c r="J1120" s="74"/>
      <x:c r="K1120" s="74"/>
      <x:c r="L1120" s="74"/>
      <x:c r="M1120" s="91"/>
      <x:c r="N1120" s="91"/>
      <x:c r="O1120" s="85"/>
      <x:c r="Q1120" s="86"/>
      <x:c r="R1120" s="32"/>
    </x:row>
    <x:row r="1121">
      <x:c r="A1121" s="87"/>
      <x:c r="B1121" s="88"/>
      <x:c r="D1121" s="32"/>
      <x:c r="G1121" s="74"/>
      <x:c r="H1121" s="74"/>
      <x:c r="I1121" s="74"/>
      <x:c r="J1121" s="74"/>
      <x:c r="K1121" s="74"/>
      <x:c r="L1121" s="74"/>
      <x:c r="M1121" s="91"/>
      <x:c r="N1121" s="91"/>
      <x:c r="O1121" s="85"/>
      <x:c r="Q1121" s="86"/>
      <x:c r="R1121" s="32"/>
    </x:row>
    <x:row r="1122">
      <x:c r="A1122" s="87"/>
      <x:c r="B1122" s="88"/>
      <x:c r="D1122" s="32"/>
      <x:c r="G1122" s="74"/>
      <x:c r="H1122" s="74"/>
      <x:c r="I1122" s="74"/>
      <x:c r="J1122" s="74"/>
      <x:c r="K1122" s="74"/>
      <x:c r="L1122" s="74"/>
      <x:c r="M1122" s="91"/>
      <x:c r="N1122" s="91"/>
      <x:c r="O1122" s="85"/>
      <x:c r="Q1122" s="86"/>
      <x:c r="R1122" s="32"/>
    </x:row>
    <x:row r="1123">
      <x:c r="A1123" s="87"/>
      <x:c r="B1123" s="88"/>
      <x:c r="D1123" s="32"/>
      <x:c r="G1123" s="74"/>
      <x:c r="H1123" s="74"/>
      <x:c r="I1123" s="74"/>
      <x:c r="J1123" s="74"/>
      <x:c r="K1123" s="74"/>
      <x:c r="L1123" s="74"/>
      <x:c r="M1123" s="91"/>
      <x:c r="N1123" s="91"/>
      <x:c r="O1123" s="85"/>
      <x:c r="Q1123" s="86"/>
      <x:c r="R1123" s="32"/>
    </x:row>
    <x:row r="1124">
      <x:c r="A1124" s="87"/>
      <x:c r="B1124" s="88"/>
      <x:c r="D1124" s="32"/>
      <x:c r="G1124" s="74"/>
      <x:c r="H1124" s="74"/>
      <x:c r="I1124" s="74"/>
      <x:c r="J1124" s="74"/>
      <x:c r="K1124" s="74"/>
      <x:c r="L1124" s="74"/>
      <x:c r="M1124" s="91"/>
      <x:c r="N1124" s="91"/>
      <x:c r="O1124" s="85"/>
      <x:c r="Q1124" s="86"/>
      <x:c r="R1124" s="32"/>
    </x:row>
    <x:row r="1125">
      <x:c r="A1125" s="87"/>
      <x:c r="B1125" s="88"/>
      <x:c r="D1125" s="32"/>
      <x:c r="G1125" s="74"/>
      <x:c r="H1125" s="74"/>
      <x:c r="I1125" s="74"/>
      <x:c r="J1125" s="74"/>
      <x:c r="K1125" s="74"/>
      <x:c r="L1125" s="74"/>
      <x:c r="M1125" s="91"/>
      <x:c r="N1125" s="91"/>
      <x:c r="O1125" s="85"/>
      <x:c r="Q1125" s="86"/>
      <x:c r="R1125" s="32"/>
    </x:row>
    <x:row r="1126">
      <x:c r="A1126" s="87"/>
      <x:c r="B1126" s="88"/>
      <x:c r="D1126" s="32"/>
      <x:c r="G1126" s="74"/>
      <x:c r="H1126" s="74"/>
      <x:c r="I1126" s="74"/>
      <x:c r="J1126" s="74"/>
      <x:c r="K1126" s="74"/>
      <x:c r="L1126" s="74"/>
      <x:c r="M1126" s="91"/>
      <x:c r="N1126" s="91"/>
      <x:c r="O1126" s="85"/>
      <x:c r="Q1126" s="86"/>
      <x:c r="R1126" s="32"/>
    </x:row>
    <x:row r="1127">
      <x:c r="A1127" s="87"/>
      <x:c r="B1127" s="88"/>
      <x:c r="D1127" s="32"/>
      <x:c r="G1127" s="74"/>
      <x:c r="H1127" s="74"/>
      <x:c r="I1127" s="74"/>
      <x:c r="J1127" s="74"/>
      <x:c r="K1127" s="74"/>
      <x:c r="L1127" s="74"/>
      <x:c r="M1127" s="91"/>
      <x:c r="N1127" s="91"/>
      <x:c r="O1127" s="85"/>
      <x:c r="Q1127" s="86"/>
      <x:c r="R1127" s="32"/>
    </x:row>
    <x:row r="1128">
      <x:c r="A1128" s="87"/>
      <x:c r="B1128" s="88"/>
      <x:c r="D1128" s="32"/>
      <x:c r="G1128" s="74"/>
      <x:c r="H1128" s="74"/>
      <x:c r="I1128" s="74"/>
      <x:c r="J1128" s="74"/>
      <x:c r="K1128" s="74"/>
      <x:c r="L1128" s="74"/>
      <x:c r="M1128" s="91"/>
      <x:c r="N1128" s="91"/>
      <x:c r="O1128" s="85"/>
      <x:c r="Q1128" s="86"/>
      <x:c r="R1128" s="32"/>
    </x:row>
    <x:row r="1129">
      <x:c r="A1129" s="87"/>
      <x:c r="B1129" s="88"/>
      <x:c r="D1129" s="32"/>
      <x:c r="G1129" s="74"/>
      <x:c r="H1129" s="74"/>
      <x:c r="I1129" s="74"/>
      <x:c r="J1129" s="74"/>
      <x:c r="K1129" s="74"/>
      <x:c r="L1129" s="74"/>
      <x:c r="M1129" s="91"/>
      <x:c r="N1129" s="91"/>
      <x:c r="O1129" s="85"/>
      <x:c r="Q1129" s="86"/>
      <x:c r="R1129" s="32"/>
    </x:row>
    <x:row r="1130">
      <x:c r="A1130" s="87"/>
      <x:c r="B1130" s="88"/>
      <x:c r="D1130" s="32"/>
      <x:c r="G1130" s="74"/>
      <x:c r="H1130" s="74"/>
      <x:c r="I1130" s="74"/>
      <x:c r="J1130" s="74"/>
      <x:c r="K1130" s="74"/>
      <x:c r="L1130" s="74"/>
      <x:c r="M1130" s="91"/>
      <x:c r="N1130" s="91"/>
      <x:c r="O1130" s="85"/>
      <x:c r="Q1130" s="86"/>
      <x:c r="R1130" s="32"/>
    </x:row>
    <x:row r="1131">
      <x:c r="A1131" s="87"/>
      <x:c r="B1131" s="88"/>
      <x:c r="D1131" s="32"/>
      <x:c r="G1131" s="74"/>
      <x:c r="H1131" s="74"/>
      <x:c r="I1131" s="74"/>
      <x:c r="J1131" s="74"/>
      <x:c r="K1131" s="74"/>
      <x:c r="L1131" s="74"/>
      <x:c r="M1131" s="91"/>
      <x:c r="N1131" s="91"/>
      <x:c r="O1131" s="85"/>
      <x:c r="Q1131" s="86"/>
      <x:c r="R1131" s="32"/>
    </x:row>
    <x:row r="1132">
      <x:c r="A1132" s="87"/>
      <x:c r="B1132" s="88"/>
      <x:c r="D1132" s="32"/>
      <x:c r="G1132" s="74"/>
      <x:c r="H1132" s="74"/>
      <x:c r="I1132" s="74"/>
      <x:c r="J1132" s="74"/>
      <x:c r="K1132" s="74"/>
      <x:c r="L1132" s="74"/>
      <x:c r="M1132" s="91"/>
      <x:c r="N1132" s="91"/>
      <x:c r="O1132" s="85"/>
      <x:c r="Q1132" s="86"/>
      <x:c r="R1132" s="32"/>
    </x:row>
    <x:row r="1133">
      <x:c r="A1133" s="87"/>
      <x:c r="B1133" s="88"/>
      <x:c r="D1133" s="32"/>
      <x:c r="G1133" s="74"/>
      <x:c r="H1133" s="74"/>
      <x:c r="I1133" s="74"/>
      <x:c r="J1133" s="74"/>
      <x:c r="K1133" s="74"/>
      <x:c r="L1133" s="74"/>
      <x:c r="M1133" s="91"/>
      <x:c r="N1133" s="91"/>
      <x:c r="O1133" s="85"/>
      <x:c r="Q1133" s="86"/>
      <x:c r="R1133" s="32"/>
    </x:row>
    <x:row r="1134">
      <x:c r="A1134" s="87"/>
      <x:c r="B1134" s="88"/>
      <x:c r="D1134" s="32"/>
      <x:c r="G1134" s="74"/>
      <x:c r="H1134" s="74"/>
      <x:c r="I1134" s="74"/>
      <x:c r="J1134" s="74"/>
      <x:c r="K1134" s="74"/>
      <x:c r="L1134" s="74"/>
      <x:c r="M1134" s="91"/>
      <x:c r="N1134" s="91"/>
      <x:c r="O1134" s="85"/>
      <x:c r="Q1134" s="86"/>
      <x:c r="R1134" s="32"/>
    </x:row>
    <x:row r="1135">
      <x:c r="A1135" s="87"/>
      <x:c r="B1135" s="88"/>
      <x:c r="D1135" s="32"/>
      <x:c r="G1135" s="74"/>
      <x:c r="H1135" s="74"/>
      <x:c r="I1135" s="74"/>
      <x:c r="J1135" s="74"/>
      <x:c r="K1135" s="74"/>
      <x:c r="L1135" s="74"/>
      <x:c r="M1135" s="91"/>
      <x:c r="N1135" s="91"/>
      <x:c r="O1135" s="85"/>
      <x:c r="Q1135" s="86"/>
      <x:c r="R1135" s="32"/>
    </x:row>
    <x:row r="1136">
      <x:c r="A1136" s="87"/>
      <x:c r="B1136" s="88"/>
      <x:c r="D1136" s="32"/>
      <x:c r="G1136" s="74"/>
      <x:c r="H1136" s="74"/>
      <x:c r="I1136" s="74"/>
      <x:c r="J1136" s="74"/>
      <x:c r="K1136" s="74"/>
      <x:c r="L1136" s="74"/>
      <x:c r="M1136" s="91"/>
      <x:c r="N1136" s="91"/>
      <x:c r="O1136" s="85"/>
      <x:c r="Q1136" s="86"/>
      <x:c r="R1136" s="32"/>
    </x:row>
    <x:row r="1137">
      <x:c r="A1137" s="87"/>
      <x:c r="B1137" s="88"/>
      <x:c r="D1137" s="32"/>
      <x:c r="G1137" s="74"/>
      <x:c r="H1137" s="74"/>
      <x:c r="I1137" s="74"/>
      <x:c r="J1137" s="74"/>
      <x:c r="K1137" s="74"/>
      <x:c r="L1137" s="74"/>
      <x:c r="M1137" s="91"/>
      <x:c r="N1137" s="91"/>
      <x:c r="O1137" s="85"/>
      <x:c r="Q1137" s="86"/>
      <x:c r="R1137" s="32"/>
    </x:row>
    <x:row r="1138">
      <x:c r="A1138" s="87"/>
      <x:c r="B1138" s="88"/>
      <x:c r="D1138" s="32"/>
      <x:c r="G1138" s="74"/>
      <x:c r="H1138" s="74"/>
      <x:c r="I1138" s="74"/>
      <x:c r="J1138" s="74"/>
      <x:c r="K1138" s="74"/>
      <x:c r="L1138" s="74"/>
      <x:c r="M1138" s="91"/>
      <x:c r="N1138" s="91"/>
      <x:c r="O1138" s="85"/>
      <x:c r="Q1138" s="86"/>
      <x:c r="R1138" s="32"/>
    </x:row>
    <x:row r="1139">
      <x:c r="A1139" s="87"/>
      <x:c r="B1139" s="88"/>
      <x:c r="D1139" s="32"/>
      <x:c r="G1139" s="74"/>
      <x:c r="H1139" s="74"/>
      <x:c r="I1139" s="74"/>
      <x:c r="J1139" s="74"/>
      <x:c r="K1139" s="74"/>
      <x:c r="L1139" s="74"/>
      <x:c r="M1139" s="91"/>
      <x:c r="N1139" s="91"/>
      <x:c r="O1139" s="85"/>
      <x:c r="Q1139" s="86"/>
      <x:c r="R1139" s="32"/>
    </x:row>
    <x:row r="1140">
      <x:c r="A1140" s="87"/>
      <x:c r="B1140" s="88"/>
      <x:c r="D1140" s="32"/>
      <x:c r="G1140" s="74"/>
      <x:c r="H1140" s="74"/>
      <x:c r="I1140" s="74"/>
      <x:c r="J1140" s="74"/>
      <x:c r="K1140" s="74"/>
      <x:c r="L1140" s="74"/>
      <x:c r="M1140" s="91"/>
      <x:c r="N1140" s="91"/>
      <x:c r="O1140" s="85"/>
      <x:c r="Q1140" s="86"/>
      <x:c r="R1140" s="32"/>
    </x:row>
    <x:row r="1141">
      <x:c r="A1141" s="87"/>
      <x:c r="B1141" s="88"/>
      <x:c r="D1141" s="32"/>
      <x:c r="G1141" s="74"/>
      <x:c r="H1141" s="74"/>
      <x:c r="I1141" s="74"/>
      <x:c r="J1141" s="74"/>
      <x:c r="K1141" s="74"/>
      <x:c r="L1141" s="74"/>
      <x:c r="M1141" s="91"/>
      <x:c r="N1141" s="91"/>
      <x:c r="O1141" s="85"/>
      <x:c r="Q1141" s="86"/>
      <x:c r="R1141" s="32"/>
    </x:row>
    <x:row r="1142">
      <x:c r="A1142" s="87"/>
      <x:c r="B1142" s="88"/>
      <x:c r="D1142" s="32"/>
      <x:c r="G1142" s="74"/>
      <x:c r="H1142" s="74"/>
      <x:c r="I1142" s="74"/>
      <x:c r="J1142" s="74"/>
      <x:c r="K1142" s="74"/>
      <x:c r="L1142" s="74"/>
      <x:c r="M1142" s="91"/>
      <x:c r="N1142" s="91"/>
      <x:c r="O1142" s="85"/>
      <x:c r="Q1142" s="86"/>
      <x:c r="R1142" s="32"/>
    </x:row>
    <x:row r="1143">
      <x:c r="A1143" s="87"/>
      <x:c r="B1143" s="88"/>
      <x:c r="D1143" s="32"/>
      <x:c r="G1143" s="74"/>
      <x:c r="H1143" s="74"/>
      <x:c r="I1143" s="74"/>
      <x:c r="J1143" s="74"/>
      <x:c r="K1143" s="74"/>
      <x:c r="L1143" s="74"/>
      <x:c r="M1143" s="91"/>
      <x:c r="N1143" s="91"/>
      <x:c r="O1143" s="85"/>
      <x:c r="Q1143" s="86"/>
      <x:c r="R1143" s="32"/>
    </x:row>
    <x:row r="1144">
      <x:c r="A1144" s="87"/>
      <x:c r="B1144" s="88"/>
      <x:c r="D1144" s="32"/>
      <x:c r="G1144" s="74"/>
      <x:c r="H1144" s="74"/>
      <x:c r="I1144" s="74"/>
      <x:c r="J1144" s="74"/>
      <x:c r="K1144" s="74"/>
      <x:c r="L1144" s="74"/>
      <x:c r="M1144" s="91"/>
      <x:c r="N1144" s="91"/>
      <x:c r="O1144" s="85"/>
      <x:c r="Q1144" s="86"/>
      <x:c r="R1144" s="32"/>
    </x:row>
    <x:row r="1145">
      <x:c r="A1145" s="87"/>
      <x:c r="B1145" s="88"/>
      <x:c r="D1145" s="32"/>
      <x:c r="G1145" s="74"/>
      <x:c r="H1145" s="74"/>
      <x:c r="I1145" s="74"/>
      <x:c r="J1145" s="74"/>
      <x:c r="K1145" s="74"/>
      <x:c r="L1145" s="74"/>
      <x:c r="M1145" s="91"/>
      <x:c r="N1145" s="91"/>
      <x:c r="O1145" s="85"/>
      <x:c r="Q1145" s="86"/>
      <x:c r="R1145" s="32"/>
    </x:row>
    <x:row r="1146">
      <x:c r="A1146" s="87"/>
      <x:c r="B1146" s="88"/>
      <x:c r="D1146" s="32"/>
      <x:c r="G1146" s="74"/>
      <x:c r="H1146" s="74"/>
      <x:c r="I1146" s="74"/>
      <x:c r="J1146" s="74"/>
      <x:c r="K1146" s="74"/>
      <x:c r="L1146" s="74"/>
      <x:c r="M1146" s="91"/>
      <x:c r="N1146" s="91"/>
      <x:c r="O1146" s="85"/>
      <x:c r="Q1146" s="86"/>
      <x:c r="R1146" s="32"/>
    </x:row>
    <x:row r="1147">
      <x:c r="A1147" s="87"/>
      <x:c r="B1147" s="88"/>
      <x:c r="D1147" s="32"/>
      <x:c r="G1147" s="74"/>
      <x:c r="H1147" s="74"/>
      <x:c r="I1147" s="74"/>
      <x:c r="J1147" s="74"/>
      <x:c r="K1147" s="74"/>
      <x:c r="L1147" s="74"/>
      <x:c r="M1147" s="91"/>
      <x:c r="N1147" s="91"/>
      <x:c r="O1147" s="85"/>
      <x:c r="Q1147" s="86"/>
      <x:c r="R1147" s="32"/>
    </x:row>
    <x:row r="1148">
      <x:c r="A1148" s="87"/>
      <x:c r="B1148" s="88"/>
      <x:c r="D1148" s="32"/>
      <x:c r="G1148" s="74"/>
      <x:c r="H1148" s="74"/>
      <x:c r="I1148" s="74"/>
      <x:c r="J1148" s="74"/>
      <x:c r="K1148" s="74"/>
      <x:c r="L1148" s="74"/>
      <x:c r="M1148" s="91"/>
      <x:c r="N1148" s="91"/>
      <x:c r="O1148" s="85"/>
      <x:c r="Q1148" s="86"/>
      <x:c r="R1148" s="32"/>
    </x:row>
    <x:row r="1149">
      <x:c r="A1149" s="87"/>
      <x:c r="B1149" s="88"/>
      <x:c r="D1149" s="32"/>
      <x:c r="G1149" s="74"/>
      <x:c r="H1149" s="74"/>
      <x:c r="I1149" s="74"/>
      <x:c r="J1149" s="74"/>
      <x:c r="K1149" s="74"/>
      <x:c r="L1149" s="74"/>
      <x:c r="M1149" s="91"/>
      <x:c r="N1149" s="91"/>
      <x:c r="O1149" s="85"/>
      <x:c r="Q1149" s="86"/>
      <x:c r="R1149" s="32"/>
    </x:row>
    <x:row r="1150">
      <x:c r="A1150" s="87"/>
      <x:c r="B1150" s="88"/>
      <x:c r="D1150" s="32"/>
      <x:c r="G1150" s="74"/>
      <x:c r="H1150" s="74"/>
      <x:c r="I1150" s="74"/>
      <x:c r="J1150" s="74"/>
      <x:c r="K1150" s="74"/>
      <x:c r="L1150" s="74"/>
      <x:c r="M1150" s="91"/>
      <x:c r="N1150" s="91"/>
      <x:c r="O1150" s="85"/>
      <x:c r="Q1150" s="86"/>
      <x:c r="R1150" s="32"/>
    </x:row>
  </x:sheetData>
  <x:mergeCells>
    <x:mergeCell ref="A2:B2"/>
    <x:mergeCell ref="A3:B3"/>
  </x:mergeCells>
  <x:conditionalFormatting sqref="C2:C14 D2:N4 O2:O170 P2:P4 B4:B4">
    <x:cfRule type="expression" dxfId="0" priority="1">
      <x:formula>$P2="Done"</x:formula>
    </x:cfRule>
  </x:conditionalFormatting>
  <x:conditionalFormatting sqref="C2:C14 D2:N4 O2:O170 P2:P4 B4:B4">
    <x:cfRule type="expression" dxfId="1" priority="2">
      <x:formula>AND(NOT($P2="Done"), OR(#REF!="Đã CK Anh", #REF!="Đã CK Em"))</x:formula>
    </x:cfRule>
  </x:conditionalFormatting>
  <x:conditionalFormatting sqref="M2:N4 O2:O170">
    <x:cfRule type="expression" dxfId="1" priority="3">
      <x:formula>AND(NOT(#REF!="Done"), OR(#REF!="Đã CK Anh", #REF!="Đã CK Em"))</x:formula>
    </x:cfRule>
  </x:conditionalFormatting>
  <x:conditionalFormatting sqref="M2:N4 O2:O170">
    <x:cfRule type="expression" dxfId="0" priority="4">
      <x:formula>#REF!="Done"</x:formula>
    </x:cfRule>
  </x:conditionalFormatting>
  <x:conditionalFormatting sqref="C2:C14 B5:B6 D5:N6 O5:O170 P5:P6">
    <x:cfRule type="expression" dxfId="0" priority="5">
      <x:formula>$P2="Done"</x:formula>
    </x:cfRule>
  </x:conditionalFormatting>
  <x:conditionalFormatting sqref="C2:C14 B5:B6 D5:N6 O5:O170 P5:P6">
    <x:cfRule type="expression" dxfId="1" priority="6">
      <x:formula>AND(NOT($P2="Done"), OR(#REF!="Đã CK Anh", #REF!="Đã CK Em"))</x:formula>
    </x:cfRule>
  </x:conditionalFormatting>
  <x:conditionalFormatting sqref="M5:N6 O5:O170">
    <x:cfRule type="expression" dxfId="1" priority="7">
      <x:formula>AND(NOT(#REF!="Done"), OR(#REF!="Đã CK Anh", #REF!="Đã CK Em"))</x:formula>
    </x:cfRule>
  </x:conditionalFormatting>
  <x:conditionalFormatting sqref="M5:N6 O5:O170">
    <x:cfRule type="expression" dxfId="0" priority="8">
      <x:formula>#REF!="Done"</x:formula>
    </x:cfRule>
  </x:conditionalFormatting>
  <x:conditionalFormatting sqref="M2:N4 O2:O170 M7:N170">
    <x:cfRule type="expression" dxfId="0" priority="9">
      <x:formula>$Q2="Done"</x:formula>
    </x:cfRule>
  </x:conditionalFormatting>
  <x:conditionalFormatting sqref="M2:N4 O2:O170 M7:N170">
    <x:cfRule type="expression" dxfId="1" priority="10">
      <x:formula>AND(NOT($Q2="Done"), OR($R2="Đã CK Anh", $R2="Đã CK Em"))</x:formula>
    </x:cfRule>
  </x:conditionalFormatting>
  <x:conditionalFormatting sqref="A85:A89 B85:P86 B89:B89 C89:C100 D89:D90 A91:A91 A93:A93 A95:A170 B112:D112">
    <x:cfRule type="expression" dxfId="1" priority="11">
      <x:formula>AND(NOT($P85="Done"), OR($Q85="Đã CK Anh", $Q85="Đã CK Em"))</x:formula>
    </x:cfRule>
  </x:conditionalFormatting>
  <x:conditionalFormatting sqref="A85:A89 B85:P86 B89:B89 C89:C100 D89:D90 A91:A91 A93:A93 A95:A170 B112:D112">
    <x:cfRule type="expression" dxfId="0" priority="12">
      <x:formula>$P85="Done"</x:formula>
    </x:cfRule>
  </x:conditionalFormatting>
  <x:conditionalFormatting sqref="A171:B172">
    <x:cfRule type="expression" dxfId="0" priority="13">
      <x:formula>$L171="Done"</x:formula>
    </x:cfRule>
  </x:conditionalFormatting>
  <x:conditionalFormatting sqref="A171:B172">
    <x:cfRule type="expression" dxfId="1" priority="14">
      <x:formula>AND(NOT($L171="Done"), OR($G171="Đã CK Anh", $G171="Đã CK Em"))</x:formula>
    </x:cfRule>
  </x:conditionalFormatting>
  <x:conditionalFormatting sqref="A2:A1150 B2:B4 C2:C84 D2:N4 O2:O1150 P2:P4 B7:B84 D7:L84 M7:N1150 P7:P84 B87:L1150 P87:P1150">
    <x:cfRule type="expression" dxfId="0" priority="15">
      <x:formula>$P2="Done"</x:formula>
    </x:cfRule>
  </x:conditionalFormatting>
  <x:conditionalFormatting sqref="A2:A1150 B2:B4 C2:C84 D2:N4 O2:O1150 P2:P4 B7:B84 D7:L84 M7:N1150 P7:P84 B87:L1150 P87:P1150">
    <x:cfRule type="expression" dxfId="1" priority="16">
      <x:formula>AND(NOT($P2="Done"), OR($Q2="Đã CK Anh", $Q2="Đã CK Em"))</x:formula>
    </x:cfRule>
  </x:conditionalFormatting>
  <x:conditionalFormatting sqref="Q5:Q6">
    <x:cfRule type="notContainsBlanks" dxfId="0" priority="17">
      <x:formula>LEN(TRIM(Q5))&gt;0</x:formula>
    </x:cfRule>
  </x:conditionalFormatting>
  <x:dataValidations count="1">
    <x:dataValidation type="list" allowBlank="1" showErrorMessage="1" sqref="Q4:Q1150">
      <x:formula1>"Chưa CK,Đã CK Anh,Đã CK Em"</x:formula1>
    </x:dataValidation>
  </x:dataValidations>
  <x:hyperlinks>
    <x:hyperlink xmlns:r="http://schemas.openxmlformats.org/officeDocument/2006/relationships" ref="D4" r:id="R3690321c44584f9b"/>
    <x:hyperlink xmlns:r="http://schemas.openxmlformats.org/officeDocument/2006/relationships" ref="D5" r:id="R79869e2d06e74a49"/>
    <x:hyperlink xmlns:r="http://schemas.openxmlformats.org/officeDocument/2006/relationships" ref="D6" r:id="Rafa124d0e7c84dd0"/>
    <x:hyperlink xmlns:r="http://schemas.openxmlformats.org/officeDocument/2006/relationships" ref="D7" r:id="Ra08e9c2f771d4275"/>
    <x:hyperlink xmlns:r="http://schemas.openxmlformats.org/officeDocument/2006/relationships" ref="D8" r:id="R6a0dd523d9c146e1"/>
    <x:hyperlink xmlns:r="http://schemas.openxmlformats.org/officeDocument/2006/relationships" ref="D9" r:id="R1c7525d16ef843b7"/>
    <x:hyperlink xmlns:r="http://schemas.openxmlformats.org/officeDocument/2006/relationships" ref="D10" r:id="Rd37edb02433c49be"/>
    <x:hyperlink xmlns:r="http://schemas.openxmlformats.org/officeDocument/2006/relationships" ref="D11" r:id="R9271d3d7d0d045a9"/>
    <x:hyperlink xmlns:r="http://schemas.openxmlformats.org/officeDocument/2006/relationships" ref="D12" r:id="R6c5925b471ea4717"/>
    <x:hyperlink xmlns:r="http://schemas.openxmlformats.org/officeDocument/2006/relationships" ref="D13" r:id="Rd73f7f963ae744fa"/>
    <x:hyperlink xmlns:r="http://schemas.openxmlformats.org/officeDocument/2006/relationships" ref="D14" r:id="R93c0ba6de6c94e08"/>
    <x:hyperlink xmlns:r="http://schemas.openxmlformats.org/officeDocument/2006/relationships" ref="D15" r:id="R4e99b510fbe24281"/>
    <x:hyperlink xmlns:r="http://schemas.openxmlformats.org/officeDocument/2006/relationships" ref="D16" r:id="Rfd1718540a8c44be"/>
    <x:hyperlink xmlns:r="http://schemas.openxmlformats.org/officeDocument/2006/relationships" ref="D17" r:id="R0cbc3aeb7e2f43fc"/>
    <x:hyperlink xmlns:r="http://schemas.openxmlformats.org/officeDocument/2006/relationships" ref="D18" r:id="Re6686c285da14395"/>
    <x:hyperlink xmlns:r="http://schemas.openxmlformats.org/officeDocument/2006/relationships" ref="D19" r:id="Re07d4a84d95c4ad7"/>
    <x:hyperlink xmlns:r="http://schemas.openxmlformats.org/officeDocument/2006/relationships" ref="D20" r:id="R62ad9b730bf84424"/>
    <x:hyperlink xmlns:r="http://schemas.openxmlformats.org/officeDocument/2006/relationships" ref="D21" r:id="Rb78a6a7b5da04d8d"/>
    <x:hyperlink xmlns:r="http://schemas.openxmlformats.org/officeDocument/2006/relationships" ref="D22" r:id="R87817773ecd54a47"/>
    <x:hyperlink xmlns:r="http://schemas.openxmlformats.org/officeDocument/2006/relationships" ref="D23" r:id="Rc5ece721a3974564"/>
    <x:hyperlink xmlns:r="http://schemas.openxmlformats.org/officeDocument/2006/relationships" ref="D24" r:id="R8c4f9af2897a48ac"/>
    <x:hyperlink xmlns:r="http://schemas.openxmlformats.org/officeDocument/2006/relationships" ref="D25" r:id="Rbe12264ce198404f"/>
    <x:hyperlink xmlns:r="http://schemas.openxmlformats.org/officeDocument/2006/relationships" ref="D26" r:id="R3c013e3836cf4418"/>
    <x:hyperlink xmlns:r="http://schemas.openxmlformats.org/officeDocument/2006/relationships" ref="D27" r:id="Reef6b4d257af4754"/>
    <x:hyperlink xmlns:r="http://schemas.openxmlformats.org/officeDocument/2006/relationships" ref="D28" r:id="R26d51b4d605641a8"/>
    <x:hyperlink xmlns:r="http://schemas.openxmlformats.org/officeDocument/2006/relationships" ref="D29" r:id="R2b9d95edb2724163"/>
    <x:hyperlink xmlns:r="http://schemas.openxmlformats.org/officeDocument/2006/relationships" ref="D30" r:id="R544ecf16b7d84716"/>
    <x:hyperlink xmlns:r="http://schemas.openxmlformats.org/officeDocument/2006/relationships" ref="D31" r:id="Rf5466d30674d4991"/>
    <x:hyperlink xmlns:r="http://schemas.openxmlformats.org/officeDocument/2006/relationships" ref="D32" r:id="R22ba3e74d7d04174"/>
    <x:hyperlink xmlns:r="http://schemas.openxmlformats.org/officeDocument/2006/relationships" ref="D33" r:id="Rcf550e9e877b4558"/>
    <x:hyperlink xmlns:r="http://schemas.openxmlformats.org/officeDocument/2006/relationships" ref="D34" r:id="Rb61c7db9ccea45eb"/>
    <x:hyperlink xmlns:r="http://schemas.openxmlformats.org/officeDocument/2006/relationships" ref="D35" r:id="Ra02c575d20c746e2"/>
    <x:hyperlink xmlns:r="http://schemas.openxmlformats.org/officeDocument/2006/relationships" ref="D36" r:id="R6c5e072c9dd64640"/>
    <x:hyperlink xmlns:r="http://schemas.openxmlformats.org/officeDocument/2006/relationships" ref="D37" r:id="R00bcd6c255784ca6"/>
    <x:hyperlink xmlns:r="http://schemas.openxmlformats.org/officeDocument/2006/relationships" ref="D38" r:id="R0168b91da5324580"/>
    <x:hyperlink xmlns:r="http://schemas.openxmlformats.org/officeDocument/2006/relationships" ref="D39" r:id="Ra839fb9d73104e7e"/>
    <x:hyperlink xmlns:r="http://schemas.openxmlformats.org/officeDocument/2006/relationships" ref="D40" r:id="R54f0a20ef1374842"/>
  </x:hyperlink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5" width="11.130000114440918" hidden="1" customWidth="1"/>
    <x:col min="6" max="6" width="14.5" customWidth="1"/>
    <x:col min="7" max="10" width="12.380000114440918" customWidth="1"/>
    <x:col min="11" max="11" width="14.880000114440918" customWidth="1"/>
    <x:col min="12" max="12" width="14.630000114440918" hidden="1" customWidth="1"/>
    <x:col min="13" max="13" width="14.630000114440918" customWidth="1"/>
    <x:col min="15" max="15" width="12.630000114440918" hidden="1" customWidth="0"/>
    <x:col min="20" max="20" width="25.8799991607666" customWidth="1"/>
    <x:col min="21" max="21" width="18.5" customWidth="1"/>
  </x:cols>
  <x:sheetData>
    <x:row r="1" ht="21" customHeight="1">
      <x:c r="A1" s="1" t="s">
        <x:v>0</x:v>
      </x:c>
      <x:c r="B1" s="2" t="s">
        <x:v>1</x:v>
      </x:c>
      <x:c r="C1" s="1" t="s">
        <x:v>2</x:v>
      </x:c>
      <x:c r="D1" s="3" t="s">
        <x:v>3</x:v>
      </x:c>
      <x:c r="E1" s="1" t="s">
        <x:v>6</x:v>
      </x:c>
      <x:c r="F1" s="1" t="s">
        <x:v>7</x:v>
      </x:c>
      <x:c r="G1" s="4" t="s">
        <x:v>8</x:v>
      </x:c>
      <x:c r="H1" s="4" t="s">
        <x:v>9</x:v>
      </x:c>
      <x:c r="I1" s="4" t="s">
        <x:v>10</x:v>
      </x:c>
      <x:c r="J1" s="4" t="s">
        <x:v>11</x:v>
      </x:c>
      <x:c r="K1" s="4" t="s">
        <x:v>12</x:v>
      </x:c>
      <x:c r="L1" s="4" t="s">
        <x:v>321</x:v>
      </x:c>
      <x:c r="M1" s="4" t="s">
        <x:v>13</x:v>
      </x:c>
      <x:c r="N1" s="1" t="s">
        <x:v>14</x:v>
      </x:c>
      <x:c r="O1" s="1" t="s">
        <x:v>322</x:v>
      </x:c>
      <x:c r="P1" s="1" t="s">
        <x:v>323</x:v>
      </x:c>
      <x:c r="Q1" s="1" t="s">
        <x:v>15</x:v>
      </x:c>
      <x:c r="R1" s="1" t="s">
        <x:v>324</x:v>
      </x:c>
      <x:c r="S1" s="5" t="s">
        <x:v>21</x:v>
      </x:c>
      <x:c r="T1" s="1" t="s">
        <x:v>22</x:v>
      </x:c>
      <x:c r="U1" s="1" t="s">
        <x:v>24</x:v>
      </x:c>
      <x:c r="V1" s="6" t="s">
        <x:v>25</x:v>
      </x:c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</x:row>
    <x:row r="2" ht="18.75" customHeight="1">
      <x:c r="A2" s="19">
        <x:v>1.0</x:v>
      </x:c>
      <x:c r="B2" s="20" t="s">
        <x:v>325</x:v>
      </x:c>
      <x:c r="C2" s="21">
        <x:v>45905.0</x:v>
      </x:c>
      <x:c r="D2" s="22" t="s">
        <x:v>326</x:v>
      </x:c>
      <x:c r="E2" s="23"/>
      <x:c r="F2" s="23"/>
      <x:c r="G2" s="24"/>
      <x:c r="H2" s="24"/>
      <x:c r="I2" s="24"/>
      <x:c r="J2" s="24"/>
      <x:c r="K2" s="24"/>
      <x:c r="L2" s="25"/>
      <x:c r="M2" s="24">
        <x:v>1.0</x:v>
      </x:c>
      <x:c r="N2" s="23"/>
      <x:c r="O2" s="23"/>
      <x:c r="P2" s="23"/>
      <x:c r="Q2" s="94"/>
      <x:c r="R2" s="94"/>
      <x:c r="S2" s="26" t="n">
        <x:f>(E2*260+F2*260+G2*470+H2*400+I2*350+J2*615+K2*240+L2*190+M2*240+N2*390+O2*265+P2*265+Q2*395)*1000</x:f>
        <x:v>240000</x:v>
      </x:c>
      <x:c r="T2" s="23" t="s">
        <x:v>37</x:v>
      </x:c>
      <x:c r="U2" s="27" t="s">
        <x:v>31</x:v>
      </x:c>
      <x:c r="W2" s="28" t="s">
        <x:v>34</x:v>
      </x:c>
      <x:c r="X2" s="28" t="s">
        <x:v>31</x:v>
      </x:c>
      <x:c r="Y2" s="28" t="s">
        <x:v>54</x:v>
      </x:c>
      <x:c r="Z2" s="28" t="s">
        <x:v>55</x:v>
      </x:c>
    </x:row>
    <x:row r="3" ht="18.75" customHeight="1">
      <x:c r="A3" s="19">
        <x:v>2.0</x:v>
      </x:c>
      <x:c r="B3" s="20" t="s">
        <x:v>184</x:v>
      </x:c>
      <x:c r="C3" s="21">
        <x:v>45906.0</x:v>
      </x:c>
      <x:c r="D3" s="22" t="s">
        <x:v>185</x:v>
      </x:c>
      <x:c r="E3" s="23"/>
      <x:c r="F3" s="23"/>
      <x:c r="G3" s="24"/>
      <x:c r="H3" s="24"/>
      <x:c r="I3" s="24"/>
      <x:c r="J3" s="24">
        <x:v>20.0</x:v>
      </x:c>
      <x:c r="K3" s="24"/>
      <x:c r="L3" s="24"/>
      <x:c r="M3" s="24"/>
      <x:c r="N3" s="94"/>
      <x:c r="O3" s="94"/>
      <x:c r="P3" s="23"/>
      <x:c r="Q3" s="94"/>
      <x:c r="R3" s="23">
        <x:v>12.0</x:v>
      </x:c>
      <x:c r="S3" s="26" t="n">
        <x:f>(E3*260+F3*260+G3*470+H3*400+I3*350+J3*615+K3*240+L3*190+M3*240+N3*390+O3*265+P3*265+Q3*395+R3*245)*1000-300-23000</x:f>
        <x:v>15216700</x:v>
      </x:c>
      <x:c r="T3" s="23" t="s">
        <x:v>74</x:v>
      </x:c>
      <x:c r="U3" s="23" t="s">
        <x:v>31</x:v>
      </x:c>
      <x:c r="W3" s="31" t="n">
        <x:f>SUMIF(U2:U1116, "Đã CK Anh", S2:S1116)</x:f>
        <x:v>2725000</x:v>
      </x:c>
      <x:c r="X3" s="31" t="n">
        <x:f>SUMIF(U2:U1116, "Đã CK Em", S2:S1116)</x:f>
        <x:v>23741700</x:v>
      </x:c>
      <x:c r="Y3" s="31" t="n">
        <x:f>W3+X3</x:f>
        <x:v>26466700</x:v>
      </x:c>
      <x:c r="Z3" s="31" t="n">
        <x:f>SUMIF(U2:U1116, "Chưa CK", S2:S1116)</x:f>
        <x:v>0</x:v>
      </x:c>
    </x:row>
    <x:row r="4" ht="18.75" customHeight="1">
      <x:c r="A4" s="19">
        <x:v>3.0</x:v>
      </x:c>
      <x:c r="B4" s="20" t="s">
        <x:v>327</x:v>
      </x:c>
      <x:c r="C4" s="21">
        <x:v>45906.0</x:v>
      </x:c>
      <x:c r="D4" s="22" t="s">
        <x:v>328</x:v>
      </x:c>
      <x:c r="E4" s="23"/>
      <x:c r="F4" s="23"/>
      <x:c r="G4" s="24"/>
      <x:c r="H4" s="24"/>
      <x:c r="I4" s="24"/>
      <x:c r="J4" s="24">
        <x:v>1.0</x:v>
      </x:c>
      <x:c r="K4" s="24"/>
      <x:c r="L4" s="24"/>
      <x:c r="M4" s="24"/>
      <x:c r="N4" s="94"/>
      <x:c r="O4" s="94"/>
      <x:c r="P4" s="94"/>
      <x:c r="Q4" s="94"/>
      <x:c r="R4" s="94"/>
      <x:c r="S4" s="26" t="n">
        <x:f>(E4*260+F4*260+G4*470+H4*400+I4*350+J4*615+K4*240+L4*190+M4*240+N4*390+O4*265+P4*265+Q4*395)*1000-15000</x:f>
        <x:v>600000</x:v>
      </x:c>
      <x:c r="T4" s="23" t="s">
        <x:v>74</x:v>
      </x:c>
      <x:c r="U4" s="23" t="s">
        <x:v>31</x:v>
      </x:c>
    </x:row>
    <x:row r="5" ht="18.75" customHeight="1">
      <x:c r="A5" s="19">
        <x:v>4.0</x:v>
      </x:c>
      <x:c r="B5" s="29" t="s">
        <x:v>329</x:v>
      </x:c>
      <x:c r="C5" s="21">
        <x:v>45906.0</x:v>
      </x:c>
      <x:c r="D5" s="22" t="s">
        <x:v>330</x:v>
      </x:c>
      <x:c r="E5" s="23"/>
      <x:c r="F5" s="23"/>
      <x:c r="G5" s="24"/>
      <x:c r="H5" s="24"/>
      <x:c r="I5" s="24"/>
      <x:c r="J5" s="24">
        <x:v>2.0</x:v>
      </x:c>
      <x:c r="K5" s="24"/>
      <x:c r="L5" s="24"/>
      <x:c r="M5" s="24"/>
      <x:c r="N5" s="23"/>
      <x:c r="O5" s="23"/>
      <x:c r="P5" s="23"/>
      <x:c r="Q5" s="23"/>
      <x:c r="R5" s="23"/>
      <x:c r="S5" s="26" t="n">
        <x:f>(E5*260+F5*260+G5*470+H5*400+I5*350+J5*615+K5*240+L5*190+M5*240+N5*390+O5*265+P5*265+Q5*395)*1000-15000-20000</x:f>
        <x:v>1195000</x:v>
      </x:c>
      <x:c r="T5" s="23" t="s">
        <x:v>74</x:v>
      </x:c>
      <x:c r="U5" s="27" t="s">
        <x:v>34</x:v>
      </x:c>
    </x:row>
    <x:row r="6" ht="18.75" customHeight="1">
      <x:c r="A6" s="19">
        <x:v>5.0</x:v>
      </x:c>
      <x:c r="B6" s="29" t="s">
        <x:v>331</x:v>
      </x:c>
      <x:c r="C6" s="21">
        <x:v>45906.0</x:v>
      </x:c>
      <x:c r="D6" s="22" t="s">
        <x:v>332</x:v>
      </x:c>
      <x:c r="E6" s="23"/>
      <x:c r="F6" s="23"/>
      <x:c r="G6" s="24"/>
      <x:c r="H6" s="24"/>
      <x:c r="I6" s="24"/>
      <x:c r="J6" s="24">
        <x:v>2.0</x:v>
      </x:c>
      <x:c r="K6" s="24"/>
      <x:c r="L6" s="24"/>
      <x:c r="M6" s="24"/>
      <x:c r="N6" s="23"/>
      <x:c r="O6" s="23"/>
      <x:c r="P6" s="23"/>
      <x:c r="Q6" s="23"/>
      <x:c r="R6" s="23"/>
      <x:c r="S6" s="26" t="n">
        <x:f>(E6*260+F6*260+G6*470+H6*400+I6*350+J6*615+K6*240+L6*190+M6*240+N6*390+O6*265+P6*265+Q6*395)*1000-20000</x:f>
        <x:v>1210000</x:v>
      </x:c>
      <x:c r="T6" s="23" t="s">
        <x:v>74</x:v>
      </x:c>
      <x:c r="U6" s="23" t="s">
        <x:v>31</x:v>
      </x:c>
    </x:row>
    <x:row r="7" ht="18.75" customHeight="1">
      <x:c r="A7" s="19">
        <x:v>6.0</x:v>
      </x:c>
      <x:c r="B7" s="29" t="s">
        <x:v>333</x:v>
      </x:c>
      <x:c r="C7" s="21">
        <x:v>45906.0</x:v>
      </x:c>
      <x:c r="D7" s="22" t="s">
        <x:v>334</x:v>
      </x:c>
      <x:c r="E7" s="23"/>
      <x:c r="F7" s="23"/>
      <x:c r="G7" s="25"/>
      <x:c r="H7" s="24"/>
      <x:c r="I7" s="25"/>
      <x:c r="J7" s="24">
        <x:v>1.0</x:v>
      </x:c>
      <x:c r="K7" s="24"/>
      <x:c r="L7" s="24"/>
      <x:c r="M7" s="25"/>
      <x:c r="N7" s="23"/>
      <x:c r="O7" s="23"/>
      <x:c r="P7" s="23"/>
      <x:c r="Q7" s="23"/>
      <x:c r="R7" s="23"/>
      <x:c r="S7" s="26" t="n">
        <x:f t="shared" ref="S7:S8" si="1">(E7*260+F7*260+G7*470+H7*400+I7*350+J7*615+K7*240+L7*190+M7*240+N7*390+O7*265+P7*265+Q7*395)*1000</x:f>
        <x:v>615000</x:v>
      </x:c>
      <x:c r="T7" s="23" t="s">
        <x:v>74</x:v>
      </x:c>
      <x:c r="U7" s="23" t="s">
        <x:v>31</x:v>
      </x:c>
    </x:row>
    <x:row r="8" ht="18.75" customHeight="1">
      <x:c r="A8" s="19">
        <x:v>7.0</x:v>
      </x:c>
      <x:c r="B8" s="29" t="s">
        <x:v>335</x:v>
      </x:c>
      <x:c r="C8" s="21">
        <x:v>45906.0</x:v>
      </x:c>
      <x:c r="D8" s="22" t="s">
        <x:v>336</x:v>
      </x:c>
      <x:c r="E8" s="23"/>
      <x:c r="F8" s="23"/>
      <x:c r="G8" s="25"/>
      <x:c r="H8" s="24"/>
      <x:c r="I8" s="24"/>
      <x:c r="J8" s="24">
        <x:v>1.0</x:v>
      </x:c>
      <x:c r="K8" s="24"/>
      <x:c r="L8" s="24"/>
      <x:c r="M8" s="24"/>
      <x:c r="N8" s="94"/>
      <x:c r="O8" s="94"/>
      <x:c r="P8" s="94"/>
      <x:c r="Q8" s="94"/>
      <x:c r="R8" s="94"/>
      <x:c r="S8" s="26">
        <x:f t="shared" si="1"/>
        <x:v>615000</x:v>
      </x:c>
      <x:c r="T8" s="23" t="s">
        <x:v>74</x:v>
      </x:c>
      <x:c r="U8" s="23" t="s">
        <x:v>31</x:v>
      </x:c>
      <x:c r="W8" s="37"/>
      <x:c r="X8" s="37"/>
      <x:c r="Y8" s="37"/>
      <x:c r="Z8" s="37"/>
    </x:row>
    <x:row r="9" ht="18.75" customHeight="1">
      <x:c r="A9" s="19">
        <x:v>9.0</x:v>
      </x:c>
      <x:c r="B9" s="29" t="s">
        <x:v>337</x:v>
      </x:c>
      <x:c r="C9" s="21">
        <x:v>45906.0</x:v>
      </x:c>
      <x:c r="D9" s="22" t="s">
        <x:v>338</x:v>
      </x:c>
      <x:c r="E9" s="23"/>
      <x:c r="F9" s="23"/>
      <x:c r="G9" s="24"/>
      <x:c r="H9" s="24"/>
      <x:c r="I9" s="24"/>
      <x:c r="J9" s="24"/>
      <x:c r="K9" s="25"/>
      <x:c r="L9" s="25"/>
      <x:c r="M9" s="24"/>
      <x:c r="N9" s="23"/>
      <x:c r="O9" s="94"/>
      <x:c r="P9" s="23">
        <x:v>3.0</x:v>
      </x:c>
      <x:c r="Q9" s="94"/>
      <x:c r="R9" s="23">
        <x:v>3.0</x:v>
      </x:c>
      <x:c r="S9" s="26" t="n">
        <x:f>(E9*260+F9*260+G9*470+H9*400+I9*350+J9*615+K9*240+L9*190+M9*240+N9*390+O9*265+P9*265+Q9*395+R9*245)*1000</x:f>
        <x:v>1530000</x:v>
      </x:c>
      <x:c r="T9" s="23" t="s">
        <x:v>74</x:v>
      </x:c>
      <x:c r="U9" s="23" t="s">
        <x:v>34</x:v>
      </x:c>
      <x:c r="W9" s="33" t="n" cm="1">
        <x:f t="array" ref="W9:W13">_xlfn._xlws.SORT(_xlfn.UNIQUE(C2:C1114))</x:f>
        <x:v>45905</x:v>
      </x:c>
      <x:c r="X9" s="34" t="e">
        <x:f>IFERROR(__xludf.DUMMYFUNCTION("SUM(FILTER($E$2:$R$1116, $C$2:$C$1116 = W9))"),1.0)</x:f>
        <x:v>#NAME?</x:v>
      </x:c>
      <x:c r="Y9" s="34" t="e">
        <x:f>IFERROR(__xludf.DUMMYFUNCTION("COUNT(FILTER($C$2:$C$1116, $C$2:$C$1116 = W9))"),1.0)</x:f>
        <x:v>#NAME?</x:v>
      </x:c>
      <x:c r="Z9" s="31" t="n">
        <x:f t="shared" ref="Z9:Z17" si="2">SUMIF($C$2:$C$1116, $W9 , $S$2:$S$1116)</x:f>
        <x:v>240000</x:v>
      </x:c>
    </x:row>
    <x:row r="10" ht="18.75" customHeight="1">
      <x:c r="A10" s="19">
        <x:v>10.0</x:v>
      </x:c>
      <x:c r="B10" s="29" t="s">
        <x:v>339</x:v>
      </x:c>
      <x:c r="C10" s="21">
        <x:v>45906.0</x:v>
      </x:c>
      <x:c r="D10" s="22" t="s">
        <x:v>340</x:v>
      </x:c>
      <x:c r="E10" s="23"/>
      <x:c r="F10" s="23"/>
      <x:c r="G10" s="24"/>
      <x:c r="H10" s="24"/>
      <x:c r="I10" s="24"/>
      <x:c r="J10" s="24"/>
      <x:c r="K10" s="24"/>
      <x:c r="L10" s="24"/>
      <x:c r="M10" s="24"/>
      <x:c r="N10" s="94"/>
      <x:c r="O10" s="94"/>
      <x:c r="P10" s="23">
        <x:v>2.0</x:v>
      </x:c>
      <x:c r="Q10" s="94"/>
      <x:c r="R10" s="94"/>
      <x:c r="S10" s="26" t="n">
        <x:f t="shared" ref="S10:S16" si="3">(E10*260+F10*260+G10*470+H10*400+I10*350+J10*615+K10*240+L10*190+M10*240+N10*390+O10*265+P10*265+Q10*395)*1000</x:f>
        <x:v>530000</x:v>
      </x:c>
      <x:c r="T10" s="23" t="s">
        <x:v>74</x:v>
      </x:c>
      <x:c r="U10" s="23" t="s">
        <x:v>31</x:v>
      </x:c>
      <x:c r="W10" s="33" t="n">
        <x:v>45906</x:v>
      </x:c>
      <x:c r="X10" s="34" t="e">
        <x:f>IFERROR(__xludf.DUMMYFUNCTION("SUM(FILTER($E$2:$R$1116, $C$2:$C$1116 = W10))"),47.0)</x:f>
        <x:v>#NAME?</x:v>
      </x:c>
      <x:c r="Y10" s="34" t="e">
        <x:f>IFERROR(__xludf.DUMMYFUNCTION("COUNT(FILTER($C$2:$C$1116, $C$2:$C$1116 = W10))"),8.0)</x:f>
        <x:v>#NAME?</x:v>
      </x:c>
      <x:c r="Z10" s="31">
        <x:f t="shared" si="2"/>
        <x:v>21511700</x:v>
      </x:c>
    </x:row>
    <x:row r="11" ht="18.75" customHeight="1">
      <x:c r="A11" s="19">
        <x:v>11.0</x:v>
      </x:c>
      <x:c r="B11" s="29" t="s">
        <x:v>79</x:v>
      </x:c>
      <x:c r="C11" s="21">
        <x:v>45907.0</x:v>
      </x:c>
      <x:c r="D11" s="22" t="s">
        <x:v>80</x:v>
      </x:c>
      <x:c r="E11" s="23"/>
      <x:c r="F11" s="23"/>
      <x:c r="G11" s="25"/>
      <x:c r="H11" s="24"/>
      <x:c r="I11" s="24"/>
      <x:c r="J11" s="24"/>
      <x:c r="K11" s="24"/>
      <x:c r="L11" s="25"/>
      <x:c r="M11" s="24"/>
      <x:c r="N11" s="23"/>
      <x:c r="O11" s="94"/>
      <x:c r="P11" s="23">
        <x:v>2.0</x:v>
      </x:c>
      <x:c r="Q11" s="94"/>
      <x:c r="R11" s="94"/>
      <x:c r="S11" s="26">
        <x:f t="shared" si="3"/>
        <x:v>530000</x:v>
      </x:c>
      <x:c r="T11" s="23" t="s">
        <x:v>74</x:v>
      </x:c>
      <x:c r="U11" s="23" t="s">
        <x:v>31</x:v>
      </x:c>
      <x:c r="W11" s="33" t="n">
        <x:v>45907</x:v>
      </x:c>
      <x:c r="X11" s="34" t="e">
        <x:f>IFERROR(__xludf.DUMMYFUNCTION("SUM(FILTER($E$2:$R$1116, $C$2:$C$1116 = W11))"),6.0)</x:f>
        <x:v>#NAME?</x:v>
      </x:c>
      <x:c r="Y11" s="34" t="e">
        <x:f>IFERROR(__xludf.DUMMYFUNCTION("COUNT(FILTER($C$2:$C$1116, $C$2:$C$1116 = W11))"),5.0)</x:f>
        <x:v>#NAME?</x:v>
      </x:c>
      <x:c r="Z11" s="31">
        <x:f t="shared" si="2"/>
        <x:v>2415000</x:v>
      </x:c>
    </x:row>
    <x:row r="12" ht="18.75" customHeight="1">
      <x:c r="A12" s="19">
        <x:v>12.0</x:v>
      </x:c>
      <x:c r="B12" s="29" t="s">
        <x:v>341</x:v>
      </x:c>
      <x:c r="C12" s="21">
        <x:v>45907.0</x:v>
      </x:c>
      <x:c r="D12" s="22" t="s">
        <x:v>342</x:v>
      </x:c>
      <x:c r="E12" s="23"/>
      <x:c r="F12" s="23"/>
      <x:c r="G12" s="25"/>
      <x:c r="H12" s="25"/>
      <x:c r="I12" s="24"/>
      <x:c r="J12" s="25"/>
      <x:c r="K12" s="24"/>
      <x:c r="L12" s="24"/>
      <x:c r="M12" s="24"/>
      <x:c r="N12" s="94"/>
      <x:c r="O12" s="94"/>
      <x:c r="P12" s="23">
        <x:v>1.0</x:v>
      </x:c>
      <x:c r="Q12" s="94"/>
      <x:c r="R12" s="94"/>
      <x:c r="S12" s="26">
        <x:f t="shared" si="3"/>
        <x:v>265000</x:v>
      </x:c>
      <x:c r="T12" s="23" t="s">
        <x:v>37</x:v>
      </x:c>
      <x:c r="U12" s="23" t="s">
        <x:v>31</x:v>
      </x:c>
      <x:c r="W12" s="33" t="n">
        <x:v>45908</x:v>
      </x:c>
      <x:c r="X12" s="34" t="e">
        <x:f>IFERROR(__xludf.DUMMYFUNCTION("SUM(FILTER($E$2:$R$1116, $C$2:$C$1116 = W12))"),1.0)</x:f>
        <x:v>#NAME?</x:v>
      </x:c>
      <x:c r="Y12" s="34" t="e">
        <x:f>IFERROR(__xludf.DUMMYFUNCTION("COUNT(FILTER($C$2:$C$1116, $C$2:$C$1116 = W12))"),1.0)</x:f>
        <x:v>#NAME?</x:v>
      </x:c>
      <x:c r="Z12" s="31">
        <x:f t="shared" si="2"/>
        <x:v>615000</x:v>
      </x:c>
    </x:row>
    <x:row r="13" ht="18.75" customHeight="1">
      <x:c r="A13" s="19">
        <x:v>13.0</x:v>
      </x:c>
      <x:c r="B13" s="29" t="s">
        <x:v>343</x:v>
      </x:c>
      <x:c r="C13" s="21">
        <x:v>45907.0</x:v>
      </x:c>
      <x:c r="D13" s="22" t="s">
        <x:v>344</x:v>
      </x:c>
      <x:c r="E13" s="56"/>
      <x:c r="F13" s="23"/>
      <x:c r="G13" s="24"/>
      <x:c r="H13" s="24"/>
      <x:c r="I13" s="24"/>
      <x:c r="J13" s="24">
        <x:v>1.0</x:v>
      </x:c>
      <x:c r="K13" s="24"/>
      <x:c r="L13" s="24"/>
      <x:c r="M13" s="24"/>
      <x:c r="N13" s="94"/>
      <x:c r="O13" s="94"/>
      <x:c r="P13" s="94"/>
      <x:c r="Q13" s="94"/>
      <x:c r="R13" s="94"/>
      <x:c r="S13" s="26">
        <x:f t="shared" si="3"/>
        <x:v>615000</x:v>
      </x:c>
      <x:c r="T13" s="23" t="s">
        <x:v>74</x:v>
      </x:c>
      <x:c r="U13" s="23" t="s">
        <x:v>31</x:v>
      </x:c>
      <x:c r="V13" s="32"/>
      <x:c r="W13" s="33" t="n">
        <x:v>0</x:v>
      </x:c>
      <x:c r="X13" s="34" t="e">
        <x:f>IFERROR(__xludf.DUMMYFUNCTION("SUM(FILTER($E$2:$R$1116, $C$2:$C$1116 = W13))"),1.6480997445421003E7)</x:f>
        <x:v>#NAME?</x:v>
      </x:c>
      <x:c r="Y13" s="34" t="e">
        <x:f>IFERROR(__xludf.DUMMYFUNCTION("COUNT(FILTER($C$2:$C$1116, $C$2:$C$1116 = W13))"),0.0)</x:f>
        <x:v>#NAME?</x:v>
      </x:c>
      <x:c r="Z13" s="31">
        <x:f t="shared" si="2"/>
        <x:v>0</x:v>
      </x:c>
    </x:row>
    <x:row r="14" ht="18.75" customHeight="1">
      <x:c r="A14" s="19">
        <x:v>14.0</x:v>
      </x:c>
      <x:c r="B14" s="29" t="s">
        <x:v>345</x:v>
      </x:c>
      <x:c r="C14" s="21">
        <x:v>45907.0</x:v>
      </x:c>
      <x:c r="D14" s="22" t="s">
        <x:v>346</x:v>
      </x:c>
      <x:c r="E14" s="23"/>
      <x:c r="F14" s="23"/>
      <x:c r="G14" s="24"/>
      <x:c r="H14" s="24"/>
      <x:c r="I14" s="24"/>
      <x:c r="J14" s="24">
        <x:v>1.0</x:v>
      </x:c>
      <x:c r="K14" s="25"/>
      <x:c r="L14" s="24"/>
      <x:c r="M14" s="24"/>
      <x:c r="N14" s="23"/>
      <x:c r="O14" s="23"/>
      <x:c r="P14" s="23"/>
      <x:c r="Q14" s="23"/>
      <x:c r="R14" s="23"/>
      <x:c r="S14" s="26">
        <x:f t="shared" si="3"/>
        <x:v>615000</x:v>
      </x:c>
      <x:c r="T14" s="23" t="s">
        <x:v>74</x:v>
      </x:c>
      <x:c r="U14" s="23" t="s">
        <x:v>31</x:v>
      </x:c>
      <x:c r="V14" s="32"/>
      <x:c r="W14" s="34"/>
      <x:c r="X14" s="34" t="e">
        <x:f>IFERROR(__xludf.DUMMYFUNCTION("SUM(FILTER($E$2:$R$1116, $C$2:$C$1116 = W14))"),1.6480997445421003E7)</x:f>
        <x:v>#NAME?</x:v>
      </x:c>
      <x:c r="Y14" s="34" t="e">
        <x:f>IFERROR(__xludf.DUMMYFUNCTION("COUNT(FILTER($C$2:$C$1116, $C$2:$C$1116 = W14))"),0.0)</x:f>
        <x:v>#NAME?</x:v>
      </x:c>
      <x:c r="Z14" s="31">
        <x:f t="shared" si="2"/>
        <x:v>0</x:v>
      </x:c>
    </x:row>
    <x:row r="15" ht="18.75" customHeight="1">
      <x:c r="A15" s="19">
        <x:v>15.0</x:v>
      </x:c>
      <x:c r="B15" s="29" t="s">
        <x:v>347</x:v>
      </x:c>
      <x:c r="C15" s="21">
        <x:v>45907.0</x:v>
      </x:c>
      <x:c r="D15" s="22" t="s">
        <x:v>348</x:v>
      </x:c>
      <x:c r="E15" s="23"/>
      <x:c r="F15" s="23"/>
      <x:c r="G15" s="24"/>
      <x:c r="H15" s="24"/>
      <x:c r="I15" s="24"/>
      <x:c r="J15" s="24"/>
      <x:c r="K15" s="25"/>
      <x:c r="L15" s="24"/>
      <x:c r="M15" s="24"/>
      <x:c r="N15" s="23">
        <x:v>1.0</x:v>
      </x:c>
      <x:c r="O15" s="94"/>
      <x:c r="P15" s="94"/>
      <x:c r="Q15" s="94"/>
      <x:c r="R15" s="94"/>
      <x:c r="S15" s="26">
        <x:f t="shared" si="3"/>
        <x:v>390000</x:v>
      </x:c>
      <x:c r="T15" s="23" t="s">
        <x:v>74</x:v>
      </x:c>
      <x:c r="U15" s="23" t="s">
        <x:v>31</x:v>
      </x:c>
      <x:c r="V15" s="32"/>
      <x:c r="W15" s="33"/>
      <x:c r="X15" s="34" t="e">
        <x:f>IFERROR(__xludf.DUMMYFUNCTION("SUM(FILTER($E$2:$R$1116, $C$2:$C$1116 = W15))"),1.6480997445421003E7)</x:f>
        <x:v>#NAME?</x:v>
      </x:c>
      <x:c r="Y15" s="34" t="e">
        <x:f>IFERROR(__xludf.DUMMYFUNCTION("COUNT(FILTER($C$2:$C$1116, $C$2:$C$1116 = W15))"),0.0)</x:f>
        <x:v>#NAME?</x:v>
      </x:c>
      <x:c r="Z15" s="31">
        <x:f t="shared" si="2"/>
        <x:v>0</x:v>
      </x:c>
    </x:row>
    <x:row r="16" ht="18.75" customHeight="1">
      <x:c r="A16" s="19">
        <x:v>16.0</x:v>
      </x:c>
      <x:c r="B16" s="29" t="s">
        <x:v>349</x:v>
      </x:c>
      <x:c r="C16" s="21">
        <x:v>45908.0</x:v>
      </x:c>
      <x:c r="D16" s="22" t="s">
        <x:v>350</x:v>
      </x:c>
      <x:c r="E16" s="23"/>
      <x:c r="F16" s="23"/>
      <x:c r="G16" s="24"/>
      <x:c r="H16" s="24"/>
      <x:c r="I16" s="24"/>
      <x:c r="J16" s="24">
        <x:v>1.0</x:v>
      </x:c>
      <x:c r="K16" s="24"/>
      <x:c r="L16" s="25"/>
      <x:c r="M16" s="24"/>
      <x:c r="N16" s="94"/>
      <x:c r="O16" s="94"/>
      <x:c r="P16" s="94"/>
      <x:c r="Q16" s="94"/>
      <x:c r="R16" s="23"/>
      <x:c r="S16" s="26">
        <x:f t="shared" si="3"/>
        <x:v>615000</x:v>
      </x:c>
      <x:c r="T16" s="23" t="s">
        <x:v>74</x:v>
      </x:c>
      <x:c r="U16" s="23" t="s">
        <x:v>31</x:v>
      </x:c>
      <x:c r="V16" s="32"/>
      <x:c r="W16" s="33"/>
      <x:c r="X16" s="34" t="e">
        <x:f>IFERROR(__xludf.DUMMYFUNCTION("SUM(FILTER($E$2:$R$1116, $C$2:$C$1116 = W16))"),1.6480997445421003E7)</x:f>
        <x:v>#NAME?</x:v>
      </x:c>
      <x:c r="Y16" s="34" t="e">
        <x:f>IFERROR(__xludf.DUMMYFUNCTION("COUNT(FILTER($C$2:$C$1116, $C$2:$C$1116 = W16))"),0.0)</x:f>
        <x:v>#NAME?</x:v>
      </x:c>
      <x:c r="Z16" s="31">
        <x:f t="shared" si="2"/>
        <x:v>0</x:v>
      </x:c>
    </x:row>
    <x:row r="17">
      <x:c r="A17" s="19">
        <x:v>17.0</x:v>
      </x:c>
      <x:c r="B17" s="29" t="s">
        <x:v>351</x:v>
      </x:c>
      <x:c r="C17" s="21"/>
      <x:c r="D17" s="35"/>
      <x:c r="E17" s="23"/>
      <x:c r="F17" s="23"/>
      <x:c r="G17" s="24"/>
      <x:c r="H17" s="24"/>
      <x:c r="I17" s="24"/>
      <x:c r="J17" s="24"/>
      <x:c r="K17" s="24"/>
      <x:c r="L17" s="24"/>
      <x:c r="M17" s="24">
        <x:v>1.0</x:v>
      </x:c>
      <x:c r="N17" s="23">
        <x:v>1.0</x:v>
      </x:c>
      <x:c r="O17" s="94"/>
      <x:c r="P17" s="94"/>
      <x:c r="Q17" s="94"/>
      <x:c r="R17" s="94"/>
      <x:c r="S17" s="26" t="n">
        <x:f>(E17*260+F17*260+G17*470+H17*400+I17*350+J17*615+K17*240+L17*190+M17*240+N17*390+O17*265+P17*265+Q17*395)*1000*90%-7000</x:f>
        <x:v>560000</x:v>
      </x:c>
      <x:c r="T17" s="23" t="s">
        <x:v>74</x:v>
      </x:c>
      <x:c r="U17" s="23" t="s">
        <x:v>31</x:v>
      </x:c>
      <x:c r="V17" s="32"/>
      <x:c r="W17" s="33"/>
      <x:c r="X17" s="34" t="e">
        <x:f>IFERROR(__xludf.DUMMYFUNCTION("SUM(FILTER($E$2:$R$1116, $C$2:$C$1116 = W17))"),1.6480997445421003E7)</x:f>
        <x:v>#NAME?</x:v>
      </x:c>
      <x:c r="Y17" s="34" t="e">
        <x:f>IFERROR(__xludf.DUMMYFUNCTION("COUNT(FILTER($C$2:$C$1116, $C$2:$C$1116 = W17))"),0.0)</x:f>
        <x:v>#NAME?</x:v>
      </x:c>
      <x:c r="Z17" s="31">
        <x:f t="shared" si="2"/>
        <x:v>0</x:v>
      </x:c>
    </x:row>
    <x:row r="18">
      <x:c r="A18" s="19">
        <x:v>18.0</x:v>
      </x:c>
      <x:c r="B18" s="29" t="s">
        <x:v>352</x:v>
      </x:c>
      <x:c r="C18" s="21"/>
      <x:c r="D18" s="35"/>
      <x:c r="E18" s="23"/>
      <x:c r="F18" s="23"/>
      <x:c r="G18" s="24"/>
      <x:c r="H18" s="24"/>
      <x:c r="I18" s="24"/>
      <x:c r="J18" s="24"/>
      <x:c r="K18" s="24">
        <x:v>1.0</x:v>
      </x:c>
      <x:c r="L18" s="24"/>
      <x:c r="M18" s="24"/>
      <x:c r="N18" s="94"/>
      <x:c r="O18" s="94"/>
      <x:c r="P18" s="94"/>
      <x:c r="Q18" s="94"/>
      <x:c r="R18" s="94"/>
      <x:c r="S18" s="26" t="n">
        <x:f>(E18*260+F18*260+G18*470+H18*400+I18*350+J18*615+K18*240+L18*190+M18*240+N18*390+O18*265+P18*265+Q18*395-30+300)*1000</x:f>
        <x:v>510000</x:v>
      </x:c>
      <x:c r="T18" s="23" t="s">
        <x:v>74</x:v>
      </x:c>
      <x:c r="U18" s="23" t="s">
        <x:v>31</x:v>
      </x:c>
      <x:c r="V18" s="32"/>
      <x:c r="W18" s="33"/>
      <x:c r="X18" s="34"/>
      <x:c r="Y18" s="34"/>
      <x:c r="Z18" s="31"/>
    </x:row>
    <x:row r="19" ht="18.75" customHeight="1">
      <x:c r="A19" s="19">
        <x:v>19.0</x:v>
      </x:c>
      <x:c r="B19" s="29" t="s">
        <x:v>353</x:v>
      </x:c>
      <x:c r="C19" s="21"/>
      <x:c r="D19" s="22" t="s">
        <x:v>354</x:v>
      </x:c>
      <x:c r="E19" s="23"/>
      <x:c r="F19" s="23"/>
      <x:c r="G19" s="24"/>
      <x:c r="H19" s="24"/>
      <x:c r="I19" s="24"/>
      <x:c r="J19" s="24">
        <x:v>1.0</x:v>
      </x:c>
      <x:c r="K19" s="24"/>
      <x:c r="L19" s="24"/>
      <x:c r="M19" s="24"/>
      <x:c r="N19" s="23"/>
      <x:c r="O19" s="23"/>
      <x:c r="P19" s="23"/>
      <x:c r="Q19" s="23"/>
      <x:c r="R19" s="23"/>
      <x:c r="S19" s="26" t="n">
        <x:f t="shared" ref="S19:S71" si="4">(E19*260+F19*260+G19*470+H19*400+I19*350+J19*615+K19*240+L19*190+M19*240+N19*390+O19*265+P19*265+Q19*395)*1000</x:f>
        <x:v>615000</x:v>
      </x:c>
      <x:c r="T19" s="23" t="s">
        <x:v>74</x:v>
      </x:c>
      <x:c r="U19" s="23" t="s">
        <x:v>31</x:v>
      </x:c>
      <x:c r="V19" s="32"/>
      <x:c r="W19" s="33"/>
      <x:c r="X19" s="34" t="e">
        <x:f>IFERROR(__xludf.DUMMYFUNCTION("SUM(FILTER($E$2:$R$1116, $C$2:$C$1116 = W19))"),1.6480997445421003E7)</x:f>
        <x:v>#NAME?</x:v>
      </x:c>
      <x:c r="Y19" s="34" t="e">
        <x:f>IFERROR(__xludf.DUMMYFUNCTION("COUNT(FILTER($C$2:$C$1116, $C$2:$C$1116 = W19))"),0.0)</x:f>
        <x:v>#NAME?</x:v>
      </x:c>
      <x:c r="Z19" s="31" t="n">
        <x:f t="shared" ref="Z19:Z37" si="5">SUMIF($C$2:$C$1116, $W19 , $S$2:$S$1116)</x:f>
        <x:v>54618400</x:v>
      </x:c>
    </x:row>
    <x:row r="20" ht="18.75" customHeight="1">
      <x:c r="A20" s="19">
        <x:v>20.0</x:v>
      </x:c>
      <x:c r="B20" s="29"/>
      <x:c r="C20" s="21"/>
      <x:c r="D20" s="35"/>
      <x:c r="E20" s="23"/>
      <x:c r="F20" s="23"/>
      <x:c r="G20" s="24"/>
      <x:c r="H20" s="25"/>
      <x:c r="I20" s="24"/>
      <x:c r="J20" s="25"/>
      <x:c r="K20" s="24"/>
      <x:c r="L20" s="24"/>
      <x:c r="M20" s="24"/>
      <x:c r="N20" s="94"/>
      <x:c r="O20" s="94"/>
      <x:c r="P20" s="94"/>
      <x:c r="Q20" s="94"/>
      <x:c r="R20" s="94"/>
      <x:c r="S20" s="26">
        <x:f t="shared" si="4"/>
        <x:v>0</x:v>
      </x:c>
      <x:c r="T20" s="23"/>
      <x:c r="U20" s="23"/>
      <x:c r="V20" s="32"/>
      <x:c r="W20" s="33"/>
      <x:c r="X20" s="34" t="e">
        <x:f>IFERROR(__xludf.DUMMYFUNCTION("SUM(FILTER($E$2:$R$1116, $C$2:$C$1116 = W20))"),1.6480997445421003E7)</x:f>
        <x:v>#NAME?</x:v>
      </x:c>
      <x:c r="Y20" s="34" t="e">
        <x:f>IFERROR(__xludf.DUMMYFUNCTION("COUNT(FILTER($C$2:$C$1116, $C$2:$C$1116 = W20))"),0.0)</x:f>
        <x:v>#NAME?</x:v>
      </x:c>
      <x:c r="Z20" s="31">
        <x:f t="shared" si="5"/>
        <x:v>0</x:v>
      </x:c>
    </x:row>
    <x:row r="21" ht="18.75" customHeight="1">
      <x:c r="A21" s="19">
        <x:v>21.0</x:v>
      </x:c>
      <x:c r="B21" s="29"/>
      <x:c r="C21" s="21"/>
      <x:c r="D21" s="35"/>
      <x:c r="E21" s="23"/>
      <x:c r="F21" s="23"/>
      <x:c r="G21" s="24"/>
      <x:c r="H21" s="24"/>
      <x:c r="I21" s="24"/>
      <x:c r="J21" s="24"/>
      <x:c r="K21" s="24"/>
      <x:c r="L21" s="24"/>
      <x:c r="M21" s="24"/>
      <x:c r="N21" s="23"/>
      <x:c r="O21" s="94"/>
      <x:c r="P21" s="94"/>
      <x:c r="Q21" s="94"/>
      <x:c r="R21" s="94"/>
      <x:c r="S21" s="26">
        <x:f t="shared" si="4"/>
        <x:v>0</x:v>
      </x:c>
      <x:c r="T21" s="23"/>
      <x:c r="U21" s="23"/>
      <x:c r="V21" s="32"/>
      <x:c r="W21" s="33"/>
      <x:c r="X21" s="34" t="e">
        <x:f>IFERROR(__xludf.DUMMYFUNCTION("SUM(FILTER($E$2:$R$1116, $C$2:$C$1116 = W21))"),1.6480997445421003E7)</x:f>
        <x:v>#NAME?</x:v>
      </x:c>
      <x:c r="Y21" s="34" t="e">
        <x:f>IFERROR(__xludf.DUMMYFUNCTION("COUNT(FILTER($C$2:$C$1116, $C$2:$C$1116 = W21))"),0.0)</x:f>
        <x:v>#NAME?</x:v>
      </x:c>
      <x:c r="Z21" s="31">
        <x:f t="shared" si="5"/>
        <x:v>0</x:v>
      </x:c>
    </x:row>
    <x:row r="22" ht="18.75" customHeight="1">
      <x:c r="A22" s="19">
        <x:v>22.0</x:v>
      </x:c>
      <x:c r="B22" s="29"/>
      <x:c r="C22" s="21"/>
      <x:c r="D22" s="35"/>
      <x:c r="E22" s="23"/>
      <x:c r="F22" s="23"/>
      <x:c r="G22" s="24"/>
      <x:c r="H22" s="25"/>
      <x:c r="I22" s="25"/>
      <x:c r="J22" s="25"/>
      <x:c r="K22" s="24"/>
      <x:c r="L22" s="24"/>
      <x:c r="M22" s="24"/>
      <x:c r="N22" s="94"/>
      <x:c r="O22" s="94"/>
      <x:c r="P22" s="23"/>
      <x:c r="Q22" s="94"/>
      <x:c r="R22" s="23"/>
      <x:c r="S22" s="26">
        <x:f t="shared" si="4"/>
        <x:v>0</x:v>
      </x:c>
      <x:c r="T22" s="23"/>
      <x:c r="U22" s="23"/>
      <x:c r="V22" s="32"/>
      <x:c r="W22" s="33"/>
      <x:c r="X22" s="34" t="e">
        <x:f>IFERROR(__xludf.DUMMYFUNCTION("SUM(FILTER($E$2:$R$1116, $C$2:$C$1116 = W22))"),1.6480997445421003E7)</x:f>
        <x:v>#NAME?</x:v>
      </x:c>
      <x:c r="Y22" s="34" t="e">
        <x:f>IFERROR(__xludf.DUMMYFUNCTION("COUNT(FILTER($C$2:$C$1116, $C$2:$C$1116 = W22))"),0.0)</x:f>
        <x:v>#NAME?</x:v>
      </x:c>
      <x:c r="Z22" s="31">
        <x:f t="shared" si="5"/>
        <x:v>0</x:v>
      </x:c>
    </x:row>
    <x:row r="23" ht="18.75" customHeight="1">
      <x:c r="A23" s="19">
        <x:v>23.0</x:v>
      </x:c>
      <x:c r="B23" s="29"/>
      <x:c r="C23" s="21"/>
      <x:c r="D23" s="35"/>
      <x:c r="E23" s="23"/>
      <x:c r="F23" s="23"/>
      <x:c r="G23" s="25"/>
      <x:c r="H23" s="24"/>
      <x:c r="I23" s="24"/>
      <x:c r="J23" s="24"/>
      <x:c r="K23" s="24"/>
      <x:c r="L23" s="24"/>
      <x:c r="M23" s="24"/>
      <x:c r="N23" s="23"/>
      <x:c r="O23" s="94"/>
      <x:c r="P23" s="94"/>
      <x:c r="Q23" s="94"/>
      <x:c r="R23" s="94"/>
      <x:c r="S23" s="26">
        <x:f t="shared" si="4"/>
        <x:v>0</x:v>
      </x:c>
      <x:c r="T23" s="23"/>
      <x:c r="U23" s="23"/>
      <x:c r="V23" s="32"/>
      <x:c r="W23" s="33"/>
      <x:c r="X23" s="34" t="e">
        <x:f>IFERROR(__xludf.DUMMYFUNCTION("SUM(FILTER($E$2:$R$1116, $C$2:$C$1116 = W23))"),1.6480997445421003E7)</x:f>
        <x:v>#NAME?</x:v>
      </x:c>
      <x:c r="Y23" s="34" t="e">
        <x:f>IFERROR(__xludf.DUMMYFUNCTION("COUNT(FILTER($C$2:$C$1116, $C$2:$C$1116 = W23))"),0.0)</x:f>
        <x:v>#NAME?</x:v>
      </x:c>
      <x:c r="Z23" s="31">
        <x:f t="shared" si="5"/>
        <x:v>0</x:v>
      </x:c>
    </x:row>
    <x:row r="24">
      <x:c r="A24" s="19">
        <x:v>24.0</x:v>
      </x:c>
      <x:c r="B24" s="29"/>
      <x:c r="C24" s="21"/>
      <x:c r="D24" s="55"/>
      <x:c r="E24" s="56"/>
      <x:c r="F24" s="23"/>
      <x:c r="G24" s="25"/>
      <x:c r="H24" s="25"/>
      <x:c r="I24" s="25"/>
      <x:c r="J24" s="25"/>
      <x:c r="K24" s="24"/>
      <x:c r="L24" s="25"/>
      <x:c r="M24" s="24"/>
      <x:c r="N24" s="94"/>
      <x:c r="O24" s="23"/>
      <x:c r="P24" s="23"/>
      <x:c r="Q24" s="23"/>
      <x:c r="R24" s="94"/>
      <x:c r="S24" s="26">
        <x:f t="shared" si="4"/>
        <x:v>0</x:v>
      </x:c>
      <x:c r="T24" s="23"/>
      <x:c r="U24" s="23"/>
      <x:c r="V24" s="57"/>
      <x:c r="W24" s="33"/>
      <x:c r="X24" s="34" t="e">
        <x:f>IFERROR(__xludf.DUMMYFUNCTION("SUM(FILTER($E$2:$R$1116, $C$2:$C$1116 = W24))"),1.6480997445421003E7)</x:f>
        <x:v>#NAME?</x:v>
      </x:c>
      <x:c r="Y24" s="34" t="e">
        <x:f>IFERROR(__xludf.DUMMYFUNCTION("COUNT(FILTER($C$2:$C$1116, $C$2:$C$1116 = W24))"),0.0)</x:f>
        <x:v>#NAME?</x:v>
      </x:c>
      <x:c r="Z24" s="31">
        <x:f t="shared" si="5"/>
        <x:v>0</x:v>
      </x:c>
    </x:row>
    <x:row r="25" ht="18.75" customHeight="1">
      <x:c r="A25" s="19"/>
      <x:c r="B25" s="29"/>
      <x:c r="C25" s="21"/>
      <x:c r="D25" s="55"/>
      <x:c r="E25" s="56"/>
      <x:c r="F25" s="23"/>
      <x:c r="G25" s="25"/>
      <x:c r="H25" s="24"/>
      <x:c r="I25" s="24"/>
      <x:c r="J25" s="24"/>
      <x:c r="K25" s="24"/>
      <x:c r="L25" s="24"/>
      <x:c r="M25" s="24"/>
      <x:c r="N25" s="94"/>
      <x:c r="O25" s="94"/>
      <x:c r="P25" s="23"/>
      <x:c r="Q25" s="94"/>
      <x:c r="R25" s="94"/>
      <x:c r="S25" s="26">
        <x:f t="shared" si="4"/>
        <x:v>0</x:v>
      </x:c>
      <x:c r="T25" s="23"/>
      <x:c r="U25" s="23"/>
      <x:c r="V25" s="32"/>
      <x:c r="W25" s="33"/>
      <x:c r="X25" s="34" t="e">
        <x:f>IFERROR(__xludf.DUMMYFUNCTION("SUM(FILTER($E$2:$R$1116, $C$2:$C$1116 = W25))"),1.6480997445421003E7)</x:f>
        <x:v>#NAME?</x:v>
      </x:c>
      <x:c r="Y25" s="34" t="e">
        <x:f>IFERROR(__xludf.DUMMYFUNCTION("COUNT(FILTER($C$2:$C$1116, $C$2:$C$1116 = W25))"),0.0)</x:f>
        <x:v>#NAME?</x:v>
      </x:c>
      <x:c r="Z25" s="31">
        <x:f t="shared" si="5"/>
        <x:v>0</x:v>
      </x:c>
    </x:row>
    <x:row r="26" ht="18.75" customHeight="1">
      <x:c r="A26" s="19"/>
      <x:c r="B26" s="29"/>
      <x:c r="C26" s="21"/>
      <x:c r="D26" s="35"/>
      <x:c r="E26" s="23"/>
      <x:c r="F26" s="23"/>
      <x:c r="G26" s="24"/>
      <x:c r="H26" s="25"/>
      <x:c r="I26" s="25"/>
      <x:c r="J26" s="25"/>
      <x:c r="K26" s="25"/>
      <x:c r="L26" s="24"/>
      <x:c r="M26" s="24"/>
      <x:c r="N26" s="94"/>
      <x:c r="O26" s="94"/>
      <x:c r="P26" s="23"/>
      <x:c r="Q26" s="94"/>
      <x:c r="R26" s="94"/>
      <x:c r="S26" s="26">
        <x:f t="shared" si="4"/>
        <x:v>0</x:v>
      </x:c>
      <x:c r="T26" s="23"/>
      <x:c r="U26" s="23"/>
      <x:c r="V26" s="32"/>
      <x:c r="W26" s="33"/>
      <x:c r="X26" s="34" t="e">
        <x:f>IFERROR(__xludf.DUMMYFUNCTION("SUM(FILTER($E$2:$R$1116, $C$2:$C$1116 = W26))"),1.6480997445421003E7)</x:f>
        <x:v>#NAME?</x:v>
      </x:c>
      <x:c r="Y26" s="34" t="e">
        <x:f>IFERROR(__xludf.DUMMYFUNCTION("COUNT(FILTER($C$2:$C$1116, $C$2:$C$1116 = W26))"),0.0)</x:f>
        <x:v>#NAME?</x:v>
      </x:c>
      <x:c r="Z26" s="31">
        <x:f t="shared" si="5"/>
        <x:v>0</x:v>
      </x:c>
    </x:row>
    <x:row r="27" ht="18.75" customHeight="1">
      <x:c r="A27" s="19"/>
      <x:c r="B27" s="29"/>
      <x:c r="C27" s="21"/>
      <x:c r="D27" s="35"/>
      <x:c r="E27" s="23"/>
      <x:c r="F27" s="23"/>
      <x:c r="G27" s="25"/>
      <x:c r="H27" s="25"/>
      <x:c r="I27" s="25"/>
      <x:c r="J27" s="25"/>
      <x:c r="K27" s="25"/>
      <x:c r="L27" s="24"/>
      <x:c r="M27" s="24"/>
      <x:c r="N27" s="94"/>
      <x:c r="O27" s="94"/>
      <x:c r="P27" s="94"/>
      <x:c r="Q27" s="94"/>
      <x:c r="R27" s="94"/>
      <x:c r="S27" s="26">
        <x:f t="shared" si="4"/>
        <x:v>0</x:v>
      </x:c>
      <x:c r="T27" s="23"/>
      <x:c r="U27" s="23"/>
      <x:c r="V27" s="32"/>
      <x:c r="W27" s="33"/>
      <x:c r="X27" s="34" t="e">
        <x:f>IFERROR(__xludf.DUMMYFUNCTION("SUM(FILTER($E$2:$R$1116, $C$2:$C$1116 = W27))"),1.6480997445421003E7)</x:f>
        <x:v>#NAME?</x:v>
      </x:c>
      <x:c r="Y27" s="34" t="e">
        <x:f>IFERROR(__xludf.DUMMYFUNCTION("COUNT(FILTER($C$2:$C$1116, $C$2:$C$1116 = W27))"),0.0)</x:f>
        <x:v>#NAME?</x:v>
      </x:c>
      <x:c r="Z27" s="31">
        <x:f t="shared" si="5"/>
        <x:v>0</x:v>
      </x:c>
    </x:row>
    <x:row r="28" ht="18.75" customHeight="1">
      <x:c r="A28" s="19"/>
      <x:c r="B28" s="29"/>
      <x:c r="C28" s="21"/>
      <x:c r="D28" s="35"/>
      <x:c r="E28" s="23"/>
      <x:c r="F28" s="23"/>
      <x:c r="G28" s="24"/>
      <x:c r="H28" s="24"/>
      <x:c r="I28" s="24"/>
      <x:c r="J28" s="24"/>
      <x:c r="K28" s="25"/>
      <x:c r="L28" s="24"/>
      <x:c r="M28" s="24"/>
      <x:c r="N28" s="94"/>
      <x:c r="O28" s="94"/>
      <x:c r="P28" s="94"/>
      <x:c r="Q28" s="94"/>
      <x:c r="R28" s="94"/>
      <x:c r="S28" s="26">
        <x:f t="shared" si="4"/>
        <x:v>0</x:v>
      </x:c>
      <x:c r="T28" s="23"/>
      <x:c r="U28" s="23"/>
      <x:c r="V28" s="32"/>
      <x:c r="W28" s="33"/>
      <x:c r="X28" s="34" t="e">
        <x:f>IFERROR(__xludf.DUMMYFUNCTION("SUM(FILTER($E$2:$R$1116, $C$2:$C$1116 = W28))"),1.6480997445421003E7)</x:f>
        <x:v>#NAME?</x:v>
      </x:c>
      <x:c r="Y28" s="34" t="e">
        <x:f>IFERROR(__xludf.DUMMYFUNCTION("COUNT(FILTER($C$2:$C$1116, $C$2:$C$1116 = W28))"),0.0)</x:f>
        <x:v>#NAME?</x:v>
      </x:c>
      <x:c r="Z28" s="31">
        <x:f t="shared" si="5"/>
        <x:v>0</x:v>
      </x:c>
    </x:row>
    <x:row r="29" ht="18.75" customHeight="1">
      <x:c r="A29" s="19"/>
      <x:c r="B29" s="29"/>
      <x:c r="C29" s="21"/>
      <x:c r="D29" s="35"/>
      <x:c r="E29" s="23"/>
      <x:c r="F29" s="23"/>
      <x:c r="G29" s="24"/>
      <x:c r="H29" s="24"/>
      <x:c r="I29" s="24"/>
      <x:c r="J29" s="24"/>
      <x:c r="K29" s="25"/>
      <x:c r="L29" s="24"/>
      <x:c r="M29" s="24"/>
      <x:c r="N29" s="94"/>
      <x:c r="O29" s="94"/>
      <x:c r="P29" s="94"/>
      <x:c r="Q29" s="94"/>
      <x:c r="R29" s="94"/>
      <x:c r="S29" s="26">
        <x:f t="shared" si="4"/>
        <x:v>0</x:v>
      </x:c>
      <x:c r="T29" s="23"/>
      <x:c r="U29" s="23"/>
      <x:c r="V29" s="32"/>
      <x:c r="W29" s="33"/>
      <x:c r="X29" s="34" t="e">
        <x:f>IFERROR(__xludf.DUMMYFUNCTION("SUM(FILTER($E$2:$R$1116, $C$2:$C$1116 = W29))"),1.6480997445421003E7)</x:f>
        <x:v>#NAME?</x:v>
      </x:c>
      <x:c r="Y29" s="34" t="e">
        <x:f>IFERROR(__xludf.DUMMYFUNCTION("COUNT(FILTER($C$2:$C$1116, $C$2:$C$1116 = W29))"),0.0)</x:f>
        <x:v>#NAME?</x:v>
      </x:c>
      <x:c r="Z29" s="31">
        <x:f t="shared" si="5"/>
        <x:v>0</x:v>
      </x:c>
    </x:row>
    <x:row r="30">
      <x:c r="A30" s="19"/>
      <x:c r="B30" s="29"/>
      <x:c r="C30" s="21"/>
      <x:c r="D30" s="35"/>
      <x:c r="E30" s="23"/>
      <x:c r="F30" s="23"/>
      <x:c r="G30" s="25"/>
      <x:c r="H30" s="25"/>
      <x:c r="I30" s="25"/>
      <x:c r="J30" s="25"/>
      <x:c r="K30" s="24"/>
      <x:c r="L30" s="24"/>
      <x:c r="M30" s="24"/>
      <x:c r="N30" s="94"/>
      <x:c r="O30" s="94"/>
      <x:c r="P30" s="94"/>
      <x:c r="Q30" s="94"/>
      <x:c r="R30" s="94"/>
      <x:c r="S30" s="26">
        <x:f t="shared" si="4"/>
        <x:v>0</x:v>
      </x:c>
      <x:c r="T30" s="23"/>
      <x:c r="U30" s="23"/>
      <x:c r="V30" s="57"/>
      <x:c r="W30" s="33"/>
      <x:c r="X30" s="34" t="e">
        <x:f>IFERROR(__xludf.DUMMYFUNCTION("SUM(FILTER($E$2:$R$1116, $C$2:$C$1116 = W30))"),1.6480997445421003E7)</x:f>
        <x:v>#NAME?</x:v>
      </x:c>
      <x:c r="Y30" s="34" t="e">
        <x:f>IFERROR(__xludf.DUMMYFUNCTION("COUNT(FILTER($C$2:$C$1116, $C$2:$C$1116 = W30))"),0.0)</x:f>
        <x:v>#NAME?</x:v>
      </x:c>
      <x:c r="Z30" s="31">
        <x:f t="shared" si="5"/>
        <x:v>0</x:v>
      </x:c>
    </x:row>
    <x:row r="31" ht="18.75" customHeight="1">
      <x:c r="A31" s="19"/>
      <x:c r="B31" s="29"/>
      <x:c r="C31" s="21"/>
      <x:c r="D31" s="35"/>
      <x:c r="E31" s="56"/>
      <x:c r="F31" s="23"/>
      <x:c r="G31" s="24"/>
      <x:c r="H31" s="24"/>
      <x:c r="I31" s="24"/>
      <x:c r="J31" s="24"/>
      <x:c r="K31" s="24"/>
      <x:c r="L31" s="24"/>
      <x:c r="M31" s="24"/>
      <x:c r="N31" s="94"/>
      <x:c r="O31" s="94"/>
      <x:c r="P31" s="94"/>
      <x:c r="Q31" s="94"/>
      <x:c r="R31" s="94"/>
      <x:c r="S31" s="26">
        <x:f t="shared" si="4"/>
        <x:v>0</x:v>
      </x:c>
      <x:c r="T31" s="23"/>
      <x:c r="U31" s="23"/>
      <x:c r="V31" s="57"/>
      <x:c r="W31" s="33"/>
      <x:c r="X31" s="34" t="e">
        <x:f>IFERROR(__xludf.DUMMYFUNCTION("SUM(FILTER($E$2:$R$1116, $C$2:$C$1116 = W31))"),1.6480997445421003E7)</x:f>
        <x:v>#NAME?</x:v>
      </x:c>
      <x:c r="Y31" s="34" t="e">
        <x:f>IFERROR(__xludf.DUMMYFUNCTION("COUNT(FILTER($C$2:$C$1116, $C$2:$C$1116 = W31))"),0.0)</x:f>
        <x:v>#NAME?</x:v>
      </x:c>
      <x:c r="Z31" s="31">
        <x:f t="shared" si="5"/>
        <x:v>0</x:v>
      </x:c>
    </x:row>
    <x:row r="32" ht="18.75" customHeight="1">
      <x:c r="A32" s="19"/>
      <x:c r="B32" s="29"/>
      <x:c r="C32" s="21"/>
      <x:c r="D32" s="35"/>
      <x:c r="E32" s="56"/>
      <x:c r="F32" s="23"/>
      <x:c r="G32" s="24"/>
      <x:c r="H32" s="24"/>
      <x:c r="I32" s="24"/>
      <x:c r="J32" s="24"/>
      <x:c r="K32" s="24"/>
      <x:c r="L32" s="24"/>
      <x:c r="M32" s="24"/>
      <x:c r="N32" s="94"/>
      <x:c r="O32" s="94"/>
      <x:c r="P32" s="94"/>
      <x:c r="Q32" s="94"/>
      <x:c r="R32" s="94"/>
      <x:c r="S32" s="26">
        <x:f t="shared" si="4"/>
        <x:v>0</x:v>
      </x:c>
      <x:c r="T32" s="23"/>
      <x:c r="U32" s="23"/>
      <x:c r="V32" s="32"/>
      <x:c r="W32" s="33"/>
      <x:c r="X32" s="34" t="e">
        <x:f>IFERROR(__xludf.DUMMYFUNCTION("SUM(FILTER($E$2:$R$1116, $C$2:$C$1116 = W32))"),1.6480997445421003E7)</x:f>
        <x:v>#NAME?</x:v>
      </x:c>
      <x:c r="Y32" s="34" t="e">
        <x:f>IFERROR(__xludf.DUMMYFUNCTION("COUNT(FILTER($C$2:$C$1116, $C$2:$C$1116 = W32))"),0.0)</x:f>
        <x:v>#NAME?</x:v>
      </x:c>
      <x:c r="Z32" s="31">
        <x:f t="shared" si="5"/>
        <x:v>0</x:v>
      </x:c>
    </x:row>
    <x:row r="33" ht="18.75" customHeight="1">
      <x:c r="A33" s="19"/>
      <x:c r="B33" s="29"/>
      <x:c r="C33" s="21"/>
      <x:c r="D33" s="55"/>
      <x:c r="E33" s="23"/>
      <x:c r="F33" s="23"/>
      <x:c r="G33" s="24"/>
      <x:c r="H33" s="24"/>
      <x:c r="I33" s="24"/>
      <x:c r="J33" s="24"/>
      <x:c r="K33" s="24"/>
      <x:c r="L33" s="24"/>
      <x:c r="M33" s="24"/>
      <x:c r="N33" s="94"/>
      <x:c r="O33" s="94"/>
      <x:c r="P33" s="94"/>
      <x:c r="Q33" s="94"/>
      <x:c r="R33" s="94"/>
      <x:c r="S33" s="26">
        <x:f t="shared" si="4"/>
        <x:v>0</x:v>
      </x:c>
      <x:c r="T33" s="23"/>
      <x:c r="U33" s="23"/>
      <x:c r="V33" s="32"/>
      <x:c r="W33" s="33"/>
      <x:c r="X33" s="34" t="e">
        <x:f>IFERROR(__xludf.DUMMYFUNCTION("SUM(FILTER($E$2:$R$1116, $C$2:$C$1116 = W33))"),1.6480997445421003E7)</x:f>
        <x:v>#NAME?</x:v>
      </x:c>
      <x:c r="Y33" s="34" t="e">
        <x:f>IFERROR(__xludf.DUMMYFUNCTION("COUNT(FILTER($C$2:$C$1116, $C$2:$C$1116 = W33))"),0.0)</x:f>
        <x:v>#NAME?</x:v>
      </x:c>
      <x:c r="Z33" s="31">
        <x:f t="shared" si="5"/>
        <x:v>0</x:v>
      </x:c>
    </x:row>
    <x:row r="34" ht="18.75" customHeight="1">
      <x:c r="A34" s="19"/>
      <x:c r="B34" s="29"/>
      <x:c r="C34" s="21"/>
      <x:c r="D34" s="35"/>
      <x:c r="E34" s="23"/>
      <x:c r="F34" s="23"/>
      <x:c r="G34" s="24"/>
      <x:c r="H34" s="24"/>
      <x:c r="I34" s="24"/>
      <x:c r="J34" s="24"/>
      <x:c r="K34" s="24"/>
      <x:c r="L34" s="24"/>
      <x:c r="M34" s="24"/>
      <x:c r="N34" s="23"/>
      <x:c r="O34" s="23"/>
      <x:c r="P34" s="23"/>
      <x:c r="Q34" s="23"/>
      <x:c r="R34" s="23"/>
      <x:c r="S34" s="26">
        <x:f t="shared" si="4"/>
        <x:v>0</x:v>
      </x:c>
      <x:c r="T34" s="23"/>
      <x:c r="U34" s="23"/>
      <x:c r="V34" s="32"/>
      <x:c r="W34" s="33"/>
      <x:c r="X34" s="34" t="e">
        <x:f>IFERROR(__xludf.DUMMYFUNCTION("SUM(FILTER($E$2:$R$1116, $C$2:$C$1116 = W34))"),1.6480997445421003E7)</x:f>
        <x:v>#NAME?</x:v>
      </x:c>
      <x:c r="Y34" s="34" t="e">
        <x:f>IFERROR(__xludf.DUMMYFUNCTION("COUNT(FILTER($C$2:$C$1116, $C$2:$C$1116 = W34))"),0.0)</x:f>
        <x:v>#NAME?</x:v>
      </x:c>
      <x:c r="Z34" s="31">
        <x:f t="shared" si="5"/>
        <x:v>0</x:v>
      </x:c>
    </x:row>
    <x:row r="35" ht="18.75" customHeight="1">
      <x:c r="A35" s="19"/>
      <x:c r="B35" s="29"/>
      <x:c r="C35" s="21"/>
      <x:c r="D35" s="35"/>
      <x:c r="E35" s="56"/>
      <x:c r="F35" s="23"/>
      <x:c r="G35" s="25"/>
      <x:c r="H35" s="25"/>
      <x:c r="I35" s="25"/>
      <x:c r="J35" s="25"/>
      <x:c r="K35" s="24"/>
      <x:c r="L35" s="25"/>
      <x:c r="M35" s="25"/>
      <x:c r="N35" s="94"/>
      <x:c r="O35" s="94"/>
      <x:c r="P35" s="94"/>
      <x:c r="Q35" s="94"/>
      <x:c r="R35" s="94"/>
      <x:c r="S35" s="26">
        <x:f t="shared" si="4"/>
        <x:v>0</x:v>
      </x:c>
      <x:c r="T35" s="23"/>
      <x:c r="U35" s="23"/>
      <x:c r="V35" s="32"/>
      <x:c r="W35" s="33"/>
      <x:c r="X35" s="34" t="e">
        <x:f>IFERROR(__xludf.DUMMYFUNCTION("SUM(FILTER($E$2:$R$1116, $C$2:$C$1116 = W35))"),1.6480997445421003E7)</x:f>
        <x:v>#NAME?</x:v>
      </x:c>
      <x:c r="Y35" s="34" t="e">
        <x:f>IFERROR(__xludf.DUMMYFUNCTION("COUNT(FILTER($C$2:$C$1116, $C$2:$C$1116 = W35))"),0.0)</x:f>
        <x:v>#NAME?</x:v>
      </x:c>
      <x:c r="Z35" s="31">
        <x:f t="shared" si="5"/>
        <x:v>0</x:v>
      </x:c>
    </x:row>
    <x:row r="36" ht="18.75" customHeight="1">
      <x:c r="A36" s="19"/>
      <x:c r="B36" s="29"/>
      <x:c r="C36" s="21"/>
      <x:c r="D36" s="35"/>
      <x:c r="E36" s="23"/>
      <x:c r="F36" s="23"/>
      <x:c r="G36" s="24"/>
      <x:c r="H36" s="24"/>
      <x:c r="I36" s="24"/>
      <x:c r="J36" s="24"/>
      <x:c r="K36" s="24"/>
      <x:c r="L36" s="24"/>
      <x:c r="M36" s="24"/>
      <x:c r="N36" s="94"/>
      <x:c r="O36" s="94"/>
      <x:c r="P36" s="94"/>
      <x:c r="Q36" s="94"/>
      <x:c r="R36" s="94"/>
      <x:c r="S36" s="26">
        <x:f t="shared" si="4"/>
        <x:v>0</x:v>
      </x:c>
      <x:c r="T36" s="23"/>
      <x:c r="U36" s="23"/>
      <x:c r="V36" s="32"/>
      <x:c r="W36" s="33"/>
      <x:c r="X36" s="34" t="e">
        <x:f>IFERROR(__xludf.DUMMYFUNCTION("SUM(FILTER($E$2:$R$1116, $C$2:$C$1116 = W36))"),1.6480997445421003E7)</x:f>
        <x:v>#NAME?</x:v>
      </x:c>
      <x:c r="Y36" s="34" t="e">
        <x:f>IFERROR(__xludf.DUMMYFUNCTION("COUNT(FILTER($C$2:$C$1116, $C$2:$C$1116 = W36))"),0.0)</x:f>
        <x:v>#NAME?</x:v>
      </x:c>
      <x:c r="Z36" s="31">
        <x:f t="shared" si="5"/>
        <x:v>0</x:v>
      </x:c>
    </x:row>
    <x:row r="37" ht="18.75" customHeight="1">
      <x:c r="A37" s="19"/>
      <x:c r="B37" s="29"/>
      <x:c r="C37" s="21"/>
      <x:c r="D37" s="35"/>
      <x:c r="E37" s="23"/>
      <x:c r="F37" s="23"/>
      <x:c r="G37" s="25"/>
      <x:c r="H37" s="25"/>
      <x:c r="I37" s="25"/>
      <x:c r="J37" s="25"/>
      <x:c r="K37" s="24"/>
      <x:c r="L37" s="24"/>
      <x:c r="M37" s="24"/>
      <x:c r="N37" s="94"/>
      <x:c r="O37" s="94"/>
      <x:c r="P37" s="94"/>
      <x:c r="Q37" s="94"/>
      <x:c r="R37" s="94"/>
      <x:c r="S37" s="26">
        <x:f t="shared" si="4"/>
        <x:v>0</x:v>
      </x:c>
      <x:c r="T37" s="23"/>
      <x:c r="U37" s="23"/>
      <x:c r="W37" s="33"/>
      <x:c r="X37" s="34" t="e">
        <x:f>IFERROR(__xludf.DUMMYFUNCTION("SUM(FILTER($E$2:$R$1116, $C$2:$C$1116 = W37))"),1.6480997445421003E7)</x:f>
        <x:v>#NAME?</x:v>
      </x:c>
      <x:c r="Y37" s="34" t="e">
        <x:f>IFERROR(__xludf.DUMMYFUNCTION("COUNT(FILTER($C$2:$C$1116, $C$2:$C$1116 = W37))"),0.0)</x:f>
        <x:v>#NAME?</x:v>
      </x:c>
      <x:c r="Z37" s="31">
        <x:f t="shared" si="5"/>
        <x:v>0</x:v>
      </x:c>
    </x:row>
    <x:row r="38" ht="18.75" customHeight="1">
      <x:c r="A38" s="19"/>
      <x:c r="B38" s="29"/>
      <x:c r="C38" s="21"/>
      <x:c r="D38" s="35"/>
      <x:c r="E38" s="23"/>
      <x:c r="F38" s="23"/>
      <x:c r="G38" s="25"/>
      <x:c r="H38" s="25"/>
      <x:c r="I38" s="25"/>
      <x:c r="J38" s="25"/>
      <x:c r="K38" s="24"/>
      <x:c r="L38" s="24"/>
      <x:c r="M38" s="24"/>
      <x:c r="N38" s="94"/>
      <x:c r="O38" s="94"/>
      <x:c r="P38" s="94"/>
      <x:c r="Q38" s="94"/>
      <x:c r="R38" s="94"/>
      <x:c r="S38" s="26">
        <x:f t="shared" si="4"/>
        <x:v>0</x:v>
      </x:c>
      <x:c r="T38" s="23"/>
      <x:c r="U38" s="23"/>
    </x:row>
    <x:row r="39">
      <x:c r="A39" s="19"/>
      <x:c r="B39" s="29"/>
      <x:c r="C39" s="21"/>
      <x:c r="D39" s="35"/>
      <x:c r="E39" s="56"/>
      <x:c r="F39" s="23"/>
      <x:c r="G39" s="24"/>
      <x:c r="H39" s="24"/>
      <x:c r="I39" s="24"/>
      <x:c r="J39" s="24"/>
      <x:c r="K39" s="24"/>
      <x:c r="L39" s="24"/>
      <x:c r="M39" s="24"/>
      <x:c r="N39" s="94"/>
      <x:c r="O39" s="94"/>
      <x:c r="P39" s="94"/>
      <x:c r="Q39" s="94"/>
      <x:c r="R39" s="94"/>
      <x:c r="S39" s="26">
        <x:f t="shared" si="4"/>
        <x:v>0</x:v>
      </x:c>
      <x:c r="T39" s="23"/>
      <x:c r="U39" s="23"/>
      <x:c r="V39" s="32"/>
    </x:row>
    <x:row r="40" ht="18.75" customHeight="1">
      <x:c r="A40" s="19"/>
      <x:c r="B40" s="29"/>
      <x:c r="C40" s="21"/>
      <x:c r="D40" s="35"/>
      <x:c r="E40" s="23"/>
      <x:c r="F40" s="23"/>
      <x:c r="G40" s="25"/>
      <x:c r="H40" s="25"/>
      <x:c r="I40" s="25"/>
      <x:c r="J40" s="25"/>
      <x:c r="K40" s="24"/>
      <x:c r="L40" s="24"/>
      <x:c r="M40" s="24"/>
      <x:c r="N40" s="94"/>
      <x:c r="O40" s="94"/>
      <x:c r="P40" s="94"/>
      <x:c r="Q40" s="94"/>
      <x:c r="R40" s="94"/>
      <x:c r="S40" s="26">
        <x:f t="shared" si="4"/>
        <x:v>0</x:v>
      </x:c>
      <x:c r="T40" s="23"/>
      <x:c r="U40" s="23"/>
    </x:row>
    <x:row r="41" ht="18.75" customHeight="1">
      <x:c r="A41" s="19"/>
      <x:c r="B41" s="29"/>
      <x:c r="C41" s="21"/>
      <x:c r="D41" s="35"/>
      <x:c r="E41" s="23"/>
      <x:c r="F41" s="23"/>
      <x:c r="G41" s="25"/>
      <x:c r="H41" s="25"/>
      <x:c r="I41" s="25"/>
      <x:c r="J41" s="25"/>
      <x:c r="K41" s="24"/>
      <x:c r="L41" s="24"/>
      <x:c r="M41" s="24"/>
      <x:c r="N41" s="94"/>
      <x:c r="O41" s="94"/>
      <x:c r="P41" s="94"/>
      <x:c r="Q41" s="94"/>
      <x:c r="R41" s="94"/>
      <x:c r="S41" s="26">
        <x:f t="shared" si="4"/>
        <x:v>0</x:v>
      </x:c>
      <x:c r="T41" s="23"/>
      <x:c r="U41" s="23"/>
    </x:row>
    <x:row r="42" ht="18.75" customHeight="1">
      <x:c r="A42" s="19"/>
      <x:c r="B42" s="29"/>
      <x:c r="C42" s="21"/>
      <x:c r="D42" s="35"/>
      <x:c r="E42" s="23"/>
      <x:c r="F42" s="23"/>
      <x:c r="G42" s="24"/>
      <x:c r="H42" s="24"/>
      <x:c r="I42" s="24"/>
      <x:c r="J42" s="24"/>
      <x:c r="K42" s="24"/>
      <x:c r="L42" s="24"/>
      <x:c r="M42" s="24"/>
      <x:c r="N42" s="94"/>
      <x:c r="O42" s="94"/>
      <x:c r="P42" s="94"/>
      <x:c r="Q42" s="94"/>
      <x:c r="R42" s="94"/>
      <x:c r="S42" s="26">
        <x:f t="shared" si="4"/>
        <x:v>0</x:v>
      </x:c>
      <x:c r="T42" s="23"/>
      <x:c r="U42" s="23"/>
    </x:row>
    <x:row r="43" ht="18.75" customHeight="1">
      <x:c r="A43" s="19"/>
      <x:c r="B43" s="29"/>
      <x:c r="C43" s="21"/>
      <x:c r="D43" s="35"/>
      <x:c r="E43" s="23"/>
      <x:c r="F43" s="23"/>
      <x:c r="G43" s="25"/>
      <x:c r="H43" s="25"/>
      <x:c r="I43" s="25"/>
      <x:c r="J43" s="25"/>
      <x:c r="K43" s="24"/>
      <x:c r="L43" s="24"/>
      <x:c r="M43" s="24"/>
      <x:c r="N43" s="94"/>
      <x:c r="O43" s="94"/>
      <x:c r="P43" s="94"/>
      <x:c r="Q43" s="94"/>
      <x:c r="R43" s="94"/>
      <x:c r="S43" s="26">
        <x:f t="shared" si="4"/>
        <x:v>0</x:v>
      </x:c>
      <x:c r="T43" s="23"/>
      <x:c r="U43" s="23"/>
    </x:row>
    <x:row r="44" ht="18.75" customHeight="1">
      <x:c r="A44" s="19"/>
      <x:c r="B44" s="29"/>
      <x:c r="C44" s="21"/>
      <x:c r="D44" s="55"/>
      <x:c r="E44" s="23"/>
      <x:c r="F44" s="23"/>
      <x:c r="G44" s="25"/>
      <x:c r="H44" s="24"/>
      <x:c r="I44" s="24"/>
      <x:c r="J44" s="24"/>
      <x:c r="K44" s="24"/>
      <x:c r="L44" s="24"/>
      <x:c r="M44" s="24"/>
      <x:c r="N44" s="94"/>
      <x:c r="O44" s="94"/>
      <x:c r="P44" s="94"/>
      <x:c r="Q44" s="94"/>
      <x:c r="R44" s="94"/>
      <x:c r="S44" s="26">
        <x:f t="shared" si="4"/>
        <x:v>0</x:v>
      </x:c>
      <x:c r="T44" s="23"/>
      <x:c r="U44" s="23"/>
    </x:row>
    <x:row r="45" ht="18.75" customHeight="1">
      <x:c r="A45" s="19"/>
      <x:c r="B45" s="71"/>
      <x:c r="C45" s="21"/>
      <x:c r="D45" s="35"/>
      <x:c r="E45" s="23"/>
      <x:c r="F45" s="23"/>
      <x:c r="G45" s="25"/>
      <x:c r="H45" s="25"/>
      <x:c r="I45" s="25"/>
      <x:c r="J45" s="25"/>
      <x:c r="K45" s="24"/>
      <x:c r="L45" s="24"/>
      <x:c r="M45" s="24"/>
      <x:c r="N45" s="94"/>
      <x:c r="O45" s="94"/>
      <x:c r="P45" s="94"/>
      <x:c r="Q45" s="94"/>
      <x:c r="R45" s="94"/>
      <x:c r="S45" s="26">
        <x:f t="shared" si="4"/>
        <x:v>0</x:v>
      </x:c>
      <x:c r="T45" s="23"/>
      <x:c r="U45" s="23"/>
    </x:row>
    <x:row r="46" ht="18.75" customHeight="1">
      <x:c r="A46" s="19"/>
      <x:c r="B46" s="29"/>
      <x:c r="C46" s="21"/>
      <x:c r="D46" s="35"/>
      <x:c r="E46" s="56"/>
      <x:c r="F46" s="23"/>
      <x:c r="G46" s="25"/>
      <x:c r="H46" s="25"/>
      <x:c r="I46" s="25"/>
      <x:c r="J46" s="25"/>
      <x:c r="K46" s="24"/>
      <x:c r="L46" s="24"/>
      <x:c r="M46" s="24"/>
      <x:c r="N46" s="94"/>
      <x:c r="O46" s="94"/>
      <x:c r="P46" s="94"/>
      <x:c r="Q46" s="94"/>
      <x:c r="R46" s="94"/>
      <x:c r="S46" s="26">
        <x:f t="shared" si="4"/>
        <x:v>0</x:v>
      </x:c>
      <x:c r="T46" s="23"/>
      <x:c r="U46" s="23"/>
    </x:row>
    <x:row r="47" ht="18.75" customHeight="1">
      <x:c r="A47" s="19"/>
      <x:c r="B47" s="29"/>
      <x:c r="C47" s="21"/>
      <x:c r="D47" s="35"/>
      <x:c r="E47" s="23"/>
      <x:c r="F47" s="23"/>
      <x:c r="G47" s="25"/>
      <x:c r="H47" s="25"/>
      <x:c r="I47" s="25"/>
      <x:c r="J47" s="25"/>
      <x:c r="K47" s="24"/>
      <x:c r="L47" s="25"/>
      <x:c r="M47" s="25"/>
      <x:c r="N47" s="94"/>
      <x:c r="O47" s="94"/>
      <x:c r="P47" s="94"/>
      <x:c r="Q47" s="94"/>
      <x:c r="R47" s="94"/>
      <x:c r="S47" s="26">
        <x:f t="shared" si="4"/>
        <x:v>0</x:v>
      </x:c>
      <x:c r="T47" s="23"/>
      <x:c r="U47" s="23"/>
    </x:row>
    <x:row r="48" ht="18.75" customHeight="1">
      <x:c r="A48" s="19"/>
      <x:c r="B48" s="29"/>
      <x:c r="C48" s="21"/>
      <x:c r="D48" s="55"/>
      <x:c r="E48" s="23"/>
      <x:c r="F48" s="23"/>
      <x:c r="G48" s="25"/>
      <x:c r="H48" s="25"/>
      <x:c r="I48" s="25"/>
      <x:c r="J48" s="25"/>
      <x:c r="K48" s="24"/>
      <x:c r="L48" s="24"/>
      <x:c r="M48" s="24"/>
      <x:c r="N48" s="94"/>
      <x:c r="O48" s="94"/>
      <x:c r="P48" s="94"/>
      <x:c r="Q48" s="94"/>
      <x:c r="R48" s="94"/>
      <x:c r="S48" s="26">
        <x:f t="shared" si="4"/>
        <x:v>0</x:v>
      </x:c>
      <x:c r="T48" s="23"/>
      <x:c r="U48" s="23"/>
    </x:row>
    <x:row r="49" ht="18.75" customHeight="1">
      <x:c r="A49" s="19"/>
      <x:c r="B49" s="29"/>
      <x:c r="C49" s="21"/>
      <x:c r="D49" s="55"/>
      <x:c r="E49" s="56"/>
      <x:c r="F49" s="23"/>
      <x:c r="G49" s="24"/>
      <x:c r="H49" s="24"/>
      <x:c r="I49" s="24"/>
      <x:c r="J49" s="24"/>
      <x:c r="K49" s="24"/>
      <x:c r="L49" s="24"/>
      <x:c r="M49" s="24"/>
      <x:c r="N49" s="94"/>
      <x:c r="O49" s="94"/>
      <x:c r="P49" s="94"/>
      <x:c r="Q49" s="94"/>
      <x:c r="R49" s="94"/>
      <x:c r="S49" s="26">
        <x:f t="shared" si="4"/>
        <x:v>0</x:v>
      </x:c>
      <x:c r="T49" s="23"/>
      <x:c r="U49" s="23"/>
    </x:row>
    <x:row r="50" ht="18.75" customHeight="1">
      <x:c r="A50" s="19"/>
      <x:c r="B50" s="29"/>
      <x:c r="C50" s="21"/>
      <x:c r="D50" s="35"/>
      <x:c r="E50" s="56"/>
      <x:c r="F50" s="23"/>
      <x:c r="G50" s="24"/>
      <x:c r="H50" s="24"/>
      <x:c r="I50" s="24"/>
      <x:c r="J50" s="24"/>
      <x:c r="K50" s="24"/>
      <x:c r="L50" s="24"/>
      <x:c r="M50" s="24"/>
      <x:c r="N50" s="94"/>
      <x:c r="O50" s="94"/>
      <x:c r="P50" s="94"/>
      <x:c r="Q50" s="94"/>
      <x:c r="R50" s="94"/>
      <x:c r="S50" s="26">
        <x:f t="shared" si="4"/>
        <x:v>0</x:v>
      </x:c>
      <x:c r="T50" s="23"/>
      <x:c r="U50" s="23"/>
    </x:row>
    <x:row r="51" ht="18.75" customHeight="1">
      <x:c r="A51" s="19"/>
      <x:c r="B51" s="29"/>
      <x:c r="C51" s="21"/>
      <x:c r="D51" s="55"/>
      <x:c r="E51" s="56"/>
      <x:c r="F51" s="23"/>
      <x:c r="G51" s="24"/>
      <x:c r="H51" s="24"/>
      <x:c r="I51" s="24"/>
      <x:c r="J51" s="24"/>
      <x:c r="K51" s="24"/>
      <x:c r="L51" s="24"/>
      <x:c r="M51" s="24"/>
      <x:c r="N51" s="94"/>
      <x:c r="O51" s="94"/>
      <x:c r="P51" s="94"/>
      <x:c r="Q51" s="94"/>
      <x:c r="R51" s="94"/>
      <x:c r="S51" s="26">
        <x:f t="shared" si="4"/>
        <x:v>0</x:v>
      </x:c>
      <x:c r="T51" s="23"/>
      <x:c r="U51" s="23"/>
      <x:c r="V51" s="39"/>
    </x:row>
    <x:row r="52" ht="18.75" customHeight="1">
      <x:c r="A52" s="19"/>
      <x:c r="B52" s="29"/>
      <x:c r="C52" s="21"/>
      <x:c r="D52" s="35"/>
      <x:c r="E52" s="56"/>
      <x:c r="F52" s="23"/>
      <x:c r="G52" s="24"/>
      <x:c r="H52" s="24"/>
      <x:c r="I52" s="24"/>
      <x:c r="J52" s="24"/>
      <x:c r="K52" s="24"/>
      <x:c r="L52" s="24"/>
      <x:c r="M52" s="24"/>
      <x:c r="N52" s="23"/>
      <x:c r="O52" s="23"/>
      <x:c r="P52" s="23"/>
      <x:c r="Q52" s="23"/>
      <x:c r="R52" s="94"/>
      <x:c r="S52" s="26">
        <x:f t="shared" si="4"/>
        <x:v>0</x:v>
      </x:c>
      <x:c r="T52" s="23"/>
      <x:c r="U52" s="23"/>
    </x:row>
    <x:row r="53" ht="18.75" customHeight="1">
      <x:c r="A53" s="19"/>
      <x:c r="B53" s="29"/>
      <x:c r="C53" s="21"/>
      <x:c r="D53" s="35"/>
      <x:c r="E53" s="56"/>
      <x:c r="F53" s="23"/>
      <x:c r="G53" s="25"/>
      <x:c r="H53" s="25"/>
      <x:c r="I53" s="25"/>
      <x:c r="J53" s="25"/>
      <x:c r="K53" s="24"/>
      <x:c r="L53" s="24"/>
      <x:c r="M53" s="24"/>
      <x:c r="N53" s="94"/>
      <x:c r="O53" s="94"/>
      <x:c r="P53" s="94"/>
      <x:c r="Q53" s="94"/>
      <x:c r="R53" s="94"/>
      <x:c r="S53" s="26">
        <x:f t="shared" si="4"/>
        <x:v>0</x:v>
      </x:c>
      <x:c r="T53" s="23"/>
      <x:c r="U53" s="23"/>
    </x:row>
    <x:row r="54" ht="18.75" customHeight="1">
      <x:c r="A54" s="19"/>
      <x:c r="B54" s="29"/>
      <x:c r="C54" s="21"/>
      <x:c r="D54" s="55"/>
      <x:c r="E54" s="23"/>
      <x:c r="F54" s="23"/>
      <x:c r="G54" s="25"/>
      <x:c r="H54" s="25"/>
      <x:c r="I54" s="25"/>
      <x:c r="J54" s="25"/>
      <x:c r="K54" s="24"/>
      <x:c r="L54" s="24"/>
      <x:c r="M54" s="24"/>
      <x:c r="N54" s="94"/>
      <x:c r="O54" s="94"/>
      <x:c r="P54" s="94"/>
      <x:c r="Q54" s="94"/>
      <x:c r="R54" s="94"/>
      <x:c r="S54" s="26">
        <x:f t="shared" si="4"/>
        <x:v>0</x:v>
      </x:c>
      <x:c r="T54" s="23"/>
      <x:c r="U54" s="23"/>
    </x:row>
    <x:row r="55" ht="18.75" customHeight="1">
      <x:c r="A55" s="19"/>
      <x:c r="B55" s="29"/>
      <x:c r="C55" s="21"/>
      <x:c r="D55" s="35"/>
      <x:c r="E55" s="23"/>
      <x:c r="F55" s="23"/>
      <x:c r="G55" s="25"/>
      <x:c r="H55" s="25"/>
      <x:c r="I55" s="25"/>
      <x:c r="J55" s="25"/>
      <x:c r="K55" s="24"/>
      <x:c r="L55" s="24"/>
      <x:c r="M55" s="24"/>
      <x:c r="N55" s="94"/>
      <x:c r="O55" s="94"/>
      <x:c r="P55" s="94"/>
      <x:c r="Q55" s="94"/>
      <x:c r="R55" s="94"/>
      <x:c r="S55" s="26">
        <x:f t="shared" si="4"/>
        <x:v>0</x:v>
      </x:c>
      <x:c r="T55" s="23"/>
      <x:c r="U55" s="23"/>
    </x:row>
    <x:row r="56" ht="18.75" customHeight="1">
      <x:c r="A56" s="19"/>
      <x:c r="B56" s="29"/>
      <x:c r="C56" s="21"/>
      <x:c r="D56" s="35"/>
      <x:c r="E56" s="56"/>
      <x:c r="F56" s="23"/>
      <x:c r="G56" s="25"/>
      <x:c r="H56" s="25"/>
      <x:c r="I56" s="25"/>
      <x:c r="J56" s="25"/>
      <x:c r="K56" s="24"/>
      <x:c r="L56" s="25"/>
      <x:c r="M56" s="25"/>
      <x:c r="N56" s="94"/>
      <x:c r="O56" s="94"/>
      <x:c r="P56" s="94"/>
      <x:c r="Q56" s="94"/>
      <x:c r="R56" s="94"/>
      <x:c r="S56" s="26">
        <x:f t="shared" si="4"/>
        <x:v>0</x:v>
      </x:c>
      <x:c r="T56" s="23"/>
      <x:c r="U56" s="23"/>
    </x:row>
    <x:row r="57" ht="18.75" customHeight="1">
      <x:c r="A57" s="19"/>
      <x:c r="B57" s="29"/>
      <x:c r="C57" s="21"/>
      <x:c r="D57" s="35"/>
      <x:c r="E57" s="23"/>
      <x:c r="F57" s="23"/>
      <x:c r="G57" s="25"/>
      <x:c r="H57" s="25"/>
      <x:c r="I57" s="25"/>
      <x:c r="J57" s="25"/>
      <x:c r="K57" s="24"/>
      <x:c r="L57" s="24"/>
      <x:c r="M57" s="24"/>
      <x:c r="N57" s="94"/>
      <x:c r="O57" s="94"/>
      <x:c r="P57" s="94"/>
      <x:c r="Q57" s="94"/>
      <x:c r="R57" s="94"/>
      <x:c r="S57" s="26">
        <x:f t="shared" si="4"/>
        <x:v>0</x:v>
      </x:c>
      <x:c r="T57" s="23"/>
      <x:c r="U57" s="23"/>
    </x:row>
    <x:row r="58" ht="18.75" customHeight="1">
      <x:c r="A58" s="19"/>
      <x:c r="B58" s="29"/>
      <x:c r="C58" s="21"/>
      <x:c r="D58" s="35"/>
      <x:c r="E58" s="23"/>
      <x:c r="F58" s="23"/>
      <x:c r="G58" s="25"/>
      <x:c r="H58" s="24"/>
      <x:c r="I58" s="24"/>
      <x:c r="J58" s="24"/>
      <x:c r="K58" s="24"/>
      <x:c r="L58" s="25"/>
      <x:c r="M58" s="25"/>
      <x:c r="N58" s="94"/>
      <x:c r="O58" s="94"/>
      <x:c r="P58" s="94"/>
      <x:c r="Q58" s="94"/>
      <x:c r="R58" s="94"/>
      <x:c r="S58" s="26">
        <x:f t="shared" si="4"/>
        <x:v>0</x:v>
      </x:c>
      <x:c r="T58" s="23"/>
      <x:c r="U58" s="23"/>
    </x:row>
    <x:row r="59" ht="18.75" customHeight="1">
      <x:c r="A59" s="19"/>
      <x:c r="B59" s="29"/>
      <x:c r="C59" s="21"/>
      <x:c r="D59" s="35"/>
      <x:c r="E59" s="23"/>
      <x:c r="F59" s="23"/>
      <x:c r="G59" s="24"/>
      <x:c r="H59" s="24"/>
      <x:c r="I59" s="24"/>
      <x:c r="J59" s="24"/>
      <x:c r="K59" s="24"/>
      <x:c r="L59" s="24"/>
      <x:c r="M59" s="24"/>
      <x:c r="N59" s="94"/>
      <x:c r="O59" s="94"/>
      <x:c r="P59" s="94"/>
      <x:c r="Q59" s="94"/>
      <x:c r="R59" s="94"/>
      <x:c r="S59" s="26">
        <x:f t="shared" si="4"/>
        <x:v>0</x:v>
      </x:c>
      <x:c r="T59" s="23"/>
      <x:c r="U59" s="23"/>
    </x:row>
    <x:row r="60" ht="18.75" customHeight="1">
      <x:c r="A60" s="19"/>
      <x:c r="B60" s="29"/>
      <x:c r="C60" s="21"/>
      <x:c r="D60" s="35"/>
      <x:c r="E60" s="23"/>
      <x:c r="F60" s="23"/>
      <x:c r="G60" s="24"/>
      <x:c r="H60" s="24"/>
      <x:c r="I60" s="24"/>
      <x:c r="J60" s="24"/>
      <x:c r="K60" s="24"/>
      <x:c r="L60" s="24"/>
      <x:c r="M60" s="24"/>
      <x:c r="N60" s="94"/>
      <x:c r="O60" s="94"/>
      <x:c r="P60" s="94"/>
      <x:c r="Q60" s="94"/>
      <x:c r="R60" s="94"/>
      <x:c r="S60" s="26">
        <x:f t="shared" si="4"/>
        <x:v>0</x:v>
      </x:c>
      <x:c r="T60" s="23"/>
      <x:c r="U60" s="23"/>
    </x:row>
    <x:row r="61" ht="18.75" customHeight="1">
      <x:c r="A61" s="19"/>
      <x:c r="B61" s="29"/>
      <x:c r="C61" s="21"/>
      <x:c r="D61" s="55"/>
      <x:c r="E61" s="23"/>
      <x:c r="F61" s="23"/>
      <x:c r="G61" s="24"/>
      <x:c r="H61" s="24"/>
      <x:c r="I61" s="24"/>
      <x:c r="J61" s="24"/>
      <x:c r="K61" s="24"/>
      <x:c r="L61" s="24"/>
      <x:c r="M61" s="24"/>
      <x:c r="N61" s="94"/>
      <x:c r="O61" s="94"/>
      <x:c r="P61" s="94"/>
      <x:c r="Q61" s="94"/>
      <x:c r="R61" s="94"/>
      <x:c r="S61" s="26">
        <x:f t="shared" si="4"/>
        <x:v>0</x:v>
      </x:c>
      <x:c r="T61" s="23"/>
      <x:c r="U61" s="23"/>
    </x:row>
    <x:row r="62" ht="18.75" customHeight="1">
      <x:c r="A62" s="19"/>
      <x:c r="B62" s="29"/>
      <x:c r="C62" s="21"/>
      <x:c r="D62" s="55"/>
      <x:c r="E62" s="23"/>
      <x:c r="F62" s="23"/>
      <x:c r="G62" s="24"/>
      <x:c r="H62" s="24"/>
      <x:c r="I62" s="24"/>
      <x:c r="J62" s="24"/>
      <x:c r="K62" s="25"/>
      <x:c r="L62" s="24"/>
      <x:c r="M62" s="24"/>
      <x:c r="N62" s="94"/>
      <x:c r="O62" s="94"/>
      <x:c r="P62" s="94"/>
      <x:c r="Q62" s="94"/>
      <x:c r="R62" s="94"/>
      <x:c r="S62" s="26">
        <x:f t="shared" si="4"/>
        <x:v>0</x:v>
      </x:c>
      <x:c r="T62" s="23"/>
      <x:c r="U62" s="23"/>
    </x:row>
    <x:row r="63" ht="18.75" customHeight="1">
      <x:c r="A63" s="19"/>
      <x:c r="B63" s="29"/>
      <x:c r="C63" s="21"/>
      <x:c r="D63" s="55"/>
      <x:c r="E63" s="23"/>
      <x:c r="F63" s="23"/>
      <x:c r="G63" s="25"/>
      <x:c r="H63" s="25"/>
      <x:c r="I63" s="25"/>
      <x:c r="J63" s="25"/>
      <x:c r="K63" s="24"/>
      <x:c r="L63" s="24"/>
      <x:c r="M63" s="24"/>
      <x:c r="N63" s="94"/>
      <x:c r="O63" s="94"/>
      <x:c r="P63" s="94"/>
      <x:c r="Q63" s="94"/>
      <x:c r="R63" s="94"/>
      <x:c r="S63" s="26">
        <x:f t="shared" si="4"/>
        <x:v>0</x:v>
      </x:c>
      <x:c r="T63" s="23"/>
      <x:c r="U63" s="23"/>
    </x:row>
    <x:row r="64" ht="18.75" customHeight="1">
      <x:c r="A64" s="19"/>
      <x:c r="B64" s="29"/>
      <x:c r="C64" s="21"/>
      <x:c r="D64" s="55"/>
      <x:c r="E64" s="23"/>
      <x:c r="F64" s="23"/>
      <x:c r="G64" s="24"/>
      <x:c r="H64" s="24"/>
      <x:c r="I64" s="24"/>
      <x:c r="J64" s="24"/>
      <x:c r="K64" s="24"/>
      <x:c r="L64" s="24"/>
      <x:c r="M64" s="24"/>
      <x:c r="N64" s="94"/>
      <x:c r="O64" s="94"/>
      <x:c r="P64" s="94"/>
      <x:c r="Q64" s="94"/>
      <x:c r="R64" s="94"/>
      <x:c r="S64" s="26">
        <x:f t="shared" si="4"/>
        <x:v>0</x:v>
      </x:c>
      <x:c r="T64" s="23"/>
      <x:c r="U64" s="23"/>
    </x:row>
    <x:row r="65" ht="18.75" customHeight="1">
      <x:c r="A65" s="19"/>
      <x:c r="B65" s="29"/>
      <x:c r="C65" s="21"/>
      <x:c r="D65" s="55"/>
      <x:c r="E65" s="23"/>
      <x:c r="F65" s="23"/>
      <x:c r="G65" s="25"/>
      <x:c r="H65" s="25"/>
      <x:c r="I65" s="25"/>
      <x:c r="J65" s="25"/>
      <x:c r="K65" s="24"/>
      <x:c r="L65" s="25"/>
      <x:c r="M65" s="25"/>
      <x:c r="N65" s="94"/>
      <x:c r="O65" s="94"/>
      <x:c r="P65" s="94"/>
      <x:c r="Q65" s="94"/>
      <x:c r="R65" s="94"/>
      <x:c r="S65" s="26">
        <x:f t="shared" si="4"/>
        <x:v>0</x:v>
      </x:c>
      <x:c r="T65" s="23"/>
      <x:c r="U65" s="23"/>
    </x:row>
    <x:row r="66" ht="18.75" customHeight="1">
      <x:c r="A66" s="19"/>
      <x:c r="B66" s="29"/>
      <x:c r="C66" s="21"/>
      <x:c r="D66" s="55"/>
      <x:c r="E66" s="23"/>
      <x:c r="F66" s="23"/>
      <x:c r="G66" s="24"/>
      <x:c r="H66" s="24"/>
      <x:c r="I66" s="24"/>
      <x:c r="J66" s="24"/>
      <x:c r="K66" s="24"/>
      <x:c r="L66" s="24"/>
      <x:c r="M66" s="24"/>
      <x:c r="N66" s="94"/>
      <x:c r="O66" s="94"/>
      <x:c r="P66" s="94"/>
      <x:c r="Q66" s="94"/>
      <x:c r="R66" s="94"/>
      <x:c r="S66" s="26">
        <x:f t="shared" si="4"/>
        <x:v>0</x:v>
      </x:c>
      <x:c r="T66" s="23"/>
      <x:c r="U66" s="23"/>
    </x:row>
    <x:row r="67" ht="18.75" customHeight="1">
      <x:c r="A67" s="19"/>
      <x:c r="B67" s="29"/>
      <x:c r="C67" s="21"/>
      <x:c r="D67" s="35"/>
      <x:c r="E67" s="23"/>
      <x:c r="F67" s="23"/>
      <x:c r="G67" s="25"/>
      <x:c r="H67" s="25"/>
      <x:c r="I67" s="25"/>
      <x:c r="J67" s="25"/>
      <x:c r="K67" s="24"/>
      <x:c r="L67" s="24"/>
      <x:c r="M67" s="24"/>
      <x:c r="N67" s="94"/>
      <x:c r="O67" s="94"/>
      <x:c r="P67" s="94"/>
      <x:c r="Q67" s="94"/>
      <x:c r="R67" s="94"/>
      <x:c r="S67" s="26">
        <x:f t="shared" si="4"/>
        <x:v>0</x:v>
      </x:c>
      <x:c r="T67" s="23"/>
      <x:c r="U67" s="23"/>
    </x:row>
    <x:row r="68" ht="18.75" customHeight="1">
      <x:c r="A68" s="19"/>
      <x:c r="B68" s="29"/>
      <x:c r="C68" s="21"/>
      <x:c r="D68" s="55"/>
      <x:c r="E68" s="23"/>
      <x:c r="F68" s="23"/>
      <x:c r="G68" s="25"/>
      <x:c r="H68" s="25"/>
      <x:c r="I68" s="25"/>
      <x:c r="J68" s="25"/>
      <x:c r="K68" s="25"/>
      <x:c r="L68" s="24"/>
      <x:c r="M68" s="24"/>
      <x:c r="N68" s="94"/>
      <x:c r="O68" s="94"/>
      <x:c r="P68" s="94"/>
      <x:c r="Q68" s="94"/>
      <x:c r="R68" s="94"/>
      <x:c r="S68" s="26">
        <x:f t="shared" si="4"/>
        <x:v>0</x:v>
      </x:c>
      <x:c r="T68" s="23"/>
      <x:c r="U68" s="23"/>
    </x:row>
    <x:row r="69" ht="18.75" customHeight="1">
      <x:c r="A69" s="19"/>
      <x:c r="B69" s="29"/>
      <x:c r="C69" s="21"/>
      <x:c r="D69" s="55"/>
      <x:c r="E69" s="23"/>
      <x:c r="F69" s="23"/>
      <x:c r="G69" s="25"/>
      <x:c r="H69" s="25"/>
      <x:c r="I69" s="25"/>
      <x:c r="J69" s="25"/>
      <x:c r="K69" s="24"/>
      <x:c r="L69" s="25"/>
      <x:c r="M69" s="25"/>
      <x:c r="N69" s="94"/>
      <x:c r="O69" s="94"/>
      <x:c r="P69" s="94"/>
      <x:c r="Q69" s="94"/>
      <x:c r="R69" s="94"/>
      <x:c r="S69" s="26">
        <x:f t="shared" si="4"/>
        <x:v>0</x:v>
      </x:c>
      <x:c r="T69" s="23"/>
      <x:c r="U69" s="23"/>
    </x:row>
    <x:row r="70" ht="18.75" customHeight="1">
      <x:c r="A70" s="19"/>
      <x:c r="B70" s="20"/>
      <x:c r="C70" s="21"/>
      <x:c r="D70" s="55"/>
      <x:c r="E70" s="23"/>
      <x:c r="F70" s="23"/>
      <x:c r="G70" s="25"/>
      <x:c r="H70" s="25"/>
      <x:c r="I70" s="25"/>
      <x:c r="J70" s="25"/>
      <x:c r="K70" s="24"/>
      <x:c r="L70" s="24"/>
      <x:c r="M70" s="24"/>
      <x:c r="N70" s="94"/>
      <x:c r="O70" s="94"/>
      <x:c r="P70" s="94"/>
      <x:c r="Q70" s="94"/>
      <x:c r="R70" s="94"/>
      <x:c r="S70" s="26">
        <x:f t="shared" si="4"/>
        <x:v>0</x:v>
      </x:c>
      <x:c r="T70" s="23"/>
      <x:c r="U70" s="23"/>
    </x:row>
    <x:row r="71" ht="18.75" customHeight="1">
      <x:c r="A71" s="19"/>
      <x:c r="B71" s="20"/>
      <x:c r="C71" s="21"/>
      <x:c r="D71" s="55"/>
      <x:c r="E71" s="23"/>
      <x:c r="F71" s="23"/>
      <x:c r="G71" s="24"/>
      <x:c r="H71" s="24"/>
      <x:c r="I71" s="24"/>
      <x:c r="J71" s="24"/>
      <x:c r="K71" s="24"/>
      <x:c r="L71" s="24"/>
      <x:c r="M71" s="24"/>
      <x:c r="N71" s="94"/>
      <x:c r="O71" s="94"/>
      <x:c r="P71" s="94"/>
      <x:c r="Q71" s="94"/>
      <x:c r="R71" s="94"/>
      <x:c r="S71" s="26">
        <x:f t="shared" si="4"/>
        <x:v>0</x:v>
      </x:c>
      <x:c r="T71" s="23"/>
      <x:c r="U71" s="23"/>
    </x:row>
    <x:row r="72" ht="18.75" customHeight="1">
      <x:c r="A72" s="19"/>
      <x:c r="B72" s="20"/>
      <x:c r="C72" s="21"/>
      <x:c r="D72" s="55"/>
      <x:c r="E72" s="23"/>
      <x:c r="F72" s="23"/>
      <x:c r="G72" s="25"/>
      <x:c r="H72" s="25"/>
      <x:c r="I72" s="25"/>
      <x:c r="J72" s="25"/>
      <x:c r="K72" s="24"/>
      <x:c r="L72" s="25"/>
      <x:c r="M72" s="25"/>
      <x:c r="N72" s="94"/>
      <x:c r="O72" s="94"/>
      <x:c r="P72" s="94"/>
      <x:c r="Q72" s="94"/>
      <x:c r="R72" s="94"/>
      <x:c r="S72" s="26" t="n">
        <x:f t="shared" ref="S72:S154" si="6">(E72*260+F72*260+G72*470+H72*400+I72*350+J72*655+K72*240+L72*190+M72*240+N72*390+O72*265+P72*265+Q72*395)*1000</x:f>
        <x:v>0</x:v>
      </x:c>
      <x:c r="T72" s="23"/>
      <x:c r="U72" s="23"/>
    </x:row>
    <x:row r="73" ht="18.75" customHeight="1">
      <x:c r="A73" s="19"/>
      <x:c r="B73" s="20"/>
      <x:c r="C73" s="21"/>
      <x:c r="D73" s="55"/>
      <x:c r="E73" s="23"/>
      <x:c r="F73" s="23"/>
      <x:c r="G73" s="24"/>
      <x:c r="H73" s="25"/>
      <x:c r="I73" s="25"/>
      <x:c r="J73" s="25"/>
      <x:c r="K73" s="24"/>
      <x:c r="L73" s="25"/>
      <x:c r="M73" s="25"/>
      <x:c r="N73" s="94"/>
      <x:c r="O73" s="94"/>
      <x:c r="P73" s="94"/>
      <x:c r="Q73" s="94"/>
      <x:c r="R73" s="94"/>
      <x:c r="S73" s="26">
        <x:f t="shared" si="6"/>
        <x:v>0</x:v>
      </x:c>
      <x:c r="T73" s="23"/>
      <x:c r="U73" s="23"/>
    </x:row>
    <x:row r="74" ht="18.75" customHeight="1">
      <x:c r="A74" s="19"/>
      <x:c r="B74" s="20"/>
      <x:c r="C74" s="21"/>
      <x:c r="D74" s="55"/>
      <x:c r="E74" s="23"/>
      <x:c r="F74" s="23"/>
      <x:c r="G74" s="25"/>
      <x:c r="H74" s="25"/>
      <x:c r="I74" s="25"/>
      <x:c r="J74" s="25"/>
      <x:c r="K74" s="24"/>
      <x:c r="L74" s="25"/>
      <x:c r="M74" s="25"/>
      <x:c r="N74" s="94"/>
      <x:c r="O74" s="94"/>
      <x:c r="P74" s="94"/>
      <x:c r="Q74" s="94"/>
      <x:c r="R74" s="94"/>
      <x:c r="S74" s="26">
        <x:f t="shared" si="6"/>
        <x:v>0</x:v>
      </x:c>
      <x:c r="T74" s="23"/>
      <x:c r="U74" s="23"/>
    </x:row>
    <x:row r="75" ht="18.75" customHeight="1">
      <x:c r="A75" s="19"/>
      <x:c r="B75" s="20"/>
      <x:c r="C75" s="21"/>
      <x:c r="D75" s="55"/>
      <x:c r="E75" s="23"/>
      <x:c r="F75" s="23"/>
      <x:c r="G75" s="25"/>
      <x:c r="H75" s="25"/>
      <x:c r="I75" s="25"/>
      <x:c r="J75" s="25"/>
      <x:c r="K75" s="24"/>
      <x:c r="L75" s="25"/>
      <x:c r="M75" s="25"/>
      <x:c r="N75" s="94"/>
      <x:c r="O75" s="94"/>
      <x:c r="P75" s="94"/>
      <x:c r="Q75" s="94"/>
      <x:c r="R75" s="94"/>
      <x:c r="S75" s="26">
        <x:f t="shared" si="6"/>
        <x:v>0</x:v>
      </x:c>
      <x:c r="T75" s="23"/>
      <x:c r="U75" s="23"/>
    </x:row>
    <x:row r="76" ht="18.75" customHeight="1">
      <x:c r="A76" s="19"/>
      <x:c r="B76" s="20"/>
      <x:c r="C76" s="21"/>
      <x:c r="D76" s="35"/>
      <x:c r="E76" s="23"/>
      <x:c r="F76" s="23"/>
      <x:c r="G76" s="25"/>
      <x:c r="H76" s="25"/>
      <x:c r="I76" s="25"/>
      <x:c r="J76" s="25"/>
      <x:c r="K76" s="25"/>
      <x:c r="L76" s="24"/>
      <x:c r="M76" s="24"/>
      <x:c r="N76" s="94"/>
      <x:c r="O76" s="94"/>
      <x:c r="P76" s="94"/>
      <x:c r="Q76" s="94"/>
      <x:c r="R76" s="94"/>
      <x:c r="S76" s="26">
        <x:f t="shared" si="6"/>
        <x:v>0</x:v>
      </x:c>
      <x:c r="T76" s="23"/>
      <x:c r="U76" s="23"/>
    </x:row>
    <x:row r="77" ht="18.75" customHeight="1">
      <x:c r="A77" s="19"/>
      <x:c r="B77" s="20"/>
      <x:c r="C77" s="21"/>
      <x:c r="D77" s="55"/>
      <x:c r="E77" s="23"/>
      <x:c r="F77" s="23"/>
      <x:c r="G77" s="25"/>
      <x:c r="H77" s="25"/>
      <x:c r="I77" s="25"/>
      <x:c r="J77" s="25"/>
      <x:c r="K77" s="25"/>
      <x:c r="L77" s="24"/>
      <x:c r="M77" s="24"/>
      <x:c r="N77" s="94"/>
      <x:c r="O77" s="94"/>
      <x:c r="P77" s="94"/>
      <x:c r="Q77" s="94"/>
      <x:c r="R77" s="94"/>
      <x:c r="S77" s="26">
        <x:f t="shared" si="6"/>
        <x:v>0</x:v>
      </x:c>
      <x:c r="T77" s="23"/>
      <x:c r="U77" s="23"/>
    </x:row>
    <x:row r="78" ht="18.75" customHeight="1">
      <x:c r="A78" s="19"/>
      <x:c r="B78" s="71"/>
      <x:c r="C78" s="21"/>
      <x:c r="D78" s="55"/>
      <x:c r="E78" s="23"/>
      <x:c r="F78" s="23"/>
      <x:c r="G78" s="25"/>
      <x:c r="H78" s="25"/>
      <x:c r="I78" s="25"/>
      <x:c r="J78" s="25"/>
      <x:c r="K78" s="24"/>
      <x:c r="L78" s="25"/>
      <x:c r="M78" s="25"/>
      <x:c r="N78" s="94"/>
      <x:c r="O78" s="94"/>
      <x:c r="P78" s="94"/>
      <x:c r="Q78" s="94"/>
      <x:c r="R78" s="94"/>
      <x:c r="S78" s="26">
        <x:f t="shared" si="6"/>
        <x:v>0</x:v>
      </x:c>
      <x:c r="T78" s="23"/>
      <x:c r="U78" s="23"/>
    </x:row>
    <x:row r="79" ht="18.75" customHeight="1">
      <x:c r="A79" s="19"/>
      <x:c r="B79" s="20"/>
      <x:c r="C79" s="21"/>
      <x:c r="D79" s="35"/>
      <x:c r="E79" s="23"/>
      <x:c r="F79" s="23"/>
      <x:c r="G79" s="25"/>
      <x:c r="H79" s="25"/>
      <x:c r="I79" s="25"/>
      <x:c r="J79" s="25"/>
      <x:c r="K79" s="24"/>
      <x:c r="L79" s="24"/>
      <x:c r="M79" s="24"/>
      <x:c r="N79" s="94"/>
      <x:c r="O79" s="94"/>
      <x:c r="P79" s="94"/>
      <x:c r="Q79" s="94"/>
      <x:c r="R79" s="94"/>
      <x:c r="S79" s="26">
        <x:f t="shared" si="6"/>
        <x:v>0</x:v>
      </x:c>
      <x:c r="T79" s="23"/>
      <x:c r="U79" s="23"/>
    </x:row>
    <x:row r="80" ht="18.75" customHeight="1">
      <x:c r="A80" s="19"/>
      <x:c r="B80" s="20"/>
      <x:c r="C80" s="21"/>
      <x:c r="D80" s="55"/>
      <x:c r="E80" s="23"/>
      <x:c r="F80" s="23"/>
      <x:c r="G80" s="24"/>
      <x:c r="H80" s="25"/>
      <x:c r="I80" s="25"/>
      <x:c r="J80" s="25"/>
      <x:c r="K80" s="24"/>
      <x:c r="L80" s="24"/>
      <x:c r="M80" s="24"/>
      <x:c r="N80" s="94"/>
      <x:c r="O80" s="94"/>
      <x:c r="P80" s="94"/>
      <x:c r="Q80" s="94"/>
      <x:c r="R80" s="94"/>
      <x:c r="S80" s="26">
        <x:f t="shared" si="6"/>
        <x:v>0</x:v>
      </x:c>
      <x:c r="T80" s="23"/>
      <x:c r="U80" s="23"/>
    </x:row>
    <x:row r="81" ht="18.75" customHeight="1">
      <x:c r="A81" s="19"/>
      <x:c r="B81" s="20"/>
      <x:c r="C81" s="21"/>
      <x:c r="D81" s="35"/>
      <x:c r="E81" s="23"/>
      <x:c r="F81" s="23"/>
      <x:c r="G81" s="25"/>
      <x:c r="H81" s="25"/>
      <x:c r="I81" s="25"/>
      <x:c r="J81" s="25"/>
      <x:c r="K81" s="25"/>
      <x:c r="L81" s="24"/>
      <x:c r="M81" s="24"/>
      <x:c r="N81" s="94"/>
      <x:c r="O81" s="94"/>
      <x:c r="P81" s="94"/>
      <x:c r="Q81" s="94"/>
      <x:c r="R81" s="94"/>
      <x:c r="S81" s="26">
        <x:f t="shared" si="6"/>
        <x:v>0</x:v>
      </x:c>
      <x:c r="T81" s="23"/>
      <x:c r="U81" s="23"/>
    </x:row>
    <x:row r="82" ht="18.75" customHeight="1">
      <x:c r="A82" s="19"/>
      <x:c r="B82" s="20"/>
      <x:c r="C82" s="21"/>
      <x:c r="D82" s="55"/>
      <x:c r="E82" s="23"/>
      <x:c r="F82" s="23"/>
      <x:c r="G82" s="25"/>
      <x:c r="H82" s="25"/>
      <x:c r="I82" s="25"/>
      <x:c r="J82" s="25"/>
      <x:c r="K82" s="24"/>
      <x:c r="L82" s="25"/>
      <x:c r="M82" s="25"/>
      <x:c r="N82" s="94"/>
      <x:c r="O82" s="94"/>
      <x:c r="P82" s="94"/>
      <x:c r="Q82" s="94"/>
      <x:c r="R82" s="94"/>
      <x:c r="S82" s="26">
        <x:f t="shared" si="6"/>
        <x:v>0</x:v>
      </x:c>
      <x:c r="T82" s="23"/>
      <x:c r="U82" s="23"/>
    </x:row>
    <x:row r="83" ht="18.75" customHeight="1">
      <x:c r="A83" s="19"/>
      <x:c r="B83" s="20"/>
      <x:c r="C83" s="21"/>
      <x:c r="D83" s="55"/>
      <x:c r="E83" s="23"/>
      <x:c r="F83" s="23"/>
      <x:c r="G83" s="25"/>
      <x:c r="H83" s="25"/>
      <x:c r="I83" s="25"/>
      <x:c r="J83" s="25"/>
      <x:c r="K83" s="24"/>
      <x:c r="L83" s="25"/>
      <x:c r="M83" s="25"/>
      <x:c r="N83" s="94"/>
      <x:c r="O83" s="94"/>
      <x:c r="P83" s="94"/>
      <x:c r="Q83" s="94"/>
      <x:c r="R83" s="94"/>
      <x:c r="S83" s="26">
        <x:f t="shared" si="6"/>
        <x:v>0</x:v>
      </x:c>
      <x:c r="T83" s="23"/>
      <x:c r="U83" s="23"/>
    </x:row>
    <x:row r="84" ht="18.75" customHeight="1">
      <x:c r="A84" s="19"/>
      <x:c r="B84" s="20"/>
      <x:c r="C84" s="21"/>
      <x:c r="D84" s="35"/>
      <x:c r="E84" s="23"/>
      <x:c r="F84" s="23"/>
      <x:c r="G84" s="25"/>
      <x:c r="H84" s="25"/>
      <x:c r="I84" s="25"/>
      <x:c r="J84" s="25"/>
      <x:c r="K84" s="25"/>
      <x:c r="L84" s="25"/>
      <x:c r="M84" s="25"/>
      <x:c r="N84" s="94"/>
      <x:c r="O84" s="94"/>
      <x:c r="P84" s="94"/>
      <x:c r="Q84" s="94"/>
      <x:c r="R84" s="94"/>
      <x:c r="S84" s="26">
        <x:f t="shared" si="6"/>
        <x:v>0</x:v>
      </x:c>
      <x:c r="T84" s="23"/>
      <x:c r="U84" s="23"/>
    </x:row>
    <x:row r="85" ht="18.75" customHeight="1">
      <x:c r="A85" s="19"/>
      <x:c r="B85" s="29"/>
      <x:c r="C85" s="21"/>
      <x:c r="D85" s="55"/>
      <x:c r="E85" s="56"/>
      <x:c r="F85" s="23"/>
      <x:c r="G85" s="25"/>
      <x:c r="H85" s="25"/>
      <x:c r="I85" s="25"/>
      <x:c r="J85" s="25"/>
      <x:c r="K85" s="25"/>
      <x:c r="L85" s="25"/>
      <x:c r="M85" s="25"/>
      <x:c r="N85" s="94"/>
      <x:c r="O85" s="94"/>
      <x:c r="P85" s="94"/>
      <x:c r="Q85" s="94"/>
      <x:c r="R85" s="94"/>
      <x:c r="S85" s="26">
        <x:f t="shared" si="6"/>
        <x:v>0</x:v>
      </x:c>
      <x:c r="T85" s="23"/>
      <x:c r="U85" s="23"/>
    </x:row>
    <x:row r="86" ht="18.75" customHeight="1">
      <x:c r="A86" s="19"/>
      <x:c r="B86" s="20"/>
      <x:c r="C86" s="21"/>
      <x:c r="D86" s="55"/>
      <x:c r="E86" s="56"/>
      <x:c r="F86" s="23"/>
      <x:c r="G86" s="25"/>
      <x:c r="H86" s="25"/>
      <x:c r="I86" s="25"/>
      <x:c r="J86" s="25"/>
      <x:c r="K86" s="24"/>
      <x:c r="L86" s="25"/>
      <x:c r="M86" s="25"/>
      <x:c r="N86" s="94"/>
      <x:c r="O86" s="94"/>
      <x:c r="P86" s="94"/>
      <x:c r="Q86" s="94"/>
      <x:c r="R86" s="94"/>
      <x:c r="S86" s="26">
        <x:f t="shared" si="6"/>
        <x:v>0</x:v>
      </x:c>
      <x:c r="T86" s="23"/>
      <x:c r="U86" s="23"/>
    </x:row>
    <x:row r="87" ht="18.75" customHeight="1">
      <x:c r="A87" s="19"/>
      <x:c r="B87" s="29"/>
      <x:c r="C87" s="21"/>
      <x:c r="D87" s="23"/>
      <x:c r="E87" s="56"/>
      <x:c r="F87" s="23"/>
      <x:c r="G87" s="25"/>
      <x:c r="H87" s="25"/>
      <x:c r="I87" s="25"/>
      <x:c r="J87" s="25"/>
      <x:c r="K87" s="24"/>
      <x:c r="L87" s="24"/>
      <x:c r="M87" s="24"/>
      <x:c r="N87" s="94"/>
      <x:c r="O87" s="94"/>
      <x:c r="P87" s="94"/>
      <x:c r="Q87" s="94"/>
      <x:c r="R87" s="94"/>
      <x:c r="S87" s="26">
        <x:f t="shared" si="6"/>
        <x:v>0</x:v>
      </x:c>
      <x:c r="T87" s="23"/>
      <x:c r="U87" s="23"/>
    </x:row>
    <x:row r="88" ht="18.75" customHeight="1">
      <x:c r="A88" s="19"/>
      <x:c r="B88" s="29"/>
      <x:c r="C88" s="21"/>
      <x:c r="D88" s="35"/>
      <x:c r="E88" s="56"/>
      <x:c r="F88" s="23"/>
      <x:c r="G88" s="25"/>
      <x:c r="H88" s="25"/>
      <x:c r="I88" s="25"/>
      <x:c r="J88" s="25"/>
      <x:c r="K88" s="24"/>
      <x:c r="L88" s="25"/>
      <x:c r="M88" s="25"/>
      <x:c r="N88" s="94"/>
      <x:c r="O88" s="94"/>
      <x:c r="P88" s="94"/>
      <x:c r="Q88" s="94"/>
      <x:c r="R88" s="94"/>
      <x:c r="S88" s="26">
        <x:f t="shared" si="6"/>
        <x:v>0</x:v>
      </x:c>
      <x:c r="T88" s="23"/>
      <x:c r="U88" s="23"/>
    </x:row>
    <x:row r="89" ht="18.75" customHeight="1">
      <x:c r="A89" s="19"/>
      <x:c r="B89" s="29"/>
      <x:c r="C89" s="21"/>
      <x:c r="D89" s="55"/>
      <x:c r="E89" s="56"/>
      <x:c r="F89" s="23"/>
      <x:c r="G89" s="25"/>
      <x:c r="H89" s="25"/>
      <x:c r="I89" s="25"/>
      <x:c r="J89" s="25"/>
      <x:c r="K89" s="24"/>
      <x:c r="L89" s="25"/>
      <x:c r="M89" s="25"/>
      <x:c r="N89" s="94"/>
      <x:c r="O89" s="94"/>
      <x:c r="P89" s="94"/>
      <x:c r="Q89" s="94"/>
      <x:c r="R89" s="94"/>
      <x:c r="S89" s="26">
        <x:f t="shared" si="6"/>
        <x:v>0</x:v>
      </x:c>
      <x:c r="T89" s="23"/>
      <x:c r="U89" s="23"/>
    </x:row>
    <x:row r="90" ht="18.75" customHeight="1">
      <x:c r="A90" s="19"/>
      <x:c r="B90" s="29"/>
      <x:c r="C90" s="21"/>
      <x:c r="D90" s="55"/>
      <x:c r="E90" s="23"/>
      <x:c r="F90" s="23"/>
      <x:c r="G90" s="25"/>
      <x:c r="H90" s="25"/>
      <x:c r="I90" s="25"/>
      <x:c r="J90" s="25"/>
      <x:c r="K90" s="24"/>
      <x:c r="L90" s="25"/>
      <x:c r="M90" s="25"/>
      <x:c r="N90" s="94"/>
      <x:c r="O90" s="94"/>
      <x:c r="P90" s="94"/>
      <x:c r="Q90" s="94"/>
      <x:c r="R90" s="94"/>
      <x:c r="S90" s="26">
        <x:f t="shared" si="6"/>
        <x:v>0</x:v>
      </x:c>
      <x:c r="T90" s="23"/>
      <x:c r="U90" s="23"/>
    </x:row>
    <x:row r="91" ht="18.75" customHeight="1">
      <x:c r="A91" s="19"/>
      <x:c r="B91" s="29"/>
      <x:c r="C91" s="21"/>
      <x:c r="D91" s="35"/>
      <x:c r="E91" s="56"/>
      <x:c r="F91" s="23"/>
      <x:c r="G91" s="25"/>
      <x:c r="H91" s="25"/>
      <x:c r="I91" s="25"/>
      <x:c r="J91" s="25"/>
      <x:c r="K91" s="25"/>
      <x:c r="L91" s="25"/>
      <x:c r="M91" s="25"/>
      <x:c r="N91" s="94"/>
      <x:c r="O91" s="94"/>
      <x:c r="P91" s="94"/>
      <x:c r="Q91" s="94"/>
      <x:c r="R91" s="94"/>
      <x:c r="S91" s="26">
        <x:f t="shared" si="6"/>
        <x:v>0</x:v>
      </x:c>
      <x:c r="T91" s="23"/>
      <x:c r="U91" s="23"/>
    </x:row>
    <x:row r="92" ht="18.75" customHeight="1">
      <x:c r="A92" s="19"/>
      <x:c r="B92" s="29"/>
      <x:c r="C92" s="21"/>
      <x:c r="D92" s="35"/>
      <x:c r="E92" s="56"/>
      <x:c r="F92" s="23"/>
      <x:c r="G92" s="25"/>
      <x:c r="H92" s="25"/>
      <x:c r="I92" s="25"/>
      <x:c r="J92" s="25"/>
      <x:c r="K92" s="25"/>
      <x:c r="L92" s="24"/>
      <x:c r="M92" s="24"/>
      <x:c r="N92" s="94"/>
      <x:c r="O92" s="94"/>
      <x:c r="P92" s="94"/>
      <x:c r="Q92" s="94"/>
      <x:c r="R92" s="94"/>
      <x:c r="S92" s="26">
        <x:f t="shared" si="6"/>
        <x:v>0</x:v>
      </x:c>
      <x:c r="T92" s="23"/>
      <x:c r="U92" s="23"/>
    </x:row>
    <x:row r="93" ht="18.75" customHeight="1">
      <x:c r="A93" s="19"/>
      <x:c r="B93" s="29"/>
      <x:c r="C93" s="21"/>
      <x:c r="D93" s="55"/>
      <x:c r="E93" s="56"/>
      <x:c r="F93" s="23"/>
      <x:c r="G93" s="25"/>
      <x:c r="H93" s="25"/>
      <x:c r="I93" s="25"/>
      <x:c r="J93" s="25"/>
      <x:c r="K93" s="24"/>
      <x:c r="L93" s="25"/>
      <x:c r="M93" s="25"/>
      <x:c r="N93" s="94"/>
      <x:c r="O93" s="94"/>
      <x:c r="P93" s="94"/>
      <x:c r="Q93" s="94"/>
      <x:c r="R93" s="94"/>
      <x:c r="S93" s="26">
        <x:f t="shared" si="6"/>
        <x:v>0</x:v>
      </x:c>
      <x:c r="T93" s="23"/>
      <x:c r="U93" s="23"/>
    </x:row>
    <x:row r="94" ht="18.75" customHeight="1">
      <x:c r="A94" s="19"/>
      <x:c r="B94" s="29"/>
      <x:c r="C94" s="21"/>
      <x:c r="D94" s="55"/>
      <x:c r="E94" s="23"/>
      <x:c r="F94" s="23"/>
      <x:c r="G94" s="25"/>
      <x:c r="H94" s="25"/>
      <x:c r="I94" s="25"/>
      <x:c r="J94" s="25"/>
      <x:c r="K94" s="25"/>
      <x:c r="L94" s="25"/>
      <x:c r="M94" s="25"/>
      <x:c r="N94" s="94"/>
      <x:c r="O94" s="94"/>
      <x:c r="P94" s="94"/>
      <x:c r="Q94" s="94"/>
      <x:c r="R94" s="94"/>
      <x:c r="S94" s="26">
        <x:f t="shared" si="6"/>
        <x:v>0</x:v>
      </x:c>
      <x:c r="T94" s="23"/>
      <x:c r="U94" s="23"/>
    </x:row>
    <x:row r="95" ht="18.75" customHeight="1">
      <x:c r="A95" s="19"/>
      <x:c r="B95" s="29"/>
      <x:c r="C95" s="21"/>
      <x:c r="D95" s="55"/>
      <x:c r="E95" s="23"/>
      <x:c r="F95" s="23"/>
      <x:c r="G95" s="25"/>
      <x:c r="H95" s="25"/>
      <x:c r="I95" s="25"/>
      <x:c r="J95" s="25"/>
      <x:c r="K95" s="24"/>
      <x:c r="L95" s="24"/>
      <x:c r="M95" s="24"/>
      <x:c r="N95" s="94"/>
      <x:c r="O95" s="94"/>
      <x:c r="P95" s="94"/>
      <x:c r="Q95" s="94"/>
      <x:c r="R95" s="94"/>
      <x:c r="S95" s="26">
        <x:f t="shared" si="6"/>
        <x:v>0</x:v>
      </x:c>
      <x:c r="T95" s="23"/>
      <x:c r="U95" s="23"/>
    </x:row>
    <x:row r="96" ht="18.75" customHeight="1">
      <x:c r="A96" s="19"/>
      <x:c r="B96" s="29"/>
      <x:c r="C96" s="21"/>
      <x:c r="D96" s="35"/>
      <x:c r="E96" s="56"/>
      <x:c r="F96" s="23"/>
      <x:c r="G96" s="25"/>
      <x:c r="H96" s="25"/>
      <x:c r="I96" s="25"/>
      <x:c r="J96" s="25"/>
      <x:c r="K96" s="25"/>
      <x:c r="L96" s="24"/>
      <x:c r="M96" s="24"/>
      <x:c r="N96" s="94"/>
      <x:c r="O96" s="94"/>
      <x:c r="P96" s="94"/>
      <x:c r="Q96" s="94"/>
      <x:c r="R96" s="94"/>
      <x:c r="S96" s="26">
        <x:f t="shared" si="6"/>
        <x:v>0</x:v>
      </x:c>
      <x:c r="T96" s="23"/>
      <x:c r="U96" s="23"/>
    </x:row>
    <x:row r="97" ht="18.75" customHeight="1">
      <x:c r="A97" s="19"/>
      <x:c r="B97" s="29"/>
      <x:c r="C97" s="21"/>
      <x:c r="D97" s="35"/>
      <x:c r="E97" s="56"/>
      <x:c r="F97" s="23"/>
      <x:c r="G97" s="25"/>
      <x:c r="H97" s="25"/>
      <x:c r="I97" s="25"/>
      <x:c r="J97" s="25"/>
      <x:c r="K97" s="25"/>
      <x:c r="L97" s="25"/>
      <x:c r="M97" s="25"/>
      <x:c r="N97" s="94"/>
      <x:c r="O97" s="94"/>
      <x:c r="P97" s="94"/>
      <x:c r="Q97" s="94"/>
      <x:c r="R97" s="94"/>
      <x:c r="S97" s="26">
        <x:f t="shared" si="6"/>
        <x:v>0</x:v>
      </x:c>
      <x:c r="T97" s="23"/>
      <x:c r="U97" s="23"/>
    </x:row>
    <x:row r="98" ht="18.75" customHeight="1">
      <x:c r="A98" s="19"/>
      <x:c r="B98" s="29"/>
      <x:c r="C98" s="21"/>
      <x:c r="D98" s="55"/>
      <x:c r="E98" s="23"/>
      <x:c r="F98" s="23"/>
      <x:c r="G98" s="25"/>
      <x:c r="H98" s="25"/>
      <x:c r="I98" s="25"/>
      <x:c r="J98" s="25"/>
      <x:c r="K98" s="24"/>
      <x:c r="L98" s="24"/>
      <x:c r="M98" s="24"/>
      <x:c r="N98" s="94"/>
      <x:c r="O98" s="94"/>
      <x:c r="P98" s="94"/>
      <x:c r="Q98" s="94"/>
      <x:c r="R98" s="94"/>
      <x:c r="S98" s="26">
        <x:f t="shared" si="6"/>
        <x:v>0</x:v>
      </x:c>
      <x:c r="T98" s="23"/>
      <x:c r="U98" s="23"/>
    </x:row>
    <x:row r="99" ht="18.75" customHeight="1">
      <x:c r="A99" s="19"/>
      <x:c r="B99" s="29"/>
      <x:c r="C99" s="21"/>
      <x:c r="D99" s="55"/>
      <x:c r="E99" s="56"/>
      <x:c r="F99" s="23"/>
      <x:c r="G99" s="25"/>
      <x:c r="H99" s="25"/>
      <x:c r="I99" s="25"/>
      <x:c r="J99" s="25"/>
      <x:c r="K99" s="25"/>
      <x:c r="L99" s="24"/>
      <x:c r="M99" s="24"/>
      <x:c r="N99" s="94"/>
      <x:c r="O99" s="94"/>
      <x:c r="P99" s="94"/>
      <x:c r="Q99" s="94"/>
      <x:c r="R99" s="94"/>
      <x:c r="S99" s="26">
        <x:f t="shared" si="6"/>
        <x:v>0</x:v>
      </x:c>
      <x:c r="T99" s="23"/>
      <x:c r="U99" s="23"/>
    </x:row>
    <x:row r="100" ht="18.75" customHeight="1">
      <x:c r="A100" s="19"/>
      <x:c r="B100" s="29"/>
      <x:c r="C100" s="21"/>
      <x:c r="D100" s="35"/>
      <x:c r="E100" s="56"/>
      <x:c r="F100" s="23"/>
      <x:c r="G100" s="25"/>
      <x:c r="H100" s="25"/>
      <x:c r="I100" s="25"/>
      <x:c r="J100" s="25"/>
      <x:c r="K100" s="25"/>
      <x:c r="L100" s="24"/>
      <x:c r="M100" s="24"/>
      <x:c r="N100" s="94"/>
      <x:c r="O100" s="94"/>
      <x:c r="P100" s="94"/>
      <x:c r="Q100" s="94"/>
      <x:c r="R100" s="94"/>
      <x:c r="S100" s="26">
        <x:f t="shared" si="6"/>
        <x:v>0</x:v>
      </x:c>
      <x:c r="T100" s="23"/>
      <x:c r="U100" s="23"/>
    </x:row>
    <x:row r="101" ht="18.75" customHeight="1">
      <x:c r="A101" s="19"/>
      <x:c r="B101" s="29"/>
      <x:c r="C101" s="21"/>
      <x:c r="D101" s="55"/>
      <x:c r="E101" s="56"/>
      <x:c r="F101" s="23"/>
      <x:c r="G101" s="25"/>
      <x:c r="H101" s="25"/>
      <x:c r="I101" s="25"/>
      <x:c r="J101" s="25"/>
      <x:c r="K101" s="25"/>
      <x:c r="L101" s="24"/>
      <x:c r="M101" s="24"/>
      <x:c r="N101" s="94"/>
      <x:c r="O101" s="94"/>
      <x:c r="P101" s="94"/>
      <x:c r="Q101" s="94"/>
      <x:c r="R101" s="94"/>
      <x:c r="S101" s="26">
        <x:f t="shared" si="6"/>
        <x:v>0</x:v>
      </x:c>
      <x:c r="T101" s="23"/>
      <x:c r="U101" s="23"/>
    </x:row>
    <x:row r="102" ht="18.75" customHeight="1">
      <x:c r="A102" s="19"/>
      <x:c r="B102" s="29"/>
      <x:c r="C102" s="21"/>
      <x:c r="D102" s="55"/>
      <x:c r="E102" s="56"/>
      <x:c r="F102" s="23"/>
      <x:c r="G102" s="25"/>
      <x:c r="H102" s="25"/>
      <x:c r="I102" s="25"/>
      <x:c r="J102" s="25"/>
      <x:c r="K102" s="24"/>
      <x:c r="L102" s="25"/>
      <x:c r="M102" s="25"/>
      <x:c r="N102" s="94"/>
      <x:c r="O102" s="94"/>
      <x:c r="P102" s="94"/>
      <x:c r="Q102" s="94"/>
      <x:c r="R102" s="94"/>
      <x:c r="S102" s="26">
        <x:f t="shared" si="6"/>
        <x:v>0</x:v>
      </x:c>
      <x:c r="T102" s="23"/>
      <x:c r="U102" s="23"/>
    </x:row>
    <x:row r="103" ht="18.75" customHeight="1">
      <x:c r="A103" s="19"/>
      <x:c r="B103" s="29"/>
      <x:c r="C103" s="21"/>
      <x:c r="D103" s="55"/>
      <x:c r="E103" s="56"/>
      <x:c r="F103" s="23"/>
      <x:c r="G103" s="25"/>
      <x:c r="H103" s="25"/>
      <x:c r="I103" s="25"/>
      <x:c r="J103" s="25"/>
      <x:c r="K103" s="25"/>
      <x:c r="L103" s="25"/>
      <x:c r="M103" s="25"/>
      <x:c r="N103" s="94"/>
      <x:c r="O103" s="94"/>
      <x:c r="P103" s="94"/>
      <x:c r="Q103" s="94"/>
      <x:c r="R103" s="94"/>
      <x:c r="S103" s="26">
        <x:f t="shared" si="6"/>
        <x:v>0</x:v>
      </x:c>
      <x:c r="T103" s="23"/>
      <x:c r="U103" s="23"/>
    </x:row>
    <x:row r="104" ht="18.75" customHeight="1">
      <x:c r="A104" s="19"/>
      <x:c r="B104" s="29"/>
      <x:c r="C104" s="21"/>
      <x:c r="D104" s="35"/>
      <x:c r="E104" s="56"/>
      <x:c r="F104" s="23"/>
      <x:c r="G104" s="25"/>
      <x:c r="H104" s="25"/>
      <x:c r="I104" s="25"/>
      <x:c r="J104" s="25"/>
      <x:c r="K104" s="24"/>
      <x:c r="L104" s="25"/>
      <x:c r="M104" s="25"/>
      <x:c r="N104" s="94"/>
      <x:c r="O104" s="94"/>
      <x:c r="P104" s="94"/>
      <x:c r="Q104" s="94"/>
      <x:c r="R104" s="94"/>
      <x:c r="S104" s="26">
        <x:f t="shared" si="6"/>
        <x:v>0</x:v>
      </x:c>
      <x:c r="T104" s="23"/>
      <x:c r="U104" s="23"/>
    </x:row>
    <x:row r="105" ht="18.75" customHeight="1">
      <x:c r="A105" s="19"/>
      <x:c r="B105" s="29"/>
      <x:c r="C105" s="21"/>
      <x:c r="D105" s="55"/>
      <x:c r="E105" s="56"/>
      <x:c r="F105" s="23"/>
      <x:c r="G105" s="25"/>
      <x:c r="H105" s="25"/>
      <x:c r="I105" s="25"/>
      <x:c r="J105" s="25"/>
      <x:c r="K105" s="24"/>
      <x:c r="L105" s="25"/>
      <x:c r="M105" s="25"/>
      <x:c r="N105" s="94"/>
      <x:c r="O105" s="94"/>
      <x:c r="P105" s="94"/>
      <x:c r="Q105" s="94"/>
      <x:c r="R105" s="94"/>
      <x:c r="S105" s="26">
        <x:f t="shared" si="6"/>
        <x:v>0</x:v>
      </x:c>
      <x:c r="T105" s="23"/>
      <x:c r="U105" s="23"/>
    </x:row>
    <x:row r="106" ht="18.75" customHeight="1">
      <x:c r="A106" s="19"/>
      <x:c r="B106" s="29"/>
      <x:c r="C106" s="21"/>
      <x:c r="D106" s="55"/>
      <x:c r="E106" s="56"/>
      <x:c r="F106" s="23"/>
      <x:c r="G106" s="24"/>
      <x:c r="H106" s="25"/>
      <x:c r="I106" s="25"/>
      <x:c r="J106" s="25"/>
      <x:c r="K106" s="25"/>
      <x:c r="L106" s="25"/>
      <x:c r="M106" s="25"/>
      <x:c r="N106" s="94"/>
      <x:c r="O106" s="94"/>
      <x:c r="P106" s="94"/>
      <x:c r="Q106" s="94"/>
      <x:c r="R106" s="94"/>
      <x:c r="S106" s="26">
        <x:f t="shared" si="6"/>
        <x:v>0</x:v>
      </x:c>
      <x:c r="T106" s="23"/>
      <x:c r="U106" s="23"/>
    </x:row>
    <x:row r="107" ht="18.75" customHeight="1">
      <x:c r="A107" s="19"/>
      <x:c r="B107" s="29"/>
      <x:c r="C107" s="21"/>
      <x:c r="D107" s="35"/>
      <x:c r="E107" s="56"/>
      <x:c r="F107" s="23"/>
      <x:c r="G107" s="25"/>
      <x:c r="H107" s="25"/>
      <x:c r="I107" s="25"/>
      <x:c r="J107" s="25"/>
      <x:c r="K107" s="25"/>
      <x:c r="L107" s="24"/>
      <x:c r="M107" s="24"/>
      <x:c r="N107" s="94"/>
      <x:c r="O107" s="94"/>
      <x:c r="P107" s="94"/>
      <x:c r="Q107" s="94"/>
      <x:c r="R107" s="94"/>
      <x:c r="S107" s="26">
        <x:f t="shared" si="6"/>
        <x:v>0</x:v>
      </x:c>
      <x:c r="T107" s="23"/>
      <x:c r="U107" s="23"/>
    </x:row>
    <x:row r="108" ht="18.75" customHeight="1">
      <x:c r="A108" s="19"/>
      <x:c r="B108" s="29"/>
      <x:c r="C108" s="21"/>
      <x:c r="D108" s="55"/>
      <x:c r="E108" s="56"/>
      <x:c r="F108" s="23"/>
      <x:c r="G108" s="25"/>
      <x:c r="H108" s="25"/>
      <x:c r="I108" s="25"/>
      <x:c r="J108" s="25"/>
      <x:c r="K108" s="24"/>
      <x:c r="L108" s="24"/>
      <x:c r="M108" s="24"/>
      <x:c r="N108" s="94"/>
      <x:c r="O108" s="94"/>
      <x:c r="P108" s="94"/>
      <x:c r="Q108" s="94"/>
      <x:c r="R108" s="94"/>
      <x:c r="S108" s="26">
        <x:f t="shared" si="6"/>
        <x:v>0</x:v>
      </x:c>
      <x:c r="T108" s="23"/>
      <x:c r="U108" s="23"/>
    </x:row>
    <x:row r="109" ht="18.75" customHeight="1">
      <x:c r="A109" s="19"/>
      <x:c r="B109" s="20"/>
      <x:c r="C109" s="21"/>
      <x:c r="D109" s="55"/>
      <x:c r="E109" s="56"/>
      <x:c r="F109" s="23"/>
      <x:c r="G109" s="24"/>
      <x:c r="H109" s="25"/>
      <x:c r="I109" s="25"/>
      <x:c r="J109" s="25"/>
      <x:c r="K109" s="24"/>
      <x:c r="L109" s="25"/>
      <x:c r="M109" s="25"/>
      <x:c r="N109" s="94"/>
      <x:c r="O109" s="94"/>
      <x:c r="P109" s="94"/>
      <x:c r="Q109" s="94"/>
      <x:c r="R109" s="94"/>
      <x:c r="S109" s="26">
        <x:f t="shared" si="6"/>
        <x:v>0</x:v>
      </x:c>
      <x:c r="T109" s="23"/>
      <x:c r="U109" s="23"/>
    </x:row>
    <x:row r="110" ht="18.75" customHeight="1">
      <x:c r="A110" s="19"/>
      <x:c r="B110" s="29"/>
      <x:c r="C110" s="21"/>
      <x:c r="D110" s="35"/>
      <x:c r="E110" s="56"/>
      <x:c r="F110" s="23"/>
      <x:c r="G110" s="25"/>
      <x:c r="H110" s="25"/>
      <x:c r="I110" s="25"/>
      <x:c r="J110" s="25"/>
      <x:c r="K110" s="25"/>
      <x:c r="L110" s="24"/>
      <x:c r="M110" s="24"/>
      <x:c r="N110" s="94"/>
      <x:c r="O110" s="94"/>
      <x:c r="P110" s="94"/>
      <x:c r="Q110" s="94"/>
      <x:c r="R110" s="94"/>
      <x:c r="S110" s="26">
        <x:f t="shared" si="6"/>
        <x:v>0</x:v>
      </x:c>
      <x:c r="T110" s="23"/>
      <x:c r="U110" s="23"/>
    </x:row>
    <x:row r="111" ht="18.75" customHeight="1">
      <x:c r="A111" s="19"/>
      <x:c r="B111" s="29"/>
      <x:c r="C111" s="21"/>
      <x:c r="D111" s="55"/>
      <x:c r="E111" s="56"/>
      <x:c r="F111" s="23"/>
      <x:c r="G111" s="25"/>
      <x:c r="H111" s="25"/>
      <x:c r="I111" s="25"/>
      <x:c r="J111" s="25"/>
      <x:c r="K111" s="25"/>
      <x:c r="L111" s="24"/>
      <x:c r="M111" s="24"/>
      <x:c r="N111" s="94"/>
      <x:c r="O111" s="94"/>
      <x:c r="P111" s="94"/>
      <x:c r="Q111" s="94"/>
      <x:c r="R111" s="94"/>
      <x:c r="S111" s="26">
        <x:f t="shared" si="6"/>
        <x:v>0</x:v>
      </x:c>
      <x:c r="T111" s="23"/>
      <x:c r="U111" s="23"/>
    </x:row>
    <x:row r="112" ht="18.75" customHeight="1">
      <x:c r="A112" s="19"/>
      <x:c r="B112" s="29"/>
      <x:c r="C112" s="21"/>
      <x:c r="D112" s="55"/>
      <x:c r="E112" s="56"/>
      <x:c r="F112" s="23"/>
      <x:c r="G112" s="25"/>
      <x:c r="H112" s="25"/>
      <x:c r="I112" s="25"/>
      <x:c r="J112" s="25"/>
      <x:c r="K112" s="25"/>
      <x:c r="L112" s="24"/>
      <x:c r="M112" s="24"/>
      <x:c r="N112" s="94"/>
      <x:c r="O112" s="94"/>
      <x:c r="P112" s="94"/>
      <x:c r="Q112" s="94"/>
      <x:c r="R112" s="94"/>
      <x:c r="S112" s="26">
        <x:f t="shared" si="6"/>
        <x:v>0</x:v>
      </x:c>
      <x:c r="T112" s="23"/>
      <x:c r="U112" s="23"/>
    </x:row>
    <x:row r="113" ht="18.75" customHeight="1">
      <x:c r="A113" s="19"/>
      <x:c r="B113" s="29"/>
      <x:c r="C113" s="21"/>
      <x:c r="D113" s="55"/>
      <x:c r="E113" s="56"/>
      <x:c r="F113" s="23"/>
      <x:c r="G113" s="25"/>
      <x:c r="H113" s="25"/>
      <x:c r="I113" s="25"/>
      <x:c r="J113" s="25"/>
      <x:c r="K113" s="25"/>
      <x:c r="L113" s="25"/>
      <x:c r="M113" s="25"/>
      <x:c r="N113" s="94"/>
      <x:c r="O113" s="94"/>
      <x:c r="P113" s="94"/>
      <x:c r="Q113" s="94"/>
      <x:c r="R113" s="94"/>
      <x:c r="S113" s="26">
        <x:f t="shared" si="6"/>
        <x:v>0</x:v>
      </x:c>
      <x:c r="T113" s="23"/>
      <x:c r="U113" s="23"/>
    </x:row>
    <x:row r="114" ht="18.75" customHeight="1">
      <x:c r="A114" s="19"/>
      <x:c r="B114" s="29"/>
      <x:c r="C114" s="21"/>
      <x:c r="D114" s="55"/>
      <x:c r="E114" s="56"/>
      <x:c r="F114" s="23"/>
      <x:c r="G114" s="25"/>
      <x:c r="H114" s="25"/>
      <x:c r="I114" s="25"/>
      <x:c r="J114" s="25"/>
      <x:c r="K114" s="24"/>
      <x:c r="L114" s="25"/>
      <x:c r="M114" s="25"/>
      <x:c r="N114" s="94"/>
      <x:c r="O114" s="94"/>
      <x:c r="P114" s="94"/>
      <x:c r="Q114" s="94"/>
      <x:c r="R114" s="94"/>
      <x:c r="S114" s="26">
        <x:f t="shared" si="6"/>
        <x:v>0</x:v>
      </x:c>
      <x:c r="T114" s="23"/>
      <x:c r="U114" s="23"/>
    </x:row>
    <x:row r="115" ht="18.75" customHeight="1">
      <x:c r="A115" s="19"/>
      <x:c r="B115" s="29"/>
      <x:c r="C115" s="21"/>
      <x:c r="D115" s="55"/>
      <x:c r="E115" s="56"/>
      <x:c r="F115" s="23"/>
      <x:c r="G115" s="25"/>
      <x:c r="H115" s="25"/>
      <x:c r="I115" s="25"/>
      <x:c r="J115" s="25"/>
      <x:c r="K115" s="25"/>
      <x:c r="L115" s="25"/>
      <x:c r="M115" s="25"/>
      <x:c r="N115" s="94"/>
      <x:c r="O115" s="94"/>
      <x:c r="P115" s="94"/>
      <x:c r="Q115" s="94"/>
      <x:c r="R115" s="94"/>
      <x:c r="S115" s="26">
        <x:f t="shared" si="6"/>
        <x:v>0</x:v>
      </x:c>
      <x:c r="T115" s="23"/>
      <x:c r="U115" s="23"/>
    </x:row>
    <x:row r="116" ht="18.75" customHeight="1">
      <x:c r="A116" s="19"/>
      <x:c r="B116" s="29"/>
      <x:c r="C116" s="21"/>
      <x:c r="D116" s="35"/>
      <x:c r="E116" s="56"/>
      <x:c r="F116" s="23"/>
      <x:c r="G116" s="25"/>
      <x:c r="H116" s="25"/>
      <x:c r="I116" s="25"/>
      <x:c r="J116" s="25"/>
      <x:c r="K116" s="24"/>
      <x:c r="L116" s="25"/>
      <x:c r="M116" s="25"/>
      <x:c r="N116" s="94"/>
      <x:c r="O116" s="94"/>
      <x:c r="P116" s="94"/>
      <x:c r="Q116" s="94"/>
      <x:c r="R116" s="94"/>
      <x:c r="S116" s="26">
        <x:f t="shared" si="6"/>
        <x:v>0</x:v>
      </x:c>
      <x:c r="T116" s="23"/>
      <x:c r="U116" s="23"/>
    </x:row>
    <x:row r="117" ht="18.75" customHeight="1">
      <x:c r="A117" s="19"/>
      <x:c r="B117" s="29"/>
      <x:c r="C117" s="21"/>
      <x:c r="D117" s="55"/>
      <x:c r="E117" s="56"/>
      <x:c r="F117" s="23"/>
      <x:c r="G117" s="25"/>
      <x:c r="H117" s="25"/>
      <x:c r="I117" s="25"/>
      <x:c r="J117" s="25"/>
      <x:c r="K117" s="25"/>
      <x:c r="L117" s="25"/>
      <x:c r="M117" s="25"/>
      <x:c r="N117" s="94"/>
      <x:c r="O117" s="94"/>
      <x:c r="P117" s="94"/>
      <x:c r="Q117" s="94"/>
      <x:c r="R117" s="94"/>
      <x:c r="S117" s="26">
        <x:f t="shared" si="6"/>
        <x:v>0</x:v>
      </x:c>
      <x:c r="T117" s="23"/>
      <x:c r="U117" s="23"/>
    </x:row>
    <x:row r="118" ht="18.75" customHeight="1">
      <x:c r="A118" s="19"/>
      <x:c r="B118" s="29"/>
      <x:c r="C118" s="21"/>
      <x:c r="D118" s="55"/>
      <x:c r="E118" s="56"/>
      <x:c r="F118" s="23"/>
      <x:c r="G118" s="25"/>
      <x:c r="H118" s="25"/>
      <x:c r="I118" s="25"/>
      <x:c r="J118" s="25"/>
      <x:c r="K118" s="25"/>
      <x:c r="L118" s="24"/>
      <x:c r="M118" s="24"/>
      <x:c r="N118" s="94"/>
      <x:c r="O118" s="94"/>
      <x:c r="P118" s="94"/>
      <x:c r="Q118" s="94"/>
      <x:c r="R118" s="94"/>
      <x:c r="S118" s="26">
        <x:f t="shared" si="6"/>
        <x:v>0</x:v>
      </x:c>
      <x:c r="T118" s="23"/>
      <x:c r="U118" s="23"/>
    </x:row>
    <x:row r="119" ht="18.75" customHeight="1">
      <x:c r="A119" s="19"/>
      <x:c r="B119" s="29"/>
      <x:c r="C119" s="21"/>
      <x:c r="D119" s="55"/>
      <x:c r="E119" s="56"/>
      <x:c r="F119" s="23"/>
      <x:c r="G119" s="25"/>
      <x:c r="H119" s="25"/>
      <x:c r="I119" s="25"/>
      <x:c r="J119" s="25"/>
      <x:c r="K119" s="25"/>
      <x:c r="L119" s="25"/>
      <x:c r="M119" s="25"/>
      <x:c r="N119" s="94"/>
      <x:c r="O119" s="94"/>
      <x:c r="P119" s="94"/>
      <x:c r="Q119" s="94"/>
      <x:c r="R119" s="94"/>
      <x:c r="S119" s="26">
        <x:f t="shared" si="6"/>
        <x:v>0</x:v>
      </x:c>
      <x:c r="T119" s="23"/>
      <x:c r="U119" s="23"/>
    </x:row>
    <x:row r="120" ht="18.75" customHeight="1">
      <x:c r="A120" s="19"/>
      <x:c r="B120" s="29"/>
      <x:c r="C120" s="21"/>
      <x:c r="D120" s="55"/>
      <x:c r="E120" s="56"/>
      <x:c r="F120" s="23"/>
      <x:c r="G120" s="25"/>
      <x:c r="H120" s="25"/>
      <x:c r="I120" s="25"/>
      <x:c r="J120" s="25"/>
      <x:c r="K120" s="25"/>
      <x:c r="L120" s="25"/>
      <x:c r="M120" s="25"/>
      <x:c r="N120" s="94"/>
      <x:c r="O120" s="94"/>
      <x:c r="P120" s="94"/>
      <x:c r="Q120" s="94"/>
      <x:c r="R120" s="94"/>
      <x:c r="S120" s="26">
        <x:f t="shared" si="6"/>
        <x:v>0</x:v>
      </x:c>
      <x:c r="T120" s="23"/>
      <x:c r="U120" s="23"/>
    </x:row>
    <x:row r="121" ht="18.75" customHeight="1">
      <x:c r="A121" s="19"/>
      <x:c r="B121" s="29"/>
      <x:c r="C121" s="21"/>
      <x:c r="D121" s="55"/>
      <x:c r="E121" s="56"/>
      <x:c r="F121" s="23"/>
      <x:c r="G121" s="25"/>
      <x:c r="H121" s="25"/>
      <x:c r="I121" s="25"/>
      <x:c r="J121" s="25"/>
      <x:c r="K121" s="25"/>
      <x:c r="L121" s="25"/>
      <x:c r="M121" s="25"/>
      <x:c r="N121" s="94"/>
      <x:c r="O121" s="94"/>
      <x:c r="P121" s="94"/>
      <x:c r="Q121" s="94"/>
      <x:c r="R121" s="94"/>
      <x:c r="S121" s="26">
        <x:f t="shared" si="6"/>
        <x:v>0</x:v>
      </x:c>
      <x:c r="T121" s="23"/>
      <x:c r="U121" s="23"/>
    </x:row>
    <x:row r="122" ht="18.75" customHeight="1">
      <x:c r="A122" s="19"/>
      <x:c r="B122" s="29"/>
      <x:c r="C122" s="21"/>
      <x:c r="D122" s="55"/>
      <x:c r="E122" s="56"/>
      <x:c r="F122" s="23"/>
      <x:c r="G122" s="25"/>
      <x:c r="H122" s="25"/>
      <x:c r="I122" s="25"/>
      <x:c r="J122" s="25"/>
      <x:c r="K122" s="25"/>
      <x:c r="L122" s="25"/>
      <x:c r="M122" s="25"/>
      <x:c r="N122" s="94"/>
      <x:c r="O122" s="94"/>
      <x:c r="P122" s="94"/>
      <x:c r="Q122" s="94"/>
      <x:c r="R122" s="94"/>
      <x:c r="S122" s="26">
        <x:f t="shared" si="6"/>
        <x:v>0</x:v>
      </x:c>
      <x:c r="T122" s="23"/>
      <x:c r="U122" s="23"/>
    </x:row>
    <x:row r="123" ht="18.75" customHeight="1">
      <x:c r="A123" s="19"/>
      <x:c r="B123" s="29"/>
      <x:c r="C123" s="21"/>
      <x:c r="D123" s="55"/>
      <x:c r="E123" s="56"/>
      <x:c r="F123" s="23"/>
      <x:c r="G123" s="25"/>
      <x:c r="H123" s="25"/>
      <x:c r="I123" s="25"/>
      <x:c r="J123" s="25"/>
      <x:c r="K123" s="25"/>
      <x:c r="L123" s="24"/>
      <x:c r="M123" s="24"/>
      <x:c r="N123" s="94"/>
      <x:c r="O123" s="94"/>
      <x:c r="P123" s="94"/>
      <x:c r="Q123" s="94"/>
      <x:c r="R123" s="94"/>
      <x:c r="S123" s="26">
        <x:f t="shared" si="6"/>
        <x:v>0</x:v>
      </x:c>
      <x:c r="T123" s="23"/>
      <x:c r="U123" s="23"/>
    </x:row>
    <x:row r="124" ht="18.75" customHeight="1">
      <x:c r="A124" s="19"/>
      <x:c r="B124" s="29"/>
      <x:c r="C124" s="21"/>
      <x:c r="D124" s="55"/>
      <x:c r="E124" s="56"/>
      <x:c r="F124" s="23"/>
      <x:c r="G124" s="24"/>
      <x:c r="H124" s="25"/>
      <x:c r="I124" s="25"/>
      <x:c r="J124" s="25"/>
      <x:c r="K124" s="24"/>
      <x:c r="L124" s="25"/>
      <x:c r="M124" s="25"/>
      <x:c r="N124" s="94"/>
      <x:c r="O124" s="94"/>
      <x:c r="P124" s="94"/>
      <x:c r="Q124" s="94"/>
      <x:c r="R124" s="94"/>
      <x:c r="S124" s="26">
        <x:f t="shared" si="6"/>
        <x:v>0</x:v>
      </x:c>
      <x:c r="T124" s="23"/>
      <x:c r="U124" s="23"/>
    </x:row>
    <x:row r="125" ht="18.75" customHeight="1">
      <x:c r="A125" s="19"/>
      <x:c r="B125" s="29"/>
      <x:c r="C125" s="21"/>
      <x:c r="D125" s="55"/>
      <x:c r="E125" s="56"/>
      <x:c r="F125" s="23"/>
      <x:c r="G125" s="25"/>
      <x:c r="H125" s="25"/>
      <x:c r="I125" s="25"/>
      <x:c r="J125" s="25"/>
      <x:c r="K125" s="24"/>
      <x:c r="L125" s="24"/>
      <x:c r="M125" s="24"/>
      <x:c r="N125" s="94"/>
      <x:c r="O125" s="94"/>
      <x:c r="P125" s="94"/>
      <x:c r="Q125" s="94"/>
      <x:c r="R125" s="94"/>
      <x:c r="S125" s="26">
        <x:f t="shared" si="6"/>
        <x:v>0</x:v>
      </x:c>
      <x:c r="T125" s="23"/>
      <x:c r="U125" s="23"/>
    </x:row>
    <x:row r="126" ht="18.75" customHeight="1">
      <x:c r="A126" s="19"/>
      <x:c r="B126" s="29"/>
      <x:c r="C126" s="21"/>
      <x:c r="D126" s="55"/>
      <x:c r="E126" s="56"/>
      <x:c r="F126" s="23"/>
      <x:c r="G126" s="25"/>
      <x:c r="H126" s="25"/>
      <x:c r="I126" s="25"/>
      <x:c r="J126" s="25"/>
      <x:c r="K126" s="24"/>
      <x:c r="L126" s="25"/>
      <x:c r="M126" s="25"/>
      <x:c r="N126" s="94"/>
      <x:c r="O126" s="94"/>
      <x:c r="P126" s="94"/>
      <x:c r="Q126" s="94"/>
      <x:c r="R126" s="94"/>
      <x:c r="S126" s="26">
        <x:f t="shared" si="6"/>
        <x:v>0</x:v>
      </x:c>
      <x:c r="T126" s="23"/>
      <x:c r="U126" s="23"/>
    </x:row>
    <x:row r="127" ht="18.75" customHeight="1">
      <x:c r="A127" s="19"/>
      <x:c r="B127" s="29"/>
      <x:c r="C127" s="21"/>
      <x:c r="D127" s="55"/>
      <x:c r="E127" s="56"/>
      <x:c r="F127" s="23"/>
      <x:c r="G127" s="25"/>
      <x:c r="H127" s="25"/>
      <x:c r="I127" s="25"/>
      <x:c r="J127" s="25"/>
      <x:c r="K127" s="25"/>
      <x:c r="L127" s="24"/>
      <x:c r="M127" s="24"/>
      <x:c r="N127" s="94"/>
      <x:c r="O127" s="94"/>
      <x:c r="P127" s="94"/>
      <x:c r="Q127" s="94"/>
      <x:c r="R127" s="94"/>
      <x:c r="S127" s="26">
        <x:f t="shared" si="6"/>
        <x:v>0</x:v>
      </x:c>
      <x:c r="T127" s="23"/>
      <x:c r="U127" s="23"/>
    </x:row>
    <x:row r="128" ht="18.75" customHeight="1">
      <x:c r="A128" s="19"/>
      <x:c r="B128" s="29"/>
      <x:c r="C128" s="21"/>
      <x:c r="D128" s="35"/>
      <x:c r="E128" s="56"/>
      <x:c r="F128" s="23"/>
      <x:c r="G128" s="25"/>
      <x:c r="H128" s="25"/>
      <x:c r="I128" s="25"/>
      <x:c r="J128" s="25"/>
      <x:c r="K128" s="25"/>
      <x:c r="L128" s="25"/>
      <x:c r="M128" s="25"/>
      <x:c r="N128" s="94"/>
      <x:c r="O128" s="94"/>
      <x:c r="P128" s="94"/>
      <x:c r="Q128" s="94"/>
      <x:c r="R128" s="94"/>
      <x:c r="S128" s="26">
        <x:f t="shared" si="6"/>
        <x:v>0</x:v>
      </x:c>
      <x:c r="T128" s="23"/>
      <x:c r="U128" s="23"/>
    </x:row>
    <x:row r="129" ht="18.75" customHeight="1">
      <x:c r="A129" s="19"/>
      <x:c r="B129" s="29"/>
      <x:c r="C129" s="21"/>
      <x:c r="D129" s="55"/>
      <x:c r="E129" s="56"/>
      <x:c r="F129" s="23"/>
      <x:c r="G129" s="25"/>
      <x:c r="H129" s="25"/>
      <x:c r="I129" s="25"/>
      <x:c r="J129" s="25"/>
      <x:c r="K129" s="25"/>
      <x:c r="L129" s="25"/>
      <x:c r="M129" s="25"/>
      <x:c r="N129" s="94"/>
      <x:c r="O129" s="94"/>
      <x:c r="P129" s="94"/>
      <x:c r="Q129" s="94"/>
      <x:c r="R129" s="94"/>
      <x:c r="S129" s="26">
        <x:f t="shared" si="6"/>
        <x:v>0</x:v>
      </x:c>
      <x:c r="T129" s="23"/>
      <x:c r="U129" s="23"/>
    </x:row>
    <x:row r="130" ht="18.75" customHeight="1">
      <x:c r="A130" s="19"/>
      <x:c r="B130" s="29"/>
      <x:c r="C130" s="21"/>
      <x:c r="D130" s="55"/>
      <x:c r="E130" s="56"/>
      <x:c r="F130" s="23"/>
      <x:c r="G130" s="25"/>
      <x:c r="H130" s="25"/>
      <x:c r="I130" s="25"/>
      <x:c r="J130" s="25"/>
      <x:c r="K130" s="25"/>
      <x:c r="L130" s="25"/>
      <x:c r="M130" s="25"/>
      <x:c r="N130" s="94"/>
      <x:c r="O130" s="94"/>
      <x:c r="P130" s="94"/>
      <x:c r="Q130" s="94"/>
      <x:c r="R130" s="94"/>
      <x:c r="S130" s="26">
        <x:f t="shared" si="6"/>
        <x:v>0</x:v>
      </x:c>
      <x:c r="T130" s="23"/>
      <x:c r="U130" s="23"/>
    </x:row>
    <x:row r="131" ht="18.75" customHeight="1">
      <x:c r="A131" s="19"/>
      <x:c r="B131" s="29"/>
      <x:c r="C131" s="21"/>
      <x:c r="D131" s="55"/>
      <x:c r="E131" s="56"/>
      <x:c r="F131" s="23"/>
      <x:c r="G131" s="25"/>
      <x:c r="H131" s="25"/>
      <x:c r="I131" s="25"/>
      <x:c r="J131" s="25"/>
      <x:c r="K131" s="25"/>
      <x:c r="L131" s="25"/>
      <x:c r="M131" s="25"/>
      <x:c r="N131" s="94"/>
      <x:c r="O131" s="94"/>
      <x:c r="P131" s="94"/>
      <x:c r="Q131" s="94"/>
      <x:c r="R131" s="94"/>
      <x:c r="S131" s="26">
        <x:f t="shared" si="6"/>
        <x:v>0</x:v>
      </x:c>
      <x:c r="T131" s="23"/>
      <x:c r="U131" s="23"/>
    </x:row>
    <x:row r="132" ht="18.75" customHeight="1">
      <x:c r="A132" s="19"/>
      <x:c r="B132" s="29"/>
      <x:c r="C132" s="21"/>
      <x:c r="D132" s="55"/>
      <x:c r="E132" s="56"/>
      <x:c r="F132" s="23"/>
      <x:c r="G132" s="25"/>
      <x:c r="H132" s="25"/>
      <x:c r="I132" s="25"/>
      <x:c r="J132" s="25"/>
      <x:c r="K132" s="25"/>
      <x:c r="L132" s="25"/>
      <x:c r="M132" s="25"/>
      <x:c r="N132" s="94"/>
      <x:c r="O132" s="94"/>
      <x:c r="P132" s="94"/>
      <x:c r="Q132" s="94"/>
      <x:c r="R132" s="94"/>
      <x:c r="S132" s="26">
        <x:f t="shared" si="6"/>
        <x:v>0</x:v>
      </x:c>
      <x:c r="T132" s="23"/>
      <x:c r="U132" s="23"/>
    </x:row>
    <x:row r="133" ht="18.75" customHeight="1">
      <x:c r="A133" s="19"/>
      <x:c r="B133" s="29"/>
      <x:c r="C133" s="21"/>
      <x:c r="D133" s="55"/>
      <x:c r="E133" s="56"/>
      <x:c r="F133" s="23"/>
      <x:c r="G133" s="25"/>
      <x:c r="H133" s="25"/>
      <x:c r="I133" s="25"/>
      <x:c r="J133" s="25"/>
      <x:c r="K133" s="25"/>
      <x:c r="L133" s="25"/>
      <x:c r="M133" s="25"/>
      <x:c r="N133" s="94"/>
      <x:c r="O133" s="94"/>
      <x:c r="P133" s="94"/>
      <x:c r="Q133" s="94"/>
      <x:c r="R133" s="94"/>
      <x:c r="S133" s="26">
        <x:f t="shared" si="6"/>
        <x:v>0</x:v>
      </x:c>
      <x:c r="T133" s="23"/>
      <x:c r="U133" s="23"/>
    </x:row>
    <x:row r="134" ht="18.75" customHeight="1">
      <x:c r="A134" s="19"/>
      <x:c r="B134" s="29"/>
      <x:c r="C134" s="21"/>
      <x:c r="D134" s="55"/>
      <x:c r="E134" s="56"/>
      <x:c r="F134" s="23"/>
      <x:c r="G134" s="25"/>
      <x:c r="H134" s="25"/>
      <x:c r="I134" s="25"/>
      <x:c r="J134" s="25"/>
      <x:c r="K134" s="25"/>
      <x:c r="L134" s="25"/>
      <x:c r="M134" s="25"/>
      <x:c r="N134" s="94"/>
      <x:c r="O134" s="94"/>
      <x:c r="P134" s="94"/>
      <x:c r="Q134" s="94"/>
      <x:c r="R134" s="94"/>
      <x:c r="S134" s="26">
        <x:f t="shared" si="6"/>
        <x:v>0</x:v>
      </x:c>
      <x:c r="T134" s="23"/>
      <x:c r="U134" s="23"/>
    </x:row>
    <x:row r="135" ht="18.75" customHeight="1">
      <x:c r="A135" s="19"/>
      <x:c r="B135" s="29"/>
      <x:c r="C135" s="21"/>
      <x:c r="D135" s="55"/>
      <x:c r="E135" s="56"/>
      <x:c r="F135" s="23"/>
      <x:c r="G135" s="25"/>
      <x:c r="H135" s="25"/>
      <x:c r="I135" s="25"/>
      <x:c r="J135" s="25"/>
      <x:c r="K135" s="25"/>
      <x:c r="L135" s="24"/>
      <x:c r="M135" s="24"/>
      <x:c r="N135" s="94"/>
      <x:c r="O135" s="94"/>
      <x:c r="P135" s="94"/>
      <x:c r="Q135" s="94"/>
      <x:c r="R135" s="94"/>
      <x:c r="S135" s="26">
        <x:f t="shared" si="6"/>
        <x:v>0</x:v>
      </x:c>
      <x:c r="T135" s="23"/>
      <x:c r="U135" s="23"/>
    </x:row>
    <x:row r="136" ht="18.75" customHeight="1">
      <x:c r="A136" s="19"/>
      <x:c r="B136" s="29"/>
      <x:c r="C136" s="21"/>
      <x:c r="D136" s="55"/>
      <x:c r="E136" s="56"/>
      <x:c r="F136" s="23"/>
      <x:c r="G136" s="25"/>
      <x:c r="H136" s="25"/>
      <x:c r="I136" s="25"/>
      <x:c r="J136" s="25"/>
      <x:c r="K136" s="24"/>
      <x:c r="L136" s="24"/>
      <x:c r="M136" s="24"/>
      <x:c r="N136" s="94"/>
      <x:c r="O136" s="94"/>
      <x:c r="P136" s="94"/>
      <x:c r="Q136" s="94"/>
      <x:c r="R136" s="94"/>
      <x:c r="S136" s="26">
        <x:f t="shared" si="6"/>
        <x:v>0</x:v>
      </x:c>
      <x:c r="T136" s="23"/>
      <x:c r="U136" s="23"/>
    </x:row>
    <x:row r="137" ht="18.75" customHeight="1">
      <x:c r="A137" s="19"/>
      <x:c r="B137" s="29"/>
      <x:c r="C137" s="21"/>
      <x:c r="D137" s="55"/>
      <x:c r="E137" s="56"/>
      <x:c r="F137" s="23"/>
      <x:c r="G137" s="24"/>
      <x:c r="H137" s="25"/>
      <x:c r="I137" s="25"/>
      <x:c r="J137" s="25"/>
      <x:c r="K137" s="25"/>
      <x:c r="L137" s="25"/>
      <x:c r="M137" s="25"/>
      <x:c r="N137" s="94"/>
      <x:c r="O137" s="94"/>
      <x:c r="P137" s="94"/>
      <x:c r="Q137" s="94"/>
      <x:c r="R137" s="94"/>
      <x:c r="S137" s="26">
        <x:f t="shared" si="6"/>
        <x:v>0</x:v>
      </x:c>
      <x:c r="T137" s="23"/>
      <x:c r="U137" s="23"/>
    </x:row>
    <x:row r="138" ht="18.75" customHeight="1">
      <x:c r="A138" s="19"/>
      <x:c r="B138" s="29"/>
      <x:c r="C138" s="21"/>
      <x:c r="D138" s="55"/>
      <x:c r="E138" s="56"/>
      <x:c r="F138" s="23"/>
      <x:c r="G138" s="25"/>
      <x:c r="H138" s="25"/>
      <x:c r="I138" s="25"/>
      <x:c r="J138" s="25"/>
      <x:c r="K138" s="25"/>
      <x:c r="L138" s="24"/>
      <x:c r="M138" s="24"/>
      <x:c r="N138" s="94"/>
      <x:c r="O138" s="94"/>
      <x:c r="P138" s="94"/>
      <x:c r="Q138" s="94"/>
      <x:c r="R138" s="94"/>
      <x:c r="S138" s="26">
        <x:f t="shared" si="6"/>
        <x:v>0</x:v>
      </x:c>
      <x:c r="T138" s="23"/>
      <x:c r="U138" s="23"/>
    </x:row>
    <x:row r="139" ht="18.75" customHeight="1">
      <x:c r="A139" s="19"/>
      <x:c r="B139" s="29"/>
      <x:c r="C139" s="21"/>
      <x:c r="D139" s="55"/>
      <x:c r="E139" s="56"/>
      <x:c r="F139" s="23"/>
      <x:c r="G139" s="25"/>
      <x:c r="H139" s="25"/>
      <x:c r="I139" s="25"/>
      <x:c r="J139" s="25"/>
      <x:c r="K139" s="24"/>
      <x:c r="L139" s="24"/>
      <x:c r="M139" s="24"/>
      <x:c r="N139" s="94"/>
      <x:c r="O139" s="94"/>
      <x:c r="P139" s="94"/>
      <x:c r="Q139" s="94"/>
      <x:c r="R139" s="94"/>
      <x:c r="S139" s="26">
        <x:f t="shared" si="6"/>
        <x:v>0</x:v>
      </x:c>
      <x:c r="T139" s="23"/>
      <x:c r="U139" s="23"/>
    </x:row>
    <x:row r="140" ht="18.75" customHeight="1">
      <x:c r="A140" s="19"/>
      <x:c r="B140" s="29"/>
      <x:c r="C140" s="21"/>
      <x:c r="D140" s="55"/>
      <x:c r="E140" s="56"/>
      <x:c r="F140" s="23"/>
      <x:c r="G140" s="25"/>
      <x:c r="H140" s="25"/>
      <x:c r="I140" s="25"/>
      <x:c r="J140" s="25"/>
      <x:c r="K140" s="25"/>
      <x:c r="L140" s="24"/>
      <x:c r="M140" s="24"/>
      <x:c r="N140" s="94"/>
      <x:c r="O140" s="94"/>
      <x:c r="P140" s="94"/>
      <x:c r="Q140" s="94"/>
      <x:c r="R140" s="94"/>
      <x:c r="S140" s="26">
        <x:f t="shared" si="6"/>
        <x:v>0</x:v>
      </x:c>
      <x:c r="T140" s="23"/>
      <x:c r="U140" s="23"/>
    </x:row>
    <x:row r="141" ht="18.75" customHeight="1">
      <x:c r="A141" s="19"/>
      <x:c r="B141" s="29"/>
      <x:c r="C141" s="21"/>
      <x:c r="D141" s="55"/>
      <x:c r="E141" s="56"/>
      <x:c r="F141" s="23"/>
      <x:c r="G141" s="25"/>
      <x:c r="H141" s="25"/>
      <x:c r="I141" s="25"/>
      <x:c r="J141" s="25"/>
      <x:c r="K141" s="25"/>
      <x:c r="L141" s="24"/>
      <x:c r="M141" s="24"/>
      <x:c r="N141" s="94"/>
      <x:c r="O141" s="94"/>
      <x:c r="P141" s="94"/>
      <x:c r="Q141" s="94"/>
      <x:c r="R141" s="94"/>
      <x:c r="S141" s="26">
        <x:f t="shared" si="6"/>
        <x:v>0</x:v>
      </x:c>
      <x:c r="T141" s="23"/>
      <x:c r="U141" s="23"/>
    </x:row>
    <x:row r="142" ht="18.75" customHeight="1">
      <x:c r="A142" s="19"/>
      <x:c r="B142" s="29"/>
      <x:c r="C142" s="21"/>
      <x:c r="D142" s="55"/>
      <x:c r="E142" s="56"/>
      <x:c r="F142" s="23"/>
      <x:c r="G142" s="25"/>
      <x:c r="H142" s="25"/>
      <x:c r="I142" s="25"/>
      <x:c r="J142" s="25"/>
      <x:c r="K142" s="25"/>
      <x:c r="L142" s="25"/>
      <x:c r="M142" s="25"/>
      <x:c r="N142" s="94"/>
      <x:c r="O142" s="94"/>
      <x:c r="P142" s="94"/>
      <x:c r="Q142" s="94"/>
      <x:c r="R142" s="94"/>
      <x:c r="S142" s="26">
        <x:f t="shared" si="6"/>
        <x:v>0</x:v>
      </x:c>
      <x:c r="T142" s="23"/>
      <x:c r="U142" s="23"/>
    </x:row>
    <x:row r="143" ht="18.75" customHeight="1">
      <x:c r="A143" s="19"/>
      <x:c r="B143" s="29"/>
      <x:c r="C143" s="21"/>
      <x:c r="D143" s="55"/>
      <x:c r="E143" s="56"/>
      <x:c r="F143" s="23"/>
      <x:c r="G143" s="25"/>
      <x:c r="H143" s="25"/>
      <x:c r="I143" s="25"/>
      <x:c r="J143" s="25"/>
      <x:c r="K143" s="25"/>
      <x:c r="L143" s="24"/>
      <x:c r="M143" s="24"/>
      <x:c r="N143" s="94"/>
      <x:c r="O143" s="94"/>
      <x:c r="P143" s="94"/>
      <x:c r="Q143" s="94"/>
      <x:c r="R143" s="94"/>
      <x:c r="S143" s="26">
        <x:f t="shared" si="6"/>
        <x:v>0</x:v>
      </x:c>
      <x:c r="T143" s="23"/>
      <x:c r="U143" s="23"/>
    </x:row>
    <x:row r="144" ht="18.75" customHeight="1">
      <x:c r="A144" s="19"/>
      <x:c r="B144" s="29"/>
      <x:c r="C144" s="21"/>
      <x:c r="D144" s="55"/>
      <x:c r="E144" s="56"/>
      <x:c r="F144" s="23"/>
      <x:c r="G144" s="25"/>
      <x:c r="H144" s="25"/>
      <x:c r="I144" s="25"/>
      <x:c r="J144" s="25"/>
      <x:c r="K144" s="25"/>
      <x:c r="L144" s="24"/>
      <x:c r="M144" s="24"/>
      <x:c r="N144" s="94"/>
      <x:c r="O144" s="94"/>
      <x:c r="P144" s="94"/>
      <x:c r="Q144" s="94"/>
      <x:c r="R144" s="94"/>
      <x:c r="S144" s="26">
        <x:f t="shared" si="6"/>
        <x:v>0</x:v>
      </x:c>
      <x:c r="T144" s="23"/>
      <x:c r="U144" s="23"/>
    </x:row>
    <x:row r="145" ht="18.75" customHeight="1">
      <x:c r="A145" s="19"/>
      <x:c r="B145" s="29"/>
      <x:c r="C145" s="21"/>
      <x:c r="D145" s="55"/>
      <x:c r="E145" s="56"/>
      <x:c r="F145" s="23"/>
      <x:c r="G145" s="25"/>
      <x:c r="H145" s="24"/>
      <x:c r="I145" s="24"/>
      <x:c r="J145" s="24"/>
      <x:c r="K145" s="25"/>
      <x:c r="L145" s="24"/>
      <x:c r="M145" s="24"/>
      <x:c r="N145" s="94"/>
      <x:c r="O145" s="94"/>
      <x:c r="P145" s="94"/>
      <x:c r="Q145" s="94"/>
      <x:c r="R145" s="94"/>
      <x:c r="S145" s="26">
        <x:f t="shared" si="6"/>
        <x:v>0</x:v>
      </x:c>
      <x:c r="T145" s="23"/>
      <x:c r="U145" s="23"/>
    </x:row>
    <x:row r="146" ht="18.75" customHeight="1">
      <x:c r="A146" s="19"/>
      <x:c r="B146" s="29"/>
      <x:c r="C146" s="21"/>
      <x:c r="D146" s="55"/>
      <x:c r="E146" s="56"/>
      <x:c r="F146" s="23"/>
      <x:c r="G146" s="25"/>
      <x:c r="H146" s="25"/>
      <x:c r="I146" s="25"/>
      <x:c r="J146" s="25"/>
      <x:c r="K146" s="24"/>
      <x:c r="L146" s="25"/>
      <x:c r="M146" s="25"/>
      <x:c r="N146" s="94"/>
      <x:c r="O146" s="94"/>
      <x:c r="P146" s="94"/>
      <x:c r="Q146" s="94"/>
      <x:c r="R146" s="94"/>
      <x:c r="S146" s="26">
        <x:f t="shared" si="6"/>
        <x:v>0</x:v>
      </x:c>
      <x:c r="T146" s="23"/>
      <x:c r="U146" s="23"/>
    </x:row>
    <x:row r="147" ht="18.75" customHeight="1">
      <x:c r="A147" s="19"/>
      <x:c r="B147" s="29"/>
      <x:c r="C147" s="21"/>
      <x:c r="D147" s="55"/>
      <x:c r="E147" s="56"/>
      <x:c r="F147" s="23"/>
      <x:c r="G147" s="25"/>
      <x:c r="H147" s="25"/>
      <x:c r="I147" s="25"/>
      <x:c r="J147" s="25"/>
      <x:c r="K147" s="25"/>
      <x:c r="L147" s="24"/>
      <x:c r="M147" s="24"/>
      <x:c r="N147" s="94"/>
      <x:c r="O147" s="94"/>
      <x:c r="P147" s="94"/>
      <x:c r="Q147" s="94"/>
      <x:c r="R147" s="94"/>
      <x:c r="S147" s="26">
        <x:f t="shared" si="6"/>
        <x:v>0</x:v>
      </x:c>
      <x:c r="T147" s="23"/>
      <x:c r="U147" s="23"/>
    </x:row>
    <x:row r="148" ht="18.75" customHeight="1">
      <x:c r="A148" s="19"/>
      <x:c r="B148" s="29"/>
      <x:c r="C148" s="21"/>
      <x:c r="D148" s="55"/>
      <x:c r="E148" s="56"/>
      <x:c r="F148" s="23"/>
      <x:c r="G148" s="25"/>
      <x:c r="H148" s="25"/>
      <x:c r="I148" s="25"/>
      <x:c r="J148" s="25"/>
      <x:c r="K148" s="24"/>
      <x:c r="L148" s="25"/>
      <x:c r="M148" s="25"/>
      <x:c r="N148" s="94"/>
      <x:c r="O148" s="94"/>
      <x:c r="P148" s="94"/>
      <x:c r="Q148" s="94"/>
      <x:c r="R148" s="94"/>
      <x:c r="S148" s="26">
        <x:f t="shared" si="6"/>
        <x:v>0</x:v>
      </x:c>
      <x:c r="T148" s="23"/>
      <x:c r="U148" s="23"/>
    </x:row>
    <x:row r="149" ht="18.75" customHeight="1">
      <x:c r="A149" s="19"/>
      <x:c r="B149" s="29"/>
      <x:c r="C149" s="21"/>
      <x:c r="D149" s="55"/>
      <x:c r="E149" s="56"/>
      <x:c r="F149" s="23"/>
      <x:c r="G149" s="25"/>
      <x:c r="H149" s="25"/>
      <x:c r="I149" s="25"/>
      <x:c r="J149" s="25"/>
      <x:c r="K149" s="24"/>
      <x:c r="L149" s="25"/>
      <x:c r="M149" s="25"/>
      <x:c r="N149" s="94"/>
      <x:c r="O149" s="94"/>
      <x:c r="P149" s="94"/>
      <x:c r="Q149" s="94"/>
      <x:c r="R149" s="94"/>
      <x:c r="S149" s="26">
        <x:f t="shared" si="6"/>
        <x:v>0</x:v>
      </x:c>
      <x:c r="T149" s="23"/>
      <x:c r="U149" s="23"/>
    </x:row>
    <x:row r="150" ht="18.75" customHeight="1">
      <x:c r="A150" s="19"/>
      <x:c r="B150" s="29"/>
      <x:c r="C150" s="21"/>
      <x:c r="D150" s="55"/>
      <x:c r="E150" s="56"/>
      <x:c r="F150" s="23"/>
      <x:c r="G150" s="25"/>
      <x:c r="H150" s="25"/>
      <x:c r="I150" s="25"/>
      <x:c r="J150" s="25"/>
      <x:c r="K150" s="24"/>
      <x:c r="L150" s="24"/>
      <x:c r="M150" s="24"/>
      <x:c r="N150" s="94"/>
      <x:c r="O150" s="94"/>
      <x:c r="P150" s="94"/>
      <x:c r="Q150" s="94"/>
      <x:c r="R150" s="23"/>
      <x:c r="S150" s="26">
        <x:f t="shared" si="6"/>
        <x:v>0</x:v>
      </x:c>
      <x:c r="T150" s="23"/>
      <x:c r="U150" s="23"/>
    </x:row>
    <x:row r="151" ht="18.75" customHeight="1">
      <x:c r="A151" s="19"/>
      <x:c r="B151" s="29"/>
      <x:c r="C151" s="21"/>
      <x:c r="D151" s="55"/>
      <x:c r="E151" s="56"/>
      <x:c r="F151" s="23"/>
      <x:c r="G151" s="25"/>
      <x:c r="H151" s="25"/>
      <x:c r="I151" s="25"/>
      <x:c r="J151" s="25"/>
      <x:c r="K151" s="25"/>
      <x:c r="L151" s="25"/>
      <x:c r="M151" s="25"/>
      <x:c r="N151" s="94"/>
      <x:c r="O151" s="94"/>
      <x:c r="P151" s="94"/>
      <x:c r="Q151" s="94"/>
      <x:c r="R151" s="94"/>
      <x:c r="S151" s="26">
        <x:f t="shared" si="6"/>
        <x:v>0</x:v>
      </x:c>
      <x:c r="T151" s="23"/>
      <x:c r="U151" s="23"/>
    </x:row>
    <x:row r="152" ht="18.75" customHeight="1">
      <x:c r="A152" s="19"/>
      <x:c r="B152" s="29"/>
      <x:c r="C152" s="21"/>
      <x:c r="D152" s="55"/>
      <x:c r="E152" s="56"/>
      <x:c r="F152" s="23"/>
      <x:c r="G152" s="25"/>
      <x:c r="H152" s="25"/>
      <x:c r="I152" s="25"/>
      <x:c r="J152" s="25"/>
      <x:c r="K152" s="24"/>
      <x:c r="L152" s="25"/>
      <x:c r="M152" s="25"/>
      <x:c r="N152" s="94"/>
      <x:c r="O152" s="94"/>
      <x:c r="P152" s="94"/>
      <x:c r="Q152" s="94"/>
      <x:c r="R152" s="94"/>
      <x:c r="S152" s="26">
        <x:f t="shared" si="6"/>
        <x:v>0</x:v>
      </x:c>
      <x:c r="T152" s="23"/>
      <x:c r="U152" s="23"/>
    </x:row>
    <x:row r="153" ht="18.75" customHeight="1">
      <x:c r="A153" s="19"/>
      <x:c r="B153" s="29"/>
      <x:c r="C153" s="21"/>
      <x:c r="D153" s="55"/>
      <x:c r="E153" s="56"/>
      <x:c r="F153" s="23"/>
      <x:c r="G153" s="25"/>
      <x:c r="H153" s="25"/>
      <x:c r="I153" s="25"/>
      <x:c r="J153" s="25"/>
      <x:c r="K153" s="25"/>
      <x:c r="L153" s="25"/>
      <x:c r="M153" s="25"/>
      <x:c r="N153" s="94"/>
      <x:c r="O153" s="94"/>
      <x:c r="P153" s="23"/>
      <x:c r="Q153" s="94"/>
      <x:c r="R153" s="94"/>
      <x:c r="S153" s="26">
        <x:f t="shared" si="6"/>
        <x:v>0</x:v>
      </x:c>
      <x:c r="T153" s="23"/>
      <x:c r="U153" s="23"/>
    </x:row>
    <x:row r="154" ht="18.75" customHeight="1">
      <x:c r="A154" s="19"/>
      <x:c r="B154" s="29"/>
      <x:c r="C154" s="21"/>
      <x:c r="D154" s="55"/>
      <x:c r="E154" s="56"/>
      <x:c r="F154" s="23"/>
      <x:c r="G154" s="25"/>
      <x:c r="H154" s="25"/>
      <x:c r="I154" s="25"/>
      <x:c r="J154" s="25"/>
      <x:c r="K154" s="25"/>
      <x:c r="L154" s="25"/>
      <x:c r="M154" s="25"/>
      <x:c r="N154" s="94"/>
      <x:c r="O154" s="94"/>
      <x:c r="P154" s="94"/>
      <x:c r="Q154" s="94"/>
      <x:c r="R154" s="94"/>
      <x:c r="S154" s="26">
        <x:f t="shared" si="6"/>
        <x:v>0</x:v>
      </x:c>
      <x:c r="T154" s="23"/>
      <x:c r="U154" s="23"/>
    </x:row>
    <x:row r="155" ht="18.75" customHeight="1">
      <x:c r="A155" s="19"/>
      <x:c r="B155" s="29"/>
      <x:c r="C155" s="21"/>
      <x:c r="D155" s="55"/>
      <x:c r="E155" s="56"/>
      <x:c r="F155" s="23"/>
      <x:c r="G155" s="25"/>
      <x:c r="H155" s="25"/>
      <x:c r="I155" s="25"/>
      <x:c r="J155" s="25"/>
      <x:c r="K155" s="24"/>
      <x:c r="L155" s="25"/>
      <x:c r="M155" s="25"/>
      <x:c r="N155" s="94"/>
      <x:c r="O155" s="94"/>
      <x:c r="P155" s="94"/>
      <x:c r="Q155" s="94"/>
      <x:c r="R155" s="94"/>
      <x:c r="S155" s="26"/>
      <x:c r="T155" s="23"/>
      <x:c r="U155" s="23"/>
    </x:row>
    <x:row r="156" ht="18.75" customHeight="1">
      <x:c r="A156" s="19"/>
      <x:c r="B156" s="29"/>
      <x:c r="C156" s="21"/>
      <x:c r="D156" s="55"/>
      <x:c r="E156" s="56"/>
      <x:c r="F156" s="23"/>
      <x:c r="G156" s="25"/>
      <x:c r="H156" s="24"/>
      <x:c r="I156" s="24"/>
      <x:c r="J156" s="24"/>
      <x:c r="K156" s="25"/>
      <x:c r="L156" s="25"/>
      <x:c r="M156" s="25"/>
      <x:c r="N156" s="94"/>
      <x:c r="O156" s="94"/>
      <x:c r="P156" s="23"/>
      <x:c r="Q156" s="94"/>
      <x:c r="R156" s="94"/>
      <x:c r="S156" s="26"/>
      <x:c r="T156" s="23"/>
      <x:c r="U156" s="23"/>
    </x:row>
    <x:row r="157" ht="18.75" customHeight="1">
      <x:c r="A157" s="19"/>
      <x:c r="B157" s="29"/>
      <x:c r="C157" s="21"/>
      <x:c r="D157" s="55"/>
      <x:c r="E157" s="56"/>
      <x:c r="F157" s="23"/>
      <x:c r="G157" s="25"/>
      <x:c r="H157" s="25"/>
      <x:c r="I157" s="25"/>
      <x:c r="J157" s="25"/>
      <x:c r="K157" s="25"/>
      <x:c r="L157" s="24"/>
      <x:c r="M157" s="24"/>
      <x:c r="N157" s="94"/>
      <x:c r="O157" s="94"/>
      <x:c r="P157" s="94"/>
      <x:c r="Q157" s="94"/>
      <x:c r="R157" s="94"/>
      <x:c r="S157" s="26"/>
      <x:c r="T157" s="23"/>
      <x:c r="U157" s="23"/>
    </x:row>
    <x:row r="158" ht="18.75" customHeight="1">
      <x:c r="A158" s="19"/>
      <x:c r="B158" s="29"/>
      <x:c r="C158" s="21"/>
      <x:c r="D158" s="55"/>
      <x:c r="E158" s="56"/>
      <x:c r="F158" s="23"/>
      <x:c r="G158" s="25"/>
      <x:c r="H158" s="25"/>
      <x:c r="I158" s="25"/>
      <x:c r="J158" s="25"/>
      <x:c r="K158" s="25"/>
      <x:c r="L158" s="24"/>
      <x:c r="M158" s="24"/>
      <x:c r="N158" s="94"/>
      <x:c r="O158" s="94"/>
      <x:c r="P158" s="94"/>
      <x:c r="Q158" s="94"/>
      <x:c r="R158" s="94"/>
      <x:c r="S158" s="26"/>
      <x:c r="T158" s="23"/>
      <x:c r="U158" s="23"/>
    </x:row>
    <x:row r="159" ht="18.75" customHeight="1">
      <x:c r="A159" s="19"/>
      <x:c r="B159" s="29"/>
      <x:c r="C159" s="21"/>
      <x:c r="D159" s="55"/>
      <x:c r="E159" s="56"/>
      <x:c r="F159" s="23"/>
      <x:c r="G159" s="25"/>
      <x:c r="H159" s="25"/>
      <x:c r="I159" s="25"/>
      <x:c r="J159" s="25"/>
      <x:c r="K159" s="25"/>
      <x:c r="N159" s="91"/>
      <x:c r="O159" s="94"/>
      <x:c r="P159" s="94"/>
      <x:c r="Q159" s="94"/>
      <x:c r="R159" s="94"/>
      <x:c r="S159" s="26"/>
      <x:c r="T159" s="23"/>
      <x:c r="U159" s="23"/>
    </x:row>
    <x:row r="160" ht="18.75" customHeight="1">
      <x:c r="A160" s="19"/>
      <x:c r="B160" s="29"/>
      <x:c r="C160" s="21"/>
      <x:c r="D160" s="55"/>
      <x:c r="E160" s="56"/>
      <x:c r="F160" s="23"/>
      <x:c r="G160" s="25"/>
      <x:c r="H160" s="25"/>
      <x:c r="I160" s="25"/>
      <x:c r="J160" s="25"/>
      <x:c r="K160" s="24"/>
      <x:c r="L160" s="25"/>
      <x:c r="M160" s="25"/>
      <x:c r="N160" s="94"/>
      <x:c r="O160" s="94"/>
      <x:c r="P160" s="94"/>
      <x:c r="Q160" s="94"/>
      <x:c r="R160" s="94"/>
      <x:c r="S160" s="26"/>
      <x:c r="T160" s="23"/>
      <x:c r="U160" s="23"/>
    </x:row>
    <x:row r="161" ht="18.75" customHeight="1">
      <x:c r="A161" s="19"/>
      <x:c r="B161" s="29"/>
      <x:c r="C161" s="21"/>
      <x:c r="D161" s="55"/>
      <x:c r="E161" s="56"/>
      <x:c r="F161" s="23"/>
      <x:c r="G161" s="25"/>
      <x:c r="H161" s="25"/>
      <x:c r="I161" s="25"/>
      <x:c r="J161" s="25"/>
      <x:c r="K161" s="25"/>
      <x:c r="L161" s="24"/>
      <x:c r="M161" s="24"/>
      <x:c r="N161" s="94"/>
      <x:c r="O161" s="94"/>
      <x:c r="P161" s="94"/>
      <x:c r="Q161" s="94"/>
      <x:c r="R161" s="94"/>
      <x:c r="S161" s="26"/>
      <x:c r="T161" s="23"/>
      <x:c r="U161" s="23"/>
    </x:row>
    <x:row r="162" ht="18.75" customHeight="1">
      <x:c r="A162" s="19"/>
      <x:c r="B162" s="29"/>
      <x:c r="C162" s="21"/>
      <x:c r="D162" s="55"/>
      <x:c r="E162" s="56"/>
      <x:c r="F162" s="23"/>
      <x:c r="G162" s="25"/>
      <x:c r="H162" s="25"/>
      <x:c r="I162" s="25"/>
      <x:c r="J162" s="25"/>
      <x:c r="K162" s="25"/>
      <x:c r="L162" s="24"/>
      <x:c r="M162" s="24"/>
      <x:c r="N162" s="94"/>
      <x:c r="O162" s="94"/>
      <x:c r="P162" s="94"/>
      <x:c r="Q162" s="94"/>
      <x:c r="R162" s="94"/>
      <x:c r="S162" s="26"/>
      <x:c r="T162" s="23"/>
      <x:c r="U162" s="23"/>
    </x:row>
    <x:row r="163" ht="18.75" customHeight="1">
      <x:c r="A163" s="19"/>
      <x:c r="B163" s="29"/>
      <x:c r="C163" s="21"/>
      <x:c r="D163" s="55"/>
      <x:c r="E163" s="56"/>
      <x:c r="F163" s="23"/>
      <x:c r="G163" s="25"/>
      <x:c r="H163" s="25"/>
      <x:c r="I163" s="25"/>
      <x:c r="J163" s="25"/>
      <x:c r="K163" s="25"/>
      <x:c r="L163" s="25"/>
      <x:c r="M163" s="25"/>
      <x:c r="N163" s="94"/>
      <x:c r="O163" s="94"/>
      <x:c r="P163" s="94"/>
      <x:c r="Q163" s="94"/>
      <x:c r="R163" s="94"/>
      <x:c r="S163" s="26"/>
      <x:c r="T163" s="23"/>
      <x:c r="U163" s="23"/>
    </x:row>
    <x:row r="164" ht="18.75" customHeight="1">
      <x:c r="A164" s="19"/>
      <x:c r="B164" s="29"/>
      <x:c r="C164" s="21"/>
      <x:c r="D164" s="55"/>
      <x:c r="E164" s="56"/>
      <x:c r="F164" s="23"/>
      <x:c r="G164" s="25"/>
      <x:c r="H164" s="25"/>
      <x:c r="I164" s="25"/>
      <x:c r="J164" s="25"/>
      <x:c r="K164" s="25"/>
      <x:c r="L164" s="24"/>
      <x:c r="M164" s="24"/>
      <x:c r="N164" s="94"/>
      <x:c r="O164" s="94"/>
      <x:c r="P164" s="94"/>
      <x:c r="Q164" s="94"/>
      <x:c r="R164" s="94"/>
      <x:c r="S164" s="26"/>
      <x:c r="T164" s="23"/>
      <x:c r="U164" s="23"/>
    </x:row>
    <x:row r="165" ht="18.75" customHeight="1">
      <x:c r="A165" s="19"/>
      <x:c r="B165" s="29"/>
      <x:c r="C165" s="21"/>
      <x:c r="D165" s="55"/>
      <x:c r="E165" s="56"/>
      <x:c r="F165" s="23"/>
      <x:c r="G165" s="25"/>
      <x:c r="H165" s="25"/>
      <x:c r="I165" s="25"/>
      <x:c r="J165" s="25"/>
      <x:c r="K165" s="25"/>
      <x:c r="L165" s="24"/>
      <x:c r="M165" s="24"/>
      <x:c r="N165" s="94"/>
      <x:c r="O165" s="94"/>
      <x:c r="P165" s="94"/>
      <x:c r="Q165" s="94"/>
      <x:c r="R165" s="94"/>
      <x:c r="S165" s="26"/>
      <x:c r="T165" s="23"/>
      <x:c r="U165" s="23"/>
    </x:row>
    <x:row r="166" ht="18.75" customHeight="1">
      <x:c r="A166" s="19"/>
      <x:c r="B166" s="29"/>
      <x:c r="C166" s="21"/>
      <x:c r="D166" s="55"/>
      <x:c r="E166" s="56"/>
      <x:c r="F166" s="23"/>
      <x:c r="G166" s="25"/>
      <x:c r="H166" s="25"/>
      <x:c r="I166" s="25"/>
      <x:c r="J166" s="25"/>
      <x:c r="K166" s="24"/>
      <x:c r="L166" s="25"/>
      <x:c r="M166" s="25"/>
      <x:c r="N166" s="94"/>
      <x:c r="O166" s="94"/>
      <x:c r="P166" s="94"/>
      <x:c r="Q166" s="94"/>
      <x:c r="R166" s="94"/>
      <x:c r="S166" s="26"/>
      <x:c r="T166" s="23"/>
      <x:c r="U166" s="23"/>
    </x:row>
    <x:row r="167" ht="18.75" customHeight="1">
      <x:c r="A167" s="19"/>
      <x:c r="B167" s="29"/>
      <x:c r="C167" s="21"/>
      <x:c r="D167" s="55"/>
      <x:c r="E167" s="56"/>
      <x:c r="F167" s="23"/>
      <x:c r="G167" s="25"/>
      <x:c r="H167" s="24"/>
      <x:c r="I167" s="24"/>
      <x:c r="J167" s="24"/>
      <x:c r="K167" s="25"/>
      <x:c r="L167" s="24"/>
      <x:c r="M167" s="24"/>
      <x:c r="N167" s="94"/>
      <x:c r="O167" s="94"/>
      <x:c r="P167" s="94"/>
      <x:c r="Q167" s="94"/>
      <x:c r="R167" s="94"/>
      <x:c r="S167" s="26"/>
      <x:c r="T167" s="23"/>
      <x:c r="U167" s="23"/>
    </x:row>
    <x:row r="168">
      <x:c r="A168" s="75"/>
      <x:c r="B168" s="76" t="s">
        <x:v>27</x:v>
      </x:c>
      <x:c r="C168" s="77"/>
      <x:c r="D168" s="78"/>
      <x:c r="E168" s="77" t="n">
        <x:f>SUM(E2:E139)</x:f>
        <x:v>0</x:v>
      </x:c>
      <x:c r="F168" s="77" t="n">
        <x:f t="shared" ref="F168:S168" si="7">SUM(F2:F167)</x:f>
        <x:v>0</x:v>
      </x:c>
      <x:c r="G168" s="79">
        <x:f t="shared" si="7"/>
        <x:v>0</x:v>
      </x:c>
      <x:c r="H168" s="79">
        <x:f t="shared" si="7"/>
        <x:v>0</x:v>
      </x:c>
      <x:c r="I168" s="79">
        <x:f t="shared" si="7"/>
        <x:v>0</x:v>
      </x:c>
      <x:c r="J168" s="79">
        <x:f t="shared" si="7"/>
        <x:v>31</x:v>
      </x:c>
      <x:c r="K168" s="79">
        <x:f t="shared" si="7"/>
        <x:v>1</x:v>
      </x:c>
      <x:c r="L168" s="79">
        <x:f t="shared" si="7"/>
        <x:v>0</x:v>
      </x:c>
      <x:c r="M168" s="79">
        <x:f t="shared" si="7"/>
        <x:v>2</x:v>
      </x:c>
      <x:c r="N168" s="77">
        <x:f t="shared" si="7"/>
        <x:v>2</x:v>
      </x:c>
      <x:c r="O168" s="77">
        <x:f t="shared" si="7"/>
        <x:v>0</x:v>
      </x:c>
      <x:c r="P168" s="77">
        <x:f t="shared" si="7"/>
        <x:v>8</x:v>
      </x:c>
      <x:c r="Q168" s="77">
        <x:f t="shared" si="7"/>
        <x:v>0</x:v>
      </x:c>
      <x:c r="R168" s="77">
        <x:f t="shared" si="7"/>
        <x:v>15</x:v>
      </x:c>
      <x:c r="S168" s="80">
        <x:f t="shared" si="7"/>
        <x:v>26466700</x:v>
      </x:c>
      <x:c r="T168" s="77"/>
      <x:c r="U168" s="77"/>
    </x:row>
    <x:row r="169">
      <x:c r="A169" s="75"/>
      <x:c r="B169" s="76" t="s">
        <x:v>51</x:v>
      </x:c>
      <x:c r="C169" s="81"/>
      <x:c r="D169" s="82">
        <x:v>300000.0</x:v>
      </x:c>
      <x:c r="E169" s="83" t="n">
        <x:f>E168*Inventory_batches!I60</x:f>
        <x:v>0</x:v>
      </x:c>
      <x:c r="F169" s="83" t="n">
        <x:f>F168*Inventory_batches!I103</x:f>
        <x:v>0</x:v>
      </x:c>
      <x:c r="G169" s="84" t="n">
        <x:f>G168*Inventory_batches!I106</x:f>
        <x:v>0</x:v>
      </x:c>
      <x:c r="H169" s="84" t="n">
        <x:f>H168*Inventory_batches!I105</x:f>
        <x:v>0</x:v>
      </x:c>
      <x:c r="I169" s="84" t="n">
        <x:f>I168*Inventory_batches!I104</x:f>
        <x:v>0</x:v>
      </x:c>
      <x:c r="J169" s="84" t="n">
        <x:f>J168*Inventory_batches!I108</x:f>
        <x:v>12142230.613207547</x:v>
      </x:c>
      <x:c r="K169" s="84" t="n">
        <x:f>K168*Inventory_batches!I98</x:f>
        <x:v>140531.6304347826</x:v>
      </x:c>
      <x:c r="L169" s="84" t="n">
        <x:f>L168*Inventory_batches!I94</x:f>
        <x:v>0</x:v>
      </x:c>
      <x:c r="M169" s="84" t="n">
        <x:f>M168*Inventory_batches!I102</x:f>
        <x:v>277219.71698113205</x:v>
      </x:c>
      <x:c r="N169" s="84" t="n">
        <x:f>N168*Inventory_batches!I107</x:f>
        <x:v>429064.71698113205</x:v>
      </x:c>
      <x:c r="O169" s="83" t="n">
        <x:f>O168*Inventory_batches!I81</x:f>
        <x:v>0</x:v>
      </x:c>
      <x:c r="P169" s="83" t="n">
        <x:f>P168*Inventory_batches!I80</x:f>
        <x:v>1339062.4864864864</x:v>
      </x:c>
      <x:c r="Q169" s="83" t="n">
        <x:f>Q168*Inventory_batches!I70</x:f>
        <x:v>0</x:v>
      </x:c>
      <x:c r="R169" s="83" t="n">
        <x:f>R168*Inventory_batches!I89</x:f>
        <x:v>2149108.2352941176</x:v>
      </x:c>
      <x:c r="S169" s="83" t="n">
        <x:f>SUM(E169:R169)+D169</x:f>
        <x:v>16777217.3993852</x:v>
      </x:c>
      <x:c r="T169" s="85" t="n">
        <x:f>S169-W3</x:f>
        <x:v>14052217.399385199</x:v>
      </x:c>
      <x:c r="U169" s="86"/>
      <x:c r="V169" s="32"/>
    </x:row>
    <x:row r="170">
      <x:c r="A170" s="87"/>
      <x:c r="B170" s="88"/>
      <x:c r="D170" s="32"/>
      <x:c r="G170" s="74"/>
      <x:c r="H170" s="74"/>
      <x:c r="I170" s="74"/>
      <x:c r="J170" s="74"/>
      <x:c r="K170" s="74"/>
      <x:c r="L170" s="74"/>
      <x:c r="M170" s="74"/>
      <x:c r="N170" s="89"/>
      <x:c r="O170" s="89"/>
      <x:c r="P170" s="89"/>
      <x:c r="Q170" s="89"/>
      <x:c r="R170" s="89"/>
      <x:c r="S170" s="90" t="n">
        <x:f>S168-S169</x:f>
        <x:v>9689482.600614801</x:v>
      </x:c>
      <x:c r="U170" s="86"/>
      <x:c r="V170" s="32"/>
    </x:row>
    <x:row r="171">
      <x:c r="A171" s="87"/>
      <x:c r="B171" s="88"/>
      <x:c r="D171" s="32"/>
      <x:c r="G171" s="74"/>
      <x:c r="H171" s="74"/>
      <x:c r="I171" s="74"/>
      <x:c r="J171" s="74"/>
      <x:c r="K171" s="74"/>
      <x:c r="L171" s="74"/>
      <x:c r="M171" s="74"/>
      <x:c r="N171" s="91"/>
      <x:c r="O171" s="91"/>
      <x:c r="P171" s="91"/>
      <x:c r="Q171" s="91"/>
      <x:c r="R171" s="91"/>
      <x:c r="S171" s="85"/>
      <x:c r="U171" s="86"/>
      <x:c r="V171" s="32"/>
    </x:row>
    <x:row r="172">
      <x:c r="A172" s="87"/>
      <x:c r="B172" s="88"/>
      <x:c r="D172" s="32"/>
      <x:c r="G172" s="74"/>
      <x:c r="H172" s="74"/>
      <x:c r="I172" s="74"/>
      <x:c r="J172" s="74"/>
      <x:c r="K172" s="74"/>
      <x:c r="L172" s="74"/>
      <x:c r="M172" s="74"/>
      <x:c r="N172" s="91"/>
      <x:c r="O172" s="91"/>
      <x:c r="P172" s="91"/>
      <x:c r="Q172" s="91"/>
      <x:c r="R172" s="91"/>
      <x:c r="S172" s="85"/>
      <x:c r="U172" s="86"/>
      <x:c r="V172" s="32"/>
    </x:row>
    <x:row r="173">
      <x:c r="A173" s="87"/>
      <x:c r="B173" s="88"/>
      <x:c r="D173" s="32"/>
      <x:c r="G173" s="74"/>
      <x:c r="H173" s="74"/>
      <x:c r="I173" s="74"/>
      <x:c r="J173" s="74"/>
      <x:c r="K173" s="74"/>
      <x:c r="L173" s="74"/>
      <x:c r="M173" s="74"/>
      <x:c r="N173" s="91"/>
      <x:c r="O173" s="91"/>
      <x:c r="P173" s="91"/>
      <x:c r="Q173" s="91"/>
      <x:c r="R173" s="91"/>
      <x:c r="S173" s="85"/>
      <x:c r="U173" s="86"/>
      <x:c r="V173" s="32"/>
    </x:row>
    <x:row r="174">
      <x:c r="A174" s="87"/>
      <x:c r="B174" s="88"/>
      <x:c r="D174" s="32"/>
      <x:c r="G174" s="74"/>
      <x:c r="H174" s="74"/>
      <x:c r="I174" s="74"/>
      <x:c r="J174" s="74"/>
      <x:c r="K174" s="74"/>
      <x:c r="L174" s="74"/>
      <x:c r="M174" s="74"/>
      <x:c r="N174" s="91"/>
      <x:c r="O174" s="91"/>
      <x:c r="P174" s="91"/>
      <x:c r="Q174" s="91"/>
      <x:c r="R174" s="91"/>
      <x:c r="S174" s="85"/>
      <x:c r="U174" s="86"/>
      <x:c r="V174" s="32"/>
    </x:row>
    <x:row r="175">
      <x:c r="A175" s="87"/>
      <x:c r="B175" s="88"/>
      <x:c r="D175" s="32"/>
      <x:c r="G175" s="74"/>
      <x:c r="H175" s="74"/>
      <x:c r="I175" s="74"/>
      <x:c r="J175" s="74"/>
      <x:c r="K175" s="74"/>
      <x:c r="L175" s="74"/>
      <x:c r="M175" s="74"/>
      <x:c r="N175" s="91"/>
      <x:c r="O175" s="91"/>
      <x:c r="P175" s="91"/>
      <x:c r="Q175" s="91"/>
      <x:c r="R175" s="91"/>
      <x:c r="S175" s="85"/>
      <x:c r="U175" s="86"/>
      <x:c r="V175" s="32"/>
    </x:row>
    <x:row r="176">
      <x:c r="A176" s="87"/>
      <x:c r="B176" s="88"/>
      <x:c r="D176" s="32"/>
      <x:c r="G176" s="74"/>
      <x:c r="H176" s="74"/>
      <x:c r="I176" s="74"/>
      <x:c r="J176" s="74"/>
      <x:c r="K176" s="74"/>
      <x:c r="L176" s="74"/>
      <x:c r="M176" s="74"/>
      <x:c r="N176" s="91"/>
      <x:c r="O176" s="91"/>
      <x:c r="P176" s="91"/>
      <x:c r="Q176" s="91"/>
      <x:c r="R176" s="91"/>
      <x:c r="S176" s="85"/>
      <x:c r="U176" s="86"/>
      <x:c r="V176" s="32"/>
    </x:row>
    <x:row r="177">
      <x:c r="A177" s="87"/>
      <x:c r="B177" s="88"/>
      <x:c r="D177" s="32"/>
      <x:c r="G177" s="74"/>
      <x:c r="H177" s="74"/>
      <x:c r="I177" s="74"/>
      <x:c r="J177" s="74"/>
      <x:c r="K177" s="74"/>
      <x:c r="L177" s="74"/>
      <x:c r="M177" s="74"/>
      <x:c r="N177" s="91"/>
      <x:c r="O177" s="91"/>
      <x:c r="P177" s="91"/>
      <x:c r="Q177" s="91"/>
      <x:c r="R177" s="91"/>
      <x:c r="S177" s="85"/>
      <x:c r="U177" s="86"/>
      <x:c r="V177" s="32"/>
    </x:row>
    <x:row r="178">
      <x:c r="A178" s="87"/>
      <x:c r="B178" s="88"/>
      <x:c r="D178" s="32"/>
      <x:c r="G178" s="74"/>
      <x:c r="H178" s="74"/>
      <x:c r="I178" s="74"/>
      <x:c r="J178" s="74"/>
      <x:c r="K178" s="74"/>
      <x:c r="L178" s="74"/>
      <x:c r="M178" s="74"/>
      <x:c r="N178" s="91"/>
      <x:c r="O178" s="91"/>
      <x:c r="P178" s="91"/>
      <x:c r="Q178" s="91"/>
      <x:c r="R178" s="91"/>
      <x:c r="S178" s="85"/>
      <x:c r="U178" s="86"/>
      <x:c r="V178" s="32"/>
    </x:row>
    <x:row r="179">
      <x:c r="A179" s="87"/>
      <x:c r="B179" s="88"/>
      <x:c r="D179" s="32"/>
      <x:c r="G179" s="74"/>
      <x:c r="H179" s="74"/>
      <x:c r="I179" s="74"/>
      <x:c r="J179" s="74"/>
      <x:c r="K179" s="74"/>
      <x:c r="L179" s="74"/>
      <x:c r="M179" s="74"/>
      <x:c r="N179" s="91"/>
      <x:c r="O179" s="91"/>
      <x:c r="P179" s="91"/>
      <x:c r="Q179" s="91"/>
      <x:c r="R179" s="91"/>
      <x:c r="S179" s="85"/>
      <x:c r="U179" s="86"/>
      <x:c r="V179" s="32"/>
    </x:row>
    <x:row r="180">
      <x:c r="A180" s="87"/>
      <x:c r="B180" s="88"/>
      <x:c r="D180" s="32"/>
      <x:c r="G180" s="74"/>
      <x:c r="H180" s="74"/>
      <x:c r="I180" s="74"/>
      <x:c r="J180" s="74"/>
      <x:c r="K180" s="74"/>
      <x:c r="L180" s="74"/>
      <x:c r="M180" s="74"/>
      <x:c r="N180" s="91"/>
      <x:c r="O180" s="91"/>
      <x:c r="P180" s="91"/>
      <x:c r="Q180" s="91"/>
      <x:c r="R180" s="91"/>
      <x:c r="S180" s="85"/>
      <x:c r="U180" s="86"/>
      <x:c r="V180" s="32"/>
    </x:row>
    <x:row r="181">
      <x:c r="A181" s="87"/>
      <x:c r="B181" s="88"/>
      <x:c r="D181" s="32"/>
      <x:c r="G181" s="74"/>
      <x:c r="H181" s="74"/>
      <x:c r="I181" s="74"/>
      <x:c r="J181" s="74"/>
      <x:c r="K181" s="74"/>
      <x:c r="L181" s="74"/>
      <x:c r="M181" s="74"/>
      <x:c r="N181" s="91"/>
      <x:c r="O181" s="91"/>
      <x:c r="P181" s="91"/>
      <x:c r="Q181" s="91"/>
      <x:c r="R181" s="91"/>
      <x:c r="S181" s="85"/>
      <x:c r="U181" s="86"/>
      <x:c r="V181" s="32"/>
    </x:row>
    <x:row r="182">
      <x:c r="A182" s="87"/>
      <x:c r="B182" s="88"/>
      <x:c r="D182" s="32"/>
      <x:c r="G182" s="74"/>
      <x:c r="H182" s="74"/>
      <x:c r="I182" s="74"/>
      <x:c r="J182" s="74"/>
      <x:c r="K182" s="74"/>
      <x:c r="L182" s="74"/>
      <x:c r="M182" s="74"/>
      <x:c r="N182" s="91"/>
      <x:c r="O182" s="91"/>
      <x:c r="P182" s="91"/>
      <x:c r="Q182" s="91"/>
      <x:c r="R182" s="91"/>
      <x:c r="S182" s="85"/>
      <x:c r="U182" s="86"/>
      <x:c r="V182" s="32"/>
    </x:row>
    <x:row r="183">
      <x:c r="A183" s="87"/>
      <x:c r="B183" s="88"/>
      <x:c r="D183" s="32"/>
      <x:c r="G183" s="74"/>
      <x:c r="H183" s="74"/>
      <x:c r="I183" s="74"/>
      <x:c r="J183" s="74"/>
      <x:c r="K183" s="74"/>
      <x:c r="L183" s="74"/>
      <x:c r="M183" s="74"/>
      <x:c r="N183" s="91"/>
      <x:c r="O183" s="91"/>
      <x:c r="P183" s="91"/>
      <x:c r="Q183" s="91"/>
      <x:c r="R183" s="91"/>
      <x:c r="S183" s="85"/>
      <x:c r="U183" s="86"/>
      <x:c r="V183" s="32"/>
    </x:row>
    <x:row r="184">
      <x:c r="A184" s="87"/>
      <x:c r="B184" s="88"/>
      <x:c r="D184" s="32"/>
      <x:c r="G184" s="74"/>
      <x:c r="H184" s="74"/>
      <x:c r="I184" s="74"/>
      <x:c r="J184" s="74"/>
      <x:c r="K184" s="74"/>
      <x:c r="L184" s="74"/>
      <x:c r="M184" s="74"/>
      <x:c r="N184" s="91"/>
      <x:c r="O184" s="91"/>
      <x:c r="P184" s="91"/>
      <x:c r="Q184" s="91"/>
      <x:c r="R184" s="91"/>
      <x:c r="S184" s="85"/>
      <x:c r="U184" s="86"/>
      <x:c r="V184" s="32"/>
    </x:row>
    <x:row r="185">
      <x:c r="A185" s="87"/>
      <x:c r="B185" s="88"/>
      <x:c r="D185" s="32"/>
      <x:c r="G185" s="74"/>
      <x:c r="H185" s="74"/>
      <x:c r="I185" s="74"/>
      <x:c r="J185" s="74"/>
      <x:c r="K185" s="74"/>
      <x:c r="L185" s="74"/>
      <x:c r="M185" s="74"/>
      <x:c r="N185" s="91"/>
      <x:c r="O185" s="91"/>
      <x:c r="P185" s="91"/>
      <x:c r="Q185" s="91"/>
      <x:c r="R185" s="91"/>
      <x:c r="S185" s="85"/>
      <x:c r="U185" s="86"/>
      <x:c r="V185" s="32"/>
    </x:row>
    <x:row r="186">
      <x:c r="A186" s="87"/>
      <x:c r="B186" s="88"/>
      <x:c r="D186" s="32"/>
      <x:c r="G186" s="74"/>
      <x:c r="H186" s="74"/>
      <x:c r="I186" s="74"/>
      <x:c r="J186" s="74"/>
      <x:c r="K186" s="74"/>
      <x:c r="L186" s="74"/>
      <x:c r="M186" s="74"/>
      <x:c r="N186" s="91"/>
      <x:c r="O186" s="91"/>
      <x:c r="P186" s="91"/>
      <x:c r="Q186" s="91"/>
      <x:c r="R186" s="91"/>
      <x:c r="S186" s="85"/>
      <x:c r="U186" s="86"/>
      <x:c r="V186" s="32"/>
    </x:row>
    <x:row r="187">
      <x:c r="A187" s="87"/>
      <x:c r="B187" s="88"/>
      <x:c r="D187" s="32"/>
      <x:c r="G187" s="74"/>
      <x:c r="H187" s="74"/>
      <x:c r="I187" s="74"/>
      <x:c r="J187" s="74"/>
      <x:c r="K187" s="74"/>
      <x:c r="L187" s="74"/>
      <x:c r="M187" s="74"/>
      <x:c r="N187" s="91"/>
      <x:c r="O187" s="91"/>
      <x:c r="P187" s="91"/>
      <x:c r="Q187" s="91"/>
      <x:c r="R187" s="91"/>
      <x:c r="S187" s="85"/>
      <x:c r="U187" s="86"/>
      <x:c r="V187" s="32"/>
    </x:row>
    <x:row r="188">
      <x:c r="A188" s="87"/>
      <x:c r="B188" s="88"/>
      <x:c r="D188" s="32"/>
      <x:c r="G188" s="74"/>
      <x:c r="H188" s="74"/>
      <x:c r="I188" s="74"/>
      <x:c r="J188" s="74"/>
      <x:c r="K188" s="74"/>
      <x:c r="L188" s="74"/>
      <x:c r="M188" s="74"/>
      <x:c r="N188" s="91"/>
      <x:c r="O188" s="91"/>
      <x:c r="P188" s="91"/>
      <x:c r="Q188" s="91"/>
      <x:c r="R188" s="91"/>
      <x:c r="S188" s="85"/>
      <x:c r="U188" s="86"/>
      <x:c r="V188" s="32"/>
    </x:row>
    <x:row r="189">
      <x:c r="A189" s="87"/>
      <x:c r="B189" s="88"/>
      <x:c r="D189" s="32"/>
      <x:c r="G189" s="74"/>
      <x:c r="H189" s="74"/>
      <x:c r="I189" s="74"/>
      <x:c r="J189" s="74"/>
      <x:c r="K189" s="74"/>
      <x:c r="L189" s="74"/>
      <x:c r="M189" s="74"/>
      <x:c r="N189" s="91"/>
      <x:c r="O189" s="91"/>
      <x:c r="P189" s="91"/>
      <x:c r="Q189" s="91"/>
      <x:c r="R189" s="91"/>
      <x:c r="S189" s="85"/>
      <x:c r="U189" s="86"/>
      <x:c r="V189" s="32"/>
    </x:row>
    <x:row r="190">
      <x:c r="A190" s="87"/>
      <x:c r="B190" s="88"/>
      <x:c r="D190" s="32"/>
      <x:c r="G190" s="74"/>
      <x:c r="H190" s="74"/>
      <x:c r="I190" s="74"/>
      <x:c r="J190" s="74"/>
      <x:c r="K190" s="74"/>
      <x:c r="L190" s="74"/>
      <x:c r="M190" s="74"/>
      <x:c r="N190" s="91"/>
      <x:c r="O190" s="91"/>
      <x:c r="P190" s="91"/>
      <x:c r="Q190" s="91"/>
      <x:c r="R190" s="91"/>
      <x:c r="S190" s="85"/>
      <x:c r="U190" s="86"/>
      <x:c r="V190" s="32"/>
    </x:row>
    <x:row r="191">
      <x:c r="A191" s="87"/>
      <x:c r="B191" s="88"/>
      <x:c r="D191" s="32"/>
      <x:c r="G191" s="74"/>
      <x:c r="H191" s="74"/>
      <x:c r="I191" s="74"/>
      <x:c r="J191" s="74"/>
      <x:c r="K191" s="74"/>
      <x:c r="L191" s="74"/>
      <x:c r="M191" s="74"/>
      <x:c r="N191" s="91"/>
      <x:c r="O191" s="91"/>
      <x:c r="P191" s="91"/>
      <x:c r="Q191" s="91"/>
      <x:c r="R191" s="91"/>
      <x:c r="S191" s="85"/>
      <x:c r="U191" s="86"/>
      <x:c r="V191" s="32"/>
    </x:row>
    <x:row r="192">
      <x:c r="A192" s="87"/>
      <x:c r="B192" s="88"/>
      <x:c r="D192" s="32"/>
      <x:c r="G192" s="74"/>
      <x:c r="H192" s="74"/>
      <x:c r="I192" s="74"/>
      <x:c r="J192" s="74"/>
      <x:c r="K192" s="74"/>
      <x:c r="L192" s="74"/>
      <x:c r="M192" s="74"/>
      <x:c r="N192" s="91"/>
      <x:c r="O192" s="91"/>
      <x:c r="P192" s="91"/>
      <x:c r="Q192" s="91"/>
      <x:c r="R192" s="91"/>
      <x:c r="S192" s="85"/>
      <x:c r="U192" s="86"/>
      <x:c r="V192" s="32"/>
    </x:row>
    <x:row r="193">
      <x:c r="A193" s="87"/>
      <x:c r="B193" s="88"/>
      <x:c r="D193" s="32"/>
      <x:c r="G193" s="74"/>
      <x:c r="H193" s="74"/>
      <x:c r="I193" s="74"/>
      <x:c r="J193" s="74"/>
      <x:c r="K193" s="74"/>
      <x:c r="L193" s="74"/>
      <x:c r="M193" s="74"/>
      <x:c r="N193" s="91"/>
      <x:c r="O193" s="91"/>
      <x:c r="P193" s="91"/>
      <x:c r="Q193" s="91"/>
      <x:c r="R193" s="91"/>
      <x:c r="S193" s="85"/>
      <x:c r="U193" s="86"/>
      <x:c r="V193" s="32"/>
    </x:row>
    <x:row r="194">
      <x:c r="A194" s="87"/>
      <x:c r="B194" s="88"/>
      <x:c r="D194" s="32"/>
      <x:c r="G194" s="74"/>
      <x:c r="H194" s="74"/>
      <x:c r="I194" s="74"/>
      <x:c r="J194" s="74"/>
      <x:c r="K194" s="74"/>
      <x:c r="L194" s="74"/>
      <x:c r="M194" s="74"/>
      <x:c r="N194" s="91"/>
      <x:c r="O194" s="91"/>
      <x:c r="P194" s="91"/>
      <x:c r="Q194" s="91"/>
      <x:c r="R194" s="91"/>
      <x:c r="S194" s="85"/>
      <x:c r="U194" s="86"/>
      <x:c r="V194" s="32"/>
    </x:row>
    <x:row r="195">
      <x:c r="A195" s="87"/>
      <x:c r="B195" s="88"/>
      <x:c r="D195" s="32"/>
      <x:c r="G195" s="74"/>
      <x:c r="H195" s="74"/>
      <x:c r="I195" s="74"/>
      <x:c r="J195" s="74"/>
      <x:c r="K195" s="74"/>
      <x:c r="L195" s="74"/>
      <x:c r="M195" s="74"/>
      <x:c r="N195" s="91"/>
      <x:c r="O195" s="91"/>
      <x:c r="P195" s="91"/>
      <x:c r="Q195" s="91"/>
      <x:c r="R195" s="91"/>
      <x:c r="S195" s="85"/>
      <x:c r="U195" s="86"/>
      <x:c r="V195" s="32"/>
    </x:row>
    <x:row r="196">
      <x:c r="A196" s="87"/>
      <x:c r="B196" s="88"/>
      <x:c r="D196" s="32"/>
      <x:c r="G196" s="74"/>
      <x:c r="H196" s="74"/>
      <x:c r="I196" s="74"/>
      <x:c r="J196" s="74"/>
      <x:c r="K196" s="74"/>
      <x:c r="L196" s="74"/>
      <x:c r="M196" s="74"/>
      <x:c r="N196" s="91"/>
      <x:c r="O196" s="91"/>
      <x:c r="P196" s="91"/>
      <x:c r="Q196" s="91"/>
      <x:c r="R196" s="91"/>
      <x:c r="S196" s="85"/>
      <x:c r="U196" s="86"/>
      <x:c r="V196" s="32"/>
    </x:row>
    <x:row r="197">
      <x:c r="A197" s="87"/>
      <x:c r="B197" s="88"/>
      <x:c r="D197" s="32"/>
      <x:c r="G197" s="74"/>
      <x:c r="H197" s="74"/>
      <x:c r="I197" s="74"/>
      <x:c r="J197" s="74"/>
      <x:c r="K197" s="74"/>
      <x:c r="L197" s="74"/>
      <x:c r="M197" s="74"/>
      <x:c r="N197" s="91"/>
      <x:c r="O197" s="91"/>
      <x:c r="P197" s="91"/>
      <x:c r="Q197" s="91"/>
      <x:c r="R197" s="91"/>
      <x:c r="S197" s="85"/>
      <x:c r="U197" s="86"/>
      <x:c r="V197" s="32"/>
    </x:row>
    <x:row r="198">
      <x:c r="A198" s="87"/>
      <x:c r="B198" s="88"/>
      <x:c r="D198" s="32"/>
      <x:c r="G198" s="74"/>
      <x:c r="H198" s="74"/>
      <x:c r="I198" s="74"/>
      <x:c r="J198" s="74"/>
      <x:c r="K198" s="74"/>
      <x:c r="L198" s="74"/>
      <x:c r="M198" s="74"/>
      <x:c r="N198" s="91"/>
      <x:c r="O198" s="91"/>
      <x:c r="P198" s="91"/>
      <x:c r="Q198" s="91"/>
      <x:c r="R198" s="91"/>
      <x:c r="S198" s="85"/>
      <x:c r="U198" s="86"/>
      <x:c r="V198" s="32"/>
    </x:row>
    <x:row r="199">
      <x:c r="A199" s="87"/>
      <x:c r="B199" s="88"/>
      <x:c r="D199" s="32"/>
      <x:c r="G199" s="74"/>
      <x:c r="H199" s="74"/>
      <x:c r="I199" s="74"/>
      <x:c r="J199" s="74"/>
      <x:c r="K199" s="74"/>
      <x:c r="L199" s="74"/>
      <x:c r="M199" s="74"/>
      <x:c r="N199" s="91"/>
      <x:c r="O199" s="91"/>
      <x:c r="P199" s="91"/>
      <x:c r="Q199" s="91"/>
      <x:c r="R199" s="91"/>
      <x:c r="S199" s="85"/>
      <x:c r="U199" s="86"/>
      <x:c r="V199" s="32"/>
    </x:row>
    <x:row r="200">
      <x:c r="A200" s="87"/>
      <x:c r="B200" s="88"/>
      <x:c r="D200" s="32"/>
      <x:c r="G200" s="74"/>
      <x:c r="H200" s="74"/>
      <x:c r="I200" s="74"/>
      <x:c r="J200" s="74"/>
      <x:c r="K200" s="74"/>
      <x:c r="L200" s="74"/>
      <x:c r="M200" s="74"/>
      <x:c r="N200" s="91"/>
      <x:c r="O200" s="91"/>
      <x:c r="P200" s="91"/>
      <x:c r="Q200" s="91"/>
      <x:c r="R200" s="91"/>
      <x:c r="S200" s="85"/>
      <x:c r="U200" s="86"/>
      <x:c r="V200" s="32"/>
    </x:row>
    <x:row r="201">
      <x:c r="A201" s="87"/>
      <x:c r="B201" s="88"/>
      <x:c r="D201" s="32"/>
      <x:c r="G201" s="74"/>
      <x:c r="H201" s="74"/>
      <x:c r="I201" s="74"/>
      <x:c r="J201" s="74"/>
      <x:c r="K201" s="74"/>
      <x:c r="L201" s="74"/>
      <x:c r="M201" s="74"/>
      <x:c r="N201" s="91"/>
      <x:c r="O201" s="91"/>
      <x:c r="P201" s="91"/>
      <x:c r="Q201" s="91"/>
      <x:c r="R201" s="91"/>
      <x:c r="S201" s="85"/>
      <x:c r="U201" s="86"/>
      <x:c r="V201" s="32"/>
    </x:row>
    <x:row r="202">
      <x:c r="A202" s="87"/>
      <x:c r="B202" s="88"/>
      <x:c r="D202" s="32"/>
      <x:c r="G202" s="74"/>
      <x:c r="H202" s="74"/>
      <x:c r="I202" s="74"/>
      <x:c r="J202" s="74"/>
      <x:c r="K202" s="74"/>
      <x:c r="L202" s="74"/>
      <x:c r="M202" s="74"/>
      <x:c r="N202" s="91"/>
      <x:c r="O202" s="91"/>
      <x:c r="P202" s="91"/>
      <x:c r="Q202" s="91"/>
      <x:c r="R202" s="91"/>
      <x:c r="S202" s="85"/>
      <x:c r="U202" s="86"/>
      <x:c r="V202" s="32"/>
    </x:row>
    <x:row r="203">
      <x:c r="A203" s="87"/>
      <x:c r="B203" s="88"/>
      <x:c r="D203" s="32"/>
      <x:c r="G203" s="74"/>
      <x:c r="H203" s="74"/>
      <x:c r="I203" s="74"/>
      <x:c r="J203" s="74"/>
      <x:c r="K203" s="74"/>
      <x:c r="L203" s="74"/>
      <x:c r="M203" s="74"/>
      <x:c r="N203" s="91"/>
      <x:c r="O203" s="91"/>
      <x:c r="P203" s="91"/>
      <x:c r="Q203" s="91"/>
      <x:c r="R203" s="91"/>
      <x:c r="S203" s="85"/>
      <x:c r="U203" s="86"/>
      <x:c r="V203" s="32"/>
    </x:row>
    <x:row r="204">
      <x:c r="A204" s="87"/>
      <x:c r="B204" s="88"/>
      <x:c r="D204" s="32"/>
      <x:c r="G204" s="74"/>
      <x:c r="H204" s="74"/>
      <x:c r="I204" s="74"/>
      <x:c r="J204" s="74"/>
      <x:c r="K204" s="74"/>
      <x:c r="L204" s="74"/>
      <x:c r="M204" s="74"/>
      <x:c r="N204" s="91"/>
      <x:c r="O204" s="91"/>
      <x:c r="P204" s="91"/>
      <x:c r="Q204" s="91"/>
      <x:c r="R204" s="91"/>
      <x:c r="S204" s="85"/>
      <x:c r="U204" s="86"/>
      <x:c r="V204" s="32"/>
    </x:row>
    <x:row r="205">
      <x:c r="A205" s="87"/>
      <x:c r="B205" s="88"/>
      <x:c r="D205" s="32"/>
      <x:c r="G205" s="74"/>
      <x:c r="H205" s="74"/>
      <x:c r="I205" s="74"/>
      <x:c r="J205" s="74"/>
      <x:c r="K205" s="74"/>
      <x:c r="L205" s="74"/>
      <x:c r="M205" s="74"/>
      <x:c r="N205" s="91"/>
      <x:c r="O205" s="91"/>
      <x:c r="P205" s="91"/>
      <x:c r="Q205" s="91"/>
      <x:c r="R205" s="91"/>
      <x:c r="S205" s="85"/>
      <x:c r="U205" s="86"/>
      <x:c r="V205" s="32"/>
    </x:row>
    <x:row r="206">
      <x:c r="A206" s="87"/>
      <x:c r="B206" s="88"/>
      <x:c r="D206" s="32"/>
      <x:c r="G206" s="74"/>
      <x:c r="H206" s="74"/>
      <x:c r="I206" s="74"/>
      <x:c r="J206" s="74"/>
      <x:c r="K206" s="74"/>
      <x:c r="L206" s="74"/>
      <x:c r="M206" s="74"/>
      <x:c r="N206" s="91"/>
      <x:c r="O206" s="91"/>
      <x:c r="P206" s="91"/>
      <x:c r="Q206" s="91"/>
      <x:c r="R206" s="91"/>
      <x:c r="S206" s="85"/>
      <x:c r="U206" s="86"/>
      <x:c r="V206" s="32"/>
    </x:row>
    <x:row r="207">
      <x:c r="A207" s="87"/>
      <x:c r="B207" s="88"/>
      <x:c r="D207" s="32"/>
      <x:c r="G207" s="74"/>
      <x:c r="H207" s="74"/>
      <x:c r="I207" s="74"/>
      <x:c r="J207" s="74"/>
      <x:c r="K207" s="74"/>
      <x:c r="L207" s="74"/>
      <x:c r="M207" s="74"/>
      <x:c r="N207" s="91"/>
      <x:c r="O207" s="91"/>
      <x:c r="P207" s="91"/>
      <x:c r="Q207" s="91"/>
      <x:c r="R207" s="91"/>
      <x:c r="S207" s="85"/>
      <x:c r="U207" s="86"/>
      <x:c r="V207" s="32"/>
    </x:row>
    <x:row r="208">
      <x:c r="A208" s="87"/>
      <x:c r="B208" s="88"/>
      <x:c r="D208" s="32"/>
      <x:c r="G208" s="74"/>
      <x:c r="H208" s="74"/>
      <x:c r="I208" s="74"/>
      <x:c r="J208" s="74"/>
      <x:c r="K208" s="74"/>
      <x:c r="L208" s="74"/>
      <x:c r="M208" s="74"/>
      <x:c r="N208" s="91"/>
      <x:c r="O208" s="91"/>
      <x:c r="P208" s="91"/>
      <x:c r="Q208" s="91"/>
      <x:c r="R208" s="91"/>
      <x:c r="S208" s="85"/>
      <x:c r="U208" s="86"/>
      <x:c r="V208" s="32"/>
    </x:row>
    <x:row r="209">
      <x:c r="A209" s="87"/>
      <x:c r="B209" s="88"/>
      <x:c r="D209" s="32"/>
      <x:c r="G209" s="74"/>
      <x:c r="H209" s="74"/>
      <x:c r="I209" s="74"/>
      <x:c r="J209" s="74"/>
      <x:c r="K209" s="74"/>
      <x:c r="L209" s="74"/>
      <x:c r="M209" s="74"/>
      <x:c r="N209" s="91"/>
      <x:c r="O209" s="91"/>
      <x:c r="P209" s="91"/>
      <x:c r="Q209" s="91"/>
      <x:c r="R209" s="91"/>
      <x:c r="S209" s="85"/>
      <x:c r="U209" s="86"/>
      <x:c r="V209" s="32"/>
    </x:row>
    <x:row r="210">
      <x:c r="A210" s="87"/>
      <x:c r="B210" s="88"/>
      <x:c r="D210" s="32"/>
      <x:c r="G210" s="74"/>
      <x:c r="H210" s="74"/>
      <x:c r="I210" s="74"/>
      <x:c r="J210" s="74"/>
      <x:c r="K210" s="74"/>
      <x:c r="L210" s="74"/>
      <x:c r="M210" s="74"/>
      <x:c r="N210" s="91"/>
      <x:c r="O210" s="91"/>
      <x:c r="P210" s="91"/>
      <x:c r="Q210" s="91"/>
      <x:c r="R210" s="91"/>
      <x:c r="S210" s="85"/>
      <x:c r="U210" s="86"/>
      <x:c r="V210" s="32"/>
    </x:row>
    <x:row r="211">
      <x:c r="A211" s="87"/>
      <x:c r="B211" s="88"/>
      <x:c r="D211" s="32"/>
      <x:c r="G211" s="74"/>
      <x:c r="H211" s="74"/>
      <x:c r="I211" s="74"/>
      <x:c r="J211" s="74"/>
      <x:c r="K211" s="74"/>
      <x:c r="L211" s="74"/>
      <x:c r="M211" s="74"/>
      <x:c r="N211" s="91"/>
      <x:c r="O211" s="91"/>
      <x:c r="P211" s="91"/>
      <x:c r="Q211" s="91"/>
      <x:c r="R211" s="91"/>
      <x:c r="S211" s="85"/>
      <x:c r="U211" s="86"/>
      <x:c r="V211" s="32"/>
    </x:row>
    <x:row r="212">
      <x:c r="A212" s="87"/>
      <x:c r="B212" s="88"/>
      <x:c r="D212" s="32"/>
      <x:c r="G212" s="74"/>
      <x:c r="H212" s="74"/>
      <x:c r="I212" s="74"/>
      <x:c r="J212" s="74"/>
      <x:c r="K212" s="74"/>
      <x:c r="L212" s="74"/>
      <x:c r="M212" s="74"/>
      <x:c r="N212" s="91"/>
      <x:c r="O212" s="91"/>
      <x:c r="P212" s="91"/>
      <x:c r="Q212" s="91"/>
      <x:c r="R212" s="91"/>
      <x:c r="S212" s="85"/>
      <x:c r="U212" s="86"/>
      <x:c r="V212" s="32"/>
    </x:row>
    <x:row r="213">
      <x:c r="A213" s="87"/>
      <x:c r="B213" s="88"/>
      <x:c r="D213" s="32"/>
      <x:c r="G213" s="74"/>
      <x:c r="H213" s="74"/>
      <x:c r="I213" s="74"/>
      <x:c r="J213" s="74"/>
      <x:c r="K213" s="74"/>
      <x:c r="L213" s="74"/>
      <x:c r="M213" s="74"/>
      <x:c r="N213" s="91"/>
      <x:c r="O213" s="91"/>
      <x:c r="P213" s="91"/>
      <x:c r="Q213" s="91"/>
      <x:c r="R213" s="91"/>
      <x:c r="S213" s="85"/>
      <x:c r="U213" s="86"/>
      <x:c r="V213" s="32"/>
    </x:row>
    <x:row r="214">
      <x:c r="A214" s="87"/>
      <x:c r="B214" s="88"/>
      <x:c r="D214" s="32"/>
      <x:c r="G214" s="74"/>
      <x:c r="H214" s="74"/>
      <x:c r="I214" s="74"/>
      <x:c r="J214" s="74"/>
      <x:c r="K214" s="74"/>
      <x:c r="L214" s="74"/>
      <x:c r="M214" s="74"/>
      <x:c r="N214" s="91"/>
      <x:c r="O214" s="91"/>
      <x:c r="P214" s="91"/>
      <x:c r="Q214" s="91"/>
      <x:c r="R214" s="91"/>
      <x:c r="S214" s="85"/>
      <x:c r="U214" s="86"/>
      <x:c r="V214" s="32"/>
    </x:row>
    <x:row r="215">
      <x:c r="A215" s="87"/>
      <x:c r="B215" s="88"/>
      <x:c r="D215" s="32"/>
      <x:c r="G215" s="74"/>
      <x:c r="H215" s="74"/>
      <x:c r="I215" s="74"/>
      <x:c r="J215" s="74"/>
      <x:c r="K215" s="74"/>
      <x:c r="L215" s="74"/>
      <x:c r="M215" s="74"/>
      <x:c r="N215" s="91"/>
      <x:c r="O215" s="91"/>
      <x:c r="P215" s="91"/>
      <x:c r="Q215" s="91"/>
      <x:c r="R215" s="91"/>
      <x:c r="S215" s="85"/>
      <x:c r="U215" s="86"/>
      <x:c r="V215" s="32"/>
    </x:row>
    <x:row r="216">
      <x:c r="A216" s="87"/>
      <x:c r="B216" s="88"/>
      <x:c r="D216" s="32"/>
      <x:c r="G216" s="74"/>
      <x:c r="H216" s="74"/>
      <x:c r="I216" s="74"/>
      <x:c r="J216" s="74"/>
      <x:c r="K216" s="74"/>
      <x:c r="L216" s="74"/>
      <x:c r="M216" s="74"/>
      <x:c r="N216" s="91"/>
      <x:c r="O216" s="91"/>
      <x:c r="P216" s="91"/>
      <x:c r="Q216" s="91"/>
      <x:c r="R216" s="91"/>
      <x:c r="S216" s="85"/>
      <x:c r="U216" s="86"/>
      <x:c r="V216" s="32"/>
    </x:row>
    <x:row r="217">
      <x:c r="A217" s="87"/>
      <x:c r="B217" s="88"/>
      <x:c r="D217" s="32"/>
      <x:c r="G217" s="74"/>
      <x:c r="H217" s="74"/>
      <x:c r="I217" s="74"/>
      <x:c r="J217" s="74"/>
      <x:c r="K217" s="74"/>
      <x:c r="L217" s="74"/>
      <x:c r="M217" s="74"/>
      <x:c r="N217" s="91"/>
      <x:c r="O217" s="91"/>
      <x:c r="P217" s="91"/>
      <x:c r="Q217" s="91"/>
      <x:c r="R217" s="91"/>
      <x:c r="S217" s="85"/>
      <x:c r="U217" s="86"/>
      <x:c r="V217" s="32"/>
    </x:row>
    <x:row r="218">
      <x:c r="A218" s="87"/>
      <x:c r="B218" s="88"/>
      <x:c r="D218" s="32"/>
      <x:c r="G218" s="74"/>
      <x:c r="H218" s="74"/>
      <x:c r="I218" s="74"/>
      <x:c r="J218" s="74"/>
      <x:c r="K218" s="74"/>
      <x:c r="L218" s="74"/>
      <x:c r="M218" s="74"/>
      <x:c r="N218" s="91"/>
      <x:c r="O218" s="91"/>
      <x:c r="P218" s="91"/>
      <x:c r="Q218" s="91"/>
      <x:c r="R218" s="91"/>
      <x:c r="S218" s="85"/>
      <x:c r="U218" s="86"/>
      <x:c r="V218" s="32"/>
    </x:row>
    <x:row r="219">
      <x:c r="A219" s="87"/>
      <x:c r="B219" s="88"/>
      <x:c r="D219" s="32"/>
      <x:c r="G219" s="74"/>
      <x:c r="H219" s="74"/>
      <x:c r="I219" s="74"/>
      <x:c r="J219" s="74"/>
      <x:c r="K219" s="74"/>
      <x:c r="L219" s="74"/>
      <x:c r="M219" s="74"/>
      <x:c r="N219" s="91"/>
      <x:c r="O219" s="91"/>
      <x:c r="P219" s="91"/>
      <x:c r="Q219" s="91"/>
      <x:c r="R219" s="91"/>
      <x:c r="S219" s="85"/>
      <x:c r="U219" s="86"/>
      <x:c r="V219" s="32"/>
    </x:row>
    <x:row r="220">
      <x:c r="A220" s="87"/>
      <x:c r="B220" s="88"/>
      <x:c r="D220" s="32"/>
      <x:c r="G220" s="74"/>
      <x:c r="H220" s="74"/>
      <x:c r="I220" s="74"/>
      <x:c r="J220" s="74"/>
      <x:c r="K220" s="74"/>
      <x:c r="L220" s="74"/>
      <x:c r="M220" s="74"/>
      <x:c r="N220" s="91"/>
      <x:c r="O220" s="91"/>
      <x:c r="P220" s="91"/>
      <x:c r="Q220" s="91"/>
      <x:c r="R220" s="91"/>
      <x:c r="S220" s="85"/>
      <x:c r="U220" s="86"/>
      <x:c r="V220" s="32"/>
    </x:row>
    <x:row r="221">
      <x:c r="A221" s="87"/>
      <x:c r="B221" s="88"/>
      <x:c r="D221" s="32"/>
      <x:c r="G221" s="74"/>
      <x:c r="H221" s="74"/>
      <x:c r="I221" s="74"/>
      <x:c r="J221" s="74"/>
      <x:c r="K221" s="74"/>
      <x:c r="L221" s="74"/>
      <x:c r="M221" s="74"/>
      <x:c r="N221" s="91"/>
      <x:c r="O221" s="91"/>
      <x:c r="P221" s="91"/>
      <x:c r="Q221" s="91"/>
      <x:c r="R221" s="91"/>
      <x:c r="S221" s="85"/>
      <x:c r="U221" s="86"/>
      <x:c r="V221" s="32"/>
    </x:row>
    <x:row r="222">
      <x:c r="A222" s="87"/>
      <x:c r="B222" s="88"/>
      <x:c r="D222" s="32"/>
      <x:c r="G222" s="74"/>
      <x:c r="H222" s="74"/>
      <x:c r="I222" s="74"/>
      <x:c r="J222" s="74"/>
      <x:c r="K222" s="74"/>
      <x:c r="L222" s="74"/>
      <x:c r="M222" s="74"/>
      <x:c r="N222" s="91"/>
      <x:c r="O222" s="91"/>
      <x:c r="P222" s="91"/>
      <x:c r="Q222" s="91"/>
      <x:c r="R222" s="91"/>
      <x:c r="S222" s="85"/>
      <x:c r="U222" s="86"/>
      <x:c r="V222" s="32"/>
    </x:row>
    <x:row r="223">
      <x:c r="A223" s="87"/>
      <x:c r="B223" s="88"/>
      <x:c r="D223" s="32"/>
      <x:c r="G223" s="74"/>
      <x:c r="H223" s="74"/>
      <x:c r="I223" s="74"/>
      <x:c r="J223" s="74"/>
      <x:c r="K223" s="74"/>
      <x:c r="L223" s="74"/>
      <x:c r="M223" s="74"/>
      <x:c r="N223" s="91"/>
      <x:c r="O223" s="91"/>
      <x:c r="P223" s="91"/>
      <x:c r="Q223" s="91"/>
      <x:c r="R223" s="91"/>
      <x:c r="S223" s="85"/>
      <x:c r="U223" s="86"/>
      <x:c r="V223" s="32"/>
    </x:row>
    <x:row r="224">
      <x:c r="A224" s="87"/>
      <x:c r="B224" s="88"/>
      <x:c r="D224" s="32"/>
      <x:c r="G224" s="74"/>
      <x:c r="H224" s="74"/>
      <x:c r="I224" s="74"/>
      <x:c r="J224" s="74"/>
      <x:c r="K224" s="74"/>
      <x:c r="L224" s="74"/>
      <x:c r="M224" s="74"/>
      <x:c r="N224" s="91"/>
      <x:c r="O224" s="91"/>
      <x:c r="P224" s="91"/>
      <x:c r="Q224" s="91"/>
      <x:c r="R224" s="91"/>
      <x:c r="S224" s="85"/>
      <x:c r="U224" s="86"/>
      <x:c r="V224" s="32"/>
    </x:row>
    <x:row r="225">
      <x:c r="A225" s="87"/>
      <x:c r="B225" s="88"/>
      <x:c r="D225" s="32"/>
      <x:c r="G225" s="74"/>
      <x:c r="H225" s="74"/>
      <x:c r="I225" s="74"/>
      <x:c r="J225" s="74"/>
      <x:c r="K225" s="74"/>
      <x:c r="L225" s="74"/>
      <x:c r="M225" s="74"/>
      <x:c r="N225" s="91"/>
      <x:c r="O225" s="91"/>
      <x:c r="P225" s="91"/>
      <x:c r="Q225" s="91"/>
      <x:c r="R225" s="91"/>
      <x:c r="S225" s="85"/>
      <x:c r="U225" s="86"/>
      <x:c r="V225" s="32"/>
    </x:row>
    <x:row r="226">
      <x:c r="A226" s="87"/>
      <x:c r="B226" s="88"/>
      <x:c r="D226" s="32"/>
      <x:c r="G226" s="74"/>
      <x:c r="H226" s="74"/>
      <x:c r="I226" s="74"/>
      <x:c r="J226" s="74"/>
      <x:c r="K226" s="74"/>
      <x:c r="L226" s="74"/>
      <x:c r="M226" s="74"/>
      <x:c r="N226" s="91"/>
      <x:c r="O226" s="91"/>
      <x:c r="P226" s="91"/>
      <x:c r="Q226" s="91"/>
      <x:c r="R226" s="91"/>
      <x:c r="S226" s="85"/>
      <x:c r="U226" s="86"/>
      <x:c r="V226" s="32"/>
    </x:row>
    <x:row r="227">
      <x:c r="A227" s="87"/>
      <x:c r="B227" s="88"/>
      <x:c r="D227" s="32"/>
      <x:c r="G227" s="74"/>
      <x:c r="H227" s="74"/>
      <x:c r="I227" s="74"/>
      <x:c r="J227" s="74"/>
      <x:c r="K227" s="74"/>
      <x:c r="L227" s="74"/>
      <x:c r="M227" s="74"/>
      <x:c r="N227" s="91"/>
      <x:c r="O227" s="91"/>
      <x:c r="P227" s="91"/>
      <x:c r="Q227" s="91"/>
      <x:c r="R227" s="91"/>
      <x:c r="S227" s="85"/>
      <x:c r="U227" s="86"/>
      <x:c r="V227" s="32"/>
    </x:row>
    <x:row r="228">
      <x:c r="A228" s="87"/>
      <x:c r="B228" s="88"/>
      <x:c r="D228" s="32"/>
      <x:c r="G228" s="74"/>
      <x:c r="H228" s="74"/>
      <x:c r="I228" s="74"/>
      <x:c r="J228" s="74"/>
      <x:c r="K228" s="74"/>
      <x:c r="L228" s="74"/>
      <x:c r="M228" s="74"/>
      <x:c r="N228" s="91"/>
      <x:c r="O228" s="91"/>
      <x:c r="P228" s="91"/>
      <x:c r="Q228" s="91"/>
      <x:c r="R228" s="91"/>
      <x:c r="S228" s="85"/>
      <x:c r="U228" s="86"/>
      <x:c r="V228" s="32"/>
    </x:row>
    <x:row r="229">
      <x:c r="A229" s="87"/>
      <x:c r="B229" s="88"/>
      <x:c r="D229" s="32"/>
      <x:c r="G229" s="74"/>
      <x:c r="H229" s="74"/>
      <x:c r="I229" s="74"/>
      <x:c r="J229" s="74"/>
      <x:c r="K229" s="74"/>
      <x:c r="L229" s="74"/>
      <x:c r="M229" s="74"/>
      <x:c r="N229" s="91"/>
      <x:c r="O229" s="91"/>
      <x:c r="P229" s="91"/>
      <x:c r="Q229" s="91"/>
      <x:c r="R229" s="91"/>
      <x:c r="S229" s="85"/>
      <x:c r="U229" s="86"/>
      <x:c r="V229" s="32"/>
    </x:row>
    <x:row r="230">
      <x:c r="A230" s="87"/>
      <x:c r="B230" s="88"/>
      <x:c r="D230" s="32"/>
      <x:c r="G230" s="74"/>
      <x:c r="H230" s="74"/>
      <x:c r="I230" s="74"/>
      <x:c r="J230" s="74"/>
      <x:c r="K230" s="74"/>
      <x:c r="L230" s="74"/>
      <x:c r="M230" s="74"/>
      <x:c r="N230" s="91"/>
      <x:c r="O230" s="91"/>
      <x:c r="P230" s="91"/>
      <x:c r="Q230" s="91"/>
      <x:c r="R230" s="91"/>
      <x:c r="S230" s="85"/>
      <x:c r="U230" s="86"/>
      <x:c r="V230" s="32"/>
    </x:row>
    <x:row r="231">
      <x:c r="A231" s="87"/>
      <x:c r="B231" s="88"/>
      <x:c r="D231" s="32"/>
      <x:c r="G231" s="74"/>
      <x:c r="H231" s="74"/>
      <x:c r="I231" s="74"/>
      <x:c r="J231" s="74"/>
      <x:c r="K231" s="74"/>
      <x:c r="L231" s="74"/>
      <x:c r="M231" s="74"/>
      <x:c r="N231" s="91"/>
      <x:c r="O231" s="91"/>
      <x:c r="P231" s="91"/>
      <x:c r="Q231" s="91"/>
      <x:c r="R231" s="91"/>
      <x:c r="S231" s="85"/>
      <x:c r="U231" s="86"/>
      <x:c r="V231" s="32"/>
    </x:row>
    <x:row r="232">
      <x:c r="A232" s="87"/>
      <x:c r="B232" s="88"/>
      <x:c r="D232" s="32"/>
      <x:c r="G232" s="74"/>
      <x:c r="H232" s="74"/>
      <x:c r="I232" s="74"/>
      <x:c r="J232" s="74"/>
      <x:c r="K232" s="74"/>
      <x:c r="L232" s="74"/>
      <x:c r="M232" s="74"/>
      <x:c r="N232" s="91"/>
      <x:c r="O232" s="91"/>
      <x:c r="P232" s="91"/>
      <x:c r="Q232" s="91"/>
      <x:c r="R232" s="91"/>
      <x:c r="S232" s="85"/>
      <x:c r="U232" s="86"/>
      <x:c r="V232" s="32"/>
    </x:row>
    <x:row r="233">
      <x:c r="A233" s="87"/>
      <x:c r="B233" s="88"/>
      <x:c r="D233" s="32"/>
      <x:c r="G233" s="74"/>
      <x:c r="H233" s="74"/>
      <x:c r="I233" s="74"/>
      <x:c r="J233" s="74"/>
      <x:c r="K233" s="74"/>
      <x:c r="L233" s="74"/>
      <x:c r="M233" s="74"/>
      <x:c r="N233" s="91"/>
      <x:c r="O233" s="91"/>
      <x:c r="P233" s="91"/>
      <x:c r="Q233" s="91"/>
      <x:c r="R233" s="91"/>
      <x:c r="S233" s="85"/>
      <x:c r="U233" s="86"/>
      <x:c r="V233" s="32"/>
    </x:row>
    <x:row r="234">
      <x:c r="A234" s="87"/>
      <x:c r="B234" s="88"/>
      <x:c r="D234" s="32"/>
      <x:c r="G234" s="74"/>
      <x:c r="H234" s="74"/>
      <x:c r="I234" s="74"/>
      <x:c r="J234" s="74"/>
      <x:c r="K234" s="74"/>
      <x:c r="L234" s="74"/>
      <x:c r="M234" s="74"/>
      <x:c r="N234" s="91"/>
      <x:c r="O234" s="91"/>
      <x:c r="P234" s="91"/>
      <x:c r="Q234" s="91"/>
      <x:c r="R234" s="91"/>
      <x:c r="S234" s="85"/>
      <x:c r="U234" s="86"/>
      <x:c r="V234" s="32"/>
    </x:row>
    <x:row r="235">
      <x:c r="A235" s="87"/>
      <x:c r="B235" s="88"/>
      <x:c r="D235" s="32"/>
      <x:c r="G235" s="74"/>
      <x:c r="H235" s="74"/>
      <x:c r="I235" s="74"/>
      <x:c r="J235" s="74"/>
      <x:c r="K235" s="74"/>
      <x:c r="L235" s="74"/>
      <x:c r="M235" s="74"/>
      <x:c r="N235" s="91"/>
      <x:c r="O235" s="91"/>
      <x:c r="P235" s="91"/>
      <x:c r="Q235" s="91"/>
      <x:c r="R235" s="91"/>
      <x:c r="S235" s="85"/>
      <x:c r="U235" s="86"/>
      <x:c r="V235" s="32"/>
    </x:row>
    <x:row r="236">
      <x:c r="A236" s="87"/>
      <x:c r="B236" s="88"/>
      <x:c r="D236" s="32"/>
      <x:c r="G236" s="74"/>
      <x:c r="H236" s="74"/>
      <x:c r="I236" s="74"/>
      <x:c r="J236" s="74"/>
      <x:c r="K236" s="74"/>
      <x:c r="L236" s="74"/>
      <x:c r="M236" s="74"/>
      <x:c r="N236" s="91"/>
      <x:c r="O236" s="91"/>
      <x:c r="P236" s="91"/>
      <x:c r="Q236" s="91"/>
      <x:c r="R236" s="91"/>
      <x:c r="S236" s="85"/>
      <x:c r="U236" s="86"/>
      <x:c r="V236" s="32"/>
    </x:row>
    <x:row r="237">
      <x:c r="A237" s="87"/>
      <x:c r="B237" s="88"/>
      <x:c r="D237" s="32"/>
      <x:c r="G237" s="74"/>
      <x:c r="H237" s="74"/>
      <x:c r="I237" s="74"/>
      <x:c r="J237" s="74"/>
      <x:c r="K237" s="74"/>
      <x:c r="L237" s="74"/>
      <x:c r="M237" s="74"/>
      <x:c r="N237" s="91"/>
      <x:c r="O237" s="91"/>
      <x:c r="P237" s="91"/>
      <x:c r="Q237" s="91"/>
      <x:c r="R237" s="91"/>
      <x:c r="S237" s="85"/>
      <x:c r="U237" s="86"/>
      <x:c r="V237" s="32"/>
    </x:row>
    <x:row r="238">
      <x:c r="A238" s="87"/>
      <x:c r="B238" s="88"/>
      <x:c r="D238" s="32"/>
      <x:c r="G238" s="74"/>
      <x:c r="H238" s="74"/>
      <x:c r="I238" s="74"/>
      <x:c r="J238" s="74"/>
      <x:c r="K238" s="74"/>
      <x:c r="L238" s="74"/>
      <x:c r="M238" s="74"/>
      <x:c r="N238" s="91"/>
      <x:c r="O238" s="91"/>
      <x:c r="P238" s="91"/>
      <x:c r="Q238" s="91"/>
      <x:c r="R238" s="91"/>
      <x:c r="S238" s="85"/>
      <x:c r="U238" s="86"/>
      <x:c r="V238" s="32"/>
    </x:row>
    <x:row r="239">
      <x:c r="A239" s="87"/>
      <x:c r="B239" s="88"/>
      <x:c r="D239" s="32"/>
      <x:c r="G239" s="74"/>
      <x:c r="H239" s="74"/>
      <x:c r="I239" s="74"/>
      <x:c r="J239" s="74"/>
      <x:c r="K239" s="74"/>
      <x:c r="L239" s="74"/>
      <x:c r="M239" s="74"/>
      <x:c r="N239" s="91"/>
      <x:c r="O239" s="91"/>
      <x:c r="P239" s="91"/>
      <x:c r="Q239" s="91"/>
      <x:c r="R239" s="91"/>
      <x:c r="S239" s="85"/>
      <x:c r="U239" s="86"/>
      <x:c r="V239" s="32"/>
    </x:row>
    <x:row r="240">
      <x:c r="A240" s="87"/>
      <x:c r="B240" s="88"/>
      <x:c r="D240" s="32"/>
      <x:c r="G240" s="74"/>
      <x:c r="H240" s="74"/>
      <x:c r="I240" s="74"/>
      <x:c r="J240" s="74"/>
      <x:c r="K240" s="74"/>
      <x:c r="L240" s="74"/>
      <x:c r="M240" s="74"/>
      <x:c r="N240" s="91"/>
      <x:c r="O240" s="91"/>
      <x:c r="P240" s="91"/>
      <x:c r="Q240" s="91"/>
      <x:c r="R240" s="91"/>
      <x:c r="S240" s="85"/>
      <x:c r="U240" s="86"/>
      <x:c r="V240" s="32"/>
    </x:row>
    <x:row r="241">
      <x:c r="A241" s="87"/>
      <x:c r="B241" s="88"/>
      <x:c r="D241" s="32"/>
      <x:c r="G241" s="74"/>
      <x:c r="H241" s="74"/>
      <x:c r="I241" s="74"/>
      <x:c r="J241" s="74"/>
      <x:c r="K241" s="74"/>
      <x:c r="L241" s="74"/>
      <x:c r="M241" s="74"/>
      <x:c r="N241" s="91"/>
      <x:c r="O241" s="91"/>
      <x:c r="P241" s="91"/>
      <x:c r="Q241" s="91"/>
      <x:c r="R241" s="91"/>
      <x:c r="S241" s="85"/>
      <x:c r="U241" s="86"/>
      <x:c r="V241" s="32"/>
    </x:row>
    <x:row r="242">
      <x:c r="A242" s="87"/>
      <x:c r="B242" s="88"/>
      <x:c r="D242" s="32"/>
      <x:c r="G242" s="74"/>
      <x:c r="H242" s="74"/>
      <x:c r="I242" s="74"/>
      <x:c r="J242" s="74"/>
      <x:c r="K242" s="74"/>
      <x:c r="L242" s="74"/>
      <x:c r="M242" s="74"/>
      <x:c r="N242" s="91"/>
      <x:c r="O242" s="91"/>
      <x:c r="P242" s="91"/>
      <x:c r="Q242" s="91"/>
      <x:c r="R242" s="91"/>
      <x:c r="S242" s="85"/>
      <x:c r="U242" s="86"/>
      <x:c r="V242" s="32"/>
    </x:row>
    <x:row r="243">
      <x:c r="A243" s="87"/>
      <x:c r="B243" s="88"/>
      <x:c r="D243" s="32"/>
      <x:c r="G243" s="74"/>
      <x:c r="H243" s="74"/>
      <x:c r="I243" s="74"/>
      <x:c r="J243" s="74"/>
      <x:c r="K243" s="74"/>
      <x:c r="L243" s="74"/>
      <x:c r="M243" s="74"/>
      <x:c r="N243" s="91"/>
      <x:c r="O243" s="91"/>
      <x:c r="P243" s="91"/>
      <x:c r="Q243" s="91"/>
      <x:c r="R243" s="91"/>
      <x:c r="S243" s="85"/>
      <x:c r="U243" s="86"/>
      <x:c r="V243" s="32"/>
    </x:row>
    <x:row r="244">
      <x:c r="A244" s="87"/>
      <x:c r="B244" s="88"/>
      <x:c r="D244" s="32"/>
      <x:c r="G244" s="74"/>
      <x:c r="H244" s="74"/>
      <x:c r="I244" s="74"/>
      <x:c r="J244" s="74"/>
      <x:c r="K244" s="74"/>
      <x:c r="L244" s="74"/>
      <x:c r="M244" s="74"/>
      <x:c r="N244" s="91"/>
      <x:c r="O244" s="91"/>
      <x:c r="P244" s="91"/>
      <x:c r="Q244" s="91"/>
      <x:c r="R244" s="91"/>
      <x:c r="S244" s="85"/>
      <x:c r="U244" s="86"/>
      <x:c r="V244" s="32"/>
    </x:row>
    <x:row r="245">
      <x:c r="A245" s="87"/>
      <x:c r="B245" s="88"/>
      <x:c r="D245" s="32"/>
      <x:c r="G245" s="74"/>
      <x:c r="H245" s="74"/>
      <x:c r="I245" s="74"/>
      <x:c r="J245" s="74"/>
      <x:c r="K245" s="74"/>
      <x:c r="L245" s="74"/>
      <x:c r="M245" s="74"/>
      <x:c r="N245" s="91"/>
      <x:c r="O245" s="91"/>
      <x:c r="P245" s="91"/>
      <x:c r="Q245" s="91"/>
      <x:c r="R245" s="91"/>
      <x:c r="S245" s="85"/>
      <x:c r="U245" s="86"/>
      <x:c r="V245" s="32"/>
    </x:row>
    <x:row r="246">
      <x:c r="A246" s="87"/>
      <x:c r="B246" s="88"/>
      <x:c r="D246" s="32"/>
      <x:c r="G246" s="74"/>
      <x:c r="H246" s="74"/>
      <x:c r="I246" s="74"/>
      <x:c r="J246" s="74"/>
      <x:c r="K246" s="74"/>
      <x:c r="L246" s="74"/>
      <x:c r="M246" s="74"/>
      <x:c r="N246" s="91"/>
      <x:c r="O246" s="91"/>
      <x:c r="P246" s="91"/>
      <x:c r="Q246" s="91"/>
      <x:c r="R246" s="91"/>
      <x:c r="S246" s="85"/>
      <x:c r="U246" s="86"/>
      <x:c r="V246" s="32"/>
    </x:row>
    <x:row r="247">
      <x:c r="A247" s="87"/>
      <x:c r="B247" s="88"/>
      <x:c r="D247" s="32"/>
      <x:c r="G247" s="74"/>
      <x:c r="H247" s="74"/>
      <x:c r="I247" s="74"/>
      <x:c r="J247" s="74"/>
      <x:c r="K247" s="74"/>
      <x:c r="L247" s="74"/>
      <x:c r="M247" s="74"/>
      <x:c r="N247" s="91"/>
      <x:c r="O247" s="91"/>
      <x:c r="P247" s="91"/>
      <x:c r="Q247" s="91"/>
      <x:c r="R247" s="91"/>
      <x:c r="S247" s="85"/>
      <x:c r="U247" s="86"/>
      <x:c r="V247" s="32"/>
    </x:row>
    <x:row r="248">
      <x:c r="A248" s="87"/>
      <x:c r="B248" s="88"/>
      <x:c r="D248" s="32"/>
      <x:c r="G248" s="74"/>
      <x:c r="H248" s="74"/>
      <x:c r="I248" s="74"/>
      <x:c r="J248" s="74"/>
      <x:c r="K248" s="74"/>
      <x:c r="L248" s="74"/>
      <x:c r="M248" s="74"/>
      <x:c r="N248" s="91"/>
      <x:c r="O248" s="91"/>
      <x:c r="P248" s="91"/>
      <x:c r="Q248" s="91"/>
      <x:c r="R248" s="91"/>
      <x:c r="S248" s="85"/>
      <x:c r="U248" s="86"/>
      <x:c r="V248" s="32"/>
    </x:row>
    <x:row r="249">
      <x:c r="A249" s="87"/>
      <x:c r="B249" s="88"/>
      <x:c r="D249" s="32"/>
      <x:c r="G249" s="74"/>
      <x:c r="H249" s="74"/>
      <x:c r="I249" s="74"/>
      <x:c r="J249" s="74"/>
      <x:c r="K249" s="74"/>
      <x:c r="L249" s="74"/>
      <x:c r="M249" s="74"/>
      <x:c r="N249" s="91"/>
      <x:c r="O249" s="91"/>
      <x:c r="P249" s="91"/>
      <x:c r="Q249" s="91"/>
      <x:c r="R249" s="91"/>
      <x:c r="S249" s="85"/>
      <x:c r="U249" s="86"/>
      <x:c r="V249" s="32"/>
    </x:row>
    <x:row r="250">
      <x:c r="A250" s="87"/>
      <x:c r="B250" s="88"/>
      <x:c r="D250" s="32"/>
      <x:c r="G250" s="74"/>
      <x:c r="H250" s="74"/>
      <x:c r="I250" s="74"/>
      <x:c r="J250" s="74"/>
      <x:c r="K250" s="74"/>
      <x:c r="L250" s="74"/>
      <x:c r="M250" s="74"/>
      <x:c r="N250" s="91"/>
      <x:c r="O250" s="91"/>
      <x:c r="P250" s="91"/>
      <x:c r="Q250" s="91"/>
      <x:c r="R250" s="91"/>
      <x:c r="S250" s="85"/>
      <x:c r="U250" s="86"/>
      <x:c r="V250" s="32"/>
    </x:row>
    <x:row r="251">
      <x:c r="A251" s="87"/>
      <x:c r="B251" s="88"/>
      <x:c r="D251" s="32"/>
      <x:c r="G251" s="74"/>
      <x:c r="H251" s="74"/>
      <x:c r="I251" s="74"/>
      <x:c r="J251" s="74"/>
      <x:c r="K251" s="74"/>
      <x:c r="L251" s="74"/>
      <x:c r="M251" s="74"/>
      <x:c r="N251" s="91"/>
      <x:c r="O251" s="91"/>
      <x:c r="P251" s="91"/>
      <x:c r="Q251" s="91"/>
      <x:c r="R251" s="91"/>
      <x:c r="S251" s="85"/>
      <x:c r="U251" s="86"/>
      <x:c r="V251" s="32"/>
    </x:row>
    <x:row r="252">
      <x:c r="A252" s="87"/>
      <x:c r="B252" s="88"/>
      <x:c r="D252" s="32"/>
      <x:c r="G252" s="74"/>
      <x:c r="H252" s="74"/>
      <x:c r="I252" s="74"/>
      <x:c r="J252" s="74"/>
      <x:c r="K252" s="74"/>
      <x:c r="L252" s="74"/>
      <x:c r="M252" s="74"/>
      <x:c r="N252" s="91"/>
      <x:c r="O252" s="91"/>
      <x:c r="P252" s="91"/>
      <x:c r="Q252" s="91"/>
      <x:c r="R252" s="91"/>
      <x:c r="S252" s="85"/>
      <x:c r="U252" s="86"/>
      <x:c r="V252" s="32"/>
    </x:row>
    <x:row r="253">
      <x:c r="A253" s="87"/>
      <x:c r="B253" s="88"/>
      <x:c r="D253" s="32"/>
      <x:c r="G253" s="74"/>
      <x:c r="H253" s="74"/>
      <x:c r="I253" s="74"/>
      <x:c r="J253" s="74"/>
      <x:c r="K253" s="74"/>
      <x:c r="L253" s="74"/>
      <x:c r="M253" s="74"/>
      <x:c r="N253" s="91"/>
      <x:c r="O253" s="91"/>
      <x:c r="P253" s="91"/>
      <x:c r="Q253" s="91"/>
      <x:c r="R253" s="91"/>
      <x:c r="S253" s="85"/>
      <x:c r="U253" s="86"/>
      <x:c r="V253" s="32"/>
    </x:row>
    <x:row r="254">
      <x:c r="A254" s="87"/>
      <x:c r="B254" s="88"/>
      <x:c r="D254" s="32"/>
      <x:c r="G254" s="74"/>
      <x:c r="H254" s="74"/>
      <x:c r="I254" s="74"/>
      <x:c r="J254" s="74"/>
      <x:c r="K254" s="74"/>
      <x:c r="L254" s="74"/>
      <x:c r="M254" s="74"/>
      <x:c r="N254" s="91"/>
      <x:c r="O254" s="91"/>
      <x:c r="P254" s="91"/>
      <x:c r="Q254" s="91"/>
      <x:c r="R254" s="91"/>
      <x:c r="S254" s="85"/>
      <x:c r="U254" s="86"/>
      <x:c r="V254" s="32"/>
    </x:row>
    <x:row r="255">
      <x:c r="A255" s="87"/>
      <x:c r="B255" s="88"/>
      <x:c r="D255" s="32"/>
      <x:c r="G255" s="74"/>
      <x:c r="H255" s="74"/>
      <x:c r="I255" s="74"/>
      <x:c r="J255" s="74"/>
      <x:c r="K255" s="74"/>
      <x:c r="L255" s="74"/>
      <x:c r="M255" s="74"/>
      <x:c r="N255" s="91"/>
      <x:c r="O255" s="91"/>
      <x:c r="P255" s="91"/>
      <x:c r="Q255" s="91"/>
      <x:c r="R255" s="91"/>
      <x:c r="S255" s="85"/>
      <x:c r="U255" s="86"/>
      <x:c r="V255" s="32"/>
    </x:row>
    <x:row r="256">
      <x:c r="A256" s="87"/>
      <x:c r="B256" s="88"/>
      <x:c r="D256" s="32"/>
      <x:c r="G256" s="74"/>
      <x:c r="H256" s="74"/>
      <x:c r="I256" s="74"/>
      <x:c r="J256" s="74"/>
      <x:c r="K256" s="74"/>
      <x:c r="L256" s="74"/>
      <x:c r="M256" s="74"/>
      <x:c r="N256" s="91"/>
      <x:c r="O256" s="91"/>
      <x:c r="P256" s="91"/>
      <x:c r="Q256" s="91"/>
      <x:c r="R256" s="91"/>
      <x:c r="S256" s="85"/>
      <x:c r="U256" s="86"/>
      <x:c r="V256" s="32"/>
    </x:row>
    <x:row r="257">
      <x:c r="A257" s="87"/>
      <x:c r="B257" s="88"/>
      <x:c r="D257" s="32"/>
      <x:c r="G257" s="74"/>
      <x:c r="H257" s="74"/>
      <x:c r="I257" s="74"/>
      <x:c r="J257" s="74"/>
      <x:c r="K257" s="74"/>
      <x:c r="L257" s="74"/>
      <x:c r="M257" s="74"/>
      <x:c r="N257" s="91"/>
      <x:c r="O257" s="91"/>
      <x:c r="P257" s="91"/>
      <x:c r="Q257" s="91"/>
      <x:c r="R257" s="91"/>
      <x:c r="S257" s="85"/>
      <x:c r="U257" s="86"/>
      <x:c r="V257" s="32"/>
    </x:row>
    <x:row r="258">
      <x:c r="A258" s="87"/>
      <x:c r="B258" s="88"/>
      <x:c r="D258" s="32"/>
      <x:c r="G258" s="74"/>
      <x:c r="H258" s="74"/>
      <x:c r="I258" s="74"/>
      <x:c r="J258" s="74"/>
      <x:c r="K258" s="74"/>
      <x:c r="L258" s="74"/>
      <x:c r="M258" s="74"/>
      <x:c r="N258" s="91"/>
      <x:c r="O258" s="91"/>
      <x:c r="P258" s="91"/>
      <x:c r="Q258" s="91"/>
      <x:c r="R258" s="91"/>
      <x:c r="S258" s="85"/>
      <x:c r="U258" s="86"/>
      <x:c r="V258" s="32"/>
    </x:row>
    <x:row r="259">
      <x:c r="A259" s="87"/>
      <x:c r="B259" s="88"/>
      <x:c r="D259" s="32"/>
      <x:c r="G259" s="74"/>
      <x:c r="H259" s="74"/>
      <x:c r="I259" s="74"/>
      <x:c r="J259" s="74"/>
      <x:c r="K259" s="74"/>
      <x:c r="L259" s="74"/>
      <x:c r="M259" s="74"/>
      <x:c r="N259" s="91"/>
      <x:c r="O259" s="91"/>
      <x:c r="P259" s="91"/>
      <x:c r="Q259" s="91"/>
      <x:c r="R259" s="91"/>
      <x:c r="S259" s="85"/>
      <x:c r="U259" s="86"/>
      <x:c r="V259" s="32"/>
    </x:row>
    <x:row r="260">
      <x:c r="A260" s="87"/>
      <x:c r="B260" s="88"/>
      <x:c r="D260" s="32"/>
      <x:c r="G260" s="74"/>
      <x:c r="H260" s="74"/>
      <x:c r="I260" s="74"/>
      <x:c r="J260" s="74"/>
      <x:c r="K260" s="74"/>
      <x:c r="L260" s="74"/>
      <x:c r="M260" s="74"/>
      <x:c r="N260" s="91"/>
      <x:c r="O260" s="91"/>
      <x:c r="P260" s="91"/>
      <x:c r="Q260" s="91"/>
      <x:c r="R260" s="91"/>
      <x:c r="S260" s="85"/>
      <x:c r="U260" s="86"/>
      <x:c r="V260" s="32"/>
    </x:row>
    <x:row r="261">
      <x:c r="A261" s="87"/>
      <x:c r="B261" s="88"/>
      <x:c r="D261" s="32"/>
      <x:c r="G261" s="74"/>
      <x:c r="H261" s="74"/>
      <x:c r="I261" s="74"/>
      <x:c r="J261" s="74"/>
      <x:c r="K261" s="74"/>
      <x:c r="L261" s="74"/>
      <x:c r="M261" s="74"/>
      <x:c r="N261" s="91"/>
      <x:c r="O261" s="91"/>
      <x:c r="P261" s="91"/>
      <x:c r="Q261" s="91"/>
      <x:c r="R261" s="91"/>
      <x:c r="S261" s="85"/>
      <x:c r="U261" s="86"/>
      <x:c r="V261" s="32"/>
    </x:row>
    <x:row r="262">
      <x:c r="A262" s="87"/>
      <x:c r="B262" s="88"/>
      <x:c r="D262" s="32"/>
      <x:c r="G262" s="74"/>
      <x:c r="H262" s="74"/>
      <x:c r="I262" s="74"/>
      <x:c r="J262" s="74"/>
      <x:c r="K262" s="74"/>
      <x:c r="L262" s="74"/>
      <x:c r="M262" s="74"/>
      <x:c r="N262" s="91"/>
      <x:c r="O262" s="91"/>
      <x:c r="P262" s="91"/>
      <x:c r="Q262" s="91"/>
      <x:c r="R262" s="91"/>
      <x:c r="S262" s="85"/>
      <x:c r="U262" s="86"/>
      <x:c r="V262" s="32"/>
    </x:row>
    <x:row r="263">
      <x:c r="A263" s="87"/>
      <x:c r="B263" s="88"/>
      <x:c r="D263" s="32"/>
      <x:c r="G263" s="74"/>
      <x:c r="H263" s="74"/>
      <x:c r="I263" s="74"/>
      <x:c r="J263" s="74"/>
      <x:c r="K263" s="74"/>
      <x:c r="L263" s="74"/>
      <x:c r="M263" s="74"/>
      <x:c r="N263" s="91"/>
      <x:c r="O263" s="91"/>
      <x:c r="P263" s="91"/>
      <x:c r="Q263" s="91"/>
      <x:c r="R263" s="91"/>
      <x:c r="S263" s="85"/>
      <x:c r="U263" s="86"/>
      <x:c r="V263" s="32"/>
    </x:row>
    <x:row r="264">
      <x:c r="A264" s="87"/>
      <x:c r="B264" s="88"/>
      <x:c r="D264" s="32"/>
      <x:c r="G264" s="74"/>
      <x:c r="H264" s="74"/>
      <x:c r="I264" s="74"/>
      <x:c r="J264" s="74"/>
      <x:c r="K264" s="74"/>
      <x:c r="L264" s="74"/>
      <x:c r="M264" s="74"/>
      <x:c r="N264" s="91"/>
      <x:c r="O264" s="91"/>
      <x:c r="P264" s="91"/>
      <x:c r="Q264" s="91"/>
      <x:c r="R264" s="91"/>
      <x:c r="S264" s="85"/>
      <x:c r="U264" s="86"/>
      <x:c r="V264" s="32"/>
    </x:row>
    <x:row r="265">
      <x:c r="A265" s="87"/>
      <x:c r="B265" s="88"/>
      <x:c r="D265" s="32"/>
      <x:c r="G265" s="74"/>
      <x:c r="H265" s="74"/>
      <x:c r="I265" s="74"/>
      <x:c r="J265" s="74"/>
      <x:c r="K265" s="74"/>
      <x:c r="L265" s="74"/>
      <x:c r="M265" s="74"/>
      <x:c r="N265" s="91"/>
      <x:c r="O265" s="91"/>
      <x:c r="P265" s="91"/>
      <x:c r="Q265" s="91"/>
      <x:c r="R265" s="91"/>
      <x:c r="S265" s="85"/>
      <x:c r="U265" s="86"/>
      <x:c r="V265" s="32"/>
    </x:row>
    <x:row r="266">
      <x:c r="A266" s="87"/>
      <x:c r="B266" s="88"/>
      <x:c r="D266" s="32"/>
      <x:c r="G266" s="74"/>
      <x:c r="H266" s="74"/>
      <x:c r="I266" s="74"/>
      <x:c r="J266" s="74"/>
      <x:c r="K266" s="74"/>
      <x:c r="L266" s="74"/>
      <x:c r="M266" s="74"/>
      <x:c r="N266" s="91"/>
      <x:c r="O266" s="91"/>
      <x:c r="P266" s="91"/>
      <x:c r="Q266" s="91"/>
      <x:c r="R266" s="91"/>
      <x:c r="S266" s="85"/>
      <x:c r="U266" s="86"/>
      <x:c r="V266" s="32"/>
    </x:row>
    <x:row r="267">
      <x:c r="A267" s="87"/>
      <x:c r="B267" s="88"/>
      <x:c r="D267" s="32"/>
      <x:c r="G267" s="74"/>
      <x:c r="H267" s="74"/>
      <x:c r="I267" s="74"/>
      <x:c r="J267" s="74"/>
      <x:c r="K267" s="74"/>
      <x:c r="L267" s="74"/>
      <x:c r="M267" s="74"/>
      <x:c r="N267" s="91"/>
      <x:c r="O267" s="91"/>
      <x:c r="P267" s="91"/>
      <x:c r="Q267" s="91"/>
      <x:c r="R267" s="91"/>
      <x:c r="S267" s="85"/>
      <x:c r="U267" s="86"/>
      <x:c r="V267" s="32"/>
    </x:row>
    <x:row r="268">
      <x:c r="A268" s="87"/>
      <x:c r="B268" s="88"/>
      <x:c r="D268" s="32"/>
      <x:c r="G268" s="74"/>
      <x:c r="H268" s="74"/>
      <x:c r="I268" s="74"/>
      <x:c r="J268" s="74"/>
      <x:c r="K268" s="74"/>
      <x:c r="L268" s="74"/>
      <x:c r="M268" s="74"/>
      <x:c r="N268" s="91"/>
      <x:c r="O268" s="91"/>
      <x:c r="P268" s="91"/>
      <x:c r="Q268" s="91"/>
      <x:c r="R268" s="91"/>
      <x:c r="S268" s="85"/>
      <x:c r="U268" s="86"/>
      <x:c r="V268" s="32"/>
    </x:row>
    <x:row r="269">
      <x:c r="A269" s="87"/>
      <x:c r="B269" s="88"/>
      <x:c r="D269" s="32"/>
      <x:c r="G269" s="74"/>
      <x:c r="H269" s="74"/>
      <x:c r="I269" s="74"/>
      <x:c r="J269" s="74"/>
      <x:c r="K269" s="74"/>
      <x:c r="L269" s="74"/>
      <x:c r="M269" s="74"/>
      <x:c r="N269" s="91"/>
      <x:c r="O269" s="91"/>
      <x:c r="P269" s="91"/>
      <x:c r="Q269" s="91"/>
      <x:c r="R269" s="91"/>
      <x:c r="S269" s="85"/>
      <x:c r="U269" s="86"/>
      <x:c r="V269" s="32"/>
    </x:row>
    <x:row r="270">
      <x:c r="A270" s="87"/>
      <x:c r="B270" s="88"/>
      <x:c r="D270" s="32"/>
      <x:c r="G270" s="74"/>
      <x:c r="H270" s="74"/>
      <x:c r="I270" s="74"/>
      <x:c r="J270" s="74"/>
      <x:c r="K270" s="74"/>
      <x:c r="L270" s="74"/>
      <x:c r="M270" s="74"/>
      <x:c r="N270" s="91"/>
      <x:c r="O270" s="91"/>
      <x:c r="P270" s="91"/>
      <x:c r="Q270" s="91"/>
      <x:c r="R270" s="91"/>
      <x:c r="S270" s="85"/>
      <x:c r="U270" s="86"/>
      <x:c r="V270" s="32"/>
    </x:row>
    <x:row r="271">
      <x:c r="A271" s="87"/>
      <x:c r="B271" s="88"/>
      <x:c r="D271" s="32"/>
      <x:c r="G271" s="74"/>
      <x:c r="H271" s="74"/>
      <x:c r="I271" s="74"/>
      <x:c r="J271" s="74"/>
      <x:c r="K271" s="74"/>
      <x:c r="L271" s="74"/>
      <x:c r="M271" s="74"/>
      <x:c r="N271" s="91"/>
      <x:c r="O271" s="91"/>
      <x:c r="P271" s="91"/>
      <x:c r="Q271" s="91"/>
      <x:c r="R271" s="91"/>
      <x:c r="S271" s="85"/>
      <x:c r="U271" s="86"/>
      <x:c r="V271" s="32"/>
    </x:row>
    <x:row r="272">
      <x:c r="A272" s="87"/>
      <x:c r="B272" s="88"/>
      <x:c r="D272" s="32"/>
      <x:c r="G272" s="74"/>
      <x:c r="H272" s="74"/>
      <x:c r="I272" s="74"/>
      <x:c r="J272" s="74"/>
      <x:c r="K272" s="74"/>
      <x:c r="L272" s="74"/>
      <x:c r="M272" s="74"/>
      <x:c r="N272" s="91"/>
      <x:c r="O272" s="91"/>
      <x:c r="P272" s="91"/>
      <x:c r="Q272" s="91"/>
      <x:c r="R272" s="91"/>
      <x:c r="S272" s="85"/>
      <x:c r="U272" s="86"/>
      <x:c r="V272" s="32"/>
    </x:row>
    <x:row r="273">
      <x:c r="A273" s="87"/>
      <x:c r="B273" s="88"/>
      <x:c r="D273" s="32"/>
      <x:c r="G273" s="74"/>
      <x:c r="H273" s="74"/>
      <x:c r="I273" s="74"/>
      <x:c r="J273" s="74"/>
      <x:c r="K273" s="74"/>
      <x:c r="L273" s="74"/>
      <x:c r="M273" s="74"/>
      <x:c r="N273" s="91"/>
      <x:c r="O273" s="91"/>
      <x:c r="P273" s="91"/>
      <x:c r="Q273" s="91"/>
      <x:c r="R273" s="91"/>
      <x:c r="S273" s="85"/>
      <x:c r="U273" s="86"/>
      <x:c r="V273" s="32"/>
    </x:row>
    <x:row r="274">
      <x:c r="A274" s="87"/>
      <x:c r="B274" s="88"/>
      <x:c r="D274" s="32"/>
      <x:c r="G274" s="74"/>
      <x:c r="H274" s="74"/>
      <x:c r="I274" s="74"/>
      <x:c r="J274" s="74"/>
      <x:c r="K274" s="74"/>
      <x:c r="L274" s="74"/>
      <x:c r="M274" s="74"/>
      <x:c r="N274" s="91"/>
      <x:c r="O274" s="91"/>
      <x:c r="P274" s="91"/>
      <x:c r="Q274" s="91"/>
      <x:c r="R274" s="91"/>
      <x:c r="S274" s="85"/>
      <x:c r="U274" s="86"/>
      <x:c r="V274" s="32"/>
    </x:row>
    <x:row r="275">
      <x:c r="A275" s="87"/>
      <x:c r="B275" s="88"/>
      <x:c r="D275" s="32"/>
      <x:c r="G275" s="74"/>
      <x:c r="H275" s="74"/>
      <x:c r="I275" s="74"/>
      <x:c r="J275" s="74"/>
      <x:c r="K275" s="74"/>
      <x:c r="L275" s="74"/>
      <x:c r="M275" s="74"/>
      <x:c r="N275" s="91"/>
      <x:c r="O275" s="91"/>
      <x:c r="P275" s="91"/>
      <x:c r="Q275" s="91"/>
      <x:c r="R275" s="91"/>
      <x:c r="S275" s="85"/>
      <x:c r="U275" s="86"/>
      <x:c r="V275" s="32"/>
    </x:row>
    <x:row r="276">
      <x:c r="A276" s="87"/>
      <x:c r="B276" s="88"/>
      <x:c r="D276" s="32"/>
      <x:c r="G276" s="74"/>
      <x:c r="H276" s="74"/>
      <x:c r="I276" s="74"/>
      <x:c r="J276" s="74"/>
      <x:c r="K276" s="74"/>
      <x:c r="L276" s="74"/>
      <x:c r="M276" s="74"/>
      <x:c r="N276" s="91"/>
      <x:c r="O276" s="91"/>
      <x:c r="P276" s="91"/>
      <x:c r="Q276" s="91"/>
      <x:c r="R276" s="91"/>
      <x:c r="S276" s="85"/>
      <x:c r="U276" s="86"/>
      <x:c r="V276" s="32"/>
    </x:row>
    <x:row r="277">
      <x:c r="A277" s="87"/>
      <x:c r="B277" s="88"/>
      <x:c r="D277" s="32"/>
      <x:c r="G277" s="74"/>
      <x:c r="H277" s="74"/>
      <x:c r="I277" s="74"/>
      <x:c r="J277" s="74"/>
      <x:c r="K277" s="74"/>
      <x:c r="L277" s="74"/>
      <x:c r="M277" s="74"/>
      <x:c r="N277" s="91"/>
      <x:c r="O277" s="91"/>
      <x:c r="P277" s="91"/>
      <x:c r="Q277" s="91"/>
      <x:c r="R277" s="91"/>
      <x:c r="S277" s="85"/>
      <x:c r="U277" s="86"/>
      <x:c r="V277" s="32"/>
    </x:row>
    <x:row r="278">
      <x:c r="A278" s="87"/>
      <x:c r="B278" s="88"/>
      <x:c r="D278" s="32"/>
      <x:c r="G278" s="74"/>
      <x:c r="H278" s="74"/>
      <x:c r="I278" s="74"/>
      <x:c r="J278" s="74"/>
      <x:c r="K278" s="74"/>
      <x:c r="L278" s="74"/>
      <x:c r="M278" s="74"/>
      <x:c r="N278" s="91"/>
      <x:c r="O278" s="91"/>
      <x:c r="P278" s="91"/>
      <x:c r="Q278" s="91"/>
      <x:c r="R278" s="91"/>
      <x:c r="S278" s="85"/>
      <x:c r="U278" s="86"/>
      <x:c r="V278" s="32"/>
    </x:row>
    <x:row r="279">
      <x:c r="A279" s="87"/>
      <x:c r="B279" s="88"/>
      <x:c r="D279" s="32"/>
      <x:c r="G279" s="74"/>
      <x:c r="H279" s="74"/>
      <x:c r="I279" s="74"/>
      <x:c r="J279" s="74"/>
      <x:c r="K279" s="74"/>
      <x:c r="L279" s="74"/>
      <x:c r="M279" s="74"/>
      <x:c r="N279" s="91"/>
      <x:c r="O279" s="91"/>
      <x:c r="P279" s="91"/>
      <x:c r="Q279" s="91"/>
      <x:c r="R279" s="91"/>
      <x:c r="S279" s="85"/>
      <x:c r="U279" s="86"/>
      <x:c r="V279" s="32"/>
    </x:row>
    <x:row r="280">
      <x:c r="A280" s="87"/>
      <x:c r="B280" s="88"/>
      <x:c r="D280" s="32"/>
      <x:c r="G280" s="74"/>
      <x:c r="H280" s="74"/>
      <x:c r="I280" s="74"/>
      <x:c r="J280" s="74"/>
      <x:c r="K280" s="74"/>
      <x:c r="L280" s="74"/>
      <x:c r="M280" s="74"/>
      <x:c r="N280" s="91"/>
      <x:c r="O280" s="91"/>
      <x:c r="P280" s="91"/>
      <x:c r="Q280" s="91"/>
      <x:c r="R280" s="91"/>
      <x:c r="S280" s="85"/>
      <x:c r="U280" s="86"/>
      <x:c r="V280" s="32"/>
    </x:row>
    <x:row r="281">
      <x:c r="A281" s="87"/>
      <x:c r="B281" s="88"/>
      <x:c r="D281" s="32"/>
      <x:c r="G281" s="74"/>
      <x:c r="H281" s="74"/>
      <x:c r="I281" s="74"/>
      <x:c r="J281" s="74"/>
      <x:c r="K281" s="74"/>
      <x:c r="L281" s="74"/>
      <x:c r="M281" s="74"/>
      <x:c r="N281" s="91"/>
      <x:c r="O281" s="91"/>
      <x:c r="P281" s="91"/>
      <x:c r="Q281" s="91"/>
      <x:c r="R281" s="91"/>
      <x:c r="S281" s="85"/>
      <x:c r="U281" s="86"/>
      <x:c r="V281" s="32"/>
    </x:row>
    <x:row r="282">
      <x:c r="A282" s="87"/>
      <x:c r="B282" s="88"/>
      <x:c r="D282" s="32"/>
      <x:c r="G282" s="74"/>
      <x:c r="H282" s="74"/>
      <x:c r="I282" s="74"/>
      <x:c r="J282" s="74"/>
      <x:c r="K282" s="74"/>
      <x:c r="L282" s="74"/>
      <x:c r="M282" s="74"/>
      <x:c r="N282" s="91"/>
      <x:c r="O282" s="91"/>
      <x:c r="P282" s="91"/>
      <x:c r="Q282" s="91"/>
      <x:c r="R282" s="91"/>
      <x:c r="S282" s="85"/>
      <x:c r="U282" s="86"/>
      <x:c r="V282" s="32"/>
    </x:row>
    <x:row r="283">
      <x:c r="A283" s="87"/>
      <x:c r="B283" s="88"/>
      <x:c r="D283" s="32"/>
      <x:c r="G283" s="74"/>
      <x:c r="H283" s="74"/>
      <x:c r="I283" s="74"/>
      <x:c r="J283" s="74"/>
      <x:c r="K283" s="74"/>
      <x:c r="L283" s="74"/>
      <x:c r="M283" s="74"/>
      <x:c r="N283" s="91"/>
      <x:c r="O283" s="91"/>
      <x:c r="P283" s="91"/>
      <x:c r="Q283" s="91"/>
      <x:c r="R283" s="91"/>
      <x:c r="S283" s="85"/>
      <x:c r="U283" s="86"/>
      <x:c r="V283" s="32"/>
    </x:row>
    <x:row r="284">
      <x:c r="A284" s="87"/>
      <x:c r="B284" s="88"/>
      <x:c r="D284" s="32"/>
      <x:c r="G284" s="74"/>
      <x:c r="H284" s="74"/>
      <x:c r="I284" s="74"/>
      <x:c r="J284" s="74"/>
      <x:c r="K284" s="74"/>
      <x:c r="L284" s="74"/>
      <x:c r="M284" s="74"/>
      <x:c r="N284" s="91"/>
      <x:c r="O284" s="91"/>
      <x:c r="P284" s="91"/>
      <x:c r="Q284" s="91"/>
      <x:c r="R284" s="91"/>
      <x:c r="S284" s="85"/>
      <x:c r="U284" s="86"/>
      <x:c r="V284" s="32"/>
    </x:row>
    <x:row r="285">
      <x:c r="A285" s="87"/>
      <x:c r="B285" s="88"/>
      <x:c r="D285" s="32"/>
      <x:c r="G285" s="74"/>
      <x:c r="H285" s="74"/>
      <x:c r="I285" s="74"/>
      <x:c r="J285" s="74"/>
      <x:c r="K285" s="74"/>
      <x:c r="L285" s="74"/>
      <x:c r="M285" s="74"/>
      <x:c r="N285" s="91"/>
      <x:c r="O285" s="91"/>
      <x:c r="P285" s="91"/>
      <x:c r="Q285" s="91"/>
      <x:c r="R285" s="91"/>
      <x:c r="S285" s="85"/>
      <x:c r="U285" s="86"/>
      <x:c r="V285" s="32"/>
    </x:row>
    <x:row r="286">
      <x:c r="A286" s="87"/>
      <x:c r="B286" s="88"/>
      <x:c r="D286" s="32"/>
      <x:c r="G286" s="74"/>
      <x:c r="H286" s="74"/>
      <x:c r="I286" s="74"/>
      <x:c r="J286" s="74"/>
      <x:c r="K286" s="74"/>
      <x:c r="L286" s="74"/>
      <x:c r="M286" s="74"/>
      <x:c r="N286" s="91"/>
      <x:c r="O286" s="91"/>
      <x:c r="P286" s="91"/>
      <x:c r="Q286" s="91"/>
      <x:c r="R286" s="91"/>
      <x:c r="S286" s="85"/>
      <x:c r="U286" s="86"/>
      <x:c r="V286" s="32"/>
    </x:row>
    <x:row r="287">
      <x:c r="A287" s="87"/>
      <x:c r="B287" s="88"/>
      <x:c r="D287" s="32"/>
      <x:c r="G287" s="74"/>
      <x:c r="H287" s="74"/>
      <x:c r="I287" s="74"/>
      <x:c r="J287" s="74"/>
      <x:c r="K287" s="74"/>
      <x:c r="L287" s="74"/>
      <x:c r="M287" s="74"/>
      <x:c r="N287" s="91"/>
      <x:c r="O287" s="91"/>
      <x:c r="P287" s="91"/>
      <x:c r="Q287" s="91"/>
      <x:c r="R287" s="91"/>
      <x:c r="S287" s="85"/>
      <x:c r="U287" s="86"/>
      <x:c r="V287" s="32"/>
    </x:row>
    <x:row r="288">
      <x:c r="A288" s="87"/>
      <x:c r="B288" s="88"/>
      <x:c r="D288" s="32"/>
      <x:c r="G288" s="74"/>
      <x:c r="H288" s="74"/>
      <x:c r="I288" s="74"/>
      <x:c r="J288" s="74"/>
      <x:c r="K288" s="74"/>
      <x:c r="L288" s="74"/>
      <x:c r="M288" s="74"/>
      <x:c r="N288" s="91"/>
      <x:c r="O288" s="91"/>
      <x:c r="P288" s="91"/>
      <x:c r="Q288" s="91"/>
      <x:c r="R288" s="91"/>
      <x:c r="S288" s="85"/>
      <x:c r="U288" s="86"/>
      <x:c r="V288" s="32"/>
    </x:row>
    <x:row r="289">
      <x:c r="A289" s="87"/>
      <x:c r="B289" s="88"/>
      <x:c r="D289" s="32"/>
      <x:c r="G289" s="74"/>
      <x:c r="H289" s="74"/>
      <x:c r="I289" s="74"/>
      <x:c r="J289" s="74"/>
      <x:c r="K289" s="74"/>
      <x:c r="L289" s="74"/>
      <x:c r="M289" s="74"/>
      <x:c r="N289" s="91"/>
      <x:c r="O289" s="91"/>
      <x:c r="P289" s="91"/>
      <x:c r="Q289" s="91"/>
      <x:c r="R289" s="91"/>
      <x:c r="S289" s="85"/>
      <x:c r="U289" s="86"/>
      <x:c r="V289" s="32"/>
    </x:row>
    <x:row r="290">
      <x:c r="A290" s="87"/>
      <x:c r="B290" s="88"/>
      <x:c r="D290" s="32"/>
      <x:c r="G290" s="74"/>
      <x:c r="H290" s="74"/>
      <x:c r="I290" s="74"/>
      <x:c r="J290" s="74"/>
      <x:c r="K290" s="74"/>
      <x:c r="L290" s="74"/>
      <x:c r="M290" s="74"/>
      <x:c r="N290" s="91"/>
      <x:c r="O290" s="91"/>
      <x:c r="P290" s="91"/>
      <x:c r="Q290" s="91"/>
      <x:c r="R290" s="91"/>
      <x:c r="S290" s="85"/>
      <x:c r="U290" s="86"/>
      <x:c r="V290" s="32"/>
    </x:row>
    <x:row r="291">
      <x:c r="A291" s="87"/>
      <x:c r="B291" s="88"/>
      <x:c r="D291" s="32"/>
      <x:c r="G291" s="74"/>
      <x:c r="H291" s="74"/>
      <x:c r="I291" s="74"/>
      <x:c r="J291" s="74"/>
      <x:c r="K291" s="74"/>
      <x:c r="L291" s="74"/>
      <x:c r="M291" s="74"/>
      <x:c r="N291" s="91"/>
      <x:c r="O291" s="91"/>
      <x:c r="P291" s="91"/>
      <x:c r="Q291" s="91"/>
      <x:c r="R291" s="91"/>
      <x:c r="S291" s="85"/>
      <x:c r="U291" s="86"/>
      <x:c r="V291" s="32"/>
    </x:row>
    <x:row r="292">
      <x:c r="A292" s="87"/>
      <x:c r="B292" s="88"/>
      <x:c r="D292" s="32"/>
      <x:c r="G292" s="74"/>
      <x:c r="H292" s="74"/>
      <x:c r="I292" s="74"/>
      <x:c r="J292" s="74"/>
      <x:c r="K292" s="74"/>
      <x:c r="L292" s="74"/>
      <x:c r="M292" s="74"/>
      <x:c r="N292" s="91"/>
      <x:c r="O292" s="91"/>
      <x:c r="P292" s="91"/>
      <x:c r="Q292" s="91"/>
      <x:c r="R292" s="91"/>
      <x:c r="S292" s="85"/>
      <x:c r="U292" s="86"/>
      <x:c r="V292" s="32"/>
    </x:row>
    <x:row r="293">
      <x:c r="A293" s="87"/>
      <x:c r="B293" s="88"/>
      <x:c r="D293" s="32"/>
      <x:c r="G293" s="74"/>
      <x:c r="H293" s="74"/>
      <x:c r="I293" s="74"/>
      <x:c r="J293" s="74"/>
      <x:c r="K293" s="74"/>
      <x:c r="L293" s="74"/>
      <x:c r="M293" s="74"/>
      <x:c r="N293" s="91"/>
      <x:c r="O293" s="91"/>
      <x:c r="P293" s="91"/>
      <x:c r="Q293" s="91"/>
      <x:c r="R293" s="91"/>
      <x:c r="S293" s="85"/>
      <x:c r="U293" s="86"/>
      <x:c r="V293" s="32"/>
    </x:row>
    <x:row r="294">
      <x:c r="A294" s="87"/>
      <x:c r="B294" s="88"/>
      <x:c r="D294" s="32"/>
      <x:c r="G294" s="74"/>
      <x:c r="H294" s="74"/>
      <x:c r="I294" s="74"/>
      <x:c r="J294" s="74"/>
      <x:c r="K294" s="74"/>
      <x:c r="L294" s="74"/>
      <x:c r="M294" s="74"/>
      <x:c r="N294" s="91"/>
      <x:c r="O294" s="91"/>
      <x:c r="P294" s="91"/>
      <x:c r="Q294" s="91"/>
      <x:c r="R294" s="91"/>
      <x:c r="S294" s="85"/>
      <x:c r="U294" s="86"/>
      <x:c r="V294" s="32"/>
    </x:row>
    <x:row r="295">
      <x:c r="A295" s="87"/>
      <x:c r="B295" s="88"/>
      <x:c r="D295" s="32"/>
      <x:c r="G295" s="74"/>
      <x:c r="H295" s="74"/>
      <x:c r="I295" s="74"/>
      <x:c r="J295" s="74"/>
      <x:c r="K295" s="74"/>
      <x:c r="L295" s="74"/>
      <x:c r="M295" s="74"/>
      <x:c r="N295" s="91"/>
      <x:c r="O295" s="91"/>
      <x:c r="P295" s="91"/>
      <x:c r="Q295" s="91"/>
      <x:c r="R295" s="91"/>
      <x:c r="S295" s="85"/>
      <x:c r="U295" s="86"/>
      <x:c r="V295" s="32"/>
    </x:row>
    <x:row r="296">
      <x:c r="A296" s="87"/>
      <x:c r="B296" s="88"/>
      <x:c r="D296" s="32"/>
      <x:c r="G296" s="74"/>
      <x:c r="H296" s="74"/>
      <x:c r="I296" s="74"/>
      <x:c r="J296" s="74"/>
      <x:c r="K296" s="74"/>
      <x:c r="L296" s="74"/>
      <x:c r="M296" s="74"/>
      <x:c r="N296" s="91"/>
      <x:c r="O296" s="91"/>
      <x:c r="P296" s="91"/>
      <x:c r="Q296" s="91"/>
      <x:c r="R296" s="91"/>
      <x:c r="S296" s="85"/>
      <x:c r="U296" s="86"/>
      <x:c r="V296" s="32"/>
    </x:row>
    <x:row r="297">
      <x:c r="A297" s="87"/>
      <x:c r="B297" s="88"/>
      <x:c r="D297" s="32"/>
      <x:c r="G297" s="74"/>
      <x:c r="H297" s="74"/>
      <x:c r="I297" s="74"/>
      <x:c r="J297" s="74"/>
      <x:c r="K297" s="74"/>
      <x:c r="L297" s="74"/>
      <x:c r="M297" s="74"/>
      <x:c r="N297" s="91"/>
      <x:c r="O297" s="91"/>
      <x:c r="P297" s="91"/>
      <x:c r="Q297" s="91"/>
      <x:c r="R297" s="91"/>
      <x:c r="S297" s="85"/>
      <x:c r="U297" s="86"/>
      <x:c r="V297" s="32"/>
    </x:row>
    <x:row r="298">
      <x:c r="A298" s="87"/>
      <x:c r="B298" s="88"/>
      <x:c r="D298" s="32"/>
      <x:c r="G298" s="74"/>
      <x:c r="H298" s="74"/>
      <x:c r="I298" s="74"/>
      <x:c r="J298" s="74"/>
      <x:c r="K298" s="74"/>
      <x:c r="L298" s="74"/>
      <x:c r="M298" s="74"/>
      <x:c r="N298" s="91"/>
      <x:c r="O298" s="91"/>
      <x:c r="P298" s="91"/>
      <x:c r="Q298" s="91"/>
      <x:c r="R298" s="91"/>
      <x:c r="S298" s="85"/>
      <x:c r="U298" s="86"/>
      <x:c r="V298" s="32"/>
    </x:row>
    <x:row r="299">
      <x:c r="A299" s="87"/>
      <x:c r="B299" s="88"/>
      <x:c r="D299" s="32"/>
      <x:c r="G299" s="74"/>
      <x:c r="H299" s="74"/>
      <x:c r="I299" s="74"/>
      <x:c r="J299" s="74"/>
      <x:c r="K299" s="74"/>
      <x:c r="L299" s="74"/>
      <x:c r="M299" s="74"/>
      <x:c r="N299" s="91"/>
      <x:c r="O299" s="91"/>
      <x:c r="P299" s="91"/>
      <x:c r="Q299" s="91"/>
      <x:c r="R299" s="91"/>
      <x:c r="S299" s="85"/>
      <x:c r="U299" s="86"/>
      <x:c r="V299" s="32"/>
    </x:row>
    <x:row r="300">
      <x:c r="A300" s="87"/>
      <x:c r="B300" s="88"/>
      <x:c r="D300" s="32"/>
      <x:c r="G300" s="74"/>
      <x:c r="H300" s="74"/>
      <x:c r="I300" s="74"/>
      <x:c r="J300" s="74"/>
      <x:c r="K300" s="74"/>
      <x:c r="L300" s="74"/>
      <x:c r="M300" s="74"/>
      <x:c r="N300" s="91"/>
      <x:c r="O300" s="91"/>
      <x:c r="P300" s="91"/>
      <x:c r="Q300" s="91"/>
      <x:c r="R300" s="91"/>
      <x:c r="S300" s="85"/>
      <x:c r="U300" s="86"/>
      <x:c r="V300" s="32"/>
    </x:row>
    <x:row r="301">
      <x:c r="A301" s="87"/>
      <x:c r="B301" s="88"/>
      <x:c r="D301" s="32"/>
      <x:c r="G301" s="74"/>
      <x:c r="H301" s="74"/>
      <x:c r="I301" s="74"/>
      <x:c r="J301" s="74"/>
      <x:c r="K301" s="74"/>
      <x:c r="L301" s="74"/>
      <x:c r="M301" s="74"/>
      <x:c r="N301" s="91"/>
      <x:c r="O301" s="91"/>
      <x:c r="P301" s="91"/>
      <x:c r="Q301" s="91"/>
      <x:c r="R301" s="91"/>
      <x:c r="S301" s="85"/>
      <x:c r="U301" s="86"/>
      <x:c r="V301" s="32"/>
    </x:row>
    <x:row r="302">
      <x:c r="A302" s="87"/>
      <x:c r="B302" s="88"/>
      <x:c r="D302" s="32"/>
      <x:c r="G302" s="74"/>
      <x:c r="H302" s="74"/>
      <x:c r="I302" s="74"/>
      <x:c r="J302" s="74"/>
      <x:c r="K302" s="74"/>
      <x:c r="L302" s="74"/>
      <x:c r="M302" s="74"/>
      <x:c r="N302" s="91"/>
      <x:c r="O302" s="91"/>
      <x:c r="P302" s="91"/>
      <x:c r="Q302" s="91"/>
      <x:c r="R302" s="91"/>
      <x:c r="S302" s="85"/>
      <x:c r="U302" s="86"/>
      <x:c r="V302" s="32"/>
    </x:row>
    <x:row r="303">
      <x:c r="A303" s="87"/>
      <x:c r="B303" s="88"/>
      <x:c r="D303" s="32"/>
      <x:c r="G303" s="74"/>
      <x:c r="H303" s="74"/>
      <x:c r="I303" s="74"/>
      <x:c r="J303" s="74"/>
      <x:c r="K303" s="74"/>
      <x:c r="L303" s="74"/>
      <x:c r="M303" s="74"/>
      <x:c r="N303" s="91"/>
      <x:c r="O303" s="91"/>
      <x:c r="P303" s="91"/>
      <x:c r="Q303" s="91"/>
      <x:c r="R303" s="91"/>
      <x:c r="S303" s="85"/>
      <x:c r="U303" s="86"/>
      <x:c r="V303" s="32"/>
    </x:row>
    <x:row r="304">
      <x:c r="A304" s="87"/>
      <x:c r="B304" s="88"/>
      <x:c r="D304" s="32"/>
      <x:c r="G304" s="74"/>
      <x:c r="H304" s="74"/>
      <x:c r="I304" s="74"/>
      <x:c r="J304" s="74"/>
      <x:c r="K304" s="74"/>
      <x:c r="L304" s="74"/>
      <x:c r="M304" s="74"/>
      <x:c r="N304" s="91"/>
      <x:c r="O304" s="91"/>
      <x:c r="P304" s="91"/>
      <x:c r="Q304" s="91"/>
      <x:c r="R304" s="91"/>
      <x:c r="S304" s="85"/>
      <x:c r="U304" s="86"/>
      <x:c r="V304" s="32"/>
    </x:row>
    <x:row r="305">
      <x:c r="A305" s="87"/>
      <x:c r="B305" s="88"/>
      <x:c r="D305" s="32"/>
      <x:c r="G305" s="74"/>
      <x:c r="H305" s="74"/>
      <x:c r="I305" s="74"/>
      <x:c r="J305" s="74"/>
      <x:c r="K305" s="74"/>
      <x:c r="L305" s="74"/>
      <x:c r="M305" s="74"/>
      <x:c r="N305" s="91"/>
      <x:c r="O305" s="91"/>
      <x:c r="P305" s="91"/>
      <x:c r="Q305" s="91"/>
      <x:c r="R305" s="91"/>
      <x:c r="S305" s="85"/>
      <x:c r="U305" s="86"/>
      <x:c r="V305" s="32"/>
    </x:row>
    <x:row r="306">
      <x:c r="A306" s="87"/>
      <x:c r="B306" s="88"/>
      <x:c r="D306" s="32"/>
      <x:c r="G306" s="74"/>
      <x:c r="H306" s="74"/>
      <x:c r="I306" s="74"/>
      <x:c r="J306" s="74"/>
      <x:c r="K306" s="74"/>
      <x:c r="L306" s="74"/>
      <x:c r="M306" s="74"/>
      <x:c r="N306" s="91"/>
      <x:c r="O306" s="91"/>
      <x:c r="P306" s="91"/>
      <x:c r="Q306" s="91"/>
      <x:c r="R306" s="91"/>
      <x:c r="S306" s="85"/>
      <x:c r="U306" s="86"/>
      <x:c r="V306" s="32"/>
    </x:row>
    <x:row r="307">
      <x:c r="A307" s="87"/>
      <x:c r="B307" s="88"/>
      <x:c r="D307" s="32"/>
      <x:c r="G307" s="74"/>
      <x:c r="H307" s="74"/>
      <x:c r="I307" s="74"/>
      <x:c r="J307" s="74"/>
      <x:c r="K307" s="74"/>
      <x:c r="L307" s="74"/>
      <x:c r="M307" s="74"/>
      <x:c r="N307" s="91"/>
      <x:c r="O307" s="91"/>
      <x:c r="P307" s="91"/>
      <x:c r="Q307" s="91"/>
      <x:c r="R307" s="91"/>
      <x:c r="S307" s="85"/>
      <x:c r="U307" s="86"/>
      <x:c r="V307" s="32"/>
    </x:row>
    <x:row r="308">
      <x:c r="A308" s="87"/>
      <x:c r="B308" s="88"/>
      <x:c r="D308" s="32"/>
      <x:c r="G308" s="74"/>
      <x:c r="H308" s="74"/>
      <x:c r="I308" s="74"/>
      <x:c r="J308" s="74"/>
      <x:c r="K308" s="74"/>
      <x:c r="L308" s="74"/>
      <x:c r="M308" s="74"/>
      <x:c r="N308" s="91"/>
      <x:c r="O308" s="91"/>
      <x:c r="P308" s="91"/>
      <x:c r="Q308" s="91"/>
      <x:c r="R308" s="91"/>
      <x:c r="S308" s="85"/>
      <x:c r="U308" s="86"/>
      <x:c r="V308" s="32"/>
    </x:row>
    <x:row r="309">
      <x:c r="A309" s="87"/>
      <x:c r="B309" s="88"/>
      <x:c r="D309" s="32"/>
      <x:c r="G309" s="74"/>
      <x:c r="H309" s="74"/>
      <x:c r="I309" s="74"/>
      <x:c r="J309" s="74"/>
      <x:c r="K309" s="74"/>
      <x:c r="L309" s="74"/>
      <x:c r="M309" s="74"/>
      <x:c r="N309" s="91"/>
      <x:c r="O309" s="91"/>
      <x:c r="P309" s="91"/>
      <x:c r="Q309" s="91"/>
      <x:c r="R309" s="91"/>
      <x:c r="S309" s="85"/>
      <x:c r="U309" s="86"/>
      <x:c r="V309" s="32"/>
    </x:row>
    <x:row r="310">
      <x:c r="A310" s="87"/>
      <x:c r="B310" s="88"/>
      <x:c r="D310" s="32"/>
      <x:c r="G310" s="74"/>
      <x:c r="H310" s="74"/>
      <x:c r="I310" s="74"/>
      <x:c r="J310" s="74"/>
      <x:c r="K310" s="74"/>
      <x:c r="L310" s="74"/>
      <x:c r="M310" s="74"/>
      <x:c r="N310" s="91"/>
      <x:c r="O310" s="91"/>
      <x:c r="P310" s="91"/>
      <x:c r="Q310" s="91"/>
      <x:c r="R310" s="91"/>
      <x:c r="S310" s="85"/>
      <x:c r="U310" s="86"/>
      <x:c r="V310" s="32"/>
    </x:row>
    <x:row r="311">
      <x:c r="A311" s="87"/>
      <x:c r="B311" s="88"/>
      <x:c r="D311" s="32"/>
      <x:c r="G311" s="74"/>
      <x:c r="H311" s="74"/>
      <x:c r="I311" s="74"/>
      <x:c r="J311" s="74"/>
      <x:c r="K311" s="74"/>
      <x:c r="L311" s="74"/>
      <x:c r="M311" s="74"/>
      <x:c r="N311" s="91"/>
      <x:c r="O311" s="91"/>
      <x:c r="P311" s="91"/>
      <x:c r="Q311" s="91"/>
      <x:c r="R311" s="91"/>
      <x:c r="S311" s="85"/>
      <x:c r="U311" s="86"/>
      <x:c r="V311" s="32"/>
    </x:row>
    <x:row r="312">
      <x:c r="A312" s="87"/>
      <x:c r="B312" s="88"/>
      <x:c r="D312" s="32"/>
      <x:c r="G312" s="74"/>
      <x:c r="H312" s="74"/>
      <x:c r="I312" s="74"/>
      <x:c r="J312" s="74"/>
      <x:c r="K312" s="74"/>
      <x:c r="L312" s="74"/>
      <x:c r="M312" s="74"/>
      <x:c r="N312" s="91"/>
      <x:c r="O312" s="91"/>
      <x:c r="P312" s="91"/>
      <x:c r="Q312" s="91"/>
      <x:c r="R312" s="91"/>
      <x:c r="S312" s="85"/>
      <x:c r="U312" s="86"/>
      <x:c r="V312" s="32"/>
    </x:row>
    <x:row r="313">
      <x:c r="A313" s="87"/>
      <x:c r="B313" s="88"/>
      <x:c r="D313" s="32"/>
      <x:c r="G313" s="74"/>
      <x:c r="H313" s="74"/>
      <x:c r="I313" s="74"/>
      <x:c r="J313" s="74"/>
      <x:c r="K313" s="74"/>
      <x:c r="L313" s="74"/>
      <x:c r="M313" s="74"/>
      <x:c r="N313" s="91"/>
      <x:c r="O313" s="91"/>
      <x:c r="P313" s="91"/>
      <x:c r="Q313" s="91"/>
      <x:c r="R313" s="91"/>
      <x:c r="S313" s="85"/>
      <x:c r="U313" s="86"/>
      <x:c r="V313" s="32"/>
    </x:row>
    <x:row r="314">
      <x:c r="A314" s="87"/>
      <x:c r="B314" s="88"/>
      <x:c r="D314" s="32"/>
      <x:c r="G314" s="74"/>
      <x:c r="H314" s="74"/>
      <x:c r="I314" s="74"/>
      <x:c r="J314" s="74"/>
      <x:c r="K314" s="74"/>
      <x:c r="L314" s="74"/>
      <x:c r="M314" s="74"/>
      <x:c r="N314" s="91"/>
      <x:c r="O314" s="91"/>
      <x:c r="P314" s="91"/>
      <x:c r="Q314" s="91"/>
      <x:c r="R314" s="91"/>
      <x:c r="S314" s="85"/>
      <x:c r="U314" s="86"/>
      <x:c r="V314" s="32"/>
    </x:row>
    <x:row r="315">
      <x:c r="A315" s="87"/>
      <x:c r="B315" s="88"/>
      <x:c r="D315" s="32"/>
      <x:c r="G315" s="74"/>
      <x:c r="H315" s="74"/>
      <x:c r="I315" s="74"/>
      <x:c r="J315" s="74"/>
      <x:c r="K315" s="74"/>
      <x:c r="L315" s="74"/>
      <x:c r="M315" s="74"/>
      <x:c r="N315" s="91"/>
      <x:c r="O315" s="91"/>
      <x:c r="P315" s="91"/>
      <x:c r="Q315" s="91"/>
      <x:c r="R315" s="91"/>
      <x:c r="S315" s="85"/>
      <x:c r="U315" s="86"/>
      <x:c r="V315" s="32"/>
    </x:row>
    <x:row r="316">
      <x:c r="A316" s="87"/>
      <x:c r="B316" s="88"/>
      <x:c r="D316" s="32"/>
      <x:c r="G316" s="74"/>
      <x:c r="H316" s="74"/>
      <x:c r="I316" s="74"/>
      <x:c r="J316" s="74"/>
      <x:c r="K316" s="74"/>
      <x:c r="L316" s="74"/>
      <x:c r="M316" s="74"/>
      <x:c r="N316" s="91"/>
      <x:c r="O316" s="91"/>
      <x:c r="P316" s="91"/>
      <x:c r="Q316" s="91"/>
      <x:c r="R316" s="91"/>
      <x:c r="S316" s="85"/>
      <x:c r="U316" s="86"/>
      <x:c r="V316" s="32"/>
    </x:row>
    <x:row r="317">
      <x:c r="A317" s="87"/>
      <x:c r="B317" s="88"/>
      <x:c r="D317" s="32"/>
      <x:c r="G317" s="74"/>
      <x:c r="H317" s="74"/>
      <x:c r="I317" s="74"/>
      <x:c r="J317" s="74"/>
      <x:c r="K317" s="74"/>
      <x:c r="L317" s="74"/>
      <x:c r="M317" s="74"/>
      <x:c r="N317" s="91"/>
      <x:c r="O317" s="91"/>
      <x:c r="P317" s="91"/>
      <x:c r="Q317" s="91"/>
      <x:c r="R317" s="91"/>
      <x:c r="S317" s="85"/>
      <x:c r="U317" s="86"/>
      <x:c r="V317" s="32"/>
    </x:row>
    <x:row r="318">
      <x:c r="A318" s="87"/>
      <x:c r="B318" s="88"/>
      <x:c r="D318" s="32"/>
      <x:c r="G318" s="74"/>
      <x:c r="H318" s="74"/>
      <x:c r="I318" s="74"/>
      <x:c r="J318" s="74"/>
      <x:c r="K318" s="74"/>
      <x:c r="L318" s="74"/>
      <x:c r="M318" s="74"/>
      <x:c r="N318" s="91"/>
      <x:c r="O318" s="91"/>
      <x:c r="P318" s="91"/>
      <x:c r="Q318" s="91"/>
      <x:c r="R318" s="91"/>
      <x:c r="S318" s="85"/>
      <x:c r="U318" s="86"/>
      <x:c r="V318" s="32"/>
    </x:row>
    <x:row r="319">
      <x:c r="A319" s="87"/>
      <x:c r="B319" s="88"/>
      <x:c r="D319" s="32"/>
      <x:c r="G319" s="74"/>
      <x:c r="H319" s="74"/>
      <x:c r="I319" s="74"/>
      <x:c r="J319" s="74"/>
      <x:c r="K319" s="74"/>
      <x:c r="L319" s="74"/>
      <x:c r="M319" s="74"/>
      <x:c r="N319" s="91"/>
      <x:c r="O319" s="91"/>
      <x:c r="P319" s="91"/>
      <x:c r="Q319" s="91"/>
      <x:c r="R319" s="91"/>
      <x:c r="S319" s="85"/>
      <x:c r="U319" s="86"/>
      <x:c r="V319" s="32"/>
    </x:row>
    <x:row r="320">
      <x:c r="A320" s="87"/>
      <x:c r="B320" s="88"/>
      <x:c r="D320" s="32"/>
      <x:c r="G320" s="74"/>
      <x:c r="H320" s="74"/>
      <x:c r="I320" s="74"/>
      <x:c r="J320" s="74"/>
      <x:c r="K320" s="74"/>
      <x:c r="L320" s="74"/>
      <x:c r="M320" s="74"/>
      <x:c r="N320" s="91"/>
      <x:c r="O320" s="91"/>
      <x:c r="P320" s="91"/>
      <x:c r="Q320" s="91"/>
      <x:c r="R320" s="91"/>
      <x:c r="S320" s="85"/>
      <x:c r="U320" s="86"/>
      <x:c r="V320" s="32"/>
    </x:row>
    <x:row r="321">
      <x:c r="A321" s="87"/>
      <x:c r="B321" s="88"/>
      <x:c r="D321" s="32"/>
      <x:c r="G321" s="74"/>
      <x:c r="H321" s="74"/>
      <x:c r="I321" s="74"/>
      <x:c r="J321" s="74"/>
      <x:c r="K321" s="74"/>
      <x:c r="L321" s="74"/>
      <x:c r="M321" s="74"/>
      <x:c r="N321" s="91"/>
      <x:c r="O321" s="91"/>
      <x:c r="P321" s="91"/>
      <x:c r="Q321" s="91"/>
      <x:c r="R321" s="91"/>
      <x:c r="S321" s="85"/>
      <x:c r="U321" s="86"/>
      <x:c r="V321" s="32"/>
    </x:row>
    <x:row r="322">
      <x:c r="A322" s="87"/>
      <x:c r="B322" s="88"/>
      <x:c r="D322" s="32"/>
      <x:c r="G322" s="74"/>
      <x:c r="H322" s="74"/>
      <x:c r="I322" s="74"/>
      <x:c r="J322" s="74"/>
      <x:c r="K322" s="74"/>
      <x:c r="L322" s="74"/>
      <x:c r="M322" s="74"/>
      <x:c r="N322" s="91"/>
      <x:c r="O322" s="91"/>
      <x:c r="P322" s="91"/>
      <x:c r="Q322" s="91"/>
      <x:c r="R322" s="91"/>
      <x:c r="S322" s="85"/>
      <x:c r="U322" s="86"/>
      <x:c r="V322" s="32"/>
    </x:row>
    <x:row r="323">
      <x:c r="A323" s="87"/>
      <x:c r="B323" s="88"/>
      <x:c r="D323" s="32"/>
      <x:c r="G323" s="74"/>
      <x:c r="H323" s="74"/>
      <x:c r="I323" s="74"/>
      <x:c r="J323" s="74"/>
      <x:c r="K323" s="74"/>
      <x:c r="L323" s="74"/>
      <x:c r="M323" s="74"/>
      <x:c r="N323" s="91"/>
      <x:c r="O323" s="91"/>
      <x:c r="P323" s="91"/>
      <x:c r="Q323" s="91"/>
      <x:c r="R323" s="91"/>
      <x:c r="S323" s="85"/>
      <x:c r="U323" s="86"/>
      <x:c r="V323" s="32"/>
    </x:row>
    <x:row r="324">
      <x:c r="A324" s="87"/>
      <x:c r="B324" s="88"/>
      <x:c r="D324" s="32"/>
      <x:c r="G324" s="74"/>
      <x:c r="H324" s="74"/>
      <x:c r="I324" s="74"/>
      <x:c r="J324" s="74"/>
      <x:c r="K324" s="74"/>
      <x:c r="L324" s="74"/>
      <x:c r="M324" s="74"/>
      <x:c r="N324" s="91"/>
      <x:c r="O324" s="91"/>
      <x:c r="P324" s="91"/>
      <x:c r="Q324" s="91"/>
      <x:c r="R324" s="91"/>
      <x:c r="S324" s="85"/>
      <x:c r="U324" s="86"/>
      <x:c r="V324" s="32"/>
    </x:row>
    <x:row r="325">
      <x:c r="A325" s="87"/>
      <x:c r="B325" s="88"/>
      <x:c r="D325" s="32"/>
      <x:c r="G325" s="74"/>
      <x:c r="H325" s="74"/>
      <x:c r="I325" s="74"/>
      <x:c r="J325" s="74"/>
      <x:c r="K325" s="74"/>
      <x:c r="L325" s="74"/>
      <x:c r="M325" s="74"/>
      <x:c r="N325" s="91"/>
      <x:c r="O325" s="91"/>
      <x:c r="P325" s="91"/>
      <x:c r="Q325" s="91"/>
      <x:c r="R325" s="91"/>
      <x:c r="S325" s="85"/>
      <x:c r="U325" s="86"/>
      <x:c r="V325" s="32"/>
    </x:row>
    <x:row r="326">
      <x:c r="A326" s="87"/>
      <x:c r="B326" s="88"/>
      <x:c r="D326" s="32"/>
      <x:c r="G326" s="74"/>
      <x:c r="H326" s="74"/>
      <x:c r="I326" s="74"/>
      <x:c r="J326" s="74"/>
      <x:c r="K326" s="74"/>
      <x:c r="L326" s="74"/>
      <x:c r="M326" s="74"/>
      <x:c r="N326" s="91"/>
      <x:c r="O326" s="91"/>
      <x:c r="P326" s="91"/>
      <x:c r="Q326" s="91"/>
      <x:c r="R326" s="91"/>
      <x:c r="S326" s="85"/>
      <x:c r="U326" s="86"/>
      <x:c r="V326" s="32"/>
    </x:row>
    <x:row r="327">
      <x:c r="A327" s="87"/>
      <x:c r="B327" s="88"/>
      <x:c r="D327" s="32"/>
      <x:c r="G327" s="74"/>
      <x:c r="H327" s="74"/>
      <x:c r="I327" s="74"/>
      <x:c r="J327" s="74"/>
      <x:c r="K327" s="74"/>
      <x:c r="L327" s="74"/>
      <x:c r="M327" s="74"/>
      <x:c r="N327" s="91"/>
      <x:c r="O327" s="91"/>
      <x:c r="P327" s="91"/>
      <x:c r="Q327" s="91"/>
      <x:c r="R327" s="91"/>
      <x:c r="S327" s="85"/>
      <x:c r="U327" s="86"/>
      <x:c r="V327" s="32"/>
    </x:row>
    <x:row r="328">
      <x:c r="A328" s="87"/>
      <x:c r="B328" s="88"/>
      <x:c r="D328" s="32"/>
      <x:c r="G328" s="74"/>
      <x:c r="H328" s="74"/>
      <x:c r="I328" s="74"/>
      <x:c r="J328" s="74"/>
      <x:c r="K328" s="74"/>
      <x:c r="L328" s="74"/>
      <x:c r="M328" s="74"/>
      <x:c r="N328" s="91"/>
      <x:c r="O328" s="91"/>
      <x:c r="P328" s="91"/>
      <x:c r="Q328" s="91"/>
      <x:c r="R328" s="91"/>
      <x:c r="S328" s="85"/>
      <x:c r="U328" s="86"/>
      <x:c r="V328" s="32"/>
    </x:row>
    <x:row r="329">
      <x:c r="A329" s="87"/>
      <x:c r="B329" s="88"/>
      <x:c r="D329" s="32"/>
      <x:c r="G329" s="74"/>
      <x:c r="H329" s="74"/>
      <x:c r="I329" s="74"/>
      <x:c r="J329" s="74"/>
      <x:c r="K329" s="74"/>
      <x:c r="L329" s="74"/>
      <x:c r="M329" s="74"/>
      <x:c r="N329" s="91"/>
      <x:c r="O329" s="91"/>
      <x:c r="P329" s="91"/>
      <x:c r="Q329" s="91"/>
      <x:c r="R329" s="91"/>
      <x:c r="S329" s="85"/>
      <x:c r="U329" s="86"/>
      <x:c r="V329" s="32"/>
    </x:row>
    <x:row r="330">
      <x:c r="A330" s="87"/>
      <x:c r="B330" s="88"/>
      <x:c r="D330" s="32"/>
      <x:c r="G330" s="74"/>
      <x:c r="H330" s="74"/>
      <x:c r="I330" s="74"/>
      <x:c r="J330" s="74"/>
      <x:c r="K330" s="74"/>
      <x:c r="L330" s="74"/>
      <x:c r="M330" s="74"/>
      <x:c r="N330" s="91"/>
      <x:c r="O330" s="91"/>
      <x:c r="P330" s="91"/>
      <x:c r="Q330" s="91"/>
      <x:c r="R330" s="91"/>
      <x:c r="S330" s="85"/>
      <x:c r="U330" s="86"/>
      <x:c r="V330" s="32"/>
    </x:row>
    <x:row r="331">
      <x:c r="A331" s="87"/>
      <x:c r="B331" s="88"/>
      <x:c r="D331" s="32"/>
      <x:c r="G331" s="74"/>
      <x:c r="H331" s="74"/>
      <x:c r="I331" s="74"/>
      <x:c r="J331" s="74"/>
      <x:c r="K331" s="74"/>
      <x:c r="L331" s="74"/>
      <x:c r="M331" s="74"/>
      <x:c r="N331" s="91"/>
      <x:c r="O331" s="91"/>
      <x:c r="P331" s="91"/>
      <x:c r="Q331" s="91"/>
      <x:c r="R331" s="91"/>
      <x:c r="S331" s="85"/>
      <x:c r="U331" s="86"/>
      <x:c r="V331" s="32"/>
    </x:row>
    <x:row r="332">
      <x:c r="A332" s="87"/>
      <x:c r="B332" s="88"/>
      <x:c r="D332" s="32"/>
      <x:c r="G332" s="74"/>
      <x:c r="H332" s="74"/>
      <x:c r="I332" s="74"/>
      <x:c r="J332" s="74"/>
      <x:c r="K332" s="74"/>
      <x:c r="L332" s="74"/>
      <x:c r="M332" s="74"/>
      <x:c r="N332" s="91"/>
      <x:c r="O332" s="91"/>
      <x:c r="P332" s="91"/>
      <x:c r="Q332" s="91"/>
      <x:c r="R332" s="91"/>
      <x:c r="S332" s="85"/>
      <x:c r="U332" s="86"/>
      <x:c r="V332" s="32"/>
    </x:row>
    <x:row r="333">
      <x:c r="A333" s="87"/>
      <x:c r="B333" s="88"/>
      <x:c r="D333" s="32"/>
      <x:c r="G333" s="74"/>
      <x:c r="H333" s="74"/>
      <x:c r="I333" s="74"/>
      <x:c r="J333" s="74"/>
      <x:c r="K333" s="74"/>
      <x:c r="L333" s="74"/>
      <x:c r="M333" s="74"/>
      <x:c r="N333" s="91"/>
      <x:c r="O333" s="91"/>
      <x:c r="P333" s="91"/>
      <x:c r="Q333" s="91"/>
      <x:c r="R333" s="91"/>
      <x:c r="S333" s="85"/>
      <x:c r="U333" s="86"/>
      <x:c r="V333" s="32"/>
    </x:row>
    <x:row r="334">
      <x:c r="A334" s="87"/>
      <x:c r="B334" s="88"/>
      <x:c r="D334" s="32"/>
      <x:c r="G334" s="74"/>
      <x:c r="H334" s="74"/>
      <x:c r="I334" s="74"/>
      <x:c r="J334" s="74"/>
      <x:c r="K334" s="74"/>
      <x:c r="L334" s="74"/>
      <x:c r="M334" s="74"/>
      <x:c r="N334" s="91"/>
      <x:c r="O334" s="91"/>
      <x:c r="P334" s="91"/>
      <x:c r="Q334" s="91"/>
      <x:c r="R334" s="91"/>
      <x:c r="S334" s="85"/>
      <x:c r="U334" s="86"/>
      <x:c r="V334" s="32"/>
    </x:row>
    <x:row r="335">
      <x:c r="A335" s="87"/>
      <x:c r="B335" s="88"/>
      <x:c r="D335" s="32"/>
      <x:c r="G335" s="74"/>
      <x:c r="H335" s="74"/>
      <x:c r="I335" s="74"/>
      <x:c r="J335" s="74"/>
      <x:c r="K335" s="74"/>
      <x:c r="L335" s="74"/>
      <x:c r="M335" s="74"/>
      <x:c r="N335" s="91"/>
      <x:c r="O335" s="91"/>
      <x:c r="P335" s="91"/>
      <x:c r="Q335" s="91"/>
      <x:c r="R335" s="91"/>
      <x:c r="S335" s="85"/>
      <x:c r="U335" s="86"/>
      <x:c r="V335" s="32"/>
    </x:row>
    <x:row r="336">
      <x:c r="A336" s="87"/>
      <x:c r="B336" s="88"/>
      <x:c r="D336" s="32"/>
      <x:c r="G336" s="74"/>
      <x:c r="H336" s="74"/>
      <x:c r="I336" s="74"/>
      <x:c r="J336" s="74"/>
      <x:c r="K336" s="74"/>
      <x:c r="L336" s="74"/>
      <x:c r="M336" s="74"/>
      <x:c r="N336" s="91"/>
      <x:c r="O336" s="91"/>
      <x:c r="P336" s="91"/>
      <x:c r="Q336" s="91"/>
      <x:c r="R336" s="91"/>
      <x:c r="S336" s="85"/>
      <x:c r="U336" s="86"/>
      <x:c r="V336" s="32"/>
    </x:row>
    <x:row r="337">
      <x:c r="A337" s="87"/>
      <x:c r="B337" s="88"/>
      <x:c r="D337" s="32"/>
      <x:c r="G337" s="74"/>
      <x:c r="H337" s="74"/>
      <x:c r="I337" s="74"/>
      <x:c r="J337" s="74"/>
      <x:c r="K337" s="74"/>
      <x:c r="L337" s="74"/>
      <x:c r="M337" s="74"/>
      <x:c r="N337" s="91"/>
      <x:c r="O337" s="91"/>
      <x:c r="P337" s="91"/>
      <x:c r="Q337" s="91"/>
      <x:c r="R337" s="91"/>
      <x:c r="S337" s="85"/>
      <x:c r="U337" s="86"/>
      <x:c r="V337" s="32"/>
    </x:row>
    <x:row r="338">
      <x:c r="A338" s="87"/>
      <x:c r="B338" s="88"/>
      <x:c r="D338" s="32"/>
      <x:c r="G338" s="74"/>
      <x:c r="H338" s="74"/>
      <x:c r="I338" s="74"/>
      <x:c r="J338" s="74"/>
      <x:c r="K338" s="74"/>
      <x:c r="L338" s="74"/>
      <x:c r="M338" s="74"/>
      <x:c r="N338" s="91"/>
      <x:c r="O338" s="91"/>
      <x:c r="P338" s="91"/>
      <x:c r="Q338" s="91"/>
      <x:c r="R338" s="91"/>
      <x:c r="S338" s="85"/>
      <x:c r="U338" s="86"/>
      <x:c r="V338" s="32"/>
    </x:row>
    <x:row r="339">
      <x:c r="A339" s="87"/>
      <x:c r="B339" s="88"/>
      <x:c r="D339" s="32"/>
      <x:c r="G339" s="74"/>
      <x:c r="H339" s="74"/>
      <x:c r="I339" s="74"/>
      <x:c r="J339" s="74"/>
      <x:c r="K339" s="74"/>
      <x:c r="L339" s="74"/>
      <x:c r="M339" s="74"/>
      <x:c r="N339" s="91"/>
      <x:c r="O339" s="91"/>
      <x:c r="P339" s="91"/>
      <x:c r="Q339" s="91"/>
      <x:c r="R339" s="91"/>
      <x:c r="S339" s="85"/>
      <x:c r="U339" s="86"/>
      <x:c r="V339" s="32"/>
    </x:row>
    <x:row r="340">
      <x:c r="A340" s="87"/>
      <x:c r="B340" s="88"/>
      <x:c r="D340" s="32"/>
      <x:c r="G340" s="74"/>
      <x:c r="H340" s="74"/>
      <x:c r="I340" s="74"/>
      <x:c r="J340" s="74"/>
      <x:c r="K340" s="74"/>
      <x:c r="L340" s="74"/>
      <x:c r="M340" s="74"/>
      <x:c r="N340" s="91"/>
      <x:c r="O340" s="91"/>
      <x:c r="P340" s="91"/>
      <x:c r="Q340" s="91"/>
      <x:c r="R340" s="91"/>
      <x:c r="S340" s="85"/>
      <x:c r="U340" s="86"/>
      <x:c r="V340" s="32"/>
    </x:row>
    <x:row r="341">
      <x:c r="A341" s="87"/>
      <x:c r="B341" s="88"/>
      <x:c r="D341" s="32"/>
      <x:c r="G341" s="74"/>
      <x:c r="H341" s="74"/>
      <x:c r="I341" s="74"/>
      <x:c r="J341" s="74"/>
      <x:c r="K341" s="74"/>
      <x:c r="L341" s="74"/>
      <x:c r="M341" s="74"/>
      <x:c r="N341" s="91"/>
      <x:c r="O341" s="91"/>
      <x:c r="P341" s="91"/>
      <x:c r="Q341" s="91"/>
      <x:c r="R341" s="91"/>
      <x:c r="S341" s="85"/>
      <x:c r="U341" s="86"/>
      <x:c r="V341" s="32"/>
    </x:row>
    <x:row r="342">
      <x:c r="A342" s="87"/>
      <x:c r="B342" s="88"/>
      <x:c r="D342" s="32"/>
      <x:c r="G342" s="74"/>
      <x:c r="H342" s="74"/>
      <x:c r="I342" s="74"/>
      <x:c r="J342" s="74"/>
      <x:c r="K342" s="74"/>
      <x:c r="L342" s="74"/>
      <x:c r="M342" s="74"/>
      <x:c r="N342" s="91"/>
      <x:c r="O342" s="91"/>
      <x:c r="P342" s="91"/>
      <x:c r="Q342" s="91"/>
      <x:c r="R342" s="91"/>
      <x:c r="S342" s="85"/>
      <x:c r="U342" s="86"/>
      <x:c r="V342" s="32"/>
    </x:row>
    <x:row r="343">
      <x:c r="A343" s="87"/>
      <x:c r="B343" s="88"/>
      <x:c r="D343" s="32"/>
      <x:c r="G343" s="74"/>
      <x:c r="H343" s="74"/>
      <x:c r="I343" s="74"/>
      <x:c r="J343" s="74"/>
      <x:c r="K343" s="74"/>
      <x:c r="L343" s="74"/>
      <x:c r="M343" s="74"/>
      <x:c r="N343" s="91"/>
      <x:c r="O343" s="91"/>
      <x:c r="P343" s="91"/>
      <x:c r="Q343" s="91"/>
      <x:c r="R343" s="91"/>
      <x:c r="S343" s="85"/>
      <x:c r="U343" s="86"/>
      <x:c r="V343" s="32"/>
    </x:row>
    <x:row r="344">
      <x:c r="A344" s="87"/>
      <x:c r="B344" s="88"/>
      <x:c r="D344" s="32"/>
      <x:c r="G344" s="74"/>
      <x:c r="H344" s="74"/>
      <x:c r="I344" s="74"/>
      <x:c r="J344" s="74"/>
      <x:c r="K344" s="74"/>
      <x:c r="L344" s="74"/>
      <x:c r="M344" s="74"/>
      <x:c r="N344" s="91"/>
      <x:c r="O344" s="91"/>
      <x:c r="P344" s="91"/>
      <x:c r="Q344" s="91"/>
      <x:c r="R344" s="91"/>
      <x:c r="S344" s="85"/>
      <x:c r="U344" s="86"/>
      <x:c r="V344" s="32"/>
    </x:row>
    <x:row r="345">
      <x:c r="A345" s="87"/>
      <x:c r="B345" s="88"/>
      <x:c r="D345" s="32"/>
      <x:c r="G345" s="74"/>
      <x:c r="H345" s="74"/>
      <x:c r="I345" s="74"/>
      <x:c r="J345" s="74"/>
      <x:c r="K345" s="74"/>
      <x:c r="L345" s="74"/>
      <x:c r="M345" s="74"/>
      <x:c r="N345" s="91"/>
      <x:c r="O345" s="91"/>
      <x:c r="P345" s="91"/>
      <x:c r="Q345" s="91"/>
      <x:c r="R345" s="91"/>
      <x:c r="S345" s="85"/>
      <x:c r="U345" s="86"/>
      <x:c r="V345" s="32"/>
    </x:row>
    <x:row r="346">
      <x:c r="A346" s="87"/>
      <x:c r="B346" s="88"/>
      <x:c r="D346" s="32"/>
      <x:c r="G346" s="74"/>
      <x:c r="H346" s="74"/>
      <x:c r="I346" s="74"/>
      <x:c r="J346" s="74"/>
      <x:c r="K346" s="74"/>
      <x:c r="L346" s="74"/>
      <x:c r="M346" s="74"/>
      <x:c r="N346" s="91"/>
      <x:c r="O346" s="91"/>
      <x:c r="P346" s="91"/>
      <x:c r="Q346" s="91"/>
      <x:c r="R346" s="91"/>
      <x:c r="S346" s="85"/>
      <x:c r="U346" s="86"/>
      <x:c r="V346" s="32"/>
    </x:row>
    <x:row r="347">
      <x:c r="A347" s="87"/>
      <x:c r="B347" s="88"/>
      <x:c r="D347" s="32"/>
      <x:c r="G347" s="74"/>
      <x:c r="H347" s="74"/>
      <x:c r="I347" s="74"/>
      <x:c r="J347" s="74"/>
      <x:c r="K347" s="74"/>
      <x:c r="L347" s="74"/>
      <x:c r="M347" s="74"/>
      <x:c r="N347" s="91"/>
      <x:c r="O347" s="91"/>
      <x:c r="P347" s="91"/>
      <x:c r="Q347" s="91"/>
      <x:c r="R347" s="91"/>
      <x:c r="S347" s="85"/>
      <x:c r="U347" s="86"/>
      <x:c r="V347" s="32"/>
    </x:row>
    <x:row r="348">
      <x:c r="A348" s="87"/>
      <x:c r="B348" s="88"/>
      <x:c r="D348" s="32"/>
      <x:c r="G348" s="74"/>
      <x:c r="H348" s="74"/>
      <x:c r="I348" s="74"/>
      <x:c r="J348" s="74"/>
      <x:c r="K348" s="74"/>
      <x:c r="L348" s="74"/>
      <x:c r="M348" s="74"/>
      <x:c r="N348" s="91"/>
      <x:c r="O348" s="91"/>
      <x:c r="P348" s="91"/>
      <x:c r="Q348" s="91"/>
      <x:c r="R348" s="91"/>
      <x:c r="S348" s="85"/>
      <x:c r="U348" s="86"/>
      <x:c r="V348" s="32"/>
    </x:row>
    <x:row r="349">
      <x:c r="A349" s="87"/>
      <x:c r="B349" s="88"/>
      <x:c r="D349" s="32"/>
      <x:c r="G349" s="74"/>
      <x:c r="H349" s="74"/>
      <x:c r="I349" s="74"/>
      <x:c r="J349" s="74"/>
      <x:c r="K349" s="74"/>
      <x:c r="L349" s="74"/>
      <x:c r="M349" s="74"/>
      <x:c r="N349" s="91"/>
      <x:c r="O349" s="91"/>
      <x:c r="P349" s="91"/>
      <x:c r="Q349" s="91"/>
      <x:c r="R349" s="91"/>
      <x:c r="S349" s="85"/>
      <x:c r="U349" s="86"/>
      <x:c r="V349" s="32"/>
    </x:row>
    <x:row r="350">
      <x:c r="A350" s="87"/>
      <x:c r="B350" s="88"/>
      <x:c r="D350" s="32"/>
      <x:c r="G350" s="74"/>
      <x:c r="H350" s="74"/>
      <x:c r="I350" s="74"/>
      <x:c r="J350" s="74"/>
      <x:c r="K350" s="74"/>
      <x:c r="L350" s="74"/>
      <x:c r="M350" s="74"/>
      <x:c r="N350" s="91"/>
      <x:c r="O350" s="91"/>
      <x:c r="P350" s="91"/>
      <x:c r="Q350" s="91"/>
      <x:c r="R350" s="91"/>
      <x:c r="S350" s="85"/>
      <x:c r="U350" s="86"/>
      <x:c r="V350" s="32"/>
    </x:row>
    <x:row r="351">
      <x:c r="A351" s="87"/>
      <x:c r="B351" s="88"/>
      <x:c r="D351" s="32"/>
      <x:c r="G351" s="74"/>
      <x:c r="H351" s="74"/>
      <x:c r="I351" s="74"/>
      <x:c r="J351" s="74"/>
      <x:c r="K351" s="74"/>
      <x:c r="L351" s="74"/>
      <x:c r="M351" s="74"/>
      <x:c r="N351" s="91"/>
      <x:c r="O351" s="91"/>
      <x:c r="P351" s="91"/>
      <x:c r="Q351" s="91"/>
      <x:c r="R351" s="91"/>
      <x:c r="S351" s="85"/>
      <x:c r="U351" s="86"/>
      <x:c r="V351" s="32"/>
    </x:row>
    <x:row r="352">
      <x:c r="A352" s="87"/>
      <x:c r="B352" s="88"/>
      <x:c r="D352" s="32"/>
      <x:c r="G352" s="74"/>
      <x:c r="H352" s="74"/>
      <x:c r="I352" s="74"/>
      <x:c r="J352" s="74"/>
      <x:c r="K352" s="74"/>
      <x:c r="L352" s="74"/>
      <x:c r="M352" s="74"/>
      <x:c r="N352" s="91"/>
      <x:c r="O352" s="91"/>
      <x:c r="P352" s="91"/>
      <x:c r="Q352" s="91"/>
      <x:c r="R352" s="91"/>
      <x:c r="S352" s="85"/>
      <x:c r="U352" s="86"/>
      <x:c r="V352" s="32"/>
    </x:row>
    <x:row r="353">
      <x:c r="A353" s="87"/>
      <x:c r="B353" s="88"/>
      <x:c r="D353" s="32"/>
      <x:c r="G353" s="74"/>
      <x:c r="H353" s="74"/>
      <x:c r="I353" s="74"/>
      <x:c r="J353" s="74"/>
      <x:c r="K353" s="74"/>
      <x:c r="L353" s="74"/>
      <x:c r="M353" s="74"/>
      <x:c r="N353" s="91"/>
      <x:c r="O353" s="91"/>
      <x:c r="P353" s="91"/>
      <x:c r="Q353" s="91"/>
      <x:c r="R353" s="91"/>
      <x:c r="S353" s="85"/>
      <x:c r="U353" s="86"/>
      <x:c r="V353" s="32"/>
    </x:row>
    <x:row r="354">
      <x:c r="A354" s="87"/>
      <x:c r="B354" s="88"/>
      <x:c r="D354" s="32"/>
      <x:c r="G354" s="74"/>
      <x:c r="H354" s="74"/>
      <x:c r="I354" s="74"/>
      <x:c r="J354" s="74"/>
      <x:c r="K354" s="74"/>
      <x:c r="L354" s="74"/>
      <x:c r="M354" s="74"/>
      <x:c r="N354" s="91"/>
      <x:c r="O354" s="91"/>
      <x:c r="P354" s="91"/>
      <x:c r="Q354" s="91"/>
      <x:c r="R354" s="91"/>
      <x:c r="S354" s="85"/>
      <x:c r="U354" s="86"/>
      <x:c r="V354" s="32"/>
    </x:row>
    <x:row r="355">
      <x:c r="A355" s="87"/>
      <x:c r="B355" s="88"/>
      <x:c r="D355" s="32"/>
      <x:c r="G355" s="74"/>
      <x:c r="H355" s="74"/>
      <x:c r="I355" s="74"/>
      <x:c r="J355" s="74"/>
      <x:c r="K355" s="74"/>
      <x:c r="L355" s="74"/>
      <x:c r="M355" s="74"/>
      <x:c r="N355" s="91"/>
      <x:c r="O355" s="91"/>
      <x:c r="P355" s="91"/>
      <x:c r="Q355" s="91"/>
      <x:c r="R355" s="91"/>
      <x:c r="S355" s="85"/>
      <x:c r="U355" s="86"/>
      <x:c r="V355" s="32"/>
    </x:row>
    <x:row r="356">
      <x:c r="A356" s="87"/>
      <x:c r="B356" s="88"/>
      <x:c r="D356" s="32"/>
      <x:c r="G356" s="74"/>
      <x:c r="H356" s="74"/>
      <x:c r="I356" s="74"/>
      <x:c r="J356" s="74"/>
      <x:c r="K356" s="74"/>
      <x:c r="L356" s="74"/>
      <x:c r="M356" s="74"/>
      <x:c r="N356" s="91"/>
      <x:c r="O356" s="91"/>
      <x:c r="P356" s="91"/>
      <x:c r="Q356" s="91"/>
      <x:c r="R356" s="91"/>
      <x:c r="S356" s="85"/>
      <x:c r="U356" s="86"/>
      <x:c r="V356" s="32"/>
    </x:row>
    <x:row r="357">
      <x:c r="A357" s="87"/>
      <x:c r="B357" s="88"/>
      <x:c r="D357" s="32"/>
      <x:c r="G357" s="74"/>
      <x:c r="H357" s="74"/>
      <x:c r="I357" s="74"/>
      <x:c r="J357" s="74"/>
      <x:c r="K357" s="74"/>
      <x:c r="L357" s="74"/>
      <x:c r="M357" s="74"/>
      <x:c r="N357" s="91"/>
      <x:c r="O357" s="91"/>
      <x:c r="P357" s="91"/>
      <x:c r="Q357" s="91"/>
      <x:c r="R357" s="91"/>
      <x:c r="S357" s="85"/>
      <x:c r="U357" s="86"/>
      <x:c r="V357" s="32"/>
    </x:row>
    <x:row r="358">
      <x:c r="A358" s="87"/>
      <x:c r="B358" s="88"/>
      <x:c r="D358" s="32"/>
      <x:c r="G358" s="74"/>
      <x:c r="H358" s="74"/>
      <x:c r="I358" s="74"/>
      <x:c r="J358" s="74"/>
      <x:c r="K358" s="74"/>
      <x:c r="L358" s="74"/>
      <x:c r="M358" s="74"/>
      <x:c r="N358" s="91"/>
      <x:c r="O358" s="91"/>
      <x:c r="P358" s="91"/>
      <x:c r="Q358" s="91"/>
      <x:c r="R358" s="91"/>
      <x:c r="S358" s="85"/>
      <x:c r="U358" s="86"/>
      <x:c r="V358" s="32"/>
    </x:row>
    <x:row r="359">
      <x:c r="A359" s="87"/>
      <x:c r="B359" s="88"/>
      <x:c r="D359" s="32"/>
      <x:c r="G359" s="74"/>
      <x:c r="H359" s="74"/>
      <x:c r="I359" s="74"/>
      <x:c r="J359" s="74"/>
      <x:c r="K359" s="74"/>
      <x:c r="L359" s="74"/>
      <x:c r="M359" s="74"/>
      <x:c r="N359" s="91"/>
      <x:c r="O359" s="91"/>
      <x:c r="P359" s="91"/>
      <x:c r="Q359" s="91"/>
      <x:c r="R359" s="91"/>
      <x:c r="S359" s="85"/>
      <x:c r="U359" s="86"/>
      <x:c r="V359" s="32"/>
    </x:row>
    <x:row r="360">
      <x:c r="A360" s="87"/>
      <x:c r="B360" s="88"/>
      <x:c r="D360" s="32"/>
      <x:c r="G360" s="74"/>
      <x:c r="H360" s="74"/>
      <x:c r="I360" s="74"/>
      <x:c r="J360" s="74"/>
      <x:c r="K360" s="74"/>
      <x:c r="L360" s="74"/>
      <x:c r="M360" s="74"/>
      <x:c r="N360" s="91"/>
      <x:c r="O360" s="91"/>
      <x:c r="P360" s="91"/>
      <x:c r="Q360" s="91"/>
      <x:c r="R360" s="91"/>
      <x:c r="S360" s="85"/>
      <x:c r="U360" s="86"/>
      <x:c r="V360" s="32"/>
    </x:row>
    <x:row r="361">
      <x:c r="A361" s="87"/>
      <x:c r="B361" s="88"/>
      <x:c r="D361" s="32"/>
      <x:c r="G361" s="74"/>
      <x:c r="H361" s="74"/>
      <x:c r="I361" s="74"/>
      <x:c r="J361" s="74"/>
      <x:c r="K361" s="74"/>
      <x:c r="L361" s="74"/>
      <x:c r="M361" s="74"/>
      <x:c r="N361" s="91"/>
      <x:c r="O361" s="91"/>
      <x:c r="P361" s="91"/>
      <x:c r="Q361" s="91"/>
      <x:c r="R361" s="91"/>
      <x:c r="S361" s="85"/>
      <x:c r="U361" s="86"/>
      <x:c r="V361" s="32"/>
    </x:row>
    <x:row r="362">
      <x:c r="A362" s="87"/>
      <x:c r="B362" s="88"/>
      <x:c r="D362" s="32"/>
      <x:c r="G362" s="74"/>
      <x:c r="H362" s="74"/>
      <x:c r="I362" s="74"/>
      <x:c r="J362" s="74"/>
      <x:c r="K362" s="74"/>
      <x:c r="L362" s="74"/>
      <x:c r="M362" s="74"/>
      <x:c r="N362" s="91"/>
      <x:c r="O362" s="91"/>
      <x:c r="P362" s="91"/>
      <x:c r="Q362" s="91"/>
      <x:c r="R362" s="91"/>
      <x:c r="S362" s="85"/>
      <x:c r="U362" s="86"/>
      <x:c r="V362" s="32"/>
    </x:row>
    <x:row r="363">
      <x:c r="A363" s="87"/>
      <x:c r="B363" s="88"/>
      <x:c r="D363" s="32"/>
      <x:c r="G363" s="74"/>
      <x:c r="H363" s="74"/>
      <x:c r="I363" s="74"/>
      <x:c r="J363" s="74"/>
      <x:c r="K363" s="74"/>
      <x:c r="L363" s="74"/>
      <x:c r="M363" s="74"/>
      <x:c r="N363" s="91"/>
      <x:c r="O363" s="91"/>
      <x:c r="P363" s="91"/>
      <x:c r="Q363" s="91"/>
      <x:c r="R363" s="91"/>
      <x:c r="S363" s="85"/>
      <x:c r="U363" s="86"/>
      <x:c r="V363" s="32"/>
    </x:row>
    <x:row r="364">
      <x:c r="A364" s="87"/>
      <x:c r="B364" s="88"/>
      <x:c r="D364" s="32"/>
      <x:c r="G364" s="74"/>
      <x:c r="H364" s="74"/>
      <x:c r="I364" s="74"/>
      <x:c r="J364" s="74"/>
      <x:c r="K364" s="74"/>
      <x:c r="L364" s="74"/>
      <x:c r="M364" s="74"/>
      <x:c r="N364" s="91"/>
      <x:c r="O364" s="91"/>
      <x:c r="P364" s="91"/>
      <x:c r="Q364" s="91"/>
      <x:c r="R364" s="91"/>
      <x:c r="S364" s="85"/>
      <x:c r="U364" s="86"/>
      <x:c r="V364" s="32"/>
    </x:row>
    <x:row r="365">
      <x:c r="A365" s="87"/>
      <x:c r="B365" s="88"/>
      <x:c r="D365" s="32"/>
      <x:c r="G365" s="74"/>
      <x:c r="H365" s="74"/>
      <x:c r="I365" s="74"/>
      <x:c r="J365" s="74"/>
      <x:c r="K365" s="74"/>
      <x:c r="L365" s="74"/>
      <x:c r="M365" s="74"/>
      <x:c r="N365" s="91"/>
      <x:c r="O365" s="91"/>
      <x:c r="P365" s="91"/>
      <x:c r="Q365" s="91"/>
      <x:c r="R365" s="91"/>
      <x:c r="S365" s="85"/>
      <x:c r="U365" s="86"/>
      <x:c r="V365" s="32"/>
    </x:row>
    <x:row r="366">
      <x:c r="A366" s="87"/>
      <x:c r="B366" s="88"/>
      <x:c r="D366" s="32"/>
      <x:c r="G366" s="74"/>
      <x:c r="H366" s="74"/>
      <x:c r="I366" s="74"/>
      <x:c r="J366" s="74"/>
      <x:c r="K366" s="74"/>
      <x:c r="L366" s="74"/>
      <x:c r="M366" s="74"/>
      <x:c r="N366" s="91"/>
      <x:c r="O366" s="91"/>
      <x:c r="P366" s="91"/>
      <x:c r="Q366" s="91"/>
      <x:c r="R366" s="91"/>
      <x:c r="S366" s="85"/>
      <x:c r="U366" s="86"/>
      <x:c r="V366" s="32"/>
    </x:row>
    <x:row r="367">
      <x:c r="A367" s="87"/>
      <x:c r="B367" s="88"/>
      <x:c r="D367" s="32"/>
      <x:c r="G367" s="74"/>
      <x:c r="H367" s="74"/>
      <x:c r="I367" s="74"/>
      <x:c r="J367" s="74"/>
      <x:c r="K367" s="74"/>
      <x:c r="L367" s="74"/>
      <x:c r="M367" s="74"/>
      <x:c r="N367" s="91"/>
      <x:c r="O367" s="91"/>
      <x:c r="P367" s="91"/>
      <x:c r="Q367" s="91"/>
      <x:c r="R367" s="91"/>
      <x:c r="S367" s="85"/>
      <x:c r="U367" s="86"/>
      <x:c r="V367" s="32"/>
    </x:row>
    <x:row r="368">
      <x:c r="A368" s="87"/>
      <x:c r="B368" s="88"/>
      <x:c r="D368" s="32"/>
      <x:c r="G368" s="74"/>
      <x:c r="H368" s="74"/>
      <x:c r="I368" s="74"/>
      <x:c r="J368" s="74"/>
      <x:c r="K368" s="74"/>
      <x:c r="L368" s="74"/>
      <x:c r="M368" s="74"/>
      <x:c r="N368" s="91"/>
      <x:c r="O368" s="91"/>
      <x:c r="P368" s="91"/>
      <x:c r="Q368" s="91"/>
      <x:c r="R368" s="91"/>
      <x:c r="S368" s="85"/>
      <x:c r="U368" s="86"/>
      <x:c r="V368" s="32"/>
    </x:row>
    <x:row r="369">
      <x:c r="A369" s="87"/>
      <x:c r="B369" s="88"/>
      <x:c r="D369" s="32"/>
      <x:c r="G369" s="74"/>
      <x:c r="H369" s="74"/>
      <x:c r="I369" s="74"/>
      <x:c r="J369" s="74"/>
      <x:c r="K369" s="74"/>
      <x:c r="L369" s="74"/>
      <x:c r="M369" s="74"/>
      <x:c r="N369" s="91"/>
      <x:c r="O369" s="91"/>
      <x:c r="P369" s="91"/>
      <x:c r="Q369" s="91"/>
      <x:c r="R369" s="91"/>
      <x:c r="S369" s="85"/>
      <x:c r="U369" s="86"/>
      <x:c r="V369" s="32"/>
    </x:row>
    <x:row r="370">
      <x:c r="A370" s="87"/>
      <x:c r="B370" s="88"/>
      <x:c r="D370" s="32"/>
      <x:c r="G370" s="74"/>
      <x:c r="H370" s="74"/>
      <x:c r="I370" s="74"/>
      <x:c r="J370" s="74"/>
      <x:c r="K370" s="74"/>
      <x:c r="L370" s="74"/>
      <x:c r="M370" s="74"/>
      <x:c r="N370" s="91"/>
      <x:c r="O370" s="91"/>
      <x:c r="P370" s="91"/>
      <x:c r="Q370" s="91"/>
      <x:c r="R370" s="91"/>
      <x:c r="S370" s="85"/>
      <x:c r="U370" s="86"/>
      <x:c r="V370" s="32"/>
    </x:row>
    <x:row r="371">
      <x:c r="A371" s="87"/>
      <x:c r="B371" s="88"/>
      <x:c r="D371" s="32"/>
      <x:c r="G371" s="74"/>
      <x:c r="H371" s="74"/>
      <x:c r="I371" s="74"/>
      <x:c r="J371" s="74"/>
      <x:c r="K371" s="74"/>
      <x:c r="L371" s="74"/>
      <x:c r="M371" s="74"/>
      <x:c r="N371" s="91"/>
      <x:c r="O371" s="91"/>
      <x:c r="P371" s="91"/>
      <x:c r="Q371" s="91"/>
      <x:c r="R371" s="91"/>
      <x:c r="S371" s="85"/>
      <x:c r="U371" s="86"/>
      <x:c r="V371" s="32"/>
    </x:row>
    <x:row r="372">
      <x:c r="A372" s="87"/>
      <x:c r="B372" s="88"/>
      <x:c r="D372" s="32"/>
      <x:c r="G372" s="74"/>
      <x:c r="H372" s="74"/>
      <x:c r="I372" s="74"/>
      <x:c r="J372" s="74"/>
      <x:c r="K372" s="74"/>
      <x:c r="L372" s="74"/>
      <x:c r="M372" s="74"/>
      <x:c r="N372" s="91"/>
      <x:c r="O372" s="91"/>
      <x:c r="P372" s="91"/>
      <x:c r="Q372" s="91"/>
      <x:c r="R372" s="91"/>
      <x:c r="S372" s="85"/>
      <x:c r="U372" s="86"/>
      <x:c r="V372" s="32"/>
    </x:row>
    <x:row r="373">
      <x:c r="A373" s="87"/>
      <x:c r="B373" s="88"/>
      <x:c r="D373" s="32"/>
      <x:c r="G373" s="74"/>
      <x:c r="H373" s="74"/>
      <x:c r="I373" s="74"/>
      <x:c r="J373" s="74"/>
      <x:c r="K373" s="74"/>
      <x:c r="L373" s="74"/>
      <x:c r="M373" s="74"/>
      <x:c r="N373" s="91"/>
      <x:c r="O373" s="91"/>
      <x:c r="P373" s="91"/>
      <x:c r="Q373" s="91"/>
      <x:c r="R373" s="91"/>
      <x:c r="S373" s="85"/>
      <x:c r="U373" s="86"/>
      <x:c r="V373" s="32"/>
    </x:row>
    <x:row r="374">
      <x:c r="A374" s="87"/>
      <x:c r="B374" s="88"/>
      <x:c r="D374" s="32"/>
      <x:c r="G374" s="74"/>
      <x:c r="H374" s="74"/>
      <x:c r="I374" s="74"/>
      <x:c r="J374" s="74"/>
      <x:c r="K374" s="74"/>
      <x:c r="L374" s="74"/>
      <x:c r="M374" s="74"/>
      <x:c r="N374" s="91"/>
      <x:c r="O374" s="91"/>
      <x:c r="P374" s="91"/>
      <x:c r="Q374" s="91"/>
      <x:c r="R374" s="91"/>
      <x:c r="S374" s="85"/>
      <x:c r="U374" s="86"/>
      <x:c r="V374" s="32"/>
    </x:row>
    <x:row r="375">
      <x:c r="A375" s="87"/>
      <x:c r="B375" s="88"/>
      <x:c r="D375" s="32"/>
      <x:c r="G375" s="74"/>
      <x:c r="H375" s="74"/>
      <x:c r="I375" s="74"/>
      <x:c r="J375" s="74"/>
      <x:c r="K375" s="74"/>
      <x:c r="L375" s="74"/>
      <x:c r="M375" s="74"/>
      <x:c r="N375" s="91"/>
      <x:c r="O375" s="91"/>
      <x:c r="P375" s="91"/>
      <x:c r="Q375" s="91"/>
      <x:c r="R375" s="91"/>
      <x:c r="S375" s="85"/>
      <x:c r="U375" s="86"/>
      <x:c r="V375" s="32"/>
    </x:row>
    <x:row r="376">
      <x:c r="A376" s="87"/>
      <x:c r="B376" s="88"/>
      <x:c r="D376" s="32"/>
      <x:c r="G376" s="74"/>
      <x:c r="H376" s="74"/>
      <x:c r="I376" s="74"/>
      <x:c r="J376" s="74"/>
      <x:c r="K376" s="74"/>
      <x:c r="L376" s="74"/>
      <x:c r="M376" s="74"/>
      <x:c r="N376" s="91"/>
      <x:c r="O376" s="91"/>
      <x:c r="P376" s="91"/>
      <x:c r="Q376" s="91"/>
      <x:c r="R376" s="91"/>
      <x:c r="S376" s="85"/>
      <x:c r="U376" s="86"/>
      <x:c r="V376" s="32"/>
    </x:row>
    <x:row r="377">
      <x:c r="A377" s="87"/>
      <x:c r="B377" s="88"/>
      <x:c r="D377" s="32"/>
      <x:c r="G377" s="74"/>
      <x:c r="H377" s="74"/>
      <x:c r="I377" s="74"/>
      <x:c r="J377" s="74"/>
      <x:c r="K377" s="74"/>
      <x:c r="L377" s="74"/>
      <x:c r="M377" s="74"/>
      <x:c r="N377" s="91"/>
      <x:c r="O377" s="91"/>
      <x:c r="P377" s="91"/>
      <x:c r="Q377" s="91"/>
      <x:c r="R377" s="91"/>
      <x:c r="S377" s="85"/>
      <x:c r="U377" s="86"/>
      <x:c r="V377" s="32"/>
    </x:row>
    <x:row r="378">
      <x:c r="A378" s="87"/>
      <x:c r="B378" s="88"/>
      <x:c r="D378" s="32"/>
      <x:c r="G378" s="74"/>
      <x:c r="H378" s="74"/>
      <x:c r="I378" s="74"/>
      <x:c r="J378" s="74"/>
      <x:c r="K378" s="74"/>
      <x:c r="L378" s="74"/>
      <x:c r="M378" s="74"/>
      <x:c r="N378" s="91"/>
      <x:c r="O378" s="91"/>
      <x:c r="P378" s="91"/>
      <x:c r="Q378" s="91"/>
      <x:c r="R378" s="91"/>
      <x:c r="S378" s="85"/>
      <x:c r="U378" s="86"/>
      <x:c r="V378" s="32"/>
    </x:row>
    <x:row r="379">
      <x:c r="A379" s="87"/>
      <x:c r="B379" s="88"/>
      <x:c r="D379" s="32"/>
      <x:c r="G379" s="74"/>
      <x:c r="H379" s="74"/>
      <x:c r="I379" s="74"/>
      <x:c r="J379" s="74"/>
      <x:c r="K379" s="74"/>
      <x:c r="L379" s="74"/>
      <x:c r="M379" s="74"/>
      <x:c r="N379" s="91"/>
      <x:c r="O379" s="91"/>
      <x:c r="P379" s="91"/>
      <x:c r="Q379" s="91"/>
      <x:c r="R379" s="91"/>
      <x:c r="S379" s="85"/>
      <x:c r="U379" s="86"/>
      <x:c r="V379" s="32"/>
    </x:row>
    <x:row r="380">
      <x:c r="A380" s="87"/>
      <x:c r="B380" s="88"/>
      <x:c r="D380" s="32"/>
      <x:c r="G380" s="74"/>
      <x:c r="H380" s="74"/>
      <x:c r="I380" s="74"/>
      <x:c r="J380" s="74"/>
      <x:c r="K380" s="74"/>
      <x:c r="L380" s="74"/>
      <x:c r="M380" s="74"/>
      <x:c r="N380" s="91"/>
      <x:c r="O380" s="91"/>
      <x:c r="P380" s="91"/>
      <x:c r="Q380" s="91"/>
      <x:c r="R380" s="91"/>
      <x:c r="S380" s="85"/>
      <x:c r="U380" s="86"/>
      <x:c r="V380" s="32"/>
    </x:row>
    <x:row r="381">
      <x:c r="A381" s="87"/>
      <x:c r="B381" s="88"/>
      <x:c r="D381" s="32"/>
      <x:c r="G381" s="74"/>
      <x:c r="H381" s="74"/>
      <x:c r="I381" s="74"/>
      <x:c r="J381" s="74"/>
      <x:c r="K381" s="74"/>
      <x:c r="L381" s="74"/>
      <x:c r="M381" s="74"/>
      <x:c r="N381" s="91"/>
      <x:c r="O381" s="91"/>
      <x:c r="P381" s="91"/>
      <x:c r="Q381" s="91"/>
      <x:c r="R381" s="91"/>
      <x:c r="S381" s="85"/>
      <x:c r="U381" s="86"/>
      <x:c r="V381" s="32"/>
    </x:row>
    <x:row r="382">
      <x:c r="A382" s="87"/>
      <x:c r="B382" s="88"/>
      <x:c r="D382" s="32"/>
      <x:c r="G382" s="74"/>
      <x:c r="H382" s="74"/>
      <x:c r="I382" s="74"/>
      <x:c r="J382" s="74"/>
      <x:c r="K382" s="74"/>
      <x:c r="L382" s="74"/>
      <x:c r="M382" s="74"/>
      <x:c r="N382" s="91"/>
      <x:c r="O382" s="91"/>
      <x:c r="P382" s="91"/>
      <x:c r="Q382" s="91"/>
      <x:c r="R382" s="91"/>
      <x:c r="S382" s="85"/>
      <x:c r="U382" s="86"/>
      <x:c r="V382" s="32"/>
    </x:row>
    <x:row r="383">
      <x:c r="A383" s="87"/>
      <x:c r="B383" s="88"/>
      <x:c r="D383" s="32"/>
      <x:c r="G383" s="74"/>
      <x:c r="H383" s="74"/>
      <x:c r="I383" s="74"/>
      <x:c r="J383" s="74"/>
      <x:c r="K383" s="74"/>
      <x:c r="L383" s="74"/>
      <x:c r="M383" s="74"/>
      <x:c r="N383" s="91"/>
      <x:c r="O383" s="91"/>
      <x:c r="P383" s="91"/>
      <x:c r="Q383" s="91"/>
      <x:c r="R383" s="91"/>
      <x:c r="S383" s="85"/>
      <x:c r="U383" s="86"/>
      <x:c r="V383" s="32"/>
    </x:row>
    <x:row r="384">
      <x:c r="A384" s="87"/>
      <x:c r="B384" s="88"/>
      <x:c r="D384" s="32"/>
      <x:c r="G384" s="74"/>
      <x:c r="H384" s="74"/>
      <x:c r="I384" s="74"/>
      <x:c r="J384" s="74"/>
      <x:c r="K384" s="74"/>
      <x:c r="L384" s="74"/>
      <x:c r="M384" s="74"/>
      <x:c r="N384" s="91"/>
      <x:c r="O384" s="91"/>
      <x:c r="P384" s="91"/>
      <x:c r="Q384" s="91"/>
      <x:c r="R384" s="91"/>
      <x:c r="S384" s="85"/>
      <x:c r="U384" s="86"/>
      <x:c r="V384" s="32"/>
    </x:row>
    <x:row r="385">
      <x:c r="A385" s="87"/>
      <x:c r="B385" s="88"/>
      <x:c r="D385" s="32"/>
      <x:c r="G385" s="74"/>
      <x:c r="H385" s="74"/>
      <x:c r="I385" s="74"/>
      <x:c r="J385" s="74"/>
      <x:c r="K385" s="74"/>
      <x:c r="L385" s="74"/>
      <x:c r="M385" s="74"/>
      <x:c r="N385" s="91"/>
      <x:c r="O385" s="91"/>
      <x:c r="P385" s="91"/>
      <x:c r="Q385" s="91"/>
      <x:c r="R385" s="91"/>
      <x:c r="S385" s="85"/>
      <x:c r="U385" s="86"/>
      <x:c r="V385" s="32"/>
    </x:row>
    <x:row r="386">
      <x:c r="A386" s="87"/>
      <x:c r="B386" s="88"/>
      <x:c r="D386" s="32"/>
      <x:c r="G386" s="74"/>
      <x:c r="H386" s="74"/>
      <x:c r="I386" s="74"/>
      <x:c r="J386" s="74"/>
      <x:c r="K386" s="74"/>
      <x:c r="L386" s="74"/>
      <x:c r="M386" s="74"/>
      <x:c r="N386" s="91"/>
      <x:c r="O386" s="91"/>
      <x:c r="P386" s="91"/>
      <x:c r="Q386" s="91"/>
      <x:c r="R386" s="91"/>
      <x:c r="S386" s="85"/>
      <x:c r="U386" s="86"/>
      <x:c r="V386" s="32"/>
    </x:row>
    <x:row r="387">
      <x:c r="A387" s="87"/>
      <x:c r="B387" s="88"/>
      <x:c r="D387" s="32"/>
      <x:c r="G387" s="74"/>
      <x:c r="H387" s="74"/>
      <x:c r="I387" s="74"/>
      <x:c r="J387" s="74"/>
      <x:c r="K387" s="74"/>
      <x:c r="L387" s="74"/>
      <x:c r="M387" s="74"/>
      <x:c r="N387" s="91"/>
      <x:c r="O387" s="91"/>
      <x:c r="P387" s="91"/>
      <x:c r="Q387" s="91"/>
      <x:c r="R387" s="91"/>
      <x:c r="S387" s="85"/>
      <x:c r="U387" s="86"/>
      <x:c r="V387" s="32"/>
    </x:row>
    <x:row r="388">
      <x:c r="A388" s="87"/>
      <x:c r="B388" s="88"/>
      <x:c r="D388" s="32"/>
      <x:c r="G388" s="74"/>
      <x:c r="H388" s="74"/>
      <x:c r="I388" s="74"/>
      <x:c r="J388" s="74"/>
      <x:c r="K388" s="74"/>
      <x:c r="L388" s="74"/>
      <x:c r="M388" s="74"/>
      <x:c r="N388" s="91"/>
      <x:c r="O388" s="91"/>
      <x:c r="P388" s="91"/>
      <x:c r="Q388" s="91"/>
      <x:c r="R388" s="91"/>
      <x:c r="S388" s="85"/>
      <x:c r="U388" s="86"/>
      <x:c r="V388" s="32"/>
    </x:row>
    <x:row r="389">
      <x:c r="A389" s="87"/>
      <x:c r="B389" s="88"/>
      <x:c r="D389" s="32"/>
      <x:c r="G389" s="74"/>
      <x:c r="H389" s="74"/>
      <x:c r="I389" s="74"/>
      <x:c r="J389" s="74"/>
      <x:c r="K389" s="74"/>
      <x:c r="L389" s="74"/>
      <x:c r="M389" s="74"/>
      <x:c r="N389" s="91"/>
      <x:c r="O389" s="91"/>
      <x:c r="P389" s="91"/>
      <x:c r="Q389" s="91"/>
      <x:c r="R389" s="91"/>
      <x:c r="S389" s="85"/>
      <x:c r="U389" s="86"/>
      <x:c r="V389" s="32"/>
    </x:row>
    <x:row r="390">
      <x:c r="A390" s="87"/>
      <x:c r="B390" s="88"/>
      <x:c r="D390" s="32"/>
      <x:c r="G390" s="74"/>
      <x:c r="H390" s="74"/>
      <x:c r="I390" s="74"/>
      <x:c r="J390" s="74"/>
      <x:c r="K390" s="74"/>
      <x:c r="L390" s="74"/>
      <x:c r="M390" s="74"/>
      <x:c r="N390" s="91"/>
      <x:c r="O390" s="91"/>
      <x:c r="P390" s="91"/>
      <x:c r="Q390" s="91"/>
      <x:c r="R390" s="91"/>
      <x:c r="S390" s="85"/>
      <x:c r="U390" s="86"/>
      <x:c r="V390" s="32"/>
    </x:row>
    <x:row r="391">
      <x:c r="A391" s="87"/>
      <x:c r="B391" s="88"/>
      <x:c r="D391" s="32"/>
      <x:c r="G391" s="74"/>
      <x:c r="H391" s="74"/>
      <x:c r="I391" s="74"/>
      <x:c r="J391" s="74"/>
      <x:c r="K391" s="74"/>
      <x:c r="L391" s="74"/>
      <x:c r="M391" s="74"/>
      <x:c r="N391" s="91"/>
      <x:c r="O391" s="91"/>
      <x:c r="P391" s="91"/>
      <x:c r="Q391" s="91"/>
      <x:c r="R391" s="91"/>
      <x:c r="S391" s="85"/>
      <x:c r="U391" s="86"/>
      <x:c r="V391" s="32"/>
    </x:row>
    <x:row r="392">
      <x:c r="A392" s="87"/>
      <x:c r="B392" s="88"/>
      <x:c r="D392" s="32"/>
      <x:c r="G392" s="74"/>
      <x:c r="H392" s="74"/>
      <x:c r="I392" s="74"/>
      <x:c r="J392" s="74"/>
      <x:c r="K392" s="74"/>
      <x:c r="L392" s="74"/>
      <x:c r="M392" s="74"/>
      <x:c r="N392" s="91"/>
      <x:c r="O392" s="91"/>
      <x:c r="P392" s="91"/>
      <x:c r="Q392" s="91"/>
      <x:c r="R392" s="91"/>
      <x:c r="S392" s="85"/>
      <x:c r="U392" s="86"/>
      <x:c r="V392" s="32"/>
    </x:row>
    <x:row r="393">
      <x:c r="A393" s="87"/>
      <x:c r="B393" s="88"/>
      <x:c r="D393" s="32"/>
      <x:c r="G393" s="74"/>
      <x:c r="H393" s="74"/>
      <x:c r="I393" s="74"/>
      <x:c r="J393" s="74"/>
      <x:c r="K393" s="74"/>
      <x:c r="L393" s="74"/>
      <x:c r="M393" s="74"/>
      <x:c r="N393" s="91"/>
      <x:c r="O393" s="91"/>
      <x:c r="P393" s="91"/>
      <x:c r="Q393" s="91"/>
      <x:c r="R393" s="91"/>
      <x:c r="S393" s="85"/>
      <x:c r="U393" s="86"/>
      <x:c r="V393" s="32"/>
    </x:row>
    <x:row r="394">
      <x:c r="A394" s="87"/>
      <x:c r="B394" s="88"/>
      <x:c r="D394" s="32"/>
      <x:c r="G394" s="74"/>
      <x:c r="H394" s="74"/>
      <x:c r="I394" s="74"/>
      <x:c r="J394" s="74"/>
      <x:c r="K394" s="74"/>
      <x:c r="L394" s="74"/>
      <x:c r="M394" s="74"/>
      <x:c r="N394" s="91"/>
      <x:c r="O394" s="91"/>
      <x:c r="P394" s="91"/>
      <x:c r="Q394" s="91"/>
      <x:c r="R394" s="91"/>
      <x:c r="S394" s="85"/>
      <x:c r="U394" s="86"/>
      <x:c r="V394" s="32"/>
    </x:row>
    <x:row r="395">
      <x:c r="A395" s="87"/>
      <x:c r="B395" s="88"/>
      <x:c r="D395" s="32"/>
      <x:c r="G395" s="74"/>
      <x:c r="H395" s="74"/>
      <x:c r="I395" s="74"/>
      <x:c r="J395" s="74"/>
      <x:c r="K395" s="74"/>
      <x:c r="L395" s="74"/>
      <x:c r="M395" s="74"/>
      <x:c r="N395" s="91"/>
      <x:c r="O395" s="91"/>
      <x:c r="P395" s="91"/>
      <x:c r="Q395" s="91"/>
      <x:c r="R395" s="91"/>
      <x:c r="S395" s="85"/>
      <x:c r="U395" s="86"/>
      <x:c r="V395" s="32"/>
    </x:row>
    <x:row r="396">
      <x:c r="A396" s="87"/>
      <x:c r="B396" s="88"/>
      <x:c r="D396" s="32"/>
      <x:c r="G396" s="74"/>
      <x:c r="H396" s="74"/>
      <x:c r="I396" s="74"/>
      <x:c r="J396" s="74"/>
      <x:c r="K396" s="74"/>
      <x:c r="L396" s="74"/>
      <x:c r="M396" s="74"/>
      <x:c r="N396" s="91"/>
      <x:c r="O396" s="91"/>
      <x:c r="P396" s="91"/>
      <x:c r="Q396" s="91"/>
      <x:c r="R396" s="91"/>
      <x:c r="S396" s="85"/>
      <x:c r="U396" s="86"/>
      <x:c r="V396" s="32"/>
    </x:row>
    <x:row r="397">
      <x:c r="A397" s="87"/>
      <x:c r="B397" s="88"/>
      <x:c r="D397" s="32"/>
      <x:c r="G397" s="74"/>
      <x:c r="H397" s="74"/>
      <x:c r="I397" s="74"/>
      <x:c r="J397" s="74"/>
      <x:c r="K397" s="74"/>
      <x:c r="L397" s="74"/>
      <x:c r="M397" s="74"/>
      <x:c r="N397" s="91"/>
      <x:c r="O397" s="91"/>
      <x:c r="P397" s="91"/>
      <x:c r="Q397" s="91"/>
      <x:c r="R397" s="91"/>
      <x:c r="S397" s="85"/>
      <x:c r="U397" s="86"/>
      <x:c r="V397" s="32"/>
    </x:row>
    <x:row r="398">
      <x:c r="A398" s="87"/>
      <x:c r="B398" s="88"/>
      <x:c r="D398" s="32"/>
      <x:c r="G398" s="74"/>
      <x:c r="H398" s="74"/>
      <x:c r="I398" s="74"/>
      <x:c r="J398" s="74"/>
      <x:c r="K398" s="74"/>
      <x:c r="L398" s="74"/>
      <x:c r="M398" s="74"/>
      <x:c r="N398" s="91"/>
      <x:c r="O398" s="91"/>
      <x:c r="P398" s="91"/>
      <x:c r="Q398" s="91"/>
      <x:c r="R398" s="91"/>
      <x:c r="S398" s="85"/>
      <x:c r="U398" s="86"/>
      <x:c r="V398" s="32"/>
    </x:row>
    <x:row r="399">
      <x:c r="A399" s="87"/>
      <x:c r="B399" s="88"/>
      <x:c r="D399" s="32"/>
      <x:c r="G399" s="74"/>
      <x:c r="H399" s="74"/>
      <x:c r="I399" s="74"/>
      <x:c r="J399" s="74"/>
      <x:c r="K399" s="74"/>
      <x:c r="L399" s="74"/>
      <x:c r="M399" s="74"/>
      <x:c r="N399" s="91"/>
      <x:c r="O399" s="91"/>
      <x:c r="P399" s="91"/>
      <x:c r="Q399" s="91"/>
      <x:c r="R399" s="91"/>
      <x:c r="S399" s="85"/>
      <x:c r="U399" s="86"/>
      <x:c r="V399" s="32"/>
    </x:row>
    <x:row r="400">
      <x:c r="A400" s="87"/>
      <x:c r="B400" s="88"/>
      <x:c r="D400" s="32"/>
      <x:c r="G400" s="74"/>
      <x:c r="H400" s="74"/>
      <x:c r="I400" s="74"/>
      <x:c r="J400" s="74"/>
      <x:c r="K400" s="74"/>
      <x:c r="L400" s="74"/>
      <x:c r="M400" s="74"/>
      <x:c r="N400" s="91"/>
      <x:c r="O400" s="91"/>
      <x:c r="P400" s="91"/>
      <x:c r="Q400" s="91"/>
      <x:c r="R400" s="91"/>
      <x:c r="S400" s="85"/>
      <x:c r="U400" s="86"/>
      <x:c r="V400" s="32"/>
    </x:row>
    <x:row r="401">
      <x:c r="A401" s="87"/>
      <x:c r="B401" s="88"/>
      <x:c r="D401" s="32"/>
      <x:c r="G401" s="74"/>
      <x:c r="H401" s="74"/>
      <x:c r="I401" s="74"/>
      <x:c r="J401" s="74"/>
      <x:c r="K401" s="74"/>
      <x:c r="L401" s="74"/>
      <x:c r="M401" s="74"/>
      <x:c r="N401" s="91"/>
      <x:c r="O401" s="91"/>
      <x:c r="P401" s="91"/>
      <x:c r="Q401" s="91"/>
      <x:c r="R401" s="91"/>
      <x:c r="S401" s="85"/>
      <x:c r="U401" s="86"/>
      <x:c r="V401" s="32"/>
    </x:row>
    <x:row r="402">
      <x:c r="A402" s="87"/>
      <x:c r="B402" s="88"/>
      <x:c r="D402" s="32"/>
      <x:c r="G402" s="74"/>
      <x:c r="H402" s="74"/>
      <x:c r="I402" s="74"/>
      <x:c r="J402" s="74"/>
      <x:c r="K402" s="74"/>
      <x:c r="L402" s="74"/>
      <x:c r="M402" s="74"/>
      <x:c r="N402" s="91"/>
      <x:c r="O402" s="91"/>
      <x:c r="P402" s="91"/>
      <x:c r="Q402" s="91"/>
      <x:c r="R402" s="91"/>
      <x:c r="S402" s="85"/>
      <x:c r="U402" s="86"/>
      <x:c r="V402" s="32"/>
    </x:row>
    <x:row r="403">
      <x:c r="A403" s="87"/>
      <x:c r="B403" s="88"/>
      <x:c r="D403" s="32"/>
      <x:c r="G403" s="74"/>
      <x:c r="H403" s="74"/>
      <x:c r="I403" s="74"/>
      <x:c r="J403" s="74"/>
      <x:c r="K403" s="74"/>
      <x:c r="L403" s="74"/>
      <x:c r="M403" s="74"/>
      <x:c r="N403" s="91"/>
      <x:c r="O403" s="91"/>
      <x:c r="P403" s="91"/>
      <x:c r="Q403" s="91"/>
      <x:c r="R403" s="91"/>
      <x:c r="S403" s="85"/>
      <x:c r="U403" s="86"/>
      <x:c r="V403" s="32"/>
    </x:row>
    <x:row r="404">
      <x:c r="A404" s="87"/>
      <x:c r="B404" s="88"/>
      <x:c r="D404" s="32"/>
      <x:c r="G404" s="74"/>
      <x:c r="H404" s="74"/>
      <x:c r="I404" s="74"/>
      <x:c r="J404" s="74"/>
      <x:c r="K404" s="74"/>
      <x:c r="L404" s="74"/>
      <x:c r="M404" s="74"/>
      <x:c r="N404" s="91"/>
      <x:c r="O404" s="91"/>
      <x:c r="P404" s="91"/>
      <x:c r="Q404" s="91"/>
      <x:c r="R404" s="91"/>
      <x:c r="S404" s="85"/>
      <x:c r="U404" s="86"/>
      <x:c r="V404" s="32"/>
    </x:row>
    <x:row r="405">
      <x:c r="A405" s="87"/>
      <x:c r="B405" s="88"/>
      <x:c r="D405" s="32"/>
      <x:c r="G405" s="74"/>
      <x:c r="H405" s="74"/>
      <x:c r="I405" s="74"/>
      <x:c r="J405" s="74"/>
      <x:c r="K405" s="74"/>
      <x:c r="L405" s="74"/>
      <x:c r="M405" s="74"/>
      <x:c r="N405" s="91"/>
      <x:c r="O405" s="91"/>
      <x:c r="P405" s="91"/>
      <x:c r="Q405" s="91"/>
      <x:c r="R405" s="91"/>
      <x:c r="S405" s="85"/>
      <x:c r="U405" s="86"/>
      <x:c r="V405" s="32"/>
    </x:row>
    <x:row r="406">
      <x:c r="A406" s="87"/>
      <x:c r="B406" s="88"/>
      <x:c r="D406" s="32"/>
      <x:c r="G406" s="74"/>
      <x:c r="H406" s="74"/>
      <x:c r="I406" s="74"/>
      <x:c r="J406" s="74"/>
      <x:c r="K406" s="74"/>
      <x:c r="L406" s="74"/>
      <x:c r="M406" s="74"/>
      <x:c r="N406" s="91"/>
      <x:c r="O406" s="91"/>
      <x:c r="P406" s="91"/>
      <x:c r="Q406" s="91"/>
      <x:c r="R406" s="91"/>
      <x:c r="S406" s="85"/>
      <x:c r="U406" s="86"/>
      <x:c r="V406" s="32"/>
    </x:row>
    <x:row r="407">
      <x:c r="A407" s="87"/>
      <x:c r="B407" s="88"/>
      <x:c r="D407" s="32"/>
      <x:c r="G407" s="74"/>
      <x:c r="H407" s="74"/>
      <x:c r="I407" s="74"/>
      <x:c r="J407" s="74"/>
      <x:c r="K407" s="74"/>
      <x:c r="L407" s="74"/>
      <x:c r="M407" s="74"/>
      <x:c r="N407" s="91"/>
      <x:c r="O407" s="91"/>
      <x:c r="P407" s="91"/>
      <x:c r="Q407" s="91"/>
      <x:c r="R407" s="91"/>
      <x:c r="S407" s="85"/>
      <x:c r="U407" s="86"/>
      <x:c r="V407" s="32"/>
    </x:row>
    <x:row r="408">
      <x:c r="A408" s="87"/>
      <x:c r="B408" s="88"/>
      <x:c r="D408" s="32"/>
      <x:c r="G408" s="74"/>
      <x:c r="H408" s="74"/>
      <x:c r="I408" s="74"/>
      <x:c r="J408" s="74"/>
      <x:c r="K408" s="74"/>
      <x:c r="L408" s="74"/>
      <x:c r="M408" s="74"/>
      <x:c r="N408" s="91"/>
      <x:c r="O408" s="91"/>
      <x:c r="P408" s="91"/>
      <x:c r="Q408" s="91"/>
      <x:c r="R408" s="91"/>
      <x:c r="S408" s="85"/>
      <x:c r="U408" s="86"/>
      <x:c r="V408" s="32"/>
    </x:row>
    <x:row r="409">
      <x:c r="A409" s="87"/>
      <x:c r="B409" s="88"/>
      <x:c r="D409" s="32"/>
      <x:c r="G409" s="74"/>
      <x:c r="H409" s="74"/>
      <x:c r="I409" s="74"/>
      <x:c r="J409" s="74"/>
      <x:c r="K409" s="74"/>
      <x:c r="L409" s="74"/>
      <x:c r="M409" s="74"/>
      <x:c r="N409" s="91"/>
      <x:c r="O409" s="91"/>
      <x:c r="P409" s="91"/>
      <x:c r="Q409" s="91"/>
      <x:c r="R409" s="91"/>
      <x:c r="S409" s="85"/>
      <x:c r="U409" s="86"/>
      <x:c r="V409" s="32"/>
    </x:row>
    <x:row r="410">
      <x:c r="A410" s="87"/>
      <x:c r="B410" s="88"/>
      <x:c r="D410" s="32"/>
      <x:c r="G410" s="74"/>
      <x:c r="H410" s="74"/>
      <x:c r="I410" s="74"/>
      <x:c r="J410" s="74"/>
      <x:c r="K410" s="74"/>
      <x:c r="L410" s="74"/>
      <x:c r="M410" s="74"/>
      <x:c r="N410" s="91"/>
      <x:c r="O410" s="91"/>
      <x:c r="P410" s="91"/>
      <x:c r="Q410" s="91"/>
      <x:c r="R410" s="91"/>
      <x:c r="S410" s="85"/>
      <x:c r="U410" s="86"/>
      <x:c r="V410" s="32"/>
    </x:row>
    <x:row r="411">
      <x:c r="A411" s="87"/>
      <x:c r="B411" s="88"/>
      <x:c r="D411" s="32"/>
      <x:c r="G411" s="74"/>
      <x:c r="H411" s="74"/>
      <x:c r="I411" s="74"/>
      <x:c r="J411" s="74"/>
      <x:c r="K411" s="74"/>
      <x:c r="L411" s="74"/>
      <x:c r="M411" s="74"/>
      <x:c r="N411" s="91"/>
      <x:c r="O411" s="91"/>
      <x:c r="P411" s="91"/>
      <x:c r="Q411" s="91"/>
      <x:c r="R411" s="91"/>
      <x:c r="S411" s="85"/>
      <x:c r="U411" s="86"/>
      <x:c r="V411" s="32"/>
    </x:row>
    <x:row r="412">
      <x:c r="A412" s="87"/>
      <x:c r="B412" s="88"/>
      <x:c r="D412" s="32"/>
      <x:c r="G412" s="74"/>
      <x:c r="H412" s="74"/>
      <x:c r="I412" s="74"/>
      <x:c r="J412" s="74"/>
      <x:c r="K412" s="74"/>
      <x:c r="L412" s="74"/>
      <x:c r="M412" s="74"/>
      <x:c r="N412" s="91"/>
      <x:c r="O412" s="91"/>
      <x:c r="P412" s="91"/>
      <x:c r="Q412" s="91"/>
      <x:c r="R412" s="91"/>
      <x:c r="S412" s="85"/>
      <x:c r="U412" s="86"/>
      <x:c r="V412" s="32"/>
    </x:row>
    <x:row r="413">
      <x:c r="A413" s="87"/>
      <x:c r="B413" s="88"/>
      <x:c r="D413" s="32"/>
      <x:c r="G413" s="74"/>
      <x:c r="H413" s="74"/>
      <x:c r="I413" s="74"/>
      <x:c r="J413" s="74"/>
      <x:c r="K413" s="74"/>
      <x:c r="L413" s="74"/>
      <x:c r="M413" s="74"/>
      <x:c r="N413" s="91"/>
      <x:c r="O413" s="91"/>
      <x:c r="P413" s="91"/>
      <x:c r="Q413" s="91"/>
      <x:c r="R413" s="91"/>
      <x:c r="S413" s="85"/>
      <x:c r="U413" s="86"/>
      <x:c r="V413" s="32"/>
    </x:row>
    <x:row r="414">
      <x:c r="A414" s="87"/>
      <x:c r="B414" s="88"/>
      <x:c r="D414" s="32"/>
      <x:c r="G414" s="74"/>
      <x:c r="H414" s="74"/>
      <x:c r="I414" s="74"/>
      <x:c r="J414" s="74"/>
      <x:c r="K414" s="74"/>
      <x:c r="L414" s="74"/>
      <x:c r="M414" s="74"/>
      <x:c r="N414" s="91"/>
      <x:c r="O414" s="91"/>
      <x:c r="P414" s="91"/>
      <x:c r="Q414" s="91"/>
      <x:c r="R414" s="91"/>
      <x:c r="S414" s="85"/>
      <x:c r="U414" s="86"/>
      <x:c r="V414" s="32"/>
    </x:row>
    <x:row r="415">
      <x:c r="A415" s="87"/>
      <x:c r="B415" s="88"/>
      <x:c r="D415" s="32"/>
      <x:c r="G415" s="74"/>
      <x:c r="H415" s="74"/>
      <x:c r="I415" s="74"/>
      <x:c r="J415" s="74"/>
      <x:c r="K415" s="74"/>
      <x:c r="L415" s="74"/>
      <x:c r="M415" s="74"/>
      <x:c r="N415" s="91"/>
      <x:c r="O415" s="91"/>
      <x:c r="P415" s="91"/>
      <x:c r="Q415" s="91"/>
      <x:c r="R415" s="91"/>
      <x:c r="S415" s="85"/>
      <x:c r="U415" s="86"/>
      <x:c r="V415" s="32"/>
    </x:row>
    <x:row r="416">
      <x:c r="A416" s="87"/>
      <x:c r="B416" s="88"/>
      <x:c r="D416" s="32"/>
      <x:c r="G416" s="74"/>
      <x:c r="H416" s="74"/>
      <x:c r="I416" s="74"/>
      <x:c r="J416" s="74"/>
      <x:c r="K416" s="74"/>
      <x:c r="L416" s="74"/>
      <x:c r="M416" s="74"/>
      <x:c r="N416" s="91"/>
      <x:c r="O416" s="91"/>
      <x:c r="P416" s="91"/>
      <x:c r="Q416" s="91"/>
      <x:c r="R416" s="91"/>
      <x:c r="S416" s="85"/>
      <x:c r="U416" s="86"/>
      <x:c r="V416" s="32"/>
    </x:row>
    <x:row r="417">
      <x:c r="A417" s="87"/>
      <x:c r="B417" s="88"/>
      <x:c r="D417" s="32"/>
      <x:c r="G417" s="74"/>
      <x:c r="H417" s="74"/>
      <x:c r="I417" s="74"/>
      <x:c r="J417" s="74"/>
      <x:c r="K417" s="74"/>
      <x:c r="L417" s="74"/>
      <x:c r="M417" s="74"/>
      <x:c r="N417" s="91"/>
      <x:c r="O417" s="91"/>
      <x:c r="P417" s="91"/>
      <x:c r="Q417" s="91"/>
      <x:c r="R417" s="91"/>
      <x:c r="S417" s="85"/>
      <x:c r="U417" s="86"/>
      <x:c r="V417" s="32"/>
    </x:row>
    <x:row r="418">
      <x:c r="A418" s="87"/>
      <x:c r="B418" s="88"/>
      <x:c r="D418" s="32"/>
      <x:c r="G418" s="74"/>
      <x:c r="H418" s="74"/>
      <x:c r="I418" s="74"/>
      <x:c r="J418" s="74"/>
      <x:c r="K418" s="74"/>
      <x:c r="L418" s="74"/>
      <x:c r="M418" s="74"/>
      <x:c r="N418" s="91"/>
      <x:c r="O418" s="91"/>
      <x:c r="P418" s="91"/>
      <x:c r="Q418" s="91"/>
      <x:c r="R418" s="91"/>
      <x:c r="S418" s="85"/>
      <x:c r="U418" s="86"/>
      <x:c r="V418" s="32"/>
    </x:row>
    <x:row r="419">
      <x:c r="A419" s="87"/>
      <x:c r="B419" s="88"/>
      <x:c r="D419" s="32"/>
      <x:c r="G419" s="74"/>
      <x:c r="H419" s="74"/>
      <x:c r="I419" s="74"/>
      <x:c r="J419" s="74"/>
      <x:c r="K419" s="74"/>
      <x:c r="L419" s="74"/>
      <x:c r="M419" s="74"/>
      <x:c r="N419" s="91"/>
      <x:c r="O419" s="91"/>
      <x:c r="P419" s="91"/>
      <x:c r="Q419" s="91"/>
      <x:c r="R419" s="91"/>
      <x:c r="S419" s="85"/>
      <x:c r="U419" s="86"/>
      <x:c r="V419" s="32"/>
    </x:row>
    <x:row r="420">
      <x:c r="A420" s="87"/>
      <x:c r="B420" s="88"/>
      <x:c r="D420" s="32"/>
      <x:c r="G420" s="74"/>
      <x:c r="H420" s="74"/>
      <x:c r="I420" s="74"/>
      <x:c r="J420" s="74"/>
      <x:c r="K420" s="74"/>
      <x:c r="L420" s="74"/>
      <x:c r="M420" s="74"/>
      <x:c r="N420" s="91"/>
      <x:c r="O420" s="91"/>
      <x:c r="P420" s="91"/>
      <x:c r="Q420" s="91"/>
      <x:c r="R420" s="91"/>
      <x:c r="S420" s="85"/>
      <x:c r="U420" s="86"/>
      <x:c r="V420" s="32"/>
    </x:row>
    <x:row r="421">
      <x:c r="A421" s="87"/>
      <x:c r="B421" s="88"/>
      <x:c r="D421" s="32"/>
      <x:c r="G421" s="74"/>
      <x:c r="H421" s="74"/>
      <x:c r="I421" s="74"/>
      <x:c r="J421" s="74"/>
      <x:c r="K421" s="74"/>
      <x:c r="L421" s="74"/>
      <x:c r="M421" s="74"/>
      <x:c r="N421" s="91"/>
      <x:c r="O421" s="91"/>
      <x:c r="P421" s="91"/>
      <x:c r="Q421" s="91"/>
      <x:c r="R421" s="91"/>
      <x:c r="S421" s="85"/>
      <x:c r="U421" s="86"/>
      <x:c r="V421" s="32"/>
    </x:row>
    <x:row r="422">
      <x:c r="A422" s="87"/>
      <x:c r="B422" s="88"/>
      <x:c r="D422" s="32"/>
      <x:c r="G422" s="74"/>
      <x:c r="H422" s="74"/>
      <x:c r="I422" s="74"/>
      <x:c r="J422" s="74"/>
      <x:c r="K422" s="74"/>
      <x:c r="L422" s="74"/>
      <x:c r="M422" s="74"/>
      <x:c r="N422" s="91"/>
      <x:c r="O422" s="91"/>
      <x:c r="P422" s="91"/>
      <x:c r="Q422" s="91"/>
      <x:c r="R422" s="91"/>
      <x:c r="S422" s="85"/>
      <x:c r="U422" s="86"/>
      <x:c r="V422" s="32"/>
    </x:row>
    <x:row r="423">
      <x:c r="A423" s="87"/>
      <x:c r="B423" s="88"/>
      <x:c r="D423" s="32"/>
      <x:c r="G423" s="74"/>
      <x:c r="H423" s="74"/>
      <x:c r="I423" s="74"/>
      <x:c r="J423" s="74"/>
      <x:c r="K423" s="74"/>
      <x:c r="L423" s="74"/>
      <x:c r="M423" s="74"/>
      <x:c r="N423" s="91"/>
      <x:c r="O423" s="91"/>
      <x:c r="P423" s="91"/>
      <x:c r="Q423" s="91"/>
      <x:c r="R423" s="91"/>
      <x:c r="S423" s="85"/>
      <x:c r="U423" s="86"/>
      <x:c r="V423" s="32"/>
    </x:row>
    <x:row r="424">
      <x:c r="A424" s="87"/>
      <x:c r="B424" s="88"/>
      <x:c r="D424" s="32"/>
      <x:c r="G424" s="74"/>
      <x:c r="H424" s="74"/>
      <x:c r="I424" s="74"/>
      <x:c r="J424" s="74"/>
      <x:c r="K424" s="74"/>
      <x:c r="L424" s="74"/>
      <x:c r="M424" s="74"/>
      <x:c r="N424" s="91"/>
      <x:c r="O424" s="91"/>
      <x:c r="P424" s="91"/>
      <x:c r="Q424" s="91"/>
      <x:c r="R424" s="91"/>
      <x:c r="S424" s="85"/>
      <x:c r="U424" s="86"/>
      <x:c r="V424" s="32"/>
    </x:row>
    <x:row r="425">
      <x:c r="A425" s="87"/>
      <x:c r="B425" s="88"/>
      <x:c r="D425" s="32"/>
      <x:c r="G425" s="74"/>
      <x:c r="H425" s="74"/>
      <x:c r="I425" s="74"/>
      <x:c r="J425" s="74"/>
      <x:c r="K425" s="74"/>
      <x:c r="L425" s="74"/>
      <x:c r="M425" s="74"/>
      <x:c r="N425" s="91"/>
      <x:c r="O425" s="91"/>
      <x:c r="P425" s="91"/>
      <x:c r="Q425" s="91"/>
      <x:c r="R425" s="91"/>
      <x:c r="S425" s="85"/>
      <x:c r="U425" s="86"/>
      <x:c r="V425" s="32"/>
    </x:row>
    <x:row r="426">
      <x:c r="A426" s="87"/>
      <x:c r="B426" s="88"/>
      <x:c r="D426" s="32"/>
      <x:c r="G426" s="74"/>
      <x:c r="H426" s="74"/>
      <x:c r="I426" s="74"/>
      <x:c r="J426" s="74"/>
      <x:c r="K426" s="74"/>
      <x:c r="L426" s="74"/>
      <x:c r="M426" s="74"/>
      <x:c r="N426" s="91"/>
      <x:c r="O426" s="91"/>
      <x:c r="P426" s="91"/>
      <x:c r="Q426" s="91"/>
      <x:c r="R426" s="91"/>
      <x:c r="S426" s="85"/>
      <x:c r="U426" s="86"/>
      <x:c r="V426" s="32"/>
    </x:row>
    <x:row r="427">
      <x:c r="A427" s="87"/>
      <x:c r="B427" s="88"/>
      <x:c r="D427" s="32"/>
      <x:c r="G427" s="74"/>
      <x:c r="H427" s="74"/>
      <x:c r="I427" s="74"/>
      <x:c r="J427" s="74"/>
      <x:c r="K427" s="74"/>
      <x:c r="L427" s="74"/>
      <x:c r="M427" s="74"/>
      <x:c r="N427" s="91"/>
      <x:c r="O427" s="91"/>
      <x:c r="P427" s="91"/>
      <x:c r="Q427" s="91"/>
      <x:c r="R427" s="91"/>
      <x:c r="S427" s="85"/>
      <x:c r="U427" s="86"/>
      <x:c r="V427" s="32"/>
    </x:row>
    <x:row r="428">
      <x:c r="A428" s="87"/>
      <x:c r="B428" s="88"/>
      <x:c r="D428" s="32"/>
      <x:c r="G428" s="74"/>
      <x:c r="H428" s="74"/>
      <x:c r="I428" s="74"/>
      <x:c r="J428" s="74"/>
      <x:c r="K428" s="74"/>
      <x:c r="L428" s="74"/>
      <x:c r="M428" s="74"/>
      <x:c r="N428" s="91"/>
      <x:c r="O428" s="91"/>
      <x:c r="P428" s="91"/>
      <x:c r="Q428" s="91"/>
      <x:c r="R428" s="91"/>
      <x:c r="S428" s="85"/>
      <x:c r="U428" s="86"/>
      <x:c r="V428" s="32"/>
    </x:row>
    <x:row r="429">
      <x:c r="A429" s="87"/>
      <x:c r="B429" s="88"/>
      <x:c r="D429" s="32"/>
      <x:c r="G429" s="74"/>
      <x:c r="H429" s="74"/>
      <x:c r="I429" s="74"/>
      <x:c r="J429" s="74"/>
      <x:c r="K429" s="74"/>
      <x:c r="L429" s="74"/>
      <x:c r="M429" s="74"/>
      <x:c r="N429" s="91"/>
      <x:c r="O429" s="91"/>
      <x:c r="P429" s="91"/>
      <x:c r="Q429" s="91"/>
      <x:c r="R429" s="91"/>
      <x:c r="S429" s="85"/>
      <x:c r="U429" s="86"/>
      <x:c r="V429" s="32"/>
    </x:row>
    <x:row r="430">
      <x:c r="A430" s="87"/>
      <x:c r="B430" s="88"/>
      <x:c r="D430" s="32"/>
      <x:c r="G430" s="74"/>
      <x:c r="H430" s="74"/>
      <x:c r="I430" s="74"/>
      <x:c r="J430" s="74"/>
      <x:c r="K430" s="74"/>
      <x:c r="L430" s="74"/>
      <x:c r="M430" s="74"/>
      <x:c r="N430" s="91"/>
      <x:c r="O430" s="91"/>
      <x:c r="P430" s="91"/>
      <x:c r="Q430" s="91"/>
      <x:c r="R430" s="91"/>
      <x:c r="S430" s="85"/>
      <x:c r="U430" s="86"/>
      <x:c r="V430" s="32"/>
    </x:row>
    <x:row r="431">
      <x:c r="A431" s="87"/>
      <x:c r="B431" s="88"/>
      <x:c r="D431" s="32"/>
      <x:c r="G431" s="74"/>
      <x:c r="H431" s="74"/>
      <x:c r="I431" s="74"/>
      <x:c r="J431" s="74"/>
      <x:c r="K431" s="74"/>
      <x:c r="L431" s="74"/>
      <x:c r="M431" s="74"/>
      <x:c r="N431" s="91"/>
      <x:c r="O431" s="91"/>
      <x:c r="P431" s="91"/>
      <x:c r="Q431" s="91"/>
      <x:c r="R431" s="91"/>
      <x:c r="S431" s="85"/>
      <x:c r="U431" s="86"/>
      <x:c r="V431" s="32"/>
    </x:row>
    <x:row r="432">
      <x:c r="A432" s="87"/>
      <x:c r="B432" s="88"/>
      <x:c r="D432" s="32"/>
      <x:c r="G432" s="74"/>
      <x:c r="H432" s="74"/>
      <x:c r="I432" s="74"/>
      <x:c r="J432" s="74"/>
      <x:c r="K432" s="74"/>
      <x:c r="L432" s="74"/>
      <x:c r="M432" s="74"/>
      <x:c r="N432" s="91"/>
      <x:c r="O432" s="91"/>
      <x:c r="P432" s="91"/>
      <x:c r="Q432" s="91"/>
      <x:c r="R432" s="91"/>
      <x:c r="S432" s="85"/>
      <x:c r="U432" s="86"/>
      <x:c r="V432" s="32"/>
    </x:row>
    <x:row r="433">
      <x:c r="A433" s="87"/>
      <x:c r="B433" s="88"/>
      <x:c r="D433" s="32"/>
      <x:c r="G433" s="74"/>
      <x:c r="H433" s="74"/>
      <x:c r="I433" s="74"/>
      <x:c r="J433" s="74"/>
      <x:c r="K433" s="74"/>
      <x:c r="L433" s="74"/>
      <x:c r="M433" s="74"/>
      <x:c r="N433" s="91"/>
      <x:c r="O433" s="91"/>
      <x:c r="P433" s="91"/>
      <x:c r="Q433" s="91"/>
      <x:c r="R433" s="91"/>
      <x:c r="S433" s="85"/>
      <x:c r="U433" s="86"/>
      <x:c r="V433" s="32"/>
    </x:row>
    <x:row r="434">
      <x:c r="A434" s="87"/>
      <x:c r="B434" s="88"/>
      <x:c r="D434" s="32"/>
      <x:c r="G434" s="74"/>
      <x:c r="H434" s="74"/>
      <x:c r="I434" s="74"/>
      <x:c r="J434" s="74"/>
      <x:c r="K434" s="74"/>
      <x:c r="L434" s="74"/>
      <x:c r="M434" s="74"/>
      <x:c r="N434" s="91"/>
      <x:c r="O434" s="91"/>
      <x:c r="P434" s="91"/>
      <x:c r="Q434" s="91"/>
      <x:c r="R434" s="91"/>
      <x:c r="S434" s="85"/>
      <x:c r="U434" s="86"/>
      <x:c r="V434" s="32"/>
    </x:row>
    <x:row r="435">
      <x:c r="A435" s="87"/>
      <x:c r="B435" s="88"/>
      <x:c r="D435" s="32"/>
      <x:c r="G435" s="74"/>
      <x:c r="H435" s="74"/>
      <x:c r="I435" s="74"/>
      <x:c r="J435" s="74"/>
      <x:c r="K435" s="74"/>
      <x:c r="L435" s="74"/>
      <x:c r="M435" s="74"/>
      <x:c r="N435" s="91"/>
      <x:c r="O435" s="91"/>
      <x:c r="P435" s="91"/>
      <x:c r="Q435" s="91"/>
      <x:c r="R435" s="91"/>
      <x:c r="S435" s="85"/>
      <x:c r="U435" s="86"/>
      <x:c r="V435" s="32"/>
    </x:row>
    <x:row r="436">
      <x:c r="A436" s="87"/>
      <x:c r="B436" s="88"/>
      <x:c r="D436" s="32"/>
      <x:c r="G436" s="74"/>
      <x:c r="H436" s="74"/>
      <x:c r="I436" s="74"/>
      <x:c r="J436" s="74"/>
      <x:c r="K436" s="74"/>
      <x:c r="L436" s="74"/>
      <x:c r="M436" s="74"/>
      <x:c r="N436" s="91"/>
      <x:c r="O436" s="91"/>
      <x:c r="P436" s="91"/>
      <x:c r="Q436" s="91"/>
      <x:c r="R436" s="91"/>
      <x:c r="S436" s="85"/>
      <x:c r="U436" s="86"/>
      <x:c r="V436" s="32"/>
    </x:row>
    <x:row r="437">
      <x:c r="A437" s="87"/>
      <x:c r="B437" s="88"/>
      <x:c r="D437" s="32"/>
      <x:c r="G437" s="74"/>
      <x:c r="H437" s="74"/>
      <x:c r="I437" s="74"/>
      <x:c r="J437" s="74"/>
      <x:c r="K437" s="74"/>
      <x:c r="L437" s="74"/>
      <x:c r="M437" s="74"/>
      <x:c r="N437" s="91"/>
      <x:c r="O437" s="91"/>
      <x:c r="P437" s="91"/>
      <x:c r="Q437" s="91"/>
      <x:c r="R437" s="91"/>
      <x:c r="S437" s="85"/>
      <x:c r="U437" s="86"/>
      <x:c r="V437" s="32"/>
    </x:row>
    <x:row r="438">
      <x:c r="A438" s="87"/>
      <x:c r="B438" s="88"/>
      <x:c r="D438" s="32"/>
      <x:c r="G438" s="74"/>
      <x:c r="H438" s="74"/>
      <x:c r="I438" s="74"/>
      <x:c r="J438" s="74"/>
      <x:c r="K438" s="74"/>
      <x:c r="L438" s="74"/>
      <x:c r="M438" s="74"/>
      <x:c r="N438" s="91"/>
      <x:c r="O438" s="91"/>
      <x:c r="P438" s="91"/>
      <x:c r="Q438" s="91"/>
      <x:c r="R438" s="91"/>
      <x:c r="S438" s="85"/>
      <x:c r="U438" s="86"/>
      <x:c r="V438" s="32"/>
    </x:row>
    <x:row r="439">
      <x:c r="A439" s="87"/>
      <x:c r="B439" s="88"/>
      <x:c r="D439" s="32"/>
      <x:c r="G439" s="74"/>
      <x:c r="H439" s="74"/>
      <x:c r="I439" s="74"/>
      <x:c r="J439" s="74"/>
      <x:c r="K439" s="74"/>
      <x:c r="L439" s="74"/>
      <x:c r="M439" s="74"/>
      <x:c r="N439" s="91"/>
      <x:c r="O439" s="91"/>
      <x:c r="P439" s="91"/>
      <x:c r="Q439" s="91"/>
      <x:c r="R439" s="91"/>
      <x:c r="S439" s="85"/>
      <x:c r="U439" s="86"/>
      <x:c r="V439" s="32"/>
    </x:row>
    <x:row r="440">
      <x:c r="A440" s="87"/>
      <x:c r="B440" s="88"/>
      <x:c r="D440" s="32"/>
      <x:c r="G440" s="74"/>
      <x:c r="H440" s="74"/>
      <x:c r="I440" s="74"/>
      <x:c r="J440" s="74"/>
      <x:c r="K440" s="74"/>
      <x:c r="L440" s="74"/>
      <x:c r="M440" s="74"/>
      <x:c r="N440" s="91"/>
      <x:c r="O440" s="91"/>
      <x:c r="P440" s="91"/>
      <x:c r="Q440" s="91"/>
      <x:c r="R440" s="91"/>
      <x:c r="S440" s="85"/>
      <x:c r="U440" s="86"/>
      <x:c r="V440" s="32"/>
    </x:row>
    <x:row r="441">
      <x:c r="A441" s="87"/>
      <x:c r="B441" s="88"/>
      <x:c r="D441" s="32"/>
      <x:c r="G441" s="74"/>
      <x:c r="H441" s="74"/>
      <x:c r="I441" s="74"/>
      <x:c r="J441" s="74"/>
      <x:c r="K441" s="74"/>
      <x:c r="L441" s="74"/>
      <x:c r="M441" s="74"/>
      <x:c r="N441" s="91"/>
      <x:c r="O441" s="91"/>
      <x:c r="P441" s="91"/>
      <x:c r="Q441" s="91"/>
      <x:c r="R441" s="91"/>
      <x:c r="S441" s="85"/>
      <x:c r="U441" s="86"/>
      <x:c r="V441" s="32"/>
    </x:row>
    <x:row r="442">
      <x:c r="A442" s="87"/>
      <x:c r="B442" s="88"/>
      <x:c r="D442" s="32"/>
      <x:c r="G442" s="74"/>
      <x:c r="H442" s="74"/>
      <x:c r="I442" s="74"/>
      <x:c r="J442" s="74"/>
      <x:c r="K442" s="74"/>
      <x:c r="L442" s="74"/>
      <x:c r="M442" s="74"/>
      <x:c r="N442" s="91"/>
      <x:c r="O442" s="91"/>
      <x:c r="P442" s="91"/>
      <x:c r="Q442" s="91"/>
      <x:c r="R442" s="91"/>
      <x:c r="S442" s="85"/>
      <x:c r="U442" s="86"/>
      <x:c r="V442" s="32"/>
    </x:row>
    <x:row r="443">
      <x:c r="A443" s="87"/>
      <x:c r="B443" s="88"/>
      <x:c r="D443" s="32"/>
      <x:c r="G443" s="74"/>
      <x:c r="H443" s="74"/>
      <x:c r="I443" s="74"/>
      <x:c r="J443" s="74"/>
      <x:c r="K443" s="74"/>
      <x:c r="L443" s="74"/>
      <x:c r="M443" s="74"/>
      <x:c r="N443" s="91"/>
      <x:c r="O443" s="91"/>
      <x:c r="P443" s="91"/>
      <x:c r="Q443" s="91"/>
      <x:c r="R443" s="91"/>
      <x:c r="S443" s="85"/>
      <x:c r="U443" s="86"/>
      <x:c r="V443" s="32"/>
    </x:row>
    <x:row r="444">
      <x:c r="A444" s="87"/>
      <x:c r="B444" s="88"/>
      <x:c r="D444" s="32"/>
      <x:c r="G444" s="74"/>
      <x:c r="H444" s="74"/>
      <x:c r="I444" s="74"/>
      <x:c r="J444" s="74"/>
      <x:c r="K444" s="74"/>
      <x:c r="L444" s="74"/>
      <x:c r="M444" s="74"/>
      <x:c r="N444" s="91"/>
      <x:c r="O444" s="91"/>
      <x:c r="P444" s="91"/>
      <x:c r="Q444" s="91"/>
      <x:c r="R444" s="91"/>
      <x:c r="S444" s="85"/>
      <x:c r="U444" s="86"/>
      <x:c r="V444" s="32"/>
    </x:row>
    <x:row r="445">
      <x:c r="A445" s="87"/>
      <x:c r="B445" s="88"/>
      <x:c r="D445" s="32"/>
      <x:c r="G445" s="74"/>
      <x:c r="H445" s="74"/>
      <x:c r="I445" s="74"/>
      <x:c r="J445" s="74"/>
      <x:c r="K445" s="74"/>
      <x:c r="L445" s="74"/>
      <x:c r="M445" s="74"/>
      <x:c r="N445" s="91"/>
      <x:c r="O445" s="91"/>
      <x:c r="P445" s="91"/>
      <x:c r="Q445" s="91"/>
      <x:c r="R445" s="91"/>
      <x:c r="S445" s="85"/>
      <x:c r="U445" s="86"/>
      <x:c r="V445" s="32"/>
    </x:row>
    <x:row r="446">
      <x:c r="A446" s="87"/>
      <x:c r="B446" s="88"/>
      <x:c r="D446" s="32"/>
      <x:c r="G446" s="74"/>
      <x:c r="H446" s="74"/>
      <x:c r="I446" s="74"/>
      <x:c r="J446" s="74"/>
      <x:c r="K446" s="74"/>
      <x:c r="L446" s="74"/>
      <x:c r="M446" s="74"/>
      <x:c r="N446" s="91"/>
      <x:c r="O446" s="91"/>
      <x:c r="P446" s="91"/>
      <x:c r="Q446" s="91"/>
      <x:c r="R446" s="91"/>
      <x:c r="S446" s="85"/>
      <x:c r="U446" s="86"/>
      <x:c r="V446" s="32"/>
    </x:row>
    <x:row r="447">
      <x:c r="A447" s="87"/>
      <x:c r="B447" s="88"/>
      <x:c r="D447" s="32"/>
      <x:c r="G447" s="74"/>
      <x:c r="H447" s="74"/>
      <x:c r="I447" s="74"/>
      <x:c r="J447" s="74"/>
      <x:c r="K447" s="74"/>
      <x:c r="L447" s="74"/>
      <x:c r="M447" s="74"/>
      <x:c r="N447" s="91"/>
      <x:c r="O447" s="91"/>
      <x:c r="P447" s="91"/>
      <x:c r="Q447" s="91"/>
      <x:c r="R447" s="91"/>
      <x:c r="S447" s="85"/>
      <x:c r="U447" s="86"/>
      <x:c r="V447" s="32"/>
    </x:row>
    <x:row r="448">
      <x:c r="A448" s="87"/>
      <x:c r="B448" s="88"/>
      <x:c r="D448" s="32"/>
      <x:c r="G448" s="74"/>
      <x:c r="H448" s="74"/>
      <x:c r="I448" s="74"/>
      <x:c r="J448" s="74"/>
      <x:c r="K448" s="74"/>
      <x:c r="L448" s="74"/>
      <x:c r="M448" s="74"/>
      <x:c r="N448" s="91"/>
      <x:c r="O448" s="91"/>
      <x:c r="P448" s="91"/>
      <x:c r="Q448" s="91"/>
      <x:c r="R448" s="91"/>
      <x:c r="S448" s="85"/>
      <x:c r="U448" s="86"/>
      <x:c r="V448" s="32"/>
    </x:row>
    <x:row r="449">
      <x:c r="A449" s="87"/>
      <x:c r="B449" s="88"/>
      <x:c r="D449" s="32"/>
      <x:c r="G449" s="74"/>
      <x:c r="H449" s="74"/>
      <x:c r="I449" s="74"/>
      <x:c r="J449" s="74"/>
      <x:c r="K449" s="74"/>
      <x:c r="L449" s="74"/>
      <x:c r="M449" s="74"/>
      <x:c r="N449" s="91"/>
      <x:c r="O449" s="91"/>
      <x:c r="P449" s="91"/>
      <x:c r="Q449" s="91"/>
      <x:c r="R449" s="91"/>
      <x:c r="S449" s="85"/>
      <x:c r="U449" s="86"/>
      <x:c r="V449" s="32"/>
    </x:row>
    <x:row r="450">
      <x:c r="A450" s="87"/>
      <x:c r="B450" s="88"/>
      <x:c r="D450" s="32"/>
      <x:c r="G450" s="74"/>
      <x:c r="H450" s="74"/>
      <x:c r="I450" s="74"/>
      <x:c r="J450" s="74"/>
      <x:c r="K450" s="74"/>
      <x:c r="L450" s="74"/>
      <x:c r="M450" s="74"/>
      <x:c r="N450" s="91"/>
      <x:c r="O450" s="91"/>
      <x:c r="P450" s="91"/>
      <x:c r="Q450" s="91"/>
      <x:c r="R450" s="91"/>
      <x:c r="S450" s="85"/>
      <x:c r="U450" s="86"/>
      <x:c r="V450" s="32"/>
    </x:row>
    <x:row r="451">
      <x:c r="A451" s="87"/>
      <x:c r="B451" s="88"/>
      <x:c r="D451" s="32"/>
      <x:c r="G451" s="74"/>
      <x:c r="H451" s="74"/>
      <x:c r="I451" s="74"/>
      <x:c r="J451" s="74"/>
      <x:c r="K451" s="74"/>
      <x:c r="L451" s="74"/>
      <x:c r="M451" s="74"/>
      <x:c r="N451" s="91"/>
      <x:c r="O451" s="91"/>
      <x:c r="P451" s="91"/>
      <x:c r="Q451" s="91"/>
      <x:c r="R451" s="91"/>
      <x:c r="S451" s="85"/>
      <x:c r="U451" s="86"/>
      <x:c r="V451" s="32"/>
    </x:row>
    <x:row r="452">
      <x:c r="A452" s="87"/>
      <x:c r="B452" s="88"/>
      <x:c r="D452" s="32"/>
      <x:c r="G452" s="74"/>
      <x:c r="H452" s="74"/>
      <x:c r="I452" s="74"/>
      <x:c r="J452" s="74"/>
      <x:c r="K452" s="74"/>
      <x:c r="L452" s="74"/>
      <x:c r="M452" s="74"/>
      <x:c r="N452" s="91"/>
      <x:c r="O452" s="91"/>
      <x:c r="P452" s="91"/>
      <x:c r="Q452" s="91"/>
      <x:c r="R452" s="91"/>
      <x:c r="S452" s="85"/>
      <x:c r="U452" s="86"/>
      <x:c r="V452" s="32"/>
    </x:row>
    <x:row r="453">
      <x:c r="A453" s="87"/>
      <x:c r="B453" s="88"/>
      <x:c r="D453" s="32"/>
      <x:c r="G453" s="74"/>
      <x:c r="H453" s="74"/>
      <x:c r="I453" s="74"/>
      <x:c r="J453" s="74"/>
      <x:c r="K453" s="74"/>
      <x:c r="L453" s="74"/>
      <x:c r="M453" s="74"/>
      <x:c r="N453" s="91"/>
      <x:c r="O453" s="91"/>
      <x:c r="P453" s="91"/>
      <x:c r="Q453" s="91"/>
      <x:c r="R453" s="91"/>
      <x:c r="S453" s="85"/>
      <x:c r="U453" s="86"/>
      <x:c r="V453" s="32"/>
    </x:row>
    <x:row r="454">
      <x:c r="A454" s="87"/>
      <x:c r="B454" s="88"/>
      <x:c r="D454" s="32"/>
      <x:c r="G454" s="74"/>
      <x:c r="H454" s="74"/>
      <x:c r="I454" s="74"/>
      <x:c r="J454" s="74"/>
      <x:c r="K454" s="74"/>
      <x:c r="L454" s="74"/>
      <x:c r="M454" s="74"/>
      <x:c r="N454" s="91"/>
      <x:c r="O454" s="91"/>
      <x:c r="P454" s="91"/>
      <x:c r="Q454" s="91"/>
      <x:c r="R454" s="91"/>
      <x:c r="S454" s="85"/>
      <x:c r="U454" s="86"/>
      <x:c r="V454" s="32"/>
    </x:row>
    <x:row r="455">
      <x:c r="A455" s="87"/>
      <x:c r="B455" s="88"/>
      <x:c r="D455" s="32"/>
      <x:c r="G455" s="74"/>
      <x:c r="H455" s="74"/>
      <x:c r="I455" s="74"/>
      <x:c r="J455" s="74"/>
      <x:c r="K455" s="74"/>
      <x:c r="L455" s="74"/>
      <x:c r="M455" s="74"/>
      <x:c r="N455" s="91"/>
      <x:c r="O455" s="91"/>
      <x:c r="P455" s="91"/>
      <x:c r="Q455" s="91"/>
      <x:c r="R455" s="91"/>
      <x:c r="S455" s="85"/>
      <x:c r="U455" s="86"/>
      <x:c r="V455" s="32"/>
    </x:row>
    <x:row r="456">
      <x:c r="A456" s="87"/>
      <x:c r="B456" s="88"/>
      <x:c r="D456" s="32"/>
      <x:c r="G456" s="74"/>
      <x:c r="H456" s="74"/>
      <x:c r="I456" s="74"/>
      <x:c r="J456" s="74"/>
      <x:c r="K456" s="74"/>
      <x:c r="L456" s="74"/>
      <x:c r="M456" s="74"/>
      <x:c r="N456" s="91"/>
      <x:c r="O456" s="91"/>
      <x:c r="P456" s="91"/>
      <x:c r="Q456" s="91"/>
      <x:c r="R456" s="91"/>
      <x:c r="S456" s="85"/>
      <x:c r="U456" s="86"/>
      <x:c r="V456" s="32"/>
    </x:row>
    <x:row r="457">
      <x:c r="A457" s="87"/>
      <x:c r="B457" s="88"/>
      <x:c r="D457" s="32"/>
      <x:c r="G457" s="74"/>
      <x:c r="H457" s="74"/>
      <x:c r="I457" s="74"/>
      <x:c r="J457" s="74"/>
      <x:c r="K457" s="74"/>
      <x:c r="L457" s="74"/>
      <x:c r="M457" s="74"/>
      <x:c r="N457" s="91"/>
      <x:c r="O457" s="91"/>
      <x:c r="P457" s="91"/>
      <x:c r="Q457" s="91"/>
      <x:c r="R457" s="91"/>
      <x:c r="S457" s="85"/>
      <x:c r="U457" s="86"/>
      <x:c r="V457" s="32"/>
    </x:row>
    <x:row r="458">
      <x:c r="A458" s="87"/>
      <x:c r="B458" s="88"/>
      <x:c r="D458" s="32"/>
      <x:c r="G458" s="74"/>
      <x:c r="H458" s="74"/>
      <x:c r="I458" s="74"/>
      <x:c r="J458" s="74"/>
      <x:c r="K458" s="74"/>
      <x:c r="L458" s="74"/>
      <x:c r="M458" s="74"/>
      <x:c r="N458" s="91"/>
      <x:c r="O458" s="91"/>
      <x:c r="P458" s="91"/>
      <x:c r="Q458" s="91"/>
      <x:c r="R458" s="91"/>
      <x:c r="S458" s="85"/>
      <x:c r="U458" s="86"/>
      <x:c r="V458" s="32"/>
    </x:row>
    <x:row r="459">
      <x:c r="A459" s="87"/>
      <x:c r="B459" s="88"/>
      <x:c r="D459" s="32"/>
      <x:c r="G459" s="74"/>
      <x:c r="H459" s="74"/>
      <x:c r="I459" s="74"/>
      <x:c r="J459" s="74"/>
      <x:c r="K459" s="74"/>
      <x:c r="L459" s="74"/>
      <x:c r="M459" s="74"/>
      <x:c r="N459" s="91"/>
      <x:c r="O459" s="91"/>
      <x:c r="P459" s="91"/>
      <x:c r="Q459" s="91"/>
      <x:c r="R459" s="91"/>
      <x:c r="S459" s="85"/>
      <x:c r="U459" s="86"/>
      <x:c r="V459" s="32"/>
    </x:row>
    <x:row r="460">
      <x:c r="A460" s="87"/>
      <x:c r="B460" s="88"/>
      <x:c r="D460" s="32"/>
      <x:c r="G460" s="74"/>
      <x:c r="H460" s="74"/>
      <x:c r="I460" s="74"/>
      <x:c r="J460" s="74"/>
      <x:c r="K460" s="74"/>
      <x:c r="L460" s="74"/>
      <x:c r="M460" s="74"/>
      <x:c r="N460" s="91"/>
      <x:c r="O460" s="91"/>
      <x:c r="P460" s="91"/>
      <x:c r="Q460" s="91"/>
      <x:c r="R460" s="91"/>
      <x:c r="S460" s="85"/>
      <x:c r="U460" s="86"/>
      <x:c r="V460" s="32"/>
    </x:row>
    <x:row r="461">
      <x:c r="A461" s="87"/>
      <x:c r="B461" s="88"/>
      <x:c r="D461" s="32"/>
      <x:c r="G461" s="74"/>
      <x:c r="H461" s="74"/>
      <x:c r="I461" s="74"/>
      <x:c r="J461" s="74"/>
      <x:c r="K461" s="74"/>
      <x:c r="L461" s="74"/>
      <x:c r="M461" s="74"/>
      <x:c r="N461" s="91"/>
      <x:c r="O461" s="91"/>
      <x:c r="P461" s="91"/>
      <x:c r="Q461" s="91"/>
      <x:c r="R461" s="91"/>
      <x:c r="S461" s="85"/>
      <x:c r="U461" s="86"/>
      <x:c r="V461" s="32"/>
    </x:row>
    <x:row r="462">
      <x:c r="A462" s="87"/>
      <x:c r="B462" s="88"/>
      <x:c r="D462" s="32"/>
      <x:c r="G462" s="74"/>
      <x:c r="H462" s="74"/>
      <x:c r="I462" s="74"/>
      <x:c r="J462" s="74"/>
      <x:c r="K462" s="74"/>
      <x:c r="L462" s="74"/>
      <x:c r="M462" s="74"/>
      <x:c r="N462" s="91"/>
      <x:c r="O462" s="91"/>
      <x:c r="P462" s="91"/>
      <x:c r="Q462" s="91"/>
      <x:c r="R462" s="91"/>
      <x:c r="S462" s="85"/>
      <x:c r="U462" s="86"/>
      <x:c r="V462" s="32"/>
    </x:row>
    <x:row r="463">
      <x:c r="A463" s="87"/>
      <x:c r="B463" s="88"/>
      <x:c r="D463" s="32"/>
      <x:c r="G463" s="74"/>
      <x:c r="H463" s="74"/>
      <x:c r="I463" s="74"/>
      <x:c r="J463" s="74"/>
      <x:c r="K463" s="74"/>
      <x:c r="L463" s="74"/>
      <x:c r="M463" s="74"/>
      <x:c r="N463" s="91"/>
      <x:c r="O463" s="91"/>
      <x:c r="P463" s="91"/>
      <x:c r="Q463" s="91"/>
      <x:c r="R463" s="91"/>
      <x:c r="S463" s="85"/>
      <x:c r="U463" s="86"/>
      <x:c r="V463" s="32"/>
    </x:row>
    <x:row r="464">
      <x:c r="A464" s="87"/>
      <x:c r="B464" s="88"/>
      <x:c r="D464" s="32"/>
      <x:c r="G464" s="74"/>
      <x:c r="H464" s="74"/>
      <x:c r="I464" s="74"/>
      <x:c r="J464" s="74"/>
      <x:c r="K464" s="74"/>
      <x:c r="L464" s="74"/>
      <x:c r="M464" s="74"/>
      <x:c r="N464" s="91"/>
      <x:c r="O464" s="91"/>
      <x:c r="P464" s="91"/>
      <x:c r="Q464" s="91"/>
      <x:c r="R464" s="91"/>
      <x:c r="S464" s="85"/>
      <x:c r="U464" s="86"/>
      <x:c r="V464" s="32"/>
    </x:row>
    <x:row r="465">
      <x:c r="A465" s="87"/>
      <x:c r="B465" s="88"/>
      <x:c r="D465" s="32"/>
      <x:c r="G465" s="74"/>
      <x:c r="H465" s="74"/>
      <x:c r="I465" s="74"/>
      <x:c r="J465" s="74"/>
      <x:c r="K465" s="74"/>
      <x:c r="L465" s="74"/>
      <x:c r="M465" s="74"/>
      <x:c r="N465" s="91"/>
      <x:c r="O465" s="91"/>
      <x:c r="P465" s="91"/>
      <x:c r="Q465" s="91"/>
      <x:c r="R465" s="91"/>
      <x:c r="S465" s="85"/>
      <x:c r="U465" s="86"/>
      <x:c r="V465" s="32"/>
    </x:row>
    <x:row r="466">
      <x:c r="A466" s="87"/>
      <x:c r="B466" s="88"/>
      <x:c r="D466" s="32"/>
      <x:c r="G466" s="74"/>
      <x:c r="H466" s="74"/>
      <x:c r="I466" s="74"/>
      <x:c r="J466" s="74"/>
      <x:c r="K466" s="74"/>
      <x:c r="L466" s="74"/>
      <x:c r="M466" s="74"/>
      <x:c r="N466" s="91"/>
      <x:c r="O466" s="91"/>
      <x:c r="P466" s="91"/>
      <x:c r="Q466" s="91"/>
      <x:c r="R466" s="91"/>
      <x:c r="S466" s="85"/>
      <x:c r="U466" s="86"/>
      <x:c r="V466" s="32"/>
    </x:row>
    <x:row r="467">
      <x:c r="A467" s="87"/>
      <x:c r="B467" s="88"/>
      <x:c r="D467" s="32"/>
      <x:c r="G467" s="74"/>
      <x:c r="H467" s="74"/>
      <x:c r="I467" s="74"/>
      <x:c r="J467" s="74"/>
      <x:c r="K467" s="74"/>
      <x:c r="L467" s="74"/>
      <x:c r="M467" s="74"/>
      <x:c r="N467" s="91"/>
      <x:c r="O467" s="91"/>
      <x:c r="P467" s="91"/>
      <x:c r="Q467" s="91"/>
      <x:c r="R467" s="91"/>
      <x:c r="S467" s="85"/>
      <x:c r="U467" s="86"/>
      <x:c r="V467" s="32"/>
    </x:row>
    <x:row r="468">
      <x:c r="A468" s="87"/>
      <x:c r="B468" s="88"/>
      <x:c r="D468" s="32"/>
      <x:c r="G468" s="74"/>
      <x:c r="H468" s="74"/>
      <x:c r="I468" s="74"/>
      <x:c r="J468" s="74"/>
      <x:c r="K468" s="74"/>
      <x:c r="L468" s="74"/>
      <x:c r="M468" s="74"/>
      <x:c r="N468" s="91"/>
      <x:c r="O468" s="91"/>
      <x:c r="P468" s="91"/>
      <x:c r="Q468" s="91"/>
      <x:c r="R468" s="91"/>
      <x:c r="S468" s="85"/>
      <x:c r="U468" s="86"/>
      <x:c r="V468" s="32"/>
    </x:row>
    <x:row r="469">
      <x:c r="A469" s="87"/>
      <x:c r="B469" s="88"/>
      <x:c r="D469" s="32"/>
      <x:c r="G469" s="74"/>
      <x:c r="H469" s="74"/>
      <x:c r="I469" s="74"/>
      <x:c r="J469" s="74"/>
      <x:c r="K469" s="74"/>
      <x:c r="L469" s="74"/>
      <x:c r="M469" s="74"/>
      <x:c r="N469" s="91"/>
      <x:c r="O469" s="91"/>
      <x:c r="P469" s="91"/>
      <x:c r="Q469" s="91"/>
      <x:c r="R469" s="91"/>
      <x:c r="S469" s="85"/>
      <x:c r="U469" s="86"/>
      <x:c r="V469" s="32"/>
    </x:row>
    <x:row r="470">
      <x:c r="A470" s="87"/>
      <x:c r="B470" s="88"/>
      <x:c r="D470" s="32"/>
      <x:c r="G470" s="74"/>
      <x:c r="H470" s="74"/>
      <x:c r="I470" s="74"/>
      <x:c r="J470" s="74"/>
      <x:c r="K470" s="74"/>
      <x:c r="L470" s="74"/>
      <x:c r="M470" s="74"/>
      <x:c r="N470" s="91"/>
      <x:c r="O470" s="91"/>
      <x:c r="P470" s="91"/>
      <x:c r="Q470" s="91"/>
      <x:c r="R470" s="91"/>
      <x:c r="S470" s="85"/>
      <x:c r="U470" s="86"/>
      <x:c r="V470" s="32"/>
    </x:row>
    <x:row r="471">
      <x:c r="A471" s="87"/>
      <x:c r="B471" s="88"/>
      <x:c r="D471" s="32"/>
      <x:c r="G471" s="74"/>
      <x:c r="H471" s="74"/>
      <x:c r="I471" s="74"/>
      <x:c r="J471" s="74"/>
      <x:c r="K471" s="74"/>
      <x:c r="L471" s="74"/>
      <x:c r="M471" s="74"/>
      <x:c r="N471" s="91"/>
      <x:c r="O471" s="91"/>
      <x:c r="P471" s="91"/>
      <x:c r="Q471" s="91"/>
      <x:c r="R471" s="91"/>
      <x:c r="S471" s="85"/>
      <x:c r="U471" s="86"/>
      <x:c r="V471" s="32"/>
    </x:row>
    <x:row r="472">
      <x:c r="A472" s="87"/>
      <x:c r="B472" s="88"/>
      <x:c r="D472" s="32"/>
      <x:c r="G472" s="74"/>
      <x:c r="H472" s="74"/>
      <x:c r="I472" s="74"/>
      <x:c r="J472" s="74"/>
      <x:c r="K472" s="74"/>
      <x:c r="L472" s="74"/>
      <x:c r="M472" s="74"/>
      <x:c r="N472" s="91"/>
      <x:c r="O472" s="91"/>
      <x:c r="P472" s="91"/>
      <x:c r="Q472" s="91"/>
      <x:c r="R472" s="91"/>
      <x:c r="S472" s="85"/>
      <x:c r="U472" s="86"/>
      <x:c r="V472" s="32"/>
    </x:row>
    <x:row r="473">
      <x:c r="A473" s="87"/>
      <x:c r="B473" s="88"/>
      <x:c r="D473" s="32"/>
      <x:c r="G473" s="74"/>
      <x:c r="H473" s="74"/>
      <x:c r="I473" s="74"/>
      <x:c r="J473" s="74"/>
      <x:c r="K473" s="74"/>
      <x:c r="L473" s="74"/>
      <x:c r="M473" s="74"/>
      <x:c r="N473" s="91"/>
      <x:c r="O473" s="91"/>
      <x:c r="P473" s="91"/>
      <x:c r="Q473" s="91"/>
      <x:c r="R473" s="91"/>
      <x:c r="S473" s="85"/>
      <x:c r="U473" s="86"/>
      <x:c r="V473" s="32"/>
    </x:row>
    <x:row r="474">
      <x:c r="A474" s="87"/>
      <x:c r="B474" s="88"/>
      <x:c r="D474" s="32"/>
      <x:c r="G474" s="74"/>
      <x:c r="H474" s="74"/>
      <x:c r="I474" s="74"/>
      <x:c r="J474" s="74"/>
      <x:c r="K474" s="74"/>
      <x:c r="L474" s="74"/>
      <x:c r="M474" s="74"/>
      <x:c r="N474" s="91"/>
      <x:c r="O474" s="91"/>
      <x:c r="P474" s="91"/>
      <x:c r="Q474" s="91"/>
      <x:c r="R474" s="91"/>
      <x:c r="S474" s="85"/>
      <x:c r="U474" s="86"/>
      <x:c r="V474" s="32"/>
    </x:row>
    <x:row r="475">
      <x:c r="A475" s="87"/>
      <x:c r="B475" s="88"/>
      <x:c r="D475" s="32"/>
      <x:c r="G475" s="74"/>
      <x:c r="H475" s="74"/>
      <x:c r="I475" s="74"/>
      <x:c r="J475" s="74"/>
      <x:c r="K475" s="74"/>
      <x:c r="L475" s="74"/>
      <x:c r="M475" s="74"/>
      <x:c r="N475" s="91"/>
      <x:c r="O475" s="91"/>
      <x:c r="P475" s="91"/>
      <x:c r="Q475" s="91"/>
      <x:c r="R475" s="91"/>
      <x:c r="S475" s="85"/>
      <x:c r="U475" s="86"/>
      <x:c r="V475" s="32"/>
    </x:row>
    <x:row r="476">
      <x:c r="A476" s="87"/>
      <x:c r="B476" s="88"/>
      <x:c r="D476" s="32"/>
      <x:c r="G476" s="74"/>
      <x:c r="H476" s="74"/>
      <x:c r="I476" s="74"/>
      <x:c r="J476" s="74"/>
      <x:c r="K476" s="74"/>
      <x:c r="L476" s="74"/>
      <x:c r="M476" s="74"/>
      <x:c r="N476" s="91"/>
      <x:c r="O476" s="91"/>
      <x:c r="P476" s="91"/>
      <x:c r="Q476" s="91"/>
      <x:c r="R476" s="91"/>
      <x:c r="S476" s="85"/>
      <x:c r="U476" s="86"/>
      <x:c r="V476" s="32"/>
    </x:row>
    <x:row r="477">
      <x:c r="A477" s="87"/>
      <x:c r="B477" s="88"/>
      <x:c r="D477" s="32"/>
      <x:c r="G477" s="74"/>
      <x:c r="H477" s="74"/>
      <x:c r="I477" s="74"/>
      <x:c r="J477" s="74"/>
      <x:c r="K477" s="74"/>
      <x:c r="L477" s="74"/>
      <x:c r="M477" s="74"/>
      <x:c r="N477" s="91"/>
      <x:c r="O477" s="91"/>
      <x:c r="P477" s="91"/>
      <x:c r="Q477" s="91"/>
      <x:c r="R477" s="91"/>
      <x:c r="S477" s="85"/>
      <x:c r="U477" s="86"/>
      <x:c r="V477" s="32"/>
    </x:row>
    <x:row r="478">
      <x:c r="A478" s="87"/>
      <x:c r="B478" s="88"/>
      <x:c r="D478" s="32"/>
      <x:c r="G478" s="74"/>
      <x:c r="H478" s="74"/>
      <x:c r="I478" s="74"/>
      <x:c r="J478" s="74"/>
      <x:c r="K478" s="74"/>
      <x:c r="L478" s="74"/>
      <x:c r="M478" s="74"/>
      <x:c r="N478" s="91"/>
      <x:c r="O478" s="91"/>
      <x:c r="P478" s="91"/>
      <x:c r="Q478" s="91"/>
      <x:c r="R478" s="91"/>
      <x:c r="S478" s="85"/>
      <x:c r="U478" s="86"/>
      <x:c r="V478" s="32"/>
    </x:row>
    <x:row r="479">
      <x:c r="A479" s="87"/>
      <x:c r="B479" s="88"/>
      <x:c r="D479" s="32"/>
      <x:c r="G479" s="74"/>
      <x:c r="H479" s="74"/>
      <x:c r="I479" s="74"/>
      <x:c r="J479" s="74"/>
      <x:c r="K479" s="74"/>
      <x:c r="L479" s="74"/>
      <x:c r="M479" s="74"/>
      <x:c r="N479" s="91"/>
      <x:c r="O479" s="91"/>
      <x:c r="P479" s="91"/>
      <x:c r="Q479" s="91"/>
      <x:c r="R479" s="91"/>
      <x:c r="S479" s="85"/>
      <x:c r="U479" s="86"/>
      <x:c r="V479" s="32"/>
    </x:row>
    <x:row r="480">
      <x:c r="A480" s="87"/>
      <x:c r="B480" s="88"/>
      <x:c r="D480" s="32"/>
      <x:c r="G480" s="74"/>
      <x:c r="H480" s="74"/>
      <x:c r="I480" s="74"/>
      <x:c r="J480" s="74"/>
      <x:c r="K480" s="74"/>
      <x:c r="L480" s="74"/>
      <x:c r="M480" s="74"/>
      <x:c r="N480" s="91"/>
      <x:c r="O480" s="91"/>
      <x:c r="P480" s="91"/>
      <x:c r="Q480" s="91"/>
      <x:c r="R480" s="91"/>
      <x:c r="S480" s="85"/>
      <x:c r="U480" s="86"/>
      <x:c r="V480" s="32"/>
    </x:row>
    <x:row r="481">
      <x:c r="A481" s="87"/>
      <x:c r="B481" s="88"/>
      <x:c r="D481" s="32"/>
      <x:c r="G481" s="74"/>
      <x:c r="H481" s="74"/>
      <x:c r="I481" s="74"/>
      <x:c r="J481" s="74"/>
      <x:c r="K481" s="74"/>
      <x:c r="L481" s="74"/>
      <x:c r="M481" s="74"/>
      <x:c r="N481" s="91"/>
      <x:c r="O481" s="91"/>
      <x:c r="P481" s="91"/>
      <x:c r="Q481" s="91"/>
      <x:c r="R481" s="91"/>
      <x:c r="S481" s="85"/>
      <x:c r="U481" s="86"/>
      <x:c r="V481" s="32"/>
    </x:row>
    <x:row r="482">
      <x:c r="A482" s="87"/>
      <x:c r="B482" s="88"/>
      <x:c r="D482" s="32"/>
      <x:c r="G482" s="74"/>
      <x:c r="H482" s="74"/>
      <x:c r="I482" s="74"/>
      <x:c r="J482" s="74"/>
      <x:c r="K482" s="74"/>
      <x:c r="L482" s="74"/>
      <x:c r="M482" s="74"/>
      <x:c r="N482" s="91"/>
      <x:c r="O482" s="91"/>
      <x:c r="P482" s="91"/>
      <x:c r="Q482" s="91"/>
      <x:c r="R482" s="91"/>
      <x:c r="S482" s="85"/>
      <x:c r="U482" s="86"/>
      <x:c r="V482" s="32"/>
    </x:row>
    <x:row r="483">
      <x:c r="A483" s="87"/>
      <x:c r="B483" s="88"/>
      <x:c r="D483" s="32"/>
      <x:c r="G483" s="74"/>
      <x:c r="H483" s="74"/>
      <x:c r="I483" s="74"/>
      <x:c r="J483" s="74"/>
      <x:c r="K483" s="74"/>
      <x:c r="L483" s="74"/>
      <x:c r="M483" s="74"/>
      <x:c r="N483" s="91"/>
      <x:c r="O483" s="91"/>
      <x:c r="P483" s="91"/>
      <x:c r="Q483" s="91"/>
      <x:c r="R483" s="91"/>
      <x:c r="S483" s="85"/>
      <x:c r="U483" s="86"/>
      <x:c r="V483" s="32"/>
    </x:row>
    <x:row r="484">
      <x:c r="A484" s="87"/>
      <x:c r="B484" s="88"/>
      <x:c r="D484" s="32"/>
      <x:c r="G484" s="74"/>
      <x:c r="H484" s="74"/>
      <x:c r="I484" s="74"/>
      <x:c r="J484" s="74"/>
      <x:c r="K484" s="74"/>
      <x:c r="L484" s="74"/>
      <x:c r="M484" s="74"/>
      <x:c r="N484" s="91"/>
      <x:c r="O484" s="91"/>
      <x:c r="P484" s="91"/>
      <x:c r="Q484" s="91"/>
      <x:c r="R484" s="91"/>
      <x:c r="S484" s="85"/>
      <x:c r="U484" s="86"/>
      <x:c r="V484" s="32"/>
    </x:row>
    <x:row r="485">
      <x:c r="A485" s="87"/>
      <x:c r="B485" s="88"/>
      <x:c r="D485" s="32"/>
      <x:c r="G485" s="74"/>
      <x:c r="H485" s="74"/>
      <x:c r="I485" s="74"/>
      <x:c r="J485" s="74"/>
      <x:c r="K485" s="74"/>
      <x:c r="L485" s="74"/>
      <x:c r="M485" s="74"/>
      <x:c r="N485" s="91"/>
      <x:c r="O485" s="91"/>
      <x:c r="P485" s="91"/>
      <x:c r="Q485" s="91"/>
      <x:c r="R485" s="91"/>
      <x:c r="S485" s="85"/>
      <x:c r="U485" s="86"/>
      <x:c r="V485" s="32"/>
    </x:row>
    <x:row r="486">
      <x:c r="A486" s="87"/>
      <x:c r="B486" s="88"/>
      <x:c r="D486" s="32"/>
      <x:c r="G486" s="74"/>
      <x:c r="H486" s="74"/>
      <x:c r="I486" s="74"/>
      <x:c r="J486" s="74"/>
      <x:c r="K486" s="74"/>
      <x:c r="L486" s="74"/>
      <x:c r="M486" s="74"/>
      <x:c r="N486" s="91"/>
      <x:c r="O486" s="91"/>
      <x:c r="P486" s="91"/>
      <x:c r="Q486" s="91"/>
      <x:c r="R486" s="91"/>
      <x:c r="S486" s="85"/>
      <x:c r="U486" s="86"/>
      <x:c r="V486" s="32"/>
    </x:row>
    <x:row r="487">
      <x:c r="A487" s="87"/>
      <x:c r="B487" s="88"/>
      <x:c r="D487" s="32"/>
      <x:c r="G487" s="74"/>
      <x:c r="H487" s="74"/>
      <x:c r="I487" s="74"/>
      <x:c r="J487" s="74"/>
      <x:c r="K487" s="74"/>
      <x:c r="L487" s="74"/>
      <x:c r="M487" s="74"/>
      <x:c r="N487" s="91"/>
      <x:c r="O487" s="91"/>
      <x:c r="P487" s="91"/>
      <x:c r="Q487" s="91"/>
      <x:c r="R487" s="91"/>
      <x:c r="S487" s="85"/>
      <x:c r="U487" s="86"/>
      <x:c r="V487" s="32"/>
    </x:row>
    <x:row r="488">
      <x:c r="A488" s="87"/>
      <x:c r="B488" s="88"/>
      <x:c r="D488" s="32"/>
      <x:c r="G488" s="74"/>
      <x:c r="H488" s="74"/>
      <x:c r="I488" s="74"/>
      <x:c r="J488" s="74"/>
      <x:c r="K488" s="74"/>
      <x:c r="L488" s="74"/>
      <x:c r="M488" s="74"/>
      <x:c r="N488" s="91"/>
      <x:c r="O488" s="91"/>
      <x:c r="P488" s="91"/>
      <x:c r="Q488" s="91"/>
      <x:c r="R488" s="91"/>
      <x:c r="S488" s="85"/>
      <x:c r="U488" s="86"/>
      <x:c r="V488" s="32"/>
    </x:row>
    <x:row r="489">
      <x:c r="A489" s="87"/>
      <x:c r="B489" s="88"/>
      <x:c r="D489" s="32"/>
      <x:c r="G489" s="74"/>
      <x:c r="H489" s="74"/>
      <x:c r="I489" s="74"/>
      <x:c r="J489" s="74"/>
      <x:c r="K489" s="74"/>
      <x:c r="L489" s="74"/>
      <x:c r="M489" s="74"/>
      <x:c r="N489" s="91"/>
      <x:c r="O489" s="91"/>
      <x:c r="P489" s="91"/>
      <x:c r="Q489" s="91"/>
      <x:c r="R489" s="91"/>
      <x:c r="S489" s="85"/>
      <x:c r="U489" s="86"/>
      <x:c r="V489" s="32"/>
    </x:row>
    <x:row r="490">
      <x:c r="A490" s="87"/>
      <x:c r="B490" s="88"/>
      <x:c r="D490" s="32"/>
      <x:c r="G490" s="74"/>
      <x:c r="H490" s="74"/>
      <x:c r="I490" s="74"/>
      <x:c r="J490" s="74"/>
      <x:c r="K490" s="74"/>
      <x:c r="L490" s="74"/>
      <x:c r="M490" s="74"/>
      <x:c r="N490" s="91"/>
      <x:c r="O490" s="91"/>
      <x:c r="P490" s="91"/>
      <x:c r="Q490" s="91"/>
      <x:c r="R490" s="91"/>
      <x:c r="S490" s="85"/>
      <x:c r="U490" s="86"/>
      <x:c r="V490" s="32"/>
    </x:row>
    <x:row r="491">
      <x:c r="A491" s="87"/>
      <x:c r="B491" s="88"/>
      <x:c r="D491" s="32"/>
      <x:c r="G491" s="74"/>
      <x:c r="H491" s="74"/>
      <x:c r="I491" s="74"/>
      <x:c r="J491" s="74"/>
      <x:c r="K491" s="74"/>
      <x:c r="L491" s="74"/>
      <x:c r="M491" s="74"/>
      <x:c r="N491" s="91"/>
      <x:c r="O491" s="91"/>
      <x:c r="P491" s="91"/>
      <x:c r="Q491" s="91"/>
      <x:c r="R491" s="91"/>
      <x:c r="S491" s="85"/>
      <x:c r="U491" s="86"/>
      <x:c r="V491" s="32"/>
    </x:row>
    <x:row r="492">
      <x:c r="A492" s="87"/>
      <x:c r="B492" s="88"/>
      <x:c r="D492" s="32"/>
      <x:c r="G492" s="74"/>
      <x:c r="H492" s="74"/>
      <x:c r="I492" s="74"/>
      <x:c r="J492" s="74"/>
      <x:c r="K492" s="74"/>
      <x:c r="L492" s="74"/>
      <x:c r="M492" s="74"/>
      <x:c r="N492" s="91"/>
      <x:c r="O492" s="91"/>
      <x:c r="P492" s="91"/>
      <x:c r="Q492" s="91"/>
      <x:c r="R492" s="91"/>
      <x:c r="S492" s="85"/>
      <x:c r="U492" s="86"/>
      <x:c r="V492" s="32"/>
    </x:row>
    <x:row r="493">
      <x:c r="A493" s="87"/>
      <x:c r="B493" s="88"/>
      <x:c r="D493" s="32"/>
      <x:c r="G493" s="74"/>
      <x:c r="H493" s="74"/>
      <x:c r="I493" s="74"/>
      <x:c r="J493" s="74"/>
      <x:c r="K493" s="74"/>
      <x:c r="L493" s="74"/>
      <x:c r="M493" s="74"/>
      <x:c r="N493" s="91"/>
      <x:c r="O493" s="91"/>
      <x:c r="P493" s="91"/>
      <x:c r="Q493" s="91"/>
      <x:c r="R493" s="91"/>
      <x:c r="S493" s="85"/>
      <x:c r="U493" s="86"/>
      <x:c r="V493" s="32"/>
    </x:row>
    <x:row r="494">
      <x:c r="A494" s="87"/>
      <x:c r="B494" s="88"/>
      <x:c r="D494" s="32"/>
      <x:c r="G494" s="74"/>
      <x:c r="H494" s="74"/>
      <x:c r="I494" s="74"/>
      <x:c r="J494" s="74"/>
      <x:c r="K494" s="74"/>
      <x:c r="L494" s="74"/>
      <x:c r="M494" s="74"/>
      <x:c r="N494" s="91"/>
      <x:c r="O494" s="91"/>
      <x:c r="P494" s="91"/>
      <x:c r="Q494" s="91"/>
      <x:c r="R494" s="91"/>
      <x:c r="S494" s="85"/>
      <x:c r="U494" s="86"/>
      <x:c r="V494" s="32"/>
    </x:row>
    <x:row r="495">
      <x:c r="A495" s="87"/>
      <x:c r="B495" s="88"/>
      <x:c r="D495" s="32"/>
      <x:c r="G495" s="74"/>
      <x:c r="H495" s="74"/>
      <x:c r="I495" s="74"/>
      <x:c r="J495" s="74"/>
      <x:c r="K495" s="74"/>
      <x:c r="L495" s="74"/>
      <x:c r="M495" s="74"/>
      <x:c r="N495" s="91"/>
      <x:c r="O495" s="91"/>
      <x:c r="P495" s="91"/>
      <x:c r="Q495" s="91"/>
      <x:c r="R495" s="91"/>
      <x:c r="S495" s="85"/>
      <x:c r="U495" s="86"/>
      <x:c r="V495" s="32"/>
    </x:row>
    <x:row r="496">
      <x:c r="A496" s="87"/>
      <x:c r="B496" s="88"/>
      <x:c r="D496" s="32"/>
      <x:c r="G496" s="74"/>
      <x:c r="H496" s="74"/>
      <x:c r="I496" s="74"/>
      <x:c r="J496" s="74"/>
      <x:c r="K496" s="74"/>
      <x:c r="L496" s="74"/>
      <x:c r="M496" s="74"/>
      <x:c r="N496" s="91"/>
      <x:c r="O496" s="91"/>
      <x:c r="P496" s="91"/>
      <x:c r="Q496" s="91"/>
      <x:c r="R496" s="91"/>
      <x:c r="S496" s="85"/>
      <x:c r="U496" s="86"/>
      <x:c r="V496" s="32"/>
    </x:row>
    <x:row r="497">
      <x:c r="A497" s="87"/>
      <x:c r="B497" s="88"/>
      <x:c r="D497" s="32"/>
      <x:c r="G497" s="74"/>
      <x:c r="H497" s="74"/>
      <x:c r="I497" s="74"/>
      <x:c r="J497" s="74"/>
      <x:c r="K497" s="74"/>
      <x:c r="L497" s="74"/>
      <x:c r="M497" s="74"/>
      <x:c r="N497" s="91"/>
      <x:c r="O497" s="91"/>
      <x:c r="P497" s="91"/>
      <x:c r="Q497" s="91"/>
      <x:c r="R497" s="91"/>
      <x:c r="S497" s="85"/>
      <x:c r="U497" s="86"/>
      <x:c r="V497" s="32"/>
    </x:row>
    <x:row r="498">
      <x:c r="A498" s="87"/>
      <x:c r="B498" s="88"/>
      <x:c r="D498" s="32"/>
      <x:c r="G498" s="74"/>
      <x:c r="H498" s="74"/>
      <x:c r="I498" s="74"/>
      <x:c r="J498" s="74"/>
      <x:c r="K498" s="74"/>
      <x:c r="L498" s="74"/>
      <x:c r="M498" s="74"/>
      <x:c r="N498" s="91"/>
      <x:c r="O498" s="91"/>
      <x:c r="P498" s="91"/>
      <x:c r="Q498" s="91"/>
      <x:c r="R498" s="91"/>
      <x:c r="S498" s="85"/>
      <x:c r="U498" s="86"/>
      <x:c r="V498" s="32"/>
    </x:row>
    <x:row r="499">
      <x:c r="A499" s="87"/>
      <x:c r="B499" s="88"/>
      <x:c r="D499" s="32"/>
      <x:c r="G499" s="74"/>
      <x:c r="H499" s="74"/>
      <x:c r="I499" s="74"/>
      <x:c r="J499" s="74"/>
      <x:c r="K499" s="74"/>
      <x:c r="L499" s="74"/>
      <x:c r="M499" s="74"/>
      <x:c r="N499" s="91"/>
      <x:c r="O499" s="91"/>
      <x:c r="P499" s="91"/>
      <x:c r="Q499" s="91"/>
      <x:c r="R499" s="91"/>
      <x:c r="S499" s="85"/>
      <x:c r="U499" s="86"/>
      <x:c r="V499" s="32"/>
    </x:row>
    <x:row r="500">
      <x:c r="A500" s="87"/>
      <x:c r="B500" s="88"/>
      <x:c r="D500" s="32"/>
      <x:c r="G500" s="74"/>
      <x:c r="H500" s="74"/>
      <x:c r="I500" s="74"/>
      <x:c r="J500" s="74"/>
      <x:c r="K500" s="74"/>
      <x:c r="L500" s="74"/>
      <x:c r="M500" s="74"/>
      <x:c r="N500" s="91"/>
      <x:c r="O500" s="91"/>
      <x:c r="P500" s="91"/>
      <x:c r="Q500" s="91"/>
      <x:c r="R500" s="91"/>
      <x:c r="S500" s="85"/>
      <x:c r="U500" s="86"/>
      <x:c r="V500" s="32"/>
    </x:row>
    <x:row r="501">
      <x:c r="A501" s="87"/>
      <x:c r="B501" s="88"/>
      <x:c r="D501" s="32"/>
      <x:c r="G501" s="74"/>
      <x:c r="H501" s="74"/>
      <x:c r="I501" s="74"/>
      <x:c r="J501" s="74"/>
      <x:c r="K501" s="74"/>
      <x:c r="L501" s="74"/>
      <x:c r="M501" s="74"/>
      <x:c r="N501" s="91"/>
      <x:c r="O501" s="91"/>
      <x:c r="P501" s="91"/>
      <x:c r="Q501" s="91"/>
      <x:c r="R501" s="91"/>
      <x:c r="S501" s="85"/>
      <x:c r="U501" s="86"/>
      <x:c r="V501" s="32"/>
    </x:row>
    <x:row r="502">
      <x:c r="A502" s="87"/>
      <x:c r="B502" s="88"/>
      <x:c r="D502" s="32"/>
      <x:c r="G502" s="74"/>
      <x:c r="H502" s="74"/>
      <x:c r="I502" s="74"/>
      <x:c r="J502" s="74"/>
      <x:c r="K502" s="74"/>
      <x:c r="L502" s="74"/>
      <x:c r="M502" s="74"/>
      <x:c r="N502" s="91"/>
      <x:c r="O502" s="91"/>
      <x:c r="P502" s="91"/>
      <x:c r="Q502" s="91"/>
      <x:c r="R502" s="91"/>
      <x:c r="S502" s="85"/>
      <x:c r="U502" s="86"/>
      <x:c r="V502" s="32"/>
    </x:row>
    <x:row r="503">
      <x:c r="A503" s="87"/>
      <x:c r="B503" s="88"/>
      <x:c r="D503" s="32"/>
      <x:c r="G503" s="74"/>
      <x:c r="H503" s="74"/>
      <x:c r="I503" s="74"/>
      <x:c r="J503" s="74"/>
      <x:c r="K503" s="74"/>
      <x:c r="L503" s="74"/>
      <x:c r="M503" s="74"/>
      <x:c r="N503" s="91"/>
      <x:c r="O503" s="91"/>
      <x:c r="P503" s="91"/>
      <x:c r="Q503" s="91"/>
      <x:c r="R503" s="91"/>
      <x:c r="S503" s="85"/>
      <x:c r="U503" s="86"/>
      <x:c r="V503" s="32"/>
    </x:row>
    <x:row r="504">
      <x:c r="A504" s="87"/>
      <x:c r="B504" s="88"/>
      <x:c r="D504" s="32"/>
      <x:c r="G504" s="74"/>
      <x:c r="H504" s="74"/>
      <x:c r="I504" s="74"/>
      <x:c r="J504" s="74"/>
      <x:c r="K504" s="74"/>
      <x:c r="L504" s="74"/>
      <x:c r="M504" s="74"/>
      <x:c r="N504" s="91"/>
      <x:c r="O504" s="91"/>
      <x:c r="P504" s="91"/>
      <x:c r="Q504" s="91"/>
      <x:c r="R504" s="91"/>
      <x:c r="S504" s="85"/>
      <x:c r="U504" s="86"/>
      <x:c r="V504" s="32"/>
    </x:row>
    <x:row r="505">
      <x:c r="A505" s="87"/>
      <x:c r="B505" s="88"/>
      <x:c r="D505" s="32"/>
      <x:c r="G505" s="74"/>
      <x:c r="H505" s="74"/>
      <x:c r="I505" s="74"/>
      <x:c r="J505" s="74"/>
      <x:c r="K505" s="74"/>
      <x:c r="L505" s="74"/>
      <x:c r="M505" s="74"/>
      <x:c r="N505" s="91"/>
      <x:c r="O505" s="91"/>
      <x:c r="P505" s="91"/>
      <x:c r="Q505" s="91"/>
      <x:c r="R505" s="91"/>
      <x:c r="S505" s="85"/>
      <x:c r="U505" s="86"/>
      <x:c r="V505" s="32"/>
    </x:row>
    <x:row r="506">
      <x:c r="A506" s="87"/>
      <x:c r="B506" s="88"/>
      <x:c r="D506" s="32"/>
      <x:c r="G506" s="74"/>
      <x:c r="H506" s="74"/>
      <x:c r="I506" s="74"/>
      <x:c r="J506" s="74"/>
      <x:c r="K506" s="74"/>
      <x:c r="L506" s="74"/>
      <x:c r="M506" s="74"/>
      <x:c r="N506" s="91"/>
      <x:c r="O506" s="91"/>
      <x:c r="P506" s="91"/>
      <x:c r="Q506" s="91"/>
      <x:c r="R506" s="91"/>
      <x:c r="S506" s="85"/>
      <x:c r="U506" s="86"/>
      <x:c r="V506" s="32"/>
    </x:row>
    <x:row r="507">
      <x:c r="A507" s="87"/>
      <x:c r="B507" s="88"/>
      <x:c r="D507" s="32"/>
      <x:c r="G507" s="74"/>
      <x:c r="H507" s="74"/>
      <x:c r="I507" s="74"/>
      <x:c r="J507" s="74"/>
      <x:c r="K507" s="74"/>
      <x:c r="L507" s="74"/>
      <x:c r="M507" s="74"/>
      <x:c r="N507" s="91"/>
      <x:c r="O507" s="91"/>
      <x:c r="P507" s="91"/>
      <x:c r="Q507" s="91"/>
      <x:c r="R507" s="91"/>
      <x:c r="S507" s="85"/>
      <x:c r="U507" s="86"/>
      <x:c r="V507" s="32"/>
    </x:row>
    <x:row r="508">
      <x:c r="A508" s="87"/>
      <x:c r="B508" s="88"/>
      <x:c r="D508" s="32"/>
      <x:c r="G508" s="74"/>
      <x:c r="H508" s="74"/>
      <x:c r="I508" s="74"/>
      <x:c r="J508" s="74"/>
      <x:c r="K508" s="74"/>
      <x:c r="L508" s="74"/>
      <x:c r="M508" s="74"/>
      <x:c r="N508" s="91"/>
      <x:c r="O508" s="91"/>
      <x:c r="P508" s="91"/>
      <x:c r="Q508" s="91"/>
      <x:c r="R508" s="91"/>
      <x:c r="S508" s="85"/>
      <x:c r="U508" s="86"/>
      <x:c r="V508" s="32"/>
    </x:row>
    <x:row r="509">
      <x:c r="A509" s="87"/>
      <x:c r="B509" s="88"/>
      <x:c r="D509" s="32"/>
      <x:c r="G509" s="74"/>
      <x:c r="H509" s="74"/>
      <x:c r="I509" s="74"/>
      <x:c r="J509" s="74"/>
      <x:c r="K509" s="74"/>
      <x:c r="L509" s="74"/>
      <x:c r="M509" s="74"/>
      <x:c r="N509" s="91"/>
      <x:c r="O509" s="91"/>
      <x:c r="P509" s="91"/>
      <x:c r="Q509" s="91"/>
      <x:c r="R509" s="91"/>
      <x:c r="S509" s="85"/>
      <x:c r="U509" s="86"/>
      <x:c r="V509" s="32"/>
    </x:row>
    <x:row r="510">
      <x:c r="A510" s="87"/>
      <x:c r="B510" s="88"/>
      <x:c r="D510" s="32"/>
      <x:c r="G510" s="74"/>
      <x:c r="H510" s="74"/>
      <x:c r="I510" s="74"/>
      <x:c r="J510" s="74"/>
      <x:c r="K510" s="74"/>
      <x:c r="L510" s="74"/>
      <x:c r="M510" s="74"/>
      <x:c r="N510" s="91"/>
      <x:c r="O510" s="91"/>
      <x:c r="P510" s="91"/>
      <x:c r="Q510" s="91"/>
      <x:c r="R510" s="91"/>
      <x:c r="S510" s="85"/>
      <x:c r="U510" s="86"/>
      <x:c r="V510" s="32"/>
    </x:row>
    <x:row r="511">
      <x:c r="A511" s="87"/>
      <x:c r="B511" s="88"/>
      <x:c r="D511" s="32"/>
      <x:c r="G511" s="74"/>
      <x:c r="H511" s="74"/>
      <x:c r="I511" s="74"/>
      <x:c r="J511" s="74"/>
      <x:c r="K511" s="74"/>
      <x:c r="L511" s="74"/>
      <x:c r="M511" s="74"/>
      <x:c r="N511" s="91"/>
      <x:c r="O511" s="91"/>
      <x:c r="P511" s="91"/>
      <x:c r="Q511" s="91"/>
      <x:c r="R511" s="91"/>
      <x:c r="S511" s="85"/>
      <x:c r="U511" s="86"/>
      <x:c r="V511" s="32"/>
    </x:row>
    <x:row r="512">
      <x:c r="A512" s="87"/>
      <x:c r="B512" s="88"/>
      <x:c r="D512" s="32"/>
      <x:c r="G512" s="74"/>
      <x:c r="H512" s="74"/>
      <x:c r="I512" s="74"/>
      <x:c r="J512" s="74"/>
      <x:c r="K512" s="74"/>
      <x:c r="L512" s="74"/>
      <x:c r="M512" s="74"/>
      <x:c r="N512" s="91"/>
      <x:c r="O512" s="91"/>
      <x:c r="P512" s="91"/>
      <x:c r="Q512" s="91"/>
      <x:c r="R512" s="91"/>
      <x:c r="S512" s="85"/>
      <x:c r="U512" s="86"/>
      <x:c r="V512" s="32"/>
    </x:row>
    <x:row r="513">
      <x:c r="A513" s="87"/>
      <x:c r="B513" s="88"/>
      <x:c r="D513" s="32"/>
      <x:c r="G513" s="74"/>
      <x:c r="H513" s="74"/>
      <x:c r="I513" s="74"/>
      <x:c r="J513" s="74"/>
      <x:c r="K513" s="74"/>
      <x:c r="L513" s="74"/>
      <x:c r="M513" s="74"/>
      <x:c r="N513" s="91"/>
      <x:c r="O513" s="91"/>
      <x:c r="P513" s="91"/>
      <x:c r="Q513" s="91"/>
      <x:c r="R513" s="91"/>
      <x:c r="S513" s="85"/>
      <x:c r="U513" s="86"/>
      <x:c r="V513" s="32"/>
    </x:row>
    <x:row r="514">
      <x:c r="A514" s="87"/>
      <x:c r="B514" s="88"/>
      <x:c r="D514" s="32"/>
      <x:c r="G514" s="74"/>
      <x:c r="H514" s="74"/>
      <x:c r="I514" s="74"/>
      <x:c r="J514" s="74"/>
      <x:c r="K514" s="74"/>
      <x:c r="L514" s="74"/>
      <x:c r="M514" s="74"/>
      <x:c r="N514" s="91"/>
      <x:c r="O514" s="91"/>
      <x:c r="P514" s="91"/>
      <x:c r="Q514" s="91"/>
      <x:c r="R514" s="91"/>
      <x:c r="S514" s="85"/>
      <x:c r="U514" s="86"/>
      <x:c r="V514" s="32"/>
    </x:row>
    <x:row r="515">
      <x:c r="A515" s="87"/>
      <x:c r="B515" s="88"/>
      <x:c r="D515" s="32"/>
      <x:c r="G515" s="74"/>
      <x:c r="H515" s="74"/>
      <x:c r="I515" s="74"/>
      <x:c r="J515" s="74"/>
      <x:c r="K515" s="74"/>
      <x:c r="L515" s="74"/>
      <x:c r="M515" s="74"/>
      <x:c r="N515" s="91"/>
      <x:c r="O515" s="91"/>
      <x:c r="P515" s="91"/>
      <x:c r="Q515" s="91"/>
      <x:c r="R515" s="91"/>
      <x:c r="S515" s="85"/>
      <x:c r="U515" s="86"/>
      <x:c r="V515" s="32"/>
    </x:row>
    <x:row r="516">
      <x:c r="A516" s="87"/>
      <x:c r="B516" s="88"/>
      <x:c r="D516" s="32"/>
      <x:c r="G516" s="74"/>
      <x:c r="H516" s="74"/>
      <x:c r="I516" s="74"/>
      <x:c r="J516" s="74"/>
      <x:c r="K516" s="74"/>
      <x:c r="L516" s="74"/>
      <x:c r="M516" s="74"/>
      <x:c r="N516" s="91"/>
      <x:c r="O516" s="91"/>
      <x:c r="P516" s="91"/>
      <x:c r="Q516" s="91"/>
      <x:c r="R516" s="91"/>
      <x:c r="S516" s="85"/>
      <x:c r="U516" s="86"/>
      <x:c r="V516" s="32"/>
    </x:row>
    <x:row r="517">
      <x:c r="A517" s="87"/>
      <x:c r="B517" s="88"/>
      <x:c r="D517" s="32"/>
      <x:c r="G517" s="74"/>
      <x:c r="H517" s="74"/>
      <x:c r="I517" s="74"/>
      <x:c r="J517" s="74"/>
      <x:c r="K517" s="74"/>
      <x:c r="L517" s="74"/>
      <x:c r="M517" s="74"/>
      <x:c r="N517" s="91"/>
      <x:c r="O517" s="91"/>
      <x:c r="P517" s="91"/>
      <x:c r="Q517" s="91"/>
      <x:c r="R517" s="91"/>
      <x:c r="S517" s="85"/>
      <x:c r="U517" s="86"/>
      <x:c r="V517" s="32"/>
    </x:row>
    <x:row r="518">
      <x:c r="A518" s="87"/>
      <x:c r="B518" s="88"/>
      <x:c r="D518" s="32"/>
      <x:c r="G518" s="74"/>
      <x:c r="H518" s="74"/>
      <x:c r="I518" s="74"/>
      <x:c r="J518" s="74"/>
      <x:c r="K518" s="74"/>
      <x:c r="L518" s="74"/>
      <x:c r="M518" s="74"/>
      <x:c r="N518" s="91"/>
      <x:c r="O518" s="91"/>
      <x:c r="P518" s="91"/>
      <x:c r="Q518" s="91"/>
      <x:c r="R518" s="91"/>
      <x:c r="S518" s="85"/>
      <x:c r="U518" s="86"/>
      <x:c r="V518" s="32"/>
    </x:row>
    <x:row r="519">
      <x:c r="A519" s="87"/>
      <x:c r="B519" s="88"/>
      <x:c r="D519" s="32"/>
      <x:c r="G519" s="74"/>
      <x:c r="H519" s="74"/>
      <x:c r="I519" s="74"/>
      <x:c r="J519" s="74"/>
      <x:c r="K519" s="74"/>
      <x:c r="L519" s="74"/>
      <x:c r="M519" s="74"/>
      <x:c r="N519" s="91"/>
      <x:c r="O519" s="91"/>
      <x:c r="P519" s="91"/>
      <x:c r="Q519" s="91"/>
      <x:c r="R519" s="91"/>
      <x:c r="S519" s="85"/>
      <x:c r="U519" s="86"/>
      <x:c r="V519" s="32"/>
    </x:row>
    <x:row r="520">
      <x:c r="A520" s="87"/>
      <x:c r="B520" s="88"/>
      <x:c r="D520" s="32"/>
      <x:c r="G520" s="74"/>
      <x:c r="H520" s="74"/>
      <x:c r="I520" s="74"/>
      <x:c r="J520" s="74"/>
      <x:c r="K520" s="74"/>
      <x:c r="L520" s="74"/>
      <x:c r="M520" s="74"/>
      <x:c r="N520" s="91"/>
      <x:c r="O520" s="91"/>
      <x:c r="P520" s="91"/>
      <x:c r="Q520" s="91"/>
      <x:c r="R520" s="91"/>
      <x:c r="S520" s="85"/>
      <x:c r="U520" s="86"/>
      <x:c r="V520" s="32"/>
    </x:row>
    <x:row r="521">
      <x:c r="A521" s="87"/>
      <x:c r="B521" s="88"/>
      <x:c r="D521" s="32"/>
      <x:c r="G521" s="74"/>
      <x:c r="H521" s="74"/>
      <x:c r="I521" s="74"/>
      <x:c r="J521" s="74"/>
      <x:c r="K521" s="74"/>
      <x:c r="L521" s="74"/>
      <x:c r="M521" s="74"/>
      <x:c r="N521" s="91"/>
      <x:c r="O521" s="91"/>
      <x:c r="P521" s="91"/>
      <x:c r="Q521" s="91"/>
      <x:c r="R521" s="91"/>
      <x:c r="S521" s="85"/>
      <x:c r="U521" s="86"/>
      <x:c r="V521" s="32"/>
    </x:row>
    <x:row r="522">
      <x:c r="A522" s="87"/>
      <x:c r="B522" s="88"/>
      <x:c r="D522" s="32"/>
      <x:c r="G522" s="74"/>
      <x:c r="H522" s="74"/>
      <x:c r="I522" s="74"/>
      <x:c r="J522" s="74"/>
      <x:c r="K522" s="74"/>
      <x:c r="L522" s="74"/>
      <x:c r="M522" s="74"/>
      <x:c r="N522" s="91"/>
      <x:c r="O522" s="91"/>
      <x:c r="P522" s="91"/>
      <x:c r="Q522" s="91"/>
      <x:c r="R522" s="91"/>
      <x:c r="S522" s="85"/>
      <x:c r="U522" s="86"/>
      <x:c r="V522" s="32"/>
    </x:row>
    <x:row r="523">
      <x:c r="A523" s="87"/>
      <x:c r="B523" s="88"/>
      <x:c r="D523" s="32"/>
      <x:c r="G523" s="74"/>
      <x:c r="H523" s="74"/>
      <x:c r="I523" s="74"/>
      <x:c r="J523" s="74"/>
      <x:c r="K523" s="74"/>
      <x:c r="L523" s="74"/>
      <x:c r="M523" s="74"/>
      <x:c r="N523" s="91"/>
      <x:c r="O523" s="91"/>
      <x:c r="P523" s="91"/>
      <x:c r="Q523" s="91"/>
      <x:c r="R523" s="91"/>
      <x:c r="S523" s="85"/>
      <x:c r="U523" s="86"/>
      <x:c r="V523" s="32"/>
    </x:row>
    <x:row r="524">
      <x:c r="A524" s="87"/>
      <x:c r="B524" s="88"/>
      <x:c r="D524" s="32"/>
      <x:c r="G524" s="74"/>
      <x:c r="H524" s="74"/>
      <x:c r="I524" s="74"/>
      <x:c r="J524" s="74"/>
      <x:c r="K524" s="74"/>
      <x:c r="L524" s="74"/>
      <x:c r="M524" s="74"/>
      <x:c r="N524" s="91"/>
      <x:c r="O524" s="91"/>
      <x:c r="P524" s="91"/>
      <x:c r="Q524" s="91"/>
      <x:c r="R524" s="91"/>
      <x:c r="S524" s="85"/>
      <x:c r="U524" s="86"/>
      <x:c r="V524" s="32"/>
    </x:row>
    <x:row r="525">
      <x:c r="A525" s="87"/>
      <x:c r="B525" s="88"/>
      <x:c r="D525" s="32"/>
      <x:c r="G525" s="74"/>
      <x:c r="H525" s="74"/>
      <x:c r="I525" s="74"/>
      <x:c r="J525" s="74"/>
      <x:c r="K525" s="74"/>
      <x:c r="L525" s="74"/>
      <x:c r="M525" s="74"/>
      <x:c r="N525" s="91"/>
      <x:c r="O525" s="91"/>
      <x:c r="P525" s="91"/>
      <x:c r="Q525" s="91"/>
      <x:c r="R525" s="91"/>
      <x:c r="S525" s="85"/>
      <x:c r="U525" s="86"/>
      <x:c r="V525" s="32"/>
    </x:row>
    <x:row r="526">
      <x:c r="A526" s="87"/>
      <x:c r="B526" s="88"/>
      <x:c r="D526" s="32"/>
      <x:c r="G526" s="74"/>
      <x:c r="H526" s="74"/>
      <x:c r="I526" s="74"/>
      <x:c r="J526" s="74"/>
      <x:c r="K526" s="74"/>
      <x:c r="L526" s="74"/>
      <x:c r="M526" s="74"/>
      <x:c r="N526" s="91"/>
      <x:c r="O526" s="91"/>
      <x:c r="P526" s="91"/>
      <x:c r="Q526" s="91"/>
      <x:c r="R526" s="91"/>
      <x:c r="S526" s="85"/>
      <x:c r="U526" s="86"/>
      <x:c r="V526" s="32"/>
    </x:row>
    <x:row r="527">
      <x:c r="A527" s="87"/>
      <x:c r="B527" s="88"/>
      <x:c r="D527" s="32"/>
      <x:c r="G527" s="74"/>
      <x:c r="H527" s="74"/>
      <x:c r="I527" s="74"/>
      <x:c r="J527" s="74"/>
      <x:c r="K527" s="74"/>
      <x:c r="L527" s="74"/>
      <x:c r="M527" s="74"/>
      <x:c r="N527" s="91"/>
      <x:c r="O527" s="91"/>
      <x:c r="P527" s="91"/>
      <x:c r="Q527" s="91"/>
      <x:c r="R527" s="91"/>
      <x:c r="S527" s="85"/>
      <x:c r="U527" s="86"/>
      <x:c r="V527" s="32"/>
    </x:row>
    <x:row r="528">
      <x:c r="A528" s="87"/>
      <x:c r="B528" s="88"/>
      <x:c r="D528" s="32"/>
      <x:c r="G528" s="74"/>
      <x:c r="H528" s="74"/>
      <x:c r="I528" s="74"/>
      <x:c r="J528" s="74"/>
      <x:c r="K528" s="74"/>
      <x:c r="L528" s="74"/>
      <x:c r="M528" s="74"/>
      <x:c r="N528" s="91"/>
      <x:c r="O528" s="91"/>
      <x:c r="P528" s="91"/>
      <x:c r="Q528" s="91"/>
      <x:c r="R528" s="91"/>
      <x:c r="S528" s="85"/>
      <x:c r="U528" s="86"/>
      <x:c r="V528" s="32"/>
    </x:row>
    <x:row r="529">
      <x:c r="A529" s="87"/>
      <x:c r="B529" s="88"/>
      <x:c r="D529" s="32"/>
      <x:c r="G529" s="74"/>
      <x:c r="H529" s="74"/>
      <x:c r="I529" s="74"/>
      <x:c r="J529" s="74"/>
      <x:c r="K529" s="74"/>
      <x:c r="L529" s="74"/>
      <x:c r="M529" s="74"/>
      <x:c r="N529" s="91"/>
      <x:c r="O529" s="91"/>
      <x:c r="P529" s="91"/>
      <x:c r="Q529" s="91"/>
      <x:c r="R529" s="91"/>
      <x:c r="S529" s="85"/>
      <x:c r="U529" s="86"/>
      <x:c r="V529" s="32"/>
    </x:row>
    <x:row r="530">
      <x:c r="A530" s="87"/>
      <x:c r="B530" s="88"/>
      <x:c r="D530" s="32"/>
      <x:c r="G530" s="74"/>
      <x:c r="H530" s="74"/>
      <x:c r="I530" s="74"/>
      <x:c r="J530" s="74"/>
      <x:c r="K530" s="74"/>
      <x:c r="L530" s="74"/>
      <x:c r="M530" s="74"/>
      <x:c r="N530" s="91"/>
      <x:c r="O530" s="91"/>
      <x:c r="P530" s="91"/>
      <x:c r="Q530" s="91"/>
      <x:c r="R530" s="91"/>
      <x:c r="S530" s="85"/>
      <x:c r="U530" s="86"/>
      <x:c r="V530" s="32"/>
    </x:row>
    <x:row r="531">
      <x:c r="A531" s="87"/>
      <x:c r="B531" s="88"/>
      <x:c r="D531" s="32"/>
      <x:c r="G531" s="74"/>
      <x:c r="H531" s="74"/>
      <x:c r="I531" s="74"/>
      <x:c r="J531" s="74"/>
      <x:c r="K531" s="74"/>
      <x:c r="L531" s="74"/>
      <x:c r="M531" s="74"/>
      <x:c r="N531" s="91"/>
      <x:c r="O531" s="91"/>
      <x:c r="P531" s="91"/>
      <x:c r="Q531" s="91"/>
      <x:c r="R531" s="91"/>
      <x:c r="S531" s="85"/>
      <x:c r="U531" s="86"/>
      <x:c r="V531" s="32"/>
    </x:row>
    <x:row r="532">
      <x:c r="A532" s="87"/>
      <x:c r="B532" s="88"/>
      <x:c r="D532" s="32"/>
      <x:c r="G532" s="74"/>
      <x:c r="H532" s="74"/>
      <x:c r="I532" s="74"/>
      <x:c r="J532" s="74"/>
      <x:c r="K532" s="74"/>
      <x:c r="L532" s="74"/>
      <x:c r="M532" s="74"/>
      <x:c r="N532" s="91"/>
      <x:c r="O532" s="91"/>
      <x:c r="P532" s="91"/>
      <x:c r="Q532" s="91"/>
      <x:c r="R532" s="91"/>
      <x:c r="S532" s="85"/>
      <x:c r="U532" s="86"/>
      <x:c r="V532" s="32"/>
    </x:row>
    <x:row r="533">
      <x:c r="A533" s="87"/>
      <x:c r="B533" s="88"/>
      <x:c r="D533" s="32"/>
      <x:c r="G533" s="74"/>
      <x:c r="H533" s="74"/>
      <x:c r="I533" s="74"/>
      <x:c r="J533" s="74"/>
      <x:c r="K533" s="74"/>
      <x:c r="L533" s="74"/>
      <x:c r="M533" s="74"/>
      <x:c r="N533" s="91"/>
      <x:c r="O533" s="91"/>
      <x:c r="P533" s="91"/>
      <x:c r="Q533" s="91"/>
      <x:c r="R533" s="91"/>
      <x:c r="S533" s="85"/>
      <x:c r="U533" s="86"/>
      <x:c r="V533" s="32"/>
    </x:row>
    <x:row r="534">
      <x:c r="A534" s="87"/>
      <x:c r="B534" s="88"/>
      <x:c r="D534" s="32"/>
      <x:c r="G534" s="74"/>
      <x:c r="H534" s="74"/>
      <x:c r="I534" s="74"/>
      <x:c r="J534" s="74"/>
      <x:c r="K534" s="74"/>
      <x:c r="L534" s="74"/>
      <x:c r="M534" s="74"/>
      <x:c r="N534" s="91"/>
      <x:c r="O534" s="91"/>
      <x:c r="P534" s="91"/>
      <x:c r="Q534" s="91"/>
      <x:c r="R534" s="91"/>
      <x:c r="S534" s="85"/>
      <x:c r="U534" s="86"/>
      <x:c r="V534" s="32"/>
    </x:row>
    <x:row r="535">
      <x:c r="A535" s="87"/>
      <x:c r="B535" s="88"/>
      <x:c r="D535" s="32"/>
      <x:c r="G535" s="74"/>
      <x:c r="H535" s="74"/>
      <x:c r="I535" s="74"/>
      <x:c r="J535" s="74"/>
      <x:c r="K535" s="74"/>
      <x:c r="L535" s="74"/>
      <x:c r="M535" s="74"/>
      <x:c r="N535" s="91"/>
      <x:c r="O535" s="91"/>
      <x:c r="P535" s="91"/>
      <x:c r="Q535" s="91"/>
      <x:c r="R535" s="91"/>
      <x:c r="S535" s="85"/>
      <x:c r="U535" s="86"/>
      <x:c r="V535" s="32"/>
    </x:row>
    <x:row r="536">
      <x:c r="A536" s="87"/>
      <x:c r="B536" s="88"/>
      <x:c r="D536" s="32"/>
      <x:c r="G536" s="74"/>
      <x:c r="H536" s="74"/>
      <x:c r="I536" s="74"/>
      <x:c r="J536" s="74"/>
      <x:c r="K536" s="74"/>
      <x:c r="L536" s="74"/>
      <x:c r="M536" s="74"/>
      <x:c r="N536" s="91"/>
      <x:c r="O536" s="91"/>
      <x:c r="P536" s="91"/>
      <x:c r="Q536" s="91"/>
      <x:c r="R536" s="91"/>
      <x:c r="S536" s="85"/>
      <x:c r="U536" s="86"/>
      <x:c r="V536" s="32"/>
    </x:row>
    <x:row r="537">
      <x:c r="A537" s="87"/>
      <x:c r="B537" s="88"/>
      <x:c r="D537" s="32"/>
      <x:c r="G537" s="74"/>
      <x:c r="H537" s="74"/>
      <x:c r="I537" s="74"/>
      <x:c r="J537" s="74"/>
      <x:c r="K537" s="74"/>
      <x:c r="L537" s="74"/>
      <x:c r="M537" s="74"/>
      <x:c r="N537" s="91"/>
      <x:c r="O537" s="91"/>
      <x:c r="P537" s="91"/>
      <x:c r="Q537" s="91"/>
      <x:c r="R537" s="91"/>
      <x:c r="S537" s="85"/>
      <x:c r="U537" s="86"/>
      <x:c r="V537" s="32"/>
    </x:row>
    <x:row r="538">
      <x:c r="A538" s="87"/>
      <x:c r="B538" s="88"/>
      <x:c r="D538" s="32"/>
      <x:c r="G538" s="74"/>
      <x:c r="H538" s="74"/>
      <x:c r="I538" s="74"/>
      <x:c r="J538" s="74"/>
      <x:c r="K538" s="74"/>
      <x:c r="L538" s="74"/>
      <x:c r="M538" s="74"/>
      <x:c r="N538" s="91"/>
      <x:c r="O538" s="91"/>
      <x:c r="P538" s="91"/>
      <x:c r="Q538" s="91"/>
      <x:c r="R538" s="91"/>
      <x:c r="S538" s="85"/>
      <x:c r="U538" s="86"/>
      <x:c r="V538" s="32"/>
    </x:row>
    <x:row r="539">
      <x:c r="A539" s="87"/>
      <x:c r="B539" s="88"/>
      <x:c r="D539" s="32"/>
      <x:c r="G539" s="74"/>
      <x:c r="H539" s="74"/>
      <x:c r="I539" s="74"/>
      <x:c r="J539" s="74"/>
      <x:c r="K539" s="74"/>
      <x:c r="L539" s="74"/>
      <x:c r="M539" s="74"/>
      <x:c r="N539" s="91"/>
      <x:c r="O539" s="91"/>
      <x:c r="P539" s="91"/>
      <x:c r="Q539" s="91"/>
      <x:c r="R539" s="91"/>
      <x:c r="S539" s="85"/>
      <x:c r="U539" s="86"/>
      <x:c r="V539" s="32"/>
    </x:row>
    <x:row r="540">
      <x:c r="A540" s="87"/>
      <x:c r="B540" s="88"/>
      <x:c r="D540" s="32"/>
      <x:c r="G540" s="74"/>
      <x:c r="H540" s="74"/>
      <x:c r="I540" s="74"/>
      <x:c r="J540" s="74"/>
      <x:c r="K540" s="74"/>
      <x:c r="L540" s="74"/>
      <x:c r="M540" s="74"/>
      <x:c r="N540" s="91"/>
      <x:c r="O540" s="91"/>
      <x:c r="P540" s="91"/>
      <x:c r="Q540" s="91"/>
      <x:c r="R540" s="91"/>
      <x:c r="S540" s="85"/>
      <x:c r="U540" s="86"/>
      <x:c r="V540" s="32"/>
    </x:row>
    <x:row r="541">
      <x:c r="A541" s="87"/>
      <x:c r="B541" s="88"/>
      <x:c r="D541" s="32"/>
      <x:c r="G541" s="74"/>
      <x:c r="H541" s="74"/>
      <x:c r="I541" s="74"/>
      <x:c r="J541" s="74"/>
      <x:c r="K541" s="74"/>
      <x:c r="L541" s="74"/>
      <x:c r="M541" s="74"/>
      <x:c r="N541" s="91"/>
      <x:c r="O541" s="91"/>
      <x:c r="P541" s="91"/>
      <x:c r="Q541" s="91"/>
      <x:c r="R541" s="91"/>
      <x:c r="S541" s="85"/>
      <x:c r="U541" s="86"/>
      <x:c r="V541" s="32"/>
    </x:row>
    <x:row r="542">
      <x:c r="A542" s="87"/>
      <x:c r="B542" s="88"/>
      <x:c r="D542" s="32"/>
      <x:c r="G542" s="74"/>
      <x:c r="H542" s="74"/>
      <x:c r="I542" s="74"/>
      <x:c r="J542" s="74"/>
      <x:c r="K542" s="74"/>
      <x:c r="L542" s="74"/>
      <x:c r="M542" s="74"/>
      <x:c r="N542" s="91"/>
      <x:c r="O542" s="91"/>
      <x:c r="P542" s="91"/>
      <x:c r="Q542" s="91"/>
      <x:c r="R542" s="91"/>
      <x:c r="S542" s="85"/>
      <x:c r="U542" s="86"/>
      <x:c r="V542" s="32"/>
    </x:row>
    <x:row r="543">
      <x:c r="A543" s="87"/>
      <x:c r="B543" s="88"/>
      <x:c r="D543" s="32"/>
      <x:c r="G543" s="74"/>
      <x:c r="H543" s="74"/>
      <x:c r="I543" s="74"/>
      <x:c r="J543" s="74"/>
      <x:c r="K543" s="74"/>
      <x:c r="L543" s="74"/>
      <x:c r="M543" s="74"/>
      <x:c r="N543" s="91"/>
      <x:c r="O543" s="91"/>
      <x:c r="P543" s="91"/>
      <x:c r="Q543" s="91"/>
      <x:c r="R543" s="91"/>
      <x:c r="S543" s="85"/>
      <x:c r="U543" s="86"/>
      <x:c r="V543" s="32"/>
    </x:row>
    <x:row r="544">
      <x:c r="A544" s="87"/>
      <x:c r="B544" s="88"/>
      <x:c r="D544" s="32"/>
      <x:c r="G544" s="74"/>
      <x:c r="H544" s="74"/>
      <x:c r="I544" s="74"/>
      <x:c r="J544" s="74"/>
      <x:c r="K544" s="74"/>
      <x:c r="L544" s="74"/>
      <x:c r="M544" s="74"/>
      <x:c r="N544" s="91"/>
      <x:c r="O544" s="91"/>
      <x:c r="P544" s="91"/>
      <x:c r="Q544" s="91"/>
      <x:c r="R544" s="91"/>
      <x:c r="S544" s="85"/>
      <x:c r="U544" s="86"/>
      <x:c r="V544" s="32"/>
    </x:row>
    <x:row r="545">
      <x:c r="A545" s="87"/>
      <x:c r="B545" s="88"/>
      <x:c r="D545" s="32"/>
      <x:c r="G545" s="74"/>
      <x:c r="H545" s="74"/>
      <x:c r="I545" s="74"/>
      <x:c r="J545" s="74"/>
      <x:c r="K545" s="74"/>
      <x:c r="L545" s="74"/>
      <x:c r="M545" s="74"/>
      <x:c r="N545" s="91"/>
      <x:c r="O545" s="91"/>
      <x:c r="P545" s="91"/>
      <x:c r="Q545" s="91"/>
      <x:c r="R545" s="91"/>
      <x:c r="S545" s="85"/>
      <x:c r="U545" s="86"/>
      <x:c r="V545" s="32"/>
    </x:row>
    <x:row r="546">
      <x:c r="A546" s="87"/>
      <x:c r="B546" s="88"/>
      <x:c r="D546" s="32"/>
      <x:c r="G546" s="74"/>
      <x:c r="H546" s="74"/>
      <x:c r="I546" s="74"/>
      <x:c r="J546" s="74"/>
      <x:c r="K546" s="74"/>
      <x:c r="L546" s="74"/>
      <x:c r="M546" s="74"/>
      <x:c r="N546" s="91"/>
      <x:c r="O546" s="91"/>
      <x:c r="P546" s="91"/>
      <x:c r="Q546" s="91"/>
      <x:c r="R546" s="91"/>
      <x:c r="S546" s="85"/>
      <x:c r="U546" s="86"/>
      <x:c r="V546" s="32"/>
    </x:row>
    <x:row r="547">
      <x:c r="A547" s="87"/>
      <x:c r="B547" s="88"/>
      <x:c r="D547" s="32"/>
      <x:c r="G547" s="74"/>
      <x:c r="H547" s="74"/>
      <x:c r="I547" s="74"/>
      <x:c r="J547" s="74"/>
      <x:c r="K547" s="74"/>
      <x:c r="L547" s="74"/>
      <x:c r="M547" s="74"/>
      <x:c r="N547" s="91"/>
      <x:c r="O547" s="91"/>
      <x:c r="P547" s="91"/>
      <x:c r="Q547" s="91"/>
      <x:c r="R547" s="91"/>
      <x:c r="S547" s="85"/>
      <x:c r="U547" s="86"/>
      <x:c r="V547" s="32"/>
    </x:row>
    <x:row r="548">
      <x:c r="A548" s="87"/>
      <x:c r="B548" s="88"/>
      <x:c r="D548" s="32"/>
      <x:c r="G548" s="74"/>
      <x:c r="H548" s="74"/>
      <x:c r="I548" s="74"/>
      <x:c r="J548" s="74"/>
      <x:c r="K548" s="74"/>
      <x:c r="L548" s="74"/>
      <x:c r="M548" s="74"/>
      <x:c r="N548" s="91"/>
      <x:c r="O548" s="91"/>
      <x:c r="P548" s="91"/>
      <x:c r="Q548" s="91"/>
      <x:c r="R548" s="91"/>
      <x:c r="S548" s="85"/>
      <x:c r="U548" s="86"/>
      <x:c r="V548" s="32"/>
    </x:row>
    <x:row r="549">
      <x:c r="A549" s="87"/>
      <x:c r="B549" s="88"/>
      <x:c r="D549" s="32"/>
      <x:c r="G549" s="74"/>
      <x:c r="H549" s="74"/>
      <x:c r="I549" s="74"/>
      <x:c r="J549" s="74"/>
      <x:c r="K549" s="74"/>
      <x:c r="L549" s="74"/>
      <x:c r="M549" s="74"/>
      <x:c r="N549" s="91"/>
      <x:c r="O549" s="91"/>
      <x:c r="P549" s="91"/>
      <x:c r="Q549" s="91"/>
      <x:c r="R549" s="91"/>
      <x:c r="S549" s="85"/>
      <x:c r="U549" s="86"/>
      <x:c r="V549" s="32"/>
    </x:row>
    <x:row r="550">
      <x:c r="A550" s="87"/>
      <x:c r="B550" s="88"/>
      <x:c r="D550" s="32"/>
      <x:c r="G550" s="74"/>
      <x:c r="H550" s="74"/>
      <x:c r="I550" s="74"/>
      <x:c r="J550" s="74"/>
      <x:c r="K550" s="74"/>
      <x:c r="L550" s="74"/>
      <x:c r="M550" s="74"/>
      <x:c r="N550" s="91"/>
      <x:c r="O550" s="91"/>
      <x:c r="P550" s="91"/>
      <x:c r="Q550" s="91"/>
      <x:c r="R550" s="91"/>
      <x:c r="S550" s="85"/>
      <x:c r="U550" s="86"/>
      <x:c r="V550" s="32"/>
    </x:row>
    <x:row r="551">
      <x:c r="A551" s="87"/>
      <x:c r="B551" s="88"/>
      <x:c r="D551" s="32"/>
      <x:c r="G551" s="74"/>
      <x:c r="H551" s="74"/>
      <x:c r="I551" s="74"/>
      <x:c r="J551" s="74"/>
      <x:c r="K551" s="74"/>
      <x:c r="L551" s="74"/>
      <x:c r="M551" s="74"/>
      <x:c r="N551" s="91"/>
      <x:c r="O551" s="91"/>
      <x:c r="P551" s="91"/>
      <x:c r="Q551" s="91"/>
      <x:c r="R551" s="91"/>
      <x:c r="S551" s="85"/>
      <x:c r="U551" s="86"/>
      <x:c r="V551" s="32"/>
    </x:row>
    <x:row r="552">
      <x:c r="A552" s="87"/>
      <x:c r="B552" s="88"/>
      <x:c r="D552" s="32"/>
      <x:c r="G552" s="74"/>
      <x:c r="H552" s="74"/>
      <x:c r="I552" s="74"/>
      <x:c r="J552" s="74"/>
      <x:c r="K552" s="74"/>
      <x:c r="L552" s="74"/>
      <x:c r="M552" s="74"/>
      <x:c r="N552" s="91"/>
      <x:c r="O552" s="91"/>
      <x:c r="P552" s="91"/>
      <x:c r="Q552" s="91"/>
      <x:c r="R552" s="91"/>
      <x:c r="S552" s="85"/>
      <x:c r="U552" s="86"/>
      <x:c r="V552" s="32"/>
    </x:row>
    <x:row r="553">
      <x:c r="A553" s="87"/>
      <x:c r="B553" s="88"/>
      <x:c r="D553" s="32"/>
      <x:c r="G553" s="74"/>
      <x:c r="H553" s="74"/>
      <x:c r="I553" s="74"/>
      <x:c r="J553" s="74"/>
      <x:c r="K553" s="74"/>
      <x:c r="L553" s="74"/>
      <x:c r="M553" s="74"/>
      <x:c r="N553" s="91"/>
      <x:c r="O553" s="91"/>
      <x:c r="P553" s="91"/>
      <x:c r="Q553" s="91"/>
      <x:c r="R553" s="91"/>
      <x:c r="S553" s="85"/>
      <x:c r="U553" s="86"/>
      <x:c r="V553" s="32"/>
    </x:row>
    <x:row r="554">
      <x:c r="A554" s="87"/>
      <x:c r="B554" s="88"/>
      <x:c r="D554" s="32"/>
      <x:c r="G554" s="74"/>
      <x:c r="H554" s="74"/>
      <x:c r="I554" s="74"/>
      <x:c r="J554" s="74"/>
      <x:c r="K554" s="74"/>
      <x:c r="L554" s="74"/>
      <x:c r="M554" s="74"/>
      <x:c r="N554" s="91"/>
      <x:c r="O554" s="91"/>
      <x:c r="P554" s="91"/>
      <x:c r="Q554" s="91"/>
      <x:c r="R554" s="91"/>
      <x:c r="S554" s="85"/>
      <x:c r="U554" s="86"/>
      <x:c r="V554" s="32"/>
    </x:row>
    <x:row r="555">
      <x:c r="A555" s="87"/>
      <x:c r="B555" s="88"/>
      <x:c r="D555" s="32"/>
      <x:c r="G555" s="74"/>
      <x:c r="H555" s="74"/>
      <x:c r="I555" s="74"/>
      <x:c r="J555" s="74"/>
      <x:c r="K555" s="74"/>
      <x:c r="L555" s="74"/>
      <x:c r="M555" s="74"/>
      <x:c r="N555" s="91"/>
      <x:c r="O555" s="91"/>
      <x:c r="P555" s="91"/>
      <x:c r="Q555" s="91"/>
      <x:c r="R555" s="91"/>
      <x:c r="S555" s="85"/>
      <x:c r="U555" s="86"/>
      <x:c r="V555" s="32"/>
    </x:row>
    <x:row r="556">
      <x:c r="A556" s="87"/>
      <x:c r="B556" s="88"/>
      <x:c r="D556" s="32"/>
      <x:c r="G556" s="74"/>
      <x:c r="H556" s="74"/>
      <x:c r="I556" s="74"/>
      <x:c r="J556" s="74"/>
      <x:c r="K556" s="74"/>
      <x:c r="L556" s="74"/>
      <x:c r="M556" s="74"/>
      <x:c r="N556" s="91"/>
      <x:c r="O556" s="91"/>
      <x:c r="P556" s="91"/>
      <x:c r="Q556" s="91"/>
      <x:c r="R556" s="91"/>
      <x:c r="S556" s="85"/>
      <x:c r="U556" s="86"/>
      <x:c r="V556" s="32"/>
    </x:row>
    <x:row r="557">
      <x:c r="A557" s="87"/>
      <x:c r="B557" s="88"/>
      <x:c r="D557" s="32"/>
      <x:c r="G557" s="74"/>
      <x:c r="H557" s="74"/>
      <x:c r="I557" s="74"/>
      <x:c r="J557" s="74"/>
      <x:c r="K557" s="74"/>
      <x:c r="L557" s="74"/>
      <x:c r="M557" s="74"/>
      <x:c r="N557" s="91"/>
      <x:c r="O557" s="91"/>
      <x:c r="P557" s="91"/>
      <x:c r="Q557" s="91"/>
      <x:c r="R557" s="91"/>
      <x:c r="S557" s="85"/>
      <x:c r="U557" s="86"/>
      <x:c r="V557" s="32"/>
    </x:row>
    <x:row r="558">
      <x:c r="A558" s="87"/>
      <x:c r="B558" s="88"/>
      <x:c r="D558" s="32"/>
      <x:c r="G558" s="74"/>
      <x:c r="H558" s="74"/>
      <x:c r="I558" s="74"/>
      <x:c r="J558" s="74"/>
      <x:c r="K558" s="74"/>
      <x:c r="L558" s="74"/>
      <x:c r="M558" s="74"/>
      <x:c r="N558" s="91"/>
      <x:c r="O558" s="91"/>
      <x:c r="P558" s="91"/>
      <x:c r="Q558" s="91"/>
      <x:c r="R558" s="91"/>
      <x:c r="S558" s="85"/>
      <x:c r="U558" s="86"/>
      <x:c r="V558" s="32"/>
    </x:row>
    <x:row r="559">
      <x:c r="A559" s="87"/>
      <x:c r="B559" s="88"/>
      <x:c r="D559" s="32"/>
      <x:c r="G559" s="74"/>
      <x:c r="H559" s="74"/>
      <x:c r="I559" s="74"/>
      <x:c r="J559" s="74"/>
      <x:c r="K559" s="74"/>
      <x:c r="L559" s="74"/>
      <x:c r="M559" s="74"/>
      <x:c r="N559" s="91"/>
      <x:c r="O559" s="91"/>
      <x:c r="P559" s="91"/>
      <x:c r="Q559" s="91"/>
      <x:c r="R559" s="91"/>
      <x:c r="S559" s="85"/>
      <x:c r="U559" s="86"/>
      <x:c r="V559" s="32"/>
    </x:row>
    <x:row r="560">
      <x:c r="A560" s="87"/>
      <x:c r="B560" s="88"/>
      <x:c r="D560" s="32"/>
      <x:c r="G560" s="74"/>
      <x:c r="H560" s="74"/>
      <x:c r="I560" s="74"/>
      <x:c r="J560" s="74"/>
      <x:c r="K560" s="74"/>
      <x:c r="L560" s="74"/>
      <x:c r="M560" s="74"/>
      <x:c r="N560" s="91"/>
      <x:c r="O560" s="91"/>
      <x:c r="P560" s="91"/>
      <x:c r="Q560" s="91"/>
      <x:c r="R560" s="91"/>
      <x:c r="S560" s="85"/>
      <x:c r="U560" s="86"/>
      <x:c r="V560" s="32"/>
    </x:row>
    <x:row r="561">
      <x:c r="A561" s="87"/>
      <x:c r="B561" s="88"/>
      <x:c r="D561" s="32"/>
      <x:c r="G561" s="74"/>
      <x:c r="H561" s="74"/>
      <x:c r="I561" s="74"/>
      <x:c r="J561" s="74"/>
      <x:c r="K561" s="74"/>
      <x:c r="L561" s="74"/>
      <x:c r="M561" s="74"/>
      <x:c r="N561" s="91"/>
      <x:c r="O561" s="91"/>
      <x:c r="P561" s="91"/>
      <x:c r="Q561" s="91"/>
      <x:c r="R561" s="91"/>
      <x:c r="S561" s="85"/>
      <x:c r="U561" s="86"/>
      <x:c r="V561" s="32"/>
    </x:row>
    <x:row r="562">
      <x:c r="A562" s="87"/>
      <x:c r="B562" s="88"/>
      <x:c r="D562" s="32"/>
      <x:c r="G562" s="74"/>
      <x:c r="H562" s="74"/>
      <x:c r="I562" s="74"/>
      <x:c r="J562" s="74"/>
      <x:c r="K562" s="74"/>
      <x:c r="L562" s="74"/>
      <x:c r="M562" s="74"/>
      <x:c r="N562" s="91"/>
      <x:c r="O562" s="91"/>
      <x:c r="P562" s="91"/>
      <x:c r="Q562" s="91"/>
      <x:c r="R562" s="91"/>
      <x:c r="S562" s="85"/>
      <x:c r="U562" s="86"/>
      <x:c r="V562" s="32"/>
    </x:row>
    <x:row r="563">
      <x:c r="A563" s="87"/>
      <x:c r="B563" s="88"/>
      <x:c r="D563" s="32"/>
      <x:c r="G563" s="74"/>
      <x:c r="H563" s="74"/>
      <x:c r="I563" s="74"/>
      <x:c r="J563" s="74"/>
      <x:c r="K563" s="74"/>
      <x:c r="L563" s="74"/>
      <x:c r="M563" s="74"/>
      <x:c r="N563" s="91"/>
      <x:c r="O563" s="91"/>
      <x:c r="P563" s="91"/>
      <x:c r="Q563" s="91"/>
      <x:c r="R563" s="91"/>
      <x:c r="S563" s="85"/>
      <x:c r="U563" s="86"/>
      <x:c r="V563" s="32"/>
    </x:row>
    <x:row r="564">
      <x:c r="A564" s="87"/>
      <x:c r="B564" s="88"/>
      <x:c r="D564" s="32"/>
      <x:c r="G564" s="74"/>
      <x:c r="H564" s="74"/>
      <x:c r="I564" s="74"/>
      <x:c r="J564" s="74"/>
      <x:c r="K564" s="74"/>
      <x:c r="L564" s="74"/>
      <x:c r="M564" s="74"/>
      <x:c r="N564" s="91"/>
      <x:c r="O564" s="91"/>
      <x:c r="P564" s="91"/>
      <x:c r="Q564" s="91"/>
      <x:c r="R564" s="91"/>
      <x:c r="S564" s="85"/>
      <x:c r="U564" s="86"/>
      <x:c r="V564" s="32"/>
    </x:row>
    <x:row r="565">
      <x:c r="A565" s="87"/>
      <x:c r="B565" s="88"/>
      <x:c r="D565" s="32"/>
      <x:c r="G565" s="74"/>
      <x:c r="H565" s="74"/>
      <x:c r="I565" s="74"/>
      <x:c r="J565" s="74"/>
      <x:c r="K565" s="74"/>
      <x:c r="L565" s="74"/>
      <x:c r="M565" s="74"/>
      <x:c r="N565" s="91"/>
      <x:c r="O565" s="91"/>
      <x:c r="P565" s="91"/>
      <x:c r="Q565" s="91"/>
      <x:c r="R565" s="91"/>
      <x:c r="S565" s="85"/>
      <x:c r="U565" s="86"/>
      <x:c r="V565" s="32"/>
    </x:row>
    <x:row r="566">
      <x:c r="A566" s="87"/>
      <x:c r="B566" s="88"/>
      <x:c r="D566" s="32"/>
      <x:c r="G566" s="74"/>
      <x:c r="H566" s="74"/>
      <x:c r="I566" s="74"/>
      <x:c r="J566" s="74"/>
      <x:c r="K566" s="74"/>
      <x:c r="L566" s="74"/>
      <x:c r="M566" s="74"/>
      <x:c r="N566" s="91"/>
      <x:c r="O566" s="91"/>
      <x:c r="P566" s="91"/>
      <x:c r="Q566" s="91"/>
      <x:c r="R566" s="91"/>
      <x:c r="S566" s="85"/>
      <x:c r="U566" s="86"/>
      <x:c r="V566" s="32"/>
    </x:row>
    <x:row r="567">
      <x:c r="A567" s="87"/>
      <x:c r="B567" s="88"/>
      <x:c r="D567" s="32"/>
      <x:c r="G567" s="74"/>
      <x:c r="H567" s="74"/>
      <x:c r="I567" s="74"/>
      <x:c r="J567" s="74"/>
      <x:c r="K567" s="74"/>
      <x:c r="L567" s="74"/>
      <x:c r="M567" s="74"/>
      <x:c r="N567" s="91"/>
      <x:c r="O567" s="91"/>
      <x:c r="P567" s="91"/>
      <x:c r="Q567" s="91"/>
      <x:c r="R567" s="91"/>
      <x:c r="S567" s="85"/>
      <x:c r="U567" s="86"/>
      <x:c r="V567" s="32"/>
    </x:row>
    <x:row r="568">
      <x:c r="A568" s="87"/>
      <x:c r="B568" s="88"/>
      <x:c r="D568" s="32"/>
      <x:c r="G568" s="74"/>
      <x:c r="H568" s="74"/>
      <x:c r="I568" s="74"/>
      <x:c r="J568" s="74"/>
      <x:c r="K568" s="74"/>
      <x:c r="L568" s="74"/>
      <x:c r="M568" s="74"/>
      <x:c r="N568" s="91"/>
      <x:c r="O568" s="91"/>
      <x:c r="P568" s="91"/>
      <x:c r="Q568" s="91"/>
      <x:c r="R568" s="91"/>
      <x:c r="S568" s="85"/>
      <x:c r="U568" s="86"/>
      <x:c r="V568" s="32"/>
    </x:row>
    <x:row r="569">
      <x:c r="A569" s="87"/>
      <x:c r="B569" s="88"/>
      <x:c r="D569" s="32"/>
      <x:c r="G569" s="74"/>
      <x:c r="H569" s="74"/>
      <x:c r="I569" s="74"/>
      <x:c r="J569" s="74"/>
      <x:c r="K569" s="74"/>
      <x:c r="L569" s="74"/>
      <x:c r="M569" s="74"/>
      <x:c r="N569" s="91"/>
      <x:c r="O569" s="91"/>
      <x:c r="P569" s="91"/>
      <x:c r="Q569" s="91"/>
      <x:c r="R569" s="91"/>
      <x:c r="S569" s="85"/>
      <x:c r="U569" s="86"/>
      <x:c r="V569" s="32"/>
    </x:row>
    <x:row r="570">
      <x:c r="A570" s="87"/>
      <x:c r="B570" s="88"/>
      <x:c r="D570" s="32"/>
      <x:c r="G570" s="74"/>
      <x:c r="H570" s="74"/>
      <x:c r="I570" s="74"/>
      <x:c r="J570" s="74"/>
      <x:c r="K570" s="74"/>
      <x:c r="L570" s="74"/>
      <x:c r="M570" s="74"/>
      <x:c r="N570" s="91"/>
      <x:c r="O570" s="91"/>
      <x:c r="P570" s="91"/>
      <x:c r="Q570" s="91"/>
      <x:c r="R570" s="91"/>
      <x:c r="S570" s="85"/>
      <x:c r="U570" s="86"/>
      <x:c r="V570" s="32"/>
    </x:row>
    <x:row r="571">
      <x:c r="A571" s="87"/>
      <x:c r="B571" s="88"/>
      <x:c r="D571" s="32"/>
      <x:c r="G571" s="74"/>
      <x:c r="H571" s="74"/>
      <x:c r="I571" s="74"/>
      <x:c r="J571" s="74"/>
      <x:c r="K571" s="74"/>
      <x:c r="L571" s="74"/>
      <x:c r="M571" s="74"/>
      <x:c r="N571" s="91"/>
      <x:c r="O571" s="91"/>
      <x:c r="P571" s="91"/>
      <x:c r="Q571" s="91"/>
      <x:c r="R571" s="91"/>
      <x:c r="S571" s="85"/>
      <x:c r="U571" s="86"/>
      <x:c r="V571" s="32"/>
    </x:row>
    <x:row r="572">
      <x:c r="A572" s="87"/>
      <x:c r="B572" s="88"/>
      <x:c r="D572" s="32"/>
      <x:c r="G572" s="74"/>
      <x:c r="H572" s="74"/>
      <x:c r="I572" s="74"/>
      <x:c r="J572" s="74"/>
      <x:c r="K572" s="74"/>
      <x:c r="L572" s="74"/>
      <x:c r="M572" s="74"/>
      <x:c r="N572" s="91"/>
      <x:c r="O572" s="91"/>
      <x:c r="P572" s="91"/>
      <x:c r="Q572" s="91"/>
      <x:c r="R572" s="91"/>
      <x:c r="S572" s="85"/>
      <x:c r="U572" s="86"/>
      <x:c r="V572" s="32"/>
    </x:row>
    <x:row r="573">
      <x:c r="A573" s="87"/>
      <x:c r="B573" s="88"/>
      <x:c r="D573" s="32"/>
      <x:c r="G573" s="74"/>
      <x:c r="H573" s="74"/>
      <x:c r="I573" s="74"/>
      <x:c r="J573" s="74"/>
      <x:c r="K573" s="74"/>
      <x:c r="L573" s="74"/>
      <x:c r="M573" s="74"/>
      <x:c r="N573" s="91"/>
      <x:c r="O573" s="91"/>
      <x:c r="P573" s="91"/>
      <x:c r="Q573" s="91"/>
      <x:c r="R573" s="91"/>
      <x:c r="S573" s="85"/>
      <x:c r="U573" s="86"/>
      <x:c r="V573" s="32"/>
    </x:row>
    <x:row r="574">
      <x:c r="A574" s="87"/>
      <x:c r="B574" s="88"/>
      <x:c r="D574" s="32"/>
      <x:c r="G574" s="74"/>
      <x:c r="H574" s="74"/>
      <x:c r="I574" s="74"/>
      <x:c r="J574" s="74"/>
      <x:c r="K574" s="74"/>
      <x:c r="L574" s="74"/>
      <x:c r="M574" s="74"/>
      <x:c r="N574" s="91"/>
      <x:c r="O574" s="91"/>
      <x:c r="P574" s="91"/>
      <x:c r="Q574" s="91"/>
      <x:c r="R574" s="91"/>
      <x:c r="S574" s="85"/>
      <x:c r="U574" s="86"/>
      <x:c r="V574" s="32"/>
    </x:row>
    <x:row r="575">
      <x:c r="A575" s="87"/>
      <x:c r="B575" s="88"/>
      <x:c r="D575" s="32"/>
      <x:c r="G575" s="74"/>
      <x:c r="H575" s="74"/>
      <x:c r="I575" s="74"/>
      <x:c r="J575" s="74"/>
      <x:c r="K575" s="74"/>
      <x:c r="L575" s="74"/>
      <x:c r="M575" s="74"/>
      <x:c r="N575" s="91"/>
      <x:c r="O575" s="91"/>
      <x:c r="P575" s="91"/>
      <x:c r="Q575" s="91"/>
      <x:c r="R575" s="91"/>
      <x:c r="S575" s="85"/>
      <x:c r="U575" s="86"/>
      <x:c r="V575" s="32"/>
    </x:row>
    <x:row r="576">
      <x:c r="A576" s="87"/>
      <x:c r="B576" s="88"/>
      <x:c r="D576" s="32"/>
      <x:c r="G576" s="74"/>
      <x:c r="H576" s="74"/>
      <x:c r="I576" s="74"/>
      <x:c r="J576" s="74"/>
      <x:c r="K576" s="74"/>
      <x:c r="L576" s="74"/>
      <x:c r="M576" s="74"/>
      <x:c r="N576" s="91"/>
      <x:c r="O576" s="91"/>
      <x:c r="P576" s="91"/>
      <x:c r="Q576" s="91"/>
      <x:c r="R576" s="91"/>
      <x:c r="S576" s="85"/>
      <x:c r="U576" s="86"/>
      <x:c r="V576" s="32"/>
    </x:row>
    <x:row r="577">
      <x:c r="A577" s="87"/>
      <x:c r="B577" s="88"/>
      <x:c r="D577" s="32"/>
      <x:c r="G577" s="74"/>
      <x:c r="H577" s="74"/>
      <x:c r="I577" s="74"/>
      <x:c r="J577" s="74"/>
      <x:c r="K577" s="74"/>
      <x:c r="L577" s="74"/>
      <x:c r="M577" s="74"/>
      <x:c r="N577" s="91"/>
      <x:c r="O577" s="91"/>
      <x:c r="P577" s="91"/>
      <x:c r="Q577" s="91"/>
      <x:c r="R577" s="91"/>
      <x:c r="S577" s="85"/>
      <x:c r="U577" s="86"/>
      <x:c r="V577" s="32"/>
    </x:row>
    <x:row r="578">
      <x:c r="A578" s="87"/>
      <x:c r="B578" s="88"/>
      <x:c r="D578" s="32"/>
      <x:c r="G578" s="74"/>
      <x:c r="H578" s="74"/>
      <x:c r="I578" s="74"/>
      <x:c r="J578" s="74"/>
      <x:c r="K578" s="74"/>
      <x:c r="L578" s="74"/>
      <x:c r="M578" s="74"/>
      <x:c r="N578" s="91"/>
      <x:c r="O578" s="91"/>
      <x:c r="P578" s="91"/>
      <x:c r="Q578" s="91"/>
      <x:c r="R578" s="91"/>
      <x:c r="S578" s="85"/>
      <x:c r="U578" s="86"/>
      <x:c r="V578" s="32"/>
    </x:row>
    <x:row r="579">
      <x:c r="A579" s="87"/>
      <x:c r="B579" s="88"/>
      <x:c r="D579" s="32"/>
      <x:c r="G579" s="74"/>
      <x:c r="H579" s="74"/>
      <x:c r="I579" s="74"/>
      <x:c r="J579" s="74"/>
      <x:c r="K579" s="74"/>
      <x:c r="L579" s="74"/>
      <x:c r="M579" s="74"/>
      <x:c r="N579" s="91"/>
      <x:c r="O579" s="91"/>
      <x:c r="P579" s="91"/>
      <x:c r="Q579" s="91"/>
      <x:c r="R579" s="91"/>
      <x:c r="S579" s="85"/>
      <x:c r="U579" s="86"/>
      <x:c r="V579" s="32"/>
    </x:row>
    <x:row r="580">
      <x:c r="A580" s="87"/>
      <x:c r="B580" s="88"/>
      <x:c r="D580" s="32"/>
      <x:c r="G580" s="74"/>
      <x:c r="H580" s="74"/>
      <x:c r="I580" s="74"/>
      <x:c r="J580" s="74"/>
      <x:c r="K580" s="74"/>
      <x:c r="L580" s="74"/>
      <x:c r="M580" s="74"/>
      <x:c r="N580" s="91"/>
      <x:c r="O580" s="91"/>
      <x:c r="P580" s="91"/>
      <x:c r="Q580" s="91"/>
      <x:c r="R580" s="91"/>
      <x:c r="S580" s="85"/>
      <x:c r="U580" s="86"/>
      <x:c r="V580" s="32"/>
    </x:row>
    <x:row r="581">
      <x:c r="A581" s="87"/>
      <x:c r="B581" s="88"/>
      <x:c r="D581" s="32"/>
      <x:c r="G581" s="74"/>
      <x:c r="H581" s="74"/>
      <x:c r="I581" s="74"/>
      <x:c r="J581" s="74"/>
      <x:c r="K581" s="74"/>
      <x:c r="L581" s="74"/>
      <x:c r="M581" s="74"/>
      <x:c r="N581" s="91"/>
      <x:c r="O581" s="91"/>
      <x:c r="P581" s="91"/>
      <x:c r="Q581" s="91"/>
      <x:c r="R581" s="91"/>
      <x:c r="S581" s="85"/>
      <x:c r="U581" s="86"/>
      <x:c r="V581" s="32"/>
    </x:row>
    <x:row r="582">
      <x:c r="A582" s="87"/>
      <x:c r="B582" s="88"/>
      <x:c r="D582" s="32"/>
      <x:c r="G582" s="74"/>
      <x:c r="H582" s="74"/>
      <x:c r="I582" s="74"/>
      <x:c r="J582" s="74"/>
      <x:c r="K582" s="74"/>
      <x:c r="L582" s="74"/>
      <x:c r="M582" s="74"/>
      <x:c r="N582" s="91"/>
      <x:c r="O582" s="91"/>
      <x:c r="P582" s="91"/>
      <x:c r="Q582" s="91"/>
      <x:c r="R582" s="91"/>
      <x:c r="S582" s="85"/>
      <x:c r="U582" s="86"/>
      <x:c r="V582" s="32"/>
    </x:row>
    <x:row r="583">
      <x:c r="A583" s="87"/>
      <x:c r="B583" s="88"/>
      <x:c r="D583" s="32"/>
      <x:c r="G583" s="74"/>
      <x:c r="H583" s="74"/>
      <x:c r="I583" s="74"/>
      <x:c r="J583" s="74"/>
      <x:c r="K583" s="74"/>
      <x:c r="L583" s="74"/>
      <x:c r="M583" s="74"/>
      <x:c r="N583" s="91"/>
      <x:c r="O583" s="91"/>
      <x:c r="P583" s="91"/>
      <x:c r="Q583" s="91"/>
      <x:c r="R583" s="91"/>
      <x:c r="S583" s="85"/>
      <x:c r="U583" s="86"/>
      <x:c r="V583" s="32"/>
    </x:row>
    <x:row r="584">
      <x:c r="A584" s="87"/>
      <x:c r="B584" s="88"/>
      <x:c r="D584" s="32"/>
      <x:c r="G584" s="74"/>
      <x:c r="H584" s="74"/>
      <x:c r="I584" s="74"/>
      <x:c r="J584" s="74"/>
      <x:c r="K584" s="74"/>
      <x:c r="L584" s="74"/>
      <x:c r="M584" s="74"/>
      <x:c r="N584" s="91"/>
      <x:c r="O584" s="91"/>
      <x:c r="P584" s="91"/>
      <x:c r="Q584" s="91"/>
      <x:c r="R584" s="91"/>
      <x:c r="S584" s="85"/>
      <x:c r="U584" s="86"/>
      <x:c r="V584" s="32"/>
    </x:row>
    <x:row r="585">
      <x:c r="A585" s="87"/>
      <x:c r="B585" s="88"/>
      <x:c r="D585" s="32"/>
      <x:c r="G585" s="74"/>
      <x:c r="H585" s="74"/>
      <x:c r="I585" s="74"/>
      <x:c r="J585" s="74"/>
      <x:c r="K585" s="74"/>
      <x:c r="L585" s="74"/>
      <x:c r="M585" s="74"/>
      <x:c r="N585" s="91"/>
      <x:c r="O585" s="91"/>
      <x:c r="P585" s="91"/>
      <x:c r="Q585" s="91"/>
      <x:c r="R585" s="91"/>
      <x:c r="S585" s="85"/>
      <x:c r="U585" s="86"/>
      <x:c r="V585" s="32"/>
    </x:row>
    <x:row r="586">
      <x:c r="A586" s="87"/>
      <x:c r="B586" s="88"/>
      <x:c r="D586" s="32"/>
      <x:c r="G586" s="74"/>
      <x:c r="H586" s="74"/>
      <x:c r="I586" s="74"/>
      <x:c r="J586" s="74"/>
      <x:c r="K586" s="74"/>
      <x:c r="L586" s="74"/>
      <x:c r="M586" s="74"/>
      <x:c r="N586" s="91"/>
      <x:c r="O586" s="91"/>
      <x:c r="P586" s="91"/>
      <x:c r="Q586" s="91"/>
      <x:c r="R586" s="91"/>
      <x:c r="S586" s="85"/>
      <x:c r="U586" s="86"/>
      <x:c r="V586" s="32"/>
    </x:row>
    <x:row r="587">
      <x:c r="A587" s="87"/>
      <x:c r="B587" s="88"/>
      <x:c r="D587" s="32"/>
      <x:c r="G587" s="74"/>
      <x:c r="H587" s="74"/>
      <x:c r="I587" s="74"/>
      <x:c r="J587" s="74"/>
      <x:c r="K587" s="74"/>
      <x:c r="L587" s="74"/>
      <x:c r="M587" s="74"/>
      <x:c r="N587" s="91"/>
      <x:c r="O587" s="91"/>
      <x:c r="P587" s="91"/>
      <x:c r="Q587" s="91"/>
      <x:c r="R587" s="91"/>
      <x:c r="S587" s="85"/>
      <x:c r="U587" s="86"/>
      <x:c r="V587" s="32"/>
    </x:row>
    <x:row r="588">
      <x:c r="A588" s="87"/>
      <x:c r="B588" s="88"/>
      <x:c r="D588" s="32"/>
      <x:c r="G588" s="74"/>
      <x:c r="H588" s="74"/>
      <x:c r="I588" s="74"/>
      <x:c r="J588" s="74"/>
      <x:c r="K588" s="74"/>
      <x:c r="L588" s="74"/>
      <x:c r="M588" s="74"/>
      <x:c r="N588" s="91"/>
      <x:c r="O588" s="91"/>
      <x:c r="P588" s="91"/>
      <x:c r="Q588" s="91"/>
      <x:c r="R588" s="91"/>
      <x:c r="S588" s="85"/>
      <x:c r="U588" s="86"/>
      <x:c r="V588" s="32"/>
    </x:row>
    <x:row r="589">
      <x:c r="A589" s="87"/>
      <x:c r="B589" s="88"/>
      <x:c r="D589" s="32"/>
      <x:c r="G589" s="74"/>
      <x:c r="H589" s="74"/>
      <x:c r="I589" s="74"/>
      <x:c r="J589" s="74"/>
      <x:c r="K589" s="74"/>
      <x:c r="L589" s="74"/>
      <x:c r="M589" s="74"/>
      <x:c r="N589" s="91"/>
      <x:c r="O589" s="91"/>
      <x:c r="P589" s="91"/>
      <x:c r="Q589" s="91"/>
      <x:c r="R589" s="91"/>
      <x:c r="S589" s="85"/>
      <x:c r="U589" s="86"/>
      <x:c r="V589" s="32"/>
    </x:row>
    <x:row r="590">
      <x:c r="A590" s="87"/>
      <x:c r="B590" s="88"/>
      <x:c r="D590" s="32"/>
      <x:c r="G590" s="74"/>
      <x:c r="H590" s="74"/>
      <x:c r="I590" s="74"/>
      <x:c r="J590" s="74"/>
      <x:c r="K590" s="74"/>
      <x:c r="L590" s="74"/>
      <x:c r="M590" s="74"/>
      <x:c r="N590" s="91"/>
      <x:c r="O590" s="91"/>
      <x:c r="P590" s="91"/>
      <x:c r="Q590" s="91"/>
      <x:c r="R590" s="91"/>
      <x:c r="S590" s="85"/>
      <x:c r="U590" s="86"/>
      <x:c r="V590" s="32"/>
    </x:row>
    <x:row r="591">
      <x:c r="A591" s="87"/>
      <x:c r="B591" s="88"/>
      <x:c r="D591" s="32"/>
      <x:c r="G591" s="74"/>
      <x:c r="H591" s="74"/>
      <x:c r="I591" s="74"/>
      <x:c r="J591" s="74"/>
      <x:c r="K591" s="74"/>
      <x:c r="L591" s="74"/>
      <x:c r="M591" s="74"/>
      <x:c r="N591" s="91"/>
      <x:c r="O591" s="91"/>
      <x:c r="P591" s="91"/>
      <x:c r="Q591" s="91"/>
      <x:c r="R591" s="91"/>
      <x:c r="S591" s="85"/>
      <x:c r="U591" s="86"/>
      <x:c r="V591" s="32"/>
    </x:row>
    <x:row r="592">
      <x:c r="A592" s="87"/>
      <x:c r="B592" s="88"/>
      <x:c r="D592" s="32"/>
      <x:c r="G592" s="74"/>
      <x:c r="H592" s="74"/>
      <x:c r="I592" s="74"/>
      <x:c r="J592" s="74"/>
      <x:c r="K592" s="74"/>
      <x:c r="L592" s="74"/>
      <x:c r="M592" s="74"/>
      <x:c r="N592" s="91"/>
      <x:c r="O592" s="91"/>
      <x:c r="P592" s="91"/>
      <x:c r="Q592" s="91"/>
      <x:c r="R592" s="91"/>
      <x:c r="S592" s="85"/>
      <x:c r="U592" s="86"/>
      <x:c r="V592" s="32"/>
    </x:row>
    <x:row r="593">
      <x:c r="A593" s="87"/>
      <x:c r="B593" s="88"/>
      <x:c r="D593" s="32"/>
      <x:c r="G593" s="74"/>
      <x:c r="H593" s="74"/>
      <x:c r="I593" s="74"/>
      <x:c r="J593" s="74"/>
      <x:c r="K593" s="74"/>
      <x:c r="L593" s="74"/>
      <x:c r="M593" s="74"/>
      <x:c r="N593" s="91"/>
      <x:c r="O593" s="91"/>
      <x:c r="P593" s="91"/>
      <x:c r="Q593" s="91"/>
      <x:c r="R593" s="91"/>
      <x:c r="S593" s="85"/>
      <x:c r="U593" s="86"/>
      <x:c r="V593" s="32"/>
    </x:row>
    <x:row r="594">
      <x:c r="A594" s="87"/>
      <x:c r="B594" s="88"/>
      <x:c r="D594" s="32"/>
      <x:c r="G594" s="74"/>
      <x:c r="H594" s="74"/>
      <x:c r="I594" s="74"/>
      <x:c r="J594" s="74"/>
      <x:c r="K594" s="74"/>
      <x:c r="L594" s="74"/>
      <x:c r="M594" s="74"/>
      <x:c r="N594" s="91"/>
      <x:c r="O594" s="91"/>
      <x:c r="P594" s="91"/>
      <x:c r="Q594" s="91"/>
      <x:c r="R594" s="91"/>
      <x:c r="S594" s="85"/>
      <x:c r="U594" s="86"/>
      <x:c r="V594" s="32"/>
    </x:row>
    <x:row r="595">
      <x:c r="A595" s="87"/>
      <x:c r="B595" s="88"/>
      <x:c r="D595" s="32"/>
      <x:c r="G595" s="74"/>
      <x:c r="H595" s="74"/>
      <x:c r="I595" s="74"/>
      <x:c r="J595" s="74"/>
      <x:c r="K595" s="74"/>
      <x:c r="L595" s="74"/>
      <x:c r="M595" s="74"/>
      <x:c r="N595" s="91"/>
      <x:c r="O595" s="91"/>
      <x:c r="P595" s="91"/>
      <x:c r="Q595" s="91"/>
      <x:c r="R595" s="91"/>
      <x:c r="S595" s="85"/>
      <x:c r="U595" s="86"/>
      <x:c r="V595" s="32"/>
    </x:row>
    <x:row r="596">
      <x:c r="A596" s="87"/>
      <x:c r="B596" s="88"/>
      <x:c r="D596" s="32"/>
      <x:c r="G596" s="74"/>
      <x:c r="H596" s="74"/>
      <x:c r="I596" s="74"/>
      <x:c r="J596" s="74"/>
      <x:c r="K596" s="74"/>
      <x:c r="L596" s="74"/>
      <x:c r="M596" s="74"/>
      <x:c r="N596" s="91"/>
      <x:c r="O596" s="91"/>
      <x:c r="P596" s="91"/>
      <x:c r="Q596" s="91"/>
      <x:c r="R596" s="91"/>
      <x:c r="S596" s="85"/>
      <x:c r="U596" s="86"/>
      <x:c r="V596" s="32"/>
    </x:row>
    <x:row r="597">
      <x:c r="A597" s="87"/>
      <x:c r="B597" s="88"/>
      <x:c r="D597" s="32"/>
      <x:c r="G597" s="74"/>
      <x:c r="H597" s="74"/>
      <x:c r="I597" s="74"/>
      <x:c r="J597" s="74"/>
      <x:c r="K597" s="74"/>
      <x:c r="L597" s="74"/>
      <x:c r="M597" s="74"/>
      <x:c r="N597" s="91"/>
      <x:c r="O597" s="91"/>
      <x:c r="P597" s="91"/>
      <x:c r="Q597" s="91"/>
      <x:c r="R597" s="91"/>
      <x:c r="S597" s="85"/>
      <x:c r="U597" s="86"/>
      <x:c r="V597" s="32"/>
    </x:row>
    <x:row r="598">
      <x:c r="A598" s="87"/>
      <x:c r="B598" s="88"/>
      <x:c r="D598" s="32"/>
      <x:c r="G598" s="74"/>
      <x:c r="H598" s="74"/>
      <x:c r="I598" s="74"/>
      <x:c r="J598" s="74"/>
      <x:c r="K598" s="74"/>
      <x:c r="L598" s="74"/>
      <x:c r="M598" s="74"/>
      <x:c r="N598" s="91"/>
      <x:c r="O598" s="91"/>
      <x:c r="P598" s="91"/>
      <x:c r="Q598" s="91"/>
      <x:c r="R598" s="91"/>
      <x:c r="S598" s="85"/>
      <x:c r="U598" s="86"/>
      <x:c r="V598" s="32"/>
    </x:row>
    <x:row r="599">
      <x:c r="A599" s="87"/>
      <x:c r="B599" s="88"/>
      <x:c r="D599" s="32"/>
      <x:c r="G599" s="74"/>
      <x:c r="H599" s="74"/>
      <x:c r="I599" s="74"/>
      <x:c r="J599" s="74"/>
      <x:c r="K599" s="74"/>
      <x:c r="L599" s="74"/>
      <x:c r="M599" s="74"/>
      <x:c r="N599" s="91"/>
      <x:c r="O599" s="91"/>
      <x:c r="P599" s="91"/>
      <x:c r="Q599" s="91"/>
      <x:c r="R599" s="91"/>
      <x:c r="S599" s="85"/>
      <x:c r="U599" s="86"/>
      <x:c r="V599" s="32"/>
    </x:row>
    <x:row r="600">
      <x:c r="A600" s="87"/>
      <x:c r="B600" s="88"/>
      <x:c r="D600" s="32"/>
      <x:c r="G600" s="74"/>
      <x:c r="H600" s="74"/>
      <x:c r="I600" s="74"/>
      <x:c r="J600" s="74"/>
      <x:c r="K600" s="74"/>
      <x:c r="L600" s="74"/>
      <x:c r="M600" s="74"/>
      <x:c r="N600" s="91"/>
      <x:c r="O600" s="91"/>
      <x:c r="P600" s="91"/>
      <x:c r="Q600" s="91"/>
      <x:c r="R600" s="91"/>
      <x:c r="S600" s="85"/>
      <x:c r="U600" s="86"/>
      <x:c r="V600" s="32"/>
    </x:row>
    <x:row r="601">
      <x:c r="A601" s="87"/>
      <x:c r="B601" s="88"/>
      <x:c r="D601" s="32"/>
      <x:c r="G601" s="74"/>
      <x:c r="H601" s="74"/>
      <x:c r="I601" s="74"/>
      <x:c r="J601" s="74"/>
      <x:c r="K601" s="74"/>
      <x:c r="L601" s="74"/>
      <x:c r="M601" s="74"/>
      <x:c r="N601" s="91"/>
      <x:c r="O601" s="91"/>
      <x:c r="P601" s="91"/>
      <x:c r="Q601" s="91"/>
      <x:c r="R601" s="91"/>
      <x:c r="S601" s="85"/>
      <x:c r="U601" s="86"/>
      <x:c r="V601" s="32"/>
    </x:row>
    <x:row r="602">
      <x:c r="A602" s="87"/>
      <x:c r="B602" s="88"/>
      <x:c r="D602" s="32"/>
      <x:c r="G602" s="74"/>
      <x:c r="H602" s="74"/>
      <x:c r="I602" s="74"/>
      <x:c r="J602" s="74"/>
      <x:c r="K602" s="74"/>
      <x:c r="L602" s="74"/>
      <x:c r="M602" s="74"/>
      <x:c r="N602" s="91"/>
      <x:c r="O602" s="91"/>
      <x:c r="P602" s="91"/>
      <x:c r="Q602" s="91"/>
      <x:c r="R602" s="91"/>
      <x:c r="S602" s="85"/>
      <x:c r="U602" s="86"/>
      <x:c r="V602" s="32"/>
    </x:row>
    <x:row r="603">
      <x:c r="A603" s="87"/>
      <x:c r="B603" s="88"/>
      <x:c r="D603" s="32"/>
      <x:c r="G603" s="74"/>
      <x:c r="H603" s="74"/>
      <x:c r="I603" s="74"/>
      <x:c r="J603" s="74"/>
      <x:c r="K603" s="74"/>
      <x:c r="L603" s="74"/>
      <x:c r="M603" s="74"/>
      <x:c r="N603" s="91"/>
      <x:c r="O603" s="91"/>
      <x:c r="P603" s="91"/>
      <x:c r="Q603" s="91"/>
      <x:c r="R603" s="91"/>
      <x:c r="S603" s="85"/>
      <x:c r="U603" s="86"/>
      <x:c r="V603" s="32"/>
    </x:row>
    <x:row r="604">
      <x:c r="A604" s="87"/>
      <x:c r="B604" s="88"/>
      <x:c r="D604" s="32"/>
      <x:c r="G604" s="74"/>
      <x:c r="H604" s="74"/>
      <x:c r="I604" s="74"/>
      <x:c r="J604" s="74"/>
      <x:c r="K604" s="74"/>
      <x:c r="L604" s="74"/>
      <x:c r="M604" s="74"/>
      <x:c r="N604" s="91"/>
      <x:c r="O604" s="91"/>
      <x:c r="P604" s="91"/>
      <x:c r="Q604" s="91"/>
      <x:c r="R604" s="91"/>
      <x:c r="S604" s="85"/>
      <x:c r="U604" s="86"/>
      <x:c r="V604" s="32"/>
    </x:row>
    <x:row r="605">
      <x:c r="A605" s="87"/>
      <x:c r="B605" s="88"/>
      <x:c r="D605" s="32"/>
      <x:c r="G605" s="74"/>
      <x:c r="H605" s="74"/>
      <x:c r="I605" s="74"/>
      <x:c r="J605" s="74"/>
      <x:c r="K605" s="74"/>
      <x:c r="L605" s="74"/>
      <x:c r="M605" s="74"/>
      <x:c r="N605" s="91"/>
      <x:c r="O605" s="91"/>
      <x:c r="P605" s="91"/>
      <x:c r="Q605" s="91"/>
      <x:c r="R605" s="91"/>
      <x:c r="S605" s="85"/>
      <x:c r="U605" s="86"/>
      <x:c r="V605" s="32"/>
    </x:row>
    <x:row r="606">
      <x:c r="A606" s="87"/>
      <x:c r="B606" s="88"/>
      <x:c r="D606" s="32"/>
      <x:c r="G606" s="74"/>
      <x:c r="H606" s="74"/>
      <x:c r="I606" s="74"/>
      <x:c r="J606" s="74"/>
      <x:c r="K606" s="74"/>
      <x:c r="L606" s="74"/>
      <x:c r="M606" s="74"/>
      <x:c r="N606" s="91"/>
      <x:c r="O606" s="91"/>
      <x:c r="P606" s="91"/>
      <x:c r="Q606" s="91"/>
      <x:c r="R606" s="91"/>
      <x:c r="S606" s="85"/>
      <x:c r="U606" s="86"/>
      <x:c r="V606" s="32"/>
    </x:row>
    <x:row r="607">
      <x:c r="A607" s="87"/>
      <x:c r="B607" s="88"/>
      <x:c r="D607" s="32"/>
      <x:c r="G607" s="74"/>
      <x:c r="H607" s="74"/>
      <x:c r="I607" s="74"/>
      <x:c r="J607" s="74"/>
      <x:c r="K607" s="74"/>
      <x:c r="L607" s="74"/>
      <x:c r="M607" s="74"/>
      <x:c r="N607" s="91"/>
      <x:c r="O607" s="91"/>
      <x:c r="P607" s="91"/>
      <x:c r="Q607" s="91"/>
      <x:c r="R607" s="91"/>
      <x:c r="S607" s="85"/>
      <x:c r="U607" s="86"/>
      <x:c r="V607" s="32"/>
    </x:row>
    <x:row r="608">
      <x:c r="A608" s="87"/>
      <x:c r="B608" s="88"/>
      <x:c r="D608" s="32"/>
      <x:c r="G608" s="74"/>
      <x:c r="H608" s="74"/>
      <x:c r="I608" s="74"/>
      <x:c r="J608" s="74"/>
      <x:c r="K608" s="74"/>
      <x:c r="L608" s="74"/>
      <x:c r="M608" s="74"/>
      <x:c r="N608" s="91"/>
      <x:c r="O608" s="91"/>
      <x:c r="P608" s="91"/>
      <x:c r="Q608" s="91"/>
      <x:c r="R608" s="91"/>
      <x:c r="S608" s="85"/>
      <x:c r="U608" s="86"/>
      <x:c r="V608" s="32"/>
    </x:row>
    <x:row r="609">
      <x:c r="A609" s="87"/>
      <x:c r="B609" s="88"/>
      <x:c r="D609" s="32"/>
      <x:c r="G609" s="74"/>
      <x:c r="H609" s="74"/>
      <x:c r="I609" s="74"/>
      <x:c r="J609" s="74"/>
      <x:c r="K609" s="74"/>
      <x:c r="L609" s="74"/>
      <x:c r="M609" s="74"/>
      <x:c r="N609" s="91"/>
      <x:c r="O609" s="91"/>
      <x:c r="P609" s="91"/>
      <x:c r="Q609" s="91"/>
      <x:c r="R609" s="91"/>
      <x:c r="S609" s="85"/>
      <x:c r="U609" s="86"/>
      <x:c r="V609" s="32"/>
    </x:row>
    <x:row r="610">
      <x:c r="A610" s="87"/>
      <x:c r="B610" s="88"/>
      <x:c r="D610" s="32"/>
      <x:c r="G610" s="74"/>
      <x:c r="H610" s="74"/>
      <x:c r="I610" s="74"/>
      <x:c r="J610" s="74"/>
      <x:c r="K610" s="74"/>
      <x:c r="L610" s="74"/>
      <x:c r="M610" s="74"/>
      <x:c r="N610" s="91"/>
      <x:c r="O610" s="91"/>
      <x:c r="P610" s="91"/>
      <x:c r="Q610" s="91"/>
      <x:c r="R610" s="91"/>
      <x:c r="S610" s="85"/>
      <x:c r="U610" s="86"/>
      <x:c r="V610" s="32"/>
    </x:row>
    <x:row r="611">
      <x:c r="A611" s="87"/>
      <x:c r="B611" s="88"/>
      <x:c r="D611" s="32"/>
      <x:c r="G611" s="74"/>
      <x:c r="H611" s="74"/>
      <x:c r="I611" s="74"/>
      <x:c r="J611" s="74"/>
      <x:c r="K611" s="74"/>
      <x:c r="L611" s="74"/>
      <x:c r="M611" s="74"/>
      <x:c r="N611" s="91"/>
      <x:c r="O611" s="91"/>
      <x:c r="P611" s="91"/>
      <x:c r="Q611" s="91"/>
      <x:c r="R611" s="91"/>
      <x:c r="S611" s="85"/>
      <x:c r="U611" s="86"/>
      <x:c r="V611" s="32"/>
    </x:row>
    <x:row r="612">
      <x:c r="A612" s="87"/>
      <x:c r="B612" s="88"/>
      <x:c r="D612" s="32"/>
      <x:c r="G612" s="74"/>
      <x:c r="H612" s="74"/>
      <x:c r="I612" s="74"/>
      <x:c r="J612" s="74"/>
      <x:c r="K612" s="74"/>
      <x:c r="L612" s="74"/>
      <x:c r="M612" s="74"/>
      <x:c r="N612" s="91"/>
      <x:c r="O612" s="91"/>
      <x:c r="P612" s="91"/>
      <x:c r="Q612" s="91"/>
      <x:c r="R612" s="91"/>
      <x:c r="S612" s="85"/>
      <x:c r="U612" s="86"/>
      <x:c r="V612" s="32"/>
    </x:row>
    <x:row r="613">
      <x:c r="A613" s="87"/>
      <x:c r="B613" s="88"/>
      <x:c r="D613" s="32"/>
      <x:c r="G613" s="74"/>
      <x:c r="H613" s="74"/>
      <x:c r="I613" s="74"/>
      <x:c r="J613" s="74"/>
      <x:c r="K613" s="74"/>
      <x:c r="L613" s="74"/>
      <x:c r="M613" s="74"/>
      <x:c r="N613" s="91"/>
      <x:c r="O613" s="91"/>
      <x:c r="P613" s="91"/>
      <x:c r="Q613" s="91"/>
      <x:c r="R613" s="91"/>
      <x:c r="S613" s="85"/>
      <x:c r="U613" s="86"/>
      <x:c r="V613" s="32"/>
    </x:row>
    <x:row r="614">
      <x:c r="A614" s="87"/>
      <x:c r="B614" s="88"/>
      <x:c r="D614" s="32"/>
      <x:c r="G614" s="74"/>
      <x:c r="H614" s="74"/>
      <x:c r="I614" s="74"/>
      <x:c r="J614" s="74"/>
      <x:c r="K614" s="74"/>
      <x:c r="L614" s="74"/>
      <x:c r="M614" s="74"/>
      <x:c r="N614" s="91"/>
      <x:c r="O614" s="91"/>
      <x:c r="P614" s="91"/>
      <x:c r="Q614" s="91"/>
      <x:c r="R614" s="91"/>
      <x:c r="S614" s="85"/>
      <x:c r="U614" s="86"/>
      <x:c r="V614" s="32"/>
    </x:row>
    <x:row r="615">
      <x:c r="A615" s="87"/>
      <x:c r="B615" s="88"/>
      <x:c r="D615" s="32"/>
      <x:c r="G615" s="74"/>
      <x:c r="H615" s="74"/>
      <x:c r="I615" s="74"/>
      <x:c r="J615" s="74"/>
      <x:c r="K615" s="74"/>
      <x:c r="L615" s="74"/>
      <x:c r="M615" s="74"/>
      <x:c r="N615" s="91"/>
      <x:c r="O615" s="91"/>
      <x:c r="P615" s="91"/>
      <x:c r="Q615" s="91"/>
      <x:c r="R615" s="91"/>
      <x:c r="S615" s="85"/>
      <x:c r="U615" s="86"/>
      <x:c r="V615" s="32"/>
    </x:row>
    <x:row r="616">
      <x:c r="A616" s="87"/>
      <x:c r="B616" s="88"/>
      <x:c r="D616" s="32"/>
      <x:c r="G616" s="74"/>
      <x:c r="H616" s="74"/>
      <x:c r="I616" s="74"/>
      <x:c r="J616" s="74"/>
      <x:c r="K616" s="74"/>
      <x:c r="L616" s="74"/>
      <x:c r="M616" s="74"/>
      <x:c r="N616" s="91"/>
      <x:c r="O616" s="91"/>
      <x:c r="P616" s="91"/>
      <x:c r="Q616" s="91"/>
      <x:c r="R616" s="91"/>
      <x:c r="S616" s="85"/>
      <x:c r="U616" s="86"/>
      <x:c r="V616" s="32"/>
    </x:row>
    <x:row r="617">
      <x:c r="A617" s="87"/>
      <x:c r="B617" s="88"/>
      <x:c r="D617" s="32"/>
      <x:c r="G617" s="74"/>
      <x:c r="H617" s="74"/>
      <x:c r="I617" s="74"/>
      <x:c r="J617" s="74"/>
      <x:c r="K617" s="74"/>
      <x:c r="L617" s="74"/>
      <x:c r="M617" s="74"/>
      <x:c r="N617" s="91"/>
      <x:c r="O617" s="91"/>
      <x:c r="P617" s="91"/>
      <x:c r="Q617" s="91"/>
      <x:c r="R617" s="91"/>
      <x:c r="S617" s="85"/>
      <x:c r="U617" s="86"/>
      <x:c r="V617" s="32"/>
    </x:row>
    <x:row r="618">
      <x:c r="A618" s="87"/>
      <x:c r="B618" s="88"/>
      <x:c r="D618" s="32"/>
      <x:c r="G618" s="74"/>
      <x:c r="H618" s="74"/>
      <x:c r="I618" s="74"/>
      <x:c r="J618" s="74"/>
      <x:c r="K618" s="74"/>
      <x:c r="L618" s="74"/>
      <x:c r="M618" s="74"/>
      <x:c r="N618" s="91"/>
      <x:c r="O618" s="91"/>
      <x:c r="P618" s="91"/>
      <x:c r="Q618" s="91"/>
      <x:c r="R618" s="91"/>
      <x:c r="S618" s="85"/>
      <x:c r="U618" s="86"/>
      <x:c r="V618" s="32"/>
    </x:row>
    <x:row r="619">
      <x:c r="A619" s="87"/>
      <x:c r="B619" s="88"/>
      <x:c r="D619" s="32"/>
      <x:c r="G619" s="74"/>
      <x:c r="H619" s="74"/>
      <x:c r="I619" s="74"/>
      <x:c r="J619" s="74"/>
      <x:c r="K619" s="74"/>
      <x:c r="L619" s="74"/>
      <x:c r="M619" s="74"/>
      <x:c r="N619" s="91"/>
      <x:c r="O619" s="91"/>
      <x:c r="P619" s="91"/>
      <x:c r="Q619" s="91"/>
      <x:c r="R619" s="91"/>
      <x:c r="S619" s="85"/>
      <x:c r="U619" s="86"/>
      <x:c r="V619" s="32"/>
    </x:row>
    <x:row r="620">
      <x:c r="A620" s="87"/>
      <x:c r="B620" s="88"/>
      <x:c r="D620" s="32"/>
      <x:c r="G620" s="74"/>
      <x:c r="H620" s="74"/>
      <x:c r="I620" s="74"/>
      <x:c r="J620" s="74"/>
      <x:c r="K620" s="74"/>
      <x:c r="L620" s="74"/>
      <x:c r="M620" s="74"/>
      <x:c r="N620" s="91"/>
      <x:c r="O620" s="91"/>
      <x:c r="P620" s="91"/>
      <x:c r="Q620" s="91"/>
      <x:c r="R620" s="91"/>
      <x:c r="S620" s="85"/>
      <x:c r="U620" s="86"/>
      <x:c r="V620" s="32"/>
    </x:row>
    <x:row r="621">
      <x:c r="A621" s="87"/>
      <x:c r="B621" s="88"/>
      <x:c r="D621" s="32"/>
      <x:c r="G621" s="74"/>
      <x:c r="H621" s="74"/>
      <x:c r="I621" s="74"/>
      <x:c r="J621" s="74"/>
      <x:c r="K621" s="74"/>
      <x:c r="L621" s="74"/>
      <x:c r="M621" s="74"/>
      <x:c r="N621" s="91"/>
      <x:c r="O621" s="91"/>
      <x:c r="P621" s="91"/>
      <x:c r="Q621" s="91"/>
      <x:c r="R621" s="91"/>
      <x:c r="S621" s="85"/>
      <x:c r="U621" s="86"/>
      <x:c r="V621" s="32"/>
    </x:row>
    <x:row r="622">
      <x:c r="A622" s="87"/>
      <x:c r="B622" s="88"/>
      <x:c r="D622" s="32"/>
      <x:c r="G622" s="74"/>
      <x:c r="H622" s="74"/>
      <x:c r="I622" s="74"/>
      <x:c r="J622" s="74"/>
      <x:c r="K622" s="74"/>
      <x:c r="L622" s="74"/>
      <x:c r="M622" s="74"/>
      <x:c r="N622" s="91"/>
      <x:c r="O622" s="91"/>
      <x:c r="P622" s="91"/>
      <x:c r="Q622" s="91"/>
      <x:c r="R622" s="91"/>
      <x:c r="S622" s="85"/>
      <x:c r="U622" s="86"/>
      <x:c r="V622" s="32"/>
    </x:row>
    <x:row r="623">
      <x:c r="A623" s="87"/>
      <x:c r="B623" s="88"/>
      <x:c r="D623" s="32"/>
      <x:c r="G623" s="74"/>
      <x:c r="H623" s="74"/>
      <x:c r="I623" s="74"/>
      <x:c r="J623" s="74"/>
      <x:c r="K623" s="74"/>
      <x:c r="L623" s="74"/>
      <x:c r="M623" s="74"/>
      <x:c r="N623" s="91"/>
      <x:c r="O623" s="91"/>
      <x:c r="P623" s="91"/>
      <x:c r="Q623" s="91"/>
      <x:c r="R623" s="91"/>
      <x:c r="S623" s="85"/>
      <x:c r="U623" s="86"/>
      <x:c r="V623" s="32"/>
    </x:row>
    <x:row r="624">
      <x:c r="A624" s="87"/>
      <x:c r="B624" s="88"/>
      <x:c r="D624" s="32"/>
      <x:c r="G624" s="74"/>
      <x:c r="H624" s="74"/>
      <x:c r="I624" s="74"/>
      <x:c r="J624" s="74"/>
      <x:c r="K624" s="74"/>
      <x:c r="L624" s="74"/>
      <x:c r="M624" s="74"/>
      <x:c r="N624" s="91"/>
      <x:c r="O624" s="91"/>
      <x:c r="P624" s="91"/>
      <x:c r="Q624" s="91"/>
      <x:c r="R624" s="91"/>
      <x:c r="S624" s="85"/>
      <x:c r="U624" s="86"/>
      <x:c r="V624" s="32"/>
    </x:row>
    <x:row r="625">
      <x:c r="A625" s="87"/>
      <x:c r="B625" s="88"/>
      <x:c r="D625" s="32"/>
      <x:c r="G625" s="74"/>
      <x:c r="H625" s="74"/>
      <x:c r="I625" s="74"/>
      <x:c r="J625" s="74"/>
      <x:c r="K625" s="74"/>
      <x:c r="L625" s="74"/>
      <x:c r="M625" s="74"/>
      <x:c r="N625" s="91"/>
      <x:c r="O625" s="91"/>
      <x:c r="P625" s="91"/>
      <x:c r="Q625" s="91"/>
      <x:c r="R625" s="91"/>
      <x:c r="S625" s="85"/>
      <x:c r="U625" s="86"/>
      <x:c r="V625" s="32"/>
    </x:row>
    <x:row r="626">
      <x:c r="A626" s="87"/>
      <x:c r="B626" s="88"/>
      <x:c r="D626" s="32"/>
      <x:c r="G626" s="74"/>
      <x:c r="H626" s="74"/>
      <x:c r="I626" s="74"/>
      <x:c r="J626" s="74"/>
      <x:c r="K626" s="74"/>
      <x:c r="L626" s="74"/>
      <x:c r="M626" s="74"/>
      <x:c r="N626" s="91"/>
      <x:c r="O626" s="91"/>
      <x:c r="P626" s="91"/>
      <x:c r="Q626" s="91"/>
      <x:c r="R626" s="91"/>
      <x:c r="S626" s="85"/>
      <x:c r="U626" s="86"/>
      <x:c r="V626" s="32"/>
    </x:row>
    <x:row r="627">
      <x:c r="A627" s="87"/>
      <x:c r="B627" s="88"/>
      <x:c r="D627" s="32"/>
      <x:c r="G627" s="74"/>
      <x:c r="H627" s="74"/>
      <x:c r="I627" s="74"/>
      <x:c r="J627" s="74"/>
      <x:c r="K627" s="74"/>
      <x:c r="L627" s="74"/>
      <x:c r="M627" s="74"/>
      <x:c r="N627" s="91"/>
      <x:c r="O627" s="91"/>
      <x:c r="P627" s="91"/>
      <x:c r="Q627" s="91"/>
      <x:c r="R627" s="91"/>
      <x:c r="S627" s="85"/>
      <x:c r="U627" s="86"/>
      <x:c r="V627" s="32"/>
    </x:row>
    <x:row r="628">
      <x:c r="A628" s="87"/>
      <x:c r="B628" s="88"/>
      <x:c r="D628" s="32"/>
      <x:c r="G628" s="74"/>
      <x:c r="H628" s="74"/>
      <x:c r="I628" s="74"/>
      <x:c r="J628" s="74"/>
      <x:c r="K628" s="74"/>
      <x:c r="L628" s="74"/>
      <x:c r="M628" s="74"/>
      <x:c r="N628" s="91"/>
      <x:c r="O628" s="91"/>
      <x:c r="P628" s="91"/>
      <x:c r="Q628" s="91"/>
      <x:c r="R628" s="91"/>
      <x:c r="S628" s="85"/>
      <x:c r="U628" s="86"/>
      <x:c r="V628" s="32"/>
    </x:row>
    <x:row r="629">
      <x:c r="A629" s="87"/>
      <x:c r="B629" s="88"/>
      <x:c r="D629" s="32"/>
      <x:c r="G629" s="74"/>
      <x:c r="H629" s="74"/>
      <x:c r="I629" s="74"/>
      <x:c r="J629" s="74"/>
      <x:c r="K629" s="74"/>
      <x:c r="L629" s="74"/>
      <x:c r="M629" s="74"/>
      <x:c r="N629" s="91"/>
      <x:c r="O629" s="91"/>
      <x:c r="P629" s="91"/>
      <x:c r="Q629" s="91"/>
      <x:c r="R629" s="91"/>
      <x:c r="S629" s="85"/>
      <x:c r="U629" s="86"/>
      <x:c r="V629" s="32"/>
    </x:row>
    <x:row r="630">
      <x:c r="A630" s="87"/>
      <x:c r="B630" s="88"/>
      <x:c r="D630" s="32"/>
      <x:c r="G630" s="74"/>
      <x:c r="H630" s="74"/>
      <x:c r="I630" s="74"/>
      <x:c r="J630" s="74"/>
      <x:c r="K630" s="74"/>
      <x:c r="L630" s="74"/>
      <x:c r="M630" s="74"/>
      <x:c r="N630" s="91"/>
      <x:c r="O630" s="91"/>
      <x:c r="P630" s="91"/>
      <x:c r="Q630" s="91"/>
      <x:c r="R630" s="91"/>
      <x:c r="S630" s="85"/>
      <x:c r="U630" s="86"/>
      <x:c r="V630" s="32"/>
    </x:row>
    <x:row r="631">
      <x:c r="A631" s="87"/>
      <x:c r="B631" s="88"/>
      <x:c r="D631" s="32"/>
      <x:c r="G631" s="74"/>
      <x:c r="H631" s="74"/>
      <x:c r="I631" s="74"/>
      <x:c r="J631" s="74"/>
      <x:c r="K631" s="74"/>
      <x:c r="L631" s="74"/>
      <x:c r="M631" s="74"/>
      <x:c r="N631" s="91"/>
      <x:c r="O631" s="91"/>
      <x:c r="P631" s="91"/>
      <x:c r="Q631" s="91"/>
      <x:c r="R631" s="91"/>
      <x:c r="S631" s="85"/>
      <x:c r="U631" s="86"/>
      <x:c r="V631" s="32"/>
    </x:row>
    <x:row r="632">
      <x:c r="A632" s="87"/>
      <x:c r="B632" s="88"/>
      <x:c r="D632" s="32"/>
      <x:c r="G632" s="74"/>
      <x:c r="H632" s="74"/>
      <x:c r="I632" s="74"/>
      <x:c r="J632" s="74"/>
      <x:c r="K632" s="74"/>
      <x:c r="L632" s="74"/>
      <x:c r="M632" s="74"/>
      <x:c r="N632" s="91"/>
      <x:c r="O632" s="91"/>
      <x:c r="P632" s="91"/>
      <x:c r="Q632" s="91"/>
      <x:c r="R632" s="91"/>
      <x:c r="S632" s="85"/>
      <x:c r="U632" s="86"/>
      <x:c r="V632" s="32"/>
    </x:row>
    <x:row r="633">
      <x:c r="A633" s="87"/>
      <x:c r="B633" s="88"/>
      <x:c r="D633" s="32"/>
      <x:c r="G633" s="74"/>
      <x:c r="H633" s="74"/>
      <x:c r="I633" s="74"/>
      <x:c r="J633" s="74"/>
      <x:c r="K633" s="74"/>
      <x:c r="L633" s="74"/>
      <x:c r="M633" s="74"/>
      <x:c r="N633" s="91"/>
      <x:c r="O633" s="91"/>
      <x:c r="P633" s="91"/>
      <x:c r="Q633" s="91"/>
      <x:c r="R633" s="91"/>
      <x:c r="S633" s="85"/>
      <x:c r="U633" s="86"/>
      <x:c r="V633" s="32"/>
    </x:row>
    <x:row r="634">
      <x:c r="A634" s="87"/>
      <x:c r="B634" s="88"/>
      <x:c r="D634" s="32"/>
      <x:c r="G634" s="74"/>
      <x:c r="H634" s="74"/>
      <x:c r="I634" s="74"/>
      <x:c r="J634" s="74"/>
      <x:c r="K634" s="74"/>
      <x:c r="L634" s="74"/>
      <x:c r="M634" s="74"/>
      <x:c r="N634" s="91"/>
      <x:c r="O634" s="91"/>
      <x:c r="P634" s="91"/>
      <x:c r="Q634" s="91"/>
      <x:c r="R634" s="91"/>
      <x:c r="S634" s="85"/>
      <x:c r="U634" s="86"/>
      <x:c r="V634" s="32"/>
    </x:row>
    <x:row r="635">
      <x:c r="A635" s="87"/>
      <x:c r="B635" s="88"/>
      <x:c r="D635" s="32"/>
      <x:c r="G635" s="74"/>
      <x:c r="H635" s="74"/>
      <x:c r="I635" s="74"/>
      <x:c r="J635" s="74"/>
      <x:c r="K635" s="74"/>
      <x:c r="L635" s="74"/>
      <x:c r="M635" s="74"/>
      <x:c r="N635" s="91"/>
      <x:c r="O635" s="91"/>
      <x:c r="P635" s="91"/>
      <x:c r="Q635" s="91"/>
      <x:c r="R635" s="91"/>
      <x:c r="S635" s="85"/>
      <x:c r="U635" s="86"/>
      <x:c r="V635" s="32"/>
    </x:row>
    <x:row r="636">
      <x:c r="A636" s="87"/>
      <x:c r="B636" s="88"/>
      <x:c r="D636" s="32"/>
      <x:c r="G636" s="74"/>
      <x:c r="H636" s="74"/>
      <x:c r="I636" s="74"/>
      <x:c r="J636" s="74"/>
      <x:c r="K636" s="74"/>
      <x:c r="L636" s="74"/>
      <x:c r="M636" s="74"/>
      <x:c r="N636" s="91"/>
      <x:c r="O636" s="91"/>
      <x:c r="P636" s="91"/>
      <x:c r="Q636" s="91"/>
      <x:c r="R636" s="91"/>
      <x:c r="S636" s="85"/>
      <x:c r="U636" s="86"/>
      <x:c r="V636" s="32"/>
    </x:row>
    <x:row r="637">
      <x:c r="A637" s="87"/>
      <x:c r="B637" s="88"/>
      <x:c r="D637" s="32"/>
      <x:c r="G637" s="74"/>
      <x:c r="H637" s="74"/>
      <x:c r="I637" s="74"/>
      <x:c r="J637" s="74"/>
      <x:c r="K637" s="74"/>
      <x:c r="L637" s="74"/>
      <x:c r="M637" s="74"/>
      <x:c r="N637" s="91"/>
      <x:c r="O637" s="91"/>
      <x:c r="P637" s="91"/>
      <x:c r="Q637" s="91"/>
      <x:c r="R637" s="91"/>
      <x:c r="S637" s="85"/>
      <x:c r="U637" s="86"/>
      <x:c r="V637" s="32"/>
    </x:row>
    <x:row r="638">
      <x:c r="A638" s="87"/>
      <x:c r="B638" s="88"/>
      <x:c r="D638" s="32"/>
      <x:c r="G638" s="74"/>
      <x:c r="H638" s="74"/>
      <x:c r="I638" s="74"/>
      <x:c r="J638" s="74"/>
      <x:c r="K638" s="74"/>
      <x:c r="L638" s="74"/>
      <x:c r="M638" s="74"/>
      <x:c r="N638" s="91"/>
      <x:c r="O638" s="91"/>
      <x:c r="P638" s="91"/>
      <x:c r="Q638" s="91"/>
      <x:c r="R638" s="91"/>
      <x:c r="S638" s="85"/>
      <x:c r="U638" s="86"/>
      <x:c r="V638" s="32"/>
    </x:row>
    <x:row r="639">
      <x:c r="A639" s="87"/>
      <x:c r="B639" s="88"/>
      <x:c r="D639" s="32"/>
      <x:c r="G639" s="74"/>
      <x:c r="H639" s="74"/>
      <x:c r="I639" s="74"/>
      <x:c r="J639" s="74"/>
      <x:c r="K639" s="74"/>
      <x:c r="L639" s="74"/>
      <x:c r="M639" s="74"/>
      <x:c r="N639" s="91"/>
      <x:c r="O639" s="91"/>
      <x:c r="P639" s="91"/>
      <x:c r="Q639" s="91"/>
      <x:c r="R639" s="91"/>
      <x:c r="S639" s="85"/>
      <x:c r="U639" s="86"/>
      <x:c r="V639" s="32"/>
    </x:row>
    <x:row r="640">
      <x:c r="A640" s="87"/>
      <x:c r="B640" s="88"/>
      <x:c r="D640" s="32"/>
      <x:c r="G640" s="74"/>
      <x:c r="H640" s="74"/>
      <x:c r="I640" s="74"/>
      <x:c r="J640" s="74"/>
      <x:c r="K640" s="74"/>
      <x:c r="L640" s="74"/>
      <x:c r="M640" s="74"/>
      <x:c r="N640" s="91"/>
      <x:c r="O640" s="91"/>
      <x:c r="P640" s="91"/>
      <x:c r="Q640" s="91"/>
      <x:c r="R640" s="91"/>
      <x:c r="S640" s="85"/>
      <x:c r="U640" s="86"/>
      <x:c r="V640" s="32"/>
    </x:row>
    <x:row r="641">
      <x:c r="A641" s="87"/>
      <x:c r="B641" s="88"/>
      <x:c r="D641" s="32"/>
      <x:c r="G641" s="74"/>
      <x:c r="H641" s="74"/>
      <x:c r="I641" s="74"/>
      <x:c r="J641" s="74"/>
      <x:c r="K641" s="74"/>
      <x:c r="L641" s="74"/>
      <x:c r="M641" s="74"/>
      <x:c r="N641" s="91"/>
      <x:c r="O641" s="91"/>
      <x:c r="P641" s="91"/>
      <x:c r="Q641" s="91"/>
      <x:c r="R641" s="91"/>
      <x:c r="S641" s="85"/>
      <x:c r="U641" s="86"/>
      <x:c r="V641" s="32"/>
    </x:row>
    <x:row r="642">
      <x:c r="A642" s="87"/>
      <x:c r="B642" s="88"/>
      <x:c r="D642" s="32"/>
      <x:c r="G642" s="74"/>
      <x:c r="H642" s="74"/>
      <x:c r="I642" s="74"/>
      <x:c r="J642" s="74"/>
      <x:c r="K642" s="74"/>
      <x:c r="L642" s="74"/>
      <x:c r="M642" s="74"/>
      <x:c r="N642" s="91"/>
      <x:c r="O642" s="91"/>
      <x:c r="P642" s="91"/>
      <x:c r="Q642" s="91"/>
      <x:c r="R642" s="91"/>
      <x:c r="S642" s="85"/>
      <x:c r="U642" s="86"/>
      <x:c r="V642" s="32"/>
    </x:row>
    <x:row r="643">
      <x:c r="A643" s="87"/>
      <x:c r="B643" s="88"/>
      <x:c r="D643" s="32"/>
      <x:c r="G643" s="74"/>
      <x:c r="H643" s="74"/>
      <x:c r="I643" s="74"/>
      <x:c r="J643" s="74"/>
      <x:c r="K643" s="74"/>
      <x:c r="L643" s="74"/>
      <x:c r="M643" s="74"/>
      <x:c r="N643" s="91"/>
      <x:c r="O643" s="91"/>
      <x:c r="P643" s="91"/>
      <x:c r="Q643" s="91"/>
      <x:c r="R643" s="91"/>
      <x:c r="S643" s="85"/>
      <x:c r="U643" s="86"/>
      <x:c r="V643" s="32"/>
    </x:row>
    <x:row r="644">
      <x:c r="A644" s="87"/>
      <x:c r="B644" s="88"/>
      <x:c r="D644" s="32"/>
      <x:c r="G644" s="74"/>
      <x:c r="H644" s="74"/>
      <x:c r="I644" s="74"/>
      <x:c r="J644" s="74"/>
      <x:c r="K644" s="74"/>
      <x:c r="L644" s="74"/>
      <x:c r="M644" s="74"/>
      <x:c r="N644" s="91"/>
      <x:c r="O644" s="91"/>
      <x:c r="P644" s="91"/>
      <x:c r="Q644" s="91"/>
      <x:c r="R644" s="91"/>
      <x:c r="S644" s="85"/>
      <x:c r="U644" s="86"/>
      <x:c r="V644" s="32"/>
    </x:row>
    <x:row r="645">
      <x:c r="A645" s="87"/>
      <x:c r="B645" s="88"/>
      <x:c r="D645" s="32"/>
      <x:c r="G645" s="74"/>
      <x:c r="H645" s="74"/>
      <x:c r="I645" s="74"/>
      <x:c r="J645" s="74"/>
      <x:c r="K645" s="74"/>
      <x:c r="L645" s="74"/>
      <x:c r="M645" s="74"/>
      <x:c r="N645" s="91"/>
      <x:c r="O645" s="91"/>
      <x:c r="P645" s="91"/>
      <x:c r="Q645" s="91"/>
      <x:c r="R645" s="91"/>
      <x:c r="S645" s="85"/>
      <x:c r="U645" s="86"/>
      <x:c r="V645" s="32"/>
    </x:row>
    <x:row r="646">
      <x:c r="A646" s="87"/>
      <x:c r="B646" s="88"/>
      <x:c r="D646" s="32"/>
      <x:c r="G646" s="74"/>
      <x:c r="H646" s="74"/>
      <x:c r="I646" s="74"/>
      <x:c r="J646" s="74"/>
      <x:c r="K646" s="74"/>
      <x:c r="L646" s="74"/>
      <x:c r="M646" s="74"/>
      <x:c r="N646" s="91"/>
      <x:c r="O646" s="91"/>
      <x:c r="P646" s="91"/>
      <x:c r="Q646" s="91"/>
      <x:c r="R646" s="91"/>
      <x:c r="S646" s="85"/>
      <x:c r="U646" s="86"/>
      <x:c r="V646" s="32"/>
    </x:row>
    <x:row r="647">
      <x:c r="A647" s="87"/>
      <x:c r="B647" s="88"/>
      <x:c r="D647" s="32"/>
      <x:c r="G647" s="74"/>
      <x:c r="H647" s="74"/>
      <x:c r="I647" s="74"/>
      <x:c r="J647" s="74"/>
      <x:c r="K647" s="74"/>
      <x:c r="L647" s="74"/>
      <x:c r="M647" s="74"/>
      <x:c r="N647" s="91"/>
      <x:c r="O647" s="91"/>
      <x:c r="P647" s="91"/>
      <x:c r="Q647" s="91"/>
      <x:c r="R647" s="91"/>
      <x:c r="S647" s="85"/>
      <x:c r="U647" s="86"/>
      <x:c r="V647" s="32"/>
    </x:row>
    <x:row r="648">
      <x:c r="A648" s="87"/>
      <x:c r="B648" s="88"/>
      <x:c r="D648" s="32"/>
      <x:c r="G648" s="74"/>
      <x:c r="H648" s="74"/>
      <x:c r="I648" s="74"/>
      <x:c r="J648" s="74"/>
      <x:c r="K648" s="74"/>
      <x:c r="L648" s="74"/>
      <x:c r="M648" s="74"/>
      <x:c r="N648" s="91"/>
      <x:c r="O648" s="91"/>
      <x:c r="P648" s="91"/>
      <x:c r="Q648" s="91"/>
      <x:c r="R648" s="91"/>
      <x:c r="S648" s="85"/>
      <x:c r="U648" s="86"/>
      <x:c r="V648" s="32"/>
    </x:row>
    <x:row r="649">
      <x:c r="A649" s="87"/>
      <x:c r="B649" s="88"/>
      <x:c r="D649" s="32"/>
      <x:c r="G649" s="74"/>
      <x:c r="H649" s="74"/>
      <x:c r="I649" s="74"/>
      <x:c r="J649" s="74"/>
      <x:c r="K649" s="74"/>
      <x:c r="L649" s="74"/>
      <x:c r="M649" s="74"/>
      <x:c r="N649" s="91"/>
      <x:c r="O649" s="91"/>
      <x:c r="P649" s="91"/>
      <x:c r="Q649" s="91"/>
      <x:c r="R649" s="91"/>
      <x:c r="S649" s="85"/>
      <x:c r="U649" s="86"/>
      <x:c r="V649" s="32"/>
    </x:row>
    <x:row r="650">
      <x:c r="A650" s="87"/>
      <x:c r="B650" s="88"/>
      <x:c r="D650" s="32"/>
      <x:c r="G650" s="74"/>
      <x:c r="H650" s="74"/>
      <x:c r="I650" s="74"/>
      <x:c r="J650" s="74"/>
      <x:c r="K650" s="74"/>
      <x:c r="L650" s="74"/>
      <x:c r="M650" s="74"/>
      <x:c r="N650" s="91"/>
      <x:c r="O650" s="91"/>
      <x:c r="P650" s="91"/>
      <x:c r="Q650" s="91"/>
      <x:c r="R650" s="91"/>
      <x:c r="S650" s="85"/>
      <x:c r="U650" s="86"/>
      <x:c r="V650" s="32"/>
    </x:row>
    <x:row r="651">
      <x:c r="A651" s="87"/>
      <x:c r="B651" s="88"/>
      <x:c r="D651" s="32"/>
      <x:c r="G651" s="74"/>
      <x:c r="H651" s="74"/>
      <x:c r="I651" s="74"/>
      <x:c r="J651" s="74"/>
      <x:c r="K651" s="74"/>
      <x:c r="L651" s="74"/>
      <x:c r="M651" s="74"/>
      <x:c r="N651" s="91"/>
      <x:c r="O651" s="91"/>
      <x:c r="P651" s="91"/>
      <x:c r="Q651" s="91"/>
      <x:c r="R651" s="91"/>
      <x:c r="S651" s="85"/>
      <x:c r="U651" s="86"/>
      <x:c r="V651" s="32"/>
    </x:row>
    <x:row r="652">
      <x:c r="A652" s="87"/>
      <x:c r="B652" s="88"/>
      <x:c r="D652" s="32"/>
      <x:c r="G652" s="74"/>
      <x:c r="H652" s="74"/>
      <x:c r="I652" s="74"/>
      <x:c r="J652" s="74"/>
      <x:c r="K652" s="74"/>
      <x:c r="L652" s="74"/>
      <x:c r="M652" s="74"/>
      <x:c r="N652" s="91"/>
      <x:c r="O652" s="91"/>
      <x:c r="P652" s="91"/>
      <x:c r="Q652" s="91"/>
      <x:c r="R652" s="91"/>
      <x:c r="S652" s="85"/>
      <x:c r="U652" s="86"/>
      <x:c r="V652" s="32"/>
    </x:row>
    <x:row r="653">
      <x:c r="A653" s="87"/>
      <x:c r="B653" s="88"/>
      <x:c r="D653" s="32"/>
      <x:c r="G653" s="74"/>
      <x:c r="H653" s="74"/>
      <x:c r="I653" s="74"/>
      <x:c r="J653" s="74"/>
      <x:c r="K653" s="74"/>
      <x:c r="L653" s="74"/>
      <x:c r="M653" s="74"/>
      <x:c r="N653" s="91"/>
      <x:c r="O653" s="91"/>
      <x:c r="P653" s="91"/>
      <x:c r="Q653" s="91"/>
      <x:c r="R653" s="91"/>
      <x:c r="S653" s="85"/>
      <x:c r="U653" s="86"/>
      <x:c r="V653" s="32"/>
    </x:row>
    <x:row r="654">
      <x:c r="A654" s="87"/>
      <x:c r="B654" s="88"/>
      <x:c r="D654" s="32"/>
      <x:c r="G654" s="74"/>
      <x:c r="H654" s="74"/>
      <x:c r="I654" s="74"/>
      <x:c r="J654" s="74"/>
      <x:c r="K654" s="74"/>
      <x:c r="L654" s="74"/>
      <x:c r="M654" s="74"/>
      <x:c r="N654" s="91"/>
      <x:c r="O654" s="91"/>
      <x:c r="P654" s="91"/>
      <x:c r="Q654" s="91"/>
      <x:c r="R654" s="91"/>
      <x:c r="S654" s="85"/>
      <x:c r="U654" s="86"/>
      <x:c r="V654" s="32"/>
    </x:row>
    <x:row r="655">
      <x:c r="A655" s="87"/>
      <x:c r="B655" s="88"/>
      <x:c r="D655" s="32"/>
      <x:c r="G655" s="74"/>
      <x:c r="H655" s="74"/>
      <x:c r="I655" s="74"/>
      <x:c r="J655" s="74"/>
      <x:c r="K655" s="74"/>
      <x:c r="L655" s="74"/>
      <x:c r="M655" s="74"/>
      <x:c r="N655" s="91"/>
      <x:c r="O655" s="91"/>
      <x:c r="P655" s="91"/>
      <x:c r="Q655" s="91"/>
      <x:c r="R655" s="91"/>
      <x:c r="S655" s="85"/>
      <x:c r="U655" s="86"/>
      <x:c r="V655" s="32"/>
    </x:row>
    <x:row r="656">
      <x:c r="A656" s="87"/>
      <x:c r="B656" s="88"/>
      <x:c r="D656" s="32"/>
      <x:c r="G656" s="74"/>
      <x:c r="H656" s="74"/>
      <x:c r="I656" s="74"/>
      <x:c r="J656" s="74"/>
      <x:c r="K656" s="74"/>
      <x:c r="L656" s="74"/>
      <x:c r="M656" s="74"/>
      <x:c r="N656" s="91"/>
      <x:c r="O656" s="91"/>
      <x:c r="P656" s="91"/>
      <x:c r="Q656" s="91"/>
      <x:c r="R656" s="91"/>
      <x:c r="S656" s="85"/>
      <x:c r="U656" s="86"/>
      <x:c r="V656" s="32"/>
    </x:row>
    <x:row r="657">
      <x:c r="A657" s="87"/>
      <x:c r="B657" s="88"/>
      <x:c r="D657" s="32"/>
      <x:c r="G657" s="74"/>
      <x:c r="H657" s="74"/>
      <x:c r="I657" s="74"/>
      <x:c r="J657" s="74"/>
      <x:c r="K657" s="74"/>
      <x:c r="L657" s="74"/>
      <x:c r="M657" s="74"/>
      <x:c r="N657" s="91"/>
      <x:c r="O657" s="91"/>
      <x:c r="P657" s="91"/>
      <x:c r="Q657" s="91"/>
      <x:c r="R657" s="91"/>
      <x:c r="S657" s="85"/>
      <x:c r="U657" s="86"/>
      <x:c r="V657" s="32"/>
    </x:row>
    <x:row r="658">
      <x:c r="A658" s="87"/>
      <x:c r="B658" s="88"/>
      <x:c r="D658" s="32"/>
      <x:c r="G658" s="74"/>
      <x:c r="H658" s="74"/>
      <x:c r="I658" s="74"/>
      <x:c r="J658" s="74"/>
      <x:c r="K658" s="74"/>
      <x:c r="L658" s="74"/>
      <x:c r="M658" s="74"/>
      <x:c r="N658" s="91"/>
      <x:c r="O658" s="91"/>
      <x:c r="P658" s="91"/>
      <x:c r="Q658" s="91"/>
      <x:c r="R658" s="91"/>
      <x:c r="S658" s="85"/>
      <x:c r="U658" s="86"/>
      <x:c r="V658" s="32"/>
    </x:row>
    <x:row r="659">
      <x:c r="A659" s="87"/>
      <x:c r="B659" s="88"/>
      <x:c r="D659" s="32"/>
      <x:c r="G659" s="74"/>
      <x:c r="H659" s="74"/>
      <x:c r="I659" s="74"/>
      <x:c r="J659" s="74"/>
      <x:c r="K659" s="74"/>
      <x:c r="L659" s="74"/>
      <x:c r="M659" s="74"/>
      <x:c r="N659" s="91"/>
      <x:c r="O659" s="91"/>
      <x:c r="P659" s="91"/>
      <x:c r="Q659" s="91"/>
      <x:c r="R659" s="91"/>
      <x:c r="S659" s="85"/>
      <x:c r="U659" s="86"/>
      <x:c r="V659" s="32"/>
    </x:row>
    <x:row r="660">
      <x:c r="A660" s="87"/>
      <x:c r="B660" s="88"/>
      <x:c r="D660" s="32"/>
      <x:c r="G660" s="74"/>
      <x:c r="H660" s="74"/>
      <x:c r="I660" s="74"/>
      <x:c r="J660" s="74"/>
      <x:c r="K660" s="74"/>
      <x:c r="L660" s="74"/>
      <x:c r="M660" s="74"/>
      <x:c r="N660" s="91"/>
      <x:c r="O660" s="91"/>
      <x:c r="P660" s="91"/>
      <x:c r="Q660" s="91"/>
      <x:c r="R660" s="91"/>
      <x:c r="S660" s="85"/>
      <x:c r="U660" s="86"/>
      <x:c r="V660" s="32"/>
    </x:row>
    <x:row r="661">
      <x:c r="A661" s="87"/>
      <x:c r="B661" s="88"/>
      <x:c r="D661" s="32"/>
      <x:c r="G661" s="74"/>
      <x:c r="H661" s="74"/>
      <x:c r="I661" s="74"/>
      <x:c r="J661" s="74"/>
      <x:c r="K661" s="74"/>
      <x:c r="L661" s="74"/>
      <x:c r="M661" s="74"/>
      <x:c r="N661" s="91"/>
      <x:c r="O661" s="91"/>
      <x:c r="P661" s="91"/>
      <x:c r="Q661" s="91"/>
      <x:c r="R661" s="91"/>
      <x:c r="S661" s="85"/>
      <x:c r="U661" s="86"/>
      <x:c r="V661" s="32"/>
    </x:row>
    <x:row r="662">
      <x:c r="A662" s="87"/>
      <x:c r="B662" s="88"/>
      <x:c r="D662" s="32"/>
      <x:c r="G662" s="74"/>
      <x:c r="H662" s="74"/>
      <x:c r="I662" s="74"/>
      <x:c r="J662" s="74"/>
      <x:c r="K662" s="74"/>
      <x:c r="L662" s="74"/>
      <x:c r="M662" s="74"/>
      <x:c r="N662" s="91"/>
      <x:c r="O662" s="91"/>
      <x:c r="P662" s="91"/>
      <x:c r="Q662" s="91"/>
      <x:c r="R662" s="91"/>
      <x:c r="S662" s="85"/>
      <x:c r="U662" s="86"/>
      <x:c r="V662" s="32"/>
    </x:row>
    <x:row r="663">
      <x:c r="A663" s="87"/>
      <x:c r="B663" s="88"/>
      <x:c r="D663" s="32"/>
      <x:c r="G663" s="74"/>
      <x:c r="H663" s="74"/>
      <x:c r="I663" s="74"/>
      <x:c r="J663" s="74"/>
      <x:c r="K663" s="74"/>
      <x:c r="L663" s="74"/>
      <x:c r="M663" s="74"/>
      <x:c r="N663" s="91"/>
      <x:c r="O663" s="91"/>
      <x:c r="P663" s="91"/>
      <x:c r="Q663" s="91"/>
      <x:c r="R663" s="91"/>
      <x:c r="S663" s="85"/>
      <x:c r="U663" s="86"/>
      <x:c r="V663" s="32"/>
    </x:row>
    <x:row r="664">
      <x:c r="A664" s="87"/>
      <x:c r="B664" s="88"/>
      <x:c r="D664" s="32"/>
      <x:c r="G664" s="74"/>
      <x:c r="H664" s="74"/>
      <x:c r="I664" s="74"/>
      <x:c r="J664" s="74"/>
      <x:c r="K664" s="74"/>
      <x:c r="L664" s="74"/>
      <x:c r="M664" s="74"/>
      <x:c r="N664" s="91"/>
      <x:c r="O664" s="91"/>
      <x:c r="P664" s="91"/>
      <x:c r="Q664" s="91"/>
      <x:c r="R664" s="91"/>
      <x:c r="S664" s="85"/>
      <x:c r="U664" s="86"/>
      <x:c r="V664" s="32"/>
    </x:row>
    <x:row r="665">
      <x:c r="A665" s="87"/>
      <x:c r="B665" s="88"/>
      <x:c r="D665" s="32"/>
      <x:c r="G665" s="74"/>
      <x:c r="H665" s="74"/>
      <x:c r="I665" s="74"/>
      <x:c r="J665" s="74"/>
      <x:c r="K665" s="74"/>
      <x:c r="L665" s="74"/>
      <x:c r="M665" s="74"/>
      <x:c r="N665" s="91"/>
      <x:c r="O665" s="91"/>
      <x:c r="P665" s="91"/>
      <x:c r="Q665" s="91"/>
      <x:c r="R665" s="91"/>
      <x:c r="S665" s="85"/>
      <x:c r="U665" s="86"/>
      <x:c r="V665" s="32"/>
    </x:row>
    <x:row r="666">
      <x:c r="A666" s="87"/>
      <x:c r="B666" s="88"/>
      <x:c r="D666" s="32"/>
      <x:c r="G666" s="74"/>
      <x:c r="H666" s="74"/>
      <x:c r="I666" s="74"/>
      <x:c r="J666" s="74"/>
      <x:c r="K666" s="74"/>
      <x:c r="L666" s="74"/>
      <x:c r="M666" s="74"/>
      <x:c r="N666" s="91"/>
      <x:c r="O666" s="91"/>
      <x:c r="P666" s="91"/>
      <x:c r="Q666" s="91"/>
      <x:c r="R666" s="91"/>
      <x:c r="S666" s="85"/>
      <x:c r="U666" s="86"/>
      <x:c r="V666" s="32"/>
    </x:row>
    <x:row r="667">
      <x:c r="A667" s="87"/>
      <x:c r="B667" s="88"/>
      <x:c r="D667" s="32"/>
      <x:c r="G667" s="74"/>
      <x:c r="H667" s="74"/>
      <x:c r="I667" s="74"/>
      <x:c r="J667" s="74"/>
      <x:c r="K667" s="74"/>
      <x:c r="L667" s="74"/>
      <x:c r="M667" s="74"/>
      <x:c r="N667" s="91"/>
      <x:c r="O667" s="91"/>
      <x:c r="P667" s="91"/>
      <x:c r="Q667" s="91"/>
      <x:c r="R667" s="91"/>
      <x:c r="S667" s="85"/>
      <x:c r="U667" s="86"/>
      <x:c r="V667" s="32"/>
    </x:row>
    <x:row r="668">
      <x:c r="A668" s="87"/>
      <x:c r="B668" s="88"/>
      <x:c r="D668" s="32"/>
      <x:c r="G668" s="74"/>
      <x:c r="H668" s="74"/>
      <x:c r="I668" s="74"/>
      <x:c r="J668" s="74"/>
      <x:c r="K668" s="74"/>
      <x:c r="L668" s="74"/>
      <x:c r="M668" s="74"/>
      <x:c r="N668" s="91"/>
      <x:c r="O668" s="91"/>
      <x:c r="P668" s="91"/>
      <x:c r="Q668" s="91"/>
      <x:c r="R668" s="91"/>
      <x:c r="S668" s="85"/>
      <x:c r="U668" s="86"/>
      <x:c r="V668" s="32"/>
    </x:row>
    <x:row r="669">
      <x:c r="A669" s="87"/>
      <x:c r="B669" s="88"/>
      <x:c r="D669" s="32"/>
      <x:c r="G669" s="74"/>
      <x:c r="H669" s="74"/>
      <x:c r="I669" s="74"/>
      <x:c r="J669" s="74"/>
      <x:c r="K669" s="74"/>
      <x:c r="L669" s="74"/>
      <x:c r="M669" s="74"/>
      <x:c r="N669" s="91"/>
      <x:c r="O669" s="91"/>
      <x:c r="P669" s="91"/>
      <x:c r="Q669" s="91"/>
      <x:c r="R669" s="91"/>
      <x:c r="S669" s="85"/>
      <x:c r="U669" s="86"/>
      <x:c r="V669" s="32"/>
    </x:row>
    <x:row r="670">
      <x:c r="A670" s="87"/>
      <x:c r="B670" s="88"/>
      <x:c r="D670" s="32"/>
      <x:c r="G670" s="74"/>
      <x:c r="H670" s="74"/>
      <x:c r="I670" s="74"/>
      <x:c r="J670" s="74"/>
      <x:c r="K670" s="74"/>
      <x:c r="L670" s="74"/>
      <x:c r="M670" s="74"/>
      <x:c r="N670" s="91"/>
      <x:c r="O670" s="91"/>
      <x:c r="P670" s="91"/>
      <x:c r="Q670" s="91"/>
      <x:c r="R670" s="91"/>
      <x:c r="S670" s="85"/>
      <x:c r="U670" s="86"/>
      <x:c r="V670" s="32"/>
    </x:row>
    <x:row r="671">
      <x:c r="A671" s="87"/>
      <x:c r="B671" s="88"/>
      <x:c r="D671" s="32"/>
      <x:c r="G671" s="74"/>
      <x:c r="H671" s="74"/>
      <x:c r="I671" s="74"/>
      <x:c r="J671" s="74"/>
      <x:c r="K671" s="74"/>
      <x:c r="L671" s="74"/>
      <x:c r="M671" s="74"/>
      <x:c r="N671" s="91"/>
      <x:c r="O671" s="91"/>
      <x:c r="P671" s="91"/>
      <x:c r="Q671" s="91"/>
      <x:c r="R671" s="91"/>
      <x:c r="S671" s="85"/>
      <x:c r="U671" s="86"/>
      <x:c r="V671" s="32"/>
    </x:row>
    <x:row r="672">
      <x:c r="A672" s="87"/>
      <x:c r="B672" s="88"/>
      <x:c r="D672" s="32"/>
      <x:c r="G672" s="74"/>
      <x:c r="H672" s="74"/>
      <x:c r="I672" s="74"/>
      <x:c r="J672" s="74"/>
      <x:c r="K672" s="74"/>
      <x:c r="L672" s="74"/>
      <x:c r="M672" s="74"/>
      <x:c r="N672" s="91"/>
      <x:c r="O672" s="91"/>
      <x:c r="P672" s="91"/>
      <x:c r="Q672" s="91"/>
      <x:c r="R672" s="91"/>
      <x:c r="S672" s="85"/>
      <x:c r="U672" s="86"/>
      <x:c r="V672" s="32"/>
    </x:row>
    <x:row r="673">
      <x:c r="A673" s="87"/>
      <x:c r="B673" s="88"/>
      <x:c r="D673" s="32"/>
      <x:c r="G673" s="74"/>
      <x:c r="H673" s="74"/>
      <x:c r="I673" s="74"/>
      <x:c r="J673" s="74"/>
      <x:c r="K673" s="74"/>
      <x:c r="L673" s="74"/>
      <x:c r="M673" s="74"/>
      <x:c r="N673" s="91"/>
      <x:c r="O673" s="91"/>
      <x:c r="P673" s="91"/>
      <x:c r="Q673" s="91"/>
      <x:c r="R673" s="91"/>
      <x:c r="S673" s="85"/>
      <x:c r="U673" s="86"/>
      <x:c r="V673" s="32"/>
    </x:row>
    <x:row r="674">
      <x:c r="A674" s="87"/>
      <x:c r="B674" s="88"/>
      <x:c r="D674" s="32"/>
      <x:c r="G674" s="74"/>
      <x:c r="H674" s="74"/>
      <x:c r="I674" s="74"/>
      <x:c r="J674" s="74"/>
      <x:c r="K674" s="74"/>
      <x:c r="L674" s="74"/>
      <x:c r="M674" s="74"/>
      <x:c r="N674" s="91"/>
      <x:c r="O674" s="91"/>
      <x:c r="P674" s="91"/>
      <x:c r="Q674" s="91"/>
      <x:c r="R674" s="91"/>
      <x:c r="S674" s="85"/>
      <x:c r="U674" s="86"/>
      <x:c r="V674" s="32"/>
    </x:row>
    <x:row r="675">
      <x:c r="A675" s="87"/>
      <x:c r="B675" s="88"/>
      <x:c r="D675" s="32"/>
      <x:c r="G675" s="74"/>
      <x:c r="H675" s="74"/>
      <x:c r="I675" s="74"/>
      <x:c r="J675" s="74"/>
      <x:c r="K675" s="74"/>
      <x:c r="L675" s="74"/>
      <x:c r="M675" s="74"/>
      <x:c r="N675" s="91"/>
      <x:c r="O675" s="91"/>
      <x:c r="P675" s="91"/>
      <x:c r="Q675" s="91"/>
      <x:c r="R675" s="91"/>
      <x:c r="S675" s="85"/>
      <x:c r="U675" s="86"/>
      <x:c r="V675" s="32"/>
    </x:row>
    <x:row r="676">
      <x:c r="A676" s="87"/>
      <x:c r="B676" s="88"/>
      <x:c r="D676" s="32"/>
      <x:c r="G676" s="74"/>
      <x:c r="H676" s="74"/>
      <x:c r="I676" s="74"/>
      <x:c r="J676" s="74"/>
      <x:c r="K676" s="74"/>
      <x:c r="L676" s="74"/>
      <x:c r="M676" s="74"/>
      <x:c r="N676" s="91"/>
      <x:c r="O676" s="91"/>
      <x:c r="P676" s="91"/>
      <x:c r="Q676" s="91"/>
      <x:c r="R676" s="91"/>
      <x:c r="S676" s="85"/>
      <x:c r="U676" s="86"/>
      <x:c r="V676" s="32"/>
    </x:row>
    <x:row r="677">
      <x:c r="A677" s="87"/>
      <x:c r="B677" s="88"/>
      <x:c r="D677" s="32"/>
      <x:c r="G677" s="74"/>
      <x:c r="H677" s="74"/>
      <x:c r="I677" s="74"/>
      <x:c r="J677" s="74"/>
      <x:c r="K677" s="74"/>
      <x:c r="L677" s="74"/>
      <x:c r="M677" s="74"/>
      <x:c r="N677" s="91"/>
      <x:c r="O677" s="91"/>
      <x:c r="P677" s="91"/>
      <x:c r="Q677" s="91"/>
      <x:c r="R677" s="91"/>
      <x:c r="S677" s="85"/>
      <x:c r="U677" s="86"/>
      <x:c r="V677" s="32"/>
    </x:row>
    <x:row r="678">
      <x:c r="A678" s="87"/>
      <x:c r="B678" s="88"/>
      <x:c r="D678" s="32"/>
      <x:c r="G678" s="74"/>
      <x:c r="H678" s="74"/>
      <x:c r="I678" s="74"/>
      <x:c r="J678" s="74"/>
      <x:c r="K678" s="74"/>
      <x:c r="L678" s="74"/>
      <x:c r="M678" s="74"/>
      <x:c r="N678" s="91"/>
      <x:c r="O678" s="91"/>
      <x:c r="P678" s="91"/>
      <x:c r="Q678" s="91"/>
      <x:c r="R678" s="91"/>
      <x:c r="S678" s="85"/>
      <x:c r="U678" s="86"/>
      <x:c r="V678" s="32"/>
    </x:row>
    <x:row r="679">
      <x:c r="A679" s="87"/>
      <x:c r="B679" s="88"/>
      <x:c r="D679" s="32"/>
      <x:c r="G679" s="74"/>
      <x:c r="H679" s="74"/>
      <x:c r="I679" s="74"/>
      <x:c r="J679" s="74"/>
      <x:c r="K679" s="74"/>
      <x:c r="L679" s="74"/>
      <x:c r="M679" s="74"/>
      <x:c r="N679" s="91"/>
      <x:c r="O679" s="91"/>
      <x:c r="P679" s="91"/>
      <x:c r="Q679" s="91"/>
      <x:c r="R679" s="91"/>
      <x:c r="S679" s="85"/>
      <x:c r="U679" s="86"/>
      <x:c r="V679" s="32"/>
    </x:row>
    <x:row r="680">
      <x:c r="A680" s="87"/>
      <x:c r="B680" s="88"/>
      <x:c r="D680" s="32"/>
      <x:c r="G680" s="74"/>
      <x:c r="H680" s="74"/>
      <x:c r="I680" s="74"/>
      <x:c r="J680" s="74"/>
      <x:c r="K680" s="74"/>
      <x:c r="L680" s="74"/>
      <x:c r="M680" s="74"/>
      <x:c r="N680" s="91"/>
      <x:c r="O680" s="91"/>
      <x:c r="P680" s="91"/>
      <x:c r="Q680" s="91"/>
      <x:c r="R680" s="91"/>
      <x:c r="S680" s="85"/>
      <x:c r="U680" s="86"/>
      <x:c r="V680" s="32"/>
    </x:row>
    <x:row r="681">
      <x:c r="A681" s="87"/>
      <x:c r="B681" s="88"/>
      <x:c r="D681" s="32"/>
      <x:c r="G681" s="74"/>
      <x:c r="H681" s="74"/>
      <x:c r="I681" s="74"/>
      <x:c r="J681" s="74"/>
      <x:c r="K681" s="74"/>
      <x:c r="L681" s="74"/>
      <x:c r="M681" s="74"/>
      <x:c r="N681" s="91"/>
      <x:c r="O681" s="91"/>
      <x:c r="P681" s="91"/>
      <x:c r="Q681" s="91"/>
      <x:c r="R681" s="91"/>
      <x:c r="S681" s="85"/>
      <x:c r="U681" s="86"/>
      <x:c r="V681" s="32"/>
    </x:row>
    <x:row r="682">
      <x:c r="A682" s="87"/>
      <x:c r="B682" s="88"/>
      <x:c r="D682" s="32"/>
      <x:c r="G682" s="74"/>
      <x:c r="H682" s="74"/>
      <x:c r="I682" s="74"/>
      <x:c r="J682" s="74"/>
      <x:c r="K682" s="74"/>
      <x:c r="L682" s="74"/>
      <x:c r="M682" s="74"/>
      <x:c r="N682" s="91"/>
      <x:c r="O682" s="91"/>
      <x:c r="P682" s="91"/>
      <x:c r="Q682" s="91"/>
      <x:c r="R682" s="91"/>
      <x:c r="S682" s="85"/>
      <x:c r="U682" s="86"/>
      <x:c r="V682" s="32"/>
    </x:row>
    <x:row r="683">
      <x:c r="A683" s="87"/>
      <x:c r="B683" s="88"/>
      <x:c r="D683" s="32"/>
      <x:c r="G683" s="74"/>
      <x:c r="H683" s="74"/>
      <x:c r="I683" s="74"/>
      <x:c r="J683" s="74"/>
      <x:c r="K683" s="74"/>
      <x:c r="L683" s="74"/>
      <x:c r="M683" s="74"/>
      <x:c r="N683" s="91"/>
      <x:c r="O683" s="91"/>
      <x:c r="P683" s="91"/>
      <x:c r="Q683" s="91"/>
      <x:c r="R683" s="91"/>
      <x:c r="S683" s="85"/>
      <x:c r="U683" s="86"/>
      <x:c r="V683" s="32"/>
    </x:row>
    <x:row r="684">
      <x:c r="A684" s="87"/>
      <x:c r="B684" s="88"/>
      <x:c r="D684" s="32"/>
      <x:c r="G684" s="74"/>
      <x:c r="H684" s="74"/>
      <x:c r="I684" s="74"/>
      <x:c r="J684" s="74"/>
      <x:c r="K684" s="74"/>
      <x:c r="L684" s="74"/>
      <x:c r="M684" s="74"/>
      <x:c r="N684" s="91"/>
      <x:c r="O684" s="91"/>
      <x:c r="P684" s="91"/>
      <x:c r="Q684" s="91"/>
      <x:c r="R684" s="91"/>
      <x:c r="S684" s="85"/>
      <x:c r="U684" s="86"/>
      <x:c r="V684" s="32"/>
    </x:row>
    <x:row r="685">
      <x:c r="A685" s="87"/>
      <x:c r="B685" s="88"/>
      <x:c r="D685" s="32"/>
      <x:c r="G685" s="74"/>
      <x:c r="H685" s="74"/>
      <x:c r="I685" s="74"/>
      <x:c r="J685" s="74"/>
      <x:c r="K685" s="74"/>
      <x:c r="L685" s="74"/>
      <x:c r="M685" s="74"/>
      <x:c r="N685" s="91"/>
      <x:c r="O685" s="91"/>
      <x:c r="P685" s="91"/>
      <x:c r="Q685" s="91"/>
      <x:c r="R685" s="91"/>
      <x:c r="S685" s="85"/>
      <x:c r="U685" s="86"/>
      <x:c r="V685" s="32"/>
    </x:row>
    <x:row r="686">
      <x:c r="A686" s="87"/>
      <x:c r="B686" s="88"/>
      <x:c r="D686" s="32"/>
      <x:c r="G686" s="74"/>
      <x:c r="H686" s="74"/>
      <x:c r="I686" s="74"/>
      <x:c r="J686" s="74"/>
      <x:c r="K686" s="74"/>
      <x:c r="L686" s="74"/>
      <x:c r="M686" s="74"/>
      <x:c r="N686" s="91"/>
      <x:c r="O686" s="91"/>
      <x:c r="P686" s="91"/>
      <x:c r="Q686" s="91"/>
      <x:c r="R686" s="91"/>
      <x:c r="S686" s="85"/>
      <x:c r="U686" s="86"/>
      <x:c r="V686" s="32"/>
    </x:row>
    <x:row r="687">
      <x:c r="A687" s="87"/>
      <x:c r="B687" s="88"/>
      <x:c r="D687" s="32"/>
      <x:c r="G687" s="74"/>
      <x:c r="H687" s="74"/>
      <x:c r="I687" s="74"/>
      <x:c r="J687" s="74"/>
      <x:c r="K687" s="74"/>
      <x:c r="L687" s="74"/>
      <x:c r="M687" s="74"/>
      <x:c r="N687" s="91"/>
      <x:c r="O687" s="91"/>
      <x:c r="P687" s="91"/>
      <x:c r="Q687" s="91"/>
      <x:c r="R687" s="91"/>
      <x:c r="S687" s="85"/>
      <x:c r="U687" s="86"/>
      <x:c r="V687" s="32"/>
    </x:row>
    <x:row r="688">
      <x:c r="A688" s="87"/>
      <x:c r="B688" s="88"/>
      <x:c r="D688" s="32"/>
      <x:c r="G688" s="74"/>
      <x:c r="H688" s="74"/>
      <x:c r="I688" s="74"/>
      <x:c r="J688" s="74"/>
      <x:c r="K688" s="74"/>
      <x:c r="L688" s="74"/>
      <x:c r="M688" s="74"/>
      <x:c r="N688" s="91"/>
      <x:c r="O688" s="91"/>
      <x:c r="P688" s="91"/>
      <x:c r="Q688" s="91"/>
      <x:c r="R688" s="91"/>
      <x:c r="S688" s="85"/>
      <x:c r="U688" s="86"/>
      <x:c r="V688" s="32"/>
    </x:row>
    <x:row r="689">
      <x:c r="A689" s="87"/>
      <x:c r="B689" s="88"/>
      <x:c r="D689" s="32"/>
      <x:c r="G689" s="74"/>
      <x:c r="H689" s="74"/>
      <x:c r="I689" s="74"/>
      <x:c r="J689" s="74"/>
      <x:c r="K689" s="74"/>
      <x:c r="L689" s="74"/>
      <x:c r="M689" s="74"/>
      <x:c r="N689" s="91"/>
      <x:c r="O689" s="91"/>
      <x:c r="P689" s="91"/>
      <x:c r="Q689" s="91"/>
      <x:c r="R689" s="91"/>
      <x:c r="S689" s="85"/>
      <x:c r="U689" s="86"/>
      <x:c r="V689" s="32"/>
    </x:row>
    <x:row r="690">
      <x:c r="A690" s="87"/>
      <x:c r="B690" s="88"/>
      <x:c r="D690" s="32"/>
      <x:c r="G690" s="74"/>
      <x:c r="H690" s="74"/>
      <x:c r="I690" s="74"/>
      <x:c r="J690" s="74"/>
      <x:c r="K690" s="74"/>
      <x:c r="L690" s="74"/>
      <x:c r="M690" s="74"/>
      <x:c r="N690" s="91"/>
      <x:c r="O690" s="91"/>
      <x:c r="P690" s="91"/>
      <x:c r="Q690" s="91"/>
      <x:c r="R690" s="91"/>
      <x:c r="S690" s="85"/>
      <x:c r="U690" s="86"/>
      <x:c r="V690" s="32"/>
    </x:row>
    <x:row r="691">
      <x:c r="A691" s="87"/>
      <x:c r="B691" s="88"/>
      <x:c r="D691" s="32"/>
      <x:c r="G691" s="74"/>
      <x:c r="H691" s="74"/>
      <x:c r="I691" s="74"/>
      <x:c r="J691" s="74"/>
      <x:c r="K691" s="74"/>
      <x:c r="L691" s="74"/>
      <x:c r="M691" s="74"/>
      <x:c r="N691" s="91"/>
      <x:c r="O691" s="91"/>
      <x:c r="P691" s="91"/>
      <x:c r="Q691" s="91"/>
      <x:c r="R691" s="91"/>
      <x:c r="S691" s="85"/>
      <x:c r="U691" s="86"/>
      <x:c r="V691" s="32"/>
    </x:row>
    <x:row r="692">
      <x:c r="A692" s="87"/>
      <x:c r="B692" s="88"/>
      <x:c r="D692" s="32"/>
      <x:c r="G692" s="74"/>
      <x:c r="H692" s="74"/>
      <x:c r="I692" s="74"/>
      <x:c r="J692" s="74"/>
      <x:c r="K692" s="74"/>
      <x:c r="L692" s="74"/>
      <x:c r="M692" s="74"/>
      <x:c r="N692" s="91"/>
      <x:c r="O692" s="91"/>
      <x:c r="P692" s="91"/>
      <x:c r="Q692" s="91"/>
      <x:c r="R692" s="91"/>
      <x:c r="S692" s="85"/>
      <x:c r="U692" s="86"/>
      <x:c r="V692" s="32"/>
    </x:row>
    <x:row r="693">
      <x:c r="A693" s="87"/>
      <x:c r="B693" s="88"/>
      <x:c r="D693" s="32"/>
      <x:c r="G693" s="74"/>
      <x:c r="H693" s="74"/>
      <x:c r="I693" s="74"/>
      <x:c r="J693" s="74"/>
      <x:c r="K693" s="74"/>
      <x:c r="L693" s="74"/>
      <x:c r="M693" s="74"/>
      <x:c r="N693" s="91"/>
      <x:c r="O693" s="91"/>
      <x:c r="P693" s="91"/>
      <x:c r="Q693" s="91"/>
      <x:c r="R693" s="91"/>
      <x:c r="S693" s="85"/>
      <x:c r="U693" s="86"/>
      <x:c r="V693" s="32"/>
    </x:row>
    <x:row r="694">
      <x:c r="A694" s="87"/>
      <x:c r="B694" s="88"/>
      <x:c r="D694" s="32"/>
      <x:c r="G694" s="74"/>
      <x:c r="H694" s="74"/>
      <x:c r="I694" s="74"/>
      <x:c r="J694" s="74"/>
      <x:c r="K694" s="74"/>
      <x:c r="L694" s="74"/>
      <x:c r="M694" s="74"/>
      <x:c r="N694" s="91"/>
      <x:c r="O694" s="91"/>
      <x:c r="P694" s="91"/>
      <x:c r="Q694" s="91"/>
      <x:c r="R694" s="91"/>
      <x:c r="S694" s="85"/>
      <x:c r="U694" s="86"/>
      <x:c r="V694" s="32"/>
    </x:row>
    <x:row r="695">
      <x:c r="A695" s="87"/>
      <x:c r="B695" s="88"/>
      <x:c r="D695" s="32"/>
      <x:c r="G695" s="74"/>
      <x:c r="H695" s="74"/>
      <x:c r="I695" s="74"/>
      <x:c r="J695" s="74"/>
      <x:c r="K695" s="74"/>
      <x:c r="L695" s="74"/>
      <x:c r="M695" s="74"/>
      <x:c r="N695" s="91"/>
      <x:c r="O695" s="91"/>
      <x:c r="P695" s="91"/>
      <x:c r="Q695" s="91"/>
      <x:c r="R695" s="91"/>
      <x:c r="S695" s="85"/>
      <x:c r="U695" s="86"/>
      <x:c r="V695" s="32"/>
    </x:row>
    <x:row r="696">
      <x:c r="A696" s="87"/>
      <x:c r="B696" s="88"/>
      <x:c r="D696" s="32"/>
      <x:c r="G696" s="74"/>
      <x:c r="H696" s="74"/>
      <x:c r="I696" s="74"/>
      <x:c r="J696" s="74"/>
      <x:c r="K696" s="74"/>
      <x:c r="L696" s="74"/>
      <x:c r="M696" s="74"/>
      <x:c r="N696" s="91"/>
      <x:c r="O696" s="91"/>
      <x:c r="P696" s="91"/>
      <x:c r="Q696" s="91"/>
      <x:c r="R696" s="91"/>
      <x:c r="S696" s="85"/>
      <x:c r="U696" s="86"/>
      <x:c r="V696" s="32"/>
    </x:row>
    <x:row r="697">
      <x:c r="A697" s="87"/>
      <x:c r="B697" s="88"/>
      <x:c r="D697" s="32"/>
      <x:c r="G697" s="74"/>
      <x:c r="H697" s="74"/>
      <x:c r="I697" s="74"/>
      <x:c r="J697" s="74"/>
      <x:c r="K697" s="74"/>
      <x:c r="L697" s="74"/>
      <x:c r="M697" s="74"/>
      <x:c r="N697" s="91"/>
      <x:c r="O697" s="91"/>
      <x:c r="P697" s="91"/>
      <x:c r="Q697" s="91"/>
      <x:c r="R697" s="91"/>
      <x:c r="S697" s="85"/>
      <x:c r="U697" s="86"/>
      <x:c r="V697" s="32"/>
    </x:row>
    <x:row r="698">
      <x:c r="A698" s="87"/>
      <x:c r="B698" s="88"/>
      <x:c r="D698" s="32"/>
      <x:c r="G698" s="74"/>
      <x:c r="H698" s="74"/>
      <x:c r="I698" s="74"/>
      <x:c r="J698" s="74"/>
      <x:c r="K698" s="74"/>
      <x:c r="L698" s="74"/>
      <x:c r="M698" s="74"/>
      <x:c r="N698" s="91"/>
      <x:c r="O698" s="91"/>
      <x:c r="P698" s="91"/>
      <x:c r="Q698" s="91"/>
      <x:c r="R698" s="91"/>
      <x:c r="S698" s="85"/>
      <x:c r="U698" s="86"/>
      <x:c r="V698" s="32"/>
    </x:row>
    <x:row r="699">
      <x:c r="A699" s="87"/>
      <x:c r="B699" s="88"/>
      <x:c r="D699" s="32"/>
      <x:c r="G699" s="74"/>
      <x:c r="H699" s="74"/>
      <x:c r="I699" s="74"/>
      <x:c r="J699" s="74"/>
      <x:c r="K699" s="74"/>
      <x:c r="L699" s="74"/>
      <x:c r="M699" s="74"/>
      <x:c r="N699" s="91"/>
      <x:c r="O699" s="91"/>
      <x:c r="P699" s="91"/>
      <x:c r="Q699" s="91"/>
      <x:c r="R699" s="91"/>
      <x:c r="S699" s="85"/>
      <x:c r="U699" s="86"/>
      <x:c r="V699" s="32"/>
    </x:row>
    <x:row r="700">
      <x:c r="A700" s="87"/>
      <x:c r="B700" s="88"/>
      <x:c r="D700" s="32"/>
      <x:c r="G700" s="74"/>
      <x:c r="H700" s="74"/>
      <x:c r="I700" s="74"/>
      <x:c r="J700" s="74"/>
      <x:c r="K700" s="74"/>
      <x:c r="L700" s="74"/>
      <x:c r="M700" s="74"/>
      <x:c r="N700" s="91"/>
      <x:c r="O700" s="91"/>
      <x:c r="P700" s="91"/>
      <x:c r="Q700" s="91"/>
      <x:c r="R700" s="91"/>
      <x:c r="S700" s="85"/>
      <x:c r="U700" s="86"/>
      <x:c r="V700" s="32"/>
    </x:row>
    <x:row r="701">
      <x:c r="A701" s="87"/>
      <x:c r="B701" s="88"/>
      <x:c r="D701" s="32"/>
      <x:c r="G701" s="74"/>
      <x:c r="H701" s="74"/>
      <x:c r="I701" s="74"/>
      <x:c r="J701" s="74"/>
      <x:c r="K701" s="74"/>
      <x:c r="L701" s="74"/>
      <x:c r="M701" s="74"/>
      <x:c r="N701" s="91"/>
      <x:c r="O701" s="91"/>
      <x:c r="P701" s="91"/>
      <x:c r="Q701" s="91"/>
      <x:c r="R701" s="91"/>
      <x:c r="S701" s="85"/>
      <x:c r="U701" s="86"/>
      <x:c r="V701" s="32"/>
    </x:row>
    <x:row r="702">
      <x:c r="A702" s="87"/>
      <x:c r="B702" s="88"/>
      <x:c r="D702" s="32"/>
      <x:c r="G702" s="74"/>
      <x:c r="H702" s="74"/>
      <x:c r="I702" s="74"/>
      <x:c r="J702" s="74"/>
      <x:c r="K702" s="74"/>
      <x:c r="L702" s="74"/>
      <x:c r="M702" s="74"/>
      <x:c r="N702" s="91"/>
      <x:c r="O702" s="91"/>
      <x:c r="P702" s="91"/>
      <x:c r="Q702" s="91"/>
      <x:c r="R702" s="91"/>
      <x:c r="S702" s="85"/>
      <x:c r="U702" s="86"/>
      <x:c r="V702" s="32"/>
    </x:row>
    <x:row r="703">
      <x:c r="A703" s="87"/>
      <x:c r="B703" s="88"/>
      <x:c r="D703" s="32"/>
      <x:c r="G703" s="74"/>
      <x:c r="H703" s="74"/>
      <x:c r="I703" s="74"/>
      <x:c r="J703" s="74"/>
      <x:c r="K703" s="74"/>
      <x:c r="L703" s="74"/>
      <x:c r="M703" s="74"/>
      <x:c r="N703" s="91"/>
      <x:c r="O703" s="91"/>
      <x:c r="P703" s="91"/>
      <x:c r="Q703" s="91"/>
      <x:c r="R703" s="91"/>
      <x:c r="S703" s="85"/>
      <x:c r="U703" s="86"/>
      <x:c r="V703" s="32"/>
    </x:row>
    <x:row r="704">
      <x:c r="A704" s="87"/>
      <x:c r="B704" s="88"/>
      <x:c r="D704" s="32"/>
      <x:c r="G704" s="74"/>
      <x:c r="H704" s="74"/>
      <x:c r="I704" s="74"/>
      <x:c r="J704" s="74"/>
      <x:c r="K704" s="74"/>
      <x:c r="L704" s="74"/>
      <x:c r="M704" s="74"/>
      <x:c r="N704" s="91"/>
      <x:c r="O704" s="91"/>
      <x:c r="P704" s="91"/>
      <x:c r="Q704" s="91"/>
      <x:c r="R704" s="91"/>
      <x:c r="S704" s="85"/>
      <x:c r="U704" s="86"/>
      <x:c r="V704" s="32"/>
    </x:row>
    <x:row r="705">
      <x:c r="A705" s="87"/>
      <x:c r="B705" s="88"/>
      <x:c r="D705" s="32"/>
      <x:c r="G705" s="74"/>
      <x:c r="H705" s="74"/>
      <x:c r="I705" s="74"/>
      <x:c r="J705" s="74"/>
      <x:c r="K705" s="74"/>
      <x:c r="L705" s="74"/>
      <x:c r="M705" s="74"/>
      <x:c r="N705" s="91"/>
      <x:c r="O705" s="91"/>
      <x:c r="P705" s="91"/>
      <x:c r="Q705" s="91"/>
      <x:c r="R705" s="91"/>
      <x:c r="S705" s="85"/>
      <x:c r="U705" s="86"/>
      <x:c r="V705" s="32"/>
    </x:row>
    <x:row r="706">
      <x:c r="A706" s="87"/>
      <x:c r="B706" s="88"/>
      <x:c r="D706" s="32"/>
      <x:c r="G706" s="74"/>
      <x:c r="H706" s="74"/>
      <x:c r="I706" s="74"/>
      <x:c r="J706" s="74"/>
      <x:c r="K706" s="74"/>
      <x:c r="L706" s="74"/>
      <x:c r="M706" s="74"/>
      <x:c r="N706" s="91"/>
      <x:c r="O706" s="91"/>
      <x:c r="P706" s="91"/>
      <x:c r="Q706" s="91"/>
      <x:c r="R706" s="91"/>
      <x:c r="S706" s="85"/>
      <x:c r="U706" s="86"/>
      <x:c r="V706" s="32"/>
    </x:row>
    <x:row r="707">
      <x:c r="A707" s="87"/>
      <x:c r="B707" s="88"/>
      <x:c r="D707" s="32"/>
      <x:c r="G707" s="74"/>
      <x:c r="H707" s="74"/>
      <x:c r="I707" s="74"/>
      <x:c r="J707" s="74"/>
      <x:c r="K707" s="74"/>
      <x:c r="L707" s="74"/>
      <x:c r="M707" s="74"/>
      <x:c r="N707" s="91"/>
      <x:c r="O707" s="91"/>
      <x:c r="P707" s="91"/>
      <x:c r="Q707" s="91"/>
      <x:c r="R707" s="91"/>
      <x:c r="S707" s="85"/>
      <x:c r="U707" s="86"/>
      <x:c r="V707" s="32"/>
    </x:row>
    <x:row r="708">
      <x:c r="A708" s="87"/>
      <x:c r="B708" s="88"/>
      <x:c r="D708" s="32"/>
      <x:c r="G708" s="74"/>
      <x:c r="H708" s="74"/>
      <x:c r="I708" s="74"/>
      <x:c r="J708" s="74"/>
      <x:c r="K708" s="74"/>
      <x:c r="L708" s="74"/>
      <x:c r="M708" s="74"/>
      <x:c r="N708" s="91"/>
      <x:c r="O708" s="91"/>
      <x:c r="P708" s="91"/>
      <x:c r="Q708" s="91"/>
      <x:c r="R708" s="91"/>
      <x:c r="S708" s="85"/>
      <x:c r="U708" s="86"/>
      <x:c r="V708" s="32"/>
    </x:row>
    <x:row r="709">
      <x:c r="A709" s="87"/>
      <x:c r="B709" s="88"/>
      <x:c r="D709" s="32"/>
      <x:c r="G709" s="74"/>
      <x:c r="H709" s="74"/>
      <x:c r="I709" s="74"/>
      <x:c r="J709" s="74"/>
      <x:c r="K709" s="74"/>
      <x:c r="L709" s="74"/>
      <x:c r="M709" s="74"/>
      <x:c r="N709" s="91"/>
      <x:c r="O709" s="91"/>
      <x:c r="P709" s="91"/>
      <x:c r="Q709" s="91"/>
      <x:c r="R709" s="91"/>
      <x:c r="S709" s="85"/>
      <x:c r="U709" s="86"/>
      <x:c r="V709" s="32"/>
    </x:row>
    <x:row r="710">
      <x:c r="A710" s="87"/>
      <x:c r="B710" s="88"/>
      <x:c r="D710" s="32"/>
      <x:c r="G710" s="74"/>
      <x:c r="H710" s="74"/>
      <x:c r="I710" s="74"/>
      <x:c r="J710" s="74"/>
      <x:c r="K710" s="74"/>
      <x:c r="L710" s="74"/>
      <x:c r="M710" s="74"/>
      <x:c r="N710" s="91"/>
      <x:c r="O710" s="91"/>
      <x:c r="P710" s="91"/>
      <x:c r="Q710" s="91"/>
      <x:c r="R710" s="91"/>
      <x:c r="S710" s="85"/>
      <x:c r="U710" s="86"/>
      <x:c r="V710" s="32"/>
    </x:row>
    <x:row r="711">
      <x:c r="A711" s="87"/>
      <x:c r="B711" s="88"/>
      <x:c r="D711" s="32"/>
      <x:c r="G711" s="74"/>
      <x:c r="H711" s="74"/>
      <x:c r="I711" s="74"/>
      <x:c r="J711" s="74"/>
      <x:c r="K711" s="74"/>
      <x:c r="L711" s="74"/>
      <x:c r="M711" s="74"/>
      <x:c r="N711" s="91"/>
      <x:c r="O711" s="91"/>
      <x:c r="P711" s="91"/>
      <x:c r="Q711" s="91"/>
      <x:c r="R711" s="91"/>
      <x:c r="S711" s="85"/>
      <x:c r="U711" s="86"/>
      <x:c r="V711" s="32"/>
    </x:row>
    <x:row r="712">
      <x:c r="A712" s="87"/>
      <x:c r="B712" s="88"/>
      <x:c r="D712" s="32"/>
      <x:c r="G712" s="74"/>
      <x:c r="H712" s="74"/>
      <x:c r="I712" s="74"/>
      <x:c r="J712" s="74"/>
      <x:c r="K712" s="74"/>
      <x:c r="L712" s="74"/>
      <x:c r="M712" s="74"/>
      <x:c r="N712" s="91"/>
      <x:c r="O712" s="91"/>
      <x:c r="P712" s="91"/>
      <x:c r="Q712" s="91"/>
      <x:c r="R712" s="91"/>
      <x:c r="S712" s="85"/>
      <x:c r="U712" s="86"/>
      <x:c r="V712" s="32"/>
    </x:row>
    <x:row r="713">
      <x:c r="A713" s="87"/>
      <x:c r="B713" s="88"/>
      <x:c r="D713" s="32"/>
      <x:c r="G713" s="74"/>
      <x:c r="H713" s="74"/>
      <x:c r="I713" s="74"/>
      <x:c r="J713" s="74"/>
      <x:c r="K713" s="74"/>
      <x:c r="L713" s="74"/>
      <x:c r="M713" s="74"/>
      <x:c r="N713" s="91"/>
      <x:c r="O713" s="91"/>
      <x:c r="P713" s="91"/>
      <x:c r="Q713" s="91"/>
      <x:c r="R713" s="91"/>
      <x:c r="S713" s="85"/>
      <x:c r="U713" s="86"/>
      <x:c r="V713" s="32"/>
    </x:row>
    <x:row r="714">
      <x:c r="A714" s="87"/>
      <x:c r="B714" s="88"/>
      <x:c r="D714" s="32"/>
      <x:c r="G714" s="74"/>
      <x:c r="H714" s="74"/>
      <x:c r="I714" s="74"/>
      <x:c r="J714" s="74"/>
      <x:c r="K714" s="74"/>
      <x:c r="L714" s="74"/>
      <x:c r="M714" s="74"/>
      <x:c r="N714" s="91"/>
      <x:c r="O714" s="91"/>
      <x:c r="P714" s="91"/>
      <x:c r="Q714" s="91"/>
      <x:c r="R714" s="91"/>
      <x:c r="S714" s="85"/>
      <x:c r="U714" s="86"/>
      <x:c r="V714" s="32"/>
    </x:row>
    <x:row r="715">
      <x:c r="A715" s="87"/>
      <x:c r="B715" s="88"/>
      <x:c r="D715" s="32"/>
      <x:c r="G715" s="74"/>
      <x:c r="H715" s="74"/>
      <x:c r="I715" s="74"/>
      <x:c r="J715" s="74"/>
      <x:c r="K715" s="74"/>
      <x:c r="L715" s="74"/>
      <x:c r="M715" s="74"/>
      <x:c r="N715" s="91"/>
      <x:c r="O715" s="91"/>
      <x:c r="P715" s="91"/>
      <x:c r="Q715" s="91"/>
      <x:c r="R715" s="91"/>
      <x:c r="S715" s="85"/>
      <x:c r="U715" s="86"/>
      <x:c r="V715" s="32"/>
    </x:row>
    <x:row r="716">
      <x:c r="A716" s="87"/>
      <x:c r="B716" s="88"/>
      <x:c r="D716" s="32"/>
      <x:c r="G716" s="74"/>
      <x:c r="H716" s="74"/>
      <x:c r="I716" s="74"/>
      <x:c r="J716" s="74"/>
      <x:c r="K716" s="74"/>
      <x:c r="L716" s="74"/>
      <x:c r="M716" s="74"/>
      <x:c r="N716" s="91"/>
      <x:c r="O716" s="91"/>
      <x:c r="P716" s="91"/>
      <x:c r="Q716" s="91"/>
      <x:c r="R716" s="91"/>
      <x:c r="S716" s="85"/>
      <x:c r="U716" s="86"/>
      <x:c r="V716" s="32"/>
    </x:row>
    <x:row r="717">
      <x:c r="A717" s="87"/>
      <x:c r="B717" s="88"/>
      <x:c r="D717" s="32"/>
      <x:c r="G717" s="74"/>
      <x:c r="H717" s="74"/>
      <x:c r="I717" s="74"/>
      <x:c r="J717" s="74"/>
      <x:c r="K717" s="74"/>
      <x:c r="L717" s="74"/>
      <x:c r="M717" s="74"/>
      <x:c r="N717" s="91"/>
      <x:c r="O717" s="91"/>
      <x:c r="P717" s="91"/>
      <x:c r="Q717" s="91"/>
      <x:c r="R717" s="91"/>
      <x:c r="S717" s="85"/>
      <x:c r="U717" s="86"/>
      <x:c r="V717" s="32"/>
    </x:row>
    <x:row r="718">
      <x:c r="A718" s="87"/>
      <x:c r="B718" s="88"/>
      <x:c r="D718" s="32"/>
      <x:c r="G718" s="74"/>
      <x:c r="H718" s="74"/>
      <x:c r="I718" s="74"/>
      <x:c r="J718" s="74"/>
      <x:c r="K718" s="74"/>
      <x:c r="L718" s="74"/>
      <x:c r="M718" s="74"/>
      <x:c r="N718" s="91"/>
      <x:c r="O718" s="91"/>
      <x:c r="P718" s="91"/>
      <x:c r="Q718" s="91"/>
      <x:c r="R718" s="91"/>
      <x:c r="S718" s="85"/>
      <x:c r="U718" s="86"/>
      <x:c r="V718" s="32"/>
    </x:row>
    <x:row r="719">
      <x:c r="A719" s="87"/>
      <x:c r="B719" s="88"/>
      <x:c r="D719" s="32"/>
      <x:c r="G719" s="74"/>
      <x:c r="H719" s="74"/>
      <x:c r="I719" s="74"/>
      <x:c r="J719" s="74"/>
      <x:c r="K719" s="74"/>
      <x:c r="L719" s="74"/>
      <x:c r="M719" s="74"/>
      <x:c r="N719" s="91"/>
      <x:c r="O719" s="91"/>
      <x:c r="P719" s="91"/>
      <x:c r="Q719" s="91"/>
      <x:c r="R719" s="91"/>
      <x:c r="S719" s="85"/>
      <x:c r="U719" s="86"/>
      <x:c r="V719" s="32"/>
    </x:row>
    <x:row r="720">
      <x:c r="A720" s="87"/>
      <x:c r="B720" s="88"/>
      <x:c r="D720" s="32"/>
      <x:c r="G720" s="74"/>
      <x:c r="H720" s="74"/>
      <x:c r="I720" s="74"/>
      <x:c r="J720" s="74"/>
      <x:c r="K720" s="74"/>
      <x:c r="L720" s="74"/>
      <x:c r="M720" s="74"/>
      <x:c r="N720" s="91"/>
      <x:c r="O720" s="91"/>
      <x:c r="P720" s="91"/>
      <x:c r="Q720" s="91"/>
      <x:c r="R720" s="91"/>
      <x:c r="S720" s="85"/>
      <x:c r="U720" s="86"/>
      <x:c r="V720" s="32"/>
    </x:row>
    <x:row r="721">
      <x:c r="A721" s="87"/>
      <x:c r="B721" s="88"/>
      <x:c r="D721" s="32"/>
      <x:c r="G721" s="74"/>
      <x:c r="H721" s="74"/>
      <x:c r="I721" s="74"/>
      <x:c r="J721" s="74"/>
      <x:c r="K721" s="74"/>
      <x:c r="L721" s="74"/>
      <x:c r="M721" s="74"/>
      <x:c r="N721" s="91"/>
      <x:c r="O721" s="91"/>
      <x:c r="P721" s="91"/>
      <x:c r="Q721" s="91"/>
      <x:c r="R721" s="91"/>
      <x:c r="S721" s="85"/>
      <x:c r="U721" s="86"/>
      <x:c r="V721" s="32"/>
    </x:row>
    <x:row r="722">
      <x:c r="A722" s="87"/>
      <x:c r="B722" s="88"/>
      <x:c r="D722" s="32"/>
      <x:c r="G722" s="74"/>
      <x:c r="H722" s="74"/>
      <x:c r="I722" s="74"/>
      <x:c r="J722" s="74"/>
      <x:c r="K722" s="74"/>
      <x:c r="L722" s="74"/>
      <x:c r="M722" s="74"/>
      <x:c r="N722" s="91"/>
      <x:c r="O722" s="91"/>
      <x:c r="P722" s="91"/>
      <x:c r="Q722" s="91"/>
      <x:c r="R722" s="91"/>
      <x:c r="S722" s="85"/>
      <x:c r="U722" s="86"/>
      <x:c r="V722" s="32"/>
    </x:row>
    <x:row r="723">
      <x:c r="A723" s="87"/>
      <x:c r="B723" s="88"/>
      <x:c r="D723" s="32"/>
      <x:c r="G723" s="74"/>
      <x:c r="H723" s="74"/>
      <x:c r="I723" s="74"/>
      <x:c r="J723" s="74"/>
      <x:c r="K723" s="74"/>
      <x:c r="L723" s="74"/>
      <x:c r="M723" s="74"/>
      <x:c r="N723" s="91"/>
      <x:c r="O723" s="91"/>
      <x:c r="P723" s="91"/>
      <x:c r="Q723" s="91"/>
      <x:c r="R723" s="91"/>
      <x:c r="S723" s="85"/>
      <x:c r="U723" s="86"/>
      <x:c r="V723" s="32"/>
    </x:row>
    <x:row r="724">
      <x:c r="A724" s="87"/>
      <x:c r="B724" s="88"/>
      <x:c r="D724" s="32"/>
      <x:c r="G724" s="74"/>
      <x:c r="H724" s="74"/>
      <x:c r="I724" s="74"/>
      <x:c r="J724" s="74"/>
      <x:c r="K724" s="74"/>
      <x:c r="L724" s="74"/>
      <x:c r="M724" s="74"/>
      <x:c r="N724" s="91"/>
      <x:c r="O724" s="91"/>
      <x:c r="P724" s="91"/>
      <x:c r="Q724" s="91"/>
      <x:c r="R724" s="91"/>
      <x:c r="S724" s="85"/>
      <x:c r="U724" s="86"/>
      <x:c r="V724" s="32"/>
    </x:row>
    <x:row r="725">
      <x:c r="A725" s="87"/>
      <x:c r="B725" s="88"/>
      <x:c r="D725" s="32"/>
      <x:c r="G725" s="74"/>
      <x:c r="H725" s="74"/>
      <x:c r="I725" s="74"/>
      <x:c r="J725" s="74"/>
      <x:c r="K725" s="74"/>
      <x:c r="L725" s="74"/>
      <x:c r="M725" s="74"/>
      <x:c r="N725" s="91"/>
      <x:c r="O725" s="91"/>
      <x:c r="P725" s="91"/>
      <x:c r="Q725" s="91"/>
      <x:c r="R725" s="91"/>
      <x:c r="S725" s="85"/>
      <x:c r="U725" s="86"/>
      <x:c r="V725" s="32"/>
    </x:row>
    <x:row r="726">
      <x:c r="A726" s="87"/>
      <x:c r="B726" s="88"/>
      <x:c r="D726" s="32"/>
      <x:c r="G726" s="74"/>
      <x:c r="H726" s="74"/>
      <x:c r="I726" s="74"/>
      <x:c r="J726" s="74"/>
      <x:c r="K726" s="74"/>
      <x:c r="L726" s="74"/>
      <x:c r="M726" s="74"/>
      <x:c r="N726" s="91"/>
      <x:c r="O726" s="91"/>
      <x:c r="P726" s="91"/>
      <x:c r="Q726" s="91"/>
      <x:c r="R726" s="91"/>
      <x:c r="S726" s="85"/>
      <x:c r="U726" s="86"/>
      <x:c r="V726" s="32"/>
    </x:row>
    <x:row r="727">
      <x:c r="A727" s="87"/>
      <x:c r="B727" s="88"/>
      <x:c r="D727" s="32"/>
      <x:c r="G727" s="74"/>
      <x:c r="H727" s="74"/>
      <x:c r="I727" s="74"/>
      <x:c r="J727" s="74"/>
      <x:c r="K727" s="74"/>
      <x:c r="L727" s="74"/>
      <x:c r="M727" s="74"/>
      <x:c r="N727" s="91"/>
      <x:c r="O727" s="91"/>
      <x:c r="P727" s="91"/>
      <x:c r="Q727" s="91"/>
      <x:c r="R727" s="91"/>
      <x:c r="S727" s="85"/>
      <x:c r="U727" s="86"/>
      <x:c r="V727" s="32"/>
    </x:row>
    <x:row r="728">
      <x:c r="A728" s="87"/>
      <x:c r="B728" s="88"/>
      <x:c r="D728" s="32"/>
      <x:c r="G728" s="74"/>
      <x:c r="H728" s="74"/>
      <x:c r="I728" s="74"/>
      <x:c r="J728" s="74"/>
      <x:c r="K728" s="74"/>
      <x:c r="L728" s="74"/>
      <x:c r="M728" s="74"/>
      <x:c r="N728" s="91"/>
      <x:c r="O728" s="91"/>
      <x:c r="P728" s="91"/>
      <x:c r="Q728" s="91"/>
      <x:c r="R728" s="91"/>
      <x:c r="S728" s="85"/>
      <x:c r="U728" s="86"/>
      <x:c r="V728" s="32"/>
    </x:row>
    <x:row r="729">
      <x:c r="A729" s="87"/>
      <x:c r="B729" s="88"/>
      <x:c r="D729" s="32"/>
      <x:c r="G729" s="74"/>
      <x:c r="H729" s="74"/>
      <x:c r="I729" s="74"/>
      <x:c r="J729" s="74"/>
      <x:c r="K729" s="74"/>
      <x:c r="L729" s="74"/>
      <x:c r="M729" s="74"/>
      <x:c r="N729" s="91"/>
      <x:c r="O729" s="91"/>
      <x:c r="P729" s="91"/>
      <x:c r="Q729" s="91"/>
      <x:c r="R729" s="91"/>
      <x:c r="S729" s="85"/>
      <x:c r="U729" s="86"/>
      <x:c r="V729" s="32"/>
    </x:row>
    <x:row r="730">
      <x:c r="A730" s="87"/>
      <x:c r="B730" s="88"/>
      <x:c r="D730" s="32"/>
      <x:c r="G730" s="74"/>
      <x:c r="H730" s="74"/>
      <x:c r="I730" s="74"/>
      <x:c r="J730" s="74"/>
      <x:c r="K730" s="74"/>
      <x:c r="L730" s="74"/>
      <x:c r="M730" s="74"/>
      <x:c r="N730" s="91"/>
      <x:c r="O730" s="91"/>
      <x:c r="P730" s="91"/>
      <x:c r="Q730" s="91"/>
      <x:c r="R730" s="91"/>
      <x:c r="S730" s="85"/>
      <x:c r="U730" s="86"/>
      <x:c r="V730" s="32"/>
    </x:row>
    <x:row r="731">
      <x:c r="A731" s="87"/>
      <x:c r="B731" s="88"/>
      <x:c r="D731" s="32"/>
      <x:c r="G731" s="74"/>
      <x:c r="H731" s="74"/>
      <x:c r="I731" s="74"/>
      <x:c r="J731" s="74"/>
      <x:c r="K731" s="74"/>
      <x:c r="L731" s="74"/>
      <x:c r="M731" s="74"/>
      <x:c r="N731" s="91"/>
      <x:c r="O731" s="91"/>
      <x:c r="P731" s="91"/>
      <x:c r="Q731" s="91"/>
      <x:c r="R731" s="91"/>
      <x:c r="S731" s="85"/>
      <x:c r="U731" s="86"/>
      <x:c r="V731" s="32"/>
    </x:row>
    <x:row r="732">
      <x:c r="A732" s="87"/>
      <x:c r="B732" s="88"/>
      <x:c r="D732" s="32"/>
      <x:c r="G732" s="74"/>
      <x:c r="H732" s="74"/>
      <x:c r="I732" s="74"/>
      <x:c r="J732" s="74"/>
      <x:c r="K732" s="74"/>
      <x:c r="L732" s="74"/>
      <x:c r="M732" s="74"/>
      <x:c r="N732" s="91"/>
      <x:c r="O732" s="91"/>
      <x:c r="P732" s="91"/>
      <x:c r="Q732" s="91"/>
      <x:c r="R732" s="91"/>
      <x:c r="S732" s="85"/>
      <x:c r="U732" s="86"/>
      <x:c r="V732" s="32"/>
    </x:row>
    <x:row r="733">
      <x:c r="A733" s="87"/>
      <x:c r="B733" s="88"/>
      <x:c r="D733" s="32"/>
      <x:c r="G733" s="74"/>
      <x:c r="H733" s="74"/>
      <x:c r="I733" s="74"/>
      <x:c r="J733" s="74"/>
      <x:c r="K733" s="74"/>
      <x:c r="L733" s="74"/>
      <x:c r="M733" s="74"/>
      <x:c r="N733" s="91"/>
      <x:c r="O733" s="91"/>
      <x:c r="P733" s="91"/>
      <x:c r="Q733" s="91"/>
      <x:c r="R733" s="91"/>
      <x:c r="S733" s="85"/>
      <x:c r="U733" s="86"/>
      <x:c r="V733" s="32"/>
    </x:row>
    <x:row r="734">
      <x:c r="A734" s="87"/>
      <x:c r="B734" s="88"/>
      <x:c r="D734" s="32"/>
      <x:c r="G734" s="74"/>
      <x:c r="H734" s="74"/>
      <x:c r="I734" s="74"/>
      <x:c r="J734" s="74"/>
      <x:c r="K734" s="74"/>
      <x:c r="L734" s="74"/>
      <x:c r="M734" s="74"/>
      <x:c r="N734" s="91"/>
      <x:c r="O734" s="91"/>
      <x:c r="P734" s="91"/>
      <x:c r="Q734" s="91"/>
      <x:c r="R734" s="91"/>
      <x:c r="S734" s="85"/>
      <x:c r="U734" s="86"/>
      <x:c r="V734" s="32"/>
    </x:row>
    <x:row r="735">
      <x:c r="A735" s="87"/>
      <x:c r="B735" s="88"/>
      <x:c r="D735" s="32"/>
      <x:c r="G735" s="74"/>
      <x:c r="H735" s="74"/>
      <x:c r="I735" s="74"/>
      <x:c r="J735" s="74"/>
      <x:c r="K735" s="74"/>
      <x:c r="L735" s="74"/>
      <x:c r="M735" s="74"/>
      <x:c r="N735" s="91"/>
      <x:c r="O735" s="91"/>
      <x:c r="P735" s="91"/>
      <x:c r="Q735" s="91"/>
      <x:c r="R735" s="91"/>
      <x:c r="S735" s="85"/>
      <x:c r="U735" s="86"/>
      <x:c r="V735" s="32"/>
    </x:row>
    <x:row r="736">
      <x:c r="A736" s="87"/>
      <x:c r="B736" s="88"/>
      <x:c r="D736" s="32"/>
      <x:c r="G736" s="74"/>
      <x:c r="H736" s="74"/>
      <x:c r="I736" s="74"/>
      <x:c r="J736" s="74"/>
      <x:c r="K736" s="74"/>
      <x:c r="L736" s="74"/>
      <x:c r="M736" s="74"/>
      <x:c r="N736" s="91"/>
      <x:c r="O736" s="91"/>
      <x:c r="P736" s="91"/>
      <x:c r="Q736" s="91"/>
      <x:c r="R736" s="91"/>
      <x:c r="S736" s="85"/>
      <x:c r="U736" s="86"/>
      <x:c r="V736" s="32"/>
    </x:row>
    <x:row r="737">
      <x:c r="A737" s="87"/>
      <x:c r="B737" s="88"/>
      <x:c r="D737" s="32"/>
      <x:c r="G737" s="74"/>
      <x:c r="H737" s="74"/>
      <x:c r="I737" s="74"/>
      <x:c r="J737" s="74"/>
      <x:c r="K737" s="74"/>
      <x:c r="L737" s="74"/>
      <x:c r="M737" s="74"/>
      <x:c r="N737" s="91"/>
      <x:c r="O737" s="91"/>
      <x:c r="P737" s="91"/>
      <x:c r="Q737" s="91"/>
      <x:c r="R737" s="91"/>
      <x:c r="S737" s="85"/>
      <x:c r="U737" s="86"/>
      <x:c r="V737" s="32"/>
    </x:row>
    <x:row r="738">
      <x:c r="A738" s="87"/>
      <x:c r="B738" s="88"/>
      <x:c r="D738" s="32"/>
      <x:c r="G738" s="74"/>
      <x:c r="H738" s="74"/>
      <x:c r="I738" s="74"/>
      <x:c r="J738" s="74"/>
      <x:c r="K738" s="74"/>
      <x:c r="L738" s="74"/>
      <x:c r="M738" s="74"/>
      <x:c r="N738" s="91"/>
      <x:c r="O738" s="91"/>
      <x:c r="P738" s="91"/>
      <x:c r="Q738" s="91"/>
      <x:c r="R738" s="91"/>
      <x:c r="S738" s="85"/>
      <x:c r="U738" s="86"/>
      <x:c r="V738" s="32"/>
    </x:row>
    <x:row r="739">
      <x:c r="A739" s="87"/>
      <x:c r="B739" s="88"/>
      <x:c r="D739" s="32"/>
      <x:c r="G739" s="74"/>
      <x:c r="H739" s="74"/>
      <x:c r="I739" s="74"/>
      <x:c r="J739" s="74"/>
      <x:c r="K739" s="74"/>
      <x:c r="L739" s="74"/>
      <x:c r="M739" s="74"/>
      <x:c r="N739" s="91"/>
      <x:c r="O739" s="91"/>
      <x:c r="P739" s="91"/>
      <x:c r="Q739" s="91"/>
      <x:c r="R739" s="91"/>
      <x:c r="S739" s="85"/>
      <x:c r="U739" s="86"/>
      <x:c r="V739" s="32"/>
    </x:row>
    <x:row r="740">
      <x:c r="A740" s="87"/>
      <x:c r="B740" s="88"/>
      <x:c r="D740" s="32"/>
      <x:c r="G740" s="74"/>
      <x:c r="H740" s="74"/>
      <x:c r="I740" s="74"/>
      <x:c r="J740" s="74"/>
      <x:c r="K740" s="74"/>
      <x:c r="L740" s="74"/>
      <x:c r="M740" s="74"/>
      <x:c r="N740" s="91"/>
      <x:c r="O740" s="91"/>
      <x:c r="P740" s="91"/>
      <x:c r="Q740" s="91"/>
      <x:c r="R740" s="91"/>
      <x:c r="S740" s="85"/>
      <x:c r="U740" s="86"/>
      <x:c r="V740" s="32"/>
    </x:row>
    <x:row r="741">
      <x:c r="A741" s="87"/>
      <x:c r="B741" s="88"/>
      <x:c r="D741" s="32"/>
      <x:c r="G741" s="74"/>
      <x:c r="H741" s="74"/>
      <x:c r="I741" s="74"/>
      <x:c r="J741" s="74"/>
      <x:c r="K741" s="74"/>
      <x:c r="L741" s="74"/>
      <x:c r="M741" s="74"/>
      <x:c r="N741" s="91"/>
      <x:c r="O741" s="91"/>
      <x:c r="P741" s="91"/>
      <x:c r="Q741" s="91"/>
      <x:c r="R741" s="91"/>
      <x:c r="S741" s="85"/>
      <x:c r="U741" s="86"/>
      <x:c r="V741" s="32"/>
    </x:row>
    <x:row r="742">
      <x:c r="A742" s="87"/>
      <x:c r="B742" s="88"/>
      <x:c r="D742" s="32"/>
      <x:c r="G742" s="74"/>
      <x:c r="H742" s="74"/>
      <x:c r="I742" s="74"/>
      <x:c r="J742" s="74"/>
      <x:c r="K742" s="74"/>
      <x:c r="L742" s="74"/>
      <x:c r="M742" s="74"/>
      <x:c r="N742" s="91"/>
      <x:c r="O742" s="91"/>
      <x:c r="P742" s="91"/>
      <x:c r="Q742" s="91"/>
      <x:c r="R742" s="91"/>
      <x:c r="S742" s="85"/>
      <x:c r="U742" s="86"/>
      <x:c r="V742" s="32"/>
    </x:row>
    <x:row r="743">
      <x:c r="A743" s="87"/>
      <x:c r="B743" s="88"/>
      <x:c r="D743" s="32"/>
      <x:c r="G743" s="74"/>
      <x:c r="H743" s="74"/>
      <x:c r="I743" s="74"/>
      <x:c r="J743" s="74"/>
      <x:c r="K743" s="74"/>
      <x:c r="L743" s="74"/>
      <x:c r="M743" s="74"/>
      <x:c r="N743" s="91"/>
      <x:c r="O743" s="91"/>
      <x:c r="P743" s="91"/>
      <x:c r="Q743" s="91"/>
      <x:c r="R743" s="91"/>
      <x:c r="S743" s="85"/>
      <x:c r="U743" s="86"/>
      <x:c r="V743" s="32"/>
    </x:row>
    <x:row r="744">
      <x:c r="A744" s="87"/>
      <x:c r="B744" s="88"/>
      <x:c r="D744" s="32"/>
      <x:c r="G744" s="74"/>
      <x:c r="H744" s="74"/>
      <x:c r="I744" s="74"/>
      <x:c r="J744" s="74"/>
      <x:c r="K744" s="74"/>
      <x:c r="L744" s="74"/>
      <x:c r="M744" s="74"/>
      <x:c r="N744" s="91"/>
      <x:c r="O744" s="91"/>
      <x:c r="P744" s="91"/>
      <x:c r="Q744" s="91"/>
      <x:c r="R744" s="91"/>
      <x:c r="S744" s="85"/>
      <x:c r="U744" s="86"/>
      <x:c r="V744" s="32"/>
    </x:row>
    <x:row r="745">
      <x:c r="A745" s="87"/>
      <x:c r="B745" s="88"/>
      <x:c r="D745" s="32"/>
      <x:c r="G745" s="74"/>
      <x:c r="H745" s="74"/>
      <x:c r="I745" s="74"/>
      <x:c r="J745" s="74"/>
      <x:c r="K745" s="74"/>
      <x:c r="L745" s="74"/>
      <x:c r="M745" s="74"/>
      <x:c r="N745" s="91"/>
      <x:c r="O745" s="91"/>
      <x:c r="P745" s="91"/>
      <x:c r="Q745" s="91"/>
      <x:c r="R745" s="91"/>
      <x:c r="S745" s="85"/>
      <x:c r="U745" s="86"/>
      <x:c r="V745" s="32"/>
    </x:row>
    <x:row r="746">
      <x:c r="A746" s="87"/>
      <x:c r="B746" s="88"/>
      <x:c r="D746" s="32"/>
      <x:c r="G746" s="74"/>
      <x:c r="H746" s="74"/>
      <x:c r="I746" s="74"/>
      <x:c r="J746" s="74"/>
      <x:c r="K746" s="74"/>
      <x:c r="L746" s="74"/>
      <x:c r="M746" s="74"/>
      <x:c r="N746" s="91"/>
      <x:c r="O746" s="91"/>
      <x:c r="P746" s="91"/>
      <x:c r="Q746" s="91"/>
      <x:c r="R746" s="91"/>
      <x:c r="S746" s="85"/>
      <x:c r="U746" s="86"/>
      <x:c r="V746" s="32"/>
    </x:row>
    <x:row r="747">
      <x:c r="A747" s="87"/>
      <x:c r="B747" s="88"/>
      <x:c r="D747" s="32"/>
      <x:c r="G747" s="74"/>
      <x:c r="H747" s="74"/>
      <x:c r="I747" s="74"/>
      <x:c r="J747" s="74"/>
      <x:c r="K747" s="74"/>
      <x:c r="L747" s="74"/>
      <x:c r="M747" s="74"/>
      <x:c r="N747" s="91"/>
      <x:c r="O747" s="91"/>
      <x:c r="P747" s="91"/>
      <x:c r="Q747" s="91"/>
      <x:c r="R747" s="91"/>
      <x:c r="S747" s="85"/>
      <x:c r="U747" s="86"/>
      <x:c r="V747" s="32"/>
    </x:row>
    <x:row r="748">
      <x:c r="A748" s="87"/>
      <x:c r="B748" s="88"/>
      <x:c r="D748" s="32"/>
      <x:c r="G748" s="74"/>
      <x:c r="H748" s="74"/>
      <x:c r="I748" s="74"/>
      <x:c r="J748" s="74"/>
      <x:c r="K748" s="74"/>
      <x:c r="L748" s="74"/>
      <x:c r="M748" s="74"/>
      <x:c r="N748" s="91"/>
      <x:c r="O748" s="91"/>
      <x:c r="P748" s="91"/>
      <x:c r="Q748" s="91"/>
      <x:c r="R748" s="91"/>
      <x:c r="S748" s="85"/>
      <x:c r="U748" s="86"/>
      <x:c r="V748" s="32"/>
    </x:row>
    <x:row r="749">
      <x:c r="A749" s="87"/>
      <x:c r="B749" s="88"/>
      <x:c r="D749" s="32"/>
      <x:c r="G749" s="74"/>
      <x:c r="H749" s="74"/>
      <x:c r="I749" s="74"/>
      <x:c r="J749" s="74"/>
      <x:c r="K749" s="74"/>
      <x:c r="L749" s="74"/>
      <x:c r="M749" s="74"/>
      <x:c r="N749" s="91"/>
      <x:c r="O749" s="91"/>
      <x:c r="P749" s="91"/>
      <x:c r="Q749" s="91"/>
      <x:c r="R749" s="91"/>
      <x:c r="S749" s="85"/>
      <x:c r="U749" s="86"/>
      <x:c r="V749" s="32"/>
    </x:row>
    <x:row r="750">
      <x:c r="A750" s="87"/>
      <x:c r="B750" s="88"/>
      <x:c r="D750" s="32"/>
      <x:c r="G750" s="74"/>
      <x:c r="H750" s="74"/>
      <x:c r="I750" s="74"/>
      <x:c r="J750" s="74"/>
      <x:c r="K750" s="74"/>
      <x:c r="L750" s="74"/>
      <x:c r="M750" s="74"/>
      <x:c r="N750" s="91"/>
      <x:c r="O750" s="91"/>
      <x:c r="P750" s="91"/>
      <x:c r="Q750" s="91"/>
      <x:c r="R750" s="91"/>
      <x:c r="S750" s="85"/>
      <x:c r="U750" s="86"/>
      <x:c r="V750" s="32"/>
    </x:row>
    <x:row r="751">
      <x:c r="A751" s="87"/>
      <x:c r="B751" s="88"/>
      <x:c r="D751" s="32"/>
      <x:c r="G751" s="74"/>
      <x:c r="H751" s="74"/>
      <x:c r="I751" s="74"/>
      <x:c r="J751" s="74"/>
      <x:c r="K751" s="74"/>
      <x:c r="L751" s="74"/>
      <x:c r="M751" s="74"/>
      <x:c r="N751" s="91"/>
      <x:c r="O751" s="91"/>
      <x:c r="P751" s="91"/>
      <x:c r="Q751" s="91"/>
      <x:c r="R751" s="91"/>
      <x:c r="S751" s="85"/>
      <x:c r="U751" s="86"/>
      <x:c r="V751" s="32"/>
    </x:row>
    <x:row r="752">
      <x:c r="A752" s="87"/>
      <x:c r="B752" s="88"/>
      <x:c r="D752" s="32"/>
      <x:c r="G752" s="74"/>
      <x:c r="H752" s="74"/>
      <x:c r="I752" s="74"/>
      <x:c r="J752" s="74"/>
      <x:c r="K752" s="74"/>
      <x:c r="L752" s="74"/>
      <x:c r="M752" s="74"/>
      <x:c r="N752" s="91"/>
      <x:c r="O752" s="91"/>
      <x:c r="P752" s="91"/>
      <x:c r="Q752" s="91"/>
      <x:c r="R752" s="91"/>
      <x:c r="S752" s="85"/>
      <x:c r="U752" s="86"/>
      <x:c r="V752" s="32"/>
    </x:row>
    <x:row r="753">
      <x:c r="A753" s="87"/>
      <x:c r="B753" s="88"/>
      <x:c r="D753" s="32"/>
      <x:c r="G753" s="74"/>
      <x:c r="H753" s="74"/>
      <x:c r="I753" s="74"/>
      <x:c r="J753" s="74"/>
      <x:c r="K753" s="74"/>
      <x:c r="L753" s="74"/>
      <x:c r="M753" s="74"/>
      <x:c r="N753" s="91"/>
      <x:c r="O753" s="91"/>
      <x:c r="P753" s="91"/>
      <x:c r="Q753" s="91"/>
      <x:c r="R753" s="91"/>
      <x:c r="S753" s="85"/>
      <x:c r="U753" s="86"/>
      <x:c r="V753" s="32"/>
    </x:row>
    <x:row r="754">
      <x:c r="A754" s="87"/>
      <x:c r="B754" s="88"/>
      <x:c r="D754" s="32"/>
      <x:c r="G754" s="74"/>
      <x:c r="H754" s="74"/>
      <x:c r="I754" s="74"/>
      <x:c r="J754" s="74"/>
      <x:c r="K754" s="74"/>
      <x:c r="L754" s="74"/>
      <x:c r="M754" s="74"/>
      <x:c r="N754" s="91"/>
      <x:c r="O754" s="91"/>
      <x:c r="P754" s="91"/>
      <x:c r="Q754" s="91"/>
      <x:c r="R754" s="91"/>
      <x:c r="S754" s="85"/>
      <x:c r="U754" s="86"/>
      <x:c r="V754" s="32"/>
    </x:row>
    <x:row r="755">
      <x:c r="A755" s="87"/>
      <x:c r="B755" s="88"/>
      <x:c r="D755" s="32"/>
      <x:c r="G755" s="74"/>
      <x:c r="H755" s="74"/>
      <x:c r="I755" s="74"/>
      <x:c r="J755" s="74"/>
      <x:c r="K755" s="74"/>
      <x:c r="L755" s="74"/>
      <x:c r="M755" s="74"/>
      <x:c r="N755" s="91"/>
      <x:c r="O755" s="91"/>
      <x:c r="P755" s="91"/>
      <x:c r="Q755" s="91"/>
      <x:c r="R755" s="91"/>
      <x:c r="S755" s="85"/>
      <x:c r="U755" s="86"/>
      <x:c r="V755" s="32"/>
    </x:row>
    <x:row r="756">
      <x:c r="A756" s="87"/>
      <x:c r="B756" s="88"/>
      <x:c r="D756" s="32"/>
      <x:c r="G756" s="74"/>
      <x:c r="H756" s="74"/>
      <x:c r="I756" s="74"/>
      <x:c r="J756" s="74"/>
      <x:c r="K756" s="74"/>
      <x:c r="L756" s="74"/>
      <x:c r="M756" s="74"/>
      <x:c r="N756" s="91"/>
      <x:c r="O756" s="91"/>
      <x:c r="P756" s="91"/>
      <x:c r="Q756" s="91"/>
      <x:c r="R756" s="91"/>
      <x:c r="S756" s="85"/>
      <x:c r="U756" s="86"/>
      <x:c r="V756" s="32"/>
    </x:row>
    <x:row r="757">
      <x:c r="A757" s="87"/>
      <x:c r="B757" s="88"/>
      <x:c r="D757" s="32"/>
      <x:c r="G757" s="74"/>
      <x:c r="H757" s="74"/>
      <x:c r="I757" s="74"/>
      <x:c r="J757" s="74"/>
      <x:c r="K757" s="74"/>
      <x:c r="L757" s="74"/>
      <x:c r="M757" s="74"/>
      <x:c r="N757" s="91"/>
      <x:c r="O757" s="91"/>
      <x:c r="P757" s="91"/>
      <x:c r="Q757" s="91"/>
      <x:c r="R757" s="91"/>
      <x:c r="S757" s="85"/>
      <x:c r="U757" s="86"/>
      <x:c r="V757" s="32"/>
    </x:row>
    <x:row r="758">
      <x:c r="A758" s="87"/>
      <x:c r="B758" s="88"/>
      <x:c r="D758" s="32"/>
      <x:c r="G758" s="74"/>
      <x:c r="H758" s="74"/>
      <x:c r="I758" s="74"/>
      <x:c r="J758" s="74"/>
      <x:c r="K758" s="74"/>
      <x:c r="L758" s="74"/>
      <x:c r="M758" s="74"/>
      <x:c r="N758" s="91"/>
      <x:c r="O758" s="91"/>
      <x:c r="P758" s="91"/>
      <x:c r="Q758" s="91"/>
      <x:c r="R758" s="91"/>
      <x:c r="S758" s="85"/>
      <x:c r="U758" s="86"/>
      <x:c r="V758" s="32"/>
    </x:row>
    <x:row r="759">
      <x:c r="A759" s="87"/>
      <x:c r="B759" s="88"/>
      <x:c r="D759" s="32"/>
      <x:c r="G759" s="74"/>
      <x:c r="H759" s="74"/>
      <x:c r="I759" s="74"/>
      <x:c r="J759" s="74"/>
      <x:c r="K759" s="74"/>
      <x:c r="L759" s="74"/>
      <x:c r="M759" s="74"/>
      <x:c r="N759" s="91"/>
      <x:c r="O759" s="91"/>
      <x:c r="P759" s="91"/>
      <x:c r="Q759" s="91"/>
      <x:c r="R759" s="91"/>
      <x:c r="S759" s="85"/>
      <x:c r="U759" s="86"/>
      <x:c r="V759" s="32"/>
    </x:row>
    <x:row r="760">
      <x:c r="A760" s="87"/>
      <x:c r="B760" s="88"/>
      <x:c r="D760" s="32"/>
      <x:c r="G760" s="74"/>
      <x:c r="H760" s="74"/>
      <x:c r="I760" s="74"/>
      <x:c r="J760" s="74"/>
      <x:c r="K760" s="74"/>
      <x:c r="L760" s="74"/>
      <x:c r="M760" s="74"/>
      <x:c r="N760" s="91"/>
      <x:c r="O760" s="91"/>
      <x:c r="P760" s="91"/>
      <x:c r="Q760" s="91"/>
      <x:c r="R760" s="91"/>
      <x:c r="S760" s="85"/>
      <x:c r="U760" s="86"/>
      <x:c r="V760" s="32"/>
    </x:row>
    <x:row r="761">
      <x:c r="A761" s="87"/>
      <x:c r="B761" s="88"/>
      <x:c r="D761" s="32"/>
      <x:c r="G761" s="74"/>
      <x:c r="H761" s="74"/>
      <x:c r="I761" s="74"/>
      <x:c r="J761" s="74"/>
      <x:c r="K761" s="74"/>
      <x:c r="L761" s="74"/>
      <x:c r="M761" s="74"/>
      <x:c r="N761" s="91"/>
      <x:c r="O761" s="91"/>
      <x:c r="P761" s="91"/>
      <x:c r="Q761" s="91"/>
      <x:c r="R761" s="91"/>
      <x:c r="S761" s="85"/>
      <x:c r="U761" s="86"/>
      <x:c r="V761" s="32"/>
    </x:row>
    <x:row r="762">
      <x:c r="A762" s="87"/>
      <x:c r="B762" s="88"/>
      <x:c r="D762" s="32"/>
      <x:c r="G762" s="74"/>
      <x:c r="H762" s="74"/>
      <x:c r="I762" s="74"/>
      <x:c r="J762" s="74"/>
      <x:c r="K762" s="74"/>
      <x:c r="L762" s="74"/>
      <x:c r="M762" s="74"/>
      <x:c r="N762" s="91"/>
      <x:c r="O762" s="91"/>
      <x:c r="P762" s="91"/>
      <x:c r="Q762" s="91"/>
      <x:c r="R762" s="91"/>
      <x:c r="S762" s="85"/>
      <x:c r="U762" s="86"/>
      <x:c r="V762" s="32"/>
    </x:row>
    <x:row r="763">
      <x:c r="A763" s="87"/>
      <x:c r="B763" s="88"/>
      <x:c r="D763" s="32"/>
      <x:c r="G763" s="74"/>
      <x:c r="H763" s="74"/>
      <x:c r="I763" s="74"/>
      <x:c r="J763" s="74"/>
      <x:c r="K763" s="74"/>
      <x:c r="L763" s="74"/>
      <x:c r="M763" s="74"/>
      <x:c r="N763" s="91"/>
      <x:c r="O763" s="91"/>
      <x:c r="P763" s="91"/>
      <x:c r="Q763" s="91"/>
      <x:c r="R763" s="91"/>
      <x:c r="S763" s="85"/>
      <x:c r="U763" s="86"/>
      <x:c r="V763" s="32"/>
    </x:row>
    <x:row r="764">
      <x:c r="A764" s="87"/>
      <x:c r="B764" s="88"/>
      <x:c r="D764" s="32"/>
      <x:c r="G764" s="74"/>
      <x:c r="H764" s="74"/>
      <x:c r="I764" s="74"/>
      <x:c r="J764" s="74"/>
      <x:c r="K764" s="74"/>
      <x:c r="L764" s="74"/>
      <x:c r="M764" s="74"/>
      <x:c r="N764" s="91"/>
      <x:c r="O764" s="91"/>
      <x:c r="P764" s="91"/>
      <x:c r="Q764" s="91"/>
      <x:c r="R764" s="91"/>
      <x:c r="S764" s="85"/>
      <x:c r="U764" s="86"/>
      <x:c r="V764" s="32"/>
    </x:row>
    <x:row r="765">
      <x:c r="A765" s="87"/>
      <x:c r="B765" s="88"/>
      <x:c r="D765" s="32"/>
      <x:c r="G765" s="74"/>
      <x:c r="H765" s="74"/>
      <x:c r="I765" s="74"/>
      <x:c r="J765" s="74"/>
      <x:c r="K765" s="74"/>
      <x:c r="L765" s="74"/>
      <x:c r="M765" s="74"/>
      <x:c r="N765" s="91"/>
      <x:c r="O765" s="91"/>
      <x:c r="P765" s="91"/>
      <x:c r="Q765" s="91"/>
      <x:c r="R765" s="91"/>
      <x:c r="S765" s="85"/>
      <x:c r="U765" s="86"/>
      <x:c r="V765" s="32"/>
    </x:row>
    <x:row r="766">
      <x:c r="A766" s="87"/>
      <x:c r="B766" s="88"/>
      <x:c r="D766" s="32"/>
      <x:c r="G766" s="74"/>
      <x:c r="H766" s="74"/>
      <x:c r="I766" s="74"/>
      <x:c r="J766" s="74"/>
      <x:c r="K766" s="74"/>
      <x:c r="L766" s="74"/>
      <x:c r="M766" s="74"/>
      <x:c r="N766" s="91"/>
      <x:c r="O766" s="91"/>
      <x:c r="P766" s="91"/>
      <x:c r="Q766" s="91"/>
      <x:c r="R766" s="91"/>
      <x:c r="S766" s="85"/>
      <x:c r="U766" s="86"/>
      <x:c r="V766" s="32"/>
    </x:row>
    <x:row r="767">
      <x:c r="A767" s="87"/>
      <x:c r="B767" s="88"/>
      <x:c r="D767" s="32"/>
      <x:c r="G767" s="74"/>
      <x:c r="H767" s="74"/>
      <x:c r="I767" s="74"/>
      <x:c r="J767" s="74"/>
      <x:c r="K767" s="74"/>
      <x:c r="L767" s="74"/>
      <x:c r="M767" s="74"/>
      <x:c r="N767" s="91"/>
      <x:c r="O767" s="91"/>
      <x:c r="P767" s="91"/>
      <x:c r="Q767" s="91"/>
      <x:c r="R767" s="91"/>
      <x:c r="S767" s="85"/>
      <x:c r="U767" s="86"/>
      <x:c r="V767" s="32"/>
    </x:row>
    <x:row r="768">
      <x:c r="A768" s="87"/>
      <x:c r="B768" s="88"/>
      <x:c r="D768" s="32"/>
      <x:c r="G768" s="74"/>
      <x:c r="H768" s="74"/>
      <x:c r="I768" s="74"/>
      <x:c r="J768" s="74"/>
      <x:c r="K768" s="74"/>
      <x:c r="L768" s="74"/>
      <x:c r="M768" s="74"/>
      <x:c r="N768" s="91"/>
      <x:c r="O768" s="91"/>
      <x:c r="P768" s="91"/>
      <x:c r="Q768" s="91"/>
      <x:c r="R768" s="91"/>
      <x:c r="S768" s="85"/>
      <x:c r="U768" s="86"/>
      <x:c r="V768" s="32"/>
    </x:row>
    <x:row r="769">
      <x:c r="A769" s="87"/>
      <x:c r="B769" s="88"/>
      <x:c r="D769" s="32"/>
      <x:c r="G769" s="74"/>
      <x:c r="H769" s="74"/>
      <x:c r="I769" s="74"/>
      <x:c r="J769" s="74"/>
      <x:c r="K769" s="74"/>
      <x:c r="L769" s="74"/>
      <x:c r="M769" s="74"/>
      <x:c r="N769" s="91"/>
      <x:c r="O769" s="91"/>
      <x:c r="P769" s="91"/>
      <x:c r="Q769" s="91"/>
      <x:c r="R769" s="91"/>
      <x:c r="S769" s="85"/>
      <x:c r="U769" s="86"/>
      <x:c r="V769" s="32"/>
    </x:row>
    <x:row r="770">
      <x:c r="A770" s="87"/>
      <x:c r="B770" s="88"/>
      <x:c r="D770" s="32"/>
      <x:c r="G770" s="74"/>
      <x:c r="H770" s="74"/>
      <x:c r="I770" s="74"/>
      <x:c r="J770" s="74"/>
      <x:c r="K770" s="74"/>
      <x:c r="L770" s="74"/>
      <x:c r="M770" s="74"/>
      <x:c r="N770" s="91"/>
      <x:c r="O770" s="91"/>
      <x:c r="P770" s="91"/>
      <x:c r="Q770" s="91"/>
      <x:c r="R770" s="91"/>
      <x:c r="S770" s="85"/>
      <x:c r="U770" s="86"/>
      <x:c r="V770" s="32"/>
    </x:row>
    <x:row r="771">
      <x:c r="A771" s="87"/>
      <x:c r="B771" s="88"/>
      <x:c r="D771" s="32"/>
      <x:c r="G771" s="74"/>
      <x:c r="H771" s="74"/>
      <x:c r="I771" s="74"/>
      <x:c r="J771" s="74"/>
      <x:c r="K771" s="74"/>
      <x:c r="L771" s="74"/>
      <x:c r="M771" s="74"/>
      <x:c r="N771" s="91"/>
      <x:c r="O771" s="91"/>
      <x:c r="P771" s="91"/>
      <x:c r="Q771" s="91"/>
      <x:c r="R771" s="91"/>
      <x:c r="S771" s="85"/>
      <x:c r="U771" s="86"/>
      <x:c r="V771" s="32"/>
    </x:row>
    <x:row r="772">
      <x:c r="A772" s="87"/>
      <x:c r="B772" s="88"/>
      <x:c r="D772" s="32"/>
      <x:c r="G772" s="74"/>
      <x:c r="H772" s="74"/>
      <x:c r="I772" s="74"/>
      <x:c r="J772" s="74"/>
      <x:c r="K772" s="74"/>
      <x:c r="L772" s="74"/>
      <x:c r="M772" s="74"/>
      <x:c r="N772" s="91"/>
      <x:c r="O772" s="91"/>
      <x:c r="P772" s="91"/>
      <x:c r="Q772" s="91"/>
      <x:c r="R772" s="91"/>
      <x:c r="S772" s="85"/>
      <x:c r="U772" s="86"/>
      <x:c r="V772" s="32"/>
    </x:row>
    <x:row r="773">
      <x:c r="A773" s="87"/>
      <x:c r="B773" s="88"/>
      <x:c r="D773" s="32"/>
      <x:c r="G773" s="74"/>
      <x:c r="H773" s="74"/>
      <x:c r="I773" s="74"/>
      <x:c r="J773" s="74"/>
      <x:c r="K773" s="74"/>
      <x:c r="L773" s="74"/>
      <x:c r="M773" s="74"/>
      <x:c r="N773" s="91"/>
      <x:c r="O773" s="91"/>
      <x:c r="P773" s="91"/>
      <x:c r="Q773" s="91"/>
      <x:c r="R773" s="91"/>
      <x:c r="S773" s="85"/>
      <x:c r="U773" s="86"/>
      <x:c r="V773" s="32"/>
    </x:row>
    <x:row r="774">
      <x:c r="A774" s="87"/>
      <x:c r="B774" s="88"/>
      <x:c r="D774" s="32"/>
      <x:c r="G774" s="74"/>
      <x:c r="H774" s="74"/>
      <x:c r="I774" s="74"/>
      <x:c r="J774" s="74"/>
      <x:c r="K774" s="74"/>
      <x:c r="L774" s="74"/>
      <x:c r="M774" s="74"/>
      <x:c r="N774" s="91"/>
      <x:c r="O774" s="91"/>
      <x:c r="P774" s="91"/>
      <x:c r="Q774" s="91"/>
      <x:c r="R774" s="91"/>
      <x:c r="S774" s="85"/>
      <x:c r="U774" s="86"/>
      <x:c r="V774" s="32"/>
    </x:row>
    <x:row r="775">
      <x:c r="A775" s="87"/>
      <x:c r="B775" s="88"/>
      <x:c r="D775" s="32"/>
      <x:c r="G775" s="74"/>
      <x:c r="H775" s="74"/>
      <x:c r="I775" s="74"/>
      <x:c r="J775" s="74"/>
      <x:c r="K775" s="74"/>
      <x:c r="L775" s="74"/>
      <x:c r="M775" s="74"/>
      <x:c r="N775" s="91"/>
      <x:c r="O775" s="91"/>
      <x:c r="P775" s="91"/>
      <x:c r="Q775" s="91"/>
      <x:c r="R775" s="91"/>
      <x:c r="S775" s="85"/>
      <x:c r="U775" s="86"/>
      <x:c r="V775" s="32"/>
    </x:row>
    <x:row r="776">
      <x:c r="A776" s="87"/>
      <x:c r="B776" s="88"/>
      <x:c r="D776" s="32"/>
      <x:c r="G776" s="74"/>
      <x:c r="H776" s="74"/>
      <x:c r="I776" s="74"/>
      <x:c r="J776" s="74"/>
      <x:c r="K776" s="74"/>
      <x:c r="L776" s="74"/>
      <x:c r="M776" s="74"/>
      <x:c r="N776" s="91"/>
      <x:c r="O776" s="91"/>
      <x:c r="P776" s="91"/>
      <x:c r="Q776" s="91"/>
      <x:c r="R776" s="91"/>
      <x:c r="S776" s="85"/>
      <x:c r="U776" s="86"/>
      <x:c r="V776" s="32"/>
    </x:row>
    <x:row r="777">
      <x:c r="A777" s="87"/>
      <x:c r="B777" s="88"/>
      <x:c r="D777" s="32"/>
      <x:c r="G777" s="74"/>
      <x:c r="H777" s="74"/>
      <x:c r="I777" s="74"/>
      <x:c r="J777" s="74"/>
      <x:c r="K777" s="74"/>
      <x:c r="L777" s="74"/>
      <x:c r="M777" s="74"/>
      <x:c r="N777" s="91"/>
      <x:c r="O777" s="91"/>
      <x:c r="P777" s="91"/>
      <x:c r="Q777" s="91"/>
      <x:c r="R777" s="91"/>
      <x:c r="S777" s="85"/>
      <x:c r="U777" s="86"/>
      <x:c r="V777" s="32"/>
    </x:row>
    <x:row r="778">
      <x:c r="A778" s="87"/>
      <x:c r="B778" s="88"/>
      <x:c r="D778" s="32"/>
      <x:c r="G778" s="74"/>
      <x:c r="H778" s="74"/>
      <x:c r="I778" s="74"/>
      <x:c r="J778" s="74"/>
      <x:c r="K778" s="74"/>
      <x:c r="L778" s="74"/>
      <x:c r="M778" s="74"/>
      <x:c r="N778" s="91"/>
      <x:c r="O778" s="91"/>
      <x:c r="P778" s="91"/>
      <x:c r="Q778" s="91"/>
      <x:c r="R778" s="91"/>
      <x:c r="S778" s="85"/>
      <x:c r="U778" s="86"/>
      <x:c r="V778" s="32"/>
    </x:row>
    <x:row r="779">
      <x:c r="A779" s="87"/>
      <x:c r="B779" s="88"/>
      <x:c r="D779" s="32"/>
      <x:c r="G779" s="74"/>
      <x:c r="H779" s="74"/>
      <x:c r="I779" s="74"/>
      <x:c r="J779" s="74"/>
      <x:c r="K779" s="74"/>
      <x:c r="L779" s="74"/>
      <x:c r="M779" s="74"/>
      <x:c r="N779" s="91"/>
      <x:c r="O779" s="91"/>
      <x:c r="P779" s="91"/>
      <x:c r="Q779" s="91"/>
      <x:c r="R779" s="91"/>
      <x:c r="S779" s="85"/>
      <x:c r="U779" s="86"/>
      <x:c r="V779" s="32"/>
    </x:row>
    <x:row r="780">
      <x:c r="A780" s="87"/>
      <x:c r="B780" s="88"/>
      <x:c r="D780" s="32"/>
      <x:c r="G780" s="74"/>
      <x:c r="H780" s="74"/>
      <x:c r="I780" s="74"/>
      <x:c r="J780" s="74"/>
      <x:c r="K780" s="74"/>
      <x:c r="L780" s="74"/>
      <x:c r="M780" s="74"/>
      <x:c r="N780" s="91"/>
      <x:c r="O780" s="91"/>
      <x:c r="P780" s="91"/>
      <x:c r="Q780" s="91"/>
      <x:c r="R780" s="91"/>
      <x:c r="S780" s="85"/>
      <x:c r="U780" s="86"/>
      <x:c r="V780" s="32"/>
    </x:row>
    <x:row r="781">
      <x:c r="A781" s="87"/>
      <x:c r="B781" s="88"/>
      <x:c r="D781" s="32"/>
      <x:c r="G781" s="74"/>
      <x:c r="H781" s="74"/>
      <x:c r="I781" s="74"/>
      <x:c r="J781" s="74"/>
      <x:c r="K781" s="74"/>
      <x:c r="L781" s="74"/>
      <x:c r="M781" s="74"/>
      <x:c r="N781" s="91"/>
      <x:c r="O781" s="91"/>
      <x:c r="P781" s="91"/>
      <x:c r="Q781" s="91"/>
      <x:c r="R781" s="91"/>
      <x:c r="S781" s="85"/>
      <x:c r="U781" s="86"/>
      <x:c r="V781" s="32"/>
    </x:row>
    <x:row r="782">
      <x:c r="A782" s="87"/>
      <x:c r="B782" s="88"/>
      <x:c r="D782" s="32"/>
      <x:c r="G782" s="74"/>
      <x:c r="H782" s="74"/>
      <x:c r="I782" s="74"/>
      <x:c r="J782" s="74"/>
      <x:c r="K782" s="74"/>
      <x:c r="L782" s="74"/>
      <x:c r="M782" s="74"/>
      <x:c r="N782" s="91"/>
      <x:c r="O782" s="91"/>
      <x:c r="P782" s="91"/>
      <x:c r="Q782" s="91"/>
      <x:c r="R782" s="91"/>
      <x:c r="S782" s="85"/>
      <x:c r="U782" s="86"/>
      <x:c r="V782" s="32"/>
    </x:row>
    <x:row r="783">
      <x:c r="A783" s="87"/>
      <x:c r="B783" s="88"/>
      <x:c r="D783" s="32"/>
      <x:c r="G783" s="74"/>
      <x:c r="H783" s="74"/>
      <x:c r="I783" s="74"/>
      <x:c r="J783" s="74"/>
      <x:c r="K783" s="74"/>
      <x:c r="L783" s="74"/>
      <x:c r="M783" s="74"/>
      <x:c r="N783" s="91"/>
      <x:c r="O783" s="91"/>
      <x:c r="P783" s="91"/>
      <x:c r="Q783" s="91"/>
      <x:c r="R783" s="91"/>
      <x:c r="S783" s="85"/>
      <x:c r="U783" s="86"/>
      <x:c r="V783" s="32"/>
    </x:row>
    <x:row r="784">
      <x:c r="A784" s="87"/>
      <x:c r="B784" s="88"/>
      <x:c r="D784" s="32"/>
      <x:c r="G784" s="74"/>
      <x:c r="H784" s="74"/>
      <x:c r="I784" s="74"/>
      <x:c r="J784" s="74"/>
      <x:c r="K784" s="74"/>
      <x:c r="L784" s="74"/>
      <x:c r="M784" s="74"/>
      <x:c r="N784" s="91"/>
      <x:c r="O784" s="91"/>
      <x:c r="P784" s="91"/>
      <x:c r="Q784" s="91"/>
      <x:c r="R784" s="91"/>
      <x:c r="S784" s="85"/>
      <x:c r="U784" s="86"/>
      <x:c r="V784" s="32"/>
    </x:row>
    <x:row r="785">
      <x:c r="A785" s="87"/>
      <x:c r="B785" s="88"/>
      <x:c r="D785" s="32"/>
      <x:c r="G785" s="74"/>
      <x:c r="H785" s="74"/>
      <x:c r="I785" s="74"/>
      <x:c r="J785" s="74"/>
      <x:c r="K785" s="74"/>
      <x:c r="L785" s="74"/>
      <x:c r="M785" s="74"/>
      <x:c r="N785" s="91"/>
      <x:c r="O785" s="91"/>
      <x:c r="P785" s="91"/>
      <x:c r="Q785" s="91"/>
      <x:c r="R785" s="91"/>
      <x:c r="S785" s="85"/>
      <x:c r="U785" s="86"/>
      <x:c r="V785" s="32"/>
    </x:row>
    <x:row r="786">
      <x:c r="A786" s="87"/>
      <x:c r="B786" s="88"/>
      <x:c r="D786" s="32"/>
      <x:c r="G786" s="74"/>
      <x:c r="H786" s="74"/>
      <x:c r="I786" s="74"/>
      <x:c r="J786" s="74"/>
      <x:c r="K786" s="74"/>
      <x:c r="L786" s="74"/>
      <x:c r="M786" s="74"/>
      <x:c r="N786" s="91"/>
      <x:c r="O786" s="91"/>
      <x:c r="P786" s="91"/>
      <x:c r="Q786" s="91"/>
      <x:c r="R786" s="91"/>
      <x:c r="S786" s="85"/>
      <x:c r="U786" s="86"/>
      <x:c r="V786" s="32"/>
    </x:row>
    <x:row r="787">
      <x:c r="A787" s="87"/>
      <x:c r="B787" s="88"/>
      <x:c r="D787" s="32"/>
      <x:c r="G787" s="74"/>
      <x:c r="H787" s="74"/>
      <x:c r="I787" s="74"/>
      <x:c r="J787" s="74"/>
      <x:c r="K787" s="74"/>
      <x:c r="L787" s="74"/>
      <x:c r="M787" s="74"/>
      <x:c r="N787" s="91"/>
      <x:c r="O787" s="91"/>
      <x:c r="P787" s="91"/>
      <x:c r="Q787" s="91"/>
      <x:c r="R787" s="91"/>
      <x:c r="S787" s="85"/>
      <x:c r="U787" s="86"/>
      <x:c r="V787" s="32"/>
    </x:row>
    <x:row r="788">
      <x:c r="A788" s="87"/>
      <x:c r="B788" s="88"/>
      <x:c r="D788" s="32"/>
      <x:c r="G788" s="74"/>
      <x:c r="H788" s="74"/>
      <x:c r="I788" s="74"/>
      <x:c r="J788" s="74"/>
      <x:c r="K788" s="74"/>
      <x:c r="L788" s="74"/>
      <x:c r="M788" s="74"/>
      <x:c r="N788" s="91"/>
      <x:c r="O788" s="91"/>
      <x:c r="P788" s="91"/>
      <x:c r="Q788" s="91"/>
      <x:c r="R788" s="91"/>
      <x:c r="S788" s="85"/>
      <x:c r="U788" s="86"/>
      <x:c r="V788" s="32"/>
    </x:row>
    <x:row r="789">
      <x:c r="A789" s="87"/>
      <x:c r="B789" s="88"/>
      <x:c r="D789" s="32"/>
      <x:c r="G789" s="74"/>
      <x:c r="H789" s="74"/>
      <x:c r="I789" s="74"/>
      <x:c r="J789" s="74"/>
      <x:c r="K789" s="74"/>
      <x:c r="L789" s="74"/>
      <x:c r="M789" s="74"/>
      <x:c r="N789" s="91"/>
      <x:c r="O789" s="91"/>
      <x:c r="P789" s="91"/>
      <x:c r="Q789" s="91"/>
      <x:c r="R789" s="91"/>
      <x:c r="S789" s="85"/>
      <x:c r="U789" s="86"/>
      <x:c r="V789" s="32"/>
    </x:row>
    <x:row r="790">
      <x:c r="A790" s="87"/>
      <x:c r="B790" s="88"/>
      <x:c r="D790" s="32"/>
      <x:c r="G790" s="74"/>
      <x:c r="H790" s="74"/>
      <x:c r="I790" s="74"/>
      <x:c r="J790" s="74"/>
      <x:c r="K790" s="74"/>
      <x:c r="L790" s="74"/>
      <x:c r="M790" s="74"/>
      <x:c r="N790" s="91"/>
      <x:c r="O790" s="91"/>
      <x:c r="P790" s="91"/>
      <x:c r="Q790" s="91"/>
      <x:c r="R790" s="91"/>
      <x:c r="S790" s="85"/>
      <x:c r="U790" s="86"/>
      <x:c r="V790" s="32"/>
    </x:row>
    <x:row r="791">
      <x:c r="A791" s="87"/>
      <x:c r="B791" s="88"/>
      <x:c r="D791" s="32"/>
      <x:c r="G791" s="74"/>
      <x:c r="H791" s="74"/>
      <x:c r="I791" s="74"/>
      <x:c r="J791" s="74"/>
      <x:c r="K791" s="74"/>
      <x:c r="L791" s="74"/>
      <x:c r="M791" s="74"/>
      <x:c r="N791" s="91"/>
      <x:c r="O791" s="91"/>
      <x:c r="P791" s="91"/>
      <x:c r="Q791" s="91"/>
      <x:c r="R791" s="91"/>
      <x:c r="S791" s="85"/>
      <x:c r="U791" s="86"/>
      <x:c r="V791" s="32"/>
    </x:row>
    <x:row r="792">
      <x:c r="A792" s="87"/>
      <x:c r="B792" s="88"/>
      <x:c r="D792" s="32"/>
      <x:c r="G792" s="74"/>
      <x:c r="H792" s="74"/>
      <x:c r="I792" s="74"/>
      <x:c r="J792" s="74"/>
      <x:c r="K792" s="74"/>
      <x:c r="L792" s="74"/>
      <x:c r="M792" s="74"/>
      <x:c r="N792" s="91"/>
      <x:c r="O792" s="91"/>
      <x:c r="P792" s="91"/>
      <x:c r="Q792" s="91"/>
      <x:c r="R792" s="91"/>
      <x:c r="S792" s="85"/>
      <x:c r="U792" s="86"/>
      <x:c r="V792" s="32"/>
    </x:row>
    <x:row r="793">
      <x:c r="A793" s="87"/>
      <x:c r="B793" s="88"/>
      <x:c r="D793" s="32"/>
      <x:c r="G793" s="74"/>
      <x:c r="H793" s="74"/>
      <x:c r="I793" s="74"/>
      <x:c r="J793" s="74"/>
      <x:c r="K793" s="74"/>
      <x:c r="L793" s="74"/>
      <x:c r="M793" s="74"/>
      <x:c r="N793" s="91"/>
      <x:c r="O793" s="91"/>
      <x:c r="P793" s="91"/>
      <x:c r="Q793" s="91"/>
      <x:c r="R793" s="91"/>
      <x:c r="S793" s="85"/>
      <x:c r="U793" s="86"/>
      <x:c r="V793" s="32"/>
    </x:row>
    <x:row r="794">
      <x:c r="A794" s="87"/>
      <x:c r="B794" s="88"/>
      <x:c r="D794" s="32"/>
      <x:c r="G794" s="74"/>
      <x:c r="H794" s="74"/>
      <x:c r="I794" s="74"/>
      <x:c r="J794" s="74"/>
      <x:c r="K794" s="74"/>
      <x:c r="L794" s="74"/>
      <x:c r="M794" s="74"/>
      <x:c r="N794" s="91"/>
      <x:c r="O794" s="91"/>
      <x:c r="P794" s="91"/>
      <x:c r="Q794" s="91"/>
      <x:c r="R794" s="91"/>
      <x:c r="S794" s="85"/>
      <x:c r="U794" s="86"/>
      <x:c r="V794" s="32"/>
    </x:row>
    <x:row r="795">
      <x:c r="A795" s="87"/>
      <x:c r="B795" s="88"/>
      <x:c r="D795" s="32"/>
      <x:c r="G795" s="74"/>
      <x:c r="H795" s="74"/>
      <x:c r="I795" s="74"/>
      <x:c r="J795" s="74"/>
      <x:c r="K795" s="74"/>
      <x:c r="L795" s="74"/>
      <x:c r="M795" s="74"/>
      <x:c r="N795" s="91"/>
      <x:c r="O795" s="91"/>
      <x:c r="P795" s="91"/>
      <x:c r="Q795" s="91"/>
      <x:c r="R795" s="91"/>
      <x:c r="S795" s="85"/>
      <x:c r="U795" s="86"/>
      <x:c r="V795" s="32"/>
    </x:row>
    <x:row r="796">
      <x:c r="A796" s="87"/>
      <x:c r="B796" s="88"/>
      <x:c r="D796" s="32"/>
      <x:c r="G796" s="74"/>
      <x:c r="H796" s="74"/>
      <x:c r="I796" s="74"/>
      <x:c r="J796" s="74"/>
      <x:c r="K796" s="74"/>
      <x:c r="L796" s="74"/>
      <x:c r="M796" s="74"/>
      <x:c r="N796" s="91"/>
      <x:c r="O796" s="91"/>
      <x:c r="P796" s="91"/>
      <x:c r="Q796" s="91"/>
      <x:c r="R796" s="91"/>
      <x:c r="S796" s="85"/>
      <x:c r="U796" s="86"/>
      <x:c r="V796" s="32"/>
    </x:row>
    <x:row r="797">
      <x:c r="A797" s="87"/>
      <x:c r="B797" s="88"/>
      <x:c r="D797" s="32"/>
      <x:c r="G797" s="74"/>
      <x:c r="H797" s="74"/>
      <x:c r="I797" s="74"/>
      <x:c r="J797" s="74"/>
      <x:c r="K797" s="74"/>
      <x:c r="L797" s="74"/>
      <x:c r="M797" s="74"/>
      <x:c r="N797" s="91"/>
      <x:c r="O797" s="91"/>
      <x:c r="P797" s="91"/>
      <x:c r="Q797" s="91"/>
      <x:c r="R797" s="91"/>
      <x:c r="S797" s="85"/>
      <x:c r="U797" s="86"/>
      <x:c r="V797" s="32"/>
    </x:row>
    <x:row r="798">
      <x:c r="A798" s="87"/>
      <x:c r="B798" s="88"/>
      <x:c r="D798" s="32"/>
      <x:c r="G798" s="74"/>
      <x:c r="H798" s="74"/>
      <x:c r="I798" s="74"/>
      <x:c r="J798" s="74"/>
      <x:c r="K798" s="74"/>
      <x:c r="L798" s="74"/>
      <x:c r="M798" s="74"/>
      <x:c r="N798" s="91"/>
      <x:c r="O798" s="91"/>
      <x:c r="P798" s="91"/>
      <x:c r="Q798" s="91"/>
      <x:c r="R798" s="91"/>
      <x:c r="S798" s="85"/>
      <x:c r="U798" s="86"/>
      <x:c r="V798" s="32"/>
    </x:row>
    <x:row r="799">
      <x:c r="A799" s="87"/>
      <x:c r="B799" s="88"/>
      <x:c r="D799" s="32"/>
      <x:c r="G799" s="74"/>
      <x:c r="H799" s="74"/>
      <x:c r="I799" s="74"/>
      <x:c r="J799" s="74"/>
      <x:c r="K799" s="74"/>
      <x:c r="L799" s="74"/>
      <x:c r="M799" s="74"/>
      <x:c r="N799" s="91"/>
      <x:c r="O799" s="91"/>
      <x:c r="P799" s="91"/>
      <x:c r="Q799" s="91"/>
      <x:c r="R799" s="91"/>
      <x:c r="S799" s="85"/>
      <x:c r="U799" s="86"/>
      <x:c r="V799" s="32"/>
    </x:row>
    <x:row r="800">
      <x:c r="A800" s="87"/>
      <x:c r="B800" s="88"/>
      <x:c r="D800" s="32"/>
      <x:c r="G800" s="74"/>
      <x:c r="H800" s="74"/>
      <x:c r="I800" s="74"/>
      <x:c r="J800" s="74"/>
      <x:c r="K800" s="74"/>
      <x:c r="L800" s="74"/>
      <x:c r="M800" s="74"/>
      <x:c r="N800" s="91"/>
      <x:c r="O800" s="91"/>
      <x:c r="P800" s="91"/>
      <x:c r="Q800" s="91"/>
      <x:c r="R800" s="91"/>
      <x:c r="S800" s="85"/>
      <x:c r="U800" s="86"/>
      <x:c r="V800" s="32"/>
    </x:row>
    <x:row r="801">
      <x:c r="A801" s="87"/>
      <x:c r="B801" s="88"/>
      <x:c r="D801" s="32"/>
      <x:c r="G801" s="74"/>
      <x:c r="H801" s="74"/>
      <x:c r="I801" s="74"/>
      <x:c r="J801" s="74"/>
      <x:c r="K801" s="74"/>
      <x:c r="L801" s="74"/>
      <x:c r="M801" s="74"/>
      <x:c r="N801" s="91"/>
      <x:c r="O801" s="91"/>
      <x:c r="P801" s="91"/>
      <x:c r="Q801" s="91"/>
      <x:c r="R801" s="91"/>
      <x:c r="S801" s="85"/>
      <x:c r="U801" s="86"/>
      <x:c r="V801" s="32"/>
    </x:row>
    <x:row r="802">
      <x:c r="A802" s="87"/>
      <x:c r="B802" s="88"/>
      <x:c r="D802" s="32"/>
      <x:c r="G802" s="74"/>
      <x:c r="H802" s="74"/>
      <x:c r="I802" s="74"/>
      <x:c r="J802" s="74"/>
      <x:c r="K802" s="74"/>
      <x:c r="L802" s="74"/>
      <x:c r="M802" s="74"/>
      <x:c r="N802" s="91"/>
      <x:c r="O802" s="91"/>
      <x:c r="P802" s="91"/>
      <x:c r="Q802" s="91"/>
      <x:c r="R802" s="91"/>
      <x:c r="S802" s="85"/>
      <x:c r="U802" s="86"/>
      <x:c r="V802" s="32"/>
    </x:row>
    <x:row r="803">
      <x:c r="A803" s="87"/>
      <x:c r="B803" s="88"/>
      <x:c r="D803" s="32"/>
      <x:c r="G803" s="74"/>
      <x:c r="H803" s="74"/>
      <x:c r="I803" s="74"/>
      <x:c r="J803" s="74"/>
      <x:c r="K803" s="74"/>
      <x:c r="L803" s="74"/>
      <x:c r="M803" s="74"/>
      <x:c r="N803" s="91"/>
      <x:c r="O803" s="91"/>
      <x:c r="P803" s="91"/>
      <x:c r="Q803" s="91"/>
      <x:c r="R803" s="91"/>
      <x:c r="S803" s="85"/>
      <x:c r="U803" s="86"/>
      <x:c r="V803" s="32"/>
    </x:row>
    <x:row r="804">
      <x:c r="A804" s="87"/>
      <x:c r="B804" s="88"/>
      <x:c r="D804" s="32"/>
      <x:c r="G804" s="74"/>
      <x:c r="H804" s="74"/>
      <x:c r="I804" s="74"/>
      <x:c r="J804" s="74"/>
      <x:c r="K804" s="74"/>
      <x:c r="L804" s="74"/>
      <x:c r="M804" s="74"/>
      <x:c r="N804" s="91"/>
      <x:c r="O804" s="91"/>
      <x:c r="P804" s="91"/>
      <x:c r="Q804" s="91"/>
      <x:c r="R804" s="91"/>
      <x:c r="S804" s="85"/>
      <x:c r="U804" s="86"/>
      <x:c r="V804" s="32"/>
    </x:row>
    <x:row r="805">
      <x:c r="A805" s="87"/>
      <x:c r="B805" s="88"/>
      <x:c r="D805" s="32"/>
      <x:c r="G805" s="74"/>
      <x:c r="H805" s="74"/>
      <x:c r="I805" s="74"/>
      <x:c r="J805" s="74"/>
      <x:c r="K805" s="74"/>
      <x:c r="L805" s="74"/>
      <x:c r="M805" s="74"/>
      <x:c r="N805" s="91"/>
      <x:c r="O805" s="91"/>
      <x:c r="P805" s="91"/>
      <x:c r="Q805" s="91"/>
      <x:c r="R805" s="91"/>
      <x:c r="S805" s="85"/>
      <x:c r="U805" s="86"/>
      <x:c r="V805" s="32"/>
    </x:row>
    <x:row r="806">
      <x:c r="A806" s="87"/>
      <x:c r="B806" s="88"/>
      <x:c r="D806" s="32"/>
      <x:c r="G806" s="74"/>
      <x:c r="H806" s="74"/>
      <x:c r="I806" s="74"/>
      <x:c r="J806" s="74"/>
      <x:c r="K806" s="74"/>
      <x:c r="L806" s="74"/>
      <x:c r="M806" s="74"/>
      <x:c r="N806" s="91"/>
      <x:c r="O806" s="91"/>
      <x:c r="P806" s="91"/>
      <x:c r="Q806" s="91"/>
      <x:c r="R806" s="91"/>
      <x:c r="S806" s="85"/>
      <x:c r="U806" s="86"/>
      <x:c r="V806" s="32"/>
    </x:row>
    <x:row r="807">
      <x:c r="A807" s="87"/>
      <x:c r="B807" s="88"/>
      <x:c r="D807" s="32"/>
      <x:c r="G807" s="74"/>
      <x:c r="H807" s="74"/>
      <x:c r="I807" s="74"/>
      <x:c r="J807" s="74"/>
      <x:c r="K807" s="74"/>
      <x:c r="L807" s="74"/>
      <x:c r="M807" s="74"/>
      <x:c r="N807" s="91"/>
      <x:c r="O807" s="91"/>
      <x:c r="P807" s="91"/>
      <x:c r="Q807" s="91"/>
      <x:c r="R807" s="91"/>
      <x:c r="S807" s="85"/>
      <x:c r="U807" s="86"/>
      <x:c r="V807" s="32"/>
    </x:row>
    <x:row r="808">
      <x:c r="A808" s="87"/>
      <x:c r="B808" s="88"/>
      <x:c r="D808" s="32"/>
      <x:c r="G808" s="74"/>
      <x:c r="H808" s="74"/>
      <x:c r="I808" s="74"/>
      <x:c r="J808" s="74"/>
      <x:c r="K808" s="74"/>
      <x:c r="L808" s="74"/>
      <x:c r="M808" s="74"/>
      <x:c r="N808" s="91"/>
      <x:c r="O808" s="91"/>
      <x:c r="P808" s="91"/>
      <x:c r="Q808" s="91"/>
      <x:c r="R808" s="91"/>
      <x:c r="S808" s="85"/>
      <x:c r="U808" s="86"/>
      <x:c r="V808" s="32"/>
    </x:row>
    <x:row r="809">
      <x:c r="A809" s="87"/>
      <x:c r="B809" s="88"/>
      <x:c r="D809" s="32"/>
      <x:c r="G809" s="74"/>
      <x:c r="H809" s="74"/>
      <x:c r="I809" s="74"/>
      <x:c r="J809" s="74"/>
      <x:c r="K809" s="74"/>
      <x:c r="L809" s="74"/>
      <x:c r="M809" s="74"/>
      <x:c r="N809" s="91"/>
      <x:c r="O809" s="91"/>
      <x:c r="P809" s="91"/>
      <x:c r="Q809" s="91"/>
      <x:c r="R809" s="91"/>
      <x:c r="S809" s="85"/>
      <x:c r="U809" s="86"/>
      <x:c r="V809" s="32"/>
    </x:row>
    <x:row r="810">
      <x:c r="A810" s="87"/>
      <x:c r="B810" s="88"/>
      <x:c r="D810" s="32"/>
      <x:c r="G810" s="74"/>
      <x:c r="H810" s="74"/>
      <x:c r="I810" s="74"/>
      <x:c r="J810" s="74"/>
      <x:c r="K810" s="74"/>
      <x:c r="L810" s="74"/>
      <x:c r="M810" s="74"/>
      <x:c r="N810" s="91"/>
      <x:c r="O810" s="91"/>
      <x:c r="P810" s="91"/>
      <x:c r="Q810" s="91"/>
      <x:c r="R810" s="91"/>
      <x:c r="S810" s="85"/>
      <x:c r="U810" s="86"/>
      <x:c r="V810" s="32"/>
    </x:row>
    <x:row r="811">
      <x:c r="A811" s="87"/>
      <x:c r="B811" s="88"/>
      <x:c r="D811" s="32"/>
      <x:c r="G811" s="74"/>
      <x:c r="H811" s="74"/>
      <x:c r="I811" s="74"/>
      <x:c r="J811" s="74"/>
      <x:c r="K811" s="74"/>
      <x:c r="L811" s="74"/>
      <x:c r="M811" s="74"/>
      <x:c r="N811" s="91"/>
      <x:c r="O811" s="91"/>
      <x:c r="P811" s="91"/>
      <x:c r="Q811" s="91"/>
      <x:c r="R811" s="91"/>
      <x:c r="S811" s="85"/>
      <x:c r="U811" s="86"/>
      <x:c r="V811" s="32"/>
    </x:row>
    <x:row r="812">
      <x:c r="A812" s="87"/>
      <x:c r="B812" s="88"/>
      <x:c r="D812" s="32"/>
      <x:c r="G812" s="74"/>
      <x:c r="H812" s="74"/>
      <x:c r="I812" s="74"/>
      <x:c r="J812" s="74"/>
      <x:c r="K812" s="74"/>
      <x:c r="L812" s="74"/>
      <x:c r="M812" s="74"/>
      <x:c r="N812" s="91"/>
      <x:c r="O812" s="91"/>
      <x:c r="P812" s="91"/>
      <x:c r="Q812" s="91"/>
      <x:c r="R812" s="91"/>
      <x:c r="S812" s="85"/>
      <x:c r="U812" s="86"/>
      <x:c r="V812" s="32"/>
    </x:row>
    <x:row r="813">
      <x:c r="A813" s="87"/>
      <x:c r="B813" s="88"/>
      <x:c r="D813" s="32"/>
      <x:c r="G813" s="74"/>
      <x:c r="H813" s="74"/>
      <x:c r="I813" s="74"/>
      <x:c r="J813" s="74"/>
      <x:c r="K813" s="74"/>
      <x:c r="L813" s="74"/>
      <x:c r="M813" s="74"/>
      <x:c r="N813" s="91"/>
      <x:c r="O813" s="91"/>
      <x:c r="P813" s="91"/>
      <x:c r="Q813" s="91"/>
      <x:c r="R813" s="91"/>
      <x:c r="S813" s="85"/>
      <x:c r="U813" s="86"/>
      <x:c r="V813" s="32"/>
    </x:row>
    <x:row r="814">
      <x:c r="A814" s="87"/>
      <x:c r="B814" s="88"/>
      <x:c r="D814" s="32"/>
      <x:c r="G814" s="74"/>
      <x:c r="H814" s="74"/>
      <x:c r="I814" s="74"/>
      <x:c r="J814" s="74"/>
      <x:c r="K814" s="74"/>
      <x:c r="L814" s="74"/>
      <x:c r="M814" s="74"/>
      <x:c r="N814" s="91"/>
      <x:c r="O814" s="91"/>
      <x:c r="P814" s="91"/>
      <x:c r="Q814" s="91"/>
      <x:c r="R814" s="91"/>
      <x:c r="S814" s="85"/>
      <x:c r="U814" s="86"/>
      <x:c r="V814" s="32"/>
    </x:row>
    <x:row r="815">
      <x:c r="A815" s="87"/>
      <x:c r="B815" s="88"/>
      <x:c r="D815" s="32"/>
      <x:c r="G815" s="74"/>
      <x:c r="H815" s="74"/>
      <x:c r="I815" s="74"/>
      <x:c r="J815" s="74"/>
      <x:c r="K815" s="74"/>
      <x:c r="L815" s="74"/>
      <x:c r="M815" s="74"/>
      <x:c r="N815" s="91"/>
      <x:c r="O815" s="91"/>
      <x:c r="P815" s="91"/>
      <x:c r="Q815" s="91"/>
      <x:c r="R815" s="91"/>
      <x:c r="S815" s="85"/>
      <x:c r="U815" s="86"/>
      <x:c r="V815" s="32"/>
    </x:row>
    <x:row r="816">
      <x:c r="A816" s="87"/>
      <x:c r="B816" s="88"/>
      <x:c r="D816" s="32"/>
      <x:c r="G816" s="74"/>
      <x:c r="H816" s="74"/>
      <x:c r="I816" s="74"/>
      <x:c r="J816" s="74"/>
      <x:c r="K816" s="74"/>
      <x:c r="L816" s="74"/>
      <x:c r="M816" s="74"/>
      <x:c r="N816" s="91"/>
      <x:c r="O816" s="91"/>
      <x:c r="P816" s="91"/>
      <x:c r="Q816" s="91"/>
      <x:c r="R816" s="91"/>
      <x:c r="S816" s="85"/>
      <x:c r="U816" s="86"/>
      <x:c r="V816" s="32"/>
    </x:row>
    <x:row r="817">
      <x:c r="A817" s="87"/>
      <x:c r="B817" s="88"/>
      <x:c r="D817" s="32"/>
      <x:c r="G817" s="74"/>
      <x:c r="H817" s="74"/>
      <x:c r="I817" s="74"/>
      <x:c r="J817" s="74"/>
      <x:c r="K817" s="74"/>
      <x:c r="L817" s="74"/>
      <x:c r="M817" s="74"/>
      <x:c r="N817" s="91"/>
      <x:c r="O817" s="91"/>
      <x:c r="P817" s="91"/>
      <x:c r="Q817" s="91"/>
      <x:c r="R817" s="91"/>
      <x:c r="S817" s="85"/>
      <x:c r="U817" s="86"/>
      <x:c r="V817" s="32"/>
    </x:row>
    <x:row r="818">
      <x:c r="A818" s="87"/>
      <x:c r="B818" s="88"/>
      <x:c r="D818" s="32"/>
      <x:c r="G818" s="74"/>
      <x:c r="H818" s="74"/>
      <x:c r="I818" s="74"/>
      <x:c r="J818" s="74"/>
      <x:c r="K818" s="74"/>
      <x:c r="L818" s="74"/>
      <x:c r="M818" s="74"/>
      <x:c r="N818" s="91"/>
      <x:c r="O818" s="91"/>
      <x:c r="P818" s="91"/>
      <x:c r="Q818" s="91"/>
      <x:c r="R818" s="91"/>
      <x:c r="S818" s="85"/>
      <x:c r="U818" s="86"/>
      <x:c r="V818" s="32"/>
    </x:row>
    <x:row r="819">
      <x:c r="A819" s="87"/>
      <x:c r="B819" s="88"/>
      <x:c r="D819" s="32"/>
      <x:c r="G819" s="74"/>
      <x:c r="H819" s="74"/>
      <x:c r="I819" s="74"/>
      <x:c r="J819" s="74"/>
      <x:c r="K819" s="74"/>
      <x:c r="L819" s="74"/>
      <x:c r="M819" s="74"/>
      <x:c r="N819" s="91"/>
      <x:c r="O819" s="91"/>
      <x:c r="P819" s="91"/>
      <x:c r="Q819" s="91"/>
      <x:c r="R819" s="91"/>
      <x:c r="S819" s="85"/>
      <x:c r="U819" s="86"/>
      <x:c r="V819" s="32"/>
    </x:row>
    <x:row r="820">
      <x:c r="A820" s="87"/>
      <x:c r="B820" s="88"/>
      <x:c r="D820" s="32"/>
      <x:c r="G820" s="74"/>
      <x:c r="H820" s="74"/>
      <x:c r="I820" s="74"/>
      <x:c r="J820" s="74"/>
      <x:c r="K820" s="74"/>
      <x:c r="L820" s="74"/>
      <x:c r="M820" s="74"/>
      <x:c r="N820" s="91"/>
      <x:c r="O820" s="91"/>
      <x:c r="P820" s="91"/>
      <x:c r="Q820" s="91"/>
      <x:c r="R820" s="91"/>
      <x:c r="S820" s="85"/>
      <x:c r="U820" s="86"/>
      <x:c r="V820" s="32"/>
    </x:row>
    <x:row r="821">
      <x:c r="A821" s="87"/>
      <x:c r="B821" s="88"/>
      <x:c r="D821" s="32"/>
      <x:c r="G821" s="74"/>
      <x:c r="H821" s="74"/>
      <x:c r="I821" s="74"/>
      <x:c r="J821" s="74"/>
      <x:c r="K821" s="74"/>
      <x:c r="L821" s="74"/>
      <x:c r="M821" s="74"/>
      <x:c r="N821" s="91"/>
      <x:c r="O821" s="91"/>
      <x:c r="P821" s="91"/>
      <x:c r="Q821" s="91"/>
      <x:c r="R821" s="91"/>
      <x:c r="S821" s="85"/>
      <x:c r="U821" s="86"/>
      <x:c r="V821" s="32"/>
    </x:row>
    <x:row r="822">
      <x:c r="A822" s="87"/>
      <x:c r="B822" s="88"/>
      <x:c r="D822" s="32"/>
      <x:c r="G822" s="74"/>
      <x:c r="H822" s="74"/>
      <x:c r="I822" s="74"/>
      <x:c r="J822" s="74"/>
      <x:c r="K822" s="74"/>
      <x:c r="L822" s="74"/>
      <x:c r="M822" s="74"/>
      <x:c r="N822" s="91"/>
      <x:c r="O822" s="91"/>
      <x:c r="P822" s="91"/>
      <x:c r="Q822" s="91"/>
      <x:c r="R822" s="91"/>
      <x:c r="S822" s="85"/>
      <x:c r="U822" s="86"/>
      <x:c r="V822" s="32"/>
    </x:row>
    <x:row r="823">
      <x:c r="A823" s="87"/>
      <x:c r="B823" s="88"/>
      <x:c r="D823" s="32"/>
      <x:c r="G823" s="74"/>
      <x:c r="H823" s="74"/>
      <x:c r="I823" s="74"/>
      <x:c r="J823" s="74"/>
      <x:c r="K823" s="74"/>
      <x:c r="L823" s="74"/>
      <x:c r="M823" s="74"/>
      <x:c r="N823" s="91"/>
      <x:c r="O823" s="91"/>
      <x:c r="P823" s="91"/>
      <x:c r="Q823" s="91"/>
      <x:c r="R823" s="91"/>
      <x:c r="S823" s="85"/>
      <x:c r="U823" s="86"/>
      <x:c r="V823" s="32"/>
    </x:row>
    <x:row r="824">
      <x:c r="A824" s="87"/>
      <x:c r="B824" s="88"/>
      <x:c r="D824" s="32"/>
      <x:c r="G824" s="74"/>
      <x:c r="H824" s="74"/>
      <x:c r="I824" s="74"/>
      <x:c r="J824" s="74"/>
      <x:c r="K824" s="74"/>
      <x:c r="L824" s="74"/>
      <x:c r="M824" s="74"/>
      <x:c r="N824" s="91"/>
      <x:c r="O824" s="91"/>
      <x:c r="P824" s="91"/>
      <x:c r="Q824" s="91"/>
      <x:c r="R824" s="91"/>
      <x:c r="S824" s="85"/>
      <x:c r="U824" s="86"/>
      <x:c r="V824" s="32"/>
    </x:row>
    <x:row r="825">
      <x:c r="A825" s="87"/>
      <x:c r="B825" s="88"/>
      <x:c r="D825" s="32"/>
      <x:c r="G825" s="74"/>
      <x:c r="H825" s="74"/>
      <x:c r="I825" s="74"/>
      <x:c r="J825" s="74"/>
      <x:c r="K825" s="74"/>
      <x:c r="L825" s="74"/>
      <x:c r="M825" s="74"/>
      <x:c r="N825" s="91"/>
      <x:c r="O825" s="91"/>
      <x:c r="P825" s="91"/>
      <x:c r="Q825" s="91"/>
      <x:c r="R825" s="91"/>
      <x:c r="S825" s="85"/>
      <x:c r="U825" s="86"/>
      <x:c r="V825" s="32"/>
    </x:row>
    <x:row r="826">
      <x:c r="A826" s="87"/>
      <x:c r="B826" s="88"/>
      <x:c r="D826" s="32"/>
      <x:c r="G826" s="74"/>
      <x:c r="H826" s="74"/>
      <x:c r="I826" s="74"/>
      <x:c r="J826" s="74"/>
      <x:c r="K826" s="74"/>
      <x:c r="L826" s="74"/>
      <x:c r="M826" s="74"/>
      <x:c r="N826" s="91"/>
      <x:c r="O826" s="91"/>
      <x:c r="P826" s="91"/>
      <x:c r="Q826" s="91"/>
      <x:c r="R826" s="91"/>
      <x:c r="S826" s="85"/>
      <x:c r="U826" s="86"/>
      <x:c r="V826" s="32"/>
    </x:row>
    <x:row r="827">
      <x:c r="A827" s="87"/>
      <x:c r="B827" s="88"/>
      <x:c r="D827" s="32"/>
      <x:c r="G827" s="74"/>
      <x:c r="H827" s="74"/>
      <x:c r="I827" s="74"/>
      <x:c r="J827" s="74"/>
      <x:c r="K827" s="74"/>
      <x:c r="L827" s="74"/>
      <x:c r="M827" s="74"/>
      <x:c r="N827" s="91"/>
      <x:c r="O827" s="91"/>
      <x:c r="P827" s="91"/>
      <x:c r="Q827" s="91"/>
      <x:c r="R827" s="91"/>
      <x:c r="S827" s="85"/>
      <x:c r="U827" s="86"/>
      <x:c r="V827" s="32"/>
    </x:row>
    <x:row r="828">
      <x:c r="A828" s="87"/>
      <x:c r="B828" s="88"/>
      <x:c r="D828" s="32"/>
      <x:c r="G828" s="74"/>
      <x:c r="H828" s="74"/>
      <x:c r="I828" s="74"/>
      <x:c r="J828" s="74"/>
      <x:c r="K828" s="74"/>
      <x:c r="L828" s="74"/>
      <x:c r="M828" s="74"/>
      <x:c r="N828" s="91"/>
      <x:c r="O828" s="91"/>
      <x:c r="P828" s="91"/>
      <x:c r="Q828" s="91"/>
      <x:c r="R828" s="91"/>
      <x:c r="S828" s="85"/>
      <x:c r="U828" s="86"/>
      <x:c r="V828" s="32"/>
    </x:row>
    <x:row r="829">
      <x:c r="A829" s="87"/>
      <x:c r="B829" s="88"/>
      <x:c r="D829" s="32"/>
      <x:c r="G829" s="74"/>
      <x:c r="H829" s="74"/>
      <x:c r="I829" s="74"/>
      <x:c r="J829" s="74"/>
      <x:c r="K829" s="74"/>
      <x:c r="L829" s="74"/>
      <x:c r="M829" s="74"/>
      <x:c r="N829" s="91"/>
      <x:c r="O829" s="91"/>
      <x:c r="P829" s="91"/>
      <x:c r="Q829" s="91"/>
      <x:c r="R829" s="91"/>
      <x:c r="S829" s="85"/>
      <x:c r="U829" s="86"/>
      <x:c r="V829" s="32"/>
    </x:row>
    <x:row r="830">
      <x:c r="A830" s="87"/>
      <x:c r="B830" s="88"/>
      <x:c r="D830" s="32"/>
      <x:c r="G830" s="74"/>
      <x:c r="H830" s="74"/>
      <x:c r="I830" s="74"/>
      <x:c r="J830" s="74"/>
      <x:c r="K830" s="74"/>
      <x:c r="L830" s="74"/>
      <x:c r="M830" s="74"/>
      <x:c r="N830" s="91"/>
      <x:c r="O830" s="91"/>
      <x:c r="P830" s="91"/>
      <x:c r="Q830" s="91"/>
      <x:c r="R830" s="91"/>
      <x:c r="S830" s="85"/>
      <x:c r="U830" s="86"/>
      <x:c r="V830" s="32"/>
    </x:row>
    <x:row r="831">
      <x:c r="A831" s="87"/>
      <x:c r="B831" s="88"/>
      <x:c r="D831" s="32"/>
      <x:c r="G831" s="74"/>
      <x:c r="H831" s="74"/>
      <x:c r="I831" s="74"/>
      <x:c r="J831" s="74"/>
      <x:c r="K831" s="74"/>
      <x:c r="L831" s="74"/>
      <x:c r="M831" s="74"/>
      <x:c r="N831" s="91"/>
      <x:c r="O831" s="91"/>
      <x:c r="P831" s="91"/>
      <x:c r="Q831" s="91"/>
      <x:c r="R831" s="91"/>
      <x:c r="S831" s="85"/>
      <x:c r="U831" s="86"/>
      <x:c r="V831" s="32"/>
    </x:row>
    <x:row r="832">
      <x:c r="A832" s="87"/>
      <x:c r="B832" s="88"/>
      <x:c r="D832" s="32"/>
      <x:c r="G832" s="74"/>
      <x:c r="H832" s="74"/>
      <x:c r="I832" s="74"/>
      <x:c r="J832" s="74"/>
      <x:c r="K832" s="74"/>
      <x:c r="L832" s="74"/>
      <x:c r="M832" s="74"/>
      <x:c r="N832" s="91"/>
      <x:c r="O832" s="91"/>
      <x:c r="P832" s="91"/>
      <x:c r="Q832" s="91"/>
      <x:c r="R832" s="91"/>
      <x:c r="S832" s="85"/>
      <x:c r="U832" s="86"/>
      <x:c r="V832" s="32"/>
    </x:row>
    <x:row r="833">
      <x:c r="A833" s="87"/>
      <x:c r="B833" s="88"/>
      <x:c r="D833" s="32"/>
      <x:c r="G833" s="74"/>
      <x:c r="H833" s="74"/>
      <x:c r="I833" s="74"/>
      <x:c r="J833" s="74"/>
      <x:c r="K833" s="74"/>
      <x:c r="L833" s="74"/>
      <x:c r="M833" s="74"/>
      <x:c r="N833" s="91"/>
      <x:c r="O833" s="91"/>
      <x:c r="P833" s="91"/>
      <x:c r="Q833" s="91"/>
      <x:c r="R833" s="91"/>
      <x:c r="S833" s="85"/>
      <x:c r="U833" s="86"/>
      <x:c r="V833" s="32"/>
    </x:row>
    <x:row r="834">
      <x:c r="A834" s="87"/>
      <x:c r="B834" s="88"/>
      <x:c r="D834" s="32"/>
      <x:c r="G834" s="74"/>
      <x:c r="H834" s="74"/>
      <x:c r="I834" s="74"/>
      <x:c r="J834" s="74"/>
      <x:c r="K834" s="74"/>
      <x:c r="L834" s="74"/>
      <x:c r="M834" s="74"/>
      <x:c r="N834" s="91"/>
      <x:c r="O834" s="91"/>
      <x:c r="P834" s="91"/>
      <x:c r="Q834" s="91"/>
      <x:c r="R834" s="91"/>
      <x:c r="S834" s="85"/>
      <x:c r="U834" s="86"/>
      <x:c r="V834" s="32"/>
    </x:row>
    <x:row r="835">
      <x:c r="A835" s="87"/>
      <x:c r="B835" s="88"/>
      <x:c r="D835" s="32"/>
      <x:c r="G835" s="74"/>
      <x:c r="H835" s="74"/>
      <x:c r="I835" s="74"/>
      <x:c r="J835" s="74"/>
      <x:c r="K835" s="74"/>
      <x:c r="L835" s="74"/>
      <x:c r="M835" s="74"/>
      <x:c r="N835" s="91"/>
      <x:c r="O835" s="91"/>
      <x:c r="P835" s="91"/>
      <x:c r="Q835" s="91"/>
      <x:c r="R835" s="91"/>
      <x:c r="S835" s="85"/>
      <x:c r="U835" s="86"/>
      <x:c r="V835" s="32"/>
    </x:row>
    <x:row r="836">
      <x:c r="A836" s="87"/>
      <x:c r="B836" s="88"/>
      <x:c r="D836" s="32"/>
      <x:c r="G836" s="74"/>
      <x:c r="H836" s="74"/>
      <x:c r="I836" s="74"/>
      <x:c r="J836" s="74"/>
      <x:c r="K836" s="74"/>
      <x:c r="L836" s="74"/>
      <x:c r="M836" s="74"/>
      <x:c r="N836" s="91"/>
      <x:c r="O836" s="91"/>
      <x:c r="P836" s="91"/>
      <x:c r="Q836" s="91"/>
      <x:c r="R836" s="91"/>
      <x:c r="S836" s="85"/>
      <x:c r="U836" s="86"/>
      <x:c r="V836" s="32"/>
    </x:row>
    <x:row r="837">
      <x:c r="A837" s="87"/>
      <x:c r="B837" s="88"/>
      <x:c r="D837" s="32"/>
      <x:c r="G837" s="74"/>
      <x:c r="H837" s="74"/>
      <x:c r="I837" s="74"/>
      <x:c r="J837" s="74"/>
      <x:c r="K837" s="74"/>
      <x:c r="L837" s="74"/>
      <x:c r="M837" s="74"/>
      <x:c r="N837" s="91"/>
      <x:c r="O837" s="91"/>
      <x:c r="P837" s="91"/>
      <x:c r="Q837" s="91"/>
      <x:c r="R837" s="91"/>
      <x:c r="S837" s="85"/>
      <x:c r="U837" s="86"/>
      <x:c r="V837" s="32"/>
    </x:row>
    <x:row r="838">
      <x:c r="A838" s="87"/>
      <x:c r="B838" s="88"/>
      <x:c r="D838" s="32"/>
      <x:c r="G838" s="74"/>
      <x:c r="H838" s="74"/>
      <x:c r="I838" s="74"/>
      <x:c r="J838" s="74"/>
      <x:c r="K838" s="74"/>
      <x:c r="L838" s="74"/>
      <x:c r="M838" s="74"/>
      <x:c r="N838" s="91"/>
      <x:c r="O838" s="91"/>
      <x:c r="P838" s="91"/>
      <x:c r="Q838" s="91"/>
      <x:c r="R838" s="91"/>
      <x:c r="S838" s="85"/>
      <x:c r="U838" s="86"/>
      <x:c r="V838" s="32"/>
    </x:row>
    <x:row r="839">
      <x:c r="A839" s="87"/>
      <x:c r="B839" s="88"/>
      <x:c r="D839" s="32"/>
      <x:c r="G839" s="74"/>
      <x:c r="H839" s="74"/>
      <x:c r="I839" s="74"/>
      <x:c r="J839" s="74"/>
      <x:c r="K839" s="74"/>
      <x:c r="L839" s="74"/>
      <x:c r="M839" s="74"/>
      <x:c r="N839" s="91"/>
      <x:c r="O839" s="91"/>
      <x:c r="P839" s="91"/>
      <x:c r="Q839" s="91"/>
      <x:c r="R839" s="91"/>
      <x:c r="S839" s="85"/>
      <x:c r="U839" s="86"/>
      <x:c r="V839" s="32"/>
    </x:row>
    <x:row r="840">
      <x:c r="A840" s="87"/>
      <x:c r="B840" s="88"/>
      <x:c r="D840" s="32"/>
      <x:c r="G840" s="74"/>
      <x:c r="H840" s="74"/>
      <x:c r="I840" s="74"/>
      <x:c r="J840" s="74"/>
      <x:c r="K840" s="74"/>
      <x:c r="L840" s="74"/>
      <x:c r="M840" s="74"/>
      <x:c r="N840" s="91"/>
      <x:c r="O840" s="91"/>
      <x:c r="P840" s="91"/>
      <x:c r="Q840" s="91"/>
      <x:c r="R840" s="91"/>
      <x:c r="S840" s="85"/>
      <x:c r="U840" s="86"/>
      <x:c r="V840" s="32"/>
    </x:row>
    <x:row r="841">
      <x:c r="A841" s="87"/>
      <x:c r="B841" s="88"/>
      <x:c r="D841" s="32"/>
      <x:c r="G841" s="74"/>
      <x:c r="H841" s="74"/>
      <x:c r="I841" s="74"/>
      <x:c r="J841" s="74"/>
      <x:c r="K841" s="74"/>
      <x:c r="L841" s="74"/>
      <x:c r="M841" s="74"/>
      <x:c r="N841" s="91"/>
      <x:c r="O841" s="91"/>
      <x:c r="P841" s="91"/>
      <x:c r="Q841" s="91"/>
      <x:c r="R841" s="91"/>
      <x:c r="S841" s="85"/>
      <x:c r="U841" s="86"/>
      <x:c r="V841" s="32"/>
    </x:row>
    <x:row r="842">
      <x:c r="A842" s="87"/>
      <x:c r="B842" s="88"/>
      <x:c r="D842" s="32"/>
      <x:c r="G842" s="74"/>
      <x:c r="H842" s="74"/>
      <x:c r="I842" s="74"/>
      <x:c r="J842" s="74"/>
      <x:c r="K842" s="74"/>
      <x:c r="L842" s="74"/>
      <x:c r="M842" s="74"/>
      <x:c r="N842" s="91"/>
      <x:c r="O842" s="91"/>
      <x:c r="P842" s="91"/>
      <x:c r="Q842" s="91"/>
      <x:c r="R842" s="91"/>
      <x:c r="S842" s="85"/>
      <x:c r="U842" s="86"/>
      <x:c r="V842" s="32"/>
    </x:row>
    <x:row r="843">
      <x:c r="A843" s="87"/>
      <x:c r="B843" s="88"/>
      <x:c r="D843" s="32"/>
      <x:c r="G843" s="74"/>
      <x:c r="H843" s="74"/>
      <x:c r="I843" s="74"/>
      <x:c r="J843" s="74"/>
      <x:c r="K843" s="74"/>
      <x:c r="L843" s="74"/>
      <x:c r="M843" s="74"/>
      <x:c r="N843" s="91"/>
      <x:c r="O843" s="91"/>
      <x:c r="P843" s="91"/>
      <x:c r="Q843" s="91"/>
      <x:c r="R843" s="91"/>
      <x:c r="S843" s="85"/>
      <x:c r="U843" s="86"/>
      <x:c r="V843" s="32"/>
    </x:row>
    <x:row r="844">
      <x:c r="A844" s="87"/>
      <x:c r="B844" s="88"/>
      <x:c r="D844" s="32"/>
      <x:c r="G844" s="74"/>
      <x:c r="H844" s="74"/>
      <x:c r="I844" s="74"/>
      <x:c r="J844" s="74"/>
      <x:c r="K844" s="74"/>
      <x:c r="L844" s="74"/>
      <x:c r="M844" s="74"/>
      <x:c r="N844" s="91"/>
      <x:c r="O844" s="91"/>
      <x:c r="P844" s="91"/>
      <x:c r="Q844" s="91"/>
      <x:c r="R844" s="91"/>
      <x:c r="S844" s="85"/>
      <x:c r="U844" s="86"/>
      <x:c r="V844" s="32"/>
    </x:row>
    <x:row r="845">
      <x:c r="A845" s="87"/>
      <x:c r="B845" s="88"/>
      <x:c r="D845" s="32"/>
      <x:c r="G845" s="74"/>
      <x:c r="H845" s="74"/>
      <x:c r="I845" s="74"/>
      <x:c r="J845" s="74"/>
      <x:c r="K845" s="74"/>
      <x:c r="L845" s="74"/>
      <x:c r="M845" s="74"/>
      <x:c r="N845" s="91"/>
      <x:c r="O845" s="91"/>
      <x:c r="P845" s="91"/>
      <x:c r="Q845" s="91"/>
      <x:c r="R845" s="91"/>
      <x:c r="S845" s="85"/>
      <x:c r="U845" s="86"/>
      <x:c r="V845" s="32"/>
    </x:row>
    <x:row r="846">
      <x:c r="A846" s="87"/>
      <x:c r="B846" s="88"/>
      <x:c r="D846" s="32"/>
      <x:c r="G846" s="74"/>
      <x:c r="H846" s="74"/>
      <x:c r="I846" s="74"/>
      <x:c r="J846" s="74"/>
      <x:c r="K846" s="74"/>
      <x:c r="L846" s="74"/>
      <x:c r="M846" s="74"/>
      <x:c r="N846" s="91"/>
      <x:c r="O846" s="91"/>
      <x:c r="P846" s="91"/>
      <x:c r="Q846" s="91"/>
      <x:c r="R846" s="91"/>
      <x:c r="S846" s="85"/>
      <x:c r="U846" s="86"/>
      <x:c r="V846" s="32"/>
    </x:row>
    <x:row r="847">
      <x:c r="A847" s="87"/>
      <x:c r="B847" s="88"/>
      <x:c r="D847" s="32"/>
      <x:c r="G847" s="74"/>
      <x:c r="H847" s="74"/>
      <x:c r="I847" s="74"/>
      <x:c r="J847" s="74"/>
      <x:c r="K847" s="74"/>
      <x:c r="L847" s="74"/>
      <x:c r="M847" s="74"/>
      <x:c r="N847" s="91"/>
      <x:c r="O847" s="91"/>
      <x:c r="P847" s="91"/>
      <x:c r="Q847" s="91"/>
      <x:c r="R847" s="91"/>
      <x:c r="S847" s="85"/>
      <x:c r="U847" s="86"/>
      <x:c r="V847" s="32"/>
    </x:row>
    <x:row r="848">
      <x:c r="A848" s="87"/>
      <x:c r="B848" s="88"/>
      <x:c r="D848" s="32"/>
      <x:c r="G848" s="74"/>
      <x:c r="H848" s="74"/>
      <x:c r="I848" s="74"/>
      <x:c r="J848" s="74"/>
      <x:c r="K848" s="74"/>
      <x:c r="L848" s="74"/>
      <x:c r="M848" s="74"/>
      <x:c r="N848" s="91"/>
      <x:c r="O848" s="91"/>
      <x:c r="P848" s="91"/>
      <x:c r="Q848" s="91"/>
      <x:c r="R848" s="91"/>
      <x:c r="S848" s="85"/>
      <x:c r="U848" s="86"/>
      <x:c r="V848" s="32"/>
    </x:row>
    <x:row r="849">
      <x:c r="A849" s="87"/>
      <x:c r="B849" s="88"/>
      <x:c r="D849" s="32"/>
      <x:c r="G849" s="74"/>
      <x:c r="H849" s="74"/>
      <x:c r="I849" s="74"/>
      <x:c r="J849" s="74"/>
      <x:c r="K849" s="74"/>
      <x:c r="L849" s="74"/>
      <x:c r="M849" s="74"/>
      <x:c r="N849" s="91"/>
      <x:c r="O849" s="91"/>
      <x:c r="P849" s="91"/>
      <x:c r="Q849" s="91"/>
      <x:c r="R849" s="91"/>
      <x:c r="S849" s="85"/>
      <x:c r="U849" s="86"/>
      <x:c r="V849" s="32"/>
    </x:row>
    <x:row r="850">
      <x:c r="A850" s="87"/>
      <x:c r="B850" s="88"/>
      <x:c r="D850" s="32"/>
      <x:c r="G850" s="74"/>
      <x:c r="H850" s="74"/>
      <x:c r="I850" s="74"/>
      <x:c r="J850" s="74"/>
      <x:c r="K850" s="74"/>
      <x:c r="L850" s="74"/>
      <x:c r="M850" s="74"/>
      <x:c r="N850" s="91"/>
      <x:c r="O850" s="91"/>
      <x:c r="P850" s="91"/>
      <x:c r="Q850" s="91"/>
      <x:c r="R850" s="91"/>
      <x:c r="S850" s="85"/>
      <x:c r="U850" s="86"/>
      <x:c r="V850" s="32"/>
    </x:row>
    <x:row r="851">
      <x:c r="A851" s="87"/>
      <x:c r="B851" s="88"/>
      <x:c r="D851" s="32"/>
      <x:c r="G851" s="74"/>
      <x:c r="H851" s="74"/>
      <x:c r="I851" s="74"/>
      <x:c r="J851" s="74"/>
      <x:c r="K851" s="74"/>
      <x:c r="L851" s="74"/>
      <x:c r="M851" s="74"/>
      <x:c r="N851" s="91"/>
      <x:c r="O851" s="91"/>
      <x:c r="P851" s="91"/>
      <x:c r="Q851" s="91"/>
      <x:c r="R851" s="91"/>
      <x:c r="S851" s="85"/>
      <x:c r="U851" s="86"/>
      <x:c r="V851" s="32"/>
    </x:row>
    <x:row r="852">
      <x:c r="A852" s="87"/>
      <x:c r="B852" s="88"/>
      <x:c r="D852" s="32"/>
      <x:c r="G852" s="74"/>
      <x:c r="H852" s="74"/>
      <x:c r="I852" s="74"/>
      <x:c r="J852" s="74"/>
      <x:c r="K852" s="74"/>
      <x:c r="L852" s="74"/>
      <x:c r="M852" s="74"/>
      <x:c r="N852" s="91"/>
      <x:c r="O852" s="91"/>
      <x:c r="P852" s="91"/>
      <x:c r="Q852" s="91"/>
      <x:c r="R852" s="91"/>
      <x:c r="S852" s="85"/>
      <x:c r="U852" s="86"/>
      <x:c r="V852" s="32"/>
    </x:row>
    <x:row r="853">
      <x:c r="A853" s="87"/>
      <x:c r="B853" s="88"/>
      <x:c r="D853" s="32"/>
      <x:c r="G853" s="74"/>
      <x:c r="H853" s="74"/>
      <x:c r="I853" s="74"/>
      <x:c r="J853" s="74"/>
      <x:c r="K853" s="74"/>
      <x:c r="L853" s="74"/>
      <x:c r="M853" s="74"/>
      <x:c r="N853" s="91"/>
      <x:c r="O853" s="91"/>
      <x:c r="P853" s="91"/>
      <x:c r="Q853" s="91"/>
      <x:c r="R853" s="91"/>
      <x:c r="S853" s="85"/>
      <x:c r="U853" s="86"/>
      <x:c r="V853" s="32"/>
    </x:row>
    <x:row r="854">
      <x:c r="A854" s="87"/>
      <x:c r="B854" s="88"/>
      <x:c r="D854" s="32"/>
      <x:c r="G854" s="74"/>
      <x:c r="H854" s="74"/>
      <x:c r="I854" s="74"/>
      <x:c r="J854" s="74"/>
      <x:c r="K854" s="74"/>
      <x:c r="L854" s="74"/>
      <x:c r="M854" s="74"/>
      <x:c r="N854" s="91"/>
      <x:c r="O854" s="91"/>
      <x:c r="P854" s="91"/>
      <x:c r="Q854" s="91"/>
      <x:c r="R854" s="91"/>
      <x:c r="S854" s="85"/>
      <x:c r="U854" s="86"/>
      <x:c r="V854" s="32"/>
    </x:row>
    <x:row r="855">
      <x:c r="A855" s="87"/>
      <x:c r="B855" s="88"/>
      <x:c r="D855" s="32"/>
      <x:c r="G855" s="74"/>
      <x:c r="H855" s="74"/>
      <x:c r="I855" s="74"/>
      <x:c r="J855" s="74"/>
      <x:c r="K855" s="74"/>
      <x:c r="L855" s="74"/>
      <x:c r="M855" s="74"/>
      <x:c r="N855" s="91"/>
      <x:c r="O855" s="91"/>
      <x:c r="P855" s="91"/>
      <x:c r="Q855" s="91"/>
      <x:c r="R855" s="91"/>
      <x:c r="S855" s="85"/>
      <x:c r="U855" s="86"/>
      <x:c r="V855" s="32"/>
    </x:row>
    <x:row r="856">
      <x:c r="A856" s="87"/>
      <x:c r="B856" s="88"/>
      <x:c r="D856" s="32"/>
      <x:c r="G856" s="74"/>
      <x:c r="H856" s="74"/>
      <x:c r="I856" s="74"/>
      <x:c r="J856" s="74"/>
      <x:c r="K856" s="74"/>
      <x:c r="L856" s="74"/>
      <x:c r="M856" s="74"/>
      <x:c r="N856" s="91"/>
      <x:c r="O856" s="91"/>
      <x:c r="P856" s="91"/>
      <x:c r="Q856" s="91"/>
      <x:c r="R856" s="91"/>
      <x:c r="S856" s="85"/>
      <x:c r="U856" s="86"/>
      <x:c r="V856" s="32"/>
    </x:row>
    <x:row r="857">
      <x:c r="A857" s="87"/>
      <x:c r="B857" s="88"/>
      <x:c r="D857" s="32"/>
      <x:c r="G857" s="74"/>
      <x:c r="H857" s="74"/>
      <x:c r="I857" s="74"/>
      <x:c r="J857" s="74"/>
      <x:c r="K857" s="74"/>
      <x:c r="L857" s="74"/>
      <x:c r="M857" s="74"/>
      <x:c r="N857" s="91"/>
      <x:c r="O857" s="91"/>
      <x:c r="P857" s="91"/>
      <x:c r="Q857" s="91"/>
      <x:c r="R857" s="91"/>
      <x:c r="S857" s="85"/>
      <x:c r="U857" s="86"/>
      <x:c r="V857" s="32"/>
    </x:row>
    <x:row r="858">
      <x:c r="A858" s="87"/>
      <x:c r="B858" s="88"/>
      <x:c r="D858" s="32"/>
      <x:c r="G858" s="74"/>
      <x:c r="H858" s="74"/>
      <x:c r="I858" s="74"/>
      <x:c r="J858" s="74"/>
      <x:c r="K858" s="74"/>
      <x:c r="L858" s="74"/>
      <x:c r="M858" s="74"/>
      <x:c r="N858" s="91"/>
      <x:c r="O858" s="91"/>
      <x:c r="P858" s="91"/>
      <x:c r="Q858" s="91"/>
      <x:c r="R858" s="91"/>
      <x:c r="S858" s="85"/>
      <x:c r="U858" s="86"/>
      <x:c r="V858" s="32"/>
    </x:row>
    <x:row r="859">
      <x:c r="A859" s="87"/>
      <x:c r="B859" s="88"/>
      <x:c r="D859" s="32"/>
      <x:c r="G859" s="74"/>
      <x:c r="H859" s="74"/>
      <x:c r="I859" s="74"/>
      <x:c r="J859" s="74"/>
      <x:c r="K859" s="74"/>
      <x:c r="L859" s="74"/>
      <x:c r="M859" s="74"/>
      <x:c r="N859" s="91"/>
      <x:c r="O859" s="91"/>
      <x:c r="P859" s="91"/>
      <x:c r="Q859" s="91"/>
      <x:c r="R859" s="91"/>
      <x:c r="S859" s="85"/>
      <x:c r="U859" s="86"/>
      <x:c r="V859" s="32"/>
    </x:row>
    <x:row r="860">
      <x:c r="A860" s="87"/>
      <x:c r="B860" s="88"/>
      <x:c r="D860" s="32"/>
      <x:c r="G860" s="74"/>
      <x:c r="H860" s="74"/>
      <x:c r="I860" s="74"/>
      <x:c r="J860" s="74"/>
      <x:c r="K860" s="74"/>
      <x:c r="L860" s="74"/>
      <x:c r="M860" s="74"/>
      <x:c r="N860" s="91"/>
      <x:c r="O860" s="91"/>
      <x:c r="P860" s="91"/>
      <x:c r="Q860" s="91"/>
      <x:c r="R860" s="91"/>
      <x:c r="S860" s="85"/>
      <x:c r="U860" s="86"/>
      <x:c r="V860" s="32"/>
    </x:row>
    <x:row r="861">
      <x:c r="A861" s="87"/>
      <x:c r="B861" s="88"/>
      <x:c r="D861" s="32"/>
      <x:c r="G861" s="74"/>
      <x:c r="H861" s="74"/>
      <x:c r="I861" s="74"/>
      <x:c r="J861" s="74"/>
      <x:c r="K861" s="74"/>
      <x:c r="L861" s="74"/>
      <x:c r="M861" s="74"/>
      <x:c r="N861" s="91"/>
      <x:c r="O861" s="91"/>
      <x:c r="P861" s="91"/>
      <x:c r="Q861" s="91"/>
      <x:c r="R861" s="91"/>
      <x:c r="S861" s="85"/>
      <x:c r="U861" s="86"/>
      <x:c r="V861" s="32"/>
    </x:row>
    <x:row r="862">
      <x:c r="A862" s="87"/>
      <x:c r="B862" s="88"/>
      <x:c r="D862" s="32"/>
      <x:c r="G862" s="74"/>
      <x:c r="H862" s="74"/>
      <x:c r="I862" s="74"/>
      <x:c r="J862" s="74"/>
      <x:c r="K862" s="74"/>
      <x:c r="L862" s="74"/>
      <x:c r="M862" s="74"/>
      <x:c r="N862" s="91"/>
      <x:c r="O862" s="91"/>
      <x:c r="P862" s="91"/>
      <x:c r="Q862" s="91"/>
      <x:c r="R862" s="91"/>
      <x:c r="S862" s="85"/>
      <x:c r="U862" s="86"/>
      <x:c r="V862" s="32"/>
    </x:row>
    <x:row r="863">
      <x:c r="A863" s="87"/>
      <x:c r="B863" s="88"/>
      <x:c r="D863" s="32"/>
      <x:c r="G863" s="74"/>
      <x:c r="H863" s="74"/>
      <x:c r="I863" s="74"/>
      <x:c r="J863" s="74"/>
      <x:c r="K863" s="74"/>
      <x:c r="L863" s="74"/>
      <x:c r="M863" s="74"/>
      <x:c r="N863" s="91"/>
      <x:c r="O863" s="91"/>
      <x:c r="P863" s="91"/>
      <x:c r="Q863" s="91"/>
      <x:c r="R863" s="91"/>
      <x:c r="S863" s="85"/>
      <x:c r="U863" s="86"/>
      <x:c r="V863" s="32"/>
    </x:row>
    <x:row r="864">
      <x:c r="A864" s="87"/>
      <x:c r="B864" s="88"/>
      <x:c r="D864" s="32"/>
      <x:c r="G864" s="74"/>
      <x:c r="H864" s="74"/>
      <x:c r="I864" s="74"/>
      <x:c r="J864" s="74"/>
      <x:c r="K864" s="74"/>
      <x:c r="L864" s="74"/>
      <x:c r="M864" s="74"/>
      <x:c r="N864" s="91"/>
      <x:c r="O864" s="91"/>
      <x:c r="P864" s="91"/>
      <x:c r="Q864" s="91"/>
      <x:c r="R864" s="91"/>
      <x:c r="S864" s="85"/>
      <x:c r="U864" s="86"/>
      <x:c r="V864" s="32"/>
    </x:row>
    <x:row r="865">
      <x:c r="A865" s="87"/>
      <x:c r="B865" s="88"/>
      <x:c r="D865" s="32"/>
      <x:c r="G865" s="74"/>
      <x:c r="H865" s="74"/>
      <x:c r="I865" s="74"/>
      <x:c r="J865" s="74"/>
      <x:c r="K865" s="74"/>
      <x:c r="L865" s="74"/>
      <x:c r="M865" s="74"/>
      <x:c r="N865" s="91"/>
      <x:c r="O865" s="91"/>
      <x:c r="P865" s="91"/>
      <x:c r="Q865" s="91"/>
      <x:c r="R865" s="91"/>
      <x:c r="S865" s="85"/>
      <x:c r="U865" s="86"/>
      <x:c r="V865" s="32"/>
    </x:row>
    <x:row r="866">
      <x:c r="A866" s="87"/>
      <x:c r="B866" s="88"/>
      <x:c r="D866" s="32"/>
      <x:c r="G866" s="74"/>
      <x:c r="H866" s="74"/>
      <x:c r="I866" s="74"/>
      <x:c r="J866" s="74"/>
      <x:c r="K866" s="74"/>
      <x:c r="L866" s="74"/>
      <x:c r="M866" s="74"/>
      <x:c r="N866" s="91"/>
      <x:c r="O866" s="91"/>
      <x:c r="P866" s="91"/>
      <x:c r="Q866" s="91"/>
      <x:c r="R866" s="91"/>
      <x:c r="S866" s="85"/>
      <x:c r="U866" s="86"/>
      <x:c r="V866" s="32"/>
    </x:row>
    <x:row r="867">
      <x:c r="A867" s="87"/>
      <x:c r="B867" s="88"/>
      <x:c r="D867" s="32"/>
      <x:c r="G867" s="74"/>
      <x:c r="H867" s="74"/>
      <x:c r="I867" s="74"/>
      <x:c r="J867" s="74"/>
      <x:c r="K867" s="74"/>
      <x:c r="L867" s="74"/>
      <x:c r="M867" s="74"/>
      <x:c r="N867" s="91"/>
      <x:c r="O867" s="91"/>
      <x:c r="P867" s="91"/>
      <x:c r="Q867" s="91"/>
      <x:c r="R867" s="91"/>
      <x:c r="S867" s="85"/>
      <x:c r="U867" s="86"/>
      <x:c r="V867" s="32"/>
    </x:row>
    <x:row r="868">
      <x:c r="A868" s="87"/>
      <x:c r="B868" s="88"/>
      <x:c r="D868" s="32"/>
      <x:c r="G868" s="74"/>
      <x:c r="H868" s="74"/>
      <x:c r="I868" s="74"/>
      <x:c r="J868" s="74"/>
      <x:c r="K868" s="74"/>
      <x:c r="L868" s="74"/>
      <x:c r="M868" s="74"/>
      <x:c r="N868" s="91"/>
      <x:c r="O868" s="91"/>
      <x:c r="P868" s="91"/>
      <x:c r="Q868" s="91"/>
      <x:c r="R868" s="91"/>
      <x:c r="S868" s="85"/>
      <x:c r="U868" s="86"/>
      <x:c r="V868" s="32"/>
    </x:row>
    <x:row r="869">
      <x:c r="A869" s="87"/>
      <x:c r="B869" s="88"/>
      <x:c r="D869" s="32"/>
      <x:c r="G869" s="74"/>
      <x:c r="H869" s="74"/>
      <x:c r="I869" s="74"/>
      <x:c r="J869" s="74"/>
      <x:c r="K869" s="74"/>
      <x:c r="L869" s="74"/>
      <x:c r="M869" s="74"/>
      <x:c r="N869" s="91"/>
      <x:c r="O869" s="91"/>
      <x:c r="P869" s="91"/>
      <x:c r="Q869" s="91"/>
      <x:c r="R869" s="91"/>
      <x:c r="S869" s="85"/>
      <x:c r="U869" s="86"/>
      <x:c r="V869" s="32"/>
    </x:row>
    <x:row r="870">
      <x:c r="A870" s="87"/>
      <x:c r="B870" s="88"/>
      <x:c r="D870" s="32"/>
      <x:c r="G870" s="74"/>
      <x:c r="H870" s="74"/>
      <x:c r="I870" s="74"/>
      <x:c r="J870" s="74"/>
      <x:c r="K870" s="74"/>
      <x:c r="L870" s="74"/>
      <x:c r="M870" s="74"/>
      <x:c r="N870" s="91"/>
      <x:c r="O870" s="91"/>
      <x:c r="P870" s="91"/>
      <x:c r="Q870" s="91"/>
      <x:c r="R870" s="91"/>
      <x:c r="S870" s="85"/>
      <x:c r="U870" s="86"/>
      <x:c r="V870" s="32"/>
    </x:row>
    <x:row r="871">
      <x:c r="A871" s="87"/>
      <x:c r="B871" s="88"/>
      <x:c r="D871" s="32"/>
      <x:c r="G871" s="74"/>
      <x:c r="H871" s="74"/>
      <x:c r="I871" s="74"/>
      <x:c r="J871" s="74"/>
      <x:c r="K871" s="74"/>
      <x:c r="L871" s="74"/>
      <x:c r="M871" s="74"/>
      <x:c r="N871" s="91"/>
      <x:c r="O871" s="91"/>
      <x:c r="P871" s="91"/>
      <x:c r="Q871" s="91"/>
      <x:c r="R871" s="91"/>
      <x:c r="S871" s="85"/>
      <x:c r="U871" s="86"/>
      <x:c r="V871" s="32"/>
    </x:row>
    <x:row r="872">
      <x:c r="A872" s="87"/>
      <x:c r="B872" s="88"/>
      <x:c r="D872" s="32"/>
      <x:c r="G872" s="74"/>
      <x:c r="H872" s="74"/>
      <x:c r="I872" s="74"/>
      <x:c r="J872" s="74"/>
      <x:c r="K872" s="74"/>
      <x:c r="L872" s="74"/>
      <x:c r="M872" s="74"/>
      <x:c r="N872" s="91"/>
      <x:c r="O872" s="91"/>
      <x:c r="P872" s="91"/>
      <x:c r="Q872" s="91"/>
      <x:c r="R872" s="91"/>
      <x:c r="S872" s="85"/>
      <x:c r="U872" s="86"/>
      <x:c r="V872" s="32"/>
    </x:row>
    <x:row r="873">
      <x:c r="A873" s="87"/>
      <x:c r="B873" s="88"/>
      <x:c r="D873" s="32"/>
      <x:c r="G873" s="74"/>
      <x:c r="H873" s="74"/>
      <x:c r="I873" s="74"/>
      <x:c r="J873" s="74"/>
      <x:c r="K873" s="74"/>
      <x:c r="L873" s="74"/>
      <x:c r="M873" s="74"/>
      <x:c r="N873" s="91"/>
      <x:c r="O873" s="91"/>
      <x:c r="P873" s="91"/>
      <x:c r="Q873" s="91"/>
      <x:c r="R873" s="91"/>
      <x:c r="S873" s="85"/>
      <x:c r="U873" s="86"/>
      <x:c r="V873" s="32"/>
    </x:row>
    <x:row r="874">
      <x:c r="A874" s="87"/>
      <x:c r="B874" s="88"/>
      <x:c r="D874" s="32"/>
      <x:c r="G874" s="74"/>
      <x:c r="H874" s="74"/>
      <x:c r="I874" s="74"/>
      <x:c r="J874" s="74"/>
      <x:c r="K874" s="74"/>
      <x:c r="L874" s="74"/>
      <x:c r="M874" s="74"/>
      <x:c r="N874" s="91"/>
      <x:c r="O874" s="91"/>
      <x:c r="P874" s="91"/>
      <x:c r="Q874" s="91"/>
      <x:c r="R874" s="91"/>
      <x:c r="S874" s="85"/>
      <x:c r="U874" s="86"/>
      <x:c r="V874" s="32"/>
    </x:row>
    <x:row r="875">
      <x:c r="A875" s="87"/>
      <x:c r="B875" s="88"/>
      <x:c r="D875" s="32"/>
      <x:c r="G875" s="74"/>
      <x:c r="H875" s="74"/>
      <x:c r="I875" s="74"/>
      <x:c r="J875" s="74"/>
      <x:c r="K875" s="74"/>
      <x:c r="L875" s="74"/>
      <x:c r="M875" s="74"/>
      <x:c r="N875" s="91"/>
      <x:c r="O875" s="91"/>
      <x:c r="P875" s="91"/>
      <x:c r="Q875" s="91"/>
      <x:c r="R875" s="91"/>
      <x:c r="S875" s="85"/>
      <x:c r="U875" s="86"/>
      <x:c r="V875" s="32"/>
    </x:row>
    <x:row r="876">
      <x:c r="A876" s="87"/>
      <x:c r="B876" s="88"/>
      <x:c r="D876" s="32"/>
      <x:c r="G876" s="74"/>
      <x:c r="H876" s="74"/>
      <x:c r="I876" s="74"/>
      <x:c r="J876" s="74"/>
      <x:c r="K876" s="74"/>
      <x:c r="L876" s="74"/>
      <x:c r="M876" s="74"/>
      <x:c r="N876" s="91"/>
      <x:c r="O876" s="91"/>
      <x:c r="P876" s="91"/>
      <x:c r="Q876" s="91"/>
      <x:c r="R876" s="91"/>
      <x:c r="S876" s="85"/>
      <x:c r="U876" s="86"/>
      <x:c r="V876" s="32"/>
    </x:row>
    <x:row r="877">
      <x:c r="A877" s="87"/>
      <x:c r="B877" s="88"/>
      <x:c r="D877" s="32"/>
      <x:c r="G877" s="74"/>
      <x:c r="H877" s="74"/>
      <x:c r="I877" s="74"/>
      <x:c r="J877" s="74"/>
      <x:c r="K877" s="74"/>
      <x:c r="L877" s="74"/>
      <x:c r="M877" s="74"/>
      <x:c r="N877" s="91"/>
      <x:c r="O877" s="91"/>
      <x:c r="P877" s="91"/>
      <x:c r="Q877" s="91"/>
      <x:c r="R877" s="91"/>
      <x:c r="S877" s="85"/>
      <x:c r="U877" s="86"/>
      <x:c r="V877" s="32"/>
    </x:row>
    <x:row r="878">
      <x:c r="A878" s="87"/>
      <x:c r="B878" s="88"/>
      <x:c r="D878" s="32"/>
      <x:c r="G878" s="74"/>
      <x:c r="H878" s="74"/>
      <x:c r="I878" s="74"/>
      <x:c r="J878" s="74"/>
      <x:c r="K878" s="74"/>
      <x:c r="L878" s="74"/>
      <x:c r="M878" s="74"/>
      <x:c r="N878" s="91"/>
      <x:c r="O878" s="91"/>
      <x:c r="P878" s="91"/>
      <x:c r="Q878" s="91"/>
      <x:c r="R878" s="91"/>
      <x:c r="S878" s="85"/>
      <x:c r="U878" s="86"/>
      <x:c r="V878" s="32"/>
    </x:row>
    <x:row r="879">
      <x:c r="A879" s="87"/>
      <x:c r="B879" s="88"/>
      <x:c r="D879" s="32"/>
      <x:c r="G879" s="74"/>
      <x:c r="H879" s="74"/>
      <x:c r="I879" s="74"/>
      <x:c r="J879" s="74"/>
      <x:c r="K879" s="74"/>
      <x:c r="L879" s="74"/>
      <x:c r="M879" s="74"/>
      <x:c r="N879" s="91"/>
      <x:c r="O879" s="91"/>
      <x:c r="P879" s="91"/>
      <x:c r="Q879" s="91"/>
      <x:c r="R879" s="91"/>
      <x:c r="S879" s="85"/>
      <x:c r="U879" s="86"/>
      <x:c r="V879" s="32"/>
    </x:row>
    <x:row r="880">
      <x:c r="A880" s="87"/>
      <x:c r="B880" s="88"/>
      <x:c r="D880" s="32"/>
      <x:c r="G880" s="74"/>
      <x:c r="H880" s="74"/>
      <x:c r="I880" s="74"/>
      <x:c r="J880" s="74"/>
      <x:c r="K880" s="74"/>
      <x:c r="L880" s="74"/>
      <x:c r="M880" s="74"/>
      <x:c r="N880" s="91"/>
      <x:c r="O880" s="91"/>
      <x:c r="P880" s="91"/>
      <x:c r="Q880" s="91"/>
      <x:c r="R880" s="91"/>
      <x:c r="S880" s="85"/>
      <x:c r="U880" s="86"/>
      <x:c r="V880" s="32"/>
    </x:row>
    <x:row r="881">
      <x:c r="A881" s="87"/>
      <x:c r="B881" s="88"/>
      <x:c r="D881" s="32"/>
      <x:c r="G881" s="74"/>
      <x:c r="H881" s="74"/>
      <x:c r="I881" s="74"/>
      <x:c r="J881" s="74"/>
      <x:c r="K881" s="74"/>
      <x:c r="L881" s="74"/>
      <x:c r="M881" s="74"/>
      <x:c r="N881" s="91"/>
      <x:c r="O881" s="91"/>
      <x:c r="P881" s="91"/>
      <x:c r="Q881" s="91"/>
      <x:c r="R881" s="91"/>
      <x:c r="S881" s="85"/>
      <x:c r="U881" s="86"/>
      <x:c r="V881" s="32"/>
    </x:row>
    <x:row r="882">
      <x:c r="A882" s="87"/>
      <x:c r="B882" s="88"/>
      <x:c r="D882" s="32"/>
      <x:c r="G882" s="74"/>
      <x:c r="H882" s="74"/>
      <x:c r="I882" s="74"/>
      <x:c r="J882" s="74"/>
      <x:c r="K882" s="74"/>
      <x:c r="L882" s="74"/>
      <x:c r="M882" s="74"/>
      <x:c r="N882" s="91"/>
      <x:c r="O882" s="91"/>
      <x:c r="P882" s="91"/>
      <x:c r="Q882" s="91"/>
      <x:c r="R882" s="91"/>
      <x:c r="S882" s="85"/>
      <x:c r="U882" s="86"/>
      <x:c r="V882" s="32"/>
    </x:row>
    <x:row r="883">
      <x:c r="A883" s="87"/>
      <x:c r="B883" s="88"/>
      <x:c r="D883" s="32"/>
      <x:c r="G883" s="74"/>
      <x:c r="H883" s="74"/>
      <x:c r="I883" s="74"/>
      <x:c r="J883" s="74"/>
      <x:c r="K883" s="74"/>
      <x:c r="L883" s="74"/>
      <x:c r="M883" s="74"/>
      <x:c r="N883" s="91"/>
      <x:c r="O883" s="91"/>
      <x:c r="P883" s="91"/>
      <x:c r="Q883" s="91"/>
      <x:c r="R883" s="91"/>
      <x:c r="S883" s="85"/>
      <x:c r="U883" s="86"/>
      <x:c r="V883" s="32"/>
    </x:row>
    <x:row r="884">
      <x:c r="A884" s="87"/>
      <x:c r="B884" s="88"/>
      <x:c r="D884" s="32"/>
      <x:c r="G884" s="74"/>
      <x:c r="H884" s="74"/>
      <x:c r="I884" s="74"/>
      <x:c r="J884" s="74"/>
      <x:c r="K884" s="74"/>
      <x:c r="L884" s="74"/>
      <x:c r="M884" s="74"/>
      <x:c r="N884" s="91"/>
      <x:c r="O884" s="91"/>
      <x:c r="P884" s="91"/>
      <x:c r="Q884" s="91"/>
      <x:c r="R884" s="91"/>
      <x:c r="S884" s="85"/>
      <x:c r="U884" s="86"/>
      <x:c r="V884" s="32"/>
    </x:row>
    <x:row r="885">
      <x:c r="A885" s="87"/>
      <x:c r="B885" s="88"/>
      <x:c r="D885" s="32"/>
      <x:c r="G885" s="74"/>
      <x:c r="H885" s="74"/>
      <x:c r="I885" s="74"/>
      <x:c r="J885" s="74"/>
      <x:c r="K885" s="74"/>
      <x:c r="L885" s="74"/>
      <x:c r="M885" s="74"/>
      <x:c r="N885" s="91"/>
      <x:c r="O885" s="91"/>
      <x:c r="P885" s="91"/>
      <x:c r="Q885" s="91"/>
      <x:c r="R885" s="91"/>
      <x:c r="S885" s="85"/>
      <x:c r="U885" s="86"/>
      <x:c r="V885" s="32"/>
    </x:row>
    <x:row r="886">
      <x:c r="A886" s="87"/>
      <x:c r="B886" s="88"/>
      <x:c r="D886" s="32"/>
      <x:c r="G886" s="74"/>
      <x:c r="H886" s="74"/>
      <x:c r="I886" s="74"/>
      <x:c r="J886" s="74"/>
      <x:c r="K886" s="74"/>
      <x:c r="L886" s="74"/>
      <x:c r="M886" s="74"/>
      <x:c r="N886" s="91"/>
      <x:c r="O886" s="91"/>
      <x:c r="P886" s="91"/>
      <x:c r="Q886" s="91"/>
      <x:c r="R886" s="91"/>
      <x:c r="S886" s="85"/>
      <x:c r="U886" s="86"/>
      <x:c r="V886" s="32"/>
    </x:row>
    <x:row r="887">
      <x:c r="A887" s="87"/>
      <x:c r="B887" s="88"/>
      <x:c r="D887" s="32"/>
      <x:c r="G887" s="74"/>
      <x:c r="H887" s="74"/>
      <x:c r="I887" s="74"/>
      <x:c r="J887" s="74"/>
      <x:c r="K887" s="74"/>
      <x:c r="L887" s="74"/>
      <x:c r="M887" s="74"/>
      <x:c r="N887" s="91"/>
      <x:c r="O887" s="91"/>
      <x:c r="P887" s="91"/>
      <x:c r="Q887" s="91"/>
      <x:c r="R887" s="91"/>
      <x:c r="S887" s="85"/>
      <x:c r="U887" s="86"/>
      <x:c r="V887" s="32"/>
    </x:row>
    <x:row r="888">
      <x:c r="A888" s="87"/>
      <x:c r="B888" s="88"/>
      <x:c r="D888" s="32"/>
      <x:c r="G888" s="74"/>
      <x:c r="H888" s="74"/>
      <x:c r="I888" s="74"/>
      <x:c r="J888" s="74"/>
      <x:c r="K888" s="74"/>
      <x:c r="L888" s="74"/>
      <x:c r="M888" s="74"/>
      <x:c r="N888" s="91"/>
      <x:c r="O888" s="91"/>
      <x:c r="P888" s="91"/>
      <x:c r="Q888" s="91"/>
      <x:c r="R888" s="91"/>
      <x:c r="S888" s="85"/>
      <x:c r="U888" s="86"/>
      <x:c r="V888" s="32"/>
    </x:row>
    <x:row r="889">
      <x:c r="A889" s="87"/>
      <x:c r="B889" s="88"/>
      <x:c r="D889" s="32"/>
      <x:c r="G889" s="74"/>
      <x:c r="H889" s="74"/>
      <x:c r="I889" s="74"/>
      <x:c r="J889" s="74"/>
      <x:c r="K889" s="74"/>
      <x:c r="L889" s="74"/>
      <x:c r="M889" s="74"/>
      <x:c r="N889" s="91"/>
      <x:c r="O889" s="91"/>
      <x:c r="P889" s="91"/>
      <x:c r="Q889" s="91"/>
      <x:c r="R889" s="91"/>
      <x:c r="S889" s="85"/>
      <x:c r="U889" s="86"/>
      <x:c r="V889" s="32"/>
    </x:row>
    <x:row r="890">
      <x:c r="A890" s="87"/>
      <x:c r="B890" s="88"/>
      <x:c r="D890" s="32"/>
      <x:c r="G890" s="74"/>
      <x:c r="H890" s="74"/>
      <x:c r="I890" s="74"/>
      <x:c r="J890" s="74"/>
      <x:c r="K890" s="74"/>
      <x:c r="L890" s="74"/>
      <x:c r="M890" s="74"/>
      <x:c r="N890" s="91"/>
      <x:c r="O890" s="91"/>
      <x:c r="P890" s="91"/>
      <x:c r="Q890" s="91"/>
      <x:c r="R890" s="91"/>
      <x:c r="S890" s="85"/>
      <x:c r="U890" s="86"/>
      <x:c r="V890" s="32"/>
    </x:row>
    <x:row r="891">
      <x:c r="A891" s="87"/>
      <x:c r="B891" s="88"/>
      <x:c r="D891" s="32"/>
      <x:c r="G891" s="74"/>
      <x:c r="H891" s="74"/>
      <x:c r="I891" s="74"/>
      <x:c r="J891" s="74"/>
      <x:c r="K891" s="74"/>
      <x:c r="L891" s="74"/>
      <x:c r="M891" s="74"/>
      <x:c r="N891" s="91"/>
      <x:c r="O891" s="91"/>
      <x:c r="P891" s="91"/>
      <x:c r="Q891" s="91"/>
      <x:c r="R891" s="91"/>
      <x:c r="S891" s="85"/>
      <x:c r="U891" s="86"/>
      <x:c r="V891" s="32"/>
    </x:row>
    <x:row r="892">
      <x:c r="A892" s="87"/>
      <x:c r="B892" s="88"/>
      <x:c r="D892" s="32"/>
      <x:c r="G892" s="74"/>
      <x:c r="H892" s="74"/>
      <x:c r="I892" s="74"/>
      <x:c r="J892" s="74"/>
      <x:c r="K892" s="74"/>
      <x:c r="L892" s="74"/>
      <x:c r="M892" s="74"/>
      <x:c r="N892" s="91"/>
      <x:c r="O892" s="91"/>
      <x:c r="P892" s="91"/>
      <x:c r="Q892" s="91"/>
      <x:c r="R892" s="91"/>
      <x:c r="S892" s="85"/>
      <x:c r="U892" s="86"/>
      <x:c r="V892" s="32"/>
    </x:row>
    <x:row r="893">
      <x:c r="A893" s="87"/>
      <x:c r="B893" s="88"/>
      <x:c r="D893" s="32"/>
      <x:c r="G893" s="74"/>
      <x:c r="H893" s="74"/>
      <x:c r="I893" s="74"/>
      <x:c r="J893" s="74"/>
      <x:c r="K893" s="74"/>
      <x:c r="L893" s="74"/>
      <x:c r="M893" s="74"/>
      <x:c r="N893" s="91"/>
      <x:c r="O893" s="91"/>
      <x:c r="P893" s="91"/>
      <x:c r="Q893" s="91"/>
      <x:c r="R893" s="91"/>
      <x:c r="S893" s="85"/>
      <x:c r="U893" s="86"/>
      <x:c r="V893" s="32"/>
    </x:row>
    <x:row r="894">
      <x:c r="A894" s="87"/>
      <x:c r="B894" s="88"/>
      <x:c r="D894" s="32"/>
      <x:c r="G894" s="74"/>
      <x:c r="H894" s="74"/>
      <x:c r="I894" s="74"/>
      <x:c r="J894" s="74"/>
      <x:c r="K894" s="74"/>
      <x:c r="L894" s="74"/>
      <x:c r="M894" s="74"/>
      <x:c r="N894" s="91"/>
      <x:c r="O894" s="91"/>
      <x:c r="P894" s="91"/>
      <x:c r="Q894" s="91"/>
      <x:c r="R894" s="91"/>
      <x:c r="S894" s="85"/>
      <x:c r="U894" s="86"/>
      <x:c r="V894" s="32"/>
    </x:row>
    <x:row r="895">
      <x:c r="A895" s="87"/>
      <x:c r="B895" s="88"/>
      <x:c r="D895" s="32"/>
      <x:c r="G895" s="74"/>
      <x:c r="H895" s="74"/>
      <x:c r="I895" s="74"/>
      <x:c r="J895" s="74"/>
      <x:c r="K895" s="74"/>
      <x:c r="L895" s="74"/>
      <x:c r="M895" s="74"/>
      <x:c r="N895" s="91"/>
      <x:c r="O895" s="91"/>
      <x:c r="P895" s="91"/>
      <x:c r="Q895" s="91"/>
      <x:c r="R895" s="91"/>
      <x:c r="S895" s="85"/>
      <x:c r="U895" s="86"/>
      <x:c r="V895" s="32"/>
    </x:row>
    <x:row r="896">
      <x:c r="A896" s="87"/>
      <x:c r="B896" s="88"/>
      <x:c r="D896" s="32"/>
      <x:c r="G896" s="74"/>
      <x:c r="H896" s="74"/>
      <x:c r="I896" s="74"/>
      <x:c r="J896" s="74"/>
      <x:c r="K896" s="74"/>
      <x:c r="L896" s="74"/>
      <x:c r="M896" s="74"/>
      <x:c r="N896" s="91"/>
      <x:c r="O896" s="91"/>
      <x:c r="P896" s="91"/>
      <x:c r="Q896" s="91"/>
      <x:c r="R896" s="91"/>
      <x:c r="S896" s="85"/>
      <x:c r="U896" s="86"/>
      <x:c r="V896" s="32"/>
    </x:row>
    <x:row r="897">
      <x:c r="A897" s="87"/>
      <x:c r="B897" s="88"/>
      <x:c r="D897" s="32"/>
      <x:c r="G897" s="74"/>
      <x:c r="H897" s="74"/>
      <x:c r="I897" s="74"/>
      <x:c r="J897" s="74"/>
      <x:c r="K897" s="74"/>
      <x:c r="L897" s="74"/>
      <x:c r="M897" s="74"/>
      <x:c r="N897" s="91"/>
      <x:c r="O897" s="91"/>
      <x:c r="P897" s="91"/>
      <x:c r="Q897" s="91"/>
      <x:c r="R897" s="91"/>
      <x:c r="S897" s="85"/>
      <x:c r="U897" s="86"/>
      <x:c r="V897" s="32"/>
    </x:row>
    <x:row r="898">
      <x:c r="A898" s="87"/>
      <x:c r="B898" s="88"/>
      <x:c r="D898" s="32"/>
      <x:c r="G898" s="74"/>
      <x:c r="H898" s="74"/>
      <x:c r="I898" s="74"/>
      <x:c r="J898" s="74"/>
      <x:c r="K898" s="74"/>
      <x:c r="L898" s="74"/>
      <x:c r="M898" s="74"/>
      <x:c r="N898" s="91"/>
      <x:c r="O898" s="91"/>
      <x:c r="P898" s="91"/>
      <x:c r="Q898" s="91"/>
      <x:c r="R898" s="91"/>
      <x:c r="S898" s="85"/>
      <x:c r="U898" s="86"/>
      <x:c r="V898" s="32"/>
    </x:row>
    <x:row r="899">
      <x:c r="A899" s="87"/>
      <x:c r="B899" s="88"/>
      <x:c r="D899" s="32"/>
      <x:c r="G899" s="74"/>
      <x:c r="H899" s="74"/>
      <x:c r="I899" s="74"/>
      <x:c r="J899" s="74"/>
      <x:c r="K899" s="74"/>
      <x:c r="L899" s="74"/>
      <x:c r="M899" s="74"/>
      <x:c r="N899" s="91"/>
      <x:c r="O899" s="91"/>
      <x:c r="P899" s="91"/>
      <x:c r="Q899" s="91"/>
      <x:c r="R899" s="91"/>
      <x:c r="S899" s="85"/>
      <x:c r="U899" s="86"/>
      <x:c r="V899" s="32"/>
    </x:row>
    <x:row r="900">
      <x:c r="A900" s="87"/>
      <x:c r="B900" s="88"/>
      <x:c r="D900" s="32"/>
      <x:c r="G900" s="74"/>
      <x:c r="H900" s="74"/>
      <x:c r="I900" s="74"/>
      <x:c r="J900" s="74"/>
      <x:c r="K900" s="74"/>
      <x:c r="L900" s="74"/>
      <x:c r="M900" s="74"/>
      <x:c r="N900" s="91"/>
      <x:c r="O900" s="91"/>
      <x:c r="P900" s="91"/>
      <x:c r="Q900" s="91"/>
      <x:c r="R900" s="91"/>
      <x:c r="S900" s="85"/>
      <x:c r="U900" s="86"/>
      <x:c r="V900" s="32"/>
    </x:row>
    <x:row r="901">
      <x:c r="A901" s="87"/>
      <x:c r="B901" s="88"/>
      <x:c r="D901" s="32"/>
      <x:c r="G901" s="74"/>
      <x:c r="H901" s="74"/>
      <x:c r="I901" s="74"/>
      <x:c r="J901" s="74"/>
      <x:c r="K901" s="74"/>
      <x:c r="L901" s="74"/>
      <x:c r="M901" s="74"/>
      <x:c r="N901" s="91"/>
      <x:c r="O901" s="91"/>
      <x:c r="P901" s="91"/>
      <x:c r="Q901" s="91"/>
      <x:c r="R901" s="91"/>
      <x:c r="S901" s="85"/>
      <x:c r="U901" s="86"/>
      <x:c r="V901" s="32"/>
    </x:row>
    <x:row r="902">
      <x:c r="A902" s="87"/>
      <x:c r="B902" s="88"/>
      <x:c r="D902" s="32"/>
      <x:c r="G902" s="74"/>
      <x:c r="H902" s="74"/>
      <x:c r="I902" s="74"/>
      <x:c r="J902" s="74"/>
      <x:c r="K902" s="74"/>
      <x:c r="L902" s="74"/>
      <x:c r="M902" s="74"/>
      <x:c r="N902" s="91"/>
      <x:c r="O902" s="91"/>
      <x:c r="P902" s="91"/>
      <x:c r="Q902" s="91"/>
      <x:c r="R902" s="91"/>
      <x:c r="S902" s="85"/>
      <x:c r="U902" s="86"/>
      <x:c r="V902" s="32"/>
    </x:row>
    <x:row r="903">
      <x:c r="A903" s="87"/>
      <x:c r="B903" s="88"/>
      <x:c r="D903" s="32"/>
      <x:c r="G903" s="74"/>
      <x:c r="H903" s="74"/>
      <x:c r="I903" s="74"/>
      <x:c r="J903" s="74"/>
      <x:c r="K903" s="74"/>
      <x:c r="L903" s="74"/>
      <x:c r="M903" s="74"/>
      <x:c r="N903" s="91"/>
      <x:c r="O903" s="91"/>
      <x:c r="P903" s="91"/>
      <x:c r="Q903" s="91"/>
      <x:c r="R903" s="91"/>
      <x:c r="S903" s="85"/>
      <x:c r="U903" s="86"/>
      <x:c r="V903" s="32"/>
    </x:row>
    <x:row r="904">
      <x:c r="A904" s="87"/>
      <x:c r="B904" s="88"/>
      <x:c r="D904" s="32"/>
      <x:c r="G904" s="74"/>
      <x:c r="H904" s="74"/>
      <x:c r="I904" s="74"/>
      <x:c r="J904" s="74"/>
      <x:c r="K904" s="74"/>
      <x:c r="L904" s="74"/>
      <x:c r="M904" s="74"/>
      <x:c r="N904" s="91"/>
      <x:c r="O904" s="91"/>
      <x:c r="P904" s="91"/>
      <x:c r="Q904" s="91"/>
      <x:c r="R904" s="91"/>
      <x:c r="S904" s="85"/>
      <x:c r="U904" s="86"/>
      <x:c r="V904" s="32"/>
    </x:row>
    <x:row r="905">
      <x:c r="A905" s="87"/>
      <x:c r="B905" s="88"/>
      <x:c r="D905" s="32"/>
      <x:c r="G905" s="74"/>
      <x:c r="H905" s="74"/>
      <x:c r="I905" s="74"/>
      <x:c r="J905" s="74"/>
      <x:c r="K905" s="74"/>
      <x:c r="L905" s="74"/>
      <x:c r="M905" s="74"/>
      <x:c r="N905" s="91"/>
      <x:c r="O905" s="91"/>
      <x:c r="P905" s="91"/>
      <x:c r="Q905" s="91"/>
      <x:c r="R905" s="91"/>
      <x:c r="S905" s="85"/>
      <x:c r="U905" s="86"/>
      <x:c r="V905" s="32"/>
    </x:row>
    <x:row r="906">
      <x:c r="A906" s="87"/>
      <x:c r="B906" s="88"/>
      <x:c r="D906" s="32"/>
      <x:c r="G906" s="74"/>
      <x:c r="H906" s="74"/>
      <x:c r="I906" s="74"/>
      <x:c r="J906" s="74"/>
      <x:c r="K906" s="74"/>
      <x:c r="L906" s="74"/>
      <x:c r="M906" s="74"/>
      <x:c r="N906" s="91"/>
      <x:c r="O906" s="91"/>
      <x:c r="P906" s="91"/>
      <x:c r="Q906" s="91"/>
      <x:c r="R906" s="91"/>
      <x:c r="S906" s="85"/>
      <x:c r="U906" s="86"/>
      <x:c r="V906" s="32"/>
    </x:row>
    <x:row r="907">
      <x:c r="A907" s="87"/>
      <x:c r="B907" s="88"/>
      <x:c r="D907" s="32"/>
      <x:c r="G907" s="74"/>
      <x:c r="H907" s="74"/>
      <x:c r="I907" s="74"/>
      <x:c r="J907" s="74"/>
      <x:c r="K907" s="74"/>
      <x:c r="L907" s="74"/>
      <x:c r="M907" s="74"/>
      <x:c r="N907" s="91"/>
      <x:c r="O907" s="91"/>
      <x:c r="P907" s="91"/>
      <x:c r="Q907" s="91"/>
      <x:c r="R907" s="91"/>
      <x:c r="S907" s="85"/>
      <x:c r="U907" s="86"/>
      <x:c r="V907" s="32"/>
    </x:row>
    <x:row r="908">
      <x:c r="A908" s="87"/>
      <x:c r="B908" s="88"/>
      <x:c r="D908" s="32"/>
      <x:c r="G908" s="74"/>
      <x:c r="H908" s="74"/>
      <x:c r="I908" s="74"/>
      <x:c r="J908" s="74"/>
      <x:c r="K908" s="74"/>
      <x:c r="L908" s="74"/>
      <x:c r="M908" s="74"/>
      <x:c r="N908" s="91"/>
      <x:c r="O908" s="91"/>
      <x:c r="P908" s="91"/>
      <x:c r="Q908" s="91"/>
      <x:c r="R908" s="91"/>
      <x:c r="S908" s="85"/>
      <x:c r="U908" s="86"/>
      <x:c r="V908" s="32"/>
    </x:row>
    <x:row r="909">
      <x:c r="A909" s="87"/>
      <x:c r="B909" s="88"/>
      <x:c r="D909" s="32"/>
      <x:c r="G909" s="74"/>
      <x:c r="H909" s="74"/>
      <x:c r="I909" s="74"/>
      <x:c r="J909" s="74"/>
      <x:c r="K909" s="74"/>
      <x:c r="L909" s="74"/>
      <x:c r="M909" s="74"/>
      <x:c r="N909" s="91"/>
      <x:c r="O909" s="91"/>
      <x:c r="P909" s="91"/>
      <x:c r="Q909" s="91"/>
      <x:c r="R909" s="91"/>
      <x:c r="S909" s="85"/>
      <x:c r="U909" s="86"/>
      <x:c r="V909" s="32"/>
    </x:row>
    <x:row r="910">
      <x:c r="A910" s="87"/>
      <x:c r="B910" s="88"/>
      <x:c r="D910" s="32"/>
      <x:c r="G910" s="74"/>
      <x:c r="H910" s="74"/>
      <x:c r="I910" s="74"/>
      <x:c r="J910" s="74"/>
      <x:c r="K910" s="74"/>
      <x:c r="L910" s="74"/>
      <x:c r="M910" s="74"/>
      <x:c r="N910" s="91"/>
      <x:c r="O910" s="91"/>
      <x:c r="P910" s="91"/>
      <x:c r="Q910" s="91"/>
      <x:c r="R910" s="91"/>
      <x:c r="S910" s="85"/>
      <x:c r="U910" s="86"/>
      <x:c r="V910" s="32"/>
    </x:row>
    <x:row r="911">
      <x:c r="A911" s="87"/>
      <x:c r="B911" s="88"/>
      <x:c r="D911" s="32"/>
      <x:c r="G911" s="74"/>
      <x:c r="H911" s="74"/>
      <x:c r="I911" s="74"/>
      <x:c r="J911" s="74"/>
      <x:c r="K911" s="74"/>
      <x:c r="L911" s="74"/>
      <x:c r="M911" s="74"/>
      <x:c r="N911" s="91"/>
      <x:c r="O911" s="91"/>
      <x:c r="P911" s="91"/>
      <x:c r="Q911" s="91"/>
      <x:c r="R911" s="91"/>
      <x:c r="S911" s="85"/>
      <x:c r="U911" s="86"/>
      <x:c r="V911" s="32"/>
    </x:row>
    <x:row r="912">
      <x:c r="A912" s="87"/>
      <x:c r="B912" s="88"/>
      <x:c r="D912" s="32"/>
      <x:c r="G912" s="74"/>
      <x:c r="H912" s="74"/>
      <x:c r="I912" s="74"/>
      <x:c r="J912" s="74"/>
      <x:c r="K912" s="74"/>
      <x:c r="L912" s="74"/>
      <x:c r="M912" s="74"/>
      <x:c r="N912" s="91"/>
      <x:c r="O912" s="91"/>
      <x:c r="P912" s="91"/>
      <x:c r="Q912" s="91"/>
      <x:c r="R912" s="91"/>
      <x:c r="S912" s="85"/>
      <x:c r="U912" s="86"/>
      <x:c r="V912" s="32"/>
    </x:row>
    <x:row r="913">
      <x:c r="A913" s="87"/>
      <x:c r="B913" s="88"/>
      <x:c r="D913" s="32"/>
      <x:c r="G913" s="74"/>
      <x:c r="H913" s="74"/>
      <x:c r="I913" s="74"/>
      <x:c r="J913" s="74"/>
      <x:c r="K913" s="74"/>
      <x:c r="L913" s="74"/>
      <x:c r="M913" s="74"/>
      <x:c r="N913" s="91"/>
      <x:c r="O913" s="91"/>
      <x:c r="P913" s="91"/>
      <x:c r="Q913" s="91"/>
      <x:c r="R913" s="91"/>
      <x:c r="S913" s="85"/>
      <x:c r="U913" s="86"/>
      <x:c r="V913" s="32"/>
    </x:row>
    <x:row r="914">
      <x:c r="A914" s="87"/>
      <x:c r="B914" s="88"/>
      <x:c r="D914" s="32"/>
      <x:c r="G914" s="74"/>
      <x:c r="H914" s="74"/>
      <x:c r="I914" s="74"/>
      <x:c r="J914" s="74"/>
      <x:c r="K914" s="74"/>
      <x:c r="L914" s="74"/>
      <x:c r="M914" s="74"/>
      <x:c r="N914" s="91"/>
      <x:c r="O914" s="91"/>
      <x:c r="P914" s="91"/>
      <x:c r="Q914" s="91"/>
      <x:c r="R914" s="91"/>
      <x:c r="S914" s="85"/>
      <x:c r="U914" s="86"/>
      <x:c r="V914" s="32"/>
    </x:row>
    <x:row r="915">
      <x:c r="A915" s="87"/>
      <x:c r="B915" s="88"/>
      <x:c r="D915" s="32"/>
      <x:c r="G915" s="74"/>
      <x:c r="H915" s="74"/>
      <x:c r="I915" s="74"/>
      <x:c r="J915" s="74"/>
      <x:c r="K915" s="74"/>
      <x:c r="L915" s="74"/>
      <x:c r="M915" s="74"/>
      <x:c r="N915" s="91"/>
      <x:c r="O915" s="91"/>
      <x:c r="P915" s="91"/>
      <x:c r="Q915" s="91"/>
      <x:c r="R915" s="91"/>
      <x:c r="S915" s="85"/>
      <x:c r="U915" s="86"/>
      <x:c r="V915" s="32"/>
    </x:row>
    <x:row r="916">
      <x:c r="A916" s="87"/>
      <x:c r="B916" s="88"/>
      <x:c r="D916" s="32"/>
      <x:c r="G916" s="74"/>
      <x:c r="H916" s="74"/>
      <x:c r="I916" s="74"/>
      <x:c r="J916" s="74"/>
      <x:c r="K916" s="74"/>
      <x:c r="L916" s="74"/>
      <x:c r="M916" s="74"/>
      <x:c r="N916" s="91"/>
      <x:c r="O916" s="91"/>
      <x:c r="P916" s="91"/>
      <x:c r="Q916" s="91"/>
      <x:c r="R916" s="91"/>
      <x:c r="S916" s="85"/>
      <x:c r="U916" s="86"/>
      <x:c r="V916" s="32"/>
    </x:row>
    <x:row r="917">
      <x:c r="A917" s="87"/>
      <x:c r="B917" s="88"/>
      <x:c r="D917" s="32"/>
      <x:c r="G917" s="74"/>
      <x:c r="H917" s="74"/>
      <x:c r="I917" s="74"/>
      <x:c r="J917" s="74"/>
      <x:c r="K917" s="74"/>
      <x:c r="L917" s="74"/>
      <x:c r="M917" s="74"/>
      <x:c r="N917" s="91"/>
      <x:c r="O917" s="91"/>
      <x:c r="P917" s="91"/>
      <x:c r="Q917" s="91"/>
      <x:c r="R917" s="91"/>
      <x:c r="S917" s="85"/>
      <x:c r="U917" s="86"/>
      <x:c r="V917" s="32"/>
    </x:row>
    <x:row r="918">
      <x:c r="A918" s="87"/>
      <x:c r="B918" s="88"/>
      <x:c r="D918" s="32"/>
      <x:c r="G918" s="74"/>
      <x:c r="H918" s="74"/>
      <x:c r="I918" s="74"/>
      <x:c r="J918" s="74"/>
      <x:c r="K918" s="74"/>
      <x:c r="L918" s="74"/>
      <x:c r="M918" s="74"/>
      <x:c r="N918" s="91"/>
      <x:c r="O918" s="91"/>
      <x:c r="P918" s="91"/>
      <x:c r="Q918" s="91"/>
      <x:c r="R918" s="91"/>
      <x:c r="S918" s="85"/>
      <x:c r="U918" s="86"/>
      <x:c r="V918" s="32"/>
    </x:row>
    <x:row r="919">
      <x:c r="A919" s="87"/>
      <x:c r="B919" s="88"/>
      <x:c r="D919" s="32"/>
      <x:c r="G919" s="74"/>
      <x:c r="H919" s="74"/>
      <x:c r="I919" s="74"/>
      <x:c r="J919" s="74"/>
      <x:c r="K919" s="74"/>
      <x:c r="L919" s="74"/>
      <x:c r="M919" s="74"/>
      <x:c r="N919" s="91"/>
      <x:c r="O919" s="91"/>
      <x:c r="P919" s="91"/>
      <x:c r="Q919" s="91"/>
      <x:c r="R919" s="91"/>
      <x:c r="S919" s="85"/>
      <x:c r="U919" s="86"/>
      <x:c r="V919" s="32"/>
    </x:row>
    <x:row r="920">
      <x:c r="A920" s="87"/>
      <x:c r="B920" s="88"/>
      <x:c r="D920" s="32"/>
      <x:c r="G920" s="74"/>
      <x:c r="H920" s="74"/>
      <x:c r="I920" s="74"/>
      <x:c r="J920" s="74"/>
      <x:c r="K920" s="74"/>
      <x:c r="L920" s="74"/>
      <x:c r="M920" s="74"/>
      <x:c r="N920" s="91"/>
      <x:c r="O920" s="91"/>
      <x:c r="P920" s="91"/>
      <x:c r="Q920" s="91"/>
      <x:c r="R920" s="91"/>
      <x:c r="S920" s="85"/>
      <x:c r="U920" s="86"/>
      <x:c r="V920" s="32"/>
    </x:row>
    <x:row r="921">
      <x:c r="A921" s="87"/>
      <x:c r="B921" s="88"/>
      <x:c r="D921" s="32"/>
      <x:c r="G921" s="74"/>
      <x:c r="H921" s="74"/>
      <x:c r="I921" s="74"/>
      <x:c r="J921" s="74"/>
      <x:c r="K921" s="74"/>
      <x:c r="L921" s="74"/>
      <x:c r="M921" s="74"/>
      <x:c r="N921" s="91"/>
      <x:c r="O921" s="91"/>
      <x:c r="P921" s="91"/>
      <x:c r="Q921" s="91"/>
      <x:c r="R921" s="91"/>
      <x:c r="S921" s="85"/>
      <x:c r="U921" s="86"/>
      <x:c r="V921" s="32"/>
    </x:row>
    <x:row r="922">
      <x:c r="A922" s="87"/>
      <x:c r="B922" s="88"/>
      <x:c r="D922" s="32"/>
      <x:c r="G922" s="74"/>
      <x:c r="H922" s="74"/>
      <x:c r="I922" s="74"/>
      <x:c r="J922" s="74"/>
      <x:c r="K922" s="74"/>
      <x:c r="L922" s="74"/>
      <x:c r="M922" s="74"/>
      <x:c r="N922" s="91"/>
      <x:c r="O922" s="91"/>
      <x:c r="P922" s="91"/>
      <x:c r="Q922" s="91"/>
      <x:c r="R922" s="91"/>
      <x:c r="S922" s="85"/>
      <x:c r="U922" s="86"/>
      <x:c r="V922" s="32"/>
    </x:row>
    <x:row r="923">
      <x:c r="A923" s="87"/>
      <x:c r="B923" s="88"/>
      <x:c r="D923" s="32"/>
      <x:c r="G923" s="74"/>
      <x:c r="H923" s="74"/>
      <x:c r="I923" s="74"/>
      <x:c r="J923" s="74"/>
      <x:c r="K923" s="74"/>
      <x:c r="L923" s="74"/>
      <x:c r="M923" s="74"/>
      <x:c r="N923" s="91"/>
      <x:c r="O923" s="91"/>
      <x:c r="P923" s="91"/>
      <x:c r="Q923" s="91"/>
      <x:c r="R923" s="91"/>
      <x:c r="S923" s="85"/>
      <x:c r="U923" s="86"/>
      <x:c r="V923" s="32"/>
    </x:row>
    <x:row r="924">
      <x:c r="A924" s="87"/>
      <x:c r="B924" s="88"/>
      <x:c r="D924" s="32"/>
      <x:c r="G924" s="74"/>
      <x:c r="H924" s="74"/>
      <x:c r="I924" s="74"/>
      <x:c r="J924" s="74"/>
      <x:c r="K924" s="74"/>
      <x:c r="L924" s="74"/>
      <x:c r="M924" s="74"/>
      <x:c r="N924" s="91"/>
      <x:c r="O924" s="91"/>
      <x:c r="P924" s="91"/>
      <x:c r="Q924" s="91"/>
      <x:c r="R924" s="91"/>
      <x:c r="S924" s="85"/>
      <x:c r="U924" s="86"/>
      <x:c r="V924" s="32"/>
    </x:row>
    <x:row r="925">
      <x:c r="A925" s="87"/>
      <x:c r="B925" s="88"/>
      <x:c r="D925" s="32"/>
      <x:c r="G925" s="74"/>
      <x:c r="H925" s="74"/>
      <x:c r="I925" s="74"/>
      <x:c r="J925" s="74"/>
      <x:c r="K925" s="74"/>
      <x:c r="L925" s="74"/>
      <x:c r="M925" s="74"/>
      <x:c r="N925" s="91"/>
      <x:c r="O925" s="91"/>
      <x:c r="P925" s="91"/>
      <x:c r="Q925" s="91"/>
      <x:c r="R925" s="91"/>
      <x:c r="S925" s="85"/>
      <x:c r="U925" s="86"/>
      <x:c r="V925" s="32"/>
    </x:row>
    <x:row r="926">
      <x:c r="A926" s="87"/>
      <x:c r="B926" s="88"/>
      <x:c r="D926" s="32"/>
      <x:c r="G926" s="74"/>
      <x:c r="H926" s="74"/>
      <x:c r="I926" s="74"/>
      <x:c r="J926" s="74"/>
      <x:c r="K926" s="74"/>
      <x:c r="L926" s="74"/>
      <x:c r="M926" s="74"/>
      <x:c r="N926" s="91"/>
      <x:c r="O926" s="91"/>
      <x:c r="P926" s="91"/>
      <x:c r="Q926" s="91"/>
      <x:c r="R926" s="91"/>
      <x:c r="S926" s="85"/>
      <x:c r="U926" s="86"/>
      <x:c r="V926" s="32"/>
    </x:row>
    <x:row r="927">
      <x:c r="A927" s="87"/>
      <x:c r="B927" s="88"/>
      <x:c r="D927" s="32"/>
      <x:c r="G927" s="74"/>
      <x:c r="H927" s="74"/>
      <x:c r="I927" s="74"/>
      <x:c r="J927" s="74"/>
      <x:c r="K927" s="74"/>
      <x:c r="L927" s="74"/>
      <x:c r="M927" s="74"/>
      <x:c r="N927" s="91"/>
      <x:c r="O927" s="91"/>
      <x:c r="P927" s="91"/>
      <x:c r="Q927" s="91"/>
      <x:c r="R927" s="91"/>
      <x:c r="S927" s="85"/>
      <x:c r="U927" s="86"/>
      <x:c r="V927" s="32"/>
    </x:row>
    <x:row r="928">
      <x:c r="A928" s="87"/>
      <x:c r="B928" s="88"/>
      <x:c r="D928" s="32"/>
      <x:c r="G928" s="74"/>
      <x:c r="H928" s="74"/>
      <x:c r="I928" s="74"/>
      <x:c r="J928" s="74"/>
      <x:c r="K928" s="74"/>
      <x:c r="L928" s="74"/>
      <x:c r="M928" s="74"/>
      <x:c r="N928" s="91"/>
      <x:c r="O928" s="91"/>
      <x:c r="P928" s="91"/>
      <x:c r="Q928" s="91"/>
      <x:c r="R928" s="91"/>
      <x:c r="S928" s="85"/>
      <x:c r="U928" s="86"/>
      <x:c r="V928" s="32"/>
    </x:row>
    <x:row r="929">
      <x:c r="A929" s="87"/>
      <x:c r="B929" s="88"/>
      <x:c r="D929" s="32"/>
      <x:c r="G929" s="74"/>
      <x:c r="H929" s="74"/>
      <x:c r="I929" s="74"/>
      <x:c r="J929" s="74"/>
      <x:c r="K929" s="74"/>
      <x:c r="L929" s="74"/>
      <x:c r="M929" s="74"/>
      <x:c r="N929" s="91"/>
      <x:c r="O929" s="91"/>
      <x:c r="P929" s="91"/>
      <x:c r="Q929" s="91"/>
      <x:c r="R929" s="91"/>
      <x:c r="S929" s="85"/>
      <x:c r="U929" s="86"/>
      <x:c r="V929" s="32"/>
    </x:row>
    <x:row r="930">
      <x:c r="A930" s="87"/>
      <x:c r="B930" s="88"/>
      <x:c r="D930" s="32"/>
      <x:c r="G930" s="74"/>
      <x:c r="H930" s="74"/>
      <x:c r="I930" s="74"/>
      <x:c r="J930" s="74"/>
      <x:c r="K930" s="74"/>
      <x:c r="L930" s="74"/>
      <x:c r="M930" s="74"/>
      <x:c r="N930" s="91"/>
      <x:c r="O930" s="91"/>
      <x:c r="P930" s="91"/>
      <x:c r="Q930" s="91"/>
      <x:c r="R930" s="91"/>
      <x:c r="S930" s="85"/>
      <x:c r="U930" s="86"/>
      <x:c r="V930" s="32"/>
    </x:row>
    <x:row r="931">
      <x:c r="A931" s="87"/>
      <x:c r="B931" s="88"/>
      <x:c r="D931" s="32"/>
      <x:c r="G931" s="74"/>
      <x:c r="H931" s="74"/>
      <x:c r="I931" s="74"/>
      <x:c r="J931" s="74"/>
      <x:c r="K931" s="74"/>
      <x:c r="L931" s="74"/>
      <x:c r="M931" s="74"/>
      <x:c r="N931" s="91"/>
      <x:c r="O931" s="91"/>
      <x:c r="P931" s="91"/>
      <x:c r="Q931" s="91"/>
      <x:c r="R931" s="91"/>
      <x:c r="S931" s="85"/>
      <x:c r="U931" s="86"/>
      <x:c r="V931" s="32"/>
    </x:row>
    <x:row r="932">
      <x:c r="A932" s="87"/>
      <x:c r="B932" s="88"/>
      <x:c r="D932" s="32"/>
      <x:c r="G932" s="74"/>
      <x:c r="H932" s="74"/>
      <x:c r="I932" s="74"/>
      <x:c r="J932" s="74"/>
      <x:c r="K932" s="74"/>
      <x:c r="L932" s="74"/>
      <x:c r="M932" s="74"/>
      <x:c r="N932" s="91"/>
      <x:c r="O932" s="91"/>
      <x:c r="P932" s="91"/>
      <x:c r="Q932" s="91"/>
      <x:c r="R932" s="91"/>
      <x:c r="S932" s="85"/>
      <x:c r="U932" s="86"/>
      <x:c r="V932" s="32"/>
    </x:row>
    <x:row r="933">
      <x:c r="A933" s="87"/>
      <x:c r="B933" s="88"/>
      <x:c r="D933" s="32"/>
      <x:c r="G933" s="74"/>
      <x:c r="H933" s="74"/>
      <x:c r="I933" s="74"/>
      <x:c r="J933" s="74"/>
      <x:c r="K933" s="74"/>
      <x:c r="L933" s="74"/>
      <x:c r="M933" s="74"/>
      <x:c r="N933" s="91"/>
      <x:c r="O933" s="91"/>
      <x:c r="P933" s="91"/>
      <x:c r="Q933" s="91"/>
      <x:c r="R933" s="91"/>
      <x:c r="S933" s="85"/>
      <x:c r="U933" s="86"/>
      <x:c r="V933" s="32"/>
    </x:row>
    <x:row r="934">
      <x:c r="A934" s="87"/>
      <x:c r="B934" s="88"/>
      <x:c r="D934" s="32"/>
      <x:c r="G934" s="74"/>
      <x:c r="H934" s="74"/>
      <x:c r="I934" s="74"/>
      <x:c r="J934" s="74"/>
      <x:c r="K934" s="74"/>
      <x:c r="L934" s="74"/>
      <x:c r="M934" s="74"/>
      <x:c r="N934" s="91"/>
      <x:c r="O934" s="91"/>
      <x:c r="P934" s="91"/>
      <x:c r="Q934" s="91"/>
      <x:c r="R934" s="91"/>
      <x:c r="S934" s="85"/>
      <x:c r="U934" s="86"/>
      <x:c r="V934" s="32"/>
    </x:row>
    <x:row r="935">
      <x:c r="A935" s="87"/>
      <x:c r="B935" s="88"/>
      <x:c r="D935" s="32"/>
      <x:c r="G935" s="74"/>
      <x:c r="H935" s="74"/>
      <x:c r="I935" s="74"/>
      <x:c r="J935" s="74"/>
      <x:c r="K935" s="74"/>
      <x:c r="L935" s="74"/>
      <x:c r="M935" s="74"/>
      <x:c r="N935" s="91"/>
      <x:c r="O935" s="91"/>
      <x:c r="P935" s="91"/>
      <x:c r="Q935" s="91"/>
      <x:c r="R935" s="91"/>
      <x:c r="S935" s="85"/>
      <x:c r="U935" s="86"/>
      <x:c r="V935" s="32"/>
    </x:row>
    <x:row r="936">
      <x:c r="A936" s="87"/>
      <x:c r="B936" s="88"/>
      <x:c r="D936" s="32"/>
      <x:c r="G936" s="74"/>
      <x:c r="H936" s="74"/>
      <x:c r="I936" s="74"/>
      <x:c r="J936" s="74"/>
      <x:c r="K936" s="74"/>
      <x:c r="L936" s="74"/>
      <x:c r="M936" s="74"/>
      <x:c r="N936" s="91"/>
      <x:c r="O936" s="91"/>
      <x:c r="P936" s="91"/>
      <x:c r="Q936" s="91"/>
      <x:c r="R936" s="91"/>
      <x:c r="S936" s="85"/>
      <x:c r="U936" s="86"/>
      <x:c r="V936" s="32"/>
    </x:row>
    <x:row r="937">
      <x:c r="A937" s="87"/>
      <x:c r="B937" s="88"/>
      <x:c r="D937" s="32"/>
      <x:c r="G937" s="74"/>
      <x:c r="H937" s="74"/>
      <x:c r="I937" s="74"/>
      <x:c r="J937" s="74"/>
      <x:c r="K937" s="74"/>
      <x:c r="L937" s="74"/>
      <x:c r="M937" s="74"/>
      <x:c r="N937" s="91"/>
      <x:c r="O937" s="91"/>
      <x:c r="P937" s="91"/>
      <x:c r="Q937" s="91"/>
      <x:c r="R937" s="91"/>
      <x:c r="S937" s="85"/>
      <x:c r="U937" s="86"/>
      <x:c r="V937" s="32"/>
    </x:row>
    <x:row r="938">
      <x:c r="A938" s="87"/>
      <x:c r="B938" s="88"/>
      <x:c r="D938" s="32"/>
      <x:c r="G938" s="74"/>
      <x:c r="H938" s="74"/>
      <x:c r="I938" s="74"/>
      <x:c r="J938" s="74"/>
      <x:c r="K938" s="74"/>
      <x:c r="L938" s="74"/>
      <x:c r="M938" s="74"/>
      <x:c r="N938" s="91"/>
      <x:c r="O938" s="91"/>
      <x:c r="P938" s="91"/>
      <x:c r="Q938" s="91"/>
      <x:c r="R938" s="91"/>
      <x:c r="S938" s="85"/>
      <x:c r="U938" s="86"/>
      <x:c r="V938" s="32"/>
    </x:row>
    <x:row r="939">
      <x:c r="A939" s="87"/>
      <x:c r="B939" s="88"/>
      <x:c r="D939" s="32"/>
      <x:c r="G939" s="74"/>
      <x:c r="H939" s="74"/>
      <x:c r="I939" s="74"/>
      <x:c r="J939" s="74"/>
      <x:c r="K939" s="74"/>
      <x:c r="L939" s="74"/>
      <x:c r="M939" s="74"/>
      <x:c r="N939" s="91"/>
      <x:c r="O939" s="91"/>
      <x:c r="P939" s="91"/>
      <x:c r="Q939" s="91"/>
      <x:c r="R939" s="91"/>
      <x:c r="S939" s="85"/>
      <x:c r="U939" s="86"/>
      <x:c r="V939" s="32"/>
    </x:row>
    <x:row r="940">
      <x:c r="A940" s="87"/>
      <x:c r="B940" s="88"/>
      <x:c r="D940" s="32"/>
      <x:c r="G940" s="74"/>
      <x:c r="H940" s="74"/>
      <x:c r="I940" s="74"/>
      <x:c r="J940" s="74"/>
      <x:c r="K940" s="74"/>
      <x:c r="L940" s="74"/>
      <x:c r="M940" s="74"/>
      <x:c r="N940" s="91"/>
      <x:c r="O940" s="91"/>
      <x:c r="P940" s="91"/>
      <x:c r="Q940" s="91"/>
      <x:c r="R940" s="91"/>
      <x:c r="S940" s="85"/>
      <x:c r="U940" s="86"/>
      <x:c r="V940" s="32"/>
    </x:row>
    <x:row r="941">
      <x:c r="A941" s="87"/>
      <x:c r="B941" s="88"/>
      <x:c r="D941" s="32"/>
      <x:c r="G941" s="74"/>
      <x:c r="H941" s="74"/>
      <x:c r="I941" s="74"/>
      <x:c r="J941" s="74"/>
      <x:c r="K941" s="74"/>
      <x:c r="L941" s="74"/>
      <x:c r="M941" s="74"/>
      <x:c r="N941" s="91"/>
      <x:c r="O941" s="91"/>
      <x:c r="P941" s="91"/>
      <x:c r="Q941" s="91"/>
      <x:c r="R941" s="91"/>
      <x:c r="S941" s="85"/>
      <x:c r="U941" s="86"/>
      <x:c r="V941" s="32"/>
    </x:row>
    <x:row r="942">
      <x:c r="A942" s="87"/>
      <x:c r="B942" s="88"/>
      <x:c r="D942" s="32"/>
      <x:c r="G942" s="74"/>
      <x:c r="H942" s="74"/>
      <x:c r="I942" s="74"/>
      <x:c r="J942" s="74"/>
      <x:c r="K942" s="74"/>
      <x:c r="L942" s="74"/>
      <x:c r="M942" s="74"/>
      <x:c r="N942" s="91"/>
      <x:c r="O942" s="91"/>
      <x:c r="P942" s="91"/>
      <x:c r="Q942" s="91"/>
      <x:c r="R942" s="91"/>
      <x:c r="S942" s="85"/>
      <x:c r="U942" s="86"/>
      <x:c r="V942" s="32"/>
    </x:row>
    <x:row r="943">
      <x:c r="A943" s="87"/>
      <x:c r="B943" s="88"/>
      <x:c r="D943" s="32"/>
      <x:c r="G943" s="74"/>
      <x:c r="H943" s="74"/>
      <x:c r="I943" s="74"/>
      <x:c r="J943" s="74"/>
      <x:c r="K943" s="74"/>
      <x:c r="L943" s="74"/>
      <x:c r="M943" s="74"/>
      <x:c r="N943" s="91"/>
      <x:c r="O943" s="91"/>
      <x:c r="P943" s="91"/>
      <x:c r="Q943" s="91"/>
      <x:c r="R943" s="91"/>
      <x:c r="S943" s="85"/>
      <x:c r="U943" s="86"/>
      <x:c r="V943" s="32"/>
    </x:row>
    <x:row r="944">
      <x:c r="A944" s="87"/>
      <x:c r="B944" s="88"/>
      <x:c r="D944" s="32"/>
      <x:c r="G944" s="74"/>
      <x:c r="H944" s="74"/>
      <x:c r="I944" s="74"/>
      <x:c r="J944" s="74"/>
      <x:c r="K944" s="74"/>
      <x:c r="L944" s="74"/>
      <x:c r="M944" s="74"/>
      <x:c r="N944" s="91"/>
      <x:c r="O944" s="91"/>
      <x:c r="P944" s="91"/>
      <x:c r="Q944" s="91"/>
      <x:c r="R944" s="91"/>
      <x:c r="S944" s="85"/>
      <x:c r="U944" s="86"/>
      <x:c r="V944" s="32"/>
    </x:row>
    <x:row r="945">
      <x:c r="A945" s="87"/>
      <x:c r="B945" s="88"/>
      <x:c r="D945" s="32"/>
      <x:c r="G945" s="74"/>
      <x:c r="H945" s="74"/>
      <x:c r="I945" s="74"/>
      <x:c r="J945" s="74"/>
      <x:c r="K945" s="74"/>
      <x:c r="L945" s="74"/>
      <x:c r="M945" s="74"/>
      <x:c r="N945" s="91"/>
      <x:c r="O945" s="91"/>
      <x:c r="P945" s="91"/>
      <x:c r="Q945" s="91"/>
      <x:c r="R945" s="91"/>
      <x:c r="S945" s="85"/>
      <x:c r="U945" s="86"/>
      <x:c r="V945" s="32"/>
    </x:row>
    <x:row r="946">
      <x:c r="A946" s="87"/>
      <x:c r="B946" s="88"/>
      <x:c r="D946" s="32"/>
      <x:c r="G946" s="74"/>
      <x:c r="H946" s="74"/>
      <x:c r="I946" s="74"/>
      <x:c r="J946" s="74"/>
      <x:c r="K946" s="74"/>
      <x:c r="L946" s="74"/>
      <x:c r="M946" s="74"/>
      <x:c r="N946" s="91"/>
      <x:c r="O946" s="91"/>
      <x:c r="P946" s="91"/>
      <x:c r="Q946" s="91"/>
      <x:c r="R946" s="91"/>
      <x:c r="S946" s="85"/>
      <x:c r="U946" s="86"/>
      <x:c r="V946" s="32"/>
    </x:row>
    <x:row r="947">
      <x:c r="A947" s="87"/>
      <x:c r="B947" s="88"/>
      <x:c r="D947" s="32"/>
      <x:c r="G947" s="74"/>
      <x:c r="H947" s="74"/>
      <x:c r="I947" s="74"/>
      <x:c r="J947" s="74"/>
      <x:c r="K947" s="74"/>
      <x:c r="L947" s="74"/>
      <x:c r="M947" s="74"/>
      <x:c r="N947" s="91"/>
      <x:c r="O947" s="91"/>
      <x:c r="P947" s="91"/>
      <x:c r="Q947" s="91"/>
      <x:c r="R947" s="91"/>
      <x:c r="S947" s="85"/>
      <x:c r="U947" s="86"/>
      <x:c r="V947" s="32"/>
    </x:row>
    <x:row r="948">
      <x:c r="A948" s="87"/>
      <x:c r="B948" s="88"/>
      <x:c r="D948" s="32"/>
      <x:c r="G948" s="74"/>
      <x:c r="H948" s="74"/>
      <x:c r="I948" s="74"/>
      <x:c r="J948" s="74"/>
      <x:c r="K948" s="74"/>
      <x:c r="L948" s="74"/>
      <x:c r="M948" s="74"/>
      <x:c r="N948" s="91"/>
      <x:c r="O948" s="91"/>
      <x:c r="P948" s="91"/>
      <x:c r="Q948" s="91"/>
      <x:c r="R948" s="91"/>
      <x:c r="S948" s="85"/>
      <x:c r="U948" s="86"/>
      <x:c r="V948" s="32"/>
    </x:row>
    <x:row r="949">
      <x:c r="A949" s="87"/>
      <x:c r="B949" s="88"/>
      <x:c r="D949" s="32"/>
      <x:c r="G949" s="74"/>
      <x:c r="H949" s="74"/>
      <x:c r="I949" s="74"/>
      <x:c r="J949" s="74"/>
      <x:c r="K949" s="74"/>
      <x:c r="L949" s="74"/>
      <x:c r="M949" s="74"/>
      <x:c r="N949" s="91"/>
      <x:c r="O949" s="91"/>
      <x:c r="P949" s="91"/>
      <x:c r="Q949" s="91"/>
      <x:c r="R949" s="91"/>
      <x:c r="S949" s="85"/>
      <x:c r="U949" s="86"/>
      <x:c r="V949" s="32"/>
    </x:row>
    <x:row r="950">
      <x:c r="A950" s="87"/>
      <x:c r="B950" s="88"/>
      <x:c r="D950" s="32"/>
      <x:c r="G950" s="74"/>
      <x:c r="H950" s="74"/>
      <x:c r="I950" s="74"/>
      <x:c r="J950" s="74"/>
      <x:c r="K950" s="74"/>
      <x:c r="L950" s="74"/>
      <x:c r="M950" s="74"/>
      <x:c r="N950" s="91"/>
      <x:c r="O950" s="91"/>
      <x:c r="P950" s="91"/>
      <x:c r="Q950" s="91"/>
      <x:c r="R950" s="91"/>
      <x:c r="S950" s="85"/>
      <x:c r="U950" s="86"/>
      <x:c r="V950" s="32"/>
    </x:row>
    <x:row r="951">
      <x:c r="A951" s="87"/>
      <x:c r="B951" s="88"/>
      <x:c r="D951" s="32"/>
      <x:c r="G951" s="74"/>
      <x:c r="H951" s="74"/>
      <x:c r="I951" s="74"/>
      <x:c r="J951" s="74"/>
      <x:c r="K951" s="74"/>
      <x:c r="L951" s="74"/>
      <x:c r="M951" s="74"/>
      <x:c r="N951" s="91"/>
      <x:c r="O951" s="91"/>
      <x:c r="P951" s="91"/>
      <x:c r="Q951" s="91"/>
      <x:c r="R951" s="91"/>
      <x:c r="S951" s="85"/>
      <x:c r="U951" s="86"/>
      <x:c r="V951" s="32"/>
    </x:row>
    <x:row r="952">
      <x:c r="A952" s="87"/>
      <x:c r="B952" s="88"/>
      <x:c r="D952" s="32"/>
      <x:c r="G952" s="74"/>
      <x:c r="H952" s="74"/>
      <x:c r="I952" s="74"/>
      <x:c r="J952" s="74"/>
      <x:c r="K952" s="74"/>
      <x:c r="L952" s="74"/>
      <x:c r="M952" s="74"/>
      <x:c r="N952" s="91"/>
      <x:c r="O952" s="91"/>
      <x:c r="P952" s="91"/>
      <x:c r="Q952" s="91"/>
      <x:c r="R952" s="91"/>
      <x:c r="S952" s="85"/>
      <x:c r="U952" s="86"/>
      <x:c r="V952" s="32"/>
    </x:row>
    <x:row r="953">
      <x:c r="A953" s="87"/>
      <x:c r="B953" s="88"/>
      <x:c r="D953" s="32"/>
      <x:c r="G953" s="74"/>
      <x:c r="H953" s="74"/>
      <x:c r="I953" s="74"/>
      <x:c r="J953" s="74"/>
      <x:c r="K953" s="74"/>
      <x:c r="L953" s="74"/>
      <x:c r="M953" s="74"/>
      <x:c r="N953" s="91"/>
      <x:c r="O953" s="91"/>
      <x:c r="P953" s="91"/>
      <x:c r="Q953" s="91"/>
      <x:c r="R953" s="91"/>
      <x:c r="S953" s="85"/>
      <x:c r="U953" s="86"/>
      <x:c r="V953" s="32"/>
    </x:row>
    <x:row r="954">
      <x:c r="A954" s="87"/>
      <x:c r="B954" s="88"/>
      <x:c r="D954" s="32"/>
      <x:c r="G954" s="74"/>
      <x:c r="H954" s="74"/>
      <x:c r="I954" s="74"/>
      <x:c r="J954" s="74"/>
      <x:c r="K954" s="74"/>
      <x:c r="L954" s="74"/>
      <x:c r="M954" s="74"/>
      <x:c r="N954" s="91"/>
      <x:c r="O954" s="91"/>
      <x:c r="P954" s="91"/>
      <x:c r="Q954" s="91"/>
      <x:c r="R954" s="91"/>
      <x:c r="S954" s="85"/>
      <x:c r="U954" s="86"/>
      <x:c r="V954" s="32"/>
    </x:row>
    <x:row r="955">
      <x:c r="A955" s="87"/>
      <x:c r="B955" s="88"/>
      <x:c r="D955" s="32"/>
      <x:c r="G955" s="74"/>
      <x:c r="H955" s="74"/>
      <x:c r="I955" s="74"/>
      <x:c r="J955" s="74"/>
      <x:c r="K955" s="74"/>
      <x:c r="L955" s="74"/>
      <x:c r="M955" s="74"/>
      <x:c r="N955" s="91"/>
      <x:c r="O955" s="91"/>
      <x:c r="P955" s="91"/>
      <x:c r="Q955" s="91"/>
      <x:c r="R955" s="91"/>
      <x:c r="S955" s="85"/>
      <x:c r="U955" s="86"/>
      <x:c r="V955" s="32"/>
    </x:row>
    <x:row r="956">
      <x:c r="A956" s="87"/>
      <x:c r="B956" s="88"/>
      <x:c r="D956" s="32"/>
      <x:c r="G956" s="74"/>
      <x:c r="H956" s="74"/>
      <x:c r="I956" s="74"/>
      <x:c r="J956" s="74"/>
      <x:c r="K956" s="74"/>
      <x:c r="L956" s="74"/>
      <x:c r="M956" s="74"/>
      <x:c r="N956" s="91"/>
      <x:c r="O956" s="91"/>
      <x:c r="P956" s="91"/>
      <x:c r="Q956" s="91"/>
      <x:c r="R956" s="91"/>
      <x:c r="S956" s="85"/>
      <x:c r="U956" s="86"/>
      <x:c r="V956" s="32"/>
    </x:row>
    <x:row r="957">
      <x:c r="A957" s="87"/>
      <x:c r="B957" s="88"/>
      <x:c r="D957" s="32"/>
      <x:c r="G957" s="74"/>
      <x:c r="H957" s="74"/>
      <x:c r="I957" s="74"/>
      <x:c r="J957" s="74"/>
      <x:c r="K957" s="74"/>
      <x:c r="L957" s="74"/>
      <x:c r="M957" s="74"/>
      <x:c r="N957" s="91"/>
      <x:c r="O957" s="91"/>
      <x:c r="P957" s="91"/>
      <x:c r="Q957" s="91"/>
      <x:c r="R957" s="91"/>
      <x:c r="S957" s="85"/>
      <x:c r="U957" s="86"/>
      <x:c r="V957" s="32"/>
    </x:row>
    <x:row r="958">
      <x:c r="A958" s="87"/>
      <x:c r="B958" s="88"/>
      <x:c r="D958" s="32"/>
      <x:c r="G958" s="74"/>
      <x:c r="H958" s="74"/>
      <x:c r="I958" s="74"/>
      <x:c r="J958" s="74"/>
      <x:c r="K958" s="74"/>
      <x:c r="L958" s="74"/>
      <x:c r="M958" s="74"/>
      <x:c r="N958" s="91"/>
      <x:c r="O958" s="91"/>
      <x:c r="P958" s="91"/>
      <x:c r="Q958" s="91"/>
      <x:c r="R958" s="91"/>
      <x:c r="S958" s="85"/>
      <x:c r="U958" s="86"/>
      <x:c r="V958" s="32"/>
    </x:row>
    <x:row r="959">
      <x:c r="A959" s="87"/>
      <x:c r="B959" s="88"/>
      <x:c r="D959" s="32"/>
      <x:c r="G959" s="74"/>
      <x:c r="H959" s="74"/>
      <x:c r="I959" s="74"/>
      <x:c r="J959" s="74"/>
      <x:c r="K959" s="74"/>
      <x:c r="L959" s="74"/>
      <x:c r="M959" s="74"/>
      <x:c r="N959" s="91"/>
      <x:c r="O959" s="91"/>
      <x:c r="P959" s="91"/>
      <x:c r="Q959" s="91"/>
      <x:c r="R959" s="91"/>
      <x:c r="S959" s="85"/>
      <x:c r="U959" s="86"/>
      <x:c r="V959" s="32"/>
    </x:row>
    <x:row r="960">
      <x:c r="A960" s="87"/>
      <x:c r="B960" s="88"/>
      <x:c r="D960" s="32"/>
      <x:c r="G960" s="74"/>
      <x:c r="H960" s="74"/>
      <x:c r="I960" s="74"/>
      <x:c r="J960" s="74"/>
      <x:c r="K960" s="74"/>
      <x:c r="L960" s="74"/>
      <x:c r="M960" s="74"/>
      <x:c r="N960" s="91"/>
      <x:c r="O960" s="91"/>
      <x:c r="P960" s="91"/>
      <x:c r="Q960" s="91"/>
      <x:c r="R960" s="91"/>
      <x:c r="S960" s="85"/>
      <x:c r="U960" s="86"/>
      <x:c r="V960" s="32"/>
    </x:row>
    <x:row r="961">
      <x:c r="A961" s="87"/>
      <x:c r="B961" s="88"/>
      <x:c r="D961" s="32"/>
      <x:c r="G961" s="74"/>
      <x:c r="H961" s="74"/>
      <x:c r="I961" s="74"/>
      <x:c r="J961" s="74"/>
      <x:c r="K961" s="74"/>
      <x:c r="L961" s="74"/>
      <x:c r="M961" s="74"/>
      <x:c r="N961" s="91"/>
      <x:c r="O961" s="91"/>
      <x:c r="P961" s="91"/>
      <x:c r="Q961" s="91"/>
      <x:c r="R961" s="91"/>
      <x:c r="S961" s="85"/>
      <x:c r="U961" s="86"/>
      <x:c r="V961" s="32"/>
    </x:row>
    <x:row r="962">
      <x:c r="A962" s="87"/>
      <x:c r="B962" s="88"/>
      <x:c r="D962" s="32"/>
      <x:c r="G962" s="74"/>
      <x:c r="H962" s="74"/>
      <x:c r="I962" s="74"/>
      <x:c r="J962" s="74"/>
      <x:c r="K962" s="74"/>
      <x:c r="L962" s="74"/>
      <x:c r="M962" s="74"/>
      <x:c r="N962" s="91"/>
      <x:c r="O962" s="91"/>
      <x:c r="P962" s="91"/>
      <x:c r="Q962" s="91"/>
      <x:c r="R962" s="91"/>
      <x:c r="S962" s="85"/>
      <x:c r="U962" s="86"/>
      <x:c r="V962" s="32"/>
    </x:row>
    <x:row r="963">
      <x:c r="A963" s="87"/>
      <x:c r="B963" s="88"/>
      <x:c r="D963" s="32"/>
      <x:c r="G963" s="74"/>
      <x:c r="H963" s="74"/>
      <x:c r="I963" s="74"/>
      <x:c r="J963" s="74"/>
      <x:c r="K963" s="74"/>
      <x:c r="L963" s="74"/>
      <x:c r="M963" s="74"/>
      <x:c r="N963" s="91"/>
      <x:c r="O963" s="91"/>
      <x:c r="P963" s="91"/>
      <x:c r="Q963" s="91"/>
      <x:c r="R963" s="91"/>
      <x:c r="S963" s="85"/>
      <x:c r="U963" s="86"/>
      <x:c r="V963" s="32"/>
    </x:row>
    <x:row r="964">
      <x:c r="A964" s="87"/>
      <x:c r="B964" s="88"/>
      <x:c r="D964" s="32"/>
      <x:c r="G964" s="74"/>
      <x:c r="H964" s="74"/>
      <x:c r="I964" s="74"/>
      <x:c r="J964" s="74"/>
      <x:c r="K964" s="74"/>
      <x:c r="L964" s="74"/>
      <x:c r="M964" s="74"/>
      <x:c r="N964" s="91"/>
      <x:c r="O964" s="91"/>
      <x:c r="P964" s="91"/>
      <x:c r="Q964" s="91"/>
      <x:c r="R964" s="91"/>
      <x:c r="S964" s="85"/>
      <x:c r="U964" s="86"/>
      <x:c r="V964" s="32"/>
    </x:row>
    <x:row r="965">
      <x:c r="A965" s="87"/>
      <x:c r="B965" s="88"/>
      <x:c r="D965" s="32"/>
      <x:c r="G965" s="74"/>
      <x:c r="H965" s="74"/>
      <x:c r="I965" s="74"/>
      <x:c r="J965" s="74"/>
      <x:c r="K965" s="74"/>
      <x:c r="L965" s="74"/>
      <x:c r="M965" s="74"/>
      <x:c r="N965" s="91"/>
      <x:c r="O965" s="91"/>
      <x:c r="P965" s="91"/>
      <x:c r="Q965" s="91"/>
      <x:c r="R965" s="91"/>
      <x:c r="S965" s="85"/>
      <x:c r="U965" s="86"/>
      <x:c r="V965" s="32"/>
    </x:row>
    <x:row r="966">
      <x:c r="A966" s="87"/>
      <x:c r="B966" s="88"/>
      <x:c r="D966" s="32"/>
      <x:c r="G966" s="74"/>
      <x:c r="H966" s="74"/>
      <x:c r="I966" s="74"/>
      <x:c r="J966" s="74"/>
      <x:c r="K966" s="74"/>
      <x:c r="L966" s="74"/>
      <x:c r="M966" s="74"/>
      <x:c r="N966" s="91"/>
      <x:c r="O966" s="91"/>
      <x:c r="P966" s="91"/>
      <x:c r="Q966" s="91"/>
      <x:c r="R966" s="91"/>
      <x:c r="S966" s="85"/>
      <x:c r="U966" s="86"/>
      <x:c r="V966" s="32"/>
    </x:row>
    <x:row r="967">
      <x:c r="A967" s="87"/>
      <x:c r="B967" s="88"/>
      <x:c r="D967" s="32"/>
      <x:c r="G967" s="74"/>
      <x:c r="H967" s="74"/>
      <x:c r="I967" s="74"/>
      <x:c r="J967" s="74"/>
      <x:c r="K967" s="74"/>
      <x:c r="L967" s="74"/>
      <x:c r="M967" s="74"/>
      <x:c r="N967" s="91"/>
      <x:c r="O967" s="91"/>
      <x:c r="P967" s="91"/>
      <x:c r="Q967" s="91"/>
      <x:c r="R967" s="91"/>
      <x:c r="S967" s="85"/>
      <x:c r="U967" s="86"/>
      <x:c r="V967" s="32"/>
    </x:row>
    <x:row r="968">
      <x:c r="A968" s="87"/>
      <x:c r="B968" s="88"/>
      <x:c r="D968" s="32"/>
      <x:c r="G968" s="74"/>
      <x:c r="H968" s="74"/>
      <x:c r="I968" s="74"/>
      <x:c r="J968" s="74"/>
      <x:c r="K968" s="74"/>
      <x:c r="L968" s="74"/>
      <x:c r="M968" s="74"/>
      <x:c r="N968" s="91"/>
      <x:c r="O968" s="91"/>
      <x:c r="P968" s="91"/>
      <x:c r="Q968" s="91"/>
      <x:c r="R968" s="91"/>
      <x:c r="S968" s="85"/>
      <x:c r="U968" s="86"/>
      <x:c r="V968" s="32"/>
    </x:row>
    <x:row r="969">
      <x:c r="A969" s="87"/>
      <x:c r="B969" s="88"/>
      <x:c r="D969" s="32"/>
      <x:c r="G969" s="74"/>
      <x:c r="H969" s="74"/>
      <x:c r="I969" s="74"/>
      <x:c r="J969" s="74"/>
      <x:c r="K969" s="74"/>
      <x:c r="L969" s="74"/>
      <x:c r="M969" s="74"/>
      <x:c r="N969" s="91"/>
      <x:c r="O969" s="91"/>
      <x:c r="P969" s="91"/>
      <x:c r="Q969" s="91"/>
      <x:c r="R969" s="91"/>
      <x:c r="S969" s="85"/>
      <x:c r="U969" s="86"/>
      <x:c r="V969" s="32"/>
    </x:row>
    <x:row r="970">
      <x:c r="A970" s="87"/>
      <x:c r="B970" s="88"/>
      <x:c r="D970" s="32"/>
      <x:c r="G970" s="74"/>
      <x:c r="H970" s="74"/>
      <x:c r="I970" s="74"/>
      <x:c r="J970" s="74"/>
      <x:c r="K970" s="74"/>
      <x:c r="L970" s="74"/>
      <x:c r="M970" s="74"/>
      <x:c r="N970" s="91"/>
      <x:c r="O970" s="91"/>
      <x:c r="P970" s="91"/>
      <x:c r="Q970" s="91"/>
      <x:c r="R970" s="91"/>
      <x:c r="S970" s="85"/>
      <x:c r="U970" s="86"/>
      <x:c r="V970" s="32"/>
    </x:row>
    <x:row r="971">
      <x:c r="A971" s="87"/>
      <x:c r="B971" s="88"/>
      <x:c r="D971" s="32"/>
      <x:c r="G971" s="74"/>
      <x:c r="H971" s="74"/>
      <x:c r="I971" s="74"/>
      <x:c r="J971" s="74"/>
      <x:c r="K971" s="74"/>
      <x:c r="L971" s="74"/>
      <x:c r="M971" s="74"/>
      <x:c r="N971" s="91"/>
      <x:c r="O971" s="91"/>
      <x:c r="P971" s="91"/>
      <x:c r="Q971" s="91"/>
      <x:c r="R971" s="91"/>
      <x:c r="S971" s="85"/>
      <x:c r="U971" s="86"/>
      <x:c r="V971" s="32"/>
    </x:row>
    <x:row r="972">
      <x:c r="A972" s="87"/>
      <x:c r="B972" s="88"/>
      <x:c r="D972" s="32"/>
      <x:c r="G972" s="74"/>
      <x:c r="H972" s="74"/>
      <x:c r="I972" s="74"/>
      <x:c r="J972" s="74"/>
      <x:c r="K972" s="74"/>
      <x:c r="L972" s="74"/>
      <x:c r="M972" s="74"/>
      <x:c r="N972" s="91"/>
      <x:c r="O972" s="91"/>
      <x:c r="P972" s="91"/>
      <x:c r="Q972" s="91"/>
      <x:c r="R972" s="91"/>
      <x:c r="S972" s="85"/>
      <x:c r="U972" s="86"/>
      <x:c r="V972" s="32"/>
    </x:row>
    <x:row r="973">
      <x:c r="A973" s="87"/>
      <x:c r="B973" s="88"/>
      <x:c r="D973" s="32"/>
      <x:c r="G973" s="74"/>
      <x:c r="H973" s="74"/>
      <x:c r="I973" s="74"/>
      <x:c r="J973" s="74"/>
      <x:c r="K973" s="74"/>
      <x:c r="L973" s="74"/>
      <x:c r="M973" s="74"/>
      <x:c r="N973" s="91"/>
      <x:c r="O973" s="91"/>
      <x:c r="P973" s="91"/>
      <x:c r="Q973" s="91"/>
      <x:c r="R973" s="91"/>
      <x:c r="S973" s="85"/>
      <x:c r="U973" s="86"/>
      <x:c r="V973" s="32"/>
    </x:row>
    <x:row r="974">
      <x:c r="A974" s="87"/>
      <x:c r="B974" s="88"/>
      <x:c r="D974" s="32"/>
      <x:c r="G974" s="74"/>
      <x:c r="H974" s="74"/>
      <x:c r="I974" s="74"/>
      <x:c r="J974" s="74"/>
      <x:c r="K974" s="74"/>
      <x:c r="L974" s="74"/>
      <x:c r="M974" s="74"/>
      <x:c r="N974" s="91"/>
      <x:c r="O974" s="91"/>
      <x:c r="P974" s="91"/>
      <x:c r="Q974" s="91"/>
      <x:c r="R974" s="91"/>
      <x:c r="S974" s="85"/>
      <x:c r="U974" s="86"/>
      <x:c r="V974" s="32"/>
    </x:row>
    <x:row r="975">
      <x:c r="A975" s="87"/>
      <x:c r="B975" s="88"/>
      <x:c r="D975" s="32"/>
      <x:c r="G975" s="74"/>
      <x:c r="H975" s="74"/>
      <x:c r="I975" s="74"/>
      <x:c r="J975" s="74"/>
      <x:c r="K975" s="74"/>
      <x:c r="L975" s="74"/>
      <x:c r="M975" s="74"/>
      <x:c r="N975" s="91"/>
      <x:c r="O975" s="91"/>
      <x:c r="P975" s="91"/>
      <x:c r="Q975" s="91"/>
      <x:c r="R975" s="91"/>
      <x:c r="S975" s="85"/>
      <x:c r="U975" s="86"/>
      <x:c r="V975" s="32"/>
    </x:row>
    <x:row r="976">
      <x:c r="A976" s="87"/>
      <x:c r="B976" s="88"/>
      <x:c r="D976" s="32"/>
      <x:c r="G976" s="74"/>
      <x:c r="H976" s="74"/>
      <x:c r="I976" s="74"/>
      <x:c r="J976" s="74"/>
      <x:c r="K976" s="74"/>
      <x:c r="L976" s="74"/>
      <x:c r="M976" s="74"/>
      <x:c r="N976" s="91"/>
      <x:c r="O976" s="91"/>
      <x:c r="P976" s="91"/>
      <x:c r="Q976" s="91"/>
      <x:c r="R976" s="91"/>
      <x:c r="S976" s="85"/>
      <x:c r="U976" s="86"/>
      <x:c r="V976" s="32"/>
    </x:row>
    <x:row r="977">
      <x:c r="A977" s="87"/>
      <x:c r="B977" s="88"/>
      <x:c r="D977" s="32"/>
      <x:c r="G977" s="74"/>
      <x:c r="H977" s="74"/>
      <x:c r="I977" s="74"/>
      <x:c r="J977" s="74"/>
      <x:c r="K977" s="74"/>
      <x:c r="L977" s="74"/>
      <x:c r="M977" s="74"/>
      <x:c r="N977" s="91"/>
      <x:c r="O977" s="91"/>
      <x:c r="P977" s="91"/>
      <x:c r="Q977" s="91"/>
      <x:c r="R977" s="91"/>
      <x:c r="S977" s="85"/>
      <x:c r="U977" s="86"/>
      <x:c r="V977" s="32"/>
    </x:row>
    <x:row r="978">
      <x:c r="A978" s="87"/>
      <x:c r="B978" s="88"/>
      <x:c r="D978" s="32"/>
      <x:c r="G978" s="74"/>
      <x:c r="H978" s="74"/>
      <x:c r="I978" s="74"/>
      <x:c r="J978" s="74"/>
      <x:c r="K978" s="74"/>
      <x:c r="L978" s="74"/>
      <x:c r="M978" s="74"/>
      <x:c r="N978" s="91"/>
      <x:c r="O978" s="91"/>
      <x:c r="P978" s="91"/>
      <x:c r="Q978" s="91"/>
      <x:c r="R978" s="91"/>
      <x:c r="S978" s="85"/>
      <x:c r="U978" s="86"/>
      <x:c r="V978" s="32"/>
    </x:row>
    <x:row r="979">
      <x:c r="A979" s="87"/>
      <x:c r="B979" s="88"/>
      <x:c r="D979" s="32"/>
      <x:c r="G979" s="74"/>
      <x:c r="H979" s="74"/>
      <x:c r="I979" s="74"/>
      <x:c r="J979" s="74"/>
      <x:c r="K979" s="74"/>
      <x:c r="L979" s="74"/>
      <x:c r="M979" s="74"/>
      <x:c r="N979" s="91"/>
      <x:c r="O979" s="91"/>
      <x:c r="P979" s="91"/>
      <x:c r="Q979" s="91"/>
      <x:c r="R979" s="91"/>
      <x:c r="S979" s="85"/>
      <x:c r="U979" s="86"/>
      <x:c r="V979" s="32"/>
    </x:row>
    <x:row r="980">
      <x:c r="A980" s="87"/>
      <x:c r="B980" s="88"/>
      <x:c r="D980" s="32"/>
      <x:c r="G980" s="74"/>
      <x:c r="H980" s="74"/>
      <x:c r="I980" s="74"/>
      <x:c r="J980" s="74"/>
      <x:c r="K980" s="74"/>
      <x:c r="L980" s="74"/>
      <x:c r="M980" s="74"/>
      <x:c r="N980" s="91"/>
      <x:c r="O980" s="91"/>
      <x:c r="P980" s="91"/>
      <x:c r="Q980" s="91"/>
      <x:c r="R980" s="91"/>
      <x:c r="S980" s="85"/>
      <x:c r="U980" s="86"/>
      <x:c r="V980" s="32"/>
    </x:row>
    <x:row r="981">
      <x:c r="A981" s="87"/>
      <x:c r="B981" s="88"/>
      <x:c r="D981" s="32"/>
      <x:c r="G981" s="74"/>
      <x:c r="H981" s="74"/>
      <x:c r="I981" s="74"/>
      <x:c r="J981" s="74"/>
      <x:c r="K981" s="74"/>
      <x:c r="L981" s="74"/>
      <x:c r="M981" s="74"/>
      <x:c r="N981" s="91"/>
      <x:c r="O981" s="91"/>
      <x:c r="P981" s="91"/>
      <x:c r="Q981" s="91"/>
      <x:c r="R981" s="91"/>
      <x:c r="S981" s="85"/>
      <x:c r="U981" s="86"/>
      <x:c r="V981" s="32"/>
    </x:row>
    <x:row r="982">
      <x:c r="A982" s="87"/>
      <x:c r="B982" s="88"/>
      <x:c r="D982" s="32"/>
      <x:c r="G982" s="74"/>
      <x:c r="H982" s="74"/>
      <x:c r="I982" s="74"/>
      <x:c r="J982" s="74"/>
      <x:c r="K982" s="74"/>
      <x:c r="L982" s="74"/>
      <x:c r="M982" s="74"/>
      <x:c r="N982" s="91"/>
      <x:c r="O982" s="91"/>
      <x:c r="P982" s="91"/>
      <x:c r="Q982" s="91"/>
      <x:c r="R982" s="91"/>
      <x:c r="S982" s="85"/>
      <x:c r="U982" s="86"/>
      <x:c r="V982" s="32"/>
    </x:row>
    <x:row r="983">
      <x:c r="A983" s="87"/>
      <x:c r="B983" s="88"/>
      <x:c r="D983" s="32"/>
      <x:c r="G983" s="74"/>
      <x:c r="H983" s="74"/>
      <x:c r="I983" s="74"/>
      <x:c r="J983" s="74"/>
      <x:c r="K983" s="74"/>
      <x:c r="L983" s="74"/>
      <x:c r="M983" s="74"/>
      <x:c r="N983" s="91"/>
      <x:c r="O983" s="91"/>
      <x:c r="P983" s="91"/>
      <x:c r="Q983" s="91"/>
      <x:c r="R983" s="91"/>
      <x:c r="S983" s="85"/>
      <x:c r="U983" s="86"/>
      <x:c r="V983" s="32"/>
    </x:row>
    <x:row r="984">
      <x:c r="A984" s="87"/>
      <x:c r="B984" s="88"/>
      <x:c r="D984" s="32"/>
      <x:c r="G984" s="74"/>
      <x:c r="H984" s="74"/>
      <x:c r="I984" s="74"/>
      <x:c r="J984" s="74"/>
      <x:c r="K984" s="74"/>
      <x:c r="L984" s="74"/>
      <x:c r="M984" s="74"/>
      <x:c r="N984" s="91"/>
      <x:c r="O984" s="91"/>
      <x:c r="P984" s="91"/>
      <x:c r="Q984" s="91"/>
      <x:c r="R984" s="91"/>
      <x:c r="S984" s="85"/>
      <x:c r="U984" s="86"/>
      <x:c r="V984" s="32"/>
    </x:row>
    <x:row r="985">
      <x:c r="A985" s="87"/>
      <x:c r="B985" s="88"/>
      <x:c r="D985" s="32"/>
      <x:c r="G985" s="74"/>
      <x:c r="H985" s="74"/>
      <x:c r="I985" s="74"/>
      <x:c r="J985" s="74"/>
      <x:c r="K985" s="74"/>
      <x:c r="L985" s="74"/>
      <x:c r="M985" s="74"/>
      <x:c r="N985" s="91"/>
      <x:c r="O985" s="91"/>
      <x:c r="P985" s="91"/>
      <x:c r="Q985" s="91"/>
      <x:c r="R985" s="91"/>
      <x:c r="S985" s="85"/>
      <x:c r="U985" s="86"/>
      <x:c r="V985" s="32"/>
    </x:row>
    <x:row r="986">
      <x:c r="A986" s="87"/>
      <x:c r="B986" s="88"/>
      <x:c r="D986" s="32"/>
      <x:c r="G986" s="74"/>
      <x:c r="H986" s="74"/>
      <x:c r="I986" s="74"/>
      <x:c r="J986" s="74"/>
      <x:c r="K986" s="74"/>
      <x:c r="L986" s="74"/>
      <x:c r="M986" s="74"/>
      <x:c r="N986" s="91"/>
      <x:c r="O986" s="91"/>
      <x:c r="P986" s="91"/>
      <x:c r="Q986" s="91"/>
      <x:c r="R986" s="91"/>
      <x:c r="S986" s="85"/>
      <x:c r="U986" s="86"/>
      <x:c r="V986" s="32"/>
    </x:row>
    <x:row r="987">
      <x:c r="A987" s="87"/>
      <x:c r="B987" s="88"/>
      <x:c r="D987" s="32"/>
      <x:c r="G987" s="74"/>
      <x:c r="H987" s="74"/>
      <x:c r="I987" s="74"/>
      <x:c r="J987" s="74"/>
      <x:c r="K987" s="74"/>
      <x:c r="L987" s="74"/>
      <x:c r="M987" s="74"/>
      <x:c r="N987" s="91"/>
      <x:c r="O987" s="91"/>
      <x:c r="P987" s="91"/>
      <x:c r="Q987" s="91"/>
      <x:c r="R987" s="91"/>
      <x:c r="S987" s="85"/>
      <x:c r="U987" s="86"/>
      <x:c r="V987" s="32"/>
    </x:row>
    <x:row r="988">
      <x:c r="A988" s="87"/>
      <x:c r="B988" s="88"/>
      <x:c r="D988" s="32"/>
      <x:c r="G988" s="74"/>
      <x:c r="H988" s="74"/>
      <x:c r="I988" s="74"/>
      <x:c r="J988" s="74"/>
      <x:c r="K988" s="74"/>
      <x:c r="L988" s="74"/>
      <x:c r="M988" s="74"/>
      <x:c r="N988" s="91"/>
      <x:c r="O988" s="91"/>
      <x:c r="P988" s="91"/>
      <x:c r="Q988" s="91"/>
      <x:c r="R988" s="91"/>
      <x:c r="S988" s="85"/>
      <x:c r="U988" s="86"/>
      <x:c r="V988" s="32"/>
    </x:row>
    <x:row r="989">
      <x:c r="A989" s="87"/>
      <x:c r="B989" s="88"/>
      <x:c r="D989" s="32"/>
      <x:c r="G989" s="74"/>
      <x:c r="H989" s="74"/>
      <x:c r="I989" s="74"/>
      <x:c r="J989" s="74"/>
      <x:c r="K989" s="74"/>
      <x:c r="L989" s="74"/>
      <x:c r="M989" s="74"/>
      <x:c r="N989" s="91"/>
      <x:c r="O989" s="91"/>
      <x:c r="P989" s="91"/>
      <x:c r="Q989" s="91"/>
      <x:c r="R989" s="91"/>
      <x:c r="S989" s="85"/>
      <x:c r="U989" s="86"/>
      <x:c r="V989" s="32"/>
    </x:row>
    <x:row r="990">
      <x:c r="A990" s="87"/>
      <x:c r="B990" s="88"/>
      <x:c r="D990" s="32"/>
      <x:c r="G990" s="74"/>
      <x:c r="H990" s="74"/>
      <x:c r="I990" s="74"/>
      <x:c r="J990" s="74"/>
      <x:c r="K990" s="74"/>
      <x:c r="L990" s="74"/>
      <x:c r="M990" s="74"/>
      <x:c r="N990" s="91"/>
      <x:c r="O990" s="91"/>
      <x:c r="P990" s="91"/>
      <x:c r="Q990" s="91"/>
      <x:c r="R990" s="91"/>
      <x:c r="S990" s="85"/>
      <x:c r="U990" s="86"/>
      <x:c r="V990" s="32"/>
    </x:row>
    <x:row r="991">
      <x:c r="A991" s="87"/>
      <x:c r="B991" s="88"/>
      <x:c r="D991" s="32"/>
      <x:c r="G991" s="74"/>
      <x:c r="H991" s="74"/>
      <x:c r="I991" s="74"/>
      <x:c r="J991" s="74"/>
      <x:c r="K991" s="74"/>
      <x:c r="L991" s="74"/>
      <x:c r="M991" s="74"/>
      <x:c r="N991" s="91"/>
      <x:c r="O991" s="91"/>
      <x:c r="P991" s="91"/>
      <x:c r="Q991" s="91"/>
      <x:c r="R991" s="91"/>
      <x:c r="S991" s="85"/>
      <x:c r="U991" s="86"/>
      <x:c r="V991" s="32"/>
    </x:row>
    <x:row r="992">
      <x:c r="A992" s="87"/>
      <x:c r="B992" s="88"/>
      <x:c r="D992" s="32"/>
      <x:c r="G992" s="74"/>
      <x:c r="H992" s="74"/>
      <x:c r="I992" s="74"/>
      <x:c r="J992" s="74"/>
      <x:c r="K992" s="74"/>
      <x:c r="L992" s="74"/>
      <x:c r="M992" s="74"/>
      <x:c r="N992" s="91"/>
      <x:c r="O992" s="91"/>
      <x:c r="P992" s="91"/>
      <x:c r="Q992" s="91"/>
      <x:c r="R992" s="91"/>
      <x:c r="S992" s="85"/>
      <x:c r="U992" s="86"/>
      <x:c r="V992" s="32"/>
    </x:row>
    <x:row r="993">
      <x:c r="A993" s="87"/>
      <x:c r="B993" s="88"/>
      <x:c r="D993" s="32"/>
      <x:c r="G993" s="74"/>
      <x:c r="H993" s="74"/>
      <x:c r="I993" s="74"/>
      <x:c r="J993" s="74"/>
      <x:c r="K993" s="74"/>
      <x:c r="L993" s="74"/>
      <x:c r="M993" s="74"/>
      <x:c r="N993" s="91"/>
      <x:c r="O993" s="91"/>
      <x:c r="P993" s="91"/>
      <x:c r="Q993" s="91"/>
      <x:c r="R993" s="91"/>
      <x:c r="S993" s="85"/>
      <x:c r="U993" s="86"/>
      <x:c r="V993" s="32"/>
    </x:row>
    <x:row r="994">
      <x:c r="A994" s="87"/>
      <x:c r="B994" s="88"/>
      <x:c r="D994" s="32"/>
      <x:c r="G994" s="74"/>
      <x:c r="H994" s="74"/>
      <x:c r="I994" s="74"/>
      <x:c r="J994" s="74"/>
      <x:c r="K994" s="74"/>
      <x:c r="L994" s="74"/>
      <x:c r="M994" s="74"/>
      <x:c r="N994" s="91"/>
      <x:c r="O994" s="91"/>
      <x:c r="P994" s="91"/>
      <x:c r="Q994" s="91"/>
      <x:c r="R994" s="91"/>
      <x:c r="S994" s="85"/>
      <x:c r="U994" s="86"/>
      <x:c r="V994" s="32"/>
    </x:row>
    <x:row r="995">
      <x:c r="A995" s="87"/>
      <x:c r="B995" s="88"/>
      <x:c r="D995" s="32"/>
      <x:c r="G995" s="74"/>
      <x:c r="H995" s="74"/>
      <x:c r="I995" s="74"/>
      <x:c r="J995" s="74"/>
      <x:c r="K995" s="74"/>
      <x:c r="L995" s="74"/>
      <x:c r="M995" s="74"/>
      <x:c r="N995" s="91"/>
      <x:c r="O995" s="91"/>
      <x:c r="P995" s="91"/>
      <x:c r="Q995" s="91"/>
      <x:c r="R995" s="91"/>
      <x:c r="S995" s="85"/>
      <x:c r="U995" s="86"/>
      <x:c r="V995" s="32"/>
    </x:row>
    <x:row r="996">
      <x:c r="A996" s="87"/>
      <x:c r="B996" s="88"/>
      <x:c r="D996" s="32"/>
      <x:c r="G996" s="74"/>
      <x:c r="H996" s="74"/>
      <x:c r="I996" s="74"/>
      <x:c r="J996" s="74"/>
      <x:c r="K996" s="74"/>
      <x:c r="L996" s="74"/>
      <x:c r="M996" s="74"/>
      <x:c r="N996" s="91"/>
      <x:c r="O996" s="91"/>
      <x:c r="P996" s="91"/>
      <x:c r="Q996" s="91"/>
      <x:c r="R996" s="91"/>
      <x:c r="S996" s="85"/>
      <x:c r="U996" s="86"/>
      <x:c r="V996" s="32"/>
    </x:row>
    <x:row r="997">
      <x:c r="A997" s="87"/>
      <x:c r="B997" s="88"/>
      <x:c r="D997" s="32"/>
      <x:c r="G997" s="74"/>
      <x:c r="H997" s="74"/>
      <x:c r="I997" s="74"/>
      <x:c r="J997" s="74"/>
      <x:c r="K997" s="74"/>
      <x:c r="L997" s="74"/>
      <x:c r="M997" s="74"/>
      <x:c r="N997" s="91"/>
      <x:c r="O997" s="91"/>
      <x:c r="P997" s="91"/>
      <x:c r="Q997" s="91"/>
      <x:c r="R997" s="91"/>
      <x:c r="S997" s="85"/>
      <x:c r="U997" s="86"/>
      <x:c r="V997" s="32"/>
    </x:row>
    <x:row r="998">
      <x:c r="A998" s="87"/>
      <x:c r="B998" s="88"/>
      <x:c r="D998" s="32"/>
      <x:c r="G998" s="74"/>
      <x:c r="H998" s="74"/>
      <x:c r="I998" s="74"/>
      <x:c r="J998" s="74"/>
      <x:c r="K998" s="74"/>
      <x:c r="L998" s="74"/>
      <x:c r="M998" s="74"/>
      <x:c r="N998" s="91"/>
      <x:c r="O998" s="91"/>
      <x:c r="P998" s="91"/>
      <x:c r="Q998" s="91"/>
      <x:c r="R998" s="91"/>
      <x:c r="S998" s="85"/>
      <x:c r="U998" s="86"/>
      <x:c r="V998" s="32"/>
    </x:row>
    <x:row r="999">
      <x:c r="A999" s="87"/>
      <x:c r="B999" s="88"/>
      <x:c r="D999" s="32"/>
      <x:c r="G999" s="74"/>
      <x:c r="H999" s="74"/>
      <x:c r="I999" s="74"/>
      <x:c r="J999" s="74"/>
      <x:c r="K999" s="74"/>
      <x:c r="L999" s="74"/>
      <x:c r="M999" s="74"/>
      <x:c r="N999" s="91"/>
      <x:c r="O999" s="91"/>
      <x:c r="P999" s="91"/>
      <x:c r="Q999" s="91"/>
      <x:c r="R999" s="91"/>
      <x:c r="S999" s="85"/>
      <x:c r="U999" s="86"/>
      <x:c r="V999" s="32"/>
    </x:row>
    <x:row r="1000">
      <x:c r="A1000" s="87"/>
      <x:c r="B1000" s="88"/>
      <x:c r="D1000" s="32"/>
      <x:c r="G1000" s="74"/>
      <x:c r="H1000" s="74"/>
      <x:c r="I1000" s="74"/>
      <x:c r="J1000" s="74"/>
      <x:c r="K1000" s="74"/>
      <x:c r="L1000" s="74"/>
      <x:c r="M1000" s="74"/>
      <x:c r="N1000" s="91"/>
      <x:c r="O1000" s="91"/>
      <x:c r="P1000" s="91"/>
      <x:c r="Q1000" s="91"/>
      <x:c r="R1000" s="91"/>
      <x:c r="S1000" s="85"/>
      <x:c r="U1000" s="86"/>
      <x:c r="V1000" s="32"/>
    </x:row>
    <x:row r="1001">
      <x:c r="A1001" s="87"/>
      <x:c r="B1001" s="88"/>
      <x:c r="D1001" s="32"/>
      <x:c r="G1001" s="74"/>
      <x:c r="H1001" s="74"/>
      <x:c r="I1001" s="74"/>
      <x:c r="J1001" s="74"/>
      <x:c r="K1001" s="74"/>
      <x:c r="L1001" s="74"/>
      <x:c r="M1001" s="74"/>
      <x:c r="N1001" s="91"/>
      <x:c r="O1001" s="91"/>
      <x:c r="P1001" s="91"/>
      <x:c r="Q1001" s="91"/>
      <x:c r="R1001" s="91"/>
      <x:c r="S1001" s="85"/>
      <x:c r="U1001" s="86"/>
      <x:c r="V1001" s="32"/>
    </x:row>
    <x:row r="1002">
      <x:c r="A1002" s="87"/>
      <x:c r="B1002" s="88"/>
      <x:c r="D1002" s="32"/>
      <x:c r="G1002" s="74"/>
      <x:c r="H1002" s="74"/>
      <x:c r="I1002" s="74"/>
      <x:c r="J1002" s="74"/>
      <x:c r="K1002" s="74"/>
      <x:c r="L1002" s="74"/>
      <x:c r="M1002" s="74"/>
      <x:c r="N1002" s="91"/>
      <x:c r="O1002" s="91"/>
      <x:c r="P1002" s="91"/>
      <x:c r="Q1002" s="91"/>
      <x:c r="R1002" s="91"/>
      <x:c r="S1002" s="85"/>
      <x:c r="U1002" s="86"/>
      <x:c r="V1002" s="32"/>
    </x:row>
    <x:row r="1003">
      <x:c r="A1003" s="87"/>
      <x:c r="B1003" s="88"/>
      <x:c r="D1003" s="32"/>
      <x:c r="G1003" s="74"/>
      <x:c r="H1003" s="74"/>
      <x:c r="I1003" s="74"/>
      <x:c r="J1003" s="74"/>
      <x:c r="K1003" s="74"/>
      <x:c r="L1003" s="74"/>
      <x:c r="M1003" s="74"/>
      <x:c r="N1003" s="91"/>
      <x:c r="O1003" s="91"/>
      <x:c r="P1003" s="91"/>
      <x:c r="Q1003" s="91"/>
      <x:c r="R1003" s="91"/>
      <x:c r="S1003" s="85"/>
      <x:c r="U1003" s="86"/>
      <x:c r="V1003" s="32"/>
    </x:row>
    <x:row r="1004">
      <x:c r="A1004" s="87"/>
      <x:c r="B1004" s="88"/>
      <x:c r="D1004" s="32"/>
      <x:c r="G1004" s="74"/>
      <x:c r="H1004" s="74"/>
      <x:c r="I1004" s="74"/>
      <x:c r="J1004" s="74"/>
      <x:c r="K1004" s="74"/>
      <x:c r="L1004" s="74"/>
      <x:c r="M1004" s="74"/>
      <x:c r="N1004" s="91"/>
      <x:c r="O1004" s="91"/>
      <x:c r="P1004" s="91"/>
      <x:c r="Q1004" s="91"/>
      <x:c r="R1004" s="91"/>
      <x:c r="S1004" s="85"/>
      <x:c r="U1004" s="86"/>
      <x:c r="V1004" s="32"/>
    </x:row>
    <x:row r="1005">
      <x:c r="A1005" s="87"/>
      <x:c r="B1005" s="88"/>
      <x:c r="D1005" s="32"/>
      <x:c r="G1005" s="74"/>
      <x:c r="H1005" s="74"/>
      <x:c r="I1005" s="74"/>
      <x:c r="J1005" s="74"/>
      <x:c r="K1005" s="74"/>
      <x:c r="L1005" s="74"/>
      <x:c r="M1005" s="74"/>
      <x:c r="N1005" s="91"/>
      <x:c r="O1005" s="91"/>
      <x:c r="P1005" s="91"/>
      <x:c r="Q1005" s="91"/>
      <x:c r="R1005" s="91"/>
      <x:c r="S1005" s="85"/>
      <x:c r="U1005" s="86"/>
      <x:c r="V1005" s="32"/>
    </x:row>
    <x:row r="1006">
      <x:c r="A1006" s="87"/>
      <x:c r="B1006" s="88"/>
      <x:c r="D1006" s="32"/>
      <x:c r="G1006" s="74"/>
      <x:c r="H1006" s="74"/>
      <x:c r="I1006" s="74"/>
      <x:c r="J1006" s="74"/>
      <x:c r="K1006" s="74"/>
      <x:c r="L1006" s="74"/>
      <x:c r="M1006" s="74"/>
      <x:c r="N1006" s="91"/>
      <x:c r="O1006" s="91"/>
      <x:c r="P1006" s="91"/>
      <x:c r="Q1006" s="91"/>
      <x:c r="R1006" s="91"/>
      <x:c r="S1006" s="85"/>
      <x:c r="U1006" s="86"/>
      <x:c r="V1006" s="32"/>
    </x:row>
    <x:row r="1007">
      <x:c r="A1007" s="87"/>
      <x:c r="B1007" s="88"/>
      <x:c r="D1007" s="32"/>
      <x:c r="G1007" s="74"/>
      <x:c r="H1007" s="74"/>
      <x:c r="I1007" s="74"/>
      <x:c r="J1007" s="74"/>
      <x:c r="K1007" s="74"/>
      <x:c r="L1007" s="74"/>
      <x:c r="M1007" s="74"/>
      <x:c r="N1007" s="91"/>
      <x:c r="O1007" s="91"/>
      <x:c r="P1007" s="91"/>
      <x:c r="Q1007" s="91"/>
      <x:c r="R1007" s="91"/>
      <x:c r="S1007" s="85"/>
      <x:c r="U1007" s="86"/>
      <x:c r="V1007" s="32"/>
    </x:row>
    <x:row r="1008">
      <x:c r="A1008" s="87"/>
      <x:c r="B1008" s="88"/>
      <x:c r="D1008" s="32"/>
      <x:c r="G1008" s="74"/>
      <x:c r="H1008" s="74"/>
      <x:c r="I1008" s="74"/>
      <x:c r="J1008" s="74"/>
      <x:c r="K1008" s="74"/>
      <x:c r="L1008" s="74"/>
      <x:c r="M1008" s="74"/>
      <x:c r="N1008" s="91"/>
      <x:c r="O1008" s="91"/>
      <x:c r="P1008" s="91"/>
      <x:c r="Q1008" s="91"/>
      <x:c r="R1008" s="91"/>
      <x:c r="S1008" s="85"/>
      <x:c r="U1008" s="86"/>
      <x:c r="V1008" s="32"/>
    </x:row>
    <x:row r="1009">
      <x:c r="A1009" s="87"/>
      <x:c r="B1009" s="88"/>
      <x:c r="D1009" s="32"/>
      <x:c r="G1009" s="74"/>
      <x:c r="H1009" s="74"/>
      <x:c r="I1009" s="74"/>
      <x:c r="J1009" s="74"/>
      <x:c r="K1009" s="74"/>
      <x:c r="L1009" s="74"/>
      <x:c r="M1009" s="74"/>
      <x:c r="N1009" s="91"/>
      <x:c r="O1009" s="91"/>
      <x:c r="P1009" s="91"/>
      <x:c r="Q1009" s="91"/>
      <x:c r="R1009" s="91"/>
      <x:c r="S1009" s="85"/>
      <x:c r="U1009" s="86"/>
      <x:c r="V1009" s="32"/>
    </x:row>
    <x:row r="1010">
      <x:c r="A1010" s="87"/>
      <x:c r="B1010" s="88"/>
      <x:c r="D1010" s="32"/>
      <x:c r="G1010" s="74"/>
      <x:c r="H1010" s="74"/>
      <x:c r="I1010" s="74"/>
      <x:c r="J1010" s="74"/>
      <x:c r="K1010" s="74"/>
      <x:c r="L1010" s="74"/>
      <x:c r="M1010" s="74"/>
      <x:c r="N1010" s="91"/>
      <x:c r="O1010" s="91"/>
      <x:c r="P1010" s="91"/>
      <x:c r="Q1010" s="91"/>
      <x:c r="R1010" s="91"/>
      <x:c r="S1010" s="85"/>
      <x:c r="U1010" s="86"/>
      <x:c r="V1010" s="32"/>
    </x:row>
    <x:row r="1011">
      <x:c r="A1011" s="87"/>
      <x:c r="B1011" s="88"/>
      <x:c r="D1011" s="32"/>
      <x:c r="G1011" s="74"/>
      <x:c r="H1011" s="74"/>
      <x:c r="I1011" s="74"/>
      <x:c r="J1011" s="74"/>
      <x:c r="K1011" s="74"/>
      <x:c r="L1011" s="74"/>
      <x:c r="M1011" s="74"/>
      <x:c r="N1011" s="91"/>
      <x:c r="O1011" s="91"/>
      <x:c r="P1011" s="91"/>
      <x:c r="Q1011" s="91"/>
      <x:c r="R1011" s="91"/>
      <x:c r="S1011" s="85"/>
      <x:c r="U1011" s="86"/>
      <x:c r="V1011" s="32"/>
    </x:row>
    <x:row r="1012">
      <x:c r="A1012" s="87"/>
      <x:c r="B1012" s="88"/>
      <x:c r="D1012" s="32"/>
      <x:c r="G1012" s="74"/>
      <x:c r="H1012" s="74"/>
      <x:c r="I1012" s="74"/>
      <x:c r="J1012" s="74"/>
      <x:c r="K1012" s="74"/>
      <x:c r="L1012" s="74"/>
      <x:c r="M1012" s="74"/>
      <x:c r="N1012" s="91"/>
      <x:c r="O1012" s="91"/>
      <x:c r="P1012" s="91"/>
      <x:c r="Q1012" s="91"/>
      <x:c r="R1012" s="91"/>
      <x:c r="S1012" s="85"/>
      <x:c r="U1012" s="86"/>
      <x:c r="V1012" s="32"/>
    </x:row>
    <x:row r="1013">
      <x:c r="A1013" s="87"/>
      <x:c r="B1013" s="88"/>
      <x:c r="D1013" s="32"/>
      <x:c r="G1013" s="74"/>
      <x:c r="H1013" s="74"/>
      <x:c r="I1013" s="74"/>
      <x:c r="J1013" s="74"/>
      <x:c r="K1013" s="74"/>
      <x:c r="L1013" s="74"/>
      <x:c r="M1013" s="74"/>
      <x:c r="N1013" s="91"/>
      <x:c r="O1013" s="91"/>
      <x:c r="P1013" s="91"/>
      <x:c r="Q1013" s="91"/>
      <x:c r="R1013" s="91"/>
      <x:c r="S1013" s="85"/>
      <x:c r="U1013" s="86"/>
      <x:c r="V1013" s="32"/>
    </x:row>
    <x:row r="1014">
      <x:c r="A1014" s="87"/>
      <x:c r="B1014" s="88"/>
      <x:c r="D1014" s="32"/>
      <x:c r="G1014" s="74"/>
      <x:c r="H1014" s="74"/>
      <x:c r="I1014" s="74"/>
      <x:c r="J1014" s="74"/>
      <x:c r="K1014" s="74"/>
      <x:c r="L1014" s="74"/>
      <x:c r="M1014" s="74"/>
      <x:c r="N1014" s="91"/>
      <x:c r="O1014" s="91"/>
      <x:c r="P1014" s="91"/>
      <x:c r="Q1014" s="91"/>
      <x:c r="R1014" s="91"/>
      <x:c r="S1014" s="85"/>
      <x:c r="U1014" s="86"/>
      <x:c r="V1014" s="32"/>
    </x:row>
    <x:row r="1015">
      <x:c r="A1015" s="87"/>
      <x:c r="B1015" s="88"/>
      <x:c r="D1015" s="32"/>
      <x:c r="G1015" s="74"/>
      <x:c r="H1015" s="74"/>
      <x:c r="I1015" s="74"/>
      <x:c r="J1015" s="74"/>
      <x:c r="K1015" s="74"/>
      <x:c r="L1015" s="74"/>
      <x:c r="M1015" s="74"/>
      <x:c r="N1015" s="91"/>
      <x:c r="O1015" s="91"/>
      <x:c r="P1015" s="91"/>
      <x:c r="Q1015" s="91"/>
      <x:c r="R1015" s="91"/>
      <x:c r="S1015" s="85"/>
      <x:c r="U1015" s="86"/>
      <x:c r="V1015" s="32"/>
    </x:row>
    <x:row r="1016">
      <x:c r="A1016" s="87"/>
      <x:c r="B1016" s="88"/>
      <x:c r="D1016" s="32"/>
      <x:c r="G1016" s="74"/>
      <x:c r="H1016" s="74"/>
      <x:c r="I1016" s="74"/>
      <x:c r="J1016" s="74"/>
      <x:c r="K1016" s="74"/>
      <x:c r="L1016" s="74"/>
      <x:c r="M1016" s="74"/>
      <x:c r="N1016" s="91"/>
      <x:c r="O1016" s="91"/>
      <x:c r="P1016" s="91"/>
      <x:c r="Q1016" s="91"/>
      <x:c r="R1016" s="91"/>
      <x:c r="S1016" s="85"/>
      <x:c r="U1016" s="86"/>
      <x:c r="V1016" s="32"/>
    </x:row>
    <x:row r="1017">
      <x:c r="A1017" s="87"/>
      <x:c r="B1017" s="88"/>
      <x:c r="D1017" s="32"/>
      <x:c r="G1017" s="74"/>
      <x:c r="H1017" s="74"/>
      <x:c r="I1017" s="74"/>
      <x:c r="J1017" s="74"/>
      <x:c r="K1017" s="74"/>
      <x:c r="L1017" s="74"/>
      <x:c r="M1017" s="74"/>
      <x:c r="N1017" s="91"/>
      <x:c r="O1017" s="91"/>
      <x:c r="P1017" s="91"/>
      <x:c r="Q1017" s="91"/>
      <x:c r="R1017" s="91"/>
      <x:c r="S1017" s="85"/>
      <x:c r="U1017" s="86"/>
      <x:c r="V1017" s="32"/>
    </x:row>
    <x:row r="1018">
      <x:c r="A1018" s="87"/>
      <x:c r="B1018" s="88"/>
      <x:c r="D1018" s="32"/>
      <x:c r="G1018" s="74"/>
      <x:c r="H1018" s="74"/>
      <x:c r="I1018" s="74"/>
      <x:c r="J1018" s="74"/>
      <x:c r="K1018" s="74"/>
      <x:c r="L1018" s="74"/>
      <x:c r="M1018" s="74"/>
      <x:c r="N1018" s="91"/>
      <x:c r="O1018" s="91"/>
      <x:c r="P1018" s="91"/>
      <x:c r="Q1018" s="91"/>
      <x:c r="R1018" s="91"/>
      <x:c r="S1018" s="85"/>
      <x:c r="U1018" s="86"/>
      <x:c r="V1018" s="32"/>
    </x:row>
    <x:row r="1019">
      <x:c r="A1019" s="87"/>
      <x:c r="B1019" s="88"/>
      <x:c r="D1019" s="32"/>
      <x:c r="G1019" s="74"/>
      <x:c r="H1019" s="74"/>
      <x:c r="I1019" s="74"/>
      <x:c r="J1019" s="74"/>
      <x:c r="K1019" s="74"/>
      <x:c r="L1019" s="74"/>
      <x:c r="M1019" s="74"/>
      <x:c r="N1019" s="91"/>
      <x:c r="O1019" s="91"/>
      <x:c r="P1019" s="91"/>
      <x:c r="Q1019" s="91"/>
      <x:c r="R1019" s="91"/>
      <x:c r="S1019" s="85"/>
      <x:c r="U1019" s="86"/>
      <x:c r="V1019" s="32"/>
    </x:row>
    <x:row r="1020">
      <x:c r="A1020" s="87"/>
      <x:c r="B1020" s="88"/>
      <x:c r="D1020" s="32"/>
      <x:c r="G1020" s="74"/>
      <x:c r="H1020" s="74"/>
      <x:c r="I1020" s="74"/>
      <x:c r="J1020" s="74"/>
      <x:c r="K1020" s="74"/>
      <x:c r="L1020" s="74"/>
      <x:c r="M1020" s="74"/>
      <x:c r="N1020" s="91"/>
      <x:c r="O1020" s="91"/>
      <x:c r="P1020" s="91"/>
      <x:c r="Q1020" s="91"/>
      <x:c r="R1020" s="91"/>
      <x:c r="S1020" s="85"/>
      <x:c r="U1020" s="86"/>
      <x:c r="V1020" s="32"/>
    </x:row>
    <x:row r="1021">
      <x:c r="A1021" s="87"/>
      <x:c r="B1021" s="88"/>
      <x:c r="D1021" s="32"/>
      <x:c r="G1021" s="74"/>
      <x:c r="H1021" s="74"/>
      <x:c r="I1021" s="74"/>
      <x:c r="J1021" s="74"/>
      <x:c r="K1021" s="74"/>
      <x:c r="L1021" s="74"/>
      <x:c r="M1021" s="74"/>
      <x:c r="N1021" s="91"/>
      <x:c r="O1021" s="91"/>
      <x:c r="P1021" s="91"/>
      <x:c r="Q1021" s="91"/>
      <x:c r="R1021" s="91"/>
      <x:c r="S1021" s="85"/>
      <x:c r="U1021" s="86"/>
      <x:c r="V1021" s="32"/>
    </x:row>
    <x:row r="1022">
      <x:c r="A1022" s="87"/>
      <x:c r="B1022" s="88"/>
      <x:c r="D1022" s="32"/>
      <x:c r="G1022" s="74"/>
      <x:c r="H1022" s="74"/>
      <x:c r="I1022" s="74"/>
      <x:c r="J1022" s="74"/>
      <x:c r="K1022" s="74"/>
      <x:c r="L1022" s="74"/>
      <x:c r="M1022" s="74"/>
      <x:c r="N1022" s="91"/>
      <x:c r="O1022" s="91"/>
      <x:c r="P1022" s="91"/>
      <x:c r="Q1022" s="91"/>
      <x:c r="R1022" s="91"/>
      <x:c r="S1022" s="85"/>
      <x:c r="U1022" s="86"/>
      <x:c r="V1022" s="32"/>
    </x:row>
    <x:row r="1023">
      <x:c r="A1023" s="87"/>
      <x:c r="B1023" s="88"/>
      <x:c r="D1023" s="32"/>
      <x:c r="G1023" s="74"/>
      <x:c r="H1023" s="74"/>
      <x:c r="I1023" s="74"/>
      <x:c r="J1023" s="74"/>
      <x:c r="K1023" s="74"/>
      <x:c r="L1023" s="74"/>
      <x:c r="M1023" s="74"/>
      <x:c r="N1023" s="91"/>
      <x:c r="O1023" s="91"/>
      <x:c r="P1023" s="91"/>
      <x:c r="Q1023" s="91"/>
      <x:c r="R1023" s="91"/>
      <x:c r="S1023" s="85"/>
      <x:c r="U1023" s="86"/>
      <x:c r="V1023" s="32"/>
    </x:row>
    <x:row r="1024">
      <x:c r="A1024" s="87"/>
      <x:c r="B1024" s="88"/>
      <x:c r="D1024" s="32"/>
      <x:c r="G1024" s="74"/>
      <x:c r="H1024" s="74"/>
      <x:c r="I1024" s="74"/>
      <x:c r="J1024" s="74"/>
      <x:c r="K1024" s="74"/>
      <x:c r="L1024" s="74"/>
      <x:c r="M1024" s="74"/>
      <x:c r="N1024" s="91"/>
      <x:c r="O1024" s="91"/>
      <x:c r="P1024" s="91"/>
      <x:c r="Q1024" s="91"/>
      <x:c r="R1024" s="91"/>
      <x:c r="S1024" s="85"/>
      <x:c r="U1024" s="86"/>
      <x:c r="V1024" s="32"/>
    </x:row>
    <x:row r="1025">
      <x:c r="A1025" s="87"/>
      <x:c r="B1025" s="88"/>
      <x:c r="D1025" s="32"/>
      <x:c r="G1025" s="74"/>
      <x:c r="H1025" s="74"/>
      <x:c r="I1025" s="74"/>
      <x:c r="J1025" s="74"/>
      <x:c r="K1025" s="74"/>
      <x:c r="L1025" s="74"/>
      <x:c r="M1025" s="74"/>
      <x:c r="N1025" s="91"/>
      <x:c r="O1025" s="91"/>
      <x:c r="P1025" s="91"/>
      <x:c r="Q1025" s="91"/>
      <x:c r="R1025" s="91"/>
      <x:c r="S1025" s="85"/>
      <x:c r="U1025" s="86"/>
      <x:c r="V1025" s="32"/>
    </x:row>
    <x:row r="1026">
      <x:c r="A1026" s="87"/>
      <x:c r="B1026" s="88"/>
      <x:c r="D1026" s="32"/>
      <x:c r="G1026" s="74"/>
      <x:c r="H1026" s="74"/>
      <x:c r="I1026" s="74"/>
      <x:c r="J1026" s="74"/>
      <x:c r="K1026" s="74"/>
      <x:c r="L1026" s="74"/>
      <x:c r="M1026" s="74"/>
      <x:c r="N1026" s="91"/>
      <x:c r="O1026" s="91"/>
      <x:c r="P1026" s="91"/>
      <x:c r="Q1026" s="91"/>
      <x:c r="R1026" s="91"/>
      <x:c r="S1026" s="85"/>
      <x:c r="U1026" s="86"/>
      <x:c r="V1026" s="32"/>
    </x:row>
    <x:row r="1027">
      <x:c r="A1027" s="87"/>
      <x:c r="B1027" s="88"/>
      <x:c r="D1027" s="32"/>
      <x:c r="G1027" s="74"/>
      <x:c r="H1027" s="74"/>
      <x:c r="I1027" s="74"/>
      <x:c r="J1027" s="74"/>
      <x:c r="K1027" s="74"/>
      <x:c r="L1027" s="74"/>
      <x:c r="M1027" s="74"/>
      <x:c r="N1027" s="91"/>
      <x:c r="O1027" s="91"/>
      <x:c r="P1027" s="91"/>
      <x:c r="Q1027" s="91"/>
      <x:c r="R1027" s="91"/>
      <x:c r="S1027" s="85"/>
      <x:c r="U1027" s="86"/>
      <x:c r="V1027" s="32"/>
    </x:row>
    <x:row r="1028">
      <x:c r="A1028" s="87"/>
      <x:c r="B1028" s="88"/>
      <x:c r="D1028" s="32"/>
      <x:c r="G1028" s="74"/>
      <x:c r="H1028" s="74"/>
      <x:c r="I1028" s="74"/>
      <x:c r="J1028" s="74"/>
      <x:c r="K1028" s="74"/>
      <x:c r="L1028" s="74"/>
      <x:c r="M1028" s="74"/>
      <x:c r="N1028" s="91"/>
      <x:c r="O1028" s="91"/>
      <x:c r="P1028" s="91"/>
      <x:c r="Q1028" s="91"/>
      <x:c r="R1028" s="91"/>
      <x:c r="S1028" s="85"/>
      <x:c r="U1028" s="86"/>
      <x:c r="V1028" s="32"/>
    </x:row>
    <x:row r="1029">
      <x:c r="A1029" s="87"/>
      <x:c r="B1029" s="88"/>
      <x:c r="D1029" s="32"/>
      <x:c r="G1029" s="74"/>
      <x:c r="H1029" s="74"/>
      <x:c r="I1029" s="74"/>
      <x:c r="J1029" s="74"/>
      <x:c r="K1029" s="74"/>
      <x:c r="L1029" s="74"/>
      <x:c r="M1029" s="74"/>
      <x:c r="N1029" s="91"/>
      <x:c r="O1029" s="91"/>
      <x:c r="P1029" s="91"/>
      <x:c r="Q1029" s="91"/>
      <x:c r="R1029" s="91"/>
      <x:c r="S1029" s="85"/>
      <x:c r="U1029" s="86"/>
      <x:c r="V1029" s="32"/>
    </x:row>
    <x:row r="1030">
      <x:c r="A1030" s="87"/>
      <x:c r="B1030" s="88"/>
      <x:c r="D1030" s="32"/>
      <x:c r="G1030" s="74"/>
      <x:c r="H1030" s="74"/>
      <x:c r="I1030" s="74"/>
      <x:c r="J1030" s="74"/>
      <x:c r="K1030" s="74"/>
      <x:c r="L1030" s="74"/>
      <x:c r="M1030" s="74"/>
      <x:c r="N1030" s="91"/>
      <x:c r="O1030" s="91"/>
      <x:c r="P1030" s="91"/>
      <x:c r="Q1030" s="91"/>
      <x:c r="R1030" s="91"/>
      <x:c r="S1030" s="85"/>
      <x:c r="U1030" s="86"/>
      <x:c r="V1030" s="32"/>
    </x:row>
    <x:row r="1031">
      <x:c r="A1031" s="87"/>
      <x:c r="B1031" s="88"/>
      <x:c r="D1031" s="32"/>
      <x:c r="G1031" s="74"/>
      <x:c r="H1031" s="74"/>
      <x:c r="I1031" s="74"/>
      <x:c r="J1031" s="74"/>
      <x:c r="K1031" s="74"/>
      <x:c r="L1031" s="74"/>
      <x:c r="M1031" s="74"/>
      <x:c r="N1031" s="91"/>
      <x:c r="O1031" s="91"/>
      <x:c r="P1031" s="91"/>
      <x:c r="Q1031" s="91"/>
      <x:c r="R1031" s="91"/>
      <x:c r="S1031" s="85"/>
      <x:c r="U1031" s="86"/>
      <x:c r="V1031" s="32"/>
    </x:row>
    <x:row r="1032">
      <x:c r="A1032" s="87"/>
      <x:c r="B1032" s="88"/>
      <x:c r="D1032" s="32"/>
      <x:c r="G1032" s="74"/>
      <x:c r="H1032" s="74"/>
      <x:c r="I1032" s="74"/>
      <x:c r="J1032" s="74"/>
      <x:c r="K1032" s="74"/>
      <x:c r="L1032" s="74"/>
      <x:c r="M1032" s="74"/>
      <x:c r="N1032" s="91"/>
      <x:c r="O1032" s="91"/>
      <x:c r="P1032" s="91"/>
      <x:c r="Q1032" s="91"/>
      <x:c r="R1032" s="91"/>
      <x:c r="S1032" s="85"/>
      <x:c r="U1032" s="86"/>
      <x:c r="V1032" s="32"/>
    </x:row>
    <x:row r="1033">
      <x:c r="A1033" s="87"/>
      <x:c r="B1033" s="88"/>
      <x:c r="D1033" s="32"/>
      <x:c r="G1033" s="74"/>
      <x:c r="H1033" s="74"/>
      <x:c r="I1033" s="74"/>
      <x:c r="J1033" s="74"/>
      <x:c r="K1033" s="74"/>
      <x:c r="L1033" s="74"/>
      <x:c r="M1033" s="74"/>
      <x:c r="N1033" s="91"/>
      <x:c r="O1033" s="91"/>
      <x:c r="P1033" s="91"/>
      <x:c r="Q1033" s="91"/>
      <x:c r="R1033" s="91"/>
      <x:c r="S1033" s="85"/>
      <x:c r="U1033" s="86"/>
      <x:c r="V1033" s="32"/>
    </x:row>
    <x:row r="1034">
      <x:c r="A1034" s="87"/>
      <x:c r="B1034" s="88"/>
      <x:c r="D1034" s="32"/>
      <x:c r="G1034" s="74"/>
      <x:c r="H1034" s="74"/>
      <x:c r="I1034" s="74"/>
      <x:c r="J1034" s="74"/>
      <x:c r="K1034" s="74"/>
      <x:c r="L1034" s="74"/>
      <x:c r="M1034" s="74"/>
      <x:c r="N1034" s="91"/>
      <x:c r="O1034" s="91"/>
      <x:c r="P1034" s="91"/>
      <x:c r="Q1034" s="91"/>
      <x:c r="R1034" s="91"/>
      <x:c r="S1034" s="85"/>
      <x:c r="U1034" s="86"/>
      <x:c r="V1034" s="32"/>
    </x:row>
    <x:row r="1035">
      <x:c r="A1035" s="87"/>
      <x:c r="B1035" s="88"/>
      <x:c r="D1035" s="32"/>
      <x:c r="G1035" s="74"/>
      <x:c r="H1035" s="74"/>
      <x:c r="I1035" s="74"/>
      <x:c r="J1035" s="74"/>
      <x:c r="K1035" s="74"/>
      <x:c r="L1035" s="74"/>
      <x:c r="M1035" s="74"/>
      <x:c r="N1035" s="91"/>
      <x:c r="O1035" s="91"/>
      <x:c r="P1035" s="91"/>
      <x:c r="Q1035" s="91"/>
      <x:c r="R1035" s="91"/>
      <x:c r="S1035" s="85"/>
      <x:c r="U1035" s="86"/>
      <x:c r="V1035" s="32"/>
    </x:row>
    <x:row r="1036">
      <x:c r="A1036" s="87"/>
      <x:c r="B1036" s="88"/>
      <x:c r="D1036" s="32"/>
      <x:c r="G1036" s="74"/>
      <x:c r="H1036" s="74"/>
      <x:c r="I1036" s="74"/>
      <x:c r="J1036" s="74"/>
      <x:c r="K1036" s="74"/>
      <x:c r="L1036" s="74"/>
      <x:c r="M1036" s="74"/>
      <x:c r="N1036" s="91"/>
      <x:c r="O1036" s="91"/>
      <x:c r="P1036" s="91"/>
      <x:c r="Q1036" s="91"/>
      <x:c r="R1036" s="91"/>
      <x:c r="S1036" s="85"/>
      <x:c r="U1036" s="86"/>
      <x:c r="V1036" s="32"/>
    </x:row>
    <x:row r="1037">
      <x:c r="A1037" s="87"/>
      <x:c r="B1037" s="88"/>
      <x:c r="D1037" s="32"/>
      <x:c r="G1037" s="74"/>
      <x:c r="H1037" s="74"/>
      <x:c r="I1037" s="74"/>
      <x:c r="J1037" s="74"/>
      <x:c r="K1037" s="74"/>
      <x:c r="L1037" s="74"/>
      <x:c r="M1037" s="74"/>
      <x:c r="N1037" s="91"/>
      <x:c r="O1037" s="91"/>
      <x:c r="P1037" s="91"/>
      <x:c r="Q1037" s="91"/>
      <x:c r="R1037" s="91"/>
      <x:c r="S1037" s="85"/>
      <x:c r="U1037" s="86"/>
      <x:c r="V1037" s="32"/>
    </x:row>
    <x:row r="1038">
      <x:c r="A1038" s="87"/>
      <x:c r="B1038" s="88"/>
      <x:c r="D1038" s="32"/>
      <x:c r="G1038" s="74"/>
      <x:c r="H1038" s="74"/>
      <x:c r="I1038" s="74"/>
      <x:c r="J1038" s="74"/>
      <x:c r="K1038" s="74"/>
      <x:c r="L1038" s="74"/>
      <x:c r="M1038" s="74"/>
      <x:c r="N1038" s="91"/>
      <x:c r="O1038" s="91"/>
      <x:c r="P1038" s="91"/>
      <x:c r="Q1038" s="91"/>
      <x:c r="R1038" s="91"/>
      <x:c r="S1038" s="85"/>
      <x:c r="U1038" s="86"/>
      <x:c r="V1038" s="32"/>
    </x:row>
    <x:row r="1039">
      <x:c r="A1039" s="87"/>
      <x:c r="B1039" s="88"/>
      <x:c r="D1039" s="32"/>
      <x:c r="G1039" s="74"/>
      <x:c r="H1039" s="74"/>
      <x:c r="I1039" s="74"/>
      <x:c r="J1039" s="74"/>
      <x:c r="K1039" s="74"/>
      <x:c r="L1039" s="74"/>
      <x:c r="M1039" s="74"/>
      <x:c r="N1039" s="91"/>
      <x:c r="O1039" s="91"/>
      <x:c r="P1039" s="91"/>
      <x:c r="Q1039" s="91"/>
      <x:c r="R1039" s="91"/>
      <x:c r="S1039" s="85"/>
      <x:c r="U1039" s="86"/>
      <x:c r="V1039" s="32"/>
    </x:row>
    <x:row r="1040">
      <x:c r="A1040" s="87"/>
      <x:c r="B1040" s="88"/>
      <x:c r="D1040" s="32"/>
      <x:c r="G1040" s="74"/>
      <x:c r="H1040" s="74"/>
      <x:c r="I1040" s="74"/>
      <x:c r="J1040" s="74"/>
      <x:c r="K1040" s="74"/>
      <x:c r="L1040" s="74"/>
      <x:c r="M1040" s="74"/>
      <x:c r="N1040" s="91"/>
      <x:c r="O1040" s="91"/>
      <x:c r="P1040" s="91"/>
      <x:c r="Q1040" s="91"/>
      <x:c r="R1040" s="91"/>
      <x:c r="S1040" s="85"/>
      <x:c r="U1040" s="86"/>
      <x:c r="V1040" s="32"/>
    </x:row>
    <x:row r="1041">
      <x:c r="A1041" s="87"/>
      <x:c r="B1041" s="88"/>
      <x:c r="D1041" s="32"/>
      <x:c r="G1041" s="74"/>
      <x:c r="H1041" s="74"/>
      <x:c r="I1041" s="74"/>
      <x:c r="J1041" s="74"/>
      <x:c r="K1041" s="74"/>
      <x:c r="L1041" s="74"/>
      <x:c r="M1041" s="74"/>
      <x:c r="N1041" s="91"/>
      <x:c r="O1041" s="91"/>
      <x:c r="P1041" s="91"/>
      <x:c r="Q1041" s="91"/>
      <x:c r="R1041" s="91"/>
      <x:c r="S1041" s="85"/>
      <x:c r="U1041" s="86"/>
      <x:c r="V1041" s="32"/>
    </x:row>
    <x:row r="1042">
      <x:c r="A1042" s="87"/>
      <x:c r="B1042" s="88"/>
      <x:c r="D1042" s="32"/>
      <x:c r="G1042" s="74"/>
      <x:c r="H1042" s="74"/>
      <x:c r="I1042" s="74"/>
      <x:c r="J1042" s="74"/>
      <x:c r="K1042" s="74"/>
      <x:c r="L1042" s="74"/>
      <x:c r="M1042" s="74"/>
      <x:c r="N1042" s="91"/>
      <x:c r="O1042" s="91"/>
      <x:c r="P1042" s="91"/>
      <x:c r="Q1042" s="91"/>
      <x:c r="R1042" s="91"/>
      <x:c r="S1042" s="85"/>
      <x:c r="U1042" s="86"/>
      <x:c r="V1042" s="32"/>
    </x:row>
    <x:row r="1043">
      <x:c r="A1043" s="87"/>
      <x:c r="B1043" s="88"/>
      <x:c r="D1043" s="32"/>
      <x:c r="G1043" s="74"/>
      <x:c r="H1043" s="74"/>
      <x:c r="I1043" s="74"/>
      <x:c r="J1043" s="74"/>
      <x:c r="K1043" s="74"/>
      <x:c r="L1043" s="74"/>
      <x:c r="M1043" s="74"/>
      <x:c r="N1043" s="91"/>
      <x:c r="O1043" s="91"/>
      <x:c r="P1043" s="91"/>
      <x:c r="Q1043" s="91"/>
      <x:c r="R1043" s="91"/>
      <x:c r="S1043" s="85"/>
      <x:c r="U1043" s="86"/>
      <x:c r="V1043" s="32"/>
    </x:row>
    <x:row r="1044">
      <x:c r="A1044" s="87"/>
      <x:c r="B1044" s="88"/>
      <x:c r="D1044" s="32"/>
      <x:c r="G1044" s="74"/>
      <x:c r="H1044" s="74"/>
      <x:c r="I1044" s="74"/>
      <x:c r="J1044" s="74"/>
      <x:c r="K1044" s="74"/>
      <x:c r="L1044" s="74"/>
      <x:c r="M1044" s="74"/>
      <x:c r="N1044" s="91"/>
      <x:c r="O1044" s="91"/>
      <x:c r="P1044" s="91"/>
      <x:c r="Q1044" s="91"/>
      <x:c r="R1044" s="91"/>
      <x:c r="S1044" s="85"/>
      <x:c r="U1044" s="86"/>
      <x:c r="V1044" s="32"/>
    </x:row>
    <x:row r="1045">
      <x:c r="A1045" s="87"/>
      <x:c r="B1045" s="88"/>
      <x:c r="D1045" s="32"/>
      <x:c r="G1045" s="74"/>
      <x:c r="H1045" s="74"/>
      <x:c r="I1045" s="74"/>
      <x:c r="J1045" s="74"/>
      <x:c r="K1045" s="74"/>
      <x:c r="L1045" s="74"/>
      <x:c r="M1045" s="74"/>
      <x:c r="N1045" s="91"/>
      <x:c r="O1045" s="91"/>
      <x:c r="P1045" s="91"/>
      <x:c r="Q1045" s="91"/>
      <x:c r="R1045" s="91"/>
      <x:c r="S1045" s="85"/>
      <x:c r="U1045" s="86"/>
      <x:c r="V1045" s="32"/>
    </x:row>
    <x:row r="1046">
      <x:c r="A1046" s="87"/>
      <x:c r="B1046" s="88"/>
      <x:c r="D1046" s="32"/>
      <x:c r="G1046" s="74"/>
      <x:c r="H1046" s="74"/>
      <x:c r="I1046" s="74"/>
      <x:c r="J1046" s="74"/>
      <x:c r="K1046" s="74"/>
      <x:c r="L1046" s="74"/>
      <x:c r="M1046" s="74"/>
      <x:c r="N1046" s="91"/>
      <x:c r="O1046" s="91"/>
      <x:c r="P1046" s="91"/>
      <x:c r="Q1046" s="91"/>
      <x:c r="R1046" s="91"/>
      <x:c r="S1046" s="85"/>
      <x:c r="U1046" s="86"/>
      <x:c r="V1046" s="32"/>
    </x:row>
    <x:row r="1047">
      <x:c r="A1047" s="87"/>
      <x:c r="B1047" s="88"/>
      <x:c r="D1047" s="32"/>
      <x:c r="G1047" s="74"/>
      <x:c r="H1047" s="74"/>
      <x:c r="I1047" s="74"/>
      <x:c r="J1047" s="74"/>
      <x:c r="K1047" s="74"/>
      <x:c r="L1047" s="74"/>
      <x:c r="M1047" s="74"/>
      <x:c r="N1047" s="91"/>
      <x:c r="O1047" s="91"/>
      <x:c r="P1047" s="91"/>
      <x:c r="Q1047" s="91"/>
      <x:c r="R1047" s="91"/>
      <x:c r="S1047" s="85"/>
      <x:c r="U1047" s="86"/>
      <x:c r="V1047" s="32"/>
    </x:row>
    <x:row r="1048">
      <x:c r="A1048" s="87"/>
      <x:c r="B1048" s="88"/>
      <x:c r="D1048" s="32"/>
      <x:c r="G1048" s="74"/>
      <x:c r="H1048" s="74"/>
      <x:c r="I1048" s="74"/>
      <x:c r="J1048" s="74"/>
      <x:c r="K1048" s="74"/>
      <x:c r="L1048" s="74"/>
      <x:c r="M1048" s="74"/>
      <x:c r="N1048" s="91"/>
      <x:c r="O1048" s="91"/>
      <x:c r="P1048" s="91"/>
      <x:c r="Q1048" s="91"/>
      <x:c r="R1048" s="91"/>
      <x:c r="S1048" s="85"/>
      <x:c r="U1048" s="86"/>
      <x:c r="V1048" s="32"/>
    </x:row>
    <x:row r="1049">
      <x:c r="A1049" s="87"/>
      <x:c r="B1049" s="88"/>
      <x:c r="D1049" s="32"/>
      <x:c r="G1049" s="74"/>
      <x:c r="H1049" s="74"/>
      <x:c r="I1049" s="74"/>
      <x:c r="J1049" s="74"/>
      <x:c r="K1049" s="74"/>
      <x:c r="L1049" s="74"/>
      <x:c r="M1049" s="74"/>
      <x:c r="N1049" s="91"/>
      <x:c r="O1049" s="91"/>
      <x:c r="P1049" s="91"/>
      <x:c r="Q1049" s="91"/>
      <x:c r="R1049" s="91"/>
      <x:c r="S1049" s="85"/>
      <x:c r="U1049" s="86"/>
      <x:c r="V1049" s="32"/>
    </x:row>
    <x:row r="1050">
      <x:c r="A1050" s="87"/>
      <x:c r="B1050" s="88"/>
      <x:c r="D1050" s="32"/>
      <x:c r="G1050" s="74"/>
      <x:c r="H1050" s="74"/>
      <x:c r="I1050" s="74"/>
      <x:c r="J1050" s="74"/>
      <x:c r="K1050" s="74"/>
      <x:c r="L1050" s="74"/>
      <x:c r="M1050" s="74"/>
      <x:c r="N1050" s="91"/>
      <x:c r="O1050" s="91"/>
      <x:c r="P1050" s="91"/>
      <x:c r="Q1050" s="91"/>
      <x:c r="R1050" s="91"/>
      <x:c r="S1050" s="85"/>
      <x:c r="U1050" s="86"/>
      <x:c r="V1050" s="32"/>
    </x:row>
    <x:row r="1051">
      <x:c r="A1051" s="87"/>
      <x:c r="B1051" s="88"/>
      <x:c r="D1051" s="32"/>
      <x:c r="G1051" s="74"/>
      <x:c r="H1051" s="74"/>
      <x:c r="I1051" s="74"/>
      <x:c r="J1051" s="74"/>
      <x:c r="K1051" s="74"/>
      <x:c r="L1051" s="74"/>
      <x:c r="M1051" s="74"/>
      <x:c r="N1051" s="91"/>
      <x:c r="O1051" s="91"/>
      <x:c r="P1051" s="91"/>
      <x:c r="Q1051" s="91"/>
      <x:c r="R1051" s="91"/>
      <x:c r="S1051" s="85"/>
      <x:c r="U1051" s="86"/>
      <x:c r="V1051" s="32"/>
    </x:row>
    <x:row r="1052">
      <x:c r="A1052" s="87"/>
      <x:c r="B1052" s="88"/>
      <x:c r="D1052" s="32"/>
      <x:c r="G1052" s="74"/>
      <x:c r="H1052" s="74"/>
      <x:c r="I1052" s="74"/>
      <x:c r="J1052" s="74"/>
      <x:c r="K1052" s="74"/>
      <x:c r="L1052" s="74"/>
      <x:c r="M1052" s="74"/>
      <x:c r="N1052" s="91"/>
      <x:c r="O1052" s="91"/>
      <x:c r="P1052" s="91"/>
      <x:c r="Q1052" s="91"/>
      <x:c r="R1052" s="91"/>
      <x:c r="S1052" s="85"/>
      <x:c r="U1052" s="86"/>
      <x:c r="V1052" s="32"/>
    </x:row>
    <x:row r="1053">
      <x:c r="A1053" s="87"/>
      <x:c r="B1053" s="88"/>
      <x:c r="D1053" s="32"/>
      <x:c r="G1053" s="74"/>
      <x:c r="H1053" s="74"/>
      <x:c r="I1053" s="74"/>
      <x:c r="J1053" s="74"/>
      <x:c r="K1053" s="74"/>
      <x:c r="L1053" s="74"/>
      <x:c r="M1053" s="74"/>
      <x:c r="N1053" s="91"/>
      <x:c r="O1053" s="91"/>
      <x:c r="P1053" s="91"/>
      <x:c r="Q1053" s="91"/>
      <x:c r="R1053" s="91"/>
      <x:c r="S1053" s="85"/>
      <x:c r="U1053" s="86"/>
      <x:c r="V1053" s="32"/>
    </x:row>
    <x:row r="1054">
      <x:c r="A1054" s="87"/>
      <x:c r="B1054" s="88"/>
      <x:c r="D1054" s="32"/>
      <x:c r="G1054" s="74"/>
      <x:c r="H1054" s="74"/>
      <x:c r="I1054" s="74"/>
      <x:c r="J1054" s="74"/>
      <x:c r="K1054" s="74"/>
      <x:c r="L1054" s="74"/>
      <x:c r="M1054" s="74"/>
      <x:c r="N1054" s="91"/>
      <x:c r="O1054" s="91"/>
      <x:c r="P1054" s="91"/>
      <x:c r="Q1054" s="91"/>
      <x:c r="R1054" s="91"/>
      <x:c r="S1054" s="85"/>
      <x:c r="U1054" s="86"/>
      <x:c r="V1054" s="32"/>
    </x:row>
    <x:row r="1055">
      <x:c r="A1055" s="87"/>
      <x:c r="B1055" s="88"/>
      <x:c r="D1055" s="32"/>
      <x:c r="G1055" s="74"/>
      <x:c r="H1055" s="74"/>
      <x:c r="I1055" s="74"/>
      <x:c r="J1055" s="74"/>
      <x:c r="K1055" s="74"/>
      <x:c r="L1055" s="74"/>
      <x:c r="M1055" s="74"/>
      <x:c r="N1055" s="91"/>
      <x:c r="O1055" s="91"/>
      <x:c r="P1055" s="91"/>
      <x:c r="Q1055" s="91"/>
      <x:c r="R1055" s="91"/>
      <x:c r="S1055" s="85"/>
      <x:c r="U1055" s="86"/>
      <x:c r="V1055" s="32"/>
    </x:row>
    <x:row r="1056">
      <x:c r="A1056" s="87"/>
      <x:c r="B1056" s="88"/>
      <x:c r="D1056" s="32"/>
      <x:c r="G1056" s="74"/>
      <x:c r="H1056" s="74"/>
      <x:c r="I1056" s="74"/>
      <x:c r="J1056" s="74"/>
      <x:c r="K1056" s="74"/>
      <x:c r="L1056" s="74"/>
      <x:c r="M1056" s="74"/>
      <x:c r="N1056" s="91"/>
      <x:c r="O1056" s="91"/>
      <x:c r="P1056" s="91"/>
      <x:c r="Q1056" s="91"/>
      <x:c r="R1056" s="91"/>
      <x:c r="S1056" s="85"/>
      <x:c r="U1056" s="86"/>
      <x:c r="V1056" s="32"/>
    </x:row>
    <x:row r="1057">
      <x:c r="A1057" s="87"/>
      <x:c r="B1057" s="88"/>
      <x:c r="D1057" s="32"/>
      <x:c r="G1057" s="74"/>
      <x:c r="H1057" s="74"/>
      <x:c r="I1057" s="74"/>
      <x:c r="J1057" s="74"/>
      <x:c r="K1057" s="74"/>
      <x:c r="L1057" s="74"/>
      <x:c r="M1057" s="74"/>
      <x:c r="N1057" s="91"/>
      <x:c r="O1057" s="91"/>
      <x:c r="P1057" s="91"/>
      <x:c r="Q1057" s="91"/>
      <x:c r="R1057" s="91"/>
      <x:c r="S1057" s="85"/>
      <x:c r="U1057" s="86"/>
      <x:c r="V1057" s="32"/>
    </x:row>
    <x:row r="1058">
      <x:c r="A1058" s="87"/>
      <x:c r="B1058" s="88"/>
      <x:c r="D1058" s="32"/>
      <x:c r="G1058" s="74"/>
      <x:c r="H1058" s="74"/>
      <x:c r="I1058" s="74"/>
      <x:c r="J1058" s="74"/>
      <x:c r="K1058" s="74"/>
      <x:c r="L1058" s="74"/>
      <x:c r="M1058" s="74"/>
      <x:c r="N1058" s="91"/>
      <x:c r="O1058" s="91"/>
      <x:c r="P1058" s="91"/>
      <x:c r="Q1058" s="91"/>
      <x:c r="R1058" s="91"/>
      <x:c r="S1058" s="85"/>
      <x:c r="U1058" s="86"/>
      <x:c r="V1058" s="32"/>
    </x:row>
    <x:row r="1059">
      <x:c r="A1059" s="87"/>
      <x:c r="B1059" s="88"/>
      <x:c r="D1059" s="32"/>
      <x:c r="G1059" s="74"/>
      <x:c r="H1059" s="74"/>
      <x:c r="I1059" s="74"/>
      <x:c r="J1059" s="74"/>
      <x:c r="K1059" s="74"/>
      <x:c r="L1059" s="74"/>
      <x:c r="M1059" s="74"/>
      <x:c r="N1059" s="91"/>
      <x:c r="O1059" s="91"/>
      <x:c r="P1059" s="91"/>
      <x:c r="Q1059" s="91"/>
      <x:c r="R1059" s="91"/>
      <x:c r="S1059" s="85"/>
      <x:c r="U1059" s="86"/>
      <x:c r="V1059" s="32"/>
    </x:row>
    <x:row r="1060">
      <x:c r="A1060" s="87"/>
      <x:c r="B1060" s="88"/>
      <x:c r="D1060" s="32"/>
      <x:c r="G1060" s="74"/>
      <x:c r="H1060" s="74"/>
      <x:c r="I1060" s="74"/>
      <x:c r="J1060" s="74"/>
      <x:c r="K1060" s="74"/>
      <x:c r="L1060" s="74"/>
      <x:c r="M1060" s="74"/>
      <x:c r="N1060" s="91"/>
      <x:c r="O1060" s="91"/>
      <x:c r="P1060" s="91"/>
      <x:c r="Q1060" s="91"/>
      <x:c r="R1060" s="91"/>
      <x:c r="S1060" s="85"/>
      <x:c r="U1060" s="86"/>
      <x:c r="V1060" s="32"/>
    </x:row>
    <x:row r="1061">
      <x:c r="A1061" s="87"/>
      <x:c r="B1061" s="88"/>
      <x:c r="D1061" s="32"/>
      <x:c r="G1061" s="74"/>
      <x:c r="H1061" s="74"/>
      <x:c r="I1061" s="74"/>
      <x:c r="J1061" s="74"/>
      <x:c r="K1061" s="74"/>
      <x:c r="L1061" s="74"/>
      <x:c r="M1061" s="74"/>
      <x:c r="N1061" s="91"/>
      <x:c r="O1061" s="91"/>
      <x:c r="P1061" s="91"/>
      <x:c r="Q1061" s="91"/>
      <x:c r="R1061" s="91"/>
      <x:c r="S1061" s="85"/>
      <x:c r="U1061" s="86"/>
      <x:c r="V1061" s="32"/>
    </x:row>
    <x:row r="1062">
      <x:c r="A1062" s="87"/>
      <x:c r="B1062" s="88"/>
      <x:c r="D1062" s="32"/>
      <x:c r="G1062" s="74"/>
      <x:c r="H1062" s="74"/>
      <x:c r="I1062" s="74"/>
      <x:c r="J1062" s="74"/>
      <x:c r="K1062" s="74"/>
      <x:c r="L1062" s="74"/>
      <x:c r="M1062" s="74"/>
      <x:c r="N1062" s="91"/>
      <x:c r="O1062" s="91"/>
      <x:c r="P1062" s="91"/>
      <x:c r="Q1062" s="91"/>
      <x:c r="R1062" s="91"/>
      <x:c r="S1062" s="85"/>
      <x:c r="U1062" s="86"/>
      <x:c r="V1062" s="32"/>
    </x:row>
    <x:row r="1063">
      <x:c r="A1063" s="87"/>
      <x:c r="B1063" s="88"/>
      <x:c r="D1063" s="32"/>
      <x:c r="G1063" s="74"/>
      <x:c r="H1063" s="74"/>
      <x:c r="I1063" s="74"/>
      <x:c r="J1063" s="74"/>
      <x:c r="K1063" s="74"/>
      <x:c r="L1063" s="74"/>
      <x:c r="M1063" s="74"/>
      <x:c r="N1063" s="91"/>
      <x:c r="O1063" s="91"/>
      <x:c r="P1063" s="91"/>
      <x:c r="Q1063" s="91"/>
      <x:c r="R1063" s="91"/>
      <x:c r="S1063" s="85"/>
      <x:c r="U1063" s="86"/>
      <x:c r="V1063" s="32"/>
    </x:row>
    <x:row r="1064">
      <x:c r="A1064" s="87"/>
      <x:c r="B1064" s="88"/>
      <x:c r="D1064" s="32"/>
      <x:c r="G1064" s="74"/>
      <x:c r="H1064" s="74"/>
      <x:c r="I1064" s="74"/>
      <x:c r="J1064" s="74"/>
      <x:c r="K1064" s="74"/>
      <x:c r="L1064" s="74"/>
      <x:c r="M1064" s="74"/>
      <x:c r="N1064" s="91"/>
      <x:c r="O1064" s="91"/>
      <x:c r="P1064" s="91"/>
      <x:c r="Q1064" s="91"/>
      <x:c r="R1064" s="91"/>
      <x:c r="S1064" s="85"/>
      <x:c r="U1064" s="86"/>
      <x:c r="V1064" s="32"/>
    </x:row>
    <x:row r="1065">
      <x:c r="A1065" s="87"/>
      <x:c r="B1065" s="88"/>
      <x:c r="D1065" s="32"/>
      <x:c r="G1065" s="74"/>
      <x:c r="H1065" s="74"/>
      <x:c r="I1065" s="74"/>
      <x:c r="J1065" s="74"/>
      <x:c r="K1065" s="74"/>
      <x:c r="L1065" s="74"/>
      <x:c r="M1065" s="74"/>
      <x:c r="N1065" s="91"/>
      <x:c r="O1065" s="91"/>
      <x:c r="P1065" s="91"/>
      <x:c r="Q1065" s="91"/>
      <x:c r="R1065" s="91"/>
      <x:c r="S1065" s="85"/>
      <x:c r="U1065" s="86"/>
      <x:c r="V1065" s="32"/>
    </x:row>
    <x:row r="1066">
      <x:c r="A1066" s="87"/>
      <x:c r="B1066" s="88"/>
      <x:c r="D1066" s="32"/>
      <x:c r="G1066" s="74"/>
      <x:c r="H1066" s="74"/>
      <x:c r="I1066" s="74"/>
      <x:c r="J1066" s="74"/>
      <x:c r="K1066" s="74"/>
      <x:c r="L1066" s="74"/>
      <x:c r="M1066" s="74"/>
      <x:c r="N1066" s="91"/>
      <x:c r="O1066" s="91"/>
      <x:c r="P1066" s="91"/>
      <x:c r="Q1066" s="91"/>
      <x:c r="R1066" s="91"/>
      <x:c r="S1066" s="85"/>
      <x:c r="U1066" s="86"/>
      <x:c r="V1066" s="32"/>
    </x:row>
    <x:row r="1067">
      <x:c r="A1067" s="87"/>
      <x:c r="B1067" s="88"/>
      <x:c r="D1067" s="32"/>
      <x:c r="G1067" s="74"/>
      <x:c r="H1067" s="74"/>
      <x:c r="I1067" s="74"/>
      <x:c r="J1067" s="74"/>
      <x:c r="K1067" s="74"/>
      <x:c r="L1067" s="74"/>
      <x:c r="M1067" s="74"/>
      <x:c r="N1067" s="91"/>
      <x:c r="O1067" s="91"/>
      <x:c r="P1067" s="91"/>
      <x:c r="Q1067" s="91"/>
      <x:c r="R1067" s="91"/>
      <x:c r="S1067" s="85"/>
      <x:c r="U1067" s="86"/>
      <x:c r="V1067" s="32"/>
    </x:row>
    <x:row r="1068">
      <x:c r="A1068" s="87"/>
      <x:c r="B1068" s="88"/>
      <x:c r="D1068" s="32"/>
      <x:c r="G1068" s="74"/>
      <x:c r="H1068" s="74"/>
      <x:c r="I1068" s="74"/>
      <x:c r="J1068" s="74"/>
      <x:c r="K1068" s="74"/>
      <x:c r="L1068" s="74"/>
      <x:c r="M1068" s="74"/>
      <x:c r="N1068" s="91"/>
      <x:c r="O1068" s="91"/>
      <x:c r="P1068" s="91"/>
      <x:c r="Q1068" s="91"/>
      <x:c r="R1068" s="91"/>
      <x:c r="S1068" s="85"/>
      <x:c r="U1068" s="86"/>
      <x:c r="V1068" s="32"/>
    </x:row>
    <x:row r="1069">
      <x:c r="A1069" s="87"/>
      <x:c r="B1069" s="88"/>
      <x:c r="D1069" s="32"/>
      <x:c r="G1069" s="74"/>
      <x:c r="H1069" s="74"/>
      <x:c r="I1069" s="74"/>
      <x:c r="J1069" s="74"/>
      <x:c r="K1069" s="74"/>
      <x:c r="L1069" s="74"/>
      <x:c r="M1069" s="74"/>
      <x:c r="N1069" s="91"/>
      <x:c r="O1069" s="91"/>
      <x:c r="P1069" s="91"/>
      <x:c r="Q1069" s="91"/>
      <x:c r="R1069" s="91"/>
      <x:c r="S1069" s="85"/>
      <x:c r="U1069" s="86"/>
      <x:c r="V1069" s="32"/>
    </x:row>
    <x:row r="1070">
      <x:c r="A1070" s="87"/>
      <x:c r="B1070" s="88"/>
      <x:c r="D1070" s="32"/>
      <x:c r="G1070" s="74"/>
      <x:c r="H1070" s="74"/>
      <x:c r="I1070" s="74"/>
      <x:c r="J1070" s="74"/>
      <x:c r="K1070" s="74"/>
      <x:c r="L1070" s="74"/>
      <x:c r="M1070" s="74"/>
      <x:c r="N1070" s="91"/>
      <x:c r="O1070" s="91"/>
      <x:c r="P1070" s="91"/>
      <x:c r="Q1070" s="91"/>
      <x:c r="R1070" s="91"/>
      <x:c r="S1070" s="85"/>
      <x:c r="U1070" s="86"/>
      <x:c r="V1070" s="32"/>
    </x:row>
    <x:row r="1071">
      <x:c r="A1071" s="87"/>
      <x:c r="B1071" s="88"/>
      <x:c r="D1071" s="32"/>
      <x:c r="G1071" s="74"/>
      <x:c r="H1071" s="74"/>
      <x:c r="I1071" s="74"/>
      <x:c r="J1071" s="74"/>
      <x:c r="K1071" s="74"/>
      <x:c r="L1071" s="74"/>
      <x:c r="M1071" s="74"/>
      <x:c r="N1071" s="91"/>
      <x:c r="O1071" s="91"/>
      <x:c r="P1071" s="91"/>
      <x:c r="Q1071" s="91"/>
      <x:c r="R1071" s="91"/>
      <x:c r="S1071" s="85"/>
      <x:c r="U1071" s="86"/>
      <x:c r="V1071" s="32"/>
    </x:row>
    <x:row r="1072">
      <x:c r="A1072" s="87"/>
      <x:c r="B1072" s="88"/>
      <x:c r="D1072" s="32"/>
      <x:c r="G1072" s="74"/>
      <x:c r="H1072" s="74"/>
      <x:c r="I1072" s="74"/>
      <x:c r="J1072" s="74"/>
      <x:c r="K1072" s="74"/>
      <x:c r="L1072" s="74"/>
      <x:c r="M1072" s="74"/>
      <x:c r="N1072" s="91"/>
      <x:c r="O1072" s="91"/>
      <x:c r="P1072" s="91"/>
      <x:c r="Q1072" s="91"/>
      <x:c r="R1072" s="91"/>
      <x:c r="S1072" s="85"/>
      <x:c r="U1072" s="86"/>
      <x:c r="V1072" s="32"/>
    </x:row>
    <x:row r="1073">
      <x:c r="A1073" s="87"/>
      <x:c r="B1073" s="88"/>
      <x:c r="D1073" s="32"/>
      <x:c r="G1073" s="74"/>
      <x:c r="H1073" s="74"/>
      <x:c r="I1073" s="74"/>
      <x:c r="J1073" s="74"/>
      <x:c r="K1073" s="74"/>
      <x:c r="L1073" s="74"/>
      <x:c r="M1073" s="74"/>
      <x:c r="N1073" s="91"/>
      <x:c r="O1073" s="91"/>
      <x:c r="P1073" s="91"/>
      <x:c r="Q1073" s="91"/>
      <x:c r="R1073" s="91"/>
      <x:c r="S1073" s="85"/>
      <x:c r="U1073" s="86"/>
      <x:c r="V1073" s="32"/>
    </x:row>
    <x:row r="1074">
      <x:c r="A1074" s="87"/>
      <x:c r="B1074" s="88"/>
      <x:c r="D1074" s="32"/>
      <x:c r="G1074" s="74"/>
      <x:c r="H1074" s="74"/>
      <x:c r="I1074" s="74"/>
      <x:c r="J1074" s="74"/>
      <x:c r="K1074" s="74"/>
      <x:c r="L1074" s="74"/>
      <x:c r="M1074" s="74"/>
      <x:c r="N1074" s="91"/>
      <x:c r="O1074" s="91"/>
      <x:c r="P1074" s="91"/>
      <x:c r="Q1074" s="91"/>
      <x:c r="R1074" s="91"/>
      <x:c r="S1074" s="85"/>
      <x:c r="U1074" s="86"/>
      <x:c r="V1074" s="32"/>
    </x:row>
    <x:row r="1075">
      <x:c r="A1075" s="87"/>
      <x:c r="B1075" s="88"/>
      <x:c r="D1075" s="32"/>
      <x:c r="G1075" s="74"/>
      <x:c r="H1075" s="74"/>
      <x:c r="I1075" s="74"/>
      <x:c r="J1075" s="74"/>
      <x:c r="K1075" s="74"/>
      <x:c r="L1075" s="74"/>
      <x:c r="M1075" s="74"/>
      <x:c r="N1075" s="91"/>
      <x:c r="O1075" s="91"/>
      <x:c r="P1075" s="91"/>
      <x:c r="Q1075" s="91"/>
      <x:c r="R1075" s="91"/>
      <x:c r="S1075" s="85"/>
      <x:c r="U1075" s="86"/>
      <x:c r="V1075" s="32"/>
    </x:row>
    <x:row r="1076">
      <x:c r="A1076" s="87"/>
      <x:c r="B1076" s="88"/>
      <x:c r="D1076" s="32"/>
      <x:c r="G1076" s="74"/>
      <x:c r="H1076" s="74"/>
      <x:c r="I1076" s="74"/>
      <x:c r="J1076" s="74"/>
      <x:c r="K1076" s="74"/>
      <x:c r="L1076" s="74"/>
      <x:c r="M1076" s="74"/>
      <x:c r="N1076" s="91"/>
      <x:c r="O1076" s="91"/>
      <x:c r="P1076" s="91"/>
      <x:c r="Q1076" s="91"/>
      <x:c r="R1076" s="91"/>
      <x:c r="S1076" s="85"/>
      <x:c r="U1076" s="86"/>
      <x:c r="V1076" s="32"/>
    </x:row>
    <x:row r="1077">
      <x:c r="A1077" s="87"/>
      <x:c r="B1077" s="88"/>
      <x:c r="D1077" s="32"/>
      <x:c r="G1077" s="74"/>
      <x:c r="H1077" s="74"/>
      <x:c r="I1077" s="74"/>
      <x:c r="J1077" s="74"/>
      <x:c r="K1077" s="74"/>
      <x:c r="L1077" s="74"/>
      <x:c r="M1077" s="74"/>
      <x:c r="N1077" s="91"/>
      <x:c r="O1077" s="91"/>
      <x:c r="P1077" s="91"/>
      <x:c r="Q1077" s="91"/>
      <x:c r="R1077" s="91"/>
      <x:c r="S1077" s="85"/>
      <x:c r="U1077" s="86"/>
      <x:c r="V1077" s="32"/>
    </x:row>
    <x:row r="1078">
      <x:c r="A1078" s="87"/>
      <x:c r="B1078" s="88"/>
      <x:c r="D1078" s="32"/>
      <x:c r="G1078" s="74"/>
      <x:c r="H1078" s="74"/>
      <x:c r="I1078" s="74"/>
      <x:c r="J1078" s="74"/>
      <x:c r="K1078" s="74"/>
      <x:c r="L1078" s="74"/>
      <x:c r="M1078" s="74"/>
      <x:c r="N1078" s="91"/>
      <x:c r="O1078" s="91"/>
      <x:c r="P1078" s="91"/>
      <x:c r="Q1078" s="91"/>
      <x:c r="R1078" s="91"/>
      <x:c r="S1078" s="85"/>
      <x:c r="U1078" s="86"/>
      <x:c r="V1078" s="32"/>
    </x:row>
    <x:row r="1079">
      <x:c r="A1079" s="87"/>
      <x:c r="B1079" s="88"/>
      <x:c r="D1079" s="32"/>
      <x:c r="G1079" s="74"/>
      <x:c r="H1079" s="74"/>
      <x:c r="I1079" s="74"/>
      <x:c r="J1079" s="74"/>
      <x:c r="K1079" s="74"/>
      <x:c r="L1079" s="74"/>
      <x:c r="M1079" s="74"/>
      <x:c r="N1079" s="91"/>
      <x:c r="O1079" s="91"/>
      <x:c r="P1079" s="91"/>
      <x:c r="Q1079" s="91"/>
      <x:c r="R1079" s="91"/>
      <x:c r="S1079" s="85"/>
      <x:c r="U1079" s="86"/>
      <x:c r="V1079" s="32"/>
    </x:row>
    <x:row r="1080">
      <x:c r="A1080" s="87"/>
      <x:c r="B1080" s="88"/>
      <x:c r="D1080" s="32"/>
      <x:c r="G1080" s="74"/>
      <x:c r="H1080" s="74"/>
      <x:c r="I1080" s="74"/>
      <x:c r="J1080" s="74"/>
      <x:c r="K1080" s="74"/>
      <x:c r="L1080" s="74"/>
      <x:c r="M1080" s="74"/>
      <x:c r="N1080" s="91"/>
      <x:c r="O1080" s="91"/>
      <x:c r="P1080" s="91"/>
      <x:c r="Q1080" s="91"/>
      <x:c r="R1080" s="91"/>
      <x:c r="S1080" s="85"/>
      <x:c r="U1080" s="86"/>
      <x:c r="V1080" s="32"/>
    </x:row>
    <x:row r="1081">
      <x:c r="A1081" s="87"/>
      <x:c r="B1081" s="88"/>
      <x:c r="D1081" s="32"/>
      <x:c r="G1081" s="74"/>
      <x:c r="H1081" s="74"/>
      <x:c r="I1081" s="74"/>
      <x:c r="J1081" s="74"/>
      <x:c r="K1081" s="74"/>
      <x:c r="L1081" s="74"/>
      <x:c r="M1081" s="74"/>
      <x:c r="N1081" s="91"/>
      <x:c r="O1081" s="91"/>
      <x:c r="P1081" s="91"/>
      <x:c r="Q1081" s="91"/>
      <x:c r="R1081" s="91"/>
      <x:c r="S1081" s="85"/>
      <x:c r="U1081" s="86"/>
      <x:c r="V1081" s="32"/>
    </x:row>
    <x:row r="1082">
      <x:c r="A1082" s="87"/>
      <x:c r="B1082" s="88"/>
      <x:c r="D1082" s="32"/>
      <x:c r="G1082" s="74"/>
      <x:c r="H1082" s="74"/>
      <x:c r="I1082" s="74"/>
      <x:c r="J1082" s="74"/>
      <x:c r="K1082" s="74"/>
      <x:c r="L1082" s="74"/>
      <x:c r="M1082" s="74"/>
      <x:c r="N1082" s="91"/>
      <x:c r="O1082" s="91"/>
      <x:c r="P1082" s="91"/>
      <x:c r="Q1082" s="91"/>
      <x:c r="R1082" s="91"/>
      <x:c r="S1082" s="85"/>
      <x:c r="U1082" s="86"/>
      <x:c r="V1082" s="32"/>
    </x:row>
    <x:row r="1083">
      <x:c r="A1083" s="87"/>
      <x:c r="B1083" s="88"/>
      <x:c r="D1083" s="32"/>
      <x:c r="G1083" s="74"/>
      <x:c r="H1083" s="74"/>
      <x:c r="I1083" s="74"/>
      <x:c r="J1083" s="74"/>
      <x:c r="K1083" s="74"/>
      <x:c r="L1083" s="74"/>
      <x:c r="M1083" s="74"/>
      <x:c r="N1083" s="91"/>
      <x:c r="O1083" s="91"/>
      <x:c r="P1083" s="91"/>
      <x:c r="Q1083" s="91"/>
      <x:c r="R1083" s="91"/>
      <x:c r="S1083" s="85"/>
      <x:c r="U1083" s="86"/>
      <x:c r="V1083" s="32"/>
    </x:row>
    <x:row r="1084">
      <x:c r="A1084" s="87"/>
      <x:c r="B1084" s="88"/>
      <x:c r="D1084" s="32"/>
      <x:c r="G1084" s="74"/>
      <x:c r="H1084" s="74"/>
      <x:c r="I1084" s="74"/>
      <x:c r="J1084" s="74"/>
      <x:c r="K1084" s="74"/>
      <x:c r="L1084" s="74"/>
      <x:c r="M1084" s="74"/>
      <x:c r="N1084" s="91"/>
      <x:c r="O1084" s="91"/>
      <x:c r="P1084" s="91"/>
      <x:c r="Q1084" s="91"/>
      <x:c r="R1084" s="91"/>
      <x:c r="S1084" s="85"/>
      <x:c r="U1084" s="86"/>
      <x:c r="V1084" s="32"/>
    </x:row>
    <x:row r="1085">
      <x:c r="A1085" s="87"/>
      <x:c r="B1085" s="88"/>
      <x:c r="D1085" s="32"/>
      <x:c r="G1085" s="74"/>
      <x:c r="H1085" s="74"/>
      <x:c r="I1085" s="74"/>
      <x:c r="J1085" s="74"/>
      <x:c r="K1085" s="74"/>
      <x:c r="L1085" s="74"/>
      <x:c r="M1085" s="74"/>
      <x:c r="N1085" s="91"/>
      <x:c r="O1085" s="91"/>
      <x:c r="P1085" s="91"/>
      <x:c r="Q1085" s="91"/>
      <x:c r="R1085" s="91"/>
      <x:c r="S1085" s="85"/>
      <x:c r="U1085" s="86"/>
      <x:c r="V1085" s="32"/>
    </x:row>
    <x:row r="1086">
      <x:c r="A1086" s="87"/>
      <x:c r="B1086" s="88"/>
      <x:c r="D1086" s="32"/>
      <x:c r="G1086" s="74"/>
      <x:c r="H1086" s="74"/>
      <x:c r="I1086" s="74"/>
      <x:c r="J1086" s="74"/>
      <x:c r="K1086" s="74"/>
      <x:c r="L1086" s="74"/>
      <x:c r="M1086" s="74"/>
      <x:c r="N1086" s="91"/>
      <x:c r="O1086" s="91"/>
      <x:c r="P1086" s="91"/>
      <x:c r="Q1086" s="91"/>
      <x:c r="R1086" s="91"/>
      <x:c r="S1086" s="85"/>
      <x:c r="U1086" s="86"/>
      <x:c r="V1086" s="32"/>
    </x:row>
    <x:row r="1087">
      <x:c r="A1087" s="87"/>
      <x:c r="B1087" s="88"/>
      <x:c r="D1087" s="32"/>
      <x:c r="G1087" s="74"/>
      <x:c r="H1087" s="74"/>
      <x:c r="I1087" s="74"/>
      <x:c r="J1087" s="74"/>
      <x:c r="K1087" s="74"/>
      <x:c r="L1087" s="74"/>
      <x:c r="M1087" s="74"/>
      <x:c r="N1087" s="91"/>
      <x:c r="O1087" s="91"/>
      <x:c r="P1087" s="91"/>
      <x:c r="Q1087" s="91"/>
      <x:c r="R1087" s="91"/>
      <x:c r="S1087" s="85"/>
      <x:c r="U1087" s="86"/>
      <x:c r="V1087" s="32"/>
    </x:row>
    <x:row r="1088">
      <x:c r="A1088" s="87"/>
      <x:c r="B1088" s="88"/>
      <x:c r="D1088" s="32"/>
      <x:c r="G1088" s="74"/>
      <x:c r="H1088" s="74"/>
      <x:c r="I1088" s="74"/>
      <x:c r="J1088" s="74"/>
      <x:c r="K1088" s="74"/>
      <x:c r="L1088" s="74"/>
      <x:c r="M1088" s="74"/>
      <x:c r="N1088" s="91"/>
      <x:c r="O1088" s="91"/>
      <x:c r="P1088" s="91"/>
      <x:c r="Q1088" s="91"/>
      <x:c r="R1088" s="91"/>
      <x:c r="S1088" s="85"/>
      <x:c r="U1088" s="86"/>
      <x:c r="V1088" s="32"/>
    </x:row>
    <x:row r="1089">
      <x:c r="A1089" s="87"/>
      <x:c r="B1089" s="88"/>
      <x:c r="D1089" s="32"/>
      <x:c r="G1089" s="74"/>
      <x:c r="H1089" s="74"/>
      <x:c r="I1089" s="74"/>
      <x:c r="J1089" s="74"/>
      <x:c r="K1089" s="74"/>
      <x:c r="L1089" s="74"/>
      <x:c r="M1089" s="74"/>
      <x:c r="N1089" s="91"/>
      <x:c r="O1089" s="91"/>
      <x:c r="P1089" s="91"/>
      <x:c r="Q1089" s="91"/>
      <x:c r="R1089" s="91"/>
      <x:c r="S1089" s="85"/>
      <x:c r="U1089" s="86"/>
      <x:c r="V1089" s="32"/>
    </x:row>
    <x:row r="1090">
      <x:c r="A1090" s="87"/>
      <x:c r="B1090" s="88"/>
      <x:c r="D1090" s="32"/>
      <x:c r="G1090" s="74"/>
      <x:c r="H1090" s="74"/>
      <x:c r="I1090" s="74"/>
      <x:c r="J1090" s="74"/>
      <x:c r="K1090" s="74"/>
      <x:c r="L1090" s="74"/>
      <x:c r="M1090" s="74"/>
      <x:c r="N1090" s="91"/>
      <x:c r="O1090" s="91"/>
      <x:c r="P1090" s="91"/>
      <x:c r="Q1090" s="91"/>
      <x:c r="R1090" s="91"/>
      <x:c r="S1090" s="85"/>
      <x:c r="U1090" s="86"/>
      <x:c r="V1090" s="32"/>
    </x:row>
    <x:row r="1091">
      <x:c r="A1091" s="87"/>
      <x:c r="B1091" s="88"/>
      <x:c r="D1091" s="32"/>
      <x:c r="G1091" s="74"/>
      <x:c r="H1091" s="74"/>
      <x:c r="I1091" s="74"/>
      <x:c r="J1091" s="74"/>
      <x:c r="K1091" s="74"/>
      <x:c r="L1091" s="74"/>
      <x:c r="M1091" s="74"/>
      <x:c r="N1091" s="91"/>
      <x:c r="O1091" s="91"/>
      <x:c r="P1091" s="91"/>
      <x:c r="Q1091" s="91"/>
      <x:c r="R1091" s="91"/>
      <x:c r="S1091" s="85"/>
      <x:c r="U1091" s="86"/>
      <x:c r="V1091" s="32"/>
    </x:row>
    <x:row r="1092">
      <x:c r="A1092" s="87"/>
      <x:c r="B1092" s="88"/>
      <x:c r="D1092" s="32"/>
      <x:c r="G1092" s="74"/>
      <x:c r="H1092" s="74"/>
      <x:c r="I1092" s="74"/>
      <x:c r="J1092" s="74"/>
      <x:c r="K1092" s="74"/>
      <x:c r="L1092" s="74"/>
      <x:c r="M1092" s="74"/>
      <x:c r="N1092" s="91"/>
      <x:c r="O1092" s="91"/>
      <x:c r="P1092" s="91"/>
      <x:c r="Q1092" s="91"/>
      <x:c r="R1092" s="91"/>
      <x:c r="S1092" s="85"/>
      <x:c r="U1092" s="86"/>
      <x:c r="V1092" s="32"/>
    </x:row>
    <x:row r="1093">
      <x:c r="A1093" s="87"/>
      <x:c r="B1093" s="88"/>
      <x:c r="D1093" s="32"/>
      <x:c r="G1093" s="74"/>
      <x:c r="H1093" s="74"/>
      <x:c r="I1093" s="74"/>
      <x:c r="J1093" s="74"/>
      <x:c r="K1093" s="74"/>
      <x:c r="L1093" s="74"/>
      <x:c r="M1093" s="74"/>
      <x:c r="N1093" s="91"/>
      <x:c r="O1093" s="91"/>
      <x:c r="P1093" s="91"/>
      <x:c r="Q1093" s="91"/>
      <x:c r="R1093" s="91"/>
      <x:c r="S1093" s="85"/>
      <x:c r="U1093" s="86"/>
      <x:c r="V1093" s="32"/>
    </x:row>
    <x:row r="1094">
      <x:c r="A1094" s="87"/>
      <x:c r="B1094" s="88"/>
      <x:c r="D1094" s="32"/>
      <x:c r="G1094" s="74"/>
      <x:c r="H1094" s="74"/>
      <x:c r="I1094" s="74"/>
      <x:c r="J1094" s="74"/>
      <x:c r="K1094" s="74"/>
      <x:c r="L1094" s="74"/>
      <x:c r="M1094" s="74"/>
      <x:c r="N1094" s="91"/>
      <x:c r="O1094" s="91"/>
      <x:c r="P1094" s="91"/>
      <x:c r="Q1094" s="91"/>
      <x:c r="R1094" s="91"/>
      <x:c r="S1094" s="85"/>
      <x:c r="U1094" s="86"/>
      <x:c r="V1094" s="32"/>
    </x:row>
    <x:row r="1095">
      <x:c r="A1095" s="87"/>
      <x:c r="B1095" s="88"/>
      <x:c r="D1095" s="32"/>
      <x:c r="G1095" s="74"/>
      <x:c r="H1095" s="74"/>
      <x:c r="I1095" s="74"/>
      <x:c r="J1095" s="74"/>
      <x:c r="K1095" s="74"/>
      <x:c r="L1095" s="74"/>
      <x:c r="M1095" s="74"/>
      <x:c r="N1095" s="91"/>
      <x:c r="O1095" s="91"/>
      <x:c r="P1095" s="91"/>
      <x:c r="Q1095" s="91"/>
      <x:c r="R1095" s="91"/>
      <x:c r="S1095" s="85"/>
      <x:c r="U1095" s="86"/>
      <x:c r="V1095" s="32"/>
    </x:row>
    <x:row r="1096">
      <x:c r="A1096" s="87"/>
      <x:c r="B1096" s="88"/>
      <x:c r="D1096" s="32"/>
      <x:c r="G1096" s="74"/>
      <x:c r="H1096" s="74"/>
      <x:c r="I1096" s="74"/>
      <x:c r="J1096" s="74"/>
      <x:c r="K1096" s="74"/>
      <x:c r="L1096" s="74"/>
      <x:c r="M1096" s="74"/>
      <x:c r="N1096" s="91"/>
      <x:c r="O1096" s="91"/>
      <x:c r="P1096" s="91"/>
      <x:c r="Q1096" s="91"/>
      <x:c r="R1096" s="91"/>
      <x:c r="S1096" s="85"/>
      <x:c r="U1096" s="86"/>
      <x:c r="V1096" s="32"/>
    </x:row>
    <x:row r="1097">
      <x:c r="A1097" s="87"/>
      <x:c r="B1097" s="88"/>
      <x:c r="D1097" s="32"/>
      <x:c r="G1097" s="74"/>
      <x:c r="H1097" s="74"/>
      <x:c r="I1097" s="74"/>
      <x:c r="J1097" s="74"/>
      <x:c r="K1097" s="74"/>
      <x:c r="L1097" s="74"/>
      <x:c r="M1097" s="74"/>
      <x:c r="N1097" s="91"/>
      <x:c r="O1097" s="91"/>
      <x:c r="P1097" s="91"/>
      <x:c r="Q1097" s="91"/>
      <x:c r="R1097" s="91"/>
      <x:c r="S1097" s="85"/>
      <x:c r="U1097" s="86"/>
      <x:c r="V1097" s="32"/>
    </x:row>
    <x:row r="1098">
      <x:c r="A1098" s="87"/>
      <x:c r="B1098" s="88"/>
      <x:c r="D1098" s="32"/>
      <x:c r="G1098" s="74"/>
      <x:c r="H1098" s="74"/>
      <x:c r="I1098" s="74"/>
      <x:c r="J1098" s="74"/>
      <x:c r="K1098" s="74"/>
      <x:c r="L1098" s="74"/>
      <x:c r="M1098" s="74"/>
      <x:c r="N1098" s="91"/>
      <x:c r="O1098" s="91"/>
      <x:c r="P1098" s="91"/>
      <x:c r="Q1098" s="91"/>
      <x:c r="R1098" s="91"/>
      <x:c r="S1098" s="85"/>
      <x:c r="U1098" s="86"/>
      <x:c r="V1098" s="32"/>
    </x:row>
    <x:row r="1099">
      <x:c r="A1099" s="87"/>
      <x:c r="B1099" s="88"/>
      <x:c r="D1099" s="32"/>
      <x:c r="G1099" s="74"/>
      <x:c r="H1099" s="74"/>
      <x:c r="I1099" s="74"/>
      <x:c r="J1099" s="74"/>
      <x:c r="K1099" s="74"/>
      <x:c r="L1099" s="74"/>
      <x:c r="M1099" s="74"/>
      <x:c r="N1099" s="91"/>
      <x:c r="O1099" s="91"/>
      <x:c r="P1099" s="91"/>
      <x:c r="Q1099" s="91"/>
      <x:c r="R1099" s="91"/>
      <x:c r="S1099" s="85"/>
      <x:c r="U1099" s="86"/>
      <x:c r="V1099" s="32"/>
    </x:row>
    <x:row r="1100">
      <x:c r="A1100" s="87"/>
      <x:c r="B1100" s="88"/>
      <x:c r="D1100" s="32"/>
      <x:c r="G1100" s="74"/>
      <x:c r="H1100" s="74"/>
      <x:c r="I1100" s="74"/>
      <x:c r="J1100" s="74"/>
      <x:c r="K1100" s="74"/>
      <x:c r="L1100" s="74"/>
      <x:c r="M1100" s="74"/>
      <x:c r="N1100" s="91"/>
      <x:c r="O1100" s="91"/>
      <x:c r="P1100" s="91"/>
      <x:c r="Q1100" s="91"/>
      <x:c r="R1100" s="91"/>
      <x:c r="S1100" s="85"/>
      <x:c r="U1100" s="86"/>
      <x:c r="V1100" s="32"/>
    </x:row>
    <x:row r="1101">
      <x:c r="A1101" s="87"/>
      <x:c r="B1101" s="88"/>
      <x:c r="D1101" s="32"/>
      <x:c r="G1101" s="74"/>
      <x:c r="H1101" s="74"/>
      <x:c r="I1101" s="74"/>
      <x:c r="J1101" s="74"/>
      <x:c r="K1101" s="74"/>
      <x:c r="L1101" s="74"/>
      <x:c r="M1101" s="74"/>
      <x:c r="N1101" s="91"/>
      <x:c r="O1101" s="91"/>
      <x:c r="P1101" s="91"/>
      <x:c r="Q1101" s="91"/>
      <x:c r="R1101" s="91"/>
      <x:c r="S1101" s="85"/>
      <x:c r="U1101" s="86"/>
      <x:c r="V1101" s="32"/>
    </x:row>
    <x:row r="1102">
      <x:c r="A1102" s="87"/>
      <x:c r="B1102" s="88"/>
      <x:c r="D1102" s="32"/>
      <x:c r="G1102" s="74"/>
      <x:c r="H1102" s="74"/>
      <x:c r="I1102" s="74"/>
      <x:c r="J1102" s="74"/>
      <x:c r="K1102" s="74"/>
      <x:c r="L1102" s="74"/>
      <x:c r="M1102" s="74"/>
      <x:c r="N1102" s="91"/>
      <x:c r="O1102" s="91"/>
      <x:c r="P1102" s="91"/>
      <x:c r="Q1102" s="91"/>
      <x:c r="R1102" s="91"/>
      <x:c r="S1102" s="85"/>
      <x:c r="U1102" s="86"/>
      <x:c r="V1102" s="32"/>
    </x:row>
    <x:row r="1103">
      <x:c r="A1103" s="87"/>
      <x:c r="B1103" s="88"/>
      <x:c r="D1103" s="32"/>
      <x:c r="G1103" s="74"/>
      <x:c r="H1103" s="74"/>
      <x:c r="I1103" s="74"/>
      <x:c r="J1103" s="74"/>
      <x:c r="K1103" s="74"/>
      <x:c r="L1103" s="74"/>
      <x:c r="M1103" s="74"/>
      <x:c r="N1103" s="91"/>
      <x:c r="O1103" s="91"/>
      <x:c r="P1103" s="91"/>
      <x:c r="Q1103" s="91"/>
      <x:c r="R1103" s="91"/>
      <x:c r="S1103" s="85"/>
      <x:c r="U1103" s="86"/>
      <x:c r="V1103" s="32"/>
    </x:row>
    <x:row r="1104">
      <x:c r="A1104" s="87"/>
      <x:c r="B1104" s="88"/>
      <x:c r="D1104" s="32"/>
      <x:c r="G1104" s="74"/>
      <x:c r="H1104" s="74"/>
      <x:c r="I1104" s="74"/>
      <x:c r="J1104" s="74"/>
      <x:c r="K1104" s="74"/>
      <x:c r="L1104" s="74"/>
      <x:c r="M1104" s="74"/>
      <x:c r="N1104" s="91"/>
      <x:c r="O1104" s="91"/>
      <x:c r="P1104" s="91"/>
      <x:c r="Q1104" s="91"/>
      <x:c r="R1104" s="91"/>
      <x:c r="S1104" s="85"/>
      <x:c r="U1104" s="86"/>
      <x:c r="V1104" s="32"/>
    </x:row>
    <x:row r="1105">
      <x:c r="A1105" s="87"/>
      <x:c r="B1105" s="88"/>
      <x:c r="D1105" s="32"/>
      <x:c r="G1105" s="74"/>
      <x:c r="H1105" s="74"/>
      <x:c r="I1105" s="74"/>
      <x:c r="J1105" s="74"/>
      <x:c r="K1105" s="74"/>
      <x:c r="L1105" s="74"/>
      <x:c r="M1105" s="74"/>
      <x:c r="N1105" s="91"/>
      <x:c r="O1105" s="91"/>
      <x:c r="P1105" s="91"/>
      <x:c r="Q1105" s="91"/>
      <x:c r="R1105" s="91"/>
      <x:c r="S1105" s="85"/>
      <x:c r="U1105" s="86"/>
      <x:c r="V1105" s="32"/>
    </x:row>
    <x:row r="1106">
      <x:c r="A1106" s="87"/>
      <x:c r="B1106" s="88"/>
      <x:c r="D1106" s="32"/>
      <x:c r="G1106" s="74"/>
      <x:c r="H1106" s="74"/>
      <x:c r="I1106" s="74"/>
      <x:c r="J1106" s="74"/>
      <x:c r="K1106" s="74"/>
      <x:c r="L1106" s="74"/>
      <x:c r="M1106" s="74"/>
      <x:c r="N1106" s="91"/>
      <x:c r="O1106" s="91"/>
      <x:c r="P1106" s="91"/>
      <x:c r="Q1106" s="91"/>
      <x:c r="R1106" s="91"/>
      <x:c r="S1106" s="85"/>
      <x:c r="U1106" s="86"/>
      <x:c r="V1106" s="32"/>
    </x:row>
    <x:row r="1107">
      <x:c r="A1107" s="87"/>
      <x:c r="B1107" s="88"/>
      <x:c r="D1107" s="32"/>
      <x:c r="G1107" s="74"/>
      <x:c r="H1107" s="74"/>
      <x:c r="I1107" s="74"/>
      <x:c r="J1107" s="74"/>
      <x:c r="K1107" s="74"/>
      <x:c r="L1107" s="74"/>
      <x:c r="M1107" s="74"/>
      <x:c r="N1107" s="91"/>
      <x:c r="O1107" s="91"/>
      <x:c r="P1107" s="91"/>
      <x:c r="Q1107" s="91"/>
      <x:c r="R1107" s="91"/>
      <x:c r="S1107" s="85"/>
      <x:c r="U1107" s="86"/>
      <x:c r="V1107" s="32"/>
    </x:row>
    <x:row r="1108">
      <x:c r="A1108" s="87"/>
      <x:c r="B1108" s="88"/>
      <x:c r="D1108" s="32"/>
      <x:c r="G1108" s="74"/>
      <x:c r="H1108" s="74"/>
      <x:c r="I1108" s="74"/>
      <x:c r="J1108" s="74"/>
      <x:c r="K1108" s="74"/>
      <x:c r="L1108" s="74"/>
      <x:c r="M1108" s="74"/>
      <x:c r="N1108" s="91"/>
      <x:c r="O1108" s="91"/>
      <x:c r="P1108" s="91"/>
      <x:c r="Q1108" s="91"/>
      <x:c r="R1108" s="91"/>
      <x:c r="S1108" s="85"/>
      <x:c r="U1108" s="86"/>
      <x:c r="V1108" s="32"/>
    </x:row>
    <x:row r="1109">
      <x:c r="A1109" s="87"/>
      <x:c r="B1109" s="88"/>
      <x:c r="D1109" s="32"/>
      <x:c r="G1109" s="74"/>
      <x:c r="H1109" s="74"/>
      <x:c r="I1109" s="74"/>
      <x:c r="J1109" s="74"/>
      <x:c r="K1109" s="74"/>
      <x:c r="L1109" s="74"/>
      <x:c r="M1109" s="74"/>
      <x:c r="N1109" s="91"/>
      <x:c r="O1109" s="91"/>
      <x:c r="P1109" s="91"/>
      <x:c r="Q1109" s="91"/>
      <x:c r="R1109" s="91"/>
      <x:c r="S1109" s="85"/>
      <x:c r="U1109" s="86"/>
      <x:c r="V1109" s="32"/>
    </x:row>
    <x:row r="1110">
      <x:c r="A1110" s="87"/>
      <x:c r="B1110" s="88"/>
      <x:c r="D1110" s="32"/>
      <x:c r="G1110" s="74"/>
      <x:c r="H1110" s="74"/>
      <x:c r="I1110" s="74"/>
      <x:c r="J1110" s="74"/>
      <x:c r="K1110" s="74"/>
      <x:c r="L1110" s="74"/>
      <x:c r="M1110" s="74"/>
      <x:c r="N1110" s="91"/>
      <x:c r="O1110" s="91"/>
      <x:c r="P1110" s="91"/>
      <x:c r="Q1110" s="91"/>
      <x:c r="R1110" s="91"/>
      <x:c r="S1110" s="85"/>
      <x:c r="U1110" s="86"/>
      <x:c r="V1110" s="32"/>
    </x:row>
    <x:row r="1111">
      <x:c r="A1111" s="87"/>
      <x:c r="B1111" s="88"/>
      <x:c r="D1111" s="32"/>
      <x:c r="G1111" s="74"/>
      <x:c r="H1111" s="74"/>
      <x:c r="I1111" s="74"/>
      <x:c r="J1111" s="74"/>
      <x:c r="K1111" s="74"/>
      <x:c r="L1111" s="74"/>
      <x:c r="M1111" s="74"/>
      <x:c r="N1111" s="91"/>
      <x:c r="O1111" s="91"/>
      <x:c r="P1111" s="91"/>
      <x:c r="Q1111" s="91"/>
      <x:c r="R1111" s="91"/>
      <x:c r="S1111" s="85"/>
      <x:c r="U1111" s="86"/>
      <x:c r="V1111" s="32"/>
    </x:row>
    <x:row r="1112">
      <x:c r="A1112" s="87"/>
      <x:c r="B1112" s="88"/>
      <x:c r="D1112" s="32"/>
      <x:c r="G1112" s="74"/>
      <x:c r="H1112" s="74"/>
      <x:c r="I1112" s="74"/>
      <x:c r="J1112" s="74"/>
      <x:c r="K1112" s="74"/>
      <x:c r="L1112" s="74"/>
      <x:c r="M1112" s="74"/>
      <x:c r="N1112" s="91"/>
      <x:c r="O1112" s="91"/>
      <x:c r="P1112" s="91"/>
      <x:c r="Q1112" s="91"/>
      <x:c r="R1112" s="91"/>
      <x:c r="S1112" s="85"/>
      <x:c r="U1112" s="86"/>
      <x:c r="V1112" s="32"/>
    </x:row>
    <x:row r="1113">
      <x:c r="A1113" s="87"/>
      <x:c r="B1113" s="88"/>
      <x:c r="D1113" s="32"/>
      <x:c r="G1113" s="74"/>
      <x:c r="H1113" s="74"/>
      <x:c r="I1113" s="74"/>
      <x:c r="J1113" s="74"/>
      <x:c r="K1113" s="74"/>
      <x:c r="L1113" s="74"/>
      <x:c r="M1113" s="74"/>
      <x:c r="N1113" s="91"/>
      <x:c r="O1113" s="91"/>
      <x:c r="P1113" s="91"/>
      <x:c r="Q1113" s="91"/>
      <x:c r="R1113" s="91"/>
      <x:c r="S1113" s="85"/>
      <x:c r="U1113" s="86"/>
      <x:c r="V1113" s="32"/>
    </x:row>
    <x:row r="1114">
      <x:c r="A1114" s="87"/>
      <x:c r="B1114" s="88"/>
      <x:c r="D1114" s="32"/>
      <x:c r="G1114" s="74"/>
      <x:c r="H1114" s="74"/>
      <x:c r="I1114" s="74"/>
      <x:c r="J1114" s="74"/>
      <x:c r="K1114" s="74"/>
      <x:c r="L1114" s="74"/>
      <x:c r="M1114" s="74"/>
      <x:c r="N1114" s="91"/>
      <x:c r="O1114" s="91"/>
      <x:c r="P1114" s="91"/>
      <x:c r="Q1114" s="91"/>
      <x:c r="R1114" s="91"/>
      <x:c r="S1114" s="85"/>
      <x:c r="U1114" s="86"/>
      <x:c r="V1114" s="32"/>
    </x:row>
    <x:row r="1115">
      <x:c r="A1115" s="87"/>
      <x:c r="B1115" s="88"/>
      <x:c r="D1115" s="32"/>
      <x:c r="G1115" s="74"/>
      <x:c r="H1115" s="74"/>
      <x:c r="I1115" s="74"/>
      <x:c r="J1115" s="74"/>
      <x:c r="K1115" s="74"/>
      <x:c r="L1115" s="74"/>
      <x:c r="M1115" s="74"/>
      <x:c r="N1115" s="91"/>
      <x:c r="O1115" s="91"/>
      <x:c r="P1115" s="91"/>
      <x:c r="Q1115" s="91"/>
      <x:c r="R1115" s="91"/>
      <x:c r="S1115" s="85"/>
      <x:c r="U1115" s="86"/>
      <x:c r="V1115" s="32"/>
    </x:row>
    <x:row r="1116">
      <x:c r="A1116" s="87"/>
      <x:c r="B1116" s="88"/>
      <x:c r="D1116" s="32"/>
      <x:c r="G1116" s="74"/>
      <x:c r="H1116" s="74"/>
      <x:c r="I1116" s="74"/>
      <x:c r="J1116" s="74"/>
      <x:c r="K1116" s="74"/>
      <x:c r="L1116" s="74"/>
      <x:c r="M1116" s="74"/>
      <x:c r="N1116" s="91"/>
      <x:c r="O1116" s="91"/>
      <x:c r="P1116" s="91"/>
      <x:c r="Q1116" s="91"/>
      <x:c r="R1116" s="91"/>
      <x:c r="S1116" s="85"/>
      <x:c r="U1116" s="86"/>
      <x:c r="V1116" s="32"/>
    </x:row>
    <x:row r="1117">
      <x:c r="A1117" s="87"/>
      <x:c r="B1117" s="88"/>
      <x:c r="D1117" s="32"/>
      <x:c r="G1117" s="74"/>
      <x:c r="H1117" s="74"/>
      <x:c r="I1117" s="74"/>
      <x:c r="J1117" s="74"/>
      <x:c r="K1117" s="74"/>
      <x:c r="L1117" s="74"/>
      <x:c r="M1117" s="74"/>
      <x:c r="N1117" s="91"/>
      <x:c r="O1117" s="91"/>
      <x:c r="P1117" s="91"/>
      <x:c r="Q1117" s="91"/>
      <x:c r="R1117" s="91"/>
      <x:c r="S1117" s="85"/>
      <x:c r="U1117" s="86"/>
      <x:c r="V1117" s="32"/>
    </x:row>
    <x:row r="1118">
      <x:c r="A1118" s="87"/>
      <x:c r="B1118" s="88"/>
      <x:c r="D1118" s="32"/>
      <x:c r="G1118" s="74"/>
      <x:c r="H1118" s="74"/>
      <x:c r="I1118" s="74"/>
      <x:c r="J1118" s="74"/>
      <x:c r="K1118" s="74"/>
      <x:c r="L1118" s="74"/>
      <x:c r="M1118" s="74"/>
      <x:c r="N1118" s="91"/>
      <x:c r="O1118" s="91"/>
      <x:c r="P1118" s="91"/>
      <x:c r="Q1118" s="91"/>
      <x:c r="R1118" s="91"/>
      <x:c r="S1118" s="85"/>
      <x:c r="U1118" s="86"/>
      <x:c r="V1118" s="32"/>
    </x:row>
    <x:row r="1119">
      <x:c r="A1119" s="87"/>
      <x:c r="B1119" s="88"/>
      <x:c r="D1119" s="32"/>
      <x:c r="G1119" s="74"/>
      <x:c r="H1119" s="74"/>
      <x:c r="I1119" s="74"/>
      <x:c r="J1119" s="74"/>
      <x:c r="K1119" s="74"/>
      <x:c r="L1119" s="74"/>
      <x:c r="M1119" s="74"/>
      <x:c r="N1119" s="91"/>
      <x:c r="O1119" s="91"/>
      <x:c r="P1119" s="91"/>
      <x:c r="Q1119" s="91"/>
      <x:c r="R1119" s="91"/>
      <x:c r="S1119" s="85"/>
      <x:c r="U1119" s="86"/>
      <x:c r="V1119" s="32"/>
    </x:row>
    <x:row r="1120">
      <x:c r="A1120" s="87"/>
      <x:c r="B1120" s="88"/>
      <x:c r="D1120" s="32"/>
      <x:c r="G1120" s="74"/>
      <x:c r="H1120" s="74"/>
      <x:c r="I1120" s="74"/>
      <x:c r="J1120" s="74"/>
      <x:c r="K1120" s="74"/>
      <x:c r="L1120" s="74"/>
      <x:c r="M1120" s="74"/>
      <x:c r="N1120" s="91"/>
      <x:c r="O1120" s="91"/>
      <x:c r="P1120" s="91"/>
      <x:c r="Q1120" s="91"/>
      <x:c r="R1120" s="91"/>
      <x:c r="S1120" s="85"/>
      <x:c r="U1120" s="86"/>
      <x:c r="V1120" s="32"/>
    </x:row>
    <x:row r="1121">
      <x:c r="A1121" s="87"/>
      <x:c r="B1121" s="88"/>
      <x:c r="D1121" s="32"/>
      <x:c r="G1121" s="74"/>
      <x:c r="H1121" s="74"/>
      <x:c r="I1121" s="74"/>
      <x:c r="J1121" s="74"/>
      <x:c r="K1121" s="74"/>
      <x:c r="L1121" s="74"/>
      <x:c r="M1121" s="74"/>
      <x:c r="N1121" s="91"/>
      <x:c r="O1121" s="91"/>
      <x:c r="P1121" s="91"/>
      <x:c r="Q1121" s="91"/>
      <x:c r="R1121" s="91"/>
      <x:c r="S1121" s="85"/>
      <x:c r="U1121" s="86"/>
      <x:c r="V1121" s="32"/>
    </x:row>
    <x:row r="1122">
      <x:c r="A1122" s="87"/>
      <x:c r="B1122" s="88"/>
      <x:c r="D1122" s="32"/>
      <x:c r="G1122" s="74"/>
      <x:c r="H1122" s="74"/>
      <x:c r="I1122" s="74"/>
      <x:c r="J1122" s="74"/>
      <x:c r="K1122" s="74"/>
      <x:c r="L1122" s="74"/>
      <x:c r="M1122" s="74"/>
      <x:c r="N1122" s="91"/>
      <x:c r="O1122" s="91"/>
      <x:c r="P1122" s="91"/>
      <x:c r="Q1122" s="91"/>
      <x:c r="R1122" s="91"/>
      <x:c r="S1122" s="85"/>
      <x:c r="U1122" s="86"/>
      <x:c r="V1122" s="32"/>
    </x:row>
    <x:row r="1123">
      <x:c r="A1123" s="87"/>
      <x:c r="B1123" s="88"/>
      <x:c r="D1123" s="32"/>
      <x:c r="G1123" s="74"/>
      <x:c r="H1123" s="74"/>
      <x:c r="I1123" s="74"/>
      <x:c r="J1123" s="74"/>
      <x:c r="K1123" s="74"/>
      <x:c r="L1123" s="74"/>
      <x:c r="M1123" s="74"/>
      <x:c r="N1123" s="91"/>
      <x:c r="O1123" s="91"/>
      <x:c r="P1123" s="91"/>
      <x:c r="Q1123" s="91"/>
      <x:c r="R1123" s="91"/>
      <x:c r="S1123" s="85"/>
      <x:c r="U1123" s="86"/>
      <x:c r="V1123" s="32"/>
    </x:row>
    <x:row r="1124">
      <x:c r="A1124" s="87"/>
      <x:c r="B1124" s="88"/>
      <x:c r="D1124" s="32"/>
      <x:c r="G1124" s="74"/>
      <x:c r="H1124" s="74"/>
      <x:c r="I1124" s="74"/>
      <x:c r="J1124" s="74"/>
      <x:c r="K1124" s="74"/>
      <x:c r="L1124" s="74"/>
      <x:c r="M1124" s="74"/>
      <x:c r="N1124" s="91"/>
      <x:c r="O1124" s="91"/>
      <x:c r="P1124" s="91"/>
      <x:c r="Q1124" s="91"/>
      <x:c r="R1124" s="91"/>
      <x:c r="S1124" s="85"/>
      <x:c r="U1124" s="86"/>
      <x:c r="V1124" s="32"/>
    </x:row>
    <x:row r="1125">
      <x:c r="A1125" s="87"/>
      <x:c r="B1125" s="88"/>
      <x:c r="D1125" s="32"/>
      <x:c r="G1125" s="74"/>
      <x:c r="H1125" s="74"/>
      <x:c r="I1125" s="74"/>
      <x:c r="J1125" s="74"/>
      <x:c r="K1125" s="74"/>
      <x:c r="L1125" s="74"/>
      <x:c r="M1125" s="74"/>
      <x:c r="N1125" s="91"/>
      <x:c r="O1125" s="91"/>
      <x:c r="P1125" s="91"/>
      <x:c r="Q1125" s="91"/>
      <x:c r="R1125" s="91"/>
      <x:c r="S1125" s="85"/>
      <x:c r="U1125" s="86"/>
      <x:c r="V1125" s="32"/>
    </x:row>
    <x:row r="1126">
      <x:c r="A1126" s="87"/>
      <x:c r="B1126" s="88"/>
      <x:c r="D1126" s="32"/>
      <x:c r="G1126" s="74"/>
      <x:c r="H1126" s="74"/>
      <x:c r="I1126" s="74"/>
      <x:c r="J1126" s="74"/>
      <x:c r="K1126" s="74"/>
      <x:c r="L1126" s="74"/>
      <x:c r="M1126" s="74"/>
      <x:c r="N1126" s="91"/>
      <x:c r="O1126" s="91"/>
      <x:c r="P1126" s="91"/>
      <x:c r="Q1126" s="91"/>
      <x:c r="R1126" s="91"/>
      <x:c r="S1126" s="85"/>
      <x:c r="U1126" s="86"/>
      <x:c r="V1126" s="32"/>
    </x:row>
    <x:row r="1127">
      <x:c r="A1127" s="87"/>
      <x:c r="B1127" s="88"/>
      <x:c r="D1127" s="32"/>
      <x:c r="G1127" s="74"/>
      <x:c r="H1127" s="74"/>
      <x:c r="I1127" s="74"/>
      <x:c r="J1127" s="74"/>
      <x:c r="K1127" s="74"/>
      <x:c r="L1127" s="74"/>
      <x:c r="M1127" s="74"/>
      <x:c r="N1127" s="91"/>
      <x:c r="O1127" s="91"/>
      <x:c r="P1127" s="91"/>
      <x:c r="Q1127" s="91"/>
      <x:c r="R1127" s="91"/>
      <x:c r="S1127" s="85"/>
      <x:c r="U1127" s="86"/>
      <x:c r="V1127" s="32"/>
    </x:row>
    <x:row r="1128">
      <x:c r="A1128" s="87"/>
      <x:c r="B1128" s="88"/>
      <x:c r="D1128" s="32"/>
      <x:c r="G1128" s="74"/>
      <x:c r="H1128" s="74"/>
      <x:c r="I1128" s="74"/>
      <x:c r="J1128" s="74"/>
      <x:c r="K1128" s="74"/>
      <x:c r="L1128" s="74"/>
      <x:c r="M1128" s="74"/>
      <x:c r="N1128" s="91"/>
      <x:c r="O1128" s="91"/>
      <x:c r="P1128" s="91"/>
      <x:c r="Q1128" s="91"/>
      <x:c r="R1128" s="91"/>
      <x:c r="S1128" s="85"/>
      <x:c r="U1128" s="86"/>
      <x:c r="V1128" s="32"/>
    </x:row>
    <x:row r="1129">
      <x:c r="A1129" s="87"/>
      <x:c r="B1129" s="88"/>
      <x:c r="D1129" s="32"/>
      <x:c r="G1129" s="74"/>
      <x:c r="H1129" s="74"/>
      <x:c r="I1129" s="74"/>
      <x:c r="J1129" s="74"/>
      <x:c r="K1129" s="74"/>
      <x:c r="L1129" s="74"/>
      <x:c r="M1129" s="74"/>
      <x:c r="N1129" s="91"/>
      <x:c r="O1129" s="91"/>
      <x:c r="P1129" s="91"/>
      <x:c r="Q1129" s="91"/>
      <x:c r="R1129" s="91"/>
      <x:c r="S1129" s="85"/>
      <x:c r="U1129" s="86"/>
      <x:c r="V1129" s="32"/>
    </x:row>
    <x:row r="1130">
      <x:c r="A1130" s="87"/>
      <x:c r="B1130" s="88"/>
      <x:c r="D1130" s="32"/>
      <x:c r="G1130" s="74"/>
      <x:c r="H1130" s="74"/>
      <x:c r="I1130" s="74"/>
      <x:c r="J1130" s="74"/>
      <x:c r="K1130" s="74"/>
      <x:c r="L1130" s="74"/>
      <x:c r="M1130" s="74"/>
      <x:c r="N1130" s="91"/>
      <x:c r="O1130" s="91"/>
      <x:c r="P1130" s="91"/>
      <x:c r="Q1130" s="91"/>
      <x:c r="R1130" s="91"/>
      <x:c r="S1130" s="85"/>
      <x:c r="U1130" s="86"/>
      <x:c r="V1130" s="32"/>
    </x:row>
    <x:row r="1131">
      <x:c r="A1131" s="87"/>
      <x:c r="B1131" s="88"/>
      <x:c r="D1131" s="32"/>
      <x:c r="G1131" s="74"/>
      <x:c r="H1131" s="74"/>
      <x:c r="I1131" s="74"/>
      <x:c r="J1131" s="74"/>
      <x:c r="K1131" s="74"/>
      <x:c r="L1131" s="74"/>
      <x:c r="M1131" s="74"/>
      <x:c r="N1131" s="91"/>
      <x:c r="O1131" s="91"/>
      <x:c r="P1131" s="91"/>
      <x:c r="Q1131" s="91"/>
      <x:c r="R1131" s="91"/>
      <x:c r="S1131" s="85"/>
      <x:c r="U1131" s="86"/>
      <x:c r="V1131" s="32"/>
    </x:row>
    <x:row r="1132">
      <x:c r="A1132" s="87"/>
      <x:c r="B1132" s="88"/>
      <x:c r="D1132" s="32"/>
      <x:c r="G1132" s="74"/>
      <x:c r="H1132" s="74"/>
      <x:c r="I1132" s="74"/>
      <x:c r="J1132" s="74"/>
      <x:c r="K1132" s="74"/>
      <x:c r="L1132" s="74"/>
      <x:c r="M1132" s="74"/>
      <x:c r="N1132" s="91"/>
      <x:c r="O1132" s="91"/>
      <x:c r="P1132" s="91"/>
      <x:c r="Q1132" s="91"/>
      <x:c r="R1132" s="91"/>
      <x:c r="S1132" s="85"/>
      <x:c r="U1132" s="86"/>
      <x:c r="V1132" s="32"/>
    </x:row>
    <x:row r="1133">
      <x:c r="A1133" s="87"/>
      <x:c r="B1133" s="88"/>
      <x:c r="D1133" s="32"/>
      <x:c r="G1133" s="74"/>
      <x:c r="H1133" s="74"/>
      <x:c r="I1133" s="74"/>
      <x:c r="J1133" s="74"/>
      <x:c r="K1133" s="74"/>
      <x:c r="L1133" s="74"/>
      <x:c r="M1133" s="74"/>
      <x:c r="N1133" s="91"/>
      <x:c r="O1133" s="91"/>
      <x:c r="P1133" s="91"/>
      <x:c r="Q1133" s="91"/>
      <x:c r="R1133" s="91"/>
      <x:c r="S1133" s="85"/>
      <x:c r="U1133" s="86"/>
      <x:c r="V1133" s="32"/>
    </x:row>
    <x:row r="1134">
      <x:c r="A1134" s="87"/>
      <x:c r="B1134" s="88"/>
      <x:c r="D1134" s="32"/>
      <x:c r="G1134" s="74"/>
      <x:c r="H1134" s="74"/>
      <x:c r="I1134" s="74"/>
      <x:c r="J1134" s="74"/>
      <x:c r="K1134" s="74"/>
      <x:c r="L1134" s="74"/>
      <x:c r="M1134" s="74"/>
      <x:c r="N1134" s="91"/>
      <x:c r="O1134" s="91"/>
      <x:c r="P1134" s="91"/>
      <x:c r="Q1134" s="91"/>
      <x:c r="R1134" s="91"/>
      <x:c r="S1134" s="85"/>
      <x:c r="U1134" s="86"/>
      <x:c r="V1134" s="32"/>
    </x:row>
    <x:row r="1135">
      <x:c r="A1135" s="87"/>
      <x:c r="B1135" s="88"/>
      <x:c r="D1135" s="32"/>
      <x:c r="G1135" s="74"/>
      <x:c r="H1135" s="74"/>
      <x:c r="I1135" s="74"/>
      <x:c r="J1135" s="74"/>
      <x:c r="K1135" s="74"/>
      <x:c r="L1135" s="74"/>
      <x:c r="M1135" s="74"/>
      <x:c r="N1135" s="91"/>
      <x:c r="O1135" s="91"/>
      <x:c r="P1135" s="91"/>
      <x:c r="Q1135" s="91"/>
      <x:c r="R1135" s="91"/>
      <x:c r="S1135" s="85"/>
      <x:c r="U1135" s="86"/>
      <x:c r="V1135" s="32"/>
    </x:row>
    <x:row r="1136">
      <x:c r="A1136" s="87"/>
      <x:c r="B1136" s="88"/>
      <x:c r="D1136" s="32"/>
      <x:c r="G1136" s="74"/>
      <x:c r="H1136" s="74"/>
      <x:c r="I1136" s="74"/>
      <x:c r="J1136" s="74"/>
      <x:c r="K1136" s="74"/>
      <x:c r="L1136" s="74"/>
      <x:c r="M1136" s="74"/>
      <x:c r="N1136" s="91"/>
      <x:c r="O1136" s="91"/>
      <x:c r="P1136" s="91"/>
      <x:c r="Q1136" s="91"/>
      <x:c r="R1136" s="91"/>
      <x:c r="S1136" s="85"/>
      <x:c r="U1136" s="86"/>
      <x:c r="V1136" s="32"/>
    </x:row>
    <x:row r="1137">
      <x:c r="A1137" s="87"/>
      <x:c r="B1137" s="88"/>
      <x:c r="D1137" s="32"/>
      <x:c r="G1137" s="74"/>
      <x:c r="H1137" s="74"/>
      <x:c r="I1137" s="74"/>
      <x:c r="J1137" s="74"/>
      <x:c r="K1137" s="74"/>
      <x:c r="L1137" s="74"/>
      <x:c r="M1137" s="74"/>
      <x:c r="N1137" s="91"/>
      <x:c r="O1137" s="91"/>
      <x:c r="P1137" s="91"/>
      <x:c r="Q1137" s="91"/>
      <x:c r="R1137" s="91"/>
      <x:c r="S1137" s="85"/>
      <x:c r="U1137" s="86"/>
      <x:c r="V1137" s="32"/>
    </x:row>
    <x:row r="1138">
      <x:c r="A1138" s="87"/>
      <x:c r="B1138" s="88"/>
      <x:c r="D1138" s="32"/>
      <x:c r="G1138" s="74"/>
      <x:c r="H1138" s="74"/>
      <x:c r="I1138" s="74"/>
      <x:c r="J1138" s="74"/>
      <x:c r="K1138" s="74"/>
      <x:c r="L1138" s="74"/>
      <x:c r="M1138" s="74"/>
      <x:c r="N1138" s="91"/>
      <x:c r="O1138" s="91"/>
      <x:c r="P1138" s="91"/>
      <x:c r="Q1138" s="91"/>
      <x:c r="R1138" s="91"/>
      <x:c r="S1138" s="85"/>
      <x:c r="U1138" s="86"/>
      <x:c r="V1138" s="32"/>
    </x:row>
    <x:row r="1139">
      <x:c r="A1139" s="87"/>
      <x:c r="B1139" s="88"/>
      <x:c r="D1139" s="32"/>
      <x:c r="G1139" s="74"/>
      <x:c r="H1139" s="74"/>
      <x:c r="I1139" s="74"/>
      <x:c r="J1139" s="74"/>
      <x:c r="K1139" s="74"/>
      <x:c r="L1139" s="74"/>
      <x:c r="M1139" s="74"/>
      <x:c r="N1139" s="91"/>
      <x:c r="O1139" s="91"/>
      <x:c r="P1139" s="91"/>
      <x:c r="Q1139" s="91"/>
      <x:c r="R1139" s="91"/>
      <x:c r="S1139" s="85"/>
      <x:c r="U1139" s="86"/>
      <x:c r="V1139" s="32"/>
    </x:row>
    <x:row r="1140">
      <x:c r="A1140" s="87"/>
      <x:c r="B1140" s="88"/>
      <x:c r="D1140" s="32"/>
      <x:c r="G1140" s="74"/>
      <x:c r="H1140" s="74"/>
      <x:c r="I1140" s="74"/>
      <x:c r="J1140" s="74"/>
      <x:c r="K1140" s="74"/>
      <x:c r="L1140" s="74"/>
      <x:c r="M1140" s="74"/>
      <x:c r="N1140" s="91"/>
      <x:c r="O1140" s="91"/>
      <x:c r="P1140" s="91"/>
      <x:c r="Q1140" s="91"/>
      <x:c r="R1140" s="91"/>
      <x:c r="S1140" s="85"/>
      <x:c r="U1140" s="86"/>
      <x:c r="V1140" s="32"/>
    </x:row>
    <x:row r="1141">
      <x:c r="A1141" s="87"/>
      <x:c r="B1141" s="88"/>
      <x:c r="D1141" s="32"/>
      <x:c r="G1141" s="74"/>
      <x:c r="H1141" s="74"/>
      <x:c r="I1141" s="74"/>
      <x:c r="J1141" s="74"/>
      <x:c r="K1141" s="74"/>
      <x:c r="L1141" s="74"/>
      <x:c r="M1141" s="74"/>
      <x:c r="N1141" s="91"/>
      <x:c r="O1141" s="91"/>
      <x:c r="P1141" s="91"/>
      <x:c r="Q1141" s="91"/>
      <x:c r="R1141" s="91"/>
      <x:c r="S1141" s="85"/>
      <x:c r="U1141" s="86"/>
      <x:c r="V1141" s="32"/>
    </x:row>
    <x:row r="1142">
      <x:c r="A1142" s="87"/>
      <x:c r="B1142" s="88"/>
      <x:c r="D1142" s="32"/>
      <x:c r="G1142" s="74"/>
      <x:c r="H1142" s="74"/>
      <x:c r="I1142" s="74"/>
      <x:c r="J1142" s="74"/>
      <x:c r="K1142" s="74"/>
      <x:c r="L1142" s="74"/>
      <x:c r="M1142" s="74"/>
      <x:c r="N1142" s="91"/>
      <x:c r="O1142" s="91"/>
      <x:c r="P1142" s="91"/>
      <x:c r="Q1142" s="91"/>
      <x:c r="R1142" s="91"/>
      <x:c r="S1142" s="85"/>
      <x:c r="U1142" s="86"/>
      <x:c r="V1142" s="32"/>
    </x:row>
    <x:row r="1143">
      <x:c r="A1143" s="87"/>
      <x:c r="B1143" s="88"/>
      <x:c r="D1143" s="32"/>
      <x:c r="G1143" s="74"/>
      <x:c r="H1143" s="74"/>
      <x:c r="I1143" s="74"/>
      <x:c r="J1143" s="74"/>
      <x:c r="K1143" s="74"/>
      <x:c r="L1143" s="74"/>
      <x:c r="M1143" s="74"/>
      <x:c r="N1143" s="91"/>
      <x:c r="O1143" s="91"/>
      <x:c r="P1143" s="91"/>
      <x:c r="Q1143" s="91"/>
      <x:c r="R1143" s="91"/>
      <x:c r="S1143" s="85"/>
      <x:c r="U1143" s="86"/>
      <x:c r="V1143" s="32"/>
    </x:row>
    <x:row r="1144">
      <x:c r="A1144" s="87"/>
      <x:c r="B1144" s="88"/>
      <x:c r="D1144" s="32"/>
      <x:c r="G1144" s="74"/>
      <x:c r="H1144" s="74"/>
      <x:c r="I1144" s="74"/>
      <x:c r="J1144" s="74"/>
      <x:c r="K1144" s="74"/>
      <x:c r="L1144" s="74"/>
      <x:c r="M1144" s="74"/>
      <x:c r="N1144" s="91"/>
      <x:c r="O1144" s="91"/>
      <x:c r="P1144" s="91"/>
      <x:c r="Q1144" s="91"/>
      <x:c r="R1144" s="91"/>
      <x:c r="S1144" s="85"/>
      <x:c r="U1144" s="86"/>
      <x:c r="V1144" s="32"/>
    </x:row>
    <x:row r="1145">
      <x:c r="A1145" s="87"/>
      <x:c r="B1145" s="88"/>
      <x:c r="D1145" s="32"/>
      <x:c r="G1145" s="74"/>
      <x:c r="H1145" s="74"/>
      <x:c r="I1145" s="74"/>
      <x:c r="J1145" s="74"/>
      <x:c r="K1145" s="74"/>
      <x:c r="L1145" s="74"/>
      <x:c r="M1145" s="74"/>
      <x:c r="N1145" s="91"/>
      <x:c r="O1145" s="91"/>
      <x:c r="P1145" s="91"/>
      <x:c r="Q1145" s="91"/>
      <x:c r="R1145" s="91"/>
      <x:c r="S1145" s="85"/>
      <x:c r="U1145" s="86"/>
      <x:c r="V1145" s="32"/>
    </x:row>
    <x:row r="1146">
      <x:c r="A1146" s="87"/>
      <x:c r="B1146" s="88"/>
      <x:c r="D1146" s="32"/>
      <x:c r="G1146" s="74"/>
      <x:c r="H1146" s="74"/>
      <x:c r="I1146" s="74"/>
      <x:c r="J1146" s="74"/>
      <x:c r="K1146" s="74"/>
      <x:c r="L1146" s="74"/>
      <x:c r="M1146" s="74"/>
      <x:c r="N1146" s="91"/>
      <x:c r="O1146" s="91"/>
      <x:c r="P1146" s="91"/>
      <x:c r="Q1146" s="91"/>
      <x:c r="R1146" s="91"/>
      <x:c r="S1146" s="85"/>
      <x:c r="U1146" s="86"/>
      <x:c r="V1146" s="32"/>
    </x:row>
    <x:row r="1147">
      <x:c r="A1147" s="87"/>
      <x:c r="B1147" s="88"/>
      <x:c r="D1147" s="32"/>
      <x:c r="G1147" s="74"/>
      <x:c r="H1147" s="74"/>
      <x:c r="I1147" s="74"/>
      <x:c r="J1147" s="74"/>
      <x:c r="K1147" s="74"/>
      <x:c r="L1147" s="74"/>
      <x:c r="M1147" s="74"/>
      <x:c r="N1147" s="91"/>
      <x:c r="O1147" s="91"/>
      <x:c r="P1147" s="91"/>
      <x:c r="Q1147" s="91"/>
      <x:c r="R1147" s="91"/>
      <x:c r="S1147" s="85"/>
      <x:c r="U1147" s="86"/>
      <x:c r="V1147" s="32"/>
    </x:row>
  </x:sheetData>
  <x:conditionalFormatting sqref="B2:B2 C2:C10 D2:R2 S2:S167 T2:T2">
    <x:cfRule type="expression" dxfId="0" priority="1">
      <x:formula>$T2="Done"</x:formula>
    </x:cfRule>
  </x:conditionalFormatting>
  <x:conditionalFormatting sqref="B2:B2 C2:C10 D2:R2 S2:S167 T2:T2">
    <x:cfRule type="expression" dxfId="1" priority="2">
      <x:formula>AND(NOT($T2="Done"), OR(#REF!="Đã CK Anh", #REF!="Đã CK Em"))</x:formula>
    </x:cfRule>
  </x:conditionalFormatting>
  <x:conditionalFormatting sqref="N2:R2 S2:S167">
    <x:cfRule type="expression" dxfId="1" priority="3">
      <x:formula>AND(NOT(#REF!="Done"), OR(#REF!="Đã CK Anh", #REF!="Đã CK Em"))</x:formula>
    </x:cfRule>
  </x:conditionalFormatting>
  <x:conditionalFormatting sqref="N2:R2 S2:S167">
    <x:cfRule type="expression" dxfId="0" priority="4">
      <x:formula>#REF!="Done"</x:formula>
    </x:cfRule>
  </x:conditionalFormatting>
  <x:conditionalFormatting sqref="C2:C10 B3:B4 D3:T4 S22:S23 S42:S43 S62:S63 S82:S83 S102:S103 S122:S123">
    <x:cfRule type="expression" dxfId="0" priority="5">
      <x:formula>$T2="Done"</x:formula>
    </x:cfRule>
  </x:conditionalFormatting>
  <x:conditionalFormatting sqref="C2:C10 B3:B4 D3:T4 S22:S23 S42:S43 S62:S63 S82:S83 S102:S103 S122:S123">
    <x:cfRule type="expression" dxfId="1" priority="6">
      <x:formula>AND(NOT($T2="Done"), OR(#REF!="Đã CK Anh", #REF!="Đã CK Em"))</x:formula>
    </x:cfRule>
  </x:conditionalFormatting>
  <x:conditionalFormatting sqref="N3:S4 S22:S23 S42:S43 S62:S63 S82:S83 S102:S103 S122:S123">
    <x:cfRule type="expression" dxfId="1" priority="7">
      <x:formula>AND(NOT(#REF!="Done"), OR(#REF!="Đã CK Anh", #REF!="Đã CK Em"))</x:formula>
    </x:cfRule>
  </x:conditionalFormatting>
  <x:conditionalFormatting sqref="N3:S4 S22:S23 S42:S43 S62:S63 S82:S83 S102:S103 S122:S123">
    <x:cfRule type="expression" dxfId="0" priority="8">
      <x:formula>#REF!="Done"</x:formula>
    </x:cfRule>
  </x:conditionalFormatting>
  <x:conditionalFormatting sqref="N2:R2 S2:S167 N5:R167">
    <x:cfRule type="expression" dxfId="0" priority="9">
      <x:formula>$U2="Done"</x:formula>
    </x:cfRule>
  </x:conditionalFormatting>
  <x:conditionalFormatting sqref="N2:R2 S2:S167 N5:R167">
    <x:cfRule type="expression" dxfId="1" priority="10">
      <x:formula>AND(NOT($U2="Done"), OR($V2="Đã CK Anh", $V2="Đã CK Em"))</x:formula>
    </x:cfRule>
  </x:conditionalFormatting>
  <x:conditionalFormatting sqref="A82:A86 B82:T83 B86:B86 C86:C97 D86:D87 A88:A88 A90:A90 A92:A167 B109:D109">
    <x:cfRule type="expression" dxfId="1" priority="11">
      <x:formula>AND(NOT($T82="Done"), OR($U82="Đã CK Anh", $U82="Đã CK Em"))</x:formula>
    </x:cfRule>
  </x:conditionalFormatting>
  <x:conditionalFormatting sqref="A82:A86 B82:T83 B86:B86 C86:C97 D86:D87 A88:A88 A90:A90 A92:A167 B109:D109">
    <x:cfRule type="expression" dxfId="0" priority="12">
      <x:formula>$T82="Done"</x:formula>
    </x:cfRule>
  </x:conditionalFormatting>
  <x:conditionalFormatting sqref="A168:B169">
    <x:cfRule type="expression" dxfId="0" priority="13">
      <x:formula>$M168="Done"</x:formula>
    </x:cfRule>
  </x:conditionalFormatting>
  <x:conditionalFormatting sqref="A168:B169">
    <x:cfRule type="expression" dxfId="1" priority="14">
      <x:formula>AND(NOT($M168="Done"), OR($G168="Đã CK Anh", $G168="Đã CK Em"))</x:formula>
    </x:cfRule>
  </x:conditionalFormatting>
  <x:conditionalFormatting sqref="A2:A1147 B2:B2 C2:C81 D2:R2 S2:S1147 T2:T2 B5:B81 D5:M81 N5:R1147 T5:T81 B84:M1147 T84:T1147">
    <x:cfRule type="expression" dxfId="0" priority="15">
      <x:formula>$T2="Done"</x:formula>
    </x:cfRule>
  </x:conditionalFormatting>
  <x:conditionalFormatting sqref="A2:A1147 B2:B2 C2:C81 D2:R2 S2:S1147 T2:T2 B5:B81 D5:M81 N5:R1147 T5:T81 B84:M1147 T84:T1147">
    <x:cfRule type="expression" dxfId="1" priority="16">
      <x:formula>AND(NOT($T2="Done"), OR($U2="Đã CK Anh", $U2="Đã CK Em"))</x:formula>
    </x:cfRule>
  </x:conditionalFormatting>
  <x:conditionalFormatting sqref="U3:U4">
    <x:cfRule type="notContainsBlanks" dxfId="0" priority="17">
      <x:formula>LEN(TRIM(U3))&gt;0</x:formula>
    </x:cfRule>
  </x:conditionalFormatting>
  <x:dataValidations count="1">
    <x:dataValidation type="list" allowBlank="1" showErrorMessage="1" sqref="U2:U1147">
      <x:formula1>"Chưa CK,Đã CK Anh,Đã CK Em"</x:formula1>
    </x:dataValidation>
  </x:dataValidations>
  <x:hyperlinks>
    <x:hyperlink xmlns:r="http://schemas.openxmlformats.org/officeDocument/2006/relationships" ref="D2" r:id="R7ab0d6f8d4dc4cec"/>
    <x:hyperlink xmlns:r="http://schemas.openxmlformats.org/officeDocument/2006/relationships" ref="D3" r:id="R135fa112860846d6"/>
    <x:hyperlink xmlns:r="http://schemas.openxmlformats.org/officeDocument/2006/relationships" ref="D4" r:id="R4f4c94b5eaa8495b"/>
    <x:hyperlink xmlns:r="http://schemas.openxmlformats.org/officeDocument/2006/relationships" ref="D5" r:id="R2c007806255342fe"/>
    <x:hyperlink xmlns:r="http://schemas.openxmlformats.org/officeDocument/2006/relationships" ref="D6" r:id="R658cce5f61484b76"/>
    <x:hyperlink xmlns:r="http://schemas.openxmlformats.org/officeDocument/2006/relationships" ref="D7" r:id="R177b039e3cfb4af1"/>
    <x:hyperlink xmlns:r="http://schemas.openxmlformats.org/officeDocument/2006/relationships" ref="D8" r:id="R6d6eca2e8275422c"/>
    <x:hyperlink xmlns:r="http://schemas.openxmlformats.org/officeDocument/2006/relationships" ref="D9" r:id="R4c275d4f2a2849b5"/>
    <x:hyperlink xmlns:r="http://schemas.openxmlformats.org/officeDocument/2006/relationships" ref="D10" r:id="R1cae8ccdc16e4d45"/>
    <x:hyperlink xmlns:r="http://schemas.openxmlformats.org/officeDocument/2006/relationships" ref="D11" r:id="Rac7109a340f24a51"/>
    <x:hyperlink xmlns:r="http://schemas.openxmlformats.org/officeDocument/2006/relationships" ref="D12" r:id="R5befb0bcc63749c3"/>
    <x:hyperlink xmlns:r="http://schemas.openxmlformats.org/officeDocument/2006/relationships" ref="D13" r:id="R54a5109c93464d08"/>
    <x:hyperlink xmlns:r="http://schemas.openxmlformats.org/officeDocument/2006/relationships" ref="D14" r:id="Rae091bd388674253"/>
    <x:hyperlink xmlns:r="http://schemas.openxmlformats.org/officeDocument/2006/relationships" ref="D15" r:id="Rcc98a904acd74472"/>
    <x:hyperlink xmlns:r="http://schemas.openxmlformats.org/officeDocument/2006/relationships" ref="D16" r:id="R8c26aae2bc8448c6"/>
    <x:hyperlink xmlns:r="http://schemas.openxmlformats.org/officeDocument/2006/relationships" ref="D19" r:id="R34bf7a993cac435a"/>
  </x:hyperlink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5" width="11.130000114440918" hidden="1" customWidth="1"/>
    <x:col min="6" max="6" width="14.5" customWidth="1"/>
    <x:col min="7" max="10" width="12.380000114440918" customWidth="1"/>
    <x:col min="11" max="11" width="14.880000114440918" hidden="1" customWidth="1"/>
    <x:col min="12" max="12" width="14.630000114440918" hidden="1" customWidth="1"/>
    <x:col min="13" max="13" width="14.630000114440918" customWidth="1"/>
    <x:col min="15" max="15" width="12.630000114440918" hidden="1" customWidth="0"/>
    <x:col min="20" max="20" width="25.8799991607666" customWidth="1"/>
    <x:col min="21" max="21" width="18.5" customWidth="1"/>
  </x:cols>
  <x:sheetData>
    <x:row r="1" ht="21" customHeight="1">
      <x:c r="A1" s="1" t="s">
        <x:v>0</x:v>
      </x:c>
      <x:c r="B1" s="2" t="s">
        <x:v>1</x:v>
      </x:c>
      <x:c r="C1" s="1" t="s">
        <x:v>2</x:v>
      </x:c>
      <x:c r="D1" s="3" t="s">
        <x:v>3</x:v>
      </x:c>
      <x:c r="E1" s="1" t="s">
        <x:v>6</x:v>
      </x:c>
      <x:c r="F1" s="1" t="s">
        <x:v>7</x:v>
      </x:c>
      <x:c r="G1" s="4" t="s">
        <x:v>8</x:v>
      </x:c>
      <x:c r="H1" s="4" t="s">
        <x:v>9</x:v>
      </x:c>
      <x:c r="I1" s="4" t="s">
        <x:v>10</x:v>
      </x:c>
      <x:c r="J1" s="4" t="s">
        <x:v>11</x:v>
      </x:c>
      <x:c r="K1" s="4" t="s">
        <x:v>12</x:v>
      </x:c>
      <x:c r="L1" s="4" t="s">
        <x:v>321</x:v>
      </x:c>
      <x:c r="M1" s="4" t="s">
        <x:v>13</x:v>
      </x:c>
      <x:c r="N1" s="1" t="s">
        <x:v>14</x:v>
      </x:c>
      <x:c r="O1" s="1" t="s">
        <x:v>322</x:v>
      </x:c>
      <x:c r="P1" s="1" t="s">
        <x:v>323</x:v>
      </x:c>
      <x:c r="Q1" s="1" t="s">
        <x:v>15</x:v>
      </x:c>
      <x:c r="R1" s="1" t="s">
        <x:v>324</x:v>
      </x:c>
      <x:c r="S1" s="5" t="s">
        <x:v>21</x:v>
      </x:c>
      <x:c r="T1" s="1" t="s">
        <x:v>22</x:v>
      </x:c>
      <x:c r="U1" s="1" t="s">
        <x:v>24</x:v>
      </x:c>
      <x:c r="V1" s="6" t="s">
        <x:v>25</x:v>
      </x:c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</x:row>
    <x:row r="2" ht="18.75" customHeight="1">
      <x:c r="A2" s="19">
        <x:v>1.0</x:v>
      </x:c>
      <x:c r="B2" s="20" t="s">
        <x:v>355</x:v>
      </x:c>
      <x:c r="C2" s="21"/>
      <x:c r="D2" s="22" t="s">
        <x:v>356</x:v>
      </x:c>
      <x:c r="E2" s="23"/>
      <x:c r="F2" s="23"/>
      <x:c r="G2" s="24"/>
      <x:c r="H2" s="24"/>
      <x:c r="I2" s="24"/>
      <x:c r="J2" s="24">
        <x:v>1.0</x:v>
      </x:c>
      <x:c r="K2" s="24"/>
      <x:c r="L2" s="25"/>
      <x:c r="M2" s="25"/>
      <x:c r="N2" s="23"/>
      <x:c r="O2" s="23"/>
      <x:c r="P2" s="23"/>
      <x:c r="Q2" s="94"/>
      <x:c r="R2" s="94"/>
      <x:c r="S2" s="26" t="n">
        <x:f t="shared" ref="S2:S3" si="1">(E2*260+F2*260+G2*470+J2*655+K2*240+L2*190+M2*240+N2*390+O2*265+P2*265+Q2*395)*1000</x:f>
        <x:v>655000</x:v>
      </x:c>
      <x:c r="T2" s="23" t="s">
        <x:v>74</x:v>
      </x:c>
      <x:c r="U2" s="27" t="s">
        <x:v>31</x:v>
      </x:c>
      <x:c r="W2" s="28" t="s">
        <x:v>34</x:v>
      </x:c>
      <x:c r="X2" s="28" t="s">
        <x:v>31</x:v>
      </x:c>
      <x:c r="Y2" s="28" t="s">
        <x:v>54</x:v>
      </x:c>
      <x:c r="Z2" s="28" t="s">
        <x:v>55</x:v>
      </x:c>
    </x:row>
    <x:row r="3" ht="18.75" customHeight="1">
      <x:c r="A3" s="19">
        <x:v>2.0</x:v>
      </x:c>
      <x:c r="B3" s="20" t="s">
        <x:v>357</x:v>
      </x:c>
      <x:c r="C3" s="21"/>
      <x:c r="D3" s="22" t="s">
        <x:v>358</x:v>
      </x:c>
      <x:c r="E3" s="23"/>
      <x:c r="F3" s="23"/>
      <x:c r="G3" s="24"/>
      <x:c r="H3" s="24"/>
      <x:c r="I3" s="24"/>
      <x:c r="J3" s="24"/>
      <x:c r="K3" s="24"/>
      <x:c r="L3" s="24"/>
      <x:c r="M3" s="24"/>
      <x:c r="N3" s="94"/>
      <x:c r="O3" s="94"/>
      <x:c r="P3" s="23">
        <x:v>1.0</x:v>
      </x:c>
      <x:c r="Q3" s="94"/>
      <x:c r="R3" s="94"/>
      <x:c r="S3" s="26">
        <x:f t="shared" si="1"/>
        <x:v>265000</x:v>
      </x:c>
      <x:c r="T3" s="23" t="s">
        <x:v>74</x:v>
      </x:c>
      <x:c r="U3" s="23" t="s">
        <x:v>31</x:v>
      </x:c>
      <x:c r="W3" s="31" t="n">
        <x:f>SUMIF(U2:U1117, "Đã CK Anh", S2:S1117)</x:f>
        <x:v>710000</x:v>
      </x:c>
      <x:c r="X3" s="31" t="n">
        <x:f>SUMIF(U2:U1117, "Đã CK Em", S2:S1117)</x:f>
        <x:v>24384000</x:v>
      </x:c>
      <x:c r="Y3" s="31" t="n">
        <x:f>W3+X3</x:f>
        <x:v>25094000</x:v>
      </x:c>
      <x:c r="Z3" s="31" t="n">
        <x:f>SUMIF(U2:U1117, "Chưa CK", S2:S1117)</x:f>
        <x:v>0</x:v>
      </x:c>
    </x:row>
    <x:row r="4" ht="18.75" customHeight="1">
      <x:c r="A4" s="19">
        <x:v>3.0</x:v>
      </x:c>
      <x:c r="B4" s="20" t="s">
        <x:v>359</x:v>
      </x:c>
      <x:c r="C4" s="21"/>
      <x:c r="D4" s="22" t="s">
        <x:v>360</x:v>
      </x:c>
      <x:c r="E4" s="23"/>
      <x:c r="F4" s="23"/>
      <x:c r="G4" s="24">
        <x:v>3.0</x:v>
      </x:c>
      <x:c r="H4" s="24"/>
      <x:c r="I4" s="24"/>
      <x:c r="J4" s="24"/>
      <x:c r="K4" s="24"/>
      <x:c r="L4" s="24"/>
      <x:c r="M4" s="24"/>
      <x:c r="N4" s="94"/>
      <x:c r="O4" s="94"/>
      <x:c r="P4" s="94"/>
      <x:c r="Q4" s="94"/>
      <x:c r="R4" s="94"/>
      <x:c r="S4" s="26" t="n">
        <x:f>(E4*260+F4*260+G4*470+J4*655+K4*240+L4*190+M4*240+N4*390+O4*265+P4*265+Q4*395)*1000-10000</x:f>
        <x:v>1400000</x:v>
      </x:c>
      <x:c r="T4" s="23" t="s">
        <x:v>74</x:v>
      </x:c>
      <x:c r="U4" s="23" t="s">
        <x:v>31</x:v>
      </x:c>
    </x:row>
    <x:row r="5" ht="18.75" customHeight="1">
      <x:c r="A5" s="19">
        <x:v>4.0</x:v>
      </x:c>
      <x:c r="B5" s="29" t="s">
        <x:v>361</x:v>
      </x:c>
      <x:c r="C5" s="21"/>
      <x:c r="D5" s="22" t="s">
        <x:v>362</x:v>
      </x:c>
      <x:c r="E5" s="23"/>
      <x:c r="F5" s="23">
        <x:v>1.0</x:v>
      </x:c>
      <x:c r="G5" s="24"/>
      <x:c r="H5" s="24"/>
      <x:c r="I5" s="24"/>
      <x:c r="J5" s="24"/>
      <x:c r="K5" s="24"/>
      <x:c r="L5" s="24"/>
      <x:c r="M5" s="24"/>
      <x:c r="N5" s="23">
        <x:v>1.0</x:v>
      </x:c>
      <x:c r="O5" s="23"/>
      <x:c r="P5" s="23">
        <x:v>1.0</x:v>
      </x:c>
      <x:c r="Q5" s="23"/>
      <x:c r="R5" s="23"/>
      <x:c r="S5" s="26" t="n">
        <x:f>(E5*260+F5*260+G5*470+J5*655+K5*240+L5*190+M5*240+N5*390+O5*265+P5*265+Q5*395)*1000</x:f>
        <x:v>915000</x:v>
      </x:c>
      <x:c r="T5" s="23" t="s">
        <x:v>74</x:v>
      </x:c>
      <x:c r="U5" s="27" t="s">
        <x:v>31</x:v>
      </x:c>
    </x:row>
    <x:row r="6" ht="18.75" customHeight="1">
      <x:c r="A6" s="19">
        <x:v>5.0</x:v>
      </x:c>
      <x:c r="B6" s="29" t="s">
        <x:v>363</x:v>
      </x:c>
      <x:c r="C6" s="21"/>
      <x:c r="D6" s="22" t="s">
        <x:v>364</x:v>
      </x:c>
      <x:c r="E6" s="23"/>
      <x:c r="F6" s="23"/>
      <x:c r="G6" s="24">
        <x:v>18.0</x:v>
      </x:c>
      <x:c r="H6" s="24"/>
      <x:c r="I6" s="24"/>
      <x:c r="J6" s="24"/>
      <x:c r="K6" s="24"/>
      <x:c r="L6" s="24"/>
      <x:c r="M6" s="24"/>
      <x:c r="N6" s="23"/>
      <x:c r="O6" s="23"/>
      <x:c r="P6" s="23"/>
      <x:c r="Q6" s="23"/>
      <x:c r="R6" s="23"/>
      <x:c r="S6" s="26" t="n">
        <x:f>(E6*260+F6*260+G6*470+H6*400+I6*350+J6*655+K6*240+L6*190+M6*240+N6*390+O6*265+P6*265+Q6*395)*1000-36000</x:f>
        <x:v>8424000</x:v>
      </x:c>
      <x:c r="T6" s="23" t="s">
        <x:v>74</x:v>
      </x:c>
      <x:c r="U6" s="23" t="s">
        <x:v>31</x:v>
      </x:c>
    </x:row>
    <x:row r="7" ht="18.75" customHeight="1">
      <x:c r="A7" s="19">
        <x:v>6.0</x:v>
      </x:c>
      <x:c r="B7" s="29" t="s">
        <x:v>81</x:v>
      </x:c>
      <x:c r="C7" s="21"/>
      <x:c r="D7" s="22" t="s">
        <x:v>82</x:v>
      </x:c>
      <x:c r="E7" s="23"/>
      <x:c r="F7" s="23"/>
      <x:c r="G7" s="25"/>
      <x:c r="H7" s="24">
        <x:v>5.0</x:v>
      </x:c>
      <x:c r="I7" s="25"/>
      <x:c r="J7" s="25"/>
      <x:c r="K7" s="24"/>
      <x:c r="L7" s="24"/>
      <x:c r="M7" s="25"/>
      <x:c r="N7" s="23"/>
      <x:c r="O7" s="23"/>
      <x:c r="P7" s="23"/>
      <x:c r="Q7" s="23"/>
      <x:c r="R7" s="23"/>
      <x:c r="S7" s="26" t="n">
        <x:f>(E7*260+F7*260+G7*470+H7*400+I7*350+J7*655+K7*240+L7*190+M7*240+N7*390+O7*265+P7*265+Q7*395)*1000</x:f>
        <x:v>2000000</x:v>
      </x:c>
      <x:c r="T7" s="23" t="s">
        <x:v>74</x:v>
      </x:c>
      <x:c r="U7" s="23" t="s">
        <x:v>31</x:v>
      </x:c>
    </x:row>
    <x:row r="8" ht="18.75" customHeight="1">
      <x:c r="A8" s="19">
        <x:v>7.0</x:v>
      </x:c>
      <x:c r="B8" s="29" t="s">
        <x:v>365</x:v>
      </x:c>
      <x:c r="C8" s="21"/>
      <x:c r="D8" s="22" t="s">
        <x:v>115</x:v>
      </x:c>
      <x:c r="E8" s="23"/>
      <x:c r="F8" s="23"/>
      <x:c r="G8" s="25"/>
      <x:c r="H8" s="24">
        <x:v>8.0</x:v>
      </x:c>
      <x:c r="I8" s="24"/>
      <x:c r="J8" s="24"/>
      <x:c r="K8" s="24"/>
      <x:c r="L8" s="24"/>
      <x:c r="M8" s="24"/>
      <x:c r="N8" s="94"/>
      <x:c r="O8" s="94"/>
      <x:c r="P8" s="94"/>
      <x:c r="Q8" s="94"/>
      <x:c r="R8" s="94"/>
      <x:c r="S8" s="26" t="n">
        <x:f>(E8*260+F8*260+G8*470+H8*400+I8*350+J8*655+K8*240+L8*190+M8*240+N8*390+O8*265+P8*265+Q8*395)*1000-40000</x:f>
        <x:v>3160000</x:v>
      </x:c>
      <x:c r="T8" s="23" t="s">
        <x:v>74</x:v>
      </x:c>
      <x:c r="U8" s="23" t="s">
        <x:v>31</x:v>
      </x:c>
      <x:c r="W8" s="37"/>
      <x:c r="X8" s="37"/>
      <x:c r="Y8" s="37"/>
      <x:c r="Z8" s="37"/>
    </x:row>
    <x:row r="9" ht="18.75" customHeight="1">
      <x:c r="A9" s="19">
        <x:v>8.0</x:v>
      </x:c>
      <x:c r="B9" s="29" t="s">
        <x:v>366</x:v>
      </x:c>
      <x:c r="C9" s="21"/>
      <x:c r="D9" s="22" t="s">
        <x:v>367</x:v>
      </x:c>
      <x:c r="E9" s="23"/>
      <x:c r="F9" s="23">
        <x:v>2.0</x:v>
      </x:c>
      <x:c r="G9" s="25"/>
      <x:c r="H9" s="24">
        <x:v>1.0</x:v>
      </x:c>
      <x:c r="I9" s="24"/>
      <x:c r="J9" s="24"/>
      <x:c r="K9" s="24"/>
      <x:c r="L9" s="24"/>
      <x:c r="M9" s="24"/>
      <x:c r="N9" s="94"/>
      <x:c r="O9" s="94"/>
      <x:c r="P9" s="94"/>
      <x:c r="Q9" s="94"/>
      <x:c r="R9" s="94"/>
      <x:c r="S9" s="26" t="n">
        <x:f t="shared" ref="S9:S16" si="2">(E9*260+F9*260+G9*470+H9*400+I9*350+J9*655+K9*240+L9*190+M9*240+N9*390+O9*265+P9*265+Q9*395)*1000</x:f>
        <x:v>920000</x:v>
      </x:c>
      <x:c r="T9" s="23" t="s">
        <x:v>74</x:v>
      </x:c>
      <x:c r="U9" s="23" t="s">
        <x:v>31</x:v>
      </x:c>
      <x:c r="W9" s="28" t="s">
        <x:v>2</x:v>
      </x:c>
      <x:c r="X9" s="28" t="s">
        <x:v>368</x:v>
      </x:c>
      <x:c r="Y9" s="28" t="s">
        <x:v>369</x:v>
      </x:c>
      <x:c r="Z9" s="28" t="s">
        <x:v>369</x:v>
      </x:c>
    </x:row>
    <x:row r="10" ht="18.75" customHeight="1">
      <x:c r="A10" s="19">
        <x:v>9.0</x:v>
      </x:c>
      <x:c r="B10" s="29" t="s">
        <x:v>370</x:v>
      </x:c>
      <x:c r="C10" s="21"/>
      <x:c r="D10" s="22" t="s">
        <x:v>371</x:v>
      </x:c>
      <x:c r="E10" s="23"/>
      <x:c r="F10" s="23">
        <x:v>1.0</x:v>
      </x:c>
      <x:c r="G10" s="24"/>
      <x:c r="H10" s="24"/>
      <x:c r="I10" s="24">
        <x:v>1.0</x:v>
      </x:c>
      <x:c r="J10" s="24"/>
      <x:c r="K10" s="25"/>
      <x:c r="L10" s="25"/>
      <x:c r="M10" s="24">
        <x:v>1.0</x:v>
      </x:c>
      <x:c r="N10" s="23"/>
      <x:c r="O10" s="94"/>
      <x:c r="P10" s="94"/>
      <x:c r="Q10" s="94"/>
      <x:c r="R10" s="94"/>
      <x:c r="S10" s="26">
        <x:f t="shared" si="2"/>
        <x:v>850000</x:v>
      </x:c>
      <x:c r="T10" s="23" t="s">
        <x:v>74</x:v>
      </x:c>
      <x:c r="U10" s="23" t="s">
        <x:v>31</x:v>
      </x:c>
      <x:c r="W10" s="33" t="n" cm="1">
        <x:f t="array" ref="W10:W11">_xlfn._xlws.SORT(_xlfn.UNIQUE(C2:C1115))</x:f>
        <x:v>45885</x:v>
      </x:c>
      <x:c r="X10" s="34" t="e">
        <x:f>IFERROR(__xludf.DUMMYFUNCTION("SUM(FILTER($E$2:$R$1117, $C$2:$C$1117 = W10))"),1.0)</x:f>
        <x:v>#NAME?</x:v>
      </x:c>
      <x:c r="Y10" s="34" t="e">
        <x:f>IFERROR(__xludf.DUMMYFUNCTION("COUNT(FILTER($C$2:$C$1117, $C$2:$C$1117 = W10))"),1.0)</x:f>
        <x:v>#NAME?</x:v>
      </x:c>
      <x:c r="Z10" s="31" t="n">
        <x:f t="shared" ref="Z10:Z18" si="3">SUMIF($C$2:$C$1117, $W10 , $S$2:$S$1117)</x:f>
        <x:v>240000</x:v>
      </x:c>
    </x:row>
    <x:row r="11" ht="18.75" customHeight="1">
      <x:c r="A11" s="19">
        <x:v>10.0</x:v>
      </x:c>
      <x:c r="B11" s="29" t="s">
        <x:v>372</x:v>
      </x:c>
      <x:c r="C11" s="21"/>
      <x:c r="D11" s="22" t="s">
        <x:v>373</x:v>
      </x:c>
      <x:c r="E11" s="23"/>
      <x:c r="F11" s="23">
        <x:v>1.0</x:v>
      </x:c>
      <x:c r="G11" s="24"/>
      <x:c r="H11" s="24"/>
      <x:c r="I11" s="24"/>
      <x:c r="J11" s="24"/>
      <x:c r="K11" s="24"/>
      <x:c r="L11" s="24"/>
      <x:c r="M11" s="24">
        <x:v>1.0</x:v>
      </x:c>
      <x:c r="N11" s="94"/>
      <x:c r="O11" s="94"/>
      <x:c r="P11" s="94"/>
      <x:c r="Q11" s="94"/>
      <x:c r="R11" s="94"/>
      <x:c r="S11" s="26">
        <x:f t="shared" si="2"/>
        <x:v>500000</x:v>
      </x:c>
      <x:c r="T11" s="23" t="s">
        <x:v>74</x:v>
      </x:c>
      <x:c r="U11" s="23" t="s">
        <x:v>31</x:v>
      </x:c>
      <x:c r="W11" s="33" t="n">
        <x:v>0</x:v>
      </x:c>
      <x:c r="X11" s="34" t="e">
        <x:f>IFERROR(__xludf.DUMMYFUNCTION("SUM(FILTER($E$2:$R$1117, $C$2:$C$1117 = W11))"),1.3879965088925214E7)</x:f>
        <x:v>#NAME?</x:v>
      </x:c>
      <x:c r="Y11" s="34" t="e">
        <x:f>IFERROR(__xludf.DUMMYFUNCTION("COUNT(FILTER($C$2:$C$1117, $C$2:$C$1117 = W11))"),0.0)</x:f>
        <x:v>#NAME?</x:v>
      </x:c>
      <x:c r="Z11" s="31">
        <x:f t="shared" si="3"/>
        <x:v>0</x:v>
      </x:c>
    </x:row>
    <x:row r="12" ht="18.75" customHeight="1">
      <x:c r="A12" s="19">
        <x:v>11.0</x:v>
      </x:c>
      <x:c r="B12" s="29" t="s">
        <x:v>374</x:v>
      </x:c>
      <x:c r="C12" s="21"/>
      <x:c r="D12" s="22" t="s">
        <x:v>375</x:v>
      </x:c>
      <x:c r="E12" s="23"/>
      <x:c r="F12" s="23">
        <x:v>1.0</x:v>
      </x:c>
      <x:c r="G12" s="25"/>
      <x:c r="H12" s="24"/>
      <x:c r="I12" s="24"/>
      <x:c r="J12" s="24"/>
      <x:c r="K12" s="24"/>
      <x:c r="L12" s="25"/>
      <x:c r="M12" s="24">
        <x:v>1.0</x:v>
      </x:c>
      <x:c r="N12" s="23">
        <x:v>1.0</x:v>
      </x:c>
      <x:c r="O12" s="94"/>
      <x:c r="P12" s="94"/>
      <x:c r="Q12" s="94"/>
      <x:c r="R12" s="94"/>
      <x:c r="S12" s="26">
        <x:f t="shared" si="2"/>
        <x:v>890000</x:v>
      </x:c>
      <x:c r="T12" s="23" t="s">
        <x:v>74</x:v>
      </x:c>
      <x:c r="U12" s="23" t="s">
        <x:v>31</x:v>
      </x:c>
      <x:c r="W12" s="34"/>
      <x:c r="X12" s="34" t="e">
        <x:f>IFERROR(__xludf.DUMMYFUNCTION("SUM(FILTER($E$2:$R$1117, $C$2:$C$1117 = W12))"),1.3879965088925214E7)</x:f>
        <x:v>#NAME?</x:v>
      </x:c>
      <x:c r="Y12" s="34" t="e">
        <x:f>IFERROR(__xludf.DUMMYFUNCTION("COUNT(FILTER($C$2:$C$1117, $C$2:$C$1117 = W12))"),0.0)</x:f>
        <x:v>#NAME?</x:v>
      </x:c>
      <x:c r="Z12" s="31">
        <x:f t="shared" si="3"/>
        <x:v>0</x:v>
      </x:c>
    </x:row>
    <x:row r="13" ht="18.75" customHeight="1">
      <x:c r="A13" s="19">
        <x:v>12.0</x:v>
      </x:c>
      <x:c r="B13" s="29" t="s">
        <x:v>376</x:v>
      </x:c>
      <x:c r="C13" s="21"/>
      <x:c r="D13" s="22" t="s">
        <x:v>377</x:v>
      </x:c>
      <x:c r="E13" s="23"/>
      <x:c r="F13" s="23"/>
      <x:c r="G13" s="25"/>
      <x:c r="H13" s="25"/>
      <x:c r="I13" s="24">
        <x:v>1.0</x:v>
      </x:c>
      <x:c r="J13" s="25"/>
      <x:c r="K13" s="24"/>
      <x:c r="L13" s="24"/>
      <x:c r="M13" s="24"/>
      <x:c r="N13" s="94"/>
      <x:c r="O13" s="94"/>
      <x:c r="P13" s="94"/>
      <x:c r="Q13" s="94"/>
      <x:c r="R13" s="94"/>
      <x:c r="S13" s="26">
        <x:f t="shared" si="2"/>
        <x:v>350000</x:v>
      </x:c>
      <x:c r="T13" s="23" t="s">
        <x:v>74</x:v>
      </x:c>
      <x:c r="U13" s="23" t="s">
        <x:v>31</x:v>
      </x:c>
      <x:c r="W13" s="34"/>
      <x:c r="X13" s="34" t="e">
        <x:f>IFERROR(__xludf.DUMMYFUNCTION("SUM(FILTER($E$2:$R$1117, $C$2:$C$1117 = W13))"),1.3879965088925214E7)</x:f>
        <x:v>#NAME?</x:v>
      </x:c>
      <x:c r="Y13" s="34" t="e">
        <x:f>IFERROR(__xludf.DUMMYFUNCTION("COUNT(FILTER($C$2:$C$1117, $C$2:$C$1117 = W13))"),0.0)</x:f>
        <x:v>#NAME?</x:v>
      </x:c>
      <x:c r="Z13" s="31">
        <x:f t="shared" si="3"/>
        <x:v>0</x:v>
      </x:c>
    </x:row>
    <x:row r="14" ht="18.75" customHeight="1">
      <x:c r="A14" s="19">
        <x:v>13.0</x:v>
      </x:c>
      <x:c r="B14" s="29" t="s">
        <x:v>378</x:v>
      </x:c>
      <x:c r="C14" s="21"/>
      <x:c r="D14" s="22" t="s">
        <x:v>379</x:v>
      </x:c>
      <x:c r="E14" s="56"/>
      <x:c r="F14" s="23">
        <x:v>1.0</x:v>
      </x:c>
      <x:c r="G14" s="24"/>
      <x:c r="H14" s="24"/>
      <x:c r="I14" s="24"/>
      <x:c r="J14" s="24"/>
      <x:c r="K14" s="24"/>
      <x:c r="L14" s="24"/>
      <x:c r="M14" s="24"/>
      <x:c r="N14" s="94"/>
      <x:c r="O14" s="94"/>
      <x:c r="P14" s="94"/>
      <x:c r="Q14" s="94"/>
      <x:c r="R14" s="94"/>
      <x:c r="S14" s="26">
        <x:f t="shared" si="2"/>
        <x:v>260000</x:v>
      </x:c>
      <x:c r="T14" s="23" t="s">
        <x:v>74</x:v>
      </x:c>
      <x:c r="U14" s="23" t="s">
        <x:v>31</x:v>
      </x:c>
      <x:c r="V14" s="32"/>
      <x:c r="W14" s="34"/>
      <x:c r="X14" s="34" t="e">
        <x:f>IFERROR(__xludf.DUMMYFUNCTION("SUM(FILTER($E$2:$R$1117, $C$2:$C$1117 = W14))"),1.3879965088925214E7)</x:f>
        <x:v>#NAME?</x:v>
      </x:c>
      <x:c r="Y14" s="34" t="e">
        <x:f>IFERROR(__xludf.DUMMYFUNCTION("COUNT(FILTER($C$2:$C$1117, $C$2:$C$1117 = W14))"),0.0)</x:f>
        <x:v>#NAME?</x:v>
      </x:c>
      <x:c r="Z14" s="31">
        <x:f t="shared" si="3"/>
        <x:v>0</x:v>
      </x:c>
    </x:row>
    <x:row r="15" ht="18.75" customHeight="1">
      <x:c r="A15" s="19">
        <x:v>14.0</x:v>
      </x:c>
      <x:c r="B15" s="29" t="s">
        <x:v>380</x:v>
      </x:c>
      <x:c r="C15" s="21"/>
      <x:c r="D15" s="22" t="s">
        <x:v>381</x:v>
      </x:c>
      <x:c r="E15" s="23"/>
      <x:c r="F15" s="23"/>
      <x:c r="G15" s="24"/>
      <x:c r="H15" s="24"/>
      <x:c r="I15" s="24"/>
      <x:c r="J15" s="24"/>
      <x:c r="K15" s="25"/>
      <x:c r="L15" s="24"/>
      <x:c r="M15" s="24">
        <x:v>1.0</x:v>
      </x:c>
      <x:c r="N15" s="23"/>
      <x:c r="O15" s="23"/>
      <x:c r="P15" s="23"/>
      <x:c r="Q15" s="23"/>
      <x:c r="R15" s="23"/>
      <x:c r="S15" s="26">
        <x:f t="shared" si="2"/>
        <x:v>240000</x:v>
      </x:c>
      <x:c r="T15" s="23" t="s">
        <x:v>74</x:v>
      </x:c>
      <x:c r="U15" s="23" t="s">
        <x:v>31</x:v>
      </x:c>
      <x:c r="V15" s="32"/>
      <x:c r="W15" s="34"/>
      <x:c r="X15" s="34" t="e">
        <x:f>IFERROR(__xludf.DUMMYFUNCTION("SUM(FILTER($E$2:$R$1117, $C$2:$C$1117 = W15))"),1.3879965088925214E7)</x:f>
        <x:v>#NAME?</x:v>
      </x:c>
      <x:c r="Y15" s="34" t="e">
        <x:f>IFERROR(__xludf.DUMMYFUNCTION("COUNT(FILTER($C$2:$C$1117, $C$2:$C$1117 = W15))"),0.0)</x:f>
        <x:v>#NAME?</x:v>
      </x:c>
      <x:c r="Z15" s="31">
        <x:f t="shared" si="3"/>
        <x:v>0</x:v>
      </x:c>
    </x:row>
    <x:row r="16" ht="18.75" customHeight="1">
      <x:c r="A16" s="19">
        <x:v>15.0</x:v>
      </x:c>
      <x:c r="B16" s="29" t="s">
        <x:v>382</x:v>
      </x:c>
      <x:c r="C16" s="21"/>
      <x:c r="D16" s="22" t="s">
        <x:v>383</x:v>
      </x:c>
      <x:c r="E16" s="23"/>
      <x:c r="F16" s="23">
        <x:v>1.0</x:v>
      </x:c>
      <x:c r="G16" s="24"/>
      <x:c r="H16" s="24"/>
      <x:c r="I16" s="24"/>
      <x:c r="J16" s="24"/>
      <x:c r="K16" s="25"/>
      <x:c r="L16" s="24"/>
      <x:c r="M16" s="24"/>
      <x:c r="N16" s="94"/>
      <x:c r="O16" s="94"/>
      <x:c r="P16" s="94"/>
      <x:c r="Q16" s="94"/>
      <x:c r="R16" s="94"/>
      <x:c r="S16" s="26">
        <x:f t="shared" si="2"/>
        <x:v>260000</x:v>
      </x:c>
      <x:c r="T16" s="23" t="s">
        <x:v>74</x:v>
      </x:c>
      <x:c r="U16" s="23" t="s">
        <x:v>31</x:v>
      </x:c>
      <x:c r="V16" s="32"/>
      <x:c r="W16" s="33"/>
      <x:c r="X16" s="34" t="e">
        <x:f>IFERROR(__xludf.DUMMYFUNCTION("SUM(FILTER($E$2:$R$1117, $C$2:$C$1117 = W16))"),1.3879965088925214E7)</x:f>
        <x:v>#NAME?</x:v>
      </x:c>
      <x:c r="Y16" s="34" t="e">
        <x:f>IFERROR(__xludf.DUMMYFUNCTION("COUNT(FILTER($C$2:$C$1117, $C$2:$C$1117 = W16))"),0.0)</x:f>
        <x:v>#NAME?</x:v>
      </x:c>
      <x:c r="Z16" s="31">
        <x:f t="shared" si="3"/>
        <x:v>0</x:v>
      </x:c>
    </x:row>
    <x:row r="17" ht="18.75" customHeight="1">
      <x:c r="A17" s="19">
        <x:v>16.0</x:v>
      </x:c>
      <x:c r="B17" s="29" t="s">
        <x:v>384</x:v>
      </x:c>
      <x:c r="C17" s="21">
        <x:v>45885.0</x:v>
      </x:c>
      <x:c r="D17" s="22" t="s">
        <x:v>385</x:v>
      </x:c>
      <x:c r="E17" s="23"/>
      <x:c r="F17" s="23"/>
      <x:c r="G17" s="24"/>
      <x:c r="H17" s="24"/>
      <x:c r="I17" s="24"/>
      <x:c r="J17" s="24"/>
      <x:c r="K17" s="24"/>
      <x:c r="L17" s="25"/>
      <x:c r="M17" s="24"/>
      <x:c r="N17" s="94"/>
      <x:c r="O17" s="94"/>
      <x:c r="P17" s="94"/>
      <x:c r="Q17" s="94"/>
      <x:c r="R17" s="23">
        <x:v>1.0</x:v>
      </x:c>
      <x:c r="S17" s="26" t="n">
        <x:f>(E17*260+F17*260+G17*470+H17*400+I17*350+J17*655+K17*240+L17*190+M17*240+N17*390+O17*265+P17*265+Q17*395+R17*240)*1000</x:f>
        <x:v>240000</x:v>
      </x:c>
      <x:c r="T17" s="23" t="s">
        <x:v>74</x:v>
      </x:c>
      <x:c r="U17" s="23" t="s">
        <x:v>31</x:v>
      </x:c>
      <x:c r="V17" s="32"/>
      <x:c r="W17" s="33"/>
      <x:c r="X17" s="34" t="e">
        <x:f>IFERROR(__xludf.DUMMYFUNCTION("SUM(FILTER($E$2:$R$1117, $C$2:$C$1117 = W17))"),1.3879965088925214E7)</x:f>
        <x:v>#NAME?</x:v>
      </x:c>
      <x:c r="Y17" s="34" t="e">
        <x:f>IFERROR(__xludf.DUMMYFUNCTION("COUNT(FILTER($C$2:$C$1117, $C$2:$C$1117 = W17))"),0.0)</x:f>
        <x:v>#NAME?</x:v>
      </x:c>
      <x:c r="Z17" s="31">
        <x:f t="shared" si="3"/>
        <x:v>0</x:v>
      </x:c>
    </x:row>
    <x:row r="18">
      <x:c r="A18" s="19">
        <x:v>17.0</x:v>
      </x:c>
      <x:c r="B18" s="29" t="s">
        <x:v>386</x:v>
      </x:c>
      <x:c r="C18" s="21"/>
      <x:c r="D18" s="22" t="s">
        <x:v>387</x:v>
      </x:c>
      <x:c r="E18" s="23"/>
      <x:c r="F18" s="23"/>
      <x:c r="G18" s="24"/>
      <x:c r="H18" s="24"/>
      <x:c r="I18" s="24"/>
      <x:c r="J18" s="24">
        <x:v>1.0</x:v>
      </x:c>
      <x:c r="K18" s="24"/>
      <x:c r="L18" s="24"/>
      <x:c r="M18" s="24"/>
      <x:c r="N18" s="94"/>
      <x:c r="O18" s="94"/>
      <x:c r="P18" s="94"/>
      <x:c r="Q18" s="94"/>
      <x:c r="R18" s="94"/>
      <x:c r="S18" s="26" t="n">
        <x:f>(E18*260+F18*260+G18*470+H18*400+I18*350+J18*615+K18*240+L18*190+M18*240+N18*390+O18*265+P18*265+Q18*395)*1000</x:f>
        <x:v>615000</x:v>
      </x:c>
      <x:c r="T18" s="23" t="s">
        <x:v>74</x:v>
      </x:c>
      <x:c r="U18" s="23" t="s">
        <x:v>31</x:v>
      </x:c>
      <x:c r="V18" s="32"/>
      <x:c r="W18" s="33"/>
      <x:c r="X18" s="34" t="e">
        <x:f>IFERROR(__xludf.DUMMYFUNCTION("SUM(FILTER($E$2:$R$1117, $C$2:$C$1117 = W18))"),1.3879965088925214E7)</x:f>
        <x:v>#NAME?</x:v>
      </x:c>
      <x:c r="Y18" s="34" t="e">
        <x:f>IFERROR(__xludf.DUMMYFUNCTION("COUNT(FILTER($C$2:$C$1117, $C$2:$C$1117 = W18))"),0.0)</x:f>
        <x:v>#NAME?</x:v>
      </x:c>
      <x:c r="Z18" s="31">
        <x:f t="shared" si="3"/>
        <x:v>0</x:v>
      </x:c>
    </x:row>
    <x:row r="19">
      <x:c r="A19" s="19">
        <x:v>18.0</x:v>
      </x:c>
      <x:c r="B19" s="29" t="s">
        <x:v>388</x:v>
      </x:c>
      <x:c r="C19" s="21"/>
      <x:c r="D19" s="22" t="s">
        <x:v>389</x:v>
      </x:c>
      <x:c r="E19" s="23"/>
      <x:c r="F19" s="23">
        <x:v>1.0</x:v>
      </x:c>
      <x:c r="G19" s="24"/>
      <x:c r="H19" s="24"/>
      <x:c r="I19" s="24"/>
      <x:c r="J19" s="24"/>
      <x:c r="K19" s="24"/>
      <x:c r="L19" s="24"/>
      <x:c r="M19" s="24"/>
      <x:c r="N19" s="94"/>
      <x:c r="O19" s="94"/>
      <x:c r="P19" s="94"/>
      <x:c r="Q19" s="94"/>
      <x:c r="R19" s="94"/>
      <x:c r="S19" s="26" t="n">
        <x:f>(E19*260+F19*260+G19*470+H19*400+I19*350+J19*655+K19*240+L19*190+M19*240+N19*390+O19*265+P19*265+Q19*395)*1000</x:f>
        <x:v>260000</x:v>
      </x:c>
      <x:c r="T19" s="23" t="s">
        <x:v>74</x:v>
      </x:c>
      <x:c r="U19" s="23" t="s">
        <x:v>31</x:v>
      </x:c>
      <x:c r="V19" s="32"/>
      <x:c r="W19" s="33"/>
      <x:c r="X19" s="34"/>
      <x:c r="Y19" s="34"/>
      <x:c r="Z19" s="31"/>
    </x:row>
    <x:row r="20" ht="18.75" customHeight="1">
      <x:c r="A20" s="19">
        <x:v>19.0</x:v>
      </x:c>
      <x:c r="B20" s="29" t="s">
        <x:v>390</x:v>
      </x:c>
      <x:c r="C20" s="21"/>
      <x:c r="D20" s="35"/>
      <x:c r="E20" s="23"/>
      <x:c r="F20" s="23"/>
      <x:c r="G20" s="24"/>
      <x:c r="H20" s="24">
        <x:v>1.0</x:v>
      </x:c>
      <x:c r="I20" s="24"/>
      <x:c r="J20" s="24"/>
      <x:c r="K20" s="24"/>
      <x:c r="L20" s="24"/>
      <x:c r="M20" s="24"/>
      <x:c r="N20" s="23">
        <x:v>1.0</x:v>
      </x:c>
      <x:c r="O20" s="23"/>
      <x:c r="P20" s="23"/>
      <x:c r="Q20" s="23"/>
      <x:c r="R20" s="23"/>
      <x:c r="S20" s="26" t="n">
        <x:f>(E20*260+F20*260+G20*470+H20*400+I20*350+J20*655+K20*240+L20*190+M20*240+N20*390+O20*265+P20*265+Q20*395)*1000-80000</x:f>
        <x:v>710000</x:v>
      </x:c>
      <x:c r="T20" s="23" t="s">
        <x:v>74</x:v>
      </x:c>
      <x:c r="U20" s="23" t="s">
        <x:v>34</x:v>
      </x:c>
      <x:c r="V20" s="32"/>
      <x:c r="W20" s="33"/>
      <x:c r="X20" s="34" t="e">
        <x:f>IFERROR(__xludf.DUMMYFUNCTION("SUM(FILTER($E$2:$R$1117, $C$2:$C$1117 = W20))"),1.3879965088925214E7)</x:f>
        <x:v>#NAME?</x:v>
      </x:c>
      <x:c r="Y20" s="34" t="e">
        <x:f>IFERROR(__xludf.DUMMYFUNCTION("COUNT(FILTER($C$2:$C$1117, $C$2:$C$1117 = W20))"),0.0)</x:f>
        <x:v>#NAME?</x:v>
      </x:c>
      <x:c r="Z20" s="31" t="n">
        <x:f t="shared" ref="Z20:Z38" si="4">SUMIF($C$2:$C$1117, $W20 , $S$2:$S$1117)</x:f>
        <x:v>75042000</x:v>
      </x:c>
    </x:row>
    <x:row r="21" ht="18.75" customHeight="1">
      <x:c r="A21" s="19">
        <x:v>20.0</x:v>
      </x:c>
      <x:c r="B21" s="29" t="s">
        <x:v>391</x:v>
      </x:c>
      <x:c r="C21" s="21"/>
      <x:c r="D21" s="22" t="s">
        <x:v>392</x:v>
      </x:c>
      <x:c r="E21" s="23"/>
      <x:c r="F21" s="23"/>
      <x:c r="G21" s="24"/>
      <x:c r="H21" s="25"/>
      <x:c r="I21" s="24">
        <x:v>1.0</x:v>
      </x:c>
      <x:c r="J21" s="25"/>
      <x:c r="K21" s="24"/>
      <x:c r="L21" s="24"/>
      <x:c r="M21" s="24"/>
      <x:c r="N21" s="94"/>
      <x:c r="O21" s="94"/>
      <x:c r="P21" s="94"/>
      <x:c r="Q21" s="94"/>
      <x:c r="R21" s="94"/>
      <x:c r="S21" s="26" t="n">
        <x:f>(E21*260+F21*260+G21*470+H21*400+I21*350+J21*655+K21*240+L21*190+M21*240+N21*390+O21*265+P21*265+Q21*395)*1000</x:f>
        <x:v>350000</x:v>
      </x:c>
      <x:c r="T21" s="23" t="s">
        <x:v>74</x:v>
      </x:c>
      <x:c r="U21" s="23" t="s">
        <x:v>31</x:v>
      </x:c>
      <x:c r="V21" s="32"/>
      <x:c r="W21" s="33"/>
      <x:c r="X21" s="34" t="e">
        <x:f>IFERROR(__xludf.DUMMYFUNCTION("SUM(FILTER($E$2:$R$1117, $C$2:$C$1117 = W21))"),1.3879965088925214E7)</x:f>
        <x:v>#NAME?</x:v>
      </x:c>
      <x:c r="Y21" s="34" t="e">
        <x:f>IFERROR(__xludf.DUMMYFUNCTION("COUNT(FILTER($C$2:$C$1117, $C$2:$C$1117 = W21))"),0.0)</x:f>
        <x:v>#NAME?</x:v>
      </x:c>
      <x:c r="Z21" s="31">
        <x:f t="shared" si="4"/>
        <x:v>0</x:v>
      </x:c>
    </x:row>
    <x:row r="22" ht="18.75" customHeight="1">
      <x:c r="A22" s="19">
        <x:v>21.0</x:v>
      </x:c>
      <x:c r="B22" s="29" t="s">
        <x:v>393</x:v>
      </x:c>
      <x:c r="C22" s="21"/>
      <x:c r="D22" s="22" t="s">
        <x:v>394</x:v>
      </x:c>
      <x:c r="E22" s="23"/>
      <x:c r="F22" s="23"/>
      <x:c r="G22" s="24"/>
      <x:c r="H22" s="24"/>
      <x:c r="I22" s="24"/>
      <x:c r="J22" s="24">
        <x:v>1.0</x:v>
      </x:c>
      <x:c r="K22" s="24"/>
      <x:c r="L22" s="24"/>
      <x:c r="M22" s="24"/>
      <x:c r="N22" s="23"/>
      <x:c r="O22" s="94"/>
      <x:c r="P22" s="94"/>
      <x:c r="Q22" s="94"/>
      <x:c r="R22" s="94"/>
      <x:c r="S22" s="26" t="n">
        <x:f>(E22*260+F22*260+G22*470+H22*400+I22*350+J22*615+K22*240+L22*190+M22*240+N22*390+O22*265+P22*265+Q22*395)*1000</x:f>
        <x:v>615000</x:v>
      </x:c>
      <x:c r="T22" s="23" t="s">
        <x:v>74</x:v>
      </x:c>
      <x:c r="U22" s="23" t="s">
        <x:v>31</x:v>
      </x:c>
      <x:c r="V22" s="32"/>
      <x:c r="W22" s="33"/>
      <x:c r="X22" s="34" t="e">
        <x:f>IFERROR(__xludf.DUMMYFUNCTION("SUM(FILTER($E$2:$R$1117, $C$2:$C$1117 = W22))"),1.3879965088925214E7)</x:f>
        <x:v>#NAME?</x:v>
      </x:c>
      <x:c r="Y22" s="34" t="e">
        <x:f>IFERROR(__xludf.DUMMYFUNCTION("COUNT(FILTER($C$2:$C$1117, $C$2:$C$1117 = W22))"),0.0)</x:f>
        <x:v>#NAME?</x:v>
      </x:c>
      <x:c r="Z22" s="31">
        <x:f t="shared" si="4"/>
        <x:v>0</x:v>
      </x:c>
    </x:row>
    <x:row r="23" ht="18.75" customHeight="1">
      <x:c r="A23" s="19">
        <x:v>22.0</x:v>
      </x:c>
      <x:c r="B23" s="29" t="s">
        <x:v>395</x:v>
      </x:c>
      <x:c r="C23" s="21"/>
      <x:c r="D23" s="22" t="s">
        <x:v>396</x:v>
      </x:c>
      <x:c r="E23" s="23"/>
      <x:c r="F23" s="23"/>
      <x:c r="G23" s="24"/>
      <x:c r="H23" s="25"/>
      <x:c r="I23" s="25"/>
      <x:c r="J23" s="25"/>
      <x:c r="K23" s="24"/>
      <x:c r="L23" s="24"/>
      <x:c r="M23" s="24"/>
      <x:c r="N23" s="94"/>
      <x:c r="O23" s="94"/>
      <x:c r="P23" s="23">
        <x:v>1.0</x:v>
      </x:c>
      <x:c r="Q23" s="94"/>
      <x:c r="R23" s="23">
        <x:v>2.0</x:v>
      </x:c>
      <x:c r="S23" s="26" t="n">
        <x:f>(E23*260+F23*260+G23*470+H23*400+I23*350+J23*655+K23*240+L23*190+M23*240+N23*390+O23*265+P23*265+Q23*395+R23*245)*1000</x:f>
        <x:v>755000</x:v>
      </x:c>
      <x:c r="T23" s="23" t="s">
        <x:v>37</x:v>
      </x:c>
      <x:c r="U23" s="23" t="s">
        <x:v>31</x:v>
      </x:c>
      <x:c r="V23" s="32"/>
      <x:c r="W23" s="33"/>
      <x:c r="X23" s="34" t="e">
        <x:f>IFERROR(__xludf.DUMMYFUNCTION("SUM(FILTER($E$2:$R$1117, $C$2:$C$1117 = W23))"),1.3879965088925214E7)</x:f>
        <x:v>#NAME?</x:v>
      </x:c>
      <x:c r="Y23" s="34" t="e">
        <x:f>IFERROR(__xludf.DUMMYFUNCTION("COUNT(FILTER($C$2:$C$1117, $C$2:$C$1117 = W23))"),0.0)</x:f>
        <x:v>#NAME?</x:v>
      </x:c>
      <x:c r="Z23" s="31">
        <x:f t="shared" si="4"/>
        <x:v>0</x:v>
      </x:c>
    </x:row>
    <x:row r="24" ht="18.75" customHeight="1">
      <x:c r="A24" s="19">
        <x:v>23.0</x:v>
      </x:c>
      <x:c r="B24" s="29" t="s">
        <x:v>351</x:v>
      </x:c>
      <x:c r="C24" s="21"/>
      <x:c r="D24" s="35"/>
      <x:c r="E24" s="23"/>
      <x:c r="F24" s="23"/>
      <x:c r="G24" s="25"/>
      <x:c r="H24" s="24"/>
      <x:c r="I24" s="24"/>
      <x:c r="J24" s="24"/>
      <x:c r="K24" s="24"/>
      <x:c r="L24" s="24"/>
      <x:c r="M24" s="24">
        <x:v>1.0</x:v>
      </x:c>
      <x:c r="N24" s="23"/>
      <x:c r="O24" s="94"/>
      <x:c r="P24" s="94"/>
      <x:c r="Q24" s="94"/>
      <x:c r="R24" s="94"/>
      <x:c r="S24" s="26" t="n">
        <x:f>(E24*260+F24*260+G24*470+H24*400+I24*350+J24*615+K24*240+L24*190+M24*240+N24*390+O24*265+P24*265+Q24*395)*1000</x:f>
        <x:v>240000</x:v>
      </x:c>
      <x:c r="T24" s="23" t="s">
        <x:v>74</x:v>
      </x:c>
      <x:c r="U24" s="23" t="s">
        <x:v>31</x:v>
      </x:c>
      <x:c r="V24" s="32"/>
      <x:c r="W24" s="33"/>
      <x:c r="X24" s="34" t="e">
        <x:f>IFERROR(__xludf.DUMMYFUNCTION("SUM(FILTER($E$2:$R$1117, $C$2:$C$1117 = W24))"),1.3879965088925214E7)</x:f>
        <x:v>#NAME?</x:v>
      </x:c>
      <x:c r="Y24" s="34" t="e">
        <x:f>IFERROR(__xludf.DUMMYFUNCTION("COUNT(FILTER($C$2:$C$1117, $C$2:$C$1117 = W24))"),0.0)</x:f>
        <x:v>#NAME?</x:v>
      </x:c>
      <x:c r="Z24" s="31">
        <x:f t="shared" si="4"/>
        <x:v>0</x:v>
      </x:c>
    </x:row>
    <x:row r="25">
      <x:c r="A25" s="19">
        <x:v>24.0</x:v>
      </x:c>
      <x:c r="B25" s="29" t="s">
        <x:v>397</x:v>
      </x:c>
      <x:c r="C25" s="21"/>
      <x:c r="D25" s="55"/>
      <x:c r="E25" s="56"/>
      <x:c r="F25" s="23"/>
      <x:c r="G25" s="25"/>
      <x:c r="H25" s="25"/>
      <x:c r="I25" s="25"/>
      <x:c r="J25" s="25"/>
      <x:c r="K25" s="24"/>
      <x:c r="L25" s="25"/>
      <x:c r="M25" s="24">
        <x:v>1.0</x:v>
      </x:c>
      <x:c r="N25" s="94"/>
      <x:c r="O25" s="23"/>
      <x:c r="P25" s="23"/>
      <x:c r="Q25" s="23"/>
      <x:c r="R25" s="94"/>
      <x:c r="S25" s="26" t="n">
        <x:f>(E25*260+F25*260+G25*470+H25*400+I25*350+J25*615+K25*240+L25*190+M25*240+N25*390+O25*265+P25*265+Q25*395)*1000-20000</x:f>
        <x:v>220000</x:v>
      </x:c>
      <x:c r="T25" s="23" t="s">
        <x:v>74</x:v>
      </x:c>
      <x:c r="U25" s="23" t="s">
        <x:v>31</x:v>
      </x:c>
      <x:c r="V25" s="57"/>
      <x:c r="W25" s="33"/>
      <x:c r="X25" s="34" t="e">
        <x:f>IFERROR(__xludf.DUMMYFUNCTION("SUM(FILTER($E$2:$R$1117, $C$2:$C$1117 = W25))"),1.3879965088925214E7)</x:f>
        <x:v>#NAME?</x:v>
      </x:c>
      <x:c r="Y25" s="34" t="e">
        <x:f>IFERROR(__xludf.DUMMYFUNCTION("COUNT(FILTER($C$2:$C$1117, $C$2:$C$1117 = W25))"),0.0)</x:f>
        <x:v>#NAME?</x:v>
      </x:c>
      <x:c r="Z25" s="31">
        <x:f t="shared" si="4"/>
        <x:v>0</x:v>
      </x:c>
    </x:row>
    <x:row r="26" ht="18.75" customHeight="1">
      <x:c r="A26" s="19"/>
      <x:c r="B26" s="29"/>
      <x:c r="C26" s="21"/>
      <x:c r="D26" s="55"/>
      <x:c r="E26" s="56"/>
      <x:c r="F26" s="23"/>
      <x:c r="G26" s="25"/>
      <x:c r="H26" s="24"/>
      <x:c r="I26" s="24"/>
      <x:c r="J26" s="24"/>
      <x:c r="K26" s="24"/>
      <x:c r="L26" s="24"/>
      <x:c r="M26" s="24"/>
      <x:c r="N26" s="94"/>
      <x:c r="O26" s="94"/>
      <x:c r="P26" s="23"/>
      <x:c r="Q26" s="94"/>
      <x:c r="R26" s="94"/>
      <x:c r="S26" s="26" t="n">
        <x:f t="shared" ref="S26:S72" si="5">(E26*260+F26*260+G26*470+H26*400+I26*350+J26*615+K26*240+L26*190+M26*240+N26*390+O26*265+P26*265+Q26*395)*1000</x:f>
        <x:v>0</x:v>
      </x:c>
      <x:c r="T26" s="23"/>
      <x:c r="U26" s="23"/>
      <x:c r="V26" s="32"/>
      <x:c r="W26" s="33"/>
      <x:c r="X26" s="34" t="e">
        <x:f>IFERROR(__xludf.DUMMYFUNCTION("SUM(FILTER($E$2:$R$1117, $C$2:$C$1117 = W26))"),1.3879965088925214E7)</x:f>
        <x:v>#NAME?</x:v>
      </x:c>
      <x:c r="Y26" s="34" t="e">
        <x:f>IFERROR(__xludf.DUMMYFUNCTION("COUNT(FILTER($C$2:$C$1117, $C$2:$C$1117 = W26))"),0.0)</x:f>
        <x:v>#NAME?</x:v>
      </x:c>
      <x:c r="Z26" s="31">
        <x:f t="shared" si="4"/>
        <x:v>0</x:v>
      </x:c>
    </x:row>
    <x:row r="27" ht="18.75" customHeight="1">
      <x:c r="A27" s="19"/>
      <x:c r="B27" s="29"/>
      <x:c r="C27" s="21"/>
      <x:c r="D27" s="35"/>
      <x:c r="E27" s="23"/>
      <x:c r="F27" s="23"/>
      <x:c r="G27" s="24"/>
      <x:c r="H27" s="25"/>
      <x:c r="I27" s="25"/>
      <x:c r="J27" s="25"/>
      <x:c r="K27" s="25"/>
      <x:c r="L27" s="24"/>
      <x:c r="M27" s="24"/>
      <x:c r="N27" s="94"/>
      <x:c r="O27" s="94"/>
      <x:c r="P27" s="23"/>
      <x:c r="Q27" s="94"/>
      <x:c r="R27" s="94"/>
      <x:c r="S27" s="26">
        <x:f t="shared" si="5"/>
        <x:v>0</x:v>
      </x:c>
      <x:c r="T27" s="23"/>
      <x:c r="U27" s="23"/>
      <x:c r="V27" s="32"/>
      <x:c r="W27" s="33"/>
      <x:c r="X27" s="34" t="e">
        <x:f>IFERROR(__xludf.DUMMYFUNCTION("SUM(FILTER($E$2:$R$1117, $C$2:$C$1117 = W27))"),1.3879965088925214E7)</x:f>
        <x:v>#NAME?</x:v>
      </x:c>
      <x:c r="Y27" s="34" t="e">
        <x:f>IFERROR(__xludf.DUMMYFUNCTION("COUNT(FILTER($C$2:$C$1117, $C$2:$C$1117 = W27))"),0.0)</x:f>
        <x:v>#NAME?</x:v>
      </x:c>
      <x:c r="Z27" s="31">
        <x:f t="shared" si="4"/>
        <x:v>0</x:v>
      </x:c>
    </x:row>
    <x:row r="28" ht="18.75" customHeight="1">
      <x:c r="A28" s="19"/>
      <x:c r="B28" s="29"/>
      <x:c r="C28" s="21"/>
      <x:c r="D28" s="35"/>
      <x:c r="E28" s="23"/>
      <x:c r="F28" s="23"/>
      <x:c r="G28" s="25"/>
      <x:c r="H28" s="25"/>
      <x:c r="I28" s="25"/>
      <x:c r="J28" s="25"/>
      <x:c r="K28" s="25"/>
      <x:c r="L28" s="24"/>
      <x:c r="M28" s="24"/>
      <x:c r="N28" s="94"/>
      <x:c r="O28" s="94"/>
      <x:c r="P28" s="94"/>
      <x:c r="Q28" s="94"/>
      <x:c r="R28" s="94"/>
      <x:c r="S28" s="26">
        <x:f t="shared" si="5"/>
        <x:v>0</x:v>
      </x:c>
      <x:c r="T28" s="23"/>
      <x:c r="U28" s="23"/>
      <x:c r="V28" s="32"/>
      <x:c r="W28" s="33"/>
      <x:c r="X28" s="34" t="e">
        <x:f>IFERROR(__xludf.DUMMYFUNCTION("SUM(FILTER($E$2:$R$1117, $C$2:$C$1117 = W28))"),1.3879965088925214E7)</x:f>
        <x:v>#NAME?</x:v>
      </x:c>
      <x:c r="Y28" s="34" t="e">
        <x:f>IFERROR(__xludf.DUMMYFUNCTION("COUNT(FILTER($C$2:$C$1117, $C$2:$C$1117 = W28))"),0.0)</x:f>
        <x:v>#NAME?</x:v>
      </x:c>
      <x:c r="Z28" s="31">
        <x:f t="shared" si="4"/>
        <x:v>0</x:v>
      </x:c>
    </x:row>
    <x:row r="29" ht="18.75" customHeight="1">
      <x:c r="A29" s="19"/>
      <x:c r="B29" s="29"/>
      <x:c r="C29" s="21"/>
      <x:c r="D29" s="35"/>
      <x:c r="E29" s="23"/>
      <x:c r="F29" s="23"/>
      <x:c r="G29" s="24"/>
      <x:c r="H29" s="24"/>
      <x:c r="I29" s="24"/>
      <x:c r="J29" s="24"/>
      <x:c r="K29" s="25"/>
      <x:c r="L29" s="24"/>
      <x:c r="M29" s="24"/>
      <x:c r="N29" s="94"/>
      <x:c r="O29" s="94"/>
      <x:c r="P29" s="94"/>
      <x:c r="Q29" s="94"/>
      <x:c r="R29" s="94"/>
      <x:c r="S29" s="26">
        <x:f t="shared" si="5"/>
        <x:v>0</x:v>
      </x:c>
      <x:c r="T29" s="23"/>
      <x:c r="U29" s="23"/>
      <x:c r="V29" s="32"/>
      <x:c r="W29" s="33"/>
      <x:c r="X29" s="34" t="e">
        <x:f>IFERROR(__xludf.DUMMYFUNCTION("SUM(FILTER($E$2:$R$1117, $C$2:$C$1117 = W29))"),1.3879965088925214E7)</x:f>
        <x:v>#NAME?</x:v>
      </x:c>
      <x:c r="Y29" s="34" t="e">
        <x:f>IFERROR(__xludf.DUMMYFUNCTION("COUNT(FILTER($C$2:$C$1117, $C$2:$C$1117 = W29))"),0.0)</x:f>
        <x:v>#NAME?</x:v>
      </x:c>
      <x:c r="Z29" s="31">
        <x:f t="shared" si="4"/>
        <x:v>0</x:v>
      </x:c>
    </x:row>
    <x:row r="30" ht="18.75" customHeight="1">
      <x:c r="A30" s="19"/>
      <x:c r="B30" s="29"/>
      <x:c r="C30" s="21"/>
      <x:c r="D30" s="35"/>
      <x:c r="E30" s="23"/>
      <x:c r="F30" s="23"/>
      <x:c r="G30" s="24"/>
      <x:c r="H30" s="24"/>
      <x:c r="I30" s="24"/>
      <x:c r="J30" s="24"/>
      <x:c r="K30" s="25"/>
      <x:c r="L30" s="24"/>
      <x:c r="M30" s="24"/>
      <x:c r="N30" s="94"/>
      <x:c r="O30" s="94"/>
      <x:c r="P30" s="94"/>
      <x:c r="Q30" s="94"/>
      <x:c r="R30" s="94"/>
      <x:c r="S30" s="26">
        <x:f t="shared" si="5"/>
        <x:v>0</x:v>
      </x:c>
      <x:c r="T30" s="23"/>
      <x:c r="U30" s="23"/>
      <x:c r="V30" s="32"/>
      <x:c r="W30" s="33"/>
      <x:c r="X30" s="34" t="e">
        <x:f>IFERROR(__xludf.DUMMYFUNCTION("SUM(FILTER($E$2:$R$1117, $C$2:$C$1117 = W30))"),1.3879965088925214E7)</x:f>
        <x:v>#NAME?</x:v>
      </x:c>
      <x:c r="Y30" s="34" t="e">
        <x:f>IFERROR(__xludf.DUMMYFUNCTION("COUNT(FILTER($C$2:$C$1117, $C$2:$C$1117 = W30))"),0.0)</x:f>
        <x:v>#NAME?</x:v>
      </x:c>
      <x:c r="Z30" s="31">
        <x:f t="shared" si="4"/>
        <x:v>0</x:v>
      </x:c>
    </x:row>
    <x:row r="31">
      <x:c r="A31" s="19"/>
      <x:c r="B31" s="29"/>
      <x:c r="C31" s="21"/>
      <x:c r="D31" s="35"/>
      <x:c r="E31" s="23"/>
      <x:c r="F31" s="23"/>
      <x:c r="G31" s="25"/>
      <x:c r="H31" s="25"/>
      <x:c r="I31" s="25"/>
      <x:c r="J31" s="25"/>
      <x:c r="K31" s="24"/>
      <x:c r="L31" s="24"/>
      <x:c r="M31" s="24"/>
      <x:c r="N31" s="94"/>
      <x:c r="O31" s="94"/>
      <x:c r="P31" s="94"/>
      <x:c r="Q31" s="94"/>
      <x:c r="R31" s="94"/>
      <x:c r="S31" s="26">
        <x:f t="shared" si="5"/>
        <x:v>0</x:v>
      </x:c>
      <x:c r="T31" s="23"/>
      <x:c r="U31" s="23"/>
      <x:c r="V31" s="57"/>
      <x:c r="W31" s="33"/>
      <x:c r="X31" s="34" t="e">
        <x:f>IFERROR(__xludf.DUMMYFUNCTION("SUM(FILTER($E$2:$R$1117, $C$2:$C$1117 = W31))"),1.3879965088925214E7)</x:f>
        <x:v>#NAME?</x:v>
      </x:c>
      <x:c r="Y31" s="34" t="e">
        <x:f>IFERROR(__xludf.DUMMYFUNCTION("COUNT(FILTER($C$2:$C$1117, $C$2:$C$1117 = W31))"),0.0)</x:f>
        <x:v>#NAME?</x:v>
      </x:c>
      <x:c r="Z31" s="31">
        <x:f t="shared" si="4"/>
        <x:v>0</x:v>
      </x:c>
    </x:row>
    <x:row r="32" ht="18.75" customHeight="1">
      <x:c r="A32" s="19"/>
      <x:c r="B32" s="29"/>
      <x:c r="C32" s="21"/>
      <x:c r="D32" s="35"/>
      <x:c r="E32" s="56"/>
      <x:c r="F32" s="23"/>
      <x:c r="G32" s="24"/>
      <x:c r="H32" s="24"/>
      <x:c r="I32" s="24"/>
      <x:c r="J32" s="24"/>
      <x:c r="K32" s="24"/>
      <x:c r="L32" s="24"/>
      <x:c r="M32" s="24"/>
      <x:c r="N32" s="94"/>
      <x:c r="O32" s="94"/>
      <x:c r="P32" s="94"/>
      <x:c r="Q32" s="94"/>
      <x:c r="R32" s="94"/>
      <x:c r="S32" s="26">
        <x:f t="shared" si="5"/>
        <x:v>0</x:v>
      </x:c>
      <x:c r="T32" s="23"/>
      <x:c r="U32" s="23"/>
      <x:c r="V32" s="57"/>
      <x:c r="W32" s="33"/>
      <x:c r="X32" s="34" t="e">
        <x:f>IFERROR(__xludf.DUMMYFUNCTION("SUM(FILTER($E$2:$R$1117, $C$2:$C$1117 = W32))"),1.3879965088925214E7)</x:f>
        <x:v>#NAME?</x:v>
      </x:c>
      <x:c r="Y32" s="34" t="e">
        <x:f>IFERROR(__xludf.DUMMYFUNCTION("COUNT(FILTER($C$2:$C$1117, $C$2:$C$1117 = W32))"),0.0)</x:f>
        <x:v>#NAME?</x:v>
      </x:c>
      <x:c r="Z32" s="31">
        <x:f t="shared" si="4"/>
        <x:v>0</x:v>
      </x:c>
    </x:row>
    <x:row r="33" ht="18.75" customHeight="1">
      <x:c r="A33" s="19"/>
      <x:c r="B33" s="29"/>
      <x:c r="C33" s="21"/>
      <x:c r="D33" s="35"/>
      <x:c r="E33" s="56"/>
      <x:c r="F33" s="23"/>
      <x:c r="G33" s="24"/>
      <x:c r="H33" s="24"/>
      <x:c r="I33" s="24"/>
      <x:c r="J33" s="24"/>
      <x:c r="K33" s="24"/>
      <x:c r="L33" s="24"/>
      <x:c r="M33" s="24"/>
      <x:c r="N33" s="94"/>
      <x:c r="O33" s="94"/>
      <x:c r="P33" s="94"/>
      <x:c r="Q33" s="94"/>
      <x:c r="R33" s="94"/>
      <x:c r="S33" s="26">
        <x:f t="shared" si="5"/>
        <x:v>0</x:v>
      </x:c>
      <x:c r="T33" s="23"/>
      <x:c r="U33" s="23"/>
      <x:c r="V33" s="32"/>
      <x:c r="W33" s="33"/>
      <x:c r="X33" s="34" t="e">
        <x:f>IFERROR(__xludf.DUMMYFUNCTION("SUM(FILTER($E$2:$R$1117, $C$2:$C$1117 = W33))"),1.3879965088925214E7)</x:f>
        <x:v>#NAME?</x:v>
      </x:c>
      <x:c r="Y33" s="34" t="e">
        <x:f>IFERROR(__xludf.DUMMYFUNCTION("COUNT(FILTER($C$2:$C$1117, $C$2:$C$1117 = W33))"),0.0)</x:f>
        <x:v>#NAME?</x:v>
      </x:c>
      <x:c r="Z33" s="31">
        <x:f t="shared" si="4"/>
        <x:v>0</x:v>
      </x:c>
    </x:row>
    <x:row r="34" ht="18.75" customHeight="1">
      <x:c r="A34" s="19"/>
      <x:c r="B34" s="29"/>
      <x:c r="C34" s="21"/>
      <x:c r="D34" s="55"/>
      <x:c r="E34" s="23"/>
      <x:c r="F34" s="23"/>
      <x:c r="G34" s="24"/>
      <x:c r="H34" s="24"/>
      <x:c r="I34" s="24"/>
      <x:c r="J34" s="24"/>
      <x:c r="K34" s="24"/>
      <x:c r="L34" s="24"/>
      <x:c r="M34" s="24"/>
      <x:c r="N34" s="94"/>
      <x:c r="O34" s="94"/>
      <x:c r="P34" s="94"/>
      <x:c r="Q34" s="94"/>
      <x:c r="R34" s="94"/>
      <x:c r="S34" s="26">
        <x:f t="shared" si="5"/>
        <x:v>0</x:v>
      </x:c>
      <x:c r="T34" s="23"/>
      <x:c r="U34" s="23"/>
      <x:c r="V34" s="32"/>
      <x:c r="W34" s="33"/>
      <x:c r="X34" s="34" t="e">
        <x:f>IFERROR(__xludf.DUMMYFUNCTION("SUM(FILTER($E$2:$R$1117, $C$2:$C$1117 = W34))"),1.3879965088925214E7)</x:f>
        <x:v>#NAME?</x:v>
      </x:c>
      <x:c r="Y34" s="34" t="e">
        <x:f>IFERROR(__xludf.DUMMYFUNCTION("COUNT(FILTER($C$2:$C$1117, $C$2:$C$1117 = W34))"),0.0)</x:f>
        <x:v>#NAME?</x:v>
      </x:c>
      <x:c r="Z34" s="31">
        <x:f t="shared" si="4"/>
        <x:v>0</x:v>
      </x:c>
    </x:row>
    <x:row r="35" ht="18.75" customHeight="1">
      <x:c r="A35" s="19"/>
      <x:c r="B35" s="29"/>
      <x:c r="C35" s="21"/>
      <x:c r="D35" s="35"/>
      <x:c r="E35" s="23"/>
      <x:c r="F35" s="23"/>
      <x:c r="G35" s="24"/>
      <x:c r="H35" s="24"/>
      <x:c r="I35" s="24"/>
      <x:c r="J35" s="24"/>
      <x:c r="K35" s="24"/>
      <x:c r="L35" s="24"/>
      <x:c r="M35" s="24"/>
      <x:c r="N35" s="23"/>
      <x:c r="O35" s="23"/>
      <x:c r="P35" s="23"/>
      <x:c r="Q35" s="23"/>
      <x:c r="R35" s="23"/>
      <x:c r="S35" s="26">
        <x:f t="shared" si="5"/>
        <x:v>0</x:v>
      </x:c>
      <x:c r="T35" s="23"/>
      <x:c r="U35" s="23"/>
      <x:c r="V35" s="32"/>
      <x:c r="W35" s="33"/>
      <x:c r="X35" s="34" t="e">
        <x:f>IFERROR(__xludf.DUMMYFUNCTION("SUM(FILTER($E$2:$R$1117, $C$2:$C$1117 = W35))"),1.3879965088925214E7)</x:f>
        <x:v>#NAME?</x:v>
      </x:c>
      <x:c r="Y35" s="34" t="e">
        <x:f>IFERROR(__xludf.DUMMYFUNCTION("COUNT(FILTER($C$2:$C$1117, $C$2:$C$1117 = W35))"),0.0)</x:f>
        <x:v>#NAME?</x:v>
      </x:c>
      <x:c r="Z35" s="31">
        <x:f t="shared" si="4"/>
        <x:v>0</x:v>
      </x:c>
    </x:row>
    <x:row r="36" ht="18.75" customHeight="1">
      <x:c r="A36" s="19"/>
      <x:c r="B36" s="29"/>
      <x:c r="C36" s="21"/>
      <x:c r="D36" s="35"/>
      <x:c r="E36" s="56"/>
      <x:c r="F36" s="23"/>
      <x:c r="G36" s="25"/>
      <x:c r="H36" s="25"/>
      <x:c r="I36" s="25"/>
      <x:c r="J36" s="25"/>
      <x:c r="K36" s="24"/>
      <x:c r="L36" s="25"/>
      <x:c r="M36" s="25"/>
      <x:c r="N36" s="94"/>
      <x:c r="O36" s="94"/>
      <x:c r="P36" s="94"/>
      <x:c r="Q36" s="94"/>
      <x:c r="R36" s="94"/>
      <x:c r="S36" s="26">
        <x:f t="shared" si="5"/>
        <x:v>0</x:v>
      </x:c>
      <x:c r="T36" s="23"/>
      <x:c r="U36" s="23"/>
      <x:c r="V36" s="32"/>
      <x:c r="W36" s="33"/>
      <x:c r="X36" s="34" t="e">
        <x:f>IFERROR(__xludf.DUMMYFUNCTION("SUM(FILTER($E$2:$R$1117, $C$2:$C$1117 = W36))"),1.3879965088925214E7)</x:f>
        <x:v>#NAME?</x:v>
      </x:c>
      <x:c r="Y36" s="34" t="e">
        <x:f>IFERROR(__xludf.DUMMYFUNCTION("COUNT(FILTER($C$2:$C$1117, $C$2:$C$1117 = W36))"),0.0)</x:f>
        <x:v>#NAME?</x:v>
      </x:c>
      <x:c r="Z36" s="31">
        <x:f t="shared" si="4"/>
        <x:v>0</x:v>
      </x:c>
    </x:row>
    <x:row r="37" ht="18.75" customHeight="1">
      <x:c r="A37" s="19"/>
      <x:c r="B37" s="29"/>
      <x:c r="C37" s="21"/>
      <x:c r="D37" s="35"/>
      <x:c r="E37" s="23"/>
      <x:c r="F37" s="23"/>
      <x:c r="G37" s="24"/>
      <x:c r="H37" s="24"/>
      <x:c r="I37" s="24"/>
      <x:c r="J37" s="24"/>
      <x:c r="K37" s="24"/>
      <x:c r="L37" s="24"/>
      <x:c r="M37" s="24"/>
      <x:c r="N37" s="94"/>
      <x:c r="O37" s="94"/>
      <x:c r="P37" s="94"/>
      <x:c r="Q37" s="94"/>
      <x:c r="R37" s="94"/>
      <x:c r="S37" s="26">
        <x:f t="shared" si="5"/>
        <x:v>0</x:v>
      </x:c>
      <x:c r="T37" s="23"/>
      <x:c r="U37" s="23"/>
      <x:c r="V37" s="32"/>
      <x:c r="W37" s="33"/>
      <x:c r="X37" s="34" t="e">
        <x:f>IFERROR(__xludf.DUMMYFUNCTION("SUM(FILTER($E$2:$R$1117, $C$2:$C$1117 = W37))"),1.3879965088925214E7)</x:f>
        <x:v>#NAME?</x:v>
      </x:c>
      <x:c r="Y37" s="34" t="e">
        <x:f>IFERROR(__xludf.DUMMYFUNCTION("COUNT(FILTER($C$2:$C$1117, $C$2:$C$1117 = W37))"),0.0)</x:f>
        <x:v>#NAME?</x:v>
      </x:c>
      <x:c r="Z37" s="31">
        <x:f t="shared" si="4"/>
        <x:v>0</x:v>
      </x:c>
    </x:row>
    <x:row r="38" ht="18.75" customHeight="1">
      <x:c r="A38" s="19"/>
      <x:c r="B38" s="29"/>
      <x:c r="C38" s="21"/>
      <x:c r="D38" s="35"/>
      <x:c r="E38" s="23"/>
      <x:c r="F38" s="23"/>
      <x:c r="G38" s="25"/>
      <x:c r="H38" s="25"/>
      <x:c r="I38" s="25"/>
      <x:c r="J38" s="25"/>
      <x:c r="K38" s="24"/>
      <x:c r="L38" s="24"/>
      <x:c r="M38" s="24"/>
      <x:c r="N38" s="94"/>
      <x:c r="O38" s="94"/>
      <x:c r="P38" s="94"/>
      <x:c r="Q38" s="94"/>
      <x:c r="R38" s="94"/>
      <x:c r="S38" s="26">
        <x:f t="shared" si="5"/>
        <x:v>0</x:v>
      </x:c>
      <x:c r="T38" s="23"/>
      <x:c r="U38" s="23"/>
      <x:c r="W38" s="33"/>
      <x:c r="X38" s="34" t="e">
        <x:f>IFERROR(__xludf.DUMMYFUNCTION("SUM(FILTER($E$2:$R$1117, $C$2:$C$1117 = W38))"),1.3879965088925214E7)</x:f>
        <x:v>#NAME?</x:v>
      </x:c>
      <x:c r="Y38" s="34" t="e">
        <x:f>IFERROR(__xludf.DUMMYFUNCTION("COUNT(FILTER($C$2:$C$1117, $C$2:$C$1117 = W38))"),0.0)</x:f>
        <x:v>#NAME?</x:v>
      </x:c>
      <x:c r="Z38" s="31">
        <x:f t="shared" si="4"/>
        <x:v>0</x:v>
      </x:c>
    </x:row>
    <x:row r="39" ht="18.75" customHeight="1">
      <x:c r="A39" s="19"/>
      <x:c r="B39" s="29"/>
      <x:c r="C39" s="21"/>
      <x:c r="D39" s="35"/>
      <x:c r="E39" s="23"/>
      <x:c r="F39" s="23"/>
      <x:c r="G39" s="25"/>
      <x:c r="H39" s="25"/>
      <x:c r="I39" s="25"/>
      <x:c r="J39" s="25"/>
      <x:c r="K39" s="24"/>
      <x:c r="L39" s="24"/>
      <x:c r="M39" s="24"/>
      <x:c r="N39" s="94"/>
      <x:c r="O39" s="94"/>
      <x:c r="P39" s="94"/>
      <x:c r="Q39" s="94"/>
      <x:c r="R39" s="94"/>
      <x:c r="S39" s="26">
        <x:f t="shared" si="5"/>
        <x:v>0</x:v>
      </x:c>
      <x:c r="T39" s="23"/>
      <x:c r="U39" s="23"/>
    </x:row>
    <x:row r="40">
      <x:c r="A40" s="19"/>
      <x:c r="B40" s="29"/>
      <x:c r="C40" s="21"/>
      <x:c r="D40" s="35"/>
      <x:c r="E40" s="56"/>
      <x:c r="F40" s="23"/>
      <x:c r="G40" s="24"/>
      <x:c r="H40" s="24"/>
      <x:c r="I40" s="24"/>
      <x:c r="J40" s="24"/>
      <x:c r="K40" s="24"/>
      <x:c r="L40" s="24"/>
      <x:c r="M40" s="24"/>
      <x:c r="N40" s="94"/>
      <x:c r="O40" s="94"/>
      <x:c r="P40" s="94"/>
      <x:c r="Q40" s="94"/>
      <x:c r="R40" s="94"/>
      <x:c r="S40" s="26">
        <x:f t="shared" si="5"/>
        <x:v>0</x:v>
      </x:c>
      <x:c r="T40" s="23"/>
      <x:c r="U40" s="23"/>
      <x:c r="V40" s="32"/>
    </x:row>
    <x:row r="41" ht="18.75" customHeight="1">
      <x:c r="A41" s="19"/>
      <x:c r="B41" s="29"/>
      <x:c r="C41" s="21"/>
      <x:c r="D41" s="35"/>
      <x:c r="E41" s="23"/>
      <x:c r="F41" s="23"/>
      <x:c r="G41" s="25"/>
      <x:c r="H41" s="25"/>
      <x:c r="I41" s="25"/>
      <x:c r="J41" s="25"/>
      <x:c r="K41" s="24"/>
      <x:c r="L41" s="24"/>
      <x:c r="M41" s="24"/>
      <x:c r="N41" s="94"/>
      <x:c r="O41" s="94"/>
      <x:c r="P41" s="94"/>
      <x:c r="Q41" s="94"/>
      <x:c r="R41" s="94"/>
      <x:c r="S41" s="26">
        <x:f t="shared" si="5"/>
        <x:v>0</x:v>
      </x:c>
      <x:c r="T41" s="23"/>
      <x:c r="U41" s="23"/>
    </x:row>
    <x:row r="42" ht="18.75" customHeight="1">
      <x:c r="A42" s="19"/>
      <x:c r="B42" s="29"/>
      <x:c r="C42" s="21"/>
      <x:c r="D42" s="35"/>
      <x:c r="E42" s="23"/>
      <x:c r="F42" s="23"/>
      <x:c r="G42" s="25"/>
      <x:c r="H42" s="25"/>
      <x:c r="I42" s="25"/>
      <x:c r="J42" s="25"/>
      <x:c r="K42" s="24"/>
      <x:c r="L42" s="24"/>
      <x:c r="M42" s="24"/>
      <x:c r="N42" s="94"/>
      <x:c r="O42" s="94"/>
      <x:c r="P42" s="94"/>
      <x:c r="Q42" s="94"/>
      <x:c r="R42" s="94"/>
      <x:c r="S42" s="26">
        <x:f t="shared" si="5"/>
        <x:v>0</x:v>
      </x:c>
      <x:c r="T42" s="23"/>
      <x:c r="U42" s="23"/>
    </x:row>
    <x:row r="43" ht="18.75" customHeight="1">
      <x:c r="A43" s="19"/>
      <x:c r="B43" s="29"/>
      <x:c r="C43" s="21"/>
      <x:c r="D43" s="35"/>
      <x:c r="E43" s="23"/>
      <x:c r="F43" s="23"/>
      <x:c r="G43" s="24"/>
      <x:c r="H43" s="24"/>
      <x:c r="I43" s="24"/>
      <x:c r="J43" s="24"/>
      <x:c r="K43" s="24"/>
      <x:c r="L43" s="24"/>
      <x:c r="M43" s="24"/>
      <x:c r="N43" s="94"/>
      <x:c r="O43" s="94"/>
      <x:c r="P43" s="94"/>
      <x:c r="Q43" s="94"/>
      <x:c r="R43" s="94"/>
      <x:c r="S43" s="26">
        <x:f t="shared" si="5"/>
        <x:v>0</x:v>
      </x:c>
      <x:c r="T43" s="23"/>
      <x:c r="U43" s="23"/>
    </x:row>
    <x:row r="44" ht="18.75" customHeight="1">
      <x:c r="A44" s="19"/>
      <x:c r="B44" s="29"/>
      <x:c r="C44" s="21"/>
      <x:c r="D44" s="35"/>
      <x:c r="E44" s="23"/>
      <x:c r="F44" s="23"/>
      <x:c r="G44" s="25"/>
      <x:c r="H44" s="25"/>
      <x:c r="I44" s="25"/>
      <x:c r="J44" s="25"/>
      <x:c r="K44" s="24"/>
      <x:c r="L44" s="24"/>
      <x:c r="M44" s="24"/>
      <x:c r="N44" s="94"/>
      <x:c r="O44" s="94"/>
      <x:c r="P44" s="94"/>
      <x:c r="Q44" s="94"/>
      <x:c r="R44" s="94"/>
      <x:c r="S44" s="26">
        <x:f t="shared" si="5"/>
        <x:v>0</x:v>
      </x:c>
      <x:c r="T44" s="23"/>
      <x:c r="U44" s="23"/>
    </x:row>
    <x:row r="45" ht="18.75" customHeight="1">
      <x:c r="A45" s="19"/>
      <x:c r="B45" s="29"/>
      <x:c r="C45" s="21"/>
      <x:c r="D45" s="55"/>
      <x:c r="E45" s="23"/>
      <x:c r="F45" s="23"/>
      <x:c r="G45" s="25"/>
      <x:c r="H45" s="24"/>
      <x:c r="I45" s="24"/>
      <x:c r="J45" s="24"/>
      <x:c r="K45" s="24"/>
      <x:c r="L45" s="24"/>
      <x:c r="M45" s="24"/>
      <x:c r="N45" s="94"/>
      <x:c r="O45" s="94"/>
      <x:c r="P45" s="94"/>
      <x:c r="Q45" s="94"/>
      <x:c r="R45" s="94"/>
      <x:c r="S45" s="26">
        <x:f t="shared" si="5"/>
        <x:v>0</x:v>
      </x:c>
      <x:c r="T45" s="23"/>
      <x:c r="U45" s="23"/>
    </x:row>
    <x:row r="46" ht="18.75" customHeight="1">
      <x:c r="A46" s="19"/>
      <x:c r="B46" s="71"/>
      <x:c r="C46" s="21"/>
      <x:c r="D46" s="35"/>
      <x:c r="E46" s="23"/>
      <x:c r="F46" s="23"/>
      <x:c r="G46" s="25"/>
      <x:c r="H46" s="25"/>
      <x:c r="I46" s="25"/>
      <x:c r="J46" s="25"/>
      <x:c r="K46" s="24"/>
      <x:c r="L46" s="24"/>
      <x:c r="M46" s="24"/>
      <x:c r="N46" s="94"/>
      <x:c r="O46" s="94"/>
      <x:c r="P46" s="94"/>
      <x:c r="Q46" s="94"/>
      <x:c r="R46" s="94"/>
      <x:c r="S46" s="26">
        <x:f t="shared" si="5"/>
        <x:v>0</x:v>
      </x:c>
      <x:c r="T46" s="23"/>
      <x:c r="U46" s="23"/>
    </x:row>
    <x:row r="47" ht="18.75" customHeight="1">
      <x:c r="A47" s="19"/>
      <x:c r="B47" s="29"/>
      <x:c r="C47" s="21"/>
      <x:c r="D47" s="35"/>
      <x:c r="E47" s="56"/>
      <x:c r="F47" s="23"/>
      <x:c r="G47" s="25"/>
      <x:c r="H47" s="25"/>
      <x:c r="I47" s="25"/>
      <x:c r="J47" s="25"/>
      <x:c r="K47" s="24"/>
      <x:c r="L47" s="24"/>
      <x:c r="M47" s="24"/>
      <x:c r="N47" s="94"/>
      <x:c r="O47" s="94"/>
      <x:c r="P47" s="94"/>
      <x:c r="Q47" s="94"/>
      <x:c r="R47" s="94"/>
      <x:c r="S47" s="26">
        <x:f t="shared" si="5"/>
        <x:v>0</x:v>
      </x:c>
      <x:c r="T47" s="23"/>
      <x:c r="U47" s="23"/>
    </x:row>
    <x:row r="48" ht="18.75" customHeight="1">
      <x:c r="A48" s="19"/>
      <x:c r="B48" s="29"/>
      <x:c r="C48" s="21"/>
      <x:c r="D48" s="35"/>
      <x:c r="E48" s="23"/>
      <x:c r="F48" s="23"/>
      <x:c r="G48" s="25"/>
      <x:c r="H48" s="25"/>
      <x:c r="I48" s="25"/>
      <x:c r="J48" s="25"/>
      <x:c r="K48" s="24"/>
      <x:c r="L48" s="25"/>
      <x:c r="M48" s="25"/>
      <x:c r="N48" s="94"/>
      <x:c r="O48" s="94"/>
      <x:c r="P48" s="94"/>
      <x:c r="Q48" s="94"/>
      <x:c r="R48" s="94"/>
      <x:c r="S48" s="26">
        <x:f t="shared" si="5"/>
        <x:v>0</x:v>
      </x:c>
      <x:c r="T48" s="23"/>
      <x:c r="U48" s="23"/>
    </x:row>
    <x:row r="49" ht="18.75" customHeight="1">
      <x:c r="A49" s="19"/>
      <x:c r="B49" s="29"/>
      <x:c r="C49" s="21"/>
      <x:c r="D49" s="55"/>
      <x:c r="E49" s="23"/>
      <x:c r="F49" s="23"/>
      <x:c r="G49" s="25"/>
      <x:c r="H49" s="25"/>
      <x:c r="I49" s="25"/>
      <x:c r="J49" s="25"/>
      <x:c r="K49" s="24"/>
      <x:c r="L49" s="24"/>
      <x:c r="M49" s="24"/>
      <x:c r="N49" s="94"/>
      <x:c r="O49" s="94"/>
      <x:c r="P49" s="94"/>
      <x:c r="Q49" s="94"/>
      <x:c r="R49" s="94"/>
      <x:c r="S49" s="26">
        <x:f t="shared" si="5"/>
        <x:v>0</x:v>
      </x:c>
      <x:c r="T49" s="23"/>
      <x:c r="U49" s="23"/>
    </x:row>
    <x:row r="50" ht="18.75" customHeight="1">
      <x:c r="A50" s="19"/>
      <x:c r="B50" s="29"/>
      <x:c r="C50" s="21"/>
      <x:c r="D50" s="55"/>
      <x:c r="E50" s="56"/>
      <x:c r="F50" s="23"/>
      <x:c r="G50" s="24"/>
      <x:c r="H50" s="24"/>
      <x:c r="I50" s="24"/>
      <x:c r="J50" s="24"/>
      <x:c r="K50" s="24"/>
      <x:c r="L50" s="24"/>
      <x:c r="M50" s="24"/>
      <x:c r="N50" s="94"/>
      <x:c r="O50" s="94"/>
      <x:c r="P50" s="94"/>
      <x:c r="Q50" s="94"/>
      <x:c r="R50" s="94"/>
      <x:c r="S50" s="26">
        <x:f t="shared" si="5"/>
        <x:v>0</x:v>
      </x:c>
      <x:c r="T50" s="23"/>
      <x:c r="U50" s="23"/>
    </x:row>
    <x:row r="51" ht="18.75" customHeight="1">
      <x:c r="A51" s="19"/>
      <x:c r="B51" s="29"/>
      <x:c r="C51" s="21"/>
      <x:c r="D51" s="35"/>
      <x:c r="E51" s="56"/>
      <x:c r="F51" s="23"/>
      <x:c r="G51" s="24"/>
      <x:c r="H51" s="24"/>
      <x:c r="I51" s="24"/>
      <x:c r="J51" s="24"/>
      <x:c r="K51" s="24"/>
      <x:c r="L51" s="24"/>
      <x:c r="M51" s="24"/>
      <x:c r="N51" s="94"/>
      <x:c r="O51" s="94"/>
      <x:c r="P51" s="94"/>
      <x:c r="Q51" s="94"/>
      <x:c r="R51" s="94"/>
      <x:c r="S51" s="26">
        <x:f t="shared" si="5"/>
        <x:v>0</x:v>
      </x:c>
      <x:c r="T51" s="23"/>
      <x:c r="U51" s="23"/>
    </x:row>
    <x:row r="52" ht="18.75" customHeight="1">
      <x:c r="A52" s="19"/>
      <x:c r="B52" s="29"/>
      <x:c r="C52" s="21"/>
      <x:c r="D52" s="55"/>
      <x:c r="E52" s="56"/>
      <x:c r="F52" s="23"/>
      <x:c r="G52" s="24"/>
      <x:c r="H52" s="24"/>
      <x:c r="I52" s="24"/>
      <x:c r="J52" s="24"/>
      <x:c r="K52" s="24"/>
      <x:c r="L52" s="24"/>
      <x:c r="M52" s="24"/>
      <x:c r="N52" s="94"/>
      <x:c r="O52" s="94"/>
      <x:c r="P52" s="94"/>
      <x:c r="Q52" s="94"/>
      <x:c r="R52" s="94"/>
      <x:c r="S52" s="26">
        <x:f t="shared" si="5"/>
        <x:v>0</x:v>
      </x:c>
      <x:c r="T52" s="23"/>
      <x:c r="U52" s="23"/>
      <x:c r="V52" s="39"/>
    </x:row>
    <x:row r="53" ht="18.75" customHeight="1">
      <x:c r="A53" s="19"/>
      <x:c r="B53" s="29"/>
      <x:c r="C53" s="21"/>
      <x:c r="D53" s="35"/>
      <x:c r="E53" s="56"/>
      <x:c r="F53" s="23"/>
      <x:c r="G53" s="24"/>
      <x:c r="H53" s="24"/>
      <x:c r="I53" s="24"/>
      <x:c r="J53" s="24"/>
      <x:c r="K53" s="24"/>
      <x:c r="L53" s="24"/>
      <x:c r="M53" s="24"/>
      <x:c r="N53" s="23"/>
      <x:c r="O53" s="23"/>
      <x:c r="P53" s="23"/>
      <x:c r="Q53" s="23"/>
      <x:c r="R53" s="94"/>
      <x:c r="S53" s="26">
        <x:f t="shared" si="5"/>
        <x:v>0</x:v>
      </x:c>
      <x:c r="T53" s="23"/>
      <x:c r="U53" s="23"/>
    </x:row>
    <x:row r="54" ht="18.75" customHeight="1">
      <x:c r="A54" s="19"/>
      <x:c r="B54" s="29"/>
      <x:c r="C54" s="21"/>
      <x:c r="D54" s="35"/>
      <x:c r="E54" s="56"/>
      <x:c r="F54" s="23"/>
      <x:c r="G54" s="25"/>
      <x:c r="H54" s="25"/>
      <x:c r="I54" s="25"/>
      <x:c r="J54" s="25"/>
      <x:c r="K54" s="24"/>
      <x:c r="L54" s="24"/>
      <x:c r="M54" s="24"/>
      <x:c r="N54" s="94"/>
      <x:c r="O54" s="94"/>
      <x:c r="P54" s="94"/>
      <x:c r="Q54" s="94"/>
      <x:c r="R54" s="94"/>
      <x:c r="S54" s="26">
        <x:f t="shared" si="5"/>
        <x:v>0</x:v>
      </x:c>
      <x:c r="T54" s="23"/>
      <x:c r="U54" s="23"/>
    </x:row>
    <x:row r="55" ht="18.75" customHeight="1">
      <x:c r="A55" s="19"/>
      <x:c r="B55" s="29"/>
      <x:c r="C55" s="21"/>
      <x:c r="D55" s="55"/>
      <x:c r="E55" s="23"/>
      <x:c r="F55" s="23"/>
      <x:c r="G55" s="25"/>
      <x:c r="H55" s="25"/>
      <x:c r="I55" s="25"/>
      <x:c r="J55" s="25"/>
      <x:c r="K55" s="24"/>
      <x:c r="L55" s="24"/>
      <x:c r="M55" s="24"/>
      <x:c r="N55" s="94"/>
      <x:c r="O55" s="94"/>
      <x:c r="P55" s="94"/>
      <x:c r="Q55" s="94"/>
      <x:c r="R55" s="94"/>
      <x:c r="S55" s="26">
        <x:f t="shared" si="5"/>
        <x:v>0</x:v>
      </x:c>
      <x:c r="T55" s="23"/>
      <x:c r="U55" s="23"/>
    </x:row>
    <x:row r="56" ht="18.75" customHeight="1">
      <x:c r="A56" s="19"/>
      <x:c r="B56" s="29"/>
      <x:c r="C56" s="21"/>
      <x:c r="D56" s="35"/>
      <x:c r="E56" s="23"/>
      <x:c r="F56" s="23"/>
      <x:c r="G56" s="25"/>
      <x:c r="H56" s="25"/>
      <x:c r="I56" s="25"/>
      <x:c r="J56" s="25"/>
      <x:c r="K56" s="24"/>
      <x:c r="L56" s="24"/>
      <x:c r="M56" s="24"/>
      <x:c r="N56" s="94"/>
      <x:c r="O56" s="94"/>
      <x:c r="P56" s="94"/>
      <x:c r="Q56" s="94"/>
      <x:c r="R56" s="94"/>
      <x:c r="S56" s="26">
        <x:f t="shared" si="5"/>
        <x:v>0</x:v>
      </x:c>
      <x:c r="T56" s="23"/>
      <x:c r="U56" s="23"/>
    </x:row>
    <x:row r="57" ht="18.75" customHeight="1">
      <x:c r="A57" s="19"/>
      <x:c r="B57" s="29"/>
      <x:c r="C57" s="21"/>
      <x:c r="D57" s="35"/>
      <x:c r="E57" s="56"/>
      <x:c r="F57" s="23"/>
      <x:c r="G57" s="25"/>
      <x:c r="H57" s="25"/>
      <x:c r="I57" s="25"/>
      <x:c r="J57" s="25"/>
      <x:c r="K57" s="24"/>
      <x:c r="L57" s="25"/>
      <x:c r="M57" s="25"/>
      <x:c r="N57" s="94"/>
      <x:c r="O57" s="94"/>
      <x:c r="P57" s="94"/>
      <x:c r="Q57" s="94"/>
      <x:c r="R57" s="94"/>
      <x:c r="S57" s="26">
        <x:f t="shared" si="5"/>
        <x:v>0</x:v>
      </x:c>
      <x:c r="T57" s="23"/>
      <x:c r="U57" s="23"/>
    </x:row>
    <x:row r="58" ht="18.75" customHeight="1">
      <x:c r="A58" s="19"/>
      <x:c r="B58" s="29"/>
      <x:c r="C58" s="21"/>
      <x:c r="D58" s="35"/>
      <x:c r="E58" s="23"/>
      <x:c r="F58" s="23"/>
      <x:c r="G58" s="25"/>
      <x:c r="H58" s="25"/>
      <x:c r="I58" s="25"/>
      <x:c r="J58" s="25"/>
      <x:c r="K58" s="24"/>
      <x:c r="L58" s="24"/>
      <x:c r="M58" s="24"/>
      <x:c r="N58" s="94"/>
      <x:c r="O58" s="94"/>
      <x:c r="P58" s="94"/>
      <x:c r="Q58" s="94"/>
      <x:c r="R58" s="94"/>
      <x:c r="S58" s="26">
        <x:f t="shared" si="5"/>
        <x:v>0</x:v>
      </x:c>
      <x:c r="T58" s="23"/>
      <x:c r="U58" s="23"/>
    </x:row>
    <x:row r="59" ht="18.75" customHeight="1">
      <x:c r="A59" s="19"/>
      <x:c r="B59" s="29"/>
      <x:c r="C59" s="21"/>
      <x:c r="D59" s="35"/>
      <x:c r="E59" s="23"/>
      <x:c r="F59" s="23"/>
      <x:c r="G59" s="25"/>
      <x:c r="H59" s="24"/>
      <x:c r="I59" s="24"/>
      <x:c r="J59" s="24"/>
      <x:c r="K59" s="24"/>
      <x:c r="L59" s="25"/>
      <x:c r="M59" s="25"/>
      <x:c r="N59" s="94"/>
      <x:c r="O59" s="94"/>
      <x:c r="P59" s="94"/>
      <x:c r="Q59" s="94"/>
      <x:c r="R59" s="94"/>
      <x:c r="S59" s="26">
        <x:f t="shared" si="5"/>
        <x:v>0</x:v>
      </x:c>
      <x:c r="T59" s="23"/>
      <x:c r="U59" s="23"/>
    </x:row>
    <x:row r="60" ht="18.75" customHeight="1">
      <x:c r="A60" s="19"/>
      <x:c r="B60" s="29"/>
      <x:c r="C60" s="21"/>
      <x:c r="D60" s="35"/>
      <x:c r="E60" s="23"/>
      <x:c r="F60" s="23"/>
      <x:c r="G60" s="24"/>
      <x:c r="H60" s="24"/>
      <x:c r="I60" s="24"/>
      <x:c r="J60" s="24"/>
      <x:c r="K60" s="24"/>
      <x:c r="L60" s="24"/>
      <x:c r="M60" s="24"/>
      <x:c r="N60" s="94"/>
      <x:c r="O60" s="94"/>
      <x:c r="P60" s="94"/>
      <x:c r="Q60" s="94"/>
      <x:c r="R60" s="94"/>
      <x:c r="S60" s="26">
        <x:f t="shared" si="5"/>
        <x:v>0</x:v>
      </x:c>
      <x:c r="T60" s="23"/>
      <x:c r="U60" s="23"/>
    </x:row>
    <x:row r="61" ht="18.75" customHeight="1">
      <x:c r="A61" s="19"/>
      <x:c r="B61" s="29"/>
      <x:c r="C61" s="21"/>
      <x:c r="D61" s="35"/>
      <x:c r="E61" s="23"/>
      <x:c r="F61" s="23"/>
      <x:c r="G61" s="24"/>
      <x:c r="H61" s="24"/>
      <x:c r="I61" s="24"/>
      <x:c r="J61" s="24"/>
      <x:c r="K61" s="24"/>
      <x:c r="L61" s="24"/>
      <x:c r="M61" s="24"/>
      <x:c r="N61" s="94"/>
      <x:c r="O61" s="94"/>
      <x:c r="P61" s="94"/>
      <x:c r="Q61" s="94"/>
      <x:c r="R61" s="94"/>
      <x:c r="S61" s="26">
        <x:f t="shared" si="5"/>
        <x:v>0</x:v>
      </x:c>
      <x:c r="T61" s="23"/>
      <x:c r="U61" s="23"/>
    </x:row>
    <x:row r="62" ht="18.75" customHeight="1">
      <x:c r="A62" s="19"/>
      <x:c r="B62" s="29"/>
      <x:c r="C62" s="21"/>
      <x:c r="D62" s="55"/>
      <x:c r="E62" s="23"/>
      <x:c r="F62" s="23"/>
      <x:c r="G62" s="24"/>
      <x:c r="H62" s="24"/>
      <x:c r="I62" s="24"/>
      <x:c r="J62" s="24"/>
      <x:c r="K62" s="24"/>
      <x:c r="L62" s="24"/>
      <x:c r="M62" s="24"/>
      <x:c r="N62" s="94"/>
      <x:c r="O62" s="94"/>
      <x:c r="P62" s="94"/>
      <x:c r="Q62" s="94"/>
      <x:c r="R62" s="94"/>
      <x:c r="S62" s="26">
        <x:f t="shared" si="5"/>
        <x:v>0</x:v>
      </x:c>
      <x:c r="T62" s="23"/>
      <x:c r="U62" s="23"/>
    </x:row>
    <x:row r="63" ht="18.75" customHeight="1">
      <x:c r="A63" s="19"/>
      <x:c r="B63" s="29"/>
      <x:c r="C63" s="21"/>
      <x:c r="D63" s="55"/>
      <x:c r="E63" s="23"/>
      <x:c r="F63" s="23"/>
      <x:c r="G63" s="24"/>
      <x:c r="H63" s="24"/>
      <x:c r="I63" s="24"/>
      <x:c r="J63" s="24"/>
      <x:c r="K63" s="25"/>
      <x:c r="L63" s="24"/>
      <x:c r="M63" s="24"/>
      <x:c r="N63" s="94"/>
      <x:c r="O63" s="94"/>
      <x:c r="P63" s="94"/>
      <x:c r="Q63" s="94"/>
      <x:c r="R63" s="94"/>
      <x:c r="S63" s="26">
        <x:f t="shared" si="5"/>
        <x:v>0</x:v>
      </x:c>
      <x:c r="T63" s="23"/>
      <x:c r="U63" s="23"/>
    </x:row>
    <x:row r="64" ht="18.75" customHeight="1">
      <x:c r="A64" s="19"/>
      <x:c r="B64" s="29"/>
      <x:c r="C64" s="21"/>
      <x:c r="D64" s="55"/>
      <x:c r="E64" s="23"/>
      <x:c r="F64" s="23"/>
      <x:c r="G64" s="25"/>
      <x:c r="H64" s="25"/>
      <x:c r="I64" s="25"/>
      <x:c r="J64" s="25"/>
      <x:c r="K64" s="24"/>
      <x:c r="L64" s="24"/>
      <x:c r="M64" s="24"/>
      <x:c r="N64" s="94"/>
      <x:c r="O64" s="94"/>
      <x:c r="P64" s="94"/>
      <x:c r="Q64" s="94"/>
      <x:c r="R64" s="94"/>
      <x:c r="S64" s="26">
        <x:f t="shared" si="5"/>
        <x:v>0</x:v>
      </x:c>
      <x:c r="T64" s="23"/>
      <x:c r="U64" s="23"/>
    </x:row>
    <x:row r="65" ht="18.75" customHeight="1">
      <x:c r="A65" s="19"/>
      <x:c r="B65" s="29"/>
      <x:c r="C65" s="21"/>
      <x:c r="D65" s="55"/>
      <x:c r="E65" s="23"/>
      <x:c r="F65" s="23"/>
      <x:c r="G65" s="24"/>
      <x:c r="H65" s="24"/>
      <x:c r="I65" s="24"/>
      <x:c r="J65" s="24"/>
      <x:c r="K65" s="24"/>
      <x:c r="L65" s="24"/>
      <x:c r="M65" s="24"/>
      <x:c r="N65" s="94"/>
      <x:c r="O65" s="94"/>
      <x:c r="P65" s="94"/>
      <x:c r="Q65" s="94"/>
      <x:c r="R65" s="94"/>
      <x:c r="S65" s="26">
        <x:f t="shared" si="5"/>
        <x:v>0</x:v>
      </x:c>
      <x:c r="T65" s="23"/>
      <x:c r="U65" s="23"/>
    </x:row>
    <x:row r="66" ht="18.75" customHeight="1">
      <x:c r="A66" s="19"/>
      <x:c r="B66" s="29"/>
      <x:c r="C66" s="21"/>
      <x:c r="D66" s="55"/>
      <x:c r="E66" s="23"/>
      <x:c r="F66" s="23"/>
      <x:c r="G66" s="25"/>
      <x:c r="H66" s="25"/>
      <x:c r="I66" s="25"/>
      <x:c r="J66" s="25"/>
      <x:c r="K66" s="24"/>
      <x:c r="L66" s="25"/>
      <x:c r="M66" s="25"/>
      <x:c r="N66" s="94"/>
      <x:c r="O66" s="94"/>
      <x:c r="P66" s="94"/>
      <x:c r="Q66" s="94"/>
      <x:c r="R66" s="94"/>
      <x:c r="S66" s="26">
        <x:f t="shared" si="5"/>
        <x:v>0</x:v>
      </x:c>
      <x:c r="T66" s="23"/>
      <x:c r="U66" s="23"/>
    </x:row>
    <x:row r="67" ht="18.75" customHeight="1">
      <x:c r="A67" s="19"/>
      <x:c r="B67" s="29"/>
      <x:c r="C67" s="21"/>
      <x:c r="D67" s="55"/>
      <x:c r="E67" s="23"/>
      <x:c r="F67" s="23"/>
      <x:c r="G67" s="24"/>
      <x:c r="H67" s="24"/>
      <x:c r="I67" s="24"/>
      <x:c r="J67" s="24"/>
      <x:c r="K67" s="24"/>
      <x:c r="L67" s="24"/>
      <x:c r="M67" s="24"/>
      <x:c r="N67" s="94"/>
      <x:c r="O67" s="94"/>
      <x:c r="P67" s="94"/>
      <x:c r="Q67" s="94"/>
      <x:c r="R67" s="94"/>
      <x:c r="S67" s="26">
        <x:f t="shared" si="5"/>
        <x:v>0</x:v>
      </x:c>
      <x:c r="T67" s="23"/>
      <x:c r="U67" s="23"/>
    </x:row>
    <x:row r="68" ht="18.75" customHeight="1">
      <x:c r="A68" s="19"/>
      <x:c r="B68" s="29"/>
      <x:c r="C68" s="21"/>
      <x:c r="D68" s="35"/>
      <x:c r="E68" s="23"/>
      <x:c r="F68" s="23"/>
      <x:c r="G68" s="25"/>
      <x:c r="H68" s="25"/>
      <x:c r="I68" s="25"/>
      <x:c r="J68" s="25"/>
      <x:c r="K68" s="24"/>
      <x:c r="L68" s="24"/>
      <x:c r="M68" s="24"/>
      <x:c r="N68" s="94"/>
      <x:c r="O68" s="94"/>
      <x:c r="P68" s="94"/>
      <x:c r="Q68" s="94"/>
      <x:c r="R68" s="94"/>
      <x:c r="S68" s="26">
        <x:f t="shared" si="5"/>
        <x:v>0</x:v>
      </x:c>
      <x:c r="T68" s="23"/>
      <x:c r="U68" s="23"/>
    </x:row>
    <x:row r="69" ht="18.75" customHeight="1">
      <x:c r="A69" s="19"/>
      <x:c r="B69" s="29"/>
      <x:c r="C69" s="21"/>
      <x:c r="D69" s="55"/>
      <x:c r="E69" s="23"/>
      <x:c r="F69" s="23"/>
      <x:c r="G69" s="25"/>
      <x:c r="H69" s="25"/>
      <x:c r="I69" s="25"/>
      <x:c r="J69" s="25"/>
      <x:c r="K69" s="25"/>
      <x:c r="L69" s="24"/>
      <x:c r="M69" s="24"/>
      <x:c r="N69" s="94"/>
      <x:c r="O69" s="94"/>
      <x:c r="P69" s="94"/>
      <x:c r="Q69" s="94"/>
      <x:c r="R69" s="94"/>
      <x:c r="S69" s="26">
        <x:f t="shared" si="5"/>
        <x:v>0</x:v>
      </x:c>
      <x:c r="T69" s="23"/>
      <x:c r="U69" s="23"/>
    </x:row>
    <x:row r="70" ht="18.75" customHeight="1">
      <x:c r="A70" s="19"/>
      <x:c r="B70" s="29"/>
      <x:c r="C70" s="21"/>
      <x:c r="D70" s="55"/>
      <x:c r="E70" s="23"/>
      <x:c r="F70" s="23"/>
      <x:c r="G70" s="25"/>
      <x:c r="H70" s="25"/>
      <x:c r="I70" s="25"/>
      <x:c r="J70" s="25"/>
      <x:c r="K70" s="24"/>
      <x:c r="L70" s="25"/>
      <x:c r="M70" s="25"/>
      <x:c r="N70" s="94"/>
      <x:c r="O70" s="94"/>
      <x:c r="P70" s="94"/>
      <x:c r="Q70" s="94"/>
      <x:c r="R70" s="94"/>
      <x:c r="S70" s="26">
        <x:f t="shared" si="5"/>
        <x:v>0</x:v>
      </x:c>
      <x:c r="T70" s="23"/>
      <x:c r="U70" s="23"/>
    </x:row>
    <x:row r="71" ht="18.75" customHeight="1">
      <x:c r="A71" s="19"/>
      <x:c r="B71" s="20"/>
      <x:c r="C71" s="21"/>
      <x:c r="D71" s="55"/>
      <x:c r="E71" s="23"/>
      <x:c r="F71" s="23"/>
      <x:c r="G71" s="25"/>
      <x:c r="H71" s="25"/>
      <x:c r="I71" s="25"/>
      <x:c r="J71" s="25"/>
      <x:c r="K71" s="24"/>
      <x:c r="L71" s="24"/>
      <x:c r="M71" s="24"/>
      <x:c r="N71" s="94"/>
      <x:c r="O71" s="94"/>
      <x:c r="P71" s="94"/>
      <x:c r="Q71" s="94"/>
      <x:c r="R71" s="94"/>
      <x:c r="S71" s="26">
        <x:f t="shared" si="5"/>
        <x:v>0</x:v>
      </x:c>
      <x:c r="T71" s="23"/>
      <x:c r="U71" s="23"/>
    </x:row>
    <x:row r="72" ht="18.75" customHeight="1">
      <x:c r="A72" s="19"/>
      <x:c r="B72" s="20"/>
      <x:c r="C72" s="21"/>
      <x:c r="D72" s="55"/>
      <x:c r="E72" s="23"/>
      <x:c r="F72" s="23"/>
      <x:c r="G72" s="24"/>
      <x:c r="H72" s="24"/>
      <x:c r="I72" s="24"/>
      <x:c r="J72" s="24"/>
      <x:c r="K72" s="24"/>
      <x:c r="L72" s="24"/>
      <x:c r="M72" s="24"/>
      <x:c r="N72" s="94"/>
      <x:c r="O72" s="94"/>
      <x:c r="P72" s="94"/>
      <x:c r="Q72" s="94"/>
      <x:c r="R72" s="94"/>
      <x:c r="S72" s="26">
        <x:f t="shared" si="5"/>
        <x:v>0</x:v>
      </x:c>
      <x:c r="T72" s="23"/>
      <x:c r="U72" s="23"/>
    </x:row>
    <x:row r="73" ht="18.75" customHeight="1">
      <x:c r="A73" s="19"/>
      <x:c r="B73" s="20"/>
      <x:c r="C73" s="21"/>
      <x:c r="D73" s="55"/>
      <x:c r="E73" s="23"/>
      <x:c r="F73" s="23"/>
      <x:c r="G73" s="25"/>
      <x:c r="H73" s="25"/>
      <x:c r="I73" s="25"/>
      <x:c r="J73" s="25"/>
      <x:c r="K73" s="24"/>
      <x:c r="L73" s="25"/>
      <x:c r="M73" s="25"/>
      <x:c r="N73" s="94"/>
      <x:c r="O73" s="94"/>
      <x:c r="P73" s="94"/>
      <x:c r="Q73" s="94"/>
      <x:c r="R73" s="94"/>
      <x:c r="S73" s="26" t="n">
        <x:f t="shared" ref="S73:S155" si="6">(E73*260+F73*260+G73*470+H73*400+I73*350+J73*655+K73*240+L73*190+M73*240+N73*390+O73*265+P73*265+Q73*395)*1000</x:f>
        <x:v>0</x:v>
      </x:c>
      <x:c r="T73" s="23"/>
      <x:c r="U73" s="23"/>
    </x:row>
    <x:row r="74" ht="18.75" customHeight="1">
      <x:c r="A74" s="19"/>
      <x:c r="B74" s="20"/>
      <x:c r="C74" s="21"/>
      <x:c r="D74" s="55"/>
      <x:c r="E74" s="23"/>
      <x:c r="F74" s="23"/>
      <x:c r="G74" s="24"/>
      <x:c r="H74" s="25"/>
      <x:c r="I74" s="25"/>
      <x:c r="J74" s="25"/>
      <x:c r="K74" s="24"/>
      <x:c r="L74" s="25"/>
      <x:c r="M74" s="25"/>
      <x:c r="N74" s="94"/>
      <x:c r="O74" s="94"/>
      <x:c r="P74" s="94"/>
      <x:c r="Q74" s="94"/>
      <x:c r="R74" s="94"/>
      <x:c r="S74" s="26">
        <x:f t="shared" si="6"/>
        <x:v>0</x:v>
      </x:c>
      <x:c r="T74" s="23"/>
      <x:c r="U74" s="23"/>
    </x:row>
    <x:row r="75" ht="18.75" customHeight="1">
      <x:c r="A75" s="19"/>
      <x:c r="B75" s="20"/>
      <x:c r="C75" s="21"/>
      <x:c r="D75" s="55"/>
      <x:c r="E75" s="23"/>
      <x:c r="F75" s="23"/>
      <x:c r="G75" s="25"/>
      <x:c r="H75" s="25"/>
      <x:c r="I75" s="25"/>
      <x:c r="J75" s="25"/>
      <x:c r="K75" s="24"/>
      <x:c r="L75" s="25"/>
      <x:c r="M75" s="25"/>
      <x:c r="N75" s="94"/>
      <x:c r="O75" s="94"/>
      <x:c r="P75" s="94"/>
      <x:c r="Q75" s="94"/>
      <x:c r="R75" s="94"/>
      <x:c r="S75" s="26">
        <x:f t="shared" si="6"/>
        <x:v>0</x:v>
      </x:c>
      <x:c r="T75" s="23"/>
      <x:c r="U75" s="23"/>
    </x:row>
    <x:row r="76" ht="18.75" customHeight="1">
      <x:c r="A76" s="19"/>
      <x:c r="B76" s="20"/>
      <x:c r="C76" s="21"/>
      <x:c r="D76" s="55"/>
      <x:c r="E76" s="23"/>
      <x:c r="F76" s="23"/>
      <x:c r="G76" s="25"/>
      <x:c r="H76" s="25"/>
      <x:c r="I76" s="25"/>
      <x:c r="J76" s="25"/>
      <x:c r="K76" s="24"/>
      <x:c r="L76" s="25"/>
      <x:c r="M76" s="25"/>
      <x:c r="N76" s="94"/>
      <x:c r="O76" s="94"/>
      <x:c r="P76" s="94"/>
      <x:c r="Q76" s="94"/>
      <x:c r="R76" s="94"/>
      <x:c r="S76" s="26">
        <x:f t="shared" si="6"/>
        <x:v>0</x:v>
      </x:c>
      <x:c r="T76" s="23"/>
      <x:c r="U76" s="23"/>
    </x:row>
    <x:row r="77" ht="18.75" customHeight="1">
      <x:c r="A77" s="19"/>
      <x:c r="B77" s="20"/>
      <x:c r="C77" s="21"/>
      <x:c r="D77" s="35"/>
      <x:c r="E77" s="23"/>
      <x:c r="F77" s="23"/>
      <x:c r="G77" s="25"/>
      <x:c r="H77" s="25"/>
      <x:c r="I77" s="25"/>
      <x:c r="J77" s="25"/>
      <x:c r="K77" s="25"/>
      <x:c r="L77" s="24"/>
      <x:c r="M77" s="24"/>
      <x:c r="N77" s="94"/>
      <x:c r="O77" s="94"/>
      <x:c r="P77" s="94"/>
      <x:c r="Q77" s="94"/>
      <x:c r="R77" s="94"/>
      <x:c r="S77" s="26">
        <x:f t="shared" si="6"/>
        <x:v>0</x:v>
      </x:c>
      <x:c r="T77" s="23"/>
      <x:c r="U77" s="23"/>
    </x:row>
    <x:row r="78" ht="18.75" customHeight="1">
      <x:c r="A78" s="19"/>
      <x:c r="B78" s="20"/>
      <x:c r="C78" s="21"/>
      <x:c r="D78" s="55"/>
      <x:c r="E78" s="23"/>
      <x:c r="F78" s="23"/>
      <x:c r="G78" s="25"/>
      <x:c r="H78" s="25"/>
      <x:c r="I78" s="25"/>
      <x:c r="J78" s="25"/>
      <x:c r="K78" s="25"/>
      <x:c r="L78" s="24"/>
      <x:c r="M78" s="24"/>
      <x:c r="N78" s="94"/>
      <x:c r="O78" s="94"/>
      <x:c r="P78" s="94"/>
      <x:c r="Q78" s="94"/>
      <x:c r="R78" s="94"/>
      <x:c r="S78" s="26">
        <x:f t="shared" si="6"/>
        <x:v>0</x:v>
      </x:c>
      <x:c r="T78" s="23"/>
      <x:c r="U78" s="23"/>
    </x:row>
    <x:row r="79" ht="18.75" customHeight="1">
      <x:c r="A79" s="19"/>
      <x:c r="B79" s="71"/>
      <x:c r="C79" s="21"/>
      <x:c r="D79" s="55"/>
      <x:c r="E79" s="23"/>
      <x:c r="F79" s="23"/>
      <x:c r="G79" s="25"/>
      <x:c r="H79" s="25"/>
      <x:c r="I79" s="25"/>
      <x:c r="J79" s="25"/>
      <x:c r="K79" s="24"/>
      <x:c r="L79" s="25"/>
      <x:c r="M79" s="25"/>
      <x:c r="N79" s="94"/>
      <x:c r="O79" s="94"/>
      <x:c r="P79" s="94"/>
      <x:c r="Q79" s="94"/>
      <x:c r="R79" s="94"/>
      <x:c r="S79" s="26">
        <x:f t="shared" si="6"/>
        <x:v>0</x:v>
      </x:c>
      <x:c r="T79" s="23"/>
      <x:c r="U79" s="23"/>
    </x:row>
    <x:row r="80" ht="18.75" customHeight="1">
      <x:c r="A80" s="19"/>
      <x:c r="B80" s="20"/>
      <x:c r="C80" s="21"/>
      <x:c r="D80" s="35"/>
      <x:c r="E80" s="23"/>
      <x:c r="F80" s="23"/>
      <x:c r="G80" s="25"/>
      <x:c r="H80" s="25"/>
      <x:c r="I80" s="25"/>
      <x:c r="J80" s="25"/>
      <x:c r="K80" s="24"/>
      <x:c r="L80" s="24"/>
      <x:c r="M80" s="24"/>
      <x:c r="N80" s="94"/>
      <x:c r="O80" s="94"/>
      <x:c r="P80" s="94"/>
      <x:c r="Q80" s="94"/>
      <x:c r="R80" s="94"/>
      <x:c r="S80" s="26">
        <x:f t="shared" si="6"/>
        <x:v>0</x:v>
      </x:c>
      <x:c r="T80" s="23"/>
      <x:c r="U80" s="23"/>
    </x:row>
    <x:row r="81" ht="18.75" customHeight="1">
      <x:c r="A81" s="19"/>
      <x:c r="B81" s="20"/>
      <x:c r="C81" s="21"/>
      <x:c r="D81" s="55"/>
      <x:c r="E81" s="23"/>
      <x:c r="F81" s="23"/>
      <x:c r="G81" s="24"/>
      <x:c r="H81" s="25"/>
      <x:c r="I81" s="25"/>
      <x:c r="J81" s="25"/>
      <x:c r="K81" s="24"/>
      <x:c r="L81" s="24"/>
      <x:c r="M81" s="24"/>
      <x:c r="N81" s="94"/>
      <x:c r="O81" s="94"/>
      <x:c r="P81" s="94"/>
      <x:c r="Q81" s="94"/>
      <x:c r="R81" s="94"/>
      <x:c r="S81" s="26">
        <x:f t="shared" si="6"/>
        <x:v>0</x:v>
      </x:c>
      <x:c r="T81" s="23"/>
      <x:c r="U81" s="23"/>
    </x:row>
    <x:row r="82" ht="18.75" customHeight="1">
      <x:c r="A82" s="19"/>
      <x:c r="B82" s="20"/>
      <x:c r="C82" s="21"/>
      <x:c r="D82" s="35"/>
      <x:c r="E82" s="23"/>
      <x:c r="F82" s="23"/>
      <x:c r="G82" s="25"/>
      <x:c r="H82" s="25"/>
      <x:c r="I82" s="25"/>
      <x:c r="J82" s="25"/>
      <x:c r="K82" s="25"/>
      <x:c r="L82" s="24"/>
      <x:c r="M82" s="24"/>
      <x:c r="N82" s="94"/>
      <x:c r="O82" s="94"/>
      <x:c r="P82" s="94"/>
      <x:c r="Q82" s="94"/>
      <x:c r="R82" s="94"/>
      <x:c r="S82" s="26">
        <x:f t="shared" si="6"/>
        <x:v>0</x:v>
      </x:c>
      <x:c r="T82" s="23"/>
      <x:c r="U82" s="23"/>
    </x:row>
    <x:row r="83" ht="18.75" customHeight="1">
      <x:c r="A83" s="19"/>
      <x:c r="B83" s="20"/>
      <x:c r="C83" s="21"/>
      <x:c r="D83" s="55"/>
      <x:c r="E83" s="23"/>
      <x:c r="F83" s="23"/>
      <x:c r="G83" s="25"/>
      <x:c r="H83" s="25"/>
      <x:c r="I83" s="25"/>
      <x:c r="J83" s="25"/>
      <x:c r="K83" s="24"/>
      <x:c r="L83" s="25"/>
      <x:c r="M83" s="25"/>
      <x:c r="N83" s="94"/>
      <x:c r="O83" s="94"/>
      <x:c r="P83" s="94"/>
      <x:c r="Q83" s="94"/>
      <x:c r="R83" s="94"/>
      <x:c r="S83" s="26">
        <x:f t="shared" si="6"/>
        <x:v>0</x:v>
      </x:c>
      <x:c r="T83" s="23"/>
      <x:c r="U83" s="23"/>
    </x:row>
    <x:row r="84" ht="18.75" customHeight="1">
      <x:c r="A84" s="19"/>
      <x:c r="B84" s="20"/>
      <x:c r="C84" s="21"/>
      <x:c r="D84" s="55"/>
      <x:c r="E84" s="23"/>
      <x:c r="F84" s="23"/>
      <x:c r="G84" s="25"/>
      <x:c r="H84" s="25"/>
      <x:c r="I84" s="25"/>
      <x:c r="J84" s="25"/>
      <x:c r="K84" s="24"/>
      <x:c r="L84" s="25"/>
      <x:c r="M84" s="25"/>
      <x:c r="N84" s="94"/>
      <x:c r="O84" s="94"/>
      <x:c r="P84" s="94"/>
      <x:c r="Q84" s="94"/>
      <x:c r="R84" s="94"/>
      <x:c r="S84" s="26">
        <x:f t="shared" si="6"/>
        <x:v>0</x:v>
      </x:c>
      <x:c r="T84" s="23"/>
      <x:c r="U84" s="23"/>
    </x:row>
    <x:row r="85" ht="18.75" customHeight="1">
      <x:c r="A85" s="19"/>
      <x:c r="B85" s="20"/>
      <x:c r="C85" s="21"/>
      <x:c r="D85" s="35"/>
      <x:c r="E85" s="23"/>
      <x:c r="F85" s="23"/>
      <x:c r="G85" s="25"/>
      <x:c r="H85" s="25"/>
      <x:c r="I85" s="25"/>
      <x:c r="J85" s="25"/>
      <x:c r="K85" s="25"/>
      <x:c r="L85" s="25"/>
      <x:c r="M85" s="25"/>
      <x:c r="N85" s="94"/>
      <x:c r="O85" s="94"/>
      <x:c r="P85" s="94"/>
      <x:c r="Q85" s="94"/>
      <x:c r="R85" s="94"/>
      <x:c r="S85" s="26">
        <x:f t="shared" si="6"/>
        <x:v>0</x:v>
      </x:c>
      <x:c r="T85" s="23"/>
      <x:c r="U85" s="23"/>
    </x:row>
    <x:row r="86" ht="18.75" customHeight="1">
      <x:c r="A86" s="19"/>
      <x:c r="B86" s="29"/>
      <x:c r="C86" s="21"/>
      <x:c r="D86" s="55"/>
      <x:c r="E86" s="56"/>
      <x:c r="F86" s="23"/>
      <x:c r="G86" s="25"/>
      <x:c r="H86" s="25"/>
      <x:c r="I86" s="25"/>
      <x:c r="J86" s="25"/>
      <x:c r="K86" s="25"/>
      <x:c r="L86" s="25"/>
      <x:c r="M86" s="25"/>
      <x:c r="N86" s="94"/>
      <x:c r="O86" s="94"/>
      <x:c r="P86" s="94"/>
      <x:c r="Q86" s="94"/>
      <x:c r="R86" s="94"/>
      <x:c r="S86" s="26">
        <x:f t="shared" si="6"/>
        <x:v>0</x:v>
      </x:c>
      <x:c r="T86" s="23"/>
      <x:c r="U86" s="23"/>
    </x:row>
    <x:row r="87" ht="18.75" customHeight="1">
      <x:c r="A87" s="19"/>
      <x:c r="B87" s="20"/>
      <x:c r="C87" s="21"/>
      <x:c r="D87" s="55"/>
      <x:c r="E87" s="56"/>
      <x:c r="F87" s="23"/>
      <x:c r="G87" s="25"/>
      <x:c r="H87" s="25"/>
      <x:c r="I87" s="25"/>
      <x:c r="J87" s="25"/>
      <x:c r="K87" s="24"/>
      <x:c r="L87" s="25"/>
      <x:c r="M87" s="25"/>
      <x:c r="N87" s="94"/>
      <x:c r="O87" s="94"/>
      <x:c r="P87" s="94"/>
      <x:c r="Q87" s="94"/>
      <x:c r="R87" s="94"/>
      <x:c r="S87" s="26">
        <x:f t="shared" si="6"/>
        <x:v>0</x:v>
      </x:c>
      <x:c r="T87" s="23"/>
      <x:c r="U87" s="23"/>
    </x:row>
    <x:row r="88" ht="18.75" customHeight="1">
      <x:c r="A88" s="19"/>
      <x:c r="B88" s="29"/>
      <x:c r="C88" s="21"/>
      <x:c r="D88" s="23"/>
      <x:c r="E88" s="56"/>
      <x:c r="F88" s="23"/>
      <x:c r="G88" s="25"/>
      <x:c r="H88" s="25"/>
      <x:c r="I88" s="25"/>
      <x:c r="J88" s="25"/>
      <x:c r="K88" s="24"/>
      <x:c r="L88" s="24"/>
      <x:c r="M88" s="24"/>
      <x:c r="N88" s="94"/>
      <x:c r="O88" s="94"/>
      <x:c r="P88" s="94"/>
      <x:c r="Q88" s="94"/>
      <x:c r="R88" s="94"/>
      <x:c r="S88" s="26">
        <x:f t="shared" si="6"/>
        <x:v>0</x:v>
      </x:c>
      <x:c r="T88" s="23"/>
      <x:c r="U88" s="23"/>
    </x:row>
    <x:row r="89" ht="18.75" customHeight="1">
      <x:c r="A89" s="19"/>
      <x:c r="B89" s="29"/>
      <x:c r="C89" s="21"/>
      <x:c r="D89" s="35"/>
      <x:c r="E89" s="56"/>
      <x:c r="F89" s="23"/>
      <x:c r="G89" s="25"/>
      <x:c r="H89" s="25"/>
      <x:c r="I89" s="25"/>
      <x:c r="J89" s="25"/>
      <x:c r="K89" s="24"/>
      <x:c r="L89" s="25"/>
      <x:c r="M89" s="25"/>
      <x:c r="N89" s="94"/>
      <x:c r="O89" s="94"/>
      <x:c r="P89" s="94"/>
      <x:c r="Q89" s="94"/>
      <x:c r="R89" s="94"/>
      <x:c r="S89" s="26">
        <x:f t="shared" si="6"/>
        <x:v>0</x:v>
      </x:c>
      <x:c r="T89" s="23"/>
      <x:c r="U89" s="23"/>
    </x:row>
    <x:row r="90" ht="18.75" customHeight="1">
      <x:c r="A90" s="19"/>
      <x:c r="B90" s="29"/>
      <x:c r="C90" s="21"/>
      <x:c r="D90" s="55"/>
      <x:c r="E90" s="56"/>
      <x:c r="F90" s="23"/>
      <x:c r="G90" s="25"/>
      <x:c r="H90" s="25"/>
      <x:c r="I90" s="25"/>
      <x:c r="J90" s="25"/>
      <x:c r="K90" s="24"/>
      <x:c r="L90" s="25"/>
      <x:c r="M90" s="25"/>
      <x:c r="N90" s="94"/>
      <x:c r="O90" s="94"/>
      <x:c r="P90" s="94"/>
      <x:c r="Q90" s="94"/>
      <x:c r="R90" s="94"/>
      <x:c r="S90" s="26">
        <x:f t="shared" si="6"/>
        <x:v>0</x:v>
      </x:c>
      <x:c r="T90" s="23"/>
      <x:c r="U90" s="23"/>
    </x:row>
    <x:row r="91" ht="18.75" customHeight="1">
      <x:c r="A91" s="19"/>
      <x:c r="B91" s="29"/>
      <x:c r="C91" s="21"/>
      <x:c r="D91" s="55"/>
      <x:c r="E91" s="23"/>
      <x:c r="F91" s="23"/>
      <x:c r="G91" s="25"/>
      <x:c r="H91" s="25"/>
      <x:c r="I91" s="25"/>
      <x:c r="J91" s="25"/>
      <x:c r="K91" s="24"/>
      <x:c r="L91" s="25"/>
      <x:c r="M91" s="25"/>
      <x:c r="N91" s="94"/>
      <x:c r="O91" s="94"/>
      <x:c r="P91" s="94"/>
      <x:c r="Q91" s="94"/>
      <x:c r="R91" s="94"/>
      <x:c r="S91" s="26">
        <x:f t="shared" si="6"/>
        <x:v>0</x:v>
      </x:c>
      <x:c r="T91" s="23"/>
      <x:c r="U91" s="23"/>
    </x:row>
    <x:row r="92" ht="18.75" customHeight="1">
      <x:c r="A92" s="19"/>
      <x:c r="B92" s="29"/>
      <x:c r="C92" s="21"/>
      <x:c r="D92" s="35"/>
      <x:c r="E92" s="56"/>
      <x:c r="F92" s="23"/>
      <x:c r="G92" s="25"/>
      <x:c r="H92" s="25"/>
      <x:c r="I92" s="25"/>
      <x:c r="J92" s="25"/>
      <x:c r="K92" s="25"/>
      <x:c r="L92" s="25"/>
      <x:c r="M92" s="25"/>
      <x:c r="N92" s="94"/>
      <x:c r="O92" s="94"/>
      <x:c r="P92" s="94"/>
      <x:c r="Q92" s="94"/>
      <x:c r="R92" s="94"/>
      <x:c r="S92" s="26">
        <x:f t="shared" si="6"/>
        <x:v>0</x:v>
      </x:c>
      <x:c r="T92" s="23"/>
      <x:c r="U92" s="23"/>
    </x:row>
    <x:row r="93" ht="18.75" customHeight="1">
      <x:c r="A93" s="19"/>
      <x:c r="B93" s="29"/>
      <x:c r="C93" s="21"/>
      <x:c r="D93" s="35"/>
      <x:c r="E93" s="56"/>
      <x:c r="F93" s="23"/>
      <x:c r="G93" s="25"/>
      <x:c r="H93" s="25"/>
      <x:c r="I93" s="25"/>
      <x:c r="J93" s="25"/>
      <x:c r="K93" s="25"/>
      <x:c r="L93" s="24"/>
      <x:c r="M93" s="24"/>
      <x:c r="N93" s="94"/>
      <x:c r="O93" s="94"/>
      <x:c r="P93" s="94"/>
      <x:c r="Q93" s="94"/>
      <x:c r="R93" s="94"/>
      <x:c r="S93" s="26">
        <x:f t="shared" si="6"/>
        <x:v>0</x:v>
      </x:c>
      <x:c r="T93" s="23"/>
      <x:c r="U93" s="23"/>
    </x:row>
    <x:row r="94" ht="18.75" customHeight="1">
      <x:c r="A94" s="19"/>
      <x:c r="B94" s="29"/>
      <x:c r="C94" s="21"/>
      <x:c r="D94" s="55"/>
      <x:c r="E94" s="56"/>
      <x:c r="F94" s="23"/>
      <x:c r="G94" s="25"/>
      <x:c r="H94" s="25"/>
      <x:c r="I94" s="25"/>
      <x:c r="J94" s="25"/>
      <x:c r="K94" s="24"/>
      <x:c r="L94" s="25"/>
      <x:c r="M94" s="25"/>
      <x:c r="N94" s="94"/>
      <x:c r="O94" s="94"/>
      <x:c r="P94" s="94"/>
      <x:c r="Q94" s="94"/>
      <x:c r="R94" s="94"/>
      <x:c r="S94" s="26">
        <x:f t="shared" si="6"/>
        <x:v>0</x:v>
      </x:c>
      <x:c r="T94" s="23"/>
      <x:c r="U94" s="23"/>
    </x:row>
    <x:row r="95" ht="18.75" customHeight="1">
      <x:c r="A95" s="19"/>
      <x:c r="B95" s="29"/>
      <x:c r="C95" s="21"/>
      <x:c r="D95" s="55"/>
      <x:c r="E95" s="23"/>
      <x:c r="F95" s="23"/>
      <x:c r="G95" s="25"/>
      <x:c r="H95" s="25"/>
      <x:c r="I95" s="25"/>
      <x:c r="J95" s="25"/>
      <x:c r="K95" s="25"/>
      <x:c r="L95" s="25"/>
      <x:c r="M95" s="25"/>
      <x:c r="N95" s="94"/>
      <x:c r="O95" s="94"/>
      <x:c r="P95" s="94"/>
      <x:c r="Q95" s="94"/>
      <x:c r="R95" s="94"/>
      <x:c r="S95" s="26">
        <x:f t="shared" si="6"/>
        <x:v>0</x:v>
      </x:c>
      <x:c r="T95" s="23"/>
      <x:c r="U95" s="23"/>
    </x:row>
    <x:row r="96" ht="18.75" customHeight="1">
      <x:c r="A96" s="19"/>
      <x:c r="B96" s="29"/>
      <x:c r="C96" s="21"/>
      <x:c r="D96" s="55"/>
      <x:c r="E96" s="23"/>
      <x:c r="F96" s="23"/>
      <x:c r="G96" s="25"/>
      <x:c r="H96" s="25"/>
      <x:c r="I96" s="25"/>
      <x:c r="J96" s="25"/>
      <x:c r="K96" s="24"/>
      <x:c r="L96" s="24"/>
      <x:c r="M96" s="24"/>
      <x:c r="N96" s="94"/>
      <x:c r="O96" s="94"/>
      <x:c r="P96" s="94"/>
      <x:c r="Q96" s="94"/>
      <x:c r="R96" s="94"/>
      <x:c r="S96" s="26">
        <x:f t="shared" si="6"/>
        <x:v>0</x:v>
      </x:c>
      <x:c r="T96" s="23"/>
      <x:c r="U96" s="23"/>
    </x:row>
    <x:row r="97" ht="18.75" customHeight="1">
      <x:c r="A97" s="19"/>
      <x:c r="B97" s="29"/>
      <x:c r="C97" s="21"/>
      <x:c r="D97" s="35"/>
      <x:c r="E97" s="56"/>
      <x:c r="F97" s="23"/>
      <x:c r="G97" s="25"/>
      <x:c r="H97" s="25"/>
      <x:c r="I97" s="25"/>
      <x:c r="J97" s="25"/>
      <x:c r="K97" s="25"/>
      <x:c r="L97" s="24"/>
      <x:c r="M97" s="24"/>
      <x:c r="N97" s="94"/>
      <x:c r="O97" s="94"/>
      <x:c r="P97" s="94"/>
      <x:c r="Q97" s="94"/>
      <x:c r="R97" s="94"/>
      <x:c r="S97" s="26">
        <x:f t="shared" si="6"/>
        <x:v>0</x:v>
      </x:c>
      <x:c r="T97" s="23"/>
      <x:c r="U97" s="23"/>
    </x:row>
    <x:row r="98" ht="18.75" customHeight="1">
      <x:c r="A98" s="19"/>
      <x:c r="B98" s="29"/>
      <x:c r="C98" s="21"/>
      <x:c r="D98" s="35"/>
      <x:c r="E98" s="56"/>
      <x:c r="F98" s="23"/>
      <x:c r="G98" s="25"/>
      <x:c r="H98" s="25"/>
      <x:c r="I98" s="25"/>
      <x:c r="J98" s="25"/>
      <x:c r="K98" s="25"/>
      <x:c r="L98" s="25"/>
      <x:c r="M98" s="25"/>
      <x:c r="N98" s="94"/>
      <x:c r="O98" s="94"/>
      <x:c r="P98" s="94"/>
      <x:c r="Q98" s="94"/>
      <x:c r="R98" s="94"/>
      <x:c r="S98" s="26">
        <x:f t="shared" si="6"/>
        <x:v>0</x:v>
      </x:c>
      <x:c r="T98" s="23"/>
      <x:c r="U98" s="23"/>
    </x:row>
    <x:row r="99" ht="18.75" customHeight="1">
      <x:c r="A99" s="19"/>
      <x:c r="B99" s="29"/>
      <x:c r="C99" s="21"/>
      <x:c r="D99" s="55"/>
      <x:c r="E99" s="23"/>
      <x:c r="F99" s="23"/>
      <x:c r="G99" s="25"/>
      <x:c r="H99" s="25"/>
      <x:c r="I99" s="25"/>
      <x:c r="J99" s="25"/>
      <x:c r="K99" s="24"/>
      <x:c r="L99" s="24"/>
      <x:c r="M99" s="24"/>
      <x:c r="N99" s="94"/>
      <x:c r="O99" s="94"/>
      <x:c r="P99" s="94"/>
      <x:c r="Q99" s="94"/>
      <x:c r="R99" s="94"/>
      <x:c r="S99" s="26">
        <x:f t="shared" si="6"/>
        <x:v>0</x:v>
      </x:c>
      <x:c r="T99" s="23"/>
      <x:c r="U99" s="23"/>
    </x:row>
    <x:row r="100" ht="18.75" customHeight="1">
      <x:c r="A100" s="19"/>
      <x:c r="B100" s="29"/>
      <x:c r="C100" s="21"/>
      <x:c r="D100" s="55"/>
      <x:c r="E100" s="56"/>
      <x:c r="F100" s="23"/>
      <x:c r="G100" s="25"/>
      <x:c r="H100" s="25"/>
      <x:c r="I100" s="25"/>
      <x:c r="J100" s="25"/>
      <x:c r="K100" s="25"/>
      <x:c r="L100" s="24"/>
      <x:c r="M100" s="24"/>
      <x:c r="N100" s="94"/>
      <x:c r="O100" s="94"/>
      <x:c r="P100" s="94"/>
      <x:c r="Q100" s="94"/>
      <x:c r="R100" s="94"/>
      <x:c r="S100" s="26">
        <x:f t="shared" si="6"/>
        <x:v>0</x:v>
      </x:c>
      <x:c r="T100" s="23"/>
      <x:c r="U100" s="23"/>
    </x:row>
    <x:row r="101" ht="18.75" customHeight="1">
      <x:c r="A101" s="19"/>
      <x:c r="B101" s="29"/>
      <x:c r="C101" s="21"/>
      <x:c r="D101" s="35"/>
      <x:c r="E101" s="56"/>
      <x:c r="F101" s="23"/>
      <x:c r="G101" s="25"/>
      <x:c r="H101" s="25"/>
      <x:c r="I101" s="25"/>
      <x:c r="J101" s="25"/>
      <x:c r="K101" s="25"/>
      <x:c r="L101" s="24"/>
      <x:c r="M101" s="24"/>
      <x:c r="N101" s="94"/>
      <x:c r="O101" s="94"/>
      <x:c r="P101" s="94"/>
      <x:c r="Q101" s="94"/>
      <x:c r="R101" s="94"/>
      <x:c r="S101" s="26">
        <x:f t="shared" si="6"/>
        <x:v>0</x:v>
      </x:c>
      <x:c r="T101" s="23"/>
      <x:c r="U101" s="23"/>
    </x:row>
    <x:row r="102" ht="18.75" customHeight="1">
      <x:c r="A102" s="19"/>
      <x:c r="B102" s="29"/>
      <x:c r="C102" s="21"/>
      <x:c r="D102" s="55"/>
      <x:c r="E102" s="56"/>
      <x:c r="F102" s="23"/>
      <x:c r="G102" s="25"/>
      <x:c r="H102" s="25"/>
      <x:c r="I102" s="25"/>
      <x:c r="J102" s="25"/>
      <x:c r="K102" s="25"/>
      <x:c r="L102" s="24"/>
      <x:c r="M102" s="24"/>
      <x:c r="N102" s="94"/>
      <x:c r="O102" s="94"/>
      <x:c r="P102" s="94"/>
      <x:c r="Q102" s="94"/>
      <x:c r="R102" s="94"/>
      <x:c r="S102" s="26">
        <x:f t="shared" si="6"/>
        <x:v>0</x:v>
      </x:c>
      <x:c r="T102" s="23"/>
      <x:c r="U102" s="23"/>
    </x:row>
    <x:row r="103" ht="18.75" customHeight="1">
      <x:c r="A103" s="19"/>
      <x:c r="B103" s="29"/>
      <x:c r="C103" s="21"/>
      <x:c r="D103" s="55"/>
      <x:c r="E103" s="56"/>
      <x:c r="F103" s="23"/>
      <x:c r="G103" s="25"/>
      <x:c r="H103" s="25"/>
      <x:c r="I103" s="25"/>
      <x:c r="J103" s="25"/>
      <x:c r="K103" s="24"/>
      <x:c r="L103" s="25"/>
      <x:c r="M103" s="25"/>
      <x:c r="N103" s="94"/>
      <x:c r="O103" s="94"/>
      <x:c r="P103" s="94"/>
      <x:c r="Q103" s="94"/>
      <x:c r="R103" s="94"/>
      <x:c r="S103" s="26">
        <x:f t="shared" si="6"/>
        <x:v>0</x:v>
      </x:c>
      <x:c r="T103" s="23"/>
      <x:c r="U103" s="23"/>
    </x:row>
    <x:row r="104" ht="18.75" customHeight="1">
      <x:c r="A104" s="19"/>
      <x:c r="B104" s="29"/>
      <x:c r="C104" s="21"/>
      <x:c r="D104" s="55"/>
      <x:c r="E104" s="56"/>
      <x:c r="F104" s="23"/>
      <x:c r="G104" s="25"/>
      <x:c r="H104" s="25"/>
      <x:c r="I104" s="25"/>
      <x:c r="J104" s="25"/>
      <x:c r="K104" s="25"/>
      <x:c r="L104" s="25"/>
      <x:c r="M104" s="25"/>
      <x:c r="N104" s="94"/>
      <x:c r="O104" s="94"/>
      <x:c r="P104" s="94"/>
      <x:c r="Q104" s="94"/>
      <x:c r="R104" s="94"/>
      <x:c r="S104" s="26">
        <x:f t="shared" si="6"/>
        <x:v>0</x:v>
      </x:c>
      <x:c r="T104" s="23"/>
      <x:c r="U104" s="23"/>
    </x:row>
    <x:row r="105" ht="18.75" customHeight="1">
      <x:c r="A105" s="19"/>
      <x:c r="B105" s="29"/>
      <x:c r="C105" s="21"/>
      <x:c r="D105" s="35"/>
      <x:c r="E105" s="56"/>
      <x:c r="F105" s="23"/>
      <x:c r="G105" s="25"/>
      <x:c r="H105" s="25"/>
      <x:c r="I105" s="25"/>
      <x:c r="J105" s="25"/>
      <x:c r="K105" s="24"/>
      <x:c r="L105" s="25"/>
      <x:c r="M105" s="25"/>
      <x:c r="N105" s="94"/>
      <x:c r="O105" s="94"/>
      <x:c r="P105" s="94"/>
      <x:c r="Q105" s="94"/>
      <x:c r="R105" s="94"/>
      <x:c r="S105" s="26">
        <x:f t="shared" si="6"/>
        <x:v>0</x:v>
      </x:c>
      <x:c r="T105" s="23"/>
      <x:c r="U105" s="23"/>
    </x:row>
    <x:row r="106" ht="18.75" customHeight="1">
      <x:c r="A106" s="19"/>
      <x:c r="B106" s="29"/>
      <x:c r="C106" s="21"/>
      <x:c r="D106" s="55"/>
      <x:c r="E106" s="56"/>
      <x:c r="F106" s="23"/>
      <x:c r="G106" s="25"/>
      <x:c r="H106" s="25"/>
      <x:c r="I106" s="25"/>
      <x:c r="J106" s="25"/>
      <x:c r="K106" s="24"/>
      <x:c r="L106" s="25"/>
      <x:c r="M106" s="25"/>
      <x:c r="N106" s="94"/>
      <x:c r="O106" s="94"/>
      <x:c r="P106" s="94"/>
      <x:c r="Q106" s="94"/>
      <x:c r="R106" s="94"/>
      <x:c r="S106" s="26">
        <x:f t="shared" si="6"/>
        <x:v>0</x:v>
      </x:c>
      <x:c r="T106" s="23"/>
      <x:c r="U106" s="23"/>
    </x:row>
    <x:row r="107" ht="18.75" customHeight="1">
      <x:c r="A107" s="19"/>
      <x:c r="B107" s="29"/>
      <x:c r="C107" s="21"/>
      <x:c r="D107" s="55"/>
      <x:c r="E107" s="56"/>
      <x:c r="F107" s="23"/>
      <x:c r="G107" s="24"/>
      <x:c r="H107" s="25"/>
      <x:c r="I107" s="25"/>
      <x:c r="J107" s="25"/>
      <x:c r="K107" s="25"/>
      <x:c r="L107" s="25"/>
      <x:c r="M107" s="25"/>
      <x:c r="N107" s="94"/>
      <x:c r="O107" s="94"/>
      <x:c r="P107" s="94"/>
      <x:c r="Q107" s="94"/>
      <x:c r="R107" s="94"/>
      <x:c r="S107" s="26">
        <x:f t="shared" si="6"/>
        <x:v>0</x:v>
      </x:c>
      <x:c r="T107" s="23"/>
      <x:c r="U107" s="23"/>
    </x:row>
    <x:row r="108" ht="18.75" customHeight="1">
      <x:c r="A108" s="19"/>
      <x:c r="B108" s="29"/>
      <x:c r="C108" s="21"/>
      <x:c r="D108" s="35"/>
      <x:c r="E108" s="56"/>
      <x:c r="F108" s="23"/>
      <x:c r="G108" s="25"/>
      <x:c r="H108" s="25"/>
      <x:c r="I108" s="25"/>
      <x:c r="J108" s="25"/>
      <x:c r="K108" s="25"/>
      <x:c r="L108" s="24"/>
      <x:c r="M108" s="24"/>
      <x:c r="N108" s="94"/>
      <x:c r="O108" s="94"/>
      <x:c r="P108" s="94"/>
      <x:c r="Q108" s="94"/>
      <x:c r="R108" s="94"/>
      <x:c r="S108" s="26">
        <x:f t="shared" si="6"/>
        <x:v>0</x:v>
      </x:c>
      <x:c r="T108" s="23"/>
      <x:c r="U108" s="23"/>
    </x:row>
    <x:row r="109" ht="18.75" customHeight="1">
      <x:c r="A109" s="19"/>
      <x:c r="B109" s="29"/>
      <x:c r="C109" s="21"/>
      <x:c r="D109" s="55"/>
      <x:c r="E109" s="56"/>
      <x:c r="F109" s="23"/>
      <x:c r="G109" s="25"/>
      <x:c r="H109" s="25"/>
      <x:c r="I109" s="25"/>
      <x:c r="J109" s="25"/>
      <x:c r="K109" s="24"/>
      <x:c r="L109" s="24"/>
      <x:c r="M109" s="24"/>
      <x:c r="N109" s="94"/>
      <x:c r="O109" s="94"/>
      <x:c r="P109" s="94"/>
      <x:c r="Q109" s="94"/>
      <x:c r="R109" s="94"/>
      <x:c r="S109" s="26">
        <x:f t="shared" si="6"/>
        <x:v>0</x:v>
      </x:c>
      <x:c r="T109" s="23"/>
      <x:c r="U109" s="23"/>
    </x:row>
    <x:row r="110" ht="18.75" customHeight="1">
      <x:c r="A110" s="19"/>
      <x:c r="B110" s="20"/>
      <x:c r="C110" s="21"/>
      <x:c r="D110" s="55"/>
      <x:c r="E110" s="56"/>
      <x:c r="F110" s="23"/>
      <x:c r="G110" s="24"/>
      <x:c r="H110" s="25"/>
      <x:c r="I110" s="25"/>
      <x:c r="J110" s="25"/>
      <x:c r="K110" s="24"/>
      <x:c r="L110" s="25"/>
      <x:c r="M110" s="25"/>
      <x:c r="N110" s="94"/>
      <x:c r="O110" s="94"/>
      <x:c r="P110" s="94"/>
      <x:c r="Q110" s="94"/>
      <x:c r="R110" s="94"/>
      <x:c r="S110" s="26">
        <x:f t="shared" si="6"/>
        <x:v>0</x:v>
      </x:c>
      <x:c r="T110" s="23"/>
      <x:c r="U110" s="23"/>
    </x:row>
    <x:row r="111" ht="18.75" customHeight="1">
      <x:c r="A111" s="19"/>
      <x:c r="B111" s="29"/>
      <x:c r="C111" s="21"/>
      <x:c r="D111" s="35"/>
      <x:c r="E111" s="56"/>
      <x:c r="F111" s="23"/>
      <x:c r="G111" s="25"/>
      <x:c r="H111" s="25"/>
      <x:c r="I111" s="25"/>
      <x:c r="J111" s="25"/>
      <x:c r="K111" s="25"/>
      <x:c r="L111" s="24"/>
      <x:c r="M111" s="24"/>
      <x:c r="N111" s="94"/>
      <x:c r="O111" s="94"/>
      <x:c r="P111" s="94"/>
      <x:c r="Q111" s="94"/>
      <x:c r="R111" s="94"/>
      <x:c r="S111" s="26">
        <x:f t="shared" si="6"/>
        <x:v>0</x:v>
      </x:c>
      <x:c r="T111" s="23"/>
      <x:c r="U111" s="23"/>
    </x:row>
    <x:row r="112" ht="18.75" customHeight="1">
      <x:c r="A112" s="19"/>
      <x:c r="B112" s="29"/>
      <x:c r="C112" s="21"/>
      <x:c r="D112" s="55"/>
      <x:c r="E112" s="56"/>
      <x:c r="F112" s="23"/>
      <x:c r="G112" s="25"/>
      <x:c r="H112" s="25"/>
      <x:c r="I112" s="25"/>
      <x:c r="J112" s="25"/>
      <x:c r="K112" s="25"/>
      <x:c r="L112" s="24"/>
      <x:c r="M112" s="24"/>
      <x:c r="N112" s="94"/>
      <x:c r="O112" s="94"/>
      <x:c r="P112" s="94"/>
      <x:c r="Q112" s="94"/>
      <x:c r="R112" s="94"/>
      <x:c r="S112" s="26">
        <x:f t="shared" si="6"/>
        <x:v>0</x:v>
      </x:c>
      <x:c r="T112" s="23"/>
      <x:c r="U112" s="23"/>
    </x:row>
    <x:row r="113" ht="18.75" customHeight="1">
      <x:c r="A113" s="19"/>
      <x:c r="B113" s="29"/>
      <x:c r="C113" s="21"/>
      <x:c r="D113" s="55"/>
      <x:c r="E113" s="56"/>
      <x:c r="F113" s="23"/>
      <x:c r="G113" s="25"/>
      <x:c r="H113" s="25"/>
      <x:c r="I113" s="25"/>
      <x:c r="J113" s="25"/>
      <x:c r="K113" s="25"/>
      <x:c r="L113" s="24"/>
      <x:c r="M113" s="24"/>
      <x:c r="N113" s="94"/>
      <x:c r="O113" s="94"/>
      <x:c r="P113" s="94"/>
      <x:c r="Q113" s="94"/>
      <x:c r="R113" s="94"/>
      <x:c r="S113" s="26">
        <x:f t="shared" si="6"/>
        <x:v>0</x:v>
      </x:c>
      <x:c r="T113" s="23"/>
      <x:c r="U113" s="23"/>
    </x:row>
    <x:row r="114" ht="18.75" customHeight="1">
      <x:c r="A114" s="19"/>
      <x:c r="B114" s="29"/>
      <x:c r="C114" s="21"/>
      <x:c r="D114" s="55"/>
      <x:c r="E114" s="56"/>
      <x:c r="F114" s="23"/>
      <x:c r="G114" s="25"/>
      <x:c r="H114" s="25"/>
      <x:c r="I114" s="25"/>
      <x:c r="J114" s="25"/>
      <x:c r="K114" s="25"/>
      <x:c r="L114" s="25"/>
      <x:c r="M114" s="25"/>
      <x:c r="N114" s="94"/>
      <x:c r="O114" s="94"/>
      <x:c r="P114" s="94"/>
      <x:c r="Q114" s="94"/>
      <x:c r="R114" s="94"/>
      <x:c r="S114" s="26">
        <x:f t="shared" si="6"/>
        <x:v>0</x:v>
      </x:c>
      <x:c r="T114" s="23"/>
      <x:c r="U114" s="23"/>
    </x:row>
    <x:row r="115" ht="18.75" customHeight="1">
      <x:c r="A115" s="19"/>
      <x:c r="B115" s="29"/>
      <x:c r="C115" s="21"/>
      <x:c r="D115" s="55"/>
      <x:c r="E115" s="56"/>
      <x:c r="F115" s="23"/>
      <x:c r="G115" s="25"/>
      <x:c r="H115" s="25"/>
      <x:c r="I115" s="25"/>
      <x:c r="J115" s="25"/>
      <x:c r="K115" s="24"/>
      <x:c r="L115" s="25"/>
      <x:c r="M115" s="25"/>
      <x:c r="N115" s="94"/>
      <x:c r="O115" s="94"/>
      <x:c r="P115" s="94"/>
      <x:c r="Q115" s="94"/>
      <x:c r="R115" s="94"/>
      <x:c r="S115" s="26">
        <x:f t="shared" si="6"/>
        <x:v>0</x:v>
      </x:c>
      <x:c r="T115" s="23"/>
      <x:c r="U115" s="23"/>
    </x:row>
    <x:row r="116" ht="18.75" customHeight="1">
      <x:c r="A116" s="19"/>
      <x:c r="B116" s="29"/>
      <x:c r="C116" s="21"/>
      <x:c r="D116" s="55"/>
      <x:c r="E116" s="56"/>
      <x:c r="F116" s="23"/>
      <x:c r="G116" s="25"/>
      <x:c r="H116" s="25"/>
      <x:c r="I116" s="25"/>
      <x:c r="J116" s="25"/>
      <x:c r="K116" s="25"/>
      <x:c r="L116" s="25"/>
      <x:c r="M116" s="25"/>
      <x:c r="N116" s="94"/>
      <x:c r="O116" s="94"/>
      <x:c r="P116" s="94"/>
      <x:c r="Q116" s="94"/>
      <x:c r="R116" s="94"/>
      <x:c r="S116" s="26">
        <x:f t="shared" si="6"/>
        <x:v>0</x:v>
      </x:c>
      <x:c r="T116" s="23"/>
      <x:c r="U116" s="23"/>
    </x:row>
    <x:row r="117" ht="18.75" customHeight="1">
      <x:c r="A117" s="19"/>
      <x:c r="B117" s="29"/>
      <x:c r="C117" s="21"/>
      <x:c r="D117" s="35"/>
      <x:c r="E117" s="56"/>
      <x:c r="F117" s="23"/>
      <x:c r="G117" s="25"/>
      <x:c r="H117" s="25"/>
      <x:c r="I117" s="25"/>
      <x:c r="J117" s="25"/>
      <x:c r="K117" s="24"/>
      <x:c r="L117" s="25"/>
      <x:c r="M117" s="25"/>
      <x:c r="N117" s="94"/>
      <x:c r="O117" s="94"/>
      <x:c r="P117" s="94"/>
      <x:c r="Q117" s="94"/>
      <x:c r="R117" s="94"/>
      <x:c r="S117" s="26">
        <x:f t="shared" si="6"/>
        <x:v>0</x:v>
      </x:c>
      <x:c r="T117" s="23"/>
      <x:c r="U117" s="23"/>
    </x:row>
    <x:row r="118" ht="18.75" customHeight="1">
      <x:c r="A118" s="19"/>
      <x:c r="B118" s="29"/>
      <x:c r="C118" s="21"/>
      <x:c r="D118" s="55"/>
      <x:c r="E118" s="56"/>
      <x:c r="F118" s="23"/>
      <x:c r="G118" s="25"/>
      <x:c r="H118" s="25"/>
      <x:c r="I118" s="25"/>
      <x:c r="J118" s="25"/>
      <x:c r="K118" s="25"/>
      <x:c r="L118" s="25"/>
      <x:c r="M118" s="25"/>
      <x:c r="N118" s="94"/>
      <x:c r="O118" s="94"/>
      <x:c r="P118" s="94"/>
      <x:c r="Q118" s="94"/>
      <x:c r="R118" s="94"/>
      <x:c r="S118" s="26">
        <x:f t="shared" si="6"/>
        <x:v>0</x:v>
      </x:c>
      <x:c r="T118" s="23"/>
      <x:c r="U118" s="23"/>
    </x:row>
    <x:row r="119" ht="18.75" customHeight="1">
      <x:c r="A119" s="19"/>
      <x:c r="B119" s="29"/>
      <x:c r="C119" s="21"/>
      <x:c r="D119" s="55"/>
      <x:c r="E119" s="56"/>
      <x:c r="F119" s="23"/>
      <x:c r="G119" s="25"/>
      <x:c r="H119" s="25"/>
      <x:c r="I119" s="25"/>
      <x:c r="J119" s="25"/>
      <x:c r="K119" s="25"/>
      <x:c r="L119" s="24"/>
      <x:c r="M119" s="24"/>
      <x:c r="N119" s="94"/>
      <x:c r="O119" s="94"/>
      <x:c r="P119" s="94"/>
      <x:c r="Q119" s="94"/>
      <x:c r="R119" s="94"/>
      <x:c r="S119" s="26">
        <x:f t="shared" si="6"/>
        <x:v>0</x:v>
      </x:c>
      <x:c r="T119" s="23"/>
      <x:c r="U119" s="23"/>
    </x:row>
    <x:row r="120" ht="18.75" customHeight="1">
      <x:c r="A120" s="19"/>
      <x:c r="B120" s="29"/>
      <x:c r="C120" s="21"/>
      <x:c r="D120" s="55"/>
      <x:c r="E120" s="56"/>
      <x:c r="F120" s="23"/>
      <x:c r="G120" s="25"/>
      <x:c r="H120" s="25"/>
      <x:c r="I120" s="25"/>
      <x:c r="J120" s="25"/>
      <x:c r="K120" s="25"/>
      <x:c r="L120" s="25"/>
      <x:c r="M120" s="25"/>
      <x:c r="N120" s="94"/>
      <x:c r="O120" s="94"/>
      <x:c r="P120" s="94"/>
      <x:c r="Q120" s="94"/>
      <x:c r="R120" s="94"/>
      <x:c r="S120" s="26">
        <x:f t="shared" si="6"/>
        <x:v>0</x:v>
      </x:c>
      <x:c r="T120" s="23"/>
      <x:c r="U120" s="23"/>
    </x:row>
    <x:row r="121" ht="18.75" customHeight="1">
      <x:c r="A121" s="19"/>
      <x:c r="B121" s="29"/>
      <x:c r="C121" s="21"/>
      <x:c r="D121" s="55"/>
      <x:c r="E121" s="56"/>
      <x:c r="F121" s="23"/>
      <x:c r="G121" s="25"/>
      <x:c r="H121" s="25"/>
      <x:c r="I121" s="25"/>
      <x:c r="J121" s="25"/>
      <x:c r="K121" s="25"/>
      <x:c r="L121" s="25"/>
      <x:c r="M121" s="25"/>
      <x:c r="N121" s="94"/>
      <x:c r="O121" s="94"/>
      <x:c r="P121" s="94"/>
      <x:c r="Q121" s="94"/>
      <x:c r="R121" s="94"/>
      <x:c r="S121" s="26">
        <x:f t="shared" si="6"/>
        <x:v>0</x:v>
      </x:c>
      <x:c r="T121" s="23"/>
      <x:c r="U121" s="23"/>
    </x:row>
    <x:row r="122" ht="18.75" customHeight="1">
      <x:c r="A122" s="19"/>
      <x:c r="B122" s="29"/>
      <x:c r="C122" s="21"/>
      <x:c r="D122" s="55"/>
      <x:c r="E122" s="56"/>
      <x:c r="F122" s="23"/>
      <x:c r="G122" s="25"/>
      <x:c r="H122" s="25"/>
      <x:c r="I122" s="25"/>
      <x:c r="J122" s="25"/>
      <x:c r="K122" s="25"/>
      <x:c r="L122" s="25"/>
      <x:c r="M122" s="25"/>
      <x:c r="N122" s="94"/>
      <x:c r="O122" s="94"/>
      <x:c r="P122" s="94"/>
      <x:c r="Q122" s="94"/>
      <x:c r="R122" s="94"/>
      <x:c r="S122" s="26">
        <x:f t="shared" si="6"/>
        <x:v>0</x:v>
      </x:c>
      <x:c r="T122" s="23"/>
      <x:c r="U122" s="23"/>
    </x:row>
    <x:row r="123" ht="18.75" customHeight="1">
      <x:c r="A123" s="19"/>
      <x:c r="B123" s="29"/>
      <x:c r="C123" s="21"/>
      <x:c r="D123" s="55"/>
      <x:c r="E123" s="56"/>
      <x:c r="F123" s="23"/>
      <x:c r="G123" s="25"/>
      <x:c r="H123" s="25"/>
      <x:c r="I123" s="25"/>
      <x:c r="J123" s="25"/>
      <x:c r="K123" s="25"/>
      <x:c r="L123" s="25"/>
      <x:c r="M123" s="25"/>
      <x:c r="N123" s="94"/>
      <x:c r="O123" s="94"/>
      <x:c r="P123" s="94"/>
      <x:c r="Q123" s="94"/>
      <x:c r="R123" s="94"/>
      <x:c r="S123" s="26">
        <x:f t="shared" si="6"/>
        <x:v>0</x:v>
      </x:c>
      <x:c r="T123" s="23"/>
      <x:c r="U123" s="23"/>
    </x:row>
    <x:row r="124" ht="18.75" customHeight="1">
      <x:c r="A124" s="19"/>
      <x:c r="B124" s="29"/>
      <x:c r="C124" s="21"/>
      <x:c r="D124" s="55"/>
      <x:c r="E124" s="56"/>
      <x:c r="F124" s="23"/>
      <x:c r="G124" s="25"/>
      <x:c r="H124" s="25"/>
      <x:c r="I124" s="25"/>
      <x:c r="J124" s="25"/>
      <x:c r="K124" s="25"/>
      <x:c r="L124" s="24"/>
      <x:c r="M124" s="24"/>
      <x:c r="N124" s="94"/>
      <x:c r="O124" s="94"/>
      <x:c r="P124" s="94"/>
      <x:c r="Q124" s="94"/>
      <x:c r="R124" s="94"/>
      <x:c r="S124" s="26">
        <x:f t="shared" si="6"/>
        <x:v>0</x:v>
      </x:c>
      <x:c r="T124" s="23"/>
      <x:c r="U124" s="23"/>
    </x:row>
    <x:row r="125" ht="18.75" customHeight="1">
      <x:c r="A125" s="19"/>
      <x:c r="B125" s="29"/>
      <x:c r="C125" s="21"/>
      <x:c r="D125" s="55"/>
      <x:c r="E125" s="56"/>
      <x:c r="F125" s="23"/>
      <x:c r="G125" s="24"/>
      <x:c r="H125" s="25"/>
      <x:c r="I125" s="25"/>
      <x:c r="J125" s="25"/>
      <x:c r="K125" s="24"/>
      <x:c r="L125" s="25"/>
      <x:c r="M125" s="25"/>
      <x:c r="N125" s="94"/>
      <x:c r="O125" s="94"/>
      <x:c r="P125" s="94"/>
      <x:c r="Q125" s="94"/>
      <x:c r="R125" s="94"/>
      <x:c r="S125" s="26">
        <x:f t="shared" si="6"/>
        <x:v>0</x:v>
      </x:c>
      <x:c r="T125" s="23"/>
      <x:c r="U125" s="23"/>
    </x:row>
    <x:row r="126" ht="18.75" customHeight="1">
      <x:c r="A126" s="19"/>
      <x:c r="B126" s="29"/>
      <x:c r="C126" s="21"/>
      <x:c r="D126" s="55"/>
      <x:c r="E126" s="56"/>
      <x:c r="F126" s="23"/>
      <x:c r="G126" s="25"/>
      <x:c r="H126" s="25"/>
      <x:c r="I126" s="25"/>
      <x:c r="J126" s="25"/>
      <x:c r="K126" s="24"/>
      <x:c r="L126" s="24"/>
      <x:c r="M126" s="24"/>
      <x:c r="N126" s="94"/>
      <x:c r="O126" s="94"/>
      <x:c r="P126" s="94"/>
      <x:c r="Q126" s="94"/>
      <x:c r="R126" s="94"/>
      <x:c r="S126" s="26">
        <x:f t="shared" si="6"/>
        <x:v>0</x:v>
      </x:c>
      <x:c r="T126" s="23"/>
      <x:c r="U126" s="23"/>
    </x:row>
    <x:row r="127" ht="18.75" customHeight="1">
      <x:c r="A127" s="19"/>
      <x:c r="B127" s="29"/>
      <x:c r="C127" s="21"/>
      <x:c r="D127" s="55"/>
      <x:c r="E127" s="56"/>
      <x:c r="F127" s="23"/>
      <x:c r="G127" s="25"/>
      <x:c r="H127" s="25"/>
      <x:c r="I127" s="25"/>
      <x:c r="J127" s="25"/>
      <x:c r="K127" s="24"/>
      <x:c r="L127" s="25"/>
      <x:c r="M127" s="25"/>
      <x:c r="N127" s="94"/>
      <x:c r="O127" s="94"/>
      <x:c r="P127" s="94"/>
      <x:c r="Q127" s="94"/>
      <x:c r="R127" s="94"/>
      <x:c r="S127" s="26">
        <x:f t="shared" si="6"/>
        <x:v>0</x:v>
      </x:c>
      <x:c r="T127" s="23"/>
      <x:c r="U127" s="23"/>
    </x:row>
    <x:row r="128" ht="18.75" customHeight="1">
      <x:c r="A128" s="19"/>
      <x:c r="B128" s="29"/>
      <x:c r="C128" s="21"/>
      <x:c r="D128" s="55"/>
      <x:c r="E128" s="56"/>
      <x:c r="F128" s="23"/>
      <x:c r="G128" s="25"/>
      <x:c r="H128" s="25"/>
      <x:c r="I128" s="25"/>
      <x:c r="J128" s="25"/>
      <x:c r="K128" s="25"/>
      <x:c r="L128" s="24"/>
      <x:c r="M128" s="24"/>
      <x:c r="N128" s="94"/>
      <x:c r="O128" s="94"/>
      <x:c r="P128" s="94"/>
      <x:c r="Q128" s="94"/>
      <x:c r="R128" s="94"/>
      <x:c r="S128" s="26">
        <x:f t="shared" si="6"/>
        <x:v>0</x:v>
      </x:c>
      <x:c r="T128" s="23"/>
      <x:c r="U128" s="23"/>
    </x:row>
    <x:row r="129" ht="18.75" customHeight="1">
      <x:c r="A129" s="19"/>
      <x:c r="B129" s="29"/>
      <x:c r="C129" s="21"/>
      <x:c r="D129" s="35"/>
      <x:c r="E129" s="56"/>
      <x:c r="F129" s="23"/>
      <x:c r="G129" s="25"/>
      <x:c r="H129" s="25"/>
      <x:c r="I129" s="25"/>
      <x:c r="J129" s="25"/>
      <x:c r="K129" s="25"/>
      <x:c r="L129" s="25"/>
      <x:c r="M129" s="25"/>
      <x:c r="N129" s="94"/>
      <x:c r="O129" s="94"/>
      <x:c r="P129" s="94"/>
      <x:c r="Q129" s="94"/>
      <x:c r="R129" s="94"/>
      <x:c r="S129" s="26">
        <x:f t="shared" si="6"/>
        <x:v>0</x:v>
      </x:c>
      <x:c r="T129" s="23"/>
      <x:c r="U129" s="23"/>
    </x:row>
    <x:row r="130" ht="18.75" customHeight="1">
      <x:c r="A130" s="19"/>
      <x:c r="B130" s="29"/>
      <x:c r="C130" s="21"/>
      <x:c r="D130" s="55"/>
      <x:c r="E130" s="56"/>
      <x:c r="F130" s="23"/>
      <x:c r="G130" s="25"/>
      <x:c r="H130" s="25"/>
      <x:c r="I130" s="25"/>
      <x:c r="J130" s="25"/>
      <x:c r="K130" s="25"/>
      <x:c r="L130" s="25"/>
      <x:c r="M130" s="25"/>
      <x:c r="N130" s="94"/>
      <x:c r="O130" s="94"/>
      <x:c r="P130" s="94"/>
      <x:c r="Q130" s="94"/>
      <x:c r="R130" s="94"/>
      <x:c r="S130" s="26">
        <x:f t="shared" si="6"/>
        <x:v>0</x:v>
      </x:c>
      <x:c r="T130" s="23"/>
      <x:c r="U130" s="23"/>
    </x:row>
    <x:row r="131" ht="18.75" customHeight="1">
      <x:c r="A131" s="19"/>
      <x:c r="B131" s="29"/>
      <x:c r="C131" s="21"/>
      <x:c r="D131" s="55"/>
      <x:c r="E131" s="56"/>
      <x:c r="F131" s="23"/>
      <x:c r="G131" s="25"/>
      <x:c r="H131" s="25"/>
      <x:c r="I131" s="25"/>
      <x:c r="J131" s="25"/>
      <x:c r="K131" s="25"/>
      <x:c r="L131" s="25"/>
      <x:c r="M131" s="25"/>
      <x:c r="N131" s="94"/>
      <x:c r="O131" s="94"/>
      <x:c r="P131" s="94"/>
      <x:c r="Q131" s="94"/>
      <x:c r="R131" s="94"/>
      <x:c r="S131" s="26">
        <x:f t="shared" si="6"/>
        <x:v>0</x:v>
      </x:c>
      <x:c r="T131" s="23"/>
      <x:c r="U131" s="23"/>
    </x:row>
    <x:row r="132" ht="18.75" customHeight="1">
      <x:c r="A132" s="19"/>
      <x:c r="B132" s="29"/>
      <x:c r="C132" s="21"/>
      <x:c r="D132" s="55"/>
      <x:c r="E132" s="56"/>
      <x:c r="F132" s="23"/>
      <x:c r="G132" s="25"/>
      <x:c r="H132" s="25"/>
      <x:c r="I132" s="25"/>
      <x:c r="J132" s="25"/>
      <x:c r="K132" s="25"/>
      <x:c r="L132" s="25"/>
      <x:c r="M132" s="25"/>
      <x:c r="N132" s="94"/>
      <x:c r="O132" s="94"/>
      <x:c r="P132" s="94"/>
      <x:c r="Q132" s="94"/>
      <x:c r="R132" s="94"/>
      <x:c r="S132" s="26">
        <x:f t="shared" si="6"/>
        <x:v>0</x:v>
      </x:c>
      <x:c r="T132" s="23"/>
      <x:c r="U132" s="23"/>
    </x:row>
    <x:row r="133" ht="18.75" customHeight="1">
      <x:c r="A133" s="19"/>
      <x:c r="B133" s="29"/>
      <x:c r="C133" s="21"/>
      <x:c r="D133" s="55"/>
      <x:c r="E133" s="56"/>
      <x:c r="F133" s="23"/>
      <x:c r="G133" s="25"/>
      <x:c r="H133" s="25"/>
      <x:c r="I133" s="25"/>
      <x:c r="J133" s="25"/>
      <x:c r="K133" s="25"/>
      <x:c r="L133" s="25"/>
      <x:c r="M133" s="25"/>
      <x:c r="N133" s="94"/>
      <x:c r="O133" s="94"/>
      <x:c r="P133" s="94"/>
      <x:c r="Q133" s="94"/>
      <x:c r="R133" s="94"/>
      <x:c r="S133" s="26">
        <x:f t="shared" si="6"/>
        <x:v>0</x:v>
      </x:c>
      <x:c r="T133" s="23"/>
      <x:c r="U133" s="23"/>
    </x:row>
    <x:row r="134" ht="18.75" customHeight="1">
      <x:c r="A134" s="19"/>
      <x:c r="B134" s="29"/>
      <x:c r="C134" s="21"/>
      <x:c r="D134" s="55"/>
      <x:c r="E134" s="56"/>
      <x:c r="F134" s="23"/>
      <x:c r="G134" s="25"/>
      <x:c r="H134" s="25"/>
      <x:c r="I134" s="25"/>
      <x:c r="J134" s="25"/>
      <x:c r="K134" s="25"/>
      <x:c r="L134" s="25"/>
      <x:c r="M134" s="25"/>
      <x:c r="N134" s="94"/>
      <x:c r="O134" s="94"/>
      <x:c r="P134" s="94"/>
      <x:c r="Q134" s="94"/>
      <x:c r="R134" s="94"/>
      <x:c r="S134" s="26">
        <x:f t="shared" si="6"/>
        <x:v>0</x:v>
      </x:c>
      <x:c r="T134" s="23"/>
      <x:c r="U134" s="23"/>
    </x:row>
    <x:row r="135" ht="18.75" customHeight="1">
      <x:c r="A135" s="19"/>
      <x:c r="B135" s="29"/>
      <x:c r="C135" s="21"/>
      <x:c r="D135" s="55"/>
      <x:c r="E135" s="56"/>
      <x:c r="F135" s="23"/>
      <x:c r="G135" s="25"/>
      <x:c r="H135" s="25"/>
      <x:c r="I135" s="25"/>
      <x:c r="J135" s="25"/>
      <x:c r="K135" s="25"/>
      <x:c r="L135" s="25"/>
      <x:c r="M135" s="25"/>
      <x:c r="N135" s="94"/>
      <x:c r="O135" s="94"/>
      <x:c r="P135" s="94"/>
      <x:c r="Q135" s="94"/>
      <x:c r="R135" s="94"/>
      <x:c r="S135" s="26">
        <x:f t="shared" si="6"/>
        <x:v>0</x:v>
      </x:c>
      <x:c r="T135" s="23"/>
      <x:c r="U135" s="23"/>
    </x:row>
    <x:row r="136" ht="18.75" customHeight="1">
      <x:c r="A136" s="19"/>
      <x:c r="B136" s="29"/>
      <x:c r="C136" s="21"/>
      <x:c r="D136" s="55"/>
      <x:c r="E136" s="56"/>
      <x:c r="F136" s="23"/>
      <x:c r="G136" s="25"/>
      <x:c r="H136" s="25"/>
      <x:c r="I136" s="25"/>
      <x:c r="J136" s="25"/>
      <x:c r="K136" s="25"/>
      <x:c r="L136" s="24"/>
      <x:c r="M136" s="24"/>
      <x:c r="N136" s="94"/>
      <x:c r="O136" s="94"/>
      <x:c r="P136" s="94"/>
      <x:c r="Q136" s="94"/>
      <x:c r="R136" s="94"/>
      <x:c r="S136" s="26">
        <x:f t="shared" si="6"/>
        <x:v>0</x:v>
      </x:c>
      <x:c r="T136" s="23"/>
      <x:c r="U136" s="23"/>
    </x:row>
    <x:row r="137" ht="18.75" customHeight="1">
      <x:c r="A137" s="19"/>
      <x:c r="B137" s="29"/>
      <x:c r="C137" s="21"/>
      <x:c r="D137" s="55"/>
      <x:c r="E137" s="56"/>
      <x:c r="F137" s="23"/>
      <x:c r="G137" s="25"/>
      <x:c r="H137" s="25"/>
      <x:c r="I137" s="25"/>
      <x:c r="J137" s="25"/>
      <x:c r="K137" s="24"/>
      <x:c r="L137" s="24"/>
      <x:c r="M137" s="24"/>
      <x:c r="N137" s="94"/>
      <x:c r="O137" s="94"/>
      <x:c r="P137" s="94"/>
      <x:c r="Q137" s="94"/>
      <x:c r="R137" s="94"/>
      <x:c r="S137" s="26">
        <x:f t="shared" si="6"/>
        <x:v>0</x:v>
      </x:c>
      <x:c r="T137" s="23"/>
      <x:c r="U137" s="23"/>
    </x:row>
    <x:row r="138" ht="18.75" customHeight="1">
      <x:c r="A138" s="19"/>
      <x:c r="B138" s="29"/>
      <x:c r="C138" s="21"/>
      <x:c r="D138" s="55"/>
      <x:c r="E138" s="56"/>
      <x:c r="F138" s="23"/>
      <x:c r="G138" s="24"/>
      <x:c r="H138" s="25"/>
      <x:c r="I138" s="25"/>
      <x:c r="J138" s="25"/>
      <x:c r="K138" s="25"/>
      <x:c r="L138" s="25"/>
      <x:c r="M138" s="25"/>
      <x:c r="N138" s="94"/>
      <x:c r="O138" s="94"/>
      <x:c r="P138" s="94"/>
      <x:c r="Q138" s="94"/>
      <x:c r="R138" s="94"/>
      <x:c r="S138" s="26">
        <x:f t="shared" si="6"/>
        <x:v>0</x:v>
      </x:c>
      <x:c r="T138" s="23"/>
      <x:c r="U138" s="23"/>
    </x:row>
    <x:row r="139" ht="18.75" customHeight="1">
      <x:c r="A139" s="19"/>
      <x:c r="B139" s="29"/>
      <x:c r="C139" s="21"/>
      <x:c r="D139" s="55"/>
      <x:c r="E139" s="56"/>
      <x:c r="F139" s="23"/>
      <x:c r="G139" s="25"/>
      <x:c r="H139" s="25"/>
      <x:c r="I139" s="25"/>
      <x:c r="J139" s="25"/>
      <x:c r="K139" s="25"/>
      <x:c r="L139" s="24"/>
      <x:c r="M139" s="24"/>
      <x:c r="N139" s="94"/>
      <x:c r="O139" s="94"/>
      <x:c r="P139" s="94"/>
      <x:c r="Q139" s="94"/>
      <x:c r="R139" s="94"/>
      <x:c r="S139" s="26">
        <x:f t="shared" si="6"/>
        <x:v>0</x:v>
      </x:c>
      <x:c r="T139" s="23"/>
      <x:c r="U139" s="23"/>
    </x:row>
    <x:row r="140" ht="18.75" customHeight="1">
      <x:c r="A140" s="19"/>
      <x:c r="B140" s="29"/>
      <x:c r="C140" s="21"/>
      <x:c r="D140" s="55"/>
      <x:c r="E140" s="56"/>
      <x:c r="F140" s="23"/>
      <x:c r="G140" s="25"/>
      <x:c r="H140" s="25"/>
      <x:c r="I140" s="25"/>
      <x:c r="J140" s="25"/>
      <x:c r="K140" s="24"/>
      <x:c r="L140" s="24"/>
      <x:c r="M140" s="24"/>
      <x:c r="N140" s="94"/>
      <x:c r="O140" s="94"/>
      <x:c r="P140" s="94"/>
      <x:c r="Q140" s="94"/>
      <x:c r="R140" s="94"/>
      <x:c r="S140" s="26">
        <x:f t="shared" si="6"/>
        <x:v>0</x:v>
      </x:c>
      <x:c r="T140" s="23"/>
      <x:c r="U140" s="23"/>
    </x:row>
    <x:row r="141" ht="18.75" customHeight="1">
      <x:c r="A141" s="19"/>
      <x:c r="B141" s="29"/>
      <x:c r="C141" s="21"/>
      <x:c r="D141" s="55"/>
      <x:c r="E141" s="56"/>
      <x:c r="F141" s="23"/>
      <x:c r="G141" s="25"/>
      <x:c r="H141" s="25"/>
      <x:c r="I141" s="25"/>
      <x:c r="J141" s="25"/>
      <x:c r="K141" s="25"/>
      <x:c r="L141" s="24"/>
      <x:c r="M141" s="24"/>
      <x:c r="N141" s="94"/>
      <x:c r="O141" s="94"/>
      <x:c r="P141" s="94"/>
      <x:c r="Q141" s="94"/>
      <x:c r="R141" s="94"/>
      <x:c r="S141" s="26">
        <x:f t="shared" si="6"/>
        <x:v>0</x:v>
      </x:c>
      <x:c r="T141" s="23"/>
      <x:c r="U141" s="23"/>
    </x:row>
    <x:row r="142" ht="18.75" customHeight="1">
      <x:c r="A142" s="19"/>
      <x:c r="B142" s="29"/>
      <x:c r="C142" s="21"/>
      <x:c r="D142" s="55"/>
      <x:c r="E142" s="56"/>
      <x:c r="F142" s="23"/>
      <x:c r="G142" s="25"/>
      <x:c r="H142" s="25"/>
      <x:c r="I142" s="25"/>
      <x:c r="J142" s="25"/>
      <x:c r="K142" s="25"/>
      <x:c r="L142" s="24"/>
      <x:c r="M142" s="24"/>
      <x:c r="N142" s="94"/>
      <x:c r="O142" s="94"/>
      <x:c r="P142" s="94"/>
      <x:c r="Q142" s="94"/>
      <x:c r="R142" s="94"/>
      <x:c r="S142" s="26">
        <x:f t="shared" si="6"/>
        <x:v>0</x:v>
      </x:c>
      <x:c r="T142" s="23"/>
      <x:c r="U142" s="23"/>
    </x:row>
    <x:row r="143" ht="18.75" customHeight="1">
      <x:c r="A143" s="19"/>
      <x:c r="B143" s="29"/>
      <x:c r="C143" s="21"/>
      <x:c r="D143" s="55"/>
      <x:c r="E143" s="56"/>
      <x:c r="F143" s="23"/>
      <x:c r="G143" s="25"/>
      <x:c r="H143" s="25"/>
      <x:c r="I143" s="25"/>
      <x:c r="J143" s="25"/>
      <x:c r="K143" s="25"/>
      <x:c r="L143" s="25"/>
      <x:c r="M143" s="25"/>
      <x:c r="N143" s="94"/>
      <x:c r="O143" s="94"/>
      <x:c r="P143" s="94"/>
      <x:c r="Q143" s="94"/>
      <x:c r="R143" s="94"/>
      <x:c r="S143" s="26">
        <x:f t="shared" si="6"/>
        <x:v>0</x:v>
      </x:c>
      <x:c r="T143" s="23"/>
      <x:c r="U143" s="23"/>
    </x:row>
    <x:row r="144" ht="18.75" customHeight="1">
      <x:c r="A144" s="19"/>
      <x:c r="B144" s="29"/>
      <x:c r="C144" s="21"/>
      <x:c r="D144" s="55"/>
      <x:c r="E144" s="56"/>
      <x:c r="F144" s="23"/>
      <x:c r="G144" s="25"/>
      <x:c r="H144" s="25"/>
      <x:c r="I144" s="25"/>
      <x:c r="J144" s="25"/>
      <x:c r="K144" s="25"/>
      <x:c r="L144" s="24"/>
      <x:c r="M144" s="24"/>
      <x:c r="N144" s="94"/>
      <x:c r="O144" s="94"/>
      <x:c r="P144" s="94"/>
      <x:c r="Q144" s="94"/>
      <x:c r="R144" s="94"/>
      <x:c r="S144" s="26">
        <x:f t="shared" si="6"/>
        <x:v>0</x:v>
      </x:c>
      <x:c r="T144" s="23"/>
      <x:c r="U144" s="23"/>
    </x:row>
    <x:row r="145" ht="18.75" customHeight="1">
      <x:c r="A145" s="19"/>
      <x:c r="B145" s="29"/>
      <x:c r="C145" s="21"/>
      <x:c r="D145" s="55"/>
      <x:c r="E145" s="56"/>
      <x:c r="F145" s="23"/>
      <x:c r="G145" s="25"/>
      <x:c r="H145" s="25"/>
      <x:c r="I145" s="25"/>
      <x:c r="J145" s="25"/>
      <x:c r="K145" s="25"/>
      <x:c r="L145" s="24"/>
      <x:c r="M145" s="24"/>
      <x:c r="N145" s="94"/>
      <x:c r="O145" s="94"/>
      <x:c r="P145" s="94"/>
      <x:c r="Q145" s="94"/>
      <x:c r="R145" s="94"/>
      <x:c r="S145" s="26">
        <x:f t="shared" si="6"/>
        <x:v>0</x:v>
      </x:c>
      <x:c r="T145" s="23"/>
      <x:c r="U145" s="23"/>
    </x:row>
    <x:row r="146" ht="18.75" customHeight="1">
      <x:c r="A146" s="19"/>
      <x:c r="B146" s="29"/>
      <x:c r="C146" s="21"/>
      <x:c r="D146" s="55"/>
      <x:c r="E146" s="56"/>
      <x:c r="F146" s="23"/>
      <x:c r="G146" s="25"/>
      <x:c r="H146" s="24"/>
      <x:c r="I146" s="24"/>
      <x:c r="J146" s="24"/>
      <x:c r="K146" s="25"/>
      <x:c r="L146" s="24"/>
      <x:c r="M146" s="24"/>
      <x:c r="N146" s="94"/>
      <x:c r="O146" s="94"/>
      <x:c r="P146" s="94"/>
      <x:c r="Q146" s="94"/>
      <x:c r="R146" s="94"/>
      <x:c r="S146" s="26">
        <x:f t="shared" si="6"/>
        <x:v>0</x:v>
      </x:c>
      <x:c r="T146" s="23"/>
      <x:c r="U146" s="23"/>
    </x:row>
    <x:row r="147" ht="18.75" customHeight="1">
      <x:c r="A147" s="19"/>
      <x:c r="B147" s="29"/>
      <x:c r="C147" s="21"/>
      <x:c r="D147" s="55"/>
      <x:c r="E147" s="56"/>
      <x:c r="F147" s="23"/>
      <x:c r="G147" s="25"/>
      <x:c r="H147" s="25"/>
      <x:c r="I147" s="25"/>
      <x:c r="J147" s="25"/>
      <x:c r="K147" s="24"/>
      <x:c r="L147" s="25"/>
      <x:c r="M147" s="25"/>
      <x:c r="N147" s="94"/>
      <x:c r="O147" s="94"/>
      <x:c r="P147" s="94"/>
      <x:c r="Q147" s="94"/>
      <x:c r="R147" s="94"/>
      <x:c r="S147" s="26">
        <x:f t="shared" si="6"/>
        <x:v>0</x:v>
      </x:c>
      <x:c r="T147" s="23"/>
      <x:c r="U147" s="23"/>
    </x:row>
    <x:row r="148" ht="18.75" customHeight="1">
      <x:c r="A148" s="19"/>
      <x:c r="B148" s="29"/>
      <x:c r="C148" s="21"/>
      <x:c r="D148" s="55"/>
      <x:c r="E148" s="56"/>
      <x:c r="F148" s="23"/>
      <x:c r="G148" s="25"/>
      <x:c r="H148" s="25"/>
      <x:c r="I148" s="25"/>
      <x:c r="J148" s="25"/>
      <x:c r="K148" s="25"/>
      <x:c r="L148" s="24"/>
      <x:c r="M148" s="24"/>
      <x:c r="N148" s="94"/>
      <x:c r="O148" s="94"/>
      <x:c r="P148" s="94"/>
      <x:c r="Q148" s="94"/>
      <x:c r="R148" s="94"/>
      <x:c r="S148" s="26">
        <x:f t="shared" si="6"/>
        <x:v>0</x:v>
      </x:c>
      <x:c r="T148" s="23"/>
      <x:c r="U148" s="23"/>
    </x:row>
    <x:row r="149" ht="18.75" customHeight="1">
      <x:c r="A149" s="19"/>
      <x:c r="B149" s="29"/>
      <x:c r="C149" s="21"/>
      <x:c r="D149" s="55"/>
      <x:c r="E149" s="56"/>
      <x:c r="F149" s="23"/>
      <x:c r="G149" s="25"/>
      <x:c r="H149" s="25"/>
      <x:c r="I149" s="25"/>
      <x:c r="J149" s="25"/>
      <x:c r="K149" s="24"/>
      <x:c r="L149" s="25"/>
      <x:c r="M149" s="25"/>
      <x:c r="N149" s="94"/>
      <x:c r="O149" s="94"/>
      <x:c r="P149" s="94"/>
      <x:c r="Q149" s="94"/>
      <x:c r="R149" s="94"/>
      <x:c r="S149" s="26">
        <x:f t="shared" si="6"/>
        <x:v>0</x:v>
      </x:c>
      <x:c r="T149" s="23"/>
      <x:c r="U149" s="23"/>
    </x:row>
    <x:row r="150" ht="18.75" customHeight="1">
      <x:c r="A150" s="19"/>
      <x:c r="B150" s="29"/>
      <x:c r="C150" s="21"/>
      <x:c r="D150" s="55"/>
      <x:c r="E150" s="56"/>
      <x:c r="F150" s="23"/>
      <x:c r="G150" s="25"/>
      <x:c r="H150" s="25"/>
      <x:c r="I150" s="25"/>
      <x:c r="J150" s="25"/>
      <x:c r="K150" s="24"/>
      <x:c r="L150" s="25"/>
      <x:c r="M150" s="25"/>
      <x:c r="N150" s="94"/>
      <x:c r="O150" s="94"/>
      <x:c r="P150" s="94"/>
      <x:c r="Q150" s="94"/>
      <x:c r="R150" s="94"/>
      <x:c r="S150" s="26">
        <x:f t="shared" si="6"/>
        <x:v>0</x:v>
      </x:c>
      <x:c r="T150" s="23"/>
      <x:c r="U150" s="23"/>
    </x:row>
    <x:row r="151" ht="18.75" customHeight="1">
      <x:c r="A151" s="19"/>
      <x:c r="B151" s="29"/>
      <x:c r="C151" s="21"/>
      <x:c r="D151" s="55"/>
      <x:c r="E151" s="56"/>
      <x:c r="F151" s="23"/>
      <x:c r="G151" s="25"/>
      <x:c r="H151" s="25"/>
      <x:c r="I151" s="25"/>
      <x:c r="J151" s="25"/>
      <x:c r="K151" s="24"/>
      <x:c r="L151" s="24"/>
      <x:c r="M151" s="24"/>
      <x:c r="N151" s="94"/>
      <x:c r="O151" s="94"/>
      <x:c r="P151" s="94"/>
      <x:c r="Q151" s="94"/>
      <x:c r="R151" s="23"/>
      <x:c r="S151" s="26">
        <x:f t="shared" si="6"/>
        <x:v>0</x:v>
      </x:c>
      <x:c r="T151" s="23"/>
      <x:c r="U151" s="23"/>
    </x:row>
    <x:row r="152" ht="18.75" customHeight="1">
      <x:c r="A152" s="19"/>
      <x:c r="B152" s="29"/>
      <x:c r="C152" s="21"/>
      <x:c r="D152" s="55"/>
      <x:c r="E152" s="56"/>
      <x:c r="F152" s="23"/>
      <x:c r="G152" s="25"/>
      <x:c r="H152" s="25"/>
      <x:c r="I152" s="25"/>
      <x:c r="J152" s="25"/>
      <x:c r="K152" s="25"/>
      <x:c r="L152" s="25"/>
      <x:c r="M152" s="25"/>
      <x:c r="N152" s="94"/>
      <x:c r="O152" s="94"/>
      <x:c r="P152" s="94"/>
      <x:c r="Q152" s="94"/>
      <x:c r="R152" s="94"/>
      <x:c r="S152" s="26">
        <x:f t="shared" si="6"/>
        <x:v>0</x:v>
      </x:c>
      <x:c r="T152" s="23"/>
      <x:c r="U152" s="23"/>
    </x:row>
    <x:row r="153" ht="18.75" customHeight="1">
      <x:c r="A153" s="19"/>
      <x:c r="B153" s="29"/>
      <x:c r="C153" s="21"/>
      <x:c r="D153" s="55"/>
      <x:c r="E153" s="56"/>
      <x:c r="F153" s="23"/>
      <x:c r="G153" s="25"/>
      <x:c r="H153" s="25"/>
      <x:c r="I153" s="25"/>
      <x:c r="J153" s="25"/>
      <x:c r="K153" s="24"/>
      <x:c r="L153" s="25"/>
      <x:c r="M153" s="25"/>
      <x:c r="N153" s="94"/>
      <x:c r="O153" s="94"/>
      <x:c r="P153" s="94"/>
      <x:c r="Q153" s="94"/>
      <x:c r="R153" s="94"/>
      <x:c r="S153" s="26">
        <x:f t="shared" si="6"/>
        <x:v>0</x:v>
      </x:c>
      <x:c r="T153" s="23"/>
      <x:c r="U153" s="23"/>
    </x:row>
    <x:row r="154" ht="18.75" customHeight="1">
      <x:c r="A154" s="19"/>
      <x:c r="B154" s="29"/>
      <x:c r="C154" s="21"/>
      <x:c r="D154" s="55"/>
      <x:c r="E154" s="56"/>
      <x:c r="F154" s="23"/>
      <x:c r="G154" s="25"/>
      <x:c r="H154" s="25"/>
      <x:c r="I154" s="25"/>
      <x:c r="J154" s="25"/>
      <x:c r="K154" s="25"/>
      <x:c r="L154" s="25"/>
      <x:c r="M154" s="25"/>
      <x:c r="N154" s="94"/>
      <x:c r="O154" s="94"/>
      <x:c r="P154" s="23"/>
      <x:c r="Q154" s="94"/>
      <x:c r="R154" s="94"/>
      <x:c r="S154" s="26">
        <x:f t="shared" si="6"/>
        <x:v>0</x:v>
      </x:c>
      <x:c r="T154" s="23"/>
      <x:c r="U154" s="23"/>
    </x:row>
    <x:row r="155" ht="18.75" customHeight="1">
      <x:c r="A155" s="19"/>
      <x:c r="B155" s="29"/>
      <x:c r="C155" s="21"/>
      <x:c r="D155" s="55"/>
      <x:c r="E155" s="56"/>
      <x:c r="F155" s="23"/>
      <x:c r="G155" s="25"/>
      <x:c r="H155" s="25"/>
      <x:c r="I155" s="25"/>
      <x:c r="J155" s="25"/>
      <x:c r="K155" s="25"/>
      <x:c r="L155" s="25"/>
      <x:c r="M155" s="25"/>
      <x:c r="N155" s="94"/>
      <x:c r="O155" s="94"/>
      <x:c r="P155" s="94"/>
      <x:c r="Q155" s="94"/>
      <x:c r="R155" s="94"/>
      <x:c r="S155" s="26">
        <x:f t="shared" si="6"/>
        <x:v>0</x:v>
      </x:c>
      <x:c r="T155" s="23"/>
      <x:c r="U155" s="23"/>
    </x:row>
    <x:row r="156" ht="18.75" customHeight="1">
      <x:c r="A156" s="19"/>
      <x:c r="B156" s="29"/>
      <x:c r="C156" s="21"/>
      <x:c r="D156" s="55"/>
      <x:c r="E156" s="56"/>
      <x:c r="F156" s="23"/>
      <x:c r="G156" s="25"/>
      <x:c r="H156" s="25"/>
      <x:c r="I156" s="25"/>
      <x:c r="J156" s="25"/>
      <x:c r="K156" s="24"/>
      <x:c r="L156" s="25"/>
      <x:c r="M156" s="25"/>
      <x:c r="N156" s="94"/>
      <x:c r="O156" s="94"/>
      <x:c r="P156" s="94"/>
      <x:c r="Q156" s="94"/>
      <x:c r="R156" s="94"/>
      <x:c r="S156" s="26"/>
      <x:c r="T156" s="23"/>
      <x:c r="U156" s="23"/>
    </x:row>
    <x:row r="157" ht="18.75" customHeight="1">
      <x:c r="A157" s="19"/>
      <x:c r="B157" s="29"/>
      <x:c r="C157" s="21"/>
      <x:c r="D157" s="55"/>
      <x:c r="E157" s="56"/>
      <x:c r="F157" s="23"/>
      <x:c r="G157" s="25"/>
      <x:c r="H157" s="24"/>
      <x:c r="I157" s="24"/>
      <x:c r="J157" s="24"/>
      <x:c r="K157" s="25"/>
      <x:c r="L157" s="25"/>
      <x:c r="M157" s="25"/>
      <x:c r="N157" s="94"/>
      <x:c r="O157" s="94"/>
      <x:c r="P157" s="23"/>
      <x:c r="Q157" s="94"/>
      <x:c r="R157" s="94"/>
      <x:c r="S157" s="26"/>
      <x:c r="T157" s="23"/>
      <x:c r="U157" s="23"/>
    </x:row>
    <x:row r="158" ht="18.75" customHeight="1">
      <x:c r="A158" s="19"/>
      <x:c r="B158" s="29"/>
      <x:c r="C158" s="21"/>
      <x:c r="D158" s="55"/>
      <x:c r="E158" s="56"/>
      <x:c r="F158" s="23"/>
      <x:c r="G158" s="25"/>
      <x:c r="H158" s="25"/>
      <x:c r="I158" s="25"/>
      <x:c r="J158" s="25"/>
      <x:c r="K158" s="25"/>
      <x:c r="L158" s="24"/>
      <x:c r="M158" s="24"/>
      <x:c r="N158" s="94"/>
      <x:c r="O158" s="94"/>
      <x:c r="P158" s="94"/>
      <x:c r="Q158" s="94"/>
      <x:c r="R158" s="94"/>
      <x:c r="S158" s="26"/>
      <x:c r="T158" s="23"/>
      <x:c r="U158" s="23"/>
    </x:row>
    <x:row r="159" ht="18.75" customHeight="1">
      <x:c r="A159" s="19"/>
      <x:c r="B159" s="29"/>
      <x:c r="C159" s="21"/>
      <x:c r="D159" s="55"/>
      <x:c r="E159" s="56"/>
      <x:c r="F159" s="23"/>
      <x:c r="G159" s="25"/>
      <x:c r="H159" s="25"/>
      <x:c r="I159" s="25"/>
      <x:c r="J159" s="25"/>
      <x:c r="K159" s="25"/>
      <x:c r="L159" s="24"/>
      <x:c r="M159" s="24"/>
      <x:c r="N159" s="94"/>
      <x:c r="O159" s="94"/>
      <x:c r="P159" s="94"/>
      <x:c r="Q159" s="94"/>
      <x:c r="R159" s="94"/>
      <x:c r="S159" s="26"/>
      <x:c r="T159" s="23"/>
      <x:c r="U159" s="23"/>
    </x:row>
    <x:row r="160" ht="18.75" customHeight="1">
      <x:c r="A160" s="19"/>
      <x:c r="B160" s="29"/>
      <x:c r="C160" s="21"/>
      <x:c r="D160" s="55"/>
      <x:c r="E160" s="56"/>
      <x:c r="F160" s="23"/>
      <x:c r="G160" s="25"/>
      <x:c r="H160" s="25"/>
      <x:c r="I160" s="25"/>
      <x:c r="J160" s="25"/>
      <x:c r="K160" s="25"/>
      <x:c r="N160" s="91"/>
      <x:c r="O160" s="94"/>
      <x:c r="P160" s="94"/>
      <x:c r="Q160" s="94"/>
      <x:c r="R160" s="94"/>
      <x:c r="S160" s="26"/>
      <x:c r="T160" s="23"/>
      <x:c r="U160" s="23"/>
    </x:row>
    <x:row r="161" ht="18.75" customHeight="1">
      <x:c r="A161" s="19"/>
      <x:c r="B161" s="29"/>
      <x:c r="C161" s="21"/>
      <x:c r="D161" s="55"/>
      <x:c r="E161" s="56"/>
      <x:c r="F161" s="23"/>
      <x:c r="G161" s="25"/>
      <x:c r="H161" s="25"/>
      <x:c r="I161" s="25"/>
      <x:c r="J161" s="25"/>
      <x:c r="K161" s="24"/>
      <x:c r="L161" s="25"/>
      <x:c r="M161" s="25"/>
      <x:c r="N161" s="94"/>
      <x:c r="O161" s="94"/>
      <x:c r="P161" s="94"/>
      <x:c r="Q161" s="94"/>
      <x:c r="R161" s="94"/>
      <x:c r="S161" s="26"/>
      <x:c r="T161" s="23"/>
      <x:c r="U161" s="23"/>
    </x:row>
    <x:row r="162" ht="18.75" customHeight="1">
      <x:c r="A162" s="19"/>
      <x:c r="B162" s="29"/>
      <x:c r="C162" s="21"/>
      <x:c r="D162" s="55"/>
      <x:c r="E162" s="56"/>
      <x:c r="F162" s="23"/>
      <x:c r="G162" s="25"/>
      <x:c r="H162" s="25"/>
      <x:c r="I162" s="25"/>
      <x:c r="J162" s="25"/>
      <x:c r="K162" s="25"/>
      <x:c r="L162" s="24"/>
      <x:c r="M162" s="24"/>
      <x:c r="N162" s="94"/>
      <x:c r="O162" s="94"/>
      <x:c r="P162" s="94"/>
      <x:c r="Q162" s="94"/>
      <x:c r="R162" s="94"/>
      <x:c r="S162" s="26"/>
      <x:c r="T162" s="23"/>
      <x:c r="U162" s="23"/>
    </x:row>
    <x:row r="163" ht="18.75" customHeight="1">
      <x:c r="A163" s="19"/>
      <x:c r="B163" s="29"/>
      <x:c r="C163" s="21"/>
      <x:c r="D163" s="55"/>
      <x:c r="E163" s="56"/>
      <x:c r="F163" s="23"/>
      <x:c r="G163" s="25"/>
      <x:c r="H163" s="25"/>
      <x:c r="I163" s="25"/>
      <x:c r="J163" s="25"/>
      <x:c r="K163" s="25"/>
      <x:c r="L163" s="24"/>
      <x:c r="M163" s="24"/>
      <x:c r="N163" s="94"/>
      <x:c r="O163" s="94"/>
      <x:c r="P163" s="94"/>
      <x:c r="Q163" s="94"/>
      <x:c r="R163" s="94"/>
      <x:c r="S163" s="26"/>
      <x:c r="T163" s="23"/>
      <x:c r="U163" s="23"/>
    </x:row>
    <x:row r="164" ht="18.75" customHeight="1">
      <x:c r="A164" s="19"/>
      <x:c r="B164" s="29"/>
      <x:c r="C164" s="21"/>
      <x:c r="D164" s="55"/>
      <x:c r="E164" s="56"/>
      <x:c r="F164" s="23"/>
      <x:c r="G164" s="25"/>
      <x:c r="H164" s="25"/>
      <x:c r="I164" s="25"/>
      <x:c r="J164" s="25"/>
      <x:c r="K164" s="25"/>
      <x:c r="L164" s="25"/>
      <x:c r="M164" s="25"/>
      <x:c r="N164" s="94"/>
      <x:c r="O164" s="94"/>
      <x:c r="P164" s="94"/>
      <x:c r="Q164" s="94"/>
      <x:c r="R164" s="94"/>
      <x:c r="S164" s="26"/>
      <x:c r="T164" s="23"/>
      <x:c r="U164" s="23"/>
    </x:row>
    <x:row r="165" ht="18.75" customHeight="1">
      <x:c r="A165" s="19"/>
      <x:c r="B165" s="29"/>
      <x:c r="C165" s="21"/>
      <x:c r="D165" s="55"/>
      <x:c r="E165" s="56"/>
      <x:c r="F165" s="23"/>
      <x:c r="G165" s="25"/>
      <x:c r="H165" s="25"/>
      <x:c r="I165" s="25"/>
      <x:c r="J165" s="25"/>
      <x:c r="K165" s="25"/>
      <x:c r="L165" s="24"/>
      <x:c r="M165" s="24"/>
      <x:c r="N165" s="94"/>
      <x:c r="O165" s="94"/>
      <x:c r="P165" s="94"/>
      <x:c r="Q165" s="94"/>
      <x:c r="R165" s="94"/>
      <x:c r="S165" s="26"/>
      <x:c r="T165" s="23"/>
      <x:c r="U165" s="23"/>
    </x:row>
    <x:row r="166" ht="18.75" customHeight="1">
      <x:c r="A166" s="19"/>
      <x:c r="B166" s="29"/>
      <x:c r="C166" s="21"/>
      <x:c r="D166" s="55"/>
      <x:c r="E166" s="56"/>
      <x:c r="F166" s="23"/>
      <x:c r="G166" s="25"/>
      <x:c r="H166" s="25"/>
      <x:c r="I166" s="25"/>
      <x:c r="J166" s="25"/>
      <x:c r="K166" s="25"/>
      <x:c r="L166" s="24"/>
      <x:c r="M166" s="24"/>
      <x:c r="N166" s="94"/>
      <x:c r="O166" s="94"/>
      <x:c r="P166" s="94"/>
      <x:c r="Q166" s="94"/>
      <x:c r="R166" s="94"/>
      <x:c r="S166" s="26"/>
      <x:c r="T166" s="23"/>
      <x:c r="U166" s="23"/>
    </x:row>
    <x:row r="167" ht="18.75" customHeight="1">
      <x:c r="A167" s="19"/>
      <x:c r="B167" s="29"/>
      <x:c r="C167" s="21"/>
      <x:c r="D167" s="55"/>
      <x:c r="E167" s="56"/>
      <x:c r="F167" s="23"/>
      <x:c r="G167" s="25"/>
      <x:c r="H167" s="25"/>
      <x:c r="I167" s="25"/>
      <x:c r="J167" s="25"/>
      <x:c r="K167" s="24"/>
      <x:c r="L167" s="25"/>
      <x:c r="M167" s="25"/>
      <x:c r="N167" s="94"/>
      <x:c r="O167" s="94"/>
      <x:c r="P167" s="94"/>
      <x:c r="Q167" s="94"/>
      <x:c r="R167" s="94"/>
      <x:c r="S167" s="26"/>
      <x:c r="T167" s="23"/>
      <x:c r="U167" s="23"/>
    </x:row>
    <x:row r="168" ht="18.75" customHeight="1">
      <x:c r="A168" s="19"/>
      <x:c r="B168" s="29"/>
      <x:c r="C168" s="21"/>
      <x:c r="D168" s="55"/>
      <x:c r="E168" s="56"/>
      <x:c r="F168" s="23"/>
      <x:c r="G168" s="25"/>
      <x:c r="H168" s="24"/>
      <x:c r="I168" s="24"/>
      <x:c r="J168" s="24"/>
      <x:c r="K168" s="25"/>
      <x:c r="L168" s="24"/>
      <x:c r="M168" s="24"/>
      <x:c r="N168" s="94"/>
      <x:c r="O168" s="94"/>
      <x:c r="P168" s="94"/>
      <x:c r="Q168" s="94"/>
      <x:c r="R168" s="94"/>
      <x:c r="S168" s="26"/>
      <x:c r="T168" s="23"/>
      <x:c r="U168" s="23"/>
    </x:row>
    <x:row r="169">
      <x:c r="A169" s="75"/>
      <x:c r="B169" s="76" t="s">
        <x:v>27</x:v>
      </x:c>
      <x:c r="C169" s="77"/>
      <x:c r="D169" s="78"/>
      <x:c r="E169" s="77" t="n">
        <x:f>SUM(E2:E140)</x:f>
        <x:v>0</x:v>
      </x:c>
      <x:c r="F169" s="77" t="n">
        <x:f t="shared" ref="F169:S169" si="7">SUM(F2:F168)</x:f>
        <x:v>9</x:v>
      </x:c>
      <x:c r="G169" s="79">
        <x:f t="shared" si="7"/>
        <x:v>21</x:v>
      </x:c>
      <x:c r="H169" s="79">
        <x:f t="shared" si="7"/>
        <x:v>15</x:v>
      </x:c>
      <x:c r="I169" s="79">
        <x:f t="shared" si="7"/>
        <x:v>3</x:v>
      </x:c>
      <x:c r="J169" s="79">
        <x:f t="shared" si="7"/>
        <x:v>3</x:v>
      </x:c>
      <x:c r="K169" s="79">
        <x:f t="shared" si="7"/>
        <x:v>0</x:v>
      </x:c>
      <x:c r="L169" s="79">
        <x:f t="shared" si="7"/>
        <x:v>0</x:v>
      </x:c>
      <x:c r="M169" s="79">
        <x:f t="shared" si="7"/>
        <x:v>6</x:v>
      </x:c>
      <x:c r="N169" s="77">
        <x:f t="shared" si="7"/>
        <x:v>3</x:v>
      </x:c>
      <x:c r="O169" s="77">
        <x:f t="shared" si="7"/>
        <x:v>0</x:v>
      </x:c>
      <x:c r="P169" s="77">
        <x:f t="shared" si="7"/>
        <x:v>3</x:v>
      </x:c>
      <x:c r="Q169" s="77">
        <x:f t="shared" si="7"/>
        <x:v>0</x:v>
      </x:c>
      <x:c r="R169" s="77">
        <x:f t="shared" si="7"/>
        <x:v>3</x:v>
      </x:c>
      <x:c r="S169" s="80">
        <x:f t="shared" si="7"/>
        <x:v>25094000</x:v>
      </x:c>
      <x:c r="T169" s="77"/>
      <x:c r="U169" s="77"/>
    </x:row>
    <x:row r="170">
      <x:c r="A170" s="75"/>
      <x:c r="B170" s="76" t="s">
        <x:v>51</x:v>
      </x:c>
      <x:c r="C170" s="81"/>
      <x:c r="D170" s="96"/>
      <x:c r="E170" s="83" t="n">
        <x:f>E169*Inventory_batches!I60</x:f>
        <x:v>0</x:v>
      </x:c>
      <x:c r="F170" s="83" t="n">
        <x:f>F169*Inventory_batches!I103</x:f>
        <x:v>1475256.2264150942</x:v>
      </x:c>
      <x:c r="G170" s="84" t="n">
        <x:f>G169*Inventory_batches!I106</x:f>
        <x:v>5036637.028301886</x:v>
      </x:c>
      <x:c r="H170" s="84" t="n">
        <x:f>H169*Inventory_batches!I105</x:f>
        <x:v>3217985.3773584906</x:v>
      </x:c>
      <x:c r="I170" s="84" t="n">
        <x:f>I169*Inventory_batches!I104</x:f>
        <x:v>567674.5754716981</x:v>
      </x:c>
      <x:c r="J170" s="84" t="n">
        <x:f>J169*Inventory_batches!I108</x:f>
        <x:v>1175054.575471698</x:v>
      </x:c>
      <x:c r="K170" s="84" t="n">
        <x:f>K169*Inventory_batches!I98</x:f>
        <x:v>0</x:v>
      </x:c>
      <x:c r="L170" s="84" t="n">
        <x:f>L169*Inventory_batches!I94</x:f>
        <x:v>0</x:v>
      </x:c>
      <x:c r="M170" s="84" t="n">
        <x:f>M169*Inventory_batches!I102</x:f>
        <x:v>831659.1509433961</x:v>
      </x:c>
      <x:c r="N170" s="84" t="n">
        <x:f>N169*Inventory_batches!I107</x:f>
        <x:v>643597.0754716981</x:v>
      </x:c>
      <x:c r="O170" s="83" t="n">
        <x:f>O169*Inventory_batches!I81</x:f>
        <x:v>0</x:v>
      </x:c>
      <x:c r="P170" s="83" t="n">
        <x:f>P169*Inventory_batches!I80</x:f>
        <x:v>502148.4324324324</x:v>
      </x:c>
      <x:c r="Q170" s="83" t="n">
        <x:f>Q169*Inventory_batches!I70</x:f>
        <x:v>0</x:v>
      </x:c>
      <x:c r="R170" s="83" t="n">
        <x:f>R169*Inventory_batches!I89</x:f>
        <x:v>429821.6470588235</x:v>
      </x:c>
      <x:c r="S170" s="83" t="n">
        <x:f>SUM(E170:R170)</x:f>
        <x:v>13879834.088925214</x:v>
      </x:c>
      <x:c r="T170" s="85" t="n">
        <x:f>S170-W3</x:f>
        <x:v>13169834.088925214</x:v>
      </x:c>
      <x:c r="U170" s="86"/>
      <x:c r="V170" s="32"/>
    </x:row>
    <x:row r="171">
      <x:c r="A171" s="87"/>
      <x:c r="B171" s="88"/>
      <x:c r="D171" s="32"/>
      <x:c r="G171" s="74"/>
      <x:c r="H171" s="74"/>
      <x:c r="I171" s="74"/>
      <x:c r="J171" s="74"/>
      <x:c r="K171" s="74"/>
      <x:c r="L171" s="74"/>
      <x:c r="M171" s="74"/>
      <x:c r="N171" s="89"/>
      <x:c r="O171" s="89"/>
      <x:c r="P171" s="89"/>
      <x:c r="Q171" s="89"/>
      <x:c r="R171" s="89"/>
      <x:c r="S171" s="90" t="n">
        <x:f>S169-S170</x:f>
        <x:v>11214165.911074786</x:v>
      </x:c>
      <x:c r="U171" s="86"/>
      <x:c r="V171" s="32"/>
    </x:row>
    <x:row r="172">
      <x:c r="A172" s="87"/>
      <x:c r="B172" s="88"/>
      <x:c r="D172" s="32"/>
      <x:c r="G172" s="74"/>
      <x:c r="H172" s="74"/>
      <x:c r="I172" s="74"/>
      <x:c r="J172" s="74"/>
      <x:c r="K172" s="74"/>
      <x:c r="L172" s="74"/>
      <x:c r="M172" s="74"/>
      <x:c r="N172" s="91"/>
      <x:c r="O172" s="91"/>
      <x:c r="P172" s="91"/>
      <x:c r="Q172" s="91"/>
      <x:c r="R172" s="91"/>
      <x:c r="S172" s="85"/>
      <x:c r="U172" s="86"/>
      <x:c r="V172" s="32"/>
    </x:row>
    <x:row r="173">
      <x:c r="A173" s="87"/>
      <x:c r="B173" s="88"/>
      <x:c r="D173" s="32"/>
      <x:c r="G173" s="74"/>
      <x:c r="H173" s="74"/>
      <x:c r="I173" s="74"/>
      <x:c r="J173" s="74"/>
      <x:c r="K173" s="74"/>
      <x:c r="L173" s="74"/>
      <x:c r="M173" s="74"/>
      <x:c r="N173" s="91"/>
      <x:c r="O173" s="91"/>
      <x:c r="P173" s="91"/>
      <x:c r="Q173" s="91"/>
      <x:c r="R173" s="91"/>
      <x:c r="S173" s="85"/>
      <x:c r="U173" s="86"/>
      <x:c r="V173" s="32"/>
    </x:row>
    <x:row r="174">
      <x:c r="A174" s="87"/>
      <x:c r="B174" s="88"/>
      <x:c r="D174" s="32"/>
      <x:c r="G174" s="74"/>
      <x:c r="H174" s="74"/>
      <x:c r="I174" s="74"/>
      <x:c r="J174" s="74"/>
      <x:c r="K174" s="74"/>
      <x:c r="L174" s="74"/>
      <x:c r="M174" s="74"/>
      <x:c r="N174" s="91"/>
      <x:c r="O174" s="91"/>
      <x:c r="P174" s="91"/>
      <x:c r="Q174" s="91"/>
      <x:c r="R174" s="91"/>
      <x:c r="S174" s="85"/>
      <x:c r="U174" s="86"/>
      <x:c r="V174" s="32"/>
    </x:row>
    <x:row r="175">
      <x:c r="A175" s="87"/>
      <x:c r="B175" s="88"/>
      <x:c r="D175" s="32"/>
      <x:c r="G175" s="74"/>
      <x:c r="H175" s="74"/>
      <x:c r="I175" s="74"/>
      <x:c r="J175" s="74"/>
      <x:c r="K175" s="74"/>
      <x:c r="L175" s="74"/>
      <x:c r="M175" s="74"/>
      <x:c r="N175" s="91"/>
      <x:c r="O175" s="91"/>
      <x:c r="P175" s="91"/>
      <x:c r="Q175" s="91"/>
      <x:c r="R175" s="91"/>
      <x:c r="S175" s="85"/>
      <x:c r="U175" s="86"/>
      <x:c r="V175" s="32"/>
    </x:row>
    <x:row r="176">
      <x:c r="A176" s="87"/>
      <x:c r="B176" s="88"/>
      <x:c r="D176" s="32"/>
      <x:c r="G176" s="74"/>
      <x:c r="H176" s="74"/>
      <x:c r="I176" s="74"/>
      <x:c r="J176" s="74"/>
      <x:c r="K176" s="74"/>
      <x:c r="L176" s="74"/>
      <x:c r="M176" s="74"/>
      <x:c r="N176" s="91"/>
      <x:c r="O176" s="91"/>
      <x:c r="P176" s="91"/>
      <x:c r="Q176" s="91"/>
      <x:c r="R176" s="91"/>
      <x:c r="S176" s="85"/>
      <x:c r="U176" s="86"/>
      <x:c r="V176" s="32"/>
    </x:row>
    <x:row r="177">
      <x:c r="A177" s="87"/>
      <x:c r="B177" s="88"/>
      <x:c r="D177" s="32"/>
      <x:c r="G177" s="74"/>
      <x:c r="H177" s="74"/>
      <x:c r="I177" s="74"/>
      <x:c r="J177" s="74"/>
      <x:c r="K177" s="74"/>
      <x:c r="L177" s="74"/>
      <x:c r="M177" s="74"/>
      <x:c r="N177" s="91"/>
      <x:c r="O177" s="91"/>
      <x:c r="P177" s="91"/>
      <x:c r="Q177" s="91"/>
      <x:c r="R177" s="91"/>
      <x:c r="S177" s="85"/>
      <x:c r="U177" s="86"/>
      <x:c r="V177" s="32"/>
    </x:row>
    <x:row r="178">
      <x:c r="A178" s="87"/>
      <x:c r="B178" s="88"/>
      <x:c r="D178" s="32"/>
      <x:c r="G178" s="74"/>
      <x:c r="H178" s="74"/>
      <x:c r="I178" s="74"/>
      <x:c r="J178" s="74"/>
      <x:c r="K178" s="74"/>
      <x:c r="L178" s="74"/>
      <x:c r="M178" s="74"/>
      <x:c r="N178" s="91"/>
      <x:c r="O178" s="91"/>
      <x:c r="P178" s="91"/>
      <x:c r="Q178" s="91"/>
      <x:c r="R178" s="91"/>
      <x:c r="S178" s="85"/>
      <x:c r="U178" s="86"/>
      <x:c r="V178" s="32"/>
    </x:row>
    <x:row r="179">
      <x:c r="A179" s="87"/>
      <x:c r="B179" s="88"/>
      <x:c r="D179" s="32"/>
      <x:c r="G179" s="74"/>
      <x:c r="H179" s="74"/>
      <x:c r="I179" s="74"/>
      <x:c r="J179" s="74"/>
      <x:c r="K179" s="74"/>
      <x:c r="L179" s="74"/>
      <x:c r="M179" s="74"/>
      <x:c r="N179" s="91"/>
      <x:c r="O179" s="91"/>
      <x:c r="P179" s="91"/>
      <x:c r="Q179" s="91"/>
      <x:c r="R179" s="91"/>
      <x:c r="S179" s="85"/>
      <x:c r="U179" s="86"/>
      <x:c r="V179" s="32"/>
    </x:row>
    <x:row r="180">
      <x:c r="A180" s="87"/>
      <x:c r="B180" s="88"/>
      <x:c r="D180" s="32"/>
      <x:c r="G180" s="74"/>
      <x:c r="H180" s="74"/>
      <x:c r="I180" s="74"/>
      <x:c r="J180" s="74"/>
      <x:c r="K180" s="74"/>
      <x:c r="L180" s="74"/>
      <x:c r="M180" s="74"/>
      <x:c r="N180" s="91"/>
      <x:c r="O180" s="91"/>
      <x:c r="P180" s="91"/>
      <x:c r="Q180" s="91"/>
      <x:c r="R180" s="91"/>
      <x:c r="S180" s="85"/>
      <x:c r="U180" s="86"/>
      <x:c r="V180" s="32"/>
    </x:row>
    <x:row r="181">
      <x:c r="A181" s="87"/>
      <x:c r="B181" s="88"/>
      <x:c r="D181" s="32"/>
      <x:c r="G181" s="74"/>
      <x:c r="H181" s="74"/>
      <x:c r="I181" s="74"/>
      <x:c r="J181" s="74"/>
      <x:c r="K181" s="74"/>
      <x:c r="L181" s="74"/>
      <x:c r="M181" s="74"/>
      <x:c r="N181" s="91"/>
      <x:c r="O181" s="91"/>
      <x:c r="P181" s="91"/>
      <x:c r="Q181" s="91"/>
      <x:c r="R181" s="91"/>
      <x:c r="S181" s="85"/>
      <x:c r="U181" s="86"/>
      <x:c r="V181" s="32"/>
    </x:row>
    <x:row r="182">
      <x:c r="A182" s="87"/>
      <x:c r="B182" s="88"/>
      <x:c r="D182" s="32"/>
      <x:c r="G182" s="74"/>
      <x:c r="H182" s="74"/>
      <x:c r="I182" s="74"/>
      <x:c r="J182" s="74"/>
      <x:c r="K182" s="74"/>
      <x:c r="L182" s="74"/>
      <x:c r="M182" s="74"/>
      <x:c r="N182" s="91"/>
      <x:c r="O182" s="91"/>
      <x:c r="P182" s="91"/>
      <x:c r="Q182" s="91"/>
      <x:c r="R182" s="91"/>
      <x:c r="S182" s="85"/>
      <x:c r="U182" s="86"/>
      <x:c r="V182" s="32"/>
    </x:row>
    <x:row r="183">
      <x:c r="A183" s="87"/>
      <x:c r="B183" s="88"/>
      <x:c r="D183" s="32"/>
      <x:c r="G183" s="74"/>
      <x:c r="H183" s="74"/>
      <x:c r="I183" s="74"/>
      <x:c r="J183" s="74"/>
      <x:c r="K183" s="74"/>
      <x:c r="L183" s="74"/>
      <x:c r="M183" s="74"/>
      <x:c r="N183" s="91"/>
      <x:c r="O183" s="91"/>
      <x:c r="P183" s="91"/>
      <x:c r="Q183" s="91"/>
      <x:c r="R183" s="91"/>
      <x:c r="S183" s="85"/>
      <x:c r="U183" s="86"/>
      <x:c r="V183" s="32"/>
    </x:row>
    <x:row r="184">
      <x:c r="A184" s="87"/>
      <x:c r="B184" s="88"/>
      <x:c r="D184" s="32"/>
      <x:c r="G184" s="74"/>
      <x:c r="H184" s="74"/>
      <x:c r="I184" s="74"/>
      <x:c r="J184" s="74"/>
      <x:c r="K184" s="74"/>
      <x:c r="L184" s="74"/>
      <x:c r="M184" s="74"/>
      <x:c r="N184" s="91"/>
      <x:c r="O184" s="91"/>
      <x:c r="P184" s="91"/>
      <x:c r="Q184" s="91"/>
      <x:c r="R184" s="91"/>
      <x:c r="S184" s="85"/>
      <x:c r="U184" s="86"/>
      <x:c r="V184" s="32"/>
    </x:row>
    <x:row r="185">
      <x:c r="A185" s="87"/>
      <x:c r="B185" s="88"/>
      <x:c r="D185" s="32"/>
      <x:c r="G185" s="74"/>
      <x:c r="H185" s="74"/>
      <x:c r="I185" s="74"/>
      <x:c r="J185" s="74"/>
      <x:c r="K185" s="74"/>
      <x:c r="L185" s="74"/>
      <x:c r="M185" s="74"/>
      <x:c r="N185" s="91"/>
      <x:c r="O185" s="91"/>
      <x:c r="P185" s="91"/>
      <x:c r="Q185" s="91"/>
      <x:c r="R185" s="91"/>
      <x:c r="S185" s="85"/>
      <x:c r="U185" s="86"/>
      <x:c r="V185" s="32"/>
    </x:row>
    <x:row r="186">
      <x:c r="A186" s="87"/>
      <x:c r="B186" s="88"/>
      <x:c r="D186" s="32"/>
      <x:c r="G186" s="74"/>
      <x:c r="H186" s="74"/>
      <x:c r="I186" s="74"/>
      <x:c r="J186" s="74"/>
      <x:c r="K186" s="74"/>
      <x:c r="L186" s="74"/>
      <x:c r="M186" s="74"/>
      <x:c r="N186" s="91"/>
      <x:c r="O186" s="91"/>
      <x:c r="P186" s="91"/>
      <x:c r="Q186" s="91"/>
      <x:c r="R186" s="91"/>
      <x:c r="S186" s="85"/>
      <x:c r="U186" s="86"/>
      <x:c r="V186" s="32"/>
    </x:row>
    <x:row r="187">
      <x:c r="A187" s="87"/>
      <x:c r="B187" s="88"/>
      <x:c r="D187" s="32"/>
      <x:c r="G187" s="74"/>
      <x:c r="H187" s="74"/>
      <x:c r="I187" s="74"/>
      <x:c r="J187" s="74"/>
      <x:c r="K187" s="74"/>
      <x:c r="L187" s="74"/>
      <x:c r="M187" s="74"/>
      <x:c r="N187" s="91"/>
      <x:c r="O187" s="91"/>
      <x:c r="P187" s="91"/>
      <x:c r="Q187" s="91"/>
      <x:c r="R187" s="91"/>
      <x:c r="S187" s="85"/>
      <x:c r="U187" s="86"/>
      <x:c r="V187" s="32"/>
    </x:row>
    <x:row r="188">
      <x:c r="A188" s="87"/>
      <x:c r="B188" s="88"/>
      <x:c r="D188" s="32"/>
      <x:c r="G188" s="74"/>
      <x:c r="H188" s="74"/>
      <x:c r="I188" s="74"/>
      <x:c r="J188" s="74"/>
      <x:c r="K188" s="74"/>
      <x:c r="L188" s="74"/>
      <x:c r="M188" s="74"/>
      <x:c r="N188" s="91"/>
      <x:c r="O188" s="91"/>
      <x:c r="P188" s="91"/>
      <x:c r="Q188" s="91"/>
      <x:c r="R188" s="91"/>
      <x:c r="S188" s="85"/>
      <x:c r="U188" s="86"/>
      <x:c r="V188" s="32"/>
    </x:row>
    <x:row r="189">
      <x:c r="A189" s="87"/>
      <x:c r="B189" s="88"/>
      <x:c r="D189" s="32"/>
      <x:c r="G189" s="74"/>
      <x:c r="H189" s="74"/>
      <x:c r="I189" s="74"/>
      <x:c r="J189" s="74"/>
      <x:c r="K189" s="74"/>
      <x:c r="L189" s="74"/>
      <x:c r="M189" s="74"/>
      <x:c r="N189" s="91"/>
      <x:c r="O189" s="91"/>
      <x:c r="P189" s="91"/>
      <x:c r="Q189" s="91"/>
      <x:c r="R189" s="91"/>
      <x:c r="S189" s="85"/>
      <x:c r="U189" s="86"/>
      <x:c r="V189" s="32"/>
    </x:row>
    <x:row r="190">
      <x:c r="A190" s="87"/>
      <x:c r="B190" s="88"/>
      <x:c r="D190" s="32"/>
      <x:c r="G190" s="74"/>
      <x:c r="H190" s="74"/>
      <x:c r="I190" s="74"/>
      <x:c r="J190" s="74"/>
      <x:c r="K190" s="74"/>
      <x:c r="L190" s="74"/>
      <x:c r="M190" s="74"/>
      <x:c r="N190" s="91"/>
      <x:c r="O190" s="91"/>
      <x:c r="P190" s="91"/>
      <x:c r="Q190" s="91"/>
      <x:c r="R190" s="91"/>
      <x:c r="S190" s="85"/>
      <x:c r="U190" s="86"/>
      <x:c r="V190" s="32"/>
    </x:row>
    <x:row r="191">
      <x:c r="A191" s="87"/>
      <x:c r="B191" s="88"/>
      <x:c r="D191" s="32"/>
      <x:c r="G191" s="74"/>
      <x:c r="H191" s="74"/>
      <x:c r="I191" s="74"/>
      <x:c r="J191" s="74"/>
      <x:c r="K191" s="74"/>
      <x:c r="L191" s="74"/>
      <x:c r="M191" s="74"/>
      <x:c r="N191" s="91"/>
      <x:c r="O191" s="91"/>
      <x:c r="P191" s="91"/>
      <x:c r="Q191" s="91"/>
      <x:c r="R191" s="91"/>
      <x:c r="S191" s="85"/>
      <x:c r="U191" s="86"/>
      <x:c r="V191" s="32"/>
    </x:row>
    <x:row r="192">
      <x:c r="A192" s="87"/>
      <x:c r="B192" s="88"/>
      <x:c r="D192" s="32"/>
      <x:c r="G192" s="74"/>
      <x:c r="H192" s="74"/>
      <x:c r="I192" s="74"/>
      <x:c r="J192" s="74"/>
      <x:c r="K192" s="74"/>
      <x:c r="L192" s="74"/>
      <x:c r="M192" s="74"/>
      <x:c r="N192" s="91"/>
      <x:c r="O192" s="91"/>
      <x:c r="P192" s="91"/>
      <x:c r="Q192" s="91"/>
      <x:c r="R192" s="91"/>
      <x:c r="S192" s="85"/>
      <x:c r="U192" s="86"/>
      <x:c r="V192" s="32"/>
    </x:row>
    <x:row r="193">
      <x:c r="A193" s="87"/>
      <x:c r="B193" s="88"/>
      <x:c r="D193" s="32"/>
      <x:c r="G193" s="74"/>
      <x:c r="H193" s="74"/>
      <x:c r="I193" s="74"/>
      <x:c r="J193" s="74"/>
      <x:c r="K193" s="74"/>
      <x:c r="L193" s="74"/>
      <x:c r="M193" s="74"/>
      <x:c r="N193" s="91"/>
      <x:c r="O193" s="91"/>
      <x:c r="P193" s="91"/>
      <x:c r="Q193" s="91"/>
      <x:c r="R193" s="91"/>
      <x:c r="S193" s="85"/>
      <x:c r="U193" s="86"/>
      <x:c r="V193" s="32"/>
    </x:row>
    <x:row r="194">
      <x:c r="A194" s="87"/>
      <x:c r="B194" s="88"/>
      <x:c r="D194" s="32"/>
      <x:c r="G194" s="74"/>
      <x:c r="H194" s="74"/>
      <x:c r="I194" s="74"/>
      <x:c r="J194" s="74"/>
      <x:c r="K194" s="74"/>
      <x:c r="L194" s="74"/>
      <x:c r="M194" s="74"/>
      <x:c r="N194" s="91"/>
      <x:c r="O194" s="91"/>
      <x:c r="P194" s="91"/>
      <x:c r="Q194" s="91"/>
      <x:c r="R194" s="91"/>
      <x:c r="S194" s="85"/>
      <x:c r="U194" s="86"/>
      <x:c r="V194" s="32"/>
    </x:row>
    <x:row r="195">
      <x:c r="A195" s="87"/>
      <x:c r="B195" s="88"/>
      <x:c r="D195" s="32"/>
      <x:c r="G195" s="74"/>
      <x:c r="H195" s="74"/>
      <x:c r="I195" s="74"/>
      <x:c r="J195" s="74"/>
      <x:c r="K195" s="74"/>
      <x:c r="L195" s="74"/>
      <x:c r="M195" s="74"/>
      <x:c r="N195" s="91"/>
      <x:c r="O195" s="91"/>
      <x:c r="P195" s="91"/>
      <x:c r="Q195" s="91"/>
      <x:c r="R195" s="91"/>
      <x:c r="S195" s="85"/>
      <x:c r="U195" s="86"/>
      <x:c r="V195" s="32"/>
    </x:row>
    <x:row r="196">
      <x:c r="A196" s="87"/>
      <x:c r="B196" s="88"/>
      <x:c r="D196" s="32"/>
      <x:c r="G196" s="74"/>
      <x:c r="H196" s="74"/>
      <x:c r="I196" s="74"/>
      <x:c r="J196" s="74"/>
      <x:c r="K196" s="74"/>
      <x:c r="L196" s="74"/>
      <x:c r="M196" s="74"/>
      <x:c r="N196" s="91"/>
      <x:c r="O196" s="91"/>
      <x:c r="P196" s="91"/>
      <x:c r="Q196" s="91"/>
      <x:c r="R196" s="91"/>
      <x:c r="S196" s="85"/>
      <x:c r="U196" s="86"/>
      <x:c r="V196" s="32"/>
    </x:row>
    <x:row r="197">
      <x:c r="A197" s="87"/>
      <x:c r="B197" s="88"/>
      <x:c r="D197" s="32"/>
      <x:c r="G197" s="74"/>
      <x:c r="H197" s="74"/>
      <x:c r="I197" s="74"/>
      <x:c r="J197" s="74"/>
      <x:c r="K197" s="74"/>
      <x:c r="L197" s="74"/>
      <x:c r="M197" s="74"/>
      <x:c r="N197" s="91"/>
      <x:c r="O197" s="91"/>
      <x:c r="P197" s="91"/>
      <x:c r="Q197" s="91"/>
      <x:c r="R197" s="91"/>
      <x:c r="S197" s="85"/>
      <x:c r="U197" s="86"/>
      <x:c r="V197" s="32"/>
    </x:row>
    <x:row r="198">
      <x:c r="A198" s="87"/>
      <x:c r="B198" s="88"/>
      <x:c r="D198" s="32"/>
      <x:c r="G198" s="74"/>
      <x:c r="H198" s="74"/>
      <x:c r="I198" s="74"/>
      <x:c r="J198" s="74"/>
      <x:c r="K198" s="74"/>
      <x:c r="L198" s="74"/>
      <x:c r="M198" s="74"/>
      <x:c r="N198" s="91"/>
      <x:c r="O198" s="91"/>
      <x:c r="P198" s="91"/>
      <x:c r="Q198" s="91"/>
      <x:c r="R198" s="91"/>
      <x:c r="S198" s="85"/>
      <x:c r="U198" s="86"/>
      <x:c r="V198" s="32"/>
    </x:row>
    <x:row r="199">
      <x:c r="A199" s="87"/>
      <x:c r="B199" s="88"/>
      <x:c r="D199" s="32"/>
      <x:c r="G199" s="74"/>
      <x:c r="H199" s="74"/>
      <x:c r="I199" s="74"/>
      <x:c r="J199" s="74"/>
      <x:c r="K199" s="74"/>
      <x:c r="L199" s="74"/>
      <x:c r="M199" s="74"/>
      <x:c r="N199" s="91"/>
      <x:c r="O199" s="91"/>
      <x:c r="P199" s="91"/>
      <x:c r="Q199" s="91"/>
      <x:c r="R199" s="91"/>
      <x:c r="S199" s="85"/>
      <x:c r="U199" s="86"/>
      <x:c r="V199" s="32"/>
    </x:row>
    <x:row r="200">
      <x:c r="A200" s="87"/>
      <x:c r="B200" s="88"/>
      <x:c r="D200" s="32"/>
      <x:c r="G200" s="74"/>
      <x:c r="H200" s="74"/>
      <x:c r="I200" s="74"/>
      <x:c r="J200" s="74"/>
      <x:c r="K200" s="74"/>
      <x:c r="L200" s="74"/>
      <x:c r="M200" s="74"/>
      <x:c r="N200" s="91"/>
      <x:c r="O200" s="91"/>
      <x:c r="P200" s="91"/>
      <x:c r="Q200" s="91"/>
      <x:c r="R200" s="91"/>
      <x:c r="S200" s="85"/>
      <x:c r="U200" s="86"/>
      <x:c r="V200" s="32"/>
    </x:row>
    <x:row r="201">
      <x:c r="A201" s="87"/>
      <x:c r="B201" s="88"/>
      <x:c r="D201" s="32"/>
      <x:c r="G201" s="74"/>
      <x:c r="H201" s="74"/>
      <x:c r="I201" s="74"/>
      <x:c r="J201" s="74"/>
      <x:c r="K201" s="74"/>
      <x:c r="L201" s="74"/>
      <x:c r="M201" s="74"/>
      <x:c r="N201" s="91"/>
      <x:c r="O201" s="91"/>
      <x:c r="P201" s="91"/>
      <x:c r="Q201" s="91"/>
      <x:c r="R201" s="91"/>
      <x:c r="S201" s="85"/>
      <x:c r="U201" s="86"/>
      <x:c r="V201" s="32"/>
    </x:row>
    <x:row r="202">
      <x:c r="A202" s="87"/>
      <x:c r="B202" s="88"/>
      <x:c r="D202" s="32"/>
      <x:c r="G202" s="74"/>
      <x:c r="H202" s="74"/>
      <x:c r="I202" s="74"/>
      <x:c r="J202" s="74"/>
      <x:c r="K202" s="74"/>
      <x:c r="L202" s="74"/>
      <x:c r="M202" s="74"/>
      <x:c r="N202" s="91"/>
      <x:c r="O202" s="91"/>
      <x:c r="P202" s="91"/>
      <x:c r="Q202" s="91"/>
      <x:c r="R202" s="91"/>
      <x:c r="S202" s="85"/>
      <x:c r="U202" s="86"/>
      <x:c r="V202" s="32"/>
    </x:row>
    <x:row r="203">
      <x:c r="A203" s="87"/>
      <x:c r="B203" s="88"/>
      <x:c r="D203" s="32"/>
      <x:c r="G203" s="74"/>
      <x:c r="H203" s="74"/>
      <x:c r="I203" s="74"/>
      <x:c r="J203" s="74"/>
      <x:c r="K203" s="74"/>
      <x:c r="L203" s="74"/>
      <x:c r="M203" s="74"/>
      <x:c r="N203" s="91"/>
      <x:c r="O203" s="91"/>
      <x:c r="P203" s="91"/>
      <x:c r="Q203" s="91"/>
      <x:c r="R203" s="91"/>
      <x:c r="S203" s="85"/>
      <x:c r="U203" s="86"/>
      <x:c r="V203" s="32"/>
    </x:row>
    <x:row r="204">
      <x:c r="A204" s="87"/>
      <x:c r="B204" s="88"/>
      <x:c r="D204" s="32"/>
      <x:c r="G204" s="74"/>
      <x:c r="H204" s="74"/>
      <x:c r="I204" s="74"/>
      <x:c r="J204" s="74"/>
      <x:c r="K204" s="74"/>
      <x:c r="L204" s="74"/>
      <x:c r="M204" s="74"/>
      <x:c r="N204" s="91"/>
      <x:c r="O204" s="91"/>
      <x:c r="P204" s="91"/>
      <x:c r="Q204" s="91"/>
      <x:c r="R204" s="91"/>
      <x:c r="S204" s="85"/>
      <x:c r="U204" s="86"/>
      <x:c r="V204" s="32"/>
    </x:row>
    <x:row r="205">
      <x:c r="A205" s="87"/>
      <x:c r="B205" s="88"/>
      <x:c r="D205" s="32"/>
      <x:c r="G205" s="74"/>
      <x:c r="H205" s="74"/>
      <x:c r="I205" s="74"/>
      <x:c r="J205" s="74"/>
      <x:c r="K205" s="74"/>
      <x:c r="L205" s="74"/>
      <x:c r="M205" s="74"/>
      <x:c r="N205" s="91"/>
      <x:c r="O205" s="91"/>
      <x:c r="P205" s="91"/>
      <x:c r="Q205" s="91"/>
      <x:c r="R205" s="91"/>
      <x:c r="S205" s="85"/>
      <x:c r="U205" s="86"/>
      <x:c r="V205" s="32"/>
    </x:row>
    <x:row r="206">
      <x:c r="A206" s="87"/>
      <x:c r="B206" s="88"/>
      <x:c r="D206" s="32"/>
      <x:c r="G206" s="74"/>
      <x:c r="H206" s="74"/>
      <x:c r="I206" s="74"/>
      <x:c r="J206" s="74"/>
      <x:c r="K206" s="74"/>
      <x:c r="L206" s="74"/>
      <x:c r="M206" s="74"/>
      <x:c r="N206" s="91"/>
      <x:c r="O206" s="91"/>
      <x:c r="P206" s="91"/>
      <x:c r="Q206" s="91"/>
      <x:c r="R206" s="91"/>
      <x:c r="S206" s="85"/>
      <x:c r="U206" s="86"/>
      <x:c r="V206" s="32"/>
    </x:row>
    <x:row r="207">
      <x:c r="A207" s="87"/>
      <x:c r="B207" s="88"/>
      <x:c r="D207" s="32"/>
      <x:c r="G207" s="74"/>
      <x:c r="H207" s="74"/>
      <x:c r="I207" s="74"/>
      <x:c r="J207" s="74"/>
      <x:c r="K207" s="74"/>
      <x:c r="L207" s="74"/>
      <x:c r="M207" s="74"/>
      <x:c r="N207" s="91"/>
      <x:c r="O207" s="91"/>
      <x:c r="P207" s="91"/>
      <x:c r="Q207" s="91"/>
      <x:c r="R207" s="91"/>
      <x:c r="S207" s="85"/>
      <x:c r="U207" s="86"/>
      <x:c r="V207" s="32"/>
    </x:row>
    <x:row r="208">
      <x:c r="A208" s="87"/>
      <x:c r="B208" s="88"/>
      <x:c r="D208" s="32"/>
      <x:c r="G208" s="74"/>
      <x:c r="H208" s="74"/>
      <x:c r="I208" s="74"/>
      <x:c r="J208" s="74"/>
      <x:c r="K208" s="74"/>
      <x:c r="L208" s="74"/>
      <x:c r="M208" s="74"/>
      <x:c r="N208" s="91"/>
      <x:c r="O208" s="91"/>
      <x:c r="P208" s="91"/>
      <x:c r="Q208" s="91"/>
      <x:c r="R208" s="91"/>
      <x:c r="S208" s="85"/>
      <x:c r="U208" s="86"/>
      <x:c r="V208" s="32"/>
    </x:row>
    <x:row r="209">
      <x:c r="A209" s="87"/>
      <x:c r="B209" s="88"/>
      <x:c r="D209" s="32"/>
      <x:c r="G209" s="74"/>
      <x:c r="H209" s="74"/>
      <x:c r="I209" s="74"/>
      <x:c r="J209" s="74"/>
      <x:c r="K209" s="74"/>
      <x:c r="L209" s="74"/>
      <x:c r="M209" s="74"/>
      <x:c r="N209" s="91"/>
      <x:c r="O209" s="91"/>
      <x:c r="P209" s="91"/>
      <x:c r="Q209" s="91"/>
      <x:c r="R209" s="91"/>
      <x:c r="S209" s="85"/>
      <x:c r="U209" s="86"/>
      <x:c r="V209" s="32"/>
    </x:row>
    <x:row r="210">
      <x:c r="A210" s="87"/>
      <x:c r="B210" s="88"/>
      <x:c r="D210" s="32"/>
      <x:c r="G210" s="74"/>
      <x:c r="H210" s="74"/>
      <x:c r="I210" s="74"/>
      <x:c r="J210" s="74"/>
      <x:c r="K210" s="74"/>
      <x:c r="L210" s="74"/>
      <x:c r="M210" s="74"/>
      <x:c r="N210" s="91"/>
      <x:c r="O210" s="91"/>
      <x:c r="P210" s="91"/>
      <x:c r="Q210" s="91"/>
      <x:c r="R210" s="91"/>
      <x:c r="S210" s="85"/>
      <x:c r="U210" s="86"/>
      <x:c r="V210" s="32"/>
    </x:row>
    <x:row r="211">
      <x:c r="A211" s="87"/>
      <x:c r="B211" s="88"/>
      <x:c r="D211" s="32"/>
      <x:c r="G211" s="74"/>
      <x:c r="H211" s="74"/>
      <x:c r="I211" s="74"/>
      <x:c r="J211" s="74"/>
      <x:c r="K211" s="74"/>
      <x:c r="L211" s="74"/>
      <x:c r="M211" s="74"/>
      <x:c r="N211" s="91"/>
      <x:c r="O211" s="91"/>
      <x:c r="P211" s="91"/>
      <x:c r="Q211" s="91"/>
      <x:c r="R211" s="91"/>
      <x:c r="S211" s="85"/>
      <x:c r="U211" s="86"/>
      <x:c r="V211" s="32"/>
    </x:row>
    <x:row r="212">
      <x:c r="A212" s="87"/>
      <x:c r="B212" s="88"/>
      <x:c r="D212" s="32"/>
      <x:c r="G212" s="74"/>
      <x:c r="H212" s="74"/>
      <x:c r="I212" s="74"/>
      <x:c r="J212" s="74"/>
      <x:c r="K212" s="74"/>
      <x:c r="L212" s="74"/>
      <x:c r="M212" s="74"/>
      <x:c r="N212" s="91"/>
      <x:c r="O212" s="91"/>
      <x:c r="P212" s="91"/>
      <x:c r="Q212" s="91"/>
      <x:c r="R212" s="91"/>
      <x:c r="S212" s="85"/>
      <x:c r="U212" s="86"/>
      <x:c r="V212" s="32"/>
    </x:row>
    <x:row r="213">
      <x:c r="A213" s="87"/>
      <x:c r="B213" s="88"/>
      <x:c r="D213" s="32"/>
      <x:c r="G213" s="74"/>
      <x:c r="H213" s="74"/>
      <x:c r="I213" s="74"/>
      <x:c r="J213" s="74"/>
      <x:c r="K213" s="74"/>
      <x:c r="L213" s="74"/>
      <x:c r="M213" s="74"/>
      <x:c r="N213" s="91"/>
      <x:c r="O213" s="91"/>
      <x:c r="P213" s="91"/>
      <x:c r="Q213" s="91"/>
      <x:c r="R213" s="91"/>
      <x:c r="S213" s="85"/>
      <x:c r="U213" s="86"/>
      <x:c r="V213" s="32"/>
    </x:row>
    <x:row r="214">
      <x:c r="A214" s="87"/>
      <x:c r="B214" s="88"/>
      <x:c r="D214" s="32"/>
      <x:c r="G214" s="74"/>
      <x:c r="H214" s="74"/>
      <x:c r="I214" s="74"/>
      <x:c r="J214" s="74"/>
      <x:c r="K214" s="74"/>
      <x:c r="L214" s="74"/>
      <x:c r="M214" s="74"/>
      <x:c r="N214" s="91"/>
      <x:c r="O214" s="91"/>
      <x:c r="P214" s="91"/>
      <x:c r="Q214" s="91"/>
      <x:c r="R214" s="91"/>
      <x:c r="S214" s="85"/>
      <x:c r="U214" s="86"/>
      <x:c r="V214" s="32"/>
    </x:row>
    <x:row r="215">
      <x:c r="A215" s="87"/>
      <x:c r="B215" s="88"/>
      <x:c r="D215" s="32"/>
      <x:c r="G215" s="74"/>
      <x:c r="H215" s="74"/>
      <x:c r="I215" s="74"/>
      <x:c r="J215" s="74"/>
      <x:c r="K215" s="74"/>
      <x:c r="L215" s="74"/>
      <x:c r="M215" s="74"/>
      <x:c r="N215" s="91"/>
      <x:c r="O215" s="91"/>
      <x:c r="P215" s="91"/>
      <x:c r="Q215" s="91"/>
      <x:c r="R215" s="91"/>
      <x:c r="S215" s="85"/>
      <x:c r="U215" s="86"/>
      <x:c r="V215" s="32"/>
    </x:row>
    <x:row r="216">
      <x:c r="A216" s="87"/>
      <x:c r="B216" s="88"/>
      <x:c r="D216" s="32"/>
      <x:c r="G216" s="74"/>
      <x:c r="H216" s="74"/>
      <x:c r="I216" s="74"/>
      <x:c r="J216" s="74"/>
      <x:c r="K216" s="74"/>
      <x:c r="L216" s="74"/>
      <x:c r="M216" s="74"/>
      <x:c r="N216" s="91"/>
      <x:c r="O216" s="91"/>
      <x:c r="P216" s="91"/>
      <x:c r="Q216" s="91"/>
      <x:c r="R216" s="91"/>
      <x:c r="S216" s="85"/>
      <x:c r="U216" s="86"/>
      <x:c r="V216" s="32"/>
    </x:row>
    <x:row r="217">
      <x:c r="A217" s="87"/>
      <x:c r="B217" s="88"/>
      <x:c r="D217" s="32"/>
      <x:c r="G217" s="74"/>
      <x:c r="H217" s="74"/>
      <x:c r="I217" s="74"/>
      <x:c r="J217" s="74"/>
      <x:c r="K217" s="74"/>
      <x:c r="L217" s="74"/>
      <x:c r="M217" s="74"/>
      <x:c r="N217" s="91"/>
      <x:c r="O217" s="91"/>
      <x:c r="P217" s="91"/>
      <x:c r="Q217" s="91"/>
      <x:c r="R217" s="91"/>
      <x:c r="S217" s="85"/>
      <x:c r="U217" s="86"/>
      <x:c r="V217" s="32"/>
    </x:row>
    <x:row r="218">
      <x:c r="A218" s="87"/>
      <x:c r="B218" s="88"/>
      <x:c r="D218" s="32"/>
      <x:c r="G218" s="74"/>
      <x:c r="H218" s="74"/>
      <x:c r="I218" s="74"/>
      <x:c r="J218" s="74"/>
      <x:c r="K218" s="74"/>
      <x:c r="L218" s="74"/>
      <x:c r="M218" s="74"/>
      <x:c r="N218" s="91"/>
      <x:c r="O218" s="91"/>
      <x:c r="P218" s="91"/>
      <x:c r="Q218" s="91"/>
      <x:c r="R218" s="91"/>
      <x:c r="S218" s="85"/>
      <x:c r="U218" s="86"/>
      <x:c r="V218" s="32"/>
    </x:row>
    <x:row r="219">
      <x:c r="A219" s="87"/>
      <x:c r="B219" s="88"/>
      <x:c r="D219" s="32"/>
      <x:c r="G219" s="74"/>
      <x:c r="H219" s="74"/>
      <x:c r="I219" s="74"/>
      <x:c r="J219" s="74"/>
      <x:c r="K219" s="74"/>
      <x:c r="L219" s="74"/>
      <x:c r="M219" s="74"/>
      <x:c r="N219" s="91"/>
      <x:c r="O219" s="91"/>
      <x:c r="P219" s="91"/>
      <x:c r="Q219" s="91"/>
      <x:c r="R219" s="91"/>
      <x:c r="S219" s="85"/>
      <x:c r="U219" s="86"/>
      <x:c r="V219" s="32"/>
    </x:row>
    <x:row r="220">
      <x:c r="A220" s="87"/>
      <x:c r="B220" s="88"/>
      <x:c r="D220" s="32"/>
      <x:c r="G220" s="74"/>
      <x:c r="H220" s="74"/>
      <x:c r="I220" s="74"/>
      <x:c r="J220" s="74"/>
      <x:c r="K220" s="74"/>
      <x:c r="L220" s="74"/>
      <x:c r="M220" s="74"/>
      <x:c r="N220" s="91"/>
      <x:c r="O220" s="91"/>
      <x:c r="P220" s="91"/>
      <x:c r="Q220" s="91"/>
      <x:c r="R220" s="91"/>
      <x:c r="S220" s="85"/>
      <x:c r="U220" s="86"/>
      <x:c r="V220" s="32"/>
    </x:row>
    <x:row r="221">
      <x:c r="A221" s="87"/>
      <x:c r="B221" s="88"/>
      <x:c r="D221" s="32"/>
      <x:c r="G221" s="74"/>
      <x:c r="H221" s="74"/>
      <x:c r="I221" s="74"/>
      <x:c r="J221" s="74"/>
      <x:c r="K221" s="74"/>
      <x:c r="L221" s="74"/>
      <x:c r="M221" s="74"/>
      <x:c r="N221" s="91"/>
      <x:c r="O221" s="91"/>
      <x:c r="P221" s="91"/>
      <x:c r="Q221" s="91"/>
      <x:c r="R221" s="91"/>
      <x:c r="S221" s="85"/>
      <x:c r="U221" s="86"/>
      <x:c r="V221" s="32"/>
    </x:row>
    <x:row r="222">
      <x:c r="A222" s="87"/>
      <x:c r="B222" s="88"/>
      <x:c r="D222" s="32"/>
      <x:c r="G222" s="74"/>
      <x:c r="H222" s="74"/>
      <x:c r="I222" s="74"/>
      <x:c r="J222" s="74"/>
      <x:c r="K222" s="74"/>
      <x:c r="L222" s="74"/>
      <x:c r="M222" s="74"/>
      <x:c r="N222" s="91"/>
      <x:c r="O222" s="91"/>
      <x:c r="P222" s="91"/>
      <x:c r="Q222" s="91"/>
      <x:c r="R222" s="91"/>
      <x:c r="S222" s="85"/>
      <x:c r="U222" s="86"/>
      <x:c r="V222" s="32"/>
    </x:row>
    <x:row r="223">
      <x:c r="A223" s="87"/>
      <x:c r="B223" s="88"/>
      <x:c r="D223" s="32"/>
      <x:c r="G223" s="74"/>
      <x:c r="H223" s="74"/>
      <x:c r="I223" s="74"/>
      <x:c r="J223" s="74"/>
      <x:c r="K223" s="74"/>
      <x:c r="L223" s="74"/>
      <x:c r="M223" s="74"/>
      <x:c r="N223" s="91"/>
      <x:c r="O223" s="91"/>
      <x:c r="P223" s="91"/>
      <x:c r="Q223" s="91"/>
      <x:c r="R223" s="91"/>
      <x:c r="S223" s="85"/>
      <x:c r="U223" s="86"/>
      <x:c r="V223" s="32"/>
    </x:row>
    <x:row r="224">
      <x:c r="A224" s="87"/>
      <x:c r="B224" s="88"/>
      <x:c r="D224" s="32"/>
      <x:c r="G224" s="74"/>
      <x:c r="H224" s="74"/>
      <x:c r="I224" s="74"/>
      <x:c r="J224" s="74"/>
      <x:c r="K224" s="74"/>
      <x:c r="L224" s="74"/>
      <x:c r="M224" s="74"/>
      <x:c r="N224" s="91"/>
      <x:c r="O224" s="91"/>
      <x:c r="P224" s="91"/>
      <x:c r="Q224" s="91"/>
      <x:c r="R224" s="91"/>
      <x:c r="S224" s="85"/>
      <x:c r="U224" s="86"/>
      <x:c r="V224" s="32"/>
    </x:row>
    <x:row r="225">
      <x:c r="A225" s="87"/>
      <x:c r="B225" s="88"/>
      <x:c r="D225" s="32"/>
      <x:c r="G225" s="74"/>
      <x:c r="H225" s="74"/>
      <x:c r="I225" s="74"/>
      <x:c r="J225" s="74"/>
      <x:c r="K225" s="74"/>
      <x:c r="L225" s="74"/>
      <x:c r="M225" s="74"/>
      <x:c r="N225" s="91"/>
      <x:c r="O225" s="91"/>
      <x:c r="P225" s="91"/>
      <x:c r="Q225" s="91"/>
      <x:c r="R225" s="91"/>
      <x:c r="S225" s="85"/>
      <x:c r="U225" s="86"/>
      <x:c r="V225" s="32"/>
    </x:row>
    <x:row r="226">
      <x:c r="A226" s="87"/>
      <x:c r="B226" s="88"/>
      <x:c r="D226" s="32"/>
      <x:c r="G226" s="74"/>
      <x:c r="H226" s="74"/>
      <x:c r="I226" s="74"/>
      <x:c r="J226" s="74"/>
      <x:c r="K226" s="74"/>
      <x:c r="L226" s="74"/>
      <x:c r="M226" s="74"/>
      <x:c r="N226" s="91"/>
      <x:c r="O226" s="91"/>
      <x:c r="P226" s="91"/>
      <x:c r="Q226" s="91"/>
      <x:c r="R226" s="91"/>
      <x:c r="S226" s="85"/>
      <x:c r="U226" s="86"/>
      <x:c r="V226" s="32"/>
    </x:row>
    <x:row r="227">
      <x:c r="A227" s="87"/>
      <x:c r="B227" s="88"/>
      <x:c r="D227" s="32"/>
      <x:c r="G227" s="74"/>
      <x:c r="H227" s="74"/>
      <x:c r="I227" s="74"/>
      <x:c r="J227" s="74"/>
      <x:c r="K227" s="74"/>
      <x:c r="L227" s="74"/>
      <x:c r="M227" s="74"/>
      <x:c r="N227" s="91"/>
      <x:c r="O227" s="91"/>
      <x:c r="P227" s="91"/>
      <x:c r="Q227" s="91"/>
      <x:c r="R227" s="91"/>
      <x:c r="S227" s="85"/>
      <x:c r="U227" s="86"/>
      <x:c r="V227" s="32"/>
    </x:row>
    <x:row r="228">
      <x:c r="A228" s="87"/>
      <x:c r="B228" s="88"/>
      <x:c r="D228" s="32"/>
      <x:c r="G228" s="74"/>
      <x:c r="H228" s="74"/>
      <x:c r="I228" s="74"/>
      <x:c r="J228" s="74"/>
      <x:c r="K228" s="74"/>
      <x:c r="L228" s="74"/>
      <x:c r="M228" s="74"/>
      <x:c r="N228" s="91"/>
      <x:c r="O228" s="91"/>
      <x:c r="P228" s="91"/>
      <x:c r="Q228" s="91"/>
      <x:c r="R228" s="91"/>
      <x:c r="S228" s="85"/>
      <x:c r="U228" s="86"/>
      <x:c r="V228" s="32"/>
    </x:row>
    <x:row r="229">
      <x:c r="A229" s="87"/>
      <x:c r="B229" s="88"/>
      <x:c r="D229" s="32"/>
      <x:c r="G229" s="74"/>
      <x:c r="H229" s="74"/>
      <x:c r="I229" s="74"/>
      <x:c r="J229" s="74"/>
      <x:c r="K229" s="74"/>
      <x:c r="L229" s="74"/>
      <x:c r="M229" s="74"/>
      <x:c r="N229" s="91"/>
      <x:c r="O229" s="91"/>
      <x:c r="P229" s="91"/>
      <x:c r="Q229" s="91"/>
      <x:c r="R229" s="91"/>
      <x:c r="S229" s="85"/>
      <x:c r="U229" s="86"/>
      <x:c r="V229" s="32"/>
    </x:row>
    <x:row r="230">
      <x:c r="A230" s="87"/>
      <x:c r="B230" s="88"/>
      <x:c r="D230" s="32"/>
      <x:c r="G230" s="74"/>
      <x:c r="H230" s="74"/>
      <x:c r="I230" s="74"/>
      <x:c r="J230" s="74"/>
      <x:c r="K230" s="74"/>
      <x:c r="L230" s="74"/>
      <x:c r="M230" s="74"/>
      <x:c r="N230" s="91"/>
      <x:c r="O230" s="91"/>
      <x:c r="P230" s="91"/>
      <x:c r="Q230" s="91"/>
      <x:c r="R230" s="91"/>
      <x:c r="S230" s="85"/>
      <x:c r="U230" s="86"/>
      <x:c r="V230" s="32"/>
    </x:row>
    <x:row r="231">
      <x:c r="A231" s="87"/>
      <x:c r="B231" s="88"/>
      <x:c r="D231" s="32"/>
      <x:c r="G231" s="74"/>
      <x:c r="H231" s="74"/>
      <x:c r="I231" s="74"/>
      <x:c r="J231" s="74"/>
      <x:c r="K231" s="74"/>
      <x:c r="L231" s="74"/>
      <x:c r="M231" s="74"/>
      <x:c r="N231" s="91"/>
      <x:c r="O231" s="91"/>
      <x:c r="P231" s="91"/>
      <x:c r="Q231" s="91"/>
      <x:c r="R231" s="91"/>
      <x:c r="S231" s="85"/>
      <x:c r="U231" s="86"/>
      <x:c r="V231" s="32"/>
    </x:row>
    <x:row r="232">
      <x:c r="A232" s="87"/>
      <x:c r="B232" s="88"/>
      <x:c r="D232" s="32"/>
      <x:c r="G232" s="74"/>
      <x:c r="H232" s="74"/>
      <x:c r="I232" s="74"/>
      <x:c r="J232" s="74"/>
      <x:c r="K232" s="74"/>
      <x:c r="L232" s="74"/>
      <x:c r="M232" s="74"/>
      <x:c r="N232" s="91"/>
      <x:c r="O232" s="91"/>
      <x:c r="P232" s="91"/>
      <x:c r="Q232" s="91"/>
      <x:c r="R232" s="91"/>
      <x:c r="S232" s="85"/>
      <x:c r="U232" s="86"/>
      <x:c r="V232" s="32"/>
    </x:row>
    <x:row r="233">
      <x:c r="A233" s="87"/>
      <x:c r="B233" s="88"/>
      <x:c r="D233" s="32"/>
      <x:c r="G233" s="74"/>
      <x:c r="H233" s="74"/>
      <x:c r="I233" s="74"/>
      <x:c r="J233" s="74"/>
      <x:c r="K233" s="74"/>
      <x:c r="L233" s="74"/>
      <x:c r="M233" s="74"/>
      <x:c r="N233" s="91"/>
      <x:c r="O233" s="91"/>
      <x:c r="P233" s="91"/>
      <x:c r="Q233" s="91"/>
      <x:c r="R233" s="91"/>
      <x:c r="S233" s="85"/>
      <x:c r="U233" s="86"/>
      <x:c r="V233" s="32"/>
    </x:row>
    <x:row r="234">
      <x:c r="A234" s="87"/>
      <x:c r="B234" s="88"/>
      <x:c r="D234" s="32"/>
      <x:c r="G234" s="74"/>
      <x:c r="H234" s="74"/>
      <x:c r="I234" s="74"/>
      <x:c r="J234" s="74"/>
      <x:c r="K234" s="74"/>
      <x:c r="L234" s="74"/>
      <x:c r="M234" s="74"/>
      <x:c r="N234" s="91"/>
      <x:c r="O234" s="91"/>
      <x:c r="P234" s="91"/>
      <x:c r="Q234" s="91"/>
      <x:c r="R234" s="91"/>
      <x:c r="S234" s="85"/>
      <x:c r="U234" s="86"/>
      <x:c r="V234" s="32"/>
    </x:row>
    <x:row r="235">
      <x:c r="A235" s="87"/>
      <x:c r="B235" s="88"/>
      <x:c r="D235" s="32"/>
      <x:c r="G235" s="74"/>
      <x:c r="H235" s="74"/>
      <x:c r="I235" s="74"/>
      <x:c r="J235" s="74"/>
      <x:c r="K235" s="74"/>
      <x:c r="L235" s="74"/>
      <x:c r="M235" s="74"/>
      <x:c r="N235" s="91"/>
      <x:c r="O235" s="91"/>
      <x:c r="P235" s="91"/>
      <x:c r="Q235" s="91"/>
      <x:c r="R235" s="91"/>
      <x:c r="S235" s="85"/>
      <x:c r="U235" s="86"/>
      <x:c r="V235" s="32"/>
    </x:row>
    <x:row r="236">
      <x:c r="A236" s="87"/>
      <x:c r="B236" s="88"/>
      <x:c r="D236" s="32"/>
      <x:c r="G236" s="74"/>
      <x:c r="H236" s="74"/>
      <x:c r="I236" s="74"/>
      <x:c r="J236" s="74"/>
      <x:c r="K236" s="74"/>
      <x:c r="L236" s="74"/>
      <x:c r="M236" s="74"/>
      <x:c r="N236" s="91"/>
      <x:c r="O236" s="91"/>
      <x:c r="P236" s="91"/>
      <x:c r="Q236" s="91"/>
      <x:c r="R236" s="91"/>
      <x:c r="S236" s="85"/>
      <x:c r="U236" s="86"/>
      <x:c r="V236" s="32"/>
    </x:row>
    <x:row r="237">
      <x:c r="A237" s="87"/>
      <x:c r="B237" s="88"/>
      <x:c r="D237" s="32"/>
      <x:c r="G237" s="74"/>
      <x:c r="H237" s="74"/>
      <x:c r="I237" s="74"/>
      <x:c r="J237" s="74"/>
      <x:c r="K237" s="74"/>
      <x:c r="L237" s="74"/>
      <x:c r="M237" s="74"/>
      <x:c r="N237" s="91"/>
      <x:c r="O237" s="91"/>
      <x:c r="P237" s="91"/>
      <x:c r="Q237" s="91"/>
      <x:c r="R237" s="91"/>
      <x:c r="S237" s="85"/>
      <x:c r="U237" s="86"/>
      <x:c r="V237" s="32"/>
    </x:row>
    <x:row r="238">
      <x:c r="A238" s="87"/>
      <x:c r="B238" s="88"/>
      <x:c r="D238" s="32"/>
      <x:c r="G238" s="74"/>
      <x:c r="H238" s="74"/>
      <x:c r="I238" s="74"/>
      <x:c r="J238" s="74"/>
      <x:c r="K238" s="74"/>
      <x:c r="L238" s="74"/>
      <x:c r="M238" s="74"/>
      <x:c r="N238" s="91"/>
      <x:c r="O238" s="91"/>
      <x:c r="P238" s="91"/>
      <x:c r="Q238" s="91"/>
      <x:c r="R238" s="91"/>
      <x:c r="S238" s="85"/>
      <x:c r="U238" s="86"/>
      <x:c r="V238" s="32"/>
    </x:row>
    <x:row r="239">
      <x:c r="A239" s="87"/>
      <x:c r="B239" s="88"/>
      <x:c r="D239" s="32"/>
      <x:c r="G239" s="74"/>
      <x:c r="H239" s="74"/>
      <x:c r="I239" s="74"/>
      <x:c r="J239" s="74"/>
      <x:c r="K239" s="74"/>
      <x:c r="L239" s="74"/>
      <x:c r="M239" s="74"/>
      <x:c r="N239" s="91"/>
      <x:c r="O239" s="91"/>
      <x:c r="P239" s="91"/>
      <x:c r="Q239" s="91"/>
      <x:c r="R239" s="91"/>
      <x:c r="S239" s="85"/>
      <x:c r="U239" s="86"/>
      <x:c r="V239" s="32"/>
    </x:row>
    <x:row r="240">
      <x:c r="A240" s="87"/>
      <x:c r="B240" s="88"/>
      <x:c r="D240" s="32"/>
      <x:c r="G240" s="74"/>
      <x:c r="H240" s="74"/>
      <x:c r="I240" s="74"/>
      <x:c r="J240" s="74"/>
      <x:c r="K240" s="74"/>
      <x:c r="L240" s="74"/>
      <x:c r="M240" s="74"/>
      <x:c r="N240" s="91"/>
      <x:c r="O240" s="91"/>
      <x:c r="P240" s="91"/>
      <x:c r="Q240" s="91"/>
      <x:c r="R240" s="91"/>
      <x:c r="S240" s="85"/>
      <x:c r="U240" s="86"/>
      <x:c r="V240" s="32"/>
    </x:row>
    <x:row r="241">
      <x:c r="A241" s="87"/>
      <x:c r="B241" s="88"/>
      <x:c r="D241" s="32"/>
      <x:c r="G241" s="74"/>
      <x:c r="H241" s="74"/>
      <x:c r="I241" s="74"/>
      <x:c r="J241" s="74"/>
      <x:c r="K241" s="74"/>
      <x:c r="L241" s="74"/>
      <x:c r="M241" s="74"/>
      <x:c r="N241" s="91"/>
      <x:c r="O241" s="91"/>
      <x:c r="P241" s="91"/>
      <x:c r="Q241" s="91"/>
      <x:c r="R241" s="91"/>
      <x:c r="S241" s="85"/>
      <x:c r="U241" s="86"/>
      <x:c r="V241" s="32"/>
    </x:row>
    <x:row r="242">
      <x:c r="A242" s="87"/>
      <x:c r="B242" s="88"/>
      <x:c r="D242" s="32"/>
      <x:c r="G242" s="74"/>
      <x:c r="H242" s="74"/>
      <x:c r="I242" s="74"/>
      <x:c r="J242" s="74"/>
      <x:c r="K242" s="74"/>
      <x:c r="L242" s="74"/>
      <x:c r="M242" s="74"/>
      <x:c r="N242" s="91"/>
      <x:c r="O242" s="91"/>
      <x:c r="P242" s="91"/>
      <x:c r="Q242" s="91"/>
      <x:c r="R242" s="91"/>
      <x:c r="S242" s="85"/>
      <x:c r="U242" s="86"/>
      <x:c r="V242" s="32"/>
    </x:row>
    <x:row r="243">
      <x:c r="A243" s="87"/>
      <x:c r="B243" s="88"/>
      <x:c r="D243" s="32"/>
      <x:c r="G243" s="74"/>
      <x:c r="H243" s="74"/>
      <x:c r="I243" s="74"/>
      <x:c r="J243" s="74"/>
      <x:c r="K243" s="74"/>
      <x:c r="L243" s="74"/>
      <x:c r="M243" s="74"/>
      <x:c r="N243" s="91"/>
      <x:c r="O243" s="91"/>
      <x:c r="P243" s="91"/>
      <x:c r="Q243" s="91"/>
      <x:c r="R243" s="91"/>
      <x:c r="S243" s="85"/>
      <x:c r="U243" s="86"/>
      <x:c r="V243" s="32"/>
    </x:row>
    <x:row r="244">
      <x:c r="A244" s="87"/>
      <x:c r="B244" s="88"/>
      <x:c r="D244" s="32"/>
      <x:c r="G244" s="74"/>
      <x:c r="H244" s="74"/>
      <x:c r="I244" s="74"/>
      <x:c r="J244" s="74"/>
      <x:c r="K244" s="74"/>
      <x:c r="L244" s="74"/>
      <x:c r="M244" s="74"/>
      <x:c r="N244" s="91"/>
      <x:c r="O244" s="91"/>
      <x:c r="P244" s="91"/>
      <x:c r="Q244" s="91"/>
      <x:c r="R244" s="91"/>
      <x:c r="S244" s="85"/>
      <x:c r="U244" s="86"/>
      <x:c r="V244" s="32"/>
    </x:row>
    <x:row r="245">
      <x:c r="A245" s="87"/>
      <x:c r="B245" s="88"/>
      <x:c r="D245" s="32"/>
      <x:c r="G245" s="74"/>
      <x:c r="H245" s="74"/>
      <x:c r="I245" s="74"/>
      <x:c r="J245" s="74"/>
      <x:c r="K245" s="74"/>
      <x:c r="L245" s="74"/>
      <x:c r="M245" s="74"/>
      <x:c r="N245" s="91"/>
      <x:c r="O245" s="91"/>
      <x:c r="P245" s="91"/>
      <x:c r="Q245" s="91"/>
      <x:c r="R245" s="91"/>
      <x:c r="S245" s="85"/>
      <x:c r="U245" s="86"/>
      <x:c r="V245" s="32"/>
    </x:row>
    <x:row r="246">
      <x:c r="A246" s="87"/>
      <x:c r="B246" s="88"/>
      <x:c r="D246" s="32"/>
      <x:c r="G246" s="74"/>
      <x:c r="H246" s="74"/>
      <x:c r="I246" s="74"/>
      <x:c r="J246" s="74"/>
      <x:c r="K246" s="74"/>
      <x:c r="L246" s="74"/>
      <x:c r="M246" s="74"/>
      <x:c r="N246" s="91"/>
      <x:c r="O246" s="91"/>
      <x:c r="P246" s="91"/>
      <x:c r="Q246" s="91"/>
      <x:c r="R246" s="91"/>
      <x:c r="S246" s="85"/>
      <x:c r="U246" s="86"/>
      <x:c r="V246" s="32"/>
    </x:row>
    <x:row r="247">
      <x:c r="A247" s="87"/>
      <x:c r="B247" s="88"/>
      <x:c r="D247" s="32"/>
      <x:c r="G247" s="74"/>
      <x:c r="H247" s="74"/>
      <x:c r="I247" s="74"/>
      <x:c r="J247" s="74"/>
      <x:c r="K247" s="74"/>
      <x:c r="L247" s="74"/>
      <x:c r="M247" s="74"/>
      <x:c r="N247" s="91"/>
      <x:c r="O247" s="91"/>
      <x:c r="P247" s="91"/>
      <x:c r="Q247" s="91"/>
      <x:c r="R247" s="91"/>
      <x:c r="S247" s="85"/>
      <x:c r="U247" s="86"/>
      <x:c r="V247" s="32"/>
    </x:row>
    <x:row r="248">
      <x:c r="A248" s="87"/>
      <x:c r="B248" s="88"/>
      <x:c r="D248" s="32"/>
      <x:c r="G248" s="74"/>
      <x:c r="H248" s="74"/>
      <x:c r="I248" s="74"/>
      <x:c r="J248" s="74"/>
      <x:c r="K248" s="74"/>
      <x:c r="L248" s="74"/>
      <x:c r="M248" s="74"/>
      <x:c r="N248" s="91"/>
      <x:c r="O248" s="91"/>
      <x:c r="P248" s="91"/>
      <x:c r="Q248" s="91"/>
      <x:c r="R248" s="91"/>
      <x:c r="S248" s="85"/>
      <x:c r="U248" s="86"/>
      <x:c r="V248" s="32"/>
    </x:row>
    <x:row r="249">
      <x:c r="A249" s="87"/>
      <x:c r="B249" s="88"/>
      <x:c r="D249" s="32"/>
      <x:c r="G249" s="74"/>
      <x:c r="H249" s="74"/>
      <x:c r="I249" s="74"/>
      <x:c r="J249" s="74"/>
      <x:c r="K249" s="74"/>
      <x:c r="L249" s="74"/>
      <x:c r="M249" s="74"/>
      <x:c r="N249" s="91"/>
      <x:c r="O249" s="91"/>
      <x:c r="P249" s="91"/>
      <x:c r="Q249" s="91"/>
      <x:c r="R249" s="91"/>
      <x:c r="S249" s="85"/>
      <x:c r="U249" s="86"/>
      <x:c r="V249" s="32"/>
    </x:row>
    <x:row r="250">
      <x:c r="A250" s="87"/>
      <x:c r="B250" s="88"/>
      <x:c r="D250" s="32"/>
      <x:c r="G250" s="74"/>
      <x:c r="H250" s="74"/>
      <x:c r="I250" s="74"/>
      <x:c r="J250" s="74"/>
      <x:c r="K250" s="74"/>
      <x:c r="L250" s="74"/>
      <x:c r="M250" s="74"/>
      <x:c r="N250" s="91"/>
      <x:c r="O250" s="91"/>
      <x:c r="P250" s="91"/>
      <x:c r="Q250" s="91"/>
      <x:c r="R250" s="91"/>
      <x:c r="S250" s="85"/>
      <x:c r="U250" s="86"/>
      <x:c r="V250" s="32"/>
    </x:row>
    <x:row r="251">
      <x:c r="A251" s="87"/>
      <x:c r="B251" s="88"/>
      <x:c r="D251" s="32"/>
      <x:c r="G251" s="74"/>
      <x:c r="H251" s="74"/>
      <x:c r="I251" s="74"/>
      <x:c r="J251" s="74"/>
      <x:c r="K251" s="74"/>
      <x:c r="L251" s="74"/>
      <x:c r="M251" s="74"/>
      <x:c r="N251" s="91"/>
      <x:c r="O251" s="91"/>
      <x:c r="P251" s="91"/>
      <x:c r="Q251" s="91"/>
      <x:c r="R251" s="91"/>
      <x:c r="S251" s="85"/>
      <x:c r="U251" s="86"/>
      <x:c r="V251" s="32"/>
    </x:row>
    <x:row r="252">
      <x:c r="A252" s="87"/>
      <x:c r="B252" s="88"/>
      <x:c r="D252" s="32"/>
      <x:c r="G252" s="74"/>
      <x:c r="H252" s="74"/>
      <x:c r="I252" s="74"/>
      <x:c r="J252" s="74"/>
      <x:c r="K252" s="74"/>
      <x:c r="L252" s="74"/>
      <x:c r="M252" s="74"/>
      <x:c r="N252" s="91"/>
      <x:c r="O252" s="91"/>
      <x:c r="P252" s="91"/>
      <x:c r="Q252" s="91"/>
      <x:c r="R252" s="91"/>
      <x:c r="S252" s="85"/>
      <x:c r="U252" s="86"/>
      <x:c r="V252" s="32"/>
    </x:row>
    <x:row r="253">
      <x:c r="A253" s="87"/>
      <x:c r="B253" s="88"/>
      <x:c r="D253" s="32"/>
      <x:c r="G253" s="74"/>
      <x:c r="H253" s="74"/>
      <x:c r="I253" s="74"/>
      <x:c r="J253" s="74"/>
      <x:c r="K253" s="74"/>
      <x:c r="L253" s="74"/>
      <x:c r="M253" s="74"/>
      <x:c r="N253" s="91"/>
      <x:c r="O253" s="91"/>
      <x:c r="P253" s="91"/>
      <x:c r="Q253" s="91"/>
      <x:c r="R253" s="91"/>
      <x:c r="S253" s="85"/>
      <x:c r="U253" s="86"/>
      <x:c r="V253" s="32"/>
    </x:row>
    <x:row r="254">
      <x:c r="A254" s="87"/>
      <x:c r="B254" s="88"/>
      <x:c r="D254" s="32"/>
      <x:c r="G254" s="74"/>
      <x:c r="H254" s="74"/>
      <x:c r="I254" s="74"/>
      <x:c r="J254" s="74"/>
      <x:c r="K254" s="74"/>
      <x:c r="L254" s="74"/>
      <x:c r="M254" s="74"/>
      <x:c r="N254" s="91"/>
      <x:c r="O254" s="91"/>
      <x:c r="P254" s="91"/>
      <x:c r="Q254" s="91"/>
      <x:c r="R254" s="91"/>
      <x:c r="S254" s="85"/>
      <x:c r="U254" s="86"/>
      <x:c r="V254" s="32"/>
    </x:row>
    <x:row r="255">
      <x:c r="A255" s="87"/>
      <x:c r="B255" s="88"/>
      <x:c r="D255" s="32"/>
      <x:c r="G255" s="74"/>
      <x:c r="H255" s="74"/>
      <x:c r="I255" s="74"/>
      <x:c r="J255" s="74"/>
      <x:c r="K255" s="74"/>
      <x:c r="L255" s="74"/>
      <x:c r="M255" s="74"/>
      <x:c r="N255" s="91"/>
      <x:c r="O255" s="91"/>
      <x:c r="P255" s="91"/>
      <x:c r="Q255" s="91"/>
      <x:c r="R255" s="91"/>
      <x:c r="S255" s="85"/>
      <x:c r="U255" s="86"/>
      <x:c r="V255" s="32"/>
    </x:row>
    <x:row r="256">
      <x:c r="A256" s="87"/>
      <x:c r="B256" s="88"/>
      <x:c r="D256" s="32"/>
      <x:c r="G256" s="74"/>
      <x:c r="H256" s="74"/>
      <x:c r="I256" s="74"/>
      <x:c r="J256" s="74"/>
      <x:c r="K256" s="74"/>
      <x:c r="L256" s="74"/>
      <x:c r="M256" s="74"/>
      <x:c r="N256" s="91"/>
      <x:c r="O256" s="91"/>
      <x:c r="P256" s="91"/>
      <x:c r="Q256" s="91"/>
      <x:c r="R256" s="91"/>
      <x:c r="S256" s="85"/>
      <x:c r="U256" s="86"/>
      <x:c r="V256" s="32"/>
    </x:row>
    <x:row r="257">
      <x:c r="A257" s="87"/>
      <x:c r="B257" s="88"/>
      <x:c r="D257" s="32"/>
      <x:c r="G257" s="74"/>
      <x:c r="H257" s="74"/>
      <x:c r="I257" s="74"/>
      <x:c r="J257" s="74"/>
      <x:c r="K257" s="74"/>
      <x:c r="L257" s="74"/>
      <x:c r="M257" s="74"/>
      <x:c r="N257" s="91"/>
      <x:c r="O257" s="91"/>
      <x:c r="P257" s="91"/>
      <x:c r="Q257" s="91"/>
      <x:c r="R257" s="91"/>
      <x:c r="S257" s="85"/>
      <x:c r="U257" s="86"/>
      <x:c r="V257" s="32"/>
    </x:row>
    <x:row r="258">
      <x:c r="A258" s="87"/>
      <x:c r="B258" s="88"/>
      <x:c r="D258" s="32"/>
      <x:c r="G258" s="74"/>
      <x:c r="H258" s="74"/>
      <x:c r="I258" s="74"/>
      <x:c r="J258" s="74"/>
      <x:c r="K258" s="74"/>
      <x:c r="L258" s="74"/>
      <x:c r="M258" s="74"/>
      <x:c r="N258" s="91"/>
      <x:c r="O258" s="91"/>
      <x:c r="P258" s="91"/>
      <x:c r="Q258" s="91"/>
      <x:c r="R258" s="91"/>
      <x:c r="S258" s="85"/>
      <x:c r="U258" s="86"/>
      <x:c r="V258" s="32"/>
    </x:row>
    <x:row r="259">
      <x:c r="A259" s="87"/>
      <x:c r="B259" s="88"/>
      <x:c r="D259" s="32"/>
      <x:c r="G259" s="74"/>
      <x:c r="H259" s="74"/>
      <x:c r="I259" s="74"/>
      <x:c r="J259" s="74"/>
      <x:c r="K259" s="74"/>
      <x:c r="L259" s="74"/>
      <x:c r="M259" s="74"/>
      <x:c r="N259" s="91"/>
      <x:c r="O259" s="91"/>
      <x:c r="P259" s="91"/>
      <x:c r="Q259" s="91"/>
      <x:c r="R259" s="91"/>
      <x:c r="S259" s="85"/>
      <x:c r="U259" s="86"/>
      <x:c r="V259" s="32"/>
    </x:row>
    <x:row r="260">
      <x:c r="A260" s="87"/>
      <x:c r="B260" s="88"/>
      <x:c r="D260" s="32"/>
      <x:c r="G260" s="74"/>
      <x:c r="H260" s="74"/>
      <x:c r="I260" s="74"/>
      <x:c r="J260" s="74"/>
      <x:c r="K260" s="74"/>
      <x:c r="L260" s="74"/>
      <x:c r="M260" s="74"/>
      <x:c r="N260" s="91"/>
      <x:c r="O260" s="91"/>
      <x:c r="P260" s="91"/>
      <x:c r="Q260" s="91"/>
      <x:c r="R260" s="91"/>
      <x:c r="S260" s="85"/>
      <x:c r="U260" s="86"/>
      <x:c r="V260" s="32"/>
    </x:row>
    <x:row r="261">
      <x:c r="A261" s="87"/>
      <x:c r="B261" s="88"/>
      <x:c r="D261" s="32"/>
      <x:c r="G261" s="74"/>
      <x:c r="H261" s="74"/>
      <x:c r="I261" s="74"/>
      <x:c r="J261" s="74"/>
      <x:c r="K261" s="74"/>
      <x:c r="L261" s="74"/>
      <x:c r="M261" s="74"/>
      <x:c r="N261" s="91"/>
      <x:c r="O261" s="91"/>
      <x:c r="P261" s="91"/>
      <x:c r="Q261" s="91"/>
      <x:c r="R261" s="91"/>
      <x:c r="S261" s="85"/>
      <x:c r="U261" s="86"/>
      <x:c r="V261" s="32"/>
    </x:row>
    <x:row r="262">
      <x:c r="A262" s="87"/>
      <x:c r="B262" s="88"/>
      <x:c r="D262" s="32"/>
      <x:c r="G262" s="74"/>
      <x:c r="H262" s="74"/>
      <x:c r="I262" s="74"/>
      <x:c r="J262" s="74"/>
      <x:c r="K262" s="74"/>
      <x:c r="L262" s="74"/>
      <x:c r="M262" s="74"/>
      <x:c r="N262" s="91"/>
      <x:c r="O262" s="91"/>
      <x:c r="P262" s="91"/>
      <x:c r="Q262" s="91"/>
      <x:c r="R262" s="91"/>
      <x:c r="S262" s="85"/>
      <x:c r="U262" s="86"/>
      <x:c r="V262" s="32"/>
    </x:row>
    <x:row r="263">
      <x:c r="A263" s="87"/>
      <x:c r="B263" s="88"/>
      <x:c r="D263" s="32"/>
      <x:c r="G263" s="74"/>
      <x:c r="H263" s="74"/>
      <x:c r="I263" s="74"/>
      <x:c r="J263" s="74"/>
      <x:c r="K263" s="74"/>
      <x:c r="L263" s="74"/>
      <x:c r="M263" s="74"/>
      <x:c r="N263" s="91"/>
      <x:c r="O263" s="91"/>
      <x:c r="P263" s="91"/>
      <x:c r="Q263" s="91"/>
      <x:c r="R263" s="91"/>
      <x:c r="S263" s="85"/>
      <x:c r="U263" s="86"/>
      <x:c r="V263" s="32"/>
    </x:row>
    <x:row r="264">
      <x:c r="A264" s="87"/>
      <x:c r="B264" s="88"/>
      <x:c r="D264" s="32"/>
      <x:c r="G264" s="74"/>
      <x:c r="H264" s="74"/>
      <x:c r="I264" s="74"/>
      <x:c r="J264" s="74"/>
      <x:c r="K264" s="74"/>
      <x:c r="L264" s="74"/>
      <x:c r="M264" s="74"/>
      <x:c r="N264" s="91"/>
      <x:c r="O264" s="91"/>
      <x:c r="P264" s="91"/>
      <x:c r="Q264" s="91"/>
      <x:c r="R264" s="91"/>
      <x:c r="S264" s="85"/>
      <x:c r="U264" s="86"/>
      <x:c r="V264" s="32"/>
    </x:row>
    <x:row r="265">
      <x:c r="A265" s="87"/>
      <x:c r="B265" s="88"/>
      <x:c r="D265" s="32"/>
      <x:c r="G265" s="74"/>
      <x:c r="H265" s="74"/>
      <x:c r="I265" s="74"/>
      <x:c r="J265" s="74"/>
      <x:c r="K265" s="74"/>
      <x:c r="L265" s="74"/>
      <x:c r="M265" s="74"/>
      <x:c r="N265" s="91"/>
      <x:c r="O265" s="91"/>
      <x:c r="P265" s="91"/>
      <x:c r="Q265" s="91"/>
      <x:c r="R265" s="91"/>
      <x:c r="S265" s="85"/>
      <x:c r="U265" s="86"/>
      <x:c r="V265" s="32"/>
    </x:row>
    <x:row r="266">
      <x:c r="A266" s="87"/>
      <x:c r="B266" s="88"/>
      <x:c r="D266" s="32"/>
      <x:c r="G266" s="74"/>
      <x:c r="H266" s="74"/>
      <x:c r="I266" s="74"/>
      <x:c r="J266" s="74"/>
      <x:c r="K266" s="74"/>
      <x:c r="L266" s="74"/>
      <x:c r="M266" s="74"/>
      <x:c r="N266" s="91"/>
      <x:c r="O266" s="91"/>
      <x:c r="P266" s="91"/>
      <x:c r="Q266" s="91"/>
      <x:c r="R266" s="91"/>
      <x:c r="S266" s="85"/>
      <x:c r="U266" s="86"/>
      <x:c r="V266" s="32"/>
    </x:row>
    <x:row r="267">
      <x:c r="A267" s="87"/>
      <x:c r="B267" s="88"/>
      <x:c r="D267" s="32"/>
      <x:c r="G267" s="74"/>
      <x:c r="H267" s="74"/>
      <x:c r="I267" s="74"/>
      <x:c r="J267" s="74"/>
      <x:c r="K267" s="74"/>
      <x:c r="L267" s="74"/>
      <x:c r="M267" s="74"/>
      <x:c r="N267" s="91"/>
      <x:c r="O267" s="91"/>
      <x:c r="P267" s="91"/>
      <x:c r="Q267" s="91"/>
      <x:c r="R267" s="91"/>
      <x:c r="S267" s="85"/>
      <x:c r="U267" s="86"/>
      <x:c r="V267" s="32"/>
    </x:row>
    <x:row r="268">
      <x:c r="A268" s="87"/>
      <x:c r="B268" s="88"/>
      <x:c r="D268" s="32"/>
      <x:c r="G268" s="74"/>
      <x:c r="H268" s="74"/>
      <x:c r="I268" s="74"/>
      <x:c r="J268" s="74"/>
      <x:c r="K268" s="74"/>
      <x:c r="L268" s="74"/>
      <x:c r="M268" s="74"/>
      <x:c r="N268" s="91"/>
      <x:c r="O268" s="91"/>
      <x:c r="P268" s="91"/>
      <x:c r="Q268" s="91"/>
      <x:c r="R268" s="91"/>
      <x:c r="S268" s="85"/>
      <x:c r="U268" s="86"/>
      <x:c r="V268" s="32"/>
    </x:row>
    <x:row r="269">
      <x:c r="A269" s="87"/>
      <x:c r="B269" s="88"/>
      <x:c r="D269" s="32"/>
      <x:c r="G269" s="74"/>
      <x:c r="H269" s="74"/>
      <x:c r="I269" s="74"/>
      <x:c r="J269" s="74"/>
      <x:c r="K269" s="74"/>
      <x:c r="L269" s="74"/>
      <x:c r="M269" s="74"/>
      <x:c r="N269" s="91"/>
      <x:c r="O269" s="91"/>
      <x:c r="P269" s="91"/>
      <x:c r="Q269" s="91"/>
      <x:c r="R269" s="91"/>
      <x:c r="S269" s="85"/>
      <x:c r="U269" s="86"/>
      <x:c r="V269" s="32"/>
    </x:row>
    <x:row r="270">
      <x:c r="A270" s="87"/>
      <x:c r="B270" s="88"/>
      <x:c r="D270" s="32"/>
      <x:c r="G270" s="74"/>
      <x:c r="H270" s="74"/>
      <x:c r="I270" s="74"/>
      <x:c r="J270" s="74"/>
      <x:c r="K270" s="74"/>
      <x:c r="L270" s="74"/>
      <x:c r="M270" s="74"/>
      <x:c r="N270" s="91"/>
      <x:c r="O270" s="91"/>
      <x:c r="P270" s="91"/>
      <x:c r="Q270" s="91"/>
      <x:c r="R270" s="91"/>
      <x:c r="S270" s="85"/>
      <x:c r="U270" s="86"/>
      <x:c r="V270" s="32"/>
    </x:row>
    <x:row r="271">
      <x:c r="A271" s="87"/>
      <x:c r="B271" s="88"/>
      <x:c r="D271" s="32"/>
      <x:c r="G271" s="74"/>
      <x:c r="H271" s="74"/>
      <x:c r="I271" s="74"/>
      <x:c r="J271" s="74"/>
      <x:c r="K271" s="74"/>
      <x:c r="L271" s="74"/>
      <x:c r="M271" s="74"/>
      <x:c r="N271" s="91"/>
      <x:c r="O271" s="91"/>
      <x:c r="P271" s="91"/>
      <x:c r="Q271" s="91"/>
      <x:c r="R271" s="91"/>
      <x:c r="S271" s="85"/>
      <x:c r="U271" s="86"/>
      <x:c r="V271" s="32"/>
    </x:row>
    <x:row r="272">
      <x:c r="A272" s="87"/>
      <x:c r="B272" s="88"/>
      <x:c r="D272" s="32"/>
      <x:c r="G272" s="74"/>
      <x:c r="H272" s="74"/>
      <x:c r="I272" s="74"/>
      <x:c r="J272" s="74"/>
      <x:c r="K272" s="74"/>
      <x:c r="L272" s="74"/>
      <x:c r="M272" s="74"/>
      <x:c r="N272" s="91"/>
      <x:c r="O272" s="91"/>
      <x:c r="P272" s="91"/>
      <x:c r="Q272" s="91"/>
      <x:c r="R272" s="91"/>
      <x:c r="S272" s="85"/>
      <x:c r="U272" s="86"/>
      <x:c r="V272" s="32"/>
    </x:row>
    <x:row r="273">
      <x:c r="A273" s="87"/>
      <x:c r="B273" s="88"/>
      <x:c r="D273" s="32"/>
      <x:c r="G273" s="74"/>
      <x:c r="H273" s="74"/>
      <x:c r="I273" s="74"/>
      <x:c r="J273" s="74"/>
      <x:c r="K273" s="74"/>
      <x:c r="L273" s="74"/>
      <x:c r="M273" s="74"/>
      <x:c r="N273" s="91"/>
      <x:c r="O273" s="91"/>
      <x:c r="P273" s="91"/>
      <x:c r="Q273" s="91"/>
      <x:c r="R273" s="91"/>
      <x:c r="S273" s="85"/>
      <x:c r="U273" s="86"/>
      <x:c r="V273" s="32"/>
    </x:row>
    <x:row r="274">
      <x:c r="A274" s="87"/>
      <x:c r="B274" s="88"/>
      <x:c r="D274" s="32"/>
      <x:c r="G274" s="74"/>
      <x:c r="H274" s="74"/>
      <x:c r="I274" s="74"/>
      <x:c r="J274" s="74"/>
      <x:c r="K274" s="74"/>
      <x:c r="L274" s="74"/>
      <x:c r="M274" s="74"/>
      <x:c r="N274" s="91"/>
      <x:c r="O274" s="91"/>
      <x:c r="P274" s="91"/>
      <x:c r="Q274" s="91"/>
      <x:c r="R274" s="91"/>
      <x:c r="S274" s="85"/>
      <x:c r="U274" s="86"/>
      <x:c r="V274" s="32"/>
    </x:row>
    <x:row r="275">
      <x:c r="A275" s="87"/>
      <x:c r="B275" s="88"/>
      <x:c r="D275" s="32"/>
      <x:c r="G275" s="74"/>
      <x:c r="H275" s="74"/>
      <x:c r="I275" s="74"/>
      <x:c r="J275" s="74"/>
      <x:c r="K275" s="74"/>
      <x:c r="L275" s="74"/>
      <x:c r="M275" s="74"/>
      <x:c r="N275" s="91"/>
      <x:c r="O275" s="91"/>
      <x:c r="P275" s="91"/>
      <x:c r="Q275" s="91"/>
      <x:c r="R275" s="91"/>
      <x:c r="S275" s="85"/>
      <x:c r="U275" s="86"/>
      <x:c r="V275" s="32"/>
    </x:row>
    <x:row r="276">
      <x:c r="A276" s="87"/>
      <x:c r="B276" s="88"/>
      <x:c r="D276" s="32"/>
      <x:c r="G276" s="74"/>
      <x:c r="H276" s="74"/>
      <x:c r="I276" s="74"/>
      <x:c r="J276" s="74"/>
      <x:c r="K276" s="74"/>
      <x:c r="L276" s="74"/>
      <x:c r="M276" s="74"/>
      <x:c r="N276" s="91"/>
      <x:c r="O276" s="91"/>
      <x:c r="P276" s="91"/>
      <x:c r="Q276" s="91"/>
      <x:c r="R276" s="91"/>
      <x:c r="S276" s="85"/>
      <x:c r="U276" s="86"/>
      <x:c r="V276" s="32"/>
    </x:row>
    <x:row r="277">
      <x:c r="A277" s="87"/>
      <x:c r="B277" s="88"/>
      <x:c r="D277" s="32"/>
      <x:c r="G277" s="74"/>
      <x:c r="H277" s="74"/>
      <x:c r="I277" s="74"/>
      <x:c r="J277" s="74"/>
      <x:c r="K277" s="74"/>
      <x:c r="L277" s="74"/>
      <x:c r="M277" s="74"/>
      <x:c r="N277" s="91"/>
      <x:c r="O277" s="91"/>
      <x:c r="P277" s="91"/>
      <x:c r="Q277" s="91"/>
      <x:c r="R277" s="91"/>
      <x:c r="S277" s="85"/>
      <x:c r="U277" s="86"/>
      <x:c r="V277" s="32"/>
    </x:row>
    <x:row r="278">
      <x:c r="A278" s="87"/>
      <x:c r="B278" s="88"/>
      <x:c r="D278" s="32"/>
      <x:c r="G278" s="74"/>
      <x:c r="H278" s="74"/>
      <x:c r="I278" s="74"/>
      <x:c r="J278" s="74"/>
      <x:c r="K278" s="74"/>
      <x:c r="L278" s="74"/>
      <x:c r="M278" s="74"/>
      <x:c r="N278" s="91"/>
      <x:c r="O278" s="91"/>
      <x:c r="P278" s="91"/>
      <x:c r="Q278" s="91"/>
      <x:c r="R278" s="91"/>
      <x:c r="S278" s="85"/>
      <x:c r="U278" s="86"/>
      <x:c r="V278" s="32"/>
    </x:row>
    <x:row r="279">
      <x:c r="A279" s="87"/>
      <x:c r="B279" s="88"/>
      <x:c r="D279" s="32"/>
      <x:c r="G279" s="74"/>
      <x:c r="H279" s="74"/>
      <x:c r="I279" s="74"/>
      <x:c r="J279" s="74"/>
      <x:c r="K279" s="74"/>
      <x:c r="L279" s="74"/>
      <x:c r="M279" s="74"/>
      <x:c r="N279" s="91"/>
      <x:c r="O279" s="91"/>
      <x:c r="P279" s="91"/>
      <x:c r="Q279" s="91"/>
      <x:c r="R279" s="91"/>
      <x:c r="S279" s="85"/>
      <x:c r="U279" s="86"/>
      <x:c r="V279" s="32"/>
    </x:row>
    <x:row r="280">
      <x:c r="A280" s="87"/>
      <x:c r="B280" s="88"/>
      <x:c r="D280" s="32"/>
      <x:c r="G280" s="74"/>
      <x:c r="H280" s="74"/>
      <x:c r="I280" s="74"/>
      <x:c r="J280" s="74"/>
      <x:c r="K280" s="74"/>
      <x:c r="L280" s="74"/>
      <x:c r="M280" s="74"/>
      <x:c r="N280" s="91"/>
      <x:c r="O280" s="91"/>
      <x:c r="P280" s="91"/>
      <x:c r="Q280" s="91"/>
      <x:c r="R280" s="91"/>
      <x:c r="S280" s="85"/>
      <x:c r="U280" s="86"/>
      <x:c r="V280" s="32"/>
    </x:row>
    <x:row r="281">
      <x:c r="A281" s="87"/>
      <x:c r="B281" s="88"/>
      <x:c r="D281" s="32"/>
      <x:c r="G281" s="74"/>
      <x:c r="H281" s="74"/>
      <x:c r="I281" s="74"/>
      <x:c r="J281" s="74"/>
      <x:c r="K281" s="74"/>
      <x:c r="L281" s="74"/>
      <x:c r="M281" s="74"/>
      <x:c r="N281" s="91"/>
      <x:c r="O281" s="91"/>
      <x:c r="P281" s="91"/>
      <x:c r="Q281" s="91"/>
      <x:c r="R281" s="91"/>
      <x:c r="S281" s="85"/>
      <x:c r="U281" s="86"/>
      <x:c r="V281" s="32"/>
    </x:row>
    <x:row r="282">
      <x:c r="A282" s="87"/>
      <x:c r="B282" s="88"/>
      <x:c r="D282" s="32"/>
      <x:c r="G282" s="74"/>
      <x:c r="H282" s="74"/>
      <x:c r="I282" s="74"/>
      <x:c r="J282" s="74"/>
      <x:c r="K282" s="74"/>
      <x:c r="L282" s="74"/>
      <x:c r="M282" s="74"/>
      <x:c r="N282" s="91"/>
      <x:c r="O282" s="91"/>
      <x:c r="P282" s="91"/>
      <x:c r="Q282" s="91"/>
      <x:c r="R282" s="91"/>
      <x:c r="S282" s="85"/>
      <x:c r="U282" s="86"/>
      <x:c r="V282" s="32"/>
    </x:row>
    <x:row r="283">
      <x:c r="A283" s="87"/>
      <x:c r="B283" s="88"/>
      <x:c r="D283" s="32"/>
      <x:c r="G283" s="74"/>
      <x:c r="H283" s="74"/>
      <x:c r="I283" s="74"/>
      <x:c r="J283" s="74"/>
      <x:c r="K283" s="74"/>
      <x:c r="L283" s="74"/>
      <x:c r="M283" s="74"/>
      <x:c r="N283" s="91"/>
      <x:c r="O283" s="91"/>
      <x:c r="P283" s="91"/>
      <x:c r="Q283" s="91"/>
      <x:c r="R283" s="91"/>
      <x:c r="S283" s="85"/>
      <x:c r="U283" s="86"/>
      <x:c r="V283" s="32"/>
    </x:row>
    <x:row r="284">
      <x:c r="A284" s="87"/>
      <x:c r="B284" s="88"/>
      <x:c r="D284" s="32"/>
      <x:c r="G284" s="74"/>
      <x:c r="H284" s="74"/>
      <x:c r="I284" s="74"/>
      <x:c r="J284" s="74"/>
      <x:c r="K284" s="74"/>
      <x:c r="L284" s="74"/>
      <x:c r="M284" s="74"/>
      <x:c r="N284" s="91"/>
      <x:c r="O284" s="91"/>
      <x:c r="P284" s="91"/>
      <x:c r="Q284" s="91"/>
      <x:c r="R284" s="91"/>
      <x:c r="S284" s="85"/>
      <x:c r="U284" s="86"/>
      <x:c r="V284" s="32"/>
    </x:row>
    <x:row r="285">
      <x:c r="A285" s="87"/>
      <x:c r="B285" s="88"/>
      <x:c r="D285" s="32"/>
      <x:c r="G285" s="74"/>
      <x:c r="H285" s="74"/>
      <x:c r="I285" s="74"/>
      <x:c r="J285" s="74"/>
      <x:c r="K285" s="74"/>
      <x:c r="L285" s="74"/>
      <x:c r="M285" s="74"/>
      <x:c r="N285" s="91"/>
      <x:c r="O285" s="91"/>
      <x:c r="P285" s="91"/>
      <x:c r="Q285" s="91"/>
      <x:c r="R285" s="91"/>
      <x:c r="S285" s="85"/>
      <x:c r="U285" s="86"/>
      <x:c r="V285" s="32"/>
    </x:row>
    <x:row r="286">
      <x:c r="A286" s="87"/>
      <x:c r="B286" s="88"/>
      <x:c r="D286" s="32"/>
      <x:c r="G286" s="74"/>
      <x:c r="H286" s="74"/>
      <x:c r="I286" s="74"/>
      <x:c r="J286" s="74"/>
      <x:c r="K286" s="74"/>
      <x:c r="L286" s="74"/>
      <x:c r="M286" s="74"/>
      <x:c r="N286" s="91"/>
      <x:c r="O286" s="91"/>
      <x:c r="P286" s="91"/>
      <x:c r="Q286" s="91"/>
      <x:c r="R286" s="91"/>
      <x:c r="S286" s="85"/>
      <x:c r="U286" s="86"/>
      <x:c r="V286" s="32"/>
    </x:row>
    <x:row r="287">
      <x:c r="A287" s="87"/>
      <x:c r="B287" s="88"/>
      <x:c r="D287" s="32"/>
      <x:c r="G287" s="74"/>
      <x:c r="H287" s="74"/>
      <x:c r="I287" s="74"/>
      <x:c r="J287" s="74"/>
      <x:c r="K287" s="74"/>
      <x:c r="L287" s="74"/>
      <x:c r="M287" s="74"/>
      <x:c r="N287" s="91"/>
      <x:c r="O287" s="91"/>
      <x:c r="P287" s="91"/>
      <x:c r="Q287" s="91"/>
      <x:c r="R287" s="91"/>
      <x:c r="S287" s="85"/>
      <x:c r="U287" s="86"/>
      <x:c r="V287" s="32"/>
    </x:row>
    <x:row r="288">
      <x:c r="A288" s="87"/>
      <x:c r="B288" s="88"/>
      <x:c r="D288" s="32"/>
      <x:c r="G288" s="74"/>
      <x:c r="H288" s="74"/>
      <x:c r="I288" s="74"/>
      <x:c r="J288" s="74"/>
      <x:c r="K288" s="74"/>
      <x:c r="L288" s="74"/>
      <x:c r="M288" s="74"/>
      <x:c r="N288" s="91"/>
      <x:c r="O288" s="91"/>
      <x:c r="P288" s="91"/>
      <x:c r="Q288" s="91"/>
      <x:c r="R288" s="91"/>
      <x:c r="S288" s="85"/>
      <x:c r="U288" s="86"/>
      <x:c r="V288" s="32"/>
    </x:row>
    <x:row r="289">
      <x:c r="A289" s="87"/>
      <x:c r="B289" s="88"/>
      <x:c r="D289" s="32"/>
      <x:c r="G289" s="74"/>
      <x:c r="H289" s="74"/>
      <x:c r="I289" s="74"/>
      <x:c r="J289" s="74"/>
      <x:c r="K289" s="74"/>
      <x:c r="L289" s="74"/>
      <x:c r="M289" s="74"/>
      <x:c r="N289" s="91"/>
      <x:c r="O289" s="91"/>
      <x:c r="P289" s="91"/>
      <x:c r="Q289" s="91"/>
      <x:c r="R289" s="91"/>
      <x:c r="S289" s="85"/>
      <x:c r="U289" s="86"/>
      <x:c r="V289" s="32"/>
    </x:row>
    <x:row r="290">
      <x:c r="A290" s="87"/>
      <x:c r="B290" s="88"/>
      <x:c r="D290" s="32"/>
      <x:c r="G290" s="74"/>
      <x:c r="H290" s="74"/>
      <x:c r="I290" s="74"/>
      <x:c r="J290" s="74"/>
      <x:c r="K290" s="74"/>
      <x:c r="L290" s="74"/>
      <x:c r="M290" s="74"/>
      <x:c r="N290" s="91"/>
      <x:c r="O290" s="91"/>
      <x:c r="P290" s="91"/>
      <x:c r="Q290" s="91"/>
      <x:c r="R290" s="91"/>
      <x:c r="S290" s="85"/>
      <x:c r="U290" s="86"/>
      <x:c r="V290" s="32"/>
    </x:row>
    <x:row r="291">
      <x:c r="A291" s="87"/>
      <x:c r="B291" s="88"/>
      <x:c r="D291" s="32"/>
      <x:c r="G291" s="74"/>
      <x:c r="H291" s="74"/>
      <x:c r="I291" s="74"/>
      <x:c r="J291" s="74"/>
      <x:c r="K291" s="74"/>
      <x:c r="L291" s="74"/>
      <x:c r="M291" s="74"/>
      <x:c r="N291" s="91"/>
      <x:c r="O291" s="91"/>
      <x:c r="P291" s="91"/>
      <x:c r="Q291" s="91"/>
      <x:c r="R291" s="91"/>
      <x:c r="S291" s="85"/>
      <x:c r="U291" s="86"/>
      <x:c r="V291" s="32"/>
    </x:row>
    <x:row r="292">
      <x:c r="A292" s="87"/>
      <x:c r="B292" s="88"/>
      <x:c r="D292" s="32"/>
      <x:c r="G292" s="74"/>
      <x:c r="H292" s="74"/>
      <x:c r="I292" s="74"/>
      <x:c r="J292" s="74"/>
      <x:c r="K292" s="74"/>
      <x:c r="L292" s="74"/>
      <x:c r="M292" s="74"/>
      <x:c r="N292" s="91"/>
      <x:c r="O292" s="91"/>
      <x:c r="P292" s="91"/>
      <x:c r="Q292" s="91"/>
      <x:c r="R292" s="91"/>
      <x:c r="S292" s="85"/>
      <x:c r="U292" s="86"/>
      <x:c r="V292" s="32"/>
    </x:row>
    <x:row r="293">
      <x:c r="A293" s="87"/>
      <x:c r="B293" s="88"/>
      <x:c r="D293" s="32"/>
      <x:c r="G293" s="74"/>
      <x:c r="H293" s="74"/>
      <x:c r="I293" s="74"/>
      <x:c r="J293" s="74"/>
      <x:c r="K293" s="74"/>
      <x:c r="L293" s="74"/>
      <x:c r="M293" s="74"/>
      <x:c r="N293" s="91"/>
      <x:c r="O293" s="91"/>
      <x:c r="P293" s="91"/>
      <x:c r="Q293" s="91"/>
      <x:c r="R293" s="91"/>
      <x:c r="S293" s="85"/>
      <x:c r="U293" s="86"/>
      <x:c r="V293" s="32"/>
    </x:row>
    <x:row r="294">
      <x:c r="A294" s="87"/>
      <x:c r="B294" s="88"/>
      <x:c r="D294" s="32"/>
      <x:c r="G294" s="74"/>
      <x:c r="H294" s="74"/>
      <x:c r="I294" s="74"/>
      <x:c r="J294" s="74"/>
      <x:c r="K294" s="74"/>
      <x:c r="L294" s="74"/>
      <x:c r="M294" s="74"/>
      <x:c r="N294" s="91"/>
      <x:c r="O294" s="91"/>
      <x:c r="P294" s="91"/>
      <x:c r="Q294" s="91"/>
      <x:c r="R294" s="91"/>
      <x:c r="S294" s="85"/>
      <x:c r="U294" s="86"/>
      <x:c r="V294" s="32"/>
    </x:row>
    <x:row r="295">
      <x:c r="A295" s="87"/>
      <x:c r="B295" s="88"/>
      <x:c r="D295" s="32"/>
      <x:c r="G295" s="74"/>
      <x:c r="H295" s="74"/>
      <x:c r="I295" s="74"/>
      <x:c r="J295" s="74"/>
      <x:c r="K295" s="74"/>
      <x:c r="L295" s="74"/>
      <x:c r="M295" s="74"/>
      <x:c r="N295" s="91"/>
      <x:c r="O295" s="91"/>
      <x:c r="P295" s="91"/>
      <x:c r="Q295" s="91"/>
      <x:c r="R295" s="91"/>
      <x:c r="S295" s="85"/>
      <x:c r="U295" s="86"/>
      <x:c r="V295" s="32"/>
    </x:row>
    <x:row r="296">
      <x:c r="A296" s="87"/>
      <x:c r="B296" s="88"/>
      <x:c r="D296" s="32"/>
      <x:c r="G296" s="74"/>
      <x:c r="H296" s="74"/>
      <x:c r="I296" s="74"/>
      <x:c r="J296" s="74"/>
      <x:c r="K296" s="74"/>
      <x:c r="L296" s="74"/>
      <x:c r="M296" s="74"/>
      <x:c r="N296" s="91"/>
      <x:c r="O296" s="91"/>
      <x:c r="P296" s="91"/>
      <x:c r="Q296" s="91"/>
      <x:c r="R296" s="91"/>
      <x:c r="S296" s="85"/>
      <x:c r="U296" s="86"/>
      <x:c r="V296" s="32"/>
    </x:row>
    <x:row r="297">
      <x:c r="A297" s="87"/>
      <x:c r="B297" s="88"/>
      <x:c r="D297" s="32"/>
      <x:c r="G297" s="74"/>
      <x:c r="H297" s="74"/>
      <x:c r="I297" s="74"/>
      <x:c r="J297" s="74"/>
      <x:c r="K297" s="74"/>
      <x:c r="L297" s="74"/>
      <x:c r="M297" s="74"/>
      <x:c r="N297" s="91"/>
      <x:c r="O297" s="91"/>
      <x:c r="P297" s="91"/>
      <x:c r="Q297" s="91"/>
      <x:c r="R297" s="91"/>
      <x:c r="S297" s="85"/>
      <x:c r="U297" s="86"/>
      <x:c r="V297" s="32"/>
    </x:row>
    <x:row r="298">
      <x:c r="A298" s="87"/>
      <x:c r="B298" s="88"/>
      <x:c r="D298" s="32"/>
      <x:c r="G298" s="74"/>
      <x:c r="H298" s="74"/>
      <x:c r="I298" s="74"/>
      <x:c r="J298" s="74"/>
      <x:c r="K298" s="74"/>
      <x:c r="L298" s="74"/>
      <x:c r="M298" s="74"/>
      <x:c r="N298" s="91"/>
      <x:c r="O298" s="91"/>
      <x:c r="P298" s="91"/>
      <x:c r="Q298" s="91"/>
      <x:c r="R298" s="91"/>
      <x:c r="S298" s="85"/>
      <x:c r="U298" s="86"/>
      <x:c r="V298" s="32"/>
    </x:row>
    <x:row r="299">
      <x:c r="A299" s="87"/>
      <x:c r="B299" s="88"/>
      <x:c r="D299" s="32"/>
      <x:c r="G299" s="74"/>
      <x:c r="H299" s="74"/>
      <x:c r="I299" s="74"/>
      <x:c r="J299" s="74"/>
      <x:c r="K299" s="74"/>
      <x:c r="L299" s="74"/>
      <x:c r="M299" s="74"/>
      <x:c r="N299" s="91"/>
      <x:c r="O299" s="91"/>
      <x:c r="P299" s="91"/>
      <x:c r="Q299" s="91"/>
      <x:c r="R299" s="91"/>
      <x:c r="S299" s="85"/>
      <x:c r="U299" s="86"/>
      <x:c r="V299" s="32"/>
    </x:row>
    <x:row r="300">
      <x:c r="A300" s="87"/>
      <x:c r="B300" s="88"/>
      <x:c r="D300" s="32"/>
      <x:c r="G300" s="74"/>
      <x:c r="H300" s="74"/>
      <x:c r="I300" s="74"/>
      <x:c r="J300" s="74"/>
      <x:c r="K300" s="74"/>
      <x:c r="L300" s="74"/>
      <x:c r="M300" s="74"/>
      <x:c r="N300" s="91"/>
      <x:c r="O300" s="91"/>
      <x:c r="P300" s="91"/>
      <x:c r="Q300" s="91"/>
      <x:c r="R300" s="91"/>
      <x:c r="S300" s="85"/>
      <x:c r="U300" s="86"/>
      <x:c r="V300" s="32"/>
    </x:row>
    <x:row r="301">
      <x:c r="A301" s="87"/>
      <x:c r="B301" s="88"/>
      <x:c r="D301" s="32"/>
      <x:c r="G301" s="74"/>
      <x:c r="H301" s="74"/>
      <x:c r="I301" s="74"/>
      <x:c r="J301" s="74"/>
      <x:c r="K301" s="74"/>
      <x:c r="L301" s="74"/>
      <x:c r="M301" s="74"/>
      <x:c r="N301" s="91"/>
      <x:c r="O301" s="91"/>
      <x:c r="P301" s="91"/>
      <x:c r="Q301" s="91"/>
      <x:c r="R301" s="91"/>
      <x:c r="S301" s="85"/>
      <x:c r="U301" s="86"/>
      <x:c r="V301" s="32"/>
    </x:row>
    <x:row r="302">
      <x:c r="A302" s="87"/>
      <x:c r="B302" s="88"/>
      <x:c r="D302" s="32"/>
      <x:c r="G302" s="74"/>
      <x:c r="H302" s="74"/>
      <x:c r="I302" s="74"/>
      <x:c r="J302" s="74"/>
      <x:c r="K302" s="74"/>
      <x:c r="L302" s="74"/>
      <x:c r="M302" s="74"/>
      <x:c r="N302" s="91"/>
      <x:c r="O302" s="91"/>
      <x:c r="P302" s="91"/>
      <x:c r="Q302" s="91"/>
      <x:c r="R302" s="91"/>
      <x:c r="S302" s="85"/>
      <x:c r="U302" s="86"/>
      <x:c r="V302" s="32"/>
    </x:row>
    <x:row r="303">
      <x:c r="A303" s="87"/>
      <x:c r="B303" s="88"/>
      <x:c r="D303" s="32"/>
      <x:c r="G303" s="74"/>
      <x:c r="H303" s="74"/>
      <x:c r="I303" s="74"/>
      <x:c r="J303" s="74"/>
      <x:c r="K303" s="74"/>
      <x:c r="L303" s="74"/>
      <x:c r="M303" s="74"/>
      <x:c r="N303" s="91"/>
      <x:c r="O303" s="91"/>
      <x:c r="P303" s="91"/>
      <x:c r="Q303" s="91"/>
      <x:c r="R303" s="91"/>
      <x:c r="S303" s="85"/>
      <x:c r="U303" s="86"/>
      <x:c r="V303" s="32"/>
    </x:row>
    <x:row r="304">
      <x:c r="A304" s="87"/>
      <x:c r="B304" s="88"/>
      <x:c r="D304" s="32"/>
      <x:c r="G304" s="74"/>
      <x:c r="H304" s="74"/>
      <x:c r="I304" s="74"/>
      <x:c r="J304" s="74"/>
      <x:c r="K304" s="74"/>
      <x:c r="L304" s="74"/>
      <x:c r="M304" s="74"/>
      <x:c r="N304" s="91"/>
      <x:c r="O304" s="91"/>
      <x:c r="P304" s="91"/>
      <x:c r="Q304" s="91"/>
      <x:c r="R304" s="91"/>
      <x:c r="S304" s="85"/>
      <x:c r="U304" s="86"/>
      <x:c r="V304" s="32"/>
    </x:row>
    <x:row r="305">
      <x:c r="A305" s="87"/>
      <x:c r="B305" s="88"/>
      <x:c r="D305" s="32"/>
      <x:c r="G305" s="74"/>
      <x:c r="H305" s="74"/>
      <x:c r="I305" s="74"/>
      <x:c r="J305" s="74"/>
      <x:c r="K305" s="74"/>
      <x:c r="L305" s="74"/>
      <x:c r="M305" s="74"/>
      <x:c r="N305" s="91"/>
      <x:c r="O305" s="91"/>
      <x:c r="P305" s="91"/>
      <x:c r="Q305" s="91"/>
      <x:c r="R305" s="91"/>
      <x:c r="S305" s="85"/>
      <x:c r="U305" s="86"/>
      <x:c r="V305" s="32"/>
    </x:row>
    <x:row r="306">
      <x:c r="A306" s="87"/>
      <x:c r="B306" s="88"/>
      <x:c r="D306" s="32"/>
      <x:c r="G306" s="74"/>
      <x:c r="H306" s="74"/>
      <x:c r="I306" s="74"/>
      <x:c r="J306" s="74"/>
      <x:c r="K306" s="74"/>
      <x:c r="L306" s="74"/>
      <x:c r="M306" s="74"/>
      <x:c r="N306" s="91"/>
      <x:c r="O306" s="91"/>
      <x:c r="P306" s="91"/>
      <x:c r="Q306" s="91"/>
      <x:c r="R306" s="91"/>
      <x:c r="S306" s="85"/>
      <x:c r="U306" s="86"/>
      <x:c r="V306" s="32"/>
    </x:row>
    <x:row r="307">
      <x:c r="A307" s="87"/>
      <x:c r="B307" s="88"/>
      <x:c r="D307" s="32"/>
      <x:c r="G307" s="74"/>
      <x:c r="H307" s="74"/>
      <x:c r="I307" s="74"/>
      <x:c r="J307" s="74"/>
      <x:c r="K307" s="74"/>
      <x:c r="L307" s="74"/>
      <x:c r="M307" s="74"/>
      <x:c r="N307" s="91"/>
      <x:c r="O307" s="91"/>
      <x:c r="P307" s="91"/>
      <x:c r="Q307" s="91"/>
      <x:c r="R307" s="91"/>
      <x:c r="S307" s="85"/>
      <x:c r="U307" s="86"/>
      <x:c r="V307" s="32"/>
    </x:row>
    <x:row r="308">
      <x:c r="A308" s="87"/>
      <x:c r="B308" s="88"/>
      <x:c r="D308" s="32"/>
      <x:c r="G308" s="74"/>
      <x:c r="H308" s="74"/>
      <x:c r="I308" s="74"/>
      <x:c r="J308" s="74"/>
      <x:c r="K308" s="74"/>
      <x:c r="L308" s="74"/>
      <x:c r="M308" s="74"/>
      <x:c r="N308" s="91"/>
      <x:c r="O308" s="91"/>
      <x:c r="P308" s="91"/>
      <x:c r="Q308" s="91"/>
      <x:c r="R308" s="91"/>
      <x:c r="S308" s="85"/>
      <x:c r="U308" s="86"/>
      <x:c r="V308" s="32"/>
    </x:row>
    <x:row r="309">
      <x:c r="A309" s="87"/>
      <x:c r="B309" s="88"/>
      <x:c r="D309" s="32"/>
      <x:c r="G309" s="74"/>
      <x:c r="H309" s="74"/>
      <x:c r="I309" s="74"/>
      <x:c r="J309" s="74"/>
      <x:c r="K309" s="74"/>
      <x:c r="L309" s="74"/>
      <x:c r="M309" s="74"/>
      <x:c r="N309" s="91"/>
      <x:c r="O309" s="91"/>
      <x:c r="P309" s="91"/>
      <x:c r="Q309" s="91"/>
      <x:c r="R309" s="91"/>
      <x:c r="S309" s="85"/>
      <x:c r="U309" s="86"/>
      <x:c r="V309" s="32"/>
    </x:row>
    <x:row r="310">
      <x:c r="A310" s="87"/>
      <x:c r="B310" s="88"/>
      <x:c r="D310" s="32"/>
      <x:c r="G310" s="74"/>
      <x:c r="H310" s="74"/>
      <x:c r="I310" s="74"/>
      <x:c r="J310" s="74"/>
      <x:c r="K310" s="74"/>
      <x:c r="L310" s="74"/>
      <x:c r="M310" s="74"/>
      <x:c r="N310" s="91"/>
      <x:c r="O310" s="91"/>
      <x:c r="P310" s="91"/>
      <x:c r="Q310" s="91"/>
      <x:c r="R310" s="91"/>
      <x:c r="S310" s="85"/>
      <x:c r="U310" s="86"/>
      <x:c r="V310" s="32"/>
    </x:row>
    <x:row r="311">
      <x:c r="A311" s="87"/>
      <x:c r="B311" s="88"/>
      <x:c r="D311" s="32"/>
      <x:c r="G311" s="74"/>
      <x:c r="H311" s="74"/>
      <x:c r="I311" s="74"/>
      <x:c r="J311" s="74"/>
      <x:c r="K311" s="74"/>
      <x:c r="L311" s="74"/>
      <x:c r="M311" s="74"/>
      <x:c r="N311" s="91"/>
      <x:c r="O311" s="91"/>
      <x:c r="P311" s="91"/>
      <x:c r="Q311" s="91"/>
      <x:c r="R311" s="91"/>
      <x:c r="S311" s="85"/>
      <x:c r="U311" s="86"/>
      <x:c r="V311" s="32"/>
    </x:row>
    <x:row r="312">
      <x:c r="A312" s="87"/>
      <x:c r="B312" s="88"/>
      <x:c r="D312" s="32"/>
      <x:c r="G312" s="74"/>
      <x:c r="H312" s="74"/>
      <x:c r="I312" s="74"/>
      <x:c r="J312" s="74"/>
      <x:c r="K312" s="74"/>
      <x:c r="L312" s="74"/>
      <x:c r="M312" s="74"/>
      <x:c r="N312" s="91"/>
      <x:c r="O312" s="91"/>
      <x:c r="P312" s="91"/>
      <x:c r="Q312" s="91"/>
      <x:c r="R312" s="91"/>
      <x:c r="S312" s="85"/>
      <x:c r="U312" s="86"/>
      <x:c r="V312" s="32"/>
    </x:row>
    <x:row r="313">
      <x:c r="A313" s="87"/>
      <x:c r="B313" s="88"/>
      <x:c r="D313" s="32"/>
      <x:c r="G313" s="74"/>
      <x:c r="H313" s="74"/>
      <x:c r="I313" s="74"/>
      <x:c r="J313" s="74"/>
      <x:c r="K313" s="74"/>
      <x:c r="L313" s="74"/>
      <x:c r="M313" s="74"/>
      <x:c r="N313" s="91"/>
      <x:c r="O313" s="91"/>
      <x:c r="P313" s="91"/>
      <x:c r="Q313" s="91"/>
      <x:c r="R313" s="91"/>
      <x:c r="S313" s="85"/>
      <x:c r="U313" s="86"/>
      <x:c r="V313" s="32"/>
    </x:row>
    <x:row r="314">
      <x:c r="A314" s="87"/>
      <x:c r="B314" s="88"/>
      <x:c r="D314" s="32"/>
      <x:c r="G314" s="74"/>
      <x:c r="H314" s="74"/>
      <x:c r="I314" s="74"/>
      <x:c r="J314" s="74"/>
      <x:c r="K314" s="74"/>
      <x:c r="L314" s="74"/>
      <x:c r="M314" s="74"/>
      <x:c r="N314" s="91"/>
      <x:c r="O314" s="91"/>
      <x:c r="P314" s="91"/>
      <x:c r="Q314" s="91"/>
      <x:c r="R314" s="91"/>
      <x:c r="S314" s="85"/>
      <x:c r="U314" s="86"/>
      <x:c r="V314" s="32"/>
    </x:row>
    <x:row r="315">
      <x:c r="A315" s="87"/>
      <x:c r="B315" s="88"/>
      <x:c r="D315" s="32"/>
      <x:c r="G315" s="74"/>
      <x:c r="H315" s="74"/>
      <x:c r="I315" s="74"/>
      <x:c r="J315" s="74"/>
      <x:c r="K315" s="74"/>
      <x:c r="L315" s="74"/>
      <x:c r="M315" s="74"/>
      <x:c r="N315" s="91"/>
      <x:c r="O315" s="91"/>
      <x:c r="P315" s="91"/>
      <x:c r="Q315" s="91"/>
      <x:c r="R315" s="91"/>
      <x:c r="S315" s="85"/>
      <x:c r="U315" s="86"/>
      <x:c r="V315" s="32"/>
    </x:row>
    <x:row r="316">
      <x:c r="A316" s="87"/>
      <x:c r="B316" s="88"/>
      <x:c r="D316" s="32"/>
      <x:c r="G316" s="74"/>
      <x:c r="H316" s="74"/>
      <x:c r="I316" s="74"/>
      <x:c r="J316" s="74"/>
      <x:c r="K316" s="74"/>
      <x:c r="L316" s="74"/>
      <x:c r="M316" s="74"/>
      <x:c r="N316" s="91"/>
      <x:c r="O316" s="91"/>
      <x:c r="P316" s="91"/>
      <x:c r="Q316" s="91"/>
      <x:c r="R316" s="91"/>
      <x:c r="S316" s="85"/>
      <x:c r="U316" s="86"/>
      <x:c r="V316" s="32"/>
    </x:row>
    <x:row r="317">
      <x:c r="A317" s="87"/>
      <x:c r="B317" s="88"/>
      <x:c r="D317" s="32"/>
      <x:c r="G317" s="74"/>
      <x:c r="H317" s="74"/>
      <x:c r="I317" s="74"/>
      <x:c r="J317" s="74"/>
      <x:c r="K317" s="74"/>
      <x:c r="L317" s="74"/>
      <x:c r="M317" s="74"/>
      <x:c r="N317" s="91"/>
      <x:c r="O317" s="91"/>
      <x:c r="P317" s="91"/>
      <x:c r="Q317" s="91"/>
      <x:c r="R317" s="91"/>
      <x:c r="S317" s="85"/>
      <x:c r="U317" s="86"/>
      <x:c r="V317" s="32"/>
    </x:row>
    <x:row r="318">
      <x:c r="A318" s="87"/>
      <x:c r="B318" s="88"/>
      <x:c r="D318" s="32"/>
      <x:c r="G318" s="74"/>
      <x:c r="H318" s="74"/>
      <x:c r="I318" s="74"/>
      <x:c r="J318" s="74"/>
      <x:c r="K318" s="74"/>
      <x:c r="L318" s="74"/>
      <x:c r="M318" s="74"/>
      <x:c r="N318" s="91"/>
      <x:c r="O318" s="91"/>
      <x:c r="P318" s="91"/>
      <x:c r="Q318" s="91"/>
      <x:c r="R318" s="91"/>
      <x:c r="S318" s="85"/>
      <x:c r="U318" s="86"/>
      <x:c r="V318" s="32"/>
    </x:row>
    <x:row r="319">
      <x:c r="A319" s="87"/>
      <x:c r="B319" s="88"/>
      <x:c r="D319" s="32"/>
      <x:c r="G319" s="74"/>
      <x:c r="H319" s="74"/>
      <x:c r="I319" s="74"/>
      <x:c r="J319" s="74"/>
      <x:c r="K319" s="74"/>
      <x:c r="L319" s="74"/>
      <x:c r="M319" s="74"/>
      <x:c r="N319" s="91"/>
      <x:c r="O319" s="91"/>
      <x:c r="P319" s="91"/>
      <x:c r="Q319" s="91"/>
      <x:c r="R319" s="91"/>
      <x:c r="S319" s="85"/>
      <x:c r="U319" s="86"/>
      <x:c r="V319" s="32"/>
    </x:row>
    <x:row r="320">
      <x:c r="A320" s="87"/>
      <x:c r="B320" s="88"/>
      <x:c r="D320" s="32"/>
      <x:c r="G320" s="74"/>
      <x:c r="H320" s="74"/>
      <x:c r="I320" s="74"/>
      <x:c r="J320" s="74"/>
      <x:c r="K320" s="74"/>
      <x:c r="L320" s="74"/>
      <x:c r="M320" s="74"/>
      <x:c r="N320" s="91"/>
      <x:c r="O320" s="91"/>
      <x:c r="P320" s="91"/>
      <x:c r="Q320" s="91"/>
      <x:c r="R320" s="91"/>
      <x:c r="S320" s="85"/>
      <x:c r="U320" s="86"/>
      <x:c r="V320" s="32"/>
    </x:row>
    <x:row r="321">
      <x:c r="A321" s="87"/>
      <x:c r="B321" s="88"/>
      <x:c r="D321" s="32"/>
      <x:c r="G321" s="74"/>
      <x:c r="H321" s="74"/>
      <x:c r="I321" s="74"/>
      <x:c r="J321" s="74"/>
      <x:c r="K321" s="74"/>
      <x:c r="L321" s="74"/>
      <x:c r="M321" s="74"/>
      <x:c r="N321" s="91"/>
      <x:c r="O321" s="91"/>
      <x:c r="P321" s="91"/>
      <x:c r="Q321" s="91"/>
      <x:c r="R321" s="91"/>
      <x:c r="S321" s="85"/>
      <x:c r="U321" s="86"/>
      <x:c r="V321" s="32"/>
    </x:row>
    <x:row r="322">
      <x:c r="A322" s="87"/>
      <x:c r="B322" s="88"/>
      <x:c r="D322" s="32"/>
      <x:c r="G322" s="74"/>
      <x:c r="H322" s="74"/>
      <x:c r="I322" s="74"/>
      <x:c r="J322" s="74"/>
      <x:c r="K322" s="74"/>
      <x:c r="L322" s="74"/>
      <x:c r="M322" s="74"/>
      <x:c r="N322" s="91"/>
      <x:c r="O322" s="91"/>
      <x:c r="P322" s="91"/>
      <x:c r="Q322" s="91"/>
      <x:c r="R322" s="91"/>
      <x:c r="S322" s="85"/>
      <x:c r="U322" s="86"/>
      <x:c r="V322" s="32"/>
    </x:row>
    <x:row r="323">
      <x:c r="A323" s="87"/>
      <x:c r="B323" s="88"/>
      <x:c r="D323" s="32"/>
      <x:c r="G323" s="74"/>
      <x:c r="H323" s="74"/>
      <x:c r="I323" s="74"/>
      <x:c r="J323" s="74"/>
      <x:c r="K323" s="74"/>
      <x:c r="L323" s="74"/>
      <x:c r="M323" s="74"/>
      <x:c r="N323" s="91"/>
      <x:c r="O323" s="91"/>
      <x:c r="P323" s="91"/>
      <x:c r="Q323" s="91"/>
      <x:c r="R323" s="91"/>
      <x:c r="S323" s="85"/>
      <x:c r="U323" s="86"/>
      <x:c r="V323" s="32"/>
    </x:row>
    <x:row r="324">
      <x:c r="A324" s="87"/>
      <x:c r="B324" s="88"/>
      <x:c r="D324" s="32"/>
      <x:c r="G324" s="74"/>
      <x:c r="H324" s="74"/>
      <x:c r="I324" s="74"/>
      <x:c r="J324" s="74"/>
      <x:c r="K324" s="74"/>
      <x:c r="L324" s="74"/>
      <x:c r="M324" s="74"/>
      <x:c r="N324" s="91"/>
      <x:c r="O324" s="91"/>
      <x:c r="P324" s="91"/>
      <x:c r="Q324" s="91"/>
      <x:c r="R324" s="91"/>
      <x:c r="S324" s="85"/>
      <x:c r="U324" s="86"/>
      <x:c r="V324" s="32"/>
    </x:row>
    <x:row r="325">
      <x:c r="A325" s="87"/>
      <x:c r="B325" s="88"/>
      <x:c r="D325" s="32"/>
      <x:c r="G325" s="74"/>
      <x:c r="H325" s="74"/>
      <x:c r="I325" s="74"/>
      <x:c r="J325" s="74"/>
      <x:c r="K325" s="74"/>
      <x:c r="L325" s="74"/>
      <x:c r="M325" s="74"/>
      <x:c r="N325" s="91"/>
      <x:c r="O325" s="91"/>
      <x:c r="P325" s="91"/>
      <x:c r="Q325" s="91"/>
      <x:c r="R325" s="91"/>
      <x:c r="S325" s="85"/>
      <x:c r="U325" s="86"/>
      <x:c r="V325" s="32"/>
    </x:row>
    <x:row r="326">
      <x:c r="A326" s="87"/>
      <x:c r="B326" s="88"/>
      <x:c r="D326" s="32"/>
      <x:c r="G326" s="74"/>
      <x:c r="H326" s="74"/>
      <x:c r="I326" s="74"/>
      <x:c r="J326" s="74"/>
      <x:c r="K326" s="74"/>
      <x:c r="L326" s="74"/>
      <x:c r="M326" s="74"/>
      <x:c r="N326" s="91"/>
      <x:c r="O326" s="91"/>
      <x:c r="P326" s="91"/>
      <x:c r="Q326" s="91"/>
      <x:c r="R326" s="91"/>
      <x:c r="S326" s="85"/>
      <x:c r="U326" s="86"/>
      <x:c r="V326" s="32"/>
    </x:row>
    <x:row r="327">
      <x:c r="A327" s="87"/>
      <x:c r="B327" s="88"/>
      <x:c r="D327" s="32"/>
      <x:c r="G327" s="74"/>
      <x:c r="H327" s="74"/>
      <x:c r="I327" s="74"/>
      <x:c r="J327" s="74"/>
      <x:c r="K327" s="74"/>
      <x:c r="L327" s="74"/>
      <x:c r="M327" s="74"/>
      <x:c r="N327" s="91"/>
      <x:c r="O327" s="91"/>
      <x:c r="P327" s="91"/>
      <x:c r="Q327" s="91"/>
      <x:c r="R327" s="91"/>
      <x:c r="S327" s="85"/>
      <x:c r="U327" s="86"/>
      <x:c r="V327" s="32"/>
    </x:row>
    <x:row r="328">
      <x:c r="A328" s="87"/>
      <x:c r="B328" s="88"/>
      <x:c r="D328" s="32"/>
      <x:c r="G328" s="74"/>
      <x:c r="H328" s="74"/>
      <x:c r="I328" s="74"/>
      <x:c r="J328" s="74"/>
      <x:c r="K328" s="74"/>
      <x:c r="L328" s="74"/>
      <x:c r="M328" s="74"/>
      <x:c r="N328" s="91"/>
      <x:c r="O328" s="91"/>
      <x:c r="P328" s="91"/>
      <x:c r="Q328" s="91"/>
      <x:c r="R328" s="91"/>
      <x:c r="S328" s="85"/>
      <x:c r="U328" s="86"/>
      <x:c r="V328" s="32"/>
    </x:row>
    <x:row r="329">
      <x:c r="A329" s="87"/>
      <x:c r="B329" s="88"/>
      <x:c r="D329" s="32"/>
      <x:c r="G329" s="74"/>
      <x:c r="H329" s="74"/>
      <x:c r="I329" s="74"/>
      <x:c r="J329" s="74"/>
      <x:c r="K329" s="74"/>
      <x:c r="L329" s="74"/>
      <x:c r="M329" s="74"/>
      <x:c r="N329" s="91"/>
      <x:c r="O329" s="91"/>
      <x:c r="P329" s="91"/>
      <x:c r="Q329" s="91"/>
      <x:c r="R329" s="91"/>
      <x:c r="S329" s="85"/>
      <x:c r="U329" s="86"/>
      <x:c r="V329" s="32"/>
    </x:row>
    <x:row r="330">
      <x:c r="A330" s="87"/>
      <x:c r="B330" s="88"/>
      <x:c r="D330" s="32"/>
      <x:c r="G330" s="74"/>
      <x:c r="H330" s="74"/>
      <x:c r="I330" s="74"/>
      <x:c r="J330" s="74"/>
      <x:c r="K330" s="74"/>
      <x:c r="L330" s="74"/>
      <x:c r="M330" s="74"/>
      <x:c r="N330" s="91"/>
      <x:c r="O330" s="91"/>
      <x:c r="P330" s="91"/>
      <x:c r="Q330" s="91"/>
      <x:c r="R330" s="91"/>
      <x:c r="S330" s="85"/>
      <x:c r="U330" s="86"/>
      <x:c r="V330" s="32"/>
    </x:row>
    <x:row r="331">
      <x:c r="A331" s="87"/>
      <x:c r="B331" s="88"/>
      <x:c r="D331" s="32"/>
      <x:c r="G331" s="74"/>
      <x:c r="H331" s="74"/>
      <x:c r="I331" s="74"/>
      <x:c r="J331" s="74"/>
      <x:c r="K331" s="74"/>
      <x:c r="L331" s="74"/>
      <x:c r="M331" s="74"/>
      <x:c r="N331" s="91"/>
      <x:c r="O331" s="91"/>
      <x:c r="P331" s="91"/>
      <x:c r="Q331" s="91"/>
      <x:c r="R331" s="91"/>
      <x:c r="S331" s="85"/>
      <x:c r="U331" s="86"/>
      <x:c r="V331" s="32"/>
    </x:row>
    <x:row r="332">
      <x:c r="A332" s="87"/>
      <x:c r="B332" s="88"/>
      <x:c r="D332" s="32"/>
      <x:c r="G332" s="74"/>
      <x:c r="H332" s="74"/>
      <x:c r="I332" s="74"/>
      <x:c r="J332" s="74"/>
      <x:c r="K332" s="74"/>
      <x:c r="L332" s="74"/>
      <x:c r="M332" s="74"/>
      <x:c r="N332" s="91"/>
      <x:c r="O332" s="91"/>
      <x:c r="P332" s="91"/>
      <x:c r="Q332" s="91"/>
      <x:c r="R332" s="91"/>
      <x:c r="S332" s="85"/>
      <x:c r="U332" s="86"/>
      <x:c r="V332" s="32"/>
    </x:row>
    <x:row r="333">
      <x:c r="A333" s="87"/>
      <x:c r="B333" s="88"/>
      <x:c r="D333" s="32"/>
      <x:c r="G333" s="74"/>
      <x:c r="H333" s="74"/>
      <x:c r="I333" s="74"/>
      <x:c r="J333" s="74"/>
      <x:c r="K333" s="74"/>
      <x:c r="L333" s="74"/>
      <x:c r="M333" s="74"/>
      <x:c r="N333" s="91"/>
      <x:c r="O333" s="91"/>
      <x:c r="P333" s="91"/>
      <x:c r="Q333" s="91"/>
      <x:c r="R333" s="91"/>
      <x:c r="S333" s="85"/>
      <x:c r="U333" s="86"/>
      <x:c r="V333" s="32"/>
    </x:row>
    <x:row r="334">
      <x:c r="A334" s="87"/>
      <x:c r="B334" s="88"/>
      <x:c r="D334" s="32"/>
      <x:c r="G334" s="74"/>
      <x:c r="H334" s="74"/>
      <x:c r="I334" s="74"/>
      <x:c r="J334" s="74"/>
      <x:c r="K334" s="74"/>
      <x:c r="L334" s="74"/>
      <x:c r="M334" s="74"/>
      <x:c r="N334" s="91"/>
      <x:c r="O334" s="91"/>
      <x:c r="P334" s="91"/>
      <x:c r="Q334" s="91"/>
      <x:c r="R334" s="91"/>
      <x:c r="S334" s="85"/>
      <x:c r="U334" s="86"/>
      <x:c r="V334" s="32"/>
    </x:row>
    <x:row r="335">
      <x:c r="A335" s="87"/>
      <x:c r="B335" s="88"/>
      <x:c r="D335" s="32"/>
      <x:c r="G335" s="74"/>
      <x:c r="H335" s="74"/>
      <x:c r="I335" s="74"/>
      <x:c r="J335" s="74"/>
      <x:c r="K335" s="74"/>
      <x:c r="L335" s="74"/>
      <x:c r="M335" s="74"/>
      <x:c r="N335" s="91"/>
      <x:c r="O335" s="91"/>
      <x:c r="P335" s="91"/>
      <x:c r="Q335" s="91"/>
      <x:c r="R335" s="91"/>
      <x:c r="S335" s="85"/>
      <x:c r="U335" s="86"/>
      <x:c r="V335" s="32"/>
    </x:row>
    <x:row r="336">
      <x:c r="A336" s="87"/>
      <x:c r="B336" s="88"/>
      <x:c r="D336" s="32"/>
      <x:c r="G336" s="74"/>
      <x:c r="H336" s="74"/>
      <x:c r="I336" s="74"/>
      <x:c r="J336" s="74"/>
      <x:c r="K336" s="74"/>
      <x:c r="L336" s="74"/>
      <x:c r="M336" s="74"/>
      <x:c r="N336" s="91"/>
      <x:c r="O336" s="91"/>
      <x:c r="P336" s="91"/>
      <x:c r="Q336" s="91"/>
      <x:c r="R336" s="91"/>
      <x:c r="S336" s="85"/>
      <x:c r="U336" s="86"/>
      <x:c r="V336" s="32"/>
    </x:row>
    <x:row r="337">
      <x:c r="A337" s="87"/>
      <x:c r="B337" s="88"/>
      <x:c r="D337" s="32"/>
      <x:c r="G337" s="74"/>
      <x:c r="H337" s="74"/>
      <x:c r="I337" s="74"/>
      <x:c r="J337" s="74"/>
      <x:c r="K337" s="74"/>
      <x:c r="L337" s="74"/>
      <x:c r="M337" s="74"/>
      <x:c r="N337" s="91"/>
      <x:c r="O337" s="91"/>
      <x:c r="P337" s="91"/>
      <x:c r="Q337" s="91"/>
      <x:c r="R337" s="91"/>
      <x:c r="S337" s="85"/>
      <x:c r="U337" s="86"/>
      <x:c r="V337" s="32"/>
    </x:row>
    <x:row r="338">
      <x:c r="A338" s="87"/>
      <x:c r="B338" s="88"/>
      <x:c r="D338" s="32"/>
      <x:c r="G338" s="74"/>
      <x:c r="H338" s="74"/>
      <x:c r="I338" s="74"/>
      <x:c r="J338" s="74"/>
      <x:c r="K338" s="74"/>
      <x:c r="L338" s="74"/>
      <x:c r="M338" s="74"/>
      <x:c r="N338" s="91"/>
      <x:c r="O338" s="91"/>
      <x:c r="P338" s="91"/>
      <x:c r="Q338" s="91"/>
      <x:c r="R338" s="91"/>
      <x:c r="S338" s="85"/>
      <x:c r="U338" s="86"/>
      <x:c r="V338" s="32"/>
    </x:row>
    <x:row r="339">
      <x:c r="A339" s="87"/>
      <x:c r="B339" s="88"/>
      <x:c r="D339" s="32"/>
      <x:c r="G339" s="74"/>
      <x:c r="H339" s="74"/>
      <x:c r="I339" s="74"/>
      <x:c r="J339" s="74"/>
      <x:c r="K339" s="74"/>
      <x:c r="L339" s="74"/>
      <x:c r="M339" s="74"/>
      <x:c r="N339" s="91"/>
      <x:c r="O339" s="91"/>
      <x:c r="P339" s="91"/>
      <x:c r="Q339" s="91"/>
      <x:c r="R339" s="91"/>
      <x:c r="S339" s="85"/>
      <x:c r="U339" s="86"/>
      <x:c r="V339" s="32"/>
    </x:row>
    <x:row r="340">
      <x:c r="A340" s="87"/>
      <x:c r="B340" s="88"/>
      <x:c r="D340" s="32"/>
      <x:c r="G340" s="74"/>
      <x:c r="H340" s="74"/>
      <x:c r="I340" s="74"/>
      <x:c r="J340" s="74"/>
      <x:c r="K340" s="74"/>
      <x:c r="L340" s="74"/>
      <x:c r="M340" s="74"/>
      <x:c r="N340" s="91"/>
      <x:c r="O340" s="91"/>
      <x:c r="P340" s="91"/>
      <x:c r="Q340" s="91"/>
      <x:c r="R340" s="91"/>
      <x:c r="S340" s="85"/>
      <x:c r="U340" s="86"/>
      <x:c r="V340" s="32"/>
    </x:row>
    <x:row r="341">
      <x:c r="A341" s="87"/>
      <x:c r="B341" s="88"/>
      <x:c r="D341" s="32"/>
      <x:c r="G341" s="74"/>
      <x:c r="H341" s="74"/>
      <x:c r="I341" s="74"/>
      <x:c r="J341" s="74"/>
      <x:c r="K341" s="74"/>
      <x:c r="L341" s="74"/>
      <x:c r="M341" s="74"/>
      <x:c r="N341" s="91"/>
      <x:c r="O341" s="91"/>
      <x:c r="P341" s="91"/>
      <x:c r="Q341" s="91"/>
      <x:c r="R341" s="91"/>
      <x:c r="S341" s="85"/>
      <x:c r="U341" s="86"/>
      <x:c r="V341" s="32"/>
    </x:row>
    <x:row r="342">
      <x:c r="A342" s="87"/>
      <x:c r="B342" s="88"/>
      <x:c r="D342" s="32"/>
      <x:c r="G342" s="74"/>
      <x:c r="H342" s="74"/>
      <x:c r="I342" s="74"/>
      <x:c r="J342" s="74"/>
      <x:c r="K342" s="74"/>
      <x:c r="L342" s="74"/>
      <x:c r="M342" s="74"/>
      <x:c r="N342" s="91"/>
      <x:c r="O342" s="91"/>
      <x:c r="P342" s="91"/>
      <x:c r="Q342" s="91"/>
      <x:c r="R342" s="91"/>
      <x:c r="S342" s="85"/>
      <x:c r="U342" s="86"/>
      <x:c r="V342" s="32"/>
    </x:row>
    <x:row r="343">
      <x:c r="A343" s="87"/>
      <x:c r="B343" s="88"/>
      <x:c r="D343" s="32"/>
      <x:c r="G343" s="74"/>
      <x:c r="H343" s="74"/>
      <x:c r="I343" s="74"/>
      <x:c r="J343" s="74"/>
      <x:c r="K343" s="74"/>
      <x:c r="L343" s="74"/>
      <x:c r="M343" s="74"/>
      <x:c r="N343" s="91"/>
      <x:c r="O343" s="91"/>
      <x:c r="P343" s="91"/>
      <x:c r="Q343" s="91"/>
      <x:c r="R343" s="91"/>
      <x:c r="S343" s="85"/>
      <x:c r="U343" s="86"/>
      <x:c r="V343" s="32"/>
    </x:row>
    <x:row r="344">
      <x:c r="A344" s="87"/>
      <x:c r="B344" s="88"/>
      <x:c r="D344" s="32"/>
      <x:c r="G344" s="74"/>
      <x:c r="H344" s="74"/>
      <x:c r="I344" s="74"/>
      <x:c r="J344" s="74"/>
      <x:c r="K344" s="74"/>
      <x:c r="L344" s="74"/>
      <x:c r="M344" s="74"/>
      <x:c r="N344" s="91"/>
      <x:c r="O344" s="91"/>
      <x:c r="P344" s="91"/>
      <x:c r="Q344" s="91"/>
      <x:c r="R344" s="91"/>
      <x:c r="S344" s="85"/>
      <x:c r="U344" s="86"/>
      <x:c r="V344" s="32"/>
    </x:row>
    <x:row r="345">
      <x:c r="A345" s="87"/>
      <x:c r="B345" s="88"/>
      <x:c r="D345" s="32"/>
      <x:c r="G345" s="74"/>
      <x:c r="H345" s="74"/>
      <x:c r="I345" s="74"/>
      <x:c r="J345" s="74"/>
      <x:c r="K345" s="74"/>
      <x:c r="L345" s="74"/>
      <x:c r="M345" s="74"/>
      <x:c r="N345" s="91"/>
      <x:c r="O345" s="91"/>
      <x:c r="P345" s="91"/>
      <x:c r="Q345" s="91"/>
      <x:c r="R345" s="91"/>
      <x:c r="S345" s="85"/>
      <x:c r="U345" s="86"/>
      <x:c r="V345" s="32"/>
    </x:row>
    <x:row r="346">
      <x:c r="A346" s="87"/>
      <x:c r="B346" s="88"/>
      <x:c r="D346" s="32"/>
      <x:c r="G346" s="74"/>
      <x:c r="H346" s="74"/>
      <x:c r="I346" s="74"/>
      <x:c r="J346" s="74"/>
      <x:c r="K346" s="74"/>
      <x:c r="L346" s="74"/>
      <x:c r="M346" s="74"/>
      <x:c r="N346" s="91"/>
      <x:c r="O346" s="91"/>
      <x:c r="P346" s="91"/>
      <x:c r="Q346" s="91"/>
      <x:c r="R346" s="91"/>
      <x:c r="S346" s="85"/>
      <x:c r="U346" s="86"/>
      <x:c r="V346" s="32"/>
    </x:row>
    <x:row r="347">
      <x:c r="A347" s="87"/>
      <x:c r="B347" s="88"/>
      <x:c r="D347" s="32"/>
      <x:c r="G347" s="74"/>
      <x:c r="H347" s="74"/>
      <x:c r="I347" s="74"/>
      <x:c r="J347" s="74"/>
      <x:c r="K347" s="74"/>
      <x:c r="L347" s="74"/>
      <x:c r="M347" s="74"/>
      <x:c r="N347" s="91"/>
      <x:c r="O347" s="91"/>
      <x:c r="P347" s="91"/>
      <x:c r="Q347" s="91"/>
      <x:c r="R347" s="91"/>
      <x:c r="S347" s="85"/>
      <x:c r="U347" s="86"/>
      <x:c r="V347" s="32"/>
    </x:row>
    <x:row r="348">
      <x:c r="A348" s="87"/>
      <x:c r="B348" s="88"/>
      <x:c r="D348" s="32"/>
      <x:c r="G348" s="74"/>
      <x:c r="H348" s="74"/>
      <x:c r="I348" s="74"/>
      <x:c r="J348" s="74"/>
      <x:c r="K348" s="74"/>
      <x:c r="L348" s="74"/>
      <x:c r="M348" s="74"/>
      <x:c r="N348" s="91"/>
      <x:c r="O348" s="91"/>
      <x:c r="P348" s="91"/>
      <x:c r="Q348" s="91"/>
      <x:c r="R348" s="91"/>
      <x:c r="S348" s="85"/>
      <x:c r="U348" s="86"/>
      <x:c r="V348" s="32"/>
    </x:row>
    <x:row r="349">
      <x:c r="A349" s="87"/>
      <x:c r="B349" s="88"/>
      <x:c r="D349" s="32"/>
      <x:c r="G349" s="74"/>
      <x:c r="H349" s="74"/>
      <x:c r="I349" s="74"/>
      <x:c r="J349" s="74"/>
      <x:c r="K349" s="74"/>
      <x:c r="L349" s="74"/>
      <x:c r="M349" s="74"/>
      <x:c r="N349" s="91"/>
      <x:c r="O349" s="91"/>
      <x:c r="P349" s="91"/>
      <x:c r="Q349" s="91"/>
      <x:c r="R349" s="91"/>
      <x:c r="S349" s="85"/>
      <x:c r="U349" s="86"/>
      <x:c r="V349" s="32"/>
    </x:row>
    <x:row r="350">
      <x:c r="A350" s="87"/>
      <x:c r="B350" s="88"/>
      <x:c r="D350" s="32"/>
      <x:c r="G350" s="74"/>
      <x:c r="H350" s="74"/>
      <x:c r="I350" s="74"/>
      <x:c r="J350" s="74"/>
      <x:c r="K350" s="74"/>
      <x:c r="L350" s="74"/>
      <x:c r="M350" s="74"/>
      <x:c r="N350" s="91"/>
      <x:c r="O350" s="91"/>
      <x:c r="P350" s="91"/>
      <x:c r="Q350" s="91"/>
      <x:c r="R350" s="91"/>
      <x:c r="S350" s="85"/>
      <x:c r="U350" s="86"/>
      <x:c r="V350" s="32"/>
    </x:row>
    <x:row r="351">
      <x:c r="A351" s="87"/>
      <x:c r="B351" s="88"/>
      <x:c r="D351" s="32"/>
      <x:c r="G351" s="74"/>
      <x:c r="H351" s="74"/>
      <x:c r="I351" s="74"/>
      <x:c r="J351" s="74"/>
      <x:c r="K351" s="74"/>
      <x:c r="L351" s="74"/>
      <x:c r="M351" s="74"/>
      <x:c r="N351" s="91"/>
      <x:c r="O351" s="91"/>
      <x:c r="P351" s="91"/>
      <x:c r="Q351" s="91"/>
      <x:c r="R351" s="91"/>
      <x:c r="S351" s="85"/>
      <x:c r="U351" s="86"/>
      <x:c r="V351" s="32"/>
    </x:row>
    <x:row r="352">
      <x:c r="A352" s="87"/>
      <x:c r="B352" s="88"/>
      <x:c r="D352" s="32"/>
      <x:c r="G352" s="74"/>
      <x:c r="H352" s="74"/>
      <x:c r="I352" s="74"/>
      <x:c r="J352" s="74"/>
      <x:c r="K352" s="74"/>
      <x:c r="L352" s="74"/>
      <x:c r="M352" s="74"/>
      <x:c r="N352" s="91"/>
      <x:c r="O352" s="91"/>
      <x:c r="P352" s="91"/>
      <x:c r="Q352" s="91"/>
      <x:c r="R352" s="91"/>
      <x:c r="S352" s="85"/>
      <x:c r="U352" s="86"/>
      <x:c r="V352" s="32"/>
    </x:row>
    <x:row r="353">
      <x:c r="A353" s="87"/>
      <x:c r="B353" s="88"/>
      <x:c r="D353" s="32"/>
      <x:c r="G353" s="74"/>
      <x:c r="H353" s="74"/>
      <x:c r="I353" s="74"/>
      <x:c r="J353" s="74"/>
      <x:c r="K353" s="74"/>
      <x:c r="L353" s="74"/>
      <x:c r="M353" s="74"/>
      <x:c r="N353" s="91"/>
      <x:c r="O353" s="91"/>
      <x:c r="P353" s="91"/>
      <x:c r="Q353" s="91"/>
      <x:c r="R353" s="91"/>
      <x:c r="S353" s="85"/>
      <x:c r="U353" s="86"/>
      <x:c r="V353" s="32"/>
    </x:row>
    <x:row r="354">
      <x:c r="A354" s="87"/>
      <x:c r="B354" s="88"/>
      <x:c r="D354" s="32"/>
      <x:c r="G354" s="74"/>
      <x:c r="H354" s="74"/>
      <x:c r="I354" s="74"/>
      <x:c r="J354" s="74"/>
      <x:c r="K354" s="74"/>
      <x:c r="L354" s="74"/>
      <x:c r="M354" s="74"/>
      <x:c r="N354" s="91"/>
      <x:c r="O354" s="91"/>
      <x:c r="P354" s="91"/>
      <x:c r="Q354" s="91"/>
      <x:c r="R354" s="91"/>
      <x:c r="S354" s="85"/>
      <x:c r="U354" s="86"/>
      <x:c r="V354" s="32"/>
    </x:row>
    <x:row r="355">
      <x:c r="A355" s="87"/>
      <x:c r="B355" s="88"/>
      <x:c r="D355" s="32"/>
      <x:c r="G355" s="74"/>
      <x:c r="H355" s="74"/>
      <x:c r="I355" s="74"/>
      <x:c r="J355" s="74"/>
      <x:c r="K355" s="74"/>
      <x:c r="L355" s="74"/>
      <x:c r="M355" s="74"/>
      <x:c r="N355" s="91"/>
      <x:c r="O355" s="91"/>
      <x:c r="P355" s="91"/>
      <x:c r="Q355" s="91"/>
      <x:c r="R355" s="91"/>
      <x:c r="S355" s="85"/>
      <x:c r="U355" s="86"/>
      <x:c r="V355" s="32"/>
    </x:row>
    <x:row r="356">
      <x:c r="A356" s="87"/>
      <x:c r="B356" s="88"/>
      <x:c r="D356" s="32"/>
      <x:c r="G356" s="74"/>
      <x:c r="H356" s="74"/>
      <x:c r="I356" s="74"/>
      <x:c r="J356" s="74"/>
      <x:c r="K356" s="74"/>
      <x:c r="L356" s="74"/>
      <x:c r="M356" s="74"/>
      <x:c r="N356" s="91"/>
      <x:c r="O356" s="91"/>
      <x:c r="P356" s="91"/>
      <x:c r="Q356" s="91"/>
      <x:c r="R356" s="91"/>
      <x:c r="S356" s="85"/>
      <x:c r="U356" s="86"/>
      <x:c r="V356" s="32"/>
    </x:row>
    <x:row r="357">
      <x:c r="A357" s="87"/>
      <x:c r="B357" s="88"/>
      <x:c r="D357" s="32"/>
      <x:c r="G357" s="74"/>
      <x:c r="H357" s="74"/>
      <x:c r="I357" s="74"/>
      <x:c r="J357" s="74"/>
      <x:c r="K357" s="74"/>
      <x:c r="L357" s="74"/>
      <x:c r="M357" s="74"/>
      <x:c r="N357" s="91"/>
      <x:c r="O357" s="91"/>
      <x:c r="P357" s="91"/>
      <x:c r="Q357" s="91"/>
      <x:c r="R357" s="91"/>
      <x:c r="S357" s="85"/>
      <x:c r="U357" s="86"/>
      <x:c r="V357" s="32"/>
    </x:row>
    <x:row r="358">
      <x:c r="A358" s="87"/>
      <x:c r="B358" s="88"/>
      <x:c r="D358" s="32"/>
      <x:c r="G358" s="74"/>
      <x:c r="H358" s="74"/>
      <x:c r="I358" s="74"/>
      <x:c r="J358" s="74"/>
      <x:c r="K358" s="74"/>
      <x:c r="L358" s="74"/>
      <x:c r="M358" s="74"/>
      <x:c r="N358" s="91"/>
      <x:c r="O358" s="91"/>
      <x:c r="P358" s="91"/>
      <x:c r="Q358" s="91"/>
      <x:c r="R358" s="91"/>
      <x:c r="S358" s="85"/>
      <x:c r="U358" s="86"/>
      <x:c r="V358" s="32"/>
    </x:row>
    <x:row r="359">
      <x:c r="A359" s="87"/>
      <x:c r="B359" s="88"/>
      <x:c r="D359" s="32"/>
      <x:c r="G359" s="74"/>
      <x:c r="H359" s="74"/>
      <x:c r="I359" s="74"/>
      <x:c r="J359" s="74"/>
      <x:c r="K359" s="74"/>
      <x:c r="L359" s="74"/>
      <x:c r="M359" s="74"/>
      <x:c r="N359" s="91"/>
      <x:c r="O359" s="91"/>
      <x:c r="P359" s="91"/>
      <x:c r="Q359" s="91"/>
      <x:c r="R359" s="91"/>
      <x:c r="S359" s="85"/>
      <x:c r="U359" s="86"/>
      <x:c r="V359" s="32"/>
    </x:row>
    <x:row r="360">
      <x:c r="A360" s="87"/>
      <x:c r="B360" s="88"/>
      <x:c r="D360" s="32"/>
      <x:c r="G360" s="74"/>
      <x:c r="H360" s="74"/>
      <x:c r="I360" s="74"/>
      <x:c r="J360" s="74"/>
      <x:c r="K360" s="74"/>
      <x:c r="L360" s="74"/>
      <x:c r="M360" s="74"/>
      <x:c r="N360" s="91"/>
      <x:c r="O360" s="91"/>
      <x:c r="P360" s="91"/>
      <x:c r="Q360" s="91"/>
      <x:c r="R360" s="91"/>
      <x:c r="S360" s="85"/>
      <x:c r="U360" s="86"/>
      <x:c r="V360" s="32"/>
    </x:row>
    <x:row r="361">
      <x:c r="A361" s="87"/>
      <x:c r="B361" s="88"/>
      <x:c r="D361" s="32"/>
      <x:c r="G361" s="74"/>
      <x:c r="H361" s="74"/>
      <x:c r="I361" s="74"/>
      <x:c r="J361" s="74"/>
      <x:c r="K361" s="74"/>
      <x:c r="L361" s="74"/>
      <x:c r="M361" s="74"/>
      <x:c r="N361" s="91"/>
      <x:c r="O361" s="91"/>
      <x:c r="P361" s="91"/>
      <x:c r="Q361" s="91"/>
      <x:c r="R361" s="91"/>
      <x:c r="S361" s="85"/>
      <x:c r="U361" s="86"/>
      <x:c r="V361" s="32"/>
    </x:row>
    <x:row r="362">
      <x:c r="A362" s="87"/>
      <x:c r="B362" s="88"/>
      <x:c r="D362" s="32"/>
      <x:c r="G362" s="74"/>
      <x:c r="H362" s="74"/>
      <x:c r="I362" s="74"/>
      <x:c r="J362" s="74"/>
      <x:c r="K362" s="74"/>
      <x:c r="L362" s="74"/>
      <x:c r="M362" s="74"/>
      <x:c r="N362" s="91"/>
      <x:c r="O362" s="91"/>
      <x:c r="P362" s="91"/>
      <x:c r="Q362" s="91"/>
      <x:c r="R362" s="91"/>
      <x:c r="S362" s="85"/>
      <x:c r="U362" s="86"/>
      <x:c r="V362" s="32"/>
    </x:row>
    <x:row r="363">
      <x:c r="A363" s="87"/>
      <x:c r="B363" s="88"/>
      <x:c r="D363" s="32"/>
      <x:c r="G363" s="74"/>
      <x:c r="H363" s="74"/>
      <x:c r="I363" s="74"/>
      <x:c r="J363" s="74"/>
      <x:c r="K363" s="74"/>
      <x:c r="L363" s="74"/>
      <x:c r="M363" s="74"/>
      <x:c r="N363" s="91"/>
      <x:c r="O363" s="91"/>
      <x:c r="P363" s="91"/>
      <x:c r="Q363" s="91"/>
      <x:c r="R363" s="91"/>
      <x:c r="S363" s="85"/>
      <x:c r="U363" s="86"/>
      <x:c r="V363" s="32"/>
    </x:row>
    <x:row r="364">
      <x:c r="A364" s="87"/>
      <x:c r="B364" s="88"/>
      <x:c r="D364" s="32"/>
      <x:c r="G364" s="74"/>
      <x:c r="H364" s="74"/>
      <x:c r="I364" s="74"/>
      <x:c r="J364" s="74"/>
      <x:c r="K364" s="74"/>
      <x:c r="L364" s="74"/>
      <x:c r="M364" s="74"/>
      <x:c r="N364" s="91"/>
      <x:c r="O364" s="91"/>
      <x:c r="P364" s="91"/>
      <x:c r="Q364" s="91"/>
      <x:c r="R364" s="91"/>
      <x:c r="S364" s="85"/>
      <x:c r="U364" s="86"/>
      <x:c r="V364" s="32"/>
    </x:row>
    <x:row r="365">
      <x:c r="A365" s="87"/>
      <x:c r="B365" s="88"/>
      <x:c r="D365" s="32"/>
      <x:c r="G365" s="74"/>
      <x:c r="H365" s="74"/>
      <x:c r="I365" s="74"/>
      <x:c r="J365" s="74"/>
      <x:c r="K365" s="74"/>
      <x:c r="L365" s="74"/>
      <x:c r="M365" s="74"/>
      <x:c r="N365" s="91"/>
      <x:c r="O365" s="91"/>
      <x:c r="P365" s="91"/>
      <x:c r="Q365" s="91"/>
      <x:c r="R365" s="91"/>
      <x:c r="S365" s="85"/>
      <x:c r="U365" s="86"/>
      <x:c r="V365" s="32"/>
    </x:row>
    <x:row r="366">
      <x:c r="A366" s="87"/>
      <x:c r="B366" s="88"/>
      <x:c r="D366" s="32"/>
      <x:c r="G366" s="74"/>
      <x:c r="H366" s="74"/>
      <x:c r="I366" s="74"/>
      <x:c r="J366" s="74"/>
      <x:c r="K366" s="74"/>
      <x:c r="L366" s="74"/>
      <x:c r="M366" s="74"/>
      <x:c r="N366" s="91"/>
      <x:c r="O366" s="91"/>
      <x:c r="P366" s="91"/>
      <x:c r="Q366" s="91"/>
      <x:c r="R366" s="91"/>
      <x:c r="S366" s="85"/>
      <x:c r="U366" s="86"/>
      <x:c r="V366" s="32"/>
    </x:row>
    <x:row r="367">
      <x:c r="A367" s="87"/>
      <x:c r="B367" s="88"/>
      <x:c r="D367" s="32"/>
      <x:c r="G367" s="74"/>
      <x:c r="H367" s="74"/>
      <x:c r="I367" s="74"/>
      <x:c r="J367" s="74"/>
      <x:c r="K367" s="74"/>
      <x:c r="L367" s="74"/>
      <x:c r="M367" s="74"/>
      <x:c r="N367" s="91"/>
      <x:c r="O367" s="91"/>
      <x:c r="P367" s="91"/>
      <x:c r="Q367" s="91"/>
      <x:c r="R367" s="91"/>
      <x:c r="S367" s="85"/>
      <x:c r="U367" s="86"/>
      <x:c r="V367" s="32"/>
    </x:row>
    <x:row r="368">
      <x:c r="A368" s="87"/>
      <x:c r="B368" s="88"/>
      <x:c r="D368" s="32"/>
      <x:c r="G368" s="74"/>
      <x:c r="H368" s="74"/>
      <x:c r="I368" s="74"/>
      <x:c r="J368" s="74"/>
      <x:c r="K368" s="74"/>
      <x:c r="L368" s="74"/>
      <x:c r="M368" s="74"/>
      <x:c r="N368" s="91"/>
      <x:c r="O368" s="91"/>
      <x:c r="P368" s="91"/>
      <x:c r="Q368" s="91"/>
      <x:c r="R368" s="91"/>
      <x:c r="S368" s="85"/>
      <x:c r="U368" s="86"/>
      <x:c r="V368" s="32"/>
    </x:row>
    <x:row r="369">
      <x:c r="A369" s="87"/>
      <x:c r="B369" s="88"/>
      <x:c r="D369" s="32"/>
      <x:c r="G369" s="74"/>
      <x:c r="H369" s="74"/>
      <x:c r="I369" s="74"/>
      <x:c r="J369" s="74"/>
      <x:c r="K369" s="74"/>
      <x:c r="L369" s="74"/>
      <x:c r="M369" s="74"/>
      <x:c r="N369" s="91"/>
      <x:c r="O369" s="91"/>
      <x:c r="P369" s="91"/>
      <x:c r="Q369" s="91"/>
      <x:c r="R369" s="91"/>
      <x:c r="S369" s="85"/>
      <x:c r="U369" s="86"/>
      <x:c r="V369" s="32"/>
    </x:row>
    <x:row r="370">
      <x:c r="A370" s="87"/>
      <x:c r="B370" s="88"/>
      <x:c r="D370" s="32"/>
      <x:c r="G370" s="74"/>
      <x:c r="H370" s="74"/>
      <x:c r="I370" s="74"/>
      <x:c r="J370" s="74"/>
      <x:c r="K370" s="74"/>
      <x:c r="L370" s="74"/>
      <x:c r="M370" s="74"/>
      <x:c r="N370" s="91"/>
      <x:c r="O370" s="91"/>
      <x:c r="P370" s="91"/>
      <x:c r="Q370" s="91"/>
      <x:c r="R370" s="91"/>
      <x:c r="S370" s="85"/>
      <x:c r="U370" s="86"/>
      <x:c r="V370" s="32"/>
    </x:row>
    <x:row r="371">
      <x:c r="A371" s="87"/>
      <x:c r="B371" s="88"/>
      <x:c r="D371" s="32"/>
      <x:c r="G371" s="74"/>
      <x:c r="H371" s="74"/>
      <x:c r="I371" s="74"/>
      <x:c r="J371" s="74"/>
      <x:c r="K371" s="74"/>
      <x:c r="L371" s="74"/>
      <x:c r="M371" s="74"/>
      <x:c r="N371" s="91"/>
      <x:c r="O371" s="91"/>
      <x:c r="P371" s="91"/>
      <x:c r="Q371" s="91"/>
      <x:c r="R371" s="91"/>
      <x:c r="S371" s="85"/>
      <x:c r="U371" s="86"/>
      <x:c r="V371" s="32"/>
    </x:row>
    <x:row r="372">
      <x:c r="A372" s="87"/>
      <x:c r="B372" s="88"/>
      <x:c r="D372" s="32"/>
      <x:c r="G372" s="74"/>
      <x:c r="H372" s="74"/>
      <x:c r="I372" s="74"/>
      <x:c r="J372" s="74"/>
      <x:c r="K372" s="74"/>
      <x:c r="L372" s="74"/>
      <x:c r="M372" s="74"/>
      <x:c r="N372" s="91"/>
      <x:c r="O372" s="91"/>
      <x:c r="P372" s="91"/>
      <x:c r="Q372" s="91"/>
      <x:c r="R372" s="91"/>
      <x:c r="S372" s="85"/>
      <x:c r="U372" s="86"/>
      <x:c r="V372" s="32"/>
    </x:row>
    <x:row r="373">
      <x:c r="A373" s="87"/>
      <x:c r="B373" s="88"/>
      <x:c r="D373" s="32"/>
      <x:c r="G373" s="74"/>
      <x:c r="H373" s="74"/>
      <x:c r="I373" s="74"/>
      <x:c r="J373" s="74"/>
      <x:c r="K373" s="74"/>
      <x:c r="L373" s="74"/>
      <x:c r="M373" s="74"/>
      <x:c r="N373" s="91"/>
      <x:c r="O373" s="91"/>
      <x:c r="P373" s="91"/>
      <x:c r="Q373" s="91"/>
      <x:c r="R373" s="91"/>
      <x:c r="S373" s="85"/>
      <x:c r="U373" s="86"/>
      <x:c r="V373" s="32"/>
    </x:row>
    <x:row r="374">
      <x:c r="A374" s="87"/>
      <x:c r="B374" s="88"/>
      <x:c r="D374" s="32"/>
      <x:c r="G374" s="74"/>
      <x:c r="H374" s="74"/>
      <x:c r="I374" s="74"/>
      <x:c r="J374" s="74"/>
      <x:c r="K374" s="74"/>
      <x:c r="L374" s="74"/>
      <x:c r="M374" s="74"/>
      <x:c r="N374" s="91"/>
      <x:c r="O374" s="91"/>
      <x:c r="P374" s="91"/>
      <x:c r="Q374" s="91"/>
      <x:c r="R374" s="91"/>
      <x:c r="S374" s="85"/>
      <x:c r="U374" s="86"/>
      <x:c r="V374" s="32"/>
    </x:row>
    <x:row r="375">
      <x:c r="A375" s="87"/>
      <x:c r="B375" s="88"/>
      <x:c r="D375" s="32"/>
      <x:c r="G375" s="74"/>
      <x:c r="H375" s="74"/>
      <x:c r="I375" s="74"/>
      <x:c r="J375" s="74"/>
      <x:c r="K375" s="74"/>
      <x:c r="L375" s="74"/>
      <x:c r="M375" s="74"/>
      <x:c r="N375" s="91"/>
      <x:c r="O375" s="91"/>
      <x:c r="P375" s="91"/>
      <x:c r="Q375" s="91"/>
      <x:c r="R375" s="91"/>
      <x:c r="S375" s="85"/>
      <x:c r="U375" s="86"/>
      <x:c r="V375" s="32"/>
    </x:row>
    <x:row r="376">
      <x:c r="A376" s="87"/>
      <x:c r="B376" s="88"/>
      <x:c r="D376" s="32"/>
      <x:c r="G376" s="74"/>
      <x:c r="H376" s="74"/>
      <x:c r="I376" s="74"/>
      <x:c r="J376" s="74"/>
      <x:c r="K376" s="74"/>
      <x:c r="L376" s="74"/>
      <x:c r="M376" s="74"/>
      <x:c r="N376" s="91"/>
      <x:c r="O376" s="91"/>
      <x:c r="P376" s="91"/>
      <x:c r="Q376" s="91"/>
      <x:c r="R376" s="91"/>
      <x:c r="S376" s="85"/>
      <x:c r="U376" s="86"/>
      <x:c r="V376" s="32"/>
    </x:row>
    <x:row r="377">
      <x:c r="A377" s="87"/>
      <x:c r="B377" s="88"/>
      <x:c r="D377" s="32"/>
      <x:c r="G377" s="74"/>
      <x:c r="H377" s="74"/>
      <x:c r="I377" s="74"/>
      <x:c r="J377" s="74"/>
      <x:c r="K377" s="74"/>
      <x:c r="L377" s="74"/>
      <x:c r="M377" s="74"/>
      <x:c r="N377" s="91"/>
      <x:c r="O377" s="91"/>
      <x:c r="P377" s="91"/>
      <x:c r="Q377" s="91"/>
      <x:c r="R377" s="91"/>
      <x:c r="S377" s="85"/>
      <x:c r="U377" s="86"/>
      <x:c r="V377" s="32"/>
    </x:row>
    <x:row r="378">
      <x:c r="A378" s="87"/>
      <x:c r="B378" s="88"/>
      <x:c r="D378" s="32"/>
      <x:c r="G378" s="74"/>
      <x:c r="H378" s="74"/>
      <x:c r="I378" s="74"/>
      <x:c r="J378" s="74"/>
      <x:c r="K378" s="74"/>
      <x:c r="L378" s="74"/>
      <x:c r="M378" s="74"/>
      <x:c r="N378" s="91"/>
      <x:c r="O378" s="91"/>
      <x:c r="P378" s="91"/>
      <x:c r="Q378" s="91"/>
      <x:c r="R378" s="91"/>
      <x:c r="S378" s="85"/>
      <x:c r="U378" s="86"/>
      <x:c r="V378" s="32"/>
    </x:row>
    <x:row r="379">
      <x:c r="A379" s="87"/>
      <x:c r="B379" s="88"/>
      <x:c r="D379" s="32"/>
      <x:c r="G379" s="74"/>
      <x:c r="H379" s="74"/>
      <x:c r="I379" s="74"/>
      <x:c r="J379" s="74"/>
      <x:c r="K379" s="74"/>
      <x:c r="L379" s="74"/>
      <x:c r="M379" s="74"/>
      <x:c r="N379" s="91"/>
      <x:c r="O379" s="91"/>
      <x:c r="P379" s="91"/>
      <x:c r="Q379" s="91"/>
      <x:c r="R379" s="91"/>
      <x:c r="S379" s="85"/>
      <x:c r="U379" s="86"/>
      <x:c r="V379" s="32"/>
    </x:row>
    <x:row r="380">
      <x:c r="A380" s="87"/>
      <x:c r="B380" s="88"/>
      <x:c r="D380" s="32"/>
      <x:c r="G380" s="74"/>
      <x:c r="H380" s="74"/>
      <x:c r="I380" s="74"/>
      <x:c r="J380" s="74"/>
      <x:c r="K380" s="74"/>
      <x:c r="L380" s="74"/>
      <x:c r="M380" s="74"/>
      <x:c r="N380" s="91"/>
      <x:c r="O380" s="91"/>
      <x:c r="P380" s="91"/>
      <x:c r="Q380" s="91"/>
      <x:c r="R380" s="91"/>
      <x:c r="S380" s="85"/>
      <x:c r="U380" s="86"/>
      <x:c r="V380" s="32"/>
    </x:row>
    <x:row r="381">
      <x:c r="A381" s="87"/>
      <x:c r="B381" s="88"/>
      <x:c r="D381" s="32"/>
      <x:c r="G381" s="74"/>
      <x:c r="H381" s="74"/>
      <x:c r="I381" s="74"/>
      <x:c r="J381" s="74"/>
      <x:c r="K381" s="74"/>
      <x:c r="L381" s="74"/>
      <x:c r="M381" s="74"/>
      <x:c r="N381" s="91"/>
      <x:c r="O381" s="91"/>
      <x:c r="P381" s="91"/>
      <x:c r="Q381" s="91"/>
      <x:c r="R381" s="91"/>
      <x:c r="S381" s="85"/>
      <x:c r="U381" s="86"/>
      <x:c r="V381" s="32"/>
    </x:row>
    <x:row r="382">
      <x:c r="A382" s="87"/>
      <x:c r="B382" s="88"/>
      <x:c r="D382" s="32"/>
      <x:c r="G382" s="74"/>
      <x:c r="H382" s="74"/>
      <x:c r="I382" s="74"/>
      <x:c r="J382" s="74"/>
      <x:c r="K382" s="74"/>
      <x:c r="L382" s="74"/>
      <x:c r="M382" s="74"/>
      <x:c r="N382" s="91"/>
      <x:c r="O382" s="91"/>
      <x:c r="P382" s="91"/>
      <x:c r="Q382" s="91"/>
      <x:c r="R382" s="91"/>
      <x:c r="S382" s="85"/>
      <x:c r="U382" s="86"/>
      <x:c r="V382" s="32"/>
    </x:row>
    <x:row r="383">
      <x:c r="A383" s="87"/>
      <x:c r="B383" s="88"/>
      <x:c r="D383" s="32"/>
      <x:c r="G383" s="74"/>
      <x:c r="H383" s="74"/>
      <x:c r="I383" s="74"/>
      <x:c r="J383" s="74"/>
      <x:c r="K383" s="74"/>
      <x:c r="L383" s="74"/>
      <x:c r="M383" s="74"/>
      <x:c r="N383" s="91"/>
      <x:c r="O383" s="91"/>
      <x:c r="P383" s="91"/>
      <x:c r="Q383" s="91"/>
      <x:c r="R383" s="91"/>
      <x:c r="S383" s="85"/>
      <x:c r="U383" s="86"/>
      <x:c r="V383" s="32"/>
    </x:row>
    <x:row r="384">
      <x:c r="A384" s="87"/>
      <x:c r="B384" s="88"/>
      <x:c r="D384" s="32"/>
      <x:c r="G384" s="74"/>
      <x:c r="H384" s="74"/>
      <x:c r="I384" s="74"/>
      <x:c r="J384" s="74"/>
      <x:c r="K384" s="74"/>
      <x:c r="L384" s="74"/>
      <x:c r="M384" s="74"/>
      <x:c r="N384" s="91"/>
      <x:c r="O384" s="91"/>
      <x:c r="P384" s="91"/>
      <x:c r="Q384" s="91"/>
      <x:c r="R384" s="91"/>
      <x:c r="S384" s="85"/>
      <x:c r="U384" s="86"/>
      <x:c r="V384" s="32"/>
    </x:row>
    <x:row r="385">
      <x:c r="A385" s="87"/>
      <x:c r="B385" s="88"/>
      <x:c r="D385" s="32"/>
      <x:c r="G385" s="74"/>
      <x:c r="H385" s="74"/>
      <x:c r="I385" s="74"/>
      <x:c r="J385" s="74"/>
      <x:c r="K385" s="74"/>
      <x:c r="L385" s="74"/>
      <x:c r="M385" s="74"/>
      <x:c r="N385" s="91"/>
      <x:c r="O385" s="91"/>
      <x:c r="P385" s="91"/>
      <x:c r="Q385" s="91"/>
      <x:c r="R385" s="91"/>
      <x:c r="S385" s="85"/>
      <x:c r="U385" s="86"/>
      <x:c r="V385" s="32"/>
    </x:row>
    <x:row r="386">
      <x:c r="A386" s="87"/>
      <x:c r="B386" s="88"/>
      <x:c r="D386" s="32"/>
      <x:c r="G386" s="74"/>
      <x:c r="H386" s="74"/>
      <x:c r="I386" s="74"/>
      <x:c r="J386" s="74"/>
      <x:c r="K386" s="74"/>
      <x:c r="L386" s="74"/>
      <x:c r="M386" s="74"/>
      <x:c r="N386" s="91"/>
      <x:c r="O386" s="91"/>
      <x:c r="P386" s="91"/>
      <x:c r="Q386" s="91"/>
      <x:c r="R386" s="91"/>
      <x:c r="S386" s="85"/>
      <x:c r="U386" s="86"/>
      <x:c r="V386" s="32"/>
    </x:row>
    <x:row r="387">
      <x:c r="A387" s="87"/>
      <x:c r="B387" s="88"/>
      <x:c r="D387" s="32"/>
      <x:c r="G387" s="74"/>
      <x:c r="H387" s="74"/>
      <x:c r="I387" s="74"/>
      <x:c r="J387" s="74"/>
      <x:c r="K387" s="74"/>
      <x:c r="L387" s="74"/>
      <x:c r="M387" s="74"/>
      <x:c r="N387" s="91"/>
      <x:c r="O387" s="91"/>
      <x:c r="P387" s="91"/>
      <x:c r="Q387" s="91"/>
      <x:c r="R387" s="91"/>
      <x:c r="S387" s="85"/>
      <x:c r="U387" s="86"/>
      <x:c r="V387" s="32"/>
    </x:row>
    <x:row r="388">
      <x:c r="A388" s="87"/>
      <x:c r="B388" s="88"/>
      <x:c r="D388" s="32"/>
      <x:c r="G388" s="74"/>
      <x:c r="H388" s="74"/>
      <x:c r="I388" s="74"/>
      <x:c r="J388" s="74"/>
      <x:c r="K388" s="74"/>
      <x:c r="L388" s="74"/>
      <x:c r="M388" s="74"/>
      <x:c r="N388" s="91"/>
      <x:c r="O388" s="91"/>
      <x:c r="P388" s="91"/>
      <x:c r="Q388" s="91"/>
      <x:c r="R388" s="91"/>
      <x:c r="S388" s="85"/>
      <x:c r="U388" s="86"/>
      <x:c r="V388" s="32"/>
    </x:row>
    <x:row r="389">
      <x:c r="A389" s="87"/>
      <x:c r="B389" s="88"/>
      <x:c r="D389" s="32"/>
      <x:c r="G389" s="74"/>
      <x:c r="H389" s="74"/>
      <x:c r="I389" s="74"/>
      <x:c r="J389" s="74"/>
      <x:c r="K389" s="74"/>
      <x:c r="L389" s="74"/>
      <x:c r="M389" s="74"/>
      <x:c r="N389" s="91"/>
      <x:c r="O389" s="91"/>
      <x:c r="P389" s="91"/>
      <x:c r="Q389" s="91"/>
      <x:c r="R389" s="91"/>
      <x:c r="S389" s="85"/>
      <x:c r="U389" s="86"/>
      <x:c r="V389" s="32"/>
    </x:row>
    <x:row r="390">
      <x:c r="A390" s="87"/>
      <x:c r="B390" s="88"/>
      <x:c r="D390" s="32"/>
      <x:c r="G390" s="74"/>
      <x:c r="H390" s="74"/>
      <x:c r="I390" s="74"/>
      <x:c r="J390" s="74"/>
      <x:c r="K390" s="74"/>
      <x:c r="L390" s="74"/>
      <x:c r="M390" s="74"/>
      <x:c r="N390" s="91"/>
      <x:c r="O390" s="91"/>
      <x:c r="P390" s="91"/>
      <x:c r="Q390" s="91"/>
      <x:c r="R390" s="91"/>
      <x:c r="S390" s="85"/>
      <x:c r="U390" s="86"/>
      <x:c r="V390" s="32"/>
    </x:row>
    <x:row r="391">
      <x:c r="A391" s="87"/>
      <x:c r="B391" s="88"/>
      <x:c r="D391" s="32"/>
      <x:c r="G391" s="74"/>
      <x:c r="H391" s="74"/>
      <x:c r="I391" s="74"/>
      <x:c r="J391" s="74"/>
      <x:c r="K391" s="74"/>
      <x:c r="L391" s="74"/>
      <x:c r="M391" s="74"/>
      <x:c r="N391" s="91"/>
      <x:c r="O391" s="91"/>
      <x:c r="P391" s="91"/>
      <x:c r="Q391" s="91"/>
      <x:c r="R391" s="91"/>
      <x:c r="S391" s="85"/>
      <x:c r="U391" s="86"/>
      <x:c r="V391" s="32"/>
    </x:row>
    <x:row r="392">
      <x:c r="A392" s="87"/>
      <x:c r="B392" s="88"/>
      <x:c r="D392" s="32"/>
      <x:c r="G392" s="74"/>
      <x:c r="H392" s="74"/>
      <x:c r="I392" s="74"/>
      <x:c r="J392" s="74"/>
      <x:c r="K392" s="74"/>
      <x:c r="L392" s="74"/>
      <x:c r="M392" s="74"/>
      <x:c r="N392" s="91"/>
      <x:c r="O392" s="91"/>
      <x:c r="P392" s="91"/>
      <x:c r="Q392" s="91"/>
      <x:c r="R392" s="91"/>
      <x:c r="S392" s="85"/>
      <x:c r="U392" s="86"/>
      <x:c r="V392" s="32"/>
    </x:row>
    <x:row r="393">
      <x:c r="A393" s="87"/>
      <x:c r="B393" s="88"/>
      <x:c r="D393" s="32"/>
      <x:c r="G393" s="74"/>
      <x:c r="H393" s="74"/>
      <x:c r="I393" s="74"/>
      <x:c r="J393" s="74"/>
      <x:c r="K393" s="74"/>
      <x:c r="L393" s="74"/>
      <x:c r="M393" s="74"/>
      <x:c r="N393" s="91"/>
      <x:c r="O393" s="91"/>
      <x:c r="P393" s="91"/>
      <x:c r="Q393" s="91"/>
      <x:c r="R393" s="91"/>
      <x:c r="S393" s="85"/>
      <x:c r="U393" s="86"/>
      <x:c r="V393" s="32"/>
    </x:row>
    <x:row r="394">
      <x:c r="A394" s="87"/>
      <x:c r="B394" s="88"/>
      <x:c r="D394" s="32"/>
      <x:c r="G394" s="74"/>
      <x:c r="H394" s="74"/>
      <x:c r="I394" s="74"/>
      <x:c r="J394" s="74"/>
      <x:c r="K394" s="74"/>
      <x:c r="L394" s="74"/>
      <x:c r="M394" s="74"/>
      <x:c r="N394" s="91"/>
      <x:c r="O394" s="91"/>
      <x:c r="P394" s="91"/>
      <x:c r="Q394" s="91"/>
      <x:c r="R394" s="91"/>
      <x:c r="S394" s="85"/>
      <x:c r="U394" s="86"/>
      <x:c r="V394" s="32"/>
    </x:row>
    <x:row r="395">
      <x:c r="A395" s="87"/>
      <x:c r="B395" s="88"/>
      <x:c r="D395" s="32"/>
      <x:c r="G395" s="74"/>
      <x:c r="H395" s="74"/>
      <x:c r="I395" s="74"/>
      <x:c r="J395" s="74"/>
      <x:c r="K395" s="74"/>
      <x:c r="L395" s="74"/>
      <x:c r="M395" s="74"/>
      <x:c r="N395" s="91"/>
      <x:c r="O395" s="91"/>
      <x:c r="P395" s="91"/>
      <x:c r="Q395" s="91"/>
      <x:c r="R395" s="91"/>
      <x:c r="S395" s="85"/>
      <x:c r="U395" s="86"/>
      <x:c r="V395" s="32"/>
    </x:row>
    <x:row r="396">
      <x:c r="A396" s="87"/>
      <x:c r="B396" s="88"/>
      <x:c r="D396" s="32"/>
      <x:c r="G396" s="74"/>
      <x:c r="H396" s="74"/>
      <x:c r="I396" s="74"/>
      <x:c r="J396" s="74"/>
      <x:c r="K396" s="74"/>
      <x:c r="L396" s="74"/>
      <x:c r="M396" s="74"/>
      <x:c r="N396" s="91"/>
      <x:c r="O396" s="91"/>
      <x:c r="P396" s="91"/>
      <x:c r="Q396" s="91"/>
      <x:c r="R396" s="91"/>
      <x:c r="S396" s="85"/>
      <x:c r="U396" s="86"/>
      <x:c r="V396" s="32"/>
    </x:row>
    <x:row r="397">
      <x:c r="A397" s="87"/>
      <x:c r="B397" s="88"/>
      <x:c r="D397" s="32"/>
      <x:c r="G397" s="74"/>
      <x:c r="H397" s="74"/>
      <x:c r="I397" s="74"/>
      <x:c r="J397" s="74"/>
      <x:c r="K397" s="74"/>
      <x:c r="L397" s="74"/>
      <x:c r="M397" s="74"/>
      <x:c r="N397" s="91"/>
      <x:c r="O397" s="91"/>
      <x:c r="P397" s="91"/>
      <x:c r="Q397" s="91"/>
      <x:c r="R397" s="91"/>
      <x:c r="S397" s="85"/>
      <x:c r="U397" s="86"/>
      <x:c r="V397" s="32"/>
    </x:row>
    <x:row r="398">
      <x:c r="A398" s="87"/>
      <x:c r="B398" s="88"/>
      <x:c r="D398" s="32"/>
      <x:c r="G398" s="74"/>
      <x:c r="H398" s="74"/>
      <x:c r="I398" s="74"/>
      <x:c r="J398" s="74"/>
      <x:c r="K398" s="74"/>
      <x:c r="L398" s="74"/>
      <x:c r="M398" s="74"/>
      <x:c r="N398" s="91"/>
      <x:c r="O398" s="91"/>
      <x:c r="P398" s="91"/>
      <x:c r="Q398" s="91"/>
      <x:c r="R398" s="91"/>
      <x:c r="S398" s="85"/>
      <x:c r="U398" s="86"/>
      <x:c r="V398" s="32"/>
    </x:row>
    <x:row r="399">
      <x:c r="A399" s="87"/>
      <x:c r="B399" s="88"/>
      <x:c r="D399" s="32"/>
      <x:c r="G399" s="74"/>
      <x:c r="H399" s="74"/>
      <x:c r="I399" s="74"/>
      <x:c r="J399" s="74"/>
      <x:c r="K399" s="74"/>
      <x:c r="L399" s="74"/>
      <x:c r="M399" s="74"/>
      <x:c r="N399" s="91"/>
      <x:c r="O399" s="91"/>
      <x:c r="P399" s="91"/>
      <x:c r="Q399" s="91"/>
      <x:c r="R399" s="91"/>
      <x:c r="S399" s="85"/>
      <x:c r="U399" s="86"/>
      <x:c r="V399" s="32"/>
    </x:row>
    <x:row r="400">
      <x:c r="A400" s="87"/>
      <x:c r="B400" s="88"/>
      <x:c r="D400" s="32"/>
      <x:c r="G400" s="74"/>
      <x:c r="H400" s="74"/>
      <x:c r="I400" s="74"/>
      <x:c r="J400" s="74"/>
      <x:c r="K400" s="74"/>
      <x:c r="L400" s="74"/>
      <x:c r="M400" s="74"/>
      <x:c r="N400" s="91"/>
      <x:c r="O400" s="91"/>
      <x:c r="P400" s="91"/>
      <x:c r="Q400" s="91"/>
      <x:c r="R400" s="91"/>
      <x:c r="S400" s="85"/>
      <x:c r="U400" s="86"/>
      <x:c r="V400" s="32"/>
    </x:row>
    <x:row r="401">
      <x:c r="A401" s="87"/>
      <x:c r="B401" s="88"/>
      <x:c r="D401" s="32"/>
      <x:c r="G401" s="74"/>
      <x:c r="H401" s="74"/>
      <x:c r="I401" s="74"/>
      <x:c r="J401" s="74"/>
      <x:c r="K401" s="74"/>
      <x:c r="L401" s="74"/>
      <x:c r="M401" s="74"/>
      <x:c r="N401" s="91"/>
      <x:c r="O401" s="91"/>
      <x:c r="P401" s="91"/>
      <x:c r="Q401" s="91"/>
      <x:c r="R401" s="91"/>
      <x:c r="S401" s="85"/>
      <x:c r="U401" s="86"/>
      <x:c r="V401" s="32"/>
    </x:row>
    <x:row r="402">
      <x:c r="A402" s="87"/>
      <x:c r="B402" s="88"/>
      <x:c r="D402" s="32"/>
      <x:c r="G402" s="74"/>
      <x:c r="H402" s="74"/>
      <x:c r="I402" s="74"/>
      <x:c r="J402" s="74"/>
      <x:c r="K402" s="74"/>
      <x:c r="L402" s="74"/>
      <x:c r="M402" s="74"/>
      <x:c r="N402" s="91"/>
      <x:c r="O402" s="91"/>
      <x:c r="P402" s="91"/>
      <x:c r="Q402" s="91"/>
      <x:c r="R402" s="91"/>
      <x:c r="S402" s="85"/>
      <x:c r="U402" s="86"/>
      <x:c r="V402" s="32"/>
    </x:row>
    <x:row r="403">
      <x:c r="A403" s="87"/>
      <x:c r="B403" s="88"/>
      <x:c r="D403" s="32"/>
      <x:c r="G403" s="74"/>
      <x:c r="H403" s="74"/>
      <x:c r="I403" s="74"/>
      <x:c r="J403" s="74"/>
      <x:c r="K403" s="74"/>
      <x:c r="L403" s="74"/>
      <x:c r="M403" s="74"/>
      <x:c r="N403" s="91"/>
      <x:c r="O403" s="91"/>
      <x:c r="P403" s="91"/>
      <x:c r="Q403" s="91"/>
      <x:c r="R403" s="91"/>
      <x:c r="S403" s="85"/>
      <x:c r="U403" s="86"/>
      <x:c r="V403" s="32"/>
    </x:row>
    <x:row r="404">
      <x:c r="A404" s="87"/>
      <x:c r="B404" s="88"/>
      <x:c r="D404" s="32"/>
      <x:c r="G404" s="74"/>
      <x:c r="H404" s="74"/>
      <x:c r="I404" s="74"/>
      <x:c r="J404" s="74"/>
      <x:c r="K404" s="74"/>
      <x:c r="L404" s="74"/>
      <x:c r="M404" s="74"/>
      <x:c r="N404" s="91"/>
      <x:c r="O404" s="91"/>
      <x:c r="P404" s="91"/>
      <x:c r="Q404" s="91"/>
      <x:c r="R404" s="91"/>
      <x:c r="S404" s="85"/>
      <x:c r="U404" s="86"/>
      <x:c r="V404" s="32"/>
    </x:row>
    <x:row r="405">
      <x:c r="A405" s="87"/>
      <x:c r="B405" s="88"/>
      <x:c r="D405" s="32"/>
      <x:c r="G405" s="74"/>
      <x:c r="H405" s="74"/>
      <x:c r="I405" s="74"/>
      <x:c r="J405" s="74"/>
      <x:c r="K405" s="74"/>
      <x:c r="L405" s="74"/>
      <x:c r="M405" s="74"/>
      <x:c r="N405" s="91"/>
      <x:c r="O405" s="91"/>
      <x:c r="P405" s="91"/>
      <x:c r="Q405" s="91"/>
      <x:c r="R405" s="91"/>
      <x:c r="S405" s="85"/>
      <x:c r="U405" s="86"/>
      <x:c r="V405" s="32"/>
    </x:row>
    <x:row r="406">
      <x:c r="A406" s="87"/>
      <x:c r="B406" s="88"/>
      <x:c r="D406" s="32"/>
      <x:c r="G406" s="74"/>
      <x:c r="H406" s="74"/>
      <x:c r="I406" s="74"/>
      <x:c r="J406" s="74"/>
      <x:c r="K406" s="74"/>
      <x:c r="L406" s="74"/>
      <x:c r="M406" s="74"/>
      <x:c r="N406" s="91"/>
      <x:c r="O406" s="91"/>
      <x:c r="P406" s="91"/>
      <x:c r="Q406" s="91"/>
      <x:c r="R406" s="91"/>
      <x:c r="S406" s="85"/>
      <x:c r="U406" s="86"/>
      <x:c r="V406" s="32"/>
    </x:row>
    <x:row r="407">
      <x:c r="A407" s="87"/>
      <x:c r="B407" s="88"/>
      <x:c r="D407" s="32"/>
      <x:c r="G407" s="74"/>
      <x:c r="H407" s="74"/>
      <x:c r="I407" s="74"/>
      <x:c r="J407" s="74"/>
      <x:c r="K407" s="74"/>
      <x:c r="L407" s="74"/>
      <x:c r="M407" s="74"/>
      <x:c r="N407" s="91"/>
      <x:c r="O407" s="91"/>
      <x:c r="P407" s="91"/>
      <x:c r="Q407" s="91"/>
      <x:c r="R407" s="91"/>
      <x:c r="S407" s="85"/>
      <x:c r="U407" s="86"/>
      <x:c r="V407" s="32"/>
    </x:row>
    <x:row r="408">
      <x:c r="A408" s="87"/>
      <x:c r="B408" s="88"/>
      <x:c r="D408" s="32"/>
      <x:c r="G408" s="74"/>
      <x:c r="H408" s="74"/>
      <x:c r="I408" s="74"/>
      <x:c r="J408" s="74"/>
      <x:c r="K408" s="74"/>
      <x:c r="L408" s="74"/>
      <x:c r="M408" s="74"/>
      <x:c r="N408" s="91"/>
      <x:c r="O408" s="91"/>
      <x:c r="P408" s="91"/>
      <x:c r="Q408" s="91"/>
      <x:c r="R408" s="91"/>
      <x:c r="S408" s="85"/>
      <x:c r="U408" s="86"/>
      <x:c r="V408" s="32"/>
    </x:row>
    <x:row r="409">
      <x:c r="A409" s="87"/>
      <x:c r="B409" s="88"/>
      <x:c r="D409" s="32"/>
      <x:c r="G409" s="74"/>
      <x:c r="H409" s="74"/>
      <x:c r="I409" s="74"/>
      <x:c r="J409" s="74"/>
      <x:c r="K409" s="74"/>
      <x:c r="L409" s="74"/>
      <x:c r="M409" s="74"/>
      <x:c r="N409" s="91"/>
      <x:c r="O409" s="91"/>
      <x:c r="P409" s="91"/>
      <x:c r="Q409" s="91"/>
      <x:c r="R409" s="91"/>
      <x:c r="S409" s="85"/>
      <x:c r="U409" s="86"/>
      <x:c r="V409" s="32"/>
    </x:row>
    <x:row r="410">
      <x:c r="A410" s="87"/>
      <x:c r="B410" s="88"/>
      <x:c r="D410" s="32"/>
      <x:c r="G410" s="74"/>
      <x:c r="H410" s="74"/>
      <x:c r="I410" s="74"/>
      <x:c r="J410" s="74"/>
      <x:c r="K410" s="74"/>
      <x:c r="L410" s="74"/>
      <x:c r="M410" s="74"/>
      <x:c r="N410" s="91"/>
      <x:c r="O410" s="91"/>
      <x:c r="P410" s="91"/>
      <x:c r="Q410" s="91"/>
      <x:c r="R410" s="91"/>
      <x:c r="S410" s="85"/>
      <x:c r="U410" s="86"/>
      <x:c r="V410" s="32"/>
    </x:row>
    <x:row r="411">
      <x:c r="A411" s="87"/>
      <x:c r="B411" s="88"/>
      <x:c r="D411" s="32"/>
      <x:c r="G411" s="74"/>
      <x:c r="H411" s="74"/>
      <x:c r="I411" s="74"/>
      <x:c r="J411" s="74"/>
      <x:c r="K411" s="74"/>
      <x:c r="L411" s="74"/>
      <x:c r="M411" s="74"/>
      <x:c r="N411" s="91"/>
      <x:c r="O411" s="91"/>
      <x:c r="P411" s="91"/>
      <x:c r="Q411" s="91"/>
      <x:c r="R411" s="91"/>
      <x:c r="S411" s="85"/>
      <x:c r="U411" s="86"/>
      <x:c r="V411" s="32"/>
    </x:row>
    <x:row r="412">
      <x:c r="A412" s="87"/>
      <x:c r="B412" s="88"/>
      <x:c r="D412" s="32"/>
      <x:c r="G412" s="74"/>
      <x:c r="H412" s="74"/>
      <x:c r="I412" s="74"/>
      <x:c r="J412" s="74"/>
      <x:c r="K412" s="74"/>
      <x:c r="L412" s="74"/>
      <x:c r="M412" s="74"/>
      <x:c r="N412" s="91"/>
      <x:c r="O412" s="91"/>
      <x:c r="P412" s="91"/>
      <x:c r="Q412" s="91"/>
      <x:c r="R412" s="91"/>
      <x:c r="S412" s="85"/>
      <x:c r="U412" s="86"/>
      <x:c r="V412" s="32"/>
    </x:row>
    <x:row r="413">
      <x:c r="A413" s="87"/>
      <x:c r="B413" s="88"/>
      <x:c r="D413" s="32"/>
      <x:c r="G413" s="74"/>
      <x:c r="H413" s="74"/>
      <x:c r="I413" s="74"/>
      <x:c r="J413" s="74"/>
      <x:c r="K413" s="74"/>
      <x:c r="L413" s="74"/>
      <x:c r="M413" s="74"/>
      <x:c r="N413" s="91"/>
      <x:c r="O413" s="91"/>
      <x:c r="P413" s="91"/>
      <x:c r="Q413" s="91"/>
      <x:c r="R413" s="91"/>
      <x:c r="S413" s="85"/>
      <x:c r="U413" s="86"/>
      <x:c r="V413" s="32"/>
    </x:row>
    <x:row r="414">
      <x:c r="A414" s="87"/>
      <x:c r="B414" s="88"/>
      <x:c r="D414" s="32"/>
      <x:c r="G414" s="74"/>
      <x:c r="H414" s="74"/>
      <x:c r="I414" s="74"/>
      <x:c r="J414" s="74"/>
      <x:c r="K414" s="74"/>
      <x:c r="L414" s="74"/>
      <x:c r="M414" s="74"/>
      <x:c r="N414" s="91"/>
      <x:c r="O414" s="91"/>
      <x:c r="P414" s="91"/>
      <x:c r="Q414" s="91"/>
      <x:c r="R414" s="91"/>
      <x:c r="S414" s="85"/>
      <x:c r="U414" s="86"/>
      <x:c r="V414" s="32"/>
    </x:row>
    <x:row r="415">
      <x:c r="A415" s="87"/>
      <x:c r="B415" s="88"/>
      <x:c r="D415" s="32"/>
      <x:c r="G415" s="74"/>
      <x:c r="H415" s="74"/>
      <x:c r="I415" s="74"/>
      <x:c r="J415" s="74"/>
      <x:c r="K415" s="74"/>
      <x:c r="L415" s="74"/>
      <x:c r="M415" s="74"/>
      <x:c r="N415" s="91"/>
      <x:c r="O415" s="91"/>
      <x:c r="P415" s="91"/>
      <x:c r="Q415" s="91"/>
      <x:c r="R415" s="91"/>
      <x:c r="S415" s="85"/>
      <x:c r="U415" s="86"/>
      <x:c r="V415" s="32"/>
    </x:row>
    <x:row r="416">
      <x:c r="A416" s="87"/>
      <x:c r="B416" s="88"/>
      <x:c r="D416" s="32"/>
      <x:c r="G416" s="74"/>
      <x:c r="H416" s="74"/>
      <x:c r="I416" s="74"/>
      <x:c r="J416" s="74"/>
      <x:c r="K416" s="74"/>
      <x:c r="L416" s="74"/>
      <x:c r="M416" s="74"/>
      <x:c r="N416" s="91"/>
      <x:c r="O416" s="91"/>
      <x:c r="P416" s="91"/>
      <x:c r="Q416" s="91"/>
      <x:c r="R416" s="91"/>
      <x:c r="S416" s="85"/>
      <x:c r="U416" s="86"/>
      <x:c r="V416" s="32"/>
    </x:row>
    <x:row r="417">
      <x:c r="A417" s="87"/>
      <x:c r="B417" s="88"/>
      <x:c r="D417" s="32"/>
      <x:c r="G417" s="74"/>
      <x:c r="H417" s="74"/>
      <x:c r="I417" s="74"/>
      <x:c r="J417" s="74"/>
      <x:c r="K417" s="74"/>
      <x:c r="L417" s="74"/>
      <x:c r="M417" s="74"/>
      <x:c r="N417" s="91"/>
      <x:c r="O417" s="91"/>
      <x:c r="P417" s="91"/>
      <x:c r="Q417" s="91"/>
      <x:c r="R417" s="91"/>
      <x:c r="S417" s="85"/>
      <x:c r="U417" s="86"/>
      <x:c r="V417" s="32"/>
    </x:row>
    <x:row r="418">
      <x:c r="A418" s="87"/>
      <x:c r="B418" s="88"/>
      <x:c r="D418" s="32"/>
      <x:c r="G418" s="74"/>
      <x:c r="H418" s="74"/>
      <x:c r="I418" s="74"/>
      <x:c r="J418" s="74"/>
      <x:c r="K418" s="74"/>
      <x:c r="L418" s="74"/>
      <x:c r="M418" s="74"/>
      <x:c r="N418" s="91"/>
      <x:c r="O418" s="91"/>
      <x:c r="P418" s="91"/>
      <x:c r="Q418" s="91"/>
      <x:c r="R418" s="91"/>
      <x:c r="S418" s="85"/>
      <x:c r="U418" s="86"/>
      <x:c r="V418" s="32"/>
    </x:row>
    <x:row r="419">
      <x:c r="A419" s="87"/>
      <x:c r="B419" s="88"/>
      <x:c r="D419" s="32"/>
      <x:c r="G419" s="74"/>
      <x:c r="H419" s="74"/>
      <x:c r="I419" s="74"/>
      <x:c r="J419" s="74"/>
      <x:c r="K419" s="74"/>
      <x:c r="L419" s="74"/>
      <x:c r="M419" s="74"/>
      <x:c r="N419" s="91"/>
      <x:c r="O419" s="91"/>
      <x:c r="P419" s="91"/>
      <x:c r="Q419" s="91"/>
      <x:c r="R419" s="91"/>
      <x:c r="S419" s="85"/>
      <x:c r="U419" s="86"/>
      <x:c r="V419" s="32"/>
    </x:row>
    <x:row r="420">
      <x:c r="A420" s="87"/>
      <x:c r="B420" s="88"/>
      <x:c r="D420" s="32"/>
      <x:c r="G420" s="74"/>
      <x:c r="H420" s="74"/>
      <x:c r="I420" s="74"/>
      <x:c r="J420" s="74"/>
      <x:c r="K420" s="74"/>
      <x:c r="L420" s="74"/>
      <x:c r="M420" s="74"/>
      <x:c r="N420" s="91"/>
      <x:c r="O420" s="91"/>
      <x:c r="P420" s="91"/>
      <x:c r="Q420" s="91"/>
      <x:c r="R420" s="91"/>
      <x:c r="S420" s="85"/>
      <x:c r="U420" s="86"/>
      <x:c r="V420" s="32"/>
    </x:row>
    <x:row r="421">
      <x:c r="A421" s="87"/>
      <x:c r="B421" s="88"/>
      <x:c r="D421" s="32"/>
      <x:c r="G421" s="74"/>
      <x:c r="H421" s="74"/>
      <x:c r="I421" s="74"/>
      <x:c r="J421" s="74"/>
      <x:c r="K421" s="74"/>
      <x:c r="L421" s="74"/>
      <x:c r="M421" s="74"/>
      <x:c r="N421" s="91"/>
      <x:c r="O421" s="91"/>
      <x:c r="P421" s="91"/>
      <x:c r="Q421" s="91"/>
      <x:c r="R421" s="91"/>
      <x:c r="S421" s="85"/>
      <x:c r="U421" s="86"/>
      <x:c r="V421" s="32"/>
    </x:row>
    <x:row r="422">
      <x:c r="A422" s="87"/>
      <x:c r="B422" s="88"/>
      <x:c r="D422" s="32"/>
      <x:c r="G422" s="74"/>
      <x:c r="H422" s="74"/>
      <x:c r="I422" s="74"/>
      <x:c r="J422" s="74"/>
      <x:c r="K422" s="74"/>
      <x:c r="L422" s="74"/>
      <x:c r="M422" s="74"/>
      <x:c r="N422" s="91"/>
      <x:c r="O422" s="91"/>
      <x:c r="P422" s="91"/>
      <x:c r="Q422" s="91"/>
      <x:c r="R422" s="91"/>
      <x:c r="S422" s="85"/>
      <x:c r="U422" s="86"/>
      <x:c r="V422" s="32"/>
    </x:row>
    <x:row r="423">
      <x:c r="A423" s="87"/>
      <x:c r="B423" s="88"/>
      <x:c r="D423" s="32"/>
      <x:c r="G423" s="74"/>
      <x:c r="H423" s="74"/>
      <x:c r="I423" s="74"/>
      <x:c r="J423" s="74"/>
      <x:c r="K423" s="74"/>
      <x:c r="L423" s="74"/>
      <x:c r="M423" s="74"/>
      <x:c r="N423" s="91"/>
      <x:c r="O423" s="91"/>
      <x:c r="P423" s="91"/>
      <x:c r="Q423" s="91"/>
      <x:c r="R423" s="91"/>
      <x:c r="S423" s="85"/>
      <x:c r="U423" s="86"/>
      <x:c r="V423" s="32"/>
    </x:row>
    <x:row r="424">
      <x:c r="A424" s="87"/>
      <x:c r="B424" s="88"/>
      <x:c r="D424" s="32"/>
      <x:c r="G424" s="74"/>
      <x:c r="H424" s="74"/>
      <x:c r="I424" s="74"/>
      <x:c r="J424" s="74"/>
      <x:c r="K424" s="74"/>
      <x:c r="L424" s="74"/>
      <x:c r="M424" s="74"/>
      <x:c r="N424" s="91"/>
      <x:c r="O424" s="91"/>
      <x:c r="P424" s="91"/>
      <x:c r="Q424" s="91"/>
      <x:c r="R424" s="91"/>
      <x:c r="S424" s="85"/>
      <x:c r="U424" s="86"/>
      <x:c r="V424" s="32"/>
    </x:row>
    <x:row r="425">
      <x:c r="A425" s="87"/>
      <x:c r="B425" s="88"/>
      <x:c r="D425" s="32"/>
      <x:c r="G425" s="74"/>
      <x:c r="H425" s="74"/>
      <x:c r="I425" s="74"/>
      <x:c r="J425" s="74"/>
      <x:c r="K425" s="74"/>
      <x:c r="L425" s="74"/>
      <x:c r="M425" s="74"/>
      <x:c r="N425" s="91"/>
      <x:c r="O425" s="91"/>
      <x:c r="P425" s="91"/>
      <x:c r="Q425" s="91"/>
      <x:c r="R425" s="91"/>
      <x:c r="S425" s="85"/>
      <x:c r="U425" s="86"/>
      <x:c r="V425" s="32"/>
    </x:row>
    <x:row r="426">
      <x:c r="A426" s="87"/>
      <x:c r="B426" s="88"/>
      <x:c r="D426" s="32"/>
      <x:c r="G426" s="74"/>
      <x:c r="H426" s="74"/>
      <x:c r="I426" s="74"/>
      <x:c r="J426" s="74"/>
      <x:c r="K426" s="74"/>
      <x:c r="L426" s="74"/>
      <x:c r="M426" s="74"/>
      <x:c r="N426" s="91"/>
      <x:c r="O426" s="91"/>
      <x:c r="P426" s="91"/>
      <x:c r="Q426" s="91"/>
      <x:c r="R426" s="91"/>
      <x:c r="S426" s="85"/>
      <x:c r="U426" s="86"/>
      <x:c r="V426" s="32"/>
    </x:row>
    <x:row r="427">
      <x:c r="A427" s="87"/>
      <x:c r="B427" s="88"/>
      <x:c r="D427" s="32"/>
      <x:c r="G427" s="74"/>
      <x:c r="H427" s="74"/>
      <x:c r="I427" s="74"/>
      <x:c r="J427" s="74"/>
      <x:c r="K427" s="74"/>
      <x:c r="L427" s="74"/>
      <x:c r="M427" s="74"/>
      <x:c r="N427" s="91"/>
      <x:c r="O427" s="91"/>
      <x:c r="P427" s="91"/>
      <x:c r="Q427" s="91"/>
      <x:c r="R427" s="91"/>
      <x:c r="S427" s="85"/>
      <x:c r="U427" s="86"/>
      <x:c r="V427" s="32"/>
    </x:row>
    <x:row r="428">
      <x:c r="A428" s="87"/>
      <x:c r="B428" s="88"/>
      <x:c r="D428" s="32"/>
      <x:c r="G428" s="74"/>
      <x:c r="H428" s="74"/>
      <x:c r="I428" s="74"/>
      <x:c r="J428" s="74"/>
      <x:c r="K428" s="74"/>
      <x:c r="L428" s="74"/>
      <x:c r="M428" s="74"/>
      <x:c r="N428" s="91"/>
      <x:c r="O428" s="91"/>
      <x:c r="P428" s="91"/>
      <x:c r="Q428" s="91"/>
      <x:c r="R428" s="91"/>
      <x:c r="S428" s="85"/>
      <x:c r="U428" s="86"/>
      <x:c r="V428" s="32"/>
    </x:row>
    <x:row r="429">
      <x:c r="A429" s="87"/>
      <x:c r="B429" s="88"/>
      <x:c r="D429" s="32"/>
      <x:c r="G429" s="74"/>
      <x:c r="H429" s="74"/>
      <x:c r="I429" s="74"/>
      <x:c r="J429" s="74"/>
      <x:c r="K429" s="74"/>
      <x:c r="L429" s="74"/>
      <x:c r="M429" s="74"/>
      <x:c r="N429" s="91"/>
      <x:c r="O429" s="91"/>
      <x:c r="P429" s="91"/>
      <x:c r="Q429" s="91"/>
      <x:c r="R429" s="91"/>
      <x:c r="S429" s="85"/>
      <x:c r="U429" s="86"/>
      <x:c r="V429" s="32"/>
    </x:row>
    <x:row r="430">
      <x:c r="A430" s="87"/>
      <x:c r="B430" s="88"/>
      <x:c r="D430" s="32"/>
      <x:c r="G430" s="74"/>
      <x:c r="H430" s="74"/>
      <x:c r="I430" s="74"/>
      <x:c r="J430" s="74"/>
      <x:c r="K430" s="74"/>
      <x:c r="L430" s="74"/>
      <x:c r="M430" s="74"/>
      <x:c r="N430" s="91"/>
      <x:c r="O430" s="91"/>
      <x:c r="P430" s="91"/>
      <x:c r="Q430" s="91"/>
      <x:c r="R430" s="91"/>
      <x:c r="S430" s="85"/>
      <x:c r="U430" s="86"/>
      <x:c r="V430" s="32"/>
    </x:row>
    <x:row r="431">
      <x:c r="A431" s="87"/>
      <x:c r="B431" s="88"/>
      <x:c r="D431" s="32"/>
      <x:c r="G431" s="74"/>
      <x:c r="H431" s="74"/>
      <x:c r="I431" s="74"/>
      <x:c r="J431" s="74"/>
      <x:c r="K431" s="74"/>
      <x:c r="L431" s="74"/>
      <x:c r="M431" s="74"/>
      <x:c r="N431" s="91"/>
      <x:c r="O431" s="91"/>
      <x:c r="P431" s="91"/>
      <x:c r="Q431" s="91"/>
      <x:c r="R431" s="91"/>
      <x:c r="S431" s="85"/>
      <x:c r="U431" s="86"/>
      <x:c r="V431" s="32"/>
    </x:row>
    <x:row r="432">
      <x:c r="A432" s="87"/>
      <x:c r="B432" s="88"/>
      <x:c r="D432" s="32"/>
      <x:c r="G432" s="74"/>
      <x:c r="H432" s="74"/>
      <x:c r="I432" s="74"/>
      <x:c r="J432" s="74"/>
      <x:c r="K432" s="74"/>
      <x:c r="L432" s="74"/>
      <x:c r="M432" s="74"/>
      <x:c r="N432" s="91"/>
      <x:c r="O432" s="91"/>
      <x:c r="P432" s="91"/>
      <x:c r="Q432" s="91"/>
      <x:c r="R432" s="91"/>
      <x:c r="S432" s="85"/>
      <x:c r="U432" s="86"/>
      <x:c r="V432" s="32"/>
    </x:row>
    <x:row r="433">
      <x:c r="A433" s="87"/>
      <x:c r="B433" s="88"/>
      <x:c r="D433" s="32"/>
      <x:c r="G433" s="74"/>
      <x:c r="H433" s="74"/>
      <x:c r="I433" s="74"/>
      <x:c r="J433" s="74"/>
      <x:c r="K433" s="74"/>
      <x:c r="L433" s="74"/>
      <x:c r="M433" s="74"/>
      <x:c r="N433" s="91"/>
      <x:c r="O433" s="91"/>
      <x:c r="P433" s="91"/>
      <x:c r="Q433" s="91"/>
      <x:c r="R433" s="91"/>
      <x:c r="S433" s="85"/>
      <x:c r="U433" s="86"/>
      <x:c r="V433" s="32"/>
    </x:row>
    <x:row r="434">
      <x:c r="A434" s="87"/>
      <x:c r="B434" s="88"/>
      <x:c r="D434" s="32"/>
      <x:c r="G434" s="74"/>
      <x:c r="H434" s="74"/>
      <x:c r="I434" s="74"/>
      <x:c r="J434" s="74"/>
      <x:c r="K434" s="74"/>
      <x:c r="L434" s="74"/>
      <x:c r="M434" s="74"/>
      <x:c r="N434" s="91"/>
      <x:c r="O434" s="91"/>
      <x:c r="P434" s="91"/>
      <x:c r="Q434" s="91"/>
      <x:c r="R434" s="91"/>
      <x:c r="S434" s="85"/>
      <x:c r="U434" s="86"/>
      <x:c r="V434" s="32"/>
    </x:row>
    <x:row r="435">
      <x:c r="A435" s="87"/>
      <x:c r="B435" s="88"/>
      <x:c r="D435" s="32"/>
      <x:c r="G435" s="74"/>
      <x:c r="H435" s="74"/>
      <x:c r="I435" s="74"/>
      <x:c r="J435" s="74"/>
      <x:c r="K435" s="74"/>
      <x:c r="L435" s="74"/>
      <x:c r="M435" s="74"/>
      <x:c r="N435" s="91"/>
      <x:c r="O435" s="91"/>
      <x:c r="P435" s="91"/>
      <x:c r="Q435" s="91"/>
      <x:c r="R435" s="91"/>
      <x:c r="S435" s="85"/>
      <x:c r="U435" s="86"/>
      <x:c r="V435" s="32"/>
    </x:row>
    <x:row r="436">
      <x:c r="A436" s="87"/>
      <x:c r="B436" s="88"/>
      <x:c r="D436" s="32"/>
      <x:c r="G436" s="74"/>
      <x:c r="H436" s="74"/>
      <x:c r="I436" s="74"/>
      <x:c r="J436" s="74"/>
      <x:c r="K436" s="74"/>
      <x:c r="L436" s="74"/>
      <x:c r="M436" s="74"/>
      <x:c r="N436" s="91"/>
      <x:c r="O436" s="91"/>
      <x:c r="P436" s="91"/>
      <x:c r="Q436" s="91"/>
      <x:c r="R436" s="91"/>
      <x:c r="S436" s="85"/>
      <x:c r="U436" s="86"/>
      <x:c r="V436" s="32"/>
    </x:row>
    <x:row r="437">
      <x:c r="A437" s="87"/>
      <x:c r="B437" s="88"/>
      <x:c r="D437" s="32"/>
      <x:c r="G437" s="74"/>
      <x:c r="H437" s="74"/>
      <x:c r="I437" s="74"/>
      <x:c r="J437" s="74"/>
      <x:c r="K437" s="74"/>
      <x:c r="L437" s="74"/>
      <x:c r="M437" s="74"/>
      <x:c r="N437" s="91"/>
      <x:c r="O437" s="91"/>
      <x:c r="P437" s="91"/>
      <x:c r="Q437" s="91"/>
      <x:c r="R437" s="91"/>
      <x:c r="S437" s="85"/>
      <x:c r="U437" s="86"/>
      <x:c r="V437" s="32"/>
    </x:row>
    <x:row r="438">
      <x:c r="A438" s="87"/>
      <x:c r="B438" s="88"/>
      <x:c r="D438" s="32"/>
      <x:c r="G438" s="74"/>
      <x:c r="H438" s="74"/>
      <x:c r="I438" s="74"/>
      <x:c r="J438" s="74"/>
      <x:c r="K438" s="74"/>
      <x:c r="L438" s="74"/>
      <x:c r="M438" s="74"/>
      <x:c r="N438" s="91"/>
      <x:c r="O438" s="91"/>
      <x:c r="P438" s="91"/>
      <x:c r="Q438" s="91"/>
      <x:c r="R438" s="91"/>
      <x:c r="S438" s="85"/>
      <x:c r="U438" s="86"/>
      <x:c r="V438" s="32"/>
    </x:row>
    <x:row r="439">
      <x:c r="A439" s="87"/>
      <x:c r="B439" s="88"/>
      <x:c r="D439" s="32"/>
      <x:c r="G439" s="74"/>
      <x:c r="H439" s="74"/>
      <x:c r="I439" s="74"/>
      <x:c r="J439" s="74"/>
      <x:c r="K439" s="74"/>
      <x:c r="L439" s="74"/>
      <x:c r="M439" s="74"/>
      <x:c r="N439" s="91"/>
      <x:c r="O439" s="91"/>
      <x:c r="P439" s="91"/>
      <x:c r="Q439" s="91"/>
      <x:c r="R439" s="91"/>
      <x:c r="S439" s="85"/>
      <x:c r="U439" s="86"/>
      <x:c r="V439" s="32"/>
    </x:row>
    <x:row r="440">
      <x:c r="A440" s="87"/>
      <x:c r="B440" s="88"/>
      <x:c r="D440" s="32"/>
      <x:c r="G440" s="74"/>
      <x:c r="H440" s="74"/>
      <x:c r="I440" s="74"/>
      <x:c r="J440" s="74"/>
      <x:c r="K440" s="74"/>
      <x:c r="L440" s="74"/>
      <x:c r="M440" s="74"/>
      <x:c r="N440" s="91"/>
      <x:c r="O440" s="91"/>
      <x:c r="P440" s="91"/>
      <x:c r="Q440" s="91"/>
      <x:c r="R440" s="91"/>
      <x:c r="S440" s="85"/>
      <x:c r="U440" s="86"/>
      <x:c r="V440" s="32"/>
    </x:row>
    <x:row r="441">
      <x:c r="A441" s="87"/>
      <x:c r="B441" s="88"/>
      <x:c r="D441" s="32"/>
      <x:c r="G441" s="74"/>
      <x:c r="H441" s="74"/>
      <x:c r="I441" s="74"/>
      <x:c r="J441" s="74"/>
      <x:c r="K441" s="74"/>
      <x:c r="L441" s="74"/>
      <x:c r="M441" s="74"/>
      <x:c r="N441" s="91"/>
      <x:c r="O441" s="91"/>
      <x:c r="P441" s="91"/>
      <x:c r="Q441" s="91"/>
      <x:c r="R441" s="91"/>
      <x:c r="S441" s="85"/>
      <x:c r="U441" s="86"/>
      <x:c r="V441" s="32"/>
    </x:row>
    <x:row r="442">
      <x:c r="A442" s="87"/>
      <x:c r="B442" s="88"/>
      <x:c r="D442" s="32"/>
      <x:c r="G442" s="74"/>
      <x:c r="H442" s="74"/>
      <x:c r="I442" s="74"/>
      <x:c r="J442" s="74"/>
      <x:c r="K442" s="74"/>
      <x:c r="L442" s="74"/>
      <x:c r="M442" s="74"/>
      <x:c r="N442" s="91"/>
      <x:c r="O442" s="91"/>
      <x:c r="P442" s="91"/>
      <x:c r="Q442" s="91"/>
      <x:c r="R442" s="91"/>
      <x:c r="S442" s="85"/>
      <x:c r="U442" s="86"/>
      <x:c r="V442" s="32"/>
    </x:row>
    <x:row r="443">
      <x:c r="A443" s="87"/>
      <x:c r="B443" s="88"/>
      <x:c r="D443" s="32"/>
      <x:c r="G443" s="74"/>
      <x:c r="H443" s="74"/>
      <x:c r="I443" s="74"/>
      <x:c r="J443" s="74"/>
      <x:c r="K443" s="74"/>
      <x:c r="L443" s="74"/>
      <x:c r="M443" s="74"/>
      <x:c r="N443" s="91"/>
      <x:c r="O443" s="91"/>
      <x:c r="P443" s="91"/>
      <x:c r="Q443" s="91"/>
      <x:c r="R443" s="91"/>
      <x:c r="S443" s="85"/>
      <x:c r="U443" s="86"/>
      <x:c r="V443" s="32"/>
    </x:row>
    <x:row r="444">
      <x:c r="A444" s="87"/>
      <x:c r="B444" s="88"/>
      <x:c r="D444" s="32"/>
      <x:c r="G444" s="74"/>
      <x:c r="H444" s="74"/>
      <x:c r="I444" s="74"/>
      <x:c r="J444" s="74"/>
      <x:c r="K444" s="74"/>
      <x:c r="L444" s="74"/>
      <x:c r="M444" s="74"/>
      <x:c r="N444" s="91"/>
      <x:c r="O444" s="91"/>
      <x:c r="P444" s="91"/>
      <x:c r="Q444" s="91"/>
      <x:c r="R444" s="91"/>
      <x:c r="S444" s="85"/>
      <x:c r="U444" s="86"/>
      <x:c r="V444" s="32"/>
    </x:row>
    <x:row r="445">
      <x:c r="A445" s="87"/>
      <x:c r="B445" s="88"/>
      <x:c r="D445" s="32"/>
      <x:c r="G445" s="74"/>
      <x:c r="H445" s="74"/>
      <x:c r="I445" s="74"/>
      <x:c r="J445" s="74"/>
      <x:c r="K445" s="74"/>
      <x:c r="L445" s="74"/>
      <x:c r="M445" s="74"/>
      <x:c r="N445" s="91"/>
      <x:c r="O445" s="91"/>
      <x:c r="P445" s="91"/>
      <x:c r="Q445" s="91"/>
      <x:c r="R445" s="91"/>
      <x:c r="S445" s="85"/>
      <x:c r="U445" s="86"/>
      <x:c r="V445" s="32"/>
    </x:row>
    <x:row r="446">
      <x:c r="A446" s="87"/>
      <x:c r="B446" s="88"/>
      <x:c r="D446" s="32"/>
      <x:c r="G446" s="74"/>
      <x:c r="H446" s="74"/>
      <x:c r="I446" s="74"/>
      <x:c r="J446" s="74"/>
      <x:c r="K446" s="74"/>
      <x:c r="L446" s="74"/>
      <x:c r="M446" s="74"/>
      <x:c r="N446" s="91"/>
      <x:c r="O446" s="91"/>
      <x:c r="P446" s="91"/>
      <x:c r="Q446" s="91"/>
      <x:c r="R446" s="91"/>
      <x:c r="S446" s="85"/>
      <x:c r="U446" s="86"/>
      <x:c r="V446" s="32"/>
    </x:row>
    <x:row r="447">
      <x:c r="A447" s="87"/>
      <x:c r="B447" s="88"/>
      <x:c r="D447" s="32"/>
      <x:c r="G447" s="74"/>
      <x:c r="H447" s="74"/>
      <x:c r="I447" s="74"/>
      <x:c r="J447" s="74"/>
      <x:c r="K447" s="74"/>
      <x:c r="L447" s="74"/>
      <x:c r="M447" s="74"/>
      <x:c r="N447" s="91"/>
      <x:c r="O447" s="91"/>
      <x:c r="P447" s="91"/>
      <x:c r="Q447" s="91"/>
      <x:c r="R447" s="91"/>
      <x:c r="S447" s="85"/>
      <x:c r="U447" s="86"/>
      <x:c r="V447" s="32"/>
    </x:row>
    <x:row r="448">
      <x:c r="A448" s="87"/>
      <x:c r="B448" s="88"/>
      <x:c r="D448" s="32"/>
      <x:c r="G448" s="74"/>
      <x:c r="H448" s="74"/>
      <x:c r="I448" s="74"/>
      <x:c r="J448" s="74"/>
      <x:c r="K448" s="74"/>
      <x:c r="L448" s="74"/>
      <x:c r="M448" s="74"/>
      <x:c r="N448" s="91"/>
      <x:c r="O448" s="91"/>
      <x:c r="P448" s="91"/>
      <x:c r="Q448" s="91"/>
      <x:c r="R448" s="91"/>
      <x:c r="S448" s="85"/>
      <x:c r="U448" s="86"/>
      <x:c r="V448" s="32"/>
    </x:row>
    <x:row r="449">
      <x:c r="A449" s="87"/>
      <x:c r="B449" s="88"/>
      <x:c r="D449" s="32"/>
      <x:c r="G449" s="74"/>
      <x:c r="H449" s="74"/>
      <x:c r="I449" s="74"/>
      <x:c r="J449" s="74"/>
      <x:c r="K449" s="74"/>
      <x:c r="L449" s="74"/>
      <x:c r="M449" s="74"/>
      <x:c r="N449" s="91"/>
      <x:c r="O449" s="91"/>
      <x:c r="P449" s="91"/>
      <x:c r="Q449" s="91"/>
      <x:c r="R449" s="91"/>
      <x:c r="S449" s="85"/>
      <x:c r="U449" s="86"/>
      <x:c r="V449" s="32"/>
    </x:row>
    <x:row r="450">
      <x:c r="A450" s="87"/>
      <x:c r="B450" s="88"/>
      <x:c r="D450" s="32"/>
      <x:c r="G450" s="74"/>
      <x:c r="H450" s="74"/>
      <x:c r="I450" s="74"/>
      <x:c r="J450" s="74"/>
      <x:c r="K450" s="74"/>
      <x:c r="L450" s="74"/>
      <x:c r="M450" s="74"/>
      <x:c r="N450" s="91"/>
      <x:c r="O450" s="91"/>
      <x:c r="P450" s="91"/>
      <x:c r="Q450" s="91"/>
      <x:c r="R450" s="91"/>
      <x:c r="S450" s="85"/>
      <x:c r="U450" s="86"/>
      <x:c r="V450" s="32"/>
    </x:row>
    <x:row r="451">
      <x:c r="A451" s="87"/>
      <x:c r="B451" s="88"/>
      <x:c r="D451" s="32"/>
      <x:c r="G451" s="74"/>
      <x:c r="H451" s="74"/>
      <x:c r="I451" s="74"/>
      <x:c r="J451" s="74"/>
      <x:c r="K451" s="74"/>
      <x:c r="L451" s="74"/>
      <x:c r="M451" s="74"/>
      <x:c r="N451" s="91"/>
      <x:c r="O451" s="91"/>
      <x:c r="P451" s="91"/>
      <x:c r="Q451" s="91"/>
      <x:c r="R451" s="91"/>
      <x:c r="S451" s="85"/>
      <x:c r="U451" s="86"/>
      <x:c r="V451" s="32"/>
    </x:row>
    <x:row r="452">
      <x:c r="A452" s="87"/>
      <x:c r="B452" s="88"/>
      <x:c r="D452" s="32"/>
      <x:c r="G452" s="74"/>
      <x:c r="H452" s="74"/>
      <x:c r="I452" s="74"/>
      <x:c r="J452" s="74"/>
      <x:c r="K452" s="74"/>
      <x:c r="L452" s="74"/>
      <x:c r="M452" s="74"/>
      <x:c r="N452" s="91"/>
      <x:c r="O452" s="91"/>
      <x:c r="P452" s="91"/>
      <x:c r="Q452" s="91"/>
      <x:c r="R452" s="91"/>
      <x:c r="S452" s="85"/>
      <x:c r="U452" s="86"/>
      <x:c r="V452" s="32"/>
    </x:row>
    <x:row r="453">
      <x:c r="A453" s="87"/>
      <x:c r="B453" s="88"/>
      <x:c r="D453" s="32"/>
      <x:c r="G453" s="74"/>
      <x:c r="H453" s="74"/>
      <x:c r="I453" s="74"/>
      <x:c r="J453" s="74"/>
      <x:c r="K453" s="74"/>
      <x:c r="L453" s="74"/>
      <x:c r="M453" s="74"/>
      <x:c r="N453" s="91"/>
      <x:c r="O453" s="91"/>
      <x:c r="P453" s="91"/>
      <x:c r="Q453" s="91"/>
      <x:c r="R453" s="91"/>
      <x:c r="S453" s="85"/>
      <x:c r="U453" s="86"/>
      <x:c r="V453" s="32"/>
    </x:row>
    <x:row r="454">
      <x:c r="A454" s="87"/>
      <x:c r="B454" s="88"/>
      <x:c r="D454" s="32"/>
      <x:c r="G454" s="74"/>
      <x:c r="H454" s="74"/>
      <x:c r="I454" s="74"/>
      <x:c r="J454" s="74"/>
      <x:c r="K454" s="74"/>
      <x:c r="L454" s="74"/>
      <x:c r="M454" s="74"/>
      <x:c r="N454" s="91"/>
      <x:c r="O454" s="91"/>
      <x:c r="P454" s="91"/>
      <x:c r="Q454" s="91"/>
      <x:c r="R454" s="91"/>
      <x:c r="S454" s="85"/>
      <x:c r="U454" s="86"/>
      <x:c r="V454" s="32"/>
    </x:row>
    <x:row r="455">
      <x:c r="A455" s="87"/>
      <x:c r="B455" s="88"/>
      <x:c r="D455" s="32"/>
      <x:c r="G455" s="74"/>
      <x:c r="H455" s="74"/>
      <x:c r="I455" s="74"/>
      <x:c r="J455" s="74"/>
      <x:c r="K455" s="74"/>
      <x:c r="L455" s="74"/>
      <x:c r="M455" s="74"/>
      <x:c r="N455" s="91"/>
      <x:c r="O455" s="91"/>
      <x:c r="P455" s="91"/>
      <x:c r="Q455" s="91"/>
      <x:c r="R455" s="91"/>
      <x:c r="S455" s="85"/>
      <x:c r="U455" s="86"/>
      <x:c r="V455" s="32"/>
    </x:row>
    <x:row r="456">
      <x:c r="A456" s="87"/>
      <x:c r="B456" s="88"/>
      <x:c r="D456" s="32"/>
      <x:c r="G456" s="74"/>
      <x:c r="H456" s="74"/>
      <x:c r="I456" s="74"/>
      <x:c r="J456" s="74"/>
      <x:c r="K456" s="74"/>
      <x:c r="L456" s="74"/>
      <x:c r="M456" s="74"/>
      <x:c r="N456" s="91"/>
      <x:c r="O456" s="91"/>
      <x:c r="P456" s="91"/>
      <x:c r="Q456" s="91"/>
      <x:c r="R456" s="91"/>
      <x:c r="S456" s="85"/>
      <x:c r="U456" s="86"/>
      <x:c r="V456" s="32"/>
    </x:row>
    <x:row r="457">
      <x:c r="A457" s="87"/>
      <x:c r="B457" s="88"/>
      <x:c r="D457" s="32"/>
      <x:c r="G457" s="74"/>
      <x:c r="H457" s="74"/>
      <x:c r="I457" s="74"/>
      <x:c r="J457" s="74"/>
      <x:c r="K457" s="74"/>
      <x:c r="L457" s="74"/>
      <x:c r="M457" s="74"/>
      <x:c r="N457" s="91"/>
      <x:c r="O457" s="91"/>
      <x:c r="P457" s="91"/>
      <x:c r="Q457" s="91"/>
      <x:c r="R457" s="91"/>
      <x:c r="S457" s="85"/>
      <x:c r="U457" s="86"/>
      <x:c r="V457" s="32"/>
    </x:row>
    <x:row r="458">
      <x:c r="A458" s="87"/>
      <x:c r="B458" s="88"/>
      <x:c r="D458" s="32"/>
      <x:c r="G458" s="74"/>
      <x:c r="H458" s="74"/>
      <x:c r="I458" s="74"/>
      <x:c r="J458" s="74"/>
      <x:c r="K458" s="74"/>
      <x:c r="L458" s="74"/>
      <x:c r="M458" s="74"/>
      <x:c r="N458" s="91"/>
      <x:c r="O458" s="91"/>
      <x:c r="P458" s="91"/>
      <x:c r="Q458" s="91"/>
      <x:c r="R458" s="91"/>
      <x:c r="S458" s="85"/>
      <x:c r="U458" s="86"/>
      <x:c r="V458" s="32"/>
    </x:row>
    <x:row r="459">
      <x:c r="A459" s="87"/>
      <x:c r="B459" s="88"/>
      <x:c r="D459" s="32"/>
      <x:c r="G459" s="74"/>
      <x:c r="H459" s="74"/>
      <x:c r="I459" s="74"/>
      <x:c r="J459" s="74"/>
      <x:c r="K459" s="74"/>
      <x:c r="L459" s="74"/>
      <x:c r="M459" s="74"/>
      <x:c r="N459" s="91"/>
      <x:c r="O459" s="91"/>
      <x:c r="P459" s="91"/>
      <x:c r="Q459" s="91"/>
      <x:c r="R459" s="91"/>
      <x:c r="S459" s="85"/>
      <x:c r="U459" s="86"/>
      <x:c r="V459" s="32"/>
    </x:row>
    <x:row r="460">
      <x:c r="A460" s="87"/>
      <x:c r="B460" s="88"/>
      <x:c r="D460" s="32"/>
      <x:c r="G460" s="74"/>
      <x:c r="H460" s="74"/>
      <x:c r="I460" s="74"/>
      <x:c r="J460" s="74"/>
      <x:c r="K460" s="74"/>
      <x:c r="L460" s="74"/>
      <x:c r="M460" s="74"/>
      <x:c r="N460" s="91"/>
      <x:c r="O460" s="91"/>
      <x:c r="P460" s="91"/>
      <x:c r="Q460" s="91"/>
      <x:c r="R460" s="91"/>
      <x:c r="S460" s="85"/>
      <x:c r="U460" s="86"/>
      <x:c r="V460" s="32"/>
    </x:row>
    <x:row r="461">
      <x:c r="A461" s="87"/>
      <x:c r="B461" s="88"/>
      <x:c r="D461" s="32"/>
      <x:c r="G461" s="74"/>
      <x:c r="H461" s="74"/>
      <x:c r="I461" s="74"/>
      <x:c r="J461" s="74"/>
      <x:c r="K461" s="74"/>
      <x:c r="L461" s="74"/>
      <x:c r="M461" s="74"/>
      <x:c r="N461" s="91"/>
      <x:c r="O461" s="91"/>
      <x:c r="P461" s="91"/>
      <x:c r="Q461" s="91"/>
      <x:c r="R461" s="91"/>
      <x:c r="S461" s="85"/>
      <x:c r="U461" s="86"/>
      <x:c r="V461" s="32"/>
    </x:row>
    <x:row r="462">
      <x:c r="A462" s="87"/>
      <x:c r="B462" s="88"/>
      <x:c r="D462" s="32"/>
      <x:c r="G462" s="74"/>
      <x:c r="H462" s="74"/>
      <x:c r="I462" s="74"/>
      <x:c r="J462" s="74"/>
      <x:c r="K462" s="74"/>
      <x:c r="L462" s="74"/>
      <x:c r="M462" s="74"/>
      <x:c r="N462" s="91"/>
      <x:c r="O462" s="91"/>
      <x:c r="P462" s="91"/>
      <x:c r="Q462" s="91"/>
      <x:c r="R462" s="91"/>
      <x:c r="S462" s="85"/>
      <x:c r="U462" s="86"/>
      <x:c r="V462" s="32"/>
    </x:row>
    <x:row r="463">
      <x:c r="A463" s="87"/>
      <x:c r="B463" s="88"/>
      <x:c r="D463" s="32"/>
      <x:c r="G463" s="74"/>
      <x:c r="H463" s="74"/>
      <x:c r="I463" s="74"/>
      <x:c r="J463" s="74"/>
      <x:c r="K463" s="74"/>
      <x:c r="L463" s="74"/>
      <x:c r="M463" s="74"/>
      <x:c r="N463" s="91"/>
      <x:c r="O463" s="91"/>
      <x:c r="P463" s="91"/>
      <x:c r="Q463" s="91"/>
      <x:c r="R463" s="91"/>
      <x:c r="S463" s="85"/>
      <x:c r="U463" s="86"/>
      <x:c r="V463" s="32"/>
    </x:row>
    <x:row r="464">
      <x:c r="A464" s="87"/>
      <x:c r="B464" s="88"/>
      <x:c r="D464" s="32"/>
      <x:c r="G464" s="74"/>
      <x:c r="H464" s="74"/>
      <x:c r="I464" s="74"/>
      <x:c r="J464" s="74"/>
      <x:c r="K464" s="74"/>
      <x:c r="L464" s="74"/>
      <x:c r="M464" s="74"/>
      <x:c r="N464" s="91"/>
      <x:c r="O464" s="91"/>
      <x:c r="P464" s="91"/>
      <x:c r="Q464" s="91"/>
      <x:c r="R464" s="91"/>
      <x:c r="S464" s="85"/>
      <x:c r="U464" s="86"/>
      <x:c r="V464" s="32"/>
    </x:row>
    <x:row r="465">
      <x:c r="A465" s="87"/>
      <x:c r="B465" s="88"/>
      <x:c r="D465" s="32"/>
      <x:c r="G465" s="74"/>
      <x:c r="H465" s="74"/>
      <x:c r="I465" s="74"/>
      <x:c r="J465" s="74"/>
      <x:c r="K465" s="74"/>
      <x:c r="L465" s="74"/>
      <x:c r="M465" s="74"/>
      <x:c r="N465" s="91"/>
      <x:c r="O465" s="91"/>
      <x:c r="P465" s="91"/>
      <x:c r="Q465" s="91"/>
      <x:c r="R465" s="91"/>
      <x:c r="S465" s="85"/>
      <x:c r="U465" s="86"/>
      <x:c r="V465" s="32"/>
    </x:row>
    <x:row r="466">
      <x:c r="A466" s="87"/>
      <x:c r="B466" s="88"/>
      <x:c r="D466" s="32"/>
      <x:c r="G466" s="74"/>
      <x:c r="H466" s="74"/>
      <x:c r="I466" s="74"/>
      <x:c r="J466" s="74"/>
      <x:c r="K466" s="74"/>
      <x:c r="L466" s="74"/>
      <x:c r="M466" s="74"/>
      <x:c r="N466" s="91"/>
      <x:c r="O466" s="91"/>
      <x:c r="P466" s="91"/>
      <x:c r="Q466" s="91"/>
      <x:c r="R466" s="91"/>
      <x:c r="S466" s="85"/>
      <x:c r="U466" s="86"/>
      <x:c r="V466" s="32"/>
    </x:row>
    <x:row r="467">
      <x:c r="A467" s="87"/>
      <x:c r="B467" s="88"/>
      <x:c r="D467" s="32"/>
      <x:c r="G467" s="74"/>
      <x:c r="H467" s="74"/>
      <x:c r="I467" s="74"/>
      <x:c r="J467" s="74"/>
      <x:c r="K467" s="74"/>
      <x:c r="L467" s="74"/>
      <x:c r="M467" s="74"/>
      <x:c r="N467" s="91"/>
      <x:c r="O467" s="91"/>
      <x:c r="P467" s="91"/>
      <x:c r="Q467" s="91"/>
      <x:c r="R467" s="91"/>
      <x:c r="S467" s="85"/>
      <x:c r="U467" s="86"/>
      <x:c r="V467" s="32"/>
    </x:row>
    <x:row r="468">
      <x:c r="A468" s="87"/>
      <x:c r="B468" s="88"/>
      <x:c r="D468" s="32"/>
      <x:c r="G468" s="74"/>
      <x:c r="H468" s="74"/>
      <x:c r="I468" s="74"/>
      <x:c r="J468" s="74"/>
      <x:c r="K468" s="74"/>
      <x:c r="L468" s="74"/>
      <x:c r="M468" s="74"/>
      <x:c r="N468" s="91"/>
      <x:c r="O468" s="91"/>
      <x:c r="P468" s="91"/>
      <x:c r="Q468" s="91"/>
      <x:c r="R468" s="91"/>
      <x:c r="S468" s="85"/>
      <x:c r="U468" s="86"/>
      <x:c r="V468" s="32"/>
    </x:row>
    <x:row r="469">
      <x:c r="A469" s="87"/>
      <x:c r="B469" s="88"/>
      <x:c r="D469" s="32"/>
      <x:c r="G469" s="74"/>
      <x:c r="H469" s="74"/>
      <x:c r="I469" s="74"/>
      <x:c r="J469" s="74"/>
      <x:c r="K469" s="74"/>
      <x:c r="L469" s="74"/>
      <x:c r="M469" s="74"/>
      <x:c r="N469" s="91"/>
      <x:c r="O469" s="91"/>
      <x:c r="P469" s="91"/>
      <x:c r="Q469" s="91"/>
      <x:c r="R469" s="91"/>
      <x:c r="S469" s="85"/>
      <x:c r="U469" s="86"/>
      <x:c r="V469" s="32"/>
    </x:row>
    <x:row r="470">
      <x:c r="A470" s="87"/>
      <x:c r="B470" s="88"/>
      <x:c r="D470" s="32"/>
      <x:c r="G470" s="74"/>
      <x:c r="H470" s="74"/>
      <x:c r="I470" s="74"/>
      <x:c r="J470" s="74"/>
      <x:c r="K470" s="74"/>
      <x:c r="L470" s="74"/>
      <x:c r="M470" s="74"/>
      <x:c r="N470" s="91"/>
      <x:c r="O470" s="91"/>
      <x:c r="P470" s="91"/>
      <x:c r="Q470" s="91"/>
      <x:c r="R470" s="91"/>
      <x:c r="S470" s="85"/>
      <x:c r="U470" s="86"/>
      <x:c r="V470" s="32"/>
    </x:row>
    <x:row r="471">
      <x:c r="A471" s="87"/>
      <x:c r="B471" s="88"/>
      <x:c r="D471" s="32"/>
      <x:c r="G471" s="74"/>
      <x:c r="H471" s="74"/>
      <x:c r="I471" s="74"/>
      <x:c r="J471" s="74"/>
      <x:c r="K471" s="74"/>
      <x:c r="L471" s="74"/>
      <x:c r="M471" s="74"/>
      <x:c r="N471" s="91"/>
      <x:c r="O471" s="91"/>
      <x:c r="P471" s="91"/>
      <x:c r="Q471" s="91"/>
      <x:c r="R471" s="91"/>
      <x:c r="S471" s="85"/>
      <x:c r="U471" s="86"/>
      <x:c r="V471" s="32"/>
    </x:row>
    <x:row r="472">
      <x:c r="A472" s="87"/>
      <x:c r="B472" s="88"/>
      <x:c r="D472" s="32"/>
      <x:c r="G472" s="74"/>
      <x:c r="H472" s="74"/>
      <x:c r="I472" s="74"/>
      <x:c r="J472" s="74"/>
      <x:c r="K472" s="74"/>
      <x:c r="L472" s="74"/>
      <x:c r="M472" s="74"/>
      <x:c r="N472" s="91"/>
      <x:c r="O472" s="91"/>
      <x:c r="P472" s="91"/>
      <x:c r="Q472" s="91"/>
      <x:c r="R472" s="91"/>
      <x:c r="S472" s="85"/>
      <x:c r="U472" s="86"/>
      <x:c r="V472" s="32"/>
    </x:row>
    <x:row r="473">
      <x:c r="A473" s="87"/>
      <x:c r="B473" s="88"/>
      <x:c r="D473" s="32"/>
      <x:c r="G473" s="74"/>
      <x:c r="H473" s="74"/>
      <x:c r="I473" s="74"/>
      <x:c r="J473" s="74"/>
      <x:c r="K473" s="74"/>
      <x:c r="L473" s="74"/>
      <x:c r="M473" s="74"/>
      <x:c r="N473" s="91"/>
      <x:c r="O473" s="91"/>
      <x:c r="P473" s="91"/>
      <x:c r="Q473" s="91"/>
      <x:c r="R473" s="91"/>
      <x:c r="S473" s="85"/>
      <x:c r="U473" s="86"/>
      <x:c r="V473" s="32"/>
    </x:row>
    <x:row r="474">
      <x:c r="A474" s="87"/>
      <x:c r="B474" s="88"/>
      <x:c r="D474" s="32"/>
      <x:c r="G474" s="74"/>
      <x:c r="H474" s="74"/>
      <x:c r="I474" s="74"/>
      <x:c r="J474" s="74"/>
      <x:c r="K474" s="74"/>
      <x:c r="L474" s="74"/>
      <x:c r="M474" s="74"/>
      <x:c r="N474" s="91"/>
      <x:c r="O474" s="91"/>
      <x:c r="P474" s="91"/>
      <x:c r="Q474" s="91"/>
      <x:c r="R474" s="91"/>
      <x:c r="S474" s="85"/>
      <x:c r="U474" s="86"/>
      <x:c r="V474" s="32"/>
    </x:row>
    <x:row r="475">
      <x:c r="A475" s="87"/>
      <x:c r="B475" s="88"/>
      <x:c r="D475" s="32"/>
      <x:c r="G475" s="74"/>
      <x:c r="H475" s="74"/>
      <x:c r="I475" s="74"/>
      <x:c r="J475" s="74"/>
      <x:c r="K475" s="74"/>
      <x:c r="L475" s="74"/>
      <x:c r="M475" s="74"/>
      <x:c r="N475" s="91"/>
      <x:c r="O475" s="91"/>
      <x:c r="P475" s="91"/>
      <x:c r="Q475" s="91"/>
      <x:c r="R475" s="91"/>
      <x:c r="S475" s="85"/>
      <x:c r="U475" s="86"/>
      <x:c r="V475" s="32"/>
    </x:row>
    <x:row r="476">
      <x:c r="A476" s="87"/>
      <x:c r="B476" s="88"/>
      <x:c r="D476" s="32"/>
      <x:c r="G476" s="74"/>
      <x:c r="H476" s="74"/>
      <x:c r="I476" s="74"/>
      <x:c r="J476" s="74"/>
      <x:c r="K476" s="74"/>
      <x:c r="L476" s="74"/>
      <x:c r="M476" s="74"/>
      <x:c r="N476" s="91"/>
      <x:c r="O476" s="91"/>
      <x:c r="P476" s="91"/>
      <x:c r="Q476" s="91"/>
      <x:c r="R476" s="91"/>
      <x:c r="S476" s="85"/>
      <x:c r="U476" s="86"/>
      <x:c r="V476" s="32"/>
    </x:row>
    <x:row r="477">
      <x:c r="A477" s="87"/>
      <x:c r="B477" s="88"/>
      <x:c r="D477" s="32"/>
      <x:c r="G477" s="74"/>
      <x:c r="H477" s="74"/>
      <x:c r="I477" s="74"/>
      <x:c r="J477" s="74"/>
      <x:c r="K477" s="74"/>
      <x:c r="L477" s="74"/>
      <x:c r="M477" s="74"/>
      <x:c r="N477" s="91"/>
      <x:c r="O477" s="91"/>
      <x:c r="P477" s="91"/>
      <x:c r="Q477" s="91"/>
      <x:c r="R477" s="91"/>
      <x:c r="S477" s="85"/>
      <x:c r="U477" s="86"/>
      <x:c r="V477" s="32"/>
    </x:row>
    <x:row r="478">
      <x:c r="A478" s="87"/>
      <x:c r="B478" s="88"/>
      <x:c r="D478" s="32"/>
      <x:c r="G478" s="74"/>
      <x:c r="H478" s="74"/>
      <x:c r="I478" s="74"/>
      <x:c r="J478" s="74"/>
      <x:c r="K478" s="74"/>
      <x:c r="L478" s="74"/>
      <x:c r="M478" s="74"/>
      <x:c r="N478" s="91"/>
      <x:c r="O478" s="91"/>
      <x:c r="P478" s="91"/>
      <x:c r="Q478" s="91"/>
      <x:c r="R478" s="91"/>
      <x:c r="S478" s="85"/>
      <x:c r="U478" s="86"/>
      <x:c r="V478" s="32"/>
    </x:row>
    <x:row r="479">
      <x:c r="A479" s="87"/>
      <x:c r="B479" s="88"/>
      <x:c r="D479" s="32"/>
      <x:c r="G479" s="74"/>
      <x:c r="H479" s="74"/>
      <x:c r="I479" s="74"/>
      <x:c r="J479" s="74"/>
      <x:c r="K479" s="74"/>
      <x:c r="L479" s="74"/>
      <x:c r="M479" s="74"/>
      <x:c r="N479" s="91"/>
      <x:c r="O479" s="91"/>
      <x:c r="P479" s="91"/>
      <x:c r="Q479" s="91"/>
      <x:c r="R479" s="91"/>
      <x:c r="S479" s="85"/>
      <x:c r="U479" s="86"/>
      <x:c r="V479" s="32"/>
    </x:row>
    <x:row r="480">
      <x:c r="A480" s="87"/>
      <x:c r="B480" s="88"/>
      <x:c r="D480" s="32"/>
      <x:c r="G480" s="74"/>
      <x:c r="H480" s="74"/>
      <x:c r="I480" s="74"/>
      <x:c r="J480" s="74"/>
      <x:c r="K480" s="74"/>
      <x:c r="L480" s="74"/>
      <x:c r="M480" s="74"/>
      <x:c r="N480" s="91"/>
      <x:c r="O480" s="91"/>
      <x:c r="P480" s="91"/>
      <x:c r="Q480" s="91"/>
      <x:c r="R480" s="91"/>
      <x:c r="S480" s="85"/>
      <x:c r="U480" s="86"/>
      <x:c r="V480" s="32"/>
    </x:row>
    <x:row r="481">
      <x:c r="A481" s="87"/>
      <x:c r="B481" s="88"/>
      <x:c r="D481" s="32"/>
      <x:c r="G481" s="74"/>
      <x:c r="H481" s="74"/>
      <x:c r="I481" s="74"/>
      <x:c r="J481" s="74"/>
      <x:c r="K481" s="74"/>
      <x:c r="L481" s="74"/>
      <x:c r="M481" s="74"/>
      <x:c r="N481" s="91"/>
      <x:c r="O481" s="91"/>
      <x:c r="P481" s="91"/>
      <x:c r="Q481" s="91"/>
      <x:c r="R481" s="91"/>
      <x:c r="S481" s="85"/>
      <x:c r="U481" s="86"/>
      <x:c r="V481" s="32"/>
    </x:row>
    <x:row r="482">
      <x:c r="A482" s="87"/>
      <x:c r="B482" s="88"/>
      <x:c r="D482" s="32"/>
      <x:c r="G482" s="74"/>
      <x:c r="H482" s="74"/>
      <x:c r="I482" s="74"/>
      <x:c r="J482" s="74"/>
      <x:c r="K482" s="74"/>
      <x:c r="L482" s="74"/>
      <x:c r="M482" s="74"/>
      <x:c r="N482" s="91"/>
      <x:c r="O482" s="91"/>
      <x:c r="P482" s="91"/>
      <x:c r="Q482" s="91"/>
      <x:c r="R482" s="91"/>
      <x:c r="S482" s="85"/>
      <x:c r="U482" s="86"/>
      <x:c r="V482" s="32"/>
    </x:row>
    <x:row r="483">
      <x:c r="A483" s="87"/>
      <x:c r="B483" s="88"/>
      <x:c r="D483" s="32"/>
      <x:c r="G483" s="74"/>
      <x:c r="H483" s="74"/>
      <x:c r="I483" s="74"/>
      <x:c r="J483" s="74"/>
      <x:c r="K483" s="74"/>
      <x:c r="L483" s="74"/>
      <x:c r="M483" s="74"/>
      <x:c r="N483" s="91"/>
      <x:c r="O483" s="91"/>
      <x:c r="P483" s="91"/>
      <x:c r="Q483" s="91"/>
      <x:c r="R483" s="91"/>
      <x:c r="S483" s="85"/>
      <x:c r="U483" s="86"/>
      <x:c r="V483" s="32"/>
    </x:row>
    <x:row r="484">
      <x:c r="A484" s="87"/>
      <x:c r="B484" s="88"/>
      <x:c r="D484" s="32"/>
      <x:c r="G484" s="74"/>
      <x:c r="H484" s="74"/>
      <x:c r="I484" s="74"/>
      <x:c r="J484" s="74"/>
      <x:c r="K484" s="74"/>
      <x:c r="L484" s="74"/>
      <x:c r="M484" s="74"/>
      <x:c r="N484" s="91"/>
      <x:c r="O484" s="91"/>
      <x:c r="P484" s="91"/>
      <x:c r="Q484" s="91"/>
      <x:c r="R484" s="91"/>
      <x:c r="S484" s="85"/>
      <x:c r="U484" s="86"/>
      <x:c r="V484" s="32"/>
    </x:row>
    <x:row r="485">
      <x:c r="A485" s="87"/>
      <x:c r="B485" s="88"/>
      <x:c r="D485" s="32"/>
      <x:c r="G485" s="74"/>
      <x:c r="H485" s="74"/>
      <x:c r="I485" s="74"/>
      <x:c r="J485" s="74"/>
      <x:c r="K485" s="74"/>
      <x:c r="L485" s="74"/>
      <x:c r="M485" s="74"/>
      <x:c r="N485" s="91"/>
      <x:c r="O485" s="91"/>
      <x:c r="P485" s="91"/>
      <x:c r="Q485" s="91"/>
      <x:c r="R485" s="91"/>
      <x:c r="S485" s="85"/>
      <x:c r="U485" s="86"/>
      <x:c r="V485" s="32"/>
    </x:row>
    <x:row r="486">
      <x:c r="A486" s="87"/>
      <x:c r="B486" s="88"/>
      <x:c r="D486" s="32"/>
      <x:c r="G486" s="74"/>
      <x:c r="H486" s="74"/>
      <x:c r="I486" s="74"/>
      <x:c r="J486" s="74"/>
      <x:c r="K486" s="74"/>
      <x:c r="L486" s="74"/>
      <x:c r="M486" s="74"/>
      <x:c r="N486" s="91"/>
      <x:c r="O486" s="91"/>
      <x:c r="P486" s="91"/>
      <x:c r="Q486" s="91"/>
      <x:c r="R486" s="91"/>
      <x:c r="S486" s="85"/>
      <x:c r="U486" s="86"/>
      <x:c r="V486" s="32"/>
    </x:row>
    <x:row r="487">
      <x:c r="A487" s="87"/>
      <x:c r="B487" s="88"/>
      <x:c r="D487" s="32"/>
      <x:c r="G487" s="74"/>
      <x:c r="H487" s="74"/>
      <x:c r="I487" s="74"/>
      <x:c r="J487" s="74"/>
      <x:c r="K487" s="74"/>
      <x:c r="L487" s="74"/>
      <x:c r="M487" s="74"/>
      <x:c r="N487" s="91"/>
      <x:c r="O487" s="91"/>
      <x:c r="P487" s="91"/>
      <x:c r="Q487" s="91"/>
      <x:c r="R487" s="91"/>
      <x:c r="S487" s="85"/>
      <x:c r="U487" s="86"/>
      <x:c r="V487" s="32"/>
    </x:row>
    <x:row r="488">
      <x:c r="A488" s="87"/>
      <x:c r="B488" s="88"/>
      <x:c r="D488" s="32"/>
      <x:c r="G488" s="74"/>
      <x:c r="H488" s="74"/>
      <x:c r="I488" s="74"/>
      <x:c r="J488" s="74"/>
      <x:c r="K488" s="74"/>
      <x:c r="L488" s="74"/>
      <x:c r="M488" s="74"/>
      <x:c r="N488" s="91"/>
      <x:c r="O488" s="91"/>
      <x:c r="P488" s="91"/>
      <x:c r="Q488" s="91"/>
      <x:c r="R488" s="91"/>
      <x:c r="S488" s="85"/>
      <x:c r="U488" s="86"/>
      <x:c r="V488" s="32"/>
    </x:row>
    <x:row r="489">
      <x:c r="A489" s="87"/>
      <x:c r="B489" s="88"/>
      <x:c r="D489" s="32"/>
      <x:c r="G489" s="74"/>
      <x:c r="H489" s="74"/>
      <x:c r="I489" s="74"/>
      <x:c r="J489" s="74"/>
      <x:c r="K489" s="74"/>
      <x:c r="L489" s="74"/>
      <x:c r="M489" s="74"/>
      <x:c r="N489" s="91"/>
      <x:c r="O489" s="91"/>
      <x:c r="P489" s="91"/>
      <x:c r="Q489" s="91"/>
      <x:c r="R489" s="91"/>
      <x:c r="S489" s="85"/>
      <x:c r="U489" s="86"/>
      <x:c r="V489" s="32"/>
    </x:row>
    <x:row r="490">
      <x:c r="A490" s="87"/>
      <x:c r="B490" s="88"/>
      <x:c r="D490" s="32"/>
      <x:c r="G490" s="74"/>
      <x:c r="H490" s="74"/>
      <x:c r="I490" s="74"/>
      <x:c r="J490" s="74"/>
      <x:c r="K490" s="74"/>
      <x:c r="L490" s="74"/>
      <x:c r="M490" s="74"/>
      <x:c r="N490" s="91"/>
      <x:c r="O490" s="91"/>
      <x:c r="P490" s="91"/>
      <x:c r="Q490" s="91"/>
      <x:c r="R490" s="91"/>
      <x:c r="S490" s="85"/>
      <x:c r="U490" s="86"/>
      <x:c r="V490" s="32"/>
    </x:row>
    <x:row r="491">
      <x:c r="A491" s="87"/>
      <x:c r="B491" s="88"/>
      <x:c r="D491" s="32"/>
      <x:c r="G491" s="74"/>
      <x:c r="H491" s="74"/>
      <x:c r="I491" s="74"/>
      <x:c r="J491" s="74"/>
      <x:c r="K491" s="74"/>
      <x:c r="L491" s="74"/>
      <x:c r="M491" s="74"/>
      <x:c r="N491" s="91"/>
      <x:c r="O491" s="91"/>
      <x:c r="P491" s="91"/>
      <x:c r="Q491" s="91"/>
      <x:c r="R491" s="91"/>
      <x:c r="S491" s="85"/>
      <x:c r="U491" s="86"/>
      <x:c r="V491" s="32"/>
    </x:row>
    <x:row r="492">
      <x:c r="A492" s="87"/>
      <x:c r="B492" s="88"/>
      <x:c r="D492" s="32"/>
      <x:c r="G492" s="74"/>
      <x:c r="H492" s="74"/>
      <x:c r="I492" s="74"/>
      <x:c r="J492" s="74"/>
      <x:c r="K492" s="74"/>
      <x:c r="L492" s="74"/>
      <x:c r="M492" s="74"/>
      <x:c r="N492" s="91"/>
      <x:c r="O492" s="91"/>
      <x:c r="P492" s="91"/>
      <x:c r="Q492" s="91"/>
      <x:c r="R492" s="91"/>
      <x:c r="S492" s="85"/>
      <x:c r="U492" s="86"/>
      <x:c r="V492" s="32"/>
    </x:row>
    <x:row r="493">
      <x:c r="A493" s="87"/>
      <x:c r="B493" s="88"/>
      <x:c r="D493" s="32"/>
      <x:c r="G493" s="74"/>
      <x:c r="H493" s="74"/>
      <x:c r="I493" s="74"/>
      <x:c r="J493" s="74"/>
      <x:c r="K493" s="74"/>
      <x:c r="L493" s="74"/>
      <x:c r="M493" s="74"/>
      <x:c r="N493" s="91"/>
      <x:c r="O493" s="91"/>
      <x:c r="P493" s="91"/>
      <x:c r="Q493" s="91"/>
      <x:c r="R493" s="91"/>
      <x:c r="S493" s="85"/>
      <x:c r="U493" s="86"/>
      <x:c r="V493" s="32"/>
    </x:row>
    <x:row r="494">
      <x:c r="A494" s="87"/>
      <x:c r="B494" s="88"/>
      <x:c r="D494" s="32"/>
      <x:c r="G494" s="74"/>
      <x:c r="H494" s="74"/>
      <x:c r="I494" s="74"/>
      <x:c r="J494" s="74"/>
      <x:c r="K494" s="74"/>
      <x:c r="L494" s="74"/>
      <x:c r="M494" s="74"/>
      <x:c r="N494" s="91"/>
      <x:c r="O494" s="91"/>
      <x:c r="P494" s="91"/>
      <x:c r="Q494" s="91"/>
      <x:c r="R494" s="91"/>
      <x:c r="S494" s="85"/>
      <x:c r="U494" s="86"/>
      <x:c r="V494" s="32"/>
    </x:row>
    <x:row r="495">
      <x:c r="A495" s="87"/>
      <x:c r="B495" s="88"/>
      <x:c r="D495" s="32"/>
      <x:c r="G495" s="74"/>
      <x:c r="H495" s="74"/>
      <x:c r="I495" s="74"/>
      <x:c r="J495" s="74"/>
      <x:c r="K495" s="74"/>
      <x:c r="L495" s="74"/>
      <x:c r="M495" s="74"/>
      <x:c r="N495" s="91"/>
      <x:c r="O495" s="91"/>
      <x:c r="P495" s="91"/>
      <x:c r="Q495" s="91"/>
      <x:c r="R495" s="91"/>
      <x:c r="S495" s="85"/>
      <x:c r="U495" s="86"/>
      <x:c r="V495" s="32"/>
    </x:row>
    <x:row r="496">
      <x:c r="A496" s="87"/>
      <x:c r="B496" s="88"/>
      <x:c r="D496" s="32"/>
      <x:c r="G496" s="74"/>
      <x:c r="H496" s="74"/>
      <x:c r="I496" s="74"/>
      <x:c r="J496" s="74"/>
      <x:c r="K496" s="74"/>
      <x:c r="L496" s="74"/>
      <x:c r="M496" s="74"/>
      <x:c r="N496" s="91"/>
      <x:c r="O496" s="91"/>
      <x:c r="P496" s="91"/>
      <x:c r="Q496" s="91"/>
      <x:c r="R496" s="91"/>
      <x:c r="S496" s="85"/>
      <x:c r="U496" s="86"/>
      <x:c r="V496" s="32"/>
    </x:row>
    <x:row r="497">
      <x:c r="A497" s="87"/>
      <x:c r="B497" s="88"/>
      <x:c r="D497" s="32"/>
      <x:c r="G497" s="74"/>
      <x:c r="H497" s="74"/>
      <x:c r="I497" s="74"/>
      <x:c r="J497" s="74"/>
      <x:c r="K497" s="74"/>
      <x:c r="L497" s="74"/>
      <x:c r="M497" s="74"/>
      <x:c r="N497" s="91"/>
      <x:c r="O497" s="91"/>
      <x:c r="P497" s="91"/>
      <x:c r="Q497" s="91"/>
      <x:c r="R497" s="91"/>
      <x:c r="S497" s="85"/>
      <x:c r="U497" s="86"/>
      <x:c r="V497" s="32"/>
    </x:row>
    <x:row r="498">
      <x:c r="A498" s="87"/>
      <x:c r="B498" s="88"/>
      <x:c r="D498" s="32"/>
      <x:c r="G498" s="74"/>
      <x:c r="H498" s="74"/>
      <x:c r="I498" s="74"/>
      <x:c r="J498" s="74"/>
      <x:c r="K498" s="74"/>
      <x:c r="L498" s="74"/>
      <x:c r="M498" s="74"/>
      <x:c r="N498" s="91"/>
      <x:c r="O498" s="91"/>
      <x:c r="P498" s="91"/>
      <x:c r="Q498" s="91"/>
      <x:c r="R498" s="91"/>
      <x:c r="S498" s="85"/>
      <x:c r="U498" s="86"/>
      <x:c r="V498" s="32"/>
    </x:row>
    <x:row r="499">
      <x:c r="A499" s="87"/>
      <x:c r="B499" s="88"/>
      <x:c r="D499" s="32"/>
      <x:c r="G499" s="74"/>
      <x:c r="H499" s="74"/>
      <x:c r="I499" s="74"/>
      <x:c r="J499" s="74"/>
      <x:c r="K499" s="74"/>
      <x:c r="L499" s="74"/>
      <x:c r="M499" s="74"/>
      <x:c r="N499" s="91"/>
      <x:c r="O499" s="91"/>
      <x:c r="P499" s="91"/>
      <x:c r="Q499" s="91"/>
      <x:c r="R499" s="91"/>
      <x:c r="S499" s="85"/>
      <x:c r="U499" s="86"/>
      <x:c r="V499" s="32"/>
    </x:row>
    <x:row r="500">
      <x:c r="A500" s="87"/>
      <x:c r="B500" s="88"/>
      <x:c r="D500" s="32"/>
      <x:c r="G500" s="74"/>
      <x:c r="H500" s="74"/>
      <x:c r="I500" s="74"/>
      <x:c r="J500" s="74"/>
      <x:c r="K500" s="74"/>
      <x:c r="L500" s="74"/>
      <x:c r="M500" s="74"/>
      <x:c r="N500" s="91"/>
      <x:c r="O500" s="91"/>
      <x:c r="P500" s="91"/>
      <x:c r="Q500" s="91"/>
      <x:c r="R500" s="91"/>
      <x:c r="S500" s="85"/>
      <x:c r="U500" s="86"/>
      <x:c r="V500" s="32"/>
    </x:row>
    <x:row r="501">
      <x:c r="A501" s="87"/>
      <x:c r="B501" s="88"/>
      <x:c r="D501" s="32"/>
      <x:c r="G501" s="74"/>
      <x:c r="H501" s="74"/>
      <x:c r="I501" s="74"/>
      <x:c r="J501" s="74"/>
      <x:c r="K501" s="74"/>
      <x:c r="L501" s="74"/>
      <x:c r="M501" s="74"/>
      <x:c r="N501" s="91"/>
      <x:c r="O501" s="91"/>
      <x:c r="P501" s="91"/>
      <x:c r="Q501" s="91"/>
      <x:c r="R501" s="91"/>
      <x:c r="S501" s="85"/>
      <x:c r="U501" s="86"/>
      <x:c r="V501" s="32"/>
    </x:row>
    <x:row r="502">
      <x:c r="A502" s="87"/>
      <x:c r="B502" s="88"/>
      <x:c r="D502" s="32"/>
      <x:c r="G502" s="74"/>
      <x:c r="H502" s="74"/>
      <x:c r="I502" s="74"/>
      <x:c r="J502" s="74"/>
      <x:c r="K502" s="74"/>
      <x:c r="L502" s="74"/>
      <x:c r="M502" s="74"/>
      <x:c r="N502" s="91"/>
      <x:c r="O502" s="91"/>
      <x:c r="P502" s="91"/>
      <x:c r="Q502" s="91"/>
      <x:c r="R502" s="91"/>
      <x:c r="S502" s="85"/>
      <x:c r="U502" s="86"/>
      <x:c r="V502" s="32"/>
    </x:row>
    <x:row r="503">
      <x:c r="A503" s="87"/>
      <x:c r="B503" s="88"/>
      <x:c r="D503" s="32"/>
      <x:c r="G503" s="74"/>
      <x:c r="H503" s="74"/>
      <x:c r="I503" s="74"/>
      <x:c r="J503" s="74"/>
      <x:c r="K503" s="74"/>
      <x:c r="L503" s="74"/>
      <x:c r="M503" s="74"/>
      <x:c r="N503" s="91"/>
      <x:c r="O503" s="91"/>
      <x:c r="P503" s="91"/>
      <x:c r="Q503" s="91"/>
      <x:c r="R503" s="91"/>
      <x:c r="S503" s="85"/>
      <x:c r="U503" s="86"/>
      <x:c r="V503" s="32"/>
    </x:row>
    <x:row r="504">
      <x:c r="A504" s="87"/>
      <x:c r="B504" s="88"/>
      <x:c r="D504" s="32"/>
      <x:c r="G504" s="74"/>
      <x:c r="H504" s="74"/>
      <x:c r="I504" s="74"/>
      <x:c r="J504" s="74"/>
      <x:c r="K504" s="74"/>
      <x:c r="L504" s="74"/>
      <x:c r="M504" s="74"/>
      <x:c r="N504" s="91"/>
      <x:c r="O504" s="91"/>
      <x:c r="P504" s="91"/>
      <x:c r="Q504" s="91"/>
      <x:c r="R504" s="91"/>
      <x:c r="S504" s="85"/>
      <x:c r="U504" s="86"/>
      <x:c r="V504" s="32"/>
    </x:row>
    <x:row r="505">
      <x:c r="A505" s="87"/>
      <x:c r="B505" s="88"/>
      <x:c r="D505" s="32"/>
      <x:c r="G505" s="74"/>
      <x:c r="H505" s="74"/>
      <x:c r="I505" s="74"/>
      <x:c r="J505" s="74"/>
      <x:c r="K505" s="74"/>
      <x:c r="L505" s="74"/>
      <x:c r="M505" s="74"/>
      <x:c r="N505" s="91"/>
      <x:c r="O505" s="91"/>
      <x:c r="P505" s="91"/>
      <x:c r="Q505" s="91"/>
      <x:c r="R505" s="91"/>
      <x:c r="S505" s="85"/>
      <x:c r="U505" s="86"/>
      <x:c r="V505" s="32"/>
    </x:row>
    <x:row r="506">
      <x:c r="A506" s="87"/>
      <x:c r="B506" s="88"/>
      <x:c r="D506" s="32"/>
      <x:c r="G506" s="74"/>
      <x:c r="H506" s="74"/>
      <x:c r="I506" s="74"/>
      <x:c r="J506" s="74"/>
      <x:c r="K506" s="74"/>
      <x:c r="L506" s="74"/>
      <x:c r="M506" s="74"/>
      <x:c r="N506" s="91"/>
      <x:c r="O506" s="91"/>
      <x:c r="P506" s="91"/>
      <x:c r="Q506" s="91"/>
      <x:c r="R506" s="91"/>
      <x:c r="S506" s="85"/>
      <x:c r="U506" s="86"/>
      <x:c r="V506" s="32"/>
    </x:row>
    <x:row r="507">
      <x:c r="A507" s="87"/>
      <x:c r="B507" s="88"/>
      <x:c r="D507" s="32"/>
      <x:c r="G507" s="74"/>
      <x:c r="H507" s="74"/>
      <x:c r="I507" s="74"/>
      <x:c r="J507" s="74"/>
      <x:c r="K507" s="74"/>
      <x:c r="L507" s="74"/>
      <x:c r="M507" s="74"/>
      <x:c r="N507" s="91"/>
      <x:c r="O507" s="91"/>
      <x:c r="P507" s="91"/>
      <x:c r="Q507" s="91"/>
      <x:c r="R507" s="91"/>
      <x:c r="S507" s="85"/>
      <x:c r="U507" s="86"/>
      <x:c r="V507" s="32"/>
    </x:row>
    <x:row r="508">
      <x:c r="A508" s="87"/>
      <x:c r="B508" s="88"/>
      <x:c r="D508" s="32"/>
      <x:c r="G508" s="74"/>
      <x:c r="H508" s="74"/>
      <x:c r="I508" s="74"/>
      <x:c r="J508" s="74"/>
      <x:c r="K508" s="74"/>
      <x:c r="L508" s="74"/>
      <x:c r="M508" s="74"/>
      <x:c r="N508" s="91"/>
      <x:c r="O508" s="91"/>
      <x:c r="P508" s="91"/>
      <x:c r="Q508" s="91"/>
      <x:c r="R508" s="91"/>
      <x:c r="S508" s="85"/>
      <x:c r="U508" s="86"/>
      <x:c r="V508" s="32"/>
    </x:row>
    <x:row r="509">
      <x:c r="A509" s="87"/>
      <x:c r="B509" s="88"/>
      <x:c r="D509" s="32"/>
      <x:c r="G509" s="74"/>
      <x:c r="H509" s="74"/>
      <x:c r="I509" s="74"/>
      <x:c r="J509" s="74"/>
      <x:c r="K509" s="74"/>
      <x:c r="L509" s="74"/>
      <x:c r="M509" s="74"/>
      <x:c r="N509" s="91"/>
      <x:c r="O509" s="91"/>
      <x:c r="P509" s="91"/>
      <x:c r="Q509" s="91"/>
      <x:c r="R509" s="91"/>
      <x:c r="S509" s="85"/>
      <x:c r="U509" s="86"/>
      <x:c r="V509" s="32"/>
    </x:row>
    <x:row r="510">
      <x:c r="A510" s="87"/>
      <x:c r="B510" s="88"/>
      <x:c r="D510" s="32"/>
      <x:c r="G510" s="74"/>
      <x:c r="H510" s="74"/>
      <x:c r="I510" s="74"/>
      <x:c r="J510" s="74"/>
      <x:c r="K510" s="74"/>
      <x:c r="L510" s="74"/>
      <x:c r="M510" s="74"/>
      <x:c r="N510" s="91"/>
      <x:c r="O510" s="91"/>
      <x:c r="P510" s="91"/>
      <x:c r="Q510" s="91"/>
      <x:c r="R510" s="91"/>
      <x:c r="S510" s="85"/>
      <x:c r="U510" s="86"/>
      <x:c r="V510" s="32"/>
    </x:row>
    <x:row r="511">
      <x:c r="A511" s="87"/>
      <x:c r="B511" s="88"/>
      <x:c r="D511" s="32"/>
      <x:c r="G511" s="74"/>
      <x:c r="H511" s="74"/>
      <x:c r="I511" s="74"/>
      <x:c r="J511" s="74"/>
      <x:c r="K511" s="74"/>
      <x:c r="L511" s="74"/>
      <x:c r="M511" s="74"/>
      <x:c r="N511" s="91"/>
      <x:c r="O511" s="91"/>
      <x:c r="P511" s="91"/>
      <x:c r="Q511" s="91"/>
      <x:c r="R511" s="91"/>
      <x:c r="S511" s="85"/>
      <x:c r="U511" s="86"/>
      <x:c r="V511" s="32"/>
    </x:row>
    <x:row r="512">
      <x:c r="A512" s="87"/>
      <x:c r="B512" s="88"/>
      <x:c r="D512" s="32"/>
      <x:c r="G512" s="74"/>
      <x:c r="H512" s="74"/>
      <x:c r="I512" s="74"/>
      <x:c r="J512" s="74"/>
      <x:c r="K512" s="74"/>
      <x:c r="L512" s="74"/>
      <x:c r="M512" s="74"/>
      <x:c r="N512" s="91"/>
      <x:c r="O512" s="91"/>
      <x:c r="P512" s="91"/>
      <x:c r="Q512" s="91"/>
      <x:c r="R512" s="91"/>
      <x:c r="S512" s="85"/>
      <x:c r="U512" s="86"/>
      <x:c r="V512" s="32"/>
    </x:row>
    <x:row r="513">
      <x:c r="A513" s="87"/>
      <x:c r="B513" s="88"/>
      <x:c r="D513" s="32"/>
      <x:c r="G513" s="74"/>
      <x:c r="H513" s="74"/>
      <x:c r="I513" s="74"/>
      <x:c r="J513" s="74"/>
      <x:c r="K513" s="74"/>
      <x:c r="L513" s="74"/>
      <x:c r="M513" s="74"/>
      <x:c r="N513" s="91"/>
      <x:c r="O513" s="91"/>
      <x:c r="P513" s="91"/>
      <x:c r="Q513" s="91"/>
      <x:c r="R513" s="91"/>
      <x:c r="S513" s="85"/>
      <x:c r="U513" s="86"/>
      <x:c r="V513" s="32"/>
    </x:row>
    <x:row r="514">
      <x:c r="A514" s="87"/>
      <x:c r="B514" s="88"/>
      <x:c r="D514" s="32"/>
      <x:c r="G514" s="74"/>
      <x:c r="H514" s="74"/>
      <x:c r="I514" s="74"/>
      <x:c r="J514" s="74"/>
      <x:c r="K514" s="74"/>
      <x:c r="L514" s="74"/>
      <x:c r="M514" s="74"/>
      <x:c r="N514" s="91"/>
      <x:c r="O514" s="91"/>
      <x:c r="P514" s="91"/>
      <x:c r="Q514" s="91"/>
      <x:c r="R514" s="91"/>
      <x:c r="S514" s="85"/>
      <x:c r="U514" s="86"/>
      <x:c r="V514" s="32"/>
    </x:row>
    <x:row r="515">
      <x:c r="A515" s="87"/>
      <x:c r="B515" s="88"/>
      <x:c r="D515" s="32"/>
      <x:c r="G515" s="74"/>
      <x:c r="H515" s="74"/>
      <x:c r="I515" s="74"/>
      <x:c r="J515" s="74"/>
      <x:c r="K515" s="74"/>
      <x:c r="L515" s="74"/>
      <x:c r="M515" s="74"/>
      <x:c r="N515" s="91"/>
      <x:c r="O515" s="91"/>
      <x:c r="P515" s="91"/>
      <x:c r="Q515" s="91"/>
      <x:c r="R515" s="91"/>
      <x:c r="S515" s="85"/>
      <x:c r="U515" s="86"/>
      <x:c r="V515" s="32"/>
    </x:row>
    <x:row r="516">
      <x:c r="A516" s="87"/>
      <x:c r="B516" s="88"/>
      <x:c r="D516" s="32"/>
      <x:c r="G516" s="74"/>
      <x:c r="H516" s="74"/>
      <x:c r="I516" s="74"/>
      <x:c r="J516" s="74"/>
      <x:c r="K516" s="74"/>
      <x:c r="L516" s="74"/>
      <x:c r="M516" s="74"/>
      <x:c r="N516" s="91"/>
      <x:c r="O516" s="91"/>
      <x:c r="P516" s="91"/>
      <x:c r="Q516" s="91"/>
      <x:c r="R516" s="91"/>
      <x:c r="S516" s="85"/>
      <x:c r="U516" s="86"/>
      <x:c r="V516" s="32"/>
    </x:row>
    <x:row r="517">
      <x:c r="A517" s="87"/>
      <x:c r="B517" s="88"/>
      <x:c r="D517" s="32"/>
      <x:c r="G517" s="74"/>
      <x:c r="H517" s="74"/>
      <x:c r="I517" s="74"/>
      <x:c r="J517" s="74"/>
      <x:c r="K517" s="74"/>
      <x:c r="L517" s="74"/>
      <x:c r="M517" s="74"/>
      <x:c r="N517" s="91"/>
      <x:c r="O517" s="91"/>
      <x:c r="P517" s="91"/>
      <x:c r="Q517" s="91"/>
      <x:c r="R517" s="91"/>
      <x:c r="S517" s="85"/>
      <x:c r="U517" s="86"/>
      <x:c r="V517" s="32"/>
    </x:row>
    <x:row r="518">
      <x:c r="A518" s="87"/>
      <x:c r="B518" s="88"/>
      <x:c r="D518" s="32"/>
      <x:c r="G518" s="74"/>
      <x:c r="H518" s="74"/>
      <x:c r="I518" s="74"/>
      <x:c r="J518" s="74"/>
      <x:c r="K518" s="74"/>
      <x:c r="L518" s="74"/>
      <x:c r="M518" s="74"/>
      <x:c r="N518" s="91"/>
      <x:c r="O518" s="91"/>
      <x:c r="P518" s="91"/>
      <x:c r="Q518" s="91"/>
      <x:c r="R518" s="91"/>
      <x:c r="S518" s="85"/>
      <x:c r="U518" s="86"/>
      <x:c r="V518" s="32"/>
    </x:row>
    <x:row r="519">
      <x:c r="A519" s="87"/>
      <x:c r="B519" s="88"/>
      <x:c r="D519" s="32"/>
      <x:c r="G519" s="74"/>
      <x:c r="H519" s="74"/>
      <x:c r="I519" s="74"/>
      <x:c r="J519" s="74"/>
      <x:c r="K519" s="74"/>
      <x:c r="L519" s="74"/>
      <x:c r="M519" s="74"/>
      <x:c r="N519" s="91"/>
      <x:c r="O519" s="91"/>
      <x:c r="P519" s="91"/>
      <x:c r="Q519" s="91"/>
      <x:c r="R519" s="91"/>
      <x:c r="S519" s="85"/>
      <x:c r="U519" s="86"/>
      <x:c r="V519" s="32"/>
    </x:row>
    <x:row r="520">
      <x:c r="A520" s="87"/>
      <x:c r="B520" s="88"/>
      <x:c r="D520" s="32"/>
      <x:c r="G520" s="74"/>
      <x:c r="H520" s="74"/>
      <x:c r="I520" s="74"/>
      <x:c r="J520" s="74"/>
      <x:c r="K520" s="74"/>
      <x:c r="L520" s="74"/>
      <x:c r="M520" s="74"/>
      <x:c r="N520" s="91"/>
      <x:c r="O520" s="91"/>
      <x:c r="P520" s="91"/>
      <x:c r="Q520" s="91"/>
      <x:c r="R520" s="91"/>
      <x:c r="S520" s="85"/>
      <x:c r="U520" s="86"/>
      <x:c r="V520" s="32"/>
    </x:row>
    <x:row r="521">
      <x:c r="A521" s="87"/>
      <x:c r="B521" s="88"/>
      <x:c r="D521" s="32"/>
      <x:c r="G521" s="74"/>
      <x:c r="H521" s="74"/>
      <x:c r="I521" s="74"/>
      <x:c r="J521" s="74"/>
      <x:c r="K521" s="74"/>
      <x:c r="L521" s="74"/>
      <x:c r="M521" s="74"/>
      <x:c r="N521" s="91"/>
      <x:c r="O521" s="91"/>
      <x:c r="P521" s="91"/>
      <x:c r="Q521" s="91"/>
      <x:c r="R521" s="91"/>
      <x:c r="S521" s="85"/>
      <x:c r="U521" s="86"/>
      <x:c r="V521" s="32"/>
    </x:row>
    <x:row r="522">
      <x:c r="A522" s="87"/>
      <x:c r="B522" s="88"/>
      <x:c r="D522" s="32"/>
      <x:c r="G522" s="74"/>
      <x:c r="H522" s="74"/>
      <x:c r="I522" s="74"/>
      <x:c r="J522" s="74"/>
      <x:c r="K522" s="74"/>
      <x:c r="L522" s="74"/>
      <x:c r="M522" s="74"/>
      <x:c r="N522" s="91"/>
      <x:c r="O522" s="91"/>
      <x:c r="P522" s="91"/>
      <x:c r="Q522" s="91"/>
      <x:c r="R522" s="91"/>
      <x:c r="S522" s="85"/>
      <x:c r="U522" s="86"/>
      <x:c r="V522" s="32"/>
    </x:row>
    <x:row r="523">
      <x:c r="A523" s="87"/>
      <x:c r="B523" s="88"/>
      <x:c r="D523" s="32"/>
      <x:c r="G523" s="74"/>
      <x:c r="H523" s="74"/>
      <x:c r="I523" s="74"/>
      <x:c r="J523" s="74"/>
      <x:c r="K523" s="74"/>
      <x:c r="L523" s="74"/>
      <x:c r="M523" s="74"/>
      <x:c r="N523" s="91"/>
      <x:c r="O523" s="91"/>
      <x:c r="P523" s="91"/>
      <x:c r="Q523" s="91"/>
      <x:c r="R523" s="91"/>
      <x:c r="S523" s="85"/>
      <x:c r="U523" s="86"/>
      <x:c r="V523" s="32"/>
    </x:row>
    <x:row r="524">
      <x:c r="A524" s="87"/>
      <x:c r="B524" s="88"/>
      <x:c r="D524" s="32"/>
      <x:c r="G524" s="74"/>
      <x:c r="H524" s="74"/>
      <x:c r="I524" s="74"/>
      <x:c r="J524" s="74"/>
      <x:c r="K524" s="74"/>
      <x:c r="L524" s="74"/>
      <x:c r="M524" s="74"/>
      <x:c r="N524" s="91"/>
      <x:c r="O524" s="91"/>
      <x:c r="P524" s="91"/>
      <x:c r="Q524" s="91"/>
      <x:c r="R524" s="91"/>
      <x:c r="S524" s="85"/>
      <x:c r="U524" s="86"/>
      <x:c r="V524" s="32"/>
    </x:row>
    <x:row r="525">
      <x:c r="A525" s="87"/>
      <x:c r="B525" s="88"/>
      <x:c r="D525" s="32"/>
      <x:c r="G525" s="74"/>
      <x:c r="H525" s="74"/>
      <x:c r="I525" s="74"/>
      <x:c r="J525" s="74"/>
      <x:c r="K525" s="74"/>
      <x:c r="L525" s="74"/>
      <x:c r="M525" s="74"/>
      <x:c r="N525" s="91"/>
      <x:c r="O525" s="91"/>
      <x:c r="P525" s="91"/>
      <x:c r="Q525" s="91"/>
      <x:c r="R525" s="91"/>
      <x:c r="S525" s="85"/>
      <x:c r="U525" s="86"/>
      <x:c r="V525" s="32"/>
    </x:row>
    <x:row r="526">
      <x:c r="A526" s="87"/>
      <x:c r="B526" s="88"/>
      <x:c r="D526" s="32"/>
      <x:c r="G526" s="74"/>
      <x:c r="H526" s="74"/>
      <x:c r="I526" s="74"/>
      <x:c r="J526" s="74"/>
      <x:c r="K526" s="74"/>
      <x:c r="L526" s="74"/>
      <x:c r="M526" s="74"/>
      <x:c r="N526" s="91"/>
      <x:c r="O526" s="91"/>
      <x:c r="P526" s="91"/>
      <x:c r="Q526" s="91"/>
      <x:c r="R526" s="91"/>
      <x:c r="S526" s="85"/>
      <x:c r="U526" s="86"/>
      <x:c r="V526" s="32"/>
    </x:row>
    <x:row r="527">
      <x:c r="A527" s="87"/>
      <x:c r="B527" s="88"/>
      <x:c r="D527" s="32"/>
      <x:c r="G527" s="74"/>
      <x:c r="H527" s="74"/>
      <x:c r="I527" s="74"/>
      <x:c r="J527" s="74"/>
      <x:c r="K527" s="74"/>
      <x:c r="L527" s="74"/>
      <x:c r="M527" s="74"/>
      <x:c r="N527" s="91"/>
      <x:c r="O527" s="91"/>
      <x:c r="P527" s="91"/>
      <x:c r="Q527" s="91"/>
      <x:c r="R527" s="91"/>
      <x:c r="S527" s="85"/>
      <x:c r="U527" s="86"/>
      <x:c r="V527" s="32"/>
    </x:row>
    <x:row r="528">
      <x:c r="A528" s="87"/>
      <x:c r="B528" s="88"/>
      <x:c r="D528" s="32"/>
      <x:c r="G528" s="74"/>
      <x:c r="H528" s="74"/>
      <x:c r="I528" s="74"/>
      <x:c r="J528" s="74"/>
      <x:c r="K528" s="74"/>
      <x:c r="L528" s="74"/>
      <x:c r="M528" s="74"/>
      <x:c r="N528" s="91"/>
      <x:c r="O528" s="91"/>
      <x:c r="P528" s="91"/>
      <x:c r="Q528" s="91"/>
      <x:c r="R528" s="91"/>
      <x:c r="S528" s="85"/>
      <x:c r="U528" s="86"/>
      <x:c r="V528" s="32"/>
    </x:row>
    <x:row r="529">
      <x:c r="A529" s="87"/>
      <x:c r="B529" s="88"/>
      <x:c r="D529" s="32"/>
      <x:c r="G529" s="74"/>
      <x:c r="H529" s="74"/>
      <x:c r="I529" s="74"/>
      <x:c r="J529" s="74"/>
      <x:c r="K529" s="74"/>
      <x:c r="L529" s="74"/>
      <x:c r="M529" s="74"/>
      <x:c r="N529" s="91"/>
      <x:c r="O529" s="91"/>
      <x:c r="P529" s="91"/>
      <x:c r="Q529" s="91"/>
      <x:c r="R529" s="91"/>
      <x:c r="S529" s="85"/>
      <x:c r="U529" s="86"/>
      <x:c r="V529" s="32"/>
    </x:row>
    <x:row r="530">
      <x:c r="A530" s="87"/>
      <x:c r="B530" s="88"/>
      <x:c r="D530" s="32"/>
      <x:c r="G530" s="74"/>
      <x:c r="H530" s="74"/>
      <x:c r="I530" s="74"/>
      <x:c r="J530" s="74"/>
      <x:c r="K530" s="74"/>
      <x:c r="L530" s="74"/>
      <x:c r="M530" s="74"/>
      <x:c r="N530" s="91"/>
      <x:c r="O530" s="91"/>
      <x:c r="P530" s="91"/>
      <x:c r="Q530" s="91"/>
      <x:c r="R530" s="91"/>
      <x:c r="S530" s="85"/>
      <x:c r="U530" s="86"/>
      <x:c r="V530" s="32"/>
    </x:row>
    <x:row r="531">
      <x:c r="A531" s="87"/>
      <x:c r="B531" s="88"/>
      <x:c r="D531" s="32"/>
      <x:c r="G531" s="74"/>
      <x:c r="H531" s="74"/>
      <x:c r="I531" s="74"/>
      <x:c r="J531" s="74"/>
      <x:c r="K531" s="74"/>
      <x:c r="L531" s="74"/>
      <x:c r="M531" s="74"/>
      <x:c r="N531" s="91"/>
      <x:c r="O531" s="91"/>
      <x:c r="P531" s="91"/>
      <x:c r="Q531" s="91"/>
      <x:c r="R531" s="91"/>
      <x:c r="S531" s="85"/>
      <x:c r="U531" s="86"/>
      <x:c r="V531" s="32"/>
    </x:row>
    <x:row r="532">
      <x:c r="A532" s="87"/>
      <x:c r="B532" s="88"/>
      <x:c r="D532" s="32"/>
      <x:c r="G532" s="74"/>
      <x:c r="H532" s="74"/>
      <x:c r="I532" s="74"/>
      <x:c r="J532" s="74"/>
      <x:c r="K532" s="74"/>
      <x:c r="L532" s="74"/>
      <x:c r="M532" s="74"/>
      <x:c r="N532" s="91"/>
      <x:c r="O532" s="91"/>
      <x:c r="P532" s="91"/>
      <x:c r="Q532" s="91"/>
      <x:c r="R532" s="91"/>
      <x:c r="S532" s="85"/>
      <x:c r="U532" s="86"/>
      <x:c r="V532" s="32"/>
    </x:row>
    <x:row r="533">
      <x:c r="A533" s="87"/>
      <x:c r="B533" s="88"/>
      <x:c r="D533" s="32"/>
      <x:c r="G533" s="74"/>
      <x:c r="H533" s="74"/>
      <x:c r="I533" s="74"/>
      <x:c r="J533" s="74"/>
      <x:c r="K533" s="74"/>
      <x:c r="L533" s="74"/>
      <x:c r="M533" s="74"/>
      <x:c r="N533" s="91"/>
      <x:c r="O533" s="91"/>
      <x:c r="P533" s="91"/>
      <x:c r="Q533" s="91"/>
      <x:c r="R533" s="91"/>
      <x:c r="S533" s="85"/>
      <x:c r="U533" s="86"/>
      <x:c r="V533" s="32"/>
    </x:row>
    <x:row r="534">
      <x:c r="A534" s="87"/>
      <x:c r="B534" s="88"/>
      <x:c r="D534" s="32"/>
      <x:c r="G534" s="74"/>
      <x:c r="H534" s="74"/>
      <x:c r="I534" s="74"/>
      <x:c r="J534" s="74"/>
      <x:c r="K534" s="74"/>
      <x:c r="L534" s="74"/>
      <x:c r="M534" s="74"/>
      <x:c r="N534" s="91"/>
      <x:c r="O534" s="91"/>
      <x:c r="P534" s="91"/>
      <x:c r="Q534" s="91"/>
      <x:c r="R534" s="91"/>
      <x:c r="S534" s="85"/>
      <x:c r="U534" s="86"/>
      <x:c r="V534" s="32"/>
    </x:row>
    <x:row r="535">
      <x:c r="A535" s="87"/>
      <x:c r="B535" s="88"/>
      <x:c r="D535" s="32"/>
      <x:c r="G535" s="74"/>
      <x:c r="H535" s="74"/>
      <x:c r="I535" s="74"/>
      <x:c r="J535" s="74"/>
      <x:c r="K535" s="74"/>
      <x:c r="L535" s="74"/>
      <x:c r="M535" s="74"/>
      <x:c r="N535" s="91"/>
      <x:c r="O535" s="91"/>
      <x:c r="P535" s="91"/>
      <x:c r="Q535" s="91"/>
      <x:c r="R535" s="91"/>
      <x:c r="S535" s="85"/>
      <x:c r="U535" s="86"/>
      <x:c r="V535" s="32"/>
    </x:row>
    <x:row r="536">
      <x:c r="A536" s="87"/>
      <x:c r="B536" s="88"/>
      <x:c r="D536" s="32"/>
      <x:c r="G536" s="74"/>
      <x:c r="H536" s="74"/>
      <x:c r="I536" s="74"/>
      <x:c r="J536" s="74"/>
      <x:c r="K536" s="74"/>
      <x:c r="L536" s="74"/>
      <x:c r="M536" s="74"/>
      <x:c r="N536" s="91"/>
      <x:c r="O536" s="91"/>
      <x:c r="P536" s="91"/>
      <x:c r="Q536" s="91"/>
      <x:c r="R536" s="91"/>
      <x:c r="S536" s="85"/>
      <x:c r="U536" s="86"/>
      <x:c r="V536" s="32"/>
    </x:row>
    <x:row r="537">
      <x:c r="A537" s="87"/>
      <x:c r="B537" s="88"/>
      <x:c r="D537" s="32"/>
      <x:c r="G537" s="74"/>
      <x:c r="H537" s="74"/>
      <x:c r="I537" s="74"/>
      <x:c r="J537" s="74"/>
      <x:c r="K537" s="74"/>
      <x:c r="L537" s="74"/>
      <x:c r="M537" s="74"/>
      <x:c r="N537" s="91"/>
      <x:c r="O537" s="91"/>
      <x:c r="P537" s="91"/>
      <x:c r="Q537" s="91"/>
      <x:c r="R537" s="91"/>
      <x:c r="S537" s="85"/>
      <x:c r="U537" s="86"/>
      <x:c r="V537" s="32"/>
    </x:row>
    <x:row r="538">
      <x:c r="A538" s="87"/>
      <x:c r="B538" s="88"/>
      <x:c r="D538" s="32"/>
      <x:c r="G538" s="74"/>
      <x:c r="H538" s="74"/>
      <x:c r="I538" s="74"/>
      <x:c r="J538" s="74"/>
      <x:c r="K538" s="74"/>
      <x:c r="L538" s="74"/>
      <x:c r="M538" s="74"/>
      <x:c r="N538" s="91"/>
      <x:c r="O538" s="91"/>
      <x:c r="P538" s="91"/>
      <x:c r="Q538" s="91"/>
      <x:c r="R538" s="91"/>
      <x:c r="S538" s="85"/>
      <x:c r="U538" s="86"/>
      <x:c r="V538" s="32"/>
    </x:row>
    <x:row r="539">
      <x:c r="A539" s="87"/>
      <x:c r="B539" s="88"/>
      <x:c r="D539" s="32"/>
      <x:c r="G539" s="74"/>
      <x:c r="H539" s="74"/>
      <x:c r="I539" s="74"/>
      <x:c r="J539" s="74"/>
      <x:c r="K539" s="74"/>
      <x:c r="L539" s="74"/>
      <x:c r="M539" s="74"/>
      <x:c r="N539" s="91"/>
      <x:c r="O539" s="91"/>
      <x:c r="P539" s="91"/>
      <x:c r="Q539" s="91"/>
      <x:c r="R539" s="91"/>
      <x:c r="S539" s="85"/>
      <x:c r="U539" s="86"/>
      <x:c r="V539" s="32"/>
    </x:row>
    <x:row r="540">
      <x:c r="A540" s="87"/>
      <x:c r="B540" s="88"/>
      <x:c r="D540" s="32"/>
      <x:c r="G540" s="74"/>
      <x:c r="H540" s="74"/>
      <x:c r="I540" s="74"/>
      <x:c r="J540" s="74"/>
      <x:c r="K540" s="74"/>
      <x:c r="L540" s="74"/>
      <x:c r="M540" s="74"/>
      <x:c r="N540" s="91"/>
      <x:c r="O540" s="91"/>
      <x:c r="P540" s="91"/>
      <x:c r="Q540" s="91"/>
      <x:c r="R540" s="91"/>
      <x:c r="S540" s="85"/>
      <x:c r="U540" s="86"/>
      <x:c r="V540" s="32"/>
    </x:row>
    <x:row r="541">
      <x:c r="A541" s="87"/>
      <x:c r="B541" s="88"/>
      <x:c r="D541" s="32"/>
      <x:c r="G541" s="74"/>
      <x:c r="H541" s="74"/>
      <x:c r="I541" s="74"/>
      <x:c r="J541" s="74"/>
      <x:c r="K541" s="74"/>
      <x:c r="L541" s="74"/>
      <x:c r="M541" s="74"/>
      <x:c r="N541" s="91"/>
      <x:c r="O541" s="91"/>
      <x:c r="P541" s="91"/>
      <x:c r="Q541" s="91"/>
      <x:c r="R541" s="91"/>
      <x:c r="S541" s="85"/>
      <x:c r="U541" s="86"/>
      <x:c r="V541" s="32"/>
    </x:row>
    <x:row r="542">
      <x:c r="A542" s="87"/>
      <x:c r="B542" s="88"/>
      <x:c r="D542" s="32"/>
      <x:c r="G542" s="74"/>
      <x:c r="H542" s="74"/>
      <x:c r="I542" s="74"/>
      <x:c r="J542" s="74"/>
      <x:c r="K542" s="74"/>
      <x:c r="L542" s="74"/>
      <x:c r="M542" s="74"/>
      <x:c r="N542" s="91"/>
      <x:c r="O542" s="91"/>
      <x:c r="P542" s="91"/>
      <x:c r="Q542" s="91"/>
      <x:c r="R542" s="91"/>
      <x:c r="S542" s="85"/>
      <x:c r="U542" s="86"/>
      <x:c r="V542" s="32"/>
    </x:row>
    <x:row r="543">
      <x:c r="A543" s="87"/>
      <x:c r="B543" s="88"/>
      <x:c r="D543" s="32"/>
      <x:c r="G543" s="74"/>
      <x:c r="H543" s="74"/>
      <x:c r="I543" s="74"/>
      <x:c r="J543" s="74"/>
      <x:c r="K543" s="74"/>
      <x:c r="L543" s="74"/>
      <x:c r="M543" s="74"/>
      <x:c r="N543" s="91"/>
      <x:c r="O543" s="91"/>
      <x:c r="P543" s="91"/>
      <x:c r="Q543" s="91"/>
      <x:c r="R543" s="91"/>
      <x:c r="S543" s="85"/>
      <x:c r="U543" s="86"/>
      <x:c r="V543" s="32"/>
    </x:row>
    <x:row r="544">
      <x:c r="A544" s="87"/>
      <x:c r="B544" s="88"/>
      <x:c r="D544" s="32"/>
      <x:c r="G544" s="74"/>
      <x:c r="H544" s="74"/>
      <x:c r="I544" s="74"/>
      <x:c r="J544" s="74"/>
      <x:c r="K544" s="74"/>
      <x:c r="L544" s="74"/>
      <x:c r="M544" s="74"/>
      <x:c r="N544" s="91"/>
      <x:c r="O544" s="91"/>
      <x:c r="P544" s="91"/>
      <x:c r="Q544" s="91"/>
      <x:c r="R544" s="91"/>
      <x:c r="S544" s="85"/>
      <x:c r="U544" s="86"/>
      <x:c r="V544" s="32"/>
    </x:row>
    <x:row r="545">
      <x:c r="A545" s="87"/>
      <x:c r="B545" s="88"/>
      <x:c r="D545" s="32"/>
      <x:c r="G545" s="74"/>
      <x:c r="H545" s="74"/>
      <x:c r="I545" s="74"/>
      <x:c r="J545" s="74"/>
      <x:c r="K545" s="74"/>
      <x:c r="L545" s="74"/>
      <x:c r="M545" s="74"/>
      <x:c r="N545" s="91"/>
      <x:c r="O545" s="91"/>
      <x:c r="P545" s="91"/>
      <x:c r="Q545" s="91"/>
      <x:c r="R545" s="91"/>
      <x:c r="S545" s="85"/>
      <x:c r="U545" s="86"/>
      <x:c r="V545" s="32"/>
    </x:row>
    <x:row r="546">
      <x:c r="A546" s="87"/>
      <x:c r="B546" s="88"/>
      <x:c r="D546" s="32"/>
      <x:c r="G546" s="74"/>
      <x:c r="H546" s="74"/>
      <x:c r="I546" s="74"/>
      <x:c r="J546" s="74"/>
      <x:c r="K546" s="74"/>
      <x:c r="L546" s="74"/>
      <x:c r="M546" s="74"/>
      <x:c r="N546" s="91"/>
      <x:c r="O546" s="91"/>
      <x:c r="P546" s="91"/>
      <x:c r="Q546" s="91"/>
      <x:c r="R546" s="91"/>
      <x:c r="S546" s="85"/>
      <x:c r="U546" s="86"/>
      <x:c r="V546" s="32"/>
    </x:row>
    <x:row r="547">
      <x:c r="A547" s="87"/>
      <x:c r="B547" s="88"/>
      <x:c r="D547" s="32"/>
      <x:c r="G547" s="74"/>
      <x:c r="H547" s="74"/>
      <x:c r="I547" s="74"/>
      <x:c r="J547" s="74"/>
      <x:c r="K547" s="74"/>
      <x:c r="L547" s="74"/>
      <x:c r="M547" s="74"/>
      <x:c r="N547" s="91"/>
      <x:c r="O547" s="91"/>
      <x:c r="P547" s="91"/>
      <x:c r="Q547" s="91"/>
      <x:c r="R547" s="91"/>
      <x:c r="S547" s="85"/>
      <x:c r="U547" s="86"/>
      <x:c r="V547" s="32"/>
    </x:row>
    <x:row r="548">
      <x:c r="A548" s="87"/>
      <x:c r="B548" s="88"/>
      <x:c r="D548" s="32"/>
      <x:c r="G548" s="74"/>
      <x:c r="H548" s="74"/>
      <x:c r="I548" s="74"/>
      <x:c r="J548" s="74"/>
      <x:c r="K548" s="74"/>
      <x:c r="L548" s="74"/>
      <x:c r="M548" s="74"/>
      <x:c r="N548" s="91"/>
      <x:c r="O548" s="91"/>
      <x:c r="P548" s="91"/>
      <x:c r="Q548" s="91"/>
      <x:c r="R548" s="91"/>
      <x:c r="S548" s="85"/>
      <x:c r="U548" s="86"/>
      <x:c r="V548" s="32"/>
    </x:row>
    <x:row r="549">
      <x:c r="A549" s="87"/>
      <x:c r="B549" s="88"/>
      <x:c r="D549" s="32"/>
      <x:c r="G549" s="74"/>
      <x:c r="H549" s="74"/>
      <x:c r="I549" s="74"/>
      <x:c r="J549" s="74"/>
      <x:c r="K549" s="74"/>
      <x:c r="L549" s="74"/>
      <x:c r="M549" s="74"/>
      <x:c r="N549" s="91"/>
      <x:c r="O549" s="91"/>
      <x:c r="P549" s="91"/>
      <x:c r="Q549" s="91"/>
      <x:c r="R549" s="91"/>
      <x:c r="S549" s="85"/>
      <x:c r="U549" s="86"/>
      <x:c r="V549" s="32"/>
    </x:row>
    <x:row r="550">
      <x:c r="A550" s="87"/>
      <x:c r="B550" s="88"/>
      <x:c r="D550" s="32"/>
      <x:c r="G550" s="74"/>
      <x:c r="H550" s="74"/>
      <x:c r="I550" s="74"/>
      <x:c r="J550" s="74"/>
      <x:c r="K550" s="74"/>
      <x:c r="L550" s="74"/>
      <x:c r="M550" s="74"/>
      <x:c r="N550" s="91"/>
      <x:c r="O550" s="91"/>
      <x:c r="P550" s="91"/>
      <x:c r="Q550" s="91"/>
      <x:c r="R550" s="91"/>
      <x:c r="S550" s="85"/>
      <x:c r="U550" s="86"/>
      <x:c r="V550" s="32"/>
    </x:row>
    <x:row r="551">
      <x:c r="A551" s="87"/>
      <x:c r="B551" s="88"/>
      <x:c r="D551" s="32"/>
      <x:c r="G551" s="74"/>
      <x:c r="H551" s="74"/>
      <x:c r="I551" s="74"/>
      <x:c r="J551" s="74"/>
      <x:c r="K551" s="74"/>
      <x:c r="L551" s="74"/>
      <x:c r="M551" s="74"/>
      <x:c r="N551" s="91"/>
      <x:c r="O551" s="91"/>
      <x:c r="P551" s="91"/>
      <x:c r="Q551" s="91"/>
      <x:c r="R551" s="91"/>
      <x:c r="S551" s="85"/>
      <x:c r="U551" s="86"/>
      <x:c r="V551" s="32"/>
    </x:row>
    <x:row r="552">
      <x:c r="A552" s="87"/>
      <x:c r="B552" s="88"/>
      <x:c r="D552" s="32"/>
      <x:c r="G552" s="74"/>
      <x:c r="H552" s="74"/>
      <x:c r="I552" s="74"/>
      <x:c r="J552" s="74"/>
      <x:c r="K552" s="74"/>
      <x:c r="L552" s="74"/>
      <x:c r="M552" s="74"/>
      <x:c r="N552" s="91"/>
      <x:c r="O552" s="91"/>
      <x:c r="P552" s="91"/>
      <x:c r="Q552" s="91"/>
      <x:c r="R552" s="91"/>
      <x:c r="S552" s="85"/>
      <x:c r="U552" s="86"/>
      <x:c r="V552" s="32"/>
    </x:row>
    <x:row r="553">
      <x:c r="A553" s="87"/>
      <x:c r="B553" s="88"/>
      <x:c r="D553" s="32"/>
      <x:c r="G553" s="74"/>
      <x:c r="H553" s="74"/>
      <x:c r="I553" s="74"/>
      <x:c r="J553" s="74"/>
      <x:c r="K553" s="74"/>
      <x:c r="L553" s="74"/>
      <x:c r="M553" s="74"/>
      <x:c r="N553" s="91"/>
      <x:c r="O553" s="91"/>
      <x:c r="P553" s="91"/>
      <x:c r="Q553" s="91"/>
      <x:c r="R553" s="91"/>
      <x:c r="S553" s="85"/>
      <x:c r="U553" s="86"/>
      <x:c r="V553" s="32"/>
    </x:row>
    <x:row r="554">
      <x:c r="A554" s="87"/>
      <x:c r="B554" s="88"/>
      <x:c r="D554" s="32"/>
      <x:c r="G554" s="74"/>
      <x:c r="H554" s="74"/>
      <x:c r="I554" s="74"/>
      <x:c r="J554" s="74"/>
      <x:c r="K554" s="74"/>
      <x:c r="L554" s="74"/>
      <x:c r="M554" s="74"/>
      <x:c r="N554" s="91"/>
      <x:c r="O554" s="91"/>
      <x:c r="P554" s="91"/>
      <x:c r="Q554" s="91"/>
      <x:c r="R554" s="91"/>
      <x:c r="S554" s="85"/>
      <x:c r="U554" s="86"/>
      <x:c r="V554" s="32"/>
    </x:row>
    <x:row r="555">
      <x:c r="A555" s="87"/>
      <x:c r="B555" s="88"/>
      <x:c r="D555" s="32"/>
      <x:c r="G555" s="74"/>
      <x:c r="H555" s="74"/>
      <x:c r="I555" s="74"/>
      <x:c r="J555" s="74"/>
      <x:c r="K555" s="74"/>
      <x:c r="L555" s="74"/>
      <x:c r="M555" s="74"/>
      <x:c r="N555" s="91"/>
      <x:c r="O555" s="91"/>
      <x:c r="P555" s="91"/>
      <x:c r="Q555" s="91"/>
      <x:c r="R555" s="91"/>
      <x:c r="S555" s="85"/>
      <x:c r="U555" s="86"/>
      <x:c r="V555" s="32"/>
    </x:row>
    <x:row r="556">
      <x:c r="A556" s="87"/>
      <x:c r="B556" s="88"/>
      <x:c r="D556" s="32"/>
      <x:c r="G556" s="74"/>
      <x:c r="H556" s="74"/>
      <x:c r="I556" s="74"/>
      <x:c r="J556" s="74"/>
      <x:c r="K556" s="74"/>
      <x:c r="L556" s="74"/>
      <x:c r="M556" s="74"/>
      <x:c r="N556" s="91"/>
      <x:c r="O556" s="91"/>
      <x:c r="P556" s="91"/>
      <x:c r="Q556" s="91"/>
      <x:c r="R556" s="91"/>
      <x:c r="S556" s="85"/>
      <x:c r="U556" s="86"/>
      <x:c r="V556" s="32"/>
    </x:row>
    <x:row r="557">
      <x:c r="A557" s="87"/>
      <x:c r="B557" s="88"/>
      <x:c r="D557" s="32"/>
      <x:c r="G557" s="74"/>
      <x:c r="H557" s="74"/>
      <x:c r="I557" s="74"/>
      <x:c r="J557" s="74"/>
      <x:c r="K557" s="74"/>
      <x:c r="L557" s="74"/>
      <x:c r="M557" s="74"/>
      <x:c r="N557" s="91"/>
      <x:c r="O557" s="91"/>
      <x:c r="P557" s="91"/>
      <x:c r="Q557" s="91"/>
      <x:c r="R557" s="91"/>
      <x:c r="S557" s="85"/>
      <x:c r="U557" s="86"/>
      <x:c r="V557" s="32"/>
    </x:row>
    <x:row r="558">
      <x:c r="A558" s="87"/>
      <x:c r="B558" s="88"/>
      <x:c r="D558" s="32"/>
      <x:c r="G558" s="74"/>
      <x:c r="H558" s="74"/>
      <x:c r="I558" s="74"/>
      <x:c r="J558" s="74"/>
      <x:c r="K558" s="74"/>
      <x:c r="L558" s="74"/>
      <x:c r="M558" s="74"/>
      <x:c r="N558" s="91"/>
      <x:c r="O558" s="91"/>
      <x:c r="P558" s="91"/>
      <x:c r="Q558" s="91"/>
      <x:c r="R558" s="91"/>
      <x:c r="S558" s="85"/>
      <x:c r="U558" s="86"/>
      <x:c r="V558" s="32"/>
    </x:row>
    <x:row r="559">
      <x:c r="A559" s="87"/>
      <x:c r="B559" s="88"/>
      <x:c r="D559" s="32"/>
      <x:c r="G559" s="74"/>
      <x:c r="H559" s="74"/>
      <x:c r="I559" s="74"/>
      <x:c r="J559" s="74"/>
      <x:c r="K559" s="74"/>
      <x:c r="L559" s="74"/>
      <x:c r="M559" s="74"/>
      <x:c r="N559" s="91"/>
      <x:c r="O559" s="91"/>
      <x:c r="P559" s="91"/>
      <x:c r="Q559" s="91"/>
      <x:c r="R559" s="91"/>
      <x:c r="S559" s="85"/>
      <x:c r="U559" s="86"/>
      <x:c r="V559" s="32"/>
    </x:row>
    <x:row r="560">
      <x:c r="A560" s="87"/>
      <x:c r="B560" s="88"/>
      <x:c r="D560" s="32"/>
      <x:c r="G560" s="74"/>
      <x:c r="H560" s="74"/>
      <x:c r="I560" s="74"/>
      <x:c r="J560" s="74"/>
      <x:c r="K560" s="74"/>
      <x:c r="L560" s="74"/>
      <x:c r="M560" s="74"/>
      <x:c r="N560" s="91"/>
      <x:c r="O560" s="91"/>
      <x:c r="P560" s="91"/>
      <x:c r="Q560" s="91"/>
      <x:c r="R560" s="91"/>
      <x:c r="S560" s="85"/>
      <x:c r="U560" s="86"/>
      <x:c r="V560" s="32"/>
    </x:row>
    <x:row r="561">
      <x:c r="A561" s="87"/>
      <x:c r="B561" s="88"/>
      <x:c r="D561" s="32"/>
      <x:c r="G561" s="74"/>
      <x:c r="H561" s="74"/>
      <x:c r="I561" s="74"/>
      <x:c r="J561" s="74"/>
      <x:c r="K561" s="74"/>
      <x:c r="L561" s="74"/>
      <x:c r="M561" s="74"/>
      <x:c r="N561" s="91"/>
      <x:c r="O561" s="91"/>
      <x:c r="P561" s="91"/>
      <x:c r="Q561" s="91"/>
      <x:c r="R561" s="91"/>
      <x:c r="S561" s="85"/>
      <x:c r="U561" s="86"/>
      <x:c r="V561" s="32"/>
    </x:row>
    <x:row r="562">
      <x:c r="A562" s="87"/>
      <x:c r="B562" s="88"/>
      <x:c r="D562" s="32"/>
      <x:c r="G562" s="74"/>
      <x:c r="H562" s="74"/>
      <x:c r="I562" s="74"/>
      <x:c r="J562" s="74"/>
      <x:c r="K562" s="74"/>
      <x:c r="L562" s="74"/>
      <x:c r="M562" s="74"/>
      <x:c r="N562" s="91"/>
      <x:c r="O562" s="91"/>
      <x:c r="P562" s="91"/>
      <x:c r="Q562" s="91"/>
      <x:c r="R562" s="91"/>
      <x:c r="S562" s="85"/>
      <x:c r="U562" s="86"/>
      <x:c r="V562" s="32"/>
    </x:row>
    <x:row r="563">
      <x:c r="A563" s="87"/>
      <x:c r="B563" s="88"/>
      <x:c r="D563" s="32"/>
      <x:c r="G563" s="74"/>
      <x:c r="H563" s="74"/>
      <x:c r="I563" s="74"/>
      <x:c r="J563" s="74"/>
      <x:c r="K563" s="74"/>
      <x:c r="L563" s="74"/>
      <x:c r="M563" s="74"/>
      <x:c r="N563" s="91"/>
      <x:c r="O563" s="91"/>
      <x:c r="P563" s="91"/>
      <x:c r="Q563" s="91"/>
      <x:c r="R563" s="91"/>
      <x:c r="S563" s="85"/>
      <x:c r="U563" s="86"/>
      <x:c r="V563" s="32"/>
    </x:row>
    <x:row r="564">
      <x:c r="A564" s="87"/>
      <x:c r="B564" s="88"/>
      <x:c r="D564" s="32"/>
      <x:c r="G564" s="74"/>
      <x:c r="H564" s="74"/>
      <x:c r="I564" s="74"/>
      <x:c r="J564" s="74"/>
      <x:c r="K564" s="74"/>
      <x:c r="L564" s="74"/>
      <x:c r="M564" s="74"/>
      <x:c r="N564" s="91"/>
      <x:c r="O564" s="91"/>
      <x:c r="P564" s="91"/>
      <x:c r="Q564" s="91"/>
      <x:c r="R564" s="91"/>
      <x:c r="S564" s="85"/>
      <x:c r="U564" s="86"/>
      <x:c r="V564" s="32"/>
    </x:row>
    <x:row r="565">
      <x:c r="A565" s="87"/>
      <x:c r="B565" s="88"/>
      <x:c r="D565" s="32"/>
      <x:c r="G565" s="74"/>
      <x:c r="H565" s="74"/>
      <x:c r="I565" s="74"/>
      <x:c r="J565" s="74"/>
      <x:c r="K565" s="74"/>
      <x:c r="L565" s="74"/>
      <x:c r="M565" s="74"/>
      <x:c r="N565" s="91"/>
      <x:c r="O565" s="91"/>
      <x:c r="P565" s="91"/>
      <x:c r="Q565" s="91"/>
      <x:c r="R565" s="91"/>
      <x:c r="S565" s="85"/>
      <x:c r="U565" s="86"/>
      <x:c r="V565" s="32"/>
    </x:row>
    <x:row r="566">
      <x:c r="A566" s="87"/>
      <x:c r="B566" s="88"/>
      <x:c r="D566" s="32"/>
      <x:c r="G566" s="74"/>
      <x:c r="H566" s="74"/>
      <x:c r="I566" s="74"/>
      <x:c r="J566" s="74"/>
      <x:c r="K566" s="74"/>
      <x:c r="L566" s="74"/>
      <x:c r="M566" s="74"/>
      <x:c r="N566" s="91"/>
      <x:c r="O566" s="91"/>
      <x:c r="P566" s="91"/>
      <x:c r="Q566" s="91"/>
      <x:c r="R566" s="91"/>
      <x:c r="S566" s="85"/>
      <x:c r="U566" s="86"/>
      <x:c r="V566" s="32"/>
    </x:row>
    <x:row r="567">
      <x:c r="A567" s="87"/>
      <x:c r="B567" s="88"/>
      <x:c r="D567" s="32"/>
      <x:c r="G567" s="74"/>
      <x:c r="H567" s="74"/>
      <x:c r="I567" s="74"/>
      <x:c r="J567" s="74"/>
      <x:c r="K567" s="74"/>
      <x:c r="L567" s="74"/>
      <x:c r="M567" s="74"/>
      <x:c r="N567" s="91"/>
      <x:c r="O567" s="91"/>
      <x:c r="P567" s="91"/>
      <x:c r="Q567" s="91"/>
      <x:c r="R567" s="91"/>
      <x:c r="S567" s="85"/>
      <x:c r="U567" s="86"/>
      <x:c r="V567" s="32"/>
    </x:row>
    <x:row r="568">
      <x:c r="A568" s="87"/>
      <x:c r="B568" s="88"/>
      <x:c r="D568" s="32"/>
      <x:c r="G568" s="74"/>
      <x:c r="H568" s="74"/>
      <x:c r="I568" s="74"/>
      <x:c r="J568" s="74"/>
      <x:c r="K568" s="74"/>
      <x:c r="L568" s="74"/>
      <x:c r="M568" s="74"/>
      <x:c r="N568" s="91"/>
      <x:c r="O568" s="91"/>
      <x:c r="P568" s="91"/>
      <x:c r="Q568" s="91"/>
      <x:c r="R568" s="91"/>
      <x:c r="S568" s="85"/>
      <x:c r="U568" s="86"/>
      <x:c r="V568" s="32"/>
    </x:row>
    <x:row r="569">
      <x:c r="A569" s="87"/>
      <x:c r="B569" s="88"/>
      <x:c r="D569" s="32"/>
      <x:c r="G569" s="74"/>
      <x:c r="H569" s="74"/>
      <x:c r="I569" s="74"/>
      <x:c r="J569" s="74"/>
      <x:c r="K569" s="74"/>
      <x:c r="L569" s="74"/>
      <x:c r="M569" s="74"/>
      <x:c r="N569" s="91"/>
      <x:c r="O569" s="91"/>
      <x:c r="P569" s="91"/>
      <x:c r="Q569" s="91"/>
      <x:c r="R569" s="91"/>
      <x:c r="S569" s="85"/>
      <x:c r="U569" s="86"/>
      <x:c r="V569" s="32"/>
    </x:row>
    <x:row r="570">
      <x:c r="A570" s="87"/>
      <x:c r="B570" s="88"/>
      <x:c r="D570" s="32"/>
      <x:c r="G570" s="74"/>
      <x:c r="H570" s="74"/>
      <x:c r="I570" s="74"/>
      <x:c r="J570" s="74"/>
      <x:c r="K570" s="74"/>
      <x:c r="L570" s="74"/>
      <x:c r="M570" s="74"/>
      <x:c r="N570" s="91"/>
      <x:c r="O570" s="91"/>
      <x:c r="P570" s="91"/>
      <x:c r="Q570" s="91"/>
      <x:c r="R570" s="91"/>
      <x:c r="S570" s="85"/>
      <x:c r="U570" s="86"/>
      <x:c r="V570" s="32"/>
    </x:row>
    <x:row r="571">
      <x:c r="A571" s="87"/>
      <x:c r="B571" s="88"/>
      <x:c r="D571" s="32"/>
      <x:c r="G571" s="74"/>
      <x:c r="H571" s="74"/>
      <x:c r="I571" s="74"/>
      <x:c r="J571" s="74"/>
      <x:c r="K571" s="74"/>
      <x:c r="L571" s="74"/>
      <x:c r="M571" s="74"/>
      <x:c r="N571" s="91"/>
      <x:c r="O571" s="91"/>
      <x:c r="P571" s="91"/>
      <x:c r="Q571" s="91"/>
      <x:c r="R571" s="91"/>
      <x:c r="S571" s="85"/>
      <x:c r="U571" s="86"/>
      <x:c r="V571" s="32"/>
    </x:row>
    <x:row r="572">
      <x:c r="A572" s="87"/>
      <x:c r="B572" s="88"/>
      <x:c r="D572" s="32"/>
      <x:c r="G572" s="74"/>
      <x:c r="H572" s="74"/>
      <x:c r="I572" s="74"/>
      <x:c r="J572" s="74"/>
      <x:c r="K572" s="74"/>
      <x:c r="L572" s="74"/>
      <x:c r="M572" s="74"/>
      <x:c r="N572" s="91"/>
      <x:c r="O572" s="91"/>
      <x:c r="P572" s="91"/>
      <x:c r="Q572" s="91"/>
      <x:c r="R572" s="91"/>
      <x:c r="S572" s="85"/>
      <x:c r="U572" s="86"/>
      <x:c r="V572" s="32"/>
    </x:row>
    <x:row r="573">
      <x:c r="A573" s="87"/>
      <x:c r="B573" s="88"/>
      <x:c r="D573" s="32"/>
      <x:c r="G573" s="74"/>
      <x:c r="H573" s="74"/>
      <x:c r="I573" s="74"/>
      <x:c r="J573" s="74"/>
      <x:c r="K573" s="74"/>
      <x:c r="L573" s="74"/>
      <x:c r="M573" s="74"/>
      <x:c r="N573" s="91"/>
      <x:c r="O573" s="91"/>
      <x:c r="P573" s="91"/>
      <x:c r="Q573" s="91"/>
      <x:c r="R573" s="91"/>
      <x:c r="S573" s="85"/>
      <x:c r="U573" s="86"/>
      <x:c r="V573" s="32"/>
    </x:row>
    <x:row r="574">
      <x:c r="A574" s="87"/>
      <x:c r="B574" s="88"/>
      <x:c r="D574" s="32"/>
      <x:c r="G574" s="74"/>
      <x:c r="H574" s="74"/>
      <x:c r="I574" s="74"/>
      <x:c r="J574" s="74"/>
      <x:c r="K574" s="74"/>
      <x:c r="L574" s="74"/>
      <x:c r="M574" s="74"/>
      <x:c r="N574" s="91"/>
      <x:c r="O574" s="91"/>
      <x:c r="P574" s="91"/>
      <x:c r="Q574" s="91"/>
      <x:c r="R574" s="91"/>
      <x:c r="S574" s="85"/>
      <x:c r="U574" s="86"/>
      <x:c r="V574" s="32"/>
    </x:row>
    <x:row r="575">
      <x:c r="A575" s="87"/>
      <x:c r="B575" s="88"/>
      <x:c r="D575" s="32"/>
      <x:c r="G575" s="74"/>
      <x:c r="H575" s="74"/>
      <x:c r="I575" s="74"/>
      <x:c r="J575" s="74"/>
      <x:c r="K575" s="74"/>
      <x:c r="L575" s="74"/>
      <x:c r="M575" s="74"/>
      <x:c r="N575" s="91"/>
      <x:c r="O575" s="91"/>
      <x:c r="P575" s="91"/>
      <x:c r="Q575" s="91"/>
      <x:c r="R575" s="91"/>
      <x:c r="S575" s="85"/>
      <x:c r="U575" s="86"/>
      <x:c r="V575" s="32"/>
    </x:row>
    <x:row r="576">
      <x:c r="A576" s="87"/>
      <x:c r="B576" s="88"/>
      <x:c r="D576" s="32"/>
      <x:c r="G576" s="74"/>
      <x:c r="H576" s="74"/>
      <x:c r="I576" s="74"/>
      <x:c r="J576" s="74"/>
      <x:c r="K576" s="74"/>
      <x:c r="L576" s="74"/>
      <x:c r="M576" s="74"/>
      <x:c r="N576" s="91"/>
      <x:c r="O576" s="91"/>
      <x:c r="P576" s="91"/>
      <x:c r="Q576" s="91"/>
      <x:c r="R576" s="91"/>
      <x:c r="S576" s="85"/>
      <x:c r="U576" s="86"/>
      <x:c r="V576" s="32"/>
    </x:row>
    <x:row r="577">
      <x:c r="A577" s="87"/>
      <x:c r="B577" s="88"/>
      <x:c r="D577" s="32"/>
      <x:c r="G577" s="74"/>
      <x:c r="H577" s="74"/>
      <x:c r="I577" s="74"/>
      <x:c r="J577" s="74"/>
      <x:c r="K577" s="74"/>
      <x:c r="L577" s="74"/>
      <x:c r="M577" s="74"/>
      <x:c r="N577" s="91"/>
      <x:c r="O577" s="91"/>
      <x:c r="P577" s="91"/>
      <x:c r="Q577" s="91"/>
      <x:c r="R577" s="91"/>
      <x:c r="S577" s="85"/>
      <x:c r="U577" s="86"/>
      <x:c r="V577" s="32"/>
    </x:row>
    <x:row r="578">
      <x:c r="A578" s="87"/>
      <x:c r="B578" s="88"/>
      <x:c r="D578" s="32"/>
      <x:c r="G578" s="74"/>
      <x:c r="H578" s="74"/>
      <x:c r="I578" s="74"/>
      <x:c r="J578" s="74"/>
      <x:c r="K578" s="74"/>
      <x:c r="L578" s="74"/>
      <x:c r="M578" s="74"/>
      <x:c r="N578" s="91"/>
      <x:c r="O578" s="91"/>
      <x:c r="P578" s="91"/>
      <x:c r="Q578" s="91"/>
      <x:c r="R578" s="91"/>
      <x:c r="S578" s="85"/>
      <x:c r="U578" s="86"/>
      <x:c r="V578" s="32"/>
    </x:row>
    <x:row r="579">
      <x:c r="A579" s="87"/>
      <x:c r="B579" s="88"/>
      <x:c r="D579" s="32"/>
      <x:c r="G579" s="74"/>
      <x:c r="H579" s="74"/>
      <x:c r="I579" s="74"/>
      <x:c r="J579" s="74"/>
      <x:c r="K579" s="74"/>
      <x:c r="L579" s="74"/>
      <x:c r="M579" s="74"/>
      <x:c r="N579" s="91"/>
      <x:c r="O579" s="91"/>
      <x:c r="P579" s="91"/>
      <x:c r="Q579" s="91"/>
      <x:c r="R579" s="91"/>
      <x:c r="S579" s="85"/>
      <x:c r="U579" s="86"/>
      <x:c r="V579" s="32"/>
    </x:row>
    <x:row r="580">
      <x:c r="A580" s="87"/>
      <x:c r="B580" s="88"/>
      <x:c r="D580" s="32"/>
      <x:c r="G580" s="74"/>
      <x:c r="H580" s="74"/>
      <x:c r="I580" s="74"/>
      <x:c r="J580" s="74"/>
      <x:c r="K580" s="74"/>
      <x:c r="L580" s="74"/>
      <x:c r="M580" s="74"/>
      <x:c r="N580" s="91"/>
      <x:c r="O580" s="91"/>
      <x:c r="P580" s="91"/>
      <x:c r="Q580" s="91"/>
      <x:c r="R580" s="91"/>
      <x:c r="S580" s="85"/>
      <x:c r="U580" s="86"/>
      <x:c r="V580" s="32"/>
    </x:row>
    <x:row r="581">
      <x:c r="A581" s="87"/>
      <x:c r="B581" s="88"/>
      <x:c r="D581" s="32"/>
      <x:c r="G581" s="74"/>
      <x:c r="H581" s="74"/>
      <x:c r="I581" s="74"/>
      <x:c r="J581" s="74"/>
      <x:c r="K581" s="74"/>
      <x:c r="L581" s="74"/>
      <x:c r="M581" s="74"/>
      <x:c r="N581" s="91"/>
      <x:c r="O581" s="91"/>
      <x:c r="P581" s="91"/>
      <x:c r="Q581" s="91"/>
      <x:c r="R581" s="91"/>
      <x:c r="S581" s="85"/>
      <x:c r="U581" s="86"/>
      <x:c r="V581" s="32"/>
    </x:row>
    <x:row r="582">
      <x:c r="A582" s="87"/>
      <x:c r="B582" s="88"/>
      <x:c r="D582" s="32"/>
      <x:c r="G582" s="74"/>
      <x:c r="H582" s="74"/>
      <x:c r="I582" s="74"/>
      <x:c r="J582" s="74"/>
      <x:c r="K582" s="74"/>
      <x:c r="L582" s="74"/>
      <x:c r="M582" s="74"/>
      <x:c r="N582" s="91"/>
      <x:c r="O582" s="91"/>
      <x:c r="P582" s="91"/>
      <x:c r="Q582" s="91"/>
      <x:c r="R582" s="91"/>
      <x:c r="S582" s="85"/>
      <x:c r="U582" s="86"/>
      <x:c r="V582" s="32"/>
    </x:row>
    <x:row r="583">
      <x:c r="A583" s="87"/>
      <x:c r="B583" s="88"/>
      <x:c r="D583" s="32"/>
      <x:c r="G583" s="74"/>
      <x:c r="H583" s="74"/>
      <x:c r="I583" s="74"/>
      <x:c r="J583" s="74"/>
      <x:c r="K583" s="74"/>
      <x:c r="L583" s="74"/>
      <x:c r="M583" s="74"/>
      <x:c r="N583" s="91"/>
      <x:c r="O583" s="91"/>
      <x:c r="P583" s="91"/>
      <x:c r="Q583" s="91"/>
      <x:c r="R583" s="91"/>
      <x:c r="S583" s="85"/>
      <x:c r="U583" s="86"/>
      <x:c r="V583" s="32"/>
    </x:row>
    <x:row r="584">
      <x:c r="A584" s="87"/>
      <x:c r="B584" s="88"/>
      <x:c r="D584" s="32"/>
      <x:c r="G584" s="74"/>
      <x:c r="H584" s="74"/>
      <x:c r="I584" s="74"/>
      <x:c r="J584" s="74"/>
      <x:c r="K584" s="74"/>
      <x:c r="L584" s="74"/>
      <x:c r="M584" s="74"/>
      <x:c r="N584" s="91"/>
      <x:c r="O584" s="91"/>
      <x:c r="P584" s="91"/>
      <x:c r="Q584" s="91"/>
      <x:c r="R584" s="91"/>
      <x:c r="S584" s="85"/>
      <x:c r="U584" s="86"/>
      <x:c r="V584" s="32"/>
    </x:row>
    <x:row r="585">
      <x:c r="A585" s="87"/>
      <x:c r="B585" s="88"/>
      <x:c r="D585" s="32"/>
      <x:c r="G585" s="74"/>
      <x:c r="H585" s="74"/>
      <x:c r="I585" s="74"/>
      <x:c r="J585" s="74"/>
      <x:c r="K585" s="74"/>
      <x:c r="L585" s="74"/>
      <x:c r="M585" s="74"/>
      <x:c r="N585" s="91"/>
      <x:c r="O585" s="91"/>
      <x:c r="P585" s="91"/>
      <x:c r="Q585" s="91"/>
      <x:c r="R585" s="91"/>
      <x:c r="S585" s="85"/>
      <x:c r="U585" s="86"/>
      <x:c r="V585" s="32"/>
    </x:row>
    <x:row r="586">
      <x:c r="A586" s="87"/>
      <x:c r="B586" s="88"/>
      <x:c r="D586" s="32"/>
      <x:c r="G586" s="74"/>
      <x:c r="H586" s="74"/>
      <x:c r="I586" s="74"/>
      <x:c r="J586" s="74"/>
      <x:c r="K586" s="74"/>
      <x:c r="L586" s="74"/>
      <x:c r="M586" s="74"/>
      <x:c r="N586" s="91"/>
      <x:c r="O586" s="91"/>
      <x:c r="P586" s="91"/>
      <x:c r="Q586" s="91"/>
      <x:c r="R586" s="91"/>
      <x:c r="S586" s="85"/>
      <x:c r="U586" s="86"/>
      <x:c r="V586" s="32"/>
    </x:row>
    <x:row r="587">
      <x:c r="A587" s="87"/>
      <x:c r="B587" s="88"/>
      <x:c r="D587" s="32"/>
      <x:c r="G587" s="74"/>
      <x:c r="H587" s="74"/>
      <x:c r="I587" s="74"/>
      <x:c r="J587" s="74"/>
      <x:c r="K587" s="74"/>
      <x:c r="L587" s="74"/>
      <x:c r="M587" s="74"/>
      <x:c r="N587" s="91"/>
      <x:c r="O587" s="91"/>
      <x:c r="P587" s="91"/>
      <x:c r="Q587" s="91"/>
      <x:c r="R587" s="91"/>
      <x:c r="S587" s="85"/>
      <x:c r="U587" s="86"/>
      <x:c r="V587" s="32"/>
    </x:row>
    <x:row r="588">
      <x:c r="A588" s="87"/>
      <x:c r="B588" s="88"/>
      <x:c r="D588" s="32"/>
      <x:c r="G588" s="74"/>
      <x:c r="H588" s="74"/>
      <x:c r="I588" s="74"/>
      <x:c r="J588" s="74"/>
      <x:c r="K588" s="74"/>
      <x:c r="L588" s="74"/>
      <x:c r="M588" s="74"/>
      <x:c r="N588" s="91"/>
      <x:c r="O588" s="91"/>
      <x:c r="P588" s="91"/>
      <x:c r="Q588" s="91"/>
      <x:c r="R588" s="91"/>
      <x:c r="S588" s="85"/>
      <x:c r="U588" s="86"/>
      <x:c r="V588" s="32"/>
    </x:row>
    <x:row r="589">
      <x:c r="A589" s="87"/>
      <x:c r="B589" s="88"/>
      <x:c r="D589" s="32"/>
      <x:c r="G589" s="74"/>
      <x:c r="H589" s="74"/>
      <x:c r="I589" s="74"/>
      <x:c r="J589" s="74"/>
      <x:c r="K589" s="74"/>
      <x:c r="L589" s="74"/>
      <x:c r="M589" s="74"/>
      <x:c r="N589" s="91"/>
      <x:c r="O589" s="91"/>
      <x:c r="P589" s="91"/>
      <x:c r="Q589" s="91"/>
      <x:c r="R589" s="91"/>
      <x:c r="S589" s="85"/>
      <x:c r="U589" s="86"/>
      <x:c r="V589" s="32"/>
    </x:row>
    <x:row r="590">
      <x:c r="A590" s="87"/>
      <x:c r="B590" s="88"/>
      <x:c r="D590" s="32"/>
      <x:c r="G590" s="74"/>
      <x:c r="H590" s="74"/>
      <x:c r="I590" s="74"/>
      <x:c r="J590" s="74"/>
      <x:c r="K590" s="74"/>
      <x:c r="L590" s="74"/>
      <x:c r="M590" s="74"/>
      <x:c r="N590" s="91"/>
      <x:c r="O590" s="91"/>
      <x:c r="P590" s="91"/>
      <x:c r="Q590" s="91"/>
      <x:c r="R590" s="91"/>
      <x:c r="S590" s="85"/>
      <x:c r="U590" s="86"/>
      <x:c r="V590" s="32"/>
    </x:row>
    <x:row r="591">
      <x:c r="A591" s="87"/>
      <x:c r="B591" s="88"/>
      <x:c r="D591" s="32"/>
      <x:c r="G591" s="74"/>
      <x:c r="H591" s="74"/>
      <x:c r="I591" s="74"/>
      <x:c r="J591" s="74"/>
      <x:c r="K591" s="74"/>
      <x:c r="L591" s="74"/>
      <x:c r="M591" s="74"/>
      <x:c r="N591" s="91"/>
      <x:c r="O591" s="91"/>
      <x:c r="P591" s="91"/>
      <x:c r="Q591" s="91"/>
      <x:c r="R591" s="91"/>
      <x:c r="S591" s="85"/>
      <x:c r="U591" s="86"/>
      <x:c r="V591" s="32"/>
    </x:row>
    <x:row r="592">
      <x:c r="A592" s="87"/>
      <x:c r="B592" s="88"/>
      <x:c r="D592" s="32"/>
      <x:c r="G592" s="74"/>
      <x:c r="H592" s="74"/>
      <x:c r="I592" s="74"/>
      <x:c r="J592" s="74"/>
      <x:c r="K592" s="74"/>
      <x:c r="L592" s="74"/>
      <x:c r="M592" s="74"/>
      <x:c r="N592" s="91"/>
      <x:c r="O592" s="91"/>
      <x:c r="P592" s="91"/>
      <x:c r="Q592" s="91"/>
      <x:c r="R592" s="91"/>
      <x:c r="S592" s="85"/>
      <x:c r="U592" s="86"/>
      <x:c r="V592" s="32"/>
    </x:row>
    <x:row r="593">
      <x:c r="A593" s="87"/>
      <x:c r="B593" s="88"/>
      <x:c r="D593" s="32"/>
      <x:c r="G593" s="74"/>
      <x:c r="H593" s="74"/>
      <x:c r="I593" s="74"/>
      <x:c r="J593" s="74"/>
      <x:c r="K593" s="74"/>
      <x:c r="L593" s="74"/>
      <x:c r="M593" s="74"/>
      <x:c r="N593" s="91"/>
      <x:c r="O593" s="91"/>
      <x:c r="P593" s="91"/>
      <x:c r="Q593" s="91"/>
      <x:c r="R593" s="91"/>
      <x:c r="S593" s="85"/>
      <x:c r="U593" s="86"/>
      <x:c r="V593" s="32"/>
    </x:row>
    <x:row r="594">
      <x:c r="A594" s="87"/>
      <x:c r="B594" s="88"/>
      <x:c r="D594" s="32"/>
      <x:c r="G594" s="74"/>
      <x:c r="H594" s="74"/>
      <x:c r="I594" s="74"/>
      <x:c r="J594" s="74"/>
      <x:c r="K594" s="74"/>
      <x:c r="L594" s="74"/>
      <x:c r="M594" s="74"/>
      <x:c r="N594" s="91"/>
      <x:c r="O594" s="91"/>
      <x:c r="P594" s="91"/>
      <x:c r="Q594" s="91"/>
      <x:c r="R594" s="91"/>
      <x:c r="S594" s="85"/>
      <x:c r="U594" s="86"/>
      <x:c r="V594" s="32"/>
    </x:row>
    <x:row r="595">
      <x:c r="A595" s="87"/>
      <x:c r="B595" s="88"/>
      <x:c r="D595" s="32"/>
      <x:c r="G595" s="74"/>
      <x:c r="H595" s="74"/>
      <x:c r="I595" s="74"/>
      <x:c r="J595" s="74"/>
      <x:c r="K595" s="74"/>
      <x:c r="L595" s="74"/>
      <x:c r="M595" s="74"/>
      <x:c r="N595" s="91"/>
      <x:c r="O595" s="91"/>
      <x:c r="P595" s="91"/>
      <x:c r="Q595" s="91"/>
      <x:c r="R595" s="91"/>
      <x:c r="S595" s="85"/>
      <x:c r="U595" s="86"/>
      <x:c r="V595" s="32"/>
    </x:row>
    <x:row r="596">
      <x:c r="A596" s="87"/>
      <x:c r="B596" s="88"/>
      <x:c r="D596" s="32"/>
      <x:c r="G596" s="74"/>
      <x:c r="H596" s="74"/>
      <x:c r="I596" s="74"/>
      <x:c r="J596" s="74"/>
      <x:c r="K596" s="74"/>
      <x:c r="L596" s="74"/>
      <x:c r="M596" s="74"/>
      <x:c r="N596" s="91"/>
      <x:c r="O596" s="91"/>
      <x:c r="P596" s="91"/>
      <x:c r="Q596" s="91"/>
      <x:c r="R596" s="91"/>
      <x:c r="S596" s="85"/>
      <x:c r="U596" s="86"/>
      <x:c r="V596" s="32"/>
    </x:row>
    <x:row r="597">
      <x:c r="A597" s="87"/>
      <x:c r="B597" s="88"/>
      <x:c r="D597" s="32"/>
      <x:c r="G597" s="74"/>
      <x:c r="H597" s="74"/>
      <x:c r="I597" s="74"/>
      <x:c r="J597" s="74"/>
      <x:c r="K597" s="74"/>
      <x:c r="L597" s="74"/>
      <x:c r="M597" s="74"/>
      <x:c r="N597" s="91"/>
      <x:c r="O597" s="91"/>
      <x:c r="P597" s="91"/>
      <x:c r="Q597" s="91"/>
      <x:c r="R597" s="91"/>
      <x:c r="S597" s="85"/>
      <x:c r="U597" s="86"/>
      <x:c r="V597" s="32"/>
    </x:row>
    <x:row r="598">
      <x:c r="A598" s="87"/>
      <x:c r="B598" s="88"/>
      <x:c r="D598" s="32"/>
      <x:c r="G598" s="74"/>
      <x:c r="H598" s="74"/>
      <x:c r="I598" s="74"/>
      <x:c r="J598" s="74"/>
      <x:c r="K598" s="74"/>
      <x:c r="L598" s="74"/>
      <x:c r="M598" s="74"/>
      <x:c r="N598" s="91"/>
      <x:c r="O598" s="91"/>
      <x:c r="P598" s="91"/>
      <x:c r="Q598" s="91"/>
      <x:c r="R598" s="91"/>
      <x:c r="S598" s="85"/>
      <x:c r="U598" s="86"/>
      <x:c r="V598" s="32"/>
    </x:row>
    <x:row r="599">
      <x:c r="A599" s="87"/>
      <x:c r="B599" s="88"/>
      <x:c r="D599" s="32"/>
      <x:c r="G599" s="74"/>
      <x:c r="H599" s="74"/>
      <x:c r="I599" s="74"/>
      <x:c r="J599" s="74"/>
      <x:c r="K599" s="74"/>
      <x:c r="L599" s="74"/>
      <x:c r="M599" s="74"/>
      <x:c r="N599" s="91"/>
      <x:c r="O599" s="91"/>
      <x:c r="P599" s="91"/>
      <x:c r="Q599" s="91"/>
      <x:c r="R599" s="91"/>
      <x:c r="S599" s="85"/>
      <x:c r="U599" s="86"/>
      <x:c r="V599" s="32"/>
    </x:row>
    <x:row r="600">
      <x:c r="A600" s="87"/>
      <x:c r="B600" s="88"/>
      <x:c r="D600" s="32"/>
      <x:c r="G600" s="74"/>
      <x:c r="H600" s="74"/>
      <x:c r="I600" s="74"/>
      <x:c r="J600" s="74"/>
      <x:c r="K600" s="74"/>
      <x:c r="L600" s="74"/>
      <x:c r="M600" s="74"/>
      <x:c r="N600" s="91"/>
      <x:c r="O600" s="91"/>
      <x:c r="P600" s="91"/>
      <x:c r="Q600" s="91"/>
      <x:c r="R600" s="91"/>
      <x:c r="S600" s="85"/>
      <x:c r="U600" s="86"/>
      <x:c r="V600" s="32"/>
    </x:row>
    <x:row r="601">
      <x:c r="A601" s="87"/>
      <x:c r="B601" s="88"/>
      <x:c r="D601" s="32"/>
      <x:c r="G601" s="74"/>
      <x:c r="H601" s="74"/>
      <x:c r="I601" s="74"/>
      <x:c r="J601" s="74"/>
      <x:c r="K601" s="74"/>
      <x:c r="L601" s="74"/>
      <x:c r="M601" s="74"/>
      <x:c r="N601" s="91"/>
      <x:c r="O601" s="91"/>
      <x:c r="P601" s="91"/>
      <x:c r="Q601" s="91"/>
      <x:c r="R601" s="91"/>
      <x:c r="S601" s="85"/>
      <x:c r="U601" s="86"/>
      <x:c r="V601" s="32"/>
    </x:row>
    <x:row r="602">
      <x:c r="A602" s="87"/>
      <x:c r="B602" s="88"/>
      <x:c r="D602" s="32"/>
      <x:c r="G602" s="74"/>
      <x:c r="H602" s="74"/>
      <x:c r="I602" s="74"/>
      <x:c r="J602" s="74"/>
      <x:c r="K602" s="74"/>
      <x:c r="L602" s="74"/>
      <x:c r="M602" s="74"/>
      <x:c r="N602" s="91"/>
      <x:c r="O602" s="91"/>
      <x:c r="P602" s="91"/>
      <x:c r="Q602" s="91"/>
      <x:c r="R602" s="91"/>
      <x:c r="S602" s="85"/>
      <x:c r="U602" s="86"/>
      <x:c r="V602" s="32"/>
    </x:row>
    <x:row r="603">
      <x:c r="A603" s="87"/>
      <x:c r="B603" s="88"/>
      <x:c r="D603" s="32"/>
      <x:c r="G603" s="74"/>
      <x:c r="H603" s="74"/>
      <x:c r="I603" s="74"/>
      <x:c r="J603" s="74"/>
      <x:c r="K603" s="74"/>
      <x:c r="L603" s="74"/>
      <x:c r="M603" s="74"/>
      <x:c r="N603" s="91"/>
      <x:c r="O603" s="91"/>
      <x:c r="P603" s="91"/>
      <x:c r="Q603" s="91"/>
      <x:c r="R603" s="91"/>
      <x:c r="S603" s="85"/>
      <x:c r="U603" s="86"/>
      <x:c r="V603" s="32"/>
    </x:row>
    <x:row r="604">
      <x:c r="A604" s="87"/>
      <x:c r="B604" s="88"/>
      <x:c r="D604" s="32"/>
      <x:c r="G604" s="74"/>
      <x:c r="H604" s="74"/>
      <x:c r="I604" s="74"/>
      <x:c r="J604" s="74"/>
      <x:c r="K604" s="74"/>
      <x:c r="L604" s="74"/>
      <x:c r="M604" s="74"/>
      <x:c r="N604" s="91"/>
      <x:c r="O604" s="91"/>
      <x:c r="P604" s="91"/>
      <x:c r="Q604" s="91"/>
      <x:c r="R604" s="91"/>
      <x:c r="S604" s="85"/>
      <x:c r="U604" s="86"/>
      <x:c r="V604" s="32"/>
    </x:row>
    <x:row r="605">
      <x:c r="A605" s="87"/>
      <x:c r="B605" s="88"/>
      <x:c r="D605" s="32"/>
      <x:c r="G605" s="74"/>
      <x:c r="H605" s="74"/>
      <x:c r="I605" s="74"/>
      <x:c r="J605" s="74"/>
      <x:c r="K605" s="74"/>
      <x:c r="L605" s="74"/>
      <x:c r="M605" s="74"/>
      <x:c r="N605" s="91"/>
      <x:c r="O605" s="91"/>
      <x:c r="P605" s="91"/>
      <x:c r="Q605" s="91"/>
      <x:c r="R605" s="91"/>
      <x:c r="S605" s="85"/>
      <x:c r="U605" s="86"/>
      <x:c r="V605" s="32"/>
    </x:row>
    <x:row r="606">
      <x:c r="A606" s="87"/>
      <x:c r="B606" s="88"/>
      <x:c r="D606" s="32"/>
      <x:c r="G606" s="74"/>
      <x:c r="H606" s="74"/>
      <x:c r="I606" s="74"/>
      <x:c r="J606" s="74"/>
      <x:c r="K606" s="74"/>
      <x:c r="L606" s="74"/>
      <x:c r="M606" s="74"/>
      <x:c r="N606" s="91"/>
      <x:c r="O606" s="91"/>
      <x:c r="P606" s="91"/>
      <x:c r="Q606" s="91"/>
      <x:c r="R606" s="91"/>
      <x:c r="S606" s="85"/>
      <x:c r="U606" s="86"/>
      <x:c r="V606" s="32"/>
    </x:row>
    <x:row r="607">
      <x:c r="A607" s="87"/>
      <x:c r="B607" s="88"/>
      <x:c r="D607" s="32"/>
      <x:c r="G607" s="74"/>
      <x:c r="H607" s="74"/>
      <x:c r="I607" s="74"/>
      <x:c r="J607" s="74"/>
      <x:c r="K607" s="74"/>
      <x:c r="L607" s="74"/>
      <x:c r="M607" s="74"/>
      <x:c r="N607" s="91"/>
      <x:c r="O607" s="91"/>
      <x:c r="P607" s="91"/>
      <x:c r="Q607" s="91"/>
      <x:c r="R607" s="91"/>
      <x:c r="S607" s="85"/>
      <x:c r="U607" s="86"/>
      <x:c r="V607" s="32"/>
    </x:row>
    <x:row r="608">
      <x:c r="A608" s="87"/>
      <x:c r="B608" s="88"/>
      <x:c r="D608" s="32"/>
      <x:c r="G608" s="74"/>
      <x:c r="H608" s="74"/>
      <x:c r="I608" s="74"/>
      <x:c r="J608" s="74"/>
      <x:c r="K608" s="74"/>
      <x:c r="L608" s="74"/>
      <x:c r="M608" s="74"/>
      <x:c r="N608" s="91"/>
      <x:c r="O608" s="91"/>
      <x:c r="P608" s="91"/>
      <x:c r="Q608" s="91"/>
      <x:c r="R608" s="91"/>
      <x:c r="S608" s="85"/>
      <x:c r="U608" s="86"/>
      <x:c r="V608" s="32"/>
    </x:row>
    <x:row r="609">
      <x:c r="A609" s="87"/>
      <x:c r="B609" s="88"/>
      <x:c r="D609" s="32"/>
      <x:c r="G609" s="74"/>
      <x:c r="H609" s="74"/>
      <x:c r="I609" s="74"/>
      <x:c r="J609" s="74"/>
      <x:c r="K609" s="74"/>
      <x:c r="L609" s="74"/>
      <x:c r="M609" s="74"/>
      <x:c r="N609" s="91"/>
      <x:c r="O609" s="91"/>
      <x:c r="P609" s="91"/>
      <x:c r="Q609" s="91"/>
      <x:c r="R609" s="91"/>
      <x:c r="S609" s="85"/>
      <x:c r="U609" s="86"/>
      <x:c r="V609" s="32"/>
    </x:row>
    <x:row r="610">
      <x:c r="A610" s="87"/>
      <x:c r="B610" s="88"/>
      <x:c r="D610" s="32"/>
      <x:c r="G610" s="74"/>
      <x:c r="H610" s="74"/>
      <x:c r="I610" s="74"/>
      <x:c r="J610" s="74"/>
      <x:c r="K610" s="74"/>
      <x:c r="L610" s="74"/>
      <x:c r="M610" s="74"/>
      <x:c r="N610" s="91"/>
      <x:c r="O610" s="91"/>
      <x:c r="P610" s="91"/>
      <x:c r="Q610" s="91"/>
      <x:c r="R610" s="91"/>
      <x:c r="S610" s="85"/>
      <x:c r="U610" s="86"/>
      <x:c r="V610" s="32"/>
    </x:row>
    <x:row r="611">
      <x:c r="A611" s="87"/>
      <x:c r="B611" s="88"/>
      <x:c r="D611" s="32"/>
      <x:c r="G611" s="74"/>
      <x:c r="H611" s="74"/>
      <x:c r="I611" s="74"/>
      <x:c r="J611" s="74"/>
      <x:c r="K611" s="74"/>
      <x:c r="L611" s="74"/>
      <x:c r="M611" s="74"/>
      <x:c r="N611" s="91"/>
      <x:c r="O611" s="91"/>
      <x:c r="P611" s="91"/>
      <x:c r="Q611" s="91"/>
      <x:c r="R611" s="91"/>
      <x:c r="S611" s="85"/>
      <x:c r="U611" s="86"/>
      <x:c r="V611" s="32"/>
    </x:row>
    <x:row r="612">
      <x:c r="A612" s="87"/>
      <x:c r="B612" s="88"/>
      <x:c r="D612" s="32"/>
      <x:c r="G612" s="74"/>
      <x:c r="H612" s="74"/>
      <x:c r="I612" s="74"/>
      <x:c r="J612" s="74"/>
      <x:c r="K612" s="74"/>
      <x:c r="L612" s="74"/>
      <x:c r="M612" s="74"/>
      <x:c r="N612" s="91"/>
      <x:c r="O612" s="91"/>
      <x:c r="P612" s="91"/>
      <x:c r="Q612" s="91"/>
      <x:c r="R612" s="91"/>
      <x:c r="S612" s="85"/>
      <x:c r="U612" s="86"/>
      <x:c r="V612" s="32"/>
    </x:row>
    <x:row r="613">
      <x:c r="A613" s="87"/>
      <x:c r="B613" s="88"/>
      <x:c r="D613" s="32"/>
      <x:c r="G613" s="74"/>
      <x:c r="H613" s="74"/>
      <x:c r="I613" s="74"/>
      <x:c r="J613" s="74"/>
      <x:c r="K613" s="74"/>
      <x:c r="L613" s="74"/>
      <x:c r="M613" s="74"/>
      <x:c r="N613" s="91"/>
      <x:c r="O613" s="91"/>
      <x:c r="P613" s="91"/>
      <x:c r="Q613" s="91"/>
      <x:c r="R613" s="91"/>
      <x:c r="S613" s="85"/>
      <x:c r="U613" s="86"/>
      <x:c r="V613" s="32"/>
    </x:row>
    <x:row r="614">
      <x:c r="A614" s="87"/>
      <x:c r="B614" s="88"/>
      <x:c r="D614" s="32"/>
      <x:c r="G614" s="74"/>
      <x:c r="H614" s="74"/>
      <x:c r="I614" s="74"/>
      <x:c r="J614" s="74"/>
      <x:c r="K614" s="74"/>
      <x:c r="L614" s="74"/>
      <x:c r="M614" s="74"/>
      <x:c r="N614" s="91"/>
      <x:c r="O614" s="91"/>
      <x:c r="P614" s="91"/>
      <x:c r="Q614" s="91"/>
      <x:c r="R614" s="91"/>
      <x:c r="S614" s="85"/>
      <x:c r="U614" s="86"/>
      <x:c r="V614" s="32"/>
    </x:row>
    <x:row r="615">
      <x:c r="A615" s="87"/>
      <x:c r="B615" s="88"/>
      <x:c r="D615" s="32"/>
      <x:c r="G615" s="74"/>
      <x:c r="H615" s="74"/>
      <x:c r="I615" s="74"/>
      <x:c r="J615" s="74"/>
      <x:c r="K615" s="74"/>
      <x:c r="L615" s="74"/>
      <x:c r="M615" s="74"/>
      <x:c r="N615" s="91"/>
      <x:c r="O615" s="91"/>
      <x:c r="P615" s="91"/>
      <x:c r="Q615" s="91"/>
      <x:c r="R615" s="91"/>
      <x:c r="S615" s="85"/>
      <x:c r="U615" s="86"/>
      <x:c r="V615" s="32"/>
    </x:row>
    <x:row r="616">
      <x:c r="A616" s="87"/>
      <x:c r="B616" s="88"/>
      <x:c r="D616" s="32"/>
      <x:c r="G616" s="74"/>
      <x:c r="H616" s="74"/>
      <x:c r="I616" s="74"/>
      <x:c r="J616" s="74"/>
      <x:c r="K616" s="74"/>
      <x:c r="L616" s="74"/>
      <x:c r="M616" s="74"/>
      <x:c r="N616" s="91"/>
      <x:c r="O616" s="91"/>
      <x:c r="P616" s="91"/>
      <x:c r="Q616" s="91"/>
      <x:c r="R616" s="91"/>
      <x:c r="S616" s="85"/>
      <x:c r="U616" s="86"/>
      <x:c r="V616" s="32"/>
    </x:row>
    <x:row r="617">
      <x:c r="A617" s="87"/>
      <x:c r="B617" s="88"/>
      <x:c r="D617" s="32"/>
      <x:c r="G617" s="74"/>
      <x:c r="H617" s="74"/>
      <x:c r="I617" s="74"/>
      <x:c r="J617" s="74"/>
      <x:c r="K617" s="74"/>
      <x:c r="L617" s="74"/>
      <x:c r="M617" s="74"/>
      <x:c r="N617" s="91"/>
      <x:c r="O617" s="91"/>
      <x:c r="P617" s="91"/>
      <x:c r="Q617" s="91"/>
      <x:c r="R617" s="91"/>
      <x:c r="S617" s="85"/>
      <x:c r="U617" s="86"/>
      <x:c r="V617" s="32"/>
    </x:row>
    <x:row r="618">
      <x:c r="A618" s="87"/>
      <x:c r="B618" s="88"/>
      <x:c r="D618" s="32"/>
      <x:c r="G618" s="74"/>
      <x:c r="H618" s="74"/>
      <x:c r="I618" s="74"/>
      <x:c r="J618" s="74"/>
      <x:c r="K618" s="74"/>
      <x:c r="L618" s="74"/>
      <x:c r="M618" s="74"/>
      <x:c r="N618" s="91"/>
      <x:c r="O618" s="91"/>
      <x:c r="P618" s="91"/>
      <x:c r="Q618" s="91"/>
      <x:c r="R618" s="91"/>
      <x:c r="S618" s="85"/>
      <x:c r="U618" s="86"/>
      <x:c r="V618" s="32"/>
    </x:row>
    <x:row r="619">
      <x:c r="A619" s="87"/>
      <x:c r="B619" s="88"/>
      <x:c r="D619" s="32"/>
      <x:c r="G619" s="74"/>
      <x:c r="H619" s="74"/>
      <x:c r="I619" s="74"/>
      <x:c r="J619" s="74"/>
      <x:c r="K619" s="74"/>
      <x:c r="L619" s="74"/>
      <x:c r="M619" s="74"/>
      <x:c r="N619" s="91"/>
      <x:c r="O619" s="91"/>
      <x:c r="P619" s="91"/>
      <x:c r="Q619" s="91"/>
      <x:c r="R619" s="91"/>
      <x:c r="S619" s="85"/>
      <x:c r="U619" s="86"/>
      <x:c r="V619" s="32"/>
    </x:row>
    <x:row r="620">
      <x:c r="A620" s="87"/>
      <x:c r="B620" s="88"/>
      <x:c r="D620" s="32"/>
      <x:c r="G620" s="74"/>
      <x:c r="H620" s="74"/>
      <x:c r="I620" s="74"/>
      <x:c r="J620" s="74"/>
      <x:c r="K620" s="74"/>
      <x:c r="L620" s="74"/>
      <x:c r="M620" s="74"/>
      <x:c r="N620" s="91"/>
      <x:c r="O620" s="91"/>
      <x:c r="P620" s="91"/>
      <x:c r="Q620" s="91"/>
      <x:c r="R620" s="91"/>
      <x:c r="S620" s="85"/>
      <x:c r="U620" s="86"/>
      <x:c r="V620" s="32"/>
    </x:row>
    <x:row r="621">
      <x:c r="A621" s="87"/>
      <x:c r="B621" s="88"/>
      <x:c r="D621" s="32"/>
      <x:c r="G621" s="74"/>
      <x:c r="H621" s="74"/>
      <x:c r="I621" s="74"/>
      <x:c r="J621" s="74"/>
      <x:c r="K621" s="74"/>
      <x:c r="L621" s="74"/>
      <x:c r="M621" s="74"/>
      <x:c r="N621" s="91"/>
      <x:c r="O621" s="91"/>
      <x:c r="P621" s="91"/>
      <x:c r="Q621" s="91"/>
      <x:c r="R621" s="91"/>
      <x:c r="S621" s="85"/>
      <x:c r="U621" s="86"/>
      <x:c r="V621" s="32"/>
    </x:row>
    <x:row r="622">
      <x:c r="A622" s="87"/>
      <x:c r="B622" s="88"/>
      <x:c r="D622" s="32"/>
      <x:c r="G622" s="74"/>
      <x:c r="H622" s="74"/>
      <x:c r="I622" s="74"/>
      <x:c r="J622" s="74"/>
      <x:c r="K622" s="74"/>
      <x:c r="L622" s="74"/>
      <x:c r="M622" s="74"/>
      <x:c r="N622" s="91"/>
      <x:c r="O622" s="91"/>
      <x:c r="P622" s="91"/>
      <x:c r="Q622" s="91"/>
      <x:c r="R622" s="91"/>
      <x:c r="S622" s="85"/>
      <x:c r="U622" s="86"/>
      <x:c r="V622" s="32"/>
    </x:row>
    <x:row r="623">
      <x:c r="A623" s="87"/>
      <x:c r="B623" s="88"/>
      <x:c r="D623" s="32"/>
      <x:c r="G623" s="74"/>
      <x:c r="H623" s="74"/>
      <x:c r="I623" s="74"/>
      <x:c r="J623" s="74"/>
      <x:c r="K623" s="74"/>
      <x:c r="L623" s="74"/>
      <x:c r="M623" s="74"/>
      <x:c r="N623" s="91"/>
      <x:c r="O623" s="91"/>
      <x:c r="P623" s="91"/>
      <x:c r="Q623" s="91"/>
      <x:c r="R623" s="91"/>
      <x:c r="S623" s="85"/>
      <x:c r="U623" s="86"/>
      <x:c r="V623" s="32"/>
    </x:row>
    <x:row r="624">
      <x:c r="A624" s="87"/>
      <x:c r="B624" s="88"/>
      <x:c r="D624" s="32"/>
      <x:c r="G624" s="74"/>
      <x:c r="H624" s="74"/>
      <x:c r="I624" s="74"/>
      <x:c r="J624" s="74"/>
      <x:c r="K624" s="74"/>
      <x:c r="L624" s="74"/>
      <x:c r="M624" s="74"/>
      <x:c r="N624" s="91"/>
      <x:c r="O624" s="91"/>
      <x:c r="P624" s="91"/>
      <x:c r="Q624" s="91"/>
      <x:c r="R624" s="91"/>
      <x:c r="S624" s="85"/>
      <x:c r="U624" s="86"/>
      <x:c r="V624" s="32"/>
    </x:row>
    <x:row r="625">
      <x:c r="A625" s="87"/>
      <x:c r="B625" s="88"/>
      <x:c r="D625" s="32"/>
      <x:c r="G625" s="74"/>
      <x:c r="H625" s="74"/>
      <x:c r="I625" s="74"/>
      <x:c r="J625" s="74"/>
      <x:c r="K625" s="74"/>
      <x:c r="L625" s="74"/>
      <x:c r="M625" s="74"/>
      <x:c r="N625" s="91"/>
      <x:c r="O625" s="91"/>
      <x:c r="P625" s="91"/>
      <x:c r="Q625" s="91"/>
      <x:c r="R625" s="91"/>
      <x:c r="S625" s="85"/>
      <x:c r="U625" s="86"/>
      <x:c r="V625" s="32"/>
    </x:row>
    <x:row r="626">
      <x:c r="A626" s="87"/>
      <x:c r="B626" s="88"/>
      <x:c r="D626" s="32"/>
      <x:c r="G626" s="74"/>
      <x:c r="H626" s="74"/>
      <x:c r="I626" s="74"/>
      <x:c r="J626" s="74"/>
      <x:c r="K626" s="74"/>
      <x:c r="L626" s="74"/>
      <x:c r="M626" s="74"/>
      <x:c r="N626" s="91"/>
      <x:c r="O626" s="91"/>
      <x:c r="P626" s="91"/>
      <x:c r="Q626" s="91"/>
      <x:c r="R626" s="91"/>
      <x:c r="S626" s="85"/>
      <x:c r="U626" s="86"/>
      <x:c r="V626" s="32"/>
    </x:row>
    <x:row r="627">
      <x:c r="A627" s="87"/>
      <x:c r="B627" s="88"/>
      <x:c r="D627" s="32"/>
      <x:c r="G627" s="74"/>
      <x:c r="H627" s="74"/>
      <x:c r="I627" s="74"/>
      <x:c r="J627" s="74"/>
      <x:c r="K627" s="74"/>
      <x:c r="L627" s="74"/>
      <x:c r="M627" s="74"/>
      <x:c r="N627" s="91"/>
      <x:c r="O627" s="91"/>
      <x:c r="P627" s="91"/>
      <x:c r="Q627" s="91"/>
      <x:c r="R627" s="91"/>
      <x:c r="S627" s="85"/>
      <x:c r="U627" s="86"/>
      <x:c r="V627" s="32"/>
    </x:row>
    <x:row r="628">
      <x:c r="A628" s="87"/>
      <x:c r="B628" s="88"/>
      <x:c r="D628" s="32"/>
      <x:c r="G628" s="74"/>
      <x:c r="H628" s="74"/>
      <x:c r="I628" s="74"/>
      <x:c r="J628" s="74"/>
      <x:c r="K628" s="74"/>
      <x:c r="L628" s="74"/>
      <x:c r="M628" s="74"/>
      <x:c r="N628" s="91"/>
      <x:c r="O628" s="91"/>
      <x:c r="P628" s="91"/>
      <x:c r="Q628" s="91"/>
      <x:c r="R628" s="91"/>
      <x:c r="S628" s="85"/>
      <x:c r="U628" s="86"/>
      <x:c r="V628" s="32"/>
    </x:row>
    <x:row r="629">
      <x:c r="A629" s="87"/>
      <x:c r="B629" s="88"/>
      <x:c r="D629" s="32"/>
      <x:c r="G629" s="74"/>
      <x:c r="H629" s="74"/>
      <x:c r="I629" s="74"/>
      <x:c r="J629" s="74"/>
      <x:c r="K629" s="74"/>
      <x:c r="L629" s="74"/>
      <x:c r="M629" s="74"/>
      <x:c r="N629" s="91"/>
      <x:c r="O629" s="91"/>
      <x:c r="P629" s="91"/>
      <x:c r="Q629" s="91"/>
      <x:c r="R629" s="91"/>
      <x:c r="S629" s="85"/>
      <x:c r="U629" s="86"/>
      <x:c r="V629" s="32"/>
    </x:row>
    <x:row r="630">
      <x:c r="A630" s="87"/>
      <x:c r="B630" s="88"/>
      <x:c r="D630" s="32"/>
      <x:c r="G630" s="74"/>
      <x:c r="H630" s="74"/>
      <x:c r="I630" s="74"/>
      <x:c r="J630" s="74"/>
      <x:c r="K630" s="74"/>
      <x:c r="L630" s="74"/>
      <x:c r="M630" s="74"/>
      <x:c r="N630" s="91"/>
      <x:c r="O630" s="91"/>
      <x:c r="P630" s="91"/>
      <x:c r="Q630" s="91"/>
      <x:c r="R630" s="91"/>
      <x:c r="S630" s="85"/>
      <x:c r="U630" s="86"/>
      <x:c r="V630" s="32"/>
    </x:row>
    <x:row r="631">
      <x:c r="A631" s="87"/>
      <x:c r="B631" s="88"/>
      <x:c r="D631" s="32"/>
      <x:c r="G631" s="74"/>
      <x:c r="H631" s="74"/>
      <x:c r="I631" s="74"/>
      <x:c r="J631" s="74"/>
      <x:c r="K631" s="74"/>
      <x:c r="L631" s="74"/>
      <x:c r="M631" s="74"/>
      <x:c r="N631" s="91"/>
      <x:c r="O631" s="91"/>
      <x:c r="P631" s="91"/>
      <x:c r="Q631" s="91"/>
      <x:c r="R631" s="91"/>
      <x:c r="S631" s="85"/>
      <x:c r="U631" s="86"/>
      <x:c r="V631" s="32"/>
    </x:row>
    <x:row r="632">
      <x:c r="A632" s="87"/>
      <x:c r="B632" s="88"/>
      <x:c r="D632" s="32"/>
      <x:c r="G632" s="74"/>
      <x:c r="H632" s="74"/>
      <x:c r="I632" s="74"/>
      <x:c r="J632" s="74"/>
      <x:c r="K632" s="74"/>
      <x:c r="L632" s="74"/>
      <x:c r="M632" s="74"/>
      <x:c r="N632" s="91"/>
      <x:c r="O632" s="91"/>
      <x:c r="P632" s="91"/>
      <x:c r="Q632" s="91"/>
      <x:c r="R632" s="91"/>
      <x:c r="S632" s="85"/>
      <x:c r="U632" s="86"/>
      <x:c r="V632" s="32"/>
    </x:row>
    <x:row r="633">
      <x:c r="A633" s="87"/>
      <x:c r="B633" s="88"/>
      <x:c r="D633" s="32"/>
      <x:c r="G633" s="74"/>
      <x:c r="H633" s="74"/>
      <x:c r="I633" s="74"/>
      <x:c r="J633" s="74"/>
      <x:c r="K633" s="74"/>
      <x:c r="L633" s="74"/>
      <x:c r="M633" s="74"/>
      <x:c r="N633" s="91"/>
      <x:c r="O633" s="91"/>
      <x:c r="P633" s="91"/>
      <x:c r="Q633" s="91"/>
      <x:c r="R633" s="91"/>
      <x:c r="S633" s="85"/>
      <x:c r="U633" s="86"/>
      <x:c r="V633" s="32"/>
    </x:row>
    <x:row r="634">
      <x:c r="A634" s="87"/>
      <x:c r="B634" s="88"/>
      <x:c r="D634" s="32"/>
      <x:c r="G634" s="74"/>
      <x:c r="H634" s="74"/>
      <x:c r="I634" s="74"/>
      <x:c r="J634" s="74"/>
      <x:c r="K634" s="74"/>
      <x:c r="L634" s="74"/>
      <x:c r="M634" s="74"/>
      <x:c r="N634" s="91"/>
      <x:c r="O634" s="91"/>
      <x:c r="P634" s="91"/>
      <x:c r="Q634" s="91"/>
      <x:c r="R634" s="91"/>
      <x:c r="S634" s="85"/>
      <x:c r="U634" s="86"/>
      <x:c r="V634" s="32"/>
    </x:row>
    <x:row r="635">
      <x:c r="A635" s="87"/>
      <x:c r="B635" s="88"/>
      <x:c r="D635" s="32"/>
      <x:c r="G635" s="74"/>
      <x:c r="H635" s="74"/>
      <x:c r="I635" s="74"/>
      <x:c r="J635" s="74"/>
      <x:c r="K635" s="74"/>
      <x:c r="L635" s="74"/>
      <x:c r="M635" s="74"/>
      <x:c r="N635" s="91"/>
      <x:c r="O635" s="91"/>
      <x:c r="P635" s="91"/>
      <x:c r="Q635" s="91"/>
      <x:c r="R635" s="91"/>
      <x:c r="S635" s="85"/>
      <x:c r="U635" s="86"/>
      <x:c r="V635" s="32"/>
    </x:row>
    <x:row r="636">
      <x:c r="A636" s="87"/>
      <x:c r="B636" s="88"/>
      <x:c r="D636" s="32"/>
      <x:c r="G636" s="74"/>
      <x:c r="H636" s="74"/>
      <x:c r="I636" s="74"/>
      <x:c r="J636" s="74"/>
      <x:c r="K636" s="74"/>
      <x:c r="L636" s="74"/>
      <x:c r="M636" s="74"/>
      <x:c r="N636" s="91"/>
      <x:c r="O636" s="91"/>
      <x:c r="P636" s="91"/>
      <x:c r="Q636" s="91"/>
      <x:c r="R636" s="91"/>
      <x:c r="S636" s="85"/>
      <x:c r="U636" s="86"/>
      <x:c r="V636" s="32"/>
    </x:row>
    <x:row r="637">
      <x:c r="A637" s="87"/>
      <x:c r="B637" s="88"/>
      <x:c r="D637" s="32"/>
      <x:c r="G637" s="74"/>
      <x:c r="H637" s="74"/>
      <x:c r="I637" s="74"/>
      <x:c r="J637" s="74"/>
      <x:c r="K637" s="74"/>
      <x:c r="L637" s="74"/>
      <x:c r="M637" s="74"/>
      <x:c r="N637" s="91"/>
      <x:c r="O637" s="91"/>
      <x:c r="P637" s="91"/>
      <x:c r="Q637" s="91"/>
      <x:c r="R637" s="91"/>
      <x:c r="S637" s="85"/>
      <x:c r="U637" s="86"/>
      <x:c r="V637" s="32"/>
    </x:row>
    <x:row r="638">
      <x:c r="A638" s="87"/>
      <x:c r="B638" s="88"/>
      <x:c r="D638" s="32"/>
      <x:c r="G638" s="74"/>
      <x:c r="H638" s="74"/>
      <x:c r="I638" s="74"/>
      <x:c r="J638" s="74"/>
      <x:c r="K638" s="74"/>
      <x:c r="L638" s="74"/>
      <x:c r="M638" s="74"/>
      <x:c r="N638" s="91"/>
      <x:c r="O638" s="91"/>
      <x:c r="P638" s="91"/>
      <x:c r="Q638" s="91"/>
      <x:c r="R638" s="91"/>
      <x:c r="S638" s="85"/>
      <x:c r="U638" s="86"/>
      <x:c r="V638" s="32"/>
    </x:row>
    <x:row r="639">
      <x:c r="A639" s="87"/>
      <x:c r="B639" s="88"/>
      <x:c r="D639" s="32"/>
      <x:c r="G639" s="74"/>
      <x:c r="H639" s="74"/>
      <x:c r="I639" s="74"/>
      <x:c r="J639" s="74"/>
      <x:c r="K639" s="74"/>
      <x:c r="L639" s="74"/>
      <x:c r="M639" s="74"/>
      <x:c r="N639" s="91"/>
      <x:c r="O639" s="91"/>
      <x:c r="P639" s="91"/>
      <x:c r="Q639" s="91"/>
      <x:c r="R639" s="91"/>
      <x:c r="S639" s="85"/>
      <x:c r="U639" s="86"/>
      <x:c r="V639" s="32"/>
    </x:row>
    <x:row r="640">
      <x:c r="A640" s="87"/>
      <x:c r="B640" s="88"/>
      <x:c r="D640" s="32"/>
      <x:c r="G640" s="74"/>
      <x:c r="H640" s="74"/>
      <x:c r="I640" s="74"/>
      <x:c r="J640" s="74"/>
      <x:c r="K640" s="74"/>
      <x:c r="L640" s="74"/>
      <x:c r="M640" s="74"/>
      <x:c r="N640" s="91"/>
      <x:c r="O640" s="91"/>
      <x:c r="P640" s="91"/>
      <x:c r="Q640" s="91"/>
      <x:c r="R640" s="91"/>
      <x:c r="S640" s="85"/>
      <x:c r="U640" s="86"/>
      <x:c r="V640" s="32"/>
    </x:row>
    <x:row r="641">
      <x:c r="A641" s="87"/>
      <x:c r="B641" s="88"/>
      <x:c r="D641" s="32"/>
      <x:c r="G641" s="74"/>
      <x:c r="H641" s="74"/>
      <x:c r="I641" s="74"/>
      <x:c r="J641" s="74"/>
      <x:c r="K641" s="74"/>
      <x:c r="L641" s="74"/>
      <x:c r="M641" s="74"/>
      <x:c r="N641" s="91"/>
      <x:c r="O641" s="91"/>
      <x:c r="P641" s="91"/>
      <x:c r="Q641" s="91"/>
      <x:c r="R641" s="91"/>
      <x:c r="S641" s="85"/>
      <x:c r="U641" s="86"/>
      <x:c r="V641" s="32"/>
    </x:row>
    <x:row r="642">
      <x:c r="A642" s="87"/>
      <x:c r="B642" s="88"/>
      <x:c r="D642" s="32"/>
      <x:c r="G642" s="74"/>
      <x:c r="H642" s="74"/>
      <x:c r="I642" s="74"/>
      <x:c r="J642" s="74"/>
      <x:c r="K642" s="74"/>
      <x:c r="L642" s="74"/>
      <x:c r="M642" s="74"/>
      <x:c r="N642" s="91"/>
      <x:c r="O642" s="91"/>
      <x:c r="P642" s="91"/>
      <x:c r="Q642" s="91"/>
      <x:c r="R642" s="91"/>
      <x:c r="S642" s="85"/>
      <x:c r="U642" s="86"/>
      <x:c r="V642" s="32"/>
    </x:row>
    <x:row r="643">
      <x:c r="A643" s="87"/>
      <x:c r="B643" s="88"/>
      <x:c r="D643" s="32"/>
      <x:c r="G643" s="74"/>
      <x:c r="H643" s="74"/>
      <x:c r="I643" s="74"/>
      <x:c r="J643" s="74"/>
      <x:c r="K643" s="74"/>
      <x:c r="L643" s="74"/>
      <x:c r="M643" s="74"/>
      <x:c r="N643" s="91"/>
      <x:c r="O643" s="91"/>
      <x:c r="P643" s="91"/>
      <x:c r="Q643" s="91"/>
      <x:c r="R643" s="91"/>
      <x:c r="S643" s="85"/>
      <x:c r="U643" s="86"/>
      <x:c r="V643" s="32"/>
    </x:row>
    <x:row r="644">
      <x:c r="A644" s="87"/>
      <x:c r="B644" s="88"/>
      <x:c r="D644" s="32"/>
      <x:c r="G644" s="74"/>
      <x:c r="H644" s="74"/>
      <x:c r="I644" s="74"/>
      <x:c r="J644" s="74"/>
      <x:c r="K644" s="74"/>
      <x:c r="L644" s="74"/>
      <x:c r="M644" s="74"/>
      <x:c r="N644" s="91"/>
      <x:c r="O644" s="91"/>
      <x:c r="P644" s="91"/>
      <x:c r="Q644" s="91"/>
      <x:c r="R644" s="91"/>
      <x:c r="S644" s="85"/>
      <x:c r="U644" s="86"/>
      <x:c r="V644" s="32"/>
    </x:row>
    <x:row r="645">
      <x:c r="A645" s="87"/>
      <x:c r="B645" s="88"/>
      <x:c r="D645" s="32"/>
      <x:c r="G645" s="74"/>
      <x:c r="H645" s="74"/>
      <x:c r="I645" s="74"/>
      <x:c r="J645" s="74"/>
      <x:c r="K645" s="74"/>
      <x:c r="L645" s="74"/>
      <x:c r="M645" s="74"/>
      <x:c r="N645" s="91"/>
      <x:c r="O645" s="91"/>
      <x:c r="P645" s="91"/>
      <x:c r="Q645" s="91"/>
      <x:c r="R645" s="91"/>
      <x:c r="S645" s="85"/>
      <x:c r="U645" s="86"/>
      <x:c r="V645" s="32"/>
    </x:row>
    <x:row r="646">
      <x:c r="A646" s="87"/>
      <x:c r="B646" s="88"/>
      <x:c r="D646" s="32"/>
      <x:c r="G646" s="74"/>
      <x:c r="H646" s="74"/>
      <x:c r="I646" s="74"/>
      <x:c r="J646" s="74"/>
      <x:c r="K646" s="74"/>
      <x:c r="L646" s="74"/>
      <x:c r="M646" s="74"/>
      <x:c r="N646" s="91"/>
      <x:c r="O646" s="91"/>
      <x:c r="P646" s="91"/>
      <x:c r="Q646" s="91"/>
      <x:c r="R646" s="91"/>
      <x:c r="S646" s="85"/>
      <x:c r="U646" s="86"/>
      <x:c r="V646" s="32"/>
    </x:row>
    <x:row r="647">
      <x:c r="A647" s="87"/>
      <x:c r="B647" s="88"/>
      <x:c r="D647" s="32"/>
      <x:c r="G647" s="74"/>
      <x:c r="H647" s="74"/>
      <x:c r="I647" s="74"/>
      <x:c r="J647" s="74"/>
      <x:c r="K647" s="74"/>
      <x:c r="L647" s="74"/>
      <x:c r="M647" s="74"/>
      <x:c r="N647" s="91"/>
      <x:c r="O647" s="91"/>
      <x:c r="P647" s="91"/>
      <x:c r="Q647" s="91"/>
      <x:c r="R647" s="91"/>
      <x:c r="S647" s="85"/>
      <x:c r="U647" s="86"/>
      <x:c r="V647" s="32"/>
    </x:row>
    <x:row r="648">
      <x:c r="A648" s="87"/>
      <x:c r="B648" s="88"/>
      <x:c r="D648" s="32"/>
      <x:c r="G648" s="74"/>
      <x:c r="H648" s="74"/>
      <x:c r="I648" s="74"/>
      <x:c r="J648" s="74"/>
      <x:c r="K648" s="74"/>
      <x:c r="L648" s="74"/>
      <x:c r="M648" s="74"/>
      <x:c r="N648" s="91"/>
      <x:c r="O648" s="91"/>
      <x:c r="P648" s="91"/>
      <x:c r="Q648" s="91"/>
      <x:c r="R648" s="91"/>
      <x:c r="S648" s="85"/>
      <x:c r="U648" s="86"/>
      <x:c r="V648" s="32"/>
    </x:row>
    <x:row r="649">
      <x:c r="A649" s="87"/>
      <x:c r="B649" s="88"/>
      <x:c r="D649" s="32"/>
      <x:c r="G649" s="74"/>
      <x:c r="H649" s="74"/>
      <x:c r="I649" s="74"/>
      <x:c r="J649" s="74"/>
      <x:c r="K649" s="74"/>
      <x:c r="L649" s="74"/>
      <x:c r="M649" s="74"/>
      <x:c r="N649" s="91"/>
      <x:c r="O649" s="91"/>
      <x:c r="P649" s="91"/>
      <x:c r="Q649" s="91"/>
      <x:c r="R649" s="91"/>
      <x:c r="S649" s="85"/>
      <x:c r="U649" s="86"/>
      <x:c r="V649" s="32"/>
    </x:row>
    <x:row r="650">
      <x:c r="A650" s="87"/>
      <x:c r="B650" s="88"/>
      <x:c r="D650" s="32"/>
      <x:c r="G650" s="74"/>
      <x:c r="H650" s="74"/>
      <x:c r="I650" s="74"/>
      <x:c r="J650" s="74"/>
      <x:c r="K650" s="74"/>
      <x:c r="L650" s="74"/>
      <x:c r="M650" s="74"/>
      <x:c r="N650" s="91"/>
      <x:c r="O650" s="91"/>
      <x:c r="P650" s="91"/>
      <x:c r="Q650" s="91"/>
      <x:c r="R650" s="91"/>
      <x:c r="S650" s="85"/>
      <x:c r="U650" s="86"/>
      <x:c r="V650" s="32"/>
    </x:row>
    <x:row r="651">
      <x:c r="A651" s="87"/>
      <x:c r="B651" s="88"/>
      <x:c r="D651" s="32"/>
      <x:c r="G651" s="74"/>
      <x:c r="H651" s="74"/>
      <x:c r="I651" s="74"/>
      <x:c r="J651" s="74"/>
      <x:c r="K651" s="74"/>
      <x:c r="L651" s="74"/>
      <x:c r="M651" s="74"/>
      <x:c r="N651" s="91"/>
      <x:c r="O651" s="91"/>
      <x:c r="P651" s="91"/>
      <x:c r="Q651" s="91"/>
      <x:c r="R651" s="91"/>
      <x:c r="S651" s="85"/>
      <x:c r="U651" s="86"/>
      <x:c r="V651" s="32"/>
    </x:row>
    <x:row r="652">
      <x:c r="A652" s="87"/>
      <x:c r="B652" s="88"/>
      <x:c r="D652" s="32"/>
      <x:c r="G652" s="74"/>
      <x:c r="H652" s="74"/>
      <x:c r="I652" s="74"/>
      <x:c r="J652" s="74"/>
      <x:c r="K652" s="74"/>
      <x:c r="L652" s="74"/>
      <x:c r="M652" s="74"/>
      <x:c r="N652" s="91"/>
      <x:c r="O652" s="91"/>
      <x:c r="P652" s="91"/>
      <x:c r="Q652" s="91"/>
      <x:c r="R652" s="91"/>
      <x:c r="S652" s="85"/>
      <x:c r="U652" s="86"/>
      <x:c r="V652" s="32"/>
    </x:row>
    <x:row r="653">
      <x:c r="A653" s="87"/>
      <x:c r="B653" s="88"/>
      <x:c r="D653" s="32"/>
      <x:c r="G653" s="74"/>
      <x:c r="H653" s="74"/>
      <x:c r="I653" s="74"/>
      <x:c r="J653" s="74"/>
      <x:c r="K653" s="74"/>
      <x:c r="L653" s="74"/>
      <x:c r="M653" s="74"/>
      <x:c r="N653" s="91"/>
      <x:c r="O653" s="91"/>
      <x:c r="P653" s="91"/>
      <x:c r="Q653" s="91"/>
      <x:c r="R653" s="91"/>
      <x:c r="S653" s="85"/>
      <x:c r="U653" s="86"/>
      <x:c r="V653" s="32"/>
    </x:row>
    <x:row r="654">
      <x:c r="A654" s="87"/>
      <x:c r="B654" s="88"/>
      <x:c r="D654" s="32"/>
      <x:c r="G654" s="74"/>
      <x:c r="H654" s="74"/>
      <x:c r="I654" s="74"/>
      <x:c r="J654" s="74"/>
      <x:c r="K654" s="74"/>
      <x:c r="L654" s="74"/>
      <x:c r="M654" s="74"/>
      <x:c r="N654" s="91"/>
      <x:c r="O654" s="91"/>
      <x:c r="P654" s="91"/>
      <x:c r="Q654" s="91"/>
      <x:c r="R654" s="91"/>
      <x:c r="S654" s="85"/>
      <x:c r="U654" s="86"/>
      <x:c r="V654" s="32"/>
    </x:row>
    <x:row r="655">
      <x:c r="A655" s="87"/>
      <x:c r="B655" s="88"/>
      <x:c r="D655" s="32"/>
      <x:c r="G655" s="74"/>
      <x:c r="H655" s="74"/>
      <x:c r="I655" s="74"/>
      <x:c r="J655" s="74"/>
      <x:c r="K655" s="74"/>
      <x:c r="L655" s="74"/>
      <x:c r="M655" s="74"/>
      <x:c r="N655" s="91"/>
      <x:c r="O655" s="91"/>
      <x:c r="P655" s="91"/>
      <x:c r="Q655" s="91"/>
      <x:c r="R655" s="91"/>
      <x:c r="S655" s="85"/>
      <x:c r="U655" s="86"/>
      <x:c r="V655" s="32"/>
    </x:row>
    <x:row r="656">
      <x:c r="A656" s="87"/>
      <x:c r="B656" s="88"/>
      <x:c r="D656" s="32"/>
      <x:c r="G656" s="74"/>
      <x:c r="H656" s="74"/>
      <x:c r="I656" s="74"/>
      <x:c r="J656" s="74"/>
      <x:c r="K656" s="74"/>
      <x:c r="L656" s="74"/>
      <x:c r="M656" s="74"/>
      <x:c r="N656" s="91"/>
      <x:c r="O656" s="91"/>
      <x:c r="P656" s="91"/>
      <x:c r="Q656" s="91"/>
      <x:c r="R656" s="91"/>
      <x:c r="S656" s="85"/>
      <x:c r="U656" s="86"/>
      <x:c r="V656" s="32"/>
    </x:row>
    <x:row r="657">
      <x:c r="A657" s="87"/>
      <x:c r="B657" s="88"/>
      <x:c r="D657" s="32"/>
      <x:c r="G657" s="74"/>
      <x:c r="H657" s="74"/>
      <x:c r="I657" s="74"/>
      <x:c r="J657" s="74"/>
      <x:c r="K657" s="74"/>
      <x:c r="L657" s="74"/>
      <x:c r="M657" s="74"/>
      <x:c r="N657" s="91"/>
      <x:c r="O657" s="91"/>
      <x:c r="P657" s="91"/>
      <x:c r="Q657" s="91"/>
      <x:c r="R657" s="91"/>
      <x:c r="S657" s="85"/>
      <x:c r="U657" s="86"/>
      <x:c r="V657" s="32"/>
    </x:row>
    <x:row r="658">
      <x:c r="A658" s="87"/>
      <x:c r="B658" s="88"/>
      <x:c r="D658" s="32"/>
      <x:c r="G658" s="74"/>
      <x:c r="H658" s="74"/>
      <x:c r="I658" s="74"/>
      <x:c r="J658" s="74"/>
      <x:c r="K658" s="74"/>
      <x:c r="L658" s="74"/>
      <x:c r="M658" s="74"/>
      <x:c r="N658" s="91"/>
      <x:c r="O658" s="91"/>
      <x:c r="P658" s="91"/>
      <x:c r="Q658" s="91"/>
      <x:c r="R658" s="91"/>
      <x:c r="S658" s="85"/>
      <x:c r="U658" s="86"/>
      <x:c r="V658" s="32"/>
    </x:row>
    <x:row r="659">
      <x:c r="A659" s="87"/>
      <x:c r="B659" s="88"/>
      <x:c r="D659" s="32"/>
      <x:c r="G659" s="74"/>
      <x:c r="H659" s="74"/>
      <x:c r="I659" s="74"/>
      <x:c r="J659" s="74"/>
      <x:c r="K659" s="74"/>
      <x:c r="L659" s="74"/>
      <x:c r="M659" s="74"/>
      <x:c r="N659" s="91"/>
      <x:c r="O659" s="91"/>
      <x:c r="P659" s="91"/>
      <x:c r="Q659" s="91"/>
      <x:c r="R659" s="91"/>
      <x:c r="S659" s="85"/>
      <x:c r="U659" s="86"/>
      <x:c r="V659" s="32"/>
    </x:row>
    <x:row r="660">
      <x:c r="A660" s="87"/>
      <x:c r="B660" s="88"/>
      <x:c r="D660" s="32"/>
      <x:c r="G660" s="74"/>
      <x:c r="H660" s="74"/>
      <x:c r="I660" s="74"/>
      <x:c r="J660" s="74"/>
      <x:c r="K660" s="74"/>
      <x:c r="L660" s="74"/>
      <x:c r="M660" s="74"/>
      <x:c r="N660" s="91"/>
      <x:c r="O660" s="91"/>
      <x:c r="P660" s="91"/>
      <x:c r="Q660" s="91"/>
      <x:c r="R660" s="91"/>
      <x:c r="S660" s="85"/>
      <x:c r="U660" s="86"/>
      <x:c r="V660" s="32"/>
    </x:row>
    <x:row r="661">
      <x:c r="A661" s="87"/>
      <x:c r="B661" s="88"/>
      <x:c r="D661" s="32"/>
      <x:c r="G661" s="74"/>
      <x:c r="H661" s="74"/>
      <x:c r="I661" s="74"/>
      <x:c r="J661" s="74"/>
      <x:c r="K661" s="74"/>
      <x:c r="L661" s="74"/>
      <x:c r="M661" s="74"/>
      <x:c r="N661" s="91"/>
      <x:c r="O661" s="91"/>
      <x:c r="P661" s="91"/>
      <x:c r="Q661" s="91"/>
      <x:c r="R661" s="91"/>
      <x:c r="S661" s="85"/>
      <x:c r="U661" s="86"/>
      <x:c r="V661" s="32"/>
    </x:row>
    <x:row r="662">
      <x:c r="A662" s="87"/>
      <x:c r="B662" s="88"/>
      <x:c r="D662" s="32"/>
      <x:c r="G662" s="74"/>
      <x:c r="H662" s="74"/>
      <x:c r="I662" s="74"/>
      <x:c r="J662" s="74"/>
      <x:c r="K662" s="74"/>
      <x:c r="L662" s="74"/>
      <x:c r="M662" s="74"/>
      <x:c r="N662" s="91"/>
      <x:c r="O662" s="91"/>
      <x:c r="P662" s="91"/>
      <x:c r="Q662" s="91"/>
      <x:c r="R662" s="91"/>
      <x:c r="S662" s="85"/>
      <x:c r="U662" s="86"/>
      <x:c r="V662" s="32"/>
    </x:row>
    <x:row r="663">
      <x:c r="A663" s="87"/>
      <x:c r="B663" s="88"/>
      <x:c r="D663" s="32"/>
      <x:c r="G663" s="74"/>
      <x:c r="H663" s="74"/>
      <x:c r="I663" s="74"/>
      <x:c r="J663" s="74"/>
      <x:c r="K663" s="74"/>
      <x:c r="L663" s="74"/>
      <x:c r="M663" s="74"/>
      <x:c r="N663" s="91"/>
      <x:c r="O663" s="91"/>
      <x:c r="P663" s="91"/>
      <x:c r="Q663" s="91"/>
      <x:c r="R663" s="91"/>
      <x:c r="S663" s="85"/>
      <x:c r="U663" s="86"/>
      <x:c r="V663" s="32"/>
    </x:row>
    <x:row r="664">
      <x:c r="A664" s="87"/>
      <x:c r="B664" s="88"/>
      <x:c r="D664" s="32"/>
      <x:c r="G664" s="74"/>
      <x:c r="H664" s="74"/>
      <x:c r="I664" s="74"/>
      <x:c r="J664" s="74"/>
      <x:c r="K664" s="74"/>
      <x:c r="L664" s="74"/>
      <x:c r="M664" s="74"/>
      <x:c r="N664" s="91"/>
      <x:c r="O664" s="91"/>
      <x:c r="P664" s="91"/>
      <x:c r="Q664" s="91"/>
      <x:c r="R664" s="91"/>
      <x:c r="S664" s="85"/>
      <x:c r="U664" s="86"/>
      <x:c r="V664" s="32"/>
    </x:row>
    <x:row r="665">
      <x:c r="A665" s="87"/>
      <x:c r="B665" s="88"/>
      <x:c r="D665" s="32"/>
      <x:c r="G665" s="74"/>
      <x:c r="H665" s="74"/>
      <x:c r="I665" s="74"/>
      <x:c r="J665" s="74"/>
      <x:c r="K665" s="74"/>
      <x:c r="L665" s="74"/>
      <x:c r="M665" s="74"/>
      <x:c r="N665" s="91"/>
      <x:c r="O665" s="91"/>
      <x:c r="P665" s="91"/>
      <x:c r="Q665" s="91"/>
      <x:c r="R665" s="91"/>
      <x:c r="S665" s="85"/>
      <x:c r="U665" s="86"/>
      <x:c r="V665" s="32"/>
    </x:row>
    <x:row r="666">
      <x:c r="A666" s="87"/>
      <x:c r="B666" s="88"/>
      <x:c r="D666" s="32"/>
      <x:c r="G666" s="74"/>
      <x:c r="H666" s="74"/>
      <x:c r="I666" s="74"/>
      <x:c r="J666" s="74"/>
      <x:c r="K666" s="74"/>
      <x:c r="L666" s="74"/>
      <x:c r="M666" s="74"/>
      <x:c r="N666" s="91"/>
      <x:c r="O666" s="91"/>
      <x:c r="P666" s="91"/>
      <x:c r="Q666" s="91"/>
      <x:c r="R666" s="91"/>
      <x:c r="S666" s="85"/>
      <x:c r="U666" s="86"/>
      <x:c r="V666" s="32"/>
    </x:row>
    <x:row r="667">
      <x:c r="A667" s="87"/>
      <x:c r="B667" s="88"/>
      <x:c r="D667" s="32"/>
      <x:c r="G667" s="74"/>
      <x:c r="H667" s="74"/>
      <x:c r="I667" s="74"/>
      <x:c r="J667" s="74"/>
      <x:c r="K667" s="74"/>
      <x:c r="L667" s="74"/>
      <x:c r="M667" s="74"/>
      <x:c r="N667" s="91"/>
      <x:c r="O667" s="91"/>
      <x:c r="P667" s="91"/>
      <x:c r="Q667" s="91"/>
      <x:c r="R667" s="91"/>
      <x:c r="S667" s="85"/>
      <x:c r="U667" s="86"/>
      <x:c r="V667" s="32"/>
    </x:row>
    <x:row r="668">
      <x:c r="A668" s="87"/>
      <x:c r="B668" s="88"/>
      <x:c r="D668" s="32"/>
      <x:c r="G668" s="74"/>
      <x:c r="H668" s="74"/>
      <x:c r="I668" s="74"/>
      <x:c r="J668" s="74"/>
      <x:c r="K668" s="74"/>
      <x:c r="L668" s="74"/>
      <x:c r="M668" s="74"/>
      <x:c r="N668" s="91"/>
      <x:c r="O668" s="91"/>
      <x:c r="P668" s="91"/>
      <x:c r="Q668" s="91"/>
      <x:c r="R668" s="91"/>
      <x:c r="S668" s="85"/>
      <x:c r="U668" s="86"/>
      <x:c r="V668" s="32"/>
    </x:row>
    <x:row r="669">
      <x:c r="A669" s="87"/>
      <x:c r="B669" s="88"/>
      <x:c r="D669" s="32"/>
      <x:c r="G669" s="74"/>
      <x:c r="H669" s="74"/>
      <x:c r="I669" s="74"/>
      <x:c r="J669" s="74"/>
      <x:c r="K669" s="74"/>
      <x:c r="L669" s="74"/>
      <x:c r="M669" s="74"/>
      <x:c r="N669" s="91"/>
      <x:c r="O669" s="91"/>
      <x:c r="P669" s="91"/>
      <x:c r="Q669" s="91"/>
      <x:c r="R669" s="91"/>
      <x:c r="S669" s="85"/>
      <x:c r="U669" s="86"/>
      <x:c r="V669" s="32"/>
    </x:row>
    <x:row r="670">
      <x:c r="A670" s="87"/>
      <x:c r="B670" s="88"/>
      <x:c r="D670" s="32"/>
      <x:c r="G670" s="74"/>
      <x:c r="H670" s="74"/>
      <x:c r="I670" s="74"/>
      <x:c r="J670" s="74"/>
      <x:c r="K670" s="74"/>
      <x:c r="L670" s="74"/>
      <x:c r="M670" s="74"/>
      <x:c r="N670" s="91"/>
      <x:c r="O670" s="91"/>
      <x:c r="P670" s="91"/>
      <x:c r="Q670" s="91"/>
      <x:c r="R670" s="91"/>
      <x:c r="S670" s="85"/>
      <x:c r="U670" s="86"/>
      <x:c r="V670" s="32"/>
    </x:row>
    <x:row r="671">
      <x:c r="A671" s="87"/>
      <x:c r="B671" s="88"/>
      <x:c r="D671" s="32"/>
      <x:c r="G671" s="74"/>
      <x:c r="H671" s="74"/>
      <x:c r="I671" s="74"/>
      <x:c r="J671" s="74"/>
      <x:c r="K671" s="74"/>
      <x:c r="L671" s="74"/>
      <x:c r="M671" s="74"/>
      <x:c r="N671" s="91"/>
      <x:c r="O671" s="91"/>
      <x:c r="P671" s="91"/>
      <x:c r="Q671" s="91"/>
      <x:c r="R671" s="91"/>
      <x:c r="S671" s="85"/>
      <x:c r="U671" s="86"/>
      <x:c r="V671" s="32"/>
    </x:row>
    <x:row r="672">
      <x:c r="A672" s="87"/>
      <x:c r="B672" s="88"/>
      <x:c r="D672" s="32"/>
      <x:c r="G672" s="74"/>
      <x:c r="H672" s="74"/>
      <x:c r="I672" s="74"/>
      <x:c r="J672" s="74"/>
      <x:c r="K672" s="74"/>
      <x:c r="L672" s="74"/>
      <x:c r="M672" s="74"/>
      <x:c r="N672" s="91"/>
      <x:c r="O672" s="91"/>
      <x:c r="P672" s="91"/>
      <x:c r="Q672" s="91"/>
      <x:c r="R672" s="91"/>
      <x:c r="S672" s="85"/>
      <x:c r="U672" s="86"/>
      <x:c r="V672" s="32"/>
    </x:row>
    <x:row r="673">
      <x:c r="A673" s="87"/>
      <x:c r="B673" s="88"/>
      <x:c r="D673" s="32"/>
      <x:c r="G673" s="74"/>
      <x:c r="H673" s="74"/>
      <x:c r="I673" s="74"/>
      <x:c r="J673" s="74"/>
      <x:c r="K673" s="74"/>
      <x:c r="L673" s="74"/>
      <x:c r="M673" s="74"/>
      <x:c r="N673" s="91"/>
      <x:c r="O673" s="91"/>
      <x:c r="P673" s="91"/>
      <x:c r="Q673" s="91"/>
      <x:c r="R673" s="91"/>
      <x:c r="S673" s="85"/>
      <x:c r="U673" s="86"/>
      <x:c r="V673" s="32"/>
    </x:row>
    <x:row r="674">
      <x:c r="A674" s="87"/>
      <x:c r="B674" s="88"/>
      <x:c r="D674" s="32"/>
      <x:c r="G674" s="74"/>
      <x:c r="H674" s="74"/>
      <x:c r="I674" s="74"/>
      <x:c r="J674" s="74"/>
      <x:c r="K674" s="74"/>
      <x:c r="L674" s="74"/>
      <x:c r="M674" s="74"/>
      <x:c r="N674" s="91"/>
      <x:c r="O674" s="91"/>
      <x:c r="P674" s="91"/>
      <x:c r="Q674" s="91"/>
      <x:c r="R674" s="91"/>
      <x:c r="S674" s="85"/>
      <x:c r="U674" s="86"/>
      <x:c r="V674" s="32"/>
    </x:row>
    <x:row r="675">
      <x:c r="A675" s="87"/>
      <x:c r="B675" s="88"/>
      <x:c r="D675" s="32"/>
      <x:c r="G675" s="74"/>
      <x:c r="H675" s="74"/>
      <x:c r="I675" s="74"/>
      <x:c r="J675" s="74"/>
      <x:c r="K675" s="74"/>
      <x:c r="L675" s="74"/>
      <x:c r="M675" s="74"/>
      <x:c r="N675" s="91"/>
      <x:c r="O675" s="91"/>
      <x:c r="P675" s="91"/>
      <x:c r="Q675" s="91"/>
      <x:c r="R675" s="91"/>
      <x:c r="S675" s="85"/>
      <x:c r="U675" s="86"/>
      <x:c r="V675" s="32"/>
    </x:row>
    <x:row r="676">
      <x:c r="A676" s="87"/>
      <x:c r="B676" s="88"/>
      <x:c r="D676" s="32"/>
      <x:c r="G676" s="74"/>
      <x:c r="H676" s="74"/>
      <x:c r="I676" s="74"/>
      <x:c r="J676" s="74"/>
      <x:c r="K676" s="74"/>
      <x:c r="L676" s="74"/>
      <x:c r="M676" s="74"/>
      <x:c r="N676" s="91"/>
      <x:c r="O676" s="91"/>
      <x:c r="P676" s="91"/>
      <x:c r="Q676" s="91"/>
      <x:c r="R676" s="91"/>
      <x:c r="S676" s="85"/>
      <x:c r="U676" s="86"/>
      <x:c r="V676" s="32"/>
    </x:row>
    <x:row r="677">
      <x:c r="A677" s="87"/>
      <x:c r="B677" s="88"/>
      <x:c r="D677" s="32"/>
      <x:c r="G677" s="74"/>
      <x:c r="H677" s="74"/>
      <x:c r="I677" s="74"/>
      <x:c r="J677" s="74"/>
      <x:c r="K677" s="74"/>
      <x:c r="L677" s="74"/>
      <x:c r="M677" s="74"/>
      <x:c r="N677" s="91"/>
      <x:c r="O677" s="91"/>
      <x:c r="P677" s="91"/>
      <x:c r="Q677" s="91"/>
      <x:c r="R677" s="91"/>
      <x:c r="S677" s="85"/>
      <x:c r="U677" s="86"/>
      <x:c r="V677" s="32"/>
    </x:row>
    <x:row r="678">
      <x:c r="A678" s="87"/>
      <x:c r="B678" s="88"/>
      <x:c r="D678" s="32"/>
      <x:c r="G678" s="74"/>
      <x:c r="H678" s="74"/>
      <x:c r="I678" s="74"/>
      <x:c r="J678" s="74"/>
      <x:c r="K678" s="74"/>
      <x:c r="L678" s="74"/>
      <x:c r="M678" s="74"/>
      <x:c r="N678" s="91"/>
      <x:c r="O678" s="91"/>
      <x:c r="P678" s="91"/>
      <x:c r="Q678" s="91"/>
      <x:c r="R678" s="91"/>
      <x:c r="S678" s="85"/>
      <x:c r="U678" s="86"/>
      <x:c r="V678" s="32"/>
    </x:row>
    <x:row r="679">
      <x:c r="A679" s="87"/>
      <x:c r="B679" s="88"/>
      <x:c r="D679" s="32"/>
      <x:c r="G679" s="74"/>
      <x:c r="H679" s="74"/>
      <x:c r="I679" s="74"/>
      <x:c r="J679" s="74"/>
      <x:c r="K679" s="74"/>
      <x:c r="L679" s="74"/>
      <x:c r="M679" s="74"/>
      <x:c r="N679" s="91"/>
      <x:c r="O679" s="91"/>
      <x:c r="P679" s="91"/>
      <x:c r="Q679" s="91"/>
      <x:c r="R679" s="91"/>
      <x:c r="S679" s="85"/>
      <x:c r="U679" s="86"/>
      <x:c r="V679" s="32"/>
    </x:row>
    <x:row r="680">
      <x:c r="A680" s="87"/>
      <x:c r="B680" s="88"/>
      <x:c r="D680" s="32"/>
      <x:c r="G680" s="74"/>
      <x:c r="H680" s="74"/>
      <x:c r="I680" s="74"/>
      <x:c r="J680" s="74"/>
      <x:c r="K680" s="74"/>
      <x:c r="L680" s="74"/>
      <x:c r="M680" s="74"/>
      <x:c r="N680" s="91"/>
      <x:c r="O680" s="91"/>
      <x:c r="P680" s="91"/>
      <x:c r="Q680" s="91"/>
      <x:c r="R680" s="91"/>
      <x:c r="S680" s="85"/>
      <x:c r="U680" s="86"/>
      <x:c r="V680" s="32"/>
    </x:row>
    <x:row r="681">
      <x:c r="A681" s="87"/>
      <x:c r="B681" s="88"/>
      <x:c r="D681" s="32"/>
      <x:c r="G681" s="74"/>
      <x:c r="H681" s="74"/>
      <x:c r="I681" s="74"/>
      <x:c r="J681" s="74"/>
      <x:c r="K681" s="74"/>
      <x:c r="L681" s="74"/>
      <x:c r="M681" s="74"/>
      <x:c r="N681" s="91"/>
      <x:c r="O681" s="91"/>
      <x:c r="P681" s="91"/>
      <x:c r="Q681" s="91"/>
      <x:c r="R681" s="91"/>
      <x:c r="S681" s="85"/>
      <x:c r="U681" s="86"/>
      <x:c r="V681" s="32"/>
    </x:row>
    <x:row r="682">
      <x:c r="A682" s="87"/>
      <x:c r="B682" s="88"/>
      <x:c r="D682" s="32"/>
      <x:c r="G682" s="74"/>
      <x:c r="H682" s="74"/>
      <x:c r="I682" s="74"/>
      <x:c r="J682" s="74"/>
      <x:c r="K682" s="74"/>
      <x:c r="L682" s="74"/>
      <x:c r="M682" s="74"/>
      <x:c r="N682" s="91"/>
      <x:c r="O682" s="91"/>
      <x:c r="P682" s="91"/>
      <x:c r="Q682" s="91"/>
      <x:c r="R682" s="91"/>
      <x:c r="S682" s="85"/>
      <x:c r="U682" s="86"/>
      <x:c r="V682" s="32"/>
    </x:row>
    <x:row r="683">
      <x:c r="A683" s="87"/>
      <x:c r="B683" s="88"/>
      <x:c r="D683" s="32"/>
      <x:c r="G683" s="74"/>
      <x:c r="H683" s="74"/>
      <x:c r="I683" s="74"/>
      <x:c r="J683" s="74"/>
      <x:c r="K683" s="74"/>
      <x:c r="L683" s="74"/>
      <x:c r="M683" s="74"/>
      <x:c r="N683" s="91"/>
      <x:c r="O683" s="91"/>
      <x:c r="P683" s="91"/>
      <x:c r="Q683" s="91"/>
      <x:c r="R683" s="91"/>
      <x:c r="S683" s="85"/>
      <x:c r="U683" s="86"/>
      <x:c r="V683" s="32"/>
    </x:row>
    <x:row r="684">
      <x:c r="A684" s="87"/>
      <x:c r="B684" s="88"/>
      <x:c r="D684" s="32"/>
      <x:c r="G684" s="74"/>
      <x:c r="H684" s="74"/>
      <x:c r="I684" s="74"/>
      <x:c r="J684" s="74"/>
      <x:c r="K684" s="74"/>
      <x:c r="L684" s="74"/>
      <x:c r="M684" s="74"/>
      <x:c r="N684" s="91"/>
      <x:c r="O684" s="91"/>
      <x:c r="P684" s="91"/>
      <x:c r="Q684" s="91"/>
      <x:c r="R684" s="91"/>
      <x:c r="S684" s="85"/>
      <x:c r="U684" s="86"/>
      <x:c r="V684" s="32"/>
    </x:row>
    <x:row r="685">
      <x:c r="A685" s="87"/>
      <x:c r="B685" s="88"/>
      <x:c r="D685" s="32"/>
      <x:c r="G685" s="74"/>
      <x:c r="H685" s="74"/>
      <x:c r="I685" s="74"/>
      <x:c r="J685" s="74"/>
      <x:c r="K685" s="74"/>
      <x:c r="L685" s="74"/>
      <x:c r="M685" s="74"/>
      <x:c r="N685" s="91"/>
      <x:c r="O685" s="91"/>
      <x:c r="P685" s="91"/>
      <x:c r="Q685" s="91"/>
      <x:c r="R685" s="91"/>
      <x:c r="S685" s="85"/>
      <x:c r="U685" s="86"/>
      <x:c r="V685" s="32"/>
    </x:row>
    <x:row r="686">
      <x:c r="A686" s="87"/>
      <x:c r="B686" s="88"/>
      <x:c r="D686" s="32"/>
      <x:c r="G686" s="74"/>
      <x:c r="H686" s="74"/>
      <x:c r="I686" s="74"/>
      <x:c r="J686" s="74"/>
      <x:c r="K686" s="74"/>
      <x:c r="L686" s="74"/>
      <x:c r="M686" s="74"/>
      <x:c r="N686" s="91"/>
      <x:c r="O686" s="91"/>
      <x:c r="P686" s="91"/>
      <x:c r="Q686" s="91"/>
      <x:c r="R686" s="91"/>
      <x:c r="S686" s="85"/>
      <x:c r="U686" s="86"/>
      <x:c r="V686" s="32"/>
    </x:row>
    <x:row r="687">
      <x:c r="A687" s="87"/>
      <x:c r="B687" s="88"/>
      <x:c r="D687" s="32"/>
      <x:c r="G687" s="74"/>
      <x:c r="H687" s="74"/>
      <x:c r="I687" s="74"/>
      <x:c r="J687" s="74"/>
      <x:c r="K687" s="74"/>
      <x:c r="L687" s="74"/>
      <x:c r="M687" s="74"/>
      <x:c r="N687" s="91"/>
      <x:c r="O687" s="91"/>
      <x:c r="P687" s="91"/>
      <x:c r="Q687" s="91"/>
      <x:c r="R687" s="91"/>
      <x:c r="S687" s="85"/>
      <x:c r="U687" s="86"/>
      <x:c r="V687" s="32"/>
    </x:row>
    <x:row r="688">
      <x:c r="A688" s="87"/>
      <x:c r="B688" s="88"/>
      <x:c r="D688" s="32"/>
      <x:c r="G688" s="74"/>
      <x:c r="H688" s="74"/>
      <x:c r="I688" s="74"/>
      <x:c r="J688" s="74"/>
      <x:c r="K688" s="74"/>
      <x:c r="L688" s="74"/>
      <x:c r="M688" s="74"/>
      <x:c r="N688" s="91"/>
      <x:c r="O688" s="91"/>
      <x:c r="P688" s="91"/>
      <x:c r="Q688" s="91"/>
      <x:c r="R688" s="91"/>
      <x:c r="S688" s="85"/>
      <x:c r="U688" s="86"/>
      <x:c r="V688" s="32"/>
    </x:row>
    <x:row r="689">
      <x:c r="A689" s="87"/>
      <x:c r="B689" s="88"/>
      <x:c r="D689" s="32"/>
      <x:c r="G689" s="74"/>
      <x:c r="H689" s="74"/>
      <x:c r="I689" s="74"/>
      <x:c r="J689" s="74"/>
      <x:c r="K689" s="74"/>
      <x:c r="L689" s="74"/>
      <x:c r="M689" s="74"/>
      <x:c r="N689" s="91"/>
      <x:c r="O689" s="91"/>
      <x:c r="P689" s="91"/>
      <x:c r="Q689" s="91"/>
      <x:c r="R689" s="91"/>
      <x:c r="S689" s="85"/>
      <x:c r="U689" s="86"/>
      <x:c r="V689" s="32"/>
    </x:row>
    <x:row r="690">
      <x:c r="A690" s="87"/>
      <x:c r="B690" s="88"/>
      <x:c r="D690" s="32"/>
      <x:c r="G690" s="74"/>
      <x:c r="H690" s="74"/>
      <x:c r="I690" s="74"/>
      <x:c r="J690" s="74"/>
      <x:c r="K690" s="74"/>
      <x:c r="L690" s="74"/>
      <x:c r="M690" s="74"/>
      <x:c r="N690" s="91"/>
      <x:c r="O690" s="91"/>
      <x:c r="P690" s="91"/>
      <x:c r="Q690" s="91"/>
      <x:c r="R690" s="91"/>
      <x:c r="S690" s="85"/>
      <x:c r="U690" s="86"/>
      <x:c r="V690" s="32"/>
    </x:row>
    <x:row r="691">
      <x:c r="A691" s="87"/>
      <x:c r="B691" s="88"/>
      <x:c r="D691" s="32"/>
      <x:c r="G691" s="74"/>
      <x:c r="H691" s="74"/>
      <x:c r="I691" s="74"/>
      <x:c r="J691" s="74"/>
      <x:c r="K691" s="74"/>
      <x:c r="L691" s="74"/>
      <x:c r="M691" s="74"/>
      <x:c r="N691" s="91"/>
      <x:c r="O691" s="91"/>
      <x:c r="P691" s="91"/>
      <x:c r="Q691" s="91"/>
      <x:c r="R691" s="91"/>
      <x:c r="S691" s="85"/>
      <x:c r="U691" s="86"/>
      <x:c r="V691" s="32"/>
    </x:row>
    <x:row r="692">
      <x:c r="A692" s="87"/>
      <x:c r="B692" s="88"/>
      <x:c r="D692" s="32"/>
      <x:c r="G692" s="74"/>
      <x:c r="H692" s="74"/>
      <x:c r="I692" s="74"/>
      <x:c r="J692" s="74"/>
      <x:c r="K692" s="74"/>
      <x:c r="L692" s="74"/>
      <x:c r="M692" s="74"/>
      <x:c r="N692" s="91"/>
      <x:c r="O692" s="91"/>
      <x:c r="P692" s="91"/>
      <x:c r="Q692" s="91"/>
      <x:c r="R692" s="91"/>
      <x:c r="S692" s="85"/>
      <x:c r="U692" s="86"/>
      <x:c r="V692" s="32"/>
    </x:row>
    <x:row r="693">
      <x:c r="A693" s="87"/>
      <x:c r="B693" s="88"/>
      <x:c r="D693" s="32"/>
      <x:c r="G693" s="74"/>
      <x:c r="H693" s="74"/>
      <x:c r="I693" s="74"/>
      <x:c r="J693" s="74"/>
      <x:c r="K693" s="74"/>
      <x:c r="L693" s="74"/>
      <x:c r="M693" s="74"/>
      <x:c r="N693" s="91"/>
      <x:c r="O693" s="91"/>
      <x:c r="P693" s="91"/>
      <x:c r="Q693" s="91"/>
      <x:c r="R693" s="91"/>
      <x:c r="S693" s="85"/>
      <x:c r="U693" s="86"/>
      <x:c r="V693" s="32"/>
    </x:row>
    <x:row r="694">
      <x:c r="A694" s="87"/>
      <x:c r="B694" s="88"/>
      <x:c r="D694" s="32"/>
      <x:c r="G694" s="74"/>
      <x:c r="H694" s="74"/>
      <x:c r="I694" s="74"/>
      <x:c r="J694" s="74"/>
      <x:c r="K694" s="74"/>
      <x:c r="L694" s="74"/>
      <x:c r="M694" s="74"/>
      <x:c r="N694" s="91"/>
      <x:c r="O694" s="91"/>
      <x:c r="P694" s="91"/>
      <x:c r="Q694" s="91"/>
      <x:c r="R694" s="91"/>
      <x:c r="S694" s="85"/>
      <x:c r="U694" s="86"/>
      <x:c r="V694" s="32"/>
    </x:row>
    <x:row r="695">
      <x:c r="A695" s="87"/>
      <x:c r="B695" s="88"/>
      <x:c r="D695" s="32"/>
      <x:c r="G695" s="74"/>
      <x:c r="H695" s="74"/>
      <x:c r="I695" s="74"/>
      <x:c r="J695" s="74"/>
      <x:c r="K695" s="74"/>
      <x:c r="L695" s="74"/>
      <x:c r="M695" s="74"/>
      <x:c r="N695" s="91"/>
      <x:c r="O695" s="91"/>
      <x:c r="P695" s="91"/>
      <x:c r="Q695" s="91"/>
      <x:c r="R695" s="91"/>
      <x:c r="S695" s="85"/>
      <x:c r="U695" s="86"/>
      <x:c r="V695" s="32"/>
    </x:row>
    <x:row r="696">
      <x:c r="A696" s="87"/>
      <x:c r="B696" s="88"/>
      <x:c r="D696" s="32"/>
      <x:c r="G696" s="74"/>
      <x:c r="H696" s="74"/>
      <x:c r="I696" s="74"/>
      <x:c r="J696" s="74"/>
      <x:c r="K696" s="74"/>
      <x:c r="L696" s="74"/>
      <x:c r="M696" s="74"/>
      <x:c r="N696" s="91"/>
      <x:c r="O696" s="91"/>
      <x:c r="P696" s="91"/>
      <x:c r="Q696" s="91"/>
      <x:c r="R696" s="91"/>
      <x:c r="S696" s="85"/>
      <x:c r="U696" s="86"/>
      <x:c r="V696" s="32"/>
    </x:row>
    <x:row r="697">
      <x:c r="A697" s="87"/>
      <x:c r="B697" s="88"/>
      <x:c r="D697" s="32"/>
      <x:c r="G697" s="74"/>
      <x:c r="H697" s="74"/>
      <x:c r="I697" s="74"/>
      <x:c r="J697" s="74"/>
      <x:c r="K697" s="74"/>
      <x:c r="L697" s="74"/>
      <x:c r="M697" s="74"/>
      <x:c r="N697" s="91"/>
      <x:c r="O697" s="91"/>
      <x:c r="P697" s="91"/>
      <x:c r="Q697" s="91"/>
      <x:c r="R697" s="91"/>
      <x:c r="S697" s="85"/>
      <x:c r="U697" s="86"/>
      <x:c r="V697" s="32"/>
    </x:row>
    <x:row r="698">
      <x:c r="A698" s="87"/>
      <x:c r="B698" s="88"/>
      <x:c r="D698" s="32"/>
      <x:c r="G698" s="74"/>
      <x:c r="H698" s="74"/>
      <x:c r="I698" s="74"/>
      <x:c r="J698" s="74"/>
      <x:c r="K698" s="74"/>
      <x:c r="L698" s="74"/>
      <x:c r="M698" s="74"/>
      <x:c r="N698" s="91"/>
      <x:c r="O698" s="91"/>
      <x:c r="P698" s="91"/>
      <x:c r="Q698" s="91"/>
      <x:c r="R698" s="91"/>
      <x:c r="S698" s="85"/>
      <x:c r="U698" s="86"/>
      <x:c r="V698" s="32"/>
    </x:row>
    <x:row r="699">
      <x:c r="A699" s="87"/>
      <x:c r="B699" s="88"/>
      <x:c r="D699" s="32"/>
      <x:c r="G699" s="74"/>
      <x:c r="H699" s="74"/>
      <x:c r="I699" s="74"/>
      <x:c r="J699" s="74"/>
      <x:c r="K699" s="74"/>
      <x:c r="L699" s="74"/>
      <x:c r="M699" s="74"/>
      <x:c r="N699" s="91"/>
      <x:c r="O699" s="91"/>
      <x:c r="P699" s="91"/>
      <x:c r="Q699" s="91"/>
      <x:c r="R699" s="91"/>
      <x:c r="S699" s="85"/>
      <x:c r="U699" s="86"/>
      <x:c r="V699" s="32"/>
    </x:row>
    <x:row r="700">
      <x:c r="A700" s="87"/>
      <x:c r="B700" s="88"/>
      <x:c r="D700" s="32"/>
      <x:c r="G700" s="74"/>
      <x:c r="H700" s="74"/>
      <x:c r="I700" s="74"/>
      <x:c r="J700" s="74"/>
      <x:c r="K700" s="74"/>
      <x:c r="L700" s="74"/>
      <x:c r="M700" s="74"/>
      <x:c r="N700" s="91"/>
      <x:c r="O700" s="91"/>
      <x:c r="P700" s="91"/>
      <x:c r="Q700" s="91"/>
      <x:c r="R700" s="91"/>
      <x:c r="S700" s="85"/>
      <x:c r="U700" s="86"/>
      <x:c r="V700" s="32"/>
    </x:row>
    <x:row r="701">
      <x:c r="A701" s="87"/>
      <x:c r="B701" s="88"/>
      <x:c r="D701" s="32"/>
      <x:c r="G701" s="74"/>
      <x:c r="H701" s="74"/>
      <x:c r="I701" s="74"/>
      <x:c r="J701" s="74"/>
      <x:c r="K701" s="74"/>
      <x:c r="L701" s="74"/>
      <x:c r="M701" s="74"/>
      <x:c r="N701" s="91"/>
      <x:c r="O701" s="91"/>
      <x:c r="P701" s="91"/>
      <x:c r="Q701" s="91"/>
      <x:c r="R701" s="91"/>
      <x:c r="S701" s="85"/>
      <x:c r="U701" s="86"/>
      <x:c r="V701" s="32"/>
    </x:row>
    <x:row r="702">
      <x:c r="A702" s="87"/>
      <x:c r="B702" s="88"/>
      <x:c r="D702" s="32"/>
      <x:c r="G702" s="74"/>
      <x:c r="H702" s="74"/>
      <x:c r="I702" s="74"/>
      <x:c r="J702" s="74"/>
      <x:c r="K702" s="74"/>
      <x:c r="L702" s="74"/>
      <x:c r="M702" s="74"/>
      <x:c r="N702" s="91"/>
      <x:c r="O702" s="91"/>
      <x:c r="P702" s="91"/>
      <x:c r="Q702" s="91"/>
      <x:c r="R702" s="91"/>
      <x:c r="S702" s="85"/>
      <x:c r="U702" s="86"/>
      <x:c r="V702" s="32"/>
    </x:row>
    <x:row r="703">
      <x:c r="A703" s="87"/>
      <x:c r="B703" s="88"/>
      <x:c r="D703" s="32"/>
      <x:c r="G703" s="74"/>
      <x:c r="H703" s="74"/>
      <x:c r="I703" s="74"/>
      <x:c r="J703" s="74"/>
      <x:c r="K703" s="74"/>
      <x:c r="L703" s="74"/>
      <x:c r="M703" s="74"/>
      <x:c r="N703" s="91"/>
      <x:c r="O703" s="91"/>
      <x:c r="P703" s="91"/>
      <x:c r="Q703" s="91"/>
      <x:c r="R703" s="91"/>
      <x:c r="S703" s="85"/>
      <x:c r="U703" s="86"/>
      <x:c r="V703" s="32"/>
    </x:row>
    <x:row r="704">
      <x:c r="A704" s="87"/>
      <x:c r="B704" s="88"/>
      <x:c r="D704" s="32"/>
      <x:c r="G704" s="74"/>
      <x:c r="H704" s="74"/>
      <x:c r="I704" s="74"/>
      <x:c r="J704" s="74"/>
      <x:c r="K704" s="74"/>
      <x:c r="L704" s="74"/>
      <x:c r="M704" s="74"/>
      <x:c r="N704" s="91"/>
      <x:c r="O704" s="91"/>
      <x:c r="P704" s="91"/>
      <x:c r="Q704" s="91"/>
      <x:c r="R704" s="91"/>
      <x:c r="S704" s="85"/>
      <x:c r="U704" s="86"/>
      <x:c r="V704" s="32"/>
    </x:row>
    <x:row r="705">
      <x:c r="A705" s="87"/>
      <x:c r="B705" s="88"/>
      <x:c r="D705" s="32"/>
      <x:c r="G705" s="74"/>
      <x:c r="H705" s="74"/>
      <x:c r="I705" s="74"/>
      <x:c r="J705" s="74"/>
      <x:c r="K705" s="74"/>
      <x:c r="L705" s="74"/>
      <x:c r="M705" s="74"/>
      <x:c r="N705" s="91"/>
      <x:c r="O705" s="91"/>
      <x:c r="P705" s="91"/>
      <x:c r="Q705" s="91"/>
      <x:c r="R705" s="91"/>
      <x:c r="S705" s="85"/>
      <x:c r="U705" s="86"/>
      <x:c r="V705" s="32"/>
    </x:row>
    <x:row r="706">
      <x:c r="A706" s="87"/>
      <x:c r="B706" s="88"/>
      <x:c r="D706" s="32"/>
      <x:c r="G706" s="74"/>
      <x:c r="H706" s="74"/>
      <x:c r="I706" s="74"/>
      <x:c r="J706" s="74"/>
      <x:c r="K706" s="74"/>
      <x:c r="L706" s="74"/>
      <x:c r="M706" s="74"/>
      <x:c r="N706" s="91"/>
      <x:c r="O706" s="91"/>
      <x:c r="P706" s="91"/>
      <x:c r="Q706" s="91"/>
      <x:c r="R706" s="91"/>
      <x:c r="S706" s="85"/>
      <x:c r="U706" s="86"/>
      <x:c r="V706" s="32"/>
    </x:row>
    <x:row r="707">
      <x:c r="A707" s="87"/>
      <x:c r="B707" s="88"/>
      <x:c r="D707" s="32"/>
      <x:c r="G707" s="74"/>
      <x:c r="H707" s="74"/>
      <x:c r="I707" s="74"/>
      <x:c r="J707" s="74"/>
      <x:c r="K707" s="74"/>
      <x:c r="L707" s="74"/>
      <x:c r="M707" s="74"/>
      <x:c r="N707" s="91"/>
      <x:c r="O707" s="91"/>
      <x:c r="P707" s="91"/>
      <x:c r="Q707" s="91"/>
      <x:c r="R707" s="91"/>
      <x:c r="S707" s="85"/>
      <x:c r="U707" s="86"/>
      <x:c r="V707" s="32"/>
    </x:row>
    <x:row r="708">
      <x:c r="A708" s="87"/>
      <x:c r="B708" s="88"/>
      <x:c r="D708" s="32"/>
      <x:c r="G708" s="74"/>
      <x:c r="H708" s="74"/>
      <x:c r="I708" s="74"/>
      <x:c r="J708" s="74"/>
      <x:c r="K708" s="74"/>
      <x:c r="L708" s="74"/>
      <x:c r="M708" s="74"/>
      <x:c r="N708" s="91"/>
      <x:c r="O708" s="91"/>
      <x:c r="P708" s="91"/>
      <x:c r="Q708" s="91"/>
      <x:c r="R708" s="91"/>
      <x:c r="S708" s="85"/>
      <x:c r="U708" s="86"/>
      <x:c r="V708" s="32"/>
    </x:row>
    <x:row r="709">
      <x:c r="A709" s="87"/>
      <x:c r="B709" s="88"/>
      <x:c r="D709" s="32"/>
      <x:c r="G709" s="74"/>
      <x:c r="H709" s="74"/>
      <x:c r="I709" s="74"/>
      <x:c r="J709" s="74"/>
      <x:c r="K709" s="74"/>
      <x:c r="L709" s="74"/>
      <x:c r="M709" s="74"/>
      <x:c r="N709" s="91"/>
      <x:c r="O709" s="91"/>
      <x:c r="P709" s="91"/>
      <x:c r="Q709" s="91"/>
      <x:c r="R709" s="91"/>
      <x:c r="S709" s="85"/>
      <x:c r="U709" s="86"/>
      <x:c r="V709" s="32"/>
    </x:row>
    <x:row r="710">
      <x:c r="A710" s="87"/>
      <x:c r="B710" s="88"/>
      <x:c r="D710" s="32"/>
      <x:c r="G710" s="74"/>
      <x:c r="H710" s="74"/>
      <x:c r="I710" s="74"/>
      <x:c r="J710" s="74"/>
      <x:c r="K710" s="74"/>
      <x:c r="L710" s="74"/>
      <x:c r="M710" s="74"/>
      <x:c r="N710" s="91"/>
      <x:c r="O710" s="91"/>
      <x:c r="P710" s="91"/>
      <x:c r="Q710" s="91"/>
      <x:c r="R710" s="91"/>
      <x:c r="S710" s="85"/>
      <x:c r="U710" s="86"/>
      <x:c r="V710" s="32"/>
    </x:row>
    <x:row r="711">
      <x:c r="A711" s="87"/>
      <x:c r="B711" s="88"/>
      <x:c r="D711" s="32"/>
      <x:c r="G711" s="74"/>
      <x:c r="H711" s="74"/>
      <x:c r="I711" s="74"/>
      <x:c r="J711" s="74"/>
      <x:c r="K711" s="74"/>
      <x:c r="L711" s="74"/>
      <x:c r="M711" s="74"/>
      <x:c r="N711" s="91"/>
      <x:c r="O711" s="91"/>
      <x:c r="P711" s="91"/>
      <x:c r="Q711" s="91"/>
      <x:c r="R711" s="91"/>
      <x:c r="S711" s="85"/>
      <x:c r="U711" s="86"/>
      <x:c r="V711" s="32"/>
    </x:row>
    <x:row r="712">
      <x:c r="A712" s="87"/>
      <x:c r="B712" s="88"/>
      <x:c r="D712" s="32"/>
      <x:c r="G712" s="74"/>
      <x:c r="H712" s="74"/>
      <x:c r="I712" s="74"/>
      <x:c r="J712" s="74"/>
      <x:c r="K712" s="74"/>
      <x:c r="L712" s="74"/>
      <x:c r="M712" s="74"/>
      <x:c r="N712" s="91"/>
      <x:c r="O712" s="91"/>
      <x:c r="P712" s="91"/>
      <x:c r="Q712" s="91"/>
      <x:c r="R712" s="91"/>
      <x:c r="S712" s="85"/>
      <x:c r="U712" s="86"/>
      <x:c r="V712" s="32"/>
    </x:row>
    <x:row r="713">
      <x:c r="A713" s="87"/>
      <x:c r="B713" s="88"/>
      <x:c r="D713" s="32"/>
      <x:c r="G713" s="74"/>
      <x:c r="H713" s="74"/>
      <x:c r="I713" s="74"/>
      <x:c r="J713" s="74"/>
      <x:c r="K713" s="74"/>
      <x:c r="L713" s="74"/>
      <x:c r="M713" s="74"/>
      <x:c r="N713" s="91"/>
      <x:c r="O713" s="91"/>
      <x:c r="P713" s="91"/>
      <x:c r="Q713" s="91"/>
      <x:c r="R713" s="91"/>
      <x:c r="S713" s="85"/>
      <x:c r="U713" s="86"/>
      <x:c r="V713" s="32"/>
    </x:row>
    <x:row r="714">
      <x:c r="A714" s="87"/>
      <x:c r="B714" s="88"/>
      <x:c r="D714" s="32"/>
      <x:c r="G714" s="74"/>
      <x:c r="H714" s="74"/>
      <x:c r="I714" s="74"/>
      <x:c r="J714" s="74"/>
      <x:c r="K714" s="74"/>
      <x:c r="L714" s="74"/>
      <x:c r="M714" s="74"/>
      <x:c r="N714" s="91"/>
      <x:c r="O714" s="91"/>
      <x:c r="P714" s="91"/>
      <x:c r="Q714" s="91"/>
      <x:c r="R714" s="91"/>
      <x:c r="S714" s="85"/>
      <x:c r="U714" s="86"/>
      <x:c r="V714" s="32"/>
    </x:row>
    <x:row r="715">
      <x:c r="A715" s="87"/>
      <x:c r="B715" s="88"/>
      <x:c r="D715" s="32"/>
      <x:c r="G715" s="74"/>
      <x:c r="H715" s="74"/>
      <x:c r="I715" s="74"/>
      <x:c r="J715" s="74"/>
      <x:c r="K715" s="74"/>
      <x:c r="L715" s="74"/>
      <x:c r="M715" s="74"/>
      <x:c r="N715" s="91"/>
      <x:c r="O715" s="91"/>
      <x:c r="P715" s="91"/>
      <x:c r="Q715" s="91"/>
      <x:c r="R715" s="91"/>
      <x:c r="S715" s="85"/>
      <x:c r="U715" s="86"/>
      <x:c r="V715" s="32"/>
    </x:row>
    <x:row r="716">
      <x:c r="A716" s="87"/>
      <x:c r="B716" s="88"/>
      <x:c r="D716" s="32"/>
      <x:c r="G716" s="74"/>
      <x:c r="H716" s="74"/>
      <x:c r="I716" s="74"/>
      <x:c r="J716" s="74"/>
      <x:c r="K716" s="74"/>
      <x:c r="L716" s="74"/>
      <x:c r="M716" s="74"/>
      <x:c r="N716" s="91"/>
      <x:c r="O716" s="91"/>
      <x:c r="P716" s="91"/>
      <x:c r="Q716" s="91"/>
      <x:c r="R716" s="91"/>
      <x:c r="S716" s="85"/>
      <x:c r="U716" s="86"/>
      <x:c r="V716" s="32"/>
    </x:row>
    <x:row r="717">
      <x:c r="A717" s="87"/>
      <x:c r="B717" s="88"/>
      <x:c r="D717" s="32"/>
      <x:c r="G717" s="74"/>
      <x:c r="H717" s="74"/>
      <x:c r="I717" s="74"/>
      <x:c r="J717" s="74"/>
      <x:c r="K717" s="74"/>
      <x:c r="L717" s="74"/>
      <x:c r="M717" s="74"/>
      <x:c r="N717" s="91"/>
      <x:c r="O717" s="91"/>
      <x:c r="P717" s="91"/>
      <x:c r="Q717" s="91"/>
      <x:c r="R717" s="91"/>
      <x:c r="S717" s="85"/>
      <x:c r="U717" s="86"/>
      <x:c r="V717" s="32"/>
    </x:row>
    <x:row r="718">
      <x:c r="A718" s="87"/>
      <x:c r="B718" s="88"/>
      <x:c r="D718" s="32"/>
      <x:c r="G718" s="74"/>
      <x:c r="H718" s="74"/>
      <x:c r="I718" s="74"/>
      <x:c r="J718" s="74"/>
      <x:c r="K718" s="74"/>
      <x:c r="L718" s="74"/>
      <x:c r="M718" s="74"/>
      <x:c r="N718" s="91"/>
      <x:c r="O718" s="91"/>
      <x:c r="P718" s="91"/>
      <x:c r="Q718" s="91"/>
      <x:c r="R718" s="91"/>
      <x:c r="S718" s="85"/>
      <x:c r="U718" s="86"/>
      <x:c r="V718" s="32"/>
    </x:row>
    <x:row r="719">
      <x:c r="A719" s="87"/>
      <x:c r="B719" s="88"/>
      <x:c r="D719" s="32"/>
      <x:c r="G719" s="74"/>
      <x:c r="H719" s="74"/>
      <x:c r="I719" s="74"/>
      <x:c r="J719" s="74"/>
      <x:c r="K719" s="74"/>
      <x:c r="L719" s="74"/>
      <x:c r="M719" s="74"/>
      <x:c r="N719" s="91"/>
      <x:c r="O719" s="91"/>
      <x:c r="P719" s="91"/>
      <x:c r="Q719" s="91"/>
      <x:c r="R719" s="91"/>
      <x:c r="S719" s="85"/>
      <x:c r="U719" s="86"/>
      <x:c r="V719" s="32"/>
    </x:row>
    <x:row r="720">
      <x:c r="A720" s="87"/>
      <x:c r="B720" s="88"/>
      <x:c r="D720" s="32"/>
      <x:c r="G720" s="74"/>
      <x:c r="H720" s="74"/>
      <x:c r="I720" s="74"/>
      <x:c r="J720" s="74"/>
      <x:c r="K720" s="74"/>
      <x:c r="L720" s="74"/>
      <x:c r="M720" s="74"/>
      <x:c r="N720" s="91"/>
      <x:c r="O720" s="91"/>
      <x:c r="P720" s="91"/>
      <x:c r="Q720" s="91"/>
      <x:c r="R720" s="91"/>
      <x:c r="S720" s="85"/>
      <x:c r="U720" s="86"/>
      <x:c r="V720" s="32"/>
    </x:row>
    <x:row r="721">
      <x:c r="A721" s="87"/>
      <x:c r="B721" s="88"/>
      <x:c r="D721" s="32"/>
      <x:c r="G721" s="74"/>
      <x:c r="H721" s="74"/>
      <x:c r="I721" s="74"/>
      <x:c r="J721" s="74"/>
      <x:c r="K721" s="74"/>
      <x:c r="L721" s="74"/>
      <x:c r="M721" s="74"/>
      <x:c r="N721" s="91"/>
      <x:c r="O721" s="91"/>
      <x:c r="P721" s="91"/>
      <x:c r="Q721" s="91"/>
      <x:c r="R721" s="91"/>
      <x:c r="S721" s="85"/>
      <x:c r="U721" s="86"/>
      <x:c r="V721" s="32"/>
    </x:row>
    <x:row r="722">
      <x:c r="A722" s="87"/>
      <x:c r="B722" s="88"/>
      <x:c r="D722" s="32"/>
      <x:c r="G722" s="74"/>
      <x:c r="H722" s="74"/>
      <x:c r="I722" s="74"/>
      <x:c r="J722" s="74"/>
      <x:c r="K722" s="74"/>
      <x:c r="L722" s="74"/>
      <x:c r="M722" s="74"/>
      <x:c r="N722" s="91"/>
      <x:c r="O722" s="91"/>
      <x:c r="P722" s="91"/>
      <x:c r="Q722" s="91"/>
      <x:c r="R722" s="91"/>
      <x:c r="S722" s="85"/>
      <x:c r="U722" s="86"/>
      <x:c r="V722" s="32"/>
    </x:row>
    <x:row r="723">
      <x:c r="A723" s="87"/>
      <x:c r="B723" s="88"/>
      <x:c r="D723" s="32"/>
      <x:c r="G723" s="74"/>
      <x:c r="H723" s="74"/>
      <x:c r="I723" s="74"/>
      <x:c r="J723" s="74"/>
      <x:c r="K723" s="74"/>
      <x:c r="L723" s="74"/>
      <x:c r="M723" s="74"/>
      <x:c r="N723" s="91"/>
      <x:c r="O723" s="91"/>
      <x:c r="P723" s="91"/>
      <x:c r="Q723" s="91"/>
      <x:c r="R723" s="91"/>
      <x:c r="S723" s="85"/>
      <x:c r="U723" s="86"/>
      <x:c r="V723" s="32"/>
    </x:row>
    <x:row r="724">
      <x:c r="A724" s="87"/>
      <x:c r="B724" s="88"/>
      <x:c r="D724" s="32"/>
      <x:c r="G724" s="74"/>
      <x:c r="H724" s="74"/>
      <x:c r="I724" s="74"/>
      <x:c r="J724" s="74"/>
      <x:c r="K724" s="74"/>
      <x:c r="L724" s="74"/>
      <x:c r="M724" s="74"/>
      <x:c r="N724" s="91"/>
      <x:c r="O724" s="91"/>
      <x:c r="P724" s="91"/>
      <x:c r="Q724" s="91"/>
      <x:c r="R724" s="91"/>
      <x:c r="S724" s="85"/>
      <x:c r="U724" s="86"/>
      <x:c r="V724" s="32"/>
    </x:row>
    <x:row r="725">
      <x:c r="A725" s="87"/>
      <x:c r="B725" s="88"/>
      <x:c r="D725" s="32"/>
      <x:c r="G725" s="74"/>
      <x:c r="H725" s="74"/>
      <x:c r="I725" s="74"/>
      <x:c r="J725" s="74"/>
      <x:c r="K725" s="74"/>
      <x:c r="L725" s="74"/>
      <x:c r="M725" s="74"/>
      <x:c r="N725" s="91"/>
      <x:c r="O725" s="91"/>
      <x:c r="P725" s="91"/>
      <x:c r="Q725" s="91"/>
      <x:c r="R725" s="91"/>
      <x:c r="S725" s="85"/>
      <x:c r="U725" s="86"/>
      <x:c r="V725" s="32"/>
    </x:row>
    <x:row r="726">
      <x:c r="A726" s="87"/>
      <x:c r="B726" s="88"/>
      <x:c r="D726" s="32"/>
      <x:c r="G726" s="74"/>
      <x:c r="H726" s="74"/>
      <x:c r="I726" s="74"/>
      <x:c r="J726" s="74"/>
      <x:c r="K726" s="74"/>
      <x:c r="L726" s="74"/>
      <x:c r="M726" s="74"/>
      <x:c r="N726" s="91"/>
      <x:c r="O726" s="91"/>
      <x:c r="P726" s="91"/>
      <x:c r="Q726" s="91"/>
      <x:c r="R726" s="91"/>
      <x:c r="S726" s="85"/>
      <x:c r="U726" s="86"/>
      <x:c r="V726" s="32"/>
    </x:row>
    <x:row r="727">
      <x:c r="A727" s="87"/>
      <x:c r="B727" s="88"/>
      <x:c r="D727" s="32"/>
      <x:c r="G727" s="74"/>
      <x:c r="H727" s="74"/>
      <x:c r="I727" s="74"/>
      <x:c r="J727" s="74"/>
      <x:c r="K727" s="74"/>
      <x:c r="L727" s="74"/>
      <x:c r="M727" s="74"/>
      <x:c r="N727" s="91"/>
      <x:c r="O727" s="91"/>
      <x:c r="P727" s="91"/>
      <x:c r="Q727" s="91"/>
      <x:c r="R727" s="91"/>
      <x:c r="S727" s="85"/>
      <x:c r="U727" s="86"/>
      <x:c r="V727" s="32"/>
    </x:row>
    <x:row r="728">
      <x:c r="A728" s="87"/>
      <x:c r="B728" s="88"/>
      <x:c r="D728" s="32"/>
      <x:c r="G728" s="74"/>
      <x:c r="H728" s="74"/>
      <x:c r="I728" s="74"/>
      <x:c r="J728" s="74"/>
      <x:c r="K728" s="74"/>
      <x:c r="L728" s="74"/>
      <x:c r="M728" s="74"/>
      <x:c r="N728" s="91"/>
      <x:c r="O728" s="91"/>
      <x:c r="P728" s="91"/>
      <x:c r="Q728" s="91"/>
      <x:c r="R728" s="91"/>
      <x:c r="S728" s="85"/>
      <x:c r="U728" s="86"/>
      <x:c r="V728" s="32"/>
    </x:row>
    <x:row r="729">
      <x:c r="A729" s="87"/>
      <x:c r="B729" s="88"/>
      <x:c r="D729" s="32"/>
      <x:c r="G729" s="74"/>
      <x:c r="H729" s="74"/>
      <x:c r="I729" s="74"/>
      <x:c r="J729" s="74"/>
      <x:c r="K729" s="74"/>
      <x:c r="L729" s="74"/>
      <x:c r="M729" s="74"/>
      <x:c r="N729" s="91"/>
      <x:c r="O729" s="91"/>
      <x:c r="P729" s="91"/>
      <x:c r="Q729" s="91"/>
      <x:c r="R729" s="91"/>
      <x:c r="S729" s="85"/>
      <x:c r="U729" s="86"/>
      <x:c r="V729" s="32"/>
    </x:row>
    <x:row r="730">
      <x:c r="A730" s="87"/>
      <x:c r="B730" s="88"/>
      <x:c r="D730" s="32"/>
      <x:c r="G730" s="74"/>
      <x:c r="H730" s="74"/>
      <x:c r="I730" s="74"/>
      <x:c r="J730" s="74"/>
      <x:c r="K730" s="74"/>
      <x:c r="L730" s="74"/>
      <x:c r="M730" s="74"/>
      <x:c r="N730" s="91"/>
      <x:c r="O730" s="91"/>
      <x:c r="P730" s="91"/>
      <x:c r="Q730" s="91"/>
      <x:c r="R730" s="91"/>
      <x:c r="S730" s="85"/>
      <x:c r="U730" s="86"/>
      <x:c r="V730" s="32"/>
    </x:row>
    <x:row r="731">
      <x:c r="A731" s="87"/>
      <x:c r="B731" s="88"/>
      <x:c r="D731" s="32"/>
      <x:c r="G731" s="74"/>
      <x:c r="H731" s="74"/>
      <x:c r="I731" s="74"/>
      <x:c r="J731" s="74"/>
      <x:c r="K731" s="74"/>
      <x:c r="L731" s="74"/>
      <x:c r="M731" s="74"/>
      <x:c r="N731" s="91"/>
      <x:c r="O731" s="91"/>
      <x:c r="P731" s="91"/>
      <x:c r="Q731" s="91"/>
      <x:c r="R731" s="91"/>
      <x:c r="S731" s="85"/>
      <x:c r="U731" s="86"/>
      <x:c r="V731" s="32"/>
    </x:row>
    <x:row r="732">
      <x:c r="A732" s="87"/>
      <x:c r="B732" s="88"/>
      <x:c r="D732" s="32"/>
      <x:c r="G732" s="74"/>
      <x:c r="H732" s="74"/>
      <x:c r="I732" s="74"/>
      <x:c r="J732" s="74"/>
      <x:c r="K732" s="74"/>
      <x:c r="L732" s="74"/>
      <x:c r="M732" s="74"/>
      <x:c r="N732" s="91"/>
      <x:c r="O732" s="91"/>
      <x:c r="P732" s="91"/>
      <x:c r="Q732" s="91"/>
      <x:c r="R732" s="91"/>
      <x:c r="S732" s="85"/>
      <x:c r="U732" s="86"/>
      <x:c r="V732" s="32"/>
    </x:row>
    <x:row r="733">
      <x:c r="A733" s="87"/>
      <x:c r="B733" s="88"/>
      <x:c r="D733" s="32"/>
      <x:c r="G733" s="74"/>
      <x:c r="H733" s="74"/>
      <x:c r="I733" s="74"/>
      <x:c r="J733" s="74"/>
      <x:c r="K733" s="74"/>
      <x:c r="L733" s="74"/>
      <x:c r="M733" s="74"/>
      <x:c r="N733" s="91"/>
      <x:c r="O733" s="91"/>
      <x:c r="P733" s="91"/>
      <x:c r="Q733" s="91"/>
      <x:c r="R733" s="91"/>
      <x:c r="S733" s="85"/>
      <x:c r="U733" s="86"/>
      <x:c r="V733" s="32"/>
    </x:row>
    <x:row r="734">
      <x:c r="A734" s="87"/>
      <x:c r="B734" s="88"/>
      <x:c r="D734" s="32"/>
      <x:c r="G734" s="74"/>
      <x:c r="H734" s="74"/>
      <x:c r="I734" s="74"/>
      <x:c r="J734" s="74"/>
      <x:c r="K734" s="74"/>
      <x:c r="L734" s="74"/>
      <x:c r="M734" s="74"/>
      <x:c r="N734" s="91"/>
      <x:c r="O734" s="91"/>
      <x:c r="P734" s="91"/>
      <x:c r="Q734" s="91"/>
      <x:c r="R734" s="91"/>
      <x:c r="S734" s="85"/>
      <x:c r="U734" s="86"/>
      <x:c r="V734" s="32"/>
    </x:row>
    <x:row r="735">
      <x:c r="A735" s="87"/>
      <x:c r="B735" s="88"/>
      <x:c r="D735" s="32"/>
      <x:c r="G735" s="74"/>
      <x:c r="H735" s="74"/>
      <x:c r="I735" s="74"/>
      <x:c r="J735" s="74"/>
      <x:c r="K735" s="74"/>
      <x:c r="L735" s="74"/>
      <x:c r="M735" s="74"/>
      <x:c r="N735" s="91"/>
      <x:c r="O735" s="91"/>
      <x:c r="P735" s="91"/>
      <x:c r="Q735" s="91"/>
      <x:c r="R735" s="91"/>
      <x:c r="S735" s="85"/>
      <x:c r="U735" s="86"/>
      <x:c r="V735" s="32"/>
    </x:row>
    <x:row r="736">
      <x:c r="A736" s="87"/>
      <x:c r="B736" s="88"/>
      <x:c r="D736" s="32"/>
      <x:c r="G736" s="74"/>
      <x:c r="H736" s="74"/>
      <x:c r="I736" s="74"/>
      <x:c r="J736" s="74"/>
      <x:c r="K736" s="74"/>
      <x:c r="L736" s="74"/>
      <x:c r="M736" s="74"/>
      <x:c r="N736" s="91"/>
      <x:c r="O736" s="91"/>
      <x:c r="P736" s="91"/>
      <x:c r="Q736" s="91"/>
      <x:c r="R736" s="91"/>
      <x:c r="S736" s="85"/>
      <x:c r="U736" s="86"/>
      <x:c r="V736" s="32"/>
    </x:row>
    <x:row r="737">
      <x:c r="A737" s="87"/>
      <x:c r="B737" s="88"/>
      <x:c r="D737" s="32"/>
      <x:c r="G737" s="74"/>
      <x:c r="H737" s="74"/>
      <x:c r="I737" s="74"/>
      <x:c r="J737" s="74"/>
      <x:c r="K737" s="74"/>
      <x:c r="L737" s="74"/>
      <x:c r="M737" s="74"/>
      <x:c r="N737" s="91"/>
      <x:c r="O737" s="91"/>
      <x:c r="P737" s="91"/>
      <x:c r="Q737" s="91"/>
      <x:c r="R737" s="91"/>
      <x:c r="S737" s="85"/>
      <x:c r="U737" s="86"/>
      <x:c r="V737" s="32"/>
    </x:row>
    <x:row r="738">
      <x:c r="A738" s="87"/>
      <x:c r="B738" s="88"/>
      <x:c r="D738" s="32"/>
      <x:c r="G738" s="74"/>
      <x:c r="H738" s="74"/>
      <x:c r="I738" s="74"/>
      <x:c r="J738" s="74"/>
      <x:c r="K738" s="74"/>
      <x:c r="L738" s="74"/>
      <x:c r="M738" s="74"/>
      <x:c r="N738" s="91"/>
      <x:c r="O738" s="91"/>
      <x:c r="P738" s="91"/>
      <x:c r="Q738" s="91"/>
      <x:c r="R738" s="91"/>
      <x:c r="S738" s="85"/>
      <x:c r="U738" s="86"/>
      <x:c r="V738" s="32"/>
    </x:row>
    <x:row r="739">
      <x:c r="A739" s="87"/>
      <x:c r="B739" s="88"/>
      <x:c r="D739" s="32"/>
      <x:c r="G739" s="74"/>
      <x:c r="H739" s="74"/>
      <x:c r="I739" s="74"/>
      <x:c r="J739" s="74"/>
      <x:c r="K739" s="74"/>
      <x:c r="L739" s="74"/>
      <x:c r="M739" s="74"/>
      <x:c r="N739" s="91"/>
      <x:c r="O739" s="91"/>
      <x:c r="P739" s="91"/>
      <x:c r="Q739" s="91"/>
      <x:c r="R739" s="91"/>
      <x:c r="S739" s="85"/>
      <x:c r="U739" s="86"/>
      <x:c r="V739" s="32"/>
    </x:row>
    <x:row r="740">
      <x:c r="A740" s="87"/>
      <x:c r="B740" s="88"/>
      <x:c r="D740" s="32"/>
      <x:c r="G740" s="74"/>
      <x:c r="H740" s="74"/>
      <x:c r="I740" s="74"/>
      <x:c r="J740" s="74"/>
      <x:c r="K740" s="74"/>
      <x:c r="L740" s="74"/>
      <x:c r="M740" s="74"/>
      <x:c r="N740" s="91"/>
      <x:c r="O740" s="91"/>
      <x:c r="P740" s="91"/>
      <x:c r="Q740" s="91"/>
      <x:c r="R740" s="91"/>
      <x:c r="S740" s="85"/>
      <x:c r="U740" s="86"/>
      <x:c r="V740" s="32"/>
    </x:row>
    <x:row r="741">
      <x:c r="A741" s="87"/>
      <x:c r="B741" s="88"/>
      <x:c r="D741" s="32"/>
      <x:c r="G741" s="74"/>
      <x:c r="H741" s="74"/>
      <x:c r="I741" s="74"/>
      <x:c r="J741" s="74"/>
      <x:c r="K741" s="74"/>
      <x:c r="L741" s="74"/>
      <x:c r="M741" s="74"/>
      <x:c r="N741" s="91"/>
      <x:c r="O741" s="91"/>
      <x:c r="P741" s="91"/>
      <x:c r="Q741" s="91"/>
      <x:c r="R741" s="91"/>
      <x:c r="S741" s="85"/>
      <x:c r="U741" s="86"/>
      <x:c r="V741" s="32"/>
    </x:row>
    <x:row r="742">
      <x:c r="A742" s="87"/>
      <x:c r="B742" s="88"/>
      <x:c r="D742" s="32"/>
      <x:c r="G742" s="74"/>
      <x:c r="H742" s="74"/>
      <x:c r="I742" s="74"/>
      <x:c r="J742" s="74"/>
      <x:c r="K742" s="74"/>
      <x:c r="L742" s="74"/>
      <x:c r="M742" s="74"/>
      <x:c r="N742" s="91"/>
      <x:c r="O742" s="91"/>
      <x:c r="P742" s="91"/>
      <x:c r="Q742" s="91"/>
      <x:c r="R742" s="91"/>
      <x:c r="S742" s="85"/>
      <x:c r="U742" s="86"/>
      <x:c r="V742" s="32"/>
    </x:row>
    <x:row r="743">
      <x:c r="A743" s="87"/>
      <x:c r="B743" s="88"/>
      <x:c r="D743" s="32"/>
      <x:c r="G743" s="74"/>
      <x:c r="H743" s="74"/>
      <x:c r="I743" s="74"/>
      <x:c r="J743" s="74"/>
      <x:c r="K743" s="74"/>
      <x:c r="L743" s="74"/>
      <x:c r="M743" s="74"/>
      <x:c r="N743" s="91"/>
      <x:c r="O743" s="91"/>
      <x:c r="P743" s="91"/>
      <x:c r="Q743" s="91"/>
      <x:c r="R743" s="91"/>
      <x:c r="S743" s="85"/>
      <x:c r="U743" s="86"/>
      <x:c r="V743" s="32"/>
    </x:row>
    <x:row r="744">
      <x:c r="A744" s="87"/>
      <x:c r="B744" s="88"/>
      <x:c r="D744" s="32"/>
      <x:c r="G744" s="74"/>
      <x:c r="H744" s="74"/>
      <x:c r="I744" s="74"/>
      <x:c r="J744" s="74"/>
      <x:c r="K744" s="74"/>
      <x:c r="L744" s="74"/>
      <x:c r="M744" s="74"/>
      <x:c r="N744" s="91"/>
      <x:c r="O744" s="91"/>
      <x:c r="P744" s="91"/>
      <x:c r="Q744" s="91"/>
      <x:c r="R744" s="91"/>
      <x:c r="S744" s="85"/>
      <x:c r="U744" s="86"/>
      <x:c r="V744" s="32"/>
    </x:row>
    <x:row r="745">
      <x:c r="A745" s="87"/>
      <x:c r="B745" s="88"/>
      <x:c r="D745" s="32"/>
      <x:c r="G745" s="74"/>
      <x:c r="H745" s="74"/>
      <x:c r="I745" s="74"/>
      <x:c r="J745" s="74"/>
      <x:c r="K745" s="74"/>
      <x:c r="L745" s="74"/>
      <x:c r="M745" s="74"/>
      <x:c r="N745" s="91"/>
      <x:c r="O745" s="91"/>
      <x:c r="P745" s="91"/>
      <x:c r="Q745" s="91"/>
      <x:c r="R745" s="91"/>
      <x:c r="S745" s="85"/>
      <x:c r="U745" s="86"/>
      <x:c r="V745" s="32"/>
    </x:row>
    <x:row r="746">
      <x:c r="A746" s="87"/>
      <x:c r="B746" s="88"/>
      <x:c r="D746" s="32"/>
      <x:c r="G746" s="74"/>
      <x:c r="H746" s="74"/>
      <x:c r="I746" s="74"/>
      <x:c r="J746" s="74"/>
      <x:c r="K746" s="74"/>
      <x:c r="L746" s="74"/>
      <x:c r="M746" s="74"/>
      <x:c r="N746" s="91"/>
      <x:c r="O746" s="91"/>
      <x:c r="P746" s="91"/>
      <x:c r="Q746" s="91"/>
      <x:c r="R746" s="91"/>
      <x:c r="S746" s="85"/>
      <x:c r="U746" s="86"/>
      <x:c r="V746" s="32"/>
    </x:row>
    <x:row r="747">
      <x:c r="A747" s="87"/>
      <x:c r="B747" s="88"/>
      <x:c r="D747" s="32"/>
      <x:c r="G747" s="74"/>
      <x:c r="H747" s="74"/>
      <x:c r="I747" s="74"/>
      <x:c r="J747" s="74"/>
      <x:c r="K747" s="74"/>
      <x:c r="L747" s="74"/>
      <x:c r="M747" s="74"/>
      <x:c r="N747" s="91"/>
      <x:c r="O747" s="91"/>
      <x:c r="P747" s="91"/>
      <x:c r="Q747" s="91"/>
      <x:c r="R747" s="91"/>
      <x:c r="S747" s="85"/>
      <x:c r="U747" s="86"/>
      <x:c r="V747" s="32"/>
    </x:row>
    <x:row r="748">
      <x:c r="A748" s="87"/>
      <x:c r="B748" s="88"/>
      <x:c r="D748" s="32"/>
      <x:c r="G748" s="74"/>
      <x:c r="H748" s="74"/>
      <x:c r="I748" s="74"/>
      <x:c r="J748" s="74"/>
      <x:c r="K748" s="74"/>
      <x:c r="L748" s="74"/>
      <x:c r="M748" s="74"/>
      <x:c r="N748" s="91"/>
      <x:c r="O748" s="91"/>
      <x:c r="P748" s="91"/>
      <x:c r="Q748" s="91"/>
      <x:c r="R748" s="91"/>
      <x:c r="S748" s="85"/>
      <x:c r="U748" s="86"/>
      <x:c r="V748" s="32"/>
    </x:row>
    <x:row r="749">
      <x:c r="A749" s="87"/>
      <x:c r="B749" s="88"/>
      <x:c r="D749" s="32"/>
      <x:c r="G749" s="74"/>
      <x:c r="H749" s="74"/>
      <x:c r="I749" s="74"/>
      <x:c r="J749" s="74"/>
      <x:c r="K749" s="74"/>
      <x:c r="L749" s="74"/>
      <x:c r="M749" s="74"/>
      <x:c r="N749" s="91"/>
      <x:c r="O749" s="91"/>
      <x:c r="P749" s="91"/>
      <x:c r="Q749" s="91"/>
      <x:c r="R749" s="91"/>
      <x:c r="S749" s="85"/>
      <x:c r="U749" s="86"/>
      <x:c r="V749" s="32"/>
    </x:row>
    <x:row r="750">
      <x:c r="A750" s="87"/>
      <x:c r="B750" s="88"/>
      <x:c r="D750" s="32"/>
      <x:c r="G750" s="74"/>
      <x:c r="H750" s="74"/>
      <x:c r="I750" s="74"/>
      <x:c r="J750" s="74"/>
      <x:c r="K750" s="74"/>
      <x:c r="L750" s="74"/>
      <x:c r="M750" s="74"/>
      <x:c r="N750" s="91"/>
      <x:c r="O750" s="91"/>
      <x:c r="P750" s="91"/>
      <x:c r="Q750" s="91"/>
      <x:c r="R750" s="91"/>
      <x:c r="S750" s="85"/>
      <x:c r="U750" s="86"/>
      <x:c r="V750" s="32"/>
    </x:row>
    <x:row r="751">
      <x:c r="A751" s="87"/>
      <x:c r="B751" s="88"/>
      <x:c r="D751" s="32"/>
      <x:c r="G751" s="74"/>
      <x:c r="H751" s="74"/>
      <x:c r="I751" s="74"/>
      <x:c r="J751" s="74"/>
      <x:c r="K751" s="74"/>
      <x:c r="L751" s="74"/>
      <x:c r="M751" s="74"/>
      <x:c r="N751" s="91"/>
      <x:c r="O751" s="91"/>
      <x:c r="P751" s="91"/>
      <x:c r="Q751" s="91"/>
      <x:c r="R751" s="91"/>
      <x:c r="S751" s="85"/>
      <x:c r="U751" s="86"/>
      <x:c r="V751" s="32"/>
    </x:row>
    <x:row r="752">
      <x:c r="A752" s="87"/>
      <x:c r="B752" s="88"/>
      <x:c r="D752" s="32"/>
      <x:c r="G752" s="74"/>
      <x:c r="H752" s="74"/>
      <x:c r="I752" s="74"/>
      <x:c r="J752" s="74"/>
      <x:c r="K752" s="74"/>
      <x:c r="L752" s="74"/>
      <x:c r="M752" s="74"/>
      <x:c r="N752" s="91"/>
      <x:c r="O752" s="91"/>
      <x:c r="P752" s="91"/>
      <x:c r="Q752" s="91"/>
      <x:c r="R752" s="91"/>
      <x:c r="S752" s="85"/>
      <x:c r="U752" s="86"/>
      <x:c r="V752" s="32"/>
    </x:row>
    <x:row r="753">
      <x:c r="A753" s="87"/>
      <x:c r="B753" s="88"/>
      <x:c r="D753" s="32"/>
      <x:c r="G753" s="74"/>
      <x:c r="H753" s="74"/>
      <x:c r="I753" s="74"/>
      <x:c r="J753" s="74"/>
      <x:c r="K753" s="74"/>
      <x:c r="L753" s="74"/>
      <x:c r="M753" s="74"/>
      <x:c r="N753" s="91"/>
      <x:c r="O753" s="91"/>
      <x:c r="P753" s="91"/>
      <x:c r="Q753" s="91"/>
      <x:c r="R753" s="91"/>
      <x:c r="S753" s="85"/>
      <x:c r="U753" s="86"/>
      <x:c r="V753" s="32"/>
    </x:row>
    <x:row r="754">
      <x:c r="A754" s="87"/>
      <x:c r="B754" s="88"/>
      <x:c r="D754" s="32"/>
      <x:c r="G754" s="74"/>
      <x:c r="H754" s="74"/>
      <x:c r="I754" s="74"/>
      <x:c r="J754" s="74"/>
      <x:c r="K754" s="74"/>
      <x:c r="L754" s="74"/>
      <x:c r="M754" s="74"/>
      <x:c r="N754" s="91"/>
      <x:c r="O754" s="91"/>
      <x:c r="P754" s="91"/>
      <x:c r="Q754" s="91"/>
      <x:c r="R754" s="91"/>
      <x:c r="S754" s="85"/>
      <x:c r="U754" s="86"/>
      <x:c r="V754" s="32"/>
    </x:row>
    <x:row r="755">
      <x:c r="A755" s="87"/>
      <x:c r="B755" s="88"/>
      <x:c r="D755" s="32"/>
      <x:c r="G755" s="74"/>
      <x:c r="H755" s="74"/>
      <x:c r="I755" s="74"/>
      <x:c r="J755" s="74"/>
      <x:c r="K755" s="74"/>
      <x:c r="L755" s="74"/>
      <x:c r="M755" s="74"/>
      <x:c r="N755" s="91"/>
      <x:c r="O755" s="91"/>
      <x:c r="P755" s="91"/>
      <x:c r="Q755" s="91"/>
      <x:c r="R755" s="91"/>
      <x:c r="S755" s="85"/>
      <x:c r="U755" s="86"/>
      <x:c r="V755" s="32"/>
    </x:row>
    <x:row r="756">
      <x:c r="A756" s="87"/>
      <x:c r="B756" s="88"/>
      <x:c r="D756" s="32"/>
      <x:c r="G756" s="74"/>
      <x:c r="H756" s="74"/>
      <x:c r="I756" s="74"/>
      <x:c r="J756" s="74"/>
      <x:c r="K756" s="74"/>
      <x:c r="L756" s="74"/>
      <x:c r="M756" s="74"/>
      <x:c r="N756" s="91"/>
      <x:c r="O756" s="91"/>
      <x:c r="P756" s="91"/>
      <x:c r="Q756" s="91"/>
      <x:c r="R756" s="91"/>
      <x:c r="S756" s="85"/>
      <x:c r="U756" s="86"/>
      <x:c r="V756" s="32"/>
    </x:row>
    <x:row r="757">
      <x:c r="A757" s="87"/>
      <x:c r="B757" s="88"/>
      <x:c r="D757" s="32"/>
      <x:c r="G757" s="74"/>
      <x:c r="H757" s="74"/>
      <x:c r="I757" s="74"/>
      <x:c r="J757" s="74"/>
      <x:c r="K757" s="74"/>
      <x:c r="L757" s="74"/>
      <x:c r="M757" s="74"/>
      <x:c r="N757" s="91"/>
      <x:c r="O757" s="91"/>
      <x:c r="P757" s="91"/>
      <x:c r="Q757" s="91"/>
      <x:c r="R757" s="91"/>
      <x:c r="S757" s="85"/>
      <x:c r="U757" s="86"/>
      <x:c r="V757" s="32"/>
    </x:row>
    <x:row r="758">
      <x:c r="A758" s="87"/>
      <x:c r="B758" s="88"/>
      <x:c r="D758" s="32"/>
      <x:c r="G758" s="74"/>
      <x:c r="H758" s="74"/>
      <x:c r="I758" s="74"/>
      <x:c r="J758" s="74"/>
      <x:c r="K758" s="74"/>
      <x:c r="L758" s="74"/>
      <x:c r="M758" s="74"/>
      <x:c r="N758" s="91"/>
      <x:c r="O758" s="91"/>
      <x:c r="P758" s="91"/>
      <x:c r="Q758" s="91"/>
      <x:c r="R758" s="91"/>
      <x:c r="S758" s="85"/>
      <x:c r="U758" s="86"/>
      <x:c r="V758" s="32"/>
    </x:row>
    <x:row r="759">
      <x:c r="A759" s="87"/>
      <x:c r="B759" s="88"/>
      <x:c r="D759" s="32"/>
      <x:c r="G759" s="74"/>
      <x:c r="H759" s="74"/>
      <x:c r="I759" s="74"/>
      <x:c r="J759" s="74"/>
      <x:c r="K759" s="74"/>
      <x:c r="L759" s="74"/>
      <x:c r="M759" s="74"/>
      <x:c r="N759" s="91"/>
      <x:c r="O759" s="91"/>
      <x:c r="P759" s="91"/>
      <x:c r="Q759" s="91"/>
      <x:c r="R759" s="91"/>
      <x:c r="S759" s="85"/>
      <x:c r="U759" s="86"/>
      <x:c r="V759" s="32"/>
    </x:row>
    <x:row r="760">
      <x:c r="A760" s="87"/>
      <x:c r="B760" s="88"/>
      <x:c r="D760" s="32"/>
      <x:c r="G760" s="74"/>
      <x:c r="H760" s="74"/>
      <x:c r="I760" s="74"/>
      <x:c r="J760" s="74"/>
      <x:c r="K760" s="74"/>
      <x:c r="L760" s="74"/>
      <x:c r="M760" s="74"/>
      <x:c r="N760" s="91"/>
      <x:c r="O760" s="91"/>
      <x:c r="P760" s="91"/>
      <x:c r="Q760" s="91"/>
      <x:c r="R760" s="91"/>
      <x:c r="S760" s="85"/>
      <x:c r="U760" s="86"/>
      <x:c r="V760" s="32"/>
    </x:row>
    <x:row r="761">
      <x:c r="A761" s="87"/>
      <x:c r="B761" s="88"/>
      <x:c r="D761" s="32"/>
      <x:c r="G761" s="74"/>
      <x:c r="H761" s="74"/>
      <x:c r="I761" s="74"/>
      <x:c r="J761" s="74"/>
      <x:c r="K761" s="74"/>
      <x:c r="L761" s="74"/>
      <x:c r="M761" s="74"/>
      <x:c r="N761" s="91"/>
      <x:c r="O761" s="91"/>
      <x:c r="P761" s="91"/>
      <x:c r="Q761" s="91"/>
      <x:c r="R761" s="91"/>
      <x:c r="S761" s="85"/>
      <x:c r="U761" s="86"/>
      <x:c r="V761" s="32"/>
    </x:row>
    <x:row r="762">
      <x:c r="A762" s="87"/>
      <x:c r="B762" s="88"/>
      <x:c r="D762" s="32"/>
      <x:c r="G762" s="74"/>
      <x:c r="H762" s="74"/>
      <x:c r="I762" s="74"/>
      <x:c r="J762" s="74"/>
      <x:c r="K762" s="74"/>
      <x:c r="L762" s="74"/>
      <x:c r="M762" s="74"/>
      <x:c r="N762" s="91"/>
      <x:c r="O762" s="91"/>
      <x:c r="P762" s="91"/>
      <x:c r="Q762" s="91"/>
      <x:c r="R762" s="91"/>
      <x:c r="S762" s="85"/>
      <x:c r="U762" s="86"/>
      <x:c r="V762" s="32"/>
    </x:row>
    <x:row r="763">
      <x:c r="A763" s="87"/>
      <x:c r="B763" s="88"/>
      <x:c r="D763" s="32"/>
      <x:c r="G763" s="74"/>
      <x:c r="H763" s="74"/>
      <x:c r="I763" s="74"/>
      <x:c r="J763" s="74"/>
      <x:c r="K763" s="74"/>
      <x:c r="L763" s="74"/>
      <x:c r="M763" s="74"/>
      <x:c r="N763" s="91"/>
      <x:c r="O763" s="91"/>
      <x:c r="P763" s="91"/>
      <x:c r="Q763" s="91"/>
      <x:c r="R763" s="91"/>
      <x:c r="S763" s="85"/>
      <x:c r="U763" s="86"/>
      <x:c r="V763" s="32"/>
    </x:row>
    <x:row r="764">
      <x:c r="A764" s="87"/>
      <x:c r="B764" s="88"/>
      <x:c r="D764" s="32"/>
      <x:c r="G764" s="74"/>
      <x:c r="H764" s="74"/>
      <x:c r="I764" s="74"/>
      <x:c r="J764" s="74"/>
      <x:c r="K764" s="74"/>
      <x:c r="L764" s="74"/>
      <x:c r="M764" s="74"/>
      <x:c r="N764" s="91"/>
      <x:c r="O764" s="91"/>
      <x:c r="P764" s="91"/>
      <x:c r="Q764" s="91"/>
      <x:c r="R764" s="91"/>
      <x:c r="S764" s="85"/>
      <x:c r="U764" s="86"/>
      <x:c r="V764" s="32"/>
    </x:row>
    <x:row r="765">
      <x:c r="A765" s="87"/>
      <x:c r="B765" s="88"/>
      <x:c r="D765" s="32"/>
      <x:c r="G765" s="74"/>
      <x:c r="H765" s="74"/>
      <x:c r="I765" s="74"/>
      <x:c r="J765" s="74"/>
      <x:c r="K765" s="74"/>
      <x:c r="L765" s="74"/>
      <x:c r="M765" s="74"/>
      <x:c r="N765" s="91"/>
      <x:c r="O765" s="91"/>
      <x:c r="P765" s="91"/>
      <x:c r="Q765" s="91"/>
      <x:c r="R765" s="91"/>
      <x:c r="S765" s="85"/>
      <x:c r="U765" s="86"/>
      <x:c r="V765" s="32"/>
    </x:row>
    <x:row r="766">
      <x:c r="A766" s="87"/>
      <x:c r="B766" s="88"/>
      <x:c r="D766" s="32"/>
      <x:c r="G766" s="74"/>
      <x:c r="H766" s="74"/>
      <x:c r="I766" s="74"/>
      <x:c r="J766" s="74"/>
      <x:c r="K766" s="74"/>
      <x:c r="L766" s="74"/>
      <x:c r="M766" s="74"/>
      <x:c r="N766" s="91"/>
      <x:c r="O766" s="91"/>
      <x:c r="P766" s="91"/>
      <x:c r="Q766" s="91"/>
      <x:c r="R766" s="91"/>
      <x:c r="S766" s="85"/>
      <x:c r="U766" s="86"/>
      <x:c r="V766" s="32"/>
    </x:row>
    <x:row r="767">
      <x:c r="A767" s="87"/>
      <x:c r="B767" s="88"/>
      <x:c r="D767" s="32"/>
      <x:c r="G767" s="74"/>
      <x:c r="H767" s="74"/>
      <x:c r="I767" s="74"/>
      <x:c r="J767" s="74"/>
      <x:c r="K767" s="74"/>
      <x:c r="L767" s="74"/>
      <x:c r="M767" s="74"/>
      <x:c r="N767" s="91"/>
      <x:c r="O767" s="91"/>
      <x:c r="P767" s="91"/>
      <x:c r="Q767" s="91"/>
      <x:c r="R767" s="91"/>
      <x:c r="S767" s="85"/>
      <x:c r="U767" s="86"/>
      <x:c r="V767" s="32"/>
    </x:row>
    <x:row r="768">
      <x:c r="A768" s="87"/>
      <x:c r="B768" s="88"/>
      <x:c r="D768" s="32"/>
      <x:c r="G768" s="74"/>
      <x:c r="H768" s="74"/>
      <x:c r="I768" s="74"/>
      <x:c r="J768" s="74"/>
      <x:c r="K768" s="74"/>
      <x:c r="L768" s="74"/>
      <x:c r="M768" s="74"/>
      <x:c r="N768" s="91"/>
      <x:c r="O768" s="91"/>
      <x:c r="P768" s="91"/>
      <x:c r="Q768" s="91"/>
      <x:c r="R768" s="91"/>
      <x:c r="S768" s="85"/>
      <x:c r="U768" s="86"/>
      <x:c r="V768" s="32"/>
    </x:row>
    <x:row r="769">
      <x:c r="A769" s="87"/>
      <x:c r="B769" s="88"/>
      <x:c r="D769" s="32"/>
      <x:c r="G769" s="74"/>
      <x:c r="H769" s="74"/>
      <x:c r="I769" s="74"/>
      <x:c r="J769" s="74"/>
      <x:c r="K769" s="74"/>
      <x:c r="L769" s="74"/>
      <x:c r="M769" s="74"/>
      <x:c r="N769" s="91"/>
      <x:c r="O769" s="91"/>
      <x:c r="P769" s="91"/>
      <x:c r="Q769" s="91"/>
      <x:c r="R769" s="91"/>
      <x:c r="S769" s="85"/>
      <x:c r="U769" s="86"/>
      <x:c r="V769" s="32"/>
    </x:row>
    <x:row r="770">
      <x:c r="A770" s="87"/>
      <x:c r="B770" s="88"/>
      <x:c r="D770" s="32"/>
      <x:c r="G770" s="74"/>
      <x:c r="H770" s="74"/>
      <x:c r="I770" s="74"/>
      <x:c r="J770" s="74"/>
      <x:c r="K770" s="74"/>
      <x:c r="L770" s="74"/>
      <x:c r="M770" s="74"/>
      <x:c r="N770" s="91"/>
      <x:c r="O770" s="91"/>
      <x:c r="P770" s="91"/>
      <x:c r="Q770" s="91"/>
      <x:c r="R770" s="91"/>
      <x:c r="S770" s="85"/>
      <x:c r="U770" s="86"/>
      <x:c r="V770" s="32"/>
    </x:row>
    <x:row r="771">
      <x:c r="A771" s="87"/>
      <x:c r="B771" s="88"/>
      <x:c r="D771" s="32"/>
      <x:c r="G771" s="74"/>
      <x:c r="H771" s="74"/>
      <x:c r="I771" s="74"/>
      <x:c r="J771" s="74"/>
      <x:c r="K771" s="74"/>
      <x:c r="L771" s="74"/>
      <x:c r="M771" s="74"/>
      <x:c r="N771" s="91"/>
      <x:c r="O771" s="91"/>
      <x:c r="P771" s="91"/>
      <x:c r="Q771" s="91"/>
      <x:c r="R771" s="91"/>
      <x:c r="S771" s="85"/>
      <x:c r="U771" s="86"/>
      <x:c r="V771" s="32"/>
    </x:row>
    <x:row r="772">
      <x:c r="A772" s="87"/>
      <x:c r="B772" s="88"/>
      <x:c r="D772" s="32"/>
      <x:c r="G772" s="74"/>
      <x:c r="H772" s="74"/>
      <x:c r="I772" s="74"/>
      <x:c r="J772" s="74"/>
      <x:c r="K772" s="74"/>
      <x:c r="L772" s="74"/>
      <x:c r="M772" s="74"/>
      <x:c r="N772" s="91"/>
      <x:c r="O772" s="91"/>
      <x:c r="P772" s="91"/>
      <x:c r="Q772" s="91"/>
      <x:c r="R772" s="91"/>
      <x:c r="S772" s="85"/>
      <x:c r="U772" s="86"/>
      <x:c r="V772" s="32"/>
    </x:row>
    <x:row r="773">
      <x:c r="A773" s="87"/>
      <x:c r="B773" s="88"/>
      <x:c r="D773" s="32"/>
      <x:c r="G773" s="74"/>
      <x:c r="H773" s="74"/>
      <x:c r="I773" s="74"/>
      <x:c r="J773" s="74"/>
      <x:c r="K773" s="74"/>
      <x:c r="L773" s="74"/>
      <x:c r="M773" s="74"/>
      <x:c r="N773" s="91"/>
      <x:c r="O773" s="91"/>
      <x:c r="P773" s="91"/>
      <x:c r="Q773" s="91"/>
      <x:c r="R773" s="91"/>
      <x:c r="S773" s="85"/>
      <x:c r="U773" s="86"/>
      <x:c r="V773" s="32"/>
    </x:row>
    <x:row r="774">
      <x:c r="A774" s="87"/>
      <x:c r="B774" s="88"/>
      <x:c r="D774" s="32"/>
      <x:c r="G774" s="74"/>
      <x:c r="H774" s="74"/>
      <x:c r="I774" s="74"/>
      <x:c r="J774" s="74"/>
      <x:c r="K774" s="74"/>
      <x:c r="L774" s="74"/>
      <x:c r="M774" s="74"/>
      <x:c r="N774" s="91"/>
      <x:c r="O774" s="91"/>
      <x:c r="P774" s="91"/>
      <x:c r="Q774" s="91"/>
      <x:c r="R774" s="91"/>
      <x:c r="S774" s="85"/>
      <x:c r="U774" s="86"/>
      <x:c r="V774" s="32"/>
    </x:row>
    <x:row r="775">
      <x:c r="A775" s="87"/>
      <x:c r="B775" s="88"/>
      <x:c r="D775" s="32"/>
      <x:c r="G775" s="74"/>
      <x:c r="H775" s="74"/>
      <x:c r="I775" s="74"/>
      <x:c r="J775" s="74"/>
      <x:c r="K775" s="74"/>
      <x:c r="L775" s="74"/>
      <x:c r="M775" s="74"/>
      <x:c r="N775" s="91"/>
      <x:c r="O775" s="91"/>
      <x:c r="P775" s="91"/>
      <x:c r="Q775" s="91"/>
      <x:c r="R775" s="91"/>
      <x:c r="S775" s="85"/>
      <x:c r="U775" s="86"/>
      <x:c r="V775" s="32"/>
    </x:row>
    <x:row r="776">
      <x:c r="A776" s="87"/>
      <x:c r="B776" s="88"/>
      <x:c r="D776" s="32"/>
      <x:c r="G776" s="74"/>
      <x:c r="H776" s="74"/>
      <x:c r="I776" s="74"/>
      <x:c r="J776" s="74"/>
      <x:c r="K776" s="74"/>
      <x:c r="L776" s="74"/>
      <x:c r="M776" s="74"/>
      <x:c r="N776" s="91"/>
      <x:c r="O776" s="91"/>
      <x:c r="P776" s="91"/>
      <x:c r="Q776" s="91"/>
      <x:c r="R776" s="91"/>
      <x:c r="S776" s="85"/>
      <x:c r="U776" s="86"/>
      <x:c r="V776" s="32"/>
    </x:row>
    <x:row r="777">
      <x:c r="A777" s="87"/>
      <x:c r="B777" s="88"/>
      <x:c r="D777" s="32"/>
      <x:c r="G777" s="74"/>
      <x:c r="H777" s="74"/>
      <x:c r="I777" s="74"/>
      <x:c r="J777" s="74"/>
      <x:c r="K777" s="74"/>
      <x:c r="L777" s="74"/>
      <x:c r="M777" s="74"/>
      <x:c r="N777" s="91"/>
      <x:c r="O777" s="91"/>
      <x:c r="P777" s="91"/>
      <x:c r="Q777" s="91"/>
      <x:c r="R777" s="91"/>
      <x:c r="S777" s="85"/>
      <x:c r="U777" s="86"/>
      <x:c r="V777" s="32"/>
    </x:row>
    <x:row r="778">
      <x:c r="A778" s="87"/>
      <x:c r="B778" s="88"/>
      <x:c r="D778" s="32"/>
      <x:c r="G778" s="74"/>
      <x:c r="H778" s="74"/>
      <x:c r="I778" s="74"/>
      <x:c r="J778" s="74"/>
      <x:c r="K778" s="74"/>
      <x:c r="L778" s="74"/>
      <x:c r="M778" s="74"/>
      <x:c r="N778" s="91"/>
      <x:c r="O778" s="91"/>
      <x:c r="P778" s="91"/>
      <x:c r="Q778" s="91"/>
      <x:c r="R778" s="91"/>
      <x:c r="S778" s="85"/>
      <x:c r="U778" s="86"/>
      <x:c r="V778" s="32"/>
    </x:row>
    <x:row r="779">
      <x:c r="A779" s="87"/>
      <x:c r="B779" s="88"/>
      <x:c r="D779" s="32"/>
      <x:c r="G779" s="74"/>
      <x:c r="H779" s="74"/>
      <x:c r="I779" s="74"/>
      <x:c r="J779" s="74"/>
      <x:c r="K779" s="74"/>
      <x:c r="L779" s="74"/>
      <x:c r="M779" s="74"/>
      <x:c r="N779" s="91"/>
      <x:c r="O779" s="91"/>
      <x:c r="P779" s="91"/>
      <x:c r="Q779" s="91"/>
      <x:c r="R779" s="91"/>
      <x:c r="S779" s="85"/>
      <x:c r="U779" s="86"/>
      <x:c r="V779" s="32"/>
    </x:row>
    <x:row r="780">
      <x:c r="A780" s="87"/>
      <x:c r="B780" s="88"/>
      <x:c r="D780" s="32"/>
      <x:c r="G780" s="74"/>
      <x:c r="H780" s="74"/>
      <x:c r="I780" s="74"/>
      <x:c r="J780" s="74"/>
      <x:c r="K780" s="74"/>
      <x:c r="L780" s="74"/>
      <x:c r="M780" s="74"/>
      <x:c r="N780" s="91"/>
      <x:c r="O780" s="91"/>
      <x:c r="P780" s="91"/>
      <x:c r="Q780" s="91"/>
      <x:c r="R780" s="91"/>
      <x:c r="S780" s="85"/>
      <x:c r="U780" s="86"/>
      <x:c r="V780" s="32"/>
    </x:row>
    <x:row r="781">
      <x:c r="A781" s="87"/>
      <x:c r="B781" s="88"/>
      <x:c r="D781" s="32"/>
      <x:c r="G781" s="74"/>
      <x:c r="H781" s="74"/>
      <x:c r="I781" s="74"/>
      <x:c r="J781" s="74"/>
      <x:c r="K781" s="74"/>
      <x:c r="L781" s="74"/>
      <x:c r="M781" s="74"/>
      <x:c r="N781" s="91"/>
      <x:c r="O781" s="91"/>
      <x:c r="P781" s="91"/>
      <x:c r="Q781" s="91"/>
      <x:c r="R781" s="91"/>
      <x:c r="S781" s="85"/>
      <x:c r="U781" s="86"/>
      <x:c r="V781" s="32"/>
    </x:row>
    <x:row r="782">
      <x:c r="A782" s="87"/>
      <x:c r="B782" s="88"/>
      <x:c r="D782" s="32"/>
      <x:c r="G782" s="74"/>
      <x:c r="H782" s="74"/>
      <x:c r="I782" s="74"/>
      <x:c r="J782" s="74"/>
      <x:c r="K782" s="74"/>
      <x:c r="L782" s="74"/>
      <x:c r="M782" s="74"/>
      <x:c r="N782" s="91"/>
      <x:c r="O782" s="91"/>
      <x:c r="P782" s="91"/>
      <x:c r="Q782" s="91"/>
      <x:c r="R782" s="91"/>
      <x:c r="S782" s="85"/>
      <x:c r="U782" s="86"/>
      <x:c r="V782" s="32"/>
    </x:row>
    <x:row r="783">
      <x:c r="A783" s="87"/>
      <x:c r="B783" s="88"/>
      <x:c r="D783" s="32"/>
      <x:c r="G783" s="74"/>
      <x:c r="H783" s="74"/>
      <x:c r="I783" s="74"/>
      <x:c r="J783" s="74"/>
      <x:c r="K783" s="74"/>
      <x:c r="L783" s="74"/>
      <x:c r="M783" s="74"/>
      <x:c r="N783" s="91"/>
      <x:c r="O783" s="91"/>
      <x:c r="P783" s="91"/>
      <x:c r="Q783" s="91"/>
      <x:c r="R783" s="91"/>
      <x:c r="S783" s="85"/>
      <x:c r="U783" s="86"/>
      <x:c r="V783" s="32"/>
    </x:row>
    <x:row r="784">
      <x:c r="A784" s="87"/>
      <x:c r="B784" s="88"/>
      <x:c r="D784" s="32"/>
      <x:c r="G784" s="74"/>
      <x:c r="H784" s="74"/>
      <x:c r="I784" s="74"/>
      <x:c r="J784" s="74"/>
      <x:c r="K784" s="74"/>
      <x:c r="L784" s="74"/>
      <x:c r="M784" s="74"/>
      <x:c r="N784" s="91"/>
      <x:c r="O784" s="91"/>
      <x:c r="P784" s="91"/>
      <x:c r="Q784" s="91"/>
      <x:c r="R784" s="91"/>
      <x:c r="S784" s="85"/>
      <x:c r="U784" s="86"/>
      <x:c r="V784" s="32"/>
    </x:row>
    <x:row r="785">
      <x:c r="A785" s="87"/>
      <x:c r="B785" s="88"/>
      <x:c r="D785" s="32"/>
      <x:c r="G785" s="74"/>
      <x:c r="H785" s="74"/>
      <x:c r="I785" s="74"/>
      <x:c r="J785" s="74"/>
      <x:c r="K785" s="74"/>
      <x:c r="L785" s="74"/>
      <x:c r="M785" s="74"/>
      <x:c r="N785" s="91"/>
      <x:c r="O785" s="91"/>
      <x:c r="P785" s="91"/>
      <x:c r="Q785" s="91"/>
      <x:c r="R785" s="91"/>
      <x:c r="S785" s="85"/>
      <x:c r="U785" s="86"/>
      <x:c r="V785" s="32"/>
    </x:row>
    <x:row r="786">
      <x:c r="A786" s="87"/>
      <x:c r="B786" s="88"/>
      <x:c r="D786" s="32"/>
      <x:c r="G786" s="74"/>
      <x:c r="H786" s="74"/>
      <x:c r="I786" s="74"/>
      <x:c r="J786" s="74"/>
      <x:c r="K786" s="74"/>
      <x:c r="L786" s="74"/>
      <x:c r="M786" s="74"/>
      <x:c r="N786" s="91"/>
      <x:c r="O786" s="91"/>
      <x:c r="P786" s="91"/>
      <x:c r="Q786" s="91"/>
      <x:c r="R786" s="91"/>
      <x:c r="S786" s="85"/>
      <x:c r="U786" s="86"/>
      <x:c r="V786" s="32"/>
    </x:row>
    <x:row r="787">
      <x:c r="A787" s="87"/>
      <x:c r="B787" s="88"/>
      <x:c r="D787" s="32"/>
      <x:c r="G787" s="74"/>
      <x:c r="H787" s="74"/>
      <x:c r="I787" s="74"/>
      <x:c r="J787" s="74"/>
      <x:c r="K787" s="74"/>
      <x:c r="L787" s="74"/>
      <x:c r="M787" s="74"/>
      <x:c r="N787" s="91"/>
      <x:c r="O787" s="91"/>
      <x:c r="P787" s="91"/>
      <x:c r="Q787" s="91"/>
      <x:c r="R787" s="91"/>
      <x:c r="S787" s="85"/>
      <x:c r="U787" s="86"/>
      <x:c r="V787" s="32"/>
    </x:row>
    <x:row r="788">
      <x:c r="A788" s="87"/>
      <x:c r="B788" s="88"/>
      <x:c r="D788" s="32"/>
      <x:c r="G788" s="74"/>
      <x:c r="H788" s="74"/>
      <x:c r="I788" s="74"/>
      <x:c r="J788" s="74"/>
      <x:c r="K788" s="74"/>
      <x:c r="L788" s="74"/>
      <x:c r="M788" s="74"/>
      <x:c r="N788" s="91"/>
      <x:c r="O788" s="91"/>
      <x:c r="P788" s="91"/>
      <x:c r="Q788" s="91"/>
      <x:c r="R788" s="91"/>
      <x:c r="S788" s="85"/>
      <x:c r="U788" s="86"/>
      <x:c r="V788" s="32"/>
    </x:row>
    <x:row r="789">
      <x:c r="A789" s="87"/>
      <x:c r="B789" s="88"/>
      <x:c r="D789" s="32"/>
      <x:c r="G789" s="74"/>
      <x:c r="H789" s="74"/>
      <x:c r="I789" s="74"/>
      <x:c r="J789" s="74"/>
      <x:c r="K789" s="74"/>
      <x:c r="L789" s="74"/>
      <x:c r="M789" s="74"/>
      <x:c r="N789" s="91"/>
      <x:c r="O789" s="91"/>
      <x:c r="P789" s="91"/>
      <x:c r="Q789" s="91"/>
      <x:c r="R789" s="91"/>
      <x:c r="S789" s="85"/>
      <x:c r="U789" s="86"/>
      <x:c r="V789" s="32"/>
    </x:row>
    <x:row r="790">
      <x:c r="A790" s="87"/>
      <x:c r="B790" s="88"/>
      <x:c r="D790" s="32"/>
      <x:c r="G790" s="74"/>
      <x:c r="H790" s="74"/>
      <x:c r="I790" s="74"/>
      <x:c r="J790" s="74"/>
      <x:c r="K790" s="74"/>
      <x:c r="L790" s="74"/>
      <x:c r="M790" s="74"/>
      <x:c r="N790" s="91"/>
      <x:c r="O790" s="91"/>
      <x:c r="P790" s="91"/>
      <x:c r="Q790" s="91"/>
      <x:c r="R790" s="91"/>
      <x:c r="S790" s="85"/>
      <x:c r="U790" s="86"/>
      <x:c r="V790" s="32"/>
    </x:row>
    <x:row r="791">
      <x:c r="A791" s="87"/>
      <x:c r="B791" s="88"/>
      <x:c r="D791" s="32"/>
      <x:c r="G791" s="74"/>
      <x:c r="H791" s="74"/>
      <x:c r="I791" s="74"/>
      <x:c r="J791" s="74"/>
      <x:c r="K791" s="74"/>
      <x:c r="L791" s="74"/>
      <x:c r="M791" s="74"/>
      <x:c r="N791" s="91"/>
      <x:c r="O791" s="91"/>
      <x:c r="P791" s="91"/>
      <x:c r="Q791" s="91"/>
      <x:c r="R791" s="91"/>
      <x:c r="S791" s="85"/>
      <x:c r="U791" s="86"/>
      <x:c r="V791" s="32"/>
    </x:row>
    <x:row r="792">
      <x:c r="A792" s="87"/>
      <x:c r="B792" s="88"/>
      <x:c r="D792" s="32"/>
      <x:c r="G792" s="74"/>
      <x:c r="H792" s="74"/>
      <x:c r="I792" s="74"/>
      <x:c r="J792" s="74"/>
      <x:c r="K792" s="74"/>
      <x:c r="L792" s="74"/>
      <x:c r="M792" s="74"/>
      <x:c r="N792" s="91"/>
      <x:c r="O792" s="91"/>
      <x:c r="P792" s="91"/>
      <x:c r="Q792" s="91"/>
      <x:c r="R792" s="91"/>
      <x:c r="S792" s="85"/>
      <x:c r="U792" s="86"/>
      <x:c r="V792" s="32"/>
    </x:row>
    <x:row r="793">
      <x:c r="A793" s="87"/>
      <x:c r="B793" s="88"/>
      <x:c r="D793" s="32"/>
      <x:c r="G793" s="74"/>
      <x:c r="H793" s="74"/>
      <x:c r="I793" s="74"/>
      <x:c r="J793" s="74"/>
      <x:c r="K793" s="74"/>
      <x:c r="L793" s="74"/>
      <x:c r="M793" s="74"/>
      <x:c r="N793" s="91"/>
      <x:c r="O793" s="91"/>
      <x:c r="P793" s="91"/>
      <x:c r="Q793" s="91"/>
      <x:c r="R793" s="91"/>
      <x:c r="S793" s="85"/>
      <x:c r="U793" s="86"/>
      <x:c r="V793" s="32"/>
    </x:row>
    <x:row r="794">
      <x:c r="A794" s="87"/>
      <x:c r="B794" s="88"/>
      <x:c r="D794" s="32"/>
      <x:c r="G794" s="74"/>
      <x:c r="H794" s="74"/>
      <x:c r="I794" s="74"/>
      <x:c r="J794" s="74"/>
      <x:c r="K794" s="74"/>
      <x:c r="L794" s="74"/>
      <x:c r="M794" s="74"/>
      <x:c r="N794" s="91"/>
      <x:c r="O794" s="91"/>
      <x:c r="P794" s="91"/>
      <x:c r="Q794" s="91"/>
      <x:c r="R794" s="91"/>
      <x:c r="S794" s="85"/>
      <x:c r="U794" s="86"/>
      <x:c r="V794" s="32"/>
    </x:row>
    <x:row r="795">
      <x:c r="A795" s="87"/>
      <x:c r="B795" s="88"/>
      <x:c r="D795" s="32"/>
      <x:c r="G795" s="74"/>
      <x:c r="H795" s="74"/>
      <x:c r="I795" s="74"/>
      <x:c r="J795" s="74"/>
      <x:c r="K795" s="74"/>
      <x:c r="L795" s="74"/>
      <x:c r="M795" s="74"/>
      <x:c r="N795" s="91"/>
      <x:c r="O795" s="91"/>
      <x:c r="P795" s="91"/>
      <x:c r="Q795" s="91"/>
      <x:c r="R795" s="91"/>
      <x:c r="S795" s="85"/>
      <x:c r="U795" s="86"/>
      <x:c r="V795" s="32"/>
    </x:row>
    <x:row r="796">
      <x:c r="A796" s="87"/>
      <x:c r="B796" s="88"/>
      <x:c r="D796" s="32"/>
      <x:c r="G796" s="74"/>
      <x:c r="H796" s="74"/>
      <x:c r="I796" s="74"/>
      <x:c r="J796" s="74"/>
      <x:c r="K796" s="74"/>
      <x:c r="L796" s="74"/>
      <x:c r="M796" s="74"/>
      <x:c r="N796" s="91"/>
      <x:c r="O796" s="91"/>
      <x:c r="P796" s="91"/>
      <x:c r="Q796" s="91"/>
      <x:c r="R796" s="91"/>
      <x:c r="S796" s="85"/>
      <x:c r="U796" s="86"/>
      <x:c r="V796" s="32"/>
    </x:row>
    <x:row r="797">
      <x:c r="A797" s="87"/>
      <x:c r="B797" s="88"/>
      <x:c r="D797" s="32"/>
      <x:c r="G797" s="74"/>
      <x:c r="H797" s="74"/>
      <x:c r="I797" s="74"/>
      <x:c r="J797" s="74"/>
      <x:c r="K797" s="74"/>
      <x:c r="L797" s="74"/>
      <x:c r="M797" s="74"/>
      <x:c r="N797" s="91"/>
      <x:c r="O797" s="91"/>
      <x:c r="P797" s="91"/>
      <x:c r="Q797" s="91"/>
      <x:c r="R797" s="91"/>
      <x:c r="S797" s="85"/>
      <x:c r="U797" s="86"/>
      <x:c r="V797" s="32"/>
    </x:row>
    <x:row r="798">
      <x:c r="A798" s="87"/>
      <x:c r="B798" s="88"/>
      <x:c r="D798" s="32"/>
      <x:c r="G798" s="74"/>
      <x:c r="H798" s="74"/>
      <x:c r="I798" s="74"/>
      <x:c r="J798" s="74"/>
      <x:c r="K798" s="74"/>
      <x:c r="L798" s="74"/>
      <x:c r="M798" s="74"/>
      <x:c r="N798" s="91"/>
      <x:c r="O798" s="91"/>
      <x:c r="P798" s="91"/>
      <x:c r="Q798" s="91"/>
      <x:c r="R798" s="91"/>
      <x:c r="S798" s="85"/>
      <x:c r="U798" s="86"/>
      <x:c r="V798" s="32"/>
    </x:row>
    <x:row r="799">
      <x:c r="A799" s="87"/>
      <x:c r="B799" s="88"/>
      <x:c r="D799" s="32"/>
      <x:c r="G799" s="74"/>
      <x:c r="H799" s="74"/>
      <x:c r="I799" s="74"/>
      <x:c r="J799" s="74"/>
      <x:c r="K799" s="74"/>
      <x:c r="L799" s="74"/>
      <x:c r="M799" s="74"/>
      <x:c r="N799" s="91"/>
      <x:c r="O799" s="91"/>
      <x:c r="P799" s="91"/>
      <x:c r="Q799" s="91"/>
      <x:c r="R799" s="91"/>
      <x:c r="S799" s="85"/>
      <x:c r="U799" s="86"/>
      <x:c r="V799" s="32"/>
    </x:row>
    <x:row r="800">
      <x:c r="A800" s="87"/>
      <x:c r="B800" s="88"/>
      <x:c r="D800" s="32"/>
      <x:c r="G800" s="74"/>
      <x:c r="H800" s="74"/>
      <x:c r="I800" s="74"/>
      <x:c r="J800" s="74"/>
      <x:c r="K800" s="74"/>
      <x:c r="L800" s="74"/>
      <x:c r="M800" s="74"/>
      <x:c r="N800" s="91"/>
      <x:c r="O800" s="91"/>
      <x:c r="P800" s="91"/>
      <x:c r="Q800" s="91"/>
      <x:c r="R800" s="91"/>
      <x:c r="S800" s="85"/>
      <x:c r="U800" s="86"/>
      <x:c r="V800" s="32"/>
    </x:row>
    <x:row r="801">
      <x:c r="A801" s="87"/>
      <x:c r="B801" s="88"/>
      <x:c r="D801" s="32"/>
      <x:c r="G801" s="74"/>
      <x:c r="H801" s="74"/>
      <x:c r="I801" s="74"/>
      <x:c r="J801" s="74"/>
      <x:c r="K801" s="74"/>
      <x:c r="L801" s="74"/>
      <x:c r="M801" s="74"/>
      <x:c r="N801" s="91"/>
      <x:c r="O801" s="91"/>
      <x:c r="P801" s="91"/>
      <x:c r="Q801" s="91"/>
      <x:c r="R801" s="91"/>
      <x:c r="S801" s="85"/>
      <x:c r="U801" s="86"/>
      <x:c r="V801" s="32"/>
    </x:row>
    <x:row r="802">
      <x:c r="A802" s="87"/>
      <x:c r="B802" s="88"/>
      <x:c r="D802" s="32"/>
      <x:c r="G802" s="74"/>
      <x:c r="H802" s="74"/>
      <x:c r="I802" s="74"/>
      <x:c r="J802" s="74"/>
      <x:c r="K802" s="74"/>
      <x:c r="L802" s="74"/>
      <x:c r="M802" s="74"/>
      <x:c r="N802" s="91"/>
      <x:c r="O802" s="91"/>
      <x:c r="P802" s="91"/>
      <x:c r="Q802" s="91"/>
      <x:c r="R802" s="91"/>
      <x:c r="S802" s="85"/>
      <x:c r="U802" s="86"/>
      <x:c r="V802" s="32"/>
    </x:row>
    <x:row r="803">
      <x:c r="A803" s="87"/>
      <x:c r="B803" s="88"/>
      <x:c r="D803" s="32"/>
      <x:c r="G803" s="74"/>
      <x:c r="H803" s="74"/>
      <x:c r="I803" s="74"/>
      <x:c r="J803" s="74"/>
      <x:c r="K803" s="74"/>
      <x:c r="L803" s="74"/>
      <x:c r="M803" s="74"/>
      <x:c r="N803" s="91"/>
      <x:c r="O803" s="91"/>
      <x:c r="P803" s="91"/>
      <x:c r="Q803" s="91"/>
      <x:c r="R803" s="91"/>
      <x:c r="S803" s="85"/>
      <x:c r="U803" s="86"/>
      <x:c r="V803" s="32"/>
    </x:row>
    <x:row r="804">
      <x:c r="A804" s="87"/>
      <x:c r="B804" s="88"/>
      <x:c r="D804" s="32"/>
      <x:c r="G804" s="74"/>
      <x:c r="H804" s="74"/>
      <x:c r="I804" s="74"/>
      <x:c r="J804" s="74"/>
      <x:c r="K804" s="74"/>
      <x:c r="L804" s="74"/>
      <x:c r="M804" s="74"/>
      <x:c r="N804" s="91"/>
      <x:c r="O804" s="91"/>
      <x:c r="P804" s="91"/>
      <x:c r="Q804" s="91"/>
      <x:c r="R804" s="91"/>
      <x:c r="S804" s="85"/>
      <x:c r="U804" s="86"/>
      <x:c r="V804" s="32"/>
    </x:row>
    <x:row r="805">
      <x:c r="A805" s="87"/>
      <x:c r="B805" s="88"/>
      <x:c r="D805" s="32"/>
      <x:c r="G805" s="74"/>
      <x:c r="H805" s="74"/>
      <x:c r="I805" s="74"/>
      <x:c r="J805" s="74"/>
      <x:c r="K805" s="74"/>
      <x:c r="L805" s="74"/>
      <x:c r="M805" s="74"/>
      <x:c r="N805" s="91"/>
      <x:c r="O805" s="91"/>
      <x:c r="P805" s="91"/>
      <x:c r="Q805" s="91"/>
      <x:c r="R805" s="91"/>
      <x:c r="S805" s="85"/>
      <x:c r="U805" s="86"/>
      <x:c r="V805" s="32"/>
    </x:row>
    <x:row r="806">
      <x:c r="A806" s="87"/>
      <x:c r="B806" s="88"/>
      <x:c r="D806" s="32"/>
      <x:c r="G806" s="74"/>
      <x:c r="H806" s="74"/>
      <x:c r="I806" s="74"/>
      <x:c r="J806" s="74"/>
      <x:c r="K806" s="74"/>
      <x:c r="L806" s="74"/>
      <x:c r="M806" s="74"/>
      <x:c r="N806" s="91"/>
      <x:c r="O806" s="91"/>
      <x:c r="P806" s="91"/>
      <x:c r="Q806" s="91"/>
      <x:c r="R806" s="91"/>
      <x:c r="S806" s="85"/>
      <x:c r="U806" s="86"/>
      <x:c r="V806" s="32"/>
    </x:row>
    <x:row r="807">
      <x:c r="A807" s="87"/>
      <x:c r="B807" s="88"/>
      <x:c r="D807" s="32"/>
      <x:c r="G807" s="74"/>
      <x:c r="H807" s="74"/>
      <x:c r="I807" s="74"/>
      <x:c r="J807" s="74"/>
      <x:c r="K807" s="74"/>
      <x:c r="L807" s="74"/>
      <x:c r="M807" s="74"/>
      <x:c r="N807" s="91"/>
      <x:c r="O807" s="91"/>
      <x:c r="P807" s="91"/>
      <x:c r="Q807" s="91"/>
      <x:c r="R807" s="91"/>
      <x:c r="S807" s="85"/>
      <x:c r="U807" s="86"/>
      <x:c r="V807" s="32"/>
    </x:row>
    <x:row r="808">
      <x:c r="A808" s="87"/>
      <x:c r="B808" s="88"/>
      <x:c r="D808" s="32"/>
      <x:c r="G808" s="74"/>
      <x:c r="H808" s="74"/>
      <x:c r="I808" s="74"/>
      <x:c r="J808" s="74"/>
      <x:c r="K808" s="74"/>
      <x:c r="L808" s="74"/>
      <x:c r="M808" s="74"/>
      <x:c r="N808" s="91"/>
      <x:c r="O808" s="91"/>
      <x:c r="P808" s="91"/>
      <x:c r="Q808" s="91"/>
      <x:c r="R808" s="91"/>
      <x:c r="S808" s="85"/>
      <x:c r="U808" s="86"/>
      <x:c r="V808" s="32"/>
    </x:row>
    <x:row r="809">
      <x:c r="A809" s="87"/>
      <x:c r="B809" s="88"/>
      <x:c r="D809" s="32"/>
      <x:c r="G809" s="74"/>
      <x:c r="H809" s="74"/>
      <x:c r="I809" s="74"/>
      <x:c r="J809" s="74"/>
      <x:c r="K809" s="74"/>
      <x:c r="L809" s="74"/>
      <x:c r="M809" s="74"/>
      <x:c r="N809" s="91"/>
      <x:c r="O809" s="91"/>
      <x:c r="P809" s="91"/>
      <x:c r="Q809" s="91"/>
      <x:c r="R809" s="91"/>
      <x:c r="S809" s="85"/>
      <x:c r="U809" s="86"/>
      <x:c r="V809" s="32"/>
    </x:row>
    <x:row r="810">
      <x:c r="A810" s="87"/>
      <x:c r="B810" s="88"/>
      <x:c r="D810" s="32"/>
      <x:c r="G810" s="74"/>
      <x:c r="H810" s="74"/>
      <x:c r="I810" s="74"/>
      <x:c r="J810" s="74"/>
      <x:c r="K810" s="74"/>
      <x:c r="L810" s="74"/>
      <x:c r="M810" s="74"/>
      <x:c r="N810" s="91"/>
      <x:c r="O810" s="91"/>
      <x:c r="P810" s="91"/>
      <x:c r="Q810" s="91"/>
      <x:c r="R810" s="91"/>
      <x:c r="S810" s="85"/>
      <x:c r="U810" s="86"/>
      <x:c r="V810" s="32"/>
    </x:row>
    <x:row r="811">
      <x:c r="A811" s="87"/>
      <x:c r="B811" s="88"/>
      <x:c r="D811" s="32"/>
      <x:c r="G811" s="74"/>
      <x:c r="H811" s="74"/>
      <x:c r="I811" s="74"/>
      <x:c r="J811" s="74"/>
      <x:c r="K811" s="74"/>
      <x:c r="L811" s="74"/>
      <x:c r="M811" s="74"/>
      <x:c r="N811" s="91"/>
      <x:c r="O811" s="91"/>
      <x:c r="P811" s="91"/>
      <x:c r="Q811" s="91"/>
      <x:c r="R811" s="91"/>
      <x:c r="S811" s="85"/>
      <x:c r="U811" s="86"/>
      <x:c r="V811" s="32"/>
    </x:row>
    <x:row r="812">
      <x:c r="A812" s="87"/>
      <x:c r="B812" s="88"/>
      <x:c r="D812" s="32"/>
      <x:c r="G812" s="74"/>
      <x:c r="H812" s="74"/>
      <x:c r="I812" s="74"/>
      <x:c r="J812" s="74"/>
      <x:c r="K812" s="74"/>
      <x:c r="L812" s="74"/>
      <x:c r="M812" s="74"/>
      <x:c r="N812" s="91"/>
      <x:c r="O812" s="91"/>
      <x:c r="P812" s="91"/>
      <x:c r="Q812" s="91"/>
      <x:c r="R812" s="91"/>
      <x:c r="S812" s="85"/>
      <x:c r="U812" s="86"/>
      <x:c r="V812" s="32"/>
    </x:row>
    <x:row r="813">
      <x:c r="A813" s="87"/>
      <x:c r="B813" s="88"/>
      <x:c r="D813" s="32"/>
      <x:c r="G813" s="74"/>
      <x:c r="H813" s="74"/>
      <x:c r="I813" s="74"/>
      <x:c r="J813" s="74"/>
      <x:c r="K813" s="74"/>
      <x:c r="L813" s="74"/>
      <x:c r="M813" s="74"/>
      <x:c r="N813" s="91"/>
      <x:c r="O813" s="91"/>
      <x:c r="P813" s="91"/>
      <x:c r="Q813" s="91"/>
      <x:c r="R813" s="91"/>
      <x:c r="S813" s="85"/>
      <x:c r="U813" s="86"/>
      <x:c r="V813" s="32"/>
    </x:row>
    <x:row r="814">
      <x:c r="A814" s="87"/>
      <x:c r="B814" s="88"/>
      <x:c r="D814" s="32"/>
      <x:c r="G814" s="74"/>
      <x:c r="H814" s="74"/>
      <x:c r="I814" s="74"/>
      <x:c r="J814" s="74"/>
      <x:c r="K814" s="74"/>
      <x:c r="L814" s="74"/>
      <x:c r="M814" s="74"/>
      <x:c r="N814" s="91"/>
      <x:c r="O814" s="91"/>
      <x:c r="P814" s="91"/>
      <x:c r="Q814" s="91"/>
      <x:c r="R814" s="91"/>
      <x:c r="S814" s="85"/>
      <x:c r="U814" s="86"/>
      <x:c r="V814" s="32"/>
    </x:row>
    <x:row r="815">
      <x:c r="A815" s="87"/>
      <x:c r="B815" s="88"/>
      <x:c r="D815" s="32"/>
      <x:c r="G815" s="74"/>
      <x:c r="H815" s="74"/>
      <x:c r="I815" s="74"/>
      <x:c r="J815" s="74"/>
      <x:c r="K815" s="74"/>
      <x:c r="L815" s="74"/>
      <x:c r="M815" s="74"/>
      <x:c r="N815" s="91"/>
      <x:c r="O815" s="91"/>
      <x:c r="P815" s="91"/>
      <x:c r="Q815" s="91"/>
      <x:c r="R815" s="91"/>
      <x:c r="S815" s="85"/>
      <x:c r="U815" s="86"/>
      <x:c r="V815" s="32"/>
    </x:row>
    <x:row r="816">
      <x:c r="A816" s="87"/>
      <x:c r="B816" s="88"/>
      <x:c r="D816" s="32"/>
      <x:c r="G816" s="74"/>
      <x:c r="H816" s="74"/>
      <x:c r="I816" s="74"/>
      <x:c r="J816" s="74"/>
      <x:c r="K816" s="74"/>
      <x:c r="L816" s="74"/>
      <x:c r="M816" s="74"/>
      <x:c r="N816" s="91"/>
      <x:c r="O816" s="91"/>
      <x:c r="P816" s="91"/>
      <x:c r="Q816" s="91"/>
      <x:c r="R816" s="91"/>
      <x:c r="S816" s="85"/>
      <x:c r="U816" s="86"/>
      <x:c r="V816" s="32"/>
    </x:row>
    <x:row r="817">
      <x:c r="A817" s="87"/>
      <x:c r="B817" s="88"/>
      <x:c r="D817" s="32"/>
      <x:c r="G817" s="74"/>
      <x:c r="H817" s="74"/>
      <x:c r="I817" s="74"/>
      <x:c r="J817" s="74"/>
      <x:c r="K817" s="74"/>
      <x:c r="L817" s="74"/>
      <x:c r="M817" s="74"/>
      <x:c r="N817" s="91"/>
      <x:c r="O817" s="91"/>
      <x:c r="P817" s="91"/>
      <x:c r="Q817" s="91"/>
      <x:c r="R817" s="91"/>
      <x:c r="S817" s="85"/>
      <x:c r="U817" s="86"/>
      <x:c r="V817" s="32"/>
    </x:row>
    <x:row r="818">
      <x:c r="A818" s="87"/>
      <x:c r="B818" s="88"/>
      <x:c r="D818" s="32"/>
      <x:c r="G818" s="74"/>
      <x:c r="H818" s="74"/>
      <x:c r="I818" s="74"/>
      <x:c r="J818" s="74"/>
      <x:c r="K818" s="74"/>
      <x:c r="L818" s="74"/>
      <x:c r="M818" s="74"/>
      <x:c r="N818" s="91"/>
      <x:c r="O818" s="91"/>
      <x:c r="P818" s="91"/>
      <x:c r="Q818" s="91"/>
      <x:c r="R818" s="91"/>
      <x:c r="S818" s="85"/>
      <x:c r="U818" s="86"/>
      <x:c r="V818" s="32"/>
    </x:row>
    <x:row r="819">
      <x:c r="A819" s="87"/>
      <x:c r="B819" s="88"/>
      <x:c r="D819" s="32"/>
      <x:c r="G819" s="74"/>
      <x:c r="H819" s="74"/>
      <x:c r="I819" s="74"/>
      <x:c r="J819" s="74"/>
      <x:c r="K819" s="74"/>
      <x:c r="L819" s="74"/>
      <x:c r="M819" s="74"/>
      <x:c r="N819" s="91"/>
      <x:c r="O819" s="91"/>
      <x:c r="P819" s="91"/>
      <x:c r="Q819" s="91"/>
      <x:c r="R819" s="91"/>
      <x:c r="S819" s="85"/>
      <x:c r="U819" s="86"/>
      <x:c r="V819" s="32"/>
    </x:row>
    <x:row r="820">
      <x:c r="A820" s="87"/>
      <x:c r="B820" s="88"/>
      <x:c r="D820" s="32"/>
      <x:c r="G820" s="74"/>
      <x:c r="H820" s="74"/>
      <x:c r="I820" s="74"/>
      <x:c r="J820" s="74"/>
      <x:c r="K820" s="74"/>
      <x:c r="L820" s="74"/>
      <x:c r="M820" s="74"/>
      <x:c r="N820" s="91"/>
      <x:c r="O820" s="91"/>
      <x:c r="P820" s="91"/>
      <x:c r="Q820" s="91"/>
      <x:c r="R820" s="91"/>
      <x:c r="S820" s="85"/>
      <x:c r="U820" s="86"/>
      <x:c r="V820" s="32"/>
    </x:row>
    <x:row r="821">
      <x:c r="A821" s="87"/>
      <x:c r="B821" s="88"/>
      <x:c r="D821" s="32"/>
      <x:c r="G821" s="74"/>
      <x:c r="H821" s="74"/>
      <x:c r="I821" s="74"/>
      <x:c r="J821" s="74"/>
      <x:c r="K821" s="74"/>
      <x:c r="L821" s="74"/>
      <x:c r="M821" s="74"/>
      <x:c r="N821" s="91"/>
      <x:c r="O821" s="91"/>
      <x:c r="P821" s="91"/>
      <x:c r="Q821" s="91"/>
      <x:c r="R821" s="91"/>
      <x:c r="S821" s="85"/>
      <x:c r="U821" s="86"/>
      <x:c r="V821" s="32"/>
    </x:row>
    <x:row r="822">
      <x:c r="A822" s="87"/>
      <x:c r="B822" s="88"/>
      <x:c r="D822" s="32"/>
      <x:c r="G822" s="74"/>
      <x:c r="H822" s="74"/>
      <x:c r="I822" s="74"/>
      <x:c r="J822" s="74"/>
      <x:c r="K822" s="74"/>
      <x:c r="L822" s="74"/>
      <x:c r="M822" s="74"/>
      <x:c r="N822" s="91"/>
      <x:c r="O822" s="91"/>
      <x:c r="P822" s="91"/>
      <x:c r="Q822" s="91"/>
      <x:c r="R822" s="91"/>
      <x:c r="S822" s="85"/>
      <x:c r="U822" s="86"/>
      <x:c r="V822" s="32"/>
    </x:row>
    <x:row r="823">
      <x:c r="A823" s="87"/>
      <x:c r="B823" s="88"/>
      <x:c r="D823" s="32"/>
      <x:c r="G823" s="74"/>
      <x:c r="H823" s="74"/>
      <x:c r="I823" s="74"/>
      <x:c r="J823" s="74"/>
      <x:c r="K823" s="74"/>
      <x:c r="L823" s="74"/>
      <x:c r="M823" s="74"/>
      <x:c r="N823" s="91"/>
      <x:c r="O823" s="91"/>
      <x:c r="P823" s="91"/>
      <x:c r="Q823" s="91"/>
      <x:c r="R823" s="91"/>
      <x:c r="S823" s="85"/>
      <x:c r="U823" s="86"/>
      <x:c r="V823" s="32"/>
    </x:row>
    <x:row r="824">
      <x:c r="A824" s="87"/>
      <x:c r="B824" s="88"/>
      <x:c r="D824" s="32"/>
      <x:c r="G824" s="74"/>
      <x:c r="H824" s="74"/>
      <x:c r="I824" s="74"/>
      <x:c r="J824" s="74"/>
      <x:c r="K824" s="74"/>
      <x:c r="L824" s="74"/>
      <x:c r="M824" s="74"/>
      <x:c r="N824" s="91"/>
      <x:c r="O824" s="91"/>
      <x:c r="P824" s="91"/>
      <x:c r="Q824" s="91"/>
      <x:c r="R824" s="91"/>
      <x:c r="S824" s="85"/>
      <x:c r="U824" s="86"/>
      <x:c r="V824" s="32"/>
    </x:row>
    <x:row r="825">
      <x:c r="A825" s="87"/>
      <x:c r="B825" s="88"/>
      <x:c r="D825" s="32"/>
      <x:c r="G825" s="74"/>
      <x:c r="H825" s="74"/>
      <x:c r="I825" s="74"/>
      <x:c r="J825" s="74"/>
      <x:c r="K825" s="74"/>
      <x:c r="L825" s="74"/>
      <x:c r="M825" s="74"/>
      <x:c r="N825" s="91"/>
      <x:c r="O825" s="91"/>
      <x:c r="P825" s="91"/>
      <x:c r="Q825" s="91"/>
      <x:c r="R825" s="91"/>
      <x:c r="S825" s="85"/>
      <x:c r="U825" s="86"/>
      <x:c r="V825" s="32"/>
    </x:row>
    <x:row r="826">
      <x:c r="A826" s="87"/>
      <x:c r="B826" s="88"/>
      <x:c r="D826" s="32"/>
      <x:c r="G826" s="74"/>
      <x:c r="H826" s="74"/>
      <x:c r="I826" s="74"/>
      <x:c r="J826" s="74"/>
      <x:c r="K826" s="74"/>
      <x:c r="L826" s="74"/>
      <x:c r="M826" s="74"/>
      <x:c r="N826" s="91"/>
      <x:c r="O826" s="91"/>
      <x:c r="P826" s="91"/>
      <x:c r="Q826" s="91"/>
      <x:c r="R826" s="91"/>
      <x:c r="S826" s="85"/>
      <x:c r="U826" s="86"/>
      <x:c r="V826" s="32"/>
    </x:row>
    <x:row r="827">
      <x:c r="A827" s="87"/>
      <x:c r="B827" s="88"/>
      <x:c r="D827" s="32"/>
      <x:c r="G827" s="74"/>
      <x:c r="H827" s="74"/>
      <x:c r="I827" s="74"/>
      <x:c r="J827" s="74"/>
      <x:c r="K827" s="74"/>
      <x:c r="L827" s="74"/>
      <x:c r="M827" s="74"/>
      <x:c r="N827" s="91"/>
      <x:c r="O827" s="91"/>
      <x:c r="P827" s="91"/>
      <x:c r="Q827" s="91"/>
      <x:c r="R827" s="91"/>
      <x:c r="S827" s="85"/>
      <x:c r="U827" s="86"/>
      <x:c r="V827" s="32"/>
    </x:row>
    <x:row r="828">
      <x:c r="A828" s="87"/>
      <x:c r="B828" s="88"/>
      <x:c r="D828" s="32"/>
      <x:c r="G828" s="74"/>
      <x:c r="H828" s="74"/>
      <x:c r="I828" s="74"/>
      <x:c r="J828" s="74"/>
      <x:c r="K828" s="74"/>
      <x:c r="L828" s="74"/>
      <x:c r="M828" s="74"/>
      <x:c r="N828" s="91"/>
      <x:c r="O828" s="91"/>
      <x:c r="P828" s="91"/>
      <x:c r="Q828" s="91"/>
      <x:c r="R828" s="91"/>
      <x:c r="S828" s="85"/>
      <x:c r="U828" s="86"/>
      <x:c r="V828" s="32"/>
    </x:row>
    <x:row r="829">
      <x:c r="A829" s="87"/>
      <x:c r="B829" s="88"/>
      <x:c r="D829" s="32"/>
      <x:c r="G829" s="74"/>
      <x:c r="H829" s="74"/>
      <x:c r="I829" s="74"/>
      <x:c r="J829" s="74"/>
      <x:c r="K829" s="74"/>
      <x:c r="L829" s="74"/>
      <x:c r="M829" s="74"/>
      <x:c r="N829" s="91"/>
      <x:c r="O829" s="91"/>
      <x:c r="P829" s="91"/>
      <x:c r="Q829" s="91"/>
      <x:c r="R829" s="91"/>
      <x:c r="S829" s="85"/>
      <x:c r="U829" s="86"/>
      <x:c r="V829" s="32"/>
    </x:row>
    <x:row r="830">
      <x:c r="A830" s="87"/>
      <x:c r="B830" s="88"/>
      <x:c r="D830" s="32"/>
      <x:c r="G830" s="74"/>
      <x:c r="H830" s="74"/>
      <x:c r="I830" s="74"/>
      <x:c r="J830" s="74"/>
      <x:c r="K830" s="74"/>
      <x:c r="L830" s="74"/>
      <x:c r="M830" s="74"/>
      <x:c r="N830" s="91"/>
      <x:c r="O830" s="91"/>
      <x:c r="P830" s="91"/>
      <x:c r="Q830" s="91"/>
      <x:c r="R830" s="91"/>
      <x:c r="S830" s="85"/>
      <x:c r="U830" s="86"/>
      <x:c r="V830" s="32"/>
    </x:row>
    <x:row r="831">
      <x:c r="A831" s="87"/>
      <x:c r="B831" s="88"/>
      <x:c r="D831" s="32"/>
      <x:c r="G831" s="74"/>
      <x:c r="H831" s="74"/>
      <x:c r="I831" s="74"/>
      <x:c r="J831" s="74"/>
      <x:c r="K831" s="74"/>
      <x:c r="L831" s="74"/>
      <x:c r="M831" s="74"/>
      <x:c r="N831" s="91"/>
      <x:c r="O831" s="91"/>
      <x:c r="P831" s="91"/>
      <x:c r="Q831" s="91"/>
      <x:c r="R831" s="91"/>
      <x:c r="S831" s="85"/>
      <x:c r="U831" s="86"/>
      <x:c r="V831" s="32"/>
    </x:row>
    <x:row r="832">
      <x:c r="A832" s="87"/>
      <x:c r="B832" s="88"/>
      <x:c r="D832" s="32"/>
      <x:c r="G832" s="74"/>
      <x:c r="H832" s="74"/>
      <x:c r="I832" s="74"/>
      <x:c r="J832" s="74"/>
      <x:c r="K832" s="74"/>
      <x:c r="L832" s="74"/>
      <x:c r="M832" s="74"/>
      <x:c r="N832" s="91"/>
      <x:c r="O832" s="91"/>
      <x:c r="P832" s="91"/>
      <x:c r="Q832" s="91"/>
      <x:c r="R832" s="91"/>
      <x:c r="S832" s="85"/>
      <x:c r="U832" s="86"/>
      <x:c r="V832" s="32"/>
    </x:row>
    <x:row r="833">
      <x:c r="A833" s="87"/>
      <x:c r="B833" s="88"/>
      <x:c r="D833" s="32"/>
      <x:c r="G833" s="74"/>
      <x:c r="H833" s="74"/>
      <x:c r="I833" s="74"/>
      <x:c r="J833" s="74"/>
      <x:c r="K833" s="74"/>
      <x:c r="L833" s="74"/>
      <x:c r="M833" s="74"/>
      <x:c r="N833" s="91"/>
      <x:c r="O833" s="91"/>
      <x:c r="P833" s="91"/>
      <x:c r="Q833" s="91"/>
      <x:c r="R833" s="91"/>
      <x:c r="S833" s="85"/>
      <x:c r="U833" s="86"/>
      <x:c r="V833" s="32"/>
    </x:row>
    <x:row r="834">
      <x:c r="A834" s="87"/>
      <x:c r="B834" s="88"/>
      <x:c r="D834" s="32"/>
      <x:c r="G834" s="74"/>
      <x:c r="H834" s="74"/>
      <x:c r="I834" s="74"/>
      <x:c r="J834" s="74"/>
      <x:c r="K834" s="74"/>
      <x:c r="L834" s="74"/>
      <x:c r="M834" s="74"/>
      <x:c r="N834" s="91"/>
      <x:c r="O834" s="91"/>
      <x:c r="P834" s="91"/>
      <x:c r="Q834" s="91"/>
      <x:c r="R834" s="91"/>
      <x:c r="S834" s="85"/>
      <x:c r="U834" s="86"/>
      <x:c r="V834" s="32"/>
    </x:row>
    <x:row r="835">
      <x:c r="A835" s="87"/>
      <x:c r="B835" s="88"/>
      <x:c r="D835" s="32"/>
      <x:c r="G835" s="74"/>
      <x:c r="H835" s="74"/>
      <x:c r="I835" s="74"/>
      <x:c r="J835" s="74"/>
      <x:c r="K835" s="74"/>
      <x:c r="L835" s="74"/>
      <x:c r="M835" s="74"/>
      <x:c r="N835" s="91"/>
      <x:c r="O835" s="91"/>
      <x:c r="P835" s="91"/>
      <x:c r="Q835" s="91"/>
      <x:c r="R835" s="91"/>
      <x:c r="S835" s="85"/>
      <x:c r="U835" s="86"/>
      <x:c r="V835" s="32"/>
    </x:row>
    <x:row r="836">
      <x:c r="A836" s="87"/>
      <x:c r="B836" s="88"/>
      <x:c r="D836" s="32"/>
      <x:c r="G836" s="74"/>
      <x:c r="H836" s="74"/>
      <x:c r="I836" s="74"/>
      <x:c r="J836" s="74"/>
      <x:c r="K836" s="74"/>
      <x:c r="L836" s="74"/>
      <x:c r="M836" s="74"/>
      <x:c r="N836" s="91"/>
      <x:c r="O836" s="91"/>
      <x:c r="P836" s="91"/>
      <x:c r="Q836" s="91"/>
      <x:c r="R836" s="91"/>
      <x:c r="S836" s="85"/>
      <x:c r="U836" s="86"/>
      <x:c r="V836" s="32"/>
    </x:row>
    <x:row r="837">
      <x:c r="A837" s="87"/>
      <x:c r="B837" s="88"/>
      <x:c r="D837" s="32"/>
      <x:c r="G837" s="74"/>
      <x:c r="H837" s="74"/>
      <x:c r="I837" s="74"/>
      <x:c r="J837" s="74"/>
      <x:c r="K837" s="74"/>
      <x:c r="L837" s="74"/>
      <x:c r="M837" s="74"/>
      <x:c r="N837" s="91"/>
      <x:c r="O837" s="91"/>
      <x:c r="P837" s="91"/>
      <x:c r="Q837" s="91"/>
      <x:c r="R837" s="91"/>
      <x:c r="S837" s="85"/>
      <x:c r="U837" s="86"/>
      <x:c r="V837" s="32"/>
    </x:row>
    <x:row r="838">
      <x:c r="A838" s="87"/>
      <x:c r="B838" s="88"/>
      <x:c r="D838" s="32"/>
      <x:c r="G838" s="74"/>
      <x:c r="H838" s="74"/>
      <x:c r="I838" s="74"/>
      <x:c r="J838" s="74"/>
      <x:c r="K838" s="74"/>
      <x:c r="L838" s="74"/>
      <x:c r="M838" s="74"/>
      <x:c r="N838" s="91"/>
      <x:c r="O838" s="91"/>
      <x:c r="P838" s="91"/>
      <x:c r="Q838" s="91"/>
      <x:c r="R838" s="91"/>
      <x:c r="S838" s="85"/>
      <x:c r="U838" s="86"/>
      <x:c r="V838" s="32"/>
    </x:row>
    <x:row r="839">
      <x:c r="A839" s="87"/>
      <x:c r="B839" s="88"/>
      <x:c r="D839" s="32"/>
      <x:c r="G839" s="74"/>
      <x:c r="H839" s="74"/>
      <x:c r="I839" s="74"/>
      <x:c r="J839" s="74"/>
      <x:c r="K839" s="74"/>
      <x:c r="L839" s="74"/>
      <x:c r="M839" s="74"/>
      <x:c r="N839" s="91"/>
      <x:c r="O839" s="91"/>
      <x:c r="P839" s="91"/>
      <x:c r="Q839" s="91"/>
      <x:c r="R839" s="91"/>
      <x:c r="S839" s="85"/>
      <x:c r="U839" s="86"/>
      <x:c r="V839" s="32"/>
    </x:row>
    <x:row r="840">
      <x:c r="A840" s="87"/>
      <x:c r="B840" s="88"/>
      <x:c r="D840" s="32"/>
      <x:c r="G840" s="74"/>
      <x:c r="H840" s="74"/>
      <x:c r="I840" s="74"/>
      <x:c r="J840" s="74"/>
      <x:c r="K840" s="74"/>
      <x:c r="L840" s="74"/>
      <x:c r="M840" s="74"/>
      <x:c r="N840" s="91"/>
      <x:c r="O840" s="91"/>
      <x:c r="P840" s="91"/>
      <x:c r="Q840" s="91"/>
      <x:c r="R840" s="91"/>
      <x:c r="S840" s="85"/>
      <x:c r="U840" s="86"/>
      <x:c r="V840" s="32"/>
    </x:row>
    <x:row r="841">
      <x:c r="A841" s="87"/>
      <x:c r="B841" s="88"/>
      <x:c r="D841" s="32"/>
      <x:c r="G841" s="74"/>
      <x:c r="H841" s="74"/>
      <x:c r="I841" s="74"/>
      <x:c r="J841" s="74"/>
      <x:c r="K841" s="74"/>
      <x:c r="L841" s="74"/>
      <x:c r="M841" s="74"/>
      <x:c r="N841" s="91"/>
      <x:c r="O841" s="91"/>
      <x:c r="P841" s="91"/>
      <x:c r="Q841" s="91"/>
      <x:c r="R841" s="91"/>
      <x:c r="S841" s="85"/>
      <x:c r="U841" s="86"/>
      <x:c r="V841" s="32"/>
    </x:row>
    <x:row r="842">
      <x:c r="A842" s="87"/>
      <x:c r="B842" s="88"/>
      <x:c r="D842" s="32"/>
      <x:c r="G842" s="74"/>
      <x:c r="H842" s="74"/>
      <x:c r="I842" s="74"/>
      <x:c r="J842" s="74"/>
      <x:c r="K842" s="74"/>
      <x:c r="L842" s="74"/>
      <x:c r="M842" s="74"/>
      <x:c r="N842" s="91"/>
      <x:c r="O842" s="91"/>
      <x:c r="P842" s="91"/>
      <x:c r="Q842" s="91"/>
      <x:c r="R842" s="91"/>
      <x:c r="S842" s="85"/>
      <x:c r="U842" s="86"/>
      <x:c r="V842" s="32"/>
    </x:row>
    <x:row r="843">
      <x:c r="A843" s="87"/>
      <x:c r="B843" s="88"/>
      <x:c r="D843" s="32"/>
      <x:c r="G843" s="74"/>
      <x:c r="H843" s="74"/>
      <x:c r="I843" s="74"/>
      <x:c r="J843" s="74"/>
      <x:c r="K843" s="74"/>
      <x:c r="L843" s="74"/>
      <x:c r="M843" s="74"/>
      <x:c r="N843" s="91"/>
      <x:c r="O843" s="91"/>
      <x:c r="P843" s="91"/>
      <x:c r="Q843" s="91"/>
      <x:c r="R843" s="91"/>
      <x:c r="S843" s="85"/>
      <x:c r="U843" s="86"/>
      <x:c r="V843" s="32"/>
    </x:row>
    <x:row r="844">
      <x:c r="A844" s="87"/>
      <x:c r="B844" s="88"/>
      <x:c r="D844" s="32"/>
      <x:c r="G844" s="74"/>
      <x:c r="H844" s="74"/>
      <x:c r="I844" s="74"/>
      <x:c r="J844" s="74"/>
      <x:c r="K844" s="74"/>
      <x:c r="L844" s="74"/>
      <x:c r="M844" s="74"/>
      <x:c r="N844" s="91"/>
      <x:c r="O844" s="91"/>
      <x:c r="P844" s="91"/>
      <x:c r="Q844" s="91"/>
      <x:c r="R844" s="91"/>
      <x:c r="S844" s="85"/>
      <x:c r="U844" s="86"/>
      <x:c r="V844" s="32"/>
    </x:row>
    <x:row r="845">
      <x:c r="A845" s="87"/>
      <x:c r="B845" s="88"/>
      <x:c r="D845" s="32"/>
      <x:c r="G845" s="74"/>
      <x:c r="H845" s="74"/>
      <x:c r="I845" s="74"/>
      <x:c r="J845" s="74"/>
      <x:c r="K845" s="74"/>
      <x:c r="L845" s="74"/>
      <x:c r="M845" s="74"/>
      <x:c r="N845" s="91"/>
      <x:c r="O845" s="91"/>
      <x:c r="P845" s="91"/>
      <x:c r="Q845" s="91"/>
      <x:c r="R845" s="91"/>
      <x:c r="S845" s="85"/>
      <x:c r="U845" s="86"/>
      <x:c r="V845" s="32"/>
    </x:row>
    <x:row r="846">
      <x:c r="A846" s="87"/>
      <x:c r="B846" s="88"/>
      <x:c r="D846" s="32"/>
      <x:c r="G846" s="74"/>
      <x:c r="H846" s="74"/>
      <x:c r="I846" s="74"/>
      <x:c r="J846" s="74"/>
      <x:c r="K846" s="74"/>
      <x:c r="L846" s="74"/>
      <x:c r="M846" s="74"/>
      <x:c r="N846" s="91"/>
      <x:c r="O846" s="91"/>
      <x:c r="P846" s="91"/>
      <x:c r="Q846" s="91"/>
      <x:c r="R846" s="91"/>
      <x:c r="S846" s="85"/>
      <x:c r="U846" s="86"/>
      <x:c r="V846" s="32"/>
    </x:row>
    <x:row r="847">
      <x:c r="A847" s="87"/>
      <x:c r="B847" s="88"/>
      <x:c r="D847" s="32"/>
      <x:c r="G847" s="74"/>
      <x:c r="H847" s="74"/>
      <x:c r="I847" s="74"/>
      <x:c r="J847" s="74"/>
      <x:c r="K847" s="74"/>
      <x:c r="L847" s="74"/>
      <x:c r="M847" s="74"/>
      <x:c r="N847" s="91"/>
      <x:c r="O847" s="91"/>
      <x:c r="P847" s="91"/>
      <x:c r="Q847" s="91"/>
      <x:c r="R847" s="91"/>
      <x:c r="S847" s="85"/>
      <x:c r="U847" s="86"/>
      <x:c r="V847" s="32"/>
    </x:row>
    <x:row r="848">
      <x:c r="A848" s="87"/>
      <x:c r="B848" s="88"/>
      <x:c r="D848" s="32"/>
      <x:c r="G848" s="74"/>
      <x:c r="H848" s="74"/>
      <x:c r="I848" s="74"/>
      <x:c r="J848" s="74"/>
      <x:c r="K848" s="74"/>
      <x:c r="L848" s="74"/>
      <x:c r="M848" s="74"/>
      <x:c r="N848" s="91"/>
      <x:c r="O848" s="91"/>
      <x:c r="P848" s="91"/>
      <x:c r="Q848" s="91"/>
      <x:c r="R848" s="91"/>
      <x:c r="S848" s="85"/>
      <x:c r="U848" s="86"/>
      <x:c r="V848" s="32"/>
    </x:row>
    <x:row r="849">
      <x:c r="A849" s="87"/>
      <x:c r="B849" s="88"/>
      <x:c r="D849" s="32"/>
      <x:c r="G849" s="74"/>
      <x:c r="H849" s="74"/>
      <x:c r="I849" s="74"/>
      <x:c r="J849" s="74"/>
      <x:c r="K849" s="74"/>
      <x:c r="L849" s="74"/>
      <x:c r="M849" s="74"/>
      <x:c r="N849" s="91"/>
      <x:c r="O849" s="91"/>
      <x:c r="P849" s="91"/>
      <x:c r="Q849" s="91"/>
      <x:c r="R849" s="91"/>
      <x:c r="S849" s="85"/>
      <x:c r="U849" s="86"/>
      <x:c r="V849" s="32"/>
    </x:row>
    <x:row r="850">
      <x:c r="A850" s="87"/>
      <x:c r="B850" s="88"/>
      <x:c r="D850" s="32"/>
      <x:c r="G850" s="74"/>
      <x:c r="H850" s="74"/>
      <x:c r="I850" s="74"/>
      <x:c r="J850" s="74"/>
      <x:c r="K850" s="74"/>
      <x:c r="L850" s="74"/>
      <x:c r="M850" s="74"/>
      <x:c r="N850" s="91"/>
      <x:c r="O850" s="91"/>
      <x:c r="P850" s="91"/>
      <x:c r="Q850" s="91"/>
      <x:c r="R850" s="91"/>
      <x:c r="S850" s="85"/>
      <x:c r="U850" s="86"/>
      <x:c r="V850" s="32"/>
    </x:row>
    <x:row r="851">
      <x:c r="A851" s="87"/>
      <x:c r="B851" s="88"/>
      <x:c r="D851" s="32"/>
      <x:c r="G851" s="74"/>
      <x:c r="H851" s="74"/>
      <x:c r="I851" s="74"/>
      <x:c r="J851" s="74"/>
      <x:c r="K851" s="74"/>
      <x:c r="L851" s="74"/>
      <x:c r="M851" s="74"/>
      <x:c r="N851" s="91"/>
      <x:c r="O851" s="91"/>
      <x:c r="P851" s="91"/>
      <x:c r="Q851" s="91"/>
      <x:c r="R851" s="91"/>
      <x:c r="S851" s="85"/>
      <x:c r="U851" s="86"/>
      <x:c r="V851" s="32"/>
    </x:row>
    <x:row r="852">
      <x:c r="A852" s="87"/>
      <x:c r="B852" s="88"/>
      <x:c r="D852" s="32"/>
      <x:c r="G852" s="74"/>
      <x:c r="H852" s="74"/>
      <x:c r="I852" s="74"/>
      <x:c r="J852" s="74"/>
      <x:c r="K852" s="74"/>
      <x:c r="L852" s="74"/>
      <x:c r="M852" s="74"/>
      <x:c r="N852" s="91"/>
      <x:c r="O852" s="91"/>
      <x:c r="P852" s="91"/>
      <x:c r="Q852" s="91"/>
      <x:c r="R852" s="91"/>
      <x:c r="S852" s="85"/>
      <x:c r="U852" s="86"/>
      <x:c r="V852" s="32"/>
    </x:row>
    <x:row r="853">
      <x:c r="A853" s="87"/>
      <x:c r="B853" s="88"/>
      <x:c r="D853" s="32"/>
      <x:c r="G853" s="74"/>
      <x:c r="H853" s="74"/>
      <x:c r="I853" s="74"/>
      <x:c r="J853" s="74"/>
      <x:c r="K853" s="74"/>
      <x:c r="L853" s="74"/>
      <x:c r="M853" s="74"/>
      <x:c r="N853" s="91"/>
      <x:c r="O853" s="91"/>
      <x:c r="P853" s="91"/>
      <x:c r="Q853" s="91"/>
      <x:c r="R853" s="91"/>
      <x:c r="S853" s="85"/>
      <x:c r="U853" s="86"/>
      <x:c r="V853" s="32"/>
    </x:row>
    <x:row r="854">
      <x:c r="A854" s="87"/>
      <x:c r="B854" s="88"/>
      <x:c r="D854" s="32"/>
      <x:c r="G854" s="74"/>
      <x:c r="H854" s="74"/>
      <x:c r="I854" s="74"/>
      <x:c r="J854" s="74"/>
      <x:c r="K854" s="74"/>
      <x:c r="L854" s="74"/>
      <x:c r="M854" s="74"/>
      <x:c r="N854" s="91"/>
      <x:c r="O854" s="91"/>
      <x:c r="P854" s="91"/>
      <x:c r="Q854" s="91"/>
      <x:c r="R854" s="91"/>
      <x:c r="S854" s="85"/>
      <x:c r="U854" s="86"/>
      <x:c r="V854" s="32"/>
    </x:row>
    <x:row r="855">
      <x:c r="A855" s="87"/>
      <x:c r="B855" s="88"/>
      <x:c r="D855" s="32"/>
      <x:c r="G855" s="74"/>
      <x:c r="H855" s="74"/>
      <x:c r="I855" s="74"/>
      <x:c r="J855" s="74"/>
      <x:c r="K855" s="74"/>
      <x:c r="L855" s="74"/>
      <x:c r="M855" s="74"/>
      <x:c r="N855" s="91"/>
      <x:c r="O855" s="91"/>
      <x:c r="P855" s="91"/>
      <x:c r="Q855" s="91"/>
      <x:c r="R855" s="91"/>
      <x:c r="S855" s="85"/>
      <x:c r="U855" s="86"/>
      <x:c r="V855" s="32"/>
    </x:row>
    <x:row r="856">
      <x:c r="A856" s="87"/>
      <x:c r="B856" s="88"/>
      <x:c r="D856" s="32"/>
      <x:c r="G856" s="74"/>
      <x:c r="H856" s="74"/>
      <x:c r="I856" s="74"/>
      <x:c r="J856" s="74"/>
      <x:c r="K856" s="74"/>
      <x:c r="L856" s="74"/>
      <x:c r="M856" s="74"/>
      <x:c r="N856" s="91"/>
      <x:c r="O856" s="91"/>
      <x:c r="P856" s="91"/>
      <x:c r="Q856" s="91"/>
      <x:c r="R856" s="91"/>
      <x:c r="S856" s="85"/>
      <x:c r="U856" s="86"/>
      <x:c r="V856" s="32"/>
    </x:row>
    <x:row r="857">
      <x:c r="A857" s="87"/>
      <x:c r="B857" s="88"/>
      <x:c r="D857" s="32"/>
      <x:c r="G857" s="74"/>
      <x:c r="H857" s="74"/>
      <x:c r="I857" s="74"/>
      <x:c r="J857" s="74"/>
      <x:c r="K857" s="74"/>
      <x:c r="L857" s="74"/>
      <x:c r="M857" s="74"/>
      <x:c r="N857" s="91"/>
      <x:c r="O857" s="91"/>
      <x:c r="P857" s="91"/>
      <x:c r="Q857" s="91"/>
      <x:c r="R857" s="91"/>
      <x:c r="S857" s="85"/>
      <x:c r="U857" s="86"/>
      <x:c r="V857" s="32"/>
    </x:row>
    <x:row r="858">
      <x:c r="A858" s="87"/>
      <x:c r="B858" s="88"/>
      <x:c r="D858" s="32"/>
      <x:c r="G858" s="74"/>
      <x:c r="H858" s="74"/>
      <x:c r="I858" s="74"/>
      <x:c r="J858" s="74"/>
      <x:c r="K858" s="74"/>
      <x:c r="L858" s="74"/>
      <x:c r="M858" s="74"/>
      <x:c r="N858" s="91"/>
      <x:c r="O858" s="91"/>
      <x:c r="P858" s="91"/>
      <x:c r="Q858" s="91"/>
      <x:c r="R858" s="91"/>
      <x:c r="S858" s="85"/>
      <x:c r="U858" s="86"/>
      <x:c r="V858" s="32"/>
    </x:row>
    <x:row r="859">
      <x:c r="A859" s="87"/>
      <x:c r="B859" s="88"/>
      <x:c r="D859" s="32"/>
      <x:c r="G859" s="74"/>
      <x:c r="H859" s="74"/>
      <x:c r="I859" s="74"/>
      <x:c r="J859" s="74"/>
      <x:c r="K859" s="74"/>
      <x:c r="L859" s="74"/>
      <x:c r="M859" s="74"/>
      <x:c r="N859" s="91"/>
      <x:c r="O859" s="91"/>
      <x:c r="P859" s="91"/>
      <x:c r="Q859" s="91"/>
      <x:c r="R859" s="91"/>
      <x:c r="S859" s="85"/>
      <x:c r="U859" s="86"/>
      <x:c r="V859" s="32"/>
    </x:row>
    <x:row r="860">
      <x:c r="A860" s="87"/>
      <x:c r="B860" s="88"/>
      <x:c r="D860" s="32"/>
      <x:c r="G860" s="74"/>
      <x:c r="H860" s="74"/>
      <x:c r="I860" s="74"/>
      <x:c r="J860" s="74"/>
      <x:c r="K860" s="74"/>
      <x:c r="L860" s="74"/>
      <x:c r="M860" s="74"/>
      <x:c r="N860" s="91"/>
      <x:c r="O860" s="91"/>
      <x:c r="P860" s="91"/>
      <x:c r="Q860" s="91"/>
      <x:c r="R860" s="91"/>
      <x:c r="S860" s="85"/>
      <x:c r="U860" s="86"/>
      <x:c r="V860" s="32"/>
    </x:row>
    <x:row r="861">
      <x:c r="A861" s="87"/>
      <x:c r="B861" s="88"/>
      <x:c r="D861" s="32"/>
      <x:c r="G861" s="74"/>
      <x:c r="H861" s="74"/>
      <x:c r="I861" s="74"/>
      <x:c r="J861" s="74"/>
      <x:c r="K861" s="74"/>
      <x:c r="L861" s="74"/>
      <x:c r="M861" s="74"/>
      <x:c r="N861" s="91"/>
      <x:c r="O861" s="91"/>
      <x:c r="P861" s="91"/>
      <x:c r="Q861" s="91"/>
      <x:c r="R861" s="91"/>
      <x:c r="S861" s="85"/>
      <x:c r="U861" s="86"/>
      <x:c r="V861" s="32"/>
    </x:row>
    <x:row r="862">
      <x:c r="A862" s="87"/>
      <x:c r="B862" s="88"/>
      <x:c r="D862" s="32"/>
      <x:c r="G862" s="74"/>
      <x:c r="H862" s="74"/>
      <x:c r="I862" s="74"/>
      <x:c r="J862" s="74"/>
      <x:c r="K862" s="74"/>
      <x:c r="L862" s="74"/>
      <x:c r="M862" s="74"/>
      <x:c r="N862" s="91"/>
      <x:c r="O862" s="91"/>
      <x:c r="P862" s="91"/>
      <x:c r="Q862" s="91"/>
      <x:c r="R862" s="91"/>
      <x:c r="S862" s="85"/>
      <x:c r="U862" s="86"/>
      <x:c r="V862" s="32"/>
    </x:row>
    <x:row r="863">
      <x:c r="A863" s="87"/>
      <x:c r="B863" s="88"/>
      <x:c r="D863" s="32"/>
      <x:c r="G863" s="74"/>
      <x:c r="H863" s="74"/>
      <x:c r="I863" s="74"/>
      <x:c r="J863" s="74"/>
      <x:c r="K863" s="74"/>
      <x:c r="L863" s="74"/>
      <x:c r="M863" s="74"/>
      <x:c r="N863" s="91"/>
      <x:c r="O863" s="91"/>
      <x:c r="P863" s="91"/>
      <x:c r="Q863" s="91"/>
      <x:c r="R863" s="91"/>
      <x:c r="S863" s="85"/>
      <x:c r="U863" s="86"/>
      <x:c r="V863" s="32"/>
    </x:row>
    <x:row r="864">
      <x:c r="A864" s="87"/>
      <x:c r="B864" s="88"/>
      <x:c r="D864" s="32"/>
      <x:c r="G864" s="74"/>
      <x:c r="H864" s="74"/>
      <x:c r="I864" s="74"/>
      <x:c r="J864" s="74"/>
      <x:c r="K864" s="74"/>
      <x:c r="L864" s="74"/>
      <x:c r="M864" s="74"/>
      <x:c r="N864" s="91"/>
      <x:c r="O864" s="91"/>
      <x:c r="P864" s="91"/>
      <x:c r="Q864" s="91"/>
      <x:c r="R864" s="91"/>
      <x:c r="S864" s="85"/>
      <x:c r="U864" s="86"/>
      <x:c r="V864" s="32"/>
    </x:row>
    <x:row r="865">
      <x:c r="A865" s="87"/>
      <x:c r="B865" s="88"/>
      <x:c r="D865" s="32"/>
      <x:c r="G865" s="74"/>
      <x:c r="H865" s="74"/>
      <x:c r="I865" s="74"/>
      <x:c r="J865" s="74"/>
      <x:c r="K865" s="74"/>
      <x:c r="L865" s="74"/>
      <x:c r="M865" s="74"/>
      <x:c r="N865" s="91"/>
      <x:c r="O865" s="91"/>
      <x:c r="P865" s="91"/>
      <x:c r="Q865" s="91"/>
      <x:c r="R865" s="91"/>
      <x:c r="S865" s="85"/>
      <x:c r="U865" s="86"/>
      <x:c r="V865" s="32"/>
    </x:row>
    <x:row r="866">
      <x:c r="A866" s="87"/>
      <x:c r="B866" s="88"/>
      <x:c r="D866" s="32"/>
      <x:c r="G866" s="74"/>
      <x:c r="H866" s="74"/>
      <x:c r="I866" s="74"/>
      <x:c r="J866" s="74"/>
      <x:c r="K866" s="74"/>
      <x:c r="L866" s="74"/>
      <x:c r="M866" s="74"/>
      <x:c r="N866" s="91"/>
      <x:c r="O866" s="91"/>
      <x:c r="P866" s="91"/>
      <x:c r="Q866" s="91"/>
      <x:c r="R866" s="91"/>
      <x:c r="S866" s="85"/>
      <x:c r="U866" s="86"/>
      <x:c r="V866" s="32"/>
    </x:row>
    <x:row r="867">
      <x:c r="A867" s="87"/>
      <x:c r="B867" s="88"/>
      <x:c r="D867" s="32"/>
      <x:c r="G867" s="74"/>
      <x:c r="H867" s="74"/>
      <x:c r="I867" s="74"/>
      <x:c r="J867" s="74"/>
      <x:c r="K867" s="74"/>
      <x:c r="L867" s="74"/>
      <x:c r="M867" s="74"/>
      <x:c r="N867" s="91"/>
      <x:c r="O867" s="91"/>
      <x:c r="P867" s="91"/>
      <x:c r="Q867" s="91"/>
      <x:c r="R867" s="91"/>
      <x:c r="S867" s="85"/>
      <x:c r="U867" s="86"/>
      <x:c r="V867" s="32"/>
    </x:row>
    <x:row r="868">
      <x:c r="A868" s="87"/>
      <x:c r="B868" s="88"/>
      <x:c r="D868" s="32"/>
      <x:c r="G868" s="74"/>
      <x:c r="H868" s="74"/>
      <x:c r="I868" s="74"/>
      <x:c r="J868" s="74"/>
      <x:c r="K868" s="74"/>
      <x:c r="L868" s="74"/>
      <x:c r="M868" s="74"/>
      <x:c r="N868" s="91"/>
      <x:c r="O868" s="91"/>
      <x:c r="P868" s="91"/>
      <x:c r="Q868" s="91"/>
      <x:c r="R868" s="91"/>
      <x:c r="S868" s="85"/>
      <x:c r="U868" s="86"/>
      <x:c r="V868" s="32"/>
    </x:row>
    <x:row r="869">
      <x:c r="A869" s="87"/>
      <x:c r="B869" s="88"/>
      <x:c r="D869" s="32"/>
      <x:c r="G869" s="74"/>
      <x:c r="H869" s="74"/>
      <x:c r="I869" s="74"/>
      <x:c r="J869" s="74"/>
      <x:c r="K869" s="74"/>
      <x:c r="L869" s="74"/>
      <x:c r="M869" s="74"/>
      <x:c r="N869" s="91"/>
      <x:c r="O869" s="91"/>
      <x:c r="P869" s="91"/>
      <x:c r="Q869" s="91"/>
      <x:c r="R869" s="91"/>
      <x:c r="S869" s="85"/>
      <x:c r="U869" s="86"/>
      <x:c r="V869" s="32"/>
    </x:row>
    <x:row r="870">
      <x:c r="A870" s="87"/>
      <x:c r="B870" s="88"/>
      <x:c r="D870" s="32"/>
      <x:c r="G870" s="74"/>
      <x:c r="H870" s="74"/>
      <x:c r="I870" s="74"/>
      <x:c r="J870" s="74"/>
      <x:c r="K870" s="74"/>
      <x:c r="L870" s="74"/>
      <x:c r="M870" s="74"/>
      <x:c r="N870" s="91"/>
      <x:c r="O870" s="91"/>
      <x:c r="P870" s="91"/>
      <x:c r="Q870" s="91"/>
      <x:c r="R870" s="91"/>
      <x:c r="S870" s="85"/>
      <x:c r="U870" s="86"/>
      <x:c r="V870" s="32"/>
    </x:row>
    <x:row r="871">
      <x:c r="A871" s="87"/>
      <x:c r="B871" s="88"/>
      <x:c r="D871" s="32"/>
      <x:c r="G871" s="74"/>
      <x:c r="H871" s="74"/>
      <x:c r="I871" s="74"/>
      <x:c r="J871" s="74"/>
      <x:c r="K871" s="74"/>
      <x:c r="L871" s="74"/>
      <x:c r="M871" s="74"/>
      <x:c r="N871" s="91"/>
      <x:c r="O871" s="91"/>
      <x:c r="P871" s="91"/>
      <x:c r="Q871" s="91"/>
      <x:c r="R871" s="91"/>
      <x:c r="S871" s="85"/>
      <x:c r="U871" s="86"/>
      <x:c r="V871" s="32"/>
    </x:row>
    <x:row r="872">
      <x:c r="A872" s="87"/>
      <x:c r="B872" s="88"/>
      <x:c r="D872" s="32"/>
      <x:c r="G872" s="74"/>
      <x:c r="H872" s="74"/>
      <x:c r="I872" s="74"/>
      <x:c r="J872" s="74"/>
      <x:c r="K872" s="74"/>
      <x:c r="L872" s="74"/>
      <x:c r="M872" s="74"/>
      <x:c r="N872" s="91"/>
      <x:c r="O872" s="91"/>
      <x:c r="P872" s="91"/>
      <x:c r="Q872" s="91"/>
      <x:c r="R872" s="91"/>
      <x:c r="S872" s="85"/>
      <x:c r="U872" s="86"/>
      <x:c r="V872" s="32"/>
    </x:row>
    <x:row r="873">
      <x:c r="A873" s="87"/>
      <x:c r="B873" s="88"/>
      <x:c r="D873" s="32"/>
      <x:c r="G873" s="74"/>
      <x:c r="H873" s="74"/>
      <x:c r="I873" s="74"/>
      <x:c r="J873" s="74"/>
      <x:c r="K873" s="74"/>
      <x:c r="L873" s="74"/>
      <x:c r="M873" s="74"/>
      <x:c r="N873" s="91"/>
      <x:c r="O873" s="91"/>
      <x:c r="P873" s="91"/>
      <x:c r="Q873" s="91"/>
      <x:c r="R873" s="91"/>
      <x:c r="S873" s="85"/>
      <x:c r="U873" s="86"/>
      <x:c r="V873" s="32"/>
    </x:row>
    <x:row r="874">
      <x:c r="A874" s="87"/>
      <x:c r="B874" s="88"/>
      <x:c r="D874" s="32"/>
      <x:c r="G874" s="74"/>
      <x:c r="H874" s="74"/>
      <x:c r="I874" s="74"/>
      <x:c r="J874" s="74"/>
      <x:c r="K874" s="74"/>
      <x:c r="L874" s="74"/>
      <x:c r="M874" s="74"/>
      <x:c r="N874" s="91"/>
      <x:c r="O874" s="91"/>
      <x:c r="P874" s="91"/>
      <x:c r="Q874" s="91"/>
      <x:c r="R874" s="91"/>
      <x:c r="S874" s="85"/>
      <x:c r="U874" s="86"/>
      <x:c r="V874" s="32"/>
    </x:row>
    <x:row r="875">
      <x:c r="A875" s="87"/>
      <x:c r="B875" s="88"/>
      <x:c r="D875" s="32"/>
      <x:c r="G875" s="74"/>
      <x:c r="H875" s="74"/>
      <x:c r="I875" s="74"/>
      <x:c r="J875" s="74"/>
      <x:c r="K875" s="74"/>
      <x:c r="L875" s="74"/>
      <x:c r="M875" s="74"/>
      <x:c r="N875" s="91"/>
      <x:c r="O875" s="91"/>
      <x:c r="P875" s="91"/>
      <x:c r="Q875" s="91"/>
      <x:c r="R875" s="91"/>
      <x:c r="S875" s="85"/>
      <x:c r="U875" s="86"/>
      <x:c r="V875" s="32"/>
    </x:row>
    <x:row r="876">
      <x:c r="A876" s="87"/>
      <x:c r="B876" s="88"/>
      <x:c r="D876" s="32"/>
      <x:c r="G876" s="74"/>
      <x:c r="H876" s="74"/>
      <x:c r="I876" s="74"/>
      <x:c r="J876" s="74"/>
      <x:c r="K876" s="74"/>
      <x:c r="L876" s="74"/>
      <x:c r="M876" s="74"/>
      <x:c r="N876" s="91"/>
      <x:c r="O876" s="91"/>
      <x:c r="P876" s="91"/>
      <x:c r="Q876" s="91"/>
      <x:c r="R876" s="91"/>
      <x:c r="S876" s="85"/>
      <x:c r="U876" s="86"/>
      <x:c r="V876" s="32"/>
    </x:row>
    <x:row r="877">
      <x:c r="A877" s="87"/>
      <x:c r="B877" s="88"/>
      <x:c r="D877" s="32"/>
      <x:c r="G877" s="74"/>
      <x:c r="H877" s="74"/>
      <x:c r="I877" s="74"/>
      <x:c r="J877" s="74"/>
      <x:c r="K877" s="74"/>
      <x:c r="L877" s="74"/>
      <x:c r="M877" s="74"/>
      <x:c r="N877" s="91"/>
      <x:c r="O877" s="91"/>
      <x:c r="P877" s="91"/>
      <x:c r="Q877" s="91"/>
      <x:c r="R877" s="91"/>
      <x:c r="S877" s="85"/>
      <x:c r="U877" s="86"/>
      <x:c r="V877" s="32"/>
    </x:row>
    <x:row r="878">
      <x:c r="A878" s="87"/>
      <x:c r="B878" s="88"/>
      <x:c r="D878" s="32"/>
      <x:c r="G878" s="74"/>
      <x:c r="H878" s="74"/>
      <x:c r="I878" s="74"/>
      <x:c r="J878" s="74"/>
      <x:c r="K878" s="74"/>
      <x:c r="L878" s="74"/>
      <x:c r="M878" s="74"/>
      <x:c r="N878" s="91"/>
      <x:c r="O878" s="91"/>
      <x:c r="P878" s="91"/>
      <x:c r="Q878" s="91"/>
      <x:c r="R878" s="91"/>
      <x:c r="S878" s="85"/>
      <x:c r="U878" s="86"/>
      <x:c r="V878" s="32"/>
    </x:row>
    <x:row r="879">
      <x:c r="A879" s="87"/>
      <x:c r="B879" s="88"/>
      <x:c r="D879" s="32"/>
      <x:c r="G879" s="74"/>
      <x:c r="H879" s="74"/>
      <x:c r="I879" s="74"/>
      <x:c r="J879" s="74"/>
      <x:c r="K879" s="74"/>
      <x:c r="L879" s="74"/>
      <x:c r="M879" s="74"/>
      <x:c r="N879" s="91"/>
      <x:c r="O879" s="91"/>
      <x:c r="P879" s="91"/>
      <x:c r="Q879" s="91"/>
      <x:c r="R879" s="91"/>
      <x:c r="S879" s="85"/>
      <x:c r="U879" s="86"/>
      <x:c r="V879" s="32"/>
    </x:row>
    <x:row r="880">
      <x:c r="A880" s="87"/>
      <x:c r="B880" s="88"/>
      <x:c r="D880" s="32"/>
      <x:c r="G880" s="74"/>
      <x:c r="H880" s="74"/>
      <x:c r="I880" s="74"/>
      <x:c r="J880" s="74"/>
      <x:c r="K880" s="74"/>
      <x:c r="L880" s="74"/>
      <x:c r="M880" s="74"/>
      <x:c r="N880" s="91"/>
      <x:c r="O880" s="91"/>
      <x:c r="P880" s="91"/>
      <x:c r="Q880" s="91"/>
      <x:c r="R880" s="91"/>
      <x:c r="S880" s="85"/>
      <x:c r="U880" s="86"/>
      <x:c r="V880" s="32"/>
    </x:row>
    <x:row r="881">
      <x:c r="A881" s="87"/>
      <x:c r="B881" s="88"/>
      <x:c r="D881" s="32"/>
      <x:c r="G881" s="74"/>
      <x:c r="H881" s="74"/>
      <x:c r="I881" s="74"/>
      <x:c r="J881" s="74"/>
      <x:c r="K881" s="74"/>
      <x:c r="L881" s="74"/>
      <x:c r="M881" s="74"/>
      <x:c r="N881" s="91"/>
      <x:c r="O881" s="91"/>
      <x:c r="P881" s="91"/>
      <x:c r="Q881" s="91"/>
      <x:c r="R881" s="91"/>
      <x:c r="S881" s="85"/>
      <x:c r="U881" s="86"/>
      <x:c r="V881" s="32"/>
    </x:row>
    <x:row r="882">
      <x:c r="A882" s="87"/>
      <x:c r="B882" s="88"/>
      <x:c r="D882" s="32"/>
      <x:c r="G882" s="74"/>
      <x:c r="H882" s="74"/>
      <x:c r="I882" s="74"/>
      <x:c r="J882" s="74"/>
      <x:c r="K882" s="74"/>
      <x:c r="L882" s="74"/>
      <x:c r="M882" s="74"/>
      <x:c r="N882" s="91"/>
      <x:c r="O882" s="91"/>
      <x:c r="P882" s="91"/>
      <x:c r="Q882" s="91"/>
      <x:c r="R882" s="91"/>
      <x:c r="S882" s="85"/>
      <x:c r="U882" s="86"/>
      <x:c r="V882" s="32"/>
    </x:row>
    <x:row r="883">
      <x:c r="A883" s="87"/>
      <x:c r="B883" s="88"/>
      <x:c r="D883" s="32"/>
      <x:c r="G883" s="74"/>
      <x:c r="H883" s="74"/>
      <x:c r="I883" s="74"/>
      <x:c r="J883" s="74"/>
      <x:c r="K883" s="74"/>
      <x:c r="L883" s="74"/>
      <x:c r="M883" s="74"/>
      <x:c r="N883" s="91"/>
      <x:c r="O883" s="91"/>
      <x:c r="P883" s="91"/>
      <x:c r="Q883" s="91"/>
      <x:c r="R883" s="91"/>
      <x:c r="S883" s="85"/>
      <x:c r="U883" s="86"/>
      <x:c r="V883" s="32"/>
    </x:row>
    <x:row r="884">
      <x:c r="A884" s="87"/>
      <x:c r="B884" s="88"/>
      <x:c r="D884" s="32"/>
      <x:c r="G884" s="74"/>
      <x:c r="H884" s="74"/>
      <x:c r="I884" s="74"/>
      <x:c r="J884" s="74"/>
      <x:c r="K884" s="74"/>
      <x:c r="L884" s="74"/>
      <x:c r="M884" s="74"/>
      <x:c r="N884" s="91"/>
      <x:c r="O884" s="91"/>
      <x:c r="P884" s="91"/>
      <x:c r="Q884" s="91"/>
      <x:c r="R884" s="91"/>
      <x:c r="S884" s="85"/>
      <x:c r="U884" s="86"/>
      <x:c r="V884" s="32"/>
    </x:row>
    <x:row r="885">
      <x:c r="A885" s="87"/>
      <x:c r="B885" s="88"/>
      <x:c r="D885" s="32"/>
      <x:c r="G885" s="74"/>
      <x:c r="H885" s="74"/>
      <x:c r="I885" s="74"/>
      <x:c r="J885" s="74"/>
      <x:c r="K885" s="74"/>
      <x:c r="L885" s="74"/>
      <x:c r="M885" s="74"/>
      <x:c r="N885" s="91"/>
      <x:c r="O885" s="91"/>
      <x:c r="P885" s="91"/>
      <x:c r="Q885" s="91"/>
      <x:c r="R885" s="91"/>
      <x:c r="S885" s="85"/>
      <x:c r="U885" s="86"/>
      <x:c r="V885" s="32"/>
    </x:row>
    <x:row r="886">
      <x:c r="A886" s="87"/>
      <x:c r="B886" s="88"/>
      <x:c r="D886" s="32"/>
      <x:c r="G886" s="74"/>
      <x:c r="H886" s="74"/>
      <x:c r="I886" s="74"/>
      <x:c r="J886" s="74"/>
      <x:c r="K886" s="74"/>
      <x:c r="L886" s="74"/>
      <x:c r="M886" s="74"/>
      <x:c r="N886" s="91"/>
      <x:c r="O886" s="91"/>
      <x:c r="P886" s="91"/>
      <x:c r="Q886" s="91"/>
      <x:c r="R886" s="91"/>
      <x:c r="S886" s="85"/>
      <x:c r="U886" s="86"/>
      <x:c r="V886" s="32"/>
    </x:row>
    <x:row r="887">
      <x:c r="A887" s="87"/>
      <x:c r="B887" s="88"/>
      <x:c r="D887" s="32"/>
      <x:c r="G887" s="74"/>
      <x:c r="H887" s="74"/>
      <x:c r="I887" s="74"/>
      <x:c r="J887" s="74"/>
      <x:c r="K887" s="74"/>
      <x:c r="L887" s="74"/>
      <x:c r="M887" s="74"/>
      <x:c r="N887" s="91"/>
      <x:c r="O887" s="91"/>
      <x:c r="P887" s="91"/>
      <x:c r="Q887" s="91"/>
      <x:c r="R887" s="91"/>
      <x:c r="S887" s="85"/>
      <x:c r="U887" s="86"/>
      <x:c r="V887" s="32"/>
    </x:row>
    <x:row r="888">
      <x:c r="A888" s="87"/>
      <x:c r="B888" s="88"/>
      <x:c r="D888" s="32"/>
      <x:c r="G888" s="74"/>
      <x:c r="H888" s="74"/>
      <x:c r="I888" s="74"/>
      <x:c r="J888" s="74"/>
      <x:c r="K888" s="74"/>
      <x:c r="L888" s="74"/>
      <x:c r="M888" s="74"/>
      <x:c r="N888" s="91"/>
      <x:c r="O888" s="91"/>
      <x:c r="P888" s="91"/>
      <x:c r="Q888" s="91"/>
      <x:c r="R888" s="91"/>
      <x:c r="S888" s="85"/>
      <x:c r="U888" s="86"/>
      <x:c r="V888" s="32"/>
    </x:row>
    <x:row r="889">
      <x:c r="A889" s="87"/>
      <x:c r="B889" s="88"/>
      <x:c r="D889" s="32"/>
      <x:c r="G889" s="74"/>
      <x:c r="H889" s="74"/>
      <x:c r="I889" s="74"/>
      <x:c r="J889" s="74"/>
      <x:c r="K889" s="74"/>
      <x:c r="L889" s="74"/>
      <x:c r="M889" s="74"/>
      <x:c r="N889" s="91"/>
      <x:c r="O889" s="91"/>
      <x:c r="P889" s="91"/>
      <x:c r="Q889" s="91"/>
      <x:c r="R889" s="91"/>
      <x:c r="S889" s="85"/>
      <x:c r="U889" s="86"/>
      <x:c r="V889" s="32"/>
    </x:row>
    <x:row r="890">
      <x:c r="A890" s="87"/>
      <x:c r="B890" s="88"/>
      <x:c r="D890" s="32"/>
      <x:c r="G890" s="74"/>
      <x:c r="H890" s="74"/>
      <x:c r="I890" s="74"/>
      <x:c r="J890" s="74"/>
      <x:c r="K890" s="74"/>
      <x:c r="L890" s="74"/>
      <x:c r="M890" s="74"/>
      <x:c r="N890" s="91"/>
      <x:c r="O890" s="91"/>
      <x:c r="P890" s="91"/>
      <x:c r="Q890" s="91"/>
      <x:c r="R890" s="91"/>
      <x:c r="S890" s="85"/>
      <x:c r="U890" s="86"/>
      <x:c r="V890" s="32"/>
    </x:row>
    <x:row r="891">
      <x:c r="A891" s="87"/>
      <x:c r="B891" s="88"/>
      <x:c r="D891" s="32"/>
      <x:c r="G891" s="74"/>
      <x:c r="H891" s="74"/>
      <x:c r="I891" s="74"/>
      <x:c r="J891" s="74"/>
      <x:c r="K891" s="74"/>
      <x:c r="L891" s="74"/>
      <x:c r="M891" s="74"/>
      <x:c r="N891" s="91"/>
      <x:c r="O891" s="91"/>
      <x:c r="P891" s="91"/>
      <x:c r="Q891" s="91"/>
      <x:c r="R891" s="91"/>
      <x:c r="S891" s="85"/>
      <x:c r="U891" s="86"/>
      <x:c r="V891" s="32"/>
    </x:row>
    <x:row r="892">
      <x:c r="A892" s="87"/>
      <x:c r="B892" s="88"/>
      <x:c r="D892" s="32"/>
      <x:c r="G892" s="74"/>
      <x:c r="H892" s="74"/>
      <x:c r="I892" s="74"/>
      <x:c r="J892" s="74"/>
      <x:c r="K892" s="74"/>
      <x:c r="L892" s="74"/>
      <x:c r="M892" s="74"/>
      <x:c r="N892" s="91"/>
      <x:c r="O892" s="91"/>
      <x:c r="P892" s="91"/>
      <x:c r="Q892" s="91"/>
      <x:c r="R892" s="91"/>
      <x:c r="S892" s="85"/>
      <x:c r="U892" s="86"/>
      <x:c r="V892" s="32"/>
    </x:row>
    <x:row r="893">
      <x:c r="A893" s="87"/>
      <x:c r="B893" s="88"/>
      <x:c r="D893" s="32"/>
      <x:c r="G893" s="74"/>
      <x:c r="H893" s="74"/>
      <x:c r="I893" s="74"/>
      <x:c r="J893" s="74"/>
      <x:c r="K893" s="74"/>
      <x:c r="L893" s="74"/>
      <x:c r="M893" s="74"/>
      <x:c r="N893" s="91"/>
      <x:c r="O893" s="91"/>
      <x:c r="P893" s="91"/>
      <x:c r="Q893" s="91"/>
      <x:c r="R893" s="91"/>
      <x:c r="S893" s="85"/>
      <x:c r="U893" s="86"/>
      <x:c r="V893" s="32"/>
    </x:row>
    <x:row r="894">
      <x:c r="A894" s="87"/>
      <x:c r="B894" s="88"/>
      <x:c r="D894" s="32"/>
      <x:c r="G894" s="74"/>
      <x:c r="H894" s="74"/>
      <x:c r="I894" s="74"/>
      <x:c r="J894" s="74"/>
      <x:c r="K894" s="74"/>
      <x:c r="L894" s="74"/>
      <x:c r="M894" s="74"/>
      <x:c r="N894" s="91"/>
      <x:c r="O894" s="91"/>
      <x:c r="P894" s="91"/>
      <x:c r="Q894" s="91"/>
      <x:c r="R894" s="91"/>
      <x:c r="S894" s="85"/>
      <x:c r="U894" s="86"/>
      <x:c r="V894" s="32"/>
    </x:row>
    <x:row r="895">
      <x:c r="A895" s="87"/>
      <x:c r="B895" s="88"/>
      <x:c r="D895" s="32"/>
      <x:c r="G895" s="74"/>
      <x:c r="H895" s="74"/>
      <x:c r="I895" s="74"/>
      <x:c r="J895" s="74"/>
      <x:c r="K895" s="74"/>
      <x:c r="L895" s="74"/>
      <x:c r="M895" s="74"/>
      <x:c r="N895" s="91"/>
      <x:c r="O895" s="91"/>
      <x:c r="P895" s="91"/>
      <x:c r="Q895" s="91"/>
      <x:c r="R895" s="91"/>
      <x:c r="S895" s="85"/>
      <x:c r="U895" s="86"/>
      <x:c r="V895" s="32"/>
    </x:row>
    <x:row r="896">
      <x:c r="A896" s="87"/>
      <x:c r="B896" s="88"/>
      <x:c r="D896" s="32"/>
      <x:c r="G896" s="74"/>
      <x:c r="H896" s="74"/>
      <x:c r="I896" s="74"/>
      <x:c r="J896" s="74"/>
      <x:c r="K896" s="74"/>
      <x:c r="L896" s="74"/>
      <x:c r="M896" s="74"/>
      <x:c r="N896" s="91"/>
      <x:c r="O896" s="91"/>
      <x:c r="P896" s="91"/>
      <x:c r="Q896" s="91"/>
      <x:c r="R896" s="91"/>
      <x:c r="S896" s="85"/>
      <x:c r="U896" s="86"/>
      <x:c r="V896" s="32"/>
    </x:row>
    <x:row r="897">
      <x:c r="A897" s="87"/>
      <x:c r="B897" s="88"/>
      <x:c r="D897" s="32"/>
      <x:c r="G897" s="74"/>
      <x:c r="H897" s="74"/>
      <x:c r="I897" s="74"/>
      <x:c r="J897" s="74"/>
      <x:c r="K897" s="74"/>
      <x:c r="L897" s="74"/>
      <x:c r="M897" s="74"/>
      <x:c r="N897" s="91"/>
      <x:c r="O897" s="91"/>
      <x:c r="P897" s="91"/>
      <x:c r="Q897" s="91"/>
      <x:c r="R897" s="91"/>
      <x:c r="S897" s="85"/>
      <x:c r="U897" s="86"/>
      <x:c r="V897" s="32"/>
    </x:row>
    <x:row r="898">
      <x:c r="A898" s="87"/>
      <x:c r="B898" s="88"/>
      <x:c r="D898" s="32"/>
      <x:c r="G898" s="74"/>
      <x:c r="H898" s="74"/>
      <x:c r="I898" s="74"/>
      <x:c r="J898" s="74"/>
      <x:c r="K898" s="74"/>
      <x:c r="L898" s="74"/>
      <x:c r="M898" s="74"/>
      <x:c r="N898" s="91"/>
      <x:c r="O898" s="91"/>
      <x:c r="P898" s="91"/>
      <x:c r="Q898" s="91"/>
      <x:c r="R898" s="91"/>
      <x:c r="S898" s="85"/>
      <x:c r="U898" s="86"/>
      <x:c r="V898" s="32"/>
    </x:row>
    <x:row r="899">
      <x:c r="A899" s="87"/>
      <x:c r="B899" s="88"/>
      <x:c r="D899" s="32"/>
      <x:c r="G899" s="74"/>
      <x:c r="H899" s="74"/>
      <x:c r="I899" s="74"/>
      <x:c r="J899" s="74"/>
      <x:c r="K899" s="74"/>
      <x:c r="L899" s="74"/>
      <x:c r="M899" s="74"/>
      <x:c r="N899" s="91"/>
      <x:c r="O899" s="91"/>
      <x:c r="P899" s="91"/>
      <x:c r="Q899" s="91"/>
      <x:c r="R899" s="91"/>
      <x:c r="S899" s="85"/>
      <x:c r="U899" s="86"/>
      <x:c r="V899" s="32"/>
    </x:row>
    <x:row r="900">
      <x:c r="A900" s="87"/>
      <x:c r="B900" s="88"/>
      <x:c r="D900" s="32"/>
      <x:c r="G900" s="74"/>
      <x:c r="H900" s="74"/>
      <x:c r="I900" s="74"/>
      <x:c r="J900" s="74"/>
      <x:c r="K900" s="74"/>
      <x:c r="L900" s="74"/>
      <x:c r="M900" s="74"/>
      <x:c r="N900" s="91"/>
      <x:c r="O900" s="91"/>
      <x:c r="P900" s="91"/>
      <x:c r="Q900" s="91"/>
      <x:c r="R900" s="91"/>
      <x:c r="S900" s="85"/>
      <x:c r="U900" s="86"/>
      <x:c r="V900" s="32"/>
    </x:row>
    <x:row r="901">
      <x:c r="A901" s="87"/>
      <x:c r="B901" s="88"/>
      <x:c r="D901" s="32"/>
      <x:c r="G901" s="74"/>
      <x:c r="H901" s="74"/>
      <x:c r="I901" s="74"/>
      <x:c r="J901" s="74"/>
      <x:c r="K901" s="74"/>
      <x:c r="L901" s="74"/>
      <x:c r="M901" s="74"/>
      <x:c r="N901" s="91"/>
      <x:c r="O901" s="91"/>
      <x:c r="P901" s="91"/>
      <x:c r="Q901" s="91"/>
      <x:c r="R901" s="91"/>
      <x:c r="S901" s="85"/>
      <x:c r="U901" s="86"/>
      <x:c r="V901" s="32"/>
    </x:row>
    <x:row r="902">
      <x:c r="A902" s="87"/>
      <x:c r="B902" s="88"/>
      <x:c r="D902" s="32"/>
      <x:c r="G902" s="74"/>
      <x:c r="H902" s="74"/>
      <x:c r="I902" s="74"/>
      <x:c r="J902" s="74"/>
      <x:c r="K902" s="74"/>
      <x:c r="L902" s="74"/>
      <x:c r="M902" s="74"/>
      <x:c r="N902" s="91"/>
      <x:c r="O902" s="91"/>
      <x:c r="P902" s="91"/>
      <x:c r="Q902" s="91"/>
      <x:c r="R902" s="91"/>
      <x:c r="S902" s="85"/>
      <x:c r="U902" s="86"/>
      <x:c r="V902" s="32"/>
    </x:row>
    <x:row r="903">
      <x:c r="A903" s="87"/>
      <x:c r="B903" s="88"/>
      <x:c r="D903" s="32"/>
      <x:c r="G903" s="74"/>
      <x:c r="H903" s="74"/>
      <x:c r="I903" s="74"/>
      <x:c r="J903" s="74"/>
      <x:c r="K903" s="74"/>
      <x:c r="L903" s="74"/>
      <x:c r="M903" s="74"/>
      <x:c r="N903" s="91"/>
      <x:c r="O903" s="91"/>
      <x:c r="P903" s="91"/>
      <x:c r="Q903" s="91"/>
      <x:c r="R903" s="91"/>
      <x:c r="S903" s="85"/>
      <x:c r="U903" s="86"/>
      <x:c r="V903" s="32"/>
    </x:row>
    <x:row r="904">
      <x:c r="A904" s="87"/>
      <x:c r="B904" s="88"/>
      <x:c r="D904" s="32"/>
      <x:c r="G904" s="74"/>
      <x:c r="H904" s="74"/>
      <x:c r="I904" s="74"/>
      <x:c r="J904" s="74"/>
      <x:c r="K904" s="74"/>
      <x:c r="L904" s="74"/>
      <x:c r="M904" s="74"/>
      <x:c r="N904" s="91"/>
      <x:c r="O904" s="91"/>
      <x:c r="P904" s="91"/>
      <x:c r="Q904" s="91"/>
      <x:c r="R904" s="91"/>
      <x:c r="S904" s="85"/>
      <x:c r="U904" s="86"/>
      <x:c r="V904" s="32"/>
    </x:row>
    <x:row r="905">
      <x:c r="A905" s="87"/>
      <x:c r="B905" s="88"/>
      <x:c r="D905" s="32"/>
      <x:c r="G905" s="74"/>
      <x:c r="H905" s="74"/>
      <x:c r="I905" s="74"/>
      <x:c r="J905" s="74"/>
      <x:c r="K905" s="74"/>
      <x:c r="L905" s="74"/>
      <x:c r="M905" s="74"/>
      <x:c r="N905" s="91"/>
      <x:c r="O905" s="91"/>
      <x:c r="P905" s="91"/>
      <x:c r="Q905" s="91"/>
      <x:c r="R905" s="91"/>
      <x:c r="S905" s="85"/>
      <x:c r="U905" s="86"/>
      <x:c r="V905" s="32"/>
    </x:row>
    <x:row r="906">
      <x:c r="A906" s="87"/>
      <x:c r="B906" s="88"/>
      <x:c r="D906" s="32"/>
      <x:c r="G906" s="74"/>
      <x:c r="H906" s="74"/>
      <x:c r="I906" s="74"/>
      <x:c r="J906" s="74"/>
      <x:c r="K906" s="74"/>
      <x:c r="L906" s="74"/>
      <x:c r="M906" s="74"/>
      <x:c r="N906" s="91"/>
      <x:c r="O906" s="91"/>
      <x:c r="P906" s="91"/>
      <x:c r="Q906" s="91"/>
      <x:c r="R906" s="91"/>
      <x:c r="S906" s="85"/>
      <x:c r="U906" s="86"/>
      <x:c r="V906" s="32"/>
    </x:row>
    <x:row r="907">
      <x:c r="A907" s="87"/>
      <x:c r="B907" s="88"/>
      <x:c r="D907" s="32"/>
      <x:c r="G907" s="74"/>
      <x:c r="H907" s="74"/>
      <x:c r="I907" s="74"/>
      <x:c r="J907" s="74"/>
      <x:c r="K907" s="74"/>
      <x:c r="L907" s="74"/>
      <x:c r="M907" s="74"/>
      <x:c r="N907" s="91"/>
      <x:c r="O907" s="91"/>
      <x:c r="P907" s="91"/>
      <x:c r="Q907" s="91"/>
      <x:c r="R907" s="91"/>
      <x:c r="S907" s="85"/>
      <x:c r="U907" s="86"/>
      <x:c r="V907" s="32"/>
    </x:row>
    <x:row r="908">
      <x:c r="A908" s="87"/>
      <x:c r="B908" s="88"/>
      <x:c r="D908" s="32"/>
      <x:c r="G908" s="74"/>
      <x:c r="H908" s="74"/>
      <x:c r="I908" s="74"/>
      <x:c r="J908" s="74"/>
      <x:c r="K908" s="74"/>
      <x:c r="L908" s="74"/>
      <x:c r="M908" s="74"/>
      <x:c r="N908" s="91"/>
      <x:c r="O908" s="91"/>
      <x:c r="P908" s="91"/>
      <x:c r="Q908" s="91"/>
      <x:c r="R908" s="91"/>
      <x:c r="S908" s="85"/>
      <x:c r="U908" s="86"/>
      <x:c r="V908" s="32"/>
    </x:row>
    <x:row r="909">
      <x:c r="A909" s="87"/>
      <x:c r="B909" s="88"/>
      <x:c r="D909" s="32"/>
      <x:c r="G909" s="74"/>
      <x:c r="H909" s="74"/>
      <x:c r="I909" s="74"/>
      <x:c r="J909" s="74"/>
      <x:c r="K909" s="74"/>
      <x:c r="L909" s="74"/>
      <x:c r="M909" s="74"/>
      <x:c r="N909" s="91"/>
      <x:c r="O909" s="91"/>
      <x:c r="P909" s="91"/>
      <x:c r="Q909" s="91"/>
      <x:c r="R909" s="91"/>
      <x:c r="S909" s="85"/>
      <x:c r="U909" s="86"/>
      <x:c r="V909" s="32"/>
    </x:row>
    <x:row r="910">
      <x:c r="A910" s="87"/>
      <x:c r="B910" s="88"/>
      <x:c r="D910" s="32"/>
      <x:c r="G910" s="74"/>
      <x:c r="H910" s="74"/>
      <x:c r="I910" s="74"/>
      <x:c r="J910" s="74"/>
      <x:c r="K910" s="74"/>
      <x:c r="L910" s="74"/>
      <x:c r="M910" s="74"/>
      <x:c r="N910" s="91"/>
      <x:c r="O910" s="91"/>
      <x:c r="P910" s="91"/>
      <x:c r="Q910" s="91"/>
      <x:c r="R910" s="91"/>
      <x:c r="S910" s="85"/>
      <x:c r="U910" s="86"/>
      <x:c r="V910" s="32"/>
    </x:row>
    <x:row r="911">
      <x:c r="A911" s="87"/>
      <x:c r="B911" s="88"/>
      <x:c r="D911" s="32"/>
      <x:c r="G911" s="74"/>
      <x:c r="H911" s="74"/>
      <x:c r="I911" s="74"/>
      <x:c r="J911" s="74"/>
      <x:c r="K911" s="74"/>
      <x:c r="L911" s="74"/>
      <x:c r="M911" s="74"/>
      <x:c r="N911" s="91"/>
      <x:c r="O911" s="91"/>
      <x:c r="P911" s="91"/>
      <x:c r="Q911" s="91"/>
      <x:c r="R911" s="91"/>
      <x:c r="S911" s="85"/>
      <x:c r="U911" s="86"/>
      <x:c r="V911" s="32"/>
    </x:row>
    <x:row r="912">
      <x:c r="A912" s="87"/>
      <x:c r="B912" s="88"/>
      <x:c r="D912" s="32"/>
      <x:c r="G912" s="74"/>
      <x:c r="H912" s="74"/>
      <x:c r="I912" s="74"/>
      <x:c r="J912" s="74"/>
      <x:c r="K912" s="74"/>
      <x:c r="L912" s="74"/>
      <x:c r="M912" s="74"/>
      <x:c r="N912" s="91"/>
      <x:c r="O912" s="91"/>
      <x:c r="P912" s="91"/>
      <x:c r="Q912" s="91"/>
      <x:c r="R912" s="91"/>
      <x:c r="S912" s="85"/>
      <x:c r="U912" s="86"/>
      <x:c r="V912" s="32"/>
    </x:row>
    <x:row r="913">
      <x:c r="A913" s="87"/>
      <x:c r="B913" s="88"/>
      <x:c r="D913" s="32"/>
      <x:c r="G913" s="74"/>
      <x:c r="H913" s="74"/>
      <x:c r="I913" s="74"/>
      <x:c r="J913" s="74"/>
      <x:c r="K913" s="74"/>
      <x:c r="L913" s="74"/>
      <x:c r="M913" s="74"/>
      <x:c r="N913" s="91"/>
      <x:c r="O913" s="91"/>
      <x:c r="P913" s="91"/>
      <x:c r="Q913" s="91"/>
      <x:c r="R913" s="91"/>
      <x:c r="S913" s="85"/>
      <x:c r="U913" s="86"/>
      <x:c r="V913" s="32"/>
    </x:row>
    <x:row r="914">
      <x:c r="A914" s="87"/>
      <x:c r="B914" s="88"/>
      <x:c r="D914" s="32"/>
      <x:c r="G914" s="74"/>
      <x:c r="H914" s="74"/>
      <x:c r="I914" s="74"/>
      <x:c r="J914" s="74"/>
      <x:c r="K914" s="74"/>
      <x:c r="L914" s="74"/>
      <x:c r="M914" s="74"/>
      <x:c r="N914" s="91"/>
      <x:c r="O914" s="91"/>
      <x:c r="P914" s="91"/>
      <x:c r="Q914" s="91"/>
      <x:c r="R914" s="91"/>
      <x:c r="S914" s="85"/>
      <x:c r="U914" s="86"/>
      <x:c r="V914" s="32"/>
    </x:row>
    <x:row r="915">
      <x:c r="A915" s="87"/>
      <x:c r="B915" s="88"/>
      <x:c r="D915" s="32"/>
      <x:c r="G915" s="74"/>
      <x:c r="H915" s="74"/>
      <x:c r="I915" s="74"/>
      <x:c r="J915" s="74"/>
      <x:c r="K915" s="74"/>
      <x:c r="L915" s="74"/>
      <x:c r="M915" s="74"/>
      <x:c r="N915" s="91"/>
      <x:c r="O915" s="91"/>
      <x:c r="P915" s="91"/>
      <x:c r="Q915" s="91"/>
      <x:c r="R915" s="91"/>
      <x:c r="S915" s="85"/>
      <x:c r="U915" s="86"/>
      <x:c r="V915" s="32"/>
    </x:row>
    <x:row r="916">
      <x:c r="A916" s="87"/>
      <x:c r="B916" s="88"/>
      <x:c r="D916" s="32"/>
      <x:c r="G916" s="74"/>
      <x:c r="H916" s="74"/>
      <x:c r="I916" s="74"/>
      <x:c r="J916" s="74"/>
      <x:c r="K916" s="74"/>
      <x:c r="L916" s="74"/>
      <x:c r="M916" s="74"/>
      <x:c r="N916" s="91"/>
      <x:c r="O916" s="91"/>
      <x:c r="P916" s="91"/>
      <x:c r="Q916" s="91"/>
      <x:c r="R916" s="91"/>
      <x:c r="S916" s="85"/>
      <x:c r="U916" s="86"/>
      <x:c r="V916" s="32"/>
    </x:row>
    <x:row r="917">
      <x:c r="A917" s="87"/>
      <x:c r="B917" s="88"/>
      <x:c r="D917" s="32"/>
      <x:c r="G917" s="74"/>
      <x:c r="H917" s="74"/>
      <x:c r="I917" s="74"/>
      <x:c r="J917" s="74"/>
      <x:c r="K917" s="74"/>
      <x:c r="L917" s="74"/>
      <x:c r="M917" s="74"/>
      <x:c r="N917" s="91"/>
      <x:c r="O917" s="91"/>
      <x:c r="P917" s="91"/>
      <x:c r="Q917" s="91"/>
      <x:c r="R917" s="91"/>
      <x:c r="S917" s="85"/>
      <x:c r="U917" s="86"/>
      <x:c r="V917" s="32"/>
    </x:row>
    <x:row r="918">
      <x:c r="A918" s="87"/>
      <x:c r="B918" s="88"/>
      <x:c r="D918" s="32"/>
      <x:c r="G918" s="74"/>
      <x:c r="H918" s="74"/>
      <x:c r="I918" s="74"/>
      <x:c r="J918" s="74"/>
      <x:c r="K918" s="74"/>
      <x:c r="L918" s="74"/>
      <x:c r="M918" s="74"/>
      <x:c r="N918" s="91"/>
      <x:c r="O918" s="91"/>
      <x:c r="P918" s="91"/>
      <x:c r="Q918" s="91"/>
      <x:c r="R918" s="91"/>
      <x:c r="S918" s="85"/>
      <x:c r="U918" s="86"/>
      <x:c r="V918" s="32"/>
    </x:row>
    <x:row r="919">
      <x:c r="A919" s="87"/>
      <x:c r="B919" s="88"/>
      <x:c r="D919" s="32"/>
      <x:c r="G919" s="74"/>
      <x:c r="H919" s="74"/>
      <x:c r="I919" s="74"/>
      <x:c r="J919" s="74"/>
      <x:c r="K919" s="74"/>
      <x:c r="L919" s="74"/>
      <x:c r="M919" s="74"/>
      <x:c r="N919" s="91"/>
      <x:c r="O919" s="91"/>
      <x:c r="P919" s="91"/>
      <x:c r="Q919" s="91"/>
      <x:c r="R919" s="91"/>
      <x:c r="S919" s="85"/>
      <x:c r="U919" s="86"/>
      <x:c r="V919" s="32"/>
    </x:row>
    <x:row r="920">
      <x:c r="A920" s="87"/>
      <x:c r="B920" s="88"/>
      <x:c r="D920" s="32"/>
      <x:c r="G920" s="74"/>
      <x:c r="H920" s="74"/>
      <x:c r="I920" s="74"/>
      <x:c r="J920" s="74"/>
      <x:c r="K920" s="74"/>
      <x:c r="L920" s="74"/>
      <x:c r="M920" s="74"/>
      <x:c r="N920" s="91"/>
      <x:c r="O920" s="91"/>
      <x:c r="P920" s="91"/>
      <x:c r="Q920" s="91"/>
      <x:c r="R920" s="91"/>
      <x:c r="S920" s="85"/>
      <x:c r="U920" s="86"/>
      <x:c r="V920" s="32"/>
    </x:row>
    <x:row r="921">
      <x:c r="A921" s="87"/>
      <x:c r="B921" s="88"/>
      <x:c r="D921" s="32"/>
      <x:c r="G921" s="74"/>
      <x:c r="H921" s="74"/>
      <x:c r="I921" s="74"/>
      <x:c r="J921" s="74"/>
      <x:c r="K921" s="74"/>
      <x:c r="L921" s="74"/>
      <x:c r="M921" s="74"/>
      <x:c r="N921" s="91"/>
      <x:c r="O921" s="91"/>
      <x:c r="P921" s="91"/>
      <x:c r="Q921" s="91"/>
      <x:c r="R921" s="91"/>
      <x:c r="S921" s="85"/>
      <x:c r="U921" s="86"/>
      <x:c r="V921" s="32"/>
    </x:row>
    <x:row r="922">
      <x:c r="A922" s="87"/>
      <x:c r="B922" s="88"/>
      <x:c r="D922" s="32"/>
      <x:c r="G922" s="74"/>
      <x:c r="H922" s="74"/>
      <x:c r="I922" s="74"/>
      <x:c r="J922" s="74"/>
      <x:c r="K922" s="74"/>
      <x:c r="L922" s="74"/>
      <x:c r="M922" s="74"/>
      <x:c r="N922" s="91"/>
      <x:c r="O922" s="91"/>
      <x:c r="P922" s="91"/>
      <x:c r="Q922" s="91"/>
      <x:c r="R922" s="91"/>
      <x:c r="S922" s="85"/>
      <x:c r="U922" s="86"/>
      <x:c r="V922" s="32"/>
    </x:row>
    <x:row r="923">
      <x:c r="A923" s="87"/>
      <x:c r="B923" s="88"/>
      <x:c r="D923" s="32"/>
      <x:c r="G923" s="74"/>
      <x:c r="H923" s="74"/>
      <x:c r="I923" s="74"/>
      <x:c r="J923" s="74"/>
      <x:c r="K923" s="74"/>
      <x:c r="L923" s="74"/>
      <x:c r="M923" s="74"/>
      <x:c r="N923" s="91"/>
      <x:c r="O923" s="91"/>
      <x:c r="P923" s="91"/>
      <x:c r="Q923" s="91"/>
      <x:c r="R923" s="91"/>
      <x:c r="S923" s="85"/>
      <x:c r="U923" s="86"/>
      <x:c r="V923" s="32"/>
    </x:row>
    <x:row r="924">
      <x:c r="A924" s="87"/>
      <x:c r="B924" s="88"/>
      <x:c r="D924" s="32"/>
      <x:c r="G924" s="74"/>
      <x:c r="H924" s="74"/>
      <x:c r="I924" s="74"/>
      <x:c r="J924" s="74"/>
      <x:c r="K924" s="74"/>
      <x:c r="L924" s="74"/>
      <x:c r="M924" s="74"/>
      <x:c r="N924" s="91"/>
      <x:c r="O924" s="91"/>
      <x:c r="P924" s="91"/>
      <x:c r="Q924" s="91"/>
      <x:c r="R924" s="91"/>
      <x:c r="S924" s="85"/>
      <x:c r="U924" s="86"/>
      <x:c r="V924" s="32"/>
    </x:row>
    <x:row r="925">
      <x:c r="A925" s="87"/>
      <x:c r="B925" s="88"/>
      <x:c r="D925" s="32"/>
      <x:c r="G925" s="74"/>
      <x:c r="H925" s="74"/>
      <x:c r="I925" s="74"/>
      <x:c r="J925" s="74"/>
      <x:c r="K925" s="74"/>
      <x:c r="L925" s="74"/>
      <x:c r="M925" s="74"/>
      <x:c r="N925" s="91"/>
      <x:c r="O925" s="91"/>
      <x:c r="P925" s="91"/>
      <x:c r="Q925" s="91"/>
      <x:c r="R925" s="91"/>
      <x:c r="S925" s="85"/>
      <x:c r="U925" s="86"/>
      <x:c r="V925" s="32"/>
    </x:row>
    <x:row r="926">
      <x:c r="A926" s="87"/>
      <x:c r="B926" s="88"/>
      <x:c r="D926" s="32"/>
      <x:c r="G926" s="74"/>
      <x:c r="H926" s="74"/>
      <x:c r="I926" s="74"/>
      <x:c r="J926" s="74"/>
      <x:c r="K926" s="74"/>
      <x:c r="L926" s="74"/>
      <x:c r="M926" s="74"/>
      <x:c r="N926" s="91"/>
      <x:c r="O926" s="91"/>
      <x:c r="P926" s="91"/>
      <x:c r="Q926" s="91"/>
      <x:c r="R926" s="91"/>
      <x:c r="S926" s="85"/>
      <x:c r="U926" s="86"/>
      <x:c r="V926" s="32"/>
    </x:row>
    <x:row r="927">
      <x:c r="A927" s="87"/>
      <x:c r="B927" s="88"/>
      <x:c r="D927" s="32"/>
      <x:c r="G927" s="74"/>
      <x:c r="H927" s="74"/>
      <x:c r="I927" s="74"/>
      <x:c r="J927" s="74"/>
      <x:c r="K927" s="74"/>
      <x:c r="L927" s="74"/>
      <x:c r="M927" s="74"/>
      <x:c r="N927" s="91"/>
      <x:c r="O927" s="91"/>
      <x:c r="P927" s="91"/>
      <x:c r="Q927" s="91"/>
      <x:c r="R927" s="91"/>
      <x:c r="S927" s="85"/>
      <x:c r="U927" s="86"/>
      <x:c r="V927" s="32"/>
    </x:row>
    <x:row r="928">
      <x:c r="A928" s="87"/>
      <x:c r="B928" s="88"/>
      <x:c r="D928" s="32"/>
      <x:c r="G928" s="74"/>
      <x:c r="H928" s="74"/>
      <x:c r="I928" s="74"/>
      <x:c r="J928" s="74"/>
      <x:c r="K928" s="74"/>
      <x:c r="L928" s="74"/>
      <x:c r="M928" s="74"/>
      <x:c r="N928" s="91"/>
      <x:c r="O928" s="91"/>
      <x:c r="P928" s="91"/>
      <x:c r="Q928" s="91"/>
      <x:c r="R928" s="91"/>
      <x:c r="S928" s="85"/>
      <x:c r="U928" s="86"/>
      <x:c r="V928" s="32"/>
    </x:row>
    <x:row r="929">
      <x:c r="A929" s="87"/>
      <x:c r="B929" s="88"/>
      <x:c r="D929" s="32"/>
      <x:c r="G929" s="74"/>
      <x:c r="H929" s="74"/>
      <x:c r="I929" s="74"/>
      <x:c r="J929" s="74"/>
      <x:c r="K929" s="74"/>
      <x:c r="L929" s="74"/>
      <x:c r="M929" s="74"/>
      <x:c r="N929" s="91"/>
      <x:c r="O929" s="91"/>
      <x:c r="P929" s="91"/>
      <x:c r="Q929" s="91"/>
      <x:c r="R929" s="91"/>
      <x:c r="S929" s="85"/>
      <x:c r="U929" s="86"/>
      <x:c r="V929" s="32"/>
    </x:row>
    <x:row r="930">
      <x:c r="A930" s="87"/>
      <x:c r="B930" s="88"/>
      <x:c r="D930" s="32"/>
      <x:c r="G930" s="74"/>
      <x:c r="H930" s="74"/>
      <x:c r="I930" s="74"/>
      <x:c r="J930" s="74"/>
      <x:c r="K930" s="74"/>
      <x:c r="L930" s="74"/>
      <x:c r="M930" s="74"/>
      <x:c r="N930" s="91"/>
      <x:c r="O930" s="91"/>
      <x:c r="P930" s="91"/>
      <x:c r="Q930" s="91"/>
      <x:c r="R930" s="91"/>
      <x:c r="S930" s="85"/>
      <x:c r="U930" s="86"/>
      <x:c r="V930" s="32"/>
    </x:row>
    <x:row r="931">
      <x:c r="A931" s="87"/>
      <x:c r="B931" s="88"/>
      <x:c r="D931" s="32"/>
      <x:c r="G931" s="74"/>
      <x:c r="H931" s="74"/>
      <x:c r="I931" s="74"/>
      <x:c r="J931" s="74"/>
      <x:c r="K931" s="74"/>
      <x:c r="L931" s="74"/>
      <x:c r="M931" s="74"/>
      <x:c r="N931" s="91"/>
      <x:c r="O931" s="91"/>
      <x:c r="P931" s="91"/>
      <x:c r="Q931" s="91"/>
      <x:c r="R931" s="91"/>
      <x:c r="S931" s="85"/>
      <x:c r="U931" s="86"/>
      <x:c r="V931" s="32"/>
    </x:row>
    <x:row r="932">
      <x:c r="A932" s="87"/>
      <x:c r="B932" s="88"/>
      <x:c r="D932" s="32"/>
      <x:c r="G932" s="74"/>
      <x:c r="H932" s="74"/>
      <x:c r="I932" s="74"/>
      <x:c r="J932" s="74"/>
      <x:c r="K932" s="74"/>
      <x:c r="L932" s="74"/>
      <x:c r="M932" s="74"/>
      <x:c r="N932" s="91"/>
      <x:c r="O932" s="91"/>
      <x:c r="P932" s="91"/>
      <x:c r="Q932" s="91"/>
      <x:c r="R932" s="91"/>
      <x:c r="S932" s="85"/>
      <x:c r="U932" s="86"/>
      <x:c r="V932" s="32"/>
    </x:row>
    <x:row r="933">
      <x:c r="A933" s="87"/>
      <x:c r="B933" s="88"/>
      <x:c r="D933" s="32"/>
      <x:c r="G933" s="74"/>
      <x:c r="H933" s="74"/>
      <x:c r="I933" s="74"/>
      <x:c r="J933" s="74"/>
      <x:c r="K933" s="74"/>
      <x:c r="L933" s="74"/>
      <x:c r="M933" s="74"/>
      <x:c r="N933" s="91"/>
      <x:c r="O933" s="91"/>
      <x:c r="P933" s="91"/>
      <x:c r="Q933" s="91"/>
      <x:c r="R933" s="91"/>
      <x:c r="S933" s="85"/>
      <x:c r="U933" s="86"/>
      <x:c r="V933" s="32"/>
    </x:row>
    <x:row r="934">
      <x:c r="A934" s="87"/>
      <x:c r="B934" s="88"/>
      <x:c r="D934" s="32"/>
      <x:c r="G934" s="74"/>
      <x:c r="H934" s="74"/>
      <x:c r="I934" s="74"/>
      <x:c r="J934" s="74"/>
      <x:c r="K934" s="74"/>
      <x:c r="L934" s="74"/>
      <x:c r="M934" s="74"/>
      <x:c r="N934" s="91"/>
      <x:c r="O934" s="91"/>
      <x:c r="P934" s="91"/>
      <x:c r="Q934" s="91"/>
      <x:c r="R934" s="91"/>
      <x:c r="S934" s="85"/>
      <x:c r="U934" s="86"/>
      <x:c r="V934" s="32"/>
    </x:row>
    <x:row r="935">
      <x:c r="A935" s="87"/>
      <x:c r="B935" s="88"/>
      <x:c r="D935" s="32"/>
      <x:c r="G935" s="74"/>
      <x:c r="H935" s="74"/>
      <x:c r="I935" s="74"/>
      <x:c r="J935" s="74"/>
      <x:c r="K935" s="74"/>
      <x:c r="L935" s="74"/>
      <x:c r="M935" s="74"/>
      <x:c r="N935" s="91"/>
      <x:c r="O935" s="91"/>
      <x:c r="P935" s="91"/>
      <x:c r="Q935" s="91"/>
      <x:c r="R935" s="91"/>
      <x:c r="S935" s="85"/>
      <x:c r="U935" s="86"/>
      <x:c r="V935" s="32"/>
    </x:row>
    <x:row r="936">
      <x:c r="A936" s="87"/>
      <x:c r="B936" s="88"/>
      <x:c r="D936" s="32"/>
      <x:c r="G936" s="74"/>
      <x:c r="H936" s="74"/>
      <x:c r="I936" s="74"/>
      <x:c r="J936" s="74"/>
      <x:c r="K936" s="74"/>
      <x:c r="L936" s="74"/>
      <x:c r="M936" s="74"/>
      <x:c r="N936" s="91"/>
      <x:c r="O936" s="91"/>
      <x:c r="P936" s="91"/>
      <x:c r="Q936" s="91"/>
      <x:c r="R936" s="91"/>
      <x:c r="S936" s="85"/>
      <x:c r="U936" s="86"/>
      <x:c r="V936" s="32"/>
    </x:row>
    <x:row r="937">
      <x:c r="A937" s="87"/>
      <x:c r="B937" s="88"/>
      <x:c r="D937" s="32"/>
      <x:c r="G937" s="74"/>
      <x:c r="H937" s="74"/>
      <x:c r="I937" s="74"/>
      <x:c r="J937" s="74"/>
      <x:c r="K937" s="74"/>
      <x:c r="L937" s="74"/>
      <x:c r="M937" s="74"/>
      <x:c r="N937" s="91"/>
      <x:c r="O937" s="91"/>
      <x:c r="P937" s="91"/>
      <x:c r="Q937" s="91"/>
      <x:c r="R937" s="91"/>
      <x:c r="S937" s="85"/>
      <x:c r="U937" s="86"/>
      <x:c r="V937" s="32"/>
    </x:row>
    <x:row r="938">
      <x:c r="A938" s="87"/>
      <x:c r="B938" s="88"/>
      <x:c r="D938" s="32"/>
      <x:c r="G938" s="74"/>
      <x:c r="H938" s="74"/>
      <x:c r="I938" s="74"/>
      <x:c r="J938" s="74"/>
      <x:c r="K938" s="74"/>
      <x:c r="L938" s="74"/>
      <x:c r="M938" s="74"/>
      <x:c r="N938" s="91"/>
      <x:c r="O938" s="91"/>
      <x:c r="P938" s="91"/>
      <x:c r="Q938" s="91"/>
      <x:c r="R938" s="91"/>
      <x:c r="S938" s="85"/>
      <x:c r="U938" s="86"/>
      <x:c r="V938" s="32"/>
    </x:row>
    <x:row r="939">
      <x:c r="A939" s="87"/>
      <x:c r="B939" s="88"/>
      <x:c r="D939" s="32"/>
      <x:c r="G939" s="74"/>
      <x:c r="H939" s="74"/>
      <x:c r="I939" s="74"/>
      <x:c r="J939" s="74"/>
      <x:c r="K939" s="74"/>
      <x:c r="L939" s="74"/>
      <x:c r="M939" s="74"/>
      <x:c r="N939" s="91"/>
      <x:c r="O939" s="91"/>
      <x:c r="P939" s="91"/>
      <x:c r="Q939" s="91"/>
      <x:c r="R939" s="91"/>
      <x:c r="S939" s="85"/>
      <x:c r="U939" s="86"/>
      <x:c r="V939" s="32"/>
    </x:row>
    <x:row r="940">
      <x:c r="A940" s="87"/>
      <x:c r="B940" s="88"/>
      <x:c r="D940" s="32"/>
      <x:c r="G940" s="74"/>
      <x:c r="H940" s="74"/>
      <x:c r="I940" s="74"/>
      <x:c r="J940" s="74"/>
      <x:c r="K940" s="74"/>
      <x:c r="L940" s="74"/>
      <x:c r="M940" s="74"/>
      <x:c r="N940" s="91"/>
      <x:c r="O940" s="91"/>
      <x:c r="P940" s="91"/>
      <x:c r="Q940" s="91"/>
      <x:c r="R940" s="91"/>
      <x:c r="S940" s="85"/>
      <x:c r="U940" s="86"/>
      <x:c r="V940" s="32"/>
    </x:row>
    <x:row r="941">
      <x:c r="A941" s="87"/>
      <x:c r="B941" s="88"/>
      <x:c r="D941" s="32"/>
      <x:c r="G941" s="74"/>
      <x:c r="H941" s="74"/>
      <x:c r="I941" s="74"/>
      <x:c r="J941" s="74"/>
      <x:c r="K941" s="74"/>
      <x:c r="L941" s="74"/>
      <x:c r="M941" s="74"/>
      <x:c r="N941" s="91"/>
      <x:c r="O941" s="91"/>
      <x:c r="P941" s="91"/>
      <x:c r="Q941" s="91"/>
      <x:c r="R941" s="91"/>
      <x:c r="S941" s="85"/>
      <x:c r="U941" s="86"/>
      <x:c r="V941" s="32"/>
    </x:row>
    <x:row r="942">
      <x:c r="A942" s="87"/>
      <x:c r="B942" s="88"/>
      <x:c r="D942" s="32"/>
      <x:c r="G942" s="74"/>
      <x:c r="H942" s="74"/>
      <x:c r="I942" s="74"/>
      <x:c r="J942" s="74"/>
      <x:c r="K942" s="74"/>
      <x:c r="L942" s="74"/>
      <x:c r="M942" s="74"/>
      <x:c r="N942" s="91"/>
      <x:c r="O942" s="91"/>
      <x:c r="P942" s="91"/>
      <x:c r="Q942" s="91"/>
      <x:c r="R942" s="91"/>
      <x:c r="S942" s="85"/>
      <x:c r="U942" s="86"/>
      <x:c r="V942" s="32"/>
    </x:row>
    <x:row r="943">
      <x:c r="A943" s="87"/>
      <x:c r="B943" s="88"/>
      <x:c r="D943" s="32"/>
      <x:c r="G943" s="74"/>
      <x:c r="H943" s="74"/>
      <x:c r="I943" s="74"/>
      <x:c r="J943" s="74"/>
      <x:c r="K943" s="74"/>
      <x:c r="L943" s="74"/>
      <x:c r="M943" s="74"/>
      <x:c r="N943" s="91"/>
      <x:c r="O943" s="91"/>
      <x:c r="P943" s="91"/>
      <x:c r="Q943" s="91"/>
      <x:c r="R943" s="91"/>
      <x:c r="S943" s="85"/>
      <x:c r="U943" s="86"/>
      <x:c r="V943" s="32"/>
    </x:row>
    <x:row r="944">
      <x:c r="A944" s="87"/>
      <x:c r="B944" s="88"/>
      <x:c r="D944" s="32"/>
      <x:c r="G944" s="74"/>
      <x:c r="H944" s="74"/>
      <x:c r="I944" s="74"/>
      <x:c r="J944" s="74"/>
      <x:c r="K944" s="74"/>
      <x:c r="L944" s="74"/>
      <x:c r="M944" s="74"/>
      <x:c r="N944" s="91"/>
      <x:c r="O944" s="91"/>
      <x:c r="P944" s="91"/>
      <x:c r="Q944" s="91"/>
      <x:c r="R944" s="91"/>
      <x:c r="S944" s="85"/>
      <x:c r="U944" s="86"/>
      <x:c r="V944" s="32"/>
    </x:row>
    <x:row r="945">
      <x:c r="A945" s="87"/>
      <x:c r="B945" s="88"/>
      <x:c r="D945" s="32"/>
      <x:c r="G945" s="74"/>
      <x:c r="H945" s="74"/>
      <x:c r="I945" s="74"/>
      <x:c r="J945" s="74"/>
      <x:c r="K945" s="74"/>
      <x:c r="L945" s="74"/>
      <x:c r="M945" s="74"/>
      <x:c r="N945" s="91"/>
      <x:c r="O945" s="91"/>
      <x:c r="P945" s="91"/>
      <x:c r="Q945" s="91"/>
      <x:c r="R945" s="91"/>
      <x:c r="S945" s="85"/>
      <x:c r="U945" s="86"/>
      <x:c r="V945" s="32"/>
    </x:row>
    <x:row r="946">
      <x:c r="A946" s="87"/>
      <x:c r="B946" s="88"/>
      <x:c r="D946" s="32"/>
      <x:c r="G946" s="74"/>
      <x:c r="H946" s="74"/>
      <x:c r="I946" s="74"/>
      <x:c r="J946" s="74"/>
      <x:c r="K946" s="74"/>
      <x:c r="L946" s="74"/>
      <x:c r="M946" s="74"/>
      <x:c r="N946" s="91"/>
      <x:c r="O946" s="91"/>
      <x:c r="P946" s="91"/>
      <x:c r="Q946" s="91"/>
      <x:c r="R946" s="91"/>
      <x:c r="S946" s="85"/>
      <x:c r="U946" s="86"/>
      <x:c r="V946" s="32"/>
    </x:row>
    <x:row r="947">
      <x:c r="A947" s="87"/>
      <x:c r="B947" s="88"/>
      <x:c r="D947" s="32"/>
      <x:c r="G947" s="74"/>
      <x:c r="H947" s="74"/>
      <x:c r="I947" s="74"/>
      <x:c r="J947" s="74"/>
      <x:c r="K947" s="74"/>
      <x:c r="L947" s="74"/>
      <x:c r="M947" s="74"/>
      <x:c r="N947" s="91"/>
      <x:c r="O947" s="91"/>
      <x:c r="P947" s="91"/>
      <x:c r="Q947" s="91"/>
      <x:c r="R947" s="91"/>
      <x:c r="S947" s="85"/>
      <x:c r="U947" s="86"/>
      <x:c r="V947" s="32"/>
    </x:row>
    <x:row r="948">
      <x:c r="A948" s="87"/>
      <x:c r="B948" s="88"/>
      <x:c r="D948" s="32"/>
      <x:c r="G948" s="74"/>
      <x:c r="H948" s="74"/>
      <x:c r="I948" s="74"/>
      <x:c r="J948" s="74"/>
      <x:c r="K948" s="74"/>
      <x:c r="L948" s="74"/>
      <x:c r="M948" s="74"/>
      <x:c r="N948" s="91"/>
      <x:c r="O948" s="91"/>
      <x:c r="P948" s="91"/>
      <x:c r="Q948" s="91"/>
      <x:c r="R948" s="91"/>
      <x:c r="S948" s="85"/>
      <x:c r="U948" s="86"/>
      <x:c r="V948" s="32"/>
    </x:row>
    <x:row r="949">
      <x:c r="A949" s="87"/>
      <x:c r="B949" s="88"/>
      <x:c r="D949" s="32"/>
      <x:c r="G949" s="74"/>
      <x:c r="H949" s="74"/>
      <x:c r="I949" s="74"/>
      <x:c r="J949" s="74"/>
      <x:c r="K949" s="74"/>
      <x:c r="L949" s="74"/>
      <x:c r="M949" s="74"/>
      <x:c r="N949" s="91"/>
      <x:c r="O949" s="91"/>
      <x:c r="P949" s="91"/>
      <x:c r="Q949" s="91"/>
      <x:c r="R949" s="91"/>
      <x:c r="S949" s="85"/>
      <x:c r="U949" s="86"/>
      <x:c r="V949" s="32"/>
    </x:row>
    <x:row r="950">
      <x:c r="A950" s="87"/>
      <x:c r="B950" s="88"/>
      <x:c r="D950" s="32"/>
      <x:c r="G950" s="74"/>
      <x:c r="H950" s="74"/>
      <x:c r="I950" s="74"/>
      <x:c r="J950" s="74"/>
      <x:c r="K950" s="74"/>
      <x:c r="L950" s="74"/>
      <x:c r="M950" s="74"/>
      <x:c r="N950" s="91"/>
      <x:c r="O950" s="91"/>
      <x:c r="P950" s="91"/>
      <x:c r="Q950" s="91"/>
      <x:c r="R950" s="91"/>
      <x:c r="S950" s="85"/>
      <x:c r="U950" s="86"/>
      <x:c r="V950" s="32"/>
    </x:row>
    <x:row r="951">
      <x:c r="A951" s="87"/>
      <x:c r="B951" s="88"/>
      <x:c r="D951" s="32"/>
      <x:c r="G951" s="74"/>
      <x:c r="H951" s="74"/>
      <x:c r="I951" s="74"/>
      <x:c r="J951" s="74"/>
      <x:c r="K951" s="74"/>
      <x:c r="L951" s="74"/>
      <x:c r="M951" s="74"/>
      <x:c r="N951" s="91"/>
      <x:c r="O951" s="91"/>
      <x:c r="P951" s="91"/>
      <x:c r="Q951" s="91"/>
      <x:c r="R951" s="91"/>
      <x:c r="S951" s="85"/>
      <x:c r="U951" s="86"/>
      <x:c r="V951" s="32"/>
    </x:row>
    <x:row r="952">
      <x:c r="A952" s="87"/>
      <x:c r="B952" s="88"/>
      <x:c r="D952" s="32"/>
      <x:c r="G952" s="74"/>
      <x:c r="H952" s="74"/>
      <x:c r="I952" s="74"/>
      <x:c r="J952" s="74"/>
      <x:c r="K952" s="74"/>
      <x:c r="L952" s="74"/>
      <x:c r="M952" s="74"/>
      <x:c r="N952" s="91"/>
      <x:c r="O952" s="91"/>
      <x:c r="P952" s="91"/>
      <x:c r="Q952" s="91"/>
      <x:c r="R952" s="91"/>
      <x:c r="S952" s="85"/>
      <x:c r="U952" s="86"/>
      <x:c r="V952" s="32"/>
    </x:row>
    <x:row r="953">
      <x:c r="A953" s="87"/>
      <x:c r="B953" s="88"/>
      <x:c r="D953" s="32"/>
      <x:c r="G953" s="74"/>
      <x:c r="H953" s="74"/>
      <x:c r="I953" s="74"/>
      <x:c r="J953" s="74"/>
      <x:c r="K953" s="74"/>
      <x:c r="L953" s="74"/>
      <x:c r="M953" s="74"/>
      <x:c r="N953" s="91"/>
      <x:c r="O953" s="91"/>
      <x:c r="P953" s="91"/>
      <x:c r="Q953" s="91"/>
      <x:c r="R953" s="91"/>
      <x:c r="S953" s="85"/>
      <x:c r="U953" s="86"/>
      <x:c r="V953" s="32"/>
    </x:row>
    <x:row r="954">
      <x:c r="A954" s="87"/>
      <x:c r="B954" s="88"/>
      <x:c r="D954" s="32"/>
      <x:c r="G954" s="74"/>
      <x:c r="H954" s="74"/>
      <x:c r="I954" s="74"/>
      <x:c r="J954" s="74"/>
      <x:c r="K954" s="74"/>
      <x:c r="L954" s="74"/>
      <x:c r="M954" s="74"/>
      <x:c r="N954" s="91"/>
      <x:c r="O954" s="91"/>
      <x:c r="P954" s="91"/>
      <x:c r="Q954" s="91"/>
      <x:c r="R954" s="91"/>
      <x:c r="S954" s="85"/>
      <x:c r="U954" s="86"/>
      <x:c r="V954" s="32"/>
    </x:row>
    <x:row r="955">
      <x:c r="A955" s="87"/>
      <x:c r="B955" s="88"/>
      <x:c r="D955" s="32"/>
      <x:c r="G955" s="74"/>
      <x:c r="H955" s="74"/>
      <x:c r="I955" s="74"/>
      <x:c r="J955" s="74"/>
      <x:c r="K955" s="74"/>
      <x:c r="L955" s="74"/>
      <x:c r="M955" s="74"/>
      <x:c r="N955" s="91"/>
      <x:c r="O955" s="91"/>
      <x:c r="P955" s="91"/>
      <x:c r="Q955" s="91"/>
      <x:c r="R955" s="91"/>
      <x:c r="S955" s="85"/>
      <x:c r="U955" s="86"/>
      <x:c r="V955" s="32"/>
    </x:row>
    <x:row r="956">
      <x:c r="A956" s="87"/>
      <x:c r="B956" s="88"/>
      <x:c r="D956" s="32"/>
      <x:c r="G956" s="74"/>
      <x:c r="H956" s="74"/>
      <x:c r="I956" s="74"/>
      <x:c r="J956" s="74"/>
      <x:c r="K956" s="74"/>
      <x:c r="L956" s="74"/>
      <x:c r="M956" s="74"/>
      <x:c r="N956" s="91"/>
      <x:c r="O956" s="91"/>
      <x:c r="P956" s="91"/>
      <x:c r="Q956" s="91"/>
      <x:c r="R956" s="91"/>
      <x:c r="S956" s="85"/>
      <x:c r="U956" s="86"/>
      <x:c r="V956" s="32"/>
    </x:row>
    <x:row r="957">
      <x:c r="A957" s="87"/>
      <x:c r="B957" s="88"/>
      <x:c r="D957" s="32"/>
      <x:c r="G957" s="74"/>
      <x:c r="H957" s="74"/>
      <x:c r="I957" s="74"/>
      <x:c r="J957" s="74"/>
      <x:c r="K957" s="74"/>
      <x:c r="L957" s="74"/>
      <x:c r="M957" s="74"/>
      <x:c r="N957" s="91"/>
      <x:c r="O957" s="91"/>
      <x:c r="P957" s="91"/>
      <x:c r="Q957" s="91"/>
      <x:c r="R957" s="91"/>
      <x:c r="S957" s="85"/>
      <x:c r="U957" s="86"/>
      <x:c r="V957" s="32"/>
    </x:row>
    <x:row r="958">
      <x:c r="A958" s="87"/>
      <x:c r="B958" s="88"/>
      <x:c r="D958" s="32"/>
      <x:c r="G958" s="74"/>
      <x:c r="H958" s="74"/>
      <x:c r="I958" s="74"/>
      <x:c r="J958" s="74"/>
      <x:c r="K958" s="74"/>
      <x:c r="L958" s="74"/>
      <x:c r="M958" s="74"/>
      <x:c r="N958" s="91"/>
      <x:c r="O958" s="91"/>
      <x:c r="P958" s="91"/>
      <x:c r="Q958" s="91"/>
      <x:c r="R958" s="91"/>
      <x:c r="S958" s="85"/>
      <x:c r="U958" s="86"/>
      <x:c r="V958" s="32"/>
    </x:row>
    <x:row r="959">
      <x:c r="A959" s="87"/>
      <x:c r="B959" s="88"/>
      <x:c r="D959" s="32"/>
      <x:c r="G959" s="74"/>
      <x:c r="H959" s="74"/>
      <x:c r="I959" s="74"/>
      <x:c r="J959" s="74"/>
      <x:c r="K959" s="74"/>
      <x:c r="L959" s="74"/>
      <x:c r="M959" s="74"/>
      <x:c r="N959" s="91"/>
      <x:c r="O959" s="91"/>
      <x:c r="P959" s="91"/>
      <x:c r="Q959" s="91"/>
      <x:c r="R959" s="91"/>
      <x:c r="S959" s="85"/>
      <x:c r="U959" s="86"/>
      <x:c r="V959" s="32"/>
    </x:row>
    <x:row r="960">
      <x:c r="A960" s="87"/>
      <x:c r="B960" s="88"/>
      <x:c r="D960" s="32"/>
      <x:c r="G960" s="74"/>
      <x:c r="H960" s="74"/>
      <x:c r="I960" s="74"/>
      <x:c r="J960" s="74"/>
      <x:c r="K960" s="74"/>
      <x:c r="L960" s="74"/>
      <x:c r="M960" s="74"/>
      <x:c r="N960" s="91"/>
      <x:c r="O960" s="91"/>
      <x:c r="P960" s="91"/>
      <x:c r="Q960" s="91"/>
      <x:c r="R960" s="91"/>
      <x:c r="S960" s="85"/>
      <x:c r="U960" s="86"/>
      <x:c r="V960" s="32"/>
    </x:row>
    <x:row r="961">
      <x:c r="A961" s="87"/>
      <x:c r="B961" s="88"/>
      <x:c r="D961" s="32"/>
      <x:c r="G961" s="74"/>
      <x:c r="H961" s="74"/>
      <x:c r="I961" s="74"/>
      <x:c r="J961" s="74"/>
      <x:c r="K961" s="74"/>
      <x:c r="L961" s="74"/>
      <x:c r="M961" s="74"/>
      <x:c r="N961" s="91"/>
      <x:c r="O961" s="91"/>
      <x:c r="P961" s="91"/>
      <x:c r="Q961" s="91"/>
      <x:c r="R961" s="91"/>
      <x:c r="S961" s="85"/>
      <x:c r="U961" s="86"/>
      <x:c r="V961" s="32"/>
    </x:row>
    <x:row r="962">
      <x:c r="A962" s="87"/>
      <x:c r="B962" s="88"/>
      <x:c r="D962" s="32"/>
      <x:c r="G962" s="74"/>
      <x:c r="H962" s="74"/>
      <x:c r="I962" s="74"/>
      <x:c r="J962" s="74"/>
      <x:c r="K962" s="74"/>
      <x:c r="L962" s="74"/>
      <x:c r="M962" s="74"/>
      <x:c r="N962" s="91"/>
      <x:c r="O962" s="91"/>
      <x:c r="P962" s="91"/>
      <x:c r="Q962" s="91"/>
      <x:c r="R962" s="91"/>
      <x:c r="S962" s="85"/>
      <x:c r="U962" s="86"/>
      <x:c r="V962" s="32"/>
    </x:row>
    <x:row r="963">
      <x:c r="A963" s="87"/>
      <x:c r="B963" s="88"/>
      <x:c r="D963" s="32"/>
      <x:c r="G963" s="74"/>
      <x:c r="H963" s="74"/>
      <x:c r="I963" s="74"/>
      <x:c r="J963" s="74"/>
      <x:c r="K963" s="74"/>
      <x:c r="L963" s="74"/>
      <x:c r="M963" s="74"/>
      <x:c r="N963" s="91"/>
      <x:c r="O963" s="91"/>
      <x:c r="P963" s="91"/>
      <x:c r="Q963" s="91"/>
      <x:c r="R963" s="91"/>
      <x:c r="S963" s="85"/>
      <x:c r="U963" s="86"/>
      <x:c r="V963" s="32"/>
    </x:row>
    <x:row r="964">
      <x:c r="A964" s="87"/>
      <x:c r="B964" s="88"/>
      <x:c r="D964" s="32"/>
      <x:c r="G964" s="74"/>
      <x:c r="H964" s="74"/>
      <x:c r="I964" s="74"/>
      <x:c r="J964" s="74"/>
      <x:c r="K964" s="74"/>
      <x:c r="L964" s="74"/>
      <x:c r="M964" s="74"/>
      <x:c r="N964" s="91"/>
      <x:c r="O964" s="91"/>
      <x:c r="P964" s="91"/>
      <x:c r="Q964" s="91"/>
      <x:c r="R964" s="91"/>
      <x:c r="S964" s="85"/>
      <x:c r="U964" s="86"/>
      <x:c r="V964" s="32"/>
    </x:row>
    <x:row r="965">
      <x:c r="A965" s="87"/>
      <x:c r="B965" s="88"/>
      <x:c r="D965" s="32"/>
      <x:c r="G965" s="74"/>
      <x:c r="H965" s="74"/>
      <x:c r="I965" s="74"/>
      <x:c r="J965" s="74"/>
      <x:c r="K965" s="74"/>
      <x:c r="L965" s="74"/>
      <x:c r="M965" s="74"/>
      <x:c r="N965" s="91"/>
      <x:c r="O965" s="91"/>
      <x:c r="P965" s="91"/>
      <x:c r="Q965" s="91"/>
      <x:c r="R965" s="91"/>
      <x:c r="S965" s="85"/>
      <x:c r="U965" s="86"/>
      <x:c r="V965" s="32"/>
    </x:row>
    <x:row r="966">
      <x:c r="A966" s="87"/>
      <x:c r="B966" s="88"/>
      <x:c r="D966" s="32"/>
      <x:c r="G966" s="74"/>
      <x:c r="H966" s="74"/>
      <x:c r="I966" s="74"/>
      <x:c r="J966" s="74"/>
      <x:c r="K966" s="74"/>
      <x:c r="L966" s="74"/>
      <x:c r="M966" s="74"/>
      <x:c r="N966" s="91"/>
      <x:c r="O966" s="91"/>
      <x:c r="P966" s="91"/>
      <x:c r="Q966" s="91"/>
      <x:c r="R966" s="91"/>
      <x:c r="S966" s="85"/>
      <x:c r="U966" s="86"/>
      <x:c r="V966" s="32"/>
    </x:row>
    <x:row r="967">
      <x:c r="A967" s="87"/>
      <x:c r="B967" s="88"/>
      <x:c r="D967" s="32"/>
      <x:c r="G967" s="74"/>
      <x:c r="H967" s="74"/>
      <x:c r="I967" s="74"/>
      <x:c r="J967" s="74"/>
      <x:c r="K967" s="74"/>
      <x:c r="L967" s="74"/>
      <x:c r="M967" s="74"/>
      <x:c r="N967" s="91"/>
      <x:c r="O967" s="91"/>
      <x:c r="P967" s="91"/>
      <x:c r="Q967" s="91"/>
      <x:c r="R967" s="91"/>
      <x:c r="S967" s="85"/>
      <x:c r="U967" s="86"/>
      <x:c r="V967" s="32"/>
    </x:row>
    <x:row r="968">
      <x:c r="A968" s="87"/>
      <x:c r="B968" s="88"/>
      <x:c r="D968" s="32"/>
      <x:c r="G968" s="74"/>
      <x:c r="H968" s="74"/>
      <x:c r="I968" s="74"/>
      <x:c r="J968" s="74"/>
      <x:c r="K968" s="74"/>
      <x:c r="L968" s="74"/>
      <x:c r="M968" s="74"/>
      <x:c r="N968" s="91"/>
      <x:c r="O968" s="91"/>
      <x:c r="P968" s="91"/>
      <x:c r="Q968" s="91"/>
      <x:c r="R968" s="91"/>
      <x:c r="S968" s="85"/>
      <x:c r="U968" s="86"/>
      <x:c r="V968" s="32"/>
    </x:row>
    <x:row r="969">
      <x:c r="A969" s="87"/>
      <x:c r="B969" s="88"/>
      <x:c r="D969" s="32"/>
      <x:c r="G969" s="74"/>
      <x:c r="H969" s="74"/>
      <x:c r="I969" s="74"/>
      <x:c r="J969" s="74"/>
      <x:c r="K969" s="74"/>
      <x:c r="L969" s="74"/>
      <x:c r="M969" s="74"/>
      <x:c r="N969" s="91"/>
      <x:c r="O969" s="91"/>
      <x:c r="P969" s="91"/>
      <x:c r="Q969" s="91"/>
      <x:c r="R969" s="91"/>
      <x:c r="S969" s="85"/>
      <x:c r="U969" s="86"/>
      <x:c r="V969" s="32"/>
    </x:row>
    <x:row r="970">
      <x:c r="A970" s="87"/>
      <x:c r="B970" s="88"/>
      <x:c r="D970" s="32"/>
      <x:c r="G970" s="74"/>
      <x:c r="H970" s="74"/>
      <x:c r="I970" s="74"/>
      <x:c r="J970" s="74"/>
      <x:c r="K970" s="74"/>
      <x:c r="L970" s="74"/>
      <x:c r="M970" s="74"/>
      <x:c r="N970" s="91"/>
      <x:c r="O970" s="91"/>
      <x:c r="P970" s="91"/>
      <x:c r="Q970" s="91"/>
      <x:c r="R970" s="91"/>
      <x:c r="S970" s="85"/>
      <x:c r="U970" s="86"/>
      <x:c r="V970" s="32"/>
    </x:row>
    <x:row r="971">
      <x:c r="A971" s="87"/>
      <x:c r="B971" s="88"/>
      <x:c r="D971" s="32"/>
      <x:c r="G971" s="74"/>
      <x:c r="H971" s="74"/>
      <x:c r="I971" s="74"/>
      <x:c r="J971" s="74"/>
      <x:c r="K971" s="74"/>
      <x:c r="L971" s="74"/>
      <x:c r="M971" s="74"/>
      <x:c r="N971" s="91"/>
      <x:c r="O971" s="91"/>
      <x:c r="P971" s="91"/>
      <x:c r="Q971" s="91"/>
      <x:c r="R971" s="91"/>
      <x:c r="S971" s="85"/>
      <x:c r="U971" s="86"/>
      <x:c r="V971" s="32"/>
    </x:row>
    <x:row r="972">
      <x:c r="A972" s="87"/>
      <x:c r="B972" s="88"/>
      <x:c r="D972" s="32"/>
      <x:c r="G972" s="74"/>
      <x:c r="H972" s="74"/>
      <x:c r="I972" s="74"/>
      <x:c r="J972" s="74"/>
      <x:c r="K972" s="74"/>
      <x:c r="L972" s="74"/>
      <x:c r="M972" s="74"/>
      <x:c r="N972" s="91"/>
      <x:c r="O972" s="91"/>
      <x:c r="P972" s="91"/>
      <x:c r="Q972" s="91"/>
      <x:c r="R972" s="91"/>
      <x:c r="S972" s="85"/>
      <x:c r="U972" s="86"/>
      <x:c r="V972" s="32"/>
    </x:row>
    <x:row r="973">
      <x:c r="A973" s="87"/>
      <x:c r="B973" s="88"/>
      <x:c r="D973" s="32"/>
      <x:c r="G973" s="74"/>
      <x:c r="H973" s="74"/>
      <x:c r="I973" s="74"/>
      <x:c r="J973" s="74"/>
      <x:c r="K973" s="74"/>
      <x:c r="L973" s="74"/>
      <x:c r="M973" s="74"/>
      <x:c r="N973" s="91"/>
      <x:c r="O973" s="91"/>
      <x:c r="P973" s="91"/>
      <x:c r="Q973" s="91"/>
      <x:c r="R973" s="91"/>
      <x:c r="S973" s="85"/>
      <x:c r="U973" s="86"/>
      <x:c r="V973" s="32"/>
    </x:row>
    <x:row r="974">
      <x:c r="A974" s="87"/>
      <x:c r="B974" s="88"/>
      <x:c r="D974" s="32"/>
      <x:c r="G974" s="74"/>
      <x:c r="H974" s="74"/>
      <x:c r="I974" s="74"/>
      <x:c r="J974" s="74"/>
      <x:c r="K974" s="74"/>
      <x:c r="L974" s="74"/>
      <x:c r="M974" s="74"/>
      <x:c r="N974" s="91"/>
      <x:c r="O974" s="91"/>
      <x:c r="P974" s="91"/>
      <x:c r="Q974" s="91"/>
      <x:c r="R974" s="91"/>
      <x:c r="S974" s="85"/>
      <x:c r="U974" s="86"/>
      <x:c r="V974" s="32"/>
    </x:row>
    <x:row r="975">
      <x:c r="A975" s="87"/>
      <x:c r="B975" s="88"/>
      <x:c r="D975" s="32"/>
      <x:c r="G975" s="74"/>
      <x:c r="H975" s="74"/>
      <x:c r="I975" s="74"/>
      <x:c r="J975" s="74"/>
      <x:c r="K975" s="74"/>
      <x:c r="L975" s="74"/>
      <x:c r="M975" s="74"/>
      <x:c r="N975" s="91"/>
      <x:c r="O975" s="91"/>
      <x:c r="P975" s="91"/>
      <x:c r="Q975" s="91"/>
      <x:c r="R975" s="91"/>
      <x:c r="S975" s="85"/>
      <x:c r="U975" s="86"/>
      <x:c r="V975" s="32"/>
    </x:row>
    <x:row r="976">
      <x:c r="A976" s="87"/>
      <x:c r="B976" s="88"/>
      <x:c r="D976" s="32"/>
      <x:c r="G976" s="74"/>
      <x:c r="H976" s="74"/>
      <x:c r="I976" s="74"/>
      <x:c r="J976" s="74"/>
      <x:c r="K976" s="74"/>
      <x:c r="L976" s="74"/>
      <x:c r="M976" s="74"/>
      <x:c r="N976" s="91"/>
      <x:c r="O976" s="91"/>
      <x:c r="P976" s="91"/>
      <x:c r="Q976" s="91"/>
      <x:c r="R976" s="91"/>
      <x:c r="S976" s="85"/>
      <x:c r="U976" s="86"/>
      <x:c r="V976" s="32"/>
    </x:row>
    <x:row r="977">
      <x:c r="A977" s="87"/>
      <x:c r="B977" s="88"/>
      <x:c r="D977" s="32"/>
      <x:c r="G977" s="74"/>
      <x:c r="H977" s="74"/>
      <x:c r="I977" s="74"/>
      <x:c r="J977" s="74"/>
      <x:c r="K977" s="74"/>
      <x:c r="L977" s="74"/>
      <x:c r="M977" s="74"/>
      <x:c r="N977" s="91"/>
      <x:c r="O977" s="91"/>
      <x:c r="P977" s="91"/>
      <x:c r="Q977" s="91"/>
      <x:c r="R977" s="91"/>
      <x:c r="S977" s="85"/>
      <x:c r="U977" s="86"/>
      <x:c r="V977" s="32"/>
    </x:row>
    <x:row r="978">
      <x:c r="A978" s="87"/>
      <x:c r="B978" s="88"/>
      <x:c r="D978" s="32"/>
      <x:c r="G978" s="74"/>
      <x:c r="H978" s="74"/>
      <x:c r="I978" s="74"/>
      <x:c r="J978" s="74"/>
      <x:c r="K978" s="74"/>
      <x:c r="L978" s="74"/>
      <x:c r="M978" s="74"/>
      <x:c r="N978" s="91"/>
      <x:c r="O978" s="91"/>
      <x:c r="P978" s="91"/>
      <x:c r="Q978" s="91"/>
      <x:c r="R978" s="91"/>
      <x:c r="S978" s="85"/>
      <x:c r="U978" s="86"/>
      <x:c r="V978" s="32"/>
    </x:row>
    <x:row r="979">
      <x:c r="A979" s="87"/>
      <x:c r="B979" s="88"/>
      <x:c r="D979" s="32"/>
      <x:c r="G979" s="74"/>
      <x:c r="H979" s="74"/>
      <x:c r="I979" s="74"/>
      <x:c r="J979" s="74"/>
      <x:c r="K979" s="74"/>
      <x:c r="L979" s="74"/>
      <x:c r="M979" s="74"/>
      <x:c r="N979" s="91"/>
      <x:c r="O979" s="91"/>
      <x:c r="P979" s="91"/>
      <x:c r="Q979" s="91"/>
      <x:c r="R979" s="91"/>
      <x:c r="S979" s="85"/>
      <x:c r="U979" s="86"/>
      <x:c r="V979" s="32"/>
    </x:row>
    <x:row r="980">
      <x:c r="A980" s="87"/>
      <x:c r="B980" s="88"/>
      <x:c r="D980" s="32"/>
      <x:c r="G980" s="74"/>
      <x:c r="H980" s="74"/>
      <x:c r="I980" s="74"/>
      <x:c r="J980" s="74"/>
      <x:c r="K980" s="74"/>
      <x:c r="L980" s="74"/>
      <x:c r="M980" s="74"/>
      <x:c r="N980" s="91"/>
      <x:c r="O980" s="91"/>
      <x:c r="P980" s="91"/>
      <x:c r="Q980" s="91"/>
      <x:c r="R980" s="91"/>
      <x:c r="S980" s="85"/>
      <x:c r="U980" s="86"/>
      <x:c r="V980" s="32"/>
    </x:row>
    <x:row r="981">
      <x:c r="A981" s="87"/>
      <x:c r="B981" s="88"/>
      <x:c r="D981" s="32"/>
      <x:c r="G981" s="74"/>
      <x:c r="H981" s="74"/>
      <x:c r="I981" s="74"/>
      <x:c r="J981" s="74"/>
      <x:c r="K981" s="74"/>
      <x:c r="L981" s="74"/>
      <x:c r="M981" s="74"/>
      <x:c r="N981" s="91"/>
      <x:c r="O981" s="91"/>
      <x:c r="P981" s="91"/>
      <x:c r="Q981" s="91"/>
      <x:c r="R981" s="91"/>
      <x:c r="S981" s="85"/>
      <x:c r="U981" s="86"/>
      <x:c r="V981" s="32"/>
    </x:row>
    <x:row r="982">
      <x:c r="A982" s="87"/>
      <x:c r="B982" s="88"/>
      <x:c r="D982" s="32"/>
      <x:c r="G982" s="74"/>
      <x:c r="H982" s="74"/>
      <x:c r="I982" s="74"/>
      <x:c r="J982" s="74"/>
      <x:c r="K982" s="74"/>
      <x:c r="L982" s="74"/>
      <x:c r="M982" s="74"/>
      <x:c r="N982" s="91"/>
      <x:c r="O982" s="91"/>
      <x:c r="P982" s="91"/>
      <x:c r="Q982" s="91"/>
      <x:c r="R982" s="91"/>
      <x:c r="S982" s="85"/>
      <x:c r="U982" s="86"/>
      <x:c r="V982" s="32"/>
    </x:row>
    <x:row r="983">
      <x:c r="A983" s="87"/>
      <x:c r="B983" s="88"/>
      <x:c r="D983" s="32"/>
      <x:c r="G983" s="74"/>
      <x:c r="H983" s="74"/>
      <x:c r="I983" s="74"/>
      <x:c r="J983" s="74"/>
      <x:c r="K983" s="74"/>
      <x:c r="L983" s="74"/>
      <x:c r="M983" s="74"/>
      <x:c r="N983" s="91"/>
      <x:c r="O983" s="91"/>
      <x:c r="P983" s="91"/>
      <x:c r="Q983" s="91"/>
      <x:c r="R983" s="91"/>
      <x:c r="S983" s="85"/>
      <x:c r="U983" s="86"/>
      <x:c r="V983" s="32"/>
    </x:row>
    <x:row r="984">
      <x:c r="A984" s="87"/>
      <x:c r="B984" s="88"/>
      <x:c r="D984" s="32"/>
      <x:c r="G984" s="74"/>
      <x:c r="H984" s="74"/>
      <x:c r="I984" s="74"/>
      <x:c r="J984" s="74"/>
      <x:c r="K984" s="74"/>
      <x:c r="L984" s="74"/>
      <x:c r="M984" s="74"/>
      <x:c r="N984" s="91"/>
      <x:c r="O984" s="91"/>
      <x:c r="P984" s="91"/>
      <x:c r="Q984" s="91"/>
      <x:c r="R984" s="91"/>
      <x:c r="S984" s="85"/>
      <x:c r="U984" s="86"/>
      <x:c r="V984" s="32"/>
    </x:row>
    <x:row r="985">
      <x:c r="A985" s="87"/>
      <x:c r="B985" s="88"/>
      <x:c r="D985" s="32"/>
      <x:c r="G985" s="74"/>
      <x:c r="H985" s="74"/>
      <x:c r="I985" s="74"/>
      <x:c r="J985" s="74"/>
      <x:c r="K985" s="74"/>
      <x:c r="L985" s="74"/>
      <x:c r="M985" s="74"/>
      <x:c r="N985" s="91"/>
      <x:c r="O985" s="91"/>
      <x:c r="P985" s="91"/>
      <x:c r="Q985" s="91"/>
      <x:c r="R985" s="91"/>
      <x:c r="S985" s="85"/>
      <x:c r="U985" s="86"/>
      <x:c r="V985" s="32"/>
    </x:row>
    <x:row r="986">
      <x:c r="A986" s="87"/>
      <x:c r="B986" s="88"/>
      <x:c r="D986" s="32"/>
      <x:c r="G986" s="74"/>
      <x:c r="H986" s="74"/>
      <x:c r="I986" s="74"/>
      <x:c r="J986" s="74"/>
      <x:c r="K986" s="74"/>
      <x:c r="L986" s="74"/>
      <x:c r="M986" s="74"/>
      <x:c r="N986" s="91"/>
      <x:c r="O986" s="91"/>
      <x:c r="P986" s="91"/>
      <x:c r="Q986" s="91"/>
      <x:c r="R986" s="91"/>
      <x:c r="S986" s="85"/>
      <x:c r="U986" s="86"/>
      <x:c r="V986" s="32"/>
    </x:row>
    <x:row r="987">
      <x:c r="A987" s="87"/>
      <x:c r="B987" s="88"/>
      <x:c r="D987" s="32"/>
      <x:c r="G987" s="74"/>
      <x:c r="H987" s="74"/>
      <x:c r="I987" s="74"/>
      <x:c r="J987" s="74"/>
      <x:c r="K987" s="74"/>
      <x:c r="L987" s="74"/>
      <x:c r="M987" s="74"/>
      <x:c r="N987" s="91"/>
      <x:c r="O987" s="91"/>
      <x:c r="P987" s="91"/>
      <x:c r="Q987" s="91"/>
      <x:c r="R987" s="91"/>
      <x:c r="S987" s="85"/>
      <x:c r="U987" s="86"/>
      <x:c r="V987" s="32"/>
    </x:row>
    <x:row r="988">
      <x:c r="A988" s="87"/>
      <x:c r="B988" s="88"/>
      <x:c r="D988" s="32"/>
      <x:c r="G988" s="74"/>
      <x:c r="H988" s="74"/>
      <x:c r="I988" s="74"/>
      <x:c r="J988" s="74"/>
      <x:c r="K988" s="74"/>
      <x:c r="L988" s="74"/>
      <x:c r="M988" s="74"/>
      <x:c r="N988" s="91"/>
      <x:c r="O988" s="91"/>
      <x:c r="P988" s="91"/>
      <x:c r="Q988" s="91"/>
      <x:c r="R988" s="91"/>
      <x:c r="S988" s="85"/>
      <x:c r="U988" s="86"/>
      <x:c r="V988" s="32"/>
    </x:row>
    <x:row r="989">
      <x:c r="A989" s="87"/>
      <x:c r="B989" s="88"/>
      <x:c r="D989" s="32"/>
      <x:c r="G989" s="74"/>
      <x:c r="H989" s="74"/>
      <x:c r="I989" s="74"/>
      <x:c r="J989" s="74"/>
      <x:c r="K989" s="74"/>
      <x:c r="L989" s="74"/>
      <x:c r="M989" s="74"/>
      <x:c r="N989" s="91"/>
      <x:c r="O989" s="91"/>
      <x:c r="P989" s="91"/>
      <x:c r="Q989" s="91"/>
      <x:c r="R989" s="91"/>
      <x:c r="S989" s="85"/>
      <x:c r="U989" s="86"/>
      <x:c r="V989" s="32"/>
    </x:row>
    <x:row r="990">
      <x:c r="A990" s="87"/>
      <x:c r="B990" s="88"/>
      <x:c r="D990" s="32"/>
      <x:c r="G990" s="74"/>
      <x:c r="H990" s="74"/>
      <x:c r="I990" s="74"/>
      <x:c r="J990" s="74"/>
      <x:c r="K990" s="74"/>
      <x:c r="L990" s="74"/>
      <x:c r="M990" s="74"/>
      <x:c r="N990" s="91"/>
      <x:c r="O990" s="91"/>
      <x:c r="P990" s="91"/>
      <x:c r="Q990" s="91"/>
      <x:c r="R990" s="91"/>
      <x:c r="S990" s="85"/>
      <x:c r="U990" s="86"/>
      <x:c r="V990" s="32"/>
    </x:row>
    <x:row r="991">
      <x:c r="A991" s="87"/>
      <x:c r="B991" s="88"/>
      <x:c r="D991" s="32"/>
      <x:c r="G991" s="74"/>
      <x:c r="H991" s="74"/>
      <x:c r="I991" s="74"/>
      <x:c r="J991" s="74"/>
      <x:c r="K991" s="74"/>
      <x:c r="L991" s="74"/>
      <x:c r="M991" s="74"/>
      <x:c r="N991" s="91"/>
      <x:c r="O991" s="91"/>
      <x:c r="P991" s="91"/>
      <x:c r="Q991" s="91"/>
      <x:c r="R991" s="91"/>
      <x:c r="S991" s="85"/>
      <x:c r="U991" s="86"/>
      <x:c r="V991" s="32"/>
    </x:row>
    <x:row r="992">
      <x:c r="A992" s="87"/>
      <x:c r="B992" s="88"/>
      <x:c r="D992" s="32"/>
      <x:c r="G992" s="74"/>
      <x:c r="H992" s="74"/>
      <x:c r="I992" s="74"/>
      <x:c r="J992" s="74"/>
      <x:c r="K992" s="74"/>
      <x:c r="L992" s="74"/>
      <x:c r="M992" s="74"/>
      <x:c r="N992" s="91"/>
      <x:c r="O992" s="91"/>
      <x:c r="P992" s="91"/>
      <x:c r="Q992" s="91"/>
      <x:c r="R992" s="91"/>
      <x:c r="S992" s="85"/>
      <x:c r="U992" s="86"/>
      <x:c r="V992" s="32"/>
    </x:row>
    <x:row r="993">
      <x:c r="A993" s="87"/>
      <x:c r="B993" s="88"/>
      <x:c r="D993" s="32"/>
      <x:c r="G993" s="74"/>
      <x:c r="H993" s="74"/>
      <x:c r="I993" s="74"/>
      <x:c r="J993" s="74"/>
      <x:c r="K993" s="74"/>
      <x:c r="L993" s="74"/>
      <x:c r="M993" s="74"/>
      <x:c r="N993" s="91"/>
      <x:c r="O993" s="91"/>
      <x:c r="P993" s="91"/>
      <x:c r="Q993" s="91"/>
      <x:c r="R993" s="91"/>
      <x:c r="S993" s="85"/>
      <x:c r="U993" s="86"/>
      <x:c r="V993" s="32"/>
    </x:row>
    <x:row r="994">
      <x:c r="A994" s="87"/>
      <x:c r="B994" s="88"/>
      <x:c r="D994" s="32"/>
      <x:c r="G994" s="74"/>
      <x:c r="H994" s="74"/>
      <x:c r="I994" s="74"/>
      <x:c r="J994" s="74"/>
      <x:c r="K994" s="74"/>
      <x:c r="L994" s="74"/>
      <x:c r="M994" s="74"/>
      <x:c r="N994" s="91"/>
      <x:c r="O994" s="91"/>
      <x:c r="P994" s="91"/>
      <x:c r="Q994" s="91"/>
      <x:c r="R994" s="91"/>
      <x:c r="S994" s="85"/>
      <x:c r="U994" s="86"/>
      <x:c r="V994" s="32"/>
    </x:row>
    <x:row r="995">
      <x:c r="A995" s="87"/>
      <x:c r="B995" s="88"/>
      <x:c r="D995" s="32"/>
      <x:c r="G995" s="74"/>
      <x:c r="H995" s="74"/>
      <x:c r="I995" s="74"/>
      <x:c r="J995" s="74"/>
      <x:c r="K995" s="74"/>
      <x:c r="L995" s="74"/>
      <x:c r="M995" s="74"/>
      <x:c r="N995" s="91"/>
      <x:c r="O995" s="91"/>
      <x:c r="P995" s="91"/>
      <x:c r="Q995" s="91"/>
      <x:c r="R995" s="91"/>
      <x:c r="S995" s="85"/>
      <x:c r="U995" s="86"/>
      <x:c r="V995" s="32"/>
    </x:row>
    <x:row r="996">
      <x:c r="A996" s="87"/>
      <x:c r="B996" s="88"/>
      <x:c r="D996" s="32"/>
      <x:c r="G996" s="74"/>
      <x:c r="H996" s="74"/>
      <x:c r="I996" s="74"/>
      <x:c r="J996" s="74"/>
      <x:c r="K996" s="74"/>
      <x:c r="L996" s="74"/>
      <x:c r="M996" s="74"/>
      <x:c r="N996" s="91"/>
      <x:c r="O996" s="91"/>
      <x:c r="P996" s="91"/>
      <x:c r="Q996" s="91"/>
      <x:c r="R996" s="91"/>
      <x:c r="S996" s="85"/>
      <x:c r="U996" s="86"/>
      <x:c r="V996" s="32"/>
    </x:row>
    <x:row r="997">
      <x:c r="A997" s="87"/>
      <x:c r="B997" s="88"/>
      <x:c r="D997" s="32"/>
      <x:c r="G997" s="74"/>
      <x:c r="H997" s="74"/>
      <x:c r="I997" s="74"/>
      <x:c r="J997" s="74"/>
      <x:c r="K997" s="74"/>
      <x:c r="L997" s="74"/>
      <x:c r="M997" s="74"/>
      <x:c r="N997" s="91"/>
      <x:c r="O997" s="91"/>
      <x:c r="P997" s="91"/>
      <x:c r="Q997" s="91"/>
      <x:c r="R997" s="91"/>
      <x:c r="S997" s="85"/>
      <x:c r="U997" s="86"/>
      <x:c r="V997" s="32"/>
    </x:row>
    <x:row r="998">
      <x:c r="A998" s="87"/>
      <x:c r="B998" s="88"/>
      <x:c r="D998" s="32"/>
      <x:c r="G998" s="74"/>
      <x:c r="H998" s="74"/>
      <x:c r="I998" s="74"/>
      <x:c r="J998" s="74"/>
      <x:c r="K998" s="74"/>
      <x:c r="L998" s="74"/>
      <x:c r="M998" s="74"/>
      <x:c r="N998" s="91"/>
      <x:c r="O998" s="91"/>
      <x:c r="P998" s="91"/>
      <x:c r="Q998" s="91"/>
      <x:c r="R998" s="91"/>
      <x:c r="S998" s="85"/>
      <x:c r="U998" s="86"/>
      <x:c r="V998" s="32"/>
    </x:row>
    <x:row r="999">
      <x:c r="A999" s="87"/>
      <x:c r="B999" s="88"/>
      <x:c r="D999" s="32"/>
      <x:c r="G999" s="74"/>
      <x:c r="H999" s="74"/>
      <x:c r="I999" s="74"/>
      <x:c r="J999" s="74"/>
      <x:c r="K999" s="74"/>
      <x:c r="L999" s="74"/>
      <x:c r="M999" s="74"/>
      <x:c r="N999" s="91"/>
      <x:c r="O999" s="91"/>
      <x:c r="P999" s="91"/>
      <x:c r="Q999" s="91"/>
      <x:c r="R999" s="91"/>
      <x:c r="S999" s="85"/>
      <x:c r="U999" s="86"/>
      <x:c r="V999" s="32"/>
    </x:row>
    <x:row r="1000">
      <x:c r="A1000" s="87"/>
      <x:c r="B1000" s="88"/>
      <x:c r="D1000" s="32"/>
      <x:c r="G1000" s="74"/>
      <x:c r="H1000" s="74"/>
      <x:c r="I1000" s="74"/>
      <x:c r="J1000" s="74"/>
      <x:c r="K1000" s="74"/>
      <x:c r="L1000" s="74"/>
      <x:c r="M1000" s="74"/>
      <x:c r="N1000" s="91"/>
      <x:c r="O1000" s="91"/>
      <x:c r="P1000" s="91"/>
      <x:c r="Q1000" s="91"/>
      <x:c r="R1000" s="91"/>
      <x:c r="S1000" s="85"/>
      <x:c r="U1000" s="86"/>
      <x:c r="V1000" s="32"/>
    </x:row>
    <x:row r="1001">
      <x:c r="A1001" s="87"/>
      <x:c r="B1001" s="88"/>
      <x:c r="D1001" s="32"/>
      <x:c r="G1001" s="74"/>
      <x:c r="H1001" s="74"/>
      <x:c r="I1001" s="74"/>
      <x:c r="J1001" s="74"/>
      <x:c r="K1001" s="74"/>
      <x:c r="L1001" s="74"/>
      <x:c r="M1001" s="74"/>
      <x:c r="N1001" s="91"/>
      <x:c r="O1001" s="91"/>
      <x:c r="P1001" s="91"/>
      <x:c r="Q1001" s="91"/>
      <x:c r="R1001" s="91"/>
      <x:c r="S1001" s="85"/>
      <x:c r="U1001" s="86"/>
      <x:c r="V1001" s="32"/>
    </x:row>
    <x:row r="1002">
      <x:c r="A1002" s="87"/>
      <x:c r="B1002" s="88"/>
      <x:c r="D1002" s="32"/>
      <x:c r="G1002" s="74"/>
      <x:c r="H1002" s="74"/>
      <x:c r="I1002" s="74"/>
      <x:c r="J1002" s="74"/>
      <x:c r="K1002" s="74"/>
      <x:c r="L1002" s="74"/>
      <x:c r="M1002" s="74"/>
      <x:c r="N1002" s="91"/>
      <x:c r="O1002" s="91"/>
      <x:c r="P1002" s="91"/>
      <x:c r="Q1002" s="91"/>
      <x:c r="R1002" s="91"/>
      <x:c r="S1002" s="85"/>
      <x:c r="U1002" s="86"/>
      <x:c r="V1002" s="32"/>
    </x:row>
    <x:row r="1003">
      <x:c r="A1003" s="87"/>
      <x:c r="B1003" s="88"/>
      <x:c r="D1003" s="32"/>
      <x:c r="G1003" s="74"/>
      <x:c r="H1003" s="74"/>
      <x:c r="I1003" s="74"/>
      <x:c r="J1003" s="74"/>
      <x:c r="K1003" s="74"/>
      <x:c r="L1003" s="74"/>
      <x:c r="M1003" s="74"/>
      <x:c r="N1003" s="91"/>
      <x:c r="O1003" s="91"/>
      <x:c r="P1003" s="91"/>
      <x:c r="Q1003" s="91"/>
      <x:c r="R1003" s="91"/>
      <x:c r="S1003" s="85"/>
      <x:c r="U1003" s="86"/>
      <x:c r="V1003" s="32"/>
    </x:row>
    <x:row r="1004">
      <x:c r="A1004" s="87"/>
      <x:c r="B1004" s="88"/>
      <x:c r="D1004" s="32"/>
      <x:c r="G1004" s="74"/>
      <x:c r="H1004" s="74"/>
      <x:c r="I1004" s="74"/>
      <x:c r="J1004" s="74"/>
      <x:c r="K1004" s="74"/>
      <x:c r="L1004" s="74"/>
      <x:c r="M1004" s="74"/>
      <x:c r="N1004" s="91"/>
      <x:c r="O1004" s="91"/>
      <x:c r="P1004" s="91"/>
      <x:c r="Q1004" s="91"/>
      <x:c r="R1004" s="91"/>
      <x:c r="S1004" s="85"/>
      <x:c r="U1004" s="86"/>
      <x:c r="V1004" s="32"/>
    </x:row>
    <x:row r="1005">
      <x:c r="A1005" s="87"/>
      <x:c r="B1005" s="88"/>
      <x:c r="D1005" s="32"/>
      <x:c r="G1005" s="74"/>
      <x:c r="H1005" s="74"/>
      <x:c r="I1005" s="74"/>
      <x:c r="J1005" s="74"/>
      <x:c r="K1005" s="74"/>
      <x:c r="L1005" s="74"/>
      <x:c r="M1005" s="74"/>
      <x:c r="N1005" s="91"/>
      <x:c r="O1005" s="91"/>
      <x:c r="P1005" s="91"/>
      <x:c r="Q1005" s="91"/>
      <x:c r="R1005" s="91"/>
      <x:c r="S1005" s="85"/>
      <x:c r="U1005" s="86"/>
      <x:c r="V1005" s="32"/>
    </x:row>
    <x:row r="1006">
      <x:c r="A1006" s="87"/>
      <x:c r="B1006" s="88"/>
      <x:c r="D1006" s="32"/>
      <x:c r="G1006" s="74"/>
      <x:c r="H1006" s="74"/>
      <x:c r="I1006" s="74"/>
      <x:c r="J1006" s="74"/>
      <x:c r="K1006" s="74"/>
      <x:c r="L1006" s="74"/>
      <x:c r="M1006" s="74"/>
      <x:c r="N1006" s="91"/>
      <x:c r="O1006" s="91"/>
      <x:c r="P1006" s="91"/>
      <x:c r="Q1006" s="91"/>
      <x:c r="R1006" s="91"/>
      <x:c r="S1006" s="85"/>
      <x:c r="U1006" s="86"/>
      <x:c r="V1006" s="32"/>
    </x:row>
    <x:row r="1007">
      <x:c r="A1007" s="87"/>
      <x:c r="B1007" s="88"/>
      <x:c r="D1007" s="32"/>
      <x:c r="G1007" s="74"/>
      <x:c r="H1007" s="74"/>
      <x:c r="I1007" s="74"/>
      <x:c r="J1007" s="74"/>
      <x:c r="K1007" s="74"/>
      <x:c r="L1007" s="74"/>
      <x:c r="M1007" s="74"/>
      <x:c r="N1007" s="91"/>
      <x:c r="O1007" s="91"/>
      <x:c r="P1007" s="91"/>
      <x:c r="Q1007" s="91"/>
      <x:c r="R1007" s="91"/>
      <x:c r="S1007" s="85"/>
      <x:c r="U1007" s="86"/>
      <x:c r="V1007" s="32"/>
    </x:row>
    <x:row r="1008">
      <x:c r="A1008" s="87"/>
      <x:c r="B1008" s="88"/>
      <x:c r="D1008" s="32"/>
      <x:c r="G1008" s="74"/>
      <x:c r="H1008" s="74"/>
      <x:c r="I1008" s="74"/>
      <x:c r="J1008" s="74"/>
      <x:c r="K1008" s="74"/>
      <x:c r="L1008" s="74"/>
      <x:c r="M1008" s="74"/>
      <x:c r="N1008" s="91"/>
      <x:c r="O1008" s="91"/>
      <x:c r="P1008" s="91"/>
      <x:c r="Q1008" s="91"/>
      <x:c r="R1008" s="91"/>
      <x:c r="S1008" s="85"/>
      <x:c r="U1008" s="86"/>
      <x:c r="V1008" s="32"/>
    </x:row>
    <x:row r="1009">
      <x:c r="A1009" s="87"/>
      <x:c r="B1009" s="88"/>
      <x:c r="D1009" s="32"/>
      <x:c r="G1009" s="74"/>
      <x:c r="H1009" s="74"/>
      <x:c r="I1009" s="74"/>
      <x:c r="J1009" s="74"/>
      <x:c r="K1009" s="74"/>
      <x:c r="L1009" s="74"/>
      <x:c r="M1009" s="74"/>
      <x:c r="N1009" s="91"/>
      <x:c r="O1009" s="91"/>
      <x:c r="P1009" s="91"/>
      <x:c r="Q1009" s="91"/>
      <x:c r="R1009" s="91"/>
      <x:c r="S1009" s="85"/>
      <x:c r="U1009" s="86"/>
      <x:c r="V1009" s="32"/>
    </x:row>
    <x:row r="1010">
      <x:c r="A1010" s="87"/>
      <x:c r="B1010" s="88"/>
      <x:c r="D1010" s="32"/>
      <x:c r="G1010" s="74"/>
      <x:c r="H1010" s="74"/>
      <x:c r="I1010" s="74"/>
      <x:c r="J1010" s="74"/>
      <x:c r="K1010" s="74"/>
      <x:c r="L1010" s="74"/>
      <x:c r="M1010" s="74"/>
      <x:c r="N1010" s="91"/>
      <x:c r="O1010" s="91"/>
      <x:c r="P1010" s="91"/>
      <x:c r="Q1010" s="91"/>
      <x:c r="R1010" s="91"/>
      <x:c r="S1010" s="85"/>
      <x:c r="U1010" s="86"/>
      <x:c r="V1010" s="32"/>
    </x:row>
    <x:row r="1011">
      <x:c r="A1011" s="87"/>
      <x:c r="B1011" s="88"/>
      <x:c r="D1011" s="32"/>
      <x:c r="G1011" s="74"/>
      <x:c r="H1011" s="74"/>
      <x:c r="I1011" s="74"/>
      <x:c r="J1011" s="74"/>
      <x:c r="K1011" s="74"/>
      <x:c r="L1011" s="74"/>
      <x:c r="M1011" s="74"/>
      <x:c r="N1011" s="91"/>
      <x:c r="O1011" s="91"/>
      <x:c r="P1011" s="91"/>
      <x:c r="Q1011" s="91"/>
      <x:c r="R1011" s="91"/>
      <x:c r="S1011" s="85"/>
      <x:c r="U1011" s="86"/>
      <x:c r="V1011" s="32"/>
    </x:row>
    <x:row r="1012">
      <x:c r="A1012" s="87"/>
      <x:c r="B1012" s="88"/>
      <x:c r="D1012" s="32"/>
      <x:c r="G1012" s="74"/>
      <x:c r="H1012" s="74"/>
      <x:c r="I1012" s="74"/>
      <x:c r="J1012" s="74"/>
      <x:c r="K1012" s="74"/>
      <x:c r="L1012" s="74"/>
      <x:c r="M1012" s="74"/>
      <x:c r="N1012" s="91"/>
      <x:c r="O1012" s="91"/>
      <x:c r="P1012" s="91"/>
      <x:c r="Q1012" s="91"/>
      <x:c r="R1012" s="91"/>
      <x:c r="S1012" s="85"/>
      <x:c r="U1012" s="86"/>
      <x:c r="V1012" s="32"/>
    </x:row>
    <x:row r="1013">
      <x:c r="A1013" s="87"/>
      <x:c r="B1013" s="88"/>
      <x:c r="D1013" s="32"/>
      <x:c r="G1013" s="74"/>
      <x:c r="H1013" s="74"/>
      <x:c r="I1013" s="74"/>
      <x:c r="J1013" s="74"/>
      <x:c r="K1013" s="74"/>
      <x:c r="L1013" s="74"/>
      <x:c r="M1013" s="74"/>
      <x:c r="N1013" s="91"/>
      <x:c r="O1013" s="91"/>
      <x:c r="P1013" s="91"/>
      <x:c r="Q1013" s="91"/>
      <x:c r="R1013" s="91"/>
      <x:c r="S1013" s="85"/>
      <x:c r="U1013" s="86"/>
      <x:c r="V1013" s="32"/>
    </x:row>
    <x:row r="1014">
      <x:c r="A1014" s="87"/>
      <x:c r="B1014" s="88"/>
      <x:c r="D1014" s="32"/>
      <x:c r="G1014" s="74"/>
      <x:c r="H1014" s="74"/>
      <x:c r="I1014" s="74"/>
      <x:c r="J1014" s="74"/>
      <x:c r="K1014" s="74"/>
      <x:c r="L1014" s="74"/>
      <x:c r="M1014" s="74"/>
      <x:c r="N1014" s="91"/>
      <x:c r="O1014" s="91"/>
      <x:c r="P1014" s="91"/>
      <x:c r="Q1014" s="91"/>
      <x:c r="R1014" s="91"/>
      <x:c r="S1014" s="85"/>
      <x:c r="U1014" s="86"/>
      <x:c r="V1014" s="32"/>
    </x:row>
    <x:row r="1015">
      <x:c r="A1015" s="87"/>
      <x:c r="B1015" s="88"/>
      <x:c r="D1015" s="32"/>
      <x:c r="G1015" s="74"/>
      <x:c r="H1015" s="74"/>
      <x:c r="I1015" s="74"/>
      <x:c r="J1015" s="74"/>
      <x:c r="K1015" s="74"/>
      <x:c r="L1015" s="74"/>
      <x:c r="M1015" s="74"/>
      <x:c r="N1015" s="91"/>
      <x:c r="O1015" s="91"/>
      <x:c r="P1015" s="91"/>
      <x:c r="Q1015" s="91"/>
      <x:c r="R1015" s="91"/>
      <x:c r="S1015" s="85"/>
      <x:c r="U1015" s="86"/>
      <x:c r="V1015" s="32"/>
    </x:row>
    <x:row r="1016">
      <x:c r="A1016" s="87"/>
      <x:c r="B1016" s="88"/>
      <x:c r="D1016" s="32"/>
      <x:c r="G1016" s="74"/>
      <x:c r="H1016" s="74"/>
      <x:c r="I1016" s="74"/>
      <x:c r="J1016" s="74"/>
      <x:c r="K1016" s="74"/>
      <x:c r="L1016" s="74"/>
      <x:c r="M1016" s="74"/>
      <x:c r="N1016" s="91"/>
      <x:c r="O1016" s="91"/>
      <x:c r="P1016" s="91"/>
      <x:c r="Q1016" s="91"/>
      <x:c r="R1016" s="91"/>
      <x:c r="S1016" s="85"/>
      <x:c r="U1016" s="86"/>
      <x:c r="V1016" s="32"/>
    </x:row>
    <x:row r="1017">
      <x:c r="A1017" s="87"/>
      <x:c r="B1017" s="88"/>
      <x:c r="D1017" s="32"/>
      <x:c r="G1017" s="74"/>
      <x:c r="H1017" s="74"/>
      <x:c r="I1017" s="74"/>
      <x:c r="J1017" s="74"/>
      <x:c r="K1017" s="74"/>
      <x:c r="L1017" s="74"/>
      <x:c r="M1017" s="74"/>
      <x:c r="N1017" s="91"/>
      <x:c r="O1017" s="91"/>
      <x:c r="P1017" s="91"/>
      <x:c r="Q1017" s="91"/>
      <x:c r="R1017" s="91"/>
      <x:c r="S1017" s="85"/>
      <x:c r="U1017" s="86"/>
      <x:c r="V1017" s="32"/>
    </x:row>
    <x:row r="1018">
      <x:c r="A1018" s="87"/>
      <x:c r="B1018" s="88"/>
      <x:c r="D1018" s="32"/>
      <x:c r="G1018" s="74"/>
      <x:c r="H1018" s="74"/>
      <x:c r="I1018" s="74"/>
      <x:c r="J1018" s="74"/>
      <x:c r="K1018" s="74"/>
      <x:c r="L1018" s="74"/>
      <x:c r="M1018" s="74"/>
      <x:c r="N1018" s="91"/>
      <x:c r="O1018" s="91"/>
      <x:c r="P1018" s="91"/>
      <x:c r="Q1018" s="91"/>
      <x:c r="R1018" s="91"/>
      <x:c r="S1018" s="85"/>
      <x:c r="U1018" s="86"/>
      <x:c r="V1018" s="32"/>
    </x:row>
    <x:row r="1019">
      <x:c r="A1019" s="87"/>
      <x:c r="B1019" s="88"/>
      <x:c r="D1019" s="32"/>
      <x:c r="G1019" s="74"/>
      <x:c r="H1019" s="74"/>
      <x:c r="I1019" s="74"/>
      <x:c r="J1019" s="74"/>
      <x:c r="K1019" s="74"/>
      <x:c r="L1019" s="74"/>
      <x:c r="M1019" s="74"/>
      <x:c r="N1019" s="91"/>
      <x:c r="O1019" s="91"/>
      <x:c r="P1019" s="91"/>
      <x:c r="Q1019" s="91"/>
      <x:c r="R1019" s="91"/>
      <x:c r="S1019" s="85"/>
      <x:c r="U1019" s="86"/>
      <x:c r="V1019" s="32"/>
    </x:row>
    <x:row r="1020">
      <x:c r="A1020" s="87"/>
      <x:c r="B1020" s="88"/>
      <x:c r="D1020" s="32"/>
      <x:c r="G1020" s="74"/>
      <x:c r="H1020" s="74"/>
      <x:c r="I1020" s="74"/>
      <x:c r="J1020" s="74"/>
      <x:c r="K1020" s="74"/>
      <x:c r="L1020" s="74"/>
      <x:c r="M1020" s="74"/>
      <x:c r="N1020" s="91"/>
      <x:c r="O1020" s="91"/>
      <x:c r="P1020" s="91"/>
      <x:c r="Q1020" s="91"/>
      <x:c r="R1020" s="91"/>
      <x:c r="S1020" s="85"/>
      <x:c r="U1020" s="86"/>
      <x:c r="V1020" s="32"/>
    </x:row>
    <x:row r="1021">
      <x:c r="A1021" s="87"/>
      <x:c r="B1021" s="88"/>
      <x:c r="D1021" s="32"/>
      <x:c r="G1021" s="74"/>
      <x:c r="H1021" s="74"/>
      <x:c r="I1021" s="74"/>
      <x:c r="J1021" s="74"/>
      <x:c r="K1021" s="74"/>
      <x:c r="L1021" s="74"/>
      <x:c r="M1021" s="74"/>
      <x:c r="N1021" s="91"/>
      <x:c r="O1021" s="91"/>
      <x:c r="P1021" s="91"/>
      <x:c r="Q1021" s="91"/>
      <x:c r="R1021" s="91"/>
      <x:c r="S1021" s="85"/>
      <x:c r="U1021" s="86"/>
      <x:c r="V1021" s="32"/>
    </x:row>
    <x:row r="1022">
      <x:c r="A1022" s="87"/>
      <x:c r="B1022" s="88"/>
      <x:c r="D1022" s="32"/>
      <x:c r="G1022" s="74"/>
      <x:c r="H1022" s="74"/>
      <x:c r="I1022" s="74"/>
      <x:c r="J1022" s="74"/>
      <x:c r="K1022" s="74"/>
      <x:c r="L1022" s="74"/>
      <x:c r="M1022" s="74"/>
      <x:c r="N1022" s="91"/>
      <x:c r="O1022" s="91"/>
      <x:c r="P1022" s="91"/>
      <x:c r="Q1022" s="91"/>
      <x:c r="R1022" s="91"/>
      <x:c r="S1022" s="85"/>
      <x:c r="U1022" s="86"/>
      <x:c r="V1022" s="32"/>
    </x:row>
    <x:row r="1023">
      <x:c r="A1023" s="87"/>
      <x:c r="B1023" s="88"/>
      <x:c r="D1023" s="32"/>
      <x:c r="G1023" s="74"/>
      <x:c r="H1023" s="74"/>
      <x:c r="I1023" s="74"/>
      <x:c r="J1023" s="74"/>
      <x:c r="K1023" s="74"/>
      <x:c r="L1023" s="74"/>
      <x:c r="M1023" s="74"/>
      <x:c r="N1023" s="91"/>
      <x:c r="O1023" s="91"/>
      <x:c r="P1023" s="91"/>
      <x:c r="Q1023" s="91"/>
      <x:c r="R1023" s="91"/>
      <x:c r="S1023" s="85"/>
      <x:c r="U1023" s="86"/>
      <x:c r="V1023" s="32"/>
    </x:row>
    <x:row r="1024">
      <x:c r="A1024" s="87"/>
      <x:c r="B1024" s="88"/>
      <x:c r="D1024" s="32"/>
      <x:c r="G1024" s="74"/>
      <x:c r="H1024" s="74"/>
      <x:c r="I1024" s="74"/>
      <x:c r="J1024" s="74"/>
      <x:c r="K1024" s="74"/>
      <x:c r="L1024" s="74"/>
      <x:c r="M1024" s="74"/>
      <x:c r="N1024" s="91"/>
      <x:c r="O1024" s="91"/>
      <x:c r="P1024" s="91"/>
      <x:c r="Q1024" s="91"/>
      <x:c r="R1024" s="91"/>
      <x:c r="S1024" s="85"/>
      <x:c r="U1024" s="86"/>
      <x:c r="V1024" s="32"/>
    </x:row>
    <x:row r="1025">
      <x:c r="A1025" s="87"/>
      <x:c r="B1025" s="88"/>
      <x:c r="D1025" s="32"/>
      <x:c r="G1025" s="74"/>
      <x:c r="H1025" s="74"/>
      <x:c r="I1025" s="74"/>
      <x:c r="J1025" s="74"/>
      <x:c r="K1025" s="74"/>
      <x:c r="L1025" s="74"/>
      <x:c r="M1025" s="74"/>
      <x:c r="N1025" s="91"/>
      <x:c r="O1025" s="91"/>
      <x:c r="P1025" s="91"/>
      <x:c r="Q1025" s="91"/>
      <x:c r="R1025" s="91"/>
      <x:c r="S1025" s="85"/>
      <x:c r="U1025" s="86"/>
      <x:c r="V1025" s="32"/>
    </x:row>
    <x:row r="1026">
      <x:c r="A1026" s="87"/>
      <x:c r="B1026" s="88"/>
      <x:c r="D1026" s="32"/>
      <x:c r="G1026" s="74"/>
      <x:c r="H1026" s="74"/>
      <x:c r="I1026" s="74"/>
      <x:c r="J1026" s="74"/>
      <x:c r="K1026" s="74"/>
      <x:c r="L1026" s="74"/>
      <x:c r="M1026" s="74"/>
      <x:c r="N1026" s="91"/>
      <x:c r="O1026" s="91"/>
      <x:c r="P1026" s="91"/>
      <x:c r="Q1026" s="91"/>
      <x:c r="R1026" s="91"/>
      <x:c r="S1026" s="85"/>
      <x:c r="U1026" s="86"/>
      <x:c r="V1026" s="32"/>
    </x:row>
    <x:row r="1027">
      <x:c r="A1027" s="87"/>
      <x:c r="B1027" s="88"/>
      <x:c r="D1027" s="32"/>
      <x:c r="G1027" s="74"/>
      <x:c r="H1027" s="74"/>
      <x:c r="I1027" s="74"/>
      <x:c r="J1027" s="74"/>
      <x:c r="K1027" s="74"/>
      <x:c r="L1027" s="74"/>
      <x:c r="M1027" s="74"/>
      <x:c r="N1027" s="91"/>
      <x:c r="O1027" s="91"/>
      <x:c r="P1027" s="91"/>
      <x:c r="Q1027" s="91"/>
      <x:c r="R1027" s="91"/>
      <x:c r="S1027" s="85"/>
      <x:c r="U1027" s="86"/>
      <x:c r="V1027" s="32"/>
    </x:row>
    <x:row r="1028">
      <x:c r="A1028" s="87"/>
      <x:c r="B1028" s="88"/>
      <x:c r="D1028" s="32"/>
      <x:c r="G1028" s="74"/>
      <x:c r="H1028" s="74"/>
      <x:c r="I1028" s="74"/>
      <x:c r="J1028" s="74"/>
      <x:c r="K1028" s="74"/>
      <x:c r="L1028" s="74"/>
      <x:c r="M1028" s="74"/>
      <x:c r="N1028" s="91"/>
      <x:c r="O1028" s="91"/>
      <x:c r="P1028" s="91"/>
      <x:c r="Q1028" s="91"/>
      <x:c r="R1028" s="91"/>
      <x:c r="S1028" s="85"/>
      <x:c r="U1028" s="86"/>
      <x:c r="V1028" s="32"/>
    </x:row>
    <x:row r="1029">
      <x:c r="A1029" s="87"/>
      <x:c r="B1029" s="88"/>
      <x:c r="D1029" s="32"/>
      <x:c r="G1029" s="74"/>
      <x:c r="H1029" s="74"/>
      <x:c r="I1029" s="74"/>
      <x:c r="J1029" s="74"/>
      <x:c r="K1029" s="74"/>
      <x:c r="L1029" s="74"/>
      <x:c r="M1029" s="74"/>
      <x:c r="N1029" s="91"/>
      <x:c r="O1029" s="91"/>
      <x:c r="P1029" s="91"/>
      <x:c r="Q1029" s="91"/>
      <x:c r="R1029" s="91"/>
      <x:c r="S1029" s="85"/>
      <x:c r="U1029" s="86"/>
      <x:c r="V1029" s="32"/>
    </x:row>
    <x:row r="1030">
      <x:c r="A1030" s="87"/>
      <x:c r="B1030" s="88"/>
      <x:c r="D1030" s="32"/>
      <x:c r="G1030" s="74"/>
      <x:c r="H1030" s="74"/>
      <x:c r="I1030" s="74"/>
      <x:c r="J1030" s="74"/>
      <x:c r="K1030" s="74"/>
      <x:c r="L1030" s="74"/>
      <x:c r="M1030" s="74"/>
      <x:c r="N1030" s="91"/>
      <x:c r="O1030" s="91"/>
      <x:c r="P1030" s="91"/>
      <x:c r="Q1030" s="91"/>
      <x:c r="R1030" s="91"/>
      <x:c r="S1030" s="85"/>
      <x:c r="U1030" s="86"/>
      <x:c r="V1030" s="32"/>
    </x:row>
    <x:row r="1031">
      <x:c r="A1031" s="87"/>
      <x:c r="B1031" s="88"/>
      <x:c r="D1031" s="32"/>
      <x:c r="G1031" s="74"/>
      <x:c r="H1031" s="74"/>
      <x:c r="I1031" s="74"/>
      <x:c r="J1031" s="74"/>
      <x:c r="K1031" s="74"/>
      <x:c r="L1031" s="74"/>
      <x:c r="M1031" s="74"/>
      <x:c r="N1031" s="91"/>
      <x:c r="O1031" s="91"/>
      <x:c r="P1031" s="91"/>
      <x:c r="Q1031" s="91"/>
      <x:c r="R1031" s="91"/>
      <x:c r="S1031" s="85"/>
      <x:c r="U1031" s="86"/>
      <x:c r="V1031" s="32"/>
    </x:row>
    <x:row r="1032">
      <x:c r="A1032" s="87"/>
      <x:c r="B1032" s="88"/>
      <x:c r="D1032" s="32"/>
      <x:c r="G1032" s="74"/>
      <x:c r="H1032" s="74"/>
      <x:c r="I1032" s="74"/>
      <x:c r="J1032" s="74"/>
      <x:c r="K1032" s="74"/>
      <x:c r="L1032" s="74"/>
      <x:c r="M1032" s="74"/>
      <x:c r="N1032" s="91"/>
      <x:c r="O1032" s="91"/>
      <x:c r="P1032" s="91"/>
      <x:c r="Q1032" s="91"/>
      <x:c r="R1032" s="91"/>
      <x:c r="S1032" s="85"/>
      <x:c r="U1032" s="86"/>
      <x:c r="V1032" s="32"/>
    </x:row>
    <x:row r="1033">
      <x:c r="A1033" s="87"/>
      <x:c r="B1033" s="88"/>
      <x:c r="D1033" s="32"/>
      <x:c r="G1033" s="74"/>
      <x:c r="H1033" s="74"/>
      <x:c r="I1033" s="74"/>
      <x:c r="J1033" s="74"/>
      <x:c r="K1033" s="74"/>
      <x:c r="L1033" s="74"/>
      <x:c r="M1033" s="74"/>
      <x:c r="N1033" s="91"/>
      <x:c r="O1033" s="91"/>
      <x:c r="P1033" s="91"/>
      <x:c r="Q1033" s="91"/>
      <x:c r="R1033" s="91"/>
      <x:c r="S1033" s="85"/>
      <x:c r="U1033" s="86"/>
      <x:c r="V1033" s="32"/>
    </x:row>
    <x:row r="1034">
      <x:c r="A1034" s="87"/>
      <x:c r="B1034" s="88"/>
      <x:c r="D1034" s="32"/>
      <x:c r="G1034" s="74"/>
      <x:c r="H1034" s="74"/>
      <x:c r="I1034" s="74"/>
      <x:c r="J1034" s="74"/>
      <x:c r="K1034" s="74"/>
      <x:c r="L1034" s="74"/>
      <x:c r="M1034" s="74"/>
      <x:c r="N1034" s="91"/>
      <x:c r="O1034" s="91"/>
      <x:c r="P1034" s="91"/>
      <x:c r="Q1034" s="91"/>
      <x:c r="R1034" s="91"/>
      <x:c r="S1034" s="85"/>
      <x:c r="U1034" s="86"/>
      <x:c r="V1034" s="32"/>
    </x:row>
    <x:row r="1035">
      <x:c r="A1035" s="87"/>
      <x:c r="B1035" s="88"/>
      <x:c r="D1035" s="32"/>
      <x:c r="G1035" s="74"/>
      <x:c r="H1035" s="74"/>
      <x:c r="I1035" s="74"/>
      <x:c r="J1035" s="74"/>
      <x:c r="K1035" s="74"/>
      <x:c r="L1035" s="74"/>
      <x:c r="M1035" s="74"/>
      <x:c r="N1035" s="91"/>
      <x:c r="O1035" s="91"/>
      <x:c r="P1035" s="91"/>
      <x:c r="Q1035" s="91"/>
      <x:c r="R1035" s="91"/>
      <x:c r="S1035" s="85"/>
      <x:c r="U1035" s="86"/>
      <x:c r="V1035" s="32"/>
    </x:row>
    <x:row r="1036">
      <x:c r="A1036" s="87"/>
      <x:c r="B1036" s="88"/>
      <x:c r="D1036" s="32"/>
      <x:c r="G1036" s="74"/>
      <x:c r="H1036" s="74"/>
      <x:c r="I1036" s="74"/>
      <x:c r="J1036" s="74"/>
      <x:c r="K1036" s="74"/>
      <x:c r="L1036" s="74"/>
      <x:c r="M1036" s="74"/>
      <x:c r="N1036" s="91"/>
      <x:c r="O1036" s="91"/>
      <x:c r="P1036" s="91"/>
      <x:c r="Q1036" s="91"/>
      <x:c r="R1036" s="91"/>
      <x:c r="S1036" s="85"/>
      <x:c r="U1036" s="86"/>
      <x:c r="V1036" s="32"/>
    </x:row>
    <x:row r="1037">
      <x:c r="A1037" s="87"/>
      <x:c r="B1037" s="88"/>
      <x:c r="D1037" s="32"/>
      <x:c r="G1037" s="74"/>
      <x:c r="H1037" s="74"/>
      <x:c r="I1037" s="74"/>
      <x:c r="J1037" s="74"/>
      <x:c r="K1037" s="74"/>
      <x:c r="L1037" s="74"/>
      <x:c r="M1037" s="74"/>
      <x:c r="N1037" s="91"/>
      <x:c r="O1037" s="91"/>
      <x:c r="P1037" s="91"/>
      <x:c r="Q1037" s="91"/>
      <x:c r="R1037" s="91"/>
      <x:c r="S1037" s="85"/>
      <x:c r="U1037" s="86"/>
      <x:c r="V1037" s="32"/>
    </x:row>
    <x:row r="1038">
      <x:c r="A1038" s="87"/>
      <x:c r="B1038" s="88"/>
      <x:c r="D1038" s="32"/>
      <x:c r="G1038" s="74"/>
      <x:c r="H1038" s="74"/>
      <x:c r="I1038" s="74"/>
      <x:c r="J1038" s="74"/>
      <x:c r="K1038" s="74"/>
      <x:c r="L1038" s="74"/>
      <x:c r="M1038" s="74"/>
      <x:c r="N1038" s="91"/>
      <x:c r="O1038" s="91"/>
      <x:c r="P1038" s="91"/>
      <x:c r="Q1038" s="91"/>
      <x:c r="R1038" s="91"/>
      <x:c r="S1038" s="85"/>
      <x:c r="U1038" s="86"/>
      <x:c r="V1038" s="32"/>
    </x:row>
    <x:row r="1039">
      <x:c r="A1039" s="87"/>
      <x:c r="B1039" s="88"/>
      <x:c r="D1039" s="32"/>
      <x:c r="G1039" s="74"/>
      <x:c r="H1039" s="74"/>
      <x:c r="I1039" s="74"/>
      <x:c r="J1039" s="74"/>
      <x:c r="K1039" s="74"/>
      <x:c r="L1039" s="74"/>
      <x:c r="M1039" s="74"/>
      <x:c r="N1039" s="91"/>
      <x:c r="O1039" s="91"/>
      <x:c r="P1039" s="91"/>
      <x:c r="Q1039" s="91"/>
      <x:c r="R1039" s="91"/>
      <x:c r="S1039" s="85"/>
      <x:c r="U1039" s="86"/>
      <x:c r="V1039" s="32"/>
    </x:row>
    <x:row r="1040">
      <x:c r="A1040" s="87"/>
      <x:c r="B1040" s="88"/>
      <x:c r="D1040" s="32"/>
      <x:c r="G1040" s="74"/>
      <x:c r="H1040" s="74"/>
      <x:c r="I1040" s="74"/>
      <x:c r="J1040" s="74"/>
      <x:c r="K1040" s="74"/>
      <x:c r="L1040" s="74"/>
      <x:c r="M1040" s="74"/>
      <x:c r="N1040" s="91"/>
      <x:c r="O1040" s="91"/>
      <x:c r="P1040" s="91"/>
      <x:c r="Q1040" s="91"/>
      <x:c r="R1040" s="91"/>
      <x:c r="S1040" s="85"/>
      <x:c r="U1040" s="86"/>
      <x:c r="V1040" s="32"/>
    </x:row>
    <x:row r="1041">
      <x:c r="A1041" s="87"/>
      <x:c r="B1041" s="88"/>
      <x:c r="D1041" s="32"/>
      <x:c r="G1041" s="74"/>
      <x:c r="H1041" s="74"/>
      <x:c r="I1041" s="74"/>
      <x:c r="J1041" s="74"/>
      <x:c r="K1041" s="74"/>
      <x:c r="L1041" s="74"/>
      <x:c r="M1041" s="74"/>
      <x:c r="N1041" s="91"/>
      <x:c r="O1041" s="91"/>
      <x:c r="P1041" s="91"/>
      <x:c r="Q1041" s="91"/>
      <x:c r="R1041" s="91"/>
      <x:c r="S1041" s="85"/>
      <x:c r="U1041" s="86"/>
      <x:c r="V1041" s="32"/>
    </x:row>
    <x:row r="1042">
      <x:c r="A1042" s="87"/>
      <x:c r="B1042" s="88"/>
      <x:c r="D1042" s="32"/>
      <x:c r="G1042" s="74"/>
      <x:c r="H1042" s="74"/>
      <x:c r="I1042" s="74"/>
      <x:c r="J1042" s="74"/>
      <x:c r="K1042" s="74"/>
      <x:c r="L1042" s="74"/>
      <x:c r="M1042" s="74"/>
      <x:c r="N1042" s="91"/>
      <x:c r="O1042" s="91"/>
      <x:c r="P1042" s="91"/>
      <x:c r="Q1042" s="91"/>
      <x:c r="R1042" s="91"/>
      <x:c r="S1042" s="85"/>
      <x:c r="U1042" s="86"/>
      <x:c r="V1042" s="32"/>
    </x:row>
    <x:row r="1043">
      <x:c r="A1043" s="87"/>
      <x:c r="B1043" s="88"/>
      <x:c r="D1043" s="32"/>
      <x:c r="G1043" s="74"/>
      <x:c r="H1043" s="74"/>
      <x:c r="I1043" s="74"/>
      <x:c r="J1043" s="74"/>
      <x:c r="K1043" s="74"/>
      <x:c r="L1043" s="74"/>
      <x:c r="M1043" s="74"/>
      <x:c r="N1043" s="91"/>
      <x:c r="O1043" s="91"/>
      <x:c r="P1043" s="91"/>
      <x:c r="Q1043" s="91"/>
      <x:c r="R1043" s="91"/>
      <x:c r="S1043" s="85"/>
      <x:c r="U1043" s="86"/>
      <x:c r="V1043" s="32"/>
    </x:row>
    <x:row r="1044">
      <x:c r="A1044" s="87"/>
      <x:c r="B1044" s="88"/>
      <x:c r="D1044" s="32"/>
      <x:c r="G1044" s="74"/>
      <x:c r="H1044" s="74"/>
      <x:c r="I1044" s="74"/>
      <x:c r="J1044" s="74"/>
      <x:c r="K1044" s="74"/>
      <x:c r="L1044" s="74"/>
      <x:c r="M1044" s="74"/>
      <x:c r="N1044" s="91"/>
      <x:c r="O1044" s="91"/>
      <x:c r="P1044" s="91"/>
      <x:c r="Q1044" s="91"/>
      <x:c r="R1044" s="91"/>
      <x:c r="S1044" s="85"/>
      <x:c r="U1044" s="86"/>
      <x:c r="V1044" s="32"/>
    </x:row>
    <x:row r="1045">
      <x:c r="A1045" s="87"/>
      <x:c r="B1045" s="88"/>
      <x:c r="D1045" s="32"/>
      <x:c r="G1045" s="74"/>
      <x:c r="H1045" s="74"/>
      <x:c r="I1045" s="74"/>
      <x:c r="J1045" s="74"/>
      <x:c r="K1045" s="74"/>
      <x:c r="L1045" s="74"/>
      <x:c r="M1045" s="74"/>
      <x:c r="N1045" s="91"/>
      <x:c r="O1045" s="91"/>
      <x:c r="P1045" s="91"/>
      <x:c r="Q1045" s="91"/>
      <x:c r="R1045" s="91"/>
      <x:c r="S1045" s="85"/>
      <x:c r="U1045" s="86"/>
      <x:c r="V1045" s="32"/>
    </x:row>
    <x:row r="1046">
      <x:c r="A1046" s="87"/>
      <x:c r="B1046" s="88"/>
      <x:c r="D1046" s="32"/>
      <x:c r="G1046" s="74"/>
      <x:c r="H1046" s="74"/>
      <x:c r="I1046" s="74"/>
      <x:c r="J1046" s="74"/>
      <x:c r="K1046" s="74"/>
      <x:c r="L1046" s="74"/>
      <x:c r="M1046" s="74"/>
      <x:c r="N1046" s="91"/>
      <x:c r="O1046" s="91"/>
      <x:c r="P1046" s="91"/>
      <x:c r="Q1046" s="91"/>
      <x:c r="R1046" s="91"/>
      <x:c r="S1046" s="85"/>
      <x:c r="U1046" s="86"/>
      <x:c r="V1046" s="32"/>
    </x:row>
    <x:row r="1047">
      <x:c r="A1047" s="87"/>
      <x:c r="B1047" s="88"/>
      <x:c r="D1047" s="32"/>
      <x:c r="G1047" s="74"/>
      <x:c r="H1047" s="74"/>
      <x:c r="I1047" s="74"/>
      <x:c r="J1047" s="74"/>
      <x:c r="K1047" s="74"/>
      <x:c r="L1047" s="74"/>
      <x:c r="M1047" s="74"/>
      <x:c r="N1047" s="91"/>
      <x:c r="O1047" s="91"/>
      <x:c r="P1047" s="91"/>
      <x:c r="Q1047" s="91"/>
      <x:c r="R1047" s="91"/>
      <x:c r="S1047" s="85"/>
      <x:c r="U1047" s="86"/>
      <x:c r="V1047" s="32"/>
    </x:row>
    <x:row r="1048">
      <x:c r="A1048" s="87"/>
      <x:c r="B1048" s="88"/>
      <x:c r="D1048" s="32"/>
      <x:c r="G1048" s="74"/>
      <x:c r="H1048" s="74"/>
      <x:c r="I1048" s="74"/>
      <x:c r="J1048" s="74"/>
      <x:c r="K1048" s="74"/>
      <x:c r="L1048" s="74"/>
      <x:c r="M1048" s="74"/>
      <x:c r="N1048" s="91"/>
      <x:c r="O1048" s="91"/>
      <x:c r="P1048" s="91"/>
      <x:c r="Q1048" s="91"/>
      <x:c r="R1048" s="91"/>
      <x:c r="S1048" s="85"/>
      <x:c r="U1048" s="86"/>
      <x:c r="V1048" s="32"/>
    </x:row>
    <x:row r="1049">
      <x:c r="A1049" s="87"/>
      <x:c r="B1049" s="88"/>
      <x:c r="D1049" s="32"/>
      <x:c r="G1049" s="74"/>
      <x:c r="H1049" s="74"/>
      <x:c r="I1049" s="74"/>
      <x:c r="J1049" s="74"/>
      <x:c r="K1049" s="74"/>
      <x:c r="L1049" s="74"/>
      <x:c r="M1049" s="74"/>
      <x:c r="N1049" s="91"/>
      <x:c r="O1049" s="91"/>
      <x:c r="P1049" s="91"/>
      <x:c r="Q1049" s="91"/>
      <x:c r="R1049" s="91"/>
      <x:c r="S1049" s="85"/>
      <x:c r="U1049" s="86"/>
      <x:c r="V1049" s="32"/>
    </x:row>
    <x:row r="1050">
      <x:c r="A1050" s="87"/>
      <x:c r="B1050" s="88"/>
      <x:c r="D1050" s="32"/>
      <x:c r="G1050" s="74"/>
      <x:c r="H1050" s="74"/>
      <x:c r="I1050" s="74"/>
      <x:c r="J1050" s="74"/>
      <x:c r="K1050" s="74"/>
      <x:c r="L1050" s="74"/>
      <x:c r="M1050" s="74"/>
      <x:c r="N1050" s="91"/>
      <x:c r="O1050" s="91"/>
      <x:c r="P1050" s="91"/>
      <x:c r="Q1050" s="91"/>
      <x:c r="R1050" s="91"/>
      <x:c r="S1050" s="85"/>
      <x:c r="U1050" s="86"/>
      <x:c r="V1050" s="32"/>
    </x:row>
    <x:row r="1051">
      <x:c r="A1051" s="87"/>
      <x:c r="B1051" s="88"/>
      <x:c r="D1051" s="32"/>
      <x:c r="G1051" s="74"/>
      <x:c r="H1051" s="74"/>
      <x:c r="I1051" s="74"/>
      <x:c r="J1051" s="74"/>
      <x:c r="K1051" s="74"/>
      <x:c r="L1051" s="74"/>
      <x:c r="M1051" s="74"/>
      <x:c r="N1051" s="91"/>
      <x:c r="O1051" s="91"/>
      <x:c r="P1051" s="91"/>
      <x:c r="Q1051" s="91"/>
      <x:c r="R1051" s="91"/>
      <x:c r="S1051" s="85"/>
      <x:c r="U1051" s="86"/>
      <x:c r="V1051" s="32"/>
    </x:row>
    <x:row r="1052">
      <x:c r="A1052" s="87"/>
      <x:c r="B1052" s="88"/>
      <x:c r="D1052" s="32"/>
      <x:c r="G1052" s="74"/>
      <x:c r="H1052" s="74"/>
      <x:c r="I1052" s="74"/>
      <x:c r="J1052" s="74"/>
      <x:c r="K1052" s="74"/>
      <x:c r="L1052" s="74"/>
      <x:c r="M1052" s="74"/>
      <x:c r="N1052" s="91"/>
      <x:c r="O1052" s="91"/>
      <x:c r="P1052" s="91"/>
      <x:c r="Q1052" s="91"/>
      <x:c r="R1052" s="91"/>
      <x:c r="S1052" s="85"/>
      <x:c r="U1052" s="86"/>
      <x:c r="V1052" s="32"/>
    </x:row>
    <x:row r="1053">
      <x:c r="A1053" s="87"/>
      <x:c r="B1053" s="88"/>
      <x:c r="D1053" s="32"/>
      <x:c r="G1053" s="74"/>
      <x:c r="H1053" s="74"/>
      <x:c r="I1053" s="74"/>
      <x:c r="J1053" s="74"/>
      <x:c r="K1053" s="74"/>
      <x:c r="L1053" s="74"/>
      <x:c r="M1053" s="74"/>
      <x:c r="N1053" s="91"/>
      <x:c r="O1053" s="91"/>
      <x:c r="P1053" s="91"/>
      <x:c r="Q1053" s="91"/>
      <x:c r="R1053" s="91"/>
      <x:c r="S1053" s="85"/>
      <x:c r="U1053" s="86"/>
      <x:c r="V1053" s="32"/>
    </x:row>
    <x:row r="1054">
      <x:c r="A1054" s="87"/>
      <x:c r="B1054" s="88"/>
      <x:c r="D1054" s="32"/>
      <x:c r="G1054" s="74"/>
      <x:c r="H1054" s="74"/>
      <x:c r="I1054" s="74"/>
      <x:c r="J1054" s="74"/>
      <x:c r="K1054" s="74"/>
      <x:c r="L1054" s="74"/>
      <x:c r="M1054" s="74"/>
      <x:c r="N1054" s="91"/>
      <x:c r="O1054" s="91"/>
      <x:c r="P1054" s="91"/>
      <x:c r="Q1054" s="91"/>
      <x:c r="R1054" s="91"/>
      <x:c r="S1054" s="85"/>
      <x:c r="U1054" s="86"/>
      <x:c r="V1054" s="32"/>
    </x:row>
    <x:row r="1055">
      <x:c r="A1055" s="87"/>
      <x:c r="B1055" s="88"/>
      <x:c r="D1055" s="32"/>
      <x:c r="G1055" s="74"/>
      <x:c r="H1055" s="74"/>
      <x:c r="I1055" s="74"/>
      <x:c r="J1055" s="74"/>
      <x:c r="K1055" s="74"/>
      <x:c r="L1055" s="74"/>
      <x:c r="M1055" s="74"/>
      <x:c r="N1055" s="91"/>
      <x:c r="O1055" s="91"/>
      <x:c r="P1055" s="91"/>
      <x:c r="Q1055" s="91"/>
      <x:c r="R1055" s="91"/>
      <x:c r="S1055" s="85"/>
      <x:c r="U1055" s="86"/>
      <x:c r="V1055" s="32"/>
    </x:row>
    <x:row r="1056">
      <x:c r="A1056" s="87"/>
      <x:c r="B1056" s="88"/>
      <x:c r="D1056" s="32"/>
      <x:c r="G1056" s="74"/>
      <x:c r="H1056" s="74"/>
      <x:c r="I1056" s="74"/>
      <x:c r="J1056" s="74"/>
      <x:c r="K1056" s="74"/>
      <x:c r="L1056" s="74"/>
      <x:c r="M1056" s="74"/>
      <x:c r="N1056" s="91"/>
      <x:c r="O1056" s="91"/>
      <x:c r="P1056" s="91"/>
      <x:c r="Q1056" s="91"/>
      <x:c r="R1056" s="91"/>
      <x:c r="S1056" s="85"/>
      <x:c r="U1056" s="86"/>
      <x:c r="V1056" s="32"/>
    </x:row>
    <x:row r="1057">
      <x:c r="A1057" s="87"/>
      <x:c r="B1057" s="88"/>
      <x:c r="D1057" s="32"/>
      <x:c r="G1057" s="74"/>
      <x:c r="H1057" s="74"/>
      <x:c r="I1057" s="74"/>
      <x:c r="J1057" s="74"/>
      <x:c r="K1057" s="74"/>
      <x:c r="L1057" s="74"/>
      <x:c r="M1057" s="74"/>
      <x:c r="N1057" s="91"/>
      <x:c r="O1057" s="91"/>
      <x:c r="P1057" s="91"/>
      <x:c r="Q1057" s="91"/>
      <x:c r="R1057" s="91"/>
      <x:c r="S1057" s="85"/>
      <x:c r="U1057" s="86"/>
      <x:c r="V1057" s="32"/>
    </x:row>
    <x:row r="1058">
      <x:c r="A1058" s="87"/>
      <x:c r="B1058" s="88"/>
      <x:c r="D1058" s="32"/>
      <x:c r="G1058" s="74"/>
      <x:c r="H1058" s="74"/>
      <x:c r="I1058" s="74"/>
      <x:c r="J1058" s="74"/>
      <x:c r="K1058" s="74"/>
      <x:c r="L1058" s="74"/>
      <x:c r="M1058" s="74"/>
      <x:c r="N1058" s="91"/>
      <x:c r="O1058" s="91"/>
      <x:c r="P1058" s="91"/>
      <x:c r="Q1058" s="91"/>
      <x:c r="R1058" s="91"/>
      <x:c r="S1058" s="85"/>
      <x:c r="U1058" s="86"/>
      <x:c r="V1058" s="32"/>
    </x:row>
    <x:row r="1059">
      <x:c r="A1059" s="87"/>
      <x:c r="B1059" s="88"/>
      <x:c r="D1059" s="32"/>
      <x:c r="G1059" s="74"/>
      <x:c r="H1059" s="74"/>
      <x:c r="I1059" s="74"/>
      <x:c r="J1059" s="74"/>
      <x:c r="K1059" s="74"/>
      <x:c r="L1059" s="74"/>
      <x:c r="M1059" s="74"/>
      <x:c r="N1059" s="91"/>
      <x:c r="O1059" s="91"/>
      <x:c r="P1059" s="91"/>
      <x:c r="Q1059" s="91"/>
      <x:c r="R1059" s="91"/>
      <x:c r="S1059" s="85"/>
      <x:c r="U1059" s="86"/>
      <x:c r="V1059" s="32"/>
    </x:row>
    <x:row r="1060">
      <x:c r="A1060" s="87"/>
      <x:c r="B1060" s="88"/>
      <x:c r="D1060" s="32"/>
      <x:c r="G1060" s="74"/>
      <x:c r="H1060" s="74"/>
      <x:c r="I1060" s="74"/>
      <x:c r="J1060" s="74"/>
      <x:c r="K1060" s="74"/>
      <x:c r="L1060" s="74"/>
      <x:c r="M1060" s="74"/>
      <x:c r="N1060" s="91"/>
      <x:c r="O1060" s="91"/>
      <x:c r="P1060" s="91"/>
      <x:c r="Q1060" s="91"/>
      <x:c r="R1060" s="91"/>
      <x:c r="S1060" s="85"/>
      <x:c r="U1060" s="86"/>
      <x:c r="V1060" s="32"/>
    </x:row>
    <x:row r="1061">
      <x:c r="A1061" s="87"/>
      <x:c r="B1061" s="88"/>
      <x:c r="D1061" s="32"/>
      <x:c r="G1061" s="74"/>
      <x:c r="H1061" s="74"/>
      <x:c r="I1061" s="74"/>
      <x:c r="J1061" s="74"/>
      <x:c r="K1061" s="74"/>
      <x:c r="L1061" s="74"/>
      <x:c r="M1061" s="74"/>
      <x:c r="N1061" s="91"/>
      <x:c r="O1061" s="91"/>
      <x:c r="P1061" s="91"/>
      <x:c r="Q1061" s="91"/>
      <x:c r="R1061" s="91"/>
      <x:c r="S1061" s="85"/>
      <x:c r="U1061" s="86"/>
      <x:c r="V1061" s="32"/>
    </x:row>
    <x:row r="1062">
      <x:c r="A1062" s="87"/>
      <x:c r="B1062" s="88"/>
      <x:c r="D1062" s="32"/>
      <x:c r="G1062" s="74"/>
      <x:c r="H1062" s="74"/>
      <x:c r="I1062" s="74"/>
      <x:c r="J1062" s="74"/>
      <x:c r="K1062" s="74"/>
      <x:c r="L1062" s="74"/>
      <x:c r="M1062" s="74"/>
      <x:c r="N1062" s="91"/>
      <x:c r="O1062" s="91"/>
      <x:c r="P1062" s="91"/>
      <x:c r="Q1062" s="91"/>
      <x:c r="R1062" s="91"/>
      <x:c r="S1062" s="85"/>
      <x:c r="U1062" s="86"/>
      <x:c r="V1062" s="32"/>
    </x:row>
    <x:row r="1063">
      <x:c r="A1063" s="87"/>
      <x:c r="B1063" s="88"/>
      <x:c r="D1063" s="32"/>
      <x:c r="G1063" s="74"/>
      <x:c r="H1063" s="74"/>
      <x:c r="I1063" s="74"/>
      <x:c r="J1063" s="74"/>
      <x:c r="K1063" s="74"/>
      <x:c r="L1063" s="74"/>
      <x:c r="M1063" s="74"/>
      <x:c r="N1063" s="91"/>
      <x:c r="O1063" s="91"/>
      <x:c r="P1063" s="91"/>
      <x:c r="Q1063" s="91"/>
      <x:c r="R1063" s="91"/>
      <x:c r="S1063" s="85"/>
      <x:c r="U1063" s="86"/>
      <x:c r="V1063" s="32"/>
    </x:row>
    <x:row r="1064">
      <x:c r="A1064" s="87"/>
      <x:c r="B1064" s="88"/>
      <x:c r="D1064" s="32"/>
      <x:c r="G1064" s="74"/>
      <x:c r="H1064" s="74"/>
      <x:c r="I1064" s="74"/>
      <x:c r="J1064" s="74"/>
      <x:c r="K1064" s="74"/>
      <x:c r="L1064" s="74"/>
      <x:c r="M1064" s="74"/>
      <x:c r="N1064" s="91"/>
      <x:c r="O1064" s="91"/>
      <x:c r="P1064" s="91"/>
      <x:c r="Q1064" s="91"/>
      <x:c r="R1064" s="91"/>
      <x:c r="S1064" s="85"/>
      <x:c r="U1064" s="86"/>
      <x:c r="V1064" s="32"/>
    </x:row>
    <x:row r="1065">
      <x:c r="A1065" s="87"/>
      <x:c r="B1065" s="88"/>
      <x:c r="D1065" s="32"/>
      <x:c r="G1065" s="74"/>
      <x:c r="H1065" s="74"/>
      <x:c r="I1065" s="74"/>
      <x:c r="J1065" s="74"/>
      <x:c r="K1065" s="74"/>
      <x:c r="L1065" s="74"/>
      <x:c r="M1065" s="74"/>
      <x:c r="N1065" s="91"/>
      <x:c r="O1065" s="91"/>
      <x:c r="P1065" s="91"/>
      <x:c r="Q1065" s="91"/>
      <x:c r="R1065" s="91"/>
      <x:c r="S1065" s="85"/>
      <x:c r="U1065" s="86"/>
      <x:c r="V1065" s="32"/>
    </x:row>
    <x:row r="1066">
      <x:c r="A1066" s="87"/>
      <x:c r="B1066" s="88"/>
      <x:c r="D1066" s="32"/>
      <x:c r="G1066" s="74"/>
      <x:c r="H1066" s="74"/>
      <x:c r="I1066" s="74"/>
      <x:c r="J1066" s="74"/>
      <x:c r="K1066" s="74"/>
      <x:c r="L1066" s="74"/>
      <x:c r="M1066" s="74"/>
      <x:c r="N1066" s="91"/>
      <x:c r="O1066" s="91"/>
      <x:c r="P1066" s="91"/>
      <x:c r="Q1066" s="91"/>
      <x:c r="R1066" s="91"/>
      <x:c r="S1066" s="85"/>
      <x:c r="U1066" s="86"/>
      <x:c r="V1066" s="32"/>
    </x:row>
    <x:row r="1067">
      <x:c r="A1067" s="87"/>
      <x:c r="B1067" s="88"/>
      <x:c r="D1067" s="32"/>
      <x:c r="G1067" s="74"/>
      <x:c r="H1067" s="74"/>
      <x:c r="I1067" s="74"/>
      <x:c r="J1067" s="74"/>
      <x:c r="K1067" s="74"/>
      <x:c r="L1067" s="74"/>
      <x:c r="M1067" s="74"/>
      <x:c r="N1067" s="91"/>
      <x:c r="O1067" s="91"/>
      <x:c r="P1067" s="91"/>
      <x:c r="Q1067" s="91"/>
      <x:c r="R1067" s="91"/>
      <x:c r="S1067" s="85"/>
      <x:c r="U1067" s="86"/>
      <x:c r="V1067" s="32"/>
    </x:row>
    <x:row r="1068">
      <x:c r="A1068" s="87"/>
      <x:c r="B1068" s="88"/>
      <x:c r="D1068" s="32"/>
      <x:c r="G1068" s="74"/>
      <x:c r="H1068" s="74"/>
      <x:c r="I1068" s="74"/>
      <x:c r="J1068" s="74"/>
      <x:c r="K1068" s="74"/>
      <x:c r="L1068" s="74"/>
      <x:c r="M1068" s="74"/>
      <x:c r="N1068" s="91"/>
      <x:c r="O1068" s="91"/>
      <x:c r="P1068" s="91"/>
      <x:c r="Q1068" s="91"/>
      <x:c r="R1068" s="91"/>
      <x:c r="S1068" s="85"/>
      <x:c r="U1068" s="86"/>
      <x:c r="V1068" s="32"/>
    </x:row>
    <x:row r="1069">
      <x:c r="A1069" s="87"/>
      <x:c r="B1069" s="88"/>
      <x:c r="D1069" s="32"/>
      <x:c r="G1069" s="74"/>
      <x:c r="H1069" s="74"/>
      <x:c r="I1069" s="74"/>
      <x:c r="J1069" s="74"/>
      <x:c r="K1069" s="74"/>
      <x:c r="L1069" s="74"/>
      <x:c r="M1069" s="74"/>
      <x:c r="N1069" s="91"/>
      <x:c r="O1069" s="91"/>
      <x:c r="P1069" s="91"/>
      <x:c r="Q1069" s="91"/>
      <x:c r="R1069" s="91"/>
      <x:c r="S1069" s="85"/>
      <x:c r="U1069" s="86"/>
      <x:c r="V1069" s="32"/>
    </x:row>
    <x:row r="1070">
      <x:c r="A1070" s="87"/>
      <x:c r="B1070" s="88"/>
      <x:c r="D1070" s="32"/>
      <x:c r="G1070" s="74"/>
      <x:c r="H1070" s="74"/>
      <x:c r="I1070" s="74"/>
      <x:c r="J1070" s="74"/>
      <x:c r="K1070" s="74"/>
      <x:c r="L1070" s="74"/>
      <x:c r="M1070" s="74"/>
      <x:c r="N1070" s="91"/>
      <x:c r="O1070" s="91"/>
      <x:c r="P1070" s="91"/>
      <x:c r="Q1070" s="91"/>
      <x:c r="R1070" s="91"/>
      <x:c r="S1070" s="85"/>
      <x:c r="U1070" s="86"/>
      <x:c r="V1070" s="32"/>
    </x:row>
    <x:row r="1071">
      <x:c r="A1071" s="87"/>
      <x:c r="B1071" s="88"/>
      <x:c r="D1071" s="32"/>
      <x:c r="G1071" s="74"/>
      <x:c r="H1071" s="74"/>
      <x:c r="I1071" s="74"/>
      <x:c r="J1071" s="74"/>
      <x:c r="K1071" s="74"/>
      <x:c r="L1071" s="74"/>
      <x:c r="M1071" s="74"/>
      <x:c r="N1071" s="91"/>
      <x:c r="O1071" s="91"/>
      <x:c r="P1071" s="91"/>
      <x:c r="Q1071" s="91"/>
      <x:c r="R1071" s="91"/>
      <x:c r="S1071" s="85"/>
      <x:c r="U1071" s="86"/>
      <x:c r="V1071" s="32"/>
    </x:row>
    <x:row r="1072">
      <x:c r="A1072" s="87"/>
      <x:c r="B1072" s="88"/>
      <x:c r="D1072" s="32"/>
      <x:c r="G1072" s="74"/>
      <x:c r="H1072" s="74"/>
      <x:c r="I1072" s="74"/>
      <x:c r="J1072" s="74"/>
      <x:c r="K1072" s="74"/>
      <x:c r="L1072" s="74"/>
      <x:c r="M1072" s="74"/>
      <x:c r="N1072" s="91"/>
      <x:c r="O1072" s="91"/>
      <x:c r="P1072" s="91"/>
      <x:c r="Q1072" s="91"/>
      <x:c r="R1072" s="91"/>
      <x:c r="S1072" s="85"/>
      <x:c r="U1072" s="86"/>
      <x:c r="V1072" s="32"/>
    </x:row>
    <x:row r="1073">
      <x:c r="A1073" s="87"/>
      <x:c r="B1073" s="88"/>
      <x:c r="D1073" s="32"/>
      <x:c r="G1073" s="74"/>
      <x:c r="H1073" s="74"/>
      <x:c r="I1073" s="74"/>
      <x:c r="J1073" s="74"/>
      <x:c r="K1073" s="74"/>
      <x:c r="L1073" s="74"/>
      <x:c r="M1073" s="74"/>
      <x:c r="N1073" s="91"/>
      <x:c r="O1073" s="91"/>
      <x:c r="P1073" s="91"/>
      <x:c r="Q1073" s="91"/>
      <x:c r="R1073" s="91"/>
      <x:c r="S1073" s="85"/>
      <x:c r="U1073" s="86"/>
      <x:c r="V1073" s="32"/>
    </x:row>
    <x:row r="1074">
      <x:c r="A1074" s="87"/>
      <x:c r="B1074" s="88"/>
      <x:c r="D1074" s="32"/>
      <x:c r="G1074" s="74"/>
      <x:c r="H1074" s="74"/>
      <x:c r="I1074" s="74"/>
      <x:c r="J1074" s="74"/>
      <x:c r="K1074" s="74"/>
      <x:c r="L1074" s="74"/>
      <x:c r="M1074" s="74"/>
      <x:c r="N1074" s="91"/>
      <x:c r="O1074" s="91"/>
      <x:c r="P1074" s="91"/>
      <x:c r="Q1074" s="91"/>
      <x:c r="R1074" s="91"/>
      <x:c r="S1074" s="85"/>
      <x:c r="U1074" s="86"/>
      <x:c r="V1074" s="32"/>
    </x:row>
    <x:row r="1075">
      <x:c r="A1075" s="87"/>
      <x:c r="B1075" s="88"/>
      <x:c r="D1075" s="32"/>
      <x:c r="G1075" s="74"/>
      <x:c r="H1075" s="74"/>
      <x:c r="I1075" s="74"/>
      <x:c r="J1075" s="74"/>
      <x:c r="K1075" s="74"/>
      <x:c r="L1075" s="74"/>
      <x:c r="M1075" s="74"/>
      <x:c r="N1075" s="91"/>
      <x:c r="O1075" s="91"/>
      <x:c r="P1075" s="91"/>
      <x:c r="Q1075" s="91"/>
      <x:c r="R1075" s="91"/>
      <x:c r="S1075" s="85"/>
      <x:c r="U1075" s="86"/>
      <x:c r="V1075" s="32"/>
    </x:row>
    <x:row r="1076">
      <x:c r="A1076" s="87"/>
      <x:c r="B1076" s="88"/>
      <x:c r="D1076" s="32"/>
      <x:c r="G1076" s="74"/>
      <x:c r="H1076" s="74"/>
      <x:c r="I1076" s="74"/>
      <x:c r="J1076" s="74"/>
      <x:c r="K1076" s="74"/>
      <x:c r="L1076" s="74"/>
      <x:c r="M1076" s="74"/>
      <x:c r="N1076" s="91"/>
      <x:c r="O1076" s="91"/>
      <x:c r="P1076" s="91"/>
      <x:c r="Q1076" s="91"/>
      <x:c r="R1076" s="91"/>
      <x:c r="S1076" s="85"/>
      <x:c r="U1076" s="86"/>
      <x:c r="V1076" s="32"/>
    </x:row>
    <x:row r="1077">
      <x:c r="A1077" s="87"/>
      <x:c r="B1077" s="88"/>
      <x:c r="D1077" s="32"/>
      <x:c r="G1077" s="74"/>
      <x:c r="H1077" s="74"/>
      <x:c r="I1077" s="74"/>
      <x:c r="J1077" s="74"/>
      <x:c r="K1077" s="74"/>
      <x:c r="L1077" s="74"/>
      <x:c r="M1077" s="74"/>
      <x:c r="N1077" s="91"/>
      <x:c r="O1077" s="91"/>
      <x:c r="P1077" s="91"/>
      <x:c r="Q1077" s="91"/>
      <x:c r="R1077" s="91"/>
      <x:c r="S1077" s="85"/>
      <x:c r="U1077" s="86"/>
      <x:c r="V1077" s="32"/>
    </x:row>
    <x:row r="1078">
      <x:c r="A1078" s="87"/>
      <x:c r="B1078" s="88"/>
      <x:c r="D1078" s="32"/>
      <x:c r="G1078" s="74"/>
      <x:c r="H1078" s="74"/>
      <x:c r="I1078" s="74"/>
      <x:c r="J1078" s="74"/>
      <x:c r="K1078" s="74"/>
      <x:c r="L1078" s="74"/>
      <x:c r="M1078" s="74"/>
      <x:c r="N1078" s="91"/>
      <x:c r="O1078" s="91"/>
      <x:c r="P1078" s="91"/>
      <x:c r="Q1078" s="91"/>
      <x:c r="R1078" s="91"/>
      <x:c r="S1078" s="85"/>
      <x:c r="U1078" s="86"/>
      <x:c r="V1078" s="32"/>
    </x:row>
    <x:row r="1079">
      <x:c r="A1079" s="87"/>
      <x:c r="B1079" s="88"/>
      <x:c r="D1079" s="32"/>
      <x:c r="G1079" s="74"/>
      <x:c r="H1079" s="74"/>
      <x:c r="I1079" s="74"/>
      <x:c r="J1079" s="74"/>
      <x:c r="K1079" s="74"/>
      <x:c r="L1079" s="74"/>
      <x:c r="M1079" s="74"/>
      <x:c r="N1079" s="91"/>
      <x:c r="O1079" s="91"/>
      <x:c r="P1079" s="91"/>
      <x:c r="Q1079" s="91"/>
      <x:c r="R1079" s="91"/>
      <x:c r="S1079" s="85"/>
      <x:c r="U1079" s="86"/>
      <x:c r="V1079" s="32"/>
    </x:row>
    <x:row r="1080">
      <x:c r="A1080" s="87"/>
      <x:c r="B1080" s="88"/>
      <x:c r="D1080" s="32"/>
      <x:c r="G1080" s="74"/>
      <x:c r="H1080" s="74"/>
      <x:c r="I1080" s="74"/>
      <x:c r="J1080" s="74"/>
      <x:c r="K1080" s="74"/>
      <x:c r="L1080" s="74"/>
      <x:c r="M1080" s="74"/>
      <x:c r="N1080" s="91"/>
      <x:c r="O1080" s="91"/>
      <x:c r="P1080" s="91"/>
      <x:c r="Q1080" s="91"/>
      <x:c r="R1080" s="91"/>
      <x:c r="S1080" s="85"/>
      <x:c r="U1080" s="86"/>
      <x:c r="V1080" s="32"/>
    </x:row>
    <x:row r="1081">
      <x:c r="A1081" s="87"/>
      <x:c r="B1081" s="88"/>
      <x:c r="D1081" s="32"/>
      <x:c r="G1081" s="74"/>
      <x:c r="H1081" s="74"/>
      <x:c r="I1081" s="74"/>
      <x:c r="J1081" s="74"/>
      <x:c r="K1081" s="74"/>
      <x:c r="L1081" s="74"/>
      <x:c r="M1081" s="74"/>
      <x:c r="N1081" s="91"/>
      <x:c r="O1081" s="91"/>
      <x:c r="P1081" s="91"/>
      <x:c r="Q1081" s="91"/>
      <x:c r="R1081" s="91"/>
      <x:c r="S1081" s="85"/>
      <x:c r="U1081" s="86"/>
      <x:c r="V1081" s="32"/>
    </x:row>
    <x:row r="1082">
      <x:c r="A1082" s="87"/>
      <x:c r="B1082" s="88"/>
      <x:c r="D1082" s="32"/>
      <x:c r="G1082" s="74"/>
      <x:c r="H1082" s="74"/>
      <x:c r="I1082" s="74"/>
      <x:c r="J1082" s="74"/>
      <x:c r="K1082" s="74"/>
      <x:c r="L1082" s="74"/>
      <x:c r="M1082" s="74"/>
      <x:c r="N1082" s="91"/>
      <x:c r="O1082" s="91"/>
      <x:c r="P1082" s="91"/>
      <x:c r="Q1082" s="91"/>
      <x:c r="R1082" s="91"/>
      <x:c r="S1082" s="85"/>
      <x:c r="U1082" s="86"/>
      <x:c r="V1082" s="32"/>
    </x:row>
    <x:row r="1083">
      <x:c r="A1083" s="87"/>
      <x:c r="B1083" s="88"/>
      <x:c r="D1083" s="32"/>
      <x:c r="G1083" s="74"/>
      <x:c r="H1083" s="74"/>
      <x:c r="I1083" s="74"/>
      <x:c r="J1083" s="74"/>
      <x:c r="K1083" s="74"/>
      <x:c r="L1083" s="74"/>
      <x:c r="M1083" s="74"/>
      <x:c r="N1083" s="91"/>
      <x:c r="O1083" s="91"/>
      <x:c r="P1083" s="91"/>
      <x:c r="Q1083" s="91"/>
      <x:c r="R1083" s="91"/>
      <x:c r="S1083" s="85"/>
      <x:c r="U1083" s="86"/>
      <x:c r="V1083" s="32"/>
    </x:row>
    <x:row r="1084">
      <x:c r="A1084" s="87"/>
      <x:c r="B1084" s="88"/>
      <x:c r="D1084" s="32"/>
      <x:c r="G1084" s="74"/>
      <x:c r="H1084" s="74"/>
      <x:c r="I1084" s="74"/>
      <x:c r="J1084" s="74"/>
      <x:c r="K1084" s="74"/>
      <x:c r="L1084" s="74"/>
      <x:c r="M1084" s="74"/>
      <x:c r="N1084" s="91"/>
      <x:c r="O1084" s="91"/>
      <x:c r="P1084" s="91"/>
      <x:c r="Q1084" s="91"/>
      <x:c r="R1084" s="91"/>
      <x:c r="S1084" s="85"/>
      <x:c r="U1084" s="86"/>
      <x:c r="V1084" s="32"/>
    </x:row>
    <x:row r="1085">
      <x:c r="A1085" s="87"/>
      <x:c r="B1085" s="88"/>
      <x:c r="D1085" s="32"/>
      <x:c r="G1085" s="74"/>
      <x:c r="H1085" s="74"/>
      <x:c r="I1085" s="74"/>
      <x:c r="J1085" s="74"/>
      <x:c r="K1085" s="74"/>
      <x:c r="L1085" s="74"/>
      <x:c r="M1085" s="74"/>
      <x:c r="N1085" s="91"/>
      <x:c r="O1085" s="91"/>
      <x:c r="P1085" s="91"/>
      <x:c r="Q1085" s="91"/>
      <x:c r="R1085" s="91"/>
      <x:c r="S1085" s="85"/>
      <x:c r="U1085" s="86"/>
      <x:c r="V1085" s="32"/>
    </x:row>
    <x:row r="1086">
      <x:c r="A1086" s="87"/>
      <x:c r="B1086" s="88"/>
      <x:c r="D1086" s="32"/>
      <x:c r="G1086" s="74"/>
      <x:c r="H1086" s="74"/>
      <x:c r="I1086" s="74"/>
      <x:c r="J1086" s="74"/>
      <x:c r="K1086" s="74"/>
      <x:c r="L1086" s="74"/>
      <x:c r="M1086" s="74"/>
      <x:c r="N1086" s="91"/>
      <x:c r="O1086" s="91"/>
      <x:c r="P1086" s="91"/>
      <x:c r="Q1086" s="91"/>
      <x:c r="R1086" s="91"/>
      <x:c r="S1086" s="85"/>
      <x:c r="U1086" s="86"/>
      <x:c r="V1086" s="32"/>
    </x:row>
    <x:row r="1087">
      <x:c r="A1087" s="87"/>
      <x:c r="B1087" s="88"/>
      <x:c r="D1087" s="32"/>
      <x:c r="G1087" s="74"/>
      <x:c r="H1087" s="74"/>
      <x:c r="I1087" s="74"/>
      <x:c r="J1087" s="74"/>
      <x:c r="K1087" s="74"/>
      <x:c r="L1087" s="74"/>
      <x:c r="M1087" s="74"/>
      <x:c r="N1087" s="91"/>
      <x:c r="O1087" s="91"/>
      <x:c r="P1087" s="91"/>
      <x:c r="Q1087" s="91"/>
      <x:c r="R1087" s="91"/>
      <x:c r="S1087" s="85"/>
      <x:c r="U1087" s="86"/>
      <x:c r="V1087" s="32"/>
    </x:row>
    <x:row r="1088">
      <x:c r="A1088" s="87"/>
      <x:c r="B1088" s="88"/>
      <x:c r="D1088" s="32"/>
      <x:c r="G1088" s="74"/>
      <x:c r="H1088" s="74"/>
      <x:c r="I1088" s="74"/>
      <x:c r="J1088" s="74"/>
      <x:c r="K1088" s="74"/>
      <x:c r="L1088" s="74"/>
      <x:c r="M1088" s="74"/>
      <x:c r="N1088" s="91"/>
      <x:c r="O1088" s="91"/>
      <x:c r="P1088" s="91"/>
      <x:c r="Q1088" s="91"/>
      <x:c r="R1088" s="91"/>
      <x:c r="S1088" s="85"/>
      <x:c r="U1088" s="86"/>
      <x:c r="V1088" s="32"/>
    </x:row>
    <x:row r="1089">
      <x:c r="A1089" s="87"/>
      <x:c r="B1089" s="88"/>
      <x:c r="D1089" s="32"/>
      <x:c r="G1089" s="74"/>
      <x:c r="H1089" s="74"/>
      <x:c r="I1089" s="74"/>
      <x:c r="J1089" s="74"/>
      <x:c r="K1089" s="74"/>
      <x:c r="L1089" s="74"/>
      <x:c r="M1089" s="74"/>
      <x:c r="N1089" s="91"/>
      <x:c r="O1089" s="91"/>
      <x:c r="P1089" s="91"/>
      <x:c r="Q1089" s="91"/>
      <x:c r="R1089" s="91"/>
      <x:c r="S1089" s="85"/>
      <x:c r="U1089" s="86"/>
      <x:c r="V1089" s="32"/>
    </x:row>
    <x:row r="1090">
      <x:c r="A1090" s="87"/>
      <x:c r="B1090" s="88"/>
      <x:c r="D1090" s="32"/>
      <x:c r="G1090" s="74"/>
      <x:c r="H1090" s="74"/>
      <x:c r="I1090" s="74"/>
      <x:c r="J1090" s="74"/>
      <x:c r="K1090" s="74"/>
      <x:c r="L1090" s="74"/>
      <x:c r="M1090" s="74"/>
      <x:c r="N1090" s="91"/>
      <x:c r="O1090" s="91"/>
      <x:c r="P1090" s="91"/>
      <x:c r="Q1090" s="91"/>
      <x:c r="R1090" s="91"/>
      <x:c r="S1090" s="85"/>
      <x:c r="U1090" s="86"/>
      <x:c r="V1090" s="32"/>
    </x:row>
    <x:row r="1091">
      <x:c r="A1091" s="87"/>
      <x:c r="B1091" s="88"/>
      <x:c r="D1091" s="32"/>
      <x:c r="G1091" s="74"/>
      <x:c r="H1091" s="74"/>
      <x:c r="I1091" s="74"/>
      <x:c r="J1091" s="74"/>
      <x:c r="K1091" s="74"/>
      <x:c r="L1091" s="74"/>
      <x:c r="M1091" s="74"/>
      <x:c r="N1091" s="91"/>
      <x:c r="O1091" s="91"/>
      <x:c r="P1091" s="91"/>
      <x:c r="Q1091" s="91"/>
      <x:c r="R1091" s="91"/>
      <x:c r="S1091" s="85"/>
      <x:c r="U1091" s="86"/>
      <x:c r="V1091" s="32"/>
    </x:row>
    <x:row r="1092">
      <x:c r="A1092" s="87"/>
      <x:c r="B1092" s="88"/>
      <x:c r="D1092" s="32"/>
      <x:c r="G1092" s="74"/>
      <x:c r="H1092" s="74"/>
      <x:c r="I1092" s="74"/>
      <x:c r="J1092" s="74"/>
      <x:c r="K1092" s="74"/>
      <x:c r="L1092" s="74"/>
      <x:c r="M1092" s="74"/>
      <x:c r="N1092" s="91"/>
      <x:c r="O1092" s="91"/>
      <x:c r="P1092" s="91"/>
      <x:c r="Q1092" s="91"/>
      <x:c r="R1092" s="91"/>
      <x:c r="S1092" s="85"/>
      <x:c r="U1092" s="86"/>
      <x:c r="V1092" s="32"/>
    </x:row>
    <x:row r="1093">
      <x:c r="A1093" s="87"/>
      <x:c r="B1093" s="88"/>
      <x:c r="D1093" s="32"/>
      <x:c r="G1093" s="74"/>
      <x:c r="H1093" s="74"/>
      <x:c r="I1093" s="74"/>
      <x:c r="J1093" s="74"/>
      <x:c r="K1093" s="74"/>
      <x:c r="L1093" s="74"/>
      <x:c r="M1093" s="74"/>
      <x:c r="N1093" s="91"/>
      <x:c r="O1093" s="91"/>
      <x:c r="P1093" s="91"/>
      <x:c r="Q1093" s="91"/>
      <x:c r="R1093" s="91"/>
      <x:c r="S1093" s="85"/>
      <x:c r="U1093" s="86"/>
      <x:c r="V1093" s="32"/>
    </x:row>
    <x:row r="1094">
      <x:c r="A1094" s="87"/>
      <x:c r="B1094" s="88"/>
      <x:c r="D1094" s="32"/>
      <x:c r="G1094" s="74"/>
      <x:c r="H1094" s="74"/>
      <x:c r="I1094" s="74"/>
      <x:c r="J1094" s="74"/>
      <x:c r="K1094" s="74"/>
      <x:c r="L1094" s="74"/>
      <x:c r="M1094" s="74"/>
      <x:c r="N1094" s="91"/>
      <x:c r="O1094" s="91"/>
      <x:c r="P1094" s="91"/>
      <x:c r="Q1094" s="91"/>
      <x:c r="R1094" s="91"/>
      <x:c r="S1094" s="85"/>
      <x:c r="U1094" s="86"/>
      <x:c r="V1094" s="32"/>
    </x:row>
    <x:row r="1095">
      <x:c r="A1095" s="87"/>
      <x:c r="B1095" s="88"/>
      <x:c r="D1095" s="32"/>
      <x:c r="G1095" s="74"/>
      <x:c r="H1095" s="74"/>
      <x:c r="I1095" s="74"/>
      <x:c r="J1095" s="74"/>
      <x:c r="K1095" s="74"/>
      <x:c r="L1095" s="74"/>
      <x:c r="M1095" s="74"/>
      <x:c r="N1095" s="91"/>
      <x:c r="O1095" s="91"/>
      <x:c r="P1095" s="91"/>
      <x:c r="Q1095" s="91"/>
      <x:c r="R1095" s="91"/>
      <x:c r="S1095" s="85"/>
      <x:c r="U1095" s="86"/>
      <x:c r="V1095" s="32"/>
    </x:row>
    <x:row r="1096">
      <x:c r="A1096" s="87"/>
      <x:c r="B1096" s="88"/>
      <x:c r="D1096" s="32"/>
      <x:c r="G1096" s="74"/>
      <x:c r="H1096" s="74"/>
      <x:c r="I1096" s="74"/>
      <x:c r="J1096" s="74"/>
      <x:c r="K1096" s="74"/>
      <x:c r="L1096" s="74"/>
      <x:c r="M1096" s="74"/>
      <x:c r="N1096" s="91"/>
      <x:c r="O1096" s="91"/>
      <x:c r="P1096" s="91"/>
      <x:c r="Q1096" s="91"/>
      <x:c r="R1096" s="91"/>
      <x:c r="S1096" s="85"/>
      <x:c r="U1096" s="86"/>
      <x:c r="V1096" s="32"/>
    </x:row>
    <x:row r="1097">
      <x:c r="A1097" s="87"/>
      <x:c r="B1097" s="88"/>
      <x:c r="D1097" s="32"/>
      <x:c r="G1097" s="74"/>
      <x:c r="H1097" s="74"/>
      <x:c r="I1097" s="74"/>
      <x:c r="J1097" s="74"/>
      <x:c r="K1097" s="74"/>
      <x:c r="L1097" s="74"/>
      <x:c r="M1097" s="74"/>
      <x:c r="N1097" s="91"/>
      <x:c r="O1097" s="91"/>
      <x:c r="P1097" s="91"/>
      <x:c r="Q1097" s="91"/>
      <x:c r="R1097" s="91"/>
      <x:c r="S1097" s="85"/>
      <x:c r="U1097" s="86"/>
      <x:c r="V1097" s="32"/>
    </x:row>
    <x:row r="1098">
      <x:c r="A1098" s="87"/>
      <x:c r="B1098" s="88"/>
      <x:c r="D1098" s="32"/>
      <x:c r="G1098" s="74"/>
      <x:c r="H1098" s="74"/>
      <x:c r="I1098" s="74"/>
      <x:c r="J1098" s="74"/>
      <x:c r="K1098" s="74"/>
      <x:c r="L1098" s="74"/>
      <x:c r="M1098" s="74"/>
      <x:c r="N1098" s="91"/>
      <x:c r="O1098" s="91"/>
      <x:c r="P1098" s="91"/>
      <x:c r="Q1098" s="91"/>
      <x:c r="R1098" s="91"/>
      <x:c r="S1098" s="85"/>
      <x:c r="U1098" s="86"/>
      <x:c r="V1098" s="32"/>
    </x:row>
    <x:row r="1099">
      <x:c r="A1099" s="87"/>
      <x:c r="B1099" s="88"/>
      <x:c r="D1099" s="32"/>
      <x:c r="G1099" s="74"/>
      <x:c r="H1099" s="74"/>
      <x:c r="I1099" s="74"/>
      <x:c r="J1099" s="74"/>
      <x:c r="K1099" s="74"/>
      <x:c r="L1099" s="74"/>
      <x:c r="M1099" s="74"/>
      <x:c r="N1099" s="91"/>
      <x:c r="O1099" s="91"/>
      <x:c r="P1099" s="91"/>
      <x:c r="Q1099" s="91"/>
      <x:c r="R1099" s="91"/>
      <x:c r="S1099" s="85"/>
      <x:c r="U1099" s="86"/>
      <x:c r="V1099" s="32"/>
    </x:row>
    <x:row r="1100">
      <x:c r="A1100" s="87"/>
      <x:c r="B1100" s="88"/>
      <x:c r="D1100" s="32"/>
      <x:c r="G1100" s="74"/>
      <x:c r="H1100" s="74"/>
      <x:c r="I1100" s="74"/>
      <x:c r="J1100" s="74"/>
      <x:c r="K1100" s="74"/>
      <x:c r="L1100" s="74"/>
      <x:c r="M1100" s="74"/>
      <x:c r="N1100" s="91"/>
      <x:c r="O1100" s="91"/>
      <x:c r="P1100" s="91"/>
      <x:c r="Q1100" s="91"/>
      <x:c r="R1100" s="91"/>
      <x:c r="S1100" s="85"/>
      <x:c r="U1100" s="86"/>
      <x:c r="V1100" s="32"/>
    </x:row>
    <x:row r="1101">
      <x:c r="A1101" s="87"/>
      <x:c r="B1101" s="88"/>
      <x:c r="D1101" s="32"/>
      <x:c r="G1101" s="74"/>
      <x:c r="H1101" s="74"/>
      <x:c r="I1101" s="74"/>
      <x:c r="J1101" s="74"/>
      <x:c r="K1101" s="74"/>
      <x:c r="L1101" s="74"/>
      <x:c r="M1101" s="74"/>
      <x:c r="N1101" s="91"/>
      <x:c r="O1101" s="91"/>
      <x:c r="P1101" s="91"/>
      <x:c r="Q1101" s="91"/>
      <x:c r="R1101" s="91"/>
      <x:c r="S1101" s="85"/>
      <x:c r="U1101" s="86"/>
      <x:c r="V1101" s="32"/>
    </x:row>
    <x:row r="1102">
      <x:c r="A1102" s="87"/>
      <x:c r="B1102" s="88"/>
      <x:c r="D1102" s="32"/>
      <x:c r="G1102" s="74"/>
      <x:c r="H1102" s="74"/>
      <x:c r="I1102" s="74"/>
      <x:c r="J1102" s="74"/>
      <x:c r="K1102" s="74"/>
      <x:c r="L1102" s="74"/>
      <x:c r="M1102" s="74"/>
      <x:c r="N1102" s="91"/>
      <x:c r="O1102" s="91"/>
      <x:c r="P1102" s="91"/>
      <x:c r="Q1102" s="91"/>
      <x:c r="R1102" s="91"/>
      <x:c r="S1102" s="85"/>
      <x:c r="U1102" s="86"/>
      <x:c r="V1102" s="32"/>
    </x:row>
    <x:row r="1103">
      <x:c r="A1103" s="87"/>
      <x:c r="B1103" s="88"/>
      <x:c r="D1103" s="32"/>
      <x:c r="G1103" s="74"/>
      <x:c r="H1103" s="74"/>
      <x:c r="I1103" s="74"/>
      <x:c r="J1103" s="74"/>
      <x:c r="K1103" s="74"/>
      <x:c r="L1103" s="74"/>
      <x:c r="M1103" s="74"/>
      <x:c r="N1103" s="91"/>
      <x:c r="O1103" s="91"/>
      <x:c r="P1103" s="91"/>
      <x:c r="Q1103" s="91"/>
      <x:c r="R1103" s="91"/>
      <x:c r="S1103" s="85"/>
      <x:c r="U1103" s="86"/>
      <x:c r="V1103" s="32"/>
    </x:row>
    <x:row r="1104">
      <x:c r="A1104" s="87"/>
      <x:c r="B1104" s="88"/>
      <x:c r="D1104" s="32"/>
      <x:c r="G1104" s="74"/>
      <x:c r="H1104" s="74"/>
      <x:c r="I1104" s="74"/>
      <x:c r="J1104" s="74"/>
      <x:c r="K1104" s="74"/>
      <x:c r="L1104" s="74"/>
      <x:c r="M1104" s="74"/>
      <x:c r="N1104" s="91"/>
      <x:c r="O1104" s="91"/>
      <x:c r="P1104" s="91"/>
      <x:c r="Q1104" s="91"/>
      <x:c r="R1104" s="91"/>
      <x:c r="S1104" s="85"/>
      <x:c r="U1104" s="86"/>
      <x:c r="V1104" s="32"/>
    </x:row>
    <x:row r="1105">
      <x:c r="A1105" s="87"/>
      <x:c r="B1105" s="88"/>
      <x:c r="D1105" s="32"/>
      <x:c r="G1105" s="74"/>
      <x:c r="H1105" s="74"/>
      <x:c r="I1105" s="74"/>
      <x:c r="J1105" s="74"/>
      <x:c r="K1105" s="74"/>
      <x:c r="L1105" s="74"/>
      <x:c r="M1105" s="74"/>
      <x:c r="N1105" s="91"/>
      <x:c r="O1105" s="91"/>
      <x:c r="P1105" s="91"/>
      <x:c r="Q1105" s="91"/>
      <x:c r="R1105" s="91"/>
      <x:c r="S1105" s="85"/>
      <x:c r="U1105" s="86"/>
      <x:c r="V1105" s="32"/>
    </x:row>
    <x:row r="1106">
      <x:c r="A1106" s="87"/>
      <x:c r="B1106" s="88"/>
      <x:c r="D1106" s="32"/>
      <x:c r="G1106" s="74"/>
      <x:c r="H1106" s="74"/>
      <x:c r="I1106" s="74"/>
      <x:c r="J1106" s="74"/>
      <x:c r="K1106" s="74"/>
      <x:c r="L1106" s="74"/>
      <x:c r="M1106" s="74"/>
      <x:c r="N1106" s="91"/>
      <x:c r="O1106" s="91"/>
      <x:c r="P1106" s="91"/>
      <x:c r="Q1106" s="91"/>
      <x:c r="R1106" s="91"/>
      <x:c r="S1106" s="85"/>
      <x:c r="U1106" s="86"/>
      <x:c r="V1106" s="32"/>
    </x:row>
    <x:row r="1107">
      <x:c r="A1107" s="87"/>
      <x:c r="B1107" s="88"/>
      <x:c r="D1107" s="32"/>
      <x:c r="G1107" s="74"/>
      <x:c r="H1107" s="74"/>
      <x:c r="I1107" s="74"/>
      <x:c r="J1107" s="74"/>
      <x:c r="K1107" s="74"/>
      <x:c r="L1107" s="74"/>
      <x:c r="M1107" s="74"/>
      <x:c r="N1107" s="91"/>
      <x:c r="O1107" s="91"/>
      <x:c r="P1107" s="91"/>
      <x:c r="Q1107" s="91"/>
      <x:c r="R1107" s="91"/>
      <x:c r="S1107" s="85"/>
      <x:c r="U1107" s="86"/>
      <x:c r="V1107" s="32"/>
    </x:row>
    <x:row r="1108">
      <x:c r="A1108" s="87"/>
      <x:c r="B1108" s="88"/>
      <x:c r="D1108" s="32"/>
      <x:c r="G1108" s="74"/>
      <x:c r="H1108" s="74"/>
      <x:c r="I1108" s="74"/>
      <x:c r="J1108" s="74"/>
      <x:c r="K1108" s="74"/>
      <x:c r="L1108" s="74"/>
      <x:c r="M1108" s="74"/>
      <x:c r="N1108" s="91"/>
      <x:c r="O1108" s="91"/>
      <x:c r="P1108" s="91"/>
      <x:c r="Q1108" s="91"/>
      <x:c r="R1108" s="91"/>
      <x:c r="S1108" s="85"/>
      <x:c r="U1108" s="86"/>
      <x:c r="V1108" s="32"/>
    </x:row>
    <x:row r="1109">
      <x:c r="A1109" s="87"/>
      <x:c r="B1109" s="88"/>
      <x:c r="D1109" s="32"/>
      <x:c r="G1109" s="74"/>
      <x:c r="H1109" s="74"/>
      <x:c r="I1109" s="74"/>
      <x:c r="J1109" s="74"/>
      <x:c r="K1109" s="74"/>
      <x:c r="L1109" s="74"/>
      <x:c r="M1109" s="74"/>
      <x:c r="N1109" s="91"/>
      <x:c r="O1109" s="91"/>
      <x:c r="P1109" s="91"/>
      <x:c r="Q1109" s="91"/>
      <x:c r="R1109" s="91"/>
      <x:c r="S1109" s="85"/>
      <x:c r="U1109" s="86"/>
      <x:c r="V1109" s="32"/>
    </x:row>
    <x:row r="1110">
      <x:c r="A1110" s="87"/>
      <x:c r="B1110" s="88"/>
      <x:c r="D1110" s="32"/>
      <x:c r="G1110" s="74"/>
      <x:c r="H1110" s="74"/>
      <x:c r="I1110" s="74"/>
      <x:c r="J1110" s="74"/>
      <x:c r="K1110" s="74"/>
      <x:c r="L1110" s="74"/>
      <x:c r="M1110" s="74"/>
      <x:c r="N1110" s="91"/>
      <x:c r="O1110" s="91"/>
      <x:c r="P1110" s="91"/>
      <x:c r="Q1110" s="91"/>
      <x:c r="R1110" s="91"/>
      <x:c r="S1110" s="85"/>
      <x:c r="U1110" s="86"/>
      <x:c r="V1110" s="32"/>
    </x:row>
    <x:row r="1111">
      <x:c r="A1111" s="87"/>
      <x:c r="B1111" s="88"/>
      <x:c r="D1111" s="32"/>
      <x:c r="G1111" s="74"/>
      <x:c r="H1111" s="74"/>
      <x:c r="I1111" s="74"/>
      <x:c r="J1111" s="74"/>
      <x:c r="K1111" s="74"/>
      <x:c r="L1111" s="74"/>
      <x:c r="M1111" s="74"/>
      <x:c r="N1111" s="91"/>
      <x:c r="O1111" s="91"/>
      <x:c r="P1111" s="91"/>
      <x:c r="Q1111" s="91"/>
      <x:c r="R1111" s="91"/>
      <x:c r="S1111" s="85"/>
      <x:c r="U1111" s="86"/>
      <x:c r="V1111" s="32"/>
    </x:row>
    <x:row r="1112">
      <x:c r="A1112" s="87"/>
      <x:c r="B1112" s="88"/>
      <x:c r="D1112" s="32"/>
      <x:c r="G1112" s="74"/>
      <x:c r="H1112" s="74"/>
      <x:c r="I1112" s="74"/>
      <x:c r="J1112" s="74"/>
      <x:c r="K1112" s="74"/>
      <x:c r="L1112" s="74"/>
      <x:c r="M1112" s="74"/>
      <x:c r="N1112" s="91"/>
      <x:c r="O1112" s="91"/>
      <x:c r="P1112" s="91"/>
      <x:c r="Q1112" s="91"/>
      <x:c r="R1112" s="91"/>
      <x:c r="S1112" s="85"/>
      <x:c r="U1112" s="86"/>
      <x:c r="V1112" s="32"/>
    </x:row>
    <x:row r="1113">
      <x:c r="A1113" s="87"/>
      <x:c r="B1113" s="88"/>
      <x:c r="D1113" s="32"/>
      <x:c r="G1113" s="74"/>
      <x:c r="H1113" s="74"/>
      <x:c r="I1113" s="74"/>
      <x:c r="J1113" s="74"/>
      <x:c r="K1113" s="74"/>
      <x:c r="L1113" s="74"/>
      <x:c r="M1113" s="74"/>
      <x:c r="N1113" s="91"/>
      <x:c r="O1113" s="91"/>
      <x:c r="P1113" s="91"/>
      <x:c r="Q1113" s="91"/>
      <x:c r="R1113" s="91"/>
      <x:c r="S1113" s="85"/>
      <x:c r="U1113" s="86"/>
      <x:c r="V1113" s="32"/>
    </x:row>
    <x:row r="1114">
      <x:c r="A1114" s="87"/>
      <x:c r="B1114" s="88"/>
      <x:c r="D1114" s="32"/>
      <x:c r="G1114" s="74"/>
      <x:c r="H1114" s="74"/>
      <x:c r="I1114" s="74"/>
      <x:c r="J1114" s="74"/>
      <x:c r="K1114" s="74"/>
      <x:c r="L1114" s="74"/>
      <x:c r="M1114" s="74"/>
      <x:c r="N1114" s="91"/>
      <x:c r="O1114" s="91"/>
      <x:c r="P1114" s="91"/>
      <x:c r="Q1114" s="91"/>
      <x:c r="R1114" s="91"/>
      <x:c r="S1114" s="85"/>
      <x:c r="U1114" s="86"/>
      <x:c r="V1114" s="32"/>
    </x:row>
    <x:row r="1115">
      <x:c r="A1115" s="87"/>
      <x:c r="B1115" s="88"/>
      <x:c r="D1115" s="32"/>
      <x:c r="G1115" s="74"/>
      <x:c r="H1115" s="74"/>
      <x:c r="I1115" s="74"/>
      <x:c r="J1115" s="74"/>
      <x:c r="K1115" s="74"/>
      <x:c r="L1115" s="74"/>
      <x:c r="M1115" s="74"/>
      <x:c r="N1115" s="91"/>
      <x:c r="O1115" s="91"/>
      <x:c r="P1115" s="91"/>
      <x:c r="Q1115" s="91"/>
      <x:c r="R1115" s="91"/>
      <x:c r="S1115" s="85"/>
      <x:c r="U1115" s="86"/>
      <x:c r="V1115" s="32"/>
    </x:row>
    <x:row r="1116">
      <x:c r="A1116" s="87"/>
      <x:c r="B1116" s="88"/>
      <x:c r="D1116" s="32"/>
      <x:c r="G1116" s="74"/>
      <x:c r="H1116" s="74"/>
      <x:c r="I1116" s="74"/>
      <x:c r="J1116" s="74"/>
      <x:c r="K1116" s="74"/>
      <x:c r="L1116" s="74"/>
      <x:c r="M1116" s="74"/>
      <x:c r="N1116" s="91"/>
      <x:c r="O1116" s="91"/>
      <x:c r="P1116" s="91"/>
      <x:c r="Q1116" s="91"/>
      <x:c r="R1116" s="91"/>
      <x:c r="S1116" s="85"/>
      <x:c r="U1116" s="86"/>
      <x:c r="V1116" s="32"/>
    </x:row>
    <x:row r="1117">
      <x:c r="A1117" s="87"/>
      <x:c r="B1117" s="88"/>
      <x:c r="D1117" s="32"/>
      <x:c r="G1117" s="74"/>
      <x:c r="H1117" s="74"/>
      <x:c r="I1117" s="74"/>
      <x:c r="J1117" s="74"/>
      <x:c r="K1117" s="74"/>
      <x:c r="L1117" s="74"/>
      <x:c r="M1117" s="74"/>
      <x:c r="N1117" s="91"/>
      <x:c r="O1117" s="91"/>
      <x:c r="P1117" s="91"/>
      <x:c r="Q1117" s="91"/>
      <x:c r="R1117" s="91"/>
      <x:c r="S1117" s="85"/>
      <x:c r="U1117" s="86"/>
      <x:c r="V1117" s="32"/>
    </x:row>
    <x:row r="1118">
      <x:c r="A1118" s="87"/>
      <x:c r="B1118" s="88"/>
      <x:c r="D1118" s="32"/>
      <x:c r="G1118" s="74"/>
      <x:c r="H1118" s="74"/>
      <x:c r="I1118" s="74"/>
      <x:c r="J1118" s="74"/>
      <x:c r="K1118" s="74"/>
      <x:c r="L1118" s="74"/>
      <x:c r="M1118" s="74"/>
      <x:c r="N1118" s="91"/>
      <x:c r="O1118" s="91"/>
      <x:c r="P1118" s="91"/>
      <x:c r="Q1118" s="91"/>
      <x:c r="R1118" s="91"/>
      <x:c r="S1118" s="85"/>
      <x:c r="U1118" s="86"/>
      <x:c r="V1118" s="32"/>
    </x:row>
    <x:row r="1119">
      <x:c r="A1119" s="87"/>
      <x:c r="B1119" s="88"/>
      <x:c r="D1119" s="32"/>
      <x:c r="G1119" s="74"/>
      <x:c r="H1119" s="74"/>
      <x:c r="I1119" s="74"/>
      <x:c r="J1119" s="74"/>
      <x:c r="K1119" s="74"/>
      <x:c r="L1119" s="74"/>
      <x:c r="M1119" s="74"/>
      <x:c r="N1119" s="91"/>
      <x:c r="O1119" s="91"/>
      <x:c r="P1119" s="91"/>
      <x:c r="Q1119" s="91"/>
      <x:c r="R1119" s="91"/>
      <x:c r="S1119" s="85"/>
      <x:c r="U1119" s="86"/>
      <x:c r="V1119" s="32"/>
    </x:row>
    <x:row r="1120">
      <x:c r="A1120" s="87"/>
      <x:c r="B1120" s="88"/>
      <x:c r="D1120" s="32"/>
      <x:c r="G1120" s="74"/>
      <x:c r="H1120" s="74"/>
      <x:c r="I1120" s="74"/>
      <x:c r="J1120" s="74"/>
      <x:c r="K1120" s="74"/>
      <x:c r="L1120" s="74"/>
      <x:c r="M1120" s="74"/>
      <x:c r="N1120" s="91"/>
      <x:c r="O1120" s="91"/>
      <x:c r="P1120" s="91"/>
      <x:c r="Q1120" s="91"/>
      <x:c r="R1120" s="91"/>
      <x:c r="S1120" s="85"/>
      <x:c r="U1120" s="86"/>
      <x:c r="V1120" s="32"/>
    </x:row>
    <x:row r="1121">
      <x:c r="A1121" s="87"/>
      <x:c r="B1121" s="88"/>
      <x:c r="D1121" s="32"/>
      <x:c r="G1121" s="74"/>
      <x:c r="H1121" s="74"/>
      <x:c r="I1121" s="74"/>
      <x:c r="J1121" s="74"/>
      <x:c r="K1121" s="74"/>
      <x:c r="L1121" s="74"/>
      <x:c r="M1121" s="74"/>
      <x:c r="N1121" s="91"/>
      <x:c r="O1121" s="91"/>
      <x:c r="P1121" s="91"/>
      <x:c r="Q1121" s="91"/>
      <x:c r="R1121" s="91"/>
      <x:c r="S1121" s="85"/>
      <x:c r="U1121" s="86"/>
      <x:c r="V1121" s="32"/>
    </x:row>
    <x:row r="1122">
      <x:c r="A1122" s="87"/>
      <x:c r="B1122" s="88"/>
      <x:c r="D1122" s="32"/>
      <x:c r="G1122" s="74"/>
      <x:c r="H1122" s="74"/>
      <x:c r="I1122" s="74"/>
      <x:c r="J1122" s="74"/>
      <x:c r="K1122" s="74"/>
      <x:c r="L1122" s="74"/>
      <x:c r="M1122" s="74"/>
      <x:c r="N1122" s="91"/>
      <x:c r="O1122" s="91"/>
      <x:c r="P1122" s="91"/>
      <x:c r="Q1122" s="91"/>
      <x:c r="R1122" s="91"/>
      <x:c r="S1122" s="85"/>
      <x:c r="U1122" s="86"/>
      <x:c r="V1122" s="32"/>
    </x:row>
    <x:row r="1123">
      <x:c r="A1123" s="87"/>
      <x:c r="B1123" s="88"/>
      <x:c r="D1123" s="32"/>
      <x:c r="G1123" s="74"/>
      <x:c r="H1123" s="74"/>
      <x:c r="I1123" s="74"/>
      <x:c r="J1123" s="74"/>
      <x:c r="K1123" s="74"/>
      <x:c r="L1123" s="74"/>
      <x:c r="M1123" s="74"/>
      <x:c r="N1123" s="91"/>
      <x:c r="O1123" s="91"/>
      <x:c r="P1123" s="91"/>
      <x:c r="Q1123" s="91"/>
      <x:c r="R1123" s="91"/>
      <x:c r="S1123" s="85"/>
      <x:c r="U1123" s="86"/>
      <x:c r="V1123" s="32"/>
    </x:row>
    <x:row r="1124">
      <x:c r="A1124" s="87"/>
      <x:c r="B1124" s="88"/>
      <x:c r="D1124" s="32"/>
      <x:c r="G1124" s="74"/>
      <x:c r="H1124" s="74"/>
      <x:c r="I1124" s="74"/>
      <x:c r="J1124" s="74"/>
      <x:c r="K1124" s="74"/>
      <x:c r="L1124" s="74"/>
      <x:c r="M1124" s="74"/>
      <x:c r="N1124" s="91"/>
      <x:c r="O1124" s="91"/>
      <x:c r="P1124" s="91"/>
      <x:c r="Q1124" s="91"/>
      <x:c r="R1124" s="91"/>
      <x:c r="S1124" s="85"/>
      <x:c r="U1124" s="86"/>
      <x:c r="V1124" s="32"/>
    </x:row>
    <x:row r="1125">
      <x:c r="A1125" s="87"/>
      <x:c r="B1125" s="88"/>
      <x:c r="D1125" s="32"/>
      <x:c r="G1125" s="74"/>
      <x:c r="H1125" s="74"/>
      <x:c r="I1125" s="74"/>
      <x:c r="J1125" s="74"/>
      <x:c r="K1125" s="74"/>
      <x:c r="L1125" s="74"/>
      <x:c r="M1125" s="74"/>
      <x:c r="N1125" s="91"/>
      <x:c r="O1125" s="91"/>
      <x:c r="P1125" s="91"/>
      <x:c r="Q1125" s="91"/>
      <x:c r="R1125" s="91"/>
      <x:c r="S1125" s="85"/>
      <x:c r="U1125" s="86"/>
      <x:c r="V1125" s="32"/>
    </x:row>
    <x:row r="1126">
      <x:c r="A1126" s="87"/>
      <x:c r="B1126" s="88"/>
      <x:c r="D1126" s="32"/>
      <x:c r="G1126" s="74"/>
      <x:c r="H1126" s="74"/>
      <x:c r="I1126" s="74"/>
      <x:c r="J1126" s="74"/>
      <x:c r="K1126" s="74"/>
      <x:c r="L1126" s="74"/>
      <x:c r="M1126" s="74"/>
      <x:c r="N1126" s="91"/>
      <x:c r="O1126" s="91"/>
      <x:c r="P1126" s="91"/>
      <x:c r="Q1126" s="91"/>
      <x:c r="R1126" s="91"/>
      <x:c r="S1126" s="85"/>
      <x:c r="U1126" s="86"/>
      <x:c r="V1126" s="32"/>
    </x:row>
    <x:row r="1127">
      <x:c r="A1127" s="87"/>
      <x:c r="B1127" s="88"/>
      <x:c r="D1127" s="32"/>
      <x:c r="G1127" s="74"/>
      <x:c r="H1127" s="74"/>
      <x:c r="I1127" s="74"/>
      <x:c r="J1127" s="74"/>
      <x:c r="K1127" s="74"/>
      <x:c r="L1127" s="74"/>
      <x:c r="M1127" s="74"/>
      <x:c r="N1127" s="91"/>
      <x:c r="O1127" s="91"/>
      <x:c r="P1127" s="91"/>
      <x:c r="Q1127" s="91"/>
      <x:c r="R1127" s="91"/>
      <x:c r="S1127" s="85"/>
      <x:c r="U1127" s="86"/>
      <x:c r="V1127" s="32"/>
    </x:row>
    <x:row r="1128">
      <x:c r="A1128" s="87"/>
      <x:c r="B1128" s="88"/>
      <x:c r="D1128" s="32"/>
      <x:c r="G1128" s="74"/>
      <x:c r="H1128" s="74"/>
      <x:c r="I1128" s="74"/>
      <x:c r="J1128" s="74"/>
      <x:c r="K1128" s="74"/>
      <x:c r="L1128" s="74"/>
      <x:c r="M1128" s="74"/>
      <x:c r="N1128" s="91"/>
      <x:c r="O1128" s="91"/>
      <x:c r="P1128" s="91"/>
      <x:c r="Q1128" s="91"/>
      <x:c r="R1128" s="91"/>
      <x:c r="S1128" s="85"/>
      <x:c r="U1128" s="86"/>
      <x:c r="V1128" s="32"/>
    </x:row>
    <x:row r="1129">
      <x:c r="A1129" s="87"/>
      <x:c r="B1129" s="88"/>
      <x:c r="D1129" s="32"/>
      <x:c r="G1129" s="74"/>
      <x:c r="H1129" s="74"/>
      <x:c r="I1129" s="74"/>
      <x:c r="J1129" s="74"/>
      <x:c r="K1129" s="74"/>
      <x:c r="L1129" s="74"/>
      <x:c r="M1129" s="74"/>
      <x:c r="N1129" s="91"/>
      <x:c r="O1129" s="91"/>
      <x:c r="P1129" s="91"/>
      <x:c r="Q1129" s="91"/>
      <x:c r="R1129" s="91"/>
      <x:c r="S1129" s="85"/>
      <x:c r="U1129" s="86"/>
      <x:c r="V1129" s="32"/>
    </x:row>
    <x:row r="1130">
      <x:c r="A1130" s="87"/>
      <x:c r="B1130" s="88"/>
      <x:c r="D1130" s="32"/>
      <x:c r="G1130" s="74"/>
      <x:c r="H1130" s="74"/>
      <x:c r="I1130" s="74"/>
      <x:c r="J1130" s="74"/>
      <x:c r="K1130" s="74"/>
      <x:c r="L1130" s="74"/>
      <x:c r="M1130" s="74"/>
      <x:c r="N1130" s="91"/>
      <x:c r="O1130" s="91"/>
      <x:c r="P1130" s="91"/>
      <x:c r="Q1130" s="91"/>
      <x:c r="R1130" s="91"/>
      <x:c r="S1130" s="85"/>
      <x:c r="U1130" s="86"/>
      <x:c r="V1130" s="32"/>
    </x:row>
    <x:row r="1131">
      <x:c r="A1131" s="87"/>
      <x:c r="B1131" s="88"/>
      <x:c r="D1131" s="32"/>
      <x:c r="G1131" s="74"/>
      <x:c r="H1131" s="74"/>
      <x:c r="I1131" s="74"/>
      <x:c r="J1131" s="74"/>
      <x:c r="K1131" s="74"/>
      <x:c r="L1131" s="74"/>
      <x:c r="M1131" s="74"/>
      <x:c r="N1131" s="91"/>
      <x:c r="O1131" s="91"/>
      <x:c r="P1131" s="91"/>
      <x:c r="Q1131" s="91"/>
      <x:c r="R1131" s="91"/>
      <x:c r="S1131" s="85"/>
      <x:c r="U1131" s="86"/>
      <x:c r="V1131" s="32"/>
    </x:row>
    <x:row r="1132">
      <x:c r="A1132" s="87"/>
      <x:c r="B1132" s="88"/>
      <x:c r="D1132" s="32"/>
      <x:c r="G1132" s="74"/>
      <x:c r="H1132" s="74"/>
      <x:c r="I1132" s="74"/>
      <x:c r="J1132" s="74"/>
      <x:c r="K1132" s="74"/>
      <x:c r="L1132" s="74"/>
      <x:c r="M1132" s="74"/>
      <x:c r="N1132" s="91"/>
      <x:c r="O1132" s="91"/>
      <x:c r="P1132" s="91"/>
      <x:c r="Q1132" s="91"/>
      <x:c r="R1132" s="91"/>
      <x:c r="S1132" s="85"/>
      <x:c r="U1132" s="86"/>
      <x:c r="V1132" s="32"/>
    </x:row>
    <x:row r="1133">
      <x:c r="A1133" s="87"/>
      <x:c r="B1133" s="88"/>
      <x:c r="D1133" s="32"/>
      <x:c r="G1133" s="74"/>
      <x:c r="H1133" s="74"/>
      <x:c r="I1133" s="74"/>
      <x:c r="J1133" s="74"/>
      <x:c r="K1133" s="74"/>
      <x:c r="L1133" s="74"/>
      <x:c r="M1133" s="74"/>
      <x:c r="N1133" s="91"/>
      <x:c r="O1133" s="91"/>
      <x:c r="P1133" s="91"/>
      <x:c r="Q1133" s="91"/>
      <x:c r="R1133" s="91"/>
      <x:c r="S1133" s="85"/>
      <x:c r="U1133" s="86"/>
      <x:c r="V1133" s="32"/>
    </x:row>
    <x:row r="1134">
      <x:c r="A1134" s="87"/>
      <x:c r="B1134" s="88"/>
      <x:c r="D1134" s="32"/>
      <x:c r="G1134" s="74"/>
      <x:c r="H1134" s="74"/>
      <x:c r="I1134" s="74"/>
      <x:c r="J1134" s="74"/>
      <x:c r="K1134" s="74"/>
      <x:c r="L1134" s="74"/>
      <x:c r="M1134" s="74"/>
      <x:c r="N1134" s="91"/>
      <x:c r="O1134" s="91"/>
      <x:c r="P1134" s="91"/>
      <x:c r="Q1134" s="91"/>
      <x:c r="R1134" s="91"/>
      <x:c r="S1134" s="85"/>
      <x:c r="U1134" s="86"/>
      <x:c r="V1134" s="32"/>
    </x:row>
    <x:row r="1135">
      <x:c r="A1135" s="87"/>
      <x:c r="B1135" s="88"/>
      <x:c r="D1135" s="32"/>
      <x:c r="G1135" s="74"/>
      <x:c r="H1135" s="74"/>
      <x:c r="I1135" s="74"/>
      <x:c r="J1135" s="74"/>
      <x:c r="K1135" s="74"/>
      <x:c r="L1135" s="74"/>
      <x:c r="M1135" s="74"/>
      <x:c r="N1135" s="91"/>
      <x:c r="O1135" s="91"/>
      <x:c r="P1135" s="91"/>
      <x:c r="Q1135" s="91"/>
      <x:c r="R1135" s="91"/>
      <x:c r="S1135" s="85"/>
      <x:c r="U1135" s="86"/>
      <x:c r="V1135" s="32"/>
    </x:row>
    <x:row r="1136">
      <x:c r="A1136" s="87"/>
      <x:c r="B1136" s="88"/>
      <x:c r="D1136" s="32"/>
      <x:c r="G1136" s="74"/>
      <x:c r="H1136" s="74"/>
      <x:c r="I1136" s="74"/>
      <x:c r="J1136" s="74"/>
      <x:c r="K1136" s="74"/>
      <x:c r="L1136" s="74"/>
      <x:c r="M1136" s="74"/>
      <x:c r="N1136" s="91"/>
      <x:c r="O1136" s="91"/>
      <x:c r="P1136" s="91"/>
      <x:c r="Q1136" s="91"/>
      <x:c r="R1136" s="91"/>
      <x:c r="S1136" s="85"/>
      <x:c r="U1136" s="86"/>
      <x:c r="V1136" s="32"/>
    </x:row>
    <x:row r="1137">
      <x:c r="A1137" s="87"/>
      <x:c r="B1137" s="88"/>
      <x:c r="D1137" s="32"/>
      <x:c r="G1137" s="74"/>
      <x:c r="H1137" s="74"/>
      <x:c r="I1137" s="74"/>
      <x:c r="J1137" s="74"/>
      <x:c r="K1137" s="74"/>
      <x:c r="L1137" s="74"/>
      <x:c r="M1137" s="74"/>
      <x:c r="N1137" s="91"/>
      <x:c r="O1137" s="91"/>
      <x:c r="P1137" s="91"/>
      <x:c r="Q1137" s="91"/>
      <x:c r="R1137" s="91"/>
      <x:c r="S1137" s="85"/>
      <x:c r="U1137" s="86"/>
      <x:c r="V1137" s="32"/>
    </x:row>
    <x:row r="1138">
      <x:c r="A1138" s="87"/>
      <x:c r="B1138" s="88"/>
      <x:c r="D1138" s="32"/>
      <x:c r="G1138" s="74"/>
      <x:c r="H1138" s="74"/>
      <x:c r="I1138" s="74"/>
      <x:c r="J1138" s="74"/>
      <x:c r="K1138" s="74"/>
      <x:c r="L1138" s="74"/>
      <x:c r="M1138" s="74"/>
      <x:c r="N1138" s="91"/>
      <x:c r="O1138" s="91"/>
      <x:c r="P1138" s="91"/>
      <x:c r="Q1138" s="91"/>
      <x:c r="R1138" s="91"/>
      <x:c r="S1138" s="85"/>
      <x:c r="U1138" s="86"/>
      <x:c r="V1138" s="32"/>
    </x:row>
    <x:row r="1139">
      <x:c r="A1139" s="87"/>
      <x:c r="B1139" s="88"/>
      <x:c r="D1139" s="32"/>
      <x:c r="G1139" s="74"/>
      <x:c r="H1139" s="74"/>
      <x:c r="I1139" s="74"/>
      <x:c r="J1139" s="74"/>
      <x:c r="K1139" s="74"/>
      <x:c r="L1139" s="74"/>
      <x:c r="M1139" s="74"/>
      <x:c r="N1139" s="91"/>
      <x:c r="O1139" s="91"/>
      <x:c r="P1139" s="91"/>
      <x:c r="Q1139" s="91"/>
      <x:c r="R1139" s="91"/>
      <x:c r="S1139" s="85"/>
      <x:c r="U1139" s="86"/>
      <x:c r="V1139" s="32"/>
    </x:row>
    <x:row r="1140">
      <x:c r="A1140" s="87"/>
      <x:c r="B1140" s="88"/>
      <x:c r="D1140" s="32"/>
      <x:c r="G1140" s="74"/>
      <x:c r="H1140" s="74"/>
      <x:c r="I1140" s="74"/>
      <x:c r="J1140" s="74"/>
      <x:c r="K1140" s="74"/>
      <x:c r="L1140" s="74"/>
      <x:c r="M1140" s="74"/>
      <x:c r="N1140" s="91"/>
      <x:c r="O1140" s="91"/>
      <x:c r="P1140" s="91"/>
      <x:c r="Q1140" s="91"/>
      <x:c r="R1140" s="91"/>
      <x:c r="S1140" s="85"/>
      <x:c r="U1140" s="86"/>
      <x:c r="V1140" s="32"/>
    </x:row>
    <x:row r="1141">
      <x:c r="A1141" s="87"/>
      <x:c r="B1141" s="88"/>
      <x:c r="D1141" s="32"/>
      <x:c r="G1141" s="74"/>
      <x:c r="H1141" s="74"/>
      <x:c r="I1141" s="74"/>
      <x:c r="J1141" s="74"/>
      <x:c r="K1141" s="74"/>
      <x:c r="L1141" s="74"/>
      <x:c r="M1141" s="74"/>
      <x:c r="N1141" s="91"/>
      <x:c r="O1141" s="91"/>
      <x:c r="P1141" s="91"/>
      <x:c r="Q1141" s="91"/>
      <x:c r="R1141" s="91"/>
      <x:c r="S1141" s="85"/>
      <x:c r="U1141" s="86"/>
      <x:c r="V1141" s="32"/>
    </x:row>
    <x:row r="1142">
      <x:c r="A1142" s="87"/>
      <x:c r="B1142" s="88"/>
      <x:c r="D1142" s="32"/>
      <x:c r="G1142" s="74"/>
      <x:c r="H1142" s="74"/>
      <x:c r="I1142" s="74"/>
      <x:c r="J1142" s="74"/>
      <x:c r="K1142" s="74"/>
      <x:c r="L1142" s="74"/>
      <x:c r="M1142" s="74"/>
      <x:c r="N1142" s="91"/>
      <x:c r="O1142" s="91"/>
      <x:c r="P1142" s="91"/>
      <x:c r="Q1142" s="91"/>
      <x:c r="R1142" s="91"/>
      <x:c r="S1142" s="85"/>
      <x:c r="U1142" s="86"/>
      <x:c r="V1142" s="32"/>
    </x:row>
    <x:row r="1143">
      <x:c r="A1143" s="87"/>
      <x:c r="B1143" s="88"/>
      <x:c r="D1143" s="32"/>
      <x:c r="G1143" s="74"/>
      <x:c r="H1143" s="74"/>
      <x:c r="I1143" s="74"/>
      <x:c r="J1143" s="74"/>
      <x:c r="K1143" s="74"/>
      <x:c r="L1143" s="74"/>
      <x:c r="M1143" s="74"/>
      <x:c r="N1143" s="91"/>
      <x:c r="O1143" s="91"/>
      <x:c r="P1143" s="91"/>
      <x:c r="Q1143" s="91"/>
      <x:c r="R1143" s="91"/>
      <x:c r="S1143" s="85"/>
      <x:c r="U1143" s="86"/>
      <x:c r="V1143" s="32"/>
    </x:row>
    <x:row r="1144">
      <x:c r="A1144" s="87"/>
      <x:c r="B1144" s="88"/>
      <x:c r="D1144" s="32"/>
      <x:c r="G1144" s="74"/>
      <x:c r="H1144" s="74"/>
      <x:c r="I1144" s="74"/>
      <x:c r="J1144" s="74"/>
      <x:c r="K1144" s="74"/>
      <x:c r="L1144" s="74"/>
      <x:c r="M1144" s="74"/>
      <x:c r="N1144" s="91"/>
      <x:c r="O1144" s="91"/>
      <x:c r="P1144" s="91"/>
      <x:c r="Q1144" s="91"/>
      <x:c r="R1144" s="91"/>
      <x:c r="S1144" s="85"/>
      <x:c r="U1144" s="86"/>
      <x:c r="V1144" s="32"/>
    </x:row>
    <x:row r="1145">
      <x:c r="A1145" s="87"/>
      <x:c r="B1145" s="88"/>
      <x:c r="D1145" s="32"/>
      <x:c r="G1145" s="74"/>
      <x:c r="H1145" s="74"/>
      <x:c r="I1145" s="74"/>
      <x:c r="J1145" s="74"/>
      <x:c r="K1145" s="74"/>
      <x:c r="L1145" s="74"/>
      <x:c r="M1145" s="74"/>
      <x:c r="N1145" s="91"/>
      <x:c r="O1145" s="91"/>
      <x:c r="P1145" s="91"/>
      <x:c r="Q1145" s="91"/>
      <x:c r="R1145" s="91"/>
      <x:c r="S1145" s="85"/>
      <x:c r="U1145" s="86"/>
      <x:c r="V1145" s="32"/>
    </x:row>
    <x:row r="1146">
      <x:c r="A1146" s="87"/>
      <x:c r="B1146" s="88"/>
      <x:c r="D1146" s="32"/>
      <x:c r="G1146" s="74"/>
      <x:c r="H1146" s="74"/>
      <x:c r="I1146" s="74"/>
      <x:c r="J1146" s="74"/>
      <x:c r="K1146" s="74"/>
      <x:c r="L1146" s="74"/>
      <x:c r="M1146" s="74"/>
      <x:c r="N1146" s="91"/>
      <x:c r="O1146" s="91"/>
      <x:c r="P1146" s="91"/>
      <x:c r="Q1146" s="91"/>
      <x:c r="R1146" s="91"/>
      <x:c r="S1146" s="85"/>
      <x:c r="U1146" s="86"/>
      <x:c r="V1146" s="32"/>
    </x:row>
    <x:row r="1147">
      <x:c r="A1147" s="87"/>
      <x:c r="B1147" s="88"/>
      <x:c r="D1147" s="32"/>
      <x:c r="G1147" s="74"/>
      <x:c r="H1147" s="74"/>
      <x:c r="I1147" s="74"/>
      <x:c r="J1147" s="74"/>
      <x:c r="K1147" s="74"/>
      <x:c r="L1147" s="74"/>
      <x:c r="M1147" s="74"/>
      <x:c r="N1147" s="91"/>
      <x:c r="O1147" s="91"/>
      <x:c r="P1147" s="91"/>
      <x:c r="Q1147" s="91"/>
      <x:c r="R1147" s="91"/>
      <x:c r="S1147" s="85"/>
      <x:c r="U1147" s="86"/>
      <x:c r="V1147" s="32"/>
    </x:row>
    <x:row r="1148">
      <x:c r="A1148" s="87"/>
      <x:c r="B1148" s="88"/>
      <x:c r="D1148" s="32"/>
      <x:c r="G1148" s="74"/>
      <x:c r="H1148" s="74"/>
      <x:c r="I1148" s="74"/>
      <x:c r="J1148" s="74"/>
      <x:c r="K1148" s="74"/>
      <x:c r="L1148" s="74"/>
      <x:c r="M1148" s="74"/>
      <x:c r="N1148" s="91"/>
      <x:c r="O1148" s="91"/>
      <x:c r="P1148" s="91"/>
      <x:c r="Q1148" s="91"/>
      <x:c r="R1148" s="91"/>
      <x:c r="S1148" s="85"/>
      <x:c r="U1148" s="86"/>
      <x:c r="V1148" s="32"/>
    </x:row>
  </x:sheetData>
  <x:conditionalFormatting sqref="B2:B2 C2:C8 D2:R2 S2:S168 T2:T2">
    <x:cfRule type="expression" dxfId="0" priority="1">
      <x:formula>$T2="Done"</x:formula>
    </x:cfRule>
  </x:conditionalFormatting>
  <x:conditionalFormatting sqref="B2:B2 C2:C8 D2:R2 S2:S168 T2:T2">
    <x:cfRule type="expression" dxfId="1" priority="2">
      <x:formula>AND(NOT($T2="Done"), OR(#REF!="Đã CK Anh", #REF!="Đã CK Em"))</x:formula>
    </x:cfRule>
  </x:conditionalFormatting>
  <x:conditionalFormatting sqref="N2:R2 S2:S168">
    <x:cfRule type="expression" dxfId="1" priority="3">
      <x:formula>AND(NOT(#REF!="Done"), OR(#REF!="Đã CK Anh", #REF!="Đã CK Em"))</x:formula>
    </x:cfRule>
  </x:conditionalFormatting>
  <x:conditionalFormatting sqref="N2:R2 S2:S168">
    <x:cfRule type="expression" dxfId="0" priority="4">
      <x:formula>#REF!="Done"</x:formula>
    </x:cfRule>
  </x:conditionalFormatting>
  <x:conditionalFormatting sqref="C2:C8 B3:B4 D3:T4 S23:S24 S43:S44 S63:S64 S83:S84 S103:S104 S123:S124">
    <x:cfRule type="expression" dxfId="0" priority="5">
      <x:formula>$T2="Done"</x:formula>
    </x:cfRule>
  </x:conditionalFormatting>
  <x:conditionalFormatting sqref="C2:C8 B3:B4 D3:T4 S23:S24 S43:S44 S63:S64 S83:S84 S103:S104 S123:S124">
    <x:cfRule type="expression" dxfId="1" priority="6">
      <x:formula>AND(NOT($T2="Done"), OR(#REF!="Đã CK Anh", #REF!="Đã CK Em"))</x:formula>
    </x:cfRule>
  </x:conditionalFormatting>
  <x:conditionalFormatting sqref="N3:S4 S23:S24 S43:S44 S63:S64 S83:S84 S103:S104 S123:S124">
    <x:cfRule type="expression" dxfId="1" priority="7">
      <x:formula>AND(NOT(#REF!="Done"), OR(#REF!="Đã CK Anh", #REF!="Đã CK Em"))</x:formula>
    </x:cfRule>
  </x:conditionalFormatting>
  <x:conditionalFormatting sqref="N3:S4 S23:S24 S43:S44 S63:S64 S83:S84 S103:S104 S123:S124">
    <x:cfRule type="expression" dxfId="0" priority="8">
      <x:formula>#REF!="Done"</x:formula>
    </x:cfRule>
  </x:conditionalFormatting>
  <x:conditionalFormatting sqref="N2:R2 S2:S168 N5:R168">
    <x:cfRule type="expression" dxfId="0" priority="9">
      <x:formula>$U2="Done"</x:formula>
    </x:cfRule>
  </x:conditionalFormatting>
  <x:conditionalFormatting sqref="N2:R2 S2:S168 N5:R168">
    <x:cfRule type="expression" dxfId="1" priority="10">
      <x:formula>AND(NOT($U2="Done"), OR($V2="Đã CK Anh", $V2="Đã CK Em"))</x:formula>
    </x:cfRule>
  </x:conditionalFormatting>
  <x:conditionalFormatting sqref="A83:A87 B83:T84 B87:B87 C87:C98 D87:D88 A89:A89 A91:A91 A93:A168 B110:D110">
    <x:cfRule type="expression" dxfId="1" priority="11">
      <x:formula>AND(NOT($T83="Done"), OR($U83="Đã CK Anh", $U83="Đã CK Em"))</x:formula>
    </x:cfRule>
  </x:conditionalFormatting>
  <x:conditionalFormatting sqref="A83:A87 B83:T84 B87:B87 C87:C98 D87:D88 A89:A89 A91:A91 A93:A168 B110:D110">
    <x:cfRule type="expression" dxfId="0" priority="12">
      <x:formula>$T83="Done"</x:formula>
    </x:cfRule>
  </x:conditionalFormatting>
  <x:conditionalFormatting sqref="A169:B170">
    <x:cfRule type="expression" dxfId="0" priority="13">
      <x:formula>$M169="Done"</x:formula>
    </x:cfRule>
  </x:conditionalFormatting>
  <x:conditionalFormatting sqref="A169:B170">
    <x:cfRule type="expression" dxfId="1" priority="14">
      <x:formula>AND(NOT($M169="Done"), OR($G169="Đã CK Anh", $G169="Đã CK Em"))</x:formula>
    </x:cfRule>
  </x:conditionalFormatting>
  <x:conditionalFormatting sqref="A2:A1148 B2:B2 C2:C82 D2:R2 S2:S1148 T2:T2 B5:B82 D5:M82 N5:R1148 T5:T82 B85:M1148 T85:T1148">
    <x:cfRule type="expression" dxfId="0" priority="15">
      <x:formula>$T2="Done"</x:formula>
    </x:cfRule>
  </x:conditionalFormatting>
  <x:conditionalFormatting sqref="A2:A1148 B2:B2 C2:C82 D2:R2 S2:S1148 T2:T2 B5:B82 D5:M82 N5:R1148 T5:T82 B85:M1148 T85:T1148">
    <x:cfRule type="expression" dxfId="1" priority="16">
      <x:formula>AND(NOT($T2="Done"), OR($U2="Đã CK Anh", $U2="Đã CK Em"))</x:formula>
    </x:cfRule>
  </x:conditionalFormatting>
  <x:conditionalFormatting sqref="U3:U4">
    <x:cfRule type="notContainsBlanks" dxfId="0" priority="17">
      <x:formula>LEN(TRIM(U3))&gt;0</x:formula>
    </x:cfRule>
  </x:conditionalFormatting>
  <x:dataValidations count="1">
    <x:dataValidation type="list" allowBlank="1" showErrorMessage="1" sqref="U2:U1148">
      <x:formula1>"Chưa CK,Đã CK Anh,Đã CK Em"</x:formula1>
    </x:dataValidation>
  </x:dataValidations>
  <x:hyperlinks>
    <x:hyperlink xmlns:r="http://schemas.openxmlformats.org/officeDocument/2006/relationships" ref="D2" r:id="R32361a80b15b4e3b"/>
    <x:hyperlink xmlns:r="http://schemas.openxmlformats.org/officeDocument/2006/relationships" ref="D3" r:id="Rc681284e52f7482f"/>
    <x:hyperlink xmlns:r="http://schemas.openxmlformats.org/officeDocument/2006/relationships" ref="D4" r:id="Rcc8151d8b98e4e1c"/>
    <x:hyperlink xmlns:r="http://schemas.openxmlformats.org/officeDocument/2006/relationships" ref="D5" r:id="Rd89821b2be0a4136"/>
    <x:hyperlink xmlns:r="http://schemas.openxmlformats.org/officeDocument/2006/relationships" ref="D6" r:id="Rb322585fffeb48f1"/>
    <x:hyperlink xmlns:r="http://schemas.openxmlformats.org/officeDocument/2006/relationships" ref="D7" r:id="Rd1b95e28e741483d"/>
    <x:hyperlink xmlns:r="http://schemas.openxmlformats.org/officeDocument/2006/relationships" ref="D8" r:id="R7ab438579a5f47aa"/>
    <x:hyperlink xmlns:r="http://schemas.openxmlformats.org/officeDocument/2006/relationships" ref="D9" r:id="R8b7ae1930f8c4e81"/>
    <x:hyperlink xmlns:r="http://schemas.openxmlformats.org/officeDocument/2006/relationships" ref="D10" r:id="Rce007c3eef66423b"/>
    <x:hyperlink xmlns:r="http://schemas.openxmlformats.org/officeDocument/2006/relationships" ref="D11" r:id="Ra001902648f8414f"/>
    <x:hyperlink xmlns:r="http://schemas.openxmlformats.org/officeDocument/2006/relationships" ref="D12" r:id="R82e36710658d4a23"/>
    <x:hyperlink xmlns:r="http://schemas.openxmlformats.org/officeDocument/2006/relationships" ref="D13" r:id="R736c0066939d4340"/>
    <x:hyperlink xmlns:r="http://schemas.openxmlformats.org/officeDocument/2006/relationships" ref="D14" r:id="Rc201a4103e8d4075"/>
    <x:hyperlink xmlns:r="http://schemas.openxmlformats.org/officeDocument/2006/relationships" ref="D15" r:id="Rfc65690905fd40c3"/>
    <x:hyperlink xmlns:r="http://schemas.openxmlformats.org/officeDocument/2006/relationships" ref="D16" r:id="R8bbf1f02e19a4d62"/>
    <x:hyperlink xmlns:r="http://schemas.openxmlformats.org/officeDocument/2006/relationships" ref="D17" r:id="R7fe3e2e00b7c4961"/>
    <x:hyperlink xmlns:r="http://schemas.openxmlformats.org/officeDocument/2006/relationships" ref="D18" r:id="Rbbe2584bf29c4113"/>
    <x:hyperlink xmlns:r="http://schemas.openxmlformats.org/officeDocument/2006/relationships" ref="D19" r:id="Rb9da8374b1ba4ca2"/>
    <x:hyperlink xmlns:r="http://schemas.openxmlformats.org/officeDocument/2006/relationships" ref="D21" r:id="Recceff67c13e42a3"/>
    <x:hyperlink xmlns:r="http://schemas.openxmlformats.org/officeDocument/2006/relationships" ref="D22" r:id="R61c08f5c2bd14673"/>
    <x:hyperlink xmlns:r="http://schemas.openxmlformats.org/officeDocument/2006/relationships" ref="D23" r:id="R26b6bde6d81a4554"/>
  </x:hyperlink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5" width="11.130000114440918" hidden="1" customWidth="1"/>
    <x:col min="6" max="6" width="14.5" customWidth="1"/>
    <x:col min="7" max="8" width="12.380000114440918" customWidth="1"/>
    <x:col min="9" max="9" width="14.880000114440918" customWidth="1"/>
    <x:col min="10" max="11" width="14.630000114440918" customWidth="1"/>
    <x:col min="18" max="18" width="25.8799991607666" customWidth="1"/>
    <x:col min="19" max="19" width="18.5" customWidth="1"/>
  </x:cols>
  <x:sheetData>
    <x:row r="1" ht="21" customHeight="1">
      <x:c r="A1" s="1" t="s">
        <x:v>398</x:v>
      </x:c>
      <x:c r="B1" s="2" t="s">
        <x:v>1</x:v>
      </x:c>
      <x:c r="C1" s="1" t="s">
        <x:v>2</x:v>
      </x:c>
      <x:c r="D1" s="3" t="s">
        <x:v>3</x:v>
      </x:c>
      <x:c r="E1" s="1" t="s">
        <x:v>6</x:v>
      </x:c>
      <x:c r="F1" s="1" t="s">
        <x:v>399</x:v>
      </x:c>
      <x:c r="G1" s="4" t="s">
        <x:v>8</x:v>
      </x:c>
      <x:c r="H1" s="4" t="s">
        <x:v>11</x:v>
      </x:c>
      <x:c r="I1" s="4" t="s">
        <x:v>12</x:v>
      </x:c>
      <x:c r="J1" s="4" t="s">
        <x:v>321</x:v>
      </x:c>
      <x:c r="K1" s="4" t="s">
        <x:v>13</x:v>
      </x:c>
      <x:c r="L1" s="1" t="s">
        <x:v>14</x:v>
      </x:c>
      <x:c r="M1" s="1" t="s">
        <x:v>322</x:v>
      </x:c>
      <x:c r="N1" s="1" t="s">
        <x:v>323</x:v>
      </x:c>
      <x:c r="O1" s="1" t="s">
        <x:v>15</x:v>
      </x:c>
      <x:c r="P1" s="1" t="s">
        <x:v>324</x:v>
      </x:c>
      <x:c r="Q1" s="5" t="s">
        <x:v>21</x:v>
      </x:c>
      <x:c r="R1" s="1" t="s">
        <x:v>22</x:v>
      </x:c>
      <x:c r="S1" s="1" t="s">
        <x:v>24</x:v>
      </x:c>
      <x:c r="T1" s="6" t="s">
        <x:v>25</x:v>
      </x:c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</x:row>
    <x:row r="2" ht="18.75" customHeight="1">
      <x:c r="A2" s="19">
        <x:v>1.0</x:v>
      </x:c>
      <x:c r="B2" s="20" t="s">
        <x:v>148</x:v>
      </x:c>
      <x:c r="C2" s="21">
        <x:v>45842.0</x:v>
      </x:c>
      <x:c r="D2" s="22" t="s">
        <x:v>400</x:v>
      </x:c>
      <x:c r="E2" s="23"/>
      <x:c r="F2" s="23">
        <x:v>15.0</x:v>
      </x:c>
      <x:c r="G2" s="24"/>
      <x:c r="H2" s="24"/>
      <x:c r="I2" s="24">
        <x:v>45.0</x:v>
      </x:c>
      <x:c r="J2" s="25"/>
      <x:c r="K2" s="25"/>
      <x:c r="L2" s="23"/>
      <x:c r="M2" s="23"/>
      <x:c r="N2" s="23"/>
      <x:c r="O2" s="94"/>
      <x:c r="P2" s="94"/>
      <x:c r="Q2" s="26" t="n">
        <x:f>(E2*260+F2*(210-10)+G2*470+H2*655+I2*(230-10)+J2*190+K2*240+M2*290+N2*290+O2*395)*1000</x:f>
        <x:v>12900000</x:v>
      </x:c>
      <x:c r="R2" s="23" t="s">
        <x:v>74</x:v>
      </x:c>
      <x:c r="S2" s="23" t="s">
        <x:v>31</x:v>
      </x:c>
      <x:c r="U2" s="28" t="s">
        <x:v>34</x:v>
      </x:c>
      <x:c r="V2" s="28" t="s">
        <x:v>31</x:v>
      </x:c>
      <x:c r="W2" s="28" t="s">
        <x:v>54</x:v>
      </x:c>
      <x:c r="X2" s="28" t="s">
        <x:v>55</x:v>
      </x:c>
    </x:row>
    <x:row r="3" ht="18.75" customHeight="1">
      <x:c r="A3" s="19">
        <x:v>2.0</x:v>
      </x:c>
      <x:c r="B3" s="20" t="s">
        <x:v>401</x:v>
      </x:c>
      <x:c r="C3" s="21">
        <x:v>45842.0</x:v>
      </x:c>
      <x:c r="D3" s="22" t="s">
        <x:v>402</x:v>
      </x:c>
      <x:c r="E3" s="23"/>
      <x:c r="F3" s="23"/>
      <x:c r="G3" s="24">
        <x:v>2.0</x:v>
      </x:c>
      <x:c r="H3" s="24"/>
      <x:c r="I3" s="24"/>
      <x:c r="J3" s="24">
        <x:v>60.0</x:v>
      </x:c>
      <x:c r="K3" s="24"/>
      <x:c r="L3" s="94"/>
      <x:c r="M3" s="94"/>
      <x:c r="N3" s="94"/>
      <x:c r="O3" s="94"/>
      <x:c r="P3" s="94"/>
      <x:c r="Q3" s="26" t="n">
        <x:f>(E3*260+F3*210+G3*470+H3*655+I3*230+J3*(190-15)+K3*240+M3*290+N3*290+O3*395)*1000</x:f>
        <x:v>11440000</x:v>
      </x:c>
      <x:c r="R3" s="23" t="s">
        <x:v>74</x:v>
      </x:c>
      <x:c r="S3" s="23" t="s">
        <x:v>31</x:v>
      </x:c>
      <x:c r="U3" s="31" t="n">
        <x:f>SUMIF(S2:S1117, "Đã CK Anh", Q2:Q1117)</x:f>
        <x:v>6010000</x:v>
      </x:c>
      <x:c r="V3" s="31" t="n">
        <x:f>SUMIF(S2:S1117, "Đã CK Em", Q2:Q1117)</x:f>
        <x:v>40130000</x:v>
      </x:c>
      <x:c r="W3" s="31" t="n">
        <x:f>U3+V3</x:f>
        <x:v>46140000</x:v>
      </x:c>
      <x:c r="X3" s="31" t="n">
        <x:f>SUMIF(S2:S1117, "Chưa CK", Q2:Q1117)</x:f>
        <x:v>0</x:v>
      </x:c>
    </x:row>
    <x:row r="4" ht="18.75" customHeight="1">
      <x:c r="A4" s="19">
        <x:v>3.0</x:v>
      </x:c>
      <x:c r="B4" s="20" t="s">
        <x:v>403</x:v>
      </x:c>
      <x:c r="C4" s="21">
        <x:v>45843.0</x:v>
      </x:c>
      <x:c r="D4" s="22" t="s">
        <x:v>404</x:v>
      </x:c>
      <x:c r="E4" s="23"/>
      <x:c r="F4" s="23"/>
      <x:c r="G4" s="24"/>
      <x:c r="H4" s="24"/>
      <x:c r="I4" s="24">
        <x:v>1.0</x:v>
      </x:c>
      <x:c r="J4" s="24"/>
      <x:c r="K4" s="24">
        <x:v>1.0</x:v>
      </x:c>
      <x:c r="L4" s="94"/>
      <x:c r="M4" s="94"/>
      <x:c r="N4" s="94"/>
      <x:c r="O4" s="94"/>
      <x:c r="P4" s="94"/>
      <x:c r="Q4" s="26" t="n">
        <x:f t="shared" ref="Q4:Q9" si="1">(E4*260+F4*210+G4*470+H4*655+I4*230+J4*190+K4*240+M4*290+N4*290+O4*395)*1000</x:f>
        <x:v>470000</x:v>
      </x:c>
      <x:c r="R4" s="23" t="s">
        <x:v>74</x:v>
      </x:c>
      <x:c r="S4" s="23" t="s">
        <x:v>31</x:v>
      </x:c>
    </x:row>
    <x:row r="5" ht="18.75" customHeight="1">
      <x:c r="A5" s="19">
        <x:v>4.0</x:v>
      </x:c>
      <x:c r="B5" s="29" t="s">
        <x:v>405</x:v>
      </x:c>
      <x:c r="C5" s="21">
        <x:v>45843.0</x:v>
      </x:c>
      <x:c r="D5" s="22" t="s">
        <x:v>406</x:v>
      </x:c>
      <x:c r="E5" s="23"/>
      <x:c r="F5" s="23"/>
      <x:c r="G5" s="24"/>
      <x:c r="H5" s="24"/>
      <x:c r="I5" s="24">
        <x:v>1.0</x:v>
      </x:c>
      <x:c r="J5" s="24"/>
      <x:c r="K5" s="24"/>
      <x:c r="L5" s="23"/>
      <x:c r="M5" s="23"/>
      <x:c r="N5" s="23"/>
      <x:c r="O5" s="23"/>
      <x:c r="P5" s="23"/>
      <x:c r="Q5" s="26">
        <x:f t="shared" si="1"/>
        <x:v>230000</x:v>
      </x:c>
      <x:c r="R5" s="23" t="s">
        <x:v>74</x:v>
      </x:c>
      <x:c r="S5" s="23" t="s">
        <x:v>31</x:v>
      </x:c>
    </x:row>
    <x:row r="6" ht="18.75" customHeight="1">
      <x:c r="A6" s="19">
        <x:v>5.0</x:v>
      </x:c>
      <x:c r="B6" s="29" t="s">
        <x:v>407</x:v>
      </x:c>
      <x:c r="C6" s="21">
        <x:v>45843.0</x:v>
      </x:c>
      <x:c r="D6" s="22" t="s">
        <x:v>408</x:v>
      </x:c>
      <x:c r="E6" s="23"/>
      <x:c r="F6" s="23"/>
      <x:c r="G6" s="24"/>
      <x:c r="H6" s="24"/>
      <x:c r="I6" s="24">
        <x:v>1.0</x:v>
      </x:c>
      <x:c r="J6" s="24"/>
      <x:c r="K6" s="24"/>
      <x:c r="L6" s="23"/>
      <x:c r="M6" s="23"/>
      <x:c r="N6" s="23"/>
      <x:c r="O6" s="23"/>
      <x:c r="P6" s="23"/>
      <x:c r="Q6" s="26">
        <x:f t="shared" si="1"/>
        <x:v>230000</x:v>
      </x:c>
      <x:c r="R6" s="23" t="s">
        <x:v>74</x:v>
      </x:c>
      <x:c r="S6" s="23" t="s">
        <x:v>31</x:v>
      </x:c>
    </x:row>
    <x:row r="7" ht="18.75" customHeight="1">
      <x:c r="A7" s="19">
        <x:v>6.0</x:v>
      </x:c>
      <x:c r="B7" s="29" t="s">
        <x:v>409</x:v>
      </x:c>
      <x:c r="C7" s="21">
        <x:v>45843.0</x:v>
      </x:c>
      <x:c r="D7" s="22" t="s">
        <x:v>410</x:v>
      </x:c>
      <x:c r="E7" s="23"/>
      <x:c r="F7" s="23"/>
      <x:c r="G7" s="25"/>
      <x:c r="H7" s="25"/>
      <x:c r="I7" s="24"/>
      <x:c r="J7" s="24">
        <x:v>1.0</x:v>
      </x:c>
      <x:c r="K7" s="25"/>
      <x:c r="L7" s="23"/>
      <x:c r="M7" s="23"/>
      <x:c r="N7" s="23"/>
      <x:c r="O7" s="23"/>
      <x:c r="P7" s="23"/>
      <x:c r="Q7" s="26">
        <x:f t="shared" si="1"/>
        <x:v>190000</x:v>
      </x:c>
      <x:c r="R7" s="23" t="s">
        <x:v>74</x:v>
      </x:c>
      <x:c r="S7" s="23" t="s">
        <x:v>31</x:v>
      </x:c>
    </x:row>
    <x:row r="8" ht="18.75" customHeight="1">
      <x:c r="A8" s="19">
        <x:v>7.0</x:v>
      </x:c>
      <x:c r="B8" s="29" t="s">
        <x:v>411</x:v>
      </x:c>
      <x:c r="C8" s="21">
        <x:v>45842.0</x:v>
      </x:c>
      <x:c r="D8" s="22" t="s">
        <x:v>412</x:v>
      </x:c>
      <x:c r="E8" s="23"/>
      <x:c r="F8" s="23">
        <x:v>1.0</x:v>
      </x:c>
      <x:c r="G8" s="25"/>
      <x:c r="H8" s="24"/>
      <x:c r="I8" s="24"/>
      <x:c r="J8" s="24"/>
      <x:c r="K8" s="24"/>
      <x:c r="L8" s="94"/>
      <x:c r="M8" s="94"/>
      <x:c r="N8" s="94"/>
      <x:c r="O8" s="94"/>
      <x:c r="P8" s="94"/>
      <x:c r="Q8" s="26">
        <x:f t="shared" si="1"/>
        <x:v>210000</x:v>
      </x:c>
      <x:c r="R8" s="23" t="s">
        <x:v>74</x:v>
      </x:c>
      <x:c r="S8" s="23" t="s">
        <x:v>31</x:v>
      </x:c>
      <x:c r="U8" s="37"/>
      <x:c r="V8" s="37"/>
      <x:c r="W8" s="37"/>
      <x:c r="X8" s="37"/>
    </x:row>
    <x:row r="9" ht="18.75" customHeight="1">
      <x:c r="A9" s="19">
        <x:v>8.0</x:v>
      </x:c>
      <x:c r="B9" s="29" t="s">
        <x:v>413</x:v>
      </x:c>
      <x:c r="C9" s="21">
        <x:v>45843.0</x:v>
      </x:c>
      <x:c r="D9" s="22" t="s">
        <x:v>414</x:v>
      </x:c>
      <x:c r="E9" s="23"/>
      <x:c r="F9" s="23">
        <x:v>1.0</x:v>
      </x:c>
      <x:c r="G9" s="25"/>
      <x:c r="H9" s="24"/>
      <x:c r="I9" s="24"/>
      <x:c r="J9" s="24"/>
      <x:c r="K9" s="24"/>
      <x:c r="L9" s="94"/>
      <x:c r="M9" s="94"/>
      <x:c r="N9" s="94"/>
      <x:c r="O9" s="94"/>
      <x:c r="P9" s="94"/>
      <x:c r="Q9" s="26">
        <x:f t="shared" si="1"/>
        <x:v>210000</x:v>
      </x:c>
      <x:c r="R9" s="23" t="s">
        <x:v>74</x:v>
      </x:c>
      <x:c r="S9" s="23" t="s">
        <x:v>31</x:v>
      </x:c>
      <x:c r="U9" s="28" t="s">
        <x:v>2</x:v>
      </x:c>
      <x:c r="V9" s="28" t="s">
        <x:v>368</x:v>
      </x:c>
      <x:c r="W9" s="28" t="s">
        <x:v>369</x:v>
      </x:c>
      <x:c r="X9" s="28" t="s">
        <x:v>369</x:v>
      </x:c>
    </x:row>
    <x:row r="10" ht="18.75" customHeight="1">
      <x:c r="A10" s="19">
        <x:v>9.0</x:v>
      </x:c>
      <x:c r="B10" s="29" t="s">
        <x:v>415</x:v>
      </x:c>
      <x:c r="C10" s="21">
        <x:v>45843.0</x:v>
      </x:c>
      <x:c r="D10" s="22" t="s">
        <x:v>416</x:v>
      </x:c>
      <x:c r="E10" s="23"/>
      <x:c r="F10" s="23"/>
      <x:c r="G10" s="24"/>
      <x:c r="H10" s="24"/>
      <x:c r="I10" s="25"/>
      <x:c r="J10" s="25"/>
      <x:c r="K10" s="25"/>
      <x:c r="L10" s="23">
        <x:v>1.0</x:v>
      </x:c>
      <x:c r="M10" s="94"/>
      <x:c r="N10" s="94"/>
      <x:c r="O10" s="94"/>
      <x:c r="P10" s="94"/>
      <x:c r="Q10" s="26" t="n">
        <x:f t="shared" ref="Q10:Q13" si="2">(E10*260+F10*210+G10*470+H10*655+I10*230+J10*190+K10*240+L10*390+M10*290+N10*290+O10*395)*1000</x:f>
        <x:v>390000</x:v>
      </x:c>
      <x:c r="R10" s="23" t="s">
        <x:v>74</x:v>
      </x:c>
      <x:c r="S10" s="23" t="s">
        <x:v>34</x:v>
      </x:c>
      <x:c r="U10" s="33" t="n" cm="1">
        <x:f t="array" ref="U10:U17">_xlfn._xlws.SORT(_xlfn.UNIQUE(C2:C1115))</x:f>
        <x:v>45842</x:v>
      </x:c>
      <x:c r="V10" s="34" t="e">
        <x:f>IFERROR(__xludf.DUMMYFUNCTION("SUM(FILTER($E$2:$P$1117, $C$2:$C$1117 = U10))"),123.0)</x:f>
        <x:v>#NAME?</x:v>
      </x:c>
      <x:c r="W10" s="34" t="e">
        <x:f>IFERROR(__xludf.DUMMYFUNCTION("COUNT(FILTER($C$2:$C$1117, $C$2:$C$1117 = U10))"),3.0)</x:f>
        <x:v>#NAME?</x:v>
      </x:c>
      <x:c r="X10" s="31" t="n">
        <x:f t="shared" ref="X10:X18" si="3">SUMIF($C$2:$C$1117, $U10 , $Q$2:$Q$1117)</x:f>
        <x:v>24550000</x:v>
      </x:c>
    </x:row>
    <x:row r="11" ht="18.75" customHeight="1">
      <x:c r="A11" s="19">
        <x:v>10.0</x:v>
      </x:c>
      <x:c r="B11" s="29" t="s">
        <x:v>417</x:v>
      </x:c>
      <x:c r="C11" s="21">
        <x:v>45843.0</x:v>
      </x:c>
      <x:c r="D11" s="22" t="s">
        <x:v>418</x:v>
      </x:c>
      <x:c r="E11" s="23"/>
      <x:c r="F11" s="23">
        <x:v>1.0</x:v>
      </x:c>
      <x:c r="G11" s="24"/>
      <x:c r="H11" s="24"/>
      <x:c r="I11" s="24"/>
      <x:c r="J11" s="24"/>
      <x:c r="K11" s="24"/>
      <x:c r="L11" s="94"/>
      <x:c r="M11" s="94"/>
      <x:c r="N11" s="94"/>
      <x:c r="O11" s="94"/>
      <x:c r="P11" s="94"/>
      <x:c r="Q11" s="26">
        <x:f t="shared" si="2"/>
        <x:v>210000</x:v>
      </x:c>
      <x:c r="R11" s="23" t="s">
        <x:v>74</x:v>
      </x:c>
      <x:c r="S11" s="23" t="s">
        <x:v>31</x:v>
      </x:c>
      <x:c r="U11" s="33" t="n">
        <x:v>45843</x:v>
      </x:c>
      <x:c r="V11" s="34" t="e">
        <x:f>IFERROR(__xludf.DUMMYFUNCTION("SUM(FILTER($E$2:$P$1117, $C$2:$C$1117 = U11))"),13.0)</x:f>
        <x:v>#NAME?</x:v>
      </x:c>
      <x:c r="W11" s="34" t="e">
        <x:f>IFERROR(__xludf.DUMMYFUNCTION("COUNT(FILTER($C$2:$C$1117, $C$2:$C$1117 = U11))"),11.0)</x:f>
        <x:v>#NAME?</x:v>
      </x:c>
      <x:c r="X11" s="31">
        <x:f t="shared" si="3"/>
        <x:v>3100000</x:v>
      </x:c>
    </x:row>
    <x:row r="12" ht="18.75" customHeight="1">
      <x:c r="A12" s="19">
        <x:v>11.0</x:v>
      </x:c>
      <x:c r="B12" s="29" t="s">
        <x:v>419</x:v>
      </x:c>
      <x:c r="C12" s="21">
        <x:v>45843.0</x:v>
      </x:c>
      <x:c r="D12" s="22" t="s">
        <x:v>420</x:v>
      </x:c>
      <x:c r="E12" s="23"/>
      <x:c r="F12" s="23"/>
      <x:c r="G12" s="25"/>
      <x:c r="H12" s="24"/>
      <x:c r="I12" s="24">
        <x:v>1.0</x:v>
      </x:c>
      <x:c r="J12" s="25"/>
      <x:c r="K12" s="25"/>
      <x:c r="L12" s="94"/>
      <x:c r="M12" s="94"/>
      <x:c r="N12" s="94"/>
      <x:c r="O12" s="94"/>
      <x:c r="P12" s="94"/>
      <x:c r="Q12" s="26">
        <x:f t="shared" si="2"/>
        <x:v>230000</x:v>
      </x:c>
      <x:c r="R12" s="23" t="s">
        <x:v>74</x:v>
      </x:c>
      <x:c r="S12" s="23" t="s">
        <x:v>31</x:v>
      </x:c>
      <x:c r="U12" s="33" t="n">
        <x:v>45844</x:v>
      </x:c>
      <x:c r="V12" s="34" t="e">
        <x:f>IFERROR(__xludf.DUMMYFUNCTION("SUM(FILTER($E$2:$P$1117, $C$2:$C$1117 = U12))"),5.0)</x:f>
        <x:v>#NAME?</x:v>
      </x:c>
      <x:c r="W12" s="34" t="e">
        <x:f>IFERROR(__xludf.DUMMYFUNCTION("COUNT(FILTER($C$2:$C$1117, $C$2:$C$1117 = U12))"),3.0)</x:f>
        <x:v>#NAME?</x:v>
      </x:c>
      <x:c r="X12" s="31">
        <x:f t="shared" si="3"/>
        <x:v>1200000</x:v>
      </x:c>
    </x:row>
    <x:row r="13" ht="18.75" customHeight="1">
      <x:c r="A13" s="19">
        <x:v>12.0</x:v>
      </x:c>
      <x:c r="B13" s="29" t="s">
        <x:v>421</x:v>
      </x:c>
      <x:c r="C13" s="21">
        <x:v>45843.0</x:v>
      </x:c>
      <x:c r="D13" s="22" t="s">
        <x:v>422</x:v>
      </x:c>
      <x:c r="E13" s="23"/>
      <x:c r="F13" s="23">
        <x:v>1.0</x:v>
      </x:c>
      <x:c r="G13" s="25"/>
      <x:c r="H13" s="25"/>
      <x:c r="I13" s="24"/>
      <x:c r="J13" s="24"/>
      <x:c r="K13" s="24"/>
      <x:c r="L13" s="94"/>
      <x:c r="M13" s="94"/>
      <x:c r="N13" s="94"/>
      <x:c r="O13" s="94"/>
      <x:c r="P13" s="94"/>
      <x:c r="Q13" s="26">
        <x:f t="shared" si="2"/>
        <x:v>210000</x:v>
      </x:c>
      <x:c r="R13" s="23" t="s">
        <x:v>74</x:v>
      </x:c>
      <x:c r="S13" s="23" t="s">
        <x:v>31</x:v>
      </x:c>
      <x:c r="U13" s="33" t="n">
        <x:v>45845</x:v>
      </x:c>
      <x:c r="V13" s="34" t="e">
        <x:f>IFERROR(__xludf.DUMMYFUNCTION("SUM(FILTER($E$2:$P$1117, $C$2:$C$1117 = U13))"),10.0)</x:f>
        <x:v>#NAME?</x:v>
      </x:c>
      <x:c r="W13" s="34" t="e">
        <x:f>IFERROR(__xludf.DUMMYFUNCTION("COUNT(FILTER($C$2:$C$1117, $C$2:$C$1117 = U13))"),1.0)</x:f>
        <x:v>#NAME?</x:v>
      </x:c>
      <x:c r="X13" s="31">
        <x:f t="shared" si="3"/>
        <x:v>2050000</x:v>
      </x:c>
    </x:row>
    <x:row r="14" ht="18.75" customHeight="1">
      <x:c r="A14" s="19">
        <x:v>13.0</x:v>
      </x:c>
      <x:c r="B14" s="29" t="s">
        <x:v>423</x:v>
      </x:c>
      <x:c r="C14" s="21">
        <x:v>45843.0</x:v>
      </x:c>
      <x:c r="D14" s="22" t="s">
        <x:v>424</x:v>
      </x:c>
      <x:c r="E14" s="56"/>
      <x:c r="F14" s="23">
        <x:v>1.0</x:v>
      </x:c>
      <x:c r="G14" s="24"/>
      <x:c r="H14" s="24"/>
      <x:c r="I14" s="24"/>
      <x:c r="J14" s="24"/>
      <x:c r="K14" s="24"/>
      <x:c r="L14" s="94"/>
      <x:c r="M14" s="94"/>
      <x:c r="N14" s="94"/>
      <x:c r="O14" s="94"/>
      <x:c r="P14" s="94"/>
      <x:c r="Q14" s="26" t="n">
        <x:f t="shared" ref="Q14:Q19" si="4">(E14*260+F14*210+G14*470+H14*655+I14*230+J14*190+K14*240+L14*390+M14*290+N14*290+O14*395+P14*260)*1000</x:f>
        <x:v>210000</x:v>
      </x:c>
      <x:c r="R14" s="23" t="s">
        <x:v>74</x:v>
      </x:c>
      <x:c r="S14" s="23" t="s">
        <x:v>31</x:v>
      </x:c>
      <x:c r="T14" s="32"/>
      <x:c r="U14" s="33" t="n">
        <x:v>45853</x:v>
      </x:c>
      <x:c r="V14" s="34" t="e">
        <x:f>IFERROR(__xludf.DUMMYFUNCTION("SUM(FILTER($E$2:$P$1117, $C$2:$C$1117 = U14))"),20.0)</x:f>
        <x:v>#NAME?</x:v>
      </x:c>
      <x:c r="W14" s="34" t="e">
        <x:f>IFERROR(__xludf.DUMMYFUNCTION("COUNT(FILTER($C$2:$C$1117, $C$2:$C$1117 = U14))"),2.0)</x:f>
        <x:v>#NAME?</x:v>
      </x:c>
      <x:c r="X14" s="31">
        <x:f t="shared" si="3"/>
        <x:v>8845000</x:v>
      </x:c>
    </x:row>
    <x:row r="15" ht="18.75" customHeight="1">
      <x:c r="A15" s="19">
        <x:v>14.0</x:v>
      </x:c>
      <x:c r="B15" s="29" t="s">
        <x:v>425</x:v>
      </x:c>
      <x:c r="C15" s="21">
        <x:v>45843.0</x:v>
      </x:c>
      <x:c r="D15" s="22" t="s">
        <x:v>426</x:v>
      </x:c>
      <x:c r="E15" s="23"/>
      <x:c r="F15" s="23"/>
      <x:c r="G15" s="24"/>
      <x:c r="H15" s="24"/>
      <x:c r="I15" s="25"/>
      <x:c r="J15" s="24"/>
      <x:c r="K15" s="24"/>
      <x:c r="L15" s="23"/>
      <x:c r="M15" s="23"/>
      <x:c r="N15" s="23"/>
      <x:c r="O15" s="23"/>
      <x:c r="P15" s="23">
        <x:v>2.0</x:v>
      </x:c>
      <x:c r="Q15" s="26">
        <x:f t="shared" si="4"/>
        <x:v>520000</x:v>
      </x:c>
      <x:c r="R15" s="23" t="s">
        <x:v>74</x:v>
      </x:c>
      <x:c r="S15" s="23" t="s">
        <x:v>31</x:v>
      </x:c>
      <x:c r="T15" s="32"/>
      <x:c r="U15" s="33" t="n">
        <x:v>45854</x:v>
      </x:c>
      <x:c r="V15" s="34" t="e">
        <x:f>IFERROR(__xludf.DUMMYFUNCTION("SUM(FILTER($E$2:$P$1117, $C$2:$C$1117 = U15))"),20.0)</x:f>
        <x:v>#NAME?</x:v>
      </x:c>
      <x:c r="W15" s="34" t="e">
        <x:f>IFERROR(__xludf.DUMMYFUNCTION("COUNT(FILTER($C$2:$C$1117, $C$2:$C$1117 = U15))"),1.0)</x:f>
        <x:v>#NAME?</x:v>
      </x:c>
      <x:c r="X15" s="31">
        <x:f t="shared" si="3"/>
        <x:v>5230000</x:v>
      </x:c>
    </x:row>
    <x:row r="16" ht="18.75" customHeight="1">
      <x:c r="A16" s="19">
        <x:v>15.0</x:v>
      </x:c>
      <x:c r="B16" s="29" t="s">
        <x:v>427</x:v>
      </x:c>
      <x:c r="C16" s="21"/>
      <x:c r="D16" s="35"/>
      <x:c r="E16" s="23"/>
      <x:c r="F16" s="23"/>
      <x:c r="G16" s="24"/>
      <x:c r="H16" s="24"/>
      <x:c r="I16" s="25"/>
      <x:c r="J16" s="24">
        <x:v>1.0</x:v>
      </x:c>
      <x:c r="K16" s="24"/>
      <x:c r="L16" s="94"/>
      <x:c r="M16" s="94"/>
      <x:c r="N16" s="94"/>
      <x:c r="O16" s="94"/>
      <x:c r="P16" s="94"/>
      <x:c r="Q16" s="26">
        <x:f t="shared" si="4"/>
        <x:v>190000</x:v>
      </x:c>
      <x:c r="R16" s="23" t="s">
        <x:v>74</x:v>
      </x:c>
      <x:c r="S16" s="23" t="s">
        <x:v>31</x:v>
      </x:c>
      <x:c r="T16" s="32"/>
      <x:c r="U16" s="33" t="n">
        <x:v>45860</x:v>
      </x:c>
      <x:c r="V16" s="34" t="e">
        <x:f>IFERROR(__xludf.DUMMYFUNCTION("SUM(FILTER($E$2:$P$1117, $C$2:$C$1117 = U16))"),1.0)</x:f>
        <x:v>#NAME?</x:v>
      </x:c>
      <x:c r="W16" s="34" t="e">
        <x:f>IFERROR(__xludf.DUMMYFUNCTION("COUNT(FILTER($C$2:$C$1117, $C$2:$C$1117 = U16))"),1.0)</x:f>
        <x:v>#NAME?</x:v>
      </x:c>
      <x:c r="X16" s="31">
        <x:f t="shared" si="3"/>
        <x:v>265000</x:v>
      </x:c>
    </x:row>
    <x:row r="17" ht="18.75" customHeight="1">
      <x:c r="A17" s="19">
        <x:v>16.0</x:v>
      </x:c>
      <x:c r="B17" s="29" t="s">
        <x:v>428</x:v>
      </x:c>
      <x:c r="C17" s="21">
        <x:v>45844.0</x:v>
      </x:c>
      <x:c r="D17" s="22" t="s">
        <x:v>429</x:v>
      </x:c>
      <x:c r="E17" s="23"/>
      <x:c r="F17" s="23"/>
      <x:c r="G17" s="24"/>
      <x:c r="H17" s="24"/>
      <x:c r="I17" s="24"/>
      <x:c r="J17" s="25"/>
      <x:c r="K17" s="24">
        <x:v>1.0</x:v>
      </x:c>
      <x:c r="L17" s="94"/>
      <x:c r="M17" s="94"/>
      <x:c r="N17" s="94"/>
      <x:c r="O17" s="94"/>
      <x:c r="P17" s="94"/>
      <x:c r="Q17" s="26">
        <x:f t="shared" si="4"/>
        <x:v>240000</x:v>
      </x:c>
      <x:c r="R17" s="23" t="s">
        <x:v>74</x:v>
      </x:c>
      <x:c r="S17" s="23" t="s">
        <x:v>31</x:v>
      </x:c>
      <x:c r="T17" s="32"/>
      <x:c r="U17" s="33" t="n">
        <x:v>0</x:v>
      </x:c>
      <x:c r="V17" s="34" t="e">
        <x:f>IFERROR(__xludf.DUMMYFUNCTION("SUM(FILTER($E$2:$P$1117, $C$2:$C$1117 = U17))"),2.7908507687436026E7)</x:f>
        <x:v>#NAME?</x:v>
      </x:c>
      <x:c r="W17" s="34" t="e">
        <x:f>IFERROR(__xludf.DUMMYFUNCTION("COUNT(FILTER($C$2:$C$1117, $C$2:$C$1117 = U17))"),0.0)</x:f>
        <x:v>#NAME?</x:v>
      </x:c>
      <x:c r="X17" s="31">
        <x:f t="shared" si="3"/>
        <x:v>0</x:v>
      </x:c>
    </x:row>
    <x:row r="18">
      <x:c r="A18" s="19">
        <x:v>17.0</x:v>
      </x:c>
      <x:c r="B18" s="29" t="s">
        <x:v>430</x:v>
      </x:c>
      <x:c r="C18" s="21">
        <x:v>45844.0</x:v>
      </x:c>
      <x:c r="D18" s="22" t="s">
        <x:v>431</x:v>
      </x:c>
      <x:c r="E18" s="23"/>
      <x:c r="F18" s="23"/>
      <x:c r="G18" s="24"/>
      <x:c r="H18" s="24"/>
      <x:c r="I18" s="24"/>
      <x:c r="J18" s="24"/>
      <x:c r="K18" s="24">
        <x:v>1.0</x:v>
      </x:c>
      <x:c r="L18" s="94"/>
      <x:c r="M18" s="94"/>
      <x:c r="N18" s="94"/>
      <x:c r="O18" s="94"/>
      <x:c r="P18" s="94"/>
      <x:c r="Q18" s="26">
        <x:f t="shared" si="4"/>
        <x:v>240000</x:v>
      </x:c>
      <x:c r="R18" s="23" t="s">
        <x:v>74</x:v>
      </x:c>
      <x:c r="S18" s="23" t="s">
        <x:v>31</x:v>
      </x:c>
      <x:c r="T18" s="32"/>
      <x:c r="U18" s="33"/>
      <x:c r="V18" s="34" t="e">
        <x:f>IFERROR(__xludf.DUMMYFUNCTION("SUM(FILTER($E$2:$P$1117, $C$2:$C$1117 = U18))"),2.7908507687436026E7)</x:f>
        <x:v>#NAME?</x:v>
      </x:c>
      <x:c r="W18" s="34" t="e">
        <x:f>IFERROR(__xludf.DUMMYFUNCTION("COUNT(FILTER($C$2:$C$1117, $C$2:$C$1117 = U18))"),0.0)</x:f>
        <x:v>#NAME?</x:v>
      </x:c>
      <x:c r="X18" s="31">
        <x:f t="shared" si="3"/>
        <x:v>0</x:v>
      </x:c>
    </x:row>
    <x:row r="19">
      <x:c r="A19" s="19">
        <x:v>18.0</x:v>
      </x:c>
      <x:c r="B19" s="29" t="s">
        <x:v>432</x:v>
      </x:c>
      <x:c r="C19" s="21">
        <x:v>45844.0</x:v>
      </x:c>
      <x:c r="D19" s="22" t="s">
        <x:v>433</x:v>
      </x:c>
      <x:c r="E19" s="23"/>
      <x:c r="F19" s="23"/>
      <x:c r="G19" s="24"/>
      <x:c r="H19" s="24"/>
      <x:c r="I19" s="24"/>
      <x:c r="J19" s="24"/>
      <x:c r="K19" s="24">
        <x:v>3.0</x:v>
      </x:c>
      <x:c r="L19" s="94"/>
      <x:c r="M19" s="94"/>
      <x:c r="N19" s="94"/>
      <x:c r="O19" s="94"/>
      <x:c r="P19" s="94"/>
      <x:c r="Q19" s="26">
        <x:f t="shared" si="4"/>
        <x:v>720000</x:v>
      </x:c>
      <x:c r="R19" s="23" t="s">
        <x:v>74</x:v>
      </x:c>
      <x:c r="S19" s="23" t="s">
        <x:v>31</x:v>
      </x:c>
      <x:c r="T19" s="32"/>
      <x:c r="U19" s="33"/>
      <x:c r="V19" s="34"/>
      <x:c r="W19" s="34"/>
      <x:c r="X19" s="31"/>
    </x:row>
    <x:row r="20" ht="18.75" customHeight="1">
      <x:c r="A20" s="19">
        <x:v>19.0</x:v>
      </x:c>
      <x:c r="B20" s="29" t="s">
        <x:v>148</x:v>
      </x:c>
      <x:c r="C20" s="21">
        <x:v>45845.0</x:v>
      </x:c>
      <x:c r="D20" s="35"/>
      <x:c r="E20" s="23"/>
      <x:c r="F20" s="23">
        <x:v>10.0</x:v>
      </x:c>
      <x:c r="G20" s="24"/>
      <x:c r="H20" s="24"/>
      <x:c r="I20" s="24"/>
      <x:c r="J20" s="24"/>
      <x:c r="K20" s="24"/>
      <x:c r="L20" s="23"/>
      <x:c r="M20" s="23"/>
      <x:c r="N20" s="23"/>
      <x:c r="O20" s="23"/>
      <x:c r="P20" s="23"/>
      <x:c r="Q20" s="26" t="n">
        <x:f>(E20*260+F20*205+G20*470+H20*655+I20*230+J20*190+K20*240+L20*390+M20*290+N20*290+O20*395+P20*260)*1000</x:f>
        <x:v>2050000</x:v>
      </x:c>
      <x:c r="R20" s="23" t="s">
        <x:v>74</x:v>
      </x:c>
      <x:c r="S20" s="23" t="s">
        <x:v>31</x:v>
      </x:c>
      <x:c r="T20" s="32"/>
      <x:c r="U20" s="33"/>
      <x:c r="V20" s="34" t="e">
        <x:f>IFERROR(__xludf.DUMMYFUNCTION("SUM(FILTER($E$2:$P$1117, $C$2:$C$1117 = U20))"),2.7908507687436026E7)</x:f>
        <x:v>#NAME?</x:v>
      </x:c>
      <x:c r="W20" s="34" t="e">
        <x:f>IFERROR(__xludf.DUMMYFUNCTION("COUNT(FILTER($C$2:$C$1117, $C$2:$C$1117 = U20))"),0.0)</x:f>
        <x:v>#NAME?</x:v>
      </x:c>
      <x:c r="X20" s="31" t="n">
        <x:f t="shared" ref="X20:X38" si="5">SUMIF($C$2:$C$1117, $U20 , $Q$2:$Q$1117)</x:f>
        <x:v>93180000</x:v>
      </x:c>
    </x:row>
    <x:row r="21" ht="18.75" customHeight="1">
      <x:c r="A21" s="19">
        <x:v>20.0</x:v>
      </x:c>
      <x:c r="B21" s="29" t="s">
        <x:v>434</x:v>
      </x:c>
      <x:c r="C21" s="21"/>
      <x:c r="D21" s="35"/>
      <x:c r="E21" s="23"/>
      <x:c r="F21" s="23"/>
      <x:c r="G21" s="24">
        <x:v>1.0</x:v>
      </x:c>
      <x:c r="H21" s="25"/>
      <x:c r="I21" s="24"/>
      <x:c r="J21" s="24"/>
      <x:c r="K21" s="24"/>
      <x:c r="L21" s="94"/>
      <x:c r="M21" s="94"/>
      <x:c r="N21" s="94"/>
      <x:c r="O21" s="94"/>
      <x:c r="P21" s="94"/>
      <x:c r="Q21" s="26" t="n">
        <x:f t="shared" ref="Q21:Q22" si="6">(E21*260+F21*210+G21*470+H21*655+I21*230+J21*190+K21*240+L21*390+M21*290+N21*290+O21*395+P21*260)*1000</x:f>
        <x:v>470000</x:v>
      </x:c>
      <x:c r="R21" s="23" t="s">
        <x:v>74</x:v>
      </x:c>
      <x:c r="S21" s="23" t="s">
        <x:v>31</x:v>
      </x:c>
      <x:c r="T21" s="32"/>
      <x:c r="U21" s="33"/>
      <x:c r="V21" s="34" t="e">
        <x:f>IFERROR(__xludf.DUMMYFUNCTION("SUM(FILTER($E$2:$P$1117, $C$2:$C$1117 = U21))"),2.7908507687436026E7)</x:f>
        <x:v>#NAME?</x:v>
      </x:c>
      <x:c r="W21" s="34" t="e">
        <x:f>IFERROR(__xludf.DUMMYFUNCTION("COUNT(FILTER($C$2:$C$1117, $C$2:$C$1117 = U21))"),0.0)</x:f>
        <x:v>#NAME?</x:v>
      </x:c>
      <x:c r="X21" s="31">
        <x:f t="shared" si="5"/>
        <x:v>0</x:v>
      </x:c>
    </x:row>
    <x:row r="22" ht="18.75" customHeight="1">
      <x:c r="A22" s="19">
        <x:v>21.0</x:v>
      </x:c>
      <x:c r="B22" s="29" t="s">
        <x:v>435</x:v>
      </x:c>
      <x:c r="C22" s="21"/>
      <x:c r="D22" s="35"/>
      <x:c r="E22" s="23"/>
      <x:c r="F22" s="23"/>
      <x:c r="G22" s="24"/>
      <x:c r="H22" s="24"/>
      <x:c r="I22" s="24"/>
      <x:c r="J22" s="24"/>
      <x:c r="K22" s="24">
        <x:v>1.0</x:v>
      </x:c>
      <x:c r="L22" s="94"/>
      <x:c r="M22" s="94"/>
      <x:c r="N22" s="94"/>
      <x:c r="O22" s="94"/>
      <x:c r="P22" s="94"/>
      <x:c r="Q22" s="26">
        <x:f t="shared" si="6"/>
        <x:v>240000</x:v>
      </x:c>
      <x:c r="R22" s="23" t="s">
        <x:v>74</x:v>
      </x:c>
      <x:c r="S22" s="23" t="s">
        <x:v>31</x:v>
      </x:c>
      <x:c r="T22" s="32"/>
      <x:c r="U22" s="33"/>
      <x:c r="V22" s="34" t="e">
        <x:f>IFERROR(__xludf.DUMMYFUNCTION("SUM(FILTER($E$2:$P$1117, $C$2:$C$1117 = U22))"),2.7908507687436026E7)</x:f>
        <x:v>#NAME?</x:v>
      </x:c>
      <x:c r="W22" s="34" t="e">
        <x:f>IFERROR(__xludf.DUMMYFUNCTION("COUNT(FILTER($C$2:$C$1117, $C$2:$C$1117 = U22))"),0.0)</x:f>
        <x:v>#NAME?</x:v>
      </x:c>
      <x:c r="X22" s="31">
        <x:f t="shared" si="5"/>
        <x:v>0</x:v>
      </x:c>
    </x:row>
    <x:row r="23" ht="18.75" customHeight="1">
      <x:c r="A23" s="19">
        <x:v>22.0</x:v>
      </x:c>
      <x:c r="B23" s="29" t="s">
        <x:v>81</x:v>
      </x:c>
      <x:c r="C23" s="21">
        <x:v>45853.0</x:v>
      </x:c>
      <x:c r="D23" s="58" t="s">
        <x:v>82</x:v>
      </x:c>
      <x:c r="E23" s="23"/>
      <x:c r="F23" s="23"/>
      <x:c r="G23" s="24">
        <x:v>19.0</x:v>
      </x:c>
      <x:c r="H23" s="25"/>
      <x:c r="I23" s="24"/>
      <x:c r="J23" s="24"/>
      <x:c r="K23" s="24"/>
      <x:c r="L23" s="94"/>
      <x:c r="M23" s="94"/>
      <x:c r="N23" s="94"/>
      <x:c r="O23" s="94"/>
      <x:c r="P23" s="94"/>
      <x:c r="Q23" s="26" t="n">
        <x:f>(E23*260+F23*210+G23*445+H23*655+I23*230+J23*190+K23*240+L23*390+M23*290+N23*290+O23*395+P23*260)*1000</x:f>
        <x:v>8455000</x:v>
      </x:c>
      <x:c r="R23" s="23" t="s">
        <x:v>74</x:v>
      </x:c>
      <x:c r="S23" s="23" t="s">
        <x:v>31</x:v>
      </x:c>
      <x:c r="T23" s="32"/>
      <x:c r="U23" s="33"/>
      <x:c r="V23" s="34" t="e">
        <x:f>IFERROR(__xludf.DUMMYFUNCTION("SUM(FILTER($E$2:$P$1117, $C$2:$C$1117 = U23))"),2.7908507687436026E7)</x:f>
        <x:v>#NAME?</x:v>
      </x:c>
      <x:c r="W23" s="34" t="e">
        <x:f>IFERROR(__xludf.DUMMYFUNCTION("COUNT(FILTER($C$2:$C$1117, $C$2:$C$1117 = U23))"),0.0)</x:f>
        <x:v>#NAME?</x:v>
      </x:c>
      <x:c r="X23" s="31">
        <x:f t="shared" si="5"/>
        <x:v>0</x:v>
      </x:c>
    </x:row>
    <x:row r="24" ht="18.75" customHeight="1">
      <x:c r="A24" s="19">
        <x:v>23.0</x:v>
      </x:c>
      <x:c r="B24" s="29" t="s">
        <x:v>436</x:v>
      </x:c>
      <x:c r="C24" s="21">
        <x:v>45853.0</x:v>
      </x:c>
      <x:c r="D24" s="22" t="s">
        <x:v>437</x:v>
      </x:c>
      <x:c r="E24" s="23"/>
      <x:c r="F24" s="23"/>
      <x:c r="G24" s="25"/>
      <x:c r="H24" s="24"/>
      <x:c r="I24" s="24"/>
      <x:c r="J24" s="24"/>
      <x:c r="K24" s="24"/>
      <x:c r="L24" s="23">
        <x:v>1.0</x:v>
      </x:c>
      <x:c r="M24" s="94"/>
      <x:c r="N24" s="94"/>
      <x:c r="O24" s="94"/>
      <x:c r="P24" s="94"/>
      <x:c r="Q24" s="26" t="n">
        <x:f>(E24*260+F24*210+G24*470+H24*655+I24*230+J24*190+K24*240+L24*390+M24*290+N24*290+O24*395+P24*260)*1000</x:f>
        <x:v>390000</x:v>
      </x:c>
      <x:c r="R24" s="23" t="s">
        <x:v>74</x:v>
      </x:c>
      <x:c r="S24" s="23" t="s">
        <x:v>34</x:v>
      </x:c>
      <x:c r="T24" s="32"/>
      <x:c r="U24" s="33"/>
      <x:c r="V24" s="34" t="e">
        <x:f>IFERROR(__xludf.DUMMYFUNCTION("SUM(FILTER($E$2:$P$1117, $C$2:$C$1117 = U24))"),2.7908507687436026E7)</x:f>
        <x:v>#NAME?</x:v>
      </x:c>
      <x:c r="W24" s="34" t="e">
        <x:f>IFERROR(__xludf.DUMMYFUNCTION("COUNT(FILTER($C$2:$C$1117, $C$2:$C$1117 = U24))"),0.0)</x:f>
        <x:v>#NAME?</x:v>
      </x:c>
      <x:c r="X24" s="31">
        <x:f t="shared" si="5"/>
        <x:v>0</x:v>
      </x:c>
    </x:row>
    <x:row r="25">
      <x:c r="A25" s="19">
        <x:v>24.0</x:v>
      </x:c>
      <x:c r="B25" s="29" t="s">
        <x:v>438</x:v>
      </x:c>
      <x:c r="C25" s="21">
        <x:v>45854.0</x:v>
      </x:c>
      <x:c r="D25" s="58" t="s">
        <x:v>439</x:v>
      </x:c>
      <x:c r="E25" s="56"/>
      <x:c r="F25" s="23"/>
      <x:c r="G25" s="25"/>
      <x:c r="H25" s="25"/>
      <x:c r="I25" s="24"/>
      <x:c r="J25" s="25"/>
      <x:c r="K25" s="25"/>
      <x:c r="L25" s="94"/>
      <x:c r="M25" s="23">
        <x:v>9.0</x:v>
      </x:c>
      <x:c r="N25" s="23">
        <x:v>9.0</x:v>
      </x:c>
      <x:c r="O25" s="23">
        <x:v>2.0</x:v>
      </x:c>
      <x:c r="P25" s="94"/>
      <x:c r="Q25" s="26" t="n">
        <x:f>(E25*260+F25*210+G25*470+H25*655+I25*230+J25*190+K25*240+L25*390+M25*255+N25*255+O25*320+P25*260)*1000</x:f>
        <x:v>5230000</x:v>
      </x:c>
      <x:c r="R25" s="23" t="s">
        <x:v>74</x:v>
      </x:c>
      <x:c r="S25" s="23" t="s">
        <x:v>34</x:v>
      </x:c>
      <x:c r="T25" s="57"/>
      <x:c r="U25" s="33"/>
      <x:c r="V25" s="34" t="e">
        <x:f>IFERROR(__xludf.DUMMYFUNCTION("SUM(FILTER($E$2:$P$1117, $C$2:$C$1117 = U25))"),2.7908507687436026E7)</x:f>
        <x:v>#NAME?</x:v>
      </x:c>
      <x:c r="W25" s="34" t="e">
        <x:f>IFERROR(__xludf.DUMMYFUNCTION("COUNT(FILTER($C$2:$C$1117, $C$2:$C$1117 = U25))"),0.0)</x:f>
        <x:v>#NAME?</x:v>
      </x:c>
      <x:c r="X25" s="31">
        <x:f t="shared" si="5"/>
        <x:v>0</x:v>
      </x:c>
    </x:row>
    <x:row r="26" ht="18.75" customHeight="1">
      <x:c r="A26" s="19">
        <x:v>25.0</x:v>
      </x:c>
      <x:c r="B26" s="29" t="s">
        <x:v>440</x:v>
      </x:c>
      <x:c r="C26" s="21">
        <x:v>45860.0</x:v>
      </x:c>
      <x:c r="D26" s="58" t="s">
        <x:v>441</x:v>
      </x:c>
      <x:c r="E26" s="56"/>
      <x:c r="F26" s="23"/>
      <x:c r="G26" s="25"/>
      <x:c r="H26" s="24"/>
      <x:c r="I26" s="24"/>
      <x:c r="J26" s="24"/>
      <x:c r="K26" s="24"/>
      <x:c r="L26" s="94"/>
      <x:c r="M26" s="94"/>
      <x:c r="N26" s="23">
        <x:v>1.0</x:v>
      </x:c>
      <x:c r="O26" s="94"/>
      <x:c r="P26" s="94"/>
      <x:c r="Q26" s="26" t="n">
        <x:f>(E26*260+F26*210+G26*470+H26*655+I26*230+J26*190+K26*240+L26*390+M26*290+N26*290+O26*395+P26*260)*1000-25000</x:f>
        <x:v>265000</x:v>
      </x:c>
      <x:c r="R26" s="23" t="s">
        <x:v>74</x:v>
      </x:c>
      <x:c r="S26" s="23" t="s">
        <x:v>31</x:v>
      </x:c>
      <x:c r="T26" s="32"/>
      <x:c r="U26" s="33"/>
      <x:c r="V26" s="34" t="e">
        <x:f>IFERROR(__xludf.DUMMYFUNCTION("SUM(FILTER($E$2:$P$1117, $C$2:$C$1117 = U26))"),2.7908507687436026E7)</x:f>
        <x:v>#NAME?</x:v>
      </x:c>
      <x:c r="W26" s="34" t="e">
        <x:f>IFERROR(__xludf.DUMMYFUNCTION("COUNT(FILTER($C$2:$C$1117, $C$2:$C$1117 = U26))"),0.0)</x:f>
        <x:v>#NAME?</x:v>
      </x:c>
      <x:c r="X26" s="31">
        <x:f t="shared" si="5"/>
        <x:v>0</x:v>
      </x:c>
    </x:row>
    <x:row r="27" ht="18.75" customHeight="1">
      <x:c r="A27" s="19"/>
      <x:c r="B27" s="29"/>
      <x:c r="C27" s="21"/>
      <x:c r="D27" s="35"/>
      <x:c r="E27" s="23"/>
      <x:c r="F27" s="23"/>
      <x:c r="G27" s="24"/>
      <x:c r="H27" s="25"/>
      <x:c r="I27" s="25"/>
      <x:c r="J27" s="24"/>
      <x:c r="K27" s="24"/>
      <x:c r="L27" s="94"/>
      <x:c r="M27" s="94"/>
      <x:c r="N27" s="23"/>
      <x:c r="O27" s="94"/>
      <x:c r="P27" s="94"/>
      <x:c r="Q27" s="26" t="n">
        <x:f t="shared" ref="Q27:Q118" si="7">(E27*260+F27*210+G27*470+H27*655+I27*230+J27*190+K27*240+L27*390+M27*290+N27*290+O27*395+P27*260)*1000</x:f>
        <x:v>0</x:v>
      </x:c>
      <x:c r="R27" s="23"/>
      <x:c r="S27" s="23"/>
      <x:c r="T27" s="32"/>
      <x:c r="U27" s="33"/>
      <x:c r="V27" s="34" t="e">
        <x:f>IFERROR(__xludf.DUMMYFUNCTION("SUM(FILTER($E$2:$P$1117, $C$2:$C$1117 = U27))"),2.7908507687436026E7)</x:f>
        <x:v>#NAME?</x:v>
      </x:c>
      <x:c r="W27" s="34" t="e">
        <x:f>IFERROR(__xludf.DUMMYFUNCTION("COUNT(FILTER($C$2:$C$1117, $C$2:$C$1117 = U27))"),0.0)</x:f>
        <x:v>#NAME?</x:v>
      </x:c>
      <x:c r="X27" s="31">
        <x:f t="shared" si="5"/>
        <x:v>0</x:v>
      </x:c>
    </x:row>
    <x:row r="28" ht="18.75" customHeight="1">
      <x:c r="A28" s="19"/>
      <x:c r="B28" s="29"/>
      <x:c r="C28" s="21"/>
      <x:c r="D28" s="35"/>
      <x:c r="E28" s="23"/>
      <x:c r="F28" s="23"/>
      <x:c r="G28" s="25"/>
      <x:c r="H28" s="25"/>
      <x:c r="I28" s="25"/>
      <x:c r="J28" s="24"/>
      <x:c r="K28" s="24"/>
      <x:c r="L28" s="94"/>
      <x:c r="M28" s="94"/>
      <x:c r="N28" s="94"/>
      <x:c r="O28" s="94"/>
      <x:c r="P28" s="94"/>
      <x:c r="Q28" s="26">
        <x:f t="shared" si="7"/>
        <x:v>0</x:v>
      </x:c>
      <x:c r="R28" s="23"/>
      <x:c r="S28" s="23"/>
      <x:c r="T28" s="32"/>
      <x:c r="U28" s="33"/>
      <x:c r="V28" s="34" t="e">
        <x:f>IFERROR(__xludf.DUMMYFUNCTION("SUM(FILTER($E$2:$P$1117, $C$2:$C$1117 = U28))"),2.7908507687436026E7)</x:f>
        <x:v>#NAME?</x:v>
      </x:c>
      <x:c r="W28" s="34" t="e">
        <x:f>IFERROR(__xludf.DUMMYFUNCTION("COUNT(FILTER($C$2:$C$1117, $C$2:$C$1117 = U28))"),0.0)</x:f>
        <x:v>#NAME?</x:v>
      </x:c>
      <x:c r="X28" s="31">
        <x:f t="shared" si="5"/>
        <x:v>0</x:v>
      </x:c>
    </x:row>
    <x:row r="29" ht="18.75" customHeight="1">
      <x:c r="A29" s="19"/>
      <x:c r="B29" s="29"/>
      <x:c r="C29" s="21"/>
      <x:c r="D29" s="35"/>
      <x:c r="E29" s="23"/>
      <x:c r="F29" s="23"/>
      <x:c r="G29" s="24"/>
      <x:c r="H29" s="24"/>
      <x:c r="I29" s="25"/>
      <x:c r="J29" s="24"/>
      <x:c r="K29" s="24"/>
      <x:c r="L29" s="94"/>
      <x:c r="M29" s="94"/>
      <x:c r="N29" s="94"/>
      <x:c r="O29" s="94"/>
      <x:c r="P29" s="94"/>
      <x:c r="Q29" s="26">
        <x:f t="shared" si="7"/>
        <x:v>0</x:v>
      </x:c>
      <x:c r="R29" s="23"/>
      <x:c r="S29" s="23"/>
      <x:c r="T29" s="32"/>
      <x:c r="U29" s="33"/>
      <x:c r="V29" s="34" t="e">
        <x:f>IFERROR(__xludf.DUMMYFUNCTION("SUM(FILTER($E$2:$P$1117, $C$2:$C$1117 = U29))"),2.7908507687436026E7)</x:f>
        <x:v>#NAME?</x:v>
      </x:c>
      <x:c r="W29" s="34" t="e">
        <x:f>IFERROR(__xludf.DUMMYFUNCTION("COUNT(FILTER($C$2:$C$1117, $C$2:$C$1117 = U29))"),0.0)</x:f>
        <x:v>#NAME?</x:v>
      </x:c>
      <x:c r="X29" s="31">
        <x:f t="shared" si="5"/>
        <x:v>0</x:v>
      </x:c>
    </x:row>
    <x:row r="30" ht="18.75" customHeight="1">
      <x:c r="A30" s="19"/>
      <x:c r="B30" s="29"/>
      <x:c r="C30" s="21"/>
      <x:c r="D30" s="35"/>
      <x:c r="E30" s="23"/>
      <x:c r="F30" s="23"/>
      <x:c r="G30" s="24"/>
      <x:c r="H30" s="24"/>
      <x:c r="I30" s="25"/>
      <x:c r="J30" s="24"/>
      <x:c r="K30" s="24"/>
      <x:c r="L30" s="94"/>
      <x:c r="M30" s="94"/>
      <x:c r="N30" s="94"/>
      <x:c r="O30" s="94"/>
      <x:c r="P30" s="94"/>
      <x:c r="Q30" s="26">
        <x:f t="shared" si="7"/>
        <x:v>0</x:v>
      </x:c>
      <x:c r="R30" s="23"/>
      <x:c r="S30" s="23"/>
      <x:c r="T30" s="32"/>
      <x:c r="U30" s="33"/>
      <x:c r="V30" s="34" t="e">
        <x:f>IFERROR(__xludf.DUMMYFUNCTION("SUM(FILTER($E$2:$P$1117, $C$2:$C$1117 = U30))"),2.7908507687436026E7)</x:f>
        <x:v>#NAME?</x:v>
      </x:c>
      <x:c r="W30" s="34" t="e">
        <x:f>IFERROR(__xludf.DUMMYFUNCTION("COUNT(FILTER($C$2:$C$1117, $C$2:$C$1117 = U30))"),0.0)</x:f>
        <x:v>#NAME?</x:v>
      </x:c>
      <x:c r="X30" s="31">
        <x:f t="shared" si="5"/>
        <x:v>0</x:v>
      </x:c>
    </x:row>
    <x:row r="31">
      <x:c r="A31" s="19"/>
      <x:c r="B31" s="29"/>
      <x:c r="C31" s="21"/>
      <x:c r="D31" s="35"/>
      <x:c r="E31" s="23"/>
      <x:c r="F31" s="23"/>
      <x:c r="G31" s="25"/>
      <x:c r="H31" s="25"/>
      <x:c r="I31" s="24"/>
      <x:c r="J31" s="24"/>
      <x:c r="K31" s="24"/>
      <x:c r="L31" s="94"/>
      <x:c r="M31" s="94"/>
      <x:c r="N31" s="94"/>
      <x:c r="O31" s="94"/>
      <x:c r="P31" s="94"/>
      <x:c r="Q31" s="26">
        <x:f t="shared" si="7"/>
        <x:v>0</x:v>
      </x:c>
      <x:c r="R31" s="23"/>
      <x:c r="S31" s="23"/>
      <x:c r="T31" s="57"/>
      <x:c r="U31" s="33"/>
      <x:c r="V31" s="34" t="e">
        <x:f>IFERROR(__xludf.DUMMYFUNCTION("SUM(FILTER($E$2:$P$1117, $C$2:$C$1117 = U31))"),2.7908507687436026E7)</x:f>
        <x:v>#NAME?</x:v>
      </x:c>
      <x:c r="W31" s="34" t="e">
        <x:f>IFERROR(__xludf.DUMMYFUNCTION("COUNT(FILTER($C$2:$C$1117, $C$2:$C$1117 = U31))"),0.0)</x:f>
        <x:v>#NAME?</x:v>
      </x:c>
      <x:c r="X31" s="31">
        <x:f t="shared" si="5"/>
        <x:v>0</x:v>
      </x:c>
    </x:row>
    <x:row r="32" ht="18.75" customHeight="1">
      <x:c r="A32" s="19"/>
      <x:c r="B32" s="29"/>
      <x:c r="C32" s="21"/>
      <x:c r="D32" s="35"/>
      <x:c r="E32" s="56"/>
      <x:c r="F32" s="23"/>
      <x:c r="G32" s="24"/>
      <x:c r="H32" s="24"/>
      <x:c r="I32" s="24"/>
      <x:c r="J32" s="24"/>
      <x:c r="K32" s="24"/>
      <x:c r="L32" s="94"/>
      <x:c r="M32" s="94"/>
      <x:c r="N32" s="94"/>
      <x:c r="O32" s="94"/>
      <x:c r="P32" s="94"/>
      <x:c r="Q32" s="26">
        <x:f t="shared" si="7"/>
        <x:v>0</x:v>
      </x:c>
      <x:c r="R32" s="23"/>
      <x:c r="S32" s="23"/>
      <x:c r="T32" s="57"/>
      <x:c r="U32" s="33"/>
      <x:c r="V32" s="34" t="e">
        <x:f>IFERROR(__xludf.DUMMYFUNCTION("SUM(FILTER($E$2:$P$1117, $C$2:$C$1117 = U32))"),2.7908507687436026E7)</x:f>
        <x:v>#NAME?</x:v>
      </x:c>
      <x:c r="W32" s="34" t="e">
        <x:f>IFERROR(__xludf.DUMMYFUNCTION("COUNT(FILTER($C$2:$C$1117, $C$2:$C$1117 = U32))"),0.0)</x:f>
        <x:v>#NAME?</x:v>
      </x:c>
      <x:c r="X32" s="31">
        <x:f t="shared" si="5"/>
        <x:v>0</x:v>
      </x:c>
    </x:row>
    <x:row r="33" ht="18.75" customHeight="1">
      <x:c r="A33" s="19"/>
      <x:c r="B33" s="29"/>
      <x:c r="C33" s="21"/>
      <x:c r="D33" s="35"/>
      <x:c r="E33" s="56"/>
      <x:c r="F33" s="23"/>
      <x:c r="G33" s="24"/>
      <x:c r="H33" s="24"/>
      <x:c r="I33" s="24"/>
      <x:c r="J33" s="24"/>
      <x:c r="K33" s="24"/>
      <x:c r="L33" s="94"/>
      <x:c r="M33" s="94"/>
      <x:c r="N33" s="94"/>
      <x:c r="O33" s="94"/>
      <x:c r="P33" s="94"/>
      <x:c r="Q33" s="26">
        <x:f t="shared" si="7"/>
        <x:v>0</x:v>
      </x:c>
      <x:c r="R33" s="23"/>
      <x:c r="S33" s="23"/>
      <x:c r="T33" s="32"/>
      <x:c r="U33" s="33"/>
      <x:c r="V33" s="34" t="e">
        <x:f>IFERROR(__xludf.DUMMYFUNCTION("SUM(FILTER($E$2:$P$1117, $C$2:$C$1117 = U33))"),2.7908507687436026E7)</x:f>
        <x:v>#NAME?</x:v>
      </x:c>
      <x:c r="W33" s="34" t="e">
        <x:f>IFERROR(__xludf.DUMMYFUNCTION("COUNT(FILTER($C$2:$C$1117, $C$2:$C$1117 = U33))"),0.0)</x:f>
        <x:v>#NAME?</x:v>
      </x:c>
      <x:c r="X33" s="31">
        <x:f t="shared" si="5"/>
        <x:v>0</x:v>
      </x:c>
    </x:row>
    <x:row r="34" ht="18.75" customHeight="1">
      <x:c r="A34" s="19"/>
      <x:c r="B34" s="29"/>
      <x:c r="C34" s="21"/>
      <x:c r="D34" s="55"/>
      <x:c r="E34" s="23"/>
      <x:c r="F34" s="23"/>
      <x:c r="G34" s="24"/>
      <x:c r="H34" s="24"/>
      <x:c r="I34" s="24"/>
      <x:c r="J34" s="24"/>
      <x:c r="K34" s="24"/>
      <x:c r="L34" s="94"/>
      <x:c r="M34" s="94"/>
      <x:c r="N34" s="94"/>
      <x:c r="O34" s="94"/>
      <x:c r="P34" s="94"/>
      <x:c r="Q34" s="26">
        <x:f t="shared" si="7"/>
        <x:v>0</x:v>
      </x:c>
      <x:c r="R34" s="23"/>
      <x:c r="S34" s="23"/>
      <x:c r="T34" s="32"/>
      <x:c r="U34" s="33"/>
      <x:c r="V34" s="34" t="e">
        <x:f>IFERROR(__xludf.DUMMYFUNCTION("SUM(FILTER($E$2:$P$1117, $C$2:$C$1117 = U34))"),2.7908507687436026E7)</x:f>
        <x:v>#NAME?</x:v>
      </x:c>
      <x:c r="W34" s="34" t="e">
        <x:f>IFERROR(__xludf.DUMMYFUNCTION("COUNT(FILTER($C$2:$C$1117, $C$2:$C$1117 = U34))"),0.0)</x:f>
        <x:v>#NAME?</x:v>
      </x:c>
      <x:c r="X34" s="31">
        <x:f t="shared" si="5"/>
        <x:v>0</x:v>
      </x:c>
    </x:row>
    <x:row r="35" ht="18.75" customHeight="1">
      <x:c r="A35" s="19"/>
      <x:c r="B35" s="29"/>
      <x:c r="C35" s="21"/>
      <x:c r="D35" s="35"/>
      <x:c r="E35" s="23"/>
      <x:c r="F35" s="23"/>
      <x:c r="G35" s="24"/>
      <x:c r="H35" s="24"/>
      <x:c r="I35" s="24"/>
      <x:c r="J35" s="24"/>
      <x:c r="K35" s="24"/>
      <x:c r="L35" s="23"/>
      <x:c r="M35" s="23"/>
      <x:c r="N35" s="23"/>
      <x:c r="O35" s="23"/>
      <x:c r="P35" s="23"/>
      <x:c r="Q35" s="26">
        <x:f t="shared" si="7"/>
        <x:v>0</x:v>
      </x:c>
      <x:c r="R35" s="23"/>
      <x:c r="S35" s="23"/>
      <x:c r="T35" s="32"/>
      <x:c r="U35" s="33"/>
      <x:c r="V35" s="34" t="e">
        <x:f>IFERROR(__xludf.DUMMYFUNCTION("SUM(FILTER($E$2:$P$1117, $C$2:$C$1117 = U35))"),2.7908507687436026E7)</x:f>
        <x:v>#NAME?</x:v>
      </x:c>
      <x:c r="W35" s="34" t="e">
        <x:f>IFERROR(__xludf.DUMMYFUNCTION("COUNT(FILTER($C$2:$C$1117, $C$2:$C$1117 = U35))"),0.0)</x:f>
        <x:v>#NAME?</x:v>
      </x:c>
      <x:c r="X35" s="31">
        <x:f t="shared" si="5"/>
        <x:v>0</x:v>
      </x:c>
    </x:row>
    <x:row r="36" ht="18.75" customHeight="1">
      <x:c r="A36" s="19"/>
      <x:c r="B36" s="29"/>
      <x:c r="C36" s="21"/>
      <x:c r="D36" s="35"/>
      <x:c r="E36" s="56"/>
      <x:c r="F36" s="23"/>
      <x:c r="G36" s="25"/>
      <x:c r="H36" s="25"/>
      <x:c r="I36" s="24"/>
      <x:c r="J36" s="25"/>
      <x:c r="K36" s="25"/>
      <x:c r="L36" s="94"/>
      <x:c r="M36" s="94"/>
      <x:c r="N36" s="94"/>
      <x:c r="O36" s="94"/>
      <x:c r="P36" s="94"/>
      <x:c r="Q36" s="26">
        <x:f t="shared" si="7"/>
        <x:v>0</x:v>
      </x:c>
      <x:c r="R36" s="23"/>
      <x:c r="S36" s="23"/>
      <x:c r="T36" s="32"/>
      <x:c r="U36" s="33"/>
      <x:c r="V36" s="34" t="e">
        <x:f>IFERROR(__xludf.DUMMYFUNCTION("SUM(FILTER($E$2:$P$1117, $C$2:$C$1117 = U36))"),2.7908507687436026E7)</x:f>
        <x:v>#NAME?</x:v>
      </x:c>
      <x:c r="W36" s="34" t="e">
        <x:f>IFERROR(__xludf.DUMMYFUNCTION("COUNT(FILTER($C$2:$C$1117, $C$2:$C$1117 = U36))"),0.0)</x:f>
        <x:v>#NAME?</x:v>
      </x:c>
      <x:c r="X36" s="31">
        <x:f t="shared" si="5"/>
        <x:v>0</x:v>
      </x:c>
    </x:row>
    <x:row r="37" ht="18.75" customHeight="1">
      <x:c r="A37" s="19"/>
      <x:c r="B37" s="29"/>
      <x:c r="C37" s="21"/>
      <x:c r="D37" s="35"/>
      <x:c r="E37" s="23"/>
      <x:c r="F37" s="23"/>
      <x:c r="G37" s="24"/>
      <x:c r="H37" s="24"/>
      <x:c r="I37" s="24"/>
      <x:c r="J37" s="24"/>
      <x:c r="K37" s="24"/>
      <x:c r="L37" s="94"/>
      <x:c r="M37" s="94"/>
      <x:c r="N37" s="94"/>
      <x:c r="O37" s="94"/>
      <x:c r="P37" s="94"/>
      <x:c r="Q37" s="26">
        <x:f t="shared" si="7"/>
        <x:v>0</x:v>
      </x:c>
      <x:c r="R37" s="23"/>
      <x:c r="S37" s="23"/>
      <x:c r="T37" s="32"/>
      <x:c r="U37" s="33"/>
      <x:c r="V37" s="34" t="e">
        <x:f>IFERROR(__xludf.DUMMYFUNCTION("SUM(FILTER($E$2:$P$1117, $C$2:$C$1117 = U37))"),2.7908507687436026E7)</x:f>
        <x:v>#NAME?</x:v>
      </x:c>
      <x:c r="W37" s="34" t="e">
        <x:f>IFERROR(__xludf.DUMMYFUNCTION("COUNT(FILTER($C$2:$C$1117, $C$2:$C$1117 = U37))"),0.0)</x:f>
        <x:v>#NAME?</x:v>
      </x:c>
      <x:c r="X37" s="31">
        <x:f t="shared" si="5"/>
        <x:v>0</x:v>
      </x:c>
    </x:row>
    <x:row r="38" ht="18.75" customHeight="1">
      <x:c r="A38" s="19"/>
      <x:c r="B38" s="29"/>
      <x:c r="C38" s="21"/>
      <x:c r="D38" s="35"/>
      <x:c r="E38" s="23"/>
      <x:c r="F38" s="23"/>
      <x:c r="G38" s="25"/>
      <x:c r="H38" s="25"/>
      <x:c r="I38" s="24"/>
      <x:c r="J38" s="24"/>
      <x:c r="K38" s="24"/>
      <x:c r="L38" s="94"/>
      <x:c r="M38" s="94"/>
      <x:c r="N38" s="94"/>
      <x:c r="O38" s="94"/>
      <x:c r="P38" s="94"/>
      <x:c r="Q38" s="26">
        <x:f t="shared" si="7"/>
        <x:v>0</x:v>
      </x:c>
      <x:c r="R38" s="23"/>
      <x:c r="S38" s="23"/>
      <x:c r="U38" s="33"/>
      <x:c r="V38" s="34" t="e">
        <x:f>IFERROR(__xludf.DUMMYFUNCTION("SUM(FILTER($E$2:$P$1117, $C$2:$C$1117 = U38))"),2.7908507687436026E7)</x:f>
        <x:v>#NAME?</x:v>
      </x:c>
      <x:c r="W38" s="34" t="e">
        <x:f>IFERROR(__xludf.DUMMYFUNCTION("COUNT(FILTER($C$2:$C$1117, $C$2:$C$1117 = U38))"),0.0)</x:f>
        <x:v>#NAME?</x:v>
      </x:c>
      <x:c r="X38" s="31">
        <x:f t="shared" si="5"/>
        <x:v>0</x:v>
      </x:c>
    </x:row>
    <x:row r="39" ht="18.75" customHeight="1">
      <x:c r="A39" s="19"/>
      <x:c r="B39" s="29"/>
      <x:c r="C39" s="21"/>
      <x:c r="D39" s="35"/>
      <x:c r="E39" s="23"/>
      <x:c r="F39" s="23"/>
      <x:c r="G39" s="25"/>
      <x:c r="H39" s="25"/>
      <x:c r="I39" s="24"/>
      <x:c r="J39" s="24"/>
      <x:c r="K39" s="24"/>
      <x:c r="L39" s="94"/>
      <x:c r="M39" s="94"/>
      <x:c r="N39" s="94"/>
      <x:c r="O39" s="94"/>
      <x:c r="P39" s="94"/>
      <x:c r="Q39" s="26">
        <x:f t="shared" si="7"/>
        <x:v>0</x:v>
      </x:c>
      <x:c r="R39" s="23"/>
      <x:c r="S39" s="23"/>
    </x:row>
    <x:row r="40">
      <x:c r="A40" s="19"/>
      <x:c r="B40" s="29"/>
      <x:c r="C40" s="21"/>
      <x:c r="D40" s="35"/>
      <x:c r="E40" s="56"/>
      <x:c r="F40" s="23"/>
      <x:c r="G40" s="24"/>
      <x:c r="H40" s="24"/>
      <x:c r="I40" s="24"/>
      <x:c r="J40" s="24"/>
      <x:c r="K40" s="24"/>
      <x:c r="L40" s="94"/>
      <x:c r="M40" s="94"/>
      <x:c r="N40" s="94"/>
      <x:c r="O40" s="94"/>
      <x:c r="P40" s="94"/>
      <x:c r="Q40" s="26">
        <x:f t="shared" si="7"/>
        <x:v>0</x:v>
      </x:c>
      <x:c r="R40" s="23"/>
      <x:c r="S40" s="23"/>
      <x:c r="T40" s="32"/>
    </x:row>
    <x:row r="41" ht="18.75" customHeight="1">
      <x:c r="A41" s="19"/>
      <x:c r="B41" s="29"/>
      <x:c r="C41" s="21"/>
      <x:c r="D41" s="35"/>
      <x:c r="E41" s="23"/>
      <x:c r="F41" s="23"/>
      <x:c r="G41" s="25"/>
      <x:c r="H41" s="25"/>
      <x:c r="I41" s="24"/>
      <x:c r="J41" s="24"/>
      <x:c r="K41" s="24"/>
      <x:c r="L41" s="94"/>
      <x:c r="M41" s="94"/>
      <x:c r="N41" s="94"/>
      <x:c r="O41" s="94"/>
      <x:c r="P41" s="94"/>
      <x:c r="Q41" s="26">
        <x:f t="shared" si="7"/>
        <x:v>0</x:v>
      </x:c>
      <x:c r="R41" s="23"/>
      <x:c r="S41" s="23"/>
    </x:row>
    <x:row r="42" ht="18.75" customHeight="1">
      <x:c r="A42" s="19"/>
      <x:c r="B42" s="29"/>
      <x:c r="C42" s="21"/>
      <x:c r="D42" s="35"/>
      <x:c r="E42" s="23"/>
      <x:c r="F42" s="23"/>
      <x:c r="G42" s="25"/>
      <x:c r="H42" s="25"/>
      <x:c r="I42" s="24"/>
      <x:c r="J42" s="24"/>
      <x:c r="K42" s="24"/>
      <x:c r="L42" s="94"/>
      <x:c r="M42" s="94"/>
      <x:c r="N42" s="94"/>
      <x:c r="O42" s="94"/>
      <x:c r="P42" s="94"/>
      <x:c r="Q42" s="26">
        <x:f t="shared" si="7"/>
        <x:v>0</x:v>
      </x:c>
      <x:c r="R42" s="23"/>
      <x:c r="S42" s="23"/>
    </x:row>
    <x:row r="43" ht="18.75" customHeight="1">
      <x:c r="A43" s="19"/>
      <x:c r="B43" s="29"/>
      <x:c r="C43" s="21"/>
      <x:c r="D43" s="35"/>
      <x:c r="E43" s="23"/>
      <x:c r="F43" s="23"/>
      <x:c r="G43" s="24"/>
      <x:c r="H43" s="24"/>
      <x:c r="I43" s="24"/>
      <x:c r="J43" s="24"/>
      <x:c r="K43" s="24"/>
      <x:c r="L43" s="94"/>
      <x:c r="M43" s="94"/>
      <x:c r="N43" s="94"/>
      <x:c r="O43" s="94"/>
      <x:c r="P43" s="94"/>
      <x:c r="Q43" s="26">
        <x:f t="shared" si="7"/>
        <x:v>0</x:v>
      </x:c>
      <x:c r="R43" s="23"/>
      <x:c r="S43" s="23"/>
    </x:row>
    <x:row r="44" ht="18.75" customHeight="1">
      <x:c r="A44" s="19"/>
      <x:c r="B44" s="29"/>
      <x:c r="C44" s="21"/>
      <x:c r="D44" s="35"/>
      <x:c r="E44" s="23"/>
      <x:c r="F44" s="23"/>
      <x:c r="G44" s="25"/>
      <x:c r="H44" s="25"/>
      <x:c r="I44" s="24"/>
      <x:c r="J44" s="24"/>
      <x:c r="K44" s="24"/>
      <x:c r="L44" s="94"/>
      <x:c r="M44" s="94"/>
      <x:c r="N44" s="94"/>
      <x:c r="O44" s="94"/>
      <x:c r="P44" s="94"/>
      <x:c r="Q44" s="26">
        <x:f t="shared" si="7"/>
        <x:v>0</x:v>
      </x:c>
      <x:c r="R44" s="23"/>
      <x:c r="S44" s="23"/>
    </x:row>
    <x:row r="45" ht="18.75" customHeight="1">
      <x:c r="A45" s="19"/>
      <x:c r="B45" s="29"/>
      <x:c r="C45" s="21"/>
      <x:c r="D45" s="55"/>
      <x:c r="E45" s="23"/>
      <x:c r="F45" s="23"/>
      <x:c r="G45" s="25"/>
      <x:c r="H45" s="24"/>
      <x:c r="I45" s="24"/>
      <x:c r="J45" s="24"/>
      <x:c r="K45" s="24"/>
      <x:c r="L45" s="94"/>
      <x:c r="M45" s="94"/>
      <x:c r="N45" s="94"/>
      <x:c r="O45" s="94"/>
      <x:c r="P45" s="94"/>
      <x:c r="Q45" s="26">
        <x:f t="shared" si="7"/>
        <x:v>0</x:v>
      </x:c>
      <x:c r="R45" s="23"/>
      <x:c r="S45" s="23"/>
    </x:row>
    <x:row r="46" ht="18.75" customHeight="1">
      <x:c r="A46" s="19"/>
      <x:c r="B46" s="71"/>
      <x:c r="C46" s="21"/>
      <x:c r="D46" s="35"/>
      <x:c r="E46" s="23"/>
      <x:c r="F46" s="23"/>
      <x:c r="G46" s="25"/>
      <x:c r="H46" s="25"/>
      <x:c r="I46" s="24"/>
      <x:c r="J46" s="24"/>
      <x:c r="K46" s="24"/>
      <x:c r="L46" s="94"/>
      <x:c r="M46" s="94"/>
      <x:c r="N46" s="94"/>
      <x:c r="O46" s="94"/>
      <x:c r="P46" s="94"/>
      <x:c r="Q46" s="26">
        <x:f t="shared" si="7"/>
        <x:v>0</x:v>
      </x:c>
      <x:c r="R46" s="23"/>
      <x:c r="S46" s="23"/>
    </x:row>
    <x:row r="47" ht="18.75" customHeight="1">
      <x:c r="A47" s="19"/>
      <x:c r="B47" s="29"/>
      <x:c r="C47" s="21"/>
      <x:c r="D47" s="35"/>
      <x:c r="E47" s="56"/>
      <x:c r="F47" s="23"/>
      <x:c r="G47" s="25"/>
      <x:c r="H47" s="25"/>
      <x:c r="I47" s="24"/>
      <x:c r="J47" s="24"/>
      <x:c r="K47" s="24"/>
      <x:c r="L47" s="94"/>
      <x:c r="M47" s="94"/>
      <x:c r="N47" s="94"/>
      <x:c r="O47" s="94"/>
      <x:c r="P47" s="94"/>
      <x:c r="Q47" s="26">
        <x:f t="shared" si="7"/>
        <x:v>0</x:v>
      </x:c>
      <x:c r="R47" s="23"/>
      <x:c r="S47" s="23"/>
    </x:row>
    <x:row r="48" ht="18.75" customHeight="1">
      <x:c r="A48" s="19"/>
      <x:c r="B48" s="29"/>
      <x:c r="C48" s="21"/>
      <x:c r="D48" s="35"/>
      <x:c r="E48" s="23"/>
      <x:c r="F48" s="23"/>
      <x:c r="G48" s="25"/>
      <x:c r="H48" s="25"/>
      <x:c r="I48" s="24"/>
      <x:c r="J48" s="25"/>
      <x:c r="K48" s="25"/>
      <x:c r="L48" s="94"/>
      <x:c r="M48" s="94"/>
      <x:c r="N48" s="94"/>
      <x:c r="O48" s="94"/>
      <x:c r="P48" s="94"/>
      <x:c r="Q48" s="26">
        <x:f t="shared" si="7"/>
        <x:v>0</x:v>
      </x:c>
      <x:c r="R48" s="23"/>
      <x:c r="S48" s="23"/>
    </x:row>
    <x:row r="49" ht="18.75" customHeight="1">
      <x:c r="A49" s="19"/>
      <x:c r="B49" s="29"/>
      <x:c r="C49" s="21"/>
      <x:c r="D49" s="55"/>
      <x:c r="E49" s="23"/>
      <x:c r="F49" s="23"/>
      <x:c r="G49" s="25"/>
      <x:c r="H49" s="25"/>
      <x:c r="I49" s="24"/>
      <x:c r="J49" s="24"/>
      <x:c r="K49" s="24"/>
      <x:c r="L49" s="94"/>
      <x:c r="M49" s="94"/>
      <x:c r="N49" s="94"/>
      <x:c r="O49" s="94"/>
      <x:c r="P49" s="94"/>
      <x:c r="Q49" s="26">
        <x:f t="shared" si="7"/>
        <x:v>0</x:v>
      </x:c>
      <x:c r="R49" s="23"/>
      <x:c r="S49" s="23"/>
    </x:row>
    <x:row r="50" ht="18.75" customHeight="1">
      <x:c r="A50" s="19"/>
      <x:c r="B50" s="29"/>
      <x:c r="C50" s="21"/>
      <x:c r="D50" s="55"/>
      <x:c r="E50" s="56"/>
      <x:c r="F50" s="23"/>
      <x:c r="G50" s="24"/>
      <x:c r="H50" s="24"/>
      <x:c r="I50" s="24"/>
      <x:c r="J50" s="24"/>
      <x:c r="K50" s="24"/>
      <x:c r="L50" s="94"/>
      <x:c r="M50" s="94"/>
      <x:c r="N50" s="94"/>
      <x:c r="O50" s="94"/>
      <x:c r="P50" s="94"/>
      <x:c r="Q50" s="26">
        <x:f t="shared" si="7"/>
        <x:v>0</x:v>
      </x:c>
      <x:c r="R50" s="23"/>
      <x:c r="S50" s="23"/>
    </x:row>
    <x:row r="51" ht="18.75" customHeight="1">
      <x:c r="A51" s="19"/>
      <x:c r="B51" s="29"/>
      <x:c r="C51" s="21"/>
      <x:c r="D51" s="35"/>
      <x:c r="E51" s="56"/>
      <x:c r="F51" s="23"/>
      <x:c r="G51" s="24"/>
      <x:c r="H51" s="24"/>
      <x:c r="I51" s="24"/>
      <x:c r="J51" s="24"/>
      <x:c r="K51" s="24"/>
      <x:c r="L51" s="94"/>
      <x:c r="M51" s="94"/>
      <x:c r="N51" s="94"/>
      <x:c r="O51" s="94"/>
      <x:c r="P51" s="94"/>
      <x:c r="Q51" s="26">
        <x:f t="shared" si="7"/>
        <x:v>0</x:v>
      </x:c>
      <x:c r="R51" s="23"/>
      <x:c r="S51" s="23"/>
    </x:row>
    <x:row r="52" ht="18.75" customHeight="1">
      <x:c r="A52" s="19"/>
      <x:c r="B52" s="29"/>
      <x:c r="C52" s="21"/>
      <x:c r="D52" s="55"/>
      <x:c r="E52" s="56"/>
      <x:c r="F52" s="23"/>
      <x:c r="G52" s="24"/>
      <x:c r="H52" s="24"/>
      <x:c r="I52" s="24"/>
      <x:c r="J52" s="24"/>
      <x:c r="K52" s="24"/>
      <x:c r="L52" s="94"/>
      <x:c r="M52" s="94"/>
      <x:c r="N52" s="94"/>
      <x:c r="O52" s="94"/>
      <x:c r="P52" s="94"/>
      <x:c r="Q52" s="26">
        <x:f t="shared" si="7"/>
        <x:v>0</x:v>
      </x:c>
      <x:c r="R52" s="23"/>
      <x:c r="S52" s="23"/>
      <x:c r="T52" s="39"/>
    </x:row>
    <x:row r="53" ht="18.75" customHeight="1">
      <x:c r="A53" s="19"/>
      <x:c r="B53" s="29"/>
      <x:c r="C53" s="21"/>
      <x:c r="D53" s="35"/>
      <x:c r="E53" s="56"/>
      <x:c r="F53" s="23"/>
      <x:c r="G53" s="24"/>
      <x:c r="H53" s="24"/>
      <x:c r="I53" s="24"/>
      <x:c r="J53" s="24"/>
      <x:c r="K53" s="24"/>
      <x:c r="L53" s="23"/>
      <x:c r="M53" s="23"/>
      <x:c r="N53" s="23"/>
      <x:c r="O53" s="23"/>
      <x:c r="P53" s="94"/>
      <x:c r="Q53" s="26">
        <x:f t="shared" si="7"/>
        <x:v>0</x:v>
      </x:c>
      <x:c r="R53" s="23"/>
      <x:c r="S53" s="23"/>
    </x:row>
    <x:row r="54" ht="18.75" customHeight="1">
      <x:c r="A54" s="19"/>
      <x:c r="B54" s="29"/>
      <x:c r="C54" s="21"/>
      <x:c r="D54" s="35"/>
      <x:c r="E54" s="56"/>
      <x:c r="F54" s="23"/>
      <x:c r="G54" s="25"/>
      <x:c r="H54" s="25"/>
      <x:c r="I54" s="24"/>
      <x:c r="J54" s="24"/>
      <x:c r="K54" s="24"/>
      <x:c r="L54" s="94"/>
      <x:c r="M54" s="94"/>
      <x:c r="N54" s="94"/>
      <x:c r="O54" s="94"/>
      <x:c r="P54" s="94"/>
      <x:c r="Q54" s="26">
        <x:f t="shared" si="7"/>
        <x:v>0</x:v>
      </x:c>
      <x:c r="R54" s="23"/>
      <x:c r="S54" s="23"/>
    </x:row>
    <x:row r="55" ht="18.75" customHeight="1">
      <x:c r="A55" s="19"/>
      <x:c r="B55" s="29"/>
      <x:c r="C55" s="21"/>
      <x:c r="D55" s="55"/>
      <x:c r="E55" s="23"/>
      <x:c r="F55" s="23"/>
      <x:c r="G55" s="25"/>
      <x:c r="H55" s="25"/>
      <x:c r="I55" s="24"/>
      <x:c r="J55" s="24"/>
      <x:c r="K55" s="24"/>
      <x:c r="L55" s="94"/>
      <x:c r="M55" s="94"/>
      <x:c r="N55" s="94"/>
      <x:c r="O55" s="94"/>
      <x:c r="P55" s="94"/>
      <x:c r="Q55" s="26">
        <x:f t="shared" si="7"/>
        <x:v>0</x:v>
      </x:c>
      <x:c r="R55" s="23"/>
      <x:c r="S55" s="23"/>
    </x:row>
    <x:row r="56" ht="18.75" customHeight="1">
      <x:c r="A56" s="19"/>
      <x:c r="B56" s="29"/>
      <x:c r="C56" s="21"/>
      <x:c r="D56" s="35"/>
      <x:c r="E56" s="23"/>
      <x:c r="F56" s="23"/>
      <x:c r="G56" s="25"/>
      <x:c r="H56" s="25"/>
      <x:c r="I56" s="24"/>
      <x:c r="J56" s="24"/>
      <x:c r="K56" s="24"/>
      <x:c r="L56" s="94"/>
      <x:c r="M56" s="94"/>
      <x:c r="N56" s="94"/>
      <x:c r="O56" s="94"/>
      <x:c r="P56" s="94"/>
      <x:c r="Q56" s="26">
        <x:f t="shared" si="7"/>
        <x:v>0</x:v>
      </x:c>
      <x:c r="R56" s="23"/>
      <x:c r="S56" s="23"/>
    </x:row>
    <x:row r="57" ht="18.75" customHeight="1">
      <x:c r="A57" s="19"/>
      <x:c r="B57" s="29"/>
      <x:c r="C57" s="21"/>
      <x:c r="D57" s="35"/>
      <x:c r="E57" s="56"/>
      <x:c r="F57" s="23"/>
      <x:c r="G57" s="25"/>
      <x:c r="H57" s="25"/>
      <x:c r="I57" s="24"/>
      <x:c r="J57" s="25"/>
      <x:c r="K57" s="25"/>
      <x:c r="L57" s="94"/>
      <x:c r="M57" s="94"/>
      <x:c r="N57" s="94"/>
      <x:c r="O57" s="94"/>
      <x:c r="P57" s="94"/>
      <x:c r="Q57" s="26">
        <x:f t="shared" si="7"/>
        <x:v>0</x:v>
      </x:c>
      <x:c r="R57" s="23"/>
      <x:c r="S57" s="23"/>
    </x:row>
    <x:row r="58" ht="18.75" customHeight="1">
      <x:c r="A58" s="19"/>
      <x:c r="B58" s="29"/>
      <x:c r="C58" s="21"/>
      <x:c r="D58" s="35"/>
      <x:c r="E58" s="23"/>
      <x:c r="F58" s="23"/>
      <x:c r="G58" s="25"/>
      <x:c r="H58" s="25"/>
      <x:c r="I58" s="24"/>
      <x:c r="J58" s="24"/>
      <x:c r="K58" s="24"/>
      <x:c r="L58" s="94"/>
      <x:c r="M58" s="94"/>
      <x:c r="N58" s="94"/>
      <x:c r="O58" s="94"/>
      <x:c r="P58" s="94"/>
      <x:c r="Q58" s="26">
        <x:f t="shared" si="7"/>
        <x:v>0</x:v>
      </x:c>
      <x:c r="R58" s="23"/>
      <x:c r="S58" s="23"/>
    </x:row>
    <x:row r="59" ht="18.75" customHeight="1">
      <x:c r="A59" s="19"/>
      <x:c r="B59" s="29"/>
      <x:c r="C59" s="21"/>
      <x:c r="D59" s="35"/>
      <x:c r="E59" s="23"/>
      <x:c r="F59" s="23"/>
      <x:c r="G59" s="25"/>
      <x:c r="H59" s="24"/>
      <x:c r="I59" s="24"/>
      <x:c r="J59" s="25"/>
      <x:c r="K59" s="25"/>
      <x:c r="L59" s="94"/>
      <x:c r="M59" s="94"/>
      <x:c r="N59" s="94"/>
      <x:c r="O59" s="94"/>
      <x:c r="P59" s="94"/>
      <x:c r="Q59" s="26">
        <x:f t="shared" si="7"/>
        <x:v>0</x:v>
      </x:c>
      <x:c r="R59" s="23"/>
      <x:c r="S59" s="23"/>
    </x:row>
    <x:row r="60" ht="18.75" customHeight="1">
      <x:c r="A60" s="19"/>
      <x:c r="B60" s="29"/>
      <x:c r="C60" s="21"/>
      <x:c r="D60" s="35"/>
      <x:c r="E60" s="23"/>
      <x:c r="F60" s="23"/>
      <x:c r="G60" s="24"/>
      <x:c r="H60" s="24"/>
      <x:c r="I60" s="24"/>
      <x:c r="J60" s="24"/>
      <x:c r="K60" s="24"/>
      <x:c r="L60" s="94"/>
      <x:c r="M60" s="94"/>
      <x:c r="N60" s="94"/>
      <x:c r="O60" s="94"/>
      <x:c r="P60" s="94"/>
      <x:c r="Q60" s="26">
        <x:f t="shared" si="7"/>
        <x:v>0</x:v>
      </x:c>
      <x:c r="R60" s="23"/>
      <x:c r="S60" s="23"/>
    </x:row>
    <x:row r="61" ht="18.75" customHeight="1">
      <x:c r="A61" s="19"/>
      <x:c r="B61" s="29"/>
      <x:c r="C61" s="21"/>
      <x:c r="D61" s="35"/>
      <x:c r="E61" s="23"/>
      <x:c r="F61" s="23"/>
      <x:c r="G61" s="24"/>
      <x:c r="H61" s="24"/>
      <x:c r="I61" s="24"/>
      <x:c r="J61" s="24"/>
      <x:c r="K61" s="24"/>
      <x:c r="L61" s="94"/>
      <x:c r="M61" s="94"/>
      <x:c r="N61" s="94"/>
      <x:c r="O61" s="94"/>
      <x:c r="P61" s="94"/>
      <x:c r="Q61" s="26">
        <x:f t="shared" si="7"/>
        <x:v>0</x:v>
      </x:c>
      <x:c r="R61" s="23"/>
      <x:c r="S61" s="23"/>
    </x:row>
    <x:row r="62" ht="18.75" customHeight="1">
      <x:c r="A62" s="19"/>
      <x:c r="B62" s="29"/>
      <x:c r="C62" s="21"/>
      <x:c r="D62" s="55"/>
      <x:c r="E62" s="23"/>
      <x:c r="F62" s="23"/>
      <x:c r="G62" s="24"/>
      <x:c r="H62" s="24"/>
      <x:c r="I62" s="24"/>
      <x:c r="J62" s="24"/>
      <x:c r="K62" s="24"/>
      <x:c r="L62" s="94"/>
      <x:c r="M62" s="94"/>
      <x:c r="N62" s="94"/>
      <x:c r="O62" s="94"/>
      <x:c r="P62" s="94"/>
      <x:c r="Q62" s="26">
        <x:f t="shared" si="7"/>
        <x:v>0</x:v>
      </x:c>
      <x:c r="R62" s="23"/>
      <x:c r="S62" s="23"/>
    </x:row>
    <x:row r="63" ht="18.75" customHeight="1">
      <x:c r="A63" s="19"/>
      <x:c r="B63" s="29"/>
      <x:c r="C63" s="21"/>
      <x:c r="D63" s="55"/>
      <x:c r="E63" s="23"/>
      <x:c r="F63" s="23"/>
      <x:c r="G63" s="24"/>
      <x:c r="H63" s="24"/>
      <x:c r="I63" s="25"/>
      <x:c r="J63" s="24"/>
      <x:c r="K63" s="24"/>
      <x:c r="L63" s="94"/>
      <x:c r="M63" s="94"/>
      <x:c r="N63" s="94"/>
      <x:c r="O63" s="94"/>
      <x:c r="P63" s="94"/>
      <x:c r="Q63" s="26">
        <x:f t="shared" si="7"/>
        <x:v>0</x:v>
      </x:c>
      <x:c r="R63" s="23"/>
      <x:c r="S63" s="23"/>
    </x:row>
    <x:row r="64" ht="18.75" customHeight="1">
      <x:c r="A64" s="19"/>
      <x:c r="B64" s="29"/>
      <x:c r="C64" s="21"/>
      <x:c r="D64" s="55"/>
      <x:c r="E64" s="23"/>
      <x:c r="F64" s="23"/>
      <x:c r="G64" s="25"/>
      <x:c r="H64" s="25"/>
      <x:c r="I64" s="24"/>
      <x:c r="J64" s="24"/>
      <x:c r="K64" s="24"/>
      <x:c r="L64" s="94"/>
      <x:c r="M64" s="94"/>
      <x:c r="N64" s="94"/>
      <x:c r="O64" s="94"/>
      <x:c r="P64" s="94"/>
      <x:c r="Q64" s="26">
        <x:f t="shared" si="7"/>
        <x:v>0</x:v>
      </x:c>
      <x:c r="R64" s="23"/>
      <x:c r="S64" s="23"/>
    </x:row>
    <x:row r="65" ht="18.75" customHeight="1">
      <x:c r="A65" s="19"/>
      <x:c r="B65" s="29"/>
      <x:c r="C65" s="21"/>
      <x:c r="D65" s="55"/>
      <x:c r="E65" s="23"/>
      <x:c r="F65" s="23"/>
      <x:c r="G65" s="24"/>
      <x:c r="H65" s="24"/>
      <x:c r="I65" s="24"/>
      <x:c r="J65" s="24"/>
      <x:c r="K65" s="24"/>
      <x:c r="L65" s="94"/>
      <x:c r="M65" s="94"/>
      <x:c r="N65" s="94"/>
      <x:c r="O65" s="94"/>
      <x:c r="P65" s="94"/>
      <x:c r="Q65" s="26">
        <x:f t="shared" si="7"/>
        <x:v>0</x:v>
      </x:c>
      <x:c r="R65" s="23"/>
      <x:c r="S65" s="23"/>
    </x:row>
    <x:row r="66" ht="18.75" customHeight="1">
      <x:c r="A66" s="19"/>
      <x:c r="B66" s="29"/>
      <x:c r="C66" s="21"/>
      <x:c r="D66" s="55"/>
      <x:c r="E66" s="23"/>
      <x:c r="F66" s="23"/>
      <x:c r="G66" s="25"/>
      <x:c r="H66" s="25"/>
      <x:c r="I66" s="24"/>
      <x:c r="J66" s="25"/>
      <x:c r="K66" s="25"/>
      <x:c r="L66" s="94"/>
      <x:c r="M66" s="94"/>
      <x:c r="N66" s="94"/>
      <x:c r="O66" s="94"/>
      <x:c r="P66" s="94"/>
      <x:c r="Q66" s="26">
        <x:f t="shared" si="7"/>
        <x:v>0</x:v>
      </x:c>
      <x:c r="R66" s="23"/>
      <x:c r="S66" s="23"/>
    </x:row>
    <x:row r="67" ht="18.75" customHeight="1">
      <x:c r="A67" s="19"/>
      <x:c r="B67" s="29"/>
      <x:c r="C67" s="21"/>
      <x:c r="D67" s="55"/>
      <x:c r="E67" s="23"/>
      <x:c r="F67" s="23"/>
      <x:c r="G67" s="24"/>
      <x:c r="H67" s="24"/>
      <x:c r="I67" s="24"/>
      <x:c r="J67" s="24"/>
      <x:c r="K67" s="24"/>
      <x:c r="L67" s="94"/>
      <x:c r="M67" s="94"/>
      <x:c r="N67" s="94"/>
      <x:c r="O67" s="94"/>
      <x:c r="P67" s="94"/>
      <x:c r="Q67" s="26">
        <x:f t="shared" si="7"/>
        <x:v>0</x:v>
      </x:c>
      <x:c r="R67" s="23"/>
      <x:c r="S67" s="23"/>
    </x:row>
    <x:row r="68" ht="18.75" customHeight="1">
      <x:c r="A68" s="19"/>
      <x:c r="B68" s="29"/>
      <x:c r="C68" s="21"/>
      <x:c r="D68" s="35"/>
      <x:c r="E68" s="23"/>
      <x:c r="F68" s="23"/>
      <x:c r="G68" s="25"/>
      <x:c r="H68" s="25"/>
      <x:c r="I68" s="24"/>
      <x:c r="J68" s="24"/>
      <x:c r="K68" s="24"/>
      <x:c r="L68" s="94"/>
      <x:c r="M68" s="94"/>
      <x:c r="N68" s="94"/>
      <x:c r="O68" s="94"/>
      <x:c r="P68" s="94"/>
      <x:c r="Q68" s="26">
        <x:f t="shared" si="7"/>
        <x:v>0</x:v>
      </x:c>
      <x:c r="R68" s="23"/>
      <x:c r="S68" s="23"/>
    </x:row>
    <x:row r="69" ht="18.75" customHeight="1">
      <x:c r="A69" s="19"/>
      <x:c r="B69" s="29"/>
      <x:c r="C69" s="21"/>
      <x:c r="D69" s="55"/>
      <x:c r="E69" s="23"/>
      <x:c r="F69" s="23"/>
      <x:c r="G69" s="25"/>
      <x:c r="H69" s="25"/>
      <x:c r="I69" s="25"/>
      <x:c r="J69" s="24"/>
      <x:c r="K69" s="24"/>
      <x:c r="L69" s="94"/>
      <x:c r="M69" s="94"/>
      <x:c r="N69" s="94"/>
      <x:c r="O69" s="94"/>
      <x:c r="P69" s="94"/>
      <x:c r="Q69" s="26">
        <x:f t="shared" si="7"/>
        <x:v>0</x:v>
      </x:c>
      <x:c r="R69" s="23"/>
      <x:c r="S69" s="23"/>
    </x:row>
    <x:row r="70" ht="18.75" customHeight="1">
      <x:c r="A70" s="19"/>
      <x:c r="B70" s="29"/>
      <x:c r="C70" s="21"/>
      <x:c r="D70" s="55"/>
      <x:c r="E70" s="23"/>
      <x:c r="F70" s="23"/>
      <x:c r="G70" s="25"/>
      <x:c r="H70" s="25"/>
      <x:c r="I70" s="24"/>
      <x:c r="J70" s="25"/>
      <x:c r="K70" s="25"/>
      <x:c r="L70" s="94"/>
      <x:c r="M70" s="94"/>
      <x:c r="N70" s="94"/>
      <x:c r="O70" s="94"/>
      <x:c r="P70" s="94"/>
      <x:c r="Q70" s="26">
        <x:f t="shared" si="7"/>
        <x:v>0</x:v>
      </x:c>
      <x:c r="R70" s="23"/>
      <x:c r="S70" s="23"/>
    </x:row>
    <x:row r="71" ht="18.75" customHeight="1">
      <x:c r="A71" s="19"/>
      <x:c r="B71" s="20"/>
      <x:c r="C71" s="21"/>
      <x:c r="D71" s="55"/>
      <x:c r="E71" s="23"/>
      <x:c r="F71" s="23"/>
      <x:c r="G71" s="25"/>
      <x:c r="H71" s="25"/>
      <x:c r="I71" s="24"/>
      <x:c r="J71" s="24"/>
      <x:c r="K71" s="24"/>
      <x:c r="L71" s="94"/>
      <x:c r="M71" s="94"/>
      <x:c r="N71" s="94"/>
      <x:c r="O71" s="94"/>
      <x:c r="P71" s="94"/>
      <x:c r="Q71" s="26">
        <x:f t="shared" si="7"/>
        <x:v>0</x:v>
      </x:c>
      <x:c r="R71" s="23"/>
      <x:c r="S71" s="23"/>
    </x:row>
    <x:row r="72" ht="18.75" customHeight="1">
      <x:c r="A72" s="19"/>
      <x:c r="B72" s="20"/>
      <x:c r="C72" s="21"/>
      <x:c r="D72" s="55"/>
      <x:c r="E72" s="23"/>
      <x:c r="F72" s="23"/>
      <x:c r="G72" s="24"/>
      <x:c r="H72" s="24"/>
      <x:c r="I72" s="24"/>
      <x:c r="J72" s="24"/>
      <x:c r="K72" s="24"/>
      <x:c r="L72" s="94"/>
      <x:c r="M72" s="94"/>
      <x:c r="N72" s="94"/>
      <x:c r="O72" s="94"/>
      <x:c r="P72" s="94"/>
      <x:c r="Q72" s="26">
        <x:f t="shared" si="7"/>
        <x:v>0</x:v>
      </x:c>
      <x:c r="R72" s="23"/>
      <x:c r="S72" s="23"/>
    </x:row>
    <x:row r="73" ht="18.75" customHeight="1">
      <x:c r="A73" s="19"/>
      <x:c r="B73" s="20"/>
      <x:c r="C73" s="21"/>
      <x:c r="D73" s="55"/>
      <x:c r="E73" s="23"/>
      <x:c r="F73" s="23"/>
      <x:c r="G73" s="25"/>
      <x:c r="H73" s="25"/>
      <x:c r="I73" s="24"/>
      <x:c r="J73" s="25"/>
      <x:c r="K73" s="25"/>
      <x:c r="L73" s="94"/>
      <x:c r="M73" s="94"/>
      <x:c r="N73" s="94"/>
      <x:c r="O73" s="94"/>
      <x:c r="P73" s="94"/>
      <x:c r="Q73" s="26">
        <x:f t="shared" si="7"/>
        <x:v>0</x:v>
      </x:c>
      <x:c r="R73" s="23"/>
      <x:c r="S73" s="23"/>
    </x:row>
    <x:row r="74" ht="18.75" customHeight="1">
      <x:c r="A74" s="19"/>
      <x:c r="B74" s="20"/>
      <x:c r="C74" s="21"/>
      <x:c r="D74" s="55"/>
      <x:c r="E74" s="23"/>
      <x:c r="F74" s="23"/>
      <x:c r="G74" s="24"/>
      <x:c r="H74" s="25"/>
      <x:c r="I74" s="24"/>
      <x:c r="J74" s="25"/>
      <x:c r="K74" s="25"/>
      <x:c r="L74" s="94"/>
      <x:c r="M74" s="94"/>
      <x:c r="N74" s="94"/>
      <x:c r="O74" s="94"/>
      <x:c r="P74" s="94"/>
      <x:c r="Q74" s="26">
        <x:f t="shared" si="7"/>
        <x:v>0</x:v>
      </x:c>
      <x:c r="R74" s="23"/>
      <x:c r="S74" s="23"/>
    </x:row>
    <x:row r="75" ht="18.75" customHeight="1">
      <x:c r="A75" s="19"/>
      <x:c r="B75" s="20"/>
      <x:c r="C75" s="21"/>
      <x:c r="D75" s="55"/>
      <x:c r="E75" s="23"/>
      <x:c r="F75" s="23"/>
      <x:c r="G75" s="25"/>
      <x:c r="H75" s="25"/>
      <x:c r="I75" s="24"/>
      <x:c r="J75" s="25"/>
      <x:c r="K75" s="25"/>
      <x:c r="L75" s="94"/>
      <x:c r="M75" s="94"/>
      <x:c r="N75" s="94"/>
      <x:c r="O75" s="94"/>
      <x:c r="P75" s="94"/>
      <x:c r="Q75" s="26">
        <x:f t="shared" si="7"/>
        <x:v>0</x:v>
      </x:c>
      <x:c r="R75" s="23"/>
      <x:c r="S75" s="23"/>
    </x:row>
    <x:row r="76" ht="18.75" customHeight="1">
      <x:c r="A76" s="19"/>
      <x:c r="B76" s="20"/>
      <x:c r="C76" s="21"/>
      <x:c r="D76" s="55"/>
      <x:c r="E76" s="23"/>
      <x:c r="F76" s="23"/>
      <x:c r="G76" s="25"/>
      <x:c r="H76" s="25"/>
      <x:c r="I76" s="24"/>
      <x:c r="J76" s="25"/>
      <x:c r="K76" s="25"/>
      <x:c r="L76" s="94"/>
      <x:c r="M76" s="94"/>
      <x:c r="N76" s="94"/>
      <x:c r="O76" s="94"/>
      <x:c r="P76" s="94"/>
      <x:c r="Q76" s="26">
        <x:f t="shared" si="7"/>
        <x:v>0</x:v>
      </x:c>
      <x:c r="R76" s="23"/>
      <x:c r="S76" s="23"/>
    </x:row>
    <x:row r="77" ht="18.75" customHeight="1">
      <x:c r="A77" s="19"/>
      <x:c r="B77" s="20"/>
      <x:c r="C77" s="21"/>
      <x:c r="D77" s="35"/>
      <x:c r="E77" s="23"/>
      <x:c r="F77" s="23"/>
      <x:c r="G77" s="25"/>
      <x:c r="H77" s="25"/>
      <x:c r="I77" s="25"/>
      <x:c r="J77" s="24"/>
      <x:c r="K77" s="24"/>
      <x:c r="L77" s="94"/>
      <x:c r="M77" s="94"/>
      <x:c r="N77" s="94"/>
      <x:c r="O77" s="94"/>
      <x:c r="P77" s="94"/>
      <x:c r="Q77" s="26">
        <x:f t="shared" si="7"/>
        <x:v>0</x:v>
      </x:c>
      <x:c r="R77" s="23"/>
      <x:c r="S77" s="23"/>
    </x:row>
    <x:row r="78" ht="18.75" customHeight="1">
      <x:c r="A78" s="19"/>
      <x:c r="B78" s="20"/>
      <x:c r="C78" s="21"/>
      <x:c r="D78" s="55"/>
      <x:c r="E78" s="23"/>
      <x:c r="F78" s="23"/>
      <x:c r="G78" s="25"/>
      <x:c r="H78" s="25"/>
      <x:c r="I78" s="25"/>
      <x:c r="J78" s="24"/>
      <x:c r="K78" s="24"/>
      <x:c r="L78" s="94"/>
      <x:c r="M78" s="94"/>
      <x:c r="N78" s="94"/>
      <x:c r="O78" s="94"/>
      <x:c r="P78" s="94"/>
      <x:c r="Q78" s="26">
        <x:f t="shared" si="7"/>
        <x:v>0</x:v>
      </x:c>
      <x:c r="R78" s="23"/>
      <x:c r="S78" s="23"/>
    </x:row>
    <x:row r="79" ht="18.75" customHeight="1">
      <x:c r="A79" s="19"/>
      <x:c r="B79" s="71"/>
      <x:c r="C79" s="21"/>
      <x:c r="D79" s="55"/>
      <x:c r="E79" s="23"/>
      <x:c r="F79" s="23"/>
      <x:c r="G79" s="25"/>
      <x:c r="H79" s="25"/>
      <x:c r="I79" s="24"/>
      <x:c r="J79" s="25"/>
      <x:c r="K79" s="25"/>
      <x:c r="L79" s="94"/>
      <x:c r="M79" s="94"/>
      <x:c r="N79" s="94"/>
      <x:c r="O79" s="94"/>
      <x:c r="P79" s="94"/>
      <x:c r="Q79" s="26">
        <x:f t="shared" si="7"/>
        <x:v>0</x:v>
      </x:c>
      <x:c r="R79" s="23"/>
      <x:c r="S79" s="23"/>
    </x:row>
    <x:row r="80" ht="18.75" customHeight="1">
      <x:c r="A80" s="19"/>
      <x:c r="B80" s="20"/>
      <x:c r="C80" s="21"/>
      <x:c r="D80" s="35"/>
      <x:c r="E80" s="23"/>
      <x:c r="F80" s="23"/>
      <x:c r="G80" s="25"/>
      <x:c r="H80" s="25"/>
      <x:c r="I80" s="24"/>
      <x:c r="J80" s="24"/>
      <x:c r="K80" s="24"/>
      <x:c r="L80" s="94"/>
      <x:c r="M80" s="94"/>
      <x:c r="N80" s="94"/>
      <x:c r="O80" s="94"/>
      <x:c r="P80" s="94"/>
      <x:c r="Q80" s="26">
        <x:f t="shared" si="7"/>
        <x:v>0</x:v>
      </x:c>
      <x:c r="R80" s="23"/>
      <x:c r="S80" s="23"/>
    </x:row>
    <x:row r="81" ht="18.75" customHeight="1">
      <x:c r="A81" s="19"/>
      <x:c r="B81" s="20"/>
      <x:c r="C81" s="21"/>
      <x:c r="D81" s="55"/>
      <x:c r="E81" s="23"/>
      <x:c r="F81" s="23"/>
      <x:c r="G81" s="24"/>
      <x:c r="H81" s="25"/>
      <x:c r="I81" s="24"/>
      <x:c r="J81" s="24"/>
      <x:c r="K81" s="24"/>
      <x:c r="L81" s="94"/>
      <x:c r="M81" s="94"/>
      <x:c r="N81" s="94"/>
      <x:c r="O81" s="94"/>
      <x:c r="P81" s="94"/>
      <x:c r="Q81" s="26">
        <x:f t="shared" si="7"/>
        <x:v>0</x:v>
      </x:c>
      <x:c r="R81" s="23"/>
      <x:c r="S81" s="23"/>
    </x:row>
    <x:row r="82" ht="18.75" customHeight="1">
      <x:c r="A82" s="19"/>
      <x:c r="B82" s="20"/>
      <x:c r="C82" s="21"/>
      <x:c r="D82" s="35"/>
      <x:c r="E82" s="23"/>
      <x:c r="F82" s="23"/>
      <x:c r="G82" s="25"/>
      <x:c r="H82" s="25"/>
      <x:c r="I82" s="25"/>
      <x:c r="J82" s="24"/>
      <x:c r="K82" s="24"/>
      <x:c r="L82" s="94"/>
      <x:c r="M82" s="94"/>
      <x:c r="N82" s="94"/>
      <x:c r="O82" s="94"/>
      <x:c r="P82" s="94"/>
      <x:c r="Q82" s="26">
        <x:f t="shared" si="7"/>
        <x:v>0</x:v>
      </x:c>
      <x:c r="R82" s="23"/>
      <x:c r="S82" s="23"/>
    </x:row>
    <x:row r="83" ht="18.75" customHeight="1">
      <x:c r="A83" s="19"/>
      <x:c r="B83" s="20"/>
      <x:c r="C83" s="21"/>
      <x:c r="D83" s="55"/>
      <x:c r="E83" s="23"/>
      <x:c r="F83" s="23"/>
      <x:c r="G83" s="25"/>
      <x:c r="H83" s="25"/>
      <x:c r="I83" s="24"/>
      <x:c r="J83" s="25"/>
      <x:c r="K83" s="25"/>
      <x:c r="L83" s="94"/>
      <x:c r="M83" s="94"/>
      <x:c r="N83" s="94"/>
      <x:c r="O83" s="94"/>
      <x:c r="P83" s="94"/>
      <x:c r="Q83" s="26">
        <x:f t="shared" si="7"/>
        <x:v>0</x:v>
      </x:c>
      <x:c r="R83" s="23"/>
      <x:c r="S83" s="23"/>
    </x:row>
    <x:row r="84" ht="18.75" customHeight="1">
      <x:c r="A84" s="19"/>
      <x:c r="B84" s="20"/>
      <x:c r="C84" s="21"/>
      <x:c r="D84" s="55"/>
      <x:c r="E84" s="23"/>
      <x:c r="F84" s="23"/>
      <x:c r="G84" s="25"/>
      <x:c r="H84" s="25"/>
      <x:c r="I84" s="24"/>
      <x:c r="J84" s="25"/>
      <x:c r="K84" s="25"/>
      <x:c r="L84" s="94"/>
      <x:c r="M84" s="94"/>
      <x:c r="N84" s="94"/>
      <x:c r="O84" s="94"/>
      <x:c r="P84" s="94"/>
      <x:c r="Q84" s="26">
        <x:f t="shared" si="7"/>
        <x:v>0</x:v>
      </x:c>
      <x:c r="R84" s="23"/>
      <x:c r="S84" s="23"/>
    </x:row>
    <x:row r="85" ht="18.75" customHeight="1">
      <x:c r="A85" s="19"/>
      <x:c r="B85" s="20"/>
      <x:c r="C85" s="21"/>
      <x:c r="D85" s="35"/>
      <x:c r="E85" s="23"/>
      <x:c r="F85" s="23"/>
      <x:c r="G85" s="25"/>
      <x:c r="H85" s="25"/>
      <x:c r="I85" s="25"/>
      <x:c r="J85" s="25"/>
      <x:c r="K85" s="25"/>
      <x:c r="L85" s="94"/>
      <x:c r="M85" s="94"/>
      <x:c r="N85" s="94"/>
      <x:c r="O85" s="94"/>
      <x:c r="P85" s="94"/>
      <x:c r="Q85" s="26">
        <x:f t="shared" si="7"/>
        <x:v>0</x:v>
      </x:c>
      <x:c r="R85" s="23"/>
      <x:c r="S85" s="23"/>
    </x:row>
    <x:row r="86" ht="18.75" customHeight="1">
      <x:c r="A86" s="19"/>
      <x:c r="B86" s="29"/>
      <x:c r="C86" s="21"/>
      <x:c r="D86" s="55"/>
      <x:c r="E86" s="56"/>
      <x:c r="F86" s="23"/>
      <x:c r="G86" s="25"/>
      <x:c r="H86" s="25"/>
      <x:c r="I86" s="25"/>
      <x:c r="J86" s="25"/>
      <x:c r="K86" s="25"/>
      <x:c r="L86" s="94"/>
      <x:c r="M86" s="94"/>
      <x:c r="N86" s="94"/>
      <x:c r="O86" s="94"/>
      <x:c r="P86" s="94"/>
      <x:c r="Q86" s="26">
        <x:f t="shared" si="7"/>
        <x:v>0</x:v>
      </x:c>
      <x:c r="R86" s="23"/>
      <x:c r="S86" s="23"/>
    </x:row>
    <x:row r="87" ht="18.75" customHeight="1">
      <x:c r="A87" s="19"/>
      <x:c r="B87" s="20"/>
      <x:c r="C87" s="21"/>
      <x:c r="D87" s="55"/>
      <x:c r="E87" s="56"/>
      <x:c r="F87" s="23"/>
      <x:c r="G87" s="25"/>
      <x:c r="H87" s="25"/>
      <x:c r="I87" s="24"/>
      <x:c r="J87" s="25"/>
      <x:c r="K87" s="25"/>
      <x:c r="L87" s="94"/>
      <x:c r="M87" s="94"/>
      <x:c r="N87" s="94"/>
      <x:c r="O87" s="94"/>
      <x:c r="P87" s="94"/>
      <x:c r="Q87" s="26">
        <x:f t="shared" si="7"/>
        <x:v>0</x:v>
      </x:c>
      <x:c r="R87" s="23"/>
      <x:c r="S87" s="23"/>
    </x:row>
    <x:row r="88" ht="18.75" customHeight="1">
      <x:c r="A88" s="19"/>
      <x:c r="B88" s="29"/>
      <x:c r="C88" s="21"/>
      <x:c r="D88" s="23"/>
      <x:c r="E88" s="56"/>
      <x:c r="F88" s="23"/>
      <x:c r="G88" s="25"/>
      <x:c r="H88" s="25"/>
      <x:c r="I88" s="24"/>
      <x:c r="J88" s="24"/>
      <x:c r="K88" s="24"/>
      <x:c r="L88" s="94"/>
      <x:c r="M88" s="94"/>
      <x:c r="N88" s="94"/>
      <x:c r="O88" s="94"/>
      <x:c r="P88" s="94"/>
      <x:c r="Q88" s="26">
        <x:f t="shared" si="7"/>
        <x:v>0</x:v>
      </x:c>
      <x:c r="R88" s="23"/>
      <x:c r="S88" s="23"/>
    </x:row>
    <x:row r="89" ht="18.75" customHeight="1">
      <x:c r="A89" s="19"/>
      <x:c r="B89" s="29"/>
      <x:c r="C89" s="21"/>
      <x:c r="D89" s="35"/>
      <x:c r="E89" s="56"/>
      <x:c r="F89" s="23"/>
      <x:c r="G89" s="25"/>
      <x:c r="H89" s="25"/>
      <x:c r="I89" s="24"/>
      <x:c r="J89" s="25"/>
      <x:c r="K89" s="25"/>
      <x:c r="L89" s="94"/>
      <x:c r="M89" s="94"/>
      <x:c r="N89" s="94"/>
      <x:c r="O89" s="94"/>
      <x:c r="P89" s="94"/>
      <x:c r="Q89" s="26">
        <x:f t="shared" si="7"/>
        <x:v>0</x:v>
      </x:c>
      <x:c r="R89" s="23"/>
      <x:c r="S89" s="23"/>
    </x:row>
    <x:row r="90" ht="18.75" customHeight="1">
      <x:c r="A90" s="19"/>
      <x:c r="B90" s="29"/>
      <x:c r="C90" s="21"/>
      <x:c r="D90" s="55"/>
      <x:c r="E90" s="56"/>
      <x:c r="F90" s="23"/>
      <x:c r="G90" s="25"/>
      <x:c r="H90" s="25"/>
      <x:c r="I90" s="24"/>
      <x:c r="J90" s="25"/>
      <x:c r="K90" s="25"/>
      <x:c r="L90" s="94"/>
      <x:c r="M90" s="94"/>
      <x:c r="N90" s="94"/>
      <x:c r="O90" s="94"/>
      <x:c r="P90" s="94"/>
      <x:c r="Q90" s="26">
        <x:f t="shared" si="7"/>
        <x:v>0</x:v>
      </x:c>
      <x:c r="R90" s="23"/>
      <x:c r="S90" s="23"/>
    </x:row>
    <x:row r="91" ht="18.75" customHeight="1">
      <x:c r="A91" s="19"/>
      <x:c r="B91" s="29"/>
      <x:c r="C91" s="21"/>
      <x:c r="D91" s="55"/>
      <x:c r="E91" s="23"/>
      <x:c r="F91" s="23"/>
      <x:c r="G91" s="25"/>
      <x:c r="H91" s="25"/>
      <x:c r="I91" s="24"/>
      <x:c r="J91" s="25"/>
      <x:c r="K91" s="25"/>
      <x:c r="L91" s="94"/>
      <x:c r="M91" s="94"/>
      <x:c r="N91" s="94"/>
      <x:c r="O91" s="94"/>
      <x:c r="P91" s="94"/>
      <x:c r="Q91" s="26">
        <x:f t="shared" si="7"/>
        <x:v>0</x:v>
      </x:c>
      <x:c r="R91" s="23"/>
      <x:c r="S91" s="23"/>
    </x:row>
    <x:row r="92" ht="18.75" customHeight="1">
      <x:c r="A92" s="19"/>
      <x:c r="B92" s="29"/>
      <x:c r="C92" s="21"/>
      <x:c r="D92" s="35"/>
      <x:c r="E92" s="56"/>
      <x:c r="F92" s="23"/>
      <x:c r="G92" s="25"/>
      <x:c r="H92" s="25"/>
      <x:c r="I92" s="25"/>
      <x:c r="J92" s="25"/>
      <x:c r="K92" s="25"/>
      <x:c r="L92" s="94"/>
      <x:c r="M92" s="94"/>
      <x:c r="N92" s="94"/>
      <x:c r="O92" s="94"/>
      <x:c r="P92" s="94"/>
      <x:c r="Q92" s="26">
        <x:f t="shared" si="7"/>
        <x:v>0</x:v>
      </x:c>
      <x:c r="R92" s="23"/>
      <x:c r="S92" s="23"/>
    </x:row>
    <x:row r="93" ht="18.75" customHeight="1">
      <x:c r="A93" s="19"/>
      <x:c r="B93" s="29"/>
      <x:c r="C93" s="21"/>
      <x:c r="D93" s="35"/>
      <x:c r="E93" s="56"/>
      <x:c r="F93" s="23"/>
      <x:c r="G93" s="25"/>
      <x:c r="H93" s="25"/>
      <x:c r="I93" s="25"/>
      <x:c r="J93" s="24"/>
      <x:c r="K93" s="24"/>
      <x:c r="L93" s="94"/>
      <x:c r="M93" s="94"/>
      <x:c r="N93" s="94"/>
      <x:c r="O93" s="94"/>
      <x:c r="P93" s="94"/>
      <x:c r="Q93" s="26">
        <x:f t="shared" si="7"/>
        <x:v>0</x:v>
      </x:c>
      <x:c r="R93" s="23"/>
      <x:c r="S93" s="23"/>
    </x:row>
    <x:row r="94" ht="18.75" customHeight="1">
      <x:c r="A94" s="19"/>
      <x:c r="B94" s="29"/>
      <x:c r="C94" s="21"/>
      <x:c r="D94" s="55"/>
      <x:c r="E94" s="56"/>
      <x:c r="F94" s="23"/>
      <x:c r="G94" s="25"/>
      <x:c r="H94" s="25"/>
      <x:c r="I94" s="24"/>
      <x:c r="J94" s="25"/>
      <x:c r="K94" s="25"/>
      <x:c r="L94" s="94"/>
      <x:c r="M94" s="94"/>
      <x:c r="N94" s="94"/>
      <x:c r="O94" s="94"/>
      <x:c r="P94" s="94"/>
      <x:c r="Q94" s="26">
        <x:f t="shared" si="7"/>
        <x:v>0</x:v>
      </x:c>
      <x:c r="R94" s="23"/>
      <x:c r="S94" s="23"/>
    </x:row>
    <x:row r="95" ht="18.75" customHeight="1">
      <x:c r="A95" s="19"/>
      <x:c r="B95" s="29"/>
      <x:c r="C95" s="21"/>
      <x:c r="D95" s="55"/>
      <x:c r="E95" s="23"/>
      <x:c r="F95" s="23"/>
      <x:c r="G95" s="25"/>
      <x:c r="H95" s="25"/>
      <x:c r="I95" s="25"/>
      <x:c r="J95" s="25"/>
      <x:c r="K95" s="25"/>
      <x:c r="L95" s="94"/>
      <x:c r="M95" s="94"/>
      <x:c r="N95" s="94"/>
      <x:c r="O95" s="94"/>
      <x:c r="P95" s="94"/>
      <x:c r="Q95" s="26">
        <x:f t="shared" si="7"/>
        <x:v>0</x:v>
      </x:c>
      <x:c r="R95" s="23"/>
      <x:c r="S95" s="23"/>
    </x:row>
    <x:row r="96" ht="18.75" customHeight="1">
      <x:c r="A96" s="19"/>
      <x:c r="B96" s="29"/>
      <x:c r="C96" s="21"/>
      <x:c r="D96" s="55"/>
      <x:c r="E96" s="23"/>
      <x:c r="F96" s="23"/>
      <x:c r="G96" s="25"/>
      <x:c r="H96" s="25"/>
      <x:c r="I96" s="24"/>
      <x:c r="J96" s="24"/>
      <x:c r="K96" s="24"/>
      <x:c r="L96" s="94"/>
      <x:c r="M96" s="94"/>
      <x:c r="N96" s="94"/>
      <x:c r="O96" s="94"/>
      <x:c r="P96" s="94"/>
      <x:c r="Q96" s="26">
        <x:f t="shared" si="7"/>
        <x:v>0</x:v>
      </x:c>
      <x:c r="R96" s="23"/>
      <x:c r="S96" s="23"/>
    </x:row>
    <x:row r="97" ht="18.75" customHeight="1">
      <x:c r="A97" s="19"/>
      <x:c r="B97" s="29"/>
      <x:c r="C97" s="21"/>
      <x:c r="D97" s="35"/>
      <x:c r="E97" s="56"/>
      <x:c r="F97" s="23"/>
      <x:c r="G97" s="25"/>
      <x:c r="H97" s="25"/>
      <x:c r="I97" s="25"/>
      <x:c r="J97" s="24"/>
      <x:c r="K97" s="24"/>
      <x:c r="L97" s="94"/>
      <x:c r="M97" s="94"/>
      <x:c r="N97" s="94"/>
      <x:c r="O97" s="94"/>
      <x:c r="P97" s="94"/>
      <x:c r="Q97" s="26">
        <x:f t="shared" si="7"/>
        <x:v>0</x:v>
      </x:c>
      <x:c r="R97" s="23"/>
      <x:c r="S97" s="23"/>
    </x:row>
    <x:row r="98" ht="18.75" customHeight="1">
      <x:c r="A98" s="19"/>
      <x:c r="B98" s="29"/>
      <x:c r="C98" s="21"/>
      <x:c r="D98" s="35"/>
      <x:c r="E98" s="56"/>
      <x:c r="F98" s="23"/>
      <x:c r="G98" s="25"/>
      <x:c r="H98" s="25"/>
      <x:c r="I98" s="25"/>
      <x:c r="J98" s="25"/>
      <x:c r="K98" s="25"/>
      <x:c r="L98" s="94"/>
      <x:c r="M98" s="94"/>
      <x:c r="N98" s="94"/>
      <x:c r="O98" s="94"/>
      <x:c r="P98" s="94"/>
      <x:c r="Q98" s="26">
        <x:f t="shared" si="7"/>
        <x:v>0</x:v>
      </x:c>
      <x:c r="R98" s="23"/>
      <x:c r="S98" s="23"/>
    </x:row>
    <x:row r="99" ht="18.75" customHeight="1">
      <x:c r="A99" s="19"/>
      <x:c r="B99" s="29"/>
      <x:c r="C99" s="21"/>
      <x:c r="D99" s="55"/>
      <x:c r="E99" s="23"/>
      <x:c r="F99" s="23"/>
      <x:c r="G99" s="25"/>
      <x:c r="H99" s="25"/>
      <x:c r="I99" s="24"/>
      <x:c r="J99" s="24"/>
      <x:c r="K99" s="24"/>
      <x:c r="L99" s="94"/>
      <x:c r="M99" s="94"/>
      <x:c r="N99" s="94"/>
      <x:c r="O99" s="94"/>
      <x:c r="P99" s="94"/>
      <x:c r="Q99" s="26">
        <x:f t="shared" si="7"/>
        <x:v>0</x:v>
      </x:c>
      <x:c r="R99" s="23"/>
      <x:c r="S99" s="23"/>
    </x:row>
    <x:row r="100" ht="18.75" customHeight="1">
      <x:c r="A100" s="19"/>
      <x:c r="B100" s="29"/>
      <x:c r="C100" s="21"/>
      <x:c r="D100" s="55"/>
      <x:c r="E100" s="56"/>
      <x:c r="F100" s="23"/>
      <x:c r="G100" s="25"/>
      <x:c r="H100" s="25"/>
      <x:c r="I100" s="25"/>
      <x:c r="J100" s="24"/>
      <x:c r="K100" s="24"/>
      <x:c r="L100" s="94"/>
      <x:c r="M100" s="94"/>
      <x:c r="N100" s="94"/>
      <x:c r="O100" s="94"/>
      <x:c r="P100" s="94"/>
      <x:c r="Q100" s="26">
        <x:f t="shared" si="7"/>
        <x:v>0</x:v>
      </x:c>
      <x:c r="R100" s="23"/>
      <x:c r="S100" s="23"/>
    </x:row>
    <x:row r="101" ht="18.75" customHeight="1">
      <x:c r="A101" s="19"/>
      <x:c r="B101" s="29"/>
      <x:c r="C101" s="21"/>
      <x:c r="D101" s="35"/>
      <x:c r="E101" s="56"/>
      <x:c r="F101" s="23"/>
      <x:c r="G101" s="25"/>
      <x:c r="H101" s="25"/>
      <x:c r="I101" s="25"/>
      <x:c r="J101" s="24"/>
      <x:c r="K101" s="24"/>
      <x:c r="L101" s="94"/>
      <x:c r="M101" s="94"/>
      <x:c r="N101" s="94"/>
      <x:c r="O101" s="94"/>
      <x:c r="P101" s="94"/>
      <x:c r="Q101" s="26">
        <x:f t="shared" si="7"/>
        <x:v>0</x:v>
      </x:c>
      <x:c r="R101" s="23"/>
      <x:c r="S101" s="23"/>
    </x:row>
    <x:row r="102" ht="18.75" customHeight="1">
      <x:c r="A102" s="19"/>
      <x:c r="B102" s="29"/>
      <x:c r="C102" s="21"/>
      <x:c r="D102" s="55"/>
      <x:c r="E102" s="56"/>
      <x:c r="F102" s="23"/>
      <x:c r="G102" s="25"/>
      <x:c r="H102" s="25"/>
      <x:c r="I102" s="25"/>
      <x:c r="J102" s="24"/>
      <x:c r="K102" s="24"/>
      <x:c r="L102" s="94"/>
      <x:c r="M102" s="94"/>
      <x:c r="N102" s="94"/>
      <x:c r="O102" s="94"/>
      <x:c r="P102" s="94"/>
      <x:c r="Q102" s="26">
        <x:f t="shared" si="7"/>
        <x:v>0</x:v>
      </x:c>
      <x:c r="R102" s="23"/>
      <x:c r="S102" s="23"/>
    </x:row>
    <x:row r="103" ht="18.75" customHeight="1">
      <x:c r="A103" s="19"/>
      <x:c r="B103" s="29"/>
      <x:c r="C103" s="21"/>
      <x:c r="D103" s="55"/>
      <x:c r="E103" s="56"/>
      <x:c r="F103" s="23"/>
      <x:c r="G103" s="25"/>
      <x:c r="H103" s="25"/>
      <x:c r="I103" s="24"/>
      <x:c r="J103" s="25"/>
      <x:c r="K103" s="25"/>
      <x:c r="L103" s="94"/>
      <x:c r="M103" s="94"/>
      <x:c r="N103" s="94"/>
      <x:c r="O103" s="94"/>
      <x:c r="P103" s="94"/>
      <x:c r="Q103" s="26">
        <x:f t="shared" si="7"/>
        <x:v>0</x:v>
      </x:c>
      <x:c r="R103" s="23"/>
      <x:c r="S103" s="23"/>
    </x:row>
    <x:row r="104" ht="18.75" customHeight="1">
      <x:c r="A104" s="19"/>
      <x:c r="B104" s="29"/>
      <x:c r="C104" s="21"/>
      <x:c r="D104" s="55"/>
      <x:c r="E104" s="56"/>
      <x:c r="F104" s="23"/>
      <x:c r="G104" s="25"/>
      <x:c r="H104" s="25"/>
      <x:c r="I104" s="25"/>
      <x:c r="J104" s="25"/>
      <x:c r="K104" s="25"/>
      <x:c r="L104" s="94"/>
      <x:c r="M104" s="94"/>
      <x:c r="N104" s="94"/>
      <x:c r="O104" s="94"/>
      <x:c r="P104" s="94"/>
      <x:c r="Q104" s="26">
        <x:f t="shared" si="7"/>
        <x:v>0</x:v>
      </x:c>
      <x:c r="R104" s="23"/>
      <x:c r="S104" s="23"/>
    </x:row>
    <x:row r="105" ht="18.75" customHeight="1">
      <x:c r="A105" s="19"/>
      <x:c r="B105" s="29"/>
      <x:c r="C105" s="21"/>
      <x:c r="D105" s="35"/>
      <x:c r="E105" s="56"/>
      <x:c r="F105" s="23"/>
      <x:c r="G105" s="25"/>
      <x:c r="H105" s="25"/>
      <x:c r="I105" s="24"/>
      <x:c r="J105" s="25"/>
      <x:c r="K105" s="25"/>
      <x:c r="L105" s="94"/>
      <x:c r="M105" s="94"/>
      <x:c r="N105" s="94"/>
      <x:c r="O105" s="94"/>
      <x:c r="P105" s="94"/>
      <x:c r="Q105" s="26">
        <x:f t="shared" si="7"/>
        <x:v>0</x:v>
      </x:c>
      <x:c r="R105" s="23"/>
      <x:c r="S105" s="23"/>
    </x:row>
    <x:row r="106" ht="18.75" customHeight="1">
      <x:c r="A106" s="19"/>
      <x:c r="B106" s="29"/>
      <x:c r="C106" s="21"/>
      <x:c r="D106" s="55"/>
      <x:c r="E106" s="56"/>
      <x:c r="F106" s="23"/>
      <x:c r="G106" s="25"/>
      <x:c r="H106" s="25"/>
      <x:c r="I106" s="24"/>
      <x:c r="J106" s="25"/>
      <x:c r="K106" s="25"/>
      <x:c r="L106" s="94"/>
      <x:c r="M106" s="94"/>
      <x:c r="N106" s="94"/>
      <x:c r="O106" s="94"/>
      <x:c r="P106" s="94"/>
      <x:c r="Q106" s="26">
        <x:f t="shared" si="7"/>
        <x:v>0</x:v>
      </x:c>
      <x:c r="R106" s="23"/>
      <x:c r="S106" s="23"/>
    </x:row>
    <x:row r="107" ht="18.75" customHeight="1">
      <x:c r="A107" s="19"/>
      <x:c r="B107" s="29"/>
      <x:c r="C107" s="21"/>
      <x:c r="D107" s="55"/>
      <x:c r="E107" s="56"/>
      <x:c r="F107" s="23"/>
      <x:c r="G107" s="24"/>
      <x:c r="H107" s="25"/>
      <x:c r="I107" s="25"/>
      <x:c r="J107" s="25"/>
      <x:c r="K107" s="25"/>
      <x:c r="L107" s="94"/>
      <x:c r="M107" s="94"/>
      <x:c r="N107" s="94"/>
      <x:c r="O107" s="94"/>
      <x:c r="P107" s="94"/>
      <x:c r="Q107" s="26">
        <x:f t="shared" si="7"/>
        <x:v>0</x:v>
      </x:c>
      <x:c r="R107" s="23"/>
      <x:c r="S107" s="23"/>
    </x:row>
    <x:row r="108" ht="18.75" customHeight="1">
      <x:c r="A108" s="19"/>
      <x:c r="B108" s="29"/>
      <x:c r="C108" s="21"/>
      <x:c r="D108" s="35"/>
      <x:c r="E108" s="56"/>
      <x:c r="F108" s="23"/>
      <x:c r="G108" s="25"/>
      <x:c r="H108" s="25"/>
      <x:c r="I108" s="25"/>
      <x:c r="J108" s="24"/>
      <x:c r="K108" s="24"/>
      <x:c r="L108" s="94"/>
      <x:c r="M108" s="94"/>
      <x:c r="N108" s="94"/>
      <x:c r="O108" s="94"/>
      <x:c r="P108" s="94"/>
      <x:c r="Q108" s="26">
        <x:f t="shared" si="7"/>
        <x:v>0</x:v>
      </x:c>
      <x:c r="R108" s="23"/>
      <x:c r="S108" s="23"/>
    </x:row>
    <x:row r="109" ht="18.75" customHeight="1">
      <x:c r="A109" s="19"/>
      <x:c r="B109" s="29"/>
      <x:c r="C109" s="21"/>
      <x:c r="D109" s="55"/>
      <x:c r="E109" s="56"/>
      <x:c r="F109" s="23"/>
      <x:c r="G109" s="25"/>
      <x:c r="H109" s="25"/>
      <x:c r="I109" s="24"/>
      <x:c r="J109" s="24"/>
      <x:c r="K109" s="24"/>
      <x:c r="L109" s="94"/>
      <x:c r="M109" s="94"/>
      <x:c r="N109" s="94"/>
      <x:c r="O109" s="94"/>
      <x:c r="P109" s="94"/>
      <x:c r="Q109" s="26">
        <x:f t="shared" si="7"/>
        <x:v>0</x:v>
      </x:c>
      <x:c r="R109" s="23"/>
      <x:c r="S109" s="23"/>
    </x:row>
    <x:row r="110" ht="18.75" customHeight="1">
      <x:c r="A110" s="19"/>
      <x:c r="B110" s="20"/>
      <x:c r="C110" s="21"/>
      <x:c r="D110" s="55"/>
      <x:c r="E110" s="56"/>
      <x:c r="F110" s="23"/>
      <x:c r="G110" s="24"/>
      <x:c r="H110" s="25"/>
      <x:c r="I110" s="24"/>
      <x:c r="J110" s="25"/>
      <x:c r="K110" s="25"/>
      <x:c r="L110" s="94"/>
      <x:c r="M110" s="94"/>
      <x:c r="N110" s="94"/>
      <x:c r="O110" s="94"/>
      <x:c r="P110" s="94"/>
      <x:c r="Q110" s="26">
        <x:f t="shared" si="7"/>
        <x:v>0</x:v>
      </x:c>
      <x:c r="R110" s="23"/>
      <x:c r="S110" s="23"/>
    </x:row>
    <x:row r="111" ht="18.75" customHeight="1">
      <x:c r="A111" s="19"/>
      <x:c r="B111" s="29"/>
      <x:c r="C111" s="21"/>
      <x:c r="D111" s="35"/>
      <x:c r="E111" s="56"/>
      <x:c r="F111" s="23"/>
      <x:c r="G111" s="25"/>
      <x:c r="H111" s="25"/>
      <x:c r="I111" s="25"/>
      <x:c r="J111" s="24"/>
      <x:c r="K111" s="24"/>
      <x:c r="L111" s="94"/>
      <x:c r="M111" s="94"/>
      <x:c r="N111" s="94"/>
      <x:c r="O111" s="94"/>
      <x:c r="P111" s="94"/>
      <x:c r="Q111" s="26">
        <x:f t="shared" si="7"/>
        <x:v>0</x:v>
      </x:c>
      <x:c r="R111" s="23"/>
      <x:c r="S111" s="23"/>
    </x:row>
    <x:row r="112" ht="18.75" customHeight="1">
      <x:c r="A112" s="19"/>
      <x:c r="B112" s="29"/>
      <x:c r="C112" s="21"/>
      <x:c r="D112" s="55"/>
      <x:c r="E112" s="56"/>
      <x:c r="F112" s="23"/>
      <x:c r="G112" s="25"/>
      <x:c r="H112" s="25"/>
      <x:c r="I112" s="25"/>
      <x:c r="J112" s="24"/>
      <x:c r="K112" s="24"/>
      <x:c r="L112" s="94"/>
      <x:c r="M112" s="94"/>
      <x:c r="N112" s="94"/>
      <x:c r="O112" s="94"/>
      <x:c r="P112" s="94"/>
      <x:c r="Q112" s="26">
        <x:f t="shared" si="7"/>
        <x:v>0</x:v>
      </x:c>
      <x:c r="R112" s="23"/>
      <x:c r="S112" s="23"/>
    </x:row>
    <x:row r="113" ht="18.75" customHeight="1">
      <x:c r="A113" s="19"/>
      <x:c r="B113" s="29"/>
      <x:c r="C113" s="21"/>
      <x:c r="D113" s="55"/>
      <x:c r="E113" s="56"/>
      <x:c r="F113" s="23"/>
      <x:c r="G113" s="25"/>
      <x:c r="H113" s="25"/>
      <x:c r="I113" s="25"/>
      <x:c r="J113" s="24"/>
      <x:c r="K113" s="24"/>
      <x:c r="L113" s="94"/>
      <x:c r="M113" s="94"/>
      <x:c r="N113" s="94"/>
      <x:c r="O113" s="94"/>
      <x:c r="P113" s="94"/>
      <x:c r="Q113" s="26">
        <x:f t="shared" si="7"/>
        <x:v>0</x:v>
      </x:c>
      <x:c r="R113" s="23"/>
      <x:c r="S113" s="23"/>
    </x:row>
    <x:row r="114" ht="18.75" customHeight="1">
      <x:c r="A114" s="19"/>
      <x:c r="B114" s="29"/>
      <x:c r="C114" s="21"/>
      <x:c r="D114" s="55"/>
      <x:c r="E114" s="56"/>
      <x:c r="F114" s="23"/>
      <x:c r="G114" s="25"/>
      <x:c r="H114" s="25"/>
      <x:c r="I114" s="25"/>
      <x:c r="J114" s="25"/>
      <x:c r="K114" s="25"/>
      <x:c r="L114" s="94"/>
      <x:c r="M114" s="94"/>
      <x:c r="N114" s="94"/>
      <x:c r="O114" s="94"/>
      <x:c r="P114" s="94"/>
      <x:c r="Q114" s="26">
        <x:f t="shared" si="7"/>
        <x:v>0</x:v>
      </x:c>
      <x:c r="R114" s="23"/>
      <x:c r="S114" s="23"/>
    </x:row>
    <x:row r="115" ht="18.75" customHeight="1">
      <x:c r="A115" s="19"/>
      <x:c r="B115" s="29"/>
      <x:c r="C115" s="21"/>
      <x:c r="D115" s="55"/>
      <x:c r="E115" s="56"/>
      <x:c r="F115" s="23"/>
      <x:c r="G115" s="25"/>
      <x:c r="H115" s="25"/>
      <x:c r="I115" s="24"/>
      <x:c r="J115" s="25"/>
      <x:c r="K115" s="25"/>
      <x:c r="L115" s="94"/>
      <x:c r="M115" s="94"/>
      <x:c r="N115" s="94"/>
      <x:c r="O115" s="94"/>
      <x:c r="P115" s="94"/>
      <x:c r="Q115" s="26">
        <x:f t="shared" si="7"/>
        <x:v>0</x:v>
      </x:c>
      <x:c r="R115" s="23"/>
      <x:c r="S115" s="23"/>
    </x:row>
    <x:row r="116" ht="18.75" customHeight="1">
      <x:c r="A116" s="19"/>
      <x:c r="B116" s="29"/>
      <x:c r="C116" s="21"/>
      <x:c r="D116" s="55"/>
      <x:c r="E116" s="56"/>
      <x:c r="F116" s="23"/>
      <x:c r="G116" s="25"/>
      <x:c r="H116" s="25"/>
      <x:c r="I116" s="25"/>
      <x:c r="J116" s="25"/>
      <x:c r="K116" s="25"/>
      <x:c r="L116" s="94"/>
      <x:c r="M116" s="94"/>
      <x:c r="N116" s="94"/>
      <x:c r="O116" s="94"/>
      <x:c r="P116" s="94"/>
      <x:c r="Q116" s="26">
        <x:f t="shared" si="7"/>
        <x:v>0</x:v>
      </x:c>
      <x:c r="R116" s="23"/>
      <x:c r="S116" s="23"/>
    </x:row>
    <x:row r="117" ht="18.75" customHeight="1">
      <x:c r="A117" s="19"/>
      <x:c r="B117" s="29"/>
      <x:c r="C117" s="21"/>
      <x:c r="D117" s="35"/>
      <x:c r="E117" s="56"/>
      <x:c r="F117" s="23"/>
      <x:c r="G117" s="25"/>
      <x:c r="H117" s="25"/>
      <x:c r="I117" s="24"/>
      <x:c r="J117" s="25"/>
      <x:c r="K117" s="25"/>
      <x:c r="L117" s="94"/>
      <x:c r="M117" s="94"/>
      <x:c r="N117" s="94"/>
      <x:c r="O117" s="94"/>
      <x:c r="P117" s="94"/>
      <x:c r="Q117" s="26">
        <x:f t="shared" si="7"/>
        <x:v>0</x:v>
      </x:c>
      <x:c r="R117" s="23"/>
      <x:c r="S117" s="23"/>
    </x:row>
    <x:row r="118" ht="18.75" customHeight="1">
      <x:c r="A118" s="19"/>
      <x:c r="B118" s="29"/>
      <x:c r="C118" s="21"/>
      <x:c r="D118" s="55"/>
      <x:c r="E118" s="56"/>
      <x:c r="F118" s="23"/>
      <x:c r="G118" s="25"/>
      <x:c r="H118" s="25"/>
      <x:c r="I118" s="25"/>
      <x:c r="J118" s="25"/>
      <x:c r="K118" s="25"/>
      <x:c r="L118" s="94"/>
      <x:c r="M118" s="94"/>
      <x:c r="N118" s="94"/>
      <x:c r="O118" s="94"/>
      <x:c r="P118" s="94"/>
      <x:c r="Q118" s="26">
        <x:f t="shared" si="7"/>
        <x:v>0</x:v>
      </x:c>
      <x:c r="R118" s="23"/>
      <x:c r="S118" s="23"/>
    </x:row>
    <x:row r="119" ht="18.75" customHeight="1">
      <x:c r="A119" s="19"/>
      <x:c r="B119" s="29"/>
      <x:c r="C119" s="21"/>
      <x:c r="D119" s="55"/>
      <x:c r="E119" s="56"/>
      <x:c r="F119" s="23"/>
      <x:c r="G119" s="25"/>
      <x:c r="H119" s="25"/>
      <x:c r="I119" s="25"/>
      <x:c r="J119" s="24"/>
      <x:c r="K119" s="24"/>
      <x:c r="L119" s="94"/>
      <x:c r="M119" s="94"/>
      <x:c r="N119" s="94"/>
      <x:c r="O119" s="94"/>
      <x:c r="P119" s="94"/>
      <x:c r="Q119" s="26"/>
      <x:c r="R119" s="23"/>
      <x:c r="S119" s="23"/>
    </x:row>
    <x:row r="120" ht="18.75" customHeight="1">
      <x:c r="A120" s="19"/>
      <x:c r="B120" s="29"/>
      <x:c r="C120" s="21"/>
      <x:c r="D120" s="55"/>
      <x:c r="E120" s="56"/>
      <x:c r="F120" s="23"/>
      <x:c r="G120" s="25"/>
      <x:c r="H120" s="25"/>
      <x:c r="I120" s="25"/>
      <x:c r="J120" s="25"/>
      <x:c r="K120" s="25"/>
      <x:c r="L120" s="94"/>
      <x:c r="M120" s="94"/>
      <x:c r="N120" s="94"/>
      <x:c r="O120" s="94"/>
      <x:c r="P120" s="94"/>
      <x:c r="Q120" s="26"/>
      <x:c r="R120" s="23"/>
      <x:c r="S120" s="23"/>
    </x:row>
    <x:row r="121" ht="18.75" customHeight="1">
      <x:c r="A121" s="19"/>
      <x:c r="B121" s="29"/>
      <x:c r="C121" s="21"/>
      <x:c r="D121" s="55"/>
      <x:c r="E121" s="56"/>
      <x:c r="F121" s="23"/>
      <x:c r="G121" s="25"/>
      <x:c r="H121" s="25"/>
      <x:c r="I121" s="25"/>
      <x:c r="J121" s="25"/>
      <x:c r="K121" s="25"/>
      <x:c r="L121" s="94"/>
      <x:c r="M121" s="94"/>
      <x:c r="N121" s="94"/>
      <x:c r="O121" s="94"/>
      <x:c r="P121" s="94"/>
      <x:c r="Q121" s="26"/>
      <x:c r="R121" s="23"/>
      <x:c r="S121" s="23"/>
    </x:row>
    <x:row r="122" ht="18.75" customHeight="1">
      <x:c r="A122" s="19"/>
      <x:c r="B122" s="29"/>
      <x:c r="C122" s="21"/>
      <x:c r="D122" s="55"/>
      <x:c r="E122" s="56"/>
      <x:c r="F122" s="23"/>
      <x:c r="G122" s="25"/>
      <x:c r="H122" s="25"/>
      <x:c r="I122" s="25"/>
      <x:c r="J122" s="25"/>
      <x:c r="K122" s="25"/>
      <x:c r="L122" s="94"/>
      <x:c r="M122" s="94"/>
      <x:c r="N122" s="94"/>
      <x:c r="O122" s="94"/>
      <x:c r="P122" s="94"/>
      <x:c r="Q122" s="26"/>
      <x:c r="R122" s="23"/>
      <x:c r="S122" s="23"/>
    </x:row>
    <x:row r="123" ht="18.75" customHeight="1">
      <x:c r="A123" s="19"/>
      <x:c r="B123" s="29"/>
      <x:c r="C123" s="21"/>
      <x:c r="D123" s="55"/>
      <x:c r="E123" s="56"/>
      <x:c r="F123" s="23"/>
      <x:c r="G123" s="25"/>
      <x:c r="H123" s="25"/>
      <x:c r="I123" s="25"/>
      <x:c r="J123" s="25"/>
      <x:c r="K123" s="25"/>
      <x:c r="L123" s="94"/>
      <x:c r="M123" s="94"/>
      <x:c r="N123" s="94"/>
      <x:c r="O123" s="94"/>
      <x:c r="P123" s="94"/>
      <x:c r="Q123" s="26"/>
      <x:c r="R123" s="23"/>
      <x:c r="S123" s="23"/>
    </x:row>
    <x:row r="124" ht="18.75" customHeight="1">
      <x:c r="A124" s="19"/>
      <x:c r="B124" s="29"/>
      <x:c r="C124" s="21"/>
      <x:c r="D124" s="55"/>
      <x:c r="E124" s="56"/>
      <x:c r="F124" s="23"/>
      <x:c r="G124" s="25"/>
      <x:c r="H124" s="25"/>
      <x:c r="I124" s="25"/>
      <x:c r="J124" s="24"/>
      <x:c r="K124" s="24"/>
      <x:c r="L124" s="94"/>
      <x:c r="M124" s="94"/>
      <x:c r="N124" s="94"/>
      <x:c r="O124" s="94"/>
      <x:c r="P124" s="94"/>
      <x:c r="Q124" s="26"/>
      <x:c r="R124" s="23"/>
      <x:c r="S124" s="23"/>
    </x:row>
    <x:row r="125" ht="18.75" customHeight="1">
      <x:c r="A125" s="19"/>
      <x:c r="B125" s="29"/>
      <x:c r="C125" s="21"/>
      <x:c r="D125" s="55"/>
      <x:c r="E125" s="56"/>
      <x:c r="F125" s="23"/>
      <x:c r="G125" s="24"/>
      <x:c r="H125" s="25"/>
      <x:c r="I125" s="24"/>
      <x:c r="J125" s="25"/>
      <x:c r="K125" s="25"/>
      <x:c r="L125" s="94"/>
      <x:c r="M125" s="94"/>
      <x:c r="N125" s="94"/>
      <x:c r="O125" s="94"/>
      <x:c r="P125" s="94"/>
      <x:c r="Q125" s="26"/>
      <x:c r="R125" s="23"/>
      <x:c r="S125" s="23"/>
    </x:row>
    <x:row r="126" ht="18.75" customHeight="1">
      <x:c r="A126" s="19"/>
      <x:c r="B126" s="29"/>
      <x:c r="C126" s="21"/>
      <x:c r="D126" s="55"/>
      <x:c r="E126" s="56"/>
      <x:c r="F126" s="23"/>
      <x:c r="G126" s="25"/>
      <x:c r="H126" s="25"/>
      <x:c r="I126" s="24"/>
      <x:c r="J126" s="24"/>
      <x:c r="K126" s="24"/>
      <x:c r="L126" s="94"/>
      <x:c r="M126" s="94"/>
      <x:c r="N126" s="94"/>
      <x:c r="O126" s="94"/>
      <x:c r="P126" s="94"/>
      <x:c r="Q126" s="26"/>
      <x:c r="R126" s="23"/>
      <x:c r="S126" s="23"/>
    </x:row>
    <x:row r="127" ht="18.75" customHeight="1">
      <x:c r="A127" s="19"/>
      <x:c r="B127" s="29"/>
      <x:c r="C127" s="21"/>
      <x:c r="D127" s="55"/>
      <x:c r="E127" s="56"/>
      <x:c r="F127" s="23"/>
      <x:c r="G127" s="25"/>
      <x:c r="H127" s="25"/>
      <x:c r="I127" s="24"/>
      <x:c r="J127" s="25"/>
      <x:c r="K127" s="25"/>
      <x:c r="L127" s="94"/>
      <x:c r="M127" s="94"/>
      <x:c r="N127" s="94"/>
      <x:c r="O127" s="94"/>
      <x:c r="P127" s="94"/>
      <x:c r="Q127" s="26"/>
      <x:c r="R127" s="23"/>
      <x:c r="S127" s="23"/>
    </x:row>
    <x:row r="128" ht="18.75" customHeight="1">
      <x:c r="A128" s="19"/>
      <x:c r="B128" s="29"/>
      <x:c r="C128" s="21"/>
      <x:c r="D128" s="55"/>
      <x:c r="E128" s="56"/>
      <x:c r="F128" s="23"/>
      <x:c r="G128" s="25"/>
      <x:c r="H128" s="25"/>
      <x:c r="I128" s="25"/>
      <x:c r="J128" s="24"/>
      <x:c r="K128" s="24"/>
      <x:c r="L128" s="94"/>
      <x:c r="M128" s="94"/>
      <x:c r="N128" s="94"/>
      <x:c r="O128" s="94"/>
      <x:c r="P128" s="94"/>
      <x:c r="Q128" s="26"/>
      <x:c r="R128" s="23"/>
      <x:c r="S128" s="23"/>
    </x:row>
    <x:row r="129" ht="18.75" customHeight="1">
      <x:c r="A129" s="19"/>
      <x:c r="B129" s="29"/>
      <x:c r="C129" s="21"/>
      <x:c r="D129" s="35"/>
      <x:c r="E129" s="56"/>
      <x:c r="F129" s="23"/>
      <x:c r="G129" s="25"/>
      <x:c r="H129" s="25"/>
      <x:c r="I129" s="25"/>
      <x:c r="J129" s="25"/>
      <x:c r="K129" s="25"/>
      <x:c r="L129" s="94"/>
      <x:c r="M129" s="94"/>
      <x:c r="N129" s="94"/>
      <x:c r="O129" s="94"/>
      <x:c r="P129" s="94"/>
      <x:c r="Q129" s="26"/>
      <x:c r="R129" s="23"/>
      <x:c r="S129" s="23"/>
    </x:row>
    <x:row r="130" ht="18.75" customHeight="1">
      <x:c r="A130" s="19"/>
      <x:c r="B130" s="29"/>
      <x:c r="C130" s="21"/>
      <x:c r="D130" s="55"/>
      <x:c r="E130" s="56"/>
      <x:c r="F130" s="23"/>
      <x:c r="G130" s="25"/>
      <x:c r="H130" s="25"/>
      <x:c r="I130" s="25"/>
      <x:c r="J130" s="25"/>
      <x:c r="K130" s="25"/>
      <x:c r="L130" s="94"/>
      <x:c r="M130" s="94"/>
      <x:c r="N130" s="94"/>
      <x:c r="O130" s="94"/>
      <x:c r="P130" s="94"/>
      <x:c r="Q130" s="26"/>
      <x:c r="R130" s="23"/>
      <x:c r="S130" s="23"/>
    </x:row>
    <x:row r="131" ht="18.75" customHeight="1">
      <x:c r="A131" s="19"/>
      <x:c r="B131" s="29"/>
      <x:c r="C131" s="21"/>
      <x:c r="D131" s="55"/>
      <x:c r="E131" s="56"/>
      <x:c r="F131" s="23"/>
      <x:c r="G131" s="25"/>
      <x:c r="H131" s="25"/>
      <x:c r="I131" s="25"/>
      <x:c r="J131" s="25"/>
      <x:c r="K131" s="25"/>
      <x:c r="L131" s="94"/>
      <x:c r="M131" s="94"/>
      <x:c r="N131" s="94"/>
      <x:c r="O131" s="94"/>
      <x:c r="P131" s="94"/>
      <x:c r="Q131" s="26"/>
      <x:c r="R131" s="23"/>
      <x:c r="S131" s="23"/>
    </x:row>
    <x:row r="132" ht="18.75" customHeight="1">
      <x:c r="A132" s="19"/>
      <x:c r="B132" s="29"/>
      <x:c r="C132" s="21"/>
      <x:c r="D132" s="55"/>
      <x:c r="E132" s="56"/>
      <x:c r="F132" s="23"/>
      <x:c r="G132" s="25"/>
      <x:c r="H132" s="25"/>
      <x:c r="I132" s="25"/>
      <x:c r="J132" s="25"/>
      <x:c r="K132" s="25"/>
      <x:c r="L132" s="94"/>
      <x:c r="M132" s="94"/>
      <x:c r="N132" s="94"/>
      <x:c r="O132" s="94"/>
      <x:c r="P132" s="94"/>
      <x:c r="Q132" s="26"/>
      <x:c r="R132" s="23"/>
      <x:c r="S132" s="23"/>
    </x:row>
    <x:row r="133" ht="18.75" customHeight="1">
      <x:c r="A133" s="19"/>
      <x:c r="B133" s="29"/>
      <x:c r="C133" s="21"/>
      <x:c r="D133" s="55"/>
      <x:c r="E133" s="56"/>
      <x:c r="F133" s="23"/>
      <x:c r="G133" s="25"/>
      <x:c r="H133" s="25"/>
      <x:c r="I133" s="25"/>
      <x:c r="J133" s="25"/>
      <x:c r="K133" s="25"/>
      <x:c r="L133" s="94"/>
      <x:c r="M133" s="94"/>
      <x:c r="N133" s="94"/>
      <x:c r="O133" s="94"/>
      <x:c r="P133" s="94"/>
      <x:c r="Q133" s="26"/>
      <x:c r="R133" s="23"/>
      <x:c r="S133" s="23"/>
    </x:row>
    <x:row r="134" ht="18.75" customHeight="1">
      <x:c r="A134" s="19"/>
      <x:c r="B134" s="29"/>
      <x:c r="C134" s="21"/>
      <x:c r="D134" s="55"/>
      <x:c r="E134" s="56"/>
      <x:c r="F134" s="23"/>
      <x:c r="G134" s="25"/>
      <x:c r="H134" s="25"/>
      <x:c r="I134" s="25"/>
      <x:c r="J134" s="25"/>
      <x:c r="K134" s="25"/>
      <x:c r="L134" s="94"/>
      <x:c r="M134" s="94"/>
      <x:c r="N134" s="94"/>
      <x:c r="O134" s="94"/>
      <x:c r="P134" s="94"/>
      <x:c r="Q134" s="26"/>
      <x:c r="R134" s="23"/>
      <x:c r="S134" s="23"/>
    </x:row>
    <x:row r="135" ht="18.75" customHeight="1">
      <x:c r="A135" s="19"/>
      <x:c r="B135" s="29"/>
      <x:c r="C135" s="21"/>
      <x:c r="D135" s="55"/>
      <x:c r="E135" s="56"/>
      <x:c r="F135" s="23"/>
      <x:c r="G135" s="25"/>
      <x:c r="H135" s="25"/>
      <x:c r="I135" s="25"/>
      <x:c r="J135" s="25"/>
      <x:c r="K135" s="25"/>
      <x:c r="L135" s="94"/>
      <x:c r="M135" s="94"/>
      <x:c r="N135" s="94"/>
      <x:c r="O135" s="94"/>
      <x:c r="P135" s="94"/>
      <x:c r="Q135" s="26"/>
      <x:c r="R135" s="23"/>
      <x:c r="S135" s="23"/>
    </x:row>
    <x:row r="136" ht="18.75" customHeight="1">
      <x:c r="A136" s="19"/>
      <x:c r="B136" s="29"/>
      <x:c r="C136" s="21"/>
      <x:c r="D136" s="55"/>
      <x:c r="E136" s="56"/>
      <x:c r="F136" s="23"/>
      <x:c r="G136" s="25"/>
      <x:c r="H136" s="25"/>
      <x:c r="I136" s="25"/>
      <x:c r="J136" s="24"/>
      <x:c r="K136" s="24"/>
      <x:c r="L136" s="94"/>
      <x:c r="M136" s="94"/>
      <x:c r="N136" s="94"/>
      <x:c r="O136" s="94"/>
      <x:c r="P136" s="94"/>
      <x:c r="Q136" s="26"/>
      <x:c r="R136" s="23"/>
      <x:c r="S136" s="23"/>
    </x:row>
    <x:row r="137" ht="18.75" customHeight="1">
      <x:c r="A137" s="19"/>
      <x:c r="B137" s="29"/>
      <x:c r="C137" s="21"/>
      <x:c r="D137" s="55"/>
      <x:c r="E137" s="56"/>
      <x:c r="F137" s="23"/>
      <x:c r="G137" s="25"/>
      <x:c r="H137" s="25"/>
      <x:c r="I137" s="24"/>
      <x:c r="J137" s="24"/>
      <x:c r="K137" s="24"/>
      <x:c r="L137" s="94"/>
      <x:c r="M137" s="94"/>
      <x:c r="N137" s="94"/>
      <x:c r="O137" s="94"/>
      <x:c r="P137" s="94"/>
      <x:c r="Q137" s="26"/>
      <x:c r="R137" s="23"/>
      <x:c r="S137" s="23"/>
    </x:row>
    <x:row r="138" ht="18.75" customHeight="1">
      <x:c r="A138" s="19"/>
      <x:c r="B138" s="29"/>
      <x:c r="C138" s="21"/>
      <x:c r="D138" s="55"/>
      <x:c r="E138" s="56"/>
      <x:c r="F138" s="23"/>
      <x:c r="G138" s="24"/>
      <x:c r="H138" s="25"/>
      <x:c r="I138" s="25"/>
      <x:c r="J138" s="25"/>
      <x:c r="K138" s="25"/>
      <x:c r="L138" s="94"/>
      <x:c r="M138" s="94"/>
      <x:c r="N138" s="94"/>
      <x:c r="O138" s="94"/>
      <x:c r="P138" s="94"/>
      <x:c r="Q138" s="26"/>
      <x:c r="R138" s="23"/>
      <x:c r="S138" s="23"/>
    </x:row>
    <x:row r="139" ht="18.75" customHeight="1">
      <x:c r="A139" s="19"/>
      <x:c r="B139" s="29"/>
      <x:c r="C139" s="21"/>
      <x:c r="D139" s="55"/>
      <x:c r="E139" s="56"/>
      <x:c r="F139" s="23"/>
      <x:c r="G139" s="25"/>
      <x:c r="H139" s="25"/>
      <x:c r="I139" s="25"/>
      <x:c r="J139" s="24"/>
      <x:c r="K139" s="24"/>
      <x:c r="L139" s="94"/>
      <x:c r="M139" s="94"/>
      <x:c r="N139" s="94"/>
      <x:c r="O139" s="94"/>
      <x:c r="P139" s="94"/>
      <x:c r="Q139" s="26"/>
      <x:c r="R139" s="23"/>
      <x:c r="S139" s="23"/>
    </x:row>
    <x:row r="140" ht="18.75" customHeight="1">
      <x:c r="A140" s="19"/>
      <x:c r="B140" s="29"/>
      <x:c r="C140" s="21"/>
      <x:c r="D140" s="55"/>
      <x:c r="E140" s="56"/>
      <x:c r="F140" s="23"/>
      <x:c r="G140" s="25"/>
      <x:c r="H140" s="25"/>
      <x:c r="I140" s="24"/>
      <x:c r="J140" s="24"/>
      <x:c r="K140" s="24"/>
      <x:c r="L140" s="94"/>
      <x:c r="M140" s="94"/>
      <x:c r="N140" s="94"/>
      <x:c r="O140" s="94"/>
      <x:c r="P140" s="94"/>
      <x:c r="Q140" s="26"/>
      <x:c r="R140" s="23"/>
      <x:c r="S140" s="23"/>
    </x:row>
    <x:row r="141" ht="18.75" customHeight="1">
      <x:c r="A141" s="19"/>
      <x:c r="B141" s="29"/>
      <x:c r="C141" s="21"/>
      <x:c r="D141" s="55"/>
      <x:c r="E141" s="56"/>
      <x:c r="F141" s="23"/>
      <x:c r="G141" s="25"/>
      <x:c r="H141" s="25"/>
      <x:c r="I141" s="25"/>
      <x:c r="J141" s="24"/>
      <x:c r="K141" s="24"/>
      <x:c r="L141" s="94"/>
      <x:c r="M141" s="94"/>
      <x:c r="N141" s="94"/>
      <x:c r="O141" s="94"/>
      <x:c r="P141" s="94"/>
      <x:c r="Q141" s="26"/>
      <x:c r="R141" s="23"/>
      <x:c r="S141" s="23"/>
    </x:row>
    <x:row r="142" ht="18.75" customHeight="1">
      <x:c r="A142" s="19"/>
      <x:c r="B142" s="29"/>
      <x:c r="C142" s="21"/>
      <x:c r="D142" s="55"/>
      <x:c r="E142" s="56"/>
      <x:c r="F142" s="23"/>
      <x:c r="G142" s="25"/>
      <x:c r="H142" s="25"/>
      <x:c r="I142" s="25"/>
      <x:c r="J142" s="24"/>
      <x:c r="K142" s="24"/>
      <x:c r="L142" s="94"/>
      <x:c r="M142" s="94"/>
      <x:c r="N142" s="94"/>
      <x:c r="O142" s="94"/>
      <x:c r="P142" s="94"/>
      <x:c r="Q142" s="26"/>
      <x:c r="R142" s="23"/>
      <x:c r="S142" s="23"/>
    </x:row>
    <x:row r="143" ht="18.75" customHeight="1">
      <x:c r="A143" s="19"/>
      <x:c r="B143" s="29"/>
      <x:c r="C143" s="21"/>
      <x:c r="D143" s="55"/>
      <x:c r="E143" s="56"/>
      <x:c r="F143" s="23"/>
      <x:c r="G143" s="25"/>
      <x:c r="H143" s="25"/>
      <x:c r="I143" s="25"/>
      <x:c r="J143" s="25"/>
      <x:c r="K143" s="25"/>
      <x:c r="L143" s="94"/>
      <x:c r="M143" s="94"/>
      <x:c r="N143" s="94"/>
      <x:c r="O143" s="94"/>
      <x:c r="P143" s="94"/>
      <x:c r="Q143" s="26"/>
      <x:c r="R143" s="23"/>
      <x:c r="S143" s="23"/>
    </x:row>
    <x:row r="144" ht="18.75" customHeight="1">
      <x:c r="A144" s="19"/>
      <x:c r="B144" s="29"/>
      <x:c r="C144" s="21"/>
      <x:c r="D144" s="55"/>
      <x:c r="E144" s="56"/>
      <x:c r="F144" s="23"/>
      <x:c r="G144" s="25"/>
      <x:c r="H144" s="25"/>
      <x:c r="I144" s="25"/>
      <x:c r="J144" s="24"/>
      <x:c r="K144" s="24"/>
      <x:c r="L144" s="94"/>
      <x:c r="M144" s="94"/>
      <x:c r="N144" s="94"/>
      <x:c r="O144" s="94"/>
      <x:c r="P144" s="94"/>
      <x:c r="Q144" s="26"/>
      <x:c r="R144" s="23"/>
      <x:c r="S144" s="23"/>
    </x:row>
    <x:row r="145" ht="18.75" customHeight="1">
      <x:c r="A145" s="19"/>
      <x:c r="B145" s="29"/>
      <x:c r="C145" s="21"/>
      <x:c r="D145" s="55"/>
      <x:c r="E145" s="56"/>
      <x:c r="F145" s="23"/>
      <x:c r="G145" s="25"/>
      <x:c r="H145" s="25"/>
      <x:c r="I145" s="25"/>
      <x:c r="J145" s="24"/>
      <x:c r="K145" s="24"/>
      <x:c r="L145" s="94"/>
      <x:c r="M145" s="94"/>
      <x:c r="N145" s="94"/>
      <x:c r="O145" s="94"/>
      <x:c r="P145" s="94"/>
      <x:c r="Q145" s="26"/>
      <x:c r="R145" s="23"/>
      <x:c r="S145" s="23"/>
    </x:row>
    <x:row r="146" ht="18.75" customHeight="1">
      <x:c r="A146" s="19"/>
      <x:c r="B146" s="29"/>
      <x:c r="C146" s="21"/>
      <x:c r="D146" s="55"/>
      <x:c r="E146" s="56"/>
      <x:c r="F146" s="23"/>
      <x:c r="G146" s="25"/>
      <x:c r="H146" s="24"/>
      <x:c r="I146" s="25"/>
      <x:c r="J146" s="24"/>
      <x:c r="K146" s="24"/>
      <x:c r="L146" s="94"/>
      <x:c r="M146" s="94"/>
      <x:c r="N146" s="94"/>
      <x:c r="O146" s="94"/>
      <x:c r="P146" s="94"/>
      <x:c r="Q146" s="26"/>
      <x:c r="R146" s="23"/>
      <x:c r="S146" s="23"/>
    </x:row>
    <x:row r="147" ht="18.75" customHeight="1">
      <x:c r="A147" s="19"/>
      <x:c r="B147" s="29"/>
      <x:c r="C147" s="21"/>
      <x:c r="D147" s="55"/>
      <x:c r="E147" s="56"/>
      <x:c r="F147" s="23"/>
      <x:c r="G147" s="25"/>
      <x:c r="H147" s="25"/>
      <x:c r="I147" s="24"/>
      <x:c r="J147" s="25"/>
      <x:c r="K147" s="25"/>
      <x:c r="L147" s="94"/>
      <x:c r="M147" s="94"/>
      <x:c r="N147" s="94"/>
      <x:c r="O147" s="94"/>
      <x:c r="P147" s="94"/>
      <x:c r="Q147" s="26"/>
      <x:c r="R147" s="23"/>
      <x:c r="S147" s="23"/>
    </x:row>
    <x:row r="148" ht="18.75" customHeight="1">
      <x:c r="A148" s="19"/>
      <x:c r="B148" s="29"/>
      <x:c r="C148" s="21"/>
      <x:c r="D148" s="55"/>
      <x:c r="E148" s="56"/>
      <x:c r="F148" s="23"/>
      <x:c r="G148" s="25"/>
      <x:c r="H148" s="25"/>
      <x:c r="I148" s="25"/>
      <x:c r="J148" s="24"/>
      <x:c r="K148" s="24"/>
      <x:c r="L148" s="94"/>
      <x:c r="M148" s="94"/>
      <x:c r="N148" s="94"/>
      <x:c r="O148" s="94"/>
      <x:c r="P148" s="94"/>
      <x:c r="Q148" s="26"/>
      <x:c r="R148" s="23"/>
      <x:c r="S148" s="23"/>
    </x:row>
    <x:row r="149" ht="18.75" customHeight="1">
      <x:c r="A149" s="19"/>
      <x:c r="B149" s="29"/>
      <x:c r="C149" s="21"/>
      <x:c r="D149" s="55"/>
      <x:c r="E149" s="56"/>
      <x:c r="F149" s="23"/>
      <x:c r="G149" s="25"/>
      <x:c r="H149" s="25"/>
      <x:c r="I149" s="24"/>
      <x:c r="J149" s="25"/>
      <x:c r="K149" s="25"/>
      <x:c r="L149" s="94"/>
      <x:c r="M149" s="94"/>
      <x:c r="N149" s="94"/>
      <x:c r="O149" s="94"/>
      <x:c r="P149" s="94"/>
      <x:c r="Q149" s="26"/>
      <x:c r="R149" s="23"/>
      <x:c r="S149" s="23"/>
    </x:row>
    <x:row r="150" ht="18.75" customHeight="1">
      <x:c r="A150" s="19"/>
      <x:c r="B150" s="29"/>
      <x:c r="C150" s="21"/>
      <x:c r="D150" s="55"/>
      <x:c r="E150" s="56"/>
      <x:c r="F150" s="23"/>
      <x:c r="G150" s="25"/>
      <x:c r="H150" s="25"/>
      <x:c r="I150" s="24"/>
      <x:c r="J150" s="25"/>
      <x:c r="K150" s="25"/>
      <x:c r="L150" s="94"/>
      <x:c r="M150" s="94"/>
      <x:c r="N150" s="94"/>
      <x:c r="O150" s="94"/>
      <x:c r="P150" s="94"/>
      <x:c r="Q150" s="26"/>
      <x:c r="R150" s="23"/>
      <x:c r="S150" s="23"/>
    </x:row>
    <x:row r="151" ht="18.75" customHeight="1">
      <x:c r="A151" s="19"/>
      <x:c r="B151" s="29"/>
      <x:c r="C151" s="21"/>
      <x:c r="D151" s="55"/>
      <x:c r="E151" s="56"/>
      <x:c r="F151" s="23"/>
      <x:c r="G151" s="25"/>
      <x:c r="H151" s="25"/>
      <x:c r="I151" s="24"/>
      <x:c r="J151" s="24"/>
      <x:c r="K151" s="24"/>
      <x:c r="L151" s="94"/>
      <x:c r="M151" s="94"/>
      <x:c r="N151" s="94"/>
      <x:c r="O151" s="94"/>
      <x:c r="P151" s="23"/>
      <x:c r="Q151" s="26"/>
      <x:c r="R151" s="23"/>
      <x:c r="S151" s="23"/>
    </x:row>
    <x:row r="152" ht="18.75" customHeight="1">
      <x:c r="A152" s="19"/>
      <x:c r="B152" s="29"/>
      <x:c r="C152" s="21"/>
      <x:c r="D152" s="55"/>
      <x:c r="E152" s="56"/>
      <x:c r="F152" s="23"/>
      <x:c r="G152" s="25"/>
      <x:c r="H152" s="25"/>
      <x:c r="I152" s="25"/>
      <x:c r="J152" s="25"/>
      <x:c r="K152" s="25"/>
      <x:c r="L152" s="94"/>
      <x:c r="M152" s="94"/>
      <x:c r="N152" s="94"/>
      <x:c r="O152" s="94"/>
      <x:c r="P152" s="94"/>
      <x:c r="Q152" s="26"/>
      <x:c r="R152" s="23"/>
      <x:c r="S152" s="23"/>
    </x:row>
    <x:row r="153" ht="18.75" customHeight="1">
      <x:c r="A153" s="19"/>
      <x:c r="B153" s="29"/>
      <x:c r="C153" s="21"/>
      <x:c r="D153" s="55"/>
      <x:c r="E153" s="56"/>
      <x:c r="F153" s="23"/>
      <x:c r="G153" s="25"/>
      <x:c r="H153" s="25"/>
      <x:c r="I153" s="24"/>
      <x:c r="J153" s="25"/>
      <x:c r="K153" s="25"/>
      <x:c r="L153" s="94"/>
      <x:c r="M153" s="94"/>
      <x:c r="N153" s="94"/>
      <x:c r="O153" s="94"/>
      <x:c r="P153" s="94"/>
      <x:c r="Q153" s="26"/>
      <x:c r="R153" s="23"/>
      <x:c r="S153" s="23"/>
    </x:row>
    <x:row r="154" ht="18.75" customHeight="1">
      <x:c r="A154" s="19"/>
      <x:c r="B154" s="29"/>
      <x:c r="C154" s="21"/>
      <x:c r="D154" s="55"/>
      <x:c r="E154" s="56"/>
      <x:c r="F154" s="23"/>
      <x:c r="G154" s="25"/>
      <x:c r="H154" s="25"/>
      <x:c r="I154" s="25"/>
      <x:c r="J154" s="25"/>
      <x:c r="K154" s="25"/>
      <x:c r="L154" s="94"/>
      <x:c r="M154" s="94"/>
      <x:c r="N154" s="23"/>
      <x:c r="O154" s="94"/>
      <x:c r="P154" s="94"/>
      <x:c r="Q154" s="26"/>
      <x:c r="R154" s="23"/>
      <x:c r="S154" s="23"/>
    </x:row>
    <x:row r="155" ht="18.75" customHeight="1">
      <x:c r="A155" s="19"/>
      <x:c r="B155" s="29"/>
      <x:c r="C155" s="21"/>
      <x:c r="D155" s="55"/>
      <x:c r="E155" s="56"/>
      <x:c r="F155" s="23"/>
      <x:c r="G155" s="25"/>
      <x:c r="H155" s="25"/>
      <x:c r="I155" s="25"/>
      <x:c r="J155" s="25"/>
      <x:c r="K155" s="25"/>
      <x:c r="L155" s="94"/>
      <x:c r="M155" s="94"/>
      <x:c r="N155" s="94"/>
      <x:c r="O155" s="94"/>
      <x:c r="P155" s="94"/>
      <x:c r="Q155" s="26"/>
      <x:c r="R155" s="23"/>
      <x:c r="S155" s="23"/>
    </x:row>
    <x:row r="156" ht="18.75" customHeight="1">
      <x:c r="A156" s="19"/>
      <x:c r="B156" s="29"/>
      <x:c r="C156" s="21"/>
      <x:c r="D156" s="55"/>
      <x:c r="E156" s="56"/>
      <x:c r="F156" s="23"/>
      <x:c r="G156" s="25"/>
      <x:c r="H156" s="25"/>
      <x:c r="I156" s="24"/>
      <x:c r="J156" s="25"/>
      <x:c r="K156" s="25"/>
      <x:c r="L156" s="94"/>
      <x:c r="M156" s="94"/>
      <x:c r="N156" s="94"/>
      <x:c r="O156" s="94"/>
      <x:c r="P156" s="94"/>
      <x:c r="Q156" s="26"/>
      <x:c r="R156" s="23"/>
      <x:c r="S156" s="23"/>
    </x:row>
    <x:row r="157" ht="18.75" customHeight="1">
      <x:c r="A157" s="19"/>
      <x:c r="B157" s="29"/>
      <x:c r="C157" s="21"/>
      <x:c r="D157" s="55"/>
      <x:c r="E157" s="56"/>
      <x:c r="F157" s="23"/>
      <x:c r="G157" s="25"/>
      <x:c r="H157" s="24"/>
      <x:c r="I157" s="25"/>
      <x:c r="J157" s="25"/>
      <x:c r="K157" s="25"/>
      <x:c r="L157" s="94"/>
      <x:c r="M157" s="94"/>
      <x:c r="N157" s="23"/>
      <x:c r="O157" s="94"/>
      <x:c r="P157" s="94"/>
      <x:c r="Q157" s="26"/>
      <x:c r="R157" s="23"/>
      <x:c r="S157" s="23"/>
    </x:row>
    <x:row r="158" ht="18.75" customHeight="1">
      <x:c r="A158" s="19"/>
      <x:c r="B158" s="29"/>
      <x:c r="C158" s="21"/>
      <x:c r="D158" s="55"/>
      <x:c r="E158" s="56"/>
      <x:c r="F158" s="23"/>
      <x:c r="G158" s="25"/>
      <x:c r="H158" s="25"/>
      <x:c r="I158" s="25"/>
      <x:c r="J158" s="24"/>
      <x:c r="K158" s="24"/>
      <x:c r="L158" s="94"/>
      <x:c r="M158" s="94"/>
      <x:c r="N158" s="94"/>
      <x:c r="O158" s="94"/>
      <x:c r="P158" s="94"/>
      <x:c r="Q158" s="26"/>
      <x:c r="R158" s="23"/>
      <x:c r="S158" s="23"/>
    </x:row>
    <x:row r="159" ht="18.75" customHeight="1">
      <x:c r="A159" s="19"/>
      <x:c r="B159" s="29"/>
      <x:c r="C159" s="21"/>
      <x:c r="D159" s="55"/>
      <x:c r="E159" s="56"/>
      <x:c r="F159" s="23"/>
      <x:c r="G159" s="25"/>
      <x:c r="H159" s="25"/>
      <x:c r="I159" s="25"/>
      <x:c r="J159" s="24"/>
      <x:c r="K159" s="24"/>
      <x:c r="L159" s="94"/>
      <x:c r="M159" s="94"/>
      <x:c r="N159" s="94"/>
      <x:c r="O159" s="94"/>
      <x:c r="P159" s="94"/>
      <x:c r="Q159" s="26"/>
      <x:c r="R159" s="23"/>
      <x:c r="S159" s="23"/>
    </x:row>
    <x:row r="160" ht="18.75" customHeight="1">
      <x:c r="A160" s="19"/>
      <x:c r="B160" s="29"/>
      <x:c r="C160" s="21"/>
      <x:c r="D160" s="55"/>
      <x:c r="E160" s="56"/>
      <x:c r="F160" s="23"/>
      <x:c r="G160" s="25"/>
      <x:c r="H160" s="25"/>
      <x:c r="I160" s="25"/>
      <x:c r="L160" s="91"/>
      <x:c r="M160" s="94"/>
      <x:c r="N160" s="94"/>
      <x:c r="O160" s="94"/>
      <x:c r="P160" s="94"/>
      <x:c r="Q160" s="26"/>
      <x:c r="R160" s="23"/>
      <x:c r="S160" s="23"/>
    </x:row>
    <x:row r="161" ht="18.75" customHeight="1">
      <x:c r="A161" s="19"/>
      <x:c r="B161" s="29"/>
      <x:c r="C161" s="21"/>
      <x:c r="D161" s="55"/>
      <x:c r="E161" s="56"/>
      <x:c r="F161" s="23"/>
      <x:c r="G161" s="25"/>
      <x:c r="H161" s="25"/>
      <x:c r="I161" s="24"/>
      <x:c r="J161" s="25"/>
      <x:c r="K161" s="25"/>
      <x:c r="L161" s="94"/>
      <x:c r="M161" s="94"/>
      <x:c r="N161" s="94"/>
      <x:c r="O161" s="94"/>
      <x:c r="P161" s="94"/>
      <x:c r="Q161" s="26"/>
      <x:c r="R161" s="23"/>
      <x:c r="S161" s="23"/>
    </x:row>
    <x:row r="162" ht="18.75" customHeight="1">
      <x:c r="A162" s="19"/>
      <x:c r="B162" s="29"/>
      <x:c r="C162" s="21"/>
      <x:c r="D162" s="55"/>
      <x:c r="E162" s="56"/>
      <x:c r="F162" s="23"/>
      <x:c r="G162" s="25"/>
      <x:c r="H162" s="25"/>
      <x:c r="I162" s="25"/>
      <x:c r="J162" s="24"/>
      <x:c r="K162" s="24"/>
      <x:c r="L162" s="94"/>
      <x:c r="M162" s="94"/>
      <x:c r="N162" s="94"/>
      <x:c r="O162" s="94"/>
      <x:c r="P162" s="94"/>
      <x:c r="Q162" s="26"/>
      <x:c r="R162" s="23"/>
      <x:c r="S162" s="23"/>
    </x:row>
    <x:row r="163" ht="18.75" customHeight="1">
      <x:c r="A163" s="19"/>
      <x:c r="B163" s="29"/>
      <x:c r="C163" s="21"/>
      <x:c r="D163" s="55"/>
      <x:c r="E163" s="56"/>
      <x:c r="F163" s="23"/>
      <x:c r="G163" s="25"/>
      <x:c r="H163" s="25"/>
      <x:c r="I163" s="25"/>
      <x:c r="J163" s="24"/>
      <x:c r="K163" s="24"/>
      <x:c r="L163" s="94"/>
      <x:c r="M163" s="94"/>
      <x:c r="N163" s="94"/>
      <x:c r="O163" s="94"/>
      <x:c r="P163" s="94"/>
      <x:c r="Q163" s="26"/>
      <x:c r="R163" s="23"/>
      <x:c r="S163" s="23"/>
    </x:row>
    <x:row r="164" ht="18.75" customHeight="1">
      <x:c r="A164" s="19"/>
      <x:c r="B164" s="29"/>
      <x:c r="C164" s="21"/>
      <x:c r="D164" s="55"/>
      <x:c r="E164" s="56"/>
      <x:c r="F164" s="23"/>
      <x:c r="G164" s="25"/>
      <x:c r="H164" s="25"/>
      <x:c r="I164" s="25"/>
      <x:c r="J164" s="25"/>
      <x:c r="K164" s="25"/>
      <x:c r="L164" s="94"/>
      <x:c r="M164" s="94"/>
      <x:c r="N164" s="94"/>
      <x:c r="O164" s="94"/>
      <x:c r="P164" s="94"/>
      <x:c r="Q164" s="26"/>
      <x:c r="R164" s="23"/>
      <x:c r="S164" s="23"/>
    </x:row>
    <x:row r="165" ht="18.75" customHeight="1">
      <x:c r="A165" s="19"/>
      <x:c r="B165" s="29"/>
      <x:c r="C165" s="21"/>
      <x:c r="D165" s="55"/>
      <x:c r="E165" s="56"/>
      <x:c r="F165" s="23"/>
      <x:c r="G165" s="25"/>
      <x:c r="H165" s="25"/>
      <x:c r="I165" s="25"/>
      <x:c r="J165" s="24"/>
      <x:c r="K165" s="24"/>
      <x:c r="L165" s="94"/>
      <x:c r="M165" s="94"/>
      <x:c r="N165" s="94"/>
      <x:c r="O165" s="94"/>
      <x:c r="P165" s="94"/>
      <x:c r="Q165" s="26"/>
      <x:c r="R165" s="23"/>
      <x:c r="S165" s="23"/>
    </x:row>
    <x:row r="166" ht="18.75" customHeight="1">
      <x:c r="A166" s="19"/>
      <x:c r="B166" s="29"/>
      <x:c r="C166" s="21"/>
      <x:c r="D166" s="55"/>
      <x:c r="E166" s="56"/>
      <x:c r="F166" s="23"/>
      <x:c r="G166" s="25"/>
      <x:c r="H166" s="25"/>
      <x:c r="I166" s="25"/>
      <x:c r="J166" s="24"/>
      <x:c r="K166" s="24"/>
      <x:c r="L166" s="94"/>
      <x:c r="M166" s="94"/>
      <x:c r="N166" s="94"/>
      <x:c r="O166" s="94"/>
      <x:c r="P166" s="94"/>
      <x:c r="Q166" s="26"/>
      <x:c r="R166" s="23"/>
      <x:c r="S166" s="23"/>
    </x:row>
    <x:row r="167" ht="18.75" customHeight="1">
      <x:c r="A167" s="19"/>
      <x:c r="B167" s="29"/>
      <x:c r="C167" s="21"/>
      <x:c r="D167" s="55"/>
      <x:c r="E167" s="56"/>
      <x:c r="F167" s="23"/>
      <x:c r="G167" s="25"/>
      <x:c r="H167" s="25"/>
      <x:c r="I167" s="24"/>
      <x:c r="J167" s="25"/>
      <x:c r="K167" s="25"/>
      <x:c r="L167" s="94"/>
      <x:c r="M167" s="94"/>
      <x:c r="N167" s="94"/>
      <x:c r="O167" s="94"/>
      <x:c r="P167" s="94"/>
      <x:c r="Q167" s="26"/>
      <x:c r="R167" s="23"/>
      <x:c r="S167" s="23"/>
    </x:row>
    <x:row r="168" ht="18.75" customHeight="1">
      <x:c r="A168" s="19"/>
      <x:c r="B168" s="29"/>
      <x:c r="C168" s="21"/>
      <x:c r="D168" s="55"/>
      <x:c r="E168" s="56"/>
      <x:c r="F168" s="23"/>
      <x:c r="G168" s="25"/>
      <x:c r="H168" s="24"/>
      <x:c r="I168" s="25"/>
      <x:c r="J168" s="24"/>
      <x:c r="K168" s="24"/>
      <x:c r="L168" s="94"/>
      <x:c r="M168" s="94"/>
      <x:c r="N168" s="94"/>
      <x:c r="O168" s="94"/>
      <x:c r="P168" s="94"/>
      <x:c r="Q168" s="26"/>
      <x:c r="R168" s="23"/>
      <x:c r="S168" s="23"/>
    </x:row>
    <x:row r="169">
      <x:c r="A169" s="75"/>
      <x:c r="B169" s="76" t="s">
        <x:v>27</x:v>
      </x:c>
      <x:c r="C169" s="77"/>
      <x:c r="D169" s="78"/>
      <x:c r="E169" s="77" t="n">
        <x:f>SUM(E2:E140)</x:f>
        <x:v>0</x:v>
      </x:c>
      <x:c r="F169" s="77" t="n">
        <x:f t="shared" ref="F169:Q169" si="8">SUM(F2:F168)</x:f>
        <x:v>30</x:v>
      </x:c>
      <x:c r="G169" s="79">
        <x:f t="shared" si="8"/>
        <x:v>22</x:v>
      </x:c>
      <x:c r="H169" s="79">
        <x:f t="shared" si="8"/>
        <x:v>0</x:v>
      </x:c>
      <x:c r="I169" s="79">
        <x:f t="shared" si="8"/>
        <x:v>49</x:v>
      </x:c>
      <x:c r="J169" s="79">
        <x:f t="shared" si="8"/>
        <x:v>62</x:v>
      </x:c>
      <x:c r="K169" s="79">
        <x:f t="shared" si="8"/>
        <x:v>7</x:v>
      </x:c>
      <x:c r="L169" s="77">
        <x:f t="shared" si="8"/>
        <x:v>2</x:v>
      </x:c>
      <x:c r="M169" s="77">
        <x:f t="shared" si="8"/>
        <x:v>9</x:v>
      </x:c>
      <x:c r="N169" s="77">
        <x:f t="shared" si="8"/>
        <x:v>10</x:v>
      </x:c>
      <x:c r="O169" s="77">
        <x:f t="shared" si="8"/>
        <x:v>2</x:v>
      </x:c>
      <x:c r="P169" s="77">
        <x:f t="shared" si="8"/>
        <x:v>2</x:v>
      </x:c>
      <x:c r="Q169" s="80">
        <x:f t="shared" si="8"/>
        <x:v>46140000</x:v>
      </x:c>
      <x:c r="R169" s="77"/>
      <x:c r="S169" s="77"/>
    </x:row>
    <x:row r="170">
      <x:c r="A170" s="75"/>
      <x:c r="B170" s="76" t="s">
        <x:v>51</x:v>
      </x:c>
      <x:c r="C170" s="81"/>
      <x:c r="D170" s="96"/>
      <x:c r="E170" s="83" t="n">
        <x:f>E169*Inventory_batches!I60</x:f>
        <x:v>0</x:v>
      </x:c>
      <x:c r="F170" s="83" t="n">
        <x:f>F169*Inventory_batches!I93</x:f>
        <x:v>3435948.913043478</x:v>
      </x:c>
      <x:c r="G170" s="84" t="n">
        <x:f>G169*Inventory_batches!I96</x:f>
        <x:v>5379695.869565217</x:v>
      </x:c>
      <x:c r="H170" s="84" t="n">
        <x:f>H169*Inventory_batches!I79</x:f>
        <x:v>0</x:v>
      </x:c>
      <x:c r="I170" s="84" t="n">
        <x:f>I169*Inventory_batches!I98</x:f>
        <x:v>6886049.891304347</x:v>
      </x:c>
      <x:c r="J170" s="84" t="n">
        <x:f>J169*Inventory_batches!I94</x:f>
        <x:v>6294961.0869565215</x:v>
      </x:c>
      <x:c r="K170" s="84" t="n">
        <x:f>K169*Inventory_batches!I95</x:f>
        <x:v>983721.4130434782</x:v>
      </x:c>
      <x:c r="L170" s="84" t="n">
        <x:f>L169*Inventory_batches!I97</x:f>
        <x:v>437063.2608695652</x:v>
      </x:c>
      <x:c r="M170" s="83" t="n">
        <x:f>M169*Inventory_batches!I81</x:f>
        <x:v>1506445.2972972973</x:v>
      </x:c>
      <x:c r="N170" s="83" t="n">
        <x:f>N169*Inventory_batches!I80</x:f>
        <x:v>1673828.108108108</x:v>
      </x:c>
      <x:c r="O170" s="83" t="n">
        <x:f>O169*Inventory_batches!I70</x:f>
        <x:v>384716.16438356164</x:v>
      </x:c>
      <x:c r="P170" s="83" t="n">
        <x:f>P169*Inventory_batches!I89</x:f>
        <x:v>286547.76470588235</x:v>
      </x:c>
      <x:c r="Q170" s="83" t="n">
        <x:f>SUM(E170:P170)</x:f>
        <x:v>27268977.769277453</x:v>
      </x:c>
      <x:c r="R170" s="85" t="n">
        <x:f>Q170-U3</x:f>
        <x:v>21258977.769277453</x:v>
      </x:c>
      <x:c r="S170" s="86"/>
      <x:c r="T170" s="32"/>
    </x:row>
    <x:row r="171">
      <x:c r="A171" s="87"/>
      <x:c r="B171" s="88"/>
      <x:c r="D171" s="32"/>
      <x:c r="G171" s="74"/>
      <x:c r="H171" s="74"/>
      <x:c r="I171" s="74"/>
      <x:c r="J171" s="74"/>
      <x:c r="K171" s="74"/>
      <x:c r="L171" s="89"/>
      <x:c r="M171" s="89"/>
      <x:c r="N171" s="89"/>
      <x:c r="O171" s="89"/>
      <x:c r="P171" s="89"/>
      <x:c r="Q171" s="90" t="n">
        <x:f>Q169-Q170</x:f>
        <x:v>18871022.230722547</x:v>
      </x:c>
      <x:c r="S171" s="86"/>
      <x:c r="T171" s="32"/>
    </x:row>
    <x:row r="172">
      <x:c r="A172" s="87"/>
      <x:c r="B172" s="88"/>
      <x:c r="D172" s="32"/>
      <x:c r="G172" s="74"/>
      <x:c r="H172" s="74"/>
      <x:c r="I172" s="74"/>
      <x:c r="J172" s="74"/>
      <x:c r="K172" s="74"/>
      <x:c r="L172" s="91"/>
      <x:c r="M172" s="91"/>
      <x:c r="N172" s="91"/>
      <x:c r="O172" s="91"/>
      <x:c r="P172" s="91"/>
      <x:c r="Q172" s="85"/>
      <x:c r="S172" s="86"/>
      <x:c r="T172" s="32"/>
    </x:row>
    <x:row r="173">
      <x:c r="A173" s="87"/>
      <x:c r="B173" s="88"/>
      <x:c r="D173" s="32"/>
      <x:c r="G173" s="74"/>
      <x:c r="H173" s="74"/>
      <x:c r="I173" s="74"/>
      <x:c r="J173" s="74"/>
      <x:c r="K173" s="74"/>
      <x:c r="L173" s="91"/>
      <x:c r="M173" s="91"/>
      <x:c r="N173" s="91"/>
      <x:c r="O173" s="91"/>
      <x:c r="P173" s="91"/>
      <x:c r="Q173" s="85"/>
      <x:c r="S173" s="86"/>
      <x:c r="T173" s="32"/>
    </x:row>
    <x:row r="174">
      <x:c r="A174" s="87"/>
      <x:c r="B174" s="88"/>
      <x:c r="D174" s="32"/>
      <x:c r="G174" s="74"/>
      <x:c r="H174" s="74"/>
      <x:c r="I174" s="74"/>
      <x:c r="J174" s="74"/>
      <x:c r="K174" s="74"/>
      <x:c r="L174" s="91"/>
      <x:c r="M174" s="91"/>
      <x:c r="N174" s="91"/>
      <x:c r="O174" s="91"/>
      <x:c r="P174" s="91"/>
      <x:c r="Q174" s="85"/>
      <x:c r="S174" s="86"/>
      <x:c r="T174" s="32"/>
    </x:row>
    <x:row r="175">
      <x:c r="A175" s="87"/>
      <x:c r="B175" s="88"/>
      <x:c r="D175" s="32"/>
      <x:c r="G175" s="74"/>
      <x:c r="H175" s="74"/>
      <x:c r="I175" s="74"/>
      <x:c r="J175" s="74"/>
      <x:c r="K175" s="74"/>
      <x:c r="L175" s="91"/>
      <x:c r="M175" s="91"/>
      <x:c r="N175" s="91"/>
      <x:c r="O175" s="91"/>
      <x:c r="P175" s="91"/>
      <x:c r="Q175" s="85"/>
      <x:c r="S175" s="86"/>
      <x:c r="T175" s="32"/>
    </x:row>
    <x:row r="176">
      <x:c r="A176" s="87"/>
      <x:c r="B176" s="88"/>
      <x:c r="D176" s="32"/>
      <x:c r="G176" s="74"/>
      <x:c r="H176" s="74"/>
      <x:c r="I176" s="74"/>
      <x:c r="J176" s="74"/>
      <x:c r="K176" s="74"/>
      <x:c r="L176" s="91"/>
      <x:c r="M176" s="91"/>
      <x:c r="N176" s="91"/>
      <x:c r="O176" s="91"/>
      <x:c r="P176" s="91"/>
      <x:c r="Q176" s="85"/>
      <x:c r="S176" s="86"/>
      <x:c r="T176" s="32"/>
    </x:row>
    <x:row r="177">
      <x:c r="A177" s="87"/>
      <x:c r="B177" s="88"/>
      <x:c r="D177" s="32"/>
      <x:c r="G177" s="74"/>
      <x:c r="H177" s="74"/>
      <x:c r="I177" s="74"/>
      <x:c r="J177" s="74"/>
      <x:c r="K177" s="74"/>
      <x:c r="L177" s="91"/>
      <x:c r="M177" s="91"/>
      <x:c r="N177" s="91"/>
      <x:c r="O177" s="91"/>
      <x:c r="P177" s="91"/>
      <x:c r="Q177" s="85"/>
      <x:c r="S177" s="86"/>
      <x:c r="T177" s="32"/>
    </x:row>
    <x:row r="178">
      <x:c r="A178" s="87"/>
      <x:c r="B178" s="88"/>
      <x:c r="D178" s="32"/>
      <x:c r="G178" s="74"/>
      <x:c r="H178" s="74"/>
      <x:c r="I178" s="74"/>
      <x:c r="J178" s="74"/>
      <x:c r="K178" s="74"/>
      <x:c r="L178" s="91"/>
      <x:c r="M178" s="91"/>
      <x:c r="N178" s="91"/>
      <x:c r="O178" s="91"/>
      <x:c r="P178" s="91"/>
      <x:c r="Q178" s="85"/>
      <x:c r="S178" s="86"/>
      <x:c r="T178" s="32"/>
    </x:row>
    <x:row r="179">
      <x:c r="A179" s="87"/>
      <x:c r="B179" s="88"/>
      <x:c r="D179" s="32"/>
      <x:c r="G179" s="74"/>
      <x:c r="H179" s="74"/>
      <x:c r="I179" s="74"/>
      <x:c r="J179" s="74"/>
      <x:c r="K179" s="74"/>
      <x:c r="L179" s="91"/>
      <x:c r="M179" s="91"/>
      <x:c r="N179" s="91"/>
      <x:c r="O179" s="91"/>
      <x:c r="P179" s="91"/>
      <x:c r="Q179" s="85"/>
      <x:c r="S179" s="86"/>
      <x:c r="T179" s="32"/>
    </x:row>
    <x:row r="180">
      <x:c r="A180" s="87"/>
      <x:c r="B180" s="88"/>
      <x:c r="D180" s="32"/>
      <x:c r="G180" s="74"/>
      <x:c r="H180" s="74"/>
      <x:c r="I180" s="74"/>
      <x:c r="J180" s="74"/>
      <x:c r="K180" s="74"/>
      <x:c r="L180" s="91"/>
      <x:c r="M180" s="91"/>
      <x:c r="N180" s="91"/>
      <x:c r="O180" s="91"/>
      <x:c r="P180" s="91"/>
      <x:c r="Q180" s="85"/>
      <x:c r="S180" s="86"/>
      <x:c r="T180" s="32"/>
    </x:row>
    <x:row r="181">
      <x:c r="A181" s="87"/>
      <x:c r="B181" s="88"/>
      <x:c r="D181" s="32"/>
      <x:c r="G181" s="74"/>
      <x:c r="H181" s="74"/>
      <x:c r="I181" s="74"/>
      <x:c r="J181" s="74"/>
      <x:c r="K181" s="74"/>
      <x:c r="L181" s="91"/>
      <x:c r="M181" s="91"/>
      <x:c r="N181" s="91"/>
      <x:c r="O181" s="91"/>
      <x:c r="P181" s="91"/>
      <x:c r="Q181" s="85"/>
      <x:c r="S181" s="86"/>
      <x:c r="T181" s="32"/>
    </x:row>
    <x:row r="182">
      <x:c r="A182" s="87"/>
      <x:c r="B182" s="88"/>
      <x:c r="D182" s="32"/>
      <x:c r="G182" s="74"/>
      <x:c r="H182" s="74"/>
      <x:c r="I182" s="74"/>
      <x:c r="J182" s="74"/>
      <x:c r="K182" s="74"/>
      <x:c r="L182" s="91"/>
      <x:c r="M182" s="91"/>
      <x:c r="N182" s="91"/>
      <x:c r="O182" s="91"/>
      <x:c r="P182" s="91"/>
      <x:c r="Q182" s="85"/>
      <x:c r="S182" s="86"/>
      <x:c r="T182" s="32"/>
    </x:row>
    <x:row r="183">
      <x:c r="A183" s="87"/>
      <x:c r="B183" s="88"/>
      <x:c r="D183" s="32"/>
      <x:c r="G183" s="74"/>
      <x:c r="H183" s="74"/>
      <x:c r="I183" s="74"/>
      <x:c r="J183" s="74"/>
      <x:c r="K183" s="74"/>
      <x:c r="L183" s="91"/>
      <x:c r="M183" s="91"/>
      <x:c r="N183" s="91"/>
      <x:c r="O183" s="91"/>
      <x:c r="P183" s="91"/>
      <x:c r="Q183" s="85"/>
      <x:c r="S183" s="86"/>
      <x:c r="T183" s="32"/>
    </x:row>
    <x:row r="184">
      <x:c r="A184" s="87"/>
      <x:c r="B184" s="88"/>
      <x:c r="D184" s="32"/>
      <x:c r="G184" s="74"/>
      <x:c r="H184" s="74"/>
      <x:c r="I184" s="74"/>
      <x:c r="J184" s="74"/>
      <x:c r="K184" s="74"/>
      <x:c r="L184" s="91"/>
      <x:c r="M184" s="91"/>
      <x:c r="N184" s="91"/>
      <x:c r="O184" s="91"/>
      <x:c r="P184" s="91"/>
      <x:c r="Q184" s="85"/>
      <x:c r="S184" s="86"/>
      <x:c r="T184" s="32"/>
    </x:row>
    <x:row r="185">
      <x:c r="A185" s="87"/>
      <x:c r="B185" s="88"/>
      <x:c r="D185" s="32"/>
      <x:c r="G185" s="74"/>
      <x:c r="H185" s="74"/>
      <x:c r="I185" s="74"/>
      <x:c r="J185" s="74"/>
      <x:c r="K185" s="74"/>
      <x:c r="L185" s="91"/>
      <x:c r="M185" s="91"/>
      <x:c r="N185" s="91"/>
      <x:c r="O185" s="91"/>
      <x:c r="P185" s="91"/>
      <x:c r="Q185" s="85"/>
      <x:c r="S185" s="86"/>
      <x:c r="T185" s="32"/>
    </x:row>
    <x:row r="186">
      <x:c r="A186" s="87"/>
      <x:c r="B186" s="88"/>
      <x:c r="D186" s="32"/>
      <x:c r="G186" s="74"/>
      <x:c r="H186" s="74"/>
      <x:c r="I186" s="74"/>
      <x:c r="J186" s="74"/>
      <x:c r="K186" s="74"/>
      <x:c r="L186" s="91"/>
      <x:c r="M186" s="91"/>
      <x:c r="N186" s="91"/>
      <x:c r="O186" s="91"/>
      <x:c r="P186" s="91"/>
      <x:c r="Q186" s="85"/>
      <x:c r="S186" s="86"/>
      <x:c r="T186" s="32"/>
    </x:row>
    <x:row r="187">
      <x:c r="A187" s="87"/>
      <x:c r="B187" s="88"/>
      <x:c r="D187" s="32"/>
      <x:c r="G187" s="74"/>
      <x:c r="H187" s="74"/>
      <x:c r="I187" s="74"/>
      <x:c r="J187" s="74"/>
      <x:c r="K187" s="74"/>
      <x:c r="L187" s="91"/>
      <x:c r="M187" s="91"/>
      <x:c r="N187" s="91"/>
      <x:c r="O187" s="91"/>
      <x:c r="P187" s="91"/>
      <x:c r="Q187" s="85"/>
      <x:c r="S187" s="86"/>
      <x:c r="T187" s="32"/>
    </x:row>
    <x:row r="188">
      <x:c r="A188" s="87"/>
      <x:c r="B188" s="88"/>
      <x:c r="D188" s="32"/>
      <x:c r="G188" s="74"/>
      <x:c r="H188" s="74"/>
      <x:c r="I188" s="74"/>
      <x:c r="J188" s="74"/>
      <x:c r="K188" s="74"/>
      <x:c r="L188" s="91"/>
      <x:c r="M188" s="91"/>
      <x:c r="N188" s="91"/>
      <x:c r="O188" s="91"/>
      <x:c r="P188" s="91"/>
      <x:c r="Q188" s="85"/>
      <x:c r="S188" s="86"/>
      <x:c r="T188" s="32"/>
    </x:row>
    <x:row r="189">
      <x:c r="A189" s="87"/>
      <x:c r="B189" s="88"/>
      <x:c r="D189" s="32"/>
      <x:c r="G189" s="74"/>
      <x:c r="H189" s="74"/>
      <x:c r="I189" s="74"/>
      <x:c r="J189" s="74"/>
      <x:c r="K189" s="74"/>
      <x:c r="L189" s="91"/>
      <x:c r="M189" s="91"/>
      <x:c r="N189" s="91"/>
      <x:c r="O189" s="91"/>
      <x:c r="P189" s="91"/>
      <x:c r="Q189" s="85"/>
      <x:c r="S189" s="86"/>
      <x:c r="T189" s="32"/>
    </x:row>
    <x:row r="190">
      <x:c r="A190" s="87"/>
      <x:c r="B190" s="88"/>
      <x:c r="D190" s="32"/>
      <x:c r="G190" s="74"/>
      <x:c r="H190" s="74"/>
      <x:c r="I190" s="74"/>
      <x:c r="J190" s="74"/>
      <x:c r="K190" s="74"/>
      <x:c r="L190" s="91"/>
      <x:c r="M190" s="91"/>
      <x:c r="N190" s="91"/>
      <x:c r="O190" s="91"/>
      <x:c r="P190" s="91"/>
      <x:c r="Q190" s="85"/>
      <x:c r="S190" s="86"/>
      <x:c r="T190" s="32"/>
    </x:row>
    <x:row r="191">
      <x:c r="A191" s="87"/>
      <x:c r="B191" s="88"/>
      <x:c r="D191" s="32"/>
      <x:c r="G191" s="74"/>
      <x:c r="H191" s="74"/>
      <x:c r="I191" s="74"/>
      <x:c r="J191" s="74"/>
      <x:c r="K191" s="74"/>
      <x:c r="L191" s="91"/>
      <x:c r="M191" s="91"/>
      <x:c r="N191" s="91"/>
      <x:c r="O191" s="91"/>
      <x:c r="P191" s="91"/>
      <x:c r="Q191" s="85"/>
      <x:c r="S191" s="86"/>
      <x:c r="T191" s="32"/>
    </x:row>
    <x:row r="192">
      <x:c r="A192" s="87"/>
      <x:c r="B192" s="88"/>
      <x:c r="D192" s="32"/>
      <x:c r="G192" s="74"/>
      <x:c r="H192" s="74"/>
      <x:c r="I192" s="74"/>
      <x:c r="J192" s="74"/>
      <x:c r="K192" s="74"/>
      <x:c r="L192" s="91"/>
      <x:c r="M192" s="91"/>
      <x:c r="N192" s="91"/>
      <x:c r="O192" s="91"/>
      <x:c r="P192" s="91"/>
      <x:c r="Q192" s="85"/>
      <x:c r="S192" s="86"/>
      <x:c r="T192" s="32"/>
    </x:row>
    <x:row r="193">
      <x:c r="A193" s="87"/>
      <x:c r="B193" s="88"/>
      <x:c r="D193" s="32"/>
      <x:c r="G193" s="74"/>
      <x:c r="H193" s="74"/>
      <x:c r="I193" s="74"/>
      <x:c r="J193" s="74"/>
      <x:c r="K193" s="74"/>
      <x:c r="L193" s="91"/>
      <x:c r="M193" s="91"/>
      <x:c r="N193" s="91"/>
      <x:c r="O193" s="91"/>
      <x:c r="P193" s="91"/>
      <x:c r="Q193" s="85"/>
      <x:c r="S193" s="86"/>
      <x:c r="T193" s="32"/>
    </x:row>
    <x:row r="194">
      <x:c r="A194" s="87"/>
      <x:c r="B194" s="88"/>
      <x:c r="D194" s="32"/>
      <x:c r="G194" s="74"/>
      <x:c r="H194" s="74"/>
      <x:c r="I194" s="74"/>
      <x:c r="J194" s="74"/>
      <x:c r="K194" s="74"/>
      <x:c r="L194" s="91"/>
      <x:c r="M194" s="91"/>
      <x:c r="N194" s="91"/>
      <x:c r="O194" s="91"/>
      <x:c r="P194" s="91"/>
      <x:c r="Q194" s="85"/>
      <x:c r="S194" s="86"/>
      <x:c r="T194" s="32"/>
    </x:row>
    <x:row r="195">
      <x:c r="A195" s="87"/>
      <x:c r="B195" s="88"/>
      <x:c r="D195" s="32"/>
      <x:c r="G195" s="74"/>
      <x:c r="H195" s="74"/>
      <x:c r="I195" s="74"/>
      <x:c r="J195" s="74"/>
      <x:c r="K195" s="74"/>
      <x:c r="L195" s="91"/>
      <x:c r="M195" s="91"/>
      <x:c r="N195" s="91"/>
      <x:c r="O195" s="91"/>
      <x:c r="P195" s="91"/>
      <x:c r="Q195" s="85"/>
      <x:c r="S195" s="86"/>
      <x:c r="T195" s="32"/>
    </x:row>
    <x:row r="196">
      <x:c r="A196" s="87"/>
      <x:c r="B196" s="88"/>
      <x:c r="D196" s="32"/>
      <x:c r="G196" s="74"/>
      <x:c r="H196" s="74"/>
      <x:c r="I196" s="74"/>
      <x:c r="J196" s="74"/>
      <x:c r="K196" s="74"/>
      <x:c r="L196" s="91"/>
      <x:c r="M196" s="91"/>
      <x:c r="N196" s="91"/>
      <x:c r="O196" s="91"/>
      <x:c r="P196" s="91"/>
      <x:c r="Q196" s="85"/>
      <x:c r="S196" s="86"/>
      <x:c r="T196" s="32"/>
    </x:row>
    <x:row r="197">
      <x:c r="A197" s="87"/>
      <x:c r="B197" s="88"/>
      <x:c r="D197" s="32"/>
      <x:c r="G197" s="74"/>
      <x:c r="H197" s="74"/>
      <x:c r="I197" s="74"/>
      <x:c r="J197" s="74"/>
      <x:c r="K197" s="74"/>
      <x:c r="L197" s="91"/>
      <x:c r="M197" s="91"/>
      <x:c r="N197" s="91"/>
      <x:c r="O197" s="91"/>
      <x:c r="P197" s="91"/>
      <x:c r="Q197" s="85"/>
      <x:c r="S197" s="86"/>
      <x:c r="T197" s="32"/>
    </x:row>
    <x:row r="198">
      <x:c r="A198" s="87"/>
      <x:c r="B198" s="88"/>
      <x:c r="D198" s="32"/>
      <x:c r="G198" s="74"/>
      <x:c r="H198" s="74"/>
      <x:c r="I198" s="74"/>
      <x:c r="J198" s="74"/>
      <x:c r="K198" s="74"/>
      <x:c r="L198" s="91"/>
      <x:c r="M198" s="91"/>
      <x:c r="N198" s="91"/>
      <x:c r="O198" s="91"/>
      <x:c r="P198" s="91"/>
      <x:c r="Q198" s="85"/>
      <x:c r="S198" s="86"/>
      <x:c r="T198" s="32"/>
    </x:row>
    <x:row r="199">
      <x:c r="A199" s="87"/>
      <x:c r="B199" s="88"/>
      <x:c r="D199" s="32"/>
      <x:c r="G199" s="74"/>
      <x:c r="H199" s="74"/>
      <x:c r="I199" s="74"/>
      <x:c r="J199" s="74"/>
      <x:c r="K199" s="74"/>
      <x:c r="L199" s="91"/>
      <x:c r="M199" s="91"/>
      <x:c r="N199" s="91"/>
      <x:c r="O199" s="91"/>
      <x:c r="P199" s="91"/>
      <x:c r="Q199" s="85"/>
      <x:c r="S199" s="86"/>
      <x:c r="T199" s="32"/>
    </x:row>
    <x:row r="200">
      <x:c r="A200" s="87"/>
      <x:c r="B200" s="88"/>
      <x:c r="D200" s="32"/>
      <x:c r="G200" s="74"/>
      <x:c r="H200" s="74"/>
      <x:c r="I200" s="74"/>
      <x:c r="J200" s="74"/>
      <x:c r="K200" s="74"/>
      <x:c r="L200" s="91"/>
      <x:c r="M200" s="91"/>
      <x:c r="N200" s="91"/>
      <x:c r="O200" s="91"/>
      <x:c r="P200" s="91"/>
      <x:c r="Q200" s="85"/>
      <x:c r="S200" s="86"/>
      <x:c r="T200" s="32"/>
    </x:row>
    <x:row r="201">
      <x:c r="A201" s="87"/>
      <x:c r="B201" s="88"/>
      <x:c r="D201" s="32"/>
      <x:c r="G201" s="74"/>
      <x:c r="H201" s="74"/>
      <x:c r="I201" s="74"/>
      <x:c r="J201" s="74"/>
      <x:c r="K201" s="74"/>
      <x:c r="L201" s="91"/>
      <x:c r="M201" s="91"/>
      <x:c r="N201" s="91"/>
      <x:c r="O201" s="91"/>
      <x:c r="P201" s="91"/>
      <x:c r="Q201" s="85"/>
      <x:c r="S201" s="86"/>
      <x:c r="T201" s="32"/>
    </x:row>
    <x:row r="202">
      <x:c r="A202" s="87"/>
      <x:c r="B202" s="88"/>
      <x:c r="D202" s="32"/>
      <x:c r="G202" s="74"/>
      <x:c r="H202" s="74"/>
      <x:c r="I202" s="74"/>
      <x:c r="J202" s="74"/>
      <x:c r="K202" s="74"/>
      <x:c r="L202" s="91"/>
      <x:c r="M202" s="91"/>
      <x:c r="N202" s="91"/>
      <x:c r="O202" s="91"/>
      <x:c r="P202" s="91"/>
      <x:c r="Q202" s="85"/>
      <x:c r="S202" s="86"/>
      <x:c r="T202" s="32"/>
    </x:row>
    <x:row r="203">
      <x:c r="A203" s="87"/>
      <x:c r="B203" s="88"/>
      <x:c r="D203" s="32"/>
      <x:c r="G203" s="74"/>
      <x:c r="H203" s="74"/>
      <x:c r="I203" s="74"/>
      <x:c r="J203" s="74"/>
      <x:c r="K203" s="74"/>
      <x:c r="L203" s="91"/>
      <x:c r="M203" s="91"/>
      <x:c r="N203" s="91"/>
      <x:c r="O203" s="91"/>
      <x:c r="P203" s="91"/>
      <x:c r="Q203" s="85"/>
      <x:c r="S203" s="86"/>
      <x:c r="T203" s="32"/>
    </x:row>
    <x:row r="204">
      <x:c r="A204" s="87"/>
      <x:c r="B204" s="88"/>
      <x:c r="D204" s="32"/>
      <x:c r="G204" s="74"/>
      <x:c r="H204" s="74"/>
      <x:c r="I204" s="74"/>
      <x:c r="J204" s="74"/>
      <x:c r="K204" s="74"/>
      <x:c r="L204" s="91"/>
      <x:c r="M204" s="91"/>
      <x:c r="N204" s="91"/>
      <x:c r="O204" s="91"/>
      <x:c r="P204" s="91"/>
      <x:c r="Q204" s="85"/>
      <x:c r="S204" s="86"/>
      <x:c r="T204" s="32"/>
    </x:row>
    <x:row r="205">
      <x:c r="A205" s="87"/>
      <x:c r="B205" s="88"/>
      <x:c r="D205" s="32"/>
      <x:c r="G205" s="74"/>
      <x:c r="H205" s="74"/>
      <x:c r="I205" s="74"/>
      <x:c r="J205" s="74"/>
      <x:c r="K205" s="74"/>
      <x:c r="L205" s="91"/>
      <x:c r="M205" s="91"/>
      <x:c r="N205" s="91"/>
      <x:c r="O205" s="91"/>
      <x:c r="P205" s="91"/>
      <x:c r="Q205" s="85"/>
      <x:c r="S205" s="86"/>
      <x:c r="T205" s="32"/>
    </x:row>
    <x:row r="206">
      <x:c r="A206" s="87"/>
      <x:c r="B206" s="88"/>
      <x:c r="D206" s="32"/>
      <x:c r="G206" s="74"/>
      <x:c r="H206" s="74"/>
      <x:c r="I206" s="74"/>
      <x:c r="J206" s="74"/>
      <x:c r="K206" s="74"/>
      <x:c r="L206" s="91"/>
      <x:c r="M206" s="91"/>
      <x:c r="N206" s="91"/>
      <x:c r="O206" s="91"/>
      <x:c r="P206" s="91"/>
      <x:c r="Q206" s="85"/>
      <x:c r="S206" s="86"/>
      <x:c r="T206" s="32"/>
    </x:row>
    <x:row r="207">
      <x:c r="A207" s="87"/>
      <x:c r="B207" s="88"/>
      <x:c r="D207" s="32"/>
      <x:c r="G207" s="74"/>
      <x:c r="H207" s="74"/>
      <x:c r="I207" s="74"/>
      <x:c r="J207" s="74"/>
      <x:c r="K207" s="74"/>
      <x:c r="L207" s="91"/>
      <x:c r="M207" s="91"/>
      <x:c r="N207" s="91"/>
      <x:c r="O207" s="91"/>
      <x:c r="P207" s="91"/>
      <x:c r="Q207" s="85"/>
      <x:c r="S207" s="86"/>
      <x:c r="T207" s="32"/>
    </x:row>
    <x:row r="208">
      <x:c r="A208" s="87"/>
      <x:c r="B208" s="88"/>
      <x:c r="D208" s="32"/>
      <x:c r="G208" s="74"/>
      <x:c r="H208" s="74"/>
      <x:c r="I208" s="74"/>
      <x:c r="J208" s="74"/>
      <x:c r="K208" s="74"/>
      <x:c r="L208" s="91"/>
      <x:c r="M208" s="91"/>
      <x:c r="N208" s="91"/>
      <x:c r="O208" s="91"/>
      <x:c r="P208" s="91"/>
      <x:c r="Q208" s="85"/>
      <x:c r="S208" s="86"/>
      <x:c r="T208" s="32"/>
    </x:row>
    <x:row r="209">
      <x:c r="A209" s="87"/>
      <x:c r="B209" s="88"/>
      <x:c r="D209" s="32"/>
      <x:c r="G209" s="74"/>
      <x:c r="H209" s="74"/>
      <x:c r="I209" s="74"/>
      <x:c r="J209" s="74"/>
      <x:c r="K209" s="74"/>
      <x:c r="L209" s="91"/>
      <x:c r="M209" s="91"/>
      <x:c r="N209" s="91"/>
      <x:c r="O209" s="91"/>
      <x:c r="P209" s="91"/>
      <x:c r="Q209" s="85"/>
      <x:c r="S209" s="86"/>
      <x:c r="T209" s="32"/>
    </x:row>
    <x:row r="210">
      <x:c r="A210" s="87"/>
      <x:c r="B210" s="88"/>
      <x:c r="D210" s="32"/>
      <x:c r="G210" s="74"/>
      <x:c r="H210" s="74"/>
      <x:c r="I210" s="74"/>
      <x:c r="J210" s="74"/>
      <x:c r="K210" s="74"/>
      <x:c r="L210" s="91"/>
      <x:c r="M210" s="91"/>
      <x:c r="N210" s="91"/>
      <x:c r="O210" s="91"/>
      <x:c r="P210" s="91"/>
      <x:c r="Q210" s="85"/>
      <x:c r="S210" s="86"/>
      <x:c r="T210" s="32"/>
    </x:row>
    <x:row r="211">
      <x:c r="A211" s="87"/>
      <x:c r="B211" s="88"/>
      <x:c r="D211" s="32"/>
      <x:c r="G211" s="74"/>
      <x:c r="H211" s="74"/>
      <x:c r="I211" s="74"/>
      <x:c r="J211" s="74"/>
      <x:c r="K211" s="74"/>
      <x:c r="L211" s="91"/>
      <x:c r="M211" s="91"/>
      <x:c r="N211" s="91"/>
      <x:c r="O211" s="91"/>
      <x:c r="P211" s="91"/>
      <x:c r="Q211" s="85"/>
      <x:c r="S211" s="86"/>
      <x:c r="T211" s="32"/>
    </x:row>
    <x:row r="212">
      <x:c r="A212" s="87"/>
      <x:c r="B212" s="88"/>
      <x:c r="D212" s="32"/>
      <x:c r="G212" s="74"/>
      <x:c r="H212" s="74"/>
      <x:c r="I212" s="74"/>
      <x:c r="J212" s="74"/>
      <x:c r="K212" s="74"/>
      <x:c r="L212" s="91"/>
      <x:c r="M212" s="91"/>
      <x:c r="N212" s="91"/>
      <x:c r="O212" s="91"/>
      <x:c r="P212" s="91"/>
      <x:c r="Q212" s="85"/>
      <x:c r="S212" s="86"/>
      <x:c r="T212" s="32"/>
    </x:row>
    <x:row r="213">
      <x:c r="A213" s="87"/>
      <x:c r="B213" s="88"/>
      <x:c r="D213" s="32"/>
      <x:c r="G213" s="74"/>
      <x:c r="H213" s="74"/>
      <x:c r="I213" s="74"/>
      <x:c r="J213" s="74"/>
      <x:c r="K213" s="74"/>
      <x:c r="L213" s="91"/>
      <x:c r="M213" s="91"/>
      <x:c r="N213" s="91"/>
      <x:c r="O213" s="91"/>
      <x:c r="P213" s="91"/>
      <x:c r="Q213" s="85"/>
      <x:c r="S213" s="86"/>
      <x:c r="T213" s="32"/>
    </x:row>
    <x:row r="214">
      <x:c r="A214" s="87"/>
      <x:c r="B214" s="88"/>
      <x:c r="D214" s="32"/>
      <x:c r="G214" s="74"/>
      <x:c r="H214" s="74"/>
      <x:c r="I214" s="74"/>
      <x:c r="J214" s="74"/>
      <x:c r="K214" s="74"/>
      <x:c r="L214" s="91"/>
      <x:c r="M214" s="91"/>
      <x:c r="N214" s="91"/>
      <x:c r="O214" s="91"/>
      <x:c r="P214" s="91"/>
      <x:c r="Q214" s="85"/>
      <x:c r="S214" s="86"/>
      <x:c r="T214" s="32"/>
    </x:row>
    <x:row r="215">
      <x:c r="A215" s="87"/>
      <x:c r="B215" s="88"/>
      <x:c r="D215" s="32"/>
      <x:c r="G215" s="74"/>
      <x:c r="H215" s="74"/>
      <x:c r="I215" s="74"/>
      <x:c r="J215" s="74"/>
      <x:c r="K215" s="74"/>
      <x:c r="L215" s="91"/>
      <x:c r="M215" s="91"/>
      <x:c r="N215" s="91"/>
      <x:c r="O215" s="91"/>
      <x:c r="P215" s="91"/>
      <x:c r="Q215" s="85"/>
      <x:c r="S215" s="86"/>
      <x:c r="T215" s="32"/>
    </x:row>
    <x:row r="216">
      <x:c r="A216" s="87"/>
      <x:c r="B216" s="88"/>
      <x:c r="D216" s="32"/>
      <x:c r="G216" s="74"/>
      <x:c r="H216" s="74"/>
      <x:c r="I216" s="74"/>
      <x:c r="J216" s="74"/>
      <x:c r="K216" s="74"/>
      <x:c r="L216" s="91"/>
      <x:c r="M216" s="91"/>
      <x:c r="N216" s="91"/>
      <x:c r="O216" s="91"/>
      <x:c r="P216" s="91"/>
      <x:c r="Q216" s="85"/>
      <x:c r="S216" s="86"/>
      <x:c r="T216" s="32"/>
    </x:row>
    <x:row r="217">
      <x:c r="A217" s="87"/>
      <x:c r="B217" s="88"/>
      <x:c r="D217" s="32"/>
      <x:c r="G217" s="74"/>
      <x:c r="H217" s="74"/>
      <x:c r="I217" s="74"/>
      <x:c r="J217" s="74"/>
      <x:c r="K217" s="74"/>
      <x:c r="L217" s="91"/>
      <x:c r="M217" s="91"/>
      <x:c r="N217" s="91"/>
      <x:c r="O217" s="91"/>
      <x:c r="P217" s="91"/>
      <x:c r="Q217" s="85"/>
      <x:c r="S217" s="86"/>
      <x:c r="T217" s="32"/>
    </x:row>
    <x:row r="218">
      <x:c r="A218" s="87"/>
      <x:c r="B218" s="88"/>
      <x:c r="D218" s="32"/>
      <x:c r="G218" s="74"/>
      <x:c r="H218" s="74"/>
      <x:c r="I218" s="74"/>
      <x:c r="J218" s="74"/>
      <x:c r="K218" s="74"/>
      <x:c r="L218" s="91"/>
      <x:c r="M218" s="91"/>
      <x:c r="N218" s="91"/>
      <x:c r="O218" s="91"/>
      <x:c r="P218" s="91"/>
      <x:c r="Q218" s="85"/>
      <x:c r="S218" s="86"/>
      <x:c r="T218" s="32"/>
    </x:row>
    <x:row r="219">
      <x:c r="A219" s="87"/>
      <x:c r="B219" s="88"/>
      <x:c r="D219" s="32"/>
      <x:c r="G219" s="74"/>
      <x:c r="H219" s="74"/>
      <x:c r="I219" s="74"/>
      <x:c r="J219" s="74"/>
      <x:c r="K219" s="74"/>
      <x:c r="L219" s="91"/>
      <x:c r="M219" s="91"/>
      <x:c r="N219" s="91"/>
      <x:c r="O219" s="91"/>
      <x:c r="P219" s="91"/>
      <x:c r="Q219" s="85"/>
      <x:c r="S219" s="86"/>
      <x:c r="T219" s="32"/>
    </x:row>
    <x:row r="220">
      <x:c r="A220" s="87"/>
      <x:c r="B220" s="88"/>
      <x:c r="D220" s="32"/>
      <x:c r="G220" s="74"/>
      <x:c r="H220" s="74"/>
      <x:c r="I220" s="74"/>
      <x:c r="J220" s="74"/>
      <x:c r="K220" s="74"/>
      <x:c r="L220" s="91"/>
      <x:c r="M220" s="91"/>
      <x:c r="N220" s="91"/>
      <x:c r="O220" s="91"/>
      <x:c r="P220" s="91"/>
      <x:c r="Q220" s="85"/>
      <x:c r="S220" s="86"/>
      <x:c r="T220" s="32"/>
    </x:row>
    <x:row r="221">
      <x:c r="A221" s="87"/>
      <x:c r="B221" s="88"/>
      <x:c r="D221" s="32"/>
      <x:c r="G221" s="74"/>
      <x:c r="H221" s="74"/>
      <x:c r="I221" s="74"/>
      <x:c r="J221" s="74"/>
      <x:c r="K221" s="74"/>
      <x:c r="L221" s="91"/>
      <x:c r="M221" s="91"/>
      <x:c r="N221" s="91"/>
      <x:c r="O221" s="91"/>
      <x:c r="P221" s="91"/>
      <x:c r="Q221" s="85"/>
      <x:c r="S221" s="86"/>
      <x:c r="T221" s="32"/>
    </x:row>
    <x:row r="222">
      <x:c r="A222" s="87"/>
      <x:c r="B222" s="88"/>
      <x:c r="D222" s="32"/>
      <x:c r="G222" s="74"/>
      <x:c r="H222" s="74"/>
      <x:c r="I222" s="74"/>
      <x:c r="J222" s="74"/>
      <x:c r="K222" s="74"/>
      <x:c r="L222" s="91"/>
      <x:c r="M222" s="91"/>
      <x:c r="N222" s="91"/>
      <x:c r="O222" s="91"/>
      <x:c r="P222" s="91"/>
      <x:c r="Q222" s="85"/>
      <x:c r="S222" s="86"/>
      <x:c r="T222" s="32"/>
    </x:row>
    <x:row r="223">
      <x:c r="A223" s="87"/>
      <x:c r="B223" s="88"/>
      <x:c r="D223" s="32"/>
      <x:c r="G223" s="74"/>
      <x:c r="H223" s="74"/>
      <x:c r="I223" s="74"/>
      <x:c r="J223" s="74"/>
      <x:c r="K223" s="74"/>
      <x:c r="L223" s="91"/>
      <x:c r="M223" s="91"/>
      <x:c r="N223" s="91"/>
      <x:c r="O223" s="91"/>
      <x:c r="P223" s="91"/>
      <x:c r="Q223" s="85"/>
      <x:c r="S223" s="86"/>
      <x:c r="T223" s="32"/>
    </x:row>
    <x:row r="224">
      <x:c r="A224" s="87"/>
      <x:c r="B224" s="88"/>
      <x:c r="D224" s="32"/>
      <x:c r="G224" s="74"/>
      <x:c r="H224" s="74"/>
      <x:c r="I224" s="74"/>
      <x:c r="J224" s="74"/>
      <x:c r="K224" s="74"/>
      <x:c r="L224" s="91"/>
      <x:c r="M224" s="91"/>
      <x:c r="N224" s="91"/>
      <x:c r="O224" s="91"/>
      <x:c r="P224" s="91"/>
      <x:c r="Q224" s="85"/>
      <x:c r="S224" s="86"/>
      <x:c r="T224" s="32"/>
    </x:row>
    <x:row r="225">
      <x:c r="A225" s="87"/>
      <x:c r="B225" s="88"/>
      <x:c r="D225" s="32"/>
      <x:c r="G225" s="74"/>
      <x:c r="H225" s="74"/>
      <x:c r="I225" s="74"/>
      <x:c r="J225" s="74"/>
      <x:c r="K225" s="74"/>
      <x:c r="L225" s="91"/>
      <x:c r="M225" s="91"/>
      <x:c r="N225" s="91"/>
      <x:c r="O225" s="91"/>
      <x:c r="P225" s="91"/>
      <x:c r="Q225" s="85"/>
      <x:c r="S225" s="86"/>
      <x:c r="T225" s="32"/>
    </x:row>
    <x:row r="226">
      <x:c r="A226" s="87"/>
      <x:c r="B226" s="88"/>
      <x:c r="D226" s="32"/>
      <x:c r="G226" s="74"/>
      <x:c r="H226" s="74"/>
      <x:c r="I226" s="74"/>
      <x:c r="J226" s="74"/>
      <x:c r="K226" s="74"/>
      <x:c r="L226" s="91"/>
      <x:c r="M226" s="91"/>
      <x:c r="N226" s="91"/>
      <x:c r="O226" s="91"/>
      <x:c r="P226" s="91"/>
      <x:c r="Q226" s="85"/>
      <x:c r="S226" s="86"/>
      <x:c r="T226" s="32"/>
    </x:row>
    <x:row r="227">
      <x:c r="A227" s="87"/>
      <x:c r="B227" s="88"/>
      <x:c r="D227" s="32"/>
      <x:c r="G227" s="74"/>
      <x:c r="H227" s="74"/>
      <x:c r="I227" s="74"/>
      <x:c r="J227" s="74"/>
      <x:c r="K227" s="74"/>
      <x:c r="L227" s="91"/>
      <x:c r="M227" s="91"/>
      <x:c r="N227" s="91"/>
      <x:c r="O227" s="91"/>
      <x:c r="P227" s="91"/>
      <x:c r="Q227" s="85"/>
      <x:c r="S227" s="86"/>
      <x:c r="T227" s="32"/>
    </x:row>
    <x:row r="228">
      <x:c r="A228" s="87"/>
      <x:c r="B228" s="88"/>
      <x:c r="D228" s="32"/>
      <x:c r="G228" s="74"/>
      <x:c r="H228" s="74"/>
      <x:c r="I228" s="74"/>
      <x:c r="J228" s="74"/>
      <x:c r="K228" s="74"/>
      <x:c r="L228" s="91"/>
      <x:c r="M228" s="91"/>
      <x:c r="N228" s="91"/>
      <x:c r="O228" s="91"/>
      <x:c r="P228" s="91"/>
      <x:c r="Q228" s="85"/>
      <x:c r="S228" s="86"/>
      <x:c r="T228" s="32"/>
    </x:row>
    <x:row r="229">
      <x:c r="A229" s="87"/>
      <x:c r="B229" s="88"/>
      <x:c r="D229" s="32"/>
      <x:c r="G229" s="74"/>
      <x:c r="H229" s="74"/>
      <x:c r="I229" s="74"/>
      <x:c r="J229" s="74"/>
      <x:c r="K229" s="74"/>
      <x:c r="L229" s="91"/>
      <x:c r="M229" s="91"/>
      <x:c r="N229" s="91"/>
      <x:c r="O229" s="91"/>
      <x:c r="P229" s="91"/>
      <x:c r="Q229" s="85"/>
      <x:c r="S229" s="86"/>
      <x:c r="T229" s="32"/>
    </x:row>
    <x:row r="230">
      <x:c r="A230" s="87"/>
      <x:c r="B230" s="88"/>
      <x:c r="D230" s="32"/>
      <x:c r="G230" s="74"/>
      <x:c r="H230" s="74"/>
      <x:c r="I230" s="74"/>
      <x:c r="J230" s="74"/>
      <x:c r="K230" s="74"/>
      <x:c r="L230" s="91"/>
      <x:c r="M230" s="91"/>
      <x:c r="N230" s="91"/>
      <x:c r="O230" s="91"/>
      <x:c r="P230" s="91"/>
      <x:c r="Q230" s="85"/>
      <x:c r="S230" s="86"/>
      <x:c r="T230" s="32"/>
    </x:row>
    <x:row r="231">
      <x:c r="A231" s="87"/>
      <x:c r="B231" s="88"/>
      <x:c r="D231" s="32"/>
      <x:c r="G231" s="74"/>
      <x:c r="H231" s="74"/>
      <x:c r="I231" s="74"/>
      <x:c r="J231" s="74"/>
      <x:c r="K231" s="74"/>
      <x:c r="L231" s="91"/>
      <x:c r="M231" s="91"/>
      <x:c r="N231" s="91"/>
      <x:c r="O231" s="91"/>
      <x:c r="P231" s="91"/>
      <x:c r="Q231" s="85"/>
      <x:c r="S231" s="86"/>
      <x:c r="T231" s="32"/>
    </x:row>
    <x:row r="232">
      <x:c r="A232" s="87"/>
      <x:c r="B232" s="88"/>
      <x:c r="D232" s="32"/>
      <x:c r="G232" s="74"/>
      <x:c r="H232" s="74"/>
      <x:c r="I232" s="74"/>
      <x:c r="J232" s="74"/>
      <x:c r="K232" s="74"/>
      <x:c r="L232" s="91"/>
      <x:c r="M232" s="91"/>
      <x:c r="N232" s="91"/>
      <x:c r="O232" s="91"/>
      <x:c r="P232" s="91"/>
      <x:c r="Q232" s="85"/>
      <x:c r="S232" s="86"/>
      <x:c r="T232" s="32"/>
    </x:row>
    <x:row r="233">
      <x:c r="A233" s="87"/>
      <x:c r="B233" s="88"/>
      <x:c r="D233" s="32"/>
      <x:c r="G233" s="74"/>
      <x:c r="H233" s="74"/>
      <x:c r="I233" s="74"/>
      <x:c r="J233" s="74"/>
      <x:c r="K233" s="74"/>
      <x:c r="L233" s="91"/>
      <x:c r="M233" s="91"/>
      <x:c r="N233" s="91"/>
      <x:c r="O233" s="91"/>
      <x:c r="P233" s="91"/>
      <x:c r="Q233" s="85"/>
      <x:c r="S233" s="86"/>
      <x:c r="T233" s="32"/>
    </x:row>
    <x:row r="234">
      <x:c r="A234" s="87"/>
      <x:c r="B234" s="88"/>
      <x:c r="D234" s="32"/>
      <x:c r="G234" s="74"/>
      <x:c r="H234" s="74"/>
      <x:c r="I234" s="74"/>
      <x:c r="J234" s="74"/>
      <x:c r="K234" s="74"/>
      <x:c r="L234" s="91"/>
      <x:c r="M234" s="91"/>
      <x:c r="N234" s="91"/>
      <x:c r="O234" s="91"/>
      <x:c r="P234" s="91"/>
      <x:c r="Q234" s="85"/>
      <x:c r="S234" s="86"/>
      <x:c r="T234" s="32"/>
    </x:row>
    <x:row r="235">
      <x:c r="A235" s="87"/>
      <x:c r="B235" s="88"/>
      <x:c r="D235" s="32"/>
      <x:c r="G235" s="74"/>
      <x:c r="H235" s="74"/>
      <x:c r="I235" s="74"/>
      <x:c r="J235" s="74"/>
      <x:c r="K235" s="74"/>
      <x:c r="L235" s="91"/>
      <x:c r="M235" s="91"/>
      <x:c r="N235" s="91"/>
      <x:c r="O235" s="91"/>
      <x:c r="P235" s="91"/>
      <x:c r="Q235" s="85"/>
      <x:c r="S235" s="86"/>
      <x:c r="T235" s="32"/>
    </x:row>
    <x:row r="236">
      <x:c r="A236" s="87"/>
      <x:c r="B236" s="88"/>
      <x:c r="D236" s="32"/>
      <x:c r="G236" s="74"/>
      <x:c r="H236" s="74"/>
      <x:c r="I236" s="74"/>
      <x:c r="J236" s="74"/>
      <x:c r="K236" s="74"/>
      <x:c r="L236" s="91"/>
      <x:c r="M236" s="91"/>
      <x:c r="N236" s="91"/>
      <x:c r="O236" s="91"/>
      <x:c r="P236" s="91"/>
      <x:c r="Q236" s="85"/>
      <x:c r="S236" s="86"/>
      <x:c r="T236" s="32"/>
    </x:row>
    <x:row r="237">
      <x:c r="A237" s="87"/>
      <x:c r="B237" s="88"/>
      <x:c r="D237" s="32"/>
      <x:c r="G237" s="74"/>
      <x:c r="H237" s="74"/>
      <x:c r="I237" s="74"/>
      <x:c r="J237" s="74"/>
      <x:c r="K237" s="74"/>
      <x:c r="L237" s="91"/>
      <x:c r="M237" s="91"/>
      <x:c r="N237" s="91"/>
      <x:c r="O237" s="91"/>
      <x:c r="P237" s="91"/>
      <x:c r="Q237" s="85"/>
      <x:c r="S237" s="86"/>
      <x:c r="T237" s="32"/>
    </x:row>
    <x:row r="238">
      <x:c r="A238" s="87"/>
      <x:c r="B238" s="88"/>
      <x:c r="D238" s="32"/>
      <x:c r="G238" s="74"/>
      <x:c r="H238" s="74"/>
      <x:c r="I238" s="74"/>
      <x:c r="J238" s="74"/>
      <x:c r="K238" s="74"/>
      <x:c r="L238" s="91"/>
      <x:c r="M238" s="91"/>
      <x:c r="N238" s="91"/>
      <x:c r="O238" s="91"/>
      <x:c r="P238" s="91"/>
      <x:c r="Q238" s="85"/>
      <x:c r="S238" s="86"/>
      <x:c r="T238" s="32"/>
    </x:row>
    <x:row r="239">
      <x:c r="A239" s="87"/>
      <x:c r="B239" s="88"/>
      <x:c r="D239" s="32"/>
      <x:c r="G239" s="74"/>
      <x:c r="H239" s="74"/>
      <x:c r="I239" s="74"/>
      <x:c r="J239" s="74"/>
      <x:c r="K239" s="74"/>
      <x:c r="L239" s="91"/>
      <x:c r="M239" s="91"/>
      <x:c r="N239" s="91"/>
      <x:c r="O239" s="91"/>
      <x:c r="P239" s="91"/>
      <x:c r="Q239" s="85"/>
      <x:c r="S239" s="86"/>
      <x:c r="T239" s="32"/>
    </x:row>
    <x:row r="240">
      <x:c r="A240" s="87"/>
      <x:c r="B240" s="88"/>
      <x:c r="D240" s="32"/>
      <x:c r="G240" s="74"/>
      <x:c r="H240" s="74"/>
      <x:c r="I240" s="74"/>
      <x:c r="J240" s="74"/>
      <x:c r="K240" s="74"/>
      <x:c r="L240" s="91"/>
      <x:c r="M240" s="91"/>
      <x:c r="N240" s="91"/>
      <x:c r="O240" s="91"/>
      <x:c r="P240" s="91"/>
      <x:c r="Q240" s="85"/>
      <x:c r="S240" s="86"/>
      <x:c r="T240" s="32"/>
    </x:row>
    <x:row r="241">
      <x:c r="A241" s="87"/>
      <x:c r="B241" s="88"/>
      <x:c r="D241" s="32"/>
      <x:c r="G241" s="74"/>
      <x:c r="H241" s="74"/>
      <x:c r="I241" s="74"/>
      <x:c r="J241" s="74"/>
      <x:c r="K241" s="74"/>
      <x:c r="L241" s="91"/>
      <x:c r="M241" s="91"/>
      <x:c r="N241" s="91"/>
      <x:c r="O241" s="91"/>
      <x:c r="P241" s="91"/>
      <x:c r="Q241" s="85"/>
      <x:c r="S241" s="86"/>
      <x:c r="T241" s="32"/>
    </x:row>
    <x:row r="242">
      <x:c r="A242" s="87"/>
      <x:c r="B242" s="88"/>
      <x:c r="D242" s="32"/>
      <x:c r="G242" s="74"/>
      <x:c r="H242" s="74"/>
      <x:c r="I242" s="74"/>
      <x:c r="J242" s="74"/>
      <x:c r="K242" s="74"/>
      <x:c r="L242" s="91"/>
      <x:c r="M242" s="91"/>
      <x:c r="N242" s="91"/>
      <x:c r="O242" s="91"/>
      <x:c r="P242" s="91"/>
      <x:c r="Q242" s="85"/>
      <x:c r="S242" s="86"/>
      <x:c r="T242" s="32"/>
    </x:row>
    <x:row r="243">
      <x:c r="A243" s="87"/>
      <x:c r="B243" s="88"/>
      <x:c r="D243" s="32"/>
      <x:c r="G243" s="74"/>
      <x:c r="H243" s="74"/>
      <x:c r="I243" s="74"/>
      <x:c r="J243" s="74"/>
      <x:c r="K243" s="74"/>
      <x:c r="L243" s="91"/>
      <x:c r="M243" s="91"/>
      <x:c r="N243" s="91"/>
      <x:c r="O243" s="91"/>
      <x:c r="P243" s="91"/>
      <x:c r="Q243" s="85"/>
      <x:c r="S243" s="86"/>
      <x:c r="T243" s="32"/>
    </x:row>
    <x:row r="244">
      <x:c r="A244" s="87"/>
      <x:c r="B244" s="88"/>
      <x:c r="D244" s="32"/>
      <x:c r="G244" s="74"/>
      <x:c r="H244" s="74"/>
      <x:c r="I244" s="74"/>
      <x:c r="J244" s="74"/>
      <x:c r="K244" s="74"/>
      <x:c r="L244" s="91"/>
      <x:c r="M244" s="91"/>
      <x:c r="N244" s="91"/>
      <x:c r="O244" s="91"/>
      <x:c r="P244" s="91"/>
      <x:c r="Q244" s="85"/>
      <x:c r="S244" s="86"/>
      <x:c r="T244" s="32"/>
    </x:row>
    <x:row r="245">
      <x:c r="A245" s="87"/>
      <x:c r="B245" s="88"/>
      <x:c r="D245" s="32"/>
      <x:c r="G245" s="74"/>
      <x:c r="H245" s="74"/>
      <x:c r="I245" s="74"/>
      <x:c r="J245" s="74"/>
      <x:c r="K245" s="74"/>
      <x:c r="L245" s="91"/>
      <x:c r="M245" s="91"/>
      <x:c r="N245" s="91"/>
      <x:c r="O245" s="91"/>
      <x:c r="P245" s="91"/>
      <x:c r="Q245" s="85"/>
      <x:c r="S245" s="86"/>
      <x:c r="T245" s="32"/>
    </x:row>
    <x:row r="246">
      <x:c r="A246" s="87"/>
      <x:c r="B246" s="88"/>
      <x:c r="D246" s="32"/>
      <x:c r="G246" s="74"/>
      <x:c r="H246" s="74"/>
      <x:c r="I246" s="74"/>
      <x:c r="J246" s="74"/>
      <x:c r="K246" s="74"/>
      <x:c r="L246" s="91"/>
      <x:c r="M246" s="91"/>
      <x:c r="N246" s="91"/>
      <x:c r="O246" s="91"/>
      <x:c r="P246" s="91"/>
      <x:c r="Q246" s="85"/>
      <x:c r="S246" s="86"/>
      <x:c r="T246" s="32"/>
    </x:row>
    <x:row r="247">
      <x:c r="A247" s="87"/>
      <x:c r="B247" s="88"/>
      <x:c r="D247" s="32"/>
      <x:c r="G247" s="74"/>
      <x:c r="H247" s="74"/>
      <x:c r="I247" s="74"/>
      <x:c r="J247" s="74"/>
      <x:c r="K247" s="74"/>
      <x:c r="L247" s="91"/>
      <x:c r="M247" s="91"/>
      <x:c r="N247" s="91"/>
      <x:c r="O247" s="91"/>
      <x:c r="P247" s="91"/>
      <x:c r="Q247" s="85"/>
      <x:c r="S247" s="86"/>
      <x:c r="T247" s="32"/>
    </x:row>
    <x:row r="248">
      <x:c r="A248" s="87"/>
      <x:c r="B248" s="88"/>
      <x:c r="D248" s="32"/>
      <x:c r="G248" s="74"/>
      <x:c r="H248" s="74"/>
      <x:c r="I248" s="74"/>
      <x:c r="J248" s="74"/>
      <x:c r="K248" s="74"/>
      <x:c r="L248" s="91"/>
      <x:c r="M248" s="91"/>
      <x:c r="N248" s="91"/>
      <x:c r="O248" s="91"/>
      <x:c r="P248" s="91"/>
      <x:c r="Q248" s="85"/>
      <x:c r="S248" s="86"/>
      <x:c r="T248" s="32"/>
    </x:row>
    <x:row r="249">
      <x:c r="A249" s="87"/>
      <x:c r="B249" s="88"/>
      <x:c r="D249" s="32"/>
      <x:c r="G249" s="74"/>
      <x:c r="H249" s="74"/>
      <x:c r="I249" s="74"/>
      <x:c r="J249" s="74"/>
      <x:c r="K249" s="74"/>
      <x:c r="L249" s="91"/>
      <x:c r="M249" s="91"/>
      <x:c r="N249" s="91"/>
      <x:c r="O249" s="91"/>
      <x:c r="P249" s="91"/>
      <x:c r="Q249" s="85"/>
      <x:c r="S249" s="86"/>
      <x:c r="T249" s="32"/>
    </x:row>
    <x:row r="250">
      <x:c r="A250" s="87"/>
      <x:c r="B250" s="88"/>
      <x:c r="D250" s="32"/>
      <x:c r="G250" s="74"/>
      <x:c r="H250" s="74"/>
      <x:c r="I250" s="74"/>
      <x:c r="J250" s="74"/>
      <x:c r="K250" s="74"/>
      <x:c r="L250" s="91"/>
      <x:c r="M250" s="91"/>
      <x:c r="N250" s="91"/>
      <x:c r="O250" s="91"/>
      <x:c r="P250" s="91"/>
      <x:c r="Q250" s="85"/>
      <x:c r="S250" s="86"/>
      <x:c r="T250" s="32"/>
    </x:row>
    <x:row r="251">
      <x:c r="A251" s="87"/>
      <x:c r="B251" s="88"/>
      <x:c r="D251" s="32"/>
      <x:c r="G251" s="74"/>
      <x:c r="H251" s="74"/>
      <x:c r="I251" s="74"/>
      <x:c r="J251" s="74"/>
      <x:c r="K251" s="74"/>
      <x:c r="L251" s="91"/>
      <x:c r="M251" s="91"/>
      <x:c r="N251" s="91"/>
      <x:c r="O251" s="91"/>
      <x:c r="P251" s="91"/>
      <x:c r="Q251" s="85"/>
      <x:c r="S251" s="86"/>
      <x:c r="T251" s="32"/>
    </x:row>
    <x:row r="252">
      <x:c r="A252" s="87"/>
      <x:c r="B252" s="88"/>
      <x:c r="D252" s="32"/>
      <x:c r="G252" s="74"/>
      <x:c r="H252" s="74"/>
      <x:c r="I252" s="74"/>
      <x:c r="J252" s="74"/>
      <x:c r="K252" s="74"/>
      <x:c r="L252" s="91"/>
      <x:c r="M252" s="91"/>
      <x:c r="N252" s="91"/>
      <x:c r="O252" s="91"/>
      <x:c r="P252" s="91"/>
      <x:c r="Q252" s="85"/>
      <x:c r="S252" s="86"/>
      <x:c r="T252" s="32"/>
    </x:row>
    <x:row r="253">
      <x:c r="A253" s="87"/>
      <x:c r="B253" s="88"/>
      <x:c r="D253" s="32"/>
      <x:c r="G253" s="74"/>
      <x:c r="H253" s="74"/>
      <x:c r="I253" s="74"/>
      <x:c r="J253" s="74"/>
      <x:c r="K253" s="74"/>
      <x:c r="L253" s="91"/>
      <x:c r="M253" s="91"/>
      <x:c r="N253" s="91"/>
      <x:c r="O253" s="91"/>
      <x:c r="P253" s="91"/>
      <x:c r="Q253" s="85"/>
      <x:c r="S253" s="86"/>
      <x:c r="T253" s="32"/>
    </x:row>
    <x:row r="254">
      <x:c r="A254" s="87"/>
      <x:c r="B254" s="88"/>
      <x:c r="D254" s="32"/>
      <x:c r="G254" s="74"/>
      <x:c r="H254" s="74"/>
      <x:c r="I254" s="74"/>
      <x:c r="J254" s="74"/>
      <x:c r="K254" s="74"/>
      <x:c r="L254" s="91"/>
      <x:c r="M254" s="91"/>
      <x:c r="N254" s="91"/>
      <x:c r="O254" s="91"/>
      <x:c r="P254" s="91"/>
      <x:c r="Q254" s="85"/>
      <x:c r="S254" s="86"/>
      <x:c r="T254" s="32"/>
    </x:row>
    <x:row r="255">
      <x:c r="A255" s="87"/>
      <x:c r="B255" s="88"/>
      <x:c r="D255" s="32"/>
      <x:c r="G255" s="74"/>
      <x:c r="H255" s="74"/>
      <x:c r="I255" s="74"/>
      <x:c r="J255" s="74"/>
      <x:c r="K255" s="74"/>
      <x:c r="L255" s="91"/>
      <x:c r="M255" s="91"/>
      <x:c r="N255" s="91"/>
      <x:c r="O255" s="91"/>
      <x:c r="P255" s="91"/>
      <x:c r="Q255" s="85"/>
      <x:c r="S255" s="86"/>
      <x:c r="T255" s="32"/>
    </x:row>
    <x:row r="256">
      <x:c r="A256" s="87"/>
      <x:c r="B256" s="88"/>
      <x:c r="D256" s="32"/>
      <x:c r="G256" s="74"/>
      <x:c r="H256" s="74"/>
      <x:c r="I256" s="74"/>
      <x:c r="J256" s="74"/>
      <x:c r="K256" s="74"/>
      <x:c r="L256" s="91"/>
      <x:c r="M256" s="91"/>
      <x:c r="N256" s="91"/>
      <x:c r="O256" s="91"/>
      <x:c r="P256" s="91"/>
      <x:c r="Q256" s="85"/>
      <x:c r="S256" s="86"/>
      <x:c r="T256" s="32"/>
    </x:row>
    <x:row r="257">
      <x:c r="A257" s="87"/>
      <x:c r="B257" s="88"/>
      <x:c r="D257" s="32"/>
      <x:c r="G257" s="74"/>
      <x:c r="H257" s="74"/>
      <x:c r="I257" s="74"/>
      <x:c r="J257" s="74"/>
      <x:c r="K257" s="74"/>
      <x:c r="L257" s="91"/>
      <x:c r="M257" s="91"/>
      <x:c r="N257" s="91"/>
      <x:c r="O257" s="91"/>
      <x:c r="P257" s="91"/>
      <x:c r="Q257" s="85"/>
      <x:c r="S257" s="86"/>
      <x:c r="T257" s="32"/>
    </x:row>
    <x:row r="258">
      <x:c r="A258" s="87"/>
      <x:c r="B258" s="88"/>
      <x:c r="D258" s="32"/>
      <x:c r="G258" s="74"/>
      <x:c r="H258" s="74"/>
      <x:c r="I258" s="74"/>
      <x:c r="J258" s="74"/>
      <x:c r="K258" s="74"/>
      <x:c r="L258" s="91"/>
      <x:c r="M258" s="91"/>
      <x:c r="N258" s="91"/>
      <x:c r="O258" s="91"/>
      <x:c r="P258" s="91"/>
      <x:c r="Q258" s="85"/>
      <x:c r="S258" s="86"/>
      <x:c r="T258" s="32"/>
    </x:row>
    <x:row r="259">
      <x:c r="A259" s="87"/>
      <x:c r="B259" s="88"/>
      <x:c r="D259" s="32"/>
      <x:c r="G259" s="74"/>
      <x:c r="H259" s="74"/>
      <x:c r="I259" s="74"/>
      <x:c r="J259" s="74"/>
      <x:c r="K259" s="74"/>
      <x:c r="L259" s="91"/>
      <x:c r="M259" s="91"/>
      <x:c r="N259" s="91"/>
      <x:c r="O259" s="91"/>
      <x:c r="P259" s="91"/>
      <x:c r="Q259" s="85"/>
      <x:c r="S259" s="86"/>
      <x:c r="T259" s="32"/>
    </x:row>
    <x:row r="260">
      <x:c r="A260" s="87"/>
      <x:c r="B260" s="88"/>
      <x:c r="D260" s="32"/>
      <x:c r="G260" s="74"/>
      <x:c r="H260" s="74"/>
      <x:c r="I260" s="74"/>
      <x:c r="J260" s="74"/>
      <x:c r="K260" s="74"/>
      <x:c r="L260" s="91"/>
      <x:c r="M260" s="91"/>
      <x:c r="N260" s="91"/>
      <x:c r="O260" s="91"/>
      <x:c r="P260" s="91"/>
      <x:c r="Q260" s="85"/>
      <x:c r="S260" s="86"/>
      <x:c r="T260" s="32"/>
    </x:row>
    <x:row r="261">
      <x:c r="A261" s="87"/>
      <x:c r="B261" s="88"/>
      <x:c r="D261" s="32"/>
      <x:c r="G261" s="74"/>
      <x:c r="H261" s="74"/>
      <x:c r="I261" s="74"/>
      <x:c r="J261" s="74"/>
      <x:c r="K261" s="74"/>
      <x:c r="L261" s="91"/>
      <x:c r="M261" s="91"/>
      <x:c r="N261" s="91"/>
      <x:c r="O261" s="91"/>
      <x:c r="P261" s="91"/>
      <x:c r="Q261" s="85"/>
      <x:c r="S261" s="86"/>
      <x:c r="T261" s="32"/>
    </x:row>
    <x:row r="262">
      <x:c r="A262" s="87"/>
      <x:c r="B262" s="88"/>
      <x:c r="D262" s="32"/>
      <x:c r="G262" s="74"/>
      <x:c r="H262" s="74"/>
      <x:c r="I262" s="74"/>
      <x:c r="J262" s="74"/>
      <x:c r="K262" s="74"/>
      <x:c r="L262" s="91"/>
      <x:c r="M262" s="91"/>
      <x:c r="N262" s="91"/>
      <x:c r="O262" s="91"/>
      <x:c r="P262" s="91"/>
      <x:c r="Q262" s="85"/>
      <x:c r="S262" s="86"/>
      <x:c r="T262" s="32"/>
    </x:row>
    <x:row r="263">
      <x:c r="A263" s="87"/>
      <x:c r="B263" s="88"/>
      <x:c r="D263" s="32"/>
      <x:c r="G263" s="74"/>
      <x:c r="H263" s="74"/>
      <x:c r="I263" s="74"/>
      <x:c r="J263" s="74"/>
      <x:c r="K263" s="74"/>
      <x:c r="L263" s="91"/>
      <x:c r="M263" s="91"/>
      <x:c r="N263" s="91"/>
      <x:c r="O263" s="91"/>
      <x:c r="P263" s="91"/>
      <x:c r="Q263" s="85"/>
      <x:c r="S263" s="86"/>
      <x:c r="T263" s="32"/>
    </x:row>
    <x:row r="264">
      <x:c r="A264" s="87"/>
      <x:c r="B264" s="88"/>
      <x:c r="D264" s="32"/>
      <x:c r="G264" s="74"/>
      <x:c r="H264" s="74"/>
      <x:c r="I264" s="74"/>
      <x:c r="J264" s="74"/>
      <x:c r="K264" s="74"/>
      <x:c r="L264" s="91"/>
      <x:c r="M264" s="91"/>
      <x:c r="N264" s="91"/>
      <x:c r="O264" s="91"/>
      <x:c r="P264" s="91"/>
      <x:c r="Q264" s="85"/>
      <x:c r="S264" s="86"/>
      <x:c r="T264" s="32"/>
    </x:row>
    <x:row r="265">
      <x:c r="A265" s="87"/>
      <x:c r="B265" s="88"/>
      <x:c r="D265" s="32"/>
      <x:c r="G265" s="74"/>
      <x:c r="H265" s="74"/>
      <x:c r="I265" s="74"/>
      <x:c r="J265" s="74"/>
      <x:c r="K265" s="74"/>
      <x:c r="L265" s="91"/>
      <x:c r="M265" s="91"/>
      <x:c r="N265" s="91"/>
      <x:c r="O265" s="91"/>
      <x:c r="P265" s="91"/>
      <x:c r="Q265" s="85"/>
      <x:c r="S265" s="86"/>
      <x:c r="T265" s="32"/>
    </x:row>
    <x:row r="266">
      <x:c r="A266" s="87"/>
      <x:c r="B266" s="88"/>
      <x:c r="D266" s="32"/>
      <x:c r="G266" s="74"/>
      <x:c r="H266" s="74"/>
      <x:c r="I266" s="74"/>
      <x:c r="J266" s="74"/>
      <x:c r="K266" s="74"/>
      <x:c r="L266" s="91"/>
      <x:c r="M266" s="91"/>
      <x:c r="N266" s="91"/>
      <x:c r="O266" s="91"/>
      <x:c r="P266" s="91"/>
      <x:c r="Q266" s="85"/>
      <x:c r="S266" s="86"/>
      <x:c r="T266" s="32"/>
    </x:row>
    <x:row r="267">
      <x:c r="A267" s="87"/>
      <x:c r="B267" s="88"/>
      <x:c r="D267" s="32"/>
      <x:c r="G267" s="74"/>
      <x:c r="H267" s="74"/>
      <x:c r="I267" s="74"/>
      <x:c r="J267" s="74"/>
      <x:c r="K267" s="74"/>
      <x:c r="L267" s="91"/>
      <x:c r="M267" s="91"/>
      <x:c r="N267" s="91"/>
      <x:c r="O267" s="91"/>
      <x:c r="P267" s="91"/>
      <x:c r="Q267" s="85"/>
      <x:c r="S267" s="86"/>
      <x:c r="T267" s="32"/>
    </x:row>
    <x:row r="268">
      <x:c r="A268" s="87"/>
      <x:c r="B268" s="88"/>
      <x:c r="D268" s="32"/>
      <x:c r="G268" s="74"/>
      <x:c r="H268" s="74"/>
      <x:c r="I268" s="74"/>
      <x:c r="J268" s="74"/>
      <x:c r="K268" s="74"/>
      <x:c r="L268" s="91"/>
      <x:c r="M268" s="91"/>
      <x:c r="N268" s="91"/>
      <x:c r="O268" s="91"/>
      <x:c r="P268" s="91"/>
      <x:c r="Q268" s="85"/>
      <x:c r="S268" s="86"/>
      <x:c r="T268" s="32"/>
    </x:row>
    <x:row r="269">
      <x:c r="A269" s="87"/>
      <x:c r="B269" s="88"/>
      <x:c r="D269" s="32"/>
      <x:c r="G269" s="74"/>
      <x:c r="H269" s="74"/>
      <x:c r="I269" s="74"/>
      <x:c r="J269" s="74"/>
      <x:c r="K269" s="74"/>
      <x:c r="L269" s="91"/>
      <x:c r="M269" s="91"/>
      <x:c r="N269" s="91"/>
      <x:c r="O269" s="91"/>
      <x:c r="P269" s="91"/>
      <x:c r="Q269" s="85"/>
      <x:c r="S269" s="86"/>
      <x:c r="T269" s="32"/>
    </x:row>
    <x:row r="270">
      <x:c r="A270" s="87"/>
      <x:c r="B270" s="88"/>
      <x:c r="D270" s="32"/>
      <x:c r="G270" s="74"/>
      <x:c r="H270" s="74"/>
      <x:c r="I270" s="74"/>
      <x:c r="J270" s="74"/>
      <x:c r="K270" s="74"/>
      <x:c r="L270" s="91"/>
      <x:c r="M270" s="91"/>
      <x:c r="N270" s="91"/>
      <x:c r="O270" s="91"/>
      <x:c r="P270" s="91"/>
      <x:c r="Q270" s="85"/>
      <x:c r="S270" s="86"/>
      <x:c r="T270" s="32"/>
    </x:row>
    <x:row r="271">
      <x:c r="A271" s="87"/>
      <x:c r="B271" s="88"/>
      <x:c r="D271" s="32"/>
      <x:c r="G271" s="74"/>
      <x:c r="H271" s="74"/>
      <x:c r="I271" s="74"/>
      <x:c r="J271" s="74"/>
      <x:c r="K271" s="74"/>
      <x:c r="L271" s="91"/>
      <x:c r="M271" s="91"/>
      <x:c r="N271" s="91"/>
      <x:c r="O271" s="91"/>
      <x:c r="P271" s="91"/>
      <x:c r="Q271" s="85"/>
      <x:c r="S271" s="86"/>
      <x:c r="T271" s="32"/>
    </x:row>
    <x:row r="272">
      <x:c r="A272" s="87"/>
      <x:c r="B272" s="88"/>
      <x:c r="D272" s="32"/>
      <x:c r="G272" s="74"/>
      <x:c r="H272" s="74"/>
      <x:c r="I272" s="74"/>
      <x:c r="J272" s="74"/>
      <x:c r="K272" s="74"/>
      <x:c r="L272" s="91"/>
      <x:c r="M272" s="91"/>
      <x:c r="N272" s="91"/>
      <x:c r="O272" s="91"/>
      <x:c r="P272" s="91"/>
      <x:c r="Q272" s="85"/>
      <x:c r="S272" s="86"/>
      <x:c r="T272" s="32"/>
    </x:row>
    <x:row r="273">
      <x:c r="A273" s="87"/>
      <x:c r="B273" s="88"/>
      <x:c r="D273" s="32"/>
      <x:c r="G273" s="74"/>
      <x:c r="H273" s="74"/>
      <x:c r="I273" s="74"/>
      <x:c r="J273" s="74"/>
      <x:c r="K273" s="74"/>
      <x:c r="L273" s="91"/>
      <x:c r="M273" s="91"/>
      <x:c r="N273" s="91"/>
      <x:c r="O273" s="91"/>
      <x:c r="P273" s="91"/>
      <x:c r="Q273" s="85"/>
      <x:c r="S273" s="86"/>
      <x:c r="T273" s="32"/>
    </x:row>
    <x:row r="274">
      <x:c r="A274" s="87"/>
      <x:c r="B274" s="88"/>
      <x:c r="D274" s="32"/>
      <x:c r="G274" s="74"/>
      <x:c r="H274" s="74"/>
      <x:c r="I274" s="74"/>
      <x:c r="J274" s="74"/>
      <x:c r="K274" s="74"/>
      <x:c r="L274" s="91"/>
      <x:c r="M274" s="91"/>
      <x:c r="N274" s="91"/>
      <x:c r="O274" s="91"/>
      <x:c r="P274" s="91"/>
      <x:c r="Q274" s="85"/>
      <x:c r="S274" s="86"/>
      <x:c r="T274" s="32"/>
    </x:row>
    <x:row r="275">
      <x:c r="A275" s="87"/>
      <x:c r="B275" s="88"/>
      <x:c r="D275" s="32"/>
      <x:c r="G275" s="74"/>
      <x:c r="H275" s="74"/>
      <x:c r="I275" s="74"/>
      <x:c r="J275" s="74"/>
      <x:c r="K275" s="74"/>
      <x:c r="L275" s="91"/>
      <x:c r="M275" s="91"/>
      <x:c r="N275" s="91"/>
      <x:c r="O275" s="91"/>
      <x:c r="P275" s="91"/>
      <x:c r="Q275" s="85"/>
      <x:c r="S275" s="86"/>
      <x:c r="T275" s="32"/>
    </x:row>
    <x:row r="276">
      <x:c r="A276" s="87"/>
      <x:c r="B276" s="88"/>
      <x:c r="D276" s="32"/>
      <x:c r="G276" s="74"/>
      <x:c r="H276" s="74"/>
      <x:c r="I276" s="74"/>
      <x:c r="J276" s="74"/>
      <x:c r="K276" s="74"/>
      <x:c r="L276" s="91"/>
      <x:c r="M276" s="91"/>
      <x:c r="N276" s="91"/>
      <x:c r="O276" s="91"/>
      <x:c r="P276" s="91"/>
      <x:c r="Q276" s="85"/>
      <x:c r="S276" s="86"/>
      <x:c r="T276" s="32"/>
    </x:row>
    <x:row r="277">
      <x:c r="A277" s="87"/>
      <x:c r="B277" s="88"/>
      <x:c r="D277" s="32"/>
      <x:c r="G277" s="74"/>
      <x:c r="H277" s="74"/>
      <x:c r="I277" s="74"/>
      <x:c r="J277" s="74"/>
      <x:c r="K277" s="74"/>
      <x:c r="L277" s="91"/>
      <x:c r="M277" s="91"/>
      <x:c r="N277" s="91"/>
      <x:c r="O277" s="91"/>
      <x:c r="P277" s="91"/>
      <x:c r="Q277" s="85"/>
      <x:c r="S277" s="86"/>
      <x:c r="T277" s="32"/>
    </x:row>
    <x:row r="278">
      <x:c r="A278" s="87"/>
      <x:c r="B278" s="88"/>
      <x:c r="D278" s="32"/>
      <x:c r="G278" s="74"/>
      <x:c r="H278" s="74"/>
      <x:c r="I278" s="74"/>
      <x:c r="J278" s="74"/>
      <x:c r="K278" s="74"/>
      <x:c r="L278" s="91"/>
      <x:c r="M278" s="91"/>
      <x:c r="N278" s="91"/>
      <x:c r="O278" s="91"/>
      <x:c r="P278" s="91"/>
      <x:c r="Q278" s="85"/>
      <x:c r="S278" s="86"/>
      <x:c r="T278" s="32"/>
    </x:row>
    <x:row r="279">
      <x:c r="A279" s="87"/>
      <x:c r="B279" s="88"/>
      <x:c r="D279" s="32"/>
      <x:c r="G279" s="74"/>
      <x:c r="H279" s="74"/>
      <x:c r="I279" s="74"/>
      <x:c r="J279" s="74"/>
      <x:c r="K279" s="74"/>
      <x:c r="L279" s="91"/>
      <x:c r="M279" s="91"/>
      <x:c r="N279" s="91"/>
      <x:c r="O279" s="91"/>
      <x:c r="P279" s="91"/>
      <x:c r="Q279" s="85"/>
      <x:c r="S279" s="86"/>
      <x:c r="T279" s="32"/>
    </x:row>
    <x:row r="280">
      <x:c r="A280" s="87"/>
      <x:c r="B280" s="88"/>
      <x:c r="D280" s="32"/>
      <x:c r="G280" s="74"/>
      <x:c r="H280" s="74"/>
      <x:c r="I280" s="74"/>
      <x:c r="J280" s="74"/>
      <x:c r="K280" s="74"/>
      <x:c r="L280" s="91"/>
      <x:c r="M280" s="91"/>
      <x:c r="N280" s="91"/>
      <x:c r="O280" s="91"/>
      <x:c r="P280" s="91"/>
      <x:c r="Q280" s="85"/>
      <x:c r="S280" s="86"/>
      <x:c r="T280" s="32"/>
    </x:row>
    <x:row r="281">
      <x:c r="A281" s="87"/>
      <x:c r="B281" s="88"/>
      <x:c r="D281" s="32"/>
      <x:c r="G281" s="74"/>
      <x:c r="H281" s="74"/>
      <x:c r="I281" s="74"/>
      <x:c r="J281" s="74"/>
      <x:c r="K281" s="74"/>
      <x:c r="L281" s="91"/>
      <x:c r="M281" s="91"/>
      <x:c r="N281" s="91"/>
      <x:c r="O281" s="91"/>
      <x:c r="P281" s="91"/>
      <x:c r="Q281" s="85"/>
      <x:c r="S281" s="86"/>
      <x:c r="T281" s="32"/>
    </x:row>
    <x:row r="282">
      <x:c r="A282" s="87"/>
      <x:c r="B282" s="88"/>
      <x:c r="D282" s="32"/>
      <x:c r="G282" s="74"/>
      <x:c r="H282" s="74"/>
      <x:c r="I282" s="74"/>
      <x:c r="J282" s="74"/>
      <x:c r="K282" s="74"/>
      <x:c r="L282" s="91"/>
      <x:c r="M282" s="91"/>
      <x:c r="N282" s="91"/>
      <x:c r="O282" s="91"/>
      <x:c r="P282" s="91"/>
      <x:c r="Q282" s="85"/>
      <x:c r="S282" s="86"/>
      <x:c r="T282" s="32"/>
    </x:row>
    <x:row r="283">
      <x:c r="A283" s="87"/>
      <x:c r="B283" s="88"/>
      <x:c r="D283" s="32"/>
      <x:c r="G283" s="74"/>
      <x:c r="H283" s="74"/>
      <x:c r="I283" s="74"/>
      <x:c r="J283" s="74"/>
      <x:c r="K283" s="74"/>
      <x:c r="L283" s="91"/>
      <x:c r="M283" s="91"/>
      <x:c r="N283" s="91"/>
      <x:c r="O283" s="91"/>
      <x:c r="P283" s="91"/>
      <x:c r="Q283" s="85"/>
      <x:c r="S283" s="86"/>
      <x:c r="T283" s="32"/>
    </x:row>
    <x:row r="284">
      <x:c r="A284" s="87"/>
      <x:c r="B284" s="88"/>
      <x:c r="D284" s="32"/>
      <x:c r="G284" s="74"/>
      <x:c r="H284" s="74"/>
      <x:c r="I284" s="74"/>
      <x:c r="J284" s="74"/>
      <x:c r="K284" s="74"/>
      <x:c r="L284" s="91"/>
      <x:c r="M284" s="91"/>
      <x:c r="N284" s="91"/>
      <x:c r="O284" s="91"/>
      <x:c r="P284" s="91"/>
      <x:c r="Q284" s="85"/>
      <x:c r="S284" s="86"/>
      <x:c r="T284" s="32"/>
    </x:row>
    <x:row r="285">
      <x:c r="A285" s="87"/>
      <x:c r="B285" s="88"/>
      <x:c r="D285" s="32"/>
      <x:c r="G285" s="74"/>
      <x:c r="H285" s="74"/>
      <x:c r="I285" s="74"/>
      <x:c r="J285" s="74"/>
      <x:c r="K285" s="74"/>
      <x:c r="L285" s="91"/>
      <x:c r="M285" s="91"/>
      <x:c r="N285" s="91"/>
      <x:c r="O285" s="91"/>
      <x:c r="P285" s="91"/>
      <x:c r="Q285" s="85"/>
      <x:c r="S285" s="86"/>
      <x:c r="T285" s="32"/>
    </x:row>
    <x:row r="286">
      <x:c r="A286" s="87"/>
      <x:c r="B286" s="88"/>
      <x:c r="D286" s="32"/>
      <x:c r="G286" s="74"/>
      <x:c r="H286" s="74"/>
      <x:c r="I286" s="74"/>
      <x:c r="J286" s="74"/>
      <x:c r="K286" s="74"/>
      <x:c r="L286" s="91"/>
      <x:c r="M286" s="91"/>
      <x:c r="N286" s="91"/>
      <x:c r="O286" s="91"/>
      <x:c r="P286" s="91"/>
      <x:c r="Q286" s="85"/>
      <x:c r="S286" s="86"/>
      <x:c r="T286" s="32"/>
    </x:row>
    <x:row r="287">
      <x:c r="A287" s="87"/>
      <x:c r="B287" s="88"/>
      <x:c r="D287" s="32"/>
      <x:c r="G287" s="74"/>
      <x:c r="H287" s="74"/>
      <x:c r="I287" s="74"/>
      <x:c r="J287" s="74"/>
      <x:c r="K287" s="74"/>
      <x:c r="L287" s="91"/>
      <x:c r="M287" s="91"/>
      <x:c r="N287" s="91"/>
      <x:c r="O287" s="91"/>
      <x:c r="P287" s="91"/>
      <x:c r="Q287" s="85"/>
      <x:c r="S287" s="86"/>
      <x:c r="T287" s="32"/>
    </x:row>
    <x:row r="288">
      <x:c r="A288" s="87"/>
      <x:c r="B288" s="88"/>
      <x:c r="D288" s="32"/>
      <x:c r="G288" s="74"/>
      <x:c r="H288" s="74"/>
      <x:c r="I288" s="74"/>
      <x:c r="J288" s="74"/>
      <x:c r="K288" s="74"/>
      <x:c r="L288" s="91"/>
      <x:c r="M288" s="91"/>
      <x:c r="N288" s="91"/>
      <x:c r="O288" s="91"/>
      <x:c r="P288" s="91"/>
      <x:c r="Q288" s="85"/>
      <x:c r="S288" s="86"/>
      <x:c r="T288" s="32"/>
    </x:row>
    <x:row r="289">
      <x:c r="A289" s="87"/>
      <x:c r="B289" s="88"/>
      <x:c r="D289" s="32"/>
      <x:c r="G289" s="74"/>
      <x:c r="H289" s="74"/>
      <x:c r="I289" s="74"/>
      <x:c r="J289" s="74"/>
      <x:c r="K289" s="74"/>
      <x:c r="L289" s="91"/>
      <x:c r="M289" s="91"/>
      <x:c r="N289" s="91"/>
      <x:c r="O289" s="91"/>
      <x:c r="P289" s="91"/>
      <x:c r="Q289" s="85"/>
      <x:c r="S289" s="86"/>
      <x:c r="T289" s="32"/>
    </x:row>
    <x:row r="290">
      <x:c r="A290" s="87"/>
      <x:c r="B290" s="88"/>
      <x:c r="D290" s="32"/>
      <x:c r="G290" s="74"/>
      <x:c r="H290" s="74"/>
      <x:c r="I290" s="74"/>
      <x:c r="J290" s="74"/>
      <x:c r="K290" s="74"/>
      <x:c r="L290" s="91"/>
      <x:c r="M290" s="91"/>
      <x:c r="N290" s="91"/>
      <x:c r="O290" s="91"/>
      <x:c r="P290" s="91"/>
      <x:c r="Q290" s="85"/>
      <x:c r="S290" s="86"/>
      <x:c r="T290" s="32"/>
    </x:row>
    <x:row r="291">
      <x:c r="A291" s="87"/>
      <x:c r="B291" s="88"/>
      <x:c r="D291" s="32"/>
      <x:c r="G291" s="74"/>
      <x:c r="H291" s="74"/>
      <x:c r="I291" s="74"/>
      <x:c r="J291" s="74"/>
      <x:c r="K291" s="74"/>
      <x:c r="L291" s="91"/>
      <x:c r="M291" s="91"/>
      <x:c r="N291" s="91"/>
      <x:c r="O291" s="91"/>
      <x:c r="P291" s="91"/>
      <x:c r="Q291" s="85"/>
      <x:c r="S291" s="86"/>
      <x:c r="T291" s="32"/>
    </x:row>
    <x:row r="292">
      <x:c r="A292" s="87"/>
      <x:c r="B292" s="88"/>
      <x:c r="D292" s="32"/>
      <x:c r="G292" s="74"/>
      <x:c r="H292" s="74"/>
      <x:c r="I292" s="74"/>
      <x:c r="J292" s="74"/>
      <x:c r="K292" s="74"/>
      <x:c r="L292" s="91"/>
      <x:c r="M292" s="91"/>
      <x:c r="N292" s="91"/>
      <x:c r="O292" s="91"/>
      <x:c r="P292" s="91"/>
      <x:c r="Q292" s="85"/>
      <x:c r="S292" s="86"/>
      <x:c r="T292" s="32"/>
    </x:row>
    <x:row r="293">
      <x:c r="A293" s="87"/>
      <x:c r="B293" s="88"/>
      <x:c r="D293" s="32"/>
      <x:c r="G293" s="74"/>
      <x:c r="H293" s="74"/>
      <x:c r="I293" s="74"/>
      <x:c r="J293" s="74"/>
      <x:c r="K293" s="74"/>
      <x:c r="L293" s="91"/>
      <x:c r="M293" s="91"/>
      <x:c r="N293" s="91"/>
      <x:c r="O293" s="91"/>
      <x:c r="P293" s="91"/>
      <x:c r="Q293" s="85"/>
      <x:c r="S293" s="86"/>
      <x:c r="T293" s="32"/>
    </x:row>
    <x:row r="294">
      <x:c r="A294" s="87"/>
      <x:c r="B294" s="88"/>
      <x:c r="D294" s="32"/>
      <x:c r="G294" s="74"/>
      <x:c r="H294" s="74"/>
      <x:c r="I294" s="74"/>
      <x:c r="J294" s="74"/>
      <x:c r="K294" s="74"/>
      <x:c r="L294" s="91"/>
      <x:c r="M294" s="91"/>
      <x:c r="N294" s="91"/>
      <x:c r="O294" s="91"/>
      <x:c r="P294" s="91"/>
      <x:c r="Q294" s="85"/>
      <x:c r="S294" s="86"/>
      <x:c r="T294" s="32"/>
    </x:row>
    <x:row r="295">
      <x:c r="A295" s="87"/>
      <x:c r="B295" s="88"/>
      <x:c r="D295" s="32"/>
      <x:c r="G295" s="74"/>
      <x:c r="H295" s="74"/>
      <x:c r="I295" s="74"/>
      <x:c r="J295" s="74"/>
      <x:c r="K295" s="74"/>
      <x:c r="L295" s="91"/>
      <x:c r="M295" s="91"/>
      <x:c r="N295" s="91"/>
      <x:c r="O295" s="91"/>
      <x:c r="P295" s="91"/>
      <x:c r="Q295" s="85"/>
      <x:c r="S295" s="86"/>
      <x:c r="T295" s="32"/>
    </x:row>
    <x:row r="296">
      <x:c r="A296" s="87"/>
      <x:c r="B296" s="88"/>
      <x:c r="D296" s="32"/>
      <x:c r="G296" s="74"/>
      <x:c r="H296" s="74"/>
      <x:c r="I296" s="74"/>
      <x:c r="J296" s="74"/>
      <x:c r="K296" s="74"/>
      <x:c r="L296" s="91"/>
      <x:c r="M296" s="91"/>
      <x:c r="N296" s="91"/>
      <x:c r="O296" s="91"/>
      <x:c r="P296" s="91"/>
      <x:c r="Q296" s="85"/>
      <x:c r="S296" s="86"/>
      <x:c r="T296" s="32"/>
    </x:row>
    <x:row r="297">
      <x:c r="A297" s="87"/>
      <x:c r="B297" s="88"/>
      <x:c r="D297" s="32"/>
      <x:c r="G297" s="74"/>
      <x:c r="H297" s="74"/>
      <x:c r="I297" s="74"/>
      <x:c r="J297" s="74"/>
      <x:c r="K297" s="74"/>
      <x:c r="L297" s="91"/>
      <x:c r="M297" s="91"/>
      <x:c r="N297" s="91"/>
      <x:c r="O297" s="91"/>
      <x:c r="P297" s="91"/>
      <x:c r="Q297" s="85"/>
      <x:c r="S297" s="86"/>
      <x:c r="T297" s="32"/>
    </x:row>
    <x:row r="298">
      <x:c r="A298" s="87"/>
      <x:c r="B298" s="88"/>
      <x:c r="D298" s="32"/>
      <x:c r="G298" s="74"/>
      <x:c r="H298" s="74"/>
      <x:c r="I298" s="74"/>
      <x:c r="J298" s="74"/>
      <x:c r="K298" s="74"/>
      <x:c r="L298" s="91"/>
      <x:c r="M298" s="91"/>
      <x:c r="N298" s="91"/>
      <x:c r="O298" s="91"/>
      <x:c r="P298" s="91"/>
      <x:c r="Q298" s="85"/>
      <x:c r="S298" s="86"/>
      <x:c r="T298" s="32"/>
    </x:row>
    <x:row r="299">
      <x:c r="A299" s="87"/>
      <x:c r="B299" s="88"/>
      <x:c r="D299" s="32"/>
      <x:c r="G299" s="74"/>
      <x:c r="H299" s="74"/>
      <x:c r="I299" s="74"/>
      <x:c r="J299" s="74"/>
      <x:c r="K299" s="74"/>
      <x:c r="L299" s="91"/>
      <x:c r="M299" s="91"/>
      <x:c r="N299" s="91"/>
      <x:c r="O299" s="91"/>
      <x:c r="P299" s="91"/>
      <x:c r="Q299" s="85"/>
      <x:c r="S299" s="86"/>
      <x:c r="T299" s="32"/>
    </x:row>
    <x:row r="300">
      <x:c r="A300" s="87"/>
      <x:c r="B300" s="88"/>
      <x:c r="D300" s="32"/>
      <x:c r="G300" s="74"/>
      <x:c r="H300" s="74"/>
      <x:c r="I300" s="74"/>
      <x:c r="J300" s="74"/>
      <x:c r="K300" s="74"/>
      <x:c r="L300" s="91"/>
      <x:c r="M300" s="91"/>
      <x:c r="N300" s="91"/>
      <x:c r="O300" s="91"/>
      <x:c r="P300" s="91"/>
      <x:c r="Q300" s="85"/>
      <x:c r="S300" s="86"/>
      <x:c r="T300" s="32"/>
    </x:row>
    <x:row r="301">
      <x:c r="A301" s="87"/>
      <x:c r="B301" s="88"/>
      <x:c r="D301" s="32"/>
      <x:c r="G301" s="74"/>
      <x:c r="H301" s="74"/>
      <x:c r="I301" s="74"/>
      <x:c r="J301" s="74"/>
      <x:c r="K301" s="74"/>
      <x:c r="L301" s="91"/>
      <x:c r="M301" s="91"/>
      <x:c r="N301" s="91"/>
      <x:c r="O301" s="91"/>
      <x:c r="P301" s="91"/>
      <x:c r="Q301" s="85"/>
      <x:c r="S301" s="86"/>
      <x:c r="T301" s="32"/>
    </x:row>
    <x:row r="302">
      <x:c r="A302" s="87"/>
      <x:c r="B302" s="88"/>
      <x:c r="D302" s="32"/>
      <x:c r="G302" s="74"/>
      <x:c r="H302" s="74"/>
      <x:c r="I302" s="74"/>
      <x:c r="J302" s="74"/>
      <x:c r="K302" s="74"/>
      <x:c r="L302" s="91"/>
      <x:c r="M302" s="91"/>
      <x:c r="N302" s="91"/>
      <x:c r="O302" s="91"/>
      <x:c r="P302" s="91"/>
      <x:c r="Q302" s="85"/>
      <x:c r="S302" s="86"/>
      <x:c r="T302" s="32"/>
    </x:row>
    <x:row r="303">
      <x:c r="A303" s="87"/>
      <x:c r="B303" s="88"/>
      <x:c r="D303" s="32"/>
      <x:c r="G303" s="74"/>
      <x:c r="H303" s="74"/>
      <x:c r="I303" s="74"/>
      <x:c r="J303" s="74"/>
      <x:c r="K303" s="74"/>
      <x:c r="L303" s="91"/>
      <x:c r="M303" s="91"/>
      <x:c r="N303" s="91"/>
      <x:c r="O303" s="91"/>
      <x:c r="P303" s="91"/>
      <x:c r="Q303" s="85"/>
      <x:c r="S303" s="86"/>
      <x:c r="T303" s="32"/>
    </x:row>
    <x:row r="304">
      <x:c r="A304" s="87"/>
      <x:c r="B304" s="88"/>
      <x:c r="D304" s="32"/>
      <x:c r="G304" s="74"/>
      <x:c r="H304" s="74"/>
      <x:c r="I304" s="74"/>
      <x:c r="J304" s="74"/>
      <x:c r="K304" s="74"/>
      <x:c r="L304" s="91"/>
      <x:c r="M304" s="91"/>
      <x:c r="N304" s="91"/>
      <x:c r="O304" s="91"/>
      <x:c r="P304" s="91"/>
      <x:c r="Q304" s="85"/>
      <x:c r="S304" s="86"/>
      <x:c r="T304" s="32"/>
    </x:row>
    <x:row r="305">
      <x:c r="A305" s="87"/>
      <x:c r="B305" s="88"/>
      <x:c r="D305" s="32"/>
      <x:c r="G305" s="74"/>
      <x:c r="H305" s="74"/>
      <x:c r="I305" s="74"/>
      <x:c r="J305" s="74"/>
      <x:c r="K305" s="74"/>
      <x:c r="L305" s="91"/>
      <x:c r="M305" s="91"/>
      <x:c r="N305" s="91"/>
      <x:c r="O305" s="91"/>
      <x:c r="P305" s="91"/>
      <x:c r="Q305" s="85"/>
      <x:c r="S305" s="86"/>
      <x:c r="T305" s="32"/>
    </x:row>
    <x:row r="306">
      <x:c r="A306" s="87"/>
      <x:c r="B306" s="88"/>
      <x:c r="D306" s="32"/>
      <x:c r="G306" s="74"/>
      <x:c r="H306" s="74"/>
      <x:c r="I306" s="74"/>
      <x:c r="J306" s="74"/>
      <x:c r="K306" s="74"/>
      <x:c r="L306" s="91"/>
      <x:c r="M306" s="91"/>
      <x:c r="N306" s="91"/>
      <x:c r="O306" s="91"/>
      <x:c r="P306" s="91"/>
      <x:c r="Q306" s="85"/>
      <x:c r="S306" s="86"/>
      <x:c r="T306" s="32"/>
    </x:row>
    <x:row r="307">
      <x:c r="A307" s="87"/>
      <x:c r="B307" s="88"/>
      <x:c r="D307" s="32"/>
      <x:c r="G307" s="74"/>
      <x:c r="H307" s="74"/>
      <x:c r="I307" s="74"/>
      <x:c r="J307" s="74"/>
      <x:c r="K307" s="74"/>
      <x:c r="L307" s="91"/>
      <x:c r="M307" s="91"/>
      <x:c r="N307" s="91"/>
      <x:c r="O307" s="91"/>
      <x:c r="P307" s="91"/>
      <x:c r="Q307" s="85"/>
      <x:c r="S307" s="86"/>
      <x:c r="T307" s="32"/>
    </x:row>
    <x:row r="308">
      <x:c r="A308" s="87"/>
      <x:c r="B308" s="88"/>
      <x:c r="D308" s="32"/>
      <x:c r="G308" s="74"/>
      <x:c r="H308" s="74"/>
      <x:c r="I308" s="74"/>
      <x:c r="J308" s="74"/>
      <x:c r="K308" s="74"/>
      <x:c r="L308" s="91"/>
      <x:c r="M308" s="91"/>
      <x:c r="N308" s="91"/>
      <x:c r="O308" s="91"/>
      <x:c r="P308" s="91"/>
      <x:c r="Q308" s="85"/>
      <x:c r="S308" s="86"/>
      <x:c r="T308" s="32"/>
    </x:row>
    <x:row r="309">
      <x:c r="A309" s="87"/>
      <x:c r="B309" s="88"/>
      <x:c r="D309" s="32"/>
      <x:c r="G309" s="74"/>
      <x:c r="H309" s="74"/>
      <x:c r="I309" s="74"/>
      <x:c r="J309" s="74"/>
      <x:c r="K309" s="74"/>
      <x:c r="L309" s="91"/>
      <x:c r="M309" s="91"/>
      <x:c r="N309" s="91"/>
      <x:c r="O309" s="91"/>
      <x:c r="P309" s="91"/>
      <x:c r="Q309" s="85"/>
      <x:c r="S309" s="86"/>
      <x:c r="T309" s="32"/>
    </x:row>
    <x:row r="310">
      <x:c r="A310" s="87"/>
      <x:c r="B310" s="88"/>
      <x:c r="D310" s="32"/>
      <x:c r="G310" s="74"/>
      <x:c r="H310" s="74"/>
      <x:c r="I310" s="74"/>
      <x:c r="J310" s="74"/>
      <x:c r="K310" s="74"/>
      <x:c r="L310" s="91"/>
      <x:c r="M310" s="91"/>
      <x:c r="N310" s="91"/>
      <x:c r="O310" s="91"/>
      <x:c r="P310" s="91"/>
      <x:c r="Q310" s="85"/>
      <x:c r="S310" s="86"/>
      <x:c r="T310" s="32"/>
    </x:row>
    <x:row r="311">
      <x:c r="A311" s="87"/>
      <x:c r="B311" s="88"/>
      <x:c r="D311" s="32"/>
      <x:c r="G311" s="74"/>
      <x:c r="H311" s="74"/>
      <x:c r="I311" s="74"/>
      <x:c r="J311" s="74"/>
      <x:c r="K311" s="74"/>
      <x:c r="L311" s="91"/>
      <x:c r="M311" s="91"/>
      <x:c r="N311" s="91"/>
      <x:c r="O311" s="91"/>
      <x:c r="P311" s="91"/>
      <x:c r="Q311" s="85"/>
      <x:c r="S311" s="86"/>
      <x:c r="T311" s="32"/>
    </x:row>
    <x:row r="312">
      <x:c r="A312" s="87"/>
      <x:c r="B312" s="88"/>
      <x:c r="D312" s="32"/>
      <x:c r="G312" s="74"/>
      <x:c r="H312" s="74"/>
      <x:c r="I312" s="74"/>
      <x:c r="J312" s="74"/>
      <x:c r="K312" s="74"/>
      <x:c r="L312" s="91"/>
      <x:c r="M312" s="91"/>
      <x:c r="N312" s="91"/>
      <x:c r="O312" s="91"/>
      <x:c r="P312" s="91"/>
      <x:c r="Q312" s="85"/>
      <x:c r="S312" s="86"/>
      <x:c r="T312" s="32"/>
    </x:row>
    <x:row r="313">
      <x:c r="A313" s="87"/>
      <x:c r="B313" s="88"/>
      <x:c r="D313" s="32"/>
      <x:c r="G313" s="74"/>
      <x:c r="H313" s="74"/>
      <x:c r="I313" s="74"/>
      <x:c r="J313" s="74"/>
      <x:c r="K313" s="74"/>
      <x:c r="L313" s="91"/>
      <x:c r="M313" s="91"/>
      <x:c r="N313" s="91"/>
      <x:c r="O313" s="91"/>
      <x:c r="P313" s="91"/>
      <x:c r="Q313" s="85"/>
      <x:c r="S313" s="86"/>
      <x:c r="T313" s="32"/>
    </x:row>
    <x:row r="314">
      <x:c r="A314" s="87"/>
      <x:c r="B314" s="88"/>
      <x:c r="D314" s="32"/>
      <x:c r="G314" s="74"/>
      <x:c r="H314" s="74"/>
      <x:c r="I314" s="74"/>
      <x:c r="J314" s="74"/>
      <x:c r="K314" s="74"/>
      <x:c r="L314" s="91"/>
      <x:c r="M314" s="91"/>
      <x:c r="N314" s="91"/>
      <x:c r="O314" s="91"/>
      <x:c r="P314" s="91"/>
      <x:c r="Q314" s="85"/>
      <x:c r="S314" s="86"/>
      <x:c r="T314" s="32"/>
    </x:row>
    <x:row r="315">
      <x:c r="A315" s="87"/>
      <x:c r="B315" s="88"/>
      <x:c r="D315" s="32"/>
      <x:c r="G315" s="74"/>
      <x:c r="H315" s="74"/>
      <x:c r="I315" s="74"/>
      <x:c r="J315" s="74"/>
      <x:c r="K315" s="74"/>
      <x:c r="L315" s="91"/>
      <x:c r="M315" s="91"/>
      <x:c r="N315" s="91"/>
      <x:c r="O315" s="91"/>
      <x:c r="P315" s="91"/>
      <x:c r="Q315" s="85"/>
      <x:c r="S315" s="86"/>
      <x:c r="T315" s="32"/>
    </x:row>
    <x:row r="316">
      <x:c r="A316" s="87"/>
      <x:c r="B316" s="88"/>
      <x:c r="D316" s="32"/>
      <x:c r="G316" s="74"/>
      <x:c r="H316" s="74"/>
      <x:c r="I316" s="74"/>
      <x:c r="J316" s="74"/>
      <x:c r="K316" s="74"/>
      <x:c r="L316" s="91"/>
      <x:c r="M316" s="91"/>
      <x:c r="N316" s="91"/>
      <x:c r="O316" s="91"/>
      <x:c r="P316" s="91"/>
      <x:c r="Q316" s="85"/>
      <x:c r="S316" s="86"/>
      <x:c r="T316" s="32"/>
    </x:row>
    <x:row r="317">
      <x:c r="A317" s="87"/>
      <x:c r="B317" s="88"/>
      <x:c r="D317" s="32"/>
      <x:c r="G317" s="74"/>
      <x:c r="H317" s="74"/>
      <x:c r="I317" s="74"/>
      <x:c r="J317" s="74"/>
      <x:c r="K317" s="74"/>
      <x:c r="L317" s="91"/>
      <x:c r="M317" s="91"/>
      <x:c r="N317" s="91"/>
      <x:c r="O317" s="91"/>
      <x:c r="P317" s="91"/>
      <x:c r="Q317" s="85"/>
      <x:c r="S317" s="86"/>
      <x:c r="T317" s="32"/>
    </x:row>
    <x:row r="318">
      <x:c r="A318" s="87"/>
      <x:c r="B318" s="88"/>
      <x:c r="D318" s="32"/>
      <x:c r="G318" s="74"/>
      <x:c r="H318" s="74"/>
      <x:c r="I318" s="74"/>
      <x:c r="J318" s="74"/>
      <x:c r="K318" s="74"/>
      <x:c r="L318" s="91"/>
      <x:c r="M318" s="91"/>
      <x:c r="N318" s="91"/>
      <x:c r="O318" s="91"/>
      <x:c r="P318" s="91"/>
      <x:c r="Q318" s="85"/>
      <x:c r="S318" s="86"/>
      <x:c r="T318" s="32"/>
    </x:row>
    <x:row r="319">
      <x:c r="A319" s="87"/>
      <x:c r="B319" s="88"/>
      <x:c r="D319" s="32"/>
      <x:c r="G319" s="74"/>
      <x:c r="H319" s="74"/>
      <x:c r="I319" s="74"/>
      <x:c r="J319" s="74"/>
      <x:c r="K319" s="74"/>
      <x:c r="L319" s="91"/>
      <x:c r="M319" s="91"/>
      <x:c r="N319" s="91"/>
      <x:c r="O319" s="91"/>
      <x:c r="P319" s="91"/>
      <x:c r="Q319" s="85"/>
      <x:c r="S319" s="86"/>
      <x:c r="T319" s="32"/>
    </x:row>
    <x:row r="320">
      <x:c r="A320" s="87"/>
      <x:c r="B320" s="88"/>
      <x:c r="D320" s="32"/>
      <x:c r="G320" s="74"/>
      <x:c r="H320" s="74"/>
      <x:c r="I320" s="74"/>
      <x:c r="J320" s="74"/>
      <x:c r="K320" s="74"/>
      <x:c r="L320" s="91"/>
      <x:c r="M320" s="91"/>
      <x:c r="N320" s="91"/>
      <x:c r="O320" s="91"/>
      <x:c r="P320" s="91"/>
      <x:c r="Q320" s="85"/>
      <x:c r="S320" s="86"/>
      <x:c r="T320" s="32"/>
    </x:row>
    <x:row r="321">
      <x:c r="A321" s="87"/>
      <x:c r="B321" s="88"/>
      <x:c r="D321" s="32"/>
      <x:c r="G321" s="74"/>
      <x:c r="H321" s="74"/>
      <x:c r="I321" s="74"/>
      <x:c r="J321" s="74"/>
      <x:c r="K321" s="74"/>
      <x:c r="L321" s="91"/>
      <x:c r="M321" s="91"/>
      <x:c r="N321" s="91"/>
      <x:c r="O321" s="91"/>
      <x:c r="P321" s="91"/>
      <x:c r="Q321" s="85"/>
      <x:c r="S321" s="86"/>
      <x:c r="T321" s="32"/>
    </x:row>
    <x:row r="322">
      <x:c r="A322" s="87"/>
      <x:c r="B322" s="88"/>
      <x:c r="D322" s="32"/>
      <x:c r="G322" s="74"/>
      <x:c r="H322" s="74"/>
      <x:c r="I322" s="74"/>
      <x:c r="J322" s="74"/>
      <x:c r="K322" s="74"/>
      <x:c r="L322" s="91"/>
      <x:c r="M322" s="91"/>
      <x:c r="N322" s="91"/>
      <x:c r="O322" s="91"/>
      <x:c r="P322" s="91"/>
      <x:c r="Q322" s="85"/>
      <x:c r="S322" s="86"/>
      <x:c r="T322" s="32"/>
    </x:row>
    <x:row r="323">
      <x:c r="A323" s="87"/>
      <x:c r="B323" s="88"/>
      <x:c r="D323" s="32"/>
      <x:c r="G323" s="74"/>
      <x:c r="H323" s="74"/>
      <x:c r="I323" s="74"/>
      <x:c r="J323" s="74"/>
      <x:c r="K323" s="74"/>
      <x:c r="L323" s="91"/>
      <x:c r="M323" s="91"/>
      <x:c r="N323" s="91"/>
      <x:c r="O323" s="91"/>
      <x:c r="P323" s="91"/>
      <x:c r="Q323" s="85"/>
      <x:c r="S323" s="86"/>
      <x:c r="T323" s="32"/>
    </x:row>
    <x:row r="324">
      <x:c r="A324" s="87"/>
      <x:c r="B324" s="88"/>
      <x:c r="D324" s="32"/>
      <x:c r="G324" s="74"/>
      <x:c r="H324" s="74"/>
      <x:c r="I324" s="74"/>
      <x:c r="J324" s="74"/>
      <x:c r="K324" s="74"/>
      <x:c r="L324" s="91"/>
      <x:c r="M324" s="91"/>
      <x:c r="N324" s="91"/>
      <x:c r="O324" s="91"/>
      <x:c r="P324" s="91"/>
      <x:c r="Q324" s="85"/>
      <x:c r="S324" s="86"/>
      <x:c r="T324" s="32"/>
    </x:row>
    <x:row r="325">
      <x:c r="A325" s="87"/>
      <x:c r="B325" s="88"/>
      <x:c r="D325" s="32"/>
      <x:c r="G325" s="74"/>
      <x:c r="H325" s="74"/>
      <x:c r="I325" s="74"/>
      <x:c r="J325" s="74"/>
      <x:c r="K325" s="74"/>
      <x:c r="L325" s="91"/>
      <x:c r="M325" s="91"/>
      <x:c r="N325" s="91"/>
      <x:c r="O325" s="91"/>
      <x:c r="P325" s="91"/>
      <x:c r="Q325" s="85"/>
      <x:c r="S325" s="86"/>
      <x:c r="T325" s="32"/>
    </x:row>
    <x:row r="326">
      <x:c r="A326" s="87"/>
      <x:c r="B326" s="88"/>
      <x:c r="D326" s="32"/>
      <x:c r="G326" s="74"/>
      <x:c r="H326" s="74"/>
      <x:c r="I326" s="74"/>
      <x:c r="J326" s="74"/>
      <x:c r="K326" s="74"/>
      <x:c r="L326" s="91"/>
      <x:c r="M326" s="91"/>
      <x:c r="N326" s="91"/>
      <x:c r="O326" s="91"/>
      <x:c r="P326" s="91"/>
      <x:c r="Q326" s="85"/>
      <x:c r="S326" s="86"/>
      <x:c r="T326" s="32"/>
    </x:row>
    <x:row r="327">
      <x:c r="A327" s="87"/>
      <x:c r="B327" s="88"/>
      <x:c r="D327" s="32"/>
      <x:c r="G327" s="74"/>
      <x:c r="H327" s="74"/>
      <x:c r="I327" s="74"/>
      <x:c r="J327" s="74"/>
      <x:c r="K327" s="74"/>
      <x:c r="L327" s="91"/>
      <x:c r="M327" s="91"/>
      <x:c r="N327" s="91"/>
      <x:c r="O327" s="91"/>
      <x:c r="P327" s="91"/>
      <x:c r="Q327" s="85"/>
      <x:c r="S327" s="86"/>
      <x:c r="T327" s="32"/>
    </x:row>
    <x:row r="328">
      <x:c r="A328" s="87"/>
      <x:c r="B328" s="88"/>
      <x:c r="D328" s="32"/>
      <x:c r="G328" s="74"/>
      <x:c r="H328" s="74"/>
      <x:c r="I328" s="74"/>
      <x:c r="J328" s="74"/>
      <x:c r="K328" s="74"/>
      <x:c r="L328" s="91"/>
      <x:c r="M328" s="91"/>
      <x:c r="N328" s="91"/>
      <x:c r="O328" s="91"/>
      <x:c r="P328" s="91"/>
      <x:c r="Q328" s="85"/>
      <x:c r="S328" s="86"/>
      <x:c r="T328" s="32"/>
    </x:row>
    <x:row r="329">
      <x:c r="A329" s="87"/>
      <x:c r="B329" s="88"/>
      <x:c r="D329" s="32"/>
      <x:c r="G329" s="74"/>
      <x:c r="H329" s="74"/>
      <x:c r="I329" s="74"/>
      <x:c r="J329" s="74"/>
      <x:c r="K329" s="74"/>
      <x:c r="L329" s="91"/>
      <x:c r="M329" s="91"/>
      <x:c r="N329" s="91"/>
      <x:c r="O329" s="91"/>
      <x:c r="P329" s="91"/>
      <x:c r="Q329" s="85"/>
      <x:c r="S329" s="86"/>
      <x:c r="T329" s="32"/>
    </x:row>
    <x:row r="330">
      <x:c r="A330" s="87"/>
      <x:c r="B330" s="88"/>
      <x:c r="D330" s="32"/>
      <x:c r="G330" s="74"/>
      <x:c r="H330" s="74"/>
      <x:c r="I330" s="74"/>
      <x:c r="J330" s="74"/>
      <x:c r="K330" s="74"/>
      <x:c r="L330" s="91"/>
      <x:c r="M330" s="91"/>
      <x:c r="N330" s="91"/>
      <x:c r="O330" s="91"/>
      <x:c r="P330" s="91"/>
      <x:c r="Q330" s="85"/>
      <x:c r="S330" s="86"/>
      <x:c r="T330" s="32"/>
    </x:row>
    <x:row r="331">
      <x:c r="A331" s="87"/>
      <x:c r="B331" s="88"/>
      <x:c r="D331" s="32"/>
      <x:c r="G331" s="74"/>
      <x:c r="H331" s="74"/>
      <x:c r="I331" s="74"/>
      <x:c r="J331" s="74"/>
      <x:c r="K331" s="74"/>
      <x:c r="L331" s="91"/>
      <x:c r="M331" s="91"/>
      <x:c r="N331" s="91"/>
      <x:c r="O331" s="91"/>
      <x:c r="P331" s="91"/>
      <x:c r="Q331" s="85"/>
      <x:c r="S331" s="86"/>
      <x:c r="T331" s="32"/>
    </x:row>
    <x:row r="332">
      <x:c r="A332" s="87"/>
      <x:c r="B332" s="88"/>
      <x:c r="D332" s="32"/>
      <x:c r="G332" s="74"/>
      <x:c r="H332" s="74"/>
      <x:c r="I332" s="74"/>
      <x:c r="J332" s="74"/>
      <x:c r="K332" s="74"/>
      <x:c r="L332" s="91"/>
      <x:c r="M332" s="91"/>
      <x:c r="N332" s="91"/>
      <x:c r="O332" s="91"/>
      <x:c r="P332" s="91"/>
      <x:c r="Q332" s="85"/>
      <x:c r="S332" s="86"/>
      <x:c r="T332" s="32"/>
    </x:row>
    <x:row r="333">
      <x:c r="A333" s="87"/>
      <x:c r="B333" s="88"/>
      <x:c r="D333" s="32"/>
      <x:c r="G333" s="74"/>
      <x:c r="H333" s="74"/>
      <x:c r="I333" s="74"/>
      <x:c r="J333" s="74"/>
      <x:c r="K333" s="74"/>
      <x:c r="L333" s="91"/>
      <x:c r="M333" s="91"/>
      <x:c r="N333" s="91"/>
      <x:c r="O333" s="91"/>
      <x:c r="P333" s="91"/>
      <x:c r="Q333" s="85"/>
      <x:c r="S333" s="86"/>
      <x:c r="T333" s="32"/>
    </x:row>
    <x:row r="334">
      <x:c r="A334" s="87"/>
      <x:c r="B334" s="88"/>
      <x:c r="D334" s="32"/>
      <x:c r="G334" s="74"/>
      <x:c r="H334" s="74"/>
      <x:c r="I334" s="74"/>
      <x:c r="J334" s="74"/>
      <x:c r="K334" s="74"/>
      <x:c r="L334" s="91"/>
      <x:c r="M334" s="91"/>
      <x:c r="N334" s="91"/>
      <x:c r="O334" s="91"/>
      <x:c r="P334" s="91"/>
      <x:c r="Q334" s="85"/>
      <x:c r="S334" s="86"/>
      <x:c r="T334" s="32"/>
    </x:row>
    <x:row r="335">
      <x:c r="A335" s="87"/>
      <x:c r="B335" s="88"/>
      <x:c r="D335" s="32"/>
      <x:c r="G335" s="74"/>
      <x:c r="H335" s="74"/>
      <x:c r="I335" s="74"/>
      <x:c r="J335" s="74"/>
      <x:c r="K335" s="74"/>
      <x:c r="L335" s="91"/>
      <x:c r="M335" s="91"/>
      <x:c r="N335" s="91"/>
      <x:c r="O335" s="91"/>
      <x:c r="P335" s="91"/>
      <x:c r="Q335" s="85"/>
      <x:c r="S335" s="86"/>
      <x:c r="T335" s="32"/>
    </x:row>
    <x:row r="336">
      <x:c r="A336" s="87"/>
      <x:c r="B336" s="88"/>
      <x:c r="D336" s="32"/>
      <x:c r="G336" s="74"/>
      <x:c r="H336" s="74"/>
      <x:c r="I336" s="74"/>
      <x:c r="J336" s="74"/>
      <x:c r="K336" s="74"/>
      <x:c r="L336" s="91"/>
      <x:c r="M336" s="91"/>
      <x:c r="N336" s="91"/>
      <x:c r="O336" s="91"/>
      <x:c r="P336" s="91"/>
      <x:c r="Q336" s="85"/>
      <x:c r="S336" s="86"/>
      <x:c r="T336" s="32"/>
    </x:row>
    <x:row r="337">
      <x:c r="A337" s="87"/>
      <x:c r="B337" s="88"/>
      <x:c r="D337" s="32"/>
      <x:c r="G337" s="74"/>
      <x:c r="H337" s="74"/>
      <x:c r="I337" s="74"/>
      <x:c r="J337" s="74"/>
      <x:c r="K337" s="74"/>
      <x:c r="L337" s="91"/>
      <x:c r="M337" s="91"/>
      <x:c r="N337" s="91"/>
      <x:c r="O337" s="91"/>
      <x:c r="P337" s="91"/>
      <x:c r="Q337" s="85"/>
      <x:c r="S337" s="86"/>
      <x:c r="T337" s="32"/>
    </x:row>
    <x:row r="338">
      <x:c r="A338" s="87"/>
      <x:c r="B338" s="88"/>
      <x:c r="D338" s="32"/>
      <x:c r="G338" s="74"/>
      <x:c r="H338" s="74"/>
      <x:c r="I338" s="74"/>
      <x:c r="J338" s="74"/>
      <x:c r="K338" s="74"/>
      <x:c r="L338" s="91"/>
      <x:c r="M338" s="91"/>
      <x:c r="N338" s="91"/>
      <x:c r="O338" s="91"/>
      <x:c r="P338" s="91"/>
      <x:c r="Q338" s="85"/>
      <x:c r="S338" s="86"/>
      <x:c r="T338" s="32"/>
    </x:row>
    <x:row r="339">
      <x:c r="A339" s="87"/>
      <x:c r="B339" s="88"/>
      <x:c r="D339" s="32"/>
      <x:c r="G339" s="74"/>
      <x:c r="H339" s="74"/>
      <x:c r="I339" s="74"/>
      <x:c r="J339" s="74"/>
      <x:c r="K339" s="74"/>
      <x:c r="L339" s="91"/>
      <x:c r="M339" s="91"/>
      <x:c r="N339" s="91"/>
      <x:c r="O339" s="91"/>
      <x:c r="P339" s="91"/>
      <x:c r="Q339" s="85"/>
      <x:c r="S339" s="86"/>
      <x:c r="T339" s="32"/>
    </x:row>
    <x:row r="340">
      <x:c r="A340" s="87"/>
      <x:c r="B340" s="88"/>
      <x:c r="D340" s="32"/>
      <x:c r="G340" s="74"/>
      <x:c r="H340" s="74"/>
      <x:c r="I340" s="74"/>
      <x:c r="J340" s="74"/>
      <x:c r="K340" s="74"/>
      <x:c r="L340" s="91"/>
      <x:c r="M340" s="91"/>
      <x:c r="N340" s="91"/>
      <x:c r="O340" s="91"/>
      <x:c r="P340" s="91"/>
      <x:c r="Q340" s="85"/>
      <x:c r="S340" s="86"/>
      <x:c r="T340" s="32"/>
    </x:row>
    <x:row r="341">
      <x:c r="A341" s="87"/>
      <x:c r="B341" s="88"/>
      <x:c r="D341" s="32"/>
      <x:c r="G341" s="74"/>
      <x:c r="H341" s="74"/>
      <x:c r="I341" s="74"/>
      <x:c r="J341" s="74"/>
      <x:c r="K341" s="74"/>
      <x:c r="L341" s="91"/>
      <x:c r="M341" s="91"/>
      <x:c r="N341" s="91"/>
      <x:c r="O341" s="91"/>
      <x:c r="P341" s="91"/>
      <x:c r="Q341" s="85"/>
      <x:c r="S341" s="86"/>
      <x:c r="T341" s="32"/>
    </x:row>
    <x:row r="342">
      <x:c r="A342" s="87"/>
      <x:c r="B342" s="88"/>
      <x:c r="D342" s="32"/>
      <x:c r="G342" s="74"/>
      <x:c r="H342" s="74"/>
      <x:c r="I342" s="74"/>
      <x:c r="J342" s="74"/>
      <x:c r="K342" s="74"/>
      <x:c r="L342" s="91"/>
      <x:c r="M342" s="91"/>
      <x:c r="N342" s="91"/>
      <x:c r="O342" s="91"/>
      <x:c r="P342" s="91"/>
      <x:c r="Q342" s="85"/>
      <x:c r="S342" s="86"/>
      <x:c r="T342" s="32"/>
    </x:row>
    <x:row r="343">
      <x:c r="A343" s="87"/>
      <x:c r="B343" s="88"/>
      <x:c r="D343" s="32"/>
      <x:c r="G343" s="74"/>
      <x:c r="H343" s="74"/>
      <x:c r="I343" s="74"/>
      <x:c r="J343" s="74"/>
      <x:c r="K343" s="74"/>
      <x:c r="L343" s="91"/>
      <x:c r="M343" s="91"/>
      <x:c r="N343" s="91"/>
      <x:c r="O343" s="91"/>
      <x:c r="P343" s="91"/>
      <x:c r="Q343" s="85"/>
      <x:c r="S343" s="86"/>
      <x:c r="T343" s="32"/>
    </x:row>
    <x:row r="344">
      <x:c r="A344" s="87"/>
      <x:c r="B344" s="88"/>
      <x:c r="D344" s="32"/>
      <x:c r="G344" s="74"/>
      <x:c r="H344" s="74"/>
      <x:c r="I344" s="74"/>
      <x:c r="J344" s="74"/>
      <x:c r="K344" s="74"/>
      <x:c r="L344" s="91"/>
      <x:c r="M344" s="91"/>
      <x:c r="N344" s="91"/>
      <x:c r="O344" s="91"/>
      <x:c r="P344" s="91"/>
      <x:c r="Q344" s="85"/>
      <x:c r="S344" s="86"/>
      <x:c r="T344" s="32"/>
    </x:row>
    <x:row r="345">
      <x:c r="A345" s="87"/>
      <x:c r="B345" s="88"/>
      <x:c r="D345" s="32"/>
      <x:c r="G345" s="74"/>
      <x:c r="H345" s="74"/>
      <x:c r="I345" s="74"/>
      <x:c r="J345" s="74"/>
      <x:c r="K345" s="74"/>
      <x:c r="L345" s="91"/>
      <x:c r="M345" s="91"/>
      <x:c r="N345" s="91"/>
      <x:c r="O345" s="91"/>
      <x:c r="P345" s="91"/>
      <x:c r="Q345" s="85"/>
      <x:c r="S345" s="86"/>
      <x:c r="T345" s="32"/>
    </x:row>
    <x:row r="346">
      <x:c r="A346" s="87"/>
      <x:c r="B346" s="88"/>
      <x:c r="D346" s="32"/>
      <x:c r="G346" s="74"/>
      <x:c r="H346" s="74"/>
      <x:c r="I346" s="74"/>
      <x:c r="J346" s="74"/>
      <x:c r="K346" s="74"/>
      <x:c r="L346" s="91"/>
      <x:c r="M346" s="91"/>
      <x:c r="N346" s="91"/>
      <x:c r="O346" s="91"/>
      <x:c r="P346" s="91"/>
      <x:c r="Q346" s="85"/>
      <x:c r="S346" s="86"/>
      <x:c r="T346" s="32"/>
    </x:row>
    <x:row r="347">
      <x:c r="A347" s="87"/>
      <x:c r="B347" s="88"/>
      <x:c r="D347" s="32"/>
      <x:c r="G347" s="74"/>
      <x:c r="H347" s="74"/>
      <x:c r="I347" s="74"/>
      <x:c r="J347" s="74"/>
      <x:c r="K347" s="74"/>
      <x:c r="L347" s="91"/>
      <x:c r="M347" s="91"/>
      <x:c r="N347" s="91"/>
      <x:c r="O347" s="91"/>
      <x:c r="P347" s="91"/>
      <x:c r="Q347" s="85"/>
      <x:c r="S347" s="86"/>
      <x:c r="T347" s="32"/>
    </x:row>
    <x:row r="348">
      <x:c r="A348" s="87"/>
      <x:c r="B348" s="88"/>
      <x:c r="D348" s="32"/>
      <x:c r="G348" s="74"/>
      <x:c r="H348" s="74"/>
      <x:c r="I348" s="74"/>
      <x:c r="J348" s="74"/>
      <x:c r="K348" s="74"/>
      <x:c r="L348" s="91"/>
      <x:c r="M348" s="91"/>
      <x:c r="N348" s="91"/>
      <x:c r="O348" s="91"/>
      <x:c r="P348" s="91"/>
      <x:c r="Q348" s="85"/>
      <x:c r="S348" s="86"/>
      <x:c r="T348" s="32"/>
    </x:row>
    <x:row r="349">
      <x:c r="A349" s="87"/>
      <x:c r="B349" s="88"/>
      <x:c r="D349" s="32"/>
      <x:c r="G349" s="74"/>
      <x:c r="H349" s="74"/>
      <x:c r="I349" s="74"/>
      <x:c r="J349" s="74"/>
      <x:c r="K349" s="74"/>
      <x:c r="L349" s="91"/>
      <x:c r="M349" s="91"/>
      <x:c r="N349" s="91"/>
      <x:c r="O349" s="91"/>
      <x:c r="P349" s="91"/>
      <x:c r="Q349" s="85"/>
      <x:c r="S349" s="86"/>
      <x:c r="T349" s="32"/>
    </x:row>
    <x:row r="350">
      <x:c r="A350" s="87"/>
      <x:c r="B350" s="88"/>
      <x:c r="D350" s="32"/>
      <x:c r="G350" s="74"/>
      <x:c r="H350" s="74"/>
      <x:c r="I350" s="74"/>
      <x:c r="J350" s="74"/>
      <x:c r="K350" s="74"/>
      <x:c r="L350" s="91"/>
      <x:c r="M350" s="91"/>
      <x:c r="N350" s="91"/>
      <x:c r="O350" s="91"/>
      <x:c r="P350" s="91"/>
      <x:c r="Q350" s="85"/>
      <x:c r="S350" s="86"/>
      <x:c r="T350" s="32"/>
    </x:row>
    <x:row r="351">
      <x:c r="A351" s="87"/>
      <x:c r="B351" s="88"/>
      <x:c r="D351" s="32"/>
      <x:c r="G351" s="74"/>
      <x:c r="H351" s="74"/>
      <x:c r="I351" s="74"/>
      <x:c r="J351" s="74"/>
      <x:c r="K351" s="74"/>
      <x:c r="L351" s="91"/>
      <x:c r="M351" s="91"/>
      <x:c r="N351" s="91"/>
      <x:c r="O351" s="91"/>
      <x:c r="P351" s="91"/>
      <x:c r="Q351" s="85"/>
      <x:c r="S351" s="86"/>
      <x:c r="T351" s="32"/>
    </x:row>
    <x:row r="352">
      <x:c r="A352" s="87"/>
      <x:c r="B352" s="88"/>
      <x:c r="D352" s="32"/>
      <x:c r="G352" s="74"/>
      <x:c r="H352" s="74"/>
      <x:c r="I352" s="74"/>
      <x:c r="J352" s="74"/>
      <x:c r="K352" s="74"/>
      <x:c r="L352" s="91"/>
      <x:c r="M352" s="91"/>
      <x:c r="N352" s="91"/>
      <x:c r="O352" s="91"/>
      <x:c r="P352" s="91"/>
      <x:c r="Q352" s="85"/>
      <x:c r="S352" s="86"/>
      <x:c r="T352" s="32"/>
    </x:row>
    <x:row r="353">
      <x:c r="A353" s="87"/>
      <x:c r="B353" s="88"/>
      <x:c r="D353" s="32"/>
      <x:c r="G353" s="74"/>
      <x:c r="H353" s="74"/>
      <x:c r="I353" s="74"/>
      <x:c r="J353" s="74"/>
      <x:c r="K353" s="74"/>
      <x:c r="L353" s="91"/>
      <x:c r="M353" s="91"/>
      <x:c r="N353" s="91"/>
      <x:c r="O353" s="91"/>
      <x:c r="P353" s="91"/>
      <x:c r="Q353" s="85"/>
      <x:c r="S353" s="86"/>
      <x:c r="T353" s="32"/>
    </x:row>
    <x:row r="354">
      <x:c r="A354" s="87"/>
      <x:c r="B354" s="88"/>
      <x:c r="D354" s="32"/>
      <x:c r="G354" s="74"/>
      <x:c r="H354" s="74"/>
      <x:c r="I354" s="74"/>
      <x:c r="J354" s="74"/>
      <x:c r="K354" s="74"/>
      <x:c r="L354" s="91"/>
      <x:c r="M354" s="91"/>
      <x:c r="N354" s="91"/>
      <x:c r="O354" s="91"/>
      <x:c r="P354" s="91"/>
      <x:c r="Q354" s="85"/>
      <x:c r="S354" s="86"/>
      <x:c r="T354" s="32"/>
    </x:row>
    <x:row r="355">
      <x:c r="A355" s="87"/>
      <x:c r="B355" s="88"/>
      <x:c r="D355" s="32"/>
      <x:c r="G355" s="74"/>
      <x:c r="H355" s="74"/>
      <x:c r="I355" s="74"/>
      <x:c r="J355" s="74"/>
      <x:c r="K355" s="74"/>
      <x:c r="L355" s="91"/>
      <x:c r="M355" s="91"/>
      <x:c r="N355" s="91"/>
      <x:c r="O355" s="91"/>
      <x:c r="P355" s="91"/>
      <x:c r="Q355" s="85"/>
      <x:c r="S355" s="86"/>
      <x:c r="T355" s="32"/>
    </x:row>
    <x:row r="356">
      <x:c r="A356" s="87"/>
      <x:c r="B356" s="88"/>
      <x:c r="D356" s="32"/>
      <x:c r="G356" s="74"/>
      <x:c r="H356" s="74"/>
      <x:c r="I356" s="74"/>
      <x:c r="J356" s="74"/>
      <x:c r="K356" s="74"/>
      <x:c r="L356" s="91"/>
      <x:c r="M356" s="91"/>
      <x:c r="N356" s="91"/>
      <x:c r="O356" s="91"/>
      <x:c r="P356" s="91"/>
      <x:c r="Q356" s="85"/>
      <x:c r="S356" s="86"/>
      <x:c r="T356" s="32"/>
    </x:row>
    <x:row r="357">
      <x:c r="A357" s="87"/>
      <x:c r="B357" s="88"/>
      <x:c r="D357" s="32"/>
      <x:c r="G357" s="74"/>
      <x:c r="H357" s="74"/>
      <x:c r="I357" s="74"/>
      <x:c r="J357" s="74"/>
      <x:c r="K357" s="74"/>
      <x:c r="L357" s="91"/>
      <x:c r="M357" s="91"/>
      <x:c r="N357" s="91"/>
      <x:c r="O357" s="91"/>
      <x:c r="P357" s="91"/>
      <x:c r="Q357" s="85"/>
      <x:c r="S357" s="86"/>
      <x:c r="T357" s="32"/>
    </x:row>
    <x:row r="358">
      <x:c r="A358" s="87"/>
      <x:c r="B358" s="88"/>
      <x:c r="D358" s="32"/>
      <x:c r="G358" s="74"/>
      <x:c r="H358" s="74"/>
      <x:c r="I358" s="74"/>
      <x:c r="J358" s="74"/>
      <x:c r="K358" s="74"/>
      <x:c r="L358" s="91"/>
      <x:c r="M358" s="91"/>
      <x:c r="N358" s="91"/>
      <x:c r="O358" s="91"/>
      <x:c r="P358" s="91"/>
      <x:c r="Q358" s="85"/>
      <x:c r="S358" s="86"/>
      <x:c r="T358" s="32"/>
    </x:row>
    <x:row r="359">
      <x:c r="A359" s="87"/>
      <x:c r="B359" s="88"/>
      <x:c r="D359" s="32"/>
      <x:c r="G359" s="74"/>
      <x:c r="H359" s="74"/>
      <x:c r="I359" s="74"/>
      <x:c r="J359" s="74"/>
      <x:c r="K359" s="74"/>
      <x:c r="L359" s="91"/>
      <x:c r="M359" s="91"/>
      <x:c r="N359" s="91"/>
      <x:c r="O359" s="91"/>
      <x:c r="P359" s="91"/>
      <x:c r="Q359" s="85"/>
      <x:c r="S359" s="86"/>
      <x:c r="T359" s="32"/>
    </x:row>
    <x:row r="360">
      <x:c r="A360" s="87"/>
      <x:c r="B360" s="88"/>
      <x:c r="D360" s="32"/>
      <x:c r="G360" s="74"/>
      <x:c r="H360" s="74"/>
      <x:c r="I360" s="74"/>
      <x:c r="J360" s="74"/>
      <x:c r="K360" s="74"/>
      <x:c r="L360" s="91"/>
      <x:c r="M360" s="91"/>
      <x:c r="N360" s="91"/>
      <x:c r="O360" s="91"/>
      <x:c r="P360" s="91"/>
      <x:c r="Q360" s="85"/>
      <x:c r="S360" s="86"/>
      <x:c r="T360" s="32"/>
    </x:row>
    <x:row r="361">
      <x:c r="A361" s="87"/>
      <x:c r="B361" s="88"/>
      <x:c r="D361" s="32"/>
      <x:c r="G361" s="74"/>
      <x:c r="H361" s="74"/>
      <x:c r="I361" s="74"/>
      <x:c r="J361" s="74"/>
      <x:c r="K361" s="74"/>
      <x:c r="L361" s="91"/>
      <x:c r="M361" s="91"/>
      <x:c r="N361" s="91"/>
      <x:c r="O361" s="91"/>
      <x:c r="P361" s="91"/>
      <x:c r="Q361" s="85"/>
      <x:c r="S361" s="86"/>
      <x:c r="T361" s="32"/>
    </x:row>
    <x:row r="362">
      <x:c r="A362" s="87"/>
      <x:c r="B362" s="88"/>
      <x:c r="D362" s="32"/>
      <x:c r="G362" s="74"/>
      <x:c r="H362" s="74"/>
      <x:c r="I362" s="74"/>
      <x:c r="J362" s="74"/>
      <x:c r="K362" s="74"/>
      <x:c r="L362" s="91"/>
      <x:c r="M362" s="91"/>
      <x:c r="N362" s="91"/>
      <x:c r="O362" s="91"/>
      <x:c r="P362" s="91"/>
      <x:c r="Q362" s="85"/>
      <x:c r="S362" s="86"/>
      <x:c r="T362" s="32"/>
    </x:row>
    <x:row r="363">
      <x:c r="A363" s="87"/>
      <x:c r="B363" s="88"/>
      <x:c r="D363" s="32"/>
      <x:c r="G363" s="74"/>
      <x:c r="H363" s="74"/>
      <x:c r="I363" s="74"/>
      <x:c r="J363" s="74"/>
      <x:c r="K363" s="74"/>
      <x:c r="L363" s="91"/>
      <x:c r="M363" s="91"/>
      <x:c r="N363" s="91"/>
      <x:c r="O363" s="91"/>
      <x:c r="P363" s="91"/>
      <x:c r="Q363" s="85"/>
      <x:c r="S363" s="86"/>
      <x:c r="T363" s="32"/>
    </x:row>
    <x:row r="364">
      <x:c r="A364" s="87"/>
      <x:c r="B364" s="88"/>
      <x:c r="D364" s="32"/>
      <x:c r="G364" s="74"/>
      <x:c r="H364" s="74"/>
      <x:c r="I364" s="74"/>
      <x:c r="J364" s="74"/>
      <x:c r="K364" s="74"/>
      <x:c r="L364" s="91"/>
      <x:c r="M364" s="91"/>
      <x:c r="N364" s="91"/>
      <x:c r="O364" s="91"/>
      <x:c r="P364" s="91"/>
      <x:c r="Q364" s="85"/>
      <x:c r="S364" s="86"/>
      <x:c r="T364" s="32"/>
    </x:row>
    <x:row r="365">
      <x:c r="A365" s="87"/>
      <x:c r="B365" s="88"/>
      <x:c r="D365" s="32"/>
      <x:c r="G365" s="74"/>
      <x:c r="H365" s="74"/>
      <x:c r="I365" s="74"/>
      <x:c r="J365" s="74"/>
      <x:c r="K365" s="74"/>
      <x:c r="L365" s="91"/>
      <x:c r="M365" s="91"/>
      <x:c r="N365" s="91"/>
      <x:c r="O365" s="91"/>
      <x:c r="P365" s="91"/>
      <x:c r="Q365" s="85"/>
      <x:c r="S365" s="86"/>
      <x:c r="T365" s="32"/>
    </x:row>
    <x:row r="366">
      <x:c r="A366" s="87"/>
      <x:c r="B366" s="88"/>
      <x:c r="D366" s="32"/>
      <x:c r="G366" s="74"/>
      <x:c r="H366" s="74"/>
      <x:c r="I366" s="74"/>
      <x:c r="J366" s="74"/>
      <x:c r="K366" s="74"/>
      <x:c r="L366" s="91"/>
      <x:c r="M366" s="91"/>
      <x:c r="N366" s="91"/>
      <x:c r="O366" s="91"/>
      <x:c r="P366" s="91"/>
      <x:c r="Q366" s="85"/>
      <x:c r="S366" s="86"/>
      <x:c r="T366" s="32"/>
    </x:row>
    <x:row r="367">
      <x:c r="A367" s="87"/>
      <x:c r="B367" s="88"/>
      <x:c r="D367" s="32"/>
      <x:c r="G367" s="74"/>
      <x:c r="H367" s="74"/>
      <x:c r="I367" s="74"/>
      <x:c r="J367" s="74"/>
      <x:c r="K367" s="74"/>
      <x:c r="L367" s="91"/>
      <x:c r="M367" s="91"/>
      <x:c r="N367" s="91"/>
      <x:c r="O367" s="91"/>
      <x:c r="P367" s="91"/>
      <x:c r="Q367" s="85"/>
      <x:c r="S367" s="86"/>
      <x:c r="T367" s="32"/>
    </x:row>
    <x:row r="368">
      <x:c r="A368" s="87"/>
      <x:c r="B368" s="88"/>
      <x:c r="D368" s="32"/>
      <x:c r="G368" s="74"/>
      <x:c r="H368" s="74"/>
      <x:c r="I368" s="74"/>
      <x:c r="J368" s="74"/>
      <x:c r="K368" s="74"/>
      <x:c r="L368" s="91"/>
      <x:c r="M368" s="91"/>
      <x:c r="N368" s="91"/>
      <x:c r="O368" s="91"/>
      <x:c r="P368" s="91"/>
      <x:c r="Q368" s="85"/>
      <x:c r="S368" s="86"/>
      <x:c r="T368" s="32"/>
    </x:row>
    <x:row r="369">
      <x:c r="A369" s="87"/>
      <x:c r="B369" s="88"/>
      <x:c r="D369" s="32"/>
      <x:c r="G369" s="74"/>
      <x:c r="H369" s="74"/>
      <x:c r="I369" s="74"/>
      <x:c r="J369" s="74"/>
      <x:c r="K369" s="74"/>
      <x:c r="L369" s="91"/>
      <x:c r="M369" s="91"/>
      <x:c r="N369" s="91"/>
      <x:c r="O369" s="91"/>
      <x:c r="P369" s="91"/>
      <x:c r="Q369" s="85"/>
      <x:c r="S369" s="86"/>
      <x:c r="T369" s="32"/>
    </x:row>
    <x:row r="370">
      <x:c r="A370" s="87"/>
      <x:c r="B370" s="88"/>
      <x:c r="D370" s="32"/>
      <x:c r="G370" s="74"/>
      <x:c r="H370" s="74"/>
      <x:c r="I370" s="74"/>
      <x:c r="J370" s="74"/>
      <x:c r="K370" s="74"/>
      <x:c r="L370" s="91"/>
      <x:c r="M370" s="91"/>
      <x:c r="N370" s="91"/>
      <x:c r="O370" s="91"/>
      <x:c r="P370" s="91"/>
      <x:c r="Q370" s="85"/>
      <x:c r="S370" s="86"/>
      <x:c r="T370" s="32"/>
    </x:row>
    <x:row r="371">
      <x:c r="A371" s="87"/>
      <x:c r="B371" s="88"/>
      <x:c r="D371" s="32"/>
      <x:c r="G371" s="74"/>
      <x:c r="H371" s="74"/>
      <x:c r="I371" s="74"/>
      <x:c r="J371" s="74"/>
      <x:c r="K371" s="74"/>
      <x:c r="L371" s="91"/>
      <x:c r="M371" s="91"/>
      <x:c r="N371" s="91"/>
      <x:c r="O371" s="91"/>
      <x:c r="P371" s="91"/>
      <x:c r="Q371" s="85"/>
      <x:c r="S371" s="86"/>
      <x:c r="T371" s="32"/>
    </x:row>
    <x:row r="372">
      <x:c r="A372" s="87"/>
      <x:c r="B372" s="88"/>
      <x:c r="D372" s="32"/>
      <x:c r="G372" s="74"/>
      <x:c r="H372" s="74"/>
      <x:c r="I372" s="74"/>
      <x:c r="J372" s="74"/>
      <x:c r="K372" s="74"/>
      <x:c r="L372" s="91"/>
      <x:c r="M372" s="91"/>
      <x:c r="N372" s="91"/>
      <x:c r="O372" s="91"/>
      <x:c r="P372" s="91"/>
      <x:c r="Q372" s="85"/>
      <x:c r="S372" s="86"/>
      <x:c r="T372" s="32"/>
    </x:row>
    <x:row r="373">
      <x:c r="A373" s="87"/>
      <x:c r="B373" s="88"/>
      <x:c r="D373" s="32"/>
      <x:c r="G373" s="74"/>
      <x:c r="H373" s="74"/>
      <x:c r="I373" s="74"/>
      <x:c r="J373" s="74"/>
      <x:c r="K373" s="74"/>
      <x:c r="L373" s="91"/>
      <x:c r="M373" s="91"/>
      <x:c r="N373" s="91"/>
      <x:c r="O373" s="91"/>
      <x:c r="P373" s="91"/>
      <x:c r="Q373" s="85"/>
      <x:c r="S373" s="86"/>
      <x:c r="T373" s="32"/>
    </x:row>
    <x:row r="374">
      <x:c r="A374" s="87"/>
      <x:c r="B374" s="88"/>
      <x:c r="D374" s="32"/>
      <x:c r="G374" s="74"/>
      <x:c r="H374" s="74"/>
      <x:c r="I374" s="74"/>
      <x:c r="J374" s="74"/>
      <x:c r="K374" s="74"/>
      <x:c r="L374" s="91"/>
      <x:c r="M374" s="91"/>
      <x:c r="N374" s="91"/>
      <x:c r="O374" s="91"/>
      <x:c r="P374" s="91"/>
      <x:c r="Q374" s="85"/>
      <x:c r="S374" s="86"/>
      <x:c r="T374" s="32"/>
    </x:row>
    <x:row r="375">
      <x:c r="A375" s="87"/>
      <x:c r="B375" s="88"/>
      <x:c r="D375" s="32"/>
      <x:c r="G375" s="74"/>
      <x:c r="H375" s="74"/>
      <x:c r="I375" s="74"/>
      <x:c r="J375" s="74"/>
      <x:c r="K375" s="74"/>
      <x:c r="L375" s="91"/>
      <x:c r="M375" s="91"/>
      <x:c r="N375" s="91"/>
      <x:c r="O375" s="91"/>
      <x:c r="P375" s="91"/>
      <x:c r="Q375" s="85"/>
      <x:c r="S375" s="86"/>
      <x:c r="T375" s="32"/>
    </x:row>
    <x:row r="376">
      <x:c r="A376" s="87"/>
      <x:c r="B376" s="88"/>
      <x:c r="D376" s="32"/>
      <x:c r="G376" s="74"/>
      <x:c r="H376" s="74"/>
      <x:c r="I376" s="74"/>
      <x:c r="J376" s="74"/>
      <x:c r="K376" s="74"/>
      <x:c r="L376" s="91"/>
      <x:c r="M376" s="91"/>
      <x:c r="N376" s="91"/>
      <x:c r="O376" s="91"/>
      <x:c r="P376" s="91"/>
      <x:c r="Q376" s="85"/>
      <x:c r="S376" s="86"/>
      <x:c r="T376" s="32"/>
    </x:row>
    <x:row r="377">
      <x:c r="A377" s="87"/>
      <x:c r="B377" s="88"/>
      <x:c r="D377" s="32"/>
      <x:c r="G377" s="74"/>
      <x:c r="H377" s="74"/>
      <x:c r="I377" s="74"/>
      <x:c r="J377" s="74"/>
      <x:c r="K377" s="74"/>
      <x:c r="L377" s="91"/>
      <x:c r="M377" s="91"/>
      <x:c r="N377" s="91"/>
      <x:c r="O377" s="91"/>
      <x:c r="P377" s="91"/>
      <x:c r="Q377" s="85"/>
      <x:c r="S377" s="86"/>
      <x:c r="T377" s="32"/>
    </x:row>
    <x:row r="378">
      <x:c r="A378" s="87"/>
      <x:c r="B378" s="88"/>
      <x:c r="D378" s="32"/>
      <x:c r="G378" s="74"/>
      <x:c r="H378" s="74"/>
      <x:c r="I378" s="74"/>
      <x:c r="J378" s="74"/>
      <x:c r="K378" s="74"/>
      <x:c r="L378" s="91"/>
      <x:c r="M378" s="91"/>
      <x:c r="N378" s="91"/>
      <x:c r="O378" s="91"/>
      <x:c r="P378" s="91"/>
      <x:c r="Q378" s="85"/>
      <x:c r="S378" s="86"/>
      <x:c r="T378" s="32"/>
    </x:row>
    <x:row r="379">
      <x:c r="A379" s="87"/>
      <x:c r="B379" s="88"/>
      <x:c r="D379" s="32"/>
      <x:c r="G379" s="74"/>
      <x:c r="H379" s="74"/>
      <x:c r="I379" s="74"/>
      <x:c r="J379" s="74"/>
      <x:c r="K379" s="74"/>
      <x:c r="L379" s="91"/>
      <x:c r="M379" s="91"/>
      <x:c r="N379" s="91"/>
      <x:c r="O379" s="91"/>
      <x:c r="P379" s="91"/>
      <x:c r="Q379" s="85"/>
      <x:c r="S379" s="86"/>
      <x:c r="T379" s="32"/>
    </x:row>
    <x:row r="380">
      <x:c r="A380" s="87"/>
      <x:c r="B380" s="88"/>
      <x:c r="D380" s="32"/>
      <x:c r="G380" s="74"/>
      <x:c r="H380" s="74"/>
      <x:c r="I380" s="74"/>
      <x:c r="J380" s="74"/>
      <x:c r="K380" s="74"/>
      <x:c r="L380" s="91"/>
      <x:c r="M380" s="91"/>
      <x:c r="N380" s="91"/>
      <x:c r="O380" s="91"/>
      <x:c r="P380" s="91"/>
      <x:c r="Q380" s="85"/>
      <x:c r="S380" s="86"/>
      <x:c r="T380" s="32"/>
    </x:row>
    <x:row r="381">
      <x:c r="A381" s="87"/>
      <x:c r="B381" s="88"/>
      <x:c r="D381" s="32"/>
      <x:c r="G381" s="74"/>
      <x:c r="H381" s="74"/>
      <x:c r="I381" s="74"/>
      <x:c r="J381" s="74"/>
      <x:c r="K381" s="74"/>
      <x:c r="L381" s="91"/>
      <x:c r="M381" s="91"/>
      <x:c r="N381" s="91"/>
      <x:c r="O381" s="91"/>
      <x:c r="P381" s="91"/>
      <x:c r="Q381" s="85"/>
      <x:c r="S381" s="86"/>
      <x:c r="T381" s="32"/>
    </x:row>
    <x:row r="382">
      <x:c r="A382" s="87"/>
      <x:c r="B382" s="88"/>
      <x:c r="D382" s="32"/>
      <x:c r="G382" s="74"/>
      <x:c r="H382" s="74"/>
      <x:c r="I382" s="74"/>
      <x:c r="J382" s="74"/>
      <x:c r="K382" s="74"/>
      <x:c r="L382" s="91"/>
      <x:c r="M382" s="91"/>
      <x:c r="N382" s="91"/>
      <x:c r="O382" s="91"/>
      <x:c r="P382" s="91"/>
      <x:c r="Q382" s="85"/>
      <x:c r="S382" s="86"/>
      <x:c r="T382" s="32"/>
    </x:row>
    <x:row r="383">
      <x:c r="A383" s="87"/>
      <x:c r="B383" s="88"/>
      <x:c r="D383" s="32"/>
      <x:c r="G383" s="74"/>
      <x:c r="H383" s="74"/>
      <x:c r="I383" s="74"/>
      <x:c r="J383" s="74"/>
      <x:c r="K383" s="74"/>
      <x:c r="L383" s="91"/>
      <x:c r="M383" s="91"/>
      <x:c r="N383" s="91"/>
      <x:c r="O383" s="91"/>
      <x:c r="P383" s="91"/>
      <x:c r="Q383" s="85"/>
      <x:c r="S383" s="86"/>
      <x:c r="T383" s="32"/>
    </x:row>
    <x:row r="384">
      <x:c r="A384" s="87"/>
      <x:c r="B384" s="88"/>
      <x:c r="D384" s="32"/>
      <x:c r="G384" s="74"/>
      <x:c r="H384" s="74"/>
      <x:c r="I384" s="74"/>
      <x:c r="J384" s="74"/>
      <x:c r="K384" s="74"/>
      <x:c r="L384" s="91"/>
      <x:c r="M384" s="91"/>
      <x:c r="N384" s="91"/>
      <x:c r="O384" s="91"/>
      <x:c r="P384" s="91"/>
      <x:c r="Q384" s="85"/>
      <x:c r="S384" s="86"/>
      <x:c r="T384" s="32"/>
    </x:row>
    <x:row r="385">
      <x:c r="A385" s="87"/>
      <x:c r="B385" s="88"/>
      <x:c r="D385" s="32"/>
      <x:c r="G385" s="74"/>
      <x:c r="H385" s="74"/>
      <x:c r="I385" s="74"/>
      <x:c r="J385" s="74"/>
      <x:c r="K385" s="74"/>
      <x:c r="L385" s="91"/>
      <x:c r="M385" s="91"/>
      <x:c r="N385" s="91"/>
      <x:c r="O385" s="91"/>
      <x:c r="P385" s="91"/>
      <x:c r="Q385" s="85"/>
      <x:c r="S385" s="86"/>
      <x:c r="T385" s="32"/>
    </x:row>
    <x:row r="386">
      <x:c r="A386" s="87"/>
      <x:c r="B386" s="88"/>
      <x:c r="D386" s="32"/>
      <x:c r="G386" s="74"/>
      <x:c r="H386" s="74"/>
      <x:c r="I386" s="74"/>
      <x:c r="J386" s="74"/>
      <x:c r="K386" s="74"/>
      <x:c r="L386" s="91"/>
      <x:c r="M386" s="91"/>
      <x:c r="N386" s="91"/>
      <x:c r="O386" s="91"/>
      <x:c r="P386" s="91"/>
      <x:c r="Q386" s="85"/>
      <x:c r="S386" s="86"/>
      <x:c r="T386" s="32"/>
    </x:row>
    <x:row r="387">
      <x:c r="A387" s="87"/>
      <x:c r="B387" s="88"/>
      <x:c r="D387" s="32"/>
      <x:c r="G387" s="74"/>
      <x:c r="H387" s="74"/>
      <x:c r="I387" s="74"/>
      <x:c r="J387" s="74"/>
      <x:c r="K387" s="74"/>
      <x:c r="L387" s="91"/>
      <x:c r="M387" s="91"/>
      <x:c r="N387" s="91"/>
      <x:c r="O387" s="91"/>
      <x:c r="P387" s="91"/>
      <x:c r="Q387" s="85"/>
      <x:c r="S387" s="86"/>
      <x:c r="T387" s="32"/>
    </x:row>
    <x:row r="388">
      <x:c r="A388" s="87"/>
      <x:c r="B388" s="88"/>
      <x:c r="D388" s="32"/>
      <x:c r="G388" s="74"/>
      <x:c r="H388" s="74"/>
      <x:c r="I388" s="74"/>
      <x:c r="J388" s="74"/>
      <x:c r="K388" s="74"/>
      <x:c r="L388" s="91"/>
      <x:c r="M388" s="91"/>
      <x:c r="N388" s="91"/>
      <x:c r="O388" s="91"/>
      <x:c r="P388" s="91"/>
      <x:c r="Q388" s="85"/>
      <x:c r="S388" s="86"/>
      <x:c r="T388" s="32"/>
    </x:row>
    <x:row r="389">
      <x:c r="A389" s="87"/>
      <x:c r="B389" s="88"/>
      <x:c r="D389" s="32"/>
      <x:c r="G389" s="74"/>
      <x:c r="H389" s="74"/>
      <x:c r="I389" s="74"/>
      <x:c r="J389" s="74"/>
      <x:c r="K389" s="74"/>
      <x:c r="L389" s="91"/>
      <x:c r="M389" s="91"/>
      <x:c r="N389" s="91"/>
      <x:c r="O389" s="91"/>
      <x:c r="P389" s="91"/>
      <x:c r="Q389" s="85"/>
      <x:c r="S389" s="86"/>
      <x:c r="T389" s="32"/>
    </x:row>
    <x:row r="390">
      <x:c r="A390" s="87"/>
      <x:c r="B390" s="88"/>
      <x:c r="D390" s="32"/>
      <x:c r="G390" s="74"/>
      <x:c r="H390" s="74"/>
      <x:c r="I390" s="74"/>
      <x:c r="J390" s="74"/>
      <x:c r="K390" s="74"/>
      <x:c r="L390" s="91"/>
      <x:c r="M390" s="91"/>
      <x:c r="N390" s="91"/>
      <x:c r="O390" s="91"/>
      <x:c r="P390" s="91"/>
      <x:c r="Q390" s="85"/>
      <x:c r="S390" s="86"/>
      <x:c r="T390" s="32"/>
    </x:row>
    <x:row r="391">
      <x:c r="A391" s="87"/>
      <x:c r="B391" s="88"/>
      <x:c r="D391" s="32"/>
      <x:c r="G391" s="74"/>
      <x:c r="H391" s="74"/>
      <x:c r="I391" s="74"/>
      <x:c r="J391" s="74"/>
      <x:c r="K391" s="74"/>
      <x:c r="L391" s="91"/>
      <x:c r="M391" s="91"/>
      <x:c r="N391" s="91"/>
      <x:c r="O391" s="91"/>
      <x:c r="P391" s="91"/>
      <x:c r="Q391" s="85"/>
      <x:c r="S391" s="86"/>
      <x:c r="T391" s="32"/>
    </x:row>
    <x:row r="392">
      <x:c r="A392" s="87"/>
      <x:c r="B392" s="88"/>
      <x:c r="D392" s="32"/>
      <x:c r="G392" s="74"/>
      <x:c r="H392" s="74"/>
      <x:c r="I392" s="74"/>
      <x:c r="J392" s="74"/>
      <x:c r="K392" s="74"/>
      <x:c r="L392" s="91"/>
      <x:c r="M392" s="91"/>
      <x:c r="N392" s="91"/>
      <x:c r="O392" s="91"/>
      <x:c r="P392" s="91"/>
      <x:c r="Q392" s="85"/>
      <x:c r="S392" s="86"/>
      <x:c r="T392" s="32"/>
    </x:row>
    <x:row r="393">
      <x:c r="A393" s="87"/>
      <x:c r="B393" s="88"/>
      <x:c r="D393" s="32"/>
      <x:c r="G393" s="74"/>
      <x:c r="H393" s="74"/>
      <x:c r="I393" s="74"/>
      <x:c r="J393" s="74"/>
      <x:c r="K393" s="74"/>
      <x:c r="L393" s="91"/>
      <x:c r="M393" s="91"/>
      <x:c r="N393" s="91"/>
      <x:c r="O393" s="91"/>
      <x:c r="P393" s="91"/>
      <x:c r="Q393" s="85"/>
      <x:c r="S393" s="86"/>
      <x:c r="T393" s="32"/>
    </x:row>
    <x:row r="394">
      <x:c r="A394" s="87"/>
      <x:c r="B394" s="88"/>
      <x:c r="D394" s="32"/>
      <x:c r="G394" s="74"/>
      <x:c r="H394" s="74"/>
      <x:c r="I394" s="74"/>
      <x:c r="J394" s="74"/>
      <x:c r="K394" s="74"/>
      <x:c r="L394" s="91"/>
      <x:c r="M394" s="91"/>
      <x:c r="N394" s="91"/>
      <x:c r="O394" s="91"/>
      <x:c r="P394" s="91"/>
      <x:c r="Q394" s="85"/>
      <x:c r="S394" s="86"/>
      <x:c r="T394" s="32"/>
    </x:row>
    <x:row r="395">
      <x:c r="A395" s="87"/>
      <x:c r="B395" s="88"/>
      <x:c r="D395" s="32"/>
      <x:c r="G395" s="74"/>
      <x:c r="H395" s="74"/>
      <x:c r="I395" s="74"/>
      <x:c r="J395" s="74"/>
      <x:c r="K395" s="74"/>
      <x:c r="L395" s="91"/>
      <x:c r="M395" s="91"/>
      <x:c r="N395" s="91"/>
      <x:c r="O395" s="91"/>
      <x:c r="P395" s="91"/>
      <x:c r="Q395" s="85"/>
      <x:c r="S395" s="86"/>
      <x:c r="T395" s="32"/>
    </x:row>
    <x:row r="396">
      <x:c r="A396" s="87"/>
      <x:c r="B396" s="88"/>
      <x:c r="D396" s="32"/>
      <x:c r="G396" s="74"/>
      <x:c r="H396" s="74"/>
      <x:c r="I396" s="74"/>
      <x:c r="J396" s="74"/>
      <x:c r="K396" s="74"/>
      <x:c r="L396" s="91"/>
      <x:c r="M396" s="91"/>
      <x:c r="N396" s="91"/>
      <x:c r="O396" s="91"/>
      <x:c r="P396" s="91"/>
      <x:c r="Q396" s="85"/>
      <x:c r="S396" s="86"/>
      <x:c r="T396" s="32"/>
    </x:row>
    <x:row r="397">
      <x:c r="A397" s="87"/>
      <x:c r="B397" s="88"/>
      <x:c r="D397" s="32"/>
      <x:c r="G397" s="74"/>
      <x:c r="H397" s="74"/>
      <x:c r="I397" s="74"/>
      <x:c r="J397" s="74"/>
      <x:c r="K397" s="74"/>
      <x:c r="L397" s="91"/>
      <x:c r="M397" s="91"/>
      <x:c r="N397" s="91"/>
      <x:c r="O397" s="91"/>
      <x:c r="P397" s="91"/>
      <x:c r="Q397" s="85"/>
      <x:c r="S397" s="86"/>
      <x:c r="T397" s="32"/>
    </x:row>
    <x:row r="398">
      <x:c r="A398" s="87"/>
      <x:c r="B398" s="88"/>
      <x:c r="D398" s="32"/>
      <x:c r="G398" s="74"/>
      <x:c r="H398" s="74"/>
      <x:c r="I398" s="74"/>
      <x:c r="J398" s="74"/>
      <x:c r="K398" s="74"/>
      <x:c r="L398" s="91"/>
      <x:c r="M398" s="91"/>
      <x:c r="N398" s="91"/>
      <x:c r="O398" s="91"/>
      <x:c r="P398" s="91"/>
      <x:c r="Q398" s="85"/>
      <x:c r="S398" s="86"/>
      <x:c r="T398" s="32"/>
    </x:row>
    <x:row r="399">
      <x:c r="A399" s="87"/>
      <x:c r="B399" s="88"/>
      <x:c r="D399" s="32"/>
      <x:c r="G399" s="74"/>
      <x:c r="H399" s="74"/>
      <x:c r="I399" s="74"/>
      <x:c r="J399" s="74"/>
      <x:c r="K399" s="74"/>
      <x:c r="L399" s="91"/>
      <x:c r="M399" s="91"/>
      <x:c r="N399" s="91"/>
      <x:c r="O399" s="91"/>
      <x:c r="P399" s="91"/>
      <x:c r="Q399" s="85"/>
      <x:c r="S399" s="86"/>
      <x:c r="T399" s="32"/>
    </x:row>
    <x:row r="400">
      <x:c r="A400" s="87"/>
      <x:c r="B400" s="88"/>
      <x:c r="D400" s="32"/>
      <x:c r="G400" s="74"/>
      <x:c r="H400" s="74"/>
      <x:c r="I400" s="74"/>
      <x:c r="J400" s="74"/>
      <x:c r="K400" s="74"/>
      <x:c r="L400" s="91"/>
      <x:c r="M400" s="91"/>
      <x:c r="N400" s="91"/>
      <x:c r="O400" s="91"/>
      <x:c r="P400" s="91"/>
      <x:c r="Q400" s="85"/>
      <x:c r="S400" s="86"/>
      <x:c r="T400" s="32"/>
    </x:row>
    <x:row r="401">
      <x:c r="A401" s="87"/>
      <x:c r="B401" s="88"/>
      <x:c r="D401" s="32"/>
      <x:c r="G401" s="74"/>
      <x:c r="H401" s="74"/>
      <x:c r="I401" s="74"/>
      <x:c r="J401" s="74"/>
      <x:c r="K401" s="74"/>
      <x:c r="L401" s="91"/>
      <x:c r="M401" s="91"/>
      <x:c r="N401" s="91"/>
      <x:c r="O401" s="91"/>
      <x:c r="P401" s="91"/>
      <x:c r="Q401" s="85"/>
      <x:c r="S401" s="86"/>
      <x:c r="T401" s="32"/>
    </x:row>
    <x:row r="402">
      <x:c r="A402" s="87"/>
      <x:c r="B402" s="88"/>
      <x:c r="D402" s="32"/>
      <x:c r="G402" s="74"/>
      <x:c r="H402" s="74"/>
      <x:c r="I402" s="74"/>
      <x:c r="J402" s="74"/>
      <x:c r="K402" s="74"/>
      <x:c r="L402" s="91"/>
      <x:c r="M402" s="91"/>
      <x:c r="N402" s="91"/>
      <x:c r="O402" s="91"/>
      <x:c r="P402" s="91"/>
      <x:c r="Q402" s="85"/>
      <x:c r="S402" s="86"/>
      <x:c r="T402" s="32"/>
    </x:row>
    <x:row r="403">
      <x:c r="A403" s="87"/>
      <x:c r="B403" s="88"/>
      <x:c r="D403" s="32"/>
      <x:c r="G403" s="74"/>
      <x:c r="H403" s="74"/>
      <x:c r="I403" s="74"/>
      <x:c r="J403" s="74"/>
      <x:c r="K403" s="74"/>
      <x:c r="L403" s="91"/>
      <x:c r="M403" s="91"/>
      <x:c r="N403" s="91"/>
      <x:c r="O403" s="91"/>
      <x:c r="P403" s="91"/>
      <x:c r="Q403" s="85"/>
      <x:c r="S403" s="86"/>
      <x:c r="T403" s="32"/>
    </x:row>
    <x:row r="404">
      <x:c r="A404" s="87"/>
      <x:c r="B404" s="88"/>
      <x:c r="D404" s="32"/>
      <x:c r="G404" s="74"/>
      <x:c r="H404" s="74"/>
      <x:c r="I404" s="74"/>
      <x:c r="J404" s="74"/>
      <x:c r="K404" s="74"/>
      <x:c r="L404" s="91"/>
      <x:c r="M404" s="91"/>
      <x:c r="N404" s="91"/>
      <x:c r="O404" s="91"/>
      <x:c r="P404" s="91"/>
      <x:c r="Q404" s="85"/>
      <x:c r="S404" s="86"/>
      <x:c r="T404" s="32"/>
    </x:row>
    <x:row r="405">
      <x:c r="A405" s="87"/>
      <x:c r="B405" s="88"/>
      <x:c r="D405" s="32"/>
      <x:c r="G405" s="74"/>
      <x:c r="H405" s="74"/>
      <x:c r="I405" s="74"/>
      <x:c r="J405" s="74"/>
      <x:c r="K405" s="74"/>
      <x:c r="L405" s="91"/>
      <x:c r="M405" s="91"/>
      <x:c r="N405" s="91"/>
      <x:c r="O405" s="91"/>
      <x:c r="P405" s="91"/>
      <x:c r="Q405" s="85"/>
      <x:c r="S405" s="86"/>
      <x:c r="T405" s="32"/>
    </x:row>
    <x:row r="406">
      <x:c r="A406" s="87"/>
      <x:c r="B406" s="88"/>
      <x:c r="D406" s="32"/>
      <x:c r="G406" s="74"/>
      <x:c r="H406" s="74"/>
      <x:c r="I406" s="74"/>
      <x:c r="J406" s="74"/>
      <x:c r="K406" s="74"/>
      <x:c r="L406" s="91"/>
      <x:c r="M406" s="91"/>
      <x:c r="N406" s="91"/>
      <x:c r="O406" s="91"/>
      <x:c r="P406" s="91"/>
      <x:c r="Q406" s="85"/>
      <x:c r="S406" s="86"/>
      <x:c r="T406" s="32"/>
    </x:row>
    <x:row r="407">
      <x:c r="A407" s="87"/>
      <x:c r="B407" s="88"/>
      <x:c r="D407" s="32"/>
      <x:c r="G407" s="74"/>
      <x:c r="H407" s="74"/>
      <x:c r="I407" s="74"/>
      <x:c r="J407" s="74"/>
      <x:c r="K407" s="74"/>
      <x:c r="L407" s="91"/>
      <x:c r="M407" s="91"/>
      <x:c r="N407" s="91"/>
      <x:c r="O407" s="91"/>
      <x:c r="P407" s="91"/>
      <x:c r="Q407" s="85"/>
      <x:c r="S407" s="86"/>
      <x:c r="T407" s="32"/>
    </x:row>
    <x:row r="408">
      <x:c r="A408" s="87"/>
      <x:c r="B408" s="88"/>
      <x:c r="D408" s="32"/>
      <x:c r="G408" s="74"/>
      <x:c r="H408" s="74"/>
      <x:c r="I408" s="74"/>
      <x:c r="J408" s="74"/>
      <x:c r="K408" s="74"/>
      <x:c r="L408" s="91"/>
      <x:c r="M408" s="91"/>
      <x:c r="N408" s="91"/>
      <x:c r="O408" s="91"/>
      <x:c r="P408" s="91"/>
      <x:c r="Q408" s="85"/>
      <x:c r="S408" s="86"/>
      <x:c r="T408" s="32"/>
    </x:row>
    <x:row r="409">
      <x:c r="A409" s="87"/>
      <x:c r="B409" s="88"/>
      <x:c r="D409" s="32"/>
      <x:c r="G409" s="74"/>
      <x:c r="H409" s="74"/>
      <x:c r="I409" s="74"/>
      <x:c r="J409" s="74"/>
      <x:c r="K409" s="74"/>
      <x:c r="L409" s="91"/>
      <x:c r="M409" s="91"/>
      <x:c r="N409" s="91"/>
      <x:c r="O409" s="91"/>
      <x:c r="P409" s="91"/>
      <x:c r="Q409" s="85"/>
      <x:c r="S409" s="86"/>
      <x:c r="T409" s="32"/>
    </x:row>
    <x:row r="410">
      <x:c r="A410" s="87"/>
      <x:c r="B410" s="88"/>
      <x:c r="D410" s="32"/>
      <x:c r="G410" s="74"/>
      <x:c r="H410" s="74"/>
      <x:c r="I410" s="74"/>
      <x:c r="J410" s="74"/>
      <x:c r="K410" s="74"/>
      <x:c r="L410" s="91"/>
      <x:c r="M410" s="91"/>
      <x:c r="N410" s="91"/>
      <x:c r="O410" s="91"/>
      <x:c r="P410" s="91"/>
      <x:c r="Q410" s="85"/>
      <x:c r="S410" s="86"/>
      <x:c r="T410" s="32"/>
    </x:row>
    <x:row r="411">
      <x:c r="A411" s="87"/>
      <x:c r="B411" s="88"/>
      <x:c r="D411" s="32"/>
      <x:c r="G411" s="74"/>
      <x:c r="H411" s="74"/>
      <x:c r="I411" s="74"/>
      <x:c r="J411" s="74"/>
      <x:c r="K411" s="74"/>
      <x:c r="L411" s="91"/>
      <x:c r="M411" s="91"/>
      <x:c r="N411" s="91"/>
      <x:c r="O411" s="91"/>
      <x:c r="P411" s="91"/>
      <x:c r="Q411" s="85"/>
      <x:c r="S411" s="86"/>
      <x:c r="T411" s="32"/>
    </x:row>
    <x:row r="412">
      <x:c r="A412" s="87"/>
      <x:c r="B412" s="88"/>
      <x:c r="D412" s="32"/>
      <x:c r="G412" s="74"/>
      <x:c r="H412" s="74"/>
      <x:c r="I412" s="74"/>
      <x:c r="J412" s="74"/>
      <x:c r="K412" s="74"/>
      <x:c r="L412" s="91"/>
      <x:c r="M412" s="91"/>
      <x:c r="N412" s="91"/>
      <x:c r="O412" s="91"/>
      <x:c r="P412" s="91"/>
      <x:c r="Q412" s="85"/>
      <x:c r="S412" s="86"/>
      <x:c r="T412" s="32"/>
    </x:row>
    <x:row r="413">
      <x:c r="A413" s="87"/>
      <x:c r="B413" s="88"/>
      <x:c r="D413" s="32"/>
      <x:c r="G413" s="74"/>
      <x:c r="H413" s="74"/>
      <x:c r="I413" s="74"/>
      <x:c r="J413" s="74"/>
      <x:c r="K413" s="74"/>
      <x:c r="L413" s="91"/>
      <x:c r="M413" s="91"/>
      <x:c r="N413" s="91"/>
      <x:c r="O413" s="91"/>
      <x:c r="P413" s="91"/>
      <x:c r="Q413" s="85"/>
      <x:c r="S413" s="86"/>
      <x:c r="T413" s="32"/>
    </x:row>
    <x:row r="414">
      <x:c r="A414" s="87"/>
      <x:c r="B414" s="88"/>
      <x:c r="D414" s="32"/>
      <x:c r="G414" s="74"/>
      <x:c r="H414" s="74"/>
      <x:c r="I414" s="74"/>
      <x:c r="J414" s="74"/>
      <x:c r="K414" s="74"/>
      <x:c r="L414" s="91"/>
      <x:c r="M414" s="91"/>
      <x:c r="N414" s="91"/>
      <x:c r="O414" s="91"/>
      <x:c r="P414" s="91"/>
      <x:c r="Q414" s="85"/>
      <x:c r="S414" s="86"/>
      <x:c r="T414" s="32"/>
    </x:row>
    <x:row r="415">
      <x:c r="A415" s="87"/>
      <x:c r="B415" s="88"/>
      <x:c r="D415" s="32"/>
      <x:c r="G415" s="74"/>
      <x:c r="H415" s="74"/>
      <x:c r="I415" s="74"/>
      <x:c r="J415" s="74"/>
      <x:c r="K415" s="74"/>
      <x:c r="L415" s="91"/>
      <x:c r="M415" s="91"/>
      <x:c r="N415" s="91"/>
      <x:c r="O415" s="91"/>
      <x:c r="P415" s="91"/>
      <x:c r="Q415" s="85"/>
      <x:c r="S415" s="86"/>
      <x:c r="T415" s="32"/>
    </x:row>
    <x:row r="416">
      <x:c r="A416" s="87"/>
      <x:c r="B416" s="88"/>
      <x:c r="D416" s="32"/>
      <x:c r="G416" s="74"/>
      <x:c r="H416" s="74"/>
      <x:c r="I416" s="74"/>
      <x:c r="J416" s="74"/>
      <x:c r="K416" s="74"/>
      <x:c r="L416" s="91"/>
      <x:c r="M416" s="91"/>
      <x:c r="N416" s="91"/>
      <x:c r="O416" s="91"/>
      <x:c r="P416" s="91"/>
      <x:c r="Q416" s="85"/>
      <x:c r="S416" s="86"/>
      <x:c r="T416" s="32"/>
    </x:row>
    <x:row r="417">
      <x:c r="A417" s="87"/>
      <x:c r="B417" s="88"/>
      <x:c r="D417" s="32"/>
      <x:c r="G417" s="74"/>
      <x:c r="H417" s="74"/>
      <x:c r="I417" s="74"/>
      <x:c r="J417" s="74"/>
      <x:c r="K417" s="74"/>
      <x:c r="L417" s="91"/>
      <x:c r="M417" s="91"/>
      <x:c r="N417" s="91"/>
      <x:c r="O417" s="91"/>
      <x:c r="P417" s="91"/>
      <x:c r="Q417" s="85"/>
      <x:c r="S417" s="86"/>
      <x:c r="T417" s="32"/>
    </x:row>
    <x:row r="418">
      <x:c r="A418" s="87"/>
      <x:c r="B418" s="88"/>
      <x:c r="D418" s="32"/>
      <x:c r="G418" s="74"/>
      <x:c r="H418" s="74"/>
      <x:c r="I418" s="74"/>
      <x:c r="J418" s="74"/>
      <x:c r="K418" s="74"/>
      <x:c r="L418" s="91"/>
      <x:c r="M418" s="91"/>
      <x:c r="N418" s="91"/>
      <x:c r="O418" s="91"/>
      <x:c r="P418" s="91"/>
      <x:c r="Q418" s="85"/>
      <x:c r="S418" s="86"/>
      <x:c r="T418" s="32"/>
    </x:row>
    <x:row r="419">
      <x:c r="A419" s="87"/>
      <x:c r="B419" s="88"/>
      <x:c r="D419" s="32"/>
      <x:c r="G419" s="74"/>
      <x:c r="H419" s="74"/>
      <x:c r="I419" s="74"/>
      <x:c r="J419" s="74"/>
      <x:c r="K419" s="74"/>
      <x:c r="L419" s="91"/>
      <x:c r="M419" s="91"/>
      <x:c r="N419" s="91"/>
      <x:c r="O419" s="91"/>
      <x:c r="P419" s="91"/>
      <x:c r="Q419" s="85"/>
      <x:c r="S419" s="86"/>
      <x:c r="T419" s="32"/>
    </x:row>
    <x:row r="420">
      <x:c r="A420" s="87"/>
      <x:c r="B420" s="88"/>
      <x:c r="D420" s="32"/>
      <x:c r="G420" s="74"/>
      <x:c r="H420" s="74"/>
      <x:c r="I420" s="74"/>
      <x:c r="J420" s="74"/>
      <x:c r="K420" s="74"/>
      <x:c r="L420" s="91"/>
      <x:c r="M420" s="91"/>
      <x:c r="N420" s="91"/>
      <x:c r="O420" s="91"/>
      <x:c r="P420" s="91"/>
      <x:c r="Q420" s="85"/>
      <x:c r="S420" s="86"/>
      <x:c r="T420" s="32"/>
    </x:row>
    <x:row r="421">
      <x:c r="A421" s="87"/>
      <x:c r="B421" s="88"/>
      <x:c r="D421" s="32"/>
      <x:c r="G421" s="74"/>
      <x:c r="H421" s="74"/>
      <x:c r="I421" s="74"/>
      <x:c r="J421" s="74"/>
      <x:c r="K421" s="74"/>
      <x:c r="L421" s="91"/>
      <x:c r="M421" s="91"/>
      <x:c r="N421" s="91"/>
      <x:c r="O421" s="91"/>
      <x:c r="P421" s="91"/>
      <x:c r="Q421" s="85"/>
      <x:c r="S421" s="86"/>
      <x:c r="T421" s="32"/>
    </x:row>
    <x:row r="422">
      <x:c r="A422" s="87"/>
      <x:c r="B422" s="88"/>
      <x:c r="D422" s="32"/>
      <x:c r="G422" s="74"/>
      <x:c r="H422" s="74"/>
      <x:c r="I422" s="74"/>
      <x:c r="J422" s="74"/>
      <x:c r="K422" s="74"/>
      <x:c r="L422" s="91"/>
      <x:c r="M422" s="91"/>
      <x:c r="N422" s="91"/>
      <x:c r="O422" s="91"/>
      <x:c r="P422" s="91"/>
      <x:c r="Q422" s="85"/>
      <x:c r="S422" s="86"/>
      <x:c r="T422" s="32"/>
    </x:row>
    <x:row r="423">
      <x:c r="A423" s="87"/>
      <x:c r="B423" s="88"/>
      <x:c r="D423" s="32"/>
      <x:c r="G423" s="74"/>
      <x:c r="H423" s="74"/>
      <x:c r="I423" s="74"/>
      <x:c r="J423" s="74"/>
      <x:c r="K423" s="74"/>
      <x:c r="L423" s="91"/>
      <x:c r="M423" s="91"/>
      <x:c r="N423" s="91"/>
      <x:c r="O423" s="91"/>
      <x:c r="P423" s="91"/>
      <x:c r="Q423" s="85"/>
      <x:c r="S423" s="86"/>
      <x:c r="T423" s="32"/>
    </x:row>
    <x:row r="424">
      <x:c r="A424" s="87"/>
      <x:c r="B424" s="88"/>
      <x:c r="D424" s="32"/>
      <x:c r="G424" s="74"/>
      <x:c r="H424" s="74"/>
      <x:c r="I424" s="74"/>
      <x:c r="J424" s="74"/>
      <x:c r="K424" s="74"/>
      <x:c r="L424" s="91"/>
      <x:c r="M424" s="91"/>
      <x:c r="N424" s="91"/>
      <x:c r="O424" s="91"/>
      <x:c r="P424" s="91"/>
      <x:c r="Q424" s="85"/>
      <x:c r="S424" s="86"/>
      <x:c r="T424" s="32"/>
    </x:row>
    <x:row r="425">
      <x:c r="A425" s="87"/>
      <x:c r="B425" s="88"/>
      <x:c r="D425" s="32"/>
      <x:c r="G425" s="74"/>
      <x:c r="H425" s="74"/>
      <x:c r="I425" s="74"/>
      <x:c r="J425" s="74"/>
      <x:c r="K425" s="74"/>
      <x:c r="L425" s="91"/>
      <x:c r="M425" s="91"/>
      <x:c r="N425" s="91"/>
      <x:c r="O425" s="91"/>
      <x:c r="P425" s="91"/>
      <x:c r="Q425" s="85"/>
      <x:c r="S425" s="86"/>
      <x:c r="T425" s="32"/>
    </x:row>
    <x:row r="426">
      <x:c r="A426" s="87"/>
      <x:c r="B426" s="88"/>
      <x:c r="D426" s="32"/>
      <x:c r="G426" s="74"/>
      <x:c r="H426" s="74"/>
      <x:c r="I426" s="74"/>
      <x:c r="J426" s="74"/>
      <x:c r="K426" s="74"/>
      <x:c r="L426" s="91"/>
      <x:c r="M426" s="91"/>
      <x:c r="N426" s="91"/>
      <x:c r="O426" s="91"/>
      <x:c r="P426" s="91"/>
      <x:c r="Q426" s="85"/>
      <x:c r="S426" s="86"/>
      <x:c r="T426" s="32"/>
    </x:row>
    <x:row r="427">
      <x:c r="A427" s="87"/>
      <x:c r="B427" s="88"/>
      <x:c r="D427" s="32"/>
      <x:c r="G427" s="74"/>
      <x:c r="H427" s="74"/>
      <x:c r="I427" s="74"/>
      <x:c r="J427" s="74"/>
      <x:c r="K427" s="74"/>
      <x:c r="L427" s="91"/>
      <x:c r="M427" s="91"/>
      <x:c r="N427" s="91"/>
      <x:c r="O427" s="91"/>
      <x:c r="P427" s="91"/>
      <x:c r="Q427" s="85"/>
      <x:c r="S427" s="86"/>
      <x:c r="T427" s="32"/>
    </x:row>
    <x:row r="428">
      <x:c r="A428" s="87"/>
      <x:c r="B428" s="88"/>
      <x:c r="D428" s="32"/>
      <x:c r="G428" s="74"/>
      <x:c r="H428" s="74"/>
      <x:c r="I428" s="74"/>
      <x:c r="J428" s="74"/>
      <x:c r="K428" s="74"/>
      <x:c r="L428" s="91"/>
      <x:c r="M428" s="91"/>
      <x:c r="N428" s="91"/>
      <x:c r="O428" s="91"/>
      <x:c r="P428" s="91"/>
      <x:c r="Q428" s="85"/>
      <x:c r="S428" s="86"/>
      <x:c r="T428" s="32"/>
    </x:row>
    <x:row r="429">
      <x:c r="A429" s="87"/>
      <x:c r="B429" s="88"/>
      <x:c r="D429" s="32"/>
      <x:c r="G429" s="74"/>
      <x:c r="H429" s="74"/>
      <x:c r="I429" s="74"/>
      <x:c r="J429" s="74"/>
      <x:c r="K429" s="74"/>
      <x:c r="L429" s="91"/>
      <x:c r="M429" s="91"/>
      <x:c r="N429" s="91"/>
      <x:c r="O429" s="91"/>
      <x:c r="P429" s="91"/>
      <x:c r="Q429" s="85"/>
      <x:c r="S429" s="86"/>
      <x:c r="T429" s="32"/>
    </x:row>
    <x:row r="430">
      <x:c r="A430" s="87"/>
      <x:c r="B430" s="88"/>
      <x:c r="D430" s="32"/>
      <x:c r="G430" s="74"/>
      <x:c r="H430" s="74"/>
      <x:c r="I430" s="74"/>
      <x:c r="J430" s="74"/>
      <x:c r="K430" s="74"/>
      <x:c r="L430" s="91"/>
      <x:c r="M430" s="91"/>
      <x:c r="N430" s="91"/>
      <x:c r="O430" s="91"/>
      <x:c r="P430" s="91"/>
      <x:c r="Q430" s="85"/>
      <x:c r="S430" s="86"/>
      <x:c r="T430" s="32"/>
    </x:row>
    <x:row r="431">
      <x:c r="A431" s="87"/>
      <x:c r="B431" s="88"/>
      <x:c r="D431" s="32"/>
      <x:c r="G431" s="74"/>
      <x:c r="H431" s="74"/>
      <x:c r="I431" s="74"/>
      <x:c r="J431" s="74"/>
      <x:c r="K431" s="74"/>
      <x:c r="L431" s="91"/>
      <x:c r="M431" s="91"/>
      <x:c r="N431" s="91"/>
      <x:c r="O431" s="91"/>
      <x:c r="P431" s="91"/>
      <x:c r="Q431" s="85"/>
      <x:c r="S431" s="86"/>
      <x:c r="T431" s="32"/>
    </x:row>
    <x:row r="432">
      <x:c r="A432" s="87"/>
      <x:c r="B432" s="88"/>
      <x:c r="D432" s="32"/>
      <x:c r="G432" s="74"/>
      <x:c r="H432" s="74"/>
      <x:c r="I432" s="74"/>
      <x:c r="J432" s="74"/>
      <x:c r="K432" s="74"/>
      <x:c r="L432" s="91"/>
      <x:c r="M432" s="91"/>
      <x:c r="N432" s="91"/>
      <x:c r="O432" s="91"/>
      <x:c r="P432" s="91"/>
      <x:c r="Q432" s="85"/>
      <x:c r="S432" s="86"/>
      <x:c r="T432" s="32"/>
    </x:row>
    <x:row r="433">
      <x:c r="A433" s="87"/>
      <x:c r="B433" s="88"/>
      <x:c r="D433" s="32"/>
      <x:c r="G433" s="74"/>
      <x:c r="H433" s="74"/>
      <x:c r="I433" s="74"/>
      <x:c r="J433" s="74"/>
      <x:c r="K433" s="74"/>
      <x:c r="L433" s="91"/>
      <x:c r="M433" s="91"/>
      <x:c r="N433" s="91"/>
      <x:c r="O433" s="91"/>
      <x:c r="P433" s="91"/>
      <x:c r="Q433" s="85"/>
      <x:c r="S433" s="86"/>
      <x:c r="T433" s="32"/>
    </x:row>
    <x:row r="434">
      <x:c r="A434" s="87"/>
      <x:c r="B434" s="88"/>
      <x:c r="D434" s="32"/>
      <x:c r="G434" s="74"/>
      <x:c r="H434" s="74"/>
      <x:c r="I434" s="74"/>
      <x:c r="J434" s="74"/>
      <x:c r="K434" s="74"/>
      <x:c r="L434" s="91"/>
      <x:c r="M434" s="91"/>
      <x:c r="N434" s="91"/>
      <x:c r="O434" s="91"/>
      <x:c r="P434" s="91"/>
      <x:c r="Q434" s="85"/>
      <x:c r="S434" s="86"/>
      <x:c r="T434" s="32"/>
    </x:row>
    <x:row r="435">
      <x:c r="A435" s="87"/>
      <x:c r="B435" s="88"/>
      <x:c r="D435" s="32"/>
      <x:c r="G435" s="74"/>
      <x:c r="H435" s="74"/>
      <x:c r="I435" s="74"/>
      <x:c r="J435" s="74"/>
      <x:c r="K435" s="74"/>
      <x:c r="L435" s="91"/>
      <x:c r="M435" s="91"/>
      <x:c r="N435" s="91"/>
      <x:c r="O435" s="91"/>
      <x:c r="P435" s="91"/>
      <x:c r="Q435" s="85"/>
      <x:c r="S435" s="86"/>
      <x:c r="T435" s="32"/>
    </x:row>
    <x:row r="436">
      <x:c r="A436" s="87"/>
      <x:c r="B436" s="88"/>
      <x:c r="D436" s="32"/>
      <x:c r="G436" s="74"/>
      <x:c r="H436" s="74"/>
      <x:c r="I436" s="74"/>
      <x:c r="J436" s="74"/>
      <x:c r="K436" s="74"/>
      <x:c r="L436" s="91"/>
      <x:c r="M436" s="91"/>
      <x:c r="N436" s="91"/>
      <x:c r="O436" s="91"/>
      <x:c r="P436" s="91"/>
      <x:c r="Q436" s="85"/>
      <x:c r="S436" s="86"/>
      <x:c r="T436" s="32"/>
    </x:row>
    <x:row r="437">
      <x:c r="A437" s="87"/>
      <x:c r="B437" s="88"/>
      <x:c r="D437" s="32"/>
      <x:c r="G437" s="74"/>
      <x:c r="H437" s="74"/>
      <x:c r="I437" s="74"/>
      <x:c r="J437" s="74"/>
      <x:c r="K437" s="74"/>
      <x:c r="L437" s="91"/>
      <x:c r="M437" s="91"/>
      <x:c r="N437" s="91"/>
      <x:c r="O437" s="91"/>
      <x:c r="P437" s="91"/>
      <x:c r="Q437" s="85"/>
      <x:c r="S437" s="86"/>
      <x:c r="T437" s="32"/>
    </x:row>
    <x:row r="438">
      <x:c r="A438" s="87"/>
      <x:c r="B438" s="88"/>
      <x:c r="D438" s="32"/>
      <x:c r="G438" s="74"/>
      <x:c r="H438" s="74"/>
      <x:c r="I438" s="74"/>
      <x:c r="J438" s="74"/>
      <x:c r="K438" s="74"/>
      <x:c r="L438" s="91"/>
      <x:c r="M438" s="91"/>
      <x:c r="N438" s="91"/>
      <x:c r="O438" s="91"/>
      <x:c r="P438" s="91"/>
      <x:c r="Q438" s="85"/>
      <x:c r="S438" s="86"/>
      <x:c r="T438" s="32"/>
    </x:row>
    <x:row r="439">
      <x:c r="A439" s="87"/>
      <x:c r="B439" s="88"/>
      <x:c r="D439" s="32"/>
      <x:c r="G439" s="74"/>
      <x:c r="H439" s="74"/>
      <x:c r="I439" s="74"/>
      <x:c r="J439" s="74"/>
      <x:c r="K439" s="74"/>
      <x:c r="L439" s="91"/>
      <x:c r="M439" s="91"/>
      <x:c r="N439" s="91"/>
      <x:c r="O439" s="91"/>
      <x:c r="P439" s="91"/>
      <x:c r="Q439" s="85"/>
      <x:c r="S439" s="86"/>
      <x:c r="T439" s="32"/>
    </x:row>
    <x:row r="440">
      <x:c r="A440" s="87"/>
      <x:c r="B440" s="88"/>
      <x:c r="D440" s="32"/>
      <x:c r="G440" s="74"/>
      <x:c r="H440" s="74"/>
      <x:c r="I440" s="74"/>
      <x:c r="J440" s="74"/>
      <x:c r="K440" s="74"/>
      <x:c r="L440" s="91"/>
      <x:c r="M440" s="91"/>
      <x:c r="N440" s="91"/>
      <x:c r="O440" s="91"/>
      <x:c r="P440" s="91"/>
      <x:c r="Q440" s="85"/>
      <x:c r="S440" s="86"/>
      <x:c r="T440" s="32"/>
    </x:row>
    <x:row r="441">
      <x:c r="A441" s="87"/>
      <x:c r="B441" s="88"/>
      <x:c r="D441" s="32"/>
      <x:c r="G441" s="74"/>
      <x:c r="H441" s="74"/>
      <x:c r="I441" s="74"/>
      <x:c r="J441" s="74"/>
      <x:c r="K441" s="74"/>
      <x:c r="L441" s="91"/>
      <x:c r="M441" s="91"/>
      <x:c r="N441" s="91"/>
      <x:c r="O441" s="91"/>
      <x:c r="P441" s="91"/>
      <x:c r="Q441" s="85"/>
      <x:c r="S441" s="86"/>
      <x:c r="T441" s="32"/>
    </x:row>
    <x:row r="442">
      <x:c r="A442" s="87"/>
      <x:c r="B442" s="88"/>
      <x:c r="D442" s="32"/>
      <x:c r="G442" s="74"/>
      <x:c r="H442" s="74"/>
      <x:c r="I442" s="74"/>
      <x:c r="J442" s="74"/>
      <x:c r="K442" s="74"/>
      <x:c r="L442" s="91"/>
      <x:c r="M442" s="91"/>
      <x:c r="N442" s="91"/>
      <x:c r="O442" s="91"/>
      <x:c r="P442" s="91"/>
      <x:c r="Q442" s="85"/>
      <x:c r="S442" s="86"/>
      <x:c r="T442" s="32"/>
    </x:row>
    <x:row r="443">
      <x:c r="A443" s="87"/>
      <x:c r="B443" s="88"/>
      <x:c r="D443" s="32"/>
      <x:c r="G443" s="74"/>
      <x:c r="H443" s="74"/>
      <x:c r="I443" s="74"/>
      <x:c r="J443" s="74"/>
      <x:c r="K443" s="74"/>
      <x:c r="L443" s="91"/>
      <x:c r="M443" s="91"/>
      <x:c r="N443" s="91"/>
      <x:c r="O443" s="91"/>
      <x:c r="P443" s="91"/>
      <x:c r="Q443" s="85"/>
      <x:c r="S443" s="86"/>
      <x:c r="T443" s="32"/>
    </x:row>
    <x:row r="444">
      <x:c r="A444" s="87"/>
      <x:c r="B444" s="88"/>
      <x:c r="D444" s="32"/>
      <x:c r="G444" s="74"/>
      <x:c r="H444" s="74"/>
      <x:c r="I444" s="74"/>
      <x:c r="J444" s="74"/>
      <x:c r="K444" s="74"/>
      <x:c r="L444" s="91"/>
      <x:c r="M444" s="91"/>
      <x:c r="N444" s="91"/>
      <x:c r="O444" s="91"/>
      <x:c r="P444" s="91"/>
      <x:c r="Q444" s="85"/>
      <x:c r="S444" s="86"/>
      <x:c r="T444" s="32"/>
    </x:row>
    <x:row r="445">
      <x:c r="A445" s="87"/>
      <x:c r="B445" s="88"/>
      <x:c r="D445" s="32"/>
      <x:c r="G445" s="74"/>
      <x:c r="H445" s="74"/>
      <x:c r="I445" s="74"/>
      <x:c r="J445" s="74"/>
      <x:c r="K445" s="74"/>
      <x:c r="L445" s="91"/>
      <x:c r="M445" s="91"/>
      <x:c r="N445" s="91"/>
      <x:c r="O445" s="91"/>
      <x:c r="P445" s="91"/>
      <x:c r="Q445" s="85"/>
      <x:c r="S445" s="86"/>
      <x:c r="T445" s="32"/>
    </x:row>
    <x:row r="446">
      <x:c r="A446" s="87"/>
      <x:c r="B446" s="88"/>
      <x:c r="D446" s="32"/>
      <x:c r="G446" s="74"/>
      <x:c r="H446" s="74"/>
      <x:c r="I446" s="74"/>
      <x:c r="J446" s="74"/>
      <x:c r="K446" s="74"/>
      <x:c r="L446" s="91"/>
      <x:c r="M446" s="91"/>
      <x:c r="N446" s="91"/>
      <x:c r="O446" s="91"/>
      <x:c r="P446" s="91"/>
      <x:c r="Q446" s="85"/>
      <x:c r="S446" s="86"/>
      <x:c r="T446" s="32"/>
    </x:row>
    <x:row r="447">
      <x:c r="A447" s="87"/>
      <x:c r="B447" s="88"/>
      <x:c r="D447" s="32"/>
      <x:c r="G447" s="74"/>
      <x:c r="H447" s="74"/>
      <x:c r="I447" s="74"/>
      <x:c r="J447" s="74"/>
      <x:c r="K447" s="74"/>
      <x:c r="L447" s="91"/>
      <x:c r="M447" s="91"/>
      <x:c r="N447" s="91"/>
      <x:c r="O447" s="91"/>
      <x:c r="P447" s="91"/>
      <x:c r="Q447" s="85"/>
      <x:c r="S447" s="86"/>
      <x:c r="T447" s="32"/>
    </x:row>
    <x:row r="448">
      <x:c r="A448" s="87"/>
      <x:c r="B448" s="88"/>
      <x:c r="D448" s="32"/>
      <x:c r="G448" s="74"/>
      <x:c r="H448" s="74"/>
      <x:c r="I448" s="74"/>
      <x:c r="J448" s="74"/>
      <x:c r="K448" s="74"/>
      <x:c r="L448" s="91"/>
      <x:c r="M448" s="91"/>
      <x:c r="N448" s="91"/>
      <x:c r="O448" s="91"/>
      <x:c r="P448" s="91"/>
      <x:c r="Q448" s="85"/>
      <x:c r="S448" s="86"/>
      <x:c r="T448" s="32"/>
    </x:row>
    <x:row r="449">
      <x:c r="A449" s="87"/>
      <x:c r="B449" s="88"/>
      <x:c r="D449" s="32"/>
      <x:c r="G449" s="74"/>
      <x:c r="H449" s="74"/>
      <x:c r="I449" s="74"/>
      <x:c r="J449" s="74"/>
      <x:c r="K449" s="74"/>
      <x:c r="L449" s="91"/>
      <x:c r="M449" s="91"/>
      <x:c r="N449" s="91"/>
      <x:c r="O449" s="91"/>
      <x:c r="P449" s="91"/>
      <x:c r="Q449" s="85"/>
      <x:c r="S449" s="86"/>
      <x:c r="T449" s="32"/>
    </x:row>
    <x:row r="450">
      <x:c r="A450" s="87"/>
      <x:c r="B450" s="88"/>
      <x:c r="D450" s="32"/>
      <x:c r="G450" s="74"/>
      <x:c r="H450" s="74"/>
      <x:c r="I450" s="74"/>
      <x:c r="J450" s="74"/>
      <x:c r="K450" s="74"/>
      <x:c r="L450" s="91"/>
      <x:c r="M450" s="91"/>
      <x:c r="N450" s="91"/>
      <x:c r="O450" s="91"/>
      <x:c r="P450" s="91"/>
      <x:c r="Q450" s="85"/>
      <x:c r="S450" s="86"/>
      <x:c r="T450" s="32"/>
    </x:row>
    <x:row r="451">
      <x:c r="A451" s="87"/>
      <x:c r="B451" s="88"/>
      <x:c r="D451" s="32"/>
      <x:c r="G451" s="74"/>
      <x:c r="H451" s="74"/>
      <x:c r="I451" s="74"/>
      <x:c r="J451" s="74"/>
      <x:c r="K451" s="74"/>
      <x:c r="L451" s="91"/>
      <x:c r="M451" s="91"/>
      <x:c r="N451" s="91"/>
      <x:c r="O451" s="91"/>
      <x:c r="P451" s="91"/>
      <x:c r="Q451" s="85"/>
      <x:c r="S451" s="86"/>
      <x:c r="T451" s="32"/>
    </x:row>
    <x:row r="452">
      <x:c r="A452" s="87"/>
      <x:c r="B452" s="88"/>
      <x:c r="D452" s="32"/>
      <x:c r="G452" s="74"/>
      <x:c r="H452" s="74"/>
      <x:c r="I452" s="74"/>
      <x:c r="J452" s="74"/>
      <x:c r="K452" s="74"/>
      <x:c r="L452" s="91"/>
      <x:c r="M452" s="91"/>
      <x:c r="N452" s="91"/>
      <x:c r="O452" s="91"/>
      <x:c r="P452" s="91"/>
      <x:c r="Q452" s="85"/>
      <x:c r="S452" s="86"/>
      <x:c r="T452" s="32"/>
    </x:row>
    <x:row r="453">
      <x:c r="A453" s="87"/>
      <x:c r="B453" s="88"/>
      <x:c r="D453" s="32"/>
      <x:c r="G453" s="74"/>
      <x:c r="H453" s="74"/>
      <x:c r="I453" s="74"/>
      <x:c r="J453" s="74"/>
      <x:c r="K453" s="74"/>
      <x:c r="L453" s="91"/>
      <x:c r="M453" s="91"/>
      <x:c r="N453" s="91"/>
      <x:c r="O453" s="91"/>
      <x:c r="P453" s="91"/>
      <x:c r="Q453" s="85"/>
      <x:c r="S453" s="86"/>
      <x:c r="T453" s="32"/>
    </x:row>
    <x:row r="454">
      <x:c r="A454" s="87"/>
      <x:c r="B454" s="88"/>
      <x:c r="D454" s="32"/>
      <x:c r="G454" s="74"/>
      <x:c r="H454" s="74"/>
      <x:c r="I454" s="74"/>
      <x:c r="J454" s="74"/>
      <x:c r="K454" s="74"/>
      <x:c r="L454" s="91"/>
      <x:c r="M454" s="91"/>
      <x:c r="N454" s="91"/>
      <x:c r="O454" s="91"/>
      <x:c r="P454" s="91"/>
      <x:c r="Q454" s="85"/>
      <x:c r="S454" s="86"/>
      <x:c r="T454" s="32"/>
    </x:row>
    <x:row r="455">
      <x:c r="A455" s="87"/>
      <x:c r="B455" s="88"/>
      <x:c r="D455" s="32"/>
      <x:c r="G455" s="74"/>
      <x:c r="H455" s="74"/>
      <x:c r="I455" s="74"/>
      <x:c r="J455" s="74"/>
      <x:c r="K455" s="74"/>
      <x:c r="L455" s="91"/>
      <x:c r="M455" s="91"/>
      <x:c r="N455" s="91"/>
      <x:c r="O455" s="91"/>
      <x:c r="P455" s="91"/>
      <x:c r="Q455" s="85"/>
      <x:c r="S455" s="86"/>
      <x:c r="T455" s="32"/>
    </x:row>
    <x:row r="456">
      <x:c r="A456" s="87"/>
      <x:c r="B456" s="88"/>
      <x:c r="D456" s="32"/>
      <x:c r="G456" s="74"/>
      <x:c r="H456" s="74"/>
      <x:c r="I456" s="74"/>
      <x:c r="J456" s="74"/>
      <x:c r="K456" s="74"/>
      <x:c r="L456" s="91"/>
      <x:c r="M456" s="91"/>
      <x:c r="N456" s="91"/>
      <x:c r="O456" s="91"/>
      <x:c r="P456" s="91"/>
      <x:c r="Q456" s="85"/>
      <x:c r="S456" s="86"/>
      <x:c r="T456" s="32"/>
    </x:row>
    <x:row r="457">
      <x:c r="A457" s="87"/>
      <x:c r="B457" s="88"/>
      <x:c r="D457" s="32"/>
      <x:c r="G457" s="74"/>
      <x:c r="H457" s="74"/>
      <x:c r="I457" s="74"/>
      <x:c r="J457" s="74"/>
      <x:c r="K457" s="74"/>
      <x:c r="L457" s="91"/>
      <x:c r="M457" s="91"/>
      <x:c r="N457" s="91"/>
      <x:c r="O457" s="91"/>
      <x:c r="P457" s="91"/>
      <x:c r="Q457" s="85"/>
      <x:c r="S457" s="86"/>
      <x:c r="T457" s="32"/>
    </x:row>
    <x:row r="458">
      <x:c r="A458" s="87"/>
      <x:c r="B458" s="88"/>
      <x:c r="D458" s="32"/>
      <x:c r="G458" s="74"/>
      <x:c r="H458" s="74"/>
      <x:c r="I458" s="74"/>
      <x:c r="J458" s="74"/>
      <x:c r="K458" s="74"/>
      <x:c r="L458" s="91"/>
      <x:c r="M458" s="91"/>
      <x:c r="N458" s="91"/>
      <x:c r="O458" s="91"/>
      <x:c r="P458" s="91"/>
      <x:c r="Q458" s="85"/>
      <x:c r="S458" s="86"/>
      <x:c r="T458" s="32"/>
    </x:row>
    <x:row r="459">
      <x:c r="A459" s="87"/>
      <x:c r="B459" s="88"/>
      <x:c r="D459" s="32"/>
      <x:c r="G459" s="74"/>
      <x:c r="H459" s="74"/>
      <x:c r="I459" s="74"/>
      <x:c r="J459" s="74"/>
      <x:c r="K459" s="74"/>
      <x:c r="L459" s="91"/>
      <x:c r="M459" s="91"/>
      <x:c r="N459" s="91"/>
      <x:c r="O459" s="91"/>
      <x:c r="P459" s="91"/>
      <x:c r="Q459" s="85"/>
      <x:c r="S459" s="86"/>
      <x:c r="T459" s="32"/>
    </x:row>
    <x:row r="460">
      <x:c r="A460" s="87"/>
      <x:c r="B460" s="88"/>
      <x:c r="D460" s="32"/>
      <x:c r="G460" s="74"/>
      <x:c r="H460" s="74"/>
      <x:c r="I460" s="74"/>
      <x:c r="J460" s="74"/>
      <x:c r="K460" s="74"/>
      <x:c r="L460" s="91"/>
      <x:c r="M460" s="91"/>
      <x:c r="N460" s="91"/>
      <x:c r="O460" s="91"/>
      <x:c r="P460" s="91"/>
      <x:c r="Q460" s="85"/>
      <x:c r="S460" s="86"/>
      <x:c r="T460" s="32"/>
    </x:row>
    <x:row r="461">
      <x:c r="A461" s="87"/>
      <x:c r="B461" s="88"/>
      <x:c r="D461" s="32"/>
      <x:c r="G461" s="74"/>
      <x:c r="H461" s="74"/>
      <x:c r="I461" s="74"/>
      <x:c r="J461" s="74"/>
      <x:c r="K461" s="74"/>
      <x:c r="L461" s="91"/>
      <x:c r="M461" s="91"/>
      <x:c r="N461" s="91"/>
      <x:c r="O461" s="91"/>
      <x:c r="P461" s="91"/>
      <x:c r="Q461" s="85"/>
      <x:c r="S461" s="86"/>
      <x:c r="T461" s="32"/>
    </x:row>
    <x:row r="462">
      <x:c r="A462" s="87"/>
      <x:c r="B462" s="88"/>
      <x:c r="D462" s="32"/>
      <x:c r="G462" s="74"/>
      <x:c r="H462" s="74"/>
      <x:c r="I462" s="74"/>
      <x:c r="J462" s="74"/>
      <x:c r="K462" s="74"/>
      <x:c r="L462" s="91"/>
      <x:c r="M462" s="91"/>
      <x:c r="N462" s="91"/>
      <x:c r="O462" s="91"/>
      <x:c r="P462" s="91"/>
      <x:c r="Q462" s="85"/>
      <x:c r="S462" s="86"/>
      <x:c r="T462" s="32"/>
    </x:row>
    <x:row r="463">
      <x:c r="A463" s="87"/>
      <x:c r="B463" s="88"/>
      <x:c r="D463" s="32"/>
      <x:c r="G463" s="74"/>
      <x:c r="H463" s="74"/>
      <x:c r="I463" s="74"/>
      <x:c r="J463" s="74"/>
      <x:c r="K463" s="74"/>
      <x:c r="L463" s="91"/>
      <x:c r="M463" s="91"/>
      <x:c r="N463" s="91"/>
      <x:c r="O463" s="91"/>
      <x:c r="P463" s="91"/>
      <x:c r="Q463" s="85"/>
      <x:c r="S463" s="86"/>
      <x:c r="T463" s="32"/>
    </x:row>
    <x:row r="464">
      <x:c r="A464" s="87"/>
      <x:c r="B464" s="88"/>
      <x:c r="D464" s="32"/>
      <x:c r="G464" s="74"/>
      <x:c r="H464" s="74"/>
      <x:c r="I464" s="74"/>
      <x:c r="J464" s="74"/>
      <x:c r="K464" s="74"/>
      <x:c r="L464" s="91"/>
      <x:c r="M464" s="91"/>
      <x:c r="N464" s="91"/>
      <x:c r="O464" s="91"/>
      <x:c r="P464" s="91"/>
      <x:c r="Q464" s="85"/>
      <x:c r="S464" s="86"/>
      <x:c r="T464" s="32"/>
    </x:row>
    <x:row r="465">
      <x:c r="A465" s="87"/>
      <x:c r="B465" s="88"/>
      <x:c r="D465" s="32"/>
      <x:c r="G465" s="74"/>
      <x:c r="H465" s="74"/>
      <x:c r="I465" s="74"/>
      <x:c r="J465" s="74"/>
      <x:c r="K465" s="74"/>
      <x:c r="L465" s="91"/>
      <x:c r="M465" s="91"/>
      <x:c r="N465" s="91"/>
      <x:c r="O465" s="91"/>
      <x:c r="P465" s="91"/>
      <x:c r="Q465" s="85"/>
      <x:c r="S465" s="86"/>
      <x:c r="T465" s="32"/>
    </x:row>
    <x:row r="466">
      <x:c r="A466" s="87"/>
      <x:c r="B466" s="88"/>
      <x:c r="D466" s="32"/>
      <x:c r="G466" s="74"/>
      <x:c r="H466" s="74"/>
      <x:c r="I466" s="74"/>
      <x:c r="J466" s="74"/>
      <x:c r="K466" s="74"/>
      <x:c r="L466" s="91"/>
      <x:c r="M466" s="91"/>
      <x:c r="N466" s="91"/>
      <x:c r="O466" s="91"/>
      <x:c r="P466" s="91"/>
      <x:c r="Q466" s="85"/>
      <x:c r="S466" s="86"/>
      <x:c r="T466" s="32"/>
    </x:row>
    <x:row r="467">
      <x:c r="A467" s="87"/>
      <x:c r="B467" s="88"/>
      <x:c r="D467" s="32"/>
      <x:c r="G467" s="74"/>
      <x:c r="H467" s="74"/>
      <x:c r="I467" s="74"/>
      <x:c r="J467" s="74"/>
      <x:c r="K467" s="74"/>
      <x:c r="L467" s="91"/>
      <x:c r="M467" s="91"/>
      <x:c r="N467" s="91"/>
      <x:c r="O467" s="91"/>
      <x:c r="P467" s="91"/>
      <x:c r="Q467" s="85"/>
      <x:c r="S467" s="86"/>
      <x:c r="T467" s="32"/>
    </x:row>
    <x:row r="468">
      <x:c r="A468" s="87"/>
      <x:c r="B468" s="88"/>
      <x:c r="D468" s="32"/>
      <x:c r="G468" s="74"/>
      <x:c r="H468" s="74"/>
      <x:c r="I468" s="74"/>
      <x:c r="J468" s="74"/>
      <x:c r="K468" s="74"/>
      <x:c r="L468" s="91"/>
      <x:c r="M468" s="91"/>
      <x:c r="N468" s="91"/>
      <x:c r="O468" s="91"/>
      <x:c r="P468" s="91"/>
      <x:c r="Q468" s="85"/>
      <x:c r="S468" s="86"/>
      <x:c r="T468" s="32"/>
    </x:row>
    <x:row r="469">
      <x:c r="A469" s="87"/>
      <x:c r="B469" s="88"/>
      <x:c r="D469" s="32"/>
      <x:c r="G469" s="74"/>
      <x:c r="H469" s="74"/>
      <x:c r="I469" s="74"/>
      <x:c r="J469" s="74"/>
      <x:c r="K469" s="74"/>
      <x:c r="L469" s="91"/>
      <x:c r="M469" s="91"/>
      <x:c r="N469" s="91"/>
      <x:c r="O469" s="91"/>
      <x:c r="P469" s="91"/>
      <x:c r="Q469" s="85"/>
      <x:c r="S469" s="86"/>
      <x:c r="T469" s="32"/>
    </x:row>
    <x:row r="470">
      <x:c r="A470" s="87"/>
      <x:c r="B470" s="88"/>
      <x:c r="D470" s="32"/>
      <x:c r="G470" s="74"/>
      <x:c r="H470" s="74"/>
      <x:c r="I470" s="74"/>
      <x:c r="J470" s="74"/>
      <x:c r="K470" s="74"/>
      <x:c r="L470" s="91"/>
      <x:c r="M470" s="91"/>
      <x:c r="N470" s="91"/>
      <x:c r="O470" s="91"/>
      <x:c r="P470" s="91"/>
      <x:c r="Q470" s="85"/>
      <x:c r="S470" s="86"/>
      <x:c r="T470" s="32"/>
    </x:row>
    <x:row r="471">
      <x:c r="A471" s="87"/>
      <x:c r="B471" s="88"/>
      <x:c r="D471" s="32"/>
      <x:c r="G471" s="74"/>
      <x:c r="H471" s="74"/>
      <x:c r="I471" s="74"/>
      <x:c r="J471" s="74"/>
      <x:c r="K471" s="74"/>
      <x:c r="L471" s="91"/>
      <x:c r="M471" s="91"/>
      <x:c r="N471" s="91"/>
      <x:c r="O471" s="91"/>
      <x:c r="P471" s="91"/>
      <x:c r="Q471" s="85"/>
      <x:c r="S471" s="86"/>
      <x:c r="T471" s="32"/>
    </x:row>
    <x:row r="472">
      <x:c r="A472" s="87"/>
      <x:c r="B472" s="88"/>
      <x:c r="D472" s="32"/>
      <x:c r="G472" s="74"/>
      <x:c r="H472" s="74"/>
      <x:c r="I472" s="74"/>
      <x:c r="J472" s="74"/>
      <x:c r="K472" s="74"/>
      <x:c r="L472" s="91"/>
      <x:c r="M472" s="91"/>
      <x:c r="N472" s="91"/>
      <x:c r="O472" s="91"/>
      <x:c r="P472" s="91"/>
      <x:c r="Q472" s="85"/>
      <x:c r="S472" s="86"/>
      <x:c r="T472" s="32"/>
    </x:row>
    <x:row r="473">
      <x:c r="A473" s="87"/>
      <x:c r="B473" s="88"/>
      <x:c r="D473" s="32"/>
      <x:c r="G473" s="74"/>
      <x:c r="H473" s="74"/>
      <x:c r="I473" s="74"/>
      <x:c r="J473" s="74"/>
      <x:c r="K473" s="74"/>
      <x:c r="L473" s="91"/>
      <x:c r="M473" s="91"/>
      <x:c r="N473" s="91"/>
      <x:c r="O473" s="91"/>
      <x:c r="P473" s="91"/>
      <x:c r="Q473" s="85"/>
      <x:c r="S473" s="86"/>
      <x:c r="T473" s="32"/>
    </x:row>
    <x:row r="474">
      <x:c r="A474" s="87"/>
      <x:c r="B474" s="88"/>
      <x:c r="D474" s="32"/>
      <x:c r="G474" s="74"/>
      <x:c r="H474" s="74"/>
      <x:c r="I474" s="74"/>
      <x:c r="J474" s="74"/>
      <x:c r="K474" s="74"/>
      <x:c r="L474" s="91"/>
      <x:c r="M474" s="91"/>
      <x:c r="N474" s="91"/>
      <x:c r="O474" s="91"/>
      <x:c r="P474" s="91"/>
      <x:c r="Q474" s="85"/>
      <x:c r="S474" s="86"/>
      <x:c r="T474" s="32"/>
    </x:row>
    <x:row r="475">
      <x:c r="A475" s="87"/>
      <x:c r="B475" s="88"/>
      <x:c r="D475" s="32"/>
      <x:c r="G475" s="74"/>
      <x:c r="H475" s="74"/>
      <x:c r="I475" s="74"/>
      <x:c r="J475" s="74"/>
      <x:c r="K475" s="74"/>
      <x:c r="L475" s="91"/>
      <x:c r="M475" s="91"/>
      <x:c r="N475" s="91"/>
      <x:c r="O475" s="91"/>
      <x:c r="P475" s="91"/>
      <x:c r="Q475" s="85"/>
      <x:c r="S475" s="86"/>
      <x:c r="T475" s="32"/>
    </x:row>
    <x:row r="476">
      <x:c r="A476" s="87"/>
      <x:c r="B476" s="88"/>
      <x:c r="D476" s="32"/>
      <x:c r="G476" s="74"/>
      <x:c r="H476" s="74"/>
      <x:c r="I476" s="74"/>
      <x:c r="J476" s="74"/>
      <x:c r="K476" s="74"/>
      <x:c r="L476" s="91"/>
      <x:c r="M476" s="91"/>
      <x:c r="N476" s="91"/>
      <x:c r="O476" s="91"/>
      <x:c r="P476" s="91"/>
      <x:c r="Q476" s="85"/>
      <x:c r="S476" s="86"/>
      <x:c r="T476" s="32"/>
    </x:row>
    <x:row r="477">
      <x:c r="A477" s="87"/>
      <x:c r="B477" s="88"/>
      <x:c r="D477" s="32"/>
      <x:c r="G477" s="74"/>
      <x:c r="H477" s="74"/>
      <x:c r="I477" s="74"/>
      <x:c r="J477" s="74"/>
      <x:c r="K477" s="74"/>
      <x:c r="L477" s="91"/>
      <x:c r="M477" s="91"/>
      <x:c r="N477" s="91"/>
      <x:c r="O477" s="91"/>
      <x:c r="P477" s="91"/>
      <x:c r="Q477" s="85"/>
      <x:c r="S477" s="86"/>
      <x:c r="T477" s="32"/>
    </x:row>
    <x:row r="478">
      <x:c r="A478" s="87"/>
      <x:c r="B478" s="88"/>
      <x:c r="D478" s="32"/>
      <x:c r="G478" s="74"/>
      <x:c r="H478" s="74"/>
      <x:c r="I478" s="74"/>
      <x:c r="J478" s="74"/>
      <x:c r="K478" s="74"/>
      <x:c r="L478" s="91"/>
      <x:c r="M478" s="91"/>
      <x:c r="N478" s="91"/>
      <x:c r="O478" s="91"/>
      <x:c r="P478" s="91"/>
      <x:c r="Q478" s="85"/>
      <x:c r="S478" s="86"/>
      <x:c r="T478" s="32"/>
    </x:row>
    <x:row r="479">
      <x:c r="A479" s="87"/>
      <x:c r="B479" s="88"/>
      <x:c r="D479" s="32"/>
      <x:c r="G479" s="74"/>
      <x:c r="H479" s="74"/>
      <x:c r="I479" s="74"/>
      <x:c r="J479" s="74"/>
      <x:c r="K479" s="74"/>
      <x:c r="L479" s="91"/>
      <x:c r="M479" s="91"/>
      <x:c r="N479" s="91"/>
      <x:c r="O479" s="91"/>
      <x:c r="P479" s="91"/>
      <x:c r="Q479" s="85"/>
      <x:c r="S479" s="86"/>
      <x:c r="T479" s="32"/>
    </x:row>
    <x:row r="480">
      <x:c r="A480" s="87"/>
      <x:c r="B480" s="88"/>
      <x:c r="D480" s="32"/>
      <x:c r="G480" s="74"/>
      <x:c r="H480" s="74"/>
      <x:c r="I480" s="74"/>
      <x:c r="J480" s="74"/>
      <x:c r="K480" s="74"/>
      <x:c r="L480" s="91"/>
      <x:c r="M480" s="91"/>
      <x:c r="N480" s="91"/>
      <x:c r="O480" s="91"/>
      <x:c r="P480" s="91"/>
      <x:c r="Q480" s="85"/>
      <x:c r="S480" s="86"/>
      <x:c r="T480" s="32"/>
    </x:row>
    <x:row r="481">
      <x:c r="A481" s="87"/>
      <x:c r="B481" s="88"/>
      <x:c r="D481" s="32"/>
      <x:c r="G481" s="74"/>
      <x:c r="H481" s="74"/>
      <x:c r="I481" s="74"/>
      <x:c r="J481" s="74"/>
      <x:c r="K481" s="74"/>
      <x:c r="L481" s="91"/>
      <x:c r="M481" s="91"/>
      <x:c r="N481" s="91"/>
      <x:c r="O481" s="91"/>
      <x:c r="P481" s="91"/>
      <x:c r="Q481" s="85"/>
      <x:c r="S481" s="86"/>
      <x:c r="T481" s="32"/>
    </x:row>
    <x:row r="482">
      <x:c r="A482" s="87"/>
      <x:c r="B482" s="88"/>
      <x:c r="D482" s="32"/>
      <x:c r="G482" s="74"/>
      <x:c r="H482" s="74"/>
      <x:c r="I482" s="74"/>
      <x:c r="J482" s="74"/>
      <x:c r="K482" s="74"/>
      <x:c r="L482" s="91"/>
      <x:c r="M482" s="91"/>
      <x:c r="N482" s="91"/>
      <x:c r="O482" s="91"/>
      <x:c r="P482" s="91"/>
      <x:c r="Q482" s="85"/>
      <x:c r="S482" s="86"/>
      <x:c r="T482" s="32"/>
    </x:row>
    <x:row r="483">
      <x:c r="A483" s="87"/>
      <x:c r="B483" s="88"/>
      <x:c r="D483" s="32"/>
      <x:c r="G483" s="74"/>
      <x:c r="H483" s="74"/>
      <x:c r="I483" s="74"/>
      <x:c r="J483" s="74"/>
      <x:c r="K483" s="74"/>
      <x:c r="L483" s="91"/>
      <x:c r="M483" s="91"/>
      <x:c r="N483" s="91"/>
      <x:c r="O483" s="91"/>
      <x:c r="P483" s="91"/>
      <x:c r="Q483" s="85"/>
      <x:c r="S483" s="86"/>
      <x:c r="T483" s="32"/>
    </x:row>
    <x:row r="484">
      <x:c r="A484" s="87"/>
      <x:c r="B484" s="88"/>
      <x:c r="D484" s="32"/>
      <x:c r="G484" s="74"/>
      <x:c r="H484" s="74"/>
      <x:c r="I484" s="74"/>
      <x:c r="J484" s="74"/>
      <x:c r="K484" s="74"/>
      <x:c r="L484" s="91"/>
      <x:c r="M484" s="91"/>
      <x:c r="N484" s="91"/>
      <x:c r="O484" s="91"/>
      <x:c r="P484" s="91"/>
      <x:c r="Q484" s="85"/>
      <x:c r="S484" s="86"/>
      <x:c r="T484" s="32"/>
    </x:row>
    <x:row r="485">
      <x:c r="A485" s="87"/>
      <x:c r="B485" s="88"/>
      <x:c r="D485" s="32"/>
      <x:c r="G485" s="74"/>
      <x:c r="H485" s="74"/>
      <x:c r="I485" s="74"/>
      <x:c r="J485" s="74"/>
      <x:c r="K485" s="74"/>
      <x:c r="L485" s="91"/>
      <x:c r="M485" s="91"/>
      <x:c r="N485" s="91"/>
      <x:c r="O485" s="91"/>
      <x:c r="P485" s="91"/>
      <x:c r="Q485" s="85"/>
      <x:c r="S485" s="86"/>
      <x:c r="T485" s="32"/>
    </x:row>
    <x:row r="486">
      <x:c r="A486" s="87"/>
      <x:c r="B486" s="88"/>
      <x:c r="D486" s="32"/>
      <x:c r="G486" s="74"/>
      <x:c r="H486" s="74"/>
      <x:c r="I486" s="74"/>
      <x:c r="J486" s="74"/>
      <x:c r="K486" s="74"/>
      <x:c r="L486" s="91"/>
      <x:c r="M486" s="91"/>
      <x:c r="N486" s="91"/>
      <x:c r="O486" s="91"/>
      <x:c r="P486" s="91"/>
      <x:c r="Q486" s="85"/>
      <x:c r="S486" s="86"/>
      <x:c r="T486" s="32"/>
    </x:row>
    <x:row r="487">
      <x:c r="A487" s="87"/>
      <x:c r="B487" s="88"/>
      <x:c r="D487" s="32"/>
      <x:c r="G487" s="74"/>
      <x:c r="H487" s="74"/>
      <x:c r="I487" s="74"/>
      <x:c r="J487" s="74"/>
      <x:c r="K487" s="74"/>
      <x:c r="L487" s="91"/>
      <x:c r="M487" s="91"/>
      <x:c r="N487" s="91"/>
      <x:c r="O487" s="91"/>
      <x:c r="P487" s="91"/>
      <x:c r="Q487" s="85"/>
      <x:c r="S487" s="86"/>
      <x:c r="T487" s="32"/>
    </x:row>
    <x:row r="488">
      <x:c r="A488" s="87"/>
      <x:c r="B488" s="88"/>
      <x:c r="D488" s="32"/>
      <x:c r="G488" s="74"/>
      <x:c r="H488" s="74"/>
      <x:c r="I488" s="74"/>
      <x:c r="J488" s="74"/>
      <x:c r="K488" s="74"/>
      <x:c r="L488" s="91"/>
      <x:c r="M488" s="91"/>
      <x:c r="N488" s="91"/>
      <x:c r="O488" s="91"/>
      <x:c r="P488" s="91"/>
      <x:c r="Q488" s="85"/>
      <x:c r="S488" s="86"/>
      <x:c r="T488" s="32"/>
    </x:row>
    <x:row r="489">
      <x:c r="A489" s="87"/>
      <x:c r="B489" s="88"/>
      <x:c r="D489" s="32"/>
      <x:c r="G489" s="74"/>
      <x:c r="H489" s="74"/>
      <x:c r="I489" s="74"/>
      <x:c r="J489" s="74"/>
      <x:c r="K489" s="74"/>
      <x:c r="L489" s="91"/>
      <x:c r="M489" s="91"/>
      <x:c r="N489" s="91"/>
      <x:c r="O489" s="91"/>
      <x:c r="P489" s="91"/>
      <x:c r="Q489" s="85"/>
      <x:c r="S489" s="86"/>
      <x:c r="T489" s="32"/>
    </x:row>
    <x:row r="490">
      <x:c r="A490" s="87"/>
      <x:c r="B490" s="88"/>
      <x:c r="D490" s="32"/>
      <x:c r="G490" s="74"/>
      <x:c r="H490" s="74"/>
      <x:c r="I490" s="74"/>
      <x:c r="J490" s="74"/>
      <x:c r="K490" s="74"/>
      <x:c r="L490" s="91"/>
      <x:c r="M490" s="91"/>
      <x:c r="N490" s="91"/>
      <x:c r="O490" s="91"/>
      <x:c r="P490" s="91"/>
      <x:c r="Q490" s="85"/>
      <x:c r="S490" s="86"/>
      <x:c r="T490" s="32"/>
    </x:row>
    <x:row r="491">
      <x:c r="A491" s="87"/>
      <x:c r="B491" s="88"/>
      <x:c r="D491" s="32"/>
      <x:c r="G491" s="74"/>
      <x:c r="H491" s="74"/>
      <x:c r="I491" s="74"/>
      <x:c r="J491" s="74"/>
      <x:c r="K491" s="74"/>
      <x:c r="L491" s="91"/>
      <x:c r="M491" s="91"/>
      <x:c r="N491" s="91"/>
      <x:c r="O491" s="91"/>
      <x:c r="P491" s="91"/>
      <x:c r="Q491" s="85"/>
      <x:c r="S491" s="86"/>
      <x:c r="T491" s="32"/>
    </x:row>
    <x:row r="492">
      <x:c r="A492" s="87"/>
      <x:c r="B492" s="88"/>
      <x:c r="D492" s="32"/>
      <x:c r="G492" s="74"/>
      <x:c r="H492" s="74"/>
      <x:c r="I492" s="74"/>
      <x:c r="J492" s="74"/>
      <x:c r="K492" s="74"/>
      <x:c r="L492" s="91"/>
      <x:c r="M492" s="91"/>
      <x:c r="N492" s="91"/>
      <x:c r="O492" s="91"/>
      <x:c r="P492" s="91"/>
      <x:c r="Q492" s="85"/>
      <x:c r="S492" s="86"/>
      <x:c r="T492" s="32"/>
    </x:row>
    <x:row r="493">
      <x:c r="A493" s="87"/>
      <x:c r="B493" s="88"/>
      <x:c r="D493" s="32"/>
      <x:c r="G493" s="74"/>
      <x:c r="H493" s="74"/>
      <x:c r="I493" s="74"/>
      <x:c r="J493" s="74"/>
      <x:c r="K493" s="74"/>
      <x:c r="L493" s="91"/>
      <x:c r="M493" s="91"/>
      <x:c r="N493" s="91"/>
      <x:c r="O493" s="91"/>
      <x:c r="P493" s="91"/>
      <x:c r="Q493" s="85"/>
      <x:c r="S493" s="86"/>
      <x:c r="T493" s="32"/>
    </x:row>
    <x:row r="494">
      <x:c r="A494" s="87"/>
      <x:c r="B494" s="88"/>
      <x:c r="D494" s="32"/>
      <x:c r="G494" s="74"/>
      <x:c r="H494" s="74"/>
      <x:c r="I494" s="74"/>
      <x:c r="J494" s="74"/>
      <x:c r="K494" s="74"/>
      <x:c r="L494" s="91"/>
      <x:c r="M494" s="91"/>
      <x:c r="N494" s="91"/>
      <x:c r="O494" s="91"/>
      <x:c r="P494" s="91"/>
      <x:c r="Q494" s="85"/>
      <x:c r="S494" s="86"/>
      <x:c r="T494" s="32"/>
    </x:row>
    <x:row r="495">
      <x:c r="A495" s="87"/>
      <x:c r="B495" s="88"/>
      <x:c r="D495" s="32"/>
      <x:c r="G495" s="74"/>
      <x:c r="H495" s="74"/>
      <x:c r="I495" s="74"/>
      <x:c r="J495" s="74"/>
      <x:c r="K495" s="74"/>
      <x:c r="L495" s="91"/>
      <x:c r="M495" s="91"/>
      <x:c r="N495" s="91"/>
      <x:c r="O495" s="91"/>
      <x:c r="P495" s="91"/>
      <x:c r="Q495" s="85"/>
      <x:c r="S495" s="86"/>
      <x:c r="T495" s="32"/>
    </x:row>
    <x:row r="496">
      <x:c r="A496" s="87"/>
      <x:c r="B496" s="88"/>
      <x:c r="D496" s="32"/>
      <x:c r="G496" s="74"/>
      <x:c r="H496" s="74"/>
      <x:c r="I496" s="74"/>
      <x:c r="J496" s="74"/>
      <x:c r="K496" s="74"/>
      <x:c r="L496" s="91"/>
      <x:c r="M496" s="91"/>
      <x:c r="N496" s="91"/>
      <x:c r="O496" s="91"/>
      <x:c r="P496" s="91"/>
      <x:c r="Q496" s="85"/>
      <x:c r="S496" s="86"/>
      <x:c r="T496" s="32"/>
    </x:row>
    <x:row r="497">
      <x:c r="A497" s="87"/>
      <x:c r="B497" s="88"/>
      <x:c r="D497" s="32"/>
      <x:c r="G497" s="74"/>
      <x:c r="H497" s="74"/>
      <x:c r="I497" s="74"/>
      <x:c r="J497" s="74"/>
      <x:c r="K497" s="74"/>
      <x:c r="L497" s="91"/>
      <x:c r="M497" s="91"/>
      <x:c r="N497" s="91"/>
      <x:c r="O497" s="91"/>
      <x:c r="P497" s="91"/>
      <x:c r="Q497" s="85"/>
      <x:c r="S497" s="86"/>
      <x:c r="T497" s="32"/>
    </x:row>
    <x:row r="498">
      <x:c r="A498" s="87"/>
      <x:c r="B498" s="88"/>
      <x:c r="D498" s="32"/>
      <x:c r="G498" s="74"/>
      <x:c r="H498" s="74"/>
      <x:c r="I498" s="74"/>
      <x:c r="J498" s="74"/>
      <x:c r="K498" s="74"/>
      <x:c r="L498" s="91"/>
      <x:c r="M498" s="91"/>
      <x:c r="N498" s="91"/>
      <x:c r="O498" s="91"/>
      <x:c r="P498" s="91"/>
      <x:c r="Q498" s="85"/>
      <x:c r="S498" s="86"/>
      <x:c r="T498" s="32"/>
    </x:row>
    <x:row r="499">
      <x:c r="A499" s="87"/>
      <x:c r="B499" s="88"/>
      <x:c r="D499" s="32"/>
      <x:c r="G499" s="74"/>
      <x:c r="H499" s="74"/>
      <x:c r="I499" s="74"/>
      <x:c r="J499" s="74"/>
      <x:c r="K499" s="74"/>
      <x:c r="L499" s="91"/>
      <x:c r="M499" s="91"/>
      <x:c r="N499" s="91"/>
      <x:c r="O499" s="91"/>
      <x:c r="P499" s="91"/>
      <x:c r="Q499" s="85"/>
      <x:c r="S499" s="86"/>
      <x:c r="T499" s="32"/>
    </x:row>
    <x:row r="500">
      <x:c r="A500" s="87"/>
      <x:c r="B500" s="88"/>
      <x:c r="D500" s="32"/>
      <x:c r="G500" s="74"/>
      <x:c r="H500" s="74"/>
      <x:c r="I500" s="74"/>
      <x:c r="J500" s="74"/>
      <x:c r="K500" s="74"/>
      <x:c r="L500" s="91"/>
      <x:c r="M500" s="91"/>
      <x:c r="N500" s="91"/>
      <x:c r="O500" s="91"/>
      <x:c r="P500" s="91"/>
      <x:c r="Q500" s="85"/>
      <x:c r="S500" s="86"/>
      <x:c r="T500" s="32"/>
    </x:row>
    <x:row r="501">
      <x:c r="A501" s="87"/>
      <x:c r="B501" s="88"/>
      <x:c r="D501" s="32"/>
      <x:c r="G501" s="74"/>
      <x:c r="H501" s="74"/>
      <x:c r="I501" s="74"/>
      <x:c r="J501" s="74"/>
      <x:c r="K501" s="74"/>
      <x:c r="L501" s="91"/>
      <x:c r="M501" s="91"/>
      <x:c r="N501" s="91"/>
      <x:c r="O501" s="91"/>
      <x:c r="P501" s="91"/>
      <x:c r="Q501" s="85"/>
      <x:c r="S501" s="86"/>
      <x:c r="T501" s="32"/>
    </x:row>
    <x:row r="502">
      <x:c r="A502" s="87"/>
      <x:c r="B502" s="88"/>
      <x:c r="D502" s="32"/>
      <x:c r="G502" s="74"/>
      <x:c r="H502" s="74"/>
      <x:c r="I502" s="74"/>
      <x:c r="J502" s="74"/>
      <x:c r="K502" s="74"/>
      <x:c r="L502" s="91"/>
      <x:c r="M502" s="91"/>
      <x:c r="N502" s="91"/>
      <x:c r="O502" s="91"/>
      <x:c r="P502" s="91"/>
      <x:c r="Q502" s="85"/>
      <x:c r="S502" s="86"/>
      <x:c r="T502" s="32"/>
    </x:row>
    <x:row r="503">
      <x:c r="A503" s="87"/>
      <x:c r="B503" s="88"/>
      <x:c r="D503" s="32"/>
      <x:c r="G503" s="74"/>
      <x:c r="H503" s="74"/>
      <x:c r="I503" s="74"/>
      <x:c r="J503" s="74"/>
      <x:c r="K503" s="74"/>
      <x:c r="L503" s="91"/>
      <x:c r="M503" s="91"/>
      <x:c r="N503" s="91"/>
      <x:c r="O503" s="91"/>
      <x:c r="P503" s="91"/>
      <x:c r="Q503" s="85"/>
      <x:c r="S503" s="86"/>
      <x:c r="T503" s="32"/>
    </x:row>
    <x:row r="504">
      <x:c r="A504" s="87"/>
      <x:c r="B504" s="88"/>
      <x:c r="D504" s="32"/>
      <x:c r="G504" s="74"/>
      <x:c r="H504" s="74"/>
      <x:c r="I504" s="74"/>
      <x:c r="J504" s="74"/>
      <x:c r="K504" s="74"/>
      <x:c r="L504" s="91"/>
      <x:c r="M504" s="91"/>
      <x:c r="N504" s="91"/>
      <x:c r="O504" s="91"/>
      <x:c r="P504" s="91"/>
      <x:c r="Q504" s="85"/>
      <x:c r="S504" s="86"/>
      <x:c r="T504" s="32"/>
    </x:row>
    <x:row r="505">
      <x:c r="A505" s="87"/>
      <x:c r="B505" s="88"/>
      <x:c r="D505" s="32"/>
      <x:c r="G505" s="74"/>
      <x:c r="H505" s="74"/>
      <x:c r="I505" s="74"/>
      <x:c r="J505" s="74"/>
      <x:c r="K505" s="74"/>
      <x:c r="L505" s="91"/>
      <x:c r="M505" s="91"/>
      <x:c r="N505" s="91"/>
      <x:c r="O505" s="91"/>
      <x:c r="P505" s="91"/>
      <x:c r="Q505" s="85"/>
      <x:c r="S505" s="86"/>
      <x:c r="T505" s="32"/>
    </x:row>
    <x:row r="506">
      <x:c r="A506" s="87"/>
      <x:c r="B506" s="88"/>
      <x:c r="D506" s="32"/>
      <x:c r="G506" s="74"/>
      <x:c r="H506" s="74"/>
      <x:c r="I506" s="74"/>
      <x:c r="J506" s="74"/>
      <x:c r="K506" s="74"/>
      <x:c r="L506" s="91"/>
      <x:c r="M506" s="91"/>
      <x:c r="N506" s="91"/>
      <x:c r="O506" s="91"/>
      <x:c r="P506" s="91"/>
      <x:c r="Q506" s="85"/>
      <x:c r="S506" s="86"/>
      <x:c r="T506" s="32"/>
    </x:row>
    <x:row r="507">
      <x:c r="A507" s="87"/>
      <x:c r="B507" s="88"/>
      <x:c r="D507" s="32"/>
      <x:c r="G507" s="74"/>
      <x:c r="H507" s="74"/>
      <x:c r="I507" s="74"/>
      <x:c r="J507" s="74"/>
      <x:c r="K507" s="74"/>
      <x:c r="L507" s="91"/>
      <x:c r="M507" s="91"/>
      <x:c r="N507" s="91"/>
      <x:c r="O507" s="91"/>
      <x:c r="P507" s="91"/>
      <x:c r="Q507" s="85"/>
      <x:c r="S507" s="86"/>
      <x:c r="T507" s="32"/>
    </x:row>
    <x:row r="508">
      <x:c r="A508" s="87"/>
      <x:c r="B508" s="88"/>
      <x:c r="D508" s="32"/>
      <x:c r="G508" s="74"/>
      <x:c r="H508" s="74"/>
      <x:c r="I508" s="74"/>
      <x:c r="J508" s="74"/>
      <x:c r="K508" s="74"/>
      <x:c r="L508" s="91"/>
      <x:c r="M508" s="91"/>
      <x:c r="N508" s="91"/>
      <x:c r="O508" s="91"/>
      <x:c r="P508" s="91"/>
      <x:c r="Q508" s="85"/>
      <x:c r="S508" s="86"/>
      <x:c r="T508" s="32"/>
    </x:row>
    <x:row r="509">
      <x:c r="A509" s="87"/>
      <x:c r="B509" s="88"/>
      <x:c r="D509" s="32"/>
      <x:c r="G509" s="74"/>
      <x:c r="H509" s="74"/>
      <x:c r="I509" s="74"/>
      <x:c r="J509" s="74"/>
      <x:c r="K509" s="74"/>
      <x:c r="L509" s="91"/>
      <x:c r="M509" s="91"/>
      <x:c r="N509" s="91"/>
      <x:c r="O509" s="91"/>
      <x:c r="P509" s="91"/>
      <x:c r="Q509" s="85"/>
      <x:c r="S509" s="86"/>
      <x:c r="T509" s="32"/>
    </x:row>
    <x:row r="510">
      <x:c r="A510" s="87"/>
      <x:c r="B510" s="88"/>
      <x:c r="D510" s="32"/>
      <x:c r="G510" s="74"/>
      <x:c r="H510" s="74"/>
      <x:c r="I510" s="74"/>
      <x:c r="J510" s="74"/>
      <x:c r="K510" s="74"/>
      <x:c r="L510" s="91"/>
      <x:c r="M510" s="91"/>
      <x:c r="N510" s="91"/>
      <x:c r="O510" s="91"/>
      <x:c r="P510" s="91"/>
      <x:c r="Q510" s="85"/>
      <x:c r="S510" s="86"/>
      <x:c r="T510" s="32"/>
    </x:row>
    <x:row r="511">
      <x:c r="A511" s="87"/>
      <x:c r="B511" s="88"/>
      <x:c r="D511" s="32"/>
      <x:c r="G511" s="74"/>
      <x:c r="H511" s="74"/>
      <x:c r="I511" s="74"/>
      <x:c r="J511" s="74"/>
      <x:c r="K511" s="74"/>
      <x:c r="L511" s="91"/>
      <x:c r="M511" s="91"/>
      <x:c r="N511" s="91"/>
      <x:c r="O511" s="91"/>
      <x:c r="P511" s="91"/>
      <x:c r="Q511" s="85"/>
      <x:c r="S511" s="86"/>
      <x:c r="T511" s="32"/>
    </x:row>
    <x:row r="512">
      <x:c r="A512" s="87"/>
      <x:c r="B512" s="88"/>
      <x:c r="D512" s="32"/>
      <x:c r="G512" s="74"/>
      <x:c r="H512" s="74"/>
      <x:c r="I512" s="74"/>
      <x:c r="J512" s="74"/>
      <x:c r="K512" s="74"/>
      <x:c r="L512" s="91"/>
      <x:c r="M512" s="91"/>
      <x:c r="N512" s="91"/>
      <x:c r="O512" s="91"/>
      <x:c r="P512" s="91"/>
      <x:c r="Q512" s="85"/>
      <x:c r="S512" s="86"/>
      <x:c r="T512" s="32"/>
    </x:row>
    <x:row r="513">
      <x:c r="A513" s="87"/>
      <x:c r="B513" s="88"/>
      <x:c r="D513" s="32"/>
      <x:c r="G513" s="74"/>
      <x:c r="H513" s="74"/>
      <x:c r="I513" s="74"/>
      <x:c r="J513" s="74"/>
      <x:c r="K513" s="74"/>
      <x:c r="L513" s="91"/>
      <x:c r="M513" s="91"/>
      <x:c r="N513" s="91"/>
      <x:c r="O513" s="91"/>
      <x:c r="P513" s="91"/>
      <x:c r="Q513" s="85"/>
      <x:c r="S513" s="86"/>
      <x:c r="T513" s="32"/>
    </x:row>
    <x:row r="514">
      <x:c r="A514" s="87"/>
      <x:c r="B514" s="88"/>
      <x:c r="D514" s="32"/>
      <x:c r="G514" s="74"/>
      <x:c r="H514" s="74"/>
      <x:c r="I514" s="74"/>
      <x:c r="J514" s="74"/>
      <x:c r="K514" s="74"/>
      <x:c r="L514" s="91"/>
      <x:c r="M514" s="91"/>
      <x:c r="N514" s="91"/>
      <x:c r="O514" s="91"/>
      <x:c r="P514" s="91"/>
      <x:c r="Q514" s="85"/>
      <x:c r="S514" s="86"/>
      <x:c r="T514" s="32"/>
    </x:row>
    <x:row r="515">
      <x:c r="A515" s="87"/>
      <x:c r="B515" s="88"/>
      <x:c r="D515" s="32"/>
      <x:c r="G515" s="74"/>
      <x:c r="H515" s="74"/>
      <x:c r="I515" s="74"/>
      <x:c r="J515" s="74"/>
      <x:c r="K515" s="74"/>
      <x:c r="L515" s="91"/>
      <x:c r="M515" s="91"/>
      <x:c r="N515" s="91"/>
      <x:c r="O515" s="91"/>
      <x:c r="P515" s="91"/>
      <x:c r="Q515" s="85"/>
      <x:c r="S515" s="86"/>
      <x:c r="T515" s="32"/>
    </x:row>
    <x:row r="516">
      <x:c r="A516" s="87"/>
      <x:c r="B516" s="88"/>
      <x:c r="D516" s="32"/>
      <x:c r="G516" s="74"/>
      <x:c r="H516" s="74"/>
      <x:c r="I516" s="74"/>
      <x:c r="J516" s="74"/>
      <x:c r="K516" s="74"/>
      <x:c r="L516" s="91"/>
      <x:c r="M516" s="91"/>
      <x:c r="N516" s="91"/>
      <x:c r="O516" s="91"/>
      <x:c r="P516" s="91"/>
      <x:c r="Q516" s="85"/>
      <x:c r="S516" s="86"/>
      <x:c r="T516" s="32"/>
    </x:row>
    <x:row r="517">
      <x:c r="A517" s="87"/>
      <x:c r="B517" s="88"/>
      <x:c r="D517" s="32"/>
      <x:c r="G517" s="74"/>
      <x:c r="H517" s="74"/>
      <x:c r="I517" s="74"/>
      <x:c r="J517" s="74"/>
      <x:c r="K517" s="74"/>
      <x:c r="L517" s="91"/>
      <x:c r="M517" s="91"/>
      <x:c r="N517" s="91"/>
      <x:c r="O517" s="91"/>
      <x:c r="P517" s="91"/>
      <x:c r="Q517" s="85"/>
      <x:c r="S517" s="86"/>
      <x:c r="T517" s="32"/>
    </x:row>
    <x:row r="518">
      <x:c r="A518" s="87"/>
      <x:c r="B518" s="88"/>
      <x:c r="D518" s="32"/>
      <x:c r="G518" s="74"/>
      <x:c r="H518" s="74"/>
      <x:c r="I518" s="74"/>
      <x:c r="J518" s="74"/>
      <x:c r="K518" s="74"/>
      <x:c r="L518" s="91"/>
      <x:c r="M518" s="91"/>
      <x:c r="N518" s="91"/>
      <x:c r="O518" s="91"/>
      <x:c r="P518" s="91"/>
      <x:c r="Q518" s="85"/>
      <x:c r="S518" s="86"/>
      <x:c r="T518" s="32"/>
    </x:row>
    <x:row r="519">
      <x:c r="A519" s="87"/>
      <x:c r="B519" s="88"/>
      <x:c r="D519" s="32"/>
      <x:c r="G519" s="74"/>
      <x:c r="H519" s="74"/>
      <x:c r="I519" s="74"/>
      <x:c r="J519" s="74"/>
      <x:c r="K519" s="74"/>
      <x:c r="L519" s="91"/>
      <x:c r="M519" s="91"/>
      <x:c r="N519" s="91"/>
      <x:c r="O519" s="91"/>
      <x:c r="P519" s="91"/>
      <x:c r="Q519" s="85"/>
      <x:c r="S519" s="86"/>
      <x:c r="T519" s="32"/>
    </x:row>
    <x:row r="520">
      <x:c r="A520" s="87"/>
      <x:c r="B520" s="88"/>
      <x:c r="D520" s="32"/>
      <x:c r="G520" s="74"/>
      <x:c r="H520" s="74"/>
      <x:c r="I520" s="74"/>
      <x:c r="J520" s="74"/>
      <x:c r="K520" s="74"/>
      <x:c r="L520" s="91"/>
      <x:c r="M520" s="91"/>
      <x:c r="N520" s="91"/>
      <x:c r="O520" s="91"/>
      <x:c r="P520" s="91"/>
      <x:c r="Q520" s="85"/>
      <x:c r="S520" s="86"/>
      <x:c r="T520" s="32"/>
    </x:row>
    <x:row r="521">
      <x:c r="A521" s="87"/>
      <x:c r="B521" s="88"/>
      <x:c r="D521" s="32"/>
      <x:c r="G521" s="74"/>
      <x:c r="H521" s="74"/>
      <x:c r="I521" s="74"/>
      <x:c r="J521" s="74"/>
      <x:c r="K521" s="74"/>
      <x:c r="L521" s="91"/>
      <x:c r="M521" s="91"/>
      <x:c r="N521" s="91"/>
      <x:c r="O521" s="91"/>
      <x:c r="P521" s="91"/>
      <x:c r="Q521" s="85"/>
      <x:c r="S521" s="86"/>
      <x:c r="T521" s="32"/>
    </x:row>
    <x:row r="522">
      <x:c r="A522" s="87"/>
      <x:c r="B522" s="88"/>
      <x:c r="D522" s="32"/>
      <x:c r="G522" s="74"/>
      <x:c r="H522" s="74"/>
      <x:c r="I522" s="74"/>
      <x:c r="J522" s="74"/>
      <x:c r="K522" s="74"/>
      <x:c r="L522" s="91"/>
      <x:c r="M522" s="91"/>
      <x:c r="N522" s="91"/>
      <x:c r="O522" s="91"/>
      <x:c r="P522" s="91"/>
      <x:c r="Q522" s="85"/>
      <x:c r="S522" s="86"/>
      <x:c r="T522" s="32"/>
    </x:row>
    <x:row r="523">
      <x:c r="A523" s="87"/>
      <x:c r="B523" s="88"/>
      <x:c r="D523" s="32"/>
      <x:c r="G523" s="74"/>
      <x:c r="H523" s="74"/>
      <x:c r="I523" s="74"/>
      <x:c r="J523" s="74"/>
      <x:c r="K523" s="74"/>
      <x:c r="L523" s="91"/>
      <x:c r="M523" s="91"/>
      <x:c r="N523" s="91"/>
      <x:c r="O523" s="91"/>
      <x:c r="P523" s="91"/>
      <x:c r="Q523" s="85"/>
      <x:c r="S523" s="86"/>
      <x:c r="T523" s="32"/>
    </x:row>
    <x:row r="524">
      <x:c r="A524" s="87"/>
      <x:c r="B524" s="88"/>
      <x:c r="D524" s="32"/>
      <x:c r="G524" s="74"/>
      <x:c r="H524" s="74"/>
      <x:c r="I524" s="74"/>
      <x:c r="J524" s="74"/>
      <x:c r="K524" s="74"/>
      <x:c r="L524" s="91"/>
      <x:c r="M524" s="91"/>
      <x:c r="N524" s="91"/>
      <x:c r="O524" s="91"/>
      <x:c r="P524" s="91"/>
      <x:c r="Q524" s="85"/>
      <x:c r="S524" s="86"/>
      <x:c r="T524" s="32"/>
    </x:row>
    <x:row r="525">
      <x:c r="A525" s="87"/>
      <x:c r="B525" s="88"/>
      <x:c r="D525" s="32"/>
      <x:c r="G525" s="74"/>
      <x:c r="H525" s="74"/>
      <x:c r="I525" s="74"/>
      <x:c r="J525" s="74"/>
      <x:c r="K525" s="74"/>
      <x:c r="L525" s="91"/>
      <x:c r="M525" s="91"/>
      <x:c r="N525" s="91"/>
      <x:c r="O525" s="91"/>
      <x:c r="P525" s="91"/>
      <x:c r="Q525" s="85"/>
      <x:c r="S525" s="86"/>
      <x:c r="T525" s="32"/>
    </x:row>
    <x:row r="526">
      <x:c r="A526" s="87"/>
      <x:c r="B526" s="88"/>
      <x:c r="D526" s="32"/>
      <x:c r="G526" s="74"/>
      <x:c r="H526" s="74"/>
      <x:c r="I526" s="74"/>
      <x:c r="J526" s="74"/>
      <x:c r="K526" s="74"/>
      <x:c r="L526" s="91"/>
      <x:c r="M526" s="91"/>
      <x:c r="N526" s="91"/>
      <x:c r="O526" s="91"/>
      <x:c r="P526" s="91"/>
      <x:c r="Q526" s="85"/>
      <x:c r="S526" s="86"/>
      <x:c r="T526" s="32"/>
    </x:row>
    <x:row r="527">
      <x:c r="A527" s="87"/>
      <x:c r="B527" s="88"/>
      <x:c r="D527" s="32"/>
      <x:c r="G527" s="74"/>
      <x:c r="H527" s="74"/>
      <x:c r="I527" s="74"/>
      <x:c r="J527" s="74"/>
      <x:c r="K527" s="74"/>
      <x:c r="L527" s="91"/>
      <x:c r="M527" s="91"/>
      <x:c r="N527" s="91"/>
      <x:c r="O527" s="91"/>
      <x:c r="P527" s="91"/>
      <x:c r="Q527" s="85"/>
      <x:c r="S527" s="86"/>
      <x:c r="T527" s="32"/>
    </x:row>
    <x:row r="528">
      <x:c r="A528" s="87"/>
      <x:c r="B528" s="88"/>
      <x:c r="D528" s="32"/>
      <x:c r="G528" s="74"/>
      <x:c r="H528" s="74"/>
      <x:c r="I528" s="74"/>
      <x:c r="J528" s="74"/>
      <x:c r="K528" s="74"/>
      <x:c r="L528" s="91"/>
      <x:c r="M528" s="91"/>
      <x:c r="N528" s="91"/>
      <x:c r="O528" s="91"/>
      <x:c r="P528" s="91"/>
      <x:c r="Q528" s="85"/>
      <x:c r="S528" s="86"/>
      <x:c r="T528" s="32"/>
    </x:row>
    <x:row r="529">
      <x:c r="A529" s="87"/>
      <x:c r="B529" s="88"/>
      <x:c r="D529" s="32"/>
      <x:c r="G529" s="74"/>
      <x:c r="H529" s="74"/>
      <x:c r="I529" s="74"/>
      <x:c r="J529" s="74"/>
      <x:c r="K529" s="74"/>
      <x:c r="L529" s="91"/>
      <x:c r="M529" s="91"/>
      <x:c r="N529" s="91"/>
      <x:c r="O529" s="91"/>
      <x:c r="P529" s="91"/>
      <x:c r="Q529" s="85"/>
      <x:c r="S529" s="86"/>
      <x:c r="T529" s="32"/>
    </x:row>
    <x:row r="530">
      <x:c r="A530" s="87"/>
      <x:c r="B530" s="88"/>
      <x:c r="D530" s="32"/>
      <x:c r="G530" s="74"/>
      <x:c r="H530" s="74"/>
      <x:c r="I530" s="74"/>
      <x:c r="J530" s="74"/>
      <x:c r="K530" s="74"/>
      <x:c r="L530" s="91"/>
      <x:c r="M530" s="91"/>
      <x:c r="N530" s="91"/>
      <x:c r="O530" s="91"/>
      <x:c r="P530" s="91"/>
      <x:c r="Q530" s="85"/>
      <x:c r="S530" s="86"/>
      <x:c r="T530" s="32"/>
    </x:row>
    <x:row r="531">
      <x:c r="A531" s="87"/>
      <x:c r="B531" s="88"/>
      <x:c r="D531" s="32"/>
      <x:c r="G531" s="74"/>
      <x:c r="H531" s="74"/>
      <x:c r="I531" s="74"/>
      <x:c r="J531" s="74"/>
      <x:c r="K531" s="74"/>
      <x:c r="L531" s="91"/>
      <x:c r="M531" s="91"/>
      <x:c r="N531" s="91"/>
      <x:c r="O531" s="91"/>
      <x:c r="P531" s="91"/>
      <x:c r="Q531" s="85"/>
      <x:c r="S531" s="86"/>
      <x:c r="T531" s="32"/>
    </x:row>
    <x:row r="532">
      <x:c r="A532" s="87"/>
      <x:c r="B532" s="88"/>
      <x:c r="D532" s="32"/>
      <x:c r="G532" s="74"/>
      <x:c r="H532" s="74"/>
      <x:c r="I532" s="74"/>
      <x:c r="J532" s="74"/>
      <x:c r="K532" s="74"/>
      <x:c r="L532" s="91"/>
      <x:c r="M532" s="91"/>
      <x:c r="N532" s="91"/>
      <x:c r="O532" s="91"/>
      <x:c r="P532" s="91"/>
      <x:c r="Q532" s="85"/>
      <x:c r="S532" s="86"/>
      <x:c r="T532" s="32"/>
    </x:row>
    <x:row r="533">
      <x:c r="A533" s="87"/>
      <x:c r="B533" s="88"/>
      <x:c r="D533" s="32"/>
      <x:c r="G533" s="74"/>
      <x:c r="H533" s="74"/>
      <x:c r="I533" s="74"/>
      <x:c r="J533" s="74"/>
      <x:c r="K533" s="74"/>
      <x:c r="L533" s="91"/>
      <x:c r="M533" s="91"/>
      <x:c r="N533" s="91"/>
      <x:c r="O533" s="91"/>
      <x:c r="P533" s="91"/>
      <x:c r="Q533" s="85"/>
      <x:c r="S533" s="86"/>
      <x:c r="T533" s="32"/>
    </x:row>
    <x:row r="534">
      <x:c r="A534" s="87"/>
      <x:c r="B534" s="88"/>
      <x:c r="D534" s="32"/>
      <x:c r="G534" s="74"/>
      <x:c r="H534" s="74"/>
      <x:c r="I534" s="74"/>
      <x:c r="J534" s="74"/>
      <x:c r="K534" s="74"/>
      <x:c r="L534" s="91"/>
      <x:c r="M534" s="91"/>
      <x:c r="N534" s="91"/>
      <x:c r="O534" s="91"/>
      <x:c r="P534" s="91"/>
      <x:c r="Q534" s="85"/>
      <x:c r="S534" s="86"/>
      <x:c r="T534" s="32"/>
    </x:row>
    <x:row r="535">
      <x:c r="A535" s="87"/>
      <x:c r="B535" s="88"/>
      <x:c r="D535" s="32"/>
      <x:c r="G535" s="74"/>
      <x:c r="H535" s="74"/>
      <x:c r="I535" s="74"/>
      <x:c r="J535" s="74"/>
      <x:c r="K535" s="74"/>
      <x:c r="L535" s="91"/>
      <x:c r="M535" s="91"/>
      <x:c r="N535" s="91"/>
      <x:c r="O535" s="91"/>
      <x:c r="P535" s="91"/>
      <x:c r="Q535" s="85"/>
      <x:c r="S535" s="86"/>
      <x:c r="T535" s="32"/>
    </x:row>
    <x:row r="536">
      <x:c r="A536" s="87"/>
      <x:c r="B536" s="88"/>
      <x:c r="D536" s="32"/>
      <x:c r="G536" s="74"/>
      <x:c r="H536" s="74"/>
      <x:c r="I536" s="74"/>
      <x:c r="J536" s="74"/>
      <x:c r="K536" s="74"/>
      <x:c r="L536" s="91"/>
      <x:c r="M536" s="91"/>
      <x:c r="N536" s="91"/>
      <x:c r="O536" s="91"/>
      <x:c r="P536" s="91"/>
      <x:c r="Q536" s="85"/>
      <x:c r="S536" s="86"/>
      <x:c r="T536" s="32"/>
    </x:row>
    <x:row r="537">
      <x:c r="A537" s="87"/>
      <x:c r="B537" s="88"/>
      <x:c r="D537" s="32"/>
      <x:c r="G537" s="74"/>
      <x:c r="H537" s="74"/>
      <x:c r="I537" s="74"/>
      <x:c r="J537" s="74"/>
      <x:c r="K537" s="74"/>
      <x:c r="L537" s="91"/>
      <x:c r="M537" s="91"/>
      <x:c r="N537" s="91"/>
      <x:c r="O537" s="91"/>
      <x:c r="P537" s="91"/>
      <x:c r="Q537" s="85"/>
      <x:c r="S537" s="86"/>
      <x:c r="T537" s="32"/>
    </x:row>
    <x:row r="538">
      <x:c r="A538" s="87"/>
      <x:c r="B538" s="88"/>
      <x:c r="D538" s="32"/>
      <x:c r="G538" s="74"/>
      <x:c r="H538" s="74"/>
      <x:c r="I538" s="74"/>
      <x:c r="J538" s="74"/>
      <x:c r="K538" s="74"/>
      <x:c r="L538" s="91"/>
      <x:c r="M538" s="91"/>
      <x:c r="N538" s="91"/>
      <x:c r="O538" s="91"/>
      <x:c r="P538" s="91"/>
      <x:c r="Q538" s="85"/>
      <x:c r="S538" s="86"/>
      <x:c r="T538" s="32"/>
    </x:row>
    <x:row r="539">
      <x:c r="A539" s="87"/>
      <x:c r="B539" s="88"/>
      <x:c r="D539" s="32"/>
      <x:c r="G539" s="74"/>
      <x:c r="H539" s="74"/>
      <x:c r="I539" s="74"/>
      <x:c r="J539" s="74"/>
      <x:c r="K539" s="74"/>
      <x:c r="L539" s="91"/>
      <x:c r="M539" s="91"/>
      <x:c r="N539" s="91"/>
      <x:c r="O539" s="91"/>
      <x:c r="P539" s="91"/>
      <x:c r="Q539" s="85"/>
      <x:c r="S539" s="86"/>
      <x:c r="T539" s="32"/>
    </x:row>
    <x:row r="540">
      <x:c r="A540" s="87"/>
      <x:c r="B540" s="88"/>
      <x:c r="D540" s="32"/>
      <x:c r="G540" s="74"/>
      <x:c r="H540" s="74"/>
      <x:c r="I540" s="74"/>
      <x:c r="J540" s="74"/>
      <x:c r="K540" s="74"/>
      <x:c r="L540" s="91"/>
      <x:c r="M540" s="91"/>
      <x:c r="N540" s="91"/>
      <x:c r="O540" s="91"/>
      <x:c r="P540" s="91"/>
      <x:c r="Q540" s="85"/>
      <x:c r="S540" s="86"/>
      <x:c r="T540" s="32"/>
    </x:row>
    <x:row r="541">
      <x:c r="A541" s="87"/>
      <x:c r="B541" s="88"/>
      <x:c r="D541" s="32"/>
      <x:c r="G541" s="74"/>
      <x:c r="H541" s="74"/>
      <x:c r="I541" s="74"/>
      <x:c r="J541" s="74"/>
      <x:c r="K541" s="74"/>
      <x:c r="L541" s="91"/>
      <x:c r="M541" s="91"/>
      <x:c r="N541" s="91"/>
      <x:c r="O541" s="91"/>
      <x:c r="P541" s="91"/>
      <x:c r="Q541" s="85"/>
      <x:c r="S541" s="86"/>
      <x:c r="T541" s="32"/>
    </x:row>
    <x:row r="542">
      <x:c r="A542" s="87"/>
      <x:c r="B542" s="88"/>
      <x:c r="D542" s="32"/>
      <x:c r="G542" s="74"/>
      <x:c r="H542" s="74"/>
      <x:c r="I542" s="74"/>
      <x:c r="J542" s="74"/>
      <x:c r="K542" s="74"/>
      <x:c r="L542" s="91"/>
      <x:c r="M542" s="91"/>
      <x:c r="N542" s="91"/>
      <x:c r="O542" s="91"/>
      <x:c r="P542" s="91"/>
      <x:c r="Q542" s="85"/>
      <x:c r="S542" s="86"/>
      <x:c r="T542" s="32"/>
    </x:row>
    <x:row r="543">
      <x:c r="A543" s="87"/>
      <x:c r="B543" s="88"/>
      <x:c r="D543" s="32"/>
      <x:c r="G543" s="74"/>
      <x:c r="H543" s="74"/>
      <x:c r="I543" s="74"/>
      <x:c r="J543" s="74"/>
      <x:c r="K543" s="74"/>
      <x:c r="L543" s="91"/>
      <x:c r="M543" s="91"/>
      <x:c r="N543" s="91"/>
      <x:c r="O543" s="91"/>
      <x:c r="P543" s="91"/>
      <x:c r="Q543" s="85"/>
      <x:c r="S543" s="86"/>
      <x:c r="T543" s="32"/>
    </x:row>
    <x:row r="544">
      <x:c r="A544" s="87"/>
      <x:c r="B544" s="88"/>
      <x:c r="D544" s="32"/>
      <x:c r="G544" s="74"/>
      <x:c r="H544" s="74"/>
      <x:c r="I544" s="74"/>
      <x:c r="J544" s="74"/>
      <x:c r="K544" s="74"/>
      <x:c r="L544" s="91"/>
      <x:c r="M544" s="91"/>
      <x:c r="N544" s="91"/>
      <x:c r="O544" s="91"/>
      <x:c r="P544" s="91"/>
      <x:c r="Q544" s="85"/>
      <x:c r="S544" s="86"/>
      <x:c r="T544" s="32"/>
    </x:row>
    <x:row r="545">
      <x:c r="A545" s="87"/>
      <x:c r="B545" s="88"/>
      <x:c r="D545" s="32"/>
      <x:c r="G545" s="74"/>
      <x:c r="H545" s="74"/>
      <x:c r="I545" s="74"/>
      <x:c r="J545" s="74"/>
      <x:c r="K545" s="74"/>
      <x:c r="L545" s="91"/>
      <x:c r="M545" s="91"/>
      <x:c r="N545" s="91"/>
      <x:c r="O545" s="91"/>
      <x:c r="P545" s="91"/>
      <x:c r="Q545" s="85"/>
      <x:c r="S545" s="86"/>
      <x:c r="T545" s="32"/>
    </x:row>
    <x:row r="546">
      <x:c r="A546" s="87"/>
      <x:c r="B546" s="88"/>
      <x:c r="D546" s="32"/>
      <x:c r="G546" s="74"/>
      <x:c r="H546" s="74"/>
      <x:c r="I546" s="74"/>
      <x:c r="J546" s="74"/>
      <x:c r="K546" s="74"/>
      <x:c r="L546" s="91"/>
      <x:c r="M546" s="91"/>
      <x:c r="N546" s="91"/>
      <x:c r="O546" s="91"/>
      <x:c r="P546" s="91"/>
      <x:c r="Q546" s="85"/>
      <x:c r="S546" s="86"/>
      <x:c r="T546" s="32"/>
    </x:row>
    <x:row r="547">
      <x:c r="A547" s="87"/>
      <x:c r="B547" s="88"/>
      <x:c r="D547" s="32"/>
      <x:c r="G547" s="74"/>
      <x:c r="H547" s="74"/>
      <x:c r="I547" s="74"/>
      <x:c r="J547" s="74"/>
      <x:c r="K547" s="74"/>
      <x:c r="L547" s="91"/>
      <x:c r="M547" s="91"/>
      <x:c r="N547" s="91"/>
      <x:c r="O547" s="91"/>
      <x:c r="P547" s="91"/>
      <x:c r="Q547" s="85"/>
      <x:c r="S547" s="86"/>
      <x:c r="T547" s="32"/>
    </x:row>
    <x:row r="548">
      <x:c r="A548" s="87"/>
      <x:c r="B548" s="88"/>
      <x:c r="D548" s="32"/>
      <x:c r="G548" s="74"/>
      <x:c r="H548" s="74"/>
      <x:c r="I548" s="74"/>
      <x:c r="J548" s="74"/>
      <x:c r="K548" s="74"/>
      <x:c r="L548" s="91"/>
      <x:c r="M548" s="91"/>
      <x:c r="N548" s="91"/>
      <x:c r="O548" s="91"/>
      <x:c r="P548" s="91"/>
      <x:c r="Q548" s="85"/>
      <x:c r="S548" s="86"/>
      <x:c r="T548" s="32"/>
    </x:row>
    <x:row r="549">
      <x:c r="A549" s="87"/>
      <x:c r="B549" s="88"/>
      <x:c r="D549" s="32"/>
      <x:c r="G549" s="74"/>
      <x:c r="H549" s="74"/>
      <x:c r="I549" s="74"/>
      <x:c r="J549" s="74"/>
      <x:c r="K549" s="74"/>
      <x:c r="L549" s="91"/>
      <x:c r="M549" s="91"/>
      <x:c r="N549" s="91"/>
      <x:c r="O549" s="91"/>
      <x:c r="P549" s="91"/>
      <x:c r="Q549" s="85"/>
      <x:c r="S549" s="86"/>
      <x:c r="T549" s="32"/>
    </x:row>
    <x:row r="550">
      <x:c r="A550" s="87"/>
      <x:c r="B550" s="88"/>
      <x:c r="D550" s="32"/>
      <x:c r="G550" s="74"/>
      <x:c r="H550" s="74"/>
      <x:c r="I550" s="74"/>
      <x:c r="J550" s="74"/>
      <x:c r="K550" s="74"/>
      <x:c r="L550" s="91"/>
      <x:c r="M550" s="91"/>
      <x:c r="N550" s="91"/>
      <x:c r="O550" s="91"/>
      <x:c r="P550" s="91"/>
      <x:c r="Q550" s="85"/>
      <x:c r="S550" s="86"/>
      <x:c r="T550" s="32"/>
    </x:row>
    <x:row r="551">
      <x:c r="A551" s="87"/>
      <x:c r="B551" s="88"/>
      <x:c r="D551" s="32"/>
      <x:c r="G551" s="74"/>
      <x:c r="H551" s="74"/>
      <x:c r="I551" s="74"/>
      <x:c r="J551" s="74"/>
      <x:c r="K551" s="74"/>
      <x:c r="L551" s="91"/>
      <x:c r="M551" s="91"/>
      <x:c r="N551" s="91"/>
      <x:c r="O551" s="91"/>
      <x:c r="P551" s="91"/>
      <x:c r="Q551" s="85"/>
      <x:c r="S551" s="86"/>
      <x:c r="T551" s="32"/>
    </x:row>
    <x:row r="552">
      <x:c r="A552" s="87"/>
      <x:c r="B552" s="88"/>
      <x:c r="D552" s="32"/>
      <x:c r="G552" s="74"/>
      <x:c r="H552" s="74"/>
      <x:c r="I552" s="74"/>
      <x:c r="J552" s="74"/>
      <x:c r="K552" s="74"/>
      <x:c r="L552" s="91"/>
      <x:c r="M552" s="91"/>
      <x:c r="N552" s="91"/>
      <x:c r="O552" s="91"/>
      <x:c r="P552" s="91"/>
      <x:c r="Q552" s="85"/>
      <x:c r="S552" s="86"/>
      <x:c r="T552" s="32"/>
    </x:row>
    <x:row r="553">
      <x:c r="A553" s="87"/>
      <x:c r="B553" s="88"/>
      <x:c r="D553" s="32"/>
      <x:c r="G553" s="74"/>
      <x:c r="H553" s="74"/>
      <x:c r="I553" s="74"/>
      <x:c r="J553" s="74"/>
      <x:c r="K553" s="74"/>
      <x:c r="L553" s="91"/>
      <x:c r="M553" s="91"/>
      <x:c r="N553" s="91"/>
      <x:c r="O553" s="91"/>
      <x:c r="P553" s="91"/>
      <x:c r="Q553" s="85"/>
      <x:c r="S553" s="86"/>
      <x:c r="T553" s="32"/>
    </x:row>
    <x:row r="554">
      <x:c r="A554" s="87"/>
      <x:c r="B554" s="88"/>
      <x:c r="D554" s="32"/>
      <x:c r="G554" s="74"/>
      <x:c r="H554" s="74"/>
      <x:c r="I554" s="74"/>
      <x:c r="J554" s="74"/>
      <x:c r="K554" s="74"/>
      <x:c r="L554" s="91"/>
      <x:c r="M554" s="91"/>
      <x:c r="N554" s="91"/>
      <x:c r="O554" s="91"/>
      <x:c r="P554" s="91"/>
      <x:c r="Q554" s="85"/>
      <x:c r="S554" s="86"/>
      <x:c r="T554" s="32"/>
    </x:row>
    <x:row r="555">
      <x:c r="A555" s="87"/>
      <x:c r="B555" s="88"/>
      <x:c r="D555" s="32"/>
      <x:c r="G555" s="74"/>
      <x:c r="H555" s="74"/>
      <x:c r="I555" s="74"/>
      <x:c r="J555" s="74"/>
      <x:c r="K555" s="74"/>
      <x:c r="L555" s="91"/>
      <x:c r="M555" s="91"/>
      <x:c r="N555" s="91"/>
      <x:c r="O555" s="91"/>
      <x:c r="P555" s="91"/>
      <x:c r="Q555" s="85"/>
      <x:c r="S555" s="86"/>
      <x:c r="T555" s="32"/>
    </x:row>
    <x:row r="556">
      <x:c r="A556" s="87"/>
      <x:c r="B556" s="88"/>
      <x:c r="D556" s="32"/>
      <x:c r="G556" s="74"/>
      <x:c r="H556" s="74"/>
      <x:c r="I556" s="74"/>
      <x:c r="J556" s="74"/>
      <x:c r="K556" s="74"/>
      <x:c r="L556" s="91"/>
      <x:c r="M556" s="91"/>
      <x:c r="N556" s="91"/>
      <x:c r="O556" s="91"/>
      <x:c r="P556" s="91"/>
      <x:c r="Q556" s="85"/>
      <x:c r="S556" s="86"/>
      <x:c r="T556" s="32"/>
    </x:row>
    <x:row r="557">
      <x:c r="A557" s="87"/>
      <x:c r="B557" s="88"/>
      <x:c r="D557" s="32"/>
      <x:c r="G557" s="74"/>
      <x:c r="H557" s="74"/>
      <x:c r="I557" s="74"/>
      <x:c r="J557" s="74"/>
      <x:c r="K557" s="74"/>
      <x:c r="L557" s="91"/>
      <x:c r="M557" s="91"/>
      <x:c r="N557" s="91"/>
      <x:c r="O557" s="91"/>
      <x:c r="P557" s="91"/>
      <x:c r="Q557" s="85"/>
      <x:c r="S557" s="86"/>
      <x:c r="T557" s="32"/>
    </x:row>
    <x:row r="558">
      <x:c r="A558" s="87"/>
      <x:c r="B558" s="88"/>
      <x:c r="D558" s="32"/>
      <x:c r="G558" s="74"/>
      <x:c r="H558" s="74"/>
      <x:c r="I558" s="74"/>
      <x:c r="J558" s="74"/>
      <x:c r="K558" s="74"/>
      <x:c r="L558" s="91"/>
      <x:c r="M558" s="91"/>
      <x:c r="N558" s="91"/>
      <x:c r="O558" s="91"/>
      <x:c r="P558" s="91"/>
      <x:c r="Q558" s="85"/>
      <x:c r="S558" s="86"/>
      <x:c r="T558" s="32"/>
    </x:row>
    <x:row r="559">
      <x:c r="A559" s="87"/>
      <x:c r="B559" s="88"/>
      <x:c r="D559" s="32"/>
      <x:c r="G559" s="74"/>
      <x:c r="H559" s="74"/>
      <x:c r="I559" s="74"/>
      <x:c r="J559" s="74"/>
      <x:c r="K559" s="74"/>
      <x:c r="L559" s="91"/>
      <x:c r="M559" s="91"/>
      <x:c r="N559" s="91"/>
      <x:c r="O559" s="91"/>
      <x:c r="P559" s="91"/>
      <x:c r="Q559" s="85"/>
      <x:c r="S559" s="86"/>
      <x:c r="T559" s="32"/>
    </x:row>
    <x:row r="560">
      <x:c r="A560" s="87"/>
      <x:c r="B560" s="88"/>
      <x:c r="D560" s="32"/>
      <x:c r="G560" s="74"/>
      <x:c r="H560" s="74"/>
      <x:c r="I560" s="74"/>
      <x:c r="J560" s="74"/>
      <x:c r="K560" s="74"/>
      <x:c r="L560" s="91"/>
      <x:c r="M560" s="91"/>
      <x:c r="N560" s="91"/>
      <x:c r="O560" s="91"/>
      <x:c r="P560" s="91"/>
      <x:c r="Q560" s="85"/>
      <x:c r="S560" s="86"/>
      <x:c r="T560" s="32"/>
    </x:row>
    <x:row r="561">
      <x:c r="A561" s="87"/>
      <x:c r="B561" s="88"/>
      <x:c r="D561" s="32"/>
      <x:c r="G561" s="74"/>
      <x:c r="H561" s="74"/>
      <x:c r="I561" s="74"/>
      <x:c r="J561" s="74"/>
      <x:c r="K561" s="74"/>
      <x:c r="L561" s="91"/>
      <x:c r="M561" s="91"/>
      <x:c r="N561" s="91"/>
      <x:c r="O561" s="91"/>
      <x:c r="P561" s="91"/>
      <x:c r="Q561" s="85"/>
      <x:c r="S561" s="86"/>
      <x:c r="T561" s="32"/>
    </x:row>
    <x:row r="562">
      <x:c r="A562" s="87"/>
      <x:c r="B562" s="88"/>
      <x:c r="D562" s="32"/>
      <x:c r="G562" s="74"/>
      <x:c r="H562" s="74"/>
      <x:c r="I562" s="74"/>
      <x:c r="J562" s="74"/>
      <x:c r="K562" s="74"/>
      <x:c r="L562" s="91"/>
      <x:c r="M562" s="91"/>
      <x:c r="N562" s="91"/>
      <x:c r="O562" s="91"/>
      <x:c r="P562" s="91"/>
      <x:c r="Q562" s="85"/>
      <x:c r="S562" s="86"/>
      <x:c r="T562" s="32"/>
    </x:row>
    <x:row r="563">
      <x:c r="A563" s="87"/>
      <x:c r="B563" s="88"/>
      <x:c r="D563" s="32"/>
      <x:c r="G563" s="74"/>
      <x:c r="H563" s="74"/>
      <x:c r="I563" s="74"/>
      <x:c r="J563" s="74"/>
      <x:c r="K563" s="74"/>
      <x:c r="L563" s="91"/>
      <x:c r="M563" s="91"/>
      <x:c r="N563" s="91"/>
      <x:c r="O563" s="91"/>
      <x:c r="P563" s="91"/>
      <x:c r="Q563" s="85"/>
      <x:c r="S563" s="86"/>
      <x:c r="T563" s="32"/>
    </x:row>
    <x:row r="564">
      <x:c r="A564" s="87"/>
      <x:c r="B564" s="88"/>
      <x:c r="D564" s="32"/>
      <x:c r="G564" s="74"/>
      <x:c r="H564" s="74"/>
      <x:c r="I564" s="74"/>
      <x:c r="J564" s="74"/>
      <x:c r="K564" s="74"/>
      <x:c r="L564" s="91"/>
      <x:c r="M564" s="91"/>
      <x:c r="N564" s="91"/>
      <x:c r="O564" s="91"/>
      <x:c r="P564" s="91"/>
      <x:c r="Q564" s="85"/>
      <x:c r="S564" s="86"/>
      <x:c r="T564" s="32"/>
    </x:row>
    <x:row r="565">
      <x:c r="A565" s="87"/>
      <x:c r="B565" s="88"/>
      <x:c r="D565" s="32"/>
      <x:c r="G565" s="74"/>
      <x:c r="H565" s="74"/>
      <x:c r="I565" s="74"/>
      <x:c r="J565" s="74"/>
      <x:c r="K565" s="74"/>
      <x:c r="L565" s="91"/>
      <x:c r="M565" s="91"/>
      <x:c r="N565" s="91"/>
      <x:c r="O565" s="91"/>
      <x:c r="P565" s="91"/>
      <x:c r="Q565" s="85"/>
      <x:c r="S565" s="86"/>
      <x:c r="T565" s="32"/>
    </x:row>
    <x:row r="566">
      <x:c r="A566" s="87"/>
      <x:c r="B566" s="88"/>
      <x:c r="D566" s="32"/>
      <x:c r="G566" s="74"/>
      <x:c r="H566" s="74"/>
      <x:c r="I566" s="74"/>
      <x:c r="J566" s="74"/>
      <x:c r="K566" s="74"/>
      <x:c r="L566" s="91"/>
      <x:c r="M566" s="91"/>
      <x:c r="N566" s="91"/>
      <x:c r="O566" s="91"/>
      <x:c r="P566" s="91"/>
      <x:c r="Q566" s="85"/>
      <x:c r="S566" s="86"/>
      <x:c r="T566" s="32"/>
    </x:row>
    <x:row r="567">
      <x:c r="A567" s="87"/>
      <x:c r="B567" s="88"/>
      <x:c r="D567" s="32"/>
      <x:c r="G567" s="74"/>
      <x:c r="H567" s="74"/>
      <x:c r="I567" s="74"/>
      <x:c r="J567" s="74"/>
      <x:c r="K567" s="74"/>
      <x:c r="L567" s="91"/>
      <x:c r="M567" s="91"/>
      <x:c r="N567" s="91"/>
      <x:c r="O567" s="91"/>
      <x:c r="P567" s="91"/>
      <x:c r="Q567" s="85"/>
      <x:c r="S567" s="86"/>
      <x:c r="T567" s="32"/>
    </x:row>
    <x:row r="568">
      <x:c r="A568" s="87"/>
      <x:c r="B568" s="88"/>
      <x:c r="D568" s="32"/>
      <x:c r="G568" s="74"/>
      <x:c r="H568" s="74"/>
      <x:c r="I568" s="74"/>
      <x:c r="J568" s="74"/>
      <x:c r="K568" s="74"/>
      <x:c r="L568" s="91"/>
      <x:c r="M568" s="91"/>
      <x:c r="N568" s="91"/>
      <x:c r="O568" s="91"/>
      <x:c r="P568" s="91"/>
      <x:c r="Q568" s="85"/>
      <x:c r="S568" s="86"/>
      <x:c r="T568" s="32"/>
    </x:row>
    <x:row r="569">
      <x:c r="A569" s="87"/>
      <x:c r="B569" s="88"/>
      <x:c r="D569" s="32"/>
      <x:c r="G569" s="74"/>
      <x:c r="H569" s="74"/>
      <x:c r="I569" s="74"/>
      <x:c r="J569" s="74"/>
      <x:c r="K569" s="74"/>
      <x:c r="L569" s="91"/>
      <x:c r="M569" s="91"/>
      <x:c r="N569" s="91"/>
      <x:c r="O569" s="91"/>
      <x:c r="P569" s="91"/>
      <x:c r="Q569" s="85"/>
      <x:c r="S569" s="86"/>
      <x:c r="T569" s="32"/>
    </x:row>
    <x:row r="570">
      <x:c r="A570" s="87"/>
      <x:c r="B570" s="88"/>
      <x:c r="D570" s="32"/>
      <x:c r="G570" s="74"/>
      <x:c r="H570" s="74"/>
      <x:c r="I570" s="74"/>
      <x:c r="J570" s="74"/>
      <x:c r="K570" s="74"/>
      <x:c r="L570" s="91"/>
      <x:c r="M570" s="91"/>
      <x:c r="N570" s="91"/>
      <x:c r="O570" s="91"/>
      <x:c r="P570" s="91"/>
      <x:c r="Q570" s="85"/>
      <x:c r="S570" s="86"/>
      <x:c r="T570" s="32"/>
    </x:row>
    <x:row r="571">
      <x:c r="A571" s="87"/>
      <x:c r="B571" s="88"/>
      <x:c r="D571" s="32"/>
      <x:c r="G571" s="74"/>
      <x:c r="H571" s="74"/>
      <x:c r="I571" s="74"/>
      <x:c r="J571" s="74"/>
      <x:c r="K571" s="74"/>
      <x:c r="L571" s="91"/>
      <x:c r="M571" s="91"/>
      <x:c r="N571" s="91"/>
      <x:c r="O571" s="91"/>
      <x:c r="P571" s="91"/>
      <x:c r="Q571" s="85"/>
      <x:c r="S571" s="86"/>
      <x:c r="T571" s="32"/>
    </x:row>
    <x:row r="572">
      <x:c r="A572" s="87"/>
      <x:c r="B572" s="88"/>
      <x:c r="D572" s="32"/>
      <x:c r="G572" s="74"/>
      <x:c r="H572" s="74"/>
      <x:c r="I572" s="74"/>
      <x:c r="J572" s="74"/>
      <x:c r="K572" s="74"/>
      <x:c r="L572" s="91"/>
      <x:c r="M572" s="91"/>
      <x:c r="N572" s="91"/>
      <x:c r="O572" s="91"/>
      <x:c r="P572" s="91"/>
      <x:c r="Q572" s="85"/>
      <x:c r="S572" s="86"/>
      <x:c r="T572" s="32"/>
    </x:row>
    <x:row r="573">
      <x:c r="A573" s="87"/>
      <x:c r="B573" s="88"/>
      <x:c r="D573" s="32"/>
      <x:c r="G573" s="74"/>
      <x:c r="H573" s="74"/>
      <x:c r="I573" s="74"/>
      <x:c r="J573" s="74"/>
      <x:c r="K573" s="74"/>
      <x:c r="L573" s="91"/>
      <x:c r="M573" s="91"/>
      <x:c r="N573" s="91"/>
      <x:c r="O573" s="91"/>
      <x:c r="P573" s="91"/>
      <x:c r="Q573" s="85"/>
      <x:c r="S573" s="86"/>
      <x:c r="T573" s="32"/>
    </x:row>
    <x:row r="574">
      <x:c r="A574" s="87"/>
      <x:c r="B574" s="88"/>
      <x:c r="D574" s="32"/>
      <x:c r="G574" s="74"/>
      <x:c r="H574" s="74"/>
      <x:c r="I574" s="74"/>
      <x:c r="J574" s="74"/>
      <x:c r="K574" s="74"/>
      <x:c r="L574" s="91"/>
      <x:c r="M574" s="91"/>
      <x:c r="N574" s="91"/>
      <x:c r="O574" s="91"/>
      <x:c r="P574" s="91"/>
      <x:c r="Q574" s="85"/>
      <x:c r="S574" s="86"/>
      <x:c r="T574" s="32"/>
    </x:row>
    <x:row r="575">
      <x:c r="A575" s="87"/>
      <x:c r="B575" s="88"/>
      <x:c r="D575" s="32"/>
      <x:c r="G575" s="74"/>
      <x:c r="H575" s="74"/>
      <x:c r="I575" s="74"/>
      <x:c r="J575" s="74"/>
      <x:c r="K575" s="74"/>
      <x:c r="L575" s="91"/>
      <x:c r="M575" s="91"/>
      <x:c r="N575" s="91"/>
      <x:c r="O575" s="91"/>
      <x:c r="P575" s="91"/>
      <x:c r="Q575" s="85"/>
      <x:c r="S575" s="86"/>
      <x:c r="T575" s="32"/>
    </x:row>
    <x:row r="576">
      <x:c r="A576" s="87"/>
      <x:c r="B576" s="88"/>
      <x:c r="D576" s="32"/>
      <x:c r="G576" s="74"/>
      <x:c r="H576" s="74"/>
      <x:c r="I576" s="74"/>
      <x:c r="J576" s="74"/>
      <x:c r="K576" s="74"/>
      <x:c r="L576" s="91"/>
      <x:c r="M576" s="91"/>
      <x:c r="N576" s="91"/>
      <x:c r="O576" s="91"/>
      <x:c r="P576" s="91"/>
      <x:c r="Q576" s="85"/>
      <x:c r="S576" s="86"/>
      <x:c r="T576" s="32"/>
    </x:row>
    <x:row r="577">
      <x:c r="A577" s="87"/>
      <x:c r="B577" s="88"/>
      <x:c r="D577" s="32"/>
      <x:c r="G577" s="74"/>
      <x:c r="H577" s="74"/>
      <x:c r="I577" s="74"/>
      <x:c r="J577" s="74"/>
      <x:c r="K577" s="74"/>
      <x:c r="L577" s="91"/>
      <x:c r="M577" s="91"/>
      <x:c r="N577" s="91"/>
      <x:c r="O577" s="91"/>
      <x:c r="P577" s="91"/>
      <x:c r="Q577" s="85"/>
      <x:c r="S577" s="86"/>
      <x:c r="T577" s="32"/>
    </x:row>
    <x:row r="578">
      <x:c r="A578" s="87"/>
      <x:c r="B578" s="88"/>
      <x:c r="D578" s="32"/>
      <x:c r="G578" s="74"/>
      <x:c r="H578" s="74"/>
      <x:c r="I578" s="74"/>
      <x:c r="J578" s="74"/>
      <x:c r="K578" s="74"/>
      <x:c r="L578" s="91"/>
      <x:c r="M578" s="91"/>
      <x:c r="N578" s="91"/>
      <x:c r="O578" s="91"/>
      <x:c r="P578" s="91"/>
      <x:c r="Q578" s="85"/>
      <x:c r="S578" s="86"/>
      <x:c r="T578" s="32"/>
    </x:row>
    <x:row r="579">
      <x:c r="A579" s="87"/>
      <x:c r="B579" s="88"/>
      <x:c r="D579" s="32"/>
      <x:c r="G579" s="74"/>
      <x:c r="H579" s="74"/>
      <x:c r="I579" s="74"/>
      <x:c r="J579" s="74"/>
      <x:c r="K579" s="74"/>
      <x:c r="L579" s="91"/>
      <x:c r="M579" s="91"/>
      <x:c r="N579" s="91"/>
      <x:c r="O579" s="91"/>
      <x:c r="P579" s="91"/>
      <x:c r="Q579" s="85"/>
      <x:c r="S579" s="86"/>
      <x:c r="T579" s="32"/>
    </x:row>
    <x:row r="580">
      <x:c r="A580" s="87"/>
      <x:c r="B580" s="88"/>
      <x:c r="D580" s="32"/>
      <x:c r="G580" s="74"/>
      <x:c r="H580" s="74"/>
      <x:c r="I580" s="74"/>
      <x:c r="J580" s="74"/>
      <x:c r="K580" s="74"/>
      <x:c r="L580" s="91"/>
      <x:c r="M580" s="91"/>
      <x:c r="N580" s="91"/>
      <x:c r="O580" s="91"/>
      <x:c r="P580" s="91"/>
      <x:c r="Q580" s="85"/>
      <x:c r="S580" s="86"/>
      <x:c r="T580" s="32"/>
    </x:row>
    <x:row r="581">
      <x:c r="A581" s="87"/>
      <x:c r="B581" s="88"/>
      <x:c r="D581" s="32"/>
      <x:c r="G581" s="74"/>
      <x:c r="H581" s="74"/>
      <x:c r="I581" s="74"/>
      <x:c r="J581" s="74"/>
      <x:c r="K581" s="74"/>
      <x:c r="L581" s="91"/>
      <x:c r="M581" s="91"/>
      <x:c r="N581" s="91"/>
      <x:c r="O581" s="91"/>
      <x:c r="P581" s="91"/>
      <x:c r="Q581" s="85"/>
      <x:c r="S581" s="86"/>
      <x:c r="T581" s="32"/>
    </x:row>
    <x:row r="582">
      <x:c r="A582" s="87"/>
      <x:c r="B582" s="88"/>
      <x:c r="D582" s="32"/>
      <x:c r="G582" s="74"/>
      <x:c r="H582" s="74"/>
      <x:c r="I582" s="74"/>
      <x:c r="J582" s="74"/>
      <x:c r="K582" s="74"/>
      <x:c r="L582" s="91"/>
      <x:c r="M582" s="91"/>
      <x:c r="N582" s="91"/>
      <x:c r="O582" s="91"/>
      <x:c r="P582" s="91"/>
      <x:c r="Q582" s="85"/>
      <x:c r="S582" s="86"/>
      <x:c r="T582" s="32"/>
    </x:row>
    <x:row r="583">
      <x:c r="A583" s="87"/>
      <x:c r="B583" s="88"/>
      <x:c r="D583" s="32"/>
      <x:c r="G583" s="74"/>
      <x:c r="H583" s="74"/>
      <x:c r="I583" s="74"/>
      <x:c r="J583" s="74"/>
      <x:c r="K583" s="74"/>
      <x:c r="L583" s="91"/>
      <x:c r="M583" s="91"/>
      <x:c r="N583" s="91"/>
      <x:c r="O583" s="91"/>
      <x:c r="P583" s="91"/>
      <x:c r="Q583" s="85"/>
      <x:c r="S583" s="86"/>
      <x:c r="T583" s="32"/>
    </x:row>
    <x:row r="584">
      <x:c r="A584" s="87"/>
      <x:c r="B584" s="88"/>
      <x:c r="D584" s="32"/>
      <x:c r="G584" s="74"/>
      <x:c r="H584" s="74"/>
      <x:c r="I584" s="74"/>
      <x:c r="J584" s="74"/>
      <x:c r="K584" s="74"/>
      <x:c r="L584" s="91"/>
      <x:c r="M584" s="91"/>
      <x:c r="N584" s="91"/>
      <x:c r="O584" s="91"/>
      <x:c r="P584" s="91"/>
      <x:c r="Q584" s="85"/>
      <x:c r="S584" s="86"/>
      <x:c r="T584" s="32"/>
    </x:row>
    <x:row r="585">
      <x:c r="A585" s="87"/>
      <x:c r="B585" s="88"/>
      <x:c r="D585" s="32"/>
      <x:c r="G585" s="74"/>
      <x:c r="H585" s="74"/>
      <x:c r="I585" s="74"/>
      <x:c r="J585" s="74"/>
      <x:c r="K585" s="74"/>
      <x:c r="L585" s="91"/>
      <x:c r="M585" s="91"/>
      <x:c r="N585" s="91"/>
      <x:c r="O585" s="91"/>
      <x:c r="P585" s="91"/>
      <x:c r="Q585" s="85"/>
      <x:c r="S585" s="86"/>
      <x:c r="T585" s="32"/>
    </x:row>
    <x:row r="586">
      <x:c r="A586" s="87"/>
      <x:c r="B586" s="88"/>
      <x:c r="D586" s="32"/>
      <x:c r="G586" s="74"/>
      <x:c r="H586" s="74"/>
      <x:c r="I586" s="74"/>
      <x:c r="J586" s="74"/>
      <x:c r="K586" s="74"/>
      <x:c r="L586" s="91"/>
      <x:c r="M586" s="91"/>
      <x:c r="N586" s="91"/>
      <x:c r="O586" s="91"/>
      <x:c r="P586" s="91"/>
      <x:c r="Q586" s="85"/>
      <x:c r="S586" s="86"/>
      <x:c r="T586" s="32"/>
    </x:row>
    <x:row r="587">
      <x:c r="A587" s="87"/>
      <x:c r="B587" s="88"/>
      <x:c r="D587" s="32"/>
      <x:c r="G587" s="74"/>
      <x:c r="H587" s="74"/>
      <x:c r="I587" s="74"/>
      <x:c r="J587" s="74"/>
      <x:c r="K587" s="74"/>
      <x:c r="L587" s="91"/>
      <x:c r="M587" s="91"/>
      <x:c r="N587" s="91"/>
      <x:c r="O587" s="91"/>
      <x:c r="P587" s="91"/>
      <x:c r="Q587" s="85"/>
      <x:c r="S587" s="86"/>
      <x:c r="T587" s="32"/>
    </x:row>
    <x:row r="588">
      <x:c r="A588" s="87"/>
      <x:c r="B588" s="88"/>
      <x:c r="D588" s="32"/>
      <x:c r="G588" s="74"/>
      <x:c r="H588" s="74"/>
      <x:c r="I588" s="74"/>
      <x:c r="J588" s="74"/>
      <x:c r="K588" s="74"/>
      <x:c r="L588" s="91"/>
      <x:c r="M588" s="91"/>
      <x:c r="N588" s="91"/>
      <x:c r="O588" s="91"/>
      <x:c r="P588" s="91"/>
      <x:c r="Q588" s="85"/>
      <x:c r="S588" s="86"/>
      <x:c r="T588" s="32"/>
    </x:row>
    <x:row r="589">
      <x:c r="A589" s="87"/>
      <x:c r="B589" s="88"/>
      <x:c r="D589" s="32"/>
      <x:c r="G589" s="74"/>
      <x:c r="H589" s="74"/>
      <x:c r="I589" s="74"/>
      <x:c r="J589" s="74"/>
      <x:c r="K589" s="74"/>
      <x:c r="L589" s="91"/>
      <x:c r="M589" s="91"/>
      <x:c r="N589" s="91"/>
      <x:c r="O589" s="91"/>
      <x:c r="P589" s="91"/>
      <x:c r="Q589" s="85"/>
      <x:c r="S589" s="86"/>
      <x:c r="T589" s="32"/>
    </x:row>
    <x:row r="590">
      <x:c r="A590" s="87"/>
      <x:c r="B590" s="88"/>
      <x:c r="D590" s="32"/>
      <x:c r="G590" s="74"/>
      <x:c r="H590" s="74"/>
      <x:c r="I590" s="74"/>
      <x:c r="J590" s="74"/>
      <x:c r="K590" s="74"/>
      <x:c r="L590" s="91"/>
      <x:c r="M590" s="91"/>
      <x:c r="N590" s="91"/>
      <x:c r="O590" s="91"/>
      <x:c r="P590" s="91"/>
      <x:c r="Q590" s="85"/>
      <x:c r="S590" s="86"/>
      <x:c r="T590" s="32"/>
    </x:row>
    <x:row r="591">
      <x:c r="A591" s="87"/>
      <x:c r="B591" s="88"/>
      <x:c r="D591" s="32"/>
      <x:c r="G591" s="74"/>
      <x:c r="H591" s="74"/>
      <x:c r="I591" s="74"/>
      <x:c r="J591" s="74"/>
      <x:c r="K591" s="74"/>
      <x:c r="L591" s="91"/>
      <x:c r="M591" s="91"/>
      <x:c r="N591" s="91"/>
      <x:c r="O591" s="91"/>
      <x:c r="P591" s="91"/>
      <x:c r="Q591" s="85"/>
      <x:c r="S591" s="86"/>
      <x:c r="T591" s="32"/>
    </x:row>
    <x:row r="592">
      <x:c r="A592" s="87"/>
      <x:c r="B592" s="88"/>
      <x:c r="D592" s="32"/>
      <x:c r="G592" s="74"/>
      <x:c r="H592" s="74"/>
      <x:c r="I592" s="74"/>
      <x:c r="J592" s="74"/>
      <x:c r="K592" s="74"/>
      <x:c r="L592" s="91"/>
      <x:c r="M592" s="91"/>
      <x:c r="N592" s="91"/>
      <x:c r="O592" s="91"/>
      <x:c r="P592" s="91"/>
      <x:c r="Q592" s="85"/>
      <x:c r="S592" s="86"/>
      <x:c r="T592" s="32"/>
    </x:row>
    <x:row r="593">
      <x:c r="A593" s="87"/>
      <x:c r="B593" s="88"/>
      <x:c r="D593" s="32"/>
      <x:c r="G593" s="74"/>
      <x:c r="H593" s="74"/>
      <x:c r="I593" s="74"/>
      <x:c r="J593" s="74"/>
      <x:c r="K593" s="74"/>
      <x:c r="L593" s="91"/>
      <x:c r="M593" s="91"/>
      <x:c r="N593" s="91"/>
      <x:c r="O593" s="91"/>
      <x:c r="P593" s="91"/>
      <x:c r="Q593" s="85"/>
      <x:c r="S593" s="86"/>
      <x:c r="T593" s="32"/>
    </x:row>
    <x:row r="594">
      <x:c r="A594" s="87"/>
      <x:c r="B594" s="88"/>
      <x:c r="D594" s="32"/>
      <x:c r="G594" s="74"/>
      <x:c r="H594" s="74"/>
      <x:c r="I594" s="74"/>
      <x:c r="J594" s="74"/>
      <x:c r="K594" s="74"/>
      <x:c r="L594" s="91"/>
      <x:c r="M594" s="91"/>
      <x:c r="N594" s="91"/>
      <x:c r="O594" s="91"/>
      <x:c r="P594" s="91"/>
      <x:c r="Q594" s="85"/>
      <x:c r="S594" s="86"/>
      <x:c r="T594" s="32"/>
    </x:row>
    <x:row r="595">
      <x:c r="A595" s="87"/>
      <x:c r="B595" s="88"/>
      <x:c r="D595" s="32"/>
      <x:c r="G595" s="74"/>
      <x:c r="H595" s="74"/>
      <x:c r="I595" s="74"/>
      <x:c r="J595" s="74"/>
      <x:c r="K595" s="74"/>
      <x:c r="L595" s="91"/>
      <x:c r="M595" s="91"/>
      <x:c r="N595" s="91"/>
      <x:c r="O595" s="91"/>
      <x:c r="P595" s="91"/>
      <x:c r="Q595" s="85"/>
      <x:c r="S595" s="86"/>
      <x:c r="T595" s="32"/>
    </x:row>
    <x:row r="596">
      <x:c r="A596" s="87"/>
      <x:c r="B596" s="88"/>
      <x:c r="D596" s="32"/>
      <x:c r="G596" s="74"/>
      <x:c r="H596" s="74"/>
      <x:c r="I596" s="74"/>
      <x:c r="J596" s="74"/>
      <x:c r="K596" s="74"/>
      <x:c r="L596" s="91"/>
      <x:c r="M596" s="91"/>
      <x:c r="N596" s="91"/>
      <x:c r="O596" s="91"/>
      <x:c r="P596" s="91"/>
      <x:c r="Q596" s="85"/>
      <x:c r="S596" s="86"/>
      <x:c r="T596" s="32"/>
    </x:row>
    <x:row r="597">
      <x:c r="A597" s="87"/>
      <x:c r="B597" s="88"/>
      <x:c r="D597" s="32"/>
      <x:c r="G597" s="74"/>
      <x:c r="H597" s="74"/>
      <x:c r="I597" s="74"/>
      <x:c r="J597" s="74"/>
      <x:c r="K597" s="74"/>
      <x:c r="L597" s="91"/>
      <x:c r="M597" s="91"/>
      <x:c r="N597" s="91"/>
      <x:c r="O597" s="91"/>
      <x:c r="P597" s="91"/>
      <x:c r="Q597" s="85"/>
      <x:c r="S597" s="86"/>
      <x:c r="T597" s="32"/>
    </x:row>
    <x:row r="598">
      <x:c r="A598" s="87"/>
      <x:c r="B598" s="88"/>
      <x:c r="D598" s="32"/>
      <x:c r="G598" s="74"/>
      <x:c r="H598" s="74"/>
      <x:c r="I598" s="74"/>
      <x:c r="J598" s="74"/>
      <x:c r="K598" s="74"/>
      <x:c r="L598" s="91"/>
      <x:c r="M598" s="91"/>
      <x:c r="N598" s="91"/>
      <x:c r="O598" s="91"/>
      <x:c r="P598" s="91"/>
      <x:c r="Q598" s="85"/>
      <x:c r="S598" s="86"/>
      <x:c r="T598" s="32"/>
    </x:row>
    <x:row r="599">
      <x:c r="A599" s="87"/>
      <x:c r="B599" s="88"/>
      <x:c r="D599" s="32"/>
      <x:c r="G599" s="74"/>
      <x:c r="H599" s="74"/>
      <x:c r="I599" s="74"/>
      <x:c r="J599" s="74"/>
      <x:c r="K599" s="74"/>
      <x:c r="L599" s="91"/>
      <x:c r="M599" s="91"/>
      <x:c r="N599" s="91"/>
      <x:c r="O599" s="91"/>
      <x:c r="P599" s="91"/>
      <x:c r="Q599" s="85"/>
      <x:c r="S599" s="86"/>
      <x:c r="T599" s="32"/>
    </x:row>
    <x:row r="600">
      <x:c r="A600" s="87"/>
      <x:c r="B600" s="88"/>
      <x:c r="D600" s="32"/>
      <x:c r="G600" s="74"/>
      <x:c r="H600" s="74"/>
      <x:c r="I600" s="74"/>
      <x:c r="J600" s="74"/>
      <x:c r="K600" s="74"/>
      <x:c r="L600" s="91"/>
      <x:c r="M600" s="91"/>
      <x:c r="N600" s="91"/>
      <x:c r="O600" s="91"/>
      <x:c r="P600" s="91"/>
      <x:c r="Q600" s="85"/>
      <x:c r="S600" s="86"/>
      <x:c r="T600" s="32"/>
    </x:row>
    <x:row r="601">
      <x:c r="A601" s="87"/>
      <x:c r="B601" s="88"/>
      <x:c r="D601" s="32"/>
      <x:c r="G601" s="74"/>
      <x:c r="H601" s="74"/>
      <x:c r="I601" s="74"/>
      <x:c r="J601" s="74"/>
      <x:c r="K601" s="74"/>
      <x:c r="L601" s="91"/>
      <x:c r="M601" s="91"/>
      <x:c r="N601" s="91"/>
      <x:c r="O601" s="91"/>
      <x:c r="P601" s="91"/>
      <x:c r="Q601" s="85"/>
      <x:c r="S601" s="86"/>
      <x:c r="T601" s="32"/>
    </x:row>
    <x:row r="602">
      <x:c r="A602" s="87"/>
      <x:c r="B602" s="88"/>
      <x:c r="D602" s="32"/>
      <x:c r="G602" s="74"/>
      <x:c r="H602" s="74"/>
      <x:c r="I602" s="74"/>
      <x:c r="J602" s="74"/>
      <x:c r="K602" s="74"/>
      <x:c r="L602" s="91"/>
      <x:c r="M602" s="91"/>
      <x:c r="N602" s="91"/>
      <x:c r="O602" s="91"/>
      <x:c r="P602" s="91"/>
      <x:c r="Q602" s="85"/>
      <x:c r="S602" s="86"/>
      <x:c r="T602" s="32"/>
    </x:row>
    <x:row r="603">
      <x:c r="A603" s="87"/>
      <x:c r="B603" s="88"/>
      <x:c r="D603" s="32"/>
      <x:c r="G603" s="74"/>
      <x:c r="H603" s="74"/>
      <x:c r="I603" s="74"/>
      <x:c r="J603" s="74"/>
      <x:c r="K603" s="74"/>
      <x:c r="L603" s="91"/>
      <x:c r="M603" s="91"/>
      <x:c r="N603" s="91"/>
      <x:c r="O603" s="91"/>
      <x:c r="P603" s="91"/>
      <x:c r="Q603" s="85"/>
      <x:c r="S603" s="86"/>
      <x:c r="T603" s="32"/>
    </x:row>
    <x:row r="604">
      <x:c r="A604" s="87"/>
      <x:c r="B604" s="88"/>
      <x:c r="D604" s="32"/>
      <x:c r="G604" s="74"/>
      <x:c r="H604" s="74"/>
      <x:c r="I604" s="74"/>
      <x:c r="J604" s="74"/>
      <x:c r="K604" s="74"/>
      <x:c r="L604" s="91"/>
      <x:c r="M604" s="91"/>
      <x:c r="N604" s="91"/>
      <x:c r="O604" s="91"/>
      <x:c r="P604" s="91"/>
      <x:c r="Q604" s="85"/>
      <x:c r="S604" s="86"/>
      <x:c r="T604" s="32"/>
    </x:row>
    <x:row r="605">
      <x:c r="A605" s="87"/>
      <x:c r="B605" s="88"/>
      <x:c r="D605" s="32"/>
      <x:c r="G605" s="74"/>
      <x:c r="H605" s="74"/>
      <x:c r="I605" s="74"/>
      <x:c r="J605" s="74"/>
      <x:c r="K605" s="74"/>
      <x:c r="L605" s="91"/>
      <x:c r="M605" s="91"/>
      <x:c r="N605" s="91"/>
      <x:c r="O605" s="91"/>
      <x:c r="P605" s="91"/>
      <x:c r="Q605" s="85"/>
      <x:c r="S605" s="86"/>
      <x:c r="T605" s="32"/>
    </x:row>
    <x:row r="606">
      <x:c r="A606" s="87"/>
      <x:c r="B606" s="88"/>
      <x:c r="D606" s="32"/>
      <x:c r="G606" s="74"/>
      <x:c r="H606" s="74"/>
      <x:c r="I606" s="74"/>
      <x:c r="J606" s="74"/>
      <x:c r="K606" s="74"/>
      <x:c r="L606" s="91"/>
      <x:c r="M606" s="91"/>
      <x:c r="N606" s="91"/>
      <x:c r="O606" s="91"/>
      <x:c r="P606" s="91"/>
      <x:c r="Q606" s="85"/>
      <x:c r="S606" s="86"/>
      <x:c r="T606" s="32"/>
    </x:row>
    <x:row r="607">
      <x:c r="A607" s="87"/>
      <x:c r="B607" s="88"/>
      <x:c r="D607" s="32"/>
      <x:c r="G607" s="74"/>
      <x:c r="H607" s="74"/>
      <x:c r="I607" s="74"/>
      <x:c r="J607" s="74"/>
      <x:c r="K607" s="74"/>
      <x:c r="L607" s="91"/>
      <x:c r="M607" s="91"/>
      <x:c r="N607" s="91"/>
      <x:c r="O607" s="91"/>
      <x:c r="P607" s="91"/>
      <x:c r="Q607" s="85"/>
      <x:c r="S607" s="86"/>
      <x:c r="T607" s="32"/>
    </x:row>
    <x:row r="608">
      <x:c r="A608" s="87"/>
      <x:c r="B608" s="88"/>
      <x:c r="D608" s="32"/>
      <x:c r="G608" s="74"/>
      <x:c r="H608" s="74"/>
      <x:c r="I608" s="74"/>
      <x:c r="J608" s="74"/>
      <x:c r="K608" s="74"/>
      <x:c r="L608" s="91"/>
      <x:c r="M608" s="91"/>
      <x:c r="N608" s="91"/>
      <x:c r="O608" s="91"/>
      <x:c r="P608" s="91"/>
      <x:c r="Q608" s="85"/>
      <x:c r="S608" s="86"/>
      <x:c r="T608" s="32"/>
    </x:row>
    <x:row r="609">
      <x:c r="A609" s="87"/>
      <x:c r="B609" s="88"/>
      <x:c r="D609" s="32"/>
      <x:c r="G609" s="74"/>
      <x:c r="H609" s="74"/>
      <x:c r="I609" s="74"/>
      <x:c r="J609" s="74"/>
      <x:c r="K609" s="74"/>
      <x:c r="L609" s="91"/>
      <x:c r="M609" s="91"/>
      <x:c r="N609" s="91"/>
      <x:c r="O609" s="91"/>
      <x:c r="P609" s="91"/>
      <x:c r="Q609" s="85"/>
      <x:c r="S609" s="86"/>
      <x:c r="T609" s="32"/>
    </x:row>
    <x:row r="610">
      <x:c r="A610" s="87"/>
      <x:c r="B610" s="88"/>
      <x:c r="D610" s="32"/>
      <x:c r="G610" s="74"/>
      <x:c r="H610" s="74"/>
      <x:c r="I610" s="74"/>
      <x:c r="J610" s="74"/>
      <x:c r="K610" s="74"/>
      <x:c r="L610" s="91"/>
      <x:c r="M610" s="91"/>
      <x:c r="N610" s="91"/>
      <x:c r="O610" s="91"/>
      <x:c r="P610" s="91"/>
      <x:c r="Q610" s="85"/>
      <x:c r="S610" s="86"/>
      <x:c r="T610" s="32"/>
    </x:row>
    <x:row r="611">
      <x:c r="A611" s="87"/>
      <x:c r="B611" s="88"/>
      <x:c r="D611" s="32"/>
      <x:c r="G611" s="74"/>
      <x:c r="H611" s="74"/>
      <x:c r="I611" s="74"/>
      <x:c r="J611" s="74"/>
      <x:c r="K611" s="74"/>
      <x:c r="L611" s="91"/>
      <x:c r="M611" s="91"/>
      <x:c r="N611" s="91"/>
      <x:c r="O611" s="91"/>
      <x:c r="P611" s="91"/>
      <x:c r="Q611" s="85"/>
      <x:c r="S611" s="86"/>
      <x:c r="T611" s="32"/>
    </x:row>
    <x:row r="612">
      <x:c r="A612" s="87"/>
      <x:c r="B612" s="88"/>
      <x:c r="D612" s="32"/>
      <x:c r="G612" s="74"/>
      <x:c r="H612" s="74"/>
      <x:c r="I612" s="74"/>
      <x:c r="J612" s="74"/>
      <x:c r="K612" s="74"/>
      <x:c r="L612" s="91"/>
      <x:c r="M612" s="91"/>
      <x:c r="N612" s="91"/>
      <x:c r="O612" s="91"/>
      <x:c r="P612" s="91"/>
      <x:c r="Q612" s="85"/>
      <x:c r="S612" s="86"/>
      <x:c r="T612" s="32"/>
    </x:row>
    <x:row r="613">
      <x:c r="A613" s="87"/>
      <x:c r="B613" s="88"/>
      <x:c r="D613" s="32"/>
      <x:c r="G613" s="74"/>
      <x:c r="H613" s="74"/>
      <x:c r="I613" s="74"/>
      <x:c r="J613" s="74"/>
      <x:c r="K613" s="74"/>
      <x:c r="L613" s="91"/>
      <x:c r="M613" s="91"/>
      <x:c r="N613" s="91"/>
      <x:c r="O613" s="91"/>
      <x:c r="P613" s="91"/>
      <x:c r="Q613" s="85"/>
      <x:c r="S613" s="86"/>
      <x:c r="T613" s="32"/>
    </x:row>
    <x:row r="614">
      <x:c r="A614" s="87"/>
      <x:c r="B614" s="88"/>
      <x:c r="D614" s="32"/>
      <x:c r="G614" s="74"/>
      <x:c r="H614" s="74"/>
      <x:c r="I614" s="74"/>
      <x:c r="J614" s="74"/>
      <x:c r="K614" s="74"/>
      <x:c r="L614" s="91"/>
      <x:c r="M614" s="91"/>
      <x:c r="N614" s="91"/>
      <x:c r="O614" s="91"/>
      <x:c r="P614" s="91"/>
      <x:c r="Q614" s="85"/>
      <x:c r="S614" s="86"/>
      <x:c r="T614" s="32"/>
    </x:row>
    <x:row r="615">
      <x:c r="A615" s="87"/>
      <x:c r="B615" s="88"/>
      <x:c r="D615" s="32"/>
      <x:c r="G615" s="74"/>
      <x:c r="H615" s="74"/>
      <x:c r="I615" s="74"/>
      <x:c r="J615" s="74"/>
      <x:c r="K615" s="74"/>
      <x:c r="L615" s="91"/>
      <x:c r="M615" s="91"/>
      <x:c r="N615" s="91"/>
      <x:c r="O615" s="91"/>
      <x:c r="P615" s="91"/>
      <x:c r="Q615" s="85"/>
      <x:c r="S615" s="86"/>
      <x:c r="T615" s="32"/>
    </x:row>
    <x:row r="616">
      <x:c r="A616" s="87"/>
      <x:c r="B616" s="88"/>
      <x:c r="D616" s="32"/>
      <x:c r="G616" s="74"/>
      <x:c r="H616" s="74"/>
      <x:c r="I616" s="74"/>
      <x:c r="J616" s="74"/>
      <x:c r="K616" s="74"/>
      <x:c r="L616" s="91"/>
      <x:c r="M616" s="91"/>
      <x:c r="N616" s="91"/>
      <x:c r="O616" s="91"/>
      <x:c r="P616" s="91"/>
      <x:c r="Q616" s="85"/>
      <x:c r="S616" s="86"/>
      <x:c r="T616" s="32"/>
    </x:row>
    <x:row r="617">
      <x:c r="A617" s="87"/>
      <x:c r="B617" s="88"/>
      <x:c r="D617" s="32"/>
      <x:c r="G617" s="74"/>
      <x:c r="H617" s="74"/>
      <x:c r="I617" s="74"/>
      <x:c r="J617" s="74"/>
      <x:c r="K617" s="74"/>
      <x:c r="L617" s="91"/>
      <x:c r="M617" s="91"/>
      <x:c r="N617" s="91"/>
      <x:c r="O617" s="91"/>
      <x:c r="P617" s="91"/>
      <x:c r="Q617" s="85"/>
      <x:c r="S617" s="86"/>
      <x:c r="T617" s="32"/>
    </x:row>
    <x:row r="618">
      <x:c r="A618" s="87"/>
      <x:c r="B618" s="88"/>
      <x:c r="D618" s="32"/>
      <x:c r="G618" s="74"/>
      <x:c r="H618" s="74"/>
      <x:c r="I618" s="74"/>
      <x:c r="J618" s="74"/>
      <x:c r="K618" s="74"/>
      <x:c r="L618" s="91"/>
      <x:c r="M618" s="91"/>
      <x:c r="N618" s="91"/>
      <x:c r="O618" s="91"/>
      <x:c r="P618" s="91"/>
      <x:c r="Q618" s="85"/>
      <x:c r="S618" s="86"/>
      <x:c r="T618" s="32"/>
    </x:row>
    <x:row r="619">
      <x:c r="A619" s="87"/>
      <x:c r="B619" s="88"/>
      <x:c r="D619" s="32"/>
      <x:c r="G619" s="74"/>
      <x:c r="H619" s="74"/>
      <x:c r="I619" s="74"/>
      <x:c r="J619" s="74"/>
      <x:c r="K619" s="74"/>
      <x:c r="L619" s="91"/>
      <x:c r="M619" s="91"/>
      <x:c r="N619" s="91"/>
      <x:c r="O619" s="91"/>
      <x:c r="P619" s="91"/>
      <x:c r="Q619" s="85"/>
      <x:c r="S619" s="86"/>
      <x:c r="T619" s="32"/>
    </x:row>
    <x:row r="620">
      <x:c r="A620" s="87"/>
      <x:c r="B620" s="88"/>
      <x:c r="D620" s="32"/>
      <x:c r="G620" s="74"/>
      <x:c r="H620" s="74"/>
      <x:c r="I620" s="74"/>
      <x:c r="J620" s="74"/>
      <x:c r="K620" s="74"/>
      <x:c r="L620" s="91"/>
      <x:c r="M620" s="91"/>
      <x:c r="N620" s="91"/>
      <x:c r="O620" s="91"/>
      <x:c r="P620" s="91"/>
      <x:c r="Q620" s="85"/>
      <x:c r="S620" s="86"/>
      <x:c r="T620" s="32"/>
    </x:row>
    <x:row r="621">
      <x:c r="A621" s="87"/>
      <x:c r="B621" s="88"/>
      <x:c r="D621" s="32"/>
      <x:c r="G621" s="74"/>
      <x:c r="H621" s="74"/>
      <x:c r="I621" s="74"/>
      <x:c r="J621" s="74"/>
      <x:c r="K621" s="74"/>
      <x:c r="L621" s="91"/>
      <x:c r="M621" s="91"/>
      <x:c r="N621" s="91"/>
      <x:c r="O621" s="91"/>
      <x:c r="P621" s="91"/>
      <x:c r="Q621" s="85"/>
      <x:c r="S621" s="86"/>
      <x:c r="T621" s="32"/>
    </x:row>
    <x:row r="622">
      <x:c r="A622" s="87"/>
      <x:c r="B622" s="88"/>
      <x:c r="D622" s="32"/>
      <x:c r="G622" s="74"/>
      <x:c r="H622" s="74"/>
      <x:c r="I622" s="74"/>
      <x:c r="J622" s="74"/>
      <x:c r="K622" s="74"/>
      <x:c r="L622" s="91"/>
      <x:c r="M622" s="91"/>
      <x:c r="N622" s="91"/>
      <x:c r="O622" s="91"/>
      <x:c r="P622" s="91"/>
      <x:c r="Q622" s="85"/>
      <x:c r="S622" s="86"/>
      <x:c r="T622" s="32"/>
    </x:row>
    <x:row r="623">
      <x:c r="A623" s="87"/>
      <x:c r="B623" s="88"/>
      <x:c r="D623" s="32"/>
      <x:c r="G623" s="74"/>
      <x:c r="H623" s="74"/>
      <x:c r="I623" s="74"/>
      <x:c r="J623" s="74"/>
      <x:c r="K623" s="74"/>
      <x:c r="L623" s="91"/>
      <x:c r="M623" s="91"/>
      <x:c r="N623" s="91"/>
      <x:c r="O623" s="91"/>
      <x:c r="P623" s="91"/>
      <x:c r="Q623" s="85"/>
      <x:c r="S623" s="86"/>
      <x:c r="T623" s="32"/>
    </x:row>
    <x:row r="624">
      <x:c r="A624" s="87"/>
      <x:c r="B624" s="88"/>
      <x:c r="D624" s="32"/>
      <x:c r="G624" s="74"/>
      <x:c r="H624" s="74"/>
      <x:c r="I624" s="74"/>
      <x:c r="J624" s="74"/>
      <x:c r="K624" s="74"/>
      <x:c r="L624" s="91"/>
      <x:c r="M624" s="91"/>
      <x:c r="N624" s="91"/>
      <x:c r="O624" s="91"/>
      <x:c r="P624" s="91"/>
      <x:c r="Q624" s="85"/>
      <x:c r="S624" s="86"/>
      <x:c r="T624" s="32"/>
    </x:row>
    <x:row r="625">
      <x:c r="A625" s="87"/>
      <x:c r="B625" s="88"/>
      <x:c r="D625" s="32"/>
      <x:c r="G625" s="74"/>
      <x:c r="H625" s="74"/>
      <x:c r="I625" s="74"/>
      <x:c r="J625" s="74"/>
      <x:c r="K625" s="74"/>
      <x:c r="L625" s="91"/>
      <x:c r="M625" s="91"/>
      <x:c r="N625" s="91"/>
      <x:c r="O625" s="91"/>
      <x:c r="P625" s="91"/>
      <x:c r="Q625" s="85"/>
      <x:c r="S625" s="86"/>
      <x:c r="T625" s="32"/>
    </x:row>
    <x:row r="626">
      <x:c r="A626" s="87"/>
      <x:c r="B626" s="88"/>
      <x:c r="D626" s="32"/>
      <x:c r="G626" s="74"/>
      <x:c r="H626" s="74"/>
      <x:c r="I626" s="74"/>
      <x:c r="J626" s="74"/>
      <x:c r="K626" s="74"/>
      <x:c r="L626" s="91"/>
      <x:c r="M626" s="91"/>
      <x:c r="N626" s="91"/>
      <x:c r="O626" s="91"/>
      <x:c r="P626" s="91"/>
      <x:c r="Q626" s="85"/>
      <x:c r="S626" s="86"/>
      <x:c r="T626" s="32"/>
    </x:row>
    <x:row r="627">
      <x:c r="A627" s="87"/>
      <x:c r="B627" s="88"/>
      <x:c r="D627" s="32"/>
      <x:c r="G627" s="74"/>
      <x:c r="H627" s="74"/>
      <x:c r="I627" s="74"/>
      <x:c r="J627" s="74"/>
      <x:c r="K627" s="74"/>
      <x:c r="L627" s="91"/>
      <x:c r="M627" s="91"/>
      <x:c r="N627" s="91"/>
      <x:c r="O627" s="91"/>
      <x:c r="P627" s="91"/>
      <x:c r="Q627" s="85"/>
      <x:c r="S627" s="86"/>
      <x:c r="T627" s="32"/>
    </x:row>
    <x:row r="628">
      <x:c r="A628" s="87"/>
      <x:c r="B628" s="88"/>
      <x:c r="D628" s="32"/>
      <x:c r="G628" s="74"/>
      <x:c r="H628" s="74"/>
      <x:c r="I628" s="74"/>
      <x:c r="J628" s="74"/>
      <x:c r="K628" s="74"/>
      <x:c r="L628" s="91"/>
      <x:c r="M628" s="91"/>
      <x:c r="N628" s="91"/>
      <x:c r="O628" s="91"/>
      <x:c r="P628" s="91"/>
      <x:c r="Q628" s="85"/>
      <x:c r="S628" s="86"/>
      <x:c r="T628" s="32"/>
    </x:row>
    <x:row r="629">
      <x:c r="A629" s="87"/>
      <x:c r="B629" s="88"/>
      <x:c r="D629" s="32"/>
      <x:c r="G629" s="74"/>
      <x:c r="H629" s="74"/>
      <x:c r="I629" s="74"/>
      <x:c r="J629" s="74"/>
      <x:c r="K629" s="74"/>
      <x:c r="L629" s="91"/>
      <x:c r="M629" s="91"/>
      <x:c r="N629" s="91"/>
      <x:c r="O629" s="91"/>
      <x:c r="P629" s="91"/>
      <x:c r="Q629" s="85"/>
      <x:c r="S629" s="86"/>
      <x:c r="T629" s="32"/>
    </x:row>
    <x:row r="630">
      <x:c r="A630" s="87"/>
      <x:c r="B630" s="88"/>
      <x:c r="D630" s="32"/>
      <x:c r="G630" s="74"/>
      <x:c r="H630" s="74"/>
      <x:c r="I630" s="74"/>
      <x:c r="J630" s="74"/>
      <x:c r="K630" s="74"/>
      <x:c r="L630" s="91"/>
      <x:c r="M630" s="91"/>
      <x:c r="N630" s="91"/>
      <x:c r="O630" s="91"/>
      <x:c r="P630" s="91"/>
      <x:c r="Q630" s="85"/>
      <x:c r="S630" s="86"/>
      <x:c r="T630" s="32"/>
    </x:row>
    <x:row r="631">
      <x:c r="A631" s="87"/>
      <x:c r="B631" s="88"/>
      <x:c r="D631" s="32"/>
      <x:c r="G631" s="74"/>
      <x:c r="H631" s="74"/>
      <x:c r="I631" s="74"/>
      <x:c r="J631" s="74"/>
      <x:c r="K631" s="74"/>
      <x:c r="L631" s="91"/>
      <x:c r="M631" s="91"/>
      <x:c r="N631" s="91"/>
      <x:c r="O631" s="91"/>
      <x:c r="P631" s="91"/>
      <x:c r="Q631" s="85"/>
      <x:c r="S631" s="86"/>
      <x:c r="T631" s="32"/>
    </x:row>
    <x:row r="632">
      <x:c r="A632" s="87"/>
      <x:c r="B632" s="88"/>
      <x:c r="D632" s="32"/>
      <x:c r="G632" s="74"/>
      <x:c r="H632" s="74"/>
      <x:c r="I632" s="74"/>
      <x:c r="J632" s="74"/>
      <x:c r="K632" s="74"/>
      <x:c r="L632" s="91"/>
      <x:c r="M632" s="91"/>
      <x:c r="N632" s="91"/>
      <x:c r="O632" s="91"/>
      <x:c r="P632" s="91"/>
      <x:c r="Q632" s="85"/>
      <x:c r="S632" s="86"/>
      <x:c r="T632" s="32"/>
    </x:row>
    <x:row r="633">
      <x:c r="A633" s="87"/>
      <x:c r="B633" s="88"/>
      <x:c r="D633" s="32"/>
      <x:c r="G633" s="74"/>
      <x:c r="H633" s="74"/>
      <x:c r="I633" s="74"/>
      <x:c r="J633" s="74"/>
      <x:c r="K633" s="74"/>
      <x:c r="L633" s="91"/>
      <x:c r="M633" s="91"/>
      <x:c r="N633" s="91"/>
      <x:c r="O633" s="91"/>
      <x:c r="P633" s="91"/>
      <x:c r="Q633" s="85"/>
      <x:c r="S633" s="86"/>
      <x:c r="T633" s="32"/>
    </x:row>
    <x:row r="634">
      <x:c r="A634" s="87"/>
      <x:c r="B634" s="88"/>
      <x:c r="D634" s="32"/>
      <x:c r="G634" s="74"/>
      <x:c r="H634" s="74"/>
      <x:c r="I634" s="74"/>
      <x:c r="J634" s="74"/>
      <x:c r="K634" s="74"/>
      <x:c r="L634" s="91"/>
      <x:c r="M634" s="91"/>
      <x:c r="N634" s="91"/>
      <x:c r="O634" s="91"/>
      <x:c r="P634" s="91"/>
      <x:c r="Q634" s="85"/>
      <x:c r="S634" s="86"/>
      <x:c r="T634" s="32"/>
    </x:row>
    <x:row r="635">
      <x:c r="A635" s="87"/>
      <x:c r="B635" s="88"/>
      <x:c r="D635" s="32"/>
      <x:c r="G635" s="74"/>
      <x:c r="H635" s="74"/>
      <x:c r="I635" s="74"/>
      <x:c r="J635" s="74"/>
      <x:c r="K635" s="74"/>
      <x:c r="L635" s="91"/>
      <x:c r="M635" s="91"/>
      <x:c r="N635" s="91"/>
      <x:c r="O635" s="91"/>
      <x:c r="P635" s="91"/>
      <x:c r="Q635" s="85"/>
      <x:c r="S635" s="86"/>
      <x:c r="T635" s="32"/>
    </x:row>
    <x:row r="636">
      <x:c r="A636" s="87"/>
      <x:c r="B636" s="88"/>
      <x:c r="D636" s="32"/>
      <x:c r="G636" s="74"/>
      <x:c r="H636" s="74"/>
      <x:c r="I636" s="74"/>
      <x:c r="J636" s="74"/>
      <x:c r="K636" s="74"/>
      <x:c r="L636" s="91"/>
      <x:c r="M636" s="91"/>
      <x:c r="N636" s="91"/>
      <x:c r="O636" s="91"/>
      <x:c r="P636" s="91"/>
      <x:c r="Q636" s="85"/>
      <x:c r="S636" s="86"/>
      <x:c r="T636" s="32"/>
    </x:row>
    <x:row r="637">
      <x:c r="A637" s="87"/>
      <x:c r="B637" s="88"/>
      <x:c r="D637" s="32"/>
      <x:c r="G637" s="74"/>
      <x:c r="H637" s="74"/>
      <x:c r="I637" s="74"/>
      <x:c r="J637" s="74"/>
      <x:c r="K637" s="74"/>
      <x:c r="L637" s="91"/>
      <x:c r="M637" s="91"/>
      <x:c r="N637" s="91"/>
      <x:c r="O637" s="91"/>
      <x:c r="P637" s="91"/>
      <x:c r="Q637" s="85"/>
      <x:c r="S637" s="86"/>
      <x:c r="T637" s="32"/>
    </x:row>
    <x:row r="638">
      <x:c r="A638" s="87"/>
      <x:c r="B638" s="88"/>
      <x:c r="D638" s="32"/>
      <x:c r="G638" s="74"/>
      <x:c r="H638" s="74"/>
      <x:c r="I638" s="74"/>
      <x:c r="J638" s="74"/>
      <x:c r="K638" s="74"/>
      <x:c r="L638" s="91"/>
      <x:c r="M638" s="91"/>
      <x:c r="N638" s="91"/>
      <x:c r="O638" s="91"/>
      <x:c r="P638" s="91"/>
      <x:c r="Q638" s="85"/>
      <x:c r="S638" s="86"/>
      <x:c r="T638" s="32"/>
    </x:row>
    <x:row r="639">
      <x:c r="A639" s="87"/>
      <x:c r="B639" s="88"/>
      <x:c r="D639" s="32"/>
      <x:c r="G639" s="74"/>
      <x:c r="H639" s="74"/>
      <x:c r="I639" s="74"/>
      <x:c r="J639" s="74"/>
      <x:c r="K639" s="74"/>
      <x:c r="L639" s="91"/>
      <x:c r="M639" s="91"/>
      <x:c r="N639" s="91"/>
      <x:c r="O639" s="91"/>
      <x:c r="P639" s="91"/>
      <x:c r="Q639" s="85"/>
      <x:c r="S639" s="86"/>
      <x:c r="T639" s="32"/>
    </x:row>
    <x:row r="640">
      <x:c r="A640" s="87"/>
      <x:c r="B640" s="88"/>
      <x:c r="D640" s="32"/>
      <x:c r="G640" s="74"/>
      <x:c r="H640" s="74"/>
      <x:c r="I640" s="74"/>
      <x:c r="J640" s="74"/>
      <x:c r="K640" s="74"/>
      <x:c r="L640" s="91"/>
      <x:c r="M640" s="91"/>
      <x:c r="N640" s="91"/>
      <x:c r="O640" s="91"/>
      <x:c r="P640" s="91"/>
      <x:c r="Q640" s="85"/>
      <x:c r="S640" s="86"/>
      <x:c r="T640" s="32"/>
    </x:row>
    <x:row r="641">
      <x:c r="A641" s="87"/>
      <x:c r="B641" s="88"/>
      <x:c r="D641" s="32"/>
      <x:c r="G641" s="74"/>
      <x:c r="H641" s="74"/>
      <x:c r="I641" s="74"/>
      <x:c r="J641" s="74"/>
      <x:c r="K641" s="74"/>
      <x:c r="L641" s="91"/>
      <x:c r="M641" s="91"/>
      <x:c r="N641" s="91"/>
      <x:c r="O641" s="91"/>
      <x:c r="P641" s="91"/>
      <x:c r="Q641" s="85"/>
      <x:c r="S641" s="86"/>
      <x:c r="T641" s="32"/>
    </x:row>
    <x:row r="642">
      <x:c r="A642" s="87"/>
      <x:c r="B642" s="88"/>
      <x:c r="D642" s="32"/>
      <x:c r="G642" s="74"/>
      <x:c r="H642" s="74"/>
      <x:c r="I642" s="74"/>
      <x:c r="J642" s="74"/>
      <x:c r="K642" s="74"/>
      <x:c r="L642" s="91"/>
      <x:c r="M642" s="91"/>
      <x:c r="N642" s="91"/>
      <x:c r="O642" s="91"/>
      <x:c r="P642" s="91"/>
      <x:c r="Q642" s="85"/>
      <x:c r="S642" s="86"/>
      <x:c r="T642" s="32"/>
    </x:row>
    <x:row r="643">
      <x:c r="A643" s="87"/>
      <x:c r="B643" s="88"/>
      <x:c r="D643" s="32"/>
      <x:c r="G643" s="74"/>
      <x:c r="H643" s="74"/>
      <x:c r="I643" s="74"/>
      <x:c r="J643" s="74"/>
      <x:c r="K643" s="74"/>
      <x:c r="L643" s="91"/>
      <x:c r="M643" s="91"/>
      <x:c r="N643" s="91"/>
      <x:c r="O643" s="91"/>
      <x:c r="P643" s="91"/>
      <x:c r="Q643" s="85"/>
      <x:c r="S643" s="86"/>
      <x:c r="T643" s="32"/>
    </x:row>
    <x:row r="644">
      <x:c r="A644" s="87"/>
      <x:c r="B644" s="88"/>
      <x:c r="D644" s="32"/>
      <x:c r="G644" s="74"/>
      <x:c r="H644" s="74"/>
      <x:c r="I644" s="74"/>
      <x:c r="J644" s="74"/>
      <x:c r="K644" s="74"/>
      <x:c r="L644" s="91"/>
      <x:c r="M644" s="91"/>
      <x:c r="N644" s="91"/>
      <x:c r="O644" s="91"/>
      <x:c r="P644" s="91"/>
      <x:c r="Q644" s="85"/>
      <x:c r="S644" s="86"/>
      <x:c r="T644" s="32"/>
    </x:row>
    <x:row r="645">
      <x:c r="A645" s="87"/>
      <x:c r="B645" s="88"/>
      <x:c r="D645" s="32"/>
      <x:c r="G645" s="74"/>
      <x:c r="H645" s="74"/>
      <x:c r="I645" s="74"/>
      <x:c r="J645" s="74"/>
      <x:c r="K645" s="74"/>
      <x:c r="L645" s="91"/>
      <x:c r="M645" s="91"/>
      <x:c r="N645" s="91"/>
      <x:c r="O645" s="91"/>
      <x:c r="P645" s="91"/>
      <x:c r="Q645" s="85"/>
      <x:c r="S645" s="86"/>
      <x:c r="T645" s="32"/>
    </x:row>
    <x:row r="646">
      <x:c r="A646" s="87"/>
      <x:c r="B646" s="88"/>
      <x:c r="D646" s="32"/>
      <x:c r="G646" s="74"/>
      <x:c r="H646" s="74"/>
      <x:c r="I646" s="74"/>
      <x:c r="J646" s="74"/>
      <x:c r="K646" s="74"/>
      <x:c r="L646" s="91"/>
      <x:c r="M646" s="91"/>
      <x:c r="N646" s="91"/>
      <x:c r="O646" s="91"/>
      <x:c r="P646" s="91"/>
      <x:c r="Q646" s="85"/>
      <x:c r="S646" s="86"/>
      <x:c r="T646" s="32"/>
    </x:row>
    <x:row r="647">
      <x:c r="A647" s="87"/>
      <x:c r="B647" s="88"/>
      <x:c r="D647" s="32"/>
      <x:c r="G647" s="74"/>
      <x:c r="H647" s="74"/>
      <x:c r="I647" s="74"/>
      <x:c r="J647" s="74"/>
      <x:c r="K647" s="74"/>
      <x:c r="L647" s="91"/>
      <x:c r="M647" s="91"/>
      <x:c r="N647" s="91"/>
      <x:c r="O647" s="91"/>
      <x:c r="P647" s="91"/>
      <x:c r="Q647" s="85"/>
      <x:c r="S647" s="86"/>
      <x:c r="T647" s="32"/>
    </x:row>
    <x:row r="648">
      <x:c r="A648" s="87"/>
      <x:c r="B648" s="88"/>
      <x:c r="D648" s="32"/>
      <x:c r="G648" s="74"/>
      <x:c r="H648" s="74"/>
      <x:c r="I648" s="74"/>
      <x:c r="J648" s="74"/>
      <x:c r="K648" s="74"/>
      <x:c r="L648" s="91"/>
      <x:c r="M648" s="91"/>
      <x:c r="N648" s="91"/>
      <x:c r="O648" s="91"/>
      <x:c r="P648" s="91"/>
      <x:c r="Q648" s="85"/>
      <x:c r="S648" s="86"/>
      <x:c r="T648" s="32"/>
    </x:row>
    <x:row r="649">
      <x:c r="A649" s="87"/>
      <x:c r="B649" s="88"/>
      <x:c r="D649" s="32"/>
      <x:c r="G649" s="74"/>
      <x:c r="H649" s="74"/>
      <x:c r="I649" s="74"/>
      <x:c r="J649" s="74"/>
      <x:c r="K649" s="74"/>
      <x:c r="L649" s="91"/>
      <x:c r="M649" s="91"/>
      <x:c r="N649" s="91"/>
      <x:c r="O649" s="91"/>
      <x:c r="P649" s="91"/>
      <x:c r="Q649" s="85"/>
      <x:c r="S649" s="86"/>
      <x:c r="T649" s="32"/>
    </x:row>
    <x:row r="650">
      <x:c r="A650" s="87"/>
      <x:c r="B650" s="88"/>
      <x:c r="D650" s="32"/>
      <x:c r="G650" s="74"/>
      <x:c r="H650" s="74"/>
      <x:c r="I650" s="74"/>
      <x:c r="J650" s="74"/>
      <x:c r="K650" s="74"/>
      <x:c r="L650" s="91"/>
      <x:c r="M650" s="91"/>
      <x:c r="N650" s="91"/>
      <x:c r="O650" s="91"/>
      <x:c r="P650" s="91"/>
      <x:c r="Q650" s="85"/>
      <x:c r="S650" s="86"/>
      <x:c r="T650" s="32"/>
    </x:row>
    <x:row r="651">
      <x:c r="A651" s="87"/>
      <x:c r="B651" s="88"/>
      <x:c r="D651" s="32"/>
      <x:c r="G651" s="74"/>
      <x:c r="H651" s="74"/>
      <x:c r="I651" s="74"/>
      <x:c r="J651" s="74"/>
      <x:c r="K651" s="74"/>
      <x:c r="L651" s="91"/>
      <x:c r="M651" s="91"/>
      <x:c r="N651" s="91"/>
      <x:c r="O651" s="91"/>
      <x:c r="P651" s="91"/>
      <x:c r="Q651" s="85"/>
      <x:c r="S651" s="86"/>
      <x:c r="T651" s="32"/>
    </x:row>
    <x:row r="652">
      <x:c r="A652" s="87"/>
      <x:c r="B652" s="88"/>
      <x:c r="D652" s="32"/>
      <x:c r="G652" s="74"/>
      <x:c r="H652" s="74"/>
      <x:c r="I652" s="74"/>
      <x:c r="J652" s="74"/>
      <x:c r="K652" s="74"/>
      <x:c r="L652" s="91"/>
      <x:c r="M652" s="91"/>
      <x:c r="N652" s="91"/>
      <x:c r="O652" s="91"/>
      <x:c r="P652" s="91"/>
      <x:c r="Q652" s="85"/>
      <x:c r="S652" s="86"/>
      <x:c r="T652" s="32"/>
    </x:row>
    <x:row r="653">
      <x:c r="A653" s="87"/>
      <x:c r="B653" s="88"/>
      <x:c r="D653" s="32"/>
      <x:c r="G653" s="74"/>
      <x:c r="H653" s="74"/>
      <x:c r="I653" s="74"/>
      <x:c r="J653" s="74"/>
      <x:c r="K653" s="74"/>
      <x:c r="L653" s="91"/>
      <x:c r="M653" s="91"/>
      <x:c r="N653" s="91"/>
      <x:c r="O653" s="91"/>
      <x:c r="P653" s="91"/>
      <x:c r="Q653" s="85"/>
      <x:c r="S653" s="86"/>
      <x:c r="T653" s="32"/>
    </x:row>
    <x:row r="654">
      <x:c r="A654" s="87"/>
      <x:c r="B654" s="88"/>
      <x:c r="D654" s="32"/>
      <x:c r="G654" s="74"/>
      <x:c r="H654" s="74"/>
      <x:c r="I654" s="74"/>
      <x:c r="J654" s="74"/>
      <x:c r="K654" s="74"/>
      <x:c r="L654" s="91"/>
      <x:c r="M654" s="91"/>
      <x:c r="N654" s="91"/>
      <x:c r="O654" s="91"/>
      <x:c r="P654" s="91"/>
      <x:c r="Q654" s="85"/>
      <x:c r="S654" s="86"/>
      <x:c r="T654" s="32"/>
    </x:row>
    <x:row r="655">
      <x:c r="A655" s="87"/>
      <x:c r="B655" s="88"/>
      <x:c r="D655" s="32"/>
      <x:c r="G655" s="74"/>
      <x:c r="H655" s="74"/>
      <x:c r="I655" s="74"/>
      <x:c r="J655" s="74"/>
      <x:c r="K655" s="74"/>
      <x:c r="L655" s="91"/>
      <x:c r="M655" s="91"/>
      <x:c r="N655" s="91"/>
      <x:c r="O655" s="91"/>
      <x:c r="P655" s="91"/>
      <x:c r="Q655" s="85"/>
      <x:c r="S655" s="86"/>
      <x:c r="T655" s="32"/>
    </x:row>
    <x:row r="656">
      <x:c r="A656" s="87"/>
      <x:c r="B656" s="88"/>
      <x:c r="D656" s="32"/>
      <x:c r="G656" s="74"/>
      <x:c r="H656" s="74"/>
      <x:c r="I656" s="74"/>
      <x:c r="J656" s="74"/>
      <x:c r="K656" s="74"/>
      <x:c r="L656" s="91"/>
      <x:c r="M656" s="91"/>
      <x:c r="N656" s="91"/>
      <x:c r="O656" s="91"/>
      <x:c r="P656" s="91"/>
      <x:c r="Q656" s="85"/>
      <x:c r="S656" s="86"/>
      <x:c r="T656" s="32"/>
    </x:row>
    <x:row r="657">
      <x:c r="A657" s="87"/>
      <x:c r="B657" s="88"/>
      <x:c r="D657" s="32"/>
      <x:c r="G657" s="74"/>
      <x:c r="H657" s="74"/>
      <x:c r="I657" s="74"/>
      <x:c r="J657" s="74"/>
      <x:c r="K657" s="74"/>
      <x:c r="L657" s="91"/>
      <x:c r="M657" s="91"/>
      <x:c r="N657" s="91"/>
      <x:c r="O657" s="91"/>
      <x:c r="P657" s="91"/>
      <x:c r="Q657" s="85"/>
      <x:c r="S657" s="86"/>
      <x:c r="T657" s="32"/>
    </x:row>
    <x:row r="658">
      <x:c r="A658" s="87"/>
      <x:c r="B658" s="88"/>
      <x:c r="D658" s="32"/>
      <x:c r="G658" s="74"/>
      <x:c r="H658" s="74"/>
      <x:c r="I658" s="74"/>
      <x:c r="J658" s="74"/>
      <x:c r="K658" s="74"/>
      <x:c r="L658" s="91"/>
      <x:c r="M658" s="91"/>
      <x:c r="N658" s="91"/>
      <x:c r="O658" s="91"/>
      <x:c r="P658" s="91"/>
      <x:c r="Q658" s="85"/>
      <x:c r="S658" s="86"/>
      <x:c r="T658" s="32"/>
    </x:row>
    <x:row r="659">
      <x:c r="A659" s="87"/>
      <x:c r="B659" s="88"/>
      <x:c r="D659" s="32"/>
      <x:c r="G659" s="74"/>
      <x:c r="H659" s="74"/>
      <x:c r="I659" s="74"/>
      <x:c r="J659" s="74"/>
      <x:c r="K659" s="74"/>
      <x:c r="L659" s="91"/>
      <x:c r="M659" s="91"/>
      <x:c r="N659" s="91"/>
      <x:c r="O659" s="91"/>
      <x:c r="P659" s="91"/>
      <x:c r="Q659" s="85"/>
      <x:c r="S659" s="86"/>
      <x:c r="T659" s="32"/>
    </x:row>
    <x:row r="660">
      <x:c r="A660" s="87"/>
      <x:c r="B660" s="88"/>
      <x:c r="D660" s="32"/>
      <x:c r="G660" s="74"/>
      <x:c r="H660" s="74"/>
      <x:c r="I660" s="74"/>
      <x:c r="J660" s="74"/>
      <x:c r="K660" s="74"/>
      <x:c r="L660" s="91"/>
      <x:c r="M660" s="91"/>
      <x:c r="N660" s="91"/>
      <x:c r="O660" s="91"/>
      <x:c r="P660" s="91"/>
      <x:c r="Q660" s="85"/>
      <x:c r="S660" s="86"/>
      <x:c r="T660" s="32"/>
    </x:row>
    <x:row r="661">
      <x:c r="A661" s="87"/>
      <x:c r="B661" s="88"/>
      <x:c r="D661" s="32"/>
      <x:c r="G661" s="74"/>
      <x:c r="H661" s="74"/>
      <x:c r="I661" s="74"/>
      <x:c r="J661" s="74"/>
      <x:c r="K661" s="74"/>
      <x:c r="L661" s="91"/>
      <x:c r="M661" s="91"/>
      <x:c r="N661" s="91"/>
      <x:c r="O661" s="91"/>
      <x:c r="P661" s="91"/>
      <x:c r="Q661" s="85"/>
      <x:c r="S661" s="86"/>
      <x:c r="T661" s="32"/>
    </x:row>
    <x:row r="662">
      <x:c r="A662" s="87"/>
      <x:c r="B662" s="88"/>
      <x:c r="D662" s="32"/>
      <x:c r="G662" s="74"/>
      <x:c r="H662" s="74"/>
      <x:c r="I662" s="74"/>
      <x:c r="J662" s="74"/>
      <x:c r="K662" s="74"/>
      <x:c r="L662" s="91"/>
      <x:c r="M662" s="91"/>
      <x:c r="N662" s="91"/>
      <x:c r="O662" s="91"/>
      <x:c r="P662" s="91"/>
      <x:c r="Q662" s="85"/>
      <x:c r="S662" s="86"/>
      <x:c r="T662" s="32"/>
    </x:row>
    <x:row r="663">
      <x:c r="A663" s="87"/>
      <x:c r="B663" s="88"/>
      <x:c r="D663" s="32"/>
      <x:c r="G663" s="74"/>
      <x:c r="H663" s="74"/>
      <x:c r="I663" s="74"/>
      <x:c r="J663" s="74"/>
      <x:c r="K663" s="74"/>
      <x:c r="L663" s="91"/>
      <x:c r="M663" s="91"/>
      <x:c r="N663" s="91"/>
      <x:c r="O663" s="91"/>
      <x:c r="P663" s="91"/>
      <x:c r="Q663" s="85"/>
      <x:c r="S663" s="86"/>
      <x:c r="T663" s="32"/>
    </x:row>
    <x:row r="664">
      <x:c r="A664" s="87"/>
      <x:c r="B664" s="88"/>
      <x:c r="D664" s="32"/>
      <x:c r="G664" s="74"/>
      <x:c r="H664" s="74"/>
      <x:c r="I664" s="74"/>
      <x:c r="J664" s="74"/>
      <x:c r="K664" s="74"/>
      <x:c r="L664" s="91"/>
      <x:c r="M664" s="91"/>
      <x:c r="N664" s="91"/>
      <x:c r="O664" s="91"/>
      <x:c r="P664" s="91"/>
      <x:c r="Q664" s="85"/>
      <x:c r="S664" s="86"/>
      <x:c r="T664" s="32"/>
    </x:row>
    <x:row r="665">
      <x:c r="A665" s="87"/>
      <x:c r="B665" s="88"/>
      <x:c r="D665" s="32"/>
      <x:c r="G665" s="74"/>
      <x:c r="H665" s="74"/>
      <x:c r="I665" s="74"/>
      <x:c r="J665" s="74"/>
      <x:c r="K665" s="74"/>
      <x:c r="L665" s="91"/>
      <x:c r="M665" s="91"/>
      <x:c r="N665" s="91"/>
      <x:c r="O665" s="91"/>
      <x:c r="P665" s="91"/>
      <x:c r="Q665" s="85"/>
      <x:c r="S665" s="86"/>
      <x:c r="T665" s="32"/>
    </x:row>
    <x:row r="666">
      <x:c r="A666" s="87"/>
      <x:c r="B666" s="88"/>
      <x:c r="D666" s="32"/>
      <x:c r="G666" s="74"/>
      <x:c r="H666" s="74"/>
      <x:c r="I666" s="74"/>
      <x:c r="J666" s="74"/>
      <x:c r="K666" s="74"/>
      <x:c r="L666" s="91"/>
      <x:c r="M666" s="91"/>
      <x:c r="N666" s="91"/>
      <x:c r="O666" s="91"/>
      <x:c r="P666" s="91"/>
      <x:c r="Q666" s="85"/>
      <x:c r="S666" s="86"/>
      <x:c r="T666" s="32"/>
    </x:row>
    <x:row r="667">
      <x:c r="A667" s="87"/>
      <x:c r="B667" s="88"/>
      <x:c r="D667" s="32"/>
      <x:c r="G667" s="74"/>
      <x:c r="H667" s="74"/>
      <x:c r="I667" s="74"/>
      <x:c r="J667" s="74"/>
      <x:c r="K667" s="74"/>
      <x:c r="L667" s="91"/>
      <x:c r="M667" s="91"/>
      <x:c r="N667" s="91"/>
      <x:c r="O667" s="91"/>
      <x:c r="P667" s="91"/>
      <x:c r="Q667" s="85"/>
      <x:c r="S667" s="86"/>
      <x:c r="T667" s="32"/>
    </x:row>
    <x:row r="668">
      <x:c r="A668" s="87"/>
      <x:c r="B668" s="88"/>
      <x:c r="D668" s="32"/>
      <x:c r="G668" s="74"/>
      <x:c r="H668" s="74"/>
      <x:c r="I668" s="74"/>
      <x:c r="J668" s="74"/>
      <x:c r="K668" s="74"/>
      <x:c r="L668" s="91"/>
      <x:c r="M668" s="91"/>
      <x:c r="N668" s="91"/>
      <x:c r="O668" s="91"/>
      <x:c r="P668" s="91"/>
      <x:c r="Q668" s="85"/>
      <x:c r="S668" s="86"/>
      <x:c r="T668" s="32"/>
    </x:row>
    <x:row r="669">
      <x:c r="A669" s="87"/>
      <x:c r="B669" s="88"/>
      <x:c r="D669" s="32"/>
      <x:c r="G669" s="74"/>
      <x:c r="H669" s="74"/>
      <x:c r="I669" s="74"/>
      <x:c r="J669" s="74"/>
      <x:c r="K669" s="74"/>
      <x:c r="L669" s="91"/>
      <x:c r="M669" s="91"/>
      <x:c r="N669" s="91"/>
      <x:c r="O669" s="91"/>
      <x:c r="P669" s="91"/>
      <x:c r="Q669" s="85"/>
      <x:c r="S669" s="86"/>
      <x:c r="T669" s="32"/>
    </x:row>
    <x:row r="670">
      <x:c r="A670" s="87"/>
      <x:c r="B670" s="88"/>
      <x:c r="D670" s="32"/>
      <x:c r="G670" s="74"/>
      <x:c r="H670" s="74"/>
      <x:c r="I670" s="74"/>
      <x:c r="J670" s="74"/>
      <x:c r="K670" s="74"/>
      <x:c r="L670" s="91"/>
      <x:c r="M670" s="91"/>
      <x:c r="N670" s="91"/>
      <x:c r="O670" s="91"/>
      <x:c r="P670" s="91"/>
      <x:c r="Q670" s="85"/>
      <x:c r="S670" s="86"/>
      <x:c r="T670" s="32"/>
    </x:row>
    <x:row r="671">
      <x:c r="A671" s="87"/>
      <x:c r="B671" s="88"/>
      <x:c r="D671" s="32"/>
      <x:c r="G671" s="74"/>
      <x:c r="H671" s="74"/>
      <x:c r="I671" s="74"/>
      <x:c r="J671" s="74"/>
      <x:c r="K671" s="74"/>
      <x:c r="L671" s="91"/>
      <x:c r="M671" s="91"/>
      <x:c r="N671" s="91"/>
      <x:c r="O671" s="91"/>
      <x:c r="P671" s="91"/>
      <x:c r="Q671" s="85"/>
      <x:c r="S671" s="86"/>
      <x:c r="T671" s="32"/>
    </x:row>
    <x:row r="672">
      <x:c r="A672" s="87"/>
      <x:c r="B672" s="88"/>
      <x:c r="D672" s="32"/>
      <x:c r="G672" s="74"/>
      <x:c r="H672" s="74"/>
      <x:c r="I672" s="74"/>
      <x:c r="J672" s="74"/>
      <x:c r="K672" s="74"/>
      <x:c r="L672" s="91"/>
      <x:c r="M672" s="91"/>
      <x:c r="N672" s="91"/>
      <x:c r="O672" s="91"/>
      <x:c r="P672" s="91"/>
      <x:c r="Q672" s="85"/>
      <x:c r="S672" s="86"/>
      <x:c r="T672" s="32"/>
    </x:row>
    <x:row r="673">
      <x:c r="A673" s="87"/>
      <x:c r="B673" s="88"/>
      <x:c r="D673" s="32"/>
      <x:c r="G673" s="74"/>
      <x:c r="H673" s="74"/>
      <x:c r="I673" s="74"/>
      <x:c r="J673" s="74"/>
      <x:c r="K673" s="74"/>
      <x:c r="L673" s="91"/>
      <x:c r="M673" s="91"/>
      <x:c r="N673" s="91"/>
      <x:c r="O673" s="91"/>
      <x:c r="P673" s="91"/>
      <x:c r="Q673" s="85"/>
      <x:c r="S673" s="86"/>
      <x:c r="T673" s="32"/>
    </x:row>
    <x:row r="674">
      <x:c r="A674" s="87"/>
      <x:c r="B674" s="88"/>
      <x:c r="D674" s="32"/>
      <x:c r="G674" s="74"/>
      <x:c r="H674" s="74"/>
      <x:c r="I674" s="74"/>
      <x:c r="J674" s="74"/>
      <x:c r="K674" s="74"/>
      <x:c r="L674" s="91"/>
      <x:c r="M674" s="91"/>
      <x:c r="N674" s="91"/>
      <x:c r="O674" s="91"/>
      <x:c r="P674" s="91"/>
      <x:c r="Q674" s="85"/>
      <x:c r="S674" s="86"/>
      <x:c r="T674" s="32"/>
    </x:row>
    <x:row r="675">
      <x:c r="A675" s="87"/>
      <x:c r="B675" s="88"/>
      <x:c r="D675" s="32"/>
      <x:c r="G675" s="74"/>
      <x:c r="H675" s="74"/>
      <x:c r="I675" s="74"/>
      <x:c r="J675" s="74"/>
      <x:c r="K675" s="74"/>
      <x:c r="L675" s="91"/>
      <x:c r="M675" s="91"/>
      <x:c r="N675" s="91"/>
      <x:c r="O675" s="91"/>
      <x:c r="P675" s="91"/>
      <x:c r="Q675" s="85"/>
      <x:c r="S675" s="86"/>
      <x:c r="T675" s="32"/>
    </x:row>
    <x:row r="676">
      <x:c r="A676" s="87"/>
      <x:c r="B676" s="88"/>
      <x:c r="D676" s="32"/>
      <x:c r="G676" s="74"/>
      <x:c r="H676" s="74"/>
      <x:c r="I676" s="74"/>
      <x:c r="J676" s="74"/>
      <x:c r="K676" s="74"/>
      <x:c r="L676" s="91"/>
      <x:c r="M676" s="91"/>
      <x:c r="N676" s="91"/>
      <x:c r="O676" s="91"/>
      <x:c r="P676" s="91"/>
      <x:c r="Q676" s="85"/>
      <x:c r="S676" s="86"/>
      <x:c r="T676" s="32"/>
    </x:row>
    <x:row r="677">
      <x:c r="A677" s="87"/>
      <x:c r="B677" s="88"/>
      <x:c r="D677" s="32"/>
      <x:c r="G677" s="74"/>
      <x:c r="H677" s="74"/>
      <x:c r="I677" s="74"/>
      <x:c r="J677" s="74"/>
      <x:c r="K677" s="74"/>
      <x:c r="L677" s="91"/>
      <x:c r="M677" s="91"/>
      <x:c r="N677" s="91"/>
      <x:c r="O677" s="91"/>
      <x:c r="P677" s="91"/>
      <x:c r="Q677" s="85"/>
      <x:c r="S677" s="86"/>
      <x:c r="T677" s="32"/>
    </x:row>
    <x:row r="678">
      <x:c r="A678" s="87"/>
      <x:c r="B678" s="88"/>
      <x:c r="D678" s="32"/>
      <x:c r="G678" s="74"/>
      <x:c r="H678" s="74"/>
      <x:c r="I678" s="74"/>
      <x:c r="J678" s="74"/>
      <x:c r="K678" s="74"/>
      <x:c r="L678" s="91"/>
      <x:c r="M678" s="91"/>
      <x:c r="N678" s="91"/>
      <x:c r="O678" s="91"/>
      <x:c r="P678" s="91"/>
      <x:c r="Q678" s="85"/>
      <x:c r="S678" s="86"/>
      <x:c r="T678" s="32"/>
    </x:row>
    <x:row r="679">
      <x:c r="A679" s="87"/>
      <x:c r="B679" s="88"/>
      <x:c r="D679" s="32"/>
      <x:c r="G679" s="74"/>
      <x:c r="H679" s="74"/>
      <x:c r="I679" s="74"/>
      <x:c r="J679" s="74"/>
      <x:c r="K679" s="74"/>
      <x:c r="L679" s="91"/>
      <x:c r="M679" s="91"/>
      <x:c r="N679" s="91"/>
      <x:c r="O679" s="91"/>
      <x:c r="P679" s="91"/>
      <x:c r="Q679" s="85"/>
      <x:c r="S679" s="86"/>
      <x:c r="T679" s="32"/>
    </x:row>
    <x:row r="680">
      <x:c r="A680" s="87"/>
      <x:c r="B680" s="88"/>
      <x:c r="D680" s="32"/>
      <x:c r="G680" s="74"/>
      <x:c r="H680" s="74"/>
      <x:c r="I680" s="74"/>
      <x:c r="J680" s="74"/>
      <x:c r="K680" s="74"/>
      <x:c r="L680" s="91"/>
      <x:c r="M680" s="91"/>
      <x:c r="N680" s="91"/>
      <x:c r="O680" s="91"/>
      <x:c r="P680" s="91"/>
      <x:c r="Q680" s="85"/>
      <x:c r="S680" s="86"/>
      <x:c r="T680" s="32"/>
    </x:row>
    <x:row r="681">
      <x:c r="A681" s="87"/>
      <x:c r="B681" s="88"/>
      <x:c r="D681" s="32"/>
      <x:c r="G681" s="74"/>
      <x:c r="H681" s="74"/>
      <x:c r="I681" s="74"/>
      <x:c r="J681" s="74"/>
      <x:c r="K681" s="74"/>
      <x:c r="L681" s="91"/>
      <x:c r="M681" s="91"/>
      <x:c r="N681" s="91"/>
      <x:c r="O681" s="91"/>
      <x:c r="P681" s="91"/>
      <x:c r="Q681" s="85"/>
      <x:c r="S681" s="86"/>
      <x:c r="T681" s="32"/>
    </x:row>
    <x:row r="682">
      <x:c r="A682" s="87"/>
      <x:c r="B682" s="88"/>
      <x:c r="D682" s="32"/>
      <x:c r="G682" s="74"/>
      <x:c r="H682" s="74"/>
      <x:c r="I682" s="74"/>
      <x:c r="J682" s="74"/>
      <x:c r="K682" s="74"/>
      <x:c r="L682" s="91"/>
      <x:c r="M682" s="91"/>
      <x:c r="N682" s="91"/>
      <x:c r="O682" s="91"/>
      <x:c r="P682" s="91"/>
      <x:c r="Q682" s="85"/>
      <x:c r="S682" s="86"/>
      <x:c r="T682" s="32"/>
    </x:row>
    <x:row r="683">
      <x:c r="A683" s="87"/>
      <x:c r="B683" s="88"/>
      <x:c r="D683" s="32"/>
      <x:c r="G683" s="74"/>
      <x:c r="H683" s="74"/>
      <x:c r="I683" s="74"/>
      <x:c r="J683" s="74"/>
      <x:c r="K683" s="74"/>
      <x:c r="L683" s="91"/>
      <x:c r="M683" s="91"/>
      <x:c r="N683" s="91"/>
      <x:c r="O683" s="91"/>
      <x:c r="P683" s="91"/>
      <x:c r="Q683" s="85"/>
      <x:c r="S683" s="86"/>
      <x:c r="T683" s="32"/>
    </x:row>
    <x:row r="684">
      <x:c r="A684" s="87"/>
      <x:c r="B684" s="88"/>
      <x:c r="D684" s="32"/>
      <x:c r="G684" s="74"/>
      <x:c r="H684" s="74"/>
      <x:c r="I684" s="74"/>
      <x:c r="J684" s="74"/>
      <x:c r="K684" s="74"/>
      <x:c r="L684" s="91"/>
      <x:c r="M684" s="91"/>
      <x:c r="N684" s="91"/>
      <x:c r="O684" s="91"/>
      <x:c r="P684" s="91"/>
      <x:c r="Q684" s="85"/>
      <x:c r="S684" s="86"/>
      <x:c r="T684" s="32"/>
    </x:row>
    <x:row r="685">
      <x:c r="A685" s="87"/>
      <x:c r="B685" s="88"/>
      <x:c r="D685" s="32"/>
      <x:c r="G685" s="74"/>
      <x:c r="H685" s="74"/>
      <x:c r="I685" s="74"/>
      <x:c r="J685" s="74"/>
      <x:c r="K685" s="74"/>
      <x:c r="L685" s="91"/>
      <x:c r="M685" s="91"/>
      <x:c r="N685" s="91"/>
      <x:c r="O685" s="91"/>
      <x:c r="P685" s="91"/>
      <x:c r="Q685" s="85"/>
      <x:c r="S685" s="86"/>
      <x:c r="T685" s="32"/>
    </x:row>
    <x:row r="686">
      <x:c r="A686" s="87"/>
      <x:c r="B686" s="88"/>
      <x:c r="D686" s="32"/>
      <x:c r="G686" s="74"/>
      <x:c r="H686" s="74"/>
      <x:c r="I686" s="74"/>
      <x:c r="J686" s="74"/>
      <x:c r="K686" s="74"/>
      <x:c r="L686" s="91"/>
      <x:c r="M686" s="91"/>
      <x:c r="N686" s="91"/>
      <x:c r="O686" s="91"/>
      <x:c r="P686" s="91"/>
      <x:c r="Q686" s="85"/>
      <x:c r="S686" s="86"/>
      <x:c r="T686" s="32"/>
    </x:row>
    <x:row r="687">
      <x:c r="A687" s="87"/>
      <x:c r="B687" s="88"/>
      <x:c r="D687" s="32"/>
      <x:c r="G687" s="74"/>
      <x:c r="H687" s="74"/>
      <x:c r="I687" s="74"/>
      <x:c r="J687" s="74"/>
      <x:c r="K687" s="74"/>
      <x:c r="L687" s="91"/>
      <x:c r="M687" s="91"/>
      <x:c r="N687" s="91"/>
      <x:c r="O687" s="91"/>
      <x:c r="P687" s="91"/>
      <x:c r="Q687" s="85"/>
      <x:c r="S687" s="86"/>
      <x:c r="T687" s="32"/>
    </x:row>
    <x:row r="688">
      <x:c r="A688" s="87"/>
      <x:c r="B688" s="88"/>
      <x:c r="D688" s="32"/>
      <x:c r="G688" s="74"/>
      <x:c r="H688" s="74"/>
      <x:c r="I688" s="74"/>
      <x:c r="J688" s="74"/>
      <x:c r="K688" s="74"/>
      <x:c r="L688" s="91"/>
      <x:c r="M688" s="91"/>
      <x:c r="N688" s="91"/>
      <x:c r="O688" s="91"/>
      <x:c r="P688" s="91"/>
      <x:c r="Q688" s="85"/>
      <x:c r="S688" s="86"/>
      <x:c r="T688" s="32"/>
    </x:row>
    <x:row r="689">
      <x:c r="A689" s="87"/>
      <x:c r="B689" s="88"/>
      <x:c r="D689" s="32"/>
      <x:c r="G689" s="74"/>
      <x:c r="H689" s="74"/>
      <x:c r="I689" s="74"/>
      <x:c r="J689" s="74"/>
      <x:c r="K689" s="74"/>
      <x:c r="L689" s="91"/>
      <x:c r="M689" s="91"/>
      <x:c r="N689" s="91"/>
      <x:c r="O689" s="91"/>
      <x:c r="P689" s="91"/>
      <x:c r="Q689" s="85"/>
      <x:c r="S689" s="86"/>
      <x:c r="T689" s="32"/>
    </x:row>
    <x:row r="690">
      <x:c r="A690" s="87"/>
      <x:c r="B690" s="88"/>
      <x:c r="D690" s="32"/>
      <x:c r="G690" s="74"/>
      <x:c r="H690" s="74"/>
      <x:c r="I690" s="74"/>
      <x:c r="J690" s="74"/>
      <x:c r="K690" s="74"/>
      <x:c r="L690" s="91"/>
      <x:c r="M690" s="91"/>
      <x:c r="N690" s="91"/>
      <x:c r="O690" s="91"/>
      <x:c r="P690" s="91"/>
      <x:c r="Q690" s="85"/>
      <x:c r="S690" s="86"/>
      <x:c r="T690" s="32"/>
    </x:row>
    <x:row r="691">
      <x:c r="A691" s="87"/>
      <x:c r="B691" s="88"/>
      <x:c r="D691" s="32"/>
      <x:c r="G691" s="74"/>
      <x:c r="H691" s="74"/>
      <x:c r="I691" s="74"/>
      <x:c r="J691" s="74"/>
      <x:c r="K691" s="74"/>
      <x:c r="L691" s="91"/>
      <x:c r="M691" s="91"/>
      <x:c r="N691" s="91"/>
      <x:c r="O691" s="91"/>
      <x:c r="P691" s="91"/>
      <x:c r="Q691" s="85"/>
      <x:c r="S691" s="86"/>
      <x:c r="T691" s="32"/>
    </x:row>
    <x:row r="692">
      <x:c r="A692" s="87"/>
      <x:c r="B692" s="88"/>
      <x:c r="D692" s="32"/>
      <x:c r="G692" s="74"/>
      <x:c r="H692" s="74"/>
      <x:c r="I692" s="74"/>
      <x:c r="J692" s="74"/>
      <x:c r="K692" s="74"/>
      <x:c r="L692" s="91"/>
      <x:c r="M692" s="91"/>
      <x:c r="N692" s="91"/>
      <x:c r="O692" s="91"/>
      <x:c r="P692" s="91"/>
      <x:c r="Q692" s="85"/>
      <x:c r="S692" s="86"/>
      <x:c r="T692" s="32"/>
    </x:row>
    <x:row r="693">
      <x:c r="A693" s="87"/>
      <x:c r="B693" s="88"/>
      <x:c r="D693" s="32"/>
      <x:c r="G693" s="74"/>
      <x:c r="H693" s="74"/>
      <x:c r="I693" s="74"/>
      <x:c r="J693" s="74"/>
      <x:c r="K693" s="74"/>
      <x:c r="L693" s="91"/>
      <x:c r="M693" s="91"/>
      <x:c r="N693" s="91"/>
      <x:c r="O693" s="91"/>
      <x:c r="P693" s="91"/>
      <x:c r="Q693" s="85"/>
      <x:c r="S693" s="86"/>
      <x:c r="T693" s="32"/>
    </x:row>
    <x:row r="694">
      <x:c r="A694" s="87"/>
      <x:c r="B694" s="88"/>
      <x:c r="D694" s="32"/>
      <x:c r="G694" s="74"/>
      <x:c r="H694" s="74"/>
      <x:c r="I694" s="74"/>
      <x:c r="J694" s="74"/>
      <x:c r="K694" s="74"/>
      <x:c r="L694" s="91"/>
      <x:c r="M694" s="91"/>
      <x:c r="N694" s="91"/>
      <x:c r="O694" s="91"/>
      <x:c r="P694" s="91"/>
      <x:c r="Q694" s="85"/>
      <x:c r="S694" s="86"/>
      <x:c r="T694" s="32"/>
    </x:row>
    <x:row r="695">
      <x:c r="A695" s="87"/>
      <x:c r="B695" s="88"/>
      <x:c r="D695" s="32"/>
      <x:c r="G695" s="74"/>
      <x:c r="H695" s="74"/>
      <x:c r="I695" s="74"/>
      <x:c r="J695" s="74"/>
      <x:c r="K695" s="74"/>
      <x:c r="L695" s="91"/>
      <x:c r="M695" s="91"/>
      <x:c r="N695" s="91"/>
      <x:c r="O695" s="91"/>
      <x:c r="P695" s="91"/>
      <x:c r="Q695" s="85"/>
      <x:c r="S695" s="86"/>
      <x:c r="T695" s="32"/>
    </x:row>
    <x:row r="696">
      <x:c r="A696" s="87"/>
      <x:c r="B696" s="88"/>
      <x:c r="D696" s="32"/>
      <x:c r="G696" s="74"/>
      <x:c r="H696" s="74"/>
      <x:c r="I696" s="74"/>
      <x:c r="J696" s="74"/>
      <x:c r="K696" s="74"/>
      <x:c r="L696" s="91"/>
      <x:c r="M696" s="91"/>
      <x:c r="N696" s="91"/>
      <x:c r="O696" s="91"/>
      <x:c r="P696" s="91"/>
      <x:c r="Q696" s="85"/>
      <x:c r="S696" s="86"/>
      <x:c r="T696" s="32"/>
    </x:row>
    <x:row r="697">
      <x:c r="A697" s="87"/>
      <x:c r="B697" s="88"/>
      <x:c r="D697" s="32"/>
      <x:c r="G697" s="74"/>
      <x:c r="H697" s="74"/>
      <x:c r="I697" s="74"/>
      <x:c r="J697" s="74"/>
      <x:c r="K697" s="74"/>
      <x:c r="L697" s="91"/>
      <x:c r="M697" s="91"/>
      <x:c r="N697" s="91"/>
      <x:c r="O697" s="91"/>
      <x:c r="P697" s="91"/>
      <x:c r="Q697" s="85"/>
      <x:c r="S697" s="86"/>
      <x:c r="T697" s="32"/>
    </x:row>
    <x:row r="698">
      <x:c r="A698" s="87"/>
      <x:c r="B698" s="88"/>
      <x:c r="D698" s="32"/>
      <x:c r="G698" s="74"/>
      <x:c r="H698" s="74"/>
      <x:c r="I698" s="74"/>
      <x:c r="J698" s="74"/>
      <x:c r="K698" s="74"/>
      <x:c r="L698" s="91"/>
      <x:c r="M698" s="91"/>
      <x:c r="N698" s="91"/>
      <x:c r="O698" s="91"/>
      <x:c r="P698" s="91"/>
      <x:c r="Q698" s="85"/>
      <x:c r="S698" s="86"/>
      <x:c r="T698" s="32"/>
    </x:row>
    <x:row r="699">
      <x:c r="A699" s="87"/>
      <x:c r="B699" s="88"/>
      <x:c r="D699" s="32"/>
      <x:c r="G699" s="74"/>
      <x:c r="H699" s="74"/>
      <x:c r="I699" s="74"/>
      <x:c r="J699" s="74"/>
      <x:c r="K699" s="74"/>
      <x:c r="L699" s="91"/>
      <x:c r="M699" s="91"/>
      <x:c r="N699" s="91"/>
      <x:c r="O699" s="91"/>
      <x:c r="P699" s="91"/>
      <x:c r="Q699" s="85"/>
      <x:c r="S699" s="86"/>
      <x:c r="T699" s="32"/>
    </x:row>
    <x:row r="700">
      <x:c r="A700" s="87"/>
      <x:c r="B700" s="88"/>
      <x:c r="D700" s="32"/>
      <x:c r="G700" s="74"/>
      <x:c r="H700" s="74"/>
      <x:c r="I700" s="74"/>
      <x:c r="J700" s="74"/>
      <x:c r="K700" s="74"/>
      <x:c r="L700" s="91"/>
      <x:c r="M700" s="91"/>
      <x:c r="N700" s="91"/>
      <x:c r="O700" s="91"/>
      <x:c r="P700" s="91"/>
      <x:c r="Q700" s="85"/>
      <x:c r="S700" s="86"/>
      <x:c r="T700" s="32"/>
    </x:row>
    <x:row r="701">
      <x:c r="A701" s="87"/>
      <x:c r="B701" s="88"/>
      <x:c r="D701" s="32"/>
      <x:c r="G701" s="74"/>
      <x:c r="H701" s="74"/>
      <x:c r="I701" s="74"/>
      <x:c r="J701" s="74"/>
      <x:c r="K701" s="74"/>
      <x:c r="L701" s="91"/>
      <x:c r="M701" s="91"/>
      <x:c r="N701" s="91"/>
      <x:c r="O701" s="91"/>
      <x:c r="P701" s="91"/>
      <x:c r="Q701" s="85"/>
      <x:c r="S701" s="86"/>
      <x:c r="T701" s="32"/>
    </x:row>
    <x:row r="702">
      <x:c r="A702" s="87"/>
      <x:c r="B702" s="88"/>
      <x:c r="D702" s="32"/>
      <x:c r="G702" s="74"/>
      <x:c r="H702" s="74"/>
      <x:c r="I702" s="74"/>
      <x:c r="J702" s="74"/>
      <x:c r="K702" s="74"/>
      <x:c r="L702" s="91"/>
      <x:c r="M702" s="91"/>
      <x:c r="N702" s="91"/>
      <x:c r="O702" s="91"/>
      <x:c r="P702" s="91"/>
      <x:c r="Q702" s="85"/>
      <x:c r="S702" s="86"/>
      <x:c r="T702" s="32"/>
    </x:row>
    <x:row r="703">
      <x:c r="A703" s="87"/>
      <x:c r="B703" s="88"/>
      <x:c r="D703" s="32"/>
      <x:c r="G703" s="74"/>
      <x:c r="H703" s="74"/>
      <x:c r="I703" s="74"/>
      <x:c r="J703" s="74"/>
      <x:c r="K703" s="74"/>
      <x:c r="L703" s="91"/>
      <x:c r="M703" s="91"/>
      <x:c r="N703" s="91"/>
      <x:c r="O703" s="91"/>
      <x:c r="P703" s="91"/>
      <x:c r="Q703" s="85"/>
      <x:c r="S703" s="86"/>
      <x:c r="T703" s="32"/>
    </x:row>
    <x:row r="704">
      <x:c r="A704" s="87"/>
      <x:c r="B704" s="88"/>
      <x:c r="D704" s="32"/>
      <x:c r="G704" s="74"/>
      <x:c r="H704" s="74"/>
      <x:c r="I704" s="74"/>
      <x:c r="J704" s="74"/>
      <x:c r="K704" s="74"/>
      <x:c r="L704" s="91"/>
      <x:c r="M704" s="91"/>
      <x:c r="N704" s="91"/>
      <x:c r="O704" s="91"/>
      <x:c r="P704" s="91"/>
      <x:c r="Q704" s="85"/>
      <x:c r="S704" s="86"/>
      <x:c r="T704" s="32"/>
    </x:row>
    <x:row r="705">
      <x:c r="A705" s="87"/>
      <x:c r="B705" s="88"/>
      <x:c r="D705" s="32"/>
      <x:c r="G705" s="74"/>
      <x:c r="H705" s="74"/>
      <x:c r="I705" s="74"/>
      <x:c r="J705" s="74"/>
      <x:c r="K705" s="74"/>
      <x:c r="L705" s="91"/>
      <x:c r="M705" s="91"/>
      <x:c r="N705" s="91"/>
      <x:c r="O705" s="91"/>
      <x:c r="P705" s="91"/>
      <x:c r="Q705" s="85"/>
      <x:c r="S705" s="86"/>
      <x:c r="T705" s="32"/>
    </x:row>
    <x:row r="706">
      <x:c r="A706" s="87"/>
      <x:c r="B706" s="88"/>
      <x:c r="D706" s="32"/>
      <x:c r="G706" s="74"/>
      <x:c r="H706" s="74"/>
      <x:c r="I706" s="74"/>
      <x:c r="J706" s="74"/>
      <x:c r="K706" s="74"/>
      <x:c r="L706" s="91"/>
      <x:c r="M706" s="91"/>
      <x:c r="N706" s="91"/>
      <x:c r="O706" s="91"/>
      <x:c r="P706" s="91"/>
      <x:c r="Q706" s="85"/>
      <x:c r="S706" s="86"/>
      <x:c r="T706" s="32"/>
    </x:row>
    <x:row r="707">
      <x:c r="A707" s="87"/>
      <x:c r="B707" s="88"/>
      <x:c r="D707" s="32"/>
      <x:c r="G707" s="74"/>
      <x:c r="H707" s="74"/>
      <x:c r="I707" s="74"/>
      <x:c r="J707" s="74"/>
      <x:c r="K707" s="74"/>
      <x:c r="L707" s="91"/>
      <x:c r="M707" s="91"/>
      <x:c r="N707" s="91"/>
      <x:c r="O707" s="91"/>
      <x:c r="P707" s="91"/>
      <x:c r="Q707" s="85"/>
      <x:c r="S707" s="86"/>
      <x:c r="T707" s="32"/>
    </x:row>
    <x:row r="708">
      <x:c r="A708" s="87"/>
      <x:c r="B708" s="88"/>
      <x:c r="D708" s="32"/>
      <x:c r="G708" s="74"/>
      <x:c r="H708" s="74"/>
      <x:c r="I708" s="74"/>
      <x:c r="J708" s="74"/>
      <x:c r="K708" s="74"/>
      <x:c r="L708" s="91"/>
      <x:c r="M708" s="91"/>
      <x:c r="N708" s="91"/>
      <x:c r="O708" s="91"/>
      <x:c r="P708" s="91"/>
      <x:c r="Q708" s="85"/>
      <x:c r="S708" s="86"/>
      <x:c r="T708" s="32"/>
    </x:row>
    <x:row r="709">
      <x:c r="A709" s="87"/>
      <x:c r="B709" s="88"/>
      <x:c r="D709" s="32"/>
      <x:c r="G709" s="74"/>
      <x:c r="H709" s="74"/>
      <x:c r="I709" s="74"/>
      <x:c r="J709" s="74"/>
      <x:c r="K709" s="74"/>
      <x:c r="L709" s="91"/>
      <x:c r="M709" s="91"/>
      <x:c r="N709" s="91"/>
      <x:c r="O709" s="91"/>
      <x:c r="P709" s="91"/>
      <x:c r="Q709" s="85"/>
      <x:c r="S709" s="86"/>
      <x:c r="T709" s="32"/>
    </x:row>
    <x:row r="710">
      <x:c r="A710" s="87"/>
      <x:c r="B710" s="88"/>
      <x:c r="D710" s="32"/>
      <x:c r="G710" s="74"/>
      <x:c r="H710" s="74"/>
      <x:c r="I710" s="74"/>
      <x:c r="J710" s="74"/>
      <x:c r="K710" s="74"/>
      <x:c r="L710" s="91"/>
      <x:c r="M710" s="91"/>
      <x:c r="N710" s="91"/>
      <x:c r="O710" s="91"/>
      <x:c r="P710" s="91"/>
      <x:c r="Q710" s="85"/>
      <x:c r="S710" s="86"/>
      <x:c r="T710" s="32"/>
    </x:row>
    <x:row r="711">
      <x:c r="A711" s="87"/>
      <x:c r="B711" s="88"/>
      <x:c r="D711" s="32"/>
      <x:c r="G711" s="74"/>
      <x:c r="H711" s="74"/>
      <x:c r="I711" s="74"/>
      <x:c r="J711" s="74"/>
      <x:c r="K711" s="74"/>
      <x:c r="L711" s="91"/>
      <x:c r="M711" s="91"/>
      <x:c r="N711" s="91"/>
      <x:c r="O711" s="91"/>
      <x:c r="P711" s="91"/>
      <x:c r="Q711" s="85"/>
      <x:c r="S711" s="86"/>
      <x:c r="T711" s="32"/>
    </x:row>
    <x:row r="712">
      <x:c r="A712" s="87"/>
      <x:c r="B712" s="88"/>
      <x:c r="D712" s="32"/>
      <x:c r="G712" s="74"/>
      <x:c r="H712" s="74"/>
      <x:c r="I712" s="74"/>
      <x:c r="J712" s="74"/>
      <x:c r="K712" s="74"/>
      <x:c r="L712" s="91"/>
      <x:c r="M712" s="91"/>
      <x:c r="N712" s="91"/>
      <x:c r="O712" s="91"/>
      <x:c r="P712" s="91"/>
      <x:c r="Q712" s="85"/>
      <x:c r="S712" s="86"/>
      <x:c r="T712" s="32"/>
    </x:row>
    <x:row r="713">
      <x:c r="A713" s="87"/>
      <x:c r="B713" s="88"/>
      <x:c r="D713" s="32"/>
      <x:c r="G713" s="74"/>
      <x:c r="H713" s="74"/>
      <x:c r="I713" s="74"/>
      <x:c r="J713" s="74"/>
      <x:c r="K713" s="74"/>
      <x:c r="L713" s="91"/>
      <x:c r="M713" s="91"/>
      <x:c r="N713" s="91"/>
      <x:c r="O713" s="91"/>
      <x:c r="P713" s="91"/>
      <x:c r="Q713" s="85"/>
      <x:c r="S713" s="86"/>
      <x:c r="T713" s="32"/>
    </x:row>
    <x:row r="714">
      <x:c r="A714" s="87"/>
      <x:c r="B714" s="88"/>
      <x:c r="D714" s="32"/>
      <x:c r="G714" s="74"/>
      <x:c r="H714" s="74"/>
      <x:c r="I714" s="74"/>
      <x:c r="J714" s="74"/>
      <x:c r="K714" s="74"/>
      <x:c r="L714" s="91"/>
      <x:c r="M714" s="91"/>
      <x:c r="N714" s="91"/>
      <x:c r="O714" s="91"/>
      <x:c r="P714" s="91"/>
      <x:c r="Q714" s="85"/>
      <x:c r="S714" s="86"/>
      <x:c r="T714" s="32"/>
    </x:row>
    <x:row r="715">
      <x:c r="A715" s="87"/>
      <x:c r="B715" s="88"/>
      <x:c r="D715" s="32"/>
      <x:c r="G715" s="74"/>
      <x:c r="H715" s="74"/>
      <x:c r="I715" s="74"/>
      <x:c r="J715" s="74"/>
      <x:c r="K715" s="74"/>
      <x:c r="L715" s="91"/>
      <x:c r="M715" s="91"/>
      <x:c r="N715" s="91"/>
      <x:c r="O715" s="91"/>
      <x:c r="P715" s="91"/>
      <x:c r="Q715" s="85"/>
      <x:c r="S715" s="86"/>
      <x:c r="T715" s="32"/>
    </x:row>
    <x:row r="716">
      <x:c r="A716" s="87"/>
      <x:c r="B716" s="88"/>
      <x:c r="D716" s="32"/>
      <x:c r="G716" s="74"/>
      <x:c r="H716" s="74"/>
      <x:c r="I716" s="74"/>
      <x:c r="J716" s="74"/>
      <x:c r="K716" s="74"/>
      <x:c r="L716" s="91"/>
      <x:c r="M716" s="91"/>
      <x:c r="N716" s="91"/>
      <x:c r="O716" s="91"/>
      <x:c r="P716" s="91"/>
      <x:c r="Q716" s="85"/>
      <x:c r="S716" s="86"/>
      <x:c r="T716" s="32"/>
    </x:row>
    <x:row r="717">
      <x:c r="A717" s="87"/>
      <x:c r="B717" s="88"/>
      <x:c r="D717" s="32"/>
      <x:c r="G717" s="74"/>
      <x:c r="H717" s="74"/>
      <x:c r="I717" s="74"/>
      <x:c r="J717" s="74"/>
      <x:c r="K717" s="74"/>
      <x:c r="L717" s="91"/>
      <x:c r="M717" s="91"/>
      <x:c r="N717" s="91"/>
      <x:c r="O717" s="91"/>
      <x:c r="P717" s="91"/>
      <x:c r="Q717" s="85"/>
      <x:c r="S717" s="86"/>
      <x:c r="T717" s="32"/>
    </x:row>
    <x:row r="718">
      <x:c r="A718" s="87"/>
      <x:c r="B718" s="88"/>
      <x:c r="D718" s="32"/>
      <x:c r="G718" s="74"/>
      <x:c r="H718" s="74"/>
      <x:c r="I718" s="74"/>
      <x:c r="J718" s="74"/>
      <x:c r="K718" s="74"/>
      <x:c r="L718" s="91"/>
      <x:c r="M718" s="91"/>
      <x:c r="N718" s="91"/>
      <x:c r="O718" s="91"/>
      <x:c r="P718" s="91"/>
      <x:c r="Q718" s="85"/>
      <x:c r="S718" s="86"/>
      <x:c r="T718" s="32"/>
    </x:row>
    <x:row r="719">
      <x:c r="A719" s="87"/>
      <x:c r="B719" s="88"/>
      <x:c r="D719" s="32"/>
      <x:c r="G719" s="74"/>
      <x:c r="H719" s="74"/>
      <x:c r="I719" s="74"/>
      <x:c r="J719" s="74"/>
      <x:c r="K719" s="74"/>
      <x:c r="L719" s="91"/>
      <x:c r="M719" s="91"/>
      <x:c r="N719" s="91"/>
      <x:c r="O719" s="91"/>
      <x:c r="P719" s="91"/>
      <x:c r="Q719" s="85"/>
      <x:c r="S719" s="86"/>
      <x:c r="T719" s="32"/>
    </x:row>
    <x:row r="720">
      <x:c r="A720" s="87"/>
      <x:c r="B720" s="88"/>
      <x:c r="D720" s="32"/>
      <x:c r="G720" s="74"/>
      <x:c r="H720" s="74"/>
      <x:c r="I720" s="74"/>
      <x:c r="J720" s="74"/>
      <x:c r="K720" s="74"/>
      <x:c r="L720" s="91"/>
      <x:c r="M720" s="91"/>
      <x:c r="N720" s="91"/>
      <x:c r="O720" s="91"/>
      <x:c r="P720" s="91"/>
      <x:c r="Q720" s="85"/>
      <x:c r="S720" s="86"/>
      <x:c r="T720" s="32"/>
    </x:row>
    <x:row r="721">
      <x:c r="A721" s="87"/>
      <x:c r="B721" s="88"/>
      <x:c r="D721" s="32"/>
      <x:c r="G721" s="74"/>
      <x:c r="H721" s="74"/>
      <x:c r="I721" s="74"/>
      <x:c r="J721" s="74"/>
      <x:c r="K721" s="74"/>
      <x:c r="L721" s="91"/>
      <x:c r="M721" s="91"/>
      <x:c r="N721" s="91"/>
      <x:c r="O721" s="91"/>
      <x:c r="P721" s="91"/>
      <x:c r="Q721" s="85"/>
      <x:c r="S721" s="86"/>
      <x:c r="T721" s="32"/>
    </x:row>
    <x:row r="722">
      <x:c r="A722" s="87"/>
      <x:c r="B722" s="88"/>
      <x:c r="D722" s="32"/>
      <x:c r="G722" s="74"/>
      <x:c r="H722" s="74"/>
      <x:c r="I722" s="74"/>
      <x:c r="J722" s="74"/>
      <x:c r="K722" s="74"/>
      <x:c r="L722" s="91"/>
      <x:c r="M722" s="91"/>
      <x:c r="N722" s="91"/>
      <x:c r="O722" s="91"/>
      <x:c r="P722" s="91"/>
      <x:c r="Q722" s="85"/>
      <x:c r="S722" s="86"/>
      <x:c r="T722" s="32"/>
    </x:row>
    <x:row r="723">
      <x:c r="A723" s="87"/>
      <x:c r="B723" s="88"/>
      <x:c r="D723" s="32"/>
      <x:c r="G723" s="74"/>
      <x:c r="H723" s="74"/>
      <x:c r="I723" s="74"/>
      <x:c r="J723" s="74"/>
      <x:c r="K723" s="74"/>
      <x:c r="L723" s="91"/>
      <x:c r="M723" s="91"/>
      <x:c r="N723" s="91"/>
      <x:c r="O723" s="91"/>
      <x:c r="P723" s="91"/>
      <x:c r="Q723" s="85"/>
      <x:c r="S723" s="86"/>
      <x:c r="T723" s="32"/>
    </x:row>
    <x:row r="724">
      <x:c r="A724" s="87"/>
      <x:c r="B724" s="88"/>
      <x:c r="D724" s="32"/>
      <x:c r="G724" s="74"/>
      <x:c r="H724" s="74"/>
      <x:c r="I724" s="74"/>
      <x:c r="J724" s="74"/>
      <x:c r="K724" s="74"/>
      <x:c r="L724" s="91"/>
      <x:c r="M724" s="91"/>
      <x:c r="N724" s="91"/>
      <x:c r="O724" s="91"/>
      <x:c r="P724" s="91"/>
      <x:c r="Q724" s="85"/>
      <x:c r="S724" s="86"/>
      <x:c r="T724" s="32"/>
    </x:row>
    <x:row r="725">
      <x:c r="A725" s="87"/>
      <x:c r="B725" s="88"/>
      <x:c r="D725" s="32"/>
      <x:c r="G725" s="74"/>
      <x:c r="H725" s="74"/>
      <x:c r="I725" s="74"/>
      <x:c r="J725" s="74"/>
      <x:c r="K725" s="74"/>
      <x:c r="L725" s="91"/>
      <x:c r="M725" s="91"/>
      <x:c r="N725" s="91"/>
      <x:c r="O725" s="91"/>
      <x:c r="P725" s="91"/>
      <x:c r="Q725" s="85"/>
      <x:c r="S725" s="86"/>
      <x:c r="T725" s="32"/>
    </x:row>
    <x:row r="726">
      <x:c r="A726" s="87"/>
      <x:c r="B726" s="88"/>
      <x:c r="D726" s="32"/>
      <x:c r="G726" s="74"/>
      <x:c r="H726" s="74"/>
      <x:c r="I726" s="74"/>
      <x:c r="J726" s="74"/>
      <x:c r="K726" s="74"/>
      <x:c r="L726" s="91"/>
      <x:c r="M726" s="91"/>
      <x:c r="N726" s="91"/>
      <x:c r="O726" s="91"/>
      <x:c r="P726" s="91"/>
      <x:c r="Q726" s="85"/>
      <x:c r="S726" s="86"/>
      <x:c r="T726" s="32"/>
    </x:row>
    <x:row r="727">
      <x:c r="A727" s="87"/>
      <x:c r="B727" s="88"/>
      <x:c r="D727" s="32"/>
      <x:c r="G727" s="74"/>
      <x:c r="H727" s="74"/>
      <x:c r="I727" s="74"/>
      <x:c r="J727" s="74"/>
      <x:c r="K727" s="74"/>
      <x:c r="L727" s="91"/>
      <x:c r="M727" s="91"/>
      <x:c r="N727" s="91"/>
      <x:c r="O727" s="91"/>
      <x:c r="P727" s="91"/>
      <x:c r="Q727" s="85"/>
      <x:c r="S727" s="86"/>
      <x:c r="T727" s="32"/>
    </x:row>
    <x:row r="728">
      <x:c r="A728" s="87"/>
      <x:c r="B728" s="88"/>
      <x:c r="D728" s="32"/>
      <x:c r="G728" s="74"/>
      <x:c r="H728" s="74"/>
      <x:c r="I728" s="74"/>
      <x:c r="J728" s="74"/>
      <x:c r="K728" s="74"/>
      <x:c r="L728" s="91"/>
      <x:c r="M728" s="91"/>
      <x:c r="N728" s="91"/>
      <x:c r="O728" s="91"/>
      <x:c r="P728" s="91"/>
      <x:c r="Q728" s="85"/>
      <x:c r="S728" s="86"/>
      <x:c r="T728" s="32"/>
    </x:row>
    <x:row r="729">
      <x:c r="A729" s="87"/>
      <x:c r="B729" s="88"/>
      <x:c r="D729" s="32"/>
      <x:c r="G729" s="74"/>
      <x:c r="H729" s="74"/>
      <x:c r="I729" s="74"/>
      <x:c r="J729" s="74"/>
      <x:c r="K729" s="74"/>
      <x:c r="L729" s="91"/>
      <x:c r="M729" s="91"/>
      <x:c r="N729" s="91"/>
      <x:c r="O729" s="91"/>
      <x:c r="P729" s="91"/>
      <x:c r="Q729" s="85"/>
      <x:c r="S729" s="86"/>
      <x:c r="T729" s="32"/>
    </x:row>
    <x:row r="730">
      <x:c r="A730" s="87"/>
      <x:c r="B730" s="88"/>
      <x:c r="D730" s="32"/>
      <x:c r="G730" s="74"/>
      <x:c r="H730" s="74"/>
      <x:c r="I730" s="74"/>
      <x:c r="J730" s="74"/>
      <x:c r="K730" s="74"/>
      <x:c r="L730" s="91"/>
      <x:c r="M730" s="91"/>
      <x:c r="N730" s="91"/>
      <x:c r="O730" s="91"/>
      <x:c r="P730" s="91"/>
      <x:c r="Q730" s="85"/>
      <x:c r="S730" s="86"/>
      <x:c r="T730" s="32"/>
    </x:row>
    <x:row r="731">
      <x:c r="A731" s="87"/>
      <x:c r="B731" s="88"/>
      <x:c r="D731" s="32"/>
      <x:c r="G731" s="74"/>
      <x:c r="H731" s="74"/>
      <x:c r="I731" s="74"/>
      <x:c r="J731" s="74"/>
      <x:c r="K731" s="74"/>
      <x:c r="L731" s="91"/>
      <x:c r="M731" s="91"/>
      <x:c r="N731" s="91"/>
      <x:c r="O731" s="91"/>
      <x:c r="P731" s="91"/>
      <x:c r="Q731" s="85"/>
      <x:c r="S731" s="86"/>
      <x:c r="T731" s="32"/>
    </x:row>
    <x:row r="732">
      <x:c r="A732" s="87"/>
      <x:c r="B732" s="88"/>
      <x:c r="D732" s="32"/>
      <x:c r="G732" s="74"/>
      <x:c r="H732" s="74"/>
      <x:c r="I732" s="74"/>
      <x:c r="J732" s="74"/>
      <x:c r="K732" s="74"/>
      <x:c r="L732" s="91"/>
      <x:c r="M732" s="91"/>
      <x:c r="N732" s="91"/>
      <x:c r="O732" s="91"/>
      <x:c r="P732" s="91"/>
      <x:c r="Q732" s="85"/>
      <x:c r="S732" s="86"/>
      <x:c r="T732" s="32"/>
    </x:row>
    <x:row r="733">
      <x:c r="A733" s="87"/>
      <x:c r="B733" s="88"/>
      <x:c r="D733" s="32"/>
      <x:c r="G733" s="74"/>
      <x:c r="H733" s="74"/>
      <x:c r="I733" s="74"/>
      <x:c r="J733" s="74"/>
      <x:c r="K733" s="74"/>
      <x:c r="L733" s="91"/>
      <x:c r="M733" s="91"/>
      <x:c r="N733" s="91"/>
      <x:c r="O733" s="91"/>
      <x:c r="P733" s="91"/>
      <x:c r="Q733" s="85"/>
      <x:c r="S733" s="86"/>
      <x:c r="T733" s="32"/>
    </x:row>
    <x:row r="734">
      <x:c r="A734" s="87"/>
      <x:c r="B734" s="88"/>
      <x:c r="D734" s="32"/>
      <x:c r="G734" s="74"/>
      <x:c r="H734" s="74"/>
      <x:c r="I734" s="74"/>
      <x:c r="J734" s="74"/>
      <x:c r="K734" s="74"/>
      <x:c r="L734" s="91"/>
      <x:c r="M734" s="91"/>
      <x:c r="N734" s="91"/>
      <x:c r="O734" s="91"/>
      <x:c r="P734" s="91"/>
      <x:c r="Q734" s="85"/>
      <x:c r="S734" s="86"/>
      <x:c r="T734" s="32"/>
    </x:row>
    <x:row r="735">
      <x:c r="A735" s="87"/>
      <x:c r="B735" s="88"/>
      <x:c r="D735" s="32"/>
      <x:c r="G735" s="74"/>
      <x:c r="H735" s="74"/>
      <x:c r="I735" s="74"/>
      <x:c r="J735" s="74"/>
      <x:c r="K735" s="74"/>
      <x:c r="L735" s="91"/>
      <x:c r="M735" s="91"/>
      <x:c r="N735" s="91"/>
      <x:c r="O735" s="91"/>
      <x:c r="P735" s="91"/>
      <x:c r="Q735" s="85"/>
      <x:c r="S735" s="86"/>
      <x:c r="T735" s="32"/>
    </x:row>
    <x:row r="736">
      <x:c r="A736" s="87"/>
      <x:c r="B736" s="88"/>
      <x:c r="D736" s="32"/>
      <x:c r="G736" s="74"/>
      <x:c r="H736" s="74"/>
      <x:c r="I736" s="74"/>
      <x:c r="J736" s="74"/>
      <x:c r="K736" s="74"/>
      <x:c r="L736" s="91"/>
      <x:c r="M736" s="91"/>
      <x:c r="N736" s="91"/>
      <x:c r="O736" s="91"/>
      <x:c r="P736" s="91"/>
      <x:c r="Q736" s="85"/>
      <x:c r="S736" s="86"/>
      <x:c r="T736" s="32"/>
    </x:row>
    <x:row r="737">
      <x:c r="A737" s="87"/>
      <x:c r="B737" s="88"/>
      <x:c r="D737" s="32"/>
      <x:c r="G737" s="74"/>
      <x:c r="H737" s="74"/>
      <x:c r="I737" s="74"/>
      <x:c r="J737" s="74"/>
      <x:c r="K737" s="74"/>
      <x:c r="L737" s="91"/>
      <x:c r="M737" s="91"/>
      <x:c r="N737" s="91"/>
      <x:c r="O737" s="91"/>
      <x:c r="P737" s="91"/>
      <x:c r="Q737" s="85"/>
      <x:c r="S737" s="86"/>
      <x:c r="T737" s="32"/>
    </x:row>
    <x:row r="738">
      <x:c r="A738" s="87"/>
      <x:c r="B738" s="88"/>
      <x:c r="D738" s="32"/>
      <x:c r="G738" s="74"/>
      <x:c r="H738" s="74"/>
      <x:c r="I738" s="74"/>
      <x:c r="J738" s="74"/>
      <x:c r="K738" s="74"/>
      <x:c r="L738" s="91"/>
      <x:c r="M738" s="91"/>
      <x:c r="N738" s="91"/>
      <x:c r="O738" s="91"/>
      <x:c r="P738" s="91"/>
      <x:c r="Q738" s="85"/>
      <x:c r="S738" s="86"/>
      <x:c r="T738" s="32"/>
    </x:row>
    <x:row r="739">
      <x:c r="A739" s="87"/>
      <x:c r="B739" s="88"/>
      <x:c r="D739" s="32"/>
      <x:c r="G739" s="74"/>
      <x:c r="H739" s="74"/>
      <x:c r="I739" s="74"/>
      <x:c r="J739" s="74"/>
      <x:c r="K739" s="74"/>
      <x:c r="L739" s="91"/>
      <x:c r="M739" s="91"/>
      <x:c r="N739" s="91"/>
      <x:c r="O739" s="91"/>
      <x:c r="P739" s="91"/>
      <x:c r="Q739" s="85"/>
      <x:c r="S739" s="86"/>
      <x:c r="T739" s="32"/>
    </x:row>
    <x:row r="740">
      <x:c r="A740" s="87"/>
      <x:c r="B740" s="88"/>
      <x:c r="D740" s="32"/>
      <x:c r="G740" s="74"/>
      <x:c r="H740" s="74"/>
      <x:c r="I740" s="74"/>
      <x:c r="J740" s="74"/>
      <x:c r="K740" s="74"/>
      <x:c r="L740" s="91"/>
      <x:c r="M740" s="91"/>
      <x:c r="N740" s="91"/>
      <x:c r="O740" s="91"/>
      <x:c r="P740" s="91"/>
      <x:c r="Q740" s="85"/>
      <x:c r="S740" s="86"/>
      <x:c r="T740" s="32"/>
    </x:row>
    <x:row r="741">
      <x:c r="A741" s="87"/>
      <x:c r="B741" s="88"/>
      <x:c r="D741" s="32"/>
      <x:c r="G741" s="74"/>
      <x:c r="H741" s="74"/>
      <x:c r="I741" s="74"/>
      <x:c r="J741" s="74"/>
      <x:c r="K741" s="74"/>
      <x:c r="L741" s="91"/>
      <x:c r="M741" s="91"/>
      <x:c r="N741" s="91"/>
      <x:c r="O741" s="91"/>
      <x:c r="P741" s="91"/>
      <x:c r="Q741" s="85"/>
      <x:c r="S741" s="86"/>
      <x:c r="T741" s="32"/>
    </x:row>
    <x:row r="742">
      <x:c r="A742" s="87"/>
      <x:c r="B742" s="88"/>
      <x:c r="D742" s="32"/>
      <x:c r="G742" s="74"/>
      <x:c r="H742" s="74"/>
      <x:c r="I742" s="74"/>
      <x:c r="J742" s="74"/>
      <x:c r="K742" s="74"/>
      <x:c r="L742" s="91"/>
      <x:c r="M742" s="91"/>
      <x:c r="N742" s="91"/>
      <x:c r="O742" s="91"/>
      <x:c r="P742" s="91"/>
      <x:c r="Q742" s="85"/>
      <x:c r="S742" s="86"/>
      <x:c r="T742" s="32"/>
    </x:row>
    <x:row r="743">
      <x:c r="A743" s="87"/>
      <x:c r="B743" s="88"/>
      <x:c r="D743" s="32"/>
      <x:c r="G743" s="74"/>
      <x:c r="H743" s="74"/>
      <x:c r="I743" s="74"/>
      <x:c r="J743" s="74"/>
      <x:c r="K743" s="74"/>
      <x:c r="L743" s="91"/>
      <x:c r="M743" s="91"/>
      <x:c r="N743" s="91"/>
      <x:c r="O743" s="91"/>
      <x:c r="P743" s="91"/>
      <x:c r="Q743" s="85"/>
      <x:c r="S743" s="86"/>
      <x:c r="T743" s="32"/>
    </x:row>
    <x:row r="744">
      <x:c r="A744" s="87"/>
      <x:c r="B744" s="88"/>
      <x:c r="D744" s="32"/>
      <x:c r="G744" s="74"/>
      <x:c r="H744" s="74"/>
      <x:c r="I744" s="74"/>
      <x:c r="J744" s="74"/>
      <x:c r="K744" s="74"/>
      <x:c r="L744" s="91"/>
      <x:c r="M744" s="91"/>
      <x:c r="N744" s="91"/>
      <x:c r="O744" s="91"/>
      <x:c r="P744" s="91"/>
      <x:c r="Q744" s="85"/>
      <x:c r="S744" s="86"/>
      <x:c r="T744" s="32"/>
    </x:row>
    <x:row r="745">
      <x:c r="A745" s="87"/>
      <x:c r="B745" s="88"/>
      <x:c r="D745" s="32"/>
      <x:c r="G745" s="74"/>
      <x:c r="H745" s="74"/>
      <x:c r="I745" s="74"/>
      <x:c r="J745" s="74"/>
      <x:c r="K745" s="74"/>
      <x:c r="L745" s="91"/>
      <x:c r="M745" s="91"/>
      <x:c r="N745" s="91"/>
      <x:c r="O745" s="91"/>
      <x:c r="P745" s="91"/>
      <x:c r="Q745" s="85"/>
      <x:c r="S745" s="86"/>
      <x:c r="T745" s="32"/>
    </x:row>
    <x:row r="746">
      <x:c r="A746" s="87"/>
      <x:c r="B746" s="88"/>
      <x:c r="D746" s="32"/>
      <x:c r="G746" s="74"/>
      <x:c r="H746" s="74"/>
      <x:c r="I746" s="74"/>
      <x:c r="J746" s="74"/>
      <x:c r="K746" s="74"/>
      <x:c r="L746" s="91"/>
      <x:c r="M746" s="91"/>
      <x:c r="N746" s="91"/>
      <x:c r="O746" s="91"/>
      <x:c r="P746" s="91"/>
      <x:c r="Q746" s="85"/>
      <x:c r="S746" s="86"/>
      <x:c r="T746" s="32"/>
    </x:row>
    <x:row r="747">
      <x:c r="A747" s="87"/>
      <x:c r="B747" s="88"/>
      <x:c r="D747" s="32"/>
      <x:c r="G747" s="74"/>
      <x:c r="H747" s="74"/>
      <x:c r="I747" s="74"/>
      <x:c r="J747" s="74"/>
      <x:c r="K747" s="74"/>
      <x:c r="L747" s="91"/>
      <x:c r="M747" s="91"/>
      <x:c r="N747" s="91"/>
      <x:c r="O747" s="91"/>
      <x:c r="P747" s="91"/>
      <x:c r="Q747" s="85"/>
      <x:c r="S747" s="86"/>
      <x:c r="T747" s="32"/>
    </x:row>
    <x:row r="748">
      <x:c r="A748" s="87"/>
      <x:c r="B748" s="88"/>
      <x:c r="D748" s="32"/>
      <x:c r="G748" s="74"/>
      <x:c r="H748" s="74"/>
      <x:c r="I748" s="74"/>
      <x:c r="J748" s="74"/>
      <x:c r="K748" s="74"/>
      <x:c r="L748" s="91"/>
      <x:c r="M748" s="91"/>
      <x:c r="N748" s="91"/>
      <x:c r="O748" s="91"/>
      <x:c r="P748" s="91"/>
      <x:c r="Q748" s="85"/>
      <x:c r="S748" s="86"/>
      <x:c r="T748" s="32"/>
    </x:row>
    <x:row r="749">
      <x:c r="A749" s="87"/>
      <x:c r="B749" s="88"/>
      <x:c r="D749" s="32"/>
      <x:c r="G749" s="74"/>
      <x:c r="H749" s="74"/>
      <x:c r="I749" s="74"/>
      <x:c r="J749" s="74"/>
      <x:c r="K749" s="74"/>
      <x:c r="L749" s="91"/>
      <x:c r="M749" s="91"/>
      <x:c r="N749" s="91"/>
      <x:c r="O749" s="91"/>
      <x:c r="P749" s="91"/>
      <x:c r="Q749" s="85"/>
      <x:c r="S749" s="86"/>
      <x:c r="T749" s="32"/>
    </x:row>
    <x:row r="750">
      <x:c r="A750" s="87"/>
      <x:c r="B750" s="88"/>
      <x:c r="D750" s="32"/>
      <x:c r="G750" s="74"/>
      <x:c r="H750" s="74"/>
      <x:c r="I750" s="74"/>
      <x:c r="J750" s="74"/>
      <x:c r="K750" s="74"/>
      <x:c r="L750" s="91"/>
      <x:c r="M750" s="91"/>
      <x:c r="N750" s="91"/>
      <x:c r="O750" s="91"/>
      <x:c r="P750" s="91"/>
      <x:c r="Q750" s="85"/>
      <x:c r="S750" s="86"/>
      <x:c r="T750" s="32"/>
    </x:row>
    <x:row r="751">
      <x:c r="A751" s="87"/>
      <x:c r="B751" s="88"/>
      <x:c r="D751" s="32"/>
      <x:c r="G751" s="74"/>
      <x:c r="H751" s="74"/>
      <x:c r="I751" s="74"/>
      <x:c r="J751" s="74"/>
      <x:c r="K751" s="74"/>
      <x:c r="L751" s="91"/>
      <x:c r="M751" s="91"/>
      <x:c r="N751" s="91"/>
      <x:c r="O751" s="91"/>
      <x:c r="P751" s="91"/>
      <x:c r="Q751" s="85"/>
      <x:c r="S751" s="86"/>
      <x:c r="T751" s="32"/>
    </x:row>
    <x:row r="752">
      <x:c r="A752" s="87"/>
      <x:c r="B752" s="88"/>
      <x:c r="D752" s="32"/>
      <x:c r="G752" s="74"/>
      <x:c r="H752" s="74"/>
      <x:c r="I752" s="74"/>
      <x:c r="J752" s="74"/>
      <x:c r="K752" s="74"/>
      <x:c r="L752" s="91"/>
      <x:c r="M752" s="91"/>
      <x:c r="N752" s="91"/>
      <x:c r="O752" s="91"/>
      <x:c r="P752" s="91"/>
      <x:c r="Q752" s="85"/>
      <x:c r="S752" s="86"/>
      <x:c r="T752" s="32"/>
    </x:row>
    <x:row r="753">
      <x:c r="A753" s="87"/>
      <x:c r="B753" s="88"/>
      <x:c r="D753" s="32"/>
      <x:c r="G753" s="74"/>
      <x:c r="H753" s="74"/>
      <x:c r="I753" s="74"/>
      <x:c r="J753" s="74"/>
      <x:c r="K753" s="74"/>
      <x:c r="L753" s="91"/>
      <x:c r="M753" s="91"/>
      <x:c r="N753" s="91"/>
      <x:c r="O753" s="91"/>
      <x:c r="P753" s="91"/>
      <x:c r="Q753" s="85"/>
      <x:c r="S753" s="86"/>
      <x:c r="T753" s="32"/>
    </x:row>
    <x:row r="754">
      <x:c r="A754" s="87"/>
      <x:c r="B754" s="88"/>
      <x:c r="D754" s="32"/>
      <x:c r="G754" s="74"/>
      <x:c r="H754" s="74"/>
      <x:c r="I754" s="74"/>
      <x:c r="J754" s="74"/>
      <x:c r="K754" s="74"/>
      <x:c r="L754" s="91"/>
      <x:c r="M754" s="91"/>
      <x:c r="N754" s="91"/>
      <x:c r="O754" s="91"/>
      <x:c r="P754" s="91"/>
      <x:c r="Q754" s="85"/>
      <x:c r="S754" s="86"/>
      <x:c r="T754" s="32"/>
    </x:row>
    <x:row r="755">
      <x:c r="A755" s="87"/>
      <x:c r="B755" s="88"/>
      <x:c r="D755" s="32"/>
      <x:c r="G755" s="74"/>
      <x:c r="H755" s="74"/>
      <x:c r="I755" s="74"/>
      <x:c r="J755" s="74"/>
      <x:c r="K755" s="74"/>
      <x:c r="L755" s="91"/>
      <x:c r="M755" s="91"/>
      <x:c r="N755" s="91"/>
      <x:c r="O755" s="91"/>
      <x:c r="P755" s="91"/>
      <x:c r="Q755" s="85"/>
      <x:c r="S755" s="86"/>
      <x:c r="T755" s="32"/>
    </x:row>
    <x:row r="756">
      <x:c r="A756" s="87"/>
      <x:c r="B756" s="88"/>
      <x:c r="D756" s="32"/>
      <x:c r="G756" s="74"/>
      <x:c r="H756" s="74"/>
      <x:c r="I756" s="74"/>
      <x:c r="J756" s="74"/>
      <x:c r="K756" s="74"/>
      <x:c r="L756" s="91"/>
      <x:c r="M756" s="91"/>
      <x:c r="N756" s="91"/>
      <x:c r="O756" s="91"/>
      <x:c r="P756" s="91"/>
      <x:c r="Q756" s="85"/>
      <x:c r="S756" s="86"/>
      <x:c r="T756" s="32"/>
    </x:row>
    <x:row r="757">
      <x:c r="A757" s="87"/>
      <x:c r="B757" s="88"/>
      <x:c r="D757" s="32"/>
      <x:c r="G757" s="74"/>
      <x:c r="H757" s="74"/>
      <x:c r="I757" s="74"/>
      <x:c r="J757" s="74"/>
      <x:c r="K757" s="74"/>
      <x:c r="L757" s="91"/>
      <x:c r="M757" s="91"/>
      <x:c r="N757" s="91"/>
      <x:c r="O757" s="91"/>
      <x:c r="P757" s="91"/>
      <x:c r="Q757" s="85"/>
      <x:c r="S757" s="86"/>
      <x:c r="T757" s="32"/>
    </x:row>
    <x:row r="758">
      <x:c r="A758" s="87"/>
      <x:c r="B758" s="88"/>
      <x:c r="D758" s="32"/>
      <x:c r="G758" s="74"/>
      <x:c r="H758" s="74"/>
      <x:c r="I758" s="74"/>
      <x:c r="J758" s="74"/>
      <x:c r="K758" s="74"/>
      <x:c r="L758" s="91"/>
      <x:c r="M758" s="91"/>
      <x:c r="N758" s="91"/>
      <x:c r="O758" s="91"/>
      <x:c r="P758" s="91"/>
      <x:c r="Q758" s="85"/>
      <x:c r="S758" s="86"/>
      <x:c r="T758" s="32"/>
    </x:row>
    <x:row r="759">
      <x:c r="A759" s="87"/>
      <x:c r="B759" s="88"/>
      <x:c r="D759" s="32"/>
      <x:c r="G759" s="74"/>
      <x:c r="H759" s="74"/>
      <x:c r="I759" s="74"/>
      <x:c r="J759" s="74"/>
      <x:c r="K759" s="74"/>
      <x:c r="L759" s="91"/>
      <x:c r="M759" s="91"/>
      <x:c r="N759" s="91"/>
      <x:c r="O759" s="91"/>
      <x:c r="P759" s="91"/>
      <x:c r="Q759" s="85"/>
      <x:c r="S759" s="86"/>
      <x:c r="T759" s="32"/>
    </x:row>
    <x:row r="760">
      <x:c r="A760" s="87"/>
      <x:c r="B760" s="88"/>
      <x:c r="D760" s="32"/>
      <x:c r="G760" s="74"/>
      <x:c r="H760" s="74"/>
      <x:c r="I760" s="74"/>
      <x:c r="J760" s="74"/>
      <x:c r="K760" s="74"/>
      <x:c r="L760" s="91"/>
      <x:c r="M760" s="91"/>
      <x:c r="N760" s="91"/>
      <x:c r="O760" s="91"/>
      <x:c r="P760" s="91"/>
      <x:c r="Q760" s="85"/>
      <x:c r="S760" s="86"/>
      <x:c r="T760" s="32"/>
    </x:row>
    <x:row r="761">
      <x:c r="A761" s="87"/>
      <x:c r="B761" s="88"/>
      <x:c r="D761" s="32"/>
      <x:c r="G761" s="74"/>
      <x:c r="H761" s="74"/>
      <x:c r="I761" s="74"/>
      <x:c r="J761" s="74"/>
      <x:c r="K761" s="74"/>
      <x:c r="L761" s="91"/>
      <x:c r="M761" s="91"/>
      <x:c r="N761" s="91"/>
      <x:c r="O761" s="91"/>
      <x:c r="P761" s="91"/>
      <x:c r="Q761" s="85"/>
      <x:c r="S761" s="86"/>
      <x:c r="T761" s="32"/>
    </x:row>
    <x:row r="762">
      <x:c r="A762" s="87"/>
      <x:c r="B762" s="88"/>
      <x:c r="D762" s="32"/>
      <x:c r="G762" s="74"/>
      <x:c r="H762" s="74"/>
      <x:c r="I762" s="74"/>
      <x:c r="J762" s="74"/>
      <x:c r="K762" s="74"/>
      <x:c r="L762" s="91"/>
      <x:c r="M762" s="91"/>
      <x:c r="N762" s="91"/>
      <x:c r="O762" s="91"/>
      <x:c r="P762" s="91"/>
      <x:c r="Q762" s="85"/>
      <x:c r="S762" s="86"/>
      <x:c r="T762" s="32"/>
    </x:row>
    <x:row r="763">
      <x:c r="A763" s="87"/>
      <x:c r="B763" s="88"/>
      <x:c r="D763" s="32"/>
      <x:c r="G763" s="74"/>
      <x:c r="H763" s="74"/>
      <x:c r="I763" s="74"/>
      <x:c r="J763" s="74"/>
      <x:c r="K763" s="74"/>
      <x:c r="L763" s="91"/>
      <x:c r="M763" s="91"/>
      <x:c r="N763" s="91"/>
      <x:c r="O763" s="91"/>
      <x:c r="P763" s="91"/>
      <x:c r="Q763" s="85"/>
      <x:c r="S763" s="86"/>
      <x:c r="T763" s="32"/>
    </x:row>
    <x:row r="764">
      <x:c r="A764" s="87"/>
      <x:c r="B764" s="88"/>
      <x:c r="D764" s="32"/>
      <x:c r="G764" s="74"/>
      <x:c r="H764" s="74"/>
      <x:c r="I764" s="74"/>
      <x:c r="J764" s="74"/>
      <x:c r="K764" s="74"/>
      <x:c r="L764" s="91"/>
      <x:c r="M764" s="91"/>
      <x:c r="N764" s="91"/>
      <x:c r="O764" s="91"/>
      <x:c r="P764" s="91"/>
      <x:c r="Q764" s="85"/>
      <x:c r="S764" s="86"/>
      <x:c r="T764" s="32"/>
    </x:row>
    <x:row r="765">
      <x:c r="A765" s="87"/>
      <x:c r="B765" s="88"/>
      <x:c r="D765" s="32"/>
      <x:c r="G765" s="74"/>
      <x:c r="H765" s="74"/>
      <x:c r="I765" s="74"/>
      <x:c r="J765" s="74"/>
      <x:c r="K765" s="74"/>
      <x:c r="L765" s="91"/>
      <x:c r="M765" s="91"/>
      <x:c r="N765" s="91"/>
      <x:c r="O765" s="91"/>
      <x:c r="P765" s="91"/>
      <x:c r="Q765" s="85"/>
      <x:c r="S765" s="86"/>
      <x:c r="T765" s="32"/>
    </x:row>
    <x:row r="766">
      <x:c r="A766" s="87"/>
      <x:c r="B766" s="88"/>
      <x:c r="D766" s="32"/>
      <x:c r="G766" s="74"/>
      <x:c r="H766" s="74"/>
      <x:c r="I766" s="74"/>
      <x:c r="J766" s="74"/>
      <x:c r="K766" s="74"/>
      <x:c r="L766" s="91"/>
      <x:c r="M766" s="91"/>
      <x:c r="N766" s="91"/>
      <x:c r="O766" s="91"/>
      <x:c r="P766" s="91"/>
      <x:c r="Q766" s="85"/>
      <x:c r="S766" s="86"/>
      <x:c r="T766" s="32"/>
    </x:row>
    <x:row r="767">
      <x:c r="A767" s="87"/>
      <x:c r="B767" s="88"/>
      <x:c r="D767" s="32"/>
      <x:c r="G767" s="74"/>
      <x:c r="H767" s="74"/>
      <x:c r="I767" s="74"/>
      <x:c r="J767" s="74"/>
      <x:c r="K767" s="74"/>
      <x:c r="L767" s="91"/>
      <x:c r="M767" s="91"/>
      <x:c r="N767" s="91"/>
      <x:c r="O767" s="91"/>
      <x:c r="P767" s="91"/>
      <x:c r="Q767" s="85"/>
      <x:c r="S767" s="86"/>
      <x:c r="T767" s="32"/>
    </x:row>
    <x:row r="768">
      <x:c r="A768" s="87"/>
      <x:c r="B768" s="88"/>
      <x:c r="D768" s="32"/>
      <x:c r="G768" s="74"/>
      <x:c r="H768" s="74"/>
      <x:c r="I768" s="74"/>
      <x:c r="J768" s="74"/>
      <x:c r="K768" s="74"/>
      <x:c r="L768" s="91"/>
      <x:c r="M768" s="91"/>
      <x:c r="N768" s="91"/>
      <x:c r="O768" s="91"/>
      <x:c r="P768" s="91"/>
      <x:c r="Q768" s="85"/>
      <x:c r="S768" s="86"/>
      <x:c r="T768" s="32"/>
    </x:row>
    <x:row r="769">
      <x:c r="A769" s="87"/>
      <x:c r="B769" s="88"/>
      <x:c r="D769" s="32"/>
      <x:c r="G769" s="74"/>
      <x:c r="H769" s="74"/>
      <x:c r="I769" s="74"/>
      <x:c r="J769" s="74"/>
      <x:c r="K769" s="74"/>
      <x:c r="L769" s="91"/>
      <x:c r="M769" s="91"/>
      <x:c r="N769" s="91"/>
      <x:c r="O769" s="91"/>
      <x:c r="P769" s="91"/>
      <x:c r="Q769" s="85"/>
      <x:c r="S769" s="86"/>
      <x:c r="T769" s="32"/>
    </x:row>
    <x:row r="770">
      <x:c r="A770" s="87"/>
      <x:c r="B770" s="88"/>
      <x:c r="D770" s="32"/>
      <x:c r="G770" s="74"/>
      <x:c r="H770" s="74"/>
      <x:c r="I770" s="74"/>
      <x:c r="J770" s="74"/>
      <x:c r="K770" s="74"/>
      <x:c r="L770" s="91"/>
      <x:c r="M770" s="91"/>
      <x:c r="N770" s="91"/>
      <x:c r="O770" s="91"/>
      <x:c r="P770" s="91"/>
      <x:c r="Q770" s="85"/>
      <x:c r="S770" s="86"/>
      <x:c r="T770" s="32"/>
    </x:row>
    <x:row r="771">
      <x:c r="A771" s="87"/>
      <x:c r="B771" s="88"/>
      <x:c r="D771" s="32"/>
      <x:c r="G771" s="74"/>
      <x:c r="H771" s="74"/>
      <x:c r="I771" s="74"/>
      <x:c r="J771" s="74"/>
      <x:c r="K771" s="74"/>
      <x:c r="L771" s="91"/>
      <x:c r="M771" s="91"/>
      <x:c r="N771" s="91"/>
      <x:c r="O771" s="91"/>
      <x:c r="P771" s="91"/>
      <x:c r="Q771" s="85"/>
      <x:c r="S771" s="86"/>
      <x:c r="T771" s="32"/>
    </x:row>
    <x:row r="772">
      <x:c r="A772" s="87"/>
      <x:c r="B772" s="88"/>
      <x:c r="D772" s="32"/>
      <x:c r="G772" s="74"/>
      <x:c r="H772" s="74"/>
      <x:c r="I772" s="74"/>
      <x:c r="J772" s="74"/>
      <x:c r="K772" s="74"/>
      <x:c r="L772" s="91"/>
      <x:c r="M772" s="91"/>
      <x:c r="N772" s="91"/>
      <x:c r="O772" s="91"/>
      <x:c r="P772" s="91"/>
      <x:c r="Q772" s="85"/>
      <x:c r="S772" s="86"/>
      <x:c r="T772" s="32"/>
    </x:row>
    <x:row r="773">
      <x:c r="A773" s="87"/>
      <x:c r="B773" s="88"/>
      <x:c r="D773" s="32"/>
      <x:c r="G773" s="74"/>
      <x:c r="H773" s="74"/>
      <x:c r="I773" s="74"/>
      <x:c r="J773" s="74"/>
      <x:c r="K773" s="74"/>
      <x:c r="L773" s="91"/>
      <x:c r="M773" s="91"/>
      <x:c r="N773" s="91"/>
      <x:c r="O773" s="91"/>
      <x:c r="P773" s="91"/>
      <x:c r="Q773" s="85"/>
      <x:c r="S773" s="86"/>
      <x:c r="T773" s="32"/>
    </x:row>
    <x:row r="774">
      <x:c r="A774" s="87"/>
      <x:c r="B774" s="88"/>
      <x:c r="D774" s="32"/>
      <x:c r="G774" s="74"/>
      <x:c r="H774" s="74"/>
      <x:c r="I774" s="74"/>
      <x:c r="J774" s="74"/>
      <x:c r="K774" s="74"/>
      <x:c r="L774" s="91"/>
      <x:c r="M774" s="91"/>
      <x:c r="N774" s="91"/>
      <x:c r="O774" s="91"/>
      <x:c r="P774" s="91"/>
      <x:c r="Q774" s="85"/>
      <x:c r="S774" s="86"/>
      <x:c r="T774" s="32"/>
    </x:row>
    <x:row r="775">
      <x:c r="A775" s="87"/>
      <x:c r="B775" s="88"/>
      <x:c r="D775" s="32"/>
      <x:c r="G775" s="74"/>
      <x:c r="H775" s="74"/>
      <x:c r="I775" s="74"/>
      <x:c r="J775" s="74"/>
      <x:c r="K775" s="74"/>
      <x:c r="L775" s="91"/>
      <x:c r="M775" s="91"/>
      <x:c r="N775" s="91"/>
      <x:c r="O775" s="91"/>
      <x:c r="P775" s="91"/>
      <x:c r="Q775" s="85"/>
      <x:c r="S775" s="86"/>
      <x:c r="T775" s="32"/>
    </x:row>
    <x:row r="776">
      <x:c r="A776" s="87"/>
      <x:c r="B776" s="88"/>
      <x:c r="D776" s="32"/>
      <x:c r="G776" s="74"/>
      <x:c r="H776" s="74"/>
      <x:c r="I776" s="74"/>
      <x:c r="J776" s="74"/>
      <x:c r="K776" s="74"/>
      <x:c r="L776" s="91"/>
      <x:c r="M776" s="91"/>
      <x:c r="N776" s="91"/>
      <x:c r="O776" s="91"/>
      <x:c r="P776" s="91"/>
      <x:c r="Q776" s="85"/>
      <x:c r="S776" s="86"/>
      <x:c r="T776" s="32"/>
    </x:row>
    <x:row r="777">
      <x:c r="A777" s="87"/>
      <x:c r="B777" s="88"/>
      <x:c r="D777" s="32"/>
      <x:c r="G777" s="74"/>
      <x:c r="H777" s="74"/>
      <x:c r="I777" s="74"/>
      <x:c r="J777" s="74"/>
      <x:c r="K777" s="74"/>
      <x:c r="L777" s="91"/>
      <x:c r="M777" s="91"/>
      <x:c r="N777" s="91"/>
      <x:c r="O777" s="91"/>
      <x:c r="P777" s="91"/>
      <x:c r="Q777" s="85"/>
      <x:c r="S777" s="86"/>
      <x:c r="T777" s="32"/>
    </x:row>
    <x:row r="778">
      <x:c r="A778" s="87"/>
      <x:c r="B778" s="88"/>
      <x:c r="D778" s="32"/>
      <x:c r="G778" s="74"/>
      <x:c r="H778" s="74"/>
      <x:c r="I778" s="74"/>
      <x:c r="J778" s="74"/>
      <x:c r="K778" s="74"/>
      <x:c r="L778" s="91"/>
      <x:c r="M778" s="91"/>
      <x:c r="N778" s="91"/>
      <x:c r="O778" s="91"/>
      <x:c r="P778" s="91"/>
      <x:c r="Q778" s="85"/>
      <x:c r="S778" s="86"/>
      <x:c r="T778" s="32"/>
    </x:row>
    <x:row r="779">
      <x:c r="A779" s="87"/>
      <x:c r="B779" s="88"/>
      <x:c r="D779" s="32"/>
      <x:c r="G779" s="74"/>
      <x:c r="H779" s="74"/>
      <x:c r="I779" s="74"/>
      <x:c r="J779" s="74"/>
      <x:c r="K779" s="74"/>
      <x:c r="L779" s="91"/>
      <x:c r="M779" s="91"/>
      <x:c r="N779" s="91"/>
      <x:c r="O779" s="91"/>
      <x:c r="P779" s="91"/>
      <x:c r="Q779" s="85"/>
      <x:c r="S779" s="86"/>
      <x:c r="T779" s="32"/>
    </x:row>
    <x:row r="780">
      <x:c r="A780" s="87"/>
      <x:c r="B780" s="88"/>
      <x:c r="D780" s="32"/>
      <x:c r="G780" s="74"/>
      <x:c r="H780" s="74"/>
      <x:c r="I780" s="74"/>
      <x:c r="J780" s="74"/>
      <x:c r="K780" s="74"/>
      <x:c r="L780" s="91"/>
      <x:c r="M780" s="91"/>
      <x:c r="N780" s="91"/>
      <x:c r="O780" s="91"/>
      <x:c r="P780" s="91"/>
      <x:c r="Q780" s="85"/>
      <x:c r="S780" s="86"/>
      <x:c r="T780" s="32"/>
    </x:row>
    <x:row r="781">
      <x:c r="A781" s="87"/>
      <x:c r="B781" s="88"/>
      <x:c r="D781" s="32"/>
      <x:c r="G781" s="74"/>
      <x:c r="H781" s="74"/>
      <x:c r="I781" s="74"/>
      <x:c r="J781" s="74"/>
      <x:c r="K781" s="74"/>
      <x:c r="L781" s="91"/>
      <x:c r="M781" s="91"/>
      <x:c r="N781" s="91"/>
      <x:c r="O781" s="91"/>
      <x:c r="P781" s="91"/>
      <x:c r="Q781" s="85"/>
      <x:c r="S781" s="86"/>
      <x:c r="T781" s="32"/>
    </x:row>
    <x:row r="782">
      <x:c r="A782" s="87"/>
      <x:c r="B782" s="88"/>
      <x:c r="D782" s="32"/>
      <x:c r="G782" s="74"/>
      <x:c r="H782" s="74"/>
      <x:c r="I782" s="74"/>
      <x:c r="J782" s="74"/>
      <x:c r="K782" s="74"/>
      <x:c r="L782" s="91"/>
      <x:c r="M782" s="91"/>
      <x:c r="N782" s="91"/>
      <x:c r="O782" s="91"/>
      <x:c r="P782" s="91"/>
      <x:c r="Q782" s="85"/>
      <x:c r="S782" s="86"/>
      <x:c r="T782" s="32"/>
    </x:row>
    <x:row r="783">
      <x:c r="A783" s="87"/>
      <x:c r="B783" s="88"/>
      <x:c r="D783" s="32"/>
      <x:c r="G783" s="74"/>
      <x:c r="H783" s="74"/>
      <x:c r="I783" s="74"/>
      <x:c r="J783" s="74"/>
      <x:c r="K783" s="74"/>
      <x:c r="L783" s="91"/>
      <x:c r="M783" s="91"/>
      <x:c r="N783" s="91"/>
      <x:c r="O783" s="91"/>
      <x:c r="P783" s="91"/>
      <x:c r="Q783" s="85"/>
      <x:c r="S783" s="86"/>
      <x:c r="T783" s="32"/>
    </x:row>
    <x:row r="784">
      <x:c r="A784" s="87"/>
      <x:c r="B784" s="88"/>
      <x:c r="D784" s="32"/>
      <x:c r="G784" s="74"/>
      <x:c r="H784" s="74"/>
      <x:c r="I784" s="74"/>
      <x:c r="J784" s="74"/>
      <x:c r="K784" s="74"/>
      <x:c r="L784" s="91"/>
      <x:c r="M784" s="91"/>
      <x:c r="N784" s="91"/>
      <x:c r="O784" s="91"/>
      <x:c r="P784" s="91"/>
      <x:c r="Q784" s="85"/>
      <x:c r="S784" s="86"/>
      <x:c r="T784" s="32"/>
    </x:row>
    <x:row r="785">
      <x:c r="A785" s="87"/>
      <x:c r="B785" s="88"/>
      <x:c r="D785" s="32"/>
      <x:c r="G785" s="74"/>
      <x:c r="H785" s="74"/>
      <x:c r="I785" s="74"/>
      <x:c r="J785" s="74"/>
      <x:c r="K785" s="74"/>
      <x:c r="L785" s="91"/>
      <x:c r="M785" s="91"/>
      <x:c r="N785" s="91"/>
      <x:c r="O785" s="91"/>
      <x:c r="P785" s="91"/>
      <x:c r="Q785" s="85"/>
      <x:c r="S785" s="86"/>
      <x:c r="T785" s="32"/>
    </x:row>
    <x:row r="786">
      <x:c r="A786" s="87"/>
      <x:c r="B786" s="88"/>
      <x:c r="D786" s="32"/>
      <x:c r="G786" s="74"/>
      <x:c r="H786" s="74"/>
      <x:c r="I786" s="74"/>
      <x:c r="J786" s="74"/>
      <x:c r="K786" s="74"/>
      <x:c r="L786" s="91"/>
      <x:c r="M786" s="91"/>
      <x:c r="N786" s="91"/>
      <x:c r="O786" s="91"/>
      <x:c r="P786" s="91"/>
      <x:c r="Q786" s="85"/>
      <x:c r="S786" s="86"/>
      <x:c r="T786" s="32"/>
    </x:row>
    <x:row r="787">
      <x:c r="A787" s="87"/>
      <x:c r="B787" s="88"/>
      <x:c r="D787" s="32"/>
      <x:c r="G787" s="74"/>
      <x:c r="H787" s="74"/>
      <x:c r="I787" s="74"/>
      <x:c r="J787" s="74"/>
      <x:c r="K787" s="74"/>
      <x:c r="L787" s="91"/>
      <x:c r="M787" s="91"/>
      <x:c r="N787" s="91"/>
      <x:c r="O787" s="91"/>
      <x:c r="P787" s="91"/>
      <x:c r="Q787" s="85"/>
      <x:c r="S787" s="86"/>
      <x:c r="T787" s="32"/>
    </x:row>
    <x:row r="788">
      <x:c r="A788" s="87"/>
      <x:c r="B788" s="88"/>
      <x:c r="D788" s="32"/>
      <x:c r="G788" s="74"/>
      <x:c r="H788" s="74"/>
      <x:c r="I788" s="74"/>
      <x:c r="J788" s="74"/>
      <x:c r="K788" s="74"/>
      <x:c r="L788" s="91"/>
      <x:c r="M788" s="91"/>
      <x:c r="N788" s="91"/>
      <x:c r="O788" s="91"/>
      <x:c r="P788" s="91"/>
      <x:c r="Q788" s="85"/>
      <x:c r="S788" s="86"/>
      <x:c r="T788" s="32"/>
    </x:row>
    <x:row r="789">
      <x:c r="A789" s="87"/>
      <x:c r="B789" s="88"/>
      <x:c r="D789" s="32"/>
      <x:c r="G789" s="74"/>
      <x:c r="H789" s="74"/>
      <x:c r="I789" s="74"/>
      <x:c r="J789" s="74"/>
      <x:c r="K789" s="74"/>
      <x:c r="L789" s="91"/>
      <x:c r="M789" s="91"/>
      <x:c r="N789" s="91"/>
      <x:c r="O789" s="91"/>
      <x:c r="P789" s="91"/>
      <x:c r="Q789" s="85"/>
      <x:c r="S789" s="86"/>
      <x:c r="T789" s="32"/>
    </x:row>
    <x:row r="790">
      <x:c r="A790" s="87"/>
      <x:c r="B790" s="88"/>
      <x:c r="D790" s="32"/>
      <x:c r="G790" s="74"/>
      <x:c r="H790" s="74"/>
      <x:c r="I790" s="74"/>
      <x:c r="J790" s="74"/>
      <x:c r="K790" s="74"/>
      <x:c r="L790" s="91"/>
      <x:c r="M790" s="91"/>
      <x:c r="N790" s="91"/>
      <x:c r="O790" s="91"/>
      <x:c r="P790" s="91"/>
      <x:c r="Q790" s="85"/>
      <x:c r="S790" s="86"/>
      <x:c r="T790" s="32"/>
    </x:row>
    <x:row r="791">
      <x:c r="A791" s="87"/>
      <x:c r="B791" s="88"/>
      <x:c r="D791" s="32"/>
      <x:c r="G791" s="74"/>
      <x:c r="H791" s="74"/>
      <x:c r="I791" s="74"/>
      <x:c r="J791" s="74"/>
      <x:c r="K791" s="74"/>
      <x:c r="L791" s="91"/>
      <x:c r="M791" s="91"/>
      <x:c r="N791" s="91"/>
      <x:c r="O791" s="91"/>
      <x:c r="P791" s="91"/>
      <x:c r="Q791" s="85"/>
      <x:c r="S791" s="86"/>
      <x:c r="T791" s="32"/>
    </x:row>
    <x:row r="792">
      <x:c r="A792" s="87"/>
      <x:c r="B792" s="88"/>
      <x:c r="D792" s="32"/>
      <x:c r="G792" s="74"/>
      <x:c r="H792" s="74"/>
      <x:c r="I792" s="74"/>
      <x:c r="J792" s="74"/>
      <x:c r="K792" s="74"/>
      <x:c r="L792" s="91"/>
      <x:c r="M792" s="91"/>
      <x:c r="N792" s="91"/>
      <x:c r="O792" s="91"/>
      <x:c r="P792" s="91"/>
      <x:c r="Q792" s="85"/>
      <x:c r="S792" s="86"/>
      <x:c r="T792" s="32"/>
    </x:row>
    <x:row r="793">
      <x:c r="A793" s="87"/>
      <x:c r="B793" s="88"/>
      <x:c r="D793" s="32"/>
      <x:c r="G793" s="74"/>
      <x:c r="H793" s="74"/>
      <x:c r="I793" s="74"/>
      <x:c r="J793" s="74"/>
      <x:c r="K793" s="74"/>
      <x:c r="L793" s="91"/>
      <x:c r="M793" s="91"/>
      <x:c r="N793" s="91"/>
      <x:c r="O793" s="91"/>
      <x:c r="P793" s="91"/>
      <x:c r="Q793" s="85"/>
      <x:c r="S793" s="86"/>
      <x:c r="T793" s="32"/>
    </x:row>
    <x:row r="794">
      <x:c r="A794" s="87"/>
      <x:c r="B794" s="88"/>
      <x:c r="D794" s="32"/>
      <x:c r="G794" s="74"/>
      <x:c r="H794" s="74"/>
      <x:c r="I794" s="74"/>
      <x:c r="J794" s="74"/>
      <x:c r="K794" s="74"/>
      <x:c r="L794" s="91"/>
      <x:c r="M794" s="91"/>
      <x:c r="N794" s="91"/>
      <x:c r="O794" s="91"/>
      <x:c r="P794" s="91"/>
      <x:c r="Q794" s="85"/>
      <x:c r="S794" s="86"/>
      <x:c r="T794" s="32"/>
    </x:row>
    <x:row r="795">
      <x:c r="A795" s="87"/>
      <x:c r="B795" s="88"/>
      <x:c r="D795" s="32"/>
      <x:c r="G795" s="74"/>
      <x:c r="H795" s="74"/>
      <x:c r="I795" s="74"/>
      <x:c r="J795" s="74"/>
      <x:c r="K795" s="74"/>
      <x:c r="L795" s="91"/>
      <x:c r="M795" s="91"/>
      <x:c r="N795" s="91"/>
      <x:c r="O795" s="91"/>
      <x:c r="P795" s="91"/>
      <x:c r="Q795" s="85"/>
      <x:c r="S795" s="86"/>
      <x:c r="T795" s="32"/>
    </x:row>
    <x:row r="796">
      <x:c r="A796" s="87"/>
      <x:c r="B796" s="88"/>
      <x:c r="D796" s="32"/>
      <x:c r="G796" s="74"/>
      <x:c r="H796" s="74"/>
      <x:c r="I796" s="74"/>
      <x:c r="J796" s="74"/>
      <x:c r="K796" s="74"/>
      <x:c r="L796" s="91"/>
      <x:c r="M796" s="91"/>
      <x:c r="N796" s="91"/>
      <x:c r="O796" s="91"/>
      <x:c r="P796" s="91"/>
      <x:c r="Q796" s="85"/>
      <x:c r="S796" s="86"/>
      <x:c r="T796" s="32"/>
    </x:row>
    <x:row r="797">
      <x:c r="A797" s="87"/>
      <x:c r="B797" s="88"/>
      <x:c r="D797" s="32"/>
      <x:c r="G797" s="74"/>
      <x:c r="H797" s="74"/>
      <x:c r="I797" s="74"/>
      <x:c r="J797" s="74"/>
      <x:c r="K797" s="74"/>
      <x:c r="L797" s="91"/>
      <x:c r="M797" s="91"/>
      <x:c r="N797" s="91"/>
      <x:c r="O797" s="91"/>
      <x:c r="P797" s="91"/>
      <x:c r="Q797" s="85"/>
      <x:c r="S797" s="86"/>
      <x:c r="T797" s="32"/>
    </x:row>
    <x:row r="798">
      <x:c r="A798" s="87"/>
      <x:c r="B798" s="88"/>
      <x:c r="D798" s="32"/>
      <x:c r="G798" s="74"/>
      <x:c r="H798" s="74"/>
      <x:c r="I798" s="74"/>
      <x:c r="J798" s="74"/>
      <x:c r="K798" s="74"/>
      <x:c r="L798" s="91"/>
      <x:c r="M798" s="91"/>
      <x:c r="N798" s="91"/>
      <x:c r="O798" s="91"/>
      <x:c r="P798" s="91"/>
      <x:c r="Q798" s="85"/>
      <x:c r="S798" s="86"/>
      <x:c r="T798" s="32"/>
    </x:row>
    <x:row r="799">
      <x:c r="A799" s="87"/>
      <x:c r="B799" s="88"/>
      <x:c r="D799" s="32"/>
      <x:c r="G799" s="74"/>
      <x:c r="H799" s="74"/>
      <x:c r="I799" s="74"/>
      <x:c r="J799" s="74"/>
      <x:c r="K799" s="74"/>
      <x:c r="L799" s="91"/>
      <x:c r="M799" s="91"/>
      <x:c r="N799" s="91"/>
      <x:c r="O799" s="91"/>
      <x:c r="P799" s="91"/>
      <x:c r="Q799" s="85"/>
      <x:c r="S799" s="86"/>
      <x:c r="T799" s="32"/>
    </x:row>
    <x:row r="800">
      <x:c r="A800" s="87"/>
      <x:c r="B800" s="88"/>
      <x:c r="D800" s="32"/>
      <x:c r="G800" s="74"/>
      <x:c r="H800" s="74"/>
      <x:c r="I800" s="74"/>
      <x:c r="J800" s="74"/>
      <x:c r="K800" s="74"/>
      <x:c r="L800" s="91"/>
      <x:c r="M800" s="91"/>
      <x:c r="N800" s="91"/>
      <x:c r="O800" s="91"/>
      <x:c r="P800" s="91"/>
      <x:c r="Q800" s="85"/>
      <x:c r="S800" s="86"/>
      <x:c r="T800" s="32"/>
    </x:row>
    <x:row r="801">
      <x:c r="A801" s="87"/>
      <x:c r="B801" s="88"/>
      <x:c r="D801" s="32"/>
      <x:c r="G801" s="74"/>
      <x:c r="H801" s="74"/>
      <x:c r="I801" s="74"/>
      <x:c r="J801" s="74"/>
      <x:c r="K801" s="74"/>
      <x:c r="L801" s="91"/>
      <x:c r="M801" s="91"/>
      <x:c r="N801" s="91"/>
      <x:c r="O801" s="91"/>
      <x:c r="P801" s="91"/>
      <x:c r="Q801" s="85"/>
      <x:c r="S801" s="86"/>
      <x:c r="T801" s="32"/>
    </x:row>
    <x:row r="802">
      <x:c r="A802" s="87"/>
      <x:c r="B802" s="88"/>
      <x:c r="D802" s="32"/>
      <x:c r="G802" s="74"/>
      <x:c r="H802" s="74"/>
      <x:c r="I802" s="74"/>
      <x:c r="J802" s="74"/>
      <x:c r="K802" s="74"/>
      <x:c r="L802" s="91"/>
      <x:c r="M802" s="91"/>
      <x:c r="N802" s="91"/>
      <x:c r="O802" s="91"/>
      <x:c r="P802" s="91"/>
      <x:c r="Q802" s="85"/>
      <x:c r="S802" s="86"/>
      <x:c r="T802" s="32"/>
    </x:row>
    <x:row r="803">
      <x:c r="A803" s="87"/>
      <x:c r="B803" s="88"/>
      <x:c r="D803" s="32"/>
      <x:c r="G803" s="74"/>
      <x:c r="H803" s="74"/>
      <x:c r="I803" s="74"/>
      <x:c r="J803" s="74"/>
      <x:c r="K803" s="74"/>
      <x:c r="L803" s="91"/>
      <x:c r="M803" s="91"/>
      <x:c r="N803" s="91"/>
      <x:c r="O803" s="91"/>
      <x:c r="P803" s="91"/>
      <x:c r="Q803" s="85"/>
      <x:c r="S803" s="86"/>
      <x:c r="T803" s="32"/>
    </x:row>
    <x:row r="804">
      <x:c r="A804" s="87"/>
      <x:c r="B804" s="88"/>
      <x:c r="D804" s="32"/>
      <x:c r="G804" s="74"/>
      <x:c r="H804" s="74"/>
      <x:c r="I804" s="74"/>
      <x:c r="J804" s="74"/>
      <x:c r="K804" s="74"/>
      <x:c r="L804" s="91"/>
      <x:c r="M804" s="91"/>
      <x:c r="N804" s="91"/>
      <x:c r="O804" s="91"/>
      <x:c r="P804" s="91"/>
      <x:c r="Q804" s="85"/>
      <x:c r="S804" s="86"/>
      <x:c r="T804" s="32"/>
    </x:row>
    <x:row r="805">
      <x:c r="A805" s="87"/>
      <x:c r="B805" s="88"/>
      <x:c r="D805" s="32"/>
      <x:c r="G805" s="74"/>
      <x:c r="H805" s="74"/>
      <x:c r="I805" s="74"/>
      <x:c r="J805" s="74"/>
      <x:c r="K805" s="74"/>
      <x:c r="L805" s="91"/>
      <x:c r="M805" s="91"/>
      <x:c r="N805" s="91"/>
      <x:c r="O805" s="91"/>
      <x:c r="P805" s="91"/>
      <x:c r="Q805" s="85"/>
      <x:c r="S805" s="86"/>
      <x:c r="T805" s="32"/>
    </x:row>
    <x:row r="806">
      <x:c r="A806" s="87"/>
      <x:c r="B806" s="88"/>
      <x:c r="D806" s="32"/>
      <x:c r="G806" s="74"/>
      <x:c r="H806" s="74"/>
      <x:c r="I806" s="74"/>
      <x:c r="J806" s="74"/>
      <x:c r="K806" s="74"/>
      <x:c r="L806" s="91"/>
      <x:c r="M806" s="91"/>
      <x:c r="N806" s="91"/>
      <x:c r="O806" s="91"/>
      <x:c r="P806" s="91"/>
      <x:c r="Q806" s="85"/>
      <x:c r="S806" s="86"/>
      <x:c r="T806" s="32"/>
    </x:row>
    <x:row r="807">
      <x:c r="A807" s="87"/>
      <x:c r="B807" s="88"/>
      <x:c r="D807" s="32"/>
      <x:c r="G807" s="74"/>
      <x:c r="H807" s="74"/>
      <x:c r="I807" s="74"/>
      <x:c r="J807" s="74"/>
      <x:c r="K807" s="74"/>
      <x:c r="L807" s="91"/>
      <x:c r="M807" s="91"/>
      <x:c r="N807" s="91"/>
      <x:c r="O807" s="91"/>
      <x:c r="P807" s="91"/>
      <x:c r="Q807" s="85"/>
      <x:c r="S807" s="86"/>
      <x:c r="T807" s="32"/>
    </x:row>
    <x:row r="808">
      <x:c r="A808" s="87"/>
      <x:c r="B808" s="88"/>
      <x:c r="D808" s="32"/>
      <x:c r="G808" s="74"/>
      <x:c r="H808" s="74"/>
      <x:c r="I808" s="74"/>
      <x:c r="J808" s="74"/>
      <x:c r="K808" s="74"/>
      <x:c r="L808" s="91"/>
      <x:c r="M808" s="91"/>
      <x:c r="N808" s="91"/>
      <x:c r="O808" s="91"/>
      <x:c r="P808" s="91"/>
      <x:c r="Q808" s="85"/>
      <x:c r="S808" s="86"/>
      <x:c r="T808" s="32"/>
    </x:row>
    <x:row r="809">
      <x:c r="A809" s="87"/>
      <x:c r="B809" s="88"/>
      <x:c r="D809" s="32"/>
      <x:c r="G809" s="74"/>
      <x:c r="H809" s="74"/>
      <x:c r="I809" s="74"/>
      <x:c r="J809" s="74"/>
      <x:c r="K809" s="74"/>
      <x:c r="L809" s="91"/>
      <x:c r="M809" s="91"/>
      <x:c r="N809" s="91"/>
      <x:c r="O809" s="91"/>
      <x:c r="P809" s="91"/>
      <x:c r="Q809" s="85"/>
      <x:c r="S809" s="86"/>
      <x:c r="T809" s="32"/>
    </x:row>
    <x:row r="810">
      <x:c r="A810" s="87"/>
      <x:c r="B810" s="88"/>
      <x:c r="D810" s="32"/>
      <x:c r="G810" s="74"/>
      <x:c r="H810" s="74"/>
      <x:c r="I810" s="74"/>
      <x:c r="J810" s="74"/>
      <x:c r="K810" s="74"/>
      <x:c r="L810" s="91"/>
      <x:c r="M810" s="91"/>
      <x:c r="N810" s="91"/>
      <x:c r="O810" s="91"/>
      <x:c r="P810" s="91"/>
      <x:c r="Q810" s="85"/>
      <x:c r="S810" s="86"/>
      <x:c r="T810" s="32"/>
    </x:row>
    <x:row r="811">
      <x:c r="A811" s="87"/>
      <x:c r="B811" s="88"/>
      <x:c r="D811" s="32"/>
      <x:c r="G811" s="74"/>
      <x:c r="H811" s="74"/>
      <x:c r="I811" s="74"/>
      <x:c r="J811" s="74"/>
      <x:c r="K811" s="74"/>
      <x:c r="L811" s="91"/>
      <x:c r="M811" s="91"/>
      <x:c r="N811" s="91"/>
      <x:c r="O811" s="91"/>
      <x:c r="P811" s="91"/>
      <x:c r="Q811" s="85"/>
      <x:c r="S811" s="86"/>
      <x:c r="T811" s="32"/>
    </x:row>
    <x:row r="812">
      <x:c r="A812" s="87"/>
      <x:c r="B812" s="88"/>
      <x:c r="D812" s="32"/>
      <x:c r="G812" s="74"/>
      <x:c r="H812" s="74"/>
      <x:c r="I812" s="74"/>
      <x:c r="J812" s="74"/>
      <x:c r="K812" s="74"/>
      <x:c r="L812" s="91"/>
      <x:c r="M812" s="91"/>
      <x:c r="N812" s="91"/>
      <x:c r="O812" s="91"/>
      <x:c r="P812" s="91"/>
      <x:c r="Q812" s="85"/>
      <x:c r="S812" s="86"/>
      <x:c r="T812" s="32"/>
    </x:row>
    <x:row r="813">
      <x:c r="A813" s="87"/>
      <x:c r="B813" s="88"/>
      <x:c r="D813" s="32"/>
      <x:c r="G813" s="74"/>
      <x:c r="H813" s="74"/>
      <x:c r="I813" s="74"/>
      <x:c r="J813" s="74"/>
      <x:c r="K813" s="74"/>
      <x:c r="L813" s="91"/>
      <x:c r="M813" s="91"/>
      <x:c r="N813" s="91"/>
      <x:c r="O813" s="91"/>
      <x:c r="P813" s="91"/>
      <x:c r="Q813" s="85"/>
      <x:c r="S813" s="86"/>
      <x:c r="T813" s="32"/>
    </x:row>
    <x:row r="814">
      <x:c r="A814" s="87"/>
      <x:c r="B814" s="88"/>
      <x:c r="D814" s="32"/>
      <x:c r="G814" s="74"/>
      <x:c r="H814" s="74"/>
      <x:c r="I814" s="74"/>
      <x:c r="J814" s="74"/>
      <x:c r="K814" s="74"/>
      <x:c r="L814" s="91"/>
      <x:c r="M814" s="91"/>
      <x:c r="N814" s="91"/>
      <x:c r="O814" s="91"/>
      <x:c r="P814" s="91"/>
      <x:c r="Q814" s="85"/>
      <x:c r="S814" s="86"/>
      <x:c r="T814" s="32"/>
    </x:row>
    <x:row r="815">
      <x:c r="A815" s="87"/>
      <x:c r="B815" s="88"/>
      <x:c r="D815" s="32"/>
      <x:c r="G815" s="74"/>
      <x:c r="H815" s="74"/>
      <x:c r="I815" s="74"/>
      <x:c r="J815" s="74"/>
      <x:c r="K815" s="74"/>
      <x:c r="L815" s="91"/>
      <x:c r="M815" s="91"/>
      <x:c r="N815" s="91"/>
      <x:c r="O815" s="91"/>
      <x:c r="P815" s="91"/>
      <x:c r="Q815" s="85"/>
      <x:c r="S815" s="86"/>
      <x:c r="T815" s="32"/>
    </x:row>
    <x:row r="816">
      <x:c r="A816" s="87"/>
      <x:c r="B816" s="88"/>
      <x:c r="D816" s="32"/>
      <x:c r="G816" s="74"/>
      <x:c r="H816" s="74"/>
      <x:c r="I816" s="74"/>
      <x:c r="J816" s="74"/>
      <x:c r="K816" s="74"/>
      <x:c r="L816" s="91"/>
      <x:c r="M816" s="91"/>
      <x:c r="N816" s="91"/>
      <x:c r="O816" s="91"/>
      <x:c r="P816" s="91"/>
      <x:c r="Q816" s="85"/>
      <x:c r="S816" s="86"/>
      <x:c r="T816" s="32"/>
    </x:row>
    <x:row r="817">
      <x:c r="A817" s="87"/>
      <x:c r="B817" s="88"/>
      <x:c r="D817" s="32"/>
      <x:c r="G817" s="74"/>
      <x:c r="H817" s="74"/>
      <x:c r="I817" s="74"/>
      <x:c r="J817" s="74"/>
      <x:c r="K817" s="74"/>
      <x:c r="L817" s="91"/>
      <x:c r="M817" s="91"/>
      <x:c r="N817" s="91"/>
      <x:c r="O817" s="91"/>
      <x:c r="P817" s="91"/>
      <x:c r="Q817" s="85"/>
      <x:c r="S817" s="86"/>
      <x:c r="T817" s="32"/>
    </x:row>
    <x:row r="818">
      <x:c r="A818" s="87"/>
      <x:c r="B818" s="88"/>
      <x:c r="D818" s="32"/>
      <x:c r="G818" s="74"/>
      <x:c r="H818" s="74"/>
      <x:c r="I818" s="74"/>
      <x:c r="J818" s="74"/>
      <x:c r="K818" s="74"/>
      <x:c r="L818" s="91"/>
      <x:c r="M818" s="91"/>
      <x:c r="N818" s="91"/>
      <x:c r="O818" s="91"/>
      <x:c r="P818" s="91"/>
      <x:c r="Q818" s="85"/>
      <x:c r="S818" s="86"/>
      <x:c r="T818" s="32"/>
    </x:row>
    <x:row r="819">
      <x:c r="A819" s="87"/>
      <x:c r="B819" s="88"/>
      <x:c r="D819" s="32"/>
      <x:c r="G819" s="74"/>
      <x:c r="H819" s="74"/>
      <x:c r="I819" s="74"/>
      <x:c r="J819" s="74"/>
      <x:c r="K819" s="74"/>
      <x:c r="L819" s="91"/>
      <x:c r="M819" s="91"/>
      <x:c r="N819" s="91"/>
      <x:c r="O819" s="91"/>
      <x:c r="P819" s="91"/>
      <x:c r="Q819" s="85"/>
      <x:c r="S819" s="86"/>
      <x:c r="T819" s="32"/>
    </x:row>
    <x:row r="820">
      <x:c r="A820" s="87"/>
      <x:c r="B820" s="88"/>
      <x:c r="D820" s="32"/>
      <x:c r="G820" s="74"/>
      <x:c r="H820" s="74"/>
      <x:c r="I820" s="74"/>
      <x:c r="J820" s="74"/>
      <x:c r="K820" s="74"/>
      <x:c r="L820" s="91"/>
      <x:c r="M820" s="91"/>
      <x:c r="N820" s="91"/>
      <x:c r="O820" s="91"/>
      <x:c r="P820" s="91"/>
      <x:c r="Q820" s="85"/>
      <x:c r="S820" s="86"/>
      <x:c r="T820" s="32"/>
    </x:row>
    <x:row r="821">
      <x:c r="A821" s="87"/>
      <x:c r="B821" s="88"/>
      <x:c r="D821" s="32"/>
      <x:c r="G821" s="74"/>
      <x:c r="H821" s="74"/>
      <x:c r="I821" s="74"/>
      <x:c r="J821" s="74"/>
      <x:c r="K821" s="74"/>
      <x:c r="L821" s="91"/>
      <x:c r="M821" s="91"/>
      <x:c r="N821" s="91"/>
      <x:c r="O821" s="91"/>
      <x:c r="P821" s="91"/>
      <x:c r="Q821" s="85"/>
      <x:c r="S821" s="86"/>
      <x:c r="T821" s="32"/>
    </x:row>
    <x:row r="822">
      <x:c r="A822" s="87"/>
      <x:c r="B822" s="88"/>
      <x:c r="D822" s="32"/>
      <x:c r="G822" s="74"/>
      <x:c r="H822" s="74"/>
      <x:c r="I822" s="74"/>
      <x:c r="J822" s="74"/>
      <x:c r="K822" s="74"/>
      <x:c r="L822" s="91"/>
      <x:c r="M822" s="91"/>
      <x:c r="N822" s="91"/>
      <x:c r="O822" s="91"/>
      <x:c r="P822" s="91"/>
      <x:c r="Q822" s="85"/>
      <x:c r="S822" s="86"/>
      <x:c r="T822" s="32"/>
    </x:row>
    <x:row r="823">
      <x:c r="A823" s="87"/>
      <x:c r="B823" s="88"/>
      <x:c r="D823" s="32"/>
      <x:c r="G823" s="74"/>
      <x:c r="H823" s="74"/>
      <x:c r="I823" s="74"/>
      <x:c r="J823" s="74"/>
      <x:c r="K823" s="74"/>
      <x:c r="L823" s="91"/>
      <x:c r="M823" s="91"/>
      <x:c r="N823" s="91"/>
      <x:c r="O823" s="91"/>
      <x:c r="P823" s="91"/>
      <x:c r="Q823" s="85"/>
      <x:c r="S823" s="86"/>
      <x:c r="T823" s="32"/>
    </x:row>
    <x:row r="824">
      <x:c r="A824" s="87"/>
      <x:c r="B824" s="88"/>
      <x:c r="D824" s="32"/>
      <x:c r="G824" s="74"/>
      <x:c r="H824" s="74"/>
      <x:c r="I824" s="74"/>
      <x:c r="J824" s="74"/>
      <x:c r="K824" s="74"/>
      <x:c r="L824" s="91"/>
      <x:c r="M824" s="91"/>
      <x:c r="N824" s="91"/>
      <x:c r="O824" s="91"/>
      <x:c r="P824" s="91"/>
      <x:c r="Q824" s="85"/>
      <x:c r="S824" s="86"/>
      <x:c r="T824" s="32"/>
    </x:row>
    <x:row r="825">
      <x:c r="A825" s="87"/>
      <x:c r="B825" s="88"/>
      <x:c r="D825" s="32"/>
      <x:c r="G825" s="74"/>
      <x:c r="H825" s="74"/>
      <x:c r="I825" s="74"/>
      <x:c r="J825" s="74"/>
      <x:c r="K825" s="74"/>
      <x:c r="L825" s="91"/>
      <x:c r="M825" s="91"/>
      <x:c r="N825" s="91"/>
      <x:c r="O825" s="91"/>
      <x:c r="P825" s="91"/>
      <x:c r="Q825" s="85"/>
      <x:c r="S825" s="86"/>
      <x:c r="T825" s="32"/>
    </x:row>
    <x:row r="826">
      <x:c r="A826" s="87"/>
      <x:c r="B826" s="88"/>
      <x:c r="D826" s="32"/>
      <x:c r="G826" s="74"/>
      <x:c r="H826" s="74"/>
      <x:c r="I826" s="74"/>
      <x:c r="J826" s="74"/>
      <x:c r="K826" s="74"/>
      <x:c r="L826" s="91"/>
      <x:c r="M826" s="91"/>
      <x:c r="N826" s="91"/>
      <x:c r="O826" s="91"/>
      <x:c r="P826" s="91"/>
      <x:c r="Q826" s="85"/>
      <x:c r="S826" s="86"/>
      <x:c r="T826" s="32"/>
    </x:row>
    <x:row r="827">
      <x:c r="A827" s="87"/>
      <x:c r="B827" s="88"/>
      <x:c r="D827" s="32"/>
      <x:c r="G827" s="74"/>
      <x:c r="H827" s="74"/>
      <x:c r="I827" s="74"/>
      <x:c r="J827" s="74"/>
      <x:c r="K827" s="74"/>
      <x:c r="L827" s="91"/>
      <x:c r="M827" s="91"/>
      <x:c r="N827" s="91"/>
      <x:c r="O827" s="91"/>
      <x:c r="P827" s="91"/>
      <x:c r="Q827" s="85"/>
      <x:c r="S827" s="86"/>
      <x:c r="T827" s="32"/>
    </x:row>
    <x:row r="828">
      <x:c r="A828" s="87"/>
      <x:c r="B828" s="88"/>
      <x:c r="D828" s="32"/>
      <x:c r="G828" s="74"/>
      <x:c r="H828" s="74"/>
      <x:c r="I828" s="74"/>
      <x:c r="J828" s="74"/>
      <x:c r="K828" s="74"/>
      <x:c r="L828" s="91"/>
      <x:c r="M828" s="91"/>
      <x:c r="N828" s="91"/>
      <x:c r="O828" s="91"/>
      <x:c r="P828" s="91"/>
      <x:c r="Q828" s="85"/>
      <x:c r="S828" s="86"/>
      <x:c r="T828" s="32"/>
    </x:row>
    <x:row r="829">
      <x:c r="A829" s="87"/>
      <x:c r="B829" s="88"/>
      <x:c r="D829" s="32"/>
      <x:c r="G829" s="74"/>
      <x:c r="H829" s="74"/>
      <x:c r="I829" s="74"/>
      <x:c r="J829" s="74"/>
      <x:c r="K829" s="74"/>
      <x:c r="L829" s="91"/>
      <x:c r="M829" s="91"/>
      <x:c r="N829" s="91"/>
      <x:c r="O829" s="91"/>
      <x:c r="P829" s="91"/>
      <x:c r="Q829" s="85"/>
      <x:c r="S829" s="86"/>
      <x:c r="T829" s="32"/>
    </x:row>
    <x:row r="830">
      <x:c r="A830" s="87"/>
      <x:c r="B830" s="88"/>
      <x:c r="D830" s="32"/>
      <x:c r="G830" s="74"/>
      <x:c r="H830" s="74"/>
      <x:c r="I830" s="74"/>
      <x:c r="J830" s="74"/>
      <x:c r="K830" s="74"/>
      <x:c r="L830" s="91"/>
      <x:c r="M830" s="91"/>
      <x:c r="N830" s="91"/>
      <x:c r="O830" s="91"/>
      <x:c r="P830" s="91"/>
      <x:c r="Q830" s="85"/>
      <x:c r="S830" s="86"/>
      <x:c r="T830" s="32"/>
    </x:row>
    <x:row r="831">
      <x:c r="A831" s="87"/>
      <x:c r="B831" s="88"/>
      <x:c r="D831" s="32"/>
      <x:c r="G831" s="74"/>
      <x:c r="H831" s="74"/>
      <x:c r="I831" s="74"/>
      <x:c r="J831" s="74"/>
      <x:c r="K831" s="74"/>
      <x:c r="L831" s="91"/>
      <x:c r="M831" s="91"/>
      <x:c r="N831" s="91"/>
      <x:c r="O831" s="91"/>
      <x:c r="P831" s="91"/>
      <x:c r="Q831" s="85"/>
      <x:c r="S831" s="86"/>
      <x:c r="T831" s="32"/>
    </x:row>
    <x:row r="832">
      <x:c r="A832" s="87"/>
      <x:c r="B832" s="88"/>
      <x:c r="D832" s="32"/>
      <x:c r="G832" s="74"/>
      <x:c r="H832" s="74"/>
      <x:c r="I832" s="74"/>
      <x:c r="J832" s="74"/>
      <x:c r="K832" s="74"/>
      <x:c r="L832" s="91"/>
      <x:c r="M832" s="91"/>
      <x:c r="N832" s="91"/>
      <x:c r="O832" s="91"/>
      <x:c r="P832" s="91"/>
      <x:c r="Q832" s="85"/>
      <x:c r="S832" s="86"/>
      <x:c r="T832" s="32"/>
    </x:row>
    <x:row r="833">
      <x:c r="A833" s="87"/>
      <x:c r="B833" s="88"/>
      <x:c r="D833" s="32"/>
      <x:c r="G833" s="74"/>
      <x:c r="H833" s="74"/>
      <x:c r="I833" s="74"/>
      <x:c r="J833" s="74"/>
      <x:c r="K833" s="74"/>
      <x:c r="L833" s="91"/>
      <x:c r="M833" s="91"/>
      <x:c r="N833" s="91"/>
      <x:c r="O833" s="91"/>
      <x:c r="P833" s="91"/>
      <x:c r="Q833" s="85"/>
      <x:c r="S833" s="86"/>
      <x:c r="T833" s="32"/>
    </x:row>
    <x:row r="834">
      <x:c r="A834" s="87"/>
      <x:c r="B834" s="88"/>
      <x:c r="D834" s="32"/>
      <x:c r="G834" s="74"/>
      <x:c r="H834" s="74"/>
      <x:c r="I834" s="74"/>
      <x:c r="J834" s="74"/>
      <x:c r="K834" s="74"/>
      <x:c r="L834" s="91"/>
      <x:c r="M834" s="91"/>
      <x:c r="N834" s="91"/>
      <x:c r="O834" s="91"/>
      <x:c r="P834" s="91"/>
      <x:c r="Q834" s="85"/>
      <x:c r="S834" s="86"/>
      <x:c r="T834" s="32"/>
    </x:row>
    <x:row r="835">
      <x:c r="A835" s="87"/>
      <x:c r="B835" s="88"/>
      <x:c r="D835" s="32"/>
      <x:c r="G835" s="74"/>
      <x:c r="H835" s="74"/>
      <x:c r="I835" s="74"/>
      <x:c r="J835" s="74"/>
      <x:c r="K835" s="74"/>
      <x:c r="L835" s="91"/>
      <x:c r="M835" s="91"/>
      <x:c r="N835" s="91"/>
      <x:c r="O835" s="91"/>
      <x:c r="P835" s="91"/>
      <x:c r="Q835" s="85"/>
      <x:c r="S835" s="86"/>
      <x:c r="T835" s="32"/>
    </x:row>
    <x:row r="836">
      <x:c r="A836" s="87"/>
      <x:c r="B836" s="88"/>
      <x:c r="D836" s="32"/>
      <x:c r="G836" s="74"/>
      <x:c r="H836" s="74"/>
      <x:c r="I836" s="74"/>
      <x:c r="J836" s="74"/>
      <x:c r="K836" s="74"/>
      <x:c r="L836" s="91"/>
      <x:c r="M836" s="91"/>
      <x:c r="N836" s="91"/>
      <x:c r="O836" s="91"/>
      <x:c r="P836" s="91"/>
      <x:c r="Q836" s="85"/>
      <x:c r="S836" s="86"/>
      <x:c r="T836" s="32"/>
    </x:row>
    <x:row r="837">
      <x:c r="A837" s="87"/>
      <x:c r="B837" s="88"/>
      <x:c r="D837" s="32"/>
      <x:c r="G837" s="74"/>
      <x:c r="H837" s="74"/>
      <x:c r="I837" s="74"/>
      <x:c r="J837" s="74"/>
      <x:c r="K837" s="74"/>
      <x:c r="L837" s="91"/>
      <x:c r="M837" s="91"/>
      <x:c r="N837" s="91"/>
      <x:c r="O837" s="91"/>
      <x:c r="P837" s="91"/>
      <x:c r="Q837" s="85"/>
      <x:c r="S837" s="86"/>
      <x:c r="T837" s="32"/>
    </x:row>
    <x:row r="838">
      <x:c r="A838" s="87"/>
      <x:c r="B838" s="88"/>
      <x:c r="D838" s="32"/>
      <x:c r="G838" s="74"/>
      <x:c r="H838" s="74"/>
      <x:c r="I838" s="74"/>
      <x:c r="J838" s="74"/>
      <x:c r="K838" s="74"/>
      <x:c r="L838" s="91"/>
      <x:c r="M838" s="91"/>
      <x:c r="N838" s="91"/>
      <x:c r="O838" s="91"/>
      <x:c r="P838" s="91"/>
      <x:c r="Q838" s="85"/>
      <x:c r="S838" s="86"/>
      <x:c r="T838" s="32"/>
    </x:row>
    <x:row r="839">
      <x:c r="A839" s="87"/>
      <x:c r="B839" s="88"/>
      <x:c r="D839" s="32"/>
      <x:c r="G839" s="74"/>
      <x:c r="H839" s="74"/>
      <x:c r="I839" s="74"/>
      <x:c r="J839" s="74"/>
      <x:c r="K839" s="74"/>
      <x:c r="L839" s="91"/>
      <x:c r="M839" s="91"/>
      <x:c r="N839" s="91"/>
      <x:c r="O839" s="91"/>
      <x:c r="P839" s="91"/>
      <x:c r="Q839" s="85"/>
      <x:c r="S839" s="86"/>
      <x:c r="T839" s="32"/>
    </x:row>
    <x:row r="840">
      <x:c r="A840" s="87"/>
      <x:c r="B840" s="88"/>
      <x:c r="D840" s="32"/>
      <x:c r="G840" s="74"/>
      <x:c r="H840" s="74"/>
      <x:c r="I840" s="74"/>
      <x:c r="J840" s="74"/>
      <x:c r="K840" s="74"/>
      <x:c r="L840" s="91"/>
      <x:c r="M840" s="91"/>
      <x:c r="N840" s="91"/>
      <x:c r="O840" s="91"/>
      <x:c r="P840" s="91"/>
      <x:c r="Q840" s="85"/>
      <x:c r="S840" s="86"/>
      <x:c r="T840" s="32"/>
    </x:row>
    <x:row r="841">
      <x:c r="A841" s="87"/>
      <x:c r="B841" s="88"/>
      <x:c r="D841" s="32"/>
      <x:c r="G841" s="74"/>
      <x:c r="H841" s="74"/>
      <x:c r="I841" s="74"/>
      <x:c r="J841" s="74"/>
      <x:c r="K841" s="74"/>
      <x:c r="L841" s="91"/>
      <x:c r="M841" s="91"/>
      <x:c r="N841" s="91"/>
      <x:c r="O841" s="91"/>
      <x:c r="P841" s="91"/>
      <x:c r="Q841" s="85"/>
      <x:c r="S841" s="86"/>
      <x:c r="T841" s="32"/>
    </x:row>
    <x:row r="842">
      <x:c r="A842" s="87"/>
      <x:c r="B842" s="88"/>
      <x:c r="D842" s="32"/>
      <x:c r="G842" s="74"/>
      <x:c r="H842" s="74"/>
      <x:c r="I842" s="74"/>
      <x:c r="J842" s="74"/>
      <x:c r="K842" s="74"/>
      <x:c r="L842" s="91"/>
      <x:c r="M842" s="91"/>
      <x:c r="N842" s="91"/>
      <x:c r="O842" s="91"/>
      <x:c r="P842" s="91"/>
      <x:c r="Q842" s="85"/>
      <x:c r="S842" s="86"/>
      <x:c r="T842" s="32"/>
    </x:row>
    <x:row r="843">
      <x:c r="A843" s="87"/>
      <x:c r="B843" s="88"/>
      <x:c r="D843" s="32"/>
      <x:c r="G843" s="74"/>
      <x:c r="H843" s="74"/>
      <x:c r="I843" s="74"/>
      <x:c r="J843" s="74"/>
      <x:c r="K843" s="74"/>
      <x:c r="L843" s="91"/>
      <x:c r="M843" s="91"/>
      <x:c r="N843" s="91"/>
      <x:c r="O843" s="91"/>
      <x:c r="P843" s="91"/>
      <x:c r="Q843" s="85"/>
      <x:c r="S843" s="86"/>
      <x:c r="T843" s="32"/>
    </x:row>
    <x:row r="844">
      <x:c r="A844" s="87"/>
      <x:c r="B844" s="88"/>
      <x:c r="D844" s="32"/>
      <x:c r="G844" s="74"/>
      <x:c r="H844" s="74"/>
      <x:c r="I844" s="74"/>
      <x:c r="J844" s="74"/>
      <x:c r="K844" s="74"/>
      <x:c r="L844" s="91"/>
      <x:c r="M844" s="91"/>
      <x:c r="N844" s="91"/>
      <x:c r="O844" s="91"/>
      <x:c r="P844" s="91"/>
      <x:c r="Q844" s="85"/>
      <x:c r="S844" s="86"/>
      <x:c r="T844" s="32"/>
    </x:row>
    <x:row r="845">
      <x:c r="A845" s="87"/>
      <x:c r="B845" s="88"/>
      <x:c r="D845" s="32"/>
      <x:c r="G845" s="74"/>
      <x:c r="H845" s="74"/>
      <x:c r="I845" s="74"/>
      <x:c r="J845" s="74"/>
      <x:c r="K845" s="74"/>
      <x:c r="L845" s="91"/>
      <x:c r="M845" s="91"/>
      <x:c r="N845" s="91"/>
      <x:c r="O845" s="91"/>
      <x:c r="P845" s="91"/>
      <x:c r="Q845" s="85"/>
      <x:c r="S845" s="86"/>
      <x:c r="T845" s="32"/>
    </x:row>
    <x:row r="846">
      <x:c r="A846" s="87"/>
      <x:c r="B846" s="88"/>
      <x:c r="D846" s="32"/>
      <x:c r="G846" s="74"/>
      <x:c r="H846" s="74"/>
      <x:c r="I846" s="74"/>
      <x:c r="J846" s="74"/>
      <x:c r="K846" s="74"/>
      <x:c r="L846" s="91"/>
      <x:c r="M846" s="91"/>
      <x:c r="N846" s="91"/>
      <x:c r="O846" s="91"/>
      <x:c r="P846" s="91"/>
      <x:c r="Q846" s="85"/>
      <x:c r="S846" s="86"/>
      <x:c r="T846" s="32"/>
    </x:row>
    <x:row r="847">
      <x:c r="A847" s="87"/>
      <x:c r="B847" s="88"/>
      <x:c r="D847" s="32"/>
      <x:c r="G847" s="74"/>
      <x:c r="H847" s="74"/>
      <x:c r="I847" s="74"/>
      <x:c r="J847" s="74"/>
      <x:c r="K847" s="74"/>
      <x:c r="L847" s="91"/>
      <x:c r="M847" s="91"/>
      <x:c r="N847" s="91"/>
      <x:c r="O847" s="91"/>
      <x:c r="P847" s="91"/>
      <x:c r="Q847" s="85"/>
      <x:c r="S847" s="86"/>
      <x:c r="T847" s="32"/>
    </x:row>
    <x:row r="848">
      <x:c r="A848" s="87"/>
      <x:c r="B848" s="88"/>
      <x:c r="D848" s="32"/>
      <x:c r="G848" s="74"/>
      <x:c r="H848" s="74"/>
      <x:c r="I848" s="74"/>
      <x:c r="J848" s="74"/>
      <x:c r="K848" s="74"/>
      <x:c r="L848" s="91"/>
      <x:c r="M848" s="91"/>
      <x:c r="N848" s="91"/>
      <x:c r="O848" s="91"/>
      <x:c r="P848" s="91"/>
      <x:c r="Q848" s="85"/>
      <x:c r="S848" s="86"/>
      <x:c r="T848" s="32"/>
    </x:row>
    <x:row r="849">
      <x:c r="A849" s="87"/>
      <x:c r="B849" s="88"/>
      <x:c r="D849" s="32"/>
      <x:c r="G849" s="74"/>
      <x:c r="H849" s="74"/>
      <x:c r="I849" s="74"/>
      <x:c r="J849" s="74"/>
      <x:c r="K849" s="74"/>
      <x:c r="L849" s="91"/>
      <x:c r="M849" s="91"/>
      <x:c r="N849" s="91"/>
      <x:c r="O849" s="91"/>
      <x:c r="P849" s="91"/>
      <x:c r="Q849" s="85"/>
      <x:c r="S849" s="86"/>
      <x:c r="T849" s="32"/>
    </x:row>
    <x:row r="850">
      <x:c r="A850" s="87"/>
      <x:c r="B850" s="88"/>
      <x:c r="D850" s="32"/>
      <x:c r="G850" s="74"/>
      <x:c r="H850" s="74"/>
      <x:c r="I850" s="74"/>
      <x:c r="J850" s="74"/>
      <x:c r="K850" s="74"/>
      <x:c r="L850" s="91"/>
      <x:c r="M850" s="91"/>
      <x:c r="N850" s="91"/>
      <x:c r="O850" s="91"/>
      <x:c r="P850" s="91"/>
      <x:c r="Q850" s="85"/>
      <x:c r="S850" s="86"/>
      <x:c r="T850" s="32"/>
    </x:row>
    <x:row r="851">
      <x:c r="A851" s="87"/>
      <x:c r="B851" s="88"/>
      <x:c r="D851" s="32"/>
      <x:c r="G851" s="74"/>
      <x:c r="H851" s="74"/>
      <x:c r="I851" s="74"/>
      <x:c r="J851" s="74"/>
      <x:c r="K851" s="74"/>
      <x:c r="L851" s="91"/>
      <x:c r="M851" s="91"/>
      <x:c r="N851" s="91"/>
      <x:c r="O851" s="91"/>
      <x:c r="P851" s="91"/>
      <x:c r="Q851" s="85"/>
      <x:c r="S851" s="86"/>
      <x:c r="T851" s="32"/>
    </x:row>
    <x:row r="852">
      <x:c r="A852" s="87"/>
      <x:c r="B852" s="88"/>
      <x:c r="D852" s="32"/>
      <x:c r="G852" s="74"/>
      <x:c r="H852" s="74"/>
      <x:c r="I852" s="74"/>
      <x:c r="J852" s="74"/>
      <x:c r="K852" s="74"/>
      <x:c r="L852" s="91"/>
      <x:c r="M852" s="91"/>
      <x:c r="N852" s="91"/>
      <x:c r="O852" s="91"/>
      <x:c r="P852" s="91"/>
      <x:c r="Q852" s="85"/>
      <x:c r="S852" s="86"/>
      <x:c r="T852" s="32"/>
    </x:row>
    <x:row r="853">
      <x:c r="A853" s="87"/>
      <x:c r="B853" s="88"/>
      <x:c r="D853" s="32"/>
      <x:c r="G853" s="74"/>
      <x:c r="H853" s="74"/>
      <x:c r="I853" s="74"/>
      <x:c r="J853" s="74"/>
      <x:c r="K853" s="74"/>
      <x:c r="L853" s="91"/>
      <x:c r="M853" s="91"/>
      <x:c r="N853" s="91"/>
      <x:c r="O853" s="91"/>
      <x:c r="P853" s="91"/>
      <x:c r="Q853" s="85"/>
      <x:c r="S853" s="86"/>
      <x:c r="T853" s="32"/>
    </x:row>
    <x:row r="854">
      <x:c r="A854" s="87"/>
      <x:c r="B854" s="88"/>
      <x:c r="D854" s="32"/>
      <x:c r="G854" s="74"/>
      <x:c r="H854" s="74"/>
      <x:c r="I854" s="74"/>
      <x:c r="J854" s="74"/>
      <x:c r="K854" s="74"/>
      <x:c r="L854" s="91"/>
      <x:c r="M854" s="91"/>
      <x:c r="N854" s="91"/>
      <x:c r="O854" s="91"/>
      <x:c r="P854" s="91"/>
      <x:c r="Q854" s="85"/>
      <x:c r="S854" s="86"/>
      <x:c r="T854" s="32"/>
    </x:row>
    <x:row r="855">
      <x:c r="A855" s="87"/>
      <x:c r="B855" s="88"/>
      <x:c r="D855" s="32"/>
      <x:c r="G855" s="74"/>
      <x:c r="H855" s="74"/>
      <x:c r="I855" s="74"/>
      <x:c r="J855" s="74"/>
      <x:c r="K855" s="74"/>
      <x:c r="L855" s="91"/>
      <x:c r="M855" s="91"/>
      <x:c r="N855" s="91"/>
      <x:c r="O855" s="91"/>
      <x:c r="P855" s="91"/>
      <x:c r="Q855" s="85"/>
      <x:c r="S855" s="86"/>
      <x:c r="T855" s="32"/>
    </x:row>
    <x:row r="856">
      <x:c r="A856" s="87"/>
      <x:c r="B856" s="88"/>
      <x:c r="D856" s="32"/>
      <x:c r="G856" s="74"/>
      <x:c r="H856" s="74"/>
      <x:c r="I856" s="74"/>
      <x:c r="J856" s="74"/>
      <x:c r="K856" s="74"/>
      <x:c r="L856" s="91"/>
      <x:c r="M856" s="91"/>
      <x:c r="N856" s="91"/>
      <x:c r="O856" s="91"/>
      <x:c r="P856" s="91"/>
      <x:c r="Q856" s="85"/>
      <x:c r="S856" s="86"/>
      <x:c r="T856" s="32"/>
    </x:row>
    <x:row r="857">
      <x:c r="A857" s="87"/>
      <x:c r="B857" s="88"/>
      <x:c r="D857" s="32"/>
      <x:c r="G857" s="74"/>
      <x:c r="H857" s="74"/>
      <x:c r="I857" s="74"/>
      <x:c r="J857" s="74"/>
      <x:c r="K857" s="74"/>
      <x:c r="L857" s="91"/>
      <x:c r="M857" s="91"/>
      <x:c r="N857" s="91"/>
      <x:c r="O857" s="91"/>
      <x:c r="P857" s="91"/>
      <x:c r="Q857" s="85"/>
      <x:c r="S857" s="86"/>
      <x:c r="T857" s="32"/>
    </x:row>
    <x:row r="858">
      <x:c r="A858" s="87"/>
      <x:c r="B858" s="88"/>
      <x:c r="D858" s="32"/>
      <x:c r="G858" s="74"/>
      <x:c r="H858" s="74"/>
      <x:c r="I858" s="74"/>
      <x:c r="J858" s="74"/>
      <x:c r="K858" s="74"/>
      <x:c r="L858" s="91"/>
      <x:c r="M858" s="91"/>
      <x:c r="N858" s="91"/>
      <x:c r="O858" s="91"/>
      <x:c r="P858" s="91"/>
      <x:c r="Q858" s="85"/>
      <x:c r="S858" s="86"/>
      <x:c r="T858" s="32"/>
    </x:row>
    <x:row r="859">
      <x:c r="A859" s="87"/>
      <x:c r="B859" s="88"/>
      <x:c r="D859" s="32"/>
      <x:c r="G859" s="74"/>
      <x:c r="H859" s="74"/>
      <x:c r="I859" s="74"/>
      <x:c r="J859" s="74"/>
      <x:c r="K859" s="74"/>
      <x:c r="L859" s="91"/>
      <x:c r="M859" s="91"/>
      <x:c r="N859" s="91"/>
      <x:c r="O859" s="91"/>
      <x:c r="P859" s="91"/>
      <x:c r="Q859" s="85"/>
      <x:c r="S859" s="86"/>
      <x:c r="T859" s="32"/>
    </x:row>
    <x:row r="860">
      <x:c r="A860" s="87"/>
      <x:c r="B860" s="88"/>
      <x:c r="D860" s="32"/>
      <x:c r="G860" s="74"/>
      <x:c r="H860" s="74"/>
      <x:c r="I860" s="74"/>
      <x:c r="J860" s="74"/>
      <x:c r="K860" s="74"/>
      <x:c r="L860" s="91"/>
      <x:c r="M860" s="91"/>
      <x:c r="N860" s="91"/>
      <x:c r="O860" s="91"/>
      <x:c r="P860" s="91"/>
      <x:c r="Q860" s="85"/>
      <x:c r="S860" s="86"/>
      <x:c r="T860" s="32"/>
    </x:row>
    <x:row r="861">
      <x:c r="A861" s="87"/>
      <x:c r="B861" s="88"/>
      <x:c r="D861" s="32"/>
      <x:c r="G861" s="74"/>
      <x:c r="H861" s="74"/>
      <x:c r="I861" s="74"/>
      <x:c r="J861" s="74"/>
      <x:c r="K861" s="74"/>
      <x:c r="L861" s="91"/>
      <x:c r="M861" s="91"/>
      <x:c r="N861" s="91"/>
      <x:c r="O861" s="91"/>
      <x:c r="P861" s="91"/>
      <x:c r="Q861" s="85"/>
      <x:c r="S861" s="86"/>
      <x:c r="T861" s="32"/>
    </x:row>
    <x:row r="862">
      <x:c r="A862" s="87"/>
      <x:c r="B862" s="88"/>
      <x:c r="D862" s="32"/>
      <x:c r="G862" s="74"/>
      <x:c r="H862" s="74"/>
      <x:c r="I862" s="74"/>
      <x:c r="J862" s="74"/>
      <x:c r="K862" s="74"/>
      <x:c r="L862" s="91"/>
      <x:c r="M862" s="91"/>
      <x:c r="N862" s="91"/>
      <x:c r="O862" s="91"/>
      <x:c r="P862" s="91"/>
      <x:c r="Q862" s="85"/>
      <x:c r="S862" s="86"/>
      <x:c r="T862" s="32"/>
    </x:row>
    <x:row r="863">
      <x:c r="A863" s="87"/>
      <x:c r="B863" s="88"/>
      <x:c r="D863" s="32"/>
      <x:c r="G863" s="74"/>
      <x:c r="H863" s="74"/>
      <x:c r="I863" s="74"/>
      <x:c r="J863" s="74"/>
      <x:c r="K863" s="74"/>
      <x:c r="L863" s="91"/>
      <x:c r="M863" s="91"/>
      <x:c r="N863" s="91"/>
      <x:c r="O863" s="91"/>
      <x:c r="P863" s="91"/>
      <x:c r="Q863" s="85"/>
      <x:c r="S863" s="86"/>
      <x:c r="T863" s="32"/>
    </x:row>
    <x:row r="864">
      <x:c r="A864" s="87"/>
      <x:c r="B864" s="88"/>
      <x:c r="D864" s="32"/>
      <x:c r="G864" s="74"/>
      <x:c r="H864" s="74"/>
      <x:c r="I864" s="74"/>
      <x:c r="J864" s="74"/>
      <x:c r="K864" s="74"/>
      <x:c r="L864" s="91"/>
      <x:c r="M864" s="91"/>
      <x:c r="N864" s="91"/>
      <x:c r="O864" s="91"/>
      <x:c r="P864" s="91"/>
      <x:c r="Q864" s="85"/>
      <x:c r="S864" s="86"/>
      <x:c r="T864" s="32"/>
    </x:row>
    <x:row r="865">
      <x:c r="A865" s="87"/>
      <x:c r="B865" s="88"/>
      <x:c r="D865" s="32"/>
      <x:c r="G865" s="74"/>
      <x:c r="H865" s="74"/>
      <x:c r="I865" s="74"/>
      <x:c r="J865" s="74"/>
      <x:c r="K865" s="74"/>
      <x:c r="L865" s="91"/>
      <x:c r="M865" s="91"/>
      <x:c r="N865" s="91"/>
      <x:c r="O865" s="91"/>
      <x:c r="P865" s="91"/>
      <x:c r="Q865" s="85"/>
      <x:c r="S865" s="86"/>
      <x:c r="T865" s="32"/>
    </x:row>
    <x:row r="866">
      <x:c r="A866" s="87"/>
      <x:c r="B866" s="88"/>
      <x:c r="D866" s="32"/>
      <x:c r="G866" s="74"/>
      <x:c r="H866" s="74"/>
      <x:c r="I866" s="74"/>
      <x:c r="J866" s="74"/>
      <x:c r="K866" s="74"/>
      <x:c r="L866" s="91"/>
      <x:c r="M866" s="91"/>
      <x:c r="N866" s="91"/>
      <x:c r="O866" s="91"/>
      <x:c r="P866" s="91"/>
      <x:c r="Q866" s="85"/>
      <x:c r="S866" s="86"/>
      <x:c r="T866" s="32"/>
    </x:row>
    <x:row r="867">
      <x:c r="A867" s="87"/>
      <x:c r="B867" s="88"/>
      <x:c r="D867" s="32"/>
      <x:c r="G867" s="74"/>
      <x:c r="H867" s="74"/>
      <x:c r="I867" s="74"/>
      <x:c r="J867" s="74"/>
      <x:c r="K867" s="74"/>
      <x:c r="L867" s="91"/>
      <x:c r="M867" s="91"/>
      <x:c r="N867" s="91"/>
      <x:c r="O867" s="91"/>
      <x:c r="P867" s="91"/>
      <x:c r="Q867" s="85"/>
      <x:c r="S867" s="86"/>
      <x:c r="T867" s="32"/>
    </x:row>
    <x:row r="868">
      <x:c r="A868" s="87"/>
      <x:c r="B868" s="88"/>
      <x:c r="D868" s="32"/>
      <x:c r="G868" s="74"/>
      <x:c r="H868" s="74"/>
      <x:c r="I868" s="74"/>
      <x:c r="J868" s="74"/>
      <x:c r="K868" s="74"/>
      <x:c r="L868" s="91"/>
      <x:c r="M868" s="91"/>
      <x:c r="N868" s="91"/>
      <x:c r="O868" s="91"/>
      <x:c r="P868" s="91"/>
      <x:c r="Q868" s="85"/>
      <x:c r="S868" s="86"/>
      <x:c r="T868" s="32"/>
    </x:row>
    <x:row r="869">
      <x:c r="A869" s="87"/>
      <x:c r="B869" s="88"/>
      <x:c r="D869" s="32"/>
      <x:c r="G869" s="74"/>
      <x:c r="H869" s="74"/>
      <x:c r="I869" s="74"/>
      <x:c r="J869" s="74"/>
      <x:c r="K869" s="74"/>
      <x:c r="L869" s="91"/>
      <x:c r="M869" s="91"/>
      <x:c r="N869" s="91"/>
      <x:c r="O869" s="91"/>
      <x:c r="P869" s="91"/>
      <x:c r="Q869" s="85"/>
      <x:c r="S869" s="86"/>
      <x:c r="T869" s="32"/>
    </x:row>
    <x:row r="870">
      <x:c r="A870" s="87"/>
      <x:c r="B870" s="88"/>
      <x:c r="D870" s="32"/>
      <x:c r="G870" s="74"/>
      <x:c r="H870" s="74"/>
      <x:c r="I870" s="74"/>
      <x:c r="J870" s="74"/>
      <x:c r="K870" s="74"/>
      <x:c r="L870" s="91"/>
      <x:c r="M870" s="91"/>
      <x:c r="N870" s="91"/>
      <x:c r="O870" s="91"/>
      <x:c r="P870" s="91"/>
      <x:c r="Q870" s="85"/>
      <x:c r="S870" s="86"/>
      <x:c r="T870" s="32"/>
    </x:row>
    <x:row r="871">
      <x:c r="A871" s="87"/>
      <x:c r="B871" s="88"/>
      <x:c r="D871" s="32"/>
      <x:c r="G871" s="74"/>
      <x:c r="H871" s="74"/>
      <x:c r="I871" s="74"/>
      <x:c r="J871" s="74"/>
      <x:c r="K871" s="74"/>
      <x:c r="L871" s="91"/>
      <x:c r="M871" s="91"/>
      <x:c r="N871" s="91"/>
      <x:c r="O871" s="91"/>
      <x:c r="P871" s="91"/>
      <x:c r="Q871" s="85"/>
      <x:c r="S871" s="86"/>
      <x:c r="T871" s="32"/>
    </x:row>
    <x:row r="872">
      <x:c r="A872" s="87"/>
      <x:c r="B872" s="88"/>
      <x:c r="D872" s="32"/>
      <x:c r="G872" s="74"/>
      <x:c r="H872" s="74"/>
      <x:c r="I872" s="74"/>
      <x:c r="J872" s="74"/>
      <x:c r="K872" s="74"/>
      <x:c r="L872" s="91"/>
      <x:c r="M872" s="91"/>
      <x:c r="N872" s="91"/>
      <x:c r="O872" s="91"/>
      <x:c r="P872" s="91"/>
      <x:c r="Q872" s="85"/>
      <x:c r="S872" s="86"/>
      <x:c r="T872" s="32"/>
    </x:row>
    <x:row r="873">
      <x:c r="A873" s="87"/>
      <x:c r="B873" s="88"/>
      <x:c r="D873" s="32"/>
      <x:c r="G873" s="74"/>
      <x:c r="H873" s="74"/>
      <x:c r="I873" s="74"/>
      <x:c r="J873" s="74"/>
      <x:c r="K873" s="74"/>
      <x:c r="L873" s="91"/>
      <x:c r="M873" s="91"/>
      <x:c r="N873" s="91"/>
      <x:c r="O873" s="91"/>
      <x:c r="P873" s="91"/>
      <x:c r="Q873" s="85"/>
      <x:c r="S873" s="86"/>
      <x:c r="T873" s="32"/>
    </x:row>
    <x:row r="874">
      <x:c r="A874" s="87"/>
      <x:c r="B874" s="88"/>
      <x:c r="D874" s="32"/>
      <x:c r="G874" s="74"/>
      <x:c r="H874" s="74"/>
      <x:c r="I874" s="74"/>
      <x:c r="J874" s="74"/>
      <x:c r="K874" s="74"/>
      <x:c r="L874" s="91"/>
      <x:c r="M874" s="91"/>
      <x:c r="N874" s="91"/>
      <x:c r="O874" s="91"/>
      <x:c r="P874" s="91"/>
      <x:c r="Q874" s="85"/>
      <x:c r="S874" s="86"/>
      <x:c r="T874" s="32"/>
    </x:row>
    <x:row r="875">
      <x:c r="A875" s="87"/>
      <x:c r="B875" s="88"/>
      <x:c r="D875" s="32"/>
      <x:c r="G875" s="74"/>
      <x:c r="H875" s="74"/>
      <x:c r="I875" s="74"/>
      <x:c r="J875" s="74"/>
      <x:c r="K875" s="74"/>
      <x:c r="L875" s="91"/>
      <x:c r="M875" s="91"/>
      <x:c r="N875" s="91"/>
      <x:c r="O875" s="91"/>
      <x:c r="P875" s="91"/>
      <x:c r="Q875" s="85"/>
      <x:c r="S875" s="86"/>
      <x:c r="T875" s="32"/>
    </x:row>
    <x:row r="876">
      <x:c r="A876" s="87"/>
      <x:c r="B876" s="88"/>
      <x:c r="D876" s="32"/>
      <x:c r="G876" s="74"/>
      <x:c r="H876" s="74"/>
      <x:c r="I876" s="74"/>
      <x:c r="J876" s="74"/>
      <x:c r="K876" s="74"/>
      <x:c r="L876" s="91"/>
      <x:c r="M876" s="91"/>
      <x:c r="N876" s="91"/>
      <x:c r="O876" s="91"/>
      <x:c r="P876" s="91"/>
      <x:c r="Q876" s="85"/>
      <x:c r="S876" s="86"/>
      <x:c r="T876" s="32"/>
    </x:row>
    <x:row r="877">
      <x:c r="A877" s="87"/>
      <x:c r="B877" s="88"/>
      <x:c r="D877" s="32"/>
      <x:c r="G877" s="74"/>
      <x:c r="H877" s="74"/>
      <x:c r="I877" s="74"/>
      <x:c r="J877" s="74"/>
      <x:c r="K877" s="74"/>
      <x:c r="L877" s="91"/>
      <x:c r="M877" s="91"/>
      <x:c r="N877" s="91"/>
      <x:c r="O877" s="91"/>
      <x:c r="P877" s="91"/>
      <x:c r="Q877" s="85"/>
      <x:c r="S877" s="86"/>
      <x:c r="T877" s="32"/>
    </x:row>
    <x:row r="878">
      <x:c r="A878" s="87"/>
      <x:c r="B878" s="88"/>
      <x:c r="D878" s="32"/>
      <x:c r="G878" s="74"/>
      <x:c r="H878" s="74"/>
      <x:c r="I878" s="74"/>
      <x:c r="J878" s="74"/>
      <x:c r="K878" s="74"/>
      <x:c r="L878" s="91"/>
      <x:c r="M878" s="91"/>
      <x:c r="N878" s="91"/>
      <x:c r="O878" s="91"/>
      <x:c r="P878" s="91"/>
      <x:c r="Q878" s="85"/>
      <x:c r="S878" s="86"/>
      <x:c r="T878" s="32"/>
    </x:row>
    <x:row r="879">
      <x:c r="A879" s="87"/>
      <x:c r="B879" s="88"/>
      <x:c r="D879" s="32"/>
      <x:c r="G879" s="74"/>
      <x:c r="H879" s="74"/>
      <x:c r="I879" s="74"/>
      <x:c r="J879" s="74"/>
      <x:c r="K879" s="74"/>
      <x:c r="L879" s="91"/>
      <x:c r="M879" s="91"/>
      <x:c r="N879" s="91"/>
      <x:c r="O879" s="91"/>
      <x:c r="P879" s="91"/>
      <x:c r="Q879" s="85"/>
      <x:c r="S879" s="86"/>
      <x:c r="T879" s="32"/>
    </x:row>
    <x:row r="880">
      <x:c r="A880" s="87"/>
      <x:c r="B880" s="88"/>
      <x:c r="D880" s="32"/>
      <x:c r="G880" s="74"/>
      <x:c r="H880" s="74"/>
      <x:c r="I880" s="74"/>
      <x:c r="J880" s="74"/>
      <x:c r="K880" s="74"/>
      <x:c r="L880" s="91"/>
      <x:c r="M880" s="91"/>
      <x:c r="N880" s="91"/>
      <x:c r="O880" s="91"/>
      <x:c r="P880" s="91"/>
      <x:c r="Q880" s="85"/>
      <x:c r="S880" s="86"/>
      <x:c r="T880" s="32"/>
    </x:row>
    <x:row r="881">
      <x:c r="A881" s="87"/>
      <x:c r="B881" s="88"/>
      <x:c r="D881" s="32"/>
      <x:c r="G881" s="74"/>
      <x:c r="H881" s="74"/>
      <x:c r="I881" s="74"/>
      <x:c r="J881" s="74"/>
      <x:c r="K881" s="74"/>
      <x:c r="L881" s="91"/>
      <x:c r="M881" s="91"/>
      <x:c r="N881" s="91"/>
      <x:c r="O881" s="91"/>
      <x:c r="P881" s="91"/>
      <x:c r="Q881" s="85"/>
      <x:c r="S881" s="86"/>
      <x:c r="T881" s="32"/>
    </x:row>
    <x:row r="882">
      <x:c r="A882" s="87"/>
      <x:c r="B882" s="88"/>
      <x:c r="D882" s="32"/>
      <x:c r="G882" s="74"/>
      <x:c r="H882" s="74"/>
      <x:c r="I882" s="74"/>
      <x:c r="J882" s="74"/>
      <x:c r="K882" s="74"/>
      <x:c r="L882" s="91"/>
      <x:c r="M882" s="91"/>
      <x:c r="N882" s="91"/>
      <x:c r="O882" s="91"/>
      <x:c r="P882" s="91"/>
      <x:c r="Q882" s="85"/>
      <x:c r="S882" s="86"/>
      <x:c r="T882" s="32"/>
    </x:row>
    <x:row r="883">
      <x:c r="A883" s="87"/>
      <x:c r="B883" s="88"/>
      <x:c r="D883" s="32"/>
      <x:c r="G883" s="74"/>
      <x:c r="H883" s="74"/>
      <x:c r="I883" s="74"/>
      <x:c r="J883" s="74"/>
      <x:c r="K883" s="74"/>
      <x:c r="L883" s="91"/>
      <x:c r="M883" s="91"/>
      <x:c r="N883" s="91"/>
      <x:c r="O883" s="91"/>
      <x:c r="P883" s="91"/>
      <x:c r="Q883" s="85"/>
      <x:c r="S883" s="86"/>
      <x:c r="T883" s="32"/>
    </x:row>
    <x:row r="884">
      <x:c r="A884" s="87"/>
      <x:c r="B884" s="88"/>
      <x:c r="D884" s="32"/>
      <x:c r="G884" s="74"/>
      <x:c r="H884" s="74"/>
      <x:c r="I884" s="74"/>
      <x:c r="J884" s="74"/>
      <x:c r="K884" s="74"/>
      <x:c r="L884" s="91"/>
      <x:c r="M884" s="91"/>
      <x:c r="N884" s="91"/>
      <x:c r="O884" s="91"/>
      <x:c r="P884" s="91"/>
      <x:c r="Q884" s="85"/>
      <x:c r="S884" s="86"/>
      <x:c r="T884" s="32"/>
    </x:row>
    <x:row r="885">
      <x:c r="A885" s="87"/>
      <x:c r="B885" s="88"/>
      <x:c r="D885" s="32"/>
      <x:c r="G885" s="74"/>
      <x:c r="H885" s="74"/>
      <x:c r="I885" s="74"/>
      <x:c r="J885" s="74"/>
      <x:c r="K885" s="74"/>
      <x:c r="L885" s="91"/>
      <x:c r="M885" s="91"/>
      <x:c r="N885" s="91"/>
      <x:c r="O885" s="91"/>
      <x:c r="P885" s="91"/>
      <x:c r="Q885" s="85"/>
      <x:c r="S885" s="86"/>
      <x:c r="T885" s="32"/>
    </x:row>
    <x:row r="886">
      <x:c r="A886" s="87"/>
      <x:c r="B886" s="88"/>
      <x:c r="D886" s="32"/>
      <x:c r="G886" s="74"/>
      <x:c r="H886" s="74"/>
      <x:c r="I886" s="74"/>
      <x:c r="J886" s="74"/>
      <x:c r="K886" s="74"/>
      <x:c r="L886" s="91"/>
      <x:c r="M886" s="91"/>
      <x:c r="N886" s="91"/>
      <x:c r="O886" s="91"/>
      <x:c r="P886" s="91"/>
      <x:c r="Q886" s="85"/>
      <x:c r="S886" s="86"/>
      <x:c r="T886" s="32"/>
    </x:row>
    <x:row r="887">
      <x:c r="A887" s="87"/>
      <x:c r="B887" s="88"/>
      <x:c r="D887" s="32"/>
      <x:c r="G887" s="74"/>
      <x:c r="H887" s="74"/>
      <x:c r="I887" s="74"/>
      <x:c r="J887" s="74"/>
      <x:c r="K887" s="74"/>
      <x:c r="L887" s="91"/>
      <x:c r="M887" s="91"/>
      <x:c r="N887" s="91"/>
      <x:c r="O887" s="91"/>
      <x:c r="P887" s="91"/>
      <x:c r="Q887" s="85"/>
      <x:c r="S887" s="86"/>
      <x:c r="T887" s="32"/>
    </x:row>
    <x:row r="888">
      <x:c r="A888" s="87"/>
      <x:c r="B888" s="88"/>
      <x:c r="D888" s="32"/>
      <x:c r="G888" s="74"/>
      <x:c r="H888" s="74"/>
      <x:c r="I888" s="74"/>
      <x:c r="J888" s="74"/>
      <x:c r="K888" s="74"/>
      <x:c r="L888" s="91"/>
      <x:c r="M888" s="91"/>
      <x:c r="N888" s="91"/>
      <x:c r="O888" s="91"/>
      <x:c r="P888" s="91"/>
      <x:c r="Q888" s="85"/>
      <x:c r="S888" s="86"/>
      <x:c r="T888" s="32"/>
    </x:row>
    <x:row r="889">
      <x:c r="A889" s="87"/>
      <x:c r="B889" s="88"/>
      <x:c r="D889" s="32"/>
      <x:c r="G889" s="74"/>
      <x:c r="H889" s="74"/>
      <x:c r="I889" s="74"/>
      <x:c r="J889" s="74"/>
      <x:c r="K889" s="74"/>
      <x:c r="L889" s="91"/>
      <x:c r="M889" s="91"/>
      <x:c r="N889" s="91"/>
      <x:c r="O889" s="91"/>
      <x:c r="P889" s="91"/>
      <x:c r="Q889" s="85"/>
      <x:c r="S889" s="86"/>
      <x:c r="T889" s="32"/>
    </x:row>
    <x:row r="890">
      <x:c r="A890" s="87"/>
      <x:c r="B890" s="88"/>
      <x:c r="D890" s="32"/>
      <x:c r="G890" s="74"/>
      <x:c r="H890" s="74"/>
      <x:c r="I890" s="74"/>
      <x:c r="J890" s="74"/>
      <x:c r="K890" s="74"/>
      <x:c r="L890" s="91"/>
      <x:c r="M890" s="91"/>
      <x:c r="N890" s="91"/>
      <x:c r="O890" s="91"/>
      <x:c r="P890" s="91"/>
      <x:c r="Q890" s="85"/>
      <x:c r="S890" s="86"/>
      <x:c r="T890" s="32"/>
    </x:row>
    <x:row r="891">
      <x:c r="A891" s="87"/>
      <x:c r="B891" s="88"/>
      <x:c r="D891" s="32"/>
      <x:c r="G891" s="74"/>
      <x:c r="H891" s="74"/>
      <x:c r="I891" s="74"/>
      <x:c r="J891" s="74"/>
      <x:c r="K891" s="74"/>
      <x:c r="L891" s="91"/>
      <x:c r="M891" s="91"/>
      <x:c r="N891" s="91"/>
      <x:c r="O891" s="91"/>
      <x:c r="P891" s="91"/>
      <x:c r="Q891" s="85"/>
      <x:c r="S891" s="86"/>
      <x:c r="T891" s="32"/>
    </x:row>
    <x:row r="892">
      <x:c r="A892" s="87"/>
      <x:c r="B892" s="88"/>
      <x:c r="D892" s="32"/>
      <x:c r="G892" s="74"/>
      <x:c r="H892" s="74"/>
      <x:c r="I892" s="74"/>
      <x:c r="J892" s="74"/>
      <x:c r="K892" s="74"/>
      <x:c r="L892" s="91"/>
      <x:c r="M892" s="91"/>
      <x:c r="N892" s="91"/>
      <x:c r="O892" s="91"/>
      <x:c r="P892" s="91"/>
      <x:c r="Q892" s="85"/>
      <x:c r="S892" s="86"/>
      <x:c r="T892" s="32"/>
    </x:row>
    <x:row r="893">
      <x:c r="A893" s="87"/>
      <x:c r="B893" s="88"/>
      <x:c r="D893" s="32"/>
      <x:c r="G893" s="74"/>
      <x:c r="H893" s="74"/>
      <x:c r="I893" s="74"/>
      <x:c r="J893" s="74"/>
      <x:c r="K893" s="74"/>
      <x:c r="L893" s="91"/>
      <x:c r="M893" s="91"/>
      <x:c r="N893" s="91"/>
      <x:c r="O893" s="91"/>
      <x:c r="P893" s="91"/>
      <x:c r="Q893" s="85"/>
      <x:c r="S893" s="86"/>
      <x:c r="T893" s="32"/>
    </x:row>
    <x:row r="894">
      <x:c r="A894" s="87"/>
      <x:c r="B894" s="88"/>
      <x:c r="D894" s="32"/>
      <x:c r="G894" s="74"/>
      <x:c r="H894" s="74"/>
      <x:c r="I894" s="74"/>
      <x:c r="J894" s="74"/>
      <x:c r="K894" s="74"/>
      <x:c r="L894" s="91"/>
      <x:c r="M894" s="91"/>
      <x:c r="N894" s="91"/>
      <x:c r="O894" s="91"/>
      <x:c r="P894" s="91"/>
      <x:c r="Q894" s="85"/>
      <x:c r="S894" s="86"/>
      <x:c r="T894" s="32"/>
    </x:row>
    <x:row r="895">
      <x:c r="A895" s="87"/>
      <x:c r="B895" s="88"/>
      <x:c r="D895" s="32"/>
      <x:c r="G895" s="74"/>
      <x:c r="H895" s="74"/>
      <x:c r="I895" s="74"/>
      <x:c r="J895" s="74"/>
      <x:c r="K895" s="74"/>
      <x:c r="L895" s="91"/>
      <x:c r="M895" s="91"/>
      <x:c r="N895" s="91"/>
      <x:c r="O895" s="91"/>
      <x:c r="P895" s="91"/>
      <x:c r="Q895" s="85"/>
      <x:c r="S895" s="86"/>
      <x:c r="T895" s="32"/>
    </x:row>
    <x:row r="896">
      <x:c r="A896" s="87"/>
      <x:c r="B896" s="88"/>
      <x:c r="D896" s="32"/>
      <x:c r="G896" s="74"/>
      <x:c r="H896" s="74"/>
      <x:c r="I896" s="74"/>
      <x:c r="J896" s="74"/>
      <x:c r="K896" s="74"/>
      <x:c r="L896" s="91"/>
      <x:c r="M896" s="91"/>
      <x:c r="N896" s="91"/>
      <x:c r="O896" s="91"/>
      <x:c r="P896" s="91"/>
      <x:c r="Q896" s="85"/>
      <x:c r="S896" s="86"/>
      <x:c r="T896" s="32"/>
    </x:row>
    <x:row r="897">
      <x:c r="A897" s="87"/>
      <x:c r="B897" s="88"/>
      <x:c r="D897" s="32"/>
      <x:c r="G897" s="74"/>
      <x:c r="H897" s="74"/>
      <x:c r="I897" s="74"/>
      <x:c r="J897" s="74"/>
      <x:c r="K897" s="74"/>
      <x:c r="L897" s="91"/>
      <x:c r="M897" s="91"/>
      <x:c r="N897" s="91"/>
      <x:c r="O897" s="91"/>
      <x:c r="P897" s="91"/>
      <x:c r="Q897" s="85"/>
      <x:c r="S897" s="86"/>
      <x:c r="T897" s="32"/>
    </x:row>
    <x:row r="898">
      <x:c r="A898" s="87"/>
      <x:c r="B898" s="88"/>
      <x:c r="D898" s="32"/>
      <x:c r="G898" s="74"/>
      <x:c r="H898" s="74"/>
      <x:c r="I898" s="74"/>
      <x:c r="J898" s="74"/>
      <x:c r="K898" s="74"/>
      <x:c r="L898" s="91"/>
      <x:c r="M898" s="91"/>
      <x:c r="N898" s="91"/>
      <x:c r="O898" s="91"/>
      <x:c r="P898" s="91"/>
      <x:c r="Q898" s="85"/>
      <x:c r="S898" s="86"/>
      <x:c r="T898" s="32"/>
    </x:row>
    <x:row r="899">
      <x:c r="A899" s="87"/>
      <x:c r="B899" s="88"/>
      <x:c r="D899" s="32"/>
      <x:c r="G899" s="74"/>
      <x:c r="H899" s="74"/>
      <x:c r="I899" s="74"/>
      <x:c r="J899" s="74"/>
      <x:c r="K899" s="74"/>
      <x:c r="L899" s="91"/>
      <x:c r="M899" s="91"/>
      <x:c r="N899" s="91"/>
      <x:c r="O899" s="91"/>
      <x:c r="P899" s="91"/>
      <x:c r="Q899" s="85"/>
      <x:c r="S899" s="86"/>
      <x:c r="T899" s="32"/>
    </x:row>
    <x:row r="900">
      <x:c r="A900" s="87"/>
      <x:c r="B900" s="88"/>
      <x:c r="D900" s="32"/>
      <x:c r="G900" s="74"/>
      <x:c r="H900" s="74"/>
      <x:c r="I900" s="74"/>
      <x:c r="J900" s="74"/>
      <x:c r="K900" s="74"/>
      <x:c r="L900" s="91"/>
      <x:c r="M900" s="91"/>
      <x:c r="N900" s="91"/>
      <x:c r="O900" s="91"/>
      <x:c r="P900" s="91"/>
      <x:c r="Q900" s="85"/>
      <x:c r="S900" s="86"/>
      <x:c r="T900" s="32"/>
    </x:row>
    <x:row r="901">
      <x:c r="A901" s="87"/>
      <x:c r="B901" s="88"/>
      <x:c r="D901" s="32"/>
      <x:c r="G901" s="74"/>
      <x:c r="H901" s="74"/>
      <x:c r="I901" s="74"/>
      <x:c r="J901" s="74"/>
      <x:c r="K901" s="74"/>
      <x:c r="L901" s="91"/>
      <x:c r="M901" s="91"/>
      <x:c r="N901" s="91"/>
      <x:c r="O901" s="91"/>
      <x:c r="P901" s="91"/>
      <x:c r="Q901" s="85"/>
      <x:c r="S901" s="86"/>
      <x:c r="T901" s="32"/>
    </x:row>
    <x:row r="902">
      <x:c r="A902" s="87"/>
      <x:c r="B902" s="88"/>
      <x:c r="D902" s="32"/>
      <x:c r="G902" s="74"/>
      <x:c r="H902" s="74"/>
      <x:c r="I902" s="74"/>
      <x:c r="J902" s="74"/>
      <x:c r="K902" s="74"/>
      <x:c r="L902" s="91"/>
      <x:c r="M902" s="91"/>
      <x:c r="N902" s="91"/>
      <x:c r="O902" s="91"/>
      <x:c r="P902" s="91"/>
      <x:c r="Q902" s="85"/>
      <x:c r="S902" s="86"/>
      <x:c r="T902" s="32"/>
    </x:row>
    <x:row r="903">
      <x:c r="A903" s="87"/>
      <x:c r="B903" s="88"/>
      <x:c r="D903" s="32"/>
      <x:c r="G903" s="74"/>
      <x:c r="H903" s="74"/>
      <x:c r="I903" s="74"/>
      <x:c r="J903" s="74"/>
      <x:c r="K903" s="74"/>
      <x:c r="L903" s="91"/>
      <x:c r="M903" s="91"/>
      <x:c r="N903" s="91"/>
      <x:c r="O903" s="91"/>
      <x:c r="P903" s="91"/>
      <x:c r="Q903" s="85"/>
      <x:c r="S903" s="86"/>
      <x:c r="T903" s="32"/>
    </x:row>
    <x:row r="904">
      <x:c r="A904" s="87"/>
      <x:c r="B904" s="88"/>
      <x:c r="D904" s="32"/>
      <x:c r="G904" s="74"/>
      <x:c r="H904" s="74"/>
      <x:c r="I904" s="74"/>
      <x:c r="J904" s="74"/>
      <x:c r="K904" s="74"/>
      <x:c r="L904" s="91"/>
      <x:c r="M904" s="91"/>
      <x:c r="N904" s="91"/>
      <x:c r="O904" s="91"/>
      <x:c r="P904" s="91"/>
      <x:c r="Q904" s="85"/>
      <x:c r="S904" s="86"/>
      <x:c r="T904" s="32"/>
    </x:row>
    <x:row r="905">
      <x:c r="A905" s="87"/>
      <x:c r="B905" s="88"/>
      <x:c r="D905" s="32"/>
      <x:c r="G905" s="74"/>
      <x:c r="H905" s="74"/>
      <x:c r="I905" s="74"/>
      <x:c r="J905" s="74"/>
      <x:c r="K905" s="74"/>
      <x:c r="L905" s="91"/>
      <x:c r="M905" s="91"/>
      <x:c r="N905" s="91"/>
      <x:c r="O905" s="91"/>
      <x:c r="P905" s="91"/>
      <x:c r="Q905" s="85"/>
      <x:c r="S905" s="86"/>
      <x:c r="T905" s="32"/>
    </x:row>
    <x:row r="906">
      <x:c r="A906" s="87"/>
      <x:c r="B906" s="88"/>
      <x:c r="D906" s="32"/>
      <x:c r="G906" s="74"/>
      <x:c r="H906" s="74"/>
      <x:c r="I906" s="74"/>
      <x:c r="J906" s="74"/>
      <x:c r="K906" s="74"/>
      <x:c r="L906" s="91"/>
      <x:c r="M906" s="91"/>
      <x:c r="N906" s="91"/>
      <x:c r="O906" s="91"/>
      <x:c r="P906" s="91"/>
      <x:c r="Q906" s="85"/>
      <x:c r="S906" s="86"/>
      <x:c r="T906" s="32"/>
    </x:row>
    <x:row r="907">
      <x:c r="A907" s="87"/>
      <x:c r="B907" s="88"/>
      <x:c r="D907" s="32"/>
      <x:c r="G907" s="74"/>
      <x:c r="H907" s="74"/>
      <x:c r="I907" s="74"/>
      <x:c r="J907" s="74"/>
      <x:c r="K907" s="74"/>
      <x:c r="L907" s="91"/>
      <x:c r="M907" s="91"/>
      <x:c r="N907" s="91"/>
      <x:c r="O907" s="91"/>
      <x:c r="P907" s="91"/>
      <x:c r="Q907" s="85"/>
      <x:c r="S907" s="86"/>
      <x:c r="T907" s="32"/>
    </x:row>
    <x:row r="908">
      <x:c r="A908" s="87"/>
      <x:c r="B908" s="88"/>
      <x:c r="D908" s="32"/>
      <x:c r="G908" s="74"/>
      <x:c r="H908" s="74"/>
      <x:c r="I908" s="74"/>
      <x:c r="J908" s="74"/>
      <x:c r="K908" s="74"/>
      <x:c r="L908" s="91"/>
      <x:c r="M908" s="91"/>
      <x:c r="N908" s="91"/>
      <x:c r="O908" s="91"/>
      <x:c r="P908" s="91"/>
      <x:c r="Q908" s="85"/>
      <x:c r="S908" s="86"/>
      <x:c r="T908" s="32"/>
    </x:row>
    <x:row r="909">
      <x:c r="A909" s="87"/>
      <x:c r="B909" s="88"/>
      <x:c r="D909" s="32"/>
      <x:c r="G909" s="74"/>
      <x:c r="H909" s="74"/>
      <x:c r="I909" s="74"/>
      <x:c r="J909" s="74"/>
      <x:c r="K909" s="74"/>
      <x:c r="L909" s="91"/>
      <x:c r="M909" s="91"/>
      <x:c r="N909" s="91"/>
      <x:c r="O909" s="91"/>
      <x:c r="P909" s="91"/>
      <x:c r="Q909" s="85"/>
      <x:c r="S909" s="86"/>
      <x:c r="T909" s="32"/>
    </x:row>
    <x:row r="910">
      <x:c r="A910" s="87"/>
      <x:c r="B910" s="88"/>
      <x:c r="D910" s="32"/>
      <x:c r="G910" s="74"/>
      <x:c r="H910" s="74"/>
      <x:c r="I910" s="74"/>
      <x:c r="J910" s="74"/>
      <x:c r="K910" s="74"/>
      <x:c r="L910" s="91"/>
      <x:c r="M910" s="91"/>
      <x:c r="N910" s="91"/>
      <x:c r="O910" s="91"/>
      <x:c r="P910" s="91"/>
      <x:c r="Q910" s="85"/>
      <x:c r="S910" s="86"/>
      <x:c r="T910" s="32"/>
    </x:row>
    <x:row r="911">
      <x:c r="A911" s="87"/>
      <x:c r="B911" s="88"/>
      <x:c r="D911" s="32"/>
      <x:c r="G911" s="74"/>
      <x:c r="H911" s="74"/>
      <x:c r="I911" s="74"/>
      <x:c r="J911" s="74"/>
      <x:c r="K911" s="74"/>
      <x:c r="L911" s="91"/>
      <x:c r="M911" s="91"/>
      <x:c r="N911" s="91"/>
      <x:c r="O911" s="91"/>
      <x:c r="P911" s="91"/>
      <x:c r="Q911" s="85"/>
      <x:c r="S911" s="86"/>
      <x:c r="T911" s="32"/>
    </x:row>
    <x:row r="912">
      <x:c r="A912" s="87"/>
      <x:c r="B912" s="88"/>
      <x:c r="D912" s="32"/>
      <x:c r="G912" s="74"/>
      <x:c r="H912" s="74"/>
      <x:c r="I912" s="74"/>
      <x:c r="J912" s="74"/>
      <x:c r="K912" s="74"/>
      <x:c r="L912" s="91"/>
      <x:c r="M912" s="91"/>
      <x:c r="N912" s="91"/>
      <x:c r="O912" s="91"/>
      <x:c r="P912" s="91"/>
      <x:c r="Q912" s="85"/>
      <x:c r="S912" s="86"/>
      <x:c r="T912" s="32"/>
    </x:row>
    <x:row r="913">
      <x:c r="A913" s="87"/>
      <x:c r="B913" s="88"/>
      <x:c r="D913" s="32"/>
      <x:c r="G913" s="74"/>
      <x:c r="H913" s="74"/>
      <x:c r="I913" s="74"/>
      <x:c r="J913" s="74"/>
      <x:c r="K913" s="74"/>
      <x:c r="L913" s="91"/>
      <x:c r="M913" s="91"/>
      <x:c r="N913" s="91"/>
      <x:c r="O913" s="91"/>
      <x:c r="P913" s="91"/>
      <x:c r="Q913" s="85"/>
      <x:c r="S913" s="86"/>
      <x:c r="T913" s="32"/>
    </x:row>
    <x:row r="914">
      <x:c r="A914" s="87"/>
      <x:c r="B914" s="88"/>
      <x:c r="D914" s="32"/>
      <x:c r="G914" s="74"/>
      <x:c r="H914" s="74"/>
      <x:c r="I914" s="74"/>
      <x:c r="J914" s="74"/>
      <x:c r="K914" s="74"/>
      <x:c r="L914" s="91"/>
      <x:c r="M914" s="91"/>
      <x:c r="N914" s="91"/>
      <x:c r="O914" s="91"/>
      <x:c r="P914" s="91"/>
      <x:c r="Q914" s="85"/>
      <x:c r="S914" s="86"/>
      <x:c r="T914" s="32"/>
    </x:row>
    <x:row r="915">
      <x:c r="A915" s="87"/>
      <x:c r="B915" s="88"/>
      <x:c r="D915" s="32"/>
      <x:c r="G915" s="74"/>
      <x:c r="H915" s="74"/>
      <x:c r="I915" s="74"/>
      <x:c r="J915" s="74"/>
      <x:c r="K915" s="74"/>
      <x:c r="L915" s="91"/>
      <x:c r="M915" s="91"/>
      <x:c r="N915" s="91"/>
      <x:c r="O915" s="91"/>
      <x:c r="P915" s="91"/>
      <x:c r="Q915" s="85"/>
      <x:c r="S915" s="86"/>
      <x:c r="T915" s="32"/>
    </x:row>
    <x:row r="916">
      <x:c r="A916" s="87"/>
      <x:c r="B916" s="88"/>
      <x:c r="D916" s="32"/>
      <x:c r="G916" s="74"/>
      <x:c r="H916" s="74"/>
      <x:c r="I916" s="74"/>
      <x:c r="J916" s="74"/>
      <x:c r="K916" s="74"/>
      <x:c r="L916" s="91"/>
      <x:c r="M916" s="91"/>
      <x:c r="N916" s="91"/>
      <x:c r="O916" s="91"/>
      <x:c r="P916" s="91"/>
      <x:c r="Q916" s="85"/>
      <x:c r="S916" s="86"/>
      <x:c r="T916" s="32"/>
    </x:row>
    <x:row r="917">
      <x:c r="A917" s="87"/>
      <x:c r="B917" s="88"/>
      <x:c r="D917" s="32"/>
      <x:c r="G917" s="74"/>
      <x:c r="H917" s="74"/>
      <x:c r="I917" s="74"/>
      <x:c r="J917" s="74"/>
      <x:c r="K917" s="74"/>
      <x:c r="L917" s="91"/>
      <x:c r="M917" s="91"/>
      <x:c r="N917" s="91"/>
      <x:c r="O917" s="91"/>
      <x:c r="P917" s="91"/>
      <x:c r="Q917" s="85"/>
      <x:c r="S917" s="86"/>
      <x:c r="T917" s="32"/>
    </x:row>
    <x:row r="918">
      <x:c r="A918" s="87"/>
      <x:c r="B918" s="88"/>
      <x:c r="D918" s="32"/>
      <x:c r="G918" s="74"/>
      <x:c r="H918" s="74"/>
      <x:c r="I918" s="74"/>
      <x:c r="J918" s="74"/>
      <x:c r="K918" s="74"/>
      <x:c r="L918" s="91"/>
      <x:c r="M918" s="91"/>
      <x:c r="N918" s="91"/>
      <x:c r="O918" s="91"/>
      <x:c r="P918" s="91"/>
      <x:c r="Q918" s="85"/>
      <x:c r="S918" s="86"/>
      <x:c r="T918" s="32"/>
    </x:row>
    <x:row r="919">
      <x:c r="A919" s="87"/>
      <x:c r="B919" s="88"/>
      <x:c r="D919" s="32"/>
      <x:c r="G919" s="74"/>
      <x:c r="H919" s="74"/>
      <x:c r="I919" s="74"/>
      <x:c r="J919" s="74"/>
      <x:c r="K919" s="74"/>
      <x:c r="L919" s="91"/>
      <x:c r="M919" s="91"/>
      <x:c r="N919" s="91"/>
      <x:c r="O919" s="91"/>
      <x:c r="P919" s="91"/>
      <x:c r="Q919" s="85"/>
      <x:c r="S919" s="86"/>
      <x:c r="T919" s="32"/>
    </x:row>
    <x:row r="920">
      <x:c r="A920" s="87"/>
      <x:c r="B920" s="88"/>
      <x:c r="D920" s="32"/>
      <x:c r="G920" s="74"/>
      <x:c r="H920" s="74"/>
      <x:c r="I920" s="74"/>
      <x:c r="J920" s="74"/>
      <x:c r="K920" s="74"/>
      <x:c r="L920" s="91"/>
      <x:c r="M920" s="91"/>
      <x:c r="N920" s="91"/>
      <x:c r="O920" s="91"/>
      <x:c r="P920" s="91"/>
      <x:c r="Q920" s="85"/>
      <x:c r="S920" s="86"/>
      <x:c r="T920" s="32"/>
    </x:row>
    <x:row r="921">
      <x:c r="A921" s="87"/>
      <x:c r="B921" s="88"/>
      <x:c r="D921" s="32"/>
      <x:c r="G921" s="74"/>
      <x:c r="H921" s="74"/>
      <x:c r="I921" s="74"/>
      <x:c r="J921" s="74"/>
      <x:c r="K921" s="74"/>
      <x:c r="L921" s="91"/>
      <x:c r="M921" s="91"/>
      <x:c r="N921" s="91"/>
      <x:c r="O921" s="91"/>
      <x:c r="P921" s="91"/>
      <x:c r="Q921" s="85"/>
      <x:c r="S921" s="86"/>
      <x:c r="T921" s="32"/>
    </x:row>
    <x:row r="922">
      <x:c r="A922" s="87"/>
      <x:c r="B922" s="88"/>
      <x:c r="D922" s="32"/>
      <x:c r="G922" s="74"/>
      <x:c r="H922" s="74"/>
      <x:c r="I922" s="74"/>
      <x:c r="J922" s="74"/>
      <x:c r="K922" s="74"/>
      <x:c r="L922" s="91"/>
      <x:c r="M922" s="91"/>
      <x:c r="N922" s="91"/>
      <x:c r="O922" s="91"/>
      <x:c r="P922" s="91"/>
      <x:c r="Q922" s="85"/>
      <x:c r="S922" s="86"/>
      <x:c r="T922" s="32"/>
    </x:row>
    <x:row r="923">
      <x:c r="A923" s="87"/>
      <x:c r="B923" s="88"/>
      <x:c r="D923" s="32"/>
      <x:c r="G923" s="74"/>
      <x:c r="H923" s="74"/>
      <x:c r="I923" s="74"/>
      <x:c r="J923" s="74"/>
      <x:c r="K923" s="74"/>
      <x:c r="L923" s="91"/>
      <x:c r="M923" s="91"/>
      <x:c r="N923" s="91"/>
      <x:c r="O923" s="91"/>
      <x:c r="P923" s="91"/>
      <x:c r="Q923" s="85"/>
      <x:c r="S923" s="86"/>
      <x:c r="T923" s="32"/>
    </x:row>
    <x:row r="924">
      <x:c r="A924" s="87"/>
      <x:c r="B924" s="88"/>
      <x:c r="D924" s="32"/>
      <x:c r="G924" s="74"/>
      <x:c r="H924" s="74"/>
      <x:c r="I924" s="74"/>
      <x:c r="J924" s="74"/>
      <x:c r="K924" s="74"/>
      <x:c r="L924" s="91"/>
      <x:c r="M924" s="91"/>
      <x:c r="N924" s="91"/>
      <x:c r="O924" s="91"/>
      <x:c r="P924" s="91"/>
      <x:c r="Q924" s="85"/>
      <x:c r="S924" s="86"/>
      <x:c r="T924" s="32"/>
    </x:row>
    <x:row r="925">
      <x:c r="A925" s="87"/>
      <x:c r="B925" s="88"/>
      <x:c r="D925" s="32"/>
      <x:c r="G925" s="74"/>
      <x:c r="H925" s="74"/>
      <x:c r="I925" s="74"/>
      <x:c r="J925" s="74"/>
      <x:c r="K925" s="74"/>
      <x:c r="L925" s="91"/>
      <x:c r="M925" s="91"/>
      <x:c r="N925" s="91"/>
      <x:c r="O925" s="91"/>
      <x:c r="P925" s="91"/>
      <x:c r="Q925" s="85"/>
      <x:c r="S925" s="86"/>
      <x:c r="T925" s="32"/>
    </x:row>
    <x:row r="926">
      <x:c r="A926" s="87"/>
      <x:c r="B926" s="88"/>
      <x:c r="D926" s="32"/>
      <x:c r="G926" s="74"/>
      <x:c r="H926" s="74"/>
      <x:c r="I926" s="74"/>
      <x:c r="J926" s="74"/>
      <x:c r="K926" s="74"/>
      <x:c r="L926" s="91"/>
      <x:c r="M926" s="91"/>
      <x:c r="N926" s="91"/>
      <x:c r="O926" s="91"/>
      <x:c r="P926" s="91"/>
      <x:c r="Q926" s="85"/>
      <x:c r="S926" s="86"/>
      <x:c r="T926" s="32"/>
    </x:row>
    <x:row r="927">
      <x:c r="A927" s="87"/>
      <x:c r="B927" s="88"/>
      <x:c r="D927" s="32"/>
      <x:c r="G927" s="74"/>
      <x:c r="H927" s="74"/>
      <x:c r="I927" s="74"/>
      <x:c r="J927" s="74"/>
      <x:c r="K927" s="74"/>
      <x:c r="L927" s="91"/>
      <x:c r="M927" s="91"/>
      <x:c r="N927" s="91"/>
      <x:c r="O927" s="91"/>
      <x:c r="P927" s="91"/>
      <x:c r="Q927" s="85"/>
      <x:c r="S927" s="86"/>
      <x:c r="T927" s="32"/>
    </x:row>
    <x:row r="928">
      <x:c r="A928" s="87"/>
      <x:c r="B928" s="88"/>
      <x:c r="D928" s="32"/>
      <x:c r="G928" s="74"/>
      <x:c r="H928" s="74"/>
      <x:c r="I928" s="74"/>
      <x:c r="J928" s="74"/>
      <x:c r="K928" s="74"/>
      <x:c r="L928" s="91"/>
      <x:c r="M928" s="91"/>
      <x:c r="N928" s="91"/>
      <x:c r="O928" s="91"/>
      <x:c r="P928" s="91"/>
      <x:c r="Q928" s="85"/>
      <x:c r="S928" s="86"/>
      <x:c r="T928" s="32"/>
    </x:row>
    <x:row r="929">
      <x:c r="A929" s="87"/>
      <x:c r="B929" s="88"/>
      <x:c r="D929" s="32"/>
      <x:c r="G929" s="74"/>
      <x:c r="H929" s="74"/>
      <x:c r="I929" s="74"/>
      <x:c r="J929" s="74"/>
      <x:c r="K929" s="74"/>
      <x:c r="L929" s="91"/>
      <x:c r="M929" s="91"/>
      <x:c r="N929" s="91"/>
      <x:c r="O929" s="91"/>
      <x:c r="P929" s="91"/>
      <x:c r="Q929" s="85"/>
      <x:c r="S929" s="86"/>
      <x:c r="T929" s="32"/>
    </x:row>
    <x:row r="930">
      <x:c r="A930" s="87"/>
      <x:c r="B930" s="88"/>
      <x:c r="D930" s="32"/>
      <x:c r="G930" s="74"/>
      <x:c r="H930" s="74"/>
      <x:c r="I930" s="74"/>
      <x:c r="J930" s="74"/>
      <x:c r="K930" s="74"/>
      <x:c r="L930" s="91"/>
      <x:c r="M930" s="91"/>
      <x:c r="N930" s="91"/>
      <x:c r="O930" s="91"/>
      <x:c r="P930" s="91"/>
      <x:c r="Q930" s="85"/>
      <x:c r="S930" s="86"/>
      <x:c r="T930" s="32"/>
    </x:row>
    <x:row r="931">
      <x:c r="A931" s="87"/>
      <x:c r="B931" s="88"/>
      <x:c r="D931" s="32"/>
      <x:c r="G931" s="74"/>
      <x:c r="H931" s="74"/>
      <x:c r="I931" s="74"/>
      <x:c r="J931" s="74"/>
      <x:c r="K931" s="74"/>
      <x:c r="L931" s="91"/>
      <x:c r="M931" s="91"/>
      <x:c r="N931" s="91"/>
      <x:c r="O931" s="91"/>
      <x:c r="P931" s="91"/>
      <x:c r="Q931" s="85"/>
      <x:c r="S931" s="86"/>
      <x:c r="T931" s="32"/>
    </x:row>
    <x:row r="932">
      <x:c r="A932" s="87"/>
      <x:c r="B932" s="88"/>
      <x:c r="D932" s="32"/>
      <x:c r="G932" s="74"/>
      <x:c r="H932" s="74"/>
      <x:c r="I932" s="74"/>
      <x:c r="J932" s="74"/>
      <x:c r="K932" s="74"/>
      <x:c r="L932" s="91"/>
      <x:c r="M932" s="91"/>
      <x:c r="N932" s="91"/>
      <x:c r="O932" s="91"/>
      <x:c r="P932" s="91"/>
      <x:c r="Q932" s="85"/>
      <x:c r="S932" s="86"/>
      <x:c r="T932" s="32"/>
    </x:row>
    <x:row r="933">
      <x:c r="A933" s="87"/>
      <x:c r="B933" s="88"/>
      <x:c r="D933" s="32"/>
      <x:c r="G933" s="74"/>
      <x:c r="H933" s="74"/>
      <x:c r="I933" s="74"/>
      <x:c r="J933" s="74"/>
      <x:c r="K933" s="74"/>
      <x:c r="L933" s="91"/>
      <x:c r="M933" s="91"/>
      <x:c r="N933" s="91"/>
      <x:c r="O933" s="91"/>
      <x:c r="P933" s="91"/>
      <x:c r="Q933" s="85"/>
      <x:c r="S933" s="86"/>
      <x:c r="T933" s="32"/>
    </x:row>
    <x:row r="934">
      <x:c r="A934" s="87"/>
      <x:c r="B934" s="88"/>
      <x:c r="D934" s="32"/>
      <x:c r="G934" s="74"/>
      <x:c r="H934" s="74"/>
      <x:c r="I934" s="74"/>
      <x:c r="J934" s="74"/>
      <x:c r="K934" s="74"/>
      <x:c r="L934" s="91"/>
      <x:c r="M934" s="91"/>
      <x:c r="N934" s="91"/>
      <x:c r="O934" s="91"/>
      <x:c r="P934" s="91"/>
      <x:c r="Q934" s="85"/>
      <x:c r="S934" s="86"/>
      <x:c r="T934" s="32"/>
    </x:row>
    <x:row r="935">
      <x:c r="A935" s="87"/>
      <x:c r="B935" s="88"/>
      <x:c r="D935" s="32"/>
      <x:c r="G935" s="74"/>
      <x:c r="H935" s="74"/>
      <x:c r="I935" s="74"/>
      <x:c r="J935" s="74"/>
      <x:c r="K935" s="74"/>
      <x:c r="L935" s="91"/>
      <x:c r="M935" s="91"/>
      <x:c r="N935" s="91"/>
      <x:c r="O935" s="91"/>
      <x:c r="P935" s="91"/>
      <x:c r="Q935" s="85"/>
      <x:c r="S935" s="86"/>
      <x:c r="T935" s="32"/>
    </x:row>
    <x:row r="936">
      <x:c r="A936" s="87"/>
      <x:c r="B936" s="88"/>
      <x:c r="D936" s="32"/>
      <x:c r="G936" s="74"/>
      <x:c r="H936" s="74"/>
      <x:c r="I936" s="74"/>
      <x:c r="J936" s="74"/>
      <x:c r="K936" s="74"/>
      <x:c r="L936" s="91"/>
      <x:c r="M936" s="91"/>
      <x:c r="N936" s="91"/>
      <x:c r="O936" s="91"/>
      <x:c r="P936" s="91"/>
      <x:c r="Q936" s="85"/>
      <x:c r="S936" s="86"/>
      <x:c r="T936" s="32"/>
    </x:row>
    <x:row r="937">
      <x:c r="A937" s="87"/>
      <x:c r="B937" s="88"/>
      <x:c r="D937" s="32"/>
      <x:c r="G937" s="74"/>
      <x:c r="H937" s="74"/>
      <x:c r="I937" s="74"/>
      <x:c r="J937" s="74"/>
      <x:c r="K937" s="74"/>
      <x:c r="L937" s="91"/>
      <x:c r="M937" s="91"/>
      <x:c r="N937" s="91"/>
      <x:c r="O937" s="91"/>
      <x:c r="P937" s="91"/>
      <x:c r="Q937" s="85"/>
      <x:c r="S937" s="86"/>
      <x:c r="T937" s="32"/>
    </x:row>
    <x:row r="938">
      <x:c r="A938" s="87"/>
      <x:c r="B938" s="88"/>
      <x:c r="D938" s="32"/>
      <x:c r="G938" s="74"/>
      <x:c r="H938" s="74"/>
      <x:c r="I938" s="74"/>
      <x:c r="J938" s="74"/>
      <x:c r="K938" s="74"/>
      <x:c r="L938" s="91"/>
      <x:c r="M938" s="91"/>
      <x:c r="N938" s="91"/>
      <x:c r="O938" s="91"/>
      <x:c r="P938" s="91"/>
      <x:c r="Q938" s="85"/>
      <x:c r="S938" s="86"/>
      <x:c r="T938" s="32"/>
    </x:row>
    <x:row r="939">
      <x:c r="A939" s="87"/>
      <x:c r="B939" s="88"/>
      <x:c r="D939" s="32"/>
      <x:c r="G939" s="74"/>
      <x:c r="H939" s="74"/>
      <x:c r="I939" s="74"/>
      <x:c r="J939" s="74"/>
      <x:c r="K939" s="74"/>
      <x:c r="L939" s="91"/>
      <x:c r="M939" s="91"/>
      <x:c r="N939" s="91"/>
      <x:c r="O939" s="91"/>
      <x:c r="P939" s="91"/>
      <x:c r="Q939" s="85"/>
      <x:c r="S939" s="86"/>
      <x:c r="T939" s="32"/>
    </x:row>
    <x:row r="940">
      <x:c r="A940" s="87"/>
      <x:c r="B940" s="88"/>
      <x:c r="D940" s="32"/>
      <x:c r="G940" s="74"/>
      <x:c r="H940" s="74"/>
      <x:c r="I940" s="74"/>
      <x:c r="J940" s="74"/>
      <x:c r="K940" s="74"/>
      <x:c r="L940" s="91"/>
      <x:c r="M940" s="91"/>
      <x:c r="N940" s="91"/>
      <x:c r="O940" s="91"/>
      <x:c r="P940" s="91"/>
      <x:c r="Q940" s="85"/>
      <x:c r="S940" s="86"/>
      <x:c r="T940" s="32"/>
    </x:row>
    <x:row r="941">
      <x:c r="A941" s="87"/>
      <x:c r="B941" s="88"/>
      <x:c r="D941" s="32"/>
      <x:c r="G941" s="74"/>
      <x:c r="H941" s="74"/>
      <x:c r="I941" s="74"/>
      <x:c r="J941" s="74"/>
      <x:c r="K941" s="74"/>
      <x:c r="L941" s="91"/>
      <x:c r="M941" s="91"/>
      <x:c r="N941" s="91"/>
      <x:c r="O941" s="91"/>
      <x:c r="P941" s="91"/>
      <x:c r="Q941" s="85"/>
      <x:c r="S941" s="86"/>
      <x:c r="T941" s="32"/>
    </x:row>
    <x:row r="942">
      <x:c r="A942" s="87"/>
      <x:c r="B942" s="88"/>
      <x:c r="D942" s="32"/>
      <x:c r="G942" s="74"/>
      <x:c r="H942" s="74"/>
      <x:c r="I942" s="74"/>
      <x:c r="J942" s="74"/>
      <x:c r="K942" s="74"/>
      <x:c r="L942" s="91"/>
      <x:c r="M942" s="91"/>
      <x:c r="N942" s="91"/>
      <x:c r="O942" s="91"/>
      <x:c r="P942" s="91"/>
      <x:c r="Q942" s="85"/>
      <x:c r="S942" s="86"/>
      <x:c r="T942" s="32"/>
    </x:row>
    <x:row r="943">
      <x:c r="A943" s="87"/>
      <x:c r="B943" s="88"/>
      <x:c r="D943" s="32"/>
      <x:c r="G943" s="74"/>
      <x:c r="H943" s="74"/>
      <x:c r="I943" s="74"/>
      <x:c r="J943" s="74"/>
      <x:c r="K943" s="74"/>
      <x:c r="L943" s="91"/>
      <x:c r="M943" s="91"/>
      <x:c r="N943" s="91"/>
      <x:c r="O943" s="91"/>
      <x:c r="P943" s="91"/>
      <x:c r="Q943" s="85"/>
      <x:c r="S943" s="86"/>
      <x:c r="T943" s="32"/>
    </x:row>
    <x:row r="944">
      <x:c r="A944" s="87"/>
      <x:c r="B944" s="88"/>
      <x:c r="D944" s="32"/>
      <x:c r="G944" s="74"/>
      <x:c r="H944" s="74"/>
      <x:c r="I944" s="74"/>
      <x:c r="J944" s="74"/>
      <x:c r="K944" s="74"/>
      <x:c r="L944" s="91"/>
      <x:c r="M944" s="91"/>
      <x:c r="N944" s="91"/>
      <x:c r="O944" s="91"/>
      <x:c r="P944" s="91"/>
      <x:c r="Q944" s="85"/>
      <x:c r="S944" s="86"/>
      <x:c r="T944" s="32"/>
    </x:row>
    <x:row r="945">
      <x:c r="A945" s="87"/>
      <x:c r="B945" s="88"/>
      <x:c r="D945" s="32"/>
      <x:c r="G945" s="74"/>
      <x:c r="H945" s="74"/>
      <x:c r="I945" s="74"/>
      <x:c r="J945" s="74"/>
      <x:c r="K945" s="74"/>
      <x:c r="L945" s="91"/>
      <x:c r="M945" s="91"/>
      <x:c r="N945" s="91"/>
      <x:c r="O945" s="91"/>
      <x:c r="P945" s="91"/>
      <x:c r="Q945" s="85"/>
      <x:c r="S945" s="86"/>
      <x:c r="T945" s="32"/>
    </x:row>
    <x:row r="946">
      <x:c r="A946" s="87"/>
      <x:c r="B946" s="88"/>
      <x:c r="D946" s="32"/>
      <x:c r="G946" s="74"/>
      <x:c r="H946" s="74"/>
      <x:c r="I946" s="74"/>
      <x:c r="J946" s="74"/>
      <x:c r="K946" s="74"/>
      <x:c r="L946" s="91"/>
      <x:c r="M946" s="91"/>
      <x:c r="N946" s="91"/>
      <x:c r="O946" s="91"/>
      <x:c r="P946" s="91"/>
      <x:c r="Q946" s="85"/>
      <x:c r="S946" s="86"/>
      <x:c r="T946" s="32"/>
    </x:row>
    <x:row r="947">
      <x:c r="A947" s="87"/>
      <x:c r="B947" s="88"/>
      <x:c r="D947" s="32"/>
      <x:c r="G947" s="74"/>
      <x:c r="H947" s="74"/>
      <x:c r="I947" s="74"/>
      <x:c r="J947" s="74"/>
      <x:c r="K947" s="74"/>
      <x:c r="L947" s="91"/>
      <x:c r="M947" s="91"/>
      <x:c r="N947" s="91"/>
      <x:c r="O947" s="91"/>
      <x:c r="P947" s="91"/>
      <x:c r="Q947" s="85"/>
      <x:c r="S947" s="86"/>
      <x:c r="T947" s="32"/>
    </x:row>
    <x:row r="948">
      <x:c r="A948" s="87"/>
      <x:c r="B948" s="88"/>
      <x:c r="D948" s="32"/>
      <x:c r="G948" s="74"/>
      <x:c r="H948" s="74"/>
      <x:c r="I948" s="74"/>
      <x:c r="J948" s="74"/>
      <x:c r="K948" s="74"/>
      <x:c r="L948" s="91"/>
      <x:c r="M948" s="91"/>
      <x:c r="N948" s="91"/>
      <x:c r="O948" s="91"/>
      <x:c r="P948" s="91"/>
      <x:c r="Q948" s="85"/>
      <x:c r="S948" s="86"/>
      <x:c r="T948" s="32"/>
    </x:row>
    <x:row r="949">
      <x:c r="A949" s="87"/>
      <x:c r="B949" s="88"/>
      <x:c r="D949" s="32"/>
      <x:c r="G949" s="74"/>
      <x:c r="H949" s="74"/>
      <x:c r="I949" s="74"/>
      <x:c r="J949" s="74"/>
      <x:c r="K949" s="74"/>
      <x:c r="L949" s="91"/>
      <x:c r="M949" s="91"/>
      <x:c r="N949" s="91"/>
      <x:c r="O949" s="91"/>
      <x:c r="P949" s="91"/>
      <x:c r="Q949" s="85"/>
      <x:c r="S949" s="86"/>
      <x:c r="T949" s="32"/>
    </x:row>
    <x:row r="950">
      <x:c r="A950" s="87"/>
      <x:c r="B950" s="88"/>
      <x:c r="D950" s="32"/>
      <x:c r="G950" s="74"/>
      <x:c r="H950" s="74"/>
      <x:c r="I950" s="74"/>
      <x:c r="J950" s="74"/>
      <x:c r="K950" s="74"/>
      <x:c r="L950" s="91"/>
      <x:c r="M950" s="91"/>
      <x:c r="N950" s="91"/>
      <x:c r="O950" s="91"/>
      <x:c r="P950" s="91"/>
      <x:c r="Q950" s="85"/>
      <x:c r="S950" s="86"/>
      <x:c r="T950" s="32"/>
    </x:row>
    <x:row r="951">
      <x:c r="A951" s="87"/>
      <x:c r="B951" s="88"/>
      <x:c r="D951" s="32"/>
      <x:c r="G951" s="74"/>
      <x:c r="H951" s="74"/>
      <x:c r="I951" s="74"/>
      <x:c r="J951" s="74"/>
      <x:c r="K951" s="74"/>
      <x:c r="L951" s="91"/>
      <x:c r="M951" s="91"/>
      <x:c r="N951" s="91"/>
      <x:c r="O951" s="91"/>
      <x:c r="P951" s="91"/>
      <x:c r="Q951" s="85"/>
      <x:c r="S951" s="86"/>
      <x:c r="T951" s="32"/>
    </x:row>
    <x:row r="952">
      <x:c r="A952" s="87"/>
      <x:c r="B952" s="88"/>
      <x:c r="D952" s="32"/>
      <x:c r="G952" s="74"/>
      <x:c r="H952" s="74"/>
      <x:c r="I952" s="74"/>
      <x:c r="J952" s="74"/>
      <x:c r="K952" s="74"/>
      <x:c r="L952" s="91"/>
      <x:c r="M952" s="91"/>
      <x:c r="N952" s="91"/>
      <x:c r="O952" s="91"/>
      <x:c r="P952" s="91"/>
      <x:c r="Q952" s="85"/>
      <x:c r="S952" s="86"/>
      <x:c r="T952" s="32"/>
    </x:row>
    <x:row r="953">
      <x:c r="A953" s="87"/>
      <x:c r="B953" s="88"/>
      <x:c r="D953" s="32"/>
      <x:c r="G953" s="74"/>
      <x:c r="H953" s="74"/>
      <x:c r="I953" s="74"/>
      <x:c r="J953" s="74"/>
      <x:c r="K953" s="74"/>
      <x:c r="L953" s="91"/>
      <x:c r="M953" s="91"/>
      <x:c r="N953" s="91"/>
      <x:c r="O953" s="91"/>
      <x:c r="P953" s="91"/>
      <x:c r="Q953" s="85"/>
      <x:c r="S953" s="86"/>
      <x:c r="T953" s="32"/>
    </x:row>
    <x:row r="954">
      <x:c r="A954" s="87"/>
      <x:c r="B954" s="88"/>
      <x:c r="D954" s="32"/>
      <x:c r="G954" s="74"/>
      <x:c r="H954" s="74"/>
      <x:c r="I954" s="74"/>
      <x:c r="J954" s="74"/>
      <x:c r="K954" s="74"/>
      <x:c r="L954" s="91"/>
      <x:c r="M954" s="91"/>
      <x:c r="N954" s="91"/>
      <x:c r="O954" s="91"/>
      <x:c r="P954" s="91"/>
      <x:c r="Q954" s="85"/>
      <x:c r="S954" s="86"/>
      <x:c r="T954" s="32"/>
    </x:row>
    <x:row r="955">
      <x:c r="A955" s="87"/>
      <x:c r="B955" s="88"/>
      <x:c r="D955" s="32"/>
      <x:c r="G955" s="74"/>
      <x:c r="H955" s="74"/>
      <x:c r="I955" s="74"/>
      <x:c r="J955" s="74"/>
      <x:c r="K955" s="74"/>
      <x:c r="L955" s="91"/>
      <x:c r="M955" s="91"/>
      <x:c r="N955" s="91"/>
      <x:c r="O955" s="91"/>
      <x:c r="P955" s="91"/>
      <x:c r="Q955" s="85"/>
      <x:c r="S955" s="86"/>
      <x:c r="T955" s="32"/>
    </x:row>
    <x:row r="956">
      <x:c r="A956" s="87"/>
      <x:c r="B956" s="88"/>
      <x:c r="D956" s="32"/>
      <x:c r="G956" s="74"/>
      <x:c r="H956" s="74"/>
      <x:c r="I956" s="74"/>
      <x:c r="J956" s="74"/>
      <x:c r="K956" s="74"/>
      <x:c r="L956" s="91"/>
      <x:c r="M956" s="91"/>
      <x:c r="N956" s="91"/>
      <x:c r="O956" s="91"/>
      <x:c r="P956" s="91"/>
      <x:c r="Q956" s="85"/>
      <x:c r="S956" s="86"/>
      <x:c r="T956" s="32"/>
    </x:row>
    <x:row r="957">
      <x:c r="A957" s="87"/>
      <x:c r="B957" s="88"/>
      <x:c r="D957" s="32"/>
      <x:c r="G957" s="74"/>
      <x:c r="H957" s="74"/>
      <x:c r="I957" s="74"/>
      <x:c r="J957" s="74"/>
      <x:c r="K957" s="74"/>
      <x:c r="L957" s="91"/>
      <x:c r="M957" s="91"/>
      <x:c r="N957" s="91"/>
      <x:c r="O957" s="91"/>
      <x:c r="P957" s="91"/>
      <x:c r="Q957" s="85"/>
      <x:c r="S957" s="86"/>
      <x:c r="T957" s="32"/>
    </x:row>
    <x:row r="958">
      <x:c r="A958" s="87"/>
      <x:c r="B958" s="88"/>
      <x:c r="D958" s="32"/>
      <x:c r="G958" s="74"/>
      <x:c r="H958" s="74"/>
      <x:c r="I958" s="74"/>
      <x:c r="J958" s="74"/>
      <x:c r="K958" s="74"/>
      <x:c r="L958" s="91"/>
      <x:c r="M958" s="91"/>
      <x:c r="N958" s="91"/>
      <x:c r="O958" s="91"/>
      <x:c r="P958" s="91"/>
      <x:c r="Q958" s="85"/>
      <x:c r="S958" s="86"/>
      <x:c r="T958" s="32"/>
    </x:row>
    <x:row r="959">
      <x:c r="A959" s="87"/>
      <x:c r="B959" s="88"/>
      <x:c r="D959" s="32"/>
      <x:c r="G959" s="74"/>
      <x:c r="H959" s="74"/>
      <x:c r="I959" s="74"/>
      <x:c r="J959" s="74"/>
      <x:c r="K959" s="74"/>
      <x:c r="L959" s="91"/>
      <x:c r="M959" s="91"/>
      <x:c r="N959" s="91"/>
      <x:c r="O959" s="91"/>
      <x:c r="P959" s="91"/>
      <x:c r="Q959" s="85"/>
      <x:c r="S959" s="86"/>
      <x:c r="T959" s="32"/>
    </x:row>
    <x:row r="960">
      <x:c r="A960" s="87"/>
      <x:c r="B960" s="88"/>
      <x:c r="D960" s="32"/>
      <x:c r="G960" s="74"/>
      <x:c r="H960" s="74"/>
      <x:c r="I960" s="74"/>
      <x:c r="J960" s="74"/>
      <x:c r="K960" s="74"/>
      <x:c r="L960" s="91"/>
      <x:c r="M960" s="91"/>
      <x:c r="N960" s="91"/>
      <x:c r="O960" s="91"/>
      <x:c r="P960" s="91"/>
      <x:c r="Q960" s="85"/>
      <x:c r="S960" s="86"/>
      <x:c r="T960" s="32"/>
    </x:row>
    <x:row r="961">
      <x:c r="A961" s="87"/>
      <x:c r="B961" s="88"/>
      <x:c r="D961" s="32"/>
      <x:c r="G961" s="74"/>
      <x:c r="H961" s="74"/>
      <x:c r="I961" s="74"/>
      <x:c r="J961" s="74"/>
      <x:c r="K961" s="74"/>
      <x:c r="L961" s="91"/>
      <x:c r="M961" s="91"/>
      <x:c r="N961" s="91"/>
      <x:c r="O961" s="91"/>
      <x:c r="P961" s="91"/>
      <x:c r="Q961" s="85"/>
      <x:c r="S961" s="86"/>
      <x:c r="T961" s="32"/>
    </x:row>
    <x:row r="962">
      <x:c r="A962" s="87"/>
      <x:c r="B962" s="88"/>
      <x:c r="D962" s="32"/>
      <x:c r="G962" s="74"/>
      <x:c r="H962" s="74"/>
      <x:c r="I962" s="74"/>
      <x:c r="J962" s="74"/>
      <x:c r="K962" s="74"/>
      <x:c r="L962" s="91"/>
      <x:c r="M962" s="91"/>
      <x:c r="N962" s="91"/>
      <x:c r="O962" s="91"/>
      <x:c r="P962" s="91"/>
      <x:c r="Q962" s="85"/>
      <x:c r="S962" s="86"/>
      <x:c r="T962" s="32"/>
    </x:row>
    <x:row r="963">
      <x:c r="A963" s="87"/>
      <x:c r="B963" s="88"/>
      <x:c r="D963" s="32"/>
      <x:c r="G963" s="74"/>
      <x:c r="H963" s="74"/>
      <x:c r="I963" s="74"/>
      <x:c r="J963" s="74"/>
      <x:c r="K963" s="74"/>
      <x:c r="L963" s="91"/>
      <x:c r="M963" s="91"/>
      <x:c r="N963" s="91"/>
      <x:c r="O963" s="91"/>
      <x:c r="P963" s="91"/>
      <x:c r="Q963" s="85"/>
      <x:c r="S963" s="86"/>
      <x:c r="T963" s="32"/>
    </x:row>
    <x:row r="964">
      <x:c r="A964" s="87"/>
      <x:c r="B964" s="88"/>
      <x:c r="D964" s="32"/>
      <x:c r="G964" s="74"/>
      <x:c r="H964" s="74"/>
      <x:c r="I964" s="74"/>
      <x:c r="J964" s="74"/>
      <x:c r="K964" s="74"/>
      <x:c r="L964" s="91"/>
      <x:c r="M964" s="91"/>
      <x:c r="N964" s="91"/>
      <x:c r="O964" s="91"/>
      <x:c r="P964" s="91"/>
      <x:c r="Q964" s="85"/>
      <x:c r="S964" s="86"/>
      <x:c r="T964" s="32"/>
    </x:row>
    <x:row r="965">
      <x:c r="A965" s="87"/>
      <x:c r="B965" s="88"/>
      <x:c r="D965" s="32"/>
      <x:c r="G965" s="74"/>
      <x:c r="H965" s="74"/>
      <x:c r="I965" s="74"/>
      <x:c r="J965" s="74"/>
      <x:c r="K965" s="74"/>
      <x:c r="L965" s="91"/>
      <x:c r="M965" s="91"/>
      <x:c r="N965" s="91"/>
      <x:c r="O965" s="91"/>
      <x:c r="P965" s="91"/>
      <x:c r="Q965" s="85"/>
      <x:c r="S965" s="86"/>
      <x:c r="T965" s="32"/>
    </x:row>
    <x:row r="966">
      <x:c r="A966" s="87"/>
      <x:c r="B966" s="88"/>
      <x:c r="D966" s="32"/>
      <x:c r="G966" s="74"/>
      <x:c r="H966" s="74"/>
      <x:c r="I966" s="74"/>
      <x:c r="J966" s="74"/>
      <x:c r="K966" s="74"/>
      <x:c r="L966" s="91"/>
      <x:c r="M966" s="91"/>
      <x:c r="N966" s="91"/>
      <x:c r="O966" s="91"/>
      <x:c r="P966" s="91"/>
      <x:c r="Q966" s="85"/>
      <x:c r="S966" s="86"/>
      <x:c r="T966" s="32"/>
    </x:row>
    <x:row r="967">
      <x:c r="A967" s="87"/>
      <x:c r="B967" s="88"/>
      <x:c r="D967" s="32"/>
      <x:c r="G967" s="74"/>
      <x:c r="H967" s="74"/>
      <x:c r="I967" s="74"/>
      <x:c r="J967" s="74"/>
      <x:c r="K967" s="74"/>
      <x:c r="L967" s="91"/>
      <x:c r="M967" s="91"/>
      <x:c r="N967" s="91"/>
      <x:c r="O967" s="91"/>
      <x:c r="P967" s="91"/>
      <x:c r="Q967" s="85"/>
      <x:c r="S967" s="86"/>
      <x:c r="T967" s="32"/>
    </x:row>
    <x:row r="968">
      <x:c r="A968" s="87"/>
      <x:c r="B968" s="88"/>
      <x:c r="D968" s="32"/>
      <x:c r="G968" s="74"/>
      <x:c r="H968" s="74"/>
      <x:c r="I968" s="74"/>
      <x:c r="J968" s="74"/>
      <x:c r="K968" s="74"/>
      <x:c r="L968" s="91"/>
      <x:c r="M968" s="91"/>
      <x:c r="N968" s="91"/>
      <x:c r="O968" s="91"/>
      <x:c r="P968" s="91"/>
      <x:c r="Q968" s="85"/>
      <x:c r="S968" s="86"/>
      <x:c r="T968" s="32"/>
    </x:row>
    <x:row r="969">
      <x:c r="A969" s="87"/>
      <x:c r="B969" s="88"/>
      <x:c r="D969" s="32"/>
      <x:c r="G969" s="74"/>
      <x:c r="H969" s="74"/>
      <x:c r="I969" s="74"/>
      <x:c r="J969" s="74"/>
      <x:c r="K969" s="74"/>
      <x:c r="L969" s="91"/>
      <x:c r="M969" s="91"/>
      <x:c r="N969" s="91"/>
      <x:c r="O969" s="91"/>
      <x:c r="P969" s="91"/>
      <x:c r="Q969" s="85"/>
      <x:c r="S969" s="86"/>
      <x:c r="T969" s="32"/>
    </x:row>
    <x:row r="970">
      <x:c r="A970" s="87"/>
      <x:c r="B970" s="88"/>
      <x:c r="D970" s="32"/>
      <x:c r="G970" s="74"/>
      <x:c r="H970" s="74"/>
      <x:c r="I970" s="74"/>
      <x:c r="J970" s="74"/>
      <x:c r="K970" s="74"/>
      <x:c r="L970" s="91"/>
      <x:c r="M970" s="91"/>
      <x:c r="N970" s="91"/>
      <x:c r="O970" s="91"/>
      <x:c r="P970" s="91"/>
      <x:c r="Q970" s="85"/>
      <x:c r="S970" s="86"/>
      <x:c r="T970" s="32"/>
    </x:row>
    <x:row r="971">
      <x:c r="A971" s="87"/>
      <x:c r="B971" s="88"/>
      <x:c r="D971" s="32"/>
      <x:c r="G971" s="74"/>
      <x:c r="H971" s="74"/>
      <x:c r="I971" s="74"/>
      <x:c r="J971" s="74"/>
      <x:c r="K971" s="74"/>
      <x:c r="L971" s="91"/>
      <x:c r="M971" s="91"/>
      <x:c r="N971" s="91"/>
      <x:c r="O971" s="91"/>
      <x:c r="P971" s="91"/>
      <x:c r="Q971" s="85"/>
      <x:c r="S971" s="86"/>
      <x:c r="T971" s="32"/>
    </x:row>
    <x:row r="972">
      <x:c r="A972" s="87"/>
      <x:c r="B972" s="88"/>
      <x:c r="D972" s="32"/>
      <x:c r="G972" s="74"/>
      <x:c r="H972" s="74"/>
      <x:c r="I972" s="74"/>
      <x:c r="J972" s="74"/>
      <x:c r="K972" s="74"/>
      <x:c r="L972" s="91"/>
      <x:c r="M972" s="91"/>
      <x:c r="N972" s="91"/>
      <x:c r="O972" s="91"/>
      <x:c r="P972" s="91"/>
      <x:c r="Q972" s="85"/>
      <x:c r="S972" s="86"/>
      <x:c r="T972" s="32"/>
    </x:row>
    <x:row r="973">
      <x:c r="A973" s="87"/>
      <x:c r="B973" s="88"/>
      <x:c r="D973" s="32"/>
      <x:c r="G973" s="74"/>
      <x:c r="H973" s="74"/>
      <x:c r="I973" s="74"/>
      <x:c r="J973" s="74"/>
      <x:c r="K973" s="74"/>
      <x:c r="L973" s="91"/>
      <x:c r="M973" s="91"/>
      <x:c r="N973" s="91"/>
      <x:c r="O973" s="91"/>
      <x:c r="P973" s="91"/>
      <x:c r="Q973" s="85"/>
      <x:c r="S973" s="86"/>
      <x:c r="T973" s="32"/>
    </x:row>
    <x:row r="974">
      <x:c r="A974" s="87"/>
      <x:c r="B974" s="88"/>
      <x:c r="D974" s="32"/>
      <x:c r="G974" s="74"/>
      <x:c r="H974" s="74"/>
      <x:c r="I974" s="74"/>
      <x:c r="J974" s="74"/>
      <x:c r="K974" s="74"/>
      <x:c r="L974" s="91"/>
      <x:c r="M974" s="91"/>
      <x:c r="N974" s="91"/>
      <x:c r="O974" s="91"/>
      <x:c r="P974" s="91"/>
      <x:c r="Q974" s="85"/>
      <x:c r="S974" s="86"/>
      <x:c r="T974" s="32"/>
    </x:row>
    <x:row r="975">
      <x:c r="A975" s="87"/>
      <x:c r="B975" s="88"/>
      <x:c r="D975" s="32"/>
      <x:c r="G975" s="74"/>
      <x:c r="H975" s="74"/>
      <x:c r="I975" s="74"/>
      <x:c r="J975" s="74"/>
      <x:c r="K975" s="74"/>
      <x:c r="L975" s="91"/>
      <x:c r="M975" s="91"/>
      <x:c r="N975" s="91"/>
      <x:c r="O975" s="91"/>
      <x:c r="P975" s="91"/>
      <x:c r="Q975" s="85"/>
      <x:c r="S975" s="86"/>
      <x:c r="T975" s="32"/>
    </x:row>
    <x:row r="976">
      <x:c r="A976" s="87"/>
      <x:c r="B976" s="88"/>
      <x:c r="D976" s="32"/>
      <x:c r="G976" s="74"/>
      <x:c r="H976" s="74"/>
      <x:c r="I976" s="74"/>
      <x:c r="J976" s="74"/>
      <x:c r="K976" s="74"/>
      <x:c r="L976" s="91"/>
      <x:c r="M976" s="91"/>
      <x:c r="N976" s="91"/>
      <x:c r="O976" s="91"/>
      <x:c r="P976" s="91"/>
      <x:c r="Q976" s="85"/>
      <x:c r="S976" s="86"/>
      <x:c r="T976" s="32"/>
    </x:row>
    <x:row r="977">
      <x:c r="A977" s="87"/>
      <x:c r="B977" s="88"/>
      <x:c r="D977" s="32"/>
      <x:c r="G977" s="74"/>
      <x:c r="H977" s="74"/>
      <x:c r="I977" s="74"/>
      <x:c r="J977" s="74"/>
      <x:c r="K977" s="74"/>
      <x:c r="L977" s="91"/>
      <x:c r="M977" s="91"/>
      <x:c r="N977" s="91"/>
      <x:c r="O977" s="91"/>
      <x:c r="P977" s="91"/>
      <x:c r="Q977" s="85"/>
      <x:c r="S977" s="86"/>
      <x:c r="T977" s="32"/>
    </x:row>
    <x:row r="978">
      <x:c r="A978" s="87"/>
      <x:c r="B978" s="88"/>
      <x:c r="D978" s="32"/>
      <x:c r="G978" s="74"/>
      <x:c r="H978" s="74"/>
      <x:c r="I978" s="74"/>
      <x:c r="J978" s="74"/>
      <x:c r="K978" s="74"/>
      <x:c r="L978" s="91"/>
      <x:c r="M978" s="91"/>
      <x:c r="N978" s="91"/>
      <x:c r="O978" s="91"/>
      <x:c r="P978" s="91"/>
      <x:c r="Q978" s="85"/>
      <x:c r="S978" s="86"/>
      <x:c r="T978" s="32"/>
    </x:row>
    <x:row r="979">
      <x:c r="A979" s="87"/>
      <x:c r="B979" s="88"/>
      <x:c r="D979" s="32"/>
      <x:c r="G979" s="74"/>
      <x:c r="H979" s="74"/>
      <x:c r="I979" s="74"/>
      <x:c r="J979" s="74"/>
      <x:c r="K979" s="74"/>
      <x:c r="L979" s="91"/>
      <x:c r="M979" s="91"/>
      <x:c r="N979" s="91"/>
      <x:c r="O979" s="91"/>
      <x:c r="P979" s="91"/>
      <x:c r="Q979" s="85"/>
      <x:c r="S979" s="86"/>
      <x:c r="T979" s="32"/>
    </x:row>
    <x:row r="980">
      <x:c r="A980" s="87"/>
      <x:c r="B980" s="88"/>
      <x:c r="D980" s="32"/>
      <x:c r="G980" s="74"/>
      <x:c r="H980" s="74"/>
      <x:c r="I980" s="74"/>
      <x:c r="J980" s="74"/>
      <x:c r="K980" s="74"/>
      <x:c r="L980" s="91"/>
      <x:c r="M980" s="91"/>
      <x:c r="N980" s="91"/>
      <x:c r="O980" s="91"/>
      <x:c r="P980" s="91"/>
      <x:c r="Q980" s="85"/>
      <x:c r="S980" s="86"/>
      <x:c r="T980" s="32"/>
    </x:row>
    <x:row r="981">
      <x:c r="A981" s="87"/>
      <x:c r="B981" s="88"/>
      <x:c r="D981" s="32"/>
      <x:c r="G981" s="74"/>
      <x:c r="H981" s="74"/>
      <x:c r="I981" s="74"/>
      <x:c r="J981" s="74"/>
      <x:c r="K981" s="74"/>
      <x:c r="L981" s="91"/>
      <x:c r="M981" s="91"/>
      <x:c r="N981" s="91"/>
      <x:c r="O981" s="91"/>
      <x:c r="P981" s="91"/>
      <x:c r="Q981" s="85"/>
      <x:c r="S981" s="86"/>
      <x:c r="T981" s="32"/>
    </x:row>
    <x:row r="982">
      <x:c r="A982" s="87"/>
      <x:c r="B982" s="88"/>
      <x:c r="D982" s="32"/>
      <x:c r="G982" s="74"/>
      <x:c r="H982" s="74"/>
      <x:c r="I982" s="74"/>
      <x:c r="J982" s="74"/>
      <x:c r="K982" s="74"/>
      <x:c r="L982" s="91"/>
      <x:c r="M982" s="91"/>
      <x:c r="N982" s="91"/>
      <x:c r="O982" s="91"/>
      <x:c r="P982" s="91"/>
      <x:c r="Q982" s="85"/>
      <x:c r="S982" s="86"/>
      <x:c r="T982" s="32"/>
    </x:row>
    <x:row r="983">
      <x:c r="A983" s="87"/>
      <x:c r="B983" s="88"/>
      <x:c r="D983" s="32"/>
      <x:c r="G983" s="74"/>
      <x:c r="H983" s="74"/>
      <x:c r="I983" s="74"/>
      <x:c r="J983" s="74"/>
      <x:c r="K983" s="74"/>
      <x:c r="L983" s="91"/>
      <x:c r="M983" s="91"/>
      <x:c r="N983" s="91"/>
      <x:c r="O983" s="91"/>
      <x:c r="P983" s="91"/>
      <x:c r="Q983" s="85"/>
      <x:c r="S983" s="86"/>
      <x:c r="T983" s="32"/>
    </x:row>
    <x:row r="984">
      <x:c r="A984" s="87"/>
      <x:c r="B984" s="88"/>
      <x:c r="D984" s="32"/>
      <x:c r="G984" s="74"/>
      <x:c r="H984" s="74"/>
      <x:c r="I984" s="74"/>
      <x:c r="J984" s="74"/>
      <x:c r="K984" s="74"/>
      <x:c r="L984" s="91"/>
      <x:c r="M984" s="91"/>
      <x:c r="N984" s="91"/>
      <x:c r="O984" s="91"/>
      <x:c r="P984" s="91"/>
      <x:c r="Q984" s="85"/>
      <x:c r="S984" s="86"/>
      <x:c r="T984" s="32"/>
    </x:row>
    <x:row r="985">
      <x:c r="A985" s="87"/>
      <x:c r="B985" s="88"/>
      <x:c r="D985" s="32"/>
      <x:c r="G985" s="74"/>
      <x:c r="H985" s="74"/>
      <x:c r="I985" s="74"/>
      <x:c r="J985" s="74"/>
      <x:c r="K985" s="74"/>
      <x:c r="L985" s="91"/>
      <x:c r="M985" s="91"/>
      <x:c r="N985" s="91"/>
      <x:c r="O985" s="91"/>
      <x:c r="P985" s="91"/>
      <x:c r="Q985" s="85"/>
      <x:c r="S985" s="86"/>
      <x:c r="T985" s="32"/>
    </x:row>
    <x:row r="986">
      <x:c r="A986" s="87"/>
      <x:c r="B986" s="88"/>
      <x:c r="D986" s="32"/>
      <x:c r="G986" s="74"/>
      <x:c r="H986" s="74"/>
      <x:c r="I986" s="74"/>
      <x:c r="J986" s="74"/>
      <x:c r="K986" s="74"/>
      <x:c r="L986" s="91"/>
      <x:c r="M986" s="91"/>
      <x:c r="N986" s="91"/>
      <x:c r="O986" s="91"/>
      <x:c r="P986" s="91"/>
      <x:c r="Q986" s="85"/>
      <x:c r="S986" s="86"/>
      <x:c r="T986" s="32"/>
    </x:row>
    <x:row r="987">
      <x:c r="A987" s="87"/>
      <x:c r="B987" s="88"/>
      <x:c r="D987" s="32"/>
      <x:c r="G987" s="74"/>
      <x:c r="H987" s="74"/>
      <x:c r="I987" s="74"/>
      <x:c r="J987" s="74"/>
      <x:c r="K987" s="74"/>
      <x:c r="L987" s="91"/>
      <x:c r="M987" s="91"/>
      <x:c r="N987" s="91"/>
      <x:c r="O987" s="91"/>
      <x:c r="P987" s="91"/>
      <x:c r="Q987" s="85"/>
      <x:c r="S987" s="86"/>
      <x:c r="T987" s="32"/>
    </x:row>
    <x:row r="988">
      <x:c r="A988" s="87"/>
      <x:c r="B988" s="88"/>
      <x:c r="D988" s="32"/>
      <x:c r="G988" s="74"/>
      <x:c r="H988" s="74"/>
      <x:c r="I988" s="74"/>
      <x:c r="J988" s="74"/>
      <x:c r="K988" s="74"/>
      <x:c r="L988" s="91"/>
      <x:c r="M988" s="91"/>
      <x:c r="N988" s="91"/>
      <x:c r="O988" s="91"/>
      <x:c r="P988" s="91"/>
      <x:c r="Q988" s="85"/>
      <x:c r="S988" s="86"/>
      <x:c r="T988" s="32"/>
    </x:row>
    <x:row r="989">
      <x:c r="A989" s="87"/>
      <x:c r="B989" s="88"/>
      <x:c r="D989" s="32"/>
      <x:c r="G989" s="74"/>
      <x:c r="H989" s="74"/>
      <x:c r="I989" s="74"/>
      <x:c r="J989" s="74"/>
      <x:c r="K989" s="74"/>
      <x:c r="L989" s="91"/>
      <x:c r="M989" s="91"/>
      <x:c r="N989" s="91"/>
      <x:c r="O989" s="91"/>
      <x:c r="P989" s="91"/>
      <x:c r="Q989" s="85"/>
      <x:c r="S989" s="86"/>
      <x:c r="T989" s="32"/>
    </x:row>
    <x:row r="990">
      <x:c r="A990" s="87"/>
      <x:c r="B990" s="88"/>
      <x:c r="D990" s="32"/>
      <x:c r="G990" s="74"/>
      <x:c r="H990" s="74"/>
      <x:c r="I990" s="74"/>
      <x:c r="J990" s="74"/>
      <x:c r="K990" s="74"/>
      <x:c r="L990" s="91"/>
      <x:c r="M990" s="91"/>
      <x:c r="N990" s="91"/>
      <x:c r="O990" s="91"/>
      <x:c r="P990" s="91"/>
      <x:c r="Q990" s="85"/>
      <x:c r="S990" s="86"/>
      <x:c r="T990" s="32"/>
    </x:row>
    <x:row r="991">
      <x:c r="A991" s="87"/>
      <x:c r="B991" s="88"/>
      <x:c r="D991" s="32"/>
      <x:c r="G991" s="74"/>
      <x:c r="H991" s="74"/>
      <x:c r="I991" s="74"/>
      <x:c r="J991" s="74"/>
      <x:c r="K991" s="74"/>
      <x:c r="L991" s="91"/>
      <x:c r="M991" s="91"/>
      <x:c r="N991" s="91"/>
      <x:c r="O991" s="91"/>
      <x:c r="P991" s="91"/>
      <x:c r="Q991" s="85"/>
      <x:c r="S991" s="86"/>
      <x:c r="T991" s="32"/>
    </x:row>
    <x:row r="992">
      <x:c r="A992" s="87"/>
      <x:c r="B992" s="88"/>
      <x:c r="D992" s="32"/>
      <x:c r="G992" s="74"/>
      <x:c r="H992" s="74"/>
      <x:c r="I992" s="74"/>
      <x:c r="J992" s="74"/>
      <x:c r="K992" s="74"/>
      <x:c r="L992" s="91"/>
      <x:c r="M992" s="91"/>
      <x:c r="N992" s="91"/>
      <x:c r="O992" s="91"/>
      <x:c r="P992" s="91"/>
      <x:c r="Q992" s="85"/>
      <x:c r="S992" s="86"/>
      <x:c r="T992" s="32"/>
    </x:row>
    <x:row r="993">
      <x:c r="A993" s="87"/>
      <x:c r="B993" s="88"/>
      <x:c r="D993" s="32"/>
      <x:c r="G993" s="74"/>
      <x:c r="H993" s="74"/>
      <x:c r="I993" s="74"/>
      <x:c r="J993" s="74"/>
      <x:c r="K993" s="74"/>
      <x:c r="L993" s="91"/>
      <x:c r="M993" s="91"/>
      <x:c r="N993" s="91"/>
      <x:c r="O993" s="91"/>
      <x:c r="P993" s="91"/>
      <x:c r="Q993" s="85"/>
      <x:c r="S993" s="86"/>
      <x:c r="T993" s="32"/>
    </x:row>
    <x:row r="994">
      <x:c r="A994" s="87"/>
      <x:c r="B994" s="88"/>
      <x:c r="D994" s="32"/>
      <x:c r="G994" s="74"/>
      <x:c r="H994" s="74"/>
      <x:c r="I994" s="74"/>
      <x:c r="J994" s="74"/>
      <x:c r="K994" s="74"/>
      <x:c r="L994" s="91"/>
      <x:c r="M994" s="91"/>
      <x:c r="N994" s="91"/>
      <x:c r="O994" s="91"/>
      <x:c r="P994" s="91"/>
      <x:c r="Q994" s="85"/>
      <x:c r="S994" s="86"/>
      <x:c r="T994" s="32"/>
    </x:row>
    <x:row r="995">
      <x:c r="A995" s="87"/>
      <x:c r="B995" s="88"/>
      <x:c r="D995" s="32"/>
      <x:c r="G995" s="74"/>
      <x:c r="H995" s="74"/>
      <x:c r="I995" s="74"/>
      <x:c r="J995" s="74"/>
      <x:c r="K995" s="74"/>
      <x:c r="L995" s="91"/>
      <x:c r="M995" s="91"/>
      <x:c r="N995" s="91"/>
      <x:c r="O995" s="91"/>
      <x:c r="P995" s="91"/>
      <x:c r="Q995" s="85"/>
      <x:c r="S995" s="86"/>
      <x:c r="T995" s="32"/>
    </x:row>
    <x:row r="996">
      <x:c r="A996" s="87"/>
      <x:c r="B996" s="88"/>
      <x:c r="D996" s="32"/>
      <x:c r="G996" s="74"/>
      <x:c r="H996" s="74"/>
      <x:c r="I996" s="74"/>
      <x:c r="J996" s="74"/>
      <x:c r="K996" s="74"/>
      <x:c r="L996" s="91"/>
      <x:c r="M996" s="91"/>
      <x:c r="N996" s="91"/>
      <x:c r="O996" s="91"/>
      <x:c r="P996" s="91"/>
      <x:c r="Q996" s="85"/>
      <x:c r="S996" s="86"/>
      <x:c r="T996" s="32"/>
    </x:row>
    <x:row r="997">
      <x:c r="A997" s="87"/>
      <x:c r="B997" s="88"/>
      <x:c r="D997" s="32"/>
      <x:c r="G997" s="74"/>
      <x:c r="H997" s="74"/>
      <x:c r="I997" s="74"/>
      <x:c r="J997" s="74"/>
      <x:c r="K997" s="74"/>
      <x:c r="L997" s="91"/>
      <x:c r="M997" s="91"/>
      <x:c r="N997" s="91"/>
      <x:c r="O997" s="91"/>
      <x:c r="P997" s="91"/>
      <x:c r="Q997" s="85"/>
      <x:c r="S997" s="86"/>
      <x:c r="T997" s="32"/>
    </x:row>
    <x:row r="998">
      <x:c r="A998" s="87"/>
      <x:c r="B998" s="88"/>
      <x:c r="D998" s="32"/>
      <x:c r="G998" s="74"/>
      <x:c r="H998" s="74"/>
      <x:c r="I998" s="74"/>
      <x:c r="J998" s="74"/>
      <x:c r="K998" s="74"/>
      <x:c r="L998" s="91"/>
      <x:c r="M998" s="91"/>
      <x:c r="N998" s="91"/>
      <x:c r="O998" s="91"/>
      <x:c r="P998" s="91"/>
      <x:c r="Q998" s="85"/>
      <x:c r="S998" s="86"/>
      <x:c r="T998" s="32"/>
    </x:row>
    <x:row r="999">
      <x:c r="A999" s="87"/>
      <x:c r="B999" s="88"/>
      <x:c r="D999" s="32"/>
      <x:c r="G999" s="74"/>
      <x:c r="H999" s="74"/>
      <x:c r="I999" s="74"/>
      <x:c r="J999" s="74"/>
      <x:c r="K999" s="74"/>
      <x:c r="L999" s="91"/>
      <x:c r="M999" s="91"/>
      <x:c r="N999" s="91"/>
      <x:c r="O999" s="91"/>
      <x:c r="P999" s="91"/>
      <x:c r="Q999" s="85"/>
      <x:c r="S999" s="86"/>
      <x:c r="T999" s="32"/>
    </x:row>
    <x:row r="1000">
      <x:c r="A1000" s="87"/>
      <x:c r="B1000" s="88"/>
      <x:c r="D1000" s="32"/>
      <x:c r="G1000" s="74"/>
      <x:c r="H1000" s="74"/>
      <x:c r="I1000" s="74"/>
      <x:c r="J1000" s="74"/>
      <x:c r="K1000" s="74"/>
      <x:c r="L1000" s="91"/>
      <x:c r="M1000" s="91"/>
      <x:c r="N1000" s="91"/>
      <x:c r="O1000" s="91"/>
      <x:c r="P1000" s="91"/>
      <x:c r="Q1000" s="85"/>
      <x:c r="S1000" s="86"/>
      <x:c r="T1000" s="32"/>
    </x:row>
    <x:row r="1001">
      <x:c r="A1001" s="87"/>
      <x:c r="B1001" s="88"/>
      <x:c r="D1001" s="32"/>
      <x:c r="G1001" s="74"/>
      <x:c r="H1001" s="74"/>
      <x:c r="I1001" s="74"/>
      <x:c r="J1001" s="74"/>
      <x:c r="K1001" s="74"/>
      <x:c r="L1001" s="91"/>
      <x:c r="M1001" s="91"/>
      <x:c r="N1001" s="91"/>
      <x:c r="O1001" s="91"/>
      <x:c r="P1001" s="91"/>
      <x:c r="Q1001" s="85"/>
      <x:c r="S1001" s="86"/>
      <x:c r="T1001" s="32"/>
    </x:row>
    <x:row r="1002">
      <x:c r="A1002" s="87"/>
      <x:c r="B1002" s="88"/>
      <x:c r="D1002" s="32"/>
      <x:c r="G1002" s="74"/>
      <x:c r="H1002" s="74"/>
      <x:c r="I1002" s="74"/>
      <x:c r="J1002" s="74"/>
      <x:c r="K1002" s="74"/>
      <x:c r="L1002" s="91"/>
      <x:c r="M1002" s="91"/>
      <x:c r="N1002" s="91"/>
      <x:c r="O1002" s="91"/>
      <x:c r="P1002" s="91"/>
      <x:c r="Q1002" s="85"/>
      <x:c r="S1002" s="86"/>
      <x:c r="T1002" s="32"/>
    </x:row>
    <x:row r="1003">
      <x:c r="A1003" s="87"/>
      <x:c r="B1003" s="88"/>
      <x:c r="D1003" s="32"/>
      <x:c r="G1003" s="74"/>
      <x:c r="H1003" s="74"/>
      <x:c r="I1003" s="74"/>
      <x:c r="J1003" s="74"/>
      <x:c r="K1003" s="74"/>
      <x:c r="L1003" s="91"/>
      <x:c r="M1003" s="91"/>
      <x:c r="N1003" s="91"/>
      <x:c r="O1003" s="91"/>
      <x:c r="P1003" s="91"/>
      <x:c r="Q1003" s="85"/>
      <x:c r="S1003" s="86"/>
      <x:c r="T1003" s="32"/>
    </x:row>
    <x:row r="1004">
      <x:c r="A1004" s="87"/>
      <x:c r="B1004" s="88"/>
      <x:c r="D1004" s="32"/>
      <x:c r="G1004" s="74"/>
      <x:c r="H1004" s="74"/>
      <x:c r="I1004" s="74"/>
      <x:c r="J1004" s="74"/>
      <x:c r="K1004" s="74"/>
      <x:c r="L1004" s="91"/>
      <x:c r="M1004" s="91"/>
      <x:c r="N1004" s="91"/>
      <x:c r="O1004" s="91"/>
      <x:c r="P1004" s="91"/>
      <x:c r="Q1004" s="85"/>
      <x:c r="S1004" s="86"/>
      <x:c r="T1004" s="32"/>
    </x:row>
    <x:row r="1005">
      <x:c r="A1005" s="87"/>
      <x:c r="B1005" s="88"/>
      <x:c r="D1005" s="32"/>
      <x:c r="G1005" s="74"/>
      <x:c r="H1005" s="74"/>
      <x:c r="I1005" s="74"/>
      <x:c r="J1005" s="74"/>
      <x:c r="K1005" s="74"/>
      <x:c r="L1005" s="91"/>
      <x:c r="M1005" s="91"/>
      <x:c r="N1005" s="91"/>
      <x:c r="O1005" s="91"/>
      <x:c r="P1005" s="91"/>
      <x:c r="Q1005" s="85"/>
      <x:c r="S1005" s="86"/>
      <x:c r="T1005" s="32"/>
    </x:row>
    <x:row r="1006">
      <x:c r="A1006" s="87"/>
      <x:c r="B1006" s="88"/>
      <x:c r="D1006" s="32"/>
      <x:c r="G1006" s="74"/>
      <x:c r="H1006" s="74"/>
      <x:c r="I1006" s="74"/>
      <x:c r="J1006" s="74"/>
      <x:c r="K1006" s="74"/>
      <x:c r="L1006" s="91"/>
      <x:c r="M1006" s="91"/>
      <x:c r="N1006" s="91"/>
      <x:c r="O1006" s="91"/>
      <x:c r="P1006" s="91"/>
      <x:c r="Q1006" s="85"/>
      <x:c r="S1006" s="86"/>
      <x:c r="T1006" s="32"/>
    </x:row>
    <x:row r="1007">
      <x:c r="A1007" s="87"/>
      <x:c r="B1007" s="88"/>
      <x:c r="D1007" s="32"/>
      <x:c r="G1007" s="74"/>
      <x:c r="H1007" s="74"/>
      <x:c r="I1007" s="74"/>
      <x:c r="J1007" s="74"/>
      <x:c r="K1007" s="74"/>
      <x:c r="L1007" s="91"/>
      <x:c r="M1007" s="91"/>
      <x:c r="N1007" s="91"/>
      <x:c r="O1007" s="91"/>
      <x:c r="P1007" s="91"/>
      <x:c r="Q1007" s="85"/>
      <x:c r="S1007" s="86"/>
      <x:c r="T1007" s="32"/>
    </x:row>
    <x:row r="1008">
      <x:c r="A1008" s="87"/>
      <x:c r="B1008" s="88"/>
      <x:c r="D1008" s="32"/>
      <x:c r="G1008" s="74"/>
      <x:c r="H1008" s="74"/>
      <x:c r="I1008" s="74"/>
      <x:c r="J1008" s="74"/>
      <x:c r="K1008" s="74"/>
      <x:c r="L1008" s="91"/>
      <x:c r="M1008" s="91"/>
      <x:c r="N1008" s="91"/>
      <x:c r="O1008" s="91"/>
      <x:c r="P1008" s="91"/>
      <x:c r="Q1008" s="85"/>
      <x:c r="S1008" s="86"/>
      <x:c r="T1008" s="32"/>
    </x:row>
    <x:row r="1009">
      <x:c r="A1009" s="87"/>
      <x:c r="B1009" s="88"/>
      <x:c r="D1009" s="32"/>
      <x:c r="G1009" s="74"/>
      <x:c r="H1009" s="74"/>
      <x:c r="I1009" s="74"/>
      <x:c r="J1009" s="74"/>
      <x:c r="K1009" s="74"/>
      <x:c r="L1009" s="91"/>
      <x:c r="M1009" s="91"/>
      <x:c r="N1009" s="91"/>
      <x:c r="O1009" s="91"/>
      <x:c r="P1009" s="91"/>
      <x:c r="Q1009" s="85"/>
      <x:c r="S1009" s="86"/>
      <x:c r="T1009" s="32"/>
    </x:row>
    <x:row r="1010">
      <x:c r="A1010" s="87"/>
      <x:c r="B1010" s="88"/>
      <x:c r="D1010" s="32"/>
      <x:c r="G1010" s="74"/>
      <x:c r="H1010" s="74"/>
      <x:c r="I1010" s="74"/>
      <x:c r="J1010" s="74"/>
      <x:c r="K1010" s="74"/>
      <x:c r="L1010" s="91"/>
      <x:c r="M1010" s="91"/>
      <x:c r="N1010" s="91"/>
      <x:c r="O1010" s="91"/>
      <x:c r="P1010" s="91"/>
      <x:c r="Q1010" s="85"/>
      <x:c r="S1010" s="86"/>
      <x:c r="T1010" s="32"/>
    </x:row>
    <x:row r="1011">
      <x:c r="A1011" s="87"/>
      <x:c r="B1011" s="88"/>
      <x:c r="D1011" s="32"/>
      <x:c r="G1011" s="74"/>
      <x:c r="H1011" s="74"/>
      <x:c r="I1011" s="74"/>
      <x:c r="J1011" s="74"/>
      <x:c r="K1011" s="74"/>
      <x:c r="L1011" s="91"/>
      <x:c r="M1011" s="91"/>
      <x:c r="N1011" s="91"/>
      <x:c r="O1011" s="91"/>
      <x:c r="P1011" s="91"/>
      <x:c r="Q1011" s="85"/>
      <x:c r="S1011" s="86"/>
      <x:c r="T1011" s="32"/>
    </x:row>
    <x:row r="1012">
      <x:c r="A1012" s="87"/>
      <x:c r="B1012" s="88"/>
      <x:c r="D1012" s="32"/>
      <x:c r="G1012" s="74"/>
      <x:c r="H1012" s="74"/>
      <x:c r="I1012" s="74"/>
      <x:c r="J1012" s="74"/>
      <x:c r="K1012" s="74"/>
      <x:c r="L1012" s="91"/>
      <x:c r="M1012" s="91"/>
      <x:c r="N1012" s="91"/>
      <x:c r="O1012" s="91"/>
      <x:c r="P1012" s="91"/>
      <x:c r="Q1012" s="85"/>
      <x:c r="S1012" s="86"/>
      <x:c r="T1012" s="32"/>
    </x:row>
    <x:row r="1013">
      <x:c r="A1013" s="87"/>
      <x:c r="B1013" s="88"/>
      <x:c r="D1013" s="32"/>
      <x:c r="G1013" s="74"/>
      <x:c r="H1013" s="74"/>
      <x:c r="I1013" s="74"/>
      <x:c r="J1013" s="74"/>
      <x:c r="K1013" s="74"/>
      <x:c r="L1013" s="91"/>
      <x:c r="M1013" s="91"/>
      <x:c r="N1013" s="91"/>
      <x:c r="O1013" s="91"/>
      <x:c r="P1013" s="91"/>
      <x:c r="Q1013" s="85"/>
      <x:c r="S1013" s="86"/>
      <x:c r="T1013" s="32"/>
    </x:row>
    <x:row r="1014">
      <x:c r="A1014" s="87"/>
      <x:c r="B1014" s="88"/>
      <x:c r="D1014" s="32"/>
      <x:c r="G1014" s="74"/>
      <x:c r="H1014" s="74"/>
      <x:c r="I1014" s="74"/>
      <x:c r="J1014" s="74"/>
      <x:c r="K1014" s="74"/>
      <x:c r="L1014" s="91"/>
      <x:c r="M1014" s="91"/>
      <x:c r="N1014" s="91"/>
      <x:c r="O1014" s="91"/>
      <x:c r="P1014" s="91"/>
      <x:c r="Q1014" s="85"/>
      <x:c r="S1014" s="86"/>
      <x:c r="T1014" s="32"/>
    </x:row>
    <x:row r="1015">
      <x:c r="A1015" s="87"/>
      <x:c r="B1015" s="88"/>
      <x:c r="D1015" s="32"/>
      <x:c r="G1015" s="74"/>
      <x:c r="H1015" s="74"/>
      <x:c r="I1015" s="74"/>
      <x:c r="J1015" s="74"/>
      <x:c r="K1015" s="74"/>
      <x:c r="L1015" s="91"/>
      <x:c r="M1015" s="91"/>
      <x:c r="N1015" s="91"/>
      <x:c r="O1015" s="91"/>
      <x:c r="P1015" s="91"/>
      <x:c r="Q1015" s="85"/>
      <x:c r="S1015" s="86"/>
      <x:c r="T1015" s="32"/>
    </x:row>
    <x:row r="1016">
      <x:c r="A1016" s="87"/>
      <x:c r="B1016" s="88"/>
      <x:c r="D1016" s="32"/>
      <x:c r="G1016" s="74"/>
      <x:c r="H1016" s="74"/>
      <x:c r="I1016" s="74"/>
      <x:c r="J1016" s="74"/>
      <x:c r="K1016" s="74"/>
      <x:c r="L1016" s="91"/>
      <x:c r="M1016" s="91"/>
      <x:c r="N1016" s="91"/>
      <x:c r="O1016" s="91"/>
      <x:c r="P1016" s="91"/>
      <x:c r="Q1016" s="85"/>
      <x:c r="S1016" s="86"/>
      <x:c r="T1016" s="32"/>
    </x:row>
    <x:row r="1017">
      <x:c r="A1017" s="87"/>
      <x:c r="B1017" s="88"/>
      <x:c r="D1017" s="32"/>
      <x:c r="G1017" s="74"/>
      <x:c r="H1017" s="74"/>
      <x:c r="I1017" s="74"/>
      <x:c r="J1017" s="74"/>
      <x:c r="K1017" s="74"/>
      <x:c r="L1017" s="91"/>
      <x:c r="M1017" s="91"/>
      <x:c r="N1017" s="91"/>
      <x:c r="O1017" s="91"/>
      <x:c r="P1017" s="91"/>
      <x:c r="Q1017" s="85"/>
      <x:c r="S1017" s="86"/>
      <x:c r="T1017" s="32"/>
    </x:row>
    <x:row r="1018">
      <x:c r="A1018" s="87"/>
      <x:c r="B1018" s="88"/>
      <x:c r="D1018" s="32"/>
      <x:c r="G1018" s="74"/>
      <x:c r="H1018" s="74"/>
      <x:c r="I1018" s="74"/>
      <x:c r="J1018" s="74"/>
      <x:c r="K1018" s="74"/>
      <x:c r="L1018" s="91"/>
      <x:c r="M1018" s="91"/>
      <x:c r="N1018" s="91"/>
      <x:c r="O1018" s="91"/>
      <x:c r="P1018" s="91"/>
      <x:c r="Q1018" s="85"/>
      <x:c r="S1018" s="86"/>
      <x:c r="T1018" s="32"/>
    </x:row>
    <x:row r="1019">
      <x:c r="A1019" s="87"/>
      <x:c r="B1019" s="88"/>
      <x:c r="D1019" s="32"/>
      <x:c r="G1019" s="74"/>
      <x:c r="H1019" s="74"/>
      <x:c r="I1019" s="74"/>
      <x:c r="J1019" s="74"/>
      <x:c r="K1019" s="74"/>
      <x:c r="L1019" s="91"/>
      <x:c r="M1019" s="91"/>
      <x:c r="N1019" s="91"/>
      <x:c r="O1019" s="91"/>
      <x:c r="P1019" s="91"/>
      <x:c r="Q1019" s="85"/>
      <x:c r="S1019" s="86"/>
      <x:c r="T1019" s="32"/>
    </x:row>
    <x:row r="1020">
      <x:c r="A1020" s="87"/>
      <x:c r="B1020" s="88"/>
      <x:c r="D1020" s="32"/>
      <x:c r="G1020" s="74"/>
      <x:c r="H1020" s="74"/>
      <x:c r="I1020" s="74"/>
      <x:c r="J1020" s="74"/>
      <x:c r="K1020" s="74"/>
      <x:c r="L1020" s="91"/>
      <x:c r="M1020" s="91"/>
      <x:c r="N1020" s="91"/>
      <x:c r="O1020" s="91"/>
      <x:c r="P1020" s="91"/>
      <x:c r="Q1020" s="85"/>
      <x:c r="S1020" s="86"/>
      <x:c r="T1020" s="32"/>
    </x:row>
    <x:row r="1021">
      <x:c r="A1021" s="87"/>
      <x:c r="B1021" s="88"/>
      <x:c r="D1021" s="32"/>
      <x:c r="G1021" s="74"/>
      <x:c r="H1021" s="74"/>
      <x:c r="I1021" s="74"/>
      <x:c r="J1021" s="74"/>
      <x:c r="K1021" s="74"/>
      <x:c r="L1021" s="91"/>
      <x:c r="M1021" s="91"/>
      <x:c r="N1021" s="91"/>
      <x:c r="O1021" s="91"/>
      <x:c r="P1021" s="91"/>
      <x:c r="Q1021" s="85"/>
      <x:c r="S1021" s="86"/>
      <x:c r="T1021" s="32"/>
    </x:row>
    <x:row r="1022">
      <x:c r="A1022" s="87"/>
      <x:c r="B1022" s="88"/>
      <x:c r="D1022" s="32"/>
      <x:c r="G1022" s="74"/>
      <x:c r="H1022" s="74"/>
      <x:c r="I1022" s="74"/>
      <x:c r="J1022" s="74"/>
      <x:c r="K1022" s="74"/>
      <x:c r="L1022" s="91"/>
      <x:c r="M1022" s="91"/>
      <x:c r="N1022" s="91"/>
      <x:c r="O1022" s="91"/>
      <x:c r="P1022" s="91"/>
      <x:c r="Q1022" s="85"/>
      <x:c r="S1022" s="86"/>
      <x:c r="T1022" s="32"/>
    </x:row>
    <x:row r="1023">
      <x:c r="A1023" s="87"/>
      <x:c r="B1023" s="88"/>
      <x:c r="D1023" s="32"/>
      <x:c r="G1023" s="74"/>
      <x:c r="H1023" s="74"/>
      <x:c r="I1023" s="74"/>
      <x:c r="J1023" s="74"/>
      <x:c r="K1023" s="74"/>
      <x:c r="L1023" s="91"/>
      <x:c r="M1023" s="91"/>
      <x:c r="N1023" s="91"/>
      <x:c r="O1023" s="91"/>
      <x:c r="P1023" s="91"/>
      <x:c r="Q1023" s="85"/>
      <x:c r="S1023" s="86"/>
      <x:c r="T1023" s="32"/>
    </x:row>
    <x:row r="1024">
      <x:c r="A1024" s="87"/>
      <x:c r="B1024" s="88"/>
      <x:c r="D1024" s="32"/>
      <x:c r="G1024" s="74"/>
      <x:c r="H1024" s="74"/>
      <x:c r="I1024" s="74"/>
      <x:c r="J1024" s="74"/>
      <x:c r="K1024" s="74"/>
      <x:c r="L1024" s="91"/>
      <x:c r="M1024" s="91"/>
      <x:c r="N1024" s="91"/>
      <x:c r="O1024" s="91"/>
      <x:c r="P1024" s="91"/>
      <x:c r="Q1024" s="85"/>
      <x:c r="S1024" s="86"/>
      <x:c r="T1024" s="32"/>
    </x:row>
    <x:row r="1025">
      <x:c r="A1025" s="87"/>
      <x:c r="B1025" s="88"/>
      <x:c r="D1025" s="32"/>
      <x:c r="G1025" s="74"/>
      <x:c r="H1025" s="74"/>
      <x:c r="I1025" s="74"/>
      <x:c r="J1025" s="74"/>
      <x:c r="K1025" s="74"/>
      <x:c r="L1025" s="91"/>
      <x:c r="M1025" s="91"/>
      <x:c r="N1025" s="91"/>
      <x:c r="O1025" s="91"/>
      <x:c r="P1025" s="91"/>
      <x:c r="Q1025" s="85"/>
      <x:c r="S1025" s="86"/>
      <x:c r="T1025" s="32"/>
    </x:row>
    <x:row r="1026">
      <x:c r="A1026" s="87"/>
      <x:c r="B1026" s="88"/>
      <x:c r="D1026" s="32"/>
      <x:c r="G1026" s="74"/>
      <x:c r="H1026" s="74"/>
      <x:c r="I1026" s="74"/>
      <x:c r="J1026" s="74"/>
      <x:c r="K1026" s="74"/>
      <x:c r="L1026" s="91"/>
      <x:c r="M1026" s="91"/>
      <x:c r="N1026" s="91"/>
      <x:c r="O1026" s="91"/>
      <x:c r="P1026" s="91"/>
      <x:c r="Q1026" s="85"/>
      <x:c r="S1026" s="86"/>
      <x:c r="T1026" s="32"/>
    </x:row>
    <x:row r="1027">
      <x:c r="A1027" s="87"/>
      <x:c r="B1027" s="88"/>
      <x:c r="D1027" s="32"/>
      <x:c r="G1027" s="74"/>
      <x:c r="H1027" s="74"/>
      <x:c r="I1027" s="74"/>
      <x:c r="J1027" s="74"/>
      <x:c r="K1027" s="74"/>
      <x:c r="L1027" s="91"/>
      <x:c r="M1027" s="91"/>
      <x:c r="N1027" s="91"/>
      <x:c r="O1027" s="91"/>
      <x:c r="P1027" s="91"/>
      <x:c r="Q1027" s="85"/>
      <x:c r="S1027" s="86"/>
      <x:c r="T1027" s="32"/>
    </x:row>
    <x:row r="1028">
      <x:c r="A1028" s="87"/>
      <x:c r="B1028" s="88"/>
      <x:c r="D1028" s="32"/>
      <x:c r="G1028" s="74"/>
      <x:c r="H1028" s="74"/>
      <x:c r="I1028" s="74"/>
      <x:c r="J1028" s="74"/>
      <x:c r="K1028" s="74"/>
      <x:c r="L1028" s="91"/>
      <x:c r="M1028" s="91"/>
      <x:c r="N1028" s="91"/>
      <x:c r="O1028" s="91"/>
      <x:c r="P1028" s="91"/>
      <x:c r="Q1028" s="85"/>
      <x:c r="S1028" s="86"/>
      <x:c r="T1028" s="32"/>
    </x:row>
    <x:row r="1029">
      <x:c r="A1029" s="87"/>
      <x:c r="B1029" s="88"/>
      <x:c r="D1029" s="32"/>
      <x:c r="G1029" s="74"/>
      <x:c r="H1029" s="74"/>
      <x:c r="I1029" s="74"/>
      <x:c r="J1029" s="74"/>
      <x:c r="K1029" s="74"/>
      <x:c r="L1029" s="91"/>
      <x:c r="M1029" s="91"/>
      <x:c r="N1029" s="91"/>
      <x:c r="O1029" s="91"/>
      <x:c r="P1029" s="91"/>
      <x:c r="Q1029" s="85"/>
      <x:c r="S1029" s="86"/>
      <x:c r="T1029" s="32"/>
    </x:row>
    <x:row r="1030">
      <x:c r="A1030" s="87"/>
      <x:c r="B1030" s="88"/>
      <x:c r="D1030" s="32"/>
      <x:c r="G1030" s="74"/>
      <x:c r="H1030" s="74"/>
      <x:c r="I1030" s="74"/>
      <x:c r="J1030" s="74"/>
      <x:c r="K1030" s="74"/>
      <x:c r="L1030" s="91"/>
      <x:c r="M1030" s="91"/>
      <x:c r="N1030" s="91"/>
      <x:c r="O1030" s="91"/>
      <x:c r="P1030" s="91"/>
      <x:c r="Q1030" s="85"/>
      <x:c r="S1030" s="86"/>
      <x:c r="T1030" s="32"/>
    </x:row>
    <x:row r="1031">
      <x:c r="A1031" s="87"/>
      <x:c r="B1031" s="88"/>
      <x:c r="D1031" s="32"/>
      <x:c r="G1031" s="74"/>
      <x:c r="H1031" s="74"/>
      <x:c r="I1031" s="74"/>
      <x:c r="J1031" s="74"/>
      <x:c r="K1031" s="74"/>
      <x:c r="L1031" s="91"/>
      <x:c r="M1031" s="91"/>
      <x:c r="N1031" s="91"/>
      <x:c r="O1031" s="91"/>
      <x:c r="P1031" s="91"/>
      <x:c r="Q1031" s="85"/>
      <x:c r="S1031" s="86"/>
      <x:c r="T1031" s="32"/>
    </x:row>
    <x:row r="1032">
      <x:c r="A1032" s="87"/>
      <x:c r="B1032" s="88"/>
      <x:c r="D1032" s="32"/>
      <x:c r="G1032" s="74"/>
      <x:c r="H1032" s="74"/>
      <x:c r="I1032" s="74"/>
      <x:c r="J1032" s="74"/>
      <x:c r="K1032" s="74"/>
      <x:c r="L1032" s="91"/>
      <x:c r="M1032" s="91"/>
      <x:c r="N1032" s="91"/>
      <x:c r="O1032" s="91"/>
      <x:c r="P1032" s="91"/>
      <x:c r="Q1032" s="85"/>
      <x:c r="S1032" s="86"/>
      <x:c r="T1032" s="32"/>
    </x:row>
    <x:row r="1033">
      <x:c r="A1033" s="87"/>
      <x:c r="B1033" s="88"/>
      <x:c r="D1033" s="32"/>
      <x:c r="G1033" s="74"/>
      <x:c r="H1033" s="74"/>
      <x:c r="I1033" s="74"/>
      <x:c r="J1033" s="74"/>
      <x:c r="K1033" s="74"/>
      <x:c r="L1033" s="91"/>
      <x:c r="M1033" s="91"/>
      <x:c r="N1033" s="91"/>
      <x:c r="O1033" s="91"/>
      <x:c r="P1033" s="91"/>
      <x:c r="Q1033" s="85"/>
      <x:c r="S1033" s="86"/>
      <x:c r="T1033" s="32"/>
    </x:row>
    <x:row r="1034">
      <x:c r="A1034" s="87"/>
      <x:c r="B1034" s="88"/>
      <x:c r="D1034" s="32"/>
      <x:c r="G1034" s="74"/>
      <x:c r="H1034" s="74"/>
      <x:c r="I1034" s="74"/>
      <x:c r="J1034" s="74"/>
      <x:c r="K1034" s="74"/>
      <x:c r="L1034" s="91"/>
      <x:c r="M1034" s="91"/>
      <x:c r="N1034" s="91"/>
      <x:c r="O1034" s="91"/>
      <x:c r="P1034" s="91"/>
      <x:c r="Q1034" s="85"/>
      <x:c r="S1034" s="86"/>
      <x:c r="T1034" s="32"/>
    </x:row>
    <x:row r="1035">
      <x:c r="A1035" s="87"/>
      <x:c r="B1035" s="88"/>
      <x:c r="D1035" s="32"/>
      <x:c r="G1035" s="74"/>
      <x:c r="H1035" s="74"/>
      <x:c r="I1035" s="74"/>
      <x:c r="J1035" s="74"/>
      <x:c r="K1035" s="74"/>
      <x:c r="L1035" s="91"/>
      <x:c r="M1035" s="91"/>
      <x:c r="N1035" s="91"/>
      <x:c r="O1035" s="91"/>
      <x:c r="P1035" s="91"/>
      <x:c r="Q1035" s="85"/>
      <x:c r="S1035" s="86"/>
      <x:c r="T1035" s="32"/>
    </x:row>
    <x:row r="1036">
      <x:c r="A1036" s="87"/>
      <x:c r="B1036" s="88"/>
      <x:c r="D1036" s="32"/>
      <x:c r="G1036" s="74"/>
      <x:c r="H1036" s="74"/>
      <x:c r="I1036" s="74"/>
      <x:c r="J1036" s="74"/>
      <x:c r="K1036" s="74"/>
      <x:c r="L1036" s="91"/>
      <x:c r="M1036" s="91"/>
      <x:c r="N1036" s="91"/>
      <x:c r="O1036" s="91"/>
      <x:c r="P1036" s="91"/>
      <x:c r="Q1036" s="85"/>
      <x:c r="S1036" s="86"/>
      <x:c r="T1036" s="32"/>
    </x:row>
    <x:row r="1037">
      <x:c r="A1037" s="87"/>
      <x:c r="B1037" s="88"/>
      <x:c r="D1037" s="32"/>
      <x:c r="G1037" s="74"/>
      <x:c r="H1037" s="74"/>
      <x:c r="I1037" s="74"/>
      <x:c r="J1037" s="74"/>
      <x:c r="K1037" s="74"/>
      <x:c r="L1037" s="91"/>
      <x:c r="M1037" s="91"/>
      <x:c r="N1037" s="91"/>
      <x:c r="O1037" s="91"/>
      <x:c r="P1037" s="91"/>
      <x:c r="Q1037" s="85"/>
      <x:c r="S1037" s="86"/>
      <x:c r="T1037" s="32"/>
    </x:row>
    <x:row r="1038">
      <x:c r="A1038" s="87"/>
      <x:c r="B1038" s="88"/>
      <x:c r="D1038" s="32"/>
      <x:c r="G1038" s="74"/>
      <x:c r="H1038" s="74"/>
      <x:c r="I1038" s="74"/>
      <x:c r="J1038" s="74"/>
      <x:c r="K1038" s="74"/>
      <x:c r="L1038" s="91"/>
      <x:c r="M1038" s="91"/>
      <x:c r="N1038" s="91"/>
      <x:c r="O1038" s="91"/>
      <x:c r="P1038" s="91"/>
      <x:c r="Q1038" s="85"/>
      <x:c r="S1038" s="86"/>
      <x:c r="T1038" s="32"/>
    </x:row>
    <x:row r="1039">
      <x:c r="A1039" s="87"/>
      <x:c r="B1039" s="88"/>
      <x:c r="D1039" s="32"/>
      <x:c r="G1039" s="74"/>
      <x:c r="H1039" s="74"/>
      <x:c r="I1039" s="74"/>
      <x:c r="J1039" s="74"/>
      <x:c r="K1039" s="74"/>
      <x:c r="L1039" s="91"/>
      <x:c r="M1039" s="91"/>
      <x:c r="N1039" s="91"/>
      <x:c r="O1039" s="91"/>
      <x:c r="P1039" s="91"/>
      <x:c r="Q1039" s="85"/>
      <x:c r="S1039" s="86"/>
      <x:c r="T1039" s="32"/>
    </x:row>
    <x:row r="1040">
      <x:c r="A1040" s="87"/>
      <x:c r="B1040" s="88"/>
      <x:c r="D1040" s="32"/>
      <x:c r="G1040" s="74"/>
      <x:c r="H1040" s="74"/>
      <x:c r="I1040" s="74"/>
      <x:c r="J1040" s="74"/>
      <x:c r="K1040" s="74"/>
      <x:c r="L1040" s="91"/>
      <x:c r="M1040" s="91"/>
      <x:c r="N1040" s="91"/>
      <x:c r="O1040" s="91"/>
      <x:c r="P1040" s="91"/>
      <x:c r="Q1040" s="85"/>
      <x:c r="S1040" s="86"/>
      <x:c r="T1040" s="32"/>
    </x:row>
    <x:row r="1041">
      <x:c r="A1041" s="87"/>
      <x:c r="B1041" s="88"/>
      <x:c r="D1041" s="32"/>
      <x:c r="G1041" s="74"/>
      <x:c r="H1041" s="74"/>
      <x:c r="I1041" s="74"/>
      <x:c r="J1041" s="74"/>
      <x:c r="K1041" s="74"/>
      <x:c r="L1041" s="91"/>
      <x:c r="M1041" s="91"/>
      <x:c r="N1041" s="91"/>
      <x:c r="O1041" s="91"/>
      <x:c r="P1041" s="91"/>
      <x:c r="Q1041" s="85"/>
      <x:c r="S1041" s="86"/>
      <x:c r="T1041" s="32"/>
    </x:row>
    <x:row r="1042">
      <x:c r="A1042" s="87"/>
      <x:c r="B1042" s="88"/>
      <x:c r="D1042" s="32"/>
      <x:c r="G1042" s="74"/>
      <x:c r="H1042" s="74"/>
      <x:c r="I1042" s="74"/>
      <x:c r="J1042" s="74"/>
      <x:c r="K1042" s="74"/>
      <x:c r="L1042" s="91"/>
      <x:c r="M1042" s="91"/>
      <x:c r="N1042" s="91"/>
      <x:c r="O1042" s="91"/>
      <x:c r="P1042" s="91"/>
      <x:c r="Q1042" s="85"/>
      <x:c r="S1042" s="86"/>
      <x:c r="T1042" s="32"/>
    </x:row>
    <x:row r="1043">
      <x:c r="A1043" s="87"/>
      <x:c r="B1043" s="88"/>
      <x:c r="D1043" s="32"/>
      <x:c r="G1043" s="74"/>
      <x:c r="H1043" s="74"/>
      <x:c r="I1043" s="74"/>
      <x:c r="J1043" s="74"/>
      <x:c r="K1043" s="74"/>
      <x:c r="L1043" s="91"/>
      <x:c r="M1043" s="91"/>
      <x:c r="N1043" s="91"/>
      <x:c r="O1043" s="91"/>
      <x:c r="P1043" s="91"/>
      <x:c r="Q1043" s="85"/>
      <x:c r="S1043" s="86"/>
      <x:c r="T1043" s="32"/>
    </x:row>
    <x:row r="1044">
      <x:c r="A1044" s="87"/>
      <x:c r="B1044" s="88"/>
      <x:c r="D1044" s="32"/>
      <x:c r="G1044" s="74"/>
      <x:c r="H1044" s="74"/>
      <x:c r="I1044" s="74"/>
      <x:c r="J1044" s="74"/>
      <x:c r="K1044" s="74"/>
      <x:c r="L1044" s="91"/>
      <x:c r="M1044" s="91"/>
      <x:c r="N1044" s="91"/>
      <x:c r="O1044" s="91"/>
      <x:c r="P1044" s="91"/>
      <x:c r="Q1044" s="85"/>
      <x:c r="S1044" s="86"/>
      <x:c r="T1044" s="32"/>
    </x:row>
    <x:row r="1045">
      <x:c r="A1045" s="87"/>
      <x:c r="B1045" s="88"/>
      <x:c r="D1045" s="32"/>
      <x:c r="G1045" s="74"/>
      <x:c r="H1045" s="74"/>
      <x:c r="I1045" s="74"/>
      <x:c r="J1045" s="74"/>
      <x:c r="K1045" s="74"/>
      <x:c r="L1045" s="91"/>
      <x:c r="M1045" s="91"/>
      <x:c r="N1045" s="91"/>
      <x:c r="O1045" s="91"/>
      <x:c r="P1045" s="91"/>
      <x:c r="Q1045" s="85"/>
      <x:c r="S1045" s="86"/>
      <x:c r="T1045" s="32"/>
    </x:row>
    <x:row r="1046">
      <x:c r="A1046" s="87"/>
      <x:c r="B1046" s="88"/>
      <x:c r="D1046" s="32"/>
      <x:c r="G1046" s="74"/>
      <x:c r="H1046" s="74"/>
      <x:c r="I1046" s="74"/>
      <x:c r="J1046" s="74"/>
      <x:c r="K1046" s="74"/>
      <x:c r="L1046" s="91"/>
      <x:c r="M1046" s="91"/>
      <x:c r="N1046" s="91"/>
      <x:c r="O1046" s="91"/>
      <x:c r="P1046" s="91"/>
      <x:c r="Q1046" s="85"/>
      <x:c r="S1046" s="86"/>
      <x:c r="T1046" s="32"/>
    </x:row>
    <x:row r="1047">
      <x:c r="A1047" s="87"/>
      <x:c r="B1047" s="88"/>
      <x:c r="D1047" s="32"/>
      <x:c r="G1047" s="74"/>
      <x:c r="H1047" s="74"/>
      <x:c r="I1047" s="74"/>
      <x:c r="J1047" s="74"/>
      <x:c r="K1047" s="74"/>
      <x:c r="L1047" s="91"/>
      <x:c r="M1047" s="91"/>
      <x:c r="N1047" s="91"/>
      <x:c r="O1047" s="91"/>
      <x:c r="P1047" s="91"/>
      <x:c r="Q1047" s="85"/>
      <x:c r="S1047" s="86"/>
      <x:c r="T1047" s="32"/>
    </x:row>
    <x:row r="1048">
      <x:c r="A1048" s="87"/>
      <x:c r="B1048" s="88"/>
      <x:c r="D1048" s="32"/>
      <x:c r="G1048" s="74"/>
      <x:c r="H1048" s="74"/>
      <x:c r="I1048" s="74"/>
      <x:c r="J1048" s="74"/>
      <x:c r="K1048" s="74"/>
      <x:c r="L1048" s="91"/>
      <x:c r="M1048" s="91"/>
      <x:c r="N1048" s="91"/>
      <x:c r="O1048" s="91"/>
      <x:c r="P1048" s="91"/>
      <x:c r="Q1048" s="85"/>
      <x:c r="S1048" s="86"/>
      <x:c r="T1048" s="32"/>
    </x:row>
    <x:row r="1049">
      <x:c r="A1049" s="87"/>
      <x:c r="B1049" s="88"/>
      <x:c r="D1049" s="32"/>
      <x:c r="G1049" s="74"/>
      <x:c r="H1049" s="74"/>
      <x:c r="I1049" s="74"/>
      <x:c r="J1049" s="74"/>
      <x:c r="K1049" s="74"/>
      <x:c r="L1049" s="91"/>
      <x:c r="M1049" s="91"/>
      <x:c r="N1049" s="91"/>
      <x:c r="O1049" s="91"/>
      <x:c r="P1049" s="91"/>
      <x:c r="Q1049" s="85"/>
      <x:c r="S1049" s="86"/>
      <x:c r="T1049" s="32"/>
    </x:row>
    <x:row r="1050">
      <x:c r="A1050" s="87"/>
      <x:c r="B1050" s="88"/>
      <x:c r="D1050" s="32"/>
      <x:c r="G1050" s="74"/>
      <x:c r="H1050" s="74"/>
      <x:c r="I1050" s="74"/>
      <x:c r="J1050" s="74"/>
      <x:c r="K1050" s="74"/>
      <x:c r="L1050" s="91"/>
      <x:c r="M1050" s="91"/>
      <x:c r="N1050" s="91"/>
      <x:c r="O1050" s="91"/>
      <x:c r="P1050" s="91"/>
      <x:c r="Q1050" s="85"/>
      <x:c r="S1050" s="86"/>
      <x:c r="T1050" s="32"/>
    </x:row>
    <x:row r="1051">
      <x:c r="A1051" s="87"/>
      <x:c r="B1051" s="88"/>
      <x:c r="D1051" s="32"/>
      <x:c r="G1051" s="74"/>
      <x:c r="H1051" s="74"/>
      <x:c r="I1051" s="74"/>
      <x:c r="J1051" s="74"/>
      <x:c r="K1051" s="74"/>
      <x:c r="L1051" s="91"/>
      <x:c r="M1051" s="91"/>
      <x:c r="N1051" s="91"/>
      <x:c r="O1051" s="91"/>
      <x:c r="P1051" s="91"/>
      <x:c r="Q1051" s="85"/>
      <x:c r="S1051" s="86"/>
      <x:c r="T1051" s="32"/>
    </x:row>
    <x:row r="1052">
      <x:c r="A1052" s="87"/>
      <x:c r="B1052" s="88"/>
      <x:c r="D1052" s="32"/>
      <x:c r="G1052" s="74"/>
      <x:c r="H1052" s="74"/>
      <x:c r="I1052" s="74"/>
      <x:c r="J1052" s="74"/>
      <x:c r="K1052" s="74"/>
      <x:c r="L1052" s="91"/>
      <x:c r="M1052" s="91"/>
      <x:c r="N1052" s="91"/>
      <x:c r="O1052" s="91"/>
      <x:c r="P1052" s="91"/>
      <x:c r="Q1052" s="85"/>
      <x:c r="S1052" s="86"/>
      <x:c r="T1052" s="32"/>
    </x:row>
    <x:row r="1053">
      <x:c r="A1053" s="87"/>
      <x:c r="B1053" s="88"/>
      <x:c r="D1053" s="32"/>
      <x:c r="G1053" s="74"/>
      <x:c r="H1053" s="74"/>
      <x:c r="I1053" s="74"/>
      <x:c r="J1053" s="74"/>
      <x:c r="K1053" s="74"/>
      <x:c r="L1053" s="91"/>
      <x:c r="M1053" s="91"/>
      <x:c r="N1053" s="91"/>
      <x:c r="O1053" s="91"/>
      <x:c r="P1053" s="91"/>
      <x:c r="Q1053" s="85"/>
      <x:c r="S1053" s="86"/>
      <x:c r="T1053" s="32"/>
    </x:row>
    <x:row r="1054">
      <x:c r="A1054" s="87"/>
      <x:c r="B1054" s="88"/>
      <x:c r="D1054" s="32"/>
      <x:c r="G1054" s="74"/>
      <x:c r="H1054" s="74"/>
      <x:c r="I1054" s="74"/>
      <x:c r="J1054" s="74"/>
      <x:c r="K1054" s="74"/>
      <x:c r="L1054" s="91"/>
      <x:c r="M1054" s="91"/>
      <x:c r="N1054" s="91"/>
      <x:c r="O1054" s="91"/>
      <x:c r="P1054" s="91"/>
      <x:c r="Q1054" s="85"/>
      <x:c r="S1054" s="86"/>
      <x:c r="T1054" s="32"/>
    </x:row>
    <x:row r="1055">
      <x:c r="A1055" s="87"/>
      <x:c r="B1055" s="88"/>
      <x:c r="D1055" s="32"/>
      <x:c r="G1055" s="74"/>
      <x:c r="H1055" s="74"/>
      <x:c r="I1055" s="74"/>
      <x:c r="J1055" s="74"/>
      <x:c r="K1055" s="74"/>
      <x:c r="L1055" s="91"/>
      <x:c r="M1055" s="91"/>
      <x:c r="N1055" s="91"/>
      <x:c r="O1055" s="91"/>
      <x:c r="P1055" s="91"/>
      <x:c r="Q1055" s="85"/>
      <x:c r="S1055" s="86"/>
      <x:c r="T1055" s="32"/>
    </x:row>
    <x:row r="1056">
      <x:c r="A1056" s="87"/>
      <x:c r="B1056" s="88"/>
      <x:c r="D1056" s="32"/>
      <x:c r="G1056" s="74"/>
      <x:c r="H1056" s="74"/>
      <x:c r="I1056" s="74"/>
      <x:c r="J1056" s="74"/>
      <x:c r="K1056" s="74"/>
      <x:c r="L1056" s="91"/>
      <x:c r="M1056" s="91"/>
      <x:c r="N1056" s="91"/>
      <x:c r="O1056" s="91"/>
      <x:c r="P1056" s="91"/>
      <x:c r="Q1056" s="85"/>
      <x:c r="S1056" s="86"/>
      <x:c r="T1056" s="32"/>
    </x:row>
    <x:row r="1057">
      <x:c r="A1057" s="87"/>
      <x:c r="B1057" s="88"/>
      <x:c r="D1057" s="32"/>
      <x:c r="G1057" s="74"/>
      <x:c r="H1057" s="74"/>
      <x:c r="I1057" s="74"/>
      <x:c r="J1057" s="74"/>
      <x:c r="K1057" s="74"/>
      <x:c r="L1057" s="91"/>
      <x:c r="M1057" s="91"/>
      <x:c r="N1057" s="91"/>
      <x:c r="O1057" s="91"/>
      <x:c r="P1057" s="91"/>
      <x:c r="Q1057" s="85"/>
      <x:c r="S1057" s="86"/>
      <x:c r="T1057" s="32"/>
    </x:row>
    <x:row r="1058">
      <x:c r="A1058" s="87"/>
      <x:c r="B1058" s="88"/>
      <x:c r="D1058" s="32"/>
      <x:c r="G1058" s="74"/>
      <x:c r="H1058" s="74"/>
      <x:c r="I1058" s="74"/>
      <x:c r="J1058" s="74"/>
      <x:c r="K1058" s="74"/>
      <x:c r="L1058" s="91"/>
      <x:c r="M1058" s="91"/>
      <x:c r="N1058" s="91"/>
      <x:c r="O1058" s="91"/>
      <x:c r="P1058" s="91"/>
      <x:c r="Q1058" s="85"/>
      <x:c r="S1058" s="86"/>
      <x:c r="T1058" s="32"/>
    </x:row>
    <x:row r="1059">
      <x:c r="A1059" s="87"/>
      <x:c r="B1059" s="88"/>
      <x:c r="D1059" s="32"/>
      <x:c r="G1059" s="74"/>
      <x:c r="H1059" s="74"/>
      <x:c r="I1059" s="74"/>
      <x:c r="J1059" s="74"/>
      <x:c r="K1059" s="74"/>
      <x:c r="L1059" s="91"/>
      <x:c r="M1059" s="91"/>
      <x:c r="N1059" s="91"/>
      <x:c r="O1059" s="91"/>
      <x:c r="P1059" s="91"/>
      <x:c r="Q1059" s="85"/>
      <x:c r="S1059" s="86"/>
      <x:c r="T1059" s="32"/>
    </x:row>
    <x:row r="1060">
      <x:c r="A1060" s="87"/>
      <x:c r="B1060" s="88"/>
      <x:c r="D1060" s="32"/>
      <x:c r="G1060" s="74"/>
      <x:c r="H1060" s="74"/>
      <x:c r="I1060" s="74"/>
      <x:c r="J1060" s="74"/>
      <x:c r="K1060" s="74"/>
      <x:c r="L1060" s="91"/>
      <x:c r="M1060" s="91"/>
      <x:c r="N1060" s="91"/>
      <x:c r="O1060" s="91"/>
      <x:c r="P1060" s="91"/>
      <x:c r="Q1060" s="85"/>
      <x:c r="S1060" s="86"/>
      <x:c r="T1060" s="32"/>
    </x:row>
    <x:row r="1061">
      <x:c r="A1061" s="87"/>
      <x:c r="B1061" s="88"/>
      <x:c r="D1061" s="32"/>
      <x:c r="G1061" s="74"/>
      <x:c r="H1061" s="74"/>
      <x:c r="I1061" s="74"/>
      <x:c r="J1061" s="74"/>
      <x:c r="K1061" s="74"/>
      <x:c r="L1061" s="91"/>
      <x:c r="M1061" s="91"/>
      <x:c r="N1061" s="91"/>
      <x:c r="O1061" s="91"/>
      <x:c r="P1061" s="91"/>
      <x:c r="Q1061" s="85"/>
      <x:c r="S1061" s="86"/>
      <x:c r="T1061" s="32"/>
    </x:row>
    <x:row r="1062">
      <x:c r="A1062" s="87"/>
      <x:c r="B1062" s="88"/>
      <x:c r="D1062" s="32"/>
      <x:c r="G1062" s="74"/>
      <x:c r="H1062" s="74"/>
      <x:c r="I1062" s="74"/>
      <x:c r="J1062" s="74"/>
      <x:c r="K1062" s="74"/>
      <x:c r="L1062" s="91"/>
      <x:c r="M1062" s="91"/>
      <x:c r="N1062" s="91"/>
      <x:c r="O1062" s="91"/>
      <x:c r="P1062" s="91"/>
      <x:c r="Q1062" s="85"/>
      <x:c r="S1062" s="86"/>
      <x:c r="T1062" s="32"/>
    </x:row>
    <x:row r="1063">
      <x:c r="A1063" s="87"/>
      <x:c r="B1063" s="88"/>
      <x:c r="D1063" s="32"/>
      <x:c r="G1063" s="74"/>
      <x:c r="H1063" s="74"/>
      <x:c r="I1063" s="74"/>
      <x:c r="J1063" s="74"/>
      <x:c r="K1063" s="74"/>
      <x:c r="L1063" s="91"/>
      <x:c r="M1063" s="91"/>
      <x:c r="N1063" s="91"/>
      <x:c r="O1063" s="91"/>
      <x:c r="P1063" s="91"/>
      <x:c r="Q1063" s="85"/>
      <x:c r="S1063" s="86"/>
      <x:c r="T1063" s="32"/>
    </x:row>
    <x:row r="1064">
      <x:c r="A1064" s="87"/>
      <x:c r="B1064" s="88"/>
      <x:c r="D1064" s="32"/>
      <x:c r="G1064" s="74"/>
      <x:c r="H1064" s="74"/>
      <x:c r="I1064" s="74"/>
      <x:c r="J1064" s="74"/>
      <x:c r="K1064" s="74"/>
      <x:c r="L1064" s="91"/>
      <x:c r="M1064" s="91"/>
      <x:c r="N1064" s="91"/>
      <x:c r="O1064" s="91"/>
      <x:c r="P1064" s="91"/>
      <x:c r="Q1064" s="85"/>
      <x:c r="S1064" s="86"/>
      <x:c r="T1064" s="32"/>
    </x:row>
    <x:row r="1065">
      <x:c r="A1065" s="87"/>
      <x:c r="B1065" s="88"/>
      <x:c r="D1065" s="32"/>
      <x:c r="G1065" s="74"/>
      <x:c r="H1065" s="74"/>
      <x:c r="I1065" s="74"/>
      <x:c r="J1065" s="74"/>
      <x:c r="K1065" s="74"/>
      <x:c r="L1065" s="91"/>
      <x:c r="M1065" s="91"/>
      <x:c r="N1065" s="91"/>
      <x:c r="O1065" s="91"/>
      <x:c r="P1065" s="91"/>
      <x:c r="Q1065" s="85"/>
      <x:c r="S1065" s="86"/>
      <x:c r="T1065" s="32"/>
    </x:row>
    <x:row r="1066">
      <x:c r="A1066" s="87"/>
      <x:c r="B1066" s="88"/>
      <x:c r="D1066" s="32"/>
      <x:c r="G1066" s="74"/>
      <x:c r="H1066" s="74"/>
      <x:c r="I1066" s="74"/>
      <x:c r="J1066" s="74"/>
      <x:c r="K1066" s="74"/>
      <x:c r="L1066" s="91"/>
      <x:c r="M1066" s="91"/>
      <x:c r="N1066" s="91"/>
      <x:c r="O1066" s="91"/>
      <x:c r="P1066" s="91"/>
      <x:c r="Q1066" s="85"/>
      <x:c r="S1066" s="86"/>
      <x:c r="T1066" s="32"/>
    </x:row>
    <x:row r="1067">
      <x:c r="A1067" s="87"/>
      <x:c r="B1067" s="88"/>
      <x:c r="D1067" s="32"/>
      <x:c r="G1067" s="74"/>
      <x:c r="H1067" s="74"/>
      <x:c r="I1067" s="74"/>
      <x:c r="J1067" s="74"/>
      <x:c r="K1067" s="74"/>
      <x:c r="L1067" s="91"/>
      <x:c r="M1067" s="91"/>
      <x:c r="N1067" s="91"/>
      <x:c r="O1067" s="91"/>
      <x:c r="P1067" s="91"/>
      <x:c r="Q1067" s="85"/>
      <x:c r="S1067" s="86"/>
      <x:c r="T1067" s="32"/>
    </x:row>
    <x:row r="1068">
      <x:c r="A1068" s="87"/>
      <x:c r="B1068" s="88"/>
      <x:c r="D1068" s="32"/>
      <x:c r="G1068" s="74"/>
      <x:c r="H1068" s="74"/>
      <x:c r="I1068" s="74"/>
      <x:c r="J1068" s="74"/>
      <x:c r="K1068" s="74"/>
      <x:c r="L1068" s="91"/>
      <x:c r="M1068" s="91"/>
      <x:c r="N1068" s="91"/>
      <x:c r="O1068" s="91"/>
      <x:c r="P1068" s="91"/>
      <x:c r="Q1068" s="85"/>
      <x:c r="S1068" s="86"/>
      <x:c r="T1068" s="32"/>
    </x:row>
    <x:row r="1069">
      <x:c r="A1069" s="87"/>
      <x:c r="B1069" s="88"/>
      <x:c r="D1069" s="32"/>
      <x:c r="G1069" s="74"/>
      <x:c r="H1069" s="74"/>
      <x:c r="I1069" s="74"/>
      <x:c r="J1069" s="74"/>
      <x:c r="K1069" s="74"/>
      <x:c r="L1069" s="91"/>
      <x:c r="M1069" s="91"/>
      <x:c r="N1069" s="91"/>
      <x:c r="O1069" s="91"/>
      <x:c r="P1069" s="91"/>
      <x:c r="Q1069" s="85"/>
      <x:c r="S1069" s="86"/>
      <x:c r="T1069" s="32"/>
    </x:row>
    <x:row r="1070">
      <x:c r="A1070" s="87"/>
      <x:c r="B1070" s="88"/>
      <x:c r="D1070" s="32"/>
      <x:c r="G1070" s="74"/>
      <x:c r="H1070" s="74"/>
      <x:c r="I1070" s="74"/>
      <x:c r="J1070" s="74"/>
      <x:c r="K1070" s="74"/>
      <x:c r="L1070" s="91"/>
      <x:c r="M1070" s="91"/>
      <x:c r="N1070" s="91"/>
      <x:c r="O1070" s="91"/>
      <x:c r="P1070" s="91"/>
      <x:c r="Q1070" s="85"/>
      <x:c r="S1070" s="86"/>
      <x:c r="T1070" s="32"/>
    </x:row>
    <x:row r="1071">
      <x:c r="A1071" s="87"/>
      <x:c r="B1071" s="88"/>
      <x:c r="D1071" s="32"/>
      <x:c r="G1071" s="74"/>
      <x:c r="H1071" s="74"/>
      <x:c r="I1071" s="74"/>
      <x:c r="J1071" s="74"/>
      <x:c r="K1071" s="74"/>
      <x:c r="L1071" s="91"/>
      <x:c r="M1071" s="91"/>
      <x:c r="N1071" s="91"/>
      <x:c r="O1071" s="91"/>
      <x:c r="P1071" s="91"/>
      <x:c r="Q1071" s="85"/>
      <x:c r="S1071" s="86"/>
      <x:c r="T1071" s="32"/>
    </x:row>
    <x:row r="1072">
      <x:c r="A1072" s="87"/>
      <x:c r="B1072" s="88"/>
      <x:c r="D1072" s="32"/>
      <x:c r="G1072" s="74"/>
      <x:c r="H1072" s="74"/>
      <x:c r="I1072" s="74"/>
      <x:c r="J1072" s="74"/>
      <x:c r="K1072" s="74"/>
      <x:c r="L1072" s="91"/>
      <x:c r="M1072" s="91"/>
      <x:c r="N1072" s="91"/>
      <x:c r="O1072" s="91"/>
      <x:c r="P1072" s="91"/>
      <x:c r="Q1072" s="85"/>
      <x:c r="S1072" s="86"/>
      <x:c r="T1072" s="32"/>
    </x:row>
    <x:row r="1073">
      <x:c r="A1073" s="87"/>
      <x:c r="B1073" s="88"/>
      <x:c r="D1073" s="32"/>
      <x:c r="G1073" s="74"/>
      <x:c r="H1073" s="74"/>
      <x:c r="I1073" s="74"/>
      <x:c r="J1073" s="74"/>
      <x:c r="K1073" s="74"/>
      <x:c r="L1073" s="91"/>
      <x:c r="M1073" s="91"/>
      <x:c r="N1073" s="91"/>
      <x:c r="O1073" s="91"/>
      <x:c r="P1073" s="91"/>
      <x:c r="Q1073" s="85"/>
      <x:c r="S1073" s="86"/>
      <x:c r="T1073" s="32"/>
    </x:row>
    <x:row r="1074">
      <x:c r="A1074" s="87"/>
      <x:c r="B1074" s="88"/>
      <x:c r="D1074" s="32"/>
      <x:c r="G1074" s="74"/>
      <x:c r="H1074" s="74"/>
      <x:c r="I1074" s="74"/>
      <x:c r="J1074" s="74"/>
      <x:c r="K1074" s="74"/>
      <x:c r="L1074" s="91"/>
      <x:c r="M1074" s="91"/>
      <x:c r="N1074" s="91"/>
      <x:c r="O1074" s="91"/>
      <x:c r="P1074" s="91"/>
      <x:c r="Q1074" s="85"/>
      <x:c r="S1074" s="86"/>
      <x:c r="T1074" s="32"/>
    </x:row>
    <x:row r="1075">
      <x:c r="A1075" s="87"/>
      <x:c r="B1075" s="88"/>
      <x:c r="D1075" s="32"/>
      <x:c r="G1075" s="74"/>
      <x:c r="H1075" s="74"/>
      <x:c r="I1075" s="74"/>
      <x:c r="J1075" s="74"/>
      <x:c r="K1075" s="74"/>
      <x:c r="L1075" s="91"/>
      <x:c r="M1075" s="91"/>
      <x:c r="N1075" s="91"/>
      <x:c r="O1075" s="91"/>
      <x:c r="P1075" s="91"/>
      <x:c r="Q1075" s="85"/>
      <x:c r="S1075" s="86"/>
      <x:c r="T1075" s="32"/>
    </x:row>
    <x:row r="1076">
      <x:c r="A1076" s="87"/>
      <x:c r="B1076" s="88"/>
      <x:c r="D1076" s="32"/>
      <x:c r="G1076" s="74"/>
      <x:c r="H1076" s="74"/>
      <x:c r="I1076" s="74"/>
      <x:c r="J1076" s="74"/>
      <x:c r="K1076" s="74"/>
      <x:c r="L1076" s="91"/>
      <x:c r="M1076" s="91"/>
      <x:c r="N1076" s="91"/>
      <x:c r="O1076" s="91"/>
      <x:c r="P1076" s="91"/>
      <x:c r="Q1076" s="85"/>
      <x:c r="S1076" s="86"/>
      <x:c r="T1076" s="32"/>
    </x:row>
    <x:row r="1077">
      <x:c r="A1077" s="87"/>
      <x:c r="B1077" s="88"/>
      <x:c r="D1077" s="32"/>
      <x:c r="G1077" s="74"/>
      <x:c r="H1077" s="74"/>
      <x:c r="I1077" s="74"/>
      <x:c r="J1077" s="74"/>
      <x:c r="K1077" s="74"/>
      <x:c r="L1077" s="91"/>
      <x:c r="M1077" s="91"/>
      <x:c r="N1077" s="91"/>
      <x:c r="O1077" s="91"/>
      <x:c r="P1077" s="91"/>
      <x:c r="Q1077" s="85"/>
      <x:c r="S1077" s="86"/>
      <x:c r="T1077" s="32"/>
    </x:row>
    <x:row r="1078">
      <x:c r="A1078" s="87"/>
      <x:c r="B1078" s="88"/>
      <x:c r="D1078" s="32"/>
      <x:c r="G1078" s="74"/>
      <x:c r="H1078" s="74"/>
      <x:c r="I1078" s="74"/>
      <x:c r="J1078" s="74"/>
      <x:c r="K1078" s="74"/>
      <x:c r="L1078" s="91"/>
      <x:c r="M1078" s="91"/>
      <x:c r="N1078" s="91"/>
      <x:c r="O1078" s="91"/>
      <x:c r="P1078" s="91"/>
      <x:c r="Q1078" s="85"/>
      <x:c r="S1078" s="86"/>
      <x:c r="T1078" s="32"/>
    </x:row>
    <x:row r="1079">
      <x:c r="A1079" s="87"/>
      <x:c r="B1079" s="88"/>
      <x:c r="D1079" s="32"/>
      <x:c r="G1079" s="74"/>
      <x:c r="H1079" s="74"/>
      <x:c r="I1079" s="74"/>
      <x:c r="J1079" s="74"/>
      <x:c r="K1079" s="74"/>
      <x:c r="L1079" s="91"/>
      <x:c r="M1079" s="91"/>
      <x:c r="N1079" s="91"/>
      <x:c r="O1079" s="91"/>
      <x:c r="P1079" s="91"/>
      <x:c r="Q1079" s="85"/>
      <x:c r="S1079" s="86"/>
      <x:c r="T1079" s="32"/>
    </x:row>
    <x:row r="1080">
      <x:c r="A1080" s="87"/>
      <x:c r="B1080" s="88"/>
      <x:c r="D1080" s="32"/>
      <x:c r="G1080" s="74"/>
      <x:c r="H1080" s="74"/>
      <x:c r="I1080" s="74"/>
      <x:c r="J1080" s="74"/>
      <x:c r="K1080" s="74"/>
      <x:c r="L1080" s="91"/>
      <x:c r="M1080" s="91"/>
      <x:c r="N1080" s="91"/>
      <x:c r="O1080" s="91"/>
      <x:c r="P1080" s="91"/>
      <x:c r="Q1080" s="85"/>
      <x:c r="S1080" s="86"/>
      <x:c r="T1080" s="32"/>
    </x:row>
    <x:row r="1081">
      <x:c r="A1081" s="87"/>
      <x:c r="B1081" s="88"/>
      <x:c r="D1081" s="32"/>
      <x:c r="G1081" s="74"/>
      <x:c r="H1081" s="74"/>
      <x:c r="I1081" s="74"/>
      <x:c r="J1081" s="74"/>
      <x:c r="K1081" s="74"/>
      <x:c r="L1081" s="91"/>
      <x:c r="M1081" s="91"/>
      <x:c r="N1081" s="91"/>
      <x:c r="O1081" s="91"/>
      <x:c r="P1081" s="91"/>
      <x:c r="Q1081" s="85"/>
      <x:c r="S1081" s="86"/>
      <x:c r="T1081" s="32"/>
    </x:row>
    <x:row r="1082">
      <x:c r="A1082" s="87"/>
      <x:c r="B1082" s="88"/>
      <x:c r="D1082" s="32"/>
      <x:c r="G1082" s="74"/>
      <x:c r="H1082" s="74"/>
      <x:c r="I1082" s="74"/>
      <x:c r="J1082" s="74"/>
      <x:c r="K1082" s="74"/>
      <x:c r="L1082" s="91"/>
      <x:c r="M1082" s="91"/>
      <x:c r="N1082" s="91"/>
      <x:c r="O1082" s="91"/>
      <x:c r="P1082" s="91"/>
      <x:c r="Q1082" s="85"/>
      <x:c r="S1082" s="86"/>
      <x:c r="T1082" s="32"/>
    </x:row>
    <x:row r="1083">
      <x:c r="A1083" s="87"/>
      <x:c r="B1083" s="88"/>
      <x:c r="D1083" s="32"/>
      <x:c r="G1083" s="74"/>
      <x:c r="H1083" s="74"/>
      <x:c r="I1083" s="74"/>
      <x:c r="J1083" s="74"/>
      <x:c r="K1083" s="74"/>
      <x:c r="L1083" s="91"/>
      <x:c r="M1083" s="91"/>
      <x:c r="N1083" s="91"/>
      <x:c r="O1083" s="91"/>
      <x:c r="P1083" s="91"/>
      <x:c r="Q1083" s="85"/>
      <x:c r="S1083" s="86"/>
      <x:c r="T1083" s="32"/>
    </x:row>
    <x:row r="1084">
      <x:c r="A1084" s="87"/>
      <x:c r="B1084" s="88"/>
      <x:c r="D1084" s="32"/>
      <x:c r="G1084" s="74"/>
      <x:c r="H1084" s="74"/>
      <x:c r="I1084" s="74"/>
      <x:c r="J1084" s="74"/>
      <x:c r="K1084" s="74"/>
      <x:c r="L1084" s="91"/>
      <x:c r="M1084" s="91"/>
      <x:c r="N1084" s="91"/>
      <x:c r="O1084" s="91"/>
      <x:c r="P1084" s="91"/>
      <x:c r="Q1084" s="85"/>
      <x:c r="S1084" s="86"/>
      <x:c r="T1084" s="32"/>
    </x:row>
    <x:row r="1085">
      <x:c r="A1085" s="87"/>
      <x:c r="B1085" s="88"/>
      <x:c r="D1085" s="32"/>
      <x:c r="G1085" s="74"/>
      <x:c r="H1085" s="74"/>
      <x:c r="I1085" s="74"/>
      <x:c r="J1085" s="74"/>
      <x:c r="K1085" s="74"/>
      <x:c r="L1085" s="91"/>
      <x:c r="M1085" s="91"/>
      <x:c r="N1085" s="91"/>
      <x:c r="O1085" s="91"/>
      <x:c r="P1085" s="91"/>
      <x:c r="Q1085" s="85"/>
      <x:c r="S1085" s="86"/>
      <x:c r="T1085" s="32"/>
    </x:row>
    <x:row r="1086">
      <x:c r="A1086" s="87"/>
      <x:c r="B1086" s="88"/>
      <x:c r="D1086" s="32"/>
      <x:c r="G1086" s="74"/>
      <x:c r="H1086" s="74"/>
      <x:c r="I1086" s="74"/>
      <x:c r="J1086" s="74"/>
      <x:c r="K1086" s="74"/>
      <x:c r="L1086" s="91"/>
      <x:c r="M1086" s="91"/>
      <x:c r="N1086" s="91"/>
      <x:c r="O1086" s="91"/>
      <x:c r="P1086" s="91"/>
      <x:c r="Q1086" s="85"/>
      <x:c r="S1086" s="86"/>
      <x:c r="T1086" s="32"/>
    </x:row>
    <x:row r="1087">
      <x:c r="A1087" s="87"/>
      <x:c r="B1087" s="88"/>
      <x:c r="D1087" s="32"/>
      <x:c r="G1087" s="74"/>
      <x:c r="H1087" s="74"/>
      <x:c r="I1087" s="74"/>
      <x:c r="J1087" s="74"/>
      <x:c r="K1087" s="74"/>
      <x:c r="L1087" s="91"/>
      <x:c r="M1087" s="91"/>
      <x:c r="N1087" s="91"/>
      <x:c r="O1087" s="91"/>
      <x:c r="P1087" s="91"/>
      <x:c r="Q1087" s="85"/>
      <x:c r="S1087" s="86"/>
      <x:c r="T1087" s="32"/>
    </x:row>
    <x:row r="1088">
      <x:c r="A1088" s="87"/>
      <x:c r="B1088" s="88"/>
      <x:c r="D1088" s="32"/>
      <x:c r="G1088" s="74"/>
      <x:c r="H1088" s="74"/>
      <x:c r="I1088" s="74"/>
      <x:c r="J1088" s="74"/>
      <x:c r="K1088" s="74"/>
      <x:c r="L1088" s="91"/>
      <x:c r="M1088" s="91"/>
      <x:c r="N1088" s="91"/>
      <x:c r="O1088" s="91"/>
      <x:c r="P1088" s="91"/>
      <x:c r="Q1088" s="85"/>
      <x:c r="S1088" s="86"/>
      <x:c r="T1088" s="32"/>
    </x:row>
    <x:row r="1089">
      <x:c r="A1089" s="87"/>
      <x:c r="B1089" s="88"/>
      <x:c r="D1089" s="32"/>
      <x:c r="G1089" s="74"/>
      <x:c r="H1089" s="74"/>
      <x:c r="I1089" s="74"/>
      <x:c r="J1089" s="74"/>
      <x:c r="K1089" s="74"/>
      <x:c r="L1089" s="91"/>
      <x:c r="M1089" s="91"/>
      <x:c r="N1089" s="91"/>
      <x:c r="O1089" s="91"/>
      <x:c r="P1089" s="91"/>
      <x:c r="Q1089" s="85"/>
      <x:c r="S1089" s="86"/>
      <x:c r="T1089" s="32"/>
    </x:row>
    <x:row r="1090">
      <x:c r="A1090" s="87"/>
      <x:c r="B1090" s="88"/>
      <x:c r="D1090" s="32"/>
      <x:c r="G1090" s="74"/>
      <x:c r="H1090" s="74"/>
      <x:c r="I1090" s="74"/>
      <x:c r="J1090" s="74"/>
      <x:c r="K1090" s="74"/>
      <x:c r="L1090" s="91"/>
      <x:c r="M1090" s="91"/>
      <x:c r="N1090" s="91"/>
      <x:c r="O1090" s="91"/>
      <x:c r="P1090" s="91"/>
      <x:c r="Q1090" s="85"/>
      <x:c r="S1090" s="86"/>
      <x:c r="T1090" s="32"/>
    </x:row>
    <x:row r="1091">
      <x:c r="A1091" s="87"/>
      <x:c r="B1091" s="88"/>
      <x:c r="D1091" s="32"/>
      <x:c r="G1091" s="74"/>
      <x:c r="H1091" s="74"/>
      <x:c r="I1091" s="74"/>
      <x:c r="J1091" s="74"/>
      <x:c r="K1091" s="74"/>
      <x:c r="L1091" s="91"/>
      <x:c r="M1091" s="91"/>
      <x:c r="N1091" s="91"/>
      <x:c r="O1091" s="91"/>
      <x:c r="P1091" s="91"/>
      <x:c r="Q1091" s="85"/>
      <x:c r="S1091" s="86"/>
      <x:c r="T1091" s="32"/>
    </x:row>
    <x:row r="1092">
      <x:c r="A1092" s="87"/>
      <x:c r="B1092" s="88"/>
      <x:c r="D1092" s="32"/>
      <x:c r="G1092" s="74"/>
      <x:c r="H1092" s="74"/>
      <x:c r="I1092" s="74"/>
      <x:c r="J1092" s="74"/>
      <x:c r="K1092" s="74"/>
      <x:c r="L1092" s="91"/>
      <x:c r="M1092" s="91"/>
      <x:c r="N1092" s="91"/>
      <x:c r="O1092" s="91"/>
      <x:c r="P1092" s="91"/>
      <x:c r="Q1092" s="85"/>
      <x:c r="S1092" s="86"/>
      <x:c r="T1092" s="32"/>
    </x:row>
    <x:row r="1093">
      <x:c r="A1093" s="87"/>
      <x:c r="B1093" s="88"/>
      <x:c r="D1093" s="32"/>
      <x:c r="G1093" s="74"/>
      <x:c r="H1093" s="74"/>
      <x:c r="I1093" s="74"/>
      <x:c r="J1093" s="74"/>
      <x:c r="K1093" s="74"/>
      <x:c r="L1093" s="91"/>
      <x:c r="M1093" s="91"/>
      <x:c r="N1093" s="91"/>
      <x:c r="O1093" s="91"/>
      <x:c r="P1093" s="91"/>
      <x:c r="Q1093" s="85"/>
      <x:c r="S1093" s="86"/>
      <x:c r="T1093" s="32"/>
    </x:row>
    <x:row r="1094">
      <x:c r="A1094" s="87"/>
      <x:c r="B1094" s="88"/>
      <x:c r="D1094" s="32"/>
      <x:c r="G1094" s="74"/>
      <x:c r="H1094" s="74"/>
      <x:c r="I1094" s="74"/>
      <x:c r="J1094" s="74"/>
      <x:c r="K1094" s="74"/>
      <x:c r="L1094" s="91"/>
      <x:c r="M1094" s="91"/>
      <x:c r="N1094" s="91"/>
      <x:c r="O1094" s="91"/>
      <x:c r="P1094" s="91"/>
      <x:c r="Q1094" s="85"/>
      <x:c r="S1094" s="86"/>
      <x:c r="T1094" s="32"/>
    </x:row>
    <x:row r="1095">
      <x:c r="A1095" s="87"/>
      <x:c r="B1095" s="88"/>
      <x:c r="D1095" s="32"/>
      <x:c r="G1095" s="74"/>
      <x:c r="H1095" s="74"/>
      <x:c r="I1095" s="74"/>
      <x:c r="J1095" s="74"/>
      <x:c r="K1095" s="74"/>
      <x:c r="L1095" s="91"/>
      <x:c r="M1095" s="91"/>
      <x:c r="N1095" s="91"/>
      <x:c r="O1095" s="91"/>
      <x:c r="P1095" s="91"/>
      <x:c r="Q1095" s="85"/>
      <x:c r="S1095" s="86"/>
      <x:c r="T1095" s="32"/>
    </x:row>
    <x:row r="1096">
      <x:c r="A1096" s="87"/>
      <x:c r="B1096" s="88"/>
      <x:c r="D1096" s="32"/>
      <x:c r="G1096" s="74"/>
      <x:c r="H1096" s="74"/>
      <x:c r="I1096" s="74"/>
      <x:c r="J1096" s="74"/>
      <x:c r="K1096" s="74"/>
      <x:c r="L1096" s="91"/>
      <x:c r="M1096" s="91"/>
      <x:c r="N1096" s="91"/>
      <x:c r="O1096" s="91"/>
      <x:c r="P1096" s="91"/>
      <x:c r="Q1096" s="85"/>
      <x:c r="S1096" s="86"/>
      <x:c r="T1096" s="32"/>
    </x:row>
    <x:row r="1097">
      <x:c r="A1097" s="87"/>
      <x:c r="B1097" s="88"/>
      <x:c r="D1097" s="32"/>
      <x:c r="G1097" s="74"/>
      <x:c r="H1097" s="74"/>
      <x:c r="I1097" s="74"/>
      <x:c r="J1097" s="74"/>
      <x:c r="K1097" s="74"/>
      <x:c r="L1097" s="91"/>
      <x:c r="M1097" s="91"/>
      <x:c r="N1097" s="91"/>
      <x:c r="O1097" s="91"/>
      <x:c r="P1097" s="91"/>
      <x:c r="Q1097" s="85"/>
      <x:c r="S1097" s="86"/>
      <x:c r="T1097" s="32"/>
    </x:row>
    <x:row r="1098">
      <x:c r="A1098" s="87"/>
      <x:c r="B1098" s="88"/>
      <x:c r="D1098" s="32"/>
      <x:c r="G1098" s="74"/>
      <x:c r="H1098" s="74"/>
      <x:c r="I1098" s="74"/>
      <x:c r="J1098" s="74"/>
      <x:c r="K1098" s="74"/>
      <x:c r="L1098" s="91"/>
      <x:c r="M1098" s="91"/>
      <x:c r="N1098" s="91"/>
      <x:c r="O1098" s="91"/>
      <x:c r="P1098" s="91"/>
      <x:c r="Q1098" s="85"/>
      <x:c r="S1098" s="86"/>
      <x:c r="T1098" s="32"/>
    </x:row>
    <x:row r="1099">
      <x:c r="A1099" s="87"/>
      <x:c r="B1099" s="88"/>
      <x:c r="D1099" s="32"/>
      <x:c r="G1099" s="74"/>
      <x:c r="H1099" s="74"/>
      <x:c r="I1099" s="74"/>
      <x:c r="J1099" s="74"/>
      <x:c r="K1099" s="74"/>
      <x:c r="L1099" s="91"/>
      <x:c r="M1099" s="91"/>
      <x:c r="N1099" s="91"/>
      <x:c r="O1099" s="91"/>
      <x:c r="P1099" s="91"/>
      <x:c r="Q1099" s="85"/>
      <x:c r="S1099" s="86"/>
      <x:c r="T1099" s="32"/>
    </x:row>
    <x:row r="1100">
      <x:c r="A1100" s="87"/>
      <x:c r="B1100" s="88"/>
      <x:c r="D1100" s="32"/>
      <x:c r="G1100" s="74"/>
      <x:c r="H1100" s="74"/>
      <x:c r="I1100" s="74"/>
      <x:c r="J1100" s="74"/>
      <x:c r="K1100" s="74"/>
      <x:c r="L1100" s="91"/>
      <x:c r="M1100" s="91"/>
      <x:c r="N1100" s="91"/>
      <x:c r="O1100" s="91"/>
      <x:c r="P1100" s="91"/>
      <x:c r="Q1100" s="85"/>
      <x:c r="S1100" s="86"/>
      <x:c r="T1100" s="32"/>
    </x:row>
    <x:row r="1101">
      <x:c r="A1101" s="87"/>
      <x:c r="B1101" s="88"/>
      <x:c r="D1101" s="32"/>
      <x:c r="G1101" s="74"/>
      <x:c r="H1101" s="74"/>
      <x:c r="I1101" s="74"/>
      <x:c r="J1101" s="74"/>
      <x:c r="K1101" s="74"/>
      <x:c r="L1101" s="91"/>
      <x:c r="M1101" s="91"/>
      <x:c r="N1101" s="91"/>
      <x:c r="O1101" s="91"/>
      <x:c r="P1101" s="91"/>
      <x:c r="Q1101" s="85"/>
      <x:c r="S1101" s="86"/>
      <x:c r="T1101" s="32"/>
    </x:row>
    <x:row r="1102">
      <x:c r="A1102" s="87"/>
      <x:c r="B1102" s="88"/>
      <x:c r="D1102" s="32"/>
      <x:c r="G1102" s="74"/>
      <x:c r="H1102" s="74"/>
      <x:c r="I1102" s="74"/>
      <x:c r="J1102" s="74"/>
      <x:c r="K1102" s="74"/>
      <x:c r="L1102" s="91"/>
      <x:c r="M1102" s="91"/>
      <x:c r="N1102" s="91"/>
      <x:c r="O1102" s="91"/>
      <x:c r="P1102" s="91"/>
      <x:c r="Q1102" s="85"/>
      <x:c r="S1102" s="86"/>
      <x:c r="T1102" s="32"/>
    </x:row>
    <x:row r="1103">
      <x:c r="A1103" s="87"/>
      <x:c r="B1103" s="88"/>
      <x:c r="D1103" s="32"/>
      <x:c r="G1103" s="74"/>
      <x:c r="H1103" s="74"/>
      <x:c r="I1103" s="74"/>
      <x:c r="J1103" s="74"/>
      <x:c r="K1103" s="74"/>
      <x:c r="L1103" s="91"/>
      <x:c r="M1103" s="91"/>
      <x:c r="N1103" s="91"/>
      <x:c r="O1103" s="91"/>
      <x:c r="P1103" s="91"/>
      <x:c r="Q1103" s="85"/>
      <x:c r="S1103" s="86"/>
      <x:c r="T1103" s="32"/>
    </x:row>
    <x:row r="1104">
      <x:c r="A1104" s="87"/>
      <x:c r="B1104" s="88"/>
      <x:c r="D1104" s="32"/>
      <x:c r="G1104" s="74"/>
      <x:c r="H1104" s="74"/>
      <x:c r="I1104" s="74"/>
      <x:c r="J1104" s="74"/>
      <x:c r="K1104" s="74"/>
      <x:c r="L1104" s="91"/>
      <x:c r="M1104" s="91"/>
      <x:c r="N1104" s="91"/>
      <x:c r="O1104" s="91"/>
      <x:c r="P1104" s="91"/>
      <x:c r="Q1104" s="85"/>
      <x:c r="S1104" s="86"/>
      <x:c r="T1104" s="32"/>
    </x:row>
    <x:row r="1105">
      <x:c r="A1105" s="87"/>
      <x:c r="B1105" s="88"/>
      <x:c r="D1105" s="32"/>
      <x:c r="G1105" s="74"/>
      <x:c r="H1105" s="74"/>
      <x:c r="I1105" s="74"/>
      <x:c r="J1105" s="74"/>
      <x:c r="K1105" s="74"/>
      <x:c r="L1105" s="91"/>
      <x:c r="M1105" s="91"/>
      <x:c r="N1105" s="91"/>
      <x:c r="O1105" s="91"/>
      <x:c r="P1105" s="91"/>
      <x:c r="Q1105" s="85"/>
      <x:c r="S1105" s="86"/>
      <x:c r="T1105" s="32"/>
    </x:row>
    <x:row r="1106">
      <x:c r="A1106" s="87"/>
      <x:c r="B1106" s="88"/>
      <x:c r="D1106" s="32"/>
      <x:c r="G1106" s="74"/>
      <x:c r="H1106" s="74"/>
      <x:c r="I1106" s="74"/>
      <x:c r="J1106" s="74"/>
      <x:c r="K1106" s="74"/>
      <x:c r="L1106" s="91"/>
      <x:c r="M1106" s="91"/>
      <x:c r="N1106" s="91"/>
      <x:c r="O1106" s="91"/>
      <x:c r="P1106" s="91"/>
      <x:c r="Q1106" s="85"/>
      <x:c r="S1106" s="86"/>
      <x:c r="T1106" s="32"/>
    </x:row>
    <x:row r="1107">
      <x:c r="A1107" s="87"/>
      <x:c r="B1107" s="88"/>
      <x:c r="D1107" s="32"/>
      <x:c r="G1107" s="74"/>
      <x:c r="H1107" s="74"/>
      <x:c r="I1107" s="74"/>
      <x:c r="J1107" s="74"/>
      <x:c r="K1107" s="74"/>
      <x:c r="L1107" s="91"/>
      <x:c r="M1107" s="91"/>
      <x:c r="N1107" s="91"/>
      <x:c r="O1107" s="91"/>
      <x:c r="P1107" s="91"/>
      <x:c r="Q1107" s="85"/>
      <x:c r="S1107" s="86"/>
      <x:c r="T1107" s="32"/>
    </x:row>
    <x:row r="1108">
      <x:c r="A1108" s="87"/>
      <x:c r="B1108" s="88"/>
      <x:c r="D1108" s="32"/>
      <x:c r="G1108" s="74"/>
      <x:c r="H1108" s="74"/>
      <x:c r="I1108" s="74"/>
      <x:c r="J1108" s="74"/>
      <x:c r="K1108" s="74"/>
      <x:c r="L1108" s="91"/>
      <x:c r="M1108" s="91"/>
      <x:c r="N1108" s="91"/>
      <x:c r="O1108" s="91"/>
      <x:c r="P1108" s="91"/>
      <x:c r="Q1108" s="85"/>
      <x:c r="S1108" s="86"/>
      <x:c r="T1108" s="32"/>
    </x:row>
    <x:row r="1109">
      <x:c r="A1109" s="87"/>
      <x:c r="B1109" s="88"/>
      <x:c r="D1109" s="32"/>
      <x:c r="G1109" s="74"/>
      <x:c r="H1109" s="74"/>
      <x:c r="I1109" s="74"/>
      <x:c r="J1109" s="74"/>
      <x:c r="K1109" s="74"/>
      <x:c r="L1109" s="91"/>
      <x:c r="M1109" s="91"/>
      <x:c r="N1109" s="91"/>
      <x:c r="O1109" s="91"/>
      <x:c r="P1109" s="91"/>
      <x:c r="Q1109" s="85"/>
      <x:c r="S1109" s="86"/>
      <x:c r="T1109" s="32"/>
    </x:row>
    <x:row r="1110">
      <x:c r="A1110" s="87"/>
      <x:c r="B1110" s="88"/>
      <x:c r="D1110" s="32"/>
      <x:c r="G1110" s="74"/>
      <x:c r="H1110" s="74"/>
      <x:c r="I1110" s="74"/>
      <x:c r="J1110" s="74"/>
      <x:c r="K1110" s="74"/>
      <x:c r="L1110" s="91"/>
      <x:c r="M1110" s="91"/>
      <x:c r="N1110" s="91"/>
      <x:c r="O1110" s="91"/>
      <x:c r="P1110" s="91"/>
      <x:c r="Q1110" s="85"/>
      <x:c r="S1110" s="86"/>
      <x:c r="T1110" s="32"/>
    </x:row>
    <x:row r="1111">
      <x:c r="A1111" s="87"/>
      <x:c r="B1111" s="88"/>
      <x:c r="D1111" s="32"/>
      <x:c r="G1111" s="74"/>
      <x:c r="H1111" s="74"/>
      <x:c r="I1111" s="74"/>
      <x:c r="J1111" s="74"/>
      <x:c r="K1111" s="74"/>
      <x:c r="L1111" s="91"/>
      <x:c r="M1111" s="91"/>
      <x:c r="N1111" s="91"/>
      <x:c r="O1111" s="91"/>
      <x:c r="P1111" s="91"/>
      <x:c r="Q1111" s="85"/>
      <x:c r="S1111" s="86"/>
      <x:c r="T1111" s="32"/>
    </x:row>
    <x:row r="1112">
      <x:c r="A1112" s="87"/>
      <x:c r="B1112" s="88"/>
      <x:c r="D1112" s="32"/>
      <x:c r="G1112" s="74"/>
      <x:c r="H1112" s="74"/>
      <x:c r="I1112" s="74"/>
      <x:c r="J1112" s="74"/>
      <x:c r="K1112" s="74"/>
      <x:c r="L1112" s="91"/>
      <x:c r="M1112" s="91"/>
      <x:c r="N1112" s="91"/>
      <x:c r="O1112" s="91"/>
      <x:c r="P1112" s="91"/>
      <x:c r="Q1112" s="85"/>
      <x:c r="S1112" s="86"/>
      <x:c r="T1112" s="32"/>
    </x:row>
    <x:row r="1113">
      <x:c r="A1113" s="87"/>
      <x:c r="B1113" s="88"/>
      <x:c r="D1113" s="32"/>
      <x:c r="G1113" s="74"/>
      <x:c r="H1113" s="74"/>
      <x:c r="I1113" s="74"/>
      <x:c r="J1113" s="74"/>
      <x:c r="K1113" s="74"/>
      <x:c r="L1113" s="91"/>
      <x:c r="M1113" s="91"/>
      <x:c r="N1113" s="91"/>
      <x:c r="O1113" s="91"/>
      <x:c r="P1113" s="91"/>
      <x:c r="Q1113" s="85"/>
      <x:c r="S1113" s="86"/>
      <x:c r="T1113" s="32"/>
    </x:row>
    <x:row r="1114">
      <x:c r="A1114" s="87"/>
      <x:c r="B1114" s="88"/>
      <x:c r="D1114" s="32"/>
      <x:c r="G1114" s="74"/>
      <x:c r="H1114" s="74"/>
      <x:c r="I1114" s="74"/>
      <x:c r="J1114" s="74"/>
      <x:c r="K1114" s="74"/>
      <x:c r="L1114" s="91"/>
      <x:c r="M1114" s="91"/>
      <x:c r="N1114" s="91"/>
      <x:c r="O1114" s="91"/>
      <x:c r="P1114" s="91"/>
      <x:c r="Q1114" s="85"/>
      <x:c r="S1114" s="86"/>
      <x:c r="T1114" s="32"/>
    </x:row>
    <x:row r="1115">
      <x:c r="A1115" s="87"/>
      <x:c r="B1115" s="88"/>
      <x:c r="D1115" s="32"/>
      <x:c r="G1115" s="74"/>
      <x:c r="H1115" s="74"/>
      <x:c r="I1115" s="74"/>
      <x:c r="J1115" s="74"/>
      <x:c r="K1115" s="74"/>
      <x:c r="L1115" s="91"/>
      <x:c r="M1115" s="91"/>
      <x:c r="N1115" s="91"/>
      <x:c r="O1115" s="91"/>
      <x:c r="P1115" s="91"/>
      <x:c r="Q1115" s="85"/>
      <x:c r="S1115" s="86"/>
      <x:c r="T1115" s="32"/>
    </x:row>
    <x:row r="1116">
      <x:c r="A1116" s="87"/>
      <x:c r="B1116" s="88"/>
      <x:c r="D1116" s="32"/>
      <x:c r="G1116" s="74"/>
      <x:c r="H1116" s="74"/>
      <x:c r="I1116" s="74"/>
      <x:c r="J1116" s="74"/>
      <x:c r="K1116" s="74"/>
      <x:c r="L1116" s="91"/>
      <x:c r="M1116" s="91"/>
      <x:c r="N1116" s="91"/>
      <x:c r="O1116" s="91"/>
      <x:c r="P1116" s="91"/>
      <x:c r="Q1116" s="85"/>
      <x:c r="S1116" s="86"/>
      <x:c r="T1116" s="32"/>
    </x:row>
    <x:row r="1117">
      <x:c r="A1117" s="87"/>
      <x:c r="B1117" s="88"/>
      <x:c r="D1117" s="32"/>
      <x:c r="G1117" s="74"/>
      <x:c r="H1117" s="74"/>
      <x:c r="I1117" s="74"/>
      <x:c r="J1117" s="74"/>
      <x:c r="K1117" s="74"/>
      <x:c r="L1117" s="91"/>
      <x:c r="M1117" s="91"/>
      <x:c r="N1117" s="91"/>
      <x:c r="O1117" s="91"/>
      <x:c r="P1117" s="91"/>
      <x:c r="Q1117" s="85"/>
      <x:c r="S1117" s="86"/>
      <x:c r="T1117" s="32"/>
    </x:row>
    <x:row r="1118">
      <x:c r="A1118" s="87"/>
      <x:c r="B1118" s="88"/>
      <x:c r="D1118" s="32"/>
      <x:c r="G1118" s="74"/>
      <x:c r="H1118" s="74"/>
      <x:c r="I1118" s="74"/>
      <x:c r="J1118" s="74"/>
      <x:c r="K1118" s="74"/>
      <x:c r="L1118" s="91"/>
      <x:c r="M1118" s="91"/>
      <x:c r="N1118" s="91"/>
      <x:c r="O1118" s="91"/>
      <x:c r="P1118" s="91"/>
      <x:c r="Q1118" s="85"/>
      <x:c r="S1118" s="86"/>
      <x:c r="T1118" s="32"/>
    </x:row>
    <x:row r="1119">
      <x:c r="A1119" s="87"/>
      <x:c r="B1119" s="88"/>
      <x:c r="D1119" s="32"/>
      <x:c r="G1119" s="74"/>
      <x:c r="H1119" s="74"/>
      <x:c r="I1119" s="74"/>
      <x:c r="J1119" s="74"/>
      <x:c r="K1119" s="74"/>
      <x:c r="L1119" s="91"/>
      <x:c r="M1119" s="91"/>
      <x:c r="N1119" s="91"/>
      <x:c r="O1119" s="91"/>
      <x:c r="P1119" s="91"/>
      <x:c r="Q1119" s="85"/>
      <x:c r="S1119" s="86"/>
      <x:c r="T1119" s="32"/>
    </x:row>
    <x:row r="1120">
      <x:c r="A1120" s="87"/>
      <x:c r="B1120" s="88"/>
      <x:c r="D1120" s="32"/>
      <x:c r="G1120" s="74"/>
      <x:c r="H1120" s="74"/>
      <x:c r="I1120" s="74"/>
      <x:c r="J1120" s="74"/>
      <x:c r="K1120" s="74"/>
      <x:c r="L1120" s="91"/>
      <x:c r="M1120" s="91"/>
      <x:c r="N1120" s="91"/>
      <x:c r="O1120" s="91"/>
      <x:c r="P1120" s="91"/>
      <x:c r="Q1120" s="85"/>
      <x:c r="S1120" s="86"/>
      <x:c r="T1120" s="32"/>
    </x:row>
    <x:row r="1121">
      <x:c r="A1121" s="87"/>
      <x:c r="B1121" s="88"/>
      <x:c r="D1121" s="32"/>
      <x:c r="G1121" s="74"/>
      <x:c r="H1121" s="74"/>
      <x:c r="I1121" s="74"/>
      <x:c r="J1121" s="74"/>
      <x:c r="K1121" s="74"/>
      <x:c r="L1121" s="91"/>
      <x:c r="M1121" s="91"/>
      <x:c r="N1121" s="91"/>
      <x:c r="O1121" s="91"/>
      <x:c r="P1121" s="91"/>
      <x:c r="Q1121" s="85"/>
      <x:c r="S1121" s="86"/>
      <x:c r="T1121" s="32"/>
    </x:row>
    <x:row r="1122">
      <x:c r="A1122" s="87"/>
      <x:c r="B1122" s="88"/>
      <x:c r="D1122" s="32"/>
      <x:c r="G1122" s="74"/>
      <x:c r="H1122" s="74"/>
      <x:c r="I1122" s="74"/>
      <x:c r="J1122" s="74"/>
      <x:c r="K1122" s="74"/>
      <x:c r="L1122" s="91"/>
      <x:c r="M1122" s="91"/>
      <x:c r="N1122" s="91"/>
      <x:c r="O1122" s="91"/>
      <x:c r="P1122" s="91"/>
      <x:c r="Q1122" s="85"/>
      <x:c r="S1122" s="86"/>
      <x:c r="T1122" s="32"/>
    </x:row>
    <x:row r="1123">
      <x:c r="A1123" s="87"/>
      <x:c r="B1123" s="88"/>
      <x:c r="D1123" s="32"/>
      <x:c r="G1123" s="74"/>
      <x:c r="H1123" s="74"/>
      <x:c r="I1123" s="74"/>
      <x:c r="J1123" s="74"/>
      <x:c r="K1123" s="74"/>
      <x:c r="L1123" s="91"/>
      <x:c r="M1123" s="91"/>
      <x:c r="N1123" s="91"/>
      <x:c r="O1123" s="91"/>
      <x:c r="P1123" s="91"/>
      <x:c r="Q1123" s="85"/>
      <x:c r="S1123" s="86"/>
      <x:c r="T1123" s="32"/>
    </x:row>
    <x:row r="1124">
      <x:c r="A1124" s="87"/>
      <x:c r="B1124" s="88"/>
      <x:c r="D1124" s="32"/>
      <x:c r="G1124" s="74"/>
      <x:c r="H1124" s="74"/>
      <x:c r="I1124" s="74"/>
      <x:c r="J1124" s="74"/>
      <x:c r="K1124" s="74"/>
      <x:c r="L1124" s="91"/>
      <x:c r="M1124" s="91"/>
      <x:c r="N1124" s="91"/>
      <x:c r="O1124" s="91"/>
      <x:c r="P1124" s="91"/>
      <x:c r="Q1124" s="85"/>
      <x:c r="S1124" s="86"/>
      <x:c r="T1124" s="32"/>
    </x:row>
    <x:row r="1125">
      <x:c r="A1125" s="87"/>
      <x:c r="B1125" s="88"/>
      <x:c r="D1125" s="32"/>
      <x:c r="G1125" s="74"/>
      <x:c r="H1125" s="74"/>
      <x:c r="I1125" s="74"/>
      <x:c r="J1125" s="74"/>
      <x:c r="K1125" s="74"/>
      <x:c r="L1125" s="91"/>
      <x:c r="M1125" s="91"/>
      <x:c r="N1125" s="91"/>
      <x:c r="O1125" s="91"/>
      <x:c r="P1125" s="91"/>
      <x:c r="Q1125" s="85"/>
      <x:c r="S1125" s="86"/>
      <x:c r="T1125" s="32"/>
    </x:row>
    <x:row r="1126">
      <x:c r="A1126" s="87"/>
      <x:c r="B1126" s="88"/>
      <x:c r="D1126" s="32"/>
      <x:c r="G1126" s="74"/>
      <x:c r="H1126" s="74"/>
      <x:c r="I1126" s="74"/>
      <x:c r="J1126" s="74"/>
      <x:c r="K1126" s="74"/>
      <x:c r="L1126" s="91"/>
      <x:c r="M1126" s="91"/>
      <x:c r="N1126" s="91"/>
      <x:c r="O1126" s="91"/>
      <x:c r="P1126" s="91"/>
      <x:c r="Q1126" s="85"/>
      <x:c r="S1126" s="86"/>
      <x:c r="T1126" s="32"/>
    </x:row>
    <x:row r="1127">
      <x:c r="A1127" s="87"/>
      <x:c r="B1127" s="88"/>
      <x:c r="D1127" s="32"/>
      <x:c r="G1127" s="74"/>
      <x:c r="H1127" s="74"/>
      <x:c r="I1127" s="74"/>
      <x:c r="J1127" s="74"/>
      <x:c r="K1127" s="74"/>
      <x:c r="L1127" s="91"/>
      <x:c r="M1127" s="91"/>
      <x:c r="N1127" s="91"/>
      <x:c r="O1127" s="91"/>
      <x:c r="P1127" s="91"/>
      <x:c r="Q1127" s="85"/>
      <x:c r="S1127" s="86"/>
      <x:c r="T1127" s="32"/>
    </x:row>
    <x:row r="1128">
      <x:c r="A1128" s="87"/>
      <x:c r="B1128" s="88"/>
      <x:c r="D1128" s="32"/>
      <x:c r="G1128" s="74"/>
      <x:c r="H1128" s="74"/>
      <x:c r="I1128" s="74"/>
      <x:c r="J1128" s="74"/>
      <x:c r="K1128" s="74"/>
      <x:c r="L1128" s="91"/>
      <x:c r="M1128" s="91"/>
      <x:c r="N1128" s="91"/>
      <x:c r="O1128" s="91"/>
      <x:c r="P1128" s="91"/>
      <x:c r="Q1128" s="85"/>
      <x:c r="S1128" s="86"/>
      <x:c r="T1128" s="32"/>
    </x:row>
    <x:row r="1129">
      <x:c r="A1129" s="87"/>
      <x:c r="B1129" s="88"/>
      <x:c r="D1129" s="32"/>
      <x:c r="G1129" s="74"/>
      <x:c r="H1129" s="74"/>
      <x:c r="I1129" s="74"/>
      <x:c r="J1129" s="74"/>
      <x:c r="K1129" s="74"/>
      <x:c r="L1129" s="91"/>
      <x:c r="M1129" s="91"/>
      <x:c r="N1129" s="91"/>
      <x:c r="O1129" s="91"/>
      <x:c r="P1129" s="91"/>
      <x:c r="Q1129" s="85"/>
      <x:c r="S1129" s="86"/>
      <x:c r="T1129" s="32"/>
    </x:row>
    <x:row r="1130">
      <x:c r="A1130" s="87"/>
      <x:c r="B1130" s="88"/>
      <x:c r="D1130" s="32"/>
      <x:c r="G1130" s="74"/>
      <x:c r="H1130" s="74"/>
      <x:c r="I1130" s="74"/>
      <x:c r="J1130" s="74"/>
      <x:c r="K1130" s="74"/>
      <x:c r="L1130" s="91"/>
      <x:c r="M1130" s="91"/>
      <x:c r="N1130" s="91"/>
      <x:c r="O1130" s="91"/>
      <x:c r="P1130" s="91"/>
      <x:c r="Q1130" s="85"/>
      <x:c r="S1130" s="86"/>
      <x:c r="T1130" s="32"/>
    </x:row>
    <x:row r="1131">
      <x:c r="A1131" s="87"/>
      <x:c r="B1131" s="88"/>
      <x:c r="D1131" s="32"/>
      <x:c r="G1131" s="74"/>
      <x:c r="H1131" s="74"/>
      <x:c r="I1131" s="74"/>
      <x:c r="J1131" s="74"/>
      <x:c r="K1131" s="74"/>
      <x:c r="L1131" s="91"/>
      <x:c r="M1131" s="91"/>
      <x:c r="N1131" s="91"/>
      <x:c r="O1131" s="91"/>
      <x:c r="P1131" s="91"/>
      <x:c r="Q1131" s="85"/>
      <x:c r="S1131" s="86"/>
      <x:c r="T1131" s="32"/>
    </x:row>
    <x:row r="1132">
      <x:c r="A1132" s="87"/>
      <x:c r="B1132" s="88"/>
      <x:c r="D1132" s="32"/>
      <x:c r="G1132" s="74"/>
      <x:c r="H1132" s="74"/>
      <x:c r="I1132" s="74"/>
      <x:c r="J1132" s="74"/>
      <x:c r="K1132" s="74"/>
      <x:c r="L1132" s="91"/>
      <x:c r="M1132" s="91"/>
      <x:c r="N1132" s="91"/>
      <x:c r="O1132" s="91"/>
      <x:c r="P1132" s="91"/>
      <x:c r="Q1132" s="85"/>
      <x:c r="S1132" s="86"/>
      <x:c r="T1132" s="32"/>
    </x:row>
    <x:row r="1133">
      <x:c r="A1133" s="87"/>
      <x:c r="B1133" s="88"/>
      <x:c r="D1133" s="32"/>
      <x:c r="G1133" s="74"/>
      <x:c r="H1133" s="74"/>
      <x:c r="I1133" s="74"/>
      <x:c r="J1133" s="74"/>
      <x:c r="K1133" s="74"/>
      <x:c r="L1133" s="91"/>
      <x:c r="M1133" s="91"/>
      <x:c r="N1133" s="91"/>
      <x:c r="O1133" s="91"/>
      <x:c r="P1133" s="91"/>
      <x:c r="Q1133" s="85"/>
      <x:c r="S1133" s="86"/>
      <x:c r="T1133" s="32"/>
    </x:row>
    <x:row r="1134">
      <x:c r="A1134" s="87"/>
      <x:c r="B1134" s="88"/>
      <x:c r="D1134" s="32"/>
      <x:c r="G1134" s="74"/>
      <x:c r="H1134" s="74"/>
      <x:c r="I1134" s="74"/>
      <x:c r="J1134" s="74"/>
      <x:c r="K1134" s="74"/>
      <x:c r="L1134" s="91"/>
      <x:c r="M1134" s="91"/>
      <x:c r="N1134" s="91"/>
      <x:c r="O1134" s="91"/>
      <x:c r="P1134" s="91"/>
      <x:c r="Q1134" s="85"/>
      <x:c r="S1134" s="86"/>
      <x:c r="T1134" s="32"/>
    </x:row>
    <x:row r="1135">
      <x:c r="A1135" s="87"/>
      <x:c r="B1135" s="88"/>
      <x:c r="D1135" s="32"/>
      <x:c r="G1135" s="74"/>
      <x:c r="H1135" s="74"/>
      <x:c r="I1135" s="74"/>
      <x:c r="J1135" s="74"/>
      <x:c r="K1135" s="74"/>
      <x:c r="L1135" s="91"/>
      <x:c r="M1135" s="91"/>
      <x:c r="N1135" s="91"/>
      <x:c r="O1135" s="91"/>
      <x:c r="P1135" s="91"/>
      <x:c r="Q1135" s="85"/>
      <x:c r="S1135" s="86"/>
      <x:c r="T1135" s="32"/>
    </x:row>
    <x:row r="1136">
      <x:c r="A1136" s="87"/>
      <x:c r="B1136" s="88"/>
      <x:c r="D1136" s="32"/>
      <x:c r="G1136" s="74"/>
      <x:c r="H1136" s="74"/>
      <x:c r="I1136" s="74"/>
      <x:c r="J1136" s="74"/>
      <x:c r="K1136" s="74"/>
      <x:c r="L1136" s="91"/>
      <x:c r="M1136" s="91"/>
      <x:c r="N1136" s="91"/>
      <x:c r="O1136" s="91"/>
      <x:c r="P1136" s="91"/>
      <x:c r="Q1136" s="85"/>
      <x:c r="S1136" s="86"/>
      <x:c r="T1136" s="32"/>
    </x:row>
    <x:row r="1137">
      <x:c r="A1137" s="87"/>
      <x:c r="B1137" s="88"/>
      <x:c r="D1137" s="32"/>
      <x:c r="G1137" s="74"/>
      <x:c r="H1137" s="74"/>
      <x:c r="I1137" s="74"/>
      <x:c r="J1137" s="74"/>
      <x:c r="K1137" s="74"/>
      <x:c r="L1137" s="91"/>
      <x:c r="M1137" s="91"/>
      <x:c r="N1137" s="91"/>
      <x:c r="O1137" s="91"/>
      <x:c r="P1137" s="91"/>
      <x:c r="Q1137" s="85"/>
      <x:c r="S1137" s="86"/>
      <x:c r="T1137" s="32"/>
    </x:row>
    <x:row r="1138">
      <x:c r="A1138" s="87"/>
      <x:c r="B1138" s="88"/>
      <x:c r="D1138" s="32"/>
      <x:c r="G1138" s="74"/>
      <x:c r="H1138" s="74"/>
      <x:c r="I1138" s="74"/>
      <x:c r="J1138" s="74"/>
      <x:c r="K1138" s="74"/>
      <x:c r="L1138" s="91"/>
      <x:c r="M1138" s="91"/>
      <x:c r="N1138" s="91"/>
      <x:c r="O1138" s="91"/>
      <x:c r="P1138" s="91"/>
      <x:c r="Q1138" s="85"/>
      <x:c r="S1138" s="86"/>
      <x:c r="T1138" s="32"/>
    </x:row>
    <x:row r="1139">
      <x:c r="A1139" s="87"/>
      <x:c r="B1139" s="88"/>
      <x:c r="D1139" s="32"/>
      <x:c r="G1139" s="74"/>
      <x:c r="H1139" s="74"/>
      <x:c r="I1139" s="74"/>
      <x:c r="J1139" s="74"/>
      <x:c r="K1139" s="74"/>
      <x:c r="L1139" s="91"/>
      <x:c r="M1139" s="91"/>
      <x:c r="N1139" s="91"/>
      <x:c r="O1139" s="91"/>
      <x:c r="P1139" s="91"/>
      <x:c r="Q1139" s="85"/>
      <x:c r="S1139" s="86"/>
      <x:c r="T1139" s="32"/>
    </x:row>
    <x:row r="1140">
      <x:c r="A1140" s="87"/>
      <x:c r="B1140" s="88"/>
      <x:c r="D1140" s="32"/>
      <x:c r="G1140" s="74"/>
      <x:c r="H1140" s="74"/>
      <x:c r="I1140" s="74"/>
      <x:c r="J1140" s="74"/>
      <x:c r="K1140" s="74"/>
      <x:c r="L1140" s="91"/>
      <x:c r="M1140" s="91"/>
      <x:c r="N1140" s="91"/>
      <x:c r="O1140" s="91"/>
      <x:c r="P1140" s="91"/>
      <x:c r="Q1140" s="85"/>
      <x:c r="S1140" s="86"/>
      <x:c r="T1140" s="32"/>
    </x:row>
    <x:row r="1141">
      <x:c r="A1141" s="87"/>
      <x:c r="B1141" s="88"/>
      <x:c r="D1141" s="32"/>
      <x:c r="G1141" s="74"/>
      <x:c r="H1141" s="74"/>
      <x:c r="I1141" s="74"/>
      <x:c r="J1141" s="74"/>
      <x:c r="K1141" s="74"/>
      <x:c r="L1141" s="91"/>
      <x:c r="M1141" s="91"/>
      <x:c r="N1141" s="91"/>
      <x:c r="O1141" s="91"/>
      <x:c r="P1141" s="91"/>
      <x:c r="Q1141" s="85"/>
      <x:c r="S1141" s="86"/>
      <x:c r="T1141" s="32"/>
    </x:row>
    <x:row r="1142">
      <x:c r="A1142" s="87"/>
      <x:c r="B1142" s="88"/>
      <x:c r="D1142" s="32"/>
      <x:c r="G1142" s="74"/>
      <x:c r="H1142" s="74"/>
      <x:c r="I1142" s="74"/>
      <x:c r="J1142" s="74"/>
      <x:c r="K1142" s="74"/>
      <x:c r="L1142" s="91"/>
      <x:c r="M1142" s="91"/>
      <x:c r="N1142" s="91"/>
      <x:c r="O1142" s="91"/>
      <x:c r="P1142" s="91"/>
      <x:c r="Q1142" s="85"/>
      <x:c r="S1142" s="86"/>
      <x:c r="T1142" s="32"/>
    </x:row>
    <x:row r="1143">
      <x:c r="A1143" s="87"/>
      <x:c r="B1143" s="88"/>
      <x:c r="D1143" s="32"/>
      <x:c r="G1143" s="74"/>
      <x:c r="H1143" s="74"/>
      <x:c r="I1143" s="74"/>
      <x:c r="J1143" s="74"/>
      <x:c r="K1143" s="74"/>
      <x:c r="L1143" s="91"/>
      <x:c r="M1143" s="91"/>
      <x:c r="N1143" s="91"/>
      <x:c r="O1143" s="91"/>
      <x:c r="P1143" s="91"/>
      <x:c r="Q1143" s="85"/>
      <x:c r="S1143" s="86"/>
      <x:c r="T1143" s="32"/>
    </x:row>
    <x:row r="1144">
      <x:c r="A1144" s="87"/>
      <x:c r="B1144" s="88"/>
      <x:c r="D1144" s="32"/>
      <x:c r="G1144" s="74"/>
      <x:c r="H1144" s="74"/>
      <x:c r="I1144" s="74"/>
      <x:c r="J1144" s="74"/>
      <x:c r="K1144" s="74"/>
      <x:c r="L1144" s="91"/>
      <x:c r="M1144" s="91"/>
      <x:c r="N1144" s="91"/>
      <x:c r="O1144" s="91"/>
      <x:c r="P1144" s="91"/>
      <x:c r="Q1144" s="85"/>
      <x:c r="S1144" s="86"/>
      <x:c r="T1144" s="32"/>
    </x:row>
    <x:row r="1145">
      <x:c r="A1145" s="87"/>
      <x:c r="B1145" s="88"/>
      <x:c r="D1145" s="32"/>
      <x:c r="G1145" s="74"/>
      <x:c r="H1145" s="74"/>
      <x:c r="I1145" s="74"/>
      <x:c r="J1145" s="74"/>
      <x:c r="K1145" s="74"/>
      <x:c r="L1145" s="91"/>
      <x:c r="M1145" s="91"/>
      <x:c r="N1145" s="91"/>
      <x:c r="O1145" s="91"/>
      <x:c r="P1145" s="91"/>
      <x:c r="Q1145" s="85"/>
      <x:c r="S1145" s="86"/>
      <x:c r="T1145" s="32"/>
    </x:row>
    <x:row r="1146">
      <x:c r="A1146" s="87"/>
      <x:c r="B1146" s="88"/>
      <x:c r="D1146" s="32"/>
      <x:c r="G1146" s="74"/>
      <x:c r="H1146" s="74"/>
      <x:c r="I1146" s="74"/>
      <x:c r="J1146" s="74"/>
      <x:c r="K1146" s="74"/>
      <x:c r="L1146" s="91"/>
      <x:c r="M1146" s="91"/>
      <x:c r="N1146" s="91"/>
      <x:c r="O1146" s="91"/>
      <x:c r="P1146" s="91"/>
      <x:c r="Q1146" s="85"/>
      <x:c r="S1146" s="86"/>
      <x:c r="T1146" s="32"/>
    </x:row>
    <x:row r="1147">
      <x:c r="A1147" s="87"/>
      <x:c r="B1147" s="88"/>
      <x:c r="D1147" s="32"/>
      <x:c r="G1147" s="74"/>
      <x:c r="H1147" s="74"/>
      <x:c r="I1147" s="74"/>
      <x:c r="J1147" s="74"/>
      <x:c r="K1147" s="74"/>
      <x:c r="L1147" s="91"/>
      <x:c r="M1147" s="91"/>
      <x:c r="N1147" s="91"/>
      <x:c r="O1147" s="91"/>
      <x:c r="P1147" s="91"/>
      <x:c r="Q1147" s="85"/>
      <x:c r="S1147" s="86"/>
      <x:c r="T1147" s="32"/>
    </x:row>
    <x:row r="1148">
      <x:c r="A1148" s="87"/>
      <x:c r="B1148" s="88"/>
      <x:c r="D1148" s="32"/>
      <x:c r="G1148" s="74"/>
      <x:c r="H1148" s="74"/>
      <x:c r="I1148" s="74"/>
      <x:c r="J1148" s="74"/>
      <x:c r="K1148" s="74"/>
      <x:c r="L1148" s="91"/>
      <x:c r="M1148" s="91"/>
      <x:c r="N1148" s="91"/>
      <x:c r="O1148" s="91"/>
      <x:c r="P1148" s="91"/>
      <x:c r="Q1148" s="85"/>
      <x:c r="S1148" s="86"/>
      <x:c r="T1148" s="32"/>
    </x:row>
  </x:sheetData>
  <x:conditionalFormatting sqref="B2:B2 C2:C8 D2:P2 Q2:Q168 R2:R2">
    <x:cfRule type="expression" dxfId="0" priority="1">
      <x:formula>$R2="Done"</x:formula>
    </x:cfRule>
  </x:conditionalFormatting>
  <x:conditionalFormatting sqref="B2:B2 C2:C8 D2:P2 Q2:Q168 R2:R2">
    <x:cfRule type="expression" dxfId="1" priority="2">
      <x:formula>AND(NOT($R2="Done"), OR(#REF!="Đã CK Anh", #REF!="Đã CK Em"))</x:formula>
    </x:cfRule>
  </x:conditionalFormatting>
  <x:conditionalFormatting sqref="L2:P2 Q2:Q168">
    <x:cfRule type="expression" dxfId="1" priority="3">
      <x:formula>AND(NOT(#REF!="Done"), OR(#REF!="Đã CK Anh", #REF!="Đã CK Em"))</x:formula>
    </x:cfRule>
  </x:conditionalFormatting>
  <x:conditionalFormatting sqref="L2:P2 Q2:Q168">
    <x:cfRule type="expression" dxfId="0" priority="4">
      <x:formula>#REF!="Done"</x:formula>
    </x:cfRule>
  </x:conditionalFormatting>
  <x:conditionalFormatting sqref="C2:C8 B3:B4 D3:R4">
    <x:cfRule type="expression" dxfId="0" priority="5">
      <x:formula>$R2="Done"</x:formula>
    </x:cfRule>
  </x:conditionalFormatting>
  <x:conditionalFormatting sqref="C2:C8 B3:B4 D3:R4">
    <x:cfRule type="expression" dxfId="1" priority="6">
      <x:formula>AND(NOT($R2="Done"), OR(#REF!="Đã CK Anh", #REF!="Đã CK Em"))</x:formula>
    </x:cfRule>
  </x:conditionalFormatting>
  <x:conditionalFormatting sqref="L3:Q4">
    <x:cfRule type="expression" dxfId="1" priority="7">
      <x:formula>AND(NOT(#REF!="Done"), OR(#REF!="Đã CK Anh", #REF!="Đã CK Em"))</x:formula>
    </x:cfRule>
  </x:conditionalFormatting>
  <x:conditionalFormatting sqref="L3:Q4">
    <x:cfRule type="expression" dxfId="0" priority="8">
      <x:formula>#REF!="Done"</x:formula>
    </x:cfRule>
  </x:conditionalFormatting>
  <x:conditionalFormatting sqref="L2:P2 Q2:Q168 L5:P168">
    <x:cfRule type="expression" dxfId="0" priority="9">
      <x:formula>$S2="Done"</x:formula>
    </x:cfRule>
  </x:conditionalFormatting>
  <x:conditionalFormatting sqref="L2:P2 Q2:Q168 L5:P168">
    <x:cfRule type="expression" dxfId="1" priority="10">
      <x:formula>AND(NOT($S2="Done"), OR($T2="Đã CK Anh", $T2="Đã CK Em"))</x:formula>
    </x:cfRule>
  </x:conditionalFormatting>
  <x:conditionalFormatting sqref="A83:A87 B83:R84 B87:B87 C87:C98 D87:D88 A89:A89 A91:A91 A93:A168 B110:D110">
    <x:cfRule type="expression" dxfId="1" priority="11">
      <x:formula>AND(NOT($R83="Done"), OR($S83="Đã CK Anh", $S83="Đã CK Em"))</x:formula>
    </x:cfRule>
  </x:conditionalFormatting>
  <x:conditionalFormatting sqref="A83:A87 B83:R84 B87:B87 C87:C98 D87:D88 A89:A89 A91:A91 A93:A168 B110:D110">
    <x:cfRule type="expression" dxfId="0" priority="12">
      <x:formula>$R83="Done"</x:formula>
    </x:cfRule>
  </x:conditionalFormatting>
  <x:conditionalFormatting sqref="A169:B170">
    <x:cfRule type="expression" dxfId="0" priority="13">
      <x:formula>$K169="Done"</x:formula>
    </x:cfRule>
  </x:conditionalFormatting>
  <x:conditionalFormatting sqref="A169:B170">
    <x:cfRule type="expression" dxfId="1" priority="14">
      <x:formula>AND(NOT($K169="Done"), OR($G169="Đã CK Anh", $G169="Đã CK Em"))</x:formula>
    </x:cfRule>
  </x:conditionalFormatting>
  <x:conditionalFormatting sqref="A2:A1148 B2:B2 C2:C82 D2:P2 Q2:Q1148 R2:R2 B5:B82 D5:K82 L5:P1148 R5:R82 B85:K1148 R85:R1148">
    <x:cfRule type="expression" dxfId="0" priority="15">
      <x:formula>$R2="Done"</x:formula>
    </x:cfRule>
  </x:conditionalFormatting>
  <x:conditionalFormatting sqref="A2:A1148 B2:B2 C2:C82 D2:P2 Q2:Q1148 R2:R2 B5:B82 D5:K82 L5:P1148 R5:R82 B85:K1148 R85:R1148">
    <x:cfRule type="expression" dxfId="1" priority="16">
      <x:formula>AND(NOT($R2="Done"), OR($S2="Đã CK Anh", $S2="Đã CK Em"))</x:formula>
    </x:cfRule>
  </x:conditionalFormatting>
  <x:conditionalFormatting sqref="S3:S4">
    <x:cfRule type="notContainsBlanks" dxfId="0" priority="17">
      <x:formula>LEN(TRIM(S3))&gt;0</x:formula>
    </x:cfRule>
  </x:conditionalFormatting>
  <x:dataValidations count="1">
    <x:dataValidation type="list" allowBlank="1" showErrorMessage="1" sqref="S2:S1148">
      <x:formula1>"Chưa CK,Đã CK Anh,Đã CK Em"</x:formula1>
    </x:dataValidation>
  </x:dataValidations>
  <x:hyperlinks>
    <x:hyperlink xmlns:r="http://schemas.openxmlformats.org/officeDocument/2006/relationships" ref="D2" r:id="R36b6f1c769b641ec"/>
    <x:hyperlink xmlns:r="http://schemas.openxmlformats.org/officeDocument/2006/relationships" ref="D3" r:id="R259f3d7d6621475f"/>
    <x:hyperlink xmlns:r="http://schemas.openxmlformats.org/officeDocument/2006/relationships" ref="D4" r:id="Rdc7f60018bf74eea"/>
    <x:hyperlink xmlns:r="http://schemas.openxmlformats.org/officeDocument/2006/relationships" ref="D5" r:id="R98cc6fa7617c4009"/>
    <x:hyperlink xmlns:r="http://schemas.openxmlformats.org/officeDocument/2006/relationships" ref="D6" r:id="R71dd9127f1ee4055"/>
    <x:hyperlink xmlns:r="http://schemas.openxmlformats.org/officeDocument/2006/relationships" ref="D7" r:id="Rc8ea6a24829347b8"/>
    <x:hyperlink xmlns:r="http://schemas.openxmlformats.org/officeDocument/2006/relationships" ref="D8" r:id="R4e8f774c347d40fd"/>
    <x:hyperlink xmlns:r="http://schemas.openxmlformats.org/officeDocument/2006/relationships" ref="D9" r:id="Rc795a73fa4444ab1"/>
    <x:hyperlink xmlns:r="http://schemas.openxmlformats.org/officeDocument/2006/relationships" ref="D10" r:id="Rcef5bfc2f6bf42b6"/>
    <x:hyperlink xmlns:r="http://schemas.openxmlformats.org/officeDocument/2006/relationships" ref="D11" r:id="R777bd6a626cb4df9"/>
    <x:hyperlink xmlns:r="http://schemas.openxmlformats.org/officeDocument/2006/relationships" ref="D12" r:id="Rf6d9bbbb031d429e"/>
    <x:hyperlink xmlns:r="http://schemas.openxmlformats.org/officeDocument/2006/relationships" ref="D13" r:id="R315870c1cae9451d"/>
    <x:hyperlink xmlns:r="http://schemas.openxmlformats.org/officeDocument/2006/relationships" ref="D14" r:id="R668b5602ef7e4cf3"/>
    <x:hyperlink xmlns:r="http://schemas.openxmlformats.org/officeDocument/2006/relationships" ref="D15" r:id="R2d344b9e7b3b4fb4"/>
    <x:hyperlink xmlns:r="http://schemas.openxmlformats.org/officeDocument/2006/relationships" ref="D17" r:id="Rb43d06c07f9a4889"/>
    <x:hyperlink xmlns:r="http://schemas.openxmlformats.org/officeDocument/2006/relationships" ref="D18" r:id="Ra57c21dcceb94ff7"/>
    <x:hyperlink xmlns:r="http://schemas.openxmlformats.org/officeDocument/2006/relationships" ref="D19" r:id="R26aa606c1a6c497a"/>
    <x:hyperlink xmlns:r="http://schemas.openxmlformats.org/officeDocument/2006/relationships" ref="D23" r:id="Re29527c158594200"/>
    <x:hyperlink xmlns:r="http://schemas.openxmlformats.org/officeDocument/2006/relationships" ref="D24" r:id="Rddcea43228024633"/>
    <x:hyperlink xmlns:r="http://schemas.openxmlformats.org/officeDocument/2006/relationships" ref="D25" r:id="R4956409bee7c4dad"/>
    <x:hyperlink xmlns:r="http://schemas.openxmlformats.org/officeDocument/2006/relationships" ref="D26" r:id="R572d4b2e4fe04409"/>
  </x:hyperlink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5" width="11.130000114440918" hidden="1" customWidth="1"/>
    <x:col min="6" max="6" width="10.630000114440918" customWidth="1"/>
    <x:col min="7" max="7" width="11.630000114440918" hidden="1" customWidth="1"/>
    <x:col min="8" max="8" width="11.630000114440918" customWidth="1"/>
    <x:col min="9" max="10" width="12.380000114440918" customWidth="1"/>
    <x:col min="11" max="11" width="14.880000114440918" customWidth="1"/>
    <x:col min="12" max="12" width="12.380000114440918" customWidth="1"/>
    <x:col min="18" max="18" width="25.8799991607666" customWidth="1"/>
    <x:col min="19" max="19" width="18.5" customWidth="1"/>
  </x:cols>
  <x:sheetData>
    <x:row r="1" ht="21" customHeight="1">
      <x:c r="A1" s="1" t="s">
        <x:v>0</x:v>
      </x:c>
      <x:c r="B1" s="2" t="s">
        <x:v>1</x:v>
      </x:c>
      <x:c r="C1" s="1" t="s">
        <x:v>2</x:v>
      </x:c>
      <x:c r="D1" s="3" t="s">
        <x:v>3</x:v>
      </x:c>
      <x:c r="E1" s="1" t="s">
        <x:v>6</x:v>
      </x:c>
      <x:c r="F1" s="1" t="s">
        <x:v>442</x:v>
      </x:c>
      <x:c r="G1" s="1" t="s">
        <x:v>443</x:v>
      </x:c>
      <x:c r="H1" s="1" t="s">
        <x:v>9</x:v>
      </x:c>
      <x:c r="I1" s="4" t="s">
        <x:v>8</x:v>
      </x:c>
      <x:c r="J1" s="4" t="s">
        <x:v>11</x:v>
      </x:c>
      <x:c r="K1" s="4" t="s">
        <x:v>12</x:v>
      </x:c>
      <x:c r="L1" s="4" t="s">
        <x:v>13</x:v>
      </x:c>
      <x:c r="M1" s="1" t="s">
        <x:v>322</x:v>
      </x:c>
      <x:c r="N1" s="1" t="s">
        <x:v>323</x:v>
      </x:c>
      <x:c r="O1" s="1" t="s">
        <x:v>15</x:v>
      </x:c>
      <x:c r="P1" s="1" t="s">
        <x:v>324</x:v>
      </x:c>
      <x:c r="Q1" s="5" t="s">
        <x:v>21</x:v>
      </x:c>
      <x:c r="R1" s="1" t="s">
        <x:v>22</x:v>
      </x:c>
      <x:c r="S1" s="1" t="s">
        <x:v>24</x:v>
      </x:c>
      <x:c r="T1" s="6" t="s">
        <x:v>25</x:v>
      </x:c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</x:row>
    <x:row r="2" ht="18.75" customHeight="1">
      <x:c r="A2" s="19">
        <x:v>1.0</x:v>
      </x:c>
      <x:c r="B2" s="20" t="s">
        <x:v>365</x:v>
      </x:c>
      <x:c r="C2" s="21"/>
      <x:c r="D2" s="55"/>
      <x:c r="E2" s="23"/>
      <x:c r="F2" s="23"/>
      <x:c r="G2" s="56"/>
      <x:c r="H2" s="23"/>
      <x:c r="I2" s="24">
        <x:v>10.0</x:v>
      </x:c>
      <x:c r="J2" s="24"/>
      <x:c r="K2" s="25"/>
      <x:c r="L2" s="25"/>
      <x:c r="M2" s="23"/>
      <x:c r="N2" s="23"/>
      <x:c r="O2" s="94"/>
      <x:c r="P2" s="94"/>
      <x:c r="Q2" s="26" t="n">
        <x:f>(E2*260+F2*255+G2*360+H2*400+I2*470+J2*695+K2*240+L2*240+M2*295+N2*310+O2*395-15)*1000</x:f>
        <x:v>4685000</x:v>
      </x:c>
      <x:c r="R2" s="23" t="s">
        <x:v>74</x:v>
      </x:c>
      <x:c r="S2" s="23" t="s">
        <x:v>31</x:v>
      </x:c>
      <x:c r="U2" s="28" t="s">
        <x:v>34</x:v>
      </x:c>
      <x:c r="V2" s="28" t="s">
        <x:v>31</x:v>
      </x:c>
      <x:c r="W2" s="28" t="s">
        <x:v>54</x:v>
      </x:c>
      <x:c r="X2" s="28" t="s">
        <x:v>55</x:v>
      </x:c>
    </x:row>
    <x:row r="3" ht="18.75" customHeight="1">
      <x:c r="A3" s="19">
        <x:v>2.0</x:v>
      </x:c>
      <x:c r="B3" s="20" t="s">
        <x:v>444</x:v>
      </x:c>
      <x:c r="C3" s="21"/>
      <x:c r="D3" s="55"/>
      <x:c r="E3" s="23"/>
      <x:c r="F3" s="23"/>
      <x:c r="G3" s="23"/>
      <x:c r="H3" s="23"/>
      <x:c r="I3" s="24"/>
      <x:c r="J3" s="24"/>
      <x:c r="K3" s="24">
        <x:v>1.0</x:v>
      </x:c>
      <x:c r="L3" s="24"/>
      <x:c r="M3" s="94"/>
      <x:c r="N3" s="94"/>
      <x:c r="O3" s="94"/>
      <x:c r="P3" s="94"/>
      <x:c r="Q3" s="26" t="n">
        <x:f>(E3*260+F3*255+G3*360+H3*400+I3*470+J3*695+K3*240+L3*240+M3*295+N3*310+O3*395-25)*1000</x:f>
        <x:v>215000</x:v>
      </x:c>
      <x:c r="R3" s="23" t="s">
        <x:v>74</x:v>
      </x:c>
      <x:c r="S3" s="23" t="s">
        <x:v>34</x:v>
      </x:c>
      <x:c r="U3" s="31" t="n">
        <x:f>SUMIF(S2:S1115, "Đã CK Anh", Q2:Q1115)</x:f>
        <x:v>215000</x:v>
      </x:c>
      <x:c r="V3" s="31" t="n">
        <x:f>SUMIF(S2:S1115, "Đã CK Em", Q2:Q1115)</x:f>
        <x:v>4685000</x:v>
      </x:c>
      <x:c r="W3" s="31" t="n">
        <x:f>U3+V3</x:f>
        <x:v>4900000</x:v>
      </x:c>
      <x:c r="X3" s="31" t="n">
        <x:f>SUMIF(S2:S1115, "Chưa CK", Q2:Q1115)</x:f>
        <x:v>0</x:v>
      </x:c>
    </x:row>
    <x:row r="4" ht="18.75" customHeight="1">
      <x:c r="A4" s="19"/>
      <x:c r="B4" s="29"/>
      <x:c r="C4" s="21"/>
      <x:c r="D4" s="35"/>
      <x:c r="E4" s="23"/>
      <x:c r="F4" s="23"/>
      <x:c r="G4" s="23"/>
      <x:c r="H4" s="23"/>
      <x:c r="I4" s="24"/>
      <x:c r="J4" s="24"/>
      <x:c r="K4" s="24"/>
      <x:c r="L4" s="24"/>
      <x:c r="M4" s="23"/>
      <x:c r="N4" s="23"/>
      <x:c r="O4" s="23"/>
      <x:c r="P4" s="23"/>
      <x:c r="Q4" s="26"/>
      <x:c r="R4" s="23"/>
      <x:c r="S4" s="23"/>
    </x:row>
    <x:row r="5" ht="18.75" customHeight="1">
      <x:c r="A5" s="19"/>
      <x:c r="B5" s="29"/>
      <x:c r="C5" s="21"/>
      <x:c r="D5" s="55"/>
      <x:c r="E5" s="23"/>
      <x:c r="F5" s="23"/>
      <x:c r="G5" s="23"/>
      <x:c r="H5" s="23"/>
      <x:c r="I5" s="24"/>
      <x:c r="J5" s="24"/>
      <x:c r="K5" s="24"/>
      <x:c r="L5" s="24"/>
      <x:c r="M5" s="23"/>
      <x:c r="N5" s="23"/>
      <x:c r="O5" s="23"/>
      <x:c r="P5" s="23"/>
      <x:c r="Q5" s="26"/>
      <x:c r="R5" s="23"/>
      <x:c r="S5" s="23"/>
    </x:row>
    <x:row r="6" ht="18.75" customHeight="1">
      <x:c r="A6" s="19"/>
      <x:c r="B6" s="29"/>
      <x:c r="C6" s="21"/>
      <x:c r="D6" s="35"/>
      <x:c r="E6" s="23"/>
      <x:c r="F6" s="23"/>
      <x:c r="G6" s="23"/>
      <x:c r="H6" s="23"/>
      <x:c r="I6" s="25"/>
      <x:c r="J6" s="25"/>
      <x:c r="K6" s="24"/>
      <x:c r="L6" s="25"/>
      <x:c r="M6" s="23"/>
      <x:c r="N6" s="23"/>
      <x:c r="O6" s="23"/>
      <x:c r="P6" s="23"/>
      <x:c r="Q6" s="26"/>
      <x:c r="R6" s="23"/>
      <x:c r="S6" s="23"/>
    </x:row>
    <x:row r="7" ht="18.75" customHeight="1">
      <x:c r="A7" s="19"/>
      <x:c r="B7" s="29"/>
      <x:c r="C7" s="21"/>
      <x:c r="D7" s="55"/>
      <x:c r="E7" s="23"/>
      <x:c r="F7" s="23"/>
      <x:c r="G7" s="56"/>
      <x:c r="H7" s="23"/>
      <x:c r="I7" s="25"/>
      <x:c r="J7" s="24"/>
      <x:c r="K7" s="24"/>
      <x:c r="L7" s="24"/>
      <x:c r="M7" s="94"/>
      <x:c r="N7" s="94"/>
      <x:c r="O7" s="94"/>
      <x:c r="P7" s="94"/>
      <x:c r="Q7" s="26"/>
      <x:c r="R7" s="23"/>
      <x:c r="S7" s="23"/>
      <x:c r="U7" s="37"/>
      <x:c r="V7" s="37"/>
      <x:c r="W7" s="37"/>
      <x:c r="X7" s="37"/>
    </x:row>
    <x:row r="8" ht="18.75" customHeight="1">
      <x:c r="A8" s="19"/>
      <x:c r="B8" s="29"/>
      <x:c r="C8" s="21"/>
      <x:c r="D8" s="35"/>
      <x:c r="E8" s="23"/>
      <x:c r="F8" s="23"/>
      <x:c r="G8" s="56"/>
      <x:c r="H8" s="23"/>
      <x:c r="I8" s="25"/>
      <x:c r="J8" s="24"/>
      <x:c r="K8" s="24"/>
      <x:c r="L8" s="24"/>
      <x:c r="M8" s="94"/>
      <x:c r="N8" s="94"/>
      <x:c r="O8" s="94"/>
      <x:c r="P8" s="94"/>
      <x:c r="Q8" s="26"/>
      <x:c r="R8" s="23"/>
      <x:c r="S8" s="23"/>
      <x:c r="U8" s="28" t="s">
        <x:v>2</x:v>
      </x:c>
      <x:c r="V8" s="28" t="s">
        <x:v>368</x:v>
      </x:c>
      <x:c r="W8" s="28" t="s">
        <x:v>369</x:v>
      </x:c>
      <x:c r="X8" s="28" t="s">
        <x:v>369</x:v>
      </x:c>
    </x:row>
    <x:row r="9" ht="18.75" customHeight="1">
      <x:c r="A9" s="19"/>
      <x:c r="B9" s="29"/>
      <x:c r="C9" s="21"/>
      <x:c r="D9" s="35"/>
      <x:c r="E9" s="23"/>
      <x:c r="F9" s="23"/>
      <x:c r="G9" s="56"/>
      <x:c r="H9" s="23"/>
      <x:c r="I9" s="24"/>
      <x:c r="J9" s="24"/>
      <x:c r="K9" s="25"/>
      <x:c r="L9" s="25"/>
      <x:c r="M9" s="94"/>
      <x:c r="N9" s="94"/>
      <x:c r="O9" s="94"/>
      <x:c r="P9" s="94"/>
      <x:c r="Q9" s="26"/>
      <x:c r="R9" s="23"/>
      <x:c r="S9" s="23"/>
      <x:c r="U9" s="33" t="n" cm="1">
        <x:f t="array" ref="U9">_xlfn._xlws.SORT(_xlfn.UNIQUE(C2:C1113))</x:f>
        <x:v>0</x:v>
      </x:c>
      <x:c r="V9" s="34" t="e">
        <x:f>IFERROR(__xludf.DUMMYFUNCTION("SUM(FILTER($E$2:$P$1115, $C$2:$C$1115 = U9))"),2594208.1902998886)</x:f>
        <x:v>#NAME?</x:v>
      </x:c>
      <x:c r="W9" s="34" t="e">
        <x:f>IFERROR(__xludf.DUMMYFUNCTION("COUNT(FILTER($C$2:$C$1115, $C$2:$C$1115 = U9))"),0.0)</x:f>
        <x:v>#NAME?</x:v>
      </x:c>
      <x:c r="X9" s="31" t="n">
        <x:f t="shared" ref="X9:X36" si="1">SUMIF($C$2:$C$1115, $U9 , $Q$2:$Q$1115)</x:f>
        <x:v>14700000</x:v>
      </x:c>
    </x:row>
    <x:row r="10" ht="18.75" customHeight="1">
      <x:c r="A10" s="19"/>
      <x:c r="B10" s="29"/>
      <x:c r="C10" s="21"/>
      <x:c r="D10" s="35"/>
      <x:c r="E10" s="23"/>
      <x:c r="F10" s="23"/>
      <x:c r="G10" s="56"/>
      <x:c r="H10" s="23"/>
      <x:c r="I10" s="24"/>
      <x:c r="J10" s="24"/>
      <x:c r="K10" s="24"/>
      <x:c r="L10" s="24"/>
      <x:c r="M10" s="94"/>
      <x:c r="N10" s="94"/>
      <x:c r="O10" s="94"/>
      <x:c r="P10" s="94"/>
      <x:c r="Q10" s="26"/>
      <x:c r="R10" s="23"/>
      <x:c r="S10" s="23"/>
      <x:c r="U10" s="34"/>
      <x:c r="V10" s="34" t="e">
        <x:f>IFERROR(__xludf.DUMMYFUNCTION("SUM(FILTER($E$2:$P$1115, $C$2:$C$1115 = U10))"),2594208.1902998886)</x:f>
        <x:v>#NAME?</x:v>
      </x:c>
      <x:c r="W10" s="34" t="e">
        <x:f>IFERROR(__xludf.DUMMYFUNCTION("COUNT(FILTER($C$2:$C$1115, $C$2:$C$1115 = U10))"),0.0)</x:f>
        <x:v>#NAME?</x:v>
      </x:c>
      <x:c r="X10" s="31">
        <x:f t="shared" si="1"/>
        <x:v>0</x:v>
      </x:c>
    </x:row>
    <x:row r="11" ht="18.75" customHeight="1">
      <x:c r="A11" s="19"/>
      <x:c r="B11" s="29"/>
      <x:c r="C11" s="21"/>
      <x:c r="D11" s="35"/>
      <x:c r="E11" s="23"/>
      <x:c r="F11" s="23"/>
      <x:c r="G11" s="56"/>
      <x:c r="H11" s="23"/>
      <x:c r="I11" s="25"/>
      <x:c r="J11" s="24"/>
      <x:c r="K11" s="25"/>
      <x:c r="L11" s="25"/>
      <x:c r="M11" s="94"/>
      <x:c r="N11" s="94"/>
      <x:c r="O11" s="94"/>
      <x:c r="P11" s="94"/>
      <x:c r="Q11" s="26"/>
      <x:c r="R11" s="23"/>
      <x:c r="S11" s="23"/>
      <x:c r="U11" s="34"/>
      <x:c r="V11" s="34" t="e">
        <x:f>IFERROR(__xludf.DUMMYFUNCTION("SUM(FILTER($E$2:$P$1115, $C$2:$C$1115 = U11))"),2594208.1902998886)</x:f>
        <x:v>#NAME?</x:v>
      </x:c>
      <x:c r="W11" s="34" t="e">
        <x:f>IFERROR(__xludf.DUMMYFUNCTION("COUNT(FILTER($C$2:$C$1115, $C$2:$C$1115 = U11))"),0.0)</x:f>
        <x:v>#NAME?</x:v>
      </x:c>
      <x:c r="X11" s="31">
        <x:f t="shared" si="1"/>
        <x:v>0</x:v>
      </x:c>
    </x:row>
    <x:row r="12" ht="18.75" customHeight="1">
      <x:c r="A12" s="19"/>
      <x:c r="B12" s="29"/>
      <x:c r="C12" s="21"/>
      <x:c r="D12" s="35"/>
      <x:c r="E12" s="23"/>
      <x:c r="F12" s="23"/>
      <x:c r="G12" s="56"/>
      <x:c r="H12" s="56"/>
      <x:c r="I12" s="25"/>
      <x:c r="J12" s="25"/>
      <x:c r="K12" s="24"/>
      <x:c r="L12" s="24"/>
      <x:c r="M12" s="94"/>
      <x:c r="N12" s="94"/>
      <x:c r="O12" s="94"/>
      <x:c r="P12" s="94"/>
      <x:c r="Q12" s="26"/>
      <x:c r="R12" s="23"/>
      <x:c r="S12" s="23"/>
      <x:c r="U12" s="34"/>
      <x:c r="V12" s="34" t="e">
        <x:f>IFERROR(__xludf.DUMMYFUNCTION("SUM(FILTER($E$2:$P$1115, $C$2:$C$1115 = U12))"),2594208.1902998886)</x:f>
        <x:v>#NAME?</x:v>
      </x:c>
      <x:c r="W12" s="34" t="e">
        <x:f>IFERROR(__xludf.DUMMYFUNCTION("COUNT(FILTER($C$2:$C$1115, $C$2:$C$1115 = U12))"),0.0)</x:f>
        <x:v>#NAME?</x:v>
      </x:c>
      <x:c r="X12" s="31">
        <x:f t="shared" si="1"/>
        <x:v>0</x:v>
      </x:c>
    </x:row>
    <x:row r="13" ht="18.75" customHeight="1">
      <x:c r="A13" s="19"/>
      <x:c r="B13" s="29"/>
      <x:c r="C13" s="21"/>
      <x:c r="D13" s="35"/>
      <x:c r="E13" s="56"/>
      <x:c r="F13" s="23"/>
      <x:c r="G13" s="23"/>
      <x:c r="H13" s="23"/>
      <x:c r="I13" s="24"/>
      <x:c r="J13" s="24"/>
      <x:c r="K13" s="24"/>
      <x:c r="L13" s="24"/>
      <x:c r="M13" s="94"/>
      <x:c r="N13" s="94"/>
      <x:c r="O13" s="94"/>
      <x:c r="P13" s="94"/>
      <x:c r="Q13" s="26"/>
      <x:c r="R13" s="23"/>
      <x:c r="S13" s="23"/>
      <x:c r="T13" s="32"/>
      <x:c r="U13" s="34"/>
      <x:c r="V13" s="34" t="e">
        <x:f>IFERROR(__xludf.DUMMYFUNCTION("SUM(FILTER($E$2:$P$1115, $C$2:$C$1115 = U13))"),2594208.1902998886)</x:f>
        <x:v>#NAME?</x:v>
      </x:c>
      <x:c r="W13" s="34" t="e">
        <x:f>IFERROR(__xludf.DUMMYFUNCTION("COUNT(FILTER($C$2:$C$1115, $C$2:$C$1115 = U13))"),0.0)</x:f>
        <x:v>#NAME?</x:v>
      </x:c>
      <x:c r="X13" s="31">
        <x:f t="shared" si="1"/>
        <x:v>0</x:v>
      </x:c>
    </x:row>
    <x:row r="14" ht="18.75" customHeight="1">
      <x:c r="A14" s="19"/>
      <x:c r="B14" s="29"/>
      <x:c r="C14" s="21"/>
      <x:c r="D14" s="35"/>
      <x:c r="E14" s="23"/>
      <x:c r="F14" s="23"/>
      <x:c r="G14" s="56"/>
      <x:c r="H14" s="56"/>
      <x:c r="I14" s="24"/>
      <x:c r="J14" s="24"/>
      <x:c r="K14" s="25"/>
      <x:c r="L14" s="24"/>
      <x:c r="M14" s="23"/>
      <x:c r="N14" s="23"/>
      <x:c r="O14" s="23"/>
      <x:c r="P14" s="23"/>
      <x:c r="Q14" s="26"/>
      <x:c r="R14" s="23"/>
      <x:c r="S14" s="23"/>
      <x:c r="T14" s="32"/>
      <x:c r="U14" s="34"/>
      <x:c r="V14" s="34" t="e">
        <x:f>IFERROR(__xludf.DUMMYFUNCTION("SUM(FILTER($E$2:$P$1115, $C$2:$C$1115 = U14))"),2594208.1902998886)</x:f>
        <x:v>#NAME?</x:v>
      </x:c>
      <x:c r="W14" s="34" t="e">
        <x:f>IFERROR(__xludf.DUMMYFUNCTION("COUNT(FILTER($C$2:$C$1115, $C$2:$C$1115 = U14))"),0.0)</x:f>
        <x:v>#NAME?</x:v>
      </x:c>
      <x:c r="X14" s="31">
        <x:f t="shared" si="1"/>
        <x:v>0</x:v>
      </x:c>
    </x:row>
    <x:row r="15" ht="18.75" customHeight="1">
      <x:c r="A15" s="19"/>
      <x:c r="B15" s="29"/>
      <x:c r="C15" s="21"/>
      <x:c r="D15" s="35"/>
      <x:c r="E15" s="23"/>
      <x:c r="F15" s="23"/>
      <x:c r="G15" s="23"/>
      <x:c r="H15" s="56"/>
      <x:c r="I15" s="24"/>
      <x:c r="J15" s="24"/>
      <x:c r="K15" s="25"/>
      <x:c r="L15" s="24"/>
      <x:c r="M15" s="94"/>
      <x:c r="N15" s="94"/>
      <x:c r="O15" s="94"/>
      <x:c r="P15" s="94"/>
      <x:c r="Q15" s="26"/>
      <x:c r="R15" s="23"/>
      <x:c r="S15" s="23"/>
      <x:c r="T15" s="32"/>
      <x:c r="U15" s="33"/>
      <x:c r="V15" s="34" t="e">
        <x:f>IFERROR(__xludf.DUMMYFUNCTION("SUM(FILTER($E$2:$P$1115, $C$2:$C$1115 = U15))"),2594208.1902998886)</x:f>
        <x:v>#NAME?</x:v>
      </x:c>
      <x:c r="W15" s="34" t="e">
        <x:f>IFERROR(__xludf.DUMMYFUNCTION("COUNT(FILTER($C$2:$C$1115, $C$2:$C$1115 = U15))"),0.0)</x:f>
        <x:v>#NAME?</x:v>
      </x:c>
      <x:c r="X15" s="31">
        <x:f t="shared" si="1"/>
        <x:v>0</x:v>
      </x:c>
    </x:row>
    <x:row r="16" ht="18.75" customHeight="1">
      <x:c r="A16" s="19"/>
      <x:c r="B16" s="29"/>
      <x:c r="C16" s="21"/>
      <x:c r="D16" s="35"/>
      <x:c r="E16" s="23"/>
      <x:c r="F16" s="23"/>
      <x:c r="G16" s="56"/>
      <x:c r="H16" s="23"/>
      <x:c r="I16" s="24"/>
      <x:c r="J16" s="24"/>
      <x:c r="K16" s="24"/>
      <x:c r="L16" s="25"/>
      <x:c r="M16" s="94"/>
      <x:c r="N16" s="94"/>
      <x:c r="O16" s="94"/>
      <x:c r="P16" s="94"/>
      <x:c r="Q16" s="26"/>
      <x:c r="R16" s="23"/>
      <x:c r="S16" s="23"/>
      <x:c r="T16" s="32"/>
      <x:c r="U16" s="33"/>
      <x:c r="V16" s="34" t="e">
        <x:f>IFERROR(__xludf.DUMMYFUNCTION("SUM(FILTER($E$2:$P$1115, $C$2:$C$1115 = U16))"),2594208.1902998886)</x:f>
        <x:v>#NAME?</x:v>
      </x:c>
      <x:c r="W16" s="34" t="e">
        <x:f>IFERROR(__xludf.DUMMYFUNCTION("COUNT(FILTER($C$2:$C$1115, $C$2:$C$1115 = U16))"),0.0)</x:f>
        <x:v>#NAME?</x:v>
      </x:c>
      <x:c r="X16" s="31">
        <x:f t="shared" si="1"/>
        <x:v>0</x:v>
      </x:c>
    </x:row>
    <x:row r="17">
      <x:c r="A17" s="19"/>
      <x:c r="B17" s="29"/>
      <x:c r="C17" s="21"/>
      <x:c r="D17" s="35"/>
      <x:c r="E17" s="23"/>
      <x:c r="F17" s="23"/>
      <x:c r="G17" s="23"/>
      <x:c r="H17" s="23"/>
      <x:c r="I17" s="24"/>
      <x:c r="J17" s="24"/>
      <x:c r="K17" s="24"/>
      <x:c r="L17" s="24"/>
      <x:c r="M17" s="94"/>
      <x:c r="N17" s="94"/>
      <x:c r="O17" s="94"/>
      <x:c r="P17" s="94"/>
      <x:c r="Q17" s="26"/>
      <x:c r="R17" s="23"/>
      <x:c r="S17" s="23"/>
      <x:c r="T17" s="32"/>
      <x:c r="U17" s="33"/>
      <x:c r="V17" s="34" t="e">
        <x:f>IFERROR(__xludf.DUMMYFUNCTION("SUM(FILTER($E$2:$P$1115, $C$2:$C$1115 = U17))"),2594208.1902998886)</x:f>
        <x:v>#NAME?</x:v>
      </x:c>
      <x:c r="W17" s="34" t="e">
        <x:f>IFERROR(__xludf.DUMMYFUNCTION("COUNT(FILTER($C$2:$C$1115, $C$2:$C$1115 = U17))"),0.0)</x:f>
        <x:v>#NAME?</x:v>
      </x:c>
      <x:c r="X17" s="31">
        <x:f t="shared" si="1"/>
        <x:v>0</x:v>
      </x:c>
    </x:row>
    <x:row r="18" ht="18.75" customHeight="1">
      <x:c r="A18" s="19"/>
      <x:c r="B18" s="29"/>
      <x:c r="C18" s="21"/>
      <x:c r="D18" s="35"/>
      <x:c r="E18" s="23"/>
      <x:c r="F18" s="23"/>
      <x:c r="G18" s="56"/>
      <x:c r="H18" s="23"/>
      <x:c r="I18" s="24"/>
      <x:c r="J18" s="24"/>
      <x:c r="K18" s="24"/>
      <x:c r="L18" s="24"/>
      <x:c r="M18" s="23"/>
      <x:c r="N18" s="23"/>
      <x:c r="O18" s="23"/>
      <x:c r="P18" s="23"/>
      <x:c r="Q18" s="26"/>
      <x:c r="R18" s="23"/>
      <x:c r="S18" s="23"/>
      <x:c r="T18" s="32"/>
      <x:c r="U18" s="33"/>
      <x:c r="V18" s="34" t="e">
        <x:f>IFERROR(__xludf.DUMMYFUNCTION("SUM(FILTER($E$2:$P$1115, $C$2:$C$1115 = U18))"),2594208.1902998886)</x:f>
        <x:v>#NAME?</x:v>
      </x:c>
      <x:c r="W18" s="34" t="e">
        <x:f>IFERROR(__xludf.DUMMYFUNCTION("COUNT(FILTER($C$2:$C$1115, $C$2:$C$1115 = U18))"),0.0)</x:f>
        <x:v>#NAME?</x:v>
      </x:c>
      <x:c r="X18" s="31">
        <x:f t="shared" si="1"/>
        <x:v>0</x:v>
      </x:c>
    </x:row>
    <x:row r="19" ht="18.75" customHeight="1">
      <x:c r="A19" s="19"/>
      <x:c r="B19" s="29"/>
      <x:c r="C19" s="21"/>
      <x:c r="D19" s="35"/>
      <x:c r="E19" s="23"/>
      <x:c r="F19" s="23"/>
      <x:c r="G19" s="56"/>
      <x:c r="H19" s="56"/>
      <x:c r="I19" s="25"/>
      <x:c r="J19" s="25"/>
      <x:c r="K19" s="24"/>
      <x:c r="L19" s="24"/>
      <x:c r="M19" s="94"/>
      <x:c r="N19" s="94"/>
      <x:c r="O19" s="94"/>
      <x:c r="P19" s="94"/>
      <x:c r="Q19" s="26"/>
      <x:c r="R19" s="23"/>
      <x:c r="S19" s="23"/>
      <x:c r="T19" s="32"/>
      <x:c r="U19" s="33"/>
      <x:c r="V19" s="34" t="e">
        <x:f>IFERROR(__xludf.DUMMYFUNCTION("SUM(FILTER($E$2:$P$1115, $C$2:$C$1115 = U19))"),2594208.1902998886)</x:f>
        <x:v>#NAME?</x:v>
      </x:c>
      <x:c r="W19" s="34" t="e">
        <x:f>IFERROR(__xludf.DUMMYFUNCTION("COUNT(FILTER($C$2:$C$1115, $C$2:$C$1115 = U19))"),0.0)</x:f>
        <x:v>#NAME?</x:v>
      </x:c>
      <x:c r="X19" s="31">
        <x:f t="shared" si="1"/>
        <x:v>0</x:v>
      </x:c>
    </x:row>
    <x:row r="20" ht="18.75" customHeight="1">
      <x:c r="A20" s="19"/>
      <x:c r="B20" s="29"/>
      <x:c r="C20" s="21"/>
      <x:c r="D20" s="35"/>
      <x:c r="E20" s="23"/>
      <x:c r="F20" s="23"/>
      <x:c r="G20" s="56"/>
      <x:c r="H20" s="56"/>
      <x:c r="I20" s="24"/>
      <x:c r="J20" s="24"/>
      <x:c r="K20" s="24"/>
      <x:c r="L20" s="24"/>
      <x:c r="M20" s="94"/>
      <x:c r="N20" s="94"/>
      <x:c r="O20" s="94"/>
      <x:c r="P20" s="94"/>
      <x:c r="Q20" s="26"/>
      <x:c r="R20" s="23"/>
      <x:c r="S20" s="23"/>
      <x:c r="T20" s="32"/>
      <x:c r="U20" s="33"/>
      <x:c r="V20" s="34" t="e">
        <x:f>IFERROR(__xludf.DUMMYFUNCTION("SUM(FILTER($E$2:$P$1115, $C$2:$C$1115 = U20))"),2594208.1902998886)</x:f>
        <x:v>#NAME?</x:v>
      </x:c>
      <x:c r="W20" s="34" t="e">
        <x:f>IFERROR(__xludf.DUMMYFUNCTION("COUNT(FILTER($C$2:$C$1115, $C$2:$C$1115 = U20))"),0.0)</x:f>
        <x:v>#NAME?</x:v>
      </x:c>
      <x:c r="X20" s="31">
        <x:f t="shared" si="1"/>
        <x:v>0</x:v>
      </x:c>
    </x:row>
    <x:row r="21" ht="18.75" customHeight="1">
      <x:c r="A21" s="19"/>
      <x:c r="B21" s="29"/>
      <x:c r="C21" s="21"/>
      <x:c r="D21" s="55"/>
      <x:c r="E21" s="23"/>
      <x:c r="F21" s="23"/>
      <x:c r="G21" s="56"/>
      <x:c r="H21" s="56"/>
      <x:c r="I21" s="25"/>
      <x:c r="J21" s="25"/>
      <x:c r="K21" s="24"/>
      <x:c r="L21" s="24"/>
      <x:c r="M21" s="94"/>
      <x:c r="N21" s="94"/>
      <x:c r="O21" s="94"/>
      <x:c r="P21" s="94"/>
      <x:c r="Q21" s="26"/>
      <x:c r="R21" s="23"/>
      <x:c r="S21" s="23"/>
      <x:c r="T21" s="32"/>
      <x:c r="U21" s="33"/>
      <x:c r="V21" s="34" t="e">
        <x:f>IFERROR(__xludf.DUMMYFUNCTION("SUM(FILTER($E$2:$P$1115, $C$2:$C$1115 = U21))"),2594208.1902998886)</x:f>
        <x:v>#NAME?</x:v>
      </x:c>
      <x:c r="W21" s="34" t="e">
        <x:f>IFERROR(__xludf.DUMMYFUNCTION("COUNT(FILTER($C$2:$C$1115, $C$2:$C$1115 = U21))"),0.0)</x:f>
        <x:v>#NAME?</x:v>
      </x:c>
      <x:c r="X21" s="31">
        <x:f t="shared" si="1"/>
        <x:v>0</x:v>
      </x:c>
    </x:row>
    <x:row r="22" ht="18.75" customHeight="1">
      <x:c r="A22" s="19"/>
      <x:c r="B22" s="29"/>
      <x:c r="C22" s="21"/>
      <x:c r="D22" s="35"/>
      <x:c r="E22" s="23"/>
      <x:c r="F22" s="23"/>
      <x:c r="G22" s="23"/>
      <x:c r="H22" s="23"/>
      <x:c r="I22" s="25"/>
      <x:c r="J22" s="24"/>
      <x:c r="K22" s="24"/>
      <x:c r="L22" s="24"/>
      <x:c r="M22" s="94"/>
      <x:c r="N22" s="94"/>
      <x:c r="O22" s="94"/>
      <x:c r="P22" s="94"/>
      <x:c r="Q22" s="26"/>
      <x:c r="R22" s="23"/>
      <x:c r="S22" s="23"/>
      <x:c r="T22" s="32"/>
      <x:c r="U22" s="33"/>
      <x:c r="V22" s="34" t="e">
        <x:f>IFERROR(__xludf.DUMMYFUNCTION("SUM(FILTER($E$2:$P$1115, $C$2:$C$1115 = U22))"),2594208.1902998886)</x:f>
        <x:v>#NAME?</x:v>
      </x:c>
      <x:c r="W22" s="34" t="e">
        <x:f>IFERROR(__xludf.DUMMYFUNCTION("COUNT(FILTER($C$2:$C$1115, $C$2:$C$1115 = U22))"),0.0)</x:f>
        <x:v>#NAME?</x:v>
      </x:c>
      <x:c r="X22" s="31">
        <x:f t="shared" si="1"/>
        <x:v>0</x:v>
      </x:c>
    </x:row>
    <x:row r="23">
      <x:c r="A23" s="19"/>
      <x:c r="B23" s="29"/>
      <x:c r="C23" s="21"/>
      <x:c r="D23" s="55"/>
      <x:c r="E23" s="56"/>
      <x:c r="F23" s="23"/>
      <x:c r="G23" s="23"/>
      <x:c r="H23" s="23"/>
      <x:c r="I23" s="25"/>
      <x:c r="J23" s="25"/>
      <x:c r="K23" s="24"/>
      <x:c r="L23" s="25"/>
      <x:c r="M23" s="94"/>
      <x:c r="N23" s="94"/>
      <x:c r="O23" s="94"/>
      <x:c r="P23" s="94"/>
      <x:c r="Q23" s="26"/>
      <x:c r="R23" s="23"/>
      <x:c r="S23" s="23"/>
      <x:c r="T23" s="57"/>
      <x:c r="U23" s="33"/>
      <x:c r="V23" s="34" t="e">
        <x:f>IFERROR(__xludf.DUMMYFUNCTION("SUM(FILTER($E$2:$P$1115, $C$2:$C$1115 = U23))"),2594208.1902998886)</x:f>
        <x:v>#NAME?</x:v>
      </x:c>
      <x:c r="W23" s="34" t="e">
        <x:f>IFERROR(__xludf.DUMMYFUNCTION("COUNT(FILTER($C$2:$C$1115, $C$2:$C$1115 = U23))"),0.0)</x:f>
        <x:v>#NAME?</x:v>
      </x:c>
      <x:c r="X23" s="31">
        <x:f t="shared" si="1"/>
        <x:v>0</x:v>
      </x:c>
    </x:row>
    <x:row r="24" ht="18.75" customHeight="1">
      <x:c r="A24" s="19"/>
      <x:c r="B24" s="29"/>
      <x:c r="C24" s="21"/>
      <x:c r="D24" s="55"/>
      <x:c r="E24" s="56"/>
      <x:c r="F24" s="23"/>
      <x:c r="G24" s="56"/>
      <x:c r="H24" s="56"/>
      <x:c r="I24" s="25"/>
      <x:c r="J24" s="24"/>
      <x:c r="K24" s="24"/>
      <x:c r="L24" s="24"/>
      <x:c r="M24" s="94"/>
      <x:c r="N24" s="94"/>
      <x:c r="O24" s="94"/>
      <x:c r="P24" s="94"/>
      <x:c r="Q24" s="26"/>
      <x:c r="R24" s="23"/>
      <x:c r="S24" s="23"/>
      <x:c r="T24" s="32"/>
      <x:c r="U24" s="33"/>
      <x:c r="V24" s="34" t="e">
        <x:f>IFERROR(__xludf.DUMMYFUNCTION("SUM(FILTER($E$2:$P$1115, $C$2:$C$1115 = U24))"),2594208.1902998886)</x:f>
        <x:v>#NAME?</x:v>
      </x:c>
      <x:c r="W24" s="34" t="e">
        <x:f>IFERROR(__xludf.DUMMYFUNCTION("COUNT(FILTER($C$2:$C$1115, $C$2:$C$1115 = U24))"),0.0)</x:f>
        <x:v>#NAME?</x:v>
      </x:c>
      <x:c r="X24" s="31">
        <x:f t="shared" si="1"/>
        <x:v>0</x:v>
      </x:c>
    </x:row>
    <x:row r="25" ht="18.75" customHeight="1">
      <x:c r="A25" s="19"/>
      <x:c r="B25" s="29"/>
      <x:c r="C25" s="21"/>
      <x:c r="D25" s="35"/>
      <x:c r="E25" s="23"/>
      <x:c r="F25" s="23"/>
      <x:c r="G25" s="56"/>
      <x:c r="H25" s="23"/>
      <x:c r="I25" s="24"/>
      <x:c r="J25" s="25"/>
      <x:c r="K25" s="25"/>
      <x:c r="L25" s="24"/>
      <x:c r="M25" s="94"/>
      <x:c r="N25" s="23"/>
      <x:c r="O25" s="94"/>
      <x:c r="P25" s="94"/>
      <x:c r="Q25" s="26"/>
      <x:c r="R25" s="23"/>
      <x:c r="S25" s="23"/>
      <x:c r="T25" s="32"/>
      <x:c r="U25" s="33"/>
      <x:c r="V25" s="34" t="e">
        <x:f>IFERROR(__xludf.DUMMYFUNCTION("SUM(FILTER($E$2:$P$1115, $C$2:$C$1115 = U25))"),2594208.1902998886)</x:f>
        <x:v>#NAME?</x:v>
      </x:c>
      <x:c r="W25" s="34" t="e">
        <x:f>IFERROR(__xludf.DUMMYFUNCTION("COUNT(FILTER($C$2:$C$1115, $C$2:$C$1115 = U25))"),0.0)</x:f>
        <x:v>#NAME?</x:v>
      </x:c>
      <x:c r="X25" s="31">
        <x:f t="shared" si="1"/>
        <x:v>0</x:v>
      </x:c>
    </x:row>
    <x:row r="26" ht="18.75" customHeight="1">
      <x:c r="A26" s="19"/>
      <x:c r="B26" s="29"/>
      <x:c r="C26" s="21"/>
      <x:c r="D26" s="35"/>
      <x:c r="E26" s="23"/>
      <x:c r="F26" s="23"/>
      <x:c r="G26" s="56"/>
      <x:c r="H26" s="23"/>
      <x:c r="I26" s="25"/>
      <x:c r="J26" s="25"/>
      <x:c r="K26" s="25"/>
      <x:c r="L26" s="24"/>
      <x:c r="M26" s="94"/>
      <x:c r="N26" s="94"/>
      <x:c r="O26" s="94"/>
      <x:c r="P26" s="94"/>
      <x:c r="Q26" s="26"/>
      <x:c r="R26" s="23"/>
      <x:c r="S26" s="23"/>
      <x:c r="T26" s="32"/>
      <x:c r="U26" s="33"/>
      <x:c r="V26" s="34" t="e">
        <x:f>IFERROR(__xludf.DUMMYFUNCTION("SUM(FILTER($E$2:$P$1115, $C$2:$C$1115 = U26))"),2594208.1902998886)</x:f>
        <x:v>#NAME?</x:v>
      </x:c>
      <x:c r="W26" s="34" t="e">
        <x:f>IFERROR(__xludf.DUMMYFUNCTION("COUNT(FILTER($C$2:$C$1115, $C$2:$C$1115 = U26))"),0.0)</x:f>
        <x:v>#NAME?</x:v>
      </x:c>
      <x:c r="X26" s="31">
        <x:f t="shared" si="1"/>
        <x:v>0</x:v>
      </x:c>
    </x:row>
    <x:row r="27" ht="18.75" customHeight="1">
      <x:c r="A27" s="19"/>
      <x:c r="B27" s="29"/>
      <x:c r="C27" s="21"/>
      <x:c r="D27" s="35"/>
      <x:c r="E27" s="23"/>
      <x:c r="F27" s="23"/>
      <x:c r="G27" s="23"/>
      <x:c r="H27" s="23"/>
      <x:c r="I27" s="24"/>
      <x:c r="J27" s="24"/>
      <x:c r="K27" s="25"/>
      <x:c r="L27" s="24"/>
      <x:c r="M27" s="94"/>
      <x:c r="N27" s="94"/>
      <x:c r="O27" s="94"/>
      <x:c r="P27" s="94"/>
      <x:c r="Q27" s="26"/>
      <x:c r="R27" s="23"/>
      <x:c r="S27" s="23"/>
      <x:c r="T27" s="32"/>
      <x:c r="U27" s="33"/>
      <x:c r="V27" s="34" t="e">
        <x:f>IFERROR(__xludf.DUMMYFUNCTION("SUM(FILTER($E$2:$P$1115, $C$2:$C$1115 = U27))"),2594208.1902998886)</x:f>
        <x:v>#NAME?</x:v>
      </x:c>
      <x:c r="W27" s="34" t="e">
        <x:f>IFERROR(__xludf.DUMMYFUNCTION("COUNT(FILTER($C$2:$C$1115, $C$2:$C$1115 = U27))"),0.0)</x:f>
        <x:v>#NAME?</x:v>
      </x:c>
      <x:c r="X27" s="31">
        <x:f t="shared" si="1"/>
        <x:v>0</x:v>
      </x:c>
    </x:row>
    <x:row r="28" ht="18.75" customHeight="1">
      <x:c r="A28" s="19"/>
      <x:c r="B28" s="29"/>
      <x:c r="C28" s="21"/>
      <x:c r="D28" s="35"/>
      <x:c r="E28" s="23"/>
      <x:c r="F28" s="23"/>
      <x:c r="G28" s="23"/>
      <x:c r="H28" s="23"/>
      <x:c r="I28" s="24"/>
      <x:c r="J28" s="24"/>
      <x:c r="K28" s="25"/>
      <x:c r="L28" s="24"/>
      <x:c r="M28" s="94"/>
      <x:c r="N28" s="94"/>
      <x:c r="O28" s="94"/>
      <x:c r="P28" s="94"/>
      <x:c r="Q28" s="26"/>
      <x:c r="R28" s="23"/>
      <x:c r="S28" s="23"/>
      <x:c r="T28" s="32"/>
      <x:c r="U28" s="33"/>
      <x:c r="V28" s="34" t="e">
        <x:f>IFERROR(__xludf.DUMMYFUNCTION("SUM(FILTER($E$2:$P$1115, $C$2:$C$1115 = U28))"),2594208.1902998886)</x:f>
        <x:v>#NAME?</x:v>
      </x:c>
      <x:c r="W28" s="34" t="e">
        <x:f>IFERROR(__xludf.DUMMYFUNCTION("COUNT(FILTER($C$2:$C$1115, $C$2:$C$1115 = U28))"),0.0)</x:f>
        <x:v>#NAME?</x:v>
      </x:c>
      <x:c r="X28" s="31">
        <x:f t="shared" si="1"/>
        <x:v>0</x:v>
      </x:c>
    </x:row>
    <x:row r="29">
      <x:c r="A29" s="19"/>
      <x:c r="B29" s="29"/>
      <x:c r="C29" s="21"/>
      <x:c r="D29" s="35"/>
      <x:c r="E29" s="23"/>
      <x:c r="F29" s="23"/>
      <x:c r="G29" s="23"/>
      <x:c r="H29" s="23"/>
      <x:c r="I29" s="25"/>
      <x:c r="J29" s="25"/>
      <x:c r="K29" s="24"/>
      <x:c r="L29" s="24"/>
      <x:c r="M29" s="94"/>
      <x:c r="N29" s="94"/>
      <x:c r="O29" s="94"/>
      <x:c r="P29" s="94"/>
      <x:c r="Q29" s="26"/>
      <x:c r="R29" s="23"/>
      <x:c r="S29" s="23"/>
      <x:c r="T29" s="57"/>
      <x:c r="U29" s="33"/>
      <x:c r="V29" s="34" t="e">
        <x:f>IFERROR(__xludf.DUMMYFUNCTION("SUM(FILTER($E$2:$P$1115, $C$2:$C$1115 = U29))"),2594208.1902998886)</x:f>
        <x:v>#NAME?</x:v>
      </x:c>
      <x:c r="W29" s="34" t="e">
        <x:f>IFERROR(__xludf.DUMMYFUNCTION("COUNT(FILTER($C$2:$C$1115, $C$2:$C$1115 = U29))"),0.0)</x:f>
        <x:v>#NAME?</x:v>
      </x:c>
      <x:c r="X29" s="31">
        <x:f t="shared" si="1"/>
        <x:v>0</x:v>
      </x:c>
    </x:row>
    <x:row r="30" ht="18.75" customHeight="1">
      <x:c r="A30" s="19"/>
      <x:c r="B30" s="29"/>
      <x:c r="C30" s="21"/>
      <x:c r="D30" s="35"/>
      <x:c r="E30" s="56"/>
      <x:c r="F30" s="23"/>
      <x:c r="G30" s="56"/>
      <x:c r="H30" s="23"/>
      <x:c r="I30" s="24"/>
      <x:c r="J30" s="24"/>
      <x:c r="K30" s="24"/>
      <x:c r="L30" s="24"/>
      <x:c r="M30" s="94"/>
      <x:c r="N30" s="94"/>
      <x:c r="O30" s="94"/>
      <x:c r="P30" s="94"/>
      <x:c r="Q30" s="26"/>
      <x:c r="R30" s="23"/>
      <x:c r="S30" s="23"/>
      <x:c r="T30" s="57"/>
      <x:c r="U30" s="33"/>
      <x:c r="V30" s="34" t="e">
        <x:f>IFERROR(__xludf.DUMMYFUNCTION("SUM(FILTER($E$2:$P$1115, $C$2:$C$1115 = U30))"),2594208.1902998886)</x:f>
        <x:v>#NAME?</x:v>
      </x:c>
      <x:c r="W30" s="34" t="e">
        <x:f>IFERROR(__xludf.DUMMYFUNCTION("COUNT(FILTER($C$2:$C$1115, $C$2:$C$1115 = U30))"),0.0)</x:f>
        <x:v>#NAME?</x:v>
      </x:c>
      <x:c r="X30" s="31">
        <x:f t="shared" si="1"/>
        <x:v>0</x:v>
      </x:c>
    </x:row>
    <x:row r="31" ht="18.75" customHeight="1">
      <x:c r="A31" s="19"/>
      <x:c r="B31" s="29"/>
      <x:c r="C31" s="21"/>
      <x:c r="D31" s="35"/>
      <x:c r="E31" s="56"/>
      <x:c r="F31" s="23"/>
      <x:c r="G31" s="23"/>
      <x:c r="H31" s="23"/>
      <x:c r="I31" s="24"/>
      <x:c r="J31" s="24"/>
      <x:c r="K31" s="24"/>
      <x:c r="L31" s="24"/>
      <x:c r="M31" s="94"/>
      <x:c r="N31" s="94"/>
      <x:c r="O31" s="94"/>
      <x:c r="P31" s="94"/>
      <x:c r="Q31" s="26"/>
      <x:c r="R31" s="23"/>
      <x:c r="S31" s="23"/>
      <x:c r="T31" s="32"/>
      <x:c r="U31" s="33"/>
      <x:c r="V31" s="34" t="e">
        <x:f>IFERROR(__xludf.DUMMYFUNCTION("SUM(FILTER($E$2:$P$1115, $C$2:$C$1115 = U31))"),2594208.1902998886)</x:f>
        <x:v>#NAME?</x:v>
      </x:c>
      <x:c r="W31" s="34" t="e">
        <x:f>IFERROR(__xludf.DUMMYFUNCTION("COUNT(FILTER($C$2:$C$1115, $C$2:$C$1115 = U31))"),0.0)</x:f>
        <x:v>#NAME?</x:v>
      </x:c>
      <x:c r="X31" s="31">
        <x:f t="shared" si="1"/>
        <x:v>0</x:v>
      </x:c>
    </x:row>
    <x:row r="32" ht="18.75" customHeight="1">
      <x:c r="A32" s="19"/>
      <x:c r="B32" s="29"/>
      <x:c r="C32" s="21"/>
      <x:c r="D32" s="55"/>
      <x:c r="E32" s="23"/>
      <x:c r="F32" s="23"/>
      <x:c r="G32" s="56"/>
      <x:c r="H32" s="23"/>
      <x:c r="I32" s="24"/>
      <x:c r="J32" s="24"/>
      <x:c r="K32" s="24"/>
      <x:c r="L32" s="24"/>
      <x:c r="M32" s="94"/>
      <x:c r="N32" s="94"/>
      <x:c r="O32" s="94"/>
      <x:c r="P32" s="94"/>
      <x:c r="Q32" s="26"/>
      <x:c r="R32" s="23"/>
      <x:c r="S32" s="23"/>
      <x:c r="T32" s="32"/>
      <x:c r="U32" s="33"/>
      <x:c r="V32" s="34" t="e">
        <x:f>IFERROR(__xludf.DUMMYFUNCTION("SUM(FILTER($E$2:$P$1115, $C$2:$C$1115 = U32))"),2594208.1902998886)</x:f>
        <x:v>#NAME?</x:v>
      </x:c>
      <x:c r="W32" s="34" t="e">
        <x:f>IFERROR(__xludf.DUMMYFUNCTION("COUNT(FILTER($C$2:$C$1115, $C$2:$C$1115 = U32))"),0.0)</x:f>
        <x:v>#NAME?</x:v>
      </x:c>
      <x:c r="X32" s="31">
        <x:f t="shared" si="1"/>
        <x:v>0</x:v>
      </x:c>
    </x:row>
    <x:row r="33" ht="18.75" customHeight="1">
      <x:c r="A33" s="19"/>
      <x:c r="B33" s="29"/>
      <x:c r="C33" s="21"/>
      <x:c r="D33" s="35"/>
      <x:c r="E33" s="23"/>
      <x:c r="F33" s="23"/>
      <x:c r="G33" s="56"/>
      <x:c r="H33" s="23"/>
      <x:c r="I33" s="24"/>
      <x:c r="J33" s="24"/>
      <x:c r="K33" s="24"/>
      <x:c r="L33" s="24"/>
      <x:c r="M33" s="23"/>
      <x:c r="N33" s="23"/>
      <x:c r="O33" s="23"/>
      <x:c r="P33" s="23"/>
      <x:c r="Q33" s="26"/>
      <x:c r="R33" s="23"/>
      <x:c r="S33" s="23"/>
      <x:c r="T33" s="32"/>
      <x:c r="U33" s="33"/>
      <x:c r="V33" s="34" t="e">
        <x:f>IFERROR(__xludf.DUMMYFUNCTION("SUM(FILTER($E$2:$P$1115, $C$2:$C$1115 = U33))"),2594208.1902998886)</x:f>
        <x:v>#NAME?</x:v>
      </x:c>
      <x:c r="W33" s="34" t="e">
        <x:f>IFERROR(__xludf.DUMMYFUNCTION("COUNT(FILTER($C$2:$C$1115, $C$2:$C$1115 = U33))"),0.0)</x:f>
        <x:v>#NAME?</x:v>
      </x:c>
      <x:c r="X33" s="31">
        <x:f t="shared" si="1"/>
        <x:v>0</x:v>
      </x:c>
    </x:row>
    <x:row r="34" ht="18.75" customHeight="1">
      <x:c r="A34" s="19"/>
      <x:c r="B34" s="29"/>
      <x:c r="C34" s="21"/>
      <x:c r="D34" s="35"/>
      <x:c r="E34" s="56"/>
      <x:c r="F34" s="23"/>
      <x:c r="G34" s="23"/>
      <x:c r="H34" s="23"/>
      <x:c r="I34" s="25"/>
      <x:c r="J34" s="25"/>
      <x:c r="K34" s="24"/>
      <x:c r="L34" s="25"/>
      <x:c r="M34" s="94"/>
      <x:c r="N34" s="94"/>
      <x:c r="O34" s="94"/>
      <x:c r="P34" s="94"/>
      <x:c r="Q34" s="26"/>
      <x:c r="R34" s="23"/>
      <x:c r="S34" s="23"/>
      <x:c r="T34" s="32"/>
      <x:c r="U34" s="33"/>
      <x:c r="V34" s="34" t="e">
        <x:f>IFERROR(__xludf.DUMMYFUNCTION("SUM(FILTER($E$2:$P$1115, $C$2:$C$1115 = U34))"),2594208.1902998886)</x:f>
        <x:v>#NAME?</x:v>
      </x:c>
      <x:c r="W34" s="34" t="e">
        <x:f>IFERROR(__xludf.DUMMYFUNCTION("COUNT(FILTER($C$2:$C$1115, $C$2:$C$1115 = U34))"),0.0)</x:f>
        <x:v>#NAME?</x:v>
      </x:c>
      <x:c r="X34" s="31">
        <x:f t="shared" si="1"/>
        <x:v>0</x:v>
      </x:c>
    </x:row>
    <x:row r="35" ht="18.75" customHeight="1">
      <x:c r="A35" s="19"/>
      <x:c r="B35" s="29"/>
      <x:c r="C35" s="21"/>
      <x:c r="D35" s="35"/>
      <x:c r="E35" s="23"/>
      <x:c r="F35" s="23"/>
      <x:c r="G35" s="23"/>
      <x:c r="H35" s="23"/>
      <x:c r="I35" s="24"/>
      <x:c r="J35" s="24"/>
      <x:c r="K35" s="24"/>
      <x:c r="L35" s="24"/>
      <x:c r="M35" s="94"/>
      <x:c r="N35" s="94"/>
      <x:c r="O35" s="94"/>
      <x:c r="P35" s="94"/>
      <x:c r="Q35" s="26"/>
      <x:c r="R35" s="23"/>
      <x:c r="S35" s="23"/>
      <x:c r="T35" s="32"/>
      <x:c r="U35" s="33"/>
      <x:c r="V35" s="34" t="e">
        <x:f>IFERROR(__xludf.DUMMYFUNCTION("SUM(FILTER($E$2:$P$1115, $C$2:$C$1115 = U35))"),2594208.1902998886)</x:f>
        <x:v>#NAME?</x:v>
      </x:c>
      <x:c r="W35" s="34" t="e">
        <x:f>IFERROR(__xludf.DUMMYFUNCTION("COUNT(FILTER($C$2:$C$1115, $C$2:$C$1115 = U35))"),0.0)</x:f>
        <x:v>#NAME?</x:v>
      </x:c>
      <x:c r="X35" s="31">
        <x:f t="shared" si="1"/>
        <x:v>0</x:v>
      </x:c>
    </x:row>
    <x:row r="36" ht="18.75" customHeight="1">
      <x:c r="A36" s="19"/>
      <x:c r="B36" s="29"/>
      <x:c r="C36" s="21"/>
      <x:c r="D36" s="35"/>
      <x:c r="E36" s="23"/>
      <x:c r="F36" s="23"/>
      <x:c r="G36" s="23"/>
      <x:c r="H36" s="23"/>
      <x:c r="I36" s="25"/>
      <x:c r="J36" s="25"/>
      <x:c r="K36" s="24"/>
      <x:c r="L36" s="24"/>
      <x:c r="M36" s="94"/>
      <x:c r="N36" s="94"/>
      <x:c r="O36" s="94"/>
      <x:c r="P36" s="94"/>
      <x:c r="Q36" s="26"/>
      <x:c r="R36" s="23"/>
      <x:c r="S36" s="23"/>
      <x:c r="U36" s="33"/>
      <x:c r="V36" s="34" t="e">
        <x:f>IFERROR(__xludf.DUMMYFUNCTION("SUM(FILTER($E$2:$P$1115, $C$2:$C$1115 = U36))"),2594208.1902998886)</x:f>
        <x:v>#NAME?</x:v>
      </x:c>
      <x:c r="W36" s="34" t="e">
        <x:f>IFERROR(__xludf.DUMMYFUNCTION("COUNT(FILTER($C$2:$C$1115, $C$2:$C$1115 = U36))"),0.0)</x:f>
        <x:v>#NAME?</x:v>
      </x:c>
      <x:c r="X36" s="31">
        <x:f t="shared" si="1"/>
        <x:v>0</x:v>
      </x:c>
    </x:row>
    <x:row r="37" ht="18.75" customHeight="1">
      <x:c r="A37" s="19"/>
      <x:c r="B37" s="29"/>
      <x:c r="C37" s="21"/>
      <x:c r="D37" s="35"/>
      <x:c r="E37" s="23"/>
      <x:c r="F37" s="23"/>
      <x:c r="G37" s="23"/>
      <x:c r="H37" s="23"/>
      <x:c r="I37" s="25"/>
      <x:c r="J37" s="25"/>
      <x:c r="K37" s="24"/>
      <x:c r="L37" s="24"/>
      <x:c r="M37" s="94"/>
      <x:c r="N37" s="94"/>
      <x:c r="O37" s="94"/>
      <x:c r="P37" s="94"/>
      <x:c r="Q37" s="26"/>
      <x:c r="R37" s="23"/>
      <x:c r="S37" s="23"/>
    </x:row>
    <x:row r="38">
      <x:c r="A38" s="19"/>
      <x:c r="B38" s="29"/>
      <x:c r="C38" s="21"/>
      <x:c r="D38" s="35"/>
      <x:c r="E38" s="56"/>
      <x:c r="F38" s="23"/>
      <x:c r="H38" s="23"/>
      <x:c r="I38" s="24"/>
      <x:c r="J38" s="24"/>
      <x:c r="K38" s="24"/>
      <x:c r="L38" s="24"/>
      <x:c r="M38" s="94"/>
      <x:c r="N38" s="94"/>
      <x:c r="O38" s="94"/>
      <x:c r="P38" s="94"/>
      <x:c r="Q38" s="26"/>
      <x:c r="R38" s="23"/>
      <x:c r="S38" s="23"/>
      <x:c r="T38" s="32"/>
    </x:row>
    <x:row r="39" ht="18.75" customHeight="1">
      <x:c r="A39" s="19"/>
      <x:c r="B39" s="29"/>
      <x:c r="C39" s="21"/>
      <x:c r="D39" s="35"/>
      <x:c r="E39" s="23"/>
      <x:c r="F39" s="23"/>
      <x:c r="G39" s="23"/>
      <x:c r="H39" s="23"/>
      <x:c r="I39" s="25"/>
      <x:c r="J39" s="25"/>
      <x:c r="K39" s="24"/>
      <x:c r="L39" s="24"/>
      <x:c r="M39" s="94"/>
      <x:c r="N39" s="94"/>
      <x:c r="O39" s="94"/>
      <x:c r="P39" s="94"/>
      <x:c r="Q39" s="26"/>
      <x:c r="R39" s="23"/>
      <x:c r="S39" s="23"/>
    </x:row>
    <x:row r="40" ht="18.75" customHeight="1">
      <x:c r="A40" s="19"/>
      <x:c r="B40" s="29"/>
      <x:c r="C40" s="21"/>
      <x:c r="D40" s="35"/>
      <x:c r="E40" s="23"/>
      <x:c r="F40" s="23"/>
      <x:c r="G40" s="23"/>
      <x:c r="H40" s="23"/>
      <x:c r="I40" s="25"/>
      <x:c r="J40" s="25"/>
      <x:c r="K40" s="24"/>
      <x:c r="L40" s="24"/>
      <x:c r="M40" s="94"/>
      <x:c r="N40" s="94"/>
      <x:c r="O40" s="94"/>
      <x:c r="P40" s="94"/>
      <x:c r="Q40" s="26"/>
      <x:c r="R40" s="23"/>
      <x:c r="S40" s="23"/>
    </x:row>
    <x:row r="41" ht="18.75" customHeight="1">
      <x:c r="A41" s="19"/>
      <x:c r="B41" s="29"/>
      <x:c r="C41" s="21"/>
      <x:c r="D41" s="35"/>
      <x:c r="E41" s="23"/>
      <x:c r="F41" s="23"/>
      <x:c r="G41" s="23"/>
      <x:c r="H41" s="23"/>
      <x:c r="I41" s="24"/>
      <x:c r="J41" s="24"/>
      <x:c r="K41" s="24"/>
      <x:c r="L41" s="24"/>
      <x:c r="M41" s="94"/>
      <x:c r="N41" s="94"/>
      <x:c r="O41" s="94"/>
      <x:c r="P41" s="94"/>
      <x:c r="Q41" s="26"/>
      <x:c r="R41" s="23"/>
      <x:c r="S41" s="23"/>
    </x:row>
    <x:row r="42" ht="18.75" customHeight="1">
      <x:c r="A42" s="19"/>
      <x:c r="B42" s="29"/>
      <x:c r="C42" s="21"/>
      <x:c r="D42" s="35"/>
      <x:c r="E42" s="23"/>
      <x:c r="F42" s="23"/>
      <x:c r="G42" s="56"/>
      <x:c r="H42" s="23"/>
      <x:c r="I42" s="25"/>
      <x:c r="J42" s="25"/>
      <x:c r="K42" s="24"/>
      <x:c r="L42" s="24"/>
      <x:c r="M42" s="94"/>
      <x:c r="N42" s="94"/>
      <x:c r="O42" s="94"/>
      <x:c r="P42" s="94"/>
      <x:c r="Q42" s="26"/>
      <x:c r="R42" s="23"/>
      <x:c r="S42" s="23"/>
    </x:row>
    <x:row r="43" ht="18.75" customHeight="1">
      <x:c r="A43" s="19"/>
      <x:c r="B43" s="29"/>
      <x:c r="C43" s="21"/>
      <x:c r="D43" s="55"/>
      <x:c r="E43" s="23"/>
      <x:c r="F43" s="23"/>
      <x:c r="G43" s="23"/>
      <x:c r="H43" s="23"/>
      <x:c r="I43" s="25"/>
      <x:c r="J43" s="24"/>
      <x:c r="K43" s="24"/>
      <x:c r="L43" s="24"/>
      <x:c r="M43" s="94"/>
      <x:c r="N43" s="94"/>
      <x:c r="O43" s="94"/>
      <x:c r="P43" s="94"/>
      <x:c r="Q43" s="26"/>
      <x:c r="R43" s="23"/>
      <x:c r="S43" s="23"/>
    </x:row>
    <x:row r="44" ht="18.75" customHeight="1">
      <x:c r="A44" s="19"/>
      <x:c r="B44" s="71"/>
      <x:c r="C44" s="21"/>
      <x:c r="D44" s="35"/>
      <x:c r="E44" s="23"/>
      <x:c r="F44" s="23"/>
      <x:c r="G44" s="23"/>
      <x:c r="H44" s="23"/>
      <x:c r="I44" s="25"/>
      <x:c r="J44" s="25"/>
      <x:c r="K44" s="24"/>
      <x:c r="L44" s="24"/>
      <x:c r="M44" s="94"/>
      <x:c r="N44" s="94"/>
      <x:c r="O44" s="94"/>
      <x:c r="P44" s="94"/>
      <x:c r="Q44" s="26"/>
      <x:c r="R44" s="23"/>
      <x:c r="S44" s="23"/>
    </x:row>
    <x:row r="45" ht="18.75" customHeight="1">
      <x:c r="A45" s="19"/>
      <x:c r="B45" s="29"/>
      <x:c r="C45" s="21"/>
      <x:c r="D45" s="35"/>
      <x:c r="E45" s="56"/>
      <x:c r="F45" s="23"/>
      <x:c r="G45" s="56"/>
      <x:c r="H45" s="23"/>
      <x:c r="I45" s="25"/>
      <x:c r="J45" s="25"/>
      <x:c r="K45" s="24"/>
      <x:c r="L45" s="24"/>
      <x:c r="M45" s="94"/>
      <x:c r="N45" s="94"/>
      <x:c r="O45" s="94"/>
      <x:c r="P45" s="94"/>
      <x:c r="Q45" s="26"/>
      <x:c r="R45" s="23"/>
      <x:c r="S45" s="23"/>
    </x:row>
    <x:row r="46" ht="18.75" customHeight="1">
      <x:c r="A46" s="19"/>
      <x:c r="B46" s="29"/>
      <x:c r="C46" s="21"/>
      <x:c r="D46" s="35"/>
      <x:c r="E46" s="23"/>
      <x:c r="F46" s="23"/>
      <x:c r="G46" s="56"/>
      <x:c r="H46" s="23"/>
      <x:c r="I46" s="25"/>
      <x:c r="J46" s="25"/>
      <x:c r="K46" s="24"/>
      <x:c r="L46" s="25"/>
      <x:c r="M46" s="94"/>
      <x:c r="N46" s="94"/>
      <x:c r="O46" s="94"/>
      <x:c r="P46" s="94"/>
      <x:c r="Q46" s="26"/>
      <x:c r="R46" s="23"/>
      <x:c r="S46" s="23"/>
    </x:row>
    <x:row r="47" ht="18.75" customHeight="1">
      <x:c r="A47" s="19"/>
      <x:c r="B47" s="29"/>
      <x:c r="C47" s="21"/>
      <x:c r="D47" s="55"/>
      <x:c r="E47" s="23"/>
      <x:c r="F47" s="23"/>
      <x:c r="G47" s="23"/>
      <x:c r="H47" s="23"/>
      <x:c r="I47" s="25"/>
      <x:c r="J47" s="25"/>
      <x:c r="K47" s="24"/>
      <x:c r="L47" s="24"/>
      <x:c r="M47" s="94"/>
      <x:c r="N47" s="94"/>
      <x:c r="O47" s="94"/>
      <x:c r="P47" s="94"/>
      <x:c r="Q47" s="26"/>
      <x:c r="R47" s="23"/>
      <x:c r="S47" s="23"/>
    </x:row>
    <x:row r="48" ht="18.75" customHeight="1">
      <x:c r="A48" s="19"/>
      <x:c r="B48" s="29"/>
      <x:c r="C48" s="21"/>
      <x:c r="D48" s="55"/>
      <x:c r="E48" s="56"/>
      <x:c r="F48" s="23"/>
      <x:c r="G48" s="23"/>
      <x:c r="H48" s="23"/>
      <x:c r="I48" s="24"/>
      <x:c r="J48" s="24"/>
      <x:c r="K48" s="24"/>
      <x:c r="L48" s="24"/>
      <x:c r="M48" s="94"/>
      <x:c r="N48" s="94"/>
      <x:c r="O48" s="94"/>
      <x:c r="P48" s="94"/>
      <x:c r="Q48" s="26"/>
      <x:c r="R48" s="23"/>
      <x:c r="S48" s="23"/>
    </x:row>
    <x:row r="49" ht="18.75" customHeight="1">
      <x:c r="A49" s="19"/>
      <x:c r="B49" s="29"/>
      <x:c r="C49" s="21"/>
      <x:c r="D49" s="35"/>
      <x:c r="E49" s="56"/>
      <x:c r="F49" s="23"/>
      <x:c r="G49" s="23"/>
      <x:c r="H49" s="23"/>
      <x:c r="I49" s="24"/>
      <x:c r="J49" s="24"/>
      <x:c r="K49" s="24"/>
      <x:c r="L49" s="24"/>
      <x:c r="M49" s="94"/>
      <x:c r="N49" s="94"/>
      <x:c r="O49" s="94"/>
      <x:c r="P49" s="94"/>
      <x:c r="Q49" s="26"/>
      <x:c r="R49" s="23"/>
      <x:c r="S49" s="23"/>
    </x:row>
    <x:row r="50" ht="18.75" customHeight="1">
      <x:c r="A50" s="19"/>
      <x:c r="B50" s="29"/>
      <x:c r="C50" s="21"/>
      <x:c r="D50" s="55"/>
      <x:c r="E50" s="56"/>
      <x:c r="F50" s="23"/>
      <x:c r="G50" s="56"/>
      <x:c r="H50" s="23"/>
      <x:c r="I50" s="24"/>
      <x:c r="J50" s="24"/>
      <x:c r="K50" s="24"/>
      <x:c r="L50" s="24"/>
      <x:c r="M50" s="94"/>
      <x:c r="N50" s="94"/>
      <x:c r="O50" s="94"/>
      <x:c r="P50" s="94"/>
      <x:c r="Q50" s="26"/>
      <x:c r="R50" s="23"/>
      <x:c r="S50" s="23"/>
      <x:c r="T50" s="39"/>
    </x:row>
    <x:row r="51" ht="18.75" customHeight="1">
      <x:c r="A51" s="19"/>
      <x:c r="B51" s="29"/>
      <x:c r="C51" s="21"/>
      <x:c r="D51" s="35"/>
      <x:c r="E51" s="56"/>
      <x:c r="F51" s="23"/>
      <x:c r="G51" s="56"/>
      <x:c r="H51" s="23"/>
      <x:c r="I51" s="24"/>
      <x:c r="J51" s="24"/>
      <x:c r="K51" s="24"/>
      <x:c r="L51" s="24"/>
      <x:c r="M51" s="23"/>
      <x:c r="N51" s="23"/>
      <x:c r="O51" s="23"/>
      <x:c r="P51" s="94"/>
      <x:c r="Q51" s="26"/>
      <x:c r="R51" s="23"/>
      <x:c r="S51" s="23"/>
    </x:row>
    <x:row r="52" ht="18.75" customHeight="1">
      <x:c r="A52" s="19"/>
      <x:c r="B52" s="29"/>
      <x:c r="C52" s="21"/>
      <x:c r="D52" s="35"/>
      <x:c r="E52" s="56"/>
      <x:c r="F52" s="23"/>
      <x:c r="G52" s="56"/>
      <x:c r="H52" s="23"/>
      <x:c r="I52" s="25"/>
      <x:c r="J52" s="25"/>
      <x:c r="K52" s="24"/>
      <x:c r="L52" s="24"/>
      <x:c r="M52" s="94"/>
      <x:c r="N52" s="94"/>
      <x:c r="O52" s="94"/>
      <x:c r="P52" s="94"/>
      <x:c r="Q52" s="26"/>
      <x:c r="R52" s="23"/>
      <x:c r="S52" s="23"/>
    </x:row>
    <x:row r="53" ht="18.75" customHeight="1">
      <x:c r="A53" s="19"/>
      <x:c r="B53" s="29"/>
      <x:c r="C53" s="21"/>
      <x:c r="D53" s="55"/>
      <x:c r="E53" s="23"/>
      <x:c r="F53" s="23"/>
      <x:c r="G53" s="23"/>
      <x:c r="H53" s="23"/>
      <x:c r="I53" s="25"/>
      <x:c r="J53" s="25"/>
      <x:c r="K53" s="24"/>
      <x:c r="L53" s="24"/>
      <x:c r="M53" s="94"/>
      <x:c r="N53" s="94"/>
      <x:c r="O53" s="94"/>
      <x:c r="P53" s="94"/>
      <x:c r="Q53" s="26"/>
      <x:c r="R53" s="23"/>
      <x:c r="S53" s="23"/>
    </x:row>
    <x:row r="54" ht="18.75" customHeight="1">
      <x:c r="A54" s="19"/>
      <x:c r="B54" s="29"/>
      <x:c r="C54" s="21"/>
      <x:c r="D54" s="35"/>
      <x:c r="E54" s="23"/>
      <x:c r="F54" s="23"/>
      <x:c r="G54" s="56"/>
      <x:c r="H54" s="23"/>
      <x:c r="I54" s="25"/>
      <x:c r="J54" s="25"/>
      <x:c r="K54" s="24"/>
      <x:c r="L54" s="24"/>
      <x:c r="M54" s="94"/>
      <x:c r="N54" s="94"/>
      <x:c r="O54" s="94"/>
      <x:c r="P54" s="94"/>
      <x:c r="Q54" s="26"/>
      <x:c r="R54" s="23"/>
      <x:c r="S54" s="23"/>
    </x:row>
    <x:row r="55" ht="18.75" customHeight="1">
      <x:c r="A55" s="19"/>
      <x:c r="B55" s="29"/>
      <x:c r="C55" s="21"/>
      <x:c r="D55" s="35"/>
      <x:c r="E55" s="56"/>
      <x:c r="F55" s="23"/>
      <x:c r="G55" s="23"/>
      <x:c r="H55" s="23"/>
      <x:c r="I55" s="25"/>
      <x:c r="J55" s="25"/>
      <x:c r="K55" s="24"/>
      <x:c r="L55" s="25"/>
      <x:c r="M55" s="94"/>
      <x:c r="N55" s="94"/>
      <x:c r="O55" s="94"/>
      <x:c r="P55" s="94"/>
      <x:c r="Q55" s="26"/>
      <x:c r="R55" s="23"/>
      <x:c r="S55" s="23"/>
    </x:row>
    <x:row r="56" ht="18.75" customHeight="1">
      <x:c r="A56" s="19"/>
      <x:c r="B56" s="29"/>
      <x:c r="C56" s="21"/>
      <x:c r="D56" s="35"/>
      <x:c r="E56" s="23"/>
      <x:c r="F56" s="23"/>
      <x:c r="G56" s="23"/>
      <x:c r="H56" s="23"/>
      <x:c r="I56" s="25"/>
      <x:c r="J56" s="25"/>
      <x:c r="K56" s="24"/>
      <x:c r="L56" s="24"/>
      <x:c r="M56" s="94"/>
      <x:c r="N56" s="94"/>
      <x:c r="O56" s="94"/>
      <x:c r="P56" s="94"/>
      <x:c r="Q56" s="26"/>
      <x:c r="R56" s="23"/>
      <x:c r="S56" s="23"/>
    </x:row>
    <x:row r="57" ht="18.75" customHeight="1">
      <x:c r="A57" s="19"/>
      <x:c r="B57" s="29"/>
      <x:c r="C57" s="21"/>
      <x:c r="D57" s="35"/>
      <x:c r="E57" s="23"/>
      <x:c r="F57" s="23"/>
      <x:c r="G57" s="23"/>
      <x:c r="H57" s="23"/>
      <x:c r="I57" s="25"/>
      <x:c r="J57" s="24"/>
      <x:c r="K57" s="24"/>
      <x:c r="L57" s="25"/>
      <x:c r="M57" s="94"/>
      <x:c r="N57" s="94"/>
      <x:c r="O57" s="94"/>
      <x:c r="P57" s="94"/>
      <x:c r="Q57" s="26"/>
      <x:c r="R57" s="23"/>
      <x:c r="S57" s="23"/>
    </x:row>
    <x:row r="58" ht="18.75" customHeight="1">
      <x:c r="A58" s="19"/>
      <x:c r="B58" s="29"/>
      <x:c r="C58" s="21"/>
      <x:c r="D58" s="35"/>
      <x:c r="E58" s="23"/>
      <x:c r="F58" s="23"/>
      <x:c r="G58" s="23"/>
      <x:c r="H58" s="23"/>
      <x:c r="I58" s="24"/>
      <x:c r="J58" s="24"/>
      <x:c r="K58" s="24"/>
      <x:c r="L58" s="24"/>
      <x:c r="M58" s="94"/>
      <x:c r="N58" s="94"/>
      <x:c r="O58" s="94"/>
      <x:c r="P58" s="94"/>
      <x:c r="Q58" s="26"/>
      <x:c r="R58" s="23"/>
      <x:c r="S58" s="23"/>
    </x:row>
    <x:row r="59" ht="18.75" customHeight="1">
      <x:c r="A59" s="19"/>
      <x:c r="B59" s="29"/>
      <x:c r="C59" s="21"/>
      <x:c r="D59" s="35"/>
      <x:c r="E59" s="23"/>
      <x:c r="F59" s="23"/>
      <x:c r="G59" s="56"/>
      <x:c r="H59" s="23"/>
      <x:c r="I59" s="24"/>
      <x:c r="J59" s="24"/>
      <x:c r="K59" s="24"/>
      <x:c r="L59" s="24"/>
      <x:c r="M59" s="94"/>
      <x:c r="N59" s="94"/>
      <x:c r="O59" s="94"/>
      <x:c r="P59" s="94"/>
      <x:c r="Q59" s="26"/>
      <x:c r="R59" s="23"/>
      <x:c r="S59" s="23"/>
    </x:row>
    <x:row r="60" ht="18.75" customHeight="1">
      <x:c r="A60" s="19"/>
      <x:c r="B60" s="29"/>
      <x:c r="C60" s="21"/>
      <x:c r="D60" s="55"/>
      <x:c r="E60" s="23"/>
      <x:c r="F60" s="23"/>
      <x:c r="G60" s="56"/>
      <x:c r="H60" s="23"/>
      <x:c r="I60" s="24"/>
      <x:c r="J60" s="24"/>
      <x:c r="K60" s="24"/>
      <x:c r="L60" s="24"/>
      <x:c r="M60" s="94"/>
      <x:c r="N60" s="94"/>
      <x:c r="O60" s="94"/>
      <x:c r="P60" s="94"/>
      <x:c r="Q60" s="26"/>
      <x:c r="R60" s="23"/>
      <x:c r="S60" s="23"/>
    </x:row>
    <x:row r="61" ht="18.75" customHeight="1">
      <x:c r="A61" s="19"/>
      <x:c r="B61" s="29"/>
      <x:c r="C61" s="21"/>
      <x:c r="D61" s="55"/>
      <x:c r="E61" s="23"/>
      <x:c r="F61" s="23"/>
      <x:c r="G61" s="56"/>
      <x:c r="H61" s="23"/>
      <x:c r="I61" s="24"/>
      <x:c r="J61" s="24"/>
      <x:c r="K61" s="25"/>
      <x:c r="L61" s="24"/>
      <x:c r="M61" s="94"/>
      <x:c r="N61" s="94"/>
      <x:c r="O61" s="94"/>
      <x:c r="P61" s="94"/>
      <x:c r="Q61" s="26"/>
      <x:c r="R61" s="23"/>
      <x:c r="S61" s="23"/>
    </x:row>
    <x:row r="62" ht="18.75" customHeight="1">
      <x:c r="A62" s="19"/>
      <x:c r="B62" s="29"/>
      <x:c r="C62" s="21"/>
      <x:c r="D62" s="55"/>
      <x:c r="E62" s="23"/>
      <x:c r="F62" s="23"/>
      <x:c r="G62" s="56"/>
      <x:c r="H62" s="23"/>
      <x:c r="I62" s="25"/>
      <x:c r="J62" s="25"/>
      <x:c r="K62" s="24"/>
      <x:c r="L62" s="24"/>
      <x:c r="M62" s="94"/>
      <x:c r="N62" s="94"/>
      <x:c r="O62" s="94"/>
      <x:c r="P62" s="94"/>
      <x:c r="Q62" s="26"/>
      <x:c r="R62" s="23"/>
      <x:c r="S62" s="23"/>
    </x:row>
    <x:row r="63" ht="18.75" customHeight="1">
      <x:c r="A63" s="19"/>
      <x:c r="B63" s="29"/>
      <x:c r="C63" s="21"/>
      <x:c r="D63" s="55"/>
      <x:c r="E63" s="23"/>
      <x:c r="F63" s="23"/>
      <x:c r="G63" s="23"/>
      <x:c r="H63" s="23"/>
      <x:c r="I63" s="24"/>
      <x:c r="J63" s="24"/>
      <x:c r="K63" s="24"/>
      <x:c r="L63" s="24"/>
      <x:c r="M63" s="94"/>
      <x:c r="N63" s="94"/>
      <x:c r="O63" s="94"/>
      <x:c r="P63" s="94"/>
      <x:c r="Q63" s="26"/>
      <x:c r="R63" s="23"/>
      <x:c r="S63" s="23"/>
    </x:row>
    <x:row r="64" ht="18.75" customHeight="1">
      <x:c r="A64" s="19"/>
      <x:c r="B64" s="29"/>
      <x:c r="C64" s="21"/>
      <x:c r="D64" s="55"/>
      <x:c r="E64" s="23"/>
      <x:c r="F64" s="23"/>
      <x:c r="G64" s="23"/>
      <x:c r="H64" s="23"/>
      <x:c r="I64" s="25"/>
      <x:c r="J64" s="25"/>
      <x:c r="K64" s="24"/>
      <x:c r="L64" s="25"/>
      <x:c r="M64" s="94"/>
      <x:c r="N64" s="94"/>
      <x:c r="O64" s="94"/>
      <x:c r="P64" s="94"/>
      <x:c r="Q64" s="26"/>
      <x:c r="R64" s="23"/>
      <x:c r="S64" s="23"/>
    </x:row>
    <x:row r="65" ht="18.75" customHeight="1">
      <x:c r="A65" s="19"/>
      <x:c r="B65" s="29"/>
      <x:c r="C65" s="21"/>
      <x:c r="D65" s="55"/>
      <x:c r="E65" s="23"/>
      <x:c r="F65" s="23"/>
      <x:c r="G65" s="23"/>
      <x:c r="H65" s="23"/>
      <x:c r="I65" s="24"/>
      <x:c r="J65" s="24"/>
      <x:c r="K65" s="24"/>
      <x:c r="L65" s="24"/>
      <x:c r="M65" s="94"/>
      <x:c r="N65" s="94"/>
      <x:c r="O65" s="94"/>
      <x:c r="P65" s="94"/>
      <x:c r="Q65" s="26"/>
      <x:c r="R65" s="23"/>
      <x:c r="S65" s="23"/>
    </x:row>
    <x:row r="66" ht="18.75" customHeight="1">
      <x:c r="A66" s="19"/>
      <x:c r="B66" s="29"/>
      <x:c r="C66" s="21"/>
      <x:c r="D66" s="35"/>
      <x:c r="E66" s="23"/>
      <x:c r="F66" s="23"/>
      <x:c r="G66" s="56"/>
      <x:c r="H66" s="23"/>
      <x:c r="I66" s="25"/>
      <x:c r="J66" s="25"/>
      <x:c r="K66" s="24"/>
      <x:c r="L66" s="24"/>
      <x:c r="M66" s="94"/>
      <x:c r="N66" s="94"/>
      <x:c r="O66" s="94"/>
      <x:c r="P66" s="94"/>
      <x:c r="Q66" s="26"/>
      <x:c r="R66" s="23"/>
      <x:c r="S66" s="23"/>
    </x:row>
    <x:row r="67" ht="18.75" customHeight="1">
      <x:c r="A67" s="19"/>
      <x:c r="B67" s="29"/>
      <x:c r="C67" s="21"/>
      <x:c r="D67" s="55"/>
      <x:c r="E67" s="23"/>
      <x:c r="F67" s="23"/>
      <x:c r="G67" s="23"/>
      <x:c r="H67" s="23"/>
      <x:c r="I67" s="25"/>
      <x:c r="J67" s="25"/>
      <x:c r="K67" s="25"/>
      <x:c r="L67" s="24"/>
      <x:c r="M67" s="94"/>
      <x:c r="N67" s="94"/>
      <x:c r="O67" s="94"/>
      <x:c r="P67" s="94"/>
      <x:c r="Q67" s="26"/>
      <x:c r="R67" s="23"/>
      <x:c r="S67" s="23"/>
    </x:row>
    <x:row r="68" ht="18.75" customHeight="1">
      <x:c r="A68" s="19"/>
      <x:c r="B68" s="29"/>
      <x:c r="C68" s="21"/>
      <x:c r="D68" s="55"/>
      <x:c r="E68" s="23"/>
      <x:c r="F68" s="23"/>
      <x:c r="G68" s="23"/>
      <x:c r="H68" s="23"/>
      <x:c r="I68" s="25"/>
      <x:c r="J68" s="25"/>
      <x:c r="K68" s="24"/>
      <x:c r="L68" s="25"/>
      <x:c r="M68" s="94"/>
      <x:c r="N68" s="94"/>
      <x:c r="O68" s="94"/>
      <x:c r="P68" s="94"/>
      <x:c r="Q68" s="26"/>
      <x:c r="R68" s="23"/>
      <x:c r="S68" s="23"/>
    </x:row>
    <x:row r="69" ht="18.75" customHeight="1">
      <x:c r="A69" s="19"/>
      <x:c r="B69" s="20"/>
      <x:c r="C69" s="21"/>
      <x:c r="D69" s="55"/>
      <x:c r="E69" s="23"/>
      <x:c r="F69" s="23"/>
      <x:c r="G69" s="56"/>
      <x:c r="H69" s="23"/>
      <x:c r="I69" s="25"/>
      <x:c r="J69" s="25"/>
      <x:c r="K69" s="24"/>
      <x:c r="L69" s="24"/>
      <x:c r="M69" s="94"/>
      <x:c r="N69" s="94"/>
      <x:c r="O69" s="94"/>
      <x:c r="P69" s="94"/>
      <x:c r="Q69" s="26"/>
      <x:c r="R69" s="23"/>
      <x:c r="S69" s="23"/>
    </x:row>
    <x:row r="70" ht="18.75" customHeight="1">
      <x:c r="A70" s="19"/>
      <x:c r="B70" s="20"/>
      <x:c r="C70" s="21"/>
      <x:c r="D70" s="55"/>
      <x:c r="E70" s="23"/>
      <x:c r="F70" s="23"/>
      <x:c r="G70" s="23"/>
      <x:c r="H70" s="23"/>
      <x:c r="I70" s="24"/>
      <x:c r="J70" s="24"/>
      <x:c r="K70" s="24"/>
      <x:c r="L70" s="24"/>
      <x:c r="M70" s="94"/>
      <x:c r="N70" s="94"/>
      <x:c r="O70" s="94"/>
      <x:c r="P70" s="94"/>
      <x:c r="Q70" s="26"/>
      <x:c r="R70" s="23"/>
      <x:c r="S70" s="23"/>
    </x:row>
    <x:row r="71" ht="18.75" customHeight="1">
      <x:c r="A71" s="19"/>
      <x:c r="B71" s="20"/>
      <x:c r="C71" s="21"/>
      <x:c r="D71" s="55"/>
      <x:c r="E71" s="23"/>
      <x:c r="F71" s="23"/>
      <x:c r="G71" s="23"/>
      <x:c r="H71" s="23"/>
      <x:c r="I71" s="25"/>
      <x:c r="J71" s="25"/>
      <x:c r="K71" s="24"/>
      <x:c r="L71" s="25"/>
      <x:c r="M71" s="94"/>
      <x:c r="N71" s="94"/>
      <x:c r="O71" s="94"/>
      <x:c r="P71" s="94"/>
      <x:c r="Q71" s="26"/>
      <x:c r="R71" s="23"/>
      <x:c r="S71" s="23"/>
    </x:row>
    <x:row r="72" ht="18.75" customHeight="1">
      <x:c r="A72" s="19"/>
      <x:c r="B72" s="20"/>
      <x:c r="C72" s="21"/>
      <x:c r="D72" s="55"/>
      <x:c r="E72" s="23"/>
      <x:c r="F72" s="23"/>
      <x:c r="G72" s="56"/>
      <x:c r="H72" s="23"/>
      <x:c r="I72" s="24"/>
      <x:c r="J72" s="25"/>
      <x:c r="K72" s="24"/>
      <x:c r="L72" s="25"/>
      <x:c r="M72" s="94"/>
      <x:c r="N72" s="94"/>
      <x:c r="O72" s="94"/>
      <x:c r="P72" s="94"/>
      <x:c r="Q72" s="26"/>
      <x:c r="R72" s="23"/>
      <x:c r="S72" s="23"/>
    </x:row>
    <x:row r="73" ht="18.75" customHeight="1">
      <x:c r="A73" s="19"/>
      <x:c r="B73" s="20"/>
      <x:c r="C73" s="21"/>
      <x:c r="D73" s="55"/>
      <x:c r="E73" s="23"/>
      <x:c r="F73" s="23"/>
      <x:c r="G73" s="56"/>
      <x:c r="H73" s="23"/>
      <x:c r="I73" s="25"/>
      <x:c r="J73" s="25"/>
      <x:c r="K73" s="24"/>
      <x:c r="L73" s="25"/>
      <x:c r="M73" s="94"/>
      <x:c r="N73" s="94"/>
      <x:c r="O73" s="94"/>
      <x:c r="P73" s="94"/>
      <x:c r="Q73" s="26"/>
      <x:c r="R73" s="23"/>
      <x:c r="S73" s="23"/>
    </x:row>
    <x:row r="74" ht="18.75" customHeight="1">
      <x:c r="A74" s="19"/>
      <x:c r="B74" s="20"/>
      <x:c r="C74" s="21"/>
      <x:c r="D74" s="55"/>
      <x:c r="E74" s="23"/>
      <x:c r="F74" s="23"/>
      <x:c r="G74" s="56"/>
      <x:c r="H74" s="23"/>
      <x:c r="I74" s="25"/>
      <x:c r="J74" s="25"/>
      <x:c r="K74" s="24"/>
      <x:c r="L74" s="25"/>
      <x:c r="M74" s="94"/>
      <x:c r="N74" s="94"/>
      <x:c r="O74" s="94"/>
      <x:c r="P74" s="94"/>
      <x:c r="Q74" s="26"/>
      <x:c r="R74" s="23"/>
      <x:c r="S74" s="23"/>
    </x:row>
    <x:row r="75" ht="18.75" customHeight="1">
      <x:c r="A75" s="19"/>
      <x:c r="B75" s="20"/>
      <x:c r="C75" s="21"/>
      <x:c r="D75" s="35"/>
      <x:c r="E75" s="23"/>
      <x:c r="F75" s="23"/>
      <x:c r="G75" s="23"/>
      <x:c r="H75" s="23"/>
      <x:c r="I75" s="25"/>
      <x:c r="J75" s="25"/>
      <x:c r="K75" s="25"/>
      <x:c r="L75" s="24"/>
      <x:c r="M75" s="94"/>
      <x:c r="N75" s="94"/>
      <x:c r="O75" s="94"/>
      <x:c r="P75" s="94"/>
      <x:c r="Q75" s="26"/>
      <x:c r="R75" s="23"/>
      <x:c r="S75" s="23"/>
    </x:row>
    <x:row r="76" ht="18.75" customHeight="1">
      <x:c r="A76" s="19"/>
      <x:c r="B76" s="20"/>
      <x:c r="C76" s="21"/>
      <x:c r="D76" s="55"/>
      <x:c r="E76" s="23"/>
      <x:c r="F76" s="23"/>
      <x:c r="G76" s="56"/>
      <x:c r="H76" s="23"/>
      <x:c r="I76" s="25"/>
      <x:c r="J76" s="25"/>
      <x:c r="K76" s="25"/>
      <x:c r="L76" s="24"/>
      <x:c r="M76" s="94"/>
      <x:c r="N76" s="94"/>
      <x:c r="O76" s="94"/>
      <x:c r="P76" s="94"/>
      <x:c r="Q76" s="26"/>
      <x:c r="R76" s="23"/>
      <x:c r="S76" s="23"/>
    </x:row>
    <x:row r="77" ht="18.75" customHeight="1">
      <x:c r="A77" s="19"/>
      <x:c r="B77" s="71"/>
      <x:c r="C77" s="21"/>
      <x:c r="D77" s="55"/>
      <x:c r="E77" s="23"/>
      <x:c r="F77" s="23"/>
      <x:c r="G77" s="23"/>
      <x:c r="H77" s="23"/>
      <x:c r="I77" s="25"/>
      <x:c r="J77" s="25"/>
      <x:c r="K77" s="24"/>
      <x:c r="L77" s="25"/>
      <x:c r="M77" s="94"/>
      <x:c r="N77" s="94"/>
      <x:c r="O77" s="94"/>
      <x:c r="P77" s="94"/>
      <x:c r="Q77" s="26"/>
      <x:c r="R77" s="23"/>
      <x:c r="S77" s="23"/>
    </x:row>
    <x:row r="78" ht="18.75" customHeight="1">
      <x:c r="A78" s="19"/>
      <x:c r="B78" s="20"/>
      <x:c r="C78" s="21"/>
      <x:c r="D78" s="35"/>
      <x:c r="E78" s="23"/>
      <x:c r="F78" s="23"/>
      <x:c r="G78" s="56"/>
      <x:c r="H78" s="23"/>
      <x:c r="I78" s="25"/>
      <x:c r="J78" s="25"/>
      <x:c r="K78" s="24"/>
      <x:c r="L78" s="24"/>
      <x:c r="M78" s="94"/>
      <x:c r="N78" s="94"/>
      <x:c r="O78" s="94"/>
      <x:c r="P78" s="94"/>
      <x:c r="Q78" s="26"/>
      <x:c r="R78" s="23"/>
      <x:c r="S78" s="23"/>
    </x:row>
    <x:row r="79" ht="18.75" customHeight="1">
      <x:c r="A79" s="19"/>
      <x:c r="B79" s="20"/>
      <x:c r="C79" s="21"/>
      <x:c r="D79" s="55"/>
      <x:c r="E79" s="23"/>
      <x:c r="F79" s="23"/>
      <x:c r="G79" s="56"/>
      <x:c r="H79" s="23"/>
      <x:c r="I79" s="24"/>
      <x:c r="J79" s="25"/>
      <x:c r="K79" s="24"/>
      <x:c r="L79" s="24"/>
      <x:c r="M79" s="94"/>
      <x:c r="N79" s="94"/>
      <x:c r="O79" s="94"/>
      <x:c r="P79" s="94"/>
      <x:c r="Q79" s="26"/>
      <x:c r="R79" s="23"/>
      <x:c r="S79" s="23"/>
    </x:row>
    <x:row r="80" ht="18.75" customHeight="1">
      <x:c r="A80" s="19"/>
      <x:c r="B80" s="20"/>
      <x:c r="C80" s="21"/>
      <x:c r="D80" s="35"/>
      <x:c r="E80" s="23"/>
      <x:c r="F80" s="23"/>
      <x:c r="G80" s="56"/>
      <x:c r="H80" s="23"/>
      <x:c r="I80" s="25"/>
      <x:c r="J80" s="25"/>
      <x:c r="K80" s="25"/>
      <x:c r="L80" s="24"/>
      <x:c r="M80" s="94"/>
      <x:c r="N80" s="94"/>
      <x:c r="O80" s="94"/>
      <x:c r="P80" s="94"/>
      <x:c r="Q80" s="26"/>
      <x:c r="R80" s="23"/>
      <x:c r="S80" s="23"/>
    </x:row>
    <x:row r="81" ht="18.75" customHeight="1">
      <x:c r="A81" s="19"/>
      <x:c r="B81" s="20"/>
      <x:c r="C81" s="21"/>
      <x:c r="D81" s="55"/>
      <x:c r="E81" s="23"/>
      <x:c r="F81" s="23"/>
      <x:c r="G81" s="56"/>
      <x:c r="H81" s="23"/>
      <x:c r="I81" s="25"/>
      <x:c r="J81" s="25"/>
      <x:c r="K81" s="24"/>
      <x:c r="L81" s="25"/>
      <x:c r="M81" s="94"/>
      <x:c r="N81" s="94"/>
      <x:c r="O81" s="94"/>
      <x:c r="P81" s="94"/>
      <x:c r="Q81" s="26"/>
      <x:c r="R81" s="23"/>
      <x:c r="S81" s="23"/>
    </x:row>
    <x:row r="82" ht="18.75" customHeight="1">
      <x:c r="A82" s="19"/>
      <x:c r="B82" s="20"/>
      <x:c r="C82" s="21"/>
      <x:c r="D82" s="55"/>
      <x:c r="E82" s="23"/>
      <x:c r="F82" s="23"/>
      <x:c r="G82" s="56"/>
      <x:c r="H82" s="23"/>
      <x:c r="I82" s="25"/>
      <x:c r="J82" s="25"/>
      <x:c r="K82" s="24"/>
      <x:c r="L82" s="25"/>
      <x:c r="M82" s="94"/>
      <x:c r="N82" s="94"/>
      <x:c r="O82" s="94"/>
      <x:c r="P82" s="94"/>
      <x:c r="Q82" s="26"/>
      <x:c r="R82" s="23"/>
      <x:c r="S82" s="23"/>
    </x:row>
    <x:row r="83" ht="18.75" customHeight="1">
      <x:c r="A83" s="19"/>
      <x:c r="B83" s="20"/>
      <x:c r="C83" s="21"/>
      <x:c r="D83" s="35"/>
      <x:c r="E83" s="23"/>
      <x:c r="F83" s="23"/>
      <x:c r="G83" s="23"/>
      <x:c r="H83" s="23"/>
      <x:c r="I83" s="25"/>
      <x:c r="J83" s="25"/>
      <x:c r="K83" s="25"/>
      <x:c r="L83" s="25"/>
      <x:c r="M83" s="94"/>
      <x:c r="N83" s="94"/>
      <x:c r="O83" s="94"/>
      <x:c r="P83" s="94"/>
      <x:c r="Q83" s="26"/>
      <x:c r="R83" s="23"/>
      <x:c r="S83" s="23"/>
    </x:row>
    <x:row r="84" ht="18.75" customHeight="1">
      <x:c r="A84" s="19"/>
      <x:c r="B84" s="29"/>
      <x:c r="C84" s="21"/>
      <x:c r="D84" s="55"/>
      <x:c r="E84" s="56"/>
      <x:c r="F84" s="23"/>
      <x:c r="G84" s="23"/>
      <x:c r="H84" s="23"/>
      <x:c r="I84" s="25"/>
      <x:c r="J84" s="25"/>
      <x:c r="K84" s="25"/>
      <x:c r="L84" s="25"/>
      <x:c r="M84" s="94"/>
      <x:c r="N84" s="94"/>
      <x:c r="O84" s="94"/>
      <x:c r="P84" s="94"/>
      <x:c r="Q84" s="26"/>
      <x:c r="R84" s="23"/>
      <x:c r="S84" s="23"/>
    </x:row>
    <x:row r="85" ht="18.75" customHeight="1">
      <x:c r="A85" s="19"/>
      <x:c r="B85" s="20"/>
      <x:c r="C85" s="21"/>
      <x:c r="D85" s="55"/>
      <x:c r="E85" s="56"/>
      <x:c r="F85" s="23"/>
      <x:c r="G85" s="23"/>
      <x:c r="H85" s="23"/>
      <x:c r="I85" s="25"/>
      <x:c r="J85" s="25"/>
      <x:c r="K85" s="24"/>
      <x:c r="L85" s="25"/>
      <x:c r="M85" s="94"/>
      <x:c r="N85" s="94"/>
      <x:c r="O85" s="94"/>
      <x:c r="P85" s="94"/>
      <x:c r="Q85" s="26"/>
      <x:c r="R85" s="23"/>
      <x:c r="S85" s="23"/>
    </x:row>
    <x:row r="86" ht="18.75" customHeight="1">
      <x:c r="A86" s="19"/>
      <x:c r="B86" s="29"/>
      <x:c r="C86" s="21"/>
      <x:c r="D86" s="23"/>
      <x:c r="E86" s="56"/>
      <x:c r="F86" s="23"/>
      <x:c r="G86" s="56"/>
      <x:c r="H86" s="23"/>
      <x:c r="I86" s="25"/>
      <x:c r="J86" s="25"/>
      <x:c r="K86" s="24"/>
      <x:c r="L86" s="24"/>
      <x:c r="M86" s="94"/>
      <x:c r="N86" s="94"/>
      <x:c r="O86" s="94"/>
      <x:c r="P86" s="94"/>
      <x:c r="Q86" s="26"/>
      <x:c r="R86" s="23"/>
      <x:c r="S86" s="23"/>
    </x:row>
    <x:row r="87" ht="18.75" customHeight="1">
      <x:c r="A87" s="19"/>
      <x:c r="B87" s="29"/>
      <x:c r="C87" s="21"/>
      <x:c r="D87" s="35"/>
      <x:c r="E87" s="56"/>
      <x:c r="F87" s="23"/>
      <x:c r="G87" s="56"/>
      <x:c r="H87" s="23"/>
      <x:c r="I87" s="25"/>
      <x:c r="J87" s="25"/>
      <x:c r="K87" s="24"/>
      <x:c r="L87" s="25"/>
      <x:c r="M87" s="94"/>
      <x:c r="N87" s="94"/>
      <x:c r="O87" s="94"/>
      <x:c r="P87" s="94"/>
      <x:c r="Q87" s="26"/>
      <x:c r="R87" s="23"/>
      <x:c r="S87" s="23"/>
    </x:row>
    <x:row r="88" ht="18.75" customHeight="1">
      <x:c r="A88" s="19"/>
      <x:c r="B88" s="29"/>
      <x:c r="C88" s="21"/>
      <x:c r="D88" s="55"/>
      <x:c r="E88" s="56"/>
      <x:c r="F88" s="23"/>
      <x:c r="G88" s="56"/>
      <x:c r="H88" s="23"/>
      <x:c r="I88" s="25"/>
      <x:c r="J88" s="25"/>
      <x:c r="K88" s="24"/>
      <x:c r="L88" s="25"/>
      <x:c r="M88" s="94"/>
      <x:c r="N88" s="94"/>
      <x:c r="O88" s="94"/>
      <x:c r="P88" s="94"/>
      <x:c r="Q88" s="26"/>
      <x:c r="R88" s="23"/>
      <x:c r="S88" s="23"/>
    </x:row>
    <x:row r="89" ht="18.75" customHeight="1">
      <x:c r="A89" s="19"/>
      <x:c r="B89" s="29"/>
      <x:c r="C89" s="21"/>
      <x:c r="D89" s="55"/>
      <x:c r="E89" s="23"/>
      <x:c r="F89" s="23"/>
      <x:c r="G89" s="56"/>
      <x:c r="H89" s="23"/>
      <x:c r="I89" s="25"/>
      <x:c r="J89" s="25"/>
      <x:c r="K89" s="24"/>
      <x:c r="L89" s="25"/>
      <x:c r="M89" s="94"/>
      <x:c r="N89" s="94"/>
      <x:c r="O89" s="94"/>
      <x:c r="P89" s="94"/>
      <x:c r="Q89" s="26"/>
      <x:c r="R89" s="23"/>
      <x:c r="S89" s="23"/>
    </x:row>
    <x:row r="90" ht="18.75" customHeight="1">
      <x:c r="A90" s="19"/>
      <x:c r="B90" s="29"/>
      <x:c r="C90" s="21"/>
      <x:c r="D90" s="35"/>
      <x:c r="E90" s="56"/>
      <x:c r="F90" s="23"/>
      <x:c r="G90" s="23"/>
      <x:c r="H90" s="23"/>
      <x:c r="I90" s="25"/>
      <x:c r="J90" s="25"/>
      <x:c r="K90" s="25"/>
      <x:c r="L90" s="25"/>
      <x:c r="M90" s="94"/>
      <x:c r="N90" s="94"/>
      <x:c r="O90" s="94"/>
      <x:c r="P90" s="94"/>
      <x:c r="Q90" s="26"/>
      <x:c r="R90" s="23"/>
      <x:c r="S90" s="23"/>
    </x:row>
    <x:row r="91" ht="18.75" customHeight="1">
      <x:c r="A91" s="19"/>
      <x:c r="B91" s="29"/>
      <x:c r="C91" s="21"/>
      <x:c r="D91" s="35"/>
      <x:c r="E91" s="56"/>
      <x:c r="F91" s="23"/>
      <x:c r="G91" s="23"/>
      <x:c r="H91" s="23"/>
      <x:c r="I91" s="25"/>
      <x:c r="J91" s="25"/>
      <x:c r="K91" s="25"/>
      <x:c r="L91" s="24"/>
      <x:c r="M91" s="94"/>
      <x:c r="N91" s="94"/>
      <x:c r="O91" s="94"/>
      <x:c r="P91" s="94"/>
      <x:c r="Q91" s="26"/>
      <x:c r="R91" s="23"/>
      <x:c r="S91" s="23"/>
    </x:row>
    <x:row r="92" ht="18.75" customHeight="1">
      <x:c r="A92" s="19"/>
      <x:c r="B92" s="29"/>
      <x:c r="C92" s="21"/>
      <x:c r="D92" s="55"/>
      <x:c r="E92" s="56"/>
      <x:c r="F92" s="23"/>
      <x:c r="G92" s="23"/>
      <x:c r="H92" s="23"/>
      <x:c r="I92" s="25"/>
      <x:c r="J92" s="25"/>
      <x:c r="K92" s="24"/>
      <x:c r="L92" s="25"/>
      <x:c r="M92" s="94"/>
      <x:c r="N92" s="94"/>
      <x:c r="O92" s="94"/>
      <x:c r="P92" s="94"/>
      <x:c r="Q92" s="26"/>
      <x:c r="R92" s="23"/>
      <x:c r="S92" s="23"/>
    </x:row>
    <x:row r="93" ht="18.75" customHeight="1">
      <x:c r="A93" s="19"/>
      <x:c r="B93" s="29"/>
      <x:c r="C93" s="21"/>
      <x:c r="D93" s="55"/>
      <x:c r="E93" s="23"/>
      <x:c r="F93" s="23"/>
      <x:c r="G93" s="56"/>
      <x:c r="H93" s="23"/>
      <x:c r="I93" s="25"/>
      <x:c r="J93" s="25"/>
      <x:c r="K93" s="25"/>
      <x:c r="L93" s="25"/>
      <x:c r="M93" s="94"/>
      <x:c r="N93" s="94"/>
      <x:c r="O93" s="94"/>
      <x:c r="P93" s="94"/>
      <x:c r="Q93" s="26"/>
      <x:c r="R93" s="23"/>
      <x:c r="S93" s="23"/>
    </x:row>
    <x:row r="94" ht="18.75" customHeight="1">
      <x:c r="A94" s="19"/>
      <x:c r="B94" s="29"/>
      <x:c r="C94" s="21"/>
      <x:c r="D94" s="55"/>
      <x:c r="E94" s="23"/>
      <x:c r="F94" s="23"/>
      <x:c r="G94" s="56"/>
      <x:c r="H94" s="23"/>
      <x:c r="I94" s="25"/>
      <x:c r="J94" s="25"/>
      <x:c r="K94" s="24"/>
      <x:c r="L94" s="24"/>
      <x:c r="M94" s="94"/>
      <x:c r="N94" s="94"/>
      <x:c r="O94" s="94"/>
      <x:c r="P94" s="94"/>
      <x:c r="Q94" s="26"/>
      <x:c r="R94" s="23"/>
      <x:c r="S94" s="23"/>
    </x:row>
    <x:row r="95" ht="18.75" customHeight="1">
      <x:c r="A95" s="19"/>
      <x:c r="B95" s="29"/>
      <x:c r="C95" s="21"/>
      <x:c r="D95" s="35"/>
      <x:c r="E95" s="56"/>
      <x:c r="F95" s="23"/>
      <x:c r="G95" s="56"/>
      <x:c r="H95" s="23"/>
      <x:c r="I95" s="25"/>
      <x:c r="J95" s="25"/>
      <x:c r="K95" s="25"/>
      <x:c r="L95" s="24"/>
      <x:c r="M95" s="94"/>
      <x:c r="N95" s="94"/>
      <x:c r="O95" s="94"/>
      <x:c r="P95" s="94"/>
      <x:c r="Q95" s="26"/>
      <x:c r="R95" s="23"/>
      <x:c r="S95" s="23"/>
    </x:row>
    <x:row r="96" ht="18.75" customHeight="1">
      <x:c r="A96" s="19"/>
      <x:c r="B96" s="29"/>
      <x:c r="C96" s="21"/>
      <x:c r="D96" s="35"/>
      <x:c r="E96" s="56"/>
      <x:c r="F96" s="23"/>
      <x:c r="G96" s="23"/>
      <x:c r="H96" s="23"/>
      <x:c r="I96" s="25"/>
      <x:c r="J96" s="25"/>
      <x:c r="K96" s="25"/>
      <x:c r="L96" s="25"/>
      <x:c r="M96" s="94"/>
      <x:c r="N96" s="94"/>
      <x:c r="O96" s="94"/>
      <x:c r="P96" s="94"/>
      <x:c r="Q96" s="26"/>
      <x:c r="R96" s="23"/>
      <x:c r="S96" s="23"/>
    </x:row>
    <x:row r="97" ht="18.75" customHeight="1">
      <x:c r="A97" s="19"/>
      <x:c r="B97" s="29"/>
      <x:c r="C97" s="21"/>
      <x:c r="D97" s="55"/>
      <x:c r="E97" s="23"/>
      <x:c r="F97" s="23"/>
      <x:c r="G97" s="56"/>
      <x:c r="H97" s="23"/>
      <x:c r="I97" s="25"/>
      <x:c r="J97" s="25"/>
      <x:c r="K97" s="24"/>
      <x:c r="L97" s="24"/>
      <x:c r="M97" s="94"/>
      <x:c r="N97" s="94"/>
      <x:c r="O97" s="94"/>
      <x:c r="P97" s="94"/>
      <x:c r="Q97" s="26"/>
      <x:c r="R97" s="23"/>
      <x:c r="S97" s="23"/>
    </x:row>
    <x:row r="98" ht="18.75" customHeight="1">
      <x:c r="A98" s="19"/>
      <x:c r="B98" s="29"/>
      <x:c r="C98" s="21"/>
      <x:c r="D98" s="55"/>
      <x:c r="E98" s="56"/>
      <x:c r="F98" s="23"/>
      <x:c r="G98" s="23"/>
      <x:c r="H98" s="23"/>
      <x:c r="I98" s="25"/>
      <x:c r="J98" s="25"/>
      <x:c r="K98" s="25"/>
      <x:c r="L98" s="24"/>
      <x:c r="M98" s="94"/>
      <x:c r="N98" s="94"/>
      <x:c r="O98" s="94"/>
      <x:c r="P98" s="94"/>
      <x:c r="Q98" s="26"/>
      <x:c r="R98" s="23"/>
      <x:c r="S98" s="23"/>
    </x:row>
    <x:row r="99" ht="18.75" customHeight="1">
      <x:c r="A99" s="19"/>
      <x:c r="B99" s="29"/>
      <x:c r="C99" s="21"/>
      <x:c r="D99" s="35"/>
      <x:c r="E99" s="56"/>
      <x:c r="F99" s="23"/>
      <x:c r="G99" s="23"/>
      <x:c r="H99" s="23"/>
      <x:c r="I99" s="25"/>
      <x:c r="J99" s="25"/>
      <x:c r="K99" s="25"/>
      <x:c r="L99" s="24"/>
      <x:c r="M99" s="94"/>
      <x:c r="N99" s="94"/>
      <x:c r="O99" s="94"/>
      <x:c r="P99" s="94"/>
      <x:c r="Q99" s="26"/>
      <x:c r="R99" s="23"/>
      <x:c r="S99" s="23"/>
    </x:row>
    <x:row r="100" ht="18.75" customHeight="1">
      <x:c r="A100" s="19"/>
      <x:c r="B100" s="29"/>
      <x:c r="C100" s="21"/>
      <x:c r="D100" s="55"/>
      <x:c r="E100" s="56"/>
      <x:c r="F100" s="23"/>
      <x:c r="G100" s="23"/>
      <x:c r="H100" s="23"/>
      <x:c r="I100" s="25"/>
      <x:c r="J100" s="25"/>
      <x:c r="K100" s="25"/>
      <x:c r="L100" s="24"/>
      <x:c r="M100" s="94"/>
      <x:c r="N100" s="94"/>
      <x:c r="O100" s="94"/>
      <x:c r="P100" s="94"/>
      <x:c r="Q100" s="26"/>
      <x:c r="R100" s="23"/>
      <x:c r="S100" s="23"/>
    </x:row>
    <x:row r="101" ht="18.75" customHeight="1">
      <x:c r="A101" s="19"/>
      <x:c r="B101" s="29"/>
      <x:c r="C101" s="21"/>
      <x:c r="D101" s="55"/>
      <x:c r="E101" s="56"/>
      <x:c r="F101" s="23"/>
      <x:c r="G101" s="23"/>
      <x:c r="H101" s="23"/>
      <x:c r="I101" s="25"/>
      <x:c r="J101" s="25"/>
      <x:c r="K101" s="24"/>
      <x:c r="L101" s="25"/>
      <x:c r="M101" s="94"/>
      <x:c r="N101" s="94"/>
      <x:c r="O101" s="94"/>
      <x:c r="P101" s="94"/>
      <x:c r="Q101" s="26"/>
      <x:c r="R101" s="23"/>
      <x:c r="S101" s="23"/>
    </x:row>
    <x:row r="102" ht="18.75" customHeight="1">
      <x:c r="A102" s="19"/>
      <x:c r="B102" s="29"/>
      <x:c r="C102" s="21"/>
      <x:c r="D102" s="55"/>
      <x:c r="E102" s="56"/>
      <x:c r="F102" s="23"/>
      <x:c r="G102" s="23"/>
      <x:c r="H102" s="23"/>
      <x:c r="I102" s="25"/>
      <x:c r="J102" s="25"/>
      <x:c r="K102" s="25"/>
      <x:c r="L102" s="25"/>
      <x:c r="M102" s="94"/>
      <x:c r="N102" s="94"/>
      <x:c r="O102" s="94"/>
      <x:c r="P102" s="94"/>
      <x:c r="Q102" s="26"/>
      <x:c r="R102" s="23"/>
      <x:c r="S102" s="23"/>
    </x:row>
    <x:row r="103" ht="18.75" customHeight="1">
      <x:c r="A103" s="19"/>
      <x:c r="B103" s="29"/>
      <x:c r="C103" s="21"/>
      <x:c r="D103" s="35"/>
      <x:c r="E103" s="56"/>
      <x:c r="F103" s="23"/>
      <x:c r="G103" s="56"/>
      <x:c r="H103" s="23"/>
      <x:c r="I103" s="25"/>
      <x:c r="J103" s="25"/>
      <x:c r="K103" s="24"/>
      <x:c r="L103" s="25"/>
      <x:c r="M103" s="94"/>
      <x:c r="N103" s="94"/>
      <x:c r="O103" s="94"/>
      <x:c r="P103" s="94"/>
      <x:c r="Q103" s="26"/>
      <x:c r="R103" s="23"/>
      <x:c r="S103" s="23"/>
    </x:row>
    <x:row r="104" ht="18.75" customHeight="1">
      <x:c r="A104" s="19"/>
      <x:c r="B104" s="29"/>
      <x:c r="C104" s="21"/>
      <x:c r="D104" s="55"/>
      <x:c r="E104" s="56"/>
      <x:c r="F104" s="23"/>
      <x:c r="G104" s="56"/>
      <x:c r="H104" s="23"/>
      <x:c r="I104" s="25"/>
      <x:c r="J104" s="25"/>
      <x:c r="K104" s="24"/>
      <x:c r="L104" s="25"/>
      <x:c r="M104" s="94"/>
      <x:c r="N104" s="94"/>
      <x:c r="O104" s="94"/>
      <x:c r="P104" s="94"/>
      <x:c r="Q104" s="26"/>
      <x:c r="R104" s="23"/>
      <x:c r="S104" s="23"/>
    </x:row>
    <x:row r="105" ht="18.75" customHeight="1">
      <x:c r="A105" s="19"/>
      <x:c r="B105" s="29"/>
      <x:c r="C105" s="21"/>
      <x:c r="D105" s="55"/>
      <x:c r="E105" s="56"/>
      <x:c r="F105" s="23"/>
      <x:c r="G105" s="56"/>
      <x:c r="H105" s="23"/>
      <x:c r="I105" s="24"/>
      <x:c r="J105" s="25"/>
      <x:c r="K105" s="25"/>
      <x:c r="L105" s="25"/>
      <x:c r="M105" s="94"/>
      <x:c r="N105" s="94"/>
      <x:c r="O105" s="94"/>
      <x:c r="P105" s="94"/>
      <x:c r="Q105" s="26"/>
      <x:c r="R105" s="23"/>
      <x:c r="S105" s="23"/>
    </x:row>
    <x:row r="106" ht="18.75" customHeight="1">
      <x:c r="A106" s="19"/>
      <x:c r="B106" s="29"/>
      <x:c r="C106" s="21"/>
      <x:c r="D106" s="35"/>
      <x:c r="E106" s="56"/>
      <x:c r="F106" s="23"/>
      <x:c r="G106" s="56"/>
      <x:c r="H106" s="23"/>
      <x:c r="I106" s="25"/>
      <x:c r="J106" s="25"/>
      <x:c r="K106" s="25"/>
      <x:c r="L106" s="24"/>
      <x:c r="M106" s="94"/>
      <x:c r="N106" s="94"/>
      <x:c r="O106" s="94"/>
      <x:c r="P106" s="94"/>
      <x:c r="Q106" s="26"/>
      <x:c r="R106" s="23"/>
      <x:c r="S106" s="23"/>
    </x:row>
    <x:row r="107" ht="18.75" customHeight="1">
      <x:c r="A107" s="19"/>
      <x:c r="B107" s="29"/>
      <x:c r="C107" s="21"/>
      <x:c r="D107" s="55"/>
      <x:c r="E107" s="56"/>
      <x:c r="F107" s="23"/>
      <x:c r="G107" s="56"/>
      <x:c r="H107" s="23"/>
      <x:c r="I107" s="25"/>
      <x:c r="J107" s="25"/>
      <x:c r="K107" s="24"/>
      <x:c r="L107" s="24"/>
      <x:c r="M107" s="94"/>
      <x:c r="N107" s="94"/>
      <x:c r="O107" s="94"/>
      <x:c r="P107" s="94"/>
      <x:c r="Q107" s="26"/>
      <x:c r="R107" s="23"/>
      <x:c r="S107" s="23"/>
    </x:row>
    <x:row r="108" ht="18.75" customHeight="1">
      <x:c r="A108" s="19"/>
      <x:c r="B108" s="20"/>
      <x:c r="C108" s="21"/>
      <x:c r="D108" s="55"/>
      <x:c r="E108" s="56"/>
      <x:c r="F108" s="23"/>
      <x:c r="G108" s="56"/>
      <x:c r="H108" s="23"/>
      <x:c r="I108" s="24"/>
      <x:c r="J108" s="25"/>
      <x:c r="K108" s="24"/>
      <x:c r="L108" s="25"/>
      <x:c r="M108" s="94"/>
      <x:c r="N108" s="94"/>
      <x:c r="O108" s="94"/>
      <x:c r="P108" s="94"/>
      <x:c r="Q108" s="26"/>
      <x:c r="R108" s="23"/>
      <x:c r="S108" s="23"/>
    </x:row>
    <x:row r="109" ht="18.75" customHeight="1">
      <x:c r="A109" s="19"/>
      <x:c r="B109" s="29"/>
      <x:c r="C109" s="21"/>
      <x:c r="D109" s="35"/>
      <x:c r="E109" s="56"/>
      <x:c r="F109" s="23"/>
      <x:c r="G109" s="56"/>
      <x:c r="H109" s="23"/>
      <x:c r="I109" s="25"/>
      <x:c r="J109" s="25"/>
      <x:c r="K109" s="25"/>
      <x:c r="L109" s="24"/>
      <x:c r="M109" s="94"/>
      <x:c r="N109" s="94"/>
      <x:c r="O109" s="94"/>
      <x:c r="P109" s="94"/>
      <x:c r="Q109" s="26"/>
      <x:c r="R109" s="23"/>
      <x:c r="S109" s="23"/>
    </x:row>
    <x:row r="110" ht="18.75" customHeight="1">
      <x:c r="A110" s="19"/>
      <x:c r="B110" s="29"/>
      <x:c r="C110" s="21"/>
      <x:c r="D110" s="55"/>
      <x:c r="E110" s="56"/>
      <x:c r="F110" s="23"/>
      <x:c r="G110" s="23"/>
      <x:c r="H110" s="23"/>
      <x:c r="I110" s="25"/>
      <x:c r="J110" s="25"/>
      <x:c r="K110" s="25"/>
      <x:c r="L110" s="24"/>
      <x:c r="M110" s="94"/>
      <x:c r="N110" s="94"/>
      <x:c r="O110" s="94"/>
      <x:c r="P110" s="94"/>
      <x:c r="Q110" s="26"/>
      <x:c r="R110" s="23"/>
      <x:c r="S110" s="23"/>
    </x:row>
    <x:row r="111" ht="18.75" customHeight="1">
      <x:c r="A111" s="19"/>
      <x:c r="B111" s="29"/>
      <x:c r="C111" s="21"/>
      <x:c r="D111" s="55"/>
      <x:c r="E111" s="56"/>
      <x:c r="F111" s="23"/>
      <x:c r="G111" s="56"/>
      <x:c r="H111" s="23"/>
      <x:c r="I111" s="25"/>
      <x:c r="J111" s="25"/>
      <x:c r="K111" s="25"/>
      <x:c r="L111" s="24"/>
      <x:c r="M111" s="94"/>
      <x:c r="N111" s="94"/>
      <x:c r="O111" s="94"/>
      <x:c r="P111" s="94"/>
      <x:c r="Q111" s="26"/>
      <x:c r="R111" s="23"/>
      <x:c r="S111" s="23"/>
    </x:row>
    <x:row r="112" ht="18.75" customHeight="1">
      <x:c r="A112" s="19"/>
      <x:c r="B112" s="29"/>
      <x:c r="C112" s="21"/>
      <x:c r="D112" s="55"/>
      <x:c r="E112" s="56"/>
      <x:c r="F112" s="23"/>
      <x:c r="G112" s="56"/>
      <x:c r="H112" s="23"/>
      <x:c r="I112" s="25"/>
      <x:c r="J112" s="25"/>
      <x:c r="K112" s="25"/>
      <x:c r="L112" s="25"/>
      <x:c r="M112" s="94"/>
      <x:c r="N112" s="94"/>
      <x:c r="O112" s="94"/>
      <x:c r="P112" s="94"/>
      <x:c r="Q112" s="26"/>
      <x:c r="R112" s="23"/>
      <x:c r="S112" s="23"/>
    </x:row>
    <x:row r="113" ht="18.75" customHeight="1">
      <x:c r="A113" s="19"/>
      <x:c r="B113" s="29"/>
      <x:c r="C113" s="21"/>
      <x:c r="D113" s="55"/>
      <x:c r="E113" s="56"/>
      <x:c r="F113" s="23"/>
      <x:c r="G113" s="56"/>
      <x:c r="H113" s="23"/>
      <x:c r="I113" s="25"/>
      <x:c r="J113" s="25"/>
      <x:c r="K113" s="24"/>
      <x:c r="L113" s="25"/>
      <x:c r="M113" s="94"/>
      <x:c r="N113" s="94"/>
      <x:c r="O113" s="94"/>
      <x:c r="P113" s="94"/>
      <x:c r="Q113" s="26"/>
      <x:c r="R113" s="23"/>
      <x:c r="S113" s="23"/>
    </x:row>
    <x:row r="114" ht="18.75" customHeight="1">
      <x:c r="A114" s="19"/>
      <x:c r="B114" s="29"/>
      <x:c r="C114" s="21"/>
      <x:c r="D114" s="55"/>
      <x:c r="E114" s="56"/>
      <x:c r="F114" s="23"/>
      <x:c r="G114" s="56"/>
      <x:c r="H114" s="23"/>
      <x:c r="I114" s="25"/>
      <x:c r="J114" s="25"/>
      <x:c r="K114" s="25"/>
      <x:c r="L114" s="25"/>
      <x:c r="M114" s="94"/>
      <x:c r="N114" s="94"/>
      <x:c r="O114" s="94"/>
      <x:c r="P114" s="94"/>
      <x:c r="Q114" s="26"/>
      <x:c r="R114" s="23"/>
      <x:c r="S114" s="23"/>
    </x:row>
    <x:row r="115" ht="18.75" customHeight="1">
      <x:c r="A115" s="19"/>
      <x:c r="B115" s="29"/>
      <x:c r="C115" s="21"/>
      <x:c r="D115" s="35"/>
      <x:c r="E115" s="56"/>
      <x:c r="F115" s="23"/>
      <x:c r="G115" s="23"/>
      <x:c r="H115" s="23"/>
      <x:c r="I115" s="25"/>
      <x:c r="J115" s="25"/>
      <x:c r="K115" s="24"/>
      <x:c r="L115" s="25"/>
      <x:c r="M115" s="94"/>
      <x:c r="N115" s="94"/>
      <x:c r="O115" s="94"/>
      <x:c r="P115" s="94"/>
      <x:c r="Q115" s="26"/>
      <x:c r="R115" s="23"/>
      <x:c r="S115" s="23"/>
    </x:row>
    <x:row r="116" ht="18.75" customHeight="1">
      <x:c r="A116" s="19"/>
      <x:c r="B116" s="29"/>
      <x:c r="C116" s="21"/>
      <x:c r="D116" s="55"/>
      <x:c r="E116" s="56"/>
      <x:c r="F116" s="23"/>
      <x:c r="G116" s="56"/>
      <x:c r="H116" s="23"/>
      <x:c r="I116" s="25"/>
      <x:c r="J116" s="25"/>
      <x:c r="K116" s="25"/>
      <x:c r="L116" s="25"/>
      <x:c r="M116" s="94"/>
      <x:c r="N116" s="94"/>
      <x:c r="O116" s="94"/>
      <x:c r="P116" s="94"/>
      <x:c r="Q116" s="26"/>
      <x:c r="R116" s="23"/>
      <x:c r="S116" s="23"/>
    </x:row>
    <x:row r="117" ht="18.75" customHeight="1">
      <x:c r="A117" s="19"/>
      <x:c r="B117" s="29"/>
      <x:c r="C117" s="21"/>
      <x:c r="D117" s="55"/>
      <x:c r="E117" s="56"/>
      <x:c r="F117" s="23"/>
      <x:c r="G117" s="23"/>
      <x:c r="H117" s="23"/>
      <x:c r="I117" s="25"/>
      <x:c r="J117" s="25"/>
      <x:c r="K117" s="25"/>
      <x:c r="L117" s="24"/>
      <x:c r="M117" s="94"/>
      <x:c r="N117" s="94"/>
      <x:c r="O117" s="94"/>
      <x:c r="P117" s="94"/>
      <x:c r="Q117" s="26"/>
      <x:c r="R117" s="23"/>
      <x:c r="S117" s="23"/>
    </x:row>
    <x:row r="118" ht="18.75" customHeight="1">
      <x:c r="A118" s="19"/>
      <x:c r="B118" s="29"/>
      <x:c r="C118" s="21"/>
      <x:c r="D118" s="55"/>
      <x:c r="E118" s="56"/>
      <x:c r="F118" s="23"/>
      <x:c r="G118" s="56"/>
      <x:c r="H118" s="23"/>
      <x:c r="I118" s="25"/>
      <x:c r="J118" s="25"/>
      <x:c r="K118" s="25"/>
      <x:c r="L118" s="25"/>
      <x:c r="M118" s="94"/>
      <x:c r="N118" s="94"/>
      <x:c r="O118" s="94"/>
      <x:c r="P118" s="94"/>
      <x:c r="Q118" s="26"/>
      <x:c r="R118" s="23"/>
      <x:c r="S118" s="23"/>
    </x:row>
    <x:row r="119" ht="18.75" customHeight="1">
      <x:c r="A119" s="19"/>
      <x:c r="B119" s="29"/>
      <x:c r="C119" s="21"/>
      <x:c r="D119" s="55"/>
      <x:c r="E119" s="56"/>
      <x:c r="F119" s="23"/>
      <x:c r="G119" s="56"/>
      <x:c r="H119" s="23"/>
      <x:c r="I119" s="25"/>
      <x:c r="J119" s="25"/>
      <x:c r="K119" s="25"/>
      <x:c r="L119" s="25"/>
      <x:c r="M119" s="94"/>
      <x:c r="N119" s="94"/>
      <x:c r="O119" s="94"/>
      <x:c r="P119" s="94"/>
      <x:c r="Q119" s="26"/>
      <x:c r="R119" s="23"/>
      <x:c r="S119" s="23"/>
    </x:row>
    <x:row r="120" ht="18.75" customHeight="1">
      <x:c r="A120" s="19"/>
      <x:c r="B120" s="29"/>
      <x:c r="C120" s="21"/>
      <x:c r="D120" s="55"/>
      <x:c r="E120" s="56"/>
      <x:c r="F120" s="23"/>
      <x:c r="G120" s="56"/>
      <x:c r="H120" s="23"/>
      <x:c r="I120" s="25"/>
      <x:c r="J120" s="25"/>
      <x:c r="K120" s="25"/>
      <x:c r="L120" s="25"/>
      <x:c r="M120" s="94"/>
      <x:c r="N120" s="94"/>
      <x:c r="O120" s="94"/>
      <x:c r="P120" s="94"/>
      <x:c r="Q120" s="26"/>
      <x:c r="R120" s="23"/>
      <x:c r="S120" s="23"/>
    </x:row>
    <x:row r="121" ht="18.75" customHeight="1">
      <x:c r="A121" s="19"/>
      <x:c r="B121" s="29"/>
      <x:c r="C121" s="21"/>
      <x:c r="D121" s="55"/>
      <x:c r="E121" s="56"/>
      <x:c r="F121" s="23"/>
      <x:c r="G121" s="56"/>
      <x:c r="H121" s="23"/>
      <x:c r="I121" s="25"/>
      <x:c r="J121" s="25"/>
      <x:c r="K121" s="25"/>
      <x:c r="L121" s="25"/>
      <x:c r="M121" s="94"/>
      <x:c r="N121" s="94"/>
      <x:c r="O121" s="94"/>
      <x:c r="P121" s="94"/>
      <x:c r="Q121" s="26"/>
      <x:c r="R121" s="23"/>
      <x:c r="S121" s="23"/>
    </x:row>
    <x:row r="122" ht="18.75" customHeight="1">
      <x:c r="A122" s="19"/>
      <x:c r="B122" s="29"/>
      <x:c r="C122" s="21"/>
      <x:c r="D122" s="55"/>
      <x:c r="E122" s="56"/>
      <x:c r="F122" s="23"/>
      <x:c r="G122" s="56"/>
      <x:c r="H122" s="23"/>
      <x:c r="I122" s="25"/>
      <x:c r="J122" s="25"/>
      <x:c r="K122" s="25"/>
      <x:c r="L122" s="24"/>
      <x:c r="M122" s="94"/>
      <x:c r="N122" s="94"/>
      <x:c r="O122" s="94"/>
      <x:c r="P122" s="94"/>
      <x:c r="Q122" s="26"/>
      <x:c r="R122" s="23"/>
      <x:c r="S122" s="23"/>
    </x:row>
    <x:row r="123" ht="18.75" customHeight="1">
      <x:c r="A123" s="19"/>
      <x:c r="B123" s="29"/>
      <x:c r="C123" s="21"/>
      <x:c r="D123" s="55"/>
      <x:c r="E123" s="56"/>
      <x:c r="F123" s="23"/>
      <x:c r="G123" s="56"/>
      <x:c r="H123" s="23"/>
      <x:c r="I123" s="24"/>
      <x:c r="J123" s="25"/>
      <x:c r="K123" s="24"/>
      <x:c r="L123" s="25"/>
      <x:c r="M123" s="94"/>
      <x:c r="N123" s="94"/>
      <x:c r="O123" s="94"/>
      <x:c r="P123" s="94"/>
      <x:c r="Q123" s="26"/>
      <x:c r="R123" s="23"/>
      <x:c r="S123" s="23"/>
    </x:row>
    <x:row r="124" ht="18.75" customHeight="1">
      <x:c r="A124" s="19"/>
      <x:c r="B124" s="29"/>
      <x:c r="C124" s="21"/>
      <x:c r="D124" s="55"/>
      <x:c r="E124" s="56"/>
      <x:c r="F124" s="23"/>
      <x:c r="G124" s="56"/>
      <x:c r="H124" s="23"/>
      <x:c r="I124" s="25"/>
      <x:c r="J124" s="25"/>
      <x:c r="K124" s="24"/>
      <x:c r="L124" s="24"/>
      <x:c r="M124" s="94"/>
      <x:c r="N124" s="94"/>
      <x:c r="O124" s="94"/>
      <x:c r="P124" s="94"/>
      <x:c r="Q124" s="26"/>
      <x:c r="R124" s="23"/>
      <x:c r="S124" s="23"/>
    </x:row>
    <x:row r="125" ht="18.75" customHeight="1">
      <x:c r="A125" s="19"/>
      <x:c r="B125" s="29"/>
      <x:c r="C125" s="21"/>
      <x:c r="D125" s="55"/>
      <x:c r="E125" s="56"/>
      <x:c r="F125" s="23"/>
      <x:c r="G125" s="56"/>
      <x:c r="H125" s="23"/>
      <x:c r="I125" s="25"/>
      <x:c r="J125" s="25"/>
      <x:c r="K125" s="24"/>
      <x:c r="L125" s="25"/>
      <x:c r="M125" s="94"/>
      <x:c r="N125" s="94"/>
      <x:c r="O125" s="94"/>
      <x:c r="P125" s="94"/>
      <x:c r="Q125" s="26"/>
      <x:c r="R125" s="23"/>
      <x:c r="S125" s="23"/>
    </x:row>
    <x:row r="126" ht="18.75" customHeight="1">
      <x:c r="A126" s="19"/>
      <x:c r="B126" s="29"/>
      <x:c r="C126" s="21"/>
      <x:c r="D126" s="55"/>
      <x:c r="E126" s="56"/>
      <x:c r="F126" s="23"/>
      <x:c r="G126" s="56"/>
      <x:c r="H126" s="23"/>
      <x:c r="I126" s="25"/>
      <x:c r="J126" s="25"/>
      <x:c r="K126" s="25"/>
      <x:c r="L126" s="24"/>
      <x:c r="M126" s="94"/>
      <x:c r="N126" s="94"/>
      <x:c r="O126" s="94"/>
      <x:c r="P126" s="94"/>
      <x:c r="Q126" s="26"/>
      <x:c r="R126" s="23"/>
      <x:c r="S126" s="23"/>
    </x:row>
    <x:row r="127" ht="18.75" customHeight="1">
      <x:c r="A127" s="19"/>
      <x:c r="B127" s="29"/>
      <x:c r="C127" s="21"/>
      <x:c r="D127" s="35"/>
      <x:c r="E127" s="56"/>
      <x:c r="F127" s="23"/>
      <x:c r="G127" s="56"/>
      <x:c r="H127" s="23"/>
      <x:c r="I127" s="25"/>
      <x:c r="J127" s="25"/>
      <x:c r="K127" s="25"/>
      <x:c r="L127" s="25"/>
      <x:c r="M127" s="94"/>
      <x:c r="N127" s="94"/>
      <x:c r="O127" s="94"/>
      <x:c r="P127" s="94"/>
      <x:c r="Q127" s="26"/>
      <x:c r="R127" s="23"/>
      <x:c r="S127" s="23"/>
    </x:row>
    <x:row r="128" ht="18.75" customHeight="1">
      <x:c r="A128" s="19"/>
      <x:c r="B128" s="29"/>
      <x:c r="C128" s="21"/>
      <x:c r="D128" s="55"/>
      <x:c r="E128" s="56"/>
      <x:c r="F128" s="23"/>
      <x:c r="G128" s="56"/>
      <x:c r="H128" s="23"/>
      <x:c r="I128" s="25"/>
      <x:c r="J128" s="25"/>
      <x:c r="K128" s="25"/>
      <x:c r="L128" s="25"/>
      <x:c r="M128" s="94"/>
      <x:c r="N128" s="94"/>
      <x:c r="O128" s="94"/>
      <x:c r="P128" s="94"/>
      <x:c r="Q128" s="26"/>
      <x:c r="R128" s="23"/>
      <x:c r="S128" s="23"/>
    </x:row>
    <x:row r="129" ht="18.75" customHeight="1">
      <x:c r="A129" s="19"/>
      <x:c r="B129" s="29"/>
      <x:c r="C129" s="21"/>
      <x:c r="D129" s="55"/>
      <x:c r="E129" s="56"/>
      <x:c r="F129" s="23"/>
      <x:c r="G129" s="56"/>
      <x:c r="H129" s="23"/>
      <x:c r="I129" s="25"/>
      <x:c r="J129" s="25"/>
      <x:c r="K129" s="25"/>
      <x:c r="L129" s="25"/>
      <x:c r="M129" s="94"/>
      <x:c r="N129" s="94"/>
      <x:c r="O129" s="94"/>
      <x:c r="P129" s="94"/>
      <x:c r="Q129" s="26"/>
      <x:c r="R129" s="23"/>
      <x:c r="S129" s="23"/>
    </x:row>
    <x:row r="130" ht="18.75" customHeight="1">
      <x:c r="A130" s="19"/>
      <x:c r="B130" s="29"/>
      <x:c r="C130" s="21"/>
      <x:c r="D130" s="55"/>
      <x:c r="E130" s="56"/>
      <x:c r="F130" s="23"/>
      <x:c r="G130" s="56"/>
      <x:c r="H130" s="23"/>
      <x:c r="I130" s="25"/>
      <x:c r="J130" s="25"/>
      <x:c r="K130" s="25"/>
      <x:c r="L130" s="25"/>
      <x:c r="M130" s="94"/>
      <x:c r="N130" s="94"/>
      <x:c r="O130" s="94"/>
      <x:c r="P130" s="94"/>
      <x:c r="Q130" s="26"/>
      <x:c r="R130" s="23"/>
      <x:c r="S130" s="23"/>
    </x:row>
    <x:row r="131" ht="18.75" customHeight="1">
      <x:c r="A131" s="19"/>
      <x:c r="B131" s="29"/>
      <x:c r="C131" s="21"/>
      <x:c r="D131" s="55"/>
      <x:c r="E131" s="56"/>
      <x:c r="F131" s="23"/>
      <x:c r="G131" s="56"/>
      <x:c r="H131" s="23"/>
      <x:c r="I131" s="25"/>
      <x:c r="J131" s="25"/>
      <x:c r="K131" s="25"/>
      <x:c r="L131" s="25"/>
      <x:c r="M131" s="94"/>
      <x:c r="N131" s="94"/>
      <x:c r="O131" s="94"/>
      <x:c r="P131" s="94"/>
      <x:c r="Q131" s="26"/>
      <x:c r="R131" s="23"/>
      <x:c r="S131" s="23"/>
    </x:row>
    <x:row r="132" ht="18.75" customHeight="1">
      <x:c r="A132" s="19"/>
      <x:c r="B132" s="29"/>
      <x:c r="C132" s="21"/>
      <x:c r="D132" s="55"/>
      <x:c r="E132" s="56"/>
      <x:c r="F132" s="23"/>
      <x:c r="G132" s="56"/>
      <x:c r="H132" s="23"/>
      <x:c r="I132" s="25"/>
      <x:c r="J132" s="25"/>
      <x:c r="K132" s="25"/>
      <x:c r="L132" s="25"/>
      <x:c r="M132" s="94"/>
      <x:c r="N132" s="94"/>
      <x:c r="O132" s="94"/>
      <x:c r="P132" s="94"/>
      <x:c r="Q132" s="26"/>
      <x:c r="R132" s="23"/>
      <x:c r="S132" s="23"/>
    </x:row>
    <x:row r="133" ht="18.75" customHeight="1">
      <x:c r="A133" s="19"/>
      <x:c r="B133" s="29"/>
      <x:c r="C133" s="21"/>
      <x:c r="D133" s="55"/>
      <x:c r="E133" s="56"/>
      <x:c r="F133" s="23"/>
      <x:c r="G133" s="56"/>
      <x:c r="H133" s="23"/>
      <x:c r="I133" s="25"/>
      <x:c r="J133" s="25"/>
      <x:c r="K133" s="25"/>
      <x:c r="L133" s="25"/>
      <x:c r="M133" s="94"/>
      <x:c r="N133" s="94"/>
      <x:c r="O133" s="94"/>
      <x:c r="P133" s="94"/>
      <x:c r="Q133" s="26"/>
      <x:c r="R133" s="23"/>
      <x:c r="S133" s="23"/>
    </x:row>
    <x:row r="134" ht="18.75" customHeight="1">
      <x:c r="A134" s="19"/>
      <x:c r="B134" s="29"/>
      <x:c r="C134" s="21"/>
      <x:c r="D134" s="55"/>
      <x:c r="E134" s="56"/>
      <x:c r="F134" s="23"/>
      <x:c r="G134" s="56"/>
      <x:c r="H134" s="23"/>
      <x:c r="I134" s="25"/>
      <x:c r="J134" s="25"/>
      <x:c r="K134" s="25"/>
      <x:c r="L134" s="24"/>
      <x:c r="M134" s="94"/>
      <x:c r="N134" s="94"/>
      <x:c r="O134" s="94"/>
      <x:c r="P134" s="94"/>
      <x:c r="Q134" s="26"/>
      <x:c r="R134" s="23"/>
      <x:c r="S134" s="23"/>
    </x:row>
    <x:row r="135" ht="18.75" customHeight="1">
      <x:c r="A135" s="19"/>
      <x:c r="B135" s="29"/>
      <x:c r="C135" s="21"/>
      <x:c r="D135" s="55"/>
      <x:c r="E135" s="56"/>
      <x:c r="F135" s="23"/>
      <x:c r="G135" s="56"/>
      <x:c r="H135" s="23"/>
      <x:c r="I135" s="25"/>
      <x:c r="J135" s="25"/>
      <x:c r="K135" s="24"/>
      <x:c r="L135" s="24"/>
      <x:c r="M135" s="94"/>
      <x:c r="N135" s="94"/>
      <x:c r="O135" s="94"/>
      <x:c r="P135" s="94"/>
      <x:c r="Q135" s="26"/>
      <x:c r="R135" s="23"/>
      <x:c r="S135" s="23"/>
    </x:row>
    <x:row r="136" ht="18.75" customHeight="1">
      <x:c r="A136" s="19"/>
      <x:c r="B136" s="29"/>
      <x:c r="C136" s="21"/>
      <x:c r="D136" s="55"/>
      <x:c r="E136" s="56"/>
      <x:c r="F136" s="23"/>
      <x:c r="G136" s="56"/>
      <x:c r="H136" s="23"/>
      <x:c r="I136" s="24"/>
      <x:c r="J136" s="25"/>
      <x:c r="K136" s="25"/>
      <x:c r="L136" s="25"/>
      <x:c r="M136" s="94"/>
      <x:c r="N136" s="94"/>
      <x:c r="O136" s="94"/>
      <x:c r="P136" s="94"/>
      <x:c r="Q136" s="26"/>
      <x:c r="R136" s="23"/>
      <x:c r="S136" s="23"/>
    </x:row>
    <x:row r="137" ht="18.75" customHeight="1">
      <x:c r="A137" s="19"/>
      <x:c r="B137" s="29"/>
      <x:c r="C137" s="21"/>
      <x:c r="D137" s="55"/>
      <x:c r="E137" s="56"/>
      <x:c r="F137" s="23"/>
      <x:c r="G137" s="56"/>
      <x:c r="H137" s="23"/>
      <x:c r="I137" s="25"/>
      <x:c r="J137" s="25"/>
      <x:c r="K137" s="25"/>
      <x:c r="L137" s="24"/>
      <x:c r="M137" s="94"/>
      <x:c r="N137" s="94"/>
      <x:c r="O137" s="94"/>
      <x:c r="P137" s="94"/>
      <x:c r="Q137" s="26"/>
      <x:c r="R137" s="23"/>
      <x:c r="S137" s="23"/>
    </x:row>
    <x:row r="138" ht="18.75" customHeight="1">
      <x:c r="A138" s="19"/>
      <x:c r="B138" s="29"/>
      <x:c r="C138" s="21"/>
      <x:c r="D138" s="55"/>
      <x:c r="E138" s="56"/>
      <x:c r="F138" s="23"/>
      <x:c r="G138" s="56"/>
      <x:c r="H138" s="23"/>
      <x:c r="I138" s="25"/>
      <x:c r="J138" s="25"/>
      <x:c r="K138" s="24"/>
      <x:c r="L138" s="24"/>
      <x:c r="M138" s="94"/>
      <x:c r="N138" s="94"/>
      <x:c r="O138" s="94"/>
      <x:c r="P138" s="94"/>
      <x:c r="Q138" s="26"/>
      <x:c r="R138" s="23"/>
      <x:c r="S138" s="23"/>
    </x:row>
    <x:row r="139" ht="18.75" customHeight="1">
      <x:c r="A139" s="19"/>
      <x:c r="B139" s="29"/>
      <x:c r="C139" s="21"/>
      <x:c r="D139" s="55"/>
      <x:c r="E139" s="56"/>
      <x:c r="F139" s="23"/>
      <x:c r="G139" s="56"/>
      <x:c r="H139" s="23"/>
      <x:c r="I139" s="25"/>
      <x:c r="J139" s="25"/>
      <x:c r="K139" s="25"/>
      <x:c r="L139" s="24"/>
      <x:c r="M139" s="94"/>
      <x:c r="N139" s="94"/>
      <x:c r="O139" s="94"/>
      <x:c r="P139" s="94"/>
      <x:c r="Q139" s="26"/>
      <x:c r="R139" s="23"/>
      <x:c r="S139" s="23"/>
    </x:row>
    <x:row r="140" ht="18.75" customHeight="1">
      <x:c r="A140" s="19"/>
      <x:c r="B140" s="29"/>
      <x:c r="C140" s="21"/>
      <x:c r="D140" s="55"/>
      <x:c r="E140" s="56"/>
      <x:c r="F140" s="23"/>
      <x:c r="G140" s="56"/>
      <x:c r="H140" s="23"/>
      <x:c r="I140" s="25"/>
      <x:c r="J140" s="25"/>
      <x:c r="K140" s="25"/>
      <x:c r="L140" s="24"/>
      <x:c r="M140" s="94"/>
      <x:c r="N140" s="94"/>
      <x:c r="O140" s="94"/>
      <x:c r="P140" s="94"/>
      <x:c r="Q140" s="26"/>
      <x:c r="R140" s="23"/>
      <x:c r="S140" s="23"/>
    </x:row>
    <x:row r="141" ht="18.75" customHeight="1">
      <x:c r="A141" s="19"/>
      <x:c r="B141" s="29"/>
      <x:c r="C141" s="21"/>
      <x:c r="D141" s="55"/>
      <x:c r="E141" s="56"/>
      <x:c r="F141" s="23"/>
      <x:c r="G141" s="56"/>
      <x:c r="H141" s="23"/>
      <x:c r="I141" s="25"/>
      <x:c r="J141" s="25"/>
      <x:c r="K141" s="25"/>
      <x:c r="L141" s="25"/>
      <x:c r="M141" s="94"/>
      <x:c r="N141" s="94"/>
      <x:c r="O141" s="94"/>
      <x:c r="P141" s="94"/>
      <x:c r="Q141" s="26"/>
      <x:c r="R141" s="23"/>
      <x:c r="S141" s="23"/>
    </x:row>
    <x:row r="142" ht="18.75" customHeight="1">
      <x:c r="A142" s="19"/>
      <x:c r="B142" s="29"/>
      <x:c r="C142" s="21"/>
      <x:c r="D142" s="55"/>
      <x:c r="E142" s="56"/>
      <x:c r="F142" s="23"/>
      <x:c r="G142" s="56"/>
      <x:c r="H142" s="23"/>
      <x:c r="I142" s="25"/>
      <x:c r="J142" s="25"/>
      <x:c r="K142" s="25"/>
      <x:c r="L142" s="24"/>
      <x:c r="M142" s="94"/>
      <x:c r="N142" s="94"/>
      <x:c r="O142" s="94"/>
      <x:c r="P142" s="94"/>
      <x:c r="Q142" s="26"/>
      <x:c r="R142" s="23"/>
      <x:c r="S142" s="23"/>
    </x:row>
    <x:row r="143" ht="18.75" customHeight="1">
      <x:c r="A143" s="19"/>
      <x:c r="B143" s="29"/>
      <x:c r="C143" s="21"/>
      <x:c r="D143" s="55"/>
      <x:c r="E143" s="56"/>
      <x:c r="F143" s="23"/>
      <x:c r="G143" s="56"/>
      <x:c r="H143" s="23"/>
      <x:c r="I143" s="25"/>
      <x:c r="J143" s="25"/>
      <x:c r="K143" s="25"/>
      <x:c r="L143" s="24"/>
      <x:c r="M143" s="94"/>
      <x:c r="N143" s="94"/>
      <x:c r="O143" s="94"/>
      <x:c r="P143" s="94"/>
      <x:c r="Q143" s="26"/>
      <x:c r="R143" s="23"/>
      <x:c r="S143" s="23"/>
    </x:row>
    <x:row r="144" ht="18.75" customHeight="1">
      <x:c r="A144" s="19"/>
      <x:c r="B144" s="29"/>
      <x:c r="C144" s="21"/>
      <x:c r="D144" s="55"/>
      <x:c r="E144" s="56"/>
      <x:c r="F144" s="23"/>
      <x:c r="G144" s="56"/>
      <x:c r="H144" s="23"/>
      <x:c r="I144" s="25"/>
      <x:c r="J144" s="24"/>
      <x:c r="K144" s="25"/>
      <x:c r="L144" s="24"/>
      <x:c r="M144" s="94"/>
      <x:c r="N144" s="94"/>
      <x:c r="O144" s="94"/>
      <x:c r="P144" s="94"/>
      <x:c r="Q144" s="26"/>
      <x:c r="R144" s="23"/>
      <x:c r="S144" s="23"/>
    </x:row>
    <x:row r="145" ht="18.75" customHeight="1">
      <x:c r="A145" s="19"/>
      <x:c r="B145" s="29"/>
      <x:c r="C145" s="21"/>
      <x:c r="D145" s="55"/>
      <x:c r="E145" s="56"/>
      <x:c r="F145" s="23"/>
      <x:c r="G145" s="56"/>
      <x:c r="H145" s="23"/>
      <x:c r="I145" s="25"/>
      <x:c r="J145" s="25"/>
      <x:c r="K145" s="24"/>
      <x:c r="L145" s="25"/>
      <x:c r="M145" s="94"/>
      <x:c r="N145" s="94"/>
      <x:c r="O145" s="94"/>
      <x:c r="P145" s="94"/>
      <x:c r="Q145" s="26"/>
      <x:c r="R145" s="23"/>
      <x:c r="S145" s="23"/>
    </x:row>
    <x:row r="146" ht="18.75" customHeight="1">
      <x:c r="A146" s="19"/>
      <x:c r="B146" s="29"/>
      <x:c r="C146" s="21"/>
      <x:c r="D146" s="55"/>
      <x:c r="E146" s="56"/>
      <x:c r="F146" s="23"/>
      <x:c r="G146" s="56"/>
      <x:c r="H146" s="23"/>
      <x:c r="I146" s="25"/>
      <x:c r="J146" s="25"/>
      <x:c r="K146" s="25"/>
      <x:c r="L146" s="24"/>
      <x:c r="M146" s="94"/>
      <x:c r="N146" s="94"/>
      <x:c r="O146" s="94"/>
      <x:c r="P146" s="94"/>
      <x:c r="Q146" s="26"/>
      <x:c r="R146" s="23"/>
      <x:c r="S146" s="23"/>
    </x:row>
    <x:row r="147" ht="18.75" customHeight="1">
      <x:c r="A147" s="19"/>
      <x:c r="B147" s="29"/>
      <x:c r="C147" s="21"/>
      <x:c r="D147" s="55"/>
      <x:c r="E147" s="56"/>
      <x:c r="F147" s="23"/>
      <x:c r="G147" s="56"/>
      <x:c r="H147" s="23"/>
      <x:c r="I147" s="25"/>
      <x:c r="J147" s="25"/>
      <x:c r="K147" s="24"/>
      <x:c r="L147" s="25"/>
      <x:c r="M147" s="94"/>
      <x:c r="N147" s="94"/>
      <x:c r="O147" s="94"/>
      <x:c r="P147" s="94"/>
      <x:c r="Q147" s="26"/>
      <x:c r="R147" s="23"/>
      <x:c r="S147" s="23"/>
    </x:row>
    <x:row r="148" ht="18.75" customHeight="1">
      <x:c r="A148" s="19"/>
      <x:c r="B148" s="29"/>
      <x:c r="C148" s="21"/>
      <x:c r="D148" s="55"/>
      <x:c r="E148" s="56"/>
      <x:c r="F148" s="23"/>
      <x:c r="G148" s="56"/>
      <x:c r="H148" s="23"/>
      <x:c r="I148" s="25"/>
      <x:c r="J148" s="25"/>
      <x:c r="K148" s="24"/>
      <x:c r="L148" s="25"/>
      <x:c r="M148" s="94"/>
      <x:c r="N148" s="94"/>
      <x:c r="O148" s="94"/>
      <x:c r="P148" s="94"/>
      <x:c r="Q148" s="26"/>
      <x:c r="R148" s="23"/>
      <x:c r="S148" s="23"/>
    </x:row>
    <x:row r="149" ht="18.75" customHeight="1">
      <x:c r="A149" s="19"/>
      <x:c r="B149" s="29"/>
      <x:c r="C149" s="21"/>
      <x:c r="D149" s="55"/>
      <x:c r="E149" s="56"/>
      <x:c r="F149" s="23"/>
      <x:c r="G149" s="56"/>
      <x:c r="H149" s="23"/>
      <x:c r="I149" s="25"/>
      <x:c r="J149" s="25"/>
      <x:c r="K149" s="24"/>
      <x:c r="L149" s="24"/>
      <x:c r="M149" s="94"/>
      <x:c r="N149" s="94"/>
      <x:c r="O149" s="94"/>
      <x:c r="P149" s="23"/>
      <x:c r="Q149" s="26"/>
      <x:c r="R149" s="23"/>
      <x:c r="S149" s="23"/>
    </x:row>
    <x:row r="150" ht="18.75" customHeight="1">
      <x:c r="A150" s="19"/>
      <x:c r="B150" s="29"/>
      <x:c r="C150" s="21"/>
      <x:c r="D150" s="55"/>
      <x:c r="E150" s="56"/>
      <x:c r="F150" s="23"/>
      <x:c r="G150" s="56"/>
      <x:c r="H150" s="23"/>
      <x:c r="I150" s="25"/>
      <x:c r="J150" s="25"/>
      <x:c r="K150" s="25"/>
      <x:c r="L150" s="25"/>
      <x:c r="M150" s="94"/>
      <x:c r="N150" s="94"/>
      <x:c r="O150" s="94"/>
      <x:c r="P150" s="94"/>
      <x:c r="Q150" s="26"/>
      <x:c r="R150" s="23"/>
      <x:c r="S150" s="23"/>
    </x:row>
    <x:row r="151" ht="18.75" customHeight="1">
      <x:c r="A151" s="19"/>
      <x:c r="B151" s="29"/>
      <x:c r="C151" s="21"/>
      <x:c r="D151" s="55"/>
      <x:c r="E151" s="56"/>
      <x:c r="F151" s="23"/>
      <x:c r="G151" s="56"/>
      <x:c r="H151" s="23"/>
      <x:c r="I151" s="25"/>
      <x:c r="J151" s="25"/>
      <x:c r="K151" s="24"/>
      <x:c r="L151" s="25"/>
      <x:c r="M151" s="94"/>
      <x:c r="N151" s="94"/>
      <x:c r="O151" s="94"/>
      <x:c r="P151" s="94"/>
      <x:c r="Q151" s="26"/>
      <x:c r="R151" s="23"/>
      <x:c r="S151" s="23"/>
    </x:row>
    <x:row r="152" ht="18.75" customHeight="1">
      <x:c r="A152" s="19"/>
      <x:c r="B152" s="29"/>
      <x:c r="C152" s="21"/>
      <x:c r="D152" s="55"/>
      <x:c r="E152" s="56"/>
      <x:c r="F152" s="23"/>
      <x:c r="G152" s="56"/>
      <x:c r="H152" s="23"/>
      <x:c r="I152" s="25"/>
      <x:c r="J152" s="25"/>
      <x:c r="K152" s="25"/>
      <x:c r="L152" s="25"/>
      <x:c r="M152" s="94"/>
      <x:c r="N152" s="23"/>
      <x:c r="O152" s="94"/>
      <x:c r="P152" s="94"/>
      <x:c r="Q152" s="26"/>
      <x:c r="R152" s="23"/>
      <x:c r="S152" s="23"/>
    </x:row>
    <x:row r="153" ht="18.75" customHeight="1">
      <x:c r="A153" s="19"/>
      <x:c r="B153" s="29"/>
      <x:c r="C153" s="21"/>
      <x:c r="D153" s="55"/>
      <x:c r="E153" s="56"/>
      <x:c r="F153" s="23"/>
      <x:c r="G153" s="56"/>
      <x:c r="H153" s="23"/>
      <x:c r="I153" s="25"/>
      <x:c r="J153" s="25"/>
      <x:c r="K153" s="25"/>
      <x:c r="L153" s="25"/>
      <x:c r="M153" s="94"/>
      <x:c r="N153" s="94"/>
      <x:c r="O153" s="94"/>
      <x:c r="P153" s="94"/>
      <x:c r="Q153" s="26"/>
      <x:c r="R153" s="23"/>
      <x:c r="S153" s="23"/>
    </x:row>
    <x:row r="154" ht="18.75" customHeight="1">
      <x:c r="A154" s="19"/>
      <x:c r="B154" s="29"/>
      <x:c r="C154" s="21"/>
      <x:c r="D154" s="55"/>
      <x:c r="E154" s="56"/>
      <x:c r="F154" s="23"/>
      <x:c r="G154" s="56"/>
      <x:c r="H154" s="23"/>
      <x:c r="I154" s="25"/>
      <x:c r="J154" s="25"/>
      <x:c r="K154" s="24"/>
      <x:c r="L154" s="25"/>
      <x:c r="M154" s="94"/>
      <x:c r="N154" s="94"/>
      <x:c r="O154" s="94"/>
      <x:c r="P154" s="94"/>
      <x:c r="Q154" s="26"/>
      <x:c r="R154" s="23"/>
      <x:c r="S154" s="23"/>
    </x:row>
    <x:row r="155" ht="18.75" customHeight="1">
      <x:c r="A155" s="19"/>
      <x:c r="B155" s="29"/>
      <x:c r="C155" s="21"/>
      <x:c r="D155" s="55"/>
      <x:c r="E155" s="56"/>
      <x:c r="F155" s="23"/>
      <x:c r="G155" s="56"/>
      <x:c r="H155" s="23"/>
      <x:c r="I155" s="25"/>
      <x:c r="J155" s="24"/>
      <x:c r="K155" s="25"/>
      <x:c r="L155" s="25"/>
      <x:c r="M155" s="94"/>
      <x:c r="N155" s="23"/>
      <x:c r="O155" s="94"/>
      <x:c r="P155" s="94"/>
      <x:c r="Q155" s="26"/>
      <x:c r="R155" s="23"/>
      <x:c r="S155" s="23"/>
    </x:row>
    <x:row r="156" ht="18.75" customHeight="1">
      <x:c r="A156" s="19"/>
      <x:c r="B156" s="29"/>
      <x:c r="C156" s="21"/>
      <x:c r="D156" s="55"/>
      <x:c r="E156" s="56"/>
      <x:c r="F156" s="23"/>
      <x:c r="G156" s="56"/>
      <x:c r="H156" s="23"/>
      <x:c r="I156" s="25"/>
      <x:c r="J156" s="25"/>
      <x:c r="K156" s="25"/>
      <x:c r="L156" s="24"/>
      <x:c r="M156" s="94"/>
      <x:c r="N156" s="94"/>
      <x:c r="O156" s="94"/>
      <x:c r="P156" s="94"/>
      <x:c r="Q156" s="26"/>
      <x:c r="R156" s="23"/>
      <x:c r="S156" s="23"/>
    </x:row>
    <x:row r="157" ht="18.75" customHeight="1">
      <x:c r="A157" s="19"/>
      <x:c r="B157" s="29"/>
      <x:c r="C157" s="21"/>
      <x:c r="D157" s="55"/>
      <x:c r="E157" s="56"/>
      <x:c r="F157" s="23"/>
      <x:c r="G157" s="56"/>
      <x:c r="H157" s="23"/>
      <x:c r="I157" s="25"/>
      <x:c r="J157" s="25"/>
      <x:c r="K157" s="25"/>
      <x:c r="L157" s="24"/>
      <x:c r="M157" s="94"/>
      <x:c r="N157" s="94"/>
      <x:c r="O157" s="94"/>
      <x:c r="P157" s="94"/>
      <x:c r="Q157" s="26"/>
      <x:c r="R157" s="23"/>
      <x:c r="S157" s="23"/>
    </x:row>
    <x:row r="158" ht="18.75" customHeight="1">
      <x:c r="A158" s="19"/>
      <x:c r="B158" s="29"/>
      <x:c r="C158" s="21"/>
      <x:c r="D158" s="55"/>
      <x:c r="E158" s="56"/>
      <x:c r="F158" s="23"/>
      <x:c r="G158" s="56"/>
      <x:c r="H158" s="23"/>
      <x:c r="I158" s="25"/>
      <x:c r="J158" s="25"/>
      <x:c r="K158" s="25"/>
      <x:c r="M158" s="94"/>
      <x:c r="N158" s="94"/>
      <x:c r="O158" s="94"/>
      <x:c r="P158" s="94"/>
      <x:c r="Q158" s="26"/>
      <x:c r="R158" s="23"/>
      <x:c r="S158" s="23"/>
    </x:row>
    <x:row r="159" ht="18.75" customHeight="1">
      <x:c r="A159" s="19"/>
      <x:c r="B159" s="29"/>
      <x:c r="C159" s="21"/>
      <x:c r="D159" s="55"/>
      <x:c r="E159" s="56"/>
      <x:c r="F159" s="23"/>
      <x:c r="G159" s="56"/>
      <x:c r="H159" s="23"/>
      <x:c r="I159" s="25"/>
      <x:c r="J159" s="25"/>
      <x:c r="K159" s="24"/>
      <x:c r="L159" s="25"/>
      <x:c r="M159" s="94"/>
      <x:c r="N159" s="94"/>
      <x:c r="O159" s="94"/>
      <x:c r="P159" s="94"/>
      <x:c r="Q159" s="26"/>
      <x:c r="R159" s="23"/>
      <x:c r="S159" s="23"/>
    </x:row>
    <x:row r="160" ht="18.75" customHeight="1">
      <x:c r="A160" s="19"/>
      <x:c r="B160" s="29"/>
      <x:c r="C160" s="21"/>
      <x:c r="D160" s="55"/>
      <x:c r="E160" s="56"/>
      <x:c r="F160" s="23"/>
      <x:c r="G160" s="56"/>
      <x:c r="H160" s="23"/>
      <x:c r="I160" s="25"/>
      <x:c r="J160" s="25"/>
      <x:c r="K160" s="25"/>
      <x:c r="L160" s="24"/>
      <x:c r="M160" s="94"/>
      <x:c r="N160" s="94"/>
      <x:c r="O160" s="94"/>
      <x:c r="P160" s="94"/>
      <x:c r="Q160" s="26"/>
      <x:c r="R160" s="23"/>
      <x:c r="S160" s="23"/>
    </x:row>
    <x:row r="161" ht="18.75" customHeight="1">
      <x:c r="A161" s="19"/>
      <x:c r="B161" s="29"/>
      <x:c r="C161" s="21"/>
      <x:c r="D161" s="55"/>
      <x:c r="E161" s="56"/>
      <x:c r="F161" s="23"/>
      <x:c r="G161" s="56"/>
      <x:c r="H161" s="23"/>
      <x:c r="I161" s="25"/>
      <x:c r="J161" s="25"/>
      <x:c r="K161" s="25"/>
      <x:c r="L161" s="24"/>
      <x:c r="M161" s="94"/>
      <x:c r="N161" s="94"/>
      <x:c r="O161" s="94"/>
      <x:c r="P161" s="94"/>
      <x:c r="Q161" s="26"/>
      <x:c r="R161" s="23"/>
      <x:c r="S161" s="23"/>
    </x:row>
    <x:row r="162" ht="18.75" customHeight="1">
      <x:c r="A162" s="19"/>
      <x:c r="B162" s="29"/>
      <x:c r="C162" s="21"/>
      <x:c r="D162" s="55"/>
      <x:c r="E162" s="56"/>
      <x:c r="F162" s="23"/>
      <x:c r="G162" s="56"/>
      <x:c r="H162" s="23"/>
      <x:c r="I162" s="25"/>
      <x:c r="J162" s="25"/>
      <x:c r="K162" s="25"/>
      <x:c r="L162" s="25"/>
      <x:c r="M162" s="94"/>
      <x:c r="N162" s="94"/>
      <x:c r="O162" s="94"/>
      <x:c r="P162" s="94"/>
      <x:c r="Q162" s="26"/>
      <x:c r="R162" s="23"/>
      <x:c r="S162" s="23"/>
    </x:row>
    <x:row r="163" ht="18.75" customHeight="1">
      <x:c r="A163" s="19"/>
      <x:c r="B163" s="29"/>
      <x:c r="C163" s="21"/>
      <x:c r="D163" s="55"/>
      <x:c r="E163" s="56"/>
      <x:c r="F163" s="23"/>
      <x:c r="G163" s="56"/>
      <x:c r="H163" s="23"/>
      <x:c r="I163" s="25"/>
      <x:c r="J163" s="25"/>
      <x:c r="K163" s="25"/>
      <x:c r="L163" s="24"/>
      <x:c r="M163" s="94"/>
      <x:c r="N163" s="94"/>
      <x:c r="O163" s="94"/>
      <x:c r="P163" s="94"/>
      <x:c r="Q163" s="26"/>
      <x:c r="R163" s="23"/>
      <x:c r="S163" s="23"/>
    </x:row>
    <x:row r="164" ht="18.75" customHeight="1">
      <x:c r="A164" s="19"/>
      <x:c r="B164" s="29"/>
      <x:c r="C164" s="21"/>
      <x:c r="D164" s="55"/>
      <x:c r="E164" s="56"/>
      <x:c r="F164" s="23"/>
      <x:c r="G164" s="56"/>
      <x:c r="H164" s="23"/>
      <x:c r="I164" s="25"/>
      <x:c r="J164" s="25"/>
      <x:c r="K164" s="25"/>
      <x:c r="L164" s="24"/>
      <x:c r="M164" s="94"/>
      <x:c r="N164" s="94"/>
      <x:c r="O164" s="94"/>
      <x:c r="P164" s="94"/>
      <x:c r="Q164" s="26"/>
      <x:c r="R164" s="23"/>
      <x:c r="S164" s="23"/>
    </x:row>
    <x:row r="165" ht="18.75" customHeight="1">
      <x:c r="A165" s="19"/>
      <x:c r="B165" s="29"/>
      <x:c r="C165" s="21"/>
      <x:c r="D165" s="55"/>
      <x:c r="E165" s="56"/>
      <x:c r="F165" s="23"/>
      <x:c r="G165" s="56"/>
      <x:c r="H165" s="23"/>
      <x:c r="I165" s="25"/>
      <x:c r="J165" s="25"/>
      <x:c r="K165" s="24"/>
      <x:c r="L165" s="25"/>
      <x:c r="M165" s="94"/>
      <x:c r="N165" s="94"/>
      <x:c r="O165" s="94"/>
      <x:c r="P165" s="94"/>
      <x:c r="Q165" s="26"/>
      <x:c r="R165" s="23"/>
      <x:c r="S165" s="23"/>
    </x:row>
    <x:row r="166" ht="18.75" customHeight="1">
      <x:c r="A166" s="19"/>
      <x:c r="B166" s="29"/>
      <x:c r="C166" s="21"/>
      <x:c r="D166" s="55"/>
      <x:c r="E166" s="56"/>
      <x:c r="F166" s="23"/>
      <x:c r="G166" s="56"/>
      <x:c r="H166" s="23"/>
      <x:c r="I166" s="25"/>
      <x:c r="J166" s="24"/>
      <x:c r="K166" s="25"/>
      <x:c r="L166" s="24"/>
      <x:c r="M166" s="94"/>
      <x:c r="N166" s="94"/>
      <x:c r="O166" s="94"/>
      <x:c r="P166" s="94"/>
      <x:c r="Q166" s="26"/>
      <x:c r="R166" s="23"/>
      <x:c r="S166" s="23"/>
    </x:row>
    <x:row r="167">
      <x:c r="A167" s="75"/>
      <x:c r="B167" s="76" t="s">
        <x:v>27</x:v>
      </x:c>
      <x:c r="C167" s="77"/>
      <x:c r="D167" s="78"/>
      <x:c r="E167" s="77" t="n">
        <x:f>SUM(E2:E138)</x:f>
        <x:v>0</x:v>
      </x:c>
      <x:c r="F167" s="77" t="n">
        <x:f t="shared" ref="F167:Q167" si="2">SUM(F2:F166)</x:f>
        <x:v>0</x:v>
      </x:c>
      <x:c r="G167" s="77">
        <x:f t="shared" si="2"/>
        <x:v>0</x:v>
      </x:c>
      <x:c r="H167" s="77">
        <x:f t="shared" si="2"/>
        <x:v>0</x:v>
      </x:c>
      <x:c r="I167" s="79">
        <x:f t="shared" si="2"/>
        <x:v>10</x:v>
      </x:c>
      <x:c r="J167" s="79">
        <x:f t="shared" si="2"/>
        <x:v>0</x:v>
      </x:c>
      <x:c r="K167" s="79">
        <x:f t="shared" si="2"/>
        <x:v>1</x:v>
      </x:c>
      <x:c r="L167" s="79">
        <x:f t="shared" si="2"/>
        <x:v>0</x:v>
      </x:c>
      <x:c r="M167" s="77">
        <x:f t="shared" si="2"/>
        <x:v>0</x:v>
      </x:c>
      <x:c r="N167" s="77">
        <x:f t="shared" si="2"/>
        <x:v>0</x:v>
      </x:c>
      <x:c r="O167" s="77">
        <x:f t="shared" si="2"/>
        <x:v>0</x:v>
      </x:c>
      <x:c r="P167" s="77">
        <x:f t="shared" si="2"/>
        <x:v>0</x:v>
      </x:c>
      <x:c r="Q167" s="80">
        <x:f t="shared" si="2"/>
        <x:v>4900000</x:v>
      </x:c>
      <x:c r="R167" s="77"/>
      <x:c r="S167" s="77"/>
    </x:row>
    <x:row r="168">
      <x:c r="A168" s="75"/>
      <x:c r="B168" s="76" t="s">
        <x:v>51</x:v>
      </x:c>
      <x:c r="C168" s="81"/>
      <x:c r="D168" s="96"/>
      <x:c r="E168" s="83" t="n">
        <x:f>E167*Inventory_batches!I60</x:f>
        <x:v>0</x:v>
      </x:c>
      <x:c r="F168" s="83" t="n">
        <x:f>F167*Inventory_batches!I75</x:f>
        <x:v>0</x:v>
      </x:c>
      <x:c r="G168" s="83" t="n">
        <x:f>G167*Inventory_batches!F24</x:f>
        <x:v>0</x:v>
      </x:c>
      <x:c r="H168" s="83" t="n">
        <x:f>H167*Inventory_batches!I77</x:f>
        <x:v>0</x:v>
      </x:c>
      <x:c r="I168" s="84" t="n">
        <x:f>I167*Inventory_batches!I78</x:f>
        <x:v>2453828.108108108</x:v>
      </x:c>
      <x:c r="J168" s="84" t="n">
        <x:f>J167*Inventory_batches!I79</x:f>
        <x:v>0</x:v>
      </x:c>
      <x:c r="K168" s="84" t="n">
        <x:f>K167*Inventory_batches!I66</x:f>
        <x:v>140358.08219178082</x:v>
      </x:c>
      <x:c r="L168" s="84" t="n">
        <x:f>L167*Inventory_batches!I64</x:f>
        <x:v>0</x:v>
      </x:c>
      <x:c r="M168" s="83" t="n">
        <x:f>M167*Inventory_batches!I81</x:f>
        <x:v>0</x:v>
      </x:c>
      <x:c r="N168" s="83" t="n">
        <x:f>N167*Inventory_batches!I80</x:f>
        <x:v>0</x:v>
      </x:c>
      <x:c r="O168" s="83" t="n">
        <x:f>O167*Inventory_batches!I70</x:f>
        <x:v>0</x:v>
      </x:c>
      <x:c r="P168" s="83" t="n">
        <x:f>P167*Inventory_batches!I89</x:f>
        <x:v>0</x:v>
      </x:c>
      <x:c r="Q168" s="83" t="n">
        <x:f>SUM(E168:P168)</x:f>
        <x:v>2594186.1902998886</x:v>
      </x:c>
      <x:c r="R168" s="85" t="n">
        <x:f>Q168-U3</x:f>
        <x:v>2379186.1902998886</x:v>
      </x:c>
      <x:c r="S168" s="86"/>
      <x:c r="T168" s="32"/>
    </x:row>
    <x:row r="169">
      <x:c r="A169" s="87"/>
      <x:c r="B169" s="88"/>
      <x:c r="D169" s="32"/>
      <x:c r="I169" s="74"/>
      <x:c r="J169" s="74"/>
      <x:c r="K169" s="74"/>
      <x:c r="L169" s="74"/>
      <x:c r="M169" s="89"/>
      <x:c r="N169" s="89"/>
      <x:c r="O169" s="89"/>
      <x:c r="P169" s="89"/>
      <x:c r="Q169" s="90" t="n">
        <x:f>Q167-Q168</x:f>
        <x:v>2305813.8097001114</x:v>
      </x:c>
      <x:c r="S169" s="86"/>
      <x:c r="T169" s="32"/>
    </x:row>
    <x:row r="170">
      <x:c r="A170" s="87"/>
      <x:c r="B170" s="88"/>
      <x:c r="D170" s="32"/>
      <x:c r="I170" s="74"/>
      <x:c r="J170" s="74"/>
      <x:c r="K170" s="74"/>
      <x:c r="L170" s="74"/>
      <x:c r="M170" s="91"/>
      <x:c r="N170" s="91"/>
      <x:c r="O170" s="91"/>
      <x:c r="P170" s="91"/>
      <x:c r="Q170" s="85"/>
      <x:c r="S170" s="86"/>
      <x:c r="T170" s="32"/>
    </x:row>
    <x:row r="171">
      <x:c r="A171" s="87"/>
      <x:c r="B171" s="88"/>
      <x:c r="D171" s="32"/>
      <x:c r="I171" s="74"/>
      <x:c r="J171" s="74"/>
      <x:c r="K171" s="74"/>
      <x:c r="L171" s="74"/>
      <x:c r="M171" s="91"/>
      <x:c r="N171" s="91"/>
      <x:c r="O171" s="91"/>
      <x:c r="P171" s="91"/>
      <x:c r="Q171" s="85"/>
      <x:c r="S171" s="86"/>
      <x:c r="T171" s="32"/>
    </x:row>
    <x:row r="172">
      <x:c r="A172" s="87"/>
      <x:c r="B172" s="88"/>
      <x:c r="D172" s="32"/>
      <x:c r="I172" s="74"/>
      <x:c r="J172" s="74"/>
      <x:c r="K172" s="74"/>
      <x:c r="L172" s="74"/>
      <x:c r="M172" s="91"/>
      <x:c r="N172" s="91"/>
      <x:c r="O172" s="91"/>
      <x:c r="P172" s="91"/>
      <x:c r="Q172" s="85"/>
      <x:c r="S172" s="86"/>
      <x:c r="T172" s="32"/>
    </x:row>
    <x:row r="173">
      <x:c r="A173" s="87"/>
      <x:c r="B173" s="88"/>
      <x:c r="D173" s="32"/>
      <x:c r="I173" s="74"/>
      <x:c r="J173" s="74"/>
      <x:c r="K173" s="74"/>
      <x:c r="L173" s="74"/>
      <x:c r="M173" s="91"/>
      <x:c r="N173" s="91"/>
      <x:c r="O173" s="91"/>
      <x:c r="P173" s="91"/>
      <x:c r="Q173" s="85"/>
      <x:c r="S173" s="86"/>
      <x:c r="T173" s="32"/>
    </x:row>
    <x:row r="174">
      <x:c r="A174" s="87"/>
      <x:c r="B174" s="88"/>
      <x:c r="D174" s="32"/>
      <x:c r="I174" s="74"/>
      <x:c r="J174" s="74"/>
      <x:c r="K174" s="74"/>
      <x:c r="L174" s="74"/>
      <x:c r="M174" s="91"/>
      <x:c r="N174" s="91"/>
      <x:c r="O174" s="91"/>
      <x:c r="P174" s="91"/>
      <x:c r="Q174" s="85"/>
      <x:c r="S174" s="86"/>
      <x:c r="T174" s="32"/>
    </x:row>
    <x:row r="175">
      <x:c r="A175" s="87"/>
      <x:c r="B175" s="88"/>
      <x:c r="D175" s="32"/>
      <x:c r="I175" s="74"/>
      <x:c r="J175" s="74"/>
      <x:c r="K175" s="74"/>
      <x:c r="L175" s="74"/>
      <x:c r="M175" s="91"/>
      <x:c r="N175" s="91"/>
      <x:c r="O175" s="91"/>
      <x:c r="P175" s="91"/>
      <x:c r="Q175" s="85"/>
      <x:c r="S175" s="86"/>
      <x:c r="T175" s="32"/>
    </x:row>
    <x:row r="176">
      <x:c r="A176" s="87"/>
      <x:c r="B176" s="88"/>
      <x:c r="D176" s="32"/>
      <x:c r="I176" s="74"/>
      <x:c r="J176" s="74"/>
      <x:c r="K176" s="74"/>
      <x:c r="L176" s="74"/>
      <x:c r="M176" s="91"/>
      <x:c r="N176" s="91"/>
      <x:c r="O176" s="91"/>
      <x:c r="P176" s="91"/>
      <x:c r="Q176" s="85"/>
      <x:c r="S176" s="86"/>
      <x:c r="T176" s="32"/>
    </x:row>
    <x:row r="177">
      <x:c r="A177" s="87"/>
      <x:c r="B177" s="88"/>
      <x:c r="D177" s="32"/>
      <x:c r="I177" s="74"/>
      <x:c r="J177" s="74"/>
      <x:c r="K177" s="74"/>
      <x:c r="L177" s="74"/>
      <x:c r="M177" s="91"/>
      <x:c r="N177" s="91"/>
      <x:c r="O177" s="91"/>
      <x:c r="P177" s="91"/>
      <x:c r="Q177" s="85"/>
      <x:c r="S177" s="86"/>
      <x:c r="T177" s="32"/>
    </x:row>
    <x:row r="178">
      <x:c r="A178" s="87"/>
      <x:c r="B178" s="88"/>
      <x:c r="D178" s="32"/>
      <x:c r="I178" s="74"/>
      <x:c r="J178" s="74"/>
      <x:c r="K178" s="74"/>
      <x:c r="L178" s="74"/>
      <x:c r="M178" s="91"/>
      <x:c r="N178" s="91"/>
      <x:c r="O178" s="91"/>
      <x:c r="P178" s="91"/>
      <x:c r="Q178" s="85"/>
      <x:c r="S178" s="86"/>
      <x:c r="T178" s="32"/>
    </x:row>
    <x:row r="179">
      <x:c r="A179" s="87"/>
      <x:c r="B179" s="88"/>
      <x:c r="D179" s="32"/>
      <x:c r="I179" s="74"/>
      <x:c r="J179" s="74"/>
      <x:c r="K179" s="74"/>
      <x:c r="L179" s="74"/>
      <x:c r="M179" s="91"/>
      <x:c r="N179" s="91"/>
      <x:c r="O179" s="91"/>
      <x:c r="P179" s="91"/>
      <x:c r="Q179" s="85"/>
      <x:c r="S179" s="86"/>
      <x:c r="T179" s="32"/>
    </x:row>
    <x:row r="180">
      <x:c r="A180" s="87"/>
      <x:c r="B180" s="88"/>
      <x:c r="D180" s="32"/>
      <x:c r="I180" s="74"/>
      <x:c r="J180" s="74"/>
      <x:c r="K180" s="74"/>
      <x:c r="L180" s="74"/>
      <x:c r="M180" s="91"/>
      <x:c r="N180" s="91"/>
      <x:c r="O180" s="91"/>
      <x:c r="P180" s="91"/>
      <x:c r="Q180" s="85"/>
      <x:c r="S180" s="86"/>
      <x:c r="T180" s="32"/>
    </x:row>
    <x:row r="181">
      <x:c r="A181" s="87"/>
      <x:c r="B181" s="88"/>
      <x:c r="D181" s="32"/>
      <x:c r="I181" s="74"/>
      <x:c r="J181" s="74"/>
      <x:c r="K181" s="74"/>
      <x:c r="L181" s="74"/>
      <x:c r="M181" s="91"/>
      <x:c r="N181" s="91"/>
      <x:c r="O181" s="91"/>
      <x:c r="P181" s="91"/>
      <x:c r="Q181" s="85"/>
      <x:c r="S181" s="86"/>
      <x:c r="T181" s="32"/>
    </x:row>
    <x:row r="182">
      <x:c r="A182" s="87"/>
      <x:c r="B182" s="88"/>
      <x:c r="D182" s="32"/>
      <x:c r="I182" s="74"/>
      <x:c r="J182" s="74"/>
      <x:c r="K182" s="74"/>
      <x:c r="L182" s="74"/>
      <x:c r="M182" s="91"/>
      <x:c r="N182" s="91"/>
      <x:c r="O182" s="91"/>
      <x:c r="P182" s="91"/>
      <x:c r="Q182" s="85"/>
      <x:c r="S182" s="86"/>
      <x:c r="T182" s="32"/>
    </x:row>
    <x:row r="183">
      <x:c r="A183" s="87"/>
      <x:c r="B183" s="88"/>
      <x:c r="D183" s="32"/>
      <x:c r="I183" s="74"/>
      <x:c r="J183" s="74"/>
      <x:c r="K183" s="74"/>
      <x:c r="L183" s="74"/>
      <x:c r="M183" s="91"/>
      <x:c r="N183" s="91"/>
      <x:c r="O183" s="91"/>
      <x:c r="P183" s="91"/>
      <x:c r="Q183" s="85"/>
      <x:c r="S183" s="86"/>
      <x:c r="T183" s="32"/>
    </x:row>
    <x:row r="184">
      <x:c r="A184" s="87"/>
      <x:c r="B184" s="88"/>
      <x:c r="D184" s="32"/>
      <x:c r="I184" s="74"/>
      <x:c r="J184" s="74"/>
      <x:c r="K184" s="74"/>
      <x:c r="L184" s="74"/>
      <x:c r="M184" s="91"/>
      <x:c r="N184" s="91"/>
      <x:c r="O184" s="91"/>
      <x:c r="P184" s="91"/>
      <x:c r="Q184" s="85"/>
      <x:c r="S184" s="86"/>
      <x:c r="T184" s="32"/>
    </x:row>
    <x:row r="185">
      <x:c r="A185" s="87"/>
      <x:c r="B185" s="88"/>
      <x:c r="D185" s="32"/>
      <x:c r="I185" s="74"/>
      <x:c r="J185" s="74"/>
      <x:c r="K185" s="74"/>
      <x:c r="L185" s="74"/>
      <x:c r="M185" s="91"/>
      <x:c r="N185" s="91"/>
      <x:c r="O185" s="91"/>
      <x:c r="P185" s="91"/>
      <x:c r="Q185" s="85"/>
      <x:c r="S185" s="86"/>
      <x:c r="T185" s="32"/>
    </x:row>
    <x:row r="186">
      <x:c r="A186" s="87"/>
      <x:c r="B186" s="88"/>
      <x:c r="D186" s="32"/>
      <x:c r="I186" s="74"/>
      <x:c r="J186" s="74"/>
      <x:c r="K186" s="74"/>
      <x:c r="L186" s="74"/>
      <x:c r="M186" s="91"/>
      <x:c r="N186" s="91"/>
      <x:c r="O186" s="91"/>
      <x:c r="P186" s="91"/>
      <x:c r="Q186" s="85"/>
      <x:c r="S186" s="86"/>
      <x:c r="T186" s="32"/>
    </x:row>
    <x:row r="187">
      <x:c r="A187" s="87"/>
      <x:c r="B187" s="88"/>
      <x:c r="D187" s="32"/>
      <x:c r="I187" s="74"/>
      <x:c r="J187" s="74"/>
      <x:c r="K187" s="74"/>
      <x:c r="L187" s="74"/>
      <x:c r="M187" s="91"/>
      <x:c r="N187" s="91"/>
      <x:c r="O187" s="91"/>
      <x:c r="P187" s="91"/>
      <x:c r="Q187" s="85"/>
      <x:c r="S187" s="86"/>
      <x:c r="T187" s="32"/>
    </x:row>
    <x:row r="188">
      <x:c r="A188" s="87"/>
      <x:c r="B188" s="88"/>
      <x:c r="D188" s="32"/>
      <x:c r="I188" s="74"/>
      <x:c r="J188" s="74"/>
      <x:c r="K188" s="74"/>
      <x:c r="L188" s="74"/>
      <x:c r="M188" s="91"/>
      <x:c r="N188" s="91"/>
      <x:c r="O188" s="91"/>
      <x:c r="P188" s="91"/>
      <x:c r="Q188" s="85"/>
      <x:c r="S188" s="86"/>
      <x:c r="T188" s="32"/>
    </x:row>
    <x:row r="189">
      <x:c r="A189" s="87"/>
      <x:c r="B189" s="88"/>
      <x:c r="D189" s="32"/>
      <x:c r="I189" s="74"/>
      <x:c r="J189" s="74"/>
      <x:c r="K189" s="74"/>
      <x:c r="L189" s="74"/>
      <x:c r="M189" s="91"/>
      <x:c r="N189" s="91"/>
      <x:c r="O189" s="91"/>
      <x:c r="P189" s="91"/>
      <x:c r="Q189" s="85"/>
      <x:c r="S189" s="86"/>
      <x:c r="T189" s="32"/>
    </x:row>
    <x:row r="190">
      <x:c r="A190" s="87"/>
      <x:c r="B190" s="88"/>
      <x:c r="D190" s="32"/>
      <x:c r="I190" s="74"/>
      <x:c r="J190" s="74"/>
      <x:c r="K190" s="74"/>
      <x:c r="L190" s="74"/>
      <x:c r="M190" s="91"/>
      <x:c r="N190" s="91"/>
      <x:c r="O190" s="91"/>
      <x:c r="P190" s="91"/>
      <x:c r="Q190" s="85"/>
      <x:c r="S190" s="86"/>
      <x:c r="T190" s="32"/>
    </x:row>
    <x:row r="191">
      <x:c r="A191" s="87"/>
      <x:c r="B191" s="88"/>
      <x:c r="D191" s="32"/>
      <x:c r="I191" s="74"/>
      <x:c r="J191" s="74"/>
      <x:c r="K191" s="74"/>
      <x:c r="L191" s="74"/>
      <x:c r="M191" s="91"/>
      <x:c r="N191" s="91"/>
      <x:c r="O191" s="91"/>
      <x:c r="P191" s="91"/>
      <x:c r="Q191" s="85"/>
      <x:c r="S191" s="86"/>
      <x:c r="T191" s="32"/>
    </x:row>
    <x:row r="192">
      <x:c r="A192" s="87"/>
      <x:c r="B192" s="88"/>
      <x:c r="D192" s="32"/>
      <x:c r="I192" s="74"/>
      <x:c r="J192" s="74"/>
      <x:c r="K192" s="74"/>
      <x:c r="L192" s="74"/>
      <x:c r="M192" s="91"/>
      <x:c r="N192" s="91"/>
      <x:c r="O192" s="91"/>
      <x:c r="P192" s="91"/>
      <x:c r="Q192" s="85"/>
      <x:c r="S192" s="86"/>
      <x:c r="T192" s="32"/>
    </x:row>
    <x:row r="193">
      <x:c r="A193" s="87"/>
      <x:c r="B193" s="88"/>
      <x:c r="D193" s="32"/>
      <x:c r="I193" s="74"/>
      <x:c r="J193" s="74"/>
      <x:c r="K193" s="74"/>
      <x:c r="L193" s="74"/>
      <x:c r="M193" s="91"/>
      <x:c r="N193" s="91"/>
      <x:c r="O193" s="91"/>
      <x:c r="P193" s="91"/>
      <x:c r="Q193" s="85"/>
      <x:c r="S193" s="86"/>
      <x:c r="T193" s="32"/>
    </x:row>
    <x:row r="194">
      <x:c r="A194" s="87"/>
      <x:c r="B194" s="88"/>
      <x:c r="D194" s="32"/>
      <x:c r="I194" s="74"/>
      <x:c r="J194" s="74"/>
      <x:c r="K194" s="74"/>
      <x:c r="L194" s="74"/>
      <x:c r="M194" s="91"/>
      <x:c r="N194" s="91"/>
      <x:c r="O194" s="91"/>
      <x:c r="P194" s="91"/>
      <x:c r="Q194" s="85"/>
      <x:c r="S194" s="86"/>
      <x:c r="T194" s="32"/>
    </x:row>
    <x:row r="195">
      <x:c r="A195" s="87"/>
      <x:c r="B195" s="88"/>
      <x:c r="D195" s="32"/>
      <x:c r="I195" s="74"/>
      <x:c r="J195" s="74"/>
      <x:c r="K195" s="74"/>
      <x:c r="L195" s="74"/>
      <x:c r="M195" s="91"/>
      <x:c r="N195" s="91"/>
      <x:c r="O195" s="91"/>
      <x:c r="P195" s="91"/>
      <x:c r="Q195" s="85"/>
      <x:c r="S195" s="86"/>
      <x:c r="T195" s="32"/>
    </x:row>
    <x:row r="196">
      <x:c r="A196" s="87"/>
      <x:c r="B196" s="88"/>
      <x:c r="D196" s="32"/>
      <x:c r="I196" s="74"/>
      <x:c r="J196" s="74"/>
      <x:c r="K196" s="74"/>
      <x:c r="L196" s="74"/>
      <x:c r="M196" s="91"/>
      <x:c r="N196" s="91"/>
      <x:c r="O196" s="91"/>
      <x:c r="P196" s="91"/>
      <x:c r="Q196" s="85"/>
      <x:c r="S196" s="86"/>
      <x:c r="T196" s="32"/>
    </x:row>
    <x:row r="197">
      <x:c r="A197" s="87"/>
      <x:c r="B197" s="88"/>
      <x:c r="D197" s="32"/>
      <x:c r="I197" s="74"/>
      <x:c r="J197" s="74"/>
      <x:c r="K197" s="74"/>
      <x:c r="L197" s="74"/>
      <x:c r="M197" s="91"/>
      <x:c r="N197" s="91"/>
      <x:c r="O197" s="91"/>
      <x:c r="P197" s="91"/>
      <x:c r="Q197" s="85"/>
      <x:c r="S197" s="86"/>
      <x:c r="T197" s="32"/>
    </x:row>
    <x:row r="198">
      <x:c r="A198" s="87"/>
      <x:c r="B198" s="88"/>
      <x:c r="D198" s="32"/>
      <x:c r="I198" s="74"/>
      <x:c r="J198" s="74"/>
      <x:c r="K198" s="74"/>
      <x:c r="L198" s="74"/>
      <x:c r="M198" s="91"/>
      <x:c r="N198" s="91"/>
      <x:c r="O198" s="91"/>
      <x:c r="P198" s="91"/>
      <x:c r="Q198" s="85"/>
      <x:c r="S198" s="86"/>
      <x:c r="T198" s="32"/>
    </x:row>
    <x:row r="199">
      <x:c r="A199" s="87"/>
      <x:c r="B199" s="88"/>
      <x:c r="D199" s="32"/>
      <x:c r="I199" s="74"/>
      <x:c r="J199" s="74"/>
      <x:c r="K199" s="74"/>
      <x:c r="L199" s="74"/>
      <x:c r="M199" s="91"/>
      <x:c r="N199" s="91"/>
      <x:c r="O199" s="91"/>
      <x:c r="P199" s="91"/>
      <x:c r="Q199" s="85"/>
      <x:c r="S199" s="86"/>
      <x:c r="T199" s="32"/>
    </x:row>
    <x:row r="200">
      <x:c r="A200" s="87"/>
      <x:c r="B200" s="88"/>
      <x:c r="D200" s="32"/>
      <x:c r="I200" s="74"/>
      <x:c r="J200" s="74"/>
      <x:c r="K200" s="74"/>
      <x:c r="L200" s="74"/>
      <x:c r="M200" s="91"/>
      <x:c r="N200" s="91"/>
      <x:c r="O200" s="91"/>
      <x:c r="P200" s="91"/>
      <x:c r="Q200" s="85"/>
      <x:c r="S200" s="86"/>
      <x:c r="T200" s="32"/>
    </x:row>
    <x:row r="201">
      <x:c r="A201" s="87"/>
      <x:c r="B201" s="88"/>
      <x:c r="D201" s="32"/>
      <x:c r="I201" s="74"/>
      <x:c r="J201" s="74"/>
      <x:c r="K201" s="74"/>
      <x:c r="L201" s="74"/>
      <x:c r="M201" s="91"/>
      <x:c r="N201" s="91"/>
      <x:c r="O201" s="91"/>
      <x:c r="P201" s="91"/>
      <x:c r="Q201" s="85"/>
      <x:c r="S201" s="86"/>
      <x:c r="T201" s="32"/>
    </x:row>
    <x:row r="202">
      <x:c r="A202" s="87"/>
      <x:c r="B202" s="88"/>
      <x:c r="D202" s="32"/>
      <x:c r="I202" s="74"/>
      <x:c r="J202" s="74"/>
      <x:c r="K202" s="74"/>
      <x:c r="L202" s="74"/>
      <x:c r="M202" s="91"/>
      <x:c r="N202" s="91"/>
      <x:c r="O202" s="91"/>
      <x:c r="P202" s="91"/>
      <x:c r="Q202" s="85"/>
      <x:c r="S202" s="86"/>
      <x:c r="T202" s="32"/>
    </x:row>
    <x:row r="203">
      <x:c r="A203" s="87"/>
      <x:c r="B203" s="88"/>
      <x:c r="D203" s="32"/>
      <x:c r="I203" s="74"/>
      <x:c r="J203" s="74"/>
      <x:c r="K203" s="74"/>
      <x:c r="L203" s="74"/>
      <x:c r="M203" s="91"/>
      <x:c r="N203" s="91"/>
      <x:c r="O203" s="91"/>
      <x:c r="P203" s="91"/>
      <x:c r="Q203" s="85"/>
      <x:c r="S203" s="86"/>
      <x:c r="T203" s="32"/>
    </x:row>
    <x:row r="204">
      <x:c r="A204" s="87"/>
      <x:c r="B204" s="88"/>
      <x:c r="D204" s="32"/>
      <x:c r="I204" s="74"/>
      <x:c r="J204" s="74"/>
      <x:c r="K204" s="74"/>
      <x:c r="L204" s="74"/>
      <x:c r="M204" s="91"/>
      <x:c r="N204" s="91"/>
      <x:c r="O204" s="91"/>
      <x:c r="P204" s="91"/>
      <x:c r="Q204" s="85"/>
      <x:c r="S204" s="86"/>
      <x:c r="T204" s="32"/>
    </x:row>
    <x:row r="205">
      <x:c r="A205" s="87"/>
      <x:c r="B205" s="88"/>
      <x:c r="D205" s="32"/>
      <x:c r="I205" s="74"/>
      <x:c r="J205" s="74"/>
      <x:c r="K205" s="74"/>
      <x:c r="L205" s="74"/>
      <x:c r="M205" s="91"/>
      <x:c r="N205" s="91"/>
      <x:c r="O205" s="91"/>
      <x:c r="P205" s="91"/>
      <x:c r="Q205" s="85"/>
      <x:c r="S205" s="86"/>
      <x:c r="T205" s="32"/>
    </x:row>
    <x:row r="206">
      <x:c r="A206" s="87"/>
      <x:c r="B206" s="88"/>
      <x:c r="D206" s="32"/>
      <x:c r="I206" s="74"/>
      <x:c r="J206" s="74"/>
      <x:c r="K206" s="74"/>
      <x:c r="L206" s="74"/>
      <x:c r="M206" s="91"/>
      <x:c r="N206" s="91"/>
      <x:c r="O206" s="91"/>
      <x:c r="P206" s="91"/>
      <x:c r="Q206" s="85"/>
      <x:c r="S206" s="86"/>
      <x:c r="T206" s="32"/>
    </x:row>
    <x:row r="207">
      <x:c r="A207" s="87"/>
      <x:c r="B207" s="88"/>
      <x:c r="D207" s="32"/>
      <x:c r="I207" s="74"/>
      <x:c r="J207" s="74"/>
      <x:c r="K207" s="74"/>
      <x:c r="L207" s="74"/>
      <x:c r="M207" s="91"/>
      <x:c r="N207" s="91"/>
      <x:c r="O207" s="91"/>
      <x:c r="P207" s="91"/>
      <x:c r="Q207" s="85"/>
      <x:c r="S207" s="86"/>
      <x:c r="T207" s="32"/>
    </x:row>
    <x:row r="208">
      <x:c r="A208" s="87"/>
      <x:c r="B208" s="88"/>
      <x:c r="D208" s="32"/>
      <x:c r="I208" s="74"/>
      <x:c r="J208" s="74"/>
      <x:c r="K208" s="74"/>
      <x:c r="L208" s="74"/>
      <x:c r="M208" s="91"/>
      <x:c r="N208" s="91"/>
      <x:c r="O208" s="91"/>
      <x:c r="P208" s="91"/>
      <x:c r="Q208" s="85"/>
      <x:c r="S208" s="86"/>
      <x:c r="T208" s="32"/>
    </x:row>
    <x:row r="209">
      <x:c r="A209" s="87"/>
      <x:c r="B209" s="88"/>
      <x:c r="D209" s="32"/>
      <x:c r="I209" s="74"/>
      <x:c r="J209" s="74"/>
      <x:c r="K209" s="74"/>
      <x:c r="L209" s="74"/>
      <x:c r="M209" s="91"/>
      <x:c r="N209" s="91"/>
      <x:c r="O209" s="91"/>
      <x:c r="P209" s="91"/>
      <x:c r="Q209" s="85"/>
      <x:c r="S209" s="86"/>
      <x:c r="T209" s="32"/>
    </x:row>
    <x:row r="210">
      <x:c r="A210" s="87"/>
      <x:c r="B210" s="88"/>
      <x:c r="D210" s="32"/>
      <x:c r="I210" s="74"/>
      <x:c r="J210" s="74"/>
      <x:c r="K210" s="74"/>
      <x:c r="L210" s="74"/>
      <x:c r="M210" s="91"/>
      <x:c r="N210" s="91"/>
      <x:c r="O210" s="91"/>
      <x:c r="P210" s="91"/>
      <x:c r="Q210" s="85"/>
      <x:c r="S210" s="86"/>
      <x:c r="T210" s="32"/>
    </x:row>
    <x:row r="211">
      <x:c r="A211" s="87"/>
      <x:c r="B211" s="88"/>
      <x:c r="D211" s="32"/>
      <x:c r="I211" s="74"/>
      <x:c r="J211" s="74"/>
      <x:c r="K211" s="74"/>
      <x:c r="L211" s="74"/>
      <x:c r="M211" s="91"/>
      <x:c r="N211" s="91"/>
      <x:c r="O211" s="91"/>
      <x:c r="P211" s="91"/>
      <x:c r="Q211" s="85"/>
      <x:c r="S211" s="86"/>
      <x:c r="T211" s="32"/>
    </x:row>
    <x:row r="212">
      <x:c r="A212" s="87"/>
      <x:c r="B212" s="88"/>
      <x:c r="D212" s="32"/>
      <x:c r="I212" s="74"/>
      <x:c r="J212" s="74"/>
      <x:c r="K212" s="74"/>
      <x:c r="L212" s="74"/>
      <x:c r="M212" s="91"/>
      <x:c r="N212" s="91"/>
      <x:c r="O212" s="91"/>
      <x:c r="P212" s="91"/>
      <x:c r="Q212" s="85"/>
      <x:c r="S212" s="86"/>
      <x:c r="T212" s="32"/>
    </x:row>
    <x:row r="213">
      <x:c r="A213" s="87"/>
      <x:c r="B213" s="88"/>
      <x:c r="D213" s="32"/>
      <x:c r="I213" s="74"/>
      <x:c r="J213" s="74"/>
      <x:c r="K213" s="74"/>
      <x:c r="L213" s="74"/>
      <x:c r="M213" s="91"/>
      <x:c r="N213" s="91"/>
      <x:c r="O213" s="91"/>
      <x:c r="P213" s="91"/>
      <x:c r="Q213" s="85"/>
      <x:c r="S213" s="86"/>
      <x:c r="T213" s="32"/>
    </x:row>
    <x:row r="214">
      <x:c r="A214" s="87"/>
      <x:c r="B214" s="88"/>
      <x:c r="D214" s="32"/>
      <x:c r="I214" s="74"/>
      <x:c r="J214" s="74"/>
      <x:c r="K214" s="74"/>
      <x:c r="L214" s="74"/>
      <x:c r="M214" s="91"/>
      <x:c r="N214" s="91"/>
      <x:c r="O214" s="91"/>
      <x:c r="P214" s="91"/>
      <x:c r="Q214" s="85"/>
      <x:c r="S214" s="86"/>
      <x:c r="T214" s="32"/>
    </x:row>
    <x:row r="215">
      <x:c r="A215" s="87"/>
      <x:c r="B215" s="88"/>
      <x:c r="D215" s="32"/>
      <x:c r="I215" s="74"/>
      <x:c r="J215" s="74"/>
      <x:c r="K215" s="74"/>
      <x:c r="L215" s="74"/>
      <x:c r="M215" s="91"/>
      <x:c r="N215" s="91"/>
      <x:c r="O215" s="91"/>
      <x:c r="P215" s="91"/>
      <x:c r="Q215" s="85"/>
      <x:c r="S215" s="86"/>
      <x:c r="T215" s="32"/>
    </x:row>
    <x:row r="216">
      <x:c r="A216" s="87"/>
      <x:c r="B216" s="88"/>
      <x:c r="D216" s="32"/>
      <x:c r="I216" s="74"/>
      <x:c r="J216" s="74"/>
      <x:c r="K216" s="74"/>
      <x:c r="L216" s="74"/>
      <x:c r="M216" s="91"/>
      <x:c r="N216" s="91"/>
      <x:c r="O216" s="91"/>
      <x:c r="P216" s="91"/>
      <x:c r="Q216" s="85"/>
      <x:c r="S216" s="86"/>
      <x:c r="T216" s="32"/>
    </x:row>
    <x:row r="217">
      <x:c r="A217" s="87"/>
      <x:c r="B217" s="88"/>
      <x:c r="D217" s="32"/>
      <x:c r="I217" s="74"/>
      <x:c r="J217" s="74"/>
      <x:c r="K217" s="74"/>
      <x:c r="L217" s="74"/>
      <x:c r="M217" s="91"/>
      <x:c r="N217" s="91"/>
      <x:c r="O217" s="91"/>
      <x:c r="P217" s="91"/>
      <x:c r="Q217" s="85"/>
      <x:c r="S217" s="86"/>
      <x:c r="T217" s="32"/>
    </x:row>
    <x:row r="218">
      <x:c r="A218" s="87"/>
      <x:c r="B218" s="88"/>
      <x:c r="D218" s="32"/>
      <x:c r="I218" s="74"/>
      <x:c r="J218" s="74"/>
      <x:c r="K218" s="74"/>
      <x:c r="L218" s="74"/>
      <x:c r="M218" s="91"/>
      <x:c r="N218" s="91"/>
      <x:c r="O218" s="91"/>
      <x:c r="P218" s="91"/>
      <x:c r="Q218" s="85"/>
      <x:c r="S218" s="86"/>
      <x:c r="T218" s="32"/>
    </x:row>
    <x:row r="219">
      <x:c r="A219" s="87"/>
      <x:c r="B219" s="88"/>
      <x:c r="D219" s="32"/>
      <x:c r="I219" s="74"/>
      <x:c r="J219" s="74"/>
      <x:c r="K219" s="74"/>
      <x:c r="L219" s="74"/>
      <x:c r="M219" s="91"/>
      <x:c r="N219" s="91"/>
      <x:c r="O219" s="91"/>
      <x:c r="P219" s="91"/>
      <x:c r="Q219" s="85"/>
      <x:c r="S219" s="86"/>
      <x:c r="T219" s="32"/>
    </x:row>
    <x:row r="220">
      <x:c r="A220" s="87"/>
      <x:c r="B220" s="88"/>
      <x:c r="D220" s="32"/>
      <x:c r="I220" s="74"/>
      <x:c r="J220" s="74"/>
      <x:c r="K220" s="74"/>
      <x:c r="L220" s="74"/>
      <x:c r="M220" s="91"/>
      <x:c r="N220" s="91"/>
      <x:c r="O220" s="91"/>
      <x:c r="P220" s="91"/>
      <x:c r="Q220" s="85"/>
      <x:c r="S220" s="86"/>
      <x:c r="T220" s="32"/>
    </x:row>
    <x:row r="221">
      <x:c r="A221" s="87"/>
      <x:c r="B221" s="88"/>
      <x:c r="D221" s="32"/>
      <x:c r="I221" s="74"/>
      <x:c r="J221" s="74"/>
      <x:c r="K221" s="74"/>
      <x:c r="L221" s="74"/>
      <x:c r="M221" s="91"/>
      <x:c r="N221" s="91"/>
      <x:c r="O221" s="91"/>
      <x:c r="P221" s="91"/>
      <x:c r="Q221" s="85"/>
      <x:c r="S221" s="86"/>
      <x:c r="T221" s="32"/>
    </x:row>
    <x:row r="222">
      <x:c r="A222" s="87"/>
      <x:c r="B222" s="88"/>
      <x:c r="D222" s="32"/>
      <x:c r="I222" s="74"/>
      <x:c r="J222" s="74"/>
      <x:c r="K222" s="74"/>
      <x:c r="L222" s="74"/>
      <x:c r="M222" s="91"/>
      <x:c r="N222" s="91"/>
      <x:c r="O222" s="91"/>
      <x:c r="P222" s="91"/>
      <x:c r="Q222" s="85"/>
      <x:c r="S222" s="86"/>
      <x:c r="T222" s="32"/>
    </x:row>
    <x:row r="223">
      <x:c r="A223" s="87"/>
      <x:c r="B223" s="88"/>
      <x:c r="D223" s="32"/>
      <x:c r="I223" s="74"/>
      <x:c r="J223" s="74"/>
      <x:c r="K223" s="74"/>
      <x:c r="L223" s="74"/>
      <x:c r="M223" s="91"/>
      <x:c r="N223" s="91"/>
      <x:c r="O223" s="91"/>
      <x:c r="P223" s="91"/>
      <x:c r="Q223" s="85"/>
      <x:c r="S223" s="86"/>
      <x:c r="T223" s="32"/>
    </x:row>
    <x:row r="224">
      <x:c r="A224" s="87"/>
      <x:c r="B224" s="88"/>
      <x:c r="D224" s="32"/>
      <x:c r="I224" s="74"/>
      <x:c r="J224" s="74"/>
      <x:c r="K224" s="74"/>
      <x:c r="L224" s="74"/>
      <x:c r="M224" s="91"/>
      <x:c r="N224" s="91"/>
      <x:c r="O224" s="91"/>
      <x:c r="P224" s="91"/>
      <x:c r="Q224" s="85"/>
      <x:c r="S224" s="86"/>
      <x:c r="T224" s="32"/>
    </x:row>
    <x:row r="225">
      <x:c r="A225" s="87"/>
      <x:c r="B225" s="88"/>
      <x:c r="D225" s="32"/>
      <x:c r="I225" s="74"/>
      <x:c r="J225" s="74"/>
      <x:c r="K225" s="74"/>
      <x:c r="L225" s="74"/>
      <x:c r="M225" s="91"/>
      <x:c r="N225" s="91"/>
      <x:c r="O225" s="91"/>
      <x:c r="P225" s="91"/>
      <x:c r="Q225" s="85"/>
      <x:c r="S225" s="86"/>
      <x:c r="T225" s="32"/>
    </x:row>
    <x:row r="226">
      <x:c r="A226" s="87"/>
      <x:c r="B226" s="88"/>
      <x:c r="D226" s="32"/>
      <x:c r="I226" s="74"/>
      <x:c r="J226" s="74"/>
      <x:c r="K226" s="74"/>
      <x:c r="L226" s="74"/>
      <x:c r="M226" s="91"/>
      <x:c r="N226" s="91"/>
      <x:c r="O226" s="91"/>
      <x:c r="P226" s="91"/>
      <x:c r="Q226" s="85"/>
      <x:c r="S226" s="86"/>
      <x:c r="T226" s="32"/>
    </x:row>
    <x:row r="227">
      <x:c r="A227" s="87"/>
      <x:c r="B227" s="88"/>
      <x:c r="D227" s="32"/>
      <x:c r="I227" s="74"/>
      <x:c r="J227" s="74"/>
      <x:c r="K227" s="74"/>
      <x:c r="L227" s="74"/>
      <x:c r="M227" s="91"/>
      <x:c r="N227" s="91"/>
      <x:c r="O227" s="91"/>
      <x:c r="P227" s="91"/>
      <x:c r="Q227" s="85"/>
      <x:c r="S227" s="86"/>
      <x:c r="T227" s="32"/>
    </x:row>
    <x:row r="228">
      <x:c r="A228" s="87"/>
      <x:c r="B228" s="88"/>
      <x:c r="D228" s="32"/>
      <x:c r="I228" s="74"/>
      <x:c r="J228" s="74"/>
      <x:c r="K228" s="74"/>
      <x:c r="L228" s="74"/>
      <x:c r="M228" s="91"/>
      <x:c r="N228" s="91"/>
      <x:c r="O228" s="91"/>
      <x:c r="P228" s="91"/>
      <x:c r="Q228" s="85"/>
      <x:c r="S228" s="86"/>
      <x:c r="T228" s="32"/>
    </x:row>
    <x:row r="229">
      <x:c r="A229" s="87"/>
      <x:c r="B229" s="88"/>
      <x:c r="D229" s="32"/>
      <x:c r="I229" s="74"/>
      <x:c r="J229" s="74"/>
      <x:c r="K229" s="74"/>
      <x:c r="L229" s="74"/>
      <x:c r="M229" s="91"/>
      <x:c r="N229" s="91"/>
      <x:c r="O229" s="91"/>
      <x:c r="P229" s="91"/>
      <x:c r="Q229" s="85"/>
      <x:c r="S229" s="86"/>
      <x:c r="T229" s="32"/>
    </x:row>
    <x:row r="230">
      <x:c r="A230" s="87"/>
      <x:c r="B230" s="88"/>
      <x:c r="D230" s="32"/>
      <x:c r="I230" s="74"/>
      <x:c r="J230" s="74"/>
      <x:c r="K230" s="74"/>
      <x:c r="L230" s="74"/>
      <x:c r="M230" s="91"/>
      <x:c r="N230" s="91"/>
      <x:c r="O230" s="91"/>
      <x:c r="P230" s="91"/>
      <x:c r="Q230" s="85"/>
      <x:c r="S230" s="86"/>
      <x:c r="T230" s="32"/>
    </x:row>
    <x:row r="231">
      <x:c r="A231" s="87"/>
      <x:c r="B231" s="88"/>
      <x:c r="D231" s="32"/>
      <x:c r="I231" s="74"/>
      <x:c r="J231" s="74"/>
      <x:c r="K231" s="74"/>
      <x:c r="L231" s="74"/>
      <x:c r="M231" s="91"/>
      <x:c r="N231" s="91"/>
      <x:c r="O231" s="91"/>
      <x:c r="P231" s="91"/>
      <x:c r="Q231" s="85"/>
      <x:c r="S231" s="86"/>
      <x:c r="T231" s="32"/>
    </x:row>
    <x:row r="232">
      <x:c r="A232" s="87"/>
      <x:c r="B232" s="88"/>
      <x:c r="D232" s="32"/>
      <x:c r="I232" s="74"/>
      <x:c r="J232" s="74"/>
      <x:c r="K232" s="74"/>
      <x:c r="L232" s="74"/>
      <x:c r="M232" s="91"/>
      <x:c r="N232" s="91"/>
      <x:c r="O232" s="91"/>
      <x:c r="P232" s="91"/>
      <x:c r="Q232" s="85"/>
      <x:c r="S232" s="86"/>
      <x:c r="T232" s="32"/>
    </x:row>
    <x:row r="233">
      <x:c r="A233" s="87"/>
      <x:c r="B233" s="88"/>
      <x:c r="D233" s="32"/>
      <x:c r="I233" s="74"/>
      <x:c r="J233" s="74"/>
      <x:c r="K233" s="74"/>
      <x:c r="L233" s="74"/>
      <x:c r="M233" s="91"/>
      <x:c r="N233" s="91"/>
      <x:c r="O233" s="91"/>
      <x:c r="P233" s="91"/>
      <x:c r="Q233" s="85"/>
      <x:c r="S233" s="86"/>
      <x:c r="T233" s="32"/>
    </x:row>
    <x:row r="234">
      <x:c r="A234" s="87"/>
      <x:c r="B234" s="88"/>
      <x:c r="D234" s="32"/>
      <x:c r="I234" s="74"/>
      <x:c r="J234" s="74"/>
      <x:c r="K234" s="74"/>
      <x:c r="L234" s="74"/>
      <x:c r="M234" s="91"/>
      <x:c r="N234" s="91"/>
      <x:c r="O234" s="91"/>
      <x:c r="P234" s="91"/>
      <x:c r="Q234" s="85"/>
      <x:c r="S234" s="86"/>
      <x:c r="T234" s="32"/>
    </x:row>
    <x:row r="235">
      <x:c r="A235" s="87"/>
      <x:c r="B235" s="88"/>
      <x:c r="D235" s="32"/>
      <x:c r="I235" s="74"/>
      <x:c r="J235" s="74"/>
      <x:c r="K235" s="74"/>
      <x:c r="L235" s="74"/>
      <x:c r="M235" s="91"/>
      <x:c r="N235" s="91"/>
      <x:c r="O235" s="91"/>
      <x:c r="P235" s="91"/>
      <x:c r="Q235" s="85"/>
      <x:c r="S235" s="86"/>
      <x:c r="T235" s="32"/>
    </x:row>
    <x:row r="236">
      <x:c r="A236" s="87"/>
      <x:c r="B236" s="88"/>
      <x:c r="D236" s="32"/>
      <x:c r="I236" s="74"/>
      <x:c r="J236" s="74"/>
      <x:c r="K236" s="74"/>
      <x:c r="L236" s="74"/>
      <x:c r="M236" s="91"/>
      <x:c r="N236" s="91"/>
      <x:c r="O236" s="91"/>
      <x:c r="P236" s="91"/>
      <x:c r="Q236" s="85"/>
      <x:c r="S236" s="86"/>
      <x:c r="T236" s="32"/>
    </x:row>
    <x:row r="237">
      <x:c r="A237" s="87"/>
      <x:c r="B237" s="88"/>
      <x:c r="D237" s="32"/>
      <x:c r="I237" s="74"/>
      <x:c r="J237" s="74"/>
      <x:c r="K237" s="74"/>
      <x:c r="L237" s="74"/>
      <x:c r="M237" s="91"/>
      <x:c r="N237" s="91"/>
      <x:c r="O237" s="91"/>
      <x:c r="P237" s="91"/>
      <x:c r="Q237" s="85"/>
      <x:c r="S237" s="86"/>
      <x:c r="T237" s="32"/>
    </x:row>
    <x:row r="238">
      <x:c r="A238" s="87"/>
      <x:c r="B238" s="88"/>
      <x:c r="D238" s="32"/>
      <x:c r="I238" s="74"/>
      <x:c r="J238" s="74"/>
      <x:c r="K238" s="74"/>
      <x:c r="L238" s="74"/>
      <x:c r="M238" s="91"/>
      <x:c r="N238" s="91"/>
      <x:c r="O238" s="91"/>
      <x:c r="P238" s="91"/>
      <x:c r="Q238" s="85"/>
      <x:c r="S238" s="86"/>
      <x:c r="T238" s="32"/>
    </x:row>
    <x:row r="239">
      <x:c r="A239" s="87"/>
      <x:c r="B239" s="88"/>
      <x:c r="D239" s="32"/>
      <x:c r="I239" s="74"/>
      <x:c r="J239" s="74"/>
      <x:c r="K239" s="74"/>
      <x:c r="L239" s="74"/>
      <x:c r="M239" s="91"/>
      <x:c r="N239" s="91"/>
      <x:c r="O239" s="91"/>
      <x:c r="P239" s="91"/>
      <x:c r="Q239" s="85"/>
      <x:c r="S239" s="86"/>
      <x:c r="T239" s="32"/>
    </x:row>
    <x:row r="240">
      <x:c r="A240" s="87"/>
      <x:c r="B240" s="88"/>
      <x:c r="D240" s="32"/>
      <x:c r="I240" s="74"/>
      <x:c r="J240" s="74"/>
      <x:c r="K240" s="74"/>
      <x:c r="L240" s="74"/>
      <x:c r="M240" s="91"/>
      <x:c r="N240" s="91"/>
      <x:c r="O240" s="91"/>
      <x:c r="P240" s="91"/>
      <x:c r="Q240" s="85"/>
      <x:c r="S240" s="86"/>
      <x:c r="T240" s="32"/>
    </x:row>
    <x:row r="241">
      <x:c r="A241" s="87"/>
      <x:c r="B241" s="88"/>
      <x:c r="D241" s="32"/>
      <x:c r="I241" s="74"/>
      <x:c r="J241" s="74"/>
      <x:c r="K241" s="74"/>
      <x:c r="L241" s="74"/>
      <x:c r="M241" s="91"/>
      <x:c r="N241" s="91"/>
      <x:c r="O241" s="91"/>
      <x:c r="P241" s="91"/>
      <x:c r="Q241" s="85"/>
      <x:c r="S241" s="86"/>
      <x:c r="T241" s="32"/>
    </x:row>
    <x:row r="242">
      <x:c r="A242" s="87"/>
      <x:c r="B242" s="88"/>
      <x:c r="D242" s="32"/>
      <x:c r="I242" s="74"/>
      <x:c r="J242" s="74"/>
      <x:c r="K242" s="74"/>
      <x:c r="L242" s="74"/>
      <x:c r="M242" s="91"/>
      <x:c r="N242" s="91"/>
      <x:c r="O242" s="91"/>
      <x:c r="P242" s="91"/>
      <x:c r="Q242" s="85"/>
      <x:c r="S242" s="86"/>
      <x:c r="T242" s="32"/>
    </x:row>
    <x:row r="243">
      <x:c r="A243" s="87"/>
      <x:c r="B243" s="88"/>
      <x:c r="D243" s="32"/>
      <x:c r="I243" s="74"/>
      <x:c r="J243" s="74"/>
      <x:c r="K243" s="74"/>
      <x:c r="L243" s="74"/>
      <x:c r="M243" s="91"/>
      <x:c r="N243" s="91"/>
      <x:c r="O243" s="91"/>
      <x:c r="P243" s="91"/>
      <x:c r="Q243" s="85"/>
      <x:c r="S243" s="86"/>
      <x:c r="T243" s="32"/>
    </x:row>
    <x:row r="244">
      <x:c r="A244" s="87"/>
      <x:c r="B244" s="88"/>
      <x:c r="D244" s="32"/>
      <x:c r="I244" s="74"/>
      <x:c r="J244" s="74"/>
      <x:c r="K244" s="74"/>
      <x:c r="L244" s="74"/>
      <x:c r="M244" s="91"/>
      <x:c r="N244" s="91"/>
      <x:c r="O244" s="91"/>
      <x:c r="P244" s="91"/>
      <x:c r="Q244" s="85"/>
      <x:c r="S244" s="86"/>
      <x:c r="T244" s="32"/>
    </x:row>
    <x:row r="245">
      <x:c r="A245" s="87"/>
      <x:c r="B245" s="88"/>
      <x:c r="D245" s="32"/>
      <x:c r="I245" s="74"/>
      <x:c r="J245" s="74"/>
      <x:c r="K245" s="74"/>
      <x:c r="L245" s="74"/>
      <x:c r="M245" s="91"/>
      <x:c r="N245" s="91"/>
      <x:c r="O245" s="91"/>
      <x:c r="P245" s="91"/>
      <x:c r="Q245" s="85"/>
      <x:c r="S245" s="86"/>
      <x:c r="T245" s="32"/>
    </x:row>
    <x:row r="246">
      <x:c r="A246" s="87"/>
      <x:c r="B246" s="88"/>
      <x:c r="D246" s="32"/>
      <x:c r="I246" s="74"/>
      <x:c r="J246" s="74"/>
      <x:c r="K246" s="74"/>
      <x:c r="L246" s="74"/>
      <x:c r="M246" s="91"/>
      <x:c r="N246" s="91"/>
      <x:c r="O246" s="91"/>
      <x:c r="P246" s="91"/>
      <x:c r="Q246" s="85"/>
      <x:c r="S246" s="86"/>
      <x:c r="T246" s="32"/>
    </x:row>
    <x:row r="247">
      <x:c r="A247" s="87"/>
      <x:c r="B247" s="88"/>
      <x:c r="D247" s="32"/>
      <x:c r="I247" s="74"/>
      <x:c r="J247" s="74"/>
      <x:c r="K247" s="74"/>
      <x:c r="L247" s="74"/>
      <x:c r="M247" s="91"/>
      <x:c r="N247" s="91"/>
      <x:c r="O247" s="91"/>
      <x:c r="P247" s="91"/>
      <x:c r="Q247" s="85"/>
      <x:c r="S247" s="86"/>
      <x:c r="T247" s="32"/>
    </x:row>
    <x:row r="248">
      <x:c r="A248" s="87"/>
      <x:c r="B248" s="88"/>
      <x:c r="D248" s="32"/>
      <x:c r="I248" s="74"/>
      <x:c r="J248" s="74"/>
      <x:c r="K248" s="74"/>
      <x:c r="L248" s="74"/>
      <x:c r="M248" s="91"/>
      <x:c r="N248" s="91"/>
      <x:c r="O248" s="91"/>
      <x:c r="P248" s="91"/>
      <x:c r="Q248" s="85"/>
      <x:c r="S248" s="86"/>
      <x:c r="T248" s="32"/>
    </x:row>
    <x:row r="249">
      <x:c r="A249" s="87"/>
      <x:c r="B249" s="88"/>
      <x:c r="D249" s="32"/>
      <x:c r="I249" s="74"/>
      <x:c r="J249" s="74"/>
      <x:c r="K249" s="74"/>
      <x:c r="L249" s="74"/>
      <x:c r="M249" s="91"/>
      <x:c r="N249" s="91"/>
      <x:c r="O249" s="91"/>
      <x:c r="P249" s="91"/>
      <x:c r="Q249" s="85"/>
      <x:c r="S249" s="86"/>
      <x:c r="T249" s="32"/>
    </x:row>
    <x:row r="250">
      <x:c r="A250" s="87"/>
      <x:c r="B250" s="88"/>
      <x:c r="D250" s="32"/>
      <x:c r="I250" s="74"/>
      <x:c r="J250" s="74"/>
      <x:c r="K250" s="74"/>
      <x:c r="L250" s="74"/>
      <x:c r="M250" s="91"/>
      <x:c r="N250" s="91"/>
      <x:c r="O250" s="91"/>
      <x:c r="P250" s="91"/>
      <x:c r="Q250" s="85"/>
      <x:c r="S250" s="86"/>
      <x:c r="T250" s="32"/>
    </x:row>
    <x:row r="251">
      <x:c r="A251" s="87"/>
      <x:c r="B251" s="88"/>
      <x:c r="D251" s="32"/>
      <x:c r="I251" s="74"/>
      <x:c r="J251" s="74"/>
      <x:c r="K251" s="74"/>
      <x:c r="L251" s="74"/>
      <x:c r="M251" s="91"/>
      <x:c r="N251" s="91"/>
      <x:c r="O251" s="91"/>
      <x:c r="P251" s="91"/>
      <x:c r="Q251" s="85"/>
      <x:c r="S251" s="86"/>
      <x:c r="T251" s="32"/>
    </x:row>
    <x:row r="252">
      <x:c r="A252" s="87"/>
      <x:c r="B252" s="88"/>
      <x:c r="D252" s="32"/>
      <x:c r="I252" s="74"/>
      <x:c r="J252" s="74"/>
      <x:c r="K252" s="74"/>
      <x:c r="L252" s="74"/>
      <x:c r="M252" s="91"/>
      <x:c r="N252" s="91"/>
      <x:c r="O252" s="91"/>
      <x:c r="P252" s="91"/>
      <x:c r="Q252" s="85"/>
      <x:c r="S252" s="86"/>
      <x:c r="T252" s="32"/>
    </x:row>
    <x:row r="253">
      <x:c r="A253" s="87"/>
      <x:c r="B253" s="88"/>
      <x:c r="D253" s="32"/>
      <x:c r="I253" s="74"/>
      <x:c r="J253" s="74"/>
      <x:c r="K253" s="74"/>
      <x:c r="L253" s="74"/>
      <x:c r="M253" s="91"/>
      <x:c r="N253" s="91"/>
      <x:c r="O253" s="91"/>
      <x:c r="P253" s="91"/>
      <x:c r="Q253" s="85"/>
      <x:c r="S253" s="86"/>
      <x:c r="T253" s="32"/>
    </x:row>
    <x:row r="254">
      <x:c r="A254" s="87"/>
      <x:c r="B254" s="88"/>
      <x:c r="D254" s="32"/>
      <x:c r="I254" s="74"/>
      <x:c r="J254" s="74"/>
      <x:c r="K254" s="74"/>
      <x:c r="L254" s="74"/>
      <x:c r="M254" s="91"/>
      <x:c r="N254" s="91"/>
      <x:c r="O254" s="91"/>
      <x:c r="P254" s="91"/>
      <x:c r="Q254" s="85"/>
      <x:c r="S254" s="86"/>
      <x:c r="T254" s="32"/>
    </x:row>
    <x:row r="255">
      <x:c r="A255" s="87"/>
      <x:c r="B255" s="88"/>
      <x:c r="D255" s="32"/>
      <x:c r="I255" s="74"/>
      <x:c r="J255" s="74"/>
      <x:c r="K255" s="74"/>
      <x:c r="L255" s="74"/>
      <x:c r="M255" s="91"/>
      <x:c r="N255" s="91"/>
      <x:c r="O255" s="91"/>
      <x:c r="P255" s="91"/>
      <x:c r="Q255" s="85"/>
      <x:c r="S255" s="86"/>
      <x:c r="T255" s="32"/>
    </x:row>
    <x:row r="256">
      <x:c r="A256" s="87"/>
      <x:c r="B256" s="88"/>
      <x:c r="D256" s="32"/>
      <x:c r="I256" s="74"/>
      <x:c r="J256" s="74"/>
      <x:c r="K256" s="74"/>
      <x:c r="L256" s="74"/>
      <x:c r="M256" s="91"/>
      <x:c r="N256" s="91"/>
      <x:c r="O256" s="91"/>
      <x:c r="P256" s="91"/>
      <x:c r="Q256" s="85"/>
      <x:c r="S256" s="86"/>
      <x:c r="T256" s="32"/>
    </x:row>
    <x:row r="257">
      <x:c r="A257" s="87"/>
      <x:c r="B257" s="88"/>
      <x:c r="D257" s="32"/>
      <x:c r="I257" s="74"/>
      <x:c r="J257" s="74"/>
      <x:c r="K257" s="74"/>
      <x:c r="L257" s="74"/>
      <x:c r="M257" s="91"/>
      <x:c r="N257" s="91"/>
      <x:c r="O257" s="91"/>
      <x:c r="P257" s="91"/>
      <x:c r="Q257" s="85"/>
      <x:c r="S257" s="86"/>
      <x:c r="T257" s="32"/>
    </x:row>
    <x:row r="258">
      <x:c r="A258" s="87"/>
      <x:c r="B258" s="88"/>
      <x:c r="D258" s="32"/>
      <x:c r="I258" s="74"/>
      <x:c r="J258" s="74"/>
      <x:c r="K258" s="74"/>
      <x:c r="L258" s="74"/>
      <x:c r="M258" s="91"/>
      <x:c r="N258" s="91"/>
      <x:c r="O258" s="91"/>
      <x:c r="P258" s="91"/>
      <x:c r="Q258" s="85"/>
      <x:c r="S258" s="86"/>
      <x:c r="T258" s="32"/>
    </x:row>
    <x:row r="259">
      <x:c r="A259" s="87"/>
      <x:c r="B259" s="88"/>
      <x:c r="D259" s="32"/>
      <x:c r="I259" s="74"/>
      <x:c r="J259" s="74"/>
      <x:c r="K259" s="74"/>
      <x:c r="L259" s="74"/>
      <x:c r="M259" s="91"/>
      <x:c r="N259" s="91"/>
      <x:c r="O259" s="91"/>
      <x:c r="P259" s="91"/>
      <x:c r="Q259" s="85"/>
      <x:c r="S259" s="86"/>
      <x:c r="T259" s="32"/>
    </x:row>
    <x:row r="260">
      <x:c r="A260" s="87"/>
      <x:c r="B260" s="88"/>
      <x:c r="D260" s="32"/>
      <x:c r="I260" s="74"/>
      <x:c r="J260" s="74"/>
      <x:c r="K260" s="74"/>
      <x:c r="L260" s="74"/>
      <x:c r="M260" s="91"/>
      <x:c r="N260" s="91"/>
      <x:c r="O260" s="91"/>
      <x:c r="P260" s="91"/>
      <x:c r="Q260" s="85"/>
      <x:c r="S260" s="86"/>
      <x:c r="T260" s="32"/>
    </x:row>
    <x:row r="261">
      <x:c r="A261" s="87"/>
      <x:c r="B261" s="88"/>
      <x:c r="D261" s="32"/>
      <x:c r="I261" s="74"/>
      <x:c r="J261" s="74"/>
      <x:c r="K261" s="74"/>
      <x:c r="L261" s="74"/>
      <x:c r="M261" s="91"/>
      <x:c r="N261" s="91"/>
      <x:c r="O261" s="91"/>
      <x:c r="P261" s="91"/>
      <x:c r="Q261" s="85"/>
      <x:c r="S261" s="86"/>
      <x:c r="T261" s="32"/>
    </x:row>
    <x:row r="262">
      <x:c r="A262" s="87"/>
      <x:c r="B262" s="88"/>
      <x:c r="D262" s="32"/>
      <x:c r="I262" s="74"/>
      <x:c r="J262" s="74"/>
      <x:c r="K262" s="74"/>
      <x:c r="L262" s="74"/>
      <x:c r="M262" s="91"/>
      <x:c r="N262" s="91"/>
      <x:c r="O262" s="91"/>
      <x:c r="P262" s="91"/>
      <x:c r="Q262" s="85"/>
      <x:c r="S262" s="86"/>
      <x:c r="T262" s="32"/>
    </x:row>
    <x:row r="263">
      <x:c r="A263" s="87"/>
      <x:c r="B263" s="88"/>
      <x:c r="D263" s="32"/>
      <x:c r="I263" s="74"/>
      <x:c r="J263" s="74"/>
      <x:c r="K263" s="74"/>
      <x:c r="L263" s="74"/>
      <x:c r="M263" s="91"/>
      <x:c r="N263" s="91"/>
      <x:c r="O263" s="91"/>
      <x:c r="P263" s="91"/>
      <x:c r="Q263" s="85"/>
      <x:c r="S263" s="86"/>
      <x:c r="T263" s="32"/>
    </x:row>
    <x:row r="264">
      <x:c r="A264" s="87"/>
      <x:c r="B264" s="88"/>
      <x:c r="D264" s="32"/>
      <x:c r="I264" s="74"/>
      <x:c r="J264" s="74"/>
      <x:c r="K264" s="74"/>
      <x:c r="L264" s="74"/>
      <x:c r="M264" s="91"/>
      <x:c r="N264" s="91"/>
      <x:c r="O264" s="91"/>
      <x:c r="P264" s="91"/>
      <x:c r="Q264" s="85"/>
      <x:c r="S264" s="86"/>
      <x:c r="T264" s="32"/>
    </x:row>
    <x:row r="265">
      <x:c r="A265" s="87"/>
      <x:c r="B265" s="88"/>
      <x:c r="D265" s="32"/>
      <x:c r="I265" s="74"/>
      <x:c r="J265" s="74"/>
      <x:c r="K265" s="74"/>
      <x:c r="L265" s="74"/>
      <x:c r="M265" s="91"/>
      <x:c r="N265" s="91"/>
      <x:c r="O265" s="91"/>
      <x:c r="P265" s="91"/>
      <x:c r="Q265" s="85"/>
      <x:c r="S265" s="86"/>
      <x:c r="T265" s="32"/>
    </x:row>
    <x:row r="266">
      <x:c r="A266" s="87"/>
      <x:c r="B266" s="88"/>
      <x:c r="D266" s="32"/>
      <x:c r="I266" s="74"/>
      <x:c r="J266" s="74"/>
      <x:c r="K266" s="74"/>
      <x:c r="L266" s="74"/>
      <x:c r="M266" s="91"/>
      <x:c r="N266" s="91"/>
      <x:c r="O266" s="91"/>
      <x:c r="P266" s="91"/>
      <x:c r="Q266" s="85"/>
      <x:c r="S266" s="86"/>
      <x:c r="T266" s="32"/>
    </x:row>
    <x:row r="267">
      <x:c r="A267" s="87"/>
      <x:c r="B267" s="88"/>
      <x:c r="D267" s="32"/>
      <x:c r="I267" s="74"/>
      <x:c r="J267" s="74"/>
      <x:c r="K267" s="74"/>
      <x:c r="L267" s="74"/>
      <x:c r="M267" s="91"/>
      <x:c r="N267" s="91"/>
      <x:c r="O267" s="91"/>
      <x:c r="P267" s="91"/>
      <x:c r="Q267" s="85"/>
      <x:c r="S267" s="86"/>
      <x:c r="T267" s="32"/>
    </x:row>
    <x:row r="268">
      <x:c r="A268" s="87"/>
      <x:c r="B268" s="88"/>
      <x:c r="D268" s="32"/>
      <x:c r="I268" s="74"/>
      <x:c r="J268" s="74"/>
      <x:c r="K268" s="74"/>
      <x:c r="L268" s="74"/>
      <x:c r="M268" s="91"/>
      <x:c r="N268" s="91"/>
      <x:c r="O268" s="91"/>
      <x:c r="P268" s="91"/>
      <x:c r="Q268" s="85"/>
      <x:c r="S268" s="86"/>
      <x:c r="T268" s="32"/>
    </x:row>
    <x:row r="269">
      <x:c r="A269" s="87"/>
      <x:c r="B269" s="88"/>
      <x:c r="D269" s="32"/>
      <x:c r="I269" s="74"/>
      <x:c r="J269" s="74"/>
      <x:c r="K269" s="74"/>
      <x:c r="L269" s="74"/>
      <x:c r="M269" s="91"/>
      <x:c r="N269" s="91"/>
      <x:c r="O269" s="91"/>
      <x:c r="P269" s="91"/>
      <x:c r="Q269" s="85"/>
      <x:c r="S269" s="86"/>
      <x:c r="T269" s="32"/>
    </x:row>
    <x:row r="270">
      <x:c r="A270" s="87"/>
      <x:c r="B270" s="88"/>
      <x:c r="D270" s="32"/>
      <x:c r="I270" s="74"/>
      <x:c r="J270" s="74"/>
      <x:c r="K270" s="74"/>
      <x:c r="L270" s="74"/>
      <x:c r="M270" s="91"/>
      <x:c r="N270" s="91"/>
      <x:c r="O270" s="91"/>
      <x:c r="P270" s="91"/>
      <x:c r="Q270" s="85"/>
      <x:c r="S270" s="86"/>
      <x:c r="T270" s="32"/>
    </x:row>
    <x:row r="271">
      <x:c r="A271" s="87"/>
      <x:c r="B271" s="88"/>
      <x:c r="D271" s="32"/>
      <x:c r="I271" s="74"/>
      <x:c r="J271" s="74"/>
      <x:c r="K271" s="74"/>
      <x:c r="L271" s="74"/>
      <x:c r="M271" s="91"/>
      <x:c r="N271" s="91"/>
      <x:c r="O271" s="91"/>
      <x:c r="P271" s="91"/>
      <x:c r="Q271" s="85"/>
      <x:c r="S271" s="86"/>
      <x:c r="T271" s="32"/>
    </x:row>
    <x:row r="272">
      <x:c r="A272" s="87"/>
      <x:c r="B272" s="88"/>
      <x:c r="D272" s="32"/>
      <x:c r="I272" s="74"/>
      <x:c r="J272" s="74"/>
      <x:c r="K272" s="74"/>
      <x:c r="L272" s="74"/>
      <x:c r="M272" s="91"/>
      <x:c r="N272" s="91"/>
      <x:c r="O272" s="91"/>
      <x:c r="P272" s="91"/>
      <x:c r="Q272" s="85"/>
      <x:c r="S272" s="86"/>
      <x:c r="T272" s="32"/>
    </x:row>
    <x:row r="273">
      <x:c r="A273" s="87"/>
      <x:c r="B273" s="88"/>
      <x:c r="D273" s="32"/>
      <x:c r="I273" s="74"/>
      <x:c r="J273" s="74"/>
      <x:c r="K273" s="74"/>
      <x:c r="L273" s="74"/>
      <x:c r="M273" s="91"/>
      <x:c r="N273" s="91"/>
      <x:c r="O273" s="91"/>
      <x:c r="P273" s="91"/>
      <x:c r="Q273" s="85"/>
      <x:c r="S273" s="86"/>
      <x:c r="T273" s="32"/>
    </x:row>
    <x:row r="274">
      <x:c r="A274" s="87"/>
      <x:c r="B274" s="88"/>
      <x:c r="D274" s="32"/>
      <x:c r="I274" s="74"/>
      <x:c r="J274" s="74"/>
      <x:c r="K274" s="74"/>
      <x:c r="L274" s="74"/>
      <x:c r="M274" s="91"/>
      <x:c r="N274" s="91"/>
      <x:c r="O274" s="91"/>
      <x:c r="P274" s="91"/>
      <x:c r="Q274" s="85"/>
      <x:c r="S274" s="86"/>
      <x:c r="T274" s="32"/>
    </x:row>
    <x:row r="275">
      <x:c r="A275" s="87"/>
      <x:c r="B275" s="88"/>
      <x:c r="D275" s="32"/>
      <x:c r="I275" s="74"/>
      <x:c r="J275" s="74"/>
      <x:c r="K275" s="74"/>
      <x:c r="L275" s="74"/>
      <x:c r="M275" s="91"/>
      <x:c r="N275" s="91"/>
      <x:c r="O275" s="91"/>
      <x:c r="P275" s="91"/>
      <x:c r="Q275" s="85"/>
      <x:c r="S275" s="86"/>
      <x:c r="T275" s="32"/>
    </x:row>
    <x:row r="276">
      <x:c r="A276" s="87"/>
      <x:c r="B276" s="88"/>
      <x:c r="D276" s="32"/>
      <x:c r="I276" s="74"/>
      <x:c r="J276" s="74"/>
      <x:c r="K276" s="74"/>
      <x:c r="L276" s="74"/>
      <x:c r="M276" s="91"/>
      <x:c r="N276" s="91"/>
      <x:c r="O276" s="91"/>
      <x:c r="P276" s="91"/>
      <x:c r="Q276" s="85"/>
      <x:c r="S276" s="86"/>
      <x:c r="T276" s="32"/>
    </x:row>
    <x:row r="277">
      <x:c r="A277" s="87"/>
      <x:c r="B277" s="88"/>
      <x:c r="D277" s="32"/>
      <x:c r="I277" s="74"/>
      <x:c r="J277" s="74"/>
      <x:c r="K277" s="74"/>
      <x:c r="L277" s="74"/>
      <x:c r="M277" s="91"/>
      <x:c r="N277" s="91"/>
      <x:c r="O277" s="91"/>
      <x:c r="P277" s="91"/>
      <x:c r="Q277" s="85"/>
      <x:c r="S277" s="86"/>
      <x:c r="T277" s="32"/>
    </x:row>
    <x:row r="278">
      <x:c r="A278" s="87"/>
      <x:c r="B278" s="88"/>
      <x:c r="D278" s="32"/>
      <x:c r="I278" s="74"/>
      <x:c r="J278" s="74"/>
      <x:c r="K278" s="74"/>
      <x:c r="L278" s="74"/>
      <x:c r="M278" s="91"/>
      <x:c r="N278" s="91"/>
      <x:c r="O278" s="91"/>
      <x:c r="P278" s="91"/>
      <x:c r="Q278" s="85"/>
      <x:c r="S278" s="86"/>
      <x:c r="T278" s="32"/>
    </x:row>
    <x:row r="279">
      <x:c r="A279" s="87"/>
      <x:c r="B279" s="88"/>
      <x:c r="D279" s="32"/>
      <x:c r="I279" s="74"/>
      <x:c r="J279" s="74"/>
      <x:c r="K279" s="74"/>
      <x:c r="L279" s="74"/>
      <x:c r="M279" s="91"/>
      <x:c r="N279" s="91"/>
      <x:c r="O279" s="91"/>
      <x:c r="P279" s="91"/>
      <x:c r="Q279" s="85"/>
      <x:c r="S279" s="86"/>
      <x:c r="T279" s="32"/>
    </x:row>
    <x:row r="280">
      <x:c r="A280" s="87"/>
      <x:c r="B280" s="88"/>
      <x:c r="D280" s="32"/>
      <x:c r="I280" s="74"/>
      <x:c r="J280" s="74"/>
      <x:c r="K280" s="74"/>
      <x:c r="L280" s="74"/>
      <x:c r="M280" s="91"/>
      <x:c r="N280" s="91"/>
      <x:c r="O280" s="91"/>
      <x:c r="P280" s="91"/>
      <x:c r="Q280" s="85"/>
      <x:c r="S280" s="86"/>
      <x:c r="T280" s="32"/>
    </x:row>
    <x:row r="281">
      <x:c r="A281" s="87"/>
      <x:c r="B281" s="88"/>
      <x:c r="D281" s="32"/>
      <x:c r="I281" s="74"/>
      <x:c r="J281" s="74"/>
      <x:c r="K281" s="74"/>
      <x:c r="L281" s="74"/>
      <x:c r="M281" s="91"/>
      <x:c r="N281" s="91"/>
      <x:c r="O281" s="91"/>
      <x:c r="P281" s="91"/>
      <x:c r="Q281" s="85"/>
      <x:c r="S281" s="86"/>
      <x:c r="T281" s="32"/>
    </x:row>
    <x:row r="282">
      <x:c r="A282" s="87"/>
      <x:c r="B282" s="88"/>
      <x:c r="D282" s="32"/>
      <x:c r="I282" s="74"/>
      <x:c r="J282" s="74"/>
      <x:c r="K282" s="74"/>
      <x:c r="L282" s="74"/>
      <x:c r="M282" s="91"/>
      <x:c r="N282" s="91"/>
      <x:c r="O282" s="91"/>
      <x:c r="P282" s="91"/>
      <x:c r="Q282" s="85"/>
      <x:c r="S282" s="86"/>
      <x:c r="T282" s="32"/>
    </x:row>
    <x:row r="283">
      <x:c r="A283" s="87"/>
      <x:c r="B283" s="88"/>
      <x:c r="D283" s="32"/>
      <x:c r="I283" s="74"/>
      <x:c r="J283" s="74"/>
      <x:c r="K283" s="74"/>
      <x:c r="L283" s="74"/>
      <x:c r="M283" s="91"/>
      <x:c r="N283" s="91"/>
      <x:c r="O283" s="91"/>
      <x:c r="P283" s="91"/>
      <x:c r="Q283" s="85"/>
      <x:c r="S283" s="86"/>
      <x:c r="T283" s="32"/>
    </x:row>
    <x:row r="284">
      <x:c r="A284" s="87"/>
      <x:c r="B284" s="88"/>
      <x:c r="D284" s="32"/>
      <x:c r="I284" s="74"/>
      <x:c r="J284" s="74"/>
      <x:c r="K284" s="74"/>
      <x:c r="L284" s="74"/>
      <x:c r="M284" s="91"/>
      <x:c r="N284" s="91"/>
      <x:c r="O284" s="91"/>
      <x:c r="P284" s="91"/>
      <x:c r="Q284" s="85"/>
      <x:c r="S284" s="86"/>
      <x:c r="T284" s="32"/>
    </x:row>
    <x:row r="285">
      <x:c r="A285" s="87"/>
      <x:c r="B285" s="88"/>
      <x:c r="D285" s="32"/>
      <x:c r="I285" s="74"/>
      <x:c r="J285" s="74"/>
      <x:c r="K285" s="74"/>
      <x:c r="L285" s="74"/>
      <x:c r="M285" s="91"/>
      <x:c r="N285" s="91"/>
      <x:c r="O285" s="91"/>
      <x:c r="P285" s="91"/>
      <x:c r="Q285" s="85"/>
      <x:c r="S285" s="86"/>
      <x:c r="T285" s="32"/>
    </x:row>
    <x:row r="286">
      <x:c r="A286" s="87"/>
      <x:c r="B286" s="88"/>
      <x:c r="D286" s="32"/>
      <x:c r="I286" s="74"/>
      <x:c r="J286" s="74"/>
      <x:c r="K286" s="74"/>
      <x:c r="L286" s="74"/>
      <x:c r="M286" s="91"/>
      <x:c r="N286" s="91"/>
      <x:c r="O286" s="91"/>
      <x:c r="P286" s="91"/>
      <x:c r="Q286" s="85"/>
      <x:c r="S286" s="86"/>
      <x:c r="T286" s="32"/>
    </x:row>
    <x:row r="287">
      <x:c r="A287" s="87"/>
      <x:c r="B287" s="88"/>
      <x:c r="D287" s="32"/>
      <x:c r="I287" s="74"/>
      <x:c r="J287" s="74"/>
      <x:c r="K287" s="74"/>
      <x:c r="L287" s="74"/>
      <x:c r="M287" s="91"/>
      <x:c r="N287" s="91"/>
      <x:c r="O287" s="91"/>
      <x:c r="P287" s="91"/>
      <x:c r="Q287" s="85"/>
      <x:c r="S287" s="86"/>
      <x:c r="T287" s="32"/>
    </x:row>
    <x:row r="288">
      <x:c r="A288" s="87"/>
      <x:c r="B288" s="88"/>
      <x:c r="D288" s="32"/>
      <x:c r="I288" s="74"/>
      <x:c r="J288" s="74"/>
      <x:c r="K288" s="74"/>
      <x:c r="L288" s="74"/>
      <x:c r="M288" s="91"/>
      <x:c r="N288" s="91"/>
      <x:c r="O288" s="91"/>
      <x:c r="P288" s="91"/>
      <x:c r="Q288" s="85"/>
      <x:c r="S288" s="86"/>
      <x:c r="T288" s="32"/>
    </x:row>
    <x:row r="289">
      <x:c r="A289" s="87"/>
      <x:c r="B289" s="88"/>
      <x:c r="D289" s="32"/>
      <x:c r="I289" s="74"/>
      <x:c r="J289" s="74"/>
      <x:c r="K289" s="74"/>
      <x:c r="L289" s="74"/>
      <x:c r="M289" s="91"/>
      <x:c r="N289" s="91"/>
      <x:c r="O289" s="91"/>
      <x:c r="P289" s="91"/>
      <x:c r="Q289" s="85"/>
      <x:c r="S289" s="86"/>
      <x:c r="T289" s="32"/>
    </x:row>
    <x:row r="290">
      <x:c r="A290" s="87"/>
      <x:c r="B290" s="88"/>
      <x:c r="D290" s="32"/>
      <x:c r="I290" s="74"/>
      <x:c r="J290" s="74"/>
      <x:c r="K290" s="74"/>
      <x:c r="L290" s="74"/>
      <x:c r="M290" s="91"/>
      <x:c r="N290" s="91"/>
      <x:c r="O290" s="91"/>
      <x:c r="P290" s="91"/>
      <x:c r="Q290" s="85"/>
      <x:c r="S290" s="86"/>
      <x:c r="T290" s="32"/>
    </x:row>
    <x:row r="291">
      <x:c r="A291" s="87"/>
      <x:c r="B291" s="88"/>
      <x:c r="D291" s="32"/>
      <x:c r="I291" s="74"/>
      <x:c r="J291" s="74"/>
      <x:c r="K291" s="74"/>
      <x:c r="L291" s="74"/>
      <x:c r="M291" s="91"/>
      <x:c r="N291" s="91"/>
      <x:c r="O291" s="91"/>
      <x:c r="P291" s="91"/>
      <x:c r="Q291" s="85"/>
      <x:c r="S291" s="86"/>
      <x:c r="T291" s="32"/>
    </x:row>
    <x:row r="292">
      <x:c r="A292" s="87"/>
      <x:c r="B292" s="88"/>
      <x:c r="D292" s="32"/>
      <x:c r="I292" s="74"/>
      <x:c r="J292" s="74"/>
      <x:c r="K292" s="74"/>
      <x:c r="L292" s="74"/>
      <x:c r="M292" s="91"/>
      <x:c r="N292" s="91"/>
      <x:c r="O292" s="91"/>
      <x:c r="P292" s="91"/>
      <x:c r="Q292" s="85"/>
      <x:c r="S292" s="86"/>
      <x:c r="T292" s="32"/>
    </x:row>
    <x:row r="293">
      <x:c r="A293" s="87"/>
      <x:c r="B293" s="88"/>
      <x:c r="D293" s="32"/>
      <x:c r="I293" s="74"/>
      <x:c r="J293" s="74"/>
      <x:c r="K293" s="74"/>
      <x:c r="L293" s="74"/>
      <x:c r="M293" s="91"/>
      <x:c r="N293" s="91"/>
      <x:c r="O293" s="91"/>
      <x:c r="P293" s="91"/>
      <x:c r="Q293" s="85"/>
      <x:c r="S293" s="86"/>
      <x:c r="T293" s="32"/>
    </x:row>
    <x:row r="294">
      <x:c r="A294" s="87"/>
      <x:c r="B294" s="88"/>
      <x:c r="D294" s="32"/>
      <x:c r="I294" s="74"/>
      <x:c r="J294" s="74"/>
      <x:c r="K294" s="74"/>
      <x:c r="L294" s="74"/>
      <x:c r="M294" s="91"/>
      <x:c r="N294" s="91"/>
      <x:c r="O294" s="91"/>
      <x:c r="P294" s="91"/>
      <x:c r="Q294" s="85"/>
      <x:c r="S294" s="86"/>
      <x:c r="T294" s="32"/>
    </x:row>
    <x:row r="295">
      <x:c r="A295" s="87"/>
      <x:c r="B295" s="88"/>
      <x:c r="D295" s="32"/>
      <x:c r="I295" s="74"/>
      <x:c r="J295" s="74"/>
      <x:c r="K295" s="74"/>
      <x:c r="L295" s="74"/>
      <x:c r="M295" s="91"/>
      <x:c r="N295" s="91"/>
      <x:c r="O295" s="91"/>
      <x:c r="P295" s="91"/>
      <x:c r="Q295" s="85"/>
      <x:c r="S295" s="86"/>
      <x:c r="T295" s="32"/>
    </x:row>
    <x:row r="296">
      <x:c r="A296" s="87"/>
      <x:c r="B296" s="88"/>
      <x:c r="D296" s="32"/>
      <x:c r="I296" s="74"/>
      <x:c r="J296" s="74"/>
      <x:c r="K296" s="74"/>
      <x:c r="L296" s="74"/>
      <x:c r="M296" s="91"/>
      <x:c r="N296" s="91"/>
      <x:c r="O296" s="91"/>
      <x:c r="P296" s="91"/>
      <x:c r="Q296" s="85"/>
      <x:c r="S296" s="86"/>
      <x:c r="T296" s="32"/>
    </x:row>
    <x:row r="297">
      <x:c r="A297" s="87"/>
      <x:c r="B297" s="88"/>
      <x:c r="D297" s="32"/>
      <x:c r="I297" s="74"/>
      <x:c r="J297" s="74"/>
      <x:c r="K297" s="74"/>
      <x:c r="L297" s="74"/>
      <x:c r="M297" s="91"/>
      <x:c r="N297" s="91"/>
      <x:c r="O297" s="91"/>
      <x:c r="P297" s="91"/>
      <x:c r="Q297" s="85"/>
      <x:c r="S297" s="86"/>
      <x:c r="T297" s="32"/>
    </x:row>
    <x:row r="298">
      <x:c r="A298" s="87"/>
      <x:c r="B298" s="88"/>
      <x:c r="D298" s="32"/>
      <x:c r="I298" s="74"/>
      <x:c r="J298" s="74"/>
      <x:c r="K298" s="74"/>
      <x:c r="L298" s="74"/>
      <x:c r="M298" s="91"/>
      <x:c r="N298" s="91"/>
      <x:c r="O298" s="91"/>
      <x:c r="P298" s="91"/>
      <x:c r="Q298" s="85"/>
      <x:c r="S298" s="86"/>
      <x:c r="T298" s="32"/>
    </x:row>
    <x:row r="299">
      <x:c r="A299" s="87"/>
      <x:c r="B299" s="88"/>
      <x:c r="D299" s="32"/>
      <x:c r="I299" s="74"/>
      <x:c r="J299" s="74"/>
      <x:c r="K299" s="74"/>
      <x:c r="L299" s="74"/>
      <x:c r="M299" s="91"/>
      <x:c r="N299" s="91"/>
      <x:c r="O299" s="91"/>
      <x:c r="P299" s="91"/>
      <x:c r="Q299" s="85"/>
      <x:c r="S299" s="86"/>
      <x:c r="T299" s="32"/>
    </x:row>
    <x:row r="300">
      <x:c r="A300" s="87"/>
      <x:c r="B300" s="88"/>
      <x:c r="D300" s="32"/>
      <x:c r="I300" s="74"/>
      <x:c r="J300" s="74"/>
      <x:c r="K300" s="74"/>
      <x:c r="L300" s="74"/>
      <x:c r="M300" s="91"/>
      <x:c r="N300" s="91"/>
      <x:c r="O300" s="91"/>
      <x:c r="P300" s="91"/>
      <x:c r="Q300" s="85"/>
      <x:c r="S300" s="86"/>
      <x:c r="T300" s="32"/>
    </x:row>
    <x:row r="301">
      <x:c r="A301" s="87"/>
      <x:c r="B301" s="88"/>
      <x:c r="D301" s="32"/>
      <x:c r="I301" s="74"/>
      <x:c r="J301" s="74"/>
      <x:c r="K301" s="74"/>
      <x:c r="L301" s="74"/>
      <x:c r="M301" s="91"/>
      <x:c r="N301" s="91"/>
      <x:c r="O301" s="91"/>
      <x:c r="P301" s="91"/>
      <x:c r="Q301" s="85"/>
      <x:c r="S301" s="86"/>
      <x:c r="T301" s="32"/>
    </x:row>
    <x:row r="302">
      <x:c r="A302" s="87"/>
      <x:c r="B302" s="88"/>
      <x:c r="D302" s="32"/>
      <x:c r="I302" s="74"/>
      <x:c r="J302" s="74"/>
      <x:c r="K302" s="74"/>
      <x:c r="L302" s="74"/>
      <x:c r="M302" s="91"/>
      <x:c r="N302" s="91"/>
      <x:c r="O302" s="91"/>
      <x:c r="P302" s="91"/>
      <x:c r="Q302" s="85"/>
      <x:c r="S302" s="86"/>
      <x:c r="T302" s="32"/>
    </x:row>
    <x:row r="303">
      <x:c r="A303" s="87"/>
      <x:c r="B303" s="88"/>
      <x:c r="D303" s="32"/>
      <x:c r="I303" s="74"/>
      <x:c r="J303" s="74"/>
      <x:c r="K303" s="74"/>
      <x:c r="L303" s="74"/>
      <x:c r="M303" s="91"/>
      <x:c r="N303" s="91"/>
      <x:c r="O303" s="91"/>
      <x:c r="P303" s="91"/>
      <x:c r="Q303" s="85"/>
      <x:c r="S303" s="86"/>
      <x:c r="T303" s="32"/>
    </x:row>
    <x:row r="304">
      <x:c r="A304" s="87"/>
      <x:c r="B304" s="88"/>
      <x:c r="D304" s="32"/>
      <x:c r="I304" s="74"/>
      <x:c r="J304" s="74"/>
      <x:c r="K304" s="74"/>
      <x:c r="L304" s="74"/>
      <x:c r="M304" s="91"/>
      <x:c r="N304" s="91"/>
      <x:c r="O304" s="91"/>
      <x:c r="P304" s="91"/>
      <x:c r="Q304" s="85"/>
      <x:c r="S304" s="86"/>
      <x:c r="T304" s="32"/>
    </x:row>
    <x:row r="305">
      <x:c r="A305" s="87"/>
      <x:c r="B305" s="88"/>
      <x:c r="D305" s="32"/>
      <x:c r="I305" s="74"/>
      <x:c r="J305" s="74"/>
      <x:c r="K305" s="74"/>
      <x:c r="L305" s="74"/>
      <x:c r="M305" s="91"/>
      <x:c r="N305" s="91"/>
      <x:c r="O305" s="91"/>
      <x:c r="P305" s="91"/>
      <x:c r="Q305" s="85"/>
      <x:c r="S305" s="86"/>
      <x:c r="T305" s="32"/>
    </x:row>
    <x:row r="306">
      <x:c r="A306" s="87"/>
      <x:c r="B306" s="88"/>
      <x:c r="D306" s="32"/>
      <x:c r="I306" s="74"/>
      <x:c r="J306" s="74"/>
      <x:c r="K306" s="74"/>
      <x:c r="L306" s="74"/>
      <x:c r="M306" s="91"/>
      <x:c r="N306" s="91"/>
      <x:c r="O306" s="91"/>
      <x:c r="P306" s="91"/>
      <x:c r="Q306" s="85"/>
      <x:c r="S306" s="86"/>
      <x:c r="T306" s="32"/>
    </x:row>
    <x:row r="307">
      <x:c r="A307" s="87"/>
      <x:c r="B307" s="88"/>
      <x:c r="D307" s="32"/>
      <x:c r="I307" s="74"/>
      <x:c r="J307" s="74"/>
      <x:c r="K307" s="74"/>
      <x:c r="L307" s="74"/>
      <x:c r="M307" s="91"/>
      <x:c r="N307" s="91"/>
      <x:c r="O307" s="91"/>
      <x:c r="P307" s="91"/>
      <x:c r="Q307" s="85"/>
      <x:c r="S307" s="86"/>
      <x:c r="T307" s="32"/>
    </x:row>
    <x:row r="308">
      <x:c r="A308" s="87"/>
      <x:c r="B308" s="88"/>
      <x:c r="D308" s="32"/>
      <x:c r="I308" s="74"/>
      <x:c r="J308" s="74"/>
      <x:c r="K308" s="74"/>
      <x:c r="L308" s="74"/>
      <x:c r="M308" s="91"/>
      <x:c r="N308" s="91"/>
      <x:c r="O308" s="91"/>
      <x:c r="P308" s="91"/>
      <x:c r="Q308" s="85"/>
      <x:c r="S308" s="86"/>
      <x:c r="T308" s="32"/>
    </x:row>
    <x:row r="309">
      <x:c r="A309" s="87"/>
      <x:c r="B309" s="88"/>
      <x:c r="D309" s="32"/>
      <x:c r="I309" s="74"/>
      <x:c r="J309" s="74"/>
      <x:c r="K309" s="74"/>
      <x:c r="L309" s="74"/>
      <x:c r="M309" s="91"/>
      <x:c r="N309" s="91"/>
      <x:c r="O309" s="91"/>
      <x:c r="P309" s="91"/>
      <x:c r="Q309" s="85"/>
      <x:c r="S309" s="86"/>
      <x:c r="T309" s="32"/>
    </x:row>
    <x:row r="310">
      <x:c r="A310" s="87"/>
      <x:c r="B310" s="88"/>
      <x:c r="D310" s="32"/>
      <x:c r="I310" s="74"/>
      <x:c r="J310" s="74"/>
      <x:c r="K310" s="74"/>
      <x:c r="L310" s="74"/>
      <x:c r="M310" s="91"/>
      <x:c r="N310" s="91"/>
      <x:c r="O310" s="91"/>
      <x:c r="P310" s="91"/>
      <x:c r="Q310" s="85"/>
      <x:c r="S310" s="86"/>
      <x:c r="T310" s="32"/>
    </x:row>
    <x:row r="311">
      <x:c r="A311" s="87"/>
      <x:c r="B311" s="88"/>
      <x:c r="D311" s="32"/>
      <x:c r="I311" s="74"/>
      <x:c r="J311" s="74"/>
      <x:c r="K311" s="74"/>
      <x:c r="L311" s="74"/>
      <x:c r="M311" s="91"/>
      <x:c r="N311" s="91"/>
      <x:c r="O311" s="91"/>
      <x:c r="P311" s="91"/>
      <x:c r="Q311" s="85"/>
      <x:c r="S311" s="86"/>
      <x:c r="T311" s="32"/>
    </x:row>
    <x:row r="312">
      <x:c r="A312" s="87"/>
      <x:c r="B312" s="88"/>
      <x:c r="D312" s="32"/>
      <x:c r="I312" s="74"/>
      <x:c r="J312" s="74"/>
      <x:c r="K312" s="74"/>
      <x:c r="L312" s="74"/>
      <x:c r="M312" s="91"/>
      <x:c r="N312" s="91"/>
      <x:c r="O312" s="91"/>
      <x:c r="P312" s="91"/>
      <x:c r="Q312" s="85"/>
      <x:c r="S312" s="86"/>
      <x:c r="T312" s="32"/>
    </x:row>
    <x:row r="313">
      <x:c r="A313" s="87"/>
      <x:c r="B313" s="88"/>
      <x:c r="D313" s="32"/>
      <x:c r="I313" s="74"/>
      <x:c r="J313" s="74"/>
      <x:c r="K313" s="74"/>
      <x:c r="L313" s="74"/>
      <x:c r="M313" s="91"/>
      <x:c r="N313" s="91"/>
      <x:c r="O313" s="91"/>
      <x:c r="P313" s="91"/>
      <x:c r="Q313" s="85"/>
      <x:c r="S313" s="86"/>
      <x:c r="T313" s="32"/>
    </x:row>
    <x:row r="314">
      <x:c r="A314" s="87"/>
      <x:c r="B314" s="88"/>
      <x:c r="D314" s="32"/>
      <x:c r="I314" s="74"/>
      <x:c r="J314" s="74"/>
      <x:c r="K314" s="74"/>
      <x:c r="L314" s="74"/>
      <x:c r="M314" s="91"/>
      <x:c r="N314" s="91"/>
      <x:c r="O314" s="91"/>
      <x:c r="P314" s="91"/>
      <x:c r="Q314" s="85"/>
      <x:c r="S314" s="86"/>
      <x:c r="T314" s="32"/>
    </x:row>
    <x:row r="315">
      <x:c r="A315" s="87"/>
      <x:c r="B315" s="88"/>
      <x:c r="D315" s="32"/>
      <x:c r="I315" s="74"/>
      <x:c r="J315" s="74"/>
      <x:c r="K315" s="74"/>
      <x:c r="L315" s="74"/>
      <x:c r="M315" s="91"/>
      <x:c r="N315" s="91"/>
      <x:c r="O315" s="91"/>
      <x:c r="P315" s="91"/>
      <x:c r="Q315" s="85"/>
      <x:c r="S315" s="86"/>
      <x:c r="T315" s="32"/>
    </x:row>
    <x:row r="316">
      <x:c r="A316" s="87"/>
      <x:c r="B316" s="88"/>
      <x:c r="D316" s="32"/>
      <x:c r="I316" s="74"/>
      <x:c r="J316" s="74"/>
      <x:c r="K316" s="74"/>
      <x:c r="L316" s="74"/>
      <x:c r="M316" s="91"/>
      <x:c r="N316" s="91"/>
      <x:c r="O316" s="91"/>
      <x:c r="P316" s="91"/>
      <x:c r="Q316" s="85"/>
      <x:c r="S316" s="86"/>
      <x:c r="T316" s="32"/>
    </x:row>
    <x:row r="317">
      <x:c r="A317" s="87"/>
      <x:c r="B317" s="88"/>
      <x:c r="D317" s="32"/>
      <x:c r="I317" s="74"/>
      <x:c r="J317" s="74"/>
      <x:c r="K317" s="74"/>
      <x:c r="L317" s="74"/>
      <x:c r="M317" s="91"/>
      <x:c r="N317" s="91"/>
      <x:c r="O317" s="91"/>
      <x:c r="P317" s="91"/>
      <x:c r="Q317" s="85"/>
      <x:c r="S317" s="86"/>
      <x:c r="T317" s="32"/>
    </x:row>
    <x:row r="318">
      <x:c r="A318" s="87"/>
      <x:c r="B318" s="88"/>
      <x:c r="D318" s="32"/>
      <x:c r="I318" s="74"/>
      <x:c r="J318" s="74"/>
      <x:c r="K318" s="74"/>
      <x:c r="L318" s="74"/>
      <x:c r="M318" s="91"/>
      <x:c r="N318" s="91"/>
      <x:c r="O318" s="91"/>
      <x:c r="P318" s="91"/>
      <x:c r="Q318" s="85"/>
      <x:c r="S318" s="86"/>
      <x:c r="T318" s="32"/>
    </x:row>
    <x:row r="319">
      <x:c r="A319" s="87"/>
      <x:c r="B319" s="88"/>
      <x:c r="D319" s="32"/>
      <x:c r="I319" s="74"/>
      <x:c r="J319" s="74"/>
      <x:c r="K319" s="74"/>
      <x:c r="L319" s="74"/>
      <x:c r="M319" s="91"/>
      <x:c r="N319" s="91"/>
      <x:c r="O319" s="91"/>
      <x:c r="P319" s="91"/>
      <x:c r="Q319" s="85"/>
      <x:c r="S319" s="86"/>
      <x:c r="T319" s="32"/>
    </x:row>
    <x:row r="320">
      <x:c r="A320" s="87"/>
      <x:c r="B320" s="88"/>
      <x:c r="D320" s="32"/>
      <x:c r="I320" s="74"/>
      <x:c r="J320" s="74"/>
      <x:c r="K320" s="74"/>
      <x:c r="L320" s="74"/>
      <x:c r="M320" s="91"/>
      <x:c r="N320" s="91"/>
      <x:c r="O320" s="91"/>
      <x:c r="P320" s="91"/>
      <x:c r="Q320" s="85"/>
      <x:c r="S320" s="86"/>
      <x:c r="T320" s="32"/>
    </x:row>
    <x:row r="321">
      <x:c r="A321" s="87"/>
      <x:c r="B321" s="88"/>
      <x:c r="D321" s="32"/>
      <x:c r="I321" s="74"/>
      <x:c r="J321" s="74"/>
      <x:c r="K321" s="74"/>
      <x:c r="L321" s="74"/>
      <x:c r="M321" s="91"/>
      <x:c r="N321" s="91"/>
      <x:c r="O321" s="91"/>
      <x:c r="P321" s="91"/>
      <x:c r="Q321" s="85"/>
      <x:c r="S321" s="86"/>
      <x:c r="T321" s="32"/>
    </x:row>
    <x:row r="322">
      <x:c r="A322" s="87"/>
      <x:c r="B322" s="88"/>
      <x:c r="D322" s="32"/>
      <x:c r="I322" s="74"/>
      <x:c r="J322" s="74"/>
      <x:c r="K322" s="74"/>
      <x:c r="L322" s="74"/>
      <x:c r="M322" s="91"/>
      <x:c r="N322" s="91"/>
      <x:c r="O322" s="91"/>
      <x:c r="P322" s="91"/>
      <x:c r="Q322" s="85"/>
      <x:c r="S322" s="86"/>
      <x:c r="T322" s="32"/>
    </x:row>
    <x:row r="323">
      <x:c r="A323" s="87"/>
      <x:c r="B323" s="88"/>
      <x:c r="D323" s="32"/>
      <x:c r="I323" s="74"/>
      <x:c r="J323" s="74"/>
      <x:c r="K323" s="74"/>
      <x:c r="L323" s="74"/>
      <x:c r="M323" s="91"/>
      <x:c r="N323" s="91"/>
      <x:c r="O323" s="91"/>
      <x:c r="P323" s="91"/>
      <x:c r="Q323" s="85"/>
      <x:c r="S323" s="86"/>
      <x:c r="T323" s="32"/>
    </x:row>
    <x:row r="324">
      <x:c r="A324" s="87"/>
      <x:c r="B324" s="88"/>
      <x:c r="D324" s="32"/>
      <x:c r="I324" s="74"/>
      <x:c r="J324" s="74"/>
      <x:c r="K324" s="74"/>
      <x:c r="L324" s="74"/>
      <x:c r="M324" s="91"/>
      <x:c r="N324" s="91"/>
      <x:c r="O324" s="91"/>
      <x:c r="P324" s="91"/>
      <x:c r="Q324" s="85"/>
      <x:c r="S324" s="86"/>
      <x:c r="T324" s="32"/>
    </x:row>
    <x:row r="325">
      <x:c r="A325" s="87"/>
      <x:c r="B325" s="88"/>
      <x:c r="D325" s="32"/>
      <x:c r="I325" s="74"/>
      <x:c r="J325" s="74"/>
      <x:c r="K325" s="74"/>
      <x:c r="L325" s="74"/>
      <x:c r="M325" s="91"/>
      <x:c r="N325" s="91"/>
      <x:c r="O325" s="91"/>
      <x:c r="P325" s="91"/>
      <x:c r="Q325" s="85"/>
      <x:c r="S325" s="86"/>
      <x:c r="T325" s="32"/>
    </x:row>
    <x:row r="326">
      <x:c r="A326" s="87"/>
      <x:c r="B326" s="88"/>
      <x:c r="D326" s="32"/>
      <x:c r="I326" s="74"/>
      <x:c r="J326" s="74"/>
      <x:c r="K326" s="74"/>
      <x:c r="L326" s="74"/>
      <x:c r="M326" s="91"/>
      <x:c r="N326" s="91"/>
      <x:c r="O326" s="91"/>
      <x:c r="P326" s="91"/>
      <x:c r="Q326" s="85"/>
      <x:c r="S326" s="86"/>
      <x:c r="T326" s="32"/>
    </x:row>
    <x:row r="327">
      <x:c r="A327" s="87"/>
      <x:c r="B327" s="88"/>
      <x:c r="D327" s="32"/>
      <x:c r="I327" s="74"/>
      <x:c r="J327" s="74"/>
      <x:c r="K327" s="74"/>
      <x:c r="L327" s="74"/>
      <x:c r="M327" s="91"/>
      <x:c r="N327" s="91"/>
      <x:c r="O327" s="91"/>
      <x:c r="P327" s="91"/>
      <x:c r="Q327" s="85"/>
      <x:c r="S327" s="86"/>
      <x:c r="T327" s="32"/>
    </x:row>
    <x:row r="328">
      <x:c r="A328" s="87"/>
      <x:c r="B328" s="88"/>
      <x:c r="D328" s="32"/>
      <x:c r="I328" s="74"/>
      <x:c r="J328" s="74"/>
      <x:c r="K328" s="74"/>
      <x:c r="L328" s="74"/>
      <x:c r="M328" s="91"/>
      <x:c r="N328" s="91"/>
      <x:c r="O328" s="91"/>
      <x:c r="P328" s="91"/>
      <x:c r="Q328" s="85"/>
      <x:c r="S328" s="86"/>
      <x:c r="T328" s="32"/>
    </x:row>
    <x:row r="329">
      <x:c r="A329" s="87"/>
      <x:c r="B329" s="88"/>
      <x:c r="D329" s="32"/>
      <x:c r="I329" s="74"/>
      <x:c r="J329" s="74"/>
      <x:c r="K329" s="74"/>
      <x:c r="L329" s="74"/>
      <x:c r="M329" s="91"/>
      <x:c r="N329" s="91"/>
      <x:c r="O329" s="91"/>
      <x:c r="P329" s="91"/>
      <x:c r="Q329" s="85"/>
      <x:c r="S329" s="86"/>
      <x:c r="T329" s="32"/>
    </x:row>
    <x:row r="330">
      <x:c r="A330" s="87"/>
      <x:c r="B330" s="88"/>
      <x:c r="D330" s="32"/>
      <x:c r="I330" s="74"/>
      <x:c r="J330" s="74"/>
      <x:c r="K330" s="74"/>
      <x:c r="L330" s="74"/>
      <x:c r="M330" s="91"/>
      <x:c r="N330" s="91"/>
      <x:c r="O330" s="91"/>
      <x:c r="P330" s="91"/>
      <x:c r="Q330" s="85"/>
      <x:c r="S330" s="86"/>
      <x:c r="T330" s="32"/>
    </x:row>
    <x:row r="331">
      <x:c r="A331" s="87"/>
      <x:c r="B331" s="88"/>
      <x:c r="D331" s="32"/>
      <x:c r="I331" s="74"/>
      <x:c r="J331" s="74"/>
      <x:c r="K331" s="74"/>
      <x:c r="L331" s="74"/>
      <x:c r="M331" s="91"/>
      <x:c r="N331" s="91"/>
      <x:c r="O331" s="91"/>
      <x:c r="P331" s="91"/>
      <x:c r="Q331" s="85"/>
      <x:c r="S331" s="86"/>
      <x:c r="T331" s="32"/>
    </x:row>
    <x:row r="332">
      <x:c r="A332" s="87"/>
      <x:c r="B332" s="88"/>
      <x:c r="D332" s="32"/>
      <x:c r="I332" s="74"/>
      <x:c r="J332" s="74"/>
      <x:c r="K332" s="74"/>
      <x:c r="L332" s="74"/>
      <x:c r="M332" s="91"/>
      <x:c r="N332" s="91"/>
      <x:c r="O332" s="91"/>
      <x:c r="P332" s="91"/>
      <x:c r="Q332" s="85"/>
      <x:c r="S332" s="86"/>
      <x:c r="T332" s="32"/>
    </x:row>
    <x:row r="333">
      <x:c r="A333" s="87"/>
      <x:c r="B333" s="88"/>
      <x:c r="D333" s="32"/>
      <x:c r="I333" s="74"/>
      <x:c r="J333" s="74"/>
      <x:c r="K333" s="74"/>
      <x:c r="L333" s="74"/>
      <x:c r="M333" s="91"/>
      <x:c r="N333" s="91"/>
      <x:c r="O333" s="91"/>
      <x:c r="P333" s="91"/>
      <x:c r="Q333" s="85"/>
      <x:c r="S333" s="86"/>
      <x:c r="T333" s="32"/>
    </x:row>
    <x:row r="334">
      <x:c r="A334" s="87"/>
      <x:c r="B334" s="88"/>
      <x:c r="D334" s="32"/>
      <x:c r="I334" s="74"/>
      <x:c r="J334" s="74"/>
      <x:c r="K334" s="74"/>
      <x:c r="L334" s="74"/>
      <x:c r="M334" s="91"/>
      <x:c r="N334" s="91"/>
      <x:c r="O334" s="91"/>
      <x:c r="P334" s="91"/>
      <x:c r="Q334" s="85"/>
      <x:c r="S334" s="86"/>
      <x:c r="T334" s="32"/>
    </x:row>
    <x:row r="335">
      <x:c r="A335" s="87"/>
      <x:c r="B335" s="88"/>
      <x:c r="D335" s="32"/>
      <x:c r="I335" s="74"/>
      <x:c r="J335" s="74"/>
      <x:c r="K335" s="74"/>
      <x:c r="L335" s="74"/>
      <x:c r="M335" s="91"/>
      <x:c r="N335" s="91"/>
      <x:c r="O335" s="91"/>
      <x:c r="P335" s="91"/>
      <x:c r="Q335" s="85"/>
      <x:c r="S335" s="86"/>
      <x:c r="T335" s="32"/>
    </x:row>
    <x:row r="336">
      <x:c r="A336" s="87"/>
      <x:c r="B336" s="88"/>
      <x:c r="D336" s="32"/>
      <x:c r="I336" s="74"/>
      <x:c r="J336" s="74"/>
      <x:c r="K336" s="74"/>
      <x:c r="L336" s="74"/>
      <x:c r="M336" s="91"/>
      <x:c r="N336" s="91"/>
      <x:c r="O336" s="91"/>
      <x:c r="P336" s="91"/>
      <x:c r="Q336" s="85"/>
      <x:c r="S336" s="86"/>
      <x:c r="T336" s="32"/>
    </x:row>
    <x:row r="337">
      <x:c r="A337" s="87"/>
      <x:c r="B337" s="88"/>
      <x:c r="D337" s="32"/>
      <x:c r="I337" s="74"/>
      <x:c r="J337" s="74"/>
      <x:c r="K337" s="74"/>
      <x:c r="L337" s="74"/>
      <x:c r="M337" s="91"/>
      <x:c r="N337" s="91"/>
      <x:c r="O337" s="91"/>
      <x:c r="P337" s="91"/>
      <x:c r="Q337" s="85"/>
      <x:c r="S337" s="86"/>
      <x:c r="T337" s="32"/>
    </x:row>
    <x:row r="338">
      <x:c r="A338" s="87"/>
      <x:c r="B338" s="88"/>
      <x:c r="D338" s="32"/>
      <x:c r="I338" s="74"/>
      <x:c r="J338" s="74"/>
      <x:c r="K338" s="74"/>
      <x:c r="L338" s="74"/>
      <x:c r="M338" s="91"/>
      <x:c r="N338" s="91"/>
      <x:c r="O338" s="91"/>
      <x:c r="P338" s="91"/>
      <x:c r="Q338" s="85"/>
      <x:c r="S338" s="86"/>
      <x:c r="T338" s="32"/>
    </x:row>
    <x:row r="339">
      <x:c r="A339" s="87"/>
      <x:c r="B339" s="88"/>
      <x:c r="D339" s="32"/>
      <x:c r="I339" s="74"/>
      <x:c r="J339" s="74"/>
      <x:c r="K339" s="74"/>
      <x:c r="L339" s="74"/>
      <x:c r="M339" s="91"/>
      <x:c r="N339" s="91"/>
      <x:c r="O339" s="91"/>
      <x:c r="P339" s="91"/>
      <x:c r="Q339" s="85"/>
      <x:c r="S339" s="86"/>
      <x:c r="T339" s="32"/>
    </x:row>
    <x:row r="340">
      <x:c r="A340" s="87"/>
      <x:c r="B340" s="88"/>
      <x:c r="D340" s="32"/>
      <x:c r="I340" s="74"/>
      <x:c r="J340" s="74"/>
      <x:c r="K340" s="74"/>
      <x:c r="L340" s="74"/>
      <x:c r="M340" s="91"/>
      <x:c r="N340" s="91"/>
      <x:c r="O340" s="91"/>
      <x:c r="P340" s="91"/>
      <x:c r="Q340" s="85"/>
      <x:c r="S340" s="86"/>
      <x:c r="T340" s="32"/>
    </x:row>
    <x:row r="341">
      <x:c r="A341" s="87"/>
      <x:c r="B341" s="88"/>
      <x:c r="D341" s="32"/>
      <x:c r="I341" s="74"/>
      <x:c r="J341" s="74"/>
      <x:c r="K341" s="74"/>
      <x:c r="L341" s="74"/>
      <x:c r="M341" s="91"/>
      <x:c r="N341" s="91"/>
      <x:c r="O341" s="91"/>
      <x:c r="P341" s="91"/>
      <x:c r="Q341" s="85"/>
      <x:c r="S341" s="86"/>
      <x:c r="T341" s="32"/>
    </x:row>
    <x:row r="342">
      <x:c r="A342" s="87"/>
      <x:c r="B342" s="88"/>
      <x:c r="D342" s="32"/>
      <x:c r="I342" s="74"/>
      <x:c r="J342" s="74"/>
      <x:c r="K342" s="74"/>
      <x:c r="L342" s="74"/>
      <x:c r="M342" s="91"/>
      <x:c r="N342" s="91"/>
      <x:c r="O342" s="91"/>
      <x:c r="P342" s="91"/>
      <x:c r="Q342" s="85"/>
      <x:c r="S342" s="86"/>
      <x:c r="T342" s="32"/>
    </x:row>
    <x:row r="343">
      <x:c r="A343" s="87"/>
      <x:c r="B343" s="88"/>
      <x:c r="D343" s="32"/>
      <x:c r="I343" s="74"/>
      <x:c r="J343" s="74"/>
      <x:c r="K343" s="74"/>
      <x:c r="L343" s="74"/>
      <x:c r="M343" s="91"/>
      <x:c r="N343" s="91"/>
      <x:c r="O343" s="91"/>
      <x:c r="P343" s="91"/>
      <x:c r="Q343" s="85"/>
      <x:c r="S343" s="86"/>
      <x:c r="T343" s="32"/>
    </x:row>
    <x:row r="344">
      <x:c r="A344" s="87"/>
      <x:c r="B344" s="88"/>
      <x:c r="D344" s="32"/>
      <x:c r="I344" s="74"/>
      <x:c r="J344" s="74"/>
      <x:c r="K344" s="74"/>
      <x:c r="L344" s="74"/>
      <x:c r="M344" s="91"/>
      <x:c r="N344" s="91"/>
      <x:c r="O344" s="91"/>
      <x:c r="P344" s="91"/>
      <x:c r="Q344" s="85"/>
      <x:c r="S344" s="86"/>
      <x:c r="T344" s="32"/>
    </x:row>
    <x:row r="345">
      <x:c r="A345" s="87"/>
      <x:c r="B345" s="88"/>
      <x:c r="D345" s="32"/>
      <x:c r="I345" s="74"/>
      <x:c r="J345" s="74"/>
      <x:c r="K345" s="74"/>
      <x:c r="L345" s="74"/>
      <x:c r="M345" s="91"/>
      <x:c r="N345" s="91"/>
      <x:c r="O345" s="91"/>
      <x:c r="P345" s="91"/>
      <x:c r="Q345" s="85"/>
      <x:c r="S345" s="86"/>
      <x:c r="T345" s="32"/>
    </x:row>
    <x:row r="346">
      <x:c r="A346" s="87"/>
      <x:c r="B346" s="88"/>
      <x:c r="D346" s="32"/>
      <x:c r="I346" s="74"/>
      <x:c r="J346" s="74"/>
      <x:c r="K346" s="74"/>
      <x:c r="L346" s="74"/>
      <x:c r="M346" s="91"/>
      <x:c r="N346" s="91"/>
      <x:c r="O346" s="91"/>
      <x:c r="P346" s="91"/>
      <x:c r="Q346" s="85"/>
      <x:c r="S346" s="86"/>
      <x:c r="T346" s="32"/>
    </x:row>
    <x:row r="347">
      <x:c r="A347" s="87"/>
      <x:c r="B347" s="88"/>
      <x:c r="D347" s="32"/>
      <x:c r="I347" s="74"/>
      <x:c r="J347" s="74"/>
      <x:c r="K347" s="74"/>
      <x:c r="L347" s="74"/>
      <x:c r="M347" s="91"/>
      <x:c r="N347" s="91"/>
      <x:c r="O347" s="91"/>
      <x:c r="P347" s="91"/>
      <x:c r="Q347" s="85"/>
      <x:c r="S347" s="86"/>
      <x:c r="T347" s="32"/>
    </x:row>
    <x:row r="348">
      <x:c r="A348" s="87"/>
      <x:c r="B348" s="88"/>
      <x:c r="D348" s="32"/>
      <x:c r="I348" s="74"/>
      <x:c r="J348" s="74"/>
      <x:c r="K348" s="74"/>
      <x:c r="L348" s="74"/>
      <x:c r="M348" s="91"/>
      <x:c r="N348" s="91"/>
      <x:c r="O348" s="91"/>
      <x:c r="P348" s="91"/>
      <x:c r="Q348" s="85"/>
      <x:c r="S348" s="86"/>
      <x:c r="T348" s="32"/>
    </x:row>
    <x:row r="349">
      <x:c r="A349" s="87"/>
      <x:c r="B349" s="88"/>
      <x:c r="D349" s="32"/>
      <x:c r="I349" s="74"/>
      <x:c r="J349" s="74"/>
      <x:c r="K349" s="74"/>
      <x:c r="L349" s="74"/>
      <x:c r="M349" s="91"/>
      <x:c r="N349" s="91"/>
      <x:c r="O349" s="91"/>
      <x:c r="P349" s="91"/>
      <x:c r="Q349" s="85"/>
      <x:c r="S349" s="86"/>
      <x:c r="T349" s="32"/>
    </x:row>
    <x:row r="350">
      <x:c r="A350" s="87"/>
      <x:c r="B350" s="88"/>
      <x:c r="D350" s="32"/>
      <x:c r="I350" s="74"/>
      <x:c r="J350" s="74"/>
      <x:c r="K350" s="74"/>
      <x:c r="L350" s="74"/>
      <x:c r="M350" s="91"/>
      <x:c r="N350" s="91"/>
      <x:c r="O350" s="91"/>
      <x:c r="P350" s="91"/>
      <x:c r="Q350" s="85"/>
      <x:c r="S350" s="86"/>
      <x:c r="T350" s="32"/>
    </x:row>
    <x:row r="351">
      <x:c r="A351" s="87"/>
      <x:c r="B351" s="88"/>
      <x:c r="D351" s="32"/>
      <x:c r="I351" s="74"/>
      <x:c r="J351" s="74"/>
      <x:c r="K351" s="74"/>
      <x:c r="L351" s="74"/>
      <x:c r="M351" s="91"/>
      <x:c r="N351" s="91"/>
      <x:c r="O351" s="91"/>
      <x:c r="P351" s="91"/>
      <x:c r="Q351" s="85"/>
      <x:c r="S351" s="86"/>
      <x:c r="T351" s="32"/>
    </x:row>
    <x:row r="352">
      <x:c r="A352" s="87"/>
      <x:c r="B352" s="88"/>
      <x:c r="D352" s="32"/>
      <x:c r="I352" s="74"/>
      <x:c r="J352" s="74"/>
      <x:c r="K352" s="74"/>
      <x:c r="L352" s="74"/>
      <x:c r="M352" s="91"/>
      <x:c r="N352" s="91"/>
      <x:c r="O352" s="91"/>
      <x:c r="P352" s="91"/>
      <x:c r="Q352" s="85"/>
      <x:c r="S352" s="86"/>
      <x:c r="T352" s="32"/>
    </x:row>
    <x:row r="353">
      <x:c r="A353" s="87"/>
      <x:c r="B353" s="88"/>
      <x:c r="D353" s="32"/>
      <x:c r="I353" s="74"/>
      <x:c r="J353" s="74"/>
      <x:c r="K353" s="74"/>
      <x:c r="L353" s="74"/>
      <x:c r="M353" s="91"/>
      <x:c r="N353" s="91"/>
      <x:c r="O353" s="91"/>
      <x:c r="P353" s="91"/>
      <x:c r="Q353" s="85"/>
      <x:c r="S353" s="86"/>
      <x:c r="T353" s="32"/>
    </x:row>
    <x:row r="354">
      <x:c r="A354" s="87"/>
      <x:c r="B354" s="88"/>
      <x:c r="D354" s="32"/>
      <x:c r="I354" s="74"/>
      <x:c r="J354" s="74"/>
      <x:c r="K354" s="74"/>
      <x:c r="L354" s="74"/>
      <x:c r="M354" s="91"/>
      <x:c r="N354" s="91"/>
      <x:c r="O354" s="91"/>
      <x:c r="P354" s="91"/>
      <x:c r="Q354" s="85"/>
      <x:c r="S354" s="86"/>
      <x:c r="T354" s="32"/>
    </x:row>
    <x:row r="355">
      <x:c r="A355" s="87"/>
      <x:c r="B355" s="88"/>
      <x:c r="D355" s="32"/>
      <x:c r="I355" s="74"/>
      <x:c r="J355" s="74"/>
      <x:c r="K355" s="74"/>
      <x:c r="L355" s="74"/>
      <x:c r="M355" s="91"/>
      <x:c r="N355" s="91"/>
      <x:c r="O355" s="91"/>
      <x:c r="P355" s="91"/>
      <x:c r="Q355" s="85"/>
      <x:c r="S355" s="86"/>
      <x:c r="T355" s="32"/>
    </x:row>
    <x:row r="356">
      <x:c r="A356" s="87"/>
      <x:c r="B356" s="88"/>
      <x:c r="D356" s="32"/>
      <x:c r="I356" s="74"/>
      <x:c r="J356" s="74"/>
      <x:c r="K356" s="74"/>
      <x:c r="L356" s="74"/>
      <x:c r="M356" s="91"/>
      <x:c r="N356" s="91"/>
      <x:c r="O356" s="91"/>
      <x:c r="P356" s="91"/>
      <x:c r="Q356" s="85"/>
      <x:c r="S356" s="86"/>
      <x:c r="T356" s="32"/>
    </x:row>
    <x:row r="357">
      <x:c r="A357" s="87"/>
      <x:c r="B357" s="88"/>
      <x:c r="D357" s="32"/>
      <x:c r="I357" s="74"/>
      <x:c r="J357" s="74"/>
      <x:c r="K357" s="74"/>
      <x:c r="L357" s="74"/>
      <x:c r="M357" s="91"/>
      <x:c r="N357" s="91"/>
      <x:c r="O357" s="91"/>
      <x:c r="P357" s="91"/>
      <x:c r="Q357" s="85"/>
      <x:c r="S357" s="86"/>
      <x:c r="T357" s="32"/>
    </x:row>
    <x:row r="358">
      <x:c r="A358" s="87"/>
      <x:c r="B358" s="88"/>
      <x:c r="D358" s="32"/>
      <x:c r="I358" s="74"/>
      <x:c r="J358" s="74"/>
      <x:c r="K358" s="74"/>
      <x:c r="L358" s="74"/>
      <x:c r="M358" s="91"/>
      <x:c r="N358" s="91"/>
      <x:c r="O358" s="91"/>
      <x:c r="P358" s="91"/>
      <x:c r="Q358" s="85"/>
      <x:c r="S358" s="86"/>
      <x:c r="T358" s="32"/>
    </x:row>
    <x:row r="359">
      <x:c r="A359" s="87"/>
      <x:c r="B359" s="88"/>
      <x:c r="D359" s="32"/>
      <x:c r="I359" s="74"/>
      <x:c r="J359" s="74"/>
      <x:c r="K359" s="74"/>
      <x:c r="L359" s="74"/>
      <x:c r="M359" s="91"/>
      <x:c r="N359" s="91"/>
      <x:c r="O359" s="91"/>
      <x:c r="P359" s="91"/>
      <x:c r="Q359" s="85"/>
      <x:c r="S359" s="86"/>
      <x:c r="T359" s="32"/>
    </x:row>
    <x:row r="360">
      <x:c r="A360" s="87"/>
      <x:c r="B360" s="88"/>
      <x:c r="D360" s="32"/>
      <x:c r="I360" s="74"/>
      <x:c r="J360" s="74"/>
      <x:c r="K360" s="74"/>
      <x:c r="L360" s="74"/>
      <x:c r="M360" s="91"/>
      <x:c r="N360" s="91"/>
      <x:c r="O360" s="91"/>
      <x:c r="P360" s="91"/>
      <x:c r="Q360" s="85"/>
      <x:c r="S360" s="86"/>
      <x:c r="T360" s="32"/>
    </x:row>
    <x:row r="361">
      <x:c r="A361" s="87"/>
      <x:c r="B361" s="88"/>
      <x:c r="D361" s="32"/>
      <x:c r="I361" s="74"/>
      <x:c r="J361" s="74"/>
      <x:c r="K361" s="74"/>
      <x:c r="L361" s="74"/>
      <x:c r="M361" s="91"/>
      <x:c r="N361" s="91"/>
      <x:c r="O361" s="91"/>
      <x:c r="P361" s="91"/>
      <x:c r="Q361" s="85"/>
      <x:c r="S361" s="86"/>
      <x:c r="T361" s="32"/>
    </x:row>
    <x:row r="362">
      <x:c r="A362" s="87"/>
      <x:c r="B362" s="88"/>
      <x:c r="D362" s="32"/>
      <x:c r="I362" s="74"/>
      <x:c r="J362" s="74"/>
      <x:c r="K362" s="74"/>
      <x:c r="L362" s="74"/>
      <x:c r="M362" s="91"/>
      <x:c r="N362" s="91"/>
      <x:c r="O362" s="91"/>
      <x:c r="P362" s="91"/>
      <x:c r="Q362" s="85"/>
      <x:c r="S362" s="86"/>
      <x:c r="T362" s="32"/>
    </x:row>
    <x:row r="363">
      <x:c r="A363" s="87"/>
      <x:c r="B363" s="88"/>
      <x:c r="D363" s="32"/>
      <x:c r="I363" s="74"/>
      <x:c r="J363" s="74"/>
      <x:c r="K363" s="74"/>
      <x:c r="L363" s="74"/>
      <x:c r="M363" s="91"/>
      <x:c r="N363" s="91"/>
      <x:c r="O363" s="91"/>
      <x:c r="P363" s="91"/>
      <x:c r="Q363" s="85"/>
      <x:c r="S363" s="86"/>
      <x:c r="T363" s="32"/>
    </x:row>
    <x:row r="364">
      <x:c r="A364" s="87"/>
      <x:c r="B364" s="88"/>
      <x:c r="D364" s="32"/>
      <x:c r="I364" s="74"/>
      <x:c r="J364" s="74"/>
      <x:c r="K364" s="74"/>
      <x:c r="L364" s="74"/>
      <x:c r="M364" s="91"/>
      <x:c r="N364" s="91"/>
      <x:c r="O364" s="91"/>
      <x:c r="P364" s="91"/>
      <x:c r="Q364" s="85"/>
      <x:c r="S364" s="86"/>
      <x:c r="T364" s="32"/>
    </x:row>
    <x:row r="365">
      <x:c r="A365" s="87"/>
      <x:c r="B365" s="88"/>
      <x:c r="D365" s="32"/>
      <x:c r="I365" s="74"/>
      <x:c r="J365" s="74"/>
      <x:c r="K365" s="74"/>
      <x:c r="L365" s="74"/>
      <x:c r="M365" s="91"/>
      <x:c r="N365" s="91"/>
      <x:c r="O365" s="91"/>
      <x:c r="P365" s="91"/>
      <x:c r="Q365" s="85"/>
      <x:c r="S365" s="86"/>
      <x:c r="T365" s="32"/>
    </x:row>
    <x:row r="366">
      <x:c r="A366" s="87"/>
      <x:c r="B366" s="88"/>
      <x:c r="D366" s="32"/>
      <x:c r="I366" s="74"/>
      <x:c r="J366" s="74"/>
      <x:c r="K366" s="74"/>
      <x:c r="L366" s="74"/>
      <x:c r="M366" s="91"/>
      <x:c r="N366" s="91"/>
      <x:c r="O366" s="91"/>
      <x:c r="P366" s="91"/>
      <x:c r="Q366" s="85"/>
      <x:c r="S366" s="86"/>
      <x:c r="T366" s="32"/>
    </x:row>
    <x:row r="367">
      <x:c r="A367" s="87"/>
      <x:c r="B367" s="88"/>
      <x:c r="D367" s="32"/>
      <x:c r="I367" s="74"/>
      <x:c r="J367" s="74"/>
      <x:c r="K367" s="74"/>
      <x:c r="L367" s="74"/>
      <x:c r="M367" s="91"/>
      <x:c r="N367" s="91"/>
      <x:c r="O367" s="91"/>
      <x:c r="P367" s="91"/>
      <x:c r="Q367" s="85"/>
      <x:c r="S367" s="86"/>
      <x:c r="T367" s="32"/>
    </x:row>
    <x:row r="368">
      <x:c r="A368" s="87"/>
      <x:c r="B368" s="88"/>
      <x:c r="D368" s="32"/>
      <x:c r="I368" s="74"/>
      <x:c r="J368" s="74"/>
      <x:c r="K368" s="74"/>
      <x:c r="L368" s="74"/>
      <x:c r="M368" s="91"/>
      <x:c r="N368" s="91"/>
      <x:c r="O368" s="91"/>
      <x:c r="P368" s="91"/>
      <x:c r="Q368" s="85"/>
      <x:c r="S368" s="86"/>
      <x:c r="T368" s="32"/>
    </x:row>
    <x:row r="369">
      <x:c r="A369" s="87"/>
      <x:c r="B369" s="88"/>
      <x:c r="D369" s="32"/>
      <x:c r="I369" s="74"/>
      <x:c r="J369" s="74"/>
      <x:c r="K369" s="74"/>
      <x:c r="L369" s="74"/>
      <x:c r="M369" s="91"/>
      <x:c r="N369" s="91"/>
      <x:c r="O369" s="91"/>
      <x:c r="P369" s="91"/>
      <x:c r="Q369" s="85"/>
      <x:c r="S369" s="86"/>
      <x:c r="T369" s="32"/>
    </x:row>
    <x:row r="370">
      <x:c r="A370" s="87"/>
      <x:c r="B370" s="88"/>
      <x:c r="D370" s="32"/>
      <x:c r="I370" s="74"/>
      <x:c r="J370" s="74"/>
      <x:c r="K370" s="74"/>
      <x:c r="L370" s="74"/>
      <x:c r="M370" s="91"/>
      <x:c r="N370" s="91"/>
      <x:c r="O370" s="91"/>
      <x:c r="P370" s="91"/>
      <x:c r="Q370" s="85"/>
      <x:c r="S370" s="86"/>
      <x:c r="T370" s="32"/>
    </x:row>
    <x:row r="371">
      <x:c r="A371" s="87"/>
      <x:c r="B371" s="88"/>
      <x:c r="D371" s="32"/>
      <x:c r="I371" s="74"/>
      <x:c r="J371" s="74"/>
      <x:c r="K371" s="74"/>
      <x:c r="L371" s="74"/>
      <x:c r="M371" s="91"/>
      <x:c r="N371" s="91"/>
      <x:c r="O371" s="91"/>
      <x:c r="P371" s="91"/>
      <x:c r="Q371" s="85"/>
      <x:c r="S371" s="86"/>
      <x:c r="T371" s="32"/>
    </x:row>
    <x:row r="372">
      <x:c r="A372" s="87"/>
      <x:c r="B372" s="88"/>
      <x:c r="D372" s="32"/>
      <x:c r="I372" s="74"/>
      <x:c r="J372" s="74"/>
      <x:c r="K372" s="74"/>
      <x:c r="L372" s="74"/>
      <x:c r="M372" s="91"/>
      <x:c r="N372" s="91"/>
      <x:c r="O372" s="91"/>
      <x:c r="P372" s="91"/>
      <x:c r="Q372" s="85"/>
      <x:c r="S372" s="86"/>
      <x:c r="T372" s="32"/>
    </x:row>
    <x:row r="373">
      <x:c r="A373" s="87"/>
      <x:c r="B373" s="88"/>
      <x:c r="D373" s="32"/>
      <x:c r="I373" s="74"/>
      <x:c r="J373" s="74"/>
      <x:c r="K373" s="74"/>
      <x:c r="L373" s="74"/>
      <x:c r="M373" s="91"/>
      <x:c r="N373" s="91"/>
      <x:c r="O373" s="91"/>
      <x:c r="P373" s="91"/>
      <x:c r="Q373" s="85"/>
      <x:c r="S373" s="86"/>
      <x:c r="T373" s="32"/>
    </x:row>
    <x:row r="374">
      <x:c r="A374" s="87"/>
      <x:c r="B374" s="88"/>
      <x:c r="D374" s="32"/>
      <x:c r="I374" s="74"/>
      <x:c r="J374" s="74"/>
      <x:c r="K374" s="74"/>
      <x:c r="L374" s="74"/>
      <x:c r="M374" s="91"/>
      <x:c r="N374" s="91"/>
      <x:c r="O374" s="91"/>
      <x:c r="P374" s="91"/>
      <x:c r="Q374" s="85"/>
      <x:c r="S374" s="86"/>
      <x:c r="T374" s="32"/>
    </x:row>
    <x:row r="375">
      <x:c r="A375" s="87"/>
      <x:c r="B375" s="88"/>
      <x:c r="D375" s="32"/>
      <x:c r="I375" s="74"/>
      <x:c r="J375" s="74"/>
      <x:c r="K375" s="74"/>
      <x:c r="L375" s="74"/>
      <x:c r="M375" s="91"/>
      <x:c r="N375" s="91"/>
      <x:c r="O375" s="91"/>
      <x:c r="P375" s="91"/>
      <x:c r="Q375" s="85"/>
      <x:c r="S375" s="86"/>
      <x:c r="T375" s="32"/>
    </x:row>
    <x:row r="376">
      <x:c r="A376" s="87"/>
      <x:c r="B376" s="88"/>
      <x:c r="D376" s="32"/>
      <x:c r="I376" s="74"/>
      <x:c r="J376" s="74"/>
      <x:c r="K376" s="74"/>
      <x:c r="L376" s="74"/>
      <x:c r="M376" s="91"/>
      <x:c r="N376" s="91"/>
      <x:c r="O376" s="91"/>
      <x:c r="P376" s="91"/>
      <x:c r="Q376" s="85"/>
      <x:c r="S376" s="86"/>
      <x:c r="T376" s="32"/>
    </x:row>
    <x:row r="377">
      <x:c r="A377" s="87"/>
      <x:c r="B377" s="88"/>
      <x:c r="D377" s="32"/>
      <x:c r="I377" s="74"/>
      <x:c r="J377" s="74"/>
      <x:c r="K377" s="74"/>
      <x:c r="L377" s="74"/>
      <x:c r="M377" s="91"/>
      <x:c r="N377" s="91"/>
      <x:c r="O377" s="91"/>
      <x:c r="P377" s="91"/>
      <x:c r="Q377" s="85"/>
      <x:c r="S377" s="86"/>
      <x:c r="T377" s="32"/>
    </x:row>
    <x:row r="378">
      <x:c r="A378" s="87"/>
      <x:c r="B378" s="88"/>
      <x:c r="D378" s="32"/>
      <x:c r="I378" s="74"/>
      <x:c r="J378" s="74"/>
      <x:c r="K378" s="74"/>
      <x:c r="L378" s="74"/>
      <x:c r="M378" s="91"/>
      <x:c r="N378" s="91"/>
      <x:c r="O378" s="91"/>
      <x:c r="P378" s="91"/>
      <x:c r="Q378" s="85"/>
      <x:c r="S378" s="86"/>
      <x:c r="T378" s="32"/>
    </x:row>
    <x:row r="379">
      <x:c r="A379" s="87"/>
      <x:c r="B379" s="88"/>
      <x:c r="D379" s="32"/>
      <x:c r="I379" s="74"/>
      <x:c r="J379" s="74"/>
      <x:c r="K379" s="74"/>
      <x:c r="L379" s="74"/>
      <x:c r="M379" s="91"/>
      <x:c r="N379" s="91"/>
      <x:c r="O379" s="91"/>
      <x:c r="P379" s="91"/>
      <x:c r="Q379" s="85"/>
      <x:c r="S379" s="86"/>
      <x:c r="T379" s="32"/>
    </x:row>
    <x:row r="380">
      <x:c r="A380" s="87"/>
      <x:c r="B380" s="88"/>
      <x:c r="D380" s="32"/>
      <x:c r="I380" s="74"/>
      <x:c r="J380" s="74"/>
      <x:c r="K380" s="74"/>
      <x:c r="L380" s="74"/>
      <x:c r="M380" s="91"/>
      <x:c r="N380" s="91"/>
      <x:c r="O380" s="91"/>
      <x:c r="P380" s="91"/>
      <x:c r="Q380" s="85"/>
      <x:c r="S380" s="86"/>
      <x:c r="T380" s="32"/>
    </x:row>
    <x:row r="381">
      <x:c r="A381" s="87"/>
      <x:c r="B381" s="88"/>
      <x:c r="D381" s="32"/>
      <x:c r="I381" s="74"/>
      <x:c r="J381" s="74"/>
      <x:c r="K381" s="74"/>
      <x:c r="L381" s="74"/>
      <x:c r="M381" s="91"/>
      <x:c r="N381" s="91"/>
      <x:c r="O381" s="91"/>
      <x:c r="P381" s="91"/>
      <x:c r="Q381" s="85"/>
      <x:c r="S381" s="86"/>
      <x:c r="T381" s="32"/>
    </x:row>
    <x:row r="382">
      <x:c r="A382" s="87"/>
      <x:c r="B382" s="88"/>
      <x:c r="D382" s="32"/>
      <x:c r="I382" s="74"/>
      <x:c r="J382" s="74"/>
      <x:c r="K382" s="74"/>
      <x:c r="L382" s="74"/>
      <x:c r="M382" s="91"/>
      <x:c r="N382" s="91"/>
      <x:c r="O382" s="91"/>
      <x:c r="P382" s="91"/>
      <x:c r="Q382" s="85"/>
      <x:c r="S382" s="86"/>
      <x:c r="T382" s="32"/>
    </x:row>
    <x:row r="383">
      <x:c r="A383" s="87"/>
      <x:c r="B383" s="88"/>
      <x:c r="D383" s="32"/>
      <x:c r="I383" s="74"/>
      <x:c r="J383" s="74"/>
      <x:c r="K383" s="74"/>
      <x:c r="L383" s="74"/>
      <x:c r="M383" s="91"/>
      <x:c r="N383" s="91"/>
      <x:c r="O383" s="91"/>
      <x:c r="P383" s="91"/>
      <x:c r="Q383" s="85"/>
      <x:c r="S383" s="86"/>
      <x:c r="T383" s="32"/>
    </x:row>
    <x:row r="384">
      <x:c r="A384" s="87"/>
      <x:c r="B384" s="88"/>
      <x:c r="D384" s="32"/>
      <x:c r="I384" s="74"/>
      <x:c r="J384" s="74"/>
      <x:c r="K384" s="74"/>
      <x:c r="L384" s="74"/>
      <x:c r="M384" s="91"/>
      <x:c r="N384" s="91"/>
      <x:c r="O384" s="91"/>
      <x:c r="P384" s="91"/>
      <x:c r="Q384" s="85"/>
      <x:c r="S384" s="86"/>
      <x:c r="T384" s="32"/>
    </x:row>
    <x:row r="385">
      <x:c r="A385" s="87"/>
      <x:c r="B385" s="88"/>
      <x:c r="D385" s="32"/>
      <x:c r="I385" s="74"/>
      <x:c r="J385" s="74"/>
      <x:c r="K385" s="74"/>
      <x:c r="L385" s="74"/>
      <x:c r="M385" s="91"/>
      <x:c r="N385" s="91"/>
      <x:c r="O385" s="91"/>
      <x:c r="P385" s="91"/>
      <x:c r="Q385" s="85"/>
      <x:c r="S385" s="86"/>
      <x:c r="T385" s="32"/>
    </x:row>
    <x:row r="386">
      <x:c r="A386" s="87"/>
      <x:c r="B386" s="88"/>
      <x:c r="D386" s="32"/>
      <x:c r="I386" s="74"/>
      <x:c r="J386" s="74"/>
      <x:c r="K386" s="74"/>
      <x:c r="L386" s="74"/>
      <x:c r="M386" s="91"/>
      <x:c r="N386" s="91"/>
      <x:c r="O386" s="91"/>
      <x:c r="P386" s="91"/>
      <x:c r="Q386" s="85"/>
      <x:c r="S386" s="86"/>
      <x:c r="T386" s="32"/>
    </x:row>
    <x:row r="387">
      <x:c r="A387" s="87"/>
      <x:c r="B387" s="88"/>
      <x:c r="D387" s="32"/>
      <x:c r="I387" s="74"/>
      <x:c r="J387" s="74"/>
      <x:c r="K387" s="74"/>
      <x:c r="L387" s="74"/>
      <x:c r="M387" s="91"/>
      <x:c r="N387" s="91"/>
      <x:c r="O387" s="91"/>
      <x:c r="P387" s="91"/>
      <x:c r="Q387" s="85"/>
      <x:c r="S387" s="86"/>
      <x:c r="T387" s="32"/>
    </x:row>
    <x:row r="388">
      <x:c r="A388" s="87"/>
      <x:c r="B388" s="88"/>
      <x:c r="D388" s="32"/>
      <x:c r="I388" s="74"/>
      <x:c r="J388" s="74"/>
      <x:c r="K388" s="74"/>
      <x:c r="L388" s="74"/>
      <x:c r="M388" s="91"/>
      <x:c r="N388" s="91"/>
      <x:c r="O388" s="91"/>
      <x:c r="P388" s="91"/>
      <x:c r="Q388" s="85"/>
      <x:c r="S388" s="86"/>
      <x:c r="T388" s="32"/>
    </x:row>
    <x:row r="389">
      <x:c r="A389" s="87"/>
      <x:c r="B389" s="88"/>
      <x:c r="D389" s="32"/>
      <x:c r="I389" s="74"/>
      <x:c r="J389" s="74"/>
      <x:c r="K389" s="74"/>
      <x:c r="L389" s="74"/>
      <x:c r="M389" s="91"/>
      <x:c r="N389" s="91"/>
      <x:c r="O389" s="91"/>
      <x:c r="P389" s="91"/>
      <x:c r="Q389" s="85"/>
      <x:c r="S389" s="86"/>
      <x:c r="T389" s="32"/>
    </x:row>
    <x:row r="390">
      <x:c r="A390" s="87"/>
      <x:c r="B390" s="88"/>
      <x:c r="D390" s="32"/>
      <x:c r="I390" s="74"/>
      <x:c r="J390" s="74"/>
      <x:c r="K390" s="74"/>
      <x:c r="L390" s="74"/>
      <x:c r="M390" s="91"/>
      <x:c r="N390" s="91"/>
      <x:c r="O390" s="91"/>
      <x:c r="P390" s="91"/>
      <x:c r="Q390" s="85"/>
      <x:c r="S390" s="86"/>
      <x:c r="T390" s="32"/>
    </x:row>
    <x:row r="391">
      <x:c r="A391" s="87"/>
      <x:c r="B391" s="88"/>
      <x:c r="D391" s="32"/>
      <x:c r="I391" s="74"/>
      <x:c r="J391" s="74"/>
      <x:c r="K391" s="74"/>
      <x:c r="L391" s="74"/>
      <x:c r="M391" s="91"/>
      <x:c r="N391" s="91"/>
      <x:c r="O391" s="91"/>
      <x:c r="P391" s="91"/>
      <x:c r="Q391" s="85"/>
      <x:c r="S391" s="86"/>
      <x:c r="T391" s="32"/>
    </x:row>
    <x:row r="392">
      <x:c r="A392" s="87"/>
      <x:c r="B392" s="88"/>
      <x:c r="D392" s="32"/>
      <x:c r="I392" s="74"/>
      <x:c r="J392" s="74"/>
      <x:c r="K392" s="74"/>
      <x:c r="L392" s="74"/>
      <x:c r="M392" s="91"/>
      <x:c r="N392" s="91"/>
      <x:c r="O392" s="91"/>
      <x:c r="P392" s="91"/>
      <x:c r="Q392" s="85"/>
      <x:c r="S392" s="86"/>
      <x:c r="T392" s="32"/>
    </x:row>
    <x:row r="393">
      <x:c r="A393" s="87"/>
      <x:c r="B393" s="88"/>
      <x:c r="D393" s="32"/>
      <x:c r="I393" s="74"/>
      <x:c r="J393" s="74"/>
      <x:c r="K393" s="74"/>
      <x:c r="L393" s="74"/>
      <x:c r="M393" s="91"/>
      <x:c r="N393" s="91"/>
      <x:c r="O393" s="91"/>
      <x:c r="P393" s="91"/>
      <x:c r="Q393" s="85"/>
      <x:c r="S393" s="86"/>
      <x:c r="T393" s="32"/>
    </x:row>
    <x:row r="394">
      <x:c r="A394" s="87"/>
      <x:c r="B394" s="88"/>
      <x:c r="D394" s="32"/>
      <x:c r="I394" s="74"/>
      <x:c r="J394" s="74"/>
      <x:c r="K394" s="74"/>
      <x:c r="L394" s="74"/>
      <x:c r="M394" s="91"/>
      <x:c r="N394" s="91"/>
      <x:c r="O394" s="91"/>
      <x:c r="P394" s="91"/>
      <x:c r="Q394" s="85"/>
      <x:c r="S394" s="86"/>
      <x:c r="T394" s="32"/>
    </x:row>
    <x:row r="395">
      <x:c r="A395" s="87"/>
      <x:c r="B395" s="88"/>
      <x:c r="D395" s="32"/>
      <x:c r="I395" s="74"/>
      <x:c r="J395" s="74"/>
      <x:c r="K395" s="74"/>
      <x:c r="L395" s="74"/>
      <x:c r="M395" s="91"/>
      <x:c r="N395" s="91"/>
      <x:c r="O395" s="91"/>
      <x:c r="P395" s="91"/>
      <x:c r="Q395" s="85"/>
      <x:c r="S395" s="86"/>
      <x:c r="T395" s="32"/>
    </x:row>
    <x:row r="396">
      <x:c r="A396" s="87"/>
      <x:c r="B396" s="88"/>
      <x:c r="D396" s="32"/>
      <x:c r="I396" s="74"/>
      <x:c r="J396" s="74"/>
      <x:c r="K396" s="74"/>
      <x:c r="L396" s="74"/>
      <x:c r="M396" s="91"/>
      <x:c r="N396" s="91"/>
      <x:c r="O396" s="91"/>
      <x:c r="P396" s="91"/>
      <x:c r="Q396" s="85"/>
      <x:c r="S396" s="86"/>
      <x:c r="T396" s="32"/>
    </x:row>
    <x:row r="397">
      <x:c r="A397" s="87"/>
      <x:c r="B397" s="88"/>
      <x:c r="D397" s="32"/>
      <x:c r="I397" s="74"/>
      <x:c r="J397" s="74"/>
      <x:c r="K397" s="74"/>
      <x:c r="L397" s="74"/>
      <x:c r="M397" s="91"/>
      <x:c r="N397" s="91"/>
      <x:c r="O397" s="91"/>
      <x:c r="P397" s="91"/>
      <x:c r="Q397" s="85"/>
      <x:c r="S397" s="86"/>
      <x:c r="T397" s="32"/>
    </x:row>
    <x:row r="398">
      <x:c r="A398" s="87"/>
      <x:c r="B398" s="88"/>
      <x:c r="D398" s="32"/>
      <x:c r="I398" s="74"/>
      <x:c r="J398" s="74"/>
      <x:c r="K398" s="74"/>
      <x:c r="L398" s="74"/>
      <x:c r="M398" s="91"/>
      <x:c r="N398" s="91"/>
      <x:c r="O398" s="91"/>
      <x:c r="P398" s="91"/>
      <x:c r="Q398" s="85"/>
      <x:c r="S398" s="86"/>
      <x:c r="T398" s="32"/>
    </x:row>
    <x:row r="399">
      <x:c r="A399" s="87"/>
      <x:c r="B399" s="88"/>
      <x:c r="D399" s="32"/>
      <x:c r="I399" s="74"/>
      <x:c r="J399" s="74"/>
      <x:c r="K399" s="74"/>
      <x:c r="L399" s="74"/>
      <x:c r="M399" s="91"/>
      <x:c r="N399" s="91"/>
      <x:c r="O399" s="91"/>
      <x:c r="P399" s="91"/>
      <x:c r="Q399" s="85"/>
      <x:c r="S399" s="86"/>
      <x:c r="T399" s="32"/>
    </x:row>
    <x:row r="400">
      <x:c r="A400" s="87"/>
      <x:c r="B400" s="88"/>
      <x:c r="D400" s="32"/>
      <x:c r="I400" s="74"/>
      <x:c r="J400" s="74"/>
      <x:c r="K400" s="74"/>
      <x:c r="L400" s="74"/>
      <x:c r="M400" s="91"/>
      <x:c r="N400" s="91"/>
      <x:c r="O400" s="91"/>
      <x:c r="P400" s="91"/>
      <x:c r="Q400" s="85"/>
      <x:c r="S400" s="86"/>
      <x:c r="T400" s="32"/>
    </x:row>
    <x:row r="401">
      <x:c r="A401" s="87"/>
      <x:c r="B401" s="88"/>
      <x:c r="D401" s="32"/>
      <x:c r="I401" s="74"/>
      <x:c r="J401" s="74"/>
      <x:c r="K401" s="74"/>
      <x:c r="L401" s="74"/>
      <x:c r="M401" s="91"/>
      <x:c r="N401" s="91"/>
      <x:c r="O401" s="91"/>
      <x:c r="P401" s="91"/>
      <x:c r="Q401" s="85"/>
      <x:c r="S401" s="86"/>
      <x:c r="T401" s="32"/>
    </x:row>
    <x:row r="402">
      <x:c r="A402" s="87"/>
      <x:c r="B402" s="88"/>
      <x:c r="D402" s="32"/>
      <x:c r="I402" s="74"/>
      <x:c r="J402" s="74"/>
      <x:c r="K402" s="74"/>
      <x:c r="L402" s="74"/>
      <x:c r="M402" s="91"/>
      <x:c r="N402" s="91"/>
      <x:c r="O402" s="91"/>
      <x:c r="P402" s="91"/>
      <x:c r="Q402" s="85"/>
      <x:c r="S402" s="86"/>
      <x:c r="T402" s="32"/>
    </x:row>
    <x:row r="403">
      <x:c r="A403" s="87"/>
      <x:c r="B403" s="88"/>
      <x:c r="D403" s="32"/>
      <x:c r="I403" s="74"/>
      <x:c r="J403" s="74"/>
      <x:c r="K403" s="74"/>
      <x:c r="L403" s="74"/>
      <x:c r="M403" s="91"/>
      <x:c r="N403" s="91"/>
      <x:c r="O403" s="91"/>
      <x:c r="P403" s="91"/>
      <x:c r="Q403" s="85"/>
      <x:c r="S403" s="86"/>
      <x:c r="T403" s="32"/>
    </x:row>
    <x:row r="404">
      <x:c r="A404" s="87"/>
      <x:c r="B404" s="88"/>
      <x:c r="D404" s="32"/>
      <x:c r="I404" s="74"/>
      <x:c r="J404" s="74"/>
      <x:c r="K404" s="74"/>
      <x:c r="L404" s="74"/>
      <x:c r="M404" s="91"/>
      <x:c r="N404" s="91"/>
      <x:c r="O404" s="91"/>
      <x:c r="P404" s="91"/>
      <x:c r="Q404" s="85"/>
      <x:c r="S404" s="86"/>
      <x:c r="T404" s="32"/>
    </x:row>
    <x:row r="405">
      <x:c r="A405" s="87"/>
      <x:c r="B405" s="88"/>
      <x:c r="D405" s="32"/>
      <x:c r="I405" s="74"/>
      <x:c r="J405" s="74"/>
      <x:c r="K405" s="74"/>
      <x:c r="L405" s="74"/>
      <x:c r="M405" s="91"/>
      <x:c r="N405" s="91"/>
      <x:c r="O405" s="91"/>
      <x:c r="P405" s="91"/>
      <x:c r="Q405" s="85"/>
      <x:c r="S405" s="86"/>
      <x:c r="T405" s="32"/>
    </x:row>
    <x:row r="406">
      <x:c r="A406" s="87"/>
      <x:c r="B406" s="88"/>
      <x:c r="D406" s="32"/>
      <x:c r="I406" s="74"/>
      <x:c r="J406" s="74"/>
      <x:c r="K406" s="74"/>
      <x:c r="L406" s="74"/>
      <x:c r="M406" s="91"/>
      <x:c r="N406" s="91"/>
      <x:c r="O406" s="91"/>
      <x:c r="P406" s="91"/>
      <x:c r="Q406" s="85"/>
      <x:c r="S406" s="86"/>
      <x:c r="T406" s="32"/>
    </x:row>
    <x:row r="407">
      <x:c r="A407" s="87"/>
      <x:c r="B407" s="88"/>
      <x:c r="D407" s="32"/>
      <x:c r="I407" s="74"/>
      <x:c r="J407" s="74"/>
      <x:c r="K407" s="74"/>
      <x:c r="L407" s="74"/>
      <x:c r="M407" s="91"/>
      <x:c r="N407" s="91"/>
      <x:c r="O407" s="91"/>
      <x:c r="P407" s="91"/>
      <x:c r="Q407" s="85"/>
      <x:c r="S407" s="86"/>
      <x:c r="T407" s="32"/>
    </x:row>
    <x:row r="408">
      <x:c r="A408" s="87"/>
      <x:c r="B408" s="88"/>
      <x:c r="D408" s="32"/>
      <x:c r="I408" s="74"/>
      <x:c r="J408" s="74"/>
      <x:c r="K408" s="74"/>
      <x:c r="L408" s="74"/>
      <x:c r="M408" s="91"/>
      <x:c r="N408" s="91"/>
      <x:c r="O408" s="91"/>
      <x:c r="P408" s="91"/>
      <x:c r="Q408" s="85"/>
      <x:c r="S408" s="86"/>
      <x:c r="T408" s="32"/>
    </x:row>
    <x:row r="409">
      <x:c r="A409" s="87"/>
      <x:c r="B409" s="88"/>
      <x:c r="D409" s="32"/>
      <x:c r="I409" s="74"/>
      <x:c r="J409" s="74"/>
      <x:c r="K409" s="74"/>
      <x:c r="L409" s="74"/>
      <x:c r="M409" s="91"/>
      <x:c r="N409" s="91"/>
      <x:c r="O409" s="91"/>
      <x:c r="P409" s="91"/>
      <x:c r="Q409" s="85"/>
      <x:c r="S409" s="86"/>
      <x:c r="T409" s="32"/>
    </x:row>
    <x:row r="410">
      <x:c r="A410" s="87"/>
      <x:c r="B410" s="88"/>
      <x:c r="D410" s="32"/>
      <x:c r="I410" s="74"/>
      <x:c r="J410" s="74"/>
      <x:c r="K410" s="74"/>
      <x:c r="L410" s="74"/>
      <x:c r="M410" s="91"/>
      <x:c r="N410" s="91"/>
      <x:c r="O410" s="91"/>
      <x:c r="P410" s="91"/>
      <x:c r="Q410" s="85"/>
      <x:c r="S410" s="86"/>
      <x:c r="T410" s="32"/>
    </x:row>
    <x:row r="411">
      <x:c r="A411" s="87"/>
      <x:c r="B411" s="88"/>
      <x:c r="D411" s="32"/>
      <x:c r="I411" s="74"/>
      <x:c r="J411" s="74"/>
      <x:c r="K411" s="74"/>
      <x:c r="L411" s="74"/>
      <x:c r="M411" s="91"/>
      <x:c r="N411" s="91"/>
      <x:c r="O411" s="91"/>
      <x:c r="P411" s="91"/>
      <x:c r="Q411" s="85"/>
      <x:c r="S411" s="86"/>
      <x:c r="T411" s="32"/>
    </x:row>
    <x:row r="412">
      <x:c r="A412" s="87"/>
      <x:c r="B412" s="88"/>
      <x:c r="D412" s="32"/>
      <x:c r="I412" s="74"/>
      <x:c r="J412" s="74"/>
      <x:c r="K412" s="74"/>
      <x:c r="L412" s="74"/>
      <x:c r="M412" s="91"/>
      <x:c r="N412" s="91"/>
      <x:c r="O412" s="91"/>
      <x:c r="P412" s="91"/>
      <x:c r="Q412" s="85"/>
      <x:c r="S412" s="86"/>
      <x:c r="T412" s="32"/>
    </x:row>
    <x:row r="413">
      <x:c r="A413" s="87"/>
      <x:c r="B413" s="88"/>
      <x:c r="D413" s="32"/>
      <x:c r="I413" s="74"/>
      <x:c r="J413" s="74"/>
      <x:c r="K413" s="74"/>
      <x:c r="L413" s="74"/>
      <x:c r="M413" s="91"/>
      <x:c r="N413" s="91"/>
      <x:c r="O413" s="91"/>
      <x:c r="P413" s="91"/>
      <x:c r="Q413" s="85"/>
      <x:c r="S413" s="86"/>
      <x:c r="T413" s="32"/>
    </x:row>
    <x:row r="414">
      <x:c r="A414" s="87"/>
      <x:c r="B414" s="88"/>
      <x:c r="D414" s="32"/>
      <x:c r="I414" s="74"/>
      <x:c r="J414" s="74"/>
      <x:c r="K414" s="74"/>
      <x:c r="L414" s="74"/>
      <x:c r="M414" s="91"/>
      <x:c r="N414" s="91"/>
      <x:c r="O414" s="91"/>
      <x:c r="P414" s="91"/>
      <x:c r="Q414" s="85"/>
      <x:c r="S414" s="86"/>
      <x:c r="T414" s="32"/>
    </x:row>
    <x:row r="415">
      <x:c r="A415" s="87"/>
      <x:c r="B415" s="88"/>
      <x:c r="D415" s="32"/>
      <x:c r="I415" s="74"/>
      <x:c r="J415" s="74"/>
      <x:c r="K415" s="74"/>
      <x:c r="L415" s="74"/>
      <x:c r="M415" s="91"/>
      <x:c r="N415" s="91"/>
      <x:c r="O415" s="91"/>
      <x:c r="P415" s="91"/>
      <x:c r="Q415" s="85"/>
      <x:c r="S415" s="86"/>
      <x:c r="T415" s="32"/>
    </x:row>
    <x:row r="416">
      <x:c r="A416" s="87"/>
      <x:c r="B416" s="88"/>
      <x:c r="D416" s="32"/>
      <x:c r="I416" s="74"/>
      <x:c r="J416" s="74"/>
      <x:c r="K416" s="74"/>
      <x:c r="L416" s="74"/>
      <x:c r="M416" s="91"/>
      <x:c r="N416" s="91"/>
      <x:c r="O416" s="91"/>
      <x:c r="P416" s="91"/>
      <x:c r="Q416" s="85"/>
      <x:c r="S416" s="86"/>
      <x:c r="T416" s="32"/>
    </x:row>
    <x:row r="417">
      <x:c r="A417" s="87"/>
      <x:c r="B417" s="88"/>
      <x:c r="D417" s="32"/>
      <x:c r="I417" s="74"/>
      <x:c r="J417" s="74"/>
      <x:c r="K417" s="74"/>
      <x:c r="L417" s="74"/>
      <x:c r="M417" s="91"/>
      <x:c r="N417" s="91"/>
      <x:c r="O417" s="91"/>
      <x:c r="P417" s="91"/>
      <x:c r="Q417" s="85"/>
      <x:c r="S417" s="86"/>
      <x:c r="T417" s="32"/>
    </x:row>
    <x:row r="418">
      <x:c r="A418" s="87"/>
      <x:c r="B418" s="88"/>
      <x:c r="D418" s="32"/>
      <x:c r="I418" s="74"/>
      <x:c r="J418" s="74"/>
      <x:c r="K418" s="74"/>
      <x:c r="L418" s="74"/>
      <x:c r="M418" s="91"/>
      <x:c r="N418" s="91"/>
      <x:c r="O418" s="91"/>
      <x:c r="P418" s="91"/>
      <x:c r="Q418" s="85"/>
      <x:c r="S418" s="86"/>
      <x:c r="T418" s="32"/>
    </x:row>
    <x:row r="419">
      <x:c r="A419" s="87"/>
      <x:c r="B419" s="88"/>
      <x:c r="D419" s="32"/>
      <x:c r="I419" s="74"/>
      <x:c r="J419" s="74"/>
      <x:c r="K419" s="74"/>
      <x:c r="L419" s="74"/>
      <x:c r="M419" s="91"/>
      <x:c r="N419" s="91"/>
      <x:c r="O419" s="91"/>
      <x:c r="P419" s="91"/>
      <x:c r="Q419" s="85"/>
      <x:c r="S419" s="86"/>
      <x:c r="T419" s="32"/>
    </x:row>
    <x:row r="420">
      <x:c r="A420" s="87"/>
      <x:c r="B420" s="88"/>
      <x:c r="D420" s="32"/>
      <x:c r="I420" s="74"/>
      <x:c r="J420" s="74"/>
      <x:c r="K420" s="74"/>
      <x:c r="L420" s="74"/>
      <x:c r="M420" s="91"/>
      <x:c r="N420" s="91"/>
      <x:c r="O420" s="91"/>
      <x:c r="P420" s="91"/>
      <x:c r="Q420" s="85"/>
      <x:c r="S420" s="86"/>
      <x:c r="T420" s="32"/>
    </x:row>
    <x:row r="421">
      <x:c r="A421" s="87"/>
      <x:c r="B421" s="88"/>
      <x:c r="D421" s="32"/>
      <x:c r="I421" s="74"/>
      <x:c r="J421" s="74"/>
      <x:c r="K421" s="74"/>
      <x:c r="L421" s="74"/>
      <x:c r="M421" s="91"/>
      <x:c r="N421" s="91"/>
      <x:c r="O421" s="91"/>
      <x:c r="P421" s="91"/>
      <x:c r="Q421" s="85"/>
      <x:c r="S421" s="86"/>
      <x:c r="T421" s="32"/>
    </x:row>
    <x:row r="422">
      <x:c r="A422" s="87"/>
      <x:c r="B422" s="88"/>
      <x:c r="D422" s="32"/>
      <x:c r="I422" s="74"/>
      <x:c r="J422" s="74"/>
      <x:c r="K422" s="74"/>
      <x:c r="L422" s="74"/>
      <x:c r="M422" s="91"/>
      <x:c r="N422" s="91"/>
      <x:c r="O422" s="91"/>
      <x:c r="P422" s="91"/>
      <x:c r="Q422" s="85"/>
      <x:c r="S422" s="86"/>
      <x:c r="T422" s="32"/>
    </x:row>
    <x:row r="423">
      <x:c r="A423" s="87"/>
      <x:c r="B423" s="88"/>
      <x:c r="D423" s="32"/>
      <x:c r="I423" s="74"/>
      <x:c r="J423" s="74"/>
      <x:c r="K423" s="74"/>
      <x:c r="L423" s="74"/>
      <x:c r="M423" s="91"/>
      <x:c r="N423" s="91"/>
      <x:c r="O423" s="91"/>
      <x:c r="P423" s="91"/>
      <x:c r="Q423" s="85"/>
      <x:c r="S423" s="86"/>
      <x:c r="T423" s="32"/>
    </x:row>
    <x:row r="424">
      <x:c r="A424" s="87"/>
      <x:c r="B424" s="88"/>
      <x:c r="D424" s="32"/>
      <x:c r="I424" s="74"/>
      <x:c r="J424" s="74"/>
      <x:c r="K424" s="74"/>
      <x:c r="L424" s="74"/>
      <x:c r="M424" s="91"/>
      <x:c r="N424" s="91"/>
      <x:c r="O424" s="91"/>
      <x:c r="P424" s="91"/>
      <x:c r="Q424" s="85"/>
      <x:c r="S424" s="86"/>
      <x:c r="T424" s="32"/>
    </x:row>
    <x:row r="425">
      <x:c r="A425" s="87"/>
      <x:c r="B425" s="88"/>
      <x:c r="D425" s="32"/>
      <x:c r="I425" s="74"/>
      <x:c r="J425" s="74"/>
      <x:c r="K425" s="74"/>
      <x:c r="L425" s="74"/>
      <x:c r="M425" s="91"/>
      <x:c r="N425" s="91"/>
      <x:c r="O425" s="91"/>
      <x:c r="P425" s="91"/>
      <x:c r="Q425" s="85"/>
      <x:c r="S425" s="86"/>
      <x:c r="T425" s="32"/>
    </x:row>
    <x:row r="426">
      <x:c r="A426" s="87"/>
      <x:c r="B426" s="88"/>
      <x:c r="D426" s="32"/>
      <x:c r="I426" s="74"/>
      <x:c r="J426" s="74"/>
      <x:c r="K426" s="74"/>
      <x:c r="L426" s="74"/>
      <x:c r="M426" s="91"/>
      <x:c r="N426" s="91"/>
      <x:c r="O426" s="91"/>
      <x:c r="P426" s="91"/>
      <x:c r="Q426" s="85"/>
      <x:c r="S426" s="86"/>
      <x:c r="T426" s="32"/>
    </x:row>
    <x:row r="427">
      <x:c r="A427" s="87"/>
      <x:c r="B427" s="88"/>
      <x:c r="D427" s="32"/>
      <x:c r="I427" s="74"/>
      <x:c r="J427" s="74"/>
      <x:c r="K427" s="74"/>
      <x:c r="L427" s="74"/>
      <x:c r="M427" s="91"/>
      <x:c r="N427" s="91"/>
      <x:c r="O427" s="91"/>
      <x:c r="P427" s="91"/>
      <x:c r="Q427" s="85"/>
      <x:c r="S427" s="86"/>
      <x:c r="T427" s="32"/>
    </x:row>
    <x:row r="428">
      <x:c r="A428" s="87"/>
      <x:c r="B428" s="88"/>
      <x:c r="D428" s="32"/>
      <x:c r="I428" s="74"/>
      <x:c r="J428" s="74"/>
      <x:c r="K428" s="74"/>
      <x:c r="L428" s="74"/>
      <x:c r="M428" s="91"/>
      <x:c r="N428" s="91"/>
      <x:c r="O428" s="91"/>
      <x:c r="P428" s="91"/>
      <x:c r="Q428" s="85"/>
      <x:c r="S428" s="86"/>
      <x:c r="T428" s="32"/>
    </x:row>
    <x:row r="429">
      <x:c r="A429" s="87"/>
      <x:c r="B429" s="88"/>
      <x:c r="D429" s="32"/>
      <x:c r="I429" s="74"/>
      <x:c r="J429" s="74"/>
      <x:c r="K429" s="74"/>
      <x:c r="L429" s="74"/>
      <x:c r="M429" s="91"/>
      <x:c r="N429" s="91"/>
      <x:c r="O429" s="91"/>
      <x:c r="P429" s="91"/>
      <x:c r="Q429" s="85"/>
      <x:c r="S429" s="86"/>
      <x:c r="T429" s="32"/>
    </x:row>
    <x:row r="430">
      <x:c r="A430" s="87"/>
      <x:c r="B430" s="88"/>
      <x:c r="D430" s="32"/>
      <x:c r="I430" s="74"/>
      <x:c r="J430" s="74"/>
      <x:c r="K430" s="74"/>
      <x:c r="L430" s="74"/>
      <x:c r="M430" s="91"/>
      <x:c r="N430" s="91"/>
      <x:c r="O430" s="91"/>
      <x:c r="P430" s="91"/>
      <x:c r="Q430" s="85"/>
      <x:c r="S430" s="86"/>
      <x:c r="T430" s="32"/>
    </x:row>
    <x:row r="431">
      <x:c r="A431" s="87"/>
      <x:c r="B431" s="88"/>
      <x:c r="D431" s="32"/>
      <x:c r="I431" s="74"/>
      <x:c r="J431" s="74"/>
      <x:c r="K431" s="74"/>
      <x:c r="L431" s="74"/>
      <x:c r="M431" s="91"/>
      <x:c r="N431" s="91"/>
      <x:c r="O431" s="91"/>
      <x:c r="P431" s="91"/>
      <x:c r="Q431" s="85"/>
      <x:c r="S431" s="86"/>
      <x:c r="T431" s="32"/>
    </x:row>
    <x:row r="432">
      <x:c r="A432" s="87"/>
      <x:c r="B432" s="88"/>
      <x:c r="D432" s="32"/>
      <x:c r="I432" s="74"/>
      <x:c r="J432" s="74"/>
      <x:c r="K432" s="74"/>
      <x:c r="L432" s="74"/>
      <x:c r="M432" s="91"/>
      <x:c r="N432" s="91"/>
      <x:c r="O432" s="91"/>
      <x:c r="P432" s="91"/>
      <x:c r="Q432" s="85"/>
      <x:c r="S432" s="86"/>
      <x:c r="T432" s="32"/>
    </x:row>
    <x:row r="433">
      <x:c r="A433" s="87"/>
      <x:c r="B433" s="88"/>
      <x:c r="D433" s="32"/>
      <x:c r="I433" s="74"/>
      <x:c r="J433" s="74"/>
      <x:c r="K433" s="74"/>
      <x:c r="L433" s="74"/>
      <x:c r="M433" s="91"/>
      <x:c r="N433" s="91"/>
      <x:c r="O433" s="91"/>
      <x:c r="P433" s="91"/>
      <x:c r="Q433" s="85"/>
      <x:c r="S433" s="86"/>
      <x:c r="T433" s="32"/>
    </x:row>
    <x:row r="434">
      <x:c r="A434" s="87"/>
      <x:c r="B434" s="88"/>
      <x:c r="D434" s="32"/>
      <x:c r="I434" s="74"/>
      <x:c r="J434" s="74"/>
      <x:c r="K434" s="74"/>
      <x:c r="L434" s="74"/>
      <x:c r="M434" s="91"/>
      <x:c r="N434" s="91"/>
      <x:c r="O434" s="91"/>
      <x:c r="P434" s="91"/>
      <x:c r="Q434" s="85"/>
      <x:c r="S434" s="86"/>
      <x:c r="T434" s="32"/>
    </x:row>
    <x:row r="435">
      <x:c r="A435" s="87"/>
      <x:c r="B435" s="88"/>
      <x:c r="D435" s="32"/>
      <x:c r="I435" s="74"/>
      <x:c r="J435" s="74"/>
      <x:c r="K435" s="74"/>
      <x:c r="L435" s="74"/>
      <x:c r="M435" s="91"/>
      <x:c r="N435" s="91"/>
      <x:c r="O435" s="91"/>
      <x:c r="P435" s="91"/>
      <x:c r="Q435" s="85"/>
      <x:c r="S435" s="86"/>
      <x:c r="T435" s="32"/>
    </x:row>
    <x:row r="436">
      <x:c r="A436" s="87"/>
      <x:c r="B436" s="88"/>
      <x:c r="D436" s="32"/>
      <x:c r="I436" s="74"/>
      <x:c r="J436" s="74"/>
      <x:c r="K436" s="74"/>
      <x:c r="L436" s="74"/>
      <x:c r="M436" s="91"/>
      <x:c r="N436" s="91"/>
      <x:c r="O436" s="91"/>
      <x:c r="P436" s="91"/>
      <x:c r="Q436" s="85"/>
      <x:c r="S436" s="86"/>
      <x:c r="T436" s="32"/>
    </x:row>
    <x:row r="437">
      <x:c r="A437" s="87"/>
      <x:c r="B437" s="88"/>
      <x:c r="D437" s="32"/>
      <x:c r="I437" s="74"/>
      <x:c r="J437" s="74"/>
      <x:c r="K437" s="74"/>
      <x:c r="L437" s="74"/>
      <x:c r="M437" s="91"/>
      <x:c r="N437" s="91"/>
      <x:c r="O437" s="91"/>
      <x:c r="P437" s="91"/>
      <x:c r="Q437" s="85"/>
      <x:c r="S437" s="86"/>
      <x:c r="T437" s="32"/>
    </x:row>
    <x:row r="438">
      <x:c r="A438" s="87"/>
      <x:c r="B438" s="88"/>
      <x:c r="D438" s="32"/>
      <x:c r="I438" s="74"/>
      <x:c r="J438" s="74"/>
      <x:c r="K438" s="74"/>
      <x:c r="L438" s="74"/>
      <x:c r="M438" s="91"/>
      <x:c r="N438" s="91"/>
      <x:c r="O438" s="91"/>
      <x:c r="P438" s="91"/>
      <x:c r="Q438" s="85"/>
      <x:c r="S438" s="86"/>
      <x:c r="T438" s="32"/>
    </x:row>
    <x:row r="439">
      <x:c r="A439" s="87"/>
      <x:c r="B439" s="88"/>
      <x:c r="D439" s="32"/>
      <x:c r="I439" s="74"/>
      <x:c r="J439" s="74"/>
      <x:c r="K439" s="74"/>
      <x:c r="L439" s="74"/>
      <x:c r="M439" s="91"/>
      <x:c r="N439" s="91"/>
      <x:c r="O439" s="91"/>
      <x:c r="P439" s="91"/>
      <x:c r="Q439" s="85"/>
      <x:c r="S439" s="86"/>
      <x:c r="T439" s="32"/>
    </x:row>
    <x:row r="440">
      <x:c r="A440" s="87"/>
      <x:c r="B440" s="88"/>
      <x:c r="D440" s="32"/>
      <x:c r="I440" s="74"/>
      <x:c r="J440" s="74"/>
      <x:c r="K440" s="74"/>
      <x:c r="L440" s="74"/>
      <x:c r="M440" s="91"/>
      <x:c r="N440" s="91"/>
      <x:c r="O440" s="91"/>
      <x:c r="P440" s="91"/>
      <x:c r="Q440" s="85"/>
      <x:c r="S440" s="86"/>
      <x:c r="T440" s="32"/>
    </x:row>
    <x:row r="441">
      <x:c r="A441" s="87"/>
      <x:c r="B441" s="88"/>
      <x:c r="D441" s="32"/>
      <x:c r="I441" s="74"/>
      <x:c r="J441" s="74"/>
      <x:c r="K441" s="74"/>
      <x:c r="L441" s="74"/>
      <x:c r="M441" s="91"/>
      <x:c r="N441" s="91"/>
      <x:c r="O441" s="91"/>
      <x:c r="P441" s="91"/>
      <x:c r="Q441" s="85"/>
      <x:c r="S441" s="86"/>
      <x:c r="T441" s="32"/>
    </x:row>
    <x:row r="442">
      <x:c r="A442" s="87"/>
      <x:c r="B442" s="88"/>
      <x:c r="D442" s="32"/>
      <x:c r="I442" s="74"/>
      <x:c r="J442" s="74"/>
      <x:c r="K442" s="74"/>
      <x:c r="L442" s="74"/>
      <x:c r="M442" s="91"/>
      <x:c r="N442" s="91"/>
      <x:c r="O442" s="91"/>
      <x:c r="P442" s="91"/>
      <x:c r="Q442" s="85"/>
      <x:c r="S442" s="86"/>
      <x:c r="T442" s="32"/>
    </x:row>
    <x:row r="443">
      <x:c r="A443" s="87"/>
      <x:c r="B443" s="88"/>
      <x:c r="D443" s="32"/>
      <x:c r="I443" s="74"/>
      <x:c r="J443" s="74"/>
      <x:c r="K443" s="74"/>
      <x:c r="L443" s="74"/>
      <x:c r="M443" s="91"/>
      <x:c r="N443" s="91"/>
      <x:c r="O443" s="91"/>
      <x:c r="P443" s="91"/>
      <x:c r="Q443" s="85"/>
      <x:c r="S443" s="86"/>
      <x:c r="T443" s="32"/>
    </x:row>
    <x:row r="444">
      <x:c r="A444" s="87"/>
      <x:c r="B444" s="88"/>
      <x:c r="D444" s="32"/>
      <x:c r="I444" s="74"/>
      <x:c r="J444" s="74"/>
      <x:c r="K444" s="74"/>
      <x:c r="L444" s="74"/>
      <x:c r="M444" s="91"/>
      <x:c r="N444" s="91"/>
      <x:c r="O444" s="91"/>
      <x:c r="P444" s="91"/>
      <x:c r="Q444" s="85"/>
      <x:c r="S444" s="86"/>
      <x:c r="T444" s="32"/>
    </x:row>
    <x:row r="445">
      <x:c r="A445" s="87"/>
      <x:c r="B445" s="88"/>
      <x:c r="D445" s="32"/>
      <x:c r="I445" s="74"/>
      <x:c r="J445" s="74"/>
      <x:c r="K445" s="74"/>
      <x:c r="L445" s="74"/>
      <x:c r="M445" s="91"/>
      <x:c r="N445" s="91"/>
      <x:c r="O445" s="91"/>
      <x:c r="P445" s="91"/>
      <x:c r="Q445" s="85"/>
      <x:c r="S445" s="86"/>
      <x:c r="T445" s="32"/>
    </x:row>
    <x:row r="446">
      <x:c r="A446" s="87"/>
      <x:c r="B446" s="88"/>
      <x:c r="D446" s="32"/>
      <x:c r="I446" s="74"/>
      <x:c r="J446" s="74"/>
      <x:c r="K446" s="74"/>
      <x:c r="L446" s="74"/>
      <x:c r="M446" s="91"/>
      <x:c r="N446" s="91"/>
      <x:c r="O446" s="91"/>
      <x:c r="P446" s="91"/>
      <x:c r="Q446" s="85"/>
      <x:c r="S446" s="86"/>
      <x:c r="T446" s="32"/>
    </x:row>
    <x:row r="447">
      <x:c r="A447" s="87"/>
      <x:c r="B447" s="88"/>
      <x:c r="D447" s="32"/>
      <x:c r="I447" s="74"/>
      <x:c r="J447" s="74"/>
      <x:c r="K447" s="74"/>
      <x:c r="L447" s="74"/>
      <x:c r="M447" s="91"/>
      <x:c r="N447" s="91"/>
      <x:c r="O447" s="91"/>
      <x:c r="P447" s="91"/>
      <x:c r="Q447" s="85"/>
      <x:c r="S447" s="86"/>
      <x:c r="T447" s="32"/>
    </x:row>
    <x:row r="448">
      <x:c r="A448" s="87"/>
      <x:c r="B448" s="88"/>
      <x:c r="D448" s="32"/>
      <x:c r="I448" s="74"/>
      <x:c r="J448" s="74"/>
      <x:c r="K448" s="74"/>
      <x:c r="L448" s="74"/>
      <x:c r="M448" s="91"/>
      <x:c r="N448" s="91"/>
      <x:c r="O448" s="91"/>
      <x:c r="P448" s="91"/>
      <x:c r="Q448" s="85"/>
      <x:c r="S448" s="86"/>
      <x:c r="T448" s="32"/>
    </x:row>
    <x:row r="449">
      <x:c r="A449" s="87"/>
      <x:c r="B449" s="88"/>
      <x:c r="D449" s="32"/>
      <x:c r="I449" s="74"/>
      <x:c r="J449" s="74"/>
      <x:c r="K449" s="74"/>
      <x:c r="L449" s="74"/>
      <x:c r="M449" s="91"/>
      <x:c r="N449" s="91"/>
      <x:c r="O449" s="91"/>
      <x:c r="P449" s="91"/>
      <x:c r="Q449" s="85"/>
      <x:c r="S449" s="86"/>
      <x:c r="T449" s="32"/>
    </x:row>
    <x:row r="450">
      <x:c r="A450" s="87"/>
      <x:c r="B450" s="88"/>
      <x:c r="D450" s="32"/>
      <x:c r="I450" s="74"/>
      <x:c r="J450" s="74"/>
      <x:c r="K450" s="74"/>
      <x:c r="L450" s="74"/>
      <x:c r="M450" s="91"/>
      <x:c r="N450" s="91"/>
      <x:c r="O450" s="91"/>
      <x:c r="P450" s="91"/>
      <x:c r="Q450" s="85"/>
      <x:c r="S450" s="86"/>
      <x:c r="T450" s="32"/>
    </x:row>
    <x:row r="451">
      <x:c r="A451" s="87"/>
      <x:c r="B451" s="88"/>
      <x:c r="D451" s="32"/>
      <x:c r="I451" s="74"/>
      <x:c r="J451" s="74"/>
      <x:c r="K451" s="74"/>
      <x:c r="L451" s="74"/>
      <x:c r="M451" s="91"/>
      <x:c r="N451" s="91"/>
      <x:c r="O451" s="91"/>
      <x:c r="P451" s="91"/>
      <x:c r="Q451" s="85"/>
      <x:c r="S451" s="86"/>
      <x:c r="T451" s="32"/>
    </x:row>
    <x:row r="452">
      <x:c r="A452" s="87"/>
      <x:c r="B452" s="88"/>
      <x:c r="D452" s="32"/>
      <x:c r="I452" s="74"/>
      <x:c r="J452" s="74"/>
      <x:c r="K452" s="74"/>
      <x:c r="L452" s="74"/>
      <x:c r="M452" s="91"/>
      <x:c r="N452" s="91"/>
      <x:c r="O452" s="91"/>
      <x:c r="P452" s="91"/>
      <x:c r="Q452" s="85"/>
      <x:c r="S452" s="86"/>
      <x:c r="T452" s="32"/>
    </x:row>
    <x:row r="453">
      <x:c r="A453" s="87"/>
      <x:c r="B453" s="88"/>
      <x:c r="D453" s="32"/>
      <x:c r="I453" s="74"/>
      <x:c r="J453" s="74"/>
      <x:c r="K453" s="74"/>
      <x:c r="L453" s="74"/>
      <x:c r="M453" s="91"/>
      <x:c r="N453" s="91"/>
      <x:c r="O453" s="91"/>
      <x:c r="P453" s="91"/>
      <x:c r="Q453" s="85"/>
      <x:c r="S453" s="86"/>
      <x:c r="T453" s="32"/>
    </x:row>
    <x:row r="454">
      <x:c r="A454" s="87"/>
      <x:c r="B454" s="88"/>
      <x:c r="D454" s="32"/>
      <x:c r="I454" s="74"/>
      <x:c r="J454" s="74"/>
      <x:c r="K454" s="74"/>
      <x:c r="L454" s="74"/>
      <x:c r="M454" s="91"/>
      <x:c r="N454" s="91"/>
      <x:c r="O454" s="91"/>
      <x:c r="P454" s="91"/>
      <x:c r="Q454" s="85"/>
      <x:c r="S454" s="86"/>
      <x:c r="T454" s="32"/>
    </x:row>
    <x:row r="455">
      <x:c r="A455" s="87"/>
      <x:c r="B455" s="88"/>
      <x:c r="D455" s="32"/>
      <x:c r="I455" s="74"/>
      <x:c r="J455" s="74"/>
      <x:c r="K455" s="74"/>
      <x:c r="L455" s="74"/>
      <x:c r="M455" s="91"/>
      <x:c r="N455" s="91"/>
      <x:c r="O455" s="91"/>
      <x:c r="P455" s="91"/>
      <x:c r="Q455" s="85"/>
      <x:c r="S455" s="86"/>
      <x:c r="T455" s="32"/>
    </x:row>
    <x:row r="456">
      <x:c r="A456" s="87"/>
      <x:c r="B456" s="88"/>
      <x:c r="D456" s="32"/>
      <x:c r="I456" s="74"/>
      <x:c r="J456" s="74"/>
      <x:c r="K456" s="74"/>
      <x:c r="L456" s="74"/>
      <x:c r="M456" s="91"/>
      <x:c r="N456" s="91"/>
      <x:c r="O456" s="91"/>
      <x:c r="P456" s="91"/>
      <x:c r="Q456" s="85"/>
      <x:c r="S456" s="86"/>
      <x:c r="T456" s="32"/>
    </x:row>
    <x:row r="457">
      <x:c r="A457" s="87"/>
      <x:c r="B457" s="88"/>
      <x:c r="D457" s="32"/>
      <x:c r="I457" s="74"/>
      <x:c r="J457" s="74"/>
      <x:c r="K457" s="74"/>
      <x:c r="L457" s="74"/>
      <x:c r="M457" s="91"/>
      <x:c r="N457" s="91"/>
      <x:c r="O457" s="91"/>
      <x:c r="P457" s="91"/>
      <x:c r="Q457" s="85"/>
      <x:c r="S457" s="86"/>
      <x:c r="T457" s="32"/>
    </x:row>
    <x:row r="458">
      <x:c r="A458" s="87"/>
      <x:c r="B458" s="88"/>
      <x:c r="D458" s="32"/>
      <x:c r="I458" s="74"/>
      <x:c r="J458" s="74"/>
      <x:c r="K458" s="74"/>
      <x:c r="L458" s="74"/>
      <x:c r="M458" s="91"/>
      <x:c r="N458" s="91"/>
      <x:c r="O458" s="91"/>
      <x:c r="P458" s="91"/>
      <x:c r="Q458" s="85"/>
      <x:c r="S458" s="86"/>
      <x:c r="T458" s="32"/>
    </x:row>
    <x:row r="459">
      <x:c r="A459" s="87"/>
      <x:c r="B459" s="88"/>
      <x:c r="D459" s="32"/>
      <x:c r="I459" s="74"/>
      <x:c r="J459" s="74"/>
      <x:c r="K459" s="74"/>
      <x:c r="L459" s="74"/>
      <x:c r="M459" s="91"/>
      <x:c r="N459" s="91"/>
      <x:c r="O459" s="91"/>
      <x:c r="P459" s="91"/>
      <x:c r="Q459" s="85"/>
      <x:c r="S459" s="86"/>
      <x:c r="T459" s="32"/>
    </x:row>
    <x:row r="460">
      <x:c r="A460" s="87"/>
      <x:c r="B460" s="88"/>
      <x:c r="D460" s="32"/>
      <x:c r="I460" s="74"/>
      <x:c r="J460" s="74"/>
      <x:c r="K460" s="74"/>
      <x:c r="L460" s="74"/>
      <x:c r="M460" s="91"/>
      <x:c r="N460" s="91"/>
      <x:c r="O460" s="91"/>
      <x:c r="P460" s="91"/>
      <x:c r="Q460" s="85"/>
      <x:c r="S460" s="86"/>
      <x:c r="T460" s="32"/>
    </x:row>
    <x:row r="461">
      <x:c r="A461" s="87"/>
      <x:c r="B461" s="88"/>
      <x:c r="D461" s="32"/>
      <x:c r="I461" s="74"/>
      <x:c r="J461" s="74"/>
      <x:c r="K461" s="74"/>
      <x:c r="L461" s="74"/>
      <x:c r="M461" s="91"/>
      <x:c r="N461" s="91"/>
      <x:c r="O461" s="91"/>
      <x:c r="P461" s="91"/>
      <x:c r="Q461" s="85"/>
      <x:c r="S461" s="86"/>
      <x:c r="T461" s="32"/>
    </x:row>
    <x:row r="462">
      <x:c r="A462" s="87"/>
      <x:c r="B462" s="88"/>
      <x:c r="D462" s="32"/>
      <x:c r="I462" s="74"/>
      <x:c r="J462" s="74"/>
      <x:c r="K462" s="74"/>
      <x:c r="L462" s="74"/>
      <x:c r="M462" s="91"/>
      <x:c r="N462" s="91"/>
      <x:c r="O462" s="91"/>
      <x:c r="P462" s="91"/>
      <x:c r="Q462" s="85"/>
      <x:c r="S462" s="86"/>
      <x:c r="T462" s="32"/>
    </x:row>
    <x:row r="463">
      <x:c r="A463" s="87"/>
      <x:c r="B463" s="88"/>
      <x:c r="D463" s="32"/>
      <x:c r="I463" s="74"/>
      <x:c r="J463" s="74"/>
      <x:c r="K463" s="74"/>
      <x:c r="L463" s="74"/>
      <x:c r="M463" s="91"/>
      <x:c r="N463" s="91"/>
      <x:c r="O463" s="91"/>
      <x:c r="P463" s="91"/>
      <x:c r="Q463" s="85"/>
      <x:c r="S463" s="86"/>
      <x:c r="T463" s="32"/>
    </x:row>
    <x:row r="464">
      <x:c r="A464" s="87"/>
      <x:c r="B464" s="88"/>
      <x:c r="D464" s="32"/>
      <x:c r="I464" s="74"/>
      <x:c r="J464" s="74"/>
      <x:c r="K464" s="74"/>
      <x:c r="L464" s="74"/>
      <x:c r="M464" s="91"/>
      <x:c r="N464" s="91"/>
      <x:c r="O464" s="91"/>
      <x:c r="P464" s="91"/>
      <x:c r="Q464" s="85"/>
      <x:c r="S464" s="86"/>
      <x:c r="T464" s="32"/>
    </x:row>
    <x:row r="465">
      <x:c r="A465" s="87"/>
      <x:c r="B465" s="88"/>
      <x:c r="D465" s="32"/>
      <x:c r="I465" s="74"/>
      <x:c r="J465" s="74"/>
      <x:c r="K465" s="74"/>
      <x:c r="L465" s="74"/>
      <x:c r="M465" s="91"/>
      <x:c r="N465" s="91"/>
      <x:c r="O465" s="91"/>
      <x:c r="P465" s="91"/>
      <x:c r="Q465" s="85"/>
      <x:c r="S465" s="86"/>
      <x:c r="T465" s="32"/>
    </x:row>
    <x:row r="466">
      <x:c r="A466" s="87"/>
      <x:c r="B466" s="88"/>
      <x:c r="D466" s="32"/>
      <x:c r="I466" s="74"/>
      <x:c r="J466" s="74"/>
      <x:c r="K466" s="74"/>
      <x:c r="L466" s="74"/>
      <x:c r="M466" s="91"/>
      <x:c r="N466" s="91"/>
      <x:c r="O466" s="91"/>
      <x:c r="P466" s="91"/>
      <x:c r="Q466" s="85"/>
      <x:c r="S466" s="86"/>
      <x:c r="T466" s="32"/>
    </x:row>
    <x:row r="467">
      <x:c r="A467" s="87"/>
      <x:c r="B467" s="88"/>
      <x:c r="D467" s="32"/>
      <x:c r="I467" s="74"/>
      <x:c r="J467" s="74"/>
      <x:c r="K467" s="74"/>
      <x:c r="L467" s="74"/>
      <x:c r="M467" s="91"/>
      <x:c r="N467" s="91"/>
      <x:c r="O467" s="91"/>
      <x:c r="P467" s="91"/>
      <x:c r="Q467" s="85"/>
      <x:c r="S467" s="86"/>
      <x:c r="T467" s="32"/>
    </x:row>
    <x:row r="468">
      <x:c r="A468" s="87"/>
      <x:c r="B468" s="88"/>
      <x:c r="D468" s="32"/>
      <x:c r="I468" s="74"/>
      <x:c r="J468" s="74"/>
      <x:c r="K468" s="74"/>
      <x:c r="L468" s="74"/>
      <x:c r="M468" s="91"/>
      <x:c r="N468" s="91"/>
      <x:c r="O468" s="91"/>
      <x:c r="P468" s="91"/>
      <x:c r="Q468" s="85"/>
      <x:c r="S468" s="86"/>
      <x:c r="T468" s="32"/>
    </x:row>
    <x:row r="469">
      <x:c r="A469" s="87"/>
      <x:c r="B469" s="88"/>
      <x:c r="D469" s="32"/>
      <x:c r="I469" s="74"/>
      <x:c r="J469" s="74"/>
      <x:c r="K469" s="74"/>
      <x:c r="L469" s="74"/>
      <x:c r="M469" s="91"/>
      <x:c r="N469" s="91"/>
      <x:c r="O469" s="91"/>
      <x:c r="P469" s="91"/>
      <x:c r="Q469" s="85"/>
      <x:c r="S469" s="86"/>
      <x:c r="T469" s="32"/>
    </x:row>
    <x:row r="470">
      <x:c r="A470" s="87"/>
      <x:c r="B470" s="88"/>
      <x:c r="D470" s="32"/>
      <x:c r="I470" s="74"/>
      <x:c r="J470" s="74"/>
      <x:c r="K470" s="74"/>
      <x:c r="L470" s="74"/>
      <x:c r="M470" s="91"/>
      <x:c r="N470" s="91"/>
      <x:c r="O470" s="91"/>
      <x:c r="P470" s="91"/>
      <x:c r="Q470" s="85"/>
      <x:c r="S470" s="86"/>
      <x:c r="T470" s="32"/>
    </x:row>
    <x:row r="471">
      <x:c r="A471" s="87"/>
      <x:c r="B471" s="88"/>
      <x:c r="D471" s="32"/>
      <x:c r="I471" s="74"/>
      <x:c r="J471" s="74"/>
      <x:c r="K471" s="74"/>
      <x:c r="L471" s="74"/>
      <x:c r="M471" s="91"/>
      <x:c r="N471" s="91"/>
      <x:c r="O471" s="91"/>
      <x:c r="P471" s="91"/>
      <x:c r="Q471" s="85"/>
      <x:c r="S471" s="86"/>
      <x:c r="T471" s="32"/>
    </x:row>
    <x:row r="472">
      <x:c r="A472" s="87"/>
      <x:c r="B472" s="88"/>
      <x:c r="D472" s="32"/>
      <x:c r="I472" s="74"/>
      <x:c r="J472" s="74"/>
      <x:c r="K472" s="74"/>
      <x:c r="L472" s="74"/>
      <x:c r="M472" s="91"/>
      <x:c r="N472" s="91"/>
      <x:c r="O472" s="91"/>
      <x:c r="P472" s="91"/>
      <x:c r="Q472" s="85"/>
      <x:c r="S472" s="86"/>
      <x:c r="T472" s="32"/>
    </x:row>
    <x:row r="473">
      <x:c r="A473" s="87"/>
      <x:c r="B473" s="88"/>
      <x:c r="D473" s="32"/>
      <x:c r="I473" s="74"/>
      <x:c r="J473" s="74"/>
      <x:c r="K473" s="74"/>
      <x:c r="L473" s="74"/>
      <x:c r="M473" s="91"/>
      <x:c r="N473" s="91"/>
      <x:c r="O473" s="91"/>
      <x:c r="P473" s="91"/>
      <x:c r="Q473" s="85"/>
      <x:c r="S473" s="86"/>
      <x:c r="T473" s="32"/>
    </x:row>
    <x:row r="474">
      <x:c r="A474" s="87"/>
      <x:c r="B474" s="88"/>
      <x:c r="D474" s="32"/>
      <x:c r="I474" s="74"/>
      <x:c r="J474" s="74"/>
      <x:c r="K474" s="74"/>
      <x:c r="L474" s="74"/>
      <x:c r="M474" s="91"/>
      <x:c r="N474" s="91"/>
      <x:c r="O474" s="91"/>
      <x:c r="P474" s="91"/>
      <x:c r="Q474" s="85"/>
      <x:c r="S474" s="86"/>
      <x:c r="T474" s="32"/>
    </x:row>
    <x:row r="475">
      <x:c r="A475" s="87"/>
      <x:c r="B475" s="88"/>
      <x:c r="D475" s="32"/>
      <x:c r="I475" s="74"/>
      <x:c r="J475" s="74"/>
      <x:c r="K475" s="74"/>
      <x:c r="L475" s="74"/>
      <x:c r="M475" s="91"/>
      <x:c r="N475" s="91"/>
      <x:c r="O475" s="91"/>
      <x:c r="P475" s="91"/>
      <x:c r="Q475" s="85"/>
      <x:c r="S475" s="86"/>
      <x:c r="T475" s="32"/>
    </x:row>
    <x:row r="476">
      <x:c r="A476" s="87"/>
      <x:c r="B476" s="88"/>
      <x:c r="D476" s="32"/>
      <x:c r="I476" s="74"/>
      <x:c r="J476" s="74"/>
      <x:c r="K476" s="74"/>
      <x:c r="L476" s="74"/>
      <x:c r="M476" s="91"/>
      <x:c r="N476" s="91"/>
      <x:c r="O476" s="91"/>
      <x:c r="P476" s="91"/>
      <x:c r="Q476" s="85"/>
      <x:c r="S476" s="86"/>
      <x:c r="T476" s="32"/>
    </x:row>
    <x:row r="477">
      <x:c r="A477" s="87"/>
      <x:c r="B477" s="88"/>
      <x:c r="D477" s="32"/>
      <x:c r="I477" s="74"/>
      <x:c r="J477" s="74"/>
      <x:c r="K477" s="74"/>
      <x:c r="L477" s="74"/>
      <x:c r="M477" s="91"/>
      <x:c r="N477" s="91"/>
      <x:c r="O477" s="91"/>
      <x:c r="P477" s="91"/>
      <x:c r="Q477" s="85"/>
      <x:c r="S477" s="86"/>
      <x:c r="T477" s="32"/>
    </x:row>
    <x:row r="478">
      <x:c r="A478" s="87"/>
      <x:c r="B478" s="88"/>
      <x:c r="D478" s="32"/>
      <x:c r="I478" s="74"/>
      <x:c r="J478" s="74"/>
      <x:c r="K478" s="74"/>
      <x:c r="L478" s="74"/>
      <x:c r="M478" s="91"/>
      <x:c r="N478" s="91"/>
      <x:c r="O478" s="91"/>
      <x:c r="P478" s="91"/>
      <x:c r="Q478" s="85"/>
      <x:c r="S478" s="86"/>
      <x:c r="T478" s="32"/>
    </x:row>
    <x:row r="479">
      <x:c r="A479" s="87"/>
      <x:c r="B479" s="88"/>
      <x:c r="D479" s="32"/>
      <x:c r="I479" s="74"/>
      <x:c r="J479" s="74"/>
      <x:c r="K479" s="74"/>
      <x:c r="L479" s="74"/>
      <x:c r="M479" s="91"/>
      <x:c r="N479" s="91"/>
      <x:c r="O479" s="91"/>
      <x:c r="P479" s="91"/>
      <x:c r="Q479" s="85"/>
      <x:c r="S479" s="86"/>
      <x:c r="T479" s="32"/>
    </x:row>
    <x:row r="480">
      <x:c r="A480" s="87"/>
      <x:c r="B480" s="88"/>
      <x:c r="D480" s="32"/>
      <x:c r="I480" s="74"/>
      <x:c r="J480" s="74"/>
      <x:c r="K480" s="74"/>
      <x:c r="L480" s="74"/>
      <x:c r="M480" s="91"/>
      <x:c r="N480" s="91"/>
      <x:c r="O480" s="91"/>
      <x:c r="P480" s="91"/>
      <x:c r="Q480" s="85"/>
      <x:c r="S480" s="86"/>
      <x:c r="T480" s="32"/>
    </x:row>
    <x:row r="481">
      <x:c r="A481" s="87"/>
      <x:c r="B481" s="88"/>
      <x:c r="D481" s="32"/>
      <x:c r="I481" s="74"/>
      <x:c r="J481" s="74"/>
      <x:c r="K481" s="74"/>
      <x:c r="L481" s="74"/>
      <x:c r="M481" s="91"/>
      <x:c r="N481" s="91"/>
      <x:c r="O481" s="91"/>
      <x:c r="P481" s="91"/>
      <x:c r="Q481" s="85"/>
      <x:c r="S481" s="86"/>
      <x:c r="T481" s="32"/>
    </x:row>
    <x:row r="482">
      <x:c r="A482" s="87"/>
      <x:c r="B482" s="88"/>
      <x:c r="D482" s="32"/>
      <x:c r="I482" s="74"/>
      <x:c r="J482" s="74"/>
      <x:c r="K482" s="74"/>
      <x:c r="L482" s="74"/>
      <x:c r="M482" s="91"/>
      <x:c r="N482" s="91"/>
      <x:c r="O482" s="91"/>
      <x:c r="P482" s="91"/>
      <x:c r="Q482" s="85"/>
      <x:c r="S482" s="86"/>
      <x:c r="T482" s="32"/>
    </x:row>
    <x:row r="483">
      <x:c r="A483" s="87"/>
      <x:c r="B483" s="88"/>
      <x:c r="D483" s="32"/>
      <x:c r="I483" s="74"/>
      <x:c r="J483" s="74"/>
      <x:c r="K483" s="74"/>
      <x:c r="L483" s="74"/>
      <x:c r="M483" s="91"/>
      <x:c r="N483" s="91"/>
      <x:c r="O483" s="91"/>
      <x:c r="P483" s="91"/>
      <x:c r="Q483" s="85"/>
      <x:c r="S483" s="86"/>
      <x:c r="T483" s="32"/>
    </x:row>
    <x:row r="484">
      <x:c r="A484" s="87"/>
      <x:c r="B484" s="88"/>
      <x:c r="D484" s="32"/>
      <x:c r="I484" s="74"/>
      <x:c r="J484" s="74"/>
      <x:c r="K484" s="74"/>
      <x:c r="L484" s="74"/>
      <x:c r="M484" s="91"/>
      <x:c r="N484" s="91"/>
      <x:c r="O484" s="91"/>
      <x:c r="P484" s="91"/>
      <x:c r="Q484" s="85"/>
      <x:c r="S484" s="86"/>
      <x:c r="T484" s="32"/>
    </x:row>
    <x:row r="485">
      <x:c r="A485" s="87"/>
      <x:c r="B485" s="88"/>
      <x:c r="D485" s="32"/>
      <x:c r="I485" s="74"/>
      <x:c r="J485" s="74"/>
      <x:c r="K485" s="74"/>
      <x:c r="L485" s="74"/>
      <x:c r="M485" s="91"/>
      <x:c r="N485" s="91"/>
      <x:c r="O485" s="91"/>
      <x:c r="P485" s="91"/>
      <x:c r="Q485" s="85"/>
      <x:c r="S485" s="86"/>
      <x:c r="T485" s="32"/>
    </x:row>
    <x:row r="486">
      <x:c r="A486" s="87"/>
      <x:c r="B486" s="88"/>
      <x:c r="D486" s="32"/>
      <x:c r="I486" s="74"/>
      <x:c r="J486" s="74"/>
      <x:c r="K486" s="74"/>
      <x:c r="L486" s="74"/>
      <x:c r="M486" s="91"/>
      <x:c r="N486" s="91"/>
      <x:c r="O486" s="91"/>
      <x:c r="P486" s="91"/>
      <x:c r="Q486" s="85"/>
      <x:c r="S486" s="86"/>
      <x:c r="T486" s="32"/>
    </x:row>
    <x:row r="487">
      <x:c r="A487" s="87"/>
      <x:c r="B487" s="88"/>
      <x:c r="D487" s="32"/>
      <x:c r="I487" s="74"/>
      <x:c r="J487" s="74"/>
      <x:c r="K487" s="74"/>
      <x:c r="L487" s="74"/>
      <x:c r="M487" s="91"/>
      <x:c r="N487" s="91"/>
      <x:c r="O487" s="91"/>
      <x:c r="P487" s="91"/>
      <x:c r="Q487" s="85"/>
      <x:c r="S487" s="86"/>
      <x:c r="T487" s="32"/>
    </x:row>
    <x:row r="488">
      <x:c r="A488" s="87"/>
      <x:c r="B488" s="88"/>
      <x:c r="D488" s="32"/>
      <x:c r="I488" s="74"/>
      <x:c r="J488" s="74"/>
      <x:c r="K488" s="74"/>
      <x:c r="L488" s="74"/>
      <x:c r="M488" s="91"/>
      <x:c r="N488" s="91"/>
      <x:c r="O488" s="91"/>
      <x:c r="P488" s="91"/>
      <x:c r="Q488" s="85"/>
      <x:c r="S488" s="86"/>
      <x:c r="T488" s="32"/>
    </x:row>
    <x:row r="489">
      <x:c r="A489" s="87"/>
      <x:c r="B489" s="88"/>
      <x:c r="D489" s="32"/>
      <x:c r="I489" s="74"/>
      <x:c r="J489" s="74"/>
      <x:c r="K489" s="74"/>
      <x:c r="L489" s="74"/>
      <x:c r="M489" s="91"/>
      <x:c r="N489" s="91"/>
      <x:c r="O489" s="91"/>
      <x:c r="P489" s="91"/>
      <x:c r="Q489" s="85"/>
      <x:c r="S489" s="86"/>
      <x:c r="T489" s="32"/>
    </x:row>
    <x:row r="490">
      <x:c r="A490" s="87"/>
      <x:c r="B490" s="88"/>
      <x:c r="D490" s="32"/>
      <x:c r="I490" s="74"/>
      <x:c r="J490" s="74"/>
      <x:c r="K490" s="74"/>
      <x:c r="L490" s="74"/>
      <x:c r="M490" s="91"/>
      <x:c r="N490" s="91"/>
      <x:c r="O490" s="91"/>
      <x:c r="P490" s="91"/>
      <x:c r="Q490" s="85"/>
      <x:c r="S490" s="86"/>
      <x:c r="T490" s="32"/>
    </x:row>
    <x:row r="491">
      <x:c r="A491" s="87"/>
      <x:c r="B491" s="88"/>
      <x:c r="D491" s="32"/>
      <x:c r="I491" s="74"/>
      <x:c r="J491" s="74"/>
      <x:c r="K491" s="74"/>
      <x:c r="L491" s="74"/>
      <x:c r="M491" s="91"/>
      <x:c r="N491" s="91"/>
      <x:c r="O491" s="91"/>
      <x:c r="P491" s="91"/>
      <x:c r="Q491" s="85"/>
      <x:c r="S491" s="86"/>
      <x:c r="T491" s="32"/>
    </x:row>
    <x:row r="492">
      <x:c r="A492" s="87"/>
      <x:c r="B492" s="88"/>
      <x:c r="D492" s="32"/>
      <x:c r="I492" s="74"/>
      <x:c r="J492" s="74"/>
      <x:c r="K492" s="74"/>
      <x:c r="L492" s="74"/>
      <x:c r="M492" s="91"/>
      <x:c r="N492" s="91"/>
      <x:c r="O492" s="91"/>
      <x:c r="P492" s="91"/>
      <x:c r="Q492" s="85"/>
      <x:c r="S492" s="86"/>
      <x:c r="T492" s="32"/>
    </x:row>
    <x:row r="493">
      <x:c r="A493" s="87"/>
      <x:c r="B493" s="88"/>
      <x:c r="D493" s="32"/>
      <x:c r="I493" s="74"/>
      <x:c r="J493" s="74"/>
      <x:c r="K493" s="74"/>
      <x:c r="L493" s="74"/>
      <x:c r="M493" s="91"/>
      <x:c r="N493" s="91"/>
      <x:c r="O493" s="91"/>
      <x:c r="P493" s="91"/>
      <x:c r="Q493" s="85"/>
      <x:c r="S493" s="86"/>
      <x:c r="T493" s="32"/>
    </x:row>
    <x:row r="494">
      <x:c r="A494" s="87"/>
      <x:c r="B494" s="88"/>
      <x:c r="D494" s="32"/>
      <x:c r="I494" s="74"/>
      <x:c r="J494" s="74"/>
      <x:c r="K494" s="74"/>
      <x:c r="L494" s="74"/>
      <x:c r="M494" s="91"/>
      <x:c r="N494" s="91"/>
      <x:c r="O494" s="91"/>
      <x:c r="P494" s="91"/>
      <x:c r="Q494" s="85"/>
      <x:c r="S494" s="86"/>
      <x:c r="T494" s="32"/>
    </x:row>
    <x:row r="495">
      <x:c r="A495" s="87"/>
      <x:c r="B495" s="88"/>
      <x:c r="D495" s="32"/>
      <x:c r="I495" s="74"/>
      <x:c r="J495" s="74"/>
      <x:c r="K495" s="74"/>
      <x:c r="L495" s="74"/>
      <x:c r="M495" s="91"/>
      <x:c r="N495" s="91"/>
      <x:c r="O495" s="91"/>
      <x:c r="P495" s="91"/>
      <x:c r="Q495" s="85"/>
      <x:c r="S495" s="86"/>
      <x:c r="T495" s="32"/>
    </x:row>
    <x:row r="496">
      <x:c r="A496" s="87"/>
      <x:c r="B496" s="88"/>
      <x:c r="D496" s="32"/>
      <x:c r="I496" s="74"/>
      <x:c r="J496" s="74"/>
      <x:c r="K496" s="74"/>
      <x:c r="L496" s="74"/>
      <x:c r="M496" s="91"/>
      <x:c r="N496" s="91"/>
      <x:c r="O496" s="91"/>
      <x:c r="P496" s="91"/>
      <x:c r="Q496" s="85"/>
      <x:c r="S496" s="86"/>
      <x:c r="T496" s="32"/>
    </x:row>
    <x:row r="497">
      <x:c r="A497" s="87"/>
      <x:c r="B497" s="88"/>
      <x:c r="D497" s="32"/>
      <x:c r="I497" s="74"/>
      <x:c r="J497" s="74"/>
      <x:c r="K497" s="74"/>
      <x:c r="L497" s="74"/>
      <x:c r="M497" s="91"/>
      <x:c r="N497" s="91"/>
      <x:c r="O497" s="91"/>
      <x:c r="P497" s="91"/>
      <x:c r="Q497" s="85"/>
      <x:c r="S497" s="86"/>
      <x:c r="T497" s="32"/>
    </x:row>
    <x:row r="498">
      <x:c r="A498" s="87"/>
      <x:c r="B498" s="88"/>
      <x:c r="D498" s="32"/>
      <x:c r="I498" s="74"/>
      <x:c r="J498" s="74"/>
      <x:c r="K498" s="74"/>
      <x:c r="L498" s="74"/>
      <x:c r="M498" s="91"/>
      <x:c r="N498" s="91"/>
      <x:c r="O498" s="91"/>
      <x:c r="P498" s="91"/>
      <x:c r="Q498" s="85"/>
      <x:c r="S498" s="86"/>
      <x:c r="T498" s="32"/>
    </x:row>
    <x:row r="499">
      <x:c r="A499" s="87"/>
      <x:c r="B499" s="88"/>
      <x:c r="D499" s="32"/>
      <x:c r="I499" s="74"/>
      <x:c r="J499" s="74"/>
      <x:c r="K499" s="74"/>
      <x:c r="L499" s="74"/>
      <x:c r="M499" s="91"/>
      <x:c r="N499" s="91"/>
      <x:c r="O499" s="91"/>
      <x:c r="P499" s="91"/>
      <x:c r="Q499" s="85"/>
      <x:c r="S499" s="86"/>
      <x:c r="T499" s="32"/>
    </x:row>
    <x:row r="500">
      <x:c r="A500" s="87"/>
      <x:c r="B500" s="88"/>
      <x:c r="D500" s="32"/>
      <x:c r="I500" s="74"/>
      <x:c r="J500" s="74"/>
      <x:c r="K500" s="74"/>
      <x:c r="L500" s="74"/>
      <x:c r="M500" s="91"/>
      <x:c r="N500" s="91"/>
      <x:c r="O500" s="91"/>
      <x:c r="P500" s="91"/>
      <x:c r="Q500" s="85"/>
      <x:c r="S500" s="86"/>
      <x:c r="T500" s="32"/>
    </x:row>
    <x:row r="501">
      <x:c r="A501" s="87"/>
      <x:c r="B501" s="88"/>
      <x:c r="D501" s="32"/>
      <x:c r="I501" s="74"/>
      <x:c r="J501" s="74"/>
      <x:c r="K501" s="74"/>
      <x:c r="L501" s="74"/>
      <x:c r="M501" s="91"/>
      <x:c r="N501" s="91"/>
      <x:c r="O501" s="91"/>
      <x:c r="P501" s="91"/>
      <x:c r="Q501" s="85"/>
      <x:c r="S501" s="86"/>
      <x:c r="T501" s="32"/>
    </x:row>
    <x:row r="502">
      <x:c r="A502" s="87"/>
      <x:c r="B502" s="88"/>
      <x:c r="D502" s="32"/>
      <x:c r="I502" s="74"/>
      <x:c r="J502" s="74"/>
      <x:c r="K502" s="74"/>
      <x:c r="L502" s="74"/>
      <x:c r="M502" s="91"/>
      <x:c r="N502" s="91"/>
      <x:c r="O502" s="91"/>
      <x:c r="P502" s="91"/>
      <x:c r="Q502" s="85"/>
      <x:c r="S502" s="86"/>
      <x:c r="T502" s="32"/>
    </x:row>
    <x:row r="503">
      <x:c r="A503" s="87"/>
      <x:c r="B503" s="88"/>
      <x:c r="D503" s="32"/>
      <x:c r="I503" s="74"/>
      <x:c r="J503" s="74"/>
      <x:c r="K503" s="74"/>
      <x:c r="L503" s="74"/>
      <x:c r="M503" s="91"/>
      <x:c r="N503" s="91"/>
      <x:c r="O503" s="91"/>
      <x:c r="P503" s="91"/>
      <x:c r="Q503" s="85"/>
      <x:c r="S503" s="86"/>
      <x:c r="T503" s="32"/>
    </x:row>
    <x:row r="504">
      <x:c r="A504" s="87"/>
      <x:c r="B504" s="88"/>
      <x:c r="D504" s="32"/>
      <x:c r="I504" s="74"/>
      <x:c r="J504" s="74"/>
      <x:c r="K504" s="74"/>
      <x:c r="L504" s="74"/>
      <x:c r="M504" s="91"/>
      <x:c r="N504" s="91"/>
      <x:c r="O504" s="91"/>
      <x:c r="P504" s="91"/>
      <x:c r="Q504" s="85"/>
      <x:c r="S504" s="86"/>
      <x:c r="T504" s="32"/>
    </x:row>
    <x:row r="505">
      <x:c r="A505" s="87"/>
      <x:c r="B505" s="88"/>
      <x:c r="D505" s="32"/>
      <x:c r="I505" s="74"/>
      <x:c r="J505" s="74"/>
      <x:c r="K505" s="74"/>
      <x:c r="L505" s="74"/>
      <x:c r="M505" s="91"/>
      <x:c r="N505" s="91"/>
      <x:c r="O505" s="91"/>
      <x:c r="P505" s="91"/>
      <x:c r="Q505" s="85"/>
      <x:c r="S505" s="86"/>
      <x:c r="T505" s="32"/>
    </x:row>
    <x:row r="506">
      <x:c r="A506" s="87"/>
      <x:c r="B506" s="88"/>
      <x:c r="D506" s="32"/>
      <x:c r="I506" s="74"/>
      <x:c r="J506" s="74"/>
      <x:c r="K506" s="74"/>
      <x:c r="L506" s="74"/>
      <x:c r="M506" s="91"/>
      <x:c r="N506" s="91"/>
      <x:c r="O506" s="91"/>
      <x:c r="P506" s="91"/>
      <x:c r="Q506" s="85"/>
      <x:c r="S506" s="86"/>
      <x:c r="T506" s="32"/>
    </x:row>
    <x:row r="507">
      <x:c r="A507" s="87"/>
      <x:c r="B507" s="88"/>
      <x:c r="D507" s="32"/>
      <x:c r="I507" s="74"/>
      <x:c r="J507" s="74"/>
      <x:c r="K507" s="74"/>
      <x:c r="L507" s="74"/>
      <x:c r="M507" s="91"/>
      <x:c r="N507" s="91"/>
      <x:c r="O507" s="91"/>
      <x:c r="P507" s="91"/>
      <x:c r="Q507" s="85"/>
      <x:c r="S507" s="86"/>
      <x:c r="T507" s="32"/>
    </x:row>
    <x:row r="508">
      <x:c r="A508" s="87"/>
      <x:c r="B508" s="88"/>
      <x:c r="D508" s="32"/>
      <x:c r="I508" s="74"/>
      <x:c r="J508" s="74"/>
      <x:c r="K508" s="74"/>
      <x:c r="L508" s="74"/>
      <x:c r="M508" s="91"/>
      <x:c r="N508" s="91"/>
      <x:c r="O508" s="91"/>
      <x:c r="P508" s="91"/>
      <x:c r="Q508" s="85"/>
      <x:c r="S508" s="86"/>
      <x:c r="T508" s="32"/>
    </x:row>
    <x:row r="509">
      <x:c r="A509" s="87"/>
      <x:c r="B509" s="88"/>
      <x:c r="D509" s="32"/>
      <x:c r="I509" s="74"/>
      <x:c r="J509" s="74"/>
      <x:c r="K509" s="74"/>
      <x:c r="L509" s="74"/>
      <x:c r="M509" s="91"/>
      <x:c r="N509" s="91"/>
      <x:c r="O509" s="91"/>
      <x:c r="P509" s="91"/>
      <x:c r="Q509" s="85"/>
      <x:c r="S509" s="86"/>
      <x:c r="T509" s="32"/>
    </x:row>
    <x:row r="510">
      <x:c r="A510" s="87"/>
      <x:c r="B510" s="88"/>
      <x:c r="D510" s="32"/>
      <x:c r="I510" s="74"/>
      <x:c r="J510" s="74"/>
      <x:c r="K510" s="74"/>
      <x:c r="L510" s="74"/>
      <x:c r="M510" s="91"/>
      <x:c r="N510" s="91"/>
      <x:c r="O510" s="91"/>
      <x:c r="P510" s="91"/>
      <x:c r="Q510" s="85"/>
      <x:c r="S510" s="86"/>
      <x:c r="T510" s="32"/>
    </x:row>
    <x:row r="511">
      <x:c r="A511" s="87"/>
      <x:c r="B511" s="88"/>
      <x:c r="D511" s="32"/>
      <x:c r="I511" s="74"/>
      <x:c r="J511" s="74"/>
      <x:c r="K511" s="74"/>
      <x:c r="L511" s="74"/>
      <x:c r="M511" s="91"/>
      <x:c r="N511" s="91"/>
      <x:c r="O511" s="91"/>
      <x:c r="P511" s="91"/>
      <x:c r="Q511" s="85"/>
      <x:c r="S511" s="86"/>
      <x:c r="T511" s="32"/>
    </x:row>
    <x:row r="512">
      <x:c r="A512" s="87"/>
      <x:c r="B512" s="88"/>
      <x:c r="D512" s="32"/>
      <x:c r="I512" s="74"/>
      <x:c r="J512" s="74"/>
      <x:c r="K512" s="74"/>
      <x:c r="L512" s="74"/>
      <x:c r="M512" s="91"/>
      <x:c r="N512" s="91"/>
      <x:c r="O512" s="91"/>
      <x:c r="P512" s="91"/>
      <x:c r="Q512" s="85"/>
      <x:c r="S512" s="86"/>
      <x:c r="T512" s="32"/>
    </x:row>
    <x:row r="513">
      <x:c r="A513" s="87"/>
      <x:c r="B513" s="88"/>
      <x:c r="D513" s="32"/>
      <x:c r="I513" s="74"/>
      <x:c r="J513" s="74"/>
      <x:c r="K513" s="74"/>
      <x:c r="L513" s="74"/>
      <x:c r="M513" s="91"/>
      <x:c r="N513" s="91"/>
      <x:c r="O513" s="91"/>
      <x:c r="P513" s="91"/>
      <x:c r="Q513" s="85"/>
      <x:c r="S513" s="86"/>
      <x:c r="T513" s="32"/>
    </x:row>
    <x:row r="514">
      <x:c r="A514" s="87"/>
      <x:c r="B514" s="88"/>
      <x:c r="D514" s="32"/>
      <x:c r="I514" s="74"/>
      <x:c r="J514" s="74"/>
      <x:c r="K514" s="74"/>
      <x:c r="L514" s="74"/>
      <x:c r="M514" s="91"/>
      <x:c r="N514" s="91"/>
      <x:c r="O514" s="91"/>
      <x:c r="P514" s="91"/>
      <x:c r="Q514" s="85"/>
      <x:c r="S514" s="86"/>
      <x:c r="T514" s="32"/>
    </x:row>
    <x:row r="515">
      <x:c r="A515" s="87"/>
      <x:c r="B515" s="88"/>
      <x:c r="D515" s="32"/>
      <x:c r="I515" s="74"/>
      <x:c r="J515" s="74"/>
      <x:c r="K515" s="74"/>
      <x:c r="L515" s="74"/>
      <x:c r="M515" s="91"/>
      <x:c r="N515" s="91"/>
      <x:c r="O515" s="91"/>
      <x:c r="P515" s="91"/>
      <x:c r="Q515" s="85"/>
      <x:c r="S515" s="86"/>
      <x:c r="T515" s="32"/>
    </x:row>
    <x:row r="516">
      <x:c r="A516" s="87"/>
      <x:c r="B516" s="88"/>
      <x:c r="D516" s="32"/>
      <x:c r="I516" s="74"/>
      <x:c r="J516" s="74"/>
      <x:c r="K516" s="74"/>
      <x:c r="L516" s="74"/>
      <x:c r="M516" s="91"/>
      <x:c r="N516" s="91"/>
      <x:c r="O516" s="91"/>
      <x:c r="P516" s="91"/>
      <x:c r="Q516" s="85"/>
      <x:c r="S516" s="86"/>
      <x:c r="T516" s="32"/>
    </x:row>
    <x:row r="517">
      <x:c r="A517" s="87"/>
      <x:c r="B517" s="88"/>
      <x:c r="D517" s="32"/>
      <x:c r="I517" s="74"/>
      <x:c r="J517" s="74"/>
      <x:c r="K517" s="74"/>
      <x:c r="L517" s="74"/>
      <x:c r="M517" s="91"/>
      <x:c r="N517" s="91"/>
      <x:c r="O517" s="91"/>
      <x:c r="P517" s="91"/>
      <x:c r="Q517" s="85"/>
      <x:c r="S517" s="86"/>
      <x:c r="T517" s="32"/>
    </x:row>
    <x:row r="518">
      <x:c r="A518" s="87"/>
      <x:c r="B518" s="88"/>
      <x:c r="D518" s="32"/>
      <x:c r="I518" s="74"/>
      <x:c r="J518" s="74"/>
      <x:c r="K518" s="74"/>
      <x:c r="L518" s="74"/>
      <x:c r="M518" s="91"/>
      <x:c r="N518" s="91"/>
      <x:c r="O518" s="91"/>
      <x:c r="P518" s="91"/>
      <x:c r="Q518" s="85"/>
      <x:c r="S518" s="86"/>
      <x:c r="T518" s="32"/>
    </x:row>
    <x:row r="519">
      <x:c r="A519" s="87"/>
      <x:c r="B519" s="88"/>
      <x:c r="D519" s="32"/>
      <x:c r="I519" s="74"/>
      <x:c r="J519" s="74"/>
      <x:c r="K519" s="74"/>
      <x:c r="L519" s="74"/>
      <x:c r="M519" s="91"/>
      <x:c r="N519" s="91"/>
      <x:c r="O519" s="91"/>
      <x:c r="P519" s="91"/>
      <x:c r="Q519" s="85"/>
      <x:c r="S519" s="86"/>
      <x:c r="T519" s="32"/>
    </x:row>
    <x:row r="520">
      <x:c r="A520" s="87"/>
      <x:c r="B520" s="88"/>
      <x:c r="D520" s="32"/>
      <x:c r="I520" s="74"/>
      <x:c r="J520" s="74"/>
      <x:c r="K520" s="74"/>
      <x:c r="L520" s="74"/>
      <x:c r="M520" s="91"/>
      <x:c r="N520" s="91"/>
      <x:c r="O520" s="91"/>
      <x:c r="P520" s="91"/>
      <x:c r="Q520" s="85"/>
      <x:c r="S520" s="86"/>
      <x:c r="T520" s="32"/>
    </x:row>
    <x:row r="521">
      <x:c r="A521" s="87"/>
      <x:c r="B521" s="88"/>
      <x:c r="D521" s="32"/>
      <x:c r="I521" s="74"/>
      <x:c r="J521" s="74"/>
      <x:c r="K521" s="74"/>
      <x:c r="L521" s="74"/>
      <x:c r="M521" s="91"/>
      <x:c r="N521" s="91"/>
      <x:c r="O521" s="91"/>
      <x:c r="P521" s="91"/>
      <x:c r="Q521" s="85"/>
      <x:c r="S521" s="86"/>
      <x:c r="T521" s="32"/>
    </x:row>
    <x:row r="522">
      <x:c r="A522" s="87"/>
      <x:c r="B522" s="88"/>
      <x:c r="D522" s="32"/>
      <x:c r="I522" s="74"/>
      <x:c r="J522" s="74"/>
      <x:c r="K522" s="74"/>
      <x:c r="L522" s="74"/>
      <x:c r="M522" s="91"/>
      <x:c r="N522" s="91"/>
      <x:c r="O522" s="91"/>
      <x:c r="P522" s="91"/>
      <x:c r="Q522" s="85"/>
      <x:c r="S522" s="86"/>
      <x:c r="T522" s="32"/>
    </x:row>
    <x:row r="523">
      <x:c r="A523" s="87"/>
      <x:c r="B523" s="88"/>
      <x:c r="D523" s="32"/>
      <x:c r="I523" s="74"/>
      <x:c r="J523" s="74"/>
      <x:c r="K523" s="74"/>
      <x:c r="L523" s="74"/>
      <x:c r="M523" s="91"/>
      <x:c r="N523" s="91"/>
      <x:c r="O523" s="91"/>
      <x:c r="P523" s="91"/>
      <x:c r="Q523" s="85"/>
      <x:c r="S523" s="86"/>
      <x:c r="T523" s="32"/>
    </x:row>
    <x:row r="524">
      <x:c r="A524" s="87"/>
      <x:c r="B524" s="88"/>
      <x:c r="D524" s="32"/>
      <x:c r="I524" s="74"/>
      <x:c r="J524" s="74"/>
      <x:c r="K524" s="74"/>
      <x:c r="L524" s="74"/>
      <x:c r="M524" s="91"/>
      <x:c r="N524" s="91"/>
      <x:c r="O524" s="91"/>
      <x:c r="P524" s="91"/>
      <x:c r="Q524" s="85"/>
      <x:c r="S524" s="86"/>
      <x:c r="T524" s="32"/>
    </x:row>
    <x:row r="525">
      <x:c r="A525" s="87"/>
      <x:c r="B525" s="88"/>
      <x:c r="D525" s="32"/>
      <x:c r="I525" s="74"/>
      <x:c r="J525" s="74"/>
      <x:c r="K525" s="74"/>
      <x:c r="L525" s="74"/>
      <x:c r="M525" s="91"/>
      <x:c r="N525" s="91"/>
      <x:c r="O525" s="91"/>
      <x:c r="P525" s="91"/>
      <x:c r="Q525" s="85"/>
      <x:c r="S525" s="86"/>
      <x:c r="T525" s="32"/>
    </x:row>
    <x:row r="526">
      <x:c r="A526" s="87"/>
      <x:c r="B526" s="88"/>
      <x:c r="D526" s="32"/>
      <x:c r="I526" s="74"/>
      <x:c r="J526" s="74"/>
      <x:c r="K526" s="74"/>
      <x:c r="L526" s="74"/>
      <x:c r="M526" s="91"/>
      <x:c r="N526" s="91"/>
      <x:c r="O526" s="91"/>
      <x:c r="P526" s="91"/>
      <x:c r="Q526" s="85"/>
      <x:c r="S526" s="86"/>
      <x:c r="T526" s="32"/>
    </x:row>
    <x:row r="527">
      <x:c r="A527" s="87"/>
      <x:c r="B527" s="88"/>
      <x:c r="D527" s="32"/>
      <x:c r="I527" s="74"/>
      <x:c r="J527" s="74"/>
      <x:c r="K527" s="74"/>
      <x:c r="L527" s="74"/>
      <x:c r="M527" s="91"/>
      <x:c r="N527" s="91"/>
      <x:c r="O527" s="91"/>
      <x:c r="P527" s="91"/>
      <x:c r="Q527" s="85"/>
      <x:c r="S527" s="86"/>
      <x:c r="T527" s="32"/>
    </x:row>
    <x:row r="528">
      <x:c r="A528" s="87"/>
      <x:c r="B528" s="88"/>
      <x:c r="D528" s="32"/>
      <x:c r="I528" s="74"/>
      <x:c r="J528" s="74"/>
      <x:c r="K528" s="74"/>
      <x:c r="L528" s="74"/>
      <x:c r="M528" s="91"/>
      <x:c r="N528" s="91"/>
      <x:c r="O528" s="91"/>
      <x:c r="P528" s="91"/>
      <x:c r="Q528" s="85"/>
      <x:c r="S528" s="86"/>
      <x:c r="T528" s="32"/>
    </x:row>
    <x:row r="529">
      <x:c r="A529" s="87"/>
      <x:c r="B529" s="88"/>
      <x:c r="D529" s="32"/>
      <x:c r="I529" s="74"/>
      <x:c r="J529" s="74"/>
      <x:c r="K529" s="74"/>
      <x:c r="L529" s="74"/>
      <x:c r="M529" s="91"/>
      <x:c r="N529" s="91"/>
      <x:c r="O529" s="91"/>
      <x:c r="P529" s="91"/>
      <x:c r="Q529" s="85"/>
      <x:c r="S529" s="86"/>
      <x:c r="T529" s="32"/>
    </x:row>
    <x:row r="530">
      <x:c r="A530" s="87"/>
      <x:c r="B530" s="88"/>
      <x:c r="D530" s="32"/>
      <x:c r="I530" s="74"/>
      <x:c r="J530" s="74"/>
      <x:c r="K530" s="74"/>
      <x:c r="L530" s="74"/>
      <x:c r="M530" s="91"/>
      <x:c r="N530" s="91"/>
      <x:c r="O530" s="91"/>
      <x:c r="P530" s="91"/>
      <x:c r="Q530" s="85"/>
      <x:c r="S530" s="86"/>
      <x:c r="T530" s="32"/>
    </x:row>
    <x:row r="531">
      <x:c r="A531" s="87"/>
      <x:c r="B531" s="88"/>
      <x:c r="D531" s="32"/>
      <x:c r="I531" s="74"/>
      <x:c r="J531" s="74"/>
      <x:c r="K531" s="74"/>
      <x:c r="L531" s="74"/>
      <x:c r="M531" s="91"/>
      <x:c r="N531" s="91"/>
      <x:c r="O531" s="91"/>
      <x:c r="P531" s="91"/>
      <x:c r="Q531" s="85"/>
      <x:c r="S531" s="86"/>
      <x:c r="T531" s="32"/>
    </x:row>
    <x:row r="532">
      <x:c r="A532" s="87"/>
      <x:c r="B532" s="88"/>
      <x:c r="D532" s="32"/>
      <x:c r="I532" s="74"/>
      <x:c r="J532" s="74"/>
      <x:c r="K532" s="74"/>
      <x:c r="L532" s="74"/>
      <x:c r="M532" s="91"/>
      <x:c r="N532" s="91"/>
      <x:c r="O532" s="91"/>
      <x:c r="P532" s="91"/>
      <x:c r="Q532" s="85"/>
      <x:c r="S532" s="86"/>
      <x:c r="T532" s="32"/>
    </x:row>
    <x:row r="533">
      <x:c r="A533" s="87"/>
      <x:c r="B533" s="88"/>
      <x:c r="D533" s="32"/>
      <x:c r="I533" s="74"/>
      <x:c r="J533" s="74"/>
      <x:c r="K533" s="74"/>
      <x:c r="L533" s="74"/>
      <x:c r="M533" s="91"/>
      <x:c r="N533" s="91"/>
      <x:c r="O533" s="91"/>
      <x:c r="P533" s="91"/>
      <x:c r="Q533" s="85"/>
      <x:c r="S533" s="86"/>
      <x:c r="T533" s="32"/>
    </x:row>
    <x:row r="534">
      <x:c r="A534" s="87"/>
      <x:c r="B534" s="88"/>
      <x:c r="D534" s="32"/>
      <x:c r="I534" s="74"/>
      <x:c r="J534" s="74"/>
      <x:c r="K534" s="74"/>
      <x:c r="L534" s="74"/>
      <x:c r="M534" s="91"/>
      <x:c r="N534" s="91"/>
      <x:c r="O534" s="91"/>
      <x:c r="P534" s="91"/>
      <x:c r="Q534" s="85"/>
      <x:c r="S534" s="86"/>
      <x:c r="T534" s="32"/>
    </x:row>
    <x:row r="535">
      <x:c r="A535" s="87"/>
      <x:c r="B535" s="88"/>
      <x:c r="D535" s="32"/>
      <x:c r="I535" s="74"/>
      <x:c r="J535" s="74"/>
      <x:c r="K535" s="74"/>
      <x:c r="L535" s="74"/>
      <x:c r="M535" s="91"/>
      <x:c r="N535" s="91"/>
      <x:c r="O535" s="91"/>
      <x:c r="P535" s="91"/>
      <x:c r="Q535" s="85"/>
      <x:c r="S535" s="86"/>
      <x:c r="T535" s="32"/>
    </x:row>
    <x:row r="536">
      <x:c r="A536" s="87"/>
      <x:c r="B536" s="88"/>
      <x:c r="D536" s="32"/>
      <x:c r="I536" s="74"/>
      <x:c r="J536" s="74"/>
      <x:c r="K536" s="74"/>
      <x:c r="L536" s="74"/>
      <x:c r="M536" s="91"/>
      <x:c r="N536" s="91"/>
      <x:c r="O536" s="91"/>
      <x:c r="P536" s="91"/>
      <x:c r="Q536" s="85"/>
      <x:c r="S536" s="86"/>
      <x:c r="T536" s="32"/>
    </x:row>
    <x:row r="537">
      <x:c r="A537" s="87"/>
      <x:c r="B537" s="88"/>
      <x:c r="D537" s="32"/>
      <x:c r="I537" s="74"/>
      <x:c r="J537" s="74"/>
      <x:c r="K537" s="74"/>
      <x:c r="L537" s="74"/>
      <x:c r="M537" s="91"/>
      <x:c r="N537" s="91"/>
      <x:c r="O537" s="91"/>
      <x:c r="P537" s="91"/>
      <x:c r="Q537" s="85"/>
      <x:c r="S537" s="86"/>
      <x:c r="T537" s="32"/>
    </x:row>
    <x:row r="538">
      <x:c r="A538" s="87"/>
      <x:c r="B538" s="88"/>
      <x:c r="D538" s="32"/>
      <x:c r="I538" s="74"/>
      <x:c r="J538" s="74"/>
      <x:c r="K538" s="74"/>
      <x:c r="L538" s="74"/>
      <x:c r="M538" s="91"/>
      <x:c r="N538" s="91"/>
      <x:c r="O538" s="91"/>
      <x:c r="P538" s="91"/>
      <x:c r="Q538" s="85"/>
      <x:c r="S538" s="86"/>
      <x:c r="T538" s="32"/>
    </x:row>
    <x:row r="539">
      <x:c r="A539" s="87"/>
      <x:c r="B539" s="88"/>
      <x:c r="D539" s="32"/>
      <x:c r="I539" s="74"/>
      <x:c r="J539" s="74"/>
      <x:c r="K539" s="74"/>
      <x:c r="L539" s="74"/>
      <x:c r="M539" s="91"/>
      <x:c r="N539" s="91"/>
      <x:c r="O539" s="91"/>
      <x:c r="P539" s="91"/>
      <x:c r="Q539" s="85"/>
      <x:c r="S539" s="86"/>
      <x:c r="T539" s="32"/>
    </x:row>
    <x:row r="540">
      <x:c r="A540" s="87"/>
      <x:c r="B540" s="88"/>
      <x:c r="D540" s="32"/>
      <x:c r="I540" s="74"/>
      <x:c r="J540" s="74"/>
      <x:c r="K540" s="74"/>
      <x:c r="L540" s="74"/>
      <x:c r="M540" s="91"/>
      <x:c r="N540" s="91"/>
      <x:c r="O540" s="91"/>
      <x:c r="P540" s="91"/>
      <x:c r="Q540" s="85"/>
      <x:c r="S540" s="86"/>
      <x:c r="T540" s="32"/>
    </x:row>
    <x:row r="541">
      <x:c r="A541" s="87"/>
      <x:c r="B541" s="88"/>
      <x:c r="D541" s="32"/>
      <x:c r="I541" s="74"/>
      <x:c r="J541" s="74"/>
      <x:c r="K541" s="74"/>
      <x:c r="L541" s="74"/>
      <x:c r="M541" s="91"/>
      <x:c r="N541" s="91"/>
      <x:c r="O541" s="91"/>
      <x:c r="P541" s="91"/>
      <x:c r="Q541" s="85"/>
      <x:c r="S541" s="86"/>
      <x:c r="T541" s="32"/>
    </x:row>
    <x:row r="542">
      <x:c r="A542" s="87"/>
      <x:c r="B542" s="88"/>
      <x:c r="D542" s="32"/>
      <x:c r="I542" s="74"/>
      <x:c r="J542" s="74"/>
      <x:c r="K542" s="74"/>
      <x:c r="L542" s="74"/>
      <x:c r="M542" s="91"/>
      <x:c r="N542" s="91"/>
      <x:c r="O542" s="91"/>
      <x:c r="P542" s="91"/>
      <x:c r="Q542" s="85"/>
      <x:c r="S542" s="86"/>
      <x:c r="T542" s="32"/>
    </x:row>
    <x:row r="543">
      <x:c r="A543" s="87"/>
      <x:c r="B543" s="88"/>
      <x:c r="D543" s="32"/>
      <x:c r="I543" s="74"/>
      <x:c r="J543" s="74"/>
      <x:c r="K543" s="74"/>
      <x:c r="L543" s="74"/>
      <x:c r="M543" s="91"/>
      <x:c r="N543" s="91"/>
      <x:c r="O543" s="91"/>
      <x:c r="P543" s="91"/>
      <x:c r="Q543" s="85"/>
      <x:c r="S543" s="86"/>
      <x:c r="T543" s="32"/>
    </x:row>
    <x:row r="544">
      <x:c r="A544" s="87"/>
      <x:c r="B544" s="88"/>
      <x:c r="D544" s="32"/>
      <x:c r="I544" s="74"/>
      <x:c r="J544" s="74"/>
      <x:c r="K544" s="74"/>
      <x:c r="L544" s="74"/>
      <x:c r="M544" s="91"/>
      <x:c r="N544" s="91"/>
      <x:c r="O544" s="91"/>
      <x:c r="P544" s="91"/>
      <x:c r="Q544" s="85"/>
      <x:c r="S544" s="86"/>
      <x:c r="T544" s="32"/>
    </x:row>
    <x:row r="545">
      <x:c r="A545" s="87"/>
      <x:c r="B545" s="88"/>
      <x:c r="D545" s="32"/>
      <x:c r="I545" s="74"/>
      <x:c r="J545" s="74"/>
      <x:c r="K545" s="74"/>
      <x:c r="L545" s="74"/>
      <x:c r="M545" s="91"/>
      <x:c r="N545" s="91"/>
      <x:c r="O545" s="91"/>
      <x:c r="P545" s="91"/>
      <x:c r="Q545" s="85"/>
      <x:c r="S545" s="86"/>
      <x:c r="T545" s="32"/>
    </x:row>
    <x:row r="546">
      <x:c r="A546" s="87"/>
      <x:c r="B546" s="88"/>
      <x:c r="D546" s="32"/>
      <x:c r="I546" s="74"/>
      <x:c r="J546" s="74"/>
      <x:c r="K546" s="74"/>
      <x:c r="L546" s="74"/>
      <x:c r="M546" s="91"/>
      <x:c r="N546" s="91"/>
      <x:c r="O546" s="91"/>
      <x:c r="P546" s="91"/>
      <x:c r="Q546" s="85"/>
      <x:c r="S546" s="86"/>
      <x:c r="T546" s="32"/>
    </x:row>
    <x:row r="547">
      <x:c r="A547" s="87"/>
      <x:c r="B547" s="88"/>
      <x:c r="D547" s="32"/>
      <x:c r="I547" s="74"/>
      <x:c r="J547" s="74"/>
      <x:c r="K547" s="74"/>
      <x:c r="L547" s="74"/>
      <x:c r="M547" s="91"/>
      <x:c r="N547" s="91"/>
      <x:c r="O547" s="91"/>
      <x:c r="P547" s="91"/>
      <x:c r="Q547" s="85"/>
      <x:c r="S547" s="86"/>
      <x:c r="T547" s="32"/>
    </x:row>
    <x:row r="548">
      <x:c r="A548" s="87"/>
      <x:c r="B548" s="88"/>
      <x:c r="D548" s="32"/>
      <x:c r="I548" s="74"/>
      <x:c r="J548" s="74"/>
      <x:c r="K548" s="74"/>
      <x:c r="L548" s="74"/>
      <x:c r="M548" s="91"/>
      <x:c r="N548" s="91"/>
      <x:c r="O548" s="91"/>
      <x:c r="P548" s="91"/>
      <x:c r="Q548" s="85"/>
      <x:c r="S548" s="86"/>
      <x:c r="T548" s="32"/>
    </x:row>
    <x:row r="549">
      <x:c r="A549" s="87"/>
      <x:c r="B549" s="88"/>
      <x:c r="D549" s="32"/>
      <x:c r="I549" s="74"/>
      <x:c r="J549" s="74"/>
      <x:c r="K549" s="74"/>
      <x:c r="L549" s="74"/>
      <x:c r="M549" s="91"/>
      <x:c r="N549" s="91"/>
      <x:c r="O549" s="91"/>
      <x:c r="P549" s="91"/>
      <x:c r="Q549" s="85"/>
      <x:c r="S549" s="86"/>
      <x:c r="T549" s="32"/>
    </x:row>
    <x:row r="550">
      <x:c r="A550" s="87"/>
      <x:c r="B550" s="88"/>
      <x:c r="D550" s="32"/>
      <x:c r="I550" s="74"/>
      <x:c r="J550" s="74"/>
      <x:c r="K550" s="74"/>
      <x:c r="L550" s="74"/>
      <x:c r="M550" s="91"/>
      <x:c r="N550" s="91"/>
      <x:c r="O550" s="91"/>
      <x:c r="P550" s="91"/>
      <x:c r="Q550" s="85"/>
      <x:c r="S550" s="86"/>
      <x:c r="T550" s="32"/>
    </x:row>
    <x:row r="551">
      <x:c r="A551" s="87"/>
      <x:c r="B551" s="88"/>
      <x:c r="D551" s="32"/>
      <x:c r="I551" s="74"/>
      <x:c r="J551" s="74"/>
      <x:c r="K551" s="74"/>
      <x:c r="L551" s="74"/>
      <x:c r="M551" s="91"/>
      <x:c r="N551" s="91"/>
      <x:c r="O551" s="91"/>
      <x:c r="P551" s="91"/>
      <x:c r="Q551" s="85"/>
      <x:c r="S551" s="86"/>
      <x:c r="T551" s="32"/>
    </x:row>
    <x:row r="552">
      <x:c r="A552" s="87"/>
      <x:c r="B552" s="88"/>
      <x:c r="D552" s="32"/>
      <x:c r="I552" s="74"/>
      <x:c r="J552" s="74"/>
      <x:c r="K552" s="74"/>
      <x:c r="L552" s="74"/>
      <x:c r="M552" s="91"/>
      <x:c r="N552" s="91"/>
      <x:c r="O552" s="91"/>
      <x:c r="P552" s="91"/>
      <x:c r="Q552" s="85"/>
      <x:c r="S552" s="86"/>
      <x:c r="T552" s="32"/>
    </x:row>
    <x:row r="553">
      <x:c r="A553" s="87"/>
      <x:c r="B553" s="88"/>
      <x:c r="D553" s="32"/>
      <x:c r="I553" s="74"/>
      <x:c r="J553" s="74"/>
      <x:c r="K553" s="74"/>
      <x:c r="L553" s="74"/>
      <x:c r="M553" s="91"/>
      <x:c r="N553" s="91"/>
      <x:c r="O553" s="91"/>
      <x:c r="P553" s="91"/>
      <x:c r="Q553" s="85"/>
      <x:c r="S553" s="86"/>
      <x:c r="T553" s="32"/>
    </x:row>
    <x:row r="554">
      <x:c r="A554" s="87"/>
      <x:c r="B554" s="88"/>
      <x:c r="D554" s="32"/>
      <x:c r="I554" s="74"/>
      <x:c r="J554" s="74"/>
      <x:c r="K554" s="74"/>
      <x:c r="L554" s="74"/>
      <x:c r="M554" s="91"/>
      <x:c r="N554" s="91"/>
      <x:c r="O554" s="91"/>
      <x:c r="P554" s="91"/>
      <x:c r="Q554" s="85"/>
      <x:c r="S554" s="86"/>
      <x:c r="T554" s="32"/>
    </x:row>
    <x:row r="555">
      <x:c r="A555" s="87"/>
      <x:c r="B555" s="88"/>
      <x:c r="D555" s="32"/>
      <x:c r="I555" s="74"/>
      <x:c r="J555" s="74"/>
      <x:c r="K555" s="74"/>
      <x:c r="L555" s="74"/>
      <x:c r="M555" s="91"/>
      <x:c r="N555" s="91"/>
      <x:c r="O555" s="91"/>
      <x:c r="P555" s="91"/>
      <x:c r="Q555" s="85"/>
      <x:c r="S555" s="86"/>
      <x:c r="T555" s="32"/>
    </x:row>
    <x:row r="556">
      <x:c r="A556" s="87"/>
      <x:c r="B556" s="88"/>
      <x:c r="D556" s="32"/>
      <x:c r="I556" s="74"/>
      <x:c r="J556" s="74"/>
      <x:c r="K556" s="74"/>
      <x:c r="L556" s="74"/>
      <x:c r="M556" s="91"/>
      <x:c r="N556" s="91"/>
      <x:c r="O556" s="91"/>
      <x:c r="P556" s="91"/>
      <x:c r="Q556" s="85"/>
      <x:c r="S556" s="86"/>
      <x:c r="T556" s="32"/>
    </x:row>
    <x:row r="557">
      <x:c r="A557" s="87"/>
      <x:c r="B557" s="88"/>
      <x:c r="D557" s="32"/>
      <x:c r="I557" s="74"/>
      <x:c r="J557" s="74"/>
      <x:c r="K557" s="74"/>
      <x:c r="L557" s="74"/>
      <x:c r="M557" s="91"/>
      <x:c r="N557" s="91"/>
      <x:c r="O557" s="91"/>
      <x:c r="P557" s="91"/>
      <x:c r="Q557" s="85"/>
      <x:c r="S557" s="86"/>
      <x:c r="T557" s="32"/>
    </x:row>
    <x:row r="558">
      <x:c r="A558" s="87"/>
      <x:c r="B558" s="88"/>
      <x:c r="D558" s="32"/>
      <x:c r="I558" s="74"/>
      <x:c r="J558" s="74"/>
      <x:c r="K558" s="74"/>
      <x:c r="L558" s="74"/>
      <x:c r="M558" s="91"/>
      <x:c r="N558" s="91"/>
      <x:c r="O558" s="91"/>
      <x:c r="P558" s="91"/>
      <x:c r="Q558" s="85"/>
      <x:c r="S558" s="86"/>
      <x:c r="T558" s="32"/>
    </x:row>
    <x:row r="559">
      <x:c r="A559" s="87"/>
      <x:c r="B559" s="88"/>
      <x:c r="D559" s="32"/>
      <x:c r="I559" s="74"/>
      <x:c r="J559" s="74"/>
      <x:c r="K559" s="74"/>
      <x:c r="L559" s="74"/>
      <x:c r="M559" s="91"/>
      <x:c r="N559" s="91"/>
      <x:c r="O559" s="91"/>
      <x:c r="P559" s="91"/>
      <x:c r="Q559" s="85"/>
      <x:c r="S559" s="86"/>
      <x:c r="T559" s="32"/>
    </x:row>
    <x:row r="560">
      <x:c r="A560" s="87"/>
      <x:c r="B560" s="88"/>
      <x:c r="D560" s="32"/>
      <x:c r="I560" s="74"/>
      <x:c r="J560" s="74"/>
      <x:c r="K560" s="74"/>
      <x:c r="L560" s="74"/>
      <x:c r="M560" s="91"/>
      <x:c r="N560" s="91"/>
      <x:c r="O560" s="91"/>
      <x:c r="P560" s="91"/>
      <x:c r="Q560" s="85"/>
      <x:c r="S560" s="86"/>
      <x:c r="T560" s="32"/>
    </x:row>
    <x:row r="561">
      <x:c r="A561" s="87"/>
      <x:c r="B561" s="88"/>
      <x:c r="D561" s="32"/>
      <x:c r="I561" s="74"/>
      <x:c r="J561" s="74"/>
      <x:c r="K561" s="74"/>
      <x:c r="L561" s="74"/>
      <x:c r="M561" s="91"/>
      <x:c r="N561" s="91"/>
      <x:c r="O561" s="91"/>
      <x:c r="P561" s="91"/>
      <x:c r="Q561" s="85"/>
      <x:c r="S561" s="86"/>
      <x:c r="T561" s="32"/>
    </x:row>
    <x:row r="562">
      <x:c r="A562" s="87"/>
      <x:c r="B562" s="88"/>
      <x:c r="D562" s="32"/>
      <x:c r="I562" s="74"/>
      <x:c r="J562" s="74"/>
      <x:c r="K562" s="74"/>
      <x:c r="L562" s="74"/>
      <x:c r="M562" s="91"/>
      <x:c r="N562" s="91"/>
      <x:c r="O562" s="91"/>
      <x:c r="P562" s="91"/>
      <x:c r="Q562" s="85"/>
      <x:c r="S562" s="86"/>
      <x:c r="T562" s="32"/>
    </x:row>
    <x:row r="563">
      <x:c r="A563" s="87"/>
      <x:c r="B563" s="88"/>
      <x:c r="D563" s="32"/>
      <x:c r="I563" s="74"/>
      <x:c r="J563" s="74"/>
      <x:c r="K563" s="74"/>
      <x:c r="L563" s="74"/>
      <x:c r="M563" s="91"/>
      <x:c r="N563" s="91"/>
      <x:c r="O563" s="91"/>
      <x:c r="P563" s="91"/>
      <x:c r="Q563" s="85"/>
      <x:c r="S563" s="86"/>
      <x:c r="T563" s="32"/>
    </x:row>
    <x:row r="564">
      <x:c r="A564" s="87"/>
      <x:c r="B564" s="88"/>
      <x:c r="D564" s="32"/>
      <x:c r="I564" s="74"/>
      <x:c r="J564" s="74"/>
      <x:c r="K564" s="74"/>
      <x:c r="L564" s="74"/>
      <x:c r="M564" s="91"/>
      <x:c r="N564" s="91"/>
      <x:c r="O564" s="91"/>
      <x:c r="P564" s="91"/>
      <x:c r="Q564" s="85"/>
      <x:c r="S564" s="86"/>
      <x:c r="T564" s="32"/>
    </x:row>
    <x:row r="565">
      <x:c r="A565" s="87"/>
      <x:c r="B565" s="88"/>
      <x:c r="D565" s="32"/>
      <x:c r="I565" s="74"/>
      <x:c r="J565" s="74"/>
      <x:c r="K565" s="74"/>
      <x:c r="L565" s="74"/>
      <x:c r="M565" s="91"/>
      <x:c r="N565" s="91"/>
      <x:c r="O565" s="91"/>
      <x:c r="P565" s="91"/>
      <x:c r="Q565" s="85"/>
      <x:c r="S565" s="86"/>
      <x:c r="T565" s="32"/>
    </x:row>
    <x:row r="566">
      <x:c r="A566" s="87"/>
      <x:c r="B566" s="88"/>
      <x:c r="D566" s="32"/>
      <x:c r="I566" s="74"/>
      <x:c r="J566" s="74"/>
      <x:c r="K566" s="74"/>
      <x:c r="L566" s="74"/>
      <x:c r="M566" s="91"/>
      <x:c r="N566" s="91"/>
      <x:c r="O566" s="91"/>
      <x:c r="P566" s="91"/>
      <x:c r="Q566" s="85"/>
      <x:c r="S566" s="86"/>
      <x:c r="T566" s="32"/>
    </x:row>
    <x:row r="567">
      <x:c r="A567" s="87"/>
      <x:c r="B567" s="88"/>
      <x:c r="D567" s="32"/>
      <x:c r="I567" s="74"/>
      <x:c r="J567" s="74"/>
      <x:c r="K567" s="74"/>
      <x:c r="L567" s="74"/>
      <x:c r="M567" s="91"/>
      <x:c r="N567" s="91"/>
      <x:c r="O567" s="91"/>
      <x:c r="P567" s="91"/>
      <x:c r="Q567" s="85"/>
      <x:c r="S567" s="86"/>
      <x:c r="T567" s="32"/>
    </x:row>
    <x:row r="568">
      <x:c r="A568" s="87"/>
      <x:c r="B568" s="88"/>
      <x:c r="D568" s="32"/>
      <x:c r="I568" s="74"/>
      <x:c r="J568" s="74"/>
      <x:c r="K568" s="74"/>
      <x:c r="L568" s="74"/>
      <x:c r="M568" s="91"/>
      <x:c r="N568" s="91"/>
      <x:c r="O568" s="91"/>
      <x:c r="P568" s="91"/>
      <x:c r="Q568" s="85"/>
      <x:c r="S568" s="86"/>
      <x:c r="T568" s="32"/>
    </x:row>
    <x:row r="569">
      <x:c r="A569" s="87"/>
      <x:c r="B569" s="88"/>
      <x:c r="D569" s="32"/>
      <x:c r="I569" s="74"/>
      <x:c r="J569" s="74"/>
      <x:c r="K569" s="74"/>
      <x:c r="L569" s="74"/>
      <x:c r="M569" s="91"/>
      <x:c r="N569" s="91"/>
      <x:c r="O569" s="91"/>
      <x:c r="P569" s="91"/>
      <x:c r="Q569" s="85"/>
      <x:c r="S569" s="86"/>
      <x:c r="T569" s="32"/>
    </x:row>
    <x:row r="570">
      <x:c r="A570" s="87"/>
      <x:c r="B570" s="88"/>
      <x:c r="D570" s="32"/>
      <x:c r="I570" s="74"/>
      <x:c r="J570" s="74"/>
      <x:c r="K570" s="74"/>
      <x:c r="L570" s="74"/>
      <x:c r="M570" s="91"/>
      <x:c r="N570" s="91"/>
      <x:c r="O570" s="91"/>
      <x:c r="P570" s="91"/>
      <x:c r="Q570" s="85"/>
      <x:c r="S570" s="86"/>
      <x:c r="T570" s="32"/>
    </x:row>
    <x:row r="571">
      <x:c r="A571" s="87"/>
      <x:c r="B571" s="88"/>
      <x:c r="D571" s="32"/>
      <x:c r="I571" s="74"/>
      <x:c r="J571" s="74"/>
      <x:c r="K571" s="74"/>
      <x:c r="L571" s="74"/>
      <x:c r="M571" s="91"/>
      <x:c r="N571" s="91"/>
      <x:c r="O571" s="91"/>
      <x:c r="P571" s="91"/>
      <x:c r="Q571" s="85"/>
      <x:c r="S571" s="86"/>
      <x:c r="T571" s="32"/>
    </x:row>
    <x:row r="572">
      <x:c r="A572" s="87"/>
      <x:c r="B572" s="88"/>
      <x:c r="D572" s="32"/>
      <x:c r="I572" s="74"/>
      <x:c r="J572" s="74"/>
      <x:c r="K572" s="74"/>
      <x:c r="L572" s="74"/>
      <x:c r="M572" s="91"/>
      <x:c r="N572" s="91"/>
      <x:c r="O572" s="91"/>
      <x:c r="P572" s="91"/>
      <x:c r="Q572" s="85"/>
      <x:c r="S572" s="86"/>
      <x:c r="T572" s="32"/>
    </x:row>
    <x:row r="573">
      <x:c r="A573" s="87"/>
      <x:c r="B573" s="88"/>
      <x:c r="D573" s="32"/>
      <x:c r="I573" s="74"/>
      <x:c r="J573" s="74"/>
      <x:c r="K573" s="74"/>
      <x:c r="L573" s="74"/>
      <x:c r="M573" s="91"/>
      <x:c r="N573" s="91"/>
      <x:c r="O573" s="91"/>
      <x:c r="P573" s="91"/>
      <x:c r="Q573" s="85"/>
      <x:c r="S573" s="86"/>
      <x:c r="T573" s="32"/>
    </x:row>
    <x:row r="574">
      <x:c r="A574" s="87"/>
      <x:c r="B574" s="88"/>
      <x:c r="D574" s="32"/>
      <x:c r="I574" s="74"/>
      <x:c r="J574" s="74"/>
      <x:c r="K574" s="74"/>
      <x:c r="L574" s="74"/>
      <x:c r="M574" s="91"/>
      <x:c r="N574" s="91"/>
      <x:c r="O574" s="91"/>
      <x:c r="P574" s="91"/>
      <x:c r="Q574" s="85"/>
      <x:c r="S574" s="86"/>
      <x:c r="T574" s="32"/>
    </x:row>
    <x:row r="575">
      <x:c r="A575" s="87"/>
      <x:c r="B575" s="88"/>
      <x:c r="D575" s="32"/>
      <x:c r="I575" s="74"/>
      <x:c r="J575" s="74"/>
      <x:c r="K575" s="74"/>
      <x:c r="L575" s="74"/>
      <x:c r="M575" s="91"/>
      <x:c r="N575" s="91"/>
      <x:c r="O575" s="91"/>
      <x:c r="P575" s="91"/>
      <x:c r="Q575" s="85"/>
      <x:c r="S575" s="86"/>
      <x:c r="T575" s="32"/>
    </x:row>
    <x:row r="576">
      <x:c r="A576" s="87"/>
      <x:c r="B576" s="88"/>
      <x:c r="D576" s="32"/>
      <x:c r="I576" s="74"/>
      <x:c r="J576" s="74"/>
      <x:c r="K576" s="74"/>
      <x:c r="L576" s="74"/>
      <x:c r="M576" s="91"/>
      <x:c r="N576" s="91"/>
      <x:c r="O576" s="91"/>
      <x:c r="P576" s="91"/>
      <x:c r="Q576" s="85"/>
      <x:c r="S576" s="86"/>
      <x:c r="T576" s="32"/>
    </x:row>
    <x:row r="577">
      <x:c r="A577" s="87"/>
      <x:c r="B577" s="88"/>
      <x:c r="D577" s="32"/>
      <x:c r="I577" s="74"/>
      <x:c r="J577" s="74"/>
      <x:c r="K577" s="74"/>
      <x:c r="L577" s="74"/>
      <x:c r="M577" s="91"/>
      <x:c r="N577" s="91"/>
      <x:c r="O577" s="91"/>
      <x:c r="P577" s="91"/>
      <x:c r="Q577" s="85"/>
      <x:c r="S577" s="86"/>
      <x:c r="T577" s="32"/>
    </x:row>
    <x:row r="578">
      <x:c r="A578" s="87"/>
      <x:c r="B578" s="88"/>
      <x:c r="D578" s="32"/>
      <x:c r="I578" s="74"/>
      <x:c r="J578" s="74"/>
      <x:c r="K578" s="74"/>
      <x:c r="L578" s="74"/>
      <x:c r="M578" s="91"/>
      <x:c r="N578" s="91"/>
      <x:c r="O578" s="91"/>
      <x:c r="P578" s="91"/>
      <x:c r="Q578" s="85"/>
      <x:c r="S578" s="86"/>
      <x:c r="T578" s="32"/>
    </x:row>
    <x:row r="579">
      <x:c r="A579" s="87"/>
      <x:c r="B579" s="88"/>
      <x:c r="D579" s="32"/>
      <x:c r="I579" s="74"/>
      <x:c r="J579" s="74"/>
      <x:c r="K579" s="74"/>
      <x:c r="L579" s="74"/>
      <x:c r="M579" s="91"/>
      <x:c r="N579" s="91"/>
      <x:c r="O579" s="91"/>
      <x:c r="P579" s="91"/>
      <x:c r="Q579" s="85"/>
      <x:c r="S579" s="86"/>
      <x:c r="T579" s="32"/>
    </x:row>
    <x:row r="580">
      <x:c r="A580" s="87"/>
      <x:c r="B580" s="88"/>
      <x:c r="D580" s="32"/>
      <x:c r="I580" s="74"/>
      <x:c r="J580" s="74"/>
      <x:c r="K580" s="74"/>
      <x:c r="L580" s="74"/>
      <x:c r="M580" s="91"/>
      <x:c r="N580" s="91"/>
      <x:c r="O580" s="91"/>
      <x:c r="P580" s="91"/>
      <x:c r="Q580" s="85"/>
      <x:c r="S580" s="86"/>
      <x:c r="T580" s="32"/>
    </x:row>
    <x:row r="581">
      <x:c r="A581" s="87"/>
      <x:c r="B581" s="88"/>
      <x:c r="D581" s="32"/>
      <x:c r="I581" s="74"/>
      <x:c r="J581" s="74"/>
      <x:c r="K581" s="74"/>
      <x:c r="L581" s="74"/>
      <x:c r="M581" s="91"/>
      <x:c r="N581" s="91"/>
      <x:c r="O581" s="91"/>
      <x:c r="P581" s="91"/>
      <x:c r="Q581" s="85"/>
      <x:c r="S581" s="86"/>
      <x:c r="T581" s="32"/>
    </x:row>
    <x:row r="582">
      <x:c r="A582" s="87"/>
      <x:c r="B582" s="88"/>
      <x:c r="D582" s="32"/>
      <x:c r="I582" s="74"/>
      <x:c r="J582" s="74"/>
      <x:c r="K582" s="74"/>
      <x:c r="L582" s="74"/>
      <x:c r="M582" s="91"/>
      <x:c r="N582" s="91"/>
      <x:c r="O582" s="91"/>
      <x:c r="P582" s="91"/>
      <x:c r="Q582" s="85"/>
      <x:c r="S582" s="86"/>
      <x:c r="T582" s="32"/>
    </x:row>
    <x:row r="583">
      <x:c r="A583" s="87"/>
      <x:c r="B583" s="88"/>
      <x:c r="D583" s="32"/>
      <x:c r="I583" s="74"/>
      <x:c r="J583" s="74"/>
      <x:c r="K583" s="74"/>
      <x:c r="L583" s="74"/>
      <x:c r="M583" s="91"/>
      <x:c r="N583" s="91"/>
      <x:c r="O583" s="91"/>
      <x:c r="P583" s="91"/>
      <x:c r="Q583" s="85"/>
      <x:c r="S583" s="86"/>
      <x:c r="T583" s="32"/>
    </x:row>
    <x:row r="584">
      <x:c r="A584" s="87"/>
      <x:c r="B584" s="88"/>
      <x:c r="D584" s="32"/>
      <x:c r="I584" s="74"/>
      <x:c r="J584" s="74"/>
      <x:c r="K584" s="74"/>
      <x:c r="L584" s="74"/>
      <x:c r="M584" s="91"/>
      <x:c r="N584" s="91"/>
      <x:c r="O584" s="91"/>
      <x:c r="P584" s="91"/>
      <x:c r="Q584" s="85"/>
      <x:c r="S584" s="86"/>
      <x:c r="T584" s="32"/>
    </x:row>
    <x:row r="585">
      <x:c r="A585" s="87"/>
      <x:c r="B585" s="88"/>
      <x:c r="D585" s="32"/>
      <x:c r="I585" s="74"/>
      <x:c r="J585" s="74"/>
      <x:c r="K585" s="74"/>
      <x:c r="L585" s="74"/>
      <x:c r="M585" s="91"/>
      <x:c r="N585" s="91"/>
      <x:c r="O585" s="91"/>
      <x:c r="P585" s="91"/>
      <x:c r="Q585" s="85"/>
      <x:c r="S585" s="86"/>
      <x:c r="T585" s="32"/>
    </x:row>
    <x:row r="586">
      <x:c r="A586" s="87"/>
      <x:c r="B586" s="88"/>
      <x:c r="D586" s="32"/>
      <x:c r="I586" s="74"/>
      <x:c r="J586" s="74"/>
      <x:c r="K586" s="74"/>
      <x:c r="L586" s="74"/>
      <x:c r="M586" s="91"/>
      <x:c r="N586" s="91"/>
      <x:c r="O586" s="91"/>
      <x:c r="P586" s="91"/>
      <x:c r="Q586" s="85"/>
      <x:c r="S586" s="86"/>
      <x:c r="T586" s="32"/>
    </x:row>
    <x:row r="587">
      <x:c r="A587" s="87"/>
      <x:c r="B587" s="88"/>
      <x:c r="D587" s="32"/>
      <x:c r="I587" s="74"/>
      <x:c r="J587" s="74"/>
      <x:c r="K587" s="74"/>
      <x:c r="L587" s="74"/>
      <x:c r="M587" s="91"/>
      <x:c r="N587" s="91"/>
      <x:c r="O587" s="91"/>
      <x:c r="P587" s="91"/>
      <x:c r="Q587" s="85"/>
      <x:c r="S587" s="86"/>
      <x:c r="T587" s="32"/>
    </x:row>
    <x:row r="588">
      <x:c r="A588" s="87"/>
      <x:c r="B588" s="88"/>
      <x:c r="D588" s="32"/>
      <x:c r="I588" s="74"/>
      <x:c r="J588" s="74"/>
      <x:c r="K588" s="74"/>
      <x:c r="L588" s="74"/>
      <x:c r="M588" s="91"/>
      <x:c r="N588" s="91"/>
      <x:c r="O588" s="91"/>
      <x:c r="P588" s="91"/>
      <x:c r="Q588" s="85"/>
      <x:c r="S588" s="86"/>
      <x:c r="T588" s="32"/>
    </x:row>
    <x:row r="589">
      <x:c r="A589" s="87"/>
      <x:c r="B589" s="88"/>
      <x:c r="D589" s="32"/>
      <x:c r="I589" s="74"/>
      <x:c r="J589" s="74"/>
      <x:c r="K589" s="74"/>
      <x:c r="L589" s="74"/>
      <x:c r="M589" s="91"/>
      <x:c r="N589" s="91"/>
      <x:c r="O589" s="91"/>
      <x:c r="P589" s="91"/>
      <x:c r="Q589" s="85"/>
      <x:c r="S589" s="86"/>
      <x:c r="T589" s="32"/>
    </x:row>
    <x:row r="590">
      <x:c r="A590" s="87"/>
      <x:c r="B590" s="88"/>
      <x:c r="D590" s="32"/>
      <x:c r="I590" s="74"/>
      <x:c r="J590" s="74"/>
      <x:c r="K590" s="74"/>
      <x:c r="L590" s="74"/>
      <x:c r="M590" s="91"/>
      <x:c r="N590" s="91"/>
      <x:c r="O590" s="91"/>
      <x:c r="P590" s="91"/>
      <x:c r="Q590" s="85"/>
      <x:c r="S590" s="86"/>
      <x:c r="T590" s="32"/>
    </x:row>
    <x:row r="591">
      <x:c r="A591" s="87"/>
      <x:c r="B591" s="88"/>
      <x:c r="D591" s="32"/>
      <x:c r="I591" s="74"/>
      <x:c r="J591" s="74"/>
      <x:c r="K591" s="74"/>
      <x:c r="L591" s="74"/>
      <x:c r="M591" s="91"/>
      <x:c r="N591" s="91"/>
      <x:c r="O591" s="91"/>
      <x:c r="P591" s="91"/>
      <x:c r="Q591" s="85"/>
      <x:c r="S591" s="86"/>
      <x:c r="T591" s="32"/>
    </x:row>
    <x:row r="592">
      <x:c r="A592" s="87"/>
      <x:c r="B592" s="88"/>
      <x:c r="D592" s="32"/>
      <x:c r="I592" s="74"/>
      <x:c r="J592" s="74"/>
      <x:c r="K592" s="74"/>
      <x:c r="L592" s="74"/>
      <x:c r="M592" s="91"/>
      <x:c r="N592" s="91"/>
      <x:c r="O592" s="91"/>
      <x:c r="P592" s="91"/>
      <x:c r="Q592" s="85"/>
      <x:c r="S592" s="86"/>
      <x:c r="T592" s="32"/>
    </x:row>
    <x:row r="593">
      <x:c r="A593" s="87"/>
      <x:c r="B593" s="88"/>
      <x:c r="D593" s="32"/>
      <x:c r="I593" s="74"/>
      <x:c r="J593" s="74"/>
      <x:c r="K593" s="74"/>
      <x:c r="L593" s="74"/>
      <x:c r="M593" s="91"/>
      <x:c r="N593" s="91"/>
      <x:c r="O593" s="91"/>
      <x:c r="P593" s="91"/>
      <x:c r="Q593" s="85"/>
      <x:c r="S593" s="86"/>
      <x:c r="T593" s="32"/>
    </x:row>
    <x:row r="594">
      <x:c r="A594" s="87"/>
      <x:c r="B594" s="88"/>
      <x:c r="D594" s="32"/>
      <x:c r="I594" s="74"/>
      <x:c r="J594" s="74"/>
      <x:c r="K594" s="74"/>
      <x:c r="L594" s="74"/>
      <x:c r="M594" s="91"/>
      <x:c r="N594" s="91"/>
      <x:c r="O594" s="91"/>
      <x:c r="P594" s="91"/>
      <x:c r="Q594" s="85"/>
      <x:c r="S594" s="86"/>
      <x:c r="T594" s="32"/>
    </x:row>
    <x:row r="595">
      <x:c r="A595" s="87"/>
      <x:c r="B595" s="88"/>
      <x:c r="D595" s="32"/>
      <x:c r="I595" s="74"/>
      <x:c r="J595" s="74"/>
      <x:c r="K595" s="74"/>
      <x:c r="L595" s="74"/>
      <x:c r="M595" s="91"/>
      <x:c r="N595" s="91"/>
      <x:c r="O595" s="91"/>
      <x:c r="P595" s="91"/>
      <x:c r="Q595" s="85"/>
      <x:c r="S595" s="86"/>
      <x:c r="T595" s="32"/>
    </x:row>
    <x:row r="596">
      <x:c r="A596" s="87"/>
      <x:c r="B596" s="88"/>
      <x:c r="D596" s="32"/>
      <x:c r="I596" s="74"/>
      <x:c r="J596" s="74"/>
      <x:c r="K596" s="74"/>
      <x:c r="L596" s="74"/>
      <x:c r="M596" s="91"/>
      <x:c r="N596" s="91"/>
      <x:c r="O596" s="91"/>
      <x:c r="P596" s="91"/>
      <x:c r="Q596" s="85"/>
      <x:c r="S596" s="86"/>
      <x:c r="T596" s="32"/>
    </x:row>
    <x:row r="597">
      <x:c r="A597" s="87"/>
      <x:c r="B597" s="88"/>
      <x:c r="D597" s="32"/>
      <x:c r="I597" s="74"/>
      <x:c r="J597" s="74"/>
      <x:c r="K597" s="74"/>
      <x:c r="L597" s="74"/>
      <x:c r="M597" s="91"/>
      <x:c r="N597" s="91"/>
      <x:c r="O597" s="91"/>
      <x:c r="P597" s="91"/>
      <x:c r="Q597" s="85"/>
      <x:c r="S597" s="86"/>
      <x:c r="T597" s="32"/>
    </x:row>
    <x:row r="598">
      <x:c r="A598" s="87"/>
      <x:c r="B598" s="88"/>
      <x:c r="D598" s="32"/>
      <x:c r="I598" s="74"/>
      <x:c r="J598" s="74"/>
      <x:c r="K598" s="74"/>
      <x:c r="L598" s="74"/>
      <x:c r="M598" s="91"/>
      <x:c r="N598" s="91"/>
      <x:c r="O598" s="91"/>
      <x:c r="P598" s="91"/>
      <x:c r="Q598" s="85"/>
      <x:c r="S598" s="86"/>
      <x:c r="T598" s="32"/>
    </x:row>
    <x:row r="599">
      <x:c r="A599" s="87"/>
      <x:c r="B599" s="88"/>
      <x:c r="D599" s="32"/>
      <x:c r="I599" s="74"/>
      <x:c r="J599" s="74"/>
      <x:c r="K599" s="74"/>
      <x:c r="L599" s="74"/>
      <x:c r="M599" s="91"/>
      <x:c r="N599" s="91"/>
      <x:c r="O599" s="91"/>
      <x:c r="P599" s="91"/>
      <x:c r="Q599" s="85"/>
      <x:c r="S599" s="86"/>
      <x:c r="T599" s="32"/>
    </x:row>
    <x:row r="600">
      <x:c r="A600" s="87"/>
      <x:c r="B600" s="88"/>
      <x:c r="D600" s="32"/>
      <x:c r="I600" s="74"/>
      <x:c r="J600" s="74"/>
      <x:c r="K600" s="74"/>
      <x:c r="L600" s="74"/>
      <x:c r="M600" s="91"/>
      <x:c r="N600" s="91"/>
      <x:c r="O600" s="91"/>
      <x:c r="P600" s="91"/>
      <x:c r="Q600" s="85"/>
      <x:c r="S600" s="86"/>
      <x:c r="T600" s="32"/>
    </x:row>
    <x:row r="601">
      <x:c r="A601" s="87"/>
      <x:c r="B601" s="88"/>
      <x:c r="D601" s="32"/>
      <x:c r="I601" s="74"/>
      <x:c r="J601" s="74"/>
      <x:c r="K601" s="74"/>
      <x:c r="L601" s="74"/>
      <x:c r="M601" s="91"/>
      <x:c r="N601" s="91"/>
      <x:c r="O601" s="91"/>
      <x:c r="P601" s="91"/>
      <x:c r="Q601" s="85"/>
      <x:c r="S601" s="86"/>
      <x:c r="T601" s="32"/>
    </x:row>
    <x:row r="602">
      <x:c r="A602" s="87"/>
      <x:c r="B602" s="88"/>
      <x:c r="D602" s="32"/>
      <x:c r="I602" s="74"/>
      <x:c r="J602" s="74"/>
      <x:c r="K602" s="74"/>
      <x:c r="L602" s="74"/>
      <x:c r="M602" s="91"/>
      <x:c r="N602" s="91"/>
      <x:c r="O602" s="91"/>
      <x:c r="P602" s="91"/>
      <x:c r="Q602" s="85"/>
      <x:c r="S602" s="86"/>
      <x:c r="T602" s="32"/>
    </x:row>
    <x:row r="603">
      <x:c r="A603" s="87"/>
      <x:c r="B603" s="88"/>
      <x:c r="D603" s="32"/>
      <x:c r="I603" s="74"/>
      <x:c r="J603" s="74"/>
      <x:c r="K603" s="74"/>
      <x:c r="L603" s="74"/>
      <x:c r="M603" s="91"/>
      <x:c r="N603" s="91"/>
      <x:c r="O603" s="91"/>
      <x:c r="P603" s="91"/>
      <x:c r="Q603" s="85"/>
      <x:c r="S603" s="86"/>
      <x:c r="T603" s="32"/>
    </x:row>
    <x:row r="604">
      <x:c r="A604" s="87"/>
      <x:c r="B604" s="88"/>
      <x:c r="D604" s="32"/>
      <x:c r="I604" s="74"/>
      <x:c r="J604" s="74"/>
      <x:c r="K604" s="74"/>
      <x:c r="L604" s="74"/>
      <x:c r="M604" s="91"/>
      <x:c r="N604" s="91"/>
      <x:c r="O604" s="91"/>
      <x:c r="P604" s="91"/>
      <x:c r="Q604" s="85"/>
      <x:c r="S604" s="86"/>
      <x:c r="T604" s="32"/>
    </x:row>
    <x:row r="605">
      <x:c r="A605" s="87"/>
      <x:c r="B605" s="88"/>
      <x:c r="D605" s="32"/>
      <x:c r="I605" s="74"/>
      <x:c r="J605" s="74"/>
      <x:c r="K605" s="74"/>
      <x:c r="L605" s="74"/>
      <x:c r="M605" s="91"/>
      <x:c r="N605" s="91"/>
      <x:c r="O605" s="91"/>
      <x:c r="P605" s="91"/>
      <x:c r="Q605" s="85"/>
      <x:c r="S605" s="86"/>
      <x:c r="T605" s="32"/>
    </x:row>
    <x:row r="606">
      <x:c r="A606" s="87"/>
      <x:c r="B606" s="88"/>
      <x:c r="D606" s="32"/>
      <x:c r="I606" s="74"/>
      <x:c r="J606" s="74"/>
      <x:c r="K606" s="74"/>
      <x:c r="L606" s="74"/>
      <x:c r="M606" s="91"/>
      <x:c r="N606" s="91"/>
      <x:c r="O606" s="91"/>
      <x:c r="P606" s="91"/>
      <x:c r="Q606" s="85"/>
      <x:c r="S606" s="86"/>
      <x:c r="T606" s="32"/>
    </x:row>
    <x:row r="607">
      <x:c r="A607" s="87"/>
      <x:c r="B607" s="88"/>
      <x:c r="D607" s="32"/>
      <x:c r="I607" s="74"/>
      <x:c r="J607" s="74"/>
      <x:c r="K607" s="74"/>
      <x:c r="L607" s="74"/>
      <x:c r="M607" s="91"/>
      <x:c r="N607" s="91"/>
      <x:c r="O607" s="91"/>
      <x:c r="P607" s="91"/>
      <x:c r="Q607" s="85"/>
      <x:c r="S607" s="86"/>
      <x:c r="T607" s="32"/>
    </x:row>
    <x:row r="608">
      <x:c r="A608" s="87"/>
      <x:c r="B608" s="88"/>
      <x:c r="D608" s="32"/>
      <x:c r="I608" s="74"/>
      <x:c r="J608" s="74"/>
      <x:c r="K608" s="74"/>
      <x:c r="L608" s="74"/>
      <x:c r="M608" s="91"/>
      <x:c r="N608" s="91"/>
      <x:c r="O608" s="91"/>
      <x:c r="P608" s="91"/>
      <x:c r="Q608" s="85"/>
      <x:c r="S608" s="86"/>
      <x:c r="T608" s="32"/>
    </x:row>
    <x:row r="609">
      <x:c r="A609" s="87"/>
      <x:c r="B609" s="88"/>
      <x:c r="D609" s="32"/>
      <x:c r="I609" s="74"/>
      <x:c r="J609" s="74"/>
      <x:c r="K609" s="74"/>
      <x:c r="L609" s="74"/>
      <x:c r="M609" s="91"/>
      <x:c r="N609" s="91"/>
      <x:c r="O609" s="91"/>
      <x:c r="P609" s="91"/>
      <x:c r="Q609" s="85"/>
      <x:c r="S609" s="86"/>
      <x:c r="T609" s="32"/>
    </x:row>
    <x:row r="610">
      <x:c r="A610" s="87"/>
      <x:c r="B610" s="88"/>
      <x:c r="D610" s="32"/>
      <x:c r="I610" s="74"/>
      <x:c r="J610" s="74"/>
      <x:c r="K610" s="74"/>
      <x:c r="L610" s="74"/>
      <x:c r="M610" s="91"/>
      <x:c r="N610" s="91"/>
      <x:c r="O610" s="91"/>
      <x:c r="P610" s="91"/>
      <x:c r="Q610" s="85"/>
      <x:c r="S610" s="86"/>
      <x:c r="T610" s="32"/>
    </x:row>
    <x:row r="611">
      <x:c r="A611" s="87"/>
      <x:c r="B611" s="88"/>
      <x:c r="D611" s="32"/>
      <x:c r="I611" s="74"/>
      <x:c r="J611" s="74"/>
      <x:c r="K611" s="74"/>
      <x:c r="L611" s="74"/>
      <x:c r="M611" s="91"/>
      <x:c r="N611" s="91"/>
      <x:c r="O611" s="91"/>
      <x:c r="P611" s="91"/>
      <x:c r="Q611" s="85"/>
      <x:c r="S611" s="86"/>
      <x:c r="T611" s="32"/>
    </x:row>
    <x:row r="612">
      <x:c r="A612" s="87"/>
      <x:c r="B612" s="88"/>
      <x:c r="D612" s="32"/>
      <x:c r="I612" s="74"/>
      <x:c r="J612" s="74"/>
      <x:c r="K612" s="74"/>
      <x:c r="L612" s="74"/>
      <x:c r="M612" s="91"/>
      <x:c r="N612" s="91"/>
      <x:c r="O612" s="91"/>
      <x:c r="P612" s="91"/>
      <x:c r="Q612" s="85"/>
      <x:c r="S612" s="86"/>
      <x:c r="T612" s="32"/>
    </x:row>
    <x:row r="613">
      <x:c r="A613" s="87"/>
      <x:c r="B613" s="88"/>
      <x:c r="D613" s="32"/>
      <x:c r="I613" s="74"/>
      <x:c r="J613" s="74"/>
      <x:c r="K613" s="74"/>
      <x:c r="L613" s="74"/>
      <x:c r="M613" s="91"/>
      <x:c r="N613" s="91"/>
      <x:c r="O613" s="91"/>
      <x:c r="P613" s="91"/>
      <x:c r="Q613" s="85"/>
      <x:c r="S613" s="86"/>
      <x:c r="T613" s="32"/>
    </x:row>
    <x:row r="614">
      <x:c r="A614" s="87"/>
      <x:c r="B614" s="88"/>
      <x:c r="D614" s="32"/>
      <x:c r="I614" s="74"/>
      <x:c r="J614" s="74"/>
      <x:c r="K614" s="74"/>
      <x:c r="L614" s="74"/>
      <x:c r="M614" s="91"/>
      <x:c r="N614" s="91"/>
      <x:c r="O614" s="91"/>
      <x:c r="P614" s="91"/>
      <x:c r="Q614" s="85"/>
      <x:c r="S614" s="86"/>
      <x:c r="T614" s="32"/>
    </x:row>
    <x:row r="615">
      <x:c r="A615" s="87"/>
      <x:c r="B615" s="88"/>
      <x:c r="D615" s="32"/>
      <x:c r="I615" s="74"/>
      <x:c r="J615" s="74"/>
      <x:c r="K615" s="74"/>
      <x:c r="L615" s="74"/>
      <x:c r="M615" s="91"/>
      <x:c r="N615" s="91"/>
      <x:c r="O615" s="91"/>
      <x:c r="P615" s="91"/>
      <x:c r="Q615" s="85"/>
      <x:c r="S615" s="86"/>
      <x:c r="T615" s="32"/>
    </x:row>
    <x:row r="616">
      <x:c r="A616" s="87"/>
      <x:c r="B616" s="88"/>
      <x:c r="D616" s="32"/>
      <x:c r="I616" s="74"/>
      <x:c r="J616" s="74"/>
      <x:c r="K616" s="74"/>
      <x:c r="L616" s="74"/>
      <x:c r="M616" s="91"/>
      <x:c r="N616" s="91"/>
      <x:c r="O616" s="91"/>
      <x:c r="P616" s="91"/>
      <x:c r="Q616" s="85"/>
      <x:c r="S616" s="86"/>
      <x:c r="T616" s="32"/>
    </x:row>
    <x:row r="617">
      <x:c r="A617" s="87"/>
      <x:c r="B617" s="88"/>
      <x:c r="D617" s="32"/>
      <x:c r="I617" s="74"/>
      <x:c r="J617" s="74"/>
      <x:c r="K617" s="74"/>
      <x:c r="L617" s="74"/>
      <x:c r="M617" s="91"/>
      <x:c r="N617" s="91"/>
      <x:c r="O617" s="91"/>
      <x:c r="P617" s="91"/>
      <x:c r="Q617" s="85"/>
      <x:c r="S617" s="86"/>
      <x:c r="T617" s="32"/>
    </x:row>
    <x:row r="618">
      <x:c r="A618" s="87"/>
      <x:c r="B618" s="88"/>
      <x:c r="D618" s="32"/>
      <x:c r="I618" s="74"/>
      <x:c r="J618" s="74"/>
      <x:c r="K618" s="74"/>
      <x:c r="L618" s="74"/>
      <x:c r="M618" s="91"/>
      <x:c r="N618" s="91"/>
      <x:c r="O618" s="91"/>
      <x:c r="P618" s="91"/>
      <x:c r="Q618" s="85"/>
      <x:c r="S618" s="86"/>
      <x:c r="T618" s="32"/>
    </x:row>
    <x:row r="619">
      <x:c r="A619" s="87"/>
      <x:c r="B619" s="88"/>
      <x:c r="D619" s="32"/>
      <x:c r="I619" s="74"/>
      <x:c r="J619" s="74"/>
      <x:c r="K619" s="74"/>
      <x:c r="L619" s="74"/>
      <x:c r="M619" s="91"/>
      <x:c r="N619" s="91"/>
      <x:c r="O619" s="91"/>
      <x:c r="P619" s="91"/>
      <x:c r="Q619" s="85"/>
      <x:c r="S619" s="86"/>
      <x:c r="T619" s="32"/>
    </x:row>
    <x:row r="620">
      <x:c r="A620" s="87"/>
      <x:c r="B620" s="88"/>
      <x:c r="D620" s="32"/>
      <x:c r="I620" s="74"/>
      <x:c r="J620" s="74"/>
      <x:c r="K620" s="74"/>
      <x:c r="L620" s="74"/>
      <x:c r="M620" s="91"/>
      <x:c r="N620" s="91"/>
      <x:c r="O620" s="91"/>
      <x:c r="P620" s="91"/>
      <x:c r="Q620" s="85"/>
      <x:c r="S620" s="86"/>
      <x:c r="T620" s="32"/>
    </x:row>
    <x:row r="621">
      <x:c r="A621" s="87"/>
      <x:c r="B621" s="88"/>
      <x:c r="D621" s="32"/>
      <x:c r="I621" s="74"/>
      <x:c r="J621" s="74"/>
      <x:c r="K621" s="74"/>
      <x:c r="L621" s="74"/>
      <x:c r="M621" s="91"/>
      <x:c r="N621" s="91"/>
      <x:c r="O621" s="91"/>
      <x:c r="P621" s="91"/>
      <x:c r="Q621" s="85"/>
      <x:c r="S621" s="86"/>
      <x:c r="T621" s="32"/>
    </x:row>
    <x:row r="622">
      <x:c r="A622" s="87"/>
      <x:c r="B622" s="88"/>
      <x:c r="D622" s="32"/>
      <x:c r="I622" s="74"/>
      <x:c r="J622" s="74"/>
      <x:c r="K622" s="74"/>
      <x:c r="L622" s="74"/>
      <x:c r="M622" s="91"/>
      <x:c r="N622" s="91"/>
      <x:c r="O622" s="91"/>
      <x:c r="P622" s="91"/>
      <x:c r="Q622" s="85"/>
      <x:c r="S622" s="86"/>
      <x:c r="T622" s="32"/>
    </x:row>
    <x:row r="623">
      <x:c r="A623" s="87"/>
      <x:c r="B623" s="88"/>
      <x:c r="D623" s="32"/>
      <x:c r="I623" s="74"/>
      <x:c r="J623" s="74"/>
      <x:c r="K623" s="74"/>
      <x:c r="L623" s="74"/>
      <x:c r="M623" s="91"/>
      <x:c r="N623" s="91"/>
      <x:c r="O623" s="91"/>
      <x:c r="P623" s="91"/>
      <x:c r="Q623" s="85"/>
      <x:c r="S623" s="86"/>
      <x:c r="T623" s="32"/>
    </x:row>
    <x:row r="624">
      <x:c r="A624" s="87"/>
      <x:c r="B624" s="88"/>
      <x:c r="D624" s="32"/>
      <x:c r="I624" s="74"/>
      <x:c r="J624" s="74"/>
      <x:c r="K624" s="74"/>
      <x:c r="L624" s="74"/>
      <x:c r="M624" s="91"/>
      <x:c r="N624" s="91"/>
      <x:c r="O624" s="91"/>
      <x:c r="P624" s="91"/>
      <x:c r="Q624" s="85"/>
      <x:c r="S624" s="86"/>
      <x:c r="T624" s="32"/>
    </x:row>
    <x:row r="625">
      <x:c r="A625" s="87"/>
      <x:c r="B625" s="88"/>
      <x:c r="D625" s="32"/>
      <x:c r="I625" s="74"/>
      <x:c r="J625" s="74"/>
      <x:c r="K625" s="74"/>
      <x:c r="L625" s="74"/>
      <x:c r="M625" s="91"/>
      <x:c r="N625" s="91"/>
      <x:c r="O625" s="91"/>
      <x:c r="P625" s="91"/>
      <x:c r="Q625" s="85"/>
      <x:c r="S625" s="86"/>
      <x:c r="T625" s="32"/>
    </x:row>
    <x:row r="626">
      <x:c r="A626" s="87"/>
      <x:c r="B626" s="88"/>
      <x:c r="D626" s="32"/>
      <x:c r="I626" s="74"/>
      <x:c r="J626" s="74"/>
      <x:c r="K626" s="74"/>
      <x:c r="L626" s="74"/>
      <x:c r="M626" s="91"/>
      <x:c r="N626" s="91"/>
      <x:c r="O626" s="91"/>
      <x:c r="P626" s="91"/>
      <x:c r="Q626" s="85"/>
      <x:c r="S626" s="86"/>
      <x:c r="T626" s="32"/>
    </x:row>
    <x:row r="627">
      <x:c r="A627" s="87"/>
      <x:c r="B627" s="88"/>
      <x:c r="D627" s="32"/>
      <x:c r="I627" s="74"/>
      <x:c r="J627" s="74"/>
      <x:c r="K627" s="74"/>
      <x:c r="L627" s="74"/>
      <x:c r="M627" s="91"/>
      <x:c r="N627" s="91"/>
      <x:c r="O627" s="91"/>
      <x:c r="P627" s="91"/>
      <x:c r="Q627" s="85"/>
      <x:c r="S627" s="86"/>
      <x:c r="T627" s="32"/>
    </x:row>
    <x:row r="628">
      <x:c r="A628" s="87"/>
      <x:c r="B628" s="88"/>
      <x:c r="D628" s="32"/>
      <x:c r="I628" s="74"/>
      <x:c r="J628" s="74"/>
      <x:c r="K628" s="74"/>
      <x:c r="L628" s="74"/>
      <x:c r="M628" s="91"/>
      <x:c r="N628" s="91"/>
      <x:c r="O628" s="91"/>
      <x:c r="P628" s="91"/>
      <x:c r="Q628" s="85"/>
      <x:c r="S628" s="86"/>
      <x:c r="T628" s="32"/>
    </x:row>
    <x:row r="629">
      <x:c r="A629" s="87"/>
      <x:c r="B629" s="88"/>
      <x:c r="D629" s="32"/>
      <x:c r="I629" s="74"/>
      <x:c r="J629" s="74"/>
      <x:c r="K629" s="74"/>
      <x:c r="L629" s="74"/>
      <x:c r="M629" s="91"/>
      <x:c r="N629" s="91"/>
      <x:c r="O629" s="91"/>
      <x:c r="P629" s="91"/>
      <x:c r="Q629" s="85"/>
      <x:c r="S629" s="86"/>
      <x:c r="T629" s="32"/>
    </x:row>
    <x:row r="630">
      <x:c r="A630" s="87"/>
      <x:c r="B630" s="88"/>
      <x:c r="D630" s="32"/>
      <x:c r="I630" s="74"/>
      <x:c r="J630" s="74"/>
      <x:c r="K630" s="74"/>
      <x:c r="L630" s="74"/>
      <x:c r="M630" s="91"/>
      <x:c r="N630" s="91"/>
      <x:c r="O630" s="91"/>
      <x:c r="P630" s="91"/>
      <x:c r="Q630" s="85"/>
      <x:c r="S630" s="86"/>
      <x:c r="T630" s="32"/>
    </x:row>
    <x:row r="631">
      <x:c r="A631" s="87"/>
      <x:c r="B631" s="88"/>
      <x:c r="D631" s="32"/>
      <x:c r="I631" s="74"/>
      <x:c r="J631" s="74"/>
      <x:c r="K631" s="74"/>
      <x:c r="L631" s="74"/>
      <x:c r="M631" s="91"/>
      <x:c r="N631" s="91"/>
      <x:c r="O631" s="91"/>
      <x:c r="P631" s="91"/>
      <x:c r="Q631" s="85"/>
      <x:c r="S631" s="86"/>
      <x:c r="T631" s="32"/>
    </x:row>
    <x:row r="632">
      <x:c r="A632" s="87"/>
      <x:c r="B632" s="88"/>
      <x:c r="D632" s="32"/>
      <x:c r="I632" s="74"/>
      <x:c r="J632" s="74"/>
      <x:c r="K632" s="74"/>
      <x:c r="L632" s="74"/>
      <x:c r="M632" s="91"/>
      <x:c r="N632" s="91"/>
      <x:c r="O632" s="91"/>
      <x:c r="P632" s="91"/>
      <x:c r="Q632" s="85"/>
      <x:c r="S632" s="86"/>
      <x:c r="T632" s="32"/>
    </x:row>
    <x:row r="633">
      <x:c r="A633" s="87"/>
      <x:c r="B633" s="88"/>
      <x:c r="D633" s="32"/>
      <x:c r="I633" s="74"/>
      <x:c r="J633" s="74"/>
      <x:c r="K633" s="74"/>
      <x:c r="L633" s="74"/>
      <x:c r="M633" s="91"/>
      <x:c r="N633" s="91"/>
      <x:c r="O633" s="91"/>
      <x:c r="P633" s="91"/>
      <x:c r="Q633" s="85"/>
      <x:c r="S633" s="86"/>
      <x:c r="T633" s="32"/>
    </x:row>
    <x:row r="634">
      <x:c r="A634" s="87"/>
      <x:c r="B634" s="88"/>
      <x:c r="D634" s="32"/>
      <x:c r="I634" s="74"/>
      <x:c r="J634" s="74"/>
      <x:c r="K634" s="74"/>
      <x:c r="L634" s="74"/>
      <x:c r="M634" s="91"/>
      <x:c r="N634" s="91"/>
      <x:c r="O634" s="91"/>
      <x:c r="P634" s="91"/>
      <x:c r="Q634" s="85"/>
      <x:c r="S634" s="86"/>
      <x:c r="T634" s="32"/>
    </x:row>
    <x:row r="635">
      <x:c r="A635" s="87"/>
      <x:c r="B635" s="88"/>
      <x:c r="D635" s="32"/>
      <x:c r="I635" s="74"/>
      <x:c r="J635" s="74"/>
      <x:c r="K635" s="74"/>
      <x:c r="L635" s="74"/>
      <x:c r="M635" s="91"/>
      <x:c r="N635" s="91"/>
      <x:c r="O635" s="91"/>
      <x:c r="P635" s="91"/>
      <x:c r="Q635" s="85"/>
      <x:c r="S635" s="86"/>
      <x:c r="T635" s="32"/>
    </x:row>
    <x:row r="636">
      <x:c r="A636" s="87"/>
      <x:c r="B636" s="88"/>
      <x:c r="D636" s="32"/>
      <x:c r="I636" s="74"/>
      <x:c r="J636" s="74"/>
      <x:c r="K636" s="74"/>
      <x:c r="L636" s="74"/>
      <x:c r="M636" s="91"/>
      <x:c r="N636" s="91"/>
      <x:c r="O636" s="91"/>
      <x:c r="P636" s="91"/>
      <x:c r="Q636" s="85"/>
      <x:c r="S636" s="86"/>
      <x:c r="T636" s="32"/>
    </x:row>
    <x:row r="637">
      <x:c r="A637" s="87"/>
      <x:c r="B637" s="88"/>
      <x:c r="D637" s="32"/>
      <x:c r="I637" s="74"/>
      <x:c r="J637" s="74"/>
      <x:c r="K637" s="74"/>
      <x:c r="L637" s="74"/>
      <x:c r="M637" s="91"/>
      <x:c r="N637" s="91"/>
      <x:c r="O637" s="91"/>
      <x:c r="P637" s="91"/>
      <x:c r="Q637" s="85"/>
      <x:c r="S637" s="86"/>
      <x:c r="T637" s="32"/>
    </x:row>
    <x:row r="638">
      <x:c r="A638" s="87"/>
      <x:c r="B638" s="88"/>
      <x:c r="D638" s="32"/>
      <x:c r="I638" s="74"/>
      <x:c r="J638" s="74"/>
      <x:c r="K638" s="74"/>
      <x:c r="L638" s="74"/>
      <x:c r="M638" s="91"/>
      <x:c r="N638" s="91"/>
      <x:c r="O638" s="91"/>
      <x:c r="P638" s="91"/>
      <x:c r="Q638" s="85"/>
      <x:c r="S638" s="86"/>
      <x:c r="T638" s="32"/>
    </x:row>
    <x:row r="639">
      <x:c r="A639" s="87"/>
      <x:c r="B639" s="88"/>
      <x:c r="D639" s="32"/>
      <x:c r="I639" s="74"/>
      <x:c r="J639" s="74"/>
      <x:c r="K639" s="74"/>
      <x:c r="L639" s="74"/>
      <x:c r="M639" s="91"/>
      <x:c r="N639" s="91"/>
      <x:c r="O639" s="91"/>
      <x:c r="P639" s="91"/>
      <x:c r="Q639" s="85"/>
      <x:c r="S639" s="86"/>
      <x:c r="T639" s="32"/>
    </x:row>
    <x:row r="640">
      <x:c r="A640" s="87"/>
      <x:c r="B640" s="88"/>
      <x:c r="D640" s="32"/>
      <x:c r="I640" s="74"/>
      <x:c r="J640" s="74"/>
      <x:c r="K640" s="74"/>
      <x:c r="L640" s="74"/>
      <x:c r="M640" s="91"/>
      <x:c r="N640" s="91"/>
      <x:c r="O640" s="91"/>
      <x:c r="P640" s="91"/>
      <x:c r="Q640" s="85"/>
      <x:c r="S640" s="86"/>
      <x:c r="T640" s="32"/>
    </x:row>
    <x:row r="641">
      <x:c r="A641" s="87"/>
      <x:c r="B641" s="88"/>
      <x:c r="D641" s="32"/>
      <x:c r="I641" s="74"/>
      <x:c r="J641" s="74"/>
      <x:c r="K641" s="74"/>
      <x:c r="L641" s="74"/>
      <x:c r="M641" s="91"/>
      <x:c r="N641" s="91"/>
      <x:c r="O641" s="91"/>
      <x:c r="P641" s="91"/>
      <x:c r="Q641" s="85"/>
      <x:c r="S641" s="86"/>
      <x:c r="T641" s="32"/>
    </x:row>
    <x:row r="642">
      <x:c r="A642" s="87"/>
      <x:c r="B642" s="88"/>
      <x:c r="D642" s="32"/>
      <x:c r="I642" s="74"/>
      <x:c r="J642" s="74"/>
      <x:c r="K642" s="74"/>
      <x:c r="L642" s="74"/>
      <x:c r="M642" s="91"/>
      <x:c r="N642" s="91"/>
      <x:c r="O642" s="91"/>
      <x:c r="P642" s="91"/>
      <x:c r="Q642" s="85"/>
      <x:c r="S642" s="86"/>
      <x:c r="T642" s="32"/>
    </x:row>
    <x:row r="643">
      <x:c r="A643" s="87"/>
      <x:c r="B643" s="88"/>
      <x:c r="D643" s="32"/>
      <x:c r="I643" s="74"/>
      <x:c r="J643" s="74"/>
      <x:c r="K643" s="74"/>
      <x:c r="L643" s="74"/>
      <x:c r="M643" s="91"/>
      <x:c r="N643" s="91"/>
      <x:c r="O643" s="91"/>
      <x:c r="P643" s="91"/>
      <x:c r="Q643" s="85"/>
      <x:c r="S643" s="86"/>
      <x:c r="T643" s="32"/>
    </x:row>
    <x:row r="644">
      <x:c r="A644" s="87"/>
      <x:c r="B644" s="88"/>
      <x:c r="D644" s="32"/>
      <x:c r="I644" s="74"/>
      <x:c r="J644" s="74"/>
      <x:c r="K644" s="74"/>
      <x:c r="L644" s="74"/>
      <x:c r="M644" s="91"/>
      <x:c r="N644" s="91"/>
      <x:c r="O644" s="91"/>
      <x:c r="P644" s="91"/>
      <x:c r="Q644" s="85"/>
      <x:c r="S644" s="86"/>
      <x:c r="T644" s="32"/>
    </x:row>
    <x:row r="645">
      <x:c r="A645" s="87"/>
      <x:c r="B645" s="88"/>
      <x:c r="D645" s="32"/>
      <x:c r="I645" s="74"/>
      <x:c r="J645" s="74"/>
      <x:c r="K645" s="74"/>
      <x:c r="L645" s="74"/>
      <x:c r="M645" s="91"/>
      <x:c r="N645" s="91"/>
      <x:c r="O645" s="91"/>
      <x:c r="P645" s="91"/>
      <x:c r="Q645" s="85"/>
      <x:c r="S645" s="86"/>
      <x:c r="T645" s="32"/>
    </x:row>
    <x:row r="646">
      <x:c r="A646" s="87"/>
      <x:c r="B646" s="88"/>
      <x:c r="D646" s="32"/>
      <x:c r="I646" s="74"/>
      <x:c r="J646" s="74"/>
      <x:c r="K646" s="74"/>
      <x:c r="L646" s="74"/>
      <x:c r="M646" s="91"/>
      <x:c r="N646" s="91"/>
      <x:c r="O646" s="91"/>
      <x:c r="P646" s="91"/>
      <x:c r="Q646" s="85"/>
      <x:c r="S646" s="86"/>
      <x:c r="T646" s="32"/>
    </x:row>
    <x:row r="647">
      <x:c r="A647" s="87"/>
      <x:c r="B647" s="88"/>
      <x:c r="D647" s="32"/>
      <x:c r="I647" s="74"/>
      <x:c r="J647" s="74"/>
      <x:c r="K647" s="74"/>
      <x:c r="L647" s="74"/>
      <x:c r="M647" s="91"/>
      <x:c r="N647" s="91"/>
      <x:c r="O647" s="91"/>
      <x:c r="P647" s="91"/>
      <x:c r="Q647" s="85"/>
      <x:c r="S647" s="86"/>
      <x:c r="T647" s="32"/>
    </x:row>
    <x:row r="648">
      <x:c r="A648" s="87"/>
      <x:c r="B648" s="88"/>
      <x:c r="D648" s="32"/>
      <x:c r="I648" s="74"/>
      <x:c r="J648" s="74"/>
      <x:c r="K648" s="74"/>
      <x:c r="L648" s="74"/>
      <x:c r="M648" s="91"/>
      <x:c r="N648" s="91"/>
      <x:c r="O648" s="91"/>
      <x:c r="P648" s="91"/>
      <x:c r="Q648" s="85"/>
      <x:c r="S648" s="86"/>
      <x:c r="T648" s="32"/>
    </x:row>
    <x:row r="649">
      <x:c r="A649" s="87"/>
      <x:c r="B649" s="88"/>
      <x:c r="D649" s="32"/>
      <x:c r="I649" s="74"/>
      <x:c r="J649" s="74"/>
      <x:c r="K649" s="74"/>
      <x:c r="L649" s="74"/>
      <x:c r="M649" s="91"/>
      <x:c r="N649" s="91"/>
      <x:c r="O649" s="91"/>
      <x:c r="P649" s="91"/>
      <x:c r="Q649" s="85"/>
      <x:c r="S649" s="86"/>
      <x:c r="T649" s="32"/>
    </x:row>
    <x:row r="650">
      <x:c r="A650" s="87"/>
      <x:c r="B650" s="88"/>
      <x:c r="D650" s="32"/>
      <x:c r="I650" s="74"/>
      <x:c r="J650" s="74"/>
      <x:c r="K650" s="74"/>
      <x:c r="L650" s="74"/>
      <x:c r="M650" s="91"/>
      <x:c r="N650" s="91"/>
      <x:c r="O650" s="91"/>
      <x:c r="P650" s="91"/>
      <x:c r="Q650" s="85"/>
      <x:c r="S650" s="86"/>
      <x:c r="T650" s="32"/>
    </x:row>
    <x:row r="651">
      <x:c r="A651" s="87"/>
      <x:c r="B651" s="88"/>
      <x:c r="D651" s="32"/>
      <x:c r="I651" s="74"/>
      <x:c r="J651" s="74"/>
      <x:c r="K651" s="74"/>
      <x:c r="L651" s="74"/>
      <x:c r="M651" s="91"/>
      <x:c r="N651" s="91"/>
      <x:c r="O651" s="91"/>
      <x:c r="P651" s="91"/>
      <x:c r="Q651" s="85"/>
      <x:c r="S651" s="86"/>
      <x:c r="T651" s="32"/>
    </x:row>
    <x:row r="652">
      <x:c r="A652" s="87"/>
      <x:c r="B652" s="88"/>
      <x:c r="D652" s="32"/>
      <x:c r="I652" s="74"/>
      <x:c r="J652" s="74"/>
      <x:c r="K652" s="74"/>
      <x:c r="L652" s="74"/>
      <x:c r="M652" s="91"/>
      <x:c r="N652" s="91"/>
      <x:c r="O652" s="91"/>
      <x:c r="P652" s="91"/>
      <x:c r="Q652" s="85"/>
      <x:c r="S652" s="86"/>
      <x:c r="T652" s="32"/>
    </x:row>
    <x:row r="653">
      <x:c r="A653" s="87"/>
      <x:c r="B653" s="88"/>
      <x:c r="D653" s="32"/>
      <x:c r="I653" s="74"/>
      <x:c r="J653" s="74"/>
      <x:c r="K653" s="74"/>
      <x:c r="L653" s="74"/>
      <x:c r="M653" s="91"/>
      <x:c r="N653" s="91"/>
      <x:c r="O653" s="91"/>
      <x:c r="P653" s="91"/>
      <x:c r="Q653" s="85"/>
      <x:c r="S653" s="86"/>
      <x:c r="T653" s="32"/>
    </x:row>
    <x:row r="654">
      <x:c r="A654" s="87"/>
      <x:c r="B654" s="88"/>
      <x:c r="D654" s="32"/>
      <x:c r="I654" s="74"/>
      <x:c r="J654" s="74"/>
      <x:c r="K654" s="74"/>
      <x:c r="L654" s="74"/>
      <x:c r="M654" s="91"/>
      <x:c r="N654" s="91"/>
      <x:c r="O654" s="91"/>
      <x:c r="P654" s="91"/>
      <x:c r="Q654" s="85"/>
      <x:c r="S654" s="86"/>
      <x:c r="T654" s="32"/>
    </x:row>
    <x:row r="655">
      <x:c r="A655" s="87"/>
      <x:c r="B655" s="88"/>
      <x:c r="D655" s="32"/>
      <x:c r="I655" s="74"/>
      <x:c r="J655" s="74"/>
      <x:c r="K655" s="74"/>
      <x:c r="L655" s="74"/>
      <x:c r="M655" s="91"/>
      <x:c r="N655" s="91"/>
      <x:c r="O655" s="91"/>
      <x:c r="P655" s="91"/>
      <x:c r="Q655" s="85"/>
      <x:c r="S655" s="86"/>
      <x:c r="T655" s="32"/>
    </x:row>
    <x:row r="656">
      <x:c r="A656" s="87"/>
      <x:c r="B656" s="88"/>
      <x:c r="D656" s="32"/>
      <x:c r="I656" s="74"/>
      <x:c r="J656" s="74"/>
      <x:c r="K656" s="74"/>
      <x:c r="L656" s="74"/>
      <x:c r="M656" s="91"/>
      <x:c r="N656" s="91"/>
      <x:c r="O656" s="91"/>
      <x:c r="P656" s="91"/>
      <x:c r="Q656" s="85"/>
      <x:c r="S656" s="86"/>
      <x:c r="T656" s="32"/>
    </x:row>
    <x:row r="657">
      <x:c r="A657" s="87"/>
      <x:c r="B657" s="88"/>
      <x:c r="D657" s="32"/>
      <x:c r="I657" s="74"/>
      <x:c r="J657" s="74"/>
      <x:c r="K657" s="74"/>
      <x:c r="L657" s="74"/>
      <x:c r="M657" s="91"/>
      <x:c r="N657" s="91"/>
      <x:c r="O657" s="91"/>
      <x:c r="P657" s="91"/>
      <x:c r="Q657" s="85"/>
      <x:c r="S657" s="86"/>
      <x:c r="T657" s="32"/>
    </x:row>
    <x:row r="658">
      <x:c r="A658" s="87"/>
      <x:c r="B658" s="88"/>
      <x:c r="D658" s="32"/>
      <x:c r="I658" s="74"/>
      <x:c r="J658" s="74"/>
      <x:c r="K658" s="74"/>
      <x:c r="L658" s="74"/>
      <x:c r="M658" s="91"/>
      <x:c r="N658" s="91"/>
      <x:c r="O658" s="91"/>
      <x:c r="P658" s="91"/>
      <x:c r="Q658" s="85"/>
      <x:c r="S658" s="86"/>
      <x:c r="T658" s="32"/>
    </x:row>
    <x:row r="659">
      <x:c r="A659" s="87"/>
      <x:c r="B659" s="88"/>
      <x:c r="D659" s="32"/>
      <x:c r="I659" s="74"/>
      <x:c r="J659" s="74"/>
      <x:c r="K659" s="74"/>
      <x:c r="L659" s="74"/>
      <x:c r="M659" s="91"/>
      <x:c r="N659" s="91"/>
      <x:c r="O659" s="91"/>
      <x:c r="P659" s="91"/>
      <x:c r="Q659" s="85"/>
      <x:c r="S659" s="86"/>
      <x:c r="T659" s="32"/>
    </x:row>
    <x:row r="660">
      <x:c r="A660" s="87"/>
      <x:c r="B660" s="88"/>
      <x:c r="D660" s="32"/>
      <x:c r="I660" s="74"/>
      <x:c r="J660" s="74"/>
      <x:c r="K660" s="74"/>
      <x:c r="L660" s="74"/>
      <x:c r="M660" s="91"/>
      <x:c r="N660" s="91"/>
      <x:c r="O660" s="91"/>
      <x:c r="P660" s="91"/>
      <x:c r="Q660" s="85"/>
      <x:c r="S660" s="86"/>
      <x:c r="T660" s="32"/>
    </x:row>
    <x:row r="661">
      <x:c r="A661" s="87"/>
      <x:c r="B661" s="88"/>
      <x:c r="D661" s="32"/>
      <x:c r="I661" s="74"/>
      <x:c r="J661" s="74"/>
      <x:c r="K661" s="74"/>
      <x:c r="L661" s="74"/>
      <x:c r="M661" s="91"/>
      <x:c r="N661" s="91"/>
      <x:c r="O661" s="91"/>
      <x:c r="P661" s="91"/>
      <x:c r="Q661" s="85"/>
      <x:c r="S661" s="86"/>
      <x:c r="T661" s="32"/>
    </x:row>
    <x:row r="662">
      <x:c r="A662" s="87"/>
      <x:c r="B662" s="88"/>
      <x:c r="D662" s="32"/>
      <x:c r="I662" s="74"/>
      <x:c r="J662" s="74"/>
      <x:c r="K662" s="74"/>
      <x:c r="L662" s="74"/>
      <x:c r="M662" s="91"/>
      <x:c r="N662" s="91"/>
      <x:c r="O662" s="91"/>
      <x:c r="P662" s="91"/>
      <x:c r="Q662" s="85"/>
      <x:c r="S662" s="86"/>
      <x:c r="T662" s="32"/>
    </x:row>
    <x:row r="663">
      <x:c r="A663" s="87"/>
      <x:c r="B663" s="88"/>
      <x:c r="D663" s="32"/>
      <x:c r="I663" s="74"/>
      <x:c r="J663" s="74"/>
      <x:c r="K663" s="74"/>
      <x:c r="L663" s="74"/>
      <x:c r="M663" s="91"/>
      <x:c r="N663" s="91"/>
      <x:c r="O663" s="91"/>
      <x:c r="P663" s="91"/>
      <x:c r="Q663" s="85"/>
      <x:c r="S663" s="86"/>
      <x:c r="T663" s="32"/>
    </x:row>
    <x:row r="664">
      <x:c r="A664" s="87"/>
      <x:c r="B664" s="88"/>
      <x:c r="D664" s="32"/>
      <x:c r="I664" s="74"/>
      <x:c r="J664" s="74"/>
      <x:c r="K664" s="74"/>
      <x:c r="L664" s="74"/>
      <x:c r="M664" s="91"/>
      <x:c r="N664" s="91"/>
      <x:c r="O664" s="91"/>
      <x:c r="P664" s="91"/>
      <x:c r="Q664" s="85"/>
      <x:c r="S664" s="86"/>
      <x:c r="T664" s="32"/>
    </x:row>
    <x:row r="665">
      <x:c r="A665" s="87"/>
      <x:c r="B665" s="88"/>
      <x:c r="D665" s="32"/>
      <x:c r="I665" s="74"/>
      <x:c r="J665" s="74"/>
      <x:c r="K665" s="74"/>
      <x:c r="L665" s="74"/>
      <x:c r="M665" s="91"/>
      <x:c r="N665" s="91"/>
      <x:c r="O665" s="91"/>
      <x:c r="P665" s="91"/>
      <x:c r="Q665" s="85"/>
      <x:c r="S665" s="86"/>
      <x:c r="T665" s="32"/>
    </x:row>
    <x:row r="666">
      <x:c r="A666" s="87"/>
      <x:c r="B666" s="88"/>
      <x:c r="D666" s="32"/>
      <x:c r="I666" s="74"/>
      <x:c r="J666" s="74"/>
      <x:c r="K666" s="74"/>
      <x:c r="L666" s="74"/>
      <x:c r="M666" s="91"/>
      <x:c r="N666" s="91"/>
      <x:c r="O666" s="91"/>
      <x:c r="P666" s="91"/>
      <x:c r="Q666" s="85"/>
      <x:c r="S666" s="86"/>
      <x:c r="T666" s="32"/>
    </x:row>
    <x:row r="667">
      <x:c r="A667" s="87"/>
      <x:c r="B667" s="88"/>
      <x:c r="D667" s="32"/>
      <x:c r="I667" s="74"/>
      <x:c r="J667" s="74"/>
      <x:c r="K667" s="74"/>
      <x:c r="L667" s="74"/>
      <x:c r="M667" s="91"/>
      <x:c r="N667" s="91"/>
      <x:c r="O667" s="91"/>
      <x:c r="P667" s="91"/>
      <x:c r="Q667" s="85"/>
      <x:c r="S667" s="86"/>
      <x:c r="T667" s="32"/>
    </x:row>
    <x:row r="668">
      <x:c r="A668" s="87"/>
      <x:c r="B668" s="88"/>
      <x:c r="D668" s="32"/>
      <x:c r="I668" s="74"/>
      <x:c r="J668" s="74"/>
      <x:c r="K668" s="74"/>
      <x:c r="L668" s="74"/>
      <x:c r="M668" s="91"/>
      <x:c r="N668" s="91"/>
      <x:c r="O668" s="91"/>
      <x:c r="P668" s="91"/>
      <x:c r="Q668" s="85"/>
      <x:c r="S668" s="86"/>
      <x:c r="T668" s="32"/>
    </x:row>
    <x:row r="669">
      <x:c r="A669" s="87"/>
      <x:c r="B669" s="88"/>
      <x:c r="D669" s="32"/>
      <x:c r="I669" s="74"/>
      <x:c r="J669" s="74"/>
      <x:c r="K669" s="74"/>
      <x:c r="L669" s="74"/>
      <x:c r="M669" s="91"/>
      <x:c r="N669" s="91"/>
      <x:c r="O669" s="91"/>
      <x:c r="P669" s="91"/>
      <x:c r="Q669" s="85"/>
      <x:c r="S669" s="86"/>
      <x:c r="T669" s="32"/>
    </x:row>
    <x:row r="670">
      <x:c r="A670" s="87"/>
      <x:c r="B670" s="88"/>
      <x:c r="D670" s="32"/>
      <x:c r="I670" s="74"/>
      <x:c r="J670" s="74"/>
      <x:c r="K670" s="74"/>
      <x:c r="L670" s="74"/>
      <x:c r="M670" s="91"/>
      <x:c r="N670" s="91"/>
      <x:c r="O670" s="91"/>
      <x:c r="P670" s="91"/>
      <x:c r="Q670" s="85"/>
      <x:c r="S670" s="86"/>
      <x:c r="T670" s="32"/>
    </x:row>
    <x:row r="671">
      <x:c r="A671" s="87"/>
      <x:c r="B671" s="88"/>
      <x:c r="D671" s="32"/>
      <x:c r="I671" s="74"/>
      <x:c r="J671" s="74"/>
      <x:c r="K671" s="74"/>
      <x:c r="L671" s="74"/>
      <x:c r="M671" s="91"/>
      <x:c r="N671" s="91"/>
      <x:c r="O671" s="91"/>
      <x:c r="P671" s="91"/>
      <x:c r="Q671" s="85"/>
      <x:c r="S671" s="86"/>
      <x:c r="T671" s="32"/>
    </x:row>
    <x:row r="672">
      <x:c r="A672" s="87"/>
      <x:c r="B672" s="88"/>
      <x:c r="D672" s="32"/>
      <x:c r="I672" s="74"/>
      <x:c r="J672" s="74"/>
      <x:c r="K672" s="74"/>
      <x:c r="L672" s="74"/>
      <x:c r="M672" s="91"/>
      <x:c r="N672" s="91"/>
      <x:c r="O672" s="91"/>
      <x:c r="P672" s="91"/>
      <x:c r="Q672" s="85"/>
      <x:c r="S672" s="86"/>
      <x:c r="T672" s="32"/>
    </x:row>
    <x:row r="673">
      <x:c r="A673" s="87"/>
      <x:c r="B673" s="88"/>
      <x:c r="D673" s="32"/>
      <x:c r="I673" s="74"/>
      <x:c r="J673" s="74"/>
      <x:c r="K673" s="74"/>
      <x:c r="L673" s="74"/>
      <x:c r="M673" s="91"/>
      <x:c r="N673" s="91"/>
      <x:c r="O673" s="91"/>
      <x:c r="P673" s="91"/>
      <x:c r="Q673" s="85"/>
      <x:c r="S673" s="86"/>
      <x:c r="T673" s="32"/>
    </x:row>
    <x:row r="674">
      <x:c r="A674" s="87"/>
      <x:c r="B674" s="88"/>
      <x:c r="D674" s="32"/>
      <x:c r="I674" s="74"/>
      <x:c r="J674" s="74"/>
      <x:c r="K674" s="74"/>
      <x:c r="L674" s="74"/>
      <x:c r="M674" s="91"/>
      <x:c r="N674" s="91"/>
      <x:c r="O674" s="91"/>
      <x:c r="P674" s="91"/>
      <x:c r="Q674" s="85"/>
      <x:c r="S674" s="86"/>
      <x:c r="T674" s="32"/>
    </x:row>
    <x:row r="675">
      <x:c r="A675" s="87"/>
      <x:c r="B675" s="88"/>
      <x:c r="D675" s="32"/>
      <x:c r="I675" s="74"/>
      <x:c r="J675" s="74"/>
      <x:c r="K675" s="74"/>
      <x:c r="L675" s="74"/>
      <x:c r="M675" s="91"/>
      <x:c r="N675" s="91"/>
      <x:c r="O675" s="91"/>
      <x:c r="P675" s="91"/>
      <x:c r="Q675" s="85"/>
      <x:c r="S675" s="86"/>
      <x:c r="T675" s="32"/>
    </x:row>
    <x:row r="676">
      <x:c r="A676" s="87"/>
      <x:c r="B676" s="88"/>
      <x:c r="D676" s="32"/>
      <x:c r="I676" s="74"/>
      <x:c r="J676" s="74"/>
      <x:c r="K676" s="74"/>
      <x:c r="L676" s="74"/>
      <x:c r="M676" s="91"/>
      <x:c r="N676" s="91"/>
      <x:c r="O676" s="91"/>
      <x:c r="P676" s="91"/>
      <x:c r="Q676" s="85"/>
      <x:c r="S676" s="86"/>
      <x:c r="T676" s="32"/>
    </x:row>
    <x:row r="677">
      <x:c r="A677" s="87"/>
      <x:c r="B677" s="88"/>
      <x:c r="D677" s="32"/>
      <x:c r="I677" s="74"/>
      <x:c r="J677" s="74"/>
      <x:c r="K677" s="74"/>
      <x:c r="L677" s="74"/>
      <x:c r="M677" s="91"/>
      <x:c r="N677" s="91"/>
      <x:c r="O677" s="91"/>
      <x:c r="P677" s="91"/>
      <x:c r="Q677" s="85"/>
      <x:c r="S677" s="86"/>
      <x:c r="T677" s="32"/>
    </x:row>
    <x:row r="678">
      <x:c r="A678" s="87"/>
      <x:c r="B678" s="88"/>
      <x:c r="D678" s="32"/>
      <x:c r="I678" s="74"/>
      <x:c r="J678" s="74"/>
      <x:c r="K678" s="74"/>
      <x:c r="L678" s="74"/>
      <x:c r="M678" s="91"/>
      <x:c r="N678" s="91"/>
      <x:c r="O678" s="91"/>
      <x:c r="P678" s="91"/>
      <x:c r="Q678" s="85"/>
      <x:c r="S678" s="86"/>
      <x:c r="T678" s="32"/>
    </x:row>
    <x:row r="679">
      <x:c r="A679" s="87"/>
      <x:c r="B679" s="88"/>
      <x:c r="D679" s="32"/>
      <x:c r="I679" s="74"/>
      <x:c r="J679" s="74"/>
      <x:c r="K679" s="74"/>
      <x:c r="L679" s="74"/>
      <x:c r="M679" s="91"/>
      <x:c r="N679" s="91"/>
      <x:c r="O679" s="91"/>
      <x:c r="P679" s="91"/>
      <x:c r="Q679" s="85"/>
      <x:c r="S679" s="86"/>
      <x:c r="T679" s="32"/>
    </x:row>
    <x:row r="680">
      <x:c r="A680" s="87"/>
      <x:c r="B680" s="88"/>
      <x:c r="D680" s="32"/>
      <x:c r="I680" s="74"/>
      <x:c r="J680" s="74"/>
      <x:c r="K680" s="74"/>
      <x:c r="L680" s="74"/>
      <x:c r="M680" s="91"/>
      <x:c r="N680" s="91"/>
      <x:c r="O680" s="91"/>
      <x:c r="P680" s="91"/>
      <x:c r="Q680" s="85"/>
      <x:c r="S680" s="86"/>
      <x:c r="T680" s="32"/>
    </x:row>
    <x:row r="681">
      <x:c r="A681" s="87"/>
      <x:c r="B681" s="88"/>
      <x:c r="D681" s="32"/>
      <x:c r="I681" s="74"/>
      <x:c r="J681" s="74"/>
      <x:c r="K681" s="74"/>
      <x:c r="L681" s="74"/>
      <x:c r="M681" s="91"/>
      <x:c r="N681" s="91"/>
      <x:c r="O681" s="91"/>
      <x:c r="P681" s="91"/>
      <x:c r="Q681" s="85"/>
      <x:c r="S681" s="86"/>
      <x:c r="T681" s="32"/>
    </x:row>
    <x:row r="682">
      <x:c r="A682" s="87"/>
      <x:c r="B682" s="88"/>
      <x:c r="D682" s="32"/>
      <x:c r="I682" s="74"/>
      <x:c r="J682" s="74"/>
      <x:c r="K682" s="74"/>
      <x:c r="L682" s="74"/>
      <x:c r="M682" s="91"/>
      <x:c r="N682" s="91"/>
      <x:c r="O682" s="91"/>
      <x:c r="P682" s="91"/>
      <x:c r="Q682" s="85"/>
      <x:c r="S682" s="86"/>
      <x:c r="T682" s="32"/>
    </x:row>
    <x:row r="683">
      <x:c r="A683" s="87"/>
      <x:c r="B683" s="88"/>
      <x:c r="D683" s="32"/>
      <x:c r="I683" s="74"/>
      <x:c r="J683" s="74"/>
      <x:c r="K683" s="74"/>
      <x:c r="L683" s="74"/>
      <x:c r="M683" s="91"/>
      <x:c r="N683" s="91"/>
      <x:c r="O683" s="91"/>
      <x:c r="P683" s="91"/>
      <x:c r="Q683" s="85"/>
      <x:c r="S683" s="86"/>
      <x:c r="T683" s="32"/>
    </x:row>
    <x:row r="684">
      <x:c r="A684" s="87"/>
      <x:c r="B684" s="88"/>
      <x:c r="D684" s="32"/>
      <x:c r="I684" s="74"/>
      <x:c r="J684" s="74"/>
      <x:c r="K684" s="74"/>
      <x:c r="L684" s="74"/>
      <x:c r="M684" s="91"/>
      <x:c r="N684" s="91"/>
      <x:c r="O684" s="91"/>
      <x:c r="P684" s="91"/>
      <x:c r="Q684" s="85"/>
      <x:c r="S684" s="86"/>
      <x:c r="T684" s="32"/>
    </x:row>
    <x:row r="685">
      <x:c r="A685" s="87"/>
      <x:c r="B685" s="88"/>
      <x:c r="D685" s="32"/>
      <x:c r="I685" s="74"/>
      <x:c r="J685" s="74"/>
      <x:c r="K685" s="74"/>
      <x:c r="L685" s="74"/>
      <x:c r="M685" s="91"/>
      <x:c r="N685" s="91"/>
      <x:c r="O685" s="91"/>
      <x:c r="P685" s="91"/>
      <x:c r="Q685" s="85"/>
      <x:c r="S685" s="86"/>
      <x:c r="T685" s="32"/>
    </x:row>
    <x:row r="686">
      <x:c r="A686" s="87"/>
      <x:c r="B686" s="88"/>
      <x:c r="D686" s="32"/>
      <x:c r="I686" s="74"/>
      <x:c r="J686" s="74"/>
      <x:c r="K686" s="74"/>
      <x:c r="L686" s="74"/>
      <x:c r="M686" s="91"/>
      <x:c r="N686" s="91"/>
      <x:c r="O686" s="91"/>
      <x:c r="P686" s="91"/>
      <x:c r="Q686" s="85"/>
      <x:c r="S686" s="86"/>
      <x:c r="T686" s="32"/>
    </x:row>
    <x:row r="687">
      <x:c r="A687" s="87"/>
      <x:c r="B687" s="88"/>
      <x:c r="D687" s="32"/>
      <x:c r="I687" s="74"/>
      <x:c r="J687" s="74"/>
      <x:c r="K687" s="74"/>
      <x:c r="L687" s="74"/>
      <x:c r="M687" s="91"/>
      <x:c r="N687" s="91"/>
      <x:c r="O687" s="91"/>
      <x:c r="P687" s="91"/>
      <x:c r="Q687" s="85"/>
      <x:c r="S687" s="86"/>
      <x:c r="T687" s="32"/>
    </x:row>
    <x:row r="688">
      <x:c r="A688" s="87"/>
      <x:c r="B688" s="88"/>
      <x:c r="D688" s="32"/>
      <x:c r="I688" s="74"/>
      <x:c r="J688" s="74"/>
      <x:c r="K688" s="74"/>
      <x:c r="L688" s="74"/>
      <x:c r="M688" s="91"/>
      <x:c r="N688" s="91"/>
      <x:c r="O688" s="91"/>
      <x:c r="P688" s="91"/>
      <x:c r="Q688" s="85"/>
      <x:c r="S688" s="86"/>
      <x:c r="T688" s="32"/>
    </x:row>
    <x:row r="689">
      <x:c r="A689" s="87"/>
      <x:c r="B689" s="88"/>
      <x:c r="D689" s="32"/>
      <x:c r="I689" s="74"/>
      <x:c r="J689" s="74"/>
      <x:c r="K689" s="74"/>
      <x:c r="L689" s="74"/>
      <x:c r="M689" s="91"/>
      <x:c r="N689" s="91"/>
      <x:c r="O689" s="91"/>
      <x:c r="P689" s="91"/>
      <x:c r="Q689" s="85"/>
      <x:c r="S689" s="86"/>
      <x:c r="T689" s="32"/>
    </x:row>
    <x:row r="690">
      <x:c r="A690" s="87"/>
      <x:c r="B690" s="88"/>
      <x:c r="D690" s="32"/>
      <x:c r="I690" s="74"/>
      <x:c r="J690" s="74"/>
      <x:c r="K690" s="74"/>
      <x:c r="L690" s="74"/>
      <x:c r="M690" s="91"/>
      <x:c r="N690" s="91"/>
      <x:c r="O690" s="91"/>
      <x:c r="P690" s="91"/>
      <x:c r="Q690" s="85"/>
      <x:c r="S690" s="86"/>
      <x:c r="T690" s="32"/>
    </x:row>
    <x:row r="691">
      <x:c r="A691" s="87"/>
      <x:c r="B691" s="88"/>
      <x:c r="D691" s="32"/>
      <x:c r="I691" s="74"/>
      <x:c r="J691" s="74"/>
      <x:c r="K691" s="74"/>
      <x:c r="L691" s="74"/>
      <x:c r="M691" s="91"/>
      <x:c r="N691" s="91"/>
      <x:c r="O691" s="91"/>
      <x:c r="P691" s="91"/>
      <x:c r="Q691" s="85"/>
      <x:c r="S691" s="86"/>
      <x:c r="T691" s="32"/>
    </x:row>
    <x:row r="692">
      <x:c r="A692" s="87"/>
      <x:c r="B692" s="88"/>
      <x:c r="D692" s="32"/>
      <x:c r="I692" s="74"/>
      <x:c r="J692" s="74"/>
      <x:c r="K692" s="74"/>
      <x:c r="L692" s="74"/>
      <x:c r="M692" s="91"/>
      <x:c r="N692" s="91"/>
      <x:c r="O692" s="91"/>
      <x:c r="P692" s="91"/>
      <x:c r="Q692" s="85"/>
      <x:c r="S692" s="86"/>
      <x:c r="T692" s="32"/>
    </x:row>
    <x:row r="693">
      <x:c r="A693" s="87"/>
      <x:c r="B693" s="88"/>
      <x:c r="D693" s="32"/>
      <x:c r="I693" s="74"/>
      <x:c r="J693" s="74"/>
      <x:c r="K693" s="74"/>
      <x:c r="L693" s="74"/>
      <x:c r="M693" s="91"/>
      <x:c r="N693" s="91"/>
      <x:c r="O693" s="91"/>
      <x:c r="P693" s="91"/>
      <x:c r="Q693" s="85"/>
      <x:c r="S693" s="86"/>
      <x:c r="T693" s="32"/>
    </x:row>
    <x:row r="694">
      <x:c r="A694" s="87"/>
      <x:c r="B694" s="88"/>
      <x:c r="D694" s="32"/>
      <x:c r="I694" s="74"/>
      <x:c r="J694" s="74"/>
      <x:c r="K694" s="74"/>
      <x:c r="L694" s="74"/>
      <x:c r="M694" s="91"/>
      <x:c r="N694" s="91"/>
      <x:c r="O694" s="91"/>
      <x:c r="P694" s="91"/>
      <x:c r="Q694" s="85"/>
      <x:c r="S694" s="86"/>
      <x:c r="T694" s="32"/>
    </x:row>
    <x:row r="695">
      <x:c r="A695" s="87"/>
      <x:c r="B695" s="88"/>
      <x:c r="D695" s="32"/>
      <x:c r="I695" s="74"/>
      <x:c r="J695" s="74"/>
      <x:c r="K695" s="74"/>
      <x:c r="L695" s="74"/>
      <x:c r="M695" s="91"/>
      <x:c r="N695" s="91"/>
      <x:c r="O695" s="91"/>
      <x:c r="P695" s="91"/>
      <x:c r="Q695" s="85"/>
      <x:c r="S695" s="86"/>
      <x:c r="T695" s="32"/>
    </x:row>
    <x:row r="696">
      <x:c r="A696" s="87"/>
      <x:c r="B696" s="88"/>
      <x:c r="D696" s="32"/>
      <x:c r="I696" s="74"/>
      <x:c r="J696" s="74"/>
      <x:c r="K696" s="74"/>
      <x:c r="L696" s="74"/>
      <x:c r="M696" s="91"/>
      <x:c r="N696" s="91"/>
      <x:c r="O696" s="91"/>
      <x:c r="P696" s="91"/>
      <x:c r="Q696" s="85"/>
      <x:c r="S696" s="86"/>
      <x:c r="T696" s="32"/>
    </x:row>
    <x:row r="697">
      <x:c r="A697" s="87"/>
      <x:c r="B697" s="88"/>
      <x:c r="D697" s="32"/>
      <x:c r="I697" s="74"/>
      <x:c r="J697" s="74"/>
      <x:c r="K697" s="74"/>
      <x:c r="L697" s="74"/>
      <x:c r="M697" s="91"/>
      <x:c r="N697" s="91"/>
      <x:c r="O697" s="91"/>
      <x:c r="P697" s="91"/>
      <x:c r="Q697" s="85"/>
      <x:c r="S697" s="86"/>
      <x:c r="T697" s="32"/>
    </x:row>
    <x:row r="698">
      <x:c r="A698" s="87"/>
      <x:c r="B698" s="88"/>
      <x:c r="D698" s="32"/>
      <x:c r="I698" s="74"/>
      <x:c r="J698" s="74"/>
      <x:c r="K698" s="74"/>
      <x:c r="L698" s="74"/>
      <x:c r="M698" s="91"/>
      <x:c r="N698" s="91"/>
      <x:c r="O698" s="91"/>
      <x:c r="P698" s="91"/>
      <x:c r="Q698" s="85"/>
      <x:c r="S698" s="86"/>
      <x:c r="T698" s="32"/>
    </x:row>
    <x:row r="699">
      <x:c r="A699" s="87"/>
      <x:c r="B699" s="88"/>
      <x:c r="D699" s="32"/>
      <x:c r="I699" s="74"/>
      <x:c r="J699" s="74"/>
      <x:c r="K699" s="74"/>
      <x:c r="L699" s="74"/>
      <x:c r="M699" s="91"/>
      <x:c r="N699" s="91"/>
      <x:c r="O699" s="91"/>
      <x:c r="P699" s="91"/>
      <x:c r="Q699" s="85"/>
      <x:c r="S699" s="86"/>
      <x:c r="T699" s="32"/>
    </x:row>
    <x:row r="700">
      <x:c r="A700" s="87"/>
      <x:c r="B700" s="88"/>
      <x:c r="D700" s="32"/>
      <x:c r="I700" s="74"/>
      <x:c r="J700" s="74"/>
      <x:c r="K700" s="74"/>
      <x:c r="L700" s="74"/>
      <x:c r="M700" s="91"/>
      <x:c r="N700" s="91"/>
      <x:c r="O700" s="91"/>
      <x:c r="P700" s="91"/>
      <x:c r="Q700" s="85"/>
      <x:c r="S700" s="86"/>
      <x:c r="T700" s="32"/>
    </x:row>
    <x:row r="701">
      <x:c r="A701" s="87"/>
      <x:c r="B701" s="88"/>
      <x:c r="D701" s="32"/>
      <x:c r="I701" s="74"/>
      <x:c r="J701" s="74"/>
      <x:c r="K701" s="74"/>
      <x:c r="L701" s="74"/>
      <x:c r="M701" s="91"/>
      <x:c r="N701" s="91"/>
      <x:c r="O701" s="91"/>
      <x:c r="P701" s="91"/>
      <x:c r="Q701" s="85"/>
      <x:c r="S701" s="86"/>
      <x:c r="T701" s="32"/>
    </x:row>
    <x:row r="702">
      <x:c r="A702" s="87"/>
      <x:c r="B702" s="88"/>
      <x:c r="D702" s="32"/>
      <x:c r="I702" s="74"/>
      <x:c r="J702" s="74"/>
      <x:c r="K702" s="74"/>
      <x:c r="L702" s="74"/>
      <x:c r="M702" s="91"/>
      <x:c r="N702" s="91"/>
      <x:c r="O702" s="91"/>
      <x:c r="P702" s="91"/>
      <x:c r="Q702" s="85"/>
      <x:c r="S702" s="86"/>
      <x:c r="T702" s="32"/>
    </x:row>
    <x:row r="703">
      <x:c r="A703" s="87"/>
      <x:c r="B703" s="88"/>
      <x:c r="D703" s="32"/>
      <x:c r="I703" s="74"/>
      <x:c r="J703" s="74"/>
      <x:c r="K703" s="74"/>
      <x:c r="L703" s="74"/>
      <x:c r="M703" s="91"/>
      <x:c r="N703" s="91"/>
      <x:c r="O703" s="91"/>
      <x:c r="P703" s="91"/>
      <x:c r="Q703" s="85"/>
      <x:c r="S703" s="86"/>
      <x:c r="T703" s="32"/>
    </x:row>
    <x:row r="704">
      <x:c r="A704" s="87"/>
      <x:c r="B704" s="88"/>
      <x:c r="D704" s="32"/>
      <x:c r="I704" s="74"/>
      <x:c r="J704" s="74"/>
      <x:c r="K704" s="74"/>
      <x:c r="L704" s="74"/>
      <x:c r="M704" s="91"/>
      <x:c r="N704" s="91"/>
      <x:c r="O704" s="91"/>
      <x:c r="P704" s="91"/>
      <x:c r="Q704" s="85"/>
      <x:c r="S704" s="86"/>
      <x:c r="T704" s="32"/>
    </x:row>
    <x:row r="705">
      <x:c r="A705" s="87"/>
      <x:c r="B705" s="88"/>
      <x:c r="D705" s="32"/>
      <x:c r="I705" s="74"/>
      <x:c r="J705" s="74"/>
      <x:c r="K705" s="74"/>
      <x:c r="L705" s="74"/>
      <x:c r="M705" s="91"/>
      <x:c r="N705" s="91"/>
      <x:c r="O705" s="91"/>
      <x:c r="P705" s="91"/>
      <x:c r="Q705" s="85"/>
      <x:c r="S705" s="86"/>
      <x:c r="T705" s="32"/>
    </x:row>
    <x:row r="706">
      <x:c r="A706" s="87"/>
      <x:c r="B706" s="88"/>
      <x:c r="D706" s="32"/>
      <x:c r="I706" s="74"/>
      <x:c r="J706" s="74"/>
      <x:c r="K706" s="74"/>
      <x:c r="L706" s="74"/>
      <x:c r="M706" s="91"/>
      <x:c r="N706" s="91"/>
      <x:c r="O706" s="91"/>
      <x:c r="P706" s="91"/>
      <x:c r="Q706" s="85"/>
      <x:c r="S706" s="86"/>
      <x:c r="T706" s="32"/>
    </x:row>
    <x:row r="707">
      <x:c r="A707" s="87"/>
      <x:c r="B707" s="88"/>
      <x:c r="D707" s="32"/>
      <x:c r="I707" s="74"/>
      <x:c r="J707" s="74"/>
      <x:c r="K707" s="74"/>
      <x:c r="L707" s="74"/>
      <x:c r="M707" s="91"/>
      <x:c r="N707" s="91"/>
      <x:c r="O707" s="91"/>
      <x:c r="P707" s="91"/>
      <x:c r="Q707" s="85"/>
      <x:c r="S707" s="86"/>
      <x:c r="T707" s="32"/>
    </x:row>
    <x:row r="708">
      <x:c r="A708" s="87"/>
      <x:c r="B708" s="88"/>
      <x:c r="D708" s="32"/>
      <x:c r="I708" s="74"/>
      <x:c r="J708" s="74"/>
      <x:c r="K708" s="74"/>
      <x:c r="L708" s="74"/>
      <x:c r="M708" s="91"/>
      <x:c r="N708" s="91"/>
      <x:c r="O708" s="91"/>
      <x:c r="P708" s="91"/>
      <x:c r="Q708" s="85"/>
      <x:c r="S708" s="86"/>
      <x:c r="T708" s="32"/>
    </x:row>
    <x:row r="709">
      <x:c r="A709" s="87"/>
      <x:c r="B709" s="88"/>
      <x:c r="D709" s="32"/>
      <x:c r="I709" s="74"/>
      <x:c r="J709" s="74"/>
      <x:c r="K709" s="74"/>
      <x:c r="L709" s="74"/>
      <x:c r="M709" s="91"/>
      <x:c r="N709" s="91"/>
      <x:c r="O709" s="91"/>
      <x:c r="P709" s="91"/>
      <x:c r="Q709" s="85"/>
      <x:c r="S709" s="86"/>
      <x:c r="T709" s="32"/>
    </x:row>
    <x:row r="710">
      <x:c r="A710" s="87"/>
      <x:c r="B710" s="88"/>
      <x:c r="D710" s="32"/>
      <x:c r="I710" s="74"/>
      <x:c r="J710" s="74"/>
      <x:c r="K710" s="74"/>
      <x:c r="L710" s="74"/>
      <x:c r="M710" s="91"/>
      <x:c r="N710" s="91"/>
      <x:c r="O710" s="91"/>
      <x:c r="P710" s="91"/>
      <x:c r="Q710" s="85"/>
      <x:c r="S710" s="86"/>
      <x:c r="T710" s="32"/>
    </x:row>
    <x:row r="711">
      <x:c r="A711" s="87"/>
      <x:c r="B711" s="88"/>
      <x:c r="D711" s="32"/>
      <x:c r="I711" s="74"/>
      <x:c r="J711" s="74"/>
      <x:c r="K711" s="74"/>
      <x:c r="L711" s="74"/>
      <x:c r="M711" s="91"/>
      <x:c r="N711" s="91"/>
      <x:c r="O711" s="91"/>
      <x:c r="P711" s="91"/>
      <x:c r="Q711" s="85"/>
      <x:c r="S711" s="86"/>
      <x:c r="T711" s="32"/>
    </x:row>
    <x:row r="712">
      <x:c r="A712" s="87"/>
      <x:c r="B712" s="88"/>
      <x:c r="D712" s="32"/>
      <x:c r="I712" s="74"/>
      <x:c r="J712" s="74"/>
      <x:c r="K712" s="74"/>
      <x:c r="L712" s="74"/>
      <x:c r="M712" s="91"/>
      <x:c r="N712" s="91"/>
      <x:c r="O712" s="91"/>
      <x:c r="P712" s="91"/>
      <x:c r="Q712" s="85"/>
      <x:c r="S712" s="86"/>
      <x:c r="T712" s="32"/>
    </x:row>
    <x:row r="713">
      <x:c r="A713" s="87"/>
      <x:c r="B713" s="88"/>
      <x:c r="D713" s="32"/>
      <x:c r="I713" s="74"/>
      <x:c r="J713" s="74"/>
      <x:c r="K713" s="74"/>
      <x:c r="L713" s="74"/>
      <x:c r="M713" s="91"/>
      <x:c r="N713" s="91"/>
      <x:c r="O713" s="91"/>
      <x:c r="P713" s="91"/>
      <x:c r="Q713" s="85"/>
      <x:c r="S713" s="86"/>
      <x:c r="T713" s="32"/>
    </x:row>
    <x:row r="714">
      <x:c r="A714" s="87"/>
      <x:c r="B714" s="88"/>
      <x:c r="D714" s="32"/>
      <x:c r="I714" s="74"/>
      <x:c r="J714" s="74"/>
      <x:c r="K714" s="74"/>
      <x:c r="L714" s="74"/>
      <x:c r="M714" s="91"/>
      <x:c r="N714" s="91"/>
      <x:c r="O714" s="91"/>
      <x:c r="P714" s="91"/>
      <x:c r="Q714" s="85"/>
      <x:c r="S714" s="86"/>
      <x:c r="T714" s="32"/>
    </x:row>
    <x:row r="715">
      <x:c r="A715" s="87"/>
      <x:c r="B715" s="88"/>
      <x:c r="D715" s="32"/>
      <x:c r="I715" s="74"/>
      <x:c r="J715" s="74"/>
      <x:c r="K715" s="74"/>
      <x:c r="L715" s="74"/>
      <x:c r="M715" s="91"/>
      <x:c r="N715" s="91"/>
      <x:c r="O715" s="91"/>
      <x:c r="P715" s="91"/>
      <x:c r="Q715" s="85"/>
      <x:c r="S715" s="86"/>
      <x:c r="T715" s="32"/>
    </x:row>
    <x:row r="716">
      <x:c r="A716" s="87"/>
      <x:c r="B716" s="88"/>
      <x:c r="D716" s="32"/>
      <x:c r="I716" s="74"/>
      <x:c r="J716" s="74"/>
      <x:c r="K716" s="74"/>
      <x:c r="L716" s="74"/>
      <x:c r="M716" s="91"/>
      <x:c r="N716" s="91"/>
      <x:c r="O716" s="91"/>
      <x:c r="P716" s="91"/>
      <x:c r="Q716" s="85"/>
      <x:c r="S716" s="86"/>
      <x:c r="T716" s="32"/>
    </x:row>
    <x:row r="717">
      <x:c r="A717" s="87"/>
      <x:c r="B717" s="88"/>
      <x:c r="D717" s="32"/>
      <x:c r="I717" s="74"/>
      <x:c r="J717" s="74"/>
      <x:c r="K717" s="74"/>
      <x:c r="L717" s="74"/>
      <x:c r="M717" s="91"/>
      <x:c r="N717" s="91"/>
      <x:c r="O717" s="91"/>
      <x:c r="P717" s="91"/>
      <x:c r="Q717" s="85"/>
      <x:c r="S717" s="86"/>
      <x:c r="T717" s="32"/>
    </x:row>
    <x:row r="718">
      <x:c r="A718" s="87"/>
      <x:c r="B718" s="88"/>
      <x:c r="D718" s="32"/>
      <x:c r="I718" s="74"/>
      <x:c r="J718" s="74"/>
      <x:c r="K718" s="74"/>
      <x:c r="L718" s="74"/>
      <x:c r="M718" s="91"/>
      <x:c r="N718" s="91"/>
      <x:c r="O718" s="91"/>
      <x:c r="P718" s="91"/>
      <x:c r="Q718" s="85"/>
      <x:c r="S718" s="86"/>
      <x:c r="T718" s="32"/>
    </x:row>
    <x:row r="719">
      <x:c r="A719" s="87"/>
      <x:c r="B719" s="88"/>
      <x:c r="D719" s="32"/>
      <x:c r="I719" s="74"/>
      <x:c r="J719" s="74"/>
      <x:c r="K719" s="74"/>
      <x:c r="L719" s="74"/>
      <x:c r="M719" s="91"/>
      <x:c r="N719" s="91"/>
      <x:c r="O719" s="91"/>
      <x:c r="P719" s="91"/>
      <x:c r="Q719" s="85"/>
      <x:c r="S719" s="86"/>
      <x:c r="T719" s="32"/>
    </x:row>
    <x:row r="720">
      <x:c r="A720" s="87"/>
      <x:c r="B720" s="88"/>
      <x:c r="D720" s="32"/>
      <x:c r="I720" s="74"/>
      <x:c r="J720" s="74"/>
      <x:c r="K720" s="74"/>
      <x:c r="L720" s="74"/>
      <x:c r="M720" s="91"/>
      <x:c r="N720" s="91"/>
      <x:c r="O720" s="91"/>
      <x:c r="P720" s="91"/>
      <x:c r="Q720" s="85"/>
      <x:c r="S720" s="86"/>
      <x:c r="T720" s="32"/>
    </x:row>
    <x:row r="721">
      <x:c r="A721" s="87"/>
      <x:c r="B721" s="88"/>
      <x:c r="D721" s="32"/>
      <x:c r="I721" s="74"/>
      <x:c r="J721" s="74"/>
      <x:c r="K721" s="74"/>
      <x:c r="L721" s="74"/>
      <x:c r="M721" s="91"/>
      <x:c r="N721" s="91"/>
      <x:c r="O721" s="91"/>
      <x:c r="P721" s="91"/>
      <x:c r="Q721" s="85"/>
      <x:c r="S721" s="86"/>
      <x:c r="T721" s="32"/>
    </x:row>
    <x:row r="722">
      <x:c r="A722" s="87"/>
      <x:c r="B722" s="88"/>
      <x:c r="D722" s="32"/>
      <x:c r="I722" s="74"/>
      <x:c r="J722" s="74"/>
      <x:c r="K722" s="74"/>
      <x:c r="L722" s="74"/>
      <x:c r="M722" s="91"/>
      <x:c r="N722" s="91"/>
      <x:c r="O722" s="91"/>
      <x:c r="P722" s="91"/>
      <x:c r="Q722" s="85"/>
      <x:c r="S722" s="86"/>
      <x:c r="T722" s="32"/>
    </x:row>
    <x:row r="723">
      <x:c r="A723" s="87"/>
      <x:c r="B723" s="88"/>
      <x:c r="D723" s="32"/>
      <x:c r="I723" s="74"/>
      <x:c r="J723" s="74"/>
      <x:c r="K723" s="74"/>
      <x:c r="L723" s="74"/>
      <x:c r="M723" s="91"/>
      <x:c r="N723" s="91"/>
      <x:c r="O723" s="91"/>
      <x:c r="P723" s="91"/>
      <x:c r="Q723" s="85"/>
      <x:c r="S723" s="86"/>
      <x:c r="T723" s="32"/>
    </x:row>
    <x:row r="724">
      <x:c r="A724" s="87"/>
      <x:c r="B724" s="88"/>
      <x:c r="D724" s="32"/>
      <x:c r="I724" s="74"/>
      <x:c r="J724" s="74"/>
      <x:c r="K724" s="74"/>
      <x:c r="L724" s="74"/>
      <x:c r="M724" s="91"/>
      <x:c r="N724" s="91"/>
      <x:c r="O724" s="91"/>
      <x:c r="P724" s="91"/>
      <x:c r="Q724" s="85"/>
      <x:c r="S724" s="86"/>
      <x:c r="T724" s="32"/>
    </x:row>
    <x:row r="725">
      <x:c r="A725" s="87"/>
      <x:c r="B725" s="88"/>
      <x:c r="D725" s="32"/>
      <x:c r="I725" s="74"/>
      <x:c r="J725" s="74"/>
      <x:c r="K725" s="74"/>
      <x:c r="L725" s="74"/>
      <x:c r="M725" s="91"/>
      <x:c r="N725" s="91"/>
      <x:c r="O725" s="91"/>
      <x:c r="P725" s="91"/>
      <x:c r="Q725" s="85"/>
      <x:c r="S725" s="86"/>
      <x:c r="T725" s="32"/>
    </x:row>
    <x:row r="726">
      <x:c r="A726" s="87"/>
      <x:c r="B726" s="88"/>
      <x:c r="D726" s="32"/>
      <x:c r="I726" s="74"/>
      <x:c r="J726" s="74"/>
      <x:c r="K726" s="74"/>
      <x:c r="L726" s="74"/>
      <x:c r="M726" s="91"/>
      <x:c r="N726" s="91"/>
      <x:c r="O726" s="91"/>
      <x:c r="P726" s="91"/>
      <x:c r="Q726" s="85"/>
      <x:c r="S726" s="86"/>
      <x:c r="T726" s="32"/>
    </x:row>
    <x:row r="727">
      <x:c r="A727" s="87"/>
      <x:c r="B727" s="88"/>
      <x:c r="D727" s="32"/>
      <x:c r="I727" s="74"/>
      <x:c r="J727" s="74"/>
      <x:c r="K727" s="74"/>
      <x:c r="L727" s="74"/>
      <x:c r="M727" s="91"/>
      <x:c r="N727" s="91"/>
      <x:c r="O727" s="91"/>
      <x:c r="P727" s="91"/>
      <x:c r="Q727" s="85"/>
      <x:c r="S727" s="86"/>
      <x:c r="T727" s="32"/>
    </x:row>
    <x:row r="728">
      <x:c r="A728" s="87"/>
      <x:c r="B728" s="88"/>
      <x:c r="D728" s="32"/>
      <x:c r="I728" s="74"/>
      <x:c r="J728" s="74"/>
      <x:c r="K728" s="74"/>
      <x:c r="L728" s="74"/>
      <x:c r="M728" s="91"/>
      <x:c r="N728" s="91"/>
      <x:c r="O728" s="91"/>
      <x:c r="P728" s="91"/>
      <x:c r="Q728" s="85"/>
      <x:c r="S728" s="86"/>
      <x:c r="T728" s="32"/>
    </x:row>
    <x:row r="729">
      <x:c r="A729" s="87"/>
      <x:c r="B729" s="88"/>
      <x:c r="D729" s="32"/>
      <x:c r="I729" s="74"/>
      <x:c r="J729" s="74"/>
      <x:c r="K729" s="74"/>
      <x:c r="L729" s="74"/>
      <x:c r="M729" s="91"/>
      <x:c r="N729" s="91"/>
      <x:c r="O729" s="91"/>
      <x:c r="P729" s="91"/>
      <x:c r="Q729" s="85"/>
      <x:c r="S729" s="86"/>
      <x:c r="T729" s="32"/>
    </x:row>
    <x:row r="730">
      <x:c r="A730" s="87"/>
      <x:c r="B730" s="88"/>
      <x:c r="D730" s="32"/>
      <x:c r="I730" s="74"/>
      <x:c r="J730" s="74"/>
      <x:c r="K730" s="74"/>
      <x:c r="L730" s="74"/>
      <x:c r="M730" s="91"/>
      <x:c r="N730" s="91"/>
      <x:c r="O730" s="91"/>
      <x:c r="P730" s="91"/>
      <x:c r="Q730" s="85"/>
      <x:c r="S730" s="86"/>
      <x:c r="T730" s="32"/>
    </x:row>
    <x:row r="731">
      <x:c r="A731" s="87"/>
      <x:c r="B731" s="88"/>
      <x:c r="D731" s="32"/>
      <x:c r="I731" s="74"/>
      <x:c r="J731" s="74"/>
      <x:c r="K731" s="74"/>
      <x:c r="L731" s="74"/>
      <x:c r="M731" s="91"/>
      <x:c r="N731" s="91"/>
      <x:c r="O731" s="91"/>
      <x:c r="P731" s="91"/>
      <x:c r="Q731" s="85"/>
      <x:c r="S731" s="86"/>
      <x:c r="T731" s="32"/>
    </x:row>
    <x:row r="732">
      <x:c r="A732" s="87"/>
      <x:c r="B732" s="88"/>
      <x:c r="D732" s="32"/>
      <x:c r="I732" s="74"/>
      <x:c r="J732" s="74"/>
      <x:c r="K732" s="74"/>
      <x:c r="L732" s="74"/>
      <x:c r="M732" s="91"/>
      <x:c r="N732" s="91"/>
      <x:c r="O732" s="91"/>
      <x:c r="P732" s="91"/>
      <x:c r="Q732" s="85"/>
      <x:c r="S732" s="86"/>
      <x:c r="T732" s="32"/>
    </x:row>
    <x:row r="733">
      <x:c r="A733" s="87"/>
      <x:c r="B733" s="88"/>
      <x:c r="D733" s="32"/>
      <x:c r="I733" s="74"/>
      <x:c r="J733" s="74"/>
      <x:c r="K733" s="74"/>
      <x:c r="L733" s="74"/>
      <x:c r="M733" s="91"/>
      <x:c r="N733" s="91"/>
      <x:c r="O733" s="91"/>
      <x:c r="P733" s="91"/>
      <x:c r="Q733" s="85"/>
      <x:c r="S733" s="86"/>
      <x:c r="T733" s="32"/>
    </x:row>
    <x:row r="734">
      <x:c r="A734" s="87"/>
      <x:c r="B734" s="88"/>
      <x:c r="D734" s="32"/>
      <x:c r="I734" s="74"/>
      <x:c r="J734" s="74"/>
      <x:c r="K734" s="74"/>
      <x:c r="L734" s="74"/>
      <x:c r="M734" s="91"/>
      <x:c r="N734" s="91"/>
      <x:c r="O734" s="91"/>
      <x:c r="P734" s="91"/>
      <x:c r="Q734" s="85"/>
      <x:c r="S734" s="86"/>
      <x:c r="T734" s="32"/>
    </x:row>
    <x:row r="735">
      <x:c r="A735" s="87"/>
      <x:c r="B735" s="88"/>
      <x:c r="D735" s="32"/>
      <x:c r="I735" s="74"/>
      <x:c r="J735" s="74"/>
      <x:c r="K735" s="74"/>
      <x:c r="L735" s="74"/>
      <x:c r="M735" s="91"/>
      <x:c r="N735" s="91"/>
      <x:c r="O735" s="91"/>
      <x:c r="P735" s="91"/>
      <x:c r="Q735" s="85"/>
      <x:c r="S735" s="86"/>
      <x:c r="T735" s="32"/>
    </x:row>
    <x:row r="736">
      <x:c r="A736" s="87"/>
      <x:c r="B736" s="88"/>
      <x:c r="D736" s="32"/>
      <x:c r="I736" s="74"/>
      <x:c r="J736" s="74"/>
      <x:c r="K736" s="74"/>
      <x:c r="L736" s="74"/>
      <x:c r="M736" s="91"/>
      <x:c r="N736" s="91"/>
      <x:c r="O736" s="91"/>
      <x:c r="P736" s="91"/>
      <x:c r="Q736" s="85"/>
      <x:c r="S736" s="86"/>
      <x:c r="T736" s="32"/>
    </x:row>
    <x:row r="737">
      <x:c r="A737" s="87"/>
      <x:c r="B737" s="88"/>
      <x:c r="D737" s="32"/>
      <x:c r="I737" s="74"/>
      <x:c r="J737" s="74"/>
      <x:c r="K737" s="74"/>
      <x:c r="L737" s="74"/>
      <x:c r="M737" s="91"/>
      <x:c r="N737" s="91"/>
      <x:c r="O737" s="91"/>
      <x:c r="P737" s="91"/>
      <x:c r="Q737" s="85"/>
      <x:c r="S737" s="86"/>
      <x:c r="T737" s="32"/>
    </x:row>
    <x:row r="738">
      <x:c r="A738" s="87"/>
      <x:c r="B738" s="88"/>
      <x:c r="D738" s="32"/>
      <x:c r="I738" s="74"/>
      <x:c r="J738" s="74"/>
      <x:c r="K738" s="74"/>
      <x:c r="L738" s="74"/>
      <x:c r="M738" s="91"/>
      <x:c r="N738" s="91"/>
      <x:c r="O738" s="91"/>
      <x:c r="P738" s="91"/>
      <x:c r="Q738" s="85"/>
      <x:c r="S738" s="86"/>
      <x:c r="T738" s="32"/>
    </x:row>
    <x:row r="739">
      <x:c r="A739" s="87"/>
      <x:c r="B739" s="88"/>
      <x:c r="D739" s="32"/>
      <x:c r="I739" s="74"/>
      <x:c r="J739" s="74"/>
      <x:c r="K739" s="74"/>
      <x:c r="L739" s="74"/>
      <x:c r="M739" s="91"/>
      <x:c r="N739" s="91"/>
      <x:c r="O739" s="91"/>
      <x:c r="P739" s="91"/>
      <x:c r="Q739" s="85"/>
      <x:c r="S739" s="86"/>
      <x:c r="T739" s="32"/>
    </x:row>
    <x:row r="740">
      <x:c r="A740" s="87"/>
      <x:c r="B740" s="88"/>
      <x:c r="D740" s="32"/>
      <x:c r="I740" s="74"/>
      <x:c r="J740" s="74"/>
      <x:c r="K740" s="74"/>
      <x:c r="L740" s="74"/>
      <x:c r="M740" s="91"/>
      <x:c r="N740" s="91"/>
      <x:c r="O740" s="91"/>
      <x:c r="P740" s="91"/>
      <x:c r="Q740" s="85"/>
      <x:c r="S740" s="86"/>
      <x:c r="T740" s="32"/>
    </x:row>
    <x:row r="741">
      <x:c r="A741" s="87"/>
      <x:c r="B741" s="88"/>
      <x:c r="D741" s="32"/>
      <x:c r="I741" s="74"/>
      <x:c r="J741" s="74"/>
      <x:c r="K741" s="74"/>
      <x:c r="L741" s="74"/>
      <x:c r="M741" s="91"/>
      <x:c r="N741" s="91"/>
      <x:c r="O741" s="91"/>
      <x:c r="P741" s="91"/>
      <x:c r="Q741" s="85"/>
      <x:c r="S741" s="86"/>
      <x:c r="T741" s="32"/>
    </x:row>
    <x:row r="742">
      <x:c r="A742" s="87"/>
      <x:c r="B742" s="88"/>
      <x:c r="D742" s="32"/>
      <x:c r="I742" s="74"/>
      <x:c r="J742" s="74"/>
      <x:c r="K742" s="74"/>
      <x:c r="L742" s="74"/>
      <x:c r="M742" s="91"/>
      <x:c r="N742" s="91"/>
      <x:c r="O742" s="91"/>
      <x:c r="P742" s="91"/>
      <x:c r="Q742" s="85"/>
      <x:c r="S742" s="86"/>
      <x:c r="T742" s="32"/>
    </x:row>
    <x:row r="743">
      <x:c r="A743" s="87"/>
      <x:c r="B743" s="88"/>
      <x:c r="D743" s="32"/>
      <x:c r="I743" s="74"/>
      <x:c r="J743" s="74"/>
      <x:c r="K743" s="74"/>
      <x:c r="L743" s="74"/>
      <x:c r="M743" s="91"/>
      <x:c r="N743" s="91"/>
      <x:c r="O743" s="91"/>
      <x:c r="P743" s="91"/>
      <x:c r="Q743" s="85"/>
      <x:c r="S743" s="86"/>
      <x:c r="T743" s="32"/>
    </x:row>
    <x:row r="744">
      <x:c r="A744" s="87"/>
      <x:c r="B744" s="88"/>
      <x:c r="D744" s="32"/>
      <x:c r="I744" s="74"/>
      <x:c r="J744" s="74"/>
      <x:c r="K744" s="74"/>
      <x:c r="L744" s="74"/>
      <x:c r="M744" s="91"/>
      <x:c r="N744" s="91"/>
      <x:c r="O744" s="91"/>
      <x:c r="P744" s="91"/>
      <x:c r="Q744" s="85"/>
      <x:c r="S744" s="86"/>
      <x:c r="T744" s="32"/>
    </x:row>
    <x:row r="745">
      <x:c r="A745" s="87"/>
      <x:c r="B745" s="88"/>
      <x:c r="D745" s="32"/>
      <x:c r="I745" s="74"/>
      <x:c r="J745" s="74"/>
      <x:c r="K745" s="74"/>
      <x:c r="L745" s="74"/>
      <x:c r="M745" s="91"/>
      <x:c r="N745" s="91"/>
      <x:c r="O745" s="91"/>
      <x:c r="P745" s="91"/>
      <x:c r="Q745" s="85"/>
      <x:c r="S745" s="86"/>
      <x:c r="T745" s="32"/>
    </x:row>
    <x:row r="746">
      <x:c r="A746" s="87"/>
      <x:c r="B746" s="88"/>
      <x:c r="D746" s="32"/>
      <x:c r="I746" s="74"/>
      <x:c r="J746" s="74"/>
      <x:c r="K746" s="74"/>
      <x:c r="L746" s="74"/>
      <x:c r="M746" s="91"/>
      <x:c r="N746" s="91"/>
      <x:c r="O746" s="91"/>
      <x:c r="P746" s="91"/>
      <x:c r="Q746" s="85"/>
      <x:c r="S746" s="86"/>
      <x:c r="T746" s="32"/>
    </x:row>
    <x:row r="747">
      <x:c r="A747" s="87"/>
      <x:c r="B747" s="88"/>
      <x:c r="D747" s="32"/>
      <x:c r="I747" s="74"/>
      <x:c r="J747" s="74"/>
      <x:c r="K747" s="74"/>
      <x:c r="L747" s="74"/>
      <x:c r="M747" s="91"/>
      <x:c r="N747" s="91"/>
      <x:c r="O747" s="91"/>
      <x:c r="P747" s="91"/>
      <x:c r="Q747" s="85"/>
      <x:c r="S747" s="86"/>
      <x:c r="T747" s="32"/>
    </x:row>
    <x:row r="748">
      <x:c r="A748" s="87"/>
      <x:c r="B748" s="88"/>
      <x:c r="D748" s="32"/>
      <x:c r="I748" s="74"/>
      <x:c r="J748" s="74"/>
      <x:c r="K748" s="74"/>
      <x:c r="L748" s="74"/>
      <x:c r="M748" s="91"/>
      <x:c r="N748" s="91"/>
      <x:c r="O748" s="91"/>
      <x:c r="P748" s="91"/>
      <x:c r="Q748" s="85"/>
      <x:c r="S748" s="86"/>
      <x:c r="T748" s="32"/>
    </x:row>
    <x:row r="749">
      <x:c r="A749" s="87"/>
      <x:c r="B749" s="88"/>
      <x:c r="D749" s="32"/>
      <x:c r="I749" s="74"/>
      <x:c r="J749" s="74"/>
      <x:c r="K749" s="74"/>
      <x:c r="L749" s="74"/>
      <x:c r="M749" s="91"/>
      <x:c r="N749" s="91"/>
      <x:c r="O749" s="91"/>
      <x:c r="P749" s="91"/>
      <x:c r="Q749" s="85"/>
      <x:c r="S749" s="86"/>
      <x:c r="T749" s="32"/>
    </x:row>
    <x:row r="750">
      <x:c r="A750" s="87"/>
      <x:c r="B750" s="88"/>
      <x:c r="D750" s="32"/>
      <x:c r="I750" s="74"/>
      <x:c r="J750" s="74"/>
      <x:c r="K750" s="74"/>
      <x:c r="L750" s="74"/>
      <x:c r="M750" s="91"/>
      <x:c r="N750" s="91"/>
      <x:c r="O750" s="91"/>
      <x:c r="P750" s="91"/>
      <x:c r="Q750" s="85"/>
      <x:c r="S750" s="86"/>
      <x:c r="T750" s="32"/>
    </x:row>
    <x:row r="751">
      <x:c r="A751" s="87"/>
      <x:c r="B751" s="88"/>
      <x:c r="D751" s="32"/>
      <x:c r="I751" s="74"/>
      <x:c r="J751" s="74"/>
      <x:c r="K751" s="74"/>
      <x:c r="L751" s="74"/>
      <x:c r="M751" s="91"/>
      <x:c r="N751" s="91"/>
      <x:c r="O751" s="91"/>
      <x:c r="P751" s="91"/>
      <x:c r="Q751" s="85"/>
      <x:c r="S751" s="86"/>
      <x:c r="T751" s="32"/>
    </x:row>
    <x:row r="752">
      <x:c r="A752" s="87"/>
      <x:c r="B752" s="88"/>
      <x:c r="D752" s="32"/>
      <x:c r="I752" s="74"/>
      <x:c r="J752" s="74"/>
      <x:c r="K752" s="74"/>
      <x:c r="L752" s="74"/>
      <x:c r="M752" s="91"/>
      <x:c r="N752" s="91"/>
      <x:c r="O752" s="91"/>
      <x:c r="P752" s="91"/>
      <x:c r="Q752" s="85"/>
      <x:c r="S752" s="86"/>
      <x:c r="T752" s="32"/>
    </x:row>
    <x:row r="753">
      <x:c r="A753" s="87"/>
      <x:c r="B753" s="88"/>
      <x:c r="D753" s="32"/>
      <x:c r="I753" s="74"/>
      <x:c r="J753" s="74"/>
      <x:c r="K753" s="74"/>
      <x:c r="L753" s="74"/>
      <x:c r="M753" s="91"/>
      <x:c r="N753" s="91"/>
      <x:c r="O753" s="91"/>
      <x:c r="P753" s="91"/>
      <x:c r="Q753" s="85"/>
      <x:c r="S753" s="86"/>
      <x:c r="T753" s="32"/>
    </x:row>
    <x:row r="754">
      <x:c r="A754" s="87"/>
      <x:c r="B754" s="88"/>
      <x:c r="D754" s="32"/>
      <x:c r="I754" s="74"/>
      <x:c r="J754" s="74"/>
      <x:c r="K754" s="74"/>
      <x:c r="L754" s="74"/>
      <x:c r="M754" s="91"/>
      <x:c r="N754" s="91"/>
      <x:c r="O754" s="91"/>
      <x:c r="P754" s="91"/>
      <x:c r="Q754" s="85"/>
      <x:c r="S754" s="86"/>
      <x:c r="T754" s="32"/>
    </x:row>
    <x:row r="755">
      <x:c r="A755" s="87"/>
      <x:c r="B755" s="88"/>
      <x:c r="D755" s="32"/>
      <x:c r="I755" s="74"/>
      <x:c r="J755" s="74"/>
      <x:c r="K755" s="74"/>
      <x:c r="L755" s="74"/>
      <x:c r="M755" s="91"/>
      <x:c r="N755" s="91"/>
      <x:c r="O755" s="91"/>
      <x:c r="P755" s="91"/>
      <x:c r="Q755" s="85"/>
      <x:c r="S755" s="86"/>
      <x:c r="T755" s="32"/>
    </x:row>
    <x:row r="756">
      <x:c r="A756" s="87"/>
      <x:c r="B756" s="88"/>
      <x:c r="D756" s="32"/>
      <x:c r="I756" s="74"/>
      <x:c r="J756" s="74"/>
      <x:c r="K756" s="74"/>
      <x:c r="L756" s="74"/>
      <x:c r="M756" s="91"/>
      <x:c r="N756" s="91"/>
      <x:c r="O756" s="91"/>
      <x:c r="P756" s="91"/>
      <x:c r="Q756" s="85"/>
      <x:c r="S756" s="86"/>
      <x:c r="T756" s="32"/>
    </x:row>
    <x:row r="757">
      <x:c r="A757" s="87"/>
      <x:c r="B757" s="88"/>
      <x:c r="D757" s="32"/>
      <x:c r="I757" s="74"/>
      <x:c r="J757" s="74"/>
      <x:c r="K757" s="74"/>
      <x:c r="L757" s="74"/>
      <x:c r="M757" s="91"/>
      <x:c r="N757" s="91"/>
      <x:c r="O757" s="91"/>
      <x:c r="P757" s="91"/>
      <x:c r="Q757" s="85"/>
      <x:c r="S757" s="86"/>
      <x:c r="T757" s="32"/>
    </x:row>
    <x:row r="758">
      <x:c r="A758" s="87"/>
      <x:c r="B758" s="88"/>
      <x:c r="D758" s="32"/>
      <x:c r="I758" s="74"/>
      <x:c r="J758" s="74"/>
      <x:c r="K758" s="74"/>
      <x:c r="L758" s="74"/>
      <x:c r="M758" s="91"/>
      <x:c r="N758" s="91"/>
      <x:c r="O758" s="91"/>
      <x:c r="P758" s="91"/>
      <x:c r="Q758" s="85"/>
      <x:c r="S758" s="86"/>
      <x:c r="T758" s="32"/>
    </x:row>
    <x:row r="759">
      <x:c r="A759" s="87"/>
      <x:c r="B759" s="88"/>
      <x:c r="D759" s="32"/>
      <x:c r="I759" s="74"/>
      <x:c r="J759" s="74"/>
      <x:c r="K759" s="74"/>
      <x:c r="L759" s="74"/>
      <x:c r="M759" s="91"/>
      <x:c r="N759" s="91"/>
      <x:c r="O759" s="91"/>
      <x:c r="P759" s="91"/>
      <x:c r="Q759" s="85"/>
      <x:c r="S759" s="86"/>
      <x:c r="T759" s="32"/>
    </x:row>
    <x:row r="760">
      <x:c r="A760" s="87"/>
      <x:c r="B760" s="88"/>
      <x:c r="D760" s="32"/>
      <x:c r="I760" s="74"/>
      <x:c r="J760" s="74"/>
      <x:c r="K760" s="74"/>
      <x:c r="L760" s="74"/>
      <x:c r="M760" s="91"/>
      <x:c r="N760" s="91"/>
      <x:c r="O760" s="91"/>
      <x:c r="P760" s="91"/>
      <x:c r="Q760" s="85"/>
      <x:c r="S760" s="86"/>
      <x:c r="T760" s="32"/>
    </x:row>
    <x:row r="761">
      <x:c r="A761" s="87"/>
      <x:c r="B761" s="88"/>
      <x:c r="D761" s="32"/>
      <x:c r="I761" s="74"/>
      <x:c r="J761" s="74"/>
      <x:c r="K761" s="74"/>
      <x:c r="L761" s="74"/>
      <x:c r="M761" s="91"/>
      <x:c r="N761" s="91"/>
      <x:c r="O761" s="91"/>
      <x:c r="P761" s="91"/>
      <x:c r="Q761" s="85"/>
      <x:c r="S761" s="86"/>
      <x:c r="T761" s="32"/>
    </x:row>
    <x:row r="762">
      <x:c r="A762" s="87"/>
      <x:c r="B762" s="88"/>
      <x:c r="D762" s="32"/>
      <x:c r="I762" s="74"/>
      <x:c r="J762" s="74"/>
      <x:c r="K762" s="74"/>
      <x:c r="L762" s="74"/>
      <x:c r="M762" s="91"/>
      <x:c r="N762" s="91"/>
      <x:c r="O762" s="91"/>
      <x:c r="P762" s="91"/>
      <x:c r="Q762" s="85"/>
      <x:c r="S762" s="86"/>
      <x:c r="T762" s="32"/>
    </x:row>
    <x:row r="763">
      <x:c r="A763" s="87"/>
      <x:c r="B763" s="88"/>
      <x:c r="D763" s="32"/>
      <x:c r="I763" s="74"/>
      <x:c r="J763" s="74"/>
      <x:c r="K763" s="74"/>
      <x:c r="L763" s="74"/>
      <x:c r="M763" s="91"/>
      <x:c r="N763" s="91"/>
      <x:c r="O763" s="91"/>
      <x:c r="P763" s="91"/>
      <x:c r="Q763" s="85"/>
      <x:c r="S763" s="86"/>
      <x:c r="T763" s="32"/>
    </x:row>
    <x:row r="764">
      <x:c r="A764" s="87"/>
      <x:c r="B764" s="88"/>
      <x:c r="D764" s="32"/>
      <x:c r="I764" s="74"/>
      <x:c r="J764" s="74"/>
      <x:c r="K764" s="74"/>
      <x:c r="L764" s="74"/>
      <x:c r="M764" s="91"/>
      <x:c r="N764" s="91"/>
      <x:c r="O764" s="91"/>
      <x:c r="P764" s="91"/>
      <x:c r="Q764" s="85"/>
      <x:c r="S764" s="86"/>
      <x:c r="T764" s="32"/>
    </x:row>
    <x:row r="765">
      <x:c r="A765" s="87"/>
      <x:c r="B765" s="88"/>
      <x:c r="D765" s="32"/>
      <x:c r="I765" s="74"/>
      <x:c r="J765" s="74"/>
      <x:c r="K765" s="74"/>
      <x:c r="L765" s="74"/>
      <x:c r="M765" s="91"/>
      <x:c r="N765" s="91"/>
      <x:c r="O765" s="91"/>
      <x:c r="P765" s="91"/>
      <x:c r="Q765" s="85"/>
      <x:c r="S765" s="86"/>
      <x:c r="T765" s="32"/>
    </x:row>
    <x:row r="766">
      <x:c r="A766" s="87"/>
      <x:c r="B766" s="88"/>
      <x:c r="D766" s="32"/>
      <x:c r="I766" s="74"/>
      <x:c r="J766" s="74"/>
      <x:c r="K766" s="74"/>
      <x:c r="L766" s="74"/>
      <x:c r="M766" s="91"/>
      <x:c r="N766" s="91"/>
      <x:c r="O766" s="91"/>
      <x:c r="P766" s="91"/>
      <x:c r="Q766" s="85"/>
      <x:c r="S766" s="86"/>
      <x:c r="T766" s="32"/>
    </x:row>
    <x:row r="767">
      <x:c r="A767" s="87"/>
      <x:c r="B767" s="88"/>
      <x:c r="D767" s="32"/>
      <x:c r="I767" s="74"/>
      <x:c r="J767" s="74"/>
      <x:c r="K767" s="74"/>
      <x:c r="L767" s="74"/>
      <x:c r="M767" s="91"/>
      <x:c r="N767" s="91"/>
      <x:c r="O767" s="91"/>
      <x:c r="P767" s="91"/>
      <x:c r="Q767" s="85"/>
      <x:c r="S767" s="86"/>
      <x:c r="T767" s="32"/>
    </x:row>
    <x:row r="768">
      <x:c r="A768" s="87"/>
      <x:c r="B768" s="88"/>
      <x:c r="D768" s="32"/>
      <x:c r="I768" s="74"/>
      <x:c r="J768" s="74"/>
      <x:c r="K768" s="74"/>
      <x:c r="L768" s="74"/>
      <x:c r="M768" s="91"/>
      <x:c r="N768" s="91"/>
      <x:c r="O768" s="91"/>
      <x:c r="P768" s="91"/>
      <x:c r="Q768" s="85"/>
      <x:c r="S768" s="86"/>
      <x:c r="T768" s="32"/>
    </x:row>
    <x:row r="769">
      <x:c r="A769" s="87"/>
      <x:c r="B769" s="88"/>
      <x:c r="D769" s="32"/>
      <x:c r="I769" s="74"/>
      <x:c r="J769" s="74"/>
      <x:c r="K769" s="74"/>
      <x:c r="L769" s="74"/>
      <x:c r="M769" s="91"/>
      <x:c r="N769" s="91"/>
      <x:c r="O769" s="91"/>
      <x:c r="P769" s="91"/>
      <x:c r="Q769" s="85"/>
      <x:c r="S769" s="86"/>
      <x:c r="T769" s="32"/>
    </x:row>
    <x:row r="770">
      <x:c r="A770" s="87"/>
      <x:c r="B770" s="88"/>
      <x:c r="D770" s="32"/>
      <x:c r="I770" s="74"/>
      <x:c r="J770" s="74"/>
      <x:c r="K770" s="74"/>
      <x:c r="L770" s="74"/>
      <x:c r="M770" s="91"/>
      <x:c r="N770" s="91"/>
      <x:c r="O770" s="91"/>
      <x:c r="P770" s="91"/>
      <x:c r="Q770" s="85"/>
      <x:c r="S770" s="86"/>
      <x:c r="T770" s="32"/>
    </x:row>
    <x:row r="771">
      <x:c r="A771" s="87"/>
      <x:c r="B771" s="88"/>
      <x:c r="D771" s="32"/>
      <x:c r="I771" s="74"/>
      <x:c r="J771" s="74"/>
      <x:c r="K771" s="74"/>
      <x:c r="L771" s="74"/>
      <x:c r="M771" s="91"/>
      <x:c r="N771" s="91"/>
      <x:c r="O771" s="91"/>
      <x:c r="P771" s="91"/>
      <x:c r="Q771" s="85"/>
      <x:c r="S771" s="86"/>
      <x:c r="T771" s="32"/>
    </x:row>
    <x:row r="772">
      <x:c r="A772" s="87"/>
      <x:c r="B772" s="88"/>
      <x:c r="D772" s="32"/>
      <x:c r="I772" s="74"/>
      <x:c r="J772" s="74"/>
      <x:c r="K772" s="74"/>
      <x:c r="L772" s="74"/>
      <x:c r="M772" s="91"/>
      <x:c r="N772" s="91"/>
      <x:c r="O772" s="91"/>
      <x:c r="P772" s="91"/>
      <x:c r="Q772" s="85"/>
      <x:c r="S772" s="86"/>
      <x:c r="T772" s="32"/>
    </x:row>
    <x:row r="773">
      <x:c r="A773" s="87"/>
      <x:c r="B773" s="88"/>
      <x:c r="D773" s="32"/>
      <x:c r="I773" s="74"/>
      <x:c r="J773" s="74"/>
      <x:c r="K773" s="74"/>
      <x:c r="L773" s="74"/>
      <x:c r="M773" s="91"/>
      <x:c r="N773" s="91"/>
      <x:c r="O773" s="91"/>
      <x:c r="P773" s="91"/>
      <x:c r="Q773" s="85"/>
      <x:c r="S773" s="86"/>
      <x:c r="T773" s="32"/>
    </x:row>
    <x:row r="774">
      <x:c r="A774" s="87"/>
      <x:c r="B774" s="88"/>
      <x:c r="D774" s="32"/>
      <x:c r="I774" s="74"/>
      <x:c r="J774" s="74"/>
      <x:c r="K774" s="74"/>
      <x:c r="L774" s="74"/>
      <x:c r="M774" s="91"/>
      <x:c r="N774" s="91"/>
      <x:c r="O774" s="91"/>
      <x:c r="P774" s="91"/>
      <x:c r="Q774" s="85"/>
      <x:c r="S774" s="86"/>
      <x:c r="T774" s="32"/>
    </x:row>
    <x:row r="775">
      <x:c r="A775" s="87"/>
      <x:c r="B775" s="88"/>
      <x:c r="D775" s="32"/>
      <x:c r="I775" s="74"/>
      <x:c r="J775" s="74"/>
      <x:c r="K775" s="74"/>
      <x:c r="L775" s="74"/>
      <x:c r="M775" s="91"/>
      <x:c r="N775" s="91"/>
      <x:c r="O775" s="91"/>
      <x:c r="P775" s="91"/>
      <x:c r="Q775" s="85"/>
      <x:c r="S775" s="86"/>
      <x:c r="T775" s="32"/>
    </x:row>
    <x:row r="776">
      <x:c r="A776" s="87"/>
      <x:c r="B776" s="88"/>
      <x:c r="D776" s="32"/>
      <x:c r="I776" s="74"/>
      <x:c r="J776" s="74"/>
      <x:c r="K776" s="74"/>
      <x:c r="L776" s="74"/>
      <x:c r="M776" s="91"/>
      <x:c r="N776" s="91"/>
      <x:c r="O776" s="91"/>
      <x:c r="P776" s="91"/>
      <x:c r="Q776" s="85"/>
      <x:c r="S776" s="86"/>
      <x:c r="T776" s="32"/>
    </x:row>
    <x:row r="777">
      <x:c r="A777" s="87"/>
      <x:c r="B777" s="88"/>
      <x:c r="D777" s="32"/>
      <x:c r="I777" s="74"/>
      <x:c r="J777" s="74"/>
      <x:c r="K777" s="74"/>
      <x:c r="L777" s="74"/>
      <x:c r="M777" s="91"/>
      <x:c r="N777" s="91"/>
      <x:c r="O777" s="91"/>
      <x:c r="P777" s="91"/>
      <x:c r="Q777" s="85"/>
      <x:c r="S777" s="86"/>
      <x:c r="T777" s="32"/>
    </x:row>
    <x:row r="778">
      <x:c r="A778" s="87"/>
      <x:c r="B778" s="88"/>
      <x:c r="D778" s="32"/>
      <x:c r="I778" s="74"/>
      <x:c r="J778" s="74"/>
      <x:c r="K778" s="74"/>
      <x:c r="L778" s="74"/>
      <x:c r="M778" s="91"/>
      <x:c r="N778" s="91"/>
      <x:c r="O778" s="91"/>
      <x:c r="P778" s="91"/>
      <x:c r="Q778" s="85"/>
      <x:c r="S778" s="86"/>
      <x:c r="T778" s="32"/>
    </x:row>
    <x:row r="779">
      <x:c r="A779" s="87"/>
      <x:c r="B779" s="88"/>
      <x:c r="D779" s="32"/>
      <x:c r="I779" s="74"/>
      <x:c r="J779" s="74"/>
      <x:c r="K779" s="74"/>
      <x:c r="L779" s="74"/>
      <x:c r="M779" s="91"/>
      <x:c r="N779" s="91"/>
      <x:c r="O779" s="91"/>
      <x:c r="P779" s="91"/>
      <x:c r="Q779" s="85"/>
      <x:c r="S779" s="86"/>
      <x:c r="T779" s="32"/>
    </x:row>
    <x:row r="780">
      <x:c r="A780" s="87"/>
      <x:c r="B780" s="88"/>
      <x:c r="D780" s="32"/>
      <x:c r="I780" s="74"/>
      <x:c r="J780" s="74"/>
      <x:c r="K780" s="74"/>
      <x:c r="L780" s="74"/>
      <x:c r="M780" s="91"/>
      <x:c r="N780" s="91"/>
      <x:c r="O780" s="91"/>
      <x:c r="P780" s="91"/>
      <x:c r="Q780" s="85"/>
      <x:c r="S780" s="86"/>
      <x:c r="T780" s="32"/>
    </x:row>
    <x:row r="781">
      <x:c r="A781" s="87"/>
      <x:c r="B781" s="88"/>
      <x:c r="D781" s="32"/>
      <x:c r="I781" s="74"/>
      <x:c r="J781" s="74"/>
      <x:c r="K781" s="74"/>
      <x:c r="L781" s="74"/>
      <x:c r="M781" s="91"/>
      <x:c r="N781" s="91"/>
      <x:c r="O781" s="91"/>
      <x:c r="P781" s="91"/>
      <x:c r="Q781" s="85"/>
      <x:c r="S781" s="86"/>
      <x:c r="T781" s="32"/>
    </x:row>
    <x:row r="782">
      <x:c r="A782" s="87"/>
      <x:c r="B782" s="88"/>
      <x:c r="D782" s="32"/>
      <x:c r="I782" s="74"/>
      <x:c r="J782" s="74"/>
      <x:c r="K782" s="74"/>
      <x:c r="L782" s="74"/>
      <x:c r="M782" s="91"/>
      <x:c r="N782" s="91"/>
      <x:c r="O782" s="91"/>
      <x:c r="P782" s="91"/>
      <x:c r="Q782" s="85"/>
      <x:c r="S782" s="86"/>
      <x:c r="T782" s="32"/>
    </x:row>
    <x:row r="783">
      <x:c r="A783" s="87"/>
      <x:c r="B783" s="88"/>
      <x:c r="D783" s="32"/>
      <x:c r="I783" s="74"/>
      <x:c r="J783" s="74"/>
      <x:c r="K783" s="74"/>
      <x:c r="L783" s="74"/>
      <x:c r="M783" s="91"/>
      <x:c r="N783" s="91"/>
      <x:c r="O783" s="91"/>
      <x:c r="P783" s="91"/>
      <x:c r="Q783" s="85"/>
      <x:c r="S783" s="86"/>
      <x:c r="T783" s="32"/>
    </x:row>
    <x:row r="784">
      <x:c r="A784" s="87"/>
      <x:c r="B784" s="88"/>
      <x:c r="D784" s="32"/>
      <x:c r="I784" s="74"/>
      <x:c r="J784" s="74"/>
      <x:c r="K784" s="74"/>
      <x:c r="L784" s="74"/>
      <x:c r="M784" s="91"/>
      <x:c r="N784" s="91"/>
      <x:c r="O784" s="91"/>
      <x:c r="P784" s="91"/>
      <x:c r="Q784" s="85"/>
      <x:c r="S784" s="86"/>
      <x:c r="T784" s="32"/>
    </x:row>
    <x:row r="785">
      <x:c r="A785" s="87"/>
      <x:c r="B785" s="88"/>
      <x:c r="D785" s="32"/>
      <x:c r="I785" s="74"/>
      <x:c r="J785" s="74"/>
      <x:c r="K785" s="74"/>
      <x:c r="L785" s="74"/>
      <x:c r="M785" s="91"/>
      <x:c r="N785" s="91"/>
      <x:c r="O785" s="91"/>
      <x:c r="P785" s="91"/>
      <x:c r="Q785" s="85"/>
      <x:c r="S785" s="86"/>
      <x:c r="T785" s="32"/>
    </x:row>
    <x:row r="786">
      <x:c r="A786" s="87"/>
      <x:c r="B786" s="88"/>
      <x:c r="D786" s="32"/>
      <x:c r="I786" s="74"/>
      <x:c r="J786" s="74"/>
      <x:c r="K786" s="74"/>
      <x:c r="L786" s="74"/>
      <x:c r="M786" s="91"/>
      <x:c r="N786" s="91"/>
      <x:c r="O786" s="91"/>
      <x:c r="P786" s="91"/>
      <x:c r="Q786" s="85"/>
      <x:c r="S786" s="86"/>
      <x:c r="T786" s="32"/>
    </x:row>
    <x:row r="787">
      <x:c r="A787" s="87"/>
      <x:c r="B787" s="88"/>
      <x:c r="D787" s="32"/>
      <x:c r="I787" s="74"/>
      <x:c r="J787" s="74"/>
      <x:c r="K787" s="74"/>
      <x:c r="L787" s="74"/>
      <x:c r="M787" s="91"/>
      <x:c r="N787" s="91"/>
      <x:c r="O787" s="91"/>
      <x:c r="P787" s="91"/>
      <x:c r="Q787" s="85"/>
      <x:c r="S787" s="86"/>
      <x:c r="T787" s="32"/>
    </x:row>
    <x:row r="788">
      <x:c r="A788" s="87"/>
      <x:c r="B788" s="88"/>
      <x:c r="D788" s="32"/>
      <x:c r="I788" s="74"/>
      <x:c r="J788" s="74"/>
      <x:c r="K788" s="74"/>
      <x:c r="L788" s="74"/>
      <x:c r="M788" s="91"/>
      <x:c r="N788" s="91"/>
      <x:c r="O788" s="91"/>
      <x:c r="P788" s="91"/>
      <x:c r="Q788" s="85"/>
      <x:c r="S788" s="86"/>
      <x:c r="T788" s="32"/>
    </x:row>
    <x:row r="789">
      <x:c r="A789" s="87"/>
      <x:c r="B789" s="88"/>
      <x:c r="D789" s="32"/>
      <x:c r="I789" s="74"/>
      <x:c r="J789" s="74"/>
      <x:c r="K789" s="74"/>
      <x:c r="L789" s="74"/>
      <x:c r="M789" s="91"/>
      <x:c r="N789" s="91"/>
      <x:c r="O789" s="91"/>
      <x:c r="P789" s="91"/>
      <x:c r="Q789" s="85"/>
      <x:c r="S789" s="86"/>
      <x:c r="T789" s="32"/>
    </x:row>
    <x:row r="790">
      <x:c r="A790" s="87"/>
      <x:c r="B790" s="88"/>
      <x:c r="D790" s="32"/>
      <x:c r="I790" s="74"/>
      <x:c r="J790" s="74"/>
      <x:c r="K790" s="74"/>
      <x:c r="L790" s="74"/>
      <x:c r="M790" s="91"/>
      <x:c r="N790" s="91"/>
      <x:c r="O790" s="91"/>
      <x:c r="P790" s="91"/>
      <x:c r="Q790" s="85"/>
      <x:c r="S790" s="86"/>
      <x:c r="T790" s="32"/>
    </x:row>
    <x:row r="791">
      <x:c r="A791" s="87"/>
      <x:c r="B791" s="88"/>
      <x:c r="D791" s="32"/>
      <x:c r="I791" s="74"/>
      <x:c r="J791" s="74"/>
      <x:c r="K791" s="74"/>
      <x:c r="L791" s="74"/>
      <x:c r="M791" s="91"/>
      <x:c r="N791" s="91"/>
      <x:c r="O791" s="91"/>
      <x:c r="P791" s="91"/>
      <x:c r="Q791" s="85"/>
      <x:c r="S791" s="86"/>
      <x:c r="T791" s="32"/>
    </x:row>
    <x:row r="792">
      <x:c r="A792" s="87"/>
      <x:c r="B792" s="88"/>
      <x:c r="D792" s="32"/>
      <x:c r="I792" s="74"/>
      <x:c r="J792" s="74"/>
      <x:c r="K792" s="74"/>
      <x:c r="L792" s="74"/>
      <x:c r="M792" s="91"/>
      <x:c r="N792" s="91"/>
      <x:c r="O792" s="91"/>
      <x:c r="P792" s="91"/>
      <x:c r="Q792" s="85"/>
      <x:c r="S792" s="86"/>
      <x:c r="T792" s="32"/>
    </x:row>
    <x:row r="793">
      <x:c r="A793" s="87"/>
      <x:c r="B793" s="88"/>
      <x:c r="D793" s="32"/>
      <x:c r="I793" s="74"/>
      <x:c r="J793" s="74"/>
      <x:c r="K793" s="74"/>
      <x:c r="L793" s="74"/>
      <x:c r="M793" s="91"/>
      <x:c r="N793" s="91"/>
      <x:c r="O793" s="91"/>
      <x:c r="P793" s="91"/>
      <x:c r="Q793" s="85"/>
      <x:c r="S793" s="86"/>
      <x:c r="T793" s="32"/>
    </x:row>
    <x:row r="794">
      <x:c r="A794" s="87"/>
      <x:c r="B794" s="88"/>
      <x:c r="D794" s="32"/>
      <x:c r="I794" s="74"/>
      <x:c r="J794" s="74"/>
      <x:c r="K794" s="74"/>
      <x:c r="L794" s="74"/>
      <x:c r="M794" s="91"/>
      <x:c r="N794" s="91"/>
      <x:c r="O794" s="91"/>
      <x:c r="P794" s="91"/>
      <x:c r="Q794" s="85"/>
      <x:c r="S794" s="86"/>
      <x:c r="T794" s="32"/>
    </x:row>
    <x:row r="795">
      <x:c r="A795" s="87"/>
      <x:c r="B795" s="88"/>
      <x:c r="D795" s="32"/>
      <x:c r="I795" s="74"/>
      <x:c r="J795" s="74"/>
      <x:c r="K795" s="74"/>
      <x:c r="L795" s="74"/>
      <x:c r="M795" s="91"/>
      <x:c r="N795" s="91"/>
      <x:c r="O795" s="91"/>
      <x:c r="P795" s="91"/>
      <x:c r="Q795" s="85"/>
      <x:c r="S795" s="86"/>
      <x:c r="T795" s="32"/>
    </x:row>
    <x:row r="796">
      <x:c r="A796" s="87"/>
      <x:c r="B796" s="88"/>
      <x:c r="D796" s="32"/>
      <x:c r="I796" s="74"/>
      <x:c r="J796" s="74"/>
      <x:c r="K796" s="74"/>
      <x:c r="L796" s="74"/>
      <x:c r="M796" s="91"/>
      <x:c r="N796" s="91"/>
      <x:c r="O796" s="91"/>
      <x:c r="P796" s="91"/>
      <x:c r="Q796" s="85"/>
      <x:c r="S796" s="86"/>
      <x:c r="T796" s="32"/>
    </x:row>
    <x:row r="797">
      <x:c r="A797" s="87"/>
      <x:c r="B797" s="88"/>
      <x:c r="D797" s="32"/>
      <x:c r="I797" s="74"/>
      <x:c r="J797" s="74"/>
      <x:c r="K797" s="74"/>
      <x:c r="L797" s="74"/>
      <x:c r="M797" s="91"/>
      <x:c r="N797" s="91"/>
      <x:c r="O797" s="91"/>
      <x:c r="P797" s="91"/>
      <x:c r="Q797" s="85"/>
      <x:c r="S797" s="86"/>
      <x:c r="T797" s="32"/>
    </x:row>
    <x:row r="798">
      <x:c r="A798" s="87"/>
      <x:c r="B798" s="88"/>
      <x:c r="D798" s="32"/>
      <x:c r="I798" s="74"/>
      <x:c r="J798" s="74"/>
      <x:c r="K798" s="74"/>
      <x:c r="L798" s="74"/>
      <x:c r="M798" s="91"/>
      <x:c r="N798" s="91"/>
      <x:c r="O798" s="91"/>
      <x:c r="P798" s="91"/>
      <x:c r="Q798" s="85"/>
      <x:c r="S798" s="86"/>
      <x:c r="T798" s="32"/>
    </x:row>
    <x:row r="799">
      <x:c r="A799" s="87"/>
      <x:c r="B799" s="88"/>
      <x:c r="D799" s="32"/>
      <x:c r="I799" s="74"/>
      <x:c r="J799" s="74"/>
      <x:c r="K799" s="74"/>
      <x:c r="L799" s="74"/>
      <x:c r="M799" s="91"/>
      <x:c r="N799" s="91"/>
      <x:c r="O799" s="91"/>
      <x:c r="P799" s="91"/>
      <x:c r="Q799" s="85"/>
      <x:c r="S799" s="86"/>
      <x:c r="T799" s="32"/>
    </x:row>
    <x:row r="800">
      <x:c r="A800" s="87"/>
      <x:c r="B800" s="88"/>
      <x:c r="D800" s="32"/>
      <x:c r="I800" s="74"/>
      <x:c r="J800" s="74"/>
      <x:c r="K800" s="74"/>
      <x:c r="L800" s="74"/>
      <x:c r="M800" s="91"/>
      <x:c r="N800" s="91"/>
      <x:c r="O800" s="91"/>
      <x:c r="P800" s="91"/>
      <x:c r="Q800" s="85"/>
      <x:c r="S800" s="86"/>
      <x:c r="T800" s="32"/>
    </x:row>
    <x:row r="801">
      <x:c r="A801" s="87"/>
      <x:c r="B801" s="88"/>
      <x:c r="D801" s="32"/>
      <x:c r="I801" s="74"/>
      <x:c r="J801" s="74"/>
      <x:c r="K801" s="74"/>
      <x:c r="L801" s="74"/>
      <x:c r="M801" s="91"/>
      <x:c r="N801" s="91"/>
      <x:c r="O801" s="91"/>
      <x:c r="P801" s="91"/>
      <x:c r="Q801" s="85"/>
      <x:c r="S801" s="86"/>
      <x:c r="T801" s="32"/>
    </x:row>
    <x:row r="802">
      <x:c r="A802" s="87"/>
      <x:c r="B802" s="88"/>
      <x:c r="D802" s="32"/>
      <x:c r="I802" s="74"/>
      <x:c r="J802" s="74"/>
      <x:c r="K802" s="74"/>
      <x:c r="L802" s="74"/>
      <x:c r="M802" s="91"/>
      <x:c r="N802" s="91"/>
      <x:c r="O802" s="91"/>
      <x:c r="P802" s="91"/>
      <x:c r="Q802" s="85"/>
      <x:c r="S802" s="86"/>
      <x:c r="T802" s="32"/>
    </x:row>
    <x:row r="803">
      <x:c r="A803" s="87"/>
      <x:c r="B803" s="88"/>
      <x:c r="D803" s="32"/>
      <x:c r="I803" s="74"/>
      <x:c r="J803" s="74"/>
      <x:c r="K803" s="74"/>
      <x:c r="L803" s="74"/>
      <x:c r="M803" s="91"/>
      <x:c r="N803" s="91"/>
      <x:c r="O803" s="91"/>
      <x:c r="P803" s="91"/>
      <x:c r="Q803" s="85"/>
      <x:c r="S803" s="86"/>
      <x:c r="T803" s="32"/>
    </x:row>
    <x:row r="804">
      <x:c r="A804" s="87"/>
      <x:c r="B804" s="88"/>
      <x:c r="D804" s="32"/>
      <x:c r="I804" s="74"/>
      <x:c r="J804" s="74"/>
      <x:c r="K804" s="74"/>
      <x:c r="L804" s="74"/>
      <x:c r="M804" s="91"/>
      <x:c r="N804" s="91"/>
      <x:c r="O804" s="91"/>
      <x:c r="P804" s="91"/>
      <x:c r="Q804" s="85"/>
      <x:c r="S804" s="86"/>
      <x:c r="T804" s="32"/>
    </x:row>
    <x:row r="805">
      <x:c r="A805" s="87"/>
      <x:c r="B805" s="88"/>
      <x:c r="D805" s="32"/>
      <x:c r="I805" s="74"/>
      <x:c r="J805" s="74"/>
      <x:c r="K805" s="74"/>
      <x:c r="L805" s="74"/>
      <x:c r="M805" s="91"/>
      <x:c r="N805" s="91"/>
      <x:c r="O805" s="91"/>
      <x:c r="P805" s="91"/>
      <x:c r="Q805" s="85"/>
      <x:c r="S805" s="86"/>
      <x:c r="T805" s="32"/>
    </x:row>
    <x:row r="806">
      <x:c r="A806" s="87"/>
      <x:c r="B806" s="88"/>
      <x:c r="D806" s="32"/>
      <x:c r="I806" s="74"/>
      <x:c r="J806" s="74"/>
      <x:c r="K806" s="74"/>
      <x:c r="L806" s="74"/>
      <x:c r="M806" s="91"/>
      <x:c r="N806" s="91"/>
      <x:c r="O806" s="91"/>
      <x:c r="P806" s="91"/>
      <x:c r="Q806" s="85"/>
      <x:c r="S806" s="86"/>
      <x:c r="T806" s="32"/>
    </x:row>
    <x:row r="807">
      <x:c r="A807" s="87"/>
      <x:c r="B807" s="88"/>
      <x:c r="D807" s="32"/>
      <x:c r="I807" s="74"/>
      <x:c r="J807" s="74"/>
      <x:c r="K807" s="74"/>
      <x:c r="L807" s="74"/>
      <x:c r="M807" s="91"/>
      <x:c r="N807" s="91"/>
      <x:c r="O807" s="91"/>
      <x:c r="P807" s="91"/>
      <x:c r="Q807" s="85"/>
      <x:c r="S807" s="86"/>
      <x:c r="T807" s="32"/>
    </x:row>
    <x:row r="808">
      <x:c r="A808" s="87"/>
      <x:c r="B808" s="88"/>
      <x:c r="D808" s="32"/>
      <x:c r="I808" s="74"/>
      <x:c r="J808" s="74"/>
      <x:c r="K808" s="74"/>
      <x:c r="L808" s="74"/>
      <x:c r="M808" s="91"/>
      <x:c r="N808" s="91"/>
      <x:c r="O808" s="91"/>
      <x:c r="P808" s="91"/>
      <x:c r="Q808" s="85"/>
      <x:c r="S808" s="86"/>
      <x:c r="T808" s="32"/>
    </x:row>
    <x:row r="809">
      <x:c r="A809" s="87"/>
      <x:c r="B809" s="88"/>
      <x:c r="D809" s="32"/>
      <x:c r="I809" s="74"/>
      <x:c r="J809" s="74"/>
      <x:c r="K809" s="74"/>
      <x:c r="L809" s="74"/>
      <x:c r="M809" s="91"/>
      <x:c r="N809" s="91"/>
      <x:c r="O809" s="91"/>
      <x:c r="P809" s="91"/>
      <x:c r="Q809" s="85"/>
      <x:c r="S809" s="86"/>
      <x:c r="T809" s="32"/>
    </x:row>
    <x:row r="810">
      <x:c r="A810" s="87"/>
      <x:c r="B810" s="88"/>
      <x:c r="D810" s="32"/>
      <x:c r="I810" s="74"/>
      <x:c r="J810" s="74"/>
      <x:c r="K810" s="74"/>
      <x:c r="L810" s="74"/>
      <x:c r="M810" s="91"/>
      <x:c r="N810" s="91"/>
      <x:c r="O810" s="91"/>
      <x:c r="P810" s="91"/>
      <x:c r="Q810" s="85"/>
      <x:c r="S810" s="86"/>
      <x:c r="T810" s="32"/>
    </x:row>
    <x:row r="811">
      <x:c r="A811" s="87"/>
      <x:c r="B811" s="88"/>
      <x:c r="D811" s="32"/>
      <x:c r="I811" s="74"/>
      <x:c r="J811" s="74"/>
      <x:c r="K811" s="74"/>
      <x:c r="L811" s="74"/>
      <x:c r="M811" s="91"/>
      <x:c r="N811" s="91"/>
      <x:c r="O811" s="91"/>
      <x:c r="P811" s="91"/>
      <x:c r="Q811" s="85"/>
      <x:c r="S811" s="86"/>
      <x:c r="T811" s="32"/>
    </x:row>
    <x:row r="812">
      <x:c r="A812" s="87"/>
      <x:c r="B812" s="88"/>
      <x:c r="D812" s="32"/>
      <x:c r="I812" s="74"/>
      <x:c r="J812" s="74"/>
      <x:c r="K812" s="74"/>
      <x:c r="L812" s="74"/>
      <x:c r="M812" s="91"/>
      <x:c r="N812" s="91"/>
      <x:c r="O812" s="91"/>
      <x:c r="P812" s="91"/>
      <x:c r="Q812" s="85"/>
      <x:c r="S812" s="86"/>
      <x:c r="T812" s="32"/>
    </x:row>
    <x:row r="813">
      <x:c r="A813" s="87"/>
      <x:c r="B813" s="88"/>
      <x:c r="D813" s="32"/>
      <x:c r="I813" s="74"/>
      <x:c r="J813" s="74"/>
      <x:c r="K813" s="74"/>
      <x:c r="L813" s="74"/>
      <x:c r="M813" s="91"/>
      <x:c r="N813" s="91"/>
      <x:c r="O813" s="91"/>
      <x:c r="P813" s="91"/>
      <x:c r="Q813" s="85"/>
      <x:c r="S813" s="86"/>
      <x:c r="T813" s="32"/>
    </x:row>
    <x:row r="814">
      <x:c r="A814" s="87"/>
      <x:c r="B814" s="88"/>
      <x:c r="D814" s="32"/>
      <x:c r="I814" s="74"/>
      <x:c r="J814" s="74"/>
      <x:c r="K814" s="74"/>
      <x:c r="L814" s="74"/>
      <x:c r="M814" s="91"/>
      <x:c r="N814" s="91"/>
      <x:c r="O814" s="91"/>
      <x:c r="P814" s="91"/>
      <x:c r="Q814" s="85"/>
      <x:c r="S814" s="86"/>
      <x:c r="T814" s="32"/>
    </x:row>
    <x:row r="815">
      <x:c r="A815" s="87"/>
      <x:c r="B815" s="88"/>
      <x:c r="D815" s="32"/>
      <x:c r="I815" s="74"/>
      <x:c r="J815" s="74"/>
      <x:c r="K815" s="74"/>
      <x:c r="L815" s="74"/>
      <x:c r="M815" s="91"/>
      <x:c r="N815" s="91"/>
      <x:c r="O815" s="91"/>
      <x:c r="P815" s="91"/>
      <x:c r="Q815" s="85"/>
      <x:c r="S815" s="86"/>
      <x:c r="T815" s="32"/>
    </x:row>
    <x:row r="816">
      <x:c r="A816" s="87"/>
      <x:c r="B816" s="88"/>
      <x:c r="D816" s="32"/>
      <x:c r="I816" s="74"/>
      <x:c r="J816" s="74"/>
      <x:c r="K816" s="74"/>
      <x:c r="L816" s="74"/>
      <x:c r="M816" s="91"/>
      <x:c r="N816" s="91"/>
      <x:c r="O816" s="91"/>
      <x:c r="P816" s="91"/>
      <x:c r="Q816" s="85"/>
      <x:c r="S816" s="86"/>
      <x:c r="T816" s="32"/>
    </x:row>
    <x:row r="817">
      <x:c r="A817" s="87"/>
      <x:c r="B817" s="88"/>
      <x:c r="D817" s="32"/>
      <x:c r="I817" s="74"/>
      <x:c r="J817" s="74"/>
      <x:c r="K817" s="74"/>
      <x:c r="L817" s="74"/>
      <x:c r="M817" s="91"/>
      <x:c r="N817" s="91"/>
      <x:c r="O817" s="91"/>
      <x:c r="P817" s="91"/>
      <x:c r="Q817" s="85"/>
      <x:c r="S817" s="86"/>
      <x:c r="T817" s="32"/>
    </x:row>
    <x:row r="818">
      <x:c r="A818" s="87"/>
      <x:c r="B818" s="88"/>
      <x:c r="D818" s="32"/>
      <x:c r="I818" s="74"/>
      <x:c r="J818" s="74"/>
      <x:c r="K818" s="74"/>
      <x:c r="L818" s="74"/>
      <x:c r="M818" s="91"/>
      <x:c r="N818" s="91"/>
      <x:c r="O818" s="91"/>
      <x:c r="P818" s="91"/>
      <x:c r="Q818" s="85"/>
      <x:c r="S818" s="86"/>
      <x:c r="T818" s="32"/>
    </x:row>
    <x:row r="819">
      <x:c r="A819" s="87"/>
      <x:c r="B819" s="88"/>
      <x:c r="D819" s="32"/>
      <x:c r="I819" s="74"/>
      <x:c r="J819" s="74"/>
      <x:c r="K819" s="74"/>
      <x:c r="L819" s="74"/>
      <x:c r="M819" s="91"/>
      <x:c r="N819" s="91"/>
      <x:c r="O819" s="91"/>
      <x:c r="P819" s="91"/>
      <x:c r="Q819" s="85"/>
      <x:c r="S819" s="86"/>
      <x:c r="T819" s="32"/>
    </x:row>
    <x:row r="820">
      <x:c r="A820" s="87"/>
      <x:c r="B820" s="88"/>
      <x:c r="D820" s="32"/>
      <x:c r="I820" s="74"/>
      <x:c r="J820" s="74"/>
      <x:c r="K820" s="74"/>
      <x:c r="L820" s="74"/>
      <x:c r="M820" s="91"/>
      <x:c r="N820" s="91"/>
      <x:c r="O820" s="91"/>
      <x:c r="P820" s="91"/>
      <x:c r="Q820" s="85"/>
      <x:c r="S820" s="86"/>
      <x:c r="T820" s="32"/>
    </x:row>
    <x:row r="821">
      <x:c r="A821" s="87"/>
      <x:c r="B821" s="88"/>
      <x:c r="D821" s="32"/>
      <x:c r="I821" s="74"/>
      <x:c r="J821" s="74"/>
      <x:c r="K821" s="74"/>
      <x:c r="L821" s="74"/>
      <x:c r="M821" s="91"/>
      <x:c r="N821" s="91"/>
      <x:c r="O821" s="91"/>
      <x:c r="P821" s="91"/>
      <x:c r="Q821" s="85"/>
      <x:c r="S821" s="86"/>
      <x:c r="T821" s="32"/>
    </x:row>
    <x:row r="822">
      <x:c r="A822" s="87"/>
      <x:c r="B822" s="88"/>
      <x:c r="D822" s="32"/>
      <x:c r="I822" s="74"/>
      <x:c r="J822" s="74"/>
      <x:c r="K822" s="74"/>
      <x:c r="L822" s="74"/>
      <x:c r="M822" s="91"/>
      <x:c r="N822" s="91"/>
      <x:c r="O822" s="91"/>
      <x:c r="P822" s="91"/>
      <x:c r="Q822" s="85"/>
      <x:c r="S822" s="86"/>
      <x:c r="T822" s="32"/>
    </x:row>
    <x:row r="823">
      <x:c r="A823" s="87"/>
      <x:c r="B823" s="88"/>
      <x:c r="D823" s="32"/>
      <x:c r="I823" s="74"/>
      <x:c r="J823" s="74"/>
      <x:c r="K823" s="74"/>
      <x:c r="L823" s="74"/>
      <x:c r="M823" s="91"/>
      <x:c r="N823" s="91"/>
      <x:c r="O823" s="91"/>
      <x:c r="P823" s="91"/>
      <x:c r="Q823" s="85"/>
      <x:c r="S823" s="86"/>
      <x:c r="T823" s="32"/>
    </x:row>
    <x:row r="824">
      <x:c r="A824" s="87"/>
      <x:c r="B824" s="88"/>
      <x:c r="D824" s="32"/>
      <x:c r="I824" s="74"/>
      <x:c r="J824" s="74"/>
      <x:c r="K824" s="74"/>
      <x:c r="L824" s="74"/>
      <x:c r="M824" s="91"/>
      <x:c r="N824" s="91"/>
      <x:c r="O824" s="91"/>
      <x:c r="P824" s="91"/>
      <x:c r="Q824" s="85"/>
      <x:c r="S824" s="86"/>
      <x:c r="T824" s="32"/>
    </x:row>
    <x:row r="825">
      <x:c r="A825" s="87"/>
      <x:c r="B825" s="88"/>
      <x:c r="D825" s="32"/>
      <x:c r="I825" s="74"/>
      <x:c r="J825" s="74"/>
      <x:c r="K825" s="74"/>
      <x:c r="L825" s="74"/>
      <x:c r="M825" s="91"/>
      <x:c r="N825" s="91"/>
      <x:c r="O825" s="91"/>
      <x:c r="P825" s="91"/>
      <x:c r="Q825" s="85"/>
      <x:c r="S825" s="86"/>
      <x:c r="T825" s="32"/>
    </x:row>
    <x:row r="826">
      <x:c r="A826" s="87"/>
      <x:c r="B826" s="88"/>
      <x:c r="D826" s="32"/>
      <x:c r="I826" s="74"/>
      <x:c r="J826" s="74"/>
      <x:c r="K826" s="74"/>
      <x:c r="L826" s="74"/>
      <x:c r="M826" s="91"/>
      <x:c r="N826" s="91"/>
      <x:c r="O826" s="91"/>
      <x:c r="P826" s="91"/>
      <x:c r="Q826" s="85"/>
      <x:c r="S826" s="86"/>
      <x:c r="T826" s="32"/>
    </x:row>
    <x:row r="827">
      <x:c r="A827" s="87"/>
      <x:c r="B827" s="88"/>
      <x:c r="D827" s="32"/>
      <x:c r="I827" s="74"/>
      <x:c r="J827" s="74"/>
      <x:c r="K827" s="74"/>
      <x:c r="L827" s="74"/>
      <x:c r="M827" s="91"/>
      <x:c r="N827" s="91"/>
      <x:c r="O827" s="91"/>
      <x:c r="P827" s="91"/>
      <x:c r="Q827" s="85"/>
      <x:c r="S827" s="86"/>
      <x:c r="T827" s="32"/>
    </x:row>
    <x:row r="828">
      <x:c r="A828" s="87"/>
      <x:c r="B828" s="88"/>
      <x:c r="D828" s="32"/>
      <x:c r="I828" s="74"/>
      <x:c r="J828" s="74"/>
      <x:c r="K828" s="74"/>
      <x:c r="L828" s="74"/>
      <x:c r="M828" s="91"/>
      <x:c r="N828" s="91"/>
      <x:c r="O828" s="91"/>
      <x:c r="P828" s="91"/>
      <x:c r="Q828" s="85"/>
      <x:c r="S828" s="86"/>
      <x:c r="T828" s="32"/>
    </x:row>
    <x:row r="829">
      <x:c r="A829" s="87"/>
      <x:c r="B829" s="88"/>
      <x:c r="D829" s="32"/>
      <x:c r="I829" s="74"/>
      <x:c r="J829" s="74"/>
      <x:c r="K829" s="74"/>
      <x:c r="L829" s="74"/>
      <x:c r="M829" s="91"/>
      <x:c r="N829" s="91"/>
      <x:c r="O829" s="91"/>
      <x:c r="P829" s="91"/>
      <x:c r="Q829" s="85"/>
      <x:c r="S829" s="86"/>
      <x:c r="T829" s="32"/>
    </x:row>
    <x:row r="830">
      <x:c r="A830" s="87"/>
      <x:c r="B830" s="88"/>
      <x:c r="D830" s="32"/>
      <x:c r="I830" s="74"/>
      <x:c r="J830" s="74"/>
      <x:c r="K830" s="74"/>
      <x:c r="L830" s="74"/>
      <x:c r="M830" s="91"/>
      <x:c r="N830" s="91"/>
      <x:c r="O830" s="91"/>
      <x:c r="P830" s="91"/>
      <x:c r="Q830" s="85"/>
      <x:c r="S830" s="86"/>
      <x:c r="T830" s="32"/>
    </x:row>
    <x:row r="831">
      <x:c r="A831" s="87"/>
      <x:c r="B831" s="88"/>
      <x:c r="D831" s="32"/>
      <x:c r="I831" s="74"/>
      <x:c r="J831" s="74"/>
      <x:c r="K831" s="74"/>
      <x:c r="L831" s="74"/>
      <x:c r="M831" s="91"/>
      <x:c r="N831" s="91"/>
      <x:c r="O831" s="91"/>
      <x:c r="P831" s="91"/>
      <x:c r="Q831" s="85"/>
      <x:c r="S831" s="86"/>
      <x:c r="T831" s="32"/>
    </x:row>
    <x:row r="832">
      <x:c r="A832" s="87"/>
      <x:c r="B832" s="88"/>
      <x:c r="D832" s="32"/>
      <x:c r="I832" s="74"/>
      <x:c r="J832" s="74"/>
      <x:c r="K832" s="74"/>
      <x:c r="L832" s="74"/>
      <x:c r="M832" s="91"/>
      <x:c r="N832" s="91"/>
      <x:c r="O832" s="91"/>
      <x:c r="P832" s="91"/>
      <x:c r="Q832" s="85"/>
      <x:c r="S832" s="86"/>
      <x:c r="T832" s="32"/>
    </x:row>
    <x:row r="833">
      <x:c r="A833" s="87"/>
      <x:c r="B833" s="88"/>
      <x:c r="D833" s="32"/>
      <x:c r="I833" s="74"/>
      <x:c r="J833" s="74"/>
      <x:c r="K833" s="74"/>
      <x:c r="L833" s="74"/>
      <x:c r="M833" s="91"/>
      <x:c r="N833" s="91"/>
      <x:c r="O833" s="91"/>
      <x:c r="P833" s="91"/>
      <x:c r="Q833" s="85"/>
      <x:c r="S833" s="86"/>
      <x:c r="T833" s="32"/>
    </x:row>
    <x:row r="834">
      <x:c r="A834" s="87"/>
      <x:c r="B834" s="88"/>
      <x:c r="D834" s="32"/>
      <x:c r="I834" s="74"/>
      <x:c r="J834" s="74"/>
      <x:c r="K834" s="74"/>
      <x:c r="L834" s="74"/>
      <x:c r="M834" s="91"/>
      <x:c r="N834" s="91"/>
      <x:c r="O834" s="91"/>
      <x:c r="P834" s="91"/>
      <x:c r="Q834" s="85"/>
      <x:c r="S834" s="86"/>
      <x:c r="T834" s="32"/>
    </x:row>
    <x:row r="835">
      <x:c r="A835" s="87"/>
      <x:c r="B835" s="88"/>
      <x:c r="D835" s="32"/>
      <x:c r="I835" s="74"/>
      <x:c r="J835" s="74"/>
      <x:c r="K835" s="74"/>
      <x:c r="L835" s="74"/>
      <x:c r="M835" s="91"/>
      <x:c r="N835" s="91"/>
      <x:c r="O835" s="91"/>
      <x:c r="P835" s="91"/>
      <x:c r="Q835" s="85"/>
      <x:c r="S835" s="86"/>
      <x:c r="T835" s="32"/>
    </x:row>
    <x:row r="836">
      <x:c r="A836" s="87"/>
      <x:c r="B836" s="88"/>
      <x:c r="D836" s="32"/>
      <x:c r="I836" s="74"/>
      <x:c r="J836" s="74"/>
      <x:c r="K836" s="74"/>
      <x:c r="L836" s="74"/>
      <x:c r="M836" s="91"/>
      <x:c r="N836" s="91"/>
      <x:c r="O836" s="91"/>
      <x:c r="P836" s="91"/>
      <x:c r="Q836" s="85"/>
      <x:c r="S836" s="86"/>
      <x:c r="T836" s="32"/>
    </x:row>
    <x:row r="837">
      <x:c r="A837" s="87"/>
      <x:c r="B837" s="88"/>
      <x:c r="D837" s="32"/>
      <x:c r="I837" s="74"/>
      <x:c r="J837" s="74"/>
      <x:c r="K837" s="74"/>
      <x:c r="L837" s="74"/>
      <x:c r="M837" s="91"/>
      <x:c r="N837" s="91"/>
      <x:c r="O837" s="91"/>
      <x:c r="P837" s="91"/>
      <x:c r="Q837" s="85"/>
      <x:c r="S837" s="86"/>
      <x:c r="T837" s="32"/>
    </x:row>
    <x:row r="838">
      <x:c r="A838" s="87"/>
      <x:c r="B838" s="88"/>
      <x:c r="D838" s="32"/>
      <x:c r="I838" s="74"/>
      <x:c r="J838" s="74"/>
      <x:c r="K838" s="74"/>
      <x:c r="L838" s="74"/>
      <x:c r="M838" s="91"/>
      <x:c r="N838" s="91"/>
      <x:c r="O838" s="91"/>
      <x:c r="P838" s="91"/>
      <x:c r="Q838" s="85"/>
      <x:c r="S838" s="86"/>
      <x:c r="T838" s="32"/>
    </x:row>
    <x:row r="839">
      <x:c r="A839" s="87"/>
      <x:c r="B839" s="88"/>
      <x:c r="D839" s="32"/>
      <x:c r="I839" s="74"/>
      <x:c r="J839" s="74"/>
      <x:c r="K839" s="74"/>
      <x:c r="L839" s="74"/>
      <x:c r="M839" s="91"/>
      <x:c r="N839" s="91"/>
      <x:c r="O839" s="91"/>
      <x:c r="P839" s="91"/>
      <x:c r="Q839" s="85"/>
      <x:c r="S839" s="86"/>
      <x:c r="T839" s="32"/>
    </x:row>
    <x:row r="840">
      <x:c r="A840" s="87"/>
      <x:c r="B840" s="88"/>
      <x:c r="D840" s="32"/>
      <x:c r="I840" s="74"/>
      <x:c r="J840" s="74"/>
      <x:c r="K840" s="74"/>
      <x:c r="L840" s="74"/>
      <x:c r="M840" s="91"/>
      <x:c r="N840" s="91"/>
      <x:c r="O840" s="91"/>
      <x:c r="P840" s="91"/>
      <x:c r="Q840" s="85"/>
      <x:c r="S840" s="86"/>
      <x:c r="T840" s="32"/>
    </x:row>
    <x:row r="841">
      <x:c r="A841" s="87"/>
      <x:c r="B841" s="88"/>
      <x:c r="D841" s="32"/>
      <x:c r="I841" s="74"/>
      <x:c r="J841" s="74"/>
      <x:c r="K841" s="74"/>
      <x:c r="L841" s="74"/>
      <x:c r="M841" s="91"/>
      <x:c r="N841" s="91"/>
      <x:c r="O841" s="91"/>
      <x:c r="P841" s="91"/>
      <x:c r="Q841" s="85"/>
      <x:c r="S841" s="86"/>
      <x:c r="T841" s="32"/>
    </x:row>
    <x:row r="842">
      <x:c r="A842" s="87"/>
      <x:c r="B842" s="88"/>
      <x:c r="D842" s="32"/>
      <x:c r="I842" s="74"/>
      <x:c r="J842" s="74"/>
      <x:c r="K842" s="74"/>
      <x:c r="L842" s="74"/>
      <x:c r="M842" s="91"/>
      <x:c r="N842" s="91"/>
      <x:c r="O842" s="91"/>
      <x:c r="P842" s="91"/>
      <x:c r="Q842" s="85"/>
      <x:c r="S842" s="86"/>
      <x:c r="T842" s="32"/>
    </x:row>
    <x:row r="843">
      <x:c r="A843" s="87"/>
      <x:c r="B843" s="88"/>
      <x:c r="D843" s="32"/>
      <x:c r="I843" s="74"/>
      <x:c r="J843" s="74"/>
      <x:c r="K843" s="74"/>
      <x:c r="L843" s="74"/>
      <x:c r="M843" s="91"/>
      <x:c r="N843" s="91"/>
      <x:c r="O843" s="91"/>
      <x:c r="P843" s="91"/>
      <x:c r="Q843" s="85"/>
      <x:c r="S843" s="86"/>
      <x:c r="T843" s="32"/>
    </x:row>
    <x:row r="844">
      <x:c r="A844" s="87"/>
      <x:c r="B844" s="88"/>
      <x:c r="D844" s="32"/>
      <x:c r="I844" s="74"/>
      <x:c r="J844" s="74"/>
      <x:c r="K844" s="74"/>
      <x:c r="L844" s="74"/>
      <x:c r="M844" s="91"/>
      <x:c r="N844" s="91"/>
      <x:c r="O844" s="91"/>
      <x:c r="P844" s="91"/>
      <x:c r="Q844" s="85"/>
      <x:c r="S844" s="86"/>
      <x:c r="T844" s="32"/>
    </x:row>
    <x:row r="845">
      <x:c r="A845" s="87"/>
      <x:c r="B845" s="88"/>
      <x:c r="D845" s="32"/>
      <x:c r="I845" s="74"/>
      <x:c r="J845" s="74"/>
      <x:c r="K845" s="74"/>
      <x:c r="L845" s="74"/>
      <x:c r="M845" s="91"/>
      <x:c r="N845" s="91"/>
      <x:c r="O845" s="91"/>
      <x:c r="P845" s="91"/>
      <x:c r="Q845" s="85"/>
      <x:c r="S845" s="86"/>
      <x:c r="T845" s="32"/>
    </x:row>
    <x:row r="846">
      <x:c r="A846" s="87"/>
      <x:c r="B846" s="88"/>
      <x:c r="D846" s="32"/>
      <x:c r="I846" s="74"/>
      <x:c r="J846" s="74"/>
      <x:c r="K846" s="74"/>
      <x:c r="L846" s="74"/>
      <x:c r="M846" s="91"/>
      <x:c r="N846" s="91"/>
      <x:c r="O846" s="91"/>
      <x:c r="P846" s="91"/>
      <x:c r="Q846" s="85"/>
      <x:c r="S846" s="86"/>
      <x:c r="T846" s="32"/>
    </x:row>
    <x:row r="847">
      <x:c r="A847" s="87"/>
      <x:c r="B847" s="88"/>
      <x:c r="D847" s="32"/>
      <x:c r="I847" s="74"/>
      <x:c r="J847" s="74"/>
      <x:c r="K847" s="74"/>
      <x:c r="L847" s="74"/>
      <x:c r="M847" s="91"/>
      <x:c r="N847" s="91"/>
      <x:c r="O847" s="91"/>
      <x:c r="P847" s="91"/>
      <x:c r="Q847" s="85"/>
      <x:c r="S847" s="86"/>
      <x:c r="T847" s="32"/>
    </x:row>
    <x:row r="848">
      <x:c r="A848" s="87"/>
      <x:c r="B848" s="88"/>
      <x:c r="D848" s="32"/>
      <x:c r="I848" s="74"/>
      <x:c r="J848" s="74"/>
      <x:c r="K848" s="74"/>
      <x:c r="L848" s="74"/>
      <x:c r="M848" s="91"/>
      <x:c r="N848" s="91"/>
      <x:c r="O848" s="91"/>
      <x:c r="P848" s="91"/>
      <x:c r="Q848" s="85"/>
      <x:c r="S848" s="86"/>
      <x:c r="T848" s="32"/>
    </x:row>
    <x:row r="849">
      <x:c r="A849" s="87"/>
      <x:c r="B849" s="88"/>
      <x:c r="D849" s="32"/>
      <x:c r="I849" s="74"/>
      <x:c r="J849" s="74"/>
      <x:c r="K849" s="74"/>
      <x:c r="L849" s="74"/>
      <x:c r="M849" s="91"/>
      <x:c r="N849" s="91"/>
      <x:c r="O849" s="91"/>
      <x:c r="P849" s="91"/>
      <x:c r="Q849" s="85"/>
      <x:c r="S849" s="86"/>
      <x:c r="T849" s="32"/>
    </x:row>
    <x:row r="850">
      <x:c r="A850" s="87"/>
      <x:c r="B850" s="88"/>
      <x:c r="D850" s="32"/>
      <x:c r="I850" s="74"/>
      <x:c r="J850" s="74"/>
      <x:c r="K850" s="74"/>
      <x:c r="L850" s="74"/>
      <x:c r="M850" s="91"/>
      <x:c r="N850" s="91"/>
      <x:c r="O850" s="91"/>
      <x:c r="P850" s="91"/>
      <x:c r="Q850" s="85"/>
      <x:c r="S850" s="86"/>
      <x:c r="T850" s="32"/>
    </x:row>
    <x:row r="851">
      <x:c r="A851" s="87"/>
      <x:c r="B851" s="88"/>
      <x:c r="D851" s="32"/>
      <x:c r="I851" s="74"/>
      <x:c r="J851" s="74"/>
      <x:c r="K851" s="74"/>
      <x:c r="L851" s="74"/>
      <x:c r="M851" s="91"/>
      <x:c r="N851" s="91"/>
      <x:c r="O851" s="91"/>
      <x:c r="P851" s="91"/>
      <x:c r="Q851" s="85"/>
      <x:c r="S851" s="86"/>
      <x:c r="T851" s="32"/>
    </x:row>
    <x:row r="852">
      <x:c r="A852" s="87"/>
      <x:c r="B852" s="88"/>
      <x:c r="D852" s="32"/>
      <x:c r="I852" s="74"/>
      <x:c r="J852" s="74"/>
      <x:c r="K852" s="74"/>
      <x:c r="L852" s="74"/>
      <x:c r="M852" s="91"/>
      <x:c r="N852" s="91"/>
      <x:c r="O852" s="91"/>
      <x:c r="P852" s="91"/>
      <x:c r="Q852" s="85"/>
      <x:c r="S852" s="86"/>
      <x:c r="T852" s="32"/>
    </x:row>
    <x:row r="853">
      <x:c r="A853" s="87"/>
      <x:c r="B853" s="88"/>
      <x:c r="D853" s="32"/>
      <x:c r="I853" s="74"/>
      <x:c r="J853" s="74"/>
      <x:c r="K853" s="74"/>
      <x:c r="L853" s="74"/>
      <x:c r="M853" s="91"/>
      <x:c r="N853" s="91"/>
      <x:c r="O853" s="91"/>
      <x:c r="P853" s="91"/>
      <x:c r="Q853" s="85"/>
      <x:c r="S853" s="86"/>
      <x:c r="T853" s="32"/>
    </x:row>
    <x:row r="854">
      <x:c r="A854" s="87"/>
      <x:c r="B854" s="88"/>
      <x:c r="D854" s="32"/>
      <x:c r="I854" s="74"/>
      <x:c r="J854" s="74"/>
      <x:c r="K854" s="74"/>
      <x:c r="L854" s="74"/>
      <x:c r="M854" s="91"/>
      <x:c r="N854" s="91"/>
      <x:c r="O854" s="91"/>
      <x:c r="P854" s="91"/>
      <x:c r="Q854" s="85"/>
      <x:c r="S854" s="86"/>
      <x:c r="T854" s="32"/>
    </x:row>
    <x:row r="855">
      <x:c r="A855" s="87"/>
      <x:c r="B855" s="88"/>
      <x:c r="D855" s="32"/>
      <x:c r="I855" s="74"/>
      <x:c r="J855" s="74"/>
      <x:c r="K855" s="74"/>
      <x:c r="L855" s="74"/>
      <x:c r="M855" s="91"/>
      <x:c r="N855" s="91"/>
      <x:c r="O855" s="91"/>
      <x:c r="P855" s="91"/>
      <x:c r="Q855" s="85"/>
      <x:c r="S855" s="86"/>
      <x:c r="T855" s="32"/>
    </x:row>
    <x:row r="856">
      <x:c r="A856" s="87"/>
      <x:c r="B856" s="88"/>
      <x:c r="D856" s="32"/>
      <x:c r="I856" s="74"/>
      <x:c r="J856" s="74"/>
      <x:c r="K856" s="74"/>
      <x:c r="L856" s="74"/>
      <x:c r="M856" s="91"/>
      <x:c r="N856" s="91"/>
      <x:c r="O856" s="91"/>
      <x:c r="P856" s="91"/>
      <x:c r="Q856" s="85"/>
      <x:c r="S856" s="86"/>
      <x:c r="T856" s="32"/>
    </x:row>
    <x:row r="857">
      <x:c r="A857" s="87"/>
      <x:c r="B857" s="88"/>
      <x:c r="D857" s="32"/>
      <x:c r="I857" s="74"/>
      <x:c r="J857" s="74"/>
      <x:c r="K857" s="74"/>
      <x:c r="L857" s="74"/>
      <x:c r="M857" s="91"/>
      <x:c r="N857" s="91"/>
      <x:c r="O857" s="91"/>
      <x:c r="P857" s="91"/>
      <x:c r="Q857" s="85"/>
      <x:c r="S857" s="86"/>
      <x:c r="T857" s="32"/>
    </x:row>
    <x:row r="858">
      <x:c r="A858" s="87"/>
      <x:c r="B858" s="88"/>
      <x:c r="D858" s="32"/>
      <x:c r="I858" s="74"/>
      <x:c r="J858" s="74"/>
      <x:c r="K858" s="74"/>
      <x:c r="L858" s="74"/>
      <x:c r="M858" s="91"/>
      <x:c r="N858" s="91"/>
      <x:c r="O858" s="91"/>
      <x:c r="P858" s="91"/>
      <x:c r="Q858" s="85"/>
      <x:c r="S858" s="86"/>
      <x:c r="T858" s="32"/>
    </x:row>
    <x:row r="859">
      <x:c r="A859" s="87"/>
      <x:c r="B859" s="88"/>
      <x:c r="D859" s="32"/>
      <x:c r="I859" s="74"/>
      <x:c r="J859" s="74"/>
      <x:c r="K859" s="74"/>
      <x:c r="L859" s="74"/>
      <x:c r="M859" s="91"/>
      <x:c r="N859" s="91"/>
      <x:c r="O859" s="91"/>
      <x:c r="P859" s="91"/>
      <x:c r="Q859" s="85"/>
      <x:c r="S859" s="86"/>
      <x:c r="T859" s="32"/>
    </x:row>
    <x:row r="860">
      <x:c r="A860" s="87"/>
      <x:c r="B860" s="88"/>
      <x:c r="D860" s="32"/>
      <x:c r="I860" s="74"/>
      <x:c r="J860" s="74"/>
      <x:c r="K860" s="74"/>
      <x:c r="L860" s="74"/>
      <x:c r="M860" s="91"/>
      <x:c r="N860" s="91"/>
      <x:c r="O860" s="91"/>
      <x:c r="P860" s="91"/>
      <x:c r="Q860" s="85"/>
      <x:c r="S860" s="86"/>
      <x:c r="T860" s="32"/>
    </x:row>
    <x:row r="861">
      <x:c r="A861" s="87"/>
      <x:c r="B861" s="88"/>
      <x:c r="D861" s="32"/>
      <x:c r="I861" s="74"/>
      <x:c r="J861" s="74"/>
      <x:c r="K861" s="74"/>
      <x:c r="L861" s="74"/>
      <x:c r="M861" s="91"/>
      <x:c r="N861" s="91"/>
      <x:c r="O861" s="91"/>
      <x:c r="P861" s="91"/>
      <x:c r="Q861" s="85"/>
      <x:c r="S861" s="86"/>
      <x:c r="T861" s="32"/>
    </x:row>
    <x:row r="862">
      <x:c r="A862" s="87"/>
      <x:c r="B862" s="88"/>
      <x:c r="D862" s="32"/>
      <x:c r="I862" s="74"/>
      <x:c r="J862" s="74"/>
      <x:c r="K862" s="74"/>
      <x:c r="L862" s="74"/>
      <x:c r="M862" s="91"/>
      <x:c r="N862" s="91"/>
      <x:c r="O862" s="91"/>
      <x:c r="P862" s="91"/>
      <x:c r="Q862" s="85"/>
      <x:c r="S862" s="86"/>
      <x:c r="T862" s="32"/>
    </x:row>
    <x:row r="863">
      <x:c r="A863" s="87"/>
      <x:c r="B863" s="88"/>
      <x:c r="D863" s="32"/>
      <x:c r="I863" s="74"/>
      <x:c r="J863" s="74"/>
      <x:c r="K863" s="74"/>
      <x:c r="L863" s="74"/>
      <x:c r="M863" s="91"/>
      <x:c r="N863" s="91"/>
      <x:c r="O863" s="91"/>
      <x:c r="P863" s="91"/>
      <x:c r="Q863" s="85"/>
      <x:c r="S863" s="86"/>
      <x:c r="T863" s="32"/>
    </x:row>
    <x:row r="864">
      <x:c r="A864" s="87"/>
      <x:c r="B864" s="88"/>
      <x:c r="D864" s="32"/>
      <x:c r="I864" s="74"/>
      <x:c r="J864" s="74"/>
      <x:c r="K864" s="74"/>
      <x:c r="L864" s="74"/>
      <x:c r="M864" s="91"/>
      <x:c r="N864" s="91"/>
      <x:c r="O864" s="91"/>
      <x:c r="P864" s="91"/>
      <x:c r="Q864" s="85"/>
      <x:c r="S864" s="86"/>
      <x:c r="T864" s="32"/>
    </x:row>
    <x:row r="865">
      <x:c r="A865" s="87"/>
      <x:c r="B865" s="88"/>
      <x:c r="D865" s="32"/>
      <x:c r="I865" s="74"/>
      <x:c r="J865" s="74"/>
      <x:c r="K865" s="74"/>
      <x:c r="L865" s="74"/>
      <x:c r="M865" s="91"/>
      <x:c r="N865" s="91"/>
      <x:c r="O865" s="91"/>
      <x:c r="P865" s="91"/>
      <x:c r="Q865" s="85"/>
      <x:c r="S865" s="86"/>
      <x:c r="T865" s="32"/>
    </x:row>
    <x:row r="866">
      <x:c r="A866" s="87"/>
      <x:c r="B866" s="88"/>
      <x:c r="D866" s="32"/>
      <x:c r="I866" s="74"/>
      <x:c r="J866" s="74"/>
      <x:c r="K866" s="74"/>
      <x:c r="L866" s="74"/>
      <x:c r="M866" s="91"/>
      <x:c r="N866" s="91"/>
      <x:c r="O866" s="91"/>
      <x:c r="P866" s="91"/>
      <x:c r="Q866" s="85"/>
      <x:c r="S866" s="86"/>
      <x:c r="T866" s="32"/>
    </x:row>
    <x:row r="867">
      <x:c r="A867" s="87"/>
      <x:c r="B867" s="88"/>
      <x:c r="D867" s="32"/>
      <x:c r="I867" s="74"/>
      <x:c r="J867" s="74"/>
      <x:c r="K867" s="74"/>
      <x:c r="L867" s="74"/>
      <x:c r="M867" s="91"/>
      <x:c r="N867" s="91"/>
      <x:c r="O867" s="91"/>
      <x:c r="P867" s="91"/>
      <x:c r="Q867" s="85"/>
      <x:c r="S867" s="86"/>
      <x:c r="T867" s="32"/>
    </x:row>
    <x:row r="868">
      <x:c r="A868" s="87"/>
      <x:c r="B868" s="88"/>
      <x:c r="D868" s="32"/>
      <x:c r="I868" s="74"/>
      <x:c r="J868" s="74"/>
      <x:c r="K868" s="74"/>
      <x:c r="L868" s="74"/>
      <x:c r="M868" s="91"/>
      <x:c r="N868" s="91"/>
      <x:c r="O868" s="91"/>
      <x:c r="P868" s="91"/>
      <x:c r="Q868" s="85"/>
      <x:c r="S868" s="86"/>
      <x:c r="T868" s="32"/>
    </x:row>
    <x:row r="869">
      <x:c r="A869" s="87"/>
      <x:c r="B869" s="88"/>
      <x:c r="D869" s="32"/>
      <x:c r="I869" s="74"/>
      <x:c r="J869" s="74"/>
      <x:c r="K869" s="74"/>
      <x:c r="L869" s="74"/>
      <x:c r="M869" s="91"/>
      <x:c r="N869" s="91"/>
      <x:c r="O869" s="91"/>
      <x:c r="P869" s="91"/>
      <x:c r="Q869" s="85"/>
      <x:c r="S869" s="86"/>
      <x:c r="T869" s="32"/>
    </x:row>
    <x:row r="870">
      <x:c r="A870" s="87"/>
      <x:c r="B870" s="88"/>
      <x:c r="D870" s="32"/>
      <x:c r="I870" s="74"/>
      <x:c r="J870" s="74"/>
      <x:c r="K870" s="74"/>
      <x:c r="L870" s="74"/>
      <x:c r="M870" s="91"/>
      <x:c r="N870" s="91"/>
      <x:c r="O870" s="91"/>
      <x:c r="P870" s="91"/>
      <x:c r="Q870" s="85"/>
      <x:c r="S870" s="86"/>
      <x:c r="T870" s="32"/>
    </x:row>
    <x:row r="871">
      <x:c r="A871" s="87"/>
      <x:c r="B871" s="88"/>
      <x:c r="D871" s="32"/>
      <x:c r="I871" s="74"/>
      <x:c r="J871" s="74"/>
      <x:c r="K871" s="74"/>
      <x:c r="L871" s="74"/>
      <x:c r="M871" s="91"/>
      <x:c r="N871" s="91"/>
      <x:c r="O871" s="91"/>
      <x:c r="P871" s="91"/>
      <x:c r="Q871" s="85"/>
      <x:c r="S871" s="86"/>
      <x:c r="T871" s="32"/>
    </x:row>
    <x:row r="872">
      <x:c r="A872" s="87"/>
      <x:c r="B872" s="88"/>
      <x:c r="D872" s="32"/>
      <x:c r="I872" s="74"/>
      <x:c r="J872" s="74"/>
      <x:c r="K872" s="74"/>
      <x:c r="L872" s="74"/>
      <x:c r="M872" s="91"/>
      <x:c r="N872" s="91"/>
      <x:c r="O872" s="91"/>
      <x:c r="P872" s="91"/>
      <x:c r="Q872" s="85"/>
      <x:c r="S872" s="86"/>
      <x:c r="T872" s="32"/>
    </x:row>
    <x:row r="873">
      <x:c r="A873" s="87"/>
      <x:c r="B873" s="88"/>
      <x:c r="D873" s="32"/>
      <x:c r="I873" s="74"/>
      <x:c r="J873" s="74"/>
      <x:c r="K873" s="74"/>
      <x:c r="L873" s="74"/>
      <x:c r="M873" s="91"/>
      <x:c r="N873" s="91"/>
      <x:c r="O873" s="91"/>
      <x:c r="P873" s="91"/>
      <x:c r="Q873" s="85"/>
      <x:c r="S873" s="86"/>
      <x:c r="T873" s="32"/>
    </x:row>
    <x:row r="874">
      <x:c r="A874" s="87"/>
      <x:c r="B874" s="88"/>
      <x:c r="D874" s="32"/>
      <x:c r="I874" s="74"/>
      <x:c r="J874" s="74"/>
      <x:c r="K874" s="74"/>
      <x:c r="L874" s="74"/>
      <x:c r="M874" s="91"/>
      <x:c r="N874" s="91"/>
      <x:c r="O874" s="91"/>
      <x:c r="P874" s="91"/>
      <x:c r="Q874" s="85"/>
      <x:c r="S874" s="86"/>
      <x:c r="T874" s="32"/>
    </x:row>
    <x:row r="875">
      <x:c r="A875" s="87"/>
      <x:c r="B875" s="88"/>
      <x:c r="D875" s="32"/>
      <x:c r="I875" s="74"/>
      <x:c r="J875" s="74"/>
      <x:c r="K875" s="74"/>
      <x:c r="L875" s="74"/>
      <x:c r="M875" s="91"/>
      <x:c r="N875" s="91"/>
      <x:c r="O875" s="91"/>
      <x:c r="P875" s="91"/>
      <x:c r="Q875" s="85"/>
      <x:c r="S875" s="86"/>
      <x:c r="T875" s="32"/>
    </x:row>
    <x:row r="876">
      <x:c r="A876" s="87"/>
      <x:c r="B876" s="88"/>
      <x:c r="D876" s="32"/>
      <x:c r="I876" s="74"/>
      <x:c r="J876" s="74"/>
      <x:c r="K876" s="74"/>
      <x:c r="L876" s="74"/>
      <x:c r="M876" s="91"/>
      <x:c r="N876" s="91"/>
      <x:c r="O876" s="91"/>
      <x:c r="P876" s="91"/>
      <x:c r="Q876" s="85"/>
      <x:c r="S876" s="86"/>
      <x:c r="T876" s="32"/>
    </x:row>
    <x:row r="877">
      <x:c r="A877" s="87"/>
      <x:c r="B877" s="88"/>
      <x:c r="D877" s="32"/>
      <x:c r="I877" s="74"/>
      <x:c r="J877" s="74"/>
      <x:c r="K877" s="74"/>
      <x:c r="L877" s="74"/>
      <x:c r="M877" s="91"/>
      <x:c r="N877" s="91"/>
      <x:c r="O877" s="91"/>
      <x:c r="P877" s="91"/>
      <x:c r="Q877" s="85"/>
      <x:c r="S877" s="86"/>
      <x:c r="T877" s="32"/>
    </x:row>
    <x:row r="878">
      <x:c r="A878" s="87"/>
      <x:c r="B878" s="88"/>
      <x:c r="D878" s="32"/>
      <x:c r="I878" s="74"/>
      <x:c r="J878" s="74"/>
      <x:c r="K878" s="74"/>
      <x:c r="L878" s="74"/>
      <x:c r="M878" s="91"/>
      <x:c r="N878" s="91"/>
      <x:c r="O878" s="91"/>
      <x:c r="P878" s="91"/>
      <x:c r="Q878" s="85"/>
      <x:c r="S878" s="86"/>
      <x:c r="T878" s="32"/>
    </x:row>
    <x:row r="879">
      <x:c r="A879" s="87"/>
      <x:c r="B879" s="88"/>
      <x:c r="D879" s="32"/>
      <x:c r="I879" s="74"/>
      <x:c r="J879" s="74"/>
      <x:c r="K879" s="74"/>
      <x:c r="L879" s="74"/>
      <x:c r="M879" s="91"/>
      <x:c r="N879" s="91"/>
      <x:c r="O879" s="91"/>
      <x:c r="P879" s="91"/>
      <x:c r="Q879" s="85"/>
      <x:c r="S879" s="86"/>
      <x:c r="T879" s="32"/>
    </x:row>
    <x:row r="880">
      <x:c r="A880" s="87"/>
      <x:c r="B880" s="88"/>
      <x:c r="D880" s="32"/>
      <x:c r="I880" s="74"/>
      <x:c r="J880" s="74"/>
      <x:c r="K880" s="74"/>
      <x:c r="L880" s="74"/>
      <x:c r="M880" s="91"/>
      <x:c r="N880" s="91"/>
      <x:c r="O880" s="91"/>
      <x:c r="P880" s="91"/>
      <x:c r="Q880" s="85"/>
      <x:c r="S880" s="86"/>
      <x:c r="T880" s="32"/>
    </x:row>
    <x:row r="881">
      <x:c r="A881" s="87"/>
      <x:c r="B881" s="88"/>
      <x:c r="D881" s="32"/>
      <x:c r="I881" s="74"/>
      <x:c r="J881" s="74"/>
      <x:c r="K881" s="74"/>
      <x:c r="L881" s="74"/>
      <x:c r="M881" s="91"/>
      <x:c r="N881" s="91"/>
      <x:c r="O881" s="91"/>
      <x:c r="P881" s="91"/>
      <x:c r="Q881" s="85"/>
      <x:c r="S881" s="86"/>
      <x:c r="T881" s="32"/>
    </x:row>
    <x:row r="882">
      <x:c r="A882" s="87"/>
      <x:c r="B882" s="88"/>
      <x:c r="D882" s="32"/>
      <x:c r="I882" s="74"/>
      <x:c r="J882" s="74"/>
      <x:c r="K882" s="74"/>
      <x:c r="L882" s="74"/>
      <x:c r="M882" s="91"/>
      <x:c r="N882" s="91"/>
      <x:c r="O882" s="91"/>
      <x:c r="P882" s="91"/>
      <x:c r="Q882" s="85"/>
      <x:c r="S882" s="86"/>
      <x:c r="T882" s="32"/>
    </x:row>
    <x:row r="883">
      <x:c r="A883" s="87"/>
      <x:c r="B883" s="88"/>
      <x:c r="D883" s="32"/>
      <x:c r="I883" s="74"/>
      <x:c r="J883" s="74"/>
      <x:c r="K883" s="74"/>
      <x:c r="L883" s="74"/>
      <x:c r="M883" s="91"/>
      <x:c r="N883" s="91"/>
      <x:c r="O883" s="91"/>
      <x:c r="P883" s="91"/>
      <x:c r="Q883" s="85"/>
      <x:c r="S883" s="86"/>
      <x:c r="T883" s="32"/>
    </x:row>
    <x:row r="884">
      <x:c r="A884" s="87"/>
      <x:c r="B884" s="88"/>
      <x:c r="D884" s="32"/>
      <x:c r="I884" s="74"/>
      <x:c r="J884" s="74"/>
      <x:c r="K884" s="74"/>
      <x:c r="L884" s="74"/>
      <x:c r="M884" s="91"/>
      <x:c r="N884" s="91"/>
      <x:c r="O884" s="91"/>
      <x:c r="P884" s="91"/>
      <x:c r="Q884" s="85"/>
      <x:c r="S884" s="86"/>
      <x:c r="T884" s="32"/>
    </x:row>
    <x:row r="885">
      <x:c r="A885" s="87"/>
      <x:c r="B885" s="88"/>
      <x:c r="D885" s="32"/>
      <x:c r="I885" s="74"/>
      <x:c r="J885" s="74"/>
      <x:c r="K885" s="74"/>
      <x:c r="L885" s="74"/>
      <x:c r="M885" s="91"/>
      <x:c r="N885" s="91"/>
      <x:c r="O885" s="91"/>
      <x:c r="P885" s="91"/>
      <x:c r="Q885" s="85"/>
      <x:c r="S885" s="86"/>
      <x:c r="T885" s="32"/>
    </x:row>
    <x:row r="886">
      <x:c r="A886" s="87"/>
      <x:c r="B886" s="88"/>
      <x:c r="D886" s="32"/>
      <x:c r="I886" s="74"/>
      <x:c r="J886" s="74"/>
      <x:c r="K886" s="74"/>
      <x:c r="L886" s="74"/>
      <x:c r="M886" s="91"/>
      <x:c r="N886" s="91"/>
      <x:c r="O886" s="91"/>
      <x:c r="P886" s="91"/>
      <x:c r="Q886" s="85"/>
      <x:c r="S886" s="86"/>
      <x:c r="T886" s="32"/>
    </x:row>
    <x:row r="887">
      <x:c r="A887" s="87"/>
      <x:c r="B887" s="88"/>
      <x:c r="D887" s="32"/>
      <x:c r="I887" s="74"/>
      <x:c r="J887" s="74"/>
      <x:c r="K887" s="74"/>
      <x:c r="L887" s="74"/>
      <x:c r="M887" s="91"/>
      <x:c r="N887" s="91"/>
      <x:c r="O887" s="91"/>
      <x:c r="P887" s="91"/>
      <x:c r="Q887" s="85"/>
      <x:c r="S887" s="86"/>
      <x:c r="T887" s="32"/>
    </x:row>
    <x:row r="888">
      <x:c r="A888" s="87"/>
      <x:c r="B888" s="88"/>
      <x:c r="D888" s="32"/>
      <x:c r="I888" s="74"/>
      <x:c r="J888" s="74"/>
      <x:c r="K888" s="74"/>
      <x:c r="L888" s="74"/>
      <x:c r="M888" s="91"/>
      <x:c r="N888" s="91"/>
      <x:c r="O888" s="91"/>
      <x:c r="P888" s="91"/>
      <x:c r="Q888" s="85"/>
      <x:c r="S888" s="86"/>
      <x:c r="T888" s="32"/>
    </x:row>
    <x:row r="889">
      <x:c r="A889" s="87"/>
      <x:c r="B889" s="88"/>
      <x:c r="D889" s="32"/>
      <x:c r="I889" s="74"/>
      <x:c r="J889" s="74"/>
      <x:c r="K889" s="74"/>
      <x:c r="L889" s="74"/>
      <x:c r="M889" s="91"/>
      <x:c r="N889" s="91"/>
      <x:c r="O889" s="91"/>
      <x:c r="P889" s="91"/>
      <x:c r="Q889" s="85"/>
      <x:c r="S889" s="86"/>
      <x:c r="T889" s="32"/>
    </x:row>
    <x:row r="890">
      <x:c r="A890" s="87"/>
      <x:c r="B890" s="88"/>
      <x:c r="D890" s="32"/>
      <x:c r="I890" s="74"/>
      <x:c r="J890" s="74"/>
      <x:c r="K890" s="74"/>
      <x:c r="L890" s="74"/>
      <x:c r="M890" s="91"/>
      <x:c r="N890" s="91"/>
      <x:c r="O890" s="91"/>
      <x:c r="P890" s="91"/>
      <x:c r="Q890" s="85"/>
      <x:c r="S890" s="86"/>
      <x:c r="T890" s="32"/>
    </x:row>
    <x:row r="891">
      <x:c r="A891" s="87"/>
      <x:c r="B891" s="88"/>
      <x:c r="D891" s="32"/>
      <x:c r="I891" s="74"/>
      <x:c r="J891" s="74"/>
      <x:c r="K891" s="74"/>
      <x:c r="L891" s="74"/>
      <x:c r="M891" s="91"/>
      <x:c r="N891" s="91"/>
      <x:c r="O891" s="91"/>
      <x:c r="P891" s="91"/>
      <x:c r="Q891" s="85"/>
      <x:c r="S891" s="86"/>
      <x:c r="T891" s="32"/>
    </x:row>
    <x:row r="892">
      <x:c r="A892" s="87"/>
      <x:c r="B892" s="88"/>
      <x:c r="D892" s="32"/>
      <x:c r="I892" s="74"/>
      <x:c r="J892" s="74"/>
      <x:c r="K892" s="74"/>
      <x:c r="L892" s="74"/>
      <x:c r="M892" s="91"/>
      <x:c r="N892" s="91"/>
      <x:c r="O892" s="91"/>
      <x:c r="P892" s="91"/>
      <x:c r="Q892" s="85"/>
      <x:c r="S892" s="86"/>
      <x:c r="T892" s="32"/>
    </x:row>
    <x:row r="893">
      <x:c r="A893" s="87"/>
      <x:c r="B893" s="88"/>
      <x:c r="D893" s="32"/>
      <x:c r="I893" s="74"/>
      <x:c r="J893" s="74"/>
      <x:c r="K893" s="74"/>
      <x:c r="L893" s="74"/>
      <x:c r="M893" s="91"/>
      <x:c r="N893" s="91"/>
      <x:c r="O893" s="91"/>
      <x:c r="P893" s="91"/>
      <x:c r="Q893" s="85"/>
      <x:c r="S893" s="86"/>
      <x:c r="T893" s="32"/>
    </x:row>
    <x:row r="894">
      <x:c r="A894" s="87"/>
      <x:c r="B894" s="88"/>
      <x:c r="D894" s="32"/>
      <x:c r="I894" s="74"/>
      <x:c r="J894" s="74"/>
      <x:c r="K894" s="74"/>
      <x:c r="L894" s="74"/>
      <x:c r="M894" s="91"/>
      <x:c r="N894" s="91"/>
      <x:c r="O894" s="91"/>
      <x:c r="P894" s="91"/>
      <x:c r="Q894" s="85"/>
      <x:c r="S894" s="86"/>
      <x:c r="T894" s="32"/>
    </x:row>
    <x:row r="895">
      <x:c r="A895" s="87"/>
      <x:c r="B895" s="88"/>
      <x:c r="D895" s="32"/>
      <x:c r="I895" s="74"/>
      <x:c r="J895" s="74"/>
      <x:c r="K895" s="74"/>
      <x:c r="L895" s="74"/>
      <x:c r="M895" s="91"/>
      <x:c r="N895" s="91"/>
      <x:c r="O895" s="91"/>
      <x:c r="P895" s="91"/>
      <x:c r="Q895" s="85"/>
      <x:c r="S895" s="86"/>
      <x:c r="T895" s="32"/>
    </x:row>
    <x:row r="896">
      <x:c r="A896" s="87"/>
      <x:c r="B896" s="88"/>
      <x:c r="D896" s="32"/>
      <x:c r="I896" s="74"/>
      <x:c r="J896" s="74"/>
      <x:c r="K896" s="74"/>
      <x:c r="L896" s="74"/>
      <x:c r="M896" s="91"/>
      <x:c r="N896" s="91"/>
      <x:c r="O896" s="91"/>
      <x:c r="P896" s="91"/>
      <x:c r="Q896" s="85"/>
      <x:c r="S896" s="86"/>
      <x:c r="T896" s="32"/>
    </x:row>
    <x:row r="897">
      <x:c r="A897" s="87"/>
      <x:c r="B897" s="88"/>
      <x:c r="D897" s="32"/>
      <x:c r="I897" s="74"/>
      <x:c r="J897" s="74"/>
      <x:c r="K897" s="74"/>
      <x:c r="L897" s="74"/>
      <x:c r="M897" s="91"/>
      <x:c r="N897" s="91"/>
      <x:c r="O897" s="91"/>
      <x:c r="P897" s="91"/>
      <x:c r="Q897" s="85"/>
      <x:c r="S897" s="86"/>
      <x:c r="T897" s="32"/>
    </x:row>
    <x:row r="898">
      <x:c r="A898" s="87"/>
      <x:c r="B898" s="88"/>
      <x:c r="D898" s="32"/>
      <x:c r="I898" s="74"/>
      <x:c r="J898" s="74"/>
      <x:c r="K898" s="74"/>
      <x:c r="L898" s="74"/>
      <x:c r="M898" s="91"/>
      <x:c r="N898" s="91"/>
      <x:c r="O898" s="91"/>
      <x:c r="P898" s="91"/>
      <x:c r="Q898" s="85"/>
      <x:c r="S898" s="86"/>
      <x:c r="T898" s="32"/>
    </x:row>
    <x:row r="899">
      <x:c r="A899" s="87"/>
      <x:c r="B899" s="88"/>
      <x:c r="D899" s="32"/>
      <x:c r="I899" s="74"/>
      <x:c r="J899" s="74"/>
      <x:c r="K899" s="74"/>
      <x:c r="L899" s="74"/>
      <x:c r="M899" s="91"/>
      <x:c r="N899" s="91"/>
      <x:c r="O899" s="91"/>
      <x:c r="P899" s="91"/>
      <x:c r="Q899" s="85"/>
      <x:c r="S899" s="86"/>
      <x:c r="T899" s="32"/>
    </x:row>
    <x:row r="900">
      <x:c r="A900" s="87"/>
      <x:c r="B900" s="88"/>
      <x:c r="D900" s="32"/>
      <x:c r="I900" s="74"/>
      <x:c r="J900" s="74"/>
      <x:c r="K900" s="74"/>
      <x:c r="L900" s="74"/>
      <x:c r="M900" s="91"/>
      <x:c r="N900" s="91"/>
      <x:c r="O900" s="91"/>
      <x:c r="P900" s="91"/>
      <x:c r="Q900" s="85"/>
      <x:c r="S900" s="86"/>
      <x:c r="T900" s="32"/>
    </x:row>
    <x:row r="901">
      <x:c r="A901" s="87"/>
      <x:c r="B901" s="88"/>
      <x:c r="D901" s="32"/>
      <x:c r="I901" s="74"/>
      <x:c r="J901" s="74"/>
      <x:c r="K901" s="74"/>
      <x:c r="L901" s="74"/>
      <x:c r="M901" s="91"/>
      <x:c r="N901" s="91"/>
      <x:c r="O901" s="91"/>
      <x:c r="P901" s="91"/>
      <x:c r="Q901" s="85"/>
      <x:c r="S901" s="86"/>
      <x:c r="T901" s="32"/>
    </x:row>
    <x:row r="902">
      <x:c r="A902" s="87"/>
      <x:c r="B902" s="88"/>
      <x:c r="D902" s="32"/>
      <x:c r="I902" s="74"/>
      <x:c r="J902" s="74"/>
      <x:c r="K902" s="74"/>
      <x:c r="L902" s="74"/>
      <x:c r="M902" s="91"/>
      <x:c r="N902" s="91"/>
      <x:c r="O902" s="91"/>
      <x:c r="P902" s="91"/>
      <x:c r="Q902" s="85"/>
      <x:c r="S902" s="86"/>
      <x:c r="T902" s="32"/>
    </x:row>
    <x:row r="903">
      <x:c r="A903" s="87"/>
      <x:c r="B903" s="88"/>
      <x:c r="D903" s="32"/>
      <x:c r="I903" s="74"/>
      <x:c r="J903" s="74"/>
      <x:c r="K903" s="74"/>
      <x:c r="L903" s="74"/>
      <x:c r="M903" s="91"/>
      <x:c r="N903" s="91"/>
      <x:c r="O903" s="91"/>
      <x:c r="P903" s="91"/>
      <x:c r="Q903" s="85"/>
      <x:c r="S903" s="86"/>
      <x:c r="T903" s="32"/>
    </x:row>
    <x:row r="904">
      <x:c r="A904" s="87"/>
      <x:c r="B904" s="88"/>
      <x:c r="D904" s="32"/>
      <x:c r="I904" s="74"/>
      <x:c r="J904" s="74"/>
      <x:c r="K904" s="74"/>
      <x:c r="L904" s="74"/>
      <x:c r="M904" s="91"/>
      <x:c r="N904" s="91"/>
      <x:c r="O904" s="91"/>
      <x:c r="P904" s="91"/>
      <x:c r="Q904" s="85"/>
      <x:c r="S904" s="86"/>
      <x:c r="T904" s="32"/>
    </x:row>
    <x:row r="905">
      <x:c r="A905" s="87"/>
      <x:c r="B905" s="88"/>
      <x:c r="D905" s="32"/>
      <x:c r="I905" s="74"/>
      <x:c r="J905" s="74"/>
      <x:c r="K905" s="74"/>
      <x:c r="L905" s="74"/>
      <x:c r="M905" s="91"/>
      <x:c r="N905" s="91"/>
      <x:c r="O905" s="91"/>
      <x:c r="P905" s="91"/>
      <x:c r="Q905" s="85"/>
      <x:c r="S905" s="86"/>
      <x:c r="T905" s="32"/>
    </x:row>
    <x:row r="906">
      <x:c r="A906" s="87"/>
      <x:c r="B906" s="88"/>
      <x:c r="D906" s="32"/>
      <x:c r="I906" s="74"/>
      <x:c r="J906" s="74"/>
      <x:c r="K906" s="74"/>
      <x:c r="L906" s="74"/>
      <x:c r="M906" s="91"/>
      <x:c r="N906" s="91"/>
      <x:c r="O906" s="91"/>
      <x:c r="P906" s="91"/>
      <x:c r="Q906" s="85"/>
      <x:c r="S906" s="86"/>
      <x:c r="T906" s="32"/>
    </x:row>
    <x:row r="907">
      <x:c r="A907" s="87"/>
      <x:c r="B907" s="88"/>
      <x:c r="D907" s="32"/>
      <x:c r="I907" s="74"/>
      <x:c r="J907" s="74"/>
      <x:c r="K907" s="74"/>
      <x:c r="L907" s="74"/>
      <x:c r="M907" s="91"/>
      <x:c r="N907" s="91"/>
      <x:c r="O907" s="91"/>
      <x:c r="P907" s="91"/>
      <x:c r="Q907" s="85"/>
      <x:c r="S907" s="86"/>
      <x:c r="T907" s="32"/>
    </x:row>
    <x:row r="908">
      <x:c r="A908" s="87"/>
      <x:c r="B908" s="88"/>
      <x:c r="D908" s="32"/>
      <x:c r="I908" s="74"/>
      <x:c r="J908" s="74"/>
      <x:c r="K908" s="74"/>
      <x:c r="L908" s="74"/>
      <x:c r="M908" s="91"/>
      <x:c r="N908" s="91"/>
      <x:c r="O908" s="91"/>
      <x:c r="P908" s="91"/>
      <x:c r="Q908" s="85"/>
      <x:c r="S908" s="86"/>
      <x:c r="T908" s="32"/>
    </x:row>
    <x:row r="909">
      <x:c r="A909" s="87"/>
      <x:c r="B909" s="88"/>
      <x:c r="D909" s="32"/>
      <x:c r="I909" s="74"/>
      <x:c r="J909" s="74"/>
      <x:c r="K909" s="74"/>
      <x:c r="L909" s="74"/>
      <x:c r="M909" s="91"/>
      <x:c r="N909" s="91"/>
      <x:c r="O909" s="91"/>
      <x:c r="P909" s="91"/>
      <x:c r="Q909" s="85"/>
      <x:c r="S909" s="86"/>
      <x:c r="T909" s="32"/>
    </x:row>
    <x:row r="910">
      <x:c r="A910" s="87"/>
      <x:c r="B910" s="88"/>
      <x:c r="D910" s="32"/>
      <x:c r="I910" s="74"/>
      <x:c r="J910" s="74"/>
      <x:c r="K910" s="74"/>
      <x:c r="L910" s="74"/>
      <x:c r="M910" s="91"/>
      <x:c r="N910" s="91"/>
      <x:c r="O910" s="91"/>
      <x:c r="P910" s="91"/>
      <x:c r="Q910" s="85"/>
      <x:c r="S910" s="86"/>
      <x:c r="T910" s="32"/>
    </x:row>
    <x:row r="911">
      <x:c r="A911" s="87"/>
      <x:c r="B911" s="88"/>
      <x:c r="D911" s="32"/>
      <x:c r="I911" s="74"/>
      <x:c r="J911" s="74"/>
      <x:c r="K911" s="74"/>
      <x:c r="L911" s="74"/>
      <x:c r="M911" s="91"/>
      <x:c r="N911" s="91"/>
      <x:c r="O911" s="91"/>
      <x:c r="P911" s="91"/>
      <x:c r="Q911" s="85"/>
      <x:c r="S911" s="86"/>
      <x:c r="T911" s="32"/>
    </x:row>
    <x:row r="912">
      <x:c r="A912" s="87"/>
      <x:c r="B912" s="88"/>
      <x:c r="D912" s="32"/>
      <x:c r="I912" s="74"/>
      <x:c r="J912" s="74"/>
      <x:c r="K912" s="74"/>
      <x:c r="L912" s="74"/>
      <x:c r="M912" s="91"/>
      <x:c r="N912" s="91"/>
      <x:c r="O912" s="91"/>
      <x:c r="P912" s="91"/>
      <x:c r="Q912" s="85"/>
      <x:c r="S912" s="86"/>
      <x:c r="T912" s="32"/>
    </x:row>
    <x:row r="913">
      <x:c r="A913" s="87"/>
      <x:c r="B913" s="88"/>
      <x:c r="D913" s="32"/>
      <x:c r="I913" s="74"/>
      <x:c r="J913" s="74"/>
      <x:c r="K913" s="74"/>
      <x:c r="L913" s="74"/>
      <x:c r="M913" s="91"/>
      <x:c r="N913" s="91"/>
      <x:c r="O913" s="91"/>
      <x:c r="P913" s="91"/>
      <x:c r="Q913" s="85"/>
      <x:c r="S913" s="86"/>
      <x:c r="T913" s="32"/>
    </x:row>
    <x:row r="914">
      <x:c r="A914" s="87"/>
      <x:c r="B914" s="88"/>
      <x:c r="D914" s="32"/>
      <x:c r="I914" s="74"/>
      <x:c r="J914" s="74"/>
      <x:c r="K914" s="74"/>
      <x:c r="L914" s="74"/>
      <x:c r="M914" s="91"/>
      <x:c r="N914" s="91"/>
      <x:c r="O914" s="91"/>
      <x:c r="P914" s="91"/>
      <x:c r="Q914" s="85"/>
      <x:c r="S914" s="86"/>
      <x:c r="T914" s="32"/>
    </x:row>
    <x:row r="915">
      <x:c r="A915" s="87"/>
      <x:c r="B915" s="88"/>
      <x:c r="D915" s="32"/>
      <x:c r="I915" s="74"/>
      <x:c r="J915" s="74"/>
      <x:c r="K915" s="74"/>
      <x:c r="L915" s="74"/>
      <x:c r="M915" s="91"/>
      <x:c r="N915" s="91"/>
      <x:c r="O915" s="91"/>
      <x:c r="P915" s="91"/>
      <x:c r="Q915" s="85"/>
      <x:c r="S915" s="86"/>
      <x:c r="T915" s="32"/>
    </x:row>
    <x:row r="916">
      <x:c r="A916" s="87"/>
      <x:c r="B916" s="88"/>
      <x:c r="D916" s="32"/>
      <x:c r="I916" s="74"/>
      <x:c r="J916" s="74"/>
      <x:c r="K916" s="74"/>
      <x:c r="L916" s="74"/>
      <x:c r="M916" s="91"/>
      <x:c r="N916" s="91"/>
      <x:c r="O916" s="91"/>
      <x:c r="P916" s="91"/>
      <x:c r="Q916" s="85"/>
      <x:c r="S916" s="86"/>
      <x:c r="T916" s="32"/>
    </x:row>
    <x:row r="917">
      <x:c r="A917" s="87"/>
      <x:c r="B917" s="88"/>
      <x:c r="D917" s="32"/>
      <x:c r="I917" s="74"/>
      <x:c r="J917" s="74"/>
      <x:c r="K917" s="74"/>
      <x:c r="L917" s="74"/>
      <x:c r="M917" s="91"/>
      <x:c r="N917" s="91"/>
      <x:c r="O917" s="91"/>
      <x:c r="P917" s="91"/>
      <x:c r="Q917" s="85"/>
      <x:c r="S917" s="86"/>
      <x:c r="T917" s="32"/>
    </x:row>
    <x:row r="918">
      <x:c r="A918" s="87"/>
      <x:c r="B918" s="88"/>
      <x:c r="D918" s="32"/>
      <x:c r="I918" s="74"/>
      <x:c r="J918" s="74"/>
      <x:c r="K918" s="74"/>
      <x:c r="L918" s="74"/>
      <x:c r="M918" s="91"/>
      <x:c r="N918" s="91"/>
      <x:c r="O918" s="91"/>
      <x:c r="P918" s="91"/>
      <x:c r="Q918" s="85"/>
      <x:c r="S918" s="86"/>
      <x:c r="T918" s="32"/>
    </x:row>
    <x:row r="919">
      <x:c r="A919" s="87"/>
      <x:c r="B919" s="88"/>
      <x:c r="D919" s="32"/>
      <x:c r="I919" s="74"/>
      <x:c r="J919" s="74"/>
      <x:c r="K919" s="74"/>
      <x:c r="L919" s="74"/>
      <x:c r="M919" s="91"/>
      <x:c r="N919" s="91"/>
      <x:c r="O919" s="91"/>
      <x:c r="P919" s="91"/>
      <x:c r="Q919" s="85"/>
      <x:c r="S919" s="86"/>
      <x:c r="T919" s="32"/>
    </x:row>
    <x:row r="920">
      <x:c r="A920" s="87"/>
      <x:c r="B920" s="88"/>
      <x:c r="D920" s="32"/>
      <x:c r="I920" s="74"/>
      <x:c r="J920" s="74"/>
      <x:c r="K920" s="74"/>
      <x:c r="L920" s="74"/>
      <x:c r="M920" s="91"/>
      <x:c r="N920" s="91"/>
      <x:c r="O920" s="91"/>
      <x:c r="P920" s="91"/>
      <x:c r="Q920" s="85"/>
      <x:c r="S920" s="86"/>
      <x:c r="T920" s="32"/>
    </x:row>
    <x:row r="921">
      <x:c r="A921" s="87"/>
      <x:c r="B921" s="88"/>
      <x:c r="D921" s="32"/>
      <x:c r="I921" s="74"/>
      <x:c r="J921" s="74"/>
      <x:c r="K921" s="74"/>
      <x:c r="L921" s="74"/>
      <x:c r="M921" s="91"/>
      <x:c r="N921" s="91"/>
      <x:c r="O921" s="91"/>
      <x:c r="P921" s="91"/>
      <x:c r="Q921" s="85"/>
      <x:c r="S921" s="86"/>
      <x:c r="T921" s="32"/>
    </x:row>
    <x:row r="922">
      <x:c r="A922" s="87"/>
      <x:c r="B922" s="88"/>
      <x:c r="D922" s="32"/>
      <x:c r="I922" s="74"/>
      <x:c r="J922" s="74"/>
      <x:c r="K922" s="74"/>
      <x:c r="L922" s="74"/>
      <x:c r="M922" s="91"/>
      <x:c r="N922" s="91"/>
      <x:c r="O922" s="91"/>
      <x:c r="P922" s="91"/>
      <x:c r="Q922" s="85"/>
      <x:c r="S922" s="86"/>
      <x:c r="T922" s="32"/>
    </x:row>
    <x:row r="923">
      <x:c r="A923" s="87"/>
      <x:c r="B923" s="88"/>
      <x:c r="D923" s="32"/>
      <x:c r="I923" s="74"/>
      <x:c r="J923" s="74"/>
      <x:c r="K923" s="74"/>
      <x:c r="L923" s="74"/>
      <x:c r="M923" s="91"/>
      <x:c r="N923" s="91"/>
      <x:c r="O923" s="91"/>
      <x:c r="P923" s="91"/>
      <x:c r="Q923" s="85"/>
      <x:c r="S923" s="86"/>
      <x:c r="T923" s="32"/>
    </x:row>
    <x:row r="924">
      <x:c r="A924" s="87"/>
      <x:c r="B924" s="88"/>
      <x:c r="D924" s="32"/>
      <x:c r="I924" s="74"/>
      <x:c r="J924" s="74"/>
      <x:c r="K924" s="74"/>
      <x:c r="L924" s="74"/>
      <x:c r="M924" s="91"/>
      <x:c r="N924" s="91"/>
      <x:c r="O924" s="91"/>
      <x:c r="P924" s="91"/>
      <x:c r="Q924" s="85"/>
      <x:c r="S924" s="86"/>
      <x:c r="T924" s="32"/>
    </x:row>
    <x:row r="925">
      <x:c r="A925" s="87"/>
      <x:c r="B925" s="88"/>
      <x:c r="D925" s="32"/>
      <x:c r="I925" s="74"/>
      <x:c r="J925" s="74"/>
      <x:c r="K925" s="74"/>
      <x:c r="L925" s="74"/>
      <x:c r="M925" s="91"/>
      <x:c r="N925" s="91"/>
      <x:c r="O925" s="91"/>
      <x:c r="P925" s="91"/>
      <x:c r="Q925" s="85"/>
      <x:c r="S925" s="86"/>
      <x:c r="T925" s="32"/>
    </x:row>
    <x:row r="926">
      <x:c r="A926" s="87"/>
      <x:c r="B926" s="88"/>
      <x:c r="D926" s="32"/>
      <x:c r="I926" s="74"/>
      <x:c r="J926" s="74"/>
      <x:c r="K926" s="74"/>
      <x:c r="L926" s="74"/>
      <x:c r="M926" s="91"/>
      <x:c r="N926" s="91"/>
      <x:c r="O926" s="91"/>
      <x:c r="P926" s="91"/>
      <x:c r="Q926" s="85"/>
      <x:c r="S926" s="86"/>
      <x:c r="T926" s="32"/>
    </x:row>
    <x:row r="927">
      <x:c r="A927" s="87"/>
      <x:c r="B927" s="88"/>
      <x:c r="D927" s="32"/>
      <x:c r="I927" s="74"/>
      <x:c r="J927" s="74"/>
      <x:c r="K927" s="74"/>
      <x:c r="L927" s="74"/>
      <x:c r="M927" s="91"/>
      <x:c r="N927" s="91"/>
      <x:c r="O927" s="91"/>
      <x:c r="P927" s="91"/>
      <x:c r="Q927" s="85"/>
      <x:c r="S927" s="86"/>
      <x:c r="T927" s="32"/>
    </x:row>
    <x:row r="928">
      <x:c r="A928" s="87"/>
      <x:c r="B928" s="88"/>
      <x:c r="D928" s="32"/>
      <x:c r="I928" s="74"/>
      <x:c r="J928" s="74"/>
      <x:c r="K928" s="74"/>
      <x:c r="L928" s="74"/>
      <x:c r="M928" s="91"/>
      <x:c r="N928" s="91"/>
      <x:c r="O928" s="91"/>
      <x:c r="P928" s="91"/>
      <x:c r="Q928" s="85"/>
      <x:c r="S928" s="86"/>
      <x:c r="T928" s="32"/>
    </x:row>
    <x:row r="929">
      <x:c r="A929" s="87"/>
      <x:c r="B929" s="88"/>
      <x:c r="D929" s="32"/>
      <x:c r="I929" s="74"/>
      <x:c r="J929" s="74"/>
      <x:c r="K929" s="74"/>
      <x:c r="L929" s="74"/>
      <x:c r="M929" s="91"/>
      <x:c r="N929" s="91"/>
      <x:c r="O929" s="91"/>
      <x:c r="P929" s="91"/>
      <x:c r="Q929" s="85"/>
      <x:c r="S929" s="86"/>
      <x:c r="T929" s="32"/>
    </x:row>
    <x:row r="930">
      <x:c r="A930" s="87"/>
      <x:c r="B930" s="88"/>
      <x:c r="D930" s="32"/>
      <x:c r="I930" s="74"/>
      <x:c r="J930" s="74"/>
      <x:c r="K930" s="74"/>
      <x:c r="L930" s="74"/>
      <x:c r="M930" s="91"/>
      <x:c r="N930" s="91"/>
      <x:c r="O930" s="91"/>
      <x:c r="P930" s="91"/>
      <x:c r="Q930" s="85"/>
      <x:c r="S930" s="86"/>
      <x:c r="T930" s="32"/>
    </x:row>
    <x:row r="931">
      <x:c r="A931" s="87"/>
      <x:c r="B931" s="88"/>
      <x:c r="D931" s="32"/>
      <x:c r="I931" s="74"/>
      <x:c r="J931" s="74"/>
      <x:c r="K931" s="74"/>
      <x:c r="L931" s="74"/>
      <x:c r="M931" s="91"/>
      <x:c r="N931" s="91"/>
      <x:c r="O931" s="91"/>
      <x:c r="P931" s="91"/>
      <x:c r="Q931" s="85"/>
      <x:c r="S931" s="86"/>
      <x:c r="T931" s="32"/>
    </x:row>
    <x:row r="932">
      <x:c r="A932" s="87"/>
      <x:c r="B932" s="88"/>
      <x:c r="D932" s="32"/>
      <x:c r="I932" s="74"/>
      <x:c r="J932" s="74"/>
      <x:c r="K932" s="74"/>
      <x:c r="L932" s="74"/>
      <x:c r="M932" s="91"/>
      <x:c r="N932" s="91"/>
      <x:c r="O932" s="91"/>
      <x:c r="P932" s="91"/>
      <x:c r="Q932" s="85"/>
      <x:c r="S932" s="86"/>
      <x:c r="T932" s="32"/>
    </x:row>
    <x:row r="933">
      <x:c r="A933" s="87"/>
      <x:c r="B933" s="88"/>
      <x:c r="D933" s="32"/>
      <x:c r="I933" s="74"/>
      <x:c r="J933" s="74"/>
      <x:c r="K933" s="74"/>
      <x:c r="L933" s="74"/>
      <x:c r="M933" s="91"/>
      <x:c r="N933" s="91"/>
      <x:c r="O933" s="91"/>
      <x:c r="P933" s="91"/>
      <x:c r="Q933" s="85"/>
      <x:c r="S933" s="86"/>
      <x:c r="T933" s="32"/>
    </x:row>
    <x:row r="934">
      <x:c r="A934" s="87"/>
      <x:c r="B934" s="88"/>
      <x:c r="D934" s="32"/>
      <x:c r="I934" s="74"/>
      <x:c r="J934" s="74"/>
      <x:c r="K934" s="74"/>
      <x:c r="L934" s="74"/>
      <x:c r="M934" s="91"/>
      <x:c r="N934" s="91"/>
      <x:c r="O934" s="91"/>
      <x:c r="P934" s="91"/>
      <x:c r="Q934" s="85"/>
      <x:c r="S934" s="86"/>
      <x:c r="T934" s="32"/>
    </x:row>
    <x:row r="935">
      <x:c r="A935" s="87"/>
      <x:c r="B935" s="88"/>
      <x:c r="D935" s="32"/>
      <x:c r="I935" s="74"/>
      <x:c r="J935" s="74"/>
      <x:c r="K935" s="74"/>
      <x:c r="L935" s="74"/>
      <x:c r="M935" s="91"/>
      <x:c r="N935" s="91"/>
      <x:c r="O935" s="91"/>
      <x:c r="P935" s="91"/>
      <x:c r="Q935" s="85"/>
      <x:c r="S935" s="86"/>
      <x:c r="T935" s="32"/>
    </x:row>
    <x:row r="936">
      <x:c r="A936" s="87"/>
      <x:c r="B936" s="88"/>
      <x:c r="D936" s="32"/>
      <x:c r="I936" s="74"/>
      <x:c r="J936" s="74"/>
      <x:c r="K936" s="74"/>
      <x:c r="L936" s="74"/>
      <x:c r="M936" s="91"/>
      <x:c r="N936" s="91"/>
      <x:c r="O936" s="91"/>
      <x:c r="P936" s="91"/>
      <x:c r="Q936" s="85"/>
      <x:c r="S936" s="86"/>
      <x:c r="T936" s="32"/>
    </x:row>
    <x:row r="937">
      <x:c r="A937" s="87"/>
      <x:c r="B937" s="88"/>
      <x:c r="D937" s="32"/>
      <x:c r="I937" s="74"/>
      <x:c r="J937" s="74"/>
      <x:c r="K937" s="74"/>
      <x:c r="L937" s="74"/>
      <x:c r="M937" s="91"/>
      <x:c r="N937" s="91"/>
      <x:c r="O937" s="91"/>
      <x:c r="P937" s="91"/>
      <x:c r="Q937" s="85"/>
      <x:c r="S937" s="86"/>
      <x:c r="T937" s="32"/>
    </x:row>
    <x:row r="938">
      <x:c r="A938" s="87"/>
      <x:c r="B938" s="88"/>
      <x:c r="D938" s="32"/>
      <x:c r="I938" s="74"/>
      <x:c r="J938" s="74"/>
      <x:c r="K938" s="74"/>
      <x:c r="L938" s="74"/>
      <x:c r="M938" s="91"/>
      <x:c r="N938" s="91"/>
      <x:c r="O938" s="91"/>
      <x:c r="P938" s="91"/>
      <x:c r="Q938" s="85"/>
      <x:c r="S938" s="86"/>
      <x:c r="T938" s="32"/>
    </x:row>
    <x:row r="939">
      <x:c r="A939" s="87"/>
      <x:c r="B939" s="88"/>
      <x:c r="D939" s="32"/>
      <x:c r="I939" s="74"/>
      <x:c r="J939" s="74"/>
      <x:c r="K939" s="74"/>
      <x:c r="L939" s="74"/>
      <x:c r="M939" s="91"/>
      <x:c r="N939" s="91"/>
      <x:c r="O939" s="91"/>
      <x:c r="P939" s="91"/>
      <x:c r="Q939" s="85"/>
      <x:c r="S939" s="86"/>
      <x:c r="T939" s="32"/>
    </x:row>
    <x:row r="940">
      <x:c r="A940" s="87"/>
      <x:c r="B940" s="88"/>
      <x:c r="D940" s="32"/>
      <x:c r="I940" s="74"/>
      <x:c r="J940" s="74"/>
      <x:c r="K940" s="74"/>
      <x:c r="L940" s="74"/>
      <x:c r="M940" s="91"/>
      <x:c r="N940" s="91"/>
      <x:c r="O940" s="91"/>
      <x:c r="P940" s="91"/>
      <x:c r="Q940" s="85"/>
      <x:c r="S940" s="86"/>
      <x:c r="T940" s="32"/>
    </x:row>
    <x:row r="941">
      <x:c r="A941" s="87"/>
      <x:c r="B941" s="88"/>
      <x:c r="D941" s="32"/>
      <x:c r="I941" s="74"/>
      <x:c r="J941" s="74"/>
      <x:c r="K941" s="74"/>
      <x:c r="L941" s="74"/>
      <x:c r="M941" s="91"/>
      <x:c r="N941" s="91"/>
      <x:c r="O941" s="91"/>
      <x:c r="P941" s="91"/>
      <x:c r="Q941" s="85"/>
      <x:c r="S941" s="86"/>
      <x:c r="T941" s="32"/>
    </x:row>
    <x:row r="942">
      <x:c r="A942" s="87"/>
      <x:c r="B942" s="88"/>
      <x:c r="D942" s="32"/>
      <x:c r="I942" s="74"/>
      <x:c r="J942" s="74"/>
      <x:c r="K942" s="74"/>
      <x:c r="L942" s="74"/>
      <x:c r="M942" s="91"/>
      <x:c r="N942" s="91"/>
      <x:c r="O942" s="91"/>
      <x:c r="P942" s="91"/>
      <x:c r="Q942" s="85"/>
      <x:c r="S942" s="86"/>
      <x:c r="T942" s="32"/>
    </x:row>
    <x:row r="943">
      <x:c r="A943" s="87"/>
      <x:c r="B943" s="88"/>
      <x:c r="D943" s="32"/>
      <x:c r="I943" s="74"/>
      <x:c r="J943" s="74"/>
      <x:c r="K943" s="74"/>
      <x:c r="L943" s="74"/>
      <x:c r="M943" s="91"/>
      <x:c r="N943" s="91"/>
      <x:c r="O943" s="91"/>
      <x:c r="P943" s="91"/>
      <x:c r="Q943" s="85"/>
      <x:c r="S943" s="86"/>
      <x:c r="T943" s="32"/>
    </x:row>
    <x:row r="944">
      <x:c r="A944" s="87"/>
      <x:c r="B944" s="88"/>
      <x:c r="D944" s="32"/>
      <x:c r="I944" s="74"/>
      <x:c r="J944" s="74"/>
      <x:c r="K944" s="74"/>
      <x:c r="L944" s="74"/>
      <x:c r="M944" s="91"/>
      <x:c r="N944" s="91"/>
      <x:c r="O944" s="91"/>
      <x:c r="P944" s="91"/>
      <x:c r="Q944" s="85"/>
      <x:c r="S944" s="86"/>
      <x:c r="T944" s="32"/>
    </x:row>
    <x:row r="945">
      <x:c r="A945" s="87"/>
      <x:c r="B945" s="88"/>
      <x:c r="D945" s="32"/>
      <x:c r="I945" s="74"/>
      <x:c r="J945" s="74"/>
      <x:c r="K945" s="74"/>
      <x:c r="L945" s="74"/>
      <x:c r="M945" s="91"/>
      <x:c r="N945" s="91"/>
      <x:c r="O945" s="91"/>
      <x:c r="P945" s="91"/>
      <x:c r="Q945" s="85"/>
      <x:c r="S945" s="86"/>
      <x:c r="T945" s="32"/>
    </x:row>
    <x:row r="946">
      <x:c r="A946" s="87"/>
      <x:c r="B946" s="88"/>
      <x:c r="D946" s="32"/>
      <x:c r="I946" s="74"/>
      <x:c r="J946" s="74"/>
      <x:c r="K946" s="74"/>
      <x:c r="L946" s="74"/>
      <x:c r="M946" s="91"/>
      <x:c r="N946" s="91"/>
      <x:c r="O946" s="91"/>
      <x:c r="P946" s="91"/>
      <x:c r="Q946" s="85"/>
      <x:c r="S946" s="86"/>
      <x:c r="T946" s="32"/>
    </x:row>
    <x:row r="947">
      <x:c r="A947" s="87"/>
      <x:c r="B947" s="88"/>
      <x:c r="D947" s="32"/>
      <x:c r="I947" s="74"/>
      <x:c r="J947" s="74"/>
      <x:c r="K947" s="74"/>
      <x:c r="L947" s="74"/>
      <x:c r="M947" s="91"/>
      <x:c r="N947" s="91"/>
      <x:c r="O947" s="91"/>
      <x:c r="P947" s="91"/>
      <x:c r="Q947" s="85"/>
      <x:c r="S947" s="86"/>
      <x:c r="T947" s="32"/>
    </x:row>
    <x:row r="948">
      <x:c r="A948" s="87"/>
      <x:c r="B948" s="88"/>
      <x:c r="D948" s="32"/>
      <x:c r="I948" s="74"/>
      <x:c r="J948" s="74"/>
      <x:c r="K948" s="74"/>
      <x:c r="L948" s="74"/>
      <x:c r="M948" s="91"/>
      <x:c r="N948" s="91"/>
      <x:c r="O948" s="91"/>
      <x:c r="P948" s="91"/>
      <x:c r="Q948" s="85"/>
      <x:c r="S948" s="86"/>
      <x:c r="T948" s="32"/>
    </x:row>
    <x:row r="949">
      <x:c r="A949" s="87"/>
      <x:c r="B949" s="88"/>
      <x:c r="D949" s="32"/>
      <x:c r="I949" s="74"/>
      <x:c r="J949" s="74"/>
      <x:c r="K949" s="74"/>
      <x:c r="L949" s="74"/>
      <x:c r="M949" s="91"/>
      <x:c r="N949" s="91"/>
      <x:c r="O949" s="91"/>
      <x:c r="P949" s="91"/>
      <x:c r="Q949" s="85"/>
      <x:c r="S949" s="86"/>
      <x:c r="T949" s="32"/>
    </x:row>
    <x:row r="950">
      <x:c r="A950" s="87"/>
      <x:c r="B950" s="88"/>
      <x:c r="D950" s="32"/>
      <x:c r="I950" s="74"/>
      <x:c r="J950" s="74"/>
      <x:c r="K950" s="74"/>
      <x:c r="L950" s="74"/>
      <x:c r="M950" s="91"/>
      <x:c r="N950" s="91"/>
      <x:c r="O950" s="91"/>
      <x:c r="P950" s="91"/>
      <x:c r="Q950" s="85"/>
      <x:c r="S950" s="86"/>
      <x:c r="T950" s="32"/>
    </x:row>
    <x:row r="951">
      <x:c r="A951" s="87"/>
      <x:c r="B951" s="88"/>
      <x:c r="D951" s="32"/>
      <x:c r="I951" s="74"/>
      <x:c r="J951" s="74"/>
      <x:c r="K951" s="74"/>
      <x:c r="L951" s="74"/>
      <x:c r="M951" s="91"/>
      <x:c r="N951" s="91"/>
      <x:c r="O951" s="91"/>
      <x:c r="P951" s="91"/>
      <x:c r="Q951" s="85"/>
      <x:c r="S951" s="86"/>
      <x:c r="T951" s="32"/>
    </x:row>
    <x:row r="952">
      <x:c r="A952" s="87"/>
      <x:c r="B952" s="88"/>
      <x:c r="D952" s="32"/>
      <x:c r="I952" s="74"/>
      <x:c r="J952" s="74"/>
      <x:c r="K952" s="74"/>
      <x:c r="L952" s="74"/>
      <x:c r="M952" s="91"/>
      <x:c r="N952" s="91"/>
      <x:c r="O952" s="91"/>
      <x:c r="P952" s="91"/>
      <x:c r="Q952" s="85"/>
      <x:c r="S952" s="86"/>
      <x:c r="T952" s="32"/>
    </x:row>
    <x:row r="953">
      <x:c r="A953" s="87"/>
      <x:c r="B953" s="88"/>
      <x:c r="D953" s="32"/>
      <x:c r="I953" s="74"/>
      <x:c r="J953" s="74"/>
      <x:c r="K953" s="74"/>
      <x:c r="L953" s="74"/>
      <x:c r="M953" s="91"/>
      <x:c r="N953" s="91"/>
      <x:c r="O953" s="91"/>
      <x:c r="P953" s="91"/>
      <x:c r="Q953" s="85"/>
      <x:c r="S953" s="86"/>
      <x:c r="T953" s="32"/>
    </x:row>
    <x:row r="954">
      <x:c r="A954" s="87"/>
      <x:c r="B954" s="88"/>
      <x:c r="D954" s="32"/>
      <x:c r="I954" s="74"/>
      <x:c r="J954" s="74"/>
      <x:c r="K954" s="74"/>
      <x:c r="L954" s="74"/>
      <x:c r="M954" s="91"/>
      <x:c r="N954" s="91"/>
      <x:c r="O954" s="91"/>
      <x:c r="P954" s="91"/>
      <x:c r="Q954" s="85"/>
      <x:c r="S954" s="86"/>
      <x:c r="T954" s="32"/>
    </x:row>
    <x:row r="955">
      <x:c r="A955" s="87"/>
      <x:c r="B955" s="88"/>
      <x:c r="D955" s="32"/>
      <x:c r="I955" s="74"/>
      <x:c r="J955" s="74"/>
      <x:c r="K955" s="74"/>
      <x:c r="L955" s="74"/>
      <x:c r="M955" s="91"/>
      <x:c r="N955" s="91"/>
      <x:c r="O955" s="91"/>
      <x:c r="P955" s="91"/>
      <x:c r="Q955" s="85"/>
      <x:c r="S955" s="86"/>
      <x:c r="T955" s="32"/>
    </x:row>
    <x:row r="956">
      <x:c r="A956" s="87"/>
      <x:c r="B956" s="88"/>
      <x:c r="D956" s="32"/>
      <x:c r="I956" s="74"/>
      <x:c r="J956" s="74"/>
      <x:c r="K956" s="74"/>
      <x:c r="L956" s="74"/>
      <x:c r="M956" s="91"/>
      <x:c r="N956" s="91"/>
      <x:c r="O956" s="91"/>
      <x:c r="P956" s="91"/>
      <x:c r="Q956" s="85"/>
      <x:c r="S956" s="86"/>
      <x:c r="T956" s="32"/>
    </x:row>
    <x:row r="957">
      <x:c r="A957" s="87"/>
      <x:c r="B957" s="88"/>
      <x:c r="D957" s="32"/>
      <x:c r="I957" s="74"/>
      <x:c r="J957" s="74"/>
      <x:c r="K957" s="74"/>
      <x:c r="L957" s="74"/>
      <x:c r="M957" s="91"/>
      <x:c r="N957" s="91"/>
      <x:c r="O957" s="91"/>
      <x:c r="P957" s="91"/>
      <x:c r="Q957" s="85"/>
      <x:c r="S957" s="86"/>
      <x:c r="T957" s="32"/>
    </x:row>
    <x:row r="958">
      <x:c r="A958" s="87"/>
      <x:c r="B958" s="88"/>
      <x:c r="D958" s="32"/>
      <x:c r="I958" s="74"/>
      <x:c r="J958" s="74"/>
      <x:c r="K958" s="74"/>
      <x:c r="L958" s="74"/>
      <x:c r="M958" s="91"/>
      <x:c r="N958" s="91"/>
      <x:c r="O958" s="91"/>
      <x:c r="P958" s="91"/>
      <x:c r="Q958" s="85"/>
      <x:c r="S958" s="86"/>
      <x:c r="T958" s="32"/>
    </x:row>
    <x:row r="959">
      <x:c r="A959" s="87"/>
      <x:c r="B959" s="88"/>
      <x:c r="D959" s="32"/>
      <x:c r="I959" s="74"/>
      <x:c r="J959" s="74"/>
      <x:c r="K959" s="74"/>
      <x:c r="L959" s="74"/>
      <x:c r="M959" s="91"/>
      <x:c r="N959" s="91"/>
      <x:c r="O959" s="91"/>
      <x:c r="P959" s="91"/>
      <x:c r="Q959" s="85"/>
      <x:c r="S959" s="86"/>
      <x:c r="T959" s="32"/>
    </x:row>
    <x:row r="960">
      <x:c r="A960" s="87"/>
      <x:c r="B960" s="88"/>
      <x:c r="D960" s="32"/>
      <x:c r="I960" s="74"/>
      <x:c r="J960" s="74"/>
      <x:c r="K960" s="74"/>
      <x:c r="L960" s="74"/>
      <x:c r="M960" s="91"/>
      <x:c r="N960" s="91"/>
      <x:c r="O960" s="91"/>
      <x:c r="P960" s="91"/>
      <x:c r="Q960" s="85"/>
      <x:c r="S960" s="86"/>
      <x:c r="T960" s="32"/>
    </x:row>
    <x:row r="961">
      <x:c r="A961" s="87"/>
      <x:c r="B961" s="88"/>
      <x:c r="D961" s="32"/>
      <x:c r="I961" s="74"/>
      <x:c r="J961" s="74"/>
      <x:c r="K961" s="74"/>
      <x:c r="L961" s="74"/>
      <x:c r="M961" s="91"/>
      <x:c r="N961" s="91"/>
      <x:c r="O961" s="91"/>
      <x:c r="P961" s="91"/>
      <x:c r="Q961" s="85"/>
      <x:c r="S961" s="86"/>
      <x:c r="T961" s="32"/>
    </x:row>
    <x:row r="962">
      <x:c r="A962" s="87"/>
      <x:c r="B962" s="88"/>
      <x:c r="D962" s="32"/>
      <x:c r="I962" s="74"/>
      <x:c r="J962" s="74"/>
      <x:c r="K962" s="74"/>
      <x:c r="L962" s="74"/>
      <x:c r="M962" s="91"/>
      <x:c r="N962" s="91"/>
      <x:c r="O962" s="91"/>
      <x:c r="P962" s="91"/>
      <x:c r="Q962" s="85"/>
      <x:c r="S962" s="86"/>
      <x:c r="T962" s="32"/>
    </x:row>
    <x:row r="963">
      <x:c r="A963" s="87"/>
      <x:c r="B963" s="88"/>
      <x:c r="D963" s="32"/>
      <x:c r="I963" s="74"/>
      <x:c r="J963" s="74"/>
      <x:c r="K963" s="74"/>
      <x:c r="L963" s="74"/>
      <x:c r="M963" s="91"/>
      <x:c r="N963" s="91"/>
      <x:c r="O963" s="91"/>
      <x:c r="P963" s="91"/>
      <x:c r="Q963" s="85"/>
      <x:c r="S963" s="86"/>
      <x:c r="T963" s="32"/>
    </x:row>
    <x:row r="964">
      <x:c r="A964" s="87"/>
      <x:c r="B964" s="88"/>
      <x:c r="D964" s="32"/>
      <x:c r="I964" s="74"/>
      <x:c r="J964" s="74"/>
      <x:c r="K964" s="74"/>
      <x:c r="L964" s="74"/>
      <x:c r="M964" s="91"/>
      <x:c r="N964" s="91"/>
      <x:c r="O964" s="91"/>
      <x:c r="P964" s="91"/>
      <x:c r="Q964" s="85"/>
      <x:c r="S964" s="86"/>
      <x:c r="T964" s="32"/>
    </x:row>
    <x:row r="965">
      <x:c r="A965" s="87"/>
      <x:c r="B965" s="88"/>
      <x:c r="D965" s="32"/>
      <x:c r="I965" s="74"/>
      <x:c r="J965" s="74"/>
      <x:c r="K965" s="74"/>
      <x:c r="L965" s="74"/>
      <x:c r="M965" s="91"/>
      <x:c r="N965" s="91"/>
      <x:c r="O965" s="91"/>
      <x:c r="P965" s="91"/>
      <x:c r="Q965" s="85"/>
      <x:c r="S965" s="86"/>
      <x:c r="T965" s="32"/>
    </x:row>
    <x:row r="966">
      <x:c r="A966" s="87"/>
      <x:c r="B966" s="88"/>
      <x:c r="D966" s="32"/>
      <x:c r="I966" s="74"/>
      <x:c r="J966" s="74"/>
      <x:c r="K966" s="74"/>
      <x:c r="L966" s="74"/>
      <x:c r="M966" s="91"/>
      <x:c r="N966" s="91"/>
      <x:c r="O966" s="91"/>
      <x:c r="P966" s="91"/>
      <x:c r="Q966" s="85"/>
      <x:c r="S966" s="86"/>
      <x:c r="T966" s="32"/>
    </x:row>
    <x:row r="967">
      <x:c r="A967" s="87"/>
      <x:c r="B967" s="88"/>
      <x:c r="D967" s="32"/>
      <x:c r="I967" s="74"/>
      <x:c r="J967" s="74"/>
      <x:c r="K967" s="74"/>
      <x:c r="L967" s="74"/>
      <x:c r="M967" s="91"/>
      <x:c r="N967" s="91"/>
      <x:c r="O967" s="91"/>
      <x:c r="P967" s="91"/>
      <x:c r="Q967" s="85"/>
      <x:c r="S967" s="86"/>
      <x:c r="T967" s="32"/>
    </x:row>
    <x:row r="968">
      <x:c r="A968" s="87"/>
      <x:c r="B968" s="88"/>
      <x:c r="D968" s="32"/>
      <x:c r="I968" s="74"/>
      <x:c r="J968" s="74"/>
      <x:c r="K968" s="74"/>
      <x:c r="L968" s="74"/>
      <x:c r="M968" s="91"/>
      <x:c r="N968" s="91"/>
      <x:c r="O968" s="91"/>
      <x:c r="P968" s="91"/>
      <x:c r="Q968" s="85"/>
      <x:c r="S968" s="86"/>
      <x:c r="T968" s="32"/>
    </x:row>
    <x:row r="969">
      <x:c r="A969" s="87"/>
      <x:c r="B969" s="88"/>
      <x:c r="D969" s="32"/>
      <x:c r="I969" s="74"/>
      <x:c r="J969" s="74"/>
      <x:c r="K969" s="74"/>
      <x:c r="L969" s="74"/>
      <x:c r="M969" s="91"/>
      <x:c r="N969" s="91"/>
      <x:c r="O969" s="91"/>
      <x:c r="P969" s="91"/>
      <x:c r="Q969" s="85"/>
      <x:c r="S969" s="86"/>
      <x:c r="T969" s="32"/>
    </x:row>
    <x:row r="970">
      <x:c r="A970" s="87"/>
      <x:c r="B970" s="88"/>
      <x:c r="D970" s="32"/>
      <x:c r="I970" s="74"/>
      <x:c r="J970" s="74"/>
      <x:c r="K970" s="74"/>
      <x:c r="L970" s="74"/>
      <x:c r="M970" s="91"/>
      <x:c r="N970" s="91"/>
      <x:c r="O970" s="91"/>
      <x:c r="P970" s="91"/>
      <x:c r="Q970" s="85"/>
      <x:c r="S970" s="86"/>
      <x:c r="T970" s="32"/>
    </x:row>
    <x:row r="971">
      <x:c r="A971" s="87"/>
      <x:c r="B971" s="88"/>
      <x:c r="D971" s="32"/>
      <x:c r="I971" s="74"/>
      <x:c r="J971" s="74"/>
      <x:c r="K971" s="74"/>
      <x:c r="L971" s="74"/>
      <x:c r="M971" s="91"/>
      <x:c r="N971" s="91"/>
      <x:c r="O971" s="91"/>
      <x:c r="P971" s="91"/>
      <x:c r="Q971" s="85"/>
      <x:c r="S971" s="86"/>
      <x:c r="T971" s="32"/>
    </x:row>
    <x:row r="972">
      <x:c r="A972" s="87"/>
      <x:c r="B972" s="88"/>
      <x:c r="D972" s="32"/>
      <x:c r="I972" s="74"/>
      <x:c r="J972" s="74"/>
      <x:c r="K972" s="74"/>
      <x:c r="L972" s="74"/>
      <x:c r="M972" s="91"/>
      <x:c r="N972" s="91"/>
      <x:c r="O972" s="91"/>
      <x:c r="P972" s="91"/>
      <x:c r="Q972" s="85"/>
      <x:c r="S972" s="86"/>
      <x:c r="T972" s="32"/>
    </x:row>
    <x:row r="973">
      <x:c r="A973" s="87"/>
      <x:c r="B973" s="88"/>
      <x:c r="D973" s="32"/>
      <x:c r="I973" s="74"/>
      <x:c r="J973" s="74"/>
      <x:c r="K973" s="74"/>
      <x:c r="L973" s="74"/>
      <x:c r="M973" s="91"/>
      <x:c r="N973" s="91"/>
      <x:c r="O973" s="91"/>
      <x:c r="P973" s="91"/>
      <x:c r="Q973" s="85"/>
      <x:c r="S973" s="86"/>
      <x:c r="T973" s="32"/>
    </x:row>
    <x:row r="974">
      <x:c r="A974" s="87"/>
      <x:c r="B974" s="88"/>
      <x:c r="D974" s="32"/>
      <x:c r="I974" s="74"/>
      <x:c r="J974" s="74"/>
      <x:c r="K974" s="74"/>
      <x:c r="L974" s="74"/>
      <x:c r="M974" s="91"/>
      <x:c r="N974" s="91"/>
      <x:c r="O974" s="91"/>
      <x:c r="P974" s="91"/>
      <x:c r="Q974" s="85"/>
      <x:c r="S974" s="86"/>
      <x:c r="T974" s="32"/>
    </x:row>
    <x:row r="975">
      <x:c r="A975" s="87"/>
      <x:c r="B975" s="88"/>
      <x:c r="D975" s="32"/>
      <x:c r="I975" s="74"/>
      <x:c r="J975" s="74"/>
      <x:c r="K975" s="74"/>
      <x:c r="L975" s="74"/>
      <x:c r="M975" s="91"/>
      <x:c r="N975" s="91"/>
      <x:c r="O975" s="91"/>
      <x:c r="P975" s="91"/>
      <x:c r="Q975" s="85"/>
      <x:c r="S975" s="86"/>
      <x:c r="T975" s="32"/>
    </x:row>
    <x:row r="976">
      <x:c r="A976" s="87"/>
      <x:c r="B976" s="88"/>
      <x:c r="D976" s="32"/>
      <x:c r="I976" s="74"/>
      <x:c r="J976" s="74"/>
      <x:c r="K976" s="74"/>
      <x:c r="L976" s="74"/>
      <x:c r="M976" s="91"/>
      <x:c r="N976" s="91"/>
      <x:c r="O976" s="91"/>
      <x:c r="P976" s="91"/>
      <x:c r="Q976" s="85"/>
      <x:c r="S976" s="86"/>
      <x:c r="T976" s="32"/>
    </x:row>
    <x:row r="977">
      <x:c r="A977" s="87"/>
      <x:c r="B977" s="88"/>
      <x:c r="D977" s="32"/>
      <x:c r="I977" s="74"/>
      <x:c r="J977" s="74"/>
      <x:c r="K977" s="74"/>
      <x:c r="L977" s="74"/>
      <x:c r="M977" s="91"/>
      <x:c r="N977" s="91"/>
      <x:c r="O977" s="91"/>
      <x:c r="P977" s="91"/>
      <x:c r="Q977" s="85"/>
      <x:c r="S977" s="86"/>
      <x:c r="T977" s="32"/>
    </x:row>
    <x:row r="978">
      <x:c r="A978" s="87"/>
      <x:c r="B978" s="88"/>
      <x:c r="D978" s="32"/>
      <x:c r="I978" s="74"/>
      <x:c r="J978" s="74"/>
      <x:c r="K978" s="74"/>
      <x:c r="L978" s="74"/>
      <x:c r="M978" s="91"/>
      <x:c r="N978" s="91"/>
      <x:c r="O978" s="91"/>
      <x:c r="P978" s="91"/>
      <x:c r="Q978" s="85"/>
      <x:c r="S978" s="86"/>
      <x:c r="T978" s="32"/>
    </x:row>
    <x:row r="979">
      <x:c r="A979" s="87"/>
      <x:c r="B979" s="88"/>
      <x:c r="D979" s="32"/>
      <x:c r="I979" s="74"/>
      <x:c r="J979" s="74"/>
      <x:c r="K979" s="74"/>
      <x:c r="L979" s="74"/>
      <x:c r="M979" s="91"/>
      <x:c r="N979" s="91"/>
      <x:c r="O979" s="91"/>
      <x:c r="P979" s="91"/>
      <x:c r="Q979" s="85"/>
      <x:c r="S979" s="86"/>
      <x:c r="T979" s="32"/>
    </x:row>
    <x:row r="980">
      <x:c r="A980" s="87"/>
      <x:c r="B980" s="88"/>
      <x:c r="D980" s="32"/>
      <x:c r="I980" s="74"/>
      <x:c r="J980" s="74"/>
      <x:c r="K980" s="74"/>
      <x:c r="L980" s="74"/>
      <x:c r="M980" s="91"/>
      <x:c r="N980" s="91"/>
      <x:c r="O980" s="91"/>
      <x:c r="P980" s="91"/>
      <x:c r="Q980" s="85"/>
      <x:c r="S980" s="86"/>
      <x:c r="T980" s="32"/>
    </x:row>
    <x:row r="981">
      <x:c r="A981" s="87"/>
      <x:c r="B981" s="88"/>
      <x:c r="D981" s="32"/>
      <x:c r="I981" s="74"/>
      <x:c r="J981" s="74"/>
      <x:c r="K981" s="74"/>
      <x:c r="L981" s="74"/>
      <x:c r="M981" s="91"/>
      <x:c r="N981" s="91"/>
      <x:c r="O981" s="91"/>
      <x:c r="P981" s="91"/>
      <x:c r="Q981" s="85"/>
      <x:c r="S981" s="86"/>
      <x:c r="T981" s="32"/>
    </x:row>
    <x:row r="982">
      <x:c r="A982" s="87"/>
      <x:c r="B982" s="88"/>
      <x:c r="D982" s="32"/>
      <x:c r="I982" s="74"/>
      <x:c r="J982" s="74"/>
      <x:c r="K982" s="74"/>
      <x:c r="L982" s="74"/>
      <x:c r="M982" s="91"/>
      <x:c r="N982" s="91"/>
      <x:c r="O982" s="91"/>
      <x:c r="P982" s="91"/>
      <x:c r="Q982" s="85"/>
      <x:c r="S982" s="86"/>
      <x:c r="T982" s="32"/>
    </x:row>
    <x:row r="983">
      <x:c r="A983" s="87"/>
      <x:c r="B983" s="88"/>
      <x:c r="D983" s="32"/>
      <x:c r="I983" s="74"/>
      <x:c r="J983" s="74"/>
      <x:c r="K983" s="74"/>
      <x:c r="L983" s="74"/>
      <x:c r="M983" s="91"/>
      <x:c r="N983" s="91"/>
      <x:c r="O983" s="91"/>
      <x:c r="P983" s="91"/>
      <x:c r="Q983" s="85"/>
      <x:c r="S983" s="86"/>
      <x:c r="T983" s="32"/>
    </x:row>
    <x:row r="984">
      <x:c r="A984" s="87"/>
      <x:c r="B984" s="88"/>
      <x:c r="D984" s="32"/>
      <x:c r="I984" s="74"/>
      <x:c r="J984" s="74"/>
      <x:c r="K984" s="74"/>
      <x:c r="L984" s="74"/>
      <x:c r="M984" s="91"/>
      <x:c r="N984" s="91"/>
      <x:c r="O984" s="91"/>
      <x:c r="P984" s="91"/>
      <x:c r="Q984" s="85"/>
      <x:c r="S984" s="86"/>
      <x:c r="T984" s="32"/>
    </x:row>
    <x:row r="985">
      <x:c r="A985" s="87"/>
      <x:c r="B985" s="88"/>
      <x:c r="D985" s="32"/>
      <x:c r="I985" s="74"/>
      <x:c r="J985" s="74"/>
      <x:c r="K985" s="74"/>
      <x:c r="L985" s="74"/>
      <x:c r="M985" s="91"/>
      <x:c r="N985" s="91"/>
      <x:c r="O985" s="91"/>
      <x:c r="P985" s="91"/>
      <x:c r="Q985" s="85"/>
      <x:c r="S985" s="86"/>
      <x:c r="T985" s="32"/>
    </x:row>
    <x:row r="986">
      <x:c r="A986" s="87"/>
      <x:c r="B986" s="88"/>
      <x:c r="D986" s="32"/>
      <x:c r="I986" s="74"/>
      <x:c r="J986" s="74"/>
      <x:c r="K986" s="74"/>
      <x:c r="L986" s="74"/>
      <x:c r="M986" s="91"/>
      <x:c r="N986" s="91"/>
      <x:c r="O986" s="91"/>
      <x:c r="P986" s="91"/>
      <x:c r="Q986" s="85"/>
      <x:c r="S986" s="86"/>
      <x:c r="T986" s="32"/>
    </x:row>
    <x:row r="987">
      <x:c r="A987" s="87"/>
      <x:c r="B987" s="88"/>
      <x:c r="D987" s="32"/>
      <x:c r="I987" s="74"/>
      <x:c r="J987" s="74"/>
      <x:c r="K987" s="74"/>
      <x:c r="L987" s="74"/>
      <x:c r="M987" s="91"/>
      <x:c r="N987" s="91"/>
      <x:c r="O987" s="91"/>
      <x:c r="P987" s="91"/>
      <x:c r="Q987" s="85"/>
      <x:c r="S987" s="86"/>
      <x:c r="T987" s="32"/>
    </x:row>
    <x:row r="988">
      <x:c r="A988" s="87"/>
      <x:c r="B988" s="88"/>
      <x:c r="D988" s="32"/>
      <x:c r="I988" s="74"/>
      <x:c r="J988" s="74"/>
      <x:c r="K988" s="74"/>
      <x:c r="L988" s="74"/>
      <x:c r="M988" s="91"/>
      <x:c r="N988" s="91"/>
      <x:c r="O988" s="91"/>
      <x:c r="P988" s="91"/>
      <x:c r="Q988" s="85"/>
      <x:c r="S988" s="86"/>
      <x:c r="T988" s="32"/>
    </x:row>
    <x:row r="989">
      <x:c r="A989" s="87"/>
      <x:c r="B989" s="88"/>
      <x:c r="D989" s="32"/>
      <x:c r="I989" s="74"/>
      <x:c r="J989" s="74"/>
      <x:c r="K989" s="74"/>
      <x:c r="L989" s="74"/>
      <x:c r="M989" s="91"/>
      <x:c r="N989" s="91"/>
      <x:c r="O989" s="91"/>
      <x:c r="P989" s="91"/>
      <x:c r="Q989" s="85"/>
      <x:c r="S989" s="86"/>
      <x:c r="T989" s="32"/>
    </x:row>
    <x:row r="990">
      <x:c r="A990" s="87"/>
      <x:c r="B990" s="88"/>
      <x:c r="D990" s="32"/>
      <x:c r="I990" s="74"/>
      <x:c r="J990" s="74"/>
      <x:c r="K990" s="74"/>
      <x:c r="L990" s="74"/>
      <x:c r="M990" s="91"/>
      <x:c r="N990" s="91"/>
      <x:c r="O990" s="91"/>
      <x:c r="P990" s="91"/>
      <x:c r="Q990" s="85"/>
      <x:c r="S990" s="86"/>
      <x:c r="T990" s="32"/>
    </x:row>
    <x:row r="991">
      <x:c r="A991" s="87"/>
      <x:c r="B991" s="88"/>
      <x:c r="D991" s="32"/>
      <x:c r="I991" s="74"/>
      <x:c r="J991" s="74"/>
      <x:c r="K991" s="74"/>
      <x:c r="L991" s="74"/>
      <x:c r="M991" s="91"/>
      <x:c r="N991" s="91"/>
      <x:c r="O991" s="91"/>
      <x:c r="P991" s="91"/>
      <x:c r="Q991" s="85"/>
      <x:c r="S991" s="86"/>
      <x:c r="T991" s="32"/>
    </x:row>
    <x:row r="992">
      <x:c r="A992" s="87"/>
      <x:c r="B992" s="88"/>
      <x:c r="D992" s="32"/>
      <x:c r="I992" s="74"/>
      <x:c r="J992" s="74"/>
      <x:c r="K992" s="74"/>
      <x:c r="L992" s="74"/>
      <x:c r="M992" s="91"/>
      <x:c r="N992" s="91"/>
      <x:c r="O992" s="91"/>
      <x:c r="P992" s="91"/>
      <x:c r="Q992" s="85"/>
      <x:c r="S992" s="86"/>
      <x:c r="T992" s="32"/>
    </x:row>
    <x:row r="993">
      <x:c r="A993" s="87"/>
      <x:c r="B993" s="88"/>
      <x:c r="D993" s="32"/>
      <x:c r="I993" s="74"/>
      <x:c r="J993" s="74"/>
      <x:c r="K993" s="74"/>
      <x:c r="L993" s="74"/>
      <x:c r="M993" s="91"/>
      <x:c r="N993" s="91"/>
      <x:c r="O993" s="91"/>
      <x:c r="P993" s="91"/>
      <x:c r="Q993" s="85"/>
      <x:c r="S993" s="86"/>
      <x:c r="T993" s="32"/>
    </x:row>
    <x:row r="994">
      <x:c r="A994" s="87"/>
      <x:c r="B994" s="88"/>
      <x:c r="D994" s="32"/>
      <x:c r="I994" s="74"/>
      <x:c r="J994" s="74"/>
      <x:c r="K994" s="74"/>
      <x:c r="L994" s="74"/>
      <x:c r="M994" s="91"/>
      <x:c r="N994" s="91"/>
      <x:c r="O994" s="91"/>
      <x:c r="P994" s="91"/>
      <x:c r="Q994" s="85"/>
      <x:c r="S994" s="86"/>
      <x:c r="T994" s="32"/>
    </x:row>
    <x:row r="995">
      <x:c r="A995" s="87"/>
      <x:c r="B995" s="88"/>
      <x:c r="D995" s="32"/>
      <x:c r="I995" s="74"/>
      <x:c r="J995" s="74"/>
      <x:c r="K995" s="74"/>
      <x:c r="L995" s="74"/>
      <x:c r="M995" s="91"/>
      <x:c r="N995" s="91"/>
      <x:c r="O995" s="91"/>
      <x:c r="P995" s="91"/>
      <x:c r="Q995" s="85"/>
      <x:c r="S995" s="86"/>
      <x:c r="T995" s="32"/>
    </x:row>
    <x:row r="996">
      <x:c r="A996" s="87"/>
      <x:c r="B996" s="88"/>
      <x:c r="D996" s="32"/>
      <x:c r="I996" s="74"/>
      <x:c r="J996" s="74"/>
      <x:c r="K996" s="74"/>
      <x:c r="L996" s="74"/>
      <x:c r="M996" s="91"/>
      <x:c r="N996" s="91"/>
      <x:c r="O996" s="91"/>
      <x:c r="P996" s="91"/>
      <x:c r="Q996" s="85"/>
      <x:c r="S996" s="86"/>
      <x:c r="T996" s="32"/>
    </x:row>
    <x:row r="997">
      <x:c r="A997" s="87"/>
      <x:c r="B997" s="88"/>
      <x:c r="D997" s="32"/>
      <x:c r="I997" s="74"/>
      <x:c r="J997" s="74"/>
      <x:c r="K997" s="74"/>
      <x:c r="L997" s="74"/>
      <x:c r="M997" s="91"/>
      <x:c r="N997" s="91"/>
      <x:c r="O997" s="91"/>
      <x:c r="P997" s="91"/>
      <x:c r="Q997" s="85"/>
      <x:c r="S997" s="86"/>
      <x:c r="T997" s="32"/>
    </x:row>
    <x:row r="998">
      <x:c r="A998" s="87"/>
      <x:c r="B998" s="88"/>
      <x:c r="D998" s="32"/>
      <x:c r="I998" s="74"/>
      <x:c r="J998" s="74"/>
      <x:c r="K998" s="74"/>
      <x:c r="L998" s="74"/>
      <x:c r="M998" s="91"/>
      <x:c r="N998" s="91"/>
      <x:c r="O998" s="91"/>
      <x:c r="P998" s="91"/>
      <x:c r="Q998" s="85"/>
      <x:c r="S998" s="86"/>
      <x:c r="T998" s="32"/>
    </x:row>
    <x:row r="999">
      <x:c r="A999" s="87"/>
      <x:c r="B999" s="88"/>
      <x:c r="D999" s="32"/>
      <x:c r="I999" s="74"/>
      <x:c r="J999" s="74"/>
      <x:c r="K999" s="74"/>
      <x:c r="L999" s="74"/>
      <x:c r="M999" s="91"/>
      <x:c r="N999" s="91"/>
      <x:c r="O999" s="91"/>
      <x:c r="P999" s="91"/>
      <x:c r="Q999" s="85"/>
      <x:c r="S999" s="86"/>
      <x:c r="T999" s="32"/>
    </x:row>
    <x:row r="1000">
      <x:c r="A1000" s="87"/>
      <x:c r="B1000" s="88"/>
      <x:c r="D1000" s="32"/>
      <x:c r="I1000" s="74"/>
      <x:c r="J1000" s="74"/>
      <x:c r="K1000" s="74"/>
      <x:c r="L1000" s="74"/>
      <x:c r="M1000" s="91"/>
      <x:c r="N1000" s="91"/>
      <x:c r="O1000" s="91"/>
      <x:c r="P1000" s="91"/>
      <x:c r="Q1000" s="85"/>
      <x:c r="S1000" s="86"/>
      <x:c r="T1000" s="32"/>
    </x:row>
    <x:row r="1001">
      <x:c r="A1001" s="87"/>
      <x:c r="B1001" s="88"/>
      <x:c r="D1001" s="32"/>
      <x:c r="I1001" s="74"/>
      <x:c r="J1001" s="74"/>
      <x:c r="K1001" s="74"/>
      <x:c r="L1001" s="74"/>
      <x:c r="M1001" s="91"/>
      <x:c r="N1001" s="91"/>
      <x:c r="O1001" s="91"/>
      <x:c r="P1001" s="91"/>
      <x:c r="Q1001" s="85"/>
      <x:c r="S1001" s="86"/>
      <x:c r="T1001" s="32"/>
    </x:row>
    <x:row r="1002">
      <x:c r="A1002" s="87"/>
      <x:c r="B1002" s="88"/>
      <x:c r="D1002" s="32"/>
      <x:c r="I1002" s="74"/>
      <x:c r="J1002" s="74"/>
      <x:c r="K1002" s="74"/>
      <x:c r="L1002" s="74"/>
      <x:c r="M1002" s="91"/>
      <x:c r="N1002" s="91"/>
      <x:c r="O1002" s="91"/>
      <x:c r="P1002" s="91"/>
      <x:c r="Q1002" s="85"/>
      <x:c r="S1002" s="86"/>
      <x:c r="T1002" s="32"/>
    </x:row>
    <x:row r="1003">
      <x:c r="A1003" s="87"/>
      <x:c r="B1003" s="88"/>
      <x:c r="D1003" s="32"/>
      <x:c r="I1003" s="74"/>
      <x:c r="J1003" s="74"/>
      <x:c r="K1003" s="74"/>
      <x:c r="L1003" s="74"/>
      <x:c r="M1003" s="91"/>
      <x:c r="N1003" s="91"/>
      <x:c r="O1003" s="91"/>
      <x:c r="P1003" s="91"/>
      <x:c r="Q1003" s="85"/>
      <x:c r="S1003" s="86"/>
      <x:c r="T1003" s="32"/>
    </x:row>
    <x:row r="1004">
      <x:c r="A1004" s="87"/>
      <x:c r="B1004" s="88"/>
      <x:c r="D1004" s="32"/>
      <x:c r="I1004" s="74"/>
      <x:c r="J1004" s="74"/>
      <x:c r="K1004" s="74"/>
      <x:c r="L1004" s="74"/>
      <x:c r="M1004" s="91"/>
      <x:c r="N1004" s="91"/>
      <x:c r="O1004" s="91"/>
      <x:c r="P1004" s="91"/>
      <x:c r="Q1004" s="85"/>
      <x:c r="S1004" s="86"/>
      <x:c r="T1004" s="32"/>
    </x:row>
    <x:row r="1005">
      <x:c r="A1005" s="87"/>
      <x:c r="B1005" s="88"/>
      <x:c r="D1005" s="32"/>
      <x:c r="I1005" s="74"/>
      <x:c r="J1005" s="74"/>
      <x:c r="K1005" s="74"/>
      <x:c r="L1005" s="74"/>
      <x:c r="M1005" s="91"/>
      <x:c r="N1005" s="91"/>
      <x:c r="O1005" s="91"/>
      <x:c r="P1005" s="91"/>
      <x:c r="Q1005" s="85"/>
      <x:c r="S1005" s="86"/>
      <x:c r="T1005" s="32"/>
    </x:row>
    <x:row r="1006">
      <x:c r="A1006" s="87"/>
      <x:c r="B1006" s="88"/>
      <x:c r="D1006" s="32"/>
      <x:c r="I1006" s="74"/>
      <x:c r="J1006" s="74"/>
      <x:c r="K1006" s="74"/>
      <x:c r="L1006" s="74"/>
      <x:c r="M1006" s="91"/>
      <x:c r="N1006" s="91"/>
      <x:c r="O1006" s="91"/>
      <x:c r="P1006" s="91"/>
      <x:c r="Q1006" s="85"/>
      <x:c r="S1006" s="86"/>
      <x:c r="T1006" s="32"/>
    </x:row>
    <x:row r="1007">
      <x:c r="A1007" s="87"/>
      <x:c r="B1007" s="88"/>
      <x:c r="D1007" s="32"/>
      <x:c r="I1007" s="74"/>
      <x:c r="J1007" s="74"/>
      <x:c r="K1007" s="74"/>
      <x:c r="L1007" s="74"/>
      <x:c r="M1007" s="91"/>
      <x:c r="N1007" s="91"/>
      <x:c r="O1007" s="91"/>
      <x:c r="P1007" s="91"/>
      <x:c r="Q1007" s="85"/>
      <x:c r="S1007" s="86"/>
      <x:c r="T1007" s="32"/>
    </x:row>
    <x:row r="1008">
      <x:c r="A1008" s="87"/>
      <x:c r="B1008" s="88"/>
      <x:c r="D1008" s="32"/>
      <x:c r="I1008" s="74"/>
      <x:c r="J1008" s="74"/>
      <x:c r="K1008" s="74"/>
      <x:c r="L1008" s="74"/>
      <x:c r="M1008" s="91"/>
      <x:c r="N1008" s="91"/>
      <x:c r="O1008" s="91"/>
      <x:c r="P1008" s="91"/>
      <x:c r="Q1008" s="85"/>
      <x:c r="S1008" s="86"/>
      <x:c r="T1008" s="32"/>
    </x:row>
    <x:row r="1009">
      <x:c r="A1009" s="87"/>
      <x:c r="B1009" s="88"/>
      <x:c r="D1009" s="32"/>
      <x:c r="I1009" s="74"/>
      <x:c r="J1009" s="74"/>
      <x:c r="K1009" s="74"/>
      <x:c r="L1009" s="74"/>
      <x:c r="M1009" s="91"/>
      <x:c r="N1009" s="91"/>
      <x:c r="O1009" s="91"/>
      <x:c r="P1009" s="91"/>
      <x:c r="Q1009" s="85"/>
      <x:c r="S1009" s="86"/>
      <x:c r="T1009" s="32"/>
    </x:row>
    <x:row r="1010">
      <x:c r="A1010" s="87"/>
      <x:c r="B1010" s="88"/>
      <x:c r="D1010" s="32"/>
      <x:c r="I1010" s="74"/>
      <x:c r="J1010" s="74"/>
      <x:c r="K1010" s="74"/>
      <x:c r="L1010" s="74"/>
      <x:c r="M1010" s="91"/>
      <x:c r="N1010" s="91"/>
      <x:c r="O1010" s="91"/>
      <x:c r="P1010" s="91"/>
      <x:c r="Q1010" s="85"/>
      <x:c r="S1010" s="86"/>
      <x:c r="T1010" s="32"/>
    </x:row>
    <x:row r="1011">
      <x:c r="A1011" s="87"/>
      <x:c r="B1011" s="88"/>
      <x:c r="D1011" s="32"/>
      <x:c r="I1011" s="74"/>
      <x:c r="J1011" s="74"/>
      <x:c r="K1011" s="74"/>
      <x:c r="L1011" s="74"/>
      <x:c r="M1011" s="91"/>
      <x:c r="N1011" s="91"/>
      <x:c r="O1011" s="91"/>
      <x:c r="P1011" s="91"/>
      <x:c r="Q1011" s="85"/>
      <x:c r="S1011" s="86"/>
      <x:c r="T1011" s="32"/>
    </x:row>
    <x:row r="1012">
      <x:c r="A1012" s="87"/>
      <x:c r="B1012" s="88"/>
      <x:c r="D1012" s="32"/>
      <x:c r="I1012" s="74"/>
      <x:c r="J1012" s="74"/>
      <x:c r="K1012" s="74"/>
      <x:c r="L1012" s="74"/>
      <x:c r="M1012" s="91"/>
      <x:c r="N1012" s="91"/>
      <x:c r="O1012" s="91"/>
      <x:c r="P1012" s="91"/>
      <x:c r="Q1012" s="85"/>
      <x:c r="S1012" s="86"/>
      <x:c r="T1012" s="32"/>
    </x:row>
    <x:row r="1013">
      <x:c r="A1013" s="87"/>
      <x:c r="B1013" s="88"/>
      <x:c r="D1013" s="32"/>
      <x:c r="I1013" s="74"/>
      <x:c r="J1013" s="74"/>
      <x:c r="K1013" s="74"/>
      <x:c r="L1013" s="74"/>
      <x:c r="M1013" s="91"/>
      <x:c r="N1013" s="91"/>
      <x:c r="O1013" s="91"/>
      <x:c r="P1013" s="91"/>
      <x:c r="Q1013" s="85"/>
      <x:c r="S1013" s="86"/>
      <x:c r="T1013" s="32"/>
    </x:row>
    <x:row r="1014">
      <x:c r="A1014" s="87"/>
      <x:c r="B1014" s="88"/>
      <x:c r="D1014" s="32"/>
      <x:c r="I1014" s="74"/>
      <x:c r="J1014" s="74"/>
      <x:c r="K1014" s="74"/>
      <x:c r="L1014" s="74"/>
      <x:c r="M1014" s="91"/>
      <x:c r="N1014" s="91"/>
      <x:c r="O1014" s="91"/>
      <x:c r="P1014" s="91"/>
      <x:c r="Q1014" s="85"/>
      <x:c r="S1014" s="86"/>
      <x:c r="T1014" s="32"/>
    </x:row>
    <x:row r="1015">
      <x:c r="A1015" s="87"/>
      <x:c r="B1015" s="88"/>
      <x:c r="D1015" s="32"/>
      <x:c r="I1015" s="74"/>
      <x:c r="J1015" s="74"/>
      <x:c r="K1015" s="74"/>
      <x:c r="L1015" s="74"/>
      <x:c r="M1015" s="91"/>
      <x:c r="N1015" s="91"/>
      <x:c r="O1015" s="91"/>
      <x:c r="P1015" s="91"/>
      <x:c r="Q1015" s="85"/>
      <x:c r="S1015" s="86"/>
      <x:c r="T1015" s="32"/>
    </x:row>
    <x:row r="1016">
      <x:c r="A1016" s="87"/>
      <x:c r="B1016" s="88"/>
      <x:c r="D1016" s="32"/>
      <x:c r="I1016" s="74"/>
      <x:c r="J1016" s="74"/>
      <x:c r="K1016" s="74"/>
      <x:c r="L1016" s="74"/>
      <x:c r="M1016" s="91"/>
      <x:c r="N1016" s="91"/>
      <x:c r="O1016" s="91"/>
      <x:c r="P1016" s="91"/>
      <x:c r="Q1016" s="85"/>
      <x:c r="S1016" s="86"/>
      <x:c r="T1016" s="32"/>
    </x:row>
    <x:row r="1017">
      <x:c r="A1017" s="87"/>
      <x:c r="B1017" s="88"/>
      <x:c r="D1017" s="32"/>
      <x:c r="I1017" s="74"/>
      <x:c r="J1017" s="74"/>
      <x:c r="K1017" s="74"/>
      <x:c r="L1017" s="74"/>
      <x:c r="M1017" s="91"/>
      <x:c r="N1017" s="91"/>
      <x:c r="O1017" s="91"/>
      <x:c r="P1017" s="91"/>
      <x:c r="Q1017" s="85"/>
      <x:c r="S1017" s="86"/>
      <x:c r="T1017" s="32"/>
    </x:row>
    <x:row r="1018">
      <x:c r="A1018" s="87"/>
      <x:c r="B1018" s="88"/>
      <x:c r="D1018" s="32"/>
      <x:c r="I1018" s="74"/>
      <x:c r="J1018" s="74"/>
      <x:c r="K1018" s="74"/>
      <x:c r="L1018" s="74"/>
      <x:c r="M1018" s="91"/>
      <x:c r="N1018" s="91"/>
      <x:c r="O1018" s="91"/>
      <x:c r="P1018" s="91"/>
      <x:c r="Q1018" s="85"/>
      <x:c r="S1018" s="86"/>
      <x:c r="T1018" s="32"/>
    </x:row>
    <x:row r="1019">
      <x:c r="A1019" s="87"/>
      <x:c r="B1019" s="88"/>
      <x:c r="D1019" s="32"/>
      <x:c r="I1019" s="74"/>
      <x:c r="J1019" s="74"/>
      <x:c r="K1019" s="74"/>
      <x:c r="L1019" s="74"/>
      <x:c r="M1019" s="91"/>
      <x:c r="N1019" s="91"/>
      <x:c r="O1019" s="91"/>
      <x:c r="P1019" s="91"/>
      <x:c r="Q1019" s="85"/>
      <x:c r="S1019" s="86"/>
      <x:c r="T1019" s="32"/>
    </x:row>
    <x:row r="1020">
      <x:c r="A1020" s="87"/>
      <x:c r="B1020" s="88"/>
      <x:c r="D1020" s="32"/>
      <x:c r="I1020" s="74"/>
      <x:c r="J1020" s="74"/>
      <x:c r="K1020" s="74"/>
      <x:c r="L1020" s="74"/>
      <x:c r="M1020" s="91"/>
      <x:c r="N1020" s="91"/>
      <x:c r="O1020" s="91"/>
      <x:c r="P1020" s="91"/>
      <x:c r="Q1020" s="85"/>
      <x:c r="S1020" s="86"/>
      <x:c r="T1020" s="32"/>
    </x:row>
    <x:row r="1021">
      <x:c r="A1021" s="87"/>
      <x:c r="B1021" s="88"/>
      <x:c r="D1021" s="32"/>
      <x:c r="I1021" s="74"/>
      <x:c r="J1021" s="74"/>
      <x:c r="K1021" s="74"/>
      <x:c r="L1021" s="74"/>
      <x:c r="M1021" s="91"/>
      <x:c r="N1021" s="91"/>
      <x:c r="O1021" s="91"/>
      <x:c r="P1021" s="91"/>
      <x:c r="Q1021" s="85"/>
      <x:c r="S1021" s="86"/>
      <x:c r="T1021" s="32"/>
    </x:row>
    <x:row r="1022">
      <x:c r="A1022" s="87"/>
      <x:c r="B1022" s="88"/>
      <x:c r="D1022" s="32"/>
      <x:c r="I1022" s="74"/>
      <x:c r="J1022" s="74"/>
      <x:c r="K1022" s="74"/>
      <x:c r="L1022" s="74"/>
      <x:c r="M1022" s="91"/>
      <x:c r="N1022" s="91"/>
      <x:c r="O1022" s="91"/>
      <x:c r="P1022" s="91"/>
      <x:c r="Q1022" s="85"/>
      <x:c r="S1022" s="86"/>
      <x:c r="T1022" s="32"/>
    </x:row>
    <x:row r="1023">
      <x:c r="A1023" s="87"/>
      <x:c r="B1023" s="88"/>
      <x:c r="D1023" s="32"/>
      <x:c r="I1023" s="74"/>
      <x:c r="J1023" s="74"/>
      <x:c r="K1023" s="74"/>
      <x:c r="L1023" s="74"/>
      <x:c r="M1023" s="91"/>
      <x:c r="N1023" s="91"/>
      <x:c r="O1023" s="91"/>
      <x:c r="P1023" s="91"/>
      <x:c r="Q1023" s="85"/>
      <x:c r="S1023" s="86"/>
      <x:c r="T1023" s="32"/>
    </x:row>
    <x:row r="1024">
      <x:c r="A1024" s="87"/>
      <x:c r="B1024" s="88"/>
      <x:c r="D1024" s="32"/>
      <x:c r="I1024" s="74"/>
      <x:c r="J1024" s="74"/>
      <x:c r="K1024" s="74"/>
      <x:c r="L1024" s="74"/>
      <x:c r="M1024" s="91"/>
      <x:c r="N1024" s="91"/>
      <x:c r="O1024" s="91"/>
      <x:c r="P1024" s="91"/>
      <x:c r="Q1024" s="85"/>
      <x:c r="S1024" s="86"/>
      <x:c r="T1024" s="32"/>
    </x:row>
    <x:row r="1025">
      <x:c r="A1025" s="87"/>
      <x:c r="B1025" s="88"/>
      <x:c r="D1025" s="32"/>
      <x:c r="I1025" s="74"/>
      <x:c r="J1025" s="74"/>
      <x:c r="K1025" s="74"/>
      <x:c r="L1025" s="74"/>
      <x:c r="M1025" s="91"/>
      <x:c r="N1025" s="91"/>
      <x:c r="O1025" s="91"/>
      <x:c r="P1025" s="91"/>
      <x:c r="Q1025" s="85"/>
      <x:c r="S1025" s="86"/>
      <x:c r="T1025" s="32"/>
    </x:row>
    <x:row r="1026">
      <x:c r="A1026" s="87"/>
      <x:c r="B1026" s="88"/>
      <x:c r="D1026" s="32"/>
      <x:c r="I1026" s="74"/>
      <x:c r="J1026" s="74"/>
      <x:c r="K1026" s="74"/>
      <x:c r="L1026" s="74"/>
      <x:c r="M1026" s="91"/>
      <x:c r="N1026" s="91"/>
      <x:c r="O1026" s="91"/>
      <x:c r="P1026" s="91"/>
      <x:c r="Q1026" s="85"/>
      <x:c r="S1026" s="86"/>
      <x:c r="T1026" s="32"/>
    </x:row>
    <x:row r="1027">
      <x:c r="A1027" s="87"/>
      <x:c r="B1027" s="88"/>
      <x:c r="D1027" s="32"/>
      <x:c r="I1027" s="74"/>
      <x:c r="J1027" s="74"/>
      <x:c r="K1027" s="74"/>
      <x:c r="L1027" s="74"/>
      <x:c r="M1027" s="91"/>
      <x:c r="N1027" s="91"/>
      <x:c r="O1027" s="91"/>
      <x:c r="P1027" s="91"/>
      <x:c r="Q1027" s="85"/>
      <x:c r="S1027" s="86"/>
      <x:c r="T1027" s="32"/>
    </x:row>
    <x:row r="1028">
      <x:c r="A1028" s="87"/>
      <x:c r="B1028" s="88"/>
      <x:c r="D1028" s="32"/>
      <x:c r="I1028" s="74"/>
      <x:c r="J1028" s="74"/>
      <x:c r="K1028" s="74"/>
      <x:c r="L1028" s="74"/>
      <x:c r="M1028" s="91"/>
      <x:c r="N1028" s="91"/>
      <x:c r="O1028" s="91"/>
      <x:c r="P1028" s="91"/>
      <x:c r="Q1028" s="85"/>
      <x:c r="S1028" s="86"/>
      <x:c r="T1028" s="32"/>
    </x:row>
    <x:row r="1029">
      <x:c r="A1029" s="87"/>
      <x:c r="B1029" s="88"/>
      <x:c r="D1029" s="32"/>
      <x:c r="I1029" s="74"/>
      <x:c r="J1029" s="74"/>
      <x:c r="K1029" s="74"/>
      <x:c r="L1029" s="74"/>
      <x:c r="M1029" s="91"/>
      <x:c r="N1029" s="91"/>
      <x:c r="O1029" s="91"/>
      <x:c r="P1029" s="91"/>
      <x:c r="Q1029" s="85"/>
      <x:c r="S1029" s="86"/>
      <x:c r="T1029" s="32"/>
    </x:row>
    <x:row r="1030">
      <x:c r="A1030" s="87"/>
      <x:c r="B1030" s="88"/>
      <x:c r="D1030" s="32"/>
      <x:c r="I1030" s="74"/>
      <x:c r="J1030" s="74"/>
      <x:c r="K1030" s="74"/>
      <x:c r="L1030" s="74"/>
      <x:c r="M1030" s="91"/>
      <x:c r="N1030" s="91"/>
      <x:c r="O1030" s="91"/>
      <x:c r="P1030" s="91"/>
      <x:c r="Q1030" s="85"/>
      <x:c r="S1030" s="86"/>
      <x:c r="T1030" s="32"/>
    </x:row>
    <x:row r="1031">
      <x:c r="A1031" s="87"/>
      <x:c r="B1031" s="88"/>
      <x:c r="D1031" s="32"/>
      <x:c r="I1031" s="74"/>
      <x:c r="J1031" s="74"/>
      <x:c r="K1031" s="74"/>
      <x:c r="L1031" s="74"/>
      <x:c r="M1031" s="91"/>
      <x:c r="N1031" s="91"/>
      <x:c r="O1031" s="91"/>
      <x:c r="P1031" s="91"/>
      <x:c r="Q1031" s="85"/>
      <x:c r="S1031" s="86"/>
      <x:c r="T1031" s="32"/>
    </x:row>
    <x:row r="1032">
      <x:c r="A1032" s="87"/>
      <x:c r="B1032" s="88"/>
      <x:c r="D1032" s="32"/>
      <x:c r="I1032" s="74"/>
      <x:c r="J1032" s="74"/>
      <x:c r="K1032" s="74"/>
      <x:c r="L1032" s="74"/>
      <x:c r="M1032" s="91"/>
      <x:c r="N1032" s="91"/>
      <x:c r="O1032" s="91"/>
      <x:c r="P1032" s="91"/>
      <x:c r="Q1032" s="85"/>
      <x:c r="S1032" s="86"/>
      <x:c r="T1032" s="32"/>
    </x:row>
    <x:row r="1033">
      <x:c r="A1033" s="87"/>
      <x:c r="B1033" s="88"/>
      <x:c r="D1033" s="32"/>
      <x:c r="I1033" s="74"/>
      <x:c r="J1033" s="74"/>
      <x:c r="K1033" s="74"/>
      <x:c r="L1033" s="74"/>
      <x:c r="M1033" s="91"/>
      <x:c r="N1033" s="91"/>
      <x:c r="O1033" s="91"/>
      <x:c r="P1033" s="91"/>
      <x:c r="Q1033" s="85"/>
      <x:c r="S1033" s="86"/>
      <x:c r="T1033" s="32"/>
    </x:row>
    <x:row r="1034">
      <x:c r="A1034" s="87"/>
      <x:c r="B1034" s="88"/>
      <x:c r="D1034" s="32"/>
      <x:c r="I1034" s="74"/>
      <x:c r="J1034" s="74"/>
      <x:c r="K1034" s="74"/>
      <x:c r="L1034" s="74"/>
      <x:c r="M1034" s="91"/>
      <x:c r="N1034" s="91"/>
      <x:c r="O1034" s="91"/>
      <x:c r="P1034" s="91"/>
      <x:c r="Q1034" s="85"/>
      <x:c r="S1034" s="86"/>
      <x:c r="T1034" s="32"/>
    </x:row>
    <x:row r="1035">
      <x:c r="A1035" s="87"/>
      <x:c r="B1035" s="88"/>
      <x:c r="D1035" s="32"/>
      <x:c r="I1035" s="74"/>
      <x:c r="J1035" s="74"/>
      <x:c r="K1035" s="74"/>
      <x:c r="L1035" s="74"/>
      <x:c r="M1035" s="91"/>
      <x:c r="N1035" s="91"/>
      <x:c r="O1035" s="91"/>
      <x:c r="P1035" s="91"/>
      <x:c r="Q1035" s="85"/>
      <x:c r="S1035" s="86"/>
      <x:c r="T1035" s="32"/>
    </x:row>
    <x:row r="1036">
      <x:c r="A1036" s="87"/>
      <x:c r="B1036" s="88"/>
      <x:c r="D1036" s="32"/>
      <x:c r="I1036" s="74"/>
      <x:c r="J1036" s="74"/>
      <x:c r="K1036" s="74"/>
      <x:c r="L1036" s="74"/>
      <x:c r="M1036" s="91"/>
      <x:c r="N1036" s="91"/>
      <x:c r="O1036" s="91"/>
      <x:c r="P1036" s="91"/>
      <x:c r="Q1036" s="85"/>
      <x:c r="S1036" s="86"/>
      <x:c r="T1036" s="32"/>
    </x:row>
    <x:row r="1037">
      <x:c r="A1037" s="87"/>
      <x:c r="B1037" s="88"/>
      <x:c r="D1037" s="32"/>
      <x:c r="I1037" s="74"/>
      <x:c r="J1037" s="74"/>
      <x:c r="K1037" s="74"/>
      <x:c r="L1037" s="74"/>
      <x:c r="M1037" s="91"/>
      <x:c r="N1037" s="91"/>
      <x:c r="O1037" s="91"/>
      <x:c r="P1037" s="91"/>
      <x:c r="Q1037" s="85"/>
      <x:c r="S1037" s="86"/>
      <x:c r="T1037" s="32"/>
    </x:row>
    <x:row r="1038">
      <x:c r="A1038" s="87"/>
      <x:c r="B1038" s="88"/>
      <x:c r="D1038" s="32"/>
      <x:c r="I1038" s="74"/>
      <x:c r="J1038" s="74"/>
      <x:c r="K1038" s="74"/>
      <x:c r="L1038" s="74"/>
      <x:c r="M1038" s="91"/>
      <x:c r="N1038" s="91"/>
      <x:c r="O1038" s="91"/>
      <x:c r="P1038" s="91"/>
      <x:c r="Q1038" s="85"/>
      <x:c r="S1038" s="86"/>
      <x:c r="T1038" s="32"/>
    </x:row>
    <x:row r="1039">
      <x:c r="A1039" s="87"/>
      <x:c r="B1039" s="88"/>
      <x:c r="D1039" s="32"/>
      <x:c r="I1039" s="74"/>
      <x:c r="J1039" s="74"/>
      <x:c r="K1039" s="74"/>
      <x:c r="L1039" s="74"/>
      <x:c r="M1039" s="91"/>
      <x:c r="N1039" s="91"/>
      <x:c r="O1039" s="91"/>
      <x:c r="P1039" s="91"/>
      <x:c r="Q1039" s="85"/>
      <x:c r="S1039" s="86"/>
      <x:c r="T1039" s="32"/>
    </x:row>
    <x:row r="1040">
      <x:c r="A1040" s="87"/>
      <x:c r="B1040" s="88"/>
      <x:c r="D1040" s="32"/>
      <x:c r="I1040" s="74"/>
      <x:c r="J1040" s="74"/>
      <x:c r="K1040" s="74"/>
      <x:c r="L1040" s="74"/>
      <x:c r="M1040" s="91"/>
      <x:c r="N1040" s="91"/>
      <x:c r="O1040" s="91"/>
      <x:c r="P1040" s="91"/>
      <x:c r="Q1040" s="85"/>
      <x:c r="S1040" s="86"/>
      <x:c r="T1040" s="32"/>
    </x:row>
    <x:row r="1041">
      <x:c r="A1041" s="87"/>
      <x:c r="B1041" s="88"/>
      <x:c r="D1041" s="32"/>
      <x:c r="I1041" s="74"/>
      <x:c r="J1041" s="74"/>
      <x:c r="K1041" s="74"/>
      <x:c r="L1041" s="74"/>
      <x:c r="M1041" s="91"/>
      <x:c r="N1041" s="91"/>
      <x:c r="O1041" s="91"/>
      <x:c r="P1041" s="91"/>
      <x:c r="Q1041" s="85"/>
      <x:c r="S1041" s="86"/>
      <x:c r="T1041" s="32"/>
    </x:row>
    <x:row r="1042">
      <x:c r="A1042" s="87"/>
      <x:c r="B1042" s="88"/>
      <x:c r="D1042" s="32"/>
      <x:c r="I1042" s="74"/>
      <x:c r="J1042" s="74"/>
      <x:c r="K1042" s="74"/>
      <x:c r="L1042" s="74"/>
      <x:c r="M1042" s="91"/>
      <x:c r="N1042" s="91"/>
      <x:c r="O1042" s="91"/>
      <x:c r="P1042" s="91"/>
      <x:c r="Q1042" s="85"/>
      <x:c r="S1042" s="86"/>
      <x:c r="T1042" s="32"/>
    </x:row>
    <x:row r="1043">
      <x:c r="A1043" s="87"/>
      <x:c r="B1043" s="88"/>
      <x:c r="D1043" s="32"/>
      <x:c r="I1043" s="74"/>
      <x:c r="J1043" s="74"/>
      <x:c r="K1043" s="74"/>
      <x:c r="L1043" s="74"/>
      <x:c r="M1043" s="91"/>
      <x:c r="N1043" s="91"/>
      <x:c r="O1043" s="91"/>
      <x:c r="P1043" s="91"/>
      <x:c r="Q1043" s="85"/>
      <x:c r="S1043" s="86"/>
      <x:c r="T1043" s="32"/>
    </x:row>
    <x:row r="1044">
      <x:c r="A1044" s="87"/>
      <x:c r="B1044" s="88"/>
      <x:c r="D1044" s="32"/>
      <x:c r="I1044" s="74"/>
      <x:c r="J1044" s="74"/>
      <x:c r="K1044" s="74"/>
      <x:c r="L1044" s="74"/>
      <x:c r="M1044" s="91"/>
      <x:c r="N1044" s="91"/>
      <x:c r="O1044" s="91"/>
      <x:c r="P1044" s="91"/>
      <x:c r="Q1044" s="85"/>
      <x:c r="S1044" s="86"/>
      <x:c r="T1044" s="32"/>
    </x:row>
    <x:row r="1045">
      <x:c r="A1045" s="87"/>
      <x:c r="B1045" s="88"/>
      <x:c r="D1045" s="32"/>
      <x:c r="I1045" s="74"/>
      <x:c r="J1045" s="74"/>
      <x:c r="K1045" s="74"/>
      <x:c r="L1045" s="74"/>
      <x:c r="M1045" s="91"/>
      <x:c r="N1045" s="91"/>
      <x:c r="O1045" s="91"/>
      <x:c r="P1045" s="91"/>
      <x:c r="Q1045" s="85"/>
      <x:c r="S1045" s="86"/>
      <x:c r="T1045" s="32"/>
    </x:row>
    <x:row r="1046">
      <x:c r="A1046" s="87"/>
      <x:c r="B1046" s="88"/>
      <x:c r="D1046" s="32"/>
      <x:c r="I1046" s="74"/>
      <x:c r="J1046" s="74"/>
      <x:c r="K1046" s="74"/>
      <x:c r="L1046" s="74"/>
      <x:c r="M1046" s="91"/>
      <x:c r="N1046" s="91"/>
      <x:c r="O1046" s="91"/>
      <x:c r="P1046" s="91"/>
      <x:c r="Q1046" s="85"/>
      <x:c r="S1046" s="86"/>
      <x:c r="T1046" s="32"/>
    </x:row>
    <x:row r="1047">
      <x:c r="A1047" s="87"/>
      <x:c r="B1047" s="88"/>
      <x:c r="D1047" s="32"/>
      <x:c r="I1047" s="74"/>
      <x:c r="J1047" s="74"/>
      <x:c r="K1047" s="74"/>
      <x:c r="L1047" s="74"/>
      <x:c r="M1047" s="91"/>
      <x:c r="N1047" s="91"/>
      <x:c r="O1047" s="91"/>
      <x:c r="P1047" s="91"/>
      <x:c r="Q1047" s="85"/>
      <x:c r="S1047" s="86"/>
      <x:c r="T1047" s="32"/>
    </x:row>
    <x:row r="1048">
      <x:c r="A1048" s="87"/>
      <x:c r="B1048" s="88"/>
      <x:c r="D1048" s="32"/>
      <x:c r="I1048" s="74"/>
      <x:c r="J1048" s="74"/>
      <x:c r="K1048" s="74"/>
      <x:c r="L1048" s="74"/>
      <x:c r="M1048" s="91"/>
      <x:c r="N1048" s="91"/>
      <x:c r="O1048" s="91"/>
      <x:c r="P1048" s="91"/>
      <x:c r="Q1048" s="85"/>
      <x:c r="S1048" s="86"/>
      <x:c r="T1048" s="32"/>
    </x:row>
    <x:row r="1049">
      <x:c r="A1049" s="87"/>
      <x:c r="B1049" s="88"/>
      <x:c r="D1049" s="32"/>
      <x:c r="I1049" s="74"/>
      <x:c r="J1049" s="74"/>
      <x:c r="K1049" s="74"/>
      <x:c r="L1049" s="74"/>
      <x:c r="M1049" s="91"/>
      <x:c r="N1049" s="91"/>
      <x:c r="O1049" s="91"/>
      <x:c r="P1049" s="91"/>
      <x:c r="Q1049" s="85"/>
      <x:c r="S1049" s="86"/>
      <x:c r="T1049" s="32"/>
    </x:row>
    <x:row r="1050">
      <x:c r="A1050" s="87"/>
      <x:c r="B1050" s="88"/>
      <x:c r="D1050" s="32"/>
      <x:c r="I1050" s="74"/>
      <x:c r="J1050" s="74"/>
      <x:c r="K1050" s="74"/>
      <x:c r="L1050" s="74"/>
      <x:c r="M1050" s="91"/>
      <x:c r="N1050" s="91"/>
      <x:c r="O1050" s="91"/>
      <x:c r="P1050" s="91"/>
      <x:c r="Q1050" s="85"/>
      <x:c r="S1050" s="86"/>
      <x:c r="T1050" s="32"/>
    </x:row>
    <x:row r="1051">
      <x:c r="A1051" s="87"/>
      <x:c r="B1051" s="88"/>
      <x:c r="D1051" s="32"/>
      <x:c r="I1051" s="74"/>
      <x:c r="J1051" s="74"/>
      <x:c r="K1051" s="74"/>
      <x:c r="L1051" s="74"/>
      <x:c r="M1051" s="91"/>
      <x:c r="N1051" s="91"/>
      <x:c r="O1051" s="91"/>
      <x:c r="P1051" s="91"/>
      <x:c r="Q1051" s="85"/>
      <x:c r="S1051" s="86"/>
      <x:c r="T1051" s="32"/>
    </x:row>
    <x:row r="1052">
      <x:c r="A1052" s="87"/>
      <x:c r="B1052" s="88"/>
      <x:c r="D1052" s="32"/>
      <x:c r="I1052" s="74"/>
      <x:c r="J1052" s="74"/>
      <x:c r="K1052" s="74"/>
      <x:c r="L1052" s="74"/>
      <x:c r="M1052" s="91"/>
      <x:c r="N1052" s="91"/>
      <x:c r="O1052" s="91"/>
      <x:c r="P1052" s="91"/>
      <x:c r="Q1052" s="85"/>
      <x:c r="S1052" s="86"/>
      <x:c r="T1052" s="32"/>
    </x:row>
    <x:row r="1053">
      <x:c r="A1053" s="87"/>
      <x:c r="B1053" s="88"/>
      <x:c r="D1053" s="32"/>
      <x:c r="I1053" s="74"/>
      <x:c r="J1053" s="74"/>
      <x:c r="K1053" s="74"/>
      <x:c r="L1053" s="74"/>
      <x:c r="M1053" s="91"/>
      <x:c r="N1053" s="91"/>
      <x:c r="O1053" s="91"/>
      <x:c r="P1053" s="91"/>
      <x:c r="Q1053" s="85"/>
      <x:c r="S1053" s="86"/>
      <x:c r="T1053" s="32"/>
    </x:row>
    <x:row r="1054">
      <x:c r="A1054" s="87"/>
      <x:c r="B1054" s="88"/>
      <x:c r="D1054" s="32"/>
      <x:c r="I1054" s="74"/>
      <x:c r="J1054" s="74"/>
      <x:c r="K1054" s="74"/>
      <x:c r="L1054" s="74"/>
      <x:c r="M1054" s="91"/>
      <x:c r="N1054" s="91"/>
      <x:c r="O1054" s="91"/>
      <x:c r="P1054" s="91"/>
      <x:c r="Q1054" s="85"/>
      <x:c r="S1054" s="86"/>
      <x:c r="T1054" s="32"/>
    </x:row>
    <x:row r="1055">
      <x:c r="A1055" s="87"/>
      <x:c r="B1055" s="88"/>
      <x:c r="D1055" s="32"/>
      <x:c r="I1055" s="74"/>
      <x:c r="J1055" s="74"/>
      <x:c r="K1055" s="74"/>
      <x:c r="L1055" s="74"/>
      <x:c r="M1055" s="91"/>
      <x:c r="N1055" s="91"/>
      <x:c r="O1055" s="91"/>
      <x:c r="P1055" s="91"/>
      <x:c r="Q1055" s="85"/>
      <x:c r="S1055" s="86"/>
      <x:c r="T1055" s="32"/>
    </x:row>
    <x:row r="1056">
      <x:c r="A1056" s="87"/>
      <x:c r="B1056" s="88"/>
      <x:c r="D1056" s="32"/>
      <x:c r="I1056" s="74"/>
      <x:c r="J1056" s="74"/>
      <x:c r="K1056" s="74"/>
      <x:c r="L1056" s="74"/>
      <x:c r="M1056" s="91"/>
      <x:c r="N1056" s="91"/>
      <x:c r="O1056" s="91"/>
      <x:c r="P1056" s="91"/>
      <x:c r="Q1056" s="85"/>
      <x:c r="S1056" s="86"/>
      <x:c r="T1056" s="32"/>
    </x:row>
    <x:row r="1057">
      <x:c r="A1057" s="87"/>
      <x:c r="B1057" s="88"/>
      <x:c r="D1057" s="32"/>
      <x:c r="I1057" s="74"/>
      <x:c r="J1057" s="74"/>
      <x:c r="K1057" s="74"/>
      <x:c r="L1057" s="74"/>
      <x:c r="M1057" s="91"/>
      <x:c r="N1057" s="91"/>
      <x:c r="O1057" s="91"/>
      <x:c r="P1057" s="91"/>
      <x:c r="Q1057" s="85"/>
      <x:c r="S1057" s="86"/>
      <x:c r="T1057" s="32"/>
    </x:row>
    <x:row r="1058">
      <x:c r="A1058" s="87"/>
      <x:c r="B1058" s="88"/>
      <x:c r="D1058" s="32"/>
      <x:c r="I1058" s="74"/>
      <x:c r="J1058" s="74"/>
      <x:c r="K1058" s="74"/>
      <x:c r="L1058" s="74"/>
      <x:c r="M1058" s="91"/>
      <x:c r="N1058" s="91"/>
      <x:c r="O1058" s="91"/>
      <x:c r="P1058" s="91"/>
      <x:c r="Q1058" s="85"/>
      <x:c r="S1058" s="86"/>
      <x:c r="T1058" s="32"/>
    </x:row>
    <x:row r="1059">
      <x:c r="A1059" s="87"/>
      <x:c r="B1059" s="88"/>
      <x:c r="D1059" s="32"/>
      <x:c r="I1059" s="74"/>
      <x:c r="J1059" s="74"/>
      <x:c r="K1059" s="74"/>
      <x:c r="L1059" s="74"/>
      <x:c r="M1059" s="91"/>
      <x:c r="N1059" s="91"/>
      <x:c r="O1059" s="91"/>
      <x:c r="P1059" s="91"/>
      <x:c r="Q1059" s="85"/>
      <x:c r="S1059" s="86"/>
      <x:c r="T1059" s="32"/>
    </x:row>
    <x:row r="1060">
      <x:c r="A1060" s="87"/>
      <x:c r="B1060" s="88"/>
      <x:c r="D1060" s="32"/>
      <x:c r="I1060" s="74"/>
      <x:c r="J1060" s="74"/>
      <x:c r="K1060" s="74"/>
      <x:c r="L1060" s="74"/>
      <x:c r="M1060" s="91"/>
      <x:c r="N1060" s="91"/>
      <x:c r="O1060" s="91"/>
      <x:c r="P1060" s="91"/>
      <x:c r="Q1060" s="85"/>
      <x:c r="S1060" s="86"/>
      <x:c r="T1060" s="32"/>
    </x:row>
    <x:row r="1061">
      <x:c r="A1061" s="87"/>
      <x:c r="B1061" s="88"/>
      <x:c r="D1061" s="32"/>
      <x:c r="I1061" s="74"/>
      <x:c r="J1061" s="74"/>
      <x:c r="K1061" s="74"/>
      <x:c r="L1061" s="74"/>
      <x:c r="M1061" s="91"/>
      <x:c r="N1061" s="91"/>
      <x:c r="O1061" s="91"/>
      <x:c r="P1061" s="91"/>
      <x:c r="Q1061" s="85"/>
      <x:c r="S1061" s="86"/>
      <x:c r="T1061" s="32"/>
    </x:row>
    <x:row r="1062">
      <x:c r="A1062" s="87"/>
      <x:c r="B1062" s="88"/>
      <x:c r="D1062" s="32"/>
      <x:c r="I1062" s="74"/>
      <x:c r="J1062" s="74"/>
      <x:c r="K1062" s="74"/>
      <x:c r="L1062" s="74"/>
      <x:c r="M1062" s="91"/>
      <x:c r="N1062" s="91"/>
      <x:c r="O1062" s="91"/>
      <x:c r="P1062" s="91"/>
      <x:c r="Q1062" s="85"/>
      <x:c r="S1062" s="86"/>
      <x:c r="T1062" s="32"/>
    </x:row>
    <x:row r="1063">
      <x:c r="A1063" s="87"/>
      <x:c r="B1063" s="88"/>
      <x:c r="D1063" s="32"/>
      <x:c r="I1063" s="74"/>
      <x:c r="J1063" s="74"/>
      <x:c r="K1063" s="74"/>
      <x:c r="L1063" s="74"/>
      <x:c r="M1063" s="91"/>
      <x:c r="N1063" s="91"/>
      <x:c r="O1063" s="91"/>
      <x:c r="P1063" s="91"/>
      <x:c r="Q1063" s="85"/>
      <x:c r="S1063" s="86"/>
      <x:c r="T1063" s="32"/>
    </x:row>
    <x:row r="1064">
      <x:c r="A1064" s="87"/>
      <x:c r="B1064" s="88"/>
      <x:c r="D1064" s="32"/>
      <x:c r="I1064" s="74"/>
      <x:c r="J1064" s="74"/>
      <x:c r="K1064" s="74"/>
      <x:c r="L1064" s="74"/>
      <x:c r="M1064" s="91"/>
      <x:c r="N1064" s="91"/>
      <x:c r="O1064" s="91"/>
      <x:c r="P1064" s="91"/>
      <x:c r="Q1064" s="85"/>
      <x:c r="S1064" s="86"/>
      <x:c r="T1064" s="32"/>
    </x:row>
    <x:row r="1065">
      <x:c r="A1065" s="87"/>
      <x:c r="B1065" s="88"/>
      <x:c r="D1065" s="32"/>
      <x:c r="I1065" s="74"/>
      <x:c r="J1065" s="74"/>
      <x:c r="K1065" s="74"/>
      <x:c r="L1065" s="74"/>
      <x:c r="M1065" s="91"/>
      <x:c r="N1065" s="91"/>
      <x:c r="O1065" s="91"/>
      <x:c r="P1065" s="91"/>
      <x:c r="Q1065" s="85"/>
      <x:c r="S1065" s="86"/>
      <x:c r="T1065" s="32"/>
    </x:row>
    <x:row r="1066">
      <x:c r="A1066" s="87"/>
      <x:c r="B1066" s="88"/>
      <x:c r="D1066" s="32"/>
      <x:c r="I1066" s="74"/>
      <x:c r="J1066" s="74"/>
      <x:c r="K1066" s="74"/>
      <x:c r="L1066" s="74"/>
      <x:c r="M1066" s="91"/>
      <x:c r="N1066" s="91"/>
      <x:c r="O1066" s="91"/>
      <x:c r="P1066" s="91"/>
      <x:c r="Q1066" s="85"/>
      <x:c r="S1066" s="86"/>
      <x:c r="T1066" s="32"/>
    </x:row>
    <x:row r="1067">
      <x:c r="A1067" s="87"/>
      <x:c r="B1067" s="88"/>
      <x:c r="D1067" s="32"/>
      <x:c r="I1067" s="74"/>
      <x:c r="J1067" s="74"/>
      <x:c r="K1067" s="74"/>
      <x:c r="L1067" s="74"/>
      <x:c r="M1067" s="91"/>
      <x:c r="N1067" s="91"/>
      <x:c r="O1067" s="91"/>
      <x:c r="P1067" s="91"/>
      <x:c r="Q1067" s="85"/>
      <x:c r="S1067" s="86"/>
      <x:c r="T1067" s="32"/>
    </x:row>
    <x:row r="1068">
      <x:c r="A1068" s="87"/>
      <x:c r="B1068" s="88"/>
      <x:c r="D1068" s="32"/>
      <x:c r="I1068" s="74"/>
      <x:c r="J1068" s="74"/>
      <x:c r="K1068" s="74"/>
      <x:c r="L1068" s="74"/>
      <x:c r="M1068" s="91"/>
      <x:c r="N1068" s="91"/>
      <x:c r="O1068" s="91"/>
      <x:c r="P1068" s="91"/>
      <x:c r="Q1068" s="85"/>
      <x:c r="S1068" s="86"/>
      <x:c r="T1068" s="32"/>
    </x:row>
    <x:row r="1069">
      <x:c r="A1069" s="87"/>
      <x:c r="B1069" s="88"/>
      <x:c r="D1069" s="32"/>
      <x:c r="I1069" s="74"/>
      <x:c r="J1069" s="74"/>
      <x:c r="K1069" s="74"/>
      <x:c r="L1069" s="74"/>
      <x:c r="M1069" s="91"/>
      <x:c r="N1069" s="91"/>
      <x:c r="O1069" s="91"/>
      <x:c r="P1069" s="91"/>
      <x:c r="Q1069" s="85"/>
      <x:c r="S1069" s="86"/>
      <x:c r="T1069" s="32"/>
    </x:row>
    <x:row r="1070">
      <x:c r="A1070" s="87"/>
      <x:c r="B1070" s="88"/>
      <x:c r="D1070" s="32"/>
      <x:c r="I1070" s="74"/>
      <x:c r="J1070" s="74"/>
      <x:c r="K1070" s="74"/>
      <x:c r="L1070" s="74"/>
      <x:c r="M1070" s="91"/>
      <x:c r="N1070" s="91"/>
      <x:c r="O1070" s="91"/>
      <x:c r="P1070" s="91"/>
      <x:c r="Q1070" s="85"/>
      <x:c r="S1070" s="86"/>
      <x:c r="T1070" s="32"/>
    </x:row>
    <x:row r="1071">
      <x:c r="A1071" s="87"/>
      <x:c r="B1071" s="88"/>
      <x:c r="D1071" s="32"/>
      <x:c r="I1071" s="74"/>
      <x:c r="J1071" s="74"/>
      <x:c r="K1071" s="74"/>
      <x:c r="L1071" s="74"/>
      <x:c r="M1071" s="91"/>
      <x:c r="N1071" s="91"/>
      <x:c r="O1071" s="91"/>
      <x:c r="P1071" s="91"/>
      <x:c r="Q1071" s="85"/>
      <x:c r="S1071" s="86"/>
      <x:c r="T1071" s="32"/>
    </x:row>
    <x:row r="1072">
      <x:c r="A1072" s="87"/>
      <x:c r="B1072" s="88"/>
      <x:c r="D1072" s="32"/>
      <x:c r="I1072" s="74"/>
      <x:c r="J1072" s="74"/>
      <x:c r="K1072" s="74"/>
      <x:c r="L1072" s="74"/>
      <x:c r="M1072" s="91"/>
      <x:c r="N1072" s="91"/>
      <x:c r="O1072" s="91"/>
      <x:c r="P1072" s="91"/>
      <x:c r="Q1072" s="85"/>
      <x:c r="S1072" s="86"/>
      <x:c r="T1072" s="32"/>
    </x:row>
    <x:row r="1073">
      <x:c r="A1073" s="87"/>
      <x:c r="B1073" s="88"/>
      <x:c r="D1073" s="32"/>
      <x:c r="I1073" s="74"/>
      <x:c r="J1073" s="74"/>
      <x:c r="K1073" s="74"/>
      <x:c r="L1073" s="74"/>
      <x:c r="M1073" s="91"/>
      <x:c r="N1073" s="91"/>
      <x:c r="O1073" s="91"/>
      <x:c r="P1073" s="91"/>
      <x:c r="Q1073" s="85"/>
      <x:c r="S1073" s="86"/>
      <x:c r="T1073" s="32"/>
    </x:row>
    <x:row r="1074">
      <x:c r="A1074" s="87"/>
      <x:c r="B1074" s="88"/>
      <x:c r="D1074" s="32"/>
      <x:c r="I1074" s="74"/>
      <x:c r="J1074" s="74"/>
      <x:c r="K1074" s="74"/>
      <x:c r="L1074" s="74"/>
      <x:c r="M1074" s="91"/>
      <x:c r="N1074" s="91"/>
      <x:c r="O1074" s="91"/>
      <x:c r="P1074" s="91"/>
      <x:c r="Q1074" s="85"/>
      <x:c r="S1074" s="86"/>
      <x:c r="T1074" s="32"/>
    </x:row>
    <x:row r="1075">
      <x:c r="A1075" s="87"/>
      <x:c r="B1075" s="88"/>
      <x:c r="D1075" s="32"/>
      <x:c r="I1075" s="74"/>
      <x:c r="J1075" s="74"/>
      <x:c r="K1075" s="74"/>
      <x:c r="L1075" s="74"/>
      <x:c r="M1075" s="91"/>
      <x:c r="N1075" s="91"/>
      <x:c r="O1075" s="91"/>
      <x:c r="P1075" s="91"/>
      <x:c r="Q1075" s="85"/>
      <x:c r="S1075" s="86"/>
      <x:c r="T1075" s="32"/>
    </x:row>
    <x:row r="1076">
      <x:c r="A1076" s="87"/>
      <x:c r="B1076" s="88"/>
      <x:c r="D1076" s="32"/>
      <x:c r="I1076" s="74"/>
      <x:c r="J1076" s="74"/>
      <x:c r="K1076" s="74"/>
      <x:c r="L1076" s="74"/>
      <x:c r="M1076" s="91"/>
      <x:c r="N1076" s="91"/>
      <x:c r="O1076" s="91"/>
      <x:c r="P1076" s="91"/>
      <x:c r="Q1076" s="85"/>
      <x:c r="S1076" s="86"/>
      <x:c r="T1076" s="32"/>
    </x:row>
    <x:row r="1077">
      <x:c r="A1077" s="87"/>
      <x:c r="B1077" s="88"/>
      <x:c r="D1077" s="32"/>
      <x:c r="I1077" s="74"/>
      <x:c r="J1077" s="74"/>
      <x:c r="K1077" s="74"/>
      <x:c r="L1077" s="74"/>
      <x:c r="M1077" s="91"/>
      <x:c r="N1077" s="91"/>
      <x:c r="O1077" s="91"/>
      <x:c r="P1077" s="91"/>
      <x:c r="Q1077" s="85"/>
      <x:c r="S1077" s="86"/>
      <x:c r="T1077" s="32"/>
    </x:row>
    <x:row r="1078">
      <x:c r="A1078" s="87"/>
      <x:c r="B1078" s="88"/>
      <x:c r="D1078" s="32"/>
      <x:c r="I1078" s="74"/>
      <x:c r="J1078" s="74"/>
      <x:c r="K1078" s="74"/>
      <x:c r="L1078" s="74"/>
      <x:c r="M1078" s="91"/>
      <x:c r="N1078" s="91"/>
      <x:c r="O1078" s="91"/>
      <x:c r="P1078" s="91"/>
      <x:c r="Q1078" s="85"/>
      <x:c r="S1078" s="86"/>
      <x:c r="T1078" s="32"/>
    </x:row>
    <x:row r="1079">
      <x:c r="A1079" s="87"/>
      <x:c r="B1079" s="88"/>
      <x:c r="D1079" s="32"/>
      <x:c r="I1079" s="74"/>
      <x:c r="J1079" s="74"/>
      <x:c r="K1079" s="74"/>
      <x:c r="L1079" s="74"/>
      <x:c r="M1079" s="91"/>
      <x:c r="N1079" s="91"/>
      <x:c r="O1079" s="91"/>
      <x:c r="P1079" s="91"/>
      <x:c r="Q1079" s="85"/>
      <x:c r="S1079" s="86"/>
      <x:c r="T1079" s="32"/>
    </x:row>
    <x:row r="1080">
      <x:c r="A1080" s="87"/>
      <x:c r="B1080" s="88"/>
      <x:c r="D1080" s="32"/>
      <x:c r="I1080" s="74"/>
      <x:c r="J1080" s="74"/>
      <x:c r="K1080" s="74"/>
      <x:c r="L1080" s="74"/>
      <x:c r="M1080" s="91"/>
      <x:c r="N1080" s="91"/>
      <x:c r="O1080" s="91"/>
      <x:c r="P1080" s="91"/>
      <x:c r="Q1080" s="85"/>
      <x:c r="S1080" s="86"/>
      <x:c r="T1080" s="32"/>
    </x:row>
    <x:row r="1081">
      <x:c r="A1081" s="87"/>
      <x:c r="B1081" s="88"/>
      <x:c r="D1081" s="32"/>
      <x:c r="I1081" s="74"/>
      <x:c r="J1081" s="74"/>
      <x:c r="K1081" s="74"/>
      <x:c r="L1081" s="74"/>
      <x:c r="M1081" s="91"/>
      <x:c r="N1081" s="91"/>
      <x:c r="O1081" s="91"/>
      <x:c r="P1081" s="91"/>
      <x:c r="Q1081" s="85"/>
      <x:c r="S1081" s="86"/>
      <x:c r="T1081" s="32"/>
    </x:row>
    <x:row r="1082">
      <x:c r="A1082" s="87"/>
      <x:c r="B1082" s="88"/>
      <x:c r="D1082" s="32"/>
      <x:c r="I1082" s="74"/>
      <x:c r="J1082" s="74"/>
      <x:c r="K1082" s="74"/>
      <x:c r="L1082" s="74"/>
      <x:c r="M1082" s="91"/>
      <x:c r="N1082" s="91"/>
      <x:c r="O1082" s="91"/>
      <x:c r="P1082" s="91"/>
      <x:c r="Q1082" s="85"/>
      <x:c r="S1082" s="86"/>
      <x:c r="T1082" s="32"/>
    </x:row>
    <x:row r="1083">
      <x:c r="A1083" s="87"/>
      <x:c r="B1083" s="88"/>
      <x:c r="D1083" s="32"/>
      <x:c r="I1083" s="74"/>
      <x:c r="J1083" s="74"/>
      <x:c r="K1083" s="74"/>
      <x:c r="L1083" s="74"/>
      <x:c r="M1083" s="91"/>
      <x:c r="N1083" s="91"/>
      <x:c r="O1083" s="91"/>
      <x:c r="P1083" s="91"/>
      <x:c r="Q1083" s="85"/>
      <x:c r="S1083" s="86"/>
      <x:c r="T1083" s="32"/>
    </x:row>
    <x:row r="1084">
      <x:c r="A1084" s="87"/>
      <x:c r="B1084" s="88"/>
      <x:c r="D1084" s="32"/>
      <x:c r="I1084" s="74"/>
      <x:c r="J1084" s="74"/>
      <x:c r="K1084" s="74"/>
      <x:c r="L1084" s="74"/>
      <x:c r="M1084" s="91"/>
      <x:c r="N1084" s="91"/>
      <x:c r="O1084" s="91"/>
      <x:c r="P1084" s="91"/>
      <x:c r="Q1084" s="85"/>
      <x:c r="S1084" s="86"/>
      <x:c r="T1084" s="32"/>
    </x:row>
    <x:row r="1085">
      <x:c r="A1085" s="87"/>
      <x:c r="B1085" s="88"/>
      <x:c r="D1085" s="32"/>
      <x:c r="I1085" s="74"/>
      <x:c r="J1085" s="74"/>
      <x:c r="K1085" s="74"/>
      <x:c r="L1085" s="74"/>
      <x:c r="M1085" s="91"/>
      <x:c r="N1085" s="91"/>
      <x:c r="O1085" s="91"/>
      <x:c r="P1085" s="91"/>
      <x:c r="Q1085" s="85"/>
      <x:c r="S1085" s="86"/>
      <x:c r="T1085" s="32"/>
    </x:row>
    <x:row r="1086">
      <x:c r="A1086" s="87"/>
      <x:c r="B1086" s="88"/>
      <x:c r="D1086" s="32"/>
      <x:c r="I1086" s="74"/>
      <x:c r="J1086" s="74"/>
      <x:c r="K1086" s="74"/>
      <x:c r="L1086" s="74"/>
      <x:c r="M1086" s="91"/>
      <x:c r="N1086" s="91"/>
      <x:c r="O1086" s="91"/>
      <x:c r="P1086" s="91"/>
      <x:c r="Q1086" s="85"/>
      <x:c r="S1086" s="86"/>
      <x:c r="T1086" s="32"/>
    </x:row>
    <x:row r="1087">
      <x:c r="A1087" s="87"/>
      <x:c r="B1087" s="88"/>
      <x:c r="D1087" s="32"/>
      <x:c r="I1087" s="74"/>
      <x:c r="J1087" s="74"/>
      <x:c r="K1087" s="74"/>
      <x:c r="L1087" s="74"/>
      <x:c r="M1087" s="91"/>
      <x:c r="N1087" s="91"/>
      <x:c r="O1087" s="91"/>
      <x:c r="P1087" s="91"/>
      <x:c r="Q1087" s="85"/>
      <x:c r="S1087" s="86"/>
      <x:c r="T1087" s="32"/>
    </x:row>
    <x:row r="1088">
      <x:c r="A1088" s="87"/>
      <x:c r="B1088" s="88"/>
      <x:c r="D1088" s="32"/>
      <x:c r="I1088" s="74"/>
      <x:c r="J1088" s="74"/>
      <x:c r="K1088" s="74"/>
      <x:c r="L1088" s="74"/>
      <x:c r="M1088" s="91"/>
      <x:c r="N1088" s="91"/>
      <x:c r="O1088" s="91"/>
      <x:c r="P1088" s="91"/>
      <x:c r="Q1088" s="85"/>
      <x:c r="S1088" s="86"/>
      <x:c r="T1088" s="32"/>
    </x:row>
    <x:row r="1089">
      <x:c r="A1089" s="87"/>
      <x:c r="B1089" s="88"/>
      <x:c r="D1089" s="32"/>
      <x:c r="I1089" s="74"/>
      <x:c r="J1089" s="74"/>
      <x:c r="K1089" s="74"/>
      <x:c r="L1089" s="74"/>
      <x:c r="M1089" s="91"/>
      <x:c r="N1089" s="91"/>
      <x:c r="O1089" s="91"/>
      <x:c r="P1089" s="91"/>
      <x:c r="Q1089" s="85"/>
      <x:c r="S1089" s="86"/>
      <x:c r="T1089" s="32"/>
    </x:row>
    <x:row r="1090">
      <x:c r="A1090" s="87"/>
      <x:c r="B1090" s="88"/>
      <x:c r="D1090" s="32"/>
      <x:c r="I1090" s="74"/>
      <x:c r="J1090" s="74"/>
      <x:c r="K1090" s="74"/>
      <x:c r="L1090" s="74"/>
      <x:c r="M1090" s="91"/>
      <x:c r="N1090" s="91"/>
      <x:c r="O1090" s="91"/>
      <x:c r="P1090" s="91"/>
      <x:c r="Q1090" s="85"/>
      <x:c r="S1090" s="86"/>
      <x:c r="T1090" s="32"/>
    </x:row>
    <x:row r="1091">
      <x:c r="A1091" s="87"/>
      <x:c r="B1091" s="88"/>
      <x:c r="D1091" s="32"/>
      <x:c r="I1091" s="74"/>
      <x:c r="J1091" s="74"/>
      <x:c r="K1091" s="74"/>
      <x:c r="L1091" s="74"/>
      <x:c r="M1091" s="91"/>
      <x:c r="N1091" s="91"/>
      <x:c r="O1091" s="91"/>
      <x:c r="P1091" s="91"/>
      <x:c r="Q1091" s="85"/>
      <x:c r="S1091" s="86"/>
      <x:c r="T1091" s="32"/>
    </x:row>
    <x:row r="1092">
      <x:c r="A1092" s="87"/>
      <x:c r="B1092" s="88"/>
      <x:c r="D1092" s="32"/>
      <x:c r="I1092" s="74"/>
      <x:c r="J1092" s="74"/>
      <x:c r="K1092" s="74"/>
      <x:c r="L1092" s="74"/>
      <x:c r="M1092" s="91"/>
      <x:c r="N1092" s="91"/>
      <x:c r="O1092" s="91"/>
      <x:c r="P1092" s="91"/>
      <x:c r="Q1092" s="85"/>
      <x:c r="S1092" s="86"/>
      <x:c r="T1092" s="32"/>
    </x:row>
    <x:row r="1093">
      <x:c r="A1093" s="87"/>
      <x:c r="B1093" s="88"/>
      <x:c r="D1093" s="32"/>
      <x:c r="I1093" s="74"/>
      <x:c r="J1093" s="74"/>
      <x:c r="K1093" s="74"/>
      <x:c r="L1093" s="74"/>
      <x:c r="M1093" s="91"/>
      <x:c r="N1093" s="91"/>
      <x:c r="O1093" s="91"/>
      <x:c r="P1093" s="91"/>
      <x:c r="Q1093" s="85"/>
      <x:c r="S1093" s="86"/>
      <x:c r="T1093" s="32"/>
    </x:row>
    <x:row r="1094">
      <x:c r="A1094" s="87"/>
      <x:c r="B1094" s="88"/>
      <x:c r="D1094" s="32"/>
      <x:c r="I1094" s="74"/>
      <x:c r="J1094" s="74"/>
      <x:c r="K1094" s="74"/>
      <x:c r="L1094" s="74"/>
      <x:c r="M1094" s="91"/>
      <x:c r="N1094" s="91"/>
      <x:c r="O1094" s="91"/>
      <x:c r="P1094" s="91"/>
      <x:c r="Q1094" s="85"/>
      <x:c r="S1094" s="86"/>
      <x:c r="T1094" s="32"/>
    </x:row>
    <x:row r="1095">
      <x:c r="A1095" s="87"/>
      <x:c r="B1095" s="88"/>
      <x:c r="D1095" s="32"/>
      <x:c r="I1095" s="74"/>
      <x:c r="J1095" s="74"/>
      <x:c r="K1095" s="74"/>
      <x:c r="L1095" s="74"/>
      <x:c r="M1095" s="91"/>
      <x:c r="N1095" s="91"/>
      <x:c r="O1095" s="91"/>
      <x:c r="P1095" s="91"/>
      <x:c r="Q1095" s="85"/>
      <x:c r="S1095" s="86"/>
      <x:c r="T1095" s="32"/>
    </x:row>
    <x:row r="1096">
      <x:c r="A1096" s="87"/>
      <x:c r="B1096" s="88"/>
      <x:c r="D1096" s="32"/>
      <x:c r="I1096" s="74"/>
      <x:c r="J1096" s="74"/>
      <x:c r="K1096" s="74"/>
      <x:c r="L1096" s="74"/>
      <x:c r="M1096" s="91"/>
      <x:c r="N1096" s="91"/>
      <x:c r="O1096" s="91"/>
      <x:c r="P1096" s="91"/>
      <x:c r="Q1096" s="85"/>
      <x:c r="S1096" s="86"/>
      <x:c r="T1096" s="32"/>
    </x:row>
    <x:row r="1097">
      <x:c r="A1097" s="87"/>
      <x:c r="B1097" s="88"/>
      <x:c r="D1097" s="32"/>
      <x:c r="I1097" s="74"/>
      <x:c r="J1097" s="74"/>
      <x:c r="K1097" s="74"/>
      <x:c r="L1097" s="74"/>
      <x:c r="M1097" s="91"/>
      <x:c r="N1097" s="91"/>
      <x:c r="O1097" s="91"/>
      <x:c r="P1097" s="91"/>
      <x:c r="Q1097" s="85"/>
      <x:c r="S1097" s="86"/>
      <x:c r="T1097" s="32"/>
    </x:row>
    <x:row r="1098">
      <x:c r="A1098" s="87"/>
      <x:c r="B1098" s="88"/>
      <x:c r="D1098" s="32"/>
      <x:c r="I1098" s="74"/>
      <x:c r="J1098" s="74"/>
      <x:c r="K1098" s="74"/>
      <x:c r="L1098" s="74"/>
      <x:c r="M1098" s="91"/>
      <x:c r="N1098" s="91"/>
      <x:c r="O1098" s="91"/>
      <x:c r="P1098" s="91"/>
      <x:c r="Q1098" s="85"/>
      <x:c r="S1098" s="86"/>
      <x:c r="T1098" s="32"/>
    </x:row>
    <x:row r="1099">
      <x:c r="A1099" s="87"/>
      <x:c r="B1099" s="88"/>
      <x:c r="D1099" s="32"/>
      <x:c r="I1099" s="74"/>
      <x:c r="J1099" s="74"/>
      <x:c r="K1099" s="74"/>
      <x:c r="L1099" s="74"/>
      <x:c r="M1099" s="91"/>
      <x:c r="N1099" s="91"/>
      <x:c r="O1099" s="91"/>
      <x:c r="P1099" s="91"/>
      <x:c r="Q1099" s="85"/>
      <x:c r="S1099" s="86"/>
      <x:c r="T1099" s="32"/>
    </x:row>
    <x:row r="1100">
      <x:c r="A1100" s="87"/>
      <x:c r="B1100" s="88"/>
      <x:c r="D1100" s="32"/>
      <x:c r="I1100" s="74"/>
      <x:c r="J1100" s="74"/>
      <x:c r="K1100" s="74"/>
      <x:c r="L1100" s="74"/>
      <x:c r="M1100" s="91"/>
      <x:c r="N1100" s="91"/>
      <x:c r="O1100" s="91"/>
      <x:c r="P1100" s="91"/>
      <x:c r="Q1100" s="85"/>
      <x:c r="S1100" s="86"/>
      <x:c r="T1100" s="32"/>
    </x:row>
    <x:row r="1101">
      <x:c r="A1101" s="87"/>
      <x:c r="B1101" s="88"/>
      <x:c r="D1101" s="32"/>
      <x:c r="I1101" s="74"/>
      <x:c r="J1101" s="74"/>
      <x:c r="K1101" s="74"/>
      <x:c r="L1101" s="74"/>
      <x:c r="M1101" s="91"/>
      <x:c r="N1101" s="91"/>
      <x:c r="O1101" s="91"/>
      <x:c r="P1101" s="91"/>
      <x:c r="Q1101" s="85"/>
      <x:c r="S1101" s="86"/>
      <x:c r="T1101" s="32"/>
    </x:row>
    <x:row r="1102">
      <x:c r="A1102" s="87"/>
      <x:c r="B1102" s="88"/>
      <x:c r="D1102" s="32"/>
      <x:c r="I1102" s="74"/>
      <x:c r="J1102" s="74"/>
      <x:c r="K1102" s="74"/>
      <x:c r="L1102" s="74"/>
      <x:c r="M1102" s="91"/>
      <x:c r="N1102" s="91"/>
      <x:c r="O1102" s="91"/>
      <x:c r="P1102" s="91"/>
      <x:c r="Q1102" s="85"/>
      <x:c r="S1102" s="86"/>
      <x:c r="T1102" s="32"/>
    </x:row>
    <x:row r="1103">
      <x:c r="A1103" s="87"/>
      <x:c r="B1103" s="88"/>
      <x:c r="D1103" s="32"/>
      <x:c r="I1103" s="74"/>
      <x:c r="J1103" s="74"/>
      <x:c r="K1103" s="74"/>
      <x:c r="L1103" s="74"/>
      <x:c r="M1103" s="91"/>
      <x:c r="N1103" s="91"/>
      <x:c r="O1103" s="91"/>
      <x:c r="P1103" s="91"/>
      <x:c r="Q1103" s="85"/>
      <x:c r="S1103" s="86"/>
      <x:c r="T1103" s="32"/>
    </x:row>
    <x:row r="1104">
      <x:c r="A1104" s="87"/>
      <x:c r="B1104" s="88"/>
      <x:c r="D1104" s="32"/>
      <x:c r="I1104" s="74"/>
      <x:c r="J1104" s="74"/>
      <x:c r="K1104" s="74"/>
      <x:c r="L1104" s="74"/>
      <x:c r="M1104" s="91"/>
      <x:c r="N1104" s="91"/>
      <x:c r="O1104" s="91"/>
      <x:c r="P1104" s="91"/>
      <x:c r="Q1104" s="85"/>
      <x:c r="S1104" s="86"/>
      <x:c r="T1104" s="32"/>
    </x:row>
    <x:row r="1105">
      <x:c r="A1105" s="87"/>
      <x:c r="B1105" s="88"/>
      <x:c r="D1105" s="32"/>
      <x:c r="I1105" s="74"/>
      <x:c r="J1105" s="74"/>
      <x:c r="K1105" s="74"/>
      <x:c r="L1105" s="74"/>
      <x:c r="M1105" s="91"/>
      <x:c r="N1105" s="91"/>
      <x:c r="O1105" s="91"/>
      <x:c r="P1105" s="91"/>
      <x:c r="Q1105" s="85"/>
      <x:c r="S1105" s="86"/>
      <x:c r="T1105" s="32"/>
    </x:row>
    <x:row r="1106">
      <x:c r="A1106" s="87"/>
      <x:c r="B1106" s="88"/>
      <x:c r="D1106" s="32"/>
      <x:c r="I1106" s="74"/>
      <x:c r="J1106" s="74"/>
      <x:c r="K1106" s="74"/>
      <x:c r="L1106" s="74"/>
      <x:c r="M1106" s="91"/>
      <x:c r="N1106" s="91"/>
      <x:c r="O1106" s="91"/>
      <x:c r="P1106" s="91"/>
      <x:c r="Q1106" s="85"/>
      <x:c r="S1106" s="86"/>
      <x:c r="T1106" s="32"/>
    </x:row>
    <x:row r="1107">
      <x:c r="A1107" s="87"/>
      <x:c r="B1107" s="88"/>
      <x:c r="D1107" s="32"/>
      <x:c r="I1107" s="74"/>
      <x:c r="J1107" s="74"/>
      <x:c r="K1107" s="74"/>
      <x:c r="L1107" s="74"/>
      <x:c r="M1107" s="91"/>
      <x:c r="N1107" s="91"/>
      <x:c r="O1107" s="91"/>
      <x:c r="P1107" s="91"/>
      <x:c r="Q1107" s="85"/>
      <x:c r="S1107" s="86"/>
      <x:c r="T1107" s="32"/>
    </x:row>
    <x:row r="1108">
      <x:c r="A1108" s="87"/>
      <x:c r="B1108" s="88"/>
      <x:c r="D1108" s="32"/>
      <x:c r="I1108" s="74"/>
      <x:c r="J1108" s="74"/>
      <x:c r="K1108" s="74"/>
      <x:c r="L1108" s="74"/>
      <x:c r="M1108" s="91"/>
      <x:c r="N1108" s="91"/>
      <x:c r="O1108" s="91"/>
      <x:c r="P1108" s="91"/>
      <x:c r="Q1108" s="85"/>
      <x:c r="S1108" s="86"/>
      <x:c r="T1108" s="32"/>
    </x:row>
    <x:row r="1109">
      <x:c r="A1109" s="87"/>
      <x:c r="B1109" s="88"/>
      <x:c r="D1109" s="32"/>
      <x:c r="I1109" s="74"/>
      <x:c r="J1109" s="74"/>
      <x:c r="K1109" s="74"/>
      <x:c r="L1109" s="74"/>
      <x:c r="M1109" s="91"/>
      <x:c r="N1109" s="91"/>
      <x:c r="O1109" s="91"/>
      <x:c r="P1109" s="91"/>
      <x:c r="Q1109" s="85"/>
      <x:c r="S1109" s="86"/>
      <x:c r="T1109" s="32"/>
    </x:row>
    <x:row r="1110">
      <x:c r="A1110" s="87"/>
      <x:c r="B1110" s="88"/>
      <x:c r="D1110" s="32"/>
      <x:c r="I1110" s="74"/>
      <x:c r="J1110" s="74"/>
      <x:c r="K1110" s="74"/>
      <x:c r="L1110" s="74"/>
      <x:c r="M1110" s="91"/>
      <x:c r="N1110" s="91"/>
      <x:c r="O1110" s="91"/>
      <x:c r="P1110" s="91"/>
      <x:c r="Q1110" s="85"/>
      <x:c r="S1110" s="86"/>
      <x:c r="T1110" s="32"/>
    </x:row>
    <x:row r="1111">
      <x:c r="A1111" s="87"/>
      <x:c r="B1111" s="88"/>
      <x:c r="D1111" s="32"/>
      <x:c r="I1111" s="74"/>
      <x:c r="J1111" s="74"/>
      <x:c r="K1111" s="74"/>
      <x:c r="L1111" s="74"/>
      <x:c r="M1111" s="91"/>
      <x:c r="N1111" s="91"/>
      <x:c r="O1111" s="91"/>
      <x:c r="P1111" s="91"/>
      <x:c r="Q1111" s="85"/>
      <x:c r="S1111" s="86"/>
      <x:c r="T1111" s="32"/>
    </x:row>
    <x:row r="1112">
      <x:c r="A1112" s="87"/>
      <x:c r="B1112" s="88"/>
      <x:c r="D1112" s="32"/>
      <x:c r="I1112" s="74"/>
      <x:c r="J1112" s="74"/>
      <x:c r="K1112" s="74"/>
      <x:c r="L1112" s="74"/>
      <x:c r="M1112" s="91"/>
      <x:c r="N1112" s="91"/>
      <x:c r="O1112" s="91"/>
      <x:c r="P1112" s="91"/>
      <x:c r="Q1112" s="85"/>
      <x:c r="S1112" s="86"/>
      <x:c r="T1112" s="32"/>
    </x:row>
    <x:row r="1113">
      <x:c r="A1113" s="87"/>
      <x:c r="B1113" s="88"/>
      <x:c r="D1113" s="32"/>
      <x:c r="I1113" s="74"/>
      <x:c r="J1113" s="74"/>
      <x:c r="K1113" s="74"/>
      <x:c r="L1113" s="74"/>
      <x:c r="M1113" s="91"/>
      <x:c r="N1113" s="91"/>
      <x:c r="O1113" s="91"/>
      <x:c r="P1113" s="91"/>
      <x:c r="Q1113" s="85"/>
      <x:c r="S1113" s="86"/>
      <x:c r="T1113" s="32"/>
    </x:row>
    <x:row r="1114">
      <x:c r="A1114" s="87"/>
      <x:c r="B1114" s="88"/>
      <x:c r="D1114" s="32"/>
      <x:c r="I1114" s="74"/>
      <x:c r="J1114" s="74"/>
      <x:c r="K1114" s="74"/>
      <x:c r="L1114" s="74"/>
      <x:c r="M1114" s="91"/>
      <x:c r="N1114" s="91"/>
      <x:c r="O1114" s="91"/>
      <x:c r="P1114" s="91"/>
      <x:c r="Q1114" s="85"/>
      <x:c r="S1114" s="86"/>
      <x:c r="T1114" s="32"/>
    </x:row>
    <x:row r="1115">
      <x:c r="A1115" s="87"/>
      <x:c r="B1115" s="88"/>
      <x:c r="D1115" s="32"/>
      <x:c r="I1115" s="74"/>
      <x:c r="J1115" s="74"/>
      <x:c r="K1115" s="74"/>
      <x:c r="L1115" s="74"/>
      <x:c r="M1115" s="91"/>
      <x:c r="N1115" s="91"/>
      <x:c r="O1115" s="91"/>
      <x:c r="P1115" s="91"/>
      <x:c r="Q1115" s="85"/>
      <x:c r="S1115" s="86"/>
      <x:c r="T1115" s="32"/>
    </x:row>
    <x:row r="1116">
      <x:c r="A1116" s="87"/>
      <x:c r="B1116" s="88"/>
      <x:c r="D1116" s="32"/>
      <x:c r="I1116" s="74"/>
      <x:c r="J1116" s="74"/>
      <x:c r="K1116" s="74"/>
      <x:c r="L1116" s="74"/>
      <x:c r="M1116" s="91"/>
      <x:c r="N1116" s="91"/>
      <x:c r="O1116" s="91"/>
      <x:c r="P1116" s="91"/>
      <x:c r="Q1116" s="85"/>
      <x:c r="S1116" s="86"/>
      <x:c r="T1116" s="32"/>
    </x:row>
    <x:row r="1117">
      <x:c r="A1117" s="87"/>
      <x:c r="B1117" s="88"/>
      <x:c r="D1117" s="32"/>
      <x:c r="I1117" s="74"/>
      <x:c r="J1117" s="74"/>
      <x:c r="K1117" s="74"/>
      <x:c r="L1117" s="74"/>
      <x:c r="M1117" s="91"/>
      <x:c r="N1117" s="91"/>
      <x:c r="O1117" s="91"/>
      <x:c r="P1117" s="91"/>
      <x:c r="Q1117" s="85"/>
      <x:c r="S1117" s="86"/>
      <x:c r="T1117" s="32"/>
    </x:row>
    <x:row r="1118">
      <x:c r="A1118" s="87"/>
      <x:c r="B1118" s="88"/>
      <x:c r="D1118" s="32"/>
      <x:c r="I1118" s="74"/>
      <x:c r="J1118" s="74"/>
      <x:c r="K1118" s="74"/>
      <x:c r="L1118" s="74"/>
      <x:c r="M1118" s="91"/>
      <x:c r="N1118" s="91"/>
      <x:c r="O1118" s="91"/>
      <x:c r="P1118" s="91"/>
      <x:c r="Q1118" s="85"/>
      <x:c r="S1118" s="86"/>
      <x:c r="T1118" s="32"/>
    </x:row>
    <x:row r="1119">
      <x:c r="A1119" s="87"/>
      <x:c r="B1119" s="88"/>
      <x:c r="D1119" s="32"/>
      <x:c r="I1119" s="74"/>
      <x:c r="J1119" s="74"/>
      <x:c r="K1119" s="74"/>
      <x:c r="L1119" s="74"/>
      <x:c r="M1119" s="91"/>
      <x:c r="N1119" s="91"/>
      <x:c r="O1119" s="91"/>
      <x:c r="P1119" s="91"/>
      <x:c r="Q1119" s="85"/>
      <x:c r="S1119" s="86"/>
      <x:c r="T1119" s="32"/>
    </x:row>
    <x:row r="1120">
      <x:c r="A1120" s="87"/>
      <x:c r="B1120" s="88"/>
      <x:c r="D1120" s="32"/>
      <x:c r="I1120" s="74"/>
      <x:c r="J1120" s="74"/>
      <x:c r="K1120" s="74"/>
      <x:c r="L1120" s="74"/>
      <x:c r="M1120" s="91"/>
      <x:c r="N1120" s="91"/>
      <x:c r="O1120" s="91"/>
      <x:c r="P1120" s="91"/>
      <x:c r="Q1120" s="85"/>
      <x:c r="S1120" s="86"/>
      <x:c r="T1120" s="32"/>
    </x:row>
    <x:row r="1121">
      <x:c r="A1121" s="87"/>
      <x:c r="B1121" s="88"/>
      <x:c r="D1121" s="32"/>
      <x:c r="I1121" s="74"/>
      <x:c r="J1121" s="74"/>
      <x:c r="K1121" s="74"/>
      <x:c r="L1121" s="74"/>
      <x:c r="M1121" s="91"/>
      <x:c r="N1121" s="91"/>
      <x:c r="O1121" s="91"/>
      <x:c r="P1121" s="91"/>
      <x:c r="Q1121" s="85"/>
      <x:c r="S1121" s="86"/>
      <x:c r="T1121" s="32"/>
    </x:row>
    <x:row r="1122">
      <x:c r="A1122" s="87"/>
      <x:c r="B1122" s="88"/>
      <x:c r="D1122" s="32"/>
      <x:c r="I1122" s="74"/>
      <x:c r="J1122" s="74"/>
      <x:c r="K1122" s="74"/>
      <x:c r="L1122" s="74"/>
      <x:c r="M1122" s="91"/>
      <x:c r="N1122" s="91"/>
      <x:c r="O1122" s="91"/>
      <x:c r="P1122" s="91"/>
      <x:c r="Q1122" s="85"/>
      <x:c r="S1122" s="86"/>
      <x:c r="T1122" s="32"/>
    </x:row>
    <x:row r="1123">
      <x:c r="A1123" s="87"/>
      <x:c r="B1123" s="88"/>
      <x:c r="D1123" s="32"/>
      <x:c r="I1123" s="74"/>
      <x:c r="J1123" s="74"/>
      <x:c r="K1123" s="74"/>
      <x:c r="L1123" s="74"/>
      <x:c r="M1123" s="91"/>
      <x:c r="N1123" s="91"/>
      <x:c r="O1123" s="91"/>
      <x:c r="P1123" s="91"/>
      <x:c r="Q1123" s="85"/>
      <x:c r="S1123" s="86"/>
      <x:c r="T1123" s="32"/>
    </x:row>
    <x:row r="1124">
      <x:c r="A1124" s="87"/>
      <x:c r="B1124" s="88"/>
      <x:c r="D1124" s="32"/>
      <x:c r="I1124" s="74"/>
      <x:c r="J1124" s="74"/>
      <x:c r="K1124" s="74"/>
      <x:c r="L1124" s="74"/>
      <x:c r="M1124" s="91"/>
      <x:c r="N1124" s="91"/>
      <x:c r="O1124" s="91"/>
      <x:c r="P1124" s="91"/>
      <x:c r="Q1124" s="85"/>
      <x:c r="S1124" s="86"/>
      <x:c r="T1124" s="32"/>
    </x:row>
    <x:row r="1125">
      <x:c r="A1125" s="87"/>
      <x:c r="B1125" s="88"/>
      <x:c r="D1125" s="32"/>
      <x:c r="I1125" s="74"/>
      <x:c r="J1125" s="74"/>
      <x:c r="K1125" s="74"/>
      <x:c r="L1125" s="74"/>
      <x:c r="M1125" s="91"/>
      <x:c r="N1125" s="91"/>
      <x:c r="O1125" s="91"/>
      <x:c r="P1125" s="91"/>
      <x:c r="Q1125" s="85"/>
      <x:c r="S1125" s="86"/>
      <x:c r="T1125" s="32"/>
    </x:row>
    <x:row r="1126">
      <x:c r="A1126" s="87"/>
      <x:c r="B1126" s="88"/>
      <x:c r="D1126" s="32"/>
      <x:c r="I1126" s="74"/>
      <x:c r="J1126" s="74"/>
      <x:c r="K1126" s="74"/>
      <x:c r="L1126" s="74"/>
      <x:c r="M1126" s="91"/>
      <x:c r="N1126" s="91"/>
      <x:c r="O1126" s="91"/>
      <x:c r="P1126" s="91"/>
      <x:c r="Q1126" s="85"/>
      <x:c r="S1126" s="86"/>
      <x:c r="T1126" s="32"/>
    </x:row>
    <x:row r="1127">
      <x:c r="A1127" s="87"/>
      <x:c r="B1127" s="88"/>
      <x:c r="D1127" s="32"/>
      <x:c r="I1127" s="74"/>
      <x:c r="J1127" s="74"/>
      <x:c r="K1127" s="74"/>
      <x:c r="L1127" s="74"/>
      <x:c r="M1127" s="91"/>
      <x:c r="N1127" s="91"/>
      <x:c r="O1127" s="91"/>
      <x:c r="P1127" s="91"/>
      <x:c r="Q1127" s="85"/>
      <x:c r="S1127" s="86"/>
      <x:c r="T1127" s="32"/>
    </x:row>
    <x:row r="1128">
      <x:c r="A1128" s="87"/>
      <x:c r="B1128" s="88"/>
      <x:c r="D1128" s="32"/>
      <x:c r="I1128" s="74"/>
      <x:c r="J1128" s="74"/>
      <x:c r="K1128" s="74"/>
      <x:c r="L1128" s="74"/>
      <x:c r="M1128" s="91"/>
      <x:c r="N1128" s="91"/>
      <x:c r="O1128" s="91"/>
      <x:c r="P1128" s="91"/>
      <x:c r="Q1128" s="85"/>
      <x:c r="S1128" s="86"/>
      <x:c r="T1128" s="32"/>
    </x:row>
    <x:row r="1129">
      <x:c r="A1129" s="87"/>
      <x:c r="B1129" s="88"/>
      <x:c r="D1129" s="32"/>
      <x:c r="I1129" s="74"/>
      <x:c r="J1129" s="74"/>
      <x:c r="K1129" s="74"/>
      <x:c r="L1129" s="74"/>
      <x:c r="M1129" s="91"/>
      <x:c r="N1129" s="91"/>
      <x:c r="O1129" s="91"/>
      <x:c r="P1129" s="91"/>
      <x:c r="Q1129" s="85"/>
      <x:c r="S1129" s="86"/>
      <x:c r="T1129" s="32"/>
    </x:row>
    <x:row r="1130">
      <x:c r="A1130" s="87"/>
      <x:c r="B1130" s="88"/>
      <x:c r="D1130" s="32"/>
      <x:c r="I1130" s="74"/>
      <x:c r="J1130" s="74"/>
      <x:c r="K1130" s="74"/>
      <x:c r="L1130" s="74"/>
      <x:c r="M1130" s="91"/>
      <x:c r="N1130" s="91"/>
      <x:c r="O1130" s="91"/>
      <x:c r="P1130" s="91"/>
      <x:c r="Q1130" s="85"/>
      <x:c r="S1130" s="86"/>
      <x:c r="T1130" s="32"/>
    </x:row>
    <x:row r="1131">
      <x:c r="A1131" s="87"/>
      <x:c r="B1131" s="88"/>
      <x:c r="D1131" s="32"/>
      <x:c r="I1131" s="74"/>
      <x:c r="J1131" s="74"/>
      <x:c r="K1131" s="74"/>
      <x:c r="L1131" s="74"/>
      <x:c r="M1131" s="91"/>
      <x:c r="N1131" s="91"/>
      <x:c r="O1131" s="91"/>
      <x:c r="P1131" s="91"/>
      <x:c r="Q1131" s="85"/>
      <x:c r="S1131" s="86"/>
      <x:c r="T1131" s="32"/>
    </x:row>
    <x:row r="1132">
      <x:c r="A1132" s="87"/>
      <x:c r="B1132" s="88"/>
      <x:c r="D1132" s="32"/>
      <x:c r="I1132" s="74"/>
      <x:c r="J1132" s="74"/>
      <x:c r="K1132" s="74"/>
      <x:c r="L1132" s="74"/>
      <x:c r="M1132" s="91"/>
      <x:c r="N1132" s="91"/>
      <x:c r="O1132" s="91"/>
      <x:c r="P1132" s="91"/>
      <x:c r="Q1132" s="85"/>
      <x:c r="S1132" s="86"/>
      <x:c r="T1132" s="32"/>
    </x:row>
    <x:row r="1133">
      <x:c r="A1133" s="87"/>
      <x:c r="B1133" s="88"/>
      <x:c r="D1133" s="32"/>
      <x:c r="I1133" s="74"/>
      <x:c r="J1133" s="74"/>
      <x:c r="K1133" s="74"/>
      <x:c r="L1133" s="74"/>
      <x:c r="M1133" s="91"/>
      <x:c r="N1133" s="91"/>
      <x:c r="O1133" s="91"/>
      <x:c r="P1133" s="91"/>
      <x:c r="Q1133" s="85"/>
      <x:c r="S1133" s="86"/>
      <x:c r="T1133" s="32"/>
    </x:row>
    <x:row r="1134">
      <x:c r="A1134" s="87"/>
      <x:c r="B1134" s="88"/>
      <x:c r="D1134" s="32"/>
      <x:c r="I1134" s="74"/>
      <x:c r="J1134" s="74"/>
      <x:c r="K1134" s="74"/>
      <x:c r="L1134" s="74"/>
      <x:c r="M1134" s="91"/>
      <x:c r="N1134" s="91"/>
      <x:c r="O1134" s="91"/>
      <x:c r="P1134" s="91"/>
      <x:c r="Q1134" s="85"/>
      <x:c r="S1134" s="86"/>
      <x:c r="T1134" s="32"/>
    </x:row>
    <x:row r="1135">
      <x:c r="A1135" s="87"/>
      <x:c r="B1135" s="88"/>
      <x:c r="D1135" s="32"/>
      <x:c r="I1135" s="74"/>
      <x:c r="J1135" s="74"/>
      <x:c r="K1135" s="74"/>
      <x:c r="L1135" s="74"/>
      <x:c r="M1135" s="91"/>
      <x:c r="N1135" s="91"/>
      <x:c r="O1135" s="91"/>
      <x:c r="P1135" s="91"/>
      <x:c r="Q1135" s="85"/>
      <x:c r="S1135" s="86"/>
      <x:c r="T1135" s="32"/>
    </x:row>
    <x:row r="1136">
      <x:c r="A1136" s="87"/>
      <x:c r="B1136" s="88"/>
      <x:c r="D1136" s="32"/>
      <x:c r="I1136" s="74"/>
      <x:c r="J1136" s="74"/>
      <x:c r="K1136" s="74"/>
      <x:c r="L1136" s="74"/>
      <x:c r="M1136" s="91"/>
      <x:c r="N1136" s="91"/>
      <x:c r="O1136" s="91"/>
      <x:c r="P1136" s="91"/>
      <x:c r="Q1136" s="85"/>
      <x:c r="S1136" s="86"/>
      <x:c r="T1136" s="32"/>
    </x:row>
    <x:row r="1137">
      <x:c r="A1137" s="87"/>
      <x:c r="B1137" s="88"/>
      <x:c r="D1137" s="32"/>
      <x:c r="I1137" s="74"/>
      <x:c r="J1137" s="74"/>
      <x:c r="K1137" s="74"/>
      <x:c r="L1137" s="74"/>
      <x:c r="M1137" s="91"/>
      <x:c r="N1137" s="91"/>
      <x:c r="O1137" s="91"/>
      <x:c r="P1137" s="91"/>
      <x:c r="Q1137" s="85"/>
      <x:c r="S1137" s="86"/>
      <x:c r="T1137" s="32"/>
    </x:row>
    <x:row r="1138">
      <x:c r="A1138" s="87"/>
      <x:c r="B1138" s="88"/>
      <x:c r="D1138" s="32"/>
      <x:c r="I1138" s="74"/>
      <x:c r="J1138" s="74"/>
      <x:c r="K1138" s="74"/>
      <x:c r="L1138" s="74"/>
      <x:c r="M1138" s="91"/>
      <x:c r="N1138" s="91"/>
      <x:c r="O1138" s="91"/>
      <x:c r="P1138" s="91"/>
      <x:c r="Q1138" s="85"/>
      <x:c r="S1138" s="86"/>
      <x:c r="T1138" s="32"/>
    </x:row>
    <x:row r="1139">
      <x:c r="A1139" s="87"/>
      <x:c r="B1139" s="88"/>
      <x:c r="D1139" s="32"/>
      <x:c r="I1139" s="74"/>
      <x:c r="J1139" s="74"/>
      <x:c r="K1139" s="74"/>
      <x:c r="L1139" s="74"/>
      <x:c r="M1139" s="91"/>
      <x:c r="N1139" s="91"/>
      <x:c r="O1139" s="91"/>
      <x:c r="P1139" s="91"/>
      <x:c r="Q1139" s="85"/>
      <x:c r="S1139" s="86"/>
      <x:c r="T1139" s="32"/>
    </x:row>
    <x:row r="1140">
      <x:c r="A1140" s="87"/>
      <x:c r="B1140" s="88"/>
      <x:c r="D1140" s="32"/>
      <x:c r="I1140" s="74"/>
      <x:c r="J1140" s="74"/>
      <x:c r="K1140" s="74"/>
      <x:c r="L1140" s="74"/>
      <x:c r="M1140" s="91"/>
      <x:c r="N1140" s="91"/>
      <x:c r="O1140" s="91"/>
      <x:c r="P1140" s="91"/>
      <x:c r="Q1140" s="85"/>
      <x:c r="S1140" s="86"/>
      <x:c r="T1140" s="32"/>
    </x:row>
    <x:row r="1141">
      <x:c r="A1141" s="87"/>
      <x:c r="B1141" s="88"/>
      <x:c r="D1141" s="32"/>
      <x:c r="I1141" s="74"/>
      <x:c r="J1141" s="74"/>
      <x:c r="K1141" s="74"/>
      <x:c r="L1141" s="74"/>
      <x:c r="M1141" s="91"/>
      <x:c r="N1141" s="91"/>
      <x:c r="O1141" s="91"/>
      <x:c r="P1141" s="91"/>
      <x:c r="Q1141" s="85"/>
      <x:c r="S1141" s="86"/>
      <x:c r="T1141" s="32"/>
    </x:row>
    <x:row r="1142">
      <x:c r="A1142" s="87"/>
      <x:c r="B1142" s="88"/>
      <x:c r="D1142" s="32"/>
      <x:c r="I1142" s="74"/>
      <x:c r="J1142" s="74"/>
      <x:c r="K1142" s="74"/>
      <x:c r="L1142" s="74"/>
      <x:c r="M1142" s="91"/>
      <x:c r="N1142" s="91"/>
      <x:c r="O1142" s="91"/>
      <x:c r="P1142" s="91"/>
      <x:c r="Q1142" s="85"/>
      <x:c r="S1142" s="86"/>
      <x:c r="T1142" s="32"/>
    </x:row>
    <x:row r="1143">
      <x:c r="A1143" s="87"/>
      <x:c r="B1143" s="88"/>
      <x:c r="D1143" s="32"/>
      <x:c r="I1143" s="74"/>
      <x:c r="J1143" s="74"/>
      <x:c r="K1143" s="74"/>
      <x:c r="L1143" s="74"/>
      <x:c r="M1143" s="91"/>
      <x:c r="N1143" s="91"/>
      <x:c r="O1143" s="91"/>
      <x:c r="P1143" s="91"/>
      <x:c r="Q1143" s="85"/>
      <x:c r="S1143" s="86"/>
      <x:c r="T1143" s="32"/>
    </x:row>
    <x:row r="1144">
      <x:c r="A1144" s="87"/>
      <x:c r="B1144" s="88"/>
      <x:c r="D1144" s="32"/>
      <x:c r="I1144" s="74"/>
      <x:c r="J1144" s="74"/>
      <x:c r="K1144" s="74"/>
      <x:c r="L1144" s="74"/>
      <x:c r="M1144" s="91"/>
      <x:c r="N1144" s="91"/>
      <x:c r="O1144" s="91"/>
      <x:c r="P1144" s="91"/>
      <x:c r="Q1144" s="85"/>
      <x:c r="S1144" s="86"/>
      <x:c r="T1144" s="32"/>
    </x:row>
    <x:row r="1145">
      <x:c r="A1145" s="87"/>
      <x:c r="B1145" s="88"/>
      <x:c r="D1145" s="32"/>
      <x:c r="I1145" s="74"/>
      <x:c r="J1145" s="74"/>
      <x:c r="K1145" s="74"/>
      <x:c r="L1145" s="74"/>
      <x:c r="M1145" s="91"/>
      <x:c r="N1145" s="91"/>
      <x:c r="O1145" s="91"/>
      <x:c r="P1145" s="91"/>
      <x:c r="Q1145" s="85"/>
      <x:c r="S1145" s="86"/>
      <x:c r="T1145" s="32"/>
    </x:row>
    <x:row r="1146">
      <x:c r="A1146" s="87"/>
      <x:c r="B1146" s="88"/>
      <x:c r="D1146" s="32"/>
      <x:c r="I1146" s="74"/>
      <x:c r="J1146" s="74"/>
      <x:c r="K1146" s="74"/>
      <x:c r="L1146" s="74"/>
      <x:c r="M1146" s="91"/>
      <x:c r="N1146" s="91"/>
      <x:c r="O1146" s="91"/>
      <x:c r="P1146" s="91"/>
      <x:c r="Q1146" s="85"/>
      <x:c r="S1146" s="86"/>
      <x:c r="T1146" s="32"/>
    </x:row>
  </x:sheetData>
  <x:conditionalFormatting sqref="B2:B2 C2:C7 D2:P2 Q2:Q166 R2:R2">
    <x:cfRule type="expression" dxfId="0" priority="1">
      <x:formula>$R2="Done"</x:formula>
    </x:cfRule>
  </x:conditionalFormatting>
  <x:conditionalFormatting sqref="B2:B2 C2:C7 D2:P2 Q2:Q166 R2:R2">
    <x:cfRule type="expression" dxfId="1" priority="2">
      <x:formula>AND(NOT($R2="Done"), OR(#REF!="Đã CK Anh", #REF!="Đã CK Em"))</x:formula>
    </x:cfRule>
  </x:conditionalFormatting>
  <x:conditionalFormatting sqref="M2:P2 Q2:Q166">
    <x:cfRule type="expression" dxfId="1" priority="3">
      <x:formula>AND(NOT(#REF!="Done"), OR(#REF!="Đã CK Anh", #REF!="Đã CK Em"))</x:formula>
    </x:cfRule>
  </x:conditionalFormatting>
  <x:conditionalFormatting sqref="M2:P2 Q2:Q166">
    <x:cfRule type="expression" dxfId="0" priority="4">
      <x:formula>#REF!="Done"</x:formula>
    </x:cfRule>
  </x:conditionalFormatting>
  <x:conditionalFormatting sqref="C2:C7 B3:B3 D3:R3">
    <x:cfRule type="expression" dxfId="0" priority="5">
      <x:formula>$R2="Done"</x:formula>
    </x:cfRule>
  </x:conditionalFormatting>
  <x:conditionalFormatting sqref="C2:C7 B3:B3 D3:R3">
    <x:cfRule type="expression" dxfId="1" priority="6">
      <x:formula>AND(NOT($R2="Done"), OR(#REF!="Đã CK Anh", #REF!="Đã CK Em"))</x:formula>
    </x:cfRule>
  </x:conditionalFormatting>
  <x:conditionalFormatting sqref="M3:Q3">
    <x:cfRule type="expression" dxfId="1" priority="7">
      <x:formula>AND(NOT(#REF!="Done"), OR(#REF!="Đã CK Anh", #REF!="Đã CK Em"))</x:formula>
    </x:cfRule>
  </x:conditionalFormatting>
  <x:conditionalFormatting sqref="M3:Q3">
    <x:cfRule type="expression" dxfId="0" priority="8">
      <x:formula>#REF!="Done"</x:formula>
    </x:cfRule>
  </x:conditionalFormatting>
  <x:conditionalFormatting sqref="M2:P2 Q2:Q166 M4:P166">
    <x:cfRule type="expression" dxfId="0" priority="9">
      <x:formula>$S2="Done"</x:formula>
    </x:cfRule>
  </x:conditionalFormatting>
  <x:conditionalFormatting sqref="M2:P2 Q2:Q166 M4:P166">
    <x:cfRule type="expression" dxfId="1" priority="10">
      <x:formula>AND(NOT($S2="Done"), OR($T2="Đã CK Anh", $T2="Đã CK Em"))</x:formula>
    </x:cfRule>
  </x:conditionalFormatting>
  <x:conditionalFormatting sqref="A81:A85 B81:R82 B85:B85 C85:C96 D85:D86 A87:A87 A89:A89 A91:A166 B108:D108">
    <x:cfRule type="expression" dxfId="1" priority="11">
      <x:formula>AND(NOT($R81="Done"), OR($S81="Đã CK Anh", $S81="Đã CK Em"))</x:formula>
    </x:cfRule>
  </x:conditionalFormatting>
  <x:conditionalFormatting sqref="A81:A85 B81:R82 B85:B85 C85:C96 D85:D86 A87:A87 A89:A89 A91:A166 B108:D108">
    <x:cfRule type="expression" dxfId="0" priority="12">
      <x:formula>$R81="Done"</x:formula>
    </x:cfRule>
  </x:conditionalFormatting>
  <x:conditionalFormatting sqref="A167:B168">
    <x:cfRule type="expression" dxfId="0" priority="13">
      <x:formula>$L167="Done"</x:formula>
    </x:cfRule>
  </x:conditionalFormatting>
  <x:conditionalFormatting sqref="A167:B168">
    <x:cfRule type="expression" dxfId="1" priority="14">
      <x:formula>AND(NOT($L167="Done"), OR($I167="Đã CK Anh", $I167="Đã CK Em"))</x:formula>
    </x:cfRule>
  </x:conditionalFormatting>
  <x:conditionalFormatting sqref="A2:A1146 B2:B2 C2:C80 D2:P2 Q2:Q1146 R2:R2 B4:B80 D4:L80 M4:P1146 R4:R80 B83:L1146 R83:R1146">
    <x:cfRule type="expression" dxfId="0" priority="15">
      <x:formula>$R2="Done"</x:formula>
    </x:cfRule>
  </x:conditionalFormatting>
  <x:conditionalFormatting sqref="A2:A1146 B2:B2 C2:C80 D2:P2 Q2:Q1146 R2:R2 B4:B80 D4:L80 M4:P1146 R4:R80 B83:L1146 R83:R1146">
    <x:cfRule type="expression" dxfId="1" priority="16">
      <x:formula>AND(NOT($R2="Done"), OR($S2="Đã CK Anh", $S2="Đã CK Em"))</x:formula>
    </x:cfRule>
  </x:conditionalFormatting>
  <x:conditionalFormatting sqref="S3:S3">
    <x:cfRule type="notContainsBlanks" dxfId="0" priority="17">
      <x:formula>LEN(TRIM(S3))&gt;0</x:formula>
    </x:cfRule>
  </x:conditionalFormatting>
  <x:dataValidations count="1">
    <x:dataValidation type="list" allowBlank="1" showErrorMessage="1" sqref="S2:S1146">
      <x:formula1>"Chưa CK,Đã CK Anh,Đã CK Em"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5" width="11.130000114440918" hidden="1" customWidth="1"/>
    <x:col min="6" max="6" width="10.630000114440918" customWidth="1"/>
    <x:col min="7" max="7" width="11.630000114440918" hidden="1" customWidth="1"/>
    <x:col min="8" max="8" width="11.630000114440918" customWidth="1"/>
    <x:col min="9" max="10" width="12.380000114440918" customWidth="1"/>
    <x:col min="11" max="11" width="14.880000114440918" customWidth="1"/>
    <x:col min="12" max="12" width="12.380000114440918" customWidth="1"/>
    <x:col min="18" max="18" width="25.8799991607666" customWidth="1"/>
    <x:col min="19" max="19" width="18.5" customWidth="1"/>
  </x:cols>
  <x:sheetData>
    <x:row r="1" ht="21" customHeight="1">
      <x:c r="A1" s="1" t="s">
        <x:v>0</x:v>
      </x:c>
      <x:c r="B1" s="2" t="s">
        <x:v>1</x:v>
      </x:c>
      <x:c r="C1" s="1" t="s">
        <x:v>2</x:v>
      </x:c>
      <x:c r="D1" s="3" t="s">
        <x:v>3</x:v>
      </x:c>
      <x:c r="E1" s="1" t="s">
        <x:v>6</x:v>
      </x:c>
      <x:c r="F1" s="1" t="s">
        <x:v>445</x:v>
      </x:c>
      <x:c r="G1" s="1" t="s">
        <x:v>443</x:v>
      </x:c>
      <x:c r="H1" s="1" t="s">
        <x:v>9</x:v>
      </x:c>
      <x:c r="I1" s="4" t="s">
        <x:v>8</x:v>
      </x:c>
      <x:c r="J1" s="4" t="s">
        <x:v>11</x:v>
      </x:c>
      <x:c r="K1" s="4" t="s">
        <x:v>12</x:v>
      </x:c>
      <x:c r="L1" s="4" t="s">
        <x:v>13</x:v>
      </x:c>
      <x:c r="M1" s="1" t="s">
        <x:v>322</x:v>
      </x:c>
      <x:c r="N1" s="1" t="s">
        <x:v>323</x:v>
      </x:c>
      <x:c r="O1" s="1" t="s">
        <x:v>15</x:v>
      </x:c>
      <x:c r="P1" s="1" t="s">
        <x:v>324</x:v>
      </x:c>
      <x:c r="Q1" s="5" t="s">
        <x:v>21</x:v>
      </x:c>
      <x:c r="R1" s="1" t="s">
        <x:v>22</x:v>
      </x:c>
      <x:c r="S1" s="1" t="s">
        <x:v>24</x:v>
      </x:c>
      <x:c r="T1" s="6" t="s">
        <x:v>25</x:v>
      </x:c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</x:row>
    <x:row r="2" ht="18.75" customHeight="1">
      <x:c r="A2" s="19">
        <x:v>1.0</x:v>
      </x:c>
      <x:c r="B2" s="20" t="s">
        <x:v>446</x:v>
      </x:c>
      <x:c r="C2" s="21">
        <x:v>45779.0</x:v>
      </x:c>
      <x:c r="D2" s="58" t="s">
        <x:v>447</x:v>
      </x:c>
      <x:c r="E2" s="23"/>
      <x:c r="F2" s="23"/>
      <x:c r="G2" s="56"/>
      <x:c r="H2" s="23"/>
      <x:c r="I2" s="24"/>
      <x:c r="J2" s="24">
        <x:v>1.0</x:v>
      </x:c>
      <x:c r="K2" s="25"/>
      <x:c r="L2" s="25"/>
      <x:c r="M2" s="23"/>
      <x:c r="N2" s="23"/>
      <x:c r="O2" s="94"/>
      <x:c r="P2" s="94"/>
      <x:c r="Q2" s="26" t="n">
        <x:f t="shared" ref="Q2:Q4" si="1">(E2*260+F2*255+G2*360+H2*400+I2*470+J2*695+K2*240+L2*240+M2*295+N2*310+O2*395)*1000</x:f>
        <x:v>695000</x:v>
      </x:c>
      <x:c r="R2" s="23" t="s">
        <x:v>74</x:v>
      </x:c>
      <x:c r="S2" s="23" t="s">
        <x:v>31</x:v>
      </x:c>
      <x:c r="U2" s="28" t="s">
        <x:v>34</x:v>
      </x:c>
      <x:c r="V2" s="28" t="s">
        <x:v>31</x:v>
      </x:c>
      <x:c r="W2" s="28" t="s">
        <x:v>54</x:v>
      </x:c>
      <x:c r="X2" s="28" t="s">
        <x:v>55</x:v>
      </x:c>
    </x:row>
    <x:row r="3" ht="18.75" customHeight="1">
      <x:c r="A3" s="19">
        <x:v>2.0</x:v>
      </x:c>
      <x:c r="B3" s="20" t="s">
        <x:v>448</x:v>
      </x:c>
      <x:c r="C3" s="21">
        <x:v>45779.0</x:v>
      </x:c>
      <x:c r="D3" s="58" t="s">
        <x:v>449</x:v>
      </x:c>
      <x:c r="E3" s="23"/>
      <x:c r="F3" s="23"/>
      <x:c r="G3" s="23"/>
      <x:c r="H3" s="23"/>
      <x:c r="I3" s="24"/>
      <x:c r="J3" s="24">
        <x:v>1.0</x:v>
      </x:c>
      <x:c r="K3" s="24"/>
      <x:c r="L3" s="24"/>
      <x:c r="M3" s="94"/>
      <x:c r="N3" s="94"/>
      <x:c r="O3" s="94"/>
      <x:c r="P3" s="94"/>
      <x:c r="Q3" s="26">
        <x:f t="shared" si="1"/>
        <x:v>695000</x:v>
      </x:c>
      <x:c r="R3" s="23" t="s">
        <x:v>74</x:v>
      </x:c>
      <x:c r="S3" s="23" t="s">
        <x:v>34</x:v>
      </x:c>
      <x:c r="U3" s="31" t="n">
        <x:f>SUMIF(S2:S1115, "Đã CK Anh", Q2:Q1115)</x:f>
        <x:v>18312000</x:v>
      </x:c>
      <x:c r="V3" s="31" t="n">
        <x:f>SUMIF(S2:S1115, "Đã CK Em", Q2:Q1115)</x:f>
        <x:v>68352000</x:v>
      </x:c>
      <x:c r="W3" s="31" t="n">
        <x:f>U3+V3</x:f>
        <x:v>86664000</x:v>
      </x:c>
      <x:c r="X3" s="31" t="n">
        <x:f>SUMIF(S2:S1115, "Chưa CK", Q2:Q1115)</x:f>
        <x:v>0</x:v>
      </x:c>
    </x:row>
    <x:row r="4" ht="18.75" customHeight="1">
      <x:c r="A4" s="19">
        <x:v>3.0</x:v>
      </x:c>
      <x:c r="B4" s="29" t="s">
        <x:v>450</x:v>
      </x:c>
      <x:c r="C4" s="21">
        <x:v>45779.0</x:v>
      </x:c>
      <x:c r="D4" s="22" t="s">
        <x:v>451</x:v>
      </x:c>
      <x:c r="E4" s="23"/>
      <x:c r="F4" s="23">
        <x:v>1.0</x:v>
      </x:c>
      <x:c r="G4" s="23"/>
      <x:c r="H4" s="23"/>
      <x:c r="I4" s="24"/>
      <x:c r="J4" s="24"/>
      <x:c r="K4" s="24"/>
      <x:c r="L4" s="24"/>
      <x:c r="M4" s="23"/>
      <x:c r="N4" s="23"/>
      <x:c r="O4" s="23"/>
      <x:c r="P4" s="23"/>
      <x:c r="Q4" s="26">
        <x:f t="shared" si="1"/>
        <x:v>255000</x:v>
      </x:c>
      <x:c r="R4" s="23" t="s">
        <x:v>74</x:v>
      </x:c>
      <x:c r="S4" s="23" t="s">
        <x:v>31</x:v>
      </x:c>
    </x:row>
    <x:row r="5" ht="18.75" customHeight="1">
      <x:c r="A5" s="19">
        <x:v>4.0</x:v>
      </x:c>
      <x:c r="B5" s="29" t="s">
        <x:v>452</x:v>
      </x:c>
      <x:c r="C5" s="21">
        <x:v>45779.0</x:v>
      </x:c>
      <x:c r="D5" s="58" t="s">
        <x:v>453</x:v>
      </x:c>
      <x:c r="E5" s="23"/>
      <x:c r="F5" s="23"/>
      <x:c r="G5" s="23"/>
      <x:c r="H5" s="23"/>
      <x:c r="I5" s="24"/>
      <x:c r="J5" s="24">
        <x:v>2.0</x:v>
      </x:c>
      <x:c r="K5" s="24"/>
      <x:c r="L5" s="24"/>
      <x:c r="M5" s="23"/>
      <x:c r="N5" s="23"/>
      <x:c r="O5" s="23"/>
      <x:c r="P5" s="23"/>
      <x:c r="Q5" s="26" t="n">
        <x:f>(E5*260+F5*255+G5*360+H5*400+I5*470+J5*695+K5*240+L5*240+M5*295+N5*310+O5*395-25)*1000</x:f>
        <x:v>1365000</x:v>
      </x:c>
      <x:c r="R5" s="23" t="s">
        <x:v>74</x:v>
      </x:c>
      <x:c r="S5" s="23" t="s">
        <x:v>31</x:v>
      </x:c>
    </x:row>
    <x:row r="6" ht="18.75" customHeight="1">
      <x:c r="A6" s="19">
        <x:v>5.0</x:v>
      </x:c>
      <x:c r="B6" s="29" t="s">
        <x:v>454</x:v>
      </x:c>
      <x:c r="C6" s="21">
        <x:v>45780.0</x:v>
      </x:c>
      <x:c r="D6" s="22" t="s">
        <x:v>451</x:v>
      </x:c>
      <x:c r="E6" s="23"/>
      <x:c r="F6" s="23"/>
      <x:c r="G6" s="23"/>
      <x:c r="H6" s="23">
        <x:v>3.0</x:v>
      </x:c>
      <x:c r="I6" s="25"/>
      <x:c r="J6" s="25"/>
      <x:c r="K6" s="24"/>
      <x:c r="L6" s="25"/>
      <x:c r="M6" s="23"/>
      <x:c r="N6" s="23"/>
      <x:c r="O6" s="23"/>
      <x:c r="P6" s="23"/>
      <x:c r="Q6" s="26" t="n">
        <x:f t="shared" ref="Q6:Q8" si="2">(E6*260+F6*255+G6*360+H6*400+I6*470+J6*695+K6*240+L6*240+M6*295+N6*310+O6*395)*1000</x:f>
        <x:v>1200000</x:v>
      </x:c>
      <x:c r="R6" s="23" t="s">
        <x:v>74</x:v>
      </x:c>
      <x:c r="S6" s="23" t="s">
        <x:v>31</x:v>
      </x:c>
    </x:row>
    <x:row r="7" ht="18.75" customHeight="1">
      <x:c r="A7" s="19">
        <x:v>6.0</x:v>
      </x:c>
      <x:c r="B7" s="29" t="s">
        <x:v>455</x:v>
      </x:c>
      <x:c r="C7" s="21">
        <x:v>45780.0</x:v>
      </x:c>
      <x:c r="D7" s="58" t="s">
        <x:v>456</x:v>
      </x:c>
      <x:c r="E7" s="23"/>
      <x:c r="F7" s="23"/>
      <x:c r="G7" s="56"/>
      <x:c r="H7" s="23"/>
      <x:c r="I7" s="25"/>
      <x:c r="J7" s="24">
        <x:v>1.0</x:v>
      </x:c>
      <x:c r="K7" s="24"/>
      <x:c r="L7" s="24"/>
      <x:c r="M7" s="94"/>
      <x:c r="N7" s="94"/>
      <x:c r="O7" s="94"/>
      <x:c r="P7" s="94"/>
      <x:c r="Q7" s="26">
        <x:f t="shared" si="2"/>
        <x:v>695000</x:v>
      </x:c>
      <x:c r="R7" s="23" t="s">
        <x:v>74</x:v>
      </x:c>
      <x:c r="S7" s="23" t="s">
        <x:v>34</x:v>
      </x:c>
      <x:c r="U7" s="37"/>
      <x:c r="V7" s="37"/>
      <x:c r="W7" s="37"/>
      <x:c r="X7" s="37"/>
    </x:row>
    <x:row r="8" ht="18.75" customHeight="1">
      <x:c r="A8" s="19">
        <x:v>7.0</x:v>
      </x:c>
      <x:c r="B8" s="29" t="s">
        <x:v>457</x:v>
      </x:c>
      <x:c r="C8" s="21">
        <x:v>45781.0</x:v>
      </x:c>
      <x:c r="D8" s="22" t="s">
        <x:v>458</x:v>
      </x:c>
      <x:c r="E8" s="23"/>
      <x:c r="F8" s="23"/>
      <x:c r="G8" s="56"/>
      <x:c r="H8" s="23"/>
      <x:c r="I8" s="25"/>
      <x:c r="J8" s="24">
        <x:v>1.0</x:v>
      </x:c>
      <x:c r="K8" s="24"/>
      <x:c r="L8" s="24"/>
      <x:c r="M8" s="94"/>
      <x:c r="N8" s="94"/>
      <x:c r="O8" s="94"/>
      <x:c r="P8" s="94"/>
      <x:c r="Q8" s="26">
        <x:f t="shared" si="2"/>
        <x:v>695000</x:v>
      </x:c>
      <x:c r="R8" s="23" t="s">
        <x:v>74</x:v>
      </x:c>
      <x:c r="S8" s="23" t="s">
        <x:v>34</x:v>
      </x:c>
      <x:c r="U8" s="28" t="s">
        <x:v>2</x:v>
      </x:c>
      <x:c r="V8" s="28" t="s">
        <x:v>368</x:v>
      </x:c>
      <x:c r="W8" s="28" t="s">
        <x:v>369</x:v>
      </x:c>
      <x:c r="X8" s="28" t="s">
        <x:v>369</x:v>
      </x:c>
    </x:row>
    <x:row r="9" ht="18.75" customHeight="1">
      <x:c r="A9" s="19">
        <x:v>8.0</x:v>
      </x:c>
      <x:c r="B9" s="29" t="s">
        <x:v>459</x:v>
      </x:c>
      <x:c r="C9" s="21">
        <x:v>45781.0</x:v>
      </x:c>
      <x:c r="D9" s="35" t="s">
        <x:v>460</x:v>
      </x:c>
      <x:c r="E9" s="23"/>
      <x:c r="F9" s="23"/>
      <x:c r="G9" s="56"/>
      <x:c r="H9" s="23"/>
      <x:c r="I9" s="24">
        <x:v>2.0</x:v>
      </x:c>
      <x:c r="J9" s="24">
        <x:v>1.0</x:v>
      </x:c>
      <x:c r="K9" s="25"/>
      <x:c r="L9" s="25"/>
      <x:c r="M9" s="94"/>
      <x:c r="N9" s="94"/>
      <x:c r="O9" s="94"/>
      <x:c r="P9" s="94"/>
      <x:c r="Q9" s="26" t="n">
        <x:f>(E9*260+F9*255+G9*360+H9*400+I9*490+J9*695+K9*240+L9*240+M9*295+N9*310+O9*395-30)*1000</x:f>
        <x:v>1645000</x:v>
      </x:c>
      <x:c r="R9" s="23" t="s">
        <x:v>74</x:v>
      </x:c>
      <x:c r="S9" s="23" t="s">
        <x:v>31</x:v>
      </x:c>
      <x:c r="U9" s="33" t="n" cm="1">
        <x:f t="array" ref="U9:U37">_xlfn._xlws.SORT(_xlfn.UNIQUE(C2:C1113))</x:f>
        <x:v>45779</x:v>
      </x:c>
      <x:c r="V9" s="34" t="e">
        <x:f>IFERROR(__xludf.DUMMYFUNCTION("SUM(FILTER($E$2:$P$1115, $C$2:$C$1115 = U9))"),5.0)</x:f>
        <x:v>#NAME?</x:v>
      </x:c>
      <x:c r="W9" s="34" t="e">
        <x:f>IFERROR(__xludf.DUMMYFUNCTION("COUNT(FILTER($C$2:$C$1115, $C$2:$C$1115 = U9))"),4.0)</x:f>
        <x:v>#NAME?</x:v>
      </x:c>
      <x:c r="X9" s="31" t="n">
        <x:f t="shared" ref="X9:X36" si="3">SUMIF($C$2:$C$1115, $U9 , $Q$2:$Q$1115)</x:f>
        <x:v>3010000</x:v>
      </x:c>
    </x:row>
    <x:row r="10" ht="18.75" customHeight="1">
      <x:c r="A10" s="19">
        <x:v>9.0</x:v>
      </x:c>
      <x:c r="B10" s="29" t="s">
        <x:v>461</x:v>
      </x:c>
      <x:c r="C10" s="21">
        <x:v>45781.0</x:v>
      </x:c>
      <x:c r="D10" s="22" t="s">
        <x:v>462</x:v>
      </x:c>
      <x:c r="E10" s="23"/>
      <x:c r="F10" s="23"/>
      <x:c r="G10" s="56"/>
      <x:c r="H10" s="23"/>
      <x:c r="I10" s="24"/>
      <x:c r="J10" s="24"/>
      <x:c r="K10" s="24">
        <x:v>1.0</x:v>
      </x:c>
      <x:c r="L10" s="24">
        <x:v>1.0</x:v>
      </x:c>
      <x:c r="M10" s="94"/>
      <x:c r="N10" s="94"/>
      <x:c r="O10" s="94"/>
      <x:c r="P10" s="94"/>
      <x:c r="Q10" s="26" t="n">
        <x:f t="shared" ref="Q10:Q14" si="4">(E10*260+F10*255+G10*360+H10*400+I10*470+J10*695+K10*240+L10*240+M10*295+N10*310+O10*395)*1000</x:f>
        <x:v>480000</x:v>
      </x:c>
      <x:c r="R10" s="23" t="s">
        <x:v>74</x:v>
      </x:c>
      <x:c r="S10" s="23" t="s">
        <x:v>34</x:v>
      </x:c>
      <x:c r="U10" s="33" t="n">
        <x:v>45780</x:v>
      </x:c>
      <x:c r="V10" s="34" t="e">
        <x:f>IFERROR(__xludf.DUMMYFUNCTION("SUM(FILTER($E$2:$P$1115, $C$2:$C$1115 = U10))"),4.0)</x:f>
        <x:v>#NAME?</x:v>
      </x:c>
      <x:c r="W10" s="34" t="e">
        <x:f>IFERROR(__xludf.DUMMYFUNCTION("COUNT(FILTER($C$2:$C$1115, $C$2:$C$1115 = U10))"),2.0)</x:f>
        <x:v>#NAME?</x:v>
      </x:c>
      <x:c r="X10" s="31">
        <x:f t="shared" si="3"/>
        <x:v>1895000</x:v>
      </x:c>
    </x:row>
    <x:row r="11" ht="18.75" customHeight="1">
      <x:c r="A11" s="19">
        <x:v>10.0</x:v>
      </x:c>
      <x:c r="B11" s="29" t="s">
        <x:v>463</x:v>
      </x:c>
      <x:c r="C11" s="21">
        <x:v>45781.0</x:v>
      </x:c>
      <x:c r="D11" s="22" t="s">
        <x:v>464</x:v>
      </x:c>
      <x:c r="E11" s="23"/>
      <x:c r="F11" s="23"/>
      <x:c r="G11" s="56"/>
      <x:c r="H11" s="23"/>
      <x:c r="I11" s="25"/>
      <x:c r="J11" s="24">
        <x:v>1.0</x:v>
      </x:c>
      <x:c r="K11" s="25"/>
      <x:c r="L11" s="25"/>
      <x:c r="M11" s="94"/>
      <x:c r="N11" s="94"/>
      <x:c r="O11" s="94"/>
      <x:c r="P11" s="94"/>
      <x:c r="Q11" s="26">
        <x:f t="shared" si="4"/>
        <x:v>695000</x:v>
      </x:c>
      <x:c r="R11" s="23" t="s">
        <x:v>74</x:v>
      </x:c>
      <x:c r="S11" s="23" t="s">
        <x:v>31</x:v>
      </x:c>
      <x:c r="U11" s="33" t="n">
        <x:v>45781</x:v>
      </x:c>
      <x:c r="V11" s="34" t="e">
        <x:f>IFERROR(__xludf.DUMMYFUNCTION("SUM(FILTER($E$2:$P$1115, $C$2:$C$1115 = U11))"),9.0)</x:f>
        <x:v>#NAME?</x:v>
      </x:c>
      <x:c r="W11" s="34" t="e">
        <x:f>IFERROR(__xludf.DUMMYFUNCTION("COUNT(FILTER($C$2:$C$1115, $C$2:$C$1115 = U11))"),6.0)</x:f>
        <x:v>#NAME?</x:v>
      </x:c>
      <x:c r="X11" s="31">
        <x:f t="shared" si="3"/>
        <x:v>3995000</x:v>
      </x:c>
    </x:row>
    <x:row r="12" ht="18.75" customHeight="1">
      <x:c r="A12" s="19">
        <x:v>11.0</x:v>
      </x:c>
      <x:c r="B12" s="29" t="s">
        <x:v>465</x:v>
      </x:c>
      <x:c r="C12" s="21">
        <x:v>45781.0</x:v>
      </x:c>
      <x:c r="D12" s="22" t="s">
        <x:v>466</x:v>
      </x:c>
      <x:c r="E12" s="23"/>
      <x:c r="F12" s="23"/>
      <x:c r="G12" s="56"/>
      <x:c r="H12" s="56"/>
      <x:c r="I12" s="25"/>
      <x:c r="J12" s="25"/>
      <x:c r="K12" s="24"/>
      <x:c r="L12" s="24">
        <x:v>1.0</x:v>
      </x:c>
      <x:c r="M12" s="94"/>
      <x:c r="N12" s="94"/>
      <x:c r="O12" s="94"/>
      <x:c r="P12" s="94"/>
      <x:c r="Q12" s="26">
        <x:f t="shared" si="4"/>
        <x:v>240000</x:v>
      </x:c>
      <x:c r="R12" s="23" t="s">
        <x:v>74</x:v>
      </x:c>
      <x:c r="S12" s="23" t="s">
        <x:v>34</x:v>
      </x:c>
      <x:c r="U12" s="33" t="n">
        <x:v>45782</x:v>
      </x:c>
      <x:c r="V12" s="34" t="e">
        <x:f>IFERROR(__xludf.DUMMYFUNCTION("SUM(FILTER($E$2:$P$1115, $C$2:$C$1115 = U12))"),8.0)</x:f>
        <x:v>#NAME?</x:v>
      </x:c>
      <x:c r="W12" s="34" t="e">
        <x:f>IFERROR(__xludf.DUMMYFUNCTION("COUNT(FILTER($C$2:$C$1115, $C$2:$C$1115 = U12))"),6.0)</x:f>
        <x:v>#NAME?</x:v>
      </x:c>
      <x:c r="X12" s="31">
        <x:f t="shared" si="3"/>
        <x:v>2270000</x:v>
      </x:c>
    </x:row>
    <x:row r="13" ht="18.75" customHeight="1">
      <x:c r="A13" s="19">
        <x:v>12.0</x:v>
      </x:c>
      <x:c r="B13" s="29" t="s">
        <x:v>467</x:v>
      </x:c>
      <x:c r="C13" s="21">
        <x:v>45781.0</x:v>
      </x:c>
      <x:c r="D13" s="22" t="s">
        <x:v>468</x:v>
      </x:c>
      <x:c r="E13" s="56"/>
      <x:c r="F13" s="23"/>
      <x:c r="G13" s="23"/>
      <x:c r="H13" s="23"/>
      <x:c r="I13" s="24"/>
      <x:c r="J13" s="24"/>
      <x:c r="K13" s="24"/>
      <x:c r="L13" s="24">
        <x:v>1.0</x:v>
      </x:c>
      <x:c r="M13" s="94"/>
      <x:c r="N13" s="94"/>
      <x:c r="O13" s="94"/>
      <x:c r="P13" s="94"/>
      <x:c r="Q13" s="26">
        <x:f t="shared" si="4"/>
        <x:v>240000</x:v>
      </x:c>
      <x:c r="R13" s="23" t="s">
        <x:v>74</x:v>
      </x:c>
      <x:c r="S13" s="23" t="s">
        <x:v>31</x:v>
      </x:c>
      <x:c r="T13" s="32"/>
      <x:c r="U13" s="33" t="n">
        <x:v>45783</x:v>
      </x:c>
      <x:c r="V13" s="34" t="e">
        <x:f>IFERROR(__xludf.DUMMYFUNCTION("SUM(FILTER($E$2:$P$1115, $C$2:$C$1115 = U13))"),17.0)</x:f>
        <x:v>#NAME?</x:v>
      </x:c>
      <x:c r="W13" s="34" t="e">
        <x:f>IFERROR(__xludf.DUMMYFUNCTION("COUNT(FILTER($C$2:$C$1115, $C$2:$C$1115 = U13))"),7.0)</x:f>
        <x:v>#NAME?</x:v>
      </x:c>
      <x:c r="X13" s="31">
        <x:f t="shared" si="3"/>
        <x:v>7120000</x:v>
      </x:c>
    </x:row>
    <x:row r="14" ht="18.75" customHeight="1">
      <x:c r="A14" s="19">
        <x:v>13.0</x:v>
      </x:c>
      <x:c r="B14" s="29" t="s">
        <x:v>333</x:v>
      </x:c>
      <x:c r="C14" s="21">
        <x:v>45782.0</x:v>
      </x:c>
      <x:c r="D14" s="22" t="s">
        <x:v>469</x:v>
      </x:c>
      <x:c r="E14" s="23"/>
      <x:c r="F14" s="23"/>
      <x:c r="G14" s="56"/>
      <x:c r="H14" s="56"/>
      <x:c r="I14" s="24"/>
      <x:c r="J14" s="24"/>
      <x:c r="K14" s="25"/>
      <x:c r="L14" s="24">
        <x:v>1.0</x:v>
      </x:c>
      <x:c r="M14" s="23"/>
      <x:c r="N14" s="23"/>
      <x:c r="O14" s="23"/>
      <x:c r="P14" s="23"/>
      <x:c r="Q14" s="26">
        <x:f t="shared" si="4"/>
        <x:v>240000</x:v>
      </x:c>
      <x:c r="R14" s="23" t="s">
        <x:v>74</x:v>
      </x:c>
      <x:c r="S14" s="23" t="s">
        <x:v>31</x:v>
      </x:c>
      <x:c r="T14" s="32"/>
      <x:c r="U14" s="33" t="n">
        <x:v>45784</x:v>
      </x:c>
      <x:c r="V14" s="34" t="e">
        <x:f>IFERROR(__xludf.DUMMYFUNCTION("SUM(FILTER($E$2:$P$1115, $C$2:$C$1115 = U14))"),8.0)</x:f>
        <x:v>#NAME?</x:v>
      </x:c>
      <x:c r="W14" s="34" t="e">
        <x:f>IFERROR(__xludf.DUMMYFUNCTION("COUNT(FILTER($C$2:$C$1115, $C$2:$C$1115 = U14))"),6.0)</x:f>
        <x:v>#NAME?</x:v>
      </x:c>
      <x:c r="X14" s="31">
        <x:f t="shared" si="3"/>
        <x:v>3013000</x:v>
      </x:c>
    </x:row>
    <x:row r="15" ht="18.75" customHeight="1">
      <x:c r="A15" s="19">
        <x:v>14.0</x:v>
      </x:c>
      <x:c r="B15" s="29" t="s">
        <x:v>470</x:v>
      </x:c>
      <x:c r="C15" s="21">
        <x:v>45782.0</x:v>
      </x:c>
      <x:c r="D15" s="35" t="s">
        <x:v>471</x:v>
      </x:c>
      <x:c r="E15" s="23"/>
      <x:c r="F15" s="23"/>
      <x:c r="G15" s="23"/>
      <x:c r="H15" s="56"/>
      <x:c r="I15" s="24"/>
      <x:c r="J15" s="24"/>
      <x:c r="K15" s="25"/>
      <x:c r="L15" s="24">
        <x:v>1.0</x:v>
      </x:c>
      <x:c r="M15" s="94"/>
      <x:c r="N15" s="94"/>
      <x:c r="O15" s="94"/>
      <x:c r="P15" s="94"/>
      <x:c r="Q15" s="26" t="n">
        <x:f>(E15*260+F15*255+G15*360+H15*400+I15*470+J15*695+K15*240+L15*240+M15*295+N15*310+O15*395-15)*1000</x:f>
        <x:v>225000</x:v>
      </x:c>
      <x:c r="R15" s="23" t="s">
        <x:v>74</x:v>
      </x:c>
      <x:c r="S15" s="23" t="s">
        <x:v>31</x:v>
      </x:c>
      <x:c r="T15" s="32"/>
      <x:c r="U15" s="33" t="n">
        <x:v>45785</x:v>
      </x:c>
      <x:c r="V15" s="34" t="e">
        <x:f>IFERROR(__xludf.DUMMYFUNCTION("SUM(FILTER($E$2:$P$1115, $C$2:$C$1115 = U15))"),11.0)</x:f>
        <x:v>#NAME?</x:v>
      </x:c>
      <x:c r="W15" s="34" t="e">
        <x:f>IFERROR(__xludf.DUMMYFUNCTION("COUNT(FILTER($C$2:$C$1115, $C$2:$C$1115 = U15))"),7.0)</x:f>
        <x:v>#NAME?</x:v>
      </x:c>
      <x:c r="X15" s="31">
        <x:f t="shared" si="3"/>
        <x:v>3932000</x:v>
      </x:c>
    </x:row>
    <x:row r="16" ht="18.75" customHeight="1">
      <x:c r="A16" s="19">
        <x:v>15.0</x:v>
      </x:c>
      <x:c r="B16" s="29" t="s">
        <x:v>472</x:v>
      </x:c>
      <x:c r="C16" s="21">
        <x:v>45782.0</x:v>
      </x:c>
      <x:c r="D16" s="22" t="s">
        <x:v>473</x:v>
      </x:c>
      <x:c r="E16" s="23"/>
      <x:c r="F16" s="23"/>
      <x:c r="G16" s="56"/>
      <x:c r="H16" s="23">
        <x:v>1.0</x:v>
      </x:c>
      <x:c r="I16" s="24"/>
      <x:c r="J16" s="24"/>
      <x:c r="K16" s="24"/>
      <x:c r="L16" s="25"/>
      <x:c r="M16" s="94"/>
      <x:c r="N16" s="94"/>
      <x:c r="O16" s="94"/>
      <x:c r="P16" s="94"/>
      <x:c r="Q16" s="26" t="n">
        <x:f t="shared" ref="Q16:Q24" si="5">(E16*260+F16*255+G16*360+H16*400+I16*470+J16*695+K16*240+L16*240+M16*295+N16*310+O16*395)*1000</x:f>
        <x:v>400000</x:v>
      </x:c>
      <x:c r="R16" s="23" t="s">
        <x:v>74</x:v>
      </x:c>
      <x:c r="S16" s="23" t="s">
        <x:v>31</x:v>
      </x:c>
      <x:c r="T16" s="32"/>
      <x:c r="U16" s="33" t="n">
        <x:v>45786</x:v>
      </x:c>
      <x:c r="V16" s="34" t="e">
        <x:f>IFERROR(__xludf.DUMMYFUNCTION("SUM(FILTER($E$2:$P$1115, $C$2:$C$1115 = U16))"),14.0)</x:f>
        <x:v>#NAME?</x:v>
      </x:c>
      <x:c r="W16" s="34" t="e">
        <x:f>IFERROR(__xludf.DUMMYFUNCTION("COUNT(FILTER($C$2:$C$1115, $C$2:$C$1115 = U16))"),9.0)</x:f>
        <x:v>#NAME?</x:v>
      </x:c>
      <x:c r="X16" s="31">
        <x:f t="shared" si="3"/>
        <x:v>4710000</x:v>
      </x:c>
    </x:row>
    <x:row r="17">
      <x:c r="A17" s="19">
        <x:v>16.0</x:v>
      </x:c>
      <x:c r="B17" s="29" t="s">
        <x:v>474</x:v>
      </x:c>
      <x:c r="C17" s="21">
        <x:v>45782.0</x:v>
      </x:c>
      <x:c r="D17" s="22" t="s">
        <x:v>475</x:v>
      </x:c>
      <x:c r="E17" s="23"/>
      <x:c r="F17" s="23">
        <x:v>1.0</x:v>
      </x:c>
      <x:c r="G17" s="23"/>
      <x:c r="H17" s="23"/>
      <x:c r="I17" s="24"/>
      <x:c r="J17" s="24"/>
      <x:c r="K17" s="24"/>
      <x:c r="L17" s="24"/>
      <x:c r="M17" s="94"/>
      <x:c r="N17" s="94"/>
      <x:c r="O17" s="94"/>
      <x:c r="P17" s="94"/>
      <x:c r="Q17" s="26">
        <x:f t="shared" si="5"/>
        <x:v>255000</x:v>
      </x:c>
      <x:c r="R17" s="23" t="s">
        <x:v>74</x:v>
      </x:c>
      <x:c r="S17" s="23" t="s">
        <x:v>34</x:v>
      </x:c>
      <x:c r="T17" s="32"/>
      <x:c r="U17" s="33" t="n">
        <x:v>45787</x:v>
      </x:c>
      <x:c r="V17" s="34" t="e">
        <x:f>IFERROR(__xludf.DUMMYFUNCTION("SUM(FILTER($E$2:$P$1115, $C$2:$C$1115 = U17))"),10.0)</x:f>
        <x:v>#NAME?</x:v>
      </x:c>
      <x:c r="W17" s="34" t="e">
        <x:f>IFERROR(__xludf.DUMMYFUNCTION("COUNT(FILTER($C$2:$C$1115, $C$2:$C$1115 = U17))"),3.0)</x:f>
        <x:v>#NAME?</x:v>
      </x:c>
      <x:c r="X17" s="31">
        <x:f t="shared" si="3"/>
        <x:v>3558000</x:v>
      </x:c>
    </x:row>
    <x:row r="18" ht="18.75" customHeight="1">
      <x:c r="A18" s="19">
        <x:v>17.0</x:v>
      </x:c>
      <x:c r="B18" s="29" t="s">
        <x:v>476</x:v>
      </x:c>
      <x:c r="C18" s="21">
        <x:v>45782.0</x:v>
      </x:c>
      <x:c r="D18" s="22" t="s">
        <x:v>477</x:v>
      </x:c>
      <x:c r="E18" s="23"/>
      <x:c r="F18" s="23"/>
      <x:c r="G18" s="56"/>
      <x:c r="H18" s="23">
        <x:v>1.0</x:v>
      </x:c>
      <x:c r="I18" s="24"/>
      <x:c r="J18" s="24"/>
      <x:c r="K18" s="24"/>
      <x:c r="L18" s="24">
        <x:v>1.0</x:v>
      </x:c>
      <x:c r="M18" s="23"/>
      <x:c r="N18" s="23"/>
      <x:c r="O18" s="23"/>
      <x:c r="P18" s="23"/>
      <x:c r="Q18" s="26">
        <x:f t="shared" si="5"/>
        <x:v>640000</x:v>
      </x:c>
      <x:c r="R18" s="23" t="s">
        <x:v>74</x:v>
      </x:c>
      <x:c r="S18" s="23" t="s">
        <x:v>31</x:v>
      </x:c>
      <x:c r="T18" s="32"/>
      <x:c r="U18" s="33" t="n">
        <x:v>45788</x:v>
      </x:c>
      <x:c r="V18" s="34" t="e">
        <x:f>IFERROR(__xludf.DUMMYFUNCTION("SUM(FILTER($E$2:$P$1115, $C$2:$C$1115 = U18))"),28.0)</x:f>
        <x:v>#NAME?</x:v>
      </x:c>
      <x:c r="W18" s="34" t="e">
        <x:f>IFERROR(__xludf.DUMMYFUNCTION("COUNT(FILTER($C$2:$C$1115, $C$2:$C$1115 = U18))"),8.0)</x:f>
        <x:v>#NAME?</x:v>
      </x:c>
      <x:c r="X18" s="31">
        <x:f t="shared" si="3"/>
        <x:v>10835000</x:v>
      </x:c>
    </x:row>
    <x:row r="19" ht="18.75" customHeight="1">
      <x:c r="A19" s="19">
        <x:v>18.0</x:v>
      </x:c>
      <x:c r="B19" s="29" t="s">
        <x:v>478</x:v>
      </x:c>
      <x:c r="C19" s="21">
        <x:v>45782.0</x:v>
      </x:c>
      <x:c r="D19" s="22" t="s">
        <x:v>479</x:v>
      </x:c>
      <x:c r="E19" s="23"/>
      <x:c r="F19" s="23">
        <x:v>2.0</x:v>
      </x:c>
      <x:c r="G19" s="56"/>
      <x:c r="H19" s="56"/>
      <x:c r="I19" s="25"/>
      <x:c r="J19" s="25"/>
      <x:c r="K19" s="24"/>
      <x:c r="L19" s="24"/>
      <x:c r="M19" s="94"/>
      <x:c r="N19" s="94"/>
      <x:c r="O19" s="94"/>
      <x:c r="P19" s="94"/>
      <x:c r="Q19" s="26">
        <x:f t="shared" si="5"/>
        <x:v>510000</x:v>
      </x:c>
      <x:c r="R19" s="23" t="s">
        <x:v>74</x:v>
      </x:c>
      <x:c r="S19" s="23" t="s">
        <x:v>31</x:v>
      </x:c>
      <x:c r="T19" s="32"/>
      <x:c r="U19" s="33" t="n">
        <x:v>45789</x:v>
      </x:c>
      <x:c r="V19" s="34" t="e">
        <x:f>IFERROR(__xludf.DUMMYFUNCTION("SUM(FILTER($E$2:$P$1115, $C$2:$C$1115 = U19))"),3.0)</x:f>
        <x:v>#NAME?</x:v>
      </x:c>
      <x:c r="W19" s="34" t="e">
        <x:f>IFERROR(__xludf.DUMMYFUNCTION("COUNT(FILTER($C$2:$C$1115, $C$2:$C$1115 = U19))"),3.0)</x:f>
        <x:v>#NAME?</x:v>
      </x:c>
      <x:c r="X19" s="31">
        <x:f t="shared" si="3"/>
        <x:v>739000</x:v>
      </x:c>
    </x:row>
    <x:row r="20" ht="18.75" customHeight="1">
      <x:c r="A20" s="19">
        <x:v>19.0</x:v>
      </x:c>
      <x:c r="B20" s="29" t="s">
        <x:v>480</x:v>
      </x:c>
      <x:c r="C20" s="21">
        <x:v>45783.0</x:v>
      </x:c>
      <x:c r="D20" s="22" t="s">
        <x:v>481</x:v>
      </x:c>
      <x:c r="E20" s="23"/>
      <x:c r="F20" s="23">
        <x:v>1.0</x:v>
      </x:c>
      <x:c r="G20" s="56"/>
      <x:c r="H20" s="56"/>
      <x:c r="I20" s="24"/>
      <x:c r="J20" s="24"/>
      <x:c r="K20" s="24"/>
      <x:c r="L20" s="24"/>
      <x:c r="M20" s="94"/>
      <x:c r="N20" s="94"/>
      <x:c r="O20" s="94"/>
      <x:c r="P20" s="94"/>
      <x:c r="Q20" s="26">
        <x:f t="shared" si="5"/>
        <x:v>255000</x:v>
      </x:c>
      <x:c r="R20" s="23" t="s">
        <x:v>74</x:v>
      </x:c>
      <x:c r="S20" s="23" t="s">
        <x:v>31</x:v>
      </x:c>
      <x:c r="T20" s="32"/>
      <x:c r="U20" s="33" t="n">
        <x:v>45790</x:v>
      </x:c>
      <x:c r="V20" s="34" t="e">
        <x:f>IFERROR(__xludf.DUMMYFUNCTION("SUM(FILTER($E$2:$P$1115, $C$2:$C$1115 = U20))"),14.0)</x:f>
        <x:v>#NAME?</x:v>
      </x:c>
      <x:c r="W20" s="34" t="e">
        <x:f>IFERROR(__xludf.DUMMYFUNCTION("COUNT(FILTER($C$2:$C$1115, $C$2:$C$1115 = U20))"),10.0)</x:f>
        <x:v>#NAME?</x:v>
      </x:c>
      <x:c r="X20" s="31">
        <x:f t="shared" si="3"/>
        <x:v>4297000</x:v>
      </x:c>
    </x:row>
    <x:row r="21" ht="18.75" customHeight="1">
      <x:c r="A21" s="19">
        <x:v>20.0</x:v>
      </x:c>
      <x:c r="B21" s="29" t="s">
        <x:v>482</x:v>
      </x:c>
      <x:c r="C21" s="21">
        <x:v>45783.0</x:v>
      </x:c>
      <x:c r="D21" s="55"/>
      <x:c r="E21" s="23"/>
      <x:c r="F21" s="23"/>
      <x:c r="G21" s="56"/>
      <x:c r="H21" s="56"/>
      <x:c r="I21" s="25"/>
      <x:c r="J21" s="25"/>
      <x:c r="K21" s="24">
        <x:v>1.0</x:v>
      </x:c>
      <x:c r="L21" s="24"/>
      <x:c r="M21" s="94"/>
      <x:c r="N21" s="94"/>
      <x:c r="O21" s="94"/>
      <x:c r="P21" s="94"/>
      <x:c r="Q21" s="26">
        <x:f t="shared" si="5"/>
        <x:v>240000</x:v>
      </x:c>
      <x:c r="R21" s="23" t="s">
        <x:v>74</x:v>
      </x:c>
      <x:c r="S21" s="23" t="s">
        <x:v>31</x:v>
      </x:c>
      <x:c r="T21" s="32"/>
      <x:c r="U21" s="33" t="n">
        <x:v>45791</x:v>
      </x:c>
      <x:c r="V21" s="34" t="e">
        <x:f>IFERROR(__xludf.DUMMYFUNCTION("SUM(FILTER($E$2:$P$1115, $C$2:$C$1115 = U21))"),5.0)</x:f>
        <x:v>#NAME?</x:v>
      </x:c>
      <x:c r="W21" s="34" t="e">
        <x:f>IFERROR(__xludf.DUMMYFUNCTION("COUNT(FILTER($C$2:$C$1115, $C$2:$C$1115 = U21))"),4.0)</x:f>
        <x:v>#NAME?</x:v>
      </x:c>
      <x:c r="X21" s="31">
        <x:f t="shared" si="3"/>
        <x:v>1292000</x:v>
      </x:c>
    </x:row>
    <x:row r="22" ht="18.75" customHeight="1">
      <x:c r="A22" s="19">
        <x:v>21.0</x:v>
      </x:c>
      <x:c r="B22" s="29" t="s">
        <x:v>483</x:v>
      </x:c>
      <x:c r="C22" s="21">
        <x:v>45783.0</x:v>
      </x:c>
      <x:c r="D22" s="22" t="s">
        <x:v>484</x:v>
      </x:c>
      <x:c r="E22" s="23"/>
      <x:c r="F22" s="23"/>
      <x:c r="G22" s="23"/>
      <x:c r="H22" s="23"/>
      <x:c r="I22" s="25"/>
      <x:c r="J22" s="24">
        <x:v>1.0</x:v>
      </x:c>
      <x:c r="K22" s="24"/>
      <x:c r="L22" s="24"/>
      <x:c r="M22" s="94"/>
      <x:c r="N22" s="94"/>
      <x:c r="O22" s="94"/>
      <x:c r="P22" s="94"/>
      <x:c r="Q22" s="26">
        <x:f t="shared" si="5"/>
        <x:v>695000</x:v>
      </x:c>
      <x:c r="R22" s="23" t="s">
        <x:v>74</x:v>
      </x:c>
      <x:c r="S22" s="23" t="s">
        <x:v>31</x:v>
      </x:c>
      <x:c r="T22" s="32"/>
      <x:c r="U22" s="33" t="n">
        <x:v>45792</x:v>
      </x:c>
      <x:c r="V22" s="34" t="e">
        <x:f>IFERROR(__xludf.DUMMYFUNCTION("SUM(FILTER($E$2:$P$1115, $C$2:$C$1115 = U22))"),2.0)</x:f>
        <x:v>#NAME?</x:v>
      </x:c>
      <x:c r="W22" s="34" t="e">
        <x:f>IFERROR(__xludf.DUMMYFUNCTION("COUNT(FILTER($C$2:$C$1115, $C$2:$C$1115 = U22))"),2.0)</x:f>
        <x:v>#NAME?</x:v>
      </x:c>
      <x:c r="X22" s="31">
        <x:f t="shared" si="3"/>
        <x:v>640000</x:v>
      </x:c>
    </x:row>
    <x:row r="23">
      <x:c r="A23" s="19">
        <x:v>22.0</x:v>
      </x:c>
      <x:c r="B23" s="29" t="s">
        <x:v>485</x:v>
      </x:c>
      <x:c r="C23" s="21">
        <x:v>45783.0</x:v>
      </x:c>
      <x:c r="D23" s="58" t="s">
        <x:v>486</x:v>
      </x:c>
      <x:c r="E23" s="56"/>
      <x:c r="F23" s="23"/>
      <x:c r="G23" s="23"/>
      <x:c r="H23" s="23"/>
      <x:c r="I23" s="25"/>
      <x:c r="J23" s="25"/>
      <x:c r="K23" s="24">
        <x:v>1.0</x:v>
      </x:c>
      <x:c r="L23" s="25"/>
      <x:c r="M23" s="94"/>
      <x:c r="N23" s="94"/>
      <x:c r="O23" s="94"/>
      <x:c r="P23" s="94"/>
      <x:c r="Q23" s="26">
        <x:f t="shared" si="5"/>
        <x:v>240000</x:v>
      </x:c>
      <x:c r="R23" s="23" t="s">
        <x:v>74</x:v>
      </x:c>
      <x:c r="S23" s="23" t="s">
        <x:v>31</x:v>
      </x:c>
      <x:c r="T23" s="57"/>
      <x:c r="U23" s="33" t="n">
        <x:v>45793</x:v>
      </x:c>
      <x:c r="V23" s="34" t="e">
        <x:f>IFERROR(__xludf.DUMMYFUNCTION("SUM(FILTER($E$2:$P$1115, $C$2:$C$1115 = U23))"),3.0)</x:f>
        <x:v>#NAME?</x:v>
      </x:c>
      <x:c r="W23" s="34" t="e">
        <x:f>IFERROR(__xludf.DUMMYFUNCTION("COUNT(FILTER($C$2:$C$1115, $C$2:$C$1115 = U23))"),1.0)</x:f>
        <x:v>#NAME?</x:v>
      </x:c>
      <x:c r="X23" s="31">
        <x:f t="shared" si="3"/>
        <x:v>1130000</x:v>
      </x:c>
    </x:row>
    <x:row r="24" ht="18.75" customHeight="1">
      <x:c r="A24" s="19">
        <x:v>23.0</x:v>
      </x:c>
      <x:c r="B24" s="29" t="s">
        <x:v>487</x:v>
      </x:c>
      <x:c r="C24" s="21">
        <x:v>45783.0</x:v>
      </x:c>
      <x:c r="D24" s="58" t="s">
        <x:v>488</x:v>
      </x:c>
      <x:c r="E24" s="56"/>
      <x:c r="F24" s="23"/>
      <x:c r="G24" s="56"/>
      <x:c r="H24" s="56"/>
      <x:c r="I24" s="25"/>
      <x:c r="J24" s="24">
        <x:v>2.0</x:v>
      </x:c>
      <x:c r="K24" s="24"/>
      <x:c r="L24" s="24"/>
      <x:c r="M24" s="94"/>
      <x:c r="N24" s="94"/>
      <x:c r="O24" s="94"/>
      <x:c r="P24" s="94"/>
      <x:c r="Q24" s="26">
        <x:f t="shared" si="5"/>
        <x:v>1390000</x:v>
      </x:c>
      <x:c r="R24" s="23" t="s">
        <x:v>74</x:v>
      </x:c>
      <x:c r="S24" s="23" t="s">
        <x:v>31</x:v>
      </x:c>
      <x:c r="T24" s="32"/>
      <x:c r="U24" s="33" t="n">
        <x:v>45796</x:v>
      </x:c>
      <x:c r="V24" s="34" t="e">
        <x:f>IFERROR(__xludf.DUMMYFUNCTION("SUM(FILTER($E$2:$P$1115, $C$2:$C$1115 = U24))"),3.0)</x:f>
        <x:v>#NAME?</x:v>
      </x:c>
      <x:c r="W24" s="34" t="e">
        <x:f>IFERROR(__xludf.DUMMYFUNCTION("COUNT(FILTER($C$2:$C$1115, $C$2:$C$1115 = U24))"),2.0)</x:f>
        <x:v>#NAME?</x:v>
      </x:c>
      <x:c r="X24" s="31">
        <x:f t="shared" si="3"/>
        <x:v>880000</x:v>
      </x:c>
    </x:row>
    <x:row r="25" ht="18.75" customHeight="1">
      <x:c r="A25" s="19">
        <x:v>24.0</x:v>
      </x:c>
      <x:c r="B25" s="29" t="s">
        <x:v>489</x:v>
      </x:c>
      <x:c r="C25" s="21">
        <x:v>45783.0</x:v>
      </x:c>
      <x:c r="D25" s="22" t="s">
        <x:v>490</x:v>
      </x:c>
      <x:c r="E25" s="23"/>
      <x:c r="F25" s="23"/>
      <x:c r="G25" s="56"/>
      <x:c r="H25" s="23"/>
      <x:c r="I25" s="24">
        <x:v>5.0</x:v>
      </x:c>
      <x:c r="J25" s="25"/>
      <x:c r="K25" s="25"/>
      <x:c r="L25" s="24"/>
      <x:c r="M25" s="94"/>
      <x:c r="N25" s="23">
        <x:v>5.0</x:v>
      </x:c>
      <x:c r="O25" s="94"/>
      <x:c r="P25" s="94"/>
      <x:c r="Q25" s="26" t="n">
        <x:f>(E25*260+F25*255+G25*360+H25*400+I25*490+J25*695+K25*240+L25*240+M25*295+N25*315+O25*395)*1000-25000-100000</x:f>
        <x:v>3900000</x:v>
      </x:c>
      <x:c r="R25" s="23" t="s">
        <x:v>74</x:v>
      </x:c>
      <x:c r="S25" s="23" t="s">
        <x:v>31</x:v>
      </x:c>
      <x:c r="T25" s="32"/>
      <x:c r="U25" s="33" t="n">
        <x:v>45797</x:v>
      </x:c>
      <x:c r="V25" s="34" t="e">
        <x:f>IFERROR(__xludf.DUMMYFUNCTION("SUM(FILTER($E$2:$P$1115, $C$2:$C$1115 = U25))"),9.0)</x:f>
        <x:v>#NAME?</x:v>
      </x:c>
      <x:c r="W25" s="34" t="e">
        <x:f>IFERROR(__xludf.DUMMYFUNCTION("COUNT(FILTER($C$2:$C$1115, $C$2:$C$1115 = U25))"),7.0)</x:f>
        <x:v>#NAME?</x:v>
      </x:c>
      <x:c r="X25" s="31">
        <x:f t="shared" si="3"/>
        <x:v>2770000</x:v>
      </x:c>
    </x:row>
    <x:row r="26" ht="18.75" customHeight="1">
      <x:c r="A26" s="19">
        <x:v>25.0</x:v>
      </x:c>
      <x:c r="B26" s="29" t="s">
        <x:v>491</x:v>
      </x:c>
      <x:c r="C26" s="21">
        <x:v>45783.0</x:v>
      </x:c>
      <x:c r="D26" s="22" t="s">
        <x:v>492</x:v>
      </x:c>
      <x:c r="E26" s="23"/>
      <x:c r="F26" s="23"/>
      <x:c r="G26" s="56"/>
      <x:c r="H26" s="23">
        <x:v>1.0</x:v>
      </x:c>
      <x:c r="I26" s="25"/>
      <x:c r="J26" s="25"/>
      <x:c r="K26" s="25"/>
      <x:c r="L26" s="24"/>
      <x:c r="M26" s="94"/>
      <x:c r="N26" s="94"/>
      <x:c r="O26" s="94"/>
      <x:c r="P26" s="94"/>
      <x:c r="Q26" s="26" t="n">
        <x:f>(E26*260+F26*255+G26*360+H26*400+I26*470+J26*695+K26*240+L26*240+M26*295+N26*310+O26*395)*1000</x:f>
        <x:v>400000</x:v>
      </x:c>
      <x:c r="R26" s="23" t="s">
        <x:v>74</x:v>
      </x:c>
      <x:c r="S26" s="23" t="s">
        <x:v>31</x:v>
      </x:c>
      <x:c r="T26" s="32"/>
      <x:c r="U26" s="33" t="n">
        <x:v>45798</x:v>
      </x:c>
      <x:c r="V26" s="34" t="e">
        <x:f>IFERROR(__xludf.DUMMYFUNCTION("SUM(FILTER($E$2:$P$1115, $C$2:$C$1115 = U26))"),11.0)</x:f>
        <x:v>#NAME?</x:v>
      </x:c>
      <x:c r="W26" s="34" t="e">
        <x:f>IFERROR(__xludf.DUMMYFUNCTION("COUNT(FILTER($C$2:$C$1115, $C$2:$C$1115 = U26))"),9.0)</x:f>
        <x:v>#NAME?</x:v>
      </x:c>
      <x:c r="X26" s="31">
        <x:f t="shared" si="3"/>
        <x:v>2740000</x:v>
      </x:c>
    </x:row>
    <x:row r="27" ht="18.75" customHeight="1">
      <x:c r="A27" s="19">
        <x:v>26.0</x:v>
      </x:c>
      <x:c r="B27" s="29" t="s">
        <x:v>493</x:v>
      </x:c>
      <x:c r="C27" s="21">
        <x:v>45784.0</x:v>
      </x:c>
      <x:c r="D27" s="22" t="s">
        <x:v>494</x:v>
      </x:c>
      <x:c r="E27" s="23"/>
      <x:c r="F27" s="23"/>
      <x:c r="G27" s="23"/>
      <x:c r="H27" s="23"/>
      <x:c r="I27" s="24"/>
      <x:c r="J27" s="24">
        <x:v>1.0</x:v>
      </x:c>
      <x:c r="K27" s="25"/>
      <x:c r="L27" s="24"/>
      <x:c r="M27" s="94"/>
      <x:c r="N27" s="94"/>
      <x:c r="O27" s="94"/>
      <x:c r="P27" s="94"/>
      <x:c r="Q27" s="26" t="n">
        <x:f>(E27*260+F27*255+G27*360+H27*400+I27*490+J27*695+K27*240+L27*240+M27*295+N27*315+O27*395)*1000</x:f>
        <x:v>695000</x:v>
      </x:c>
      <x:c r="R27" s="23" t="s">
        <x:v>74</x:v>
      </x:c>
      <x:c r="S27" s="23" t="s">
        <x:v>31</x:v>
      </x:c>
      <x:c r="T27" s="32"/>
      <x:c r="U27" s="33" t="n">
        <x:v>45799</x:v>
      </x:c>
      <x:c r="V27" s="34" t="e">
        <x:f>IFERROR(__xludf.DUMMYFUNCTION("SUM(FILTER($E$2:$P$1115, $C$2:$C$1115 = U27))"),20.0)</x:f>
        <x:v>#NAME?</x:v>
      </x:c>
      <x:c r="W27" s="34" t="e">
        <x:f>IFERROR(__xludf.DUMMYFUNCTION("COUNT(FILTER($C$2:$C$1115, $C$2:$C$1115 = U27))"),11.0)</x:f>
        <x:v>#NAME?</x:v>
      </x:c>
      <x:c r="X27" s="31">
        <x:f t="shared" si="3"/>
        <x:v>5389000</x:v>
      </x:c>
    </x:row>
    <x:row r="28" ht="18.75" customHeight="1">
      <x:c r="A28" s="19">
        <x:v>27.0</x:v>
      </x:c>
      <x:c r="B28" s="29" t="s">
        <x:v>495</x:v>
      </x:c>
      <x:c r="C28" s="21">
        <x:v>45784.0</x:v>
      </x:c>
      <x:c r="D28" s="22" t="s">
        <x:v>496</x:v>
      </x:c>
      <x:c r="E28" s="23"/>
      <x:c r="F28" s="23"/>
      <x:c r="G28" s="23"/>
      <x:c r="H28" s="23"/>
      <x:c r="I28" s="24"/>
      <x:c r="J28" s="24"/>
      <x:c r="K28" s="25"/>
      <x:c r="L28" s="24">
        <x:v>2.0</x:v>
      </x:c>
      <x:c r="M28" s="94"/>
      <x:c r="N28" s="94"/>
      <x:c r="O28" s="94"/>
      <x:c r="P28" s="94"/>
      <x:c r="Q28" s="26" t="n">
        <x:f>(E28*260+F28*255+G28*360+H28*400+I28*490+J28*695+K28*240+L28*240+M28*295+N28*315+O28*395-7)*1000</x:f>
        <x:v>473000</x:v>
      </x:c>
      <x:c r="R28" s="23" t="s">
        <x:v>74</x:v>
      </x:c>
      <x:c r="S28" s="23" t="s">
        <x:v>31</x:v>
      </x:c>
      <x:c r="T28" s="32"/>
      <x:c r="U28" s="33" t="n">
        <x:v>45800</x:v>
      </x:c>
      <x:c r="V28" s="34" t="e">
        <x:f>IFERROR(__xludf.DUMMYFUNCTION("SUM(FILTER($E$2:$P$1115, $C$2:$C$1115 = U28))"),7.0)</x:f>
        <x:v>#NAME?</x:v>
      </x:c>
      <x:c r="W28" s="34" t="e">
        <x:f>IFERROR(__xludf.DUMMYFUNCTION("COUNT(FILTER($C$2:$C$1115, $C$2:$C$1115 = U28))"),7.0)</x:f>
        <x:v>#NAME?</x:v>
      </x:c>
      <x:c r="X28" s="31">
        <x:f t="shared" si="3"/>
        <x:v>1855000</x:v>
      </x:c>
    </x:row>
    <x:row r="29">
      <x:c r="A29" s="19">
        <x:v>28.0</x:v>
      </x:c>
      <x:c r="B29" s="29" t="s">
        <x:v>497</x:v>
      </x:c>
      <x:c r="C29" s="21">
        <x:v>45784.0</x:v>
      </x:c>
      <x:c r="D29" s="22" t="s">
        <x:v>498</x:v>
      </x:c>
      <x:c r="E29" s="23"/>
      <x:c r="F29" s="23"/>
      <x:c r="G29" s="23"/>
      <x:c r="H29" s="23"/>
      <x:c r="I29" s="25"/>
      <x:c r="J29" s="25"/>
      <x:c r="K29" s="24">
        <x:v>1.0</x:v>
      </x:c>
      <x:c r="L29" s="24"/>
      <x:c r="M29" s="94"/>
      <x:c r="N29" s="94"/>
      <x:c r="O29" s="94"/>
      <x:c r="P29" s="94"/>
      <x:c r="Q29" s="26" t="n">
        <x:f t="shared" ref="Q29:Q33" si="6">(E29*260+F29*255+G29*360+H29*400+I29*490+J29*695+K29*240+L29*240+M29*295+N29*315+O29*395)*1000</x:f>
        <x:v>240000</x:v>
      </x:c>
      <x:c r="R29" s="23" t="s">
        <x:v>74</x:v>
      </x:c>
      <x:c r="S29" s="23" t="s">
        <x:v>31</x:v>
      </x:c>
      <x:c r="T29" s="57"/>
      <x:c r="U29" s="33" t="n">
        <x:v>45801</x:v>
      </x:c>
      <x:c r="V29" s="34" t="e">
        <x:f>IFERROR(__xludf.DUMMYFUNCTION("SUM(FILTER($E$2:$P$1115, $C$2:$C$1115 = U29))"),2.0)</x:f>
        <x:v>#NAME?</x:v>
      </x:c>
      <x:c r="W29" s="34" t="e">
        <x:f>IFERROR(__xludf.DUMMYFUNCTION("COUNT(FILTER($C$2:$C$1115, $C$2:$C$1115 = U29))"),1.0)</x:f>
        <x:v>#NAME?</x:v>
      </x:c>
      <x:c r="X29" s="31">
        <x:f t="shared" si="3"/>
        <x:v>655000</x:v>
      </x:c>
    </x:row>
    <x:row r="30" ht="18.75" customHeight="1">
      <x:c r="A30" s="19">
        <x:v>29.0</x:v>
      </x:c>
      <x:c r="B30" s="29" t="s">
        <x:v>499</x:v>
      </x:c>
      <x:c r="C30" s="21">
        <x:v>45784.0</x:v>
      </x:c>
      <x:c r="D30" s="22" t="s">
        <x:v>500</x:v>
      </x:c>
      <x:c r="E30" s="56"/>
      <x:c r="F30" s="23">
        <x:v>1.0</x:v>
      </x:c>
      <x:c r="G30" s="56"/>
      <x:c r="H30" s="23"/>
      <x:c r="I30" s="24"/>
      <x:c r="J30" s="24"/>
      <x:c r="K30" s="24"/>
      <x:c r="L30" s="24"/>
      <x:c r="M30" s="94"/>
      <x:c r="N30" s="94"/>
      <x:c r="O30" s="94"/>
      <x:c r="P30" s="94"/>
      <x:c r="Q30" s="26">
        <x:f t="shared" si="6"/>
        <x:v>255000</x:v>
      </x:c>
      <x:c r="R30" s="23" t="s">
        <x:v>74</x:v>
      </x:c>
      <x:c r="S30" s="23" t="s">
        <x:v>31</x:v>
      </x:c>
      <x:c r="T30" s="57"/>
      <x:c r="U30" s="33" t="n">
        <x:v>45802</x:v>
      </x:c>
      <x:c r="V30" s="34" t="e">
        <x:f>IFERROR(__xludf.DUMMYFUNCTION("SUM(FILTER($E$2:$P$1115, $C$2:$C$1115 = U30))"),16.0)</x:f>
        <x:v>#NAME?</x:v>
      </x:c>
      <x:c r="W30" s="34" t="e">
        <x:f>IFERROR(__xludf.DUMMYFUNCTION("COUNT(FILTER($C$2:$C$1115, $C$2:$C$1115 = U30))"),13.0)</x:f>
        <x:v>#NAME?</x:v>
      </x:c>
      <x:c r="X30" s="31">
        <x:f t="shared" si="3"/>
        <x:v>4640000</x:v>
      </x:c>
    </x:row>
    <x:row r="31" ht="18.75" customHeight="1">
      <x:c r="A31" s="19">
        <x:v>30.0</x:v>
      </x:c>
      <x:c r="B31" s="29" t="s">
        <x:v>501</x:v>
      </x:c>
      <x:c r="C31" s="21">
        <x:v>45784.0</x:v>
      </x:c>
      <x:c r="D31" s="22" t="s">
        <x:v>502</x:v>
      </x:c>
      <x:c r="E31" s="56"/>
      <x:c r="F31" s="23">
        <x:v>1.0</x:v>
      </x:c>
      <x:c r="G31" s="23"/>
      <x:c r="H31" s="23">
        <x:v>1.0</x:v>
      </x:c>
      <x:c r="I31" s="24"/>
      <x:c r="J31" s="24"/>
      <x:c r="K31" s="24"/>
      <x:c r="L31" s="24"/>
      <x:c r="M31" s="94"/>
      <x:c r="N31" s="94"/>
      <x:c r="O31" s="94"/>
      <x:c r="P31" s="94"/>
      <x:c r="Q31" s="26">
        <x:f t="shared" si="6"/>
        <x:v>655000</x:v>
      </x:c>
      <x:c r="R31" s="23" t="s">
        <x:v>74</x:v>
      </x:c>
      <x:c r="S31" s="23" t="s">
        <x:v>31</x:v>
      </x:c>
      <x:c r="T31" s="32"/>
      <x:c r="U31" s="33" t="n">
        <x:v>45803</x:v>
      </x:c>
      <x:c r="V31" s="34" t="e">
        <x:f>IFERROR(__xludf.DUMMYFUNCTION("SUM(FILTER($E$2:$P$1115, $C$2:$C$1115 = U31))"),19.0)</x:f>
        <x:v>#NAME?</x:v>
      </x:c>
      <x:c r="W31" s="34" t="e">
        <x:f>IFERROR(__xludf.DUMMYFUNCTION("COUNT(FILTER($C$2:$C$1115, $C$2:$C$1115 = U31))"),13.0)</x:f>
        <x:v>#NAME?</x:v>
      </x:c>
      <x:c r="X31" s="31">
        <x:f t="shared" si="3"/>
        <x:v>5200000</x:v>
      </x:c>
    </x:row>
    <x:row r="32" ht="18.75" customHeight="1">
      <x:c r="A32" s="19">
        <x:v>31.0</x:v>
      </x:c>
      <x:c r="B32" s="29" t="s">
        <x:v>503</x:v>
      </x:c>
      <x:c r="C32" s="21">
        <x:v>45784.0</x:v>
      </x:c>
      <x:c r="D32" s="58" t="s">
        <x:v>504</x:v>
      </x:c>
      <x:c r="E32" s="23"/>
      <x:c r="F32" s="23"/>
      <x:c r="G32" s="56"/>
      <x:c r="H32" s="23"/>
      <x:c r="I32" s="24"/>
      <x:c r="J32" s="24">
        <x:v>1.0</x:v>
      </x:c>
      <x:c r="K32" s="24"/>
      <x:c r="L32" s="24"/>
      <x:c r="M32" s="94"/>
      <x:c r="N32" s="94"/>
      <x:c r="O32" s="94"/>
      <x:c r="P32" s="94"/>
      <x:c r="Q32" s="26">
        <x:f t="shared" si="6"/>
        <x:v>695000</x:v>
      </x:c>
      <x:c r="R32" s="23" t="s">
        <x:v>74</x:v>
      </x:c>
      <x:c r="S32" s="23" t="s">
        <x:v>31</x:v>
      </x:c>
      <x:c r="T32" s="32"/>
      <x:c r="U32" s="33" t="n">
        <x:v>45804</x:v>
      </x:c>
      <x:c r="V32" s="34" t="e">
        <x:f>IFERROR(__xludf.DUMMYFUNCTION("SUM(FILTER($E$2:$P$1115, $C$2:$C$1115 = U32))"),19.0)</x:f>
        <x:v>#NAME?</x:v>
      </x:c>
      <x:c r="W32" s="34" t="e">
        <x:f>IFERROR(__xludf.DUMMYFUNCTION("COUNT(FILTER($C$2:$C$1115, $C$2:$C$1115 = U32))"),13.0)</x:f>
        <x:v>#NAME?</x:v>
      </x:c>
      <x:c r="X32" s="31">
        <x:f t="shared" si="3"/>
        <x:v>6019000</x:v>
      </x:c>
    </x:row>
    <x:row r="33" ht="18.75" customHeight="1">
      <x:c r="A33" s="19">
        <x:v>32.0</x:v>
      </x:c>
      <x:c r="B33" s="29" t="s">
        <x:v>505</x:v>
      </x:c>
      <x:c r="C33" s="21">
        <x:v>45785.0</x:v>
      </x:c>
      <x:c r="D33" s="22" t="s">
        <x:v>506</x:v>
      </x:c>
      <x:c r="E33" s="23"/>
      <x:c r="F33" s="23"/>
      <x:c r="G33" s="56"/>
      <x:c r="H33" s="23"/>
      <x:c r="I33" s="24"/>
      <x:c r="J33" s="24">
        <x:v>2.0</x:v>
      </x:c>
      <x:c r="K33" s="24"/>
      <x:c r="L33" s="24"/>
      <x:c r="M33" s="23"/>
      <x:c r="N33" s="23"/>
      <x:c r="O33" s="23"/>
      <x:c r="P33" s="23"/>
      <x:c r="Q33" s="26">
        <x:f t="shared" si="6"/>
        <x:v>1390000</x:v>
      </x:c>
      <x:c r="R33" s="23" t="s">
        <x:v>74</x:v>
      </x:c>
      <x:c r="S33" s="23" t="s">
        <x:v>31</x:v>
      </x:c>
      <x:c r="T33" s="32"/>
      <x:c r="U33" s="33" t="n">
        <x:v>45805</x:v>
      </x:c>
      <x:c r="V33" s="34" t="e">
        <x:f>IFERROR(__xludf.DUMMYFUNCTION("SUM(FILTER($E$2:$P$1115, $C$2:$C$1115 = U33))"),1.0)</x:f>
        <x:v>#NAME?</x:v>
      </x:c>
      <x:c r="W33" s="34" t="e">
        <x:f>IFERROR(__xludf.DUMMYFUNCTION("COUNT(FILTER($C$2:$C$1115, $C$2:$C$1115 = U33))"),1.0)</x:f>
        <x:v>#NAME?</x:v>
      </x:c>
      <x:c r="X33" s="31">
        <x:f t="shared" si="3"/>
        <x:v>240000</x:v>
      </x:c>
    </x:row>
    <x:row r="34" ht="18.75" customHeight="1">
      <x:c r="A34" s="19">
        <x:v>33.0</x:v>
      </x:c>
      <x:c r="B34" s="29" t="s">
        <x:v>507</x:v>
      </x:c>
      <x:c r="C34" s="21">
        <x:v>45785.0</x:v>
      </x:c>
      <x:c r="D34" s="22" t="s">
        <x:v>504</x:v>
      </x:c>
      <x:c r="E34" s="56"/>
      <x:c r="F34" s="23">
        <x:v>3.0</x:v>
      </x:c>
      <x:c r="G34" s="23"/>
      <x:c r="H34" s="23"/>
      <x:c r="I34" s="25"/>
      <x:c r="J34" s="25"/>
      <x:c r="K34" s="24"/>
      <x:c r="L34" s="25"/>
      <x:c r="M34" s="94"/>
      <x:c r="N34" s="94"/>
      <x:c r="O34" s="94"/>
      <x:c r="P34" s="94"/>
      <x:c r="Q34" s="26" t="n">
        <x:f>(E34*260+F34*255+G34*360+H34*400+I34*490+J34*695+K34*240+L34*240+M34*295+N34*315+O34*395+2)*1000</x:f>
        <x:v>767000</x:v>
      </x:c>
      <x:c r="R34" s="23" t="s">
        <x:v>74</x:v>
      </x:c>
      <x:c r="S34" s="23" t="s">
        <x:v>31</x:v>
      </x:c>
      <x:c r="T34" s="32"/>
      <x:c r="U34" s="33" t="n">
        <x:v>45806</x:v>
      </x:c>
      <x:c r="V34" s="34" t="e">
        <x:f>IFERROR(__xludf.DUMMYFUNCTION("SUM(FILTER($E$2:$P$1115, $C$2:$C$1115 = U34))"),4.0)</x:f>
        <x:v>#NAME?</x:v>
      </x:c>
      <x:c r="W34" s="34" t="e">
        <x:f>IFERROR(__xludf.DUMMYFUNCTION("COUNT(FILTER($C$2:$C$1115, $C$2:$C$1115 = U34))"),3.0)</x:f>
        <x:v>#NAME?</x:v>
      </x:c>
      <x:c r="X34" s="31">
        <x:f t="shared" si="3"/>
        <x:v>960000</x:v>
      </x:c>
    </x:row>
    <x:row r="35" ht="18.75" customHeight="1">
      <x:c r="A35" s="19">
        <x:v>34.0</x:v>
      </x:c>
      <x:c r="B35" s="29" t="s">
        <x:v>508</x:v>
      </x:c>
      <x:c r="C35" s="21">
        <x:v>45785.0</x:v>
      </x:c>
      <x:c r="D35" s="22" t="s">
        <x:v>509</x:v>
      </x:c>
      <x:c r="E35" s="23"/>
      <x:c r="F35" s="23"/>
      <x:c r="G35" s="23"/>
      <x:c r="H35" s="23"/>
      <x:c r="I35" s="24"/>
      <x:c r="J35" s="24"/>
      <x:c r="K35" s="24">
        <x:v>1.0</x:v>
      </x:c>
      <x:c r="L35" s="24"/>
      <x:c r="M35" s="94"/>
      <x:c r="N35" s="94"/>
      <x:c r="O35" s="94"/>
      <x:c r="P35" s="94"/>
      <x:c r="Q35" s="26" t="n">
        <x:f t="shared" ref="Q35:Q42" si="7">(E35*260+F35*255+G35*360+H35*400+I35*490+J35*695+K35*240+L35*240+M35*295+N35*315+O35*395)*1000</x:f>
        <x:v>240000</x:v>
      </x:c>
      <x:c r="R35" s="23" t="s">
        <x:v>74</x:v>
      </x:c>
      <x:c r="S35" s="23" t="s">
        <x:v>34</x:v>
      </x:c>
      <x:c r="T35" s="32"/>
      <x:c r="U35" s="33" t="n">
        <x:v>45807</x:v>
      </x:c>
      <x:c r="V35" s="34" t="e">
        <x:f>IFERROR(__xludf.DUMMYFUNCTION("SUM(FILTER($E$2:$P$1115, $C$2:$C$1115 = U35))"),2.0)</x:f>
        <x:v>#NAME?</x:v>
      </x:c>
      <x:c r="W35" s="34" t="e">
        <x:f>IFERROR(__xludf.DUMMYFUNCTION("COUNT(FILTER($C$2:$C$1115, $C$2:$C$1115 = U35))"),2.0)</x:f>
        <x:v>#NAME?</x:v>
      </x:c>
      <x:c r="X35" s="31">
        <x:f t="shared" si="3"/>
        <x:v>480000</x:v>
      </x:c>
    </x:row>
    <x:row r="36" ht="18.75" customHeight="1">
      <x:c r="A36" s="19">
        <x:v>35.0</x:v>
      </x:c>
      <x:c r="B36" s="29" t="s">
        <x:v>510</x:v>
      </x:c>
      <x:c r="C36" s="21">
        <x:v>45785.0</x:v>
      </x:c>
      <x:c r="D36" s="22" t="s">
        <x:v>511</x:v>
      </x:c>
      <x:c r="E36" s="23"/>
      <x:c r="F36" s="23"/>
      <x:c r="G36" s="23"/>
      <x:c r="H36" s="23">
        <x:v>1.0</x:v>
      </x:c>
      <x:c r="I36" s="25"/>
      <x:c r="J36" s="25"/>
      <x:c r="K36" s="24">
        <x:v>1.0</x:v>
      </x:c>
      <x:c r="L36" s="24"/>
      <x:c r="M36" s="94"/>
      <x:c r="N36" s="94"/>
      <x:c r="O36" s="94"/>
      <x:c r="P36" s="94"/>
      <x:c r="Q36" s="26">
        <x:f t="shared" si="7"/>
        <x:v>640000</x:v>
      </x:c>
      <x:c r="R36" s="23" t="s">
        <x:v>74</x:v>
      </x:c>
      <x:c r="S36" s="23" t="s">
        <x:v>34</x:v>
      </x:c>
      <x:c r="U36" s="33" t="n">
        <x:v>45808</x:v>
      </x:c>
      <x:c r="V36" s="34" t="e">
        <x:f>IFERROR(__xludf.DUMMYFUNCTION("SUM(FILTER($E$2:$P$1115, $C$2:$C$1115 = U36))"),7.0)</x:f>
        <x:v>#NAME?</x:v>
      </x:c>
      <x:c r="W36" s="34" t="e">
        <x:f>IFERROR(__xludf.DUMMYFUNCTION("COUNT(FILTER($C$2:$C$1115, $C$2:$C$1115 = U36))"),5.0)</x:f>
        <x:v>#NAME?</x:v>
      </x:c>
      <x:c r="X36" s="31">
        <x:f t="shared" si="3"/>
        <x:v>2400000</x:v>
      </x:c>
    </x:row>
    <x:row r="37" ht="18.75" customHeight="1">
      <x:c r="A37" s="19">
        <x:v>36.0</x:v>
      </x:c>
      <x:c r="B37" s="29" t="s">
        <x:v>512</x:v>
      </x:c>
      <x:c r="C37" s="21">
        <x:v>45785.0</x:v>
      </x:c>
      <x:c r="D37" s="22" t="s">
        <x:v>513</x:v>
      </x:c>
      <x:c r="E37" s="23"/>
      <x:c r="F37" s="23"/>
      <x:c r="G37" s="23"/>
      <x:c r="H37" s="23">
        <x:v>1.0</x:v>
      </x:c>
      <x:c r="I37" s="25"/>
      <x:c r="J37" s="25"/>
      <x:c r="K37" s="24"/>
      <x:c r="L37" s="24"/>
      <x:c r="M37" s="94"/>
      <x:c r="N37" s="94"/>
      <x:c r="O37" s="94"/>
      <x:c r="P37" s="94"/>
      <x:c r="Q37" s="26">
        <x:f t="shared" si="7"/>
        <x:v>400000</x:v>
      </x:c>
      <x:c r="R37" s="23" t="s">
        <x:v>74</x:v>
      </x:c>
      <x:c r="S37" s="23" t="s">
        <x:v>31</x:v>
      </x:c>
      <x:c r="U37" s="86" t="n">
        <x:v>0</x:v>
      </x:c>
    </x:row>
    <x:row r="38">
      <x:c r="A38" s="19">
        <x:v>37.0</x:v>
      </x:c>
      <x:c r="B38" s="29" t="s">
        <x:v>514</x:v>
      </x:c>
      <x:c r="C38" s="21">
        <x:v>45785.0</x:v>
      </x:c>
      <x:c r="D38" s="22" t="s">
        <x:v>515</x:v>
      </x:c>
      <x:c r="E38" s="56"/>
      <x:c r="F38" s="23"/>
      <x:c r="G38" s="86"/>
      <x:c r="H38" s="23"/>
      <x:c r="I38" s="24"/>
      <x:c r="J38" s="24"/>
      <x:c r="K38" s="24"/>
      <x:c r="L38" s="24">
        <x:v>1.0</x:v>
      </x:c>
      <x:c r="M38" s="94"/>
      <x:c r="N38" s="94"/>
      <x:c r="O38" s="94"/>
      <x:c r="P38" s="94"/>
      <x:c r="Q38" s="26">
        <x:f t="shared" si="7"/>
        <x:v>240000</x:v>
      </x:c>
      <x:c r="R38" s="23" t="s">
        <x:v>74</x:v>
      </x:c>
      <x:c r="S38" s="23" t="s">
        <x:v>31</x:v>
      </x:c>
      <x:c r="T38" s="32"/>
    </x:row>
    <x:row r="39" ht="18.75" customHeight="1">
      <x:c r="A39" s="19">
        <x:v>38.0</x:v>
      </x:c>
      <x:c r="B39" s="29" t="s">
        <x:v>516</x:v>
      </x:c>
      <x:c r="C39" s="21">
        <x:v>45785.0</x:v>
      </x:c>
      <x:c r="D39" s="22" t="s">
        <x:v>517</x:v>
      </x:c>
      <x:c r="E39" s="23"/>
      <x:c r="F39" s="23">
        <x:v>1.0</x:v>
      </x:c>
      <x:c r="G39" s="23"/>
      <x:c r="H39" s="23"/>
      <x:c r="I39" s="25"/>
      <x:c r="J39" s="25"/>
      <x:c r="K39" s="24"/>
      <x:c r="L39" s="24"/>
      <x:c r="M39" s="94"/>
      <x:c r="N39" s="94"/>
      <x:c r="O39" s="94"/>
      <x:c r="P39" s="94"/>
      <x:c r="Q39" s="26">
        <x:f t="shared" si="7"/>
        <x:v>255000</x:v>
      </x:c>
      <x:c r="R39" s="23" t="s">
        <x:v>74</x:v>
      </x:c>
      <x:c r="S39" s="23" t="s">
        <x:v>34</x:v>
      </x:c>
    </x:row>
    <x:row r="40" ht="18.75" customHeight="1">
      <x:c r="A40" s="19">
        <x:v>39.0</x:v>
      </x:c>
      <x:c r="B40" s="29" t="s">
        <x:v>518</x:v>
      </x:c>
      <x:c r="C40" s="21">
        <x:v>45786.0</x:v>
      </x:c>
      <x:c r="D40" s="22" t="s">
        <x:v>519</x:v>
      </x:c>
      <x:c r="E40" s="23"/>
      <x:c r="F40" s="23">
        <x:v>1.0</x:v>
      </x:c>
      <x:c r="G40" s="23"/>
      <x:c r="H40" s="23"/>
      <x:c r="I40" s="25"/>
      <x:c r="J40" s="25"/>
      <x:c r="K40" s="24">
        <x:v>1.0</x:v>
      </x:c>
      <x:c r="L40" s="24"/>
      <x:c r="M40" s="94"/>
      <x:c r="N40" s="94"/>
      <x:c r="O40" s="94"/>
      <x:c r="P40" s="94"/>
      <x:c r="Q40" s="26">
        <x:f t="shared" si="7"/>
        <x:v>495000</x:v>
      </x:c>
      <x:c r="R40" s="23" t="s">
        <x:v>74</x:v>
      </x:c>
      <x:c r="S40" s="23" t="s">
        <x:v>31</x:v>
      </x:c>
    </x:row>
    <x:row r="41" ht="18.75" customHeight="1">
      <x:c r="A41" s="19">
        <x:v>40.0</x:v>
      </x:c>
      <x:c r="B41" s="29" t="s">
        <x:v>520</x:v>
      </x:c>
      <x:c r="C41" s="21">
        <x:v>45786.0</x:v>
      </x:c>
      <x:c r="D41" s="22" t="s">
        <x:v>521</x:v>
      </x:c>
      <x:c r="E41" s="23"/>
      <x:c r="F41" s="23">
        <x:v>1.0</x:v>
      </x:c>
      <x:c r="G41" s="23"/>
      <x:c r="H41" s="23"/>
      <x:c r="I41" s="24"/>
      <x:c r="J41" s="24"/>
      <x:c r="K41" s="24"/>
      <x:c r="L41" s="24"/>
      <x:c r="M41" s="94"/>
      <x:c r="N41" s="94"/>
      <x:c r="O41" s="94"/>
      <x:c r="P41" s="94"/>
      <x:c r="Q41" s="26">
        <x:f t="shared" si="7"/>
        <x:v>255000</x:v>
      </x:c>
      <x:c r="R41" s="23" t="s">
        <x:v>74</x:v>
      </x:c>
      <x:c r="S41" s="23" t="s">
        <x:v>34</x:v>
      </x:c>
    </x:row>
    <x:row r="42" ht="18.75" customHeight="1">
      <x:c r="A42" s="19">
        <x:v>41.0</x:v>
      </x:c>
      <x:c r="B42" s="29" t="s">
        <x:v>522</x:v>
      </x:c>
      <x:c r="C42" s="21">
        <x:v>45786.0</x:v>
      </x:c>
      <x:c r="D42" s="22" t="s">
        <x:v>523</x:v>
      </x:c>
      <x:c r="E42" s="23"/>
      <x:c r="F42" s="23">
        <x:v>1.0</x:v>
      </x:c>
      <x:c r="G42" s="56"/>
      <x:c r="H42" s="23"/>
      <x:c r="I42" s="25"/>
      <x:c r="J42" s="25"/>
      <x:c r="K42" s="24"/>
      <x:c r="L42" s="24"/>
      <x:c r="M42" s="94"/>
      <x:c r="N42" s="94"/>
      <x:c r="O42" s="94"/>
      <x:c r="P42" s="94"/>
      <x:c r="Q42" s="26">
        <x:f t="shared" si="7"/>
        <x:v>255000</x:v>
      </x:c>
      <x:c r="R42" s="23" t="s">
        <x:v>74</x:v>
      </x:c>
      <x:c r="S42" s="23" t="s">
        <x:v>31</x:v>
      </x:c>
    </x:row>
    <x:row r="43" ht="18.75" customHeight="1">
      <x:c r="A43" s="19">
        <x:v>42.0</x:v>
      </x:c>
      <x:c r="B43" s="29" t="s">
        <x:v>524</x:v>
      </x:c>
      <x:c r="C43" s="21">
        <x:v>45786.0</x:v>
      </x:c>
      <x:c r="D43" s="58" t="s">
        <x:v>525</x:v>
      </x:c>
      <x:c r="E43" s="23"/>
      <x:c r="F43" s="23"/>
      <x:c r="G43" s="23"/>
      <x:c r="H43" s="23"/>
      <x:c r="I43" s="25"/>
      <x:c r="J43" s="24">
        <x:v>2.0</x:v>
      </x:c>
      <x:c r="K43" s="24"/>
      <x:c r="L43" s="24"/>
      <x:c r="M43" s="94"/>
      <x:c r="N43" s="94"/>
      <x:c r="O43" s="94"/>
      <x:c r="P43" s="94"/>
      <x:c r="Q43" s="26" t="n">
        <x:f>(E43*260+F43*255+G43*360+H43*400+I43*490+J43*695+K43*240+L43*240+M43*295+N43*315+O43*395+4)*1000</x:f>
        <x:v>1394000</x:v>
      </x:c>
      <x:c r="R43" s="23" t="s">
        <x:v>74</x:v>
      </x:c>
      <x:c r="S43" s="23" t="s">
        <x:v>31</x:v>
      </x:c>
    </x:row>
    <x:row r="44" ht="18.75" customHeight="1">
      <x:c r="A44" s="19">
        <x:v>43.0</x:v>
      </x:c>
      <x:c r="B44" s="71" t="s">
        <x:v>526</x:v>
      </x:c>
      <x:c r="C44" s="21">
        <x:v>45786.0</x:v>
      </x:c>
      <x:c r="D44" s="22" t="s">
        <x:v>527</x:v>
      </x:c>
      <x:c r="E44" s="23"/>
      <x:c r="F44" s="23">
        <x:v>1.0</x:v>
      </x:c>
      <x:c r="G44" s="23"/>
      <x:c r="H44" s="23"/>
      <x:c r="I44" s="25"/>
      <x:c r="J44" s="25"/>
      <x:c r="K44" s="24"/>
      <x:c r="L44" s="24"/>
      <x:c r="M44" s="94"/>
      <x:c r="N44" s="94"/>
      <x:c r="O44" s="94"/>
      <x:c r="P44" s="94"/>
      <x:c r="Q44" s="26" t="n">
        <x:f>(E44*260+F44*255+G44*360+H44*400+I44*490+J44*695+K44*240+L44*240+M44*295+N44*315+O44*395+11)*1000</x:f>
        <x:v>266000</x:v>
      </x:c>
      <x:c r="R44" s="23" t="s">
        <x:v>74</x:v>
      </x:c>
      <x:c r="S44" s="23" t="s">
        <x:v>31</x:v>
      </x:c>
    </x:row>
    <x:row r="45" ht="18.75" customHeight="1">
      <x:c r="A45" s="19">
        <x:v>44.0</x:v>
      </x:c>
      <x:c r="B45" s="29" t="s">
        <x:v>528</x:v>
      </x:c>
      <x:c r="C45" s="21">
        <x:v>45786.0</x:v>
      </x:c>
      <x:c r="D45" s="22" t="s">
        <x:v>529</x:v>
      </x:c>
      <x:c r="E45" s="56"/>
      <x:c r="F45" s="23"/>
      <x:c r="G45" s="56"/>
      <x:c r="H45" s="23">
        <x:v>1.0</x:v>
      </x:c>
      <x:c r="I45" s="25"/>
      <x:c r="J45" s="25"/>
      <x:c r="K45" s="24"/>
      <x:c r="L45" s="24"/>
      <x:c r="M45" s="94"/>
      <x:c r="N45" s="94"/>
      <x:c r="O45" s="94"/>
      <x:c r="P45" s="94"/>
      <x:c r="Q45" s="26" t="n">
        <x:f t="shared" ref="Q45:Q50" si="8">(E45*260+F45*255+G45*360+H45*400+I45*490+J45*695+K45*240+L45*240+M45*295+N45*315+O45*395)*1000</x:f>
        <x:v>400000</x:v>
      </x:c>
      <x:c r="R45" s="23" t="s">
        <x:v>74</x:v>
      </x:c>
      <x:c r="S45" s="23" t="s">
        <x:v>34</x:v>
      </x:c>
    </x:row>
    <x:row r="46" ht="18.75" customHeight="1">
      <x:c r="A46" s="19">
        <x:v>45.0</x:v>
      </x:c>
      <x:c r="B46" s="29" t="s">
        <x:v>530</x:v>
      </x:c>
      <x:c r="C46" s="21">
        <x:v>45786.0</x:v>
      </x:c>
      <x:c r="D46" s="22" t="s">
        <x:v>531</x:v>
      </x:c>
      <x:c r="E46" s="23"/>
      <x:c r="F46" s="23">
        <x:v>1.0</x:v>
      </x:c>
      <x:c r="G46" s="56"/>
      <x:c r="H46" s="23">
        <x:v>1.0</x:v>
      </x:c>
      <x:c r="I46" s="25"/>
      <x:c r="J46" s="25"/>
      <x:c r="K46" s="24"/>
      <x:c r="L46" s="25"/>
      <x:c r="M46" s="94"/>
      <x:c r="N46" s="94"/>
      <x:c r="O46" s="94"/>
      <x:c r="P46" s="94"/>
      <x:c r="Q46" s="26">
        <x:f t="shared" si="8"/>
        <x:v>655000</x:v>
      </x:c>
      <x:c r="R46" s="23" t="s">
        <x:v>74</x:v>
      </x:c>
      <x:c r="S46" s="23" t="s">
        <x:v>34</x:v>
      </x:c>
    </x:row>
    <x:row r="47" ht="18.75" customHeight="1">
      <x:c r="A47" s="19">
        <x:v>46.0</x:v>
      </x:c>
      <x:c r="B47" s="29" t="s">
        <x:v>532</x:v>
      </x:c>
      <x:c r="C47" s="21">
        <x:v>45786.0</x:v>
      </x:c>
      <x:c r="D47" s="58" t="s">
        <x:v>533</x:v>
      </x:c>
      <x:c r="E47" s="23"/>
      <x:c r="F47" s="23"/>
      <x:c r="G47" s="23"/>
      <x:c r="H47" s="23"/>
      <x:c r="I47" s="25"/>
      <x:c r="J47" s="25"/>
      <x:c r="K47" s="24">
        <x:v>1.0</x:v>
      </x:c>
      <x:c r="L47" s="24"/>
      <x:c r="M47" s="94"/>
      <x:c r="N47" s="94"/>
      <x:c r="O47" s="94"/>
      <x:c r="P47" s="94"/>
      <x:c r="Q47" s="26">
        <x:f t="shared" si="8"/>
        <x:v>240000</x:v>
      </x:c>
      <x:c r="R47" s="23" t="s">
        <x:v>74</x:v>
      </x:c>
      <x:c r="S47" s="23" t="s">
        <x:v>31</x:v>
      </x:c>
    </x:row>
    <x:row r="48" ht="18.75" customHeight="1">
      <x:c r="A48" s="19">
        <x:v>47.0</x:v>
      </x:c>
      <x:c r="B48" s="29" t="s">
        <x:v>534</x:v>
      </x:c>
      <x:c r="C48" s="21">
        <x:v>45786.0</x:v>
      </x:c>
      <x:c r="D48" s="58" t="s">
        <x:v>535</x:v>
      </x:c>
      <x:c r="E48" s="56"/>
      <x:c r="F48" s="23">
        <x:v>2.0</x:v>
      </x:c>
      <x:c r="G48" s="23"/>
      <x:c r="H48" s="23"/>
      <x:c r="I48" s="24"/>
      <x:c r="J48" s="24"/>
      <x:c r="K48" s="24"/>
      <x:c r="L48" s="24">
        <x:v>1.0</x:v>
      </x:c>
      <x:c r="M48" s="94"/>
      <x:c r="N48" s="94"/>
      <x:c r="O48" s="94"/>
      <x:c r="P48" s="94"/>
      <x:c r="Q48" s="26">
        <x:f t="shared" si="8"/>
        <x:v>750000</x:v>
      </x:c>
      <x:c r="R48" s="23" t="s">
        <x:v>74</x:v>
      </x:c>
      <x:c r="S48" s="23" t="s">
        <x:v>34</x:v>
      </x:c>
    </x:row>
    <x:row r="49" ht="18.75" customHeight="1">
      <x:c r="A49" s="19">
        <x:v>48.0</x:v>
      </x:c>
      <x:c r="B49" s="29" t="s">
        <x:v>536</x:v>
      </x:c>
      <x:c r="C49" s="21">
        <x:v>45787.0</x:v>
      </x:c>
      <x:c r="D49" s="22" t="s">
        <x:v>537</x:v>
      </x:c>
      <x:c r="E49" s="56"/>
      <x:c r="F49" s="23">
        <x:v>1.0</x:v>
      </x:c>
      <x:c r="G49" s="23"/>
      <x:c r="H49" s="23"/>
      <x:c r="I49" s="24"/>
      <x:c r="J49" s="24"/>
      <x:c r="K49" s="24"/>
      <x:c r="L49" s="24"/>
      <x:c r="M49" s="94"/>
      <x:c r="N49" s="94"/>
      <x:c r="O49" s="94"/>
      <x:c r="P49" s="94"/>
      <x:c r="Q49" s="26">
        <x:f t="shared" si="8"/>
        <x:v>255000</x:v>
      </x:c>
      <x:c r="R49" s="23" t="s">
        <x:v>74</x:v>
      </x:c>
      <x:c r="S49" s="23" t="s">
        <x:v>31</x:v>
      </x:c>
    </x:row>
    <x:row r="50" ht="18.75" customHeight="1">
      <x:c r="A50" s="19">
        <x:v>49.0</x:v>
      </x:c>
      <x:c r="B50" s="29" t="s">
        <x:v>538</x:v>
      </x:c>
      <x:c r="C50" s="21">
        <x:v>45787.0</x:v>
      </x:c>
      <x:c r="D50" s="58" t="s">
        <x:v>539</x:v>
      </x:c>
      <x:c r="E50" s="56"/>
      <x:c r="F50" s="23"/>
      <x:c r="G50" s="56"/>
      <x:c r="H50" s="23"/>
      <x:c r="I50" s="24"/>
      <x:c r="J50" s="24"/>
      <x:c r="K50" s="24"/>
      <x:c r="L50" s="24">
        <x:v>1.0</x:v>
      </x:c>
      <x:c r="M50" s="94"/>
      <x:c r="N50" s="94"/>
      <x:c r="O50" s="94"/>
      <x:c r="P50" s="94"/>
      <x:c r="Q50" s="26">
        <x:f t="shared" si="8"/>
        <x:v>240000</x:v>
      </x:c>
      <x:c r="R50" s="23" t="s">
        <x:v>74</x:v>
      </x:c>
      <x:c r="S50" s="23" t="s">
        <x:v>31</x:v>
      </x:c>
      <x:c r="T50" s="39"/>
    </x:row>
    <x:row r="51" ht="18.75" customHeight="1">
      <x:c r="A51" s="19">
        <x:v>50.0</x:v>
      </x:c>
      <x:c r="B51" s="29" t="s">
        <x:v>540</x:v>
      </x:c>
      <x:c r="C51" s="21">
        <x:v>45787.0</x:v>
      </x:c>
      <x:c r="D51" s="22" t="s">
        <x:v>541</x:v>
      </x:c>
      <x:c r="E51" s="56"/>
      <x:c r="F51" s="23"/>
      <x:c r="G51" s="56"/>
      <x:c r="H51" s="23">
        <x:v>1.0</x:v>
      </x:c>
      <x:c r="I51" s="24">
        <x:v>1.0</x:v>
      </x:c>
      <x:c r="J51" s="24">
        <x:v>1.0</x:v>
      </x:c>
      <x:c r="K51" s="24">
        <x:v>1.0</x:v>
      </x:c>
      <x:c r="L51" s="24">
        <x:v>1.0</x:v>
      </x:c>
      <x:c r="M51" s="23">
        <x:v>1.0</x:v>
      </x:c>
      <x:c r="N51" s="23">
        <x:v>1.0</x:v>
      </x:c>
      <x:c r="O51" s="23">
        <x:v>1.0</x:v>
      </x:c>
      <x:c r="P51" s="94"/>
      <x:c r="Q51" s="26" t="n">
        <x:f>(E51*260+F51*255+G51*360+H51*400+I51*490+J51*695+K51*240+L51*240+M51*305+N51*315+O51*395-17)*1000</x:f>
        <x:v>3063000</x:v>
      </x:c>
      <x:c r="R51" s="23" t="s">
        <x:v>74</x:v>
      </x:c>
      <x:c r="S51" s="23" t="s">
        <x:v>31</x:v>
      </x:c>
    </x:row>
    <x:row r="52" ht="18.75" customHeight="1">
      <x:c r="A52" s="19">
        <x:v>51.0</x:v>
      </x:c>
      <x:c r="B52" s="29" t="s">
        <x:v>542</x:v>
      </x:c>
      <x:c r="C52" s="21">
        <x:v>45788.0</x:v>
      </x:c>
      <x:c r="D52" s="22" t="s">
        <x:v>543</x:v>
      </x:c>
      <x:c r="E52" s="56"/>
      <x:c r="F52" s="23"/>
      <x:c r="G52" s="56"/>
      <x:c r="H52" s="23">
        <x:v>1.0</x:v>
      </x:c>
      <x:c r="I52" s="25"/>
      <x:c r="J52" s="25"/>
      <x:c r="K52" s="24"/>
      <x:c r="L52" s="24"/>
      <x:c r="M52" s="94"/>
      <x:c r="N52" s="94"/>
      <x:c r="O52" s="94"/>
      <x:c r="P52" s="94"/>
      <x:c r="Q52" s="26" t="n">
        <x:f t="shared" ref="Q52:Q57" si="9">(E52*260+F52*255+G52*360+H52*400+I52*490+J52*695+K52*240+L52*240+M52*295+N52*315+O52*395)*1000</x:f>
        <x:v>400000</x:v>
      </x:c>
      <x:c r="R52" s="23" t="s">
        <x:v>74</x:v>
      </x:c>
      <x:c r="S52" s="23" t="s">
        <x:v>31</x:v>
      </x:c>
    </x:row>
    <x:row r="53" ht="18.75" customHeight="1">
      <x:c r="A53" s="19">
        <x:v>52.0</x:v>
      </x:c>
      <x:c r="B53" s="29" t="s">
        <x:v>544</x:v>
      </x:c>
      <x:c r="C53" s="21">
        <x:v>45788.0</x:v>
      </x:c>
      <x:c r="D53" s="58" t="s">
        <x:v>545</x:v>
      </x:c>
      <x:c r="E53" s="23"/>
      <x:c r="F53" s="23"/>
      <x:c r="G53" s="23"/>
      <x:c r="H53" s="23"/>
      <x:c r="I53" s="25"/>
      <x:c r="J53" s="25"/>
      <x:c r="K53" s="24"/>
      <x:c r="L53" s="24">
        <x:v>1.0</x:v>
      </x:c>
      <x:c r="M53" s="94"/>
      <x:c r="N53" s="94"/>
      <x:c r="O53" s="94"/>
      <x:c r="P53" s="94"/>
      <x:c r="Q53" s="26">
        <x:f t="shared" si="9"/>
        <x:v>240000</x:v>
      </x:c>
      <x:c r="R53" s="23" t="s">
        <x:v>74</x:v>
      </x:c>
      <x:c r="S53" s="23" t="s">
        <x:v>31</x:v>
      </x:c>
    </x:row>
    <x:row r="54" ht="18.75" customHeight="1">
      <x:c r="A54" s="19">
        <x:v>53.0</x:v>
      </x:c>
      <x:c r="B54" s="29" t="s">
        <x:v>546</x:v>
      </x:c>
      <x:c r="C54" s="21">
        <x:v>45788.0</x:v>
      </x:c>
      <x:c r="D54" s="22" t="s">
        <x:v>547</x:v>
      </x:c>
      <x:c r="E54" s="23"/>
      <x:c r="F54" s="23">
        <x:v>1.0</x:v>
      </x:c>
      <x:c r="G54" s="56"/>
      <x:c r="H54" s="23"/>
      <x:c r="I54" s="25"/>
      <x:c r="J54" s="25"/>
      <x:c r="K54" s="24"/>
      <x:c r="L54" s="24"/>
      <x:c r="M54" s="94"/>
      <x:c r="N54" s="94"/>
      <x:c r="O54" s="94"/>
      <x:c r="P54" s="94"/>
      <x:c r="Q54" s="26">
        <x:f t="shared" si="9"/>
        <x:v>255000</x:v>
      </x:c>
      <x:c r="R54" s="23" t="s">
        <x:v>74</x:v>
      </x:c>
      <x:c r="S54" s="23" t="s">
        <x:v>34</x:v>
      </x:c>
    </x:row>
    <x:row r="55" ht="18.75" customHeight="1">
      <x:c r="A55" s="19">
        <x:v>54.0</x:v>
      </x:c>
      <x:c r="B55" s="29" t="s">
        <x:v>548</x:v>
      </x:c>
      <x:c r="C55" s="21">
        <x:v>45788.0</x:v>
      </x:c>
      <x:c r="D55" s="22" t="s">
        <x:v>547</x:v>
      </x:c>
      <x:c r="E55" s="56"/>
      <x:c r="F55" s="23">
        <x:v>1.0</x:v>
      </x:c>
      <x:c r="G55" s="23"/>
      <x:c r="H55" s="23"/>
      <x:c r="I55" s="25"/>
      <x:c r="J55" s="25"/>
      <x:c r="K55" s="24"/>
      <x:c r="L55" s="25"/>
      <x:c r="M55" s="94"/>
      <x:c r="N55" s="94"/>
      <x:c r="O55" s="94"/>
      <x:c r="P55" s="94"/>
      <x:c r="Q55" s="26">
        <x:f t="shared" si="9"/>
        <x:v>255000</x:v>
      </x:c>
      <x:c r="R55" s="23" t="s">
        <x:v>74</x:v>
      </x:c>
      <x:c r="S55" s="23" t="s">
        <x:v>31</x:v>
      </x:c>
    </x:row>
    <x:row r="56" ht="18.75" customHeight="1">
      <x:c r="A56" s="19">
        <x:v>55.0</x:v>
      </x:c>
      <x:c r="B56" s="29" t="s">
        <x:v>549</x:v>
      </x:c>
      <x:c r="C56" s="21">
        <x:v>45788.0</x:v>
      </x:c>
      <x:c r="D56" s="22" t="s">
        <x:v>550</x:v>
      </x:c>
      <x:c r="E56" s="23"/>
      <x:c r="F56" s="23"/>
      <x:c r="G56" s="23"/>
      <x:c r="H56" s="23"/>
      <x:c r="I56" s="25"/>
      <x:c r="J56" s="25"/>
      <x:c r="K56" s="24"/>
      <x:c r="L56" s="24">
        <x:v>1.0</x:v>
      </x:c>
      <x:c r="M56" s="94"/>
      <x:c r="N56" s="94"/>
      <x:c r="O56" s="94"/>
      <x:c r="P56" s="94"/>
      <x:c r="Q56" s="26">
        <x:f t="shared" si="9"/>
        <x:v>240000</x:v>
      </x:c>
      <x:c r="R56" s="23" t="s">
        <x:v>74</x:v>
      </x:c>
      <x:c r="S56" s="23" t="s">
        <x:v>31</x:v>
      </x:c>
    </x:row>
    <x:row r="57" ht="18.75" customHeight="1">
      <x:c r="A57" s="19">
        <x:v>56.0</x:v>
      </x:c>
      <x:c r="B57" s="29" t="s">
        <x:v>551</x:v>
      </x:c>
      <x:c r="C57" s="21">
        <x:v>45788.0</x:v>
      </x:c>
      <x:c r="D57" s="22" t="s">
        <x:v>552</x:v>
      </x:c>
      <x:c r="E57" s="23"/>
      <x:c r="F57" s="23"/>
      <x:c r="G57" s="23"/>
      <x:c r="H57" s="23"/>
      <x:c r="I57" s="25"/>
      <x:c r="J57" s="24">
        <x:v>2.0</x:v>
      </x:c>
      <x:c r="K57" s="24"/>
      <x:c r="L57" s="25"/>
      <x:c r="M57" s="94"/>
      <x:c r="N57" s="94"/>
      <x:c r="O57" s="94"/>
      <x:c r="P57" s="94"/>
      <x:c r="Q57" s="26">
        <x:f t="shared" si="9"/>
        <x:v>1390000</x:v>
      </x:c>
      <x:c r="R57" s="23" t="s">
        <x:v>74</x:v>
      </x:c>
      <x:c r="S57" s="23" t="s">
        <x:v>34</x:v>
      </x:c>
    </x:row>
    <x:row r="58" ht="18.75" customHeight="1">
      <x:c r="A58" s="19">
        <x:v>57.0</x:v>
      </x:c>
      <x:c r="B58" s="29" t="s">
        <x:v>553</x:v>
      </x:c>
      <x:c r="C58" s="21">
        <x:v>45788.0</x:v>
      </x:c>
      <x:c r="D58" s="22" t="s">
        <x:v>554</x:v>
      </x:c>
      <x:c r="E58" s="23"/>
      <x:c r="F58" s="23"/>
      <x:c r="G58" s="23"/>
      <x:c r="H58" s="23">
        <x:v>20.0</x:v>
      </x:c>
      <x:c r="I58" s="24"/>
      <x:c r="J58" s="24"/>
      <x:c r="K58" s="24"/>
      <x:c r="L58" s="24"/>
      <x:c r="M58" s="94"/>
      <x:c r="N58" s="94"/>
      <x:c r="O58" s="94"/>
      <x:c r="P58" s="94"/>
      <x:c r="Q58" s="26" t="n">
        <x:f>(E58*260+F58*255+G58*360+H58*400+I58*490+J58*695+K58*240+L58*240+M58*295+N58*315+O58*395-200)*1000</x:f>
        <x:v>7800000</x:v>
      </x:c>
      <x:c r="R58" s="23" t="s">
        <x:v>74</x:v>
      </x:c>
      <x:c r="S58" s="23" t="s">
        <x:v>31</x:v>
      </x:c>
    </x:row>
    <x:row r="59" ht="18.75" customHeight="1">
      <x:c r="A59" s="19">
        <x:v>58.0</x:v>
      </x:c>
      <x:c r="B59" s="29" t="s">
        <x:v>555</x:v>
      </x:c>
      <x:c r="C59" s="21">
        <x:v>45788.0</x:v>
      </x:c>
      <x:c r="D59" s="22" t="s">
        <x:v>556</x:v>
      </x:c>
      <x:c r="E59" s="23"/>
      <x:c r="F59" s="23">
        <x:v>1.0</x:v>
      </x:c>
      <x:c r="G59" s="56"/>
      <x:c r="H59" s="23"/>
      <x:c r="I59" s="24"/>
      <x:c r="J59" s="24"/>
      <x:c r="K59" s="24"/>
      <x:c r="L59" s="24"/>
      <x:c r="M59" s="94"/>
      <x:c r="N59" s="94"/>
      <x:c r="O59" s="94"/>
      <x:c r="P59" s="94"/>
      <x:c r="Q59" s="26" t="n">
        <x:f>(E59*260+F59*255+G59*360+H59*400+I59*490+J59*695+K59*240+L59*240+M59*295+N59*315+O59*395)*1000</x:f>
        <x:v>255000</x:v>
      </x:c>
      <x:c r="R59" s="23" t="s">
        <x:v>74</x:v>
      </x:c>
      <x:c r="S59" s="23" t="s">
        <x:v>31</x:v>
      </x:c>
    </x:row>
    <x:row r="60" ht="18.75" customHeight="1">
      <x:c r="A60" s="19">
        <x:v>59.0</x:v>
      </x:c>
      <x:c r="B60" s="29" t="s">
        <x:v>557</x:v>
      </x:c>
      <x:c r="C60" s="21">
        <x:v>45789.0</x:v>
      </x:c>
      <x:c r="D60" s="58" t="s">
        <x:v>558</x:v>
      </x:c>
      <x:c r="E60" s="23"/>
      <x:c r="F60" s="23">
        <x:v>1.0</x:v>
      </x:c>
      <x:c r="G60" s="56"/>
      <x:c r="H60" s="23"/>
      <x:c r="I60" s="24"/>
      <x:c r="J60" s="24"/>
      <x:c r="K60" s="24"/>
      <x:c r="L60" s="24"/>
      <x:c r="M60" s="94"/>
      <x:c r="N60" s="94"/>
      <x:c r="O60" s="94"/>
      <x:c r="P60" s="94"/>
      <x:c r="Q60" s="26" t="n">
        <x:f>(E60*260+F60*255+G60*360+H60*400+I60*490+J60*695+K60*240+L60*240+M60*295+N60*315+O60*395+4)*1000</x:f>
        <x:v>259000</x:v>
      </x:c>
      <x:c r="R60" s="23" t="s">
        <x:v>74</x:v>
      </x:c>
      <x:c r="S60" s="23" t="s">
        <x:v>31</x:v>
      </x:c>
    </x:row>
    <x:row r="61" ht="18.75" customHeight="1">
      <x:c r="A61" s="19">
        <x:v>60.0</x:v>
      </x:c>
      <x:c r="B61" s="29" t="s">
        <x:v>559</x:v>
      </x:c>
      <x:c r="C61" s="21">
        <x:v>45789.0</x:v>
      </x:c>
      <x:c r="D61" s="58" t="s">
        <x:v>560</x:v>
      </x:c>
      <x:c r="E61" s="23"/>
      <x:c r="F61" s="23"/>
      <x:c r="G61" s="56"/>
      <x:c r="H61" s="23"/>
      <x:c r="I61" s="24"/>
      <x:c r="J61" s="24"/>
      <x:c r="K61" s="25"/>
      <x:c r="L61" s="24">
        <x:v>1.0</x:v>
      </x:c>
      <x:c r="M61" s="94"/>
      <x:c r="N61" s="94"/>
      <x:c r="O61" s="94"/>
      <x:c r="P61" s="94"/>
      <x:c r="Q61" s="26" t="n">
        <x:f t="shared" ref="Q61:Q69" si="10">(E61*260+F61*255+G61*360+H61*400+I61*490+J61*695+K61*240+L61*240+M61*295+N61*315+O61*395)*1000</x:f>
        <x:v>240000</x:v>
      </x:c>
      <x:c r="R61" s="23" t="s">
        <x:v>74</x:v>
      </x:c>
      <x:c r="S61" s="23" t="s">
        <x:v>34</x:v>
      </x:c>
    </x:row>
    <x:row r="62" ht="18.75" customHeight="1">
      <x:c r="A62" s="19">
        <x:v>61.0</x:v>
      </x:c>
      <x:c r="B62" s="29" t="s">
        <x:v>561</x:v>
      </x:c>
      <x:c r="C62" s="21">
        <x:v>45789.0</x:v>
      </x:c>
      <x:c r="D62" s="58" t="s">
        <x:v>562</x:v>
      </x:c>
      <x:c r="E62" s="23"/>
      <x:c r="F62" s="23"/>
      <x:c r="G62" s="56"/>
      <x:c r="H62" s="23"/>
      <x:c r="I62" s="25"/>
      <x:c r="J62" s="25"/>
      <x:c r="K62" s="24">
        <x:v>1.0</x:v>
      </x:c>
      <x:c r="L62" s="24"/>
      <x:c r="M62" s="94"/>
      <x:c r="N62" s="94"/>
      <x:c r="O62" s="94"/>
      <x:c r="P62" s="94"/>
      <x:c r="Q62" s="26">
        <x:f t="shared" si="10"/>
        <x:v>240000</x:v>
      </x:c>
      <x:c r="R62" s="23" t="s">
        <x:v>74</x:v>
      </x:c>
      <x:c r="S62" s="23" t="s">
        <x:v>31</x:v>
      </x:c>
    </x:row>
    <x:row r="63" ht="18.75" customHeight="1">
      <x:c r="A63" s="19">
        <x:v>62.0</x:v>
      </x:c>
      <x:c r="B63" s="29" t="s">
        <x:v>563</x:v>
      </x:c>
      <x:c r="C63" s="21">
        <x:v>45790.0</x:v>
      </x:c>
      <x:c r="D63" s="58" t="s">
        <x:v>564</x:v>
      </x:c>
      <x:c r="E63" s="23"/>
      <x:c r="F63" s="23"/>
      <x:c r="G63" s="23"/>
      <x:c r="H63" s="23"/>
      <x:c r="I63" s="24"/>
      <x:c r="J63" s="24"/>
      <x:c r="K63" s="24"/>
      <x:c r="L63" s="24">
        <x:v>1.0</x:v>
      </x:c>
      <x:c r="M63" s="94"/>
      <x:c r="N63" s="94"/>
      <x:c r="O63" s="94"/>
      <x:c r="P63" s="94"/>
      <x:c r="Q63" s="26">
        <x:f t="shared" si="10"/>
        <x:v>240000</x:v>
      </x:c>
      <x:c r="R63" s="23" t="s">
        <x:v>74</x:v>
      </x:c>
      <x:c r="S63" s="23" t="s">
        <x:v>34</x:v>
      </x:c>
    </x:row>
    <x:row r="64" ht="18.75" customHeight="1">
      <x:c r="A64" s="19">
        <x:v>63.0</x:v>
      </x:c>
      <x:c r="B64" s="29" t="s">
        <x:v>565</x:v>
      </x:c>
      <x:c r="C64" s="21">
        <x:v>45790.0</x:v>
      </x:c>
      <x:c r="D64" s="58" t="s">
        <x:v>566</x:v>
      </x:c>
      <x:c r="E64" s="23"/>
      <x:c r="F64" s="23"/>
      <x:c r="G64" s="23"/>
      <x:c r="H64" s="23"/>
      <x:c r="I64" s="25"/>
      <x:c r="J64" s="25"/>
      <x:c r="K64" s="24">
        <x:v>1.0</x:v>
      </x:c>
      <x:c r="L64" s="25"/>
      <x:c r="M64" s="94"/>
      <x:c r="N64" s="94"/>
      <x:c r="O64" s="94"/>
      <x:c r="P64" s="94"/>
      <x:c r="Q64" s="26">
        <x:f t="shared" si="10"/>
        <x:v>240000</x:v>
      </x:c>
      <x:c r="R64" s="23" t="s">
        <x:v>74</x:v>
      </x:c>
      <x:c r="S64" s="23" t="s">
        <x:v>31</x:v>
      </x:c>
    </x:row>
    <x:row r="65" ht="18.75" customHeight="1">
      <x:c r="A65" s="19">
        <x:v>64.0</x:v>
      </x:c>
      <x:c r="B65" s="29" t="s">
        <x:v>567</x:v>
      </x:c>
      <x:c r="C65" s="21">
        <x:v>45790.0</x:v>
      </x:c>
      <x:c r="D65" s="58" t="s">
        <x:v>568</x:v>
      </x:c>
      <x:c r="E65" s="23"/>
      <x:c r="F65" s="23">
        <x:v>1.0</x:v>
      </x:c>
      <x:c r="G65" s="23"/>
      <x:c r="H65" s="23"/>
      <x:c r="I65" s="24"/>
      <x:c r="J65" s="24"/>
      <x:c r="K65" s="24"/>
      <x:c r="L65" s="24"/>
      <x:c r="M65" s="94"/>
      <x:c r="N65" s="94"/>
      <x:c r="O65" s="94"/>
      <x:c r="P65" s="94"/>
      <x:c r="Q65" s="26">
        <x:f t="shared" si="10"/>
        <x:v>255000</x:v>
      </x:c>
      <x:c r="R65" s="23" t="s">
        <x:v>74</x:v>
      </x:c>
      <x:c r="S65" s="23" t="s">
        <x:v>34</x:v>
      </x:c>
    </x:row>
    <x:row r="66" ht="18.75" customHeight="1">
      <x:c r="A66" s="19">
        <x:v>65.0</x:v>
      </x:c>
      <x:c r="B66" s="29" t="s">
        <x:v>569</x:v>
      </x:c>
      <x:c r="C66" s="21">
        <x:v>45790.0</x:v>
      </x:c>
      <x:c r="D66" s="22" t="s">
        <x:v>570</x:v>
      </x:c>
      <x:c r="E66" s="23"/>
      <x:c r="F66" s="23"/>
      <x:c r="G66" s="56"/>
      <x:c r="H66" s="23"/>
      <x:c r="I66" s="25"/>
      <x:c r="J66" s="25"/>
      <x:c r="K66" s="24"/>
      <x:c r="L66" s="24">
        <x:v>1.0</x:v>
      </x:c>
      <x:c r="M66" s="94"/>
      <x:c r="N66" s="94"/>
      <x:c r="O66" s="94"/>
      <x:c r="P66" s="94"/>
      <x:c r="Q66" s="26">
        <x:f t="shared" si="10"/>
        <x:v>240000</x:v>
      </x:c>
      <x:c r="R66" s="23" t="s">
        <x:v>74</x:v>
      </x:c>
      <x:c r="S66" s="23" t="s">
        <x:v>31</x:v>
      </x:c>
    </x:row>
    <x:row r="67" ht="18.75" customHeight="1">
      <x:c r="A67" s="19">
        <x:v>66.0</x:v>
      </x:c>
      <x:c r="B67" s="29" t="s">
        <x:v>571</x:v>
      </x:c>
      <x:c r="C67" s="21">
        <x:v>45790.0</x:v>
      </x:c>
      <x:c r="D67" s="58" t="s">
        <x:v>572</x:v>
      </x:c>
      <x:c r="E67" s="23"/>
      <x:c r="F67" s="23"/>
      <x:c r="G67" s="23"/>
      <x:c r="H67" s="23">
        <x:v>1.0</x:v>
      </x:c>
      <x:c r="I67" s="25"/>
      <x:c r="J67" s="25"/>
      <x:c r="K67" s="25"/>
      <x:c r="L67" s="24">
        <x:v>1.0</x:v>
      </x:c>
      <x:c r="M67" s="94"/>
      <x:c r="N67" s="94"/>
      <x:c r="O67" s="94"/>
      <x:c r="P67" s="94"/>
      <x:c r="Q67" s="26">
        <x:f t="shared" si="10"/>
        <x:v>640000</x:v>
      </x:c>
      <x:c r="R67" s="23" t="s">
        <x:v>74</x:v>
      </x:c>
      <x:c r="S67" s="23" t="s">
        <x:v>34</x:v>
      </x:c>
    </x:row>
    <x:row r="68" ht="18.75" customHeight="1">
      <x:c r="A68" s="19">
        <x:v>67.0</x:v>
      </x:c>
      <x:c r="B68" s="29" t="s">
        <x:v>573</x:v>
      </x:c>
      <x:c r="C68" s="21">
        <x:v>45790.0</x:v>
      </x:c>
      <x:c r="D68" s="58" t="s">
        <x:v>574</x:v>
      </x:c>
      <x:c r="E68" s="23"/>
      <x:c r="F68" s="23"/>
      <x:c r="G68" s="23"/>
      <x:c r="H68" s="23">
        <x:v>1.0</x:v>
      </x:c>
      <x:c r="I68" s="25"/>
      <x:c r="J68" s="25"/>
      <x:c r="K68" s="24"/>
      <x:c r="L68" s="25"/>
      <x:c r="M68" s="94"/>
      <x:c r="N68" s="94"/>
      <x:c r="O68" s="94"/>
      <x:c r="P68" s="94"/>
      <x:c r="Q68" s="26">
        <x:f t="shared" si="10"/>
        <x:v>400000</x:v>
      </x:c>
      <x:c r="R68" s="23" t="s">
        <x:v>74</x:v>
      </x:c>
      <x:c r="S68" s="23" t="s">
        <x:v>31</x:v>
      </x:c>
    </x:row>
    <x:row r="69" ht="18.75" customHeight="1">
      <x:c r="A69" s="19">
        <x:v>68.0</x:v>
      </x:c>
      <x:c r="B69" s="20" t="s">
        <x:v>575</x:v>
      </x:c>
      <x:c r="C69" s="21">
        <x:v>45790.0</x:v>
      </x:c>
      <x:c r="D69" s="58" t="s">
        <x:v>576</x:v>
      </x:c>
      <x:c r="E69" s="23"/>
      <x:c r="F69" s="23"/>
      <x:c r="G69" s="56"/>
      <x:c r="H69" s="23"/>
      <x:c r="I69" s="25"/>
      <x:c r="J69" s="25"/>
      <x:c r="K69" s="24">
        <x:v>1.0</x:v>
      </x:c>
      <x:c r="L69" s="24"/>
      <x:c r="M69" s="94"/>
      <x:c r="N69" s="94"/>
      <x:c r="O69" s="94"/>
      <x:c r="P69" s="94"/>
      <x:c r="Q69" s="26">
        <x:f t="shared" si="10"/>
        <x:v>240000</x:v>
      </x:c>
      <x:c r="R69" s="23" t="s">
        <x:v>74</x:v>
      </x:c>
      <x:c r="S69" s="23" t="s">
        <x:v>34</x:v>
      </x:c>
    </x:row>
    <x:row r="70" ht="18.75" customHeight="1">
      <x:c r="A70" s="19">
        <x:v>69.0</x:v>
      </x:c>
      <x:c r="B70" s="20" t="s">
        <x:v>577</x:v>
      </x:c>
      <x:c r="C70" s="21">
        <x:v>45790.0</x:v>
      </x:c>
      <x:c r="D70" s="58" t="s">
        <x:v>578</x:v>
      </x:c>
      <x:c r="E70" s="23"/>
      <x:c r="F70" s="23"/>
      <x:c r="G70" s="23"/>
      <x:c r="H70" s="23"/>
      <x:c r="I70" s="24"/>
      <x:c r="J70" s="24"/>
      <x:c r="K70" s="24"/>
      <x:c r="L70" s="24">
        <x:v>1.0</x:v>
      </x:c>
      <x:c r="M70" s="94"/>
      <x:c r="N70" s="94"/>
      <x:c r="O70" s="94"/>
      <x:c r="P70" s="94"/>
      <x:c r="Q70" s="26" t="n">
        <x:f>(E70*260+F70*255+G70*360+H70*400+I70*490+J70*695+K70*240+L70*240+M70*295+N70*315+O70*395+2)*1000</x:f>
        <x:v>242000</x:v>
      </x:c>
      <x:c r="R70" s="23" t="s">
        <x:v>74</x:v>
      </x:c>
      <x:c r="S70" s="23" t="s">
        <x:v>31</x:v>
      </x:c>
    </x:row>
    <x:row r="71" ht="18.75" customHeight="1">
      <x:c r="A71" s="19">
        <x:v>70.0</x:v>
      </x:c>
      <x:c r="B71" s="20" t="s">
        <x:v>579</x:v>
      </x:c>
      <x:c r="C71" s="21">
        <x:v>45790.0</x:v>
      </x:c>
      <x:c r="D71" s="58" t="s">
        <x:v>580</x:v>
      </x:c>
      <x:c r="E71" s="23"/>
      <x:c r="F71" s="23">
        <x:v>2.0</x:v>
      </x:c>
      <x:c r="G71" s="23"/>
      <x:c r="H71" s="23">
        <x:v>2.0</x:v>
      </x:c>
      <x:c r="I71" s="25"/>
      <x:c r="J71" s="25"/>
      <x:c r="K71" s="24"/>
      <x:c r="L71" s="25"/>
      <x:c r="M71" s="94"/>
      <x:c r="N71" s="94"/>
      <x:c r="O71" s="94"/>
      <x:c r="P71" s="94"/>
      <x:c r="Q71" s="26" t="n">
        <x:f t="shared" ref="Q71:Q73" si="11">(E71*260+F71*255+G71*360+H71*400+I71*490+J71*695+K71*240+L71*240+M71*295+N71*315+O71*395)*1000</x:f>
        <x:v>1310000</x:v>
      </x:c>
      <x:c r="R71" s="23" t="s">
        <x:v>74</x:v>
      </x:c>
      <x:c r="S71" s="23" t="s">
        <x:v>31</x:v>
      </x:c>
    </x:row>
    <x:row r="72" ht="18.75" customHeight="1">
      <x:c r="A72" s="19">
        <x:v>71.0</x:v>
      </x:c>
      <x:c r="B72" s="20" t="s">
        <x:v>581</x:v>
      </x:c>
      <x:c r="C72" s="21">
        <x:v>45790.0</x:v>
      </x:c>
      <x:c r="D72" s="58" t="s">
        <x:v>582</x:v>
      </x:c>
      <x:c r="E72" s="23"/>
      <x:c r="F72" s="23"/>
      <x:c r="G72" s="56"/>
      <x:c r="H72" s="23"/>
      <x:c r="I72" s="24">
        <x:v>1.0</x:v>
      </x:c>
      <x:c r="J72" s="25"/>
      <x:c r="K72" s="24"/>
      <x:c r="L72" s="25"/>
      <x:c r="M72" s="94"/>
      <x:c r="N72" s="94"/>
      <x:c r="O72" s="94"/>
      <x:c r="P72" s="94"/>
      <x:c r="Q72" s="26">
        <x:f t="shared" si="11"/>
        <x:v>490000</x:v>
      </x:c>
      <x:c r="R72" s="23" t="s">
        <x:v>74</x:v>
      </x:c>
      <x:c r="S72" s="23" t="s">
        <x:v>31</x:v>
      </x:c>
    </x:row>
    <x:row r="73" ht="18.75" customHeight="1">
      <x:c r="A73" s="19">
        <x:v>72.0</x:v>
      </x:c>
      <x:c r="B73" s="20" t="s">
        <x:v>583</x:v>
      </x:c>
      <x:c r="C73" s="21">
        <x:v>45791.0</x:v>
      </x:c>
      <x:c r="D73" s="58" t="s">
        <x:v>584</x:v>
      </x:c>
      <x:c r="E73" s="23"/>
      <x:c r="F73" s="23">
        <x:v>1.0</x:v>
      </x:c>
      <x:c r="G73" s="56"/>
      <x:c r="H73" s="23"/>
      <x:c r="I73" s="25"/>
      <x:c r="J73" s="25"/>
      <x:c r="K73" s="24"/>
      <x:c r="L73" s="25"/>
      <x:c r="M73" s="94"/>
      <x:c r="N73" s="94"/>
      <x:c r="O73" s="94"/>
      <x:c r="P73" s="94"/>
      <x:c r="Q73" s="26">
        <x:f t="shared" si="11"/>
        <x:v>255000</x:v>
      </x:c>
      <x:c r="R73" s="23" t="s">
        <x:v>74</x:v>
      </x:c>
      <x:c r="S73" s="23" t="s">
        <x:v>31</x:v>
      </x:c>
    </x:row>
    <x:row r="74" ht="18.75" customHeight="1">
      <x:c r="A74" s="19">
        <x:v>73.0</x:v>
      </x:c>
      <x:c r="B74" s="20" t="s">
        <x:v>585</x:v>
      </x:c>
      <x:c r="C74" s="21">
        <x:v>45791.0</x:v>
      </x:c>
      <x:c r="D74" s="58" t="s">
        <x:v>586</x:v>
      </x:c>
      <x:c r="E74" s="23"/>
      <x:c r="F74" s="23">
        <x:v>2.0</x:v>
      </x:c>
      <x:c r="G74" s="56"/>
      <x:c r="H74" s="23"/>
      <x:c r="I74" s="25"/>
      <x:c r="J74" s="25"/>
      <x:c r="K74" s="24"/>
      <x:c r="L74" s="25"/>
      <x:c r="M74" s="94"/>
      <x:c r="N74" s="94"/>
      <x:c r="O74" s="94"/>
      <x:c r="P74" s="94"/>
      <x:c r="Q74" s="26" t="n">
        <x:f>(E74*260+F74*255+G74*360+H74*400+I74*490+J74*695+K74*240+L74*240+M74*295+N74*315+O74*395+20)*1000</x:f>
        <x:v>530000</x:v>
      </x:c>
      <x:c r="R74" s="23" t="s">
        <x:v>74</x:v>
      </x:c>
      <x:c r="S74" s="23" t="s">
        <x:v>31</x:v>
      </x:c>
    </x:row>
    <x:row r="75" ht="18.75" customHeight="1">
      <x:c r="A75" s="19">
        <x:v>74.0</x:v>
      </x:c>
      <x:c r="B75" s="20" t="s">
        <x:v>587</x:v>
      </x:c>
      <x:c r="C75" s="21">
        <x:v>45791.0</x:v>
      </x:c>
      <x:c r="D75" s="22" t="s">
        <x:v>588</x:v>
      </x:c>
      <x:c r="E75" s="23"/>
      <x:c r="F75" s="23"/>
      <x:c r="G75" s="23"/>
      <x:c r="H75" s="23"/>
      <x:c r="I75" s="25"/>
      <x:c r="J75" s="25"/>
      <x:c r="K75" s="25"/>
      <x:c r="L75" s="24">
        <x:v>1.0</x:v>
      </x:c>
      <x:c r="M75" s="94"/>
      <x:c r="N75" s="94"/>
      <x:c r="O75" s="94"/>
      <x:c r="P75" s="94"/>
      <x:c r="Q75" s="26" t="n">
        <x:f>(E75*260+F75*255+G75*360+H75*400+I75*490+J75*695+K75*240+L75*240+M75*295+N75*315+O75*395+27)*1000</x:f>
        <x:v>267000</x:v>
      </x:c>
      <x:c r="R75" s="23" t="s">
        <x:v>74</x:v>
      </x:c>
      <x:c r="S75" s="23" t="s">
        <x:v>34</x:v>
      </x:c>
    </x:row>
    <x:row r="76" ht="18.75" customHeight="1">
      <x:c r="A76" s="19">
        <x:v>75.0</x:v>
      </x:c>
      <x:c r="B76" s="20" t="s">
        <x:v>589</x:v>
      </x:c>
      <x:c r="C76" s="21">
        <x:v>45791.0</x:v>
      </x:c>
      <x:c r="D76" s="58" t="s">
        <x:v>590</x:v>
      </x:c>
      <x:c r="E76" s="23"/>
      <x:c r="F76" s="23"/>
      <x:c r="G76" s="56"/>
      <x:c r="H76" s="23"/>
      <x:c r="I76" s="25"/>
      <x:c r="J76" s="25"/>
      <x:c r="K76" s="25"/>
      <x:c r="L76" s="24">
        <x:v>1.0</x:v>
      </x:c>
      <x:c r="M76" s="94"/>
      <x:c r="N76" s="94"/>
      <x:c r="O76" s="94"/>
      <x:c r="P76" s="94"/>
      <x:c r="Q76" s="26" t="n">
        <x:f t="shared" ref="Q76:Q94" si="12">(E76*260+F76*255+G76*360+H76*400+I76*490+J76*695+K76*240+L76*240+M76*295+N76*315+O76*395)*1000</x:f>
        <x:v>240000</x:v>
      </x:c>
      <x:c r="R76" s="23" t="s">
        <x:v>74</x:v>
      </x:c>
      <x:c r="S76" s="23" t="s">
        <x:v>31</x:v>
      </x:c>
    </x:row>
    <x:row r="77" ht="18.75" customHeight="1">
      <x:c r="A77" s="19">
        <x:v>76.0</x:v>
      </x:c>
      <x:c r="B77" s="71" t="s">
        <x:v>591</x:v>
      </x:c>
      <x:c r="C77" s="21">
        <x:v>45792.0</x:v>
      </x:c>
      <x:c r="D77" s="58" t="s">
        <x:v>592</x:v>
      </x:c>
      <x:c r="E77" s="23"/>
      <x:c r="F77" s="23"/>
      <x:c r="G77" s="23"/>
      <x:c r="H77" s="23"/>
      <x:c r="I77" s="25"/>
      <x:c r="J77" s="25"/>
      <x:c r="K77" s="24">
        <x:v>1.0</x:v>
      </x:c>
      <x:c r="L77" s="25"/>
      <x:c r="M77" s="94"/>
      <x:c r="N77" s="94"/>
      <x:c r="O77" s="94"/>
      <x:c r="P77" s="94"/>
      <x:c r="Q77" s="26">
        <x:f t="shared" si="12"/>
        <x:v>240000</x:v>
      </x:c>
      <x:c r="R77" s="23" t="s">
        <x:v>74</x:v>
      </x:c>
      <x:c r="S77" s="23" t="s">
        <x:v>34</x:v>
      </x:c>
    </x:row>
    <x:row r="78" ht="18.75" customHeight="1">
      <x:c r="A78" s="19">
        <x:v>77.0</x:v>
      </x:c>
      <x:c r="B78" s="20" t="s">
        <x:v>593</x:v>
      </x:c>
      <x:c r="C78" s="21">
        <x:v>45792.0</x:v>
      </x:c>
      <x:c r="D78" s="22" t="s">
        <x:v>594</x:v>
      </x:c>
      <x:c r="E78" s="23"/>
      <x:c r="F78" s="23"/>
      <x:c r="G78" s="56"/>
      <x:c r="H78" s="23">
        <x:v>1.0</x:v>
      </x:c>
      <x:c r="I78" s="25"/>
      <x:c r="J78" s="25"/>
      <x:c r="K78" s="24"/>
      <x:c r="L78" s="24"/>
      <x:c r="M78" s="94"/>
      <x:c r="N78" s="94"/>
      <x:c r="O78" s="94"/>
      <x:c r="P78" s="94"/>
      <x:c r="Q78" s="26">
        <x:f t="shared" si="12"/>
        <x:v>400000</x:v>
      </x:c>
      <x:c r="R78" s="23" t="s">
        <x:v>74</x:v>
      </x:c>
      <x:c r="S78" s="23" t="s">
        <x:v>31</x:v>
      </x:c>
    </x:row>
    <x:row r="79" ht="18.75" customHeight="1">
      <x:c r="A79" s="19">
        <x:v>78.0</x:v>
      </x:c>
      <x:c r="B79" s="20" t="s">
        <x:v>595</x:v>
      </x:c>
      <x:c r="C79" s="21">
        <x:v>45793.0</x:v>
      </x:c>
      <x:c r="D79" s="58" t="s">
        <x:v>596</x:v>
      </x:c>
      <x:c r="E79" s="23"/>
      <x:c r="F79" s="23"/>
      <x:c r="G79" s="56"/>
      <x:c r="H79" s="23">
        <x:v>1.0</x:v>
      </x:c>
      <x:c r="I79" s="24">
        <x:v>1.0</x:v>
      </x:c>
      <x:c r="J79" s="25"/>
      <x:c r="K79" s="24"/>
      <x:c r="L79" s="24">
        <x:v>1.0</x:v>
      </x:c>
      <x:c r="M79" s="94"/>
      <x:c r="N79" s="94"/>
      <x:c r="O79" s="94"/>
      <x:c r="P79" s="94"/>
      <x:c r="Q79" s="26">
        <x:f t="shared" si="12"/>
        <x:v>1130000</x:v>
      </x:c>
      <x:c r="R79" s="23" t="s">
        <x:v>74</x:v>
      </x:c>
      <x:c r="S79" s="23" t="s">
        <x:v>31</x:v>
      </x:c>
    </x:row>
    <x:row r="80" ht="18.75" customHeight="1">
      <x:c r="A80" s="19">
        <x:v>79.0</x:v>
      </x:c>
      <x:c r="B80" s="20" t="s">
        <x:v>597</x:v>
      </x:c>
      <x:c r="C80" s="21">
        <x:v>45796.0</x:v>
      </x:c>
      <x:c r="D80" s="22" t="s">
        <x:v>598</x:v>
      </x:c>
      <x:c r="E80" s="23"/>
      <x:c r="F80" s="23"/>
      <x:c r="G80" s="56"/>
      <x:c r="H80" s="23"/>
      <x:c r="I80" s="25"/>
      <x:c r="J80" s="25"/>
      <x:c r="K80" s="25"/>
      <x:c r="L80" s="24">
        <x:v>2.0</x:v>
      </x:c>
      <x:c r="M80" s="94"/>
      <x:c r="N80" s="94"/>
      <x:c r="O80" s="94"/>
      <x:c r="P80" s="94"/>
      <x:c r="Q80" s="26">
        <x:f t="shared" si="12"/>
        <x:v>480000</x:v>
      </x:c>
      <x:c r="R80" s="23" t="s">
        <x:v>74</x:v>
      </x:c>
      <x:c r="S80" s="23" t="s">
        <x:v>31</x:v>
      </x:c>
    </x:row>
    <x:row r="81" ht="18.75" customHeight="1">
      <x:c r="A81" s="19">
        <x:v>80.0</x:v>
      </x:c>
      <x:c r="B81" s="20" t="s">
        <x:v>581</x:v>
      </x:c>
      <x:c r="C81" s="21">
        <x:v>45796.0</x:v>
      </x:c>
      <x:c r="D81" s="58" t="s">
        <x:v>582</x:v>
      </x:c>
      <x:c r="E81" s="23"/>
      <x:c r="F81" s="23"/>
      <x:c r="G81" s="56"/>
      <x:c r="H81" s="23">
        <x:v>1.0</x:v>
      </x:c>
      <x:c r="I81" s="25"/>
      <x:c r="J81" s="25"/>
      <x:c r="K81" s="24"/>
      <x:c r="L81" s="25"/>
      <x:c r="M81" s="94"/>
      <x:c r="N81" s="94"/>
      <x:c r="O81" s="94"/>
      <x:c r="P81" s="94"/>
      <x:c r="Q81" s="26">
        <x:f t="shared" si="12"/>
        <x:v>400000</x:v>
      </x:c>
      <x:c r="R81" s="23" t="s">
        <x:v>74</x:v>
      </x:c>
      <x:c r="S81" s="23" t="s">
        <x:v>34</x:v>
      </x:c>
    </x:row>
    <x:row r="82" ht="18.75" customHeight="1">
      <x:c r="A82" s="19">
        <x:v>81.0</x:v>
      </x:c>
      <x:c r="B82" s="20" t="s">
        <x:v>581</x:v>
      </x:c>
      <x:c r="C82" s="21">
        <x:v>45797.0</x:v>
      </x:c>
      <x:c r="D82" s="58" t="s">
        <x:v>582</x:v>
      </x:c>
      <x:c r="E82" s="23"/>
      <x:c r="F82" s="23"/>
      <x:c r="G82" s="56"/>
      <x:c r="H82" s="23">
        <x:v>1.0</x:v>
      </x:c>
      <x:c r="I82" s="25"/>
      <x:c r="J82" s="25"/>
      <x:c r="K82" s="24"/>
      <x:c r="L82" s="25"/>
      <x:c r="M82" s="94"/>
      <x:c r="N82" s="94"/>
      <x:c r="O82" s="94"/>
      <x:c r="P82" s="94"/>
      <x:c r="Q82" s="26">
        <x:f t="shared" si="12"/>
        <x:v>400000</x:v>
      </x:c>
      <x:c r="R82" s="23" t="s">
        <x:v>74</x:v>
      </x:c>
      <x:c r="S82" s="23" t="s">
        <x:v>31</x:v>
      </x:c>
    </x:row>
    <x:row r="83" ht="18.75" customHeight="1">
      <x:c r="A83" s="19">
        <x:v>82.0</x:v>
      </x:c>
      <x:c r="B83" s="20" t="s">
        <x:v>599</x:v>
      </x:c>
      <x:c r="C83" s="21">
        <x:v>45797.0</x:v>
      </x:c>
      <x:c r="D83" s="22" t="s">
        <x:v>600</x:v>
      </x:c>
      <x:c r="E83" s="23"/>
      <x:c r="F83" s="23">
        <x:v>1.0</x:v>
      </x:c>
      <x:c r="G83" s="23"/>
      <x:c r="H83" s="23"/>
      <x:c r="I83" s="25"/>
      <x:c r="J83" s="25"/>
      <x:c r="K83" s="25"/>
      <x:c r="L83" s="25"/>
      <x:c r="M83" s="94"/>
      <x:c r="N83" s="94"/>
      <x:c r="O83" s="94"/>
      <x:c r="P83" s="94"/>
      <x:c r="Q83" s="26">
        <x:f t="shared" si="12"/>
        <x:v>255000</x:v>
      </x:c>
      <x:c r="R83" s="23" t="s">
        <x:v>74</x:v>
      </x:c>
      <x:c r="S83" s="23" t="s">
        <x:v>31</x:v>
      </x:c>
    </x:row>
    <x:row r="84" ht="18.75" customHeight="1">
      <x:c r="A84" s="19">
        <x:v>83.0</x:v>
      </x:c>
      <x:c r="B84" s="29" t="s">
        <x:v>601</x:v>
      </x:c>
      <x:c r="C84" s="21">
        <x:v>45797.0</x:v>
      </x:c>
      <x:c r="D84" s="58" t="s">
        <x:v>602</x:v>
      </x:c>
      <x:c r="E84" s="56"/>
      <x:c r="F84" s="23">
        <x:v>2.0</x:v>
      </x:c>
      <x:c r="G84" s="23"/>
      <x:c r="H84" s="23"/>
      <x:c r="I84" s="25"/>
      <x:c r="J84" s="25"/>
      <x:c r="K84" s="25"/>
      <x:c r="L84" s="25"/>
      <x:c r="M84" s="94"/>
      <x:c r="N84" s="94"/>
      <x:c r="O84" s="94"/>
      <x:c r="P84" s="94"/>
      <x:c r="Q84" s="26">
        <x:f t="shared" si="12"/>
        <x:v>510000</x:v>
      </x:c>
      <x:c r="R84" s="23" t="s">
        <x:v>74</x:v>
      </x:c>
      <x:c r="S84" s="23" t="s">
        <x:v>34</x:v>
      </x:c>
    </x:row>
    <x:row r="85" ht="18.75" customHeight="1">
      <x:c r="A85" s="19">
        <x:v>84.0</x:v>
      </x:c>
      <x:c r="B85" s="20" t="s">
        <x:v>581</x:v>
      </x:c>
      <x:c r="C85" s="21">
        <x:v>45797.0</x:v>
      </x:c>
      <x:c r="D85" s="58" t="s">
        <x:v>582</x:v>
      </x:c>
      <x:c r="E85" s="56"/>
      <x:c r="F85" s="23"/>
      <x:c r="G85" s="23"/>
      <x:c r="H85" s="23">
        <x:v>1.0</x:v>
      </x:c>
      <x:c r="I85" s="25"/>
      <x:c r="J85" s="25"/>
      <x:c r="K85" s="24"/>
      <x:c r="L85" s="25"/>
      <x:c r="M85" s="94"/>
      <x:c r="N85" s="94"/>
      <x:c r="O85" s="94"/>
      <x:c r="P85" s="94"/>
      <x:c r="Q85" s="26">
        <x:f t="shared" si="12"/>
        <x:v>400000</x:v>
      </x:c>
      <x:c r="R85" s="23" t="s">
        <x:v>74</x:v>
      </x:c>
      <x:c r="S85" s="23" t="s">
        <x:v>34</x:v>
      </x:c>
    </x:row>
    <x:row r="86" ht="18.75" customHeight="1">
      <x:c r="A86" s="19">
        <x:v>85.0</x:v>
      </x:c>
      <x:c r="B86" s="29" t="s">
        <x:v>603</x:v>
      </x:c>
      <x:c r="C86" s="21">
        <x:v>45797.0</x:v>
      </x:c>
      <x:c r="D86" s="97" t="s">
        <x:v>604</x:v>
      </x:c>
      <x:c r="E86" s="56"/>
      <x:c r="F86" s="23">
        <x:v>1.0</x:v>
      </x:c>
      <x:c r="G86" s="56"/>
      <x:c r="H86" s="23"/>
      <x:c r="I86" s="25"/>
      <x:c r="J86" s="25"/>
      <x:c r="K86" s="24"/>
      <x:c r="L86" s="24">
        <x:v>1.0</x:v>
      </x:c>
      <x:c r="M86" s="94"/>
      <x:c r="N86" s="94"/>
      <x:c r="O86" s="94"/>
      <x:c r="P86" s="94"/>
      <x:c r="Q86" s="26">
        <x:f t="shared" si="12"/>
        <x:v>495000</x:v>
      </x:c>
      <x:c r="R86" s="23" t="s">
        <x:v>74</x:v>
      </x:c>
      <x:c r="S86" s="23" t="s">
        <x:v>31</x:v>
      </x:c>
    </x:row>
    <x:row r="87" ht="18.75" customHeight="1">
      <x:c r="A87" s="19">
        <x:v>86.0</x:v>
      </x:c>
      <x:c r="B87" s="29" t="s">
        <x:v>605</x:v>
      </x:c>
      <x:c r="C87" s="21">
        <x:v>45797.0</x:v>
      </x:c>
      <x:c r="D87" s="22" t="s">
        <x:v>606</x:v>
      </x:c>
      <x:c r="E87" s="56"/>
      <x:c r="F87" s="23"/>
      <x:c r="G87" s="56"/>
      <x:c r="H87" s="23"/>
      <x:c r="I87" s="25"/>
      <x:c r="J87" s="25"/>
      <x:c r="K87" s="24">
        <x:v>1.0</x:v>
      </x:c>
      <x:c r="L87" s="25"/>
      <x:c r="M87" s="94"/>
      <x:c r="N87" s="94"/>
      <x:c r="O87" s="94"/>
      <x:c r="P87" s="94"/>
      <x:c r="Q87" s="26">
        <x:f t="shared" si="12"/>
        <x:v>240000</x:v>
      </x:c>
      <x:c r="R87" s="23" t="s">
        <x:v>74</x:v>
      </x:c>
      <x:c r="S87" s="23" t="s">
        <x:v>34</x:v>
      </x:c>
    </x:row>
    <x:row r="88" ht="18.75" customHeight="1">
      <x:c r="A88" s="19">
        <x:v>87.0</x:v>
      </x:c>
      <x:c r="B88" s="29" t="s">
        <x:v>607</x:v>
      </x:c>
      <x:c r="C88" s="21">
        <x:v>45798.0</x:v>
      </x:c>
      <x:c r="D88" s="58" t="s">
        <x:v>608</x:v>
      </x:c>
      <x:c r="E88" s="56"/>
      <x:c r="F88" s="23">
        <x:v>1.0</x:v>
      </x:c>
      <x:c r="G88" s="56"/>
      <x:c r="H88" s="23"/>
      <x:c r="I88" s="25"/>
      <x:c r="J88" s="25"/>
      <x:c r="K88" s="24"/>
      <x:c r="L88" s="25"/>
      <x:c r="M88" s="94"/>
      <x:c r="N88" s="94"/>
      <x:c r="O88" s="94"/>
      <x:c r="P88" s="94"/>
      <x:c r="Q88" s="26">
        <x:f t="shared" si="12"/>
        <x:v>255000</x:v>
      </x:c>
      <x:c r="R88" s="23" t="s">
        <x:v>74</x:v>
      </x:c>
      <x:c r="S88" s="23" t="s">
        <x:v>31</x:v>
      </x:c>
    </x:row>
    <x:row r="89" ht="18.75" customHeight="1">
      <x:c r="A89" s="19">
        <x:v>88.0</x:v>
      </x:c>
      <x:c r="B89" s="29" t="s">
        <x:v>609</x:v>
      </x:c>
      <x:c r="C89" s="21">
        <x:v>45798.0</x:v>
      </x:c>
      <x:c r="D89" s="58" t="s">
        <x:v>610</x:v>
      </x:c>
      <x:c r="E89" s="23"/>
      <x:c r="F89" s="23">
        <x:v>1.0</x:v>
      </x:c>
      <x:c r="G89" s="56"/>
      <x:c r="H89" s="23"/>
      <x:c r="I89" s="25"/>
      <x:c r="J89" s="25"/>
      <x:c r="K89" s="24">
        <x:v>1.0</x:v>
      </x:c>
      <x:c r="L89" s="25"/>
      <x:c r="M89" s="94"/>
      <x:c r="N89" s="94"/>
      <x:c r="O89" s="94"/>
      <x:c r="P89" s="94"/>
      <x:c r="Q89" s="26">
        <x:f t="shared" si="12"/>
        <x:v>495000</x:v>
      </x:c>
      <x:c r="R89" s="23" t="s">
        <x:v>74</x:v>
      </x:c>
      <x:c r="S89" s="23" t="s">
        <x:v>31</x:v>
      </x:c>
    </x:row>
    <x:row r="90" ht="18.75" customHeight="1">
      <x:c r="A90" s="19">
        <x:v>89.0</x:v>
      </x:c>
      <x:c r="B90" s="29" t="s">
        <x:v>611</x:v>
      </x:c>
      <x:c r="C90" s="21">
        <x:v>45798.0</x:v>
      </x:c>
      <x:c r="D90" s="22" t="s">
        <x:v>612</x:v>
      </x:c>
      <x:c r="E90" s="56"/>
      <x:c r="F90" s="23">
        <x:v>1.0</x:v>
      </x:c>
      <x:c r="G90" s="23"/>
      <x:c r="H90" s="23"/>
      <x:c r="I90" s="25"/>
      <x:c r="J90" s="25"/>
      <x:c r="K90" s="25"/>
      <x:c r="L90" s="25"/>
      <x:c r="M90" s="94"/>
      <x:c r="N90" s="94"/>
      <x:c r="O90" s="94"/>
      <x:c r="P90" s="94"/>
      <x:c r="Q90" s="26">
        <x:f t="shared" si="12"/>
        <x:v>255000</x:v>
      </x:c>
      <x:c r="R90" s="23" t="s">
        <x:v>74</x:v>
      </x:c>
      <x:c r="S90" s="23" t="s">
        <x:v>31</x:v>
      </x:c>
    </x:row>
    <x:row r="91" ht="18.75" customHeight="1">
      <x:c r="A91" s="19">
        <x:v>90.0</x:v>
      </x:c>
      <x:c r="B91" s="29" t="s">
        <x:v>613</x:v>
      </x:c>
      <x:c r="C91" s="21">
        <x:v>45798.0</x:v>
      </x:c>
      <x:c r="D91" s="22" t="s">
        <x:v>614</x:v>
      </x:c>
      <x:c r="E91" s="56"/>
      <x:c r="F91" s="23">
        <x:v>1.0</x:v>
      </x:c>
      <x:c r="G91" s="23"/>
      <x:c r="H91" s="23"/>
      <x:c r="I91" s="25"/>
      <x:c r="J91" s="25"/>
      <x:c r="K91" s="25"/>
      <x:c r="L91" s="24">
        <x:v>1.0</x:v>
      </x:c>
      <x:c r="M91" s="94"/>
      <x:c r="N91" s="94"/>
      <x:c r="O91" s="94"/>
      <x:c r="P91" s="94"/>
      <x:c r="Q91" s="26">
        <x:f t="shared" si="12"/>
        <x:v>495000</x:v>
      </x:c>
      <x:c r="R91" s="23" t="s">
        <x:v>74</x:v>
      </x:c>
      <x:c r="S91" s="23" t="s">
        <x:v>31</x:v>
      </x:c>
    </x:row>
    <x:row r="92" ht="18.75" customHeight="1">
      <x:c r="A92" s="19">
        <x:v>91.0</x:v>
      </x:c>
      <x:c r="B92" s="29" t="s">
        <x:v>615</x:v>
      </x:c>
      <x:c r="C92" s="21">
        <x:v>45798.0</x:v>
      </x:c>
      <x:c r="D92" s="58" t="s">
        <x:v>616</x:v>
      </x:c>
      <x:c r="E92" s="56"/>
      <x:c r="F92" s="23">
        <x:v>1.0</x:v>
      </x:c>
      <x:c r="G92" s="23"/>
      <x:c r="H92" s="23"/>
      <x:c r="I92" s="25"/>
      <x:c r="J92" s="25"/>
      <x:c r="K92" s="24"/>
      <x:c r="L92" s="25"/>
      <x:c r="M92" s="94"/>
      <x:c r="N92" s="94"/>
      <x:c r="O92" s="94"/>
      <x:c r="P92" s="94"/>
      <x:c r="Q92" s="26">
        <x:f t="shared" si="12"/>
        <x:v>255000</x:v>
      </x:c>
      <x:c r="R92" s="23" t="s">
        <x:v>74</x:v>
      </x:c>
      <x:c r="S92" s="23" t="s">
        <x:v>31</x:v>
      </x:c>
    </x:row>
    <x:row r="93" ht="18.75" customHeight="1">
      <x:c r="A93" s="19">
        <x:v>92.0</x:v>
      </x:c>
      <x:c r="B93" s="29" t="s">
        <x:v>617</x:v>
      </x:c>
      <x:c r="C93" s="21">
        <x:v>45798.0</x:v>
      </x:c>
      <x:c r="D93" s="58" t="s">
        <x:v>618</x:v>
      </x:c>
      <x:c r="E93" s="23"/>
      <x:c r="F93" s="23">
        <x:v>1.0</x:v>
      </x:c>
      <x:c r="G93" s="56"/>
      <x:c r="H93" s="23"/>
      <x:c r="I93" s="25"/>
      <x:c r="J93" s="25"/>
      <x:c r="K93" s="25"/>
      <x:c r="L93" s="25"/>
      <x:c r="M93" s="94"/>
      <x:c r="N93" s="94"/>
      <x:c r="O93" s="94"/>
      <x:c r="P93" s="94"/>
      <x:c r="Q93" s="26">
        <x:f t="shared" si="12"/>
        <x:v>255000</x:v>
      </x:c>
      <x:c r="R93" s="23" t="s">
        <x:v>74</x:v>
      </x:c>
      <x:c r="S93" s="23" t="s">
        <x:v>31</x:v>
      </x:c>
    </x:row>
    <x:row r="94" ht="18.75" customHeight="1">
      <x:c r="A94" s="19">
        <x:v>93.0</x:v>
      </x:c>
      <x:c r="B94" s="29" t="s">
        <x:v>619</x:v>
      </x:c>
      <x:c r="C94" s="21">
        <x:v>45798.0</x:v>
      </x:c>
      <x:c r="D94" s="58" t="s">
        <x:v>620</x:v>
      </x:c>
      <x:c r="E94" s="23"/>
      <x:c r="F94" s="23"/>
      <x:c r="G94" s="56"/>
      <x:c r="H94" s="23"/>
      <x:c r="I94" s="25"/>
      <x:c r="J94" s="25"/>
      <x:c r="K94" s="24"/>
      <x:c r="L94" s="24">
        <x:v>1.0</x:v>
      </x:c>
      <x:c r="M94" s="94"/>
      <x:c r="N94" s="94"/>
      <x:c r="O94" s="94"/>
      <x:c r="P94" s="94"/>
      <x:c r="Q94" s="26">
        <x:f t="shared" si="12"/>
        <x:v>240000</x:v>
      </x:c>
      <x:c r="R94" s="23" t="s">
        <x:v>74</x:v>
      </x:c>
      <x:c r="S94" s="23" t="s">
        <x:v>31</x:v>
      </x:c>
    </x:row>
    <x:row r="95" ht="18.75" customHeight="1">
      <x:c r="A95" s="19">
        <x:v>94.0</x:v>
      </x:c>
      <x:c r="B95" s="29" t="s">
        <x:v>621</x:v>
      </x:c>
      <x:c r="C95" s="21">
        <x:v>45798.0</x:v>
      </x:c>
      <x:c r="D95" s="22" t="s">
        <x:v>622</x:v>
      </x:c>
      <x:c r="E95" s="56"/>
      <x:c r="F95" s="23"/>
      <x:c r="G95" s="56"/>
      <x:c r="H95" s="23"/>
      <x:c r="I95" s="25"/>
      <x:c r="J95" s="25"/>
      <x:c r="K95" s="25"/>
      <x:c r="L95" s="24">
        <x:v>1.0</x:v>
      </x:c>
      <x:c r="M95" s="94"/>
      <x:c r="N95" s="94"/>
      <x:c r="O95" s="94"/>
      <x:c r="P95" s="94"/>
      <x:c r="Q95" s="26" t="n">
        <x:f>(E95*260+F95*255+G95*360+H95*400+I95*490+J95*695+K95*240+L95*240+M95*295+N95*315+O95*395)*1000-5000</x:f>
        <x:v>235000</x:v>
      </x:c>
      <x:c r="R95" s="23" t="s">
        <x:v>74</x:v>
      </x:c>
      <x:c r="S95" s="23" t="s">
        <x:v>31</x:v>
      </x:c>
    </x:row>
    <x:row r="96" ht="18.75" customHeight="1">
      <x:c r="A96" s="19">
        <x:v>95.0</x:v>
      </x:c>
      <x:c r="B96" s="29" t="s">
        <x:v>623</x:v>
      </x:c>
      <x:c r="C96" s="21">
        <x:v>45798.0</x:v>
      </x:c>
      <x:c r="D96" s="22" t="s">
        <x:v>624</x:v>
      </x:c>
      <x:c r="E96" s="56"/>
      <x:c r="F96" s="23">
        <x:v>1.0</x:v>
      </x:c>
      <x:c r="G96" s="23"/>
      <x:c r="H96" s="23"/>
      <x:c r="I96" s="25"/>
      <x:c r="J96" s="25"/>
      <x:c r="K96" s="25"/>
      <x:c r="L96" s="25"/>
      <x:c r="M96" s="94"/>
      <x:c r="N96" s="94"/>
      <x:c r="O96" s="94"/>
      <x:c r="P96" s="94"/>
      <x:c r="Q96" s="26" t="n">
        <x:f t="shared" ref="Q96:Q98" si="13">(E96*260+F96*255+G96*360+H96*400+I96*490+J96*695+K96*240+L96*240+M96*295+N96*315+O96*395)*1000</x:f>
        <x:v>255000</x:v>
      </x:c>
      <x:c r="R96" s="23" t="s">
        <x:v>74</x:v>
      </x:c>
      <x:c r="S96" s="23" t="s">
        <x:v>31</x:v>
      </x:c>
    </x:row>
    <x:row r="97" ht="18.75" customHeight="1">
      <x:c r="A97" s="19">
        <x:v>96.0</x:v>
      </x:c>
      <x:c r="B97" s="29" t="s">
        <x:v>625</x:v>
      </x:c>
      <x:c r="C97" s="21">
        <x:v>45799.0</x:v>
      </x:c>
      <x:c r="D97" s="58" t="s">
        <x:v>626</x:v>
      </x:c>
      <x:c r="E97" s="23"/>
      <x:c r="F97" s="23"/>
      <x:c r="G97" s="56"/>
      <x:c r="H97" s="23"/>
      <x:c r="I97" s="25"/>
      <x:c r="J97" s="25"/>
      <x:c r="K97" s="24">
        <x:v>2.0</x:v>
      </x:c>
      <x:c r="L97" s="24"/>
      <x:c r="M97" s="94"/>
      <x:c r="N97" s="94"/>
      <x:c r="O97" s="94"/>
      <x:c r="P97" s="94"/>
      <x:c r="Q97" s="26">
        <x:f t="shared" si="13"/>
        <x:v>480000</x:v>
      </x:c>
      <x:c r="R97" s="23" t="s">
        <x:v>74</x:v>
      </x:c>
      <x:c r="S97" s="23" t="s">
        <x:v>31</x:v>
      </x:c>
    </x:row>
    <x:row r="98" ht="18.75" customHeight="1">
      <x:c r="A98" s="19">
        <x:v>97.0</x:v>
      </x:c>
      <x:c r="B98" s="29" t="s">
        <x:v>627</x:v>
      </x:c>
      <x:c r="C98" s="21">
        <x:v>45799.0</x:v>
      </x:c>
      <x:c r="D98" s="58" t="s">
        <x:v>628</x:v>
      </x:c>
      <x:c r="E98" s="56"/>
      <x:c r="F98" s="23"/>
      <x:c r="G98" s="23"/>
      <x:c r="H98" s="23"/>
      <x:c r="I98" s="25"/>
      <x:c r="J98" s="25"/>
      <x:c r="K98" s="25"/>
      <x:c r="L98" s="24">
        <x:v>1.0</x:v>
      </x:c>
      <x:c r="M98" s="94"/>
      <x:c r="N98" s="94"/>
      <x:c r="O98" s="94"/>
      <x:c r="P98" s="94"/>
      <x:c r="Q98" s="26">
        <x:f t="shared" si="13"/>
        <x:v>240000</x:v>
      </x:c>
      <x:c r="R98" s="23" t="s">
        <x:v>74</x:v>
      </x:c>
      <x:c r="S98" s="23" t="s">
        <x:v>31</x:v>
      </x:c>
    </x:row>
    <x:row r="99" ht="18.75" customHeight="1">
      <x:c r="A99" s="19">
        <x:v>98.0</x:v>
      </x:c>
      <x:c r="B99" s="29" t="s">
        <x:v>629</x:v>
      </x:c>
      <x:c r="C99" s="21">
        <x:v>45799.0</x:v>
      </x:c>
      <x:c r="D99" s="22" t="s">
        <x:v>630</x:v>
      </x:c>
      <x:c r="E99" s="56"/>
      <x:c r="F99" s="23"/>
      <x:c r="G99" s="23"/>
      <x:c r="H99" s="23"/>
      <x:c r="I99" s="25"/>
      <x:c r="J99" s="25"/>
      <x:c r="K99" s="25"/>
      <x:c r="L99" s="24">
        <x:v>3.0</x:v>
      </x:c>
      <x:c r="M99" s="94"/>
      <x:c r="N99" s="94"/>
      <x:c r="O99" s="94"/>
      <x:c r="P99" s="94"/>
      <x:c r="Q99" s="26" t="n">
        <x:f>(E99*260+F99*255+G99*360+H99*400+I99*490+J99*695+K99*240+L99*240+M99*295+N99*315+O99*395)*1000-6000</x:f>
        <x:v>714000</x:v>
      </x:c>
      <x:c r="R99" s="23" t="s">
        <x:v>74</x:v>
      </x:c>
      <x:c r="S99" s="23" t="s">
        <x:v>31</x:v>
      </x:c>
    </x:row>
    <x:row r="100" ht="18.75" customHeight="1">
      <x:c r="A100" s="19">
        <x:v>99.0</x:v>
      </x:c>
      <x:c r="B100" s="29" t="s">
        <x:v>631</x:v>
      </x:c>
      <x:c r="C100" s="21">
        <x:v>45799.0</x:v>
      </x:c>
      <x:c r="D100" s="58" t="s">
        <x:v>632</x:v>
      </x:c>
      <x:c r="E100" s="56"/>
      <x:c r="F100" s="23"/>
      <x:c r="G100" s="23"/>
      <x:c r="H100" s="23"/>
      <x:c r="I100" s="25"/>
      <x:c r="J100" s="25"/>
      <x:c r="K100" s="25"/>
      <x:c r="L100" s="24">
        <x:v>1.0</x:v>
      </x:c>
      <x:c r="M100" s="94"/>
      <x:c r="N100" s="94"/>
      <x:c r="O100" s="94"/>
      <x:c r="P100" s="94"/>
      <x:c r="Q100" s="26" t="n">
        <x:f t="shared" ref="Q100:Q104" si="14">(E100*260+F100*255+G100*360+H100*400+I100*490+J100*695+K100*240+L100*240+M100*295+N100*315+O100*395)*1000</x:f>
        <x:v>240000</x:v>
      </x:c>
      <x:c r="R100" s="23" t="s">
        <x:v>74</x:v>
      </x:c>
      <x:c r="S100" s="23" t="s">
        <x:v>31</x:v>
      </x:c>
    </x:row>
    <x:row r="101" ht="18.75" customHeight="1">
      <x:c r="A101" s="19">
        <x:v>100.0</x:v>
      </x:c>
      <x:c r="B101" s="29" t="s">
        <x:v>633</x:v>
      </x:c>
      <x:c r="C101" s="21">
        <x:v>45799.0</x:v>
      </x:c>
      <x:c r="D101" s="58" t="s">
        <x:v>634</x:v>
      </x:c>
      <x:c r="E101" s="56"/>
      <x:c r="F101" s="23">
        <x:v>2.0</x:v>
      </x:c>
      <x:c r="G101" s="23"/>
      <x:c r="H101" s="23">
        <x:v>1.0</x:v>
      </x:c>
      <x:c r="I101" s="25"/>
      <x:c r="J101" s="25"/>
      <x:c r="K101" s="24">
        <x:v>1.0</x:v>
      </x:c>
      <x:c r="L101" s="25"/>
      <x:c r="M101" s="94"/>
      <x:c r="N101" s="94"/>
      <x:c r="O101" s="94"/>
      <x:c r="P101" s="94"/>
      <x:c r="Q101" s="26">
        <x:f t="shared" si="14"/>
        <x:v>1150000</x:v>
      </x:c>
      <x:c r="R101" s="23" t="s">
        <x:v>74</x:v>
      </x:c>
      <x:c r="S101" s="23" t="s">
        <x:v>34</x:v>
      </x:c>
    </x:row>
    <x:row r="102" ht="18.75" customHeight="1">
      <x:c r="A102" s="19">
        <x:v>101.0</x:v>
      </x:c>
      <x:c r="B102" s="29" t="s">
        <x:v>635</x:v>
      </x:c>
      <x:c r="C102" s="21">
        <x:v>45799.0</x:v>
      </x:c>
      <x:c r="D102" s="58" t="s">
        <x:v>636</x:v>
      </x:c>
      <x:c r="E102" s="56"/>
      <x:c r="F102" s="23"/>
      <x:c r="G102" s="23"/>
      <x:c r="H102" s="23">
        <x:v>1.0</x:v>
      </x:c>
      <x:c r="I102" s="25"/>
      <x:c r="J102" s="25"/>
      <x:c r="K102" s="25"/>
      <x:c r="L102" s="25"/>
      <x:c r="M102" s="94"/>
      <x:c r="N102" s="94"/>
      <x:c r="O102" s="94"/>
      <x:c r="P102" s="94"/>
      <x:c r="Q102" s="26">
        <x:f t="shared" si="14"/>
        <x:v>400000</x:v>
      </x:c>
      <x:c r="R102" s="23" t="s">
        <x:v>74</x:v>
      </x:c>
      <x:c r="S102" s="23" t="s">
        <x:v>31</x:v>
      </x:c>
    </x:row>
    <x:row r="103" ht="18.75" customHeight="1">
      <x:c r="A103" s="19">
        <x:v>102.0</x:v>
      </x:c>
      <x:c r="B103" s="29" t="s">
        <x:v>637</x:v>
      </x:c>
      <x:c r="C103" s="21">
        <x:v>45799.0</x:v>
      </x:c>
      <x:c r="D103" s="22" t="s">
        <x:v>638</x:v>
      </x:c>
      <x:c r="E103" s="56"/>
      <x:c r="F103" s="23">
        <x:v>1.0</x:v>
      </x:c>
      <x:c r="G103" s="56"/>
      <x:c r="H103" s="23"/>
      <x:c r="I103" s="25"/>
      <x:c r="J103" s="25"/>
      <x:c r="K103" s="24">
        <x:v>1.0</x:v>
      </x:c>
      <x:c r="L103" s="25"/>
      <x:c r="M103" s="94"/>
      <x:c r="N103" s="94"/>
      <x:c r="O103" s="94"/>
      <x:c r="P103" s="94"/>
      <x:c r="Q103" s="26">
        <x:f t="shared" si="14"/>
        <x:v>495000</x:v>
      </x:c>
      <x:c r="R103" s="23" t="s">
        <x:v>74</x:v>
      </x:c>
      <x:c r="S103" s="23" t="s">
        <x:v>31</x:v>
      </x:c>
    </x:row>
    <x:row r="104" ht="18.75" customHeight="1">
      <x:c r="A104" s="19">
        <x:v>103.0</x:v>
      </x:c>
      <x:c r="B104" s="29" t="s">
        <x:v>639</x:v>
      </x:c>
      <x:c r="C104" s="21">
        <x:v>45799.0</x:v>
      </x:c>
      <x:c r="D104" s="58" t="s">
        <x:v>640</x:v>
      </x:c>
      <x:c r="E104" s="56"/>
      <x:c r="F104" s="23"/>
      <x:c r="G104" s="56"/>
      <x:c r="H104" s="23"/>
      <x:c r="I104" s="25"/>
      <x:c r="J104" s="25"/>
      <x:c r="K104" s="24">
        <x:v>1.0</x:v>
      </x:c>
      <x:c r="L104" s="25"/>
      <x:c r="M104" s="94"/>
      <x:c r="N104" s="94"/>
      <x:c r="O104" s="94"/>
      <x:c r="P104" s="94"/>
      <x:c r="Q104" s="26">
        <x:f t="shared" si="14"/>
        <x:v>240000</x:v>
      </x:c>
      <x:c r="R104" s="23" t="s">
        <x:v>74</x:v>
      </x:c>
      <x:c r="S104" s="23" t="s">
        <x:v>31</x:v>
      </x:c>
    </x:row>
    <x:row r="105" ht="18.75" customHeight="1">
      <x:c r="A105" s="19">
        <x:v>104.0</x:v>
      </x:c>
      <x:c r="B105" s="29" t="s">
        <x:v>641</x:v>
      </x:c>
      <x:c r="C105" s="21">
        <x:v>45799.0</x:v>
      </x:c>
      <x:c r="D105" s="58" t="s">
        <x:v>642</x:v>
      </x:c>
      <x:c r="E105" s="56"/>
      <x:c r="F105" s="23">
        <x:v>1.0</x:v>
      </x:c>
      <x:c r="G105" s="56"/>
      <x:c r="H105" s="23"/>
      <x:c r="I105" s="24">
        <x:v>1.0</x:v>
      </x:c>
      <x:c r="J105" s="25"/>
      <x:c r="K105" s="25"/>
      <x:c r="L105" s="25"/>
      <x:c r="M105" s="94"/>
      <x:c r="N105" s="94"/>
      <x:c r="O105" s="94"/>
      <x:c r="P105" s="94"/>
      <x:c r="Q105" s="26" t="n">
        <x:f>(E105*260+F105*255+G105*360+H105*400+I105*470+J105*695+K105*240+L105*240+M105*295+N105*315+O105*395)*1000</x:f>
        <x:v>725000</x:v>
      </x:c>
      <x:c r="R105" s="23" t="s">
        <x:v>74</x:v>
      </x:c>
      <x:c r="S105" s="23" t="s">
        <x:v>31</x:v>
      </x:c>
    </x:row>
    <x:row r="106" ht="18.75" customHeight="1">
      <x:c r="A106" s="19">
        <x:v>105.0</x:v>
      </x:c>
      <x:c r="B106" s="29" t="s">
        <x:v>643</x:v>
      </x:c>
      <x:c r="C106" s="21">
        <x:v>45799.0</x:v>
      </x:c>
      <x:c r="D106" s="35" t="s">
        <x:v>471</x:v>
      </x:c>
      <x:c r="E106" s="56"/>
      <x:c r="F106" s="23"/>
      <x:c r="G106" s="56"/>
      <x:c r="H106" s="23"/>
      <x:c r="I106" s="25"/>
      <x:c r="J106" s="25"/>
      <x:c r="K106" s="25"/>
      <x:c r="L106" s="24">
        <x:v>1.0</x:v>
      </x:c>
      <x:c r="M106" s="94"/>
      <x:c r="N106" s="94"/>
      <x:c r="O106" s="94"/>
      <x:c r="P106" s="94"/>
      <x:c r="Q106" s="26" t="n">
        <x:f>(E106*260+F106*255+G106*360+H106*400+I106*490+J106*695+K106*240+L106*240+M106*295+N106*315+O106*395)*1000-15000</x:f>
        <x:v>225000</x:v>
      </x:c>
      <x:c r="R106" s="23" t="s">
        <x:v>74</x:v>
      </x:c>
      <x:c r="S106" s="23" t="s">
        <x:v>31</x:v>
      </x:c>
    </x:row>
    <x:row r="107" ht="18.75" customHeight="1">
      <x:c r="A107" s="19">
        <x:v>106.0</x:v>
      </x:c>
      <x:c r="B107" s="29" t="s">
        <x:v>644</x:v>
      </x:c>
      <x:c r="C107" s="21">
        <x:v>45799.0</x:v>
      </x:c>
      <x:c r="D107" s="58" t="s">
        <x:v>645</x:v>
      </x:c>
      <x:c r="E107" s="56"/>
      <x:c r="F107" s="23"/>
      <x:c r="G107" s="56"/>
      <x:c r="H107" s="23"/>
      <x:c r="I107" s="25"/>
      <x:c r="J107" s="25"/>
      <x:c r="K107" s="24">
        <x:v>1.0</x:v>
      </x:c>
      <x:c r="L107" s="24">
        <x:v>1.0</x:v>
      </x:c>
      <x:c r="M107" s="94"/>
      <x:c r="N107" s="94"/>
      <x:c r="O107" s="94"/>
      <x:c r="P107" s="94"/>
      <x:c r="Q107" s="26" t="n">
        <x:f>(E107*260+F107*255+G107*360+H107*400+I107*490+J107*695+K107*240+L107*240+M107*295+N107*315+O107*395)*1000</x:f>
        <x:v>480000</x:v>
      </x:c>
      <x:c r="R107" s="23" t="s">
        <x:v>74</x:v>
      </x:c>
      <x:c r="S107" s="23" t="s">
        <x:v>31</x:v>
      </x:c>
    </x:row>
    <x:row r="108" ht="18.75" customHeight="1">
      <x:c r="A108" s="19">
        <x:v>107.0</x:v>
      </x:c>
      <x:c r="B108" s="20" t="s">
        <x:v>581</x:v>
      </x:c>
      <x:c r="C108" s="21">
        <x:v>45797.0</x:v>
      </x:c>
      <x:c r="D108" s="58" t="s">
        <x:v>582</x:v>
      </x:c>
      <x:c r="E108" s="56"/>
      <x:c r="F108" s="23"/>
      <x:c r="G108" s="56"/>
      <x:c r="H108" s="23"/>
      <x:c r="I108" s="24">
        <x:v>1.0</x:v>
      </x:c>
      <x:c r="J108" s="25"/>
      <x:c r="K108" s="24"/>
      <x:c r="L108" s="25"/>
      <x:c r="M108" s="94"/>
      <x:c r="N108" s="94"/>
      <x:c r="O108" s="94"/>
      <x:c r="P108" s="94"/>
      <x:c r="Q108" s="26" t="n">
        <x:f>(E108*260+F108*255+G108*360+H108*400+I108*490+J108*695+K108*240+L108*240+M108*295+N108*315+O108*395-20)*1000</x:f>
        <x:v>470000</x:v>
      </x:c>
      <x:c r="R108" s="23" t="s">
        <x:v>74</x:v>
      </x:c>
      <x:c r="S108" s="23" t="s">
        <x:v>31</x:v>
      </x:c>
    </x:row>
    <x:row r="109" ht="18.75" customHeight="1">
      <x:c r="A109" s="19">
        <x:v>108.0</x:v>
      </x:c>
      <x:c r="B109" s="29" t="s">
        <x:v>646</x:v>
      </x:c>
      <x:c r="C109" s="21">
        <x:v>45800.0</x:v>
      </x:c>
      <x:c r="D109" s="22" t="s">
        <x:v>647</x:v>
      </x:c>
      <x:c r="E109" s="56"/>
      <x:c r="F109" s="23"/>
      <x:c r="G109" s="56"/>
      <x:c r="H109" s="23"/>
      <x:c r="I109" s="25"/>
      <x:c r="J109" s="25"/>
      <x:c r="K109" s="25"/>
      <x:c r="L109" s="24">
        <x:v>1.0</x:v>
      </x:c>
      <x:c r="M109" s="94"/>
      <x:c r="N109" s="94"/>
      <x:c r="O109" s="94"/>
      <x:c r="P109" s="94"/>
      <x:c r="Q109" s="26" t="n">
        <x:f t="shared" ref="Q109:Q122" si="15">(E109*260+F109*255+G109*360+H109*400+I109*490+J109*695+K109*240+L109*240+M109*295+N109*315+O109*395)*1000</x:f>
        <x:v>240000</x:v>
      </x:c>
      <x:c r="R109" s="23" t="s">
        <x:v>74</x:v>
      </x:c>
      <x:c r="S109" s="23" t="s">
        <x:v>31</x:v>
      </x:c>
    </x:row>
    <x:row r="110" ht="18.75" customHeight="1">
      <x:c r="A110" s="19">
        <x:v>109.0</x:v>
      </x:c>
      <x:c r="B110" s="29" t="s">
        <x:v>648</x:v>
      </x:c>
      <x:c r="C110" s="21">
        <x:v>45800.0</x:v>
      </x:c>
      <x:c r="D110" s="58" t="s">
        <x:v>649</x:v>
      </x:c>
      <x:c r="E110" s="56"/>
      <x:c r="F110" s="23"/>
      <x:c r="G110" s="23"/>
      <x:c r="H110" s="23"/>
      <x:c r="I110" s="25"/>
      <x:c r="J110" s="25"/>
      <x:c r="K110" s="25"/>
      <x:c r="L110" s="24">
        <x:v>1.0</x:v>
      </x:c>
      <x:c r="M110" s="94"/>
      <x:c r="N110" s="94"/>
      <x:c r="O110" s="94"/>
      <x:c r="P110" s="94"/>
      <x:c r="Q110" s="26">
        <x:f t="shared" si="15"/>
        <x:v>240000</x:v>
      </x:c>
      <x:c r="R110" s="23" t="s">
        <x:v>74</x:v>
      </x:c>
      <x:c r="S110" s="23" t="s">
        <x:v>31</x:v>
      </x:c>
    </x:row>
    <x:row r="111" ht="18.75" customHeight="1">
      <x:c r="A111" s="19">
        <x:v>110.0</x:v>
      </x:c>
      <x:c r="B111" s="29" t="s">
        <x:v>650</x:v>
      </x:c>
      <x:c r="C111" s="21">
        <x:v>45800.0</x:v>
      </x:c>
      <x:c r="D111" s="58" t="s">
        <x:v>651</x:v>
      </x:c>
      <x:c r="E111" s="56"/>
      <x:c r="F111" s="23"/>
      <x:c r="G111" s="56"/>
      <x:c r="H111" s="23"/>
      <x:c r="I111" s="25"/>
      <x:c r="J111" s="25"/>
      <x:c r="K111" s="25"/>
      <x:c r="L111" s="24">
        <x:v>1.0</x:v>
      </x:c>
      <x:c r="M111" s="94"/>
      <x:c r="N111" s="94"/>
      <x:c r="O111" s="94"/>
      <x:c r="P111" s="94"/>
      <x:c r="Q111" s="26">
        <x:f t="shared" si="15"/>
        <x:v>240000</x:v>
      </x:c>
      <x:c r="R111" s="23" t="s">
        <x:v>74</x:v>
      </x:c>
      <x:c r="S111" s="23" t="s">
        <x:v>31</x:v>
      </x:c>
    </x:row>
    <x:row r="112" ht="18.75" customHeight="1">
      <x:c r="A112" s="19">
        <x:v>111.0</x:v>
      </x:c>
      <x:c r="B112" s="29" t="s">
        <x:v>652</x:v>
      </x:c>
      <x:c r="C112" s="21">
        <x:v>45800.0</x:v>
      </x:c>
      <x:c r="D112" s="58" t="s">
        <x:v>653</x:v>
      </x:c>
      <x:c r="E112" s="56"/>
      <x:c r="F112" s="23"/>
      <x:c r="G112" s="56"/>
      <x:c r="H112" s="23">
        <x:v>1.0</x:v>
      </x:c>
      <x:c r="I112" s="25"/>
      <x:c r="J112" s="25"/>
      <x:c r="K112" s="25"/>
      <x:c r="L112" s="25"/>
      <x:c r="M112" s="94"/>
      <x:c r="N112" s="94"/>
      <x:c r="O112" s="94"/>
      <x:c r="P112" s="94"/>
      <x:c r="Q112" s="26">
        <x:f t="shared" si="15"/>
        <x:v>400000</x:v>
      </x:c>
      <x:c r="R112" s="23" t="s">
        <x:v>74</x:v>
      </x:c>
      <x:c r="S112" s="23" t="s">
        <x:v>31</x:v>
      </x:c>
    </x:row>
    <x:row r="113" ht="18.75" customHeight="1">
      <x:c r="A113" s="19">
        <x:v>112.0</x:v>
      </x:c>
      <x:c r="B113" s="29" t="s">
        <x:v>654</x:v>
      </x:c>
      <x:c r="C113" s="21">
        <x:v>45800.0</x:v>
      </x:c>
      <x:c r="D113" s="58" t="s">
        <x:v>655</x:v>
      </x:c>
      <x:c r="E113" s="56"/>
      <x:c r="F113" s="23"/>
      <x:c r="G113" s="56"/>
      <x:c r="H113" s="23"/>
      <x:c r="I113" s="25"/>
      <x:c r="J113" s="25"/>
      <x:c r="K113" s="24">
        <x:v>1.0</x:v>
      </x:c>
      <x:c r="L113" s="25"/>
      <x:c r="M113" s="94"/>
      <x:c r="N113" s="94"/>
      <x:c r="O113" s="94"/>
      <x:c r="P113" s="94"/>
      <x:c r="Q113" s="26">
        <x:f t="shared" si="15"/>
        <x:v>240000</x:v>
      </x:c>
      <x:c r="R113" s="23" t="s">
        <x:v>74</x:v>
      </x:c>
      <x:c r="S113" s="23" t="s">
        <x:v>31</x:v>
      </x:c>
    </x:row>
    <x:row r="114" ht="18.75" customHeight="1">
      <x:c r="A114" s="19">
        <x:v>113.0</x:v>
      </x:c>
      <x:c r="B114" s="29" t="s">
        <x:v>656</x:v>
      </x:c>
      <x:c r="C114" s="21">
        <x:v>45800.0</x:v>
      </x:c>
      <x:c r="D114" s="58" t="s">
        <x:v>657</x:v>
      </x:c>
      <x:c r="E114" s="56"/>
      <x:c r="F114" s="23">
        <x:v>1.0</x:v>
      </x:c>
      <x:c r="G114" s="56"/>
      <x:c r="H114" s="23"/>
      <x:c r="I114" s="25"/>
      <x:c r="J114" s="25"/>
      <x:c r="K114" s="25"/>
      <x:c r="L114" s="25"/>
      <x:c r="M114" s="94"/>
      <x:c r="N114" s="94"/>
      <x:c r="O114" s="94"/>
      <x:c r="P114" s="94"/>
      <x:c r="Q114" s="26">
        <x:f t="shared" si="15"/>
        <x:v>255000</x:v>
      </x:c>
      <x:c r="R114" s="23" t="s">
        <x:v>74</x:v>
      </x:c>
      <x:c r="S114" s="23" t="s">
        <x:v>31</x:v>
      </x:c>
    </x:row>
    <x:row r="115" ht="18.75" customHeight="1">
      <x:c r="A115" s="19">
        <x:v>114.0</x:v>
      </x:c>
      <x:c r="B115" s="29" t="s">
        <x:v>658</x:v>
      </x:c>
      <x:c r="C115" s="21">
        <x:v>45800.0</x:v>
      </x:c>
      <x:c r="D115" s="22" t="s">
        <x:v>659</x:v>
      </x:c>
      <x:c r="E115" s="56"/>
      <x:c r="F115" s="23"/>
      <x:c r="G115" s="23"/>
      <x:c r="H115" s="23"/>
      <x:c r="I115" s="25"/>
      <x:c r="J115" s="25"/>
      <x:c r="K115" s="24">
        <x:v>1.0</x:v>
      </x:c>
      <x:c r="L115" s="25"/>
      <x:c r="M115" s="94"/>
      <x:c r="N115" s="94"/>
      <x:c r="O115" s="94"/>
      <x:c r="P115" s="94"/>
      <x:c r="Q115" s="26">
        <x:f t="shared" si="15"/>
        <x:v>240000</x:v>
      </x:c>
      <x:c r="R115" s="23" t="s">
        <x:v>74</x:v>
      </x:c>
      <x:c r="S115" s="23" t="s">
        <x:v>31</x:v>
      </x:c>
    </x:row>
    <x:row r="116" ht="18.75" customHeight="1">
      <x:c r="A116" s="19">
        <x:v>115.0</x:v>
      </x:c>
      <x:c r="B116" s="29" t="s">
        <x:v>660</x:v>
      </x:c>
      <x:c r="C116" s="21">
        <x:v>45801.0</x:v>
      </x:c>
      <x:c r="D116" s="58" t="s">
        <x:v>661</x:v>
      </x:c>
      <x:c r="E116" s="56"/>
      <x:c r="F116" s="23">
        <x:v>1.0</x:v>
      </x:c>
      <x:c r="G116" s="56"/>
      <x:c r="H116" s="23">
        <x:v>1.0</x:v>
      </x:c>
      <x:c r="I116" s="25"/>
      <x:c r="J116" s="25"/>
      <x:c r="K116" s="25"/>
      <x:c r="L116" s="25"/>
      <x:c r="M116" s="94"/>
      <x:c r="N116" s="94"/>
      <x:c r="O116" s="94"/>
      <x:c r="P116" s="94"/>
      <x:c r="Q116" s="26">
        <x:f t="shared" si="15"/>
        <x:v>655000</x:v>
      </x:c>
      <x:c r="R116" s="23" t="s">
        <x:v>74</x:v>
      </x:c>
      <x:c r="S116" s="23" t="s">
        <x:v>31</x:v>
      </x:c>
    </x:row>
    <x:row r="117" ht="18.75" customHeight="1">
      <x:c r="A117" s="19">
        <x:v>116.0</x:v>
      </x:c>
      <x:c r="B117" s="29" t="s">
        <x:v>662</x:v>
      </x:c>
      <x:c r="C117" s="21">
        <x:v>45802.0</x:v>
      </x:c>
      <x:c r="D117" s="58" t="s">
        <x:v>663</x:v>
      </x:c>
      <x:c r="E117" s="56"/>
      <x:c r="F117" s="23"/>
      <x:c r="G117" s="23"/>
      <x:c r="H117" s="23"/>
      <x:c r="I117" s="25"/>
      <x:c r="J117" s="25"/>
      <x:c r="K117" s="25"/>
      <x:c r="L117" s="24">
        <x:v>1.0</x:v>
      </x:c>
      <x:c r="M117" s="94"/>
      <x:c r="N117" s="94"/>
      <x:c r="O117" s="94"/>
      <x:c r="P117" s="94"/>
      <x:c r="Q117" s="26">
        <x:f t="shared" si="15"/>
        <x:v>240000</x:v>
      </x:c>
      <x:c r="R117" s="23" t="s">
        <x:v>74</x:v>
      </x:c>
      <x:c r="S117" s="23" t="s">
        <x:v>31</x:v>
      </x:c>
    </x:row>
    <x:row r="118" ht="18.75" customHeight="1">
      <x:c r="A118" s="19">
        <x:v>117.0</x:v>
      </x:c>
      <x:c r="B118" s="29" t="s">
        <x:v>664</x:v>
      </x:c>
      <x:c r="C118" s="21">
        <x:v>45802.0</x:v>
      </x:c>
      <x:c r="D118" s="58" t="s">
        <x:v>533</x:v>
      </x:c>
      <x:c r="E118" s="56"/>
      <x:c r="F118" s="23"/>
      <x:c r="G118" s="56"/>
      <x:c r="H118" s="23">
        <x:v>1.0</x:v>
      </x:c>
      <x:c r="I118" s="25"/>
      <x:c r="J118" s="25"/>
      <x:c r="K118" s="25"/>
      <x:c r="L118" s="25"/>
      <x:c r="M118" s="94"/>
      <x:c r="N118" s="94"/>
      <x:c r="O118" s="94"/>
      <x:c r="P118" s="94"/>
      <x:c r="Q118" s="26">
        <x:f t="shared" si="15"/>
        <x:v>400000</x:v>
      </x:c>
      <x:c r="R118" s="23" t="s">
        <x:v>74</x:v>
      </x:c>
      <x:c r="S118" s="23" t="s">
        <x:v>34</x:v>
      </x:c>
    </x:row>
    <x:row r="119" ht="18.75" customHeight="1">
      <x:c r="A119" s="19">
        <x:v>118.0</x:v>
      </x:c>
      <x:c r="B119" s="29" t="s">
        <x:v>665</x:v>
      </x:c>
      <x:c r="C119" s="21">
        <x:v>45802.0</x:v>
      </x:c>
      <x:c r="D119" s="58" t="s">
        <x:v>533</x:v>
      </x:c>
      <x:c r="E119" s="56"/>
      <x:c r="F119" s="23">
        <x:v>1.0</x:v>
      </x:c>
      <x:c r="G119" s="56"/>
      <x:c r="H119" s="23"/>
      <x:c r="I119" s="25"/>
      <x:c r="J119" s="25"/>
      <x:c r="K119" s="25"/>
      <x:c r="L119" s="25"/>
      <x:c r="M119" s="94"/>
      <x:c r="N119" s="94"/>
      <x:c r="O119" s="94"/>
      <x:c r="P119" s="94"/>
      <x:c r="Q119" s="26">
        <x:f t="shared" si="15"/>
        <x:v>255000</x:v>
      </x:c>
      <x:c r="R119" s="23" t="s">
        <x:v>74</x:v>
      </x:c>
      <x:c r="S119" s="23" t="s">
        <x:v>31</x:v>
      </x:c>
    </x:row>
    <x:row r="120" ht="18.75" customHeight="1">
      <x:c r="A120" s="19">
        <x:v>119.0</x:v>
      </x:c>
      <x:c r="B120" s="29" t="s">
        <x:v>536</x:v>
      </x:c>
      <x:c r="C120" s="21">
        <x:v>45802.0</x:v>
      </x:c>
      <x:c r="D120" s="58" t="s">
        <x:v>533</x:v>
      </x:c>
      <x:c r="E120" s="56"/>
      <x:c r="F120" s="23">
        <x:v>1.0</x:v>
      </x:c>
      <x:c r="G120" s="56"/>
      <x:c r="H120" s="23"/>
      <x:c r="I120" s="25"/>
      <x:c r="J120" s="25"/>
      <x:c r="K120" s="25"/>
      <x:c r="L120" s="25"/>
      <x:c r="M120" s="94"/>
      <x:c r="N120" s="94"/>
      <x:c r="O120" s="94"/>
      <x:c r="P120" s="94"/>
      <x:c r="Q120" s="26">
        <x:f t="shared" si="15"/>
        <x:v>255000</x:v>
      </x:c>
      <x:c r="R120" s="23" t="s">
        <x:v>74</x:v>
      </x:c>
      <x:c r="S120" s="23" t="s">
        <x:v>31</x:v>
      </x:c>
    </x:row>
    <x:row r="121" ht="18.75" customHeight="1">
      <x:c r="A121" s="19">
        <x:v>120.0</x:v>
      </x:c>
      <x:c r="B121" s="29" t="s">
        <x:v>599</x:v>
      </x:c>
      <x:c r="C121" s="21">
        <x:v>45802.0</x:v>
      </x:c>
      <x:c r="D121" s="58" t="s">
        <x:v>600</x:v>
      </x:c>
      <x:c r="E121" s="56"/>
      <x:c r="F121" s="23">
        <x:v>1.0</x:v>
      </x:c>
      <x:c r="G121" s="56"/>
      <x:c r="H121" s="23"/>
      <x:c r="I121" s="25"/>
      <x:c r="J121" s="25"/>
      <x:c r="K121" s="25"/>
      <x:c r="L121" s="25"/>
      <x:c r="M121" s="94"/>
      <x:c r="N121" s="94"/>
      <x:c r="O121" s="94"/>
      <x:c r="P121" s="94"/>
      <x:c r="Q121" s="26">
        <x:f t="shared" si="15"/>
        <x:v>255000</x:v>
      </x:c>
      <x:c r="R121" s="23" t="s">
        <x:v>74</x:v>
      </x:c>
      <x:c r="S121" s="23" t="s">
        <x:v>34</x:v>
      </x:c>
    </x:row>
    <x:row r="122" ht="18.75" customHeight="1">
      <x:c r="A122" s="19">
        <x:v>121.0</x:v>
      </x:c>
      <x:c r="B122" s="29" t="s">
        <x:v>666</x:v>
      </x:c>
      <x:c r="C122" s="21">
        <x:v>45802.0</x:v>
      </x:c>
      <x:c r="D122" s="58" t="s">
        <x:v>667</x:v>
      </x:c>
      <x:c r="E122" s="56"/>
      <x:c r="F122" s="23">
        <x:v>1.0</x:v>
      </x:c>
      <x:c r="G122" s="56"/>
      <x:c r="H122" s="23"/>
      <x:c r="I122" s="25"/>
      <x:c r="J122" s="25"/>
      <x:c r="K122" s="25"/>
      <x:c r="L122" s="24">
        <x:v>1.0</x:v>
      </x:c>
      <x:c r="M122" s="94"/>
      <x:c r="N122" s="94"/>
      <x:c r="O122" s="94"/>
      <x:c r="P122" s="94"/>
      <x:c r="Q122" s="26">
        <x:f t="shared" si="15"/>
        <x:v>495000</x:v>
      </x:c>
      <x:c r="R122" s="23" t="s">
        <x:v>74</x:v>
      </x:c>
      <x:c r="S122" s="23" t="s">
        <x:v>31</x:v>
      </x:c>
    </x:row>
    <x:row r="123" ht="18.75" customHeight="1">
      <x:c r="A123" s="19">
        <x:v>122.0</x:v>
      </x:c>
      <x:c r="B123" s="29" t="s">
        <x:v>668</x:v>
      </x:c>
      <x:c r="C123" s="21">
        <x:v>45802.0</x:v>
      </x:c>
      <x:c r="D123" s="58" t="s">
        <x:v>669</x:v>
      </x:c>
      <x:c r="E123" s="56"/>
      <x:c r="F123" s="23"/>
      <x:c r="G123" s="56"/>
      <x:c r="H123" s="23"/>
      <x:c r="I123" s="24">
        <x:v>1.0</x:v>
      </x:c>
      <x:c r="J123" s="25"/>
      <x:c r="K123" s="24"/>
      <x:c r="L123" s="25"/>
      <x:c r="M123" s="94"/>
      <x:c r="N123" s="94"/>
      <x:c r="O123" s="94"/>
      <x:c r="P123" s="94"/>
      <x:c r="Q123" s="26" t="n">
        <x:f>(E123*260+F123*255+G123*360+H123*400+I123*470+J123*695+K123*240+L123*240+M123*295+N123*315+O123*395)*1000</x:f>
        <x:v>470000</x:v>
      </x:c>
      <x:c r="R123" s="23" t="s">
        <x:v>74</x:v>
      </x:c>
      <x:c r="S123" s="23" t="s">
        <x:v>31</x:v>
      </x:c>
    </x:row>
    <x:row r="124" ht="18.75" customHeight="1">
      <x:c r="A124" s="19">
        <x:v>123.0</x:v>
      </x:c>
      <x:c r="B124" s="29" t="s">
        <x:v>670</x:v>
      </x:c>
      <x:c r="C124" s="21">
        <x:v>45802.0</x:v>
      </x:c>
      <x:c r="D124" s="58" t="s">
        <x:v>671</x:v>
      </x:c>
      <x:c r="E124" s="56"/>
      <x:c r="F124" s="23"/>
      <x:c r="G124" s="56"/>
      <x:c r="H124" s="23"/>
      <x:c r="I124" s="25"/>
      <x:c r="J124" s="25"/>
      <x:c r="K124" s="24">
        <x:v>1.0</x:v>
      </x:c>
      <x:c r="L124" s="24">
        <x:v>1.0</x:v>
      </x:c>
      <x:c r="M124" s="94"/>
      <x:c r="N124" s="94"/>
      <x:c r="O124" s="94"/>
      <x:c r="P124" s="94"/>
      <x:c r="Q124" s="26" t="n">
        <x:f t="shared" ref="Q124:Q135" si="16">(E124*260+F124*255+G124*360+H124*400+I124*490+J124*695+K124*240+L124*240+M124*295+N124*315+O124*395)*1000</x:f>
        <x:v>480000</x:v>
      </x:c>
      <x:c r="R124" s="23" t="s">
        <x:v>74</x:v>
      </x:c>
      <x:c r="S124" s="23" t="s">
        <x:v>34</x:v>
      </x:c>
    </x:row>
    <x:row r="125" ht="18.75" customHeight="1">
      <x:c r="A125" s="19">
        <x:v>124.0</x:v>
      </x:c>
      <x:c r="B125" s="29" t="s">
        <x:v>672</x:v>
      </x:c>
      <x:c r="C125" s="21">
        <x:v>45802.0</x:v>
      </x:c>
      <x:c r="D125" s="58" t="s">
        <x:v>673</x:v>
      </x:c>
      <x:c r="E125" s="56"/>
      <x:c r="F125" s="23"/>
      <x:c r="G125" s="56"/>
      <x:c r="H125" s="23">
        <x:v>1.0</x:v>
      </x:c>
      <x:c r="I125" s="25"/>
      <x:c r="J125" s="25"/>
      <x:c r="K125" s="24">
        <x:v>1.0</x:v>
      </x:c>
      <x:c r="L125" s="25"/>
      <x:c r="M125" s="94"/>
      <x:c r="N125" s="94"/>
      <x:c r="O125" s="94"/>
      <x:c r="P125" s="94"/>
      <x:c r="Q125" s="26">
        <x:f t="shared" si="16"/>
        <x:v>640000</x:v>
      </x:c>
      <x:c r="R125" s="23" t="s">
        <x:v>74</x:v>
      </x:c>
      <x:c r="S125" s="23" t="s">
        <x:v>34</x:v>
      </x:c>
    </x:row>
    <x:row r="126" ht="18.75" customHeight="1">
      <x:c r="A126" s="19">
        <x:v>125.0</x:v>
      </x:c>
      <x:c r="B126" s="29" t="s">
        <x:v>674</x:v>
      </x:c>
      <x:c r="C126" s="21">
        <x:v>45802.0</x:v>
      </x:c>
      <x:c r="D126" s="58" t="s">
        <x:v>675</x:v>
      </x:c>
      <x:c r="E126" s="56"/>
      <x:c r="F126" s="23"/>
      <x:c r="G126" s="56"/>
      <x:c r="H126" s="23"/>
      <x:c r="I126" s="25"/>
      <x:c r="J126" s="25"/>
      <x:c r="K126" s="25"/>
      <x:c r="L126" s="24">
        <x:v>1.0</x:v>
      </x:c>
      <x:c r="M126" s="94"/>
      <x:c r="N126" s="94"/>
      <x:c r="O126" s="94"/>
      <x:c r="P126" s="94"/>
      <x:c r="Q126" s="26">
        <x:f t="shared" si="16"/>
        <x:v>240000</x:v>
      </x:c>
      <x:c r="R126" s="23" t="s">
        <x:v>74</x:v>
      </x:c>
      <x:c r="S126" s="23" t="s">
        <x:v>31</x:v>
      </x:c>
    </x:row>
    <x:row r="127" ht="18.75" customHeight="1">
      <x:c r="A127" s="19">
        <x:v>126.0</x:v>
      </x:c>
      <x:c r="B127" s="29" t="s">
        <x:v>676</x:v>
      </x:c>
      <x:c r="C127" s="21">
        <x:v>45802.0</x:v>
      </x:c>
      <x:c r="D127" s="22" t="s">
        <x:v>677</x:v>
      </x:c>
      <x:c r="E127" s="56"/>
      <x:c r="F127" s="23"/>
      <x:c r="G127" s="56"/>
      <x:c r="H127" s="23">
        <x:v>1.0</x:v>
      </x:c>
      <x:c r="I127" s="25"/>
      <x:c r="J127" s="25"/>
      <x:c r="K127" s="25"/>
      <x:c r="L127" s="25"/>
      <x:c r="M127" s="94"/>
      <x:c r="N127" s="94"/>
      <x:c r="O127" s="94"/>
      <x:c r="P127" s="94"/>
      <x:c r="Q127" s="26">
        <x:f t="shared" si="16"/>
        <x:v>400000</x:v>
      </x:c>
      <x:c r="R127" s="23" t="s">
        <x:v>74</x:v>
      </x:c>
      <x:c r="S127" s="23" t="s">
        <x:v>31</x:v>
      </x:c>
    </x:row>
    <x:row r="128" ht="18.75" customHeight="1">
      <x:c r="A128" s="19">
        <x:v>127.0</x:v>
      </x:c>
      <x:c r="B128" s="29" t="s">
        <x:v>678</x:v>
      </x:c>
      <x:c r="C128" s="21">
        <x:v>45802.0</x:v>
      </x:c>
      <x:c r="D128" s="58" t="s">
        <x:v>679</x:v>
      </x:c>
      <x:c r="E128" s="56"/>
      <x:c r="F128" s="23">
        <x:v>1.0</x:v>
      </x:c>
      <x:c r="G128" s="56"/>
      <x:c r="H128" s="23"/>
      <x:c r="I128" s="25"/>
      <x:c r="J128" s="25"/>
      <x:c r="K128" s="25"/>
      <x:c r="L128" s="25"/>
      <x:c r="M128" s="94"/>
      <x:c r="N128" s="94"/>
      <x:c r="O128" s="94"/>
      <x:c r="P128" s="94"/>
      <x:c r="Q128" s="26">
        <x:f t="shared" si="16"/>
        <x:v>255000</x:v>
      </x:c>
      <x:c r="R128" s="23" t="s">
        <x:v>74</x:v>
      </x:c>
      <x:c r="S128" s="23" t="s">
        <x:v>31</x:v>
      </x:c>
    </x:row>
    <x:row r="129" ht="18.75" customHeight="1">
      <x:c r="A129" s="19">
        <x:v>128.0</x:v>
      </x:c>
      <x:c r="B129" s="29" t="s">
        <x:v>680</x:v>
      </x:c>
      <x:c r="C129" s="21">
        <x:v>45802.0</x:v>
      </x:c>
      <x:c r="D129" s="58" t="s">
        <x:v>681</x:v>
      </x:c>
      <x:c r="E129" s="56"/>
      <x:c r="F129" s="23">
        <x:v>1.0</x:v>
      </x:c>
      <x:c r="G129" s="56"/>
      <x:c r="H129" s="23"/>
      <x:c r="I129" s="25"/>
      <x:c r="J129" s="25"/>
      <x:c r="K129" s="25"/>
      <x:c r="L129" s="25"/>
      <x:c r="M129" s="94"/>
      <x:c r="N129" s="94"/>
      <x:c r="O129" s="94"/>
      <x:c r="P129" s="94"/>
      <x:c r="Q129" s="26">
        <x:f t="shared" si="16"/>
        <x:v>255000</x:v>
      </x:c>
      <x:c r="R129" s="23" t="s">
        <x:v>74</x:v>
      </x:c>
      <x:c r="S129" s="23" t="s">
        <x:v>31</x:v>
      </x:c>
    </x:row>
    <x:row r="130" ht="18.75" customHeight="1">
      <x:c r="A130" s="19">
        <x:v>129.0</x:v>
      </x:c>
      <x:c r="B130" s="29" t="s">
        <x:v>682</x:v>
      </x:c>
      <x:c r="C130" s="21">
        <x:v>45803.0</x:v>
      </x:c>
      <x:c r="D130" s="58" t="s">
        <x:v>683</x:v>
      </x:c>
      <x:c r="E130" s="56"/>
      <x:c r="F130" s="23">
        <x:v>1.0</x:v>
      </x:c>
      <x:c r="G130" s="56"/>
      <x:c r="H130" s="23"/>
      <x:c r="I130" s="25"/>
      <x:c r="J130" s="25"/>
      <x:c r="K130" s="25"/>
      <x:c r="L130" s="25"/>
      <x:c r="M130" s="94"/>
      <x:c r="N130" s="94"/>
      <x:c r="O130" s="94"/>
      <x:c r="P130" s="94"/>
      <x:c r="Q130" s="26">
        <x:f t="shared" si="16"/>
        <x:v>255000</x:v>
      </x:c>
      <x:c r="R130" s="23" t="s">
        <x:v>74</x:v>
      </x:c>
      <x:c r="S130" s="23" t="s">
        <x:v>31</x:v>
      </x:c>
    </x:row>
    <x:row r="131" ht="18.75" customHeight="1">
      <x:c r="A131" s="19">
        <x:v>130.0</x:v>
      </x:c>
      <x:c r="B131" s="29" t="s">
        <x:v>684</x:v>
      </x:c>
      <x:c r="C131" s="21">
        <x:v>45803.0</x:v>
      </x:c>
      <x:c r="D131" s="58" t="s">
        <x:v>685</x:v>
      </x:c>
      <x:c r="E131" s="56"/>
      <x:c r="F131" s="23"/>
      <x:c r="G131" s="56"/>
      <x:c r="H131" s="23">
        <x:v>1.0</x:v>
      </x:c>
      <x:c r="I131" s="25"/>
      <x:c r="J131" s="25"/>
      <x:c r="K131" s="25"/>
      <x:c r="L131" s="25"/>
      <x:c r="M131" s="94"/>
      <x:c r="N131" s="94"/>
      <x:c r="O131" s="94"/>
      <x:c r="P131" s="94"/>
      <x:c r="Q131" s="26">
        <x:f t="shared" si="16"/>
        <x:v>400000</x:v>
      </x:c>
      <x:c r="R131" s="23" t="s">
        <x:v>74</x:v>
      </x:c>
      <x:c r="S131" s="23" t="s">
        <x:v>31</x:v>
      </x:c>
    </x:row>
    <x:row r="132" ht="18.75" customHeight="1">
      <x:c r="A132" s="19">
        <x:v>131.0</x:v>
      </x:c>
      <x:c r="B132" s="29" t="s">
        <x:v>686</x:v>
      </x:c>
      <x:c r="C132" s="21">
        <x:v>45803.0</x:v>
      </x:c>
      <x:c r="D132" s="58" t="s">
        <x:v>687</x:v>
      </x:c>
      <x:c r="E132" s="56"/>
      <x:c r="F132" s="23">
        <x:v>1.0</x:v>
      </x:c>
      <x:c r="G132" s="56"/>
      <x:c r="H132" s="23"/>
      <x:c r="I132" s="25"/>
      <x:c r="J132" s="25"/>
      <x:c r="K132" s="25"/>
      <x:c r="L132" s="25"/>
      <x:c r="M132" s="94"/>
      <x:c r="N132" s="94"/>
      <x:c r="O132" s="94"/>
      <x:c r="P132" s="94"/>
      <x:c r="Q132" s="26">
        <x:f t="shared" si="16"/>
        <x:v>255000</x:v>
      </x:c>
      <x:c r="R132" s="23" t="s">
        <x:v>74</x:v>
      </x:c>
      <x:c r="S132" s="23" t="s">
        <x:v>31</x:v>
      </x:c>
    </x:row>
    <x:row r="133" ht="18.75" customHeight="1">
      <x:c r="A133" s="19">
        <x:v>132.0</x:v>
      </x:c>
      <x:c r="B133" s="29" t="s">
        <x:v>585</x:v>
      </x:c>
      <x:c r="C133" s="21">
        <x:v>45803.0</x:v>
      </x:c>
      <x:c r="D133" s="58" t="s">
        <x:v>586</x:v>
      </x:c>
      <x:c r="E133" s="56"/>
      <x:c r="F133" s="23">
        <x:v>2.0</x:v>
      </x:c>
      <x:c r="G133" s="56"/>
      <x:c r="H133" s="23"/>
      <x:c r="I133" s="25"/>
      <x:c r="J133" s="25"/>
      <x:c r="K133" s="25"/>
      <x:c r="L133" s="25"/>
      <x:c r="M133" s="94"/>
      <x:c r="N133" s="94"/>
      <x:c r="O133" s="94"/>
      <x:c r="P133" s="94"/>
      <x:c r="Q133" s="26">
        <x:f t="shared" si="16"/>
        <x:v>510000</x:v>
      </x:c>
      <x:c r="R133" s="23" t="s">
        <x:v>74</x:v>
      </x:c>
      <x:c r="S133" s="23" t="s">
        <x:v>31</x:v>
      </x:c>
    </x:row>
    <x:row r="134" ht="18.75" customHeight="1">
      <x:c r="A134" s="19">
        <x:v>133.0</x:v>
      </x:c>
      <x:c r="B134" s="29" t="s">
        <x:v>688</x:v>
      </x:c>
      <x:c r="C134" s="21">
        <x:v>45803.0</x:v>
      </x:c>
      <x:c r="D134" s="58" t="s">
        <x:v>468</x:v>
      </x:c>
      <x:c r="E134" s="56"/>
      <x:c r="F134" s="23"/>
      <x:c r="G134" s="56"/>
      <x:c r="H134" s="23"/>
      <x:c r="I134" s="25"/>
      <x:c r="J134" s="25"/>
      <x:c r="K134" s="25"/>
      <x:c r="L134" s="24">
        <x:v>2.0</x:v>
      </x:c>
      <x:c r="M134" s="94"/>
      <x:c r="N134" s="94"/>
      <x:c r="O134" s="94"/>
      <x:c r="P134" s="94"/>
      <x:c r="Q134" s="26">
        <x:f t="shared" si="16"/>
        <x:v>480000</x:v>
      </x:c>
      <x:c r="R134" s="23" t="s">
        <x:v>74</x:v>
      </x:c>
      <x:c r="S134" s="23" t="s">
        <x:v>31</x:v>
      </x:c>
    </x:row>
    <x:row r="135" ht="18.75" customHeight="1">
      <x:c r="A135" s="19">
        <x:v>134.0</x:v>
      </x:c>
      <x:c r="B135" s="29" t="s">
        <x:v>689</x:v>
      </x:c>
      <x:c r="C135" s="21">
        <x:v>45803.0</x:v>
      </x:c>
      <x:c r="D135" s="58" t="s">
        <x:v>690</x:v>
      </x:c>
      <x:c r="E135" s="56"/>
      <x:c r="F135" s="23">
        <x:v>1.0</x:v>
      </x:c>
      <x:c r="G135" s="56"/>
      <x:c r="H135" s="23"/>
      <x:c r="I135" s="25"/>
      <x:c r="J135" s="25"/>
      <x:c r="K135" s="24">
        <x:v>1.0</x:v>
      </x:c>
      <x:c r="L135" s="24">
        <x:v>1.0</x:v>
      </x:c>
      <x:c r="M135" s="94"/>
      <x:c r="N135" s="94"/>
      <x:c r="O135" s="94"/>
      <x:c r="P135" s="94"/>
      <x:c r="Q135" s="26">
        <x:f t="shared" si="16"/>
        <x:v>735000</x:v>
      </x:c>
      <x:c r="R135" s="23" t="s">
        <x:v>74</x:v>
      </x:c>
      <x:c r="S135" s="23" t="s">
        <x:v>34</x:v>
      </x:c>
    </x:row>
    <x:row r="136" ht="18.75" customHeight="1">
      <x:c r="A136" s="19">
        <x:v>135.0</x:v>
      </x:c>
      <x:c r="B136" s="29" t="s">
        <x:v>691</x:v>
      </x:c>
      <x:c r="C136" s="21">
        <x:v>45803.0</x:v>
      </x:c>
      <x:c r="D136" s="58" t="s">
        <x:v>692</x:v>
      </x:c>
      <x:c r="E136" s="56"/>
      <x:c r="F136" s="23"/>
      <x:c r="G136" s="56"/>
      <x:c r="H136" s="23"/>
      <x:c r="I136" s="24">
        <x:v>1.0</x:v>
      </x:c>
      <x:c r="J136" s="25"/>
      <x:c r="K136" s="25"/>
      <x:c r="L136" s="25"/>
      <x:c r="M136" s="94"/>
      <x:c r="N136" s="94"/>
      <x:c r="O136" s="94"/>
      <x:c r="P136" s="94"/>
      <x:c r="Q136" s="26" t="n">
        <x:f t="shared" ref="Q136:Q143" si="17">(E136*260+F136*255+G136*360+H136*400+I136*470+J136*695+K136*240+L136*240+M136*295+N136*315+O136*395)*1000</x:f>
        <x:v>470000</x:v>
      </x:c>
      <x:c r="R136" s="23" t="s">
        <x:v>74</x:v>
      </x:c>
      <x:c r="S136" s="23" t="s">
        <x:v>31</x:v>
      </x:c>
    </x:row>
    <x:row r="137" ht="18.75" customHeight="1">
      <x:c r="A137" s="19">
        <x:v>136.0</x:v>
      </x:c>
      <x:c r="B137" s="29" t="s">
        <x:v>450</x:v>
      </x:c>
      <x:c r="C137" s="21">
        <x:v>45803.0</x:v>
      </x:c>
      <x:c r="D137" s="58" t="s">
        <x:v>693</x:v>
      </x:c>
      <x:c r="E137" s="56"/>
      <x:c r="F137" s="23"/>
      <x:c r="G137" s="56"/>
      <x:c r="H137" s="23"/>
      <x:c r="I137" s="25"/>
      <x:c r="J137" s="25"/>
      <x:c r="K137" s="25"/>
      <x:c r="L137" s="24">
        <x:v>1.0</x:v>
      </x:c>
      <x:c r="M137" s="94"/>
      <x:c r="N137" s="94"/>
      <x:c r="O137" s="94"/>
      <x:c r="P137" s="94"/>
      <x:c r="Q137" s="26">
        <x:f t="shared" si="17"/>
        <x:v>240000</x:v>
      </x:c>
      <x:c r="R137" s="23" t="s">
        <x:v>74</x:v>
      </x:c>
      <x:c r="S137" s="23" t="s">
        <x:v>31</x:v>
      </x:c>
    </x:row>
    <x:row r="138" ht="18.75" customHeight="1">
      <x:c r="A138" s="19">
        <x:v>137.0</x:v>
      </x:c>
      <x:c r="B138" s="29" t="s">
        <x:v>694</x:v>
      </x:c>
      <x:c r="C138" s="21">
        <x:v>45803.0</x:v>
      </x:c>
      <x:c r="D138" s="58" t="s">
        <x:v>695</x:v>
      </x:c>
      <x:c r="E138" s="56"/>
      <x:c r="F138" s="23"/>
      <x:c r="G138" s="56"/>
      <x:c r="H138" s="23"/>
      <x:c r="I138" s="25"/>
      <x:c r="J138" s="25"/>
      <x:c r="K138" s="24">
        <x:v>2.0</x:v>
      </x:c>
      <x:c r="L138" s="24"/>
      <x:c r="M138" s="94"/>
      <x:c r="N138" s="94"/>
      <x:c r="O138" s="94"/>
      <x:c r="P138" s="94"/>
      <x:c r="Q138" s="26">
        <x:f t="shared" si="17"/>
        <x:v>480000</x:v>
      </x:c>
      <x:c r="R138" s="23" t="s">
        <x:v>74</x:v>
      </x:c>
      <x:c r="S138" s="23" t="s">
        <x:v>31</x:v>
      </x:c>
    </x:row>
    <x:row r="139" ht="18.75" customHeight="1">
      <x:c r="A139" s="19">
        <x:v>138.0</x:v>
      </x:c>
      <x:c r="B139" s="29" t="s">
        <x:v>696</x:v>
      </x:c>
      <x:c r="C139" s="21">
        <x:v>45803.0</x:v>
      </x:c>
      <x:c r="D139" s="58" t="s">
        <x:v>697</x:v>
      </x:c>
      <x:c r="E139" s="56"/>
      <x:c r="F139" s="23"/>
      <x:c r="G139" s="56"/>
      <x:c r="H139" s="23"/>
      <x:c r="I139" s="25"/>
      <x:c r="J139" s="25"/>
      <x:c r="K139" s="25"/>
      <x:c r="L139" s="24">
        <x:v>1.0</x:v>
      </x:c>
      <x:c r="M139" s="94"/>
      <x:c r="N139" s="94"/>
      <x:c r="O139" s="94"/>
      <x:c r="P139" s="94"/>
      <x:c r="Q139" s="26">
        <x:f t="shared" si="17"/>
        <x:v>240000</x:v>
      </x:c>
      <x:c r="R139" s="23" t="s">
        <x:v>74</x:v>
      </x:c>
      <x:c r="S139" s="23" t="s">
        <x:v>31</x:v>
      </x:c>
    </x:row>
    <x:row r="140" ht="18.75" customHeight="1">
      <x:c r="A140" s="19">
        <x:v>139.0</x:v>
      </x:c>
      <x:c r="B140" s="29" t="s">
        <x:v>698</x:v>
      </x:c>
      <x:c r="C140" s="21">
        <x:v>45803.0</x:v>
      </x:c>
      <x:c r="D140" s="58" t="s">
        <x:v>699</x:v>
      </x:c>
      <x:c r="E140" s="56"/>
      <x:c r="F140" s="23"/>
      <x:c r="G140" s="56"/>
      <x:c r="H140" s="23"/>
      <x:c r="I140" s="25"/>
      <x:c r="J140" s="25"/>
      <x:c r="K140" s="25"/>
      <x:c r="L140" s="24">
        <x:v>1.0</x:v>
      </x:c>
      <x:c r="M140" s="94"/>
      <x:c r="N140" s="94"/>
      <x:c r="O140" s="94"/>
      <x:c r="P140" s="94"/>
      <x:c r="Q140" s="26">
        <x:f t="shared" si="17"/>
        <x:v>240000</x:v>
      </x:c>
      <x:c r="R140" s="23" t="s">
        <x:v>74</x:v>
      </x:c>
      <x:c r="S140" s="23" t="s">
        <x:v>31</x:v>
      </x:c>
    </x:row>
    <x:row r="141" ht="18.75" customHeight="1">
      <x:c r="A141" s="19">
        <x:v>140.0</x:v>
      </x:c>
      <x:c r="B141" s="29" t="s">
        <x:v>700</x:v>
      </x:c>
      <x:c r="C141" s="21">
        <x:v>45803.0</x:v>
      </x:c>
      <x:c r="D141" s="58" t="s">
        <x:v>701</x:v>
      </x:c>
      <x:c r="E141" s="56"/>
      <x:c r="F141" s="23">
        <x:v>1.0</x:v>
      </x:c>
      <x:c r="G141" s="56"/>
      <x:c r="H141" s="23">
        <x:v>1.0</x:v>
      </x:c>
      <x:c r="I141" s="25"/>
      <x:c r="J141" s="25"/>
      <x:c r="K141" s="25"/>
      <x:c r="L141" s="25"/>
      <x:c r="M141" s="94"/>
      <x:c r="N141" s="94"/>
      <x:c r="O141" s="94"/>
      <x:c r="P141" s="94"/>
      <x:c r="Q141" s="26">
        <x:f t="shared" si="17"/>
        <x:v>655000</x:v>
      </x:c>
      <x:c r="R141" s="23" t="s">
        <x:v>74</x:v>
      </x:c>
      <x:c r="S141" s="23" t="s">
        <x:v>34</x:v>
      </x:c>
    </x:row>
    <x:row r="142" ht="18.75" customHeight="1">
      <x:c r="A142" s="19">
        <x:v>141.0</x:v>
      </x:c>
      <x:c r="B142" s="29" t="s">
        <x:v>601</x:v>
      </x:c>
      <x:c r="C142" s="21">
        <x:v>45803.0</x:v>
      </x:c>
      <x:c r="D142" s="58" t="s">
        <x:v>602</x:v>
      </x:c>
      <x:c r="E142" s="56"/>
      <x:c r="F142" s="23"/>
      <x:c r="G142" s="56"/>
      <x:c r="H142" s="23"/>
      <x:c r="I142" s="25"/>
      <x:c r="J142" s="25"/>
      <x:c r="K142" s="25"/>
      <x:c r="L142" s="24">
        <x:v>1.0</x:v>
      </x:c>
      <x:c r="M142" s="94"/>
      <x:c r="N142" s="94"/>
      <x:c r="O142" s="94"/>
      <x:c r="P142" s="94"/>
      <x:c r="Q142" s="26">
        <x:f t="shared" si="17"/>
        <x:v>240000</x:v>
      </x:c>
      <x:c r="R142" s="23" t="s">
        <x:v>74</x:v>
      </x:c>
      <x:c r="S142" s="23" t="s">
        <x:v>31</x:v>
      </x:c>
    </x:row>
    <x:row r="143" ht="18.75" customHeight="1">
      <x:c r="A143" s="19">
        <x:v>142.0</x:v>
      </x:c>
      <x:c r="B143" s="29" t="s">
        <x:v>702</x:v>
      </x:c>
      <x:c r="C143" s="21">
        <x:v>45804.0</x:v>
      </x:c>
      <x:c r="D143" s="58" t="s">
        <x:v>703</x:v>
      </x:c>
      <x:c r="E143" s="56"/>
      <x:c r="F143" s="23">
        <x:v>1.0</x:v>
      </x:c>
      <x:c r="G143" s="56"/>
      <x:c r="H143" s="23"/>
      <x:c r="I143" s="25"/>
      <x:c r="J143" s="25"/>
      <x:c r="K143" s="25"/>
      <x:c r="L143" s="24">
        <x:v>1.0</x:v>
      </x:c>
      <x:c r="M143" s="94"/>
      <x:c r="N143" s="94"/>
      <x:c r="O143" s="94"/>
      <x:c r="P143" s="94"/>
      <x:c r="Q143" s="26">
        <x:f t="shared" si="17"/>
        <x:v>495000</x:v>
      </x:c>
      <x:c r="R143" s="23" t="s">
        <x:v>74</x:v>
      </x:c>
      <x:c r="S143" s="23" t="s">
        <x:v>31</x:v>
      </x:c>
    </x:row>
    <x:row r="144" ht="18.75" customHeight="1">
      <x:c r="A144" s="19">
        <x:v>143.0</x:v>
      </x:c>
      <x:c r="B144" s="29" t="s">
        <x:v>457</x:v>
      </x:c>
      <x:c r="C144" s="21">
        <x:v>45804.0</x:v>
      </x:c>
      <x:c r="D144" s="58" t="s">
        <x:v>458</x:v>
      </x:c>
      <x:c r="E144" s="56"/>
      <x:c r="F144" s="23"/>
      <x:c r="G144" s="56"/>
      <x:c r="H144" s="23"/>
      <x:c r="I144" s="25"/>
      <x:c r="J144" s="24">
        <x:v>1.0</x:v>
      </x:c>
      <x:c r="K144" s="25"/>
      <x:c r="L144" s="24">
        <x:v>1.0</x:v>
      </x:c>
      <x:c r="M144" s="94"/>
      <x:c r="N144" s="94"/>
      <x:c r="O144" s="94"/>
      <x:c r="P144" s="94"/>
      <x:c r="Q144" s="26" t="n">
        <x:f t="shared" ref="Q144:Q148" si="18">(E144*260+F144*255+G144*360+H144*400+I144*470+J144*665+K144*240+L144*240+M144*295+N144*315+O144*395)*1000</x:f>
        <x:v>905000</x:v>
      </x:c>
      <x:c r="R144" s="23" t="s">
        <x:v>74</x:v>
      </x:c>
      <x:c r="S144" s="23" t="s">
        <x:v>34</x:v>
      </x:c>
    </x:row>
    <x:row r="145" ht="18.75" customHeight="1">
      <x:c r="A145" s="19">
        <x:v>144.0</x:v>
      </x:c>
      <x:c r="B145" s="29" t="s">
        <x:v>625</x:v>
      </x:c>
      <x:c r="C145" s="21">
        <x:v>45804.0</x:v>
      </x:c>
      <x:c r="D145" s="58" t="s">
        <x:v>626</x:v>
      </x:c>
      <x:c r="E145" s="56"/>
      <x:c r="F145" s="23"/>
      <x:c r="G145" s="56"/>
      <x:c r="H145" s="23"/>
      <x:c r="I145" s="25"/>
      <x:c r="J145" s="25"/>
      <x:c r="K145" s="24">
        <x:v>1.0</x:v>
      </x:c>
      <x:c r="L145" s="25"/>
      <x:c r="M145" s="94"/>
      <x:c r="N145" s="94"/>
      <x:c r="O145" s="94"/>
      <x:c r="P145" s="94"/>
      <x:c r="Q145" s="26">
        <x:f t="shared" si="18"/>
        <x:v>240000</x:v>
      </x:c>
      <x:c r="R145" s="23" t="s">
        <x:v>74</x:v>
      </x:c>
      <x:c r="S145" s="23" t="s">
        <x:v>34</x:v>
      </x:c>
    </x:row>
    <x:row r="146" ht="18.75" customHeight="1">
      <x:c r="A146" s="19">
        <x:v>145.0</x:v>
      </x:c>
      <x:c r="B146" s="29" t="s">
        <x:v>704</x:v>
      </x:c>
      <x:c r="C146" s="21">
        <x:v>45804.0</x:v>
      </x:c>
      <x:c r="D146" s="58" t="s">
        <x:v>705</x:v>
      </x:c>
      <x:c r="E146" s="56"/>
      <x:c r="F146" s="23"/>
      <x:c r="G146" s="56"/>
      <x:c r="H146" s="23">
        <x:v>1.0</x:v>
      </x:c>
      <x:c r="I146" s="25"/>
      <x:c r="J146" s="25"/>
      <x:c r="K146" s="25"/>
      <x:c r="L146" s="24">
        <x:v>1.0</x:v>
      </x:c>
      <x:c r="M146" s="94"/>
      <x:c r="N146" s="94"/>
      <x:c r="O146" s="94"/>
      <x:c r="P146" s="94"/>
      <x:c r="Q146" s="26">
        <x:f t="shared" si="18"/>
        <x:v>640000</x:v>
      </x:c>
      <x:c r="R146" s="23" t="s">
        <x:v>74</x:v>
      </x:c>
      <x:c r="S146" s="23" t="s">
        <x:v>31</x:v>
      </x:c>
    </x:row>
    <x:row r="147" ht="18.75" customHeight="1">
      <x:c r="A147" s="19">
        <x:v>146.0</x:v>
      </x:c>
      <x:c r="B147" s="29" t="s">
        <x:v>706</x:v>
      </x:c>
      <x:c r="C147" s="21">
        <x:v>45804.0</x:v>
      </x:c>
      <x:c r="D147" s="58" t="s">
        <x:v>707</x:v>
      </x:c>
      <x:c r="E147" s="56"/>
      <x:c r="F147" s="23"/>
      <x:c r="G147" s="56"/>
      <x:c r="H147" s="23"/>
      <x:c r="I147" s="25"/>
      <x:c r="J147" s="25"/>
      <x:c r="K147" s="24">
        <x:v>1.0</x:v>
      </x:c>
      <x:c r="L147" s="25"/>
      <x:c r="M147" s="94"/>
      <x:c r="N147" s="94"/>
      <x:c r="O147" s="94"/>
      <x:c r="P147" s="94"/>
      <x:c r="Q147" s="26">
        <x:f t="shared" si="18"/>
        <x:v>240000</x:v>
      </x:c>
      <x:c r="R147" s="23" t="s">
        <x:v>74</x:v>
      </x:c>
      <x:c r="S147" s="23" t="s">
        <x:v>31</x:v>
      </x:c>
    </x:row>
    <x:row r="148" ht="18.75" customHeight="1">
      <x:c r="A148" s="19">
        <x:v>147.0</x:v>
      </x:c>
      <x:c r="B148" s="29" t="s">
        <x:v>708</x:v>
      </x:c>
      <x:c r="C148" s="21">
        <x:v>45804.0</x:v>
      </x:c>
      <x:c r="D148" s="58" t="s">
        <x:v>709</x:v>
      </x:c>
      <x:c r="E148" s="56"/>
      <x:c r="F148" s="23"/>
      <x:c r="G148" s="56"/>
      <x:c r="H148" s="23"/>
      <x:c r="I148" s="25"/>
      <x:c r="J148" s="25"/>
      <x:c r="K148" s="24">
        <x:v>1.0</x:v>
      </x:c>
      <x:c r="L148" s="25"/>
      <x:c r="M148" s="94"/>
      <x:c r="N148" s="94"/>
      <x:c r="O148" s="94"/>
      <x:c r="P148" s="94"/>
      <x:c r="Q148" s="26">
        <x:f t="shared" si="18"/>
        <x:v>240000</x:v>
      </x:c>
      <x:c r="R148" s="23" t="s">
        <x:v>74</x:v>
      </x:c>
      <x:c r="S148" s="23" t="s">
        <x:v>34</x:v>
      </x:c>
    </x:row>
    <x:row r="149" ht="18.75" customHeight="1">
      <x:c r="A149" s="19">
        <x:v>148.0</x:v>
      </x:c>
      <x:c r="B149" s="29" t="s">
        <x:v>710</x:v>
      </x:c>
      <x:c r="C149" s="21">
        <x:v>45804.0</x:v>
      </x:c>
      <x:c r="D149" s="58" t="s">
        <x:v>711</x:v>
      </x:c>
      <x:c r="E149" s="56"/>
      <x:c r="F149" s="23"/>
      <x:c r="G149" s="56"/>
      <x:c r="H149" s="23"/>
      <x:c r="I149" s="25"/>
      <x:c r="J149" s="25"/>
      <x:c r="K149" s="24">
        <x:v>1.0</x:v>
      </x:c>
      <x:c r="L149" s="24">
        <x:v>1.0</x:v>
      </x:c>
      <x:c r="M149" s="94"/>
      <x:c r="N149" s="94"/>
      <x:c r="O149" s="94"/>
      <x:c r="P149" s="23">
        <x:v>1.0</x:v>
      </x:c>
      <x:c r="Q149" s="26" t="n">
        <x:f t="shared" ref="Q149:Q151" si="19">(E149*260+F149*255+G149*360+H149*400+I149*470+J149*665+K149*240+L149*240+M149*290+N149*290+O149*395+P149*270)*1000</x:f>
        <x:v>750000</x:v>
      </x:c>
      <x:c r="R149" s="23" t="s">
        <x:v>74</x:v>
      </x:c>
      <x:c r="S149" s="23" t="s">
        <x:v>31</x:v>
      </x:c>
    </x:row>
    <x:row r="150" ht="18.75" customHeight="1">
      <x:c r="A150" s="19">
        <x:v>149.0</x:v>
      </x:c>
      <x:c r="B150" s="29" t="s">
        <x:v>712</x:v>
      </x:c>
      <x:c r="C150" s="21">
        <x:v>45804.0</x:v>
      </x:c>
      <x:c r="D150" s="58" t="s">
        <x:v>713</x:v>
      </x:c>
      <x:c r="E150" s="56"/>
      <x:c r="F150" s="23"/>
      <x:c r="G150" s="56"/>
      <x:c r="H150" s="23">
        <x:v>1.0</x:v>
      </x:c>
      <x:c r="I150" s="25"/>
      <x:c r="J150" s="25"/>
      <x:c r="K150" s="25"/>
      <x:c r="L150" s="25"/>
      <x:c r="M150" s="94"/>
      <x:c r="N150" s="94"/>
      <x:c r="O150" s="94"/>
      <x:c r="P150" s="94"/>
      <x:c r="Q150" s="26">
        <x:f t="shared" si="19"/>
        <x:v>400000</x:v>
      </x:c>
      <x:c r="R150" s="23" t="s">
        <x:v>74</x:v>
      </x:c>
      <x:c r="S150" s="23" t="s">
        <x:v>34</x:v>
      </x:c>
    </x:row>
    <x:row r="151" ht="18.75" customHeight="1">
      <x:c r="A151" s="19">
        <x:v>150.0</x:v>
      </x:c>
      <x:c r="B151" s="29" t="s">
        <x:v>714</x:v>
      </x:c>
      <x:c r="C151" s="21">
        <x:v>45804.0</x:v>
      </x:c>
      <x:c r="D151" s="58" t="s">
        <x:v>715</x:v>
      </x:c>
      <x:c r="E151" s="56"/>
      <x:c r="F151" s="23"/>
      <x:c r="G151" s="56"/>
      <x:c r="H151" s="23"/>
      <x:c r="I151" s="25"/>
      <x:c r="J151" s="25"/>
      <x:c r="K151" s="24">
        <x:v>1.0</x:v>
      </x:c>
      <x:c r="L151" s="25"/>
      <x:c r="M151" s="94"/>
      <x:c r="N151" s="94"/>
      <x:c r="O151" s="94"/>
      <x:c r="P151" s="94"/>
      <x:c r="Q151" s="26">
        <x:f t="shared" si="19"/>
        <x:v>240000</x:v>
      </x:c>
      <x:c r="R151" s="23" t="s">
        <x:v>74</x:v>
      </x:c>
      <x:c r="S151" s="23" t="s">
        <x:v>31</x:v>
      </x:c>
    </x:row>
    <x:row r="152" ht="18.75" customHeight="1">
      <x:c r="A152" s="19">
        <x:v>151.0</x:v>
      </x:c>
      <x:c r="B152" s="29" t="s">
        <x:v>716</x:v>
      </x:c>
      <x:c r="C152" s="21">
        <x:v>45804.0</x:v>
      </x:c>
      <x:c r="D152" s="58" t="s">
        <x:v>717</x:v>
      </x:c>
      <x:c r="E152" s="56"/>
      <x:c r="F152" s="23"/>
      <x:c r="G152" s="56"/>
      <x:c r="H152" s="23"/>
      <x:c r="I152" s="25"/>
      <x:c r="J152" s="25"/>
      <x:c r="K152" s="25"/>
      <x:c r="L152" s="25"/>
      <x:c r="M152" s="94"/>
      <x:c r="N152" s="23">
        <x:v>1.0</x:v>
      </x:c>
      <x:c r="O152" s="94"/>
      <x:c r="P152" s="94"/>
      <x:c r="Q152" s="26" t="n">
        <x:f>(E152*260+F152*255+G152*360+H152*400+I152*470+J152*665+K152*240+L152*240+M152*290+N152*290+O152*395+P152*270+4-20)*1000</x:f>
        <x:v>274000</x:v>
      </x:c>
      <x:c r="R152" s="23" t="s">
        <x:v>74</x:v>
      </x:c>
      <x:c r="S152" s="23" t="s">
        <x:v>31</x:v>
      </x:c>
    </x:row>
    <x:row r="153" ht="18.75" customHeight="1">
      <x:c r="A153" s="19">
        <x:v>152.0</x:v>
      </x:c>
      <x:c r="B153" s="29" t="s">
        <x:v>718</x:v>
      </x:c>
      <x:c r="C153" s="21">
        <x:v>45804.0</x:v>
      </x:c>
      <x:c r="D153" s="58" t="s">
        <x:v>719</x:v>
      </x:c>
      <x:c r="E153" s="56"/>
      <x:c r="F153" s="23"/>
      <x:c r="G153" s="56"/>
      <x:c r="H153" s="23">
        <x:v>1.0</x:v>
      </x:c>
      <x:c r="I153" s="25"/>
      <x:c r="J153" s="25"/>
      <x:c r="K153" s="25"/>
      <x:c r="L153" s="25"/>
      <x:c r="M153" s="94"/>
      <x:c r="N153" s="94"/>
      <x:c r="O153" s="94"/>
      <x:c r="P153" s="94"/>
      <x:c r="Q153" s="26" t="n">
        <x:f t="shared" ref="Q153:Q165" si="20">(E153*260+F153*255+G153*360+H153*400+I153*470+J153*665+K153*240+L153*240+M153*290+N153*290+O153*395+P153*270)*1000</x:f>
        <x:v>400000</x:v>
      </x:c>
      <x:c r="R153" s="23" t="s">
        <x:v>74</x:v>
      </x:c>
      <x:c r="S153" s="23" t="s">
        <x:v>34</x:v>
      </x:c>
    </x:row>
    <x:row r="154" ht="18.75" customHeight="1">
      <x:c r="A154" s="19">
        <x:v>153.0</x:v>
      </x:c>
      <x:c r="B154" s="29" t="s">
        <x:v>720</x:v>
      </x:c>
      <x:c r="C154" s="21">
        <x:v>45804.0</x:v>
      </x:c>
      <x:c r="D154" s="58" t="s">
        <x:v>721</x:v>
      </x:c>
      <x:c r="E154" s="56"/>
      <x:c r="F154" s="23"/>
      <x:c r="G154" s="56"/>
      <x:c r="H154" s="23"/>
      <x:c r="I154" s="25"/>
      <x:c r="J154" s="25"/>
      <x:c r="K154" s="24">
        <x:v>1.0</x:v>
      </x:c>
      <x:c r="L154" s="25"/>
      <x:c r="M154" s="94"/>
      <x:c r="N154" s="94"/>
      <x:c r="O154" s="94"/>
      <x:c r="P154" s="94"/>
      <x:c r="Q154" s="26">
        <x:f t="shared" si="20"/>
        <x:v>240000</x:v>
      </x:c>
      <x:c r="R154" s="23" t="s">
        <x:v>74</x:v>
      </x:c>
      <x:c r="S154" s="23" t="s">
        <x:v>31</x:v>
      </x:c>
    </x:row>
    <x:row r="155" ht="18.75" customHeight="1">
      <x:c r="A155" s="19">
        <x:v>154.0</x:v>
      </x:c>
      <x:c r="B155" s="29" t="s">
        <x:v>722</x:v>
      </x:c>
      <x:c r="C155" s="21">
        <x:v>45804.0</x:v>
      </x:c>
      <x:c r="D155" s="58" t="s">
        <x:v>723</x:v>
      </x:c>
      <x:c r="E155" s="56"/>
      <x:c r="F155" s="23"/>
      <x:c r="G155" s="56"/>
      <x:c r="H155" s="23"/>
      <x:c r="I155" s="25"/>
      <x:c r="J155" s="24">
        <x:v>1.0</x:v>
      </x:c>
      <x:c r="K155" s="25"/>
      <x:c r="L155" s="25"/>
      <x:c r="M155" s="94"/>
      <x:c r="N155" s="23">
        <x:v>1.0</x:v>
      </x:c>
      <x:c r="O155" s="94"/>
      <x:c r="P155" s="94"/>
      <x:c r="Q155" s="26">
        <x:f t="shared" si="20"/>
        <x:v>955000</x:v>
      </x:c>
      <x:c r="R155" s="23" t="s">
        <x:v>74</x:v>
      </x:c>
      <x:c r="S155" s="23" t="s">
        <x:v>31</x:v>
      </x:c>
    </x:row>
    <x:row r="156" ht="18.75" customHeight="1">
      <x:c r="A156" s="19">
        <x:v>155.0</x:v>
      </x:c>
      <x:c r="B156" s="29" t="s">
        <x:v>724</x:v>
      </x:c>
      <x:c r="C156" s="21">
        <x:v>45805.0</x:v>
      </x:c>
      <x:c r="D156" s="58" t="s">
        <x:v>725</x:v>
      </x:c>
      <x:c r="E156" s="56"/>
      <x:c r="F156" s="23"/>
      <x:c r="G156" s="56"/>
      <x:c r="H156" s="23"/>
      <x:c r="I156" s="25"/>
      <x:c r="J156" s="25"/>
      <x:c r="K156" s="25"/>
      <x:c r="L156" s="24">
        <x:v>1.0</x:v>
      </x:c>
      <x:c r="M156" s="94"/>
      <x:c r="N156" s="94"/>
      <x:c r="O156" s="94"/>
      <x:c r="P156" s="94"/>
      <x:c r="Q156" s="26">
        <x:f t="shared" si="20"/>
        <x:v>240000</x:v>
      </x:c>
      <x:c r="R156" s="23" t="s">
        <x:v>74</x:v>
      </x:c>
      <x:c r="S156" s="23" t="s">
        <x:v>31</x:v>
      </x:c>
    </x:row>
    <x:row r="157" ht="18.75" customHeight="1">
      <x:c r="A157" s="19">
        <x:v>156.0</x:v>
      </x:c>
      <x:c r="B157" s="29" t="s">
        <x:v>726</x:v>
      </x:c>
      <x:c r="C157" s="21">
        <x:v>45806.0</x:v>
      </x:c>
      <x:c r="D157" s="58" t="s">
        <x:v>727</x:v>
      </x:c>
      <x:c r="E157" s="56"/>
      <x:c r="F157" s="23"/>
      <x:c r="G157" s="56"/>
      <x:c r="H157" s="23"/>
      <x:c r="I157" s="25"/>
      <x:c r="J157" s="25"/>
      <x:c r="K157" s="25"/>
      <x:c r="L157" s="24">
        <x:v>2.0</x:v>
      </x:c>
      <x:c r="M157" s="94"/>
      <x:c r="N157" s="94"/>
      <x:c r="O157" s="94"/>
      <x:c r="P157" s="94"/>
      <x:c r="Q157" s="26">
        <x:f t="shared" si="20"/>
        <x:v>480000</x:v>
      </x:c>
      <x:c r="R157" s="23" t="s">
        <x:v>74</x:v>
      </x:c>
      <x:c r="S157" s="23" t="s">
        <x:v>31</x:v>
      </x:c>
    </x:row>
    <x:row r="158" ht="18.75" customHeight="1">
      <x:c r="A158" s="19">
        <x:v>157.0</x:v>
      </x:c>
      <x:c r="B158" s="29" t="s">
        <x:v>728</x:v>
      </x:c>
      <x:c r="C158" s="21">
        <x:v>45806.0</x:v>
      </x:c>
      <x:c r="D158" s="58" t="s">
        <x:v>729</x:v>
      </x:c>
      <x:c r="E158" s="56"/>
      <x:c r="F158" s="23"/>
      <x:c r="G158" s="56"/>
      <x:c r="H158" s="23"/>
      <x:c r="I158" s="25"/>
      <x:c r="J158" s="25"/>
      <x:c r="K158" s="25"/>
      <x:c r="L158" s="39">
        <x:v>1.0</x:v>
      </x:c>
      <x:c r="M158" s="94"/>
      <x:c r="N158" s="94"/>
      <x:c r="O158" s="94"/>
      <x:c r="P158" s="94"/>
      <x:c r="Q158" s="26">
        <x:f t="shared" si="20"/>
        <x:v>240000</x:v>
      </x:c>
      <x:c r="R158" s="23" t="s">
        <x:v>74</x:v>
      </x:c>
      <x:c r="S158" s="23" t="s">
        <x:v>31</x:v>
      </x:c>
    </x:row>
    <x:row r="159" ht="18.75" customHeight="1">
      <x:c r="A159" s="19">
        <x:v>158.0</x:v>
      </x:c>
      <x:c r="B159" s="29" t="s">
        <x:v>730</x:v>
      </x:c>
      <x:c r="C159" s="21">
        <x:v>45806.0</x:v>
      </x:c>
      <x:c r="D159" s="58" t="s">
        <x:v>731</x:v>
      </x:c>
      <x:c r="E159" s="56"/>
      <x:c r="F159" s="23"/>
      <x:c r="G159" s="56"/>
      <x:c r="H159" s="23"/>
      <x:c r="I159" s="25"/>
      <x:c r="J159" s="25"/>
      <x:c r="K159" s="24">
        <x:v>1.0</x:v>
      </x:c>
      <x:c r="L159" s="25"/>
      <x:c r="M159" s="94"/>
      <x:c r="N159" s="94"/>
      <x:c r="O159" s="94"/>
      <x:c r="P159" s="94"/>
      <x:c r="Q159" s="26">
        <x:f t="shared" si="20"/>
        <x:v>240000</x:v>
      </x:c>
      <x:c r="R159" s="23" t="s">
        <x:v>74</x:v>
      </x:c>
      <x:c r="S159" s="23" t="s">
        <x:v>31</x:v>
      </x:c>
    </x:row>
    <x:row r="160" ht="18.75" customHeight="1">
      <x:c r="A160" s="19">
        <x:v>159.0</x:v>
      </x:c>
      <x:c r="B160" s="29" t="s">
        <x:v>646</x:v>
      </x:c>
      <x:c r="C160" s="21">
        <x:v>45807.0</x:v>
      </x:c>
      <x:c r="D160" s="58" t="s">
        <x:v>647</x:v>
      </x:c>
      <x:c r="E160" s="56"/>
      <x:c r="F160" s="23"/>
      <x:c r="G160" s="56"/>
      <x:c r="H160" s="23"/>
      <x:c r="I160" s="25"/>
      <x:c r="J160" s="25"/>
      <x:c r="K160" s="25"/>
      <x:c r="L160" s="24">
        <x:v>1.0</x:v>
      </x:c>
      <x:c r="M160" s="94"/>
      <x:c r="N160" s="94"/>
      <x:c r="O160" s="94"/>
      <x:c r="P160" s="94"/>
      <x:c r="Q160" s="26">
        <x:f t="shared" si="20"/>
        <x:v>240000</x:v>
      </x:c>
      <x:c r="R160" s="23" t="s">
        <x:v>74</x:v>
      </x:c>
      <x:c r="S160" s="23" t="s">
        <x:v>31</x:v>
      </x:c>
    </x:row>
    <x:row r="161" ht="18.75" customHeight="1">
      <x:c r="A161" s="19">
        <x:v>160.0</x:v>
      </x:c>
      <x:c r="B161" s="29" t="s">
        <x:v>732</x:v>
      </x:c>
      <x:c r="C161" s="21">
        <x:v>45807.0</x:v>
      </x:c>
      <x:c r="D161" s="58" t="s">
        <x:v>733</x:v>
      </x:c>
      <x:c r="E161" s="56"/>
      <x:c r="F161" s="23"/>
      <x:c r="G161" s="56"/>
      <x:c r="H161" s="23"/>
      <x:c r="I161" s="25"/>
      <x:c r="J161" s="25"/>
      <x:c r="K161" s="25"/>
      <x:c r="L161" s="24">
        <x:v>1.0</x:v>
      </x:c>
      <x:c r="M161" s="94"/>
      <x:c r="N161" s="94"/>
      <x:c r="O161" s="94"/>
      <x:c r="P161" s="94"/>
      <x:c r="Q161" s="26">
        <x:f t="shared" si="20"/>
        <x:v>240000</x:v>
      </x:c>
      <x:c r="R161" s="23" t="s">
        <x:v>74</x:v>
      </x:c>
      <x:c r="S161" s="23" t="s">
        <x:v>31</x:v>
      </x:c>
    </x:row>
    <x:row r="162" ht="18.75" customHeight="1">
      <x:c r="A162" s="19">
        <x:v>161.0</x:v>
      </x:c>
      <x:c r="B162" s="29" t="s">
        <x:v>734</x:v>
      </x:c>
      <x:c r="C162" s="21">
        <x:v>45808.0</x:v>
      </x:c>
      <x:c r="D162" s="58" t="s">
        <x:v>735</x:v>
      </x:c>
      <x:c r="E162" s="56"/>
      <x:c r="F162" s="23"/>
      <x:c r="G162" s="56"/>
      <x:c r="H162" s="23">
        <x:v>2.0</x:v>
      </x:c>
      <x:c r="I162" s="25"/>
      <x:c r="J162" s="25"/>
      <x:c r="K162" s="25"/>
      <x:c r="L162" s="25"/>
      <x:c r="M162" s="94"/>
      <x:c r="N162" s="94"/>
      <x:c r="O162" s="94"/>
      <x:c r="P162" s="94"/>
      <x:c r="Q162" s="26">
        <x:f t="shared" si="20"/>
        <x:v>800000</x:v>
      </x:c>
      <x:c r="R162" s="23" t="s">
        <x:v>74</x:v>
      </x:c>
      <x:c r="S162" s="23" t="s">
        <x:v>31</x:v>
      </x:c>
    </x:row>
    <x:row r="163" ht="18.75" customHeight="1">
      <x:c r="A163" s="19">
        <x:v>162.0</x:v>
      </x:c>
      <x:c r="B163" s="29" t="s">
        <x:v>736</x:v>
      </x:c>
      <x:c r="C163" s="21">
        <x:v>45808.0</x:v>
      </x:c>
      <x:c r="D163" s="58" t="s">
        <x:v>737</x:v>
      </x:c>
      <x:c r="E163" s="56"/>
      <x:c r="F163" s="23"/>
      <x:c r="G163" s="56"/>
      <x:c r="H163" s="23"/>
      <x:c r="I163" s="25"/>
      <x:c r="J163" s="25"/>
      <x:c r="K163" s="25"/>
      <x:c r="L163" s="24">
        <x:v>1.0</x:v>
      </x:c>
      <x:c r="M163" s="94"/>
      <x:c r="N163" s="94"/>
      <x:c r="O163" s="94"/>
      <x:c r="P163" s="94"/>
      <x:c r="Q163" s="26">
        <x:f t="shared" si="20"/>
        <x:v>240000</x:v>
      </x:c>
      <x:c r="R163" s="23" t="s">
        <x:v>74</x:v>
      </x:c>
      <x:c r="S163" s="23" t="s">
        <x:v>31</x:v>
      </x:c>
    </x:row>
    <x:row r="164" ht="18.75" customHeight="1">
      <x:c r="A164" s="19">
        <x:v>163.0</x:v>
      </x:c>
      <x:c r="B164" s="29" t="s">
        <x:v>738</x:v>
      </x:c>
      <x:c r="C164" s="21">
        <x:v>45808.0</x:v>
      </x:c>
      <x:c r="D164" s="58" t="s">
        <x:v>739</x:v>
      </x:c>
      <x:c r="E164" s="56"/>
      <x:c r="F164" s="23"/>
      <x:c r="G164" s="56"/>
      <x:c r="H164" s="23"/>
      <x:c r="I164" s="25"/>
      <x:c r="J164" s="25"/>
      <x:c r="K164" s="25"/>
      <x:c r="L164" s="24">
        <x:v>1.0</x:v>
      </x:c>
      <x:c r="M164" s="94"/>
      <x:c r="N164" s="94"/>
      <x:c r="O164" s="94"/>
      <x:c r="P164" s="94"/>
      <x:c r="Q164" s="26">
        <x:f t="shared" si="20"/>
        <x:v>240000</x:v>
      </x:c>
      <x:c r="R164" s="23" t="s">
        <x:v>74</x:v>
      </x:c>
      <x:c r="S164" s="23" t="s">
        <x:v>31</x:v>
      </x:c>
    </x:row>
    <x:row r="165" ht="18.75" customHeight="1">
      <x:c r="A165" s="19">
        <x:v>164.0</x:v>
      </x:c>
      <x:c r="B165" s="29" t="s">
        <x:v>559</x:v>
      </x:c>
      <x:c r="C165" s="21">
        <x:v>45808.0</x:v>
      </x:c>
      <x:c r="D165" s="58" t="s">
        <x:v>560</x:v>
      </x:c>
      <x:c r="E165" s="56"/>
      <x:c r="F165" s="23"/>
      <x:c r="G165" s="56"/>
      <x:c r="H165" s="23"/>
      <x:c r="I165" s="25"/>
      <x:c r="J165" s="25"/>
      <x:c r="K165" s="24">
        <x:v>1.0</x:v>
      </x:c>
      <x:c r="L165" s="25"/>
      <x:c r="M165" s="94"/>
      <x:c r="N165" s="94"/>
      <x:c r="O165" s="94"/>
      <x:c r="P165" s="94"/>
      <x:c r="Q165" s="26">
        <x:f t="shared" si="20"/>
        <x:v>240000</x:v>
      </x:c>
      <x:c r="R165" s="23" t="s">
        <x:v>74</x:v>
      </x:c>
      <x:c r="S165" s="23" t="s">
        <x:v>34</x:v>
      </x:c>
    </x:row>
    <x:row r="166" ht="18.75" customHeight="1">
      <x:c r="A166" s="19">
        <x:v>165.0</x:v>
      </x:c>
      <x:c r="B166" s="29" t="s">
        <x:v>740</x:v>
      </x:c>
      <x:c r="C166" s="21">
        <x:v>45808.0</x:v>
      </x:c>
      <x:c r="D166" s="58" t="s">
        <x:v>741</x:v>
      </x:c>
      <x:c r="E166" s="56"/>
      <x:c r="F166" s="23"/>
      <x:c r="G166" s="56"/>
      <x:c r="H166" s="23"/>
      <x:c r="I166" s="25"/>
      <x:c r="J166" s="24">
        <x:v>1.0</x:v>
      </x:c>
      <x:c r="K166" s="25"/>
      <x:c r="L166" s="24">
        <x:v>1.0</x:v>
      </x:c>
      <x:c r="M166" s="94"/>
      <x:c r="N166" s="94"/>
      <x:c r="O166" s="94"/>
      <x:c r="P166" s="94"/>
      <x:c r="Q166" s="26" t="n">
        <x:f>(E166*260+F166*255+G166*360+H166*400+I166*470+J166*640+K166*240+L166*240+M166*290+N166*290+O166*395+P166*270)*1000</x:f>
        <x:v>880000</x:v>
      </x:c>
      <x:c r="R166" s="23" t="s">
        <x:v>74</x:v>
      </x:c>
      <x:c r="S166" s="23" t="s">
        <x:v>31</x:v>
      </x:c>
    </x:row>
    <x:row r="167">
      <x:c r="A167" s="75"/>
      <x:c r="B167" s="76" t="s">
        <x:v>27</x:v>
      </x:c>
      <x:c r="C167" s="77"/>
      <x:c r="D167" s="78"/>
      <x:c r="E167" s="77" t="n">
        <x:f>SUM(E2:E138)</x:f>
        <x:v>0</x:v>
      </x:c>
      <x:c r="F167" s="77" t="n">
        <x:f t="shared" ref="F167:Q167" si="21">SUM(F2:F166)</x:f>
        <x:v>59</x:v>
      </x:c>
      <x:c r="G167" s="77">
        <x:f t="shared" si="21"/>
        <x:v>0</x:v>
      </x:c>
      <x:c r="H167" s="77">
        <x:f t="shared" si="21"/>
        <x:v>56</x:v>
      </x:c>
      <x:c r="I167" s="79">
        <x:f t="shared" si="21"/>
        <x:v>14</x:v>
      </x:c>
      <x:c r="J167" s="79">
        <x:f t="shared" si="21"/>
        <x:v>23</x:v>
      </x:c>
      <x:c r="K167" s="79">
        <x:f t="shared" si="21"/>
        <x:v>36</x:v>
      </x:c>
      <x:c r="L167" s="79">
        <x:f t="shared" si="21"/>
        <x:v>62</x:v>
      </x:c>
      <x:c r="M167" s="77">
        <x:f t="shared" si="21"/>
        <x:v>1</x:v>
      </x:c>
      <x:c r="N167" s="77">
        <x:f t="shared" si="21"/>
        <x:v>8</x:v>
      </x:c>
      <x:c r="O167" s="77">
        <x:f t="shared" si="21"/>
        <x:v>1</x:v>
      </x:c>
      <x:c r="P167" s="77">
        <x:f t="shared" si="21"/>
        <x:v>1</x:v>
      </x:c>
      <x:c r="Q167" s="80">
        <x:f t="shared" si="21"/>
        <x:v>86664000</x:v>
      </x:c>
      <x:c r="R167" s="77"/>
      <x:c r="S167" s="77"/>
    </x:row>
    <x:row r="168">
      <x:c r="A168" s="75"/>
      <x:c r="B168" s="76" t="s">
        <x:v>51</x:v>
      </x:c>
      <x:c r="C168" s="81"/>
      <x:c r="D168" s="96"/>
      <x:c r="E168" s="83" t="n">
        <x:f>E167*Inventory_batches!I60</x:f>
        <x:v>0</x:v>
      </x:c>
      <x:c r="F168" s="83" t="n">
        <x:f>F167*Inventory_batches!I75</x:f>
        <x:v>9875585.837837838</x:v>
      </x:c>
      <x:c r="G168" s="83" t="n">
        <x:f>G167*Inventory_batches!F24</x:f>
        <x:v>0</x:v>
      </x:c>
      <x:c r="H168" s="83" t="n">
        <x:f>H167*Inventory_batches!I77</x:f>
        <x:v>12285437.405405404</x:v>
      </x:c>
      <x:c r="I168" s="84" t="n">
        <x:f>I167*Inventory_batches!I78</x:f>
        <x:v>3435359.351351351</x:v>
      </x:c>
      <x:c r="J168" s="84" t="n">
        <x:f>J167*Inventory_batches!I79</x:f>
        <x:v>9231804.64864865</x:v>
      </x:c>
      <x:c r="K168" s="84" t="n">
        <x:f>K167*Inventory_batches!I66</x:f>
        <x:v>5052890.95890411</x:v>
      </x:c>
      <x:c r="L168" s="84" t="n">
        <x:f>L167*Inventory_batches!I64</x:f>
        <x:v>8702201.09589041</x:v>
      </x:c>
      <x:c r="M168" s="83" t="n">
        <x:f>M167*Inventory_batches!I81</x:f>
        <x:v>167382.8108108108</x:v>
      </x:c>
      <x:c r="N168" s="83" t="n">
        <x:f>N167*Inventory_batches!I80</x:f>
        <x:v>1339062.4864864864</x:v>
      </x:c>
      <x:c r="O168" s="83" t="n">
        <x:f>O167*Inventory_batches!I70</x:f>
        <x:v>192358.08219178082</x:v>
      </x:c>
      <x:c r="P168" s="83" t="n">
        <x:f>Inventory_batches!I89</x:f>
        <x:v>143273.88235294117</x:v>
      </x:c>
      <x:c r="Q168" s="83" t="n">
        <x:f>SUM(E168:P168)</x:f>
        <x:v>50425356.55987978</x:v>
      </x:c>
      <x:c r="R168" s="85" t="n">
        <x:f>Q168-U3</x:f>
        <x:v>32113356.55987978</x:v>
      </x:c>
      <x:c r="S168" s="86"/>
      <x:c r="T168" s="32"/>
    </x:row>
    <x:row r="169">
      <x:c r="A169" s="87"/>
      <x:c r="B169" s="88"/>
      <x:c r="D169" s="32"/>
      <x:c r="I169" s="74"/>
      <x:c r="J169" s="74"/>
      <x:c r="K169" s="74"/>
      <x:c r="L169" s="74"/>
      <x:c r="M169" s="89"/>
      <x:c r="N169" s="89"/>
      <x:c r="O169" s="89"/>
      <x:c r="P169" s="89"/>
      <x:c r="Q169" s="90" t="n">
        <x:f>Q167-Q168</x:f>
        <x:v>36238643.44012022</x:v>
      </x:c>
      <x:c r="S169" s="86"/>
      <x:c r="T169" s="32"/>
    </x:row>
    <x:row r="170">
      <x:c r="A170" s="87"/>
      <x:c r="B170" s="88"/>
      <x:c r="D170" s="32"/>
      <x:c r="I170" s="74"/>
      <x:c r="J170" s="74"/>
      <x:c r="K170" s="74"/>
      <x:c r="L170" s="74"/>
      <x:c r="M170" s="91"/>
      <x:c r="N170" s="91"/>
      <x:c r="O170" s="91"/>
      <x:c r="P170" s="91"/>
      <x:c r="Q170" s="85"/>
      <x:c r="S170" s="86"/>
      <x:c r="T170" s="32"/>
    </x:row>
    <x:row r="171">
      <x:c r="A171" s="87"/>
      <x:c r="B171" s="88"/>
      <x:c r="D171" s="32"/>
      <x:c r="I171" s="74"/>
      <x:c r="J171" s="74"/>
      <x:c r="K171" s="74"/>
      <x:c r="L171" s="74"/>
      <x:c r="M171" s="91"/>
      <x:c r="N171" s="91"/>
      <x:c r="O171" s="91"/>
      <x:c r="P171" s="91"/>
      <x:c r="Q171" s="85"/>
      <x:c r="S171" s="86"/>
      <x:c r="T171" s="32"/>
    </x:row>
    <x:row r="172">
      <x:c r="A172" s="87"/>
      <x:c r="B172" s="88"/>
      <x:c r="D172" s="32"/>
      <x:c r="I172" s="74"/>
      <x:c r="J172" s="74"/>
      <x:c r="K172" s="74"/>
      <x:c r="L172" s="74"/>
      <x:c r="M172" s="91"/>
      <x:c r="N172" s="91"/>
      <x:c r="O172" s="91"/>
      <x:c r="P172" s="91"/>
      <x:c r="Q172" s="85"/>
      <x:c r="S172" s="86"/>
      <x:c r="T172" s="32"/>
    </x:row>
    <x:row r="173">
      <x:c r="A173" s="87"/>
      <x:c r="B173" s="88"/>
      <x:c r="D173" s="32"/>
      <x:c r="I173" s="74"/>
      <x:c r="J173" s="74"/>
      <x:c r="K173" s="74"/>
      <x:c r="L173" s="74"/>
      <x:c r="M173" s="91"/>
      <x:c r="N173" s="91"/>
      <x:c r="O173" s="91"/>
      <x:c r="P173" s="91"/>
      <x:c r="Q173" s="85"/>
      <x:c r="S173" s="86"/>
      <x:c r="T173" s="32"/>
    </x:row>
    <x:row r="174">
      <x:c r="A174" s="87"/>
      <x:c r="B174" s="88"/>
      <x:c r="D174" s="32"/>
      <x:c r="I174" s="74"/>
      <x:c r="J174" s="74"/>
      <x:c r="K174" s="74"/>
      <x:c r="L174" s="74"/>
      <x:c r="M174" s="91"/>
      <x:c r="N174" s="91"/>
      <x:c r="O174" s="91"/>
      <x:c r="P174" s="91"/>
      <x:c r="Q174" s="85"/>
      <x:c r="S174" s="86"/>
      <x:c r="T174" s="32"/>
    </x:row>
    <x:row r="175">
      <x:c r="A175" s="87"/>
      <x:c r="B175" s="88"/>
      <x:c r="D175" s="32"/>
      <x:c r="I175" s="74"/>
      <x:c r="J175" s="74"/>
      <x:c r="K175" s="74"/>
      <x:c r="L175" s="74"/>
      <x:c r="M175" s="91"/>
      <x:c r="N175" s="91"/>
      <x:c r="O175" s="91"/>
      <x:c r="P175" s="91"/>
      <x:c r="Q175" s="85"/>
      <x:c r="S175" s="86"/>
      <x:c r="T175" s="32"/>
    </x:row>
    <x:row r="176">
      <x:c r="A176" s="87"/>
      <x:c r="B176" s="88"/>
      <x:c r="D176" s="32"/>
      <x:c r="I176" s="74"/>
      <x:c r="J176" s="74"/>
      <x:c r="K176" s="74"/>
      <x:c r="L176" s="74"/>
      <x:c r="M176" s="91"/>
      <x:c r="N176" s="91"/>
      <x:c r="O176" s="91"/>
      <x:c r="P176" s="91"/>
      <x:c r="Q176" s="85"/>
      <x:c r="S176" s="86"/>
      <x:c r="T176" s="32"/>
    </x:row>
    <x:row r="177">
      <x:c r="A177" s="87"/>
      <x:c r="B177" s="88"/>
      <x:c r="D177" s="32"/>
      <x:c r="I177" s="74"/>
      <x:c r="J177" s="74"/>
      <x:c r="K177" s="74"/>
      <x:c r="L177" s="74"/>
      <x:c r="M177" s="91"/>
      <x:c r="N177" s="91"/>
      <x:c r="O177" s="91"/>
      <x:c r="P177" s="91"/>
      <x:c r="Q177" s="85"/>
      <x:c r="S177" s="86"/>
      <x:c r="T177" s="32"/>
    </x:row>
    <x:row r="178">
      <x:c r="A178" s="87"/>
      <x:c r="B178" s="88"/>
      <x:c r="D178" s="32"/>
      <x:c r="I178" s="74"/>
      <x:c r="J178" s="74"/>
      <x:c r="K178" s="74"/>
      <x:c r="L178" s="74"/>
      <x:c r="M178" s="91"/>
      <x:c r="N178" s="91"/>
      <x:c r="O178" s="91"/>
      <x:c r="P178" s="91"/>
      <x:c r="Q178" s="85"/>
      <x:c r="S178" s="86"/>
      <x:c r="T178" s="32"/>
    </x:row>
    <x:row r="179">
      <x:c r="A179" s="87"/>
      <x:c r="B179" s="88"/>
      <x:c r="D179" s="32"/>
      <x:c r="I179" s="74"/>
      <x:c r="J179" s="74"/>
      <x:c r="K179" s="74"/>
      <x:c r="L179" s="74"/>
      <x:c r="M179" s="91"/>
      <x:c r="N179" s="91"/>
      <x:c r="O179" s="91"/>
      <x:c r="P179" s="91"/>
      <x:c r="Q179" s="85"/>
      <x:c r="S179" s="86"/>
      <x:c r="T179" s="32"/>
    </x:row>
    <x:row r="180">
      <x:c r="A180" s="87"/>
      <x:c r="B180" s="88"/>
      <x:c r="D180" s="32"/>
      <x:c r="I180" s="74"/>
      <x:c r="J180" s="74"/>
      <x:c r="K180" s="74"/>
      <x:c r="L180" s="74"/>
      <x:c r="M180" s="91"/>
      <x:c r="N180" s="91"/>
      <x:c r="O180" s="91"/>
      <x:c r="P180" s="91"/>
      <x:c r="Q180" s="85"/>
      <x:c r="S180" s="86"/>
      <x:c r="T180" s="32"/>
    </x:row>
    <x:row r="181">
      <x:c r="A181" s="87"/>
      <x:c r="B181" s="88"/>
      <x:c r="D181" s="32"/>
      <x:c r="I181" s="74"/>
      <x:c r="J181" s="74"/>
      <x:c r="K181" s="74"/>
      <x:c r="L181" s="74"/>
      <x:c r="M181" s="91"/>
      <x:c r="N181" s="91"/>
      <x:c r="O181" s="91"/>
      <x:c r="P181" s="91"/>
      <x:c r="Q181" s="85"/>
      <x:c r="S181" s="86"/>
      <x:c r="T181" s="32"/>
    </x:row>
    <x:row r="182">
      <x:c r="A182" s="87"/>
      <x:c r="B182" s="88"/>
      <x:c r="D182" s="32"/>
      <x:c r="I182" s="74"/>
      <x:c r="J182" s="74"/>
      <x:c r="K182" s="74"/>
      <x:c r="L182" s="74"/>
      <x:c r="M182" s="91"/>
      <x:c r="N182" s="91"/>
      <x:c r="O182" s="91"/>
      <x:c r="P182" s="91"/>
      <x:c r="Q182" s="85"/>
      <x:c r="S182" s="86"/>
      <x:c r="T182" s="32"/>
    </x:row>
    <x:row r="183">
      <x:c r="A183" s="87"/>
      <x:c r="B183" s="88"/>
      <x:c r="D183" s="32"/>
      <x:c r="I183" s="74"/>
      <x:c r="J183" s="74"/>
      <x:c r="K183" s="74"/>
      <x:c r="L183" s="74"/>
      <x:c r="M183" s="91"/>
      <x:c r="N183" s="91"/>
      <x:c r="O183" s="91"/>
      <x:c r="P183" s="91"/>
      <x:c r="Q183" s="85"/>
      <x:c r="S183" s="86"/>
      <x:c r="T183" s="32"/>
    </x:row>
    <x:row r="184">
      <x:c r="A184" s="87"/>
      <x:c r="B184" s="88"/>
      <x:c r="D184" s="32"/>
      <x:c r="I184" s="74"/>
      <x:c r="J184" s="74"/>
      <x:c r="K184" s="74"/>
      <x:c r="L184" s="74"/>
      <x:c r="M184" s="91"/>
      <x:c r="N184" s="91"/>
      <x:c r="O184" s="91"/>
      <x:c r="P184" s="91"/>
      <x:c r="Q184" s="85"/>
      <x:c r="S184" s="86"/>
      <x:c r="T184" s="32"/>
    </x:row>
    <x:row r="185">
      <x:c r="A185" s="87"/>
      <x:c r="B185" s="88"/>
      <x:c r="D185" s="32"/>
      <x:c r="I185" s="74"/>
      <x:c r="J185" s="74"/>
      <x:c r="K185" s="74"/>
      <x:c r="L185" s="74"/>
      <x:c r="M185" s="91"/>
      <x:c r="N185" s="91"/>
      <x:c r="O185" s="91"/>
      <x:c r="P185" s="91"/>
      <x:c r="Q185" s="85"/>
      <x:c r="S185" s="86"/>
      <x:c r="T185" s="32"/>
    </x:row>
    <x:row r="186">
      <x:c r="A186" s="87"/>
      <x:c r="B186" s="88"/>
      <x:c r="D186" s="32"/>
      <x:c r="I186" s="74"/>
      <x:c r="J186" s="74"/>
      <x:c r="K186" s="74"/>
      <x:c r="L186" s="74"/>
      <x:c r="M186" s="91"/>
      <x:c r="N186" s="91"/>
      <x:c r="O186" s="91"/>
      <x:c r="P186" s="91"/>
      <x:c r="Q186" s="85"/>
      <x:c r="S186" s="86"/>
      <x:c r="T186" s="32"/>
    </x:row>
    <x:row r="187">
      <x:c r="A187" s="87"/>
      <x:c r="B187" s="88"/>
      <x:c r="D187" s="32"/>
      <x:c r="I187" s="74"/>
      <x:c r="J187" s="74"/>
      <x:c r="K187" s="74"/>
      <x:c r="L187" s="74"/>
      <x:c r="M187" s="91"/>
      <x:c r="N187" s="91"/>
      <x:c r="O187" s="91"/>
      <x:c r="P187" s="91"/>
      <x:c r="Q187" s="85"/>
      <x:c r="S187" s="86"/>
      <x:c r="T187" s="32"/>
    </x:row>
    <x:row r="188">
      <x:c r="A188" s="87"/>
      <x:c r="B188" s="88"/>
      <x:c r="D188" s="32"/>
      <x:c r="I188" s="74"/>
      <x:c r="J188" s="74"/>
      <x:c r="K188" s="74"/>
      <x:c r="L188" s="74"/>
      <x:c r="M188" s="91"/>
      <x:c r="N188" s="91"/>
      <x:c r="O188" s="91"/>
      <x:c r="P188" s="91"/>
      <x:c r="Q188" s="85"/>
      <x:c r="S188" s="86"/>
      <x:c r="T188" s="32"/>
    </x:row>
    <x:row r="189">
      <x:c r="A189" s="87"/>
      <x:c r="B189" s="88"/>
      <x:c r="D189" s="32"/>
      <x:c r="I189" s="74"/>
      <x:c r="J189" s="74"/>
      <x:c r="K189" s="74"/>
      <x:c r="L189" s="74"/>
      <x:c r="M189" s="91"/>
      <x:c r="N189" s="91"/>
      <x:c r="O189" s="91"/>
      <x:c r="P189" s="91"/>
      <x:c r="Q189" s="85"/>
      <x:c r="S189" s="86"/>
      <x:c r="T189" s="32"/>
    </x:row>
    <x:row r="190">
      <x:c r="A190" s="87"/>
      <x:c r="B190" s="88"/>
      <x:c r="D190" s="32"/>
      <x:c r="I190" s="74"/>
      <x:c r="J190" s="74"/>
      <x:c r="K190" s="74"/>
      <x:c r="L190" s="74"/>
      <x:c r="M190" s="91"/>
      <x:c r="N190" s="91"/>
      <x:c r="O190" s="91"/>
      <x:c r="P190" s="91"/>
      <x:c r="Q190" s="85"/>
      <x:c r="S190" s="86"/>
      <x:c r="T190" s="32"/>
    </x:row>
    <x:row r="191">
      <x:c r="A191" s="87"/>
      <x:c r="B191" s="88"/>
      <x:c r="D191" s="32"/>
      <x:c r="I191" s="74"/>
      <x:c r="J191" s="74"/>
      <x:c r="K191" s="74"/>
      <x:c r="L191" s="74"/>
      <x:c r="M191" s="91"/>
      <x:c r="N191" s="91"/>
      <x:c r="O191" s="91"/>
      <x:c r="P191" s="91"/>
      <x:c r="Q191" s="85"/>
      <x:c r="S191" s="86"/>
      <x:c r="T191" s="32"/>
    </x:row>
    <x:row r="192">
      <x:c r="A192" s="87"/>
      <x:c r="B192" s="88"/>
      <x:c r="D192" s="32"/>
      <x:c r="I192" s="74"/>
      <x:c r="J192" s="74"/>
      <x:c r="K192" s="74"/>
      <x:c r="L192" s="74"/>
      <x:c r="M192" s="91"/>
      <x:c r="N192" s="91"/>
      <x:c r="O192" s="91"/>
      <x:c r="P192" s="91"/>
      <x:c r="Q192" s="85"/>
      <x:c r="S192" s="86"/>
      <x:c r="T192" s="32"/>
    </x:row>
    <x:row r="193">
      <x:c r="A193" s="87"/>
      <x:c r="B193" s="88"/>
      <x:c r="D193" s="32"/>
      <x:c r="I193" s="74"/>
      <x:c r="J193" s="74"/>
      <x:c r="K193" s="74"/>
      <x:c r="L193" s="74"/>
      <x:c r="M193" s="91"/>
      <x:c r="N193" s="91"/>
      <x:c r="O193" s="91"/>
      <x:c r="P193" s="91"/>
      <x:c r="Q193" s="85"/>
      <x:c r="S193" s="86"/>
      <x:c r="T193" s="32"/>
    </x:row>
    <x:row r="194">
      <x:c r="A194" s="87"/>
      <x:c r="B194" s="88"/>
      <x:c r="D194" s="32"/>
      <x:c r="I194" s="74"/>
      <x:c r="J194" s="74"/>
      <x:c r="K194" s="74"/>
      <x:c r="L194" s="74"/>
      <x:c r="M194" s="91"/>
      <x:c r="N194" s="91"/>
      <x:c r="O194" s="91"/>
      <x:c r="P194" s="91"/>
      <x:c r="Q194" s="85"/>
      <x:c r="S194" s="86"/>
      <x:c r="T194" s="32"/>
    </x:row>
    <x:row r="195">
      <x:c r="A195" s="87"/>
      <x:c r="B195" s="88"/>
      <x:c r="D195" s="32"/>
      <x:c r="I195" s="74"/>
      <x:c r="J195" s="74"/>
      <x:c r="K195" s="74"/>
      <x:c r="L195" s="74"/>
      <x:c r="M195" s="91"/>
      <x:c r="N195" s="91"/>
      <x:c r="O195" s="91"/>
      <x:c r="P195" s="91"/>
      <x:c r="Q195" s="85"/>
      <x:c r="S195" s="86"/>
      <x:c r="T195" s="32"/>
    </x:row>
    <x:row r="196">
      <x:c r="A196" s="87"/>
      <x:c r="B196" s="88"/>
      <x:c r="D196" s="32"/>
      <x:c r="I196" s="74"/>
      <x:c r="J196" s="74"/>
      <x:c r="K196" s="74"/>
      <x:c r="L196" s="74"/>
      <x:c r="M196" s="91"/>
      <x:c r="N196" s="91"/>
      <x:c r="O196" s="91"/>
      <x:c r="P196" s="91"/>
      <x:c r="Q196" s="85"/>
      <x:c r="S196" s="86"/>
      <x:c r="T196" s="32"/>
    </x:row>
    <x:row r="197">
      <x:c r="A197" s="87"/>
      <x:c r="B197" s="88"/>
      <x:c r="D197" s="32"/>
      <x:c r="I197" s="74"/>
      <x:c r="J197" s="74"/>
      <x:c r="K197" s="74"/>
      <x:c r="L197" s="74"/>
      <x:c r="M197" s="91"/>
      <x:c r="N197" s="91"/>
      <x:c r="O197" s="91"/>
      <x:c r="P197" s="91"/>
      <x:c r="Q197" s="85"/>
      <x:c r="S197" s="86"/>
      <x:c r="T197" s="32"/>
    </x:row>
    <x:row r="198">
      <x:c r="A198" s="87"/>
      <x:c r="B198" s="88"/>
      <x:c r="D198" s="32"/>
      <x:c r="I198" s="74"/>
      <x:c r="J198" s="74"/>
      <x:c r="K198" s="74"/>
      <x:c r="L198" s="74"/>
      <x:c r="M198" s="91"/>
      <x:c r="N198" s="91"/>
      <x:c r="O198" s="91"/>
      <x:c r="P198" s="91"/>
      <x:c r="Q198" s="85"/>
      <x:c r="S198" s="86"/>
      <x:c r="T198" s="32"/>
    </x:row>
    <x:row r="199">
      <x:c r="A199" s="87"/>
      <x:c r="B199" s="88"/>
      <x:c r="D199" s="32"/>
      <x:c r="I199" s="74"/>
      <x:c r="J199" s="74"/>
      <x:c r="K199" s="74"/>
      <x:c r="L199" s="74"/>
      <x:c r="M199" s="91"/>
      <x:c r="N199" s="91"/>
      <x:c r="O199" s="91"/>
      <x:c r="P199" s="91"/>
      <x:c r="Q199" s="85"/>
      <x:c r="S199" s="86"/>
      <x:c r="T199" s="32"/>
    </x:row>
    <x:row r="200">
      <x:c r="A200" s="87"/>
      <x:c r="B200" s="88"/>
      <x:c r="D200" s="32"/>
      <x:c r="I200" s="74"/>
      <x:c r="J200" s="74"/>
      <x:c r="K200" s="74"/>
      <x:c r="L200" s="74"/>
      <x:c r="M200" s="91"/>
      <x:c r="N200" s="91"/>
      <x:c r="O200" s="91"/>
      <x:c r="P200" s="91"/>
      <x:c r="Q200" s="85"/>
      <x:c r="S200" s="86"/>
      <x:c r="T200" s="32"/>
    </x:row>
    <x:row r="201">
      <x:c r="A201" s="87"/>
      <x:c r="B201" s="88"/>
      <x:c r="D201" s="32"/>
      <x:c r="I201" s="74"/>
      <x:c r="J201" s="74"/>
      <x:c r="K201" s="74"/>
      <x:c r="L201" s="74"/>
      <x:c r="M201" s="91"/>
      <x:c r="N201" s="91"/>
      <x:c r="O201" s="91"/>
      <x:c r="P201" s="91"/>
      <x:c r="Q201" s="85"/>
      <x:c r="S201" s="86"/>
      <x:c r="T201" s="32"/>
    </x:row>
    <x:row r="202">
      <x:c r="A202" s="87"/>
      <x:c r="B202" s="88"/>
      <x:c r="D202" s="32"/>
      <x:c r="I202" s="74"/>
      <x:c r="J202" s="74"/>
      <x:c r="K202" s="74"/>
      <x:c r="L202" s="74"/>
      <x:c r="M202" s="91"/>
      <x:c r="N202" s="91"/>
      <x:c r="O202" s="91"/>
      <x:c r="P202" s="91"/>
      <x:c r="Q202" s="85"/>
      <x:c r="S202" s="86"/>
      <x:c r="T202" s="32"/>
    </x:row>
    <x:row r="203">
      <x:c r="A203" s="87"/>
      <x:c r="B203" s="88"/>
      <x:c r="D203" s="32"/>
      <x:c r="I203" s="74"/>
      <x:c r="J203" s="74"/>
      <x:c r="K203" s="74"/>
      <x:c r="L203" s="74"/>
      <x:c r="M203" s="91"/>
      <x:c r="N203" s="91"/>
      <x:c r="O203" s="91"/>
      <x:c r="P203" s="91"/>
      <x:c r="Q203" s="85"/>
      <x:c r="S203" s="86"/>
      <x:c r="T203" s="32"/>
    </x:row>
    <x:row r="204">
      <x:c r="A204" s="87"/>
      <x:c r="B204" s="88"/>
      <x:c r="D204" s="32"/>
      <x:c r="I204" s="74"/>
      <x:c r="J204" s="74"/>
      <x:c r="K204" s="74"/>
      <x:c r="L204" s="74"/>
      <x:c r="M204" s="91"/>
      <x:c r="N204" s="91"/>
      <x:c r="O204" s="91"/>
      <x:c r="P204" s="91"/>
      <x:c r="Q204" s="85"/>
      <x:c r="S204" s="86"/>
      <x:c r="T204" s="32"/>
    </x:row>
    <x:row r="205">
      <x:c r="A205" s="87"/>
      <x:c r="B205" s="88"/>
      <x:c r="D205" s="32"/>
      <x:c r="I205" s="74"/>
      <x:c r="J205" s="74"/>
      <x:c r="K205" s="74"/>
      <x:c r="L205" s="74"/>
      <x:c r="M205" s="91"/>
      <x:c r="N205" s="91"/>
      <x:c r="O205" s="91"/>
      <x:c r="P205" s="91"/>
      <x:c r="Q205" s="85"/>
      <x:c r="S205" s="86"/>
      <x:c r="T205" s="32"/>
    </x:row>
    <x:row r="206">
      <x:c r="A206" s="87"/>
      <x:c r="B206" s="88"/>
      <x:c r="D206" s="32"/>
      <x:c r="I206" s="74"/>
      <x:c r="J206" s="74"/>
      <x:c r="K206" s="74"/>
      <x:c r="L206" s="74"/>
      <x:c r="M206" s="91"/>
      <x:c r="N206" s="91"/>
      <x:c r="O206" s="91"/>
      <x:c r="P206" s="91"/>
      <x:c r="Q206" s="85"/>
      <x:c r="S206" s="86"/>
      <x:c r="T206" s="32"/>
    </x:row>
    <x:row r="207">
      <x:c r="A207" s="87"/>
      <x:c r="B207" s="88"/>
      <x:c r="D207" s="32"/>
      <x:c r="I207" s="74"/>
      <x:c r="J207" s="74"/>
      <x:c r="K207" s="74"/>
      <x:c r="L207" s="74"/>
      <x:c r="M207" s="91"/>
      <x:c r="N207" s="91"/>
      <x:c r="O207" s="91"/>
      <x:c r="P207" s="91"/>
      <x:c r="Q207" s="85"/>
      <x:c r="S207" s="86"/>
      <x:c r="T207" s="32"/>
    </x:row>
    <x:row r="208">
      <x:c r="A208" s="87"/>
      <x:c r="B208" s="88"/>
      <x:c r="D208" s="32"/>
      <x:c r="I208" s="74"/>
      <x:c r="J208" s="74"/>
      <x:c r="K208" s="74"/>
      <x:c r="L208" s="74"/>
      <x:c r="M208" s="91"/>
      <x:c r="N208" s="91"/>
      <x:c r="O208" s="91"/>
      <x:c r="P208" s="91"/>
      <x:c r="Q208" s="85"/>
      <x:c r="S208" s="86"/>
      <x:c r="T208" s="32"/>
    </x:row>
    <x:row r="209">
      <x:c r="A209" s="87"/>
      <x:c r="B209" s="88"/>
      <x:c r="D209" s="32"/>
      <x:c r="I209" s="74"/>
      <x:c r="J209" s="74"/>
      <x:c r="K209" s="74"/>
      <x:c r="L209" s="74"/>
      <x:c r="M209" s="91"/>
      <x:c r="N209" s="91"/>
      <x:c r="O209" s="91"/>
      <x:c r="P209" s="91"/>
      <x:c r="Q209" s="85"/>
      <x:c r="S209" s="86"/>
      <x:c r="T209" s="32"/>
    </x:row>
    <x:row r="210">
      <x:c r="A210" s="87"/>
      <x:c r="B210" s="88"/>
      <x:c r="D210" s="32"/>
      <x:c r="I210" s="74"/>
      <x:c r="J210" s="74"/>
      <x:c r="K210" s="74"/>
      <x:c r="L210" s="74"/>
      <x:c r="M210" s="91"/>
      <x:c r="N210" s="91"/>
      <x:c r="O210" s="91"/>
      <x:c r="P210" s="91"/>
      <x:c r="Q210" s="85"/>
      <x:c r="S210" s="86"/>
      <x:c r="T210" s="32"/>
    </x:row>
    <x:row r="211">
      <x:c r="A211" s="87"/>
      <x:c r="B211" s="88"/>
      <x:c r="D211" s="32"/>
      <x:c r="I211" s="74"/>
      <x:c r="J211" s="74"/>
      <x:c r="K211" s="74"/>
      <x:c r="L211" s="74"/>
      <x:c r="M211" s="91"/>
      <x:c r="N211" s="91"/>
      <x:c r="O211" s="91"/>
      <x:c r="P211" s="91"/>
      <x:c r="Q211" s="85"/>
      <x:c r="S211" s="86"/>
      <x:c r="T211" s="32"/>
    </x:row>
    <x:row r="212">
      <x:c r="A212" s="87"/>
      <x:c r="B212" s="88"/>
      <x:c r="D212" s="32"/>
      <x:c r="I212" s="74"/>
      <x:c r="J212" s="74"/>
      <x:c r="K212" s="74"/>
      <x:c r="L212" s="74"/>
      <x:c r="M212" s="91"/>
      <x:c r="N212" s="91"/>
      <x:c r="O212" s="91"/>
      <x:c r="P212" s="91"/>
      <x:c r="Q212" s="85"/>
      <x:c r="S212" s="86"/>
      <x:c r="T212" s="32"/>
    </x:row>
    <x:row r="213">
      <x:c r="A213" s="87"/>
      <x:c r="B213" s="88"/>
      <x:c r="D213" s="32"/>
      <x:c r="I213" s="74"/>
      <x:c r="J213" s="74"/>
      <x:c r="K213" s="74"/>
      <x:c r="L213" s="74"/>
      <x:c r="M213" s="91"/>
      <x:c r="N213" s="91"/>
      <x:c r="O213" s="91"/>
      <x:c r="P213" s="91"/>
      <x:c r="Q213" s="85"/>
      <x:c r="S213" s="86"/>
      <x:c r="T213" s="32"/>
    </x:row>
    <x:row r="214">
      <x:c r="A214" s="87"/>
      <x:c r="B214" s="88"/>
      <x:c r="D214" s="32"/>
      <x:c r="I214" s="74"/>
      <x:c r="J214" s="74"/>
      <x:c r="K214" s="74"/>
      <x:c r="L214" s="74"/>
      <x:c r="M214" s="91"/>
      <x:c r="N214" s="91"/>
      <x:c r="O214" s="91"/>
      <x:c r="P214" s="91"/>
      <x:c r="Q214" s="85"/>
      <x:c r="S214" s="86"/>
      <x:c r="T214" s="32"/>
    </x:row>
    <x:row r="215">
      <x:c r="A215" s="87"/>
      <x:c r="B215" s="88"/>
      <x:c r="D215" s="32"/>
      <x:c r="I215" s="74"/>
      <x:c r="J215" s="74"/>
      <x:c r="K215" s="74"/>
      <x:c r="L215" s="74"/>
      <x:c r="M215" s="91"/>
      <x:c r="N215" s="91"/>
      <x:c r="O215" s="91"/>
      <x:c r="P215" s="91"/>
      <x:c r="Q215" s="85"/>
      <x:c r="S215" s="86"/>
      <x:c r="T215" s="32"/>
    </x:row>
    <x:row r="216">
      <x:c r="A216" s="87"/>
      <x:c r="B216" s="88"/>
      <x:c r="D216" s="32"/>
      <x:c r="I216" s="74"/>
      <x:c r="J216" s="74"/>
      <x:c r="K216" s="74"/>
      <x:c r="L216" s="74"/>
      <x:c r="M216" s="91"/>
      <x:c r="N216" s="91"/>
      <x:c r="O216" s="91"/>
      <x:c r="P216" s="91"/>
      <x:c r="Q216" s="85"/>
      <x:c r="S216" s="86"/>
      <x:c r="T216" s="32"/>
    </x:row>
    <x:row r="217">
      <x:c r="A217" s="87"/>
      <x:c r="B217" s="88"/>
      <x:c r="D217" s="32"/>
      <x:c r="I217" s="74"/>
      <x:c r="J217" s="74"/>
      <x:c r="K217" s="74"/>
      <x:c r="L217" s="74"/>
      <x:c r="M217" s="91"/>
      <x:c r="N217" s="91"/>
      <x:c r="O217" s="91"/>
      <x:c r="P217" s="91"/>
      <x:c r="Q217" s="85"/>
      <x:c r="S217" s="86"/>
      <x:c r="T217" s="32"/>
    </x:row>
    <x:row r="218">
      <x:c r="A218" s="87"/>
      <x:c r="B218" s="88"/>
      <x:c r="D218" s="32"/>
      <x:c r="I218" s="74"/>
      <x:c r="J218" s="74"/>
      <x:c r="K218" s="74"/>
      <x:c r="L218" s="74"/>
      <x:c r="M218" s="91"/>
      <x:c r="N218" s="91"/>
      <x:c r="O218" s="91"/>
      <x:c r="P218" s="91"/>
      <x:c r="Q218" s="85"/>
      <x:c r="S218" s="86"/>
      <x:c r="T218" s="32"/>
    </x:row>
    <x:row r="219">
      <x:c r="A219" s="87"/>
      <x:c r="B219" s="88"/>
      <x:c r="D219" s="32"/>
      <x:c r="I219" s="74"/>
      <x:c r="J219" s="74"/>
      <x:c r="K219" s="74"/>
      <x:c r="L219" s="74"/>
      <x:c r="M219" s="91"/>
      <x:c r="N219" s="91"/>
      <x:c r="O219" s="91"/>
      <x:c r="P219" s="91"/>
      <x:c r="Q219" s="85"/>
      <x:c r="S219" s="86"/>
      <x:c r="T219" s="32"/>
    </x:row>
    <x:row r="220">
      <x:c r="A220" s="87"/>
      <x:c r="B220" s="88"/>
      <x:c r="D220" s="32"/>
      <x:c r="I220" s="74"/>
      <x:c r="J220" s="74"/>
      <x:c r="K220" s="74"/>
      <x:c r="L220" s="74"/>
      <x:c r="M220" s="91"/>
      <x:c r="N220" s="91"/>
      <x:c r="O220" s="91"/>
      <x:c r="P220" s="91"/>
      <x:c r="Q220" s="85"/>
      <x:c r="S220" s="86"/>
      <x:c r="T220" s="32"/>
    </x:row>
    <x:row r="221">
      <x:c r="A221" s="87"/>
      <x:c r="B221" s="88"/>
      <x:c r="D221" s="32"/>
      <x:c r="I221" s="74"/>
      <x:c r="J221" s="74"/>
      <x:c r="K221" s="74"/>
      <x:c r="L221" s="74"/>
      <x:c r="M221" s="91"/>
      <x:c r="N221" s="91"/>
      <x:c r="O221" s="91"/>
      <x:c r="P221" s="91"/>
      <x:c r="Q221" s="85"/>
      <x:c r="S221" s="86"/>
      <x:c r="T221" s="32"/>
    </x:row>
    <x:row r="222">
      <x:c r="A222" s="87"/>
      <x:c r="B222" s="88"/>
      <x:c r="D222" s="32"/>
      <x:c r="I222" s="74"/>
      <x:c r="J222" s="74"/>
      <x:c r="K222" s="74"/>
      <x:c r="L222" s="74"/>
      <x:c r="M222" s="91"/>
      <x:c r="N222" s="91"/>
      <x:c r="O222" s="91"/>
      <x:c r="P222" s="91"/>
      <x:c r="Q222" s="85"/>
      <x:c r="S222" s="86"/>
      <x:c r="T222" s="32"/>
    </x:row>
    <x:row r="223">
      <x:c r="A223" s="87"/>
      <x:c r="B223" s="88"/>
      <x:c r="D223" s="32"/>
      <x:c r="I223" s="74"/>
      <x:c r="J223" s="74"/>
      <x:c r="K223" s="74"/>
      <x:c r="L223" s="74"/>
      <x:c r="M223" s="91"/>
      <x:c r="N223" s="91"/>
      <x:c r="O223" s="91"/>
      <x:c r="P223" s="91"/>
      <x:c r="Q223" s="85"/>
      <x:c r="S223" s="86"/>
      <x:c r="T223" s="32"/>
    </x:row>
    <x:row r="224">
      <x:c r="A224" s="87"/>
      <x:c r="B224" s="88"/>
      <x:c r="D224" s="32"/>
      <x:c r="I224" s="74"/>
      <x:c r="J224" s="74"/>
      <x:c r="K224" s="74"/>
      <x:c r="L224" s="74"/>
      <x:c r="M224" s="91"/>
      <x:c r="N224" s="91"/>
      <x:c r="O224" s="91"/>
      <x:c r="P224" s="91"/>
      <x:c r="Q224" s="85"/>
      <x:c r="S224" s="86"/>
      <x:c r="T224" s="32"/>
    </x:row>
    <x:row r="225">
      <x:c r="A225" s="87"/>
      <x:c r="B225" s="88"/>
      <x:c r="D225" s="32"/>
      <x:c r="I225" s="74"/>
      <x:c r="J225" s="74"/>
      <x:c r="K225" s="74"/>
      <x:c r="L225" s="74"/>
      <x:c r="M225" s="91"/>
      <x:c r="N225" s="91"/>
      <x:c r="O225" s="91"/>
      <x:c r="P225" s="91"/>
      <x:c r="Q225" s="85"/>
      <x:c r="S225" s="86"/>
      <x:c r="T225" s="32"/>
    </x:row>
    <x:row r="226">
      <x:c r="A226" s="87"/>
      <x:c r="B226" s="88"/>
      <x:c r="D226" s="32"/>
      <x:c r="I226" s="74"/>
      <x:c r="J226" s="74"/>
      <x:c r="K226" s="74"/>
      <x:c r="L226" s="74"/>
      <x:c r="M226" s="91"/>
      <x:c r="N226" s="91"/>
      <x:c r="O226" s="91"/>
      <x:c r="P226" s="91"/>
      <x:c r="Q226" s="85"/>
      <x:c r="S226" s="86"/>
      <x:c r="T226" s="32"/>
    </x:row>
    <x:row r="227">
      <x:c r="A227" s="87"/>
      <x:c r="B227" s="88"/>
      <x:c r="D227" s="32"/>
      <x:c r="I227" s="74"/>
      <x:c r="J227" s="74"/>
      <x:c r="K227" s="74"/>
      <x:c r="L227" s="74"/>
      <x:c r="M227" s="91"/>
      <x:c r="N227" s="91"/>
      <x:c r="O227" s="91"/>
      <x:c r="P227" s="91"/>
      <x:c r="Q227" s="85"/>
      <x:c r="S227" s="86"/>
      <x:c r="T227" s="32"/>
    </x:row>
    <x:row r="228">
      <x:c r="A228" s="87"/>
      <x:c r="B228" s="88"/>
      <x:c r="D228" s="32"/>
      <x:c r="I228" s="74"/>
      <x:c r="J228" s="74"/>
      <x:c r="K228" s="74"/>
      <x:c r="L228" s="74"/>
      <x:c r="M228" s="91"/>
      <x:c r="N228" s="91"/>
      <x:c r="O228" s="91"/>
      <x:c r="P228" s="91"/>
      <x:c r="Q228" s="85"/>
      <x:c r="S228" s="86"/>
      <x:c r="T228" s="32"/>
    </x:row>
    <x:row r="229">
      <x:c r="A229" s="87"/>
      <x:c r="B229" s="88"/>
      <x:c r="D229" s="32"/>
      <x:c r="I229" s="74"/>
      <x:c r="J229" s="74"/>
      <x:c r="K229" s="74"/>
      <x:c r="L229" s="74"/>
      <x:c r="M229" s="91"/>
      <x:c r="N229" s="91"/>
      <x:c r="O229" s="91"/>
      <x:c r="P229" s="91"/>
      <x:c r="Q229" s="85"/>
      <x:c r="S229" s="86"/>
      <x:c r="T229" s="32"/>
    </x:row>
    <x:row r="230">
      <x:c r="A230" s="87"/>
      <x:c r="B230" s="88"/>
      <x:c r="D230" s="32"/>
      <x:c r="I230" s="74"/>
      <x:c r="J230" s="74"/>
      <x:c r="K230" s="74"/>
      <x:c r="L230" s="74"/>
      <x:c r="M230" s="91"/>
      <x:c r="N230" s="91"/>
      <x:c r="O230" s="91"/>
      <x:c r="P230" s="91"/>
      <x:c r="Q230" s="85"/>
      <x:c r="S230" s="86"/>
      <x:c r="T230" s="32"/>
    </x:row>
    <x:row r="231">
      <x:c r="A231" s="87"/>
      <x:c r="B231" s="88"/>
      <x:c r="D231" s="32"/>
      <x:c r="I231" s="74"/>
      <x:c r="J231" s="74"/>
      <x:c r="K231" s="74"/>
      <x:c r="L231" s="74"/>
      <x:c r="M231" s="91"/>
      <x:c r="N231" s="91"/>
      <x:c r="O231" s="91"/>
      <x:c r="P231" s="91"/>
      <x:c r="Q231" s="85"/>
      <x:c r="S231" s="86"/>
      <x:c r="T231" s="32"/>
    </x:row>
    <x:row r="232">
      <x:c r="A232" s="87"/>
      <x:c r="B232" s="88"/>
      <x:c r="D232" s="32"/>
      <x:c r="I232" s="74"/>
      <x:c r="J232" s="74"/>
      <x:c r="K232" s="74"/>
      <x:c r="L232" s="74"/>
      <x:c r="M232" s="91"/>
      <x:c r="N232" s="91"/>
      <x:c r="O232" s="91"/>
      <x:c r="P232" s="91"/>
      <x:c r="Q232" s="85"/>
      <x:c r="S232" s="86"/>
      <x:c r="T232" s="32"/>
    </x:row>
    <x:row r="233">
      <x:c r="A233" s="87"/>
      <x:c r="B233" s="88"/>
      <x:c r="D233" s="32"/>
      <x:c r="I233" s="74"/>
      <x:c r="J233" s="74"/>
      <x:c r="K233" s="74"/>
      <x:c r="L233" s="74"/>
      <x:c r="M233" s="91"/>
      <x:c r="N233" s="91"/>
      <x:c r="O233" s="91"/>
      <x:c r="P233" s="91"/>
      <x:c r="Q233" s="85"/>
      <x:c r="S233" s="86"/>
      <x:c r="T233" s="32"/>
    </x:row>
    <x:row r="234">
      <x:c r="A234" s="87"/>
      <x:c r="B234" s="88"/>
      <x:c r="D234" s="32"/>
      <x:c r="I234" s="74"/>
      <x:c r="J234" s="74"/>
      <x:c r="K234" s="74"/>
      <x:c r="L234" s="74"/>
      <x:c r="M234" s="91"/>
      <x:c r="N234" s="91"/>
      <x:c r="O234" s="91"/>
      <x:c r="P234" s="91"/>
      <x:c r="Q234" s="85"/>
      <x:c r="S234" s="86"/>
      <x:c r="T234" s="32"/>
    </x:row>
    <x:row r="235">
      <x:c r="A235" s="87"/>
      <x:c r="B235" s="88"/>
      <x:c r="D235" s="32"/>
      <x:c r="I235" s="74"/>
      <x:c r="J235" s="74"/>
      <x:c r="K235" s="74"/>
      <x:c r="L235" s="74"/>
      <x:c r="M235" s="91"/>
      <x:c r="N235" s="91"/>
      <x:c r="O235" s="91"/>
      <x:c r="P235" s="91"/>
      <x:c r="Q235" s="85"/>
      <x:c r="S235" s="86"/>
      <x:c r="T235" s="32"/>
    </x:row>
    <x:row r="236">
      <x:c r="A236" s="87"/>
      <x:c r="B236" s="88"/>
      <x:c r="D236" s="32"/>
      <x:c r="I236" s="74"/>
      <x:c r="J236" s="74"/>
      <x:c r="K236" s="74"/>
      <x:c r="L236" s="74"/>
      <x:c r="M236" s="91"/>
      <x:c r="N236" s="91"/>
      <x:c r="O236" s="91"/>
      <x:c r="P236" s="91"/>
      <x:c r="Q236" s="85"/>
      <x:c r="S236" s="86"/>
      <x:c r="T236" s="32"/>
    </x:row>
    <x:row r="237">
      <x:c r="A237" s="87"/>
      <x:c r="B237" s="88"/>
      <x:c r="D237" s="32"/>
      <x:c r="I237" s="74"/>
      <x:c r="J237" s="74"/>
      <x:c r="K237" s="74"/>
      <x:c r="L237" s="74"/>
      <x:c r="M237" s="91"/>
      <x:c r="N237" s="91"/>
      <x:c r="O237" s="91"/>
      <x:c r="P237" s="91"/>
      <x:c r="Q237" s="85"/>
      <x:c r="S237" s="86"/>
      <x:c r="T237" s="32"/>
    </x:row>
    <x:row r="238">
      <x:c r="A238" s="87"/>
      <x:c r="B238" s="88"/>
      <x:c r="D238" s="32"/>
      <x:c r="I238" s="74"/>
      <x:c r="J238" s="74"/>
      <x:c r="K238" s="74"/>
      <x:c r="L238" s="74"/>
      <x:c r="M238" s="91"/>
      <x:c r="N238" s="91"/>
      <x:c r="O238" s="91"/>
      <x:c r="P238" s="91"/>
      <x:c r="Q238" s="85"/>
      <x:c r="S238" s="86"/>
      <x:c r="T238" s="32"/>
    </x:row>
    <x:row r="239">
      <x:c r="A239" s="87"/>
      <x:c r="B239" s="88"/>
      <x:c r="D239" s="32"/>
      <x:c r="I239" s="74"/>
      <x:c r="J239" s="74"/>
      <x:c r="K239" s="74"/>
      <x:c r="L239" s="74"/>
      <x:c r="M239" s="91"/>
      <x:c r="N239" s="91"/>
      <x:c r="O239" s="91"/>
      <x:c r="P239" s="91"/>
      <x:c r="Q239" s="85"/>
      <x:c r="S239" s="86"/>
      <x:c r="T239" s="32"/>
    </x:row>
    <x:row r="240">
      <x:c r="A240" s="87"/>
      <x:c r="B240" s="88"/>
      <x:c r="D240" s="32"/>
      <x:c r="I240" s="74"/>
      <x:c r="J240" s="74"/>
      <x:c r="K240" s="74"/>
      <x:c r="L240" s="74"/>
      <x:c r="M240" s="91"/>
      <x:c r="N240" s="91"/>
      <x:c r="O240" s="91"/>
      <x:c r="P240" s="91"/>
      <x:c r="Q240" s="85"/>
      <x:c r="S240" s="86"/>
      <x:c r="T240" s="32"/>
    </x:row>
    <x:row r="241">
      <x:c r="A241" s="87"/>
      <x:c r="B241" s="88"/>
      <x:c r="D241" s="32"/>
      <x:c r="I241" s="74"/>
      <x:c r="J241" s="74"/>
      <x:c r="K241" s="74"/>
      <x:c r="L241" s="74"/>
      <x:c r="M241" s="91"/>
      <x:c r="N241" s="91"/>
      <x:c r="O241" s="91"/>
      <x:c r="P241" s="91"/>
      <x:c r="Q241" s="85"/>
      <x:c r="S241" s="86"/>
      <x:c r="T241" s="32"/>
    </x:row>
    <x:row r="242">
      <x:c r="A242" s="87"/>
      <x:c r="B242" s="88"/>
      <x:c r="D242" s="32"/>
      <x:c r="I242" s="74"/>
      <x:c r="J242" s="74"/>
      <x:c r="K242" s="74"/>
      <x:c r="L242" s="74"/>
      <x:c r="M242" s="91"/>
      <x:c r="N242" s="91"/>
      <x:c r="O242" s="91"/>
      <x:c r="P242" s="91"/>
      <x:c r="Q242" s="85"/>
      <x:c r="S242" s="86"/>
      <x:c r="T242" s="32"/>
    </x:row>
    <x:row r="243">
      <x:c r="A243" s="87"/>
      <x:c r="B243" s="88"/>
      <x:c r="D243" s="32"/>
      <x:c r="I243" s="74"/>
      <x:c r="J243" s="74"/>
      <x:c r="K243" s="74"/>
      <x:c r="L243" s="74"/>
      <x:c r="M243" s="91"/>
      <x:c r="N243" s="91"/>
      <x:c r="O243" s="91"/>
      <x:c r="P243" s="91"/>
      <x:c r="Q243" s="85"/>
      <x:c r="S243" s="86"/>
      <x:c r="T243" s="32"/>
    </x:row>
    <x:row r="244">
      <x:c r="A244" s="87"/>
      <x:c r="B244" s="88"/>
      <x:c r="D244" s="32"/>
      <x:c r="I244" s="74"/>
      <x:c r="J244" s="74"/>
      <x:c r="K244" s="74"/>
      <x:c r="L244" s="74"/>
      <x:c r="M244" s="91"/>
      <x:c r="N244" s="91"/>
      <x:c r="O244" s="91"/>
      <x:c r="P244" s="91"/>
      <x:c r="Q244" s="85"/>
      <x:c r="S244" s="86"/>
      <x:c r="T244" s="32"/>
    </x:row>
    <x:row r="245">
      <x:c r="A245" s="87"/>
      <x:c r="B245" s="88"/>
      <x:c r="D245" s="32"/>
      <x:c r="I245" s="74"/>
      <x:c r="J245" s="74"/>
      <x:c r="K245" s="74"/>
      <x:c r="L245" s="74"/>
      <x:c r="M245" s="91"/>
      <x:c r="N245" s="91"/>
      <x:c r="O245" s="91"/>
      <x:c r="P245" s="91"/>
      <x:c r="Q245" s="85"/>
      <x:c r="S245" s="86"/>
      <x:c r="T245" s="32"/>
    </x:row>
    <x:row r="246">
      <x:c r="A246" s="87"/>
      <x:c r="B246" s="88"/>
      <x:c r="D246" s="32"/>
      <x:c r="I246" s="74"/>
      <x:c r="J246" s="74"/>
      <x:c r="K246" s="74"/>
      <x:c r="L246" s="74"/>
      <x:c r="M246" s="91"/>
      <x:c r="N246" s="91"/>
      <x:c r="O246" s="91"/>
      <x:c r="P246" s="91"/>
      <x:c r="Q246" s="85"/>
      <x:c r="S246" s="86"/>
      <x:c r="T246" s="32"/>
    </x:row>
    <x:row r="247">
      <x:c r="A247" s="87"/>
      <x:c r="B247" s="88"/>
      <x:c r="D247" s="32"/>
      <x:c r="I247" s="74"/>
      <x:c r="J247" s="74"/>
      <x:c r="K247" s="74"/>
      <x:c r="L247" s="74"/>
      <x:c r="M247" s="91"/>
      <x:c r="N247" s="91"/>
      <x:c r="O247" s="91"/>
      <x:c r="P247" s="91"/>
      <x:c r="Q247" s="85"/>
      <x:c r="S247" s="86"/>
      <x:c r="T247" s="32"/>
    </x:row>
    <x:row r="248">
      <x:c r="A248" s="87"/>
      <x:c r="B248" s="88"/>
      <x:c r="D248" s="32"/>
      <x:c r="I248" s="74"/>
      <x:c r="J248" s="74"/>
      <x:c r="K248" s="74"/>
      <x:c r="L248" s="74"/>
      <x:c r="M248" s="91"/>
      <x:c r="N248" s="91"/>
      <x:c r="O248" s="91"/>
      <x:c r="P248" s="91"/>
      <x:c r="Q248" s="85"/>
      <x:c r="S248" s="86"/>
      <x:c r="T248" s="32"/>
    </x:row>
    <x:row r="249">
      <x:c r="A249" s="87"/>
      <x:c r="B249" s="88"/>
      <x:c r="D249" s="32"/>
      <x:c r="I249" s="74"/>
      <x:c r="J249" s="74"/>
      <x:c r="K249" s="74"/>
      <x:c r="L249" s="74"/>
      <x:c r="M249" s="91"/>
      <x:c r="N249" s="91"/>
      <x:c r="O249" s="91"/>
      <x:c r="P249" s="91"/>
      <x:c r="Q249" s="85"/>
      <x:c r="S249" s="86"/>
      <x:c r="T249" s="32"/>
    </x:row>
    <x:row r="250">
      <x:c r="A250" s="87"/>
      <x:c r="B250" s="88"/>
      <x:c r="D250" s="32"/>
      <x:c r="I250" s="74"/>
      <x:c r="J250" s="74"/>
      <x:c r="K250" s="74"/>
      <x:c r="L250" s="74"/>
      <x:c r="M250" s="91"/>
      <x:c r="N250" s="91"/>
      <x:c r="O250" s="91"/>
      <x:c r="P250" s="91"/>
      <x:c r="Q250" s="85"/>
      <x:c r="S250" s="86"/>
      <x:c r="T250" s="32"/>
    </x:row>
    <x:row r="251">
      <x:c r="A251" s="87"/>
      <x:c r="B251" s="88"/>
      <x:c r="D251" s="32"/>
      <x:c r="I251" s="74"/>
      <x:c r="J251" s="74"/>
      <x:c r="K251" s="74"/>
      <x:c r="L251" s="74"/>
      <x:c r="M251" s="91"/>
      <x:c r="N251" s="91"/>
      <x:c r="O251" s="91"/>
      <x:c r="P251" s="91"/>
      <x:c r="Q251" s="85"/>
      <x:c r="S251" s="86"/>
      <x:c r="T251" s="32"/>
    </x:row>
    <x:row r="252">
      <x:c r="A252" s="87"/>
      <x:c r="B252" s="88"/>
      <x:c r="D252" s="32"/>
      <x:c r="I252" s="74"/>
      <x:c r="J252" s="74"/>
      <x:c r="K252" s="74"/>
      <x:c r="L252" s="74"/>
      <x:c r="M252" s="91"/>
      <x:c r="N252" s="91"/>
      <x:c r="O252" s="91"/>
      <x:c r="P252" s="91"/>
      <x:c r="Q252" s="85"/>
      <x:c r="S252" s="86"/>
      <x:c r="T252" s="32"/>
    </x:row>
    <x:row r="253">
      <x:c r="A253" s="87"/>
      <x:c r="B253" s="88"/>
      <x:c r="D253" s="32"/>
      <x:c r="I253" s="74"/>
      <x:c r="J253" s="74"/>
      <x:c r="K253" s="74"/>
      <x:c r="L253" s="74"/>
      <x:c r="M253" s="91"/>
      <x:c r="N253" s="91"/>
      <x:c r="O253" s="91"/>
      <x:c r="P253" s="91"/>
      <x:c r="Q253" s="85"/>
      <x:c r="S253" s="86"/>
      <x:c r="T253" s="32"/>
    </x:row>
    <x:row r="254">
      <x:c r="A254" s="87"/>
      <x:c r="B254" s="88"/>
      <x:c r="D254" s="32"/>
      <x:c r="I254" s="74"/>
      <x:c r="J254" s="74"/>
      <x:c r="K254" s="74"/>
      <x:c r="L254" s="74"/>
      <x:c r="M254" s="91"/>
      <x:c r="N254" s="91"/>
      <x:c r="O254" s="91"/>
      <x:c r="P254" s="91"/>
      <x:c r="Q254" s="85"/>
      <x:c r="S254" s="86"/>
      <x:c r="T254" s="32"/>
    </x:row>
    <x:row r="255">
      <x:c r="A255" s="87"/>
      <x:c r="B255" s="88"/>
      <x:c r="D255" s="32"/>
      <x:c r="I255" s="74"/>
      <x:c r="J255" s="74"/>
      <x:c r="K255" s="74"/>
      <x:c r="L255" s="74"/>
      <x:c r="M255" s="91"/>
      <x:c r="N255" s="91"/>
      <x:c r="O255" s="91"/>
      <x:c r="P255" s="91"/>
      <x:c r="Q255" s="85"/>
      <x:c r="S255" s="86"/>
      <x:c r="T255" s="32"/>
    </x:row>
    <x:row r="256">
      <x:c r="A256" s="87"/>
      <x:c r="B256" s="88"/>
      <x:c r="D256" s="32"/>
      <x:c r="I256" s="74"/>
      <x:c r="J256" s="74"/>
      <x:c r="K256" s="74"/>
      <x:c r="L256" s="74"/>
      <x:c r="M256" s="91"/>
      <x:c r="N256" s="91"/>
      <x:c r="O256" s="91"/>
      <x:c r="P256" s="91"/>
      <x:c r="Q256" s="85"/>
      <x:c r="S256" s="86"/>
      <x:c r="T256" s="32"/>
    </x:row>
    <x:row r="257">
      <x:c r="A257" s="87"/>
      <x:c r="B257" s="88"/>
      <x:c r="D257" s="32"/>
      <x:c r="I257" s="74"/>
      <x:c r="J257" s="74"/>
      <x:c r="K257" s="74"/>
      <x:c r="L257" s="74"/>
      <x:c r="M257" s="91"/>
      <x:c r="N257" s="91"/>
      <x:c r="O257" s="91"/>
      <x:c r="P257" s="91"/>
      <x:c r="Q257" s="85"/>
      <x:c r="S257" s="86"/>
      <x:c r="T257" s="32"/>
    </x:row>
    <x:row r="258">
      <x:c r="A258" s="87"/>
      <x:c r="B258" s="88"/>
      <x:c r="D258" s="32"/>
      <x:c r="I258" s="74"/>
      <x:c r="J258" s="74"/>
      <x:c r="K258" s="74"/>
      <x:c r="L258" s="74"/>
      <x:c r="M258" s="91"/>
      <x:c r="N258" s="91"/>
      <x:c r="O258" s="91"/>
      <x:c r="P258" s="91"/>
      <x:c r="Q258" s="85"/>
      <x:c r="S258" s="86"/>
      <x:c r="T258" s="32"/>
    </x:row>
    <x:row r="259">
      <x:c r="A259" s="87"/>
      <x:c r="B259" s="88"/>
      <x:c r="D259" s="32"/>
      <x:c r="I259" s="74"/>
      <x:c r="J259" s="74"/>
      <x:c r="K259" s="74"/>
      <x:c r="L259" s="74"/>
      <x:c r="M259" s="91"/>
      <x:c r="N259" s="91"/>
      <x:c r="O259" s="91"/>
      <x:c r="P259" s="91"/>
      <x:c r="Q259" s="85"/>
      <x:c r="S259" s="86"/>
      <x:c r="T259" s="32"/>
    </x:row>
    <x:row r="260">
      <x:c r="A260" s="87"/>
      <x:c r="B260" s="88"/>
      <x:c r="D260" s="32"/>
      <x:c r="I260" s="74"/>
      <x:c r="J260" s="74"/>
      <x:c r="K260" s="74"/>
      <x:c r="L260" s="74"/>
      <x:c r="M260" s="91"/>
      <x:c r="N260" s="91"/>
      <x:c r="O260" s="91"/>
      <x:c r="P260" s="91"/>
      <x:c r="Q260" s="85"/>
      <x:c r="S260" s="86"/>
      <x:c r="T260" s="32"/>
    </x:row>
    <x:row r="261">
      <x:c r="A261" s="87"/>
      <x:c r="B261" s="88"/>
      <x:c r="D261" s="32"/>
      <x:c r="I261" s="74"/>
      <x:c r="J261" s="74"/>
      <x:c r="K261" s="74"/>
      <x:c r="L261" s="74"/>
      <x:c r="M261" s="91"/>
      <x:c r="N261" s="91"/>
      <x:c r="O261" s="91"/>
      <x:c r="P261" s="91"/>
      <x:c r="Q261" s="85"/>
      <x:c r="S261" s="86"/>
      <x:c r="T261" s="32"/>
    </x:row>
    <x:row r="262">
      <x:c r="A262" s="87"/>
      <x:c r="B262" s="88"/>
      <x:c r="D262" s="32"/>
      <x:c r="I262" s="74"/>
      <x:c r="J262" s="74"/>
      <x:c r="K262" s="74"/>
      <x:c r="L262" s="74"/>
      <x:c r="M262" s="91"/>
      <x:c r="N262" s="91"/>
      <x:c r="O262" s="91"/>
      <x:c r="P262" s="91"/>
      <x:c r="Q262" s="85"/>
      <x:c r="S262" s="86"/>
      <x:c r="T262" s="32"/>
    </x:row>
    <x:row r="263">
      <x:c r="A263" s="87"/>
      <x:c r="B263" s="88"/>
      <x:c r="D263" s="32"/>
      <x:c r="I263" s="74"/>
      <x:c r="J263" s="74"/>
      <x:c r="K263" s="74"/>
      <x:c r="L263" s="74"/>
      <x:c r="M263" s="91"/>
      <x:c r="N263" s="91"/>
      <x:c r="O263" s="91"/>
      <x:c r="P263" s="91"/>
      <x:c r="Q263" s="85"/>
      <x:c r="S263" s="86"/>
      <x:c r="T263" s="32"/>
    </x:row>
    <x:row r="264">
      <x:c r="A264" s="87"/>
      <x:c r="B264" s="88"/>
      <x:c r="D264" s="32"/>
      <x:c r="I264" s="74"/>
      <x:c r="J264" s="74"/>
      <x:c r="K264" s="74"/>
      <x:c r="L264" s="74"/>
      <x:c r="M264" s="91"/>
      <x:c r="N264" s="91"/>
      <x:c r="O264" s="91"/>
      <x:c r="P264" s="91"/>
      <x:c r="Q264" s="85"/>
      <x:c r="S264" s="86"/>
      <x:c r="T264" s="32"/>
    </x:row>
    <x:row r="265">
      <x:c r="A265" s="87"/>
      <x:c r="B265" s="88"/>
      <x:c r="D265" s="32"/>
      <x:c r="I265" s="74"/>
      <x:c r="J265" s="74"/>
      <x:c r="K265" s="74"/>
      <x:c r="L265" s="74"/>
      <x:c r="M265" s="91"/>
      <x:c r="N265" s="91"/>
      <x:c r="O265" s="91"/>
      <x:c r="P265" s="91"/>
      <x:c r="Q265" s="85"/>
      <x:c r="S265" s="86"/>
      <x:c r="T265" s="32"/>
    </x:row>
    <x:row r="266">
      <x:c r="A266" s="87"/>
      <x:c r="B266" s="88"/>
      <x:c r="D266" s="32"/>
      <x:c r="I266" s="74"/>
      <x:c r="J266" s="74"/>
      <x:c r="K266" s="74"/>
      <x:c r="L266" s="74"/>
      <x:c r="M266" s="91"/>
      <x:c r="N266" s="91"/>
      <x:c r="O266" s="91"/>
      <x:c r="P266" s="91"/>
      <x:c r="Q266" s="85"/>
      <x:c r="S266" s="86"/>
      <x:c r="T266" s="32"/>
    </x:row>
    <x:row r="267">
      <x:c r="A267" s="87"/>
      <x:c r="B267" s="88"/>
      <x:c r="D267" s="32"/>
      <x:c r="I267" s="74"/>
      <x:c r="J267" s="74"/>
      <x:c r="K267" s="74"/>
      <x:c r="L267" s="74"/>
      <x:c r="M267" s="91"/>
      <x:c r="N267" s="91"/>
      <x:c r="O267" s="91"/>
      <x:c r="P267" s="91"/>
      <x:c r="Q267" s="85"/>
      <x:c r="S267" s="86"/>
      <x:c r="T267" s="32"/>
    </x:row>
    <x:row r="268">
      <x:c r="A268" s="87"/>
      <x:c r="B268" s="88"/>
      <x:c r="D268" s="32"/>
      <x:c r="I268" s="74"/>
      <x:c r="J268" s="74"/>
      <x:c r="K268" s="74"/>
      <x:c r="L268" s="74"/>
      <x:c r="M268" s="91"/>
      <x:c r="N268" s="91"/>
      <x:c r="O268" s="91"/>
      <x:c r="P268" s="91"/>
      <x:c r="Q268" s="85"/>
      <x:c r="S268" s="86"/>
      <x:c r="T268" s="32"/>
    </x:row>
    <x:row r="269">
      <x:c r="A269" s="87"/>
      <x:c r="B269" s="88"/>
      <x:c r="D269" s="32"/>
      <x:c r="I269" s="74"/>
      <x:c r="J269" s="74"/>
      <x:c r="K269" s="74"/>
      <x:c r="L269" s="74"/>
      <x:c r="M269" s="91"/>
      <x:c r="N269" s="91"/>
      <x:c r="O269" s="91"/>
      <x:c r="P269" s="91"/>
      <x:c r="Q269" s="85"/>
      <x:c r="S269" s="86"/>
      <x:c r="T269" s="32"/>
    </x:row>
    <x:row r="270">
      <x:c r="A270" s="87"/>
      <x:c r="B270" s="88"/>
      <x:c r="D270" s="32"/>
      <x:c r="I270" s="74"/>
      <x:c r="J270" s="74"/>
      <x:c r="K270" s="74"/>
      <x:c r="L270" s="74"/>
      <x:c r="M270" s="91"/>
      <x:c r="N270" s="91"/>
      <x:c r="O270" s="91"/>
      <x:c r="P270" s="91"/>
      <x:c r="Q270" s="85"/>
      <x:c r="S270" s="86"/>
      <x:c r="T270" s="32"/>
    </x:row>
    <x:row r="271">
      <x:c r="A271" s="87"/>
      <x:c r="B271" s="88"/>
      <x:c r="D271" s="32"/>
      <x:c r="I271" s="74"/>
      <x:c r="J271" s="74"/>
      <x:c r="K271" s="74"/>
      <x:c r="L271" s="74"/>
      <x:c r="M271" s="91"/>
      <x:c r="N271" s="91"/>
      <x:c r="O271" s="91"/>
      <x:c r="P271" s="91"/>
      <x:c r="Q271" s="85"/>
      <x:c r="S271" s="86"/>
      <x:c r="T271" s="32"/>
    </x:row>
    <x:row r="272">
      <x:c r="A272" s="87"/>
      <x:c r="B272" s="88"/>
      <x:c r="D272" s="32"/>
      <x:c r="I272" s="74"/>
      <x:c r="J272" s="74"/>
      <x:c r="K272" s="74"/>
      <x:c r="L272" s="74"/>
      <x:c r="M272" s="91"/>
      <x:c r="N272" s="91"/>
      <x:c r="O272" s="91"/>
      <x:c r="P272" s="91"/>
      <x:c r="Q272" s="85"/>
      <x:c r="S272" s="86"/>
      <x:c r="T272" s="32"/>
    </x:row>
    <x:row r="273">
      <x:c r="A273" s="87"/>
      <x:c r="B273" s="88"/>
      <x:c r="D273" s="32"/>
      <x:c r="I273" s="74"/>
      <x:c r="J273" s="74"/>
      <x:c r="K273" s="74"/>
      <x:c r="L273" s="74"/>
      <x:c r="M273" s="91"/>
      <x:c r="N273" s="91"/>
      <x:c r="O273" s="91"/>
      <x:c r="P273" s="91"/>
      <x:c r="Q273" s="85"/>
      <x:c r="S273" s="86"/>
      <x:c r="T273" s="32"/>
    </x:row>
    <x:row r="274">
      <x:c r="A274" s="87"/>
      <x:c r="B274" s="88"/>
      <x:c r="D274" s="32"/>
      <x:c r="I274" s="74"/>
      <x:c r="J274" s="74"/>
      <x:c r="K274" s="74"/>
      <x:c r="L274" s="74"/>
      <x:c r="M274" s="91"/>
      <x:c r="N274" s="91"/>
      <x:c r="O274" s="91"/>
      <x:c r="P274" s="91"/>
      <x:c r="Q274" s="85"/>
      <x:c r="S274" s="86"/>
      <x:c r="T274" s="32"/>
    </x:row>
    <x:row r="275">
      <x:c r="A275" s="87"/>
      <x:c r="B275" s="88"/>
      <x:c r="D275" s="32"/>
      <x:c r="I275" s="74"/>
      <x:c r="J275" s="74"/>
      <x:c r="K275" s="74"/>
      <x:c r="L275" s="74"/>
      <x:c r="M275" s="91"/>
      <x:c r="N275" s="91"/>
      <x:c r="O275" s="91"/>
      <x:c r="P275" s="91"/>
      <x:c r="Q275" s="85"/>
      <x:c r="S275" s="86"/>
      <x:c r="T275" s="32"/>
    </x:row>
    <x:row r="276">
      <x:c r="A276" s="87"/>
      <x:c r="B276" s="88"/>
      <x:c r="D276" s="32"/>
      <x:c r="I276" s="74"/>
      <x:c r="J276" s="74"/>
      <x:c r="K276" s="74"/>
      <x:c r="L276" s="74"/>
      <x:c r="M276" s="91"/>
      <x:c r="N276" s="91"/>
      <x:c r="O276" s="91"/>
      <x:c r="P276" s="91"/>
      <x:c r="Q276" s="85"/>
      <x:c r="S276" s="86"/>
      <x:c r="T276" s="32"/>
    </x:row>
    <x:row r="277">
      <x:c r="A277" s="87"/>
      <x:c r="B277" s="88"/>
      <x:c r="D277" s="32"/>
      <x:c r="I277" s="74"/>
      <x:c r="J277" s="74"/>
      <x:c r="K277" s="74"/>
      <x:c r="L277" s="74"/>
      <x:c r="M277" s="91"/>
      <x:c r="N277" s="91"/>
      <x:c r="O277" s="91"/>
      <x:c r="P277" s="91"/>
      <x:c r="Q277" s="85"/>
      <x:c r="S277" s="86"/>
      <x:c r="T277" s="32"/>
    </x:row>
    <x:row r="278">
      <x:c r="A278" s="87"/>
      <x:c r="B278" s="88"/>
      <x:c r="D278" s="32"/>
      <x:c r="I278" s="74"/>
      <x:c r="J278" s="74"/>
      <x:c r="K278" s="74"/>
      <x:c r="L278" s="74"/>
      <x:c r="M278" s="91"/>
      <x:c r="N278" s="91"/>
      <x:c r="O278" s="91"/>
      <x:c r="P278" s="91"/>
      <x:c r="Q278" s="85"/>
      <x:c r="S278" s="86"/>
      <x:c r="T278" s="32"/>
    </x:row>
    <x:row r="279">
      <x:c r="A279" s="87"/>
      <x:c r="B279" s="88"/>
      <x:c r="D279" s="32"/>
      <x:c r="I279" s="74"/>
      <x:c r="J279" s="74"/>
      <x:c r="K279" s="74"/>
      <x:c r="L279" s="74"/>
      <x:c r="M279" s="91"/>
      <x:c r="N279" s="91"/>
      <x:c r="O279" s="91"/>
      <x:c r="P279" s="91"/>
      <x:c r="Q279" s="85"/>
      <x:c r="S279" s="86"/>
      <x:c r="T279" s="32"/>
    </x:row>
    <x:row r="280">
      <x:c r="A280" s="87"/>
      <x:c r="B280" s="88"/>
      <x:c r="D280" s="32"/>
      <x:c r="I280" s="74"/>
      <x:c r="J280" s="74"/>
      <x:c r="K280" s="74"/>
      <x:c r="L280" s="74"/>
      <x:c r="M280" s="91"/>
      <x:c r="N280" s="91"/>
      <x:c r="O280" s="91"/>
      <x:c r="P280" s="91"/>
      <x:c r="Q280" s="85"/>
      <x:c r="S280" s="86"/>
      <x:c r="T280" s="32"/>
    </x:row>
    <x:row r="281">
      <x:c r="A281" s="87"/>
      <x:c r="B281" s="88"/>
      <x:c r="D281" s="32"/>
      <x:c r="I281" s="74"/>
      <x:c r="J281" s="74"/>
      <x:c r="K281" s="74"/>
      <x:c r="L281" s="74"/>
      <x:c r="M281" s="91"/>
      <x:c r="N281" s="91"/>
      <x:c r="O281" s="91"/>
      <x:c r="P281" s="91"/>
      <x:c r="Q281" s="85"/>
      <x:c r="S281" s="86"/>
      <x:c r="T281" s="32"/>
    </x:row>
    <x:row r="282">
      <x:c r="A282" s="87"/>
      <x:c r="B282" s="88"/>
      <x:c r="D282" s="32"/>
      <x:c r="I282" s="74"/>
      <x:c r="J282" s="74"/>
      <x:c r="K282" s="74"/>
      <x:c r="L282" s="74"/>
      <x:c r="M282" s="91"/>
      <x:c r="N282" s="91"/>
      <x:c r="O282" s="91"/>
      <x:c r="P282" s="91"/>
      <x:c r="Q282" s="85"/>
      <x:c r="S282" s="86"/>
      <x:c r="T282" s="32"/>
    </x:row>
    <x:row r="283">
      <x:c r="A283" s="87"/>
      <x:c r="B283" s="88"/>
      <x:c r="D283" s="32"/>
      <x:c r="I283" s="74"/>
      <x:c r="J283" s="74"/>
      <x:c r="K283" s="74"/>
      <x:c r="L283" s="74"/>
      <x:c r="M283" s="91"/>
      <x:c r="N283" s="91"/>
      <x:c r="O283" s="91"/>
      <x:c r="P283" s="91"/>
      <x:c r="Q283" s="85"/>
      <x:c r="S283" s="86"/>
      <x:c r="T283" s="32"/>
    </x:row>
    <x:row r="284">
      <x:c r="A284" s="87"/>
      <x:c r="B284" s="88"/>
      <x:c r="D284" s="32"/>
      <x:c r="I284" s="74"/>
      <x:c r="J284" s="74"/>
      <x:c r="K284" s="74"/>
      <x:c r="L284" s="74"/>
      <x:c r="M284" s="91"/>
      <x:c r="N284" s="91"/>
      <x:c r="O284" s="91"/>
      <x:c r="P284" s="91"/>
      <x:c r="Q284" s="85"/>
      <x:c r="S284" s="86"/>
      <x:c r="T284" s="32"/>
    </x:row>
    <x:row r="285">
      <x:c r="A285" s="87"/>
      <x:c r="B285" s="88"/>
      <x:c r="D285" s="32"/>
      <x:c r="I285" s="74"/>
      <x:c r="J285" s="74"/>
      <x:c r="K285" s="74"/>
      <x:c r="L285" s="74"/>
      <x:c r="M285" s="91"/>
      <x:c r="N285" s="91"/>
      <x:c r="O285" s="91"/>
      <x:c r="P285" s="91"/>
      <x:c r="Q285" s="85"/>
      <x:c r="S285" s="86"/>
      <x:c r="T285" s="32"/>
    </x:row>
    <x:row r="286">
      <x:c r="A286" s="87"/>
      <x:c r="B286" s="88"/>
      <x:c r="D286" s="32"/>
      <x:c r="I286" s="74"/>
      <x:c r="J286" s="74"/>
      <x:c r="K286" s="74"/>
      <x:c r="L286" s="74"/>
      <x:c r="M286" s="91"/>
      <x:c r="N286" s="91"/>
      <x:c r="O286" s="91"/>
      <x:c r="P286" s="91"/>
      <x:c r="Q286" s="85"/>
      <x:c r="S286" s="86"/>
      <x:c r="T286" s="32"/>
    </x:row>
    <x:row r="287">
      <x:c r="A287" s="87"/>
      <x:c r="B287" s="88"/>
      <x:c r="D287" s="32"/>
      <x:c r="I287" s="74"/>
      <x:c r="J287" s="74"/>
      <x:c r="K287" s="74"/>
      <x:c r="L287" s="74"/>
      <x:c r="M287" s="91"/>
      <x:c r="N287" s="91"/>
      <x:c r="O287" s="91"/>
      <x:c r="P287" s="91"/>
      <x:c r="Q287" s="85"/>
      <x:c r="S287" s="86"/>
      <x:c r="T287" s="32"/>
    </x:row>
    <x:row r="288">
      <x:c r="A288" s="87"/>
      <x:c r="B288" s="88"/>
      <x:c r="D288" s="32"/>
      <x:c r="I288" s="74"/>
      <x:c r="J288" s="74"/>
      <x:c r="K288" s="74"/>
      <x:c r="L288" s="74"/>
      <x:c r="M288" s="91"/>
      <x:c r="N288" s="91"/>
      <x:c r="O288" s="91"/>
      <x:c r="P288" s="91"/>
      <x:c r="Q288" s="85"/>
      <x:c r="S288" s="86"/>
      <x:c r="T288" s="32"/>
    </x:row>
    <x:row r="289">
      <x:c r="A289" s="87"/>
      <x:c r="B289" s="88"/>
      <x:c r="D289" s="32"/>
      <x:c r="I289" s="74"/>
      <x:c r="J289" s="74"/>
      <x:c r="K289" s="74"/>
      <x:c r="L289" s="74"/>
      <x:c r="M289" s="91"/>
      <x:c r="N289" s="91"/>
      <x:c r="O289" s="91"/>
      <x:c r="P289" s="91"/>
      <x:c r="Q289" s="85"/>
      <x:c r="S289" s="86"/>
      <x:c r="T289" s="32"/>
    </x:row>
    <x:row r="290">
      <x:c r="A290" s="87"/>
      <x:c r="B290" s="88"/>
      <x:c r="D290" s="32"/>
      <x:c r="I290" s="74"/>
      <x:c r="J290" s="74"/>
      <x:c r="K290" s="74"/>
      <x:c r="L290" s="74"/>
      <x:c r="M290" s="91"/>
      <x:c r="N290" s="91"/>
      <x:c r="O290" s="91"/>
      <x:c r="P290" s="91"/>
      <x:c r="Q290" s="85"/>
      <x:c r="S290" s="86"/>
      <x:c r="T290" s="32"/>
    </x:row>
    <x:row r="291">
      <x:c r="A291" s="87"/>
      <x:c r="B291" s="88"/>
      <x:c r="D291" s="32"/>
      <x:c r="I291" s="74"/>
      <x:c r="J291" s="74"/>
      <x:c r="K291" s="74"/>
      <x:c r="L291" s="74"/>
      <x:c r="M291" s="91"/>
      <x:c r="N291" s="91"/>
      <x:c r="O291" s="91"/>
      <x:c r="P291" s="91"/>
      <x:c r="Q291" s="85"/>
      <x:c r="S291" s="86"/>
      <x:c r="T291" s="32"/>
    </x:row>
    <x:row r="292">
      <x:c r="A292" s="87"/>
      <x:c r="B292" s="88"/>
      <x:c r="D292" s="32"/>
      <x:c r="I292" s="74"/>
      <x:c r="J292" s="74"/>
      <x:c r="K292" s="74"/>
      <x:c r="L292" s="74"/>
      <x:c r="M292" s="91"/>
      <x:c r="N292" s="91"/>
      <x:c r="O292" s="91"/>
      <x:c r="P292" s="91"/>
      <x:c r="Q292" s="85"/>
      <x:c r="S292" s="86"/>
      <x:c r="T292" s="32"/>
    </x:row>
    <x:row r="293">
      <x:c r="A293" s="87"/>
      <x:c r="B293" s="88"/>
      <x:c r="D293" s="32"/>
      <x:c r="I293" s="74"/>
      <x:c r="J293" s="74"/>
      <x:c r="K293" s="74"/>
      <x:c r="L293" s="74"/>
      <x:c r="M293" s="91"/>
      <x:c r="N293" s="91"/>
      <x:c r="O293" s="91"/>
      <x:c r="P293" s="91"/>
      <x:c r="Q293" s="85"/>
      <x:c r="S293" s="86"/>
      <x:c r="T293" s="32"/>
    </x:row>
    <x:row r="294">
      <x:c r="A294" s="87"/>
      <x:c r="B294" s="88"/>
      <x:c r="D294" s="32"/>
      <x:c r="I294" s="74"/>
      <x:c r="J294" s="74"/>
      <x:c r="K294" s="74"/>
      <x:c r="L294" s="74"/>
      <x:c r="M294" s="91"/>
      <x:c r="N294" s="91"/>
      <x:c r="O294" s="91"/>
      <x:c r="P294" s="91"/>
      <x:c r="Q294" s="85"/>
      <x:c r="S294" s="86"/>
      <x:c r="T294" s="32"/>
    </x:row>
    <x:row r="295">
      <x:c r="A295" s="87"/>
      <x:c r="B295" s="88"/>
      <x:c r="D295" s="32"/>
      <x:c r="I295" s="74"/>
      <x:c r="J295" s="74"/>
      <x:c r="K295" s="74"/>
      <x:c r="L295" s="74"/>
      <x:c r="M295" s="91"/>
      <x:c r="N295" s="91"/>
      <x:c r="O295" s="91"/>
      <x:c r="P295" s="91"/>
      <x:c r="Q295" s="85"/>
      <x:c r="S295" s="86"/>
      <x:c r="T295" s="32"/>
    </x:row>
    <x:row r="296">
      <x:c r="A296" s="87"/>
      <x:c r="B296" s="88"/>
      <x:c r="D296" s="32"/>
      <x:c r="I296" s="74"/>
      <x:c r="J296" s="74"/>
      <x:c r="K296" s="74"/>
      <x:c r="L296" s="74"/>
      <x:c r="M296" s="91"/>
      <x:c r="N296" s="91"/>
      <x:c r="O296" s="91"/>
      <x:c r="P296" s="91"/>
      <x:c r="Q296" s="85"/>
      <x:c r="S296" s="86"/>
      <x:c r="T296" s="32"/>
    </x:row>
    <x:row r="297">
      <x:c r="A297" s="87"/>
      <x:c r="B297" s="88"/>
      <x:c r="D297" s="32"/>
      <x:c r="I297" s="74"/>
      <x:c r="J297" s="74"/>
      <x:c r="K297" s="74"/>
      <x:c r="L297" s="74"/>
      <x:c r="M297" s="91"/>
      <x:c r="N297" s="91"/>
      <x:c r="O297" s="91"/>
      <x:c r="P297" s="91"/>
      <x:c r="Q297" s="85"/>
      <x:c r="S297" s="86"/>
      <x:c r="T297" s="32"/>
    </x:row>
    <x:row r="298">
      <x:c r="A298" s="87"/>
      <x:c r="B298" s="88"/>
      <x:c r="D298" s="32"/>
      <x:c r="I298" s="74"/>
      <x:c r="J298" s="74"/>
      <x:c r="K298" s="74"/>
      <x:c r="L298" s="74"/>
      <x:c r="M298" s="91"/>
      <x:c r="N298" s="91"/>
      <x:c r="O298" s="91"/>
      <x:c r="P298" s="91"/>
      <x:c r="Q298" s="85"/>
      <x:c r="S298" s="86"/>
      <x:c r="T298" s="32"/>
    </x:row>
    <x:row r="299">
      <x:c r="A299" s="87"/>
      <x:c r="B299" s="88"/>
      <x:c r="D299" s="32"/>
      <x:c r="I299" s="74"/>
      <x:c r="J299" s="74"/>
      <x:c r="K299" s="74"/>
      <x:c r="L299" s="74"/>
      <x:c r="M299" s="91"/>
      <x:c r="N299" s="91"/>
      <x:c r="O299" s="91"/>
      <x:c r="P299" s="91"/>
      <x:c r="Q299" s="85"/>
      <x:c r="S299" s="86"/>
      <x:c r="T299" s="32"/>
    </x:row>
    <x:row r="300">
      <x:c r="A300" s="87"/>
      <x:c r="B300" s="88"/>
      <x:c r="D300" s="32"/>
      <x:c r="I300" s="74"/>
      <x:c r="J300" s="74"/>
      <x:c r="K300" s="74"/>
      <x:c r="L300" s="74"/>
      <x:c r="M300" s="91"/>
      <x:c r="N300" s="91"/>
      <x:c r="O300" s="91"/>
      <x:c r="P300" s="91"/>
      <x:c r="Q300" s="85"/>
      <x:c r="S300" s="86"/>
      <x:c r="T300" s="32"/>
    </x:row>
    <x:row r="301">
      <x:c r="A301" s="87"/>
      <x:c r="B301" s="88"/>
      <x:c r="D301" s="32"/>
      <x:c r="I301" s="74"/>
      <x:c r="J301" s="74"/>
      <x:c r="K301" s="74"/>
      <x:c r="L301" s="74"/>
      <x:c r="M301" s="91"/>
      <x:c r="N301" s="91"/>
      <x:c r="O301" s="91"/>
      <x:c r="P301" s="91"/>
      <x:c r="Q301" s="85"/>
      <x:c r="S301" s="86"/>
      <x:c r="T301" s="32"/>
    </x:row>
    <x:row r="302">
      <x:c r="A302" s="87"/>
      <x:c r="B302" s="88"/>
      <x:c r="D302" s="32"/>
      <x:c r="I302" s="74"/>
      <x:c r="J302" s="74"/>
      <x:c r="K302" s="74"/>
      <x:c r="L302" s="74"/>
      <x:c r="M302" s="91"/>
      <x:c r="N302" s="91"/>
      <x:c r="O302" s="91"/>
      <x:c r="P302" s="91"/>
      <x:c r="Q302" s="85"/>
      <x:c r="S302" s="86"/>
      <x:c r="T302" s="32"/>
    </x:row>
    <x:row r="303">
      <x:c r="A303" s="87"/>
      <x:c r="B303" s="88"/>
      <x:c r="D303" s="32"/>
      <x:c r="I303" s="74"/>
      <x:c r="J303" s="74"/>
      <x:c r="K303" s="74"/>
      <x:c r="L303" s="74"/>
      <x:c r="M303" s="91"/>
      <x:c r="N303" s="91"/>
      <x:c r="O303" s="91"/>
      <x:c r="P303" s="91"/>
      <x:c r="Q303" s="85"/>
      <x:c r="S303" s="86"/>
      <x:c r="T303" s="32"/>
    </x:row>
    <x:row r="304">
      <x:c r="A304" s="87"/>
      <x:c r="B304" s="88"/>
      <x:c r="D304" s="32"/>
      <x:c r="I304" s="74"/>
      <x:c r="J304" s="74"/>
      <x:c r="K304" s="74"/>
      <x:c r="L304" s="74"/>
      <x:c r="M304" s="91"/>
      <x:c r="N304" s="91"/>
      <x:c r="O304" s="91"/>
      <x:c r="P304" s="91"/>
      <x:c r="Q304" s="85"/>
      <x:c r="S304" s="86"/>
      <x:c r="T304" s="32"/>
    </x:row>
    <x:row r="305">
      <x:c r="A305" s="87"/>
      <x:c r="B305" s="88"/>
      <x:c r="D305" s="32"/>
      <x:c r="I305" s="74"/>
      <x:c r="J305" s="74"/>
      <x:c r="K305" s="74"/>
      <x:c r="L305" s="74"/>
      <x:c r="M305" s="91"/>
      <x:c r="N305" s="91"/>
      <x:c r="O305" s="91"/>
      <x:c r="P305" s="91"/>
      <x:c r="Q305" s="85"/>
      <x:c r="S305" s="86"/>
      <x:c r="T305" s="32"/>
    </x:row>
    <x:row r="306">
      <x:c r="A306" s="87"/>
      <x:c r="B306" s="88"/>
      <x:c r="D306" s="32"/>
      <x:c r="I306" s="74"/>
      <x:c r="J306" s="74"/>
      <x:c r="K306" s="74"/>
      <x:c r="L306" s="74"/>
      <x:c r="M306" s="91"/>
      <x:c r="N306" s="91"/>
      <x:c r="O306" s="91"/>
      <x:c r="P306" s="91"/>
      <x:c r="Q306" s="85"/>
      <x:c r="S306" s="86"/>
      <x:c r="T306" s="32"/>
    </x:row>
    <x:row r="307">
      <x:c r="A307" s="87"/>
      <x:c r="B307" s="88"/>
      <x:c r="D307" s="32"/>
      <x:c r="I307" s="74"/>
      <x:c r="J307" s="74"/>
      <x:c r="K307" s="74"/>
      <x:c r="L307" s="74"/>
      <x:c r="M307" s="91"/>
      <x:c r="N307" s="91"/>
      <x:c r="O307" s="91"/>
      <x:c r="P307" s="91"/>
      <x:c r="Q307" s="85"/>
      <x:c r="S307" s="86"/>
      <x:c r="T307" s="32"/>
    </x:row>
    <x:row r="308">
      <x:c r="A308" s="87"/>
      <x:c r="B308" s="88"/>
      <x:c r="D308" s="32"/>
      <x:c r="I308" s="74"/>
      <x:c r="J308" s="74"/>
      <x:c r="K308" s="74"/>
      <x:c r="L308" s="74"/>
      <x:c r="M308" s="91"/>
      <x:c r="N308" s="91"/>
      <x:c r="O308" s="91"/>
      <x:c r="P308" s="91"/>
      <x:c r="Q308" s="85"/>
      <x:c r="S308" s="86"/>
      <x:c r="T308" s="32"/>
    </x:row>
    <x:row r="309">
      <x:c r="A309" s="87"/>
      <x:c r="B309" s="88"/>
      <x:c r="D309" s="32"/>
      <x:c r="I309" s="74"/>
      <x:c r="J309" s="74"/>
      <x:c r="K309" s="74"/>
      <x:c r="L309" s="74"/>
      <x:c r="M309" s="91"/>
      <x:c r="N309" s="91"/>
      <x:c r="O309" s="91"/>
      <x:c r="P309" s="91"/>
      <x:c r="Q309" s="85"/>
      <x:c r="S309" s="86"/>
      <x:c r="T309" s="32"/>
    </x:row>
    <x:row r="310">
      <x:c r="A310" s="87"/>
      <x:c r="B310" s="88"/>
      <x:c r="D310" s="32"/>
      <x:c r="I310" s="74"/>
      <x:c r="J310" s="74"/>
      <x:c r="K310" s="74"/>
      <x:c r="L310" s="74"/>
      <x:c r="M310" s="91"/>
      <x:c r="N310" s="91"/>
      <x:c r="O310" s="91"/>
      <x:c r="P310" s="91"/>
      <x:c r="Q310" s="85"/>
      <x:c r="S310" s="86"/>
      <x:c r="T310" s="32"/>
    </x:row>
    <x:row r="311">
      <x:c r="A311" s="87"/>
      <x:c r="B311" s="88"/>
      <x:c r="D311" s="32"/>
      <x:c r="I311" s="74"/>
      <x:c r="J311" s="74"/>
      <x:c r="K311" s="74"/>
      <x:c r="L311" s="74"/>
      <x:c r="M311" s="91"/>
      <x:c r="N311" s="91"/>
      <x:c r="O311" s="91"/>
      <x:c r="P311" s="91"/>
      <x:c r="Q311" s="85"/>
      <x:c r="S311" s="86"/>
      <x:c r="T311" s="32"/>
    </x:row>
    <x:row r="312">
      <x:c r="A312" s="87"/>
      <x:c r="B312" s="88"/>
      <x:c r="D312" s="32"/>
      <x:c r="I312" s="74"/>
      <x:c r="J312" s="74"/>
      <x:c r="K312" s="74"/>
      <x:c r="L312" s="74"/>
      <x:c r="M312" s="91"/>
      <x:c r="N312" s="91"/>
      <x:c r="O312" s="91"/>
      <x:c r="P312" s="91"/>
      <x:c r="Q312" s="85"/>
      <x:c r="S312" s="86"/>
      <x:c r="T312" s="32"/>
    </x:row>
    <x:row r="313">
      <x:c r="A313" s="87"/>
      <x:c r="B313" s="88"/>
      <x:c r="D313" s="32"/>
      <x:c r="I313" s="74"/>
      <x:c r="J313" s="74"/>
      <x:c r="K313" s="74"/>
      <x:c r="L313" s="74"/>
      <x:c r="M313" s="91"/>
      <x:c r="N313" s="91"/>
      <x:c r="O313" s="91"/>
      <x:c r="P313" s="91"/>
      <x:c r="Q313" s="85"/>
      <x:c r="S313" s="86"/>
      <x:c r="T313" s="32"/>
    </x:row>
    <x:row r="314">
      <x:c r="A314" s="87"/>
      <x:c r="B314" s="88"/>
      <x:c r="D314" s="32"/>
      <x:c r="I314" s="74"/>
      <x:c r="J314" s="74"/>
      <x:c r="K314" s="74"/>
      <x:c r="L314" s="74"/>
      <x:c r="M314" s="91"/>
      <x:c r="N314" s="91"/>
      <x:c r="O314" s="91"/>
      <x:c r="P314" s="91"/>
      <x:c r="Q314" s="85"/>
      <x:c r="S314" s="86"/>
      <x:c r="T314" s="32"/>
    </x:row>
    <x:row r="315">
      <x:c r="A315" s="87"/>
      <x:c r="B315" s="88"/>
      <x:c r="D315" s="32"/>
      <x:c r="I315" s="74"/>
      <x:c r="J315" s="74"/>
      <x:c r="K315" s="74"/>
      <x:c r="L315" s="74"/>
      <x:c r="M315" s="91"/>
      <x:c r="N315" s="91"/>
      <x:c r="O315" s="91"/>
      <x:c r="P315" s="91"/>
      <x:c r="Q315" s="85"/>
      <x:c r="S315" s="86"/>
      <x:c r="T315" s="32"/>
    </x:row>
    <x:row r="316">
      <x:c r="A316" s="87"/>
      <x:c r="B316" s="88"/>
      <x:c r="D316" s="32"/>
      <x:c r="I316" s="74"/>
      <x:c r="J316" s="74"/>
      <x:c r="K316" s="74"/>
      <x:c r="L316" s="74"/>
      <x:c r="M316" s="91"/>
      <x:c r="N316" s="91"/>
      <x:c r="O316" s="91"/>
      <x:c r="P316" s="91"/>
      <x:c r="Q316" s="85"/>
      <x:c r="S316" s="86"/>
      <x:c r="T316" s="32"/>
    </x:row>
    <x:row r="317">
      <x:c r="A317" s="87"/>
      <x:c r="B317" s="88"/>
      <x:c r="D317" s="32"/>
      <x:c r="I317" s="74"/>
      <x:c r="J317" s="74"/>
      <x:c r="K317" s="74"/>
      <x:c r="L317" s="74"/>
      <x:c r="M317" s="91"/>
      <x:c r="N317" s="91"/>
      <x:c r="O317" s="91"/>
      <x:c r="P317" s="91"/>
      <x:c r="Q317" s="85"/>
      <x:c r="S317" s="86"/>
      <x:c r="T317" s="32"/>
    </x:row>
    <x:row r="318">
      <x:c r="A318" s="87"/>
      <x:c r="B318" s="88"/>
      <x:c r="D318" s="32"/>
      <x:c r="I318" s="74"/>
      <x:c r="J318" s="74"/>
      <x:c r="K318" s="74"/>
      <x:c r="L318" s="74"/>
      <x:c r="M318" s="91"/>
      <x:c r="N318" s="91"/>
      <x:c r="O318" s="91"/>
      <x:c r="P318" s="91"/>
      <x:c r="Q318" s="85"/>
      <x:c r="S318" s="86"/>
      <x:c r="T318" s="32"/>
    </x:row>
    <x:row r="319">
      <x:c r="A319" s="87"/>
      <x:c r="B319" s="88"/>
      <x:c r="D319" s="32"/>
      <x:c r="I319" s="74"/>
      <x:c r="J319" s="74"/>
      <x:c r="K319" s="74"/>
      <x:c r="L319" s="74"/>
      <x:c r="M319" s="91"/>
      <x:c r="N319" s="91"/>
      <x:c r="O319" s="91"/>
      <x:c r="P319" s="91"/>
      <x:c r="Q319" s="85"/>
      <x:c r="S319" s="86"/>
      <x:c r="T319" s="32"/>
    </x:row>
    <x:row r="320">
      <x:c r="A320" s="87"/>
      <x:c r="B320" s="88"/>
      <x:c r="D320" s="32"/>
      <x:c r="I320" s="74"/>
      <x:c r="J320" s="74"/>
      <x:c r="K320" s="74"/>
      <x:c r="L320" s="74"/>
      <x:c r="M320" s="91"/>
      <x:c r="N320" s="91"/>
      <x:c r="O320" s="91"/>
      <x:c r="P320" s="91"/>
      <x:c r="Q320" s="85"/>
      <x:c r="S320" s="86"/>
      <x:c r="T320" s="32"/>
    </x:row>
    <x:row r="321">
      <x:c r="A321" s="87"/>
      <x:c r="B321" s="88"/>
      <x:c r="D321" s="32"/>
      <x:c r="I321" s="74"/>
      <x:c r="J321" s="74"/>
      <x:c r="K321" s="74"/>
      <x:c r="L321" s="74"/>
      <x:c r="M321" s="91"/>
      <x:c r="N321" s="91"/>
      <x:c r="O321" s="91"/>
      <x:c r="P321" s="91"/>
      <x:c r="Q321" s="85"/>
      <x:c r="S321" s="86"/>
      <x:c r="T321" s="32"/>
    </x:row>
    <x:row r="322">
      <x:c r="A322" s="87"/>
      <x:c r="B322" s="88"/>
      <x:c r="D322" s="32"/>
      <x:c r="I322" s="74"/>
      <x:c r="J322" s="74"/>
      <x:c r="K322" s="74"/>
      <x:c r="L322" s="74"/>
      <x:c r="M322" s="91"/>
      <x:c r="N322" s="91"/>
      <x:c r="O322" s="91"/>
      <x:c r="P322" s="91"/>
      <x:c r="Q322" s="85"/>
      <x:c r="S322" s="86"/>
      <x:c r="T322" s="32"/>
    </x:row>
    <x:row r="323">
      <x:c r="A323" s="87"/>
      <x:c r="B323" s="88"/>
      <x:c r="D323" s="32"/>
      <x:c r="I323" s="74"/>
      <x:c r="J323" s="74"/>
      <x:c r="K323" s="74"/>
      <x:c r="L323" s="74"/>
      <x:c r="M323" s="91"/>
      <x:c r="N323" s="91"/>
      <x:c r="O323" s="91"/>
      <x:c r="P323" s="91"/>
      <x:c r="Q323" s="85"/>
      <x:c r="S323" s="86"/>
      <x:c r="T323" s="32"/>
    </x:row>
    <x:row r="324">
      <x:c r="A324" s="87"/>
      <x:c r="B324" s="88"/>
      <x:c r="D324" s="32"/>
      <x:c r="I324" s="74"/>
      <x:c r="J324" s="74"/>
      <x:c r="K324" s="74"/>
      <x:c r="L324" s="74"/>
      <x:c r="M324" s="91"/>
      <x:c r="N324" s="91"/>
      <x:c r="O324" s="91"/>
      <x:c r="P324" s="91"/>
      <x:c r="Q324" s="85"/>
      <x:c r="S324" s="86"/>
      <x:c r="T324" s="32"/>
    </x:row>
    <x:row r="325">
      <x:c r="A325" s="87"/>
      <x:c r="B325" s="88"/>
      <x:c r="D325" s="32"/>
      <x:c r="I325" s="74"/>
      <x:c r="J325" s="74"/>
      <x:c r="K325" s="74"/>
      <x:c r="L325" s="74"/>
      <x:c r="M325" s="91"/>
      <x:c r="N325" s="91"/>
      <x:c r="O325" s="91"/>
      <x:c r="P325" s="91"/>
      <x:c r="Q325" s="85"/>
      <x:c r="S325" s="86"/>
      <x:c r="T325" s="32"/>
    </x:row>
    <x:row r="326">
      <x:c r="A326" s="87"/>
      <x:c r="B326" s="88"/>
      <x:c r="D326" s="32"/>
      <x:c r="I326" s="74"/>
      <x:c r="J326" s="74"/>
      <x:c r="K326" s="74"/>
      <x:c r="L326" s="74"/>
      <x:c r="M326" s="91"/>
      <x:c r="N326" s="91"/>
      <x:c r="O326" s="91"/>
      <x:c r="P326" s="91"/>
      <x:c r="Q326" s="85"/>
      <x:c r="S326" s="86"/>
      <x:c r="T326" s="32"/>
    </x:row>
    <x:row r="327">
      <x:c r="A327" s="87"/>
      <x:c r="B327" s="88"/>
      <x:c r="D327" s="32"/>
      <x:c r="I327" s="74"/>
      <x:c r="J327" s="74"/>
      <x:c r="K327" s="74"/>
      <x:c r="L327" s="74"/>
      <x:c r="M327" s="91"/>
      <x:c r="N327" s="91"/>
      <x:c r="O327" s="91"/>
      <x:c r="P327" s="91"/>
      <x:c r="Q327" s="85"/>
      <x:c r="S327" s="86"/>
      <x:c r="T327" s="32"/>
    </x:row>
    <x:row r="328">
      <x:c r="A328" s="87"/>
      <x:c r="B328" s="88"/>
      <x:c r="D328" s="32"/>
      <x:c r="I328" s="74"/>
      <x:c r="J328" s="74"/>
      <x:c r="K328" s="74"/>
      <x:c r="L328" s="74"/>
      <x:c r="M328" s="91"/>
      <x:c r="N328" s="91"/>
      <x:c r="O328" s="91"/>
      <x:c r="P328" s="91"/>
      <x:c r="Q328" s="85"/>
      <x:c r="S328" s="86"/>
      <x:c r="T328" s="32"/>
    </x:row>
    <x:row r="329">
      <x:c r="A329" s="87"/>
      <x:c r="B329" s="88"/>
      <x:c r="D329" s="32"/>
      <x:c r="I329" s="74"/>
      <x:c r="J329" s="74"/>
      <x:c r="K329" s="74"/>
      <x:c r="L329" s="74"/>
      <x:c r="M329" s="91"/>
      <x:c r="N329" s="91"/>
      <x:c r="O329" s="91"/>
      <x:c r="P329" s="91"/>
      <x:c r="Q329" s="85"/>
      <x:c r="S329" s="86"/>
      <x:c r="T329" s="32"/>
    </x:row>
    <x:row r="330">
      <x:c r="A330" s="87"/>
      <x:c r="B330" s="88"/>
      <x:c r="D330" s="32"/>
      <x:c r="I330" s="74"/>
      <x:c r="J330" s="74"/>
      <x:c r="K330" s="74"/>
      <x:c r="L330" s="74"/>
      <x:c r="M330" s="91"/>
      <x:c r="N330" s="91"/>
      <x:c r="O330" s="91"/>
      <x:c r="P330" s="91"/>
      <x:c r="Q330" s="85"/>
      <x:c r="S330" s="86"/>
      <x:c r="T330" s="32"/>
    </x:row>
    <x:row r="331">
      <x:c r="A331" s="87"/>
      <x:c r="B331" s="88"/>
      <x:c r="D331" s="32"/>
      <x:c r="I331" s="74"/>
      <x:c r="J331" s="74"/>
      <x:c r="K331" s="74"/>
      <x:c r="L331" s="74"/>
      <x:c r="M331" s="91"/>
      <x:c r="N331" s="91"/>
      <x:c r="O331" s="91"/>
      <x:c r="P331" s="91"/>
      <x:c r="Q331" s="85"/>
      <x:c r="S331" s="86"/>
      <x:c r="T331" s="32"/>
    </x:row>
    <x:row r="332">
      <x:c r="A332" s="87"/>
      <x:c r="B332" s="88"/>
      <x:c r="D332" s="32"/>
      <x:c r="I332" s="74"/>
      <x:c r="J332" s="74"/>
      <x:c r="K332" s="74"/>
      <x:c r="L332" s="74"/>
      <x:c r="M332" s="91"/>
      <x:c r="N332" s="91"/>
      <x:c r="O332" s="91"/>
      <x:c r="P332" s="91"/>
      <x:c r="Q332" s="85"/>
      <x:c r="S332" s="86"/>
      <x:c r="T332" s="32"/>
    </x:row>
    <x:row r="333">
      <x:c r="A333" s="87"/>
      <x:c r="B333" s="88"/>
      <x:c r="D333" s="32"/>
      <x:c r="I333" s="74"/>
      <x:c r="J333" s="74"/>
      <x:c r="K333" s="74"/>
      <x:c r="L333" s="74"/>
      <x:c r="M333" s="91"/>
      <x:c r="N333" s="91"/>
      <x:c r="O333" s="91"/>
      <x:c r="P333" s="91"/>
      <x:c r="Q333" s="85"/>
      <x:c r="S333" s="86"/>
      <x:c r="T333" s="32"/>
    </x:row>
    <x:row r="334">
      <x:c r="A334" s="87"/>
      <x:c r="B334" s="88"/>
      <x:c r="D334" s="32"/>
      <x:c r="I334" s="74"/>
      <x:c r="J334" s="74"/>
      <x:c r="K334" s="74"/>
      <x:c r="L334" s="74"/>
      <x:c r="M334" s="91"/>
      <x:c r="N334" s="91"/>
      <x:c r="O334" s="91"/>
      <x:c r="P334" s="91"/>
      <x:c r="Q334" s="85"/>
      <x:c r="S334" s="86"/>
      <x:c r="T334" s="32"/>
    </x:row>
    <x:row r="335">
      <x:c r="A335" s="87"/>
      <x:c r="B335" s="88"/>
      <x:c r="D335" s="32"/>
      <x:c r="I335" s="74"/>
      <x:c r="J335" s="74"/>
      <x:c r="K335" s="74"/>
      <x:c r="L335" s="74"/>
      <x:c r="M335" s="91"/>
      <x:c r="N335" s="91"/>
      <x:c r="O335" s="91"/>
      <x:c r="P335" s="91"/>
      <x:c r="Q335" s="85"/>
      <x:c r="S335" s="86"/>
      <x:c r="T335" s="32"/>
    </x:row>
    <x:row r="336">
      <x:c r="A336" s="87"/>
      <x:c r="B336" s="88"/>
      <x:c r="D336" s="32"/>
      <x:c r="I336" s="74"/>
      <x:c r="J336" s="74"/>
      <x:c r="K336" s="74"/>
      <x:c r="L336" s="74"/>
      <x:c r="M336" s="91"/>
      <x:c r="N336" s="91"/>
      <x:c r="O336" s="91"/>
      <x:c r="P336" s="91"/>
      <x:c r="Q336" s="85"/>
      <x:c r="S336" s="86"/>
      <x:c r="T336" s="32"/>
    </x:row>
    <x:row r="337">
      <x:c r="A337" s="87"/>
      <x:c r="B337" s="88"/>
      <x:c r="D337" s="32"/>
      <x:c r="I337" s="74"/>
      <x:c r="J337" s="74"/>
      <x:c r="K337" s="74"/>
      <x:c r="L337" s="74"/>
      <x:c r="M337" s="91"/>
      <x:c r="N337" s="91"/>
      <x:c r="O337" s="91"/>
      <x:c r="P337" s="91"/>
      <x:c r="Q337" s="85"/>
      <x:c r="S337" s="86"/>
      <x:c r="T337" s="32"/>
    </x:row>
    <x:row r="338">
      <x:c r="A338" s="87"/>
      <x:c r="B338" s="88"/>
      <x:c r="D338" s="32"/>
      <x:c r="I338" s="74"/>
      <x:c r="J338" s="74"/>
      <x:c r="K338" s="74"/>
      <x:c r="L338" s="74"/>
      <x:c r="M338" s="91"/>
      <x:c r="N338" s="91"/>
      <x:c r="O338" s="91"/>
      <x:c r="P338" s="91"/>
      <x:c r="Q338" s="85"/>
      <x:c r="S338" s="86"/>
      <x:c r="T338" s="32"/>
    </x:row>
    <x:row r="339">
      <x:c r="A339" s="87"/>
      <x:c r="B339" s="88"/>
      <x:c r="D339" s="32"/>
      <x:c r="I339" s="74"/>
      <x:c r="J339" s="74"/>
      <x:c r="K339" s="74"/>
      <x:c r="L339" s="74"/>
      <x:c r="M339" s="91"/>
      <x:c r="N339" s="91"/>
      <x:c r="O339" s="91"/>
      <x:c r="P339" s="91"/>
      <x:c r="Q339" s="85"/>
      <x:c r="S339" s="86"/>
      <x:c r="T339" s="32"/>
    </x:row>
    <x:row r="340">
      <x:c r="A340" s="87"/>
      <x:c r="B340" s="88"/>
      <x:c r="D340" s="32"/>
      <x:c r="I340" s="74"/>
      <x:c r="J340" s="74"/>
      <x:c r="K340" s="74"/>
      <x:c r="L340" s="74"/>
      <x:c r="M340" s="91"/>
      <x:c r="N340" s="91"/>
      <x:c r="O340" s="91"/>
      <x:c r="P340" s="91"/>
      <x:c r="Q340" s="85"/>
      <x:c r="S340" s="86"/>
      <x:c r="T340" s="32"/>
    </x:row>
    <x:row r="341">
      <x:c r="A341" s="87"/>
      <x:c r="B341" s="88"/>
      <x:c r="D341" s="32"/>
      <x:c r="I341" s="74"/>
      <x:c r="J341" s="74"/>
      <x:c r="K341" s="74"/>
      <x:c r="L341" s="74"/>
      <x:c r="M341" s="91"/>
      <x:c r="N341" s="91"/>
      <x:c r="O341" s="91"/>
      <x:c r="P341" s="91"/>
      <x:c r="Q341" s="85"/>
      <x:c r="S341" s="86"/>
      <x:c r="T341" s="32"/>
    </x:row>
    <x:row r="342">
      <x:c r="A342" s="87"/>
      <x:c r="B342" s="88"/>
      <x:c r="D342" s="32"/>
      <x:c r="I342" s="74"/>
      <x:c r="J342" s="74"/>
      <x:c r="K342" s="74"/>
      <x:c r="L342" s="74"/>
      <x:c r="M342" s="91"/>
      <x:c r="N342" s="91"/>
      <x:c r="O342" s="91"/>
      <x:c r="P342" s="91"/>
      <x:c r="Q342" s="85"/>
      <x:c r="S342" s="86"/>
      <x:c r="T342" s="32"/>
    </x:row>
    <x:row r="343">
      <x:c r="A343" s="87"/>
      <x:c r="B343" s="88"/>
      <x:c r="D343" s="32"/>
      <x:c r="I343" s="74"/>
      <x:c r="J343" s="74"/>
      <x:c r="K343" s="74"/>
      <x:c r="L343" s="74"/>
      <x:c r="M343" s="91"/>
      <x:c r="N343" s="91"/>
      <x:c r="O343" s="91"/>
      <x:c r="P343" s="91"/>
      <x:c r="Q343" s="85"/>
      <x:c r="S343" s="86"/>
      <x:c r="T343" s="32"/>
    </x:row>
    <x:row r="344">
      <x:c r="A344" s="87"/>
      <x:c r="B344" s="88"/>
      <x:c r="D344" s="32"/>
      <x:c r="I344" s="74"/>
      <x:c r="J344" s="74"/>
      <x:c r="K344" s="74"/>
      <x:c r="L344" s="74"/>
      <x:c r="M344" s="91"/>
      <x:c r="N344" s="91"/>
      <x:c r="O344" s="91"/>
      <x:c r="P344" s="91"/>
      <x:c r="Q344" s="85"/>
      <x:c r="S344" s="86"/>
      <x:c r="T344" s="32"/>
    </x:row>
    <x:row r="345">
      <x:c r="A345" s="87"/>
      <x:c r="B345" s="88"/>
      <x:c r="D345" s="32"/>
      <x:c r="I345" s="74"/>
      <x:c r="J345" s="74"/>
      <x:c r="K345" s="74"/>
      <x:c r="L345" s="74"/>
      <x:c r="M345" s="91"/>
      <x:c r="N345" s="91"/>
      <x:c r="O345" s="91"/>
      <x:c r="P345" s="91"/>
      <x:c r="Q345" s="85"/>
      <x:c r="S345" s="86"/>
      <x:c r="T345" s="32"/>
    </x:row>
    <x:row r="346">
      <x:c r="A346" s="87"/>
      <x:c r="B346" s="88"/>
      <x:c r="D346" s="32"/>
      <x:c r="I346" s="74"/>
      <x:c r="J346" s="74"/>
      <x:c r="K346" s="74"/>
      <x:c r="L346" s="74"/>
      <x:c r="M346" s="91"/>
      <x:c r="N346" s="91"/>
      <x:c r="O346" s="91"/>
      <x:c r="P346" s="91"/>
      <x:c r="Q346" s="85"/>
      <x:c r="S346" s="86"/>
      <x:c r="T346" s="32"/>
    </x:row>
    <x:row r="347">
      <x:c r="A347" s="87"/>
      <x:c r="B347" s="88"/>
      <x:c r="D347" s="32"/>
      <x:c r="I347" s="74"/>
      <x:c r="J347" s="74"/>
      <x:c r="K347" s="74"/>
      <x:c r="L347" s="74"/>
      <x:c r="M347" s="91"/>
      <x:c r="N347" s="91"/>
      <x:c r="O347" s="91"/>
      <x:c r="P347" s="91"/>
      <x:c r="Q347" s="85"/>
      <x:c r="S347" s="86"/>
      <x:c r="T347" s="32"/>
    </x:row>
    <x:row r="348">
      <x:c r="A348" s="87"/>
      <x:c r="B348" s="88"/>
      <x:c r="D348" s="32"/>
      <x:c r="I348" s="74"/>
      <x:c r="J348" s="74"/>
      <x:c r="K348" s="74"/>
      <x:c r="L348" s="74"/>
      <x:c r="M348" s="91"/>
      <x:c r="N348" s="91"/>
      <x:c r="O348" s="91"/>
      <x:c r="P348" s="91"/>
      <x:c r="Q348" s="85"/>
      <x:c r="S348" s="86"/>
      <x:c r="T348" s="32"/>
    </x:row>
    <x:row r="349">
      <x:c r="A349" s="87"/>
      <x:c r="B349" s="88"/>
      <x:c r="D349" s="32"/>
      <x:c r="I349" s="74"/>
      <x:c r="J349" s="74"/>
      <x:c r="K349" s="74"/>
      <x:c r="L349" s="74"/>
      <x:c r="M349" s="91"/>
      <x:c r="N349" s="91"/>
      <x:c r="O349" s="91"/>
      <x:c r="P349" s="91"/>
      <x:c r="Q349" s="85"/>
      <x:c r="S349" s="86"/>
      <x:c r="T349" s="32"/>
    </x:row>
    <x:row r="350">
      <x:c r="A350" s="87"/>
      <x:c r="B350" s="88"/>
      <x:c r="D350" s="32"/>
      <x:c r="I350" s="74"/>
      <x:c r="J350" s="74"/>
      <x:c r="K350" s="74"/>
      <x:c r="L350" s="74"/>
      <x:c r="M350" s="91"/>
      <x:c r="N350" s="91"/>
      <x:c r="O350" s="91"/>
      <x:c r="P350" s="91"/>
      <x:c r="Q350" s="85"/>
      <x:c r="S350" s="86"/>
      <x:c r="T350" s="32"/>
    </x:row>
    <x:row r="351">
      <x:c r="A351" s="87"/>
      <x:c r="B351" s="88"/>
      <x:c r="D351" s="32"/>
      <x:c r="I351" s="74"/>
      <x:c r="J351" s="74"/>
      <x:c r="K351" s="74"/>
      <x:c r="L351" s="74"/>
      <x:c r="M351" s="91"/>
      <x:c r="N351" s="91"/>
      <x:c r="O351" s="91"/>
      <x:c r="P351" s="91"/>
      <x:c r="Q351" s="85"/>
      <x:c r="S351" s="86"/>
      <x:c r="T351" s="32"/>
    </x:row>
    <x:row r="352">
      <x:c r="A352" s="87"/>
      <x:c r="B352" s="88"/>
      <x:c r="D352" s="32"/>
      <x:c r="I352" s="74"/>
      <x:c r="J352" s="74"/>
      <x:c r="K352" s="74"/>
      <x:c r="L352" s="74"/>
      <x:c r="M352" s="91"/>
      <x:c r="N352" s="91"/>
      <x:c r="O352" s="91"/>
      <x:c r="P352" s="91"/>
      <x:c r="Q352" s="85"/>
      <x:c r="S352" s="86"/>
      <x:c r="T352" s="32"/>
    </x:row>
    <x:row r="353">
      <x:c r="A353" s="87"/>
      <x:c r="B353" s="88"/>
      <x:c r="D353" s="32"/>
      <x:c r="I353" s="74"/>
      <x:c r="J353" s="74"/>
      <x:c r="K353" s="74"/>
      <x:c r="L353" s="74"/>
      <x:c r="M353" s="91"/>
      <x:c r="N353" s="91"/>
      <x:c r="O353" s="91"/>
      <x:c r="P353" s="91"/>
      <x:c r="Q353" s="85"/>
      <x:c r="S353" s="86"/>
      <x:c r="T353" s="32"/>
    </x:row>
    <x:row r="354">
      <x:c r="A354" s="87"/>
      <x:c r="B354" s="88"/>
      <x:c r="D354" s="32"/>
      <x:c r="I354" s="74"/>
      <x:c r="J354" s="74"/>
      <x:c r="K354" s="74"/>
      <x:c r="L354" s="74"/>
      <x:c r="M354" s="91"/>
      <x:c r="N354" s="91"/>
      <x:c r="O354" s="91"/>
      <x:c r="P354" s="91"/>
      <x:c r="Q354" s="85"/>
      <x:c r="S354" s="86"/>
      <x:c r="T354" s="32"/>
    </x:row>
    <x:row r="355">
      <x:c r="A355" s="87"/>
      <x:c r="B355" s="88"/>
      <x:c r="D355" s="32"/>
      <x:c r="I355" s="74"/>
      <x:c r="J355" s="74"/>
      <x:c r="K355" s="74"/>
      <x:c r="L355" s="74"/>
      <x:c r="M355" s="91"/>
      <x:c r="N355" s="91"/>
      <x:c r="O355" s="91"/>
      <x:c r="P355" s="91"/>
      <x:c r="Q355" s="85"/>
      <x:c r="S355" s="86"/>
      <x:c r="T355" s="32"/>
    </x:row>
    <x:row r="356">
      <x:c r="A356" s="87"/>
      <x:c r="B356" s="88"/>
      <x:c r="D356" s="32"/>
      <x:c r="I356" s="74"/>
      <x:c r="J356" s="74"/>
      <x:c r="K356" s="74"/>
      <x:c r="L356" s="74"/>
      <x:c r="M356" s="91"/>
      <x:c r="N356" s="91"/>
      <x:c r="O356" s="91"/>
      <x:c r="P356" s="91"/>
      <x:c r="Q356" s="85"/>
      <x:c r="S356" s="86"/>
      <x:c r="T356" s="32"/>
    </x:row>
    <x:row r="357">
      <x:c r="A357" s="87"/>
      <x:c r="B357" s="88"/>
      <x:c r="D357" s="32"/>
      <x:c r="I357" s="74"/>
      <x:c r="J357" s="74"/>
      <x:c r="K357" s="74"/>
      <x:c r="L357" s="74"/>
      <x:c r="M357" s="91"/>
      <x:c r="N357" s="91"/>
      <x:c r="O357" s="91"/>
      <x:c r="P357" s="91"/>
      <x:c r="Q357" s="85"/>
      <x:c r="S357" s="86"/>
      <x:c r="T357" s="32"/>
    </x:row>
    <x:row r="358">
      <x:c r="A358" s="87"/>
      <x:c r="B358" s="88"/>
      <x:c r="D358" s="32"/>
      <x:c r="I358" s="74"/>
      <x:c r="J358" s="74"/>
      <x:c r="K358" s="74"/>
      <x:c r="L358" s="74"/>
      <x:c r="M358" s="91"/>
      <x:c r="N358" s="91"/>
      <x:c r="O358" s="91"/>
      <x:c r="P358" s="91"/>
      <x:c r="Q358" s="85"/>
      <x:c r="S358" s="86"/>
      <x:c r="T358" s="32"/>
    </x:row>
    <x:row r="359">
      <x:c r="A359" s="87"/>
      <x:c r="B359" s="88"/>
      <x:c r="D359" s="32"/>
      <x:c r="I359" s="74"/>
      <x:c r="J359" s="74"/>
      <x:c r="K359" s="74"/>
      <x:c r="L359" s="74"/>
      <x:c r="M359" s="91"/>
      <x:c r="N359" s="91"/>
      <x:c r="O359" s="91"/>
      <x:c r="P359" s="91"/>
      <x:c r="Q359" s="85"/>
      <x:c r="S359" s="86"/>
      <x:c r="T359" s="32"/>
    </x:row>
    <x:row r="360">
      <x:c r="A360" s="87"/>
      <x:c r="B360" s="88"/>
      <x:c r="D360" s="32"/>
      <x:c r="I360" s="74"/>
      <x:c r="J360" s="74"/>
      <x:c r="K360" s="74"/>
      <x:c r="L360" s="74"/>
      <x:c r="M360" s="91"/>
      <x:c r="N360" s="91"/>
      <x:c r="O360" s="91"/>
      <x:c r="P360" s="91"/>
      <x:c r="Q360" s="85"/>
      <x:c r="S360" s="86"/>
      <x:c r="T360" s="32"/>
    </x:row>
    <x:row r="361">
      <x:c r="A361" s="87"/>
      <x:c r="B361" s="88"/>
      <x:c r="D361" s="32"/>
      <x:c r="I361" s="74"/>
      <x:c r="J361" s="74"/>
      <x:c r="K361" s="74"/>
      <x:c r="L361" s="74"/>
      <x:c r="M361" s="91"/>
      <x:c r="N361" s="91"/>
      <x:c r="O361" s="91"/>
      <x:c r="P361" s="91"/>
      <x:c r="Q361" s="85"/>
      <x:c r="S361" s="86"/>
      <x:c r="T361" s="32"/>
    </x:row>
    <x:row r="362">
      <x:c r="A362" s="87"/>
      <x:c r="B362" s="88"/>
      <x:c r="D362" s="32"/>
      <x:c r="I362" s="74"/>
      <x:c r="J362" s="74"/>
      <x:c r="K362" s="74"/>
      <x:c r="L362" s="74"/>
      <x:c r="M362" s="91"/>
      <x:c r="N362" s="91"/>
      <x:c r="O362" s="91"/>
      <x:c r="P362" s="91"/>
      <x:c r="Q362" s="85"/>
      <x:c r="S362" s="86"/>
      <x:c r="T362" s="32"/>
    </x:row>
    <x:row r="363">
      <x:c r="A363" s="87"/>
      <x:c r="B363" s="88"/>
      <x:c r="D363" s="32"/>
      <x:c r="I363" s="74"/>
      <x:c r="J363" s="74"/>
      <x:c r="K363" s="74"/>
      <x:c r="L363" s="74"/>
      <x:c r="M363" s="91"/>
      <x:c r="N363" s="91"/>
      <x:c r="O363" s="91"/>
      <x:c r="P363" s="91"/>
      <x:c r="Q363" s="85"/>
      <x:c r="S363" s="86"/>
      <x:c r="T363" s="32"/>
    </x:row>
    <x:row r="364">
      <x:c r="A364" s="87"/>
      <x:c r="B364" s="88"/>
      <x:c r="D364" s="32"/>
      <x:c r="I364" s="74"/>
      <x:c r="J364" s="74"/>
      <x:c r="K364" s="74"/>
      <x:c r="L364" s="74"/>
      <x:c r="M364" s="91"/>
      <x:c r="N364" s="91"/>
      <x:c r="O364" s="91"/>
      <x:c r="P364" s="91"/>
      <x:c r="Q364" s="85"/>
      <x:c r="S364" s="86"/>
      <x:c r="T364" s="32"/>
    </x:row>
    <x:row r="365">
      <x:c r="A365" s="87"/>
      <x:c r="B365" s="88"/>
      <x:c r="D365" s="32"/>
      <x:c r="I365" s="74"/>
      <x:c r="J365" s="74"/>
      <x:c r="K365" s="74"/>
      <x:c r="L365" s="74"/>
      <x:c r="M365" s="91"/>
      <x:c r="N365" s="91"/>
      <x:c r="O365" s="91"/>
      <x:c r="P365" s="91"/>
      <x:c r="Q365" s="85"/>
      <x:c r="S365" s="86"/>
      <x:c r="T365" s="32"/>
    </x:row>
    <x:row r="366">
      <x:c r="A366" s="87"/>
      <x:c r="B366" s="88"/>
      <x:c r="D366" s="32"/>
      <x:c r="I366" s="74"/>
      <x:c r="J366" s="74"/>
      <x:c r="K366" s="74"/>
      <x:c r="L366" s="74"/>
      <x:c r="M366" s="91"/>
      <x:c r="N366" s="91"/>
      <x:c r="O366" s="91"/>
      <x:c r="P366" s="91"/>
      <x:c r="Q366" s="85"/>
      <x:c r="S366" s="86"/>
      <x:c r="T366" s="32"/>
    </x:row>
    <x:row r="367">
      <x:c r="A367" s="87"/>
      <x:c r="B367" s="88"/>
      <x:c r="D367" s="32"/>
      <x:c r="I367" s="74"/>
      <x:c r="J367" s="74"/>
      <x:c r="K367" s="74"/>
      <x:c r="L367" s="74"/>
      <x:c r="M367" s="91"/>
      <x:c r="N367" s="91"/>
      <x:c r="O367" s="91"/>
      <x:c r="P367" s="91"/>
      <x:c r="Q367" s="85"/>
      <x:c r="S367" s="86"/>
      <x:c r="T367" s="32"/>
    </x:row>
    <x:row r="368">
      <x:c r="A368" s="87"/>
      <x:c r="B368" s="88"/>
      <x:c r="D368" s="32"/>
      <x:c r="I368" s="74"/>
      <x:c r="J368" s="74"/>
      <x:c r="K368" s="74"/>
      <x:c r="L368" s="74"/>
      <x:c r="M368" s="91"/>
      <x:c r="N368" s="91"/>
      <x:c r="O368" s="91"/>
      <x:c r="P368" s="91"/>
      <x:c r="Q368" s="85"/>
      <x:c r="S368" s="86"/>
      <x:c r="T368" s="32"/>
    </x:row>
    <x:row r="369">
      <x:c r="A369" s="87"/>
      <x:c r="B369" s="88"/>
      <x:c r="D369" s="32"/>
      <x:c r="I369" s="74"/>
      <x:c r="J369" s="74"/>
      <x:c r="K369" s="74"/>
      <x:c r="L369" s="74"/>
      <x:c r="M369" s="91"/>
      <x:c r="N369" s="91"/>
      <x:c r="O369" s="91"/>
      <x:c r="P369" s="91"/>
      <x:c r="Q369" s="85"/>
      <x:c r="S369" s="86"/>
      <x:c r="T369" s="32"/>
    </x:row>
    <x:row r="370">
      <x:c r="A370" s="87"/>
      <x:c r="B370" s="88"/>
      <x:c r="D370" s="32"/>
      <x:c r="I370" s="74"/>
      <x:c r="J370" s="74"/>
      <x:c r="K370" s="74"/>
      <x:c r="L370" s="74"/>
      <x:c r="M370" s="91"/>
      <x:c r="N370" s="91"/>
      <x:c r="O370" s="91"/>
      <x:c r="P370" s="91"/>
      <x:c r="Q370" s="85"/>
      <x:c r="S370" s="86"/>
      <x:c r="T370" s="32"/>
    </x:row>
    <x:row r="371">
      <x:c r="A371" s="87"/>
      <x:c r="B371" s="88"/>
      <x:c r="D371" s="32"/>
      <x:c r="I371" s="74"/>
      <x:c r="J371" s="74"/>
      <x:c r="K371" s="74"/>
      <x:c r="L371" s="74"/>
      <x:c r="M371" s="91"/>
      <x:c r="N371" s="91"/>
      <x:c r="O371" s="91"/>
      <x:c r="P371" s="91"/>
      <x:c r="Q371" s="85"/>
      <x:c r="S371" s="86"/>
      <x:c r="T371" s="32"/>
    </x:row>
    <x:row r="372">
      <x:c r="A372" s="87"/>
      <x:c r="B372" s="88"/>
      <x:c r="D372" s="32"/>
      <x:c r="I372" s="74"/>
      <x:c r="J372" s="74"/>
      <x:c r="K372" s="74"/>
      <x:c r="L372" s="74"/>
      <x:c r="M372" s="91"/>
      <x:c r="N372" s="91"/>
      <x:c r="O372" s="91"/>
      <x:c r="P372" s="91"/>
      <x:c r="Q372" s="85"/>
      <x:c r="S372" s="86"/>
      <x:c r="T372" s="32"/>
    </x:row>
    <x:row r="373">
      <x:c r="A373" s="87"/>
      <x:c r="B373" s="88"/>
      <x:c r="D373" s="32"/>
      <x:c r="I373" s="74"/>
      <x:c r="J373" s="74"/>
      <x:c r="K373" s="74"/>
      <x:c r="L373" s="74"/>
      <x:c r="M373" s="91"/>
      <x:c r="N373" s="91"/>
      <x:c r="O373" s="91"/>
      <x:c r="P373" s="91"/>
      <x:c r="Q373" s="85"/>
      <x:c r="S373" s="86"/>
      <x:c r="T373" s="32"/>
    </x:row>
    <x:row r="374">
      <x:c r="A374" s="87"/>
      <x:c r="B374" s="88"/>
      <x:c r="D374" s="32"/>
      <x:c r="I374" s="74"/>
      <x:c r="J374" s="74"/>
      <x:c r="K374" s="74"/>
      <x:c r="L374" s="74"/>
      <x:c r="M374" s="91"/>
      <x:c r="N374" s="91"/>
      <x:c r="O374" s="91"/>
      <x:c r="P374" s="91"/>
      <x:c r="Q374" s="85"/>
      <x:c r="S374" s="86"/>
      <x:c r="T374" s="32"/>
    </x:row>
    <x:row r="375">
      <x:c r="A375" s="87"/>
      <x:c r="B375" s="88"/>
      <x:c r="D375" s="32"/>
      <x:c r="I375" s="74"/>
      <x:c r="J375" s="74"/>
      <x:c r="K375" s="74"/>
      <x:c r="L375" s="74"/>
      <x:c r="M375" s="91"/>
      <x:c r="N375" s="91"/>
      <x:c r="O375" s="91"/>
      <x:c r="P375" s="91"/>
      <x:c r="Q375" s="85"/>
      <x:c r="S375" s="86"/>
      <x:c r="T375" s="32"/>
    </x:row>
    <x:row r="376">
      <x:c r="A376" s="87"/>
      <x:c r="B376" s="88"/>
      <x:c r="D376" s="32"/>
      <x:c r="I376" s="74"/>
      <x:c r="J376" s="74"/>
      <x:c r="K376" s="74"/>
      <x:c r="L376" s="74"/>
      <x:c r="M376" s="91"/>
      <x:c r="N376" s="91"/>
      <x:c r="O376" s="91"/>
      <x:c r="P376" s="91"/>
      <x:c r="Q376" s="85"/>
      <x:c r="S376" s="86"/>
      <x:c r="T376" s="32"/>
    </x:row>
    <x:row r="377">
      <x:c r="A377" s="87"/>
      <x:c r="B377" s="88"/>
      <x:c r="D377" s="32"/>
      <x:c r="I377" s="74"/>
      <x:c r="J377" s="74"/>
      <x:c r="K377" s="74"/>
      <x:c r="L377" s="74"/>
      <x:c r="M377" s="91"/>
      <x:c r="N377" s="91"/>
      <x:c r="O377" s="91"/>
      <x:c r="P377" s="91"/>
      <x:c r="Q377" s="85"/>
      <x:c r="S377" s="86"/>
      <x:c r="T377" s="32"/>
    </x:row>
    <x:row r="378">
      <x:c r="A378" s="87"/>
      <x:c r="B378" s="88"/>
      <x:c r="D378" s="32"/>
      <x:c r="I378" s="74"/>
      <x:c r="J378" s="74"/>
      <x:c r="K378" s="74"/>
      <x:c r="L378" s="74"/>
      <x:c r="M378" s="91"/>
      <x:c r="N378" s="91"/>
      <x:c r="O378" s="91"/>
      <x:c r="P378" s="91"/>
      <x:c r="Q378" s="85"/>
      <x:c r="S378" s="86"/>
      <x:c r="T378" s="32"/>
    </x:row>
    <x:row r="379">
      <x:c r="A379" s="87"/>
      <x:c r="B379" s="88"/>
      <x:c r="D379" s="32"/>
      <x:c r="I379" s="74"/>
      <x:c r="J379" s="74"/>
      <x:c r="K379" s="74"/>
      <x:c r="L379" s="74"/>
      <x:c r="M379" s="91"/>
      <x:c r="N379" s="91"/>
      <x:c r="O379" s="91"/>
      <x:c r="P379" s="91"/>
      <x:c r="Q379" s="85"/>
      <x:c r="S379" s="86"/>
      <x:c r="T379" s="32"/>
    </x:row>
    <x:row r="380">
      <x:c r="A380" s="87"/>
      <x:c r="B380" s="88"/>
      <x:c r="D380" s="32"/>
      <x:c r="I380" s="74"/>
      <x:c r="J380" s="74"/>
      <x:c r="K380" s="74"/>
      <x:c r="L380" s="74"/>
      <x:c r="M380" s="91"/>
      <x:c r="N380" s="91"/>
      <x:c r="O380" s="91"/>
      <x:c r="P380" s="91"/>
      <x:c r="Q380" s="85"/>
      <x:c r="S380" s="86"/>
      <x:c r="T380" s="32"/>
    </x:row>
    <x:row r="381">
      <x:c r="A381" s="87"/>
      <x:c r="B381" s="88"/>
      <x:c r="D381" s="32"/>
      <x:c r="I381" s="74"/>
      <x:c r="J381" s="74"/>
      <x:c r="K381" s="74"/>
      <x:c r="L381" s="74"/>
      <x:c r="M381" s="91"/>
      <x:c r="N381" s="91"/>
      <x:c r="O381" s="91"/>
      <x:c r="P381" s="91"/>
      <x:c r="Q381" s="85"/>
      <x:c r="S381" s="86"/>
      <x:c r="T381" s="32"/>
    </x:row>
    <x:row r="382">
      <x:c r="A382" s="87"/>
      <x:c r="B382" s="88"/>
      <x:c r="D382" s="32"/>
      <x:c r="I382" s="74"/>
      <x:c r="J382" s="74"/>
      <x:c r="K382" s="74"/>
      <x:c r="L382" s="74"/>
      <x:c r="M382" s="91"/>
      <x:c r="N382" s="91"/>
      <x:c r="O382" s="91"/>
      <x:c r="P382" s="91"/>
      <x:c r="Q382" s="85"/>
      <x:c r="S382" s="86"/>
      <x:c r="T382" s="32"/>
    </x:row>
    <x:row r="383">
      <x:c r="A383" s="87"/>
      <x:c r="B383" s="88"/>
      <x:c r="D383" s="32"/>
      <x:c r="I383" s="74"/>
      <x:c r="J383" s="74"/>
      <x:c r="K383" s="74"/>
      <x:c r="L383" s="74"/>
      <x:c r="M383" s="91"/>
      <x:c r="N383" s="91"/>
      <x:c r="O383" s="91"/>
      <x:c r="P383" s="91"/>
      <x:c r="Q383" s="85"/>
      <x:c r="S383" s="86"/>
      <x:c r="T383" s="32"/>
    </x:row>
    <x:row r="384">
      <x:c r="A384" s="87"/>
      <x:c r="B384" s="88"/>
      <x:c r="D384" s="32"/>
      <x:c r="I384" s="74"/>
      <x:c r="J384" s="74"/>
      <x:c r="K384" s="74"/>
      <x:c r="L384" s="74"/>
      <x:c r="M384" s="91"/>
      <x:c r="N384" s="91"/>
      <x:c r="O384" s="91"/>
      <x:c r="P384" s="91"/>
      <x:c r="Q384" s="85"/>
      <x:c r="S384" s="86"/>
      <x:c r="T384" s="32"/>
    </x:row>
    <x:row r="385">
      <x:c r="A385" s="87"/>
      <x:c r="B385" s="88"/>
      <x:c r="D385" s="32"/>
      <x:c r="I385" s="74"/>
      <x:c r="J385" s="74"/>
      <x:c r="K385" s="74"/>
      <x:c r="L385" s="74"/>
      <x:c r="M385" s="91"/>
      <x:c r="N385" s="91"/>
      <x:c r="O385" s="91"/>
      <x:c r="P385" s="91"/>
      <x:c r="Q385" s="85"/>
      <x:c r="S385" s="86"/>
      <x:c r="T385" s="32"/>
    </x:row>
    <x:row r="386">
      <x:c r="A386" s="87"/>
      <x:c r="B386" s="88"/>
      <x:c r="D386" s="32"/>
      <x:c r="I386" s="74"/>
      <x:c r="J386" s="74"/>
      <x:c r="K386" s="74"/>
      <x:c r="L386" s="74"/>
      <x:c r="M386" s="91"/>
      <x:c r="N386" s="91"/>
      <x:c r="O386" s="91"/>
      <x:c r="P386" s="91"/>
      <x:c r="Q386" s="85"/>
      <x:c r="S386" s="86"/>
      <x:c r="T386" s="32"/>
    </x:row>
    <x:row r="387">
      <x:c r="A387" s="87"/>
      <x:c r="B387" s="88"/>
      <x:c r="D387" s="32"/>
      <x:c r="I387" s="74"/>
      <x:c r="J387" s="74"/>
      <x:c r="K387" s="74"/>
      <x:c r="L387" s="74"/>
      <x:c r="M387" s="91"/>
      <x:c r="N387" s="91"/>
      <x:c r="O387" s="91"/>
      <x:c r="P387" s="91"/>
      <x:c r="Q387" s="85"/>
      <x:c r="S387" s="86"/>
      <x:c r="T387" s="32"/>
    </x:row>
    <x:row r="388">
      <x:c r="A388" s="87"/>
      <x:c r="B388" s="88"/>
      <x:c r="D388" s="32"/>
      <x:c r="I388" s="74"/>
      <x:c r="J388" s="74"/>
      <x:c r="K388" s="74"/>
      <x:c r="L388" s="74"/>
      <x:c r="M388" s="91"/>
      <x:c r="N388" s="91"/>
      <x:c r="O388" s="91"/>
      <x:c r="P388" s="91"/>
      <x:c r="Q388" s="85"/>
      <x:c r="S388" s="86"/>
      <x:c r="T388" s="32"/>
    </x:row>
    <x:row r="389">
      <x:c r="A389" s="87"/>
      <x:c r="B389" s="88"/>
      <x:c r="D389" s="32"/>
      <x:c r="I389" s="74"/>
      <x:c r="J389" s="74"/>
      <x:c r="K389" s="74"/>
      <x:c r="L389" s="74"/>
      <x:c r="M389" s="91"/>
      <x:c r="N389" s="91"/>
      <x:c r="O389" s="91"/>
      <x:c r="P389" s="91"/>
      <x:c r="Q389" s="85"/>
      <x:c r="S389" s="86"/>
      <x:c r="T389" s="32"/>
    </x:row>
    <x:row r="390">
      <x:c r="A390" s="87"/>
      <x:c r="B390" s="88"/>
      <x:c r="D390" s="32"/>
      <x:c r="I390" s="74"/>
      <x:c r="J390" s="74"/>
      <x:c r="K390" s="74"/>
      <x:c r="L390" s="74"/>
      <x:c r="M390" s="91"/>
      <x:c r="N390" s="91"/>
      <x:c r="O390" s="91"/>
      <x:c r="P390" s="91"/>
      <x:c r="Q390" s="85"/>
      <x:c r="S390" s="86"/>
      <x:c r="T390" s="32"/>
    </x:row>
    <x:row r="391">
      <x:c r="A391" s="87"/>
      <x:c r="B391" s="88"/>
      <x:c r="D391" s="32"/>
      <x:c r="I391" s="74"/>
      <x:c r="J391" s="74"/>
      <x:c r="K391" s="74"/>
      <x:c r="L391" s="74"/>
      <x:c r="M391" s="91"/>
      <x:c r="N391" s="91"/>
      <x:c r="O391" s="91"/>
      <x:c r="P391" s="91"/>
      <x:c r="Q391" s="85"/>
      <x:c r="S391" s="86"/>
      <x:c r="T391" s="32"/>
    </x:row>
    <x:row r="392">
      <x:c r="A392" s="87"/>
      <x:c r="B392" s="88"/>
      <x:c r="D392" s="32"/>
      <x:c r="I392" s="74"/>
      <x:c r="J392" s="74"/>
      <x:c r="K392" s="74"/>
      <x:c r="L392" s="74"/>
      <x:c r="M392" s="91"/>
      <x:c r="N392" s="91"/>
      <x:c r="O392" s="91"/>
      <x:c r="P392" s="91"/>
      <x:c r="Q392" s="85"/>
      <x:c r="S392" s="86"/>
      <x:c r="T392" s="32"/>
    </x:row>
    <x:row r="393">
      <x:c r="A393" s="87"/>
      <x:c r="B393" s="88"/>
      <x:c r="D393" s="32"/>
      <x:c r="I393" s="74"/>
      <x:c r="J393" s="74"/>
      <x:c r="K393" s="74"/>
      <x:c r="L393" s="74"/>
      <x:c r="M393" s="91"/>
      <x:c r="N393" s="91"/>
      <x:c r="O393" s="91"/>
      <x:c r="P393" s="91"/>
      <x:c r="Q393" s="85"/>
      <x:c r="S393" s="86"/>
      <x:c r="T393" s="32"/>
    </x:row>
    <x:row r="394">
      <x:c r="A394" s="87"/>
      <x:c r="B394" s="88"/>
      <x:c r="D394" s="32"/>
      <x:c r="I394" s="74"/>
      <x:c r="J394" s="74"/>
      <x:c r="K394" s="74"/>
      <x:c r="L394" s="74"/>
      <x:c r="M394" s="91"/>
      <x:c r="N394" s="91"/>
      <x:c r="O394" s="91"/>
      <x:c r="P394" s="91"/>
      <x:c r="Q394" s="85"/>
      <x:c r="S394" s="86"/>
      <x:c r="T394" s="32"/>
    </x:row>
    <x:row r="395">
      <x:c r="A395" s="87"/>
      <x:c r="B395" s="88"/>
      <x:c r="D395" s="32"/>
      <x:c r="I395" s="74"/>
      <x:c r="J395" s="74"/>
      <x:c r="K395" s="74"/>
      <x:c r="L395" s="74"/>
      <x:c r="M395" s="91"/>
      <x:c r="N395" s="91"/>
      <x:c r="O395" s="91"/>
      <x:c r="P395" s="91"/>
      <x:c r="Q395" s="85"/>
      <x:c r="S395" s="86"/>
      <x:c r="T395" s="32"/>
    </x:row>
    <x:row r="396">
      <x:c r="A396" s="87"/>
      <x:c r="B396" s="88"/>
      <x:c r="D396" s="32"/>
      <x:c r="I396" s="74"/>
      <x:c r="J396" s="74"/>
      <x:c r="K396" s="74"/>
      <x:c r="L396" s="74"/>
      <x:c r="M396" s="91"/>
      <x:c r="N396" s="91"/>
      <x:c r="O396" s="91"/>
      <x:c r="P396" s="91"/>
      <x:c r="Q396" s="85"/>
      <x:c r="S396" s="86"/>
      <x:c r="T396" s="32"/>
    </x:row>
    <x:row r="397">
      <x:c r="A397" s="87"/>
      <x:c r="B397" s="88"/>
      <x:c r="D397" s="32"/>
      <x:c r="I397" s="74"/>
      <x:c r="J397" s="74"/>
      <x:c r="K397" s="74"/>
      <x:c r="L397" s="74"/>
      <x:c r="M397" s="91"/>
      <x:c r="N397" s="91"/>
      <x:c r="O397" s="91"/>
      <x:c r="P397" s="91"/>
      <x:c r="Q397" s="85"/>
      <x:c r="S397" s="86"/>
      <x:c r="T397" s="32"/>
    </x:row>
    <x:row r="398">
      <x:c r="A398" s="87"/>
      <x:c r="B398" s="88"/>
      <x:c r="D398" s="32"/>
      <x:c r="I398" s="74"/>
      <x:c r="J398" s="74"/>
      <x:c r="K398" s="74"/>
      <x:c r="L398" s="74"/>
      <x:c r="M398" s="91"/>
      <x:c r="N398" s="91"/>
      <x:c r="O398" s="91"/>
      <x:c r="P398" s="91"/>
      <x:c r="Q398" s="85"/>
      <x:c r="S398" s="86"/>
      <x:c r="T398" s="32"/>
    </x:row>
    <x:row r="399">
      <x:c r="A399" s="87"/>
      <x:c r="B399" s="88"/>
      <x:c r="D399" s="32"/>
      <x:c r="I399" s="74"/>
      <x:c r="J399" s="74"/>
      <x:c r="K399" s="74"/>
      <x:c r="L399" s="74"/>
      <x:c r="M399" s="91"/>
      <x:c r="N399" s="91"/>
      <x:c r="O399" s="91"/>
      <x:c r="P399" s="91"/>
      <x:c r="Q399" s="85"/>
      <x:c r="S399" s="86"/>
      <x:c r="T399" s="32"/>
    </x:row>
    <x:row r="400">
      <x:c r="A400" s="87"/>
      <x:c r="B400" s="88"/>
      <x:c r="D400" s="32"/>
      <x:c r="I400" s="74"/>
      <x:c r="J400" s="74"/>
      <x:c r="K400" s="74"/>
      <x:c r="L400" s="74"/>
      <x:c r="M400" s="91"/>
      <x:c r="N400" s="91"/>
      <x:c r="O400" s="91"/>
      <x:c r="P400" s="91"/>
      <x:c r="Q400" s="85"/>
      <x:c r="S400" s="86"/>
      <x:c r="T400" s="32"/>
    </x:row>
    <x:row r="401">
      <x:c r="A401" s="87"/>
      <x:c r="B401" s="88"/>
      <x:c r="D401" s="32"/>
      <x:c r="I401" s="74"/>
      <x:c r="J401" s="74"/>
      <x:c r="K401" s="74"/>
      <x:c r="L401" s="74"/>
      <x:c r="M401" s="91"/>
      <x:c r="N401" s="91"/>
      <x:c r="O401" s="91"/>
      <x:c r="P401" s="91"/>
      <x:c r="Q401" s="85"/>
      <x:c r="S401" s="86"/>
      <x:c r="T401" s="32"/>
    </x:row>
    <x:row r="402">
      <x:c r="A402" s="87"/>
      <x:c r="B402" s="88"/>
      <x:c r="D402" s="32"/>
      <x:c r="I402" s="74"/>
      <x:c r="J402" s="74"/>
      <x:c r="K402" s="74"/>
      <x:c r="L402" s="74"/>
      <x:c r="M402" s="91"/>
      <x:c r="N402" s="91"/>
      <x:c r="O402" s="91"/>
      <x:c r="P402" s="91"/>
      <x:c r="Q402" s="85"/>
      <x:c r="S402" s="86"/>
      <x:c r="T402" s="32"/>
    </x:row>
    <x:row r="403">
      <x:c r="A403" s="87"/>
      <x:c r="B403" s="88"/>
      <x:c r="D403" s="32"/>
      <x:c r="I403" s="74"/>
      <x:c r="J403" s="74"/>
      <x:c r="K403" s="74"/>
      <x:c r="L403" s="74"/>
      <x:c r="M403" s="91"/>
      <x:c r="N403" s="91"/>
      <x:c r="O403" s="91"/>
      <x:c r="P403" s="91"/>
      <x:c r="Q403" s="85"/>
      <x:c r="S403" s="86"/>
      <x:c r="T403" s="32"/>
    </x:row>
    <x:row r="404">
      <x:c r="A404" s="87"/>
      <x:c r="B404" s="88"/>
      <x:c r="D404" s="32"/>
      <x:c r="I404" s="74"/>
      <x:c r="J404" s="74"/>
      <x:c r="K404" s="74"/>
      <x:c r="L404" s="74"/>
      <x:c r="M404" s="91"/>
      <x:c r="N404" s="91"/>
      <x:c r="O404" s="91"/>
      <x:c r="P404" s="91"/>
      <x:c r="Q404" s="85"/>
      <x:c r="S404" s="86"/>
      <x:c r="T404" s="32"/>
    </x:row>
    <x:row r="405">
      <x:c r="A405" s="87"/>
      <x:c r="B405" s="88"/>
      <x:c r="D405" s="32"/>
      <x:c r="I405" s="74"/>
      <x:c r="J405" s="74"/>
      <x:c r="K405" s="74"/>
      <x:c r="L405" s="74"/>
      <x:c r="M405" s="91"/>
      <x:c r="N405" s="91"/>
      <x:c r="O405" s="91"/>
      <x:c r="P405" s="91"/>
      <x:c r="Q405" s="85"/>
      <x:c r="S405" s="86"/>
      <x:c r="T405" s="32"/>
    </x:row>
    <x:row r="406">
      <x:c r="A406" s="87"/>
      <x:c r="B406" s="88"/>
      <x:c r="D406" s="32"/>
      <x:c r="I406" s="74"/>
      <x:c r="J406" s="74"/>
      <x:c r="K406" s="74"/>
      <x:c r="L406" s="74"/>
      <x:c r="M406" s="91"/>
      <x:c r="N406" s="91"/>
      <x:c r="O406" s="91"/>
      <x:c r="P406" s="91"/>
      <x:c r="Q406" s="85"/>
      <x:c r="S406" s="86"/>
      <x:c r="T406" s="32"/>
    </x:row>
    <x:row r="407">
      <x:c r="A407" s="87"/>
      <x:c r="B407" s="88"/>
      <x:c r="D407" s="32"/>
      <x:c r="I407" s="74"/>
      <x:c r="J407" s="74"/>
      <x:c r="K407" s="74"/>
      <x:c r="L407" s="74"/>
      <x:c r="M407" s="91"/>
      <x:c r="N407" s="91"/>
      <x:c r="O407" s="91"/>
      <x:c r="P407" s="91"/>
      <x:c r="Q407" s="85"/>
      <x:c r="S407" s="86"/>
      <x:c r="T407" s="32"/>
    </x:row>
    <x:row r="408">
      <x:c r="A408" s="87"/>
      <x:c r="B408" s="88"/>
      <x:c r="D408" s="32"/>
      <x:c r="I408" s="74"/>
      <x:c r="J408" s="74"/>
      <x:c r="K408" s="74"/>
      <x:c r="L408" s="74"/>
      <x:c r="M408" s="91"/>
      <x:c r="N408" s="91"/>
      <x:c r="O408" s="91"/>
      <x:c r="P408" s="91"/>
      <x:c r="Q408" s="85"/>
      <x:c r="S408" s="86"/>
      <x:c r="T408" s="32"/>
    </x:row>
    <x:row r="409">
      <x:c r="A409" s="87"/>
      <x:c r="B409" s="88"/>
      <x:c r="D409" s="32"/>
      <x:c r="I409" s="74"/>
      <x:c r="J409" s="74"/>
      <x:c r="K409" s="74"/>
      <x:c r="L409" s="74"/>
      <x:c r="M409" s="91"/>
      <x:c r="N409" s="91"/>
      <x:c r="O409" s="91"/>
      <x:c r="P409" s="91"/>
      <x:c r="Q409" s="85"/>
      <x:c r="S409" s="86"/>
      <x:c r="T409" s="32"/>
    </x:row>
    <x:row r="410">
      <x:c r="A410" s="87"/>
      <x:c r="B410" s="88"/>
      <x:c r="D410" s="32"/>
      <x:c r="I410" s="74"/>
      <x:c r="J410" s="74"/>
      <x:c r="K410" s="74"/>
      <x:c r="L410" s="74"/>
      <x:c r="M410" s="91"/>
      <x:c r="N410" s="91"/>
      <x:c r="O410" s="91"/>
      <x:c r="P410" s="91"/>
      <x:c r="Q410" s="85"/>
      <x:c r="S410" s="86"/>
      <x:c r="T410" s="32"/>
    </x:row>
    <x:row r="411">
      <x:c r="A411" s="87"/>
      <x:c r="B411" s="88"/>
      <x:c r="D411" s="32"/>
      <x:c r="I411" s="74"/>
      <x:c r="J411" s="74"/>
      <x:c r="K411" s="74"/>
      <x:c r="L411" s="74"/>
      <x:c r="M411" s="91"/>
      <x:c r="N411" s="91"/>
      <x:c r="O411" s="91"/>
      <x:c r="P411" s="91"/>
      <x:c r="Q411" s="85"/>
      <x:c r="S411" s="86"/>
      <x:c r="T411" s="32"/>
    </x:row>
    <x:row r="412">
      <x:c r="A412" s="87"/>
      <x:c r="B412" s="88"/>
      <x:c r="D412" s="32"/>
      <x:c r="I412" s="74"/>
      <x:c r="J412" s="74"/>
      <x:c r="K412" s="74"/>
      <x:c r="L412" s="74"/>
      <x:c r="M412" s="91"/>
      <x:c r="N412" s="91"/>
      <x:c r="O412" s="91"/>
      <x:c r="P412" s="91"/>
      <x:c r="Q412" s="85"/>
      <x:c r="S412" s="86"/>
      <x:c r="T412" s="32"/>
    </x:row>
    <x:row r="413">
      <x:c r="A413" s="87"/>
      <x:c r="B413" s="88"/>
      <x:c r="D413" s="32"/>
      <x:c r="I413" s="74"/>
      <x:c r="J413" s="74"/>
      <x:c r="K413" s="74"/>
      <x:c r="L413" s="74"/>
      <x:c r="M413" s="91"/>
      <x:c r="N413" s="91"/>
      <x:c r="O413" s="91"/>
      <x:c r="P413" s="91"/>
      <x:c r="Q413" s="85"/>
      <x:c r="S413" s="86"/>
      <x:c r="T413" s="32"/>
    </x:row>
    <x:row r="414">
      <x:c r="A414" s="87"/>
      <x:c r="B414" s="88"/>
      <x:c r="D414" s="32"/>
      <x:c r="I414" s="74"/>
      <x:c r="J414" s="74"/>
      <x:c r="K414" s="74"/>
      <x:c r="L414" s="74"/>
      <x:c r="M414" s="91"/>
      <x:c r="N414" s="91"/>
      <x:c r="O414" s="91"/>
      <x:c r="P414" s="91"/>
      <x:c r="Q414" s="85"/>
      <x:c r="S414" s="86"/>
      <x:c r="T414" s="32"/>
    </x:row>
    <x:row r="415">
      <x:c r="A415" s="87"/>
      <x:c r="B415" s="88"/>
      <x:c r="D415" s="32"/>
      <x:c r="I415" s="74"/>
      <x:c r="J415" s="74"/>
      <x:c r="K415" s="74"/>
      <x:c r="L415" s="74"/>
      <x:c r="M415" s="91"/>
      <x:c r="N415" s="91"/>
      <x:c r="O415" s="91"/>
      <x:c r="P415" s="91"/>
      <x:c r="Q415" s="85"/>
      <x:c r="S415" s="86"/>
      <x:c r="T415" s="32"/>
    </x:row>
    <x:row r="416">
      <x:c r="A416" s="87"/>
      <x:c r="B416" s="88"/>
      <x:c r="D416" s="32"/>
      <x:c r="I416" s="74"/>
      <x:c r="J416" s="74"/>
      <x:c r="K416" s="74"/>
      <x:c r="L416" s="74"/>
      <x:c r="M416" s="91"/>
      <x:c r="N416" s="91"/>
      <x:c r="O416" s="91"/>
      <x:c r="P416" s="91"/>
      <x:c r="Q416" s="85"/>
      <x:c r="S416" s="86"/>
      <x:c r="T416" s="32"/>
    </x:row>
    <x:row r="417">
      <x:c r="A417" s="87"/>
      <x:c r="B417" s="88"/>
      <x:c r="D417" s="32"/>
      <x:c r="I417" s="74"/>
      <x:c r="J417" s="74"/>
      <x:c r="K417" s="74"/>
      <x:c r="L417" s="74"/>
      <x:c r="M417" s="91"/>
      <x:c r="N417" s="91"/>
      <x:c r="O417" s="91"/>
      <x:c r="P417" s="91"/>
      <x:c r="Q417" s="85"/>
      <x:c r="S417" s="86"/>
      <x:c r="T417" s="32"/>
    </x:row>
    <x:row r="418">
      <x:c r="A418" s="87"/>
      <x:c r="B418" s="88"/>
      <x:c r="D418" s="32"/>
      <x:c r="I418" s="74"/>
      <x:c r="J418" s="74"/>
      <x:c r="K418" s="74"/>
      <x:c r="L418" s="74"/>
      <x:c r="M418" s="91"/>
      <x:c r="N418" s="91"/>
      <x:c r="O418" s="91"/>
      <x:c r="P418" s="91"/>
      <x:c r="Q418" s="85"/>
      <x:c r="S418" s="86"/>
      <x:c r="T418" s="32"/>
    </x:row>
    <x:row r="419">
      <x:c r="A419" s="87"/>
      <x:c r="B419" s="88"/>
      <x:c r="D419" s="32"/>
      <x:c r="I419" s="74"/>
      <x:c r="J419" s="74"/>
      <x:c r="K419" s="74"/>
      <x:c r="L419" s="74"/>
      <x:c r="M419" s="91"/>
      <x:c r="N419" s="91"/>
      <x:c r="O419" s="91"/>
      <x:c r="P419" s="91"/>
      <x:c r="Q419" s="85"/>
      <x:c r="S419" s="86"/>
      <x:c r="T419" s="32"/>
    </x:row>
    <x:row r="420">
      <x:c r="A420" s="87"/>
      <x:c r="B420" s="88"/>
      <x:c r="D420" s="32"/>
      <x:c r="I420" s="74"/>
      <x:c r="J420" s="74"/>
      <x:c r="K420" s="74"/>
      <x:c r="L420" s="74"/>
      <x:c r="M420" s="91"/>
      <x:c r="N420" s="91"/>
      <x:c r="O420" s="91"/>
      <x:c r="P420" s="91"/>
      <x:c r="Q420" s="85"/>
      <x:c r="S420" s="86"/>
      <x:c r="T420" s="32"/>
    </x:row>
    <x:row r="421">
      <x:c r="A421" s="87"/>
      <x:c r="B421" s="88"/>
      <x:c r="D421" s="32"/>
      <x:c r="I421" s="74"/>
      <x:c r="J421" s="74"/>
      <x:c r="K421" s="74"/>
      <x:c r="L421" s="74"/>
      <x:c r="M421" s="91"/>
      <x:c r="N421" s="91"/>
      <x:c r="O421" s="91"/>
      <x:c r="P421" s="91"/>
      <x:c r="Q421" s="85"/>
      <x:c r="S421" s="86"/>
      <x:c r="T421" s="32"/>
    </x:row>
    <x:row r="422">
      <x:c r="A422" s="87"/>
      <x:c r="B422" s="88"/>
      <x:c r="D422" s="32"/>
      <x:c r="I422" s="74"/>
      <x:c r="J422" s="74"/>
      <x:c r="K422" s="74"/>
      <x:c r="L422" s="74"/>
      <x:c r="M422" s="91"/>
      <x:c r="N422" s="91"/>
      <x:c r="O422" s="91"/>
      <x:c r="P422" s="91"/>
      <x:c r="Q422" s="85"/>
      <x:c r="S422" s="86"/>
      <x:c r="T422" s="32"/>
    </x:row>
    <x:row r="423">
      <x:c r="A423" s="87"/>
      <x:c r="B423" s="88"/>
      <x:c r="D423" s="32"/>
      <x:c r="I423" s="74"/>
      <x:c r="J423" s="74"/>
      <x:c r="K423" s="74"/>
      <x:c r="L423" s="74"/>
      <x:c r="M423" s="91"/>
      <x:c r="N423" s="91"/>
      <x:c r="O423" s="91"/>
      <x:c r="P423" s="91"/>
      <x:c r="Q423" s="85"/>
      <x:c r="S423" s="86"/>
      <x:c r="T423" s="32"/>
    </x:row>
    <x:row r="424">
      <x:c r="A424" s="87"/>
      <x:c r="B424" s="88"/>
      <x:c r="D424" s="32"/>
      <x:c r="I424" s="74"/>
      <x:c r="J424" s="74"/>
      <x:c r="K424" s="74"/>
      <x:c r="L424" s="74"/>
      <x:c r="M424" s="91"/>
      <x:c r="N424" s="91"/>
      <x:c r="O424" s="91"/>
      <x:c r="P424" s="91"/>
      <x:c r="Q424" s="85"/>
      <x:c r="S424" s="86"/>
      <x:c r="T424" s="32"/>
    </x:row>
    <x:row r="425">
      <x:c r="A425" s="87"/>
      <x:c r="B425" s="88"/>
      <x:c r="D425" s="32"/>
      <x:c r="I425" s="74"/>
      <x:c r="J425" s="74"/>
      <x:c r="K425" s="74"/>
      <x:c r="L425" s="74"/>
      <x:c r="M425" s="91"/>
      <x:c r="N425" s="91"/>
      <x:c r="O425" s="91"/>
      <x:c r="P425" s="91"/>
      <x:c r="Q425" s="85"/>
      <x:c r="S425" s="86"/>
      <x:c r="T425" s="32"/>
    </x:row>
    <x:row r="426">
      <x:c r="A426" s="87"/>
      <x:c r="B426" s="88"/>
      <x:c r="D426" s="32"/>
      <x:c r="I426" s="74"/>
      <x:c r="J426" s="74"/>
      <x:c r="K426" s="74"/>
      <x:c r="L426" s="74"/>
      <x:c r="M426" s="91"/>
      <x:c r="N426" s="91"/>
      <x:c r="O426" s="91"/>
      <x:c r="P426" s="91"/>
      <x:c r="Q426" s="85"/>
      <x:c r="S426" s="86"/>
      <x:c r="T426" s="32"/>
    </x:row>
    <x:row r="427">
      <x:c r="A427" s="87"/>
      <x:c r="B427" s="88"/>
      <x:c r="D427" s="32"/>
      <x:c r="I427" s="74"/>
      <x:c r="J427" s="74"/>
      <x:c r="K427" s="74"/>
      <x:c r="L427" s="74"/>
      <x:c r="M427" s="91"/>
      <x:c r="N427" s="91"/>
      <x:c r="O427" s="91"/>
      <x:c r="P427" s="91"/>
      <x:c r="Q427" s="85"/>
      <x:c r="S427" s="86"/>
      <x:c r="T427" s="32"/>
    </x:row>
    <x:row r="428">
      <x:c r="A428" s="87"/>
      <x:c r="B428" s="88"/>
      <x:c r="D428" s="32"/>
      <x:c r="I428" s="74"/>
      <x:c r="J428" s="74"/>
      <x:c r="K428" s="74"/>
      <x:c r="L428" s="74"/>
      <x:c r="M428" s="91"/>
      <x:c r="N428" s="91"/>
      <x:c r="O428" s="91"/>
      <x:c r="P428" s="91"/>
      <x:c r="Q428" s="85"/>
      <x:c r="S428" s="86"/>
      <x:c r="T428" s="32"/>
    </x:row>
    <x:row r="429">
      <x:c r="A429" s="87"/>
      <x:c r="B429" s="88"/>
      <x:c r="D429" s="32"/>
      <x:c r="I429" s="74"/>
      <x:c r="J429" s="74"/>
      <x:c r="K429" s="74"/>
      <x:c r="L429" s="74"/>
      <x:c r="M429" s="91"/>
      <x:c r="N429" s="91"/>
      <x:c r="O429" s="91"/>
      <x:c r="P429" s="91"/>
      <x:c r="Q429" s="85"/>
      <x:c r="S429" s="86"/>
      <x:c r="T429" s="32"/>
    </x:row>
    <x:row r="430">
      <x:c r="A430" s="87"/>
      <x:c r="B430" s="88"/>
      <x:c r="D430" s="32"/>
      <x:c r="I430" s="74"/>
      <x:c r="J430" s="74"/>
      <x:c r="K430" s="74"/>
      <x:c r="L430" s="74"/>
      <x:c r="M430" s="91"/>
      <x:c r="N430" s="91"/>
      <x:c r="O430" s="91"/>
      <x:c r="P430" s="91"/>
      <x:c r="Q430" s="85"/>
      <x:c r="S430" s="86"/>
      <x:c r="T430" s="32"/>
    </x:row>
    <x:row r="431">
      <x:c r="A431" s="87"/>
      <x:c r="B431" s="88"/>
      <x:c r="D431" s="32"/>
      <x:c r="I431" s="74"/>
      <x:c r="J431" s="74"/>
      <x:c r="K431" s="74"/>
      <x:c r="L431" s="74"/>
      <x:c r="M431" s="91"/>
      <x:c r="N431" s="91"/>
      <x:c r="O431" s="91"/>
      <x:c r="P431" s="91"/>
      <x:c r="Q431" s="85"/>
      <x:c r="S431" s="86"/>
      <x:c r="T431" s="32"/>
    </x:row>
    <x:row r="432">
      <x:c r="A432" s="87"/>
      <x:c r="B432" s="88"/>
      <x:c r="D432" s="32"/>
      <x:c r="I432" s="74"/>
      <x:c r="J432" s="74"/>
      <x:c r="K432" s="74"/>
      <x:c r="L432" s="74"/>
      <x:c r="M432" s="91"/>
      <x:c r="N432" s="91"/>
      <x:c r="O432" s="91"/>
      <x:c r="P432" s="91"/>
      <x:c r="Q432" s="85"/>
      <x:c r="S432" s="86"/>
      <x:c r="T432" s="32"/>
    </x:row>
    <x:row r="433">
      <x:c r="A433" s="87"/>
      <x:c r="B433" s="88"/>
      <x:c r="D433" s="32"/>
      <x:c r="I433" s="74"/>
      <x:c r="J433" s="74"/>
      <x:c r="K433" s="74"/>
      <x:c r="L433" s="74"/>
      <x:c r="M433" s="91"/>
      <x:c r="N433" s="91"/>
      <x:c r="O433" s="91"/>
      <x:c r="P433" s="91"/>
      <x:c r="Q433" s="85"/>
      <x:c r="S433" s="86"/>
      <x:c r="T433" s="32"/>
    </x:row>
    <x:row r="434">
      <x:c r="A434" s="87"/>
      <x:c r="B434" s="88"/>
      <x:c r="D434" s="32"/>
      <x:c r="I434" s="74"/>
      <x:c r="J434" s="74"/>
      <x:c r="K434" s="74"/>
      <x:c r="L434" s="74"/>
      <x:c r="M434" s="91"/>
      <x:c r="N434" s="91"/>
      <x:c r="O434" s="91"/>
      <x:c r="P434" s="91"/>
      <x:c r="Q434" s="85"/>
      <x:c r="S434" s="86"/>
      <x:c r="T434" s="32"/>
    </x:row>
    <x:row r="435">
      <x:c r="A435" s="87"/>
      <x:c r="B435" s="88"/>
      <x:c r="D435" s="32"/>
      <x:c r="I435" s="74"/>
      <x:c r="J435" s="74"/>
      <x:c r="K435" s="74"/>
      <x:c r="L435" s="74"/>
      <x:c r="M435" s="91"/>
      <x:c r="N435" s="91"/>
      <x:c r="O435" s="91"/>
      <x:c r="P435" s="91"/>
      <x:c r="Q435" s="85"/>
      <x:c r="S435" s="86"/>
      <x:c r="T435" s="32"/>
    </x:row>
    <x:row r="436">
      <x:c r="A436" s="87"/>
      <x:c r="B436" s="88"/>
      <x:c r="D436" s="32"/>
      <x:c r="I436" s="74"/>
      <x:c r="J436" s="74"/>
      <x:c r="K436" s="74"/>
      <x:c r="L436" s="74"/>
      <x:c r="M436" s="91"/>
      <x:c r="N436" s="91"/>
      <x:c r="O436" s="91"/>
      <x:c r="P436" s="91"/>
      <x:c r="Q436" s="85"/>
      <x:c r="S436" s="86"/>
      <x:c r="T436" s="32"/>
    </x:row>
    <x:row r="437">
      <x:c r="A437" s="87"/>
      <x:c r="B437" s="88"/>
      <x:c r="D437" s="32"/>
      <x:c r="I437" s="74"/>
      <x:c r="J437" s="74"/>
      <x:c r="K437" s="74"/>
      <x:c r="L437" s="74"/>
      <x:c r="M437" s="91"/>
      <x:c r="N437" s="91"/>
      <x:c r="O437" s="91"/>
      <x:c r="P437" s="91"/>
      <x:c r="Q437" s="85"/>
      <x:c r="S437" s="86"/>
      <x:c r="T437" s="32"/>
    </x:row>
    <x:row r="438">
      <x:c r="A438" s="87"/>
      <x:c r="B438" s="88"/>
      <x:c r="D438" s="32"/>
      <x:c r="I438" s="74"/>
      <x:c r="J438" s="74"/>
      <x:c r="K438" s="74"/>
      <x:c r="L438" s="74"/>
      <x:c r="M438" s="91"/>
      <x:c r="N438" s="91"/>
      <x:c r="O438" s="91"/>
      <x:c r="P438" s="91"/>
      <x:c r="Q438" s="85"/>
      <x:c r="S438" s="86"/>
      <x:c r="T438" s="32"/>
    </x:row>
    <x:row r="439">
      <x:c r="A439" s="87"/>
      <x:c r="B439" s="88"/>
      <x:c r="D439" s="32"/>
      <x:c r="I439" s="74"/>
      <x:c r="J439" s="74"/>
      <x:c r="K439" s="74"/>
      <x:c r="L439" s="74"/>
      <x:c r="M439" s="91"/>
      <x:c r="N439" s="91"/>
      <x:c r="O439" s="91"/>
      <x:c r="P439" s="91"/>
      <x:c r="Q439" s="85"/>
      <x:c r="S439" s="86"/>
      <x:c r="T439" s="32"/>
    </x:row>
    <x:row r="440">
      <x:c r="A440" s="87"/>
      <x:c r="B440" s="88"/>
      <x:c r="D440" s="32"/>
      <x:c r="I440" s="74"/>
      <x:c r="J440" s="74"/>
      <x:c r="K440" s="74"/>
      <x:c r="L440" s="74"/>
      <x:c r="M440" s="91"/>
      <x:c r="N440" s="91"/>
      <x:c r="O440" s="91"/>
      <x:c r="P440" s="91"/>
      <x:c r="Q440" s="85"/>
      <x:c r="S440" s="86"/>
      <x:c r="T440" s="32"/>
    </x:row>
    <x:row r="441">
      <x:c r="A441" s="87"/>
      <x:c r="B441" s="88"/>
      <x:c r="D441" s="32"/>
      <x:c r="I441" s="74"/>
      <x:c r="J441" s="74"/>
      <x:c r="K441" s="74"/>
      <x:c r="L441" s="74"/>
      <x:c r="M441" s="91"/>
      <x:c r="N441" s="91"/>
      <x:c r="O441" s="91"/>
      <x:c r="P441" s="91"/>
      <x:c r="Q441" s="85"/>
      <x:c r="S441" s="86"/>
      <x:c r="T441" s="32"/>
    </x:row>
    <x:row r="442">
      <x:c r="A442" s="87"/>
      <x:c r="B442" s="88"/>
      <x:c r="D442" s="32"/>
      <x:c r="I442" s="74"/>
      <x:c r="J442" s="74"/>
      <x:c r="K442" s="74"/>
      <x:c r="L442" s="74"/>
      <x:c r="M442" s="91"/>
      <x:c r="N442" s="91"/>
      <x:c r="O442" s="91"/>
      <x:c r="P442" s="91"/>
      <x:c r="Q442" s="85"/>
      <x:c r="S442" s="86"/>
      <x:c r="T442" s="32"/>
    </x:row>
    <x:row r="443">
      <x:c r="A443" s="87"/>
      <x:c r="B443" s="88"/>
      <x:c r="D443" s="32"/>
      <x:c r="I443" s="74"/>
      <x:c r="J443" s="74"/>
      <x:c r="K443" s="74"/>
      <x:c r="L443" s="74"/>
      <x:c r="M443" s="91"/>
      <x:c r="N443" s="91"/>
      <x:c r="O443" s="91"/>
      <x:c r="P443" s="91"/>
      <x:c r="Q443" s="85"/>
      <x:c r="S443" s="86"/>
      <x:c r="T443" s="32"/>
    </x:row>
    <x:row r="444">
      <x:c r="A444" s="87"/>
      <x:c r="B444" s="88"/>
      <x:c r="D444" s="32"/>
      <x:c r="I444" s="74"/>
      <x:c r="J444" s="74"/>
      <x:c r="K444" s="74"/>
      <x:c r="L444" s="74"/>
      <x:c r="M444" s="91"/>
      <x:c r="N444" s="91"/>
      <x:c r="O444" s="91"/>
      <x:c r="P444" s="91"/>
      <x:c r="Q444" s="85"/>
      <x:c r="S444" s="86"/>
      <x:c r="T444" s="32"/>
    </x:row>
    <x:row r="445">
      <x:c r="A445" s="87"/>
      <x:c r="B445" s="88"/>
      <x:c r="D445" s="32"/>
      <x:c r="I445" s="74"/>
      <x:c r="J445" s="74"/>
      <x:c r="K445" s="74"/>
      <x:c r="L445" s="74"/>
      <x:c r="M445" s="91"/>
      <x:c r="N445" s="91"/>
      <x:c r="O445" s="91"/>
      <x:c r="P445" s="91"/>
      <x:c r="Q445" s="85"/>
      <x:c r="S445" s="86"/>
      <x:c r="T445" s="32"/>
    </x:row>
    <x:row r="446">
      <x:c r="A446" s="87"/>
      <x:c r="B446" s="88"/>
      <x:c r="D446" s="32"/>
      <x:c r="I446" s="74"/>
      <x:c r="J446" s="74"/>
      <x:c r="K446" s="74"/>
      <x:c r="L446" s="74"/>
      <x:c r="M446" s="91"/>
      <x:c r="N446" s="91"/>
      <x:c r="O446" s="91"/>
      <x:c r="P446" s="91"/>
      <x:c r="Q446" s="85"/>
      <x:c r="S446" s="86"/>
      <x:c r="T446" s="32"/>
    </x:row>
    <x:row r="447">
      <x:c r="A447" s="87"/>
      <x:c r="B447" s="88"/>
      <x:c r="D447" s="32"/>
      <x:c r="I447" s="74"/>
      <x:c r="J447" s="74"/>
      <x:c r="K447" s="74"/>
      <x:c r="L447" s="74"/>
      <x:c r="M447" s="91"/>
      <x:c r="N447" s="91"/>
      <x:c r="O447" s="91"/>
      <x:c r="P447" s="91"/>
      <x:c r="Q447" s="85"/>
      <x:c r="S447" s="86"/>
      <x:c r="T447" s="32"/>
    </x:row>
    <x:row r="448">
      <x:c r="A448" s="87"/>
      <x:c r="B448" s="88"/>
      <x:c r="D448" s="32"/>
      <x:c r="I448" s="74"/>
      <x:c r="J448" s="74"/>
      <x:c r="K448" s="74"/>
      <x:c r="L448" s="74"/>
      <x:c r="M448" s="91"/>
      <x:c r="N448" s="91"/>
      <x:c r="O448" s="91"/>
      <x:c r="P448" s="91"/>
      <x:c r="Q448" s="85"/>
      <x:c r="S448" s="86"/>
      <x:c r="T448" s="32"/>
    </x:row>
    <x:row r="449">
      <x:c r="A449" s="87"/>
      <x:c r="B449" s="88"/>
      <x:c r="D449" s="32"/>
      <x:c r="I449" s="74"/>
      <x:c r="J449" s="74"/>
      <x:c r="K449" s="74"/>
      <x:c r="L449" s="74"/>
      <x:c r="M449" s="91"/>
      <x:c r="N449" s="91"/>
      <x:c r="O449" s="91"/>
      <x:c r="P449" s="91"/>
      <x:c r="Q449" s="85"/>
      <x:c r="S449" s="86"/>
      <x:c r="T449" s="32"/>
    </x:row>
    <x:row r="450">
      <x:c r="A450" s="87"/>
      <x:c r="B450" s="88"/>
      <x:c r="D450" s="32"/>
      <x:c r="I450" s="74"/>
      <x:c r="J450" s="74"/>
      <x:c r="K450" s="74"/>
      <x:c r="L450" s="74"/>
      <x:c r="M450" s="91"/>
      <x:c r="N450" s="91"/>
      <x:c r="O450" s="91"/>
      <x:c r="P450" s="91"/>
      <x:c r="Q450" s="85"/>
      <x:c r="S450" s="86"/>
      <x:c r="T450" s="32"/>
    </x:row>
    <x:row r="451">
      <x:c r="A451" s="87"/>
      <x:c r="B451" s="88"/>
      <x:c r="D451" s="32"/>
      <x:c r="I451" s="74"/>
      <x:c r="J451" s="74"/>
      <x:c r="K451" s="74"/>
      <x:c r="L451" s="74"/>
      <x:c r="M451" s="91"/>
      <x:c r="N451" s="91"/>
      <x:c r="O451" s="91"/>
      <x:c r="P451" s="91"/>
      <x:c r="Q451" s="85"/>
      <x:c r="S451" s="86"/>
      <x:c r="T451" s="32"/>
    </x:row>
    <x:row r="452">
      <x:c r="A452" s="87"/>
      <x:c r="B452" s="88"/>
      <x:c r="D452" s="32"/>
      <x:c r="I452" s="74"/>
      <x:c r="J452" s="74"/>
      <x:c r="K452" s="74"/>
      <x:c r="L452" s="74"/>
      <x:c r="M452" s="91"/>
      <x:c r="N452" s="91"/>
      <x:c r="O452" s="91"/>
      <x:c r="P452" s="91"/>
      <x:c r="Q452" s="85"/>
      <x:c r="S452" s="86"/>
      <x:c r="T452" s="32"/>
    </x:row>
    <x:row r="453">
      <x:c r="A453" s="87"/>
      <x:c r="B453" s="88"/>
      <x:c r="D453" s="32"/>
      <x:c r="I453" s="74"/>
      <x:c r="J453" s="74"/>
      <x:c r="K453" s="74"/>
      <x:c r="L453" s="74"/>
      <x:c r="M453" s="91"/>
      <x:c r="N453" s="91"/>
      <x:c r="O453" s="91"/>
      <x:c r="P453" s="91"/>
      <x:c r="Q453" s="85"/>
      <x:c r="S453" s="86"/>
      <x:c r="T453" s="32"/>
    </x:row>
    <x:row r="454">
      <x:c r="A454" s="87"/>
      <x:c r="B454" s="88"/>
      <x:c r="D454" s="32"/>
      <x:c r="I454" s="74"/>
      <x:c r="J454" s="74"/>
      <x:c r="K454" s="74"/>
      <x:c r="L454" s="74"/>
      <x:c r="M454" s="91"/>
      <x:c r="N454" s="91"/>
      <x:c r="O454" s="91"/>
      <x:c r="P454" s="91"/>
      <x:c r="Q454" s="85"/>
      <x:c r="S454" s="86"/>
      <x:c r="T454" s="32"/>
    </x:row>
    <x:row r="455">
      <x:c r="A455" s="87"/>
      <x:c r="B455" s="88"/>
      <x:c r="D455" s="32"/>
      <x:c r="I455" s="74"/>
      <x:c r="J455" s="74"/>
      <x:c r="K455" s="74"/>
      <x:c r="L455" s="74"/>
      <x:c r="M455" s="91"/>
      <x:c r="N455" s="91"/>
      <x:c r="O455" s="91"/>
      <x:c r="P455" s="91"/>
      <x:c r="Q455" s="85"/>
      <x:c r="S455" s="86"/>
      <x:c r="T455" s="32"/>
    </x:row>
    <x:row r="456">
      <x:c r="A456" s="87"/>
      <x:c r="B456" s="88"/>
      <x:c r="D456" s="32"/>
      <x:c r="I456" s="74"/>
      <x:c r="J456" s="74"/>
      <x:c r="K456" s="74"/>
      <x:c r="L456" s="74"/>
      <x:c r="M456" s="91"/>
      <x:c r="N456" s="91"/>
      <x:c r="O456" s="91"/>
      <x:c r="P456" s="91"/>
      <x:c r="Q456" s="85"/>
      <x:c r="S456" s="86"/>
      <x:c r="T456" s="32"/>
    </x:row>
    <x:row r="457">
      <x:c r="A457" s="87"/>
      <x:c r="B457" s="88"/>
      <x:c r="D457" s="32"/>
      <x:c r="I457" s="74"/>
      <x:c r="J457" s="74"/>
      <x:c r="K457" s="74"/>
      <x:c r="L457" s="74"/>
      <x:c r="M457" s="91"/>
      <x:c r="N457" s="91"/>
      <x:c r="O457" s="91"/>
      <x:c r="P457" s="91"/>
      <x:c r="Q457" s="85"/>
      <x:c r="S457" s="86"/>
      <x:c r="T457" s="32"/>
    </x:row>
    <x:row r="458">
      <x:c r="A458" s="87"/>
      <x:c r="B458" s="88"/>
      <x:c r="D458" s="32"/>
      <x:c r="I458" s="74"/>
      <x:c r="J458" s="74"/>
      <x:c r="K458" s="74"/>
      <x:c r="L458" s="74"/>
      <x:c r="M458" s="91"/>
      <x:c r="N458" s="91"/>
      <x:c r="O458" s="91"/>
      <x:c r="P458" s="91"/>
      <x:c r="Q458" s="85"/>
      <x:c r="S458" s="86"/>
      <x:c r="T458" s="32"/>
    </x:row>
    <x:row r="459">
      <x:c r="A459" s="87"/>
      <x:c r="B459" s="88"/>
      <x:c r="D459" s="32"/>
      <x:c r="I459" s="74"/>
      <x:c r="J459" s="74"/>
      <x:c r="K459" s="74"/>
      <x:c r="L459" s="74"/>
      <x:c r="M459" s="91"/>
      <x:c r="N459" s="91"/>
      <x:c r="O459" s="91"/>
      <x:c r="P459" s="91"/>
      <x:c r="Q459" s="85"/>
      <x:c r="S459" s="86"/>
      <x:c r="T459" s="32"/>
    </x:row>
    <x:row r="460">
      <x:c r="A460" s="87"/>
      <x:c r="B460" s="88"/>
      <x:c r="D460" s="32"/>
      <x:c r="I460" s="74"/>
      <x:c r="J460" s="74"/>
      <x:c r="K460" s="74"/>
      <x:c r="L460" s="74"/>
      <x:c r="M460" s="91"/>
      <x:c r="N460" s="91"/>
      <x:c r="O460" s="91"/>
      <x:c r="P460" s="91"/>
      <x:c r="Q460" s="85"/>
      <x:c r="S460" s="86"/>
      <x:c r="T460" s="32"/>
    </x:row>
    <x:row r="461">
      <x:c r="A461" s="87"/>
      <x:c r="B461" s="88"/>
      <x:c r="D461" s="32"/>
      <x:c r="I461" s="74"/>
      <x:c r="J461" s="74"/>
      <x:c r="K461" s="74"/>
      <x:c r="L461" s="74"/>
      <x:c r="M461" s="91"/>
      <x:c r="N461" s="91"/>
      <x:c r="O461" s="91"/>
      <x:c r="P461" s="91"/>
      <x:c r="Q461" s="85"/>
      <x:c r="S461" s="86"/>
      <x:c r="T461" s="32"/>
    </x:row>
    <x:row r="462">
      <x:c r="A462" s="87"/>
      <x:c r="B462" s="88"/>
      <x:c r="D462" s="32"/>
      <x:c r="I462" s="74"/>
      <x:c r="J462" s="74"/>
      <x:c r="K462" s="74"/>
      <x:c r="L462" s="74"/>
      <x:c r="M462" s="91"/>
      <x:c r="N462" s="91"/>
      <x:c r="O462" s="91"/>
      <x:c r="P462" s="91"/>
      <x:c r="Q462" s="85"/>
      <x:c r="S462" s="86"/>
      <x:c r="T462" s="32"/>
    </x:row>
    <x:row r="463">
      <x:c r="A463" s="87"/>
      <x:c r="B463" s="88"/>
      <x:c r="D463" s="32"/>
      <x:c r="I463" s="74"/>
      <x:c r="J463" s="74"/>
      <x:c r="K463" s="74"/>
      <x:c r="L463" s="74"/>
      <x:c r="M463" s="91"/>
      <x:c r="N463" s="91"/>
      <x:c r="O463" s="91"/>
      <x:c r="P463" s="91"/>
      <x:c r="Q463" s="85"/>
      <x:c r="S463" s="86"/>
      <x:c r="T463" s="32"/>
    </x:row>
    <x:row r="464">
      <x:c r="A464" s="87"/>
      <x:c r="B464" s="88"/>
      <x:c r="D464" s="32"/>
      <x:c r="I464" s="74"/>
      <x:c r="J464" s="74"/>
      <x:c r="K464" s="74"/>
      <x:c r="L464" s="74"/>
      <x:c r="M464" s="91"/>
      <x:c r="N464" s="91"/>
      <x:c r="O464" s="91"/>
      <x:c r="P464" s="91"/>
      <x:c r="Q464" s="85"/>
      <x:c r="S464" s="86"/>
      <x:c r="T464" s="32"/>
    </x:row>
    <x:row r="465">
      <x:c r="A465" s="87"/>
      <x:c r="B465" s="88"/>
      <x:c r="D465" s="32"/>
      <x:c r="I465" s="74"/>
      <x:c r="J465" s="74"/>
      <x:c r="K465" s="74"/>
      <x:c r="L465" s="74"/>
      <x:c r="M465" s="91"/>
      <x:c r="N465" s="91"/>
      <x:c r="O465" s="91"/>
      <x:c r="P465" s="91"/>
      <x:c r="Q465" s="85"/>
      <x:c r="S465" s="86"/>
      <x:c r="T465" s="32"/>
    </x:row>
    <x:row r="466">
      <x:c r="A466" s="87"/>
      <x:c r="B466" s="88"/>
      <x:c r="D466" s="32"/>
      <x:c r="I466" s="74"/>
      <x:c r="J466" s="74"/>
      <x:c r="K466" s="74"/>
      <x:c r="L466" s="74"/>
      <x:c r="M466" s="91"/>
      <x:c r="N466" s="91"/>
      <x:c r="O466" s="91"/>
      <x:c r="P466" s="91"/>
      <x:c r="Q466" s="85"/>
      <x:c r="S466" s="86"/>
      <x:c r="T466" s="32"/>
    </x:row>
    <x:row r="467">
      <x:c r="A467" s="87"/>
      <x:c r="B467" s="88"/>
      <x:c r="D467" s="32"/>
      <x:c r="I467" s="74"/>
      <x:c r="J467" s="74"/>
      <x:c r="K467" s="74"/>
      <x:c r="L467" s="74"/>
      <x:c r="M467" s="91"/>
      <x:c r="N467" s="91"/>
      <x:c r="O467" s="91"/>
      <x:c r="P467" s="91"/>
      <x:c r="Q467" s="85"/>
      <x:c r="S467" s="86"/>
      <x:c r="T467" s="32"/>
    </x:row>
    <x:row r="468">
      <x:c r="A468" s="87"/>
      <x:c r="B468" s="88"/>
      <x:c r="D468" s="32"/>
      <x:c r="I468" s="74"/>
      <x:c r="J468" s="74"/>
      <x:c r="K468" s="74"/>
      <x:c r="L468" s="74"/>
      <x:c r="M468" s="91"/>
      <x:c r="N468" s="91"/>
      <x:c r="O468" s="91"/>
      <x:c r="P468" s="91"/>
      <x:c r="Q468" s="85"/>
      <x:c r="S468" s="86"/>
      <x:c r="T468" s="32"/>
    </x:row>
    <x:row r="469">
      <x:c r="A469" s="87"/>
      <x:c r="B469" s="88"/>
      <x:c r="D469" s="32"/>
      <x:c r="I469" s="74"/>
      <x:c r="J469" s="74"/>
      <x:c r="K469" s="74"/>
      <x:c r="L469" s="74"/>
      <x:c r="M469" s="91"/>
      <x:c r="N469" s="91"/>
      <x:c r="O469" s="91"/>
      <x:c r="P469" s="91"/>
      <x:c r="Q469" s="85"/>
      <x:c r="S469" s="86"/>
      <x:c r="T469" s="32"/>
    </x:row>
    <x:row r="470">
      <x:c r="A470" s="87"/>
      <x:c r="B470" s="88"/>
      <x:c r="D470" s="32"/>
      <x:c r="I470" s="74"/>
      <x:c r="J470" s="74"/>
      <x:c r="K470" s="74"/>
      <x:c r="L470" s="74"/>
      <x:c r="M470" s="91"/>
      <x:c r="N470" s="91"/>
      <x:c r="O470" s="91"/>
      <x:c r="P470" s="91"/>
      <x:c r="Q470" s="85"/>
      <x:c r="S470" s="86"/>
      <x:c r="T470" s="32"/>
    </x:row>
    <x:row r="471">
      <x:c r="A471" s="87"/>
      <x:c r="B471" s="88"/>
      <x:c r="D471" s="32"/>
      <x:c r="I471" s="74"/>
      <x:c r="J471" s="74"/>
      <x:c r="K471" s="74"/>
      <x:c r="L471" s="74"/>
      <x:c r="M471" s="91"/>
      <x:c r="N471" s="91"/>
      <x:c r="O471" s="91"/>
      <x:c r="P471" s="91"/>
      <x:c r="Q471" s="85"/>
      <x:c r="S471" s="86"/>
      <x:c r="T471" s="32"/>
    </x:row>
    <x:row r="472">
      <x:c r="A472" s="87"/>
      <x:c r="B472" s="88"/>
      <x:c r="D472" s="32"/>
      <x:c r="I472" s="74"/>
      <x:c r="J472" s="74"/>
      <x:c r="K472" s="74"/>
      <x:c r="L472" s="74"/>
      <x:c r="M472" s="91"/>
      <x:c r="N472" s="91"/>
      <x:c r="O472" s="91"/>
      <x:c r="P472" s="91"/>
      <x:c r="Q472" s="85"/>
      <x:c r="S472" s="86"/>
      <x:c r="T472" s="32"/>
    </x:row>
    <x:row r="473">
      <x:c r="A473" s="87"/>
      <x:c r="B473" s="88"/>
      <x:c r="D473" s="32"/>
      <x:c r="I473" s="74"/>
      <x:c r="J473" s="74"/>
      <x:c r="K473" s="74"/>
      <x:c r="L473" s="74"/>
      <x:c r="M473" s="91"/>
      <x:c r="N473" s="91"/>
      <x:c r="O473" s="91"/>
      <x:c r="P473" s="91"/>
      <x:c r="Q473" s="85"/>
      <x:c r="S473" s="86"/>
      <x:c r="T473" s="32"/>
    </x:row>
    <x:row r="474">
      <x:c r="A474" s="87"/>
      <x:c r="B474" s="88"/>
      <x:c r="D474" s="32"/>
      <x:c r="I474" s="74"/>
      <x:c r="J474" s="74"/>
      <x:c r="K474" s="74"/>
      <x:c r="L474" s="74"/>
      <x:c r="M474" s="91"/>
      <x:c r="N474" s="91"/>
      <x:c r="O474" s="91"/>
      <x:c r="P474" s="91"/>
      <x:c r="Q474" s="85"/>
      <x:c r="S474" s="86"/>
      <x:c r="T474" s="32"/>
    </x:row>
    <x:row r="475">
      <x:c r="A475" s="87"/>
      <x:c r="B475" s="88"/>
      <x:c r="D475" s="32"/>
      <x:c r="I475" s="74"/>
      <x:c r="J475" s="74"/>
      <x:c r="K475" s="74"/>
      <x:c r="L475" s="74"/>
      <x:c r="M475" s="91"/>
      <x:c r="N475" s="91"/>
      <x:c r="O475" s="91"/>
      <x:c r="P475" s="91"/>
      <x:c r="Q475" s="85"/>
      <x:c r="S475" s="86"/>
      <x:c r="T475" s="32"/>
    </x:row>
    <x:row r="476">
      <x:c r="A476" s="87"/>
      <x:c r="B476" s="88"/>
      <x:c r="D476" s="32"/>
      <x:c r="I476" s="74"/>
      <x:c r="J476" s="74"/>
      <x:c r="K476" s="74"/>
      <x:c r="L476" s="74"/>
      <x:c r="M476" s="91"/>
      <x:c r="N476" s="91"/>
      <x:c r="O476" s="91"/>
      <x:c r="P476" s="91"/>
      <x:c r="Q476" s="85"/>
      <x:c r="S476" s="86"/>
      <x:c r="T476" s="32"/>
    </x:row>
    <x:row r="477">
      <x:c r="A477" s="87"/>
      <x:c r="B477" s="88"/>
      <x:c r="D477" s="32"/>
      <x:c r="I477" s="74"/>
      <x:c r="J477" s="74"/>
      <x:c r="K477" s="74"/>
      <x:c r="L477" s="74"/>
      <x:c r="M477" s="91"/>
      <x:c r="N477" s="91"/>
      <x:c r="O477" s="91"/>
      <x:c r="P477" s="91"/>
      <x:c r="Q477" s="85"/>
      <x:c r="S477" s="86"/>
      <x:c r="T477" s="32"/>
    </x:row>
    <x:row r="478">
      <x:c r="A478" s="87"/>
      <x:c r="B478" s="88"/>
      <x:c r="D478" s="32"/>
      <x:c r="I478" s="74"/>
      <x:c r="J478" s="74"/>
      <x:c r="K478" s="74"/>
      <x:c r="L478" s="74"/>
      <x:c r="M478" s="91"/>
      <x:c r="N478" s="91"/>
      <x:c r="O478" s="91"/>
      <x:c r="P478" s="91"/>
      <x:c r="Q478" s="85"/>
      <x:c r="S478" s="86"/>
      <x:c r="T478" s="32"/>
    </x:row>
    <x:row r="479">
      <x:c r="A479" s="87"/>
      <x:c r="B479" s="88"/>
      <x:c r="D479" s="32"/>
      <x:c r="I479" s="74"/>
      <x:c r="J479" s="74"/>
      <x:c r="K479" s="74"/>
      <x:c r="L479" s="74"/>
      <x:c r="M479" s="91"/>
      <x:c r="N479" s="91"/>
      <x:c r="O479" s="91"/>
      <x:c r="P479" s="91"/>
      <x:c r="Q479" s="85"/>
      <x:c r="S479" s="86"/>
      <x:c r="T479" s="32"/>
    </x:row>
    <x:row r="480">
      <x:c r="A480" s="87"/>
      <x:c r="B480" s="88"/>
      <x:c r="D480" s="32"/>
      <x:c r="I480" s="74"/>
      <x:c r="J480" s="74"/>
      <x:c r="K480" s="74"/>
      <x:c r="L480" s="74"/>
      <x:c r="M480" s="91"/>
      <x:c r="N480" s="91"/>
      <x:c r="O480" s="91"/>
      <x:c r="P480" s="91"/>
      <x:c r="Q480" s="85"/>
      <x:c r="S480" s="86"/>
      <x:c r="T480" s="32"/>
    </x:row>
    <x:row r="481">
      <x:c r="A481" s="87"/>
      <x:c r="B481" s="88"/>
      <x:c r="D481" s="32"/>
      <x:c r="I481" s="74"/>
      <x:c r="J481" s="74"/>
      <x:c r="K481" s="74"/>
      <x:c r="L481" s="74"/>
      <x:c r="M481" s="91"/>
      <x:c r="N481" s="91"/>
      <x:c r="O481" s="91"/>
      <x:c r="P481" s="91"/>
      <x:c r="Q481" s="85"/>
      <x:c r="S481" s="86"/>
      <x:c r="T481" s="32"/>
    </x:row>
    <x:row r="482">
      <x:c r="A482" s="87"/>
      <x:c r="B482" s="88"/>
      <x:c r="D482" s="32"/>
      <x:c r="I482" s="74"/>
      <x:c r="J482" s="74"/>
      <x:c r="K482" s="74"/>
      <x:c r="L482" s="74"/>
      <x:c r="M482" s="91"/>
      <x:c r="N482" s="91"/>
      <x:c r="O482" s="91"/>
      <x:c r="P482" s="91"/>
      <x:c r="Q482" s="85"/>
      <x:c r="S482" s="86"/>
      <x:c r="T482" s="32"/>
    </x:row>
    <x:row r="483">
      <x:c r="A483" s="87"/>
      <x:c r="B483" s="88"/>
      <x:c r="D483" s="32"/>
      <x:c r="I483" s="74"/>
      <x:c r="J483" s="74"/>
      <x:c r="K483" s="74"/>
      <x:c r="L483" s="74"/>
      <x:c r="M483" s="91"/>
      <x:c r="N483" s="91"/>
      <x:c r="O483" s="91"/>
      <x:c r="P483" s="91"/>
      <x:c r="Q483" s="85"/>
      <x:c r="S483" s="86"/>
      <x:c r="T483" s="32"/>
    </x:row>
    <x:row r="484">
      <x:c r="A484" s="87"/>
      <x:c r="B484" s="88"/>
      <x:c r="D484" s="32"/>
      <x:c r="I484" s="74"/>
      <x:c r="J484" s="74"/>
      <x:c r="K484" s="74"/>
      <x:c r="L484" s="74"/>
      <x:c r="M484" s="91"/>
      <x:c r="N484" s="91"/>
      <x:c r="O484" s="91"/>
      <x:c r="P484" s="91"/>
      <x:c r="Q484" s="85"/>
      <x:c r="S484" s="86"/>
      <x:c r="T484" s="32"/>
    </x:row>
    <x:row r="485">
      <x:c r="A485" s="87"/>
      <x:c r="B485" s="88"/>
      <x:c r="D485" s="32"/>
      <x:c r="I485" s="74"/>
      <x:c r="J485" s="74"/>
      <x:c r="K485" s="74"/>
      <x:c r="L485" s="74"/>
      <x:c r="M485" s="91"/>
      <x:c r="N485" s="91"/>
      <x:c r="O485" s="91"/>
      <x:c r="P485" s="91"/>
      <x:c r="Q485" s="85"/>
      <x:c r="S485" s="86"/>
      <x:c r="T485" s="32"/>
    </x:row>
    <x:row r="486">
      <x:c r="A486" s="87"/>
      <x:c r="B486" s="88"/>
      <x:c r="D486" s="32"/>
      <x:c r="I486" s="74"/>
      <x:c r="J486" s="74"/>
      <x:c r="K486" s="74"/>
      <x:c r="L486" s="74"/>
      <x:c r="M486" s="91"/>
      <x:c r="N486" s="91"/>
      <x:c r="O486" s="91"/>
      <x:c r="P486" s="91"/>
      <x:c r="Q486" s="85"/>
      <x:c r="S486" s="86"/>
      <x:c r="T486" s="32"/>
    </x:row>
    <x:row r="487">
      <x:c r="A487" s="87"/>
      <x:c r="B487" s="88"/>
      <x:c r="D487" s="32"/>
      <x:c r="I487" s="74"/>
      <x:c r="J487" s="74"/>
      <x:c r="K487" s="74"/>
      <x:c r="L487" s="74"/>
      <x:c r="M487" s="91"/>
      <x:c r="N487" s="91"/>
      <x:c r="O487" s="91"/>
      <x:c r="P487" s="91"/>
      <x:c r="Q487" s="85"/>
      <x:c r="S487" s="86"/>
      <x:c r="T487" s="32"/>
    </x:row>
    <x:row r="488">
      <x:c r="A488" s="87"/>
      <x:c r="B488" s="88"/>
      <x:c r="D488" s="32"/>
      <x:c r="I488" s="74"/>
      <x:c r="J488" s="74"/>
      <x:c r="K488" s="74"/>
      <x:c r="L488" s="74"/>
      <x:c r="M488" s="91"/>
      <x:c r="N488" s="91"/>
      <x:c r="O488" s="91"/>
      <x:c r="P488" s="91"/>
      <x:c r="Q488" s="85"/>
      <x:c r="S488" s="86"/>
      <x:c r="T488" s="32"/>
    </x:row>
    <x:row r="489">
      <x:c r="A489" s="87"/>
      <x:c r="B489" s="88"/>
      <x:c r="D489" s="32"/>
      <x:c r="I489" s="74"/>
      <x:c r="J489" s="74"/>
      <x:c r="K489" s="74"/>
      <x:c r="L489" s="74"/>
      <x:c r="M489" s="91"/>
      <x:c r="N489" s="91"/>
      <x:c r="O489" s="91"/>
      <x:c r="P489" s="91"/>
      <x:c r="Q489" s="85"/>
      <x:c r="S489" s="86"/>
      <x:c r="T489" s="32"/>
    </x:row>
    <x:row r="490">
      <x:c r="A490" s="87"/>
      <x:c r="B490" s="88"/>
      <x:c r="D490" s="32"/>
      <x:c r="I490" s="74"/>
      <x:c r="J490" s="74"/>
      <x:c r="K490" s="74"/>
      <x:c r="L490" s="74"/>
      <x:c r="M490" s="91"/>
      <x:c r="N490" s="91"/>
      <x:c r="O490" s="91"/>
      <x:c r="P490" s="91"/>
      <x:c r="Q490" s="85"/>
      <x:c r="S490" s="86"/>
      <x:c r="T490" s="32"/>
    </x:row>
    <x:row r="491">
      <x:c r="A491" s="87"/>
      <x:c r="B491" s="88"/>
      <x:c r="D491" s="32"/>
      <x:c r="I491" s="74"/>
      <x:c r="J491" s="74"/>
      <x:c r="K491" s="74"/>
      <x:c r="L491" s="74"/>
      <x:c r="M491" s="91"/>
      <x:c r="N491" s="91"/>
      <x:c r="O491" s="91"/>
      <x:c r="P491" s="91"/>
      <x:c r="Q491" s="85"/>
      <x:c r="S491" s="86"/>
      <x:c r="T491" s="32"/>
    </x:row>
    <x:row r="492">
      <x:c r="A492" s="87"/>
      <x:c r="B492" s="88"/>
      <x:c r="D492" s="32"/>
      <x:c r="I492" s="74"/>
      <x:c r="J492" s="74"/>
      <x:c r="K492" s="74"/>
      <x:c r="L492" s="74"/>
      <x:c r="M492" s="91"/>
      <x:c r="N492" s="91"/>
      <x:c r="O492" s="91"/>
      <x:c r="P492" s="91"/>
      <x:c r="Q492" s="85"/>
      <x:c r="S492" s="86"/>
      <x:c r="T492" s="32"/>
    </x:row>
    <x:row r="493">
      <x:c r="A493" s="87"/>
      <x:c r="B493" s="88"/>
      <x:c r="D493" s="32"/>
      <x:c r="I493" s="74"/>
      <x:c r="J493" s="74"/>
      <x:c r="K493" s="74"/>
      <x:c r="L493" s="74"/>
      <x:c r="M493" s="91"/>
      <x:c r="N493" s="91"/>
      <x:c r="O493" s="91"/>
      <x:c r="P493" s="91"/>
      <x:c r="Q493" s="85"/>
      <x:c r="S493" s="86"/>
      <x:c r="T493" s="32"/>
    </x:row>
    <x:row r="494">
      <x:c r="A494" s="87"/>
      <x:c r="B494" s="88"/>
      <x:c r="D494" s="32"/>
      <x:c r="I494" s="74"/>
      <x:c r="J494" s="74"/>
      <x:c r="K494" s="74"/>
      <x:c r="L494" s="74"/>
      <x:c r="M494" s="91"/>
      <x:c r="N494" s="91"/>
      <x:c r="O494" s="91"/>
      <x:c r="P494" s="91"/>
      <x:c r="Q494" s="85"/>
      <x:c r="S494" s="86"/>
      <x:c r="T494" s="32"/>
    </x:row>
    <x:row r="495">
      <x:c r="A495" s="87"/>
      <x:c r="B495" s="88"/>
      <x:c r="D495" s="32"/>
      <x:c r="I495" s="74"/>
      <x:c r="J495" s="74"/>
      <x:c r="K495" s="74"/>
      <x:c r="L495" s="74"/>
      <x:c r="M495" s="91"/>
      <x:c r="N495" s="91"/>
      <x:c r="O495" s="91"/>
      <x:c r="P495" s="91"/>
      <x:c r="Q495" s="85"/>
      <x:c r="S495" s="86"/>
      <x:c r="T495" s="32"/>
    </x:row>
    <x:row r="496">
      <x:c r="A496" s="87"/>
      <x:c r="B496" s="88"/>
      <x:c r="D496" s="32"/>
      <x:c r="I496" s="74"/>
      <x:c r="J496" s="74"/>
      <x:c r="K496" s="74"/>
      <x:c r="L496" s="74"/>
      <x:c r="M496" s="91"/>
      <x:c r="N496" s="91"/>
      <x:c r="O496" s="91"/>
      <x:c r="P496" s="91"/>
      <x:c r="Q496" s="85"/>
      <x:c r="S496" s="86"/>
      <x:c r="T496" s="32"/>
    </x:row>
    <x:row r="497">
      <x:c r="A497" s="87"/>
      <x:c r="B497" s="88"/>
      <x:c r="D497" s="32"/>
      <x:c r="I497" s="74"/>
      <x:c r="J497" s="74"/>
      <x:c r="K497" s="74"/>
      <x:c r="L497" s="74"/>
      <x:c r="M497" s="91"/>
      <x:c r="N497" s="91"/>
      <x:c r="O497" s="91"/>
      <x:c r="P497" s="91"/>
      <x:c r="Q497" s="85"/>
      <x:c r="S497" s="86"/>
      <x:c r="T497" s="32"/>
    </x:row>
    <x:row r="498">
      <x:c r="A498" s="87"/>
      <x:c r="B498" s="88"/>
      <x:c r="D498" s="32"/>
      <x:c r="I498" s="74"/>
      <x:c r="J498" s="74"/>
      <x:c r="K498" s="74"/>
      <x:c r="L498" s="74"/>
      <x:c r="M498" s="91"/>
      <x:c r="N498" s="91"/>
      <x:c r="O498" s="91"/>
      <x:c r="P498" s="91"/>
      <x:c r="Q498" s="85"/>
      <x:c r="S498" s="86"/>
      <x:c r="T498" s="32"/>
    </x:row>
    <x:row r="499">
      <x:c r="A499" s="87"/>
      <x:c r="B499" s="88"/>
      <x:c r="D499" s="32"/>
      <x:c r="I499" s="74"/>
      <x:c r="J499" s="74"/>
      <x:c r="K499" s="74"/>
      <x:c r="L499" s="74"/>
      <x:c r="M499" s="91"/>
      <x:c r="N499" s="91"/>
      <x:c r="O499" s="91"/>
      <x:c r="P499" s="91"/>
      <x:c r="Q499" s="85"/>
      <x:c r="S499" s="86"/>
      <x:c r="T499" s="32"/>
    </x:row>
    <x:row r="500">
      <x:c r="A500" s="87"/>
      <x:c r="B500" s="88"/>
      <x:c r="D500" s="32"/>
      <x:c r="I500" s="74"/>
      <x:c r="J500" s="74"/>
      <x:c r="K500" s="74"/>
      <x:c r="L500" s="74"/>
      <x:c r="M500" s="91"/>
      <x:c r="N500" s="91"/>
      <x:c r="O500" s="91"/>
      <x:c r="P500" s="91"/>
      <x:c r="Q500" s="85"/>
      <x:c r="S500" s="86"/>
      <x:c r="T500" s="32"/>
    </x:row>
    <x:row r="501">
      <x:c r="A501" s="87"/>
      <x:c r="B501" s="88"/>
      <x:c r="D501" s="32"/>
      <x:c r="I501" s="74"/>
      <x:c r="J501" s="74"/>
      <x:c r="K501" s="74"/>
      <x:c r="L501" s="74"/>
      <x:c r="M501" s="91"/>
      <x:c r="N501" s="91"/>
      <x:c r="O501" s="91"/>
      <x:c r="P501" s="91"/>
      <x:c r="Q501" s="85"/>
      <x:c r="S501" s="86"/>
      <x:c r="T501" s="32"/>
    </x:row>
    <x:row r="502">
      <x:c r="A502" s="87"/>
      <x:c r="B502" s="88"/>
      <x:c r="D502" s="32"/>
      <x:c r="I502" s="74"/>
      <x:c r="J502" s="74"/>
      <x:c r="K502" s="74"/>
      <x:c r="L502" s="74"/>
      <x:c r="M502" s="91"/>
      <x:c r="N502" s="91"/>
      <x:c r="O502" s="91"/>
      <x:c r="P502" s="91"/>
      <x:c r="Q502" s="85"/>
      <x:c r="S502" s="86"/>
      <x:c r="T502" s="32"/>
    </x:row>
    <x:row r="503">
      <x:c r="A503" s="87"/>
      <x:c r="B503" s="88"/>
      <x:c r="D503" s="32"/>
      <x:c r="I503" s="74"/>
      <x:c r="J503" s="74"/>
      <x:c r="K503" s="74"/>
      <x:c r="L503" s="74"/>
      <x:c r="M503" s="91"/>
      <x:c r="N503" s="91"/>
      <x:c r="O503" s="91"/>
      <x:c r="P503" s="91"/>
      <x:c r="Q503" s="85"/>
      <x:c r="S503" s="86"/>
      <x:c r="T503" s="32"/>
    </x:row>
    <x:row r="504">
      <x:c r="A504" s="87"/>
      <x:c r="B504" s="88"/>
      <x:c r="D504" s="32"/>
      <x:c r="I504" s="74"/>
      <x:c r="J504" s="74"/>
      <x:c r="K504" s="74"/>
      <x:c r="L504" s="74"/>
      <x:c r="M504" s="91"/>
      <x:c r="N504" s="91"/>
      <x:c r="O504" s="91"/>
      <x:c r="P504" s="91"/>
      <x:c r="Q504" s="85"/>
      <x:c r="S504" s="86"/>
      <x:c r="T504" s="32"/>
    </x:row>
    <x:row r="505">
      <x:c r="A505" s="87"/>
      <x:c r="B505" s="88"/>
      <x:c r="D505" s="32"/>
      <x:c r="I505" s="74"/>
      <x:c r="J505" s="74"/>
      <x:c r="K505" s="74"/>
      <x:c r="L505" s="74"/>
      <x:c r="M505" s="91"/>
      <x:c r="N505" s="91"/>
      <x:c r="O505" s="91"/>
      <x:c r="P505" s="91"/>
      <x:c r="Q505" s="85"/>
      <x:c r="S505" s="86"/>
      <x:c r="T505" s="32"/>
    </x:row>
    <x:row r="506">
      <x:c r="A506" s="87"/>
      <x:c r="B506" s="88"/>
      <x:c r="D506" s="32"/>
      <x:c r="I506" s="74"/>
      <x:c r="J506" s="74"/>
      <x:c r="K506" s="74"/>
      <x:c r="L506" s="74"/>
      <x:c r="M506" s="91"/>
      <x:c r="N506" s="91"/>
      <x:c r="O506" s="91"/>
      <x:c r="P506" s="91"/>
      <x:c r="Q506" s="85"/>
      <x:c r="S506" s="86"/>
      <x:c r="T506" s="32"/>
    </x:row>
    <x:row r="507">
      <x:c r="A507" s="87"/>
      <x:c r="B507" s="88"/>
      <x:c r="D507" s="32"/>
      <x:c r="I507" s="74"/>
      <x:c r="J507" s="74"/>
      <x:c r="K507" s="74"/>
      <x:c r="L507" s="74"/>
      <x:c r="M507" s="91"/>
      <x:c r="N507" s="91"/>
      <x:c r="O507" s="91"/>
      <x:c r="P507" s="91"/>
      <x:c r="Q507" s="85"/>
      <x:c r="S507" s="86"/>
      <x:c r="T507" s="32"/>
    </x:row>
    <x:row r="508">
      <x:c r="A508" s="87"/>
      <x:c r="B508" s="88"/>
      <x:c r="D508" s="32"/>
      <x:c r="I508" s="74"/>
      <x:c r="J508" s="74"/>
      <x:c r="K508" s="74"/>
      <x:c r="L508" s="74"/>
      <x:c r="M508" s="91"/>
      <x:c r="N508" s="91"/>
      <x:c r="O508" s="91"/>
      <x:c r="P508" s="91"/>
      <x:c r="Q508" s="85"/>
      <x:c r="S508" s="86"/>
      <x:c r="T508" s="32"/>
    </x:row>
    <x:row r="509">
      <x:c r="A509" s="87"/>
      <x:c r="B509" s="88"/>
      <x:c r="D509" s="32"/>
      <x:c r="I509" s="74"/>
      <x:c r="J509" s="74"/>
      <x:c r="K509" s="74"/>
      <x:c r="L509" s="74"/>
      <x:c r="M509" s="91"/>
      <x:c r="N509" s="91"/>
      <x:c r="O509" s="91"/>
      <x:c r="P509" s="91"/>
      <x:c r="Q509" s="85"/>
      <x:c r="S509" s="86"/>
      <x:c r="T509" s="32"/>
    </x:row>
    <x:row r="510">
      <x:c r="A510" s="87"/>
      <x:c r="B510" s="88"/>
      <x:c r="D510" s="32"/>
      <x:c r="I510" s="74"/>
      <x:c r="J510" s="74"/>
      <x:c r="K510" s="74"/>
      <x:c r="L510" s="74"/>
      <x:c r="M510" s="91"/>
      <x:c r="N510" s="91"/>
      <x:c r="O510" s="91"/>
      <x:c r="P510" s="91"/>
      <x:c r="Q510" s="85"/>
      <x:c r="S510" s="86"/>
      <x:c r="T510" s="32"/>
    </x:row>
    <x:row r="511">
      <x:c r="A511" s="87"/>
      <x:c r="B511" s="88"/>
      <x:c r="D511" s="32"/>
      <x:c r="I511" s="74"/>
      <x:c r="J511" s="74"/>
      <x:c r="K511" s="74"/>
      <x:c r="L511" s="74"/>
      <x:c r="M511" s="91"/>
      <x:c r="N511" s="91"/>
      <x:c r="O511" s="91"/>
      <x:c r="P511" s="91"/>
      <x:c r="Q511" s="85"/>
      <x:c r="S511" s="86"/>
      <x:c r="T511" s="32"/>
    </x:row>
    <x:row r="512">
      <x:c r="A512" s="87"/>
      <x:c r="B512" s="88"/>
      <x:c r="D512" s="32"/>
      <x:c r="I512" s="74"/>
      <x:c r="J512" s="74"/>
      <x:c r="K512" s="74"/>
      <x:c r="L512" s="74"/>
      <x:c r="M512" s="91"/>
      <x:c r="N512" s="91"/>
      <x:c r="O512" s="91"/>
      <x:c r="P512" s="91"/>
      <x:c r="Q512" s="85"/>
      <x:c r="S512" s="86"/>
      <x:c r="T512" s="32"/>
    </x:row>
    <x:row r="513">
      <x:c r="A513" s="87"/>
      <x:c r="B513" s="88"/>
      <x:c r="D513" s="32"/>
      <x:c r="I513" s="74"/>
      <x:c r="J513" s="74"/>
      <x:c r="K513" s="74"/>
      <x:c r="L513" s="74"/>
      <x:c r="M513" s="91"/>
      <x:c r="N513" s="91"/>
      <x:c r="O513" s="91"/>
      <x:c r="P513" s="91"/>
      <x:c r="Q513" s="85"/>
      <x:c r="S513" s="86"/>
      <x:c r="T513" s="32"/>
    </x:row>
    <x:row r="514">
      <x:c r="A514" s="87"/>
      <x:c r="B514" s="88"/>
      <x:c r="D514" s="32"/>
      <x:c r="I514" s="74"/>
      <x:c r="J514" s="74"/>
      <x:c r="K514" s="74"/>
      <x:c r="L514" s="74"/>
      <x:c r="M514" s="91"/>
      <x:c r="N514" s="91"/>
      <x:c r="O514" s="91"/>
      <x:c r="P514" s="91"/>
      <x:c r="Q514" s="85"/>
      <x:c r="S514" s="86"/>
      <x:c r="T514" s="32"/>
    </x:row>
    <x:row r="515">
      <x:c r="A515" s="87"/>
      <x:c r="B515" s="88"/>
      <x:c r="D515" s="32"/>
      <x:c r="I515" s="74"/>
      <x:c r="J515" s="74"/>
      <x:c r="K515" s="74"/>
      <x:c r="L515" s="74"/>
      <x:c r="M515" s="91"/>
      <x:c r="N515" s="91"/>
      <x:c r="O515" s="91"/>
      <x:c r="P515" s="91"/>
      <x:c r="Q515" s="85"/>
      <x:c r="S515" s="86"/>
      <x:c r="T515" s="32"/>
    </x:row>
    <x:row r="516">
      <x:c r="A516" s="87"/>
      <x:c r="B516" s="88"/>
      <x:c r="D516" s="32"/>
      <x:c r="I516" s="74"/>
      <x:c r="J516" s="74"/>
      <x:c r="K516" s="74"/>
      <x:c r="L516" s="74"/>
      <x:c r="M516" s="91"/>
      <x:c r="N516" s="91"/>
      <x:c r="O516" s="91"/>
      <x:c r="P516" s="91"/>
      <x:c r="Q516" s="85"/>
      <x:c r="S516" s="86"/>
      <x:c r="T516" s="32"/>
    </x:row>
    <x:row r="517">
      <x:c r="A517" s="87"/>
      <x:c r="B517" s="88"/>
      <x:c r="D517" s="32"/>
      <x:c r="I517" s="74"/>
      <x:c r="J517" s="74"/>
      <x:c r="K517" s="74"/>
      <x:c r="L517" s="74"/>
      <x:c r="M517" s="91"/>
      <x:c r="N517" s="91"/>
      <x:c r="O517" s="91"/>
      <x:c r="P517" s="91"/>
      <x:c r="Q517" s="85"/>
      <x:c r="S517" s="86"/>
      <x:c r="T517" s="32"/>
    </x:row>
    <x:row r="518">
      <x:c r="A518" s="87"/>
      <x:c r="B518" s="88"/>
      <x:c r="D518" s="32"/>
      <x:c r="I518" s="74"/>
      <x:c r="J518" s="74"/>
      <x:c r="K518" s="74"/>
      <x:c r="L518" s="74"/>
      <x:c r="M518" s="91"/>
      <x:c r="N518" s="91"/>
      <x:c r="O518" s="91"/>
      <x:c r="P518" s="91"/>
      <x:c r="Q518" s="85"/>
      <x:c r="S518" s="86"/>
      <x:c r="T518" s="32"/>
    </x:row>
    <x:row r="519">
      <x:c r="A519" s="87"/>
      <x:c r="B519" s="88"/>
      <x:c r="D519" s="32"/>
      <x:c r="I519" s="74"/>
      <x:c r="J519" s="74"/>
      <x:c r="K519" s="74"/>
      <x:c r="L519" s="74"/>
      <x:c r="M519" s="91"/>
      <x:c r="N519" s="91"/>
      <x:c r="O519" s="91"/>
      <x:c r="P519" s="91"/>
      <x:c r="Q519" s="85"/>
      <x:c r="S519" s="86"/>
      <x:c r="T519" s="32"/>
    </x:row>
    <x:row r="520">
      <x:c r="A520" s="87"/>
      <x:c r="B520" s="88"/>
      <x:c r="D520" s="32"/>
      <x:c r="I520" s="74"/>
      <x:c r="J520" s="74"/>
      <x:c r="K520" s="74"/>
      <x:c r="L520" s="74"/>
      <x:c r="M520" s="91"/>
      <x:c r="N520" s="91"/>
      <x:c r="O520" s="91"/>
      <x:c r="P520" s="91"/>
      <x:c r="Q520" s="85"/>
      <x:c r="S520" s="86"/>
      <x:c r="T520" s="32"/>
    </x:row>
    <x:row r="521">
      <x:c r="A521" s="87"/>
      <x:c r="B521" s="88"/>
      <x:c r="D521" s="32"/>
      <x:c r="I521" s="74"/>
      <x:c r="J521" s="74"/>
      <x:c r="K521" s="74"/>
      <x:c r="L521" s="74"/>
      <x:c r="M521" s="91"/>
      <x:c r="N521" s="91"/>
      <x:c r="O521" s="91"/>
      <x:c r="P521" s="91"/>
      <x:c r="Q521" s="85"/>
      <x:c r="S521" s="86"/>
      <x:c r="T521" s="32"/>
    </x:row>
    <x:row r="522">
      <x:c r="A522" s="87"/>
      <x:c r="B522" s="88"/>
      <x:c r="D522" s="32"/>
      <x:c r="I522" s="74"/>
      <x:c r="J522" s="74"/>
      <x:c r="K522" s="74"/>
      <x:c r="L522" s="74"/>
      <x:c r="M522" s="91"/>
      <x:c r="N522" s="91"/>
      <x:c r="O522" s="91"/>
      <x:c r="P522" s="91"/>
      <x:c r="Q522" s="85"/>
      <x:c r="S522" s="86"/>
      <x:c r="T522" s="32"/>
    </x:row>
    <x:row r="523">
      <x:c r="A523" s="87"/>
      <x:c r="B523" s="88"/>
      <x:c r="D523" s="32"/>
      <x:c r="I523" s="74"/>
      <x:c r="J523" s="74"/>
      <x:c r="K523" s="74"/>
      <x:c r="L523" s="74"/>
      <x:c r="M523" s="91"/>
      <x:c r="N523" s="91"/>
      <x:c r="O523" s="91"/>
      <x:c r="P523" s="91"/>
      <x:c r="Q523" s="85"/>
      <x:c r="S523" s="86"/>
      <x:c r="T523" s="32"/>
    </x:row>
    <x:row r="524">
      <x:c r="A524" s="87"/>
      <x:c r="B524" s="88"/>
      <x:c r="D524" s="32"/>
      <x:c r="I524" s="74"/>
      <x:c r="J524" s="74"/>
      <x:c r="K524" s="74"/>
      <x:c r="L524" s="74"/>
      <x:c r="M524" s="91"/>
      <x:c r="N524" s="91"/>
      <x:c r="O524" s="91"/>
      <x:c r="P524" s="91"/>
      <x:c r="Q524" s="85"/>
      <x:c r="S524" s="86"/>
      <x:c r="T524" s="32"/>
    </x:row>
    <x:row r="525">
      <x:c r="A525" s="87"/>
      <x:c r="B525" s="88"/>
      <x:c r="D525" s="32"/>
      <x:c r="I525" s="74"/>
      <x:c r="J525" s="74"/>
      <x:c r="K525" s="74"/>
      <x:c r="L525" s="74"/>
      <x:c r="M525" s="91"/>
      <x:c r="N525" s="91"/>
      <x:c r="O525" s="91"/>
      <x:c r="P525" s="91"/>
      <x:c r="Q525" s="85"/>
      <x:c r="S525" s="86"/>
      <x:c r="T525" s="32"/>
    </x:row>
    <x:row r="526">
      <x:c r="A526" s="87"/>
      <x:c r="B526" s="88"/>
      <x:c r="D526" s="32"/>
      <x:c r="I526" s="74"/>
      <x:c r="J526" s="74"/>
      <x:c r="K526" s="74"/>
      <x:c r="L526" s="74"/>
      <x:c r="M526" s="91"/>
      <x:c r="N526" s="91"/>
      <x:c r="O526" s="91"/>
      <x:c r="P526" s="91"/>
      <x:c r="Q526" s="85"/>
      <x:c r="S526" s="86"/>
      <x:c r="T526" s="32"/>
    </x:row>
    <x:row r="527">
      <x:c r="A527" s="87"/>
      <x:c r="B527" s="88"/>
      <x:c r="D527" s="32"/>
      <x:c r="I527" s="74"/>
      <x:c r="J527" s="74"/>
      <x:c r="K527" s="74"/>
      <x:c r="L527" s="74"/>
      <x:c r="M527" s="91"/>
      <x:c r="N527" s="91"/>
      <x:c r="O527" s="91"/>
      <x:c r="P527" s="91"/>
      <x:c r="Q527" s="85"/>
      <x:c r="S527" s="86"/>
      <x:c r="T527" s="32"/>
    </x:row>
    <x:row r="528">
      <x:c r="A528" s="87"/>
      <x:c r="B528" s="88"/>
      <x:c r="D528" s="32"/>
      <x:c r="I528" s="74"/>
      <x:c r="J528" s="74"/>
      <x:c r="K528" s="74"/>
      <x:c r="L528" s="74"/>
      <x:c r="M528" s="91"/>
      <x:c r="N528" s="91"/>
      <x:c r="O528" s="91"/>
      <x:c r="P528" s="91"/>
      <x:c r="Q528" s="85"/>
      <x:c r="S528" s="86"/>
      <x:c r="T528" s="32"/>
    </x:row>
    <x:row r="529">
      <x:c r="A529" s="87"/>
      <x:c r="B529" s="88"/>
      <x:c r="D529" s="32"/>
      <x:c r="I529" s="74"/>
      <x:c r="J529" s="74"/>
      <x:c r="K529" s="74"/>
      <x:c r="L529" s="74"/>
      <x:c r="M529" s="91"/>
      <x:c r="N529" s="91"/>
      <x:c r="O529" s="91"/>
      <x:c r="P529" s="91"/>
      <x:c r="Q529" s="85"/>
      <x:c r="S529" s="86"/>
      <x:c r="T529" s="32"/>
    </x:row>
    <x:row r="530">
      <x:c r="A530" s="87"/>
      <x:c r="B530" s="88"/>
      <x:c r="D530" s="32"/>
      <x:c r="I530" s="74"/>
      <x:c r="J530" s="74"/>
      <x:c r="K530" s="74"/>
      <x:c r="L530" s="74"/>
      <x:c r="M530" s="91"/>
      <x:c r="N530" s="91"/>
      <x:c r="O530" s="91"/>
      <x:c r="P530" s="91"/>
      <x:c r="Q530" s="85"/>
      <x:c r="S530" s="86"/>
      <x:c r="T530" s="32"/>
    </x:row>
    <x:row r="531">
      <x:c r="A531" s="87"/>
      <x:c r="B531" s="88"/>
      <x:c r="D531" s="32"/>
      <x:c r="I531" s="74"/>
      <x:c r="J531" s="74"/>
      <x:c r="K531" s="74"/>
      <x:c r="L531" s="74"/>
      <x:c r="M531" s="91"/>
      <x:c r="N531" s="91"/>
      <x:c r="O531" s="91"/>
      <x:c r="P531" s="91"/>
      <x:c r="Q531" s="85"/>
      <x:c r="S531" s="86"/>
      <x:c r="T531" s="32"/>
    </x:row>
    <x:row r="532">
      <x:c r="A532" s="87"/>
      <x:c r="B532" s="88"/>
      <x:c r="D532" s="32"/>
      <x:c r="I532" s="74"/>
      <x:c r="J532" s="74"/>
      <x:c r="K532" s="74"/>
      <x:c r="L532" s="74"/>
      <x:c r="M532" s="91"/>
      <x:c r="N532" s="91"/>
      <x:c r="O532" s="91"/>
      <x:c r="P532" s="91"/>
      <x:c r="Q532" s="85"/>
      <x:c r="S532" s="86"/>
      <x:c r="T532" s="32"/>
    </x:row>
    <x:row r="533">
      <x:c r="A533" s="87"/>
      <x:c r="B533" s="88"/>
      <x:c r="D533" s="32"/>
      <x:c r="I533" s="74"/>
      <x:c r="J533" s="74"/>
      <x:c r="K533" s="74"/>
      <x:c r="L533" s="74"/>
      <x:c r="M533" s="91"/>
      <x:c r="N533" s="91"/>
      <x:c r="O533" s="91"/>
      <x:c r="P533" s="91"/>
      <x:c r="Q533" s="85"/>
      <x:c r="S533" s="86"/>
      <x:c r="T533" s="32"/>
    </x:row>
    <x:row r="534">
      <x:c r="A534" s="87"/>
      <x:c r="B534" s="88"/>
      <x:c r="D534" s="32"/>
      <x:c r="I534" s="74"/>
      <x:c r="J534" s="74"/>
      <x:c r="K534" s="74"/>
      <x:c r="L534" s="74"/>
      <x:c r="M534" s="91"/>
      <x:c r="N534" s="91"/>
      <x:c r="O534" s="91"/>
      <x:c r="P534" s="91"/>
      <x:c r="Q534" s="85"/>
      <x:c r="S534" s="86"/>
      <x:c r="T534" s="32"/>
    </x:row>
    <x:row r="535">
      <x:c r="A535" s="87"/>
      <x:c r="B535" s="88"/>
      <x:c r="D535" s="32"/>
      <x:c r="I535" s="74"/>
      <x:c r="J535" s="74"/>
      <x:c r="K535" s="74"/>
      <x:c r="L535" s="74"/>
      <x:c r="M535" s="91"/>
      <x:c r="N535" s="91"/>
      <x:c r="O535" s="91"/>
      <x:c r="P535" s="91"/>
      <x:c r="Q535" s="85"/>
      <x:c r="S535" s="86"/>
      <x:c r="T535" s="32"/>
    </x:row>
    <x:row r="536">
      <x:c r="A536" s="87"/>
      <x:c r="B536" s="88"/>
      <x:c r="D536" s="32"/>
      <x:c r="I536" s="74"/>
      <x:c r="J536" s="74"/>
      <x:c r="K536" s="74"/>
      <x:c r="L536" s="74"/>
      <x:c r="M536" s="91"/>
      <x:c r="N536" s="91"/>
      <x:c r="O536" s="91"/>
      <x:c r="P536" s="91"/>
      <x:c r="Q536" s="85"/>
      <x:c r="S536" s="86"/>
      <x:c r="T536" s="32"/>
    </x:row>
    <x:row r="537">
      <x:c r="A537" s="87"/>
      <x:c r="B537" s="88"/>
      <x:c r="D537" s="32"/>
      <x:c r="I537" s="74"/>
      <x:c r="J537" s="74"/>
      <x:c r="K537" s="74"/>
      <x:c r="L537" s="74"/>
      <x:c r="M537" s="91"/>
      <x:c r="N537" s="91"/>
      <x:c r="O537" s="91"/>
      <x:c r="P537" s="91"/>
      <x:c r="Q537" s="85"/>
      <x:c r="S537" s="86"/>
      <x:c r="T537" s="32"/>
    </x:row>
    <x:row r="538">
      <x:c r="A538" s="87"/>
      <x:c r="B538" s="88"/>
      <x:c r="D538" s="32"/>
      <x:c r="I538" s="74"/>
      <x:c r="J538" s="74"/>
      <x:c r="K538" s="74"/>
      <x:c r="L538" s="74"/>
      <x:c r="M538" s="91"/>
      <x:c r="N538" s="91"/>
      <x:c r="O538" s="91"/>
      <x:c r="P538" s="91"/>
      <x:c r="Q538" s="85"/>
      <x:c r="S538" s="86"/>
      <x:c r="T538" s="32"/>
    </x:row>
    <x:row r="539">
      <x:c r="A539" s="87"/>
      <x:c r="B539" s="88"/>
      <x:c r="D539" s="32"/>
      <x:c r="I539" s="74"/>
      <x:c r="J539" s="74"/>
      <x:c r="K539" s="74"/>
      <x:c r="L539" s="74"/>
      <x:c r="M539" s="91"/>
      <x:c r="N539" s="91"/>
      <x:c r="O539" s="91"/>
      <x:c r="P539" s="91"/>
      <x:c r="Q539" s="85"/>
      <x:c r="S539" s="86"/>
      <x:c r="T539" s="32"/>
    </x:row>
    <x:row r="540">
      <x:c r="A540" s="87"/>
      <x:c r="B540" s="88"/>
      <x:c r="D540" s="32"/>
      <x:c r="I540" s="74"/>
      <x:c r="J540" s="74"/>
      <x:c r="K540" s="74"/>
      <x:c r="L540" s="74"/>
      <x:c r="M540" s="91"/>
      <x:c r="N540" s="91"/>
      <x:c r="O540" s="91"/>
      <x:c r="P540" s="91"/>
      <x:c r="Q540" s="85"/>
      <x:c r="S540" s="86"/>
      <x:c r="T540" s="32"/>
    </x:row>
    <x:row r="541">
      <x:c r="A541" s="87"/>
      <x:c r="B541" s="88"/>
      <x:c r="D541" s="32"/>
      <x:c r="I541" s="74"/>
      <x:c r="J541" s="74"/>
      <x:c r="K541" s="74"/>
      <x:c r="L541" s="74"/>
      <x:c r="M541" s="91"/>
      <x:c r="N541" s="91"/>
      <x:c r="O541" s="91"/>
      <x:c r="P541" s="91"/>
      <x:c r="Q541" s="85"/>
      <x:c r="S541" s="86"/>
      <x:c r="T541" s="32"/>
    </x:row>
    <x:row r="542">
      <x:c r="A542" s="87"/>
      <x:c r="B542" s="88"/>
      <x:c r="D542" s="32"/>
      <x:c r="I542" s="74"/>
      <x:c r="J542" s="74"/>
      <x:c r="K542" s="74"/>
      <x:c r="L542" s="74"/>
      <x:c r="M542" s="91"/>
      <x:c r="N542" s="91"/>
      <x:c r="O542" s="91"/>
      <x:c r="P542" s="91"/>
      <x:c r="Q542" s="85"/>
      <x:c r="S542" s="86"/>
      <x:c r="T542" s="32"/>
    </x:row>
    <x:row r="543">
      <x:c r="A543" s="87"/>
      <x:c r="B543" s="88"/>
      <x:c r="D543" s="32"/>
      <x:c r="I543" s="74"/>
      <x:c r="J543" s="74"/>
      <x:c r="K543" s="74"/>
      <x:c r="L543" s="74"/>
      <x:c r="M543" s="91"/>
      <x:c r="N543" s="91"/>
      <x:c r="O543" s="91"/>
      <x:c r="P543" s="91"/>
      <x:c r="Q543" s="85"/>
      <x:c r="S543" s="86"/>
      <x:c r="T543" s="32"/>
    </x:row>
    <x:row r="544">
      <x:c r="A544" s="87"/>
      <x:c r="B544" s="88"/>
      <x:c r="D544" s="32"/>
      <x:c r="I544" s="74"/>
      <x:c r="J544" s="74"/>
      <x:c r="K544" s="74"/>
      <x:c r="L544" s="74"/>
      <x:c r="M544" s="91"/>
      <x:c r="N544" s="91"/>
      <x:c r="O544" s="91"/>
      <x:c r="P544" s="91"/>
      <x:c r="Q544" s="85"/>
      <x:c r="S544" s="86"/>
      <x:c r="T544" s="32"/>
    </x:row>
    <x:row r="545">
      <x:c r="A545" s="87"/>
      <x:c r="B545" s="88"/>
      <x:c r="D545" s="32"/>
      <x:c r="I545" s="74"/>
      <x:c r="J545" s="74"/>
      <x:c r="K545" s="74"/>
      <x:c r="L545" s="74"/>
      <x:c r="M545" s="91"/>
      <x:c r="N545" s="91"/>
      <x:c r="O545" s="91"/>
      <x:c r="P545" s="91"/>
      <x:c r="Q545" s="85"/>
      <x:c r="S545" s="86"/>
      <x:c r="T545" s="32"/>
    </x:row>
    <x:row r="546">
      <x:c r="A546" s="87"/>
      <x:c r="B546" s="88"/>
      <x:c r="D546" s="32"/>
      <x:c r="I546" s="74"/>
      <x:c r="J546" s="74"/>
      <x:c r="K546" s="74"/>
      <x:c r="L546" s="74"/>
      <x:c r="M546" s="91"/>
      <x:c r="N546" s="91"/>
      <x:c r="O546" s="91"/>
      <x:c r="P546" s="91"/>
      <x:c r="Q546" s="85"/>
      <x:c r="S546" s="86"/>
      <x:c r="T546" s="32"/>
    </x:row>
    <x:row r="547">
      <x:c r="A547" s="87"/>
      <x:c r="B547" s="88"/>
      <x:c r="D547" s="32"/>
      <x:c r="I547" s="74"/>
      <x:c r="J547" s="74"/>
      <x:c r="K547" s="74"/>
      <x:c r="L547" s="74"/>
      <x:c r="M547" s="91"/>
      <x:c r="N547" s="91"/>
      <x:c r="O547" s="91"/>
      <x:c r="P547" s="91"/>
      <x:c r="Q547" s="85"/>
      <x:c r="S547" s="86"/>
      <x:c r="T547" s="32"/>
    </x:row>
    <x:row r="548">
      <x:c r="A548" s="87"/>
      <x:c r="B548" s="88"/>
      <x:c r="D548" s="32"/>
      <x:c r="I548" s="74"/>
      <x:c r="J548" s="74"/>
      <x:c r="K548" s="74"/>
      <x:c r="L548" s="74"/>
      <x:c r="M548" s="91"/>
      <x:c r="N548" s="91"/>
      <x:c r="O548" s="91"/>
      <x:c r="P548" s="91"/>
      <x:c r="Q548" s="85"/>
      <x:c r="S548" s="86"/>
      <x:c r="T548" s="32"/>
    </x:row>
    <x:row r="549">
      <x:c r="A549" s="87"/>
      <x:c r="B549" s="88"/>
      <x:c r="D549" s="32"/>
      <x:c r="I549" s="74"/>
      <x:c r="J549" s="74"/>
      <x:c r="K549" s="74"/>
      <x:c r="L549" s="74"/>
      <x:c r="M549" s="91"/>
      <x:c r="N549" s="91"/>
      <x:c r="O549" s="91"/>
      <x:c r="P549" s="91"/>
      <x:c r="Q549" s="85"/>
      <x:c r="S549" s="86"/>
      <x:c r="T549" s="32"/>
    </x:row>
    <x:row r="550">
      <x:c r="A550" s="87"/>
      <x:c r="B550" s="88"/>
      <x:c r="D550" s="32"/>
      <x:c r="I550" s="74"/>
      <x:c r="J550" s="74"/>
      <x:c r="K550" s="74"/>
      <x:c r="L550" s="74"/>
      <x:c r="M550" s="91"/>
      <x:c r="N550" s="91"/>
      <x:c r="O550" s="91"/>
      <x:c r="P550" s="91"/>
      <x:c r="Q550" s="85"/>
      <x:c r="S550" s="86"/>
      <x:c r="T550" s="32"/>
    </x:row>
    <x:row r="551">
      <x:c r="A551" s="87"/>
      <x:c r="B551" s="88"/>
      <x:c r="D551" s="32"/>
      <x:c r="I551" s="74"/>
      <x:c r="J551" s="74"/>
      <x:c r="K551" s="74"/>
      <x:c r="L551" s="74"/>
      <x:c r="M551" s="91"/>
      <x:c r="N551" s="91"/>
      <x:c r="O551" s="91"/>
      <x:c r="P551" s="91"/>
      <x:c r="Q551" s="85"/>
      <x:c r="S551" s="86"/>
      <x:c r="T551" s="32"/>
    </x:row>
    <x:row r="552">
      <x:c r="A552" s="87"/>
      <x:c r="B552" s="88"/>
      <x:c r="D552" s="32"/>
      <x:c r="I552" s="74"/>
      <x:c r="J552" s="74"/>
      <x:c r="K552" s="74"/>
      <x:c r="L552" s="74"/>
      <x:c r="M552" s="91"/>
      <x:c r="N552" s="91"/>
      <x:c r="O552" s="91"/>
      <x:c r="P552" s="91"/>
      <x:c r="Q552" s="85"/>
      <x:c r="S552" s="86"/>
      <x:c r="T552" s="32"/>
    </x:row>
    <x:row r="553">
      <x:c r="A553" s="87"/>
      <x:c r="B553" s="88"/>
      <x:c r="D553" s="32"/>
      <x:c r="I553" s="74"/>
      <x:c r="J553" s="74"/>
      <x:c r="K553" s="74"/>
      <x:c r="L553" s="74"/>
      <x:c r="M553" s="91"/>
      <x:c r="N553" s="91"/>
      <x:c r="O553" s="91"/>
      <x:c r="P553" s="91"/>
      <x:c r="Q553" s="85"/>
      <x:c r="S553" s="86"/>
      <x:c r="T553" s="32"/>
    </x:row>
    <x:row r="554">
      <x:c r="A554" s="87"/>
      <x:c r="B554" s="88"/>
      <x:c r="D554" s="32"/>
      <x:c r="I554" s="74"/>
      <x:c r="J554" s="74"/>
      <x:c r="K554" s="74"/>
      <x:c r="L554" s="74"/>
      <x:c r="M554" s="91"/>
      <x:c r="N554" s="91"/>
      <x:c r="O554" s="91"/>
      <x:c r="P554" s="91"/>
      <x:c r="Q554" s="85"/>
      <x:c r="S554" s="86"/>
      <x:c r="T554" s="32"/>
    </x:row>
    <x:row r="555">
      <x:c r="A555" s="87"/>
      <x:c r="B555" s="88"/>
      <x:c r="D555" s="32"/>
      <x:c r="I555" s="74"/>
      <x:c r="J555" s="74"/>
      <x:c r="K555" s="74"/>
      <x:c r="L555" s="74"/>
      <x:c r="M555" s="91"/>
      <x:c r="N555" s="91"/>
      <x:c r="O555" s="91"/>
      <x:c r="P555" s="91"/>
      <x:c r="Q555" s="85"/>
      <x:c r="S555" s="86"/>
      <x:c r="T555" s="32"/>
    </x:row>
    <x:row r="556">
      <x:c r="A556" s="87"/>
      <x:c r="B556" s="88"/>
      <x:c r="D556" s="32"/>
      <x:c r="I556" s="74"/>
      <x:c r="J556" s="74"/>
      <x:c r="K556" s="74"/>
      <x:c r="L556" s="74"/>
      <x:c r="M556" s="91"/>
      <x:c r="N556" s="91"/>
      <x:c r="O556" s="91"/>
      <x:c r="P556" s="91"/>
      <x:c r="Q556" s="85"/>
      <x:c r="S556" s="86"/>
      <x:c r="T556" s="32"/>
    </x:row>
    <x:row r="557">
      <x:c r="A557" s="87"/>
      <x:c r="B557" s="88"/>
      <x:c r="D557" s="32"/>
      <x:c r="I557" s="74"/>
      <x:c r="J557" s="74"/>
      <x:c r="K557" s="74"/>
      <x:c r="L557" s="74"/>
      <x:c r="M557" s="91"/>
      <x:c r="N557" s="91"/>
      <x:c r="O557" s="91"/>
      <x:c r="P557" s="91"/>
      <x:c r="Q557" s="85"/>
      <x:c r="S557" s="86"/>
      <x:c r="T557" s="32"/>
    </x:row>
    <x:row r="558">
      <x:c r="A558" s="87"/>
      <x:c r="B558" s="88"/>
      <x:c r="D558" s="32"/>
      <x:c r="I558" s="74"/>
      <x:c r="J558" s="74"/>
      <x:c r="K558" s="74"/>
      <x:c r="L558" s="74"/>
      <x:c r="M558" s="91"/>
      <x:c r="N558" s="91"/>
      <x:c r="O558" s="91"/>
      <x:c r="P558" s="91"/>
      <x:c r="Q558" s="85"/>
      <x:c r="S558" s="86"/>
      <x:c r="T558" s="32"/>
    </x:row>
    <x:row r="559">
      <x:c r="A559" s="87"/>
      <x:c r="B559" s="88"/>
      <x:c r="D559" s="32"/>
      <x:c r="I559" s="74"/>
      <x:c r="J559" s="74"/>
      <x:c r="K559" s="74"/>
      <x:c r="L559" s="74"/>
      <x:c r="M559" s="91"/>
      <x:c r="N559" s="91"/>
      <x:c r="O559" s="91"/>
      <x:c r="P559" s="91"/>
      <x:c r="Q559" s="85"/>
      <x:c r="S559" s="86"/>
      <x:c r="T559" s="32"/>
    </x:row>
    <x:row r="560">
      <x:c r="A560" s="87"/>
      <x:c r="B560" s="88"/>
      <x:c r="D560" s="32"/>
      <x:c r="I560" s="74"/>
      <x:c r="J560" s="74"/>
      <x:c r="K560" s="74"/>
      <x:c r="L560" s="74"/>
      <x:c r="M560" s="91"/>
      <x:c r="N560" s="91"/>
      <x:c r="O560" s="91"/>
      <x:c r="P560" s="91"/>
      <x:c r="Q560" s="85"/>
      <x:c r="S560" s="86"/>
      <x:c r="T560" s="32"/>
    </x:row>
    <x:row r="561">
      <x:c r="A561" s="87"/>
      <x:c r="B561" s="88"/>
      <x:c r="D561" s="32"/>
      <x:c r="I561" s="74"/>
      <x:c r="J561" s="74"/>
      <x:c r="K561" s="74"/>
      <x:c r="L561" s="74"/>
      <x:c r="M561" s="91"/>
      <x:c r="N561" s="91"/>
      <x:c r="O561" s="91"/>
      <x:c r="P561" s="91"/>
      <x:c r="Q561" s="85"/>
      <x:c r="S561" s="86"/>
      <x:c r="T561" s="32"/>
    </x:row>
    <x:row r="562">
      <x:c r="A562" s="87"/>
      <x:c r="B562" s="88"/>
      <x:c r="D562" s="32"/>
      <x:c r="I562" s="74"/>
      <x:c r="J562" s="74"/>
      <x:c r="K562" s="74"/>
      <x:c r="L562" s="74"/>
      <x:c r="M562" s="91"/>
      <x:c r="N562" s="91"/>
      <x:c r="O562" s="91"/>
      <x:c r="P562" s="91"/>
      <x:c r="Q562" s="85"/>
      <x:c r="S562" s="86"/>
      <x:c r="T562" s="32"/>
    </x:row>
    <x:row r="563">
      <x:c r="A563" s="87"/>
      <x:c r="B563" s="88"/>
      <x:c r="D563" s="32"/>
      <x:c r="I563" s="74"/>
      <x:c r="J563" s="74"/>
      <x:c r="K563" s="74"/>
      <x:c r="L563" s="74"/>
      <x:c r="M563" s="91"/>
      <x:c r="N563" s="91"/>
      <x:c r="O563" s="91"/>
      <x:c r="P563" s="91"/>
      <x:c r="Q563" s="85"/>
      <x:c r="S563" s="86"/>
      <x:c r="T563" s="32"/>
    </x:row>
    <x:row r="564">
      <x:c r="A564" s="87"/>
      <x:c r="B564" s="88"/>
      <x:c r="D564" s="32"/>
      <x:c r="I564" s="74"/>
      <x:c r="J564" s="74"/>
      <x:c r="K564" s="74"/>
      <x:c r="L564" s="74"/>
      <x:c r="M564" s="91"/>
      <x:c r="N564" s="91"/>
      <x:c r="O564" s="91"/>
      <x:c r="P564" s="91"/>
      <x:c r="Q564" s="85"/>
      <x:c r="S564" s="86"/>
      <x:c r="T564" s="32"/>
    </x:row>
    <x:row r="565">
      <x:c r="A565" s="87"/>
      <x:c r="B565" s="88"/>
      <x:c r="D565" s="32"/>
      <x:c r="I565" s="74"/>
      <x:c r="J565" s="74"/>
      <x:c r="K565" s="74"/>
      <x:c r="L565" s="74"/>
      <x:c r="M565" s="91"/>
      <x:c r="N565" s="91"/>
      <x:c r="O565" s="91"/>
      <x:c r="P565" s="91"/>
      <x:c r="Q565" s="85"/>
      <x:c r="S565" s="86"/>
      <x:c r="T565" s="32"/>
    </x:row>
    <x:row r="566">
      <x:c r="A566" s="87"/>
      <x:c r="B566" s="88"/>
      <x:c r="D566" s="32"/>
      <x:c r="I566" s="74"/>
      <x:c r="J566" s="74"/>
      <x:c r="K566" s="74"/>
      <x:c r="L566" s="74"/>
      <x:c r="M566" s="91"/>
      <x:c r="N566" s="91"/>
      <x:c r="O566" s="91"/>
      <x:c r="P566" s="91"/>
      <x:c r="Q566" s="85"/>
      <x:c r="S566" s="86"/>
      <x:c r="T566" s="32"/>
    </x:row>
    <x:row r="567">
      <x:c r="A567" s="87"/>
      <x:c r="B567" s="88"/>
      <x:c r="D567" s="32"/>
      <x:c r="I567" s="74"/>
      <x:c r="J567" s="74"/>
      <x:c r="K567" s="74"/>
      <x:c r="L567" s="74"/>
      <x:c r="M567" s="91"/>
      <x:c r="N567" s="91"/>
      <x:c r="O567" s="91"/>
      <x:c r="P567" s="91"/>
      <x:c r="Q567" s="85"/>
      <x:c r="S567" s="86"/>
      <x:c r="T567" s="32"/>
    </x:row>
    <x:row r="568">
      <x:c r="A568" s="87"/>
      <x:c r="B568" s="88"/>
      <x:c r="D568" s="32"/>
      <x:c r="I568" s="74"/>
      <x:c r="J568" s="74"/>
      <x:c r="K568" s="74"/>
      <x:c r="L568" s="74"/>
      <x:c r="M568" s="91"/>
      <x:c r="N568" s="91"/>
      <x:c r="O568" s="91"/>
      <x:c r="P568" s="91"/>
      <x:c r="Q568" s="85"/>
      <x:c r="S568" s="86"/>
      <x:c r="T568" s="32"/>
    </x:row>
    <x:row r="569">
      <x:c r="A569" s="87"/>
      <x:c r="B569" s="88"/>
      <x:c r="D569" s="32"/>
      <x:c r="I569" s="74"/>
      <x:c r="J569" s="74"/>
      <x:c r="K569" s="74"/>
      <x:c r="L569" s="74"/>
      <x:c r="M569" s="91"/>
      <x:c r="N569" s="91"/>
      <x:c r="O569" s="91"/>
      <x:c r="P569" s="91"/>
      <x:c r="Q569" s="85"/>
      <x:c r="S569" s="86"/>
      <x:c r="T569" s="32"/>
    </x:row>
    <x:row r="570">
      <x:c r="A570" s="87"/>
      <x:c r="B570" s="88"/>
      <x:c r="D570" s="32"/>
      <x:c r="I570" s="74"/>
      <x:c r="J570" s="74"/>
      <x:c r="K570" s="74"/>
      <x:c r="L570" s="74"/>
      <x:c r="M570" s="91"/>
      <x:c r="N570" s="91"/>
      <x:c r="O570" s="91"/>
      <x:c r="P570" s="91"/>
      <x:c r="Q570" s="85"/>
      <x:c r="S570" s="86"/>
      <x:c r="T570" s="32"/>
    </x:row>
    <x:row r="571">
      <x:c r="A571" s="87"/>
      <x:c r="B571" s="88"/>
      <x:c r="D571" s="32"/>
      <x:c r="I571" s="74"/>
      <x:c r="J571" s="74"/>
      <x:c r="K571" s="74"/>
      <x:c r="L571" s="74"/>
      <x:c r="M571" s="91"/>
      <x:c r="N571" s="91"/>
      <x:c r="O571" s="91"/>
      <x:c r="P571" s="91"/>
      <x:c r="Q571" s="85"/>
      <x:c r="S571" s="86"/>
      <x:c r="T571" s="32"/>
    </x:row>
    <x:row r="572">
      <x:c r="A572" s="87"/>
      <x:c r="B572" s="88"/>
      <x:c r="D572" s="32"/>
      <x:c r="I572" s="74"/>
      <x:c r="J572" s="74"/>
      <x:c r="K572" s="74"/>
      <x:c r="L572" s="74"/>
      <x:c r="M572" s="91"/>
      <x:c r="N572" s="91"/>
      <x:c r="O572" s="91"/>
      <x:c r="P572" s="91"/>
      <x:c r="Q572" s="85"/>
      <x:c r="S572" s="86"/>
      <x:c r="T572" s="32"/>
    </x:row>
    <x:row r="573">
      <x:c r="A573" s="87"/>
      <x:c r="B573" s="88"/>
      <x:c r="D573" s="32"/>
      <x:c r="I573" s="74"/>
      <x:c r="J573" s="74"/>
      <x:c r="K573" s="74"/>
      <x:c r="L573" s="74"/>
      <x:c r="M573" s="91"/>
      <x:c r="N573" s="91"/>
      <x:c r="O573" s="91"/>
      <x:c r="P573" s="91"/>
      <x:c r="Q573" s="85"/>
      <x:c r="S573" s="86"/>
      <x:c r="T573" s="32"/>
    </x:row>
    <x:row r="574">
      <x:c r="A574" s="87"/>
      <x:c r="B574" s="88"/>
      <x:c r="D574" s="32"/>
      <x:c r="I574" s="74"/>
      <x:c r="J574" s="74"/>
      <x:c r="K574" s="74"/>
      <x:c r="L574" s="74"/>
      <x:c r="M574" s="91"/>
      <x:c r="N574" s="91"/>
      <x:c r="O574" s="91"/>
      <x:c r="P574" s="91"/>
      <x:c r="Q574" s="85"/>
      <x:c r="S574" s="86"/>
      <x:c r="T574" s="32"/>
    </x:row>
    <x:row r="575">
      <x:c r="A575" s="87"/>
      <x:c r="B575" s="88"/>
      <x:c r="D575" s="32"/>
      <x:c r="I575" s="74"/>
      <x:c r="J575" s="74"/>
      <x:c r="K575" s="74"/>
      <x:c r="L575" s="74"/>
      <x:c r="M575" s="91"/>
      <x:c r="N575" s="91"/>
      <x:c r="O575" s="91"/>
      <x:c r="P575" s="91"/>
      <x:c r="Q575" s="85"/>
      <x:c r="S575" s="86"/>
      <x:c r="T575" s="32"/>
    </x:row>
    <x:row r="576">
      <x:c r="A576" s="87"/>
      <x:c r="B576" s="88"/>
      <x:c r="D576" s="32"/>
      <x:c r="I576" s="74"/>
      <x:c r="J576" s="74"/>
      <x:c r="K576" s="74"/>
      <x:c r="L576" s="74"/>
      <x:c r="M576" s="91"/>
      <x:c r="N576" s="91"/>
      <x:c r="O576" s="91"/>
      <x:c r="P576" s="91"/>
      <x:c r="Q576" s="85"/>
      <x:c r="S576" s="86"/>
      <x:c r="T576" s="32"/>
    </x:row>
    <x:row r="577">
      <x:c r="A577" s="87"/>
      <x:c r="B577" s="88"/>
      <x:c r="D577" s="32"/>
      <x:c r="I577" s="74"/>
      <x:c r="J577" s="74"/>
      <x:c r="K577" s="74"/>
      <x:c r="L577" s="74"/>
      <x:c r="M577" s="91"/>
      <x:c r="N577" s="91"/>
      <x:c r="O577" s="91"/>
      <x:c r="P577" s="91"/>
      <x:c r="Q577" s="85"/>
      <x:c r="S577" s="86"/>
      <x:c r="T577" s="32"/>
    </x:row>
    <x:row r="578">
      <x:c r="A578" s="87"/>
      <x:c r="B578" s="88"/>
      <x:c r="D578" s="32"/>
      <x:c r="I578" s="74"/>
      <x:c r="J578" s="74"/>
      <x:c r="K578" s="74"/>
      <x:c r="L578" s="74"/>
      <x:c r="M578" s="91"/>
      <x:c r="N578" s="91"/>
      <x:c r="O578" s="91"/>
      <x:c r="P578" s="91"/>
      <x:c r="Q578" s="85"/>
      <x:c r="S578" s="86"/>
      <x:c r="T578" s="32"/>
    </x:row>
    <x:row r="579">
      <x:c r="A579" s="87"/>
      <x:c r="B579" s="88"/>
      <x:c r="D579" s="32"/>
      <x:c r="I579" s="74"/>
      <x:c r="J579" s="74"/>
      <x:c r="K579" s="74"/>
      <x:c r="L579" s="74"/>
      <x:c r="M579" s="91"/>
      <x:c r="N579" s="91"/>
      <x:c r="O579" s="91"/>
      <x:c r="P579" s="91"/>
      <x:c r="Q579" s="85"/>
      <x:c r="S579" s="86"/>
      <x:c r="T579" s="32"/>
    </x:row>
    <x:row r="580">
      <x:c r="A580" s="87"/>
      <x:c r="B580" s="88"/>
      <x:c r="D580" s="32"/>
      <x:c r="I580" s="74"/>
      <x:c r="J580" s="74"/>
      <x:c r="K580" s="74"/>
      <x:c r="L580" s="74"/>
      <x:c r="M580" s="91"/>
      <x:c r="N580" s="91"/>
      <x:c r="O580" s="91"/>
      <x:c r="P580" s="91"/>
      <x:c r="Q580" s="85"/>
      <x:c r="S580" s="86"/>
      <x:c r="T580" s="32"/>
    </x:row>
    <x:row r="581">
      <x:c r="A581" s="87"/>
      <x:c r="B581" s="88"/>
      <x:c r="D581" s="32"/>
      <x:c r="I581" s="74"/>
      <x:c r="J581" s="74"/>
      <x:c r="K581" s="74"/>
      <x:c r="L581" s="74"/>
      <x:c r="M581" s="91"/>
      <x:c r="N581" s="91"/>
      <x:c r="O581" s="91"/>
      <x:c r="P581" s="91"/>
      <x:c r="Q581" s="85"/>
      <x:c r="S581" s="86"/>
      <x:c r="T581" s="32"/>
    </x:row>
    <x:row r="582">
      <x:c r="A582" s="87"/>
      <x:c r="B582" s="88"/>
      <x:c r="D582" s="32"/>
      <x:c r="I582" s="74"/>
      <x:c r="J582" s="74"/>
      <x:c r="K582" s="74"/>
      <x:c r="L582" s="74"/>
      <x:c r="M582" s="91"/>
      <x:c r="N582" s="91"/>
      <x:c r="O582" s="91"/>
      <x:c r="P582" s="91"/>
      <x:c r="Q582" s="85"/>
      <x:c r="S582" s="86"/>
      <x:c r="T582" s="32"/>
    </x:row>
    <x:row r="583">
      <x:c r="A583" s="87"/>
      <x:c r="B583" s="88"/>
      <x:c r="D583" s="32"/>
      <x:c r="I583" s="74"/>
      <x:c r="J583" s="74"/>
      <x:c r="K583" s="74"/>
      <x:c r="L583" s="74"/>
      <x:c r="M583" s="91"/>
      <x:c r="N583" s="91"/>
      <x:c r="O583" s="91"/>
      <x:c r="P583" s="91"/>
      <x:c r="Q583" s="85"/>
      <x:c r="S583" s="86"/>
      <x:c r="T583" s="32"/>
    </x:row>
    <x:row r="584">
      <x:c r="A584" s="87"/>
      <x:c r="B584" s="88"/>
      <x:c r="D584" s="32"/>
      <x:c r="I584" s="74"/>
      <x:c r="J584" s="74"/>
      <x:c r="K584" s="74"/>
      <x:c r="L584" s="74"/>
      <x:c r="M584" s="91"/>
      <x:c r="N584" s="91"/>
      <x:c r="O584" s="91"/>
      <x:c r="P584" s="91"/>
      <x:c r="Q584" s="85"/>
      <x:c r="S584" s="86"/>
      <x:c r="T584" s="32"/>
    </x:row>
    <x:row r="585">
      <x:c r="A585" s="87"/>
      <x:c r="B585" s="88"/>
      <x:c r="D585" s="32"/>
      <x:c r="I585" s="74"/>
      <x:c r="J585" s="74"/>
      <x:c r="K585" s="74"/>
      <x:c r="L585" s="74"/>
      <x:c r="M585" s="91"/>
      <x:c r="N585" s="91"/>
      <x:c r="O585" s="91"/>
      <x:c r="P585" s="91"/>
      <x:c r="Q585" s="85"/>
      <x:c r="S585" s="86"/>
      <x:c r="T585" s="32"/>
    </x:row>
    <x:row r="586">
      <x:c r="A586" s="87"/>
      <x:c r="B586" s="88"/>
      <x:c r="D586" s="32"/>
      <x:c r="I586" s="74"/>
      <x:c r="J586" s="74"/>
      <x:c r="K586" s="74"/>
      <x:c r="L586" s="74"/>
      <x:c r="M586" s="91"/>
      <x:c r="N586" s="91"/>
      <x:c r="O586" s="91"/>
      <x:c r="P586" s="91"/>
      <x:c r="Q586" s="85"/>
      <x:c r="S586" s="86"/>
      <x:c r="T586" s="32"/>
    </x:row>
    <x:row r="587">
      <x:c r="A587" s="87"/>
      <x:c r="B587" s="88"/>
      <x:c r="D587" s="32"/>
      <x:c r="I587" s="74"/>
      <x:c r="J587" s="74"/>
      <x:c r="K587" s="74"/>
      <x:c r="L587" s="74"/>
      <x:c r="M587" s="91"/>
      <x:c r="N587" s="91"/>
      <x:c r="O587" s="91"/>
      <x:c r="P587" s="91"/>
      <x:c r="Q587" s="85"/>
      <x:c r="S587" s="86"/>
      <x:c r="T587" s="32"/>
    </x:row>
    <x:row r="588">
      <x:c r="A588" s="87"/>
      <x:c r="B588" s="88"/>
      <x:c r="D588" s="32"/>
      <x:c r="I588" s="74"/>
      <x:c r="J588" s="74"/>
      <x:c r="K588" s="74"/>
      <x:c r="L588" s="74"/>
      <x:c r="M588" s="91"/>
      <x:c r="N588" s="91"/>
      <x:c r="O588" s="91"/>
      <x:c r="P588" s="91"/>
      <x:c r="Q588" s="85"/>
      <x:c r="S588" s="86"/>
      <x:c r="T588" s="32"/>
    </x:row>
    <x:row r="589">
      <x:c r="A589" s="87"/>
      <x:c r="B589" s="88"/>
      <x:c r="D589" s="32"/>
      <x:c r="I589" s="74"/>
      <x:c r="J589" s="74"/>
      <x:c r="K589" s="74"/>
      <x:c r="L589" s="74"/>
      <x:c r="M589" s="91"/>
      <x:c r="N589" s="91"/>
      <x:c r="O589" s="91"/>
      <x:c r="P589" s="91"/>
      <x:c r="Q589" s="85"/>
      <x:c r="S589" s="86"/>
      <x:c r="T589" s="32"/>
    </x:row>
    <x:row r="590">
      <x:c r="A590" s="87"/>
      <x:c r="B590" s="88"/>
      <x:c r="D590" s="32"/>
      <x:c r="I590" s="74"/>
      <x:c r="J590" s="74"/>
      <x:c r="K590" s="74"/>
      <x:c r="L590" s="74"/>
      <x:c r="M590" s="91"/>
      <x:c r="N590" s="91"/>
      <x:c r="O590" s="91"/>
      <x:c r="P590" s="91"/>
      <x:c r="Q590" s="85"/>
      <x:c r="S590" s="86"/>
      <x:c r="T590" s="32"/>
    </x:row>
    <x:row r="591">
      <x:c r="A591" s="87"/>
      <x:c r="B591" s="88"/>
      <x:c r="D591" s="32"/>
      <x:c r="I591" s="74"/>
      <x:c r="J591" s="74"/>
      <x:c r="K591" s="74"/>
      <x:c r="L591" s="74"/>
      <x:c r="M591" s="91"/>
      <x:c r="N591" s="91"/>
      <x:c r="O591" s="91"/>
      <x:c r="P591" s="91"/>
      <x:c r="Q591" s="85"/>
      <x:c r="S591" s="86"/>
      <x:c r="T591" s="32"/>
    </x:row>
    <x:row r="592">
      <x:c r="A592" s="87"/>
      <x:c r="B592" s="88"/>
      <x:c r="D592" s="32"/>
      <x:c r="I592" s="74"/>
      <x:c r="J592" s="74"/>
      <x:c r="K592" s="74"/>
      <x:c r="L592" s="74"/>
      <x:c r="M592" s="91"/>
      <x:c r="N592" s="91"/>
      <x:c r="O592" s="91"/>
      <x:c r="P592" s="91"/>
      <x:c r="Q592" s="85"/>
      <x:c r="S592" s="86"/>
      <x:c r="T592" s="32"/>
    </x:row>
    <x:row r="593">
      <x:c r="A593" s="87"/>
      <x:c r="B593" s="88"/>
      <x:c r="D593" s="32"/>
      <x:c r="I593" s="74"/>
      <x:c r="J593" s="74"/>
      <x:c r="K593" s="74"/>
      <x:c r="L593" s="74"/>
      <x:c r="M593" s="91"/>
      <x:c r="N593" s="91"/>
      <x:c r="O593" s="91"/>
      <x:c r="P593" s="91"/>
      <x:c r="Q593" s="85"/>
      <x:c r="S593" s="86"/>
      <x:c r="T593" s="32"/>
    </x:row>
    <x:row r="594">
      <x:c r="A594" s="87"/>
      <x:c r="B594" s="88"/>
      <x:c r="D594" s="32"/>
      <x:c r="I594" s="74"/>
      <x:c r="J594" s="74"/>
      <x:c r="K594" s="74"/>
      <x:c r="L594" s="74"/>
      <x:c r="M594" s="91"/>
      <x:c r="N594" s="91"/>
      <x:c r="O594" s="91"/>
      <x:c r="P594" s="91"/>
      <x:c r="Q594" s="85"/>
      <x:c r="S594" s="86"/>
      <x:c r="T594" s="32"/>
    </x:row>
    <x:row r="595">
      <x:c r="A595" s="87"/>
      <x:c r="B595" s="88"/>
      <x:c r="D595" s="32"/>
      <x:c r="I595" s="74"/>
      <x:c r="J595" s="74"/>
      <x:c r="K595" s="74"/>
      <x:c r="L595" s="74"/>
      <x:c r="M595" s="91"/>
      <x:c r="N595" s="91"/>
      <x:c r="O595" s="91"/>
      <x:c r="P595" s="91"/>
      <x:c r="Q595" s="85"/>
      <x:c r="S595" s="86"/>
      <x:c r="T595" s="32"/>
    </x:row>
    <x:row r="596">
      <x:c r="A596" s="87"/>
      <x:c r="B596" s="88"/>
      <x:c r="D596" s="32"/>
      <x:c r="I596" s="74"/>
      <x:c r="J596" s="74"/>
      <x:c r="K596" s="74"/>
      <x:c r="L596" s="74"/>
      <x:c r="M596" s="91"/>
      <x:c r="N596" s="91"/>
      <x:c r="O596" s="91"/>
      <x:c r="P596" s="91"/>
      <x:c r="Q596" s="85"/>
      <x:c r="S596" s="86"/>
      <x:c r="T596" s="32"/>
    </x:row>
    <x:row r="597">
      <x:c r="A597" s="87"/>
      <x:c r="B597" s="88"/>
      <x:c r="D597" s="32"/>
      <x:c r="I597" s="74"/>
      <x:c r="J597" s="74"/>
      <x:c r="K597" s="74"/>
      <x:c r="L597" s="74"/>
      <x:c r="M597" s="91"/>
      <x:c r="N597" s="91"/>
      <x:c r="O597" s="91"/>
      <x:c r="P597" s="91"/>
      <x:c r="Q597" s="85"/>
      <x:c r="S597" s="86"/>
      <x:c r="T597" s="32"/>
    </x:row>
    <x:row r="598">
      <x:c r="A598" s="87"/>
      <x:c r="B598" s="88"/>
      <x:c r="D598" s="32"/>
      <x:c r="I598" s="74"/>
      <x:c r="J598" s="74"/>
      <x:c r="K598" s="74"/>
      <x:c r="L598" s="74"/>
      <x:c r="M598" s="91"/>
      <x:c r="N598" s="91"/>
      <x:c r="O598" s="91"/>
      <x:c r="P598" s="91"/>
      <x:c r="Q598" s="85"/>
      <x:c r="S598" s="86"/>
      <x:c r="T598" s="32"/>
    </x:row>
    <x:row r="599">
      <x:c r="A599" s="87"/>
      <x:c r="B599" s="88"/>
      <x:c r="D599" s="32"/>
      <x:c r="I599" s="74"/>
      <x:c r="J599" s="74"/>
      <x:c r="K599" s="74"/>
      <x:c r="L599" s="74"/>
      <x:c r="M599" s="91"/>
      <x:c r="N599" s="91"/>
      <x:c r="O599" s="91"/>
      <x:c r="P599" s="91"/>
      <x:c r="Q599" s="85"/>
      <x:c r="S599" s="86"/>
      <x:c r="T599" s="32"/>
    </x:row>
    <x:row r="600">
      <x:c r="A600" s="87"/>
      <x:c r="B600" s="88"/>
      <x:c r="D600" s="32"/>
      <x:c r="I600" s="74"/>
      <x:c r="J600" s="74"/>
      <x:c r="K600" s="74"/>
      <x:c r="L600" s="74"/>
      <x:c r="M600" s="91"/>
      <x:c r="N600" s="91"/>
      <x:c r="O600" s="91"/>
      <x:c r="P600" s="91"/>
      <x:c r="Q600" s="85"/>
      <x:c r="S600" s="86"/>
      <x:c r="T600" s="32"/>
    </x:row>
    <x:row r="601">
      <x:c r="A601" s="87"/>
      <x:c r="B601" s="88"/>
      <x:c r="D601" s="32"/>
      <x:c r="I601" s="74"/>
      <x:c r="J601" s="74"/>
      <x:c r="K601" s="74"/>
      <x:c r="L601" s="74"/>
      <x:c r="M601" s="91"/>
      <x:c r="N601" s="91"/>
      <x:c r="O601" s="91"/>
      <x:c r="P601" s="91"/>
      <x:c r="Q601" s="85"/>
      <x:c r="S601" s="86"/>
      <x:c r="T601" s="32"/>
    </x:row>
    <x:row r="602">
      <x:c r="A602" s="87"/>
      <x:c r="B602" s="88"/>
      <x:c r="D602" s="32"/>
      <x:c r="I602" s="74"/>
      <x:c r="J602" s="74"/>
      <x:c r="K602" s="74"/>
      <x:c r="L602" s="74"/>
      <x:c r="M602" s="91"/>
      <x:c r="N602" s="91"/>
      <x:c r="O602" s="91"/>
      <x:c r="P602" s="91"/>
      <x:c r="Q602" s="85"/>
      <x:c r="S602" s="86"/>
      <x:c r="T602" s="32"/>
    </x:row>
    <x:row r="603">
      <x:c r="A603" s="87"/>
      <x:c r="B603" s="88"/>
      <x:c r="D603" s="32"/>
      <x:c r="I603" s="74"/>
      <x:c r="J603" s="74"/>
      <x:c r="K603" s="74"/>
      <x:c r="L603" s="74"/>
      <x:c r="M603" s="91"/>
      <x:c r="N603" s="91"/>
      <x:c r="O603" s="91"/>
      <x:c r="P603" s="91"/>
      <x:c r="Q603" s="85"/>
      <x:c r="S603" s="86"/>
      <x:c r="T603" s="32"/>
    </x:row>
    <x:row r="604">
      <x:c r="A604" s="87"/>
      <x:c r="B604" s="88"/>
      <x:c r="D604" s="32"/>
      <x:c r="I604" s="74"/>
      <x:c r="J604" s="74"/>
      <x:c r="K604" s="74"/>
      <x:c r="L604" s="74"/>
      <x:c r="M604" s="91"/>
      <x:c r="N604" s="91"/>
      <x:c r="O604" s="91"/>
      <x:c r="P604" s="91"/>
      <x:c r="Q604" s="85"/>
      <x:c r="S604" s="86"/>
      <x:c r="T604" s="32"/>
    </x:row>
    <x:row r="605">
      <x:c r="A605" s="87"/>
      <x:c r="B605" s="88"/>
      <x:c r="D605" s="32"/>
      <x:c r="I605" s="74"/>
      <x:c r="J605" s="74"/>
      <x:c r="K605" s="74"/>
      <x:c r="L605" s="74"/>
      <x:c r="M605" s="91"/>
      <x:c r="N605" s="91"/>
      <x:c r="O605" s="91"/>
      <x:c r="P605" s="91"/>
      <x:c r="Q605" s="85"/>
      <x:c r="S605" s="86"/>
      <x:c r="T605" s="32"/>
    </x:row>
    <x:row r="606">
      <x:c r="A606" s="87"/>
      <x:c r="B606" s="88"/>
      <x:c r="D606" s="32"/>
      <x:c r="I606" s="74"/>
      <x:c r="J606" s="74"/>
      <x:c r="K606" s="74"/>
      <x:c r="L606" s="74"/>
      <x:c r="M606" s="91"/>
      <x:c r="N606" s="91"/>
      <x:c r="O606" s="91"/>
      <x:c r="P606" s="91"/>
      <x:c r="Q606" s="85"/>
      <x:c r="S606" s="86"/>
      <x:c r="T606" s="32"/>
    </x:row>
    <x:row r="607">
      <x:c r="A607" s="87"/>
      <x:c r="B607" s="88"/>
      <x:c r="D607" s="32"/>
      <x:c r="I607" s="74"/>
      <x:c r="J607" s="74"/>
      <x:c r="K607" s="74"/>
      <x:c r="L607" s="74"/>
      <x:c r="M607" s="91"/>
      <x:c r="N607" s="91"/>
      <x:c r="O607" s="91"/>
      <x:c r="P607" s="91"/>
      <x:c r="Q607" s="85"/>
      <x:c r="S607" s="86"/>
      <x:c r="T607" s="32"/>
    </x:row>
    <x:row r="608">
      <x:c r="A608" s="87"/>
      <x:c r="B608" s="88"/>
      <x:c r="D608" s="32"/>
      <x:c r="I608" s="74"/>
      <x:c r="J608" s="74"/>
      <x:c r="K608" s="74"/>
      <x:c r="L608" s="74"/>
      <x:c r="M608" s="91"/>
      <x:c r="N608" s="91"/>
      <x:c r="O608" s="91"/>
      <x:c r="P608" s="91"/>
      <x:c r="Q608" s="85"/>
      <x:c r="S608" s="86"/>
      <x:c r="T608" s="32"/>
    </x:row>
    <x:row r="609">
      <x:c r="A609" s="87"/>
      <x:c r="B609" s="88"/>
      <x:c r="D609" s="32"/>
      <x:c r="I609" s="74"/>
      <x:c r="J609" s="74"/>
      <x:c r="K609" s="74"/>
      <x:c r="L609" s="74"/>
      <x:c r="M609" s="91"/>
      <x:c r="N609" s="91"/>
      <x:c r="O609" s="91"/>
      <x:c r="P609" s="91"/>
      <x:c r="Q609" s="85"/>
      <x:c r="S609" s="86"/>
      <x:c r="T609" s="32"/>
    </x:row>
    <x:row r="610">
      <x:c r="A610" s="87"/>
      <x:c r="B610" s="88"/>
      <x:c r="D610" s="32"/>
      <x:c r="I610" s="74"/>
      <x:c r="J610" s="74"/>
      <x:c r="K610" s="74"/>
      <x:c r="L610" s="74"/>
      <x:c r="M610" s="91"/>
      <x:c r="N610" s="91"/>
      <x:c r="O610" s="91"/>
      <x:c r="P610" s="91"/>
      <x:c r="Q610" s="85"/>
      <x:c r="S610" s="86"/>
      <x:c r="T610" s="32"/>
    </x:row>
    <x:row r="611">
      <x:c r="A611" s="87"/>
      <x:c r="B611" s="88"/>
      <x:c r="D611" s="32"/>
      <x:c r="I611" s="74"/>
      <x:c r="J611" s="74"/>
      <x:c r="K611" s="74"/>
      <x:c r="L611" s="74"/>
      <x:c r="M611" s="91"/>
      <x:c r="N611" s="91"/>
      <x:c r="O611" s="91"/>
      <x:c r="P611" s="91"/>
      <x:c r="Q611" s="85"/>
      <x:c r="S611" s="86"/>
      <x:c r="T611" s="32"/>
    </x:row>
    <x:row r="612">
      <x:c r="A612" s="87"/>
      <x:c r="B612" s="88"/>
      <x:c r="D612" s="32"/>
      <x:c r="I612" s="74"/>
      <x:c r="J612" s="74"/>
      <x:c r="K612" s="74"/>
      <x:c r="L612" s="74"/>
      <x:c r="M612" s="91"/>
      <x:c r="N612" s="91"/>
      <x:c r="O612" s="91"/>
      <x:c r="P612" s="91"/>
      <x:c r="Q612" s="85"/>
      <x:c r="S612" s="86"/>
      <x:c r="T612" s="32"/>
    </x:row>
    <x:row r="613">
      <x:c r="A613" s="87"/>
      <x:c r="B613" s="88"/>
      <x:c r="D613" s="32"/>
      <x:c r="I613" s="74"/>
      <x:c r="J613" s="74"/>
      <x:c r="K613" s="74"/>
      <x:c r="L613" s="74"/>
      <x:c r="M613" s="91"/>
      <x:c r="N613" s="91"/>
      <x:c r="O613" s="91"/>
      <x:c r="P613" s="91"/>
      <x:c r="Q613" s="85"/>
      <x:c r="S613" s="86"/>
      <x:c r="T613" s="32"/>
    </x:row>
    <x:row r="614">
      <x:c r="A614" s="87"/>
      <x:c r="B614" s="88"/>
      <x:c r="D614" s="32"/>
      <x:c r="I614" s="74"/>
      <x:c r="J614" s="74"/>
      <x:c r="K614" s="74"/>
      <x:c r="L614" s="74"/>
      <x:c r="M614" s="91"/>
      <x:c r="N614" s="91"/>
      <x:c r="O614" s="91"/>
      <x:c r="P614" s="91"/>
      <x:c r="Q614" s="85"/>
      <x:c r="S614" s="86"/>
      <x:c r="T614" s="32"/>
    </x:row>
    <x:row r="615">
      <x:c r="A615" s="87"/>
      <x:c r="B615" s="88"/>
      <x:c r="D615" s="32"/>
      <x:c r="I615" s="74"/>
      <x:c r="J615" s="74"/>
      <x:c r="K615" s="74"/>
      <x:c r="L615" s="74"/>
      <x:c r="M615" s="91"/>
      <x:c r="N615" s="91"/>
      <x:c r="O615" s="91"/>
      <x:c r="P615" s="91"/>
      <x:c r="Q615" s="85"/>
      <x:c r="S615" s="86"/>
      <x:c r="T615" s="32"/>
    </x:row>
    <x:row r="616">
      <x:c r="A616" s="87"/>
      <x:c r="B616" s="88"/>
      <x:c r="D616" s="32"/>
      <x:c r="I616" s="74"/>
      <x:c r="J616" s="74"/>
      <x:c r="K616" s="74"/>
      <x:c r="L616" s="74"/>
      <x:c r="M616" s="91"/>
      <x:c r="N616" s="91"/>
      <x:c r="O616" s="91"/>
      <x:c r="P616" s="91"/>
      <x:c r="Q616" s="85"/>
      <x:c r="S616" s="86"/>
      <x:c r="T616" s="32"/>
    </x:row>
    <x:row r="617">
      <x:c r="A617" s="87"/>
      <x:c r="B617" s="88"/>
      <x:c r="D617" s="32"/>
      <x:c r="I617" s="74"/>
      <x:c r="J617" s="74"/>
      <x:c r="K617" s="74"/>
      <x:c r="L617" s="74"/>
      <x:c r="M617" s="91"/>
      <x:c r="N617" s="91"/>
      <x:c r="O617" s="91"/>
      <x:c r="P617" s="91"/>
      <x:c r="Q617" s="85"/>
      <x:c r="S617" s="86"/>
      <x:c r="T617" s="32"/>
    </x:row>
    <x:row r="618">
      <x:c r="A618" s="87"/>
      <x:c r="B618" s="88"/>
      <x:c r="D618" s="32"/>
      <x:c r="I618" s="74"/>
      <x:c r="J618" s="74"/>
      <x:c r="K618" s="74"/>
      <x:c r="L618" s="74"/>
      <x:c r="M618" s="91"/>
      <x:c r="N618" s="91"/>
      <x:c r="O618" s="91"/>
      <x:c r="P618" s="91"/>
      <x:c r="Q618" s="85"/>
      <x:c r="S618" s="86"/>
      <x:c r="T618" s="32"/>
    </x:row>
    <x:row r="619">
      <x:c r="A619" s="87"/>
      <x:c r="B619" s="88"/>
      <x:c r="D619" s="32"/>
      <x:c r="I619" s="74"/>
      <x:c r="J619" s="74"/>
      <x:c r="K619" s="74"/>
      <x:c r="L619" s="74"/>
      <x:c r="M619" s="91"/>
      <x:c r="N619" s="91"/>
      <x:c r="O619" s="91"/>
      <x:c r="P619" s="91"/>
      <x:c r="Q619" s="85"/>
      <x:c r="S619" s="86"/>
      <x:c r="T619" s="32"/>
    </x:row>
    <x:row r="620">
      <x:c r="A620" s="87"/>
      <x:c r="B620" s="88"/>
      <x:c r="D620" s="32"/>
      <x:c r="I620" s="74"/>
      <x:c r="J620" s="74"/>
      <x:c r="K620" s="74"/>
      <x:c r="L620" s="74"/>
      <x:c r="M620" s="91"/>
      <x:c r="N620" s="91"/>
      <x:c r="O620" s="91"/>
      <x:c r="P620" s="91"/>
      <x:c r="Q620" s="85"/>
      <x:c r="S620" s="86"/>
      <x:c r="T620" s="32"/>
    </x:row>
    <x:row r="621">
      <x:c r="A621" s="87"/>
      <x:c r="B621" s="88"/>
      <x:c r="D621" s="32"/>
      <x:c r="I621" s="74"/>
      <x:c r="J621" s="74"/>
      <x:c r="K621" s="74"/>
      <x:c r="L621" s="74"/>
      <x:c r="M621" s="91"/>
      <x:c r="N621" s="91"/>
      <x:c r="O621" s="91"/>
      <x:c r="P621" s="91"/>
      <x:c r="Q621" s="85"/>
      <x:c r="S621" s="86"/>
      <x:c r="T621" s="32"/>
    </x:row>
    <x:row r="622">
      <x:c r="A622" s="87"/>
      <x:c r="B622" s="88"/>
      <x:c r="D622" s="32"/>
      <x:c r="I622" s="74"/>
      <x:c r="J622" s="74"/>
      <x:c r="K622" s="74"/>
      <x:c r="L622" s="74"/>
      <x:c r="M622" s="91"/>
      <x:c r="N622" s="91"/>
      <x:c r="O622" s="91"/>
      <x:c r="P622" s="91"/>
      <x:c r="Q622" s="85"/>
      <x:c r="S622" s="86"/>
      <x:c r="T622" s="32"/>
    </x:row>
    <x:row r="623">
      <x:c r="A623" s="87"/>
      <x:c r="B623" s="88"/>
      <x:c r="D623" s="32"/>
      <x:c r="I623" s="74"/>
      <x:c r="J623" s="74"/>
      <x:c r="K623" s="74"/>
      <x:c r="L623" s="74"/>
      <x:c r="M623" s="91"/>
      <x:c r="N623" s="91"/>
      <x:c r="O623" s="91"/>
      <x:c r="P623" s="91"/>
      <x:c r="Q623" s="85"/>
      <x:c r="S623" s="86"/>
      <x:c r="T623" s="32"/>
    </x:row>
    <x:row r="624">
      <x:c r="A624" s="87"/>
      <x:c r="B624" s="88"/>
      <x:c r="D624" s="32"/>
      <x:c r="I624" s="74"/>
      <x:c r="J624" s="74"/>
      <x:c r="K624" s="74"/>
      <x:c r="L624" s="74"/>
      <x:c r="M624" s="91"/>
      <x:c r="N624" s="91"/>
      <x:c r="O624" s="91"/>
      <x:c r="P624" s="91"/>
      <x:c r="Q624" s="85"/>
      <x:c r="S624" s="86"/>
      <x:c r="T624" s="32"/>
    </x:row>
    <x:row r="625">
      <x:c r="A625" s="87"/>
      <x:c r="B625" s="88"/>
      <x:c r="D625" s="32"/>
      <x:c r="I625" s="74"/>
      <x:c r="J625" s="74"/>
      <x:c r="K625" s="74"/>
      <x:c r="L625" s="74"/>
      <x:c r="M625" s="91"/>
      <x:c r="N625" s="91"/>
      <x:c r="O625" s="91"/>
      <x:c r="P625" s="91"/>
      <x:c r="Q625" s="85"/>
      <x:c r="S625" s="86"/>
      <x:c r="T625" s="32"/>
    </x:row>
    <x:row r="626">
      <x:c r="A626" s="87"/>
      <x:c r="B626" s="88"/>
      <x:c r="D626" s="32"/>
      <x:c r="I626" s="74"/>
      <x:c r="J626" s="74"/>
      <x:c r="K626" s="74"/>
      <x:c r="L626" s="74"/>
      <x:c r="M626" s="91"/>
      <x:c r="N626" s="91"/>
      <x:c r="O626" s="91"/>
      <x:c r="P626" s="91"/>
      <x:c r="Q626" s="85"/>
      <x:c r="S626" s="86"/>
      <x:c r="T626" s="32"/>
    </x:row>
    <x:row r="627">
      <x:c r="A627" s="87"/>
      <x:c r="B627" s="88"/>
      <x:c r="D627" s="32"/>
      <x:c r="I627" s="74"/>
      <x:c r="J627" s="74"/>
      <x:c r="K627" s="74"/>
      <x:c r="L627" s="74"/>
      <x:c r="M627" s="91"/>
      <x:c r="N627" s="91"/>
      <x:c r="O627" s="91"/>
      <x:c r="P627" s="91"/>
      <x:c r="Q627" s="85"/>
      <x:c r="S627" s="86"/>
      <x:c r="T627" s="32"/>
    </x:row>
    <x:row r="628">
      <x:c r="A628" s="87"/>
      <x:c r="B628" s="88"/>
      <x:c r="D628" s="32"/>
      <x:c r="I628" s="74"/>
      <x:c r="J628" s="74"/>
      <x:c r="K628" s="74"/>
      <x:c r="L628" s="74"/>
      <x:c r="M628" s="91"/>
      <x:c r="N628" s="91"/>
      <x:c r="O628" s="91"/>
      <x:c r="P628" s="91"/>
      <x:c r="Q628" s="85"/>
      <x:c r="S628" s="86"/>
      <x:c r="T628" s="32"/>
    </x:row>
    <x:row r="629">
      <x:c r="A629" s="87"/>
      <x:c r="B629" s="88"/>
      <x:c r="D629" s="32"/>
      <x:c r="I629" s="74"/>
      <x:c r="J629" s="74"/>
      <x:c r="K629" s="74"/>
      <x:c r="L629" s="74"/>
      <x:c r="M629" s="91"/>
      <x:c r="N629" s="91"/>
      <x:c r="O629" s="91"/>
      <x:c r="P629" s="91"/>
      <x:c r="Q629" s="85"/>
      <x:c r="S629" s="86"/>
      <x:c r="T629" s="32"/>
    </x:row>
    <x:row r="630">
      <x:c r="A630" s="87"/>
      <x:c r="B630" s="88"/>
      <x:c r="D630" s="32"/>
      <x:c r="I630" s="74"/>
      <x:c r="J630" s="74"/>
      <x:c r="K630" s="74"/>
      <x:c r="L630" s="74"/>
      <x:c r="M630" s="91"/>
      <x:c r="N630" s="91"/>
      <x:c r="O630" s="91"/>
      <x:c r="P630" s="91"/>
      <x:c r="Q630" s="85"/>
      <x:c r="S630" s="86"/>
      <x:c r="T630" s="32"/>
    </x:row>
    <x:row r="631">
      <x:c r="A631" s="87"/>
      <x:c r="B631" s="88"/>
      <x:c r="D631" s="32"/>
      <x:c r="I631" s="74"/>
      <x:c r="J631" s="74"/>
      <x:c r="K631" s="74"/>
      <x:c r="L631" s="74"/>
      <x:c r="M631" s="91"/>
      <x:c r="N631" s="91"/>
      <x:c r="O631" s="91"/>
      <x:c r="P631" s="91"/>
      <x:c r="Q631" s="85"/>
      <x:c r="S631" s="86"/>
      <x:c r="T631" s="32"/>
    </x:row>
    <x:row r="632">
      <x:c r="A632" s="87"/>
      <x:c r="B632" s="88"/>
      <x:c r="D632" s="32"/>
      <x:c r="I632" s="74"/>
      <x:c r="J632" s="74"/>
      <x:c r="K632" s="74"/>
      <x:c r="L632" s="74"/>
      <x:c r="M632" s="91"/>
      <x:c r="N632" s="91"/>
      <x:c r="O632" s="91"/>
      <x:c r="P632" s="91"/>
      <x:c r="Q632" s="85"/>
      <x:c r="S632" s="86"/>
      <x:c r="T632" s="32"/>
    </x:row>
    <x:row r="633">
      <x:c r="A633" s="87"/>
      <x:c r="B633" s="88"/>
      <x:c r="D633" s="32"/>
      <x:c r="I633" s="74"/>
      <x:c r="J633" s="74"/>
      <x:c r="K633" s="74"/>
      <x:c r="L633" s="74"/>
      <x:c r="M633" s="91"/>
      <x:c r="N633" s="91"/>
      <x:c r="O633" s="91"/>
      <x:c r="P633" s="91"/>
      <x:c r="Q633" s="85"/>
      <x:c r="S633" s="86"/>
      <x:c r="T633" s="32"/>
    </x:row>
    <x:row r="634">
      <x:c r="A634" s="87"/>
      <x:c r="B634" s="88"/>
      <x:c r="D634" s="32"/>
      <x:c r="I634" s="74"/>
      <x:c r="J634" s="74"/>
      <x:c r="K634" s="74"/>
      <x:c r="L634" s="74"/>
      <x:c r="M634" s="91"/>
      <x:c r="N634" s="91"/>
      <x:c r="O634" s="91"/>
      <x:c r="P634" s="91"/>
      <x:c r="Q634" s="85"/>
      <x:c r="S634" s="86"/>
      <x:c r="T634" s="32"/>
    </x:row>
    <x:row r="635">
      <x:c r="A635" s="87"/>
      <x:c r="B635" s="88"/>
      <x:c r="D635" s="32"/>
      <x:c r="I635" s="74"/>
      <x:c r="J635" s="74"/>
      <x:c r="K635" s="74"/>
      <x:c r="L635" s="74"/>
      <x:c r="M635" s="91"/>
      <x:c r="N635" s="91"/>
      <x:c r="O635" s="91"/>
      <x:c r="P635" s="91"/>
      <x:c r="Q635" s="85"/>
      <x:c r="S635" s="86"/>
      <x:c r="T635" s="32"/>
    </x:row>
    <x:row r="636">
      <x:c r="A636" s="87"/>
      <x:c r="B636" s="88"/>
      <x:c r="D636" s="32"/>
      <x:c r="I636" s="74"/>
      <x:c r="J636" s="74"/>
      <x:c r="K636" s="74"/>
      <x:c r="L636" s="74"/>
      <x:c r="M636" s="91"/>
      <x:c r="N636" s="91"/>
      <x:c r="O636" s="91"/>
      <x:c r="P636" s="91"/>
      <x:c r="Q636" s="85"/>
      <x:c r="S636" s="86"/>
      <x:c r="T636" s="32"/>
    </x:row>
    <x:row r="637">
      <x:c r="A637" s="87"/>
      <x:c r="B637" s="88"/>
      <x:c r="D637" s="32"/>
      <x:c r="I637" s="74"/>
      <x:c r="J637" s="74"/>
      <x:c r="K637" s="74"/>
      <x:c r="L637" s="74"/>
      <x:c r="M637" s="91"/>
      <x:c r="N637" s="91"/>
      <x:c r="O637" s="91"/>
      <x:c r="P637" s="91"/>
      <x:c r="Q637" s="85"/>
      <x:c r="S637" s="86"/>
      <x:c r="T637" s="32"/>
    </x:row>
    <x:row r="638">
      <x:c r="A638" s="87"/>
      <x:c r="B638" s="88"/>
      <x:c r="D638" s="32"/>
      <x:c r="I638" s="74"/>
      <x:c r="J638" s="74"/>
      <x:c r="K638" s="74"/>
      <x:c r="L638" s="74"/>
      <x:c r="M638" s="91"/>
      <x:c r="N638" s="91"/>
      <x:c r="O638" s="91"/>
      <x:c r="P638" s="91"/>
      <x:c r="Q638" s="85"/>
      <x:c r="S638" s="86"/>
      <x:c r="T638" s="32"/>
    </x:row>
    <x:row r="639">
      <x:c r="A639" s="87"/>
      <x:c r="B639" s="88"/>
      <x:c r="D639" s="32"/>
      <x:c r="I639" s="74"/>
      <x:c r="J639" s="74"/>
      <x:c r="K639" s="74"/>
      <x:c r="L639" s="74"/>
      <x:c r="M639" s="91"/>
      <x:c r="N639" s="91"/>
      <x:c r="O639" s="91"/>
      <x:c r="P639" s="91"/>
      <x:c r="Q639" s="85"/>
      <x:c r="S639" s="86"/>
      <x:c r="T639" s="32"/>
    </x:row>
    <x:row r="640">
      <x:c r="A640" s="87"/>
      <x:c r="B640" s="88"/>
      <x:c r="D640" s="32"/>
      <x:c r="I640" s="74"/>
      <x:c r="J640" s="74"/>
      <x:c r="K640" s="74"/>
      <x:c r="L640" s="74"/>
      <x:c r="M640" s="91"/>
      <x:c r="N640" s="91"/>
      <x:c r="O640" s="91"/>
      <x:c r="P640" s="91"/>
      <x:c r="Q640" s="85"/>
      <x:c r="S640" s="86"/>
      <x:c r="T640" s="32"/>
    </x:row>
    <x:row r="641">
      <x:c r="A641" s="87"/>
      <x:c r="B641" s="88"/>
      <x:c r="D641" s="32"/>
      <x:c r="I641" s="74"/>
      <x:c r="J641" s="74"/>
      <x:c r="K641" s="74"/>
      <x:c r="L641" s="74"/>
      <x:c r="M641" s="91"/>
      <x:c r="N641" s="91"/>
      <x:c r="O641" s="91"/>
      <x:c r="P641" s="91"/>
      <x:c r="Q641" s="85"/>
      <x:c r="S641" s="86"/>
      <x:c r="T641" s="32"/>
    </x:row>
    <x:row r="642">
      <x:c r="A642" s="87"/>
      <x:c r="B642" s="88"/>
      <x:c r="D642" s="32"/>
      <x:c r="I642" s="74"/>
      <x:c r="J642" s="74"/>
      <x:c r="K642" s="74"/>
      <x:c r="L642" s="74"/>
      <x:c r="M642" s="91"/>
      <x:c r="N642" s="91"/>
      <x:c r="O642" s="91"/>
      <x:c r="P642" s="91"/>
      <x:c r="Q642" s="85"/>
      <x:c r="S642" s="86"/>
      <x:c r="T642" s="32"/>
    </x:row>
    <x:row r="643">
      <x:c r="A643" s="87"/>
      <x:c r="B643" s="88"/>
      <x:c r="D643" s="32"/>
      <x:c r="I643" s="74"/>
      <x:c r="J643" s="74"/>
      <x:c r="K643" s="74"/>
      <x:c r="L643" s="74"/>
      <x:c r="M643" s="91"/>
      <x:c r="N643" s="91"/>
      <x:c r="O643" s="91"/>
      <x:c r="P643" s="91"/>
      <x:c r="Q643" s="85"/>
      <x:c r="S643" s="86"/>
      <x:c r="T643" s="32"/>
    </x:row>
    <x:row r="644">
      <x:c r="A644" s="87"/>
      <x:c r="B644" s="88"/>
      <x:c r="D644" s="32"/>
      <x:c r="I644" s="74"/>
      <x:c r="J644" s="74"/>
      <x:c r="K644" s="74"/>
      <x:c r="L644" s="74"/>
      <x:c r="M644" s="91"/>
      <x:c r="N644" s="91"/>
      <x:c r="O644" s="91"/>
      <x:c r="P644" s="91"/>
      <x:c r="Q644" s="85"/>
      <x:c r="S644" s="86"/>
      <x:c r="T644" s="32"/>
    </x:row>
    <x:row r="645">
      <x:c r="A645" s="87"/>
      <x:c r="B645" s="88"/>
      <x:c r="D645" s="32"/>
      <x:c r="I645" s="74"/>
      <x:c r="J645" s="74"/>
      <x:c r="K645" s="74"/>
      <x:c r="L645" s="74"/>
      <x:c r="M645" s="91"/>
      <x:c r="N645" s="91"/>
      <x:c r="O645" s="91"/>
      <x:c r="P645" s="91"/>
      <x:c r="Q645" s="85"/>
      <x:c r="S645" s="86"/>
      <x:c r="T645" s="32"/>
    </x:row>
    <x:row r="646">
      <x:c r="A646" s="87"/>
      <x:c r="B646" s="88"/>
      <x:c r="D646" s="32"/>
      <x:c r="I646" s="74"/>
      <x:c r="J646" s="74"/>
      <x:c r="K646" s="74"/>
      <x:c r="L646" s="74"/>
      <x:c r="M646" s="91"/>
      <x:c r="N646" s="91"/>
      <x:c r="O646" s="91"/>
      <x:c r="P646" s="91"/>
      <x:c r="Q646" s="85"/>
      <x:c r="S646" s="86"/>
      <x:c r="T646" s="32"/>
    </x:row>
    <x:row r="647">
      <x:c r="A647" s="87"/>
      <x:c r="B647" s="88"/>
      <x:c r="D647" s="32"/>
      <x:c r="I647" s="74"/>
      <x:c r="J647" s="74"/>
      <x:c r="K647" s="74"/>
      <x:c r="L647" s="74"/>
      <x:c r="M647" s="91"/>
      <x:c r="N647" s="91"/>
      <x:c r="O647" s="91"/>
      <x:c r="P647" s="91"/>
      <x:c r="Q647" s="85"/>
      <x:c r="S647" s="86"/>
      <x:c r="T647" s="32"/>
    </x:row>
    <x:row r="648">
      <x:c r="A648" s="87"/>
      <x:c r="B648" s="88"/>
      <x:c r="D648" s="32"/>
      <x:c r="I648" s="74"/>
      <x:c r="J648" s="74"/>
      <x:c r="K648" s="74"/>
      <x:c r="L648" s="74"/>
      <x:c r="M648" s="91"/>
      <x:c r="N648" s="91"/>
      <x:c r="O648" s="91"/>
      <x:c r="P648" s="91"/>
      <x:c r="Q648" s="85"/>
      <x:c r="S648" s="86"/>
      <x:c r="T648" s="32"/>
    </x:row>
    <x:row r="649">
      <x:c r="A649" s="87"/>
      <x:c r="B649" s="88"/>
      <x:c r="D649" s="32"/>
      <x:c r="I649" s="74"/>
      <x:c r="J649" s="74"/>
      <x:c r="K649" s="74"/>
      <x:c r="L649" s="74"/>
      <x:c r="M649" s="91"/>
      <x:c r="N649" s="91"/>
      <x:c r="O649" s="91"/>
      <x:c r="P649" s="91"/>
      <x:c r="Q649" s="85"/>
      <x:c r="S649" s="86"/>
      <x:c r="T649" s="32"/>
    </x:row>
    <x:row r="650">
      <x:c r="A650" s="87"/>
      <x:c r="B650" s="88"/>
      <x:c r="D650" s="32"/>
      <x:c r="I650" s="74"/>
      <x:c r="J650" s="74"/>
      <x:c r="K650" s="74"/>
      <x:c r="L650" s="74"/>
      <x:c r="M650" s="91"/>
      <x:c r="N650" s="91"/>
      <x:c r="O650" s="91"/>
      <x:c r="P650" s="91"/>
      <x:c r="Q650" s="85"/>
      <x:c r="S650" s="86"/>
      <x:c r="T650" s="32"/>
    </x:row>
    <x:row r="651">
      <x:c r="A651" s="87"/>
      <x:c r="B651" s="88"/>
      <x:c r="D651" s="32"/>
      <x:c r="I651" s="74"/>
      <x:c r="J651" s="74"/>
      <x:c r="K651" s="74"/>
      <x:c r="L651" s="74"/>
      <x:c r="M651" s="91"/>
      <x:c r="N651" s="91"/>
      <x:c r="O651" s="91"/>
      <x:c r="P651" s="91"/>
      <x:c r="Q651" s="85"/>
      <x:c r="S651" s="86"/>
      <x:c r="T651" s="32"/>
    </x:row>
    <x:row r="652">
      <x:c r="A652" s="87"/>
      <x:c r="B652" s="88"/>
      <x:c r="D652" s="32"/>
      <x:c r="I652" s="74"/>
      <x:c r="J652" s="74"/>
      <x:c r="K652" s="74"/>
      <x:c r="L652" s="74"/>
      <x:c r="M652" s="91"/>
      <x:c r="N652" s="91"/>
      <x:c r="O652" s="91"/>
      <x:c r="P652" s="91"/>
      <x:c r="Q652" s="85"/>
      <x:c r="S652" s="86"/>
      <x:c r="T652" s="32"/>
    </x:row>
    <x:row r="653">
      <x:c r="A653" s="87"/>
      <x:c r="B653" s="88"/>
      <x:c r="D653" s="32"/>
      <x:c r="I653" s="74"/>
      <x:c r="J653" s="74"/>
      <x:c r="K653" s="74"/>
      <x:c r="L653" s="74"/>
      <x:c r="M653" s="91"/>
      <x:c r="N653" s="91"/>
      <x:c r="O653" s="91"/>
      <x:c r="P653" s="91"/>
      <x:c r="Q653" s="85"/>
      <x:c r="S653" s="86"/>
      <x:c r="T653" s="32"/>
    </x:row>
    <x:row r="654">
      <x:c r="A654" s="87"/>
      <x:c r="B654" s="88"/>
      <x:c r="D654" s="32"/>
      <x:c r="I654" s="74"/>
      <x:c r="J654" s="74"/>
      <x:c r="K654" s="74"/>
      <x:c r="L654" s="74"/>
      <x:c r="M654" s="91"/>
      <x:c r="N654" s="91"/>
      <x:c r="O654" s="91"/>
      <x:c r="P654" s="91"/>
      <x:c r="Q654" s="85"/>
      <x:c r="S654" s="86"/>
      <x:c r="T654" s="32"/>
    </x:row>
    <x:row r="655">
      <x:c r="A655" s="87"/>
      <x:c r="B655" s="88"/>
      <x:c r="D655" s="32"/>
      <x:c r="I655" s="74"/>
      <x:c r="J655" s="74"/>
      <x:c r="K655" s="74"/>
      <x:c r="L655" s="74"/>
      <x:c r="M655" s="91"/>
      <x:c r="N655" s="91"/>
      <x:c r="O655" s="91"/>
      <x:c r="P655" s="91"/>
      <x:c r="Q655" s="85"/>
      <x:c r="S655" s="86"/>
      <x:c r="T655" s="32"/>
    </x:row>
    <x:row r="656">
      <x:c r="A656" s="87"/>
      <x:c r="B656" s="88"/>
      <x:c r="D656" s="32"/>
      <x:c r="I656" s="74"/>
      <x:c r="J656" s="74"/>
      <x:c r="K656" s="74"/>
      <x:c r="L656" s="74"/>
      <x:c r="M656" s="91"/>
      <x:c r="N656" s="91"/>
      <x:c r="O656" s="91"/>
      <x:c r="P656" s="91"/>
      <x:c r="Q656" s="85"/>
      <x:c r="S656" s="86"/>
      <x:c r="T656" s="32"/>
    </x:row>
    <x:row r="657">
      <x:c r="A657" s="87"/>
      <x:c r="B657" s="88"/>
      <x:c r="D657" s="32"/>
      <x:c r="I657" s="74"/>
      <x:c r="J657" s="74"/>
      <x:c r="K657" s="74"/>
      <x:c r="L657" s="74"/>
      <x:c r="M657" s="91"/>
      <x:c r="N657" s="91"/>
      <x:c r="O657" s="91"/>
      <x:c r="P657" s="91"/>
      <x:c r="Q657" s="85"/>
      <x:c r="S657" s="86"/>
      <x:c r="T657" s="32"/>
    </x:row>
    <x:row r="658">
      <x:c r="A658" s="87"/>
      <x:c r="B658" s="88"/>
      <x:c r="D658" s="32"/>
      <x:c r="I658" s="74"/>
      <x:c r="J658" s="74"/>
      <x:c r="K658" s="74"/>
      <x:c r="L658" s="74"/>
      <x:c r="M658" s="91"/>
      <x:c r="N658" s="91"/>
      <x:c r="O658" s="91"/>
      <x:c r="P658" s="91"/>
      <x:c r="Q658" s="85"/>
      <x:c r="S658" s="86"/>
      <x:c r="T658" s="32"/>
    </x:row>
    <x:row r="659">
      <x:c r="A659" s="87"/>
      <x:c r="B659" s="88"/>
      <x:c r="D659" s="32"/>
      <x:c r="I659" s="74"/>
      <x:c r="J659" s="74"/>
      <x:c r="K659" s="74"/>
      <x:c r="L659" s="74"/>
      <x:c r="M659" s="91"/>
      <x:c r="N659" s="91"/>
      <x:c r="O659" s="91"/>
      <x:c r="P659" s="91"/>
      <x:c r="Q659" s="85"/>
      <x:c r="S659" s="86"/>
      <x:c r="T659" s="32"/>
    </x:row>
    <x:row r="660">
      <x:c r="A660" s="87"/>
      <x:c r="B660" s="88"/>
      <x:c r="D660" s="32"/>
      <x:c r="I660" s="74"/>
      <x:c r="J660" s="74"/>
      <x:c r="K660" s="74"/>
      <x:c r="L660" s="74"/>
      <x:c r="M660" s="91"/>
      <x:c r="N660" s="91"/>
      <x:c r="O660" s="91"/>
      <x:c r="P660" s="91"/>
      <x:c r="Q660" s="85"/>
      <x:c r="S660" s="86"/>
      <x:c r="T660" s="32"/>
    </x:row>
    <x:row r="661">
      <x:c r="A661" s="87"/>
      <x:c r="B661" s="88"/>
      <x:c r="D661" s="32"/>
      <x:c r="I661" s="74"/>
      <x:c r="J661" s="74"/>
      <x:c r="K661" s="74"/>
      <x:c r="L661" s="74"/>
      <x:c r="M661" s="91"/>
      <x:c r="N661" s="91"/>
      <x:c r="O661" s="91"/>
      <x:c r="P661" s="91"/>
      <x:c r="Q661" s="85"/>
      <x:c r="S661" s="86"/>
      <x:c r="T661" s="32"/>
    </x:row>
    <x:row r="662">
      <x:c r="A662" s="87"/>
      <x:c r="B662" s="88"/>
      <x:c r="D662" s="32"/>
      <x:c r="I662" s="74"/>
      <x:c r="J662" s="74"/>
      <x:c r="K662" s="74"/>
      <x:c r="L662" s="74"/>
      <x:c r="M662" s="91"/>
      <x:c r="N662" s="91"/>
      <x:c r="O662" s="91"/>
      <x:c r="P662" s="91"/>
      <x:c r="Q662" s="85"/>
      <x:c r="S662" s="86"/>
      <x:c r="T662" s="32"/>
    </x:row>
    <x:row r="663">
      <x:c r="A663" s="87"/>
      <x:c r="B663" s="88"/>
      <x:c r="D663" s="32"/>
      <x:c r="I663" s="74"/>
      <x:c r="J663" s="74"/>
      <x:c r="K663" s="74"/>
      <x:c r="L663" s="74"/>
      <x:c r="M663" s="91"/>
      <x:c r="N663" s="91"/>
      <x:c r="O663" s="91"/>
      <x:c r="P663" s="91"/>
      <x:c r="Q663" s="85"/>
      <x:c r="S663" s="86"/>
      <x:c r="T663" s="32"/>
    </x:row>
    <x:row r="664">
      <x:c r="A664" s="87"/>
      <x:c r="B664" s="88"/>
      <x:c r="D664" s="32"/>
      <x:c r="I664" s="74"/>
      <x:c r="J664" s="74"/>
      <x:c r="K664" s="74"/>
      <x:c r="L664" s="74"/>
      <x:c r="M664" s="91"/>
      <x:c r="N664" s="91"/>
      <x:c r="O664" s="91"/>
      <x:c r="P664" s="91"/>
      <x:c r="Q664" s="85"/>
      <x:c r="S664" s="86"/>
      <x:c r="T664" s="32"/>
    </x:row>
    <x:row r="665">
      <x:c r="A665" s="87"/>
      <x:c r="B665" s="88"/>
      <x:c r="D665" s="32"/>
      <x:c r="I665" s="74"/>
      <x:c r="J665" s="74"/>
      <x:c r="K665" s="74"/>
      <x:c r="L665" s="74"/>
      <x:c r="M665" s="91"/>
      <x:c r="N665" s="91"/>
      <x:c r="O665" s="91"/>
      <x:c r="P665" s="91"/>
      <x:c r="Q665" s="85"/>
      <x:c r="S665" s="86"/>
      <x:c r="T665" s="32"/>
    </x:row>
    <x:row r="666">
      <x:c r="A666" s="87"/>
      <x:c r="B666" s="88"/>
      <x:c r="D666" s="32"/>
      <x:c r="I666" s="74"/>
      <x:c r="J666" s="74"/>
      <x:c r="K666" s="74"/>
      <x:c r="L666" s="74"/>
      <x:c r="M666" s="91"/>
      <x:c r="N666" s="91"/>
      <x:c r="O666" s="91"/>
      <x:c r="P666" s="91"/>
      <x:c r="Q666" s="85"/>
      <x:c r="S666" s="86"/>
      <x:c r="T666" s="32"/>
    </x:row>
    <x:row r="667">
      <x:c r="A667" s="87"/>
      <x:c r="B667" s="88"/>
      <x:c r="D667" s="32"/>
      <x:c r="I667" s="74"/>
      <x:c r="J667" s="74"/>
      <x:c r="K667" s="74"/>
      <x:c r="L667" s="74"/>
      <x:c r="M667" s="91"/>
      <x:c r="N667" s="91"/>
      <x:c r="O667" s="91"/>
      <x:c r="P667" s="91"/>
      <x:c r="Q667" s="85"/>
      <x:c r="S667" s="86"/>
      <x:c r="T667" s="32"/>
    </x:row>
    <x:row r="668">
      <x:c r="A668" s="87"/>
      <x:c r="B668" s="88"/>
      <x:c r="D668" s="32"/>
      <x:c r="I668" s="74"/>
      <x:c r="J668" s="74"/>
      <x:c r="K668" s="74"/>
      <x:c r="L668" s="74"/>
      <x:c r="M668" s="91"/>
      <x:c r="N668" s="91"/>
      <x:c r="O668" s="91"/>
      <x:c r="P668" s="91"/>
      <x:c r="Q668" s="85"/>
      <x:c r="S668" s="86"/>
      <x:c r="T668" s="32"/>
    </x:row>
    <x:row r="669">
      <x:c r="A669" s="87"/>
      <x:c r="B669" s="88"/>
      <x:c r="D669" s="32"/>
      <x:c r="I669" s="74"/>
      <x:c r="J669" s="74"/>
      <x:c r="K669" s="74"/>
      <x:c r="L669" s="74"/>
      <x:c r="M669" s="91"/>
      <x:c r="N669" s="91"/>
      <x:c r="O669" s="91"/>
      <x:c r="P669" s="91"/>
      <x:c r="Q669" s="85"/>
      <x:c r="S669" s="86"/>
      <x:c r="T669" s="32"/>
    </x:row>
    <x:row r="670">
      <x:c r="A670" s="87"/>
      <x:c r="B670" s="88"/>
      <x:c r="D670" s="32"/>
      <x:c r="I670" s="74"/>
      <x:c r="J670" s="74"/>
      <x:c r="K670" s="74"/>
      <x:c r="L670" s="74"/>
      <x:c r="M670" s="91"/>
      <x:c r="N670" s="91"/>
      <x:c r="O670" s="91"/>
      <x:c r="P670" s="91"/>
      <x:c r="Q670" s="85"/>
      <x:c r="S670" s="86"/>
      <x:c r="T670" s="32"/>
    </x:row>
    <x:row r="671">
      <x:c r="A671" s="87"/>
      <x:c r="B671" s="88"/>
      <x:c r="D671" s="32"/>
      <x:c r="I671" s="74"/>
      <x:c r="J671" s="74"/>
      <x:c r="K671" s="74"/>
      <x:c r="L671" s="74"/>
      <x:c r="M671" s="91"/>
      <x:c r="N671" s="91"/>
      <x:c r="O671" s="91"/>
      <x:c r="P671" s="91"/>
      <x:c r="Q671" s="85"/>
      <x:c r="S671" s="86"/>
      <x:c r="T671" s="32"/>
    </x:row>
    <x:row r="672">
      <x:c r="A672" s="87"/>
      <x:c r="B672" s="88"/>
      <x:c r="D672" s="32"/>
      <x:c r="I672" s="74"/>
      <x:c r="J672" s="74"/>
      <x:c r="K672" s="74"/>
      <x:c r="L672" s="74"/>
      <x:c r="M672" s="91"/>
      <x:c r="N672" s="91"/>
      <x:c r="O672" s="91"/>
      <x:c r="P672" s="91"/>
      <x:c r="Q672" s="85"/>
      <x:c r="S672" s="86"/>
      <x:c r="T672" s="32"/>
    </x:row>
    <x:row r="673">
      <x:c r="A673" s="87"/>
      <x:c r="B673" s="88"/>
      <x:c r="D673" s="32"/>
      <x:c r="I673" s="74"/>
      <x:c r="J673" s="74"/>
      <x:c r="K673" s="74"/>
      <x:c r="L673" s="74"/>
      <x:c r="M673" s="91"/>
      <x:c r="N673" s="91"/>
      <x:c r="O673" s="91"/>
      <x:c r="P673" s="91"/>
      <x:c r="Q673" s="85"/>
      <x:c r="S673" s="86"/>
      <x:c r="T673" s="32"/>
    </x:row>
    <x:row r="674">
      <x:c r="A674" s="87"/>
      <x:c r="B674" s="88"/>
      <x:c r="D674" s="32"/>
      <x:c r="I674" s="74"/>
      <x:c r="J674" s="74"/>
      <x:c r="K674" s="74"/>
      <x:c r="L674" s="74"/>
      <x:c r="M674" s="91"/>
      <x:c r="N674" s="91"/>
      <x:c r="O674" s="91"/>
      <x:c r="P674" s="91"/>
      <x:c r="Q674" s="85"/>
      <x:c r="S674" s="86"/>
      <x:c r="T674" s="32"/>
    </x:row>
    <x:row r="675">
      <x:c r="A675" s="87"/>
      <x:c r="B675" s="88"/>
      <x:c r="D675" s="32"/>
      <x:c r="I675" s="74"/>
      <x:c r="J675" s="74"/>
      <x:c r="K675" s="74"/>
      <x:c r="L675" s="74"/>
      <x:c r="M675" s="91"/>
      <x:c r="N675" s="91"/>
      <x:c r="O675" s="91"/>
      <x:c r="P675" s="91"/>
      <x:c r="Q675" s="85"/>
      <x:c r="S675" s="86"/>
      <x:c r="T675" s="32"/>
    </x:row>
    <x:row r="676">
      <x:c r="A676" s="87"/>
      <x:c r="B676" s="88"/>
      <x:c r="D676" s="32"/>
      <x:c r="I676" s="74"/>
      <x:c r="J676" s="74"/>
      <x:c r="K676" s="74"/>
      <x:c r="L676" s="74"/>
      <x:c r="M676" s="91"/>
      <x:c r="N676" s="91"/>
      <x:c r="O676" s="91"/>
      <x:c r="P676" s="91"/>
      <x:c r="Q676" s="85"/>
      <x:c r="S676" s="86"/>
      <x:c r="T676" s="32"/>
    </x:row>
    <x:row r="677">
      <x:c r="A677" s="87"/>
      <x:c r="B677" s="88"/>
      <x:c r="D677" s="32"/>
      <x:c r="I677" s="74"/>
      <x:c r="J677" s="74"/>
      <x:c r="K677" s="74"/>
      <x:c r="L677" s="74"/>
      <x:c r="M677" s="91"/>
      <x:c r="N677" s="91"/>
      <x:c r="O677" s="91"/>
      <x:c r="P677" s="91"/>
      <x:c r="Q677" s="85"/>
      <x:c r="S677" s="86"/>
      <x:c r="T677" s="32"/>
    </x:row>
    <x:row r="678">
      <x:c r="A678" s="87"/>
      <x:c r="B678" s="88"/>
      <x:c r="D678" s="32"/>
      <x:c r="I678" s="74"/>
      <x:c r="J678" s="74"/>
      <x:c r="K678" s="74"/>
      <x:c r="L678" s="74"/>
      <x:c r="M678" s="91"/>
      <x:c r="N678" s="91"/>
      <x:c r="O678" s="91"/>
      <x:c r="P678" s="91"/>
      <x:c r="Q678" s="85"/>
      <x:c r="S678" s="86"/>
      <x:c r="T678" s="32"/>
    </x:row>
    <x:row r="679">
      <x:c r="A679" s="87"/>
      <x:c r="B679" s="88"/>
      <x:c r="D679" s="32"/>
      <x:c r="I679" s="74"/>
      <x:c r="J679" s="74"/>
      <x:c r="K679" s="74"/>
      <x:c r="L679" s="74"/>
      <x:c r="M679" s="91"/>
      <x:c r="N679" s="91"/>
      <x:c r="O679" s="91"/>
      <x:c r="P679" s="91"/>
      <x:c r="Q679" s="85"/>
      <x:c r="S679" s="86"/>
      <x:c r="T679" s="32"/>
    </x:row>
    <x:row r="680">
      <x:c r="A680" s="87"/>
      <x:c r="B680" s="88"/>
      <x:c r="D680" s="32"/>
      <x:c r="I680" s="74"/>
      <x:c r="J680" s="74"/>
      <x:c r="K680" s="74"/>
      <x:c r="L680" s="74"/>
      <x:c r="M680" s="91"/>
      <x:c r="N680" s="91"/>
      <x:c r="O680" s="91"/>
      <x:c r="P680" s="91"/>
      <x:c r="Q680" s="85"/>
      <x:c r="S680" s="86"/>
      <x:c r="T680" s="32"/>
    </x:row>
    <x:row r="681">
      <x:c r="A681" s="87"/>
      <x:c r="B681" s="88"/>
      <x:c r="D681" s="32"/>
      <x:c r="I681" s="74"/>
      <x:c r="J681" s="74"/>
      <x:c r="K681" s="74"/>
      <x:c r="L681" s="74"/>
      <x:c r="M681" s="91"/>
      <x:c r="N681" s="91"/>
      <x:c r="O681" s="91"/>
      <x:c r="P681" s="91"/>
      <x:c r="Q681" s="85"/>
      <x:c r="S681" s="86"/>
      <x:c r="T681" s="32"/>
    </x:row>
    <x:row r="682">
      <x:c r="A682" s="87"/>
      <x:c r="B682" s="88"/>
      <x:c r="D682" s="32"/>
      <x:c r="I682" s="74"/>
      <x:c r="J682" s="74"/>
      <x:c r="K682" s="74"/>
      <x:c r="L682" s="74"/>
      <x:c r="M682" s="91"/>
      <x:c r="N682" s="91"/>
      <x:c r="O682" s="91"/>
      <x:c r="P682" s="91"/>
      <x:c r="Q682" s="85"/>
      <x:c r="S682" s="86"/>
      <x:c r="T682" s="32"/>
    </x:row>
    <x:row r="683">
      <x:c r="A683" s="87"/>
      <x:c r="B683" s="88"/>
      <x:c r="D683" s="32"/>
      <x:c r="I683" s="74"/>
      <x:c r="J683" s="74"/>
      <x:c r="K683" s="74"/>
      <x:c r="L683" s="74"/>
      <x:c r="M683" s="91"/>
      <x:c r="N683" s="91"/>
      <x:c r="O683" s="91"/>
      <x:c r="P683" s="91"/>
      <x:c r="Q683" s="85"/>
      <x:c r="S683" s="86"/>
      <x:c r="T683" s="32"/>
    </x:row>
    <x:row r="684">
      <x:c r="A684" s="87"/>
      <x:c r="B684" s="88"/>
      <x:c r="D684" s="32"/>
      <x:c r="I684" s="74"/>
      <x:c r="J684" s="74"/>
      <x:c r="K684" s="74"/>
      <x:c r="L684" s="74"/>
      <x:c r="M684" s="91"/>
      <x:c r="N684" s="91"/>
      <x:c r="O684" s="91"/>
      <x:c r="P684" s="91"/>
      <x:c r="Q684" s="85"/>
      <x:c r="S684" s="86"/>
      <x:c r="T684" s="32"/>
    </x:row>
    <x:row r="685">
      <x:c r="A685" s="87"/>
      <x:c r="B685" s="88"/>
      <x:c r="D685" s="32"/>
      <x:c r="I685" s="74"/>
      <x:c r="J685" s="74"/>
      <x:c r="K685" s="74"/>
      <x:c r="L685" s="74"/>
      <x:c r="M685" s="91"/>
      <x:c r="N685" s="91"/>
      <x:c r="O685" s="91"/>
      <x:c r="P685" s="91"/>
      <x:c r="Q685" s="85"/>
      <x:c r="S685" s="86"/>
      <x:c r="T685" s="32"/>
    </x:row>
    <x:row r="686">
      <x:c r="A686" s="87"/>
      <x:c r="B686" s="88"/>
      <x:c r="D686" s="32"/>
      <x:c r="I686" s="74"/>
      <x:c r="J686" s="74"/>
      <x:c r="K686" s="74"/>
      <x:c r="L686" s="74"/>
      <x:c r="M686" s="91"/>
      <x:c r="N686" s="91"/>
      <x:c r="O686" s="91"/>
      <x:c r="P686" s="91"/>
      <x:c r="Q686" s="85"/>
      <x:c r="S686" s="86"/>
      <x:c r="T686" s="32"/>
    </x:row>
    <x:row r="687">
      <x:c r="A687" s="87"/>
      <x:c r="B687" s="88"/>
      <x:c r="D687" s="32"/>
      <x:c r="I687" s="74"/>
      <x:c r="J687" s="74"/>
      <x:c r="K687" s="74"/>
      <x:c r="L687" s="74"/>
      <x:c r="M687" s="91"/>
      <x:c r="N687" s="91"/>
      <x:c r="O687" s="91"/>
      <x:c r="P687" s="91"/>
      <x:c r="Q687" s="85"/>
      <x:c r="S687" s="86"/>
      <x:c r="T687" s="32"/>
    </x:row>
    <x:row r="688">
      <x:c r="A688" s="87"/>
      <x:c r="B688" s="88"/>
      <x:c r="D688" s="32"/>
      <x:c r="I688" s="74"/>
      <x:c r="J688" s="74"/>
      <x:c r="K688" s="74"/>
      <x:c r="L688" s="74"/>
      <x:c r="M688" s="91"/>
      <x:c r="N688" s="91"/>
      <x:c r="O688" s="91"/>
      <x:c r="P688" s="91"/>
      <x:c r="Q688" s="85"/>
      <x:c r="S688" s="86"/>
      <x:c r="T688" s="32"/>
    </x:row>
    <x:row r="689">
      <x:c r="A689" s="87"/>
      <x:c r="B689" s="88"/>
      <x:c r="D689" s="32"/>
      <x:c r="I689" s="74"/>
      <x:c r="J689" s="74"/>
      <x:c r="K689" s="74"/>
      <x:c r="L689" s="74"/>
      <x:c r="M689" s="91"/>
      <x:c r="N689" s="91"/>
      <x:c r="O689" s="91"/>
      <x:c r="P689" s="91"/>
      <x:c r="Q689" s="85"/>
      <x:c r="S689" s="86"/>
      <x:c r="T689" s="32"/>
    </x:row>
    <x:row r="690">
      <x:c r="A690" s="87"/>
      <x:c r="B690" s="88"/>
      <x:c r="D690" s="32"/>
      <x:c r="I690" s="74"/>
      <x:c r="J690" s="74"/>
      <x:c r="K690" s="74"/>
      <x:c r="L690" s="74"/>
      <x:c r="M690" s="91"/>
      <x:c r="N690" s="91"/>
      <x:c r="O690" s="91"/>
      <x:c r="P690" s="91"/>
      <x:c r="Q690" s="85"/>
      <x:c r="S690" s="86"/>
      <x:c r="T690" s="32"/>
    </x:row>
    <x:row r="691">
      <x:c r="A691" s="87"/>
      <x:c r="B691" s="88"/>
      <x:c r="D691" s="32"/>
      <x:c r="I691" s="74"/>
      <x:c r="J691" s="74"/>
      <x:c r="K691" s="74"/>
      <x:c r="L691" s="74"/>
      <x:c r="M691" s="91"/>
      <x:c r="N691" s="91"/>
      <x:c r="O691" s="91"/>
      <x:c r="P691" s="91"/>
      <x:c r="Q691" s="85"/>
      <x:c r="S691" s="86"/>
      <x:c r="T691" s="32"/>
    </x:row>
    <x:row r="692">
      <x:c r="A692" s="87"/>
      <x:c r="B692" s="88"/>
      <x:c r="D692" s="32"/>
      <x:c r="I692" s="74"/>
      <x:c r="J692" s="74"/>
      <x:c r="K692" s="74"/>
      <x:c r="L692" s="74"/>
      <x:c r="M692" s="91"/>
      <x:c r="N692" s="91"/>
      <x:c r="O692" s="91"/>
      <x:c r="P692" s="91"/>
      <x:c r="Q692" s="85"/>
      <x:c r="S692" s="86"/>
      <x:c r="T692" s="32"/>
    </x:row>
    <x:row r="693">
      <x:c r="A693" s="87"/>
      <x:c r="B693" s="88"/>
      <x:c r="D693" s="32"/>
      <x:c r="I693" s="74"/>
      <x:c r="J693" s="74"/>
      <x:c r="K693" s="74"/>
      <x:c r="L693" s="74"/>
      <x:c r="M693" s="91"/>
      <x:c r="N693" s="91"/>
      <x:c r="O693" s="91"/>
      <x:c r="P693" s="91"/>
      <x:c r="Q693" s="85"/>
      <x:c r="S693" s="86"/>
      <x:c r="T693" s="32"/>
    </x:row>
    <x:row r="694">
      <x:c r="A694" s="87"/>
      <x:c r="B694" s="88"/>
      <x:c r="D694" s="32"/>
      <x:c r="I694" s="74"/>
      <x:c r="J694" s="74"/>
      <x:c r="K694" s="74"/>
      <x:c r="L694" s="74"/>
      <x:c r="M694" s="91"/>
      <x:c r="N694" s="91"/>
      <x:c r="O694" s="91"/>
      <x:c r="P694" s="91"/>
      <x:c r="Q694" s="85"/>
      <x:c r="S694" s="86"/>
      <x:c r="T694" s="32"/>
    </x:row>
    <x:row r="695">
      <x:c r="A695" s="87"/>
      <x:c r="B695" s="88"/>
      <x:c r="D695" s="32"/>
      <x:c r="I695" s="74"/>
      <x:c r="J695" s="74"/>
      <x:c r="K695" s="74"/>
      <x:c r="L695" s="74"/>
      <x:c r="M695" s="91"/>
      <x:c r="N695" s="91"/>
      <x:c r="O695" s="91"/>
      <x:c r="P695" s="91"/>
      <x:c r="Q695" s="85"/>
      <x:c r="S695" s="86"/>
      <x:c r="T695" s="32"/>
    </x:row>
    <x:row r="696">
      <x:c r="A696" s="87"/>
      <x:c r="B696" s="88"/>
      <x:c r="D696" s="32"/>
      <x:c r="I696" s="74"/>
      <x:c r="J696" s="74"/>
      <x:c r="K696" s="74"/>
      <x:c r="L696" s="74"/>
      <x:c r="M696" s="91"/>
      <x:c r="N696" s="91"/>
      <x:c r="O696" s="91"/>
      <x:c r="P696" s="91"/>
      <x:c r="Q696" s="85"/>
      <x:c r="S696" s="86"/>
      <x:c r="T696" s="32"/>
    </x:row>
    <x:row r="697">
      <x:c r="A697" s="87"/>
      <x:c r="B697" s="88"/>
      <x:c r="D697" s="32"/>
      <x:c r="I697" s="74"/>
      <x:c r="J697" s="74"/>
      <x:c r="K697" s="74"/>
      <x:c r="L697" s="74"/>
      <x:c r="M697" s="91"/>
      <x:c r="N697" s="91"/>
      <x:c r="O697" s="91"/>
      <x:c r="P697" s="91"/>
      <x:c r="Q697" s="85"/>
      <x:c r="S697" s="86"/>
      <x:c r="T697" s="32"/>
    </x:row>
    <x:row r="698">
      <x:c r="A698" s="87"/>
      <x:c r="B698" s="88"/>
      <x:c r="D698" s="32"/>
      <x:c r="I698" s="74"/>
      <x:c r="J698" s="74"/>
      <x:c r="K698" s="74"/>
      <x:c r="L698" s="74"/>
      <x:c r="M698" s="91"/>
      <x:c r="N698" s="91"/>
      <x:c r="O698" s="91"/>
      <x:c r="P698" s="91"/>
      <x:c r="Q698" s="85"/>
      <x:c r="S698" s="86"/>
      <x:c r="T698" s="32"/>
    </x:row>
    <x:row r="699">
      <x:c r="A699" s="87"/>
      <x:c r="B699" s="88"/>
      <x:c r="D699" s="32"/>
      <x:c r="I699" s="74"/>
      <x:c r="J699" s="74"/>
      <x:c r="K699" s="74"/>
      <x:c r="L699" s="74"/>
      <x:c r="M699" s="91"/>
      <x:c r="N699" s="91"/>
      <x:c r="O699" s="91"/>
      <x:c r="P699" s="91"/>
      <x:c r="Q699" s="85"/>
      <x:c r="S699" s="86"/>
      <x:c r="T699" s="32"/>
    </x:row>
    <x:row r="700">
      <x:c r="A700" s="87"/>
      <x:c r="B700" s="88"/>
      <x:c r="D700" s="32"/>
      <x:c r="I700" s="74"/>
      <x:c r="J700" s="74"/>
      <x:c r="K700" s="74"/>
      <x:c r="L700" s="74"/>
      <x:c r="M700" s="91"/>
      <x:c r="N700" s="91"/>
      <x:c r="O700" s="91"/>
      <x:c r="P700" s="91"/>
      <x:c r="Q700" s="85"/>
      <x:c r="S700" s="86"/>
      <x:c r="T700" s="32"/>
    </x:row>
    <x:row r="701">
      <x:c r="A701" s="87"/>
      <x:c r="B701" s="88"/>
      <x:c r="D701" s="32"/>
      <x:c r="I701" s="74"/>
      <x:c r="J701" s="74"/>
      <x:c r="K701" s="74"/>
      <x:c r="L701" s="74"/>
      <x:c r="M701" s="91"/>
      <x:c r="N701" s="91"/>
      <x:c r="O701" s="91"/>
      <x:c r="P701" s="91"/>
      <x:c r="Q701" s="85"/>
      <x:c r="S701" s="86"/>
      <x:c r="T701" s="32"/>
    </x:row>
    <x:row r="702">
      <x:c r="A702" s="87"/>
      <x:c r="B702" s="88"/>
      <x:c r="D702" s="32"/>
      <x:c r="I702" s="74"/>
      <x:c r="J702" s="74"/>
      <x:c r="K702" s="74"/>
      <x:c r="L702" s="74"/>
      <x:c r="M702" s="91"/>
      <x:c r="N702" s="91"/>
      <x:c r="O702" s="91"/>
      <x:c r="P702" s="91"/>
      <x:c r="Q702" s="85"/>
      <x:c r="S702" s="86"/>
      <x:c r="T702" s="32"/>
    </x:row>
    <x:row r="703">
      <x:c r="A703" s="87"/>
      <x:c r="B703" s="88"/>
      <x:c r="D703" s="32"/>
      <x:c r="I703" s="74"/>
      <x:c r="J703" s="74"/>
      <x:c r="K703" s="74"/>
      <x:c r="L703" s="74"/>
      <x:c r="M703" s="91"/>
      <x:c r="N703" s="91"/>
      <x:c r="O703" s="91"/>
      <x:c r="P703" s="91"/>
      <x:c r="Q703" s="85"/>
      <x:c r="S703" s="86"/>
      <x:c r="T703" s="32"/>
    </x:row>
    <x:row r="704">
      <x:c r="A704" s="87"/>
      <x:c r="B704" s="88"/>
      <x:c r="D704" s="32"/>
      <x:c r="I704" s="74"/>
      <x:c r="J704" s="74"/>
      <x:c r="K704" s="74"/>
      <x:c r="L704" s="74"/>
      <x:c r="M704" s="91"/>
      <x:c r="N704" s="91"/>
      <x:c r="O704" s="91"/>
      <x:c r="P704" s="91"/>
      <x:c r="Q704" s="85"/>
      <x:c r="S704" s="86"/>
      <x:c r="T704" s="32"/>
    </x:row>
    <x:row r="705">
      <x:c r="A705" s="87"/>
      <x:c r="B705" s="88"/>
      <x:c r="D705" s="32"/>
      <x:c r="I705" s="74"/>
      <x:c r="J705" s="74"/>
      <x:c r="K705" s="74"/>
      <x:c r="L705" s="74"/>
      <x:c r="M705" s="91"/>
      <x:c r="N705" s="91"/>
      <x:c r="O705" s="91"/>
      <x:c r="P705" s="91"/>
      <x:c r="Q705" s="85"/>
      <x:c r="S705" s="86"/>
      <x:c r="T705" s="32"/>
    </x:row>
    <x:row r="706">
      <x:c r="A706" s="87"/>
      <x:c r="B706" s="88"/>
      <x:c r="D706" s="32"/>
      <x:c r="I706" s="74"/>
      <x:c r="J706" s="74"/>
      <x:c r="K706" s="74"/>
      <x:c r="L706" s="74"/>
      <x:c r="M706" s="91"/>
      <x:c r="N706" s="91"/>
      <x:c r="O706" s="91"/>
      <x:c r="P706" s="91"/>
      <x:c r="Q706" s="85"/>
      <x:c r="S706" s="86"/>
      <x:c r="T706" s="32"/>
    </x:row>
    <x:row r="707">
      <x:c r="A707" s="87"/>
      <x:c r="B707" s="88"/>
      <x:c r="D707" s="32"/>
      <x:c r="I707" s="74"/>
      <x:c r="J707" s="74"/>
      <x:c r="K707" s="74"/>
      <x:c r="L707" s="74"/>
      <x:c r="M707" s="91"/>
      <x:c r="N707" s="91"/>
      <x:c r="O707" s="91"/>
      <x:c r="P707" s="91"/>
      <x:c r="Q707" s="85"/>
      <x:c r="S707" s="86"/>
      <x:c r="T707" s="32"/>
    </x:row>
    <x:row r="708">
      <x:c r="A708" s="87"/>
      <x:c r="B708" s="88"/>
      <x:c r="D708" s="32"/>
      <x:c r="I708" s="74"/>
      <x:c r="J708" s="74"/>
      <x:c r="K708" s="74"/>
      <x:c r="L708" s="74"/>
      <x:c r="M708" s="91"/>
      <x:c r="N708" s="91"/>
      <x:c r="O708" s="91"/>
      <x:c r="P708" s="91"/>
      <x:c r="Q708" s="85"/>
      <x:c r="S708" s="86"/>
      <x:c r="T708" s="32"/>
    </x:row>
    <x:row r="709">
      <x:c r="A709" s="87"/>
      <x:c r="B709" s="88"/>
      <x:c r="D709" s="32"/>
      <x:c r="I709" s="74"/>
      <x:c r="J709" s="74"/>
      <x:c r="K709" s="74"/>
      <x:c r="L709" s="74"/>
      <x:c r="M709" s="91"/>
      <x:c r="N709" s="91"/>
      <x:c r="O709" s="91"/>
      <x:c r="P709" s="91"/>
      <x:c r="Q709" s="85"/>
      <x:c r="S709" s="86"/>
      <x:c r="T709" s="32"/>
    </x:row>
    <x:row r="710">
      <x:c r="A710" s="87"/>
      <x:c r="B710" s="88"/>
      <x:c r="D710" s="32"/>
      <x:c r="I710" s="74"/>
      <x:c r="J710" s="74"/>
      <x:c r="K710" s="74"/>
      <x:c r="L710" s="74"/>
      <x:c r="M710" s="91"/>
      <x:c r="N710" s="91"/>
      <x:c r="O710" s="91"/>
      <x:c r="P710" s="91"/>
      <x:c r="Q710" s="85"/>
      <x:c r="S710" s="86"/>
      <x:c r="T710" s="32"/>
    </x:row>
    <x:row r="711">
      <x:c r="A711" s="87"/>
      <x:c r="B711" s="88"/>
      <x:c r="D711" s="32"/>
      <x:c r="I711" s="74"/>
      <x:c r="J711" s="74"/>
      <x:c r="K711" s="74"/>
      <x:c r="L711" s="74"/>
      <x:c r="M711" s="91"/>
      <x:c r="N711" s="91"/>
      <x:c r="O711" s="91"/>
      <x:c r="P711" s="91"/>
      <x:c r="Q711" s="85"/>
      <x:c r="S711" s="86"/>
      <x:c r="T711" s="32"/>
    </x:row>
    <x:row r="712">
      <x:c r="A712" s="87"/>
      <x:c r="B712" s="88"/>
      <x:c r="D712" s="32"/>
      <x:c r="I712" s="74"/>
      <x:c r="J712" s="74"/>
      <x:c r="K712" s="74"/>
      <x:c r="L712" s="74"/>
      <x:c r="M712" s="91"/>
      <x:c r="N712" s="91"/>
      <x:c r="O712" s="91"/>
      <x:c r="P712" s="91"/>
      <x:c r="Q712" s="85"/>
      <x:c r="S712" s="86"/>
      <x:c r="T712" s="32"/>
    </x:row>
    <x:row r="713">
      <x:c r="A713" s="87"/>
      <x:c r="B713" s="88"/>
      <x:c r="D713" s="32"/>
      <x:c r="I713" s="74"/>
      <x:c r="J713" s="74"/>
      <x:c r="K713" s="74"/>
      <x:c r="L713" s="74"/>
      <x:c r="M713" s="91"/>
      <x:c r="N713" s="91"/>
      <x:c r="O713" s="91"/>
      <x:c r="P713" s="91"/>
      <x:c r="Q713" s="85"/>
      <x:c r="S713" s="86"/>
      <x:c r="T713" s="32"/>
    </x:row>
    <x:row r="714">
      <x:c r="A714" s="87"/>
      <x:c r="B714" s="88"/>
      <x:c r="D714" s="32"/>
      <x:c r="I714" s="74"/>
      <x:c r="J714" s="74"/>
      <x:c r="K714" s="74"/>
      <x:c r="L714" s="74"/>
      <x:c r="M714" s="91"/>
      <x:c r="N714" s="91"/>
      <x:c r="O714" s="91"/>
      <x:c r="P714" s="91"/>
      <x:c r="Q714" s="85"/>
      <x:c r="S714" s="86"/>
      <x:c r="T714" s="32"/>
    </x:row>
    <x:row r="715">
      <x:c r="A715" s="87"/>
      <x:c r="B715" s="88"/>
      <x:c r="D715" s="32"/>
      <x:c r="I715" s="74"/>
      <x:c r="J715" s="74"/>
      <x:c r="K715" s="74"/>
      <x:c r="L715" s="74"/>
      <x:c r="M715" s="91"/>
      <x:c r="N715" s="91"/>
      <x:c r="O715" s="91"/>
      <x:c r="P715" s="91"/>
      <x:c r="Q715" s="85"/>
      <x:c r="S715" s="86"/>
      <x:c r="T715" s="32"/>
    </x:row>
    <x:row r="716">
      <x:c r="A716" s="87"/>
      <x:c r="B716" s="88"/>
      <x:c r="D716" s="32"/>
      <x:c r="I716" s="74"/>
      <x:c r="J716" s="74"/>
      <x:c r="K716" s="74"/>
      <x:c r="L716" s="74"/>
      <x:c r="M716" s="91"/>
      <x:c r="N716" s="91"/>
      <x:c r="O716" s="91"/>
      <x:c r="P716" s="91"/>
      <x:c r="Q716" s="85"/>
      <x:c r="S716" s="86"/>
      <x:c r="T716" s="32"/>
    </x:row>
    <x:row r="717">
      <x:c r="A717" s="87"/>
      <x:c r="B717" s="88"/>
      <x:c r="D717" s="32"/>
      <x:c r="I717" s="74"/>
      <x:c r="J717" s="74"/>
      <x:c r="K717" s="74"/>
      <x:c r="L717" s="74"/>
      <x:c r="M717" s="91"/>
      <x:c r="N717" s="91"/>
      <x:c r="O717" s="91"/>
      <x:c r="P717" s="91"/>
      <x:c r="Q717" s="85"/>
      <x:c r="S717" s="86"/>
      <x:c r="T717" s="32"/>
    </x:row>
    <x:row r="718">
      <x:c r="A718" s="87"/>
      <x:c r="B718" s="88"/>
      <x:c r="D718" s="32"/>
      <x:c r="I718" s="74"/>
      <x:c r="J718" s="74"/>
      <x:c r="K718" s="74"/>
      <x:c r="L718" s="74"/>
      <x:c r="M718" s="91"/>
      <x:c r="N718" s="91"/>
      <x:c r="O718" s="91"/>
      <x:c r="P718" s="91"/>
      <x:c r="Q718" s="85"/>
      <x:c r="S718" s="86"/>
      <x:c r="T718" s="32"/>
    </x:row>
    <x:row r="719">
      <x:c r="A719" s="87"/>
      <x:c r="B719" s="88"/>
      <x:c r="D719" s="32"/>
      <x:c r="I719" s="74"/>
      <x:c r="J719" s="74"/>
      <x:c r="K719" s="74"/>
      <x:c r="L719" s="74"/>
      <x:c r="M719" s="91"/>
      <x:c r="N719" s="91"/>
      <x:c r="O719" s="91"/>
      <x:c r="P719" s="91"/>
      <x:c r="Q719" s="85"/>
      <x:c r="S719" s="86"/>
      <x:c r="T719" s="32"/>
    </x:row>
    <x:row r="720">
      <x:c r="A720" s="87"/>
      <x:c r="B720" s="88"/>
      <x:c r="D720" s="32"/>
      <x:c r="I720" s="74"/>
      <x:c r="J720" s="74"/>
      <x:c r="K720" s="74"/>
      <x:c r="L720" s="74"/>
      <x:c r="M720" s="91"/>
      <x:c r="N720" s="91"/>
      <x:c r="O720" s="91"/>
      <x:c r="P720" s="91"/>
      <x:c r="Q720" s="85"/>
      <x:c r="S720" s="86"/>
      <x:c r="T720" s="32"/>
    </x:row>
    <x:row r="721">
      <x:c r="A721" s="87"/>
      <x:c r="B721" s="88"/>
      <x:c r="D721" s="32"/>
      <x:c r="I721" s="74"/>
      <x:c r="J721" s="74"/>
      <x:c r="K721" s="74"/>
      <x:c r="L721" s="74"/>
      <x:c r="M721" s="91"/>
      <x:c r="N721" s="91"/>
      <x:c r="O721" s="91"/>
      <x:c r="P721" s="91"/>
      <x:c r="Q721" s="85"/>
      <x:c r="S721" s="86"/>
      <x:c r="T721" s="32"/>
    </x:row>
    <x:row r="722">
      <x:c r="A722" s="87"/>
      <x:c r="B722" s="88"/>
      <x:c r="D722" s="32"/>
      <x:c r="I722" s="74"/>
      <x:c r="J722" s="74"/>
      <x:c r="K722" s="74"/>
      <x:c r="L722" s="74"/>
      <x:c r="M722" s="91"/>
      <x:c r="N722" s="91"/>
      <x:c r="O722" s="91"/>
      <x:c r="P722" s="91"/>
      <x:c r="Q722" s="85"/>
      <x:c r="S722" s="86"/>
      <x:c r="T722" s="32"/>
    </x:row>
    <x:row r="723">
      <x:c r="A723" s="87"/>
      <x:c r="B723" s="88"/>
      <x:c r="D723" s="32"/>
      <x:c r="I723" s="74"/>
      <x:c r="J723" s="74"/>
      <x:c r="K723" s="74"/>
      <x:c r="L723" s="74"/>
      <x:c r="M723" s="91"/>
      <x:c r="N723" s="91"/>
      <x:c r="O723" s="91"/>
      <x:c r="P723" s="91"/>
      <x:c r="Q723" s="85"/>
      <x:c r="S723" s="86"/>
      <x:c r="T723" s="32"/>
    </x:row>
    <x:row r="724">
      <x:c r="A724" s="87"/>
      <x:c r="B724" s="88"/>
      <x:c r="D724" s="32"/>
      <x:c r="I724" s="74"/>
      <x:c r="J724" s="74"/>
      <x:c r="K724" s="74"/>
      <x:c r="L724" s="74"/>
      <x:c r="M724" s="91"/>
      <x:c r="N724" s="91"/>
      <x:c r="O724" s="91"/>
      <x:c r="P724" s="91"/>
      <x:c r="Q724" s="85"/>
      <x:c r="S724" s="86"/>
      <x:c r="T724" s="32"/>
    </x:row>
    <x:row r="725">
      <x:c r="A725" s="87"/>
      <x:c r="B725" s="88"/>
      <x:c r="D725" s="32"/>
      <x:c r="I725" s="74"/>
      <x:c r="J725" s="74"/>
      <x:c r="K725" s="74"/>
      <x:c r="L725" s="74"/>
      <x:c r="M725" s="91"/>
      <x:c r="N725" s="91"/>
      <x:c r="O725" s="91"/>
      <x:c r="P725" s="91"/>
      <x:c r="Q725" s="85"/>
      <x:c r="S725" s="86"/>
      <x:c r="T725" s="32"/>
    </x:row>
    <x:row r="726">
      <x:c r="A726" s="87"/>
      <x:c r="B726" s="88"/>
      <x:c r="D726" s="32"/>
      <x:c r="I726" s="74"/>
      <x:c r="J726" s="74"/>
      <x:c r="K726" s="74"/>
      <x:c r="L726" s="74"/>
      <x:c r="M726" s="91"/>
      <x:c r="N726" s="91"/>
      <x:c r="O726" s="91"/>
      <x:c r="P726" s="91"/>
      <x:c r="Q726" s="85"/>
      <x:c r="S726" s="86"/>
      <x:c r="T726" s="32"/>
    </x:row>
    <x:row r="727">
      <x:c r="A727" s="87"/>
      <x:c r="B727" s="88"/>
      <x:c r="D727" s="32"/>
      <x:c r="I727" s="74"/>
      <x:c r="J727" s="74"/>
      <x:c r="K727" s="74"/>
      <x:c r="L727" s="74"/>
      <x:c r="M727" s="91"/>
      <x:c r="N727" s="91"/>
      <x:c r="O727" s="91"/>
      <x:c r="P727" s="91"/>
      <x:c r="Q727" s="85"/>
      <x:c r="S727" s="86"/>
      <x:c r="T727" s="32"/>
    </x:row>
    <x:row r="728">
      <x:c r="A728" s="87"/>
      <x:c r="B728" s="88"/>
      <x:c r="D728" s="32"/>
      <x:c r="I728" s="74"/>
      <x:c r="J728" s="74"/>
      <x:c r="K728" s="74"/>
      <x:c r="L728" s="74"/>
      <x:c r="M728" s="91"/>
      <x:c r="N728" s="91"/>
      <x:c r="O728" s="91"/>
      <x:c r="P728" s="91"/>
      <x:c r="Q728" s="85"/>
      <x:c r="S728" s="86"/>
      <x:c r="T728" s="32"/>
    </x:row>
    <x:row r="729">
      <x:c r="A729" s="87"/>
      <x:c r="B729" s="88"/>
      <x:c r="D729" s="32"/>
      <x:c r="I729" s="74"/>
      <x:c r="J729" s="74"/>
      <x:c r="K729" s="74"/>
      <x:c r="L729" s="74"/>
      <x:c r="M729" s="91"/>
      <x:c r="N729" s="91"/>
      <x:c r="O729" s="91"/>
      <x:c r="P729" s="91"/>
      <x:c r="Q729" s="85"/>
      <x:c r="S729" s="86"/>
      <x:c r="T729" s="32"/>
    </x:row>
    <x:row r="730">
      <x:c r="A730" s="87"/>
      <x:c r="B730" s="88"/>
      <x:c r="D730" s="32"/>
      <x:c r="I730" s="74"/>
      <x:c r="J730" s="74"/>
      <x:c r="K730" s="74"/>
      <x:c r="L730" s="74"/>
      <x:c r="M730" s="91"/>
      <x:c r="N730" s="91"/>
      <x:c r="O730" s="91"/>
      <x:c r="P730" s="91"/>
      <x:c r="Q730" s="85"/>
      <x:c r="S730" s="86"/>
      <x:c r="T730" s="32"/>
    </x:row>
    <x:row r="731">
      <x:c r="A731" s="87"/>
      <x:c r="B731" s="88"/>
      <x:c r="D731" s="32"/>
      <x:c r="I731" s="74"/>
      <x:c r="J731" s="74"/>
      <x:c r="K731" s="74"/>
      <x:c r="L731" s="74"/>
      <x:c r="M731" s="91"/>
      <x:c r="N731" s="91"/>
      <x:c r="O731" s="91"/>
      <x:c r="P731" s="91"/>
      <x:c r="Q731" s="85"/>
      <x:c r="S731" s="86"/>
      <x:c r="T731" s="32"/>
    </x:row>
    <x:row r="732">
      <x:c r="A732" s="87"/>
      <x:c r="B732" s="88"/>
      <x:c r="D732" s="32"/>
      <x:c r="I732" s="74"/>
      <x:c r="J732" s="74"/>
      <x:c r="K732" s="74"/>
      <x:c r="L732" s="74"/>
      <x:c r="M732" s="91"/>
      <x:c r="N732" s="91"/>
      <x:c r="O732" s="91"/>
      <x:c r="P732" s="91"/>
      <x:c r="Q732" s="85"/>
      <x:c r="S732" s="86"/>
      <x:c r="T732" s="32"/>
    </x:row>
    <x:row r="733">
      <x:c r="A733" s="87"/>
      <x:c r="B733" s="88"/>
      <x:c r="D733" s="32"/>
      <x:c r="I733" s="74"/>
      <x:c r="J733" s="74"/>
      <x:c r="K733" s="74"/>
      <x:c r="L733" s="74"/>
      <x:c r="M733" s="91"/>
      <x:c r="N733" s="91"/>
      <x:c r="O733" s="91"/>
      <x:c r="P733" s="91"/>
      <x:c r="Q733" s="85"/>
      <x:c r="S733" s="86"/>
      <x:c r="T733" s="32"/>
    </x:row>
    <x:row r="734">
      <x:c r="A734" s="87"/>
      <x:c r="B734" s="88"/>
      <x:c r="D734" s="32"/>
      <x:c r="I734" s="74"/>
      <x:c r="J734" s="74"/>
      <x:c r="K734" s="74"/>
      <x:c r="L734" s="74"/>
      <x:c r="M734" s="91"/>
      <x:c r="N734" s="91"/>
      <x:c r="O734" s="91"/>
      <x:c r="P734" s="91"/>
      <x:c r="Q734" s="85"/>
      <x:c r="S734" s="86"/>
      <x:c r="T734" s="32"/>
    </x:row>
    <x:row r="735">
      <x:c r="A735" s="87"/>
      <x:c r="B735" s="88"/>
      <x:c r="D735" s="32"/>
      <x:c r="I735" s="74"/>
      <x:c r="J735" s="74"/>
      <x:c r="K735" s="74"/>
      <x:c r="L735" s="74"/>
      <x:c r="M735" s="91"/>
      <x:c r="N735" s="91"/>
      <x:c r="O735" s="91"/>
      <x:c r="P735" s="91"/>
      <x:c r="Q735" s="85"/>
      <x:c r="S735" s="86"/>
      <x:c r="T735" s="32"/>
    </x:row>
    <x:row r="736">
      <x:c r="A736" s="87"/>
      <x:c r="B736" s="88"/>
      <x:c r="D736" s="32"/>
      <x:c r="I736" s="74"/>
      <x:c r="J736" s="74"/>
      <x:c r="K736" s="74"/>
      <x:c r="L736" s="74"/>
      <x:c r="M736" s="91"/>
      <x:c r="N736" s="91"/>
      <x:c r="O736" s="91"/>
      <x:c r="P736" s="91"/>
      <x:c r="Q736" s="85"/>
      <x:c r="S736" s="86"/>
      <x:c r="T736" s="32"/>
    </x:row>
    <x:row r="737">
      <x:c r="A737" s="87"/>
      <x:c r="B737" s="88"/>
      <x:c r="D737" s="32"/>
      <x:c r="I737" s="74"/>
      <x:c r="J737" s="74"/>
      <x:c r="K737" s="74"/>
      <x:c r="L737" s="74"/>
      <x:c r="M737" s="91"/>
      <x:c r="N737" s="91"/>
      <x:c r="O737" s="91"/>
      <x:c r="P737" s="91"/>
      <x:c r="Q737" s="85"/>
      <x:c r="S737" s="86"/>
      <x:c r="T737" s="32"/>
    </x:row>
    <x:row r="738">
      <x:c r="A738" s="87"/>
      <x:c r="B738" s="88"/>
      <x:c r="D738" s="32"/>
      <x:c r="I738" s="74"/>
      <x:c r="J738" s="74"/>
      <x:c r="K738" s="74"/>
      <x:c r="L738" s="74"/>
      <x:c r="M738" s="91"/>
      <x:c r="N738" s="91"/>
      <x:c r="O738" s="91"/>
      <x:c r="P738" s="91"/>
      <x:c r="Q738" s="85"/>
      <x:c r="S738" s="86"/>
      <x:c r="T738" s="32"/>
    </x:row>
    <x:row r="739">
      <x:c r="A739" s="87"/>
      <x:c r="B739" s="88"/>
      <x:c r="D739" s="32"/>
      <x:c r="I739" s="74"/>
      <x:c r="J739" s="74"/>
      <x:c r="K739" s="74"/>
      <x:c r="L739" s="74"/>
      <x:c r="M739" s="91"/>
      <x:c r="N739" s="91"/>
      <x:c r="O739" s="91"/>
      <x:c r="P739" s="91"/>
      <x:c r="Q739" s="85"/>
      <x:c r="S739" s="86"/>
      <x:c r="T739" s="32"/>
    </x:row>
    <x:row r="740">
      <x:c r="A740" s="87"/>
      <x:c r="B740" s="88"/>
      <x:c r="D740" s="32"/>
      <x:c r="I740" s="74"/>
      <x:c r="J740" s="74"/>
      <x:c r="K740" s="74"/>
      <x:c r="L740" s="74"/>
      <x:c r="M740" s="91"/>
      <x:c r="N740" s="91"/>
      <x:c r="O740" s="91"/>
      <x:c r="P740" s="91"/>
      <x:c r="Q740" s="85"/>
      <x:c r="S740" s="86"/>
      <x:c r="T740" s="32"/>
    </x:row>
    <x:row r="741">
      <x:c r="A741" s="87"/>
      <x:c r="B741" s="88"/>
      <x:c r="D741" s="32"/>
      <x:c r="I741" s="74"/>
      <x:c r="J741" s="74"/>
      <x:c r="K741" s="74"/>
      <x:c r="L741" s="74"/>
      <x:c r="M741" s="91"/>
      <x:c r="N741" s="91"/>
      <x:c r="O741" s="91"/>
      <x:c r="P741" s="91"/>
      <x:c r="Q741" s="85"/>
      <x:c r="S741" s="86"/>
      <x:c r="T741" s="32"/>
    </x:row>
    <x:row r="742">
      <x:c r="A742" s="87"/>
      <x:c r="B742" s="88"/>
      <x:c r="D742" s="32"/>
      <x:c r="I742" s="74"/>
      <x:c r="J742" s="74"/>
      <x:c r="K742" s="74"/>
      <x:c r="L742" s="74"/>
      <x:c r="M742" s="91"/>
      <x:c r="N742" s="91"/>
      <x:c r="O742" s="91"/>
      <x:c r="P742" s="91"/>
      <x:c r="Q742" s="85"/>
      <x:c r="S742" s="86"/>
      <x:c r="T742" s="32"/>
    </x:row>
    <x:row r="743">
      <x:c r="A743" s="87"/>
      <x:c r="B743" s="88"/>
      <x:c r="D743" s="32"/>
      <x:c r="I743" s="74"/>
      <x:c r="J743" s="74"/>
      <x:c r="K743" s="74"/>
      <x:c r="L743" s="74"/>
      <x:c r="M743" s="91"/>
      <x:c r="N743" s="91"/>
      <x:c r="O743" s="91"/>
      <x:c r="P743" s="91"/>
      <x:c r="Q743" s="85"/>
      <x:c r="S743" s="86"/>
      <x:c r="T743" s="32"/>
    </x:row>
    <x:row r="744">
      <x:c r="A744" s="87"/>
      <x:c r="B744" s="88"/>
      <x:c r="D744" s="32"/>
      <x:c r="I744" s="74"/>
      <x:c r="J744" s="74"/>
      <x:c r="K744" s="74"/>
      <x:c r="L744" s="74"/>
      <x:c r="M744" s="91"/>
      <x:c r="N744" s="91"/>
      <x:c r="O744" s="91"/>
      <x:c r="P744" s="91"/>
      <x:c r="Q744" s="85"/>
      <x:c r="S744" s="86"/>
      <x:c r="T744" s="32"/>
    </x:row>
    <x:row r="745">
      <x:c r="A745" s="87"/>
      <x:c r="B745" s="88"/>
      <x:c r="D745" s="32"/>
      <x:c r="I745" s="74"/>
      <x:c r="J745" s="74"/>
      <x:c r="K745" s="74"/>
      <x:c r="L745" s="74"/>
      <x:c r="M745" s="91"/>
      <x:c r="N745" s="91"/>
      <x:c r="O745" s="91"/>
      <x:c r="P745" s="91"/>
      <x:c r="Q745" s="85"/>
      <x:c r="S745" s="86"/>
      <x:c r="T745" s="32"/>
    </x:row>
    <x:row r="746">
      <x:c r="A746" s="87"/>
      <x:c r="B746" s="88"/>
      <x:c r="D746" s="32"/>
      <x:c r="I746" s="74"/>
      <x:c r="J746" s="74"/>
      <x:c r="K746" s="74"/>
      <x:c r="L746" s="74"/>
      <x:c r="M746" s="91"/>
      <x:c r="N746" s="91"/>
      <x:c r="O746" s="91"/>
      <x:c r="P746" s="91"/>
      <x:c r="Q746" s="85"/>
      <x:c r="S746" s="86"/>
      <x:c r="T746" s="32"/>
    </x:row>
    <x:row r="747">
      <x:c r="A747" s="87"/>
      <x:c r="B747" s="88"/>
      <x:c r="D747" s="32"/>
      <x:c r="I747" s="74"/>
      <x:c r="J747" s="74"/>
      <x:c r="K747" s="74"/>
      <x:c r="L747" s="74"/>
      <x:c r="M747" s="91"/>
      <x:c r="N747" s="91"/>
      <x:c r="O747" s="91"/>
      <x:c r="P747" s="91"/>
      <x:c r="Q747" s="85"/>
      <x:c r="S747" s="86"/>
      <x:c r="T747" s="32"/>
    </x:row>
    <x:row r="748">
      <x:c r="A748" s="87"/>
      <x:c r="B748" s="88"/>
      <x:c r="D748" s="32"/>
      <x:c r="I748" s="74"/>
      <x:c r="J748" s="74"/>
      <x:c r="K748" s="74"/>
      <x:c r="L748" s="74"/>
      <x:c r="M748" s="91"/>
      <x:c r="N748" s="91"/>
      <x:c r="O748" s="91"/>
      <x:c r="P748" s="91"/>
      <x:c r="Q748" s="85"/>
      <x:c r="S748" s="86"/>
      <x:c r="T748" s="32"/>
    </x:row>
    <x:row r="749">
      <x:c r="A749" s="87"/>
      <x:c r="B749" s="88"/>
      <x:c r="D749" s="32"/>
      <x:c r="I749" s="74"/>
      <x:c r="J749" s="74"/>
      <x:c r="K749" s="74"/>
      <x:c r="L749" s="74"/>
      <x:c r="M749" s="91"/>
      <x:c r="N749" s="91"/>
      <x:c r="O749" s="91"/>
      <x:c r="P749" s="91"/>
      <x:c r="Q749" s="85"/>
      <x:c r="S749" s="86"/>
      <x:c r="T749" s="32"/>
    </x:row>
    <x:row r="750">
      <x:c r="A750" s="87"/>
      <x:c r="B750" s="88"/>
      <x:c r="D750" s="32"/>
      <x:c r="I750" s="74"/>
      <x:c r="J750" s="74"/>
      <x:c r="K750" s="74"/>
      <x:c r="L750" s="74"/>
      <x:c r="M750" s="91"/>
      <x:c r="N750" s="91"/>
      <x:c r="O750" s="91"/>
      <x:c r="P750" s="91"/>
      <x:c r="Q750" s="85"/>
      <x:c r="S750" s="86"/>
      <x:c r="T750" s="32"/>
    </x:row>
    <x:row r="751">
      <x:c r="A751" s="87"/>
      <x:c r="B751" s="88"/>
      <x:c r="D751" s="32"/>
      <x:c r="I751" s="74"/>
      <x:c r="J751" s="74"/>
      <x:c r="K751" s="74"/>
      <x:c r="L751" s="74"/>
      <x:c r="M751" s="91"/>
      <x:c r="N751" s="91"/>
      <x:c r="O751" s="91"/>
      <x:c r="P751" s="91"/>
      <x:c r="Q751" s="85"/>
      <x:c r="S751" s="86"/>
      <x:c r="T751" s="32"/>
    </x:row>
    <x:row r="752">
      <x:c r="A752" s="87"/>
      <x:c r="B752" s="88"/>
      <x:c r="D752" s="32"/>
      <x:c r="I752" s="74"/>
      <x:c r="J752" s="74"/>
      <x:c r="K752" s="74"/>
      <x:c r="L752" s="74"/>
      <x:c r="M752" s="91"/>
      <x:c r="N752" s="91"/>
      <x:c r="O752" s="91"/>
      <x:c r="P752" s="91"/>
      <x:c r="Q752" s="85"/>
      <x:c r="S752" s="86"/>
      <x:c r="T752" s="32"/>
    </x:row>
    <x:row r="753">
      <x:c r="A753" s="87"/>
      <x:c r="B753" s="88"/>
      <x:c r="D753" s="32"/>
      <x:c r="I753" s="74"/>
      <x:c r="J753" s="74"/>
      <x:c r="K753" s="74"/>
      <x:c r="L753" s="74"/>
      <x:c r="M753" s="91"/>
      <x:c r="N753" s="91"/>
      <x:c r="O753" s="91"/>
      <x:c r="P753" s="91"/>
      <x:c r="Q753" s="85"/>
      <x:c r="S753" s="86"/>
      <x:c r="T753" s="32"/>
    </x:row>
    <x:row r="754">
      <x:c r="A754" s="87"/>
      <x:c r="B754" s="88"/>
      <x:c r="D754" s="32"/>
      <x:c r="I754" s="74"/>
      <x:c r="J754" s="74"/>
      <x:c r="K754" s="74"/>
      <x:c r="L754" s="74"/>
      <x:c r="M754" s="91"/>
      <x:c r="N754" s="91"/>
      <x:c r="O754" s="91"/>
      <x:c r="P754" s="91"/>
      <x:c r="Q754" s="85"/>
      <x:c r="S754" s="86"/>
      <x:c r="T754" s="32"/>
    </x:row>
    <x:row r="755">
      <x:c r="A755" s="87"/>
      <x:c r="B755" s="88"/>
      <x:c r="D755" s="32"/>
      <x:c r="I755" s="74"/>
      <x:c r="J755" s="74"/>
      <x:c r="K755" s="74"/>
      <x:c r="L755" s="74"/>
      <x:c r="M755" s="91"/>
      <x:c r="N755" s="91"/>
      <x:c r="O755" s="91"/>
      <x:c r="P755" s="91"/>
      <x:c r="Q755" s="85"/>
      <x:c r="S755" s="86"/>
      <x:c r="T755" s="32"/>
    </x:row>
    <x:row r="756">
      <x:c r="A756" s="87"/>
      <x:c r="B756" s="88"/>
      <x:c r="D756" s="32"/>
      <x:c r="I756" s="74"/>
      <x:c r="J756" s="74"/>
      <x:c r="K756" s="74"/>
      <x:c r="L756" s="74"/>
      <x:c r="M756" s="91"/>
      <x:c r="N756" s="91"/>
      <x:c r="O756" s="91"/>
      <x:c r="P756" s="91"/>
      <x:c r="Q756" s="85"/>
      <x:c r="S756" s="86"/>
      <x:c r="T756" s="32"/>
    </x:row>
    <x:row r="757">
      <x:c r="A757" s="87"/>
      <x:c r="B757" s="88"/>
      <x:c r="D757" s="32"/>
      <x:c r="I757" s="74"/>
      <x:c r="J757" s="74"/>
      <x:c r="K757" s="74"/>
      <x:c r="L757" s="74"/>
      <x:c r="M757" s="91"/>
      <x:c r="N757" s="91"/>
      <x:c r="O757" s="91"/>
      <x:c r="P757" s="91"/>
      <x:c r="Q757" s="85"/>
      <x:c r="S757" s="86"/>
      <x:c r="T757" s="32"/>
    </x:row>
    <x:row r="758">
      <x:c r="A758" s="87"/>
      <x:c r="B758" s="88"/>
      <x:c r="D758" s="32"/>
      <x:c r="I758" s="74"/>
      <x:c r="J758" s="74"/>
      <x:c r="K758" s="74"/>
      <x:c r="L758" s="74"/>
      <x:c r="M758" s="91"/>
      <x:c r="N758" s="91"/>
      <x:c r="O758" s="91"/>
      <x:c r="P758" s="91"/>
      <x:c r="Q758" s="85"/>
      <x:c r="S758" s="86"/>
      <x:c r="T758" s="32"/>
    </x:row>
    <x:row r="759">
      <x:c r="A759" s="87"/>
      <x:c r="B759" s="88"/>
      <x:c r="D759" s="32"/>
      <x:c r="I759" s="74"/>
      <x:c r="J759" s="74"/>
      <x:c r="K759" s="74"/>
      <x:c r="L759" s="74"/>
      <x:c r="M759" s="91"/>
      <x:c r="N759" s="91"/>
      <x:c r="O759" s="91"/>
      <x:c r="P759" s="91"/>
      <x:c r="Q759" s="85"/>
      <x:c r="S759" s="86"/>
      <x:c r="T759" s="32"/>
    </x:row>
    <x:row r="760">
      <x:c r="A760" s="87"/>
      <x:c r="B760" s="88"/>
      <x:c r="D760" s="32"/>
      <x:c r="I760" s="74"/>
      <x:c r="J760" s="74"/>
      <x:c r="K760" s="74"/>
      <x:c r="L760" s="74"/>
      <x:c r="M760" s="91"/>
      <x:c r="N760" s="91"/>
      <x:c r="O760" s="91"/>
      <x:c r="P760" s="91"/>
      <x:c r="Q760" s="85"/>
      <x:c r="S760" s="86"/>
      <x:c r="T760" s="32"/>
    </x:row>
    <x:row r="761">
      <x:c r="A761" s="87"/>
      <x:c r="B761" s="88"/>
      <x:c r="D761" s="32"/>
      <x:c r="I761" s="74"/>
      <x:c r="J761" s="74"/>
      <x:c r="K761" s="74"/>
      <x:c r="L761" s="74"/>
      <x:c r="M761" s="91"/>
      <x:c r="N761" s="91"/>
      <x:c r="O761" s="91"/>
      <x:c r="P761" s="91"/>
      <x:c r="Q761" s="85"/>
      <x:c r="S761" s="86"/>
      <x:c r="T761" s="32"/>
    </x:row>
    <x:row r="762">
      <x:c r="A762" s="87"/>
      <x:c r="B762" s="88"/>
      <x:c r="D762" s="32"/>
      <x:c r="I762" s="74"/>
      <x:c r="J762" s="74"/>
      <x:c r="K762" s="74"/>
      <x:c r="L762" s="74"/>
      <x:c r="M762" s="91"/>
      <x:c r="N762" s="91"/>
      <x:c r="O762" s="91"/>
      <x:c r="P762" s="91"/>
      <x:c r="Q762" s="85"/>
      <x:c r="S762" s="86"/>
      <x:c r="T762" s="32"/>
    </x:row>
    <x:row r="763">
      <x:c r="A763" s="87"/>
      <x:c r="B763" s="88"/>
      <x:c r="D763" s="32"/>
      <x:c r="I763" s="74"/>
      <x:c r="J763" s="74"/>
      <x:c r="K763" s="74"/>
      <x:c r="L763" s="74"/>
      <x:c r="M763" s="91"/>
      <x:c r="N763" s="91"/>
      <x:c r="O763" s="91"/>
      <x:c r="P763" s="91"/>
      <x:c r="Q763" s="85"/>
      <x:c r="S763" s="86"/>
      <x:c r="T763" s="32"/>
    </x:row>
    <x:row r="764">
      <x:c r="A764" s="87"/>
      <x:c r="B764" s="88"/>
      <x:c r="D764" s="32"/>
      <x:c r="I764" s="74"/>
      <x:c r="J764" s="74"/>
      <x:c r="K764" s="74"/>
      <x:c r="L764" s="74"/>
      <x:c r="M764" s="91"/>
      <x:c r="N764" s="91"/>
      <x:c r="O764" s="91"/>
      <x:c r="P764" s="91"/>
      <x:c r="Q764" s="85"/>
      <x:c r="S764" s="86"/>
      <x:c r="T764" s="32"/>
    </x:row>
    <x:row r="765">
      <x:c r="A765" s="87"/>
      <x:c r="B765" s="88"/>
      <x:c r="D765" s="32"/>
      <x:c r="I765" s="74"/>
      <x:c r="J765" s="74"/>
      <x:c r="K765" s="74"/>
      <x:c r="L765" s="74"/>
      <x:c r="M765" s="91"/>
      <x:c r="N765" s="91"/>
      <x:c r="O765" s="91"/>
      <x:c r="P765" s="91"/>
      <x:c r="Q765" s="85"/>
      <x:c r="S765" s="86"/>
      <x:c r="T765" s="32"/>
    </x:row>
    <x:row r="766">
      <x:c r="A766" s="87"/>
      <x:c r="B766" s="88"/>
      <x:c r="D766" s="32"/>
      <x:c r="I766" s="74"/>
      <x:c r="J766" s="74"/>
      <x:c r="K766" s="74"/>
      <x:c r="L766" s="74"/>
      <x:c r="M766" s="91"/>
      <x:c r="N766" s="91"/>
      <x:c r="O766" s="91"/>
      <x:c r="P766" s="91"/>
      <x:c r="Q766" s="85"/>
      <x:c r="S766" s="86"/>
      <x:c r="T766" s="32"/>
    </x:row>
    <x:row r="767">
      <x:c r="A767" s="87"/>
      <x:c r="B767" s="88"/>
      <x:c r="D767" s="32"/>
      <x:c r="I767" s="74"/>
      <x:c r="J767" s="74"/>
      <x:c r="K767" s="74"/>
      <x:c r="L767" s="74"/>
      <x:c r="M767" s="91"/>
      <x:c r="N767" s="91"/>
      <x:c r="O767" s="91"/>
      <x:c r="P767" s="91"/>
      <x:c r="Q767" s="85"/>
      <x:c r="S767" s="86"/>
      <x:c r="T767" s="32"/>
    </x:row>
    <x:row r="768">
      <x:c r="A768" s="87"/>
      <x:c r="B768" s="88"/>
      <x:c r="D768" s="32"/>
      <x:c r="I768" s="74"/>
      <x:c r="J768" s="74"/>
      <x:c r="K768" s="74"/>
      <x:c r="L768" s="74"/>
      <x:c r="M768" s="91"/>
      <x:c r="N768" s="91"/>
      <x:c r="O768" s="91"/>
      <x:c r="P768" s="91"/>
      <x:c r="Q768" s="85"/>
      <x:c r="S768" s="86"/>
      <x:c r="T768" s="32"/>
    </x:row>
    <x:row r="769">
      <x:c r="A769" s="87"/>
      <x:c r="B769" s="88"/>
      <x:c r="D769" s="32"/>
      <x:c r="I769" s="74"/>
      <x:c r="J769" s="74"/>
      <x:c r="K769" s="74"/>
      <x:c r="L769" s="74"/>
      <x:c r="M769" s="91"/>
      <x:c r="N769" s="91"/>
      <x:c r="O769" s="91"/>
      <x:c r="P769" s="91"/>
      <x:c r="Q769" s="85"/>
      <x:c r="S769" s="86"/>
      <x:c r="T769" s="32"/>
    </x:row>
    <x:row r="770">
      <x:c r="A770" s="87"/>
      <x:c r="B770" s="88"/>
      <x:c r="D770" s="32"/>
      <x:c r="I770" s="74"/>
      <x:c r="J770" s="74"/>
      <x:c r="K770" s="74"/>
      <x:c r="L770" s="74"/>
      <x:c r="M770" s="91"/>
      <x:c r="N770" s="91"/>
      <x:c r="O770" s="91"/>
      <x:c r="P770" s="91"/>
      <x:c r="Q770" s="85"/>
      <x:c r="S770" s="86"/>
      <x:c r="T770" s="32"/>
    </x:row>
    <x:row r="771">
      <x:c r="A771" s="87"/>
      <x:c r="B771" s="88"/>
      <x:c r="D771" s="32"/>
      <x:c r="I771" s="74"/>
      <x:c r="J771" s="74"/>
      <x:c r="K771" s="74"/>
      <x:c r="L771" s="74"/>
      <x:c r="M771" s="91"/>
      <x:c r="N771" s="91"/>
      <x:c r="O771" s="91"/>
      <x:c r="P771" s="91"/>
      <x:c r="Q771" s="85"/>
      <x:c r="S771" s="86"/>
      <x:c r="T771" s="32"/>
    </x:row>
    <x:row r="772">
      <x:c r="A772" s="87"/>
      <x:c r="B772" s="88"/>
      <x:c r="D772" s="32"/>
      <x:c r="I772" s="74"/>
      <x:c r="J772" s="74"/>
      <x:c r="K772" s="74"/>
      <x:c r="L772" s="74"/>
      <x:c r="M772" s="91"/>
      <x:c r="N772" s="91"/>
      <x:c r="O772" s="91"/>
      <x:c r="P772" s="91"/>
      <x:c r="Q772" s="85"/>
      <x:c r="S772" s="86"/>
      <x:c r="T772" s="32"/>
    </x:row>
    <x:row r="773">
      <x:c r="A773" s="87"/>
      <x:c r="B773" s="88"/>
      <x:c r="D773" s="32"/>
      <x:c r="I773" s="74"/>
      <x:c r="J773" s="74"/>
      <x:c r="K773" s="74"/>
      <x:c r="L773" s="74"/>
      <x:c r="M773" s="91"/>
      <x:c r="N773" s="91"/>
      <x:c r="O773" s="91"/>
      <x:c r="P773" s="91"/>
      <x:c r="Q773" s="85"/>
      <x:c r="S773" s="86"/>
      <x:c r="T773" s="32"/>
    </x:row>
    <x:row r="774">
      <x:c r="A774" s="87"/>
      <x:c r="B774" s="88"/>
      <x:c r="D774" s="32"/>
      <x:c r="I774" s="74"/>
      <x:c r="J774" s="74"/>
      <x:c r="K774" s="74"/>
      <x:c r="L774" s="74"/>
      <x:c r="M774" s="91"/>
      <x:c r="N774" s="91"/>
      <x:c r="O774" s="91"/>
      <x:c r="P774" s="91"/>
      <x:c r="Q774" s="85"/>
      <x:c r="S774" s="86"/>
      <x:c r="T774" s="32"/>
    </x:row>
    <x:row r="775">
      <x:c r="A775" s="87"/>
      <x:c r="B775" s="88"/>
      <x:c r="D775" s="32"/>
      <x:c r="I775" s="74"/>
      <x:c r="J775" s="74"/>
      <x:c r="K775" s="74"/>
      <x:c r="L775" s="74"/>
      <x:c r="M775" s="91"/>
      <x:c r="N775" s="91"/>
      <x:c r="O775" s="91"/>
      <x:c r="P775" s="91"/>
      <x:c r="Q775" s="85"/>
      <x:c r="S775" s="86"/>
      <x:c r="T775" s="32"/>
    </x:row>
    <x:row r="776">
      <x:c r="A776" s="87"/>
      <x:c r="B776" s="88"/>
      <x:c r="D776" s="32"/>
      <x:c r="I776" s="74"/>
      <x:c r="J776" s="74"/>
      <x:c r="K776" s="74"/>
      <x:c r="L776" s="74"/>
      <x:c r="M776" s="91"/>
      <x:c r="N776" s="91"/>
      <x:c r="O776" s="91"/>
      <x:c r="P776" s="91"/>
      <x:c r="Q776" s="85"/>
      <x:c r="S776" s="86"/>
      <x:c r="T776" s="32"/>
    </x:row>
    <x:row r="777">
      <x:c r="A777" s="87"/>
      <x:c r="B777" s="88"/>
      <x:c r="D777" s="32"/>
      <x:c r="I777" s="74"/>
      <x:c r="J777" s="74"/>
      <x:c r="K777" s="74"/>
      <x:c r="L777" s="74"/>
      <x:c r="M777" s="91"/>
      <x:c r="N777" s="91"/>
      <x:c r="O777" s="91"/>
      <x:c r="P777" s="91"/>
      <x:c r="Q777" s="85"/>
      <x:c r="S777" s="86"/>
      <x:c r="T777" s="32"/>
    </x:row>
    <x:row r="778">
      <x:c r="A778" s="87"/>
      <x:c r="B778" s="88"/>
      <x:c r="D778" s="32"/>
      <x:c r="I778" s="74"/>
      <x:c r="J778" s="74"/>
      <x:c r="K778" s="74"/>
      <x:c r="L778" s="74"/>
      <x:c r="M778" s="91"/>
      <x:c r="N778" s="91"/>
      <x:c r="O778" s="91"/>
      <x:c r="P778" s="91"/>
      <x:c r="Q778" s="85"/>
      <x:c r="S778" s="86"/>
      <x:c r="T778" s="32"/>
    </x:row>
    <x:row r="779">
      <x:c r="A779" s="87"/>
      <x:c r="B779" s="88"/>
      <x:c r="D779" s="32"/>
      <x:c r="I779" s="74"/>
      <x:c r="J779" s="74"/>
      <x:c r="K779" s="74"/>
      <x:c r="L779" s="74"/>
      <x:c r="M779" s="91"/>
      <x:c r="N779" s="91"/>
      <x:c r="O779" s="91"/>
      <x:c r="P779" s="91"/>
      <x:c r="Q779" s="85"/>
      <x:c r="S779" s="86"/>
      <x:c r="T779" s="32"/>
    </x:row>
    <x:row r="780">
      <x:c r="A780" s="87"/>
      <x:c r="B780" s="88"/>
      <x:c r="D780" s="32"/>
      <x:c r="I780" s="74"/>
      <x:c r="J780" s="74"/>
      <x:c r="K780" s="74"/>
      <x:c r="L780" s="74"/>
      <x:c r="M780" s="91"/>
      <x:c r="N780" s="91"/>
      <x:c r="O780" s="91"/>
      <x:c r="P780" s="91"/>
      <x:c r="Q780" s="85"/>
      <x:c r="S780" s="86"/>
      <x:c r="T780" s="32"/>
    </x:row>
    <x:row r="781">
      <x:c r="A781" s="87"/>
      <x:c r="B781" s="88"/>
      <x:c r="D781" s="32"/>
      <x:c r="I781" s="74"/>
      <x:c r="J781" s="74"/>
      <x:c r="K781" s="74"/>
      <x:c r="L781" s="74"/>
      <x:c r="M781" s="91"/>
      <x:c r="N781" s="91"/>
      <x:c r="O781" s="91"/>
      <x:c r="P781" s="91"/>
      <x:c r="Q781" s="85"/>
      <x:c r="S781" s="86"/>
      <x:c r="T781" s="32"/>
    </x:row>
    <x:row r="782">
      <x:c r="A782" s="87"/>
      <x:c r="B782" s="88"/>
      <x:c r="D782" s="32"/>
      <x:c r="I782" s="74"/>
      <x:c r="J782" s="74"/>
      <x:c r="K782" s="74"/>
      <x:c r="L782" s="74"/>
      <x:c r="M782" s="91"/>
      <x:c r="N782" s="91"/>
      <x:c r="O782" s="91"/>
      <x:c r="P782" s="91"/>
      <x:c r="Q782" s="85"/>
      <x:c r="S782" s="86"/>
      <x:c r="T782" s="32"/>
    </x:row>
    <x:row r="783">
      <x:c r="A783" s="87"/>
      <x:c r="B783" s="88"/>
      <x:c r="D783" s="32"/>
      <x:c r="I783" s="74"/>
      <x:c r="J783" s="74"/>
      <x:c r="K783" s="74"/>
      <x:c r="L783" s="74"/>
      <x:c r="M783" s="91"/>
      <x:c r="N783" s="91"/>
      <x:c r="O783" s="91"/>
      <x:c r="P783" s="91"/>
      <x:c r="Q783" s="85"/>
      <x:c r="S783" s="86"/>
      <x:c r="T783" s="32"/>
    </x:row>
    <x:row r="784">
      <x:c r="A784" s="87"/>
      <x:c r="B784" s="88"/>
      <x:c r="D784" s="32"/>
      <x:c r="I784" s="74"/>
      <x:c r="J784" s="74"/>
      <x:c r="K784" s="74"/>
      <x:c r="L784" s="74"/>
      <x:c r="M784" s="91"/>
      <x:c r="N784" s="91"/>
      <x:c r="O784" s="91"/>
      <x:c r="P784" s="91"/>
      <x:c r="Q784" s="85"/>
      <x:c r="S784" s="86"/>
      <x:c r="T784" s="32"/>
    </x:row>
    <x:row r="785">
      <x:c r="A785" s="87"/>
      <x:c r="B785" s="88"/>
      <x:c r="D785" s="32"/>
      <x:c r="I785" s="74"/>
      <x:c r="J785" s="74"/>
      <x:c r="K785" s="74"/>
      <x:c r="L785" s="74"/>
      <x:c r="M785" s="91"/>
      <x:c r="N785" s="91"/>
      <x:c r="O785" s="91"/>
      <x:c r="P785" s="91"/>
      <x:c r="Q785" s="85"/>
      <x:c r="S785" s="86"/>
      <x:c r="T785" s="32"/>
    </x:row>
    <x:row r="786">
      <x:c r="A786" s="87"/>
      <x:c r="B786" s="88"/>
      <x:c r="D786" s="32"/>
      <x:c r="I786" s="74"/>
      <x:c r="J786" s="74"/>
      <x:c r="K786" s="74"/>
      <x:c r="L786" s="74"/>
      <x:c r="M786" s="91"/>
      <x:c r="N786" s="91"/>
      <x:c r="O786" s="91"/>
      <x:c r="P786" s="91"/>
      <x:c r="Q786" s="85"/>
      <x:c r="S786" s="86"/>
      <x:c r="T786" s="32"/>
    </x:row>
    <x:row r="787">
      <x:c r="A787" s="87"/>
      <x:c r="B787" s="88"/>
      <x:c r="D787" s="32"/>
      <x:c r="I787" s="74"/>
      <x:c r="J787" s="74"/>
      <x:c r="K787" s="74"/>
      <x:c r="L787" s="74"/>
      <x:c r="M787" s="91"/>
      <x:c r="N787" s="91"/>
      <x:c r="O787" s="91"/>
      <x:c r="P787" s="91"/>
      <x:c r="Q787" s="85"/>
      <x:c r="S787" s="86"/>
      <x:c r="T787" s="32"/>
    </x:row>
    <x:row r="788">
      <x:c r="A788" s="87"/>
      <x:c r="B788" s="88"/>
      <x:c r="D788" s="32"/>
      <x:c r="I788" s="74"/>
      <x:c r="J788" s="74"/>
      <x:c r="K788" s="74"/>
      <x:c r="L788" s="74"/>
      <x:c r="M788" s="91"/>
      <x:c r="N788" s="91"/>
      <x:c r="O788" s="91"/>
      <x:c r="P788" s="91"/>
      <x:c r="Q788" s="85"/>
      <x:c r="S788" s="86"/>
      <x:c r="T788" s="32"/>
    </x:row>
    <x:row r="789">
      <x:c r="A789" s="87"/>
      <x:c r="B789" s="88"/>
      <x:c r="D789" s="32"/>
      <x:c r="I789" s="74"/>
      <x:c r="J789" s="74"/>
      <x:c r="K789" s="74"/>
      <x:c r="L789" s="74"/>
      <x:c r="M789" s="91"/>
      <x:c r="N789" s="91"/>
      <x:c r="O789" s="91"/>
      <x:c r="P789" s="91"/>
      <x:c r="Q789" s="85"/>
      <x:c r="S789" s="86"/>
      <x:c r="T789" s="32"/>
    </x:row>
    <x:row r="790">
      <x:c r="A790" s="87"/>
      <x:c r="B790" s="88"/>
      <x:c r="D790" s="32"/>
      <x:c r="I790" s="74"/>
      <x:c r="J790" s="74"/>
      <x:c r="K790" s="74"/>
      <x:c r="L790" s="74"/>
      <x:c r="M790" s="91"/>
      <x:c r="N790" s="91"/>
      <x:c r="O790" s="91"/>
      <x:c r="P790" s="91"/>
      <x:c r="Q790" s="85"/>
      <x:c r="S790" s="86"/>
      <x:c r="T790" s="32"/>
    </x:row>
    <x:row r="791">
      <x:c r="A791" s="87"/>
      <x:c r="B791" s="88"/>
      <x:c r="D791" s="32"/>
      <x:c r="I791" s="74"/>
      <x:c r="J791" s="74"/>
      <x:c r="K791" s="74"/>
      <x:c r="L791" s="74"/>
      <x:c r="M791" s="91"/>
      <x:c r="N791" s="91"/>
      <x:c r="O791" s="91"/>
      <x:c r="P791" s="91"/>
      <x:c r="Q791" s="85"/>
      <x:c r="S791" s="86"/>
      <x:c r="T791" s="32"/>
    </x:row>
    <x:row r="792">
      <x:c r="A792" s="87"/>
      <x:c r="B792" s="88"/>
      <x:c r="D792" s="32"/>
      <x:c r="I792" s="74"/>
      <x:c r="J792" s="74"/>
      <x:c r="K792" s="74"/>
      <x:c r="L792" s="74"/>
      <x:c r="M792" s="91"/>
      <x:c r="N792" s="91"/>
      <x:c r="O792" s="91"/>
      <x:c r="P792" s="91"/>
      <x:c r="Q792" s="85"/>
      <x:c r="S792" s="86"/>
      <x:c r="T792" s="32"/>
    </x:row>
    <x:row r="793">
      <x:c r="A793" s="87"/>
      <x:c r="B793" s="88"/>
      <x:c r="D793" s="32"/>
      <x:c r="I793" s="74"/>
      <x:c r="J793" s="74"/>
      <x:c r="K793" s="74"/>
      <x:c r="L793" s="74"/>
      <x:c r="M793" s="91"/>
      <x:c r="N793" s="91"/>
      <x:c r="O793" s="91"/>
      <x:c r="P793" s="91"/>
      <x:c r="Q793" s="85"/>
      <x:c r="S793" s="86"/>
      <x:c r="T793" s="32"/>
    </x:row>
    <x:row r="794">
      <x:c r="A794" s="87"/>
      <x:c r="B794" s="88"/>
      <x:c r="D794" s="32"/>
      <x:c r="I794" s="74"/>
      <x:c r="J794" s="74"/>
      <x:c r="K794" s="74"/>
      <x:c r="L794" s="74"/>
      <x:c r="M794" s="91"/>
      <x:c r="N794" s="91"/>
      <x:c r="O794" s="91"/>
      <x:c r="P794" s="91"/>
      <x:c r="Q794" s="85"/>
      <x:c r="S794" s="86"/>
      <x:c r="T794" s="32"/>
    </x:row>
    <x:row r="795">
      <x:c r="A795" s="87"/>
      <x:c r="B795" s="88"/>
      <x:c r="D795" s="32"/>
      <x:c r="I795" s="74"/>
      <x:c r="J795" s="74"/>
      <x:c r="K795" s="74"/>
      <x:c r="L795" s="74"/>
      <x:c r="M795" s="91"/>
      <x:c r="N795" s="91"/>
      <x:c r="O795" s="91"/>
      <x:c r="P795" s="91"/>
      <x:c r="Q795" s="85"/>
      <x:c r="S795" s="86"/>
      <x:c r="T795" s="32"/>
    </x:row>
    <x:row r="796">
      <x:c r="A796" s="87"/>
      <x:c r="B796" s="88"/>
      <x:c r="D796" s="32"/>
      <x:c r="I796" s="74"/>
      <x:c r="J796" s="74"/>
      <x:c r="K796" s="74"/>
      <x:c r="L796" s="74"/>
      <x:c r="M796" s="91"/>
      <x:c r="N796" s="91"/>
      <x:c r="O796" s="91"/>
      <x:c r="P796" s="91"/>
      <x:c r="Q796" s="85"/>
      <x:c r="S796" s="86"/>
      <x:c r="T796" s="32"/>
    </x:row>
    <x:row r="797">
      <x:c r="A797" s="87"/>
      <x:c r="B797" s="88"/>
      <x:c r="D797" s="32"/>
      <x:c r="I797" s="74"/>
      <x:c r="J797" s="74"/>
      <x:c r="K797" s="74"/>
      <x:c r="L797" s="74"/>
      <x:c r="M797" s="91"/>
      <x:c r="N797" s="91"/>
      <x:c r="O797" s="91"/>
      <x:c r="P797" s="91"/>
      <x:c r="Q797" s="85"/>
      <x:c r="S797" s="86"/>
      <x:c r="T797" s="32"/>
    </x:row>
    <x:row r="798">
      <x:c r="A798" s="87"/>
      <x:c r="B798" s="88"/>
      <x:c r="D798" s="32"/>
      <x:c r="I798" s="74"/>
      <x:c r="J798" s="74"/>
      <x:c r="K798" s="74"/>
      <x:c r="L798" s="74"/>
      <x:c r="M798" s="91"/>
      <x:c r="N798" s="91"/>
      <x:c r="O798" s="91"/>
      <x:c r="P798" s="91"/>
      <x:c r="Q798" s="85"/>
      <x:c r="S798" s="86"/>
      <x:c r="T798" s="32"/>
    </x:row>
    <x:row r="799">
      <x:c r="A799" s="87"/>
      <x:c r="B799" s="88"/>
      <x:c r="D799" s="32"/>
      <x:c r="I799" s="74"/>
      <x:c r="J799" s="74"/>
      <x:c r="K799" s="74"/>
      <x:c r="L799" s="74"/>
      <x:c r="M799" s="91"/>
      <x:c r="N799" s="91"/>
      <x:c r="O799" s="91"/>
      <x:c r="P799" s="91"/>
      <x:c r="Q799" s="85"/>
      <x:c r="S799" s="86"/>
      <x:c r="T799" s="32"/>
    </x:row>
    <x:row r="800">
      <x:c r="A800" s="87"/>
      <x:c r="B800" s="88"/>
      <x:c r="D800" s="32"/>
      <x:c r="I800" s="74"/>
      <x:c r="J800" s="74"/>
      <x:c r="K800" s="74"/>
      <x:c r="L800" s="74"/>
      <x:c r="M800" s="91"/>
      <x:c r="N800" s="91"/>
      <x:c r="O800" s="91"/>
      <x:c r="P800" s="91"/>
      <x:c r="Q800" s="85"/>
      <x:c r="S800" s="86"/>
      <x:c r="T800" s="32"/>
    </x:row>
    <x:row r="801">
      <x:c r="A801" s="87"/>
      <x:c r="B801" s="88"/>
      <x:c r="D801" s="32"/>
      <x:c r="I801" s="74"/>
      <x:c r="J801" s="74"/>
      <x:c r="K801" s="74"/>
      <x:c r="L801" s="74"/>
      <x:c r="M801" s="91"/>
      <x:c r="N801" s="91"/>
      <x:c r="O801" s="91"/>
      <x:c r="P801" s="91"/>
      <x:c r="Q801" s="85"/>
      <x:c r="S801" s="86"/>
      <x:c r="T801" s="32"/>
    </x:row>
    <x:row r="802">
      <x:c r="A802" s="87"/>
      <x:c r="B802" s="88"/>
      <x:c r="D802" s="32"/>
      <x:c r="I802" s="74"/>
      <x:c r="J802" s="74"/>
      <x:c r="K802" s="74"/>
      <x:c r="L802" s="74"/>
      <x:c r="M802" s="91"/>
      <x:c r="N802" s="91"/>
      <x:c r="O802" s="91"/>
      <x:c r="P802" s="91"/>
      <x:c r="Q802" s="85"/>
      <x:c r="S802" s="86"/>
      <x:c r="T802" s="32"/>
    </x:row>
    <x:row r="803">
      <x:c r="A803" s="87"/>
      <x:c r="B803" s="88"/>
      <x:c r="D803" s="32"/>
      <x:c r="I803" s="74"/>
      <x:c r="J803" s="74"/>
      <x:c r="K803" s="74"/>
      <x:c r="L803" s="74"/>
      <x:c r="M803" s="91"/>
      <x:c r="N803" s="91"/>
      <x:c r="O803" s="91"/>
      <x:c r="P803" s="91"/>
      <x:c r="Q803" s="85"/>
      <x:c r="S803" s="86"/>
      <x:c r="T803" s="32"/>
    </x:row>
    <x:row r="804">
      <x:c r="A804" s="87"/>
      <x:c r="B804" s="88"/>
      <x:c r="D804" s="32"/>
      <x:c r="I804" s="74"/>
      <x:c r="J804" s="74"/>
      <x:c r="K804" s="74"/>
      <x:c r="L804" s="74"/>
      <x:c r="M804" s="91"/>
      <x:c r="N804" s="91"/>
      <x:c r="O804" s="91"/>
      <x:c r="P804" s="91"/>
      <x:c r="Q804" s="85"/>
      <x:c r="S804" s="86"/>
      <x:c r="T804" s="32"/>
    </x:row>
    <x:row r="805">
      <x:c r="A805" s="87"/>
      <x:c r="B805" s="88"/>
      <x:c r="D805" s="32"/>
      <x:c r="I805" s="74"/>
      <x:c r="J805" s="74"/>
      <x:c r="K805" s="74"/>
      <x:c r="L805" s="74"/>
      <x:c r="M805" s="91"/>
      <x:c r="N805" s="91"/>
      <x:c r="O805" s="91"/>
      <x:c r="P805" s="91"/>
      <x:c r="Q805" s="85"/>
      <x:c r="S805" s="86"/>
      <x:c r="T805" s="32"/>
    </x:row>
    <x:row r="806">
      <x:c r="A806" s="87"/>
      <x:c r="B806" s="88"/>
      <x:c r="D806" s="32"/>
      <x:c r="I806" s="74"/>
      <x:c r="J806" s="74"/>
      <x:c r="K806" s="74"/>
      <x:c r="L806" s="74"/>
      <x:c r="M806" s="91"/>
      <x:c r="N806" s="91"/>
      <x:c r="O806" s="91"/>
      <x:c r="P806" s="91"/>
      <x:c r="Q806" s="85"/>
      <x:c r="S806" s="86"/>
      <x:c r="T806" s="32"/>
    </x:row>
    <x:row r="807">
      <x:c r="A807" s="87"/>
      <x:c r="B807" s="88"/>
      <x:c r="D807" s="32"/>
      <x:c r="I807" s="74"/>
      <x:c r="J807" s="74"/>
      <x:c r="K807" s="74"/>
      <x:c r="L807" s="74"/>
      <x:c r="M807" s="91"/>
      <x:c r="N807" s="91"/>
      <x:c r="O807" s="91"/>
      <x:c r="P807" s="91"/>
      <x:c r="Q807" s="85"/>
      <x:c r="S807" s="86"/>
      <x:c r="T807" s="32"/>
    </x:row>
    <x:row r="808">
      <x:c r="A808" s="87"/>
      <x:c r="B808" s="88"/>
      <x:c r="D808" s="32"/>
      <x:c r="I808" s="74"/>
      <x:c r="J808" s="74"/>
      <x:c r="K808" s="74"/>
      <x:c r="L808" s="74"/>
      <x:c r="M808" s="91"/>
      <x:c r="N808" s="91"/>
      <x:c r="O808" s="91"/>
      <x:c r="P808" s="91"/>
      <x:c r="Q808" s="85"/>
      <x:c r="S808" s="86"/>
      <x:c r="T808" s="32"/>
    </x:row>
    <x:row r="809">
      <x:c r="A809" s="87"/>
      <x:c r="B809" s="88"/>
      <x:c r="D809" s="32"/>
      <x:c r="I809" s="74"/>
      <x:c r="J809" s="74"/>
      <x:c r="K809" s="74"/>
      <x:c r="L809" s="74"/>
      <x:c r="M809" s="91"/>
      <x:c r="N809" s="91"/>
      <x:c r="O809" s="91"/>
      <x:c r="P809" s="91"/>
      <x:c r="Q809" s="85"/>
      <x:c r="S809" s="86"/>
      <x:c r="T809" s="32"/>
    </x:row>
    <x:row r="810">
      <x:c r="A810" s="87"/>
      <x:c r="B810" s="88"/>
      <x:c r="D810" s="32"/>
      <x:c r="I810" s="74"/>
      <x:c r="J810" s="74"/>
      <x:c r="K810" s="74"/>
      <x:c r="L810" s="74"/>
      <x:c r="M810" s="91"/>
      <x:c r="N810" s="91"/>
      <x:c r="O810" s="91"/>
      <x:c r="P810" s="91"/>
      <x:c r="Q810" s="85"/>
      <x:c r="S810" s="86"/>
      <x:c r="T810" s="32"/>
    </x:row>
    <x:row r="811">
      <x:c r="A811" s="87"/>
      <x:c r="B811" s="88"/>
      <x:c r="D811" s="32"/>
      <x:c r="I811" s="74"/>
      <x:c r="J811" s="74"/>
      <x:c r="K811" s="74"/>
      <x:c r="L811" s="74"/>
      <x:c r="M811" s="91"/>
      <x:c r="N811" s="91"/>
      <x:c r="O811" s="91"/>
      <x:c r="P811" s="91"/>
      <x:c r="Q811" s="85"/>
      <x:c r="S811" s="86"/>
      <x:c r="T811" s="32"/>
    </x:row>
    <x:row r="812">
      <x:c r="A812" s="87"/>
      <x:c r="B812" s="88"/>
      <x:c r="D812" s="32"/>
      <x:c r="I812" s="74"/>
      <x:c r="J812" s="74"/>
      <x:c r="K812" s="74"/>
      <x:c r="L812" s="74"/>
      <x:c r="M812" s="91"/>
      <x:c r="N812" s="91"/>
      <x:c r="O812" s="91"/>
      <x:c r="P812" s="91"/>
      <x:c r="Q812" s="85"/>
      <x:c r="S812" s="86"/>
      <x:c r="T812" s="32"/>
    </x:row>
    <x:row r="813">
      <x:c r="A813" s="87"/>
      <x:c r="B813" s="88"/>
      <x:c r="D813" s="32"/>
      <x:c r="I813" s="74"/>
      <x:c r="J813" s="74"/>
      <x:c r="K813" s="74"/>
      <x:c r="L813" s="74"/>
      <x:c r="M813" s="91"/>
      <x:c r="N813" s="91"/>
      <x:c r="O813" s="91"/>
      <x:c r="P813" s="91"/>
      <x:c r="Q813" s="85"/>
      <x:c r="S813" s="86"/>
      <x:c r="T813" s="32"/>
    </x:row>
    <x:row r="814">
      <x:c r="A814" s="87"/>
      <x:c r="B814" s="88"/>
      <x:c r="D814" s="32"/>
      <x:c r="I814" s="74"/>
      <x:c r="J814" s="74"/>
      <x:c r="K814" s="74"/>
      <x:c r="L814" s="74"/>
      <x:c r="M814" s="91"/>
      <x:c r="N814" s="91"/>
      <x:c r="O814" s="91"/>
      <x:c r="P814" s="91"/>
      <x:c r="Q814" s="85"/>
      <x:c r="S814" s="86"/>
      <x:c r="T814" s="32"/>
    </x:row>
    <x:row r="815">
      <x:c r="A815" s="87"/>
      <x:c r="B815" s="88"/>
      <x:c r="D815" s="32"/>
      <x:c r="I815" s="74"/>
      <x:c r="J815" s="74"/>
      <x:c r="K815" s="74"/>
      <x:c r="L815" s="74"/>
      <x:c r="M815" s="91"/>
      <x:c r="N815" s="91"/>
      <x:c r="O815" s="91"/>
      <x:c r="P815" s="91"/>
      <x:c r="Q815" s="85"/>
      <x:c r="S815" s="86"/>
      <x:c r="T815" s="32"/>
    </x:row>
    <x:row r="816">
      <x:c r="A816" s="87"/>
      <x:c r="B816" s="88"/>
      <x:c r="D816" s="32"/>
      <x:c r="I816" s="74"/>
      <x:c r="J816" s="74"/>
      <x:c r="K816" s="74"/>
      <x:c r="L816" s="74"/>
      <x:c r="M816" s="91"/>
      <x:c r="N816" s="91"/>
      <x:c r="O816" s="91"/>
      <x:c r="P816" s="91"/>
      <x:c r="Q816" s="85"/>
      <x:c r="S816" s="86"/>
      <x:c r="T816" s="32"/>
    </x:row>
    <x:row r="817">
      <x:c r="A817" s="87"/>
      <x:c r="B817" s="88"/>
      <x:c r="D817" s="32"/>
      <x:c r="I817" s="74"/>
      <x:c r="J817" s="74"/>
      <x:c r="K817" s="74"/>
      <x:c r="L817" s="74"/>
      <x:c r="M817" s="91"/>
      <x:c r="N817" s="91"/>
      <x:c r="O817" s="91"/>
      <x:c r="P817" s="91"/>
      <x:c r="Q817" s="85"/>
      <x:c r="S817" s="86"/>
      <x:c r="T817" s="32"/>
    </x:row>
    <x:row r="818">
      <x:c r="A818" s="87"/>
      <x:c r="B818" s="88"/>
      <x:c r="D818" s="32"/>
      <x:c r="I818" s="74"/>
      <x:c r="J818" s="74"/>
      <x:c r="K818" s="74"/>
      <x:c r="L818" s="74"/>
      <x:c r="M818" s="91"/>
      <x:c r="N818" s="91"/>
      <x:c r="O818" s="91"/>
      <x:c r="P818" s="91"/>
      <x:c r="Q818" s="85"/>
      <x:c r="S818" s="86"/>
      <x:c r="T818" s="32"/>
    </x:row>
    <x:row r="819">
      <x:c r="A819" s="87"/>
      <x:c r="B819" s="88"/>
      <x:c r="D819" s="32"/>
      <x:c r="I819" s="74"/>
      <x:c r="J819" s="74"/>
      <x:c r="K819" s="74"/>
      <x:c r="L819" s="74"/>
      <x:c r="M819" s="91"/>
      <x:c r="N819" s="91"/>
      <x:c r="O819" s="91"/>
      <x:c r="P819" s="91"/>
      <x:c r="Q819" s="85"/>
      <x:c r="S819" s="86"/>
      <x:c r="T819" s="32"/>
    </x:row>
    <x:row r="820">
      <x:c r="A820" s="87"/>
      <x:c r="B820" s="88"/>
      <x:c r="D820" s="32"/>
      <x:c r="I820" s="74"/>
      <x:c r="J820" s="74"/>
      <x:c r="K820" s="74"/>
      <x:c r="L820" s="74"/>
      <x:c r="M820" s="91"/>
      <x:c r="N820" s="91"/>
      <x:c r="O820" s="91"/>
      <x:c r="P820" s="91"/>
      <x:c r="Q820" s="85"/>
      <x:c r="S820" s="86"/>
      <x:c r="T820" s="32"/>
    </x:row>
    <x:row r="821">
      <x:c r="A821" s="87"/>
      <x:c r="B821" s="88"/>
      <x:c r="D821" s="32"/>
      <x:c r="I821" s="74"/>
      <x:c r="J821" s="74"/>
      <x:c r="K821" s="74"/>
      <x:c r="L821" s="74"/>
      <x:c r="M821" s="91"/>
      <x:c r="N821" s="91"/>
      <x:c r="O821" s="91"/>
      <x:c r="P821" s="91"/>
      <x:c r="Q821" s="85"/>
      <x:c r="S821" s="86"/>
      <x:c r="T821" s="32"/>
    </x:row>
    <x:row r="822">
      <x:c r="A822" s="87"/>
      <x:c r="B822" s="88"/>
      <x:c r="D822" s="32"/>
      <x:c r="I822" s="74"/>
      <x:c r="J822" s="74"/>
      <x:c r="K822" s="74"/>
      <x:c r="L822" s="74"/>
      <x:c r="M822" s="91"/>
      <x:c r="N822" s="91"/>
      <x:c r="O822" s="91"/>
      <x:c r="P822" s="91"/>
      <x:c r="Q822" s="85"/>
      <x:c r="S822" s="86"/>
      <x:c r="T822" s="32"/>
    </x:row>
    <x:row r="823">
      <x:c r="A823" s="87"/>
      <x:c r="B823" s="88"/>
      <x:c r="D823" s="32"/>
      <x:c r="I823" s="74"/>
      <x:c r="J823" s="74"/>
      <x:c r="K823" s="74"/>
      <x:c r="L823" s="74"/>
      <x:c r="M823" s="91"/>
      <x:c r="N823" s="91"/>
      <x:c r="O823" s="91"/>
      <x:c r="P823" s="91"/>
      <x:c r="Q823" s="85"/>
      <x:c r="S823" s="86"/>
      <x:c r="T823" s="32"/>
    </x:row>
    <x:row r="824">
      <x:c r="A824" s="87"/>
      <x:c r="B824" s="88"/>
      <x:c r="D824" s="32"/>
      <x:c r="I824" s="74"/>
      <x:c r="J824" s="74"/>
      <x:c r="K824" s="74"/>
      <x:c r="L824" s="74"/>
      <x:c r="M824" s="91"/>
      <x:c r="N824" s="91"/>
      <x:c r="O824" s="91"/>
      <x:c r="P824" s="91"/>
      <x:c r="Q824" s="85"/>
      <x:c r="S824" s="86"/>
      <x:c r="T824" s="32"/>
    </x:row>
    <x:row r="825">
      <x:c r="A825" s="87"/>
      <x:c r="B825" s="88"/>
      <x:c r="D825" s="32"/>
      <x:c r="I825" s="74"/>
      <x:c r="J825" s="74"/>
      <x:c r="K825" s="74"/>
      <x:c r="L825" s="74"/>
      <x:c r="M825" s="91"/>
      <x:c r="N825" s="91"/>
      <x:c r="O825" s="91"/>
      <x:c r="P825" s="91"/>
      <x:c r="Q825" s="85"/>
      <x:c r="S825" s="86"/>
      <x:c r="T825" s="32"/>
    </x:row>
    <x:row r="826">
      <x:c r="A826" s="87"/>
      <x:c r="B826" s="88"/>
      <x:c r="D826" s="32"/>
      <x:c r="I826" s="74"/>
      <x:c r="J826" s="74"/>
      <x:c r="K826" s="74"/>
      <x:c r="L826" s="74"/>
      <x:c r="M826" s="91"/>
      <x:c r="N826" s="91"/>
      <x:c r="O826" s="91"/>
      <x:c r="P826" s="91"/>
      <x:c r="Q826" s="85"/>
      <x:c r="S826" s="86"/>
      <x:c r="T826" s="32"/>
    </x:row>
    <x:row r="827">
      <x:c r="A827" s="87"/>
      <x:c r="B827" s="88"/>
      <x:c r="D827" s="32"/>
      <x:c r="I827" s="74"/>
      <x:c r="J827" s="74"/>
      <x:c r="K827" s="74"/>
      <x:c r="L827" s="74"/>
      <x:c r="M827" s="91"/>
      <x:c r="N827" s="91"/>
      <x:c r="O827" s="91"/>
      <x:c r="P827" s="91"/>
      <x:c r="Q827" s="85"/>
      <x:c r="S827" s="86"/>
      <x:c r="T827" s="32"/>
    </x:row>
    <x:row r="828">
      <x:c r="A828" s="87"/>
      <x:c r="B828" s="88"/>
      <x:c r="D828" s="32"/>
      <x:c r="I828" s="74"/>
      <x:c r="J828" s="74"/>
      <x:c r="K828" s="74"/>
      <x:c r="L828" s="74"/>
      <x:c r="M828" s="91"/>
      <x:c r="N828" s="91"/>
      <x:c r="O828" s="91"/>
      <x:c r="P828" s="91"/>
      <x:c r="Q828" s="85"/>
      <x:c r="S828" s="86"/>
      <x:c r="T828" s="32"/>
    </x:row>
    <x:row r="829">
      <x:c r="A829" s="87"/>
      <x:c r="B829" s="88"/>
      <x:c r="D829" s="32"/>
      <x:c r="I829" s="74"/>
      <x:c r="J829" s="74"/>
      <x:c r="K829" s="74"/>
      <x:c r="L829" s="74"/>
      <x:c r="M829" s="91"/>
      <x:c r="N829" s="91"/>
      <x:c r="O829" s="91"/>
      <x:c r="P829" s="91"/>
      <x:c r="Q829" s="85"/>
      <x:c r="S829" s="86"/>
      <x:c r="T829" s="32"/>
    </x:row>
    <x:row r="830">
      <x:c r="A830" s="87"/>
      <x:c r="B830" s="88"/>
      <x:c r="D830" s="32"/>
      <x:c r="I830" s="74"/>
      <x:c r="J830" s="74"/>
      <x:c r="K830" s="74"/>
      <x:c r="L830" s="74"/>
      <x:c r="M830" s="91"/>
      <x:c r="N830" s="91"/>
      <x:c r="O830" s="91"/>
      <x:c r="P830" s="91"/>
      <x:c r="Q830" s="85"/>
      <x:c r="S830" s="86"/>
      <x:c r="T830" s="32"/>
    </x:row>
    <x:row r="831">
      <x:c r="A831" s="87"/>
      <x:c r="B831" s="88"/>
      <x:c r="D831" s="32"/>
      <x:c r="I831" s="74"/>
      <x:c r="J831" s="74"/>
      <x:c r="K831" s="74"/>
      <x:c r="L831" s="74"/>
      <x:c r="M831" s="91"/>
      <x:c r="N831" s="91"/>
      <x:c r="O831" s="91"/>
      <x:c r="P831" s="91"/>
      <x:c r="Q831" s="85"/>
      <x:c r="S831" s="86"/>
      <x:c r="T831" s="32"/>
    </x:row>
    <x:row r="832">
      <x:c r="A832" s="87"/>
      <x:c r="B832" s="88"/>
      <x:c r="D832" s="32"/>
      <x:c r="I832" s="74"/>
      <x:c r="J832" s="74"/>
      <x:c r="K832" s="74"/>
      <x:c r="L832" s="74"/>
      <x:c r="M832" s="91"/>
      <x:c r="N832" s="91"/>
      <x:c r="O832" s="91"/>
      <x:c r="P832" s="91"/>
      <x:c r="Q832" s="85"/>
      <x:c r="S832" s="86"/>
      <x:c r="T832" s="32"/>
    </x:row>
    <x:row r="833">
      <x:c r="A833" s="87"/>
      <x:c r="B833" s="88"/>
      <x:c r="D833" s="32"/>
      <x:c r="I833" s="74"/>
      <x:c r="J833" s="74"/>
      <x:c r="K833" s="74"/>
      <x:c r="L833" s="74"/>
      <x:c r="M833" s="91"/>
      <x:c r="N833" s="91"/>
      <x:c r="O833" s="91"/>
      <x:c r="P833" s="91"/>
      <x:c r="Q833" s="85"/>
      <x:c r="S833" s="86"/>
      <x:c r="T833" s="32"/>
    </x:row>
    <x:row r="834">
      <x:c r="A834" s="87"/>
      <x:c r="B834" s="88"/>
      <x:c r="D834" s="32"/>
      <x:c r="I834" s="74"/>
      <x:c r="J834" s="74"/>
      <x:c r="K834" s="74"/>
      <x:c r="L834" s="74"/>
      <x:c r="M834" s="91"/>
      <x:c r="N834" s="91"/>
      <x:c r="O834" s="91"/>
      <x:c r="P834" s="91"/>
      <x:c r="Q834" s="85"/>
      <x:c r="S834" s="86"/>
      <x:c r="T834" s="32"/>
    </x:row>
    <x:row r="835">
      <x:c r="A835" s="87"/>
      <x:c r="B835" s="88"/>
      <x:c r="D835" s="32"/>
      <x:c r="I835" s="74"/>
      <x:c r="J835" s="74"/>
      <x:c r="K835" s="74"/>
      <x:c r="L835" s="74"/>
      <x:c r="M835" s="91"/>
      <x:c r="N835" s="91"/>
      <x:c r="O835" s="91"/>
      <x:c r="P835" s="91"/>
      <x:c r="Q835" s="85"/>
      <x:c r="S835" s="86"/>
      <x:c r="T835" s="32"/>
    </x:row>
    <x:row r="836">
      <x:c r="A836" s="87"/>
      <x:c r="B836" s="88"/>
      <x:c r="D836" s="32"/>
      <x:c r="I836" s="74"/>
      <x:c r="J836" s="74"/>
      <x:c r="K836" s="74"/>
      <x:c r="L836" s="74"/>
      <x:c r="M836" s="91"/>
      <x:c r="N836" s="91"/>
      <x:c r="O836" s="91"/>
      <x:c r="P836" s="91"/>
      <x:c r="Q836" s="85"/>
      <x:c r="S836" s="86"/>
      <x:c r="T836" s="32"/>
    </x:row>
    <x:row r="837">
      <x:c r="A837" s="87"/>
      <x:c r="B837" s="88"/>
      <x:c r="D837" s="32"/>
      <x:c r="I837" s="74"/>
      <x:c r="J837" s="74"/>
      <x:c r="K837" s="74"/>
      <x:c r="L837" s="74"/>
      <x:c r="M837" s="91"/>
      <x:c r="N837" s="91"/>
      <x:c r="O837" s="91"/>
      <x:c r="P837" s="91"/>
      <x:c r="Q837" s="85"/>
      <x:c r="S837" s="86"/>
      <x:c r="T837" s="32"/>
    </x:row>
    <x:row r="838">
      <x:c r="A838" s="87"/>
      <x:c r="B838" s="88"/>
      <x:c r="D838" s="32"/>
      <x:c r="I838" s="74"/>
      <x:c r="J838" s="74"/>
      <x:c r="K838" s="74"/>
      <x:c r="L838" s="74"/>
      <x:c r="M838" s="91"/>
      <x:c r="N838" s="91"/>
      <x:c r="O838" s="91"/>
      <x:c r="P838" s="91"/>
      <x:c r="Q838" s="85"/>
      <x:c r="S838" s="86"/>
      <x:c r="T838" s="32"/>
    </x:row>
    <x:row r="839">
      <x:c r="A839" s="87"/>
      <x:c r="B839" s="88"/>
      <x:c r="D839" s="32"/>
      <x:c r="I839" s="74"/>
      <x:c r="J839" s="74"/>
      <x:c r="K839" s="74"/>
      <x:c r="L839" s="74"/>
      <x:c r="M839" s="91"/>
      <x:c r="N839" s="91"/>
      <x:c r="O839" s="91"/>
      <x:c r="P839" s="91"/>
      <x:c r="Q839" s="85"/>
      <x:c r="S839" s="86"/>
      <x:c r="T839" s="32"/>
    </x:row>
    <x:row r="840">
      <x:c r="A840" s="87"/>
      <x:c r="B840" s="88"/>
      <x:c r="D840" s="32"/>
      <x:c r="I840" s="74"/>
      <x:c r="J840" s="74"/>
      <x:c r="K840" s="74"/>
      <x:c r="L840" s="74"/>
      <x:c r="M840" s="91"/>
      <x:c r="N840" s="91"/>
      <x:c r="O840" s="91"/>
      <x:c r="P840" s="91"/>
      <x:c r="Q840" s="85"/>
      <x:c r="S840" s="86"/>
      <x:c r="T840" s="32"/>
    </x:row>
    <x:row r="841">
      <x:c r="A841" s="87"/>
      <x:c r="B841" s="88"/>
      <x:c r="D841" s="32"/>
      <x:c r="I841" s="74"/>
      <x:c r="J841" s="74"/>
      <x:c r="K841" s="74"/>
      <x:c r="L841" s="74"/>
      <x:c r="M841" s="91"/>
      <x:c r="N841" s="91"/>
      <x:c r="O841" s="91"/>
      <x:c r="P841" s="91"/>
      <x:c r="Q841" s="85"/>
      <x:c r="S841" s="86"/>
      <x:c r="T841" s="32"/>
    </x:row>
    <x:row r="842">
      <x:c r="A842" s="87"/>
      <x:c r="B842" s="88"/>
      <x:c r="D842" s="32"/>
      <x:c r="I842" s="74"/>
      <x:c r="J842" s="74"/>
      <x:c r="K842" s="74"/>
      <x:c r="L842" s="74"/>
      <x:c r="M842" s="91"/>
      <x:c r="N842" s="91"/>
      <x:c r="O842" s="91"/>
      <x:c r="P842" s="91"/>
      <x:c r="Q842" s="85"/>
      <x:c r="S842" s="86"/>
      <x:c r="T842" s="32"/>
    </x:row>
    <x:row r="843">
      <x:c r="A843" s="87"/>
      <x:c r="B843" s="88"/>
      <x:c r="D843" s="32"/>
      <x:c r="I843" s="74"/>
      <x:c r="J843" s="74"/>
      <x:c r="K843" s="74"/>
      <x:c r="L843" s="74"/>
      <x:c r="M843" s="91"/>
      <x:c r="N843" s="91"/>
      <x:c r="O843" s="91"/>
      <x:c r="P843" s="91"/>
      <x:c r="Q843" s="85"/>
      <x:c r="S843" s="86"/>
      <x:c r="T843" s="32"/>
    </x:row>
    <x:row r="844">
      <x:c r="A844" s="87"/>
      <x:c r="B844" s="88"/>
      <x:c r="D844" s="32"/>
      <x:c r="I844" s="74"/>
      <x:c r="J844" s="74"/>
      <x:c r="K844" s="74"/>
      <x:c r="L844" s="74"/>
      <x:c r="M844" s="91"/>
      <x:c r="N844" s="91"/>
      <x:c r="O844" s="91"/>
      <x:c r="P844" s="91"/>
      <x:c r="Q844" s="85"/>
      <x:c r="S844" s="86"/>
      <x:c r="T844" s="32"/>
    </x:row>
    <x:row r="845">
      <x:c r="A845" s="87"/>
      <x:c r="B845" s="88"/>
      <x:c r="D845" s="32"/>
      <x:c r="I845" s="74"/>
      <x:c r="J845" s="74"/>
      <x:c r="K845" s="74"/>
      <x:c r="L845" s="74"/>
      <x:c r="M845" s="91"/>
      <x:c r="N845" s="91"/>
      <x:c r="O845" s="91"/>
      <x:c r="P845" s="91"/>
      <x:c r="Q845" s="85"/>
      <x:c r="S845" s="86"/>
      <x:c r="T845" s="32"/>
    </x:row>
    <x:row r="846">
      <x:c r="A846" s="87"/>
      <x:c r="B846" s="88"/>
      <x:c r="D846" s="32"/>
      <x:c r="I846" s="74"/>
      <x:c r="J846" s="74"/>
      <x:c r="K846" s="74"/>
      <x:c r="L846" s="74"/>
      <x:c r="M846" s="91"/>
      <x:c r="N846" s="91"/>
      <x:c r="O846" s="91"/>
      <x:c r="P846" s="91"/>
      <x:c r="Q846" s="85"/>
      <x:c r="S846" s="86"/>
      <x:c r="T846" s="32"/>
    </x:row>
    <x:row r="847">
      <x:c r="A847" s="87"/>
      <x:c r="B847" s="88"/>
      <x:c r="D847" s="32"/>
      <x:c r="I847" s="74"/>
      <x:c r="J847" s="74"/>
      <x:c r="K847" s="74"/>
      <x:c r="L847" s="74"/>
      <x:c r="M847" s="91"/>
      <x:c r="N847" s="91"/>
      <x:c r="O847" s="91"/>
      <x:c r="P847" s="91"/>
      <x:c r="Q847" s="85"/>
      <x:c r="S847" s="86"/>
      <x:c r="T847" s="32"/>
    </x:row>
    <x:row r="848">
      <x:c r="A848" s="87"/>
      <x:c r="B848" s="88"/>
      <x:c r="D848" s="32"/>
      <x:c r="I848" s="74"/>
      <x:c r="J848" s="74"/>
      <x:c r="K848" s="74"/>
      <x:c r="L848" s="74"/>
      <x:c r="M848" s="91"/>
      <x:c r="N848" s="91"/>
      <x:c r="O848" s="91"/>
      <x:c r="P848" s="91"/>
      <x:c r="Q848" s="85"/>
      <x:c r="S848" s="86"/>
      <x:c r="T848" s="32"/>
    </x:row>
    <x:row r="849">
      <x:c r="A849" s="87"/>
      <x:c r="B849" s="88"/>
      <x:c r="D849" s="32"/>
      <x:c r="I849" s="74"/>
      <x:c r="J849" s="74"/>
      <x:c r="K849" s="74"/>
      <x:c r="L849" s="74"/>
      <x:c r="M849" s="91"/>
      <x:c r="N849" s="91"/>
      <x:c r="O849" s="91"/>
      <x:c r="P849" s="91"/>
      <x:c r="Q849" s="85"/>
      <x:c r="S849" s="86"/>
      <x:c r="T849" s="32"/>
    </x:row>
    <x:row r="850">
      <x:c r="A850" s="87"/>
      <x:c r="B850" s="88"/>
      <x:c r="D850" s="32"/>
      <x:c r="I850" s="74"/>
      <x:c r="J850" s="74"/>
      <x:c r="K850" s="74"/>
      <x:c r="L850" s="74"/>
      <x:c r="M850" s="91"/>
      <x:c r="N850" s="91"/>
      <x:c r="O850" s="91"/>
      <x:c r="P850" s="91"/>
      <x:c r="Q850" s="85"/>
      <x:c r="S850" s="86"/>
      <x:c r="T850" s="32"/>
    </x:row>
    <x:row r="851">
      <x:c r="A851" s="87"/>
      <x:c r="B851" s="88"/>
      <x:c r="D851" s="32"/>
      <x:c r="I851" s="74"/>
      <x:c r="J851" s="74"/>
      <x:c r="K851" s="74"/>
      <x:c r="L851" s="74"/>
      <x:c r="M851" s="91"/>
      <x:c r="N851" s="91"/>
      <x:c r="O851" s="91"/>
      <x:c r="P851" s="91"/>
      <x:c r="Q851" s="85"/>
      <x:c r="S851" s="86"/>
      <x:c r="T851" s="32"/>
    </x:row>
    <x:row r="852">
      <x:c r="A852" s="87"/>
      <x:c r="B852" s="88"/>
      <x:c r="D852" s="32"/>
      <x:c r="I852" s="74"/>
      <x:c r="J852" s="74"/>
      <x:c r="K852" s="74"/>
      <x:c r="L852" s="74"/>
      <x:c r="M852" s="91"/>
      <x:c r="N852" s="91"/>
      <x:c r="O852" s="91"/>
      <x:c r="P852" s="91"/>
      <x:c r="Q852" s="85"/>
      <x:c r="S852" s="86"/>
      <x:c r="T852" s="32"/>
    </x:row>
    <x:row r="853">
      <x:c r="A853" s="87"/>
      <x:c r="B853" s="88"/>
      <x:c r="D853" s="32"/>
      <x:c r="I853" s="74"/>
      <x:c r="J853" s="74"/>
      <x:c r="K853" s="74"/>
      <x:c r="L853" s="74"/>
      <x:c r="M853" s="91"/>
      <x:c r="N853" s="91"/>
      <x:c r="O853" s="91"/>
      <x:c r="P853" s="91"/>
      <x:c r="Q853" s="85"/>
      <x:c r="S853" s="86"/>
      <x:c r="T853" s="32"/>
    </x:row>
    <x:row r="854">
      <x:c r="A854" s="87"/>
      <x:c r="B854" s="88"/>
      <x:c r="D854" s="32"/>
      <x:c r="I854" s="74"/>
      <x:c r="J854" s="74"/>
      <x:c r="K854" s="74"/>
      <x:c r="L854" s="74"/>
      <x:c r="M854" s="91"/>
      <x:c r="N854" s="91"/>
      <x:c r="O854" s="91"/>
      <x:c r="P854" s="91"/>
      <x:c r="Q854" s="85"/>
      <x:c r="S854" s="86"/>
      <x:c r="T854" s="32"/>
    </x:row>
    <x:row r="855">
      <x:c r="A855" s="87"/>
      <x:c r="B855" s="88"/>
      <x:c r="D855" s="32"/>
      <x:c r="I855" s="74"/>
      <x:c r="J855" s="74"/>
      <x:c r="K855" s="74"/>
      <x:c r="L855" s="74"/>
      <x:c r="M855" s="91"/>
      <x:c r="N855" s="91"/>
      <x:c r="O855" s="91"/>
      <x:c r="P855" s="91"/>
      <x:c r="Q855" s="85"/>
      <x:c r="S855" s="86"/>
      <x:c r="T855" s="32"/>
    </x:row>
    <x:row r="856">
      <x:c r="A856" s="87"/>
      <x:c r="B856" s="88"/>
      <x:c r="D856" s="32"/>
      <x:c r="I856" s="74"/>
      <x:c r="J856" s="74"/>
      <x:c r="K856" s="74"/>
      <x:c r="L856" s="74"/>
      <x:c r="M856" s="91"/>
      <x:c r="N856" s="91"/>
      <x:c r="O856" s="91"/>
      <x:c r="P856" s="91"/>
      <x:c r="Q856" s="85"/>
      <x:c r="S856" s="86"/>
      <x:c r="T856" s="32"/>
    </x:row>
    <x:row r="857">
      <x:c r="A857" s="87"/>
      <x:c r="B857" s="88"/>
      <x:c r="D857" s="32"/>
      <x:c r="I857" s="74"/>
      <x:c r="J857" s="74"/>
      <x:c r="K857" s="74"/>
      <x:c r="L857" s="74"/>
      <x:c r="M857" s="91"/>
      <x:c r="N857" s="91"/>
      <x:c r="O857" s="91"/>
      <x:c r="P857" s="91"/>
      <x:c r="Q857" s="85"/>
      <x:c r="S857" s="86"/>
      <x:c r="T857" s="32"/>
    </x:row>
    <x:row r="858">
      <x:c r="A858" s="87"/>
      <x:c r="B858" s="88"/>
      <x:c r="D858" s="32"/>
      <x:c r="I858" s="74"/>
      <x:c r="J858" s="74"/>
      <x:c r="K858" s="74"/>
      <x:c r="L858" s="74"/>
      <x:c r="M858" s="91"/>
      <x:c r="N858" s="91"/>
      <x:c r="O858" s="91"/>
      <x:c r="P858" s="91"/>
      <x:c r="Q858" s="85"/>
      <x:c r="S858" s="86"/>
      <x:c r="T858" s="32"/>
    </x:row>
    <x:row r="859">
      <x:c r="A859" s="87"/>
      <x:c r="B859" s="88"/>
      <x:c r="D859" s="32"/>
      <x:c r="I859" s="74"/>
      <x:c r="J859" s="74"/>
      <x:c r="K859" s="74"/>
      <x:c r="L859" s="74"/>
      <x:c r="M859" s="91"/>
      <x:c r="N859" s="91"/>
      <x:c r="O859" s="91"/>
      <x:c r="P859" s="91"/>
      <x:c r="Q859" s="85"/>
      <x:c r="S859" s="86"/>
      <x:c r="T859" s="32"/>
    </x:row>
    <x:row r="860">
      <x:c r="A860" s="87"/>
      <x:c r="B860" s="88"/>
      <x:c r="D860" s="32"/>
      <x:c r="I860" s="74"/>
      <x:c r="J860" s="74"/>
      <x:c r="K860" s="74"/>
      <x:c r="L860" s="74"/>
      <x:c r="M860" s="91"/>
      <x:c r="N860" s="91"/>
      <x:c r="O860" s="91"/>
      <x:c r="P860" s="91"/>
      <x:c r="Q860" s="85"/>
      <x:c r="S860" s="86"/>
      <x:c r="T860" s="32"/>
    </x:row>
    <x:row r="861">
      <x:c r="A861" s="87"/>
      <x:c r="B861" s="88"/>
      <x:c r="D861" s="32"/>
      <x:c r="I861" s="74"/>
      <x:c r="J861" s="74"/>
      <x:c r="K861" s="74"/>
      <x:c r="L861" s="74"/>
      <x:c r="M861" s="91"/>
      <x:c r="N861" s="91"/>
      <x:c r="O861" s="91"/>
      <x:c r="P861" s="91"/>
      <x:c r="Q861" s="85"/>
      <x:c r="S861" s="86"/>
      <x:c r="T861" s="32"/>
    </x:row>
    <x:row r="862">
      <x:c r="A862" s="87"/>
      <x:c r="B862" s="88"/>
      <x:c r="D862" s="32"/>
      <x:c r="I862" s="74"/>
      <x:c r="J862" s="74"/>
      <x:c r="K862" s="74"/>
      <x:c r="L862" s="74"/>
      <x:c r="M862" s="91"/>
      <x:c r="N862" s="91"/>
      <x:c r="O862" s="91"/>
      <x:c r="P862" s="91"/>
      <x:c r="Q862" s="85"/>
      <x:c r="S862" s="86"/>
      <x:c r="T862" s="32"/>
    </x:row>
    <x:row r="863">
      <x:c r="A863" s="87"/>
      <x:c r="B863" s="88"/>
      <x:c r="D863" s="32"/>
      <x:c r="I863" s="74"/>
      <x:c r="J863" s="74"/>
      <x:c r="K863" s="74"/>
      <x:c r="L863" s="74"/>
      <x:c r="M863" s="91"/>
      <x:c r="N863" s="91"/>
      <x:c r="O863" s="91"/>
      <x:c r="P863" s="91"/>
      <x:c r="Q863" s="85"/>
      <x:c r="S863" s="86"/>
      <x:c r="T863" s="32"/>
    </x:row>
    <x:row r="864">
      <x:c r="A864" s="87"/>
      <x:c r="B864" s="88"/>
      <x:c r="D864" s="32"/>
      <x:c r="I864" s="74"/>
      <x:c r="J864" s="74"/>
      <x:c r="K864" s="74"/>
      <x:c r="L864" s="74"/>
      <x:c r="M864" s="91"/>
      <x:c r="N864" s="91"/>
      <x:c r="O864" s="91"/>
      <x:c r="P864" s="91"/>
      <x:c r="Q864" s="85"/>
      <x:c r="S864" s="86"/>
      <x:c r="T864" s="32"/>
    </x:row>
    <x:row r="865">
      <x:c r="A865" s="87"/>
      <x:c r="B865" s="88"/>
      <x:c r="D865" s="32"/>
      <x:c r="I865" s="74"/>
      <x:c r="J865" s="74"/>
      <x:c r="K865" s="74"/>
      <x:c r="L865" s="74"/>
      <x:c r="M865" s="91"/>
      <x:c r="N865" s="91"/>
      <x:c r="O865" s="91"/>
      <x:c r="P865" s="91"/>
      <x:c r="Q865" s="85"/>
      <x:c r="S865" s="86"/>
      <x:c r="T865" s="32"/>
    </x:row>
    <x:row r="866">
      <x:c r="A866" s="87"/>
      <x:c r="B866" s="88"/>
      <x:c r="D866" s="32"/>
      <x:c r="I866" s="74"/>
      <x:c r="J866" s="74"/>
      <x:c r="K866" s="74"/>
      <x:c r="L866" s="74"/>
      <x:c r="M866" s="91"/>
      <x:c r="N866" s="91"/>
      <x:c r="O866" s="91"/>
      <x:c r="P866" s="91"/>
      <x:c r="Q866" s="85"/>
      <x:c r="S866" s="86"/>
      <x:c r="T866" s="32"/>
    </x:row>
    <x:row r="867">
      <x:c r="A867" s="87"/>
      <x:c r="B867" s="88"/>
      <x:c r="D867" s="32"/>
      <x:c r="I867" s="74"/>
      <x:c r="J867" s="74"/>
      <x:c r="K867" s="74"/>
      <x:c r="L867" s="74"/>
      <x:c r="M867" s="91"/>
      <x:c r="N867" s="91"/>
      <x:c r="O867" s="91"/>
      <x:c r="P867" s="91"/>
      <x:c r="Q867" s="85"/>
      <x:c r="S867" s="86"/>
      <x:c r="T867" s="32"/>
    </x:row>
    <x:row r="868">
      <x:c r="A868" s="87"/>
      <x:c r="B868" s="88"/>
      <x:c r="D868" s="32"/>
      <x:c r="I868" s="74"/>
      <x:c r="J868" s="74"/>
      <x:c r="K868" s="74"/>
      <x:c r="L868" s="74"/>
      <x:c r="M868" s="91"/>
      <x:c r="N868" s="91"/>
      <x:c r="O868" s="91"/>
      <x:c r="P868" s="91"/>
      <x:c r="Q868" s="85"/>
      <x:c r="S868" s="86"/>
      <x:c r="T868" s="32"/>
    </x:row>
    <x:row r="869">
      <x:c r="A869" s="87"/>
      <x:c r="B869" s="88"/>
      <x:c r="D869" s="32"/>
      <x:c r="I869" s="74"/>
      <x:c r="J869" s="74"/>
      <x:c r="K869" s="74"/>
      <x:c r="L869" s="74"/>
      <x:c r="M869" s="91"/>
      <x:c r="N869" s="91"/>
      <x:c r="O869" s="91"/>
      <x:c r="P869" s="91"/>
      <x:c r="Q869" s="85"/>
      <x:c r="S869" s="86"/>
      <x:c r="T869" s="32"/>
    </x:row>
    <x:row r="870">
      <x:c r="A870" s="87"/>
      <x:c r="B870" s="88"/>
      <x:c r="D870" s="32"/>
      <x:c r="I870" s="74"/>
      <x:c r="J870" s="74"/>
      <x:c r="K870" s="74"/>
      <x:c r="L870" s="74"/>
      <x:c r="M870" s="91"/>
      <x:c r="N870" s="91"/>
      <x:c r="O870" s="91"/>
      <x:c r="P870" s="91"/>
      <x:c r="Q870" s="85"/>
      <x:c r="S870" s="86"/>
      <x:c r="T870" s="32"/>
    </x:row>
    <x:row r="871">
      <x:c r="A871" s="87"/>
      <x:c r="B871" s="88"/>
      <x:c r="D871" s="32"/>
      <x:c r="I871" s="74"/>
      <x:c r="J871" s="74"/>
      <x:c r="K871" s="74"/>
      <x:c r="L871" s="74"/>
      <x:c r="M871" s="91"/>
      <x:c r="N871" s="91"/>
      <x:c r="O871" s="91"/>
      <x:c r="P871" s="91"/>
      <x:c r="Q871" s="85"/>
      <x:c r="S871" s="86"/>
      <x:c r="T871" s="32"/>
    </x:row>
    <x:row r="872">
      <x:c r="A872" s="87"/>
      <x:c r="B872" s="88"/>
      <x:c r="D872" s="32"/>
      <x:c r="I872" s="74"/>
      <x:c r="J872" s="74"/>
      <x:c r="K872" s="74"/>
      <x:c r="L872" s="74"/>
      <x:c r="M872" s="91"/>
      <x:c r="N872" s="91"/>
      <x:c r="O872" s="91"/>
      <x:c r="P872" s="91"/>
      <x:c r="Q872" s="85"/>
      <x:c r="S872" s="86"/>
      <x:c r="T872" s="32"/>
    </x:row>
    <x:row r="873">
      <x:c r="A873" s="87"/>
      <x:c r="B873" s="88"/>
      <x:c r="D873" s="32"/>
      <x:c r="I873" s="74"/>
      <x:c r="J873" s="74"/>
      <x:c r="K873" s="74"/>
      <x:c r="L873" s="74"/>
      <x:c r="M873" s="91"/>
      <x:c r="N873" s="91"/>
      <x:c r="O873" s="91"/>
      <x:c r="P873" s="91"/>
      <x:c r="Q873" s="85"/>
      <x:c r="S873" s="86"/>
      <x:c r="T873" s="32"/>
    </x:row>
    <x:row r="874">
      <x:c r="A874" s="87"/>
      <x:c r="B874" s="88"/>
      <x:c r="D874" s="32"/>
      <x:c r="I874" s="74"/>
      <x:c r="J874" s="74"/>
      <x:c r="K874" s="74"/>
      <x:c r="L874" s="74"/>
      <x:c r="M874" s="91"/>
      <x:c r="N874" s="91"/>
      <x:c r="O874" s="91"/>
      <x:c r="P874" s="91"/>
      <x:c r="Q874" s="85"/>
      <x:c r="S874" s="86"/>
      <x:c r="T874" s="32"/>
    </x:row>
    <x:row r="875">
      <x:c r="A875" s="87"/>
      <x:c r="B875" s="88"/>
      <x:c r="D875" s="32"/>
      <x:c r="I875" s="74"/>
      <x:c r="J875" s="74"/>
      <x:c r="K875" s="74"/>
      <x:c r="L875" s="74"/>
      <x:c r="M875" s="91"/>
      <x:c r="N875" s="91"/>
      <x:c r="O875" s="91"/>
      <x:c r="P875" s="91"/>
      <x:c r="Q875" s="85"/>
      <x:c r="S875" s="86"/>
      <x:c r="T875" s="32"/>
    </x:row>
    <x:row r="876">
      <x:c r="A876" s="87"/>
      <x:c r="B876" s="88"/>
      <x:c r="D876" s="32"/>
      <x:c r="I876" s="74"/>
      <x:c r="J876" s="74"/>
      <x:c r="K876" s="74"/>
      <x:c r="L876" s="74"/>
      <x:c r="M876" s="91"/>
      <x:c r="N876" s="91"/>
      <x:c r="O876" s="91"/>
      <x:c r="P876" s="91"/>
      <x:c r="Q876" s="85"/>
      <x:c r="S876" s="86"/>
      <x:c r="T876" s="32"/>
    </x:row>
    <x:row r="877">
      <x:c r="A877" s="87"/>
      <x:c r="B877" s="88"/>
      <x:c r="D877" s="32"/>
      <x:c r="I877" s="74"/>
      <x:c r="J877" s="74"/>
      <x:c r="K877" s="74"/>
      <x:c r="L877" s="74"/>
      <x:c r="M877" s="91"/>
      <x:c r="N877" s="91"/>
      <x:c r="O877" s="91"/>
      <x:c r="P877" s="91"/>
      <x:c r="Q877" s="85"/>
      <x:c r="S877" s="86"/>
      <x:c r="T877" s="32"/>
    </x:row>
    <x:row r="878">
      <x:c r="A878" s="87"/>
      <x:c r="B878" s="88"/>
      <x:c r="D878" s="32"/>
      <x:c r="I878" s="74"/>
      <x:c r="J878" s="74"/>
      <x:c r="K878" s="74"/>
      <x:c r="L878" s="74"/>
      <x:c r="M878" s="91"/>
      <x:c r="N878" s="91"/>
      <x:c r="O878" s="91"/>
      <x:c r="P878" s="91"/>
      <x:c r="Q878" s="85"/>
      <x:c r="S878" s="86"/>
      <x:c r="T878" s="32"/>
    </x:row>
    <x:row r="879">
      <x:c r="A879" s="87"/>
      <x:c r="B879" s="88"/>
      <x:c r="D879" s="32"/>
      <x:c r="I879" s="74"/>
      <x:c r="J879" s="74"/>
      <x:c r="K879" s="74"/>
      <x:c r="L879" s="74"/>
      <x:c r="M879" s="91"/>
      <x:c r="N879" s="91"/>
      <x:c r="O879" s="91"/>
      <x:c r="P879" s="91"/>
      <x:c r="Q879" s="85"/>
      <x:c r="S879" s="86"/>
      <x:c r="T879" s="32"/>
    </x:row>
    <x:row r="880">
      <x:c r="A880" s="87"/>
      <x:c r="B880" s="88"/>
      <x:c r="D880" s="32"/>
      <x:c r="I880" s="74"/>
      <x:c r="J880" s="74"/>
      <x:c r="K880" s="74"/>
      <x:c r="L880" s="74"/>
      <x:c r="M880" s="91"/>
      <x:c r="N880" s="91"/>
      <x:c r="O880" s="91"/>
      <x:c r="P880" s="91"/>
      <x:c r="Q880" s="85"/>
      <x:c r="S880" s="86"/>
      <x:c r="T880" s="32"/>
    </x:row>
    <x:row r="881">
      <x:c r="A881" s="87"/>
      <x:c r="B881" s="88"/>
      <x:c r="D881" s="32"/>
      <x:c r="I881" s="74"/>
      <x:c r="J881" s="74"/>
      <x:c r="K881" s="74"/>
      <x:c r="L881" s="74"/>
      <x:c r="M881" s="91"/>
      <x:c r="N881" s="91"/>
      <x:c r="O881" s="91"/>
      <x:c r="P881" s="91"/>
      <x:c r="Q881" s="85"/>
      <x:c r="S881" s="86"/>
      <x:c r="T881" s="32"/>
    </x:row>
    <x:row r="882">
      <x:c r="A882" s="87"/>
      <x:c r="B882" s="88"/>
      <x:c r="D882" s="32"/>
      <x:c r="I882" s="74"/>
      <x:c r="J882" s="74"/>
      <x:c r="K882" s="74"/>
      <x:c r="L882" s="74"/>
      <x:c r="M882" s="91"/>
      <x:c r="N882" s="91"/>
      <x:c r="O882" s="91"/>
      <x:c r="P882" s="91"/>
      <x:c r="Q882" s="85"/>
      <x:c r="S882" s="86"/>
      <x:c r="T882" s="32"/>
    </x:row>
    <x:row r="883">
      <x:c r="A883" s="87"/>
      <x:c r="B883" s="88"/>
      <x:c r="D883" s="32"/>
      <x:c r="I883" s="74"/>
      <x:c r="J883" s="74"/>
      <x:c r="K883" s="74"/>
      <x:c r="L883" s="74"/>
      <x:c r="M883" s="91"/>
      <x:c r="N883" s="91"/>
      <x:c r="O883" s="91"/>
      <x:c r="P883" s="91"/>
      <x:c r="Q883" s="85"/>
      <x:c r="S883" s="86"/>
      <x:c r="T883" s="32"/>
    </x:row>
    <x:row r="884">
      <x:c r="A884" s="87"/>
      <x:c r="B884" s="88"/>
      <x:c r="D884" s="32"/>
      <x:c r="I884" s="74"/>
      <x:c r="J884" s="74"/>
      <x:c r="K884" s="74"/>
      <x:c r="L884" s="74"/>
      <x:c r="M884" s="91"/>
      <x:c r="N884" s="91"/>
      <x:c r="O884" s="91"/>
      <x:c r="P884" s="91"/>
      <x:c r="Q884" s="85"/>
      <x:c r="S884" s="86"/>
      <x:c r="T884" s="32"/>
    </x:row>
    <x:row r="885">
      <x:c r="A885" s="87"/>
      <x:c r="B885" s="88"/>
      <x:c r="D885" s="32"/>
      <x:c r="I885" s="74"/>
      <x:c r="J885" s="74"/>
      <x:c r="K885" s="74"/>
      <x:c r="L885" s="74"/>
      <x:c r="M885" s="91"/>
      <x:c r="N885" s="91"/>
      <x:c r="O885" s="91"/>
      <x:c r="P885" s="91"/>
      <x:c r="Q885" s="85"/>
      <x:c r="S885" s="86"/>
      <x:c r="T885" s="32"/>
    </x:row>
    <x:row r="886">
      <x:c r="A886" s="87"/>
      <x:c r="B886" s="88"/>
      <x:c r="D886" s="32"/>
      <x:c r="I886" s="74"/>
      <x:c r="J886" s="74"/>
      <x:c r="K886" s="74"/>
      <x:c r="L886" s="74"/>
      <x:c r="M886" s="91"/>
      <x:c r="N886" s="91"/>
      <x:c r="O886" s="91"/>
      <x:c r="P886" s="91"/>
      <x:c r="Q886" s="85"/>
      <x:c r="S886" s="86"/>
      <x:c r="T886" s="32"/>
    </x:row>
    <x:row r="887">
      <x:c r="A887" s="87"/>
      <x:c r="B887" s="88"/>
      <x:c r="D887" s="32"/>
      <x:c r="I887" s="74"/>
      <x:c r="J887" s="74"/>
      <x:c r="K887" s="74"/>
      <x:c r="L887" s="74"/>
      <x:c r="M887" s="91"/>
      <x:c r="N887" s="91"/>
      <x:c r="O887" s="91"/>
      <x:c r="P887" s="91"/>
      <x:c r="Q887" s="85"/>
      <x:c r="S887" s="86"/>
      <x:c r="T887" s="32"/>
    </x:row>
    <x:row r="888">
      <x:c r="A888" s="87"/>
      <x:c r="B888" s="88"/>
      <x:c r="D888" s="32"/>
      <x:c r="I888" s="74"/>
      <x:c r="J888" s="74"/>
      <x:c r="K888" s="74"/>
      <x:c r="L888" s="74"/>
      <x:c r="M888" s="91"/>
      <x:c r="N888" s="91"/>
      <x:c r="O888" s="91"/>
      <x:c r="P888" s="91"/>
      <x:c r="Q888" s="85"/>
      <x:c r="S888" s="86"/>
      <x:c r="T888" s="32"/>
    </x:row>
    <x:row r="889">
      <x:c r="A889" s="87"/>
      <x:c r="B889" s="88"/>
      <x:c r="D889" s="32"/>
      <x:c r="I889" s="74"/>
      <x:c r="J889" s="74"/>
      <x:c r="K889" s="74"/>
      <x:c r="L889" s="74"/>
      <x:c r="M889" s="91"/>
      <x:c r="N889" s="91"/>
      <x:c r="O889" s="91"/>
      <x:c r="P889" s="91"/>
      <x:c r="Q889" s="85"/>
      <x:c r="S889" s="86"/>
      <x:c r="T889" s="32"/>
    </x:row>
    <x:row r="890">
      <x:c r="A890" s="87"/>
      <x:c r="B890" s="88"/>
      <x:c r="D890" s="32"/>
      <x:c r="I890" s="74"/>
      <x:c r="J890" s="74"/>
      <x:c r="K890" s="74"/>
      <x:c r="L890" s="74"/>
      <x:c r="M890" s="91"/>
      <x:c r="N890" s="91"/>
      <x:c r="O890" s="91"/>
      <x:c r="P890" s="91"/>
      <x:c r="Q890" s="85"/>
      <x:c r="S890" s="86"/>
      <x:c r="T890" s="32"/>
    </x:row>
    <x:row r="891">
      <x:c r="A891" s="87"/>
      <x:c r="B891" s="88"/>
      <x:c r="D891" s="32"/>
      <x:c r="I891" s="74"/>
      <x:c r="J891" s="74"/>
      <x:c r="K891" s="74"/>
      <x:c r="L891" s="74"/>
      <x:c r="M891" s="91"/>
      <x:c r="N891" s="91"/>
      <x:c r="O891" s="91"/>
      <x:c r="P891" s="91"/>
      <x:c r="Q891" s="85"/>
      <x:c r="S891" s="86"/>
      <x:c r="T891" s="32"/>
    </x:row>
    <x:row r="892">
      <x:c r="A892" s="87"/>
      <x:c r="B892" s="88"/>
      <x:c r="D892" s="32"/>
      <x:c r="I892" s="74"/>
      <x:c r="J892" s="74"/>
      <x:c r="K892" s="74"/>
      <x:c r="L892" s="74"/>
      <x:c r="M892" s="91"/>
      <x:c r="N892" s="91"/>
      <x:c r="O892" s="91"/>
      <x:c r="P892" s="91"/>
      <x:c r="Q892" s="85"/>
      <x:c r="S892" s="86"/>
      <x:c r="T892" s="32"/>
    </x:row>
    <x:row r="893">
      <x:c r="A893" s="87"/>
      <x:c r="B893" s="88"/>
      <x:c r="D893" s="32"/>
      <x:c r="I893" s="74"/>
      <x:c r="J893" s="74"/>
      <x:c r="K893" s="74"/>
      <x:c r="L893" s="74"/>
      <x:c r="M893" s="91"/>
      <x:c r="N893" s="91"/>
      <x:c r="O893" s="91"/>
      <x:c r="P893" s="91"/>
      <x:c r="Q893" s="85"/>
      <x:c r="S893" s="86"/>
      <x:c r="T893" s="32"/>
    </x:row>
    <x:row r="894">
      <x:c r="A894" s="87"/>
      <x:c r="B894" s="88"/>
      <x:c r="D894" s="32"/>
      <x:c r="I894" s="74"/>
      <x:c r="J894" s="74"/>
      <x:c r="K894" s="74"/>
      <x:c r="L894" s="74"/>
      <x:c r="M894" s="91"/>
      <x:c r="N894" s="91"/>
      <x:c r="O894" s="91"/>
      <x:c r="P894" s="91"/>
      <x:c r="Q894" s="85"/>
      <x:c r="S894" s="86"/>
      <x:c r="T894" s="32"/>
    </x:row>
    <x:row r="895">
      <x:c r="A895" s="87"/>
      <x:c r="B895" s="88"/>
      <x:c r="D895" s="32"/>
      <x:c r="I895" s="74"/>
      <x:c r="J895" s="74"/>
      <x:c r="K895" s="74"/>
      <x:c r="L895" s="74"/>
      <x:c r="M895" s="91"/>
      <x:c r="N895" s="91"/>
      <x:c r="O895" s="91"/>
      <x:c r="P895" s="91"/>
      <x:c r="Q895" s="85"/>
      <x:c r="S895" s="86"/>
      <x:c r="T895" s="32"/>
    </x:row>
    <x:row r="896">
      <x:c r="A896" s="87"/>
      <x:c r="B896" s="88"/>
      <x:c r="D896" s="32"/>
      <x:c r="I896" s="74"/>
      <x:c r="J896" s="74"/>
      <x:c r="K896" s="74"/>
      <x:c r="L896" s="74"/>
      <x:c r="M896" s="91"/>
      <x:c r="N896" s="91"/>
      <x:c r="O896" s="91"/>
      <x:c r="P896" s="91"/>
      <x:c r="Q896" s="85"/>
      <x:c r="S896" s="86"/>
      <x:c r="T896" s="32"/>
    </x:row>
    <x:row r="897">
      <x:c r="A897" s="87"/>
      <x:c r="B897" s="88"/>
      <x:c r="D897" s="32"/>
      <x:c r="I897" s="74"/>
      <x:c r="J897" s="74"/>
      <x:c r="K897" s="74"/>
      <x:c r="L897" s="74"/>
      <x:c r="M897" s="91"/>
      <x:c r="N897" s="91"/>
      <x:c r="O897" s="91"/>
      <x:c r="P897" s="91"/>
      <x:c r="Q897" s="85"/>
      <x:c r="S897" s="86"/>
      <x:c r="T897" s="32"/>
    </x:row>
    <x:row r="898">
      <x:c r="A898" s="87"/>
      <x:c r="B898" s="88"/>
      <x:c r="D898" s="32"/>
      <x:c r="I898" s="74"/>
      <x:c r="J898" s="74"/>
      <x:c r="K898" s="74"/>
      <x:c r="L898" s="74"/>
      <x:c r="M898" s="91"/>
      <x:c r="N898" s="91"/>
      <x:c r="O898" s="91"/>
      <x:c r="P898" s="91"/>
      <x:c r="Q898" s="85"/>
      <x:c r="S898" s="86"/>
      <x:c r="T898" s="32"/>
    </x:row>
    <x:row r="899">
      <x:c r="A899" s="87"/>
      <x:c r="B899" s="88"/>
      <x:c r="D899" s="32"/>
      <x:c r="I899" s="74"/>
      <x:c r="J899" s="74"/>
      <x:c r="K899" s="74"/>
      <x:c r="L899" s="74"/>
      <x:c r="M899" s="91"/>
      <x:c r="N899" s="91"/>
      <x:c r="O899" s="91"/>
      <x:c r="P899" s="91"/>
      <x:c r="Q899" s="85"/>
      <x:c r="S899" s="86"/>
      <x:c r="T899" s="32"/>
    </x:row>
    <x:row r="900">
      <x:c r="A900" s="87"/>
      <x:c r="B900" s="88"/>
      <x:c r="D900" s="32"/>
      <x:c r="I900" s="74"/>
      <x:c r="J900" s="74"/>
      <x:c r="K900" s="74"/>
      <x:c r="L900" s="74"/>
      <x:c r="M900" s="91"/>
      <x:c r="N900" s="91"/>
      <x:c r="O900" s="91"/>
      <x:c r="P900" s="91"/>
      <x:c r="Q900" s="85"/>
      <x:c r="S900" s="86"/>
      <x:c r="T900" s="32"/>
    </x:row>
    <x:row r="901">
      <x:c r="A901" s="87"/>
      <x:c r="B901" s="88"/>
      <x:c r="D901" s="32"/>
      <x:c r="I901" s="74"/>
      <x:c r="J901" s="74"/>
      <x:c r="K901" s="74"/>
      <x:c r="L901" s="74"/>
      <x:c r="M901" s="91"/>
      <x:c r="N901" s="91"/>
      <x:c r="O901" s="91"/>
      <x:c r="P901" s="91"/>
      <x:c r="Q901" s="85"/>
      <x:c r="S901" s="86"/>
      <x:c r="T901" s="32"/>
    </x:row>
    <x:row r="902">
      <x:c r="A902" s="87"/>
      <x:c r="B902" s="88"/>
      <x:c r="D902" s="32"/>
      <x:c r="I902" s="74"/>
      <x:c r="J902" s="74"/>
      <x:c r="K902" s="74"/>
      <x:c r="L902" s="74"/>
      <x:c r="M902" s="91"/>
      <x:c r="N902" s="91"/>
      <x:c r="O902" s="91"/>
      <x:c r="P902" s="91"/>
      <x:c r="Q902" s="85"/>
      <x:c r="S902" s="86"/>
      <x:c r="T902" s="32"/>
    </x:row>
    <x:row r="903">
      <x:c r="A903" s="87"/>
      <x:c r="B903" s="88"/>
      <x:c r="D903" s="32"/>
      <x:c r="I903" s="74"/>
      <x:c r="J903" s="74"/>
      <x:c r="K903" s="74"/>
      <x:c r="L903" s="74"/>
      <x:c r="M903" s="91"/>
      <x:c r="N903" s="91"/>
      <x:c r="O903" s="91"/>
      <x:c r="P903" s="91"/>
      <x:c r="Q903" s="85"/>
      <x:c r="S903" s="86"/>
      <x:c r="T903" s="32"/>
    </x:row>
    <x:row r="904">
      <x:c r="A904" s="87"/>
      <x:c r="B904" s="88"/>
      <x:c r="D904" s="32"/>
      <x:c r="I904" s="74"/>
      <x:c r="J904" s="74"/>
      <x:c r="K904" s="74"/>
      <x:c r="L904" s="74"/>
      <x:c r="M904" s="91"/>
      <x:c r="N904" s="91"/>
      <x:c r="O904" s="91"/>
      <x:c r="P904" s="91"/>
      <x:c r="Q904" s="85"/>
      <x:c r="S904" s="86"/>
      <x:c r="T904" s="32"/>
    </x:row>
    <x:row r="905">
      <x:c r="A905" s="87"/>
      <x:c r="B905" s="88"/>
      <x:c r="D905" s="32"/>
      <x:c r="I905" s="74"/>
      <x:c r="J905" s="74"/>
      <x:c r="K905" s="74"/>
      <x:c r="L905" s="74"/>
      <x:c r="M905" s="91"/>
      <x:c r="N905" s="91"/>
      <x:c r="O905" s="91"/>
      <x:c r="P905" s="91"/>
      <x:c r="Q905" s="85"/>
      <x:c r="S905" s="86"/>
      <x:c r="T905" s="32"/>
    </x:row>
    <x:row r="906">
      <x:c r="A906" s="87"/>
      <x:c r="B906" s="88"/>
      <x:c r="D906" s="32"/>
      <x:c r="I906" s="74"/>
      <x:c r="J906" s="74"/>
      <x:c r="K906" s="74"/>
      <x:c r="L906" s="74"/>
      <x:c r="M906" s="91"/>
      <x:c r="N906" s="91"/>
      <x:c r="O906" s="91"/>
      <x:c r="P906" s="91"/>
      <x:c r="Q906" s="85"/>
      <x:c r="S906" s="86"/>
      <x:c r="T906" s="32"/>
    </x:row>
    <x:row r="907">
      <x:c r="A907" s="87"/>
      <x:c r="B907" s="88"/>
      <x:c r="D907" s="32"/>
      <x:c r="I907" s="74"/>
      <x:c r="J907" s="74"/>
      <x:c r="K907" s="74"/>
      <x:c r="L907" s="74"/>
      <x:c r="M907" s="91"/>
      <x:c r="N907" s="91"/>
      <x:c r="O907" s="91"/>
      <x:c r="P907" s="91"/>
      <x:c r="Q907" s="85"/>
      <x:c r="S907" s="86"/>
      <x:c r="T907" s="32"/>
    </x:row>
    <x:row r="908">
      <x:c r="A908" s="87"/>
      <x:c r="B908" s="88"/>
      <x:c r="D908" s="32"/>
      <x:c r="I908" s="74"/>
      <x:c r="J908" s="74"/>
      <x:c r="K908" s="74"/>
      <x:c r="L908" s="74"/>
      <x:c r="M908" s="91"/>
      <x:c r="N908" s="91"/>
      <x:c r="O908" s="91"/>
      <x:c r="P908" s="91"/>
      <x:c r="Q908" s="85"/>
      <x:c r="S908" s="86"/>
      <x:c r="T908" s="32"/>
    </x:row>
    <x:row r="909">
      <x:c r="A909" s="87"/>
      <x:c r="B909" s="88"/>
      <x:c r="D909" s="32"/>
      <x:c r="I909" s="74"/>
      <x:c r="J909" s="74"/>
      <x:c r="K909" s="74"/>
      <x:c r="L909" s="74"/>
      <x:c r="M909" s="91"/>
      <x:c r="N909" s="91"/>
      <x:c r="O909" s="91"/>
      <x:c r="P909" s="91"/>
      <x:c r="Q909" s="85"/>
      <x:c r="S909" s="86"/>
      <x:c r="T909" s="32"/>
    </x:row>
    <x:row r="910">
      <x:c r="A910" s="87"/>
      <x:c r="B910" s="88"/>
      <x:c r="D910" s="32"/>
      <x:c r="I910" s="74"/>
      <x:c r="J910" s="74"/>
      <x:c r="K910" s="74"/>
      <x:c r="L910" s="74"/>
      <x:c r="M910" s="91"/>
      <x:c r="N910" s="91"/>
      <x:c r="O910" s="91"/>
      <x:c r="P910" s="91"/>
      <x:c r="Q910" s="85"/>
      <x:c r="S910" s="86"/>
      <x:c r="T910" s="32"/>
    </x:row>
    <x:row r="911">
      <x:c r="A911" s="87"/>
      <x:c r="B911" s="88"/>
      <x:c r="D911" s="32"/>
      <x:c r="I911" s="74"/>
      <x:c r="J911" s="74"/>
      <x:c r="K911" s="74"/>
      <x:c r="L911" s="74"/>
      <x:c r="M911" s="91"/>
      <x:c r="N911" s="91"/>
      <x:c r="O911" s="91"/>
      <x:c r="P911" s="91"/>
      <x:c r="Q911" s="85"/>
      <x:c r="S911" s="86"/>
      <x:c r="T911" s="32"/>
    </x:row>
    <x:row r="912">
      <x:c r="A912" s="87"/>
      <x:c r="B912" s="88"/>
      <x:c r="D912" s="32"/>
      <x:c r="I912" s="74"/>
      <x:c r="J912" s="74"/>
      <x:c r="K912" s="74"/>
      <x:c r="L912" s="74"/>
      <x:c r="M912" s="91"/>
      <x:c r="N912" s="91"/>
      <x:c r="O912" s="91"/>
      <x:c r="P912" s="91"/>
      <x:c r="Q912" s="85"/>
      <x:c r="S912" s="86"/>
      <x:c r="T912" s="32"/>
    </x:row>
    <x:row r="913">
      <x:c r="A913" s="87"/>
      <x:c r="B913" s="88"/>
      <x:c r="D913" s="32"/>
      <x:c r="I913" s="74"/>
      <x:c r="J913" s="74"/>
      <x:c r="K913" s="74"/>
      <x:c r="L913" s="74"/>
      <x:c r="M913" s="91"/>
      <x:c r="N913" s="91"/>
      <x:c r="O913" s="91"/>
      <x:c r="P913" s="91"/>
      <x:c r="Q913" s="85"/>
      <x:c r="S913" s="86"/>
      <x:c r="T913" s="32"/>
    </x:row>
    <x:row r="914">
      <x:c r="A914" s="87"/>
      <x:c r="B914" s="88"/>
      <x:c r="D914" s="32"/>
      <x:c r="I914" s="74"/>
      <x:c r="J914" s="74"/>
      <x:c r="K914" s="74"/>
      <x:c r="L914" s="74"/>
      <x:c r="M914" s="91"/>
      <x:c r="N914" s="91"/>
      <x:c r="O914" s="91"/>
      <x:c r="P914" s="91"/>
      <x:c r="Q914" s="85"/>
      <x:c r="S914" s="86"/>
      <x:c r="T914" s="32"/>
    </x:row>
    <x:row r="915">
      <x:c r="A915" s="87"/>
      <x:c r="B915" s="88"/>
      <x:c r="D915" s="32"/>
      <x:c r="I915" s="74"/>
      <x:c r="J915" s="74"/>
      <x:c r="K915" s="74"/>
      <x:c r="L915" s="74"/>
      <x:c r="M915" s="91"/>
      <x:c r="N915" s="91"/>
      <x:c r="O915" s="91"/>
      <x:c r="P915" s="91"/>
      <x:c r="Q915" s="85"/>
      <x:c r="S915" s="86"/>
      <x:c r="T915" s="32"/>
    </x:row>
    <x:row r="916">
      <x:c r="A916" s="87"/>
      <x:c r="B916" s="88"/>
      <x:c r="D916" s="32"/>
      <x:c r="I916" s="74"/>
      <x:c r="J916" s="74"/>
      <x:c r="K916" s="74"/>
      <x:c r="L916" s="74"/>
      <x:c r="M916" s="91"/>
      <x:c r="N916" s="91"/>
      <x:c r="O916" s="91"/>
      <x:c r="P916" s="91"/>
      <x:c r="Q916" s="85"/>
      <x:c r="S916" s="86"/>
      <x:c r="T916" s="32"/>
    </x:row>
    <x:row r="917">
      <x:c r="A917" s="87"/>
      <x:c r="B917" s="88"/>
      <x:c r="D917" s="32"/>
      <x:c r="I917" s="74"/>
      <x:c r="J917" s="74"/>
      <x:c r="K917" s="74"/>
      <x:c r="L917" s="74"/>
      <x:c r="M917" s="91"/>
      <x:c r="N917" s="91"/>
      <x:c r="O917" s="91"/>
      <x:c r="P917" s="91"/>
      <x:c r="Q917" s="85"/>
      <x:c r="S917" s="86"/>
      <x:c r="T917" s="32"/>
    </x:row>
    <x:row r="918">
      <x:c r="A918" s="87"/>
      <x:c r="B918" s="88"/>
      <x:c r="D918" s="32"/>
      <x:c r="I918" s="74"/>
      <x:c r="J918" s="74"/>
      <x:c r="K918" s="74"/>
      <x:c r="L918" s="74"/>
      <x:c r="M918" s="91"/>
      <x:c r="N918" s="91"/>
      <x:c r="O918" s="91"/>
      <x:c r="P918" s="91"/>
      <x:c r="Q918" s="85"/>
      <x:c r="S918" s="86"/>
      <x:c r="T918" s="32"/>
    </x:row>
    <x:row r="919">
      <x:c r="A919" s="87"/>
      <x:c r="B919" s="88"/>
      <x:c r="D919" s="32"/>
      <x:c r="I919" s="74"/>
      <x:c r="J919" s="74"/>
      <x:c r="K919" s="74"/>
      <x:c r="L919" s="74"/>
      <x:c r="M919" s="91"/>
      <x:c r="N919" s="91"/>
      <x:c r="O919" s="91"/>
      <x:c r="P919" s="91"/>
      <x:c r="Q919" s="85"/>
      <x:c r="S919" s="86"/>
      <x:c r="T919" s="32"/>
    </x:row>
    <x:row r="920">
      <x:c r="A920" s="87"/>
      <x:c r="B920" s="88"/>
      <x:c r="D920" s="32"/>
      <x:c r="I920" s="74"/>
      <x:c r="J920" s="74"/>
      <x:c r="K920" s="74"/>
      <x:c r="L920" s="74"/>
      <x:c r="M920" s="91"/>
      <x:c r="N920" s="91"/>
      <x:c r="O920" s="91"/>
      <x:c r="P920" s="91"/>
      <x:c r="Q920" s="85"/>
      <x:c r="S920" s="86"/>
      <x:c r="T920" s="32"/>
    </x:row>
    <x:row r="921">
      <x:c r="A921" s="87"/>
      <x:c r="B921" s="88"/>
      <x:c r="D921" s="32"/>
      <x:c r="I921" s="74"/>
      <x:c r="J921" s="74"/>
      <x:c r="K921" s="74"/>
      <x:c r="L921" s="74"/>
      <x:c r="M921" s="91"/>
      <x:c r="N921" s="91"/>
      <x:c r="O921" s="91"/>
      <x:c r="P921" s="91"/>
      <x:c r="Q921" s="85"/>
      <x:c r="S921" s="86"/>
      <x:c r="T921" s="32"/>
    </x:row>
    <x:row r="922">
      <x:c r="A922" s="87"/>
      <x:c r="B922" s="88"/>
      <x:c r="D922" s="32"/>
      <x:c r="I922" s="74"/>
      <x:c r="J922" s="74"/>
      <x:c r="K922" s="74"/>
      <x:c r="L922" s="74"/>
      <x:c r="M922" s="91"/>
      <x:c r="N922" s="91"/>
      <x:c r="O922" s="91"/>
      <x:c r="P922" s="91"/>
      <x:c r="Q922" s="85"/>
      <x:c r="S922" s="86"/>
      <x:c r="T922" s="32"/>
    </x:row>
    <x:row r="923">
      <x:c r="A923" s="87"/>
      <x:c r="B923" s="88"/>
      <x:c r="D923" s="32"/>
      <x:c r="I923" s="74"/>
      <x:c r="J923" s="74"/>
      <x:c r="K923" s="74"/>
      <x:c r="L923" s="74"/>
      <x:c r="M923" s="91"/>
      <x:c r="N923" s="91"/>
      <x:c r="O923" s="91"/>
      <x:c r="P923" s="91"/>
      <x:c r="Q923" s="85"/>
      <x:c r="S923" s="86"/>
      <x:c r="T923" s="32"/>
    </x:row>
    <x:row r="924">
      <x:c r="A924" s="87"/>
      <x:c r="B924" s="88"/>
      <x:c r="D924" s="32"/>
      <x:c r="I924" s="74"/>
      <x:c r="J924" s="74"/>
      <x:c r="K924" s="74"/>
      <x:c r="L924" s="74"/>
      <x:c r="M924" s="91"/>
      <x:c r="N924" s="91"/>
      <x:c r="O924" s="91"/>
      <x:c r="P924" s="91"/>
      <x:c r="Q924" s="85"/>
      <x:c r="S924" s="86"/>
      <x:c r="T924" s="32"/>
    </x:row>
    <x:row r="925">
      <x:c r="A925" s="87"/>
      <x:c r="B925" s="88"/>
      <x:c r="D925" s="32"/>
      <x:c r="I925" s="74"/>
      <x:c r="J925" s="74"/>
      <x:c r="K925" s="74"/>
      <x:c r="L925" s="74"/>
      <x:c r="M925" s="91"/>
      <x:c r="N925" s="91"/>
      <x:c r="O925" s="91"/>
      <x:c r="P925" s="91"/>
      <x:c r="Q925" s="85"/>
      <x:c r="S925" s="86"/>
      <x:c r="T925" s="32"/>
    </x:row>
    <x:row r="926">
      <x:c r="A926" s="87"/>
      <x:c r="B926" s="88"/>
      <x:c r="D926" s="32"/>
      <x:c r="I926" s="74"/>
      <x:c r="J926" s="74"/>
      <x:c r="K926" s="74"/>
      <x:c r="L926" s="74"/>
      <x:c r="M926" s="91"/>
      <x:c r="N926" s="91"/>
      <x:c r="O926" s="91"/>
      <x:c r="P926" s="91"/>
      <x:c r="Q926" s="85"/>
      <x:c r="S926" s="86"/>
      <x:c r="T926" s="32"/>
    </x:row>
    <x:row r="927">
      <x:c r="A927" s="87"/>
      <x:c r="B927" s="88"/>
      <x:c r="D927" s="32"/>
      <x:c r="I927" s="74"/>
      <x:c r="J927" s="74"/>
      <x:c r="K927" s="74"/>
      <x:c r="L927" s="74"/>
      <x:c r="M927" s="91"/>
      <x:c r="N927" s="91"/>
      <x:c r="O927" s="91"/>
      <x:c r="P927" s="91"/>
      <x:c r="Q927" s="85"/>
      <x:c r="S927" s="86"/>
      <x:c r="T927" s="32"/>
    </x:row>
    <x:row r="928">
      <x:c r="A928" s="87"/>
      <x:c r="B928" s="88"/>
      <x:c r="D928" s="32"/>
      <x:c r="I928" s="74"/>
      <x:c r="J928" s="74"/>
      <x:c r="K928" s="74"/>
      <x:c r="L928" s="74"/>
      <x:c r="M928" s="91"/>
      <x:c r="N928" s="91"/>
      <x:c r="O928" s="91"/>
      <x:c r="P928" s="91"/>
      <x:c r="Q928" s="85"/>
      <x:c r="S928" s="86"/>
      <x:c r="T928" s="32"/>
    </x:row>
    <x:row r="929">
      <x:c r="A929" s="87"/>
      <x:c r="B929" s="88"/>
      <x:c r="D929" s="32"/>
      <x:c r="I929" s="74"/>
      <x:c r="J929" s="74"/>
      <x:c r="K929" s="74"/>
      <x:c r="L929" s="74"/>
      <x:c r="M929" s="91"/>
      <x:c r="N929" s="91"/>
      <x:c r="O929" s="91"/>
      <x:c r="P929" s="91"/>
      <x:c r="Q929" s="85"/>
      <x:c r="S929" s="86"/>
      <x:c r="T929" s="32"/>
    </x:row>
    <x:row r="930">
      <x:c r="A930" s="87"/>
      <x:c r="B930" s="88"/>
      <x:c r="D930" s="32"/>
      <x:c r="I930" s="74"/>
      <x:c r="J930" s="74"/>
      <x:c r="K930" s="74"/>
      <x:c r="L930" s="74"/>
      <x:c r="M930" s="91"/>
      <x:c r="N930" s="91"/>
      <x:c r="O930" s="91"/>
      <x:c r="P930" s="91"/>
      <x:c r="Q930" s="85"/>
      <x:c r="S930" s="86"/>
      <x:c r="T930" s="32"/>
    </x:row>
    <x:row r="931">
      <x:c r="A931" s="87"/>
      <x:c r="B931" s="88"/>
      <x:c r="D931" s="32"/>
      <x:c r="I931" s="74"/>
      <x:c r="J931" s="74"/>
      <x:c r="K931" s="74"/>
      <x:c r="L931" s="74"/>
      <x:c r="M931" s="91"/>
      <x:c r="N931" s="91"/>
      <x:c r="O931" s="91"/>
      <x:c r="P931" s="91"/>
      <x:c r="Q931" s="85"/>
      <x:c r="S931" s="86"/>
      <x:c r="T931" s="32"/>
    </x:row>
    <x:row r="932">
      <x:c r="A932" s="87"/>
      <x:c r="B932" s="88"/>
      <x:c r="D932" s="32"/>
      <x:c r="I932" s="74"/>
      <x:c r="J932" s="74"/>
      <x:c r="K932" s="74"/>
      <x:c r="L932" s="74"/>
      <x:c r="M932" s="91"/>
      <x:c r="N932" s="91"/>
      <x:c r="O932" s="91"/>
      <x:c r="P932" s="91"/>
      <x:c r="Q932" s="85"/>
      <x:c r="S932" s="86"/>
      <x:c r="T932" s="32"/>
    </x:row>
    <x:row r="933">
      <x:c r="A933" s="87"/>
      <x:c r="B933" s="88"/>
      <x:c r="D933" s="32"/>
      <x:c r="I933" s="74"/>
      <x:c r="J933" s="74"/>
      <x:c r="K933" s="74"/>
      <x:c r="L933" s="74"/>
      <x:c r="M933" s="91"/>
      <x:c r="N933" s="91"/>
      <x:c r="O933" s="91"/>
      <x:c r="P933" s="91"/>
      <x:c r="Q933" s="85"/>
      <x:c r="S933" s="86"/>
      <x:c r="T933" s="32"/>
    </x:row>
    <x:row r="934">
      <x:c r="A934" s="87"/>
      <x:c r="B934" s="88"/>
      <x:c r="D934" s="32"/>
      <x:c r="I934" s="74"/>
      <x:c r="J934" s="74"/>
      <x:c r="K934" s="74"/>
      <x:c r="L934" s="74"/>
      <x:c r="M934" s="91"/>
      <x:c r="N934" s="91"/>
      <x:c r="O934" s="91"/>
      <x:c r="P934" s="91"/>
      <x:c r="Q934" s="85"/>
      <x:c r="S934" s="86"/>
      <x:c r="T934" s="32"/>
    </x:row>
    <x:row r="935">
      <x:c r="A935" s="87"/>
      <x:c r="B935" s="88"/>
      <x:c r="D935" s="32"/>
      <x:c r="I935" s="74"/>
      <x:c r="J935" s="74"/>
      <x:c r="K935" s="74"/>
      <x:c r="L935" s="74"/>
      <x:c r="M935" s="91"/>
      <x:c r="N935" s="91"/>
      <x:c r="O935" s="91"/>
      <x:c r="P935" s="91"/>
      <x:c r="Q935" s="85"/>
      <x:c r="S935" s="86"/>
      <x:c r="T935" s="32"/>
    </x:row>
    <x:row r="936">
      <x:c r="A936" s="87"/>
      <x:c r="B936" s="88"/>
      <x:c r="D936" s="32"/>
      <x:c r="I936" s="74"/>
      <x:c r="J936" s="74"/>
      <x:c r="K936" s="74"/>
      <x:c r="L936" s="74"/>
      <x:c r="M936" s="91"/>
      <x:c r="N936" s="91"/>
      <x:c r="O936" s="91"/>
      <x:c r="P936" s="91"/>
      <x:c r="Q936" s="85"/>
      <x:c r="S936" s="86"/>
      <x:c r="T936" s="32"/>
    </x:row>
    <x:row r="937">
      <x:c r="A937" s="87"/>
      <x:c r="B937" s="88"/>
      <x:c r="D937" s="32"/>
      <x:c r="I937" s="74"/>
      <x:c r="J937" s="74"/>
      <x:c r="K937" s="74"/>
      <x:c r="L937" s="74"/>
      <x:c r="M937" s="91"/>
      <x:c r="N937" s="91"/>
      <x:c r="O937" s="91"/>
      <x:c r="P937" s="91"/>
      <x:c r="Q937" s="85"/>
      <x:c r="S937" s="86"/>
      <x:c r="T937" s="32"/>
    </x:row>
    <x:row r="938">
      <x:c r="A938" s="87"/>
      <x:c r="B938" s="88"/>
      <x:c r="D938" s="32"/>
      <x:c r="I938" s="74"/>
      <x:c r="J938" s="74"/>
      <x:c r="K938" s="74"/>
      <x:c r="L938" s="74"/>
      <x:c r="M938" s="91"/>
      <x:c r="N938" s="91"/>
      <x:c r="O938" s="91"/>
      <x:c r="P938" s="91"/>
      <x:c r="Q938" s="85"/>
      <x:c r="S938" s="86"/>
      <x:c r="T938" s="32"/>
    </x:row>
    <x:row r="939">
      <x:c r="A939" s="87"/>
      <x:c r="B939" s="88"/>
      <x:c r="D939" s="32"/>
      <x:c r="I939" s="74"/>
      <x:c r="J939" s="74"/>
      <x:c r="K939" s="74"/>
      <x:c r="L939" s="74"/>
      <x:c r="M939" s="91"/>
      <x:c r="N939" s="91"/>
      <x:c r="O939" s="91"/>
      <x:c r="P939" s="91"/>
      <x:c r="Q939" s="85"/>
      <x:c r="S939" s="86"/>
      <x:c r="T939" s="32"/>
    </x:row>
    <x:row r="940">
      <x:c r="A940" s="87"/>
      <x:c r="B940" s="88"/>
      <x:c r="D940" s="32"/>
      <x:c r="I940" s="74"/>
      <x:c r="J940" s="74"/>
      <x:c r="K940" s="74"/>
      <x:c r="L940" s="74"/>
      <x:c r="M940" s="91"/>
      <x:c r="N940" s="91"/>
      <x:c r="O940" s="91"/>
      <x:c r="P940" s="91"/>
      <x:c r="Q940" s="85"/>
      <x:c r="S940" s="86"/>
      <x:c r="T940" s="32"/>
    </x:row>
    <x:row r="941">
      <x:c r="A941" s="87"/>
      <x:c r="B941" s="88"/>
      <x:c r="D941" s="32"/>
      <x:c r="I941" s="74"/>
      <x:c r="J941" s="74"/>
      <x:c r="K941" s="74"/>
      <x:c r="L941" s="74"/>
      <x:c r="M941" s="91"/>
      <x:c r="N941" s="91"/>
      <x:c r="O941" s="91"/>
      <x:c r="P941" s="91"/>
      <x:c r="Q941" s="85"/>
      <x:c r="S941" s="86"/>
      <x:c r="T941" s="32"/>
    </x:row>
    <x:row r="942">
      <x:c r="A942" s="87"/>
      <x:c r="B942" s="88"/>
      <x:c r="D942" s="32"/>
      <x:c r="I942" s="74"/>
      <x:c r="J942" s="74"/>
      <x:c r="K942" s="74"/>
      <x:c r="L942" s="74"/>
      <x:c r="M942" s="91"/>
      <x:c r="N942" s="91"/>
      <x:c r="O942" s="91"/>
      <x:c r="P942" s="91"/>
      <x:c r="Q942" s="85"/>
      <x:c r="S942" s="86"/>
      <x:c r="T942" s="32"/>
    </x:row>
    <x:row r="943">
      <x:c r="A943" s="87"/>
      <x:c r="B943" s="88"/>
      <x:c r="D943" s="32"/>
      <x:c r="I943" s="74"/>
      <x:c r="J943" s="74"/>
      <x:c r="K943" s="74"/>
      <x:c r="L943" s="74"/>
      <x:c r="M943" s="91"/>
      <x:c r="N943" s="91"/>
      <x:c r="O943" s="91"/>
      <x:c r="P943" s="91"/>
      <x:c r="Q943" s="85"/>
      <x:c r="S943" s="86"/>
      <x:c r="T943" s="32"/>
    </x:row>
    <x:row r="944">
      <x:c r="A944" s="87"/>
      <x:c r="B944" s="88"/>
      <x:c r="D944" s="32"/>
      <x:c r="I944" s="74"/>
      <x:c r="J944" s="74"/>
      <x:c r="K944" s="74"/>
      <x:c r="L944" s="74"/>
      <x:c r="M944" s="91"/>
      <x:c r="N944" s="91"/>
      <x:c r="O944" s="91"/>
      <x:c r="P944" s="91"/>
      <x:c r="Q944" s="85"/>
      <x:c r="S944" s="86"/>
      <x:c r="T944" s="32"/>
    </x:row>
    <x:row r="945">
      <x:c r="A945" s="87"/>
      <x:c r="B945" s="88"/>
      <x:c r="D945" s="32"/>
      <x:c r="I945" s="74"/>
      <x:c r="J945" s="74"/>
      <x:c r="K945" s="74"/>
      <x:c r="L945" s="74"/>
      <x:c r="M945" s="91"/>
      <x:c r="N945" s="91"/>
      <x:c r="O945" s="91"/>
      <x:c r="P945" s="91"/>
      <x:c r="Q945" s="85"/>
      <x:c r="S945" s="86"/>
      <x:c r="T945" s="32"/>
    </x:row>
    <x:row r="946">
      <x:c r="A946" s="87"/>
      <x:c r="B946" s="88"/>
      <x:c r="D946" s="32"/>
      <x:c r="I946" s="74"/>
      <x:c r="J946" s="74"/>
      <x:c r="K946" s="74"/>
      <x:c r="L946" s="74"/>
      <x:c r="M946" s="91"/>
      <x:c r="N946" s="91"/>
      <x:c r="O946" s="91"/>
      <x:c r="P946" s="91"/>
      <x:c r="Q946" s="85"/>
      <x:c r="S946" s="86"/>
      <x:c r="T946" s="32"/>
    </x:row>
    <x:row r="947">
      <x:c r="A947" s="87"/>
      <x:c r="B947" s="88"/>
      <x:c r="D947" s="32"/>
      <x:c r="I947" s="74"/>
      <x:c r="J947" s="74"/>
      <x:c r="K947" s="74"/>
      <x:c r="L947" s="74"/>
      <x:c r="M947" s="91"/>
      <x:c r="N947" s="91"/>
      <x:c r="O947" s="91"/>
      <x:c r="P947" s="91"/>
      <x:c r="Q947" s="85"/>
      <x:c r="S947" s="86"/>
      <x:c r="T947" s="32"/>
    </x:row>
    <x:row r="948">
      <x:c r="A948" s="87"/>
      <x:c r="B948" s="88"/>
      <x:c r="D948" s="32"/>
      <x:c r="I948" s="74"/>
      <x:c r="J948" s="74"/>
      <x:c r="K948" s="74"/>
      <x:c r="L948" s="74"/>
      <x:c r="M948" s="91"/>
      <x:c r="N948" s="91"/>
      <x:c r="O948" s="91"/>
      <x:c r="P948" s="91"/>
      <x:c r="Q948" s="85"/>
      <x:c r="S948" s="86"/>
      <x:c r="T948" s="32"/>
    </x:row>
    <x:row r="949">
      <x:c r="A949" s="87"/>
      <x:c r="B949" s="88"/>
      <x:c r="D949" s="32"/>
      <x:c r="I949" s="74"/>
      <x:c r="J949" s="74"/>
      <x:c r="K949" s="74"/>
      <x:c r="L949" s="74"/>
      <x:c r="M949" s="91"/>
      <x:c r="N949" s="91"/>
      <x:c r="O949" s="91"/>
      <x:c r="P949" s="91"/>
      <x:c r="Q949" s="85"/>
      <x:c r="S949" s="86"/>
      <x:c r="T949" s="32"/>
    </x:row>
    <x:row r="950">
      <x:c r="A950" s="87"/>
      <x:c r="B950" s="88"/>
      <x:c r="D950" s="32"/>
      <x:c r="I950" s="74"/>
      <x:c r="J950" s="74"/>
      <x:c r="K950" s="74"/>
      <x:c r="L950" s="74"/>
      <x:c r="M950" s="91"/>
      <x:c r="N950" s="91"/>
      <x:c r="O950" s="91"/>
      <x:c r="P950" s="91"/>
      <x:c r="Q950" s="85"/>
      <x:c r="S950" s="86"/>
      <x:c r="T950" s="32"/>
    </x:row>
    <x:row r="951">
      <x:c r="A951" s="87"/>
      <x:c r="B951" s="88"/>
      <x:c r="D951" s="32"/>
      <x:c r="I951" s="74"/>
      <x:c r="J951" s="74"/>
      <x:c r="K951" s="74"/>
      <x:c r="L951" s="74"/>
      <x:c r="M951" s="91"/>
      <x:c r="N951" s="91"/>
      <x:c r="O951" s="91"/>
      <x:c r="P951" s="91"/>
      <x:c r="Q951" s="85"/>
      <x:c r="S951" s="86"/>
      <x:c r="T951" s="32"/>
    </x:row>
    <x:row r="952">
      <x:c r="A952" s="87"/>
      <x:c r="B952" s="88"/>
      <x:c r="D952" s="32"/>
      <x:c r="I952" s="74"/>
      <x:c r="J952" s="74"/>
      <x:c r="K952" s="74"/>
      <x:c r="L952" s="74"/>
      <x:c r="M952" s="91"/>
      <x:c r="N952" s="91"/>
      <x:c r="O952" s="91"/>
      <x:c r="P952" s="91"/>
      <x:c r="Q952" s="85"/>
      <x:c r="S952" s="86"/>
      <x:c r="T952" s="32"/>
    </x:row>
    <x:row r="953">
      <x:c r="A953" s="87"/>
      <x:c r="B953" s="88"/>
      <x:c r="D953" s="32"/>
      <x:c r="I953" s="74"/>
      <x:c r="J953" s="74"/>
      <x:c r="K953" s="74"/>
      <x:c r="L953" s="74"/>
      <x:c r="M953" s="91"/>
      <x:c r="N953" s="91"/>
      <x:c r="O953" s="91"/>
      <x:c r="P953" s="91"/>
      <x:c r="Q953" s="85"/>
      <x:c r="S953" s="86"/>
      <x:c r="T953" s="32"/>
    </x:row>
    <x:row r="954">
      <x:c r="A954" s="87"/>
      <x:c r="B954" s="88"/>
      <x:c r="D954" s="32"/>
      <x:c r="I954" s="74"/>
      <x:c r="J954" s="74"/>
      <x:c r="K954" s="74"/>
      <x:c r="L954" s="74"/>
      <x:c r="M954" s="91"/>
      <x:c r="N954" s="91"/>
      <x:c r="O954" s="91"/>
      <x:c r="P954" s="91"/>
      <x:c r="Q954" s="85"/>
      <x:c r="S954" s="86"/>
      <x:c r="T954" s="32"/>
    </x:row>
    <x:row r="955">
      <x:c r="A955" s="87"/>
      <x:c r="B955" s="88"/>
      <x:c r="D955" s="32"/>
      <x:c r="I955" s="74"/>
      <x:c r="J955" s="74"/>
      <x:c r="K955" s="74"/>
      <x:c r="L955" s="74"/>
      <x:c r="M955" s="91"/>
      <x:c r="N955" s="91"/>
      <x:c r="O955" s="91"/>
      <x:c r="P955" s="91"/>
      <x:c r="Q955" s="85"/>
      <x:c r="S955" s="86"/>
      <x:c r="T955" s="32"/>
    </x:row>
    <x:row r="956">
      <x:c r="A956" s="87"/>
      <x:c r="B956" s="88"/>
      <x:c r="D956" s="32"/>
      <x:c r="I956" s="74"/>
      <x:c r="J956" s="74"/>
      <x:c r="K956" s="74"/>
      <x:c r="L956" s="74"/>
      <x:c r="M956" s="91"/>
      <x:c r="N956" s="91"/>
      <x:c r="O956" s="91"/>
      <x:c r="P956" s="91"/>
      <x:c r="Q956" s="85"/>
      <x:c r="S956" s="86"/>
      <x:c r="T956" s="32"/>
    </x:row>
    <x:row r="957">
      <x:c r="A957" s="87"/>
      <x:c r="B957" s="88"/>
      <x:c r="D957" s="32"/>
      <x:c r="I957" s="74"/>
      <x:c r="J957" s="74"/>
      <x:c r="K957" s="74"/>
      <x:c r="L957" s="74"/>
      <x:c r="M957" s="91"/>
      <x:c r="N957" s="91"/>
      <x:c r="O957" s="91"/>
      <x:c r="P957" s="91"/>
      <x:c r="Q957" s="85"/>
      <x:c r="S957" s="86"/>
      <x:c r="T957" s="32"/>
    </x:row>
    <x:row r="958">
      <x:c r="A958" s="87"/>
      <x:c r="B958" s="88"/>
      <x:c r="D958" s="32"/>
      <x:c r="I958" s="74"/>
      <x:c r="J958" s="74"/>
      <x:c r="K958" s="74"/>
      <x:c r="L958" s="74"/>
      <x:c r="M958" s="91"/>
      <x:c r="N958" s="91"/>
      <x:c r="O958" s="91"/>
      <x:c r="P958" s="91"/>
      <x:c r="Q958" s="85"/>
      <x:c r="S958" s="86"/>
      <x:c r="T958" s="32"/>
    </x:row>
    <x:row r="959">
      <x:c r="A959" s="87"/>
      <x:c r="B959" s="88"/>
      <x:c r="D959" s="32"/>
      <x:c r="I959" s="74"/>
      <x:c r="J959" s="74"/>
      <x:c r="K959" s="74"/>
      <x:c r="L959" s="74"/>
      <x:c r="M959" s="91"/>
      <x:c r="N959" s="91"/>
      <x:c r="O959" s="91"/>
      <x:c r="P959" s="91"/>
      <x:c r="Q959" s="85"/>
      <x:c r="S959" s="86"/>
      <x:c r="T959" s="32"/>
    </x:row>
    <x:row r="960">
      <x:c r="A960" s="87"/>
      <x:c r="B960" s="88"/>
      <x:c r="D960" s="32"/>
      <x:c r="I960" s="74"/>
      <x:c r="J960" s="74"/>
      <x:c r="K960" s="74"/>
      <x:c r="L960" s="74"/>
      <x:c r="M960" s="91"/>
      <x:c r="N960" s="91"/>
      <x:c r="O960" s="91"/>
      <x:c r="P960" s="91"/>
      <x:c r="Q960" s="85"/>
      <x:c r="S960" s="86"/>
      <x:c r="T960" s="32"/>
    </x:row>
    <x:row r="961">
      <x:c r="A961" s="87"/>
      <x:c r="B961" s="88"/>
      <x:c r="D961" s="32"/>
      <x:c r="I961" s="74"/>
      <x:c r="J961" s="74"/>
      <x:c r="K961" s="74"/>
      <x:c r="L961" s="74"/>
      <x:c r="M961" s="91"/>
      <x:c r="N961" s="91"/>
      <x:c r="O961" s="91"/>
      <x:c r="P961" s="91"/>
      <x:c r="Q961" s="85"/>
      <x:c r="S961" s="86"/>
      <x:c r="T961" s="32"/>
    </x:row>
    <x:row r="962">
      <x:c r="A962" s="87"/>
      <x:c r="B962" s="88"/>
      <x:c r="D962" s="32"/>
      <x:c r="I962" s="74"/>
      <x:c r="J962" s="74"/>
      <x:c r="K962" s="74"/>
      <x:c r="L962" s="74"/>
      <x:c r="M962" s="91"/>
      <x:c r="N962" s="91"/>
      <x:c r="O962" s="91"/>
      <x:c r="P962" s="91"/>
      <x:c r="Q962" s="85"/>
      <x:c r="S962" s="86"/>
      <x:c r="T962" s="32"/>
    </x:row>
    <x:row r="963">
      <x:c r="A963" s="87"/>
      <x:c r="B963" s="88"/>
      <x:c r="D963" s="32"/>
      <x:c r="I963" s="74"/>
      <x:c r="J963" s="74"/>
      <x:c r="K963" s="74"/>
      <x:c r="L963" s="74"/>
      <x:c r="M963" s="91"/>
      <x:c r="N963" s="91"/>
      <x:c r="O963" s="91"/>
      <x:c r="P963" s="91"/>
      <x:c r="Q963" s="85"/>
      <x:c r="S963" s="86"/>
      <x:c r="T963" s="32"/>
    </x:row>
    <x:row r="964">
      <x:c r="A964" s="87"/>
      <x:c r="B964" s="88"/>
      <x:c r="D964" s="32"/>
      <x:c r="I964" s="74"/>
      <x:c r="J964" s="74"/>
      <x:c r="K964" s="74"/>
      <x:c r="L964" s="74"/>
      <x:c r="M964" s="91"/>
      <x:c r="N964" s="91"/>
      <x:c r="O964" s="91"/>
      <x:c r="P964" s="91"/>
      <x:c r="Q964" s="85"/>
      <x:c r="S964" s="86"/>
      <x:c r="T964" s="32"/>
    </x:row>
    <x:row r="965">
      <x:c r="A965" s="87"/>
      <x:c r="B965" s="88"/>
      <x:c r="D965" s="32"/>
      <x:c r="I965" s="74"/>
      <x:c r="J965" s="74"/>
      <x:c r="K965" s="74"/>
      <x:c r="L965" s="74"/>
      <x:c r="M965" s="91"/>
      <x:c r="N965" s="91"/>
      <x:c r="O965" s="91"/>
      <x:c r="P965" s="91"/>
      <x:c r="Q965" s="85"/>
      <x:c r="S965" s="86"/>
      <x:c r="T965" s="32"/>
    </x:row>
    <x:row r="966">
      <x:c r="A966" s="87"/>
      <x:c r="B966" s="88"/>
      <x:c r="D966" s="32"/>
      <x:c r="I966" s="74"/>
      <x:c r="J966" s="74"/>
      <x:c r="K966" s="74"/>
      <x:c r="L966" s="74"/>
      <x:c r="M966" s="91"/>
      <x:c r="N966" s="91"/>
      <x:c r="O966" s="91"/>
      <x:c r="P966" s="91"/>
      <x:c r="Q966" s="85"/>
      <x:c r="S966" s="86"/>
      <x:c r="T966" s="32"/>
    </x:row>
    <x:row r="967">
      <x:c r="A967" s="87"/>
      <x:c r="B967" s="88"/>
      <x:c r="D967" s="32"/>
      <x:c r="I967" s="74"/>
      <x:c r="J967" s="74"/>
      <x:c r="K967" s="74"/>
      <x:c r="L967" s="74"/>
      <x:c r="M967" s="91"/>
      <x:c r="N967" s="91"/>
      <x:c r="O967" s="91"/>
      <x:c r="P967" s="91"/>
      <x:c r="Q967" s="85"/>
      <x:c r="S967" s="86"/>
      <x:c r="T967" s="32"/>
    </x:row>
    <x:row r="968">
      <x:c r="A968" s="87"/>
      <x:c r="B968" s="88"/>
      <x:c r="D968" s="32"/>
      <x:c r="I968" s="74"/>
      <x:c r="J968" s="74"/>
      <x:c r="K968" s="74"/>
      <x:c r="L968" s="74"/>
      <x:c r="M968" s="91"/>
      <x:c r="N968" s="91"/>
      <x:c r="O968" s="91"/>
      <x:c r="P968" s="91"/>
      <x:c r="Q968" s="85"/>
      <x:c r="S968" s="86"/>
      <x:c r="T968" s="32"/>
    </x:row>
    <x:row r="969">
      <x:c r="A969" s="87"/>
      <x:c r="B969" s="88"/>
      <x:c r="D969" s="32"/>
      <x:c r="I969" s="74"/>
      <x:c r="J969" s="74"/>
      <x:c r="K969" s="74"/>
      <x:c r="L969" s="74"/>
      <x:c r="M969" s="91"/>
      <x:c r="N969" s="91"/>
      <x:c r="O969" s="91"/>
      <x:c r="P969" s="91"/>
      <x:c r="Q969" s="85"/>
      <x:c r="S969" s="86"/>
      <x:c r="T969" s="32"/>
    </x:row>
    <x:row r="970">
      <x:c r="A970" s="87"/>
      <x:c r="B970" s="88"/>
      <x:c r="D970" s="32"/>
      <x:c r="I970" s="74"/>
      <x:c r="J970" s="74"/>
      <x:c r="K970" s="74"/>
      <x:c r="L970" s="74"/>
      <x:c r="M970" s="91"/>
      <x:c r="N970" s="91"/>
      <x:c r="O970" s="91"/>
      <x:c r="P970" s="91"/>
      <x:c r="Q970" s="85"/>
      <x:c r="S970" s="86"/>
      <x:c r="T970" s="32"/>
    </x:row>
    <x:row r="971">
      <x:c r="A971" s="87"/>
      <x:c r="B971" s="88"/>
      <x:c r="D971" s="32"/>
      <x:c r="I971" s="74"/>
      <x:c r="J971" s="74"/>
      <x:c r="K971" s="74"/>
      <x:c r="L971" s="74"/>
      <x:c r="M971" s="91"/>
      <x:c r="N971" s="91"/>
      <x:c r="O971" s="91"/>
      <x:c r="P971" s="91"/>
      <x:c r="Q971" s="85"/>
      <x:c r="S971" s="86"/>
      <x:c r="T971" s="32"/>
    </x:row>
    <x:row r="972">
      <x:c r="A972" s="87"/>
      <x:c r="B972" s="88"/>
      <x:c r="D972" s="32"/>
      <x:c r="I972" s="74"/>
      <x:c r="J972" s="74"/>
      <x:c r="K972" s="74"/>
      <x:c r="L972" s="74"/>
      <x:c r="M972" s="91"/>
      <x:c r="N972" s="91"/>
      <x:c r="O972" s="91"/>
      <x:c r="P972" s="91"/>
      <x:c r="Q972" s="85"/>
      <x:c r="S972" s="86"/>
      <x:c r="T972" s="32"/>
    </x:row>
    <x:row r="973">
      <x:c r="A973" s="87"/>
      <x:c r="B973" s="88"/>
      <x:c r="D973" s="32"/>
      <x:c r="I973" s="74"/>
      <x:c r="J973" s="74"/>
      <x:c r="K973" s="74"/>
      <x:c r="L973" s="74"/>
      <x:c r="M973" s="91"/>
      <x:c r="N973" s="91"/>
      <x:c r="O973" s="91"/>
      <x:c r="P973" s="91"/>
      <x:c r="Q973" s="85"/>
      <x:c r="S973" s="86"/>
      <x:c r="T973" s="32"/>
    </x:row>
    <x:row r="974">
      <x:c r="A974" s="87"/>
      <x:c r="B974" s="88"/>
      <x:c r="D974" s="32"/>
      <x:c r="I974" s="74"/>
      <x:c r="J974" s="74"/>
      <x:c r="K974" s="74"/>
      <x:c r="L974" s="74"/>
      <x:c r="M974" s="91"/>
      <x:c r="N974" s="91"/>
      <x:c r="O974" s="91"/>
      <x:c r="P974" s="91"/>
      <x:c r="Q974" s="85"/>
      <x:c r="S974" s="86"/>
      <x:c r="T974" s="32"/>
    </x:row>
    <x:row r="975">
      <x:c r="A975" s="87"/>
      <x:c r="B975" s="88"/>
      <x:c r="D975" s="32"/>
      <x:c r="I975" s="74"/>
      <x:c r="J975" s="74"/>
      <x:c r="K975" s="74"/>
      <x:c r="L975" s="74"/>
      <x:c r="M975" s="91"/>
      <x:c r="N975" s="91"/>
      <x:c r="O975" s="91"/>
      <x:c r="P975" s="91"/>
      <x:c r="Q975" s="85"/>
      <x:c r="S975" s="86"/>
      <x:c r="T975" s="32"/>
    </x:row>
    <x:row r="976">
      <x:c r="A976" s="87"/>
      <x:c r="B976" s="88"/>
      <x:c r="D976" s="32"/>
      <x:c r="I976" s="74"/>
      <x:c r="J976" s="74"/>
      <x:c r="K976" s="74"/>
      <x:c r="L976" s="74"/>
      <x:c r="M976" s="91"/>
      <x:c r="N976" s="91"/>
      <x:c r="O976" s="91"/>
      <x:c r="P976" s="91"/>
      <x:c r="Q976" s="85"/>
      <x:c r="S976" s="86"/>
      <x:c r="T976" s="32"/>
    </x:row>
    <x:row r="977">
      <x:c r="A977" s="87"/>
      <x:c r="B977" s="88"/>
      <x:c r="D977" s="32"/>
      <x:c r="I977" s="74"/>
      <x:c r="J977" s="74"/>
      <x:c r="K977" s="74"/>
      <x:c r="L977" s="74"/>
      <x:c r="M977" s="91"/>
      <x:c r="N977" s="91"/>
      <x:c r="O977" s="91"/>
      <x:c r="P977" s="91"/>
      <x:c r="Q977" s="85"/>
      <x:c r="S977" s="86"/>
      <x:c r="T977" s="32"/>
    </x:row>
    <x:row r="978">
      <x:c r="A978" s="87"/>
      <x:c r="B978" s="88"/>
      <x:c r="D978" s="32"/>
      <x:c r="I978" s="74"/>
      <x:c r="J978" s="74"/>
      <x:c r="K978" s="74"/>
      <x:c r="L978" s="74"/>
      <x:c r="M978" s="91"/>
      <x:c r="N978" s="91"/>
      <x:c r="O978" s="91"/>
      <x:c r="P978" s="91"/>
      <x:c r="Q978" s="85"/>
      <x:c r="S978" s="86"/>
      <x:c r="T978" s="32"/>
    </x:row>
    <x:row r="979">
      <x:c r="A979" s="87"/>
      <x:c r="B979" s="88"/>
      <x:c r="D979" s="32"/>
      <x:c r="I979" s="74"/>
      <x:c r="J979" s="74"/>
      <x:c r="K979" s="74"/>
      <x:c r="L979" s="74"/>
      <x:c r="M979" s="91"/>
      <x:c r="N979" s="91"/>
      <x:c r="O979" s="91"/>
      <x:c r="P979" s="91"/>
      <x:c r="Q979" s="85"/>
      <x:c r="S979" s="86"/>
      <x:c r="T979" s="32"/>
    </x:row>
    <x:row r="980">
      <x:c r="A980" s="87"/>
      <x:c r="B980" s="88"/>
      <x:c r="D980" s="32"/>
      <x:c r="I980" s="74"/>
      <x:c r="J980" s="74"/>
      <x:c r="K980" s="74"/>
      <x:c r="L980" s="74"/>
      <x:c r="M980" s="91"/>
      <x:c r="N980" s="91"/>
      <x:c r="O980" s="91"/>
      <x:c r="P980" s="91"/>
      <x:c r="Q980" s="85"/>
      <x:c r="S980" s="86"/>
      <x:c r="T980" s="32"/>
    </x:row>
    <x:row r="981">
      <x:c r="A981" s="87"/>
      <x:c r="B981" s="88"/>
      <x:c r="D981" s="32"/>
      <x:c r="I981" s="74"/>
      <x:c r="J981" s="74"/>
      <x:c r="K981" s="74"/>
      <x:c r="L981" s="74"/>
      <x:c r="M981" s="91"/>
      <x:c r="N981" s="91"/>
      <x:c r="O981" s="91"/>
      <x:c r="P981" s="91"/>
      <x:c r="Q981" s="85"/>
      <x:c r="S981" s="86"/>
      <x:c r="T981" s="32"/>
    </x:row>
    <x:row r="982">
      <x:c r="A982" s="87"/>
      <x:c r="B982" s="88"/>
      <x:c r="D982" s="32"/>
      <x:c r="I982" s="74"/>
      <x:c r="J982" s="74"/>
      <x:c r="K982" s="74"/>
      <x:c r="L982" s="74"/>
      <x:c r="M982" s="91"/>
      <x:c r="N982" s="91"/>
      <x:c r="O982" s="91"/>
      <x:c r="P982" s="91"/>
      <x:c r="Q982" s="85"/>
      <x:c r="S982" s="86"/>
      <x:c r="T982" s="32"/>
    </x:row>
    <x:row r="983">
      <x:c r="A983" s="87"/>
      <x:c r="B983" s="88"/>
      <x:c r="D983" s="32"/>
      <x:c r="I983" s="74"/>
      <x:c r="J983" s="74"/>
      <x:c r="K983" s="74"/>
      <x:c r="L983" s="74"/>
      <x:c r="M983" s="91"/>
      <x:c r="N983" s="91"/>
      <x:c r="O983" s="91"/>
      <x:c r="P983" s="91"/>
      <x:c r="Q983" s="85"/>
      <x:c r="S983" s="86"/>
      <x:c r="T983" s="32"/>
    </x:row>
    <x:row r="984">
      <x:c r="A984" s="87"/>
      <x:c r="B984" s="88"/>
      <x:c r="D984" s="32"/>
      <x:c r="I984" s="74"/>
      <x:c r="J984" s="74"/>
      <x:c r="K984" s="74"/>
      <x:c r="L984" s="74"/>
      <x:c r="M984" s="91"/>
      <x:c r="N984" s="91"/>
      <x:c r="O984" s="91"/>
      <x:c r="P984" s="91"/>
      <x:c r="Q984" s="85"/>
      <x:c r="S984" s="86"/>
      <x:c r="T984" s="32"/>
    </x:row>
    <x:row r="985">
      <x:c r="A985" s="87"/>
      <x:c r="B985" s="88"/>
      <x:c r="D985" s="32"/>
      <x:c r="I985" s="74"/>
      <x:c r="J985" s="74"/>
      <x:c r="K985" s="74"/>
      <x:c r="L985" s="74"/>
      <x:c r="M985" s="91"/>
      <x:c r="N985" s="91"/>
      <x:c r="O985" s="91"/>
      <x:c r="P985" s="91"/>
      <x:c r="Q985" s="85"/>
      <x:c r="S985" s="86"/>
      <x:c r="T985" s="32"/>
    </x:row>
    <x:row r="986">
      <x:c r="A986" s="87"/>
      <x:c r="B986" s="88"/>
      <x:c r="D986" s="32"/>
      <x:c r="I986" s="74"/>
      <x:c r="J986" s="74"/>
      <x:c r="K986" s="74"/>
      <x:c r="L986" s="74"/>
      <x:c r="M986" s="91"/>
      <x:c r="N986" s="91"/>
      <x:c r="O986" s="91"/>
      <x:c r="P986" s="91"/>
      <x:c r="Q986" s="85"/>
      <x:c r="S986" s="86"/>
      <x:c r="T986" s="32"/>
    </x:row>
    <x:row r="987">
      <x:c r="A987" s="87"/>
      <x:c r="B987" s="88"/>
      <x:c r="D987" s="32"/>
      <x:c r="I987" s="74"/>
      <x:c r="J987" s="74"/>
      <x:c r="K987" s="74"/>
      <x:c r="L987" s="74"/>
      <x:c r="M987" s="91"/>
      <x:c r="N987" s="91"/>
      <x:c r="O987" s="91"/>
      <x:c r="P987" s="91"/>
      <x:c r="Q987" s="85"/>
      <x:c r="S987" s="86"/>
      <x:c r="T987" s="32"/>
    </x:row>
    <x:row r="988">
      <x:c r="A988" s="87"/>
      <x:c r="B988" s="88"/>
      <x:c r="D988" s="32"/>
      <x:c r="I988" s="74"/>
      <x:c r="J988" s="74"/>
      <x:c r="K988" s="74"/>
      <x:c r="L988" s="74"/>
      <x:c r="M988" s="91"/>
      <x:c r="N988" s="91"/>
      <x:c r="O988" s="91"/>
      <x:c r="P988" s="91"/>
      <x:c r="Q988" s="85"/>
      <x:c r="S988" s="86"/>
      <x:c r="T988" s="32"/>
    </x:row>
    <x:row r="989">
      <x:c r="A989" s="87"/>
      <x:c r="B989" s="88"/>
      <x:c r="D989" s="32"/>
      <x:c r="I989" s="74"/>
      <x:c r="J989" s="74"/>
      <x:c r="K989" s="74"/>
      <x:c r="L989" s="74"/>
      <x:c r="M989" s="91"/>
      <x:c r="N989" s="91"/>
      <x:c r="O989" s="91"/>
      <x:c r="P989" s="91"/>
      <x:c r="Q989" s="85"/>
      <x:c r="S989" s="86"/>
      <x:c r="T989" s="32"/>
    </x:row>
    <x:row r="990">
      <x:c r="A990" s="87"/>
      <x:c r="B990" s="88"/>
      <x:c r="D990" s="32"/>
      <x:c r="I990" s="74"/>
      <x:c r="J990" s="74"/>
      <x:c r="K990" s="74"/>
      <x:c r="L990" s="74"/>
      <x:c r="M990" s="91"/>
      <x:c r="N990" s="91"/>
      <x:c r="O990" s="91"/>
      <x:c r="P990" s="91"/>
      <x:c r="Q990" s="85"/>
      <x:c r="S990" s="86"/>
      <x:c r="T990" s="32"/>
    </x:row>
    <x:row r="991">
      <x:c r="A991" s="87"/>
      <x:c r="B991" s="88"/>
      <x:c r="D991" s="32"/>
      <x:c r="I991" s="74"/>
      <x:c r="J991" s="74"/>
      <x:c r="K991" s="74"/>
      <x:c r="L991" s="74"/>
      <x:c r="M991" s="91"/>
      <x:c r="N991" s="91"/>
      <x:c r="O991" s="91"/>
      <x:c r="P991" s="91"/>
      <x:c r="Q991" s="85"/>
      <x:c r="S991" s="86"/>
      <x:c r="T991" s="32"/>
    </x:row>
    <x:row r="992">
      <x:c r="A992" s="87"/>
      <x:c r="B992" s="88"/>
      <x:c r="D992" s="32"/>
      <x:c r="I992" s="74"/>
      <x:c r="J992" s="74"/>
      <x:c r="K992" s="74"/>
      <x:c r="L992" s="74"/>
      <x:c r="M992" s="91"/>
      <x:c r="N992" s="91"/>
      <x:c r="O992" s="91"/>
      <x:c r="P992" s="91"/>
      <x:c r="Q992" s="85"/>
      <x:c r="S992" s="86"/>
      <x:c r="T992" s="32"/>
    </x:row>
    <x:row r="993">
      <x:c r="A993" s="87"/>
      <x:c r="B993" s="88"/>
      <x:c r="D993" s="32"/>
      <x:c r="I993" s="74"/>
      <x:c r="J993" s="74"/>
      <x:c r="K993" s="74"/>
      <x:c r="L993" s="74"/>
      <x:c r="M993" s="91"/>
      <x:c r="N993" s="91"/>
      <x:c r="O993" s="91"/>
      <x:c r="P993" s="91"/>
      <x:c r="Q993" s="85"/>
      <x:c r="S993" s="86"/>
      <x:c r="T993" s="32"/>
    </x:row>
    <x:row r="994">
      <x:c r="A994" s="87"/>
      <x:c r="B994" s="88"/>
      <x:c r="D994" s="32"/>
      <x:c r="I994" s="74"/>
      <x:c r="J994" s="74"/>
      <x:c r="K994" s="74"/>
      <x:c r="L994" s="74"/>
      <x:c r="M994" s="91"/>
      <x:c r="N994" s="91"/>
      <x:c r="O994" s="91"/>
      <x:c r="P994" s="91"/>
      <x:c r="Q994" s="85"/>
      <x:c r="S994" s="86"/>
      <x:c r="T994" s="32"/>
    </x:row>
    <x:row r="995">
      <x:c r="A995" s="87"/>
      <x:c r="B995" s="88"/>
      <x:c r="D995" s="32"/>
      <x:c r="I995" s="74"/>
      <x:c r="J995" s="74"/>
      <x:c r="K995" s="74"/>
      <x:c r="L995" s="74"/>
      <x:c r="M995" s="91"/>
      <x:c r="N995" s="91"/>
      <x:c r="O995" s="91"/>
      <x:c r="P995" s="91"/>
      <x:c r="Q995" s="85"/>
      <x:c r="S995" s="86"/>
      <x:c r="T995" s="32"/>
    </x:row>
    <x:row r="996">
      <x:c r="A996" s="87"/>
      <x:c r="B996" s="88"/>
      <x:c r="D996" s="32"/>
      <x:c r="I996" s="74"/>
      <x:c r="J996" s="74"/>
      <x:c r="K996" s="74"/>
      <x:c r="L996" s="74"/>
      <x:c r="M996" s="91"/>
      <x:c r="N996" s="91"/>
      <x:c r="O996" s="91"/>
      <x:c r="P996" s="91"/>
      <x:c r="Q996" s="85"/>
      <x:c r="S996" s="86"/>
      <x:c r="T996" s="32"/>
    </x:row>
    <x:row r="997">
      <x:c r="A997" s="87"/>
      <x:c r="B997" s="88"/>
      <x:c r="D997" s="32"/>
      <x:c r="I997" s="74"/>
      <x:c r="J997" s="74"/>
      <x:c r="K997" s="74"/>
      <x:c r="L997" s="74"/>
      <x:c r="M997" s="91"/>
      <x:c r="N997" s="91"/>
      <x:c r="O997" s="91"/>
      <x:c r="P997" s="91"/>
      <x:c r="Q997" s="85"/>
      <x:c r="S997" s="86"/>
      <x:c r="T997" s="32"/>
    </x:row>
    <x:row r="998">
      <x:c r="A998" s="87"/>
      <x:c r="B998" s="88"/>
      <x:c r="D998" s="32"/>
      <x:c r="I998" s="74"/>
      <x:c r="J998" s="74"/>
      <x:c r="K998" s="74"/>
      <x:c r="L998" s="74"/>
      <x:c r="M998" s="91"/>
      <x:c r="N998" s="91"/>
      <x:c r="O998" s="91"/>
      <x:c r="P998" s="91"/>
      <x:c r="Q998" s="85"/>
      <x:c r="S998" s="86"/>
      <x:c r="T998" s="32"/>
    </x:row>
    <x:row r="999">
      <x:c r="A999" s="87"/>
      <x:c r="B999" s="88"/>
      <x:c r="D999" s="32"/>
      <x:c r="I999" s="74"/>
      <x:c r="J999" s="74"/>
      <x:c r="K999" s="74"/>
      <x:c r="L999" s="74"/>
      <x:c r="M999" s="91"/>
      <x:c r="N999" s="91"/>
      <x:c r="O999" s="91"/>
      <x:c r="P999" s="91"/>
      <x:c r="Q999" s="85"/>
      <x:c r="S999" s="86"/>
      <x:c r="T999" s="32"/>
    </x:row>
    <x:row r="1000">
      <x:c r="A1000" s="87"/>
      <x:c r="B1000" s="88"/>
      <x:c r="D1000" s="32"/>
      <x:c r="I1000" s="74"/>
      <x:c r="J1000" s="74"/>
      <x:c r="K1000" s="74"/>
      <x:c r="L1000" s="74"/>
      <x:c r="M1000" s="91"/>
      <x:c r="N1000" s="91"/>
      <x:c r="O1000" s="91"/>
      <x:c r="P1000" s="91"/>
      <x:c r="Q1000" s="85"/>
      <x:c r="S1000" s="86"/>
      <x:c r="T1000" s="32"/>
    </x:row>
    <x:row r="1001">
      <x:c r="A1001" s="87"/>
      <x:c r="B1001" s="88"/>
      <x:c r="D1001" s="32"/>
      <x:c r="I1001" s="74"/>
      <x:c r="J1001" s="74"/>
      <x:c r="K1001" s="74"/>
      <x:c r="L1001" s="74"/>
      <x:c r="M1001" s="91"/>
      <x:c r="N1001" s="91"/>
      <x:c r="O1001" s="91"/>
      <x:c r="P1001" s="91"/>
      <x:c r="Q1001" s="85"/>
      <x:c r="S1001" s="86"/>
      <x:c r="T1001" s="32"/>
    </x:row>
    <x:row r="1002">
      <x:c r="A1002" s="87"/>
      <x:c r="B1002" s="88"/>
      <x:c r="D1002" s="32"/>
      <x:c r="I1002" s="74"/>
      <x:c r="J1002" s="74"/>
      <x:c r="K1002" s="74"/>
      <x:c r="L1002" s="74"/>
      <x:c r="M1002" s="91"/>
      <x:c r="N1002" s="91"/>
      <x:c r="O1002" s="91"/>
      <x:c r="P1002" s="91"/>
      <x:c r="Q1002" s="85"/>
      <x:c r="S1002" s="86"/>
      <x:c r="T1002" s="32"/>
    </x:row>
    <x:row r="1003">
      <x:c r="A1003" s="87"/>
      <x:c r="B1003" s="88"/>
      <x:c r="D1003" s="32"/>
      <x:c r="I1003" s="74"/>
      <x:c r="J1003" s="74"/>
      <x:c r="K1003" s="74"/>
      <x:c r="L1003" s="74"/>
      <x:c r="M1003" s="91"/>
      <x:c r="N1003" s="91"/>
      <x:c r="O1003" s="91"/>
      <x:c r="P1003" s="91"/>
      <x:c r="Q1003" s="85"/>
      <x:c r="S1003" s="86"/>
      <x:c r="T1003" s="32"/>
    </x:row>
    <x:row r="1004">
      <x:c r="A1004" s="87"/>
      <x:c r="B1004" s="88"/>
      <x:c r="D1004" s="32"/>
      <x:c r="I1004" s="74"/>
      <x:c r="J1004" s="74"/>
      <x:c r="K1004" s="74"/>
      <x:c r="L1004" s="74"/>
      <x:c r="M1004" s="91"/>
      <x:c r="N1004" s="91"/>
      <x:c r="O1004" s="91"/>
      <x:c r="P1004" s="91"/>
      <x:c r="Q1004" s="85"/>
      <x:c r="S1004" s="86"/>
      <x:c r="T1004" s="32"/>
    </x:row>
    <x:row r="1005">
      <x:c r="A1005" s="87"/>
      <x:c r="B1005" s="88"/>
      <x:c r="D1005" s="32"/>
      <x:c r="I1005" s="74"/>
      <x:c r="J1005" s="74"/>
      <x:c r="K1005" s="74"/>
      <x:c r="L1005" s="74"/>
      <x:c r="M1005" s="91"/>
      <x:c r="N1005" s="91"/>
      <x:c r="O1005" s="91"/>
      <x:c r="P1005" s="91"/>
      <x:c r="Q1005" s="85"/>
      <x:c r="S1005" s="86"/>
      <x:c r="T1005" s="32"/>
    </x:row>
    <x:row r="1006">
      <x:c r="A1006" s="87"/>
      <x:c r="B1006" s="88"/>
      <x:c r="D1006" s="32"/>
      <x:c r="I1006" s="74"/>
      <x:c r="J1006" s="74"/>
      <x:c r="K1006" s="74"/>
      <x:c r="L1006" s="74"/>
      <x:c r="M1006" s="91"/>
      <x:c r="N1006" s="91"/>
      <x:c r="O1006" s="91"/>
      <x:c r="P1006" s="91"/>
      <x:c r="Q1006" s="85"/>
      <x:c r="S1006" s="86"/>
      <x:c r="T1006" s="32"/>
    </x:row>
    <x:row r="1007">
      <x:c r="A1007" s="87"/>
      <x:c r="B1007" s="88"/>
      <x:c r="D1007" s="32"/>
      <x:c r="I1007" s="74"/>
      <x:c r="J1007" s="74"/>
      <x:c r="K1007" s="74"/>
      <x:c r="L1007" s="74"/>
      <x:c r="M1007" s="91"/>
      <x:c r="N1007" s="91"/>
      <x:c r="O1007" s="91"/>
      <x:c r="P1007" s="91"/>
      <x:c r="Q1007" s="85"/>
      <x:c r="S1007" s="86"/>
      <x:c r="T1007" s="32"/>
    </x:row>
    <x:row r="1008">
      <x:c r="A1008" s="87"/>
      <x:c r="B1008" s="88"/>
      <x:c r="D1008" s="32"/>
      <x:c r="I1008" s="74"/>
      <x:c r="J1008" s="74"/>
      <x:c r="K1008" s="74"/>
      <x:c r="L1008" s="74"/>
      <x:c r="M1008" s="91"/>
      <x:c r="N1008" s="91"/>
      <x:c r="O1008" s="91"/>
      <x:c r="P1008" s="91"/>
      <x:c r="Q1008" s="85"/>
      <x:c r="S1008" s="86"/>
      <x:c r="T1008" s="32"/>
    </x:row>
    <x:row r="1009">
      <x:c r="A1009" s="87"/>
      <x:c r="B1009" s="88"/>
      <x:c r="D1009" s="32"/>
      <x:c r="I1009" s="74"/>
      <x:c r="J1009" s="74"/>
      <x:c r="K1009" s="74"/>
      <x:c r="L1009" s="74"/>
      <x:c r="M1009" s="91"/>
      <x:c r="N1009" s="91"/>
      <x:c r="O1009" s="91"/>
      <x:c r="P1009" s="91"/>
      <x:c r="Q1009" s="85"/>
      <x:c r="S1009" s="86"/>
      <x:c r="T1009" s="32"/>
    </x:row>
    <x:row r="1010">
      <x:c r="A1010" s="87"/>
      <x:c r="B1010" s="88"/>
      <x:c r="D1010" s="32"/>
      <x:c r="I1010" s="74"/>
      <x:c r="J1010" s="74"/>
      <x:c r="K1010" s="74"/>
      <x:c r="L1010" s="74"/>
      <x:c r="M1010" s="91"/>
      <x:c r="N1010" s="91"/>
      <x:c r="O1010" s="91"/>
      <x:c r="P1010" s="91"/>
      <x:c r="Q1010" s="85"/>
      <x:c r="S1010" s="86"/>
      <x:c r="T1010" s="32"/>
    </x:row>
    <x:row r="1011">
      <x:c r="A1011" s="87"/>
      <x:c r="B1011" s="88"/>
      <x:c r="D1011" s="32"/>
      <x:c r="I1011" s="74"/>
      <x:c r="J1011" s="74"/>
      <x:c r="K1011" s="74"/>
      <x:c r="L1011" s="74"/>
      <x:c r="M1011" s="91"/>
      <x:c r="N1011" s="91"/>
      <x:c r="O1011" s="91"/>
      <x:c r="P1011" s="91"/>
      <x:c r="Q1011" s="85"/>
      <x:c r="S1011" s="86"/>
      <x:c r="T1011" s="32"/>
    </x:row>
    <x:row r="1012">
      <x:c r="A1012" s="87"/>
      <x:c r="B1012" s="88"/>
      <x:c r="D1012" s="32"/>
      <x:c r="I1012" s="74"/>
      <x:c r="J1012" s="74"/>
      <x:c r="K1012" s="74"/>
      <x:c r="L1012" s="74"/>
      <x:c r="M1012" s="91"/>
      <x:c r="N1012" s="91"/>
      <x:c r="O1012" s="91"/>
      <x:c r="P1012" s="91"/>
      <x:c r="Q1012" s="85"/>
      <x:c r="S1012" s="86"/>
      <x:c r="T1012" s="32"/>
    </x:row>
    <x:row r="1013">
      <x:c r="A1013" s="87"/>
      <x:c r="B1013" s="88"/>
      <x:c r="D1013" s="32"/>
      <x:c r="I1013" s="74"/>
      <x:c r="J1013" s="74"/>
      <x:c r="K1013" s="74"/>
      <x:c r="L1013" s="74"/>
      <x:c r="M1013" s="91"/>
      <x:c r="N1013" s="91"/>
      <x:c r="O1013" s="91"/>
      <x:c r="P1013" s="91"/>
      <x:c r="Q1013" s="85"/>
      <x:c r="S1013" s="86"/>
      <x:c r="T1013" s="32"/>
    </x:row>
    <x:row r="1014">
      <x:c r="A1014" s="87"/>
      <x:c r="B1014" s="88"/>
      <x:c r="D1014" s="32"/>
      <x:c r="I1014" s="74"/>
      <x:c r="J1014" s="74"/>
      <x:c r="K1014" s="74"/>
      <x:c r="L1014" s="74"/>
      <x:c r="M1014" s="91"/>
      <x:c r="N1014" s="91"/>
      <x:c r="O1014" s="91"/>
      <x:c r="P1014" s="91"/>
      <x:c r="Q1014" s="85"/>
      <x:c r="S1014" s="86"/>
      <x:c r="T1014" s="32"/>
    </x:row>
    <x:row r="1015">
      <x:c r="A1015" s="87"/>
      <x:c r="B1015" s="88"/>
      <x:c r="D1015" s="32"/>
      <x:c r="I1015" s="74"/>
      <x:c r="J1015" s="74"/>
      <x:c r="K1015" s="74"/>
      <x:c r="L1015" s="74"/>
      <x:c r="M1015" s="91"/>
      <x:c r="N1015" s="91"/>
      <x:c r="O1015" s="91"/>
      <x:c r="P1015" s="91"/>
      <x:c r="Q1015" s="85"/>
      <x:c r="S1015" s="86"/>
      <x:c r="T1015" s="32"/>
    </x:row>
    <x:row r="1016">
      <x:c r="A1016" s="87"/>
      <x:c r="B1016" s="88"/>
      <x:c r="D1016" s="32"/>
      <x:c r="I1016" s="74"/>
      <x:c r="J1016" s="74"/>
      <x:c r="K1016" s="74"/>
      <x:c r="L1016" s="74"/>
      <x:c r="M1016" s="91"/>
      <x:c r="N1016" s="91"/>
      <x:c r="O1016" s="91"/>
      <x:c r="P1016" s="91"/>
      <x:c r="Q1016" s="85"/>
      <x:c r="S1016" s="86"/>
      <x:c r="T1016" s="32"/>
    </x:row>
    <x:row r="1017">
      <x:c r="A1017" s="87"/>
      <x:c r="B1017" s="88"/>
      <x:c r="D1017" s="32"/>
      <x:c r="I1017" s="74"/>
      <x:c r="J1017" s="74"/>
      <x:c r="K1017" s="74"/>
      <x:c r="L1017" s="74"/>
      <x:c r="M1017" s="91"/>
      <x:c r="N1017" s="91"/>
      <x:c r="O1017" s="91"/>
      <x:c r="P1017" s="91"/>
      <x:c r="Q1017" s="85"/>
      <x:c r="S1017" s="86"/>
      <x:c r="T1017" s="32"/>
    </x:row>
    <x:row r="1018">
      <x:c r="A1018" s="87"/>
      <x:c r="B1018" s="88"/>
      <x:c r="D1018" s="32"/>
      <x:c r="I1018" s="74"/>
      <x:c r="J1018" s="74"/>
      <x:c r="K1018" s="74"/>
      <x:c r="L1018" s="74"/>
      <x:c r="M1018" s="91"/>
      <x:c r="N1018" s="91"/>
      <x:c r="O1018" s="91"/>
      <x:c r="P1018" s="91"/>
      <x:c r="Q1018" s="85"/>
      <x:c r="S1018" s="86"/>
      <x:c r="T1018" s="32"/>
    </x:row>
    <x:row r="1019">
      <x:c r="A1019" s="87"/>
      <x:c r="B1019" s="88"/>
      <x:c r="D1019" s="32"/>
      <x:c r="I1019" s="74"/>
      <x:c r="J1019" s="74"/>
      <x:c r="K1019" s="74"/>
      <x:c r="L1019" s="74"/>
      <x:c r="M1019" s="91"/>
      <x:c r="N1019" s="91"/>
      <x:c r="O1019" s="91"/>
      <x:c r="P1019" s="91"/>
      <x:c r="Q1019" s="85"/>
      <x:c r="S1019" s="86"/>
      <x:c r="T1019" s="32"/>
    </x:row>
    <x:row r="1020">
      <x:c r="A1020" s="87"/>
      <x:c r="B1020" s="88"/>
      <x:c r="D1020" s="32"/>
      <x:c r="I1020" s="74"/>
      <x:c r="J1020" s="74"/>
      <x:c r="K1020" s="74"/>
      <x:c r="L1020" s="74"/>
      <x:c r="M1020" s="91"/>
      <x:c r="N1020" s="91"/>
      <x:c r="O1020" s="91"/>
      <x:c r="P1020" s="91"/>
      <x:c r="Q1020" s="85"/>
      <x:c r="S1020" s="86"/>
      <x:c r="T1020" s="32"/>
    </x:row>
    <x:row r="1021">
      <x:c r="A1021" s="87"/>
      <x:c r="B1021" s="88"/>
      <x:c r="D1021" s="32"/>
      <x:c r="I1021" s="74"/>
      <x:c r="J1021" s="74"/>
      <x:c r="K1021" s="74"/>
      <x:c r="L1021" s="74"/>
      <x:c r="M1021" s="91"/>
      <x:c r="N1021" s="91"/>
      <x:c r="O1021" s="91"/>
      <x:c r="P1021" s="91"/>
      <x:c r="Q1021" s="85"/>
      <x:c r="S1021" s="86"/>
      <x:c r="T1021" s="32"/>
    </x:row>
    <x:row r="1022">
      <x:c r="A1022" s="87"/>
      <x:c r="B1022" s="88"/>
      <x:c r="D1022" s="32"/>
      <x:c r="I1022" s="74"/>
      <x:c r="J1022" s="74"/>
      <x:c r="K1022" s="74"/>
      <x:c r="L1022" s="74"/>
      <x:c r="M1022" s="91"/>
      <x:c r="N1022" s="91"/>
      <x:c r="O1022" s="91"/>
      <x:c r="P1022" s="91"/>
      <x:c r="Q1022" s="85"/>
      <x:c r="S1022" s="86"/>
      <x:c r="T1022" s="32"/>
    </x:row>
    <x:row r="1023">
      <x:c r="A1023" s="87"/>
      <x:c r="B1023" s="88"/>
      <x:c r="D1023" s="32"/>
      <x:c r="I1023" s="74"/>
      <x:c r="J1023" s="74"/>
      <x:c r="K1023" s="74"/>
      <x:c r="L1023" s="74"/>
      <x:c r="M1023" s="91"/>
      <x:c r="N1023" s="91"/>
      <x:c r="O1023" s="91"/>
      <x:c r="P1023" s="91"/>
      <x:c r="Q1023" s="85"/>
      <x:c r="S1023" s="86"/>
      <x:c r="T1023" s="32"/>
    </x:row>
    <x:row r="1024">
      <x:c r="A1024" s="87"/>
      <x:c r="B1024" s="88"/>
      <x:c r="D1024" s="32"/>
      <x:c r="I1024" s="74"/>
      <x:c r="J1024" s="74"/>
      <x:c r="K1024" s="74"/>
      <x:c r="L1024" s="74"/>
      <x:c r="M1024" s="91"/>
      <x:c r="N1024" s="91"/>
      <x:c r="O1024" s="91"/>
      <x:c r="P1024" s="91"/>
      <x:c r="Q1024" s="85"/>
      <x:c r="S1024" s="86"/>
      <x:c r="T1024" s="32"/>
    </x:row>
    <x:row r="1025">
      <x:c r="A1025" s="87"/>
      <x:c r="B1025" s="88"/>
      <x:c r="D1025" s="32"/>
      <x:c r="I1025" s="74"/>
      <x:c r="J1025" s="74"/>
      <x:c r="K1025" s="74"/>
      <x:c r="L1025" s="74"/>
      <x:c r="M1025" s="91"/>
      <x:c r="N1025" s="91"/>
      <x:c r="O1025" s="91"/>
      <x:c r="P1025" s="91"/>
      <x:c r="Q1025" s="85"/>
      <x:c r="S1025" s="86"/>
      <x:c r="T1025" s="32"/>
    </x:row>
    <x:row r="1026">
      <x:c r="A1026" s="87"/>
      <x:c r="B1026" s="88"/>
      <x:c r="D1026" s="32"/>
      <x:c r="I1026" s="74"/>
      <x:c r="J1026" s="74"/>
      <x:c r="K1026" s="74"/>
      <x:c r="L1026" s="74"/>
      <x:c r="M1026" s="91"/>
      <x:c r="N1026" s="91"/>
      <x:c r="O1026" s="91"/>
      <x:c r="P1026" s="91"/>
      <x:c r="Q1026" s="85"/>
      <x:c r="S1026" s="86"/>
      <x:c r="T1026" s="32"/>
    </x:row>
    <x:row r="1027">
      <x:c r="A1027" s="87"/>
      <x:c r="B1027" s="88"/>
      <x:c r="D1027" s="32"/>
      <x:c r="I1027" s="74"/>
      <x:c r="J1027" s="74"/>
      <x:c r="K1027" s="74"/>
      <x:c r="L1027" s="74"/>
      <x:c r="M1027" s="91"/>
      <x:c r="N1027" s="91"/>
      <x:c r="O1027" s="91"/>
      <x:c r="P1027" s="91"/>
      <x:c r="Q1027" s="85"/>
      <x:c r="S1027" s="86"/>
      <x:c r="T1027" s="32"/>
    </x:row>
    <x:row r="1028">
      <x:c r="A1028" s="87"/>
      <x:c r="B1028" s="88"/>
      <x:c r="D1028" s="32"/>
      <x:c r="I1028" s="74"/>
      <x:c r="J1028" s="74"/>
      <x:c r="K1028" s="74"/>
      <x:c r="L1028" s="74"/>
      <x:c r="M1028" s="91"/>
      <x:c r="N1028" s="91"/>
      <x:c r="O1028" s="91"/>
      <x:c r="P1028" s="91"/>
      <x:c r="Q1028" s="85"/>
      <x:c r="S1028" s="86"/>
      <x:c r="T1028" s="32"/>
    </x:row>
    <x:row r="1029">
      <x:c r="A1029" s="87"/>
      <x:c r="B1029" s="88"/>
      <x:c r="D1029" s="32"/>
      <x:c r="I1029" s="74"/>
      <x:c r="J1029" s="74"/>
      <x:c r="K1029" s="74"/>
      <x:c r="L1029" s="74"/>
      <x:c r="M1029" s="91"/>
      <x:c r="N1029" s="91"/>
      <x:c r="O1029" s="91"/>
      <x:c r="P1029" s="91"/>
      <x:c r="Q1029" s="85"/>
      <x:c r="S1029" s="86"/>
      <x:c r="T1029" s="32"/>
    </x:row>
    <x:row r="1030">
      <x:c r="A1030" s="87"/>
      <x:c r="B1030" s="88"/>
      <x:c r="D1030" s="32"/>
      <x:c r="I1030" s="74"/>
      <x:c r="J1030" s="74"/>
      <x:c r="K1030" s="74"/>
      <x:c r="L1030" s="74"/>
      <x:c r="M1030" s="91"/>
      <x:c r="N1030" s="91"/>
      <x:c r="O1030" s="91"/>
      <x:c r="P1030" s="91"/>
      <x:c r="Q1030" s="85"/>
      <x:c r="S1030" s="86"/>
      <x:c r="T1030" s="32"/>
    </x:row>
    <x:row r="1031">
      <x:c r="A1031" s="87"/>
      <x:c r="B1031" s="88"/>
      <x:c r="D1031" s="32"/>
      <x:c r="I1031" s="74"/>
      <x:c r="J1031" s="74"/>
      <x:c r="K1031" s="74"/>
      <x:c r="L1031" s="74"/>
      <x:c r="M1031" s="91"/>
      <x:c r="N1031" s="91"/>
      <x:c r="O1031" s="91"/>
      <x:c r="P1031" s="91"/>
      <x:c r="Q1031" s="85"/>
      <x:c r="S1031" s="86"/>
      <x:c r="T1031" s="32"/>
    </x:row>
    <x:row r="1032">
      <x:c r="A1032" s="87"/>
      <x:c r="B1032" s="88"/>
      <x:c r="D1032" s="32"/>
      <x:c r="I1032" s="74"/>
      <x:c r="J1032" s="74"/>
      <x:c r="K1032" s="74"/>
      <x:c r="L1032" s="74"/>
      <x:c r="M1032" s="91"/>
      <x:c r="N1032" s="91"/>
      <x:c r="O1032" s="91"/>
      <x:c r="P1032" s="91"/>
      <x:c r="Q1032" s="85"/>
      <x:c r="S1032" s="86"/>
      <x:c r="T1032" s="32"/>
    </x:row>
    <x:row r="1033">
      <x:c r="A1033" s="87"/>
      <x:c r="B1033" s="88"/>
      <x:c r="D1033" s="32"/>
      <x:c r="I1033" s="74"/>
      <x:c r="J1033" s="74"/>
      <x:c r="K1033" s="74"/>
      <x:c r="L1033" s="74"/>
      <x:c r="M1033" s="91"/>
      <x:c r="N1033" s="91"/>
      <x:c r="O1033" s="91"/>
      <x:c r="P1033" s="91"/>
      <x:c r="Q1033" s="85"/>
      <x:c r="S1033" s="86"/>
      <x:c r="T1033" s="32"/>
    </x:row>
    <x:row r="1034">
      <x:c r="A1034" s="87"/>
      <x:c r="B1034" s="88"/>
      <x:c r="D1034" s="32"/>
      <x:c r="I1034" s="74"/>
      <x:c r="J1034" s="74"/>
      <x:c r="K1034" s="74"/>
      <x:c r="L1034" s="74"/>
      <x:c r="M1034" s="91"/>
      <x:c r="N1034" s="91"/>
      <x:c r="O1034" s="91"/>
      <x:c r="P1034" s="91"/>
      <x:c r="Q1034" s="85"/>
      <x:c r="S1034" s="86"/>
      <x:c r="T1034" s="32"/>
    </x:row>
    <x:row r="1035">
      <x:c r="A1035" s="87"/>
      <x:c r="B1035" s="88"/>
      <x:c r="D1035" s="32"/>
      <x:c r="I1035" s="74"/>
      <x:c r="J1035" s="74"/>
      <x:c r="K1035" s="74"/>
      <x:c r="L1035" s="74"/>
      <x:c r="M1035" s="91"/>
      <x:c r="N1035" s="91"/>
      <x:c r="O1035" s="91"/>
      <x:c r="P1035" s="91"/>
      <x:c r="Q1035" s="85"/>
      <x:c r="S1035" s="86"/>
      <x:c r="T1035" s="32"/>
    </x:row>
    <x:row r="1036">
      <x:c r="A1036" s="87"/>
      <x:c r="B1036" s="88"/>
      <x:c r="D1036" s="32"/>
      <x:c r="I1036" s="74"/>
      <x:c r="J1036" s="74"/>
      <x:c r="K1036" s="74"/>
      <x:c r="L1036" s="74"/>
      <x:c r="M1036" s="91"/>
      <x:c r="N1036" s="91"/>
      <x:c r="O1036" s="91"/>
      <x:c r="P1036" s="91"/>
      <x:c r="Q1036" s="85"/>
      <x:c r="S1036" s="86"/>
      <x:c r="T1036" s="32"/>
    </x:row>
    <x:row r="1037">
      <x:c r="A1037" s="87"/>
      <x:c r="B1037" s="88"/>
      <x:c r="D1037" s="32"/>
      <x:c r="I1037" s="74"/>
      <x:c r="J1037" s="74"/>
      <x:c r="K1037" s="74"/>
      <x:c r="L1037" s="74"/>
      <x:c r="M1037" s="91"/>
      <x:c r="N1037" s="91"/>
      <x:c r="O1037" s="91"/>
      <x:c r="P1037" s="91"/>
      <x:c r="Q1037" s="85"/>
      <x:c r="S1037" s="86"/>
      <x:c r="T1037" s="32"/>
    </x:row>
    <x:row r="1038">
      <x:c r="A1038" s="87"/>
      <x:c r="B1038" s="88"/>
      <x:c r="D1038" s="32"/>
      <x:c r="I1038" s="74"/>
      <x:c r="J1038" s="74"/>
      <x:c r="K1038" s="74"/>
      <x:c r="L1038" s="74"/>
      <x:c r="M1038" s="91"/>
      <x:c r="N1038" s="91"/>
      <x:c r="O1038" s="91"/>
      <x:c r="P1038" s="91"/>
      <x:c r="Q1038" s="85"/>
      <x:c r="S1038" s="86"/>
      <x:c r="T1038" s="32"/>
    </x:row>
    <x:row r="1039">
      <x:c r="A1039" s="87"/>
      <x:c r="B1039" s="88"/>
      <x:c r="D1039" s="32"/>
      <x:c r="I1039" s="74"/>
      <x:c r="J1039" s="74"/>
      <x:c r="K1039" s="74"/>
      <x:c r="L1039" s="74"/>
      <x:c r="M1039" s="91"/>
      <x:c r="N1039" s="91"/>
      <x:c r="O1039" s="91"/>
      <x:c r="P1039" s="91"/>
      <x:c r="Q1039" s="85"/>
      <x:c r="S1039" s="86"/>
      <x:c r="T1039" s="32"/>
    </x:row>
    <x:row r="1040">
      <x:c r="A1040" s="87"/>
      <x:c r="B1040" s="88"/>
      <x:c r="D1040" s="32"/>
      <x:c r="I1040" s="74"/>
      <x:c r="J1040" s="74"/>
      <x:c r="K1040" s="74"/>
      <x:c r="L1040" s="74"/>
      <x:c r="M1040" s="91"/>
      <x:c r="N1040" s="91"/>
      <x:c r="O1040" s="91"/>
      <x:c r="P1040" s="91"/>
      <x:c r="Q1040" s="85"/>
      <x:c r="S1040" s="86"/>
      <x:c r="T1040" s="32"/>
    </x:row>
    <x:row r="1041">
      <x:c r="A1041" s="87"/>
      <x:c r="B1041" s="88"/>
      <x:c r="D1041" s="32"/>
      <x:c r="I1041" s="74"/>
      <x:c r="J1041" s="74"/>
      <x:c r="K1041" s="74"/>
      <x:c r="L1041" s="74"/>
      <x:c r="M1041" s="91"/>
      <x:c r="N1041" s="91"/>
      <x:c r="O1041" s="91"/>
      <x:c r="P1041" s="91"/>
      <x:c r="Q1041" s="85"/>
      <x:c r="S1041" s="86"/>
      <x:c r="T1041" s="32"/>
    </x:row>
    <x:row r="1042">
      <x:c r="A1042" s="87"/>
      <x:c r="B1042" s="88"/>
      <x:c r="D1042" s="32"/>
      <x:c r="I1042" s="74"/>
      <x:c r="J1042" s="74"/>
      <x:c r="K1042" s="74"/>
      <x:c r="L1042" s="74"/>
      <x:c r="M1042" s="91"/>
      <x:c r="N1042" s="91"/>
      <x:c r="O1042" s="91"/>
      <x:c r="P1042" s="91"/>
      <x:c r="Q1042" s="85"/>
      <x:c r="S1042" s="86"/>
      <x:c r="T1042" s="32"/>
    </x:row>
    <x:row r="1043">
      <x:c r="A1043" s="87"/>
      <x:c r="B1043" s="88"/>
      <x:c r="D1043" s="32"/>
      <x:c r="I1043" s="74"/>
      <x:c r="J1043" s="74"/>
      <x:c r="K1043" s="74"/>
      <x:c r="L1043" s="74"/>
      <x:c r="M1043" s="91"/>
      <x:c r="N1043" s="91"/>
      <x:c r="O1043" s="91"/>
      <x:c r="P1043" s="91"/>
      <x:c r="Q1043" s="85"/>
      <x:c r="S1043" s="86"/>
      <x:c r="T1043" s="32"/>
    </x:row>
    <x:row r="1044">
      <x:c r="A1044" s="87"/>
      <x:c r="B1044" s="88"/>
      <x:c r="D1044" s="32"/>
      <x:c r="I1044" s="74"/>
      <x:c r="J1044" s="74"/>
      <x:c r="K1044" s="74"/>
      <x:c r="L1044" s="74"/>
      <x:c r="M1044" s="91"/>
      <x:c r="N1044" s="91"/>
      <x:c r="O1044" s="91"/>
      <x:c r="P1044" s="91"/>
      <x:c r="Q1044" s="85"/>
      <x:c r="S1044" s="86"/>
      <x:c r="T1044" s="32"/>
    </x:row>
    <x:row r="1045">
      <x:c r="A1045" s="87"/>
      <x:c r="B1045" s="88"/>
      <x:c r="D1045" s="32"/>
      <x:c r="I1045" s="74"/>
      <x:c r="J1045" s="74"/>
      <x:c r="K1045" s="74"/>
      <x:c r="L1045" s="74"/>
      <x:c r="M1045" s="91"/>
      <x:c r="N1045" s="91"/>
      <x:c r="O1045" s="91"/>
      <x:c r="P1045" s="91"/>
      <x:c r="Q1045" s="85"/>
      <x:c r="S1045" s="86"/>
      <x:c r="T1045" s="32"/>
    </x:row>
    <x:row r="1046">
      <x:c r="A1046" s="87"/>
      <x:c r="B1046" s="88"/>
      <x:c r="D1046" s="32"/>
      <x:c r="I1046" s="74"/>
      <x:c r="J1046" s="74"/>
      <x:c r="K1046" s="74"/>
      <x:c r="L1046" s="74"/>
      <x:c r="M1046" s="91"/>
      <x:c r="N1046" s="91"/>
      <x:c r="O1046" s="91"/>
      <x:c r="P1046" s="91"/>
      <x:c r="Q1046" s="85"/>
      <x:c r="S1046" s="86"/>
      <x:c r="T1046" s="32"/>
    </x:row>
    <x:row r="1047">
      <x:c r="A1047" s="87"/>
      <x:c r="B1047" s="88"/>
      <x:c r="D1047" s="32"/>
      <x:c r="I1047" s="74"/>
      <x:c r="J1047" s="74"/>
      <x:c r="K1047" s="74"/>
      <x:c r="L1047" s="74"/>
      <x:c r="M1047" s="91"/>
      <x:c r="N1047" s="91"/>
      <x:c r="O1047" s="91"/>
      <x:c r="P1047" s="91"/>
      <x:c r="Q1047" s="85"/>
      <x:c r="S1047" s="86"/>
      <x:c r="T1047" s="32"/>
    </x:row>
    <x:row r="1048">
      <x:c r="A1048" s="87"/>
      <x:c r="B1048" s="88"/>
      <x:c r="D1048" s="32"/>
      <x:c r="I1048" s="74"/>
      <x:c r="J1048" s="74"/>
      <x:c r="K1048" s="74"/>
      <x:c r="L1048" s="74"/>
      <x:c r="M1048" s="91"/>
      <x:c r="N1048" s="91"/>
      <x:c r="O1048" s="91"/>
      <x:c r="P1048" s="91"/>
      <x:c r="Q1048" s="85"/>
      <x:c r="S1048" s="86"/>
      <x:c r="T1048" s="32"/>
    </x:row>
    <x:row r="1049">
      <x:c r="A1049" s="87"/>
      <x:c r="B1049" s="88"/>
      <x:c r="D1049" s="32"/>
      <x:c r="I1049" s="74"/>
      <x:c r="J1049" s="74"/>
      <x:c r="K1049" s="74"/>
      <x:c r="L1049" s="74"/>
      <x:c r="M1049" s="91"/>
      <x:c r="N1049" s="91"/>
      <x:c r="O1049" s="91"/>
      <x:c r="P1049" s="91"/>
      <x:c r="Q1049" s="85"/>
      <x:c r="S1049" s="86"/>
      <x:c r="T1049" s="32"/>
    </x:row>
    <x:row r="1050">
      <x:c r="A1050" s="87"/>
      <x:c r="B1050" s="88"/>
      <x:c r="D1050" s="32"/>
      <x:c r="I1050" s="74"/>
      <x:c r="J1050" s="74"/>
      <x:c r="K1050" s="74"/>
      <x:c r="L1050" s="74"/>
      <x:c r="M1050" s="91"/>
      <x:c r="N1050" s="91"/>
      <x:c r="O1050" s="91"/>
      <x:c r="P1050" s="91"/>
      <x:c r="Q1050" s="85"/>
      <x:c r="S1050" s="86"/>
      <x:c r="T1050" s="32"/>
    </x:row>
    <x:row r="1051">
      <x:c r="A1051" s="87"/>
      <x:c r="B1051" s="88"/>
      <x:c r="D1051" s="32"/>
      <x:c r="I1051" s="74"/>
      <x:c r="J1051" s="74"/>
      <x:c r="K1051" s="74"/>
      <x:c r="L1051" s="74"/>
      <x:c r="M1051" s="91"/>
      <x:c r="N1051" s="91"/>
      <x:c r="O1051" s="91"/>
      <x:c r="P1051" s="91"/>
      <x:c r="Q1051" s="85"/>
      <x:c r="S1051" s="86"/>
      <x:c r="T1051" s="32"/>
    </x:row>
    <x:row r="1052">
      <x:c r="A1052" s="87"/>
      <x:c r="B1052" s="88"/>
      <x:c r="D1052" s="32"/>
      <x:c r="I1052" s="74"/>
      <x:c r="J1052" s="74"/>
      <x:c r="K1052" s="74"/>
      <x:c r="L1052" s="74"/>
      <x:c r="M1052" s="91"/>
      <x:c r="N1052" s="91"/>
      <x:c r="O1052" s="91"/>
      <x:c r="P1052" s="91"/>
      <x:c r="Q1052" s="85"/>
      <x:c r="S1052" s="86"/>
      <x:c r="T1052" s="32"/>
    </x:row>
    <x:row r="1053">
      <x:c r="A1053" s="87"/>
      <x:c r="B1053" s="88"/>
      <x:c r="D1053" s="32"/>
      <x:c r="I1053" s="74"/>
      <x:c r="J1053" s="74"/>
      <x:c r="K1053" s="74"/>
      <x:c r="L1053" s="74"/>
      <x:c r="M1053" s="91"/>
      <x:c r="N1053" s="91"/>
      <x:c r="O1053" s="91"/>
      <x:c r="P1053" s="91"/>
      <x:c r="Q1053" s="85"/>
      <x:c r="S1053" s="86"/>
      <x:c r="T1053" s="32"/>
    </x:row>
    <x:row r="1054">
      <x:c r="A1054" s="87"/>
      <x:c r="B1054" s="88"/>
      <x:c r="D1054" s="32"/>
      <x:c r="I1054" s="74"/>
      <x:c r="J1054" s="74"/>
      <x:c r="K1054" s="74"/>
      <x:c r="L1054" s="74"/>
      <x:c r="M1054" s="91"/>
      <x:c r="N1054" s="91"/>
      <x:c r="O1054" s="91"/>
      <x:c r="P1054" s="91"/>
      <x:c r="Q1054" s="85"/>
      <x:c r="S1054" s="86"/>
      <x:c r="T1054" s="32"/>
    </x:row>
    <x:row r="1055">
      <x:c r="A1055" s="87"/>
      <x:c r="B1055" s="88"/>
      <x:c r="D1055" s="32"/>
      <x:c r="I1055" s="74"/>
      <x:c r="J1055" s="74"/>
      <x:c r="K1055" s="74"/>
      <x:c r="L1055" s="74"/>
      <x:c r="M1055" s="91"/>
      <x:c r="N1055" s="91"/>
      <x:c r="O1055" s="91"/>
      <x:c r="P1055" s="91"/>
      <x:c r="Q1055" s="85"/>
      <x:c r="S1055" s="86"/>
      <x:c r="T1055" s="32"/>
    </x:row>
    <x:row r="1056">
      <x:c r="A1056" s="87"/>
      <x:c r="B1056" s="88"/>
      <x:c r="D1056" s="32"/>
      <x:c r="I1056" s="74"/>
      <x:c r="J1056" s="74"/>
      <x:c r="K1056" s="74"/>
      <x:c r="L1056" s="74"/>
      <x:c r="M1056" s="91"/>
      <x:c r="N1056" s="91"/>
      <x:c r="O1056" s="91"/>
      <x:c r="P1056" s="91"/>
      <x:c r="Q1056" s="85"/>
      <x:c r="S1056" s="86"/>
      <x:c r="T1056" s="32"/>
    </x:row>
    <x:row r="1057">
      <x:c r="A1057" s="87"/>
      <x:c r="B1057" s="88"/>
      <x:c r="D1057" s="32"/>
      <x:c r="I1057" s="74"/>
      <x:c r="J1057" s="74"/>
      <x:c r="K1057" s="74"/>
      <x:c r="L1057" s="74"/>
      <x:c r="M1057" s="91"/>
      <x:c r="N1057" s="91"/>
      <x:c r="O1057" s="91"/>
      <x:c r="P1057" s="91"/>
      <x:c r="Q1057" s="85"/>
      <x:c r="S1057" s="86"/>
      <x:c r="T1057" s="32"/>
    </x:row>
    <x:row r="1058">
      <x:c r="A1058" s="87"/>
      <x:c r="B1058" s="88"/>
      <x:c r="D1058" s="32"/>
      <x:c r="I1058" s="74"/>
      <x:c r="J1058" s="74"/>
      <x:c r="K1058" s="74"/>
      <x:c r="L1058" s="74"/>
      <x:c r="M1058" s="91"/>
      <x:c r="N1058" s="91"/>
      <x:c r="O1058" s="91"/>
      <x:c r="P1058" s="91"/>
      <x:c r="Q1058" s="85"/>
      <x:c r="S1058" s="86"/>
      <x:c r="T1058" s="32"/>
    </x:row>
    <x:row r="1059">
      <x:c r="A1059" s="87"/>
      <x:c r="B1059" s="88"/>
      <x:c r="D1059" s="32"/>
      <x:c r="I1059" s="74"/>
      <x:c r="J1059" s="74"/>
      <x:c r="K1059" s="74"/>
      <x:c r="L1059" s="74"/>
      <x:c r="M1059" s="91"/>
      <x:c r="N1059" s="91"/>
      <x:c r="O1059" s="91"/>
      <x:c r="P1059" s="91"/>
      <x:c r="Q1059" s="85"/>
      <x:c r="S1059" s="86"/>
      <x:c r="T1059" s="32"/>
    </x:row>
    <x:row r="1060">
      <x:c r="A1060" s="87"/>
      <x:c r="B1060" s="88"/>
      <x:c r="D1060" s="32"/>
      <x:c r="I1060" s="74"/>
      <x:c r="J1060" s="74"/>
      <x:c r="K1060" s="74"/>
      <x:c r="L1060" s="74"/>
      <x:c r="M1060" s="91"/>
      <x:c r="N1060" s="91"/>
      <x:c r="O1060" s="91"/>
      <x:c r="P1060" s="91"/>
      <x:c r="Q1060" s="85"/>
      <x:c r="S1060" s="86"/>
      <x:c r="T1060" s="32"/>
    </x:row>
    <x:row r="1061">
      <x:c r="A1061" s="87"/>
      <x:c r="B1061" s="88"/>
      <x:c r="D1061" s="32"/>
      <x:c r="I1061" s="74"/>
      <x:c r="J1061" s="74"/>
      <x:c r="K1061" s="74"/>
      <x:c r="L1061" s="74"/>
      <x:c r="M1061" s="91"/>
      <x:c r="N1061" s="91"/>
      <x:c r="O1061" s="91"/>
      <x:c r="P1061" s="91"/>
      <x:c r="Q1061" s="85"/>
      <x:c r="S1061" s="86"/>
      <x:c r="T1061" s="32"/>
    </x:row>
    <x:row r="1062">
      <x:c r="A1062" s="87"/>
      <x:c r="B1062" s="88"/>
      <x:c r="D1062" s="32"/>
      <x:c r="I1062" s="74"/>
      <x:c r="J1062" s="74"/>
      <x:c r="K1062" s="74"/>
      <x:c r="L1062" s="74"/>
      <x:c r="M1062" s="91"/>
      <x:c r="N1062" s="91"/>
      <x:c r="O1062" s="91"/>
      <x:c r="P1062" s="91"/>
      <x:c r="Q1062" s="85"/>
      <x:c r="S1062" s="86"/>
      <x:c r="T1062" s="32"/>
    </x:row>
    <x:row r="1063">
      <x:c r="A1063" s="87"/>
      <x:c r="B1063" s="88"/>
      <x:c r="D1063" s="32"/>
      <x:c r="I1063" s="74"/>
      <x:c r="J1063" s="74"/>
      <x:c r="K1063" s="74"/>
      <x:c r="L1063" s="74"/>
      <x:c r="M1063" s="91"/>
      <x:c r="N1063" s="91"/>
      <x:c r="O1063" s="91"/>
      <x:c r="P1063" s="91"/>
      <x:c r="Q1063" s="85"/>
      <x:c r="S1063" s="86"/>
      <x:c r="T1063" s="32"/>
    </x:row>
    <x:row r="1064">
      <x:c r="A1064" s="87"/>
      <x:c r="B1064" s="88"/>
      <x:c r="D1064" s="32"/>
      <x:c r="I1064" s="74"/>
      <x:c r="J1064" s="74"/>
      <x:c r="K1064" s="74"/>
      <x:c r="L1064" s="74"/>
      <x:c r="M1064" s="91"/>
      <x:c r="N1064" s="91"/>
      <x:c r="O1064" s="91"/>
      <x:c r="P1064" s="91"/>
      <x:c r="Q1064" s="85"/>
      <x:c r="S1064" s="86"/>
      <x:c r="T1064" s="32"/>
    </x:row>
    <x:row r="1065">
      <x:c r="A1065" s="87"/>
      <x:c r="B1065" s="88"/>
      <x:c r="D1065" s="32"/>
      <x:c r="I1065" s="74"/>
      <x:c r="J1065" s="74"/>
      <x:c r="K1065" s="74"/>
      <x:c r="L1065" s="74"/>
      <x:c r="M1065" s="91"/>
      <x:c r="N1065" s="91"/>
      <x:c r="O1065" s="91"/>
      <x:c r="P1065" s="91"/>
      <x:c r="Q1065" s="85"/>
      <x:c r="S1065" s="86"/>
      <x:c r="T1065" s="32"/>
    </x:row>
    <x:row r="1066">
      <x:c r="A1066" s="87"/>
      <x:c r="B1066" s="88"/>
      <x:c r="D1066" s="32"/>
      <x:c r="I1066" s="74"/>
      <x:c r="J1066" s="74"/>
      <x:c r="K1066" s="74"/>
      <x:c r="L1066" s="74"/>
      <x:c r="M1066" s="91"/>
      <x:c r="N1066" s="91"/>
      <x:c r="O1066" s="91"/>
      <x:c r="P1066" s="91"/>
      <x:c r="Q1066" s="85"/>
      <x:c r="S1066" s="86"/>
      <x:c r="T1066" s="32"/>
    </x:row>
    <x:row r="1067">
      <x:c r="A1067" s="87"/>
      <x:c r="B1067" s="88"/>
      <x:c r="D1067" s="32"/>
      <x:c r="I1067" s="74"/>
      <x:c r="J1067" s="74"/>
      <x:c r="K1067" s="74"/>
      <x:c r="L1067" s="74"/>
      <x:c r="M1067" s="91"/>
      <x:c r="N1067" s="91"/>
      <x:c r="O1067" s="91"/>
      <x:c r="P1067" s="91"/>
      <x:c r="Q1067" s="85"/>
      <x:c r="S1067" s="86"/>
      <x:c r="T1067" s="32"/>
    </x:row>
    <x:row r="1068">
      <x:c r="A1068" s="87"/>
      <x:c r="B1068" s="88"/>
      <x:c r="D1068" s="32"/>
      <x:c r="I1068" s="74"/>
      <x:c r="J1068" s="74"/>
      <x:c r="K1068" s="74"/>
      <x:c r="L1068" s="74"/>
      <x:c r="M1068" s="91"/>
      <x:c r="N1068" s="91"/>
      <x:c r="O1068" s="91"/>
      <x:c r="P1068" s="91"/>
      <x:c r="Q1068" s="85"/>
      <x:c r="S1068" s="86"/>
      <x:c r="T1068" s="32"/>
    </x:row>
    <x:row r="1069">
      <x:c r="A1069" s="87"/>
      <x:c r="B1069" s="88"/>
      <x:c r="D1069" s="32"/>
      <x:c r="I1069" s="74"/>
      <x:c r="J1069" s="74"/>
      <x:c r="K1069" s="74"/>
      <x:c r="L1069" s="74"/>
      <x:c r="M1069" s="91"/>
      <x:c r="N1069" s="91"/>
      <x:c r="O1069" s="91"/>
      <x:c r="P1069" s="91"/>
      <x:c r="Q1069" s="85"/>
      <x:c r="S1069" s="86"/>
      <x:c r="T1069" s="32"/>
    </x:row>
    <x:row r="1070">
      <x:c r="A1070" s="87"/>
      <x:c r="B1070" s="88"/>
      <x:c r="D1070" s="32"/>
      <x:c r="I1070" s="74"/>
      <x:c r="J1070" s="74"/>
      <x:c r="K1070" s="74"/>
      <x:c r="L1070" s="74"/>
      <x:c r="M1070" s="91"/>
      <x:c r="N1070" s="91"/>
      <x:c r="O1070" s="91"/>
      <x:c r="P1070" s="91"/>
      <x:c r="Q1070" s="85"/>
      <x:c r="S1070" s="86"/>
      <x:c r="T1070" s="32"/>
    </x:row>
    <x:row r="1071">
      <x:c r="A1071" s="87"/>
      <x:c r="B1071" s="88"/>
      <x:c r="D1071" s="32"/>
      <x:c r="I1071" s="74"/>
      <x:c r="J1071" s="74"/>
      <x:c r="K1071" s="74"/>
      <x:c r="L1071" s="74"/>
      <x:c r="M1071" s="91"/>
      <x:c r="N1071" s="91"/>
      <x:c r="O1071" s="91"/>
      <x:c r="P1071" s="91"/>
      <x:c r="Q1071" s="85"/>
      <x:c r="S1071" s="86"/>
      <x:c r="T1071" s="32"/>
    </x:row>
    <x:row r="1072">
      <x:c r="A1072" s="87"/>
      <x:c r="B1072" s="88"/>
      <x:c r="D1072" s="32"/>
      <x:c r="I1072" s="74"/>
      <x:c r="J1072" s="74"/>
      <x:c r="K1072" s="74"/>
      <x:c r="L1072" s="74"/>
      <x:c r="M1072" s="91"/>
      <x:c r="N1072" s="91"/>
      <x:c r="O1072" s="91"/>
      <x:c r="P1072" s="91"/>
      <x:c r="Q1072" s="85"/>
      <x:c r="S1072" s="86"/>
      <x:c r="T1072" s="32"/>
    </x:row>
    <x:row r="1073">
      <x:c r="A1073" s="87"/>
      <x:c r="B1073" s="88"/>
      <x:c r="D1073" s="32"/>
      <x:c r="I1073" s="74"/>
      <x:c r="J1073" s="74"/>
      <x:c r="K1073" s="74"/>
      <x:c r="L1073" s="74"/>
      <x:c r="M1073" s="91"/>
      <x:c r="N1073" s="91"/>
      <x:c r="O1073" s="91"/>
      <x:c r="P1073" s="91"/>
      <x:c r="Q1073" s="85"/>
      <x:c r="S1073" s="86"/>
      <x:c r="T1073" s="32"/>
    </x:row>
    <x:row r="1074">
      <x:c r="A1074" s="87"/>
      <x:c r="B1074" s="88"/>
      <x:c r="D1074" s="32"/>
      <x:c r="I1074" s="74"/>
      <x:c r="J1074" s="74"/>
      <x:c r="K1074" s="74"/>
      <x:c r="L1074" s="74"/>
      <x:c r="M1074" s="91"/>
      <x:c r="N1074" s="91"/>
      <x:c r="O1074" s="91"/>
      <x:c r="P1074" s="91"/>
      <x:c r="Q1074" s="85"/>
      <x:c r="S1074" s="86"/>
      <x:c r="T1074" s="32"/>
    </x:row>
    <x:row r="1075">
      <x:c r="A1075" s="87"/>
      <x:c r="B1075" s="88"/>
      <x:c r="D1075" s="32"/>
      <x:c r="I1075" s="74"/>
      <x:c r="J1075" s="74"/>
      <x:c r="K1075" s="74"/>
      <x:c r="L1075" s="74"/>
      <x:c r="M1075" s="91"/>
      <x:c r="N1075" s="91"/>
      <x:c r="O1075" s="91"/>
      <x:c r="P1075" s="91"/>
      <x:c r="Q1075" s="85"/>
      <x:c r="S1075" s="86"/>
      <x:c r="T1075" s="32"/>
    </x:row>
    <x:row r="1076">
      <x:c r="A1076" s="87"/>
      <x:c r="B1076" s="88"/>
      <x:c r="D1076" s="32"/>
      <x:c r="I1076" s="74"/>
      <x:c r="J1076" s="74"/>
      <x:c r="K1076" s="74"/>
      <x:c r="L1076" s="74"/>
      <x:c r="M1076" s="91"/>
      <x:c r="N1076" s="91"/>
      <x:c r="O1076" s="91"/>
      <x:c r="P1076" s="91"/>
      <x:c r="Q1076" s="85"/>
      <x:c r="S1076" s="86"/>
      <x:c r="T1076" s="32"/>
    </x:row>
    <x:row r="1077">
      <x:c r="A1077" s="87"/>
      <x:c r="B1077" s="88"/>
      <x:c r="D1077" s="32"/>
      <x:c r="I1077" s="74"/>
      <x:c r="J1077" s="74"/>
      <x:c r="K1077" s="74"/>
      <x:c r="L1077" s="74"/>
      <x:c r="M1077" s="91"/>
      <x:c r="N1077" s="91"/>
      <x:c r="O1077" s="91"/>
      <x:c r="P1077" s="91"/>
      <x:c r="Q1077" s="85"/>
      <x:c r="S1077" s="86"/>
      <x:c r="T1077" s="32"/>
    </x:row>
    <x:row r="1078">
      <x:c r="A1078" s="87"/>
      <x:c r="B1078" s="88"/>
      <x:c r="D1078" s="32"/>
      <x:c r="I1078" s="74"/>
      <x:c r="J1078" s="74"/>
      <x:c r="K1078" s="74"/>
      <x:c r="L1078" s="74"/>
      <x:c r="M1078" s="91"/>
      <x:c r="N1078" s="91"/>
      <x:c r="O1078" s="91"/>
      <x:c r="P1078" s="91"/>
      <x:c r="Q1078" s="85"/>
      <x:c r="S1078" s="86"/>
      <x:c r="T1078" s="32"/>
    </x:row>
    <x:row r="1079">
      <x:c r="A1079" s="87"/>
      <x:c r="B1079" s="88"/>
      <x:c r="D1079" s="32"/>
      <x:c r="I1079" s="74"/>
      <x:c r="J1079" s="74"/>
      <x:c r="K1079" s="74"/>
      <x:c r="L1079" s="74"/>
      <x:c r="M1079" s="91"/>
      <x:c r="N1079" s="91"/>
      <x:c r="O1079" s="91"/>
      <x:c r="P1079" s="91"/>
      <x:c r="Q1079" s="85"/>
      <x:c r="S1079" s="86"/>
      <x:c r="T1079" s="32"/>
    </x:row>
    <x:row r="1080">
      <x:c r="A1080" s="87"/>
      <x:c r="B1080" s="88"/>
      <x:c r="D1080" s="32"/>
      <x:c r="I1080" s="74"/>
      <x:c r="J1080" s="74"/>
      <x:c r="K1080" s="74"/>
      <x:c r="L1080" s="74"/>
      <x:c r="M1080" s="91"/>
      <x:c r="N1080" s="91"/>
      <x:c r="O1080" s="91"/>
      <x:c r="P1080" s="91"/>
      <x:c r="Q1080" s="85"/>
      <x:c r="S1080" s="86"/>
      <x:c r="T1080" s="32"/>
    </x:row>
    <x:row r="1081">
      <x:c r="A1081" s="87"/>
      <x:c r="B1081" s="88"/>
      <x:c r="D1081" s="32"/>
      <x:c r="I1081" s="74"/>
      <x:c r="J1081" s="74"/>
      <x:c r="K1081" s="74"/>
      <x:c r="L1081" s="74"/>
      <x:c r="M1081" s="91"/>
      <x:c r="N1081" s="91"/>
      <x:c r="O1081" s="91"/>
      <x:c r="P1081" s="91"/>
      <x:c r="Q1081" s="85"/>
      <x:c r="S1081" s="86"/>
      <x:c r="T1081" s="32"/>
    </x:row>
    <x:row r="1082">
      <x:c r="A1082" s="87"/>
      <x:c r="B1082" s="88"/>
      <x:c r="D1082" s="32"/>
      <x:c r="I1082" s="74"/>
      <x:c r="J1082" s="74"/>
      <x:c r="K1082" s="74"/>
      <x:c r="L1082" s="74"/>
      <x:c r="M1082" s="91"/>
      <x:c r="N1082" s="91"/>
      <x:c r="O1082" s="91"/>
      <x:c r="P1082" s="91"/>
      <x:c r="Q1082" s="85"/>
      <x:c r="S1082" s="86"/>
      <x:c r="T1082" s="32"/>
    </x:row>
    <x:row r="1083">
      <x:c r="A1083" s="87"/>
      <x:c r="B1083" s="88"/>
      <x:c r="D1083" s="32"/>
      <x:c r="I1083" s="74"/>
      <x:c r="J1083" s="74"/>
      <x:c r="K1083" s="74"/>
      <x:c r="L1083" s="74"/>
      <x:c r="M1083" s="91"/>
      <x:c r="N1083" s="91"/>
      <x:c r="O1083" s="91"/>
      <x:c r="P1083" s="91"/>
      <x:c r="Q1083" s="85"/>
      <x:c r="S1083" s="86"/>
      <x:c r="T1083" s="32"/>
    </x:row>
    <x:row r="1084">
      <x:c r="A1084" s="87"/>
      <x:c r="B1084" s="88"/>
      <x:c r="D1084" s="32"/>
      <x:c r="I1084" s="74"/>
      <x:c r="J1084" s="74"/>
      <x:c r="K1084" s="74"/>
      <x:c r="L1084" s="74"/>
      <x:c r="M1084" s="91"/>
      <x:c r="N1084" s="91"/>
      <x:c r="O1084" s="91"/>
      <x:c r="P1084" s="91"/>
      <x:c r="Q1084" s="85"/>
      <x:c r="S1084" s="86"/>
      <x:c r="T1084" s="32"/>
    </x:row>
    <x:row r="1085">
      <x:c r="A1085" s="87"/>
      <x:c r="B1085" s="88"/>
      <x:c r="D1085" s="32"/>
      <x:c r="I1085" s="74"/>
      <x:c r="J1085" s="74"/>
      <x:c r="K1085" s="74"/>
      <x:c r="L1085" s="74"/>
      <x:c r="M1085" s="91"/>
      <x:c r="N1085" s="91"/>
      <x:c r="O1085" s="91"/>
      <x:c r="P1085" s="91"/>
      <x:c r="Q1085" s="85"/>
      <x:c r="S1085" s="86"/>
      <x:c r="T1085" s="32"/>
    </x:row>
    <x:row r="1086">
      <x:c r="A1086" s="87"/>
      <x:c r="B1086" s="88"/>
      <x:c r="D1086" s="32"/>
      <x:c r="I1086" s="74"/>
      <x:c r="J1086" s="74"/>
      <x:c r="K1086" s="74"/>
      <x:c r="L1086" s="74"/>
      <x:c r="M1086" s="91"/>
      <x:c r="N1086" s="91"/>
      <x:c r="O1086" s="91"/>
      <x:c r="P1086" s="91"/>
      <x:c r="Q1086" s="85"/>
      <x:c r="S1086" s="86"/>
      <x:c r="T1086" s="32"/>
    </x:row>
    <x:row r="1087">
      <x:c r="A1087" s="87"/>
      <x:c r="B1087" s="88"/>
      <x:c r="D1087" s="32"/>
      <x:c r="I1087" s="74"/>
      <x:c r="J1087" s="74"/>
      <x:c r="K1087" s="74"/>
      <x:c r="L1087" s="74"/>
      <x:c r="M1087" s="91"/>
      <x:c r="N1087" s="91"/>
      <x:c r="O1087" s="91"/>
      <x:c r="P1087" s="91"/>
      <x:c r="Q1087" s="85"/>
      <x:c r="S1087" s="86"/>
      <x:c r="T1087" s="32"/>
    </x:row>
    <x:row r="1088">
      <x:c r="A1088" s="87"/>
      <x:c r="B1088" s="88"/>
      <x:c r="D1088" s="32"/>
      <x:c r="I1088" s="74"/>
      <x:c r="J1088" s="74"/>
      <x:c r="K1088" s="74"/>
      <x:c r="L1088" s="74"/>
      <x:c r="M1088" s="91"/>
      <x:c r="N1088" s="91"/>
      <x:c r="O1088" s="91"/>
      <x:c r="P1088" s="91"/>
      <x:c r="Q1088" s="85"/>
      <x:c r="S1088" s="86"/>
      <x:c r="T1088" s="32"/>
    </x:row>
    <x:row r="1089">
      <x:c r="A1089" s="87"/>
      <x:c r="B1089" s="88"/>
      <x:c r="D1089" s="32"/>
      <x:c r="I1089" s="74"/>
      <x:c r="J1089" s="74"/>
      <x:c r="K1089" s="74"/>
      <x:c r="L1089" s="74"/>
      <x:c r="M1089" s="91"/>
      <x:c r="N1089" s="91"/>
      <x:c r="O1089" s="91"/>
      <x:c r="P1089" s="91"/>
      <x:c r="Q1089" s="85"/>
      <x:c r="S1089" s="86"/>
      <x:c r="T1089" s="32"/>
    </x:row>
    <x:row r="1090">
      <x:c r="A1090" s="87"/>
      <x:c r="B1090" s="88"/>
      <x:c r="D1090" s="32"/>
      <x:c r="I1090" s="74"/>
      <x:c r="J1090" s="74"/>
      <x:c r="K1090" s="74"/>
      <x:c r="L1090" s="74"/>
      <x:c r="M1090" s="91"/>
      <x:c r="N1090" s="91"/>
      <x:c r="O1090" s="91"/>
      <x:c r="P1090" s="91"/>
      <x:c r="Q1090" s="85"/>
      <x:c r="S1090" s="86"/>
      <x:c r="T1090" s="32"/>
    </x:row>
    <x:row r="1091">
      <x:c r="A1091" s="87"/>
      <x:c r="B1091" s="88"/>
      <x:c r="D1091" s="32"/>
      <x:c r="I1091" s="74"/>
      <x:c r="J1091" s="74"/>
      <x:c r="K1091" s="74"/>
      <x:c r="L1091" s="74"/>
      <x:c r="M1091" s="91"/>
      <x:c r="N1091" s="91"/>
      <x:c r="O1091" s="91"/>
      <x:c r="P1091" s="91"/>
      <x:c r="Q1091" s="85"/>
      <x:c r="S1091" s="86"/>
      <x:c r="T1091" s="32"/>
    </x:row>
    <x:row r="1092">
      <x:c r="A1092" s="87"/>
      <x:c r="B1092" s="88"/>
      <x:c r="D1092" s="32"/>
      <x:c r="I1092" s="74"/>
      <x:c r="J1092" s="74"/>
      <x:c r="K1092" s="74"/>
      <x:c r="L1092" s="74"/>
      <x:c r="M1092" s="91"/>
      <x:c r="N1092" s="91"/>
      <x:c r="O1092" s="91"/>
      <x:c r="P1092" s="91"/>
      <x:c r="Q1092" s="85"/>
      <x:c r="S1092" s="86"/>
      <x:c r="T1092" s="32"/>
    </x:row>
    <x:row r="1093">
      <x:c r="A1093" s="87"/>
      <x:c r="B1093" s="88"/>
      <x:c r="D1093" s="32"/>
      <x:c r="I1093" s="74"/>
      <x:c r="J1093" s="74"/>
      <x:c r="K1093" s="74"/>
      <x:c r="L1093" s="74"/>
      <x:c r="M1093" s="91"/>
      <x:c r="N1093" s="91"/>
      <x:c r="O1093" s="91"/>
      <x:c r="P1093" s="91"/>
      <x:c r="Q1093" s="85"/>
      <x:c r="S1093" s="86"/>
      <x:c r="T1093" s="32"/>
    </x:row>
    <x:row r="1094">
      <x:c r="A1094" s="87"/>
      <x:c r="B1094" s="88"/>
      <x:c r="D1094" s="32"/>
      <x:c r="I1094" s="74"/>
      <x:c r="J1094" s="74"/>
      <x:c r="K1094" s="74"/>
      <x:c r="L1094" s="74"/>
      <x:c r="M1094" s="91"/>
      <x:c r="N1094" s="91"/>
      <x:c r="O1094" s="91"/>
      <x:c r="P1094" s="91"/>
      <x:c r="Q1094" s="85"/>
      <x:c r="S1094" s="86"/>
      <x:c r="T1094" s="32"/>
    </x:row>
    <x:row r="1095">
      <x:c r="A1095" s="87"/>
      <x:c r="B1095" s="88"/>
      <x:c r="D1095" s="32"/>
      <x:c r="I1095" s="74"/>
      <x:c r="J1095" s="74"/>
      <x:c r="K1095" s="74"/>
      <x:c r="L1095" s="74"/>
      <x:c r="M1095" s="91"/>
      <x:c r="N1095" s="91"/>
      <x:c r="O1095" s="91"/>
      <x:c r="P1095" s="91"/>
      <x:c r="Q1095" s="85"/>
      <x:c r="S1095" s="86"/>
      <x:c r="T1095" s="32"/>
    </x:row>
    <x:row r="1096">
      <x:c r="A1096" s="87"/>
      <x:c r="B1096" s="88"/>
      <x:c r="D1096" s="32"/>
      <x:c r="I1096" s="74"/>
      <x:c r="J1096" s="74"/>
      <x:c r="K1096" s="74"/>
      <x:c r="L1096" s="74"/>
      <x:c r="M1096" s="91"/>
      <x:c r="N1096" s="91"/>
      <x:c r="O1096" s="91"/>
      <x:c r="P1096" s="91"/>
      <x:c r="Q1096" s="85"/>
      <x:c r="S1096" s="86"/>
      <x:c r="T1096" s="32"/>
    </x:row>
    <x:row r="1097">
      <x:c r="A1097" s="87"/>
      <x:c r="B1097" s="88"/>
      <x:c r="D1097" s="32"/>
      <x:c r="I1097" s="74"/>
      <x:c r="J1097" s="74"/>
      <x:c r="K1097" s="74"/>
      <x:c r="L1097" s="74"/>
      <x:c r="M1097" s="91"/>
      <x:c r="N1097" s="91"/>
      <x:c r="O1097" s="91"/>
      <x:c r="P1097" s="91"/>
      <x:c r="Q1097" s="85"/>
      <x:c r="S1097" s="86"/>
      <x:c r="T1097" s="32"/>
    </x:row>
    <x:row r="1098">
      <x:c r="A1098" s="87"/>
      <x:c r="B1098" s="88"/>
      <x:c r="D1098" s="32"/>
      <x:c r="I1098" s="74"/>
      <x:c r="J1098" s="74"/>
      <x:c r="K1098" s="74"/>
      <x:c r="L1098" s="74"/>
      <x:c r="M1098" s="91"/>
      <x:c r="N1098" s="91"/>
      <x:c r="O1098" s="91"/>
      <x:c r="P1098" s="91"/>
      <x:c r="Q1098" s="85"/>
      <x:c r="S1098" s="86"/>
      <x:c r="T1098" s="32"/>
    </x:row>
    <x:row r="1099">
      <x:c r="A1099" s="87"/>
      <x:c r="B1099" s="88"/>
      <x:c r="D1099" s="32"/>
      <x:c r="I1099" s="74"/>
      <x:c r="J1099" s="74"/>
      <x:c r="K1099" s="74"/>
      <x:c r="L1099" s="74"/>
      <x:c r="M1099" s="91"/>
      <x:c r="N1099" s="91"/>
      <x:c r="O1099" s="91"/>
      <x:c r="P1099" s="91"/>
      <x:c r="Q1099" s="85"/>
      <x:c r="S1099" s="86"/>
      <x:c r="T1099" s="32"/>
    </x:row>
    <x:row r="1100">
      <x:c r="A1100" s="87"/>
      <x:c r="B1100" s="88"/>
      <x:c r="D1100" s="32"/>
      <x:c r="I1100" s="74"/>
      <x:c r="J1100" s="74"/>
      <x:c r="K1100" s="74"/>
      <x:c r="L1100" s="74"/>
      <x:c r="M1100" s="91"/>
      <x:c r="N1100" s="91"/>
      <x:c r="O1100" s="91"/>
      <x:c r="P1100" s="91"/>
      <x:c r="Q1100" s="85"/>
      <x:c r="S1100" s="86"/>
      <x:c r="T1100" s="32"/>
    </x:row>
    <x:row r="1101">
      <x:c r="A1101" s="87"/>
      <x:c r="B1101" s="88"/>
      <x:c r="D1101" s="32"/>
      <x:c r="I1101" s="74"/>
      <x:c r="J1101" s="74"/>
      <x:c r="K1101" s="74"/>
      <x:c r="L1101" s="74"/>
      <x:c r="M1101" s="91"/>
      <x:c r="N1101" s="91"/>
      <x:c r="O1101" s="91"/>
      <x:c r="P1101" s="91"/>
      <x:c r="Q1101" s="85"/>
      <x:c r="S1101" s="86"/>
      <x:c r="T1101" s="32"/>
    </x:row>
    <x:row r="1102">
      <x:c r="A1102" s="87"/>
      <x:c r="B1102" s="88"/>
      <x:c r="D1102" s="32"/>
      <x:c r="I1102" s="74"/>
      <x:c r="J1102" s="74"/>
      <x:c r="K1102" s="74"/>
      <x:c r="L1102" s="74"/>
      <x:c r="M1102" s="91"/>
      <x:c r="N1102" s="91"/>
      <x:c r="O1102" s="91"/>
      <x:c r="P1102" s="91"/>
      <x:c r="Q1102" s="85"/>
      <x:c r="S1102" s="86"/>
      <x:c r="T1102" s="32"/>
    </x:row>
    <x:row r="1103">
      <x:c r="A1103" s="87"/>
      <x:c r="B1103" s="88"/>
      <x:c r="D1103" s="32"/>
      <x:c r="I1103" s="74"/>
      <x:c r="J1103" s="74"/>
      <x:c r="K1103" s="74"/>
      <x:c r="L1103" s="74"/>
      <x:c r="M1103" s="91"/>
      <x:c r="N1103" s="91"/>
      <x:c r="O1103" s="91"/>
      <x:c r="P1103" s="91"/>
      <x:c r="Q1103" s="85"/>
      <x:c r="S1103" s="86"/>
      <x:c r="T1103" s="32"/>
    </x:row>
    <x:row r="1104">
      <x:c r="A1104" s="87"/>
      <x:c r="B1104" s="88"/>
      <x:c r="D1104" s="32"/>
      <x:c r="I1104" s="74"/>
      <x:c r="J1104" s="74"/>
      <x:c r="K1104" s="74"/>
      <x:c r="L1104" s="74"/>
      <x:c r="M1104" s="91"/>
      <x:c r="N1104" s="91"/>
      <x:c r="O1104" s="91"/>
      <x:c r="P1104" s="91"/>
      <x:c r="Q1104" s="85"/>
      <x:c r="S1104" s="86"/>
      <x:c r="T1104" s="32"/>
    </x:row>
    <x:row r="1105">
      <x:c r="A1105" s="87"/>
      <x:c r="B1105" s="88"/>
      <x:c r="D1105" s="32"/>
      <x:c r="I1105" s="74"/>
      <x:c r="J1105" s="74"/>
      <x:c r="K1105" s="74"/>
      <x:c r="L1105" s="74"/>
      <x:c r="M1105" s="91"/>
      <x:c r="N1105" s="91"/>
      <x:c r="O1105" s="91"/>
      <x:c r="P1105" s="91"/>
      <x:c r="Q1105" s="85"/>
      <x:c r="S1105" s="86"/>
      <x:c r="T1105" s="32"/>
    </x:row>
    <x:row r="1106">
      <x:c r="A1106" s="87"/>
      <x:c r="B1106" s="88"/>
      <x:c r="D1106" s="32"/>
      <x:c r="I1106" s="74"/>
      <x:c r="J1106" s="74"/>
      <x:c r="K1106" s="74"/>
      <x:c r="L1106" s="74"/>
      <x:c r="M1106" s="91"/>
      <x:c r="N1106" s="91"/>
      <x:c r="O1106" s="91"/>
      <x:c r="P1106" s="91"/>
      <x:c r="Q1106" s="85"/>
      <x:c r="S1106" s="86"/>
      <x:c r="T1106" s="32"/>
    </x:row>
    <x:row r="1107">
      <x:c r="A1107" s="87"/>
      <x:c r="B1107" s="88"/>
      <x:c r="D1107" s="32"/>
      <x:c r="I1107" s="74"/>
      <x:c r="J1107" s="74"/>
      <x:c r="K1107" s="74"/>
      <x:c r="L1107" s="74"/>
      <x:c r="M1107" s="91"/>
      <x:c r="N1107" s="91"/>
      <x:c r="O1107" s="91"/>
      <x:c r="P1107" s="91"/>
      <x:c r="Q1107" s="85"/>
      <x:c r="S1107" s="86"/>
      <x:c r="T1107" s="32"/>
    </x:row>
    <x:row r="1108">
      <x:c r="A1108" s="87"/>
      <x:c r="B1108" s="88"/>
      <x:c r="D1108" s="32"/>
      <x:c r="I1108" s="74"/>
      <x:c r="J1108" s="74"/>
      <x:c r="K1108" s="74"/>
      <x:c r="L1108" s="74"/>
      <x:c r="M1108" s="91"/>
      <x:c r="N1108" s="91"/>
      <x:c r="O1108" s="91"/>
      <x:c r="P1108" s="91"/>
      <x:c r="Q1108" s="85"/>
      <x:c r="S1108" s="86"/>
      <x:c r="T1108" s="32"/>
    </x:row>
    <x:row r="1109">
      <x:c r="A1109" s="87"/>
      <x:c r="B1109" s="88"/>
      <x:c r="D1109" s="32"/>
      <x:c r="I1109" s="74"/>
      <x:c r="J1109" s="74"/>
      <x:c r="K1109" s="74"/>
      <x:c r="L1109" s="74"/>
      <x:c r="M1109" s="91"/>
      <x:c r="N1109" s="91"/>
      <x:c r="O1109" s="91"/>
      <x:c r="P1109" s="91"/>
      <x:c r="Q1109" s="85"/>
      <x:c r="S1109" s="86"/>
      <x:c r="T1109" s="32"/>
    </x:row>
    <x:row r="1110">
      <x:c r="A1110" s="87"/>
      <x:c r="B1110" s="88"/>
      <x:c r="D1110" s="32"/>
      <x:c r="I1110" s="74"/>
      <x:c r="J1110" s="74"/>
      <x:c r="K1110" s="74"/>
      <x:c r="L1110" s="74"/>
      <x:c r="M1110" s="91"/>
      <x:c r="N1110" s="91"/>
      <x:c r="O1110" s="91"/>
      <x:c r="P1110" s="91"/>
      <x:c r="Q1110" s="85"/>
      <x:c r="S1110" s="86"/>
      <x:c r="T1110" s="32"/>
    </x:row>
    <x:row r="1111">
      <x:c r="A1111" s="87"/>
      <x:c r="B1111" s="88"/>
      <x:c r="D1111" s="32"/>
      <x:c r="I1111" s="74"/>
      <x:c r="J1111" s="74"/>
      <x:c r="K1111" s="74"/>
      <x:c r="L1111" s="74"/>
      <x:c r="M1111" s="91"/>
      <x:c r="N1111" s="91"/>
      <x:c r="O1111" s="91"/>
      <x:c r="P1111" s="91"/>
      <x:c r="Q1111" s="85"/>
      <x:c r="S1111" s="86"/>
      <x:c r="T1111" s="32"/>
    </x:row>
    <x:row r="1112">
      <x:c r="A1112" s="87"/>
      <x:c r="B1112" s="88"/>
      <x:c r="D1112" s="32"/>
      <x:c r="I1112" s="74"/>
      <x:c r="J1112" s="74"/>
      <x:c r="K1112" s="74"/>
      <x:c r="L1112" s="74"/>
      <x:c r="M1112" s="91"/>
      <x:c r="N1112" s="91"/>
      <x:c r="O1112" s="91"/>
      <x:c r="P1112" s="91"/>
      <x:c r="Q1112" s="85"/>
      <x:c r="S1112" s="86"/>
      <x:c r="T1112" s="32"/>
    </x:row>
    <x:row r="1113">
      <x:c r="A1113" s="87"/>
      <x:c r="B1113" s="88"/>
      <x:c r="D1113" s="32"/>
      <x:c r="I1113" s="74"/>
      <x:c r="J1113" s="74"/>
      <x:c r="K1113" s="74"/>
      <x:c r="L1113" s="74"/>
      <x:c r="M1113" s="91"/>
      <x:c r="N1113" s="91"/>
      <x:c r="O1113" s="91"/>
      <x:c r="P1113" s="91"/>
      <x:c r="Q1113" s="85"/>
      <x:c r="S1113" s="86"/>
      <x:c r="T1113" s="32"/>
    </x:row>
    <x:row r="1114">
      <x:c r="A1114" s="87"/>
      <x:c r="B1114" s="88"/>
      <x:c r="D1114" s="32"/>
      <x:c r="I1114" s="74"/>
      <x:c r="J1114" s="74"/>
      <x:c r="K1114" s="74"/>
      <x:c r="L1114" s="74"/>
      <x:c r="M1114" s="91"/>
      <x:c r="N1114" s="91"/>
      <x:c r="O1114" s="91"/>
      <x:c r="P1114" s="91"/>
      <x:c r="Q1114" s="85"/>
      <x:c r="S1114" s="86"/>
      <x:c r="T1114" s="32"/>
    </x:row>
    <x:row r="1115">
      <x:c r="A1115" s="87"/>
      <x:c r="B1115" s="88"/>
      <x:c r="D1115" s="32"/>
      <x:c r="I1115" s="74"/>
      <x:c r="J1115" s="74"/>
      <x:c r="K1115" s="74"/>
      <x:c r="L1115" s="74"/>
      <x:c r="M1115" s="91"/>
      <x:c r="N1115" s="91"/>
      <x:c r="O1115" s="91"/>
      <x:c r="P1115" s="91"/>
      <x:c r="Q1115" s="85"/>
      <x:c r="S1115" s="86"/>
      <x:c r="T1115" s="32"/>
    </x:row>
    <x:row r="1116">
      <x:c r="A1116" s="87"/>
      <x:c r="B1116" s="88"/>
      <x:c r="D1116" s="32"/>
      <x:c r="I1116" s="74"/>
      <x:c r="J1116" s="74"/>
      <x:c r="K1116" s="74"/>
      <x:c r="L1116" s="74"/>
      <x:c r="M1116" s="91"/>
      <x:c r="N1116" s="91"/>
      <x:c r="O1116" s="91"/>
      <x:c r="P1116" s="91"/>
      <x:c r="Q1116" s="85"/>
      <x:c r="S1116" s="86"/>
      <x:c r="T1116" s="32"/>
    </x:row>
    <x:row r="1117">
      <x:c r="A1117" s="87"/>
      <x:c r="B1117" s="88"/>
      <x:c r="D1117" s="32"/>
      <x:c r="I1117" s="74"/>
      <x:c r="J1117" s="74"/>
      <x:c r="K1117" s="74"/>
      <x:c r="L1117" s="74"/>
      <x:c r="M1117" s="91"/>
      <x:c r="N1117" s="91"/>
      <x:c r="O1117" s="91"/>
      <x:c r="P1117" s="91"/>
      <x:c r="Q1117" s="85"/>
      <x:c r="S1117" s="86"/>
      <x:c r="T1117" s="32"/>
    </x:row>
    <x:row r="1118">
      <x:c r="A1118" s="87"/>
      <x:c r="B1118" s="88"/>
      <x:c r="D1118" s="32"/>
      <x:c r="I1118" s="74"/>
      <x:c r="J1118" s="74"/>
      <x:c r="K1118" s="74"/>
      <x:c r="L1118" s="74"/>
      <x:c r="M1118" s="91"/>
      <x:c r="N1118" s="91"/>
      <x:c r="O1118" s="91"/>
      <x:c r="P1118" s="91"/>
      <x:c r="Q1118" s="85"/>
      <x:c r="S1118" s="86"/>
      <x:c r="T1118" s="32"/>
    </x:row>
    <x:row r="1119">
      <x:c r="A1119" s="87"/>
      <x:c r="B1119" s="88"/>
      <x:c r="D1119" s="32"/>
      <x:c r="I1119" s="74"/>
      <x:c r="J1119" s="74"/>
      <x:c r="K1119" s="74"/>
      <x:c r="L1119" s="74"/>
      <x:c r="M1119" s="91"/>
      <x:c r="N1119" s="91"/>
      <x:c r="O1119" s="91"/>
      <x:c r="P1119" s="91"/>
      <x:c r="Q1119" s="85"/>
      <x:c r="S1119" s="86"/>
      <x:c r="T1119" s="32"/>
    </x:row>
    <x:row r="1120">
      <x:c r="A1120" s="87"/>
      <x:c r="B1120" s="88"/>
      <x:c r="D1120" s="32"/>
      <x:c r="I1120" s="74"/>
      <x:c r="J1120" s="74"/>
      <x:c r="K1120" s="74"/>
      <x:c r="L1120" s="74"/>
      <x:c r="M1120" s="91"/>
      <x:c r="N1120" s="91"/>
      <x:c r="O1120" s="91"/>
      <x:c r="P1120" s="91"/>
      <x:c r="Q1120" s="85"/>
      <x:c r="S1120" s="86"/>
      <x:c r="T1120" s="32"/>
    </x:row>
    <x:row r="1121">
      <x:c r="A1121" s="87"/>
      <x:c r="B1121" s="88"/>
      <x:c r="D1121" s="32"/>
      <x:c r="I1121" s="74"/>
      <x:c r="J1121" s="74"/>
      <x:c r="K1121" s="74"/>
      <x:c r="L1121" s="74"/>
      <x:c r="M1121" s="91"/>
      <x:c r="N1121" s="91"/>
      <x:c r="O1121" s="91"/>
      <x:c r="P1121" s="91"/>
      <x:c r="Q1121" s="85"/>
      <x:c r="S1121" s="86"/>
      <x:c r="T1121" s="32"/>
    </x:row>
    <x:row r="1122">
      <x:c r="A1122" s="87"/>
      <x:c r="B1122" s="88"/>
      <x:c r="D1122" s="32"/>
      <x:c r="I1122" s="74"/>
      <x:c r="J1122" s="74"/>
      <x:c r="K1122" s="74"/>
      <x:c r="L1122" s="74"/>
      <x:c r="M1122" s="91"/>
      <x:c r="N1122" s="91"/>
      <x:c r="O1122" s="91"/>
      <x:c r="P1122" s="91"/>
      <x:c r="Q1122" s="85"/>
      <x:c r="S1122" s="86"/>
      <x:c r="T1122" s="32"/>
    </x:row>
    <x:row r="1123">
      <x:c r="A1123" s="87"/>
      <x:c r="B1123" s="88"/>
      <x:c r="D1123" s="32"/>
      <x:c r="I1123" s="74"/>
      <x:c r="J1123" s="74"/>
      <x:c r="K1123" s="74"/>
      <x:c r="L1123" s="74"/>
      <x:c r="M1123" s="91"/>
      <x:c r="N1123" s="91"/>
      <x:c r="O1123" s="91"/>
      <x:c r="P1123" s="91"/>
      <x:c r="Q1123" s="85"/>
      <x:c r="S1123" s="86"/>
      <x:c r="T1123" s="32"/>
    </x:row>
    <x:row r="1124">
      <x:c r="A1124" s="87"/>
      <x:c r="B1124" s="88"/>
      <x:c r="D1124" s="32"/>
      <x:c r="I1124" s="74"/>
      <x:c r="J1124" s="74"/>
      <x:c r="K1124" s="74"/>
      <x:c r="L1124" s="74"/>
      <x:c r="M1124" s="91"/>
      <x:c r="N1124" s="91"/>
      <x:c r="O1124" s="91"/>
      <x:c r="P1124" s="91"/>
      <x:c r="Q1124" s="85"/>
      <x:c r="S1124" s="86"/>
      <x:c r="T1124" s="32"/>
    </x:row>
    <x:row r="1125">
      <x:c r="A1125" s="87"/>
      <x:c r="B1125" s="88"/>
      <x:c r="D1125" s="32"/>
      <x:c r="I1125" s="74"/>
      <x:c r="J1125" s="74"/>
      <x:c r="K1125" s="74"/>
      <x:c r="L1125" s="74"/>
      <x:c r="M1125" s="91"/>
      <x:c r="N1125" s="91"/>
      <x:c r="O1125" s="91"/>
      <x:c r="P1125" s="91"/>
      <x:c r="Q1125" s="85"/>
      <x:c r="S1125" s="86"/>
      <x:c r="T1125" s="32"/>
    </x:row>
    <x:row r="1126">
      <x:c r="A1126" s="87"/>
      <x:c r="B1126" s="88"/>
      <x:c r="D1126" s="32"/>
      <x:c r="I1126" s="74"/>
      <x:c r="J1126" s="74"/>
      <x:c r="K1126" s="74"/>
      <x:c r="L1126" s="74"/>
      <x:c r="M1126" s="91"/>
      <x:c r="N1126" s="91"/>
      <x:c r="O1126" s="91"/>
      <x:c r="P1126" s="91"/>
      <x:c r="Q1126" s="85"/>
      <x:c r="S1126" s="86"/>
      <x:c r="T1126" s="32"/>
    </x:row>
    <x:row r="1127">
      <x:c r="A1127" s="87"/>
      <x:c r="B1127" s="88"/>
      <x:c r="D1127" s="32"/>
      <x:c r="I1127" s="74"/>
      <x:c r="J1127" s="74"/>
      <x:c r="K1127" s="74"/>
      <x:c r="L1127" s="74"/>
      <x:c r="M1127" s="91"/>
      <x:c r="N1127" s="91"/>
      <x:c r="O1127" s="91"/>
      <x:c r="P1127" s="91"/>
      <x:c r="Q1127" s="85"/>
      <x:c r="S1127" s="86"/>
      <x:c r="T1127" s="32"/>
    </x:row>
    <x:row r="1128">
      <x:c r="A1128" s="87"/>
      <x:c r="B1128" s="88"/>
      <x:c r="D1128" s="32"/>
      <x:c r="I1128" s="74"/>
      <x:c r="J1128" s="74"/>
      <x:c r="K1128" s="74"/>
      <x:c r="L1128" s="74"/>
      <x:c r="M1128" s="91"/>
      <x:c r="N1128" s="91"/>
      <x:c r="O1128" s="91"/>
      <x:c r="P1128" s="91"/>
      <x:c r="Q1128" s="85"/>
      <x:c r="S1128" s="86"/>
      <x:c r="T1128" s="32"/>
    </x:row>
    <x:row r="1129">
      <x:c r="A1129" s="87"/>
      <x:c r="B1129" s="88"/>
      <x:c r="D1129" s="32"/>
      <x:c r="I1129" s="74"/>
      <x:c r="J1129" s="74"/>
      <x:c r="K1129" s="74"/>
      <x:c r="L1129" s="74"/>
      <x:c r="M1129" s="91"/>
      <x:c r="N1129" s="91"/>
      <x:c r="O1129" s="91"/>
      <x:c r="P1129" s="91"/>
      <x:c r="Q1129" s="85"/>
      <x:c r="S1129" s="86"/>
      <x:c r="T1129" s="32"/>
    </x:row>
    <x:row r="1130">
      <x:c r="A1130" s="87"/>
      <x:c r="B1130" s="88"/>
      <x:c r="D1130" s="32"/>
      <x:c r="I1130" s="74"/>
      <x:c r="J1130" s="74"/>
      <x:c r="K1130" s="74"/>
      <x:c r="L1130" s="74"/>
      <x:c r="M1130" s="91"/>
      <x:c r="N1130" s="91"/>
      <x:c r="O1130" s="91"/>
      <x:c r="P1130" s="91"/>
      <x:c r="Q1130" s="85"/>
      <x:c r="S1130" s="86"/>
      <x:c r="T1130" s="32"/>
    </x:row>
    <x:row r="1131">
      <x:c r="A1131" s="87"/>
      <x:c r="B1131" s="88"/>
      <x:c r="D1131" s="32"/>
      <x:c r="I1131" s="74"/>
      <x:c r="J1131" s="74"/>
      <x:c r="K1131" s="74"/>
      <x:c r="L1131" s="74"/>
      <x:c r="M1131" s="91"/>
      <x:c r="N1131" s="91"/>
      <x:c r="O1131" s="91"/>
      <x:c r="P1131" s="91"/>
      <x:c r="Q1131" s="85"/>
      <x:c r="S1131" s="86"/>
      <x:c r="T1131" s="32"/>
    </x:row>
    <x:row r="1132">
      <x:c r="A1132" s="87"/>
      <x:c r="B1132" s="88"/>
      <x:c r="D1132" s="32"/>
      <x:c r="I1132" s="74"/>
      <x:c r="J1132" s="74"/>
      <x:c r="K1132" s="74"/>
      <x:c r="L1132" s="74"/>
      <x:c r="M1132" s="91"/>
      <x:c r="N1132" s="91"/>
      <x:c r="O1132" s="91"/>
      <x:c r="P1132" s="91"/>
      <x:c r="Q1132" s="85"/>
      <x:c r="S1132" s="86"/>
      <x:c r="T1132" s="32"/>
    </x:row>
    <x:row r="1133">
      <x:c r="A1133" s="87"/>
      <x:c r="B1133" s="88"/>
      <x:c r="D1133" s="32"/>
      <x:c r="I1133" s="74"/>
      <x:c r="J1133" s="74"/>
      <x:c r="K1133" s="74"/>
      <x:c r="L1133" s="74"/>
      <x:c r="M1133" s="91"/>
      <x:c r="N1133" s="91"/>
      <x:c r="O1133" s="91"/>
      <x:c r="P1133" s="91"/>
      <x:c r="Q1133" s="85"/>
      <x:c r="S1133" s="86"/>
      <x:c r="T1133" s="32"/>
    </x:row>
    <x:row r="1134">
      <x:c r="A1134" s="87"/>
      <x:c r="B1134" s="88"/>
      <x:c r="D1134" s="32"/>
      <x:c r="I1134" s="74"/>
      <x:c r="J1134" s="74"/>
      <x:c r="K1134" s="74"/>
      <x:c r="L1134" s="74"/>
      <x:c r="M1134" s="91"/>
      <x:c r="N1134" s="91"/>
      <x:c r="O1134" s="91"/>
      <x:c r="P1134" s="91"/>
      <x:c r="Q1134" s="85"/>
      <x:c r="S1134" s="86"/>
      <x:c r="T1134" s="32"/>
    </x:row>
    <x:row r="1135">
      <x:c r="A1135" s="87"/>
      <x:c r="B1135" s="88"/>
      <x:c r="D1135" s="32"/>
      <x:c r="I1135" s="74"/>
      <x:c r="J1135" s="74"/>
      <x:c r="K1135" s="74"/>
      <x:c r="L1135" s="74"/>
      <x:c r="M1135" s="91"/>
      <x:c r="N1135" s="91"/>
      <x:c r="O1135" s="91"/>
      <x:c r="P1135" s="91"/>
      <x:c r="Q1135" s="85"/>
      <x:c r="S1135" s="86"/>
      <x:c r="T1135" s="32"/>
    </x:row>
    <x:row r="1136">
      <x:c r="A1136" s="87"/>
      <x:c r="B1136" s="88"/>
      <x:c r="D1136" s="32"/>
      <x:c r="I1136" s="74"/>
      <x:c r="J1136" s="74"/>
      <x:c r="K1136" s="74"/>
      <x:c r="L1136" s="74"/>
      <x:c r="M1136" s="91"/>
      <x:c r="N1136" s="91"/>
      <x:c r="O1136" s="91"/>
      <x:c r="P1136" s="91"/>
      <x:c r="Q1136" s="85"/>
      <x:c r="S1136" s="86"/>
      <x:c r="T1136" s="32"/>
    </x:row>
    <x:row r="1137">
      <x:c r="A1137" s="87"/>
      <x:c r="B1137" s="88"/>
      <x:c r="D1137" s="32"/>
      <x:c r="I1137" s="74"/>
      <x:c r="J1137" s="74"/>
      <x:c r="K1137" s="74"/>
      <x:c r="L1137" s="74"/>
      <x:c r="M1137" s="91"/>
      <x:c r="N1137" s="91"/>
      <x:c r="O1137" s="91"/>
      <x:c r="P1137" s="91"/>
      <x:c r="Q1137" s="85"/>
      <x:c r="S1137" s="86"/>
      <x:c r="T1137" s="32"/>
    </x:row>
    <x:row r="1138">
      <x:c r="A1138" s="87"/>
      <x:c r="B1138" s="88"/>
      <x:c r="D1138" s="32"/>
      <x:c r="I1138" s="74"/>
      <x:c r="J1138" s="74"/>
      <x:c r="K1138" s="74"/>
      <x:c r="L1138" s="74"/>
      <x:c r="M1138" s="91"/>
      <x:c r="N1138" s="91"/>
      <x:c r="O1138" s="91"/>
      <x:c r="P1138" s="91"/>
      <x:c r="Q1138" s="85"/>
      <x:c r="S1138" s="86"/>
      <x:c r="T1138" s="32"/>
    </x:row>
    <x:row r="1139">
      <x:c r="A1139" s="87"/>
      <x:c r="B1139" s="88"/>
      <x:c r="D1139" s="32"/>
      <x:c r="I1139" s="74"/>
      <x:c r="J1139" s="74"/>
      <x:c r="K1139" s="74"/>
      <x:c r="L1139" s="74"/>
      <x:c r="M1139" s="91"/>
      <x:c r="N1139" s="91"/>
      <x:c r="O1139" s="91"/>
      <x:c r="P1139" s="91"/>
      <x:c r="Q1139" s="85"/>
      <x:c r="S1139" s="86"/>
      <x:c r="T1139" s="32"/>
    </x:row>
    <x:row r="1140">
      <x:c r="A1140" s="87"/>
      <x:c r="B1140" s="88"/>
      <x:c r="D1140" s="32"/>
      <x:c r="I1140" s="74"/>
      <x:c r="J1140" s="74"/>
      <x:c r="K1140" s="74"/>
      <x:c r="L1140" s="74"/>
      <x:c r="M1140" s="91"/>
      <x:c r="N1140" s="91"/>
      <x:c r="O1140" s="91"/>
      <x:c r="P1140" s="91"/>
      <x:c r="Q1140" s="85"/>
      <x:c r="S1140" s="86"/>
      <x:c r="T1140" s="32"/>
    </x:row>
    <x:row r="1141">
      <x:c r="A1141" s="87"/>
      <x:c r="B1141" s="88"/>
      <x:c r="D1141" s="32"/>
      <x:c r="I1141" s="74"/>
      <x:c r="J1141" s="74"/>
      <x:c r="K1141" s="74"/>
      <x:c r="L1141" s="74"/>
      <x:c r="M1141" s="91"/>
      <x:c r="N1141" s="91"/>
      <x:c r="O1141" s="91"/>
      <x:c r="P1141" s="91"/>
      <x:c r="Q1141" s="85"/>
      <x:c r="S1141" s="86"/>
      <x:c r="T1141" s="32"/>
    </x:row>
    <x:row r="1142">
      <x:c r="A1142" s="87"/>
      <x:c r="B1142" s="88"/>
      <x:c r="D1142" s="32"/>
      <x:c r="I1142" s="74"/>
      <x:c r="J1142" s="74"/>
      <x:c r="K1142" s="74"/>
      <x:c r="L1142" s="74"/>
      <x:c r="M1142" s="91"/>
      <x:c r="N1142" s="91"/>
      <x:c r="O1142" s="91"/>
      <x:c r="P1142" s="91"/>
      <x:c r="Q1142" s="85"/>
      <x:c r="S1142" s="86"/>
      <x:c r="T1142" s="32"/>
    </x:row>
    <x:row r="1143">
      <x:c r="A1143" s="87"/>
      <x:c r="B1143" s="88"/>
      <x:c r="D1143" s="32"/>
      <x:c r="I1143" s="74"/>
      <x:c r="J1143" s="74"/>
      <x:c r="K1143" s="74"/>
      <x:c r="L1143" s="74"/>
      <x:c r="M1143" s="91"/>
      <x:c r="N1143" s="91"/>
      <x:c r="O1143" s="91"/>
      <x:c r="P1143" s="91"/>
      <x:c r="Q1143" s="85"/>
      <x:c r="S1143" s="86"/>
      <x:c r="T1143" s="32"/>
    </x:row>
    <x:row r="1144">
      <x:c r="A1144" s="87"/>
      <x:c r="B1144" s="88"/>
      <x:c r="D1144" s="32"/>
      <x:c r="I1144" s="74"/>
      <x:c r="J1144" s="74"/>
      <x:c r="K1144" s="74"/>
      <x:c r="L1144" s="74"/>
      <x:c r="M1144" s="91"/>
      <x:c r="N1144" s="91"/>
      <x:c r="O1144" s="91"/>
      <x:c r="P1144" s="91"/>
      <x:c r="Q1144" s="85"/>
      <x:c r="S1144" s="86"/>
      <x:c r="T1144" s="32"/>
    </x:row>
    <x:row r="1145">
      <x:c r="A1145" s="87"/>
      <x:c r="B1145" s="88"/>
      <x:c r="D1145" s="32"/>
      <x:c r="I1145" s="74"/>
      <x:c r="J1145" s="74"/>
      <x:c r="K1145" s="74"/>
      <x:c r="L1145" s="74"/>
      <x:c r="M1145" s="91"/>
      <x:c r="N1145" s="91"/>
      <x:c r="O1145" s="91"/>
      <x:c r="P1145" s="91"/>
      <x:c r="Q1145" s="85"/>
      <x:c r="S1145" s="86"/>
      <x:c r="T1145" s="32"/>
    </x:row>
    <x:row r="1146">
      <x:c r="A1146" s="87"/>
      <x:c r="B1146" s="88"/>
      <x:c r="D1146" s="32"/>
      <x:c r="I1146" s="74"/>
      <x:c r="J1146" s="74"/>
      <x:c r="K1146" s="74"/>
      <x:c r="L1146" s="74"/>
      <x:c r="M1146" s="91"/>
      <x:c r="N1146" s="91"/>
      <x:c r="O1146" s="91"/>
      <x:c r="P1146" s="91"/>
      <x:c r="Q1146" s="85"/>
      <x:c r="S1146" s="86"/>
      <x:c r="T1146" s="32"/>
    </x:row>
  </x:sheetData>
  <x:conditionalFormatting sqref="B2:B2 C2:C7 D2:P2 Q2:Q166 R2:R2">
    <x:cfRule type="expression" dxfId="0" priority="1">
      <x:formula>$R2="Done"</x:formula>
    </x:cfRule>
  </x:conditionalFormatting>
  <x:conditionalFormatting sqref="B2:B2 C2:C7 D2:P2 Q2:Q166 R2:R2">
    <x:cfRule type="expression" dxfId="1" priority="2">
      <x:formula>AND(NOT($R2="Done"), OR(#REF!="Đã CK Anh", #REF!="Đã CK Em"))</x:formula>
    </x:cfRule>
  </x:conditionalFormatting>
  <x:conditionalFormatting sqref="M2:P2 Q2:Q166">
    <x:cfRule type="expression" dxfId="1" priority="3">
      <x:formula>AND(NOT(#REF!="Done"), OR(#REF!="Đã CK Anh", #REF!="Đã CK Em"))</x:formula>
    </x:cfRule>
  </x:conditionalFormatting>
  <x:conditionalFormatting sqref="M2:P2 Q2:Q166">
    <x:cfRule type="expression" dxfId="0" priority="4">
      <x:formula>#REF!="Done"</x:formula>
    </x:cfRule>
  </x:conditionalFormatting>
  <x:conditionalFormatting sqref="C2:C7 B3:B3 D3:R3">
    <x:cfRule type="expression" dxfId="0" priority="5">
      <x:formula>$R2="Done"</x:formula>
    </x:cfRule>
  </x:conditionalFormatting>
  <x:conditionalFormatting sqref="C2:C7 B3:B3 D3:R3">
    <x:cfRule type="expression" dxfId="1" priority="6">
      <x:formula>AND(NOT($R2="Done"), OR(#REF!="Đã CK Anh", #REF!="Đã CK Em"))</x:formula>
    </x:cfRule>
  </x:conditionalFormatting>
  <x:conditionalFormatting sqref="M3:Q3">
    <x:cfRule type="expression" dxfId="1" priority="7">
      <x:formula>AND(NOT(#REF!="Done"), OR(#REF!="Đã CK Anh", #REF!="Đã CK Em"))</x:formula>
    </x:cfRule>
  </x:conditionalFormatting>
  <x:conditionalFormatting sqref="M3:Q3">
    <x:cfRule type="expression" dxfId="0" priority="8">
      <x:formula>#REF!="Done"</x:formula>
    </x:cfRule>
  </x:conditionalFormatting>
  <x:conditionalFormatting sqref="M2:P2 Q2:Q166 M4:P166">
    <x:cfRule type="expression" dxfId="0" priority="9">
      <x:formula>$S2="Done"</x:formula>
    </x:cfRule>
  </x:conditionalFormatting>
  <x:conditionalFormatting sqref="M2:P2 Q2:Q166 M4:P166">
    <x:cfRule type="expression" dxfId="1" priority="10">
      <x:formula>AND(NOT($S2="Done"), OR($T2="Đã CK Anh", $T2="Đã CK Em"))</x:formula>
    </x:cfRule>
  </x:conditionalFormatting>
  <x:conditionalFormatting sqref="A81:A85 B81:R82 B85:B85 C85:C96 D85:D86 A87:A87 A89:A89 A91:A166 B108:D108">
    <x:cfRule type="expression" dxfId="1" priority="11">
      <x:formula>AND(NOT($R81="Done"), OR($S81="Đã CK Anh", $S81="Đã CK Em"))</x:formula>
    </x:cfRule>
  </x:conditionalFormatting>
  <x:conditionalFormatting sqref="A81:A85 B81:R82 B85:B85 C85:C96 D85:D86 A87:A87 A89:A89 A91:A166 B108:D108">
    <x:cfRule type="expression" dxfId="0" priority="12">
      <x:formula>$R81="Done"</x:formula>
    </x:cfRule>
  </x:conditionalFormatting>
  <x:conditionalFormatting sqref="A167:B168">
    <x:cfRule type="expression" dxfId="0" priority="13">
      <x:formula>$L167="Done"</x:formula>
    </x:cfRule>
  </x:conditionalFormatting>
  <x:conditionalFormatting sqref="A167:B168">
    <x:cfRule type="expression" dxfId="1" priority="14">
      <x:formula>AND(NOT($L167="Done"), OR($I167="Đã CK Anh", $I167="Đã CK Em"))</x:formula>
    </x:cfRule>
  </x:conditionalFormatting>
  <x:conditionalFormatting sqref="A2:A1146 B2:B2 C2:C80 D2:P2 Q2:Q1146 R2:R2 B4:B80 D4:L80 M4:P1146 R4:R80 B83:L1146 R83:R1146">
    <x:cfRule type="expression" dxfId="0" priority="15">
      <x:formula>$R2="Done"</x:formula>
    </x:cfRule>
  </x:conditionalFormatting>
  <x:conditionalFormatting sqref="A2:A1146 B2:B2 C2:C80 D2:P2 Q2:Q1146 R2:R2 B4:B80 D4:L80 M4:P1146 R4:R80 B83:L1146 R83:R1146">
    <x:cfRule type="expression" dxfId="1" priority="16">
      <x:formula>AND(NOT($R2="Done"), OR($S2="Đã CK Anh", $S2="Đã CK Em"))</x:formula>
    </x:cfRule>
  </x:conditionalFormatting>
  <x:conditionalFormatting sqref="S3:S3">
    <x:cfRule type="notContainsBlanks" dxfId="0" priority="17">
      <x:formula>LEN(TRIM(S3))&gt;0</x:formula>
    </x:cfRule>
  </x:conditionalFormatting>
  <x:dataValidations count="1">
    <x:dataValidation type="list" allowBlank="1" showErrorMessage="1" sqref="S2:S1146">
      <x:formula1>"Chưa CK,Đã CK Anh,Đã CK Em"</x:formula1>
    </x:dataValidation>
  </x:dataValidations>
  <x:hyperlinks>
    <x:hyperlink xmlns:r="http://schemas.openxmlformats.org/officeDocument/2006/relationships" ref="D2" r:id="Radf688c5e067468c"/>
    <x:hyperlink xmlns:r="http://schemas.openxmlformats.org/officeDocument/2006/relationships" ref="D3" r:id="R82469badeee348b3"/>
    <x:hyperlink xmlns:r="http://schemas.openxmlformats.org/officeDocument/2006/relationships" ref="D4" r:id="R3b080bc17a0f4dac"/>
    <x:hyperlink xmlns:r="http://schemas.openxmlformats.org/officeDocument/2006/relationships" ref="D5" r:id="R4489137447e649df"/>
    <x:hyperlink xmlns:r="http://schemas.openxmlformats.org/officeDocument/2006/relationships" ref="D6" r:id="R8970bd7d9bb747a6"/>
    <x:hyperlink xmlns:r="http://schemas.openxmlformats.org/officeDocument/2006/relationships" ref="D7" r:id="R6d64188c61fe41d2"/>
    <x:hyperlink xmlns:r="http://schemas.openxmlformats.org/officeDocument/2006/relationships" ref="D8" r:id="Rd39f935cccfe4301"/>
    <x:hyperlink xmlns:r="http://schemas.openxmlformats.org/officeDocument/2006/relationships" ref="D10" r:id="R18119e6375b445ec"/>
    <x:hyperlink xmlns:r="http://schemas.openxmlformats.org/officeDocument/2006/relationships" ref="D11" r:id="R350f6114411c475f"/>
    <x:hyperlink xmlns:r="http://schemas.openxmlformats.org/officeDocument/2006/relationships" ref="D12" r:id="R2e86e5d311154841"/>
    <x:hyperlink xmlns:r="http://schemas.openxmlformats.org/officeDocument/2006/relationships" ref="D13" r:id="Rae98ade09af54196"/>
    <x:hyperlink xmlns:r="http://schemas.openxmlformats.org/officeDocument/2006/relationships" ref="D14" r:id="Re9856efec1ae4a12"/>
    <x:hyperlink xmlns:r="http://schemas.openxmlformats.org/officeDocument/2006/relationships" ref="D16" r:id="Rc4610b53eea84599"/>
    <x:hyperlink xmlns:r="http://schemas.openxmlformats.org/officeDocument/2006/relationships" ref="D17" r:id="R69ee815a6d584109"/>
    <x:hyperlink xmlns:r="http://schemas.openxmlformats.org/officeDocument/2006/relationships" ref="D18" r:id="R5c164cc200cd483e"/>
    <x:hyperlink xmlns:r="http://schemas.openxmlformats.org/officeDocument/2006/relationships" ref="D19" r:id="Ra142cb7bfe0043ac"/>
    <x:hyperlink xmlns:r="http://schemas.openxmlformats.org/officeDocument/2006/relationships" ref="D20" r:id="Rf7724b1376c244d6"/>
    <x:hyperlink xmlns:r="http://schemas.openxmlformats.org/officeDocument/2006/relationships" ref="D22" r:id="Rc09cf8d70c5f4fac"/>
    <x:hyperlink xmlns:r="http://schemas.openxmlformats.org/officeDocument/2006/relationships" ref="D23" r:id="Rd08d4816464e437d"/>
    <x:hyperlink xmlns:r="http://schemas.openxmlformats.org/officeDocument/2006/relationships" ref="D24" r:id="R5593af2cdbe64b2e"/>
    <x:hyperlink xmlns:r="http://schemas.openxmlformats.org/officeDocument/2006/relationships" ref="D25" r:id="R9a7b4d088eed47de"/>
    <x:hyperlink xmlns:r="http://schemas.openxmlformats.org/officeDocument/2006/relationships" ref="D26" r:id="Rc263c06d56754b15"/>
    <x:hyperlink xmlns:r="http://schemas.openxmlformats.org/officeDocument/2006/relationships" ref="D27" r:id="Rcadcacb1065640ab"/>
    <x:hyperlink xmlns:r="http://schemas.openxmlformats.org/officeDocument/2006/relationships" ref="D28" r:id="Ra3d9b4de7c344648"/>
    <x:hyperlink xmlns:r="http://schemas.openxmlformats.org/officeDocument/2006/relationships" ref="D29" r:id="Rb73eafc8dd7d47f8"/>
    <x:hyperlink xmlns:r="http://schemas.openxmlformats.org/officeDocument/2006/relationships" ref="D30" r:id="R204b0ed879b447d4"/>
    <x:hyperlink xmlns:r="http://schemas.openxmlformats.org/officeDocument/2006/relationships" ref="D31" r:id="R4717c975ced3447c"/>
    <x:hyperlink xmlns:r="http://schemas.openxmlformats.org/officeDocument/2006/relationships" ref="D32" r:id="Rc0328c5c14fa44c8"/>
    <x:hyperlink xmlns:r="http://schemas.openxmlformats.org/officeDocument/2006/relationships" ref="D33" r:id="Rddd89c8a83b644e6"/>
    <x:hyperlink xmlns:r="http://schemas.openxmlformats.org/officeDocument/2006/relationships" ref="D34" r:id="R47613faa4fbb41af"/>
    <x:hyperlink xmlns:r="http://schemas.openxmlformats.org/officeDocument/2006/relationships" ref="D35" r:id="Rd17fdef73af94753"/>
    <x:hyperlink xmlns:r="http://schemas.openxmlformats.org/officeDocument/2006/relationships" ref="D36" r:id="Rda10bf38ff934428"/>
    <x:hyperlink xmlns:r="http://schemas.openxmlformats.org/officeDocument/2006/relationships" ref="D37" r:id="R18369da30e484cab"/>
    <x:hyperlink xmlns:r="http://schemas.openxmlformats.org/officeDocument/2006/relationships" ref="D38" r:id="R91ccc6d5529f4e2a"/>
    <x:hyperlink xmlns:r="http://schemas.openxmlformats.org/officeDocument/2006/relationships" ref="D39" r:id="R86d1d82e2c834da2"/>
    <x:hyperlink xmlns:r="http://schemas.openxmlformats.org/officeDocument/2006/relationships" ref="D40" r:id="R3db44aca78d94422"/>
    <x:hyperlink xmlns:r="http://schemas.openxmlformats.org/officeDocument/2006/relationships" ref="D41" r:id="R0bd75b71df2541ea"/>
    <x:hyperlink xmlns:r="http://schemas.openxmlformats.org/officeDocument/2006/relationships" ref="D42" r:id="R97535550a58c49a3"/>
    <x:hyperlink xmlns:r="http://schemas.openxmlformats.org/officeDocument/2006/relationships" ref="D43" r:id="R76f1c40786094635"/>
    <x:hyperlink xmlns:r="http://schemas.openxmlformats.org/officeDocument/2006/relationships" ref="D44" r:id="R6b11697f95ad4863"/>
    <x:hyperlink xmlns:r="http://schemas.openxmlformats.org/officeDocument/2006/relationships" ref="D45" r:id="R75a531e4ee7e479c"/>
    <x:hyperlink xmlns:r="http://schemas.openxmlformats.org/officeDocument/2006/relationships" ref="D46" r:id="R47a78f764fbd4fde"/>
    <x:hyperlink xmlns:r="http://schemas.openxmlformats.org/officeDocument/2006/relationships" ref="D47" r:id="R02da98223388436f"/>
    <x:hyperlink xmlns:r="http://schemas.openxmlformats.org/officeDocument/2006/relationships" ref="D48" r:id="Rc205ef16520f4538"/>
    <x:hyperlink xmlns:r="http://schemas.openxmlformats.org/officeDocument/2006/relationships" ref="D49" r:id="Re223e9f338b84cc6"/>
    <x:hyperlink xmlns:r="http://schemas.openxmlformats.org/officeDocument/2006/relationships" ref="D50" r:id="R85624dd94a014ca9"/>
    <x:hyperlink xmlns:r="http://schemas.openxmlformats.org/officeDocument/2006/relationships" ref="D51" r:id="R0a577adf298345c6"/>
    <x:hyperlink xmlns:r="http://schemas.openxmlformats.org/officeDocument/2006/relationships" ref="D52" r:id="Rf782dcca463441af"/>
    <x:hyperlink xmlns:r="http://schemas.openxmlformats.org/officeDocument/2006/relationships" ref="D53" r:id="Rb3445ec216f34f97"/>
    <x:hyperlink xmlns:r="http://schemas.openxmlformats.org/officeDocument/2006/relationships" ref="D54" r:id="R3f523dfed201433e"/>
    <x:hyperlink xmlns:r="http://schemas.openxmlformats.org/officeDocument/2006/relationships" ref="D55" r:id="R7bd3714da9404c84"/>
    <x:hyperlink xmlns:r="http://schemas.openxmlformats.org/officeDocument/2006/relationships" ref="D56" r:id="R278f6a25531f4c7b"/>
    <x:hyperlink xmlns:r="http://schemas.openxmlformats.org/officeDocument/2006/relationships" ref="D57" r:id="R02ffb96bc61a45d8"/>
    <x:hyperlink xmlns:r="http://schemas.openxmlformats.org/officeDocument/2006/relationships" ref="D58" r:id="Rb977dd3934844608"/>
    <x:hyperlink xmlns:r="http://schemas.openxmlformats.org/officeDocument/2006/relationships" ref="D59" r:id="R0169a05bac0e4beb"/>
    <x:hyperlink xmlns:r="http://schemas.openxmlformats.org/officeDocument/2006/relationships" ref="D60" r:id="R6e34f5ef1f0c4694"/>
    <x:hyperlink xmlns:r="http://schemas.openxmlformats.org/officeDocument/2006/relationships" ref="D61" r:id="Rea833146200749e2"/>
    <x:hyperlink xmlns:r="http://schemas.openxmlformats.org/officeDocument/2006/relationships" ref="D62" r:id="R6f16bbc7b1654768"/>
    <x:hyperlink xmlns:r="http://schemas.openxmlformats.org/officeDocument/2006/relationships" ref="D63" r:id="R712e530151394314"/>
    <x:hyperlink xmlns:r="http://schemas.openxmlformats.org/officeDocument/2006/relationships" ref="D64" r:id="Rae79747acc8246df"/>
    <x:hyperlink xmlns:r="http://schemas.openxmlformats.org/officeDocument/2006/relationships" ref="D65" r:id="R26f54e003a824c64"/>
    <x:hyperlink xmlns:r="http://schemas.openxmlformats.org/officeDocument/2006/relationships" ref="D66" r:id="Rf6cab33d4768401d"/>
    <x:hyperlink xmlns:r="http://schemas.openxmlformats.org/officeDocument/2006/relationships" ref="D67" r:id="Rdcfa41f1d7d34bbb"/>
    <x:hyperlink xmlns:r="http://schemas.openxmlformats.org/officeDocument/2006/relationships" ref="D68" r:id="R4be9e326fdd24db8"/>
    <x:hyperlink xmlns:r="http://schemas.openxmlformats.org/officeDocument/2006/relationships" ref="D69" r:id="R50a4edcb48fe438a"/>
    <x:hyperlink xmlns:r="http://schemas.openxmlformats.org/officeDocument/2006/relationships" ref="D70" r:id="R8f5bd71f04d74e14"/>
    <x:hyperlink xmlns:r="http://schemas.openxmlformats.org/officeDocument/2006/relationships" ref="D71" r:id="R76b48baba1a84f89"/>
    <x:hyperlink xmlns:r="http://schemas.openxmlformats.org/officeDocument/2006/relationships" ref="D72" r:id="Rfec26252b86c465d"/>
    <x:hyperlink xmlns:r="http://schemas.openxmlformats.org/officeDocument/2006/relationships" ref="D73" r:id="Ra36430ecbb454df2"/>
    <x:hyperlink xmlns:r="http://schemas.openxmlformats.org/officeDocument/2006/relationships" ref="D74" r:id="R4602c60bb6ed4370"/>
    <x:hyperlink xmlns:r="http://schemas.openxmlformats.org/officeDocument/2006/relationships" ref="D75" r:id="R7ea4496ee7d349cb"/>
    <x:hyperlink xmlns:r="http://schemas.openxmlformats.org/officeDocument/2006/relationships" ref="D76" r:id="R632167dc11754fe7"/>
    <x:hyperlink xmlns:r="http://schemas.openxmlformats.org/officeDocument/2006/relationships" ref="D77" r:id="R85c951286e744430"/>
    <x:hyperlink xmlns:r="http://schemas.openxmlformats.org/officeDocument/2006/relationships" ref="D78" r:id="Ra6a8ebc6b47848b2"/>
    <x:hyperlink xmlns:r="http://schemas.openxmlformats.org/officeDocument/2006/relationships" ref="D79" r:id="R77b69082c08542cd"/>
    <x:hyperlink xmlns:r="http://schemas.openxmlformats.org/officeDocument/2006/relationships" ref="D80" r:id="R8b3a75687e504b21"/>
    <x:hyperlink xmlns:r="http://schemas.openxmlformats.org/officeDocument/2006/relationships" ref="D81" r:id="R2b598e2334f44f0e"/>
    <x:hyperlink xmlns:r="http://schemas.openxmlformats.org/officeDocument/2006/relationships" ref="D82" r:id="R729c39faa77a4831"/>
    <x:hyperlink xmlns:r="http://schemas.openxmlformats.org/officeDocument/2006/relationships" ref="D83" r:id="R1570e15fab804b1b"/>
    <x:hyperlink xmlns:r="http://schemas.openxmlformats.org/officeDocument/2006/relationships" ref="D84" r:id="R9f1e7be59d5745f1"/>
    <x:hyperlink xmlns:r="http://schemas.openxmlformats.org/officeDocument/2006/relationships" ref="D85" r:id="Radd47d6f878a43b4"/>
    <x:hyperlink xmlns:r="http://schemas.openxmlformats.org/officeDocument/2006/relationships" ref="D86" r:id="R46d05423967c4d8a"/>
    <x:hyperlink xmlns:r="http://schemas.openxmlformats.org/officeDocument/2006/relationships" ref="D87" r:id="R64544abaa1a74cbc"/>
    <x:hyperlink xmlns:r="http://schemas.openxmlformats.org/officeDocument/2006/relationships" ref="D88" r:id="R7384533dcba14d53"/>
    <x:hyperlink xmlns:r="http://schemas.openxmlformats.org/officeDocument/2006/relationships" ref="D89" r:id="R61941ef915414e53"/>
    <x:hyperlink xmlns:r="http://schemas.openxmlformats.org/officeDocument/2006/relationships" ref="D90" r:id="R23382ebb875649e1"/>
    <x:hyperlink xmlns:r="http://schemas.openxmlformats.org/officeDocument/2006/relationships" ref="D91" r:id="Rdbe75f25b521449d"/>
    <x:hyperlink xmlns:r="http://schemas.openxmlformats.org/officeDocument/2006/relationships" ref="D92" r:id="R45deb2f8cdf64c52"/>
    <x:hyperlink xmlns:r="http://schemas.openxmlformats.org/officeDocument/2006/relationships" ref="D93" r:id="Rcd1b693f0f654a43"/>
    <x:hyperlink xmlns:r="http://schemas.openxmlformats.org/officeDocument/2006/relationships" ref="D94" r:id="Ra0281cddb8af469f"/>
    <x:hyperlink xmlns:r="http://schemas.openxmlformats.org/officeDocument/2006/relationships" ref="D95" r:id="R2778a8e819bf4dc5"/>
    <x:hyperlink xmlns:r="http://schemas.openxmlformats.org/officeDocument/2006/relationships" ref="D96" r:id="R0ad0468530a3437e"/>
    <x:hyperlink xmlns:r="http://schemas.openxmlformats.org/officeDocument/2006/relationships" ref="D97" r:id="R60c3aa49554b4fc7"/>
    <x:hyperlink xmlns:r="http://schemas.openxmlformats.org/officeDocument/2006/relationships" ref="D98" r:id="R2a500590129d44e8"/>
    <x:hyperlink xmlns:r="http://schemas.openxmlformats.org/officeDocument/2006/relationships" ref="D99" r:id="R1f9bc1b6aa4d4e8e"/>
    <x:hyperlink xmlns:r="http://schemas.openxmlformats.org/officeDocument/2006/relationships" ref="D100" r:id="R12f4741fcc2747a4"/>
    <x:hyperlink xmlns:r="http://schemas.openxmlformats.org/officeDocument/2006/relationships" ref="D101" r:id="Rdc3bdce2dfaf49c3"/>
    <x:hyperlink xmlns:r="http://schemas.openxmlformats.org/officeDocument/2006/relationships" ref="D102" r:id="R9a7c2be5dfee46a6"/>
    <x:hyperlink xmlns:r="http://schemas.openxmlformats.org/officeDocument/2006/relationships" ref="D103" r:id="R74c0c14bcfc24e29"/>
    <x:hyperlink xmlns:r="http://schemas.openxmlformats.org/officeDocument/2006/relationships" ref="D104" r:id="Ra5b65f9be7c746b5"/>
    <x:hyperlink xmlns:r="http://schemas.openxmlformats.org/officeDocument/2006/relationships" ref="D105" r:id="R21772541044941d8"/>
    <x:hyperlink xmlns:r="http://schemas.openxmlformats.org/officeDocument/2006/relationships" ref="D107" r:id="Rbf9644d26d0040cd"/>
    <x:hyperlink xmlns:r="http://schemas.openxmlformats.org/officeDocument/2006/relationships" ref="D108" r:id="R20e26313de104d68"/>
    <x:hyperlink xmlns:r="http://schemas.openxmlformats.org/officeDocument/2006/relationships" ref="D109" r:id="R76ca0b716a374e45"/>
    <x:hyperlink xmlns:r="http://schemas.openxmlformats.org/officeDocument/2006/relationships" ref="D110" r:id="Rf1ab7592ed474256"/>
    <x:hyperlink xmlns:r="http://schemas.openxmlformats.org/officeDocument/2006/relationships" ref="D111" r:id="Rb3887f84d0f24eb2"/>
    <x:hyperlink xmlns:r="http://schemas.openxmlformats.org/officeDocument/2006/relationships" ref="D112" r:id="Rf8a85a6ae9194e1c"/>
    <x:hyperlink xmlns:r="http://schemas.openxmlformats.org/officeDocument/2006/relationships" ref="D113" r:id="R37e6f31a24b0490a"/>
    <x:hyperlink xmlns:r="http://schemas.openxmlformats.org/officeDocument/2006/relationships" ref="D114" r:id="R7cc45038481f455d"/>
    <x:hyperlink xmlns:r="http://schemas.openxmlformats.org/officeDocument/2006/relationships" ref="D115" r:id="Rcd3955a9e9334a17"/>
    <x:hyperlink xmlns:r="http://schemas.openxmlformats.org/officeDocument/2006/relationships" ref="D116" r:id="R14426f507da94e7b"/>
    <x:hyperlink xmlns:r="http://schemas.openxmlformats.org/officeDocument/2006/relationships" ref="D117" r:id="R2e38c5d4c53b4467"/>
    <x:hyperlink xmlns:r="http://schemas.openxmlformats.org/officeDocument/2006/relationships" ref="D118" r:id="Ra5fb4961da9e4da8"/>
    <x:hyperlink xmlns:r="http://schemas.openxmlformats.org/officeDocument/2006/relationships" ref="D119" r:id="R32dbf20b549b404b"/>
    <x:hyperlink xmlns:r="http://schemas.openxmlformats.org/officeDocument/2006/relationships" ref="D120" r:id="R2756cddff1274adb"/>
    <x:hyperlink xmlns:r="http://schemas.openxmlformats.org/officeDocument/2006/relationships" ref="D121" r:id="R67b340df6ead472c"/>
    <x:hyperlink xmlns:r="http://schemas.openxmlformats.org/officeDocument/2006/relationships" ref="D122" r:id="Ra343904917224d52"/>
    <x:hyperlink xmlns:r="http://schemas.openxmlformats.org/officeDocument/2006/relationships" ref="D123" r:id="R3dd85dff57a54da4"/>
    <x:hyperlink xmlns:r="http://schemas.openxmlformats.org/officeDocument/2006/relationships" ref="D124" r:id="Rcbcc375d5244442f"/>
    <x:hyperlink xmlns:r="http://schemas.openxmlformats.org/officeDocument/2006/relationships" ref="D125" r:id="R020a6cd022644ce8"/>
    <x:hyperlink xmlns:r="http://schemas.openxmlformats.org/officeDocument/2006/relationships" ref="D126" r:id="Rbf0a6dd0e8ac44e7"/>
    <x:hyperlink xmlns:r="http://schemas.openxmlformats.org/officeDocument/2006/relationships" ref="D127" r:id="Rb36b37b0e1224cee"/>
    <x:hyperlink xmlns:r="http://schemas.openxmlformats.org/officeDocument/2006/relationships" ref="D128" r:id="R997f9654e7c649c5"/>
    <x:hyperlink xmlns:r="http://schemas.openxmlformats.org/officeDocument/2006/relationships" ref="D129" r:id="R9e46d5408bae48ce"/>
    <x:hyperlink xmlns:r="http://schemas.openxmlformats.org/officeDocument/2006/relationships" ref="D130" r:id="Re38cdb09faf841e6"/>
    <x:hyperlink xmlns:r="http://schemas.openxmlformats.org/officeDocument/2006/relationships" ref="D131" r:id="R5e2171c69ebe4849"/>
    <x:hyperlink xmlns:r="http://schemas.openxmlformats.org/officeDocument/2006/relationships" ref="D132" r:id="R3bd2b022bce14fdd"/>
    <x:hyperlink xmlns:r="http://schemas.openxmlformats.org/officeDocument/2006/relationships" ref="D133" r:id="R3650b9c97843471c"/>
    <x:hyperlink xmlns:r="http://schemas.openxmlformats.org/officeDocument/2006/relationships" ref="D134" r:id="Re6cdf4e4bae54e0c"/>
    <x:hyperlink xmlns:r="http://schemas.openxmlformats.org/officeDocument/2006/relationships" ref="D135" r:id="R631d45e168fc4c08"/>
    <x:hyperlink xmlns:r="http://schemas.openxmlformats.org/officeDocument/2006/relationships" ref="D136" r:id="R51c120d07f614321"/>
    <x:hyperlink xmlns:r="http://schemas.openxmlformats.org/officeDocument/2006/relationships" ref="D137" r:id="R00cd873e73374134"/>
    <x:hyperlink xmlns:r="http://schemas.openxmlformats.org/officeDocument/2006/relationships" ref="D138" r:id="R466bd9718a3c4e99"/>
    <x:hyperlink xmlns:r="http://schemas.openxmlformats.org/officeDocument/2006/relationships" ref="D139" r:id="R22afee2cb7494754"/>
    <x:hyperlink xmlns:r="http://schemas.openxmlformats.org/officeDocument/2006/relationships" ref="D140" r:id="Rf4f412eed40548b2"/>
    <x:hyperlink xmlns:r="http://schemas.openxmlformats.org/officeDocument/2006/relationships" ref="D141" r:id="R4426feb617e04847"/>
    <x:hyperlink xmlns:r="http://schemas.openxmlformats.org/officeDocument/2006/relationships" ref="D142" r:id="R92d1cb2834594cdf"/>
    <x:hyperlink xmlns:r="http://schemas.openxmlformats.org/officeDocument/2006/relationships" ref="D143" r:id="R8609c600ea484f72"/>
    <x:hyperlink xmlns:r="http://schemas.openxmlformats.org/officeDocument/2006/relationships" ref="D144" r:id="R7b87029aaa944f38"/>
    <x:hyperlink xmlns:r="http://schemas.openxmlformats.org/officeDocument/2006/relationships" ref="D145" r:id="R4f9a8c7b07cd4cc5"/>
    <x:hyperlink xmlns:r="http://schemas.openxmlformats.org/officeDocument/2006/relationships" ref="D146" r:id="R45b2c968c24a464c"/>
    <x:hyperlink xmlns:r="http://schemas.openxmlformats.org/officeDocument/2006/relationships" ref="D147" r:id="R6459a521b56740ee"/>
    <x:hyperlink xmlns:r="http://schemas.openxmlformats.org/officeDocument/2006/relationships" ref="D148" r:id="R7fbd414fc5bc4cda"/>
    <x:hyperlink xmlns:r="http://schemas.openxmlformats.org/officeDocument/2006/relationships" ref="D149" r:id="R39bbbb9a5d834006"/>
    <x:hyperlink xmlns:r="http://schemas.openxmlformats.org/officeDocument/2006/relationships" ref="D150" r:id="R061326730b524763"/>
    <x:hyperlink xmlns:r="http://schemas.openxmlformats.org/officeDocument/2006/relationships" ref="D151" r:id="R7cbb650c06854e4b"/>
    <x:hyperlink xmlns:r="http://schemas.openxmlformats.org/officeDocument/2006/relationships" ref="D152" r:id="R1055d88b40d8406e"/>
    <x:hyperlink xmlns:r="http://schemas.openxmlformats.org/officeDocument/2006/relationships" ref="D153" r:id="R999e7837bcb143c8"/>
    <x:hyperlink xmlns:r="http://schemas.openxmlformats.org/officeDocument/2006/relationships" ref="D154" r:id="R59675036e8c241e3"/>
    <x:hyperlink xmlns:r="http://schemas.openxmlformats.org/officeDocument/2006/relationships" ref="D155" r:id="R8b5da07647e2490c"/>
    <x:hyperlink xmlns:r="http://schemas.openxmlformats.org/officeDocument/2006/relationships" ref="D156" r:id="R8404610f4d7d4953"/>
    <x:hyperlink xmlns:r="http://schemas.openxmlformats.org/officeDocument/2006/relationships" ref="D157" r:id="R3682d4699cc64526"/>
    <x:hyperlink xmlns:r="http://schemas.openxmlformats.org/officeDocument/2006/relationships" ref="D158" r:id="R621e98169e4c4159"/>
    <x:hyperlink xmlns:r="http://schemas.openxmlformats.org/officeDocument/2006/relationships" ref="D159" r:id="R22564b00abe54afa"/>
    <x:hyperlink xmlns:r="http://schemas.openxmlformats.org/officeDocument/2006/relationships" ref="D160" r:id="R96b216a54ab146c6"/>
    <x:hyperlink xmlns:r="http://schemas.openxmlformats.org/officeDocument/2006/relationships" ref="D161" r:id="R0cefea003e6f4de8"/>
    <x:hyperlink xmlns:r="http://schemas.openxmlformats.org/officeDocument/2006/relationships" ref="D162" r:id="Rfb4f0f893aa44a8a"/>
    <x:hyperlink xmlns:r="http://schemas.openxmlformats.org/officeDocument/2006/relationships" ref="D163" r:id="Refea7b6f7fd74789"/>
    <x:hyperlink xmlns:r="http://schemas.openxmlformats.org/officeDocument/2006/relationships" ref="D164" r:id="R40fa80c4b0514dcc"/>
    <x:hyperlink xmlns:r="http://schemas.openxmlformats.org/officeDocument/2006/relationships" ref="D165" r:id="Rc438808206604d49"/>
    <x:hyperlink xmlns:r="http://schemas.openxmlformats.org/officeDocument/2006/relationships" ref="D166" r:id="R1cbcccba7e244569"/>
  </x:hyperlink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5" width="11.130000114440918" hidden="1" customWidth="1"/>
    <x:col min="6" max="6" width="10.630000114440918" customWidth="1"/>
    <x:col min="7" max="7" width="11.630000114440918" hidden="1" customWidth="1"/>
    <x:col min="8" max="8" width="11.630000114440918" customWidth="1"/>
    <x:col min="9" max="9" width="12.380000114440918" hidden="1" customWidth="1"/>
    <x:col min="10" max="10" width="14.880000114440918" customWidth="1"/>
    <x:col min="11" max="11" width="12.380000114440918" customWidth="1"/>
    <x:col min="15" max="15" width="12.630000114440918" hidden="1" customWidth="0"/>
    <x:col min="17" max="17" width="25.8799991607666" customWidth="1"/>
    <x:col min="18" max="18" width="18.5" customWidth="1"/>
  </x:cols>
  <x:sheetData>
    <x:row r="1" ht="21" customHeight="1">
      <x:c r="A1" s="1" t="s">
        <x:v>0</x:v>
      </x:c>
      <x:c r="B1" s="1" t="s">
        <x:v>1</x:v>
      </x:c>
      <x:c r="C1" s="1" t="s">
        <x:v>2</x:v>
      </x:c>
      <x:c r="D1" s="3" t="s">
        <x:v>3</x:v>
      </x:c>
      <x:c r="E1" s="1" t="s">
        <x:v>6</x:v>
      </x:c>
      <x:c r="F1" s="1" t="s">
        <x:v>445</x:v>
      </x:c>
      <x:c r="G1" s="1" t="s">
        <x:v>443</x:v>
      </x:c>
      <x:c r="H1" s="1" t="s">
        <x:v>9</x:v>
      </x:c>
      <x:c r="I1" s="4" t="s">
        <x:v>8</x:v>
      </x:c>
      <x:c r="J1" s="4" t="s">
        <x:v>12</x:v>
      </x:c>
      <x:c r="K1" s="4" t="s">
        <x:v>13</x:v>
      </x:c>
      <x:c r="L1" s="1" t="s">
        <x:v>322</x:v>
      </x:c>
      <x:c r="M1" s="1" t="s">
        <x:v>323</x:v>
      </x:c>
      <x:c r="N1" s="1" t="s">
        <x:v>15</x:v>
      </x:c>
      <x:c r="O1" s="1" t="s">
        <x:v>324</x:v>
      </x:c>
      <x:c r="P1" s="5" t="s">
        <x:v>21</x:v>
      </x:c>
      <x:c r="Q1" s="1" t="s">
        <x:v>22</x:v>
      </x:c>
      <x:c r="R1" s="1" t="s">
        <x:v>24</x:v>
      </x:c>
      <x:c r="S1" s="6" t="s">
        <x:v>25</x:v>
      </x:c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</x:row>
    <x:row r="2" ht="18.75" customHeight="1">
      <x:c r="A2" s="19">
        <x:v>1.0</x:v>
      </x:c>
      <x:c r="B2" s="98" t="s">
        <x:v>32</x:v>
      </x:c>
      <x:c r="C2" s="21">
        <x:v>45751.0</x:v>
      </x:c>
      <x:c r="D2" s="58" t="s">
        <x:v>742</x:v>
      </x:c>
      <x:c r="E2" s="23"/>
      <x:c r="F2" s="23"/>
      <x:c r="G2" s="56"/>
      <x:c r="H2" s="23"/>
      <x:c r="I2" s="24"/>
      <x:c r="J2" s="25"/>
      <x:c r="K2" s="25"/>
      <x:c r="L2" s="23">
        <x:v>10.0</x:v>
      </x:c>
      <x:c r="M2" s="23">
        <x:v>16.0</x:v>
      </x:c>
      <x:c r="N2" s="94"/>
      <x:c r="O2" s="94"/>
      <x:c r="P2" s="26" t="n">
        <x:f>(E2*260+F2*255+G2*360+H2*400+I2*470+J2*240+K2*240+L2*295+M2*310+N2*395)*1000</x:f>
        <x:v>7910000</x:v>
      </x:c>
      <x:c r="Q2" s="23" t="s">
        <x:v>74</x:v>
      </x:c>
      <x:c r="R2" s="23" t="s">
        <x:v>31</x:v>
      </x:c>
      <x:c r="T2" s="28" t="s">
        <x:v>34</x:v>
      </x:c>
      <x:c r="U2" s="28" t="s">
        <x:v>31</x:v>
      </x:c>
      <x:c r="V2" s="28" t="s">
        <x:v>54</x:v>
      </x:c>
      <x:c r="W2" s="28" t="s">
        <x:v>55</x:v>
      </x:c>
    </x:row>
    <x:row r="3" ht="18.75" customHeight="1">
      <x:c r="A3" s="19">
        <x:v>2.0</x:v>
      </x:c>
      <x:c r="B3" s="98" t="s">
        <x:v>743</x:v>
      </x:c>
      <x:c r="C3" s="21">
        <x:v>45751.0</x:v>
      </x:c>
      <x:c r="D3" s="58" t="s">
        <x:v>744</x:v>
      </x:c>
      <x:c r="E3" s="23"/>
      <x:c r="F3" s="23">
        <x:v>2.0</x:v>
      </x:c>
      <x:c r="G3" s="23"/>
      <x:c r="H3" s="23">
        <x:v>3.0</x:v>
      </x:c>
      <x:c r="I3" s="24"/>
      <x:c r="J3" s="24"/>
      <x:c r="K3" s="24">
        <x:v>3.0</x:v>
      </x:c>
      <x:c r="L3" s="94"/>
      <x:c r="M3" s="94"/>
      <x:c r="N3" s="94"/>
      <x:c r="O3" s="94"/>
      <x:c r="P3" s="26" t="n">
        <x:f>(E3*260+F3*255+G3*360+H3*400+I3*470+J3*240+K3*240+L3*305+M3*315+N3*395-15)*1000</x:f>
        <x:v>2415000</x:v>
      </x:c>
      <x:c r="Q3" s="23" t="s">
        <x:v>74</x:v>
      </x:c>
      <x:c r="R3" s="23" t="s">
        <x:v>31</x:v>
      </x:c>
      <x:c r="T3" s="31" t="n">
        <x:f>SUMIF(R2:R1007, "Đã CK Anh", P2:P1007)</x:f>
        <x:v>8650000</x:v>
      </x:c>
      <x:c r="U3" s="31" t="n">
        <x:f>SUMIF(R2:R1007, "Đã CK Em", P2:P1007)</x:f>
        <x:v>28829000</x:v>
      </x:c>
      <x:c r="V3" s="31" t="n">
        <x:f>T3+U3</x:f>
        <x:v>37479000</x:v>
      </x:c>
      <x:c r="W3" s="31" t="n">
        <x:f>SUMIF(R2:R1007, "Chưa CK", P2:P1007)</x:f>
        <x:v>0</x:v>
      </x:c>
    </x:row>
    <x:row r="4" ht="18.75" customHeight="1">
      <x:c r="A4" s="19">
        <x:v>3.0</x:v>
      </x:c>
      <x:c r="B4" s="23" t="s">
        <x:v>745</x:v>
      </x:c>
      <x:c r="C4" s="21">
        <x:v>45751.0</x:v>
      </x:c>
      <x:c r="D4" s="58" t="s">
        <x:v>746</x:v>
      </x:c>
      <x:c r="E4" s="23"/>
      <x:c r="F4" s="23"/>
      <x:c r="G4" s="23"/>
      <x:c r="H4" s="23">
        <x:v>1.0</x:v>
      </x:c>
      <x:c r="I4" s="24"/>
      <x:c r="J4" s="24"/>
      <x:c r="K4" s="24"/>
      <x:c r="L4" s="23"/>
      <x:c r="M4" s="23"/>
      <x:c r="N4" s="23"/>
      <x:c r="O4" s="23"/>
      <x:c r="P4" s="26" t="n">
        <x:f t="shared" ref="P4:P33" si="1">(E4*260+F4*255+G4*360+H4*400+I4*470+J4*240+K4*240+L4*305+M4*315+N4*395)*1000</x:f>
        <x:v>400000</x:v>
      </x:c>
      <x:c r="Q4" s="23" t="s">
        <x:v>74</x:v>
      </x:c>
      <x:c r="R4" s="23" t="s">
        <x:v>31</x:v>
      </x:c>
    </x:row>
    <x:row r="5" ht="18.75" customHeight="1">
      <x:c r="A5" s="19">
        <x:v>4.0</x:v>
      </x:c>
      <x:c r="B5" s="23" t="s">
        <x:v>747</x:v>
      </x:c>
      <x:c r="C5" s="21">
        <x:v>45751.0</x:v>
      </x:c>
      <x:c r="D5" s="58" t="s">
        <x:v>748</x:v>
      </x:c>
      <x:c r="E5" s="23"/>
      <x:c r="F5" s="23">
        <x:v>2.0</x:v>
      </x:c>
      <x:c r="G5" s="23"/>
      <x:c r="H5" s="23"/>
      <x:c r="I5" s="24"/>
      <x:c r="J5" s="24"/>
      <x:c r="K5" s="24"/>
      <x:c r="L5" s="23"/>
      <x:c r="M5" s="23"/>
      <x:c r="N5" s="23"/>
      <x:c r="O5" s="23"/>
      <x:c r="P5" s="26">
        <x:f t="shared" si="1"/>
        <x:v>510000</x:v>
      </x:c>
      <x:c r="Q5" s="23" t="s">
        <x:v>74</x:v>
      </x:c>
      <x:c r="R5" s="23" t="s">
        <x:v>31</x:v>
      </x:c>
    </x:row>
    <x:row r="6" ht="18.75" customHeight="1">
      <x:c r="A6" s="19">
        <x:v>5.0</x:v>
      </x:c>
      <x:c r="B6" s="23" t="s">
        <x:v>749</x:v>
      </x:c>
      <x:c r="C6" s="21">
        <x:v>45751.0</x:v>
      </x:c>
      <x:c r="D6" s="22" t="s">
        <x:v>750</x:v>
      </x:c>
      <x:c r="E6" s="23"/>
      <x:c r="F6" s="23">
        <x:v>1.0</x:v>
      </x:c>
      <x:c r="G6" s="23"/>
      <x:c r="H6" s="23"/>
      <x:c r="I6" s="25"/>
      <x:c r="J6" s="24"/>
      <x:c r="K6" s="25"/>
      <x:c r="L6" s="23"/>
      <x:c r="M6" s="23"/>
      <x:c r="N6" s="23"/>
      <x:c r="O6" s="23"/>
      <x:c r="P6" s="26">
        <x:f t="shared" si="1"/>
        <x:v>255000</x:v>
      </x:c>
      <x:c r="Q6" s="23" t="s">
        <x:v>74</x:v>
      </x:c>
      <x:c r="R6" s="23" t="s">
        <x:v>31</x:v>
      </x:c>
    </x:row>
    <x:row r="7" ht="18.75" customHeight="1">
      <x:c r="A7" s="19">
        <x:v>6.0</x:v>
      </x:c>
      <x:c r="B7" s="23" t="s">
        <x:v>751</x:v>
      </x:c>
      <x:c r="C7" s="21">
        <x:v>45751.0</x:v>
      </x:c>
      <x:c r="D7" s="22" t="s">
        <x:v>752</x:v>
      </x:c>
      <x:c r="E7" s="23"/>
      <x:c r="F7" s="23"/>
      <x:c r="G7" s="56"/>
      <x:c r="H7" s="23"/>
      <x:c r="I7" s="25"/>
      <x:c r="J7" s="24">
        <x:v>1.0</x:v>
      </x:c>
      <x:c r="K7" s="24">
        <x:v>1.0</x:v>
      </x:c>
      <x:c r="L7" s="94"/>
      <x:c r="M7" s="94"/>
      <x:c r="N7" s="94"/>
      <x:c r="O7" s="94"/>
      <x:c r="P7" s="26">
        <x:f t="shared" si="1"/>
        <x:v>480000</x:v>
      </x:c>
      <x:c r="Q7" s="23" t="s">
        <x:v>74</x:v>
      </x:c>
      <x:c r="R7" s="23" t="s">
        <x:v>31</x:v>
      </x:c>
      <x:c r="T7" s="37"/>
      <x:c r="U7" s="37"/>
      <x:c r="V7" s="37"/>
      <x:c r="W7" s="37"/>
    </x:row>
    <x:row r="8" ht="18.75" customHeight="1">
      <x:c r="A8" s="19">
        <x:v>7.0</x:v>
      </x:c>
      <x:c r="B8" s="23" t="s">
        <x:v>753</x:v>
      </x:c>
      <x:c r="C8" s="21">
        <x:v>45751.0</x:v>
      </x:c>
      <x:c r="D8" s="22" t="s">
        <x:v>754</x:v>
      </x:c>
      <x:c r="E8" s="23"/>
      <x:c r="F8" s="23">
        <x:v>1.0</x:v>
      </x:c>
      <x:c r="G8" s="56"/>
      <x:c r="H8" s="23"/>
      <x:c r="I8" s="25"/>
      <x:c r="J8" s="24"/>
      <x:c r="K8" s="24"/>
      <x:c r="L8" s="94"/>
      <x:c r="M8" s="94"/>
      <x:c r="N8" s="94"/>
      <x:c r="O8" s="94"/>
      <x:c r="P8" s="26">
        <x:f t="shared" si="1"/>
        <x:v>255000</x:v>
      </x:c>
      <x:c r="Q8" s="23" t="s">
        <x:v>74</x:v>
      </x:c>
      <x:c r="R8" s="23" t="s">
        <x:v>34</x:v>
      </x:c>
      <x:c r="T8" s="28" t="s">
        <x:v>2</x:v>
      </x:c>
      <x:c r="U8" s="28" t="s">
        <x:v>368</x:v>
      </x:c>
      <x:c r="V8" s="28" t="s">
        <x:v>369</x:v>
      </x:c>
      <x:c r="W8" s="28" t="s">
        <x:v>369</x:v>
      </x:c>
    </x:row>
    <x:row r="9" ht="18.75" customHeight="1">
      <x:c r="A9" s="19">
        <x:v>8.0</x:v>
      </x:c>
      <x:c r="B9" s="23" t="s">
        <x:v>755</x:v>
      </x:c>
      <x:c r="C9" s="21">
        <x:v>45751.0</x:v>
      </x:c>
      <x:c r="D9" s="22" t="s">
        <x:v>756</x:v>
      </x:c>
      <x:c r="E9" s="23"/>
      <x:c r="F9" s="23">
        <x:v>1.0</x:v>
      </x:c>
      <x:c r="G9" s="56"/>
      <x:c r="H9" s="23"/>
      <x:c r="I9" s="24"/>
      <x:c r="J9" s="25"/>
      <x:c r="K9" s="25"/>
      <x:c r="L9" s="94"/>
      <x:c r="M9" s="94"/>
      <x:c r="N9" s="94"/>
      <x:c r="O9" s="94"/>
      <x:c r="P9" s="26">
        <x:f t="shared" si="1"/>
        <x:v>255000</x:v>
      </x:c>
      <x:c r="Q9" s="23" t="s">
        <x:v>74</x:v>
      </x:c>
      <x:c r="R9" s="23" t="s">
        <x:v>31</x:v>
      </x:c>
      <x:c r="T9" s="33" t="n" cm="1">
        <x:f t="array" ref="T9:T27">_xlfn._xlws.SORT(_xlfn.UNIQUE(C2:C1005))</x:f>
        <x:v>45751</x:v>
      </x:c>
      <x:c r="U9" s="34" t="e">
        <x:f>IFERROR(__xludf.DUMMYFUNCTION("SUM(FILTER($E$2:$O$1007, $C$2:$C$1007 = T9))"),45.0)</x:f>
        <x:v>#NAME?</x:v>
      </x:c>
      <x:c r="V9" s="34" t="e">
        <x:f>IFERROR(__xludf.DUMMYFUNCTION("COUNT(FILTER($C$2:$C$1007, $C$2:$C$1007 = T9))"),11.0)</x:f>
        <x:v>#NAME?</x:v>
      </x:c>
      <x:c r="W9" s="31" t="n">
        <x:f t="shared" ref="W9:W28" si="2">SUMIF($C$2:$C$1007, $T9 , $P$2:$P$1007)</x:f>
        <x:v>13245000</x:v>
      </x:c>
    </x:row>
    <x:row r="10" ht="18.75" customHeight="1">
      <x:c r="A10" s="19">
        <x:v>9.0</x:v>
      </x:c>
      <x:c r="B10" s="23" t="s">
        <x:v>757</x:v>
      </x:c>
      <x:c r="C10" s="21">
        <x:v>45751.0</x:v>
      </x:c>
      <x:c r="D10" s="22" t="s">
        <x:v>758</x:v>
      </x:c>
      <x:c r="E10" s="23"/>
      <x:c r="F10" s="23">
        <x:v>1.0</x:v>
      </x:c>
      <x:c r="G10" s="56"/>
      <x:c r="H10" s="23"/>
      <x:c r="I10" s="24"/>
      <x:c r="J10" s="25"/>
      <x:c r="K10" s="25"/>
      <x:c r="L10" s="94"/>
      <x:c r="M10" s="94"/>
      <x:c r="N10" s="94"/>
      <x:c r="O10" s="94"/>
      <x:c r="P10" s="26">
        <x:f t="shared" si="1"/>
        <x:v>255000</x:v>
      </x:c>
      <x:c r="Q10" s="23" t="s">
        <x:v>74</x:v>
      </x:c>
      <x:c r="R10" s="23" t="s">
        <x:v>31</x:v>
      </x:c>
      <x:c r="T10" s="33" t="n">
        <x:v>45752</x:v>
      </x:c>
      <x:c r="U10" s="34" t="e">
        <x:f>IFERROR(__xludf.DUMMYFUNCTION("SUM(FILTER($E$2:$O$1007, $C$2:$C$1007 = T10))"),5.0)</x:f>
        <x:v>#NAME?</x:v>
      </x:c>
      <x:c r="V10" s="34" t="e">
        <x:f>IFERROR(__xludf.DUMMYFUNCTION("COUNT(FILTER($C$2:$C$1007, $C$2:$C$1007 = T10))"),5.0)</x:f>
        <x:v>#NAME?</x:v>
      </x:c>
      <x:c r="W10" s="31">
        <x:f t="shared" si="2"/>
        <x:v>1260000</x:v>
      </x:c>
    </x:row>
    <x:row r="11" ht="18.75" customHeight="1">
      <x:c r="A11" s="19">
        <x:v>10.0</x:v>
      </x:c>
      <x:c r="B11" s="23" t="s">
        <x:v>759</x:v>
      </x:c>
      <x:c r="C11" s="21">
        <x:v>45751.0</x:v>
      </x:c>
      <x:c r="D11" s="22" t="s">
        <x:v>760</x:v>
      </x:c>
      <x:c r="E11" s="23"/>
      <x:c r="F11" s="23">
        <x:v>1.0</x:v>
      </x:c>
      <x:c r="G11" s="56"/>
      <x:c r="H11" s="23"/>
      <x:c r="I11" s="25"/>
      <x:c r="J11" s="25"/>
      <x:c r="K11" s="25"/>
      <x:c r="L11" s="94"/>
      <x:c r="M11" s="94"/>
      <x:c r="N11" s="94"/>
      <x:c r="O11" s="94"/>
      <x:c r="P11" s="26">
        <x:f t="shared" si="1"/>
        <x:v>255000</x:v>
      </x:c>
      <x:c r="Q11" s="23" t="s">
        <x:v>74</x:v>
      </x:c>
      <x:c r="R11" s="23" t="s">
        <x:v>31</x:v>
      </x:c>
      <x:c r="T11" s="33" t="n">
        <x:v>45753</x:v>
      </x:c>
      <x:c r="U11" s="34" t="e">
        <x:f>IFERROR(__xludf.DUMMYFUNCTION("SUM(FILTER($E$2:$O$1007, $C$2:$C$1007 = T11))"),4.0)</x:f>
        <x:v>#NAME?</x:v>
      </x:c>
      <x:c r="V11" s="34" t="e">
        <x:f>IFERROR(__xludf.DUMMYFUNCTION("COUNT(FILTER($C$2:$C$1007, $C$2:$C$1007 = T11))"),2.0)</x:f>
        <x:v>#NAME?</x:v>
      </x:c>
      <x:c r="W11" s="31">
        <x:f t="shared" si="2"/>
        <x:v>1295000</x:v>
      </x:c>
    </x:row>
    <x:row r="12" ht="18.75" customHeight="1">
      <x:c r="A12" s="19">
        <x:v>11.0</x:v>
      </x:c>
      <x:c r="B12" s="23" t="s">
        <x:v>761</x:v>
      </x:c>
      <x:c r="C12" s="21">
        <x:v>45751.0</x:v>
      </x:c>
      <x:c r="D12" s="22" t="s">
        <x:v>762</x:v>
      </x:c>
      <x:c r="E12" s="23"/>
      <x:c r="F12" s="23">
        <x:v>1.0</x:v>
      </x:c>
      <x:c r="G12" s="56"/>
      <x:c r="H12" s="56"/>
      <x:c r="I12" s="25"/>
      <x:c r="J12" s="24"/>
      <x:c r="K12" s="25"/>
      <x:c r="L12" s="94"/>
      <x:c r="M12" s="94"/>
      <x:c r="N12" s="94"/>
      <x:c r="O12" s="94"/>
      <x:c r="P12" s="26">
        <x:f t="shared" si="1"/>
        <x:v>255000</x:v>
      </x:c>
      <x:c r="Q12" s="23" t="s">
        <x:v>74</x:v>
      </x:c>
      <x:c r="R12" s="23" t="s">
        <x:v>31</x:v>
      </x:c>
      <x:c r="T12" s="33" t="n">
        <x:v>45754</x:v>
      </x:c>
      <x:c r="U12" s="34" t="e">
        <x:f>IFERROR(__xludf.DUMMYFUNCTION("SUM(FILTER($E$2:$O$1007, $C$2:$C$1007 = T12))"),11.0)</x:f>
        <x:v>#NAME?</x:v>
      </x:c>
      <x:c r="V12" s="34" t="e">
        <x:f>IFERROR(__xludf.DUMMYFUNCTION("COUNT(FILTER($C$2:$C$1007, $C$2:$C$1007 = T12))"),7.0)</x:f>
        <x:v>#NAME?</x:v>
      </x:c>
      <x:c r="W12" s="31">
        <x:f t="shared" si="2"/>
        <x:v>3035000</x:v>
      </x:c>
    </x:row>
    <x:row r="13" ht="18.75" customHeight="1">
      <x:c r="A13" s="19">
        <x:v>12.0</x:v>
      </x:c>
      <x:c r="B13" s="23" t="s">
        <x:v>763</x:v>
      </x:c>
      <x:c r="C13" s="21">
        <x:v>45752.0</x:v>
      </x:c>
      <x:c r="D13" s="22" t="s">
        <x:v>764</x:v>
      </x:c>
      <x:c r="E13" s="56"/>
      <x:c r="F13" s="23"/>
      <x:c r="G13" s="23"/>
      <x:c r="H13" s="23"/>
      <x:c r="I13" s="24"/>
      <x:c r="J13" s="24">
        <x:v>1.0</x:v>
      </x:c>
      <x:c r="K13" s="24"/>
      <x:c r="L13" s="94"/>
      <x:c r="M13" s="94"/>
      <x:c r="N13" s="94"/>
      <x:c r="O13" s="94"/>
      <x:c r="P13" s="26">
        <x:f t="shared" si="1"/>
        <x:v>240000</x:v>
      </x:c>
      <x:c r="Q13" s="23" t="s">
        <x:v>74</x:v>
      </x:c>
      <x:c r="R13" s="23" t="s">
        <x:v>31</x:v>
      </x:c>
      <x:c r="S13" s="32"/>
      <x:c r="T13" s="33" t="n">
        <x:v>45755</x:v>
      </x:c>
      <x:c r="U13" s="34" t="e">
        <x:f>IFERROR(__xludf.DUMMYFUNCTION("SUM(FILTER($E$2:$O$1007, $C$2:$C$1007 = T13))"),4.0)</x:f>
        <x:v>#NAME?</x:v>
      </x:c>
      <x:c r="V13" s="34" t="e">
        <x:f>IFERROR(__xludf.DUMMYFUNCTION("COUNT(FILTER($C$2:$C$1007, $C$2:$C$1007 = T13))"),2.0)</x:f>
        <x:v>#NAME?</x:v>
      </x:c>
      <x:c r="W13" s="31">
        <x:f t="shared" si="2"/>
        <x:v>960000</x:v>
      </x:c>
    </x:row>
    <x:row r="14" ht="18.75" customHeight="1">
      <x:c r="A14" s="19">
        <x:v>13.0</x:v>
      </x:c>
      <x:c r="B14" s="23" t="s">
        <x:v>765</x:v>
      </x:c>
      <x:c r="C14" s="21">
        <x:v>45752.0</x:v>
      </x:c>
      <x:c r="D14" s="58" t="s">
        <x:v>766</x:v>
      </x:c>
      <x:c r="E14" s="23"/>
      <x:c r="F14" s="23">
        <x:v>1.0</x:v>
      </x:c>
      <x:c r="G14" s="56"/>
      <x:c r="H14" s="56"/>
      <x:c r="I14" s="24"/>
      <x:c r="J14" s="25"/>
      <x:c r="K14" s="25"/>
      <x:c r="L14" s="23"/>
      <x:c r="M14" s="23"/>
      <x:c r="N14" s="23"/>
      <x:c r="O14" s="23"/>
      <x:c r="P14" s="26">
        <x:f t="shared" si="1"/>
        <x:v>255000</x:v>
      </x:c>
      <x:c r="Q14" s="23" t="s">
        <x:v>74</x:v>
      </x:c>
      <x:c r="R14" s="23" t="s">
        <x:v>31</x:v>
      </x:c>
      <x:c r="S14" s="32"/>
      <x:c r="T14" s="33" t="n">
        <x:v>45756</x:v>
      </x:c>
      <x:c r="U14" s="34" t="e">
        <x:f>IFERROR(__xludf.DUMMYFUNCTION("SUM(FILTER($E$2:$O$1007, $C$2:$C$1007 = T14))"),1.0)</x:f>
        <x:v>#NAME?</x:v>
      </x:c>
      <x:c r="V14" s="34" t="e">
        <x:f>IFERROR(__xludf.DUMMYFUNCTION("COUNT(FILTER($C$2:$C$1007, $C$2:$C$1007 = T14))"),1.0)</x:f>
        <x:v>#NAME?</x:v>
      </x:c>
      <x:c r="W14" s="31">
        <x:f t="shared" si="2"/>
        <x:v>400000</x:v>
      </x:c>
    </x:row>
    <x:row r="15" ht="18.75" customHeight="1">
      <x:c r="A15" s="19">
        <x:v>22.0</x:v>
      </x:c>
      <x:c r="B15" s="23" t="s">
        <x:v>767</x:v>
      </x:c>
      <x:c r="C15" s="21">
        <x:v>45752.0</x:v>
      </x:c>
      <x:c r="D15" s="22" t="s">
        <x:v>768</x:v>
      </x:c>
      <x:c r="E15" s="23"/>
      <x:c r="F15" s="23">
        <x:v>1.0</x:v>
      </x:c>
      <x:c r="G15" s="23"/>
      <x:c r="H15" s="56"/>
      <x:c r="I15" s="24"/>
      <x:c r="J15" s="25"/>
      <x:c r="K15" s="25"/>
      <x:c r="L15" s="94"/>
      <x:c r="M15" s="94"/>
      <x:c r="N15" s="94"/>
      <x:c r="O15" s="94"/>
      <x:c r="P15" s="26">
        <x:f t="shared" si="1"/>
        <x:v>255000</x:v>
      </x:c>
      <x:c r="Q15" s="23" t="s">
        <x:v>74</x:v>
      </x:c>
      <x:c r="R15" s="23" t="s">
        <x:v>31</x:v>
      </x:c>
      <x:c r="S15" s="32"/>
      <x:c r="T15" s="33" t="n">
        <x:v>45757</x:v>
      </x:c>
      <x:c r="U15" s="34" t="e">
        <x:f>IFERROR(__xludf.DUMMYFUNCTION("SUM(FILTER($E$2:$O$1007, $C$2:$C$1007 = T15))"),3.0)</x:f>
        <x:v>#NAME?</x:v>
      </x:c>
      <x:c r="V15" s="34" t="e">
        <x:f>IFERROR(__xludf.DUMMYFUNCTION("COUNT(FILTER($C$2:$C$1007, $C$2:$C$1007 = T15))"),3.0)</x:f>
        <x:v>#NAME?</x:v>
      </x:c>
      <x:c r="W15" s="31">
        <x:f t="shared" si="2"/>
        <x:v>720000</x:v>
      </x:c>
    </x:row>
    <x:row r="16" ht="18.75" customHeight="1">
      <x:c r="A16" s="19">
        <x:v>18.0</x:v>
      </x:c>
      <x:c r="B16" s="23" t="s">
        <x:v>769</x:v>
      </x:c>
      <x:c r="C16" s="21">
        <x:v>45752.0</x:v>
      </x:c>
      <x:c r="D16" s="22" t="s">
        <x:v>770</x:v>
      </x:c>
      <x:c r="E16" s="23"/>
      <x:c r="F16" s="23">
        <x:v>1.0</x:v>
      </x:c>
      <x:c r="G16" s="56"/>
      <x:c r="H16" s="56"/>
      <x:c r="I16" s="24"/>
      <x:c r="J16" s="24"/>
      <x:c r="K16" s="24"/>
      <x:c r="L16" s="94"/>
      <x:c r="M16" s="94"/>
      <x:c r="N16" s="94"/>
      <x:c r="O16" s="94"/>
      <x:c r="P16" s="26">
        <x:f t="shared" si="1"/>
        <x:v>255000</x:v>
      </x:c>
      <x:c r="Q16" s="23" t="s">
        <x:v>74</x:v>
      </x:c>
      <x:c r="R16" s="23" t="s">
        <x:v>31</x:v>
      </x:c>
      <x:c r="S16" s="32"/>
      <x:c r="T16" s="33" t="n">
        <x:v>45758</x:v>
      </x:c>
      <x:c r="U16" s="34" t="e">
        <x:f>IFERROR(__xludf.DUMMYFUNCTION("SUM(FILTER($E$2:$O$1007, $C$2:$C$1007 = T16))"),7.0)</x:f>
        <x:v>#NAME?</x:v>
      </x:c>
      <x:c r="V16" s="34" t="e">
        <x:f>IFERROR(__xludf.DUMMYFUNCTION("COUNT(FILTER($C$2:$C$1007, $C$2:$C$1007 = T16))"),2.0)</x:f>
        <x:v>#NAME?</x:v>
      </x:c>
      <x:c r="W16" s="31">
        <x:f t="shared" si="2"/>
        <x:v>2465000</x:v>
      </x:c>
    </x:row>
    <x:row r="17" ht="18.75" customHeight="1">
      <x:c r="A17" s="19">
        <x:v>15.0</x:v>
      </x:c>
      <x:c r="B17" s="23" t="s">
        <x:v>771</x:v>
      </x:c>
      <x:c r="C17" s="21">
        <x:v>45752.0</x:v>
      </x:c>
      <x:c r="D17" s="22" t="s">
        <x:v>772</x:v>
      </x:c>
      <x:c r="E17" s="23"/>
      <x:c r="F17" s="23">
        <x:v>1.0</x:v>
      </x:c>
      <x:c r="G17" s="56"/>
      <x:c r="H17" s="56"/>
      <x:c r="I17" s="24"/>
      <x:c r="J17" s="24"/>
      <x:c r="K17" s="25"/>
      <x:c r="L17" s="94"/>
      <x:c r="M17" s="94"/>
      <x:c r="N17" s="94"/>
      <x:c r="O17" s="94"/>
      <x:c r="P17" s="26">
        <x:f t="shared" si="1"/>
        <x:v>255000</x:v>
      </x:c>
      <x:c r="Q17" s="99" t="s">
        <x:v>74</x:v>
      </x:c>
      <x:c r="R17" s="23" t="s">
        <x:v>31</x:v>
      </x:c>
      <x:c r="S17" s="32"/>
      <x:c r="T17" s="33" t="n">
        <x:v>45759</x:v>
      </x:c>
      <x:c r="U17" s="34" t="e">
        <x:f>IFERROR(__xludf.DUMMYFUNCTION("SUM(FILTER($E$2:$O$1007, $C$2:$C$1007 = T17))"),4.0)</x:f>
        <x:v>#NAME?</x:v>
      </x:c>
      <x:c r="V17" s="34" t="e">
        <x:f>IFERROR(__xludf.DUMMYFUNCTION("COUNT(FILTER($C$2:$C$1007, $C$2:$C$1007 = T17))"),2.0)</x:f>
        <x:v>#NAME?</x:v>
      </x:c>
      <x:c r="W17" s="31">
        <x:f t="shared" si="2"/>
        <x:v>1600000</x:v>
      </x:c>
    </x:row>
    <x:row r="18">
      <x:c r="A18" s="19">
        <x:v>16.0</x:v>
      </x:c>
      <x:c r="B18" s="23" t="s">
        <x:v>773</x:v>
      </x:c>
      <x:c r="C18" s="21">
        <x:v>45753.0</x:v>
      </x:c>
      <x:c r="D18" s="22" t="s">
        <x:v>774</x:v>
      </x:c>
      <x:c r="E18" s="23"/>
      <x:c r="F18" s="23">
        <x:v>1.0</x:v>
      </x:c>
      <x:c r="G18" s="23"/>
      <x:c r="H18" s="23">
        <x:v>1.0</x:v>
      </x:c>
      <x:c r="I18" s="24"/>
      <x:c r="J18" s="24"/>
      <x:c r="K18" s="24"/>
      <x:c r="L18" s="94"/>
      <x:c r="M18" s="94"/>
      <x:c r="N18" s="94"/>
      <x:c r="O18" s="94"/>
      <x:c r="P18" s="26">
        <x:f t="shared" si="1"/>
        <x:v>655000</x:v>
      </x:c>
      <x:c r="Q18" s="23" t="s">
        <x:v>74</x:v>
      </x:c>
      <x:c r="R18" s="23" t="s">
        <x:v>31</x:v>
      </x:c>
      <x:c r="S18" s="32"/>
      <x:c r="T18" s="33" t="n">
        <x:v>45762</x:v>
      </x:c>
      <x:c r="U18" s="34" t="e">
        <x:f>IFERROR(__xludf.DUMMYFUNCTION("SUM(FILTER($E$2:$O$1007, $C$2:$C$1007 = T18))"),2.0)</x:f>
        <x:v>#NAME?</x:v>
      </x:c>
      <x:c r="V18" s="34" t="e">
        <x:f>IFERROR(__xludf.DUMMYFUNCTION("COUNT(FILTER($C$2:$C$1007, $C$2:$C$1007 = T18))"),2.0)</x:f>
        <x:v>#NAME?</x:v>
      </x:c>
      <x:c r="W18" s="31">
        <x:f t="shared" si="2"/>
        <x:v>480000</x:v>
      </x:c>
    </x:row>
    <x:row r="19" ht="18.75" customHeight="1">
      <x:c r="A19" s="19">
        <x:v>14.0</x:v>
      </x:c>
      <x:c r="B19" s="23" t="s">
        <x:v>775</x:v>
      </x:c>
      <x:c r="C19" s="21">
        <x:v>45753.0</x:v>
      </x:c>
      <x:c r="D19" s="22" t="s">
        <x:v>776</x:v>
      </x:c>
      <x:c r="E19" s="23"/>
      <x:c r="F19" s="23"/>
      <x:c r="G19" s="56"/>
      <x:c r="H19" s="23">
        <x:v>1.0</x:v>
      </x:c>
      <x:c r="I19" s="24"/>
      <x:c r="J19" s="24">
        <x:v>1.0</x:v>
      </x:c>
      <x:c r="K19" s="25"/>
      <x:c r="L19" s="23"/>
      <x:c r="M19" s="23"/>
      <x:c r="N19" s="23"/>
      <x:c r="O19" s="23"/>
      <x:c r="P19" s="26">
        <x:f t="shared" si="1"/>
        <x:v>640000</x:v>
      </x:c>
      <x:c r="Q19" s="23" t="s">
        <x:v>74</x:v>
      </x:c>
      <x:c r="R19" s="23" t="s">
        <x:v>31</x:v>
      </x:c>
      <x:c r="S19" s="32"/>
      <x:c r="T19" s="33" t="n">
        <x:v>45763</x:v>
      </x:c>
      <x:c r="U19" s="34" t="e">
        <x:f>IFERROR(__xludf.DUMMYFUNCTION("SUM(FILTER($E$2:$O$1007, $C$2:$C$1007 = T19))"),4.0)</x:f>
        <x:v>#NAME?</x:v>
      </x:c>
      <x:c r="V19" s="34" t="e">
        <x:f>IFERROR(__xludf.DUMMYFUNCTION("COUNT(FILTER($C$2:$C$1007, $C$2:$C$1007 = T19))"),3.0)</x:f>
        <x:v>#NAME?</x:v>
      </x:c>
      <x:c r="W19" s="31">
        <x:f t="shared" si="2"/>
        <x:v>1440000</x:v>
      </x:c>
    </x:row>
    <x:row r="20" ht="18.75" customHeight="1">
      <x:c r="A20" s="19">
        <x:v>17.0</x:v>
      </x:c>
      <x:c r="B20" s="23" t="s">
        <x:v>777</x:v>
      </x:c>
      <x:c r="C20" s="21">
        <x:v>45754.0</x:v>
      </x:c>
      <x:c r="D20" s="22" t="s">
        <x:v>778</x:v>
      </x:c>
      <x:c r="E20" s="23"/>
      <x:c r="F20" s="23"/>
      <x:c r="G20" s="56"/>
      <x:c r="H20" s="56"/>
      <x:c r="I20" s="25"/>
      <x:c r="J20" s="24"/>
      <x:c r="K20" s="24">
        <x:v>1.0</x:v>
      </x:c>
      <x:c r="L20" s="94"/>
      <x:c r="M20" s="94"/>
      <x:c r="N20" s="94"/>
      <x:c r="O20" s="94"/>
      <x:c r="P20" s="26">
        <x:f t="shared" si="1"/>
        <x:v>240000</x:v>
      </x:c>
      <x:c r="Q20" s="23" t="s">
        <x:v>74</x:v>
      </x:c>
      <x:c r="R20" s="23" t="s">
        <x:v>31</x:v>
      </x:c>
      <x:c r="S20" s="32"/>
      <x:c r="T20" s="33" t="n">
        <x:v>45764</x:v>
      </x:c>
      <x:c r="U20" s="34" t="e">
        <x:f>IFERROR(__xludf.DUMMYFUNCTION("SUM(FILTER($E$2:$O$1007, $C$2:$C$1007 = T20))"),11.0)</x:f>
        <x:v>#NAME?</x:v>
      </x:c>
      <x:c r="V20" s="34" t="e">
        <x:f>IFERROR(__xludf.DUMMYFUNCTION("COUNT(FILTER($C$2:$C$1007, $C$2:$C$1007 = T20))"),6.0)</x:f>
        <x:v>#NAME?</x:v>
      </x:c>
      <x:c r="W20" s="31">
        <x:f t="shared" si="2"/>
        <x:v>2800000</x:v>
      </x:c>
    </x:row>
    <x:row r="21" ht="18.75" customHeight="1">
      <x:c r="A21" s="19">
        <x:v>19.0</x:v>
      </x:c>
      <x:c r="B21" s="23" t="s">
        <x:v>779</x:v>
      </x:c>
      <x:c r="C21" s="21">
        <x:v>45754.0</x:v>
      </x:c>
      <x:c r="D21" s="22" t="s">
        <x:v>780</x:v>
      </x:c>
      <x:c r="E21" s="23"/>
      <x:c r="F21" s="23">
        <x:v>1.0</x:v>
      </x:c>
      <x:c r="G21" s="56"/>
      <x:c r="H21" s="56"/>
      <x:c r="I21" s="24"/>
      <x:c r="J21" s="24"/>
      <x:c r="K21" s="24"/>
      <x:c r="L21" s="94"/>
      <x:c r="M21" s="94"/>
      <x:c r="N21" s="94"/>
      <x:c r="O21" s="94"/>
      <x:c r="P21" s="26">
        <x:f t="shared" si="1"/>
        <x:v>255000</x:v>
      </x:c>
      <x:c r="Q21" s="23" t="s">
        <x:v>74</x:v>
      </x:c>
      <x:c r="R21" s="23" t="s">
        <x:v>31</x:v>
      </x:c>
      <x:c r="S21" s="32"/>
      <x:c r="T21" s="33" t="n">
        <x:v>45765</x:v>
      </x:c>
      <x:c r="U21" s="34" t="e">
        <x:f>IFERROR(__xludf.DUMMYFUNCTION("SUM(FILTER($E$2:$O$1007, $C$2:$C$1007 = T21))"),2.0)</x:f>
        <x:v>#NAME?</x:v>
      </x:c>
      <x:c r="V21" s="34" t="e">
        <x:f>IFERROR(__xludf.DUMMYFUNCTION("COUNT(FILTER($C$2:$C$1007, $C$2:$C$1007 = T21))"),2.0)</x:f>
        <x:v>#NAME?</x:v>
      </x:c>
      <x:c r="W21" s="31">
        <x:f t="shared" si="2"/>
        <x:v>640000</x:v>
      </x:c>
    </x:row>
    <x:row r="22" ht="18.75" customHeight="1">
      <x:c r="A22" s="19">
        <x:v>20.0</x:v>
      </x:c>
      <x:c r="B22" s="23" t="s">
        <x:v>781</x:v>
      </x:c>
      <x:c r="C22" s="21">
        <x:v>45754.0</x:v>
      </x:c>
      <x:c r="D22" s="58" t="s">
        <x:v>782</x:v>
      </x:c>
      <x:c r="E22" s="23"/>
      <x:c r="F22" s="23">
        <x:v>1.0</x:v>
      </x:c>
      <x:c r="G22" s="56"/>
      <x:c r="H22" s="56"/>
      <x:c r="I22" s="25"/>
      <x:c r="J22" s="24">
        <x:v>1.0</x:v>
      </x:c>
      <x:c r="K22" s="24"/>
      <x:c r="L22" s="94"/>
      <x:c r="M22" s="94"/>
      <x:c r="N22" s="94"/>
      <x:c r="O22" s="94"/>
      <x:c r="P22" s="26">
        <x:f t="shared" si="1"/>
        <x:v>495000</x:v>
      </x:c>
      <x:c r="Q22" s="23" t="s">
        <x:v>74</x:v>
      </x:c>
      <x:c r="R22" s="23" t="s">
        <x:v>31</x:v>
      </x:c>
      <x:c r="S22" s="32"/>
      <x:c r="T22" s="33" t="n">
        <x:v>45766</x:v>
      </x:c>
      <x:c r="U22" s="34" t="e">
        <x:f>IFERROR(__xludf.DUMMYFUNCTION("SUM(FILTER($E$2:$O$1007, $C$2:$C$1007 = T22))"),1.0)</x:f>
        <x:v>#NAME?</x:v>
      </x:c>
      <x:c r="V22" s="34" t="e">
        <x:f>IFERROR(__xludf.DUMMYFUNCTION("COUNT(FILTER($C$2:$C$1007, $C$2:$C$1007 = T22))"),1.0)</x:f>
        <x:v>#NAME?</x:v>
      </x:c>
      <x:c r="W22" s="31">
        <x:f t="shared" si="2"/>
        <x:v>240000</x:v>
      </x:c>
    </x:row>
    <x:row r="23" ht="18.75" customHeight="1">
      <x:c r="A23" s="19">
        <x:v>21.0</x:v>
      </x:c>
      <x:c r="B23" s="23" t="s">
        <x:v>783</x:v>
      </x:c>
      <x:c r="C23" s="21">
        <x:v>45754.0</x:v>
      </x:c>
      <x:c r="D23" s="22" t="s">
        <x:v>784</x:v>
      </x:c>
      <x:c r="E23" s="23"/>
      <x:c r="F23" s="23"/>
      <x:c r="G23" s="23"/>
      <x:c r="H23" s="23"/>
      <x:c r="I23" s="25"/>
      <x:c r="J23" s="24">
        <x:v>1.0</x:v>
      </x:c>
      <x:c r="K23" s="24"/>
      <x:c r="L23" s="94"/>
      <x:c r="M23" s="94"/>
      <x:c r="N23" s="94"/>
      <x:c r="O23" s="94"/>
      <x:c r="P23" s="26">
        <x:f t="shared" si="1"/>
        <x:v>240000</x:v>
      </x:c>
      <x:c r="Q23" s="23" t="s">
        <x:v>74</x:v>
      </x:c>
      <x:c r="R23" s="23" t="s">
        <x:v>31</x:v>
      </x:c>
      <x:c r="S23" s="32"/>
      <x:c r="T23" s="33" t="n">
        <x:v>45767</x:v>
      </x:c>
      <x:c r="U23" s="34" t="e">
        <x:f>IFERROR(__xludf.DUMMYFUNCTION("SUM(FILTER($E$2:$O$1007, $C$2:$C$1007 = T23))"),1.0)</x:f>
        <x:v>#NAME?</x:v>
      </x:c>
      <x:c r="V23" s="34" t="e">
        <x:f>IFERROR(__xludf.DUMMYFUNCTION("COUNT(FILTER($C$2:$C$1007, $C$2:$C$1007 = T23))"),1.0)</x:f>
        <x:v>#NAME?</x:v>
      </x:c>
      <x:c r="W23" s="31">
        <x:f t="shared" si="2"/>
        <x:v>224000</x:v>
      </x:c>
    </x:row>
    <x:row r="24">
      <x:c r="A24" s="19">
        <x:v>23.0</x:v>
      </x:c>
      <x:c r="B24" s="23" t="s">
        <x:v>785</x:v>
      </x:c>
      <x:c r="C24" s="21">
        <x:v>45754.0</x:v>
      </x:c>
      <x:c r="D24" s="58" t="s">
        <x:v>786</x:v>
      </x:c>
      <x:c r="E24" s="56"/>
      <x:c r="F24" s="23"/>
      <x:c r="G24" s="23"/>
      <x:c r="H24" s="23">
        <x:v>1.0</x:v>
      </x:c>
      <x:c r="I24" s="25"/>
      <x:c r="J24" s="25"/>
      <x:c r="K24" s="25"/>
      <x:c r="L24" s="94"/>
      <x:c r="M24" s="94"/>
      <x:c r="N24" s="94"/>
      <x:c r="O24" s="94"/>
      <x:c r="P24" s="26">
        <x:f t="shared" si="1"/>
        <x:v>400000</x:v>
      </x:c>
      <x:c r="Q24" s="23" t="s">
        <x:v>74</x:v>
      </x:c>
      <x:c r="R24" s="23" t="s">
        <x:v>31</x:v>
      </x:c>
      <x:c r="S24" s="57"/>
      <x:c r="T24" s="33" t="n">
        <x:v>45768</x:v>
      </x:c>
      <x:c r="U24" s="34" t="e">
        <x:f>IFERROR(__xludf.DUMMYFUNCTION("SUM(FILTER($E$2:$O$1007, $C$2:$C$1007 = T24))"),12.0)</x:f>
        <x:v>#NAME?</x:v>
      </x:c>
      <x:c r="V24" s="34" t="e">
        <x:f>IFERROR(__xludf.DUMMYFUNCTION("COUNT(FILTER($C$2:$C$1007, $C$2:$C$1007 = T24))"),2.0)</x:f>
        <x:v>#NAME?</x:v>
      </x:c>
      <x:c r="W24" s="31">
        <x:f t="shared" si="2"/>
        <x:v>3620000</x:v>
      </x:c>
    </x:row>
    <x:row r="25" ht="18.75" customHeight="1">
      <x:c r="A25" s="19">
        <x:v>24.0</x:v>
      </x:c>
      <x:c r="B25" s="23" t="s">
        <x:v>787</x:v>
      </x:c>
      <x:c r="C25" s="21">
        <x:v>45754.0</x:v>
      </x:c>
      <x:c r="D25" s="58" t="s">
        <x:v>788</x:v>
      </x:c>
      <x:c r="E25" s="56"/>
      <x:c r="F25" s="23">
        <x:v>3.0</x:v>
      </x:c>
      <x:c r="G25" s="56"/>
      <x:c r="H25" s="56"/>
      <x:c r="I25" s="25"/>
      <x:c r="J25" s="24">
        <x:v>1.0</x:v>
      </x:c>
      <x:c r="K25" s="24"/>
      <x:c r="L25" s="94"/>
      <x:c r="M25" s="94"/>
      <x:c r="N25" s="94"/>
      <x:c r="O25" s="94"/>
      <x:c r="P25" s="26">
        <x:f t="shared" si="1"/>
        <x:v>1005000</x:v>
      </x:c>
      <x:c r="Q25" s="23" t="s">
        <x:v>74</x:v>
      </x:c>
      <x:c r="R25" s="23" t="s">
        <x:v>31</x:v>
      </x:c>
      <x:c r="S25" s="32"/>
      <x:c r="T25" s="33" t="n">
        <x:v>45769</x:v>
      </x:c>
      <x:c r="U25" s="34" t="e">
        <x:f>IFERROR(__xludf.DUMMYFUNCTION("SUM(FILTER($E$2:$O$1007, $C$2:$C$1007 = T25))"),8.0)</x:f>
        <x:v>#NAME?</x:v>
      </x:c>
      <x:c r="V25" s="34" t="e">
        <x:f>IFERROR(__xludf.DUMMYFUNCTION("COUNT(FILTER($C$2:$C$1007, $C$2:$C$1007 = T25))"),3.0)</x:f>
        <x:v>#NAME?</x:v>
      </x:c>
      <x:c r="W25" s="31">
        <x:f t="shared" si="2"/>
        <x:v>2575000</x:v>
      </x:c>
    </x:row>
    <x:row r="26" ht="18.75" customHeight="1">
      <x:c r="A26" s="19">
        <x:v>25.0</x:v>
      </x:c>
      <x:c r="B26" s="23" t="s">
        <x:v>789</x:v>
      </x:c>
      <x:c r="C26" s="21">
        <x:v>45754.0</x:v>
      </x:c>
      <x:c r="D26" s="22" t="s">
        <x:v>790</x:v>
      </x:c>
      <x:c r="E26" s="23"/>
      <x:c r="F26" s="23"/>
      <x:c r="G26" s="56"/>
      <x:c r="H26" s="23">
        <x:v>1.0</x:v>
      </x:c>
      <x:c r="I26" s="25"/>
      <x:c r="J26" s="25"/>
      <x:c r="K26" s="24"/>
      <x:c r="L26" s="94"/>
      <x:c r="M26" s="94"/>
      <x:c r="N26" s="94"/>
      <x:c r="O26" s="94"/>
      <x:c r="P26" s="26">
        <x:f t="shared" si="1"/>
        <x:v>400000</x:v>
      </x:c>
      <x:c r="Q26" s="23" t="s">
        <x:v>74</x:v>
      </x:c>
      <x:c r="R26" s="23" t="s">
        <x:v>31</x:v>
      </x:c>
      <x:c r="S26" s="32"/>
      <x:c r="T26" s="33" t="n">
        <x:v>45770</x:v>
      </x:c>
      <x:c r="U26" s="34" t="e">
        <x:f>IFERROR(__xludf.DUMMYFUNCTION("SUM(FILTER($E$2:$O$1007, $C$2:$C$1007 = T26))"),2.0)</x:f>
        <x:v>#NAME?</x:v>
      </x:c>
      <x:c r="V26" s="34" t="e">
        <x:f>IFERROR(__xludf.DUMMYFUNCTION("COUNT(FILTER($C$2:$C$1007, $C$2:$C$1007 = T26))"),2.0)</x:f>
        <x:v>#NAME?</x:v>
      </x:c>
      <x:c r="W26" s="31">
        <x:f t="shared" si="2"/>
        <x:v>480000</x:v>
      </x:c>
    </x:row>
    <x:row r="27" ht="18.75" customHeight="1">
      <x:c r="A27" s="19">
        <x:v>26.0</x:v>
      </x:c>
      <x:c r="B27" s="23" t="s">
        <x:v>791</x:v>
      </x:c>
      <x:c r="C27" s="21">
        <x:v>45755.0</x:v>
      </x:c>
      <x:c r="D27" s="22" t="s">
        <x:v>792</x:v>
      </x:c>
      <x:c r="E27" s="23"/>
      <x:c r="F27" s="23"/>
      <x:c r="G27" s="56"/>
      <x:c r="H27" s="56"/>
      <x:c r="I27" s="25"/>
      <x:c r="J27" s="25"/>
      <x:c r="K27" s="24">
        <x:v>2.0</x:v>
      </x:c>
      <x:c r="L27" s="94"/>
      <x:c r="M27" s="94"/>
      <x:c r="N27" s="94"/>
      <x:c r="O27" s="94"/>
      <x:c r="P27" s="26">
        <x:f t="shared" si="1"/>
        <x:v>480000</x:v>
      </x:c>
      <x:c r="Q27" s="23" t="s">
        <x:v>74</x:v>
      </x:c>
      <x:c r="R27" s="23" t="s">
        <x:v>34</x:v>
      </x:c>
      <x:c r="S27" s="32"/>
      <x:c r="T27" s="33" t="n">
        <x:v>0</x:v>
      </x:c>
      <x:c r="U27" s="34" t="e">
        <x:f>IFERROR(__xludf.DUMMYFUNCTION("SUM(FILTER($E$2:$O$1007, $C$2:$C$1007 = T27))"),2.0616606589041095E7)</x:f>
        <x:v>#NAME?</x:v>
      </x:c>
      <x:c r="V27" s="34" t="e">
        <x:f>IFERROR(__xludf.DUMMYFUNCTION("COUNT(FILTER($C$2:$C$1007, $C$2:$C$1007 = T27))"),0.0)</x:f>
        <x:v>#NAME?</x:v>
      </x:c>
      <x:c r="W27" s="31">
        <x:f t="shared" si="2"/>
        <x:v>0</x:v>
      </x:c>
    </x:row>
    <x:row r="28" ht="18.75" customHeight="1">
      <x:c r="A28" s="19">
        <x:v>27.0</x:v>
      </x:c>
      <x:c r="B28" s="23" t="s">
        <x:v>793</x:v>
      </x:c>
      <x:c r="C28" s="21">
        <x:v>45755.0</x:v>
      </x:c>
      <x:c r="D28" s="22" t="s">
        <x:v>794</x:v>
      </x:c>
      <x:c r="E28" s="23"/>
      <x:c r="F28" s="23"/>
      <x:c r="G28" s="23"/>
      <x:c r="H28" s="23"/>
      <x:c r="I28" s="24"/>
      <x:c r="J28" s="25"/>
      <x:c r="K28" s="24">
        <x:v>2.0</x:v>
      </x:c>
      <x:c r="L28" s="94"/>
      <x:c r="M28" s="94"/>
      <x:c r="N28" s="94"/>
      <x:c r="O28" s="94"/>
      <x:c r="P28" s="26">
        <x:f t="shared" si="1"/>
        <x:v>480000</x:v>
      </x:c>
      <x:c r="Q28" s="23" t="s">
        <x:v>74</x:v>
      </x:c>
      <x:c r="R28" s="23" t="s">
        <x:v>31</x:v>
      </x:c>
      <x:c r="S28" s="32"/>
      <x:c r="T28" s="33"/>
      <x:c r="U28" s="34" t="e">
        <x:f>IFERROR(__xludf.DUMMYFUNCTION("SUM(FILTER($E$2:$O$1007, $C$2:$C$1007 = T28))"),2.0616606589041095E7)</x:f>
        <x:v>#NAME?</x:v>
      </x:c>
      <x:c r="V28" s="34" t="e">
        <x:f>IFERROR(__xludf.DUMMYFUNCTION("COUNT(FILTER($C$2:$C$1007, $C$2:$C$1007 = T28))"),0.0)</x:f>
        <x:v>#NAME?</x:v>
      </x:c>
      <x:c r="W28" s="31">
        <x:f t="shared" si="2"/>
        <x:v>0</x:v>
      </x:c>
    </x:row>
    <x:row r="29" ht="18.75" customHeight="1">
      <x:c r="A29" s="19">
        <x:v>28.0</x:v>
      </x:c>
      <x:c r="B29" s="23" t="s">
        <x:v>795</x:v>
      </x:c>
      <x:c r="C29" s="21">
        <x:v>45756.0</x:v>
      </x:c>
      <x:c r="D29" s="22" t="s">
        <x:v>796</x:v>
      </x:c>
      <x:c r="E29" s="23"/>
      <x:c r="F29" s="23"/>
      <x:c r="G29" s="23"/>
      <x:c r="H29" s="23">
        <x:v>1.0</x:v>
      </x:c>
      <x:c r="I29" s="24"/>
      <x:c r="J29" s="25"/>
      <x:c r="K29" s="25"/>
      <x:c r="L29" s="94"/>
      <x:c r="M29" s="94"/>
      <x:c r="N29" s="94"/>
      <x:c r="O29" s="94"/>
      <x:c r="P29" s="26">
        <x:f t="shared" si="1"/>
        <x:v>400000</x:v>
      </x:c>
      <x:c r="Q29" s="23" t="s">
        <x:v>74</x:v>
      </x:c>
      <x:c r="R29" s="23" t="s">
        <x:v>31</x:v>
      </x:c>
      <x:c r="S29" s="32"/>
    </x:row>
    <x:row r="30">
      <x:c r="A30" s="19">
        <x:v>29.0</x:v>
      </x:c>
      <x:c r="B30" s="23" t="s">
        <x:v>797</x:v>
      </x:c>
      <x:c r="C30" s="21">
        <x:v>45757.0</x:v>
      </x:c>
      <x:c r="D30" s="22" t="s">
        <x:v>798</x:v>
      </x:c>
      <x:c r="E30" s="23"/>
      <x:c r="F30" s="23"/>
      <x:c r="G30" s="23"/>
      <x:c r="H30" s="23"/>
      <x:c r="I30" s="25"/>
      <x:c r="J30" s="24">
        <x:v>1.0</x:v>
      </x:c>
      <x:c r="K30" s="24"/>
      <x:c r="L30" s="94"/>
      <x:c r="M30" s="94"/>
      <x:c r="N30" s="94"/>
      <x:c r="O30" s="94"/>
      <x:c r="P30" s="26">
        <x:f t="shared" si="1"/>
        <x:v>240000</x:v>
      </x:c>
      <x:c r="Q30" s="23" t="s">
        <x:v>74</x:v>
      </x:c>
      <x:c r="R30" s="23" t="s">
        <x:v>34</x:v>
      </x:c>
      <x:c r="S30" s="57"/>
    </x:row>
    <x:row r="31" ht="18.75" customHeight="1">
      <x:c r="A31" s="19">
        <x:v>30.0</x:v>
      </x:c>
      <x:c r="B31" s="23" t="s">
        <x:v>799</x:v>
      </x:c>
      <x:c r="C31" s="21">
        <x:v>45757.0</x:v>
      </x:c>
      <x:c r="D31" s="22" t="s">
        <x:v>800</x:v>
      </x:c>
      <x:c r="E31" s="56"/>
      <x:c r="F31" s="23"/>
      <x:c r="G31" s="56"/>
      <x:c r="H31" s="23"/>
      <x:c r="I31" s="24"/>
      <x:c r="J31" s="24"/>
      <x:c r="K31" s="24">
        <x:v>1.0</x:v>
      </x:c>
      <x:c r="L31" s="94"/>
      <x:c r="M31" s="94"/>
      <x:c r="N31" s="94"/>
      <x:c r="O31" s="94"/>
      <x:c r="P31" s="26">
        <x:f t="shared" si="1"/>
        <x:v>240000</x:v>
      </x:c>
      <x:c r="Q31" s="23" t="s">
        <x:v>74</x:v>
      </x:c>
      <x:c r="R31" s="23" t="s">
        <x:v>31</x:v>
      </x:c>
      <x:c r="S31" s="57"/>
    </x:row>
    <x:row r="32" ht="18.75" customHeight="1">
      <x:c r="A32" s="19">
        <x:v>31.0</x:v>
      </x:c>
      <x:c r="B32" s="23" t="s">
        <x:v>801</x:v>
      </x:c>
      <x:c r="C32" s="21">
        <x:v>45757.0</x:v>
      </x:c>
      <x:c r="D32" s="22" t="s">
        <x:v>802</x:v>
      </x:c>
      <x:c r="E32" s="56"/>
      <x:c r="F32" s="23"/>
      <x:c r="G32" s="23"/>
      <x:c r="H32" s="23"/>
      <x:c r="I32" s="24"/>
      <x:c r="J32" s="24"/>
      <x:c r="K32" s="24">
        <x:v>1.0</x:v>
      </x:c>
      <x:c r="L32" s="94"/>
      <x:c r="M32" s="94"/>
      <x:c r="N32" s="94"/>
      <x:c r="O32" s="94"/>
      <x:c r="P32" s="26">
        <x:f t="shared" si="1"/>
        <x:v>240000</x:v>
      </x:c>
      <x:c r="Q32" s="23" t="s">
        <x:v>74</x:v>
      </x:c>
      <x:c r="R32" s="23" t="s">
        <x:v>31</x:v>
      </x:c>
      <x:c r="S32" s="32"/>
    </x:row>
    <x:row r="33" ht="18.75" customHeight="1">
      <x:c r="A33" s="19">
        <x:v>32.0</x:v>
      </x:c>
      <x:c r="B33" s="23" t="s">
        <x:v>803</x:v>
      </x:c>
      <x:c r="C33" s="21">
        <x:v>45758.0</x:v>
      </x:c>
      <x:c r="D33" s="58" t="s">
        <x:v>804</x:v>
      </x:c>
      <x:c r="E33" s="23"/>
      <x:c r="F33" s="23"/>
      <x:c r="G33" s="56"/>
      <x:c r="H33" s="23"/>
      <x:c r="I33" s="24"/>
      <x:c r="J33" s="24">
        <x:v>1.0</x:v>
      </x:c>
      <x:c r="K33" s="24"/>
      <x:c r="L33" s="94"/>
      <x:c r="M33" s="94"/>
      <x:c r="N33" s="94"/>
      <x:c r="O33" s="94"/>
      <x:c r="P33" s="26">
        <x:f t="shared" si="1"/>
        <x:v>240000</x:v>
      </x:c>
      <x:c r="Q33" s="23" t="s">
        <x:v>74</x:v>
      </x:c>
      <x:c r="R33" s="23" t="s">
        <x:v>31</x:v>
      </x:c>
      <x:c r="S33" s="32"/>
    </x:row>
    <x:row r="34" ht="18.75" customHeight="1">
      <x:c r="A34" s="19">
        <x:v>33.0</x:v>
      </x:c>
      <x:c r="B34" s="23" t="s">
        <x:v>805</x:v>
      </x:c>
      <x:c r="C34" s="21">
        <x:v>45758.0</x:v>
      </x:c>
      <x:c r="D34" s="35"/>
      <x:c r="E34" s="23"/>
      <x:c r="F34" s="23"/>
      <x:c r="G34" s="56"/>
      <x:c r="H34" s="23">
        <x:v>5.0</x:v>
      </x:c>
      <x:c r="I34" s="24"/>
      <x:c r="J34" s="24">
        <x:v>1.0</x:v>
      </x:c>
      <x:c r="K34" s="24"/>
      <x:c r="L34" s="23"/>
      <x:c r="M34" s="23"/>
      <x:c r="N34" s="23"/>
      <x:c r="O34" s="23"/>
      <x:c r="P34" s="26" t="n">
        <x:f>(E34*260+F34*255+G34*360+H34*400+I34*470+J34*240+K34*240+L34*305+M34*315+N34*395-15)*1000</x:f>
        <x:v>2225000</x:v>
      </x:c>
      <x:c r="Q34" s="23" t="s">
        <x:v>74</x:v>
      </x:c>
      <x:c r="R34" s="23" t="s">
        <x:v>31</x:v>
      </x:c>
      <x:c r="S34" s="32"/>
    </x:row>
    <x:row r="35" ht="18.75" customHeight="1">
      <x:c r="A35" s="19">
        <x:v>34.0</x:v>
      </x:c>
      <x:c r="B35" s="23" t="s">
        <x:v>806</x:v>
      </x:c>
      <x:c r="C35" s="21">
        <x:v>45759.0</x:v>
      </x:c>
      <x:c r="D35" s="22" t="s">
        <x:v>807</x:v>
      </x:c>
      <x:c r="E35" s="56"/>
      <x:c r="F35" s="23"/>
      <x:c r="G35" s="23"/>
      <x:c r="H35" s="23">
        <x:v>3.0</x:v>
      </x:c>
      <x:c r="I35" s="25"/>
      <x:c r="J35" s="24"/>
      <x:c r="K35" s="25"/>
      <x:c r="L35" s="94"/>
      <x:c r="M35" s="94"/>
      <x:c r="N35" s="94"/>
      <x:c r="O35" s="94"/>
      <x:c r="P35" s="26" t="n">
        <x:f t="shared" ref="P35:P50" si="3">(E35*260+F35*255+G35*360+H35*400+I35*470+J35*240+K35*240+L35*305+M35*315+N35*395)*1000</x:f>
        <x:v>1200000</x:v>
      </x:c>
      <x:c r="Q35" s="23" t="s">
        <x:v>74</x:v>
      </x:c>
      <x:c r="R35" s="23" t="s">
        <x:v>31</x:v>
      </x:c>
      <x:c r="S35" s="32"/>
    </x:row>
    <x:row r="36" ht="18.75" customHeight="1">
      <x:c r="A36" s="19">
        <x:v>35.0</x:v>
      </x:c>
      <x:c r="B36" s="23" t="s">
        <x:v>808</x:v>
      </x:c>
      <x:c r="C36" s="21">
        <x:v>45759.0</x:v>
      </x:c>
      <x:c r="D36" s="22" t="s">
        <x:v>809</x:v>
      </x:c>
      <x:c r="E36" s="23"/>
      <x:c r="F36" s="23"/>
      <x:c r="G36" s="23"/>
      <x:c r="H36" s="23">
        <x:v>1.0</x:v>
      </x:c>
      <x:c r="I36" s="24"/>
      <x:c r="J36" s="24"/>
      <x:c r="K36" s="24"/>
      <x:c r="L36" s="94"/>
      <x:c r="M36" s="94"/>
      <x:c r="N36" s="94"/>
      <x:c r="O36" s="94"/>
      <x:c r="P36" s="26">
        <x:f t="shared" si="3"/>
        <x:v>400000</x:v>
      </x:c>
      <x:c r="Q36" s="23" t="s">
        <x:v>74</x:v>
      </x:c>
      <x:c r="R36" s="23" t="s">
        <x:v>34</x:v>
      </x:c>
      <x:c r="S36" s="32"/>
    </x:row>
    <x:row r="37" ht="18.75" customHeight="1">
      <x:c r="A37" s="19">
        <x:v>36.0</x:v>
      </x:c>
      <x:c r="B37" s="23" t="s">
        <x:v>810</x:v>
      </x:c>
      <x:c r="C37" s="21">
        <x:v>45762.0</x:v>
      </x:c>
      <x:c r="D37" s="22" t="s">
        <x:v>811</x:v>
      </x:c>
      <x:c r="E37" s="23"/>
      <x:c r="F37" s="23"/>
      <x:c r="G37" s="23"/>
      <x:c r="H37" s="23"/>
      <x:c r="I37" s="25"/>
      <x:c r="J37" s="24"/>
      <x:c r="K37" s="24">
        <x:v>1.0</x:v>
      </x:c>
      <x:c r="L37" s="94"/>
      <x:c r="M37" s="94"/>
      <x:c r="N37" s="94"/>
      <x:c r="O37" s="94"/>
      <x:c r="P37" s="26">
        <x:f t="shared" si="3"/>
        <x:v>240000</x:v>
      </x:c>
      <x:c r="Q37" s="23" t="s">
        <x:v>74</x:v>
      </x:c>
      <x:c r="R37" s="23" t="s">
        <x:v>31</x:v>
      </x:c>
    </x:row>
    <x:row r="38" ht="18.75" customHeight="1">
      <x:c r="A38" s="19">
        <x:v>37.0</x:v>
      </x:c>
      <x:c r="B38" s="23" t="s">
        <x:v>812</x:v>
      </x:c>
      <x:c r="C38" s="21">
        <x:v>45762.0</x:v>
      </x:c>
      <x:c r="D38" s="22" t="s">
        <x:v>813</x:v>
      </x:c>
      <x:c r="E38" s="23"/>
      <x:c r="F38" s="23"/>
      <x:c r="G38" s="23"/>
      <x:c r="H38" s="23"/>
      <x:c r="I38" s="25"/>
      <x:c r="J38" s="24"/>
      <x:c r="K38" s="24">
        <x:v>1.0</x:v>
      </x:c>
      <x:c r="L38" s="94"/>
      <x:c r="M38" s="94"/>
      <x:c r="N38" s="94"/>
      <x:c r="O38" s="94"/>
      <x:c r="P38" s="26">
        <x:f t="shared" si="3"/>
        <x:v>240000</x:v>
      </x:c>
      <x:c r="Q38" s="23" t="s">
        <x:v>74</x:v>
      </x:c>
      <x:c r="R38" s="23" t="s">
        <x:v>31</x:v>
      </x:c>
    </x:row>
    <x:row r="39">
      <x:c r="A39" s="19">
        <x:v>38.0</x:v>
      </x:c>
      <x:c r="B39" s="23" t="s">
        <x:v>176</x:v>
      </x:c>
      <x:c r="C39" s="21">
        <x:v>45763.0</x:v>
      </x:c>
      <x:c r="D39" s="22" t="s">
        <x:v>814</x:v>
      </x:c>
      <x:c r="E39" s="56"/>
      <x:c r="F39" s="23"/>
      <x:c r="G39" s="86"/>
      <x:c r="H39" s="23"/>
      <x:c r="I39" s="24"/>
      <x:c r="J39" s="24">
        <x:v>1.0</x:v>
      </x:c>
      <x:c r="K39" s="24"/>
      <x:c r="L39" s="94"/>
      <x:c r="M39" s="94"/>
      <x:c r="N39" s="94"/>
      <x:c r="O39" s="94"/>
      <x:c r="P39" s="26">
        <x:f t="shared" si="3"/>
        <x:v>240000</x:v>
      </x:c>
      <x:c r="Q39" s="23" t="s">
        <x:v>74</x:v>
      </x:c>
      <x:c r="R39" s="23" t="s">
        <x:v>31</x:v>
      </x:c>
      <x:c r="S39" s="32"/>
    </x:row>
    <x:row r="40" ht="18.75" customHeight="1">
      <x:c r="A40" s="19">
        <x:v>39.0</x:v>
      </x:c>
      <x:c r="B40" s="23" t="s">
        <x:v>815</x:v>
      </x:c>
      <x:c r="C40" s="21">
        <x:v>45763.0</x:v>
      </x:c>
      <x:c r="D40" s="22" t="s">
        <x:v>578</x:v>
      </x:c>
      <x:c r="E40" s="23"/>
      <x:c r="F40" s="23"/>
      <x:c r="G40" s="23"/>
      <x:c r="H40" s="23">
        <x:v>1.0</x:v>
      </x:c>
      <x:c r="I40" s="25"/>
      <x:c r="J40" s="24"/>
      <x:c r="K40" s="24"/>
      <x:c r="L40" s="94"/>
      <x:c r="M40" s="94"/>
      <x:c r="N40" s="94"/>
      <x:c r="O40" s="94"/>
      <x:c r="P40" s="26">
        <x:f t="shared" si="3"/>
        <x:v>400000</x:v>
      </x:c>
      <x:c r="Q40" s="23" t="s">
        <x:v>74</x:v>
      </x:c>
      <x:c r="R40" s="23" t="s">
        <x:v>31</x:v>
      </x:c>
    </x:row>
    <x:row r="41" ht="18.75" customHeight="1">
      <x:c r="A41" s="19">
        <x:v>40.0</x:v>
      </x:c>
      <x:c r="B41" s="23" t="s">
        <x:v>459</x:v>
      </x:c>
      <x:c r="C41" s="21">
        <x:v>45763.0</x:v>
      </x:c>
      <x:c r="D41" s="35" t="s">
        <x:v>816</x:v>
      </x:c>
      <x:c r="E41" s="23"/>
      <x:c r="F41" s="23"/>
      <x:c r="G41" s="23"/>
      <x:c r="H41" s="23">
        <x:v>2.0</x:v>
      </x:c>
      <x:c r="I41" s="25"/>
      <x:c r="J41" s="24"/>
      <x:c r="K41" s="24"/>
      <x:c r="L41" s="94"/>
      <x:c r="M41" s="94"/>
      <x:c r="N41" s="94"/>
      <x:c r="O41" s="94"/>
      <x:c r="P41" s="26">
        <x:f t="shared" si="3"/>
        <x:v>800000</x:v>
      </x:c>
      <x:c r="Q41" s="23" t="s">
        <x:v>74</x:v>
      </x:c>
      <x:c r="R41" s="23" t="s">
        <x:v>34</x:v>
      </x:c>
    </x:row>
    <x:row r="42" ht="18.75" customHeight="1">
      <x:c r="A42" s="19">
        <x:v>41.0</x:v>
      </x:c>
      <x:c r="B42" s="23" t="s">
        <x:v>817</x:v>
      </x:c>
      <x:c r="C42" s="21">
        <x:v>45764.0</x:v>
      </x:c>
      <x:c r="D42" s="22" t="s">
        <x:v>818</x:v>
      </x:c>
      <x:c r="E42" s="23"/>
      <x:c r="F42" s="23"/>
      <x:c r="G42" s="23"/>
      <x:c r="H42" s="23"/>
      <x:c r="I42" s="24"/>
      <x:c r="J42" s="24">
        <x:v>1.0</x:v>
      </x:c>
      <x:c r="K42" s="24">
        <x:v>1.0</x:v>
      </x:c>
      <x:c r="L42" s="94"/>
      <x:c r="M42" s="94"/>
      <x:c r="N42" s="94"/>
      <x:c r="O42" s="94"/>
      <x:c r="P42" s="26">
        <x:f t="shared" si="3"/>
        <x:v>480000</x:v>
      </x:c>
      <x:c r="Q42" s="23" t="s">
        <x:v>74</x:v>
      </x:c>
      <x:c r="R42" s="23" t="s">
        <x:v>34</x:v>
      </x:c>
    </x:row>
    <x:row r="43" ht="18.75" customHeight="1">
      <x:c r="A43" s="19">
        <x:v>42.0</x:v>
      </x:c>
      <x:c r="B43" s="23" t="s">
        <x:v>819</x:v>
      </x:c>
      <x:c r="C43" s="21">
        <x:v>45764.0</x:v>
      </x:c>
      <x:c r="D43" s="22" t="s">
        <x:v>820</x:v>
      </x:c>
      <x:c r="E43" s="23"/>
      <x:c r="F43" s="23"/>
      <x:c r="G43" s="56"/>
      <x:c r="H43" s="23"/>
      <x:c r="I43" s="25"/>
      <x:c r="J43" s="24"/>
      <x:c r="K43" s="24">
        <x:v>3.0</x:v>
      </x:c>
      <x:c r="L43" s="94"/>
      <x:c r="M43" s="94"/>
      <x:c r="N43" s="94"/>
      <x:c r="O43" s="94"/>
      <x:c r="P43" s="26">
        <x:f t="shared" si="3"/>
        <x:v>720000</x:v>
      </x:c>
      <x:c r="Q43" s="23" t="s">
        <x:v>74</x:v>
      </x:c>
      <x:c r="R43" s="23" t="s">
        <x:v>31</x:v>
      </x:c>
    </x:row>
    <x:row r="44" ht="18.75" customHeight="1">
      <x:c r="A44" s="19">
        <x:v>43.0</x:v>
      </x:c>
      <x:c r="B44" s="23" t="s">
        <x:v>821</x:v>
      </x:c>
      <x:c r="C44" s="21">
        <x:v>45764.0</x:v>
      </x:c>
      <x:c r="D44" s="58" t="s">
        <x:v>822</x:v>
      </x:c>
      <x:c r="E44" s="23"/>
      <x:c r="F44" s="23"/>
      <x:c r="G44" s="23"/>
      <x:c r="H44" s="23"/>
      <x:c r="I44" s="25"/>
      <x:c r="J44" s="24">
        <x:v>2.0</x:v>
      </x:c>
      <x:c r="K44" s="24"/>
      <x:c r="L44" s="94"/>
      <x:c r="M44" s="94"/>
      <x:c r="N44" s="94"/>
      <x:c r="O44" s="94"/>
      <x:c r="P44" s="26">
        <x:f t="shared" si="3"/>
        <x:v>480000</x:v>
      </x:c>
      <x:c r="Q44" s="23" t="s">
        <x:v>74</x:v>
      </x:c>
      <x:c r="R44" s="23" t="s">
        <x:v>31</x:v>
      </x:c>
    </x:row>
    <x:row r="45" ht="18.75" customHeight="1">
      <x:c r="A45" s="19">
        <x:v>44.0</x:v>
      </x:c>
      <x:c r="B45" s="39" t="s">
        <x:v>823</x:v>
      </x:c>
      <x:c r="C45" s="21">
        <x:v>45764.0</x:v>
      </x:c>
      <x:c r="D45" s="22" t="s">
        <x:v>824</x:v>
      </x:c>
      <x:c r="E45" s="23"/>
      <x:c r="F45" s="23"/>
      <x:c r="G45" s="23"/>
      <x:c r="H45" s="23"/>
      <x:c r="I45" s="25"/>
      <x:c r="J45" s="24"/>
      <x:c r="K45" s="24">
        <x:v>1.0</x:v>
      </x:c>
      <x:c r="L45" s="94"/>
      <x:c r="M45" s="94"/>
      <x:c r="N45" s="94"/>
      <x:c r="O45" s="94"/>
      <x:c r="P45" s="26">
        <x:f t="shared" si="3"/>
        <x:v>240000</x:v>
      </x:c>
      <x:c r="Q45" s="23" t="s">
        <x:v>74</x:v>
      </x:c>
      <x:c r="R45" s="23" t="s">
        <x:v>31</x:v>
      </x:c>
    </x:row>
    <x:row r="46" ht="18.75" customHeight="1">
      <x:c r="A46" s="19">
        <x:v>45.0</x:v>
      </x:c>
      <x:c r="B46" s="39" t="s">
        <x:v>825</x:v>
      </x:c>
      <x:c r="C46" s="21">
        <x:v>45764.0</x:v>
      </x:c>
      <x:c r="D46" s="22" t="s">
        <x:v>826</x:v>
      </x:c>
      <x:c r="E46" s="56"/>
      <x:c r="F46" s="23"/>
      <x:c r="G46" s="56"/>
      <x:c r="H46" s="23"/>
      <x:c r="I46" s="25"/>
      <x:c r="J46" s="24">
        <x:v>1.0</x:v>
      </x:c>
      <x:c r="K46" s="24">
        <x:v>1.0</x:v>
      </x:c>
      <x:c r="L46" s="94"/>
      <x:c r="M46" s="94"/>
      <x:c r="N46" s="94"/>
      <x:c r="O46" s="94"/>
      <x:c r="P46" s="26">
        <x:f t="shared" si="3"/>
        <x:v>480000</x:v>
      </x:c>
      <x:c r="Q46" s="23" t="s">
        <x:v>74</x:v>
      </x:c>
      <x:c r="R46" s="23" t="s">
        <x:v>31</x:v>
      </x:c>
    </x:row>
    <x:row r="47" ht="18.75" customHeight="1">
      <x:c r="A47" s="19">
        <x:v>46.0</x:v>
      </x:c>
      <x:c r="B47" s="23" t="s">
        <x:v>700</x:v>
      </x:c>
      <x:c r="C47" s="21">
        <x:v>45764.0</x:v>
      </x:c>
      <x:c r="D47" s="22" t="s">
        <x:v>701</x:v>
      </x:c>
      <x:c r="E47" s="56"/>
      <x:c r="F47" s="23"/>
      <x:c r="G47" s="56"/>
      <x:c r="H47" s="23">
        <x:v>1.0</x:v>
      </x:c>
      <x:c r="I47" s="25"/>
      <x:c r="J47" s="24"/>
      <x:c r="K47" s="24"/>
      <x:c r="L47" s="94"/>
      <x:c r="M47" s="94"/>
      <x:c r="N47" s="94"/>
      <x:c r="O47" s="94"/>
      <x:c r="P47" s="26">
        <x:f t="shared" si="3"/>
        <x:v>400000</x:v>
      </x:c>
      <x:c r="Q47" s="23" t="s">
        <x:v>74</x:v>
      </x:c>
      <x:c r="R47" s="23" t="s">
        <x:v>34</x:v>
      </x:c>
    </x:row>
    <x:row r="48" ht="18.75" customHeight="1">
      <x:c r="A48" s="19">
        <x:v>47.0</x:v>
      </x:c>
      <x:c r="B48" s="23" t="s">
        <x:v>827</x:v>
      </x:c>
      <x:c r="C48" s="21">
        <x:v>45765.0</x:v>
      </x:c>
      <x:c r="D48" s="22" t="s">
        <x:v>828</x:v>
      </x:c>
      <x:c r="E48" s="23"/>
      <x:c r="F48" s="23"/>
      <x:c r="G48" s="56"/>
      <x:c r="H48" s="23">
        <x:v>1.0</x:v>
      </x:c>
      <x:c r="I48" s="25"/>
      <x:c r="J48" s="24"/>
      <x:c r="K48" s="25"/>
      <x:c r="L48" s="94"/>
      <x:c r="M48" s="94"/>
      <x:c r="N48" s="94"/>
      <x:c r="O48" s="94"/>
      <x:c r="P48" s="26">
        <x:f t="shared" si="3"/>
        <x:v>400000</x:v>
      </x:c>
      <x:c r="Q48" s="23" t="s">
        <x:v>74</x:v>
      </x:c>
      <x:c r="R48" s="23" t="s">
        <x:v>31</x:v>
      </x:c>
    </x:row>
    <x:row r="49" ht="18.75" customHeight="1">
      <x:c r="A49" s="19">
        <x:v>48.0</x:v>
      </x:c>
      <x:c r="B49" s="23" t="s">
        <x:v>829</x:v>
      </x:c>
      <x:c r="C49" s="21">
        <x:v>45765.0</x:v>
      </x:c>
      <x:c r="D49" s="58" t="s">
        <x:v>830</x:v>
      </x:c>
      <x:c r="E49" s="23"/>
      <x:c r="F49" s="23"/>
      <x:c r="G49" s="23"/>
      <x:c r="H49" s="23"/>
      <x:c r="I49" s="25"/>
      <x:c r="J49" s="24"/>
      <x:c r="K49" s="24">
        <x:v>1.0</x:v>
      </x:c>
      <x:c r="L49" s="94"/>
      <x:c r="M49" s="94"/>
      <x:c r="N49" s="94"/>
      <x:c r="O49" s="94"/>
      <x:c r="P49" s="26">
        <x:f t="shared" si="3"/>
        <x:v>240000</x:v>
      </x:c>
      <x:c r="Q49" s="23" t="s">
        <x:v>74</x:v>
      </x:c>
      <x:c r="R49" s="23" t="s">
        <x:v>31</x:v>
      </x:c>
    </x:row>
    <x:row r="50" ht="18.75" customHeight="1">
      <x:c r="A50" s="19">
        <x:v>49.0</x:v>
      </x:c>
      <x:c r="B50" s="23" t="s">
        <x:v>831</x:v>
      </x:c>
      <x:c r="C50" s="21">
        <x:v>45766.0</x:v>
      </x:c>
      <x:c r="D50" s="58" t="s">
        <x:v>832</x:v>
      </x:c>
      <x:c r="E50" s="56"/>
      <x:c r="F50" s="23"/>
      <x:c r="G50" s="23"/>
      <x:c r="H50" s="23"/>
      <x:c r="I50" s="24"/>
      <x:c r="J50" s="24"/>
      <x:c r="K50" s="24">
        <x:v>1.0</x:v>
      </x:c>
      <x:c r="L50" s="94"/>
      <x:c r="M50" s="94"/>
      <x:c r="N50" s="94"/>
      <x:c r="O50" s="94"/>
      <x:c r="P50" s="26">
        <x:f t="shared" si="3"/>
        <x:v>240000</x:v>
      </x:c>
      <x:c r="Q50" s="23" t="s">
        <x:v>74</x:v>
      </x:c>
      <x:c r="R50" s="23" t="s">
        <x:v>31</x:v>
      </x:c>
    </x:row>
    <x:row r="51" ht="18.75" customHeight="1">
      <x:c r="A51" s="19">
        <x:v>50.0</x:v>
      </x:c>
      <x:c r="B51" s="23" t="s">
        <x:v>605</x:v>
      </x:c>
      <x:c r="C51" s="21">
        <x:v>45767.0</x:v>
      </x:c>
      <x:c r="D51" s="22" t="s">
        <x:v>833</x:v>
      </x:c>
      <x:c r="E51" s="56"/>
      <x:c r="F51" s="23"/>
      <x:c r="G51" s="23"/>
      <x:c r="H51" s="23"/>
      <x:c r="I51" s="24"/>
      <x:c r="J51" s="24"/>
      <x:c r="K51" s="24">
        <x:v>1.0</x:v>
      </x:c>
      <x:c r="L51" s="94"/>
      <x:c r="M51" s="94"/>
      <x:c r="N51" s="94"/>
      <x:c r="O51" s="94"/>
      <x:c r="P51" s="26" t="n">
        <x:f>(E51*260+F51*255+G51*360+H51*400+I51*470+J51*240+K51*240+L51*305+M51*315+N51*395-16)*1000</x:f>
        <x:v>224000</x:v>
      </x:c>
      <x:c r="Q51" s="23" t="s">
        <x:v>74</x:v>
      </x:c>
      <x:c r="R51" s="23" t="s">
        <x:v>31</x:v>
      </x:c>
    </x:row>
    <x:row r="52" ht="18.75" customHeight="1">
      <x:c r="A52" s="19">
        <x:v>51.0</x:v>
      </x:c>
      <x:c r="B52" s="23" t="s">
        <x:v>834</x:v>
      </x:c>
      <x:c r="C52" s="21">
        <x:v>45768.0</x:v>
      </x:c>
      <x:c r="D52" s="58" t="s">
        <x:v>835</x:v>
      </x:c>
      <x:c r="E52" s="56"/>
      <x:c r="F52" s="23"/>
      <x:c r="G52" s="56"/>
      <x:c r="H52" s="23">
        <x:v>5.0</x:v>
      </x:c>
      <x:c r="I52" s="24"/>
      <x:c r="J52" s="24">
        <x:v>6.0</x:v>
      </x:c>
      <x:c r="K52" s="24"/>
      <x:c r="L52" s="94"/>
      <x:c r="M52" s="94"/>
      <x:c r="N52" s="94"/>
      <x:c r="O52" s="94"/>
      <x:c r="P52" s="26" t="n">
        <x:f>(E52*260+F52*255+G52*360+H52*400+I52*470+J52*240+K52*240+L52*305+M52*315+N52*395-60)*1000</x:f>
        <x:v>3380000</x:v>
      </x:c>
      <x:c r="Q52" s="23" t="s">
        <x:v>74</x:v>
      </x:c>
      <x:c r="R52" s="23" t="s">
        <x:v>34</x:v>
      </x:c>
      <x:c r="S52" s="39"/>
    </x:row>
    <x:row r="53" ht="18.75" customHeight="1">
      <x:c r="A53" s="19">
        <x:v>52.0</x:v>
      </x:c>
      <x:c r="B53" s="23" t="s">
        <x:v>836</x:v>
      </x:c>
      <x:c r="C53" s="21">
        <x:v>45768.0</x:v>
      </x:c>
      <x:c r="D53" s="22" t="s">
        <x:v>837</x:v>
      </x:c>
      <x:c r="E53" s="56"/>
      <x:c r="F53" s="23"/>
      <x:c r="G53" s="56"/>
      <x:c r="H53" s="23"/>
      <x:c r="I53" s="25"/>
      <x:c r="J53" s="24">
        <x:v>1.0</x:v>
      </x:c>
      <x:c r="K53" s="24"/>
      <x:c r="L53" s="94"/>
      <x:c r="M53" s="94"/>
      <x:c r="N53" s="94"/>
      <x:c r="O53" s="94"/>
      <x:c r="P53" s="26" t="n">
        <x:f>(E53*260+F53*255+G53*360+H53*400+I53*470+J53*240+K53*240+L53*305+M53*315+N53*395)*1000</x:f>
        <x:v>240000</x:v>
      </x:c>
      <x:c r="Q53" s="23" t="s">
        <x:v>74</x:v>
      </x:c>
      <x:c r="R53" s="23" t="s">
        <x:v>31</x:v>
      </x:c>
    </x:row>
    <x:row r="54" ht="18.75" customHeight="1">
      <x:c r="A54" s="19">
        <x:v>53.0</x:v>
      </x:c>
      <x:c r="B54" s="23" t="s">
        <x:v>838</x:v>
      </x:c>
      <x:c r="C54" s="21">
        <x:v>45769.0</x:v>
      </x:c>
      <x:c r="D54" s="22" t="s">
        <x:v>554</x:v>
      </x:c>
      <x:c r="E54" s="56"/>
      <x:c r="F54" s="23"/>
      <x:c r="G54" s="56"/>
      <x:c r="H54" s="23">
        <x:v>5.0</x:v>
      </x:c>
      <x:c r="I54" s="25"/>
      <x:c r="J54" s="24"/>
      <x:c r="K54" s="25"/>
      <x:c r="L54" s="94"/>
      <x:c r="M54" s="94"/>
      <x:c r="N54" s="94"/>
      <x:c r="O54" s="94"/>
      <x:c r="P54" s="26" t="n">
        <x:f>(E54*260+F54*255+G54*360+H54*400+I54*470+J54*240+K54*240+L54*305+M54*315+N54*395-25)*1000</x:f>
        <x:v>1975000</x:v>
      </x:c>
      <x:c r="Q54" s="23" t="s">
        <x:v>74</x:v>
      </x:c>
      <x:c r="R54" s="23" t="s">
        <x:v>34</x:v>
      </x:c>
    </x:row>
    <x:row r="55" ht="18.75" customHeight="1">
      <x:c r="A55" s="19">
        <x:v>54.0</x:v>
      </x:c>
      <x:c r="B55" s="23" t="s">
        <x:v>631</x:v>
      </x:c>
      <x:c r="C55" s="21">
        <x:v>45769.0</x:v>
      </x:c>
      <x:c r="D55" s="55"/>
      <x:c r="E55" s="23"/>
      <x:c r="F55" s="23"/>
      <x:c r="G55" s="23"/>
      <x:c r="H55" s="23">
        <x:v>1.0</x:v>
      </x:c>
      <x:c r="I55" s="25"/>
      <x:c r="J55" s="24"/>
      <x:c r="K55" s="24">
        <x:v>1.0</x:v>
      </x:c>
      <x:c r="L55" s="94"/>
      <x:c r="M55" s="94"/>
      <x:c r="N55" s="94"/>
      <x:c r="O55" s="94"/>
      <x:c r="P55" s="26" t="n">
        <x:f>(E55*260+F55*255+G55*360+H55*400+I55*470+J55*240+K55*240+L55*305+M55*315+N55*395-40)*1000</x:f>
        <x:v>600000</x:v>
      </x:c>
      <x:c r="Q55" s="23" t="s">
        <x:v>74</x:v>
      </x:c>
      <x:c r="R55" s="23" t="s">
        <x:v>31</x:v>
      </x:c>
    </x:row>
    <x:row r="56" ht="18.75" customHeight="1">
      <x:c r="A56" s="19">
        <x:v>55.0</x:v>
      </x:c>
      <x:c r="B56" s="23" t="s">
        <x:v>839</x:v>
      </x:c>
      <x:c r="C56" s="21">
        <x:v>45769.0</x:v>
      </x:c>
      <x:c r="D56" s="22" t="s">
        <x:v>840</x:v>
      </x:c>
      <x:c r="E56" s="23"/>
      <x:c r="F56" s="23"/>
      <x:c r="G56" s="56"/>
      <x:c r="H56" s="23"/>
      <x:c r="I56" s="25"/>
      <x:c r="J56" s="24"/>
      <x:c r="K56" s="24">
        <x:v>1.0</x:v>
      </x:c>
      <x:c r="L56" s="94"/>
      <x:c r="M56" s="94"/>
      <x:c r="N56" s="94"/>
      <x:c r="O56" s="94"/>
      <x:c r="P56" s="100">
        <x:v>0.0</x:v>
      </x:c>
      <x:c r="Q56" s="23" t="s">
        <x:v>74</x:v>
      </x:c>
      <x:c r="R56" s="23" t="s">
        <x:v>31</x:v>
      </x:c>
      <x:c r="S56" s="39" t="s">
        <x:v>841</x:v>
      </x:c>
    </x:row>
    <x:row r="57" ht="18.75" customHeight="1">
      <x:c r="A57" s="19">
        <x:v>56.0</x:v>
      </x:c>
      <x:c r="B57" s="23" t="s">
        <x:v>842</x:v>
      </x:c>
      <x:c r="C57" s="21">
        <x:v>45770.0</x:v>
      </x:c>
      <x:c r="D57" s="22" t="s">
        <x:v>843</x:v>
      </x:c>
      <x:c r="E57" s="56"/>
      <x:c r="F57" s="23"/>
      <x:c r="G57" s="23"/>
      <x:c r="H57" s="23"/>
      <x:c r="I57" s="25"/>
      <x:c r="J57" s="24">
        <x:v>1.0</x:v>
      </x:c>
      <x:c r="K57" s="25"/>
      <x:c r="L57" s="94"/>
      <x:c r="M57" s="94"/>
      <x:c r="N57" s="94"/>
      <x:c r="O57" s="94"/>
      <x:c r="P57" s="26" t="n">
        <x:f t="shared" ref="P57:P58" si="4">(E57*260+F57*255+G57*360+H57*400+I57*470+J57*240+K57*240+L57*305+M57*315+N57*395)*1000</x:f>
        <x:v>240000</x:v>
      </x:c>
      <x:c r="Q57" s="23" t="s">
        <x:v>74</x:v>
      </x:c>
      <x:c r="R57" s="23" t="s">
        <x:v>34</x:v>
      </x:c>
    </x:row>
    <x:row r="58" ht="18.75" customHeight="1">
      <x:c r="A58" s="19">
        <x:v>57.0</x:v>
      </x:c>
      <x:c r="B58" s="23" t="s">
        <x:v>844</x:v>
      </x:c>
      <x:c r="C58" s="21">
        <x:v>45770.0</x:v>
      </x:c>
      <x:c r="D58" s="22" t="s">
        <x:v>845</x:v>
      </x:c>
      <x:c r="E58" s="23"/>
      <x:c r="F58" s="23"/>
      <x:c r="G58" s="23"/>
      <x:c r="H58" s="23"/>
      <x:c r="I58" s="25"/>
      <x:c r="J58" s="24"/>
      <x:c r="K58" s="24">
        <x:v>1.0</x:v>
      </x:c>
      <x:c r="L58" s="94"/>
      <x:c r="M58" s="94"/>
      <x:c r="N58" s="94"/>
      <x:c r="O58" s="94"/>
      <x:c r="P58" s="26">
        <x:f t="shared" si="4"/>
        <x:v>240000</x:v>
      </x:c>
      <x:c r="Q58" s="23" t="s">
        <x:v>74</x:v>
      </x:c>
      <x:c r="R58" s="23" t="s">
        <x:v>31</x:v>
      </x:c>
    </x:row>
    <x:row r="59">
      <x:c r="A59" s="75"/>
      <x:c r="B59" s="75" t="s">
        <x:v>27</x:v>
      </x:c>
      <x:c r="C59" s="77"/>
      <x:c r="D59" s="78"/>
      <x:c r="E59" s="77" t="n">
        <x:f t="shared" ref="E59:N59" si="5">SUM(E2:E58)</x:f>
        <x:v>0</x:v>
      </x:c>
      <x:c r="F59" s="77">
        <x:f t="shared" si="5"/>
        <x:v>20</x:v>
      </x:c>
      <x:c r="G59" s="77">
        <x:f t="shared" si="5"/>
        <x:v>0</x:v>
      </x:c>
      <x:c r="H59" s="77">
        <x:f t="shared" si="5"/>
        <x:v>34</x:v>
      </x:c>
      <x:c r="I59" s="79">
        <x:f t="shared" si="5"/>
        <x:v>0</x:v>
      </x:c>
      <x:c r="J59" s="79">
        <x:f t="shared" si="5"/>
        <x:v>22</x:v>
      </x:c>
      <x:c r="K59" s="79">
        <x:f t="shared" si="5"/>
        <x:v>25</x:v>
      </x:c>
      <x:c r="L59" s="77">
        <x:f t="shared" si="5"/>
        <x:v>10</x:v>
      </x:c>
      <x:c r="M59" s="77">
        <x:f t="shared" si="5"/>
        <x:v>16</x:v>
      </x:c>
      <x:c r="N59" s="77">
        <x:f t="shared" si="5"/>
        <x:v>0</x:v>
      </x:c>
      <x:c r="O59" s="101"/>
      <x:c r="P59" s="80" t="n">
        <x:f>SUM(P2:P58)</x:f>
        <x:v>37479000</x:v>
      </x:c>
      <x:c r="Q59" s="77"/>
      <x:c r="R59" s="77"/>
    </x:row>
    <x:row r="60">
      <x:c r="A60" s="75"/>
      <x:c r="B60" s="75" t="s">
        <x:v>51</x:v>
      </x:c>
      <x:c r="C60" s="81"/>
      <x:c r="D60" s="96"/>
      <x:c r="E60" s="83" t="n">
        <x:f>E59*Inventory_batches!I60</x:f>
        <x:v>0</x:v>
      </x:c>
      <x:c r="F60" s="83" t="n">
        <x:f>F59*Inventory_batches!I65</x:f>
        <x:v>3327161.6438356163</x:v>
      </x:c>
      <x:c r="G60" s="83" t="n">
        <x:f>G59*Inventory_batches!F24</x:f>
        <x:v>0</x:v>
      </x:c>
      <x:c r="H60" s="83" t="n">
        <x:f>H59*Inventory_batches!I58</x:f>
        <x:v>6691880</x:v>
      </x:c>
      <x:c r="I60" s="84" t="n">
        <x:f>I59*Inventory_batches!I59</x:f>
        <x:v>0</x:v>
      </x:c>
      <x:c r="J60" s="84" t="n">
        <x:f>J59*Inventory_batches!I66</x:f>
        <x:v>3087877.808219178</x:v>
      </x:c>
      <x:c r="K60" s="84" t="n">
        <x:f>K59*Inventory_batches!I55</x:f>
        <x:v>3184250</x:v>
      </x:c>
      <x:c r="L60" s="83" t="n">
        <x:f>L59*Inventory_batches!I68</x:f>
        <x:v>1663580.8219178081</x:v>
      </x:c>
      <x:c r="M60" s="83" t="n">
        <x:f>M59*Inventory_batches!I69</x:f>
        <x:v>2661729.315068493</x:v>
      </x:c>
      <x:c r="N60" s="83" t="n">
        <x:f>N59*Inventory_batches!I70</x:f>
        <x:v>0</x:v>
      </x:c>
      <x:c r="O60" s="102"/>
      <x:c r="P60" s="83" t="n">
        <x:f>SUM(E60:N60)</x:f>
        <x:v>20616479.589041095</x:v>
      </x:c>
      <x:c r="Q60" s="85" t="n">
        <x:f>P60-T3</x:f>
        <x:v>11966479.589041095</x:v>
      </x:c>
      <x:c r="R60" s="86"/>
      <x:c r="S60" s="32"/>
    </x:row>
    <x:row r="61">
      <x:c r="A61" s="87"/>
      <x:c r="D61" s="32"/>
      <x:c r="I61" s="74"/>
      <x:c r="J61" s="74"/>
      <x:c r="K61" s="74"/>
      <x:c r="L61" s="89"/>
      <x:c r="M61" s="89"/>
      <x:c r="N61" s="89"/>
      <x:c r="O61" s="89"/>
      <x:c r="P61" s="90" t="n">
        <x:f>P59-P60</x:f>
        <x:v>16862520.410958905</x:v>
      </x:c>
      <x:c r="R61" s="86"/>
      <x:c r="S61" s="32"/>
    </x:row>
    <x:row r="62">
      <x:c r="A62" s="87"/>
      <x:c r="D62" s="32"/>
      <x:c r="I62" s="74"/>
      <x:c r="J62" s="74"/>
      <x:c r="K62" s="74"/>
      <x:c r="L62" s="91"/>
      <x:c r="M62" s="91"/>
      <x:c r="N62" s="91"/>
      <x:c r="O62" s="91"/>
      <x:c r="P62" s="85"/>
      <x:c r="R62" s="86"/>
      <x:c r="S62" s="32"/>
    </x:row>
    <x:row r="63">
      <x:c r="A63" s="87"/>
      <x:c r="D63" s="32"/>
      <x:c r="I63" s="74"/>
      <x:c r="J63" s="74"/>
      <x:c r="K63" s="74"/>
      <x:c r="L63" s="91"/>
      <x:c r="M63" s="91"/>
      <x:c r="N63" s="91"/>
      <x:c r="O63" s="91"/>
      <x:c r="P63" s="85"/>
      <x:c r="R63" s="86"/>
      <x:c r="S63" s="32"/>
    </x:row>
    <x:row r="64">
      <x:c r="A64" s="87"/>
      <x:c r="D64" s="32"/>
      <x:c r="I64" s="74"/>
      <x:c r="J64" s="74"/>
      <x:c r="K64" s="74"/>
      <x:c r="L64" s="91"/>
      <x:c r="M64" s="91"/>
      <x:c r="N64" s="91"/>
      <x:c r="O64" s="91"/>
      <x:c r="P64" s="85"/>
      <x:c r="R64" s="86"/>
      <x:c r="S64" s="32"/>
    </x:row>
    <x:row r="65">
      <x:c r="A65" s="87"/>
      <x:c r="D65" s="32"/>
      <x:c r="I65" s="74"/>
      <x:c r="J65" s="74"/>
      <x:c r="K65" s="74"/>
      <x:c r="L65" s="91"/>
      <x:c r="M65" s="91"/>
      <x:c r="N65" s="91"/>
      <x:c r="O65" s="91"/>
      <x:c r="P65" s="85"/>
      <x:c r="R65" s="86"/>
      <x:c r="S65" s="32"/>
    </x:row>
    <x:row r="66">
      <x:c r="A66" s="87"/>
      <x:c r="D66" s="32"/>
      <x:c r="I66" s="74"/>
      <x:c r="J66" s="74"/>
      <x:c r="K66" s="74"/>
      <x:c r="L66" s="91"/>
      <x:c r="M66" s="91"/>
      <x:c r="N66" s="91"/>
      <x:c r="O66" s="91"/>
      <x:c r="P66" s="85"/>
      <x:c r="R66" s="86"/>
      <x:c r="S66" s="32"/>
    </x:row>
    <x:row r="67">
      <x:c r="A67" s="87"/>
      <x:c r="D67" s="32"/>
      <x:c r="I67" s="74"/>
      <x:c r="J67" s="74"/>
      <x:c r="K67" s="74"/>
      <x:c r="L67" s="91"/>
      <x:c r="M67" s="91"/>
      <x:c r="N67" s="91"/>
      <x:c r="O67" s="91"/>
      <x:c r="P67" s="85"/>
      <x:c r="R67" s="86"/>
      <x:c r="S67" s="32"/>
    </x:row>
    <x:row r="68">
      <x:c r="A68" s="87"/>
      <x:c r="D68" s="32"/>
      <x:c r="I68" s="74"/>
      <x:c r="J68" s="74"/>
      <x:c r="K68" s="74"/>
      <x:c r="L68" s="91"/>
      <x:c r="M68" s="91"/>
      <x:c r="N68" s="91"/>
      <x:c r="O68" s="91"/>
      <x:c r="P68" s="85"/>
      <x:c r="R68" s="86"/>
      <x:c r="S68" s="32"/>
    </x:row>
    <x:row r="69">
      <x:c r="A69" s="87"/>
      <x:c r="D69" s="32"/>
      <x:c r="I69" s="74"/>
      <x:c r="J69" s="74"/>
      <x:c r="K69" s="74"/>
      <x:c r="L69" s="91"/>
      <x:c r="M69" s="91"/>
      <x:c r="N69" s="91"/>
      <x:c r="O69" s="91"/>
      <x:c r="P69" s="85"/>
      <x:c r="R69" s="86"/>
      <x:c r="S69" s="32"/>
    </x:row>
    <x:row r="70">
      <x:c r="A70" s="87"/>
      <x:c r="D70" s="32"/>
      <x:c r="I70" s="74"/>
      <x:c r="J70" s="74"/>
      <x:c r="K70" s="74"/>
      <x:c r="L70" s="91"/>
      <x:c r="M70" s="91"/>
      <x:c r="N70" s="91"/>
      <x:c r="O70" s="91"/>
      <x:c r="P70" s="85"/>
      <x:c r="R70" s="86"/>
      <x:c r="S70" s="32"/>
    </x:row>
    <x:row r="71">
      <x:c r="A71" s="87"/>
      <x:c r="D71" s="32"/>
      <x:c r="I71" s="74"/>
      <x:c r="J71" s="74"/>
      <x:c r="K71" s="74"/>
      <x:c r="L71" s="91"/>
      <x:c r="M71" s="91"/>
      <x:c r="N71" s="91"/>
      <x:c r="O71" s="91"/>
      <x:c r="P71" s="85"/>
      <x:c r="R71" s="86"/>
      <x:c r="S71" s="32"/>
    </x:row>
    <x:row r="72">
      <x:c r="A72" s="87"/>
      <x:c r="D72" s="32"/>
      <x:c r="I72" s="74"/>
      <x:c r="J72" s="74"/>
      <x:c r="K72" s="74"/>
      <x:c r="L72" s="91"/>
      <x:c r="M72" s="91"/>
      <x:c r="N72" s="91"/>
      <x:c r="O72" s="91"/>
      <x:c r="P72" s="85"/>
      <x:c r="R72" s="86"/>
      <x:c r="S72" s="32"/>
    </x:row>
    <x:row r="73">
      <x:c r="A73" s="87"/>
      <x:c r="D73" s="32"/>
      <x:c r="I73" s="74"/>
      <x:c r="J73" s="74"/>
      <x:c r="K73" s="74"/>
      <x:c r="L73" s="91"/>
      <x:c r="M73" s="91"/>
      <x:c r="N73" s="91"/>
      <x:c r="O73" s="91"/>
      <x:c r="P73" s="85"/>
      <x:c r="R73" s="86"/>
      <x:c r="S73" s="32"/>
    </x:row>
    <x:row r="74">
      <x:c r="A74" s="87"/>
      <x:c r="D74" s="32"/>
      <x:c r="I74" s="74"/>
      <x:c r="J74" s="74"/>
      <x:c r="K74" s="74"/>
      <x:c r="L74" s="91"/>
      <x:c r="M74" s="91"/>
      <x:c r="N74" s="91"/>
      <x:c r="O74" s="91"/>
      <x:c r="P74" s="85"/>
      <x:c r="R74" s="86"/>
      <x:c r="S74" s="32"/>
    </x:row>
    <x:row r="75">
      <x:c r="A75" s="87"/>
      <x:c r="D75" s="32"/>
      <x:c r="I75" s="74"/>
      <x:c r="J75" s="74"/>
      <x:c r="K75" s="74"/>
      <x:c r="L75" s="91"/>
      <x:c r="M75" s="91"/>
      <x:c r="N75" s="91"/>
      <x:c r="O75" s="91"/>
      <x:c r="P75" s="85"/>
      <x:c r="R75" s="86"/>
      <x:c r="S75" s="32"/>
    </x:row>
    <x:row r="76">
      <x:c r="A76" s="87"/>
      <x:c r="D76" s="32"/>
      <x:c r="I76" s="74"/>
      <x:c r="J76" s="74"/>
      <x:c r="K76" s="74"/>
      <x:c r="L76" s="91"/>
      <x:c r="M76" s="91"/>
      <x:c r="N76" s="91"/>
      <x:c r="O76" s="91"/>
      <x:c r="P76" s="85"/>
      <x:c r="R76" s="86"/>
      <x:c r="S76" s="32"/>
    </x:row>
    <x:row r="77">
      <x:c r="A77" s="87"/>
      <x:c r="D77" s="32"/>
      <x:c r="I77" s="74"/>
      <x:c r="J77" s="74"/>
      <x:c r="K77" s="74"/>
      <x:c r="L77" s="91"/>
      <x:c r="M77" s="91"/>
      <x:c r="N77" s="91"/>
      <x:c r="O77" s="91"/>
      <x:c r="P77" s="85"/>
      <x:c r="R77" s="86"/>
      <x:c r="S77" s="32"/>
    </x:row>
    <x:row r="78">
      <x:c r="A78" s="87"/>
      <x:c r="D78" s="32"/>
      <x:c r="I78" s="74"/>
      <x:c r="J78" s="74"/>
      <x:c r="K78" s="74"/>
      <x:c r="L78" s="91"/>
      <x:c r="M78" s="91"/>
      <x:c r="N78" s="91"/>
      <x:c r="O78" s="91"/>
      <x:c r="P78" s="85"/>
      <x:c r="R78" s="86"/>
      <x:c r="S78" s="32"/>
    </x:row>
    <x:row r="79">
      <x:c r="A79" s="87"/>
      <x:c r="D79" s="32"/>
      <x:c r="I79" s="74"/>
      <x:c r="J79" s="74"/>
      <x:c r="K79" s="74"/>
      <x:c r="L79" s="91"/>
      <x:c r="M79" s="91"/>
      <x:c r="N79" s="91"/>
      <x:c r="O79" s="91"/>
      <x:c r="P79" s="85"/>
      <x:c r="R79" s="86"/>
      <x:c r="S79" s="32"/>
    </x:row>
    <x:row r="80">
      <x:c r="A80" s="87"/>
      <x:c r="D80" s="32"/>
      <x:c r="I80" s="74"/>
      <x:c r="J80" s="74"/>
      <x:c r="K80" s="74"/>
      <x:c r="L80" s="91"/>
      <x:c r="M80" s="91"/>
      <x:c r="N80" s="91"/>
      <x:c r="O80" s="91"/>
      <x:c r="P80" s="85"/>
      <x:c r="R80" s="86"/>
      <x:c r="S80" s="32"/>
    </x:row>
    <x:row r="81">
      <x:c r="A81" s="87"/>
      <x:c r="D81" s="32"/>
      <x:c r="I81" s="74"/>
      <x:c r="J81" s="74"/>
      <x:c r="K81" s="74"/>
      <x:c r="L81" s="91"/>
      <x:c r="M81" s="91"/>
      <x:c r="N81" s="91"/>
      <x:c r="O81" s="91"/>
      <x:c r="P81" s="85"/>
      <x:c r="R81" s="86"/>
      <x:c r="S81" s="32"/>
    </x:row>
    <x:row r="82">
      <x:c r="A82" s="87"/>
      <x:c r="D82" s="32"/>
      <x:c r="I82" s="74"/>
      <x:c r="J82" s="74"/>
      <x:c r="K82" s="74"/>
      <x:c r="L82" s="91"/>
      <x:c r="M82" s="91"/>
      <x:c r="N82" s="91"/>
      <x:c r="O82" s="91"/>
      <x:c r="P82" s="85"/>
      <x:c r="R82" s="86"/>
      <x:c r="S82" s="32"/>
    </x:row>
    <x:row r="83">
      <x:c r="A83" s="87"/>
      <x:c r="D83" s="32"/>
      <x:c r="I83" s="74"/>
      <x:c r="J83" s="74"/>
      <x:c r="K83" s="74"/>
      <x:c r="L83" s="91"/>
      <x:c r="M83" s="91"/>
      <x:c r="N83" s="91"/>
      <x:c r="O83" s="91"/>
      <x:c r="P83" s="85"/>
      <x:c r="R83" s="86"/>
      <x:c r="S83" s="32"/>
    </x:row>
    <x:row r="84">
      <x:c r="A84" s="87"/>
      <x:c r="D84" s="32"/>
      <x:c r="I84" s="74"/>
      <x:c r="J84" s="74"/>
      <x:c r="K84" s="74"/>
      <x:c r="L84" s="91"/>
      <x:c r="M84" s="91"/>
      <x:c r="N84" s="91"/>
      <x:c r="O84" s="91"/>
      <x:c r="P84" s="85"/>
      <x:c r="R84" s="86"/>
      <x:c r="S84" s="32"/>
    </x:row>
    <x:row r="85">
      <x:c r="A85" s="87"/>
      <x:c r="D85" s="32"/>
      <x:c r="I85" s="74"/>
      <x:c r="J85" s="74"/>
      <x:c r="K85" s="74"/>
      <x:c r="L85" s="91"/>
      <x:c r="M85" s="91"/>
      <x:c r="N85" s="91"/>
      <x:c r="O85" s="91"/>
      <x:c r="P85" s="85"/>
      <x:c r="R85" s="86"/>
      <x:c r="S85" s="32"/>
    </x:row>
    <x:row r="86">
      <x:c r="A86" s="87"/>
      <x:c r="D86" s="32"/>
      <x:c r="I86" s="74"/>
      <x:c r="J86" s="74"/>
      <x:c r="K86" s="74"/>
      <x:c r="L86" s="91"/>
      <x:c r="M86" s="91"/>
      <x:c r="N86" s="91"/>
      <x:c r="O86" s="91"/>
      <x:c r="P86" s="85"/>
      <x:c r="R86" s="86"/>
      <x:c r="S86" s="32"/>
    </x:row>
    <x:row r="87">
      <x:c r="A87" s="87"/>
      <x:c r="D87" s="32"/>
      <x:c r="I87" s="74"/>
      <x:c r="J87" s="74"/>
      <x:c r="K87" s="74"/>
      <x:c r="L87" s="91"/>
      <x:c r="M87" s="91"/>
      <x:c r="N87" s="91"/>
      <x:c r="O87" s="91"/>
      <x:c r="P87" s="85"/>
      <x:c r="R87" s="86"/>
      <x:c r="S87" s="32"/>
    </x:row>
    <x:row r="88">
      <x:c r="A88" s="87"/>
      <x:c r="D88" s="32"/>
      <x:c r="I88" s="74"/>
      <x:c r="J88" s="74"/>
      <x:c r="K88" s="74"/>
      <x:c r="L88" s="91"/>
      <x:c r="M88" s="91"/>
      <x:c r="N88" s="91"/>
      <x:c r="O88" s="91"/>
      <x:c r="P88" s="85"/>
      <x:c r="R88" s="86"/>
      <x:c r="S88" s="32"/>
    </x:row>
    <x:row r="89">
      <x:c r="A89" s="87"/>
      <x:c r="D89" s="32"/>
      <x:c r="I89" s="74"/>
      <x:c r="J89" s="74"/>
      <x:c r="K89" s="74"/>
      <x:c r="L89" s="91"/>
      <x:c r="M89" s="91"/>
      <x:c r="N89" s="91"/>
      <x:c r="O89" s="91"/>
      <x:c r="P89" s="85"/>
      <x:c r="R89" s="86"/>
      <x:c r="S89" s="32"/>
    </x:row>
    <x:row r="90">
      <x:c r="A90" s="87"/>
      <x:c r="D90" s="32"/>
      <x:c r="I90" s="74"/>
      <x:c r="J90" s="74"/>
      <x:c r="K90" s="74"/>
      <x:c r="L90" s="91"/>
      <x:c r="M90" s="91"/>
      <x:c r="N90" s="91"/>
      <x:c r="O90" s="91"/>
      <x:c r="P90" s="85"/>
      <x:c r="R90" s="86"/>
      <x:c r="S90" s="32"/>
    </x:row>
    <x:row r="91">
      <x:c r="A91" s="87"/>
      <x:c r="D91" s="32"/>
      <x:c r="I91" s="74"/>
      <x:c r="J91" s="74"/>
      <x:c r="K91" s="74"/>
      <x:c r="L91" s="91"/>
      <x:c r="M91" s="91"/>
      <x:c r="N91" s="91"/>
      <x:c r="O91" s="91"/>
      <x:c r="P91" s="85"/>
      <x:c r="R91" s="86"/>
      <x:c r="S91" s="32"/>
    </x:row>
    <x:row r="92">
      <x:c r="A92" s="87"/>
      <x:c r="D92" s="32"/>
      <x:c r="I92" s="74"/>
      <x:c r="J92" s="74"/>
      <x:c r="K92" s="74"/>
      <x:c r="L92" s="91"/>
      <x:c r="M92" s="91"/>
      <x:c r="N92" s="91"/>
      <x:c r="O92" s="91"/>
      <x:c r="P92" s="85"/>
      <x:c r="R92" s="86"/>
      <x:c r="S92" s="32"/>
    </x:row>
    <x:row r="93">
      <x:c r="A93" s="87"/>
      <x:c r="D93" s="32"/>
      <x:c r="I93" s="74"/>
      <x:c r="J93" s="74"/>
      <x:c r="K93" s="74"/>
      <x:c r="L93" s="91"/>
      <x:c r="M93" s="91"/>
      <x:c r="N93" s="91"/>
      <x:c r="O93" s="91"/>
      <x:c r="P93" s="85"/>
      <x:c r="R93" s="86"/>
      <x:c r="S93" s="32"/>
    </x:row>
    <x:row r="94">
      <x:c r="A94" s="87"/>
      <x:c r="D94" s="32"/>
      <x:c r="I94" s="74"/>
      <x:c r="J94" s="74"/>
      <x:c r="K94" s="74"/>
      <x:c r="L94" s="91"/>
      <x:c r="M94" s="91"/>
      <x:c r="N94" s="91"/>
      <x:c r="O94" s="91"/>
      <x:c r="P94" s="85"/>
      <x:c r="R94" s="86"/>
      <x:c r="S94" s="32"/>
    </x:row>
    <x:row r="95">
      <x:c r="A95" s="87"/>
      <x:c r="D95" s="32"/>
      <x:c r="I95" s="74"/>
      <x:c r="J95" s="74"/>
      <x:c r="K95" s="74"/>
      <x:c r="L95" s="91"/>
      <x:c r="M95" s="91"/>
      <x:c r="N95" s="91"/>
      <x:c r="O95" s="91"/>
      <x:c r="P95" s="85"/>
      <x:c r="R95" s="86"/>
      <x:c r="S95" s="32"/>
    </x:row>
    <x:row r="96">
      <x:c r="A96" s="87"/>
      <x:c r="D96" s="32"/>
      <x:c r="I96" s="74"/>
      <x:c r="J96" s="74"/>
      <x:c r="K96" s="74"/>
      <x:c r="L96" s="91"/>
      <x:c r="M96" s="91"/>
      <x:c r="N96" s="91"/>
      <x:c r="O96" s="91"/>
      <x:c r="P96" s="85"/>
      <x:c r="R96" s="86"/>
      <x:c r="S96" s="32"/>
    </x:row>
    <x:row r="97">
      <x:c r="A97" s="87"/>
      <x:c r="D97" s="32"/>
      <x:c r="I97" s="74"/>
      <x:c r="J97" s="74"/>
      <x:c r="K97" s="74"/>
      <x:c r="L97" s="91"/>
      <x:c r="M97" s="91"/>
      <x:c r="N97" s="91"/>
      <x:c r="O97" s="91"/>
      <x:c r="P97" s="85"/>
      <x:c r="R97" s="86"/>
      <x:c r="S97" s="32"/>
    </x:row>
    <x:row r="98">
      <x:c r="A98" s="87"/>
      <x:c r="D98" s="32"/>
      <x:c r="I98" s="74"/>
      <x:c r="J98" s="74"/>
      <x:c r="K98" s="74"/>
      <x:c r="L98" s="91"/>
      <x:c r="M98" s="91"/>
      <x:c r="N98" s="91"/>
      <x:c r="O98" s="91"/>
      <x:c r="P98" s="85"/>
      <x:c r="R98" s="86"/>
      <x:c r="S98" s="32"/>
    </x:row>
    <x:row r="99">
      <x:c r="A99" s="87"/>
      <x:c r="D99" s="32"/>
      <x:c r="I99" s="74"/>
      <x:c r="J99" s="74"/>
      <x:c r="K99" s="74"/>
      <x:c r="L99" s="91"/>
      <x:c r="M99" s="91"/>
      <x:c r="N99" s="91"/>
      <x:c r="O99" s="91"/>
      <x:c r="P99" s="85"/>
      <x:c r="R99" s="86"/>
      <x:c r="S99" s="32"/>
    </x:row>
    <x:row r="100">
      <x:c r="A100" s="87"/>
      <x:c r="D100" s="32"/>
      <x:c r="I100" s="74"/>
      <x:c r="J100" s="74"/>
      <x:c r="K100" s="74"/>
      <x:c r="L100" s="91"/>
      <x:c r="M100" s="91"/>
      <x:c r="N100" s="91"/>
      <x:c r="O100" s="91"/>
      <x:c r="P100" s="85"/>
      <x:c r="R100" s="86"/>
      <x:c r="S100" s="32"/>
    </x:row>
    <x:row r="101">
      <x:c r="A101" s="87"/>
      <x:c r="D101" s="32"/>
      <x:c r="I101" s="74"/>
      <x:c r="J101" s="74"/>
      <x:c r="K101" s="74"/>
      <x:c r="L101" s="91"/>
      <x:c r="M101" s="91"/>
      <x:c r="N101" s="91"/>
      <x:c r="O101" s="91"/>
      <x:c r="P101" s="85"/>
      <x:c r="R101" s="86"/>
      <x:c r="S101" s="32"/>
    </x:row>
    <x:row r="102">
      <x:c r="A102" s="87"/>
      <x:c r="D102" s="32"/>
      <x:c r="I102" s="74"/>
      <x:c r="J102" s="74"/>
      <x:c r="K102" s="74"/>
      <x:c r="L102" s="91"/>
      <x:c r="M102" s="91"/>
      <x:c r="N102" s="91"/>
      <x:c r="O102" s="91"/>
      <x:c r="P102" s="85"/>
      <x:c r="R102" s="86"/>
      <x:c r="S102" s="32"/>
    </x:row>
    <x:row r="103">
      <x:c r="A103" s="87"/>
      <x:c r="D103" s="32"/>
      <x:c r="I103" s="74"/>
      <x:c r="J103" s="74"/>
      <x:c r="K103" s="74"/>
      <x:c r="L103" s="91"/>
      <x:c r="M103" s="91"/>
      <x:c r="N103" s="91"/>
      <x:c r="O103" s="91"/>
      <x:c r="P103" s="85"/>
      <x:c r="R103" s="86"/>
      <x:c r="S103" s="32"/>
    </x:row>
    <x:row r="104">
      <x:c r="A104" s="87"/>
      <x:c r="D104" s="32"/>
      <x:c r="I104" s="74"/>
      <x:c r="J104" s="74"/>
      <x:c r="K104" s="74"/>
      <x:c r="L104" s="91"/>
      <x:c r="M104" s="91"/>
      <x:c r="N104" s="91"/>
      <x:c r="O104" s="91"/>
      <x:c r="P104" s="85"/>
      <x:c r="R104" s="86"/>
      <x:c r="S104" s="32"/>
    </x:row>
    <x:row r="105">
      <x:c r="A105" s="87"/>
      <x:c r="D105" s="32"/>
      <x:c r="I105" s="74"/>
      <x:c r="J105" s="74"/>
      <x:c r="K105" s="74"/>
      <x:c r="L105" s="91"/>
      <x:c r="M105" s="91"/>
      <x:c r="N105" s="91"/>
      <x:c r="O105" s="91"/>
      <x:c r="P105" s="85"/>
      <x:c r="R105" s="86"/>
      <x:c r="S105" s="32"/>
    </x:row>
    <x:row r="106">
      <x:c r="A106" s="87"/>
      <x:c r="D106" s="32"/>
      <x:c r="I106" s="74"/>
      <x:c r="J106" s="74"/>
      <x:c r="K106" s="74"/>
      <x:c r="L106" s="91"/>
      <x:c r="M106" s="91"/>
      <x:c r="N106" s="91"/>
      <x:c r="O106" s="91"/>
      <x:c r="P106" s="85"/>
      <x:c r="R106" s="86"/>
      <x:c r="S106" s="32"/>
    </x:row>
    <x:row r="107">
      <x:c r="A107" s="87"/>
      <x:c r="D107" s="32"/>
      <x:c r="I107" s="74"/>
      <x:c r="J107" s="74"/>
      <x:c r="K107" s="74"/>
      <x:c r="L107" s="91"/>
      <x:c r="M107" s="91"/>
      <x:c r="N107" s="91"/>
      <x:c r="O107" s="91"/>
      <x:c r="P107" s="85"/>
      <x:c r="R107" s="86"/>
      <x:c r="S107" s="32"/>
    </x:row>
    <x:row r="108">
      <x:c r="A108" s="87"/>
      <x:c r="D108" s="32"/>
      <x:c r="I108" s="74"/>
      <x:c r="J108" s="74"/>
      <x:c r="K108" s="74"/>
      <x:c r="L108" s="91"/>
      <x:c r="M108" s="91"/>
      <x:c r="N108" s="91"/>
      <x:c r="O108" s="91"/>
      <x:c r="P108" s="85"/>
      <x:c r="R108" s="86"/>
      <x:c r="S108" s="32"/>
    </x:row>
    <x:row r="109">
      <x:c r="A109" s="87"/>
      <x:c r="D109" s="32"/>
      <x:c r="I109" s="74"/>
      <x:c r="J109" s="74"/>
      <x:c r="K109" s="74"/>
      <x:c r="L109" s="91"/>
      <x:c r="M109" s="91"/>
      <x:c r="N109" s="91"/>
      <x:c r="O109" s="91"/>
      <x:c r="P109" s="85"/>
      <x:c r="R109" s="86"/>
      <x:c r="S109" s="32"/>
    </x:row>
    <x:row r="110">
      <x:c r="A110" s="87"/>
      <x:c r="D110" s="32"/>
      <x:c r="I110" s="74"/>
      <x:c r="J110" s="74"/>
      <x:c r="K110" s="74"/>
      <x:c r="L110" s="91"/>
      <x:c r="M110" s="91"/>
      <x:c r="N110" s="91"/>
      <x:c r="O110" s="91"/>
      <x:c r="P110" s="85"/>
      <x:c r="R110" s="86"/>
      <x:c r="S110" s="32"/>
    </x:row>
    <x:row r="111">
      <x:c r="A111" s="87"/>
      <x:c r="D111" s="32"/>
      <x:c r="I111" s="74"/>
      <x:c r="J111" s="74"/>
      <x:c r="K111" s="74"/>
      <x:c r="L111" s="91"/>
      <x:c r="M111" s="91"/>
      <x:c r="N111" s="91"/>
      <x:c r="O111" s="91"/>
      <x:c r="P111" s="85"/>
      <x:c r="R111" s="86"/>
      <x:c r="S111" s="32"/>
    </x:row>
    <x:row r="112">
      <x:c r="A112" s="87"/>
      <x:c r="D112" s="32"/>
      <x:c r="I112" s="74"/>
      <x:c r="J112" s="74"/>
      <x:c r="K112" s="74"/>
      <x:c r="L112" s="91"/>
      <x:c r="M112" s="91"/>
      <x:c r="N112" s="91"/>
      <x:c r="O112" s="91"/>
      <x:c r="P112" s="85"/>
      <x:c r="R112" s="86"/>
      <x:c r="S112" s="32"/>
    </x:row>
    <x:row r="113">
      <x:c r="A113" s="87"/>
      <x:c r="D113" s="32"/>
      <x:c r="I113" s="74"/>
      <x:c r="J113" s="74"/>
      <x:c r="K113" s="74"/>
      <x:c r="L113" s="91"/>
      <x:c r="M113" s="91"/>
      <x:c r="N113" s="91"/>
      <x:c r="O113" s="91"/>
      <x:c r="P113" s="85"/>
      <x:c r="R113" s="86"/>
      <x:c r="S113" s="32"/>
    </x:row>
    <x:row r="114">
      <x:c r="A114" s="87"/>
      <x:c r="D114" s="32"/>
      <x:c r="I114" s="74"/>
      <x:c r="J114" s="74"/>
      <x:c r="K114" s="74"/>
      <x:c r="L114" s="91"/>
      <x:c r="M114" s="91"/>
      <x:c r="N114" s="91"/>
      <x:c r="O114" s="91"/>
      <x:c r="P114" s="85"/>
      <x:c r="R114" s="86"/>
      <x:c r="S114" s="32"/>
    </x:row>
    <x:row r="115">
      <x:c r="A115" s="87"/>
      <x:c r="D115" s="32"/>
      <x:c r="I115" s="74"/>
      <x:c r="J115" s="74"/>
      <x:c r="K115" s="74"/>
      <x:c r="L115" s="91"/>
      <x:c r="M115" s="91"/>
      <x:c r="N115" s="91"/>
      <x:c r="O115" s="91"/>
      <x:c r="P115" s="85"/>
      <x:c r="R115" s="86"/>
      <x:c r="S115" s="32"/>
    </x:row>
    <x:row r="116">
      <x:c r="A116" s="87"/>
      <x:c r="D116" s="32"/>
      <x:c r="I116" s="74"/>
      <x:c r="J116" s="74"/>
      <x:c r="K116" s="74"/>
      <x:c r="L116" s="91"/>
      <x:c r="M116" s="91"/>
      <x:c r="N116" s="91"/>
      <x:c r="O116" s="91"/>
      <x:c r="P116" s="85"/>
      <x:c r="R116" s="86"/>
      <x:c r="S116" s="32"/>
    </x:row>
    <x:row r="117">
      <x:c r="A117" s="87"/>
      <x:c r="D117" s="32"/>
      <x:c r="I117" s="74"/>
      <x:c r="J117" s="74"/>
      <x:c r="K117" s="74"/>
      <x:c r="L117" s="91"/>
      <x:c r="M117" s="91"/>
      <x:c r="N117" s="91"/>
      <x:c r="O117" s="91"/>
      <x:c r="P117" s="85"/>
      <x:c r="R117" s="86"/>
      <x:c r="S117" s="32"/>
    </x:row>
    <x:row r="118">
      <x:c r="A118" s="87"/>
      <x:c r="D118" s="32"/>
      <x:c r="I118" s="74"/>
      <x:c r="J118" s="74"/>
      <x:c r="K118" s="74"/>
      <x:c r="L118" s="91"/>
      <x:c r="M118" s="91"/>
      <x:c r="N118" s="91"/>
      <x:c r="O118" s="91"/>
      <x:c r="P118" s="85"/>
      <x:c r="R118" s="86"/>
      <x:c r="S118" s="32"/>
    </x:row>
    <x:row r="119">
      <x:c r="A119" s="87"/>
      <x:c r="D119" s="32"/>
      <x:c r="I119" s="74"/>
      <x:c r="J119" s="74"/>
      <x:c r="K119" s="74"/>
      <x:c r="L119" s="91"/>
      <x:c r="M119" s="91"/>
      <x:c r="N119" s="91"/>
      <x:c r="O119" s="91"/>
      <x:c r="P119" s="85"/>
      <x:c r="R119" s="86"/>
      <x:c r="S119" s="32"/>
    </x:row>
    <x:row r="120">
      <x:c r="A120" s="87"/>
      <x:c r="D120" s="32"/>
      <x:c r="I120" s="74"/>
      <x:c r="J120" s="74"/>
      <x:c r="K120" s="74"/>
      <x:c r="L120" s="91"/>
      <x:c r="M120" s="91"/>
      <x:c r="N120" s="91"/>
      <x:c r="O120" s="91"/>
      <x:c r="P120" s="85"/>
      <x:c r="R120" s="86"/>
      <x:c r="S120" s="32"/>
    </x:row>
    <x:row r="121">
      <x:c r="A121" s="87"/>
      <x:c r="D121" s="32"/>
      <x:c r="I121" s="74"/>
      <x:c r="J121" s="74"/>
      <x:c r="K121" s="74"/>
      <x:c r="L121" s="91"/>
      <x:c r="M121" s="91"/>
      <x:c r="N121" s="91"/>
      <x:c r="O121" s="91"/>
      <x:c r="P121" s="85"/>
      <x:c r="R121" s="86"/>
      <x:c r="S121" s="32"/>
    </x:row>
    <x:row r="122">
      <x:c r="A122" s="87"/>
      <x:c r="D122" s="32"/>
      <x:c r="I122" s="74"/>
      <x:c r="J122" s="74"/>
      <x:c r="K122" s="74"/>
      <x:c r="L122" s="91"/>
      <x:c r="M122" s="91"/>
      <x:c r="N122" s="91"/>
      <x:c r="O122" s="91"/>
      <x:c r="P122" s="85"/>
      <x:c r="R122" s="86"/>
      <x:c r="S122" s="32"/>
    </x:row>
    <x:row r="123">
      <x:c r="A123" s="87"/>
      <x:c r="D123" s="32"/>
      <x:c r="I123" s="74"/>
      <x:c r="J123" s="74"/>
      <x:c r="K123" s="74"/>
      <x:c r="L123" s="91"/>
      <x:c r="M123" s="91"/>
      <x:c r="N123" s="91"/>
      <x:c r="O123" s="91"/>
      <x:c r="P123" s="85"/>
      <x:c r="R123" s="86"/>
      <x:c r="S123" s="32"/>
    </x:row>
    <x:row r="124">
      <x:c r="A124" s="87"/>
      <x:c r="D124" s="32"/>
      <x:c r="I124" s="74"/>
      <x:c r="J124" s="74"/>
      <x:c r="K124" s="74"/>
      <x:c r="L124" s="91"/>
      <x:c r="M124" s="91"/>
      <x:c r="N124" s="91"/>
      <x:c r="O124" s="91"/>
      <x:c r="P124" s="85"/>
      <x:c r="R124" s="86"/>
      <x:c r="S124" s="32"/>
    </x:row>
    <x:row r="125">
      <x:c r="A125" s="87"/>
      <x:c r="D125" s="32"/>
      <x:c r="I125" s="74"/>
      <x:c r="J125" s="74"/>
      <x:c r="K125" s="74"/>
      <x:c r="L125" s="91"/>
      <x:c r="M125" s="91"/>
      <x:c r="N125" s="91"/>
      <x:c r="O125" s="91"/>
      <x:c r="P125" s="85"/>
      <x:c r="R125" s="86"/>
      <x:c r="S125" s="32"/>
    </x:row>
    <x:row r="126">
      <x:c r="A126" s="87"/>
      <x:c r="D126" s="32"/>
      <x:c r="I126" s="74"/>
      <x:c r="J126" s="74"/>
      <x:c r="K126" s="74"/>
      <x:c r="L126" s="91"/>
      <x:c r="M126" s="91"/>
      <x:c r="N126" s="91"/>
      <x:c r="O126" s="91"/>
      <x:c r="P126" s="85"/>
      <x:c r="R126" s="86"/>
      <x:c r="S126" s="32"/>
    </x:row>
    <x:row r="127">
      <x:c r="A127" s="87"/>
      <x:c r="D127" s="32"/>
      <x:c r="I127" s="74"/>
      <x:c r="J127" s="74"/>
      <x:c r="K127" s="74"/>
      <x:c r="L127" s="91"/>
      <x:c r="M127" s="91"/>
      <x:c r="N127" s="91"/>
      <x:c r="O127" s="91"/>
      <x:c r="P127" s="85"/>
      <x:c r="R127" s="86"/>
      <x:c r="S127" s="32"/>
    </x:row>
    <x:row r="128">
      <x:c r="A128" s="87"/>
      <x:c r="D128" s="32"/>
      <x:c r="I128" s="74"/>
      <x:c r="J128" s="74"/>
      <x:c r="K128" s="74"/>
      <x:c r="L128" s="91"/>
      <x:c r="M128" s="91"/>
      <x:c r="N128" s="91"/>
      <x:c r="O128" s="91"/>
      <x:c r="P128" s="85"/>
      <x:c r="R128" s="86"/>
      <x:c r="S128" s="32"/>
    </x:row>
    <x:row r="129">
      <x:c r="A129" s="87"/>
      <x:c r="D129" s="32"/>
      <x:c r="I129" s="74"/>
      <x:c r="J129" s="74"/>
      <x:c r="K129" s="74"/>
      <x:c r="L129" s="91"/>
      <x:c r="M129" s="91"/>
      <x:c r="N129" s="91"/>
      <x:c r="O129" s="91"/>
      <x:c r="P129" s="85"/>
      <x:c r="R129" s="86"/>
      <x:c r="S129" s="32"/>
    </x:row>
    <x:row r="130">
      <x:c r="A130" s="87"/>
      <x:c r="D130" s="32"/>
      <x:c r="I130" s="74"/>
      <x:c r="J130" s="74"/>
      <x:c r="K130" s="74"/>
      <x:c r="L130" s="91"/>
      <x:c r="M130" s="91"/>
      <x:c r="N130" s="91"/>
      <x:c r="O130" s="91"/>
      <x:c r="P130" s="85"/>
      <x:c r="R130" s="86"/>
      <x:c r="S130" s="32"/>
    </x:row>
    <x:row r="131">
      <x:c r="A131" s="87"/>
      <x:c r="D131" s="32"/>
      <x:c r="I131" s="74"/>
      <x:c r="J131" s="74"/>
      <x:c r="K131" s="74"/>
      <x:c r="L131" s="91"/>
      <x:c r="M131" s="91"/>
      <x:c r="N131" s="91"/>
      <x:c r="O131" s="91"/>
      <x:c r="P131" s="85"/>
      <x:c r="R131" s="86"/>
      <x:c r="S131" s="32"/>
    </x:row>
    <x:row r="132">
      <x:c r="A132" s="87"/>
      <x:c r="D132" s="32"/>
      <x:c r="I132" s="74"/>
      <x:c r="J132" s="74"/>
      <x:c r="K132" s="74"/>
      <x:c r="L132" s="91"/>
      <x:c r="M132" s="91"/>
      <x:c r="N132" s="91"/>
      <x:c r="O132" s="91"/>
      <x:c r="P132" s="85"/>
      <x:c r="R132" s="86"/>
      <x:c r="S132" s="32"/>
    </x:row>
    <x:row r="133">
      <x:c r="A133" s="87"/>
      <x:c r="D133" s="32"/>
      <x:c r="I133" s="74"/>
      <x:c r="J133" s="74"/>
      <x:c r="K133" s="74"/>
      <x:c r="L133" s="91"/>
      <x:c r="M133" s="91"/>
      <x:c r="N133" s="91"/>
      <x:c r="O133" s="91"/>
      <x:c r="P133" s="85"/>
      <x:c r="R133" s="86"/>
      <x:c r="S133" s="32"/>
    </x:row>
    <x:row r="134">
      <x:c r="A134" s="87"/>
      <x:c r="D134" s="32"/>
      <x:c r="I134" s="74"/>
      <x:c r="J134" s="74"/>
      <x:c r="K134" s="74"/>
      <x:c r="L134" s="91"/>
      <x:c r="M134" s="91"/>
      <x:c r="N134" s="91"/>
      <x:c r="O134" s="91"/>
      <x:c r="P134" s="85"/>
      <x:c r="R134" s="86"/>
      <x:c r="S134" s="32"/>
    </x:row>
    <x:row r="135">
      <x:c r="A135" s="87"/>
      <x:c r="D135" s="32"/>
      <x:c r="I135" s="74"/>
      <x:c r="J135" s="74"/>
      <x:c r="K135" s="74"/>
      <x:c r="L135" s="91"/>
      <x:c r="M135" s="91"/>
      <x:c r="N135" s="91"/>
      <x:c r="O135" s="91"/>
      <x:c r="P135" s="85"/>
      <x:c r="R135" s="86"/>
      <x:c r="S135" s="32"/>
    </x:row>
    <x:row r="136">
      <x:c r="A136" s="87"/>
      <x:c r="D136" s="32"/>
      <x:c r="I136" s="74"/>
      <x:c r="J136" s="74"/>
      <x:c r="K136" s="74"/>
      <x:c r="L136" s="91"/>
      <x:c r="M136" s="91"/>
      <x:c r="N136" s="91"/>
      <x:c r="O136" s="91"/>
      <x:c r="P136" s="85"/>
      <x:c r="R136" s="86"/>
      <x:c r="S136" s="32"/>
    </x:row>
    <x:row r="137">
      <x:c r="A137" s="87"/>
      <x:c r="D137" s="32"/>
      <x:c r="I137" s="74"/>
      <x:c r="J137" s="74"/>
      <x:c r="K137" s="74"/>
      <x:c r="L137" s="91"/>
      <x:c r="M137" s="91"/>
      <x:c r="N137" s="91"/>
      <x:c r="O137" s="91"/>
      <x:c r="P137" s="85"/>
      <x:c r="R137" s="86"/>
      <x:c r="S137" s="32"/>
    </x:row>
    <x:row r="138">
      <x:c r="A138" s="87"/>
      <x:c r="D138" s="32"/>
      <x:c r="I138" s="74"/>
      <x:c r="J138" s="74"/>
      <x:c r="K138" s="74"/>
      <x:c r="L138" s="91"/>
      <x:c r="M138" s="91"/>
      <x:c r="N138" s="91"/>
      <x:c r="O138" s="91"/>
      <x:c r="P138" s="85"/>
      <x:c r="R138" s="86"/>
      <x:c r="S138" s="32"/>
    </x:row>
    <x:row r="139">
      <x:c r="A139" s="87"/>
      <x:c r="D139" s="32"/>
      <x:c r="I139" s="74"/>
      <x:c r="J139" s="74"/>
      <x:c r="K139" s="74"/>
      <x:c r="L139" s="91"/>
      <x:c r="M139" s="91"/>
      <x:c r="N139" s="91"/>
      <x:c r="O139" s="91"/>
      <x:c r="P139" s="85"/>
      <x:c r="R139" s="86"/>
      <x:c r="S139" s="32"/>
    </x:row>
    <x:row r="140">
      <x:c r="A140" s="87"/>
      <x:c r="D140" s="32"/>
      <x:c r="I140" s="74"/>
      <x:c r="J140" s="74"/>
      <x:c r="K140" s="74"/>
      <x:c r="L140" s="91"/>
      <x:c r="M140" s="91"/>
      <x:c r="N140" s="91"/>
      <x:c r="O140" s="91"/>
      <x:c r="P140" s="85"/>
      <x:c r="R140" s="86"/>
      <x:c r="S140" s="32"/>
    </x:row>
    <x:row r="141">
      <x:c r="A141" s="87"/>
      <x:c r="D141" s="32"/>
      <x:c r="I141" s="74"/>
      <x:c r="J141" s="74"/>
      <x:c r="K141" s="74"/>
      <x:c r="L141" s="91"/>
      <x:c r="M141" s="91"/>
      <x:c r="N141" s="91"/>
      <x:c r="O141" s="91"/>
      <x:c r="P141" s="85"/>
      <x:c r="R141" s="86"/>
      <x:c r="S141" s="32"/>
    </x:row>
    <x:row r="142">
      <x:c r="A142" s="87"/>
      <x:c r="D142" s="32"/>
      <x:c r="I142" s="74"/>
      <x:c r="J142" s="74"/>
      <x:c r="K142" s="74"/>
      <x:c r="L142" s="91"/>
      <x:c r="M142" s="91"/>
      <x:c r="N142" s="91"/>
      <x:c r="O142" s="91"/>
      <x:c r="P142" s="85"/>
      <x:c r="R142" s="86"/>
      <x:c r="S142" s="32"/>
    </x:row>
    <x:row r="143">
      <x:c r="A143" s="87"/>
      <x:c r="D143" s="32"/>
      <x:c r="I143" s="74"/>
      <x:c r="J143" s="74"/>
      <x:c r="K143" s="74"/>
      <x:c r="L143" s="91"/>
      <x:c r="M143" s="91"/>
      <x:c r="N143" s="91"/>
      <x:c r="O143" s="91"/>
      <x:c r="P143" s="85"/>
      <x:c r="R143" s="86"/>
      <x:c r="S143" s="32"/>
    </x:row>
    <x:row r="144">
      <x:c r="A144" s="87"/>
      <x:c r="D144" s="32"/>
      <x:c r="I144" s="74"/>
      <x:c r="J144" s="74"/>
      <x:c r="K144" s="74"/>
      <x:c r="L144" s="91"/>
      <x:c r="M144" s="91"/>
      <x:c r="N144" s="91"/>
      <x:c r="O144" s="91"/>
      <x:c r="P144" s="85"/>
      <x:c r="R144" s="86"/>
      <x:c r="S144" s="32"/>
    </x:row>
    <x:row r="145">
      <x:c r="A145" s="87"/>
      <x:c r="D145" s="32"/>
      <x:c r="I145" s="74"/>
      <x:c r="J145" s="74"/>
      <x:c r="K145" s="74"/>
      <x:c r="L145" s="91"/>
      <x:c r="M145" s="91"/>
      <x:c r="N145" s="91"/>
      <x:c r="O145" s="91"/>
      <x:c r="P145" s="85"/>
      <x:c r="R145" s="86"/>
      <x:c r="S145" s="32"/>
    </x:row>
    <x:row r="146">
      <x:c r="A146" s="87"/>
      <x:c r="D146" s="32"/>
      <x:c r="I146" s="74"/>
      <x:c r="J146" s="74"/>
      <x:c r="K146" s="74"/>
      <x:c r="L146" s="91"/>
      <x:c r="M146" s="91"/>
      <x:c r="N146" s="91"/>
      <x:c r="O146" s="91"/>
      <x:c r="P146" s="85"/>
      <x:c r="R146" s="86"/>
      <x:c r="S146" s="32"/>
    </x:row>
    <x:row r="147">
      <x:c r="A147" s="87"/>
      <x:c r="D147" s="32"/>
      <x:c r="I147" s="74"/>
      <x:c r="J147" s="74"/>
      <x:c r="K147" s="74"/>
      <x:c r="L147" s="91"/>
      <x:c r="M147" s="91"/>
      <x:c r="N147" s="91"/>
      <x:c r="O147" s="91"/>
      <x:c r="P147" s="85"/>
      <x:c r="R147" s="86"/>
      <x:c r="S147" s="32"/>
    </x:row>
    <x:row r="148">
      <x:c r="A148" s="87"/>
      <x:c r="D148" s="32"/>
      <x:c r="I148" s="74"/>
      <x:c r="J148" s="74"/>
      <x:c r="K148" s="74"/>
      <x:c r="L148" s="91"/>
      <x:c r="M148" s="91"/>
      <x:c r="N148" s="91"/>
      <x:c r="O148" s="91"/>
      <x:c r="P148" s="85"/>
      <x:c r="R148" s="86"/>
      <x:c r="S148" s="32"/>
    </x:row>
    <x:row r="149">
      <x:c r="A149" s="87"/>
      <x:c r="D149" s="32"/>
      <x:c r="I149" s="74"/>
      <x:c r="J149" s="74"/>
      <x:c r="K149" s="74"/>
      <x:c r="L149" s="91"/>
      <x:c r="M149" s="91"/>
      <x:c r="N149" s="91"/>
      <x:c r="O149" s="91"/>
      <x:c r="P149" s="85"/>
      <x:c r="R149" s="86"/>
      <x:c r="S149" s="32"/>
    </x:row>
    <x:row r="150">
      <x:c r="A150" s="87"/>
      <x:c r="D150" s="32"/>
      <x:c r="I150" s="74"/>
      <x:c r="J150" s="74"/>
      <x:c r="K150" s="74"/>
      <x:c r="L150" s="91"/>
      <x:c r="M150" s="91"/>
      <x:c r="N150" s="91"/>
      <x:c r="O150" s="91"/>
      <x:c r="P150" s="85"/>
      <x:c r="R150" s="86"/>
      <x:c r="S150" s="32"/>
    </x:row>
    <x:row r="151">
      <x:c r="A151" s="87"/>
      <x:c r="D151" s="32"/>
      <x:c r="I151" s="74"/>
      <x:c r="J151" s="74"/>
      <x:c r="K151" s="74"/>
      <x:c r="L151" s="91"/>
      <x:c r="M151" s="91"/>
      <x:c r="N151" s="91"/>
      <x:c r="O151" s="91"/>
      <x:c r="P151" s="85"/>
      <x:c r="R151" s="86"/>
      <x:c r="S151" s="32"/>
    </x:row>
    <x:row r="152">
      <x:c r="A152" s="87"/>
      <x:c r="D152" s="32"/>
      <x:c r="I152" s="74"/>
      <x:c r="J152" s="74"/>
      <x:c r="K152" s="74"/>
      <x:c r="L152" s="91"/>
      <x:c r="M152" s="91"/>
      <x:c r="N152" s="91"/>
      <x:c r="O152" s="91"/>
      <x:c r="P152" s="85"/>
      <x:c r="R152" s="86"/>
      <x:c r="S152" s="32"/>
    </x:row>
    <x:row r="153">
      <x:c r="A153" s="87"/>
      <x:c r="D153" s="32"/>
      <x:c r="I153" s="74"/>
      <x:c r="J153" s="74"/>
      <x:c r="K153" s="74"/>
      <x:c r="L153" s="91"/>
      <x:c r="M153" s="91"/>
      <x:c r="N153" s="91"/>
      <x:c r="O153" s="91"/>
      <x:c r="P153" s="85"/>
      <x:c r="R153" s="86"/>
      <x:c r="S153" s="32"/>
    </x:row>
    <x:row r="154">
      <x:c r="A154" s="87"/>
      <x:c r="D154" s="32"/>
      <x:c r="I154" s="74"/>
      <x:c r="J154" s="74"/>
      <x:c r="K154" s="74"/>
      <x:c r="L154" s="91"/>
      <x:c r="M154" s="91"/>
      <x:c r="N154" s="91"/>
      <x:c r="O154" s="91"/>
      <x:c r="P154" s="85"/>
      <x:c r="R154" s="86"/>
      <x:c r="S154" s="32"/>
    </x:row>
    <x:row r="155">
      <x:c r="A155" s="87"/>
      <x:c r="D155" s="32"/>
      <x:c r="I155" s="74"/>
      <x:c r="J155" s="74"/>
      <x:c r="K155" s="74"/>
      <x:c r="L155" s="91"/>
      <x:c r="M155" s="91"/>
      <x:c r="N155" s="91"/>
      <x:c r="O155" s="91"/>
      <x:c r="P155" s="85"/>
      <x:c r="R155" s="86"/>
      <x:c r="S155" s="32"/>
    </x:row>
    <x:row r="156">
      <x:c r="A156" s="87"/>
      <x:c r="D156" s="32"/>
      <x:c r="I156" s="74"/>
      <x:c r="J156" s="74"/>
      <x:c r="K156" s="74"/>
      <x:c r="L156" s="91"/>
      <x:c r="M156" s="91"/>
      <x:c r="N156" s="91"/>
      <x:c r="O156" s="91"/>
      <x:c r="P156" s="85"/>
      <x:c r="R156" s="86"/>
      <x:c r="S156" s="32"/>
    </x:row>
    <x:row r="157">
      <x:c r="A157" s="87"/>
      <x:c r="D157" s="32"/>
      <x:c r="I157" s="74"/>
      <x:c r="J157" s="74"/>
      <x:c r="K157" s="74"/>
      <x:c r="L157" s="91"/>
      <x:c r="M157" s="91"/>
      <x:c r="N157" s="91"/>
      <x:c r="O157" s="91"/>
      <x:c r="P157" s="85"/>
      <x:c r="R157" s="86"/>
      <x:c r="S157" s="32"/>
    </x:row>
    <x:row r="158">
      <x:c r="A158" s="87"/>
      <x:c r="D158" s="32"/>
      <x:c r="I158" s="74"/>
      <x:c r="J158" s="74"/>
      <x:c r="K158" s="74"/>
      <x:c r="L158" s="91"/>
      <x:c r="M158" s="91"/>
      <x:c r="N158" s="91"/>
      <x:c r="O158" s="91"/>
      <x:c r="P158" s="85"/>
      <x:c r="R158" s="86"/>
      <x:c r="S158" s="32"/>
    </x:row>
    <x:row r="159">
      <x:c r="A159" s="87"/>
      <x:c r="D159" s="32"/>
      <x:c r="I159" s="74"/>
      <x:c r="J159" s="74"/>
      <x:c r="K159" s="74"/>
      <x:c r="L159" s="91"/>
      <x:c r="M159" s="91"/>
      <x:c r="N159" s="91"/>
      <x:c r="O159" s="91"/>
      <x:c r="P159" s="85"/>
      <x:c r="R159" s="86"/>
      <x:c r="S159" s="32"/>
    </x:row>
    <x:row r="160">
      <x:c r="A160" s="87"/>
      <x:c r="D160" s="32"/>
      <x:c r="I160" s="74"/>
      <x:c r="J160" s="74"/>
      <x:c r="K160" s="74"/>
      <x:c r="L160" s="91"/>
      <x:c r="M160" s="91"/>
      <x:c r="N160" s="91"/>
      <x:c r="O160" s="91"/>
      <x:c r="P160" s="85"/>
      <x:c r="R160" s="86"/>
      <x:c r="S160" s="32"/>
    </x:row>
    <x:row r="161">
      <x:c r="A161" s="87"/>
      <x:c r="D161" s="32"/>
      <x:c r="I161" s="74"/>
      <x:c r="J161" s="74"/>
      <x:c r="K161" s="74"/>
      <x:c r="L161" s="91"/>
      <x:c r="M161" s="91"/>
      <x:c r="N161" s="91"/>
      <x:c r="O161" s="91"/>
      <x:c r="P161" s="85"/>
      <x:c r="R161" s="86"/>
      <x:c r="S161" s="32"/>
    </x:row>
    <x:row r="162">
      <x:c r="A162" s="87"/>
      <x:c r="D162" s="32"/>
      <x:c r="I162" s="74"/>
      <x:c r="J162" s="74"/>
      <x:c r="K162" s="74"/>
      <x:c r="L162" s="91"/>
      <x:c r="M162" s="91"/>
      <x:c r="N162" s="91"/>
      <x:c r="O162" s="91"/>
      <x:c r="P162" s="85"/>
      <x:c r="R162" s="86"/>
      <x:c r="S162" s="32"/>
    </x:row>
    <x:row r="163">
      <x:c r="A163" s="87"/>
      <x:c r="D163" s="32"/>
      <x:c r="I163" s="74"/>
      <x:c r="J163" s="74"/>
      <x:c r="K163" s="74"/>
      <x:c r="L163" s="91"/>
      <x:c r="M163" s="91"/>
      <x:c r="N163" s="91"/>
      <x:c r="O163" s="91"/>
      <x:c r="P163" s="85"/>
      <x:c r="R163" s="86"/>
      <x:c r="S163" s="32"/>
    </x:row>
    <x:row r="164">
      <x:c r="A164" s="87"/>
      <x:c r="D164" s="32"/>
      <x:c r="I164" s="74"/>
      <x:c r="J164" s="74"/>
      <x:c r="K164" s="74"/>
      <x:c r="L164" s="91"/>
      <x:c r="M164" s="91"/>
      <x:c r="N164" s="91"/>
      <x:c r="O164" s="91"/>
      <x:c r="P164" s="85"/>
      <x:c r="R164" s="86"/>
      <x:c r="S164" s="32"/>
    </x:row>
    <x:row r="165">
      <x:c r="A165" s="87"/>
      <x:c r="D165" s="32"/>
      <x:c r="I165" s="74"/>
      <x:c r="J165" s="74"/>
      <x:c r="K165" s="74"/>
      <x:c r="L165" s="91"/>
      <x:c r="M165" s="91"/>
      <x:c r="N165" s="91"/>
      <x:c r="O165" s="91"/>
      <x:c r="P165" s="85"/>
      <x:c r="R165" s="86"/>
      <x:c r="S165" s="32"/>
    </x:row>
    <x:row r="166">
      <x:c r="A166" s="87"/>
      <x:c r="D166" s="32"/>
      <x:c r="I166" s="74"/>
      <x:c r="J166" s="74"/>
      <x:c r="K166" s="74"/>
      <x:c r="L166" s="91"/>
      <x:c r="M166" s="91"/>
      <x:c r="N166" s="91"/>
      <x:c r="O166" s="91"/>
      <x:c r="P166" s="85"/>
      <x:c r="R166" s="86"/>
      <x:c r="S166" s="32"/>
    </x:row>
    <x:row r="167">
      <x:c r="A167" s="87"/>
      <x:c r="D167" s="32"/>
      <x:c r="I167" s="74"/>
      <x:c r="J167" s="74"/>
      <x:c r="K167" s="74"/>
      <x:c r="L167" s="91"/>
      <x:c r="M167" s="91"/>
      <x:c r="N167" s="91"/>
      <x:c r="O167" s="91"/>
      <x:c r="P167" s="85"/>
      <x:c r="R167" s="86"/>
      <x:c r="S167" s="32"/>
    </x:row>
    <x:row r="168">
      <x:c r="A168" s="87"/>
      <x:c r="D168" s="32"/>
      <x:c r="I168" s="74"/>
      <x:c r="J168" s="74"/>
      <x:c r="K168" s="74"/>
      <x:c r="L168" s="91"/>
      <x:c r="M168" s="91"/>
      <x:c r="N168" s="91"/>
      <x:c r="O168" s="91"/>
      <x:c r="P168" s="85"/>
      <x:c r="R168" s="86"/>
      <x:c r="S168" s="32"/>
    </x:row>
    <x:row r="169">
      <x:c r="A169" s="87"/>
      <x:c r="D169" s="32"/>
      <x:c r="I169" s="74"/>
      <x:c r="J169" s="74"/>
      <x:c r="K169" s="74"/>
      <x:c r="L169" s="91"/>
      <x:c r="M169" s="91"/>
      <x:c r="N169" s="91"/>
      <x:c r="O169" s="91"/>
      <x:c r="P169" s="85"/>
      <x:c r="R169" s="86"/>
      <x:c r="S169" s="32"/>
    </x:row>
    <x:row r="170">
      <x:c r="A170" s="87"/>
      <x:c r="D170" s="32"/>
      <x:c r="I170" s="74"/>
      <x:c r="J170" s="74"/>
      <x:c r="K170" s="74"/>
      <x:c r="L170" s="91"/>
      <x:c r="M170" s="91"/>
      <x:c r="N170" s="91"/>
      <x:c r="O170" s="91"/>
      <x:c r="P170" s="85"/>
      <x:c r="R170" s="86"/>
      <x:c r="S170" s="32"/>
    </x:row>
    <x:row r="171">
      <x:c r="A171" s="87"/>
      <x:c r="D171" s="32"/>
      <x:c r="I171" s="74"/>
      <x:c r="J171" s="74"/>
      <x:c r="K171" s="74"/>
      <x:c r="L171" s="91"/>
      <x:c r="M171" s="91"/>
      <x:c r="N171" s="91"/>
      <x:c r="O171" s="91"/>
      <x:c r="P171" s="85"/>
      <x:c r="R171" s="86"/>
      <x:c r="S171" s="32"/>
    </x:row>
    <x:row r="172">
      <x:c r="A172" s="87"/>
      <x:c r="D172" s="32"/>
      <x:c r="I172" s="74"/>
      <x:c r="J172" s="74"/>
      <x:c r="K172" s="74"/>
      <x:c r="L172" s="91"/>
      <x:c r="M172" s="91"/>
      <x:c r="N172" s="91"/>
      <x:c r="O172" s="91"/>
      <x:c r="P172" s="85"/>
      <x:c r="R172" s="86"/>
      <x:c r="S172" s="32"/>
    </x:row>
    <x:row r="173">
      <x:c r="A173" s="87"/>
      <x:c r="D173" s="32"/>
      <x:c r="I173" s="74"/>
      <x:c r="J173" s="74"/>
      <x:c r="K173" s="74"/>
      <x:c r="L173" s="91"/>
      <x:c r="M173" s="91"/>
      <x:c r="N173" s="91"/>
      <x:c r="O173" s="91"/>
      <x:c r="P173" s="85"/>
      <x:c r="R173" s="86"/>
      <x:c r="S173" s="32"/>
    </x:row>
    <x:row r="174">
      <x:c r="A174" s="87"/>
      <x:c r="D174" s="32"/>
      <x:c r="I174" s="74"/>
      <x:c r="J174" s="74"/>
      <x:c r="K174" s="74"/>
      <x:c r="L174" s="91"/>
      <x:c r="M174" s="91"/>
      <x:c r="N174" s="91"/>
      <x:c r="O174" s="91"/>
      <x:c r="P174" s="85"/>
      <x:c r="R174" s="86"/>
      <x:c r="S174" s="32"/>
    </x:row>
    <x:row r="175">
      <x:c r="A175" s="87"/>
      <x:c r="D175" s="32"/>
      <x:c r="I175" s="74"/>
      <x:c r="J175" s="74"/>
      <x:c r="K175" s="74"/>
      <x:c r="L175" s="91"/>
      <x:c r="M175" s="91"/>
      <x:c r="N175" s="91"/>
      <x:c r="O175" s="91"/>
      <x:c r="P175" s="85"/>
      <x:c r="R175" s="86"/>
      <x:c r="S175" s="32"/>
    </x:row>
    <x:row r="176">
      <x:c r="A176" s="87"/>
      <x:c r="D176" s="32"/>
      <x:c r="I176" s="74"/>
      <x:c r="J176" s="74"/>
      <x:c r="K176" s="74"/>
      <x:c r="L176" s="91"/>
      <x:c r="M176" s="91"/>
      <x:c r="N176" s="91"/>
      <x:c r="O176" s="91"/>
      <x:c r="P176" s="85"/>
      <x:c r="R176" s="86"/>
      <x:c r="S176" s="32"/>
    </x:row>
    <x:row r="177">
      <x:c r="A177" s="87"/>
      <x:c r="D177" s="32"/>
      <x:c r="I177" s="74"/>
      <x:c r="J177" s="74"/>
      <x:c r="K177" s="74"/>
      <x:c r="L177" s="91"/>
      <x:c r="M177" s="91"/>
      <x:c r="N177" s="91"/>
      <x:c r="O177" s="91"/>
      <x:c r="P177" s="85"/>
      <x:c r="R177" s="86"/>
      <x:c r="S177" s="32"/>
    </x:row>
    <x:row r="178">
      <x:c r="A178" s="87"/>
      <x:c r="D178" s="32"/>
      <x:c r="I178" s="74"/>
      <x:c r="J178" s="74"/>
      <x:c r="K178" s="74"/>
      <x:c r="L178" s="91"/>
      <x:c r="M178" s="91"/>
      <x:c r="N178" s="91"/>
      <x:c r="O178" s="91"/>
      <x:c r="P178" s="85"/>
      <x:c r="R178" s="86"/>
      <x:c r="S178" s="32"/>
    </x:row>
    <x:row r="179">
      <x:c r="A179" s="87"/>
      <x:c r="D179" s="32"/>
      <x:c r="I179" s="74"/>
      <x:c r="J179" s="74"/>
      <x:c r="K179" s="74"/>
      <x:c r="L179" s="91"/>
      <x:c r="M179" s="91"/>
      <x:c r="N179" s="91"/>
      <x:c r="O179" s="91"/>
      <x:c r="P179" s="85"/>
      <x:c r="R179" s="86"/>
      <x:c r="S179" s="32"/>
    </x:row>
    <x:row r="180">
      <x:c r="A180" s="87"/>
      <x:c r="D180" s="32"/>
      <x:c r="I180" s="74"/>
      <x:c r="J180" s="74"/>
      <x:c r="K180" s="74"/>
      <x:c r="L180" s="91"/>
      <x:c r="M180" s="91"/>
      <x:c r="N180" s="91"/>
      <x:c r="O180" s="91"/>
      <x:c r="P180" s="85"/>
      <x:c r="R180" s="86"/>
      <x:c r="S180" s="32"/>
    </x:row>
    <x:row r="181">
      <x:c r="A181" s="87"/>
      <x:c r="D181" s="32"/>
      <x:c r="I181" s="74"/>
      <x:c r="J181" s="74"/>
      <x:c r="K181" s="74"/>
      <x:c r="L181" s="91"/>
      <x:c r="M181" s="91"/>
      <x:c r="N181" s="91"/>
      <x:c r="O181" s="91"/>
      <x:c r="P181" s="85"/>
      <x:c r="R181" s="86"/>
      <x:c r="S181" s="32"/>
    </x:row>
    <x:row r="182">
      <x:c r="A182" s="87"/>
      <x:c r="D182" s="32"/>
      <x:c r="I182" s="74"/>
      <x:c r="J182" s="74"/>
      <x:c r="K182" s="74"/>
      <x:c r="L182" s="91"/>
      <x:c r="M182" s="91"/>
      <x:c r="N182" s="91"/>
      <x:c r="O182" s="91"/>
      <x:c r="P182" s="85"/>
      <x:c r="R182" s="86"/>
      <x:c r="S182" s="32"/>
    </x:row>
    <x:row r="183">
      <x:c r="A183" s="87"/>
      <x:c r="D183" s="32"/>
      <x:c r="I183" s="74"/>
      <x:c r="J183" s="74"/>
      <x:c r="K183" s="74"/>
      <x:c r="L183" s="91"/>
      <x:c r="M183" s="91"/>
      <x:c r="N183" s="91"/>
      <x:c r="O183" s="91"/>
      <x:c r="P183" s="85"/>
      <x:c r="R183" s="86"/>
      <x:c r="S183" s="32"/>
    </x:row>
    <x:row r="184">
      <x:c r="A184" s="87"/>
      <x:c r="D184" s="32"/>
      <x:c r="I184" s="74"/>
      <x:c r="J184" s="74"/>
      <x:c r="K184" s="74"/>
      <x:c r="L184" s="91"/>
      <x:c r="M184" s="91"/>
      <x:c r="N184" s="91"/>
      <x:c r="O184" s="91"/>
      <x:c r="P184" s="85"/>
      <x:c r="R184" s="86"/>
      <x:c r="S184" s="32"/>
    </x:row>
    <x:row r="185">
      <x:c r="A185" s="87"/>
      <x:c r="D185" s="32"/>
      <x:c r="I185" s="74"/>
      <x:c r="J185" s="74"/>
      <x:c r="K185" s="74"/>
      <x:c r="L185" s="91"/>
      <x:c r="M185" s="91"/>
      <x:c r="N185" s="91"/>
      <x:c r="O185" s="91"/>
      <x:c r="P185" s="85"/>
      <x:c r="R185" s="86"/>
      <x:c r="S185" s="32"/>
    </x:row>
    <x:row r="186">
      <x:c r="A186" s="87"/>
      <x:c r="D186" s="32"/>
      <x:c r="I186" s="74"/>
      <x:c r="J186" s="74"/>
      <x:c r="K186" s="74"/>
      <x:c r="L186" s="91"/>
      <x:c r="M186" s="91"/>
      <x:c r="N186" s="91"/>
      <x:c r="O186" s="91"/>
      <x:c r="P186" s="85"/>
      <x:c r="R186" s="86"/>
      <x:c r="S186" s="32"/>
    </x:row>
    <x:row r="187">
      <x:c r="A187" s="87"/>
      <x:c r="D187" s="32"/>
      <x:c r="I187" s="74"/>
      <x:c r="J187" s="74"/>
      <x:c r="K187" s="74"/>
      <x:c r="L187" s="91"/>
      <x:c r="M187" s="91"/>
      <x:c r="N187" s="91"/>
      <x:c r="O187" s="91"/>
      <x:c r="P187" s="85"/>
      <x:c r="R187" s="86"/>
      <x:c r="S187" s="32"/>
    </x:row>
    <x:row r="188">
      <x:c r="A188" s="87"/>
      <x:c r="D188" s="32"/>
      <x:c r="I188" s="74"/>
      <x:c r="J188" s="74"/>
      <x:c r="K188" s="74"/>
      <x:c r="L188" s="91"/>
      <x:c r="M188" s="91"/>
      <x:c r="N188" s="91"/>
      <x:c r="O188" s="91"/>
      <x:c r="P188" s="85"/>
      <x:c r="R188" s="86"/>
      <x:c r="S188" s="32"/>
    </x:row>
    <x:row r="189">
      <x:c r="A189" s="87"/>
      <x:c r="D189" s="32"/>
      <x:c r="I189" s="74"/>
      <x:c r="J189" s="74"/>
      <x:c r="K189" s="74"/>
      <x:c r="L189" s="91"/>
      <x:c r="M189" s="91"/>
      <x:c r="N189" s="91"/>
      <x:c r="O189" s="91"/>
      <x:c r="P189" s="85"/>
      <x:c r="R189" s="86"/>
      <x:c r="S189" s="32"/>
    </x:row>
    <x:row r="190">
      <x:c r="A190" s="87"/>
      <x:c r="D190" s="32"/>
      <x:c r="I190" s="74"/>
      <x:c r="J190" s="74"/>
      <x:c r="K190" s="74"/>
      <x:c r="L190" s="91"/>
      <x:c r="M190" s="91"/>
      <x:c r="N190" s="91"/>
      <x:c r="O190" s="91"/>
      <x:c r="P190" s="85"/>
      <x:c r="R190" s="86"/>
      <x:c r="S190" s="32"/>
    </x:row>
    <x:row r="191">
      <x:c r="A191" s="87"/>
      <x:c r="D191" s="32"/>
      <x:c r="I191" s="74"/>
      <x:c r="J191" s="74"/>
      <x:c r="K191" s="74"/>
      <x:c r="L191" s="91"/>
      <x:c r="M191" s="91"/>
      <x:c r="N191" s="91"/>
      <x:c r="O191" s="91"/>
      <x:c r="P191" s="85"/>
      <x:c r="R191" s="86"/>
      <x:c r="S191" s="32"/>
    </x:row>
    <x:row r="192">
      <x:c r="A192" s="87"/>
      <x:c r="D192" s="32"/>
      <x:c r="I192" s="74"/>
      <x:c r="J192" s="74"/>
      <x:c r="K192" s="74"/>
      <x:c r="L192" s="91"/>
      <x:c r="M192" s="91"/>
      <x:c r="N192" s="91"/>
      <x:c r="O192" s="91"/>
      <x:c r="P192" s="85"/>
      <x:c r="R192" s="86"/>
      <x:c r="S192" s="32"/>
    </x:row>
    <x:row r="193">
      <x:c r="A193" s="87"/>
      <x:c r="D193" s="32"/>
      <x:c r="I193" s="74"/>
      <x:c r="J193" s="74"/>
      <x:c r="K193" s="74"/>
      <x:c r="L193" s="91"/>
      <x:c r="M193" s="91"/>
      <x:c r="N193" s="91"/>
      <x:c r="O193" s="91"/>
      <x:c r="P193" s="85"/>
      <x:c r="R193" s="86"/>
      <x:c r="S193" s="32"/>
    </x:row>
    <x:row r="194">
      <x:c r="A194" s="87"/>
      <x:c r="D194" s="32"/>
      <x:c r="I194" s="74"/>
      <x:c r="J194" s="74"/>
      <x:c r="K194" s="74"/>
      <x:c r="L194" s="91"/>
      <x:c r="M194" s="91"/>
      <x:c r="N194" s="91"/>
      <x:c r="O194" s="91"/>
      <x:c r="P194" s="85"/>
      <x:c r="R194" s="86"/>
      <x:c r="S194" s="32"/>
    </x:row>
    <x:row r="195">
      <x:c r="A195" s="87"/>
      <x:c r="D195" s="32"/>
      <x:c r="I195" s="74"/>
      <x:c r="J195" s="74"/>
      <x:c r="K195" s="74"/>
      <x:c r="L195" s="91"/>
      <x:c r="M195" s="91"/>
      <x:c r="N195" s="91"/>
      <x:c r="O195" s="91"/>
      <x:c r="P195" s="85"/>
      <x:c r="R195" s="86"/>
      <x:c r="S195" s="32"/>
    </x:row>
    <x:row r="196">
      <x:c r="A196" s="87"/>
      <x:c r="D196" s="32"/>
      <x:c r="I196" s="74"/>
      <x:c r="J196" s="74"/>
      <x:c r="K196" s="74"/>
      <x:c r="L196" s="91"/>
      <x:c r="M196" s="91"/>
      <x:c r="N196" s="91"/>
      <x:c r="O196" s="91"/>
      <x:c r="P196" s="85"/>
      <x:c r="R196" s="86"/>
      <x:c r="S196" s="32"/>
    </x:row>
    <x:row r="197">
      <x:c r="A197" s="87"/>
      <x:c r="D197" s="32"/>
      <x:c r="I197" s="74"/>
      <x:c r="J197" s="74"/>
      <x:c r="K197" s="74"/>
      <x:c r="L197" s="91"/>
      <x:c r="M197" s="91"/>
      <x:c r="N197" s="91"/>
      <x:c r="O197" s="91"/>
      <x:c r="P197" s="85"/>
      <x:c r="R197" s="86"/>
      <x:c r="S197" s="32"/>
    </x:row>
    <x:row r="198">
      <x:c r="A198" s="87"/>
      <x:c r="D198" s="32"/>
      <x:c r="I198" s="74"/>
      <x:c r="J198" s="74"/>
      <x:c r="K198" s="74"/>
      <x:c r="L198" s="91"/>
      <x:c r="M198" s="91"/>
      <x:c r="N198" s="91"/>
      <x:c r="O198" s="91"/>
      <x:c r="P198" s="85"/>
      <x:c r="R198" s="86"/>
      <x:c r="S198" s="32"/>
    </x:row>
    <x:row r="199">
      <x:c r="A199" s="87"/>
      <x:c r="D199" s="32"/>
      <x:c r="I199" s="74"/>
      <x:c r="J199" s="74"/>
      <x:c r="K199" s="74"/>
      <x:c r="L199" s="91"/>
      <x:c r="M199" s="91"/>
      <x:c r="N199" s="91"/>
      <x:c r="O199" s="91"/>
      <x:c r="P199" s="85"/>
      <x:c r="R199" s="86"/>
      <x:c r="S199" s="32"/>
    </x:row>
    <x:row r="200">
      <x:c r="A200" s="87"/>
      <x:c r="D200" s="32"/>
      <x:c r="I200" s="74"/>
      <x:c r="J200" s="74"/>
      <x:c r="K200" s="74"/>
      <x:c r="L200" s="91"/>
      <x:c r="M200" s="91"/>
      <x:c r="N200" s="91"/>
      <x:c r="O200" s="91"/>
      <x:c r="P200" s="85"/>
      <x:c r="R200" s="86"/>
      <x:c r="S200" s="32"/>
    </x:row>
    <x:row r="201">
      <x:c r="A201" s="87"/>
      <x:c r="D201" s="32"/>
      <x:c r="I201" s="74"/>
      <x:c r="J201" s="74"/>
      <x:c r="K201" s="74"/>
      <x:c r="L201" s="91"/>
      <x:c r="M201" s="91"/>
      <x:c r="N201" s="91"/>
      <x:c r="O201" s="91"/>
      <x:c r="P201" s="85"/>
      <x:c r="R201" s="86"/>
      <x:c r="S201" s="32"/>
    </x:row>
    <x:row r="202">
      <x:c r="A202" s="87"/>
      <x:c r="D202" s="32"/>
      <x:c r="I202" s="74"/>
      <x:c r="J202" s="74"/>
      <x:c r="K202" s="74"/>
      <x:c r="L202" s="91"/>
      <x:c r="M202" s="91"/>
      <x:c r="N202" s="91"/>
      <x:c r="O202" s="91"/>
      <x:c r="P202" s="85"/>
      <x:c r="R202" s="86"/>
      <x:c r="S202" s="32"/>
    </x:row>
    <x:row r="203">
      <x:c r="A203" s="87"/>
      <x:c r="D203" s="32"/>
      <x:c r="I203" s="74"/>
      <x:c r="J203" s="74"/>
      <x:c r="K203" s="74"/>
      <x:c r="L203" s="91"/>
      <x:c r="M203" s="91"/>
      <x:c r="N203" s="91"/>
      <x:c r="O203" s="91"/>
      <x:c r="P203" s="85"/>
      <x:c r="R203" s="86"/>
      <x:c r="S203" s="32"/>
    </x:row>
    <x:row r="204">
      <x:c r="A204" s="87"/>
      <x:c r="D204" s="32"/>
      <x:c r="I204" s="74"/>
      <x:c r="J204" s="74"/>
      <x:c r="K204" s="74"/>
      <x:c r="L204" s="91"/>
      <x:c r="M204" s="91"/>
      <x:c r="N204" s="91"/>
      <x:c r="O204" s="91"/>
      <x:c r="P204" s="85"/>
      <x:c r="R204" s="86"/>
      <x:c r="S204" s="32"/>
    </x:row>
    <x:row r="205">
      <x:c r="A205" s="87"/>
      <x:c r="D205" s="32"/>
      <x:c r="I205" s="74"/>
      <x:c r="J205" s="74"/>
      <x:c r="K205" s="74"/>
      <x:c r="L205" s="91"/>
      <x:c r="M205" s="91"/>
      <x:c r="N205" s="91"/>
      <x:c r="O205" s="91"/>
      <x:c r="P205" s="85"/>
      <x:c r="R205" s="86"/>
      <x:c r="S205" s="32"/>
    </x:row>
    <x:row r="206">
      <x:c r="A206" s="87"/>
      <x:c r="D206" s="32"/>
      <x:c r="I206" s="74"/>
      <x:c r="J206" s="74"/>
      <x:c r="K206" s="74"/>
      <x:c r="L206" s="91"/>
      <x:c r="M206" s="91"/>
      <x:c r="N206" s="91"/>
      <x:c r="O206" s="91"/>
      <x:c r="P206" s="85"/>
      <x:c r="R206" s="86"/>
      <x:c r="S206" s="32"/>
    </x:row>
    <x:row r="207">
      <x:c r="A207" s="87"/>
      <x:c r="D207" s="32"/>
      <x:c r="I207" s="74"/>
      <x:c r="J207" s="74"/>
      <x:c r="K207" s="74"/>
      <x:c r="L207" s="91"/>
      <x:c r="M207" s="91"/>
      <x:c r="N207" s="91"/>
      <x:c r="O207" s="91"/>
      <x:c r="P207" s="85"/>
      <x:c r="R207" s="86"/>
      <x:c r="S207" s="32"/>
    </x:row>
    <x:row r="208">
      <x:c r="A208" s="87"/>
      <x:c r="D208" s="32"/>
      <x:c r="I208" s="74"/>
      <x:c r="J208" s="74"/>
      <x:c r="K208" s="74"/>
      <x:c r="L208" s="91"/>
      <x:c r="M208" s="91"/>
      <x:c r="N208" s="91"/>
      <x:c r="O208" s="91"/>
      <x:c r="P208" s="85"/>
      <x:c r="R208" s="86"/>
      <x:c r="S208" s="32"/>
    </x:row>
    <x:row r="209">
      <x:c r="A209" s="87"/>
      <x:c r="D209" s="32"/>
      <x:c r="I209" s="74"/>
      <x:c r="J209" s="74"/>
      <x:c r="K209" s="74"/>
      <x:c r="L209" s="91"/>
      <x:c r="M209" s="91"/>
      <x:c r="N209" s="91"/>
      <x:c r="O209" s="91"/>
      <x:c r="P209" s="85"/>
      <x:c r="R209" s="86"/>
      <x:c r="S209" s="32"/>
    </x:row>
    <x:row r="210">
      <x:c r="A210" s="87"/>
      <x:c r="D210" s="32"/>
      <x:c r="I210" s="74"/>
      <x:c r="J210" s="74"/>
      <x:c r="K210" s="74"/>
      <x:c r="L210" s="91"/>
      <x:c r="M210" s="91"/>
      <x:c r="N210" s="91"/>
      <x:c r="O210" s="91"/>
      <x:c r="P210" s="85"/>
      <x:c r="R210" s="86"/>
      <x:c r="S210" s="32"/>
    </x:row>
    <x:row r="211">
      <x:c r="A211" s="87"/>
      <x:c r="D211" s="32"/>
      <x:c r="I211" s="74"/>
      <x:c r="J211" s="74"/>
      <x:c r="K211" s="74"/>
      <x:c r="L211" s="91"/>
      <x:c r="M211" s="91"/>
      <x:c r="N211" s="91"/>
      <x:c r="O211" s="91"/>
      <x:c r="P211" s="85"/>
      <x:c r="R211" s="86"/>
      <x:c r="S211" s="32"/>
    </x:row>
    <x:row r="212">
      <x:c r="A212" s="87"/>
      <x:c r="D212" s="32"/>
      <x:c r="I212" s="74"/>
      <x:c r="J212" s="74"/>
      <x:c r="K212" s="74"/>
      <x:c r="L212" s="91"/>
      <x:c r="M212" s="91"/>
      <x:c r="N212" s="91"/>
      <x:c r="O212" s="91"/>
      <x:c r="P212" s="85"/>
      <x:c r="R212" s="86"/>
      <x:c r="S212" s="32"/>
    </x:row>
    <x:row r="213">
      <x:c r="A213" s="87"/>
      <x:c r="D213" s="32"/>
      <x:c r="I213" s="74"/>
      <x:c r="J213" s="74"/>
      <x:c r="K213" s="74"/>
      <x:c r="L213" s="91"/>
      <x:c r="M213" s="91"/>
      <x:c r="N213" s="91"/>
      <x:c r="O213" s="91"/>
      <x:c r="P213" s="85"/>
      <x:c r="R213" s="86"/>
      <x:c r="S213" s="32"/>
    </x:row>
    <x:row r="214">
      <x:c r="A214" s="87"/>
      <x:c r="D214" s="32"/>
      <x:c r="I214" s="74"/>
      <x:c r="J214" s="74"/>
      <x:c r="K214" s="74"/>
      <x:c r="L214" s="91"/>
      <x:c r="M214" s="91"/>
      <x:c r="N214" s="91"/>
      <x:c r="O214" s="91"/>
      <x:c r="P214" s="85"/>
      <x:c r="R214" s="86"/>
      <x:c r="S214" s="32"/>
    </x:row>
    <x:row r="215">
      <x:c r="A215" s="87"/>
      <x:c r="D215" s="32"/>
      <x:c r="I215" s="74"/>
      <x:c r="J215" s="74"/>
      <x:c r="K215" s="74"/>
      <x:c r="L215" s="91"/>
      <x:c r="M215" s="91"/>
      <x:c r="N215" s="91"/>
      <x:c r="O215" s="91"/>
      <x:c r="P215" s="85"/>
      <x:c r="R215" s="86"/>
      <x:c r="S215" s="32"/>
    </x:row>
    <x:row r="216">
      <x:c r="A216" s="87"/>
      <x:c r="D216" s="32"/>
      <x:c r="I216" s="74"/>
      <x:c r="J216" s="74"/>
      <x:c r="K216" s="74"/>
      <x:c r="L216" s="91"/>
      <x:c r="M216" s="91"/>
      <x:c r="N216" s="91"/>
      <x:c r="O216" s="91"/>
      <x:c r="P216" s="85"/>
      <x:c r="R216" s="86"/>
      <x:c r="S216" s="32"/>
    </x:row>
    <x:row r="217">
      <x:c r="A217" s="87"/>
      <x:c r="D217" s="32"/>
      <x:c r="I217" s="74"/>
      <x:c r="J217" s="74"/>
      <x:c r="K217" s="74"/>
      <x:c r="L217" s="91"/>
      <x:c r="M217" s="91"/>
      <x:c r="N217" s="91"/>
      <x:c r="O217" s="91"/>
      <x:c r="P217" s="85"/>
      <x:c r="R217" s="86"/>
      <x:c r="S217" s="32"/>
    </x:row>
    <x:row r="218">
      <x:c r="A218" s="87"/>
      <x:c r="D218" s="32"/>
      <x:c r="I218" s="74"/>
      <x:c r="J218" s="74"/>
      <x:c r="K218" s="74"/>
      <x:c r="L218" s="91"/>
      <x:c r="M218" s="91"/>
      <x:c r="N218" s="91"/>
      <x:c r="O218" s="91"/>
      <x:c r="P218" s="85"/>
      <x:c r="R218" s="86"/>
      <x:c r="S218" s="32"/>
    </x:row>
    <x:row r="219">
      <x:c r="A219" s="87"/>
      <x:c r="D219" s="32"/>
      <x:c r="I219" s="74"/>
      <x:c r="J219" s="74"/>
      <x:c r="K219" s="74"/>
      <x:c r="L219" s="91"/>
      <x:c r="M219" s="91"/>
      <x:c r="N219" s="91"/>
      <x:c r="O219" s="91"/>
      <x:c r="P219" s="85"/>
      <x:c r="R219" s="86"/>
      <x:c r="S219" s="32"/>
    </x:row>
    <x:row r="220">
      <x:c r="A220" s="87"/>
      <x:c r="D220" s="32"/>
      <x:c r="I220" s="74"/>
      <x:c r="J220" s="74"/>
      <x:c r="K220" s="74"/>
      <x:c r="L220" s="91"/>
      <x:c r="M220" s="91"/>
      <x:c r="N220" s="91"/>
      <x:c r="O220" s="91"/>
      <x:c r="P220" s="85"/>
      <x:c r="R220" s="86"/>
      <x:c r="S220" s="32"/>
    </x:row>
    <x:row r="221">
      <x:c r="A221" s="87"/>
      <x:c r="D221" s="32"/>
      <x:c r="I221" s="74"/>
      <x:c r="J221" s="74"/>
      <x:c r="K221" s="74"/>
      <x:c r="L221" s="91"/>
      <x:c r="M221" s="91"/>
      <x:c r="N221" s="91"/>
      <x:c r="O221" s="91"/>
      <x:c r="P221" s="85"/>
      <x:c r="R221" s="86"/>
      <x:c r="S221" s="32"/>
    </x:row>
    <x:row r="222">
      <x:c r="A222" s="87"/>
      <x:c r="D222" s="32"/>
      <x:c r="I222" s="74"/>
      <x:c r="J222" s="74"/>
      <x:c r="K222" s="74"/>
      <x:c r="L222" s="91"/>
      <x:c r="M222" s="91"/>
      <x:c r="N222" s="91"/>
      <x:c r="O222" s="91"/>
      <x:c r="P222" s="85"/>
      <x:c r="R222" s="86"/>
      <x:c r="S222" s="32"/>
    </x:row>
    <x:row r="223">
      <x:c r="A223" s="87"/>
      <x:c r="D223" s="32"/>
      <x:c r="I223" s="74"/>
      <x:c r="J223" s="74"/>
      <x:c r="K223" s="74"/>
      <x:c r="L223" s="91"/>
      <x:c r="M223" s="91"/>
      <x:c r="N223" s="91"/>
      <x:c r="O223" s="91"/>
      <x:c r="P223" s="85"/>
      <x:c r="R223" s="86"/>
      <x:c r="S223" s="32"/>
    </x:row>
    <x:row r="224">
      <x:c r="A224" s="87"/>
      <x:c r="D224" s="32"/>
      <x:c r="I224" s="74"/>
      <x:c r="J224" s="74"/>
      <x:c r="K224" s="74"/>
      <x:c r="L224" s="91"/>
      <x:c r="M224" s="91"/>
      <x:c r="N224" s="91"/>
      <x:c r="O224" s="91"/>
      <x:c r="P224" s="85"/>
      <x:c r="R224" s="86"/>
      <x:c r="S224" s="32"/>
    </x:row>
    <x:row r="225">
      <x:c r="A225" s="87"/>
      <x:c r="D225" s="32"/>
      <x:c r="I225" s="74"/>
      <x:c r="J225" s="74"/>
      <x:c r="K225" s="74"/>
      <x:c r="L225" s="91"/>
      <x:c r="M225" s="91"/>
      <x:c r="N225" s="91"/>
      <x:c r="O225" s="91"/>
      <x:c r="P225" s="85"/>
      <x:c r="R225" s="86"/>
      <x:c r="S225" s="32"/>
    </x:row>
    <x:row r="226">
      <x:c r="A226" s="87"/>
      <x:c r="D226" s="32"/>
      <x:c r="I226" s="74"/>
      <x:c r="J226" s="74"/>
      <x:c r="K226" s="74"/>
      <x:c r="L226" s="91"/>
      <x:c r="M226" s="91"/>
      <x:c r="N226" s="91"/>
      <x:c r="O226" s="91"/>
      <x:c r="P226" s="85"/>
      <x:c r="R226" s="86"/>
      <x:c r="S226" s="32"/>
    </x:row>
    <x:row r="227">
      <x:c r="A227" s="87"/>
      <x:c r="D227" s="32"/>
      <x:c r="I227" s="74"/>
      <x:c r="J227" s="74"/>
      <x:c r="K227" s="74"/>
      <x:c r="L227" s="91"/>
      <x:c r="M227" s="91"/>
      <x:c r="N227" s="91"/>
      <x:c r="O227" s="91"/>
      <x:c r="P227" s="85"/>
      <x:c r="R227" s="86"/>
      <x:c r="S227" s="32"/>
    </x:row>
    <x:row r="228">
      <x:c r="A228" s="87"/>
      <x:c r="D228" s="32"/>
      <x:c r="I228" s="74"/>
      <x:c r="J228" s="74"/>
      <x:c r="K228" s="74"/>
      <x:c r="L228" s="91"/>
      <x:c r="M228" s="91"/>
      <x:c r="N228" s="91"/>
      <x:c r="O228" s="91"/>
      <x:c r="P228" s="85"/>
      <x:c r="R228" s="86"/>
      <x:c r="S228" s="32"/>
    </x:row>
    <x:row r="229">
      <x:c r="A229" s="87"/>
      <x:c r="D229" s="32"/>
      <x:c r="I229" s="74"/>
      <x:c r="J229" s="74"/>
      <x:c r="K229" s="74"/>
      <x:c r="L229" s="91"/>
      <x:c r="M229" s="91"/>
      <x:c r="N229" s="91"/>
      <x:c r="O229" s="91"/>
      <x:c r="P229" s="85"/>
      <x:c r="R229" s="86"/>
      <x:c r="S229" s="32"/>
    </x:row>
    <x:row r="230">
      <x:c r="A230" s="87"/>
      <x:c r="D230" s="32"/>
      <x:c r="I230" s="74"/>
      <x:c r="J230" s="74"/>
      <x:c r="K230" s="74"/>
      <x:c r="L230" s="91"/>
      <x:c r="M230" s="91"/>
      <x:c r="N230" s="91"/>
      <x:c r="O230" s="91"/>
      <x:c r="P230" s="85"/>
      <x:c r="R230" s="86"/>
      <x:c r="S230" s="32"/>
    </x:row>
    <x:row r="231">
      <x:c r="A231" s="87"/>
      <x:c r="D231" s="32"/>
      <x:c r="I231" s="74"/>
      <x:c r="J231" s="74"/>
      <x:c r="K231" s="74"/>
      <x:c r="L231" s="91"/>
      <x:c r="M231" s="91"/>
      <x:c r="N231" s="91"/>
      <x:c r="O231" s="91"/>
      <x:c r="P231" s="85"/>
      <x:c r="R231" s="86"/>
      <x:c r="S231" s="32"/>
    </x:row>
    <x:row r="232">
      <x:c r="A232" s="87"/>
      <x:c r="D232" s="32"/>
      <x:c r="I232" s="74"/>
      <x:c r="J232" s="74"/>
      <x:c r="K232" s="74"/>
      <x:c r="L232" s="91"/>
      <x:c r="M232" s="91"/>
      <x:c r="N232" s="91"/>
      <x:c r="O232" s="91"/>
      <x:c r="P232" s="85"/>
      <x:c r="R232" s="86"/>
      <x:c r="S232" s="32"/>
    </x:row>
    <x:row r="233">
      <x:c r="A233" s="87"/>
      <x:c r="D233" s="32"/>
      <x:c r="I233" s="74"/>
      <x:c r="J233" s="74"/>
      <x:c r="K233" s="74"/>
      <x:c r="L233" s="91"/>
      <x:c r="M233" s="91"/>
      <x:c r="N233" s="91"/>
      <x:c r="O233" s="91"/>
      <x:c r="P233" s="85"/>
      <x:c r="R233" s="86"/>
      <x:c r="S233" s="32"/>
    </x:row>
    <x:row r="234">
      <x:c r="A234" s="87"/>
      <x:c r="D234" s="32"/>
      <x:c r="I234" s="74"/>
      <x:c r="J234" s="74"/>
      <x:c r="K234" s="74"/>
      <x:c r="L234" s="91"/>
      <x:c r="M234" s="91"/>
      <x:c r="N234" s="91"/>
      <x:c r="O234" s="91"/>
      <x:c r="P234" s="85"/>
      <x:c r="R234" s="86"/>
      <x:c r="S234" s="32"/>
    </x:row>
    <x:row r="235">
      <x:c r="A235" s="87"/>
      <x:c r="D235" s="32"/>
      <x:c r="I235" s="74"/>
      <x:c r="J235" s="74"/>
      <x:c r="K235" s="74"/>
      <x:c r="L235" s="91"/>
      <x:c r="M235" s="91"/>
      <x:c r="N235" s="91"/>
      <x:c r="O235" s="91"/>
      <x:c r="P235" s="85"/>
      <x:c r="R235" s="86"/>
      <x:c r="S235" s="32"/>
    </x:row>
    <x:row r="236">
      <x:c r="A236" s="87"/>
      <x:c r="D236" s="32"/>
      <x:c r="I236" s="74"/>
      <x:c r="J236" s="74"/>
      <x:c r="K236" s="74"/>
      <x:c r="L236" s="91"/>
      <x:c r="M236" s="91"/>
      <x:c r="N236" s="91"/>
      <x:c r="O236" s="91"/>
      <x:c r="P236" s="85"/>
      <x:c r="R236" s="86"/>
      <x:c r="S236" s="32"/>
    </x:row>
    <x:row r="237">
      <x:c r="A237" s="87"/>
      <x:c r="D237" s="32"/>
      <x:c r="I237" s="74"/>
      <x:c r="J237" s="74"/>
      <x:c r="K237" s="74"/>
      <x:c r="L237" s="91"/>
      <x:c r="M237" s="91"/>
      <x:c r="N237" s="91"/>
      <x:c r="O237" s="91"/>
      <x:c r="P237" s="85"/>
      <x:c r="R237" s="86"/>
      <x:c r="S237" s="32"/>
    </x:row>
    <x:row r="238">
      <x:c r="A238" s="87"/>
      <x:c r="D238" s="32"/>
      <x:c r="I238" s="74"/>
      <x:c r="J238" s="74"/>
      <x:c r="K238" s="74"/>
      <x:c r="L238" s="91"/>
      <x:c r="M238" s="91"/>
      <x:c r="N238" s="91"/>
      <x:c r="O238" s="91"/>
      <x:c r="P238" s="85"/>
      <x:c r="R238" s="86"/>
      <x:c r="S238" s="32"/>
    </x:row>
    <x:row r="239">
      <x:c r="A239" s="87"/>
      <x:c r="D239" s="32"/>
      <x:c r="I239" s="74"/>
      <x:c r="J239" s="74"/>
      <x:c r="K239" s="74"/>
      <x:c r="L239" s="91"/>
      <x:c r="M239" s="91"/>
      <x:c r="N239" s="91"/>
      <x:c r="O239" s="91"/>
      <x:c r="P239" s="85"/>
      <x:c r="R239" s="86"/>
      <x:c r="S239" s="32"/>
    </x:row>
    <x:row r="240">
      <x:c r="A240" s="87"/>
      <x:c r="D240" s="32"/>
      <x:c r="I240" s="74"/>
      <x:c r="J240" s="74"/>
      <x:c r="K240" s="74"/>
      <x:c r="L240" s="91"/>
      <x:c r="M240" s="91"/>
      <x:c r="N240" s="91"/>
      <x:c r="O240" s="91"/>
      <x:c r="P240" s="85"/>
      <x:c r="R240" s="86"/>
      <x:c r="S240" s="32"/>
    </x:row>
    <x:row r="241">
      <x:c r="A241" s="87"/>
      <x:c r="D241" s="32"/>
      <x:c r="I241" s="74"/>
      <x:c r="J241" s="74"/>
      <x:c r="K241" s="74"/>
      <x:c r="L241" s="91"/>
      <x:c r="M241" s="91"/>
      <x:c r="N241" s="91"/>
      <x:c r="O241" s="91"/>
      <x:c r="P241" s="85"/>
      <x:c r="R241" s="86"/>
      <x:c r="S241" s="32"/>
    </x:row>
    <x:row r="242">
      <x:c r="A242" s="87"/>
      <x:c r="D242" s="32"/>
      <x:c r="I242" s="74"/>
      <x:c r="J242" s="74"/>
      <x:c r="K242" s="74"/>
      <x:c r="L242" s="91"/>
      <x:c r="M242" s="91"/>
      <x:c r="N242" s="91"/>
      <x:c r="O242" s="91"/>
      <x:c r="P242" s="85"/>
      <x:c r="R242" s="86"/>
      <x:c r="S242" s="32"/>
    </x:row>
    <x:row r="243">
      <x:c r="A243" s="87"/>
      <x:c r="D243" s="32"/>
      <x:c r="I243" s="74"/>
      <x:c r="J243" s="74"/>
      <x:c r="K243" s="74"/>
      <x:c r="L243" s="91"/>
      <x:c r="M243" s="91"/>
      <x:c r="N243" s="91"/>
      <x:c r="O243" s="91"/>
      <x:c r="P243" s="85"/>
      <x:c r="R243" s="86"/>
      <x:c r="S243" s="32"/>
    </x:row>
    <x:row r="244">
      <x:c r="A244" s="87"/>
      <x:c r="D244" s="32"/>
      <x:c r="I244" s="74"/>
      <x:c r="J244" s="74"/>
      <x:c r="K244" s="74"/>
      <x:c r="L244" s="91"/>
      <x:c r="M244" s="91"/>
      <x:c r="N244" s="91"/>
      <x:c r="O244" s="91"/>
      <x:c r="P244" s="85"/>
      <x:c r="R244" s="86"/>
      <x:c r="S244" s="32"/>
    </x:row>
    <x:row r="245">
      <x:c r="A245" s="87"/>
      <x:c r="D245" s="32"/>
      <x:c r="I245" s="74"/>
      <x:c r="J245" s="74"/>
      <x:c r="K245" s="74"/>
      <x:c r="L245" s="91"/>
      <x:c r="M245" s="91"/>
      <x:c r="N245" s="91"/>
      <x:c r="O245" s="91"/>
      <x:c r="P245" s="85"/>
      <x:c r="R245" s="86"/>
      <x:c r="S245" s="32"/>
    </x:row>
    <x:row r="246">
      <x:c r="A246" s="87"/>
      <x:c r="D246" s="32"/>
      <x:c r="I246" s="74"/>
      <x:c r="J246" s="74"/>
      <x:c r="K246" s="74"/>
      <x:c r="L246" s="91"/>
      <x:c r="M246" s="91"/>
      <x:c r="N246" s="91"/>
      <x:c r="O246" s="91"/>
      <x:c r="P246" s="85"/>
      <x:c r="R246" s="86"/>
      <x:c r="S246" s="32"/>
    </x:row>
    <x:row r="247">
      <x:c r="A247" s="87"/>
      <x:c r="D247" s="32"/>
      <x:c r="I247" s="74"/>
      <x:c r="J247" s="74"/>
      <x:c r="K247" s="74"/>
      <x:c r="L247" s="91"/>
      <x:c r="M247" s="91"/>
      <x:c r="N247" s="91"/>
      <x:c r="O247" s="91"/>
      <x:c r="P247" s="85"/>
      <x:c r="R247" s="86"/>
      <x:c r="S247" s="32"/>
    </x:row>
    <x:row r="248">
      <x:c r="A248" s="87"/>
      <x:c r="D248" s="32"/>
      <x:c r="I248" s="74"/>
      <x:c r="J248" s="74"/>
      <x:c r="K248" s="74"/>
      <x:c r="L248" s="91"/>
      <x:c r="M248" s="91"/>
      <x:c r="N248" s="91"/>
      <x:c r="O248" s="91"/>
      <x:c r="P248" s="85"/>
      <x:c r="R248" s="86"/>
      <x:c r="S248" s="32"/>
    </x:row>
    <x:row r="249">
      <x:c r="A249" s="87"/>
      <x:c r="D249" s="32"/>
      <x:c r="I249" s="74"/>
      <x:c r="J249" s="74"/>
      <x:c r="K249" s="74"/>
      <x:c r="L249" s="91"/>
      <x:c r="M249" s="91"/>
      <x:c r="N249" s="91"/>
      <x:c r="O249" s="91"/>
      <x:c r="P249" s="85"/>
      <x:c r="R249" s="86"/>
      <x:c r="S249" s="32"/>
    </x:row>
    <x:row r="250">
      <x:c r="A250" s="87"/>
      <x:c r="D250" s="32"/>
      <x:c r="I250" s="74"/>
      <x:c r="J250" s="74"/>
      <x:c r="K250" s="74"/>
      <x:c r="L250" s="91"/>
      <x:c r="M250" s="91"/>
      <x:c r="N250" s="91"/>
      <x:c r="O250" s="91"/>
      <x:c r="P250" s="85"/>
      <x:c r="R250" s="86"/>
      <x:c r="S250" s="32"/>
    </x:row>
    <x:row r="251">
      <x:c r="A251" s="87"/>
      <x:c r="D251" s="32"/>
      <x:c r="I251" s="74"/>
      <x:c r="J251" s="74"/>
      <x:c r="K251" s="74"/>
      <x:c r="L251" s="91"/>
      <x:c r="M251" s="91"/>
      <x:c r="N251" s="91"/>
      <x:c r="O251" s="91"/>
      <x:c r="P251" s="85"/>
      <x:c r="R251" s="86"/>
      <x:c r="S251" s="32"/>
    </x:row>
    <x:row r="252">
      <x:c r="A252" s="87"/>
      <x:c r="D252" s="32"/>
      <x:c r="I252" s="74"/>
      <x:c r="J252" s="74"/>
      <x:c r="K252" s="74"/>
      <x:c r="L252" s="91"/>
      <x:c r="M252" s="91"/>
      <x:c r="N252" s="91"/>
      <x:c r="O252" s="91"/>
      <x:c r="P252" s="85"/>
      <x:c r="R252" s="86"/>
      <x:c r="S252" s="32"/>
    </x:row>
    <x:row r="253">
      <x:c r="A253" s="87"/>
      <x:c r="D253" s="32"/>
      <x:c r="I253" s="74"/>
      <x:c r="J253" s="74"/>
      <x:c r="K253" s="74"/>
      <x:c r="L253" s="91"/>
      <x:c r="M253" s="91"/>
      <x:c r="N253" s="91"/>
      <x:c r="O253" s="91"/>
      <x:c r="P253" s="85"/>
      <x:c r="R253" s="86"/>
      <x:c r="S253" s="32"/>
    </x:row>
    <x:row r="254">
      <x:c r="A254" s="87"/>
      <x:c r="D254" s="32"/>
      <x:c r="I254" s="74"/>
      <x:c r="J254" s="74"/>
      <x:c r="K254" s="74"/>
      <x:c r="L254" s="91"/>
      <x:c r="M254" s="91"/>
      <x:c r="N254" s="91"/>
      <x:c r="O254" s="91"/>
      <x:c r="P254" s="85"/>
      <x:c r="R254" s="86"/>
      <x:c r="S254" s="32"/>
    </x:row>
    <x:row r="255">
      <x:c r="A255" s="87"/>
      <x:c r="D255" s="32"/>
      <x:c r="I255" s="74"/>
      <x:c r="J255" s="74"/>
      <x:c r="K255" s="74"/>
      <x:c r="L255" s="91"/>
      <x:c r="M255" s="91"/>
      <x:c r="N255" s="91"/>
      <x:c r="O255" s="91"/>
      <x:c r="P255" s="85"/>
      <x:c r="R255" s="86"/>
      <x:c r="S255" s="32"/>
    </x:row>
    <x:row r="256">
      <x:c r="A256" s="87"/>
      <x:c r="D256" s="32"/>
      <x:c r="I256" s="74"/>
      <x:c r="J256" s="74"/>
      <x:c r="K256" s="74"/>
      <x:c r="L256" s="91"/>
      <x:c r="M256" s="91"/>
      <x:c r="N256" s="91"/>
      <x:c r="O256" s="91"/>
      <x:c r="P256" s="85"/>
      <x:c r="R256" s="86"/>
      <x:c r="S256" s="32"/>
    </x:row>
    <x:row r="257">
      <x:c r="A257" s="87"/>
      <x:c r="D257" s="32"/>
      <x:c r="I257" s="74"/>
      <x:c r="J257" s="74"/>
      <x:c r="K257" s="74"/>
      <x:c r="L257" s="91"/>
      <x:c r="M257" s="91"/>
      <x:c r="N257" s="91"/>
      <x:c r="O257" s="91"/>
      <x:c r="P257" s="85"/>
      <x:c r="R257" s="86"/>
      <x:c r="S257" s="32"/>
    </x:row>
    <x:row r="258">
      <x:c r="A258" s="87"/>
      <x:c r="D258" s="32"/>
      <x:c r="I258" s="74"/>
      <x:c r="J258" s="74"/>
      <x:c r="K258" s="74"/>
      <x:c r="L258" s="91"/>
      <x:c r="M258" s="91"/>
      <x:c r="N258" s="91"/>
      <x:c r="O258" s="91"/>
      <x:c r="P258" s="85"/>
      <x:c r="R258" s="86"/>
      <x:c r="S258" s="32"/>
    </x:row>
    <x:row r="259">
      <x:c r="A259" s="87"/>
      <x:c r="D259" s="32"/>
      <x:c r="I259" s="74"/>
      <x:c r="J259" s="74"/>
      <x:c r="K259" s="74"/>
      <x:c r="L259" s="91"/>
      <x:c r="M259" s="91"/>
      <x:c r="N259" s="91"/>
      <x:c r="O259" s="91"/>
      <x:c r="P259" s="85"/>
      <x:c r="R259" s="86"/>
      <x:c r="S259" s="32"/>
    </x:row>
    <x:row r="260">
      <x:c r="A260" s="87"/>
      <x:c r="D260" s="32"/>
      <x:c r="I260" s="74"/>
      <x:c r="J260" s="74"/>
      <x:c r="K260" s="74"/>
      <x:c r="L260" s="91"/>
      <x:c r="M260" s="91"/>
      <x:c r="N260" s="91"/>
      <x:c r="O260" s="91"/>
      <x:c r="P260" s="85"/>
      <x:c r="R260" s="86"/>
      <x:c r="S260" s="32"/>
    </x:row>
    <x:row r="261">
      <x:c r="A261" s="87"/>
      <x:c r="D261" s="32"/>
      <x:c r="I261" s="74"/>
      <x:c r="J261" s="74"/>
      <x:c r="K261" s="74"/>
      <x:c r="L261" s="91"/>
      <x:c r="M261" s="91"/>
      <x:c r="N261" s="91"/>
      <x:c r="O261" s="91"/>
      <x:c r="P261" s="85"/>
      <x:c r="R261" s="86"/>
      <x:c r="S261" s="32"/>
    </x:row>
    <x:row r="262">
      <x:c r="A262" s="87"/>
      <x:c r="D262" s="32"/>
      <x:c r="I262" s="74"/>
      <x:c r="J262" s="74"/>
      <x:c r="K262" s="74"/>
      <x:c r="L262" s="91"/>
      <x:c r="M262" s="91"/>
      <x:c r="N262" s="91"/>
      <x:c r="O262" s="91"/>
      <x:c r="P262" s="85"/>
      <x:c r="R262" s="86"/>
      <x:c r="S262" s="32"/>
    </x:row>
    <x:row r="263">
      <x:c r="A263" s="87"/>
      <x:c r="D263" s="32"/>
      <x:c r="I263" s="74"/>
      <x:c r="J263" s="74"/>
      <x:c r="K263" s="74"/>
      <x:c r="L263" s="91"/>
      <x:c r="M263" s="91"/>
      <x:c r="N263" s="91"/>
      <x:c r="O263" s="91"/>
      <x:c r="P263" s="85"/>
      <x:c r="R263" s="86"/>
      <x:c r="S263" s="32"/>
    </x:row>
    <x:row r="264">
      <x:c r="A264" s="87"/>
      <x:c r="D264" s="32"/>
      <x:c r="I264" s="74"/>
      <x:c r="J264" s="74"/>
      <x:c r="K264" s="74"/>
      <x:c r="L264" s="91"/>
      <x:c r="M264" s="91"/>
      <x:c r="N264" s="91"/>
      <x:c r="O264" s="91"/>
      <x:c r="P264" s="85"/>
      <x:c r="R264" s="86"/>
      <x:c r="S264" s="32"/>
    </x:row>
    <x:row r="265">
      <x:c r="A265" s="87"/>
      <x:c r="D265" s="32"/>
      <x:c r="I265" s="74"/>
      <x:c r="J265" s="74"/>
      <x:c r="K265" s="74"/>
      <x:c r="L265" s="91"/>
      <x:c r="M265" s="91"/>
      <x:c r="N265" s="91"/>
      <x:c r="O265" s="91"/>
      <x:c r="P265" s="85"/>
      <x:c r="R265" s="86"/>
      <x:c r="S265" s="32"/>
    </x:row>
    <x:row r="266">
      <x:c r="A266" s="87"/>
      <x:c r="D266" s="32"/>
      <x:c r="I266" s="74"/>
      <x:c r="J266" s="74"/>
      <x:c r="K266" s="74"/>
      <x:c r="L266" s="91"/>
      <x:c r="M266" s="91"/>
      <x:c r="N266" s="91"/>
      <x:c r="O266" s="91"/>
      <x:c r="P266" s="85"/>
      <x:c r="R266" s="86"/>
      <x:c r="S266" s="32"/>
    </x:row>
    <x:row r="267">
      <x:c r="A267" s="87"/>
      <x:c r="D267" s="32"/>
      <x:c r="I267" s="74"/>
      <x:c r="J267" s="74"/>
      <x:c r="K267" s="74"/>
      <x:c r="L267" s="91"/>
      <x:c r="M267" s="91"/>
      <x:c r="N267" s="91"/>
      <x:c r="O267" s="91"/>
      <x:c r="P267" s="85"/>
      <x:c r="R267" s="86"/>
      <x:c r="S267" s="32"/>
    </x:row>
    <x:row r="268">
      <x:c r="A268" s="87"/>
      <x:c r="D268" s="32"/>
      <x:c r="I268" s="74"/>
      <x:c r="J268" s="74"/>
      <x:c r="K268" s="74"/>
      <x:c r="L268" s="91"/>
      <x:c r="M268" s="91"/>
      <x:c r="N268" s="91"/>
      <x:c r="O268" s="91"/>
      <x:c r="P268" s="85"/>
      <x:c r="R268" s="86"/>
      <x:c r="S268" s="32"/>
    </x:row>
    <x:row r="269">
      <x:c r="A269" s="87"/>
      <x:c r="D269" s="32"/>
      <x:c r="I269" s="74"/>
      <x:c r="J269" s="74"/>
      <x:c r="K269" s="74"/>
      <x:c r="L269" s="91"/>
      <x:c r="M269" s="91"/>
      <x:c r="N269" s="91"/>
      <x:c r="O269" s="91"/>
      <x:c r="P269" s="85"/>
      <x:c r="R269" s="86"/>
      <x:c r="S269" s="32"/>
    </x:row>
    <x:row r="270">
      <x:c r="A270" s="87"/>
      <x:c r="D270" s="32"/>
      <x:c r="I270" s="74"/>
      <x:c r="J270" s="74"/>
      <x:c r="K270" s="74"/>
      <x:c r="L270" s="91"/>
      <x:c r="M270" s="91"/>
      <x:c r="N270" s="91"/>
      <x:c r="O270" s="91"/>
      <x:c r="P270" s="85"/>
      <x:c r="R270" s="86"/>
      <x:c r="S270" s="32"/>
    </x:row>
    <x:row r="271">
      <x:c r="A271" s="87"/>
      <x:c r="D271" s="32"/>
      <x:c r="I271" s="74"/>
      <x:c r="J271" s="74"/>
      <x:c r="K271" s="74"/>
      <x:c r="L271" s="91"/>
      <x:c r="M271" s="91"/>
      <x:c r="N271" s="91"/>
      <x:c r="O271" s="91"/>
      <x:c r="P271" s="85"/>
      <x:c r="R271" s="86"/>
      <x:c r="S271" s="32"/>
    </x:row>
    <x:row r="272">
      <x:c r="A272" s="87"/>
      <x:c r="D272" s="32"/>
      <x:c r="I272" s="74"/>
      <x:c r="J272" s="74"/>
      <x:c r="K272" s="74"/>
      <x:c r="L272" s="91"/>
      <x:c r="M272" s="91"/>
      <x:c r="N272" s="91"/>
      <x:c r="O272" s="91"/>
      <x:c r="P272" s="85"/>
      <x:c r="R272" s="86"/>
      <x:c r="S272" s="32"/>
    </x:row>
    <x:row r="273">
      <x:c r="A273" s="87"/>
      <x:c r="D273" s="32"/>
      <x:c r="I273" s="74"/>
      <x:c r="J273" s="74"/>
      <x:c r="K273" s="74"/>
      <x:c r="L273" s="91"/>
      <x:c r="M273" s="91"/>
      <x:c r="N273" s="91"/>
      <x:c r="O273" s="91"/>
      <x:c r="P273" s="85"/>
      <x:c r="R273" s="86"/>
      <x:c r="S273" s="32"/>
    </x:row>
    <x:row r="274">
      <x:c r="A274" s="87"/>
      <x:c r="D274" s="32"/>
      <x:c r="I274" s="74"/>
      <x:c r="J274" s="74"/>
      <x:c r="K274" s="74"/>
      <x:c r="L274" s="91"/>
      <x:c r="M274" s="91"/>
      <x:c r="N274" s="91"/>
      <x:c r="O274" s="91"/>
      <x:c r="P274" s="85"/>
      <x:c r="R274" s="86"/>
      <x:c r="S274" s="32"/>
    </x:row>
    <x:row r="275">
      <x:c r="A275" s="87"/>
      <x:c r="D275" s="32"/>
      <x:c r="I275" s="74"/>
      <x:c r="J275" s="74"/>
      <x:c r="K275" s="74"/>
      <x:c r="L275" s="91"/>
      <x:c r="M275" s="91"/>
      <x:c r="N275" s="91"/>
      <x:c r="O275" s="91"/>
      <x:c r="P275" s="85"/>
      <x:c r="R275" s="86"/>
      <x:c r="S275" s="32"/>
    </x:row>
    <x:row r="276">
      <x:c r="A276" s="87"/>
      <x:c r="D276" s="32"/>
      <x:c r="I276" s="74"/>
      <x:c r="J276" s="74"/>
      <x:c r="K276" s="74"/>
      <x:c r="L276" s="91"/>
      <x:c r="M276" s="91"/>
      <x:c r="N276" s="91"/>
      <x:c r="O276" s="91"/>
      <x:c r="P276" s="85"/>
      <x:c r="R276" s="86"/>
      <x:c r="S276" s="32"/>
    </x:row>
    <x:row r="277">
      <x:c r="A277" s="87"/>
      <x:c r="D277" s="32"/>
      <x:c r="I277" s="74"/>
      <x:c r="J277" s="74"/>
      <x:c r="K277" s="74"/>
      <x:c r="L277" s="91"/>
      <x:c r="M277" s="91"/>
      <x:c r="N277" s="91"/>
      <x:c r="O277" s="91"/>
      <x:c r="P277" s="85"/>
      <x:c r="R277" s="86"/>
      <x:c r="S277" s="32"/>
    </x:row>
    <x:row r="278">
      <x:c r="A278" s="87"/>
      <x:c r="D278" s="32"/>
      <x:c r="I278" s="74"/>
      <x:c r="J278" s="74"/>
      <x:c r="K278" s="74"/>
      <x:c r="L278" s="91"/>
      <x:c r="M278" s="91"/>
      <x:c r="N278" s="91"/>
      <x:c r="O278" s="91"/>
      <x:c r="P278" s="85"/>
      <x:c r="R278" s="86"/>
      <x:c r="S278" s="32"/>
    </x:row>
    <x:row r="279">
      <x:c r="A279" s="87"/>
      <x:c r="D279" s="32"/>
      <x:c r="I279" s="74"/>
      <x:c r="J279" s="74"/>
      <x:c r="K279" s="74"/>
      <x:c r="L279" s="91"/>
      <x:c r="M279" s="91"/>
      <x:c r="N279" s="91"/>
      <x:c r="O279" s="91"/>
      <x:c r="P279" s="85"/>
      <x:c r="R279" s="86"/>
      <x:c r="S279" s="32"/>
    </x:row>
    <x:row r="280">
      <x:c r="A280" s="87"/>
      <x:c r="D280" s="32"/>
      <x:c r="I280" s="74"/>
      <x:c r="J280" s="74"/>
      <x:c r="K280" s="74"/>
      <x:c r="L280" s="91"/>
      <x:c r="M280" s="91"/>
      <x:c r="N280" s="91"/>
      <x:c r="O280" s="91"/>
      <x:c r="P280" s="85"/>
      <x:c r="R280" s="86"/>
      <x:c r="S280" s="32"/>
    </x:row>
    <x:row r="281">
      <x:c r="A281" s="87"/>
      <x:c r="D281" s="32"/>
      <x:c r="I281" s="74"/>
      <x:c r="J281" s="74"/>
      <x:c r="K281" s="74"/>
      <x:c r="L281" s="91"/>
      <x:c r="M281" s="91"/>
      <x:c r="N281" s="91"/>
      <x:c r="O281" s="91"/>
      <x:c r="P281" s="85"/>
      <x:c r="R281" s="86"/>
      <x:c r="S281" s="32"/>
    </x:row>
    <x:row r="282">
      <x:c r="A282" s="87"/>
      <x:c r="D282" s="32"/>
      <x:c r="I282" s="74"/>
      <x:c r="J282" s="74"/>
      <x:c r="K282" s="74"/>
      <x:c r="L282" s="91"/>
      <x:c r="M282" s="91"/>
      <x:c r="N282" s="91"/>
      <x:c r="O282" s="91"/>
      <x:c r="P282" s="85"/>
      <x:c r="R282" s="86"/>
      <x:c r="S282" s="32"/>
    </x:row>
    <x:row r="283">
      <x:c r="A283" s="87"/>
      <x:c r="D283" s="32"/>
      <x:c r="I283" s="74"/>
      <x:c r="J283" s="74"/>
      <x:c r="K283" s="74"/>
      <x:c r="L283" s="91"/>
      <x:c r="M283" s="91"/>
      <x:c r="N283" s="91"/>
      <x:c r="O283" s="91"/>
      <x:c r="P283" s="85"/>
      <x:c r="R283" s="86"/>
      <x:c r="S283" s="32"/>
    </x:row>
    <x:row r="284">
      <x:c r="A284" s="87"/>
      <x:c r="D284" s="32"/>
      <x:c r="I284" s="74"/>
      <x:c r="J284" s="74"/>
      <x:c r="K284" s="74"/>
      <x:c r="L284" s="91"/>
      <x:c r="M284" s="91"/>
      <x:c r="N284" s="91"/>
      <x:c r="O284" s="91"/>
      <x:c r="P284" s="85"/>
      <x:c r="R284" s="86"/>
      <x:c r="S284" s="32"/>
    </x:row>
    <x:row r="285">
      <x:c r="A285" s="87"/>
      <x:c r="D285" s="32"/>
      <x:c r="I285" s="74"/>
      <x:c r="J285" s="74"/>
      <x:c r="K285" s="74"/>
      <x:c r="L285" s="91"/>
      <x:c r="M285" s="91"/>
      <x:c r="N285" s="91"/>
      <x:c r="O285" s="91"/>
      <x:c r="P285" s="85"/>
      <x:c r="R285" s="86"/>
      <x:c r="S285" s="32"/>
    </x:row>
    <x:row r="286">
      <x:c r="A286" s="87"/>
      <x:c r="D286" s="32"/>
      <x:c r="I286" s="74"/>
      <x:c r="J286" s="74"/>
      <x:c r="K286" s="74"/>
      <x:c r="L286" s="91"/>
      <x:c r="M286" s="91"/>
      <x:c r="N286" s="91"/>
      <x:c r="O286" s="91"/>
      <x:c r="P286" s="85"/>
      <x:c r="R286" s="86"/>
      <x:c r="S286" s="32"/>
    </x:row>
    <x:row r="287">
      <x:c r="A287" s="87"/>
      <x:c r="D287" s="32"/>
      <x:c r="I287" s="74"/>
      <x:c r="J287" s="74"/>
      <x:c r="K287" s="74"/>
      <x:c r="L287" s="91"/>
      <x:c r="M287" s="91"/>
      <x:c r="N287" s="91"/>
      <x:c r="O287" s="91"/>
      <x:c r="P287" s="85"/>
      <x:c r="R287" s="86"/>
      <x:c r="S287" s="32"/>
    </x:row>
    <x:row r="288">
      <x:c r="A288" s="87"/>
      <x:c r="D288" s="32"/>
      <x:c r="I288" s="74"/>
      <x:c r="J288" s="74"/>
      <x:c r="K288" s="74"/>
      <x:c r="L288" s="91"/>
      <x:c r="M288" s="91"/>
      <x:c r="N288" s="91"/>
      <x:c r="O288" s="91"/>
      <x:c r="P288" s="85"/>
      <x:c r="R288" s="86"/>
      <x:c r="S288" s="32"/>
    </x:row>
    <x:row r="289">
      <x:c r="A289" s="87"/>
      <x:c r="D289" s="32"/>
      <x:c r="I289" s="74"/>
      <x:c r="J289" s="74"/>
      <x:c r="K289" s="74"/>
      <x:c r="L289" s="91"/>
      <x:c r="M289" s="91"/>
      <x:c r="N289" s="91"/>
      <x:c r="O289" s="91"/>
      <x:c r="P289" s="85"/>
      <x:c r="R289" s="86"/>
      <x:c r="S289" s="32"/>
    </x:row>
    <x:row r="290">
      <x:c r="A290" s="87"/>
      <x:c r="D290" s="32"/>
      <x:c r="I290" s="74"/>
      <x:c r="J290" s="74"/>
      <x:c r="K290" s="74"/>
      <x:c r="L290" s="91"/>
      <x:c r="M290" s="91"/>
      <x:c r="N290" s="91"/>
      <x:c r="O290" s="91"/>
      <x:c r="P290" s="85"/>
      <x:c r="R290" s="86"/>
      <x:c r="S290" s="32"/>
    </x:row>
    <x:row r="291">
      <x:c r="A291" s="87"/>
      <x:c r="D291" s="32"/>
      <x:c r="I291" s="74"/>
      <x:c r="J291" s="74"/>
      <x:c r="K291" s="74"/>
      <x:c r="L291" s="91"/>
      <x:c r="M291" s="91"/>
      <x:c r="N291" s="91"/>
      <x:c r="O291" s="91"/>
      <x:c r="P291" s="85"/>
      <x:c r="R291" s="86"/>
      <x:c r="S291" s="32"/>
    </x:row>
    <x:row r="292">
      <x:c r="A292" s="87"/>
      <x:c r="D292" s="32"/>
      <x:c r="I292" s="74"/>
      <x:c r="J292" s="74"/>
      <x:c r="K292" s="74"/>
      <x:c r="L292" s="91"/>
      <x:c r="M292" s="91"/>
      <x:c r="N292" s="91"/>
      <x:c r="O292" s="91"/>
      <x:c r="P292" s="85"/>
      <x:c r="R292" s="86"/>
      <x:c r="S292" s="32"/>
    </x:row>
    <x:row r="293">
      <x:c r="A293" s="87"/>
      <x:c r="D293" s="32"/>
      <x:c r="I293" s="74"/>
      <x:c r="J293" s="74"/>
      <x:c r="K293" s="74"/>
      <x:c r="L293" s="91"/>
      <x:c r="M293" s="91"/>
      <x:c r="N293" s="91"/>
      <x:c r="O293" s="91"/>
      <x:c r="P293" s="85"/>
      <x:c r="R293" s="86"/>
      <x:c r="S293" s="32"/>
    </x:row>
    <x:row r="294">
      <x:c r="A294" s="87"/>
      <x:c r="D294" s="32"/>
      <x:c r="I294" s="74"/>
      <x:c r="J294" s="74"/>
      <x:c r="K294" s="74"/>
      <x:c r="L294" s="91"/>
      <x:c r="M294" s="91"/>
      <x:c r="N294" s="91"/>
      <x:c r="O294" s="91"/>
      <x:c r="P294" s="85"/>
      <x:c r="R294" s="86"/>
      <x:c r="S294" s="32"/>
    </x:row>
    <x:row r="295">
      <x:c r="A295" s="87"/>
      <x:c r="D295" s="32"/>
      <x:c r="I295" s="74"/>
      <x:c r="J295" s="74"/>
      <x:c r="K295" s="74"/>
      <x:c r="L295" s="91"/>
      <x:c r="M295" s="91"/>
      <x:c r="N295" s="91"/>
      <x:c r="O295" s="91"/>
      <x:c r="P295" s="85"/>
      <x:c r="R295" s="86"/>
      <x:c r="S295" s="32"/>
    </x:row>
    <x:row r="296">
      <x:c r="A296" s="87"/>
      <x:c r="D296" s="32"/>
      <x:c r="I296" s="74"/>
      <x:c r="J296" s="74"/>
      <x:c r="K296" s="74"/>
      <x:c r="L296" s="91"/>
      <x:c r="M296" s="91"/>
      <x:c r="N296" s="91"/>
      <x:c r="O296" s="91"/>
      <x:c r="P296" s="85"/>
      <x:c r="R296" s="86"/>
      <x:c r="S296" s="32"/>
    </x:row>
    <x:row r="297">
      <x:c r="A297" s="87"/>
      <x:c r="D297" s="32"/>
      <x:c r="I297" s="74"/>
      <x:c r="J297" s="74"/>
      <x:c r="K297" s="74"/>
      <x:c r="L297" s="91"/>
      <x:c r="M297" s="91"/>
      <x:c r="N297" s="91"/>
      <x:c r="O297" s="91"/>
      <x:c r="P297" s="85"/>
      <x:c r="R297" s="86"/>
      <x:c r="S297" s="32"/>
    </x:row>
    <x:row r="298">
      <x:c r="A298" s="87"/>
      <x:c r="D298" s="32"/>
      <x:c r="I298" s="74"/>
      <x:c r="J298" s="74"/>
      <x:c r="K298" s="74"/>
      <x:c r="L298" s="91"/>
      <x:c r="M298" s="91"/>
      <x:c r="N298" s="91"/>
      <x:c r="O298" s="91"/>
      <x:c r="P298" s="85"/>
      <x:c r="R298" s="86"/>
      <x:c r="S298" s="32"/>
    </x:row>
    <x:row r="299">
      <x:c r="A299" s="87"/>
      <x:c r="D299" s="32"/>
      <x:c r="I299" s="74"/>
      <x:c r="J299" s="74"/>
      <x:c r="K299" s="74"/>
      <x:c r="L299" s="91"/>
      <x:c r="M299" s="91"/>
      <x:c r="N299" s="91"/>
      <x:c r="O299" s="91"/>
      <x:c r="P299" s="85"/>
      <x:c r="R299" s="86"/>
      <x:c r="S299" s="32"/>
    </x:row>
    <x:row r="300">
      <x:c r="A300" s="87"/>
      <x:c r="D300" s="32"/>
      <x:c r="I300" s="74"/>
      <x:c r="J300" s="74"/>
      <x:c r="K300" s="74"/>
      <x:c r="L300" s="91"/>
      <x:c r="M300" s="91"/>
      <x:c r="N300" s="91"/>
      <x:c r="O300" s="91"/>
      <x:c r="P300" s="85"/>
      <x:c r="R300" s="86"/>
      <x:c r="S300" s="32"/>
    </x:row>
    <x:row r="301">
      <x:c r="A301" s="87"/>
      <x:c r="D301" s="32"/>
      <x:c r="I301" s="74"/>
      <x:c r="J301" s="74"/>
      <x:c r="K301" s="74"/>
      <x:c r="L301" s="91"/>
      <x:c r="M301" s="91"/>
      <x:c r="N301" s="91"/>
      <x:c r="O301" s="91"/>
      <x:c r="P301" s="85"/>
      <x:c r="R301" s="86"/>
      <x:c r="S301" s="32"/>
    </x:row>
    <x:row r="302">
      <x:c r="A302" s="87"/>
      <x:c r="D302" s="32"/>
      <x:c r="I302" s="74"/>
      <x:c r="J302" s="74"/>
      <x:c r="K302" s="74"/>
      <x:c r="L302" s="91"/>
      <x:c r="M302" s="91"/>
      <x:c r="N302" s="91"/>
      <x:c r="O302" s="91"/>
      <x:c r="P302" s="85"/>
      <x:c r="R302" s="86"/>
      <x:c r="S302" s="32"/>
    </x:row>
    <x:row r="303">
      <x:c r="A303" s="87"/>
      <x:c r="D303" s="32"/>
      <x:c r="I303" s="74"/>
      <x:c r="J303" s="74"/>
      <x:c r="K303" s="74"/>
      <x:c r="L303" s="91"/>
      <x:c r="M303" s="91"/>
      <x:c r="N303" s="91"/>
      <x:c r="O303" s="91"/>
      <x:c r="P303" s="85"/>
      <x:c r="R303" s="86"/>
      <x:c r="S303" s="32"/>
    </x:row>
    <x:row r="304">
      <x:c r="A304" s="87"/>
      <x:c r="D304" s="32"/>
      <x:c r="I304" s="74"/>
      <x:c r="J304" s="74"/>
      <x:c r="K304" s="74"/>
      <x:c r="L304" s="91"/>
      <x:c r="M304" s="91"/>
      <x:c r="N304" s="91"/>
      <x:c r="O304" s="91"/>
      <x:c r="P304" s="85"/>
      <x:c r="R304" s="86"/>
      <x:c r="S304" s="32"/>
    </x:row>
    <x:row r="305">
      <x:c r="A305" s="87"/>
      <x:c r="D305" s="32"/>
      <x:c r="I305" s="74"/>
      <x:c r="J305" s="74"/>
      <x:c r="K305" s="74"/>
      <x:c r="L305" s="91"/>
      <x:c r="M305" s="91"/>
      <x:c r="N305" s="91"/>
      <x:c r="O305" s="91"/>
      <x:c r="P305" s="85"/>
      <x:c r="R305" s="86"/>
      <x:c r="S305" s="32"/>
    </x:row>
    <x:row r="306">
      <x:c r="A306" s="87"/>
      <x:c r="D306" s="32"/>
      <x:c r="I306" s="74"/>
      <x:c r="J306" s="74"/>
      <x:c r="K306" s="74"/>
      <x:c r="L306" s="91"/>
      <x:c r="M306" s="91"/>
      <x:c r="N306" s="91"/>
      <x:c r="O306" s="91"/>
      <x:c r="P306" s="85"/>
      <x:c r="R306" s="86"/>
      <x:c r="S306" s="32"/>
    </x:row>
    <x:row r="307">
      <x:c r="A307" s="87"/>
      <x:c r="D307" s="32"/>
      <x:c r="I307" s="74"/>
      <x:c r="J307" s="74"/>
      <x:c r="K307" s="74"/>
      <x:c r="L307" s="91"/>
      <x:c r="M307" s="91"/>
      <x:c r="N307" s="91"/>
      <x:c r="O307" s="91"/>
      <x:c r="P307" s="85"/>
      <x:c r="R307" s="86"/>
      <x:c r="S307" s="32"/>
    </x:row>
    <x:row r="308">
      <x:c r="A308" s="87"/>
      <x:c r="D308" s="32"/>
      <x:c r="I308" s="74"/>
      <x:c r="J308" s="74"/>
      <x:c r="K308" s="74"/>
      <x:c r="L308" s="91"/>
      <x:c r="M308" s="91"/>
      <x:c r="N308" s="91"/>
      <x:c r="O308" s="91"/>
      <x:c r="P308" s="85"/>
      <x:c r="R308" s="86"/>
      <x:c r="S308" s="32"/>
    </x:row>
    <x:row r="309">
      <x:c r="A309" s="87"/>
      <x:c r="D309" s="32"/>
      <x:c r="I309" s="74"/>
      <x:c r="J309" s="74"/>
      <x:c r="K309" s="74"/>
      <x:c r="L309" s="91"/>
      <x:c r="M309" s="91"/>
      <x:c r="N309" s="91"/>
      <x:c r="O309" s="91"/>
      <x:c r="P309" s="85"/>
      <x:c r="R309" s="86"/>
      <x:c r="S309" s="32"/>
    </x:row>
    <x:row r="310">
      <x:c r="A310" s="87"/>
      <x:c r="D310" s="32"/>
      <x:c r="I310" s="74"/>
      <x:c r="J310" s="74"/>
      <x:c r="K310" s="74"/>
      <x:c r="L310" s="91"/>
      <x:c r="M310" s="91"/>
      <x:c r="N310" s="91"/>
      <x:c r="O310" s="91"/>
      <x:c r="P310" s="85"/>
      <x:c r="R310" s="86"/>
      <x:c r="S310" s="32"/>
    </x:row>
    <x:row r="311">
      <x:c r="A311" s="87"/>
      <x:c r="D311" s="32"/>
      <x:c r="I311" s="74"/>
      <x:c r="J311" s="74"/>
      <x:c r="K311" s="74"/>
      <x:c r="L311" s="91"/>
      <x:c r="M311" s="91"/>
      <x:c r="N311" s="91"/>
      <x:c r="O311" s="91"/>
      <x:c r="P311" s="85"/>
      <x:c r="R311" s="86"/>
      <x:c r="S311" s="32"/>
    </x:row>
    <x:row r="312">
      <x:c r="A312" s="87"/>
      <x:c r="D312" s="32"/>
      <x:c r="I312" s="74"/>
      <x:c r="J312" s="74"/>
      <x:c r="K312" s="74"/>
      <x:c r="L312" s="91"/>
      <x:c r="M312" s="91"/>
      <x:c r="N312" s="91"/>
      <x:c r="O312" s="91"/>
      <x:c r="P312" s="85"/>
      <x:c r="R312" s="86"/>
      <x:c r="S312" s="32"/>
    </x:row>
    <x:row r="313">
      <x:c r="A313" s="87"/>
      <x:c r="D313" s="32"/>
      <x:c r="I313" s="74"/>
      <x:c r="J313" s="74"/>
      <x:c r="K313" s="74"/>
      <x:c r="L313" s="91"/>
      <x:c r="M313" s="91"/>
      <x:c r="N313" s="91"/>
      <x:c r="O313" s="91"/>
      <x:c r="P313" s="85"/>
      <x:c r="R313" s="86"/>
      <x:c r="S313" s="32"/>
    </x:row>
    <x:row r="314">
      <x:c r="A314" s="87"/>
      <x:c r="D314" s="32"/>
      <x:c r="I314" s="74"/>
      <x:c r="J314" s="74"/>
      <x:c r="K314" s="74"/>
      <x:c r="L314" s="91"/>
      <x:c r="M314" s="91"/>
      <x:c r="N314" s="91"/>
      <x:c r="O314" s="91"/>
      <x:c r="P314" s="85"/>
      <x:c r="R314" s="86"/>
      <x:c r="S314" s="32"/>
    </x:row>
    <x:row r="315">
      <x:c r="A315" s="87"/>
      <x:c r="D315" s="32"/>
      <x:c r="I315" s="74"/>
      <x:c r="J315" s="74"/>
      <x:c r="K315" s="74"/>
      <x:c r="L315" s="91"/>
      <x:c r="M315" s="91"/>
      <x:c r="N315" s="91"/>
      <x:c r="O315" s="91"/>
      <x:c r="P315" s="85"/>
      <x:c r="R315" s="86"/>
      <x:c r="S315" s="32"/>
    </x:row>
    <x:row r="316">
      <x:c r="A316" s="87"/>
      <x:c r="D316" s="32"/>
      <x:c r="I316" s="74"/>
      <x:c r="J316" s="74"/>
      <x:c r="K316" s="74"/>
      <x:c r="L316" s="91"/>
      <x:c r="M316" s="91"/>
      <x:c r="N316" s="91"/>
      <x:c r="O316" s="91"/>
      <x:c r="P316" s="85"/>
      <x:c r="R316" s="86"/>
      <x:c r="S316" s="32"/>
    </x:row>
    <x:row r="317">
      <x:c r="A317" s="87"/>
      <x:c r="D317" s="32"/>
      <x:c r="I317" s="74"/>
      <x:c r="J317" s="74"/>
      <x:c r="K317" s="74"/>
      <x:c r="L317" s="91"/>
      <x:c r="M317" s="91"/>
      <x:c r="N317" s="91"/>
      <x:c r="O317" s="91"/>
      <x:c r="P317" s="85"/>
      <x:c r="R317" s="86"/>
      <x:c r="S317" s="32"/>
    </x:row>
    <x:row r="318">
      <x:c r="A318" s="87"/>
      <x:c r="D318" s="32"/>
      <x:c r="I318" s="74"/>
      <x:c r="J318" s="74"/>
      <x:c r="K318" s="74"/>
      <x:c r="L318" s="91"/>
      <x:c r="M318" s="91"/>
      <x:c r="N318" s="91"/>
      <x:c r="O318" s="91"/>
      <x:c r="P318" s="85"/>
      <x:c r="R318" s="86"/>
      <x:c r="S318" s="32"/>
    </x:row>
    <x:row r="319">
      <x:c r="A319" s="87"/>
      <x:c r="D319" s="32"/>
      <x:c r="I319" s="74"/>
      <x:c r="J319" s="74"/>
      <x:c r="K319" s="74"/>
      <x:c r="L319" s="91"/>
      <x:c r="M319" s="91"/>
      <x:c r="N319" s="91"/>
      <x:c r="O319" s="91"/>
      <x:c r="P319" s="85"/>
      <x:c r="R319" s="86"/>
      <x:c r="S319" s="32"/>
    </x:row>
    <x:row r="320">
      <x:c r="A320" s="87"/>
      <x:c r="D320" s="32"/>
      <x:c r="I320" s="74"/>
      <x:c r="J320" s="74"/>
      <x:c r="K320" s="74"/>
      <x:c r="L320" s="91"/>
      <x:c r="M320" s="91"/>
      <x:c r="N320" s="91"/>
      <x:c r="O320" s="91"/>
      <x:c r="P320" s="85"/>
      <x:c r="R320" s="86"/>
      <x:c r="S320" s="32"/>
    </x:row>
    <x:row r="321">
      <x:c r="A321" s="87"/>
      <x:c r="D321" s="32"/>
      <x:c r="I321" s="74"/>
      <x:c r="J321" s="74"/>
      <x:c r="K321" s="74"/>
      <x:c r="L321" s="91"/>
      <x:c r="M321" s="91"/>
      <x:c r="N321" s="91"/>
      <x:c r="O321" s="91"/>
      <x:c r="P321" s="85"/>
      <x:c r="R321" s="86"/>
      <x:c r="S321" s="32"/>
    </x:row>
    <x:row r="322">
      <x:c r="A322" s="87"/>
      <x:c r="D322" s="32"/>
      <x:c r="I322" s="74"/>
      <x:c r="J322" s="74"/>
      <x:c r="K322" s="74"/>
      <x:c r="L322" s="91"/>
      <x:c r="M322" s="91"/>
      <x:c r="N322" s="91"/>
      <x:c r="O322" s="91"/>
      <x:c r="P322" s="85"/>
      <x:c r="R322" s="86"/>
      <x:c r="S322" s="32"/>
    </x:row>
    <x:row r="323">
      <x:c r="A323" s="87"/>
      <x:c r="D323" s="32"/>
      <x:c r="I323" s="74"/>
      <x:c r="J323" s="74"/>
      <x:c r="K323" s="74"/>
      <x:c r="L323" s="91"/>
      <x:c r="M323" s="91"/>
      <x:c r="N323" s="91"/>
      <x:c r="O323" s="91"/>
      <x:c r="P323" s="85"/>
      <x:c r="R323" s="86"/>
      <x:c r="S323" s="32"/>
    </x:row>
    <x:row r="324">
      <x:c r="A324" s="87"/>
      <x:c r="D324" s="32"/>
      <x:c r="I324" s="74"/>
      <x:c r="J324" s="74"/>
      <x:c r="K324" s="74"/>
      <x:c r="L324" s="91"/>
      <x:c r="M324" s="91"/>
      <x:c r="N324" s="91"/>
      <x:c r="O324" s="91"/>
      <x:c r="P324" s="85"/>
      <x:c r="R324" s="86"/>
      <x:c r="S324" s="32"/>
    </x:row>
    <x:row r="325">
      <x:c r="A325" s="87"/>
      <x:c r="D325" s="32"/>
      <x:c r="I325" s="74"/>
      <x:c r="J325" s="74"/>
      <x:c r="K325" s="74"/>
      <x:c r="L325" s="91"/>
      <x:c r="M325" s="91"/>
      <x:c r="N325" s="91"/>
      <x:c r="O325" s="91"/>
      <x:c r="P325" s="85"/>
      <x:c r="R325" s="86"/>
      <x:c r="S325" s="32"/>
    </x:row>
    <x:row r="326">
      <x:c r="A326" s="87"/>
      <x:c r="D326" s="32"/>
      <x:c r="I326" s="74"/>
      <x:c r="J326" s="74"/>
      <x:c r="K326" s="74"/>
      <x:c r="L326" s="91"/>
      <x:c r="M326" s="91"/>
      <x:c r="N326" s="91"/>
      <x:c r="O326" s="91"/>
      <x:c r="P326" s="85"/>
      <x:c r="R326" s="86"/>
      <x:c r="S326" s="32"/>
    </x:row>
    <x:row r="327">
      <x:c r="A327" s="87"/>
      <x:c r="D327" s="32"/>
      <x:c r="I327" s="74"/>
      <x:c r="J327" s="74"/>
      <x:c r="K327" s="74"/>
      <x:c r="L327" s="91"/>
      <x:c r="M327" s="91"/>
      <x:c r="N327" s="91"/>
      <x:c r="O327" s="91"/>
      <x:c r="P327" s="85"/>
      <x:c r="R327" s="86"/>
      <x:c r="S327" s="32"/>
    </x:row>
    <x:row r="328">
      <x:c r="A328" s="87"/>
      <x:c r="D328" s="32"/>
      <x:c r="I328" s="74"/>
      <x:c r="J328" s="74"/>
      <x:c r="K328" s="74"/>
      <x:c r="L328" s="91"/>
      <x:c r="M328" s="91"/>
      <x:c r="N328" s="91"/>
      <x:c r="O328" s="91"/>
      <x:c r="P328" s="85"/>
      <x:c r="R328" s="86"/>
      <x:c r="S328" s="32"/>
    </x:row>
    <x:row r="329">
      <x:c r="A329" s="87"/>
      <x:c r="D329" s="32"/>
      <x:c r="I329" s="74"/>
      <x:c r="J329" s="74"/>
      <x:c r="K329" s="74"/>
      <x:c r="L329" s="91"/>
      <x:c r="M329" s="91"/>
      <x:c r="N329" s="91"/>
      <x:c r="O329" s="91"/>
      <x:c r="P329" s="85"/>
      <x:c r="R329" s="86"/>
      <x:c r="S329" s="32"/>
    </x:row>
    <x:row r="330">
      <x:c r="A330" s="87"/>
      <x:c r="D330" s="32"/>
      <x:c r="I330" s="74"/>
      <x:c r="J330" s="74"/>
      <x:c r="K330" s="74"/>
      <x:c r="L330" s="91"/>
      <x:c r="M330" s="91"/>
      <x:c r="N330" s="91"/>
      <x:c r="O330" s="91"/>
      <x:c r="P330" s="85"/>
      <x:c r="R330" s="86"/>
      <x:c r="S330" s="32"/>
    </x:row>
    <x:row r="331">
      <x:c r="A331" s="87"/>
      <x:c r="D331" s="32"/>
      <x:c r="I331" s="74"/>
      <x:c r="J331" s="74"/>
      <x:c r="K331" s="74"/>
      <x:c r="L331" s="91"/>
      <x:c r="M331" s="91"/>
      <x:c r="N331" s="91"/>
      <x:c r="O331" s="91"/>
      <x:c r="P331" s="85"/>
      <x:c r="R331" s="86"/>
      <x:c r="S331" s="32"/>
    </x:row>
    <x:row r="332">
      <x:c r="A332" s="87"/>
      <x:c r="D332" s="32"/>
      <x:c r="I332" s="74"/>
      <x:c r="J332" s="74"/>
      <x:c r="K332" s="74"/>
      <x:c r="L332" s="91"/>
      <x:c r="M332" s="91"/>
      <x:c r="N332" s="91"/>
      <x:c r="O332" s="91"/>
      <x:c r="P332" s="85"/>
      <x:c r="R332" s="86"/>
      <x:c r="S332" s="32"/>
    </x:row>
    <x:row r="333">
      <x:c r="A333" s="87"/>
      <x:c r="D333" s="32"/>
      <x:c r="I333" s="74"/>
      <x:c r="J333" s="74"/>
      <x:c r="K333" s="74"/>
      <x:c r="L333" s="91"/>
      <x:c r="M333" s="91"/>
      <x:c r="N333" s="91"/>
      <x:c r="O333" s="91"/>
      <x:c r="P333" s="85"/>
      <x:c r="R333" s="86"/>
      <x:c r="S333" s="32"/>
    </x:row>
    <x:row r="334">
      <x:c r="A334" s="87"/>
      <x:c r="D334" s="32"/>
      <x:c r="I334" s="74"/>
      <x:c r="J334" s="74"/>
      <x:c r="K334" s="74"/>
      <x:c r="L334" s="91"/>
      <x:c r="M334" s="91"/>
      <x:c r="N334" s="91"/>
      <x:c r="O334" s="91"/>
      <x:c r="P334" s="85"/>
      <x:c r="R334" s="86"/>
      <x:c r="S334" s="32"/>
    </x:row>
    <x:row r="335">
      <x:c r="A335" s="87"/>
      <x:c r="D335" s="32"/>
      <x:c r="I335" s="74"/>
      <x:c r="J335" s="74"/>
      <x:c r="K335" s="74"/>
      <x:c r="L335" s="91"/>
      <x:c r="M335" s="91"/>
      <x:c r="N335" s="91"/>
      <x:c r="O335" s="91"/>
      <x:c r="P335" s="85"/>
      <x:c r="R335" s="86"/>
      <x:c r="S335" s="32"/>
    </x:row>
    <x:row r="336">
      <x:c r="A336" s="87"/>
      <x:c r="D336" s="32"/>
      <x:c r="I336" s="74"/>
      <x:c r="J336" s="74"/>
      <x:c r="K336" s="74"/>
      <x:c r="L336" s="91"/>
      <x:c r="M336" s="91"/>
      <x:c r="N336" s="91"/>
      <x:c r="O336" s="91"/>
      <x:c r="P336" s="85"/>
      <x:c r="R336" s="86"/>
      <x:c r="S336" s="32"/>
    </x:row>
    <x:row r="337">
      <x:c r="A337" s="87"/>
      <x:c r="D337" s="32"/>
      <x:c r="I337" s="74"/>
      <x:c r="J337" s="74"/>
      <x:c r="K337" s="74"/>
      <x:c r="L337" s="91"/>
      <x:c r="M337" s="91"/>
      <x:c r="N337" s="91"/>
      <x:c r="O337" s="91"/>
      <x:c r="P337" s="85"/>
      <x:c r="R337" s="86"/>
      <x:c r="S337" s="32"/>
    </x:row>
    <x:row r="338">
      <x:c r="A338" s="87"/>
      <x:c r="D338" s="32"/>
      <x:c r="I338" s="74"/>
      <x:c r="J338" s="74"/>
      <x:c r="K338" s="74"/>
      <x:c r="L338" s="91"/>
      <x:c r="M338" s="91"/>
      <x:c r="N338" s="91"/>
      <x:c r="O338" s="91"/>
      <x:c r="P338" s="85"/>
      <x:c r="R338" s="86"/>
      <x:c r="S338" s="32"/>
    </x:row>
    <x:row r="339">
      <x:c r="A339" s="87"/>
      <x:c r="D339" s="32"/>
      <x:c r="I339" s="74"/>
      <x:c r="J339" s="74"/>
      <x:c r="K339" s="74"/>
      <x:c r="L339" s="91"/>
      <x:c r="M339" s="91"/>
      <x:c r="N339" s="91"/>
      <x:c r="O339" s="91"/>
      <x:c r="P339" s="85"/>
      <x:c r="R339" s="86"/>
      <x:c r="S339" s="32"/>
    </x:row>
    <x:row r="340">
      <x:c r="A340" s="87"/>
      <x:c r="D340" s="32"/>
      <x:c r="I340" s="74"/>
      <x:c r="J340" s="74"/>
      <x:c r="K340" s="74"/>
      <x:c r="L340" s="91"/>
      <x:c r="M340" s="91"/>
      <x:c r="N340" s="91"/>
      <x:c r="O340" s="91"/>
      <x:c r="P340" s="85"/>
      <x:c r="R340" s="86"/>
      <x:c r="S340" s="32"/>
    </x:row>
    <x:row r="341">
      <x:c r="A341" s="87"/>
      <x:c r="D341" s="32"/>
      <x:c r="I341" s="74"/>
      <x:c r="J341" s="74"/>
      <x:c r="K341" s="74"/>
      <x:c r="L341" s="91"/>
      <x:c r="M341" s="91"/>
      <x:c r="N341" s="91"/>
      <x:c r="O341" s="91"/>
      <x:c r="P341" s="85"/>
      <x:c r="R341" s="86"/>
      <x:c r="S341" s="32"/>
    </x:row>
    <x:row r="342">
      <x:c r="A342" s="87"/>
      <x:c r="D342" s="32"/>
      <x:c r="I342" s="74"/>
      <x:c r="J342" s="74"/>
      <x:c r="K342" s="74"/>
      <x:c r="L342" s="91"/>
      <x:c r="M342" s="91"/>
      <x:c r="N342" s="91"/>
      <x:c r="O342" s="91"/>
      <x:c r="P342" s="85"/>
      <x:c r="R342" s="86"/>
      <x:c r="S342" s="32"/>
    </x:row>
    <x:row r="343">
      <x:c r="A343" s="87"/>
      <x:c r="D343" s="32"/>
      <x:c r="I343" s="74"/>
      <x:c r="J343" s="74"/>
      <x:c r="K343" s="74"/>
      <x:c r="L343" s="91"/>
      <x:c r="M343" s="91"/>
      <x:c r="N343" s="91"/>
      <x:c r="O343" s="91"/>
      <x:c r="P343" s="85"/>
      <x:c r="R343" s="86"/>
      <x:c r="S343" s="32"/>
    </x:row>
    <x:row r="344">
      <x:c r="A344" s="87"/>
      <x:c r="D344" s="32"/>
      <x:c r="I344" s="74"/>
      <x:c r="J344" s="74"/>
      <x:c r="K344" s="74"/>
      <x:c r="L344" s="91"/>
      <x:c r="M344" s="91"/>
      <x:c r="N344" s="91"/>
      <x:c r="O344" s="91"/>
      <x:c r="P344" s="85"/>
      <x:c r="R344" s="86"/>
      <x:c r="S344" s="32"/>
    </x:row>
    <x:row r="345">
      <x:c r="A345" s="87"/>
      <x:c r="D345" s="32"/>
      <x:c r="I345" s="74"/>
      <x:c r="J345" s="74"/>
      <x:c r="K345" s="74"/>
      <x:c r="L345" s="91"/>
      <x:c r="M345" s="91"/>
      <x:c r="N345" s="91"/>
      <x:c r="O345" s="91"/>
      <x:c r="P345" s="85"/>
      <x:c r="R345" s="86"/>
      <x:c r="S345" s="32"/>
    </x:row>
    <x:row r="346">
      <x:c r="A346" s="87"/>
      <x:c r="D346" s="32"/>
      <x:c r="I346" s="74"/>
      <x:c r="J346" s="74"/>
      <x:c r="K346" s="74"/>
      <x:c r="L346" s="91"/>
      <x:c r="M346" s="91"/>
      <x:c r="N346" s="91"/>
      <x:c r="O346" s="91"/>
      <x:c r="P346" s="85"/>
      <x:c r="R346" s="86"/>
      <x:c r="S346" s="32"/>
    </x:row>
    <x:row r="347">
      <x:c r="A347" s="87"/>
      <x:c r="D347" s="32"/>
      <x:c r="I347" s="74"/>
      <x:c r="J347" s="74"/>
      <x:c r="K347" s="74"/>
      <x:c r="L347" s="91"/>
      <x:c r="M347" s="91"/>
      <x:c r="N347" s="91"/>
      <x:c r="O347" s="91"/>
      <x:c r="P347" s="85"/>
      <x:c r="R347" s="86"/>
      <x:c r="S347" s="32"/>
    </x:row>
    <x:row r="348">
      <x:c r="A348" s="87"/>
      <x:c r="D348" s="32"/>
      <x:c r="I348" s="74"/>
      <x:c r="J348" s="74"/>
      <x:c r="K348" s="74"/>
      <x:c r="L348" s="91"/>
      <x:c r="M348" s="91"/>
      <x:c r="N348" s="91"/>
      <x:c r="O348" s="91"/>
      <x:c r="P348" s="85"/>
      <x:c r="R348" s="86"/>
      <x:c r="S348" s="32"/>
    </x:row>
    <x:row r="349">
      <x:c r="A349" s="87"/>
      <x:c r="D349" s="32"/>
      <x:c r="I349" s="74"/>
      <x:c r="J349" s="74"/>
      <x:c r="K349" s="74"/>
      <x:c r="L349" s="91"/>
      <x:c r="M349" s="91"/>
      <x:c r="N349" s="91"/>
      <x:c r="O349" s="91"/>
      <x:c r="P349" s="85"/>
      <x:c r="R349" s="86"/>
      <x:c r="S349" s="32"/>
    </x:row>
    <x:row r="350">
      <x:c r="A350" s="87"/>
      <x:c r="D350" s="32"/>
      <x:c r="I350" s="74"/>
      <x:c r="J350" s="74"/>
      <x:c r="K350" s="74"/>
      <x:c r="L350" s="91"/>
      <x:c r="M350" s="91"/>
      <x:c r="N350" s="91"/>
      <x:c r="O350" s="91"/>
      <x:c r="P350" s="85"/>
      <x:c r="R350" s="86"/>
      <x:c r="S350" s="32"/>
    </x:row>
    <x:row r="351">
      <x:c r="A351" s="87"/>
      <x:c r="D351" s="32"/>
      <x:c r="I351" s="74"/>
      <x:c r="J351" s="74"/>
      <x:c r="K351" s="74"/>
      <x:c r="L351" s="91"/>
      <x:c r="M351" s="91"/>
      <x:c r="N351" s="91"/>
      <x:c r="O351" s="91"/>
      <x:c r="P351" s="85"/>
      <x:c r="R351" s="86"/>
      <x:c r="S351" s="32"/>
    </x:row>
    <x:row r="352">
      <x:c r="A352" s="87"/>
      <x:c r="D352" s="32"/>
      <x:c r="I352" s="74"/>
      <x:c r="J352" s="74"/>
      <x:c r="K352" s="74"/>
      <x:c r="L352" s="91"/>
      <x:c r="M352" s="91"/>
      <x:c r="N352" s="91"/>
      <x:c r="O352" s="91"/>
      <x:c r="P352" s="85"/>
      <x:c r="R352" s="86"/>
      <x:c r="S352" s="32"/>
    </x:row>
    <x:row r="353">
      <x:c r="A353" s="87"/>
      <x:c r="D353" s="32"/>
      <x:c r="I353" s="74"/>
      <x:c r="J353" s="74"/>
      <x:c r="K353" s="74"/>
      <x:c r="L353" s="91"/>
      <x:c r="M353" s="91"/>
      <x:c r="N353" s="91"/>
      <x:c r="O353" s="91"/>
      <x:c r="P353" s="85"/>
      <x:c r="R353" s="86"/>
      <x:c r="S353" s="32"/>
    </x:row>
    <x:row r="354">
      <x:c r="A354" s="87"/>
      <x:c r="D354" s="32"/>
      <x:c r="I354" s="74"/>
      <x:c r="J354" s="74"/>
      <x:c r="K354" s="74"/>
      <x:c r="L354" s="91"/>
      <x:c r="M354" s="91"/>
      <x:c r="N354" s="91"/>
      <x:c r="O354" s="91"/>
      <x:c r="P354" s="85"/>
      <x:c r="R354" s="86"/>
      <x:c r="S354" s="32"/>
    </x:row>
    <x:row r="355">
      <x:c r="A355" s="87"/>
      <x:c r="D355" s="32"/>
      <x:c r="I355" s="74"/>
      <x:c r="J355" s="74"/>
      <x:c r="K355" s="74"/>
      <x:c r="L355" s="91"/>
      <x:c r="M355" s="91"/>
      <x:c r="N355" s="91"/>
      <x:c r="O355" s="91"/>
      <x:c r="P355" s="85"/>
      <x:c r="R355" s="86"/>
      <x:c r="S355" s="32"/>
    </x:row>
    <x:row r="356">
      <x:c r="A356" s="87"/>
      <x:c r="D356" s="32"/>
      <x:c r="I356" s="74"/>
      <x:c r="J356" s="74"/>
      <x:c r="K356" s="74"/>
      <x:c r="L356" s="91"/>
      <x:c r="M356" s="91"/>
      <x:c r="N356" s="91"/>
      <x:c r="O356" s="91"/>
      <x:c r="P356" s="85"/>
      <x:c r="R356" s="86"/>
      <x:c r="S356" s="32"/>
    </x:row>
    <x:row r="357">
      <x:c r="A357" s="87"/>
      <x:c r="D357" s="32"/>
      <x:c r="I357" s="74"/>
      <x:c r="J357" s="74"/>
      <x:c r="K357" s="74"/>
      <x:c r="L357" s="91"/>
      <x:c r="M357" s="91"/>
      <x:c r="N357" s="91"/>
      <x:c r="O357" s="91"/>
      <x:c r="P357" s="85"/>
      <x:c r="R357" s="86"/>
      <x:c r="S357" s="32"/>
    </x:row>
    <x:row r="358">
      <x:c r="A358" s="87"/>
      <x:c r="D358" s="32"/>
      <x:c r="I358" s="74"/>
      <x:c r="J358" s="74"/>
      <x:c r="K358" s="74"/>
      <x:c r="L358" s="91"/>
      <x:c r="M358" s="91"/>
      <x:c r="N358" s="91"/>
      <x:c r="O358" s="91"/>
      <x:c r="P358" s="85"/>
      <x:c r="R358" s="86"/>
      <x:c r="S358" s="32"/>
    </x:row>
    <x:row r="359">
      <x:c r="A359" s="87"/>
      <x:c r="D359" s="32"/>
      <x:c r="I359" s="74"/>
      <x:c r="J359" s="74"/>
      <x:c r="K359" s="74"/>
      <x:c r="L359" s="91"/>
      <x:c r="M359" s="91"/>
      <x:c r="N359" s="91"/>
      <x:c r="O359" s="91"/>
      <x:c r="P359" s="85"/>
      <x:c r="R359" s="86"/>
      <x:c r="S359" s="32"/>
    </x:row>
    <x:row r="360">
      <x:c r="A360" s="87"/>
      <x:c r="D360" s="32"/>
      <x:c r="I360" s="74"/>
      <x:c r="J360" s="74"/>
      <x:c r="K360" s="74"/>
      <x:c r="L360" s="91"/>
      <x:c r="M360" s="91"/>
      <x:c r="N360" s="91"/>
      <x:c r="O360" s="91"/>
      <x:c r="P360" s="85"/>
      <x:c r="R360" s="86"/>
      <x:c r="S360" s="32"/>
    </x:row>
    <x:row r="361">
      <x:c r="A361" s="87"/>
      <x:c r="D361" s="32"/>
      <x:c r="I361" s="74"/>
      <x:c r="J361" s="74"/>
      <x:c r="K361" s="74"/>
      <x:c r="L361" s="91"/>
      <x:c r="M361" s="91"/>
      <x:c r="N361" s="91"/>
      <x:c r="O361" s="91"/>
      <x:c r="P361" s="85"/>
      <x:c r="R361" s="86"/>
      <x:c r="S361" s="32"/>
    </x:row>
    <x:row r="362">
      <x:c r="A362" s="87"/>
      <x:c r="D362" s="32"/>
      <x:c r="I362" s="74"/>
      <x:c r="J362" s="74"/>
      <x:c r="K362" s="74"/>
      <x:c r="L362" s="91"/>
      <x:c r="M362" s="91"/>
      <x:c r="N362" s="91"/>
      <x:c r="O362" s="91"/>
      <x:c r="P362" s="85"/>
      <x:c r="R362" s="86"/>
      <x:c r="S362" s="32"/>
    </x:row>
    <x:row r="363">
      <x:c r="A363" s="87"/>
      <x:c r="D363" s="32"/>
      <x:c r="I363" s="74"/>
      <x:c r="J363" s="74"/>
      <x:c r="K363" s="74"/>
      <x:c r="L363" s="91"/>
      <x:c r="M363" s="91"/>
      <x:c r="N363" s="91"/>
      <x:c r="O363" s="91"/>
      <x:c r="P363" s="85"/>
      <x:c r="R363" s="86"/>
      <x:c r="S363" s="32"/>
    </x:row>
    <x:row r="364">
      <x:c r="A364" s="87"/>
      <x:c r="D364" s="32"/>
      <x:c r="I364" s="74"/>
      <x:c r="J364" s="74"/>
      <x:c r="K364" s="74"/>
      <x:c r="L364" s="91"/>
      <x:c r="M364" s="91"/>
      <x:c r="N364" s="91"/>
      <x:c r="O364" s="91"/>
      <x:c r="P364" s="85"/>
      <x:c r="R364" s="86"/>
      <x:c r="S364" s="32"/>
    </x:row>
    <x:row r="365">
      <x:c r="A365" s="87"/>
      <x:c r="D365" s="32"/>
      <x:c r="I365" s="74"/>
      <x:c r="J365" s="74"/>
      <x:c r="K365" s="74"/>
      <x:c r="L365" s="91"/>
      <x:c r="M365" s="91"/>
      <x:c r="N365" s="91"/>
      <x:c r="O365" s="91"/>
      <x:c r="P365" s="85"/>
      <x:c r="R365" s="86"/>
      <x:c r="S365" s="32"/>
    </x:row>
    <x:row r="366">
      <x:c r="A366" s="87"/>
      <x:c r="D366" s="32"/>
      <x:c r="I366" s="74"/>
      <x:c r="J366" s="74"/>
      <x:c r="K366" s="74"/>
      <x:c r="L366" s="91"/>
      <x:c r="M366" s="91"/>
      <x:c r="N366" s="91"/>
      <x:c r="O366" s="91"/>
      <x:c r="P366" s="85"/>
      <x:c r="R366" s="86"/>
      <x:c r="S366" s="32"/>
    </x:row>
    <x:row r="367">
      <x:c r="A367" s="87"/>
      <x:c r="D367" s="32"/>
      <x:c r="I367" s="74"/>
      <x:c r="J367" s="74"/>
      <x:c r="K367" s="74"/>
      <x:c r="L367" s="91"/>
      <x:c r="M367" s="91"/>
      <x:c r="N367" s="91"/>
      <x:c r="O367" s="91"/>
      <x:c r="P367" s="85"/>
      <x:c r="R367" s="86"/>
      <x:c r="S367" s="32"/>
    </x:row>
    <x:row r="368">
      <x:c r="A368" s="87"/>
      <x:c r="D368" s="32"/>
      <x:c r="I368" s="74"/>
      <x:c r="J368" s="74"/>
      <x:c r="K368" s="74"/>
      <x:c r="L368" s="91"/>
      <x:c r="M368" s="91"/>
      <x:c r="N368" s="91"/>
      <x:c r="O368" s="91"/>
      <x:c r="P368" s="85"/>
      <x:c r="R368" s="86"/>
      <x:c r="S368" s="32"/>
    </x:row>
    <x:row r="369">
      <x:c r="A369" s="87"/>
      <x:c r="D369" s="32"/>
      <x:c r="I369" s="74"/>
      <x:c r="J369" s="74"/>
      <x:c r="K369" s="74"/>
      <x:c r="L369" s="91"/>
      <x:c r="M369" s="91"/>
      <x:c r="N369" s="91"/>
      <x:c r="O369" s="91"/>
      <x:c r="P369" s="85"/>
      <x:c r="R369" s="86"/>
      <x:c r="S369" s="32"/>
    </x:row>
    <x:row r="370">
      <x:c r="A370" s="87"/>
      <x:c r="D370" s="32"/>
      <x:c r="I370" s="74"/>
      <x:c r="J370" s="74"/>
      <x:c r="K370" s="74"/>
      <x:c r="L370" s="91"/>
      <x:c r="M370" s="91"/>
      <x:c r="N370" s="91"/>
      <x:c r="O370" s="91"/>
      <x:c r="P370" s="85"/>
      <x:c r="R370" s="86"/>
      <x:c r="S370" s="32"/>
    </x:row>
    <x:row r="371">
      <x:c r="A371" s="87"/>
      <x:c r="D371" s="32"/>
      <x:c r="I371" s="74"/>
      <x:c r="J371" s="74"/>
      <x:c r="K371" s="74"/>
      <x:c r="L371" s="91"/>
      <x:c r="M371" s="91"/>
      <x:c r="N371" s="91"/>
      <x:c r="O371" s="91"/>
      <x:c r="P371" s="85"/>
      <x:c r="R371" s="86"/>
      <x:c r="S371" s="32"/>
    </x:row>
    <x:row r="372">
      <x:c r="A372" s="87"/>
      <x:c r="D372" s="32"/>
      <x:c r="I372" s="74"/>
      <x:c r="J372" s="74"/>
      <x:c r="K372" s="74"/>
      <x:c r="L372" s="91"/>
      <x:c r="M372" s="91"/>
      <x:c r="N372" s="91"/>
      <x:c r="O372" s="91"/>
      <x:c r="P372" s="85"/>
      <x:c r="R372" s="86"/>
      <x:c r="S372" s="32"/>
    </x:row>
    <x:row r="373">
      <x:c r="A373" s="87"/>
      <x:c r="D373" s="32"/>
      <x:c r="I373" s="74"/>
      <x:c r="J373" s="74"/>
      <x:c r="K373" s="74"/>
      <x:c r="L373" s="91"/>
      <x:c r="M373" s="91"/>
      <x:c r="N373" s="91"/>
      <x:c r="O373" s="91"/>
      <x:c r="P373" s="85"/>
      <x:c r="R373" s="86"/>
      <x:c r="S373" s="32"/>
    </x:row>
    <x:row r="374">
      <x:c r="A374" s="87"/>
      <x:c r="D374" s="32"/>
      <x:c r="I374" s="74"/>
      <x:c r="J374" s="74"/>
      <x:c r="K374" s="74"/>
      <x:c r="L374" s="91"/>
      <x:c r="M374" s="91"/>
      <x:c r="N374" s="91"/>
      <x:c r="O374" s="91"/>
      <x:c r="P374" s="85"/>
      <x:c r="R374" s="86"/>
      <x:c r="S374" s="32"/>
    </x:row>
    <x:row r="375">
      <x:c r="A375" s="87"/>
      <x:c r="D375" s="32"/>
      <x:c r="I375" s="74"/>
      <x:c r="J375" s="74"/>
      <x:c r="K375" s="74"/>
      <x:c r="L375" s="91"/>
      <x:c r="M375" s="91"/>
      <x:c r="N375" s="91"/>
      <x:c r="O375" s="91"/>
      <x:c r="P375" s="85"/>
      <x:c r="R375" s="86"/>
      <x:c r="S375" s="32"/>
    </x:row>
    <x:row r="376">
      <x:c r="A376" s="87"/>
      <x:c r="D376" s="32"/>
      <x:c r="I376" s="74"/>
      <x:c r="J376" s="74"/>
      <x:c r="K376" s="74"/>
      <x:c r="L376" s="91"/>
      <x:c r="M376" s="91"/>
      <x:c r="N376" s="91"/>
      <x:c r="O376" s="91"/>
      <x:c r="P376" s="85"/>
      <x:c r="R376" s="86"/>
      <x:c r="S376" s="32"/>
    </x:row>
    <x:row r="377">
      <x:c r="A377" s="87"/>
      <x:c r="D377" s="32"/>
      <x:c r="I377" s="74"/>
      <x:c r="J377" s="74"/>
      <x:c r="K377" s="74"/>
      <x:c r="L377" s="91"/>
      <x:c r="M377" s="91"/>
      <x:c r="N377" s="91"/>
      <x:c r="O377" s="91"/>
      <x:c r="P377" s="85"/>
      <x:c r="R377" s="86"/>
      <x:c r="S377" s="32"/>
    </x:row>
    <x:row r="378">
      <x:c r="A378" s="87"/>
      <x:c r="D378" s="32"/>
      <x:c r="I378" s="74"/>
      <x:c r="J378" s="74"/>
      <x:c r="K378" s="74"/>
      <x:c r="L378" s="91"/>
      <x:c r="M378" s="91"/>
      <x:c r="N378" s="91"/>
      <x:c r="O378" s="91"/>
      <x:c r="P378" s="85"/>
      <x:c r="R378" s="86"/>
      <x:c r="S378" s="32"/>
    </x:row>
    <x:row r="379">
      <x:c r="A379" s="87"/>
      <x:c r="D379" s="32"/>
      <x:c r="I379" s="74"/>
      <x:c r="J379" s="74"/>
      <x:c r="K379" s="74"/>
      <x:c r="L379" s="91"/>
      <x:c r="M379" s="91"/>
      <x:c r="N379" s="91"/>
      <x:c r="O379" s="91"/>
      <x:c r="P379" s="85"/>
      <x:c r="R379" s="86"/>
      <x:c r="S379" s="32"/>
    </x:row>
    <x:row r="380">
      <x:c r="A380" s="87"/>
      <x:c r="D380" s="32"/>
      <x:c r="I380" s="74"/>
      <x:c r="J380" s="74"/>
      <x:c r="K380" s="74"/>
      <x:c r="L380" s="91"/>
      <x:c r="M380" s="91"/>
      <x:c r="N380" s="91"/>
      <x:c r="O380" s="91"/>
      <x:c r="P380" s="85"/>
      <x:c r="R380" s="86"/>
      <x:c r="S380" s="32"/>
    </x:row>
    <x:row r="381">
      <x:c r="A381" s="87"/>
      <x:c r="D381" s="32"/>
      <x:c r="I381" s="74"/>
      <x:c r="J381" s="74"/>
      <x:c r="K381" s="74"/>
      <x:c r="L381" s="91"/>
      <x:c r="M381" s="91"/>
      <x:c r="N381" s="91"/>
      <x:c r="O381" s="91"/>
      <x:c r="P381" s="85"/>
      <x:c r="R381" s="86"/>
      <x:c r="S381" s="32"/>
    </x:row>
    <x:row r="382">
      <x:c r="A382" s="87"/>
      <x:c r="D382" s="32"/>
      <x:c r="I382" s="74"/>
      <x:c r="J382" s="74"/>
      <x:c r="K382" s="74"/>
      <x:c r="L382" s="91"/>
      <x:c r="M382" s="91"/>
      <x:c r="N382" s="91"/>
      <x:c r="O382" s="91"/>
      <x:c r="P382" s="85"/>
      <x:c r="R382" s="86"/>
      <x:c r="S382" s="32"/>
    </x:row>
    <x:row r="383">
      <x:c r="A383" s="87"/>
      <x:c r="D383" s="32"/>
      <x:c r="I383" s="74"/>
      <x:c r="J383" s="74"/>
      <x:c r="K383" s="74"/>
      <x:c r="L383" s="91"/>
      <x:c r="M383" s="91"/>
      <x:c r="N383" s="91"/>
      <x:c r="O383" s="91"/>
      <x:c r="P383" s="85"/>
      <x:c r="R383" s="86"/>
      <x:c r="S383" s="32"/>
    </x:row>
    <x:row r="384">
      <x:c r="A384" s="87"/>
      <x:c r="D384" s="32"/>
      <x:c r="I384" s="74"/>
      <x:c r="J384" s="74"/>
      <x:c r="K384" s="74"/>
      <x:c r="L384" s="91"/>
      <x:c r="M384" s="91"/>
      <x:c r="N384" s="91"/>
      <x:c r="O384" s="91"/>
      <x:c r="P384" s="85"/>
      <x:c r="R384" s="86"/>
      <x:c r="S384" s="32"/>
    </x:row>
    <x:row r="385">
      <x:c r="A385" s="87"/>
      <x:c r="D385" s="32"/>
      <x:c r="I385" s="74"/>
      <x:c r="J385" s="74"/>
      <x:c r="K385" s="74"/>
      <x:c r="L385" s="91"/>
      <x:c r="M385" s="91"/>
      <x:c r="N385" s="91"/>
      <x:c r="O385" s="91"/>
      <x:c r="P385" s="85"/>
      <x:c r="R385" s="86"/>
      <x:c r="S385" s="32"/>
    </x:row>
    <x:row r="386">
      <x:c r="A386" s="87"/>
      <x:c r="D386" s="32"/>
      <x:c r="I386" s="74"/>
      <x:c r="J386" s="74"/>
      <x:c r="K386" s="74"/>
      <x:c r="L386" s="91"/>
      <x:c r="M386" s="91"/>
      <x:c r="N386" s="91"/>
      <x:c r="O386" s="91"/>
      <x:c r="P386" s="85"/>
      <x:c r="R386" s="86"/>
      <x:c r="S386" s="32"/>
    </x:row>
    <x:row r="387">
      <x:c r="A387" s="87"/>
      <x:c r="D387" s="32"/>
      <x:c r="I387" s="74"/>
      <x:c r="J387" s="74"/>
      <x:c r="K387" s="74"/>
      <x:c r="L387" s="91"/>
      <x:c r="M387" s="91"/>
      <x:c r="N387" s="91"/>
      <x:c r="O387" s="91"/>
      <x:c r="P387" s="85"/>
      <x:c r="R387" s="86"/>
      <x:c r="S387" s="32"/>
    </x:row>
    <x:row r="388">
      <x:c r="A388" s="87"/>
      <x:c r="D388" s="32"/>
      <x:c r="I388" s="74"/>
      <x:c r="J388" s="74"/>
      <x:c r="K388" s="74"/>
      <x:c r="L388" s="91"/>
      <x:c r="M388" s="91"/>
      <x:c r="N388" s="91"/>
      <x:c r="O388" s="91"/>
      <x:c r="P388" s="85"/>
      <x:c r="R388" s="86"/>
      <x:c r="S388" s="32"/>
    </x:row>
    <x:row r="389">
      <x:c r="A389" s="87"/>
      <x:c r="D389" s="32"/>
      <x:c r="I389" s="74"/>
      <x:c r="J389" s="74"/>
      <x:c r="K389" s="74"/>
      <x:c r="L389" s="91"/>
      <x:c r="M389" s="91"/>
      <x:c r="N389" s="91"/>
      <x:c r="O389" s="91"/>
      <x:c r="P389" s="85"/>
      <x:c r="R389" s="86"/>
      <x:c r="S389" s="32"/>
    </x:row>
    <x:row r="390">
      <x:c r="A390" s="87"/>
      <x:c r="D390" s="32"/>
      <x:c r="I390" s="74"/>
      <x:c r="J390" s="74"/>
      <x:c r="K390" s="74"/>
      <x:c r="L390" s="91"/>
      <x:c r="M390" s="91"/>
      <x:c r="N390" s="91"/>
      <x:c r="O390" s="91"/>
      <x:c r="P390" s="85"/>
      <x:c r="R390" s="86"/>
      <x:c r="S390" s="32"/>
    </x:row>
    <x:row r="391">
      <x:c r="A391" s="87"/>
      <x:c r="D391" s="32"/>
      <x:c r="I391" s="74"/>
      <x:c r="J391" s="74"/>
      <x:c r="K391" s="74"/>
      <x:c r="L391" s="91"/>
      <x:c r="M391" s="91"/>
      <x:c r="N391" s="91"/>
      <x:c r="O391" s="91"/>
      <x:c r="P391" s="85"/>
      <x:c r="R391" s="86"/>
      <x:c r="S391" s="32"/>
    </x:row>
    <x:row r="392">
      <x:c r="A392" s="87"/>
      <x:c r="D392" s="32"/>
      <x:c r="I392" s="74"/>
      <x:c r="J392" s="74"/>
      <x:c r="K392" s="74"/>
      <x:c r="L392" s="91"/>
      <x:c r="M392" s="91"/>
      <x:c r="N392" s="91"/>
      <x:c r="O392" s="91"/>
      <x:c r="P392" s="85"/>
      <x:c r="R392" s="86"/>
      <x:c r="S392" s="32"/>
    </x:row>
    <x:row r="393">
      <x:c r="A393" s="87"/>
      <x:c r="D393" s="32"/>
      <x:c r="I393" s="74"/>
      <x:c r="J393" s="74"/>
      <x:c r="K393" s="74"/>
      <x:c r="L393" s="91"/>
      <x:c r="M393" s="91"/>
      <x:c r="N393" s="91"/>
      <x:c r="O393" s="91"/>
      <x:c r="P393" s="85"/>
      <x:c r="R393" s="86"/>
      <x:c r="S393" s="32"/>
    </x:row>
    <x:row r="394">
      <x:c r="A394" s="87"/>
      <x:c r="D394" s="32"/>
      <x:c r="I394" s="74"/>
      <x:c r="J394" s="74"/>
      <x:c r="K394" s="74"/>
      <x:c r="L394" s="91"/>
      <x:c r="M394" s="91"/>
      <x:c r="N394" s="91"/>
      <x:c r="O394" s="91"/>
      <x:c r="P394" s="85"/>
      <x:c r="R394" s="86"/>
      <x:c r="S394" s="32"/>
    </x:row>
    <x:row r="395">
      <x:c r="A395" s="87"/>
      <x:c r="D395" s="32"/>
      <x:c r="I395" s="74"/>
      <x:c r="J395" s="74"/>
      <x:c r="K395" s="74"/>
      <x:c r="L395" s="91"/>
      <x:c r="M395" s="91"/>
      <x:c r="N395" s="91"/>
      <x:c r="O395" s="91"/>
      <x:c r="P395" s="85"/>
      <x:c r="R395" s="86"/>
      <x:c r="S395" s="32"/>
    </x:row>
    <x:row r="396">
      <x:c r="A396" s="87"/>
      <x:c r="D396" s="32"/>
      <x:c r="I396" s="74"/>
      <x:c r="J396" s="74"/>
      <x:c r="K396" s="74"/>
      <x:c r="L396" s="91"/>
      <x:c r="M396" s="91"/>
      <x:c r="N396" s="91"/>
      <x:c r="O396" s="91"/>
      <x:c r="P396" s="85"/>
      <x:c r="R396" s="86"/>
      <x:c r="S396" s="32"/>
    </x:row>
    <x:row r="397">
      <x:c r="A397" s="87"/>
      <x:c r="D397" s="32"/>
      <x:c r="I397" s="74"/>
      <x:c r="J397" s="74"/>
      <x:c r="K397" s="74"/>
      <x:c r="L397" s="91"/>
      <x:c r="M397" s="91"/>
      <x:c r="N397" s="91"/>
      <x:c r="O397" s="91"/>
      <x:c r="P397" s="85"/>
      <x:c r="R397" s="86"/>
      <x:c r="S397" s="32"/>
    </x:row>
    <x:row r="398">
      <x:c r="A398" s="87"/>
      <x:c r="D398" s="32"/>
      <x:c r="I398" s="74"/>
      <x:c r="J398" s="74"/>
      <x:c r="K398" s="74"/>
      <x:c r="L398" s="91"/>
      <x:c r="M398" s="91"/>
      <x:c r="N398" s="91"/>
      <x:c r="O398" s="91"/>
      <x:c r="P398" s="85"/>
      <x:c r="R398" s="86"/>
      <x:c r="S398" s="32"/>
    </x:row>
    <x:row r="399">
      <x:c r="A399" s="87"/>
      <x:c r="D399" s="32"/>
      <x:c r="I399" s="74"/>
      <x:c r="J399" s="74"/>
      <x:c r="K399" s="74"/>
      <x:c r="L399" s="91"/>
      <x:c r="M399" s="91"/>
      <x:c r="N399" s="91"/>
      <x:c r="O399" s="91"/>
      <x:c r="P399" s="85"/>
      <x:c r="R399" s="86"/>
      <x:c r="S399" s="32"/>
    </x:row>
    <x:row r="400">
      <x:c r="A400" s="87"/>
      <x:c r="D400" s="32"/>
      <x:c r="I400" s="74"/>
      <x:c r="J400" s="74"/>
      <x:c r="K400" s="74"/>
      <x:c r="L400" s="91"/>
      <x:c r="M400" s="91"/>
      <x:c r="N400" s="91"/>
      <x:c r="O400" s="91"/>
      <x:c r="P400" s="85"/>
      <x:c r="R400" s="86"/>
      <x:c r="S400" s="32"/>
    </x:row>
    <x:row r="401">
      <x:c r="A401" s="87"/>
      <x:c r="D401" s="32"/>
      <x:c r="I401" s="74"/>
      <x:c r="J401" s="74"/>
      <x:c r="K401" s="74"/>
      <x:c r="L401" s="91"/>
      <x:c r="M401" s="91"/>
      <x:c r="N401" s="91"/>
      <x:c r="O401" s="91"/>
      <x:c r="P401" s="85"/>
      <x:c r="R401" s="86"/>
      <x:c r="S401" s="32"/>
    </x:row>
    <x:row r="402">
      <x:c r="A402" s="87"/>
      <x:c r="D402" s="32"/>
      <x:c r="I402" s="74"/>
      <x:c r="J402" s="74"/>
      <x:c r="K402" s="74"/>
      <x:c r="L402" s="91"/>
      <x:c r="M402" s="91"/>
      <x:c r="N402" s="91"/>
      <x:c r="O402" s="91"/>
      <x:c r="P402" s="85"/>
      <x:c r="R402" s="86"/>
      <x:c r="S402" s="32"/>
    </x:row>
    <x:row r="403">
      <x:c r="A403" s="87"/>
      <x:c r="D403" s="32"/>
      <x:c r="I403" s="74"/>
      <x:c r="J403" s="74"/>
      <x:c r="K403" s="74"/>
      <x:c r="L403" s="91"/>
      <x:c r="M403" s="91"/>
      <x:c r="N403" s="91"/>
      <x:c r="O403" s="91"/>
      <x:c r="P403" s="85"/>
      <x:c r="R403" s="86"/>
      <x:c r="S403" s="32"/>
    </x:row>
    <x:row r="404">
      <x:c r="A404" s="87"/>
      <x:c r="D404" s="32"/>
      <x:c r="I404" s="74"/>
      <x:c r="J404" s="74"/>
      <x:c r="K404" s="74"/>
      <x:c r="L404" s="91"/>
      <x:c r="M404" s="91"/>
      <x:c r="N404" s="91"/>
      <x:c r="O404" s="91"/>
      <x:c r="P404" s="85"/>
      <x:c r="R404" s="86"/>
      <x:c r="S404" s="32"/>
    </x:row>
    <x:row r="405">
      <x:c r="A405" s="87"/>
      <x:c r="D405" s="32"/>
      <x:c r="I405" s="74"/>
      <x:c r="J405" s="74"/>
      <x:c r="K405" s="74"/>
      <x:c r="L405" s="91"/>
      <x:c r="M405" s="91"/>
      <x:c r="N405" s="91"/>
      <x:c r="O405" s="91"/>
      <x:c r="P405" s="85"/>
      <x:c r="R405" s="86"/>
      <x:c r="S405" s="32"/>
    </x:row>
    <x:row r="406">
      <x:c r="A406" s="87"/>
      <x:c r="D406" s="32"/>
      <x:c r="I406" s="74"/>
      <x:c r="J406" s="74"/>
      <x:c r="K406" s="74"/>
      <x:c r="L406" s="91"/>
      <x:c r="M406" s="91"/>
      <x:c r="N406" s="91"/>
      <x:c r="O406" s="91"/>
      <x:c r="P406" s="85"/>
      <x:c r="R406" s="86"/>
      <x:c r="S406" s="32"/>
    </x:row>
    <x:row r="407">
      <x:c r="A407" s="87"/>
      <x:c r="D407" s="32"/>
      <x:c r="I407" s="74"/>
      <x:c r="J407" s="74"/>
      <x:c r="K407" s="74"/>
      <x:c r="L407" s="91"/>
      <x:c r="M407" s="91"/>
      <x:c r="N407" s="91"/>
      <x:c r="O407" s="91"/>
      <x:c r="P407" s="85"/>
      <x:c r="R407" s="86"/>
      <x:c r="S407" s="32"/>
    </x:row>
    <x:row r="408">
      <x:c r="A408" s="87"/>
      <x:c r="D408" s="32"/>
      <x:c r="I408" s="74"/>
      <x:c r="J408" s="74"/>
      <x:c r="K408" s="74"/>
      <x:c r="L408" s="91"/>
      <x:c r="M408" s="91"/>
      <x:c r="N408" s="91"/>
      <x:c r="O408" s="91"/>
      <x:c r="P408" s="85"/>
      <x:c r="R408" s="86"/>
      <x:c r="S408" s="32"/>
    </x:row>
    <x:row r="409">
      <x:c r="A409" s="87"/>
      <x:c r="D409" s="32"/>
      <x:c r="I409" s="74"/>
      <x:c r="J409" s="74"/>
      <x:c r="K409" s="74"/>
      <x:c r="L409" s="91"/>
      <x:c r="M409" s="91"/>
      <x:c r="N409" s="91"/>
      <x:c r="O409" s="91"/>
      <x:c r="P409" s="85"/>
      <x:c r="R409" s="86"/>
      <x:c r="S409" s="32"/>
    </x:row>
    <x:row r="410">
      <x:c r="A410" s="87"/>
      <x:c r="D410" s="32"/>
      <x:c r="I410" s="74"/>
      <x:c r="J410" s="74"/>
      <x:c r="K410" s="74"/>
      <x:c r="L410" s="91"/>
      <x:c r="M410" s="91"/>
      <x:c r="N410" s="91"/>
      <x:c r="O410" s="91"/>
      <x:c r="P410" s="85"/>
      <x:c r="R410" s="86"/>
      <x:c r="S410" s="32"/>
    </x:row>
    <x:row r="411">
      <x:c r="A411" s="87"/>
      <x:c r="D411" s="32"/>
      <x:c r="I411" s="74"/>
      <x:c r="J411" s="74"/>
      <x:c r="K411" s="74"/>
      <x:c r="L411" s="91"/>
      <x:c r="M411" s="91"/>
      <x:c r="N411" s="91"/>
      <x:c r="O411" s="91"/>
      <x:c r="P411" s="85"/>
      <x:c r="R411" s="86"/>
      <x:c r="S411" s="32"/>
    </x:row>
    <x:row r="412">
      <x:c r="A412" s="87"/>
      <x:c r="D412" s="32"/>
      <x:c r="I412" s="74"/>
      <x:c r="J412" s="74"/>
      <x:c r="K412" s="74"/>
      <x:c r="L412" s="91"/>
      <x:c r="M412" s="91"/>
      <x:c r="N412" s="91"/>
      <x:c r="O412" s="91"/>
      <x:c r="P412" s="85"/>
      <x:c r="R412" s="86"/>
      <x:c r="S412" s="32"/>
    </x:row>
    <x:row r="413">
      <x:c r="A413" s="87"/>
      <x:c r="D413" s="32"/>
      <x:c r="I413" s="74"/>
      <x:c r="J413" s="74"/>
      <x:c r="K413" s="74"/>
      <x:c r="L413" s="91"/>
      <x:c r="M413" s="91"/>
      <x:c r="N413" s="91"/>
      <x:c r="O413" s="91"/>
      <x:c r="P413" s="85"/>
      <x:c r="R413" s="86"/>
      <x:c r="S413" s="32"/>
    </x:row>
    <x:row r="414">
      <x:c r="A414" s="87"/>
      <x:c r="D414" s="32"/>
      <x:c r="I414" s="74"/>
      <x:c r="J414" s="74"/>
      <x:c r="K414" s="74"/>
      <x:c r="L414" s="91"/>
      <x:c r="M414" s="91"/>
      <x:c r="N414" s="91"/>
      <x:c r="O414" s="91"/>
      <x:c r="P414" s="85"/>
      <x:c r="R414" s="86"/>
      <x:c r="S414" s="32"/>
    </x:row>
    <x:row r="415">
      <x:c r="A415" s="87"/>
      <x:c r="D415" s="32"/>
      <x:c r="I415" s="74"/>
      <x:c r="J415" s="74"/>
      <x:c r="K415" s="74"/>
      <x:c r="L415" s="91"/>
      <x:c r="M415" s="91"/>
      <x:c r="N415" s="91"/>
      <x:c r="O415" s="91"/>
      <x:c r="P415" s="85"/>
      <x:c r="R415" s="86"/>
      <x:c r="S415" s="32"/>
    </x:row>
    <x:row r="416">
      <x:c r="A416" s="87"/>
      <x:c r="D416" s="32"/>
      <x:c r="I416" s="74"/>
      <x:c r="J416" s="74"/>
      <x:c r="K416" s="74"/>
      <x:c r="L416" s="91"/>
      <x:c r="M416" s="91"/>
      <x:c r="N416" s="91"/>
      <x:c r="O416" s="91"/>
      <x:c r="P416" s="85"/>
      <x:c r="R416" s="86"/>
      <x:c r="S416" s="32"/>
    </x:row>
    <x:row r="417">
      <x:c r="A417" s="87"/>
      <x:c r="D417" s="32"/>
      <x:c r="I417" s="74"/>
      <x:c r="J417" s="74"/>
      <x:c r="K417" s="74"/>
      <x:c r="L417" s="91"/>
      <x:c r="M417" s="91"/>
      <x:c r="N417" s="91"/>
      <x:c r="O417" s="91"/>
      <x:c r="P417" s="85"/>
      <x:c r="R417" s="86"/>
      <x:c r="S417" s="32"/>
    </x:row>
    <x:row r="418">
      <x:c r="A418" s="87"/>
      <x:c r="D418" s="32"/>
      <x:c r="I418" s="74"/>
      <x:c r="J418" s="74"/>
      <x:c r="K418" s="74"/>
      <x:c r="L418" s="91"/>
      <x:c r="M418" s="91"/>
      <x:c r="N418" s="91"/>
      <x:c r="O418" s="91"/>
      <x:c r="P418" s="85"/>
      <x:c r="R418" s="86"/>
      <x:c r="S418" s="32"/>
    </x:row>
    <x:row r="419">
      <x:c r="A419" s="87"/>
      <x:c r="D419" s="32"/>
      <x:c r="I419" s="74"/>
      <x:c r="J419" s="74"/>
      <x:c r="K419" s="74"/>
      <x:c r="L419" s="91"/>
      <x:c r="M419" s="91"/>
      <x:c r="N419" s="91"/>
      <x:c r="O419" s="91"/>
      <x:c r="P419" s="85"/>
      <x:c r="R419" s="86"/>
      <x:c r="S419" s="32"/>
    </x:row>
    <x:row r="420">
      <x:c r="A420" s="87"/>
      <x:c r="D420" s="32"/>
      <x:c r="I420" s="74"/>
      <x:c r="J420" s="74"/>
      <x:c r="K420" s="74"/>
      <x:c r="L420" s="91"/>
      <x:c r="M420" s="91"/>
      <x:c r="N420" s="91"/>
      <x:c r="O420" s="91"/>
      <x:c r="P420" s="85"/>
      <x:c r="R420" s="86"/>
      <x:c r="S420" s="32"/>
    </x:row>
    <x:row r="421">
      <x:c r="A421" s="87"/>
      <x:c r="D421" s="32"/>
      <x:c r="I421" s="74"/>
      <x:c r="J421" s="74"/>
      <x:c r="K421" s="74"/>
      <x:c r="L421" s="91"/>
      <x:c r="M421" s="91"/>
      <x:c r="N421" s="91"/>
      <x:c r="O421" s="91"/>
      <x:c r="P421" s="85"/>
      <x:c r="R421" s="86"/>
      <x:c r="S421" s="32"/>
    </x:row>
    <x:row r="422">
      <x:c r="A422" s="87"/>
      <x:c r="D422" s="32"/>
      <x:c r="I422" s="74"/>
      <x:c r="J422" s="74"/>
      <x:c r="K422" s="74"/>
      <x:c r="L422" s="91"/>
      <x:c r="M422" s="91"/>
      <x:c r="N422" s="91"/>
      <x:c r="O422" s="91"/>
      <x:c r="P422" s="85"/>
      <x:c r="R422" s="86"/>
      <x:c r="S422" s="32"/>
    </x:row>
    <x:row r="423">
      <x:c r="A423" s="87"/>
      <x:c r="D423" s="32"/>
      <x:c r="I423" s="74"/>
      <x:c r="J423" s="74"/>
      <x:c r="K423" s="74"/>
      <x:c r="L423" s="91"/>
      <x:c r="M423" s="91"/>
      <x:c r="N423" s="91"/>
      <x:c r="O423" s="91"/>
      <x:c r="P423" s="85"/>
      <x:c r="R423" s="86"/>
      <x:c r="S423" s="32"/>
    </x:row>
    <x:row r="424">
      <x:c r="A424" s="87"/>
      <x:c r="D424" s="32"/>
      <x:c r="I424" s="74"/>
      <x:c r="J424" s="74"/>
      <x:c r="K424" s="74"/>
      <x:c r="L424" s="91"/>
      <x:c r="M424" s="91"/>
      <x:c r="N424" s="91"/>
      <x:c r="O424" s="91"/>
      <x:c r="P424" s="85"/>
      <x:c r="R424" s="86"/>
      <x:c r="S424" s="32"/>
    </x:row>
    <x:row r="425">
      <x:c r="A425" s="87"/>
      <x:c r="D425" s="32"/>
      <x:c r="I425" s="74"/>
      <x:c r="J425" s="74"/>
      <x:c r="K425" s="74"/>
      <x:c r="L425" s="91"/>
      <x:c r="M425" s="91"/>
      <x:c r="N425" s="91"/>
      <x:c r="O425" s="91"/>
      <x:c r="P425" s="85"/>
      <x:c r="R425" s="86"/>
      <x:c r="S425" s="32"/>
    </x:row>
    <x:row r="426">
      <x:c r="A426" s="87"/>
      <x:c r="D426" s="32"/>
      <x:c r="I426" s="74"/>
      <x:c r="J426" s="74"/>
      <x:c r="K426" s="74"/>
      <x:c r="L426" s="91"/>
      <x:c r="M426" s="91"/>
      <x:c r="N426" s="91"/>
      <x:c r="O426" s="91"/>
      <x:c r="P426" s="85"/>
      <x:c r="R426" s="86"/>
      <x:c r="S426" s="32"/>
    </x:row>
    <x:row r="427">
      <x:c r="A427" s="87"/>
      <x:c r="D427" s="32"/>
      <x:c r="I427" s="74"/>
      <x:c r="J427" s="74"/>
      <x:c r="K427" s="74"/>
      <x:c r="L427" s="91"/>
      <x:c r="M427" s="91"/>
      <x:c r="N427" s="91"/>
      <x:c r="O427" s="91"/>
      <x:c r="P427" s="85"/>
      <x:c r="R427" s="86"/>
      <x:c r="S427" s="32"/>
    </x:row>
    <x:row r="428">
      <x:c r="A428" s="87"/>
      <x:c r="D428" s="32"/>
      <x:c r="I428" s="74"/>
      <x:c r="J428" s="74"/>
      <x:c r="K428" s="74"/>
      <x:c r="L428" s="91"/>
      <x:c r="M428" s="91"/>
      <x:c r="N428" s="91"/>
      <x:c r="O428" s="91"/>
      <x:c r="P428" s="85"/>
      <x:c r="R428" s="86"/>
      <x:c r="S428" s="32"/>
    </x:row>
    <x:row r="429">
      <x:c r="A429" s="87"/>
      <x:c r="D429" s="32"/>
      <x:c r="I429" s="74"/>
      <x:c r="J429" s="74"/>
      <x:c r="K429" s="74"/>
      <x:c r="L429" s="91"/>
      <x:c r="M429" s="91"/>
      <x:c r="N429" s="91"/>
      <x:c r="O429" s="91"/>
      <x:c r="P429" s="85"/>
      <x:c r="R429" s="86"/>
      <x:c r="S429" s="32"/>
    </x:row>
    <x:row r="430">
      <x:c r="A430" s="87"/>
      <x:c r="D430" s="32"/>
      <x:c r="I430" s="74"/>
      <x:c r="J430" s="74"/>
      <x:c r="K430" s="74"/>
      <x:c r="L430" s="91"/>
      <x:c r="M430" s="91"/>
      <x:c r="N430" s="91"/>
      <x:c r="O430" s="91"/>
      <x:c r="P430" s="85"/>
      <x:c r="R430" s="86"/>
      <x:c r="S430" s="32"/>
    </x:row>
    <x:row r="431">
      <x:c r="A431" s="87"/>
      <x:c r="D431" s="32"/>
      <x:c r="I431" s="74"/>
      <x:c r="J431" s="74"/>
      <x:c r="K431" s="74"/>
      <x:c r="L431" s="91"/>
      <x:c r="M431" s="91"/>
      <x:c r="N431" s="91"/>
      <x:c r="O431" s="91"/>
      <x:c r="P431" s="85"/>
      <x:c r="R431" s="86"/>
      <x:c r="S431" s="32"/>
    </x:row>
    <x:row r="432">
      <x:c r="A432" s="87"/>
      <x:c r="D432" s="32"/>
      <x:c r="I432" s="74"/>
      <x:c r="J432" s="74"/>
      <x:c r="K432" s="74"/>
      <x:c r="L432" s="91"/>
      <x:c r="M432" s="91"/>
      <x:c r="N432" s="91"/>
      <x:c r="O432" s="91"/>
      <x:c r="P432" s="85"/>
      <x:c r="R432" s="86"/>
      <x:c r="S432" s="32"/>
    </x:row>
    <x:row r="433">
      <x:c r="A433" s="87"/>
      <x:c r="D433" s="32"/>
      <x:c r="I433" s="74"/>
      <x:c r="J433" s="74"/>
      <x:c r="K433" s="74"/>
      <x:c r="L433" s="91"/>
      <x:c r="M433" s="91"/>
      <x:c r="N433" s="91"/>
      <x:c r="O433" s="91"/>
      <x:c r="P433" s="85"/>
      <x:c r="R433" s="86"/>
      <x:c r="S433" s="32"/>
    </x:row>
    <x:row r="434">
      <x:c r="A434" s="87"/>
      <x:c r="D434" s="32"/>
      <x:c r="I434" s="74"/>
      <x:c r="J434" s="74"/>
      <x:c r="K434" s="74"/>
      <x:c r="L434" s="91"/>
      <x:c r="M434" s="91"/>
      <x:c r="N434" s="91"/>
      <x:c r="O434" s="91"/>
      <x:c r="P434" s="85"/>
      <x:c r="R434" s="86"/>
      <x:c r="S434" s="32"/>
    </x:row>
    <x:row r="435">
      <x:c r="A435" s="87"/>
      <x:c r="D435" s="32"/>
      <x:c r="I435" s="74"/>
      <x:c r="J435" s="74"/>
      <x:c r="K435" s="74"/>
      <x:c r="L435" s="91"/>
      <x:c r="M435" s="91"/>
      <x:c r="N435" s="91"/>
      <x:c r="O435" s="91"/>
      <x:c r="P435" s="85"/>
      <x:c r="R435" s="86"/>
      <x:c r="S435" s="32"/>
    </x:row>
    <x:row r="436">
      <x:c r="A436" s="87"/>
      <x:c r="D436" s="32"/>
      <x:c r="I436" s="74"/>
      <x:c r="J436" s="74"/>
      <x:c r="K436" s="74"/>
      <x:c r="L436" s="91"/>
      <x:c r="M436" s="91"/>
      <x:c r="N436" s="91"/>
      <x:c r="O436" s="91"/>
      <x:c r="P436" s="85"/>
      <x:c r="R436" s="86"/>
      <x:c r="S436" s="32"/>
    </x:row>
    <x:row r="437">
      <x:c r="A437" s="87"/>
      <x:c r="D437" s="32"/>
      <x:c r="I437" s="74"/>
      <x:c r="J437" s="74"/>
      <x:c r="K437" s="74"/>
      <x:c r="L437" s="91"/>
      <x:c r="M437" s="91"/>
      <x:c r="N437" s="91"/>
      <x:c r="O437" s="91"/>
      <x:c r="P437" s="85"/>
      <x:c r="R437" s="86"/>
      <x:c r="S437" s="32"/>
    </x:row>
    <x:row r="438">
      <x:c r="A438" s="87"/>
      <x:c r="D438" s="32"/>
      <x:c r="I438" s="74"/>
      <x:c r="J438" s="74"/>
      <x:c r="K438" s="74"/>
      <x:c r="L438" s="91"/>
      <x:c r="M438" s="91"/>
      <x:c r="N438" s="91"/>
      <x:c r="O438" s="91"/>
      <x:c r="P438" s="85"/>
      <x:c r="R438" s="86"/>
      <x:c r="S438" s="32"/>
    </x:row>
    <x:row r="439">
      <x:c r="A439" s="87"/>
      <x:c r="D439" s="32"/>
      <x:c r="I439" s="74"/>
      <x:c r="J439" s="74"/>
      <x:c r="K439" s="74"/>
      <x:c r="L439" s="91"/>
      <x:c r="M439" s="91"/>
      <x:c r="N439" s="91"/>
      <x:c r="O439" s="91"/>
      <x:c r="P439" s="85"/>
      <x:c r="R439" s="86"/>
      <x:c r="S439" s="32"/>
    </x:row>
    <x:row r="440">
      <x:c r="A440" s="87"/>
      <x:c r="D440" s="32"/>
      <x:c r="I440" s="74"/>
      <x:c r="J440" s="74"/>
      <x:c r="K440" s="74"/>
      <x:c r="L440" s="91"/>
      <x:c r="M440" s="91"/>
      <x:c r="N440" s="91"/>
      <x:c r="O440" s="91"/>
      <x:c r="P440" s="85"/>
      <x:c r="R440" s="86"/>
      <x:c r="S440" s="32"/>
    </x:row>
    <x:row r="441">
      <x:c r="A441" s="87"/>
      <x:c r="D441" s="32"/>
      <x:c r="I441" s="74"/>
      <x:c r="J441" s="74"/>
      <x:c r="K441" s="74"/>
      <x:c r="L441" s="91"/>
      <x:c r="M441" s="91"/>
      <x:c r="N441" s="91"/>
      <x:c r="O441" s="91"/>
      <x:c r="P441" s="85"/>
      <x:c r="R441" s="86"/>
      <x:c r="S441" s="32"/>
    </x:row>
    <x:row r="442">
      <x:c r="A442" s="87"/>
      <x:c r="D442" s="32"/>
      <x:c r="I442" s="74"/>
      <x:c r="J442" s="74"/>
      <x:c r="K442" s="74"/>
      <x:c r="L442" s="91"/>
      <x:c r="M442" s="91"/>
      <x:c r="N442" s="91"/>
      <x:c r="O442" s="91"/>
      <x:c r="P442" s="85"/>
      <x:c r="R442" s="86"/>
      <x:c r="S442" s="32"/>
    </x:row>
    <x:row r="443">
      <x:c r="A443" s="87"/>
      <x:c r="D443" s="32"/>
      <x:c r="I443" s="74"/>
      <x:c r="J443" s="74"/>
      <x:c r="K443" s="74"/>
      <x:c r="L443" s="91"/>
      <x:c r="M443" s="91"/>
      <x:c r="N443" s="91"/>
      <x:c r="O443" s="91"/>
      <x:c r="P443" s="85"/>
      <x:c r="R443" s="86"/>
      <x:c r="S443" s="32"/>
    </x:row>
    <x:row r="444">
      <x:c r="A444" s="87"/>
      <x:c r="D444" s="32"/>
      <x:c r="I444" s="74"/>
      <x:c r="J444" s="74"/>
      <x:c r="K444" s="74"/>
      <x:c r="L444" s="91"/>
      <x:c r="M444" s="91"/>
      <x:c r="N444" s="91"/>
      <x:c r="O444" s="91"/>
      <x:c r="P444" s="85"/>
      <x:c r="R444" s="86"/>
      <x:c r="S444" s="32"/>
    </x:row>
    <x:row r="445">
      <x:c r="A445" s="87"/>
      <x:c r="D445" s="32"/>
      <x:c r="I445" s="74"/>
      <x:c r="J445" s="74"/>
      <x:c r="K445" s="74"/>
      <x:c r="L445" s="91"/>
      <x:c r="M445" s="91"/>
      <x:c r="N445" s="91"/>
      <x:c r="O445" s="91"/>
      <x:c r="P445" s="85"/>
      <x:c r="R445" s="86"/>
      <x:c r="S445" s="32"/>
    </x:row>
    <x:row r="446">
      <x:c r="A446" s="87"/>
      <x:c r="D446" s="32"/>
      <x:c r="I446" s="74"/>
      <x:c r="J446" s="74"/>
      <x:c r="K446" s="74"/>
      <x:c r="L446" s="91"/>
      <x:c r="M446" s="91"/>
      <x:c r="N446" s="91"/>
      <x:c r="O446" s="91"/>
      <x:c r="P446" s="85"/>
      <x:c r="R446" s="86"/>
      <x:c r="S446" s="32"/>
    </x:row>
    <x:row r="447">
      <x:c r="A447" s="87"/>
      <x:c r="D447" s="32"/>
      <x:c r="I447" s="74"/>
      <x:c r="J447" s="74"/>
      <x:c r="K447" s="74"/>
      <x:c r="L447" s="91"/>
      <x:c r="M447" s="91"/>
      <x:c r="N447" s="91"/>
      <x:c r="O447" s="91"/>
      <x:c r="P447" s="85"/>
      <x:c r="R447" s="86"/>
      <x:c r="S447" s="32"/>
    </x:row>
    <x:row r="448">
      <x:c r="A448" s="87"/>
      <x:c r="D448" s="32"/>
      <x:c r="I448" s="74"/>
      <x:c r="J448" s="74"/>
      <x:c r="K448" s="74"/>
      <x:c r="L448" s="91"/>
      <x:c r="M448" s="91"/>
      <x:c r="N448" s="91"/>
      <x:c r="O448" s="91"/>
      <x:c r="P448" s="85"/>
      <x:c r="R448" s="86"/>
      <x:c r="S448" s="32"/>
    </x:row>
    <x:row r="449">
      <x:c r="A449" s="87"/>
      <x:c r="D449" s="32"/>
      <x:c r="I449" s="74"/>
      <x:c r="J449" s="74"/>
      <x:c r="K449" s="74"/>
      <x:c r="L449" s="91"/>
      <x:c r="M449" s="91"/>
      <x:c r="N449" s="91"/>
      <x:c r="O449" s="91"/>
      <x:c r="P449" s="85"/>
      <x:c r="R449" s="86"/>
      <x:c r="S449" s="32"/>
    </x:row>
    <x:row r="450">
      <x:c r="A450" s="87"/>
      <x:c r="D450" s="32"/>
      <x:c r="I450" s="74"/>
      <x:c r="J450" s="74"/>
      <x:c r="K450" s="74"/>
      <x:c r="L450" s="91"/>
      <x:c r="M450" s="91"/>
      <x:c r="N450" s="91"/>
      <x:c r="O450" s="91"/>
      <x:c r="P450" s="85"/>
      <x:c r="R450" s="86"/>
      <x:c r="S450" s="32"/>
    </x:row>
    <x:row r="451">
      <x:c r="A451" s="87"/>
      <x:c r="D451" s="32"/>
      <x:c r="I451" s="74"/>
      <x:c r="J451" s="74"/>
      <x:c r="K451" s="74"/>
      <x:c r="L451" s="91"/>
      <x:c r="M451" s="91"/>
      <x:c r="N451" s="91"/>
      <x:c r="O451" s="91"/>
      <x:c r="P451" s="85"/>
      <x:c r="R451" s="86"/>
      <x:c r="S451" s="32"/>
    </x:row>
    <x:row r="452">
      <x:c r="A452" s="87"/>
      <x:c r="D452" s="32"/>
      <x:c r="I452" s="74"/>
      <x:c r="J452" s="74"/>
      <x:c r="K452" s="74"/>
      <x:c r="L452" s="91"/>
      <x:c r="M452" s="91"/>
      <x:c r="N452" s="91"/>
      <x:c r="O452" s="91"/>
      <x:c r="P452" s="85"/>
      <x:c r="R452" s="86"/>
      <x:c r="S452" s="32"/>
    </x:row>
    <x:row r="453">
      <x:c r="A453" s="87"/>
      <x:c r="D453" s="32"/>
      <x:c r="I453" s="74"/>
      <x:c r="J453" s="74"/>
      <x:c r="K453" s="74"/>
      <x:c r="L453" s="91"/>
      <x:c r="M453" s="91"/>
      <x:c r="N453" s="91"/>
      <x:c r="O453" s="91"/>
      <x:c r="P453" s="85"/>
      <x:c r="R453" s="86"/>
      <x:c r="S453" s="32"/>
    </x:row>
    <x:row r="454">
      <x:c r="A454" s="87"/>
      <x:c r="D454" s="32"/>
      <x:c r="I454" s="74"/>
      <x:c r="J454" s="74"/>
      <x:c r="K454" s="74"/>
      <x:c r="L454" s="91"/>
      <x:c r="M454" s="91"/>
      <x:c r="N454" s="91"/>
      <x:c r="O454" s="91"/>
      <x:c r="P454" s="85"/>
      <x:c r="R454" s="86"/>
      <x:c r="S454" s="32"/>
    </x:row>
    <x:row r="455">
      <x:c r="A455" s="87"/>
      <x:c r="D455" s="32"/>
      <x:c r="I455" s="74"/>
      <x:c r="J455" s="74"/>
      <x:c r="K455" s="74"/>
      <x:c r="L455" s="91"/>
      <x:c r="M455" s="91"/>
      <x:c r="N455" s="91"/>
      <x:c r="O455" s="91"/>
      <x:c r="P455" s="85"/>
      <x:c r="R455" s="86"/>
      <x:c r="S455" s="32"/>
    </x:row>
    <x:row r="456">
      <x:c r="A456" s="87"/>
      <x:c r="D456" s="32"/>
      <x:c r="I456" s="74"/>
      <x:c r="J456" s="74"/>
      <x:c r="K456" s="74"/>
      <x:c r="L456" s="91"/>
      <x:c r="M456" s="91"/>
      <x:c r="N456" s="91"/>
      <x:c r="O456" s="91"/>
      <x:c r="P456" s="85"/>
      <x:c r="R456" s="86"/>
      <x:c r="S456" s="32"/>
    </x:row>
    <x:row r="457">
      <x:c r="A457" s="87"/>
      <x:c r="D457" s="32"/>
      <x:c r="I457" s="74"/>
      <x:c r="J457" s="74"/>
      <x:c r="K457" s="74"/>
      <x:c r="L457" s="91"/>
      <x:c r="M457" s="91"/>
      <x:c r="N457" s="91"/>
      <x:c r="O457" s="91"/>
      <x:c r="P457" s="85"/>
      <x:c r="R457" s="86"/>
      <x:c r="S457" s="32"/>
    </x:row>
    <x:row r="458">
      <x:c r="A458" s="87"/>
      <x:c r="D458" s="32"/>
      <x:c r="I458" s="74"/>
      <x:c r="J458" s="74"/>
      <x:c r="K458" s="74"/>
      <x:c r="L458" s="91"/>
      <x:c r="M458" s="91"/>
      <x:c r="N458" s="91"/>
      <x:c r="O458" s="91"/>
      <x:c r="P458" s="85"/>
      <x:c r="R458" s="86"/>
      <x:c r="S458" s="32"/>
    </x:row>
    <x:row r="459">
      <x:c r="A459" s="87"/>
      <x:c r="D459" s="32"/>
      <x:c r="I459" s="74"/>
      <x:c r="J459" s="74"/>
      <x:c r="K459" s="74"/>
      <x:c r="L459" s="91"/>
      <x:c r="M459" s="91"/>
      <x:c r="N459" s="91"/>
      <x:c r="O459" s="91"/>
      <x:c r="P459" s="85"/>
      <x:c r="R459" s="86"/>
      <x:c r="S459" s="32"/>
    </x:row>
    <x:row r="460">
      <x:c r="A460" s="87"/>
      <x:c r="D460" s="32"/>
      <x:c r="I460" s="74"/>
      <x:c r="J460" s="74"/>
      <x:c r="K460" s="74"/>
      <x:c r="L460" s="91"/>
      <x:c r="M460" s="91"/>
      <x:c r="N460" s="91"/>
      <x:c r="O460" s="91"/>
      <x:c r="P460" s="85"/>
      <x:c r="R460" s="86"/>
      <x:c r="S460" s="32"/>
    </x:row>
    <x:row r="461">
      <x:c r="A461" s="87"/>
      <x:c r="D461" s="32"/>
      <x:c r="I461" s="74"/>
      <x:c r="J461" s="74"/>
      <x:c r="K461" s="74"/>
      <x:c r="L461" s="91"/>
      <x:c r="M461" s="91"/>
      <x:c r="N461" s="91"/>
      <x:c r="O461" s="91"/>
      <x:c r="P461" s="85"/>
      <x:c r="R461" s="86"/>
      <x:c r="S461" s="32"/>
    </x:row>
    <x:row r="462">
      <x:c r="A462" s="87"/>
      <x:c r="D462" s="32"/>
      <x:c r="I462" s="74"/>
      <x:c r="J462" s="74"/>
      <x:c r="K462" s="74"/>
      <x:c r="L462" s="91"/>
      <x:c r="M462" s="91"/>
      <x:c r="N462" s="91"/>
      <x:c r="O462" s="91"/>
      <x:c r="P462" s="85"/>
      <x:c r="R462" s="86"/>
      <x:c r="S462" s="32"/>
    </x:row>
    <x:row r="463">
      <x:c r="A463" s="87"/>
      <x:c r="D463" s="32"/>
      <x:c r="I463" s="74"/>
      <x:c r="J463" s="74"/>
      <x:c r="K463" s="74"/>
      <x:c r="L463" s="91"/>
      <x:c r="M463" s="91"/>
      <x:c r="N463" s="91"/>
      <x:c r="O463" s="91"/>
      <x:c r="P463" s="85"/>
      <x:c r="R463" s="86"/>
      <x:c r="S463" s="32"/>
    </x:row>
    <x:row r="464">
      <x:c r="A464" s="87"/>
      <x:c r="D464" s="32"/>
      <x:c r="I464" s="74"/>
      <x:c r="J464" s="74"/>
      <x:c r="K464" s="74"/>
      <x:c r="L464" s="91"/>
      <x:c r="M464" s="91"/>
      <x:c r="N464" s="91"/>
      <x:c r="O464" s="91"/>
      <x:c r="P464" s="85"/>
      <x:c r="R464" s="86"/>
      <x:c r="S464" s="32"/>
    </x:row>
    <x:row r="465">
      <x:c r="A465" s="87"/>
      <x:c r="D465" s="32"/>
      <x:c r="I465" s="74"/>
      <x:c r="J465" s="74"/>
      <x:c r="K465" s="74"/>
      <x:c r="L465" s="91"/>
      <x:c r="M465" s="91"/>
      <x:c r="N465" s="91"/>
      <x:c r="O465" s="91"/>
      <x:c r="P465" s="85"/>
      <x:c r="R465" s="86"/>
      <x:c r="S465" s="32"/>
    </x:row>
    <x:row r="466">
      <x:c r="A466" s="87"/>
      <x:c r="D466" s="32"/>
      <x:c r="I466" s="74"/>
      <x:c r="J466" s="74"/>
      <x:c r="K466" s="74"/>
      <x:c r="L466" s="91"/>
      <x:c r="M466" s="91"/>
      <x:c r="N466" s="91"/>
      <x:c r="O466" s="91"/>
      <x:c r="P466" s="85"/>
      <x:c r="R466" s="86"/>
      <x:c r="S466" s="32"/>
    </x:row>
    <x:row r="467">
      <x:c r="A467" s="87"/>
      <x:c r="D467" s="32"/>
      <x:c r="I467" s="74"/>
      <x:c r="J467" s="74"/>
      <x:c r="K467" s="74"/>
      <x:c r="L467" s="91"/>
      <x:c r="M467" s="91"/>
      <x:c r="N467" s="91"/>
      <x:c r="O467" s="91"/>
      <x:c r="P467" s="85"/>
      <x:c r="R467" s="86"/>
      <x:c r="S467" s="32"/>
    </x:row>
    <x:row r="468">
      <x:c r="A468" s="87"/>
      <x:c r="D468" s="32"/>
      <x:c r="I468" s="74"/>
      <x:c r="J468" s="74"/>
      <x:c r="K468" s="74"/>
      <x:c r="L468" s="91"/>
      <x:c r="M468" s="91"/>
      <x:c r="N468" s="91"/>
      <x:c r="O468" s="91"/>
      <x:c r="P468" s="85"/>
      <x:c r="R468" s="86"/>
      <x:c r="S468" s="32"/>
    </x:row>
    <x:row r="469">
      <x:c r="A469" s="87"/>
      <x:c r="D469" s="32"/>
      <x:c r="I469" s="74"/>
      <x:c r="J469" s="74"/>
      <x:c r="K469" s="74"/>
      <x:c r="L469" s="91"/>
      <x:c r="M469" s="91"/>
      <x:c r="N469" s="91"/>
      <x:c r="O469" s="91"/>
      <x:c r="P469" s="85"/>
      <x:c r="R469" s="86"/>
      <x:c r="S469" s="32"/>
    </x:row>
    <x:row r="470">
      <x:c r="A470" s="87"/>
      <x:c r="D470" s="32"/>
      <x:c r="I470" s="74"/>
      <x:c r="J470" s="74"/>
      <x:c r="K470" s="74"/>
      <x:c r="L470" s="91"/>
      <x:c r="M470" s="91"/>
      <x:c r="N470" s="91"/>
      <x:c r="O470" s="91"/>
      <x:c r="P470" s="85"/>
      <x:c r="R470" s="86"/>
      <x:c r="S470" s="32"/>
    </x:row>
    <x:row r="471">
      <x:c r="A471" s="87"/>
      <x:c r="D471" s="32"/>
      <x:c r="I471" s="74"/>
      <x:c r="J471" s="74"/>
      <x:c r="K471" s="74"/>
      <x:c r="L471" s="91"/>
      <x:c r="M471" s="91"/>
      <x:c r="N471" s="91"/>
      <x:c r="O471" s="91"/>
      <x:c r="P471" s="85"/>
      <x:c r="R471" s="86"/>
      <x:c r="S471" s="32"/>
    </x:row>
    <x:row r="472">
      <x:c r="A472" s="87"/>
      <x:c r="D472" s="32"/>
      <x:c r="I472" s="74"/>
      <x:c r="J472" s="74"/>
      <x:c r="K472" s="74"/>
      <x:c r="L472" s="91"/>
      <x:c r="M472" s="91"/>
      <x:c r="N472" s="91"/>
      <x:c r="O472" s="91"/>
      <x:c r="P472" s="85"/>
      <x:c r="R472" s="86"/>
      <x:c r="S472" s="32"/>
    </x:row>
    <x:row r="473">
      <x:c r="A473" s="87"/>
      <x:c r="D473" s="32"/>
      <x:c r="I473" s="74"/>
      <x:c r="J473" s="74"/>
      <x:c r="K473" s="74"/>
      <x:c r="L473" s="91"/>
      <x:c r="M473" s="91"/>
      <x:c r="N473" s="91"/>
      <x:c r="O473" s="91"/>
      <x:c r="P473" s="85"/>
      <x:c r="R473" s="86"/>
      <x:c r="S473" s="32"/>
    </x:row>
    <x:row r="474">
      <x:c r="A474" s="87"/>
      <x:c r="D474" s="32"/>
      <x:c r="I474" s="74"/>
      <x:c r="J474" s="74"/>
      <x:c r="K474" s="74"/>
      <x:c r="L474" s="91"/>
      <x:c r="M474" s="91"/>
      <x:c r="N474" s="91"/>
      <x:c r="O474" s="91"/>
      <x:c r="P474" s="85"/>
      <x:c r="R474" s="86"/>
      <x:c r="S474" s="32"/>
    </x:row>
    <x:row r="475">
      <x:c r="A475" s="87"/>
      <x:c r="D475" s="32"/>
      <x:c r="I475" s="74"/>
      <x:c r="J475" s="74"/>
      <x:c r="K475" s="74"/>
      <x:c r="L475" s="91"/>
      <x:c r="M475" s="91"/>
      <x:c r="N475" s="91"/>
      <x:c r="O475" s="91"/>
      <x:c r="P475" s="85"/>
      <x:c r="R475" s="86"/>
      <x:c r="S475" s="32"/>
    </x:row>
    <x:row r="476">
      <x:c r="A476" s="87"/>
      <x:c r="D476" s="32"/>
      <x:c r="I476" s="74"/>
      <x:c r="J476" s="74"/>
      <x:c r="K476" s="74"/>
      <x:c r="L476" s="91"/>
      <x:c r="M476" s="91"/>
      <x:c r="N476" s="91"/>
      <x:c r="O476" s="91"/>
      <x:c r="P476" s="85"/>
      <x:c r="R476" s="86"/>
      <x:c r="S476" s="32"/>
    </x:row>
    <x:row r="477">
      <x:c r="A477" s="87"/>
      <x:c r="D477" s="32"/>
      <x:c r="I477" s="74"/>
      <x:c r="J477" s="74"/>
      <x:c r="K477" s="74"/>
      <x:c r="L477" s="91"/>
      <x:c r="M477" s="91"/>
      <x:c r="N477" s="91"/>
      <x:c r="O477" s="91"/>
      <x:c r="P477" s="85"/>
      <x:c r="R477" s="86"/>
      <x:c r="S477" s="32"/>
    </x:row>
    <x:row r="478">
      <x:c r="A478" s="87"/>
      <x:c r="D478" s="32"/>
      <x:c r="I478" s="74"/>
      <x:c r="J478" s="74"/>
      <x:c r="K478" s="74"/>
      <x:c r="L478" s="91"/>
      <x:c r="M478" s="91"/>
      <x:c r="N478" s="91"/>
      <x:c r="O478" s="91"/>
      <x:c r="P478" s="85"/>
      <x:c r="R478" s="86"/>
      <x:c r="S478" s="32"/>
    </x:row>
    <x:row r="479">
      <x:c r="A479" s="87"/>
      <x:c r="D479" s="32"/>
      <x:c r="I479" s="74"/>
      <x:c r="J479" s="74"/>
      <x:c r="K479" s="74"/>
      <x:c r="L479" s="91"/>
      <x:c r="M479" s="91"/>
      <x:c r="N479" s="91"/>
      <x:c r="O479" s="91"/>
      <x:c r="P479" s="85"/>
      <x:c r="R479" s="86"/>
      <x:c r="S479" s="32"/>
    </x:row>
    <x:row r="480">
      <x:c r="A480" s="87"/>
      <x:c r="D480" s="32"/>
      <x:c r="I480" s="74"/>
      <x:c r="J480" s="74"/>
      <x:c r="K480" s="74"/>
      <x:c r="L480" s="91"/>
      <x:c r="M480" s="91"/>
      <x:c r="N480" s="91"/>
      <x:c r="O480" s="91"/>
      <x:c r="P480" s="85"/>
      <x:c r="R480" s="86"/>
      <x:c r="S480" s="32"/>
    </x:row>
    <x:row r="481">
      <x:c r="A481" s="87"/>
      <x:c r="D481" s="32"/>
      <x:c r="I481" s="74"/>
      <x:c r="J481" s="74"/>
      <x:c r="K481" s="74"/>
      <x:c r="L481" s="91"/>
      <x:c r="M481" s="91"/>
      <x:c r="N481" s="91"/>
      <x:c r="O481" s="91"/>
      <x:c r="P481" s="85"/>
      <x:c r="R481" s="86"/>
      <x:c r="S481" s="32"/>
    </x:row>
    <x:row r="482">
      <x:c r="A482" s="87"/>
      <x:c r="D482" s="32"/>
      <x:c r="I482" s="74"/>
      <x:c r="J482" s="74"/>
      <x:c r="K482" s="74"/>
      <x:c r="L482" s="91"/>
      <x:c r="M482" s="91"/>
      <x:c r="N482" s="91"/>
      <x:c r="O482" s="91"/>
      <x:c r="P482" s="85"/>
      <x:c r="R482" s="86"/>
      <x:c r="S482" s="32"/>
    </x:row>
    <x:row r="483">
      <x:c r="A483" s="87"/>
      <x:c r="D483" s="32"/>
      <x:c r="I483" s="74"/>
      <x:c r="J483" s="74"/>
      <x:c r="K483" s="74"/>
      <x:c r="L483" s="91"/>
      <x:c r="M483" s="91"/>
      <x:c r="N483" s="91"/>
      <x:c r="O483" s="91"/>
      <x:c r="P483" s="85"/>
      <x:c r="R483" s="86"/>
      <x:c r="S483" s="32"/>
    </x:row>
    <x:row r="484">
      <x:c r="A484" s="87"/>
      <x:c r="D484" s="32"/>
      <x:c r="I484" s="74"/>
      <x:c r="J484" s="74"/>
      <x:c r="K484" s="74"/>
      <x:c r="L484" s="91"/>
      <x:c r="M484" s="91"/>
      <x:c r="N484" s="91"/>
      <x:c r="O484" s="91"/>
      <x:c r="P484" s="85"/>
      <x:c r="R484" s="86"/>
      <x:c r="S484" s="32"/>
    </x:row>
    <x:row r="485">
      <x:c r="A485" s="87"/>
      <x:c r="D485" s="32"/>
      <x:c r="I485" s="74"/>
      <x:c r="J485" s="74"/>
      <x:c r="K485" s="74"/>
      <x:c r="L485" s="91"/>
      <x:c r="M485" s="91"/>
      <x:c r="N485" s="91"/>
      <x:c r="O485" s="91"/>
      <x:c r="P485" s="85"/>
      <x:c r="R485" s="86"/>
      <x:c r="S485" s="32"/>
    </x:row>
    <x:row r="486">
      <x:c r="A486" s="87"/>
      <x:c r="D486" s="32"/>
      <x:c r="I486" s="74"/>
      <x:c r="J486" s="74"/>
      <x:c r="K486" s="74"/>
      <x:c r="L486" s="91"/>
      <x:c r="M486" s="91"/>
      <x:c r="N486" s="91"/>
      <x:c r="O486" s="91"/>
      <x:c r="P486" s="85"/>
      <x:c r="R486" s="86"/>
      <x:c r="S486" s="32"/>
    </x:row>
    <x:row r="487">
      <x:c r="A487" s="87"/>
      <x:c r="D487" s="32"/>
      <x:c r="I487" s="74"/>
      <x:c r="J487" s="74"/>
      <x:c r="K487" s="74"/>
      <x:c r="L487" s="91"/>
      <x:c r="M487" s="91"/>
      <x:c r="N487" s="91"/>
      <x:c r="O487" s="91"/>
      <x:c r="P487" s="85"/>
      <x:c r="R487" s="86"/>
      <x:c r="S487" s="32"/>
    </x:row>
    <x:row r="488">
      <x:c r="A488" s="87"/>
      <x:c r="D488" s="32"/>
      <x:c r="I488" s="74"/>
      <x:c r="J488" s="74"/>
      <x:c r="K488" s="74"/>
      <x:c r="L488" s="91"/>
      <x:c r="M488" s="91"/>
      <x:c r="N488" s="91"/>
      <x:c r="O488" s="91"/>
      <x:c r="P488" s="85"/>
      <x:c r="R488" s="86"/>
      <x:c r="S488" s="32"/>
    </x:row>
    <x:row r="489">
      <x:c r="A489" s="87"/>
      <x:c r="D489" s="32"/>
      <x:c r="I489" s="74"/>
      <x:c r="J489" s="74"/>
      <x:c r="K489" s="74"/>
      <x:c r="L489" s="91"/>
      <x:c r="M489" s="91"/>
      <x:c r="N489" s="91"/>
      <x:c r="O489" s="91"/>
      <x:c r="P489" s="85"/>
      <x:c r="R489" s="86"/>
      <x:c r="S489" s="32"/>
    </x:row>
    <x:row r="490">
      <x:c r="A490" s="87"/>
      <x:c r="D490" s="32"/>
      <x:c r="I490" s="74"/>
      <x:c r="J490" s="74"/>
      <x:c r="K490" s="74"/>
      <x:c r="L490" s="91"/>
      <x:c r="M490" s="91"/>
      <x:c r="N490" s="91"/>
      <x:c r="O490" s="91"/>
      <x:c r="P490" s="85"/>
      <x:c r="R490" s="86"/>
      <x:c r="S490" s="32"/>
    </x:row>
    <x:row r="491">
      <x:c r="A491" s="87"/>
      <x:c r="D491" s="32"/>
      <x:c r="I491" s="74"/>
      <x:c r="J491" s="74"/>
      <x:c r="K491" s="74"/>
      <x:c r="L491" s="91"/>
      <x:c r="M491" s="91"/>
      <x:c r="N491" s="91"/>
      <x:c r="O491" s="91"/>
      <x:c r="P491" s="85"/>
      <x:c r="R491" s="86"/>
      <x:c r="S491" s="32"/>
    </x:row>
    <x:row r="492">
      <x:c r="A492" s="87"/>
      <x:c r="D492" s="32"/>
      <x:c r="I492" s="74"/>
      <x:c r="J492" s="74"/>
      <x:c r="K492" s="74"/>
      <x:c r="L492" s="91"/>
      <x:c r="M492" s="91"/>
      <x:c r="N492" s="91"/>
      <x:c r="O492" s="91"/>
      <x:c r="P492" s="85"/>
      <x:c r="R492" s="86"/>
      <x:c r="S492" s="32"/>
    </x:row>
    <x:row r="493">
      <x:c r="A493" s="87"/>
      <x:c r="D493" s="32"/>
      <x:c r="I493" s="74"/>
      <x:c r="J493" s="74"/>
      <x:c r="K493" s="74"/>
      <x:c r="L493" s="91"/>
      <x:c r="M493" s="91"/>
      <x:c r="N493" s="91"/>
      <x:c r="O493" s="91"/>
      <x:c r="P493" s="85"/>
      <x:c r="R493" s="86"/>
      <x:c r="S493" s="32"/>
    </x:row>
    <x:row r="494">
      <x:c r="A494" s="87"/>
      <x:c r="D494" s="32"/>
      <x:c r="I494" s="74"/>
      <x:c r="J494" s="74"/>
      <x:c r="K494" s="74"/>
      <x:c r="L494" s="91"/>
      <x:c r="M494" s="91"/>
      <x:c r="N494" s="91"/>
      <x:c r="O494" s="91"/>
      <x:c r="P494" s="85"/>
      <x:c r="R494" s="86"/>
      <x:c r="S494" s="32"/>
    </x:row>
    <x:row r="495">
      <x:c r="A495" s="87"/>
      <x:c r="D495" s="32"/>
      <x:c r="I495" s="74"/>
      <x:c r="J495" s="74"/>
      <x:c r="K495" s="74"/>
      <x:c r="L495" s="91"/>
      <x:c r="M495" s="91"/>
      <x:c r="N495" s="91"/>
      <x:c r="O495" s="91"/>
      <x:c r="P495" s="85"/>
      <x:c r="R495" s="86"/>
      <x:c r="S495" s="32"/>
    </x:row>
    <x:row r="496">
      <x:c r="A496" s="87"/>
      <x:c r="D496" s="32"/>
      <x:c r="I496" s="74"/>
      <x:c r="J496" s="74"/>
      <x:c r="K496" s="74"/>
      <x:c r="L496" s="91"/>
      <x:c r="M496" s="91"/>
      <x:c r="N496" s="91"/>
      <x:c r="O496" s="91"/>
      <x:c r="P496" s="85"/>
      <x:c r="R496" s="86"/>
      <x:c r="S496" s="32"/>
    </x:row>
    <x:row r="497">
      <x:c r="A497" s="87"/>
      <x:c r="D497" s="32"/>
      <x:c r="I497" s="74"/>
      <x:c r="J497" s="74"/>
      <x:c r="K497" s="74"/>
      <x:c r="L497" s="91"/>
      <x:c r="M497" s="91"/>
      <x:c r="N497" s="91"/>
      <x:c r="O497" s="91"/>
      <x:c r="P497" s="85"/>
      <x:c r="R497" s="86"/>
      <x:c r="S497" s="32"/>
    </x:row>
    <x:row r="498">
      <x:c r="A498" s="87"/>
      <x:c r="D498" s="32"/>
      <x:c r="I498" s="74"/>
      <x:c r="J498" s="74"/>
      <x:c r="K498" s="74"/>
      <x:c r="L498" s="91"/>
      <x:c r="M498" s="91"/>
      <x:c r="N498" s="91"/>
      <x:c r="O498" s="91"/>
      <x:c r="P498" s="85"/>
      <x:c r="R498" s="86"/>
      <x:c r="S498" s="32"/>
    </x:row>
    <x:row r="499">
      <x:c r="A499" s="87"/>
      <x:c r="D499" s="32"/>
      <x:c r="I499" s="74"/>
      <x:c r="J499" s="74"/>
      <x:c r="K499" s="74"/>
      <x:c r="L499" s="91"/>
      <x:c r="M499" s="91"/>
      <x:c r="N499" s="91"/>
      <x:c r="O499" s="91"/>
      <x:c r="P499" s="85"/>
      <x:c r="R499" s="86"/>
      <x:c r="S499" s="32"/>
    </x:row>
    <x:row r="500">
      <x:c r="A500" s="87"/>
      <x:c r="D500" s="32"/>
      <x:c r="I500" s="74"/>
      <x:c r="J500" s="74"/>
      <x:c r="K500" s="74"/>
      <x:c r="L500" s="91"/>
      <x:c r="M500" s="91"/>
      <x:c r="N500" s="91"/>
      <x:c r="O500" s="91"/>
      <x:c r="P500" s="85"/>
      <x:c r="R500" s="86"/>
      <x:c r="S500" s="32"/>
    </x:row>
    <x:row r="501">
      <x:c r="A501" s="87"/>
      <x:c r="D501" s="32"/>
      <x:c r="I501" s="74"/>
      <x:c r="J501" s="74"/>
      <x:c r="K501" s="74"/>
      <x:c r="L501" s="91"/>
      <x:c r="M501" s="91"/>
      <x:c r="N501" s="91"/>
      <x:c r="O501" s="91"/>
      <x:c r="P501" s="85"/>
      <x:c r="R501" s="86"/>
      <x:c r="S501" s="32"/>
    </x:row>
    <x:row r="502">
      <x:c r="A502" s="87"/>
      <x:c r="D502" s="32"/>
      <x:c r="I502" s="74"/>
      <x:c r="J502" s="74"/>
      <x:c r="K502" s="74"/>
      <x:c r="L502" s="91"/>
      <x:c r="M502" s="91"/>
      <x:c r="N502" s="91"/>
      <x:c r="O502" s="91"/>
      <x:c r="P502" s="85"/>
      <x:c r="R502" s="86"/>
      <x:c r="S502" s="32"/>
    </x:row>
    <x:row r="503">
      <x:c r="A503" s="87"/>
      <x:c r="D503" s="32"/>
      <x:c r="I503" s="74"/>
      <x:c r="J503" s="74"/>
      <x:c r="K503" s="74"/>
      <x:c r="L503" s="91"/>
      <x:c r="M503" s="91"/>
      <x:c r="N503" s="91"/>
      <x:c r="O503" s="91"/>
      <x:c r="P503" s="85"/>
      <x:c r="R503" s="86"/>
      <x:c r="S503" s="32"/>
    </x:row>
    <x:row r="504">
      <x:c r="A504" s="87"/>
      <x:c r="D504" s="32"/>
      <x:c r="I504" s="74"/>
      <x:c r="J504" s="74"/>
      <x:c r="K504" s="74"/>
      <x:c r="L504" s="91"/>
      <x:c r="M504" s="91"/>
      <x:c r="N504" s="91"/>
      <x:c r="O504" s="91"/>
      <x:c r="P504" s="85"/>
      <x:c r="R504" s="86"/>
      <x:c r="S504" s="32"/>
    </x:row>
    <x:row r="505">
      <x:c r="A505" s="87"/>
      <x:c r="D505" s="32"/>
      <x:c r="I505" s="74"/>
      <x:c r="J505" s="74"/>
      <x:c r="K505" s="74"/>
      <x:c r="L505" s="91"/>
      <x:c r="M505" s="91"/>
      <x:c r="N505" s="91"/>
      <x:c r="O505" s="91"/>
      <x:c r="P505" s="85"/>
      <x:c r="R505" s="86"/>
      <x:c r="S505" s="32"/>
    </x:row>
    <x:row r="506">
      <x:c r="A506" s="87"/>
      <x:c r="D506" s="32"/>
      <x:c r="I506" s="74"/>
      <x:c r="J506" s="74"/>
      <x:c r="K506" s="74"/>
      <x:c r="L506" s="91"/>
      <x:c r="M506" s="91"/>
      <x:c r="N506" s="91"/>
      <x:c r="O506" s="91"/>
      <x:c r="P506" s="85"/>
      <x:c r="R506" s="86"/>
      <x:c r="S506" s="32"/>
    </x:row>
    <x:row r="507">
      <x:c r="A507" s="87"/>
      <x:c r="D507" s="32"/>
      <x:c r="I507" s="74"/>
      <x:c r="J507" s="74"/>
      <x:c r="K507" s="74"/>
      <x:c r="L507" s="91"/>
      <x:c r="M507" s="91"/>
      <x:c r="N507" s="91"/>
      <x:c r="O507" s="91"/>
      <x:c r="P507" s="85"/>
      <x:c r="R507" s="86"/>
      <x:c r="S507" s="32"/>
    </x:row>
    <x:row r="508">
      <x:c r="A508" s="87"/>
      <x:c r="D508" s="32"/>
      <x:c r="I508" s="74"/>
      <x:c r="J508" s="74"/>
      <x:c r="K508" s="74"/>
      <x:c r="L508" s="91"/>
      <x:c r="M508" s="91"/>
      <x:c r="N508" s="91"/>
      <x:c r="O508" s="91"/>
      <x:c r="P508" s="85"/>
      <x:c r="R508" s="86"/>
      <x:c r="S508" s="32"/>
    </x:row>
    <x:row r="509">
      <x:c r="A509" s="87"/>
      <x:c r="D509" s="32"/>
      <x:c r="I509" s="74"/>
      <x:c r="J509" s="74"/>
      <x:c r="K509" s="74"/>
      <x:c r="L509" s="91"/>
      <x:c r="M509" s="91"/>
      <x:c r="N509" s="91"/>
      <x:c r="O509" s="91"/>
      <x:c r="P509" s="85"/>
      <x:c r="R509" s="86"/>
      <x:c r="S509" s="32"/>
    </x:row>
    <x:row r="510">
      <x:c r="A510" s="87"/>
      <x:c r="D510" s="32"/>
      <x:c r="I510" s="74"/>
      <x:c r="J510" s="74"/>
      <x:c r="K510" s="74"/>
      <x:c r="L510" s="91"/>
      <x:c r="M510" s="91"/>
      <x:c r="N510" s="91"/>
      <x:c r="O510" s="91"/>
      <x:c r="P510" s="85"/>
      <x:c r="R510" s="86"/>
      <x:c r="S510" s="32"/>
    </x:row>
    <x:row r="511">
      <x:c r="A511" s="87"/>
      <x:c r="D511" s="32"/>
      <x:c r="I511" s="74"/>
      <x:c r="J511" s="74"/>
      <x:c r="K511" s="74"/>
      <x:c r="L511" s="91"/>
      <x:c r="M511" s="91"/>
      <x:c r="N511" s="91"/>
      <x:c r="O511" s="91"/>
      <x:c r="P511" s="85"/>
      <x:c r="R511" s="86"/>
      <x:c r="S511" s="32"/>
    </x:row>
    <x:row r="512">
      <x:c r="A512" s="87"/>
      <x:c r="D512" s="32"/>
      <x:c r="I512" s="74"/>
      <x:c r="J512" s="74"/>
      <x:c r="K512" s="74"/>
      <x:c r="L512" s="91"/>
      <x:c r="M512" s="91"/>
      <x:c r="N512" s="91"/>
      <x:c r="O512" s="91"/>
      <x:c r="P512" s="85"/>
      <x:c r="R512" s="86"/>
      <x:c r="S512" s="32"/>
    </x:row>
    <x:row r="513">
      <x:c r="A513" s="87"/>
      <x:c r="D513" s="32"/>
      <x:c r="I513" s="74"/>
      <x:c r="J513" s="74"/>
      <x:c r="K513" s="74"/>
      <x:c r="L513" s="91"/>
      <x:c r="M513" s="91"/>
      <x:c r="N513" s="91"/>
      <x:c r="O513" s="91"/>
      <x:c r="P513" s="85"/>
      <x:c r="R513" s="86"/>
      <x:c r="S513" s="32"/>
    </x:row>
    <x:row r="514">
      <x:c r="A514" s="87"/>
      <x:c r="D514" s="32"/>
      <x:c r="I514" s="74"/>
      <x:c r="J514" s="74"/>
      <x:c r="K514" s="74"/>
      <x:c r="L514" s="91"/>
      <x:c r="M514" s="91"/>
      <x:c r="N514" s="91"/>
      <x:c r="O514" s="91"/>
      <x:c r="P514" s="85"/>
      <x:c r="R514" s="86"/>
      <x:c r="S514" s="32"/>
    </x:row>
    <x:row r="515">
      <x:c r="A515" s="87"/>
      <x:c r="D515" s="32"/>
      <x:c r="I515" s="74"/>
      <x:c r="J515" s="74"/>
      <x:c r="K515" s="74"/>
      <x:c r="L515" s="91"/>
      <x:c r="M515" s="91"/>
      <x:c r="N515" s="91"/>
      <x:c r="O515" s="91"/>
      <x:c r="P515" s="85"/>
      <x:c r="R515" s="86"/>
      <x:c r="S515" s="32"/>
    </x:row>
    <x:row r="516">
      <x:c r="A516" s="87"/>
      <x:c r="D516" s="32"/>
      <x:c r="I516" s="74"/>
      <x:c r="J516" s="74"/>
      <x:c r="K516" s="74"/>
      <x:c r="L516" s="91"/>
      <x:c r="M516" s="91"/>
      <x:c r="N516" s="91"/>
      <x:c r="O516" s="91"/>
      <x:c r="P516" s="85"/>
      <x:c r="R516" s="86"/>
      <x:c r="S516" s="32"/>
    </x:row>
    <x:row r="517">
      <x:c r="A517" s="87"/>
      <x:c r="D517" s="32"/>
      <x:c r="I517" s="74"/>
      <x:c r="J517" s="74"/>
      <x:c r="K517" s="74"/>
      <x:c r="L517" s="91"/>
      <x:c r="M517" s="91"/>
      <x:c r="N517" s="91"/>
      <x:c r="O517" s="91"/>
      <x:c r="P517" s="85"/>
      <x:c r="R517" s="86"/>
      <x:c r="S517" s="32"/>
    </x:row>
    <x:row r="518">
      <x:c r="A518" s="87"/>
      <x:c r="D518" s="32"/>
      <x:c r="I518" s="74"/>
      <x:c r="J518" s="74"/>
      <x:c r="K518" s="74"/>
      <x:c r="L518" s="91"/>
      <x:c r="M518" s="91"/>
      <x:c r="N518" s="91"/>
      <x:c r="O518" s="91"/>
      <x:c r="P518" s="85"/>
      <x:c r="R518" s="86"/>
      <x:c r="S518" s="32"/>
    </x:row>
    <x:row r="519">
      <x:c r="A519" s="87"/>
      <x:c r="D519" s="32"/>
      <x:c r="I519" s="74"/>
      <x:c r="J519" s="74"/>
      <x:c r="K519" s="74"/>
      <x:c r="L519" s="91"/>
      <x:c r="M519" s="91"/>
      <x:c r="N519" s="91"/>
      <x:c r="O519" s="91"/>
      <x:c r="P519" s="85"/>
      <x:c r="R519" s="86"/>
      <x:c r="S519" s="32"/>
    </x:row>
    <x:row r="520">
      <x:c r="A520" s="87"/>
      <x:c r="D520" s="32"/>
      <x:c r="I520" s="74"/>
      <x:c r="J520" s="74"/>
      <x:c r="K520" s="74"/>
      <x:c r="L520" s="91"/>
      <x:c r="M520" s="91"/>
      <x:c r="N520" s="91"/>
      <x:c r="O520" s="91"/>
      <x:c r="P520" s="85"/>
      <x:c r="R520" s="86"/>
      <x:c r="S520" s="32"/>
    </x:row>
    <x:row r="521">
      <x:c r="A521" s="87"/>
      <x:c r="D521" s="32"/>
      <x:c r="I521" s="74"/>
      <x:c r="J521" s="74"/>
      <x:c r="K521" s="74"/>
      <x:c r="L521" s="91"/>
      <x:c r="M521" s="91"/>
      <x:c r="N521" s="91"/>
      <x:c r="O521" s="91"/>
      <x:c r="P521" s="85"/>
      <x:c r="R521" s="86"/>
      <x:c r="S521" s="32"/>
    </x:row>
    <x:row r="522">
      <x:c r="A522" s="87"/>
      <x:c r="D522" s="32"/>
      <x:c r="I522" s="74"/>
      <x:c r="J522" s="74"/>
      <x:c r="K522" s="74"/>
      <x:c r="L522" s="91"/>
      <x:c r="M522" s="91"/>
      <x:c r="N522" s="91"/>
      <x:c r="O522" s="91"/>
      <x:c r="P522" s="85"/>
      <x:c r="R522" s="86"/>
      <x:c r="S522" s="32"/>
    </x:row>
    <x:row r="523">
      <x:c r="A523" s="87"/>
      <x:c r="D523" s="32"/>
      <x:c r="I523" s="74"/>
      <x:c r="J523" s="74"/>
      <x:c r="K523" s="74"/>
      <x:c r="L523" s="91"/>
      <x:c r="M523" s="91"/>
      <x:c r="N523" s="91"/>
      <x:c r="O523" s="91"/>
      <x:c r="P523" s="85"/>
      <x:c r="R523" s="86"/>
      <x:c r="S523" s="32"/>
    </x:row>
    <x:row r="524">
      <x:c r="A524" s="87"/>
      <x:c r="D524" s="32"/>
      <x:c r="I524" s="74"/>
      <x:c r="J524" s="74"/>
      <x:c r="K524" s="74"/>
      <x:c r="L524" s="91"/>
      <x:c r="M524" s="91"/>
      <x:c r="N524" s="91"/>
      <x:c r="O524" s="91"/>
      <x:c r="P524" s="85"/>
      <x:c r="R524" s="86"/>
      <x:c r="S524" s="32"/>
    </x:row>
    <x:row r="525">
      <x:c r="A525" s="87"/>
      <x:c r="D525" s="32"/>
      <x:c r="I525" s="74"/>
      <x:c r="J525" s="74"/>
      <x:c r="K525" s="74"/>
      <x:c r="L525" s="91"/>
      <x:c r="M525" s="91"/>
      <x:c r="N525" s="91"/>
      <x:c r="O525" s="91"/>
      <x:c r="P525" s="85"/>
      <x:c r="R525" s="86"/>
      <x:c r="S525" s="32"/>
    </x:row>
    <x:row r="526">
      <x:c r="A526" s="87"/>
      <x:c r="D526" s="32"/>
      <x:c r="I526" s="74"/>
      <x:c r="J526" s="74"/>
      <x:c r="K526" s="74"/>
      <x:c r="L526" s="91"/>
      <x:c r="M526" s="91"/>
      <x:c r="N526" s="91"/>
      <x:c r="O526" s="91"/>
      <x:c r="P526" s="85"/>
      <x:c r="R526" s="86"/>
      <x:c r="S526" s="32"/>
    </x:row>
    <x:row r="527">
      <x:c r="A527" s="87"/>
      <x:c r="D527" s="32"/>
      <x:c r="I527" s="74"/>
      <x:c r="J527" s="74"/>
      <x:c r="K527" s="74"/>
      <x:c r="L527" s="91"/>
      <x:c r="M527" s="91"/>
      <x:c r="N527" s="91"/>
      <x:c r="O527" s="91"/>
      <x:c r="P527" s="85"/>
      <x:c r="R527" s="86"/>
      <x:c r="S527" s="32"/>
    </x:row>
    <x:row r="528">
      <x:c r="A528" s="87"/>
      <x:c r="D528" s="32"/>
      <x:c r="I528" s="74"/>
      <x:c r="J528" s="74"/>
      <x:c r="K528" s="74"/>
      <x:c r="L528" s="91"/>
      <x:c r="M528" s="91"/>
      <x:c r="N528" s="91"/>
      <x:c r="O528" s="91"/>
      <x:c r="P528" s="85"/>
      <x:c r="R528" s="86"/>
      <x:c r="S528" s="32"/>
    </x:row>
    <x:row r="529">
      <x:c r="A529" s="87"/>
      <x:c r="D529" s="32"/>
      <x:c r="I529" s="74"/>
      <x:c r="J529" s="74"/>
      <x:c r="K529" s="74"/>
      <x:c r="L529" s="91"/>
      <x:c r="M529" s="91"/>
      <x:c r="N529" s="91"/>
      <x:c r="O529" s="91"/>
      <x:c r="P529" s="85"/>
      <x:c r="R529" s="86"/>
      <x:c r="S529" s="32"/>
    </x:row>
    <x:row r="530">
      <x:c r="A530" s="87"/>
      <x:c r="D530" s="32"/>
      <x:c r="I530" s="74"/>
      <x:c r="J530" s="74"/>
      <x:c r="K530" s="74"/>
      <x:c r="L530" s="91"/>
      <x:c r="M530" s="91"/>
      <x:c r="N530" s="91"/>
      <x:c r="O530" s="91"/>
      <x:c r="P530" s="85"/>
      <x:c r="R530" s="86"/>
      <x:c r="S530" s="32"/>
    </x:row>
    <x:row r="531">
      <x:c r="A531" s="87"/>
      <x:c r="D531" s="32"/>
      <x:c r="I531" s="74"/>
      <x:c r="J531" s="74"/>
      <x:c r="K531" s="74"/>
      <x:c r="L531" s="91"/>
      <x:c r="M531" s="91"/>
      <x:c r="N531" s="91"/>
      <x:c r="O531" s="91"/>
      <x:c r="P531" s="85"/>
      <x:c r="R531" s="86"/>
      <x:c r="S531" s="32"/>
    </x:row>
    <x:row r="532">
      <x:c r="A532" s="87"/>
      <x:c r="D532" s="32"/>
      <x:c r="I532" s="74"/>
      <x:c r="J532" s="74"/>
      <x:c r="K532" s="74"/>
      <x:c r="L532" s="91"/>
      <x:c r="M532" s="91"/>
      <x:c r="N532" s="91"/>
      <x:c r="O532" s="91"/>
      <x:c r="P532" s="85"/>
      <x:c r="R532" s="86"/>
      <x:c r="S532" s="32"/>
    </x:row>
    <x:row r="533">
      <x:c r="A533" s="87"/>
      <x:c r="D533" s="32"/>
      <x:c r="I533" s="74"/>
      <x:c r="J533" s="74"/>
      <x:c r="K533" s="74"/>
      <x:c r="L533" s="91"/>
      <x:c r="M533" s="91"/>
      <x:c r="N533" s="91"/>
      <x:c r="O533" s="91"/>
      <x:c r="P533" s="85"/>
      <x:c r="R533" s="86"/>
      <x:c r="S533" s="32"/>
    </x:row>
    <x:row r="534">
      <x:c r="A534" s="87"/>
      <x:c r="D534" s="32"/>
      <x:c r="I534" s="74"/>
      <x:c r="J534" s="74"/>
      <x:c r="K534" s="74"/>
      <x:c r="L534" s="91"/>
      <x:c r="M534" s="91"/>
      <x:c r="N534" s="91"/>
      <x:c r="O534" s="91"/>
      <x:c r="P534" s="85"/>
      <x:c r="R534" s="86"/>
      <x:c r="S534" s="32"/>
    </x:row>
    <x:row r="535">
      <x:c r="A535" s="87"/>
      <x:c r="D535" s="32"/>
      <x:c r="I535" s="74"/>
      <x:c r="J535" s="74"/>
      <x:c r="K535" s="74"/>
      <x:c r="L535" s="91"/>
      <x:c r="M535" s="91"/>
      <x:c r="N535" s="91"/>
      <x:c r="O535" s="91"/>
      <x:c r="P535" s="85"/>
      <x:c r="R535" s="86"/>
      <x:c r="S535" s="32"/>
    </x:row>
    <x:row r="536">
      <x:c r="A536" s="87"/>
      <x:c r="D536" s="32"/>
      <x:c r="I536" s="74"/>
      <x:c r="J536" s="74"/>
      <x:c r="K536" s="74"/>
      <x:c r="L536" s="91"/>
      <x:c r="M536" s="91"/>
      <x:c r="N536" s="91"/>
      <x:c r="O536" s="91"/>
      <x:c r="P536" s="85"/>
      <x:c r="R536" s="86"/>
      <x:c r="S536" s="32"/>
    </x:row>
    <x:row r="537">
      <x:c r="A537" s="87"/>
      <x:c r="D537" s="32"/>
      <x:c r="I537" s="74"/>
      <x:c r="J537" s="74"/>
      <x:c r="K537" s="74"/>
      <x:c r="L537" s="91"/>
      <x:c r="M537" s="91"/>
      <x:c r="N537" s="91"/>
      <x:c r="O537" s="91"/>
      <x:c r="P537" s="85"/>
      <x:c r="R537" s="86"/>
      <x:c r="S537" s="32"/>
    </x:row>
    <x:row r="538">
      <x:c r="A538" s="87"/>
      <x:c r="D538" s="32"/>
      <x:c r="I538" s="74"/>
      <x:c r="J538" s="74"/>
      <x:c r="K538" s="74"/>
      <x:c r="L538" s="91"/>
      <x:c r="M538" s="91"/>
      <x:c r="N538" s="91"/>
      <x:c r="O538" s="91"/>
      <x:c r="P538" s="85"/>
      <x:c r="R538" s="86"/>
      <x:c r="S538" s="32"/>
    </x:row>
    <x:row r="539">
      <x:c r="A539" s="87"/>
      <x:c r="D539" s="32"/>
      <x:c r="I539" s="74"/>
      <x:c r="J539" s="74"/>
      <x:c r="K539" s="74"/>
      <x:c r="L539" s="91"/>
      <x:c r="M539" s="91"/>
      <x:c r="N539" s="91"/>
      <x:c r="O539" s="91"/>
      <x:c r="P539" s="85"/>
      <x:c r="R539" s="86"/>
      <x:c r="S539" s="32"/>
    </x:row>
    <x:row r="540">
      <x:c r="A540" s="87"/>
      <x:c r="D540" s="32"/>
      <x:c r="I540" s="74"/>
      <x:c r="J540" s="74"/>
      <x:c r="K540" s="74"/>
      <x:c r="L540" s="91"/>
      <x:c r="M540" s="91"/>
      <x:c r="N540" s="91"/>
      <x:c r="O540" s="91"/>
      <x:c r="P540" s="85"/>
      <x:c r="R540" s="86"/>
      <x:c r="S540" s="32"/>
    </x:row>
    <x:row r="541">
      <x:c r="A541" s="87"/>
      <x:c r="D541" s="32"/>
      <x:c r="I541" s="74"/>
      <x:c r="J541" s="74"/>
      <x:c r="K541" s="74"/>
      <x:c r="L541" s="91"/>
      <x:c r="M541" s="91"/>
      <x:c r="N541" s="91"/>
      <x:c r="O541" s="91"/>
      <x:c r="P541" s="85"/>
      <x:c r="R541" s="86"/>
      <x:c r="S541" s="32"/>
    </x:row>
    <x:row r="542">
      <x:c r="A542" s="87"/>
      <x:c r="D542" s="32"/>
      <x:c r="I542" s="74"/>
      <x:c r="J542" s="74"/>
      <x:c r="K542" s="74"/>
      <x:c r="L542" s="91"/>
      <x:c r="M542" s="91"/>
      <x:c r="N542" s="91"/>
      <x:c r="O542" s="91"/>
      <x:c r="P542" s="85"/>
      <x:c r="R542" s="86"/>
      <x:c r="S542" s="32"/>
    </x:row>
    <x:row r="543">
      <x:c r="A543" s="87"/>
      <x:c r="D543" s="32"/>
      <x:c r="I543" s="74"/>
      <x:c r="J543" s="74"/>
      <x:c r="K543" s="74"/>
      <x:c r="L543" s="91"/>
      <x:c r="M543" s="91"/>
      <x:c r="N543" s="91"/>
      <x:c r="O543" s="91"/>
      <x:c r="P543" s="85"/>
      <x:c r="R543" s="86"/>
      <x:c r="S543" s="32"/>
    </x:row>
    <x:row r="544">
      <x:c r="A544" s="87"/>
      <x:c r="D544" s="32"/>
      <x:c r="I544" s="74"/>
      <x:c r="J544" s="74"/>
      <x:c r="K544" s="74"/>
      <x:c r="L544" s="91"/>
      <x:c r="M544" s="91"/>
      <x:c r="N544" s="91"/>
      <x:c r="O544" s="91"/>
      <x:c r="P544" s="85"/>
      <x:c r="R544" s="86"/>
      <x:c r="S544" s="32"/>
    </x:row>
    <x:row r="545">
      <x:c r="A545" s="87"/>
      <x:c r="D545" s="32"/>
      <x:c r="I545" s="74"/>
      <x:c r="J545" s="74"/>
      <x:c r="K545" s="74"/>
      <x:c r="L545" s="91"/>
      <x:c r="M545" s="91"/>
      <x:c r="N545" s="91"/>
      <x:c r="O545" s="91"/>
      <x:c r="P545" s="85"/>
      <x:c r="R545" s="86"/>
      <x:c r="S545" s="32"/>
    </x:row>
    <x:row r="546">
      <x:c r="A546" s="87"/>
      <x:c r="D546" s="32"/>
      <x:c r="I546" s="74"/>
      <x:c r="J546" s="74"/>
      <x:c r="K546" s="74"/>
      <x:c r="L546" s="91"/>
      <x:c r="M546" s="91"/>
      <x:c r="N546" s="91"/>
      <x:c r="O546" s="91"/>
      <x:c r="P546" s="85"/>
      <x:c r="R546" s="86"/>
      <x:c r="S546" s="32"/>
    </x:row>
    <x:row r="547">
      <x:c r="A547" s="87"/>
      <x:c r="D547" s="32"/>
      <x:c r="I547" s="74"/>
      <x:c r="J547" s="74"/>
      <x:c r="K547" s="74"/>
      <x:c r="L547" s="91"/>
      <x:c r="M547" s="91"/>
      <x:c r="N547" s="91"/>
      <x:c r="O547" s="91"/>
      <x:c r="P547" s="85"/>
      <x:c r="R547" s="86"/>
      <x:c r="S547" s="32"/>
    </x:row>
    <x:row r="548">
      <x:c r="A548" s="87"/>
      <x:c r="D548" s="32"/>
      <x:c r="I548" s="74"/>
      <x:c r="J548" s="74"/>
      <x:c r="K548" s="74"/>
      <x:c r="L548" s="91"/>
      <x:c r="M548" s="91"/>
      <x:c r="N548" s="91"/>
      <x:c r="O548" s="91"/>
      <x:c r="P548" s="85"/>
      <x:c r="R548" s="86"/>
      <x:c r="S548" s="32"/>
    </x:row>
    <x:row r="549">
      <x:c r="A549" s="87"/>
      <x:c r="D549" s="32"/>
      <x:c r="I549" s="74"/>
      <x:c r="J549" s="74"/>
      <x:c r="K549" s="74"/>
      <x:c r="L549" s="91"/>
      <x:c r="M549" s="91"/>
      <x:c r="N549" s="91"/>
      <x:c r="O549" s="91"/>
      <x:c r="P549" s="85"/>
      <x:c r="R549" s="86"/>
      <x:c r="S549" s="32"/>
    </x:row>
    <x:row r="550">
      <x:c r="A550" s="87"/>
      <x:c r="D550" s="32"/>
      <x:c r="I550" s="74"/>
      <x:c r="J550" s="74"/>
      <x:c r="K550" s="74"/>
      <x:c r="L550" s="91"/>
      <x:c r="M550" s="91"/>
      <x:c r="N550" s="91"/>
      <x:c r="O550" s="91"/>
      <x:c r="P550" s="85"/>
      <x:c r="R550" s="86"/>
      <x:c r="S550" s="32"/>
    </x:row>
    <x:row r="551">
      <x:c r="A551" s="87"/>
      <x:c r="D551" s="32"/>
      <x:c r="I551" s="74"/>
      <x:c r="J551" s="74"/>
      <x:c r="K551" s="74"/>
      <x:c r="L551" s="91"/>
      <x:c r="M551" s="91"/>
      <x:c r="N551" s="91"/>
      <x:c r="O551" s="91"/>
      <x:c r="P551" s="85"/>
      <x:c r="R551" s="86"/>
      <x:c r="S551" s="32"/>
    </x:row>
    <x:row r="552">
      <x:c r="A552" s="87"/>
      <x:c r="D552" s="32"/>
      <x:c r="I552" s="74"/>
      <x:c r="J552" s="74"/>
      <x:c r="K552" s="74"/>
      <x:c r="L552" s="91"/>
      <x:c r="M552" s="91"/>
      <x:c r="N552" s="91"/>
      <x:c r="O552" s="91"/>
      <x:c r="P552" s="85"/>
      <x:c r="R552" s="86"/>
      <x:c r="S552" s="32"/>
    </x:row>
    <x:row r="553">
      <x:c r="A553" s="87"/>
      <x:c r="D553" s="32"/>
      <x:c r="I553" s="74"/>
      <x:c r="J553" s="74"/>
      <x:c r="K553" s="74"/>
      <x:c r="L553" s="91"/>
      <x:c r="M553" s="91"/>
      <x:c r="N553" s="91"/>
      <x:c r="O553" s="91"/>
      <x:c r="P553" s="85"/>
      <x:c r="R553" s="86"/>
      <x:c r="S553" s="32"/>
    </x:row>
    <x:row r="554">
      <x:c r="A554" s="87"/>
      <x:c r="D554" s="32"/>
      <x:c r="I554" s="74"/>
      <x:c r="J554" s="74"/>
      <x:c r="K554" s="74"/>
      <x:c r="L554" s="91"/>
      <x:c r="M554" s="91"/>
      <x:c r="N554" s="91"/>
      <x:c r="O554" s="91"/>
      <x:c r="P554" s="85"/>
      <x:c r="R554" s="86"/>
      <x:c r="S554" s="32"/>
    </x:row>
    <x:row r="555">
      <x:c r="A555" s="87"/>
      <x:c r="D555" s="32"/>
      <x:c r="I555" s="74"/>
      <x:c r="J555" s="74"/>
      <x:c r="K555" s="74"/>
      <x:c r="L555" s="91"/>
      <x:c r="M555" s="91"/>
      <x:c r="N555" s="91"/>
      <x:c r="O555" s="91"/>
      <x:c r="P555" s="85"/>
      <x:c r="R555" s="86"/>
      <x:c r="S555" s="32"/>
    </x:row>
    <x:row r="556">
      <x:c r="A556" s="87"/>
      <x:c r="D556" s="32"/>
      <x:c r="I556" s="74"/>
      <x:c r="J556" s="74"/>
      <x:c r="K556" s="74"/>
      <x:c r="L556" s="91"/>
      <x:c r="M556" s="91"/>
      <x:c r="N556" s="91"/>
      <x:c r="O556" s="91"/>
      <x:c r="P556" s="85"/>
      <x:c r="R556" s="86"/>
      <x:c r="S556" s="32"/>
    </x:row>
    <x:row r="557">
      <x:c r="A557" s="87"/>
      <x:c r="D557" s="32"/>
      <x:c r="I557" s="74"/>
      <x:c r="J557" s="74"/>
      <x:c r="K557" s="74"/>
      <x:c r="L557" s="91"/>
      <x:c r="M557" s="91"/>
      <x:c r="N557" s="91"/>
      <x:c r="O557" s="91"/>
      <x:c r="P557" s="85"/>
      <x:c r="R557" s="86"/>
      <x:c r="S557" s="32"/>
    </x:row>
    <x:row r="558">
      <x:c r="A558" s="87"/>
      <x:c r="D558" s="32"/>
      <x:c r="I558" s="74"/>
      <x:c r="J558" s="74"/>
      <x:c r="K558" s="74"/>
      <x:c r="L558" s="91"/>
      <x:c r="M558" s="91"/>
      <x:c r="N558" s="91"/>
      <x:c r="O558" s="91"/>
      <x:c r="P558" s="85"/>
      <x:c r="R558" s="86"/>
      <x:c r="S558" s="32"/>
    </x:row>
    <x:row r="559">
      <x:c r="A559" s="87"/>
      <x:c r="D559" s="32"/>
      <x:c r="I559" s="74"/>
      <x:c r="J559" s="74"/>
      <x:c r="K559" s="74"/>
      <x:c r="L559" s="91"/>
      <x:c r="M559" s="91"/>
      <x:c r="N559" s="91"/>
      <x:c r="O559" s="91"/>
      <x:c r="P559" s="85"/>
      <x:c r="R559" s="86"/>
      <x:c r="S559" s="32"/>
    </x:row>
    <x:row r="560">
      <x:c r="A560" s="87"/>
      <x:c r="D560" s="32"/>
      <x:c r="I560" s="74"/>
      <x:c r="J560" s="74"/>
      <x:c r="K560" s="74"/>
      <x:c r="L560" s="91"/>
      <x:c r="M560" s="91"/>
      <x:c r="N560" s="91"/>
      <x:c r="O560" s="91"/>
      <x:c r="P560" s="85"/>
      <x:c r="R560" s="86"/>
      <x:c r="S560" s="32"/>
    </x:row>
    <x:row r="561">
      <x:c r="A561" s="87"/>
      <x:c r="D561" s="32"/>
      <x:c r="I561" s="74"/>
      <x:c r="J561" s="74"/>
      <x:c r="K561" s="74"/>
      <x:c r="L561" s="91"/>
      <x:c r="M561" s="91"/>
      <x:c r="N561" s="91"/>
      <x:c r="O561" s="91"/>
      <x:c r="P561" s="85"/>
      <x:c r="R561" s="86"/>
      <x:c r="S561" s="32"/>
    </x:row>
    <x:row r="562">
      <x:c r="A562" s="87"/>
      <x:c r="D562" s="32"/>
      <x:c r="I562" s="74"/>
      <x:c r="J562" s="74"/>
      <x:c r="K562" s="74"/>
      <x:c r="L562" s="91"/>
      <x:c r="M562" s="91"/>
      <x:c r="N562" s="91"/>
      <x:c r="O562" s="91"/>
      <x:c r="P562" s="85"/>
      <x:c r="R562" s="86"/>
      <x:c r="S562" s="32"/>
    </x:row>
    <x:row r="563">
      <x:c r="A563" s="87"/>
      <x:c r="D563" s="32"/>
      <x:c r="I563" s="74"/>
      <x:c r="J563" s="74"/>
      <x:c r="K563" s="74"/>
      <x:c r="L563" s="91"/>
      <x:c r="M563" s="91"/>
      <x:c r="N563" s="91"/>
      <x:c r="O563" s="91"/>
      <x:c r="P563" s="85"/>
      <x:c r="R563" s="86"/>
      <x:c r="S563" s="32"/>
    </x:row>
    <x:row r="564">
      <x:c r="A564" s="87"/>
      <x:c r="D564" s="32"/>
      <x:c r="I564" s="74"/>
      <x:c r="J564" s="74"/>
      <x:c r="K564" s="74"/>
      <x:c r="L564" s="91"/>
      <x:c r="M564" s="91"/>
      <x:c r="N564" s="91"/>
      <x:c r="O564" s="91"/>
      <x:c r="P564" s="85"/>
      <x:c r="R564" s="86"/>
      <x:c r="S564" s="32"/>
    </x:row>
    <x:row r="565">
      <x:c r="A565" s="87"/>
      <x:c r="D565" s="32"/>
      <x:c r="I565" s="74"/>
      <x:c r="J565" s="74"/>
      <x:c r="K565" s="74"/>
      <x:c r="L565" s="91"/>
      <x:c r="M565" s="91"/>
      <x:c r="N565" s="91"/>
      <x:c r="O565" s="91"/>
      <x:c r="P565" s="85"/>
      <x:c r="R565" s="86"/>
      <x:c r="S565" s="32"/>
    </x:row>
    <x:row r="566">
      <x:c r="A566" s="87"/>
      <x:c r="D566" s="32"/>
      <x:c r="I566" s="74"/>
      <x:c r="J566" s="74"/>
      <x:c r="K566" s="74"/>
      <x:c r="L566" s="91"/>
      <x:c r="M566" s="91"/>
      <x:c r="N566" s="91"/>
      <x:c r="O566" s="91"/>
      <x:c r="P566" s="85"/>
      <x:c r="R566" s="86"/>
      <x:c r="S566" s="32"/>
    </x:row>
    <x:row r="567">
      <x:c r="A567" s="87"/>
      <x:c r="D567" s="32"/>
      <x:c r="I567" s="74"/>
      <x:c r="J567" s="74"/>
      <x:c r="K567" s="74"/>
      <x:c r="L567" s="91"/>
      <x:c r="M567" s="91"/>
      <x:c r="N567" s="91"/>
      <x:c r="O567" s="91"/>
      <x:c r="P567" s="85"/>
      <x:c r="R567" s="86"/>
      <x:c r="S567" s="32"/>
    </x:row>
    <x:row r="568">
      <x:c r="A568" s="87"/>
      <x:c r="D568" s="32"/>
      <x:c r="I568" s="74"/>
      <x:c r="J568" s="74"/>
      <x:c r="K568" s="74"/>
      <x:c r="L568" s="91"/>
      <x:c r="M568" s="91"/>
      <x:c r="N568" s="91"/>
      <x:c r="O568" s="91"/>
      <x:c r="P568" s="85"/>
      <x:c r="R568" s="86"/>
      <x:c r="S568" s="32"/>
    </x:row>
    <x:row r="569">
      <x:c r="A569" s="87"/>
      <x:c r="D569" s="32"/>
      <x:c r="I569" s="74"/>
      <x:c r="J569" s="74"/>
      <x:c r="K569" s="74"/>
      <x:c r="L569" s="91"/>
      <x:c r="M569" s="91"/>
      <x:c r="N569" s="91"/>
      <x:c r="O569" s="91"/>
      <x:c r="P569" s="85"/>
      <x:c r="R569" s="86"/>
      <x:c r="S569" s="32"/>
    </x:row>
    <x:row r="570">
      <x:c r="A570" s="87"/>
      <x:c r="D570" s="32"/>
      <x:c r="I570" s="74"/>
      <x:c r="J570" s="74"/>
      <x:c r="K570" s="74"/>
      <x:c r="L570" s="91"/>
      <x:c r="M570" s="91"/>
      <x:c r="N570" s="91"/>
      <x:c r="O570" s="91"/>
      <x:c r="P570" s="85"/>
      <x:c r="R570" s="86"/>
      <x:c r="S570" s="32"/>
    </x:row>
    <x:row r="571">
      <x:c r="A571" s="87"/>
      <x:c r="D571" s="32"/>
      <x:c r="I571" s="74"/>
      <x:c r="J571" s="74"/>
      <x:c r="K571" s="74"/>
      <x:c r="L571" s="91"/>
      <x:c r="M571" s="91"/>
      <x:c r="N571" s="91"/>
      <x:c r="O571" s="91"/>
      <x:c r="P571" s="85"/>
      <x:c r="R571" s="86"/>
      <x:c r="S571" s="32"/>
    </x:row>
    <x:row r="572">
      <x:c r="A572" s="87"/>
      <x:c r="D572" s="32"/>
      <x:c r="I572" s="74"/>
      <x:c r="J572" s="74"/>
      <x:c r="K572" s="74"/>
      <x:c r="L572" s="91"/>
      <x:c r="M572" s="91"/>
      <x:c r="N572" s="91"/>
      <x:c r="O572" s="91"/>
      <x:c r="P572" s="85"/>
      <x:c r="R572" s="86"/>
      <x:c r="S572" s="32"/>
    </x:row>
    <x:row r="573">
      <x:c r="A573" s="87"/>
      <x:c r="D573" s="32"/>
      <x:c r="I573" s="74"/>
      <x:c r="J573" s="74"/>
      <x:c r="K573" s="74"/>
      <x:c r="L573" s="91"/>
      <x:c r="M573" s="91"/>
      <x:c r="N573" s="91"/>
      <x:c r="O573" s="91"/>
      <x:c r="P573" s="85"/>
      <x:c r="R573" s="86"/>
      <x:c r="S573" s="32"/>
    </x:row>
    <x:row r="574">
      <x:c r="A574" s="87"/>
      <x:c r="D574" s="32"/>
      <x:c r="I574" s="74"/>
      <x:c r="J574" s="74"/>
      <x:c r="K574" s="74"/>
      <x:c r="L574" s="91"/>
      <x:c r="M574" s="91"/>
      <x:c r="N574" s="91"/>
      <x:c r="O574" s="91"/>
      <x:c r="P574" s="85"/>
      <x:c r="R574" s="86"/>
      <x:c r="S574" s="32"/>
    </x:row>
    <x:row r="575">
      <x:c r="A575" s="87"/>
      <x:c r="D575" s="32"/>
      <x:c r="I575" s="74"/>
      <x:c r="J575" s="74"/>
      <x:c r="K575" s="74"/>
      <x:c r="L575" s="91"/>
      <x:c r="M575" s="91"/>
      <x:c r="N575" s="91"/>
      <x:c r="O575" s="91"/>
      <x:c r="P575" s="85"/>
      <x:c r="R575" s="86"/>
      <x:c r="S575" s="32"/>
    </x:row>
    <x:row r="576">
      <x:c r="A576" s="87"/>
      <x:c r="D576" s="32"/>
      <x:c r="I576" s="74"/>
      <x:c r="J576" s="74"/>
      <x:c r="K576" s="74"/>
      <x:c r="L576" s="91"/>
      <x:c r="M576" s="91"/>
      <x:c r="N576" s="91"/>
      <x:c r="O576" s="91"/>
      <x:c r="P576" s="85"/>
      <x:c r="R576" s="86"/>
      <x:c r="S576" s="32"/>
    </x:row>
    <x:row r="577">
      <x:c r="A577" s="87"/>
      <x:c r="D577" s="32"/>
      <x:c r="I577" s="74"/>
      <x:c r="J577" s="74"/>
      <x:c r="K577" s="74"/>
      <x:c r="L577" s="91"/>
      <x:c r="M577" s="91"/>
      <x:c r="N577" s="91"/>
      <x:c r="O577" s="91"/>
      <x:c r="P577" s="85"/>
      <x:c r="R577" s="86"/>
      <x:c r="S577" s="32"/>
    </x:row>
    <x:row r="578">
      <x:c r="A578" s="87"/>
      <x:c r="D578" s="32"/>
      <x:c r="I578" s="74"/>
      <x:c r="J578" s="74"/>
      <x:c r="K578" s="74"/>
      <x:c r="L578" s="91"/>
      <x:c r="M578" s="91"/>
      <x:c r="N578" s="91"/>
      <x:c r="O578" s="91"/>
      <x:c r="P578" s="85"/>
      <x:c r="R578" s="86"/>
      <x:c r="S578" s="32"/>
    </x:row>
    <x:row r="579">
      <x:c r="A579" s="87"/>
      <x:c r="D579" s="32"/>
      <x:c r="I579" s="74"/>
      <x:c r="J579" s="74"/>
      <x:c r="K579" s="74"/>
      <x:c r="L579" s="91"/>
      <x:c r="M579" s="91"/>
      <x:c r="N579" s="91"/>
      <x:c r="O579" s="91"/>
      <x:c r="P579" s="85"/>
      <x:c r="R579" s="86"/>
      <x:c r="S579" s="32"/>
    </x:row>
    <x:row r="580">
      <x:c r="A580" s="87"/>
      <x:c r="D580" s="32"/>
      <x:c r="I580" s="74"/>
      <x:c r="J580" s="74"/>
      <x:c r="K580" s="74"/>
      <x:c r="L580" s="91"/>
      <x:c r="M580" s="91"/>
      <x:c r="N580" s="91"/>
      <x:c r="O580" s="91"/>
      <x:c r="P580" s="85"/>
      <x:c r="R580" s="86"/>
      <x:c r="S580" s="32"/>
    </x:row>
    <x:row r="581">
      <x:c r="A581" s="87"/>
      <x:c r="D581" s="32"/>
      <x:c r="I581" s="74"/>
      <x:c r="J581" s="74"/>
      <x:c r="K581" s="74"/>
      <x:c r="L581" s="91"/>
      <x:c r="M581" s="91"/>
      <x:c r="N581" s="91"/>
      <x:c r="O581" s="91"/>
      <x:c r="P581" s="85"/>
      <x:c r="R581" s="86"/>
      <x:c r="S581" s="32"/>
    </x:row>
    <x:row r="582">
      <x:c r="A582" s="87"/>
      <x:c r="D582" s="32"/>
      <x:c r="I582" s="74"/>
      <x:c r="J582" s="74"/>
      <x:c r="K582" s="74"/>
      <x:c r="L582" s="91"/>
      <x:c r="M582" s="91"/>
      <x:c r="N582" s="91"/>
      <x:c r="O582" s="91"/>
      <x:c r="P582" s="85"/>
      <x:c r="R582" s="86"/>
      <x:c r="S582" s="32"/>
    </x:row>
    <x:row r="583">
      <x:c r="A583" s="87"/>
      <x:c r="D583" s="32"/>
      <x:c r="I583" s="74"/>
      <x:c r="J583" s="74"/>
      <x:c r="K583" s="74"/>
      <x:c r="L583" s="91"/>
      <x:c r="M583" s="91"/>
      <x:c r="N583" s="91"/>
      <x:c r="O583" s="91"/>
      <x:c r="P583" s="85"/>
      <x:c r="R583" s="86"/>
      <x:c r="S583" s="32"/>
    </x:row>
    <x:row r="584">
      <x:c r="A584" s="87"/>
      <x:c r="D584" s="32"/>
      <x:c r="I584" s="74"/>
      <x:c r="J584" s="74"/>
      <x:c r="K584" s="74"/>
      <x:c r="L584" s="91"/>
      <x:c r="M584" s="91"/>
      <x:c r="N584" s="91"/>
      <x:c r="O584" s="91"/>
      <x:c r="P584" s="85"/>
      <x:c r="R584" s="86"/>
      <x:c r="S584" s="32"/>
    </x:row>
    <x:row r="585">
      <x:c r="A585" s="87"/>
      <x:c r="D585" s="32"/>
      <x:c r="I585" s="74"/>
      <x:c r="J585" s="74"/>
      <x:c r="K585" s="74"/>
      <x:c r="L585" s="91"/>
      <x:c r="M585" s="91"/>
      <x:c r="N585" s="91"/>
      <x:c r="O585" s="91"/>
      <x:c r="P585" s="85"/>
      <x:c r="R585" s="86"/>
      <x:c r="S585" s="32"/>
    </x:row>
    <x:row r="586">
      <x:c r="A586" s="87"/>
      <x:c r="D586" s="32"/>
      <x:c r="I586" s="74"/>
      <x:c r="J586" s="74"/>
      <x:c r="K586" s="74"/>
      <x:c r="L586" s="91"/>
      <x:c r="M586" s="91"/>
      <x:c r="N586" s="91"/>
      <x:c r="O586" s="91"/>
      <x:c r="P586" s="85"/>
      <x:c r="R586" s="86"/>
      <x:c r="S586" s="32"/>
    </x:row>
    <x:row r="587">
      <x:c r="A587" s="87"/>
      <x:c r="D587" s="32"/>
      <x:c r="I587" s="74"/>
      <x:c r="J587" s="74"/>
      <x:c r="K587" s="74"/>
      <x:c r="L587" s="91"/>
      <x:c r="M587" s="91"/>
      <x:c r="N587" s="91"/>
      <x:c r="O587" s="91"/>
      <x:c r="P587" s="85"/>
      <x:c r="R587" s="86"/>
      <x:c r="S587" s="32"/>
    </x:row>
    <x:row r="588">
      <x:c r="A588" s="87"/>
      <x:c r="D588" s="32"/>
      <x:c r="I588" s="74"/>
      <x:c r="J588" s="74"/>
      <x:c r="K588" s="74"/>
      <x:c r="L588" s="91"/>
      <x:c r="M588" s="91"/>
      <x:c r="N588" s="91"/>
      <x:c r="O588" s="91"/>
      <x:c r="P588" s="85"/>
      <x:c r="R588" s="86"/>
      <x:c r="S588" s="32"/>
    </x:row>
    <x:row r="589">
      <x:c r="A589" s="87"/>
      <x:c r="D589" s="32"/>
      <x:c r="I589" s="74"/>
      <x:c r="J589" s="74"/>
      <x:c r="K589" s="74"/>
      <x:c r="L589" s="91"/>
      <x:c r="M589" s="91"/>
      <x:c r="N589" s="91"/>
      <x:c r="O589" s="91"/>
      <x:c r="P589" s="85"/>
      <x:c r="R589" s="86"/>
      <x:c r="S589" s="32"/>
    </x:row>
    <x:row r="590">
      <x:c r="A590" s="87"/>
      <x:c r="D590" s="32"/>
      <x:c r="I590" s="74"/>
      <x:c r="J590" s="74"/>
      <x:c r="K590" s="74"/>
      <x:c r="L590" s="91"/>
      <x:c r="M590" s="91"/>
      <x:c r="N590" s="91"/>
      <x:c r="O590" s="91"/>
      <x:c r="P590" s="85"/>
      <x:c r="R590" s="86"/>
      <x:c r="S590" s="32"/>
    </x:row>
    <x:row r="591">
      <x:c r="A591" s="87"/>
      <x:c r="D591" s="32"/>
      <x:c r="I591" s="74"/>
      <x:c r="J591" s="74"/>
      <x:c r="K591" s="74"/>
      <x:c r="L591" s="91"/>
      <x:c r="M591" s="91"/>
      <x:c r="N591" s="91"/>
      <x:c r="O591" s="91"/>
      <x:c r="P591" s="85"/>
      <x:c r="R591" s="86"/>
      <x:c r="S591" s="32"/>
    </x:row>
    <x:row r="592">
      <x:c r="A592" s="87"/>
      <x:c r="D592" s="32"/>
      <x:c r="I592" s="74"/>
      <x:c r="J592" s="74"/>
      <x:c r="K592" s="74"/>
      <x:c r="L592" s="91"/>
      <x:c r="M592" s="91"/>
      <x:c r="N592" s="91"/>
      <x:c r="O592" s="91"/>
      <x:c r="P592" s="85"/>
      <x:c r="R592" s="86"/>
      <x:c r="S592" s="32"/>
    </x:row>
    <x:row r="593">
      <x:c r="A593" s="87"/>
      <x:c r="D593" s="32"/>
      <x:c r="I593" s="74"/>
      <x:c r="J593" s="74"/>
      <x:c r="K593" s="74"/>
      <x:c r="L593" s="91"/>
      <x:c r="M593" s="91"/>
      <x:c r="N593" s="91"/>
      <x:c r="O593" s="91"/>
      <x:c r="P593" s="85"/>
      <x:c r="R593" s="86"/>
      <x:c r="S593" s="32"/>
    </x:row>
    <x:row r="594">
      <x:c r="A594" s="87"/>
      <x:c r="D594" s="32"/>
      <x:c r="I594" s="74"/>
      <x:c r="J594" s="74"/>
      <x:c r="K594" s="74"/>
      <x:c r="L594" s="91"/>
      <x:c r="M594" s="91"/>
      <x:c r="N594" s="91"/>
      <x:c r="O594" s="91"/>
      <x:c r="P594" s="85"/>
      <x:c r="R594" s="86"/>
      <x:c r="S594" s="32"/>
    </x:row>
    <x:row r="595">
      <x:c r="A595" s="87"/>
      <x:c r="D595" s="32"/>
      <x:c r="I595" s="74"/>
      <x:c r="J595" s="74"/>
      <x:c r="K595" s="74"/>
      <x:c r="L595" s="91"/>
      <x:c r="M595" s="91"/>
      <x:c r="N595" s="91"/>
      <x:c r="O595" s="91"/>
      <x:c r="P595" s="85"/>
      <x:c r="R595" s="86"/>
      <x:c r="S595" s="32"/>
    </x:row>
    <x:row r="596">
      <x:c r="A596" s="87"/>
      <x:c r="D596" s="32"/>
      <x:c r="I596" s="74"/>
      <x:c r="J596" s="74"/>
      <x:c r="K596" s="74"/>
      <x:c r="L596" s="91"/>
      <x:c r="M596" s="91"/>
      <x:c r="N596" s="91"/>
      <x:c r="O596" s="91"/>
      <x:c r="P596" s="85"/>
      <x:c r="R596" s="86"/>
      <x:c r="S596" s="32"/>
    </x:row>
    <x:row r="597">
      <x:c r="A597" s="87"/>
      <x:c r="D597" s="32"/>
      <x:c r="I597" s="74"/>
      <x:c r="J597" s="74"/>
      <x:c r="K597" s="74"/>
      <x:c r="L597" s="91"/>
      <x:c r="M597" s="91"/>
      <x:c r="N597" s="91"/>
      <x:c r="O597" s="91"/>
      <x:c r="P597" s="85"/>
      <x:c r="R597" s="86"/>
      <x:c r="S597" s="32"/>
    </x:row>
    <x:row r="598">
      <x:c r="A598" s="87"/>
      <x:c r="D598" s="32"/>
      <x:c r="I598" s="74"/>
      <x:c r="J598" s="74"/>
      <x:c r="K598" s="74"/>
      <x:c r="L598" s="91"/>
      <x:c r="M598" s="91"/>
      <x:c r="N598" s="91"/>
      <x:c r="O598" s="91"/>
      <x:c r="P598" s="85"/>
      <x:c r="R598" s="86"/>
      <x:c r="S598" s="32"/>
    </x:row>
    <x:row r="599">
      <x:c r="A599" s="87"/>
      <x:c r="D599" s="32"/>
      <x:c r="I599" s="74"/>
      <x:c r="J599" s="74"/>
      <x:c r="K599" s="74"/>
      <x:c r="L599" s="91"/>
      <x:c r="M599" s="91"/>
      <x:c r="N599" s="91"/>
      <x:c r="O599" s="91"/>
      <x:c r="P599" s="85"/>
      <x:c r="R599" s="86"/>
      <x:c r="S599" s="32"/>
    </x:row>
    <x:row r="600">
      <x:c r="A600" s="87"/>
      <x:c r="D600" s="32"/>
      <x:c r="I600" s="74"/>
      <x:c r="J600" s="74"/>
      <x:c r="K600" s="74"/>
      <x:c r="L600" s="91"/>
      <x:c r="M600" s="91"/>
      <x:c r="N600" s="91"/>
      <x:c r="O600" s="91"/>
      <x:c r="P600" s="85"/>
      <x:c r="R600" s="86"/>
      <x:c r="S600" s="32"/>
    </x:row>
    <x:row r="601">
      <x:c r="A601" s="87"/>
      <x:c r="D601" s="32"/>
      <x:c r="I601" s="74"/>
      <x:c r="J601" s="74"/>
      <x:c r="K601" s="74"/>
      <x:c r="L601" s="91"/>
      <x:c r="M601" s="91"/>
      <x:c r="N601" s="91"/>
      <x:c r="O601" s="91"/>
      <x:c r="P601" s="85"/>
      <x:c r="R601" s="86"/>
      <x:c r="S601" s="32"/>
    </x:row>
    <x:row r="602">
      <x:c r="A602" s="87"/>
      <x:c r="D602" s="32"/>
      <x:c r="I602" s="74"/>
      <x:c r="J602" s="74"/>
      <x:c r="K602" s="74"/>
      <x:c r="L602" s="91"/>
      <x:c r="M602" s="91"/>
      <x:c r="N602" s="91"/>
      <x:c r="O602" s="91"/>
      <x:c r="P602" s="85"/>
      <x:c r="R602" s="86"/>
      <x:c r="S602" s="32"/>
    </x:row>
    <x:row r="603">
      <x:c r="A603" s="87"/>
      <x:c r="D603" s="32"/>
      <x:c r="I603" s="74"/>
      <x:c r="J603" s="74"/>
      <x:c r="K603" s="74"/>
      <x:c r="L603" s="91"/>
      <x:c r="M603" s="91"/>
      <x:c r="N603" s="91"/>
      <x:c r="O603" s="91"/>
      <x:c r="P603" s="85"/>
      <x:c r="R603" s="86"/>
      <x:c r="S603" s="32"/>
    </x:row>
    <x:row r="604">
      <x:c r="A604" s="87"/>
      <x:c r="D604" s="32"/>
      <x:c r="I604" s="74"/>
      <x:c r="J604" s="74"/>
      <x:c r="K604" s="74"/>
      <x:c r="L604" s="91"/>
      <x:c r="M604" s="91"/>
      <x:c r="N604" s="91"/>
      <x:c r="O604" s="91"/>
      <x:c r="P604" s="85"/>
      <x:c r="R604" s="86"/>
      <x:c r="S604" s="32"/>
    </x:row>
    <x:row r="605">
      <x:c r="A605" s="87"/>
      <x:c r="D605" s="32"/>
      <x:c r="I605" s="74"/>
      <x:c r="J605" s="74"/>
      <x:c r="K605" s="74"/>
      <x:c r="L605" s="91"/>
      <x:c r="M605" s="91"/>
      <x:c r="N605" s="91"/>
      <x:c r="O605" s="91"/>
      <x:c r="P605" s="85"/>
      <x:c r="R605" s="86"/>
      <x:c r="S605" s="32"/>
    </x:row>
    <x:row r="606">
      <x:c r="A606" s="87"/>
      <x:c r="D606" s="32"/>
      <x:c r="I606" s="74"/>
      <x:c r="J606" s="74"/>
      <x:c r="K606" s="74"/>
      <x:c r="L606" s="91"/>
      <x:c r="M606" s="91"/>
      <x:c r="N606" s="91"/>
      <x:c r="O606" s="91"/>
      <x:c r="P606" s="85"/>
      <x:c r="R606" s="86"/>
      <x:c r="S606" s="32"/>
    </x:row>
    <x:row r="607">
      <x:c r="A607" s="87"/>
      <x:c r="D607" s="32"/>
      <x:c r="I607" s="74"/>
      <x:c r="J607" s="74"/>
      <x:c r="K607" s="74"/>
      <x:c r="L607" s="91"/>
      <x:c r="M607" s="91"/>
      <x:c r="N607" s="91"/>
      <x:c r="O607" s="91"/>
      <x:c r="P607" s="85"/>
      <x:c r="R607" s="86"/>
      <x:c r="S607" s="32"/>
    </x:row>
    <x:row r="608">
      <x:c r="A608" s="87"/>
      <x:c r="D608" s="32"/>
      <x:c r="I608" s="74"/>
      <x:c r="J608" s="74"/>
      <x:c r="K608" s="74"/>
      <x:c r="L608" s="91"/>
      <x:c r="M608" s="91"/>
      <x:c r="N608" s="91"/>
      <x:c r="O608" s="91"/>
      <x:c r="P608" s="85"/>
      <x:c r="R608" s="86"/>
      <x:c r="S608" s="32"/>
    </x:row>
    <x:row r="609">
      <x:c r="A609" s="87"/>
      <x:c r="D609" s="32"/>
      <x:c r="I609" s="74"/>
      <x:c r="J609" s="74"/>
      <x:c r="K609" s="74"/>
      <x:c r="L609" s="91"/>
      <x:c r="M609" s="91"/>
      <x:c r="N609" s="91"/>
      <x:c r="O609" s="91"/>
      <x:c r="P609" s="85"/>
      <x:c r="R609" s="86"/>
      <x:c r="S609" s="32"/>
    </x:row>
    <x:row r="610">
      <x:c r="A610" s="87"/>
      <x:c r="D610" s="32"/>
      <x:c r="I610" s="74"/>
      <x:c r="J610" s="74"/>
      <x:c r="K610" s="74"/>
      <x:c r="L610" s="91"/>
      <x:c r="M610" s="91"/>
      <x:c r="N610" s="91"/>
      <x:c r="O610" s="91"/>
      <x:c r="P610" s="85"/>
      <x:c r="R610" s="86"/>
      <x:c r="S610" s="32"/>
    </x:row>
    <x:row r="611">
      <x:c r="A611" s="87"/>
      <x:c r="D611" s="32"/>
      <x:c r="I611" s="74"/>
      <x:c r="J611" s="74"/>
      <x:c r="K611" s="74"/>
      <x:c r="L611" s="91"/>
      <x:c r="M611" s="91"/>
      <x:c r="N611" s="91"/>
      <x:c r="O611" s="91"/>
      <x:c r="P611" s="85"/>
      <x:c r="R611" s="86"/>
      <x:c r="S611" s="32"/>
    </x:row>
    <x:row r="612">
      <x:c r="A612" s="87"/>
      <x:c r="D612" s="32"/>
      <x:c r="I612" s="74"/>
      <x:c r="J612" s="74"/>
      <x:c r="K612" s="74"/>
      <x:c r="L612" s="91"/>
      <x:c r="M612" s="91"/>
      <x:c r="N612" s="91"/>
      <x:c r="O612" s="91"/>
      <x:c r="P612" s="85"/>
      <x:c r="R612" s="86"/>
      <x:c r="S612" s="32"/>
    </x:row>
    <x:row r="613">
      <x:c r="A613" s="87"/>
      <x:c r="D613" s="32"/>
      <x:c r="I613" s="74"/>
      <x:c r="J613" s="74"/>
      <x:c r="K613" s="74"/>
      <x:c r="L613" s="91"/>
      <x:c r="M613" s="91"/>
      <x:c r="N613" s="91"/>
      <x:c r="O613" s="91"/>
      <x:c r="P613" s="85"/>
      <x:c r="R613" s="86"/>
      <x:c r="S613" s="32"/>
    </x:row>
    <x:row r="614">
      <x:c r="A614" s="87"/>
      <x:c r="D614" s="32"/>
      <x:c r="I614" s="74"/>
      <x:c r="J614" s="74"/>
      <x:c r="K614" s="74"/>
      <x:c r="L614" s="91"/>
      <x:c r="M614" s="91"/>
      <x:c r="N614" s="91"/>
      <x:c r="O614" s="91"/>
      <x:c r="P614" s="85"/>
      <x:c r="R614" s="86"/>
      <x:c r="S614" s="32"/>
    </x:row>
    <x:row r="615">
      <x:c r="A615" s="87"/>
      <x:c r="D615" s="32"/>
      <x:c r="I615" s="74"/>
      <x:c r="J615" s="74"/>
      <x:c r="K615" s="74"/>
      <x:c r="L615" s="91"/>
      <x:c r="M615" s="91"/>
      <x:c r="N615" s="91"/>
      <x:c r="O615" s="91"/>
      <x:c r="P615" s="85"/>
      <x:c r="R615" s="86"/>
      <x:c r="S615" s="32"/>
    </x:row>
    <x:row r="616">
      <x:c r="A616" s="87"/>
      <x:c r="D616" s="32"/>
      <x:c r="I616" s="74"/>
      <x:c r="J616" s="74"/>
      <x:c r="K616" s="74"/>
      <x:c r="L616" s="91"/>
      <x:c r="M616" s="91"/>
      <x:c r="N616" s="91"/>
      <x:c r="O616" s="91"/>
      <x:c r="P616" s="85"/>
      <x:c r="R616" s="86"/>
      <x:c r="S616" s="32"/>
    </x:row>
    <x:row r="617">
      <x:c r="A617" s="87"/>
      <x:c r="D617" s="32"/>
      <x:c r="I617" s="74"/>
      <x:c r="J617" s="74"/>
      <x:c r="K617" s="74"/>
      <x:c r="L617" s="91"/>
      <x:c r="M617" s="91"/>
      <x:c r="N617" s="91"/>
      <x:c r="O617" s="91"/>
      <x:c r="P617" s="85"/>
      <x:c r="R617" s="86"/>
      <x:c r="S617" s="32"/>
    </x:row>
    <x:row r="618">
      <x:c r="A618" s="87"/>
      <x:c r="D618" s="32"/>
      <x:c r="I618" s="74"/>
      <x:c r="J618" s="74"/>
      <x:c r="K618" s="74"/>
      <x:c r="L618" s="91"/>
      <x:c r="M618" s="91"/>
      <x:c r="N618" s="91"/>
      <x:c r="O618" s="91"/>
      <x:c r="P618" s="85"/>
      <x:c r="R618" s="86"/>
      <x:c r="S618" s="32"/>
    </x:row>
    <x:row r="619">
      <x:c r="A619" s="87"/>
      <x:c r="D619" s="32"/>
      <x:c r="I619" s="74"/>
      <x:c r="J619" s="74"/>
      <x:c r="K619" s="74"/>
      <x:c r="L619" s="91"/>
      <x:c r="M619" s="91"/>
      <x:c r="N619" s="91"/>
      <x:c r="O619" s="91"/>
      <x:c r="P619" s="85"/>
      <x:c r="R619" s="86"/>
      <x:c r="S619" s="32"/>
    </x:row>
    <x:row r="620">
      <x:c r="A620" s="87"/>
      <x:c r="D620" s="32"/>
      <x:c r="I620" s="74"/>
      <x:c r="J620" s="74"/>
      <x:c r="K620" s="74"/>
      <x:c r="L620" s="91"/>
      <x:c r="M620" s="91"/>
      <x:c r="N620" s="91"/>
      <x:c r="O620" s="91"/>
      <x:c r="P620" s="85"/>
      <x:c r="R620" s="86"/>
      <x:c r="S620" s="32"/>
    </x:row>
    <x:row r="621">
      <x:c r="A621" s="87"/>
      <x:c r="D621" s="32"/>
      <x:c r="I621" s="74"/>
      <x:c r="J621" s="74"/>
      <x:c r="K621" s="74"/>
      <x:c r="L621" s="91"/>
      <x:c r="M621" s="91"/>
      <x:c r="N621" s="91"/>
      <x:c r="O621" s="91"/>
      <x:c r="P621" s="85"/>
      <x:c r="R621" s="86"/>
      <x:c r="S621" s="32"/>
    </x:row>
    <x:row r="622">
      <x:c r="A622" s="87"/>
      <x:c r="D622" s="32"/>
      <x:c r="I622" s="74"/>
      <x:c r="J622" s="74"/>
      <x:c r="K622" s="74"/>
      <x:c r="L622" s="91"/>
      <x:c r="M622" s="91"/>
      <x:c r="N622" s="91"/>
      <x:c r="O622" s="91"/>
      <x:c r="P622" s="85"/>
      <x:c r="R622" s="86"/>
      <x:c r="S622" s="32"/>
    </x:row>
    <x:row r="623">
      <x:c r="A623" s="87"/>
      <x:c r="D623" s="32"/>
      <x:c r="I623" s="74"/>
      <x:c r="J623" s="74"/>
      <x:c r="K623" s="74"/>
      <x:c r="L623" s="91"/>
      <x:c r="M623" s="91"/>
      <x:c r="N623" s="91"/>
      <x:c r="O623" s="91"/>
      <x:c r="P623" s="85"/>
      <x:c r="R623" s="86"/>
      <x:c r="S623" s="32"/>
    </x:row>
    <x:row r="624">
      <x:c r="A624" s="87"/>
      <x:c r="D624" s="32"/>
      <x:c r="I624" s="74"/>
      <x:c r="J624" s="74"/>
      <x:c r="K624" s="74"/>
      <x:c r="L624" s="91"/>
      <x:c r="M624" s="91"/>
      <x:c r="N624" s="91"/>
      <x:c r="O624" s="91"/>
      <x:c r="P624" s="85"/>
      <x:c r="R624" s="86"/>
      <x:c r="S624" s="32"/>
    </x:row>
    <x:row r="625">
      <x:c r="A625" s="87"/>
      <x:c r="D625" s="32"/>
      <x:c r="I625" s="74"/>
      <x:c r="J625" s="74"/>
      <x:c r="K625" s="74"/>
      <x:c r="L625" s="91"/>
      <x:c r="M625" s="91"/>
      <x:c r="N625" s="91"/>
      <x:c r="O625" s="91"/>
      <x:c r="P625" s="85"/>
      <x:c r="R625" s="86"/>
      <x:c r="S625" s="32"/>
    </x:row>
    <x:row r="626">
      <x:c r="A626" s="87"/>
      <x:c r="D626" s="32"/>
      <x:c r="I626" s="74"/>
      <x:c r="J626" s="74"/>
      <x:c r="K626" s="74"/>
      <x:c r="L626" s="91"/>
      <x:c r="M626" s="91"/>
      <x:c r="N626" s="91"/>
      <x:c r="O626" s="91"/>
      <x:c r="P626" s="85"/>
      <x:c r="R626" s="86"/>
      <x:c r="S626" s="32"/>
    </x:row>
    <x:row r="627">
      <x:c r="A627" s="87"/>
      <x:c r="D627" s="32"/>
      <x:c r="I627" s="74"/>
      <x:c r="J627" s="74"/>
      <x:c r="K627" s="74"/>
      <x:c r="L627" s="91"/>
      <x:c r="M627" s="91"/>
      <x:c r="N627" s="91"/>
      <x:c r="O627" s="91"/>
      <x:c r="P627" s="85"/>
      <x:c r="R627" s="86"/>
      <x:c r="S627" s="32"/>
    </x:row>
    <x:row r="628">
      <x:c r="A628" s="87"/>
      <x:c r="D628" s="32"/>
      <x:c r="I628" s="74"/>
      <x:c r="J628" s="74"/>
      <x:c r="K628" s="74"/>
      <x:c r="L628" s="91"/>
      <x:c r="M628" s="91"/>
      <x:c r="N628" s="91"/>
      <x:c r="O628" s="91"/>
      <x:c r="P628" s="85"/>
      <x:c r="R628" s="86"/>
      <x:c r="S628" s="32"/>
    </x:row>
    <x:row r="629">
      <x:c r="A629" s="87"/>
      <x:c r="D629" s="32"/>
      <x:c r="I629" s="74"/>
      <x:c r="J629" s="74"/>
      <x:c r="K629" s="74"/>
      <x:c r="L629" s="91"/>
      <x:c r="M629" s="91"/>
      <x:c r="N629" s="91"/>
      <x:c r="O629" s="91"/>
      <x:c r="P629" s="85"/>
      <x:c r="R629" s="86"/>
      <x:c r="S629" s="32"/>
    </x:row>
    <x:row r="630">
      <x:c r="A630" s="87"/>
      <x:c r="D630" s="32"/>
      <x:c r="I630" s="74"/>
      <x:c r="J630" s="74"/>
      <x:c r="K630" s="74"/>
      <x:c r="L630" s="91"/>
      <x:c r="M630" s="91"/>
      <x:c r="N630" s="91"/>
      <x:c r="O630" s="91"/>
      <x:c r="P630" s="85"/>
      <x:c r="R630" s="86"/>
      <x:c r="S630" s="32"/>
    </x:row>
    <x:row r="631">
      <x:c r="A631" s="87"/>
      <x:c r="D631" s="32"/>
      <x:c r="I631" s="74"/>
      <x:c r="J631" s="74"/>
      <x:c r="K631" s="74"/>
      <x:c r="L631" s="91"/>
      <x:c r="M631" s="91"/>
      <x:c r="N631" s="91"/>
      <x:c r="O631" s="91"/>
      <x:c r="P631" s="85"/>
      <x:c r="R631" s="86"/>
      <x:c r="S631" s="32"/>
    </x:row>
    <x:row r="632">
      <x:c r="A632" s="87"/>
      <x:c r="D632" s="32"/>
      <x:c r="I632" s="74"/>
      <x:c r="J632" s="74"/>
      <x:c r="K632" s="74"/>
      <x:c r="L632" s="91"/>
      <x:c r="M632" s="91"/>
      <x:c r="N632" s="91"/>
      <x:c r="O632" s="91"/>
      <x:c r="P632" s="85"/>
      <x:c r="R632" s="86"/>
      <x:c r="S632" s="32"/>
    </x:row>
    <x:row r="633">
      <x:c r="A633" s="87"/>
      <x:c r="D633" s="32"/>
      <x:c r="I633" s="74"/>
      <x:c r="J633" s="74"/>
      <x:c r="K633" s="74"/>
      <x:c r="L633" s="91"/>
      <x:c r="M633" s="91"/>
      <x:c r="N633" s="91"/>
      <x:c r="O633" s="91"/>
      <x:c r="P633" s="85"/>
      <x:c r="R633" s="86"/>
      <x:c r="S633" s="32"/>
    </x:row>
    <x:row r="634">
      <x:c r="A634" s="87"/>
      <x:c r="D634" s="32"/>
      <x:c r="I634" s="74"/>
      <x:c r="J634" s="74"/>
      <x:c r="K634" s="74"/>
      <x:c r="L634" s="91"/>
      <x:c r="M634" s="91"/>
      <x:c r="N634" s="91"/>
      <x:c r="O634" s="91"/>
      <x:c r="P634" s="85"/>
      <x:c r="R634" s="86"/>
      <x:c r="S634" s="32"/>
    </x:row>
    <x:row r="635">
      <x:c r="A635" s="87"/>
      <x:c r="D635" s="32"/>
      <x:c r="I635" s="74"/>
      <x:c r="J635" s="74"/>
      <x:c r="K635" s="74"/>
      <x:c r="L635" s="91"/>
      <x:c r="M635" s="91"/>
      <x:c r="N635" s="91"/>
      <x:c r="O635" s="91"/>
      <x:c r="P635" s="85"/>
      <x:c r="R635" s="86"/>
      <x:c r="S635" s="32"/>
    </x:row>
    <x:row r="636">
      <x:c r="A636" s="87"/>
      <x:c r="D636" s="32"/>
      <x:c r="I636" s="74"/>
      <x:c r="J636" s="74"/>
      <x:c r="K636" s="74"/>
      <x:c r="L636" s="91"/>
      <x:c r="M636" s="91"/>
      <x:c r="N636" s="91"/>
      <x:c r="O636" s="91"/>
      <x:c r="P636" s="85"/>
      <x:c r="R636" s="86"/>
      <x:c r="S636" s="32"/>
    </x:row>
    <x:row r="637">
      <x:c r="A637" s="87"/>
      <x:c r="D637" s="32"/>
      <x:c r="I637" s="74"/>
      <x:c r="J637" s="74"/>
      <x:c r="K637" s="74"/>
      <x:c r="L637" s="91"/>
      <x:c r="M637" s="91"/>
      <x:c r="N637" s="91"/>
      <x:c r="O637" s="91"/>
      <x:c r="P637" s="85"/>
      <x:c r="R637" s="86"/>
      <x:c r="S637" s="32"/>
    </x:row>
    <x:row r="638">
      <x:c r="A638" s="87"/>
      <x:c r="D638" s="32"/>
      <x:c r="I638" s="74"/>
      <x:c r="J638" s="74"/>
      <x:c r="K638" s="74"/>
      <x:c r="L638" s="91"/>
      <x:c r="M638" s="91"/>
      <x:c r="N638" s="91"/>
      <x:c r="O638" s="91"/>
      <x:c r="P638" s="85"/>
      <x:c r="R638" s="86"/>
      <x:c r="S638" s="32"/>
    </x:row>
    <x:row r="639">
      <x:c r="A639" s="87"/>
      <x:c r="D639" s="32"/>
      <x:c r="I639" s="74"/>
      <x:c r="J639" s="74"/>
      <x:c r="K639" s="74"/>
      <x:c r="L639" s="91"/>
      <x:c r="M639" s="91"/>
      <x:c r="N639" s="91"/>
      <x:c r="O639" s="91"/>
      <x:c r="P639" s="85"/>
      <x:c r="R639" s="86"/>
      <x:c r="S639" s="32"/>
    </x:row>
    <x:row r="640">
      <x:c r="A640" s="87"/>
      <x:c r="D640" s="32"/>
      <x:c r="I640" s="74"/>
      <x:c r="J640" s="74"/>
      <x:c r="K640" s="74"/>
      <x:c r="L640" s="91"/>
      <x:c r="M640" s="91"/>
      <x:c r="N640" s="91"/>
      <x:c r="O640" s="91"/>
      <x:c r="P640" s="85"/>
      <x:c r="R640" s="86"/>
      <x:c r="S640" s="32"/>
    </x:row>
    <x:row r="641">
      <x:c r="A641" s="87"/>
      <x:c r="D641" s="32"/>
      <x:c r="I641" s="74"/>
      <x:c r="J641" s="74"/>
      <x:c r="K641" s="74"/>
      <x:c r="L641" s="91"/>
      <x:c r="M641" s="91"/>
      <x:c r="N641" s="91"/>
      <x:c r="O641" s="91"/>
      <x:c r="P641" s="85"/>
      <x:c r="R641" s="86"/>
      <x:c r="S641" s="32"/>
    </x:row>
    <x:row r="642">
      <x:c r="A642" s="87"/>
      <x:c r="D642" s="32"/>
      <x:c r="I642" s="74"/>
      <x:c r="J642" s="74"/>
      <x:c r="K642" s="74"/>
      <x:c r="L642" s="91"/>
      <x:c r="M642" s="91"/>
      <x:c r="N642" s="91"/>
      <x:c r="O642" s="91"/>
      <x:c r="P642" s="85"/>
      <x:c r="R642" s="86"/>
      <x:c r="S642" s="32"/>
    </x:row>
    <x:row r="643">
      <x:c r="A643" s="87"/>
      <x:c r="D643" s="32"/>
      <x:c r="I643" s="74"/>
      <x:c r="J643" s="74"/>
      <x:c r="K643" s="74"/>
      <x:c r="L643" s="91"/>
      <x:c r="M643" s="91"/>
      <x:c r="N643" s="91"/>
      <x:c r="O643" s="91"/>
      <x:c r="P643" s="85"/>
      <x:c r="R643" s="86"/>
      <x:c r="S643" s="32"/>
    </x:row>
    <x:row r="644">
      <x:c r="A644" s="87"/>
      <x:c r="D644" s="32"/>
      <x:c r="I644" s="74"/>
      <x:c r="J644" s="74"/>
      <x:c r="K644" s="74"/>
      <x:c r="L644" s="91"/>
      <x:c r="M644" s="91"/>
      <x:c r="N644" s="91"/>
      <x:c r="O644" s="91"/>
      <x:c r="P644" s="85"/>
      <x:c r="R644" s="86"/>
      <x:c r="S644" s="32"/>
    </x:row>
    <x:row r="645">
      <x:c r="A645" s="87"/>
      <x:c r="D645" s="32"/>
      <x:c r="I645" s="74"/>
      <x:c r="J645" s="74"/>
      <x:c r="K645" s="74"/>
      <x:c r="L645" s="91"/>
      <x:c r="M645" s="91"/>
      <x:c r="N645" s="91"/>
      <x:c r="O645" s="91"/>
      <x:c r="P645" s="85"/>
      <x:c r="R645" s="86"/>
      <x:c r="S645" s="32"/>
    </x:row>
    <x:row r="646">
      <x:c r="A646" s="87"/>
      <x:c r="D646" s="32"/>
      <x:c r="I646" s="74"/>
      <x:c r="J646" s="74"/>
      <x:c r="K646" s="74"/>
      <x:c r="L646" s="91"/>
      <x:c r="M646" s="91"/>
      <x:c r="N646" s="91"/>
      <x:c r="O646" s="91"/>
      <x:c r="P646" s="85"/>
      <x:c r="R646" s="86"/>
      <x:c r="S646" s="32"/>
    </x:row>
    <x:row r="647">
      <x:c r="A647" s="87"/>
      <x:c r="D647" s="32"/>
      <x:c r="I647" s="74"/>
      <x:c r="J647" s="74"/>
      <x:c r="K647" s="74"/>
      <x:c r="L647" s="91"/>
      <x:c r="M647" s="91"/>
      <x:c r="N647" s="91"/>
      <x:c r="O647" s="91"/>
      <x:c r="P647" s="85"/>
      <x:c r="R647" s="86"/>
      <x:c r="S647" s="32"/>
    </x:row>
    <x:row r="648">
      <x:c r="A648" s="87"/>
      <x:c r="D648" s="32"/>
      <x:c r="I648" s="74"/>
      <x:c r="J648" s="74"/>
      <x:c r="K648" s="74"/>
      <x:c r="L648" s="91"/>
      <x:c r="M648" s="91"/>
      <x:c r="N648" s="91"/>
      <x:c r="O648" s="91"/>
      <x:c r="P648" s="85"/>
      <x:c r="R648" s="86"/>
      <x:c r="S648" s="32"/>
    </x:row>
    <x:row r="649">
      <x:c r="A649" s="87"/>
      <x:c r="D649" s="32"/>
      <x:c r="I649" s="74"/>
      <x:c r="J649" s="74"/>
      <x:c r="K649" s="74"/>
      <x:c r="L649" s="91"/>
      <x:c r="M649" s="91"/>
      <x:c r="N649" s="91"/>
      <x:c r="O649" s="91"/>
      <x:c r="P649" s="85"/>
      <x:c r="R649" s="86"/>
      <x:c r="S649" s="32"/>
    </x:row>
    <x:row r="650">
      <x:c r="A650" s="87"/>
      <x:c r="D650" s="32"/>
      <x:c r="I650" s="74"/>
      <x:c r="J650" s="74"/>
      <x:c r="K650" s="74"/>
      <x:c r="L650" s="91"/>
      <x:c r="M650" s="91"/>
      <x:c r="N650" s="91"/>
      <x:c r="O650" s="91"/>
      <x:c r="P650" s="85"/>
      <x:c r="R650" s="86"/>
      <x:c r="S650" s="32"/>
    </x:row>
    <x:row r="651">
      <x:c r="A651" s="87"/>
      <x:c r="D651" s="32"/>
      <x:c r="I651" s="74"/>
      <x:c r="J651" s="74"/>
      <x:c r="K651" s="74"/>
      <x:c r="L651" s="91"/>
      <x:c r="M651" s="91"/>
      <x:c r="N651" s="91"/>
      <x:c r="O651" s="91"/>
      <x:c r="P651" s="85"/>
      <x:c r="R651" s="86"/>
      <x:c r="S651" s="32"/>
    </x:row>
    <x:row r="652">
      <x:c r="A652" s="87"/>
      <x:c r="D652" s="32"/>
      <x:c r="I652" s="74"/>
      <x:c r="J652" s="74"/>
      <x:c r="K652" s="74"/>
      <x:c r="L652" s="91"/>
      <x:c r="M652" s="91"/>
      <x:c r="N652" s="91"/>
      <x:c r="O652" s="91"/>
      <x:c r="P652" s="85"/>
      <x:c r="R652" s="86"/>
      <x:c r="S652" s="32"/>
    </x:row>
    <x:row r="653">
      <x:c r="A653" s="87"/>
      <x:c r="D653" s="32"/>
      <x:c r="I653" s="74"/>
      <x:c r="J653" s="74"/>
      <x:c r="K653" s="74"/>
      <x:c r="L653" s="91"/>
      <x:c r="M653" s="91"/>
      <x:c r="N653" s="91"/>
      <x:c r="O653" s="91"/>
      <x:c r="P653" s="85"/>
      <x:c r="R653" s="86"/>
      <x:c r="S653" s="32"/>
    </x:row>
    <x:row r="654">
      <x:c r="A654" s="87"/>
      <x:c r="D654" s="32"/>
      <x:c r="I654" s="74"/>
      <x:c r="J654" s="74"/>
      <x:c r="K654" s="74"/>
      <x:c r="L654" s="91"/>
      <x:c r="M654" s="91"/>
      <x:c r="N654" s="91"/>
      <x:c r="O654" s="91"/>
      <x:c r="P654" s="85"/>
      <x:c r="R654" s="86"/>
      <x:c r="S654" s="32"/>
    </x:row>
    <x:row r="655">
      <x:c r="A655" s="87"/>
      <x:c r="D655" s="32"/>
      <x:c r="I655" s="74"/>
      <x:c r="J655" s="74"/>
      <x:c r="K655" s="74"/>
      <x:c r="L655" s="91"/>
      <x:c r="M655" s="91"/>
      <x:c r="N655" s="91"/>
      <x:c r="O655" s="91"/>
      <x:c r="P655" s="85"/>
      <x:c r="R655" s="86"/>
      <x:c r="S655" s="32"/>
    </x:row>
    <x:row r="656">
      <x:c r="A656" s="87"/>
      <x:c r="D656" s="32"/>
      <x:c r="I656" s="74"/>
      <x:c r="J656" s="74"/>
      <x:c r="K656" s="74"/>
      <x:c r="L656" s="91"/>
      <x:c r="M656" s="91"/>
      <x:c r="N656" s="91"/>
      <x:c r="O656" s="91"/>
      <x:c r="P656" s="85"/>
      <x:c r="R656" s="86"/>
      <x:c r="S656" s="32"/>
    </x:row>
    <x:row r="657">
      <x:c r="A657" s="87"/>
      <x:c r="D657" s="32"/>
      <x:c r="I657" s="74"/>
      <x:c r="J657" s="74"/>
      <x:c r="K657" s="74"/>
      <x:c r="L657" s="91"/>
      <x:c r="M657" s="91"/>
      <x:c r="N657" s="91"/>
      <x:c r="O657" s="91"/>
      <x:c r="P657" s="85"/>
      <x:c r="R657" s="86"/>
      <x:c r="S657" s="32"/>
    </x:row>
    <x:row r="658">
      <x:c r="A658" s="87"/>
      <x:c r="D658" s="32"/>
      <x:c r="I658" s="74"/>
      <x:c r="J658" s="74"/>
      <x:c r="K658" s="74"/>
      <x:c r="L658" s="91"/>
      <x:c r="M658" s="91"/>
      <x:c r="N658" s="91"/>
      <x:c r="O658" s="91"/>
      <x:c r="P658" s="85"/>
      <x:c r="R658" s="86"/>
      <x:c r="S658" s="32"/>
    </x:row>
    <x:row r="659">
      <x:c r="A659" s="87"/>
      <x:c r="D659" s="32"/>
      <x:c r="I659" s="74"/>
      <x:c r="J659" s="74"/>
      <x:c r="K659" s="74"/>
      <x:c r="L659" s="91"/>
      <x:c r="M659" s="91"/>
      <x:c r="N659" s="91"/>
      <x:c r="O659" s="91"/>
      <x:c r="P659" s="85"/>
      <x:c r="R659" s="86"/>
      <x:c r="S659" s="32"/>
    </x:row>
    <x:row r="660">
      <x:c r="A660" s="87"/>
      <x:c r="D660" s="32"/>
      <x:c r="I660" s="74"/>
      <x:c r="J660" s="74"/>
      <x:c r="K660" s="74"/>
      <x:c r="L660" s="91"/>
      <x:c r="M660" s="91"/>
      <x:c r="N660" s="91"/>
      <x:c r="O660" s="91"/>
      <x:c r="P660" s="85"/>
      <x:c r="R660" s="86"/>
      <x:c r="S660" s="32"/>
    </x:row>
    <x:row r="661">
      <x:c r="A661" s="87"/>
      <x:c r="D661" s="32"/>
      <x:c r="I661" s="74"/>
      <x:c r="J661" s="74"/>
      <x:c r="K661" s="74"/>
      <x:c r="L661" s="91"/>
      <x:c r="M661" s="91"/>
      <x:c r="N661" s="91"/>
      <x:c r="O661" s="91"/>
      <x:c r="P661" s="85"/>
      <x:c r="R661" s="86"/>
      <x:c r="S661" s="32"/>
    </x:row>
    <x:row r="662">
      <x:c r="A662" s="87"/>
      <x:c r="D662" s="32"/>
      <x:c r="I662" s="74"/>
      <x:c r="J662" s="74"/>
      <x:c r="K662" s="74"/>
      <x:c r="L662" s="91"/>
      <x:c r="M662" s="91"/>
      <x:c r="N662" s="91"/>
      <x:c r="O662" s="91"/>
      <x:c r="P662" s="85"/>
      <x:c r="R662" s="86"/>
      <x:c r="S662" s="32"/>
    </x:row>
    <x:row r="663">
      <x:c r="A663" s="87"/>
      <x:c r="D663" s="32"/>
      <x:c r="I663" s="74"/>
      <x:c r="J663" s="74"/>
      <x:c r="K663" s="74"/>
      <x:c r="L663" s="91"/>
      <x:c r="M663" s="91"/>
      <x:c r="N663" s="91"/>
      <x:c r="O663" s="91"/>
      <x:c r="P663" s="85"/>
      <x:c r="R663" s="86"/>
      <x:c r="S663" s="32"/>
    </x:row>
    <x:row r="664">
      <x:c r="A664" s="87"/>
      <x:c r="D664" s="32"/>
      <x:c r="I664" s="74"/>
      <x:c r="J664" s="74"/>
      <x:c r="K664" s="74"/>
      <x:c r="L664" s="91"/>
      <x:c r="M664" s="91"/>
      <x:c r="N664" s="91"/>
      <x:c r="O664" s="91"/>
      <x:c r="P664" s="85"/>
      <x:c r="R664" s="86"/>
      <x:c r="S664" s="32"/>
    </x:row>
    <x:row r="665">
      <x:c r="A665" s="87"/>
      <x:c r="D665" s="32"/>
      <x:c r="I665" s="74"/>
      <x:c r="J665" s="74"/>
      <x:c r="K665" s="74"/>
      <x:c r="L665" s="91"/>
      <x:c r="M665" s="91"/>
      <x:c r="N665" s="91"/>
      <x:c r="O665" s="91"/>
      <x:c r="P665" s="85"/>
      <x:c r="R665" s="86"/>
      <x:c r="S665" s="32"/>
    </x:row>
    <x:row r="666">
      <x:c r="A666" s="87"/>
      <x:c r="D666" s="32"/>
      <x:c r="I666" s="74"/>
      <x:c r="J666" s="74"/>
      <x:c r="K666" s="74"/>
      <x:c r="L666" s="91"/>
      <x:c r="M666" s="91"/>
      <x:c r="N666" s="91"/>
      <x:c r="O666" s="91"/>
      <x:c r="P666" s="85"/>
      <x:c r="R666" s="86"/>
      <x:c r="S666" s="32"/>
    </x:row>
    <x:row r="667">
      <x:c r="A667" s="87"/>
      <x:c r="D667" s="32"/>
      <x:c r="I667" s="74"/>
      <x:c r="J667" s="74"/>
      <x:c r="K667" s="74"/>
      <x:c r="L667" s="91"/>
      <x:c r="M667" s="91"/>
      <x:c r="N667" s="91"/>
      <x:c r="O667" s="91"/>
      <x:c r="P667" s="85"/>
      <x:c r="R667" s="86"/>
      <x:c r="S667" s="32"/>
    </x:row>
    <x:row r="668">
      <x:c r="A668" s="87"/>
      <x:c r="D668" s="32"/>
      <x:c r="I668" s="74"/>
      <x:c r="J668" s="74"/>
      <x:c r="K668" s="74"/>
      <x:c r="L668" s="91"/>
      <x:c r="M668" s="91"/>
      <x:c r="N668" s="91"/>
      <x:c r="O668" s="91"/>
      <x:c r="P668" s="85"/>
      <x:c r="R668" s="86"/>
      <x:c r="S668" s="32"/>
    </x:row>
    <x:row r="669">
      <x:c r="A669" s="87"/>
      <x:c r="D669" s="32"/>
      <x:c r="I669" s="74"/>
      <x:c r="J669" s="74"/>
      <x:c r="K669" s="74"/>
      <x:c r="L669" s="91"/>
      <x:c r="M669" s="91"/>
      <x:c r="N669" s="91"/>
      <x:c r="O669" s="91"/>
      <x:c r="P669" s="85"/>
      <x:c r="R669" s="86"/>
      <x:c r="S669" s="32"/>
    </x:row>
    <x:row r="670">
      <x:c r="A670" s="87"/>
      <x:c r="D670" s="32"/>
      <x:c r="I670" s="74"/>
      <x:c r="J670" s="74"/>
      <x:c r="K670" s="74"/>
      <x:c r="L670" s="91"/>
      <x:c r="M670" s="91"/>
      <x:c r="N670" s="91"/>
      <x:c r="O670" s="91"/>
      <x:c r="P670" s="85"/>
      <x:c r="R670" s="86"/>
      <x:c r="S670" s="32"/>
    </x:row>
    <x:row r="671">
      <x:c r="A671" s="87"/>
      <x:c r="D671" s="32"/>
      <x:c r="I671" s="74"/>
      <x:c r="J671" s="74"/>
      <x:c r="K671" s="74"/>
      <x:c r="L671" s="91"/>
      <x:c r="M671" s="91"/>
      <x:c r="N671" s="91"/>
      <x:c r="O671" s="91"/>
      <x:c r="P671" s="85"/>
      <x:c r="R671" s="86"/>
      <x:c r="S671" s="32"/>
    </x:row>
    <x:row r="672">
      <x:c r="A672" s="87"/>
      <x:c r="D672" s="32"/>
      <x:c r="I672" s="74"/>
      <x:c r="J672" s="74"/>
      <x:c r="K672" s="74"/>
      <x:c r="L672" s="91"/>
      <x:c r="M672" s="91"/>
      <x:c r="N672" s="91"/>
      <x:c r="O672" s="91"/>
      <x:c r="P672" s="85"/>
      <x:c r="R672" s="86"/>
      <x:c r="S672" s="32"/>
    </x:row>
    <x:row r="673">
      <x:c r="A673" s="87"/>
      <x:c r="D673" s="32"/>
      <x:c r="I673" s="74"/>
      <x:c r="J673" s="74"/>
      <x:c r="K673" s="74"/>
      <x:c r="L673" s="91"/>
      <x:c r="M673" s="91"/>
      <x:c r="N673" s="91"/>
      <x:c r="O673" s="91"/>
      <x:c r="P673" s="85"/>
      <x:c r="R673" s="86"/>
      <x:c r="S673" s="32"/>
    </x:row>
    <x:row r="674">
      <x:c r="A674" s="87"/>
      <x:c r="D674" s="32"/>
      <x:c r="I674" s="74"/>
      <x:c r="J674" s="74"/>
      <x:c r="K674" s="74"/>
      <x:c r="L674" s="91"/>
      <x:c r="M674" s="91"/>
      <x:c r="N674" s="91"/>
      <x:c r="O674" s="91"/>
      <x:c r="P674" s="85"/>
      <x:c r="R674" s="86"/>
      <x:c r="S674" s="32"/>
    </x:row>
    <x:row r="675">
      <x:c r="A675" s="87"/>
      <x:c r="D675" s="32"/>
      <x:c r="I675" s="74"/>
      <x:c r="J675" s="74"/>
      <x:c r="K675" s="74"/>
      <x:c r="L675" s="91"/>
      <x:c r="M675" s="91"/>
      <x:c r="N675" s="91"/>
      <x:c r="O675" s="91"/>
      <x:c r="P675" s="85"/>
      <x:c r="R675" s="86"/>
      <x:c r="S675" s="32"/>
    </x:row>
    <x:row r="676">
      <x:c r="A676" s="87"/>
      <x:c r="D676" s="32"/>
      <x:c r="I676" s="74"/>
      <x:c r="J676" s="74"/>
      <x:c r="K676" s="74"/>
      <x:c r="L676" s="91"/>
      <x:c r="M676" s="91"/>
      <x:c r="N676" s="91"/>
      <x:c r="O676" s="91"/>
      <x:c r="P676" s="85"/>
      <x:c r="R676" s="86"/>
      <x:c r="S676" s="32"/>
    </x:row>
    <x:row r="677">
      <x:c r="A677" s="87"/>
      <x:c r="D677" s="32"/>
      <x:c r="I677" s="74"/>
      <x:c r="J677" s="74"/>
      <x:c r="K677" s="74"/>
      <x:c r="L677" s="91"/>
      <x:c r="M677" s="91"/>
      <x:c r="N677" s="91"/>
      <x:c r="O677" s="91"/>
      <x:c r="P677" s="85"/>
      <x:c r="R677" s="86"/>
      <x:c r="S677" s="32"/>
    </x:row>
    <x:row r="678">
      <x:c r="A678" s="87"/>
      <x:c r="D678" s="32"/>
      <x:c r="I678" s="74"/>
      <x:c r="J678" s="74"/>
      <x:c r="K678" s="74"/>
      <x:c r="L678" s="91"/>
      <x:c r="M678" s="91"/>
      <x:c r="N678" s="91"/>
      <x:c r="O678" s="91"/>
      <x:c r="P678" s="85"/>
      <x:c r="R678" s="86"/>
      <x:c r="S678" s="32"/>
    </x:row>
    <x:row r="679">
      <x:c r="A679" s="87"/>
      <x:c r="D679" s="32"/>
      <x:c r="I679" s="74"/>
      <x:c r="J679" s="74"/>
      <x:c r="K679" s="74"/>
      <x:c r="L679" s="91"/>
      <x:c r="M679" s="91"/>
      <x:c r="N679" s="91"/>
      <x:c r="O679" s="91"/>
      <x:c r="P679" s="85"/>
      <x:c r="R679" s="86"/>
      <x:c r="S679" s="32"/>
    </x:row>
    <x:row r="680">
      <x:c r="A680" s="87"/>
      <x:c r="D680" s="32"/>
      <x:c r="I680" s="74"/>
      <x:c r="J680" s="74"/>
      <x:c r="K680" s="74"/>
      <x:c r="L680" s="91"/>
      <x:c r="M680" s="91"/>
      <x:c r="N680" s="91"/>
      <x:c r="O680" s="91"/>
      <x:c r="P680" s="85"/>
      <x:c r="R680" s="86"/>
      <x:c r="S680" s="32"/>
    </x:row>
    <x:row r="681">
      <x:c r="A681" s="87"/>
      <x:c r="D681" s="32"/>
      <x:c r="I681" s="74"/>
      <x:c r="J681" s="74"/>
      <x:c r="K681" s="74"/>
      <x:c r="L681" s="91"/>
      <x:c r="M681" s="91"/>
      <x:c r="N681" s="91"/>
      <x:c r="O681" s="91"/>
      <x:c r="P681" s="85"/>
      <x:c r="R681" s="86"/>
      <x:c r="S681" s="32"/>
    </x:row>
    <x:row r="682">
      <x:c r="A682" s="87"/>
      <x:c r="D682" s="32"/>
      <x:c r="I682" s="74"/>
      <x:c r="J682" s="74"/>
      <x:c r="K682" s="74"/>
      <x:c r="L682" s="91"/>
      <x:c r="M682" s="91"/>
      <x:c r="N682" s="91"/>
      <x:c r="O682" s="91"/>
      <x:c r="P682" s="85"/>
      <x:c r="R682" s="86"/>
      <x:c r="S682" s="32"/>
    </x:row>
    <x:row r="683">
      <x:c r="A683" s="87"/>
      <x:c r="D683" s="32"/>
      <x:c r="I683" s="74"/>
      <x:c r="J683" s="74"/>
      <x:c r="K683" s="74"/>
      <x:c r="L683" s="91"/>
      <x:c r="M683" s="91"/>
      <x:c r="N683" s="91"/>
      <x:c r="O683" s="91"/>
      <x:c r="P683" s="85"/>
      <x:c r="R683" s="86"/>
      <x:c r="S683" s="32"/>
    </x:row>
    <x:row r="684">
      <x:c r="A684" s="87"/>
      <x:c r="D684" s="32"/>
      <x:c r="I684" s="74"/>
      <x:c r="J684" s="74"/>
      <x:c r="K684" s="74"/>
      <x:c r="L684" s="91"/>
      <x:c r="M684" s="91"/>
      <x:c r="N684" s="91"/>
      <x:c r="O684" s="91"/>
      <x:c r="P684" s="85"/>
      <x:c r="R684" s="86"/>
      <x:c r="S684" s="32"/>
    </x:row>
    <x:row r="685">
      <x:c r="A685" s="87"/>
      <x:c r="D685" s="32"/>
      <x:c r="I685" s="74"/>
      <x:c r="J685" s="74"/>
      <x:c r="K685" s="74"/>
      <x:c r="L685" s="91"/>
      <x:c r="M685" s="91"/>
      <x:c r="N685" s="91"/>
      <x:c r="O685" s="91"/>
      <x:c r="P685" s="85"/>
      <x:c r="R685" s="86"/>
      <x:c r="S685" s="32"/>
    </x:row>
    <x:row r="686">
      <x:c r="A686" s="87"/>
      <x:c r="D686" s="32"/>
      <x:c r="I686" s="74"/>
      <x:c r="J686" s="74"/>
      <x:c r="K686" s="74"/>
      <x:c r="L686" s="91"/>
      <x:c r="M686" s="91"/>
      <x:c r="N686" s="91"/>
      <x:c r="O686" s="91"/>
      <x:c r="P686" s="85"/>
      <x:c r="R686" s="86"/>
      <x:c r="S686" s="32"/>
    </x:row>
    <x:row r="687">
      <x:c r="A687" s="87"/>
      <x:c r="D687" s="32"/>
      <x:c r="I687" s="74"/>
      <x:c r="J687" s="74"/>
      <x:c r="K687" s="74"/>
      <x:c r="L687" s="91"/>
      <x:c r="M687" s="91"/>
      <x:c r="N687" s="91"/>
      <x:c r="O687" s="91"/>
      <x:c r="P687" s="85"/>
      <x:c r="R687" s="86"/>
      <x:c r="S687" s="32"/>
    </x:row>
    <x:row r="688">
      <x:c r="A688" s="87"/>
      <x:c r="D688" s="32"/>
      <x:c r="I688" s="74"/>
      <x:c r="J688" s="74"/>
      <x:c r="K688" s="74"/>
      <x:c r="L688" s="91"/>
      <x:c r="M688" s="91"/>
      <x:c r="N688" s="91"/>
      <x:c r="O688" s="91"/>
      <x:c r="P688" s="85"/>
      <x:c r="R688" s="86"/>
      <x:c r="S688" s="32"/>
    </x:row>
    <x:row r="689">
      <x:c r="A689" s="87"/>
      <x:c r="D689" s="32"/>
      <x:c r="I689" s="74"/>
      <x:c r="J689" s="74"/>
      <x:c r="K689" s="74"/>
      <x:c r="L689" s="91"/>
      <x:c r="M689" s="91"/>
      <x:c r="N689" s="91"/>
      <x:c r="O689" s="91"/>
      <x:c r="P689" s="85"/>
      <x:c r="R689" s="86"/>
      <x:c r="S689" s="32"/>
    </x:row>
    <x:row r="690">
      <x:c r="A690" s="87"/>
      <x:c r="D690" s="32"/>
      <x:c r="I690" s="74"/>
      <x:c r="J690" s="74"/>
      <x:c r="K690" s="74"/>
      <x:c r="L690" s="91"/>
      <x:c r="M690" s="91"/>
      <x:c r="N690" s="91"/>
      <x:c r="O690" s="91"/>
      <x:c r="P690" s="85"/>
      <x:c r="R690" s="86"/>
      <x:c r="S690" s="32"/>
    </x:row>
    <x:row r="691">
      <x:c r="A691" s="87"/>
      <x:c r="D691" s="32"/>
      <x:c r="I691" s="74"/>
      <x:c r="J691" s="74"/>
      <x:c r="K691" s="74"/>
      <x:c r="L691" s="91"/>
      <x:c r="M691" s="91"/>
      <x:c r="N691" s="91"/>
      <x:c r="O691" s="91"/>
      <x:c r="P691" s="85"/>
      <x:c r="R691" s="86"/>
      <x:c r="S691" s="32"/>
    </x:row>
    <x:row r="692">
      <x:c r="A692" s="87"/>
      <x:c r="D692" s="32"/>
      <x:c r="I692" s="74"/>
      <x:c r="J692" s="74"/>
      <x:c r="K692" s="74"/>
      <x:c r="L692" s="91"/>
      <x:c r="M692" s="91"/>
      <x:c r="N692" s="91"/>
      <x:c r="O692" s="91"/>
      <x:c r="P692" s="85"/>
      <x:c r="R692" s="86"/>
      <x:c r="S692" s="32"/>
    </x:row>
    <x:row r="693">
      <x:c r="A693" s="87"/>
      <x:c r="D693" s="32"/>
      <x:c r="I693" s="74"/>
      <x:c r="J693" s="74"/>
      <x:c r="K693" s="74"/>
      <x:c r="L693" s="91"/>
      <x:c r="M693" s="91"/>
      <x:c r="N693" s="91"/>
      <x:c r="O693" s="91"/>
      <x:c r="P693" s="85"/>
      <x:c r="R693" s="86"/>
      <x:c r="S693" s="32"/>
    </x:row>
    <x:row r="694">
      <x:c r="A694" s="87"/>
      <x:c r="D694" s="32"/>
      <x:c r="I694" s="74"/>
      <x:c r="J694" s="74"/>
      <x:c r="K694" s="74"/>
      <x:c r="L694" s="91"/>
      <x:c r="M694" s="91"/>
      <x:c r="N694" s="91"/>
      <x:c r="O694" s="91"/>
      <x:c r="P694" s="85"/>
      <x:c r="R694" s="86"/>
      <x:c r="S694" s="32"/>
    </x:row>
    <x:row r="695">
      <x:c r="A695" s="87"/>
      <x:c r="D695" s="32"/>
      <x:c r="I695" s="74"/>
      <x:c r="J695" s="74"/>
      <x:c r="K695" s="74"/>
      <x:c r="L695" s="91"/>
      <x:c r="M695" s="91"/>
      <x:c r="N695" s="91"/>
      <x:c r="O695" s="91"/>
      <x:c r="P695" s="85"/>
      <x:c r="R695" s="86"/>
      <x:c r="S695" s="32"/>
    </x:row>
    <x:row r="696">
      <x:c r="A696" s="87"/>
      <x:c r="D696" s="32"/>
      <x:c r="I696" s="74"/>
      <x:c r="J696" s="74"/>
      <x:c r="K696" s="74"/>
      <x:c r="L696" s="91"/>
      <x:c r="M696" s="91"/>
      <x:c r="N696" s="91"/>
      <x:c r="O696" s="91"/>
      <x:c r="P696" s="85"/>
      <x:c r="R696" s="86"/>
      <x:c r="S696" s="32"/>
    </x:row>
    <x:row r="697">
      <x:c r="A697" s="87"/>
      <x:c r="D697" s="32"/>
      <x:c r="I697" s="74"/>
      <x:c r="J697" s="74"/>
      <x:c r="K697" s="74"/>
      <x:c r="L697" s="91"/>
      <x:c r="M697" s="91"/>
      <x:c r="N697" s="91"/>
      <x:c r="O697" s="91"/>
      <x:c r="P697" s="85"/>
      <x:c r="R697" s="86"/>
      <x:c r="S697" s="32"/>
    </x:row>
    <x:row r="698">
      <x:c r="A698" s="87"/>
      <x:c r="D698" s="32"/>
      <x:c r="I698" s="74"/>
      <x:c r="J698" s="74"/>
      <x:c r="K698" s="74"/>
      <x:c r="L698" s="91"/>
      <x:c r="M698" s="91"/>
      <x:c r="N698" s="91"/>
      <x:c r="O698" s="91"/>
      <x:c r="P698" s="85"/>
      <x:c r="R698" s="86"/>
      <x:c r="S698" s="32"/>
    </x:row>
    <x:row r="699">
      <x:c r="A699" s="87"/>
      <x:c r="D699" s="32"/>
      <x:c r="I699" s="74"/>
      <x:c r="J699" s="74"/>
      <x:c r="K699" s="74"/>
      <x:c r="L699" s="91"/>
      <x:c r="M699" s="91"/>
      <x:c r="N699" s="91"/>
      <x:c r="O699" s="91"/>
      <x:c r="P699" s="85"/>
      <x:c r="R699" s="86"/>
      <x:c r="S699" s="32"/>
    </x:row>
    <x:row r="700">
      <x:c r="A700" s="87"/>
      <x:c r="D700" s="32"/>
      <x:c r="I700" s="74"/>
      <x:c r="J700" s="74"/>
      <x:c r="K700" s="74"/>
      <x:c r="L700" s="91"/>
      <x:c r="M700" s="91"/>
      <x:c r="N700" s="91"/>
      <x:c r="O700" s="91"/>
      <x:c r="P700" s="85"/>
      <x:c r="R700" s="86"/>
      <x:c r="S700" s="32"/>
    </x:row>
    <x:row r="701">
      <x:c r="A701" s="87"/>
      <x:c r="D701" s="32"/>
      <x:c r="I701" s="74"/>
      <x:c r="J701" s="74"/>
      <x:c r="K701" s="74"/>
      <x:c r="L701" s="91"/>
      <x:c r="M701" s="91"/>
      <x:c r="N701" s="91"/>
      <x:c r="O701" s="91"/>
      <x:c r="P701" s="85"/>
      <x:c r="R701" s="86"/>
      <x:c r="S701" s="32"/>
    </x:row>
    <x:row r="702">
      <x:c r="A702" s="87"/>
      <x:c r="D702" s="32"/>
      <x:c r="I702" s="74"/>
      <x:c r="J702" s="74"/>
      <x:c r="K702" s="74"/>
      <x:c r="L702" s="91"/>
      <x:c r="M702" s="91"/>
      <x:c r="N702" s="91"/>
      <x:c r="O702" s="91"/>
      <x:c r="P702" s="85"/>
      <x:c r="R702" s="86"/>
      <x:c r="S702" s="32"/>
    </x:row>
    <x:row r="703">
      <x:c r="A703" s="87"/>
      <x:c r="D703" s="32"/>
      <x:c r="I703" s="74"/>
      <x:c r="J703" s="74"/>
      <x:c r="K703" s="74"/>
      <x:c r="L703" s="91"/>
      <x:c r="M703" s="91"/>
      <x:c r="N703" s="91"/>
      <x:c r="O703" s="91"/>
      <x:c r="P703" s="85"/>
      <x:c r="R703" s="86"/>
      <x:c r="S703" s="32"/>
    </x:row>
    <x:row r="704">
      <x:c r="A704" s="87"/>
      <x:c r="D704" s="32"/>
      <x:c r="I704" s="74"/>
      <x:c r="J704" s="74"/>
      <x:c r="K704" s="74"/>
      <x:c r="L704" s="91"/>
      <x:c r="M704" s="91"/>
      <x:c r="N704" s="91"/>
      <x:c r="O704" s="91"/>
      <x:c r="P704" s="85"/>
      <x:c r="R704" s="86"/>
      <x:c r="S704" s="32"/>
    </x:row>
    <x:row r="705">
      <x:c r="A705" s="87"/>
      <x:c r="D705" s="32"/>
      <x:c r="I705" s="74"/>
      <x:c r="J705" s="74"/>
      <x:c r="K705" s="74"/>
      <x:c r="L705" s="91"/>
      <x:c r="M705" s="91"/>
      <x:c r="N705" s="91"/>
      <x:c r="O705" s="91"/>
      <x:c r="P705" s="85"/>
      <x:c r="R705" s="86"/>
      <x:c r="S705" s="32"/>
    </x:row>
    <x:row r="706">
      <x:c r="A706" s="87"/>
      <x:c r="D706" s="32"/>
      <x:c r="I706" s="74"/>
      <x:c r="J706" s="74"/>
      <x:c r="K706" s="74"/>
      <x:c r="L706" s="91"/>
      <x:c r="M706" s="91"/>
      <x:c r="N706" s="91"/>
      <x:c r="O706" s="91"/>
      <x:c r="P706" s="85"/>
      <x:c r="R706" s="86"/>
      <x:c r="S706" s="32"/>
    </x:row>
    <x:row r="707">
      <x:c r="A707" s="87"/>
      <x:c r="D707" s="32"/>
      <x:c r="I707" s="74"/>
      <x:c r="J707" s="74"/>
      <x:c r="K707" s="74"/>
      <x:c r="L707" s="91"/>
      <x:c r="M707" s="91"/>
      <x:c r="N707" s="91"/>
      <x:c r="O707" s="91"/>
      <x:c r="P707" s="85"/>
      <x:c r="R707" s="86"/>
      <x:c r="S707" s="32"/>
    </x:row>
    <x:row r="708">
      <x:c r="A708" s="87"/>
      <x:c r="D708" s="32"/>
      <x:c r="I708" s="74"/>
      <x:c r="J708" s="74"/>
      <x:c r="K708" s="74"/>
      <x:c r="L708" s="91"/>
      <x:c r="M708" s="91"/>
      <x:c r="N708" s="91"/>
      <x:c r="O708" s="91"/>
      <x:c r="P708" s="85"/>
      <x:c r="R708" s="86"/>
      <x:c r="S708" s="32"/>
    </x:row>
    <x:row r="709">
      <x:c r="A709" s="87"/>
      <x:c r="D709" s="32"/>
      <x:c r="I709" s="74"/>
      <x:c r="J709" s="74"/>
      <x:c r="K709" s="74"/>
      <x:c r="L709" s="91"/>
      <x:c r="M709" s="91"/>
      <x:c r="N709" s="91"/>
      <x:c r="O709" s="91"/>
      <x:c r="P709" s="85"/>
      <x:c r="R709" s="86"/>
      <x:c r="S709" s="32"/>
    </x:row>
    <x:row r="710">
      <x:c r="A710" s="87"/>
      <x:c r="D710" s="32"/>
      <x:c r="I710" s="74"/>
      <x:c r="J710" s="74"/>
      <x:c r="K710" s="74"/>
      <x:c r="L710" s="91"/>
      <x:c r="M710" s="91"/>
      <x:c r="N710" s="91"/>
      <x:c r="O710" s="91"/>
      <x:c r="P710" s="85"/>
      <x:c r="R710" s="86"/>
      <x:c r="S710" s="32"/>
    </x:row>
    <x:row r="711">
      <x:c r="A711" s="87"/>
      <x:c r="D711" s="32"/>
      <x:c r="I711" s="74"/>
      <x:c r="J711" s="74"/>
      <x:c r="K711" s="74"/>
      <x:c r="L711" s="91"/>
      <x:c r="M711" s="91"/>
      <x:c r="N711" s="91"/>
      <x:c r="O711" s="91"/>
      <x:c r="P711" s="85"/>
      <x:c r="R711" s="86"/>
      <x:c r="S711" s="32"/>
    </x:row>
    <x:row r="712">
      <x:c r="A712" s="87"/>
      <x:c r="D712" s="32"/>
      <x:c r="I712" s="74"/>
      <x:c r="J712" s="74"/>
      <x:c r="K712" s="74"/>
      <x:c r="L712" s="91"/>
      <x:c r="M712" s="91"/>
      <x:c r="N712" s="91"/>
      <x:c r="O712" s="91"/>
      <x:c r="P712" s="85"/>
      <x:c r="R712" s="86"/>
      <x:c r="S712" s="32"/>
    </x:row>
    <x:row r="713">
      <x:c r="A713" s="87"/>
      <x:c r="D713" s="32"/>
      <x:c r="I713" s="74"/>
      <x:c r="J713" s="74"/>
      <x:c r="K713" s="74"/>
      <x:c r="L713" s="91"/>
      <x:c r="M713" s="91"/>
      <x:c r="N713" s="91"/>
      <x:c r="O713" s="91"/>
      <x:c r="P713" s="85"/>
      <x:c r="R713" s="86"/>
      <x:c r="S713" s="32"/>
    </x:row>
    <x:row r="714">
      <x:c r="A714" s="87"/>
      <x:c r="D714" s="32"/>
      <x:c r="I714" s="74"/>
      <x:c r="J714" s="74"/>
      <x:c r="K714" s="74"/>
      <x:c r="L714" s="91"/>
      <x:c r="M714" s="91"/>
      <x:c r="N714" s="91"/>
      <x:c r="O714" s="91"/>
      <x:c r="P714" s="85"/>
      <x:c r="R714" s="86"/>
      <x:c r="S714" s="32"/>
    </x:row>
    <x:row r="715">
      <x:c r="A715" s="87"/>
      <x:c r="D715" s="32"/>
      <x:c r="I715" s="74"/>
      <x:c r="J715" s="74"/>
      <x:c r="K715" s="74"/>
      <x:c r="L715" s="91"/>
      <x:c r="M715" s="91"/>
      <x:c r="N715" s="91"/>
      <x:c r="O715" s="91"/>
      <x:c r="P715" s="85"/>
      <x:c r="R715" s="86"/>
      <x:c r="S715" s="32"/>
    </x:row>
    <x:row r="716">
      <x:c r="A716" s="87"/>
      <x:c r="D716" s="32"/>
      <x:c r="I716" s="74"/>
      <x:c r="J716" s="74"/>
      <x:c r="K716" s="74"/>
      <x:c r="L716" s="91"/>
      <x:c r="M716" s="91"/>
      <x:c r="N716" s="91"/>
      <x:c r="O716" s="91"/>
      <x:c r="P716" s="85"/>
      <x:c r="R716" s="86"/>
      <x:c r="S716" s="32"/>
    </x:row>
    <x:row r="717">
      <x:c r="A717" s="87"/>
      <x:c r="D717" s="32"/>
      <x:c r="I717" s="74"/>
      <x:c r="J717" s="74"/>
      <x:c r="K717" s="74"/>
      <x:c r="L717" s="91"/>
      <x:c r="M717" s="91"/>
      <x:c r="N717" s="91"/>
      <x:c r="O717" s="91"/>
      <x:c r="P717" s="85"/>
      <x:c r="R717" s="86"/>
      <x:c r="S717" s="32"/>
    </x:row>
    <x:row r="718">
      <x:c r="A718" s="87"/>
      <x:c r="D718" s="32"/>
      <x:c r="I718" s="74"/>
      <x:c r="J718" s="74"/>
      <x:c r="K718" s="74"/>
      <x:c r="L718" s="91"/>
      <x:c r="M718" s="91"/>
      <x:c r="N718" s="91"/>
      <x:c r="O718" s="91"/>
      <x:c r="P718" s="85"/>
      <x:c r="R718" s="86"/>
      <x:c r="S718" s="32"/>
    </x:row>
    <x:row r="719">
      <x:c r="A719" s="87"/>
      <x:c r="D719" s="32"/>
      <x:c r="I719" s="74"/>
      <x:c r="J719" s="74"/>
      <x:c r="K719" s="74"/>
      <x:c r="L719" s="91"/>
      <x:c r="M719" s="91"/>
      <x:c r="N719" s="91"/>
      <x:c r="O719" s="91"/>
      <x:c r="P719" s="85"/>
      <x:c r="R719" s="86"/>
      <x:c r="S719" s="32"/>
    </x:row>
    <x:row r="720">
      <x:c r="A720" s="87"/>
      <x:c r="D720" s="32"/>
      <x:c r="I720" s="74"/>
      <x:c r="J720" s="74"/>
      <x:c r="K720" s="74"/>
      <x:c r="L720" s="91"/>
      <x:c r="M720" s="91"/>
      <x:c r="N720" s="91"/>
      <x:c r="O720" s="91"/>
      <x:c r="P720" s="85"/>
      <x:c r="R720" s="86"/>
      <x:c r="S720" s="32"/>
    </x:row>
    <x:row r="721">
      <x:c r="A721" s="87"/>
      <x:c r="D721" s="32"/>
      <x:c r="I721" s="74"/>
      <x:c r="J721" s="74"/>
      <x:c r="K721" s="74"/>
      <x:c r="L721" s="91"/>
      <x:c r="M721" s="91"/>
      <x:c r="N721" s="91"/>
      <x:c r="O721" s="91"/>
      <x:c r="P721" s="85"/>
      <x:c r="R721" s="86"/>
      <x:c r="S721" s="32"/>
    </x:row>
    <x:row r="722">
      <x:c r="A722" s="87"/>
      <x:c r="D722" s="32"/>
      <x:c r="I722" s="74"/>
      <x:c r="J722" s="74"/>
      <x:c r="K722" s="74"/>
      <x:c r="L722" s="91"/>
      <x:c r="M722" s="91"/>
      <x:c r="N722" s="91"/>
      <x:c r="O722" s="91"/>
      <x:c r="P722" s="85"/>
      <x:c r="R722" s="86"/>
      <x:c r="S722" s="32"/>
    </x:row>
    <x:row r="723">
      <x:c r="A723" s="87"/>
      <x:c r="D723" s="32"/>
      <x:c r="I723" s="74"/>
      <x:c r="J723" s="74"/>
      <x:c r="K723" s="74"/>
      <x:c r="L723" s="91"/>
      <x:c r="M723" s="91"/>
      <x:c r="N723" s="91"/>
      <x:c r="O723" s="91"/>
      <x:c r="P723" s="85"/>
      <x:c r="R723" s="86"/>
      <x:c r="S723" s="32"/>
    </x:row>
    <x:row r="724">
      <x:c r="A724" s="87"/>
      <x:c r="D724" s="32"/>
      <x:c r="I724" s="74"/>
      <x:c r="J724" s="74"/>
      <x:c r="K724" s="74"/>
      <x:c r="L724" s="91"/>
      <x:c r="M724" s="91"/>
      <x:c r="N724" s="91"/>
      <x:c r="O724" s="91"/>
      <x:c r="P724" s="85"/>
      <x:c r="R724" s="86"/>
      <x:c r="S724" s="32"/>
    </x:row>
    <x:row r="725">
      <x:c r="A725" s="87"/>
      <x:c r="D725" s="32"/>
      <x:c r="I725" s="74"/>
      <x:c r="J725" s="74"/>
      <x:c r="K725" s="74"/>
      <x:c r="L725" s="91"/>
      <x:c r="M725" s="91"/>
      <x:c r="N725" s="91"/>
      <x:c r="O725" s="91"/>
      <x:c r="P725" s="85"/>
      <x:c r="R725" s="86"/>
      <x:c r="S725" s="32"/>
    </x:row>
    <x:row r="726">
      <x:c r="A726" s="87"/>
      <x:c r="D726" s="32"/>
      <x:c r="I726" s="74"/>
      <x:c r="J726" s="74"/>
      <x:c r="K726" s="74"/>
      <x:c r="L726" s="91"/>
      <x:c r="M726" s="91"/>
      <x:c r="N726" s="91"/>
      <x:c r="O726" s="91"/>
      <x:c r="P726" s="85"/>
      <x:c r="R726" s="86"/>
      <x:c r="S726" s="32"/>
    </x:row>
    <x:row r="727">
      <x:c r="A727" s="87"/>
      <x:c r="D727" s="32"/>
      <x:c r="I727" s="74"/>
      <x:c r="J727" s="74"/>
      <x:c r="K727" s="74"/>
      <x:c r="L727" s="91"/>
      <x:c r="M727" s="91"/>
      <x:c r="N727" s="91"/>
      <x:c r="O727" s="91"/>
      <x:c r="P727" s="85"/>
      <x:c r="R727" s="86"/>
      <x:c r="S727" s="32"/>
    </x:row>
    <x:row r="728">
      <x:c r="A728" s="87"/>
      <x:c r="D728" s="32"/>
      <x:c r="I728" s="74"/>
      <x:c r="J728" s="74"/>
      <x:c r="K728" s="74"/>
      <x:c r="L728" s="91"/>
      <x:c r="M728" s="91"/>
      <x:c r="N728" s="91"/>
      <x:c r="O728" s="91"/>
      <x:c r="P728" s="85"/>
      <x:c r="R728" s="86"/>
      <x:c r="S728" s="32"/>
    </x:row>
    <x:row r="729">
      <x:c r="A729" s="87"/>
      <x:c r="D729" s="32"/>
      <x:c r="I729" s="74"/>
      <x:c r="J729" s="74"/>
      <x:c r="K729" s="74"/>
      <x:c r="L729" s="91"/>
      <x:c r="M729" s="91"/>
      <x:c r="N729" s="91"/>
      <x:c r="O729" s="91"/>
      <x:c r="P729" s="85"/>
      <x:c r="R729" s="86"/>
      <x:c r="S729" s="32"/>
    </x:row>
    <x:row r="730">
      <x:c r="A730" s="87"/>
      <x:c r="D730" s="32"/>
      <x:c r="I730" s="74"/>
      <x:c r="J730" s="74"/>
      <x:c r="K730" s="74"/>
      <x:c r="L730" s="91"/>
      <x:c r="M730" s="91"/>
      <x:c r="N730" s="91"/>
      <x:c r="O730" s="91"/>
      <x:c r="P730" s="85"/>
      <x:c r="R730" s="86"/>
      <x:c r="S730" s="32"/>
    </x:row>
    <x:row r="731">
      <x:c r="A731" s="87"/>
      <x:c r="D731" s="32"/>
      <x:c r="I731" s="74"/>
      <x:c r="J731" s="74"/>
      <x:c r="K731" s="74"/>
      <x:c r="L731" s="91"/>
      <x:c r="M731" s="91"/>
      <x:c r="N731" s="91"/>
      <x:c r="O731" s="91"/>
      <x:c r="P731" s="85"/>
      <x:c r="R731" s="86"/>
      <x:c r="S731" s="32"/>
    </x:row>
    <x:row r="732">
      <x:c r="A732" s="87"/>
      <x:c r="D732" s="32"/>
      <x:c r="I732" s="74"/>
      <x:c r="J732" s="74"/>
      <x:c r="K732" s="74"/>
      <x:c r="L732" s="91"/>
      <x:c r="M732" s="91"/>
      <x:c r="N732" s="91"/>
      <x:c r="O732" s="91"/>
      <x:c r="P732" s="85"/>
      <x:c r="R732" s="86"/>
      <x:c r="S732" s="32"/>
    </x:row>
    <x:row r="733">
      <x:c r="A733" s="87"/>
      <x:c r="D733" s="32"/>
      <x:c r="I733" s="74"/>
      <x:c r="J733" s="74"/>
      <x:c r="K733" s="74"/>
      <x:c r="L733" s="91"/>
      <x:c r="M733" s="91"/>
      <x:c r="N733" s="91"/>
      <x:c r="O733" s="91"/>
      <x:c r="P733" s="85"/>
      <x:c r="R733" s="86"/>
      <x:c r="S733" s="32"/>
    </x:row>
    <x:row r="734">
      <x:c r="A734" s="87"/>
      <x:c r="D734" s="32"/>
      <x:c r="I734" s="74"/>
      <x:c r="J734" s="74"/>
      <x:c r="K734" s="74"/>
      <x:c r="L734" s="91"/>
      <x:c r="M734" s="91"/>
      <x:c r="N734" s="91"/>
      <x:c r="O734" s="91"/>
      <x:c r="P734" s="85"/>
      <x:c r="R734" s="86"/>
      <x:c r="S734" s="32"/>
    </x:row>
    <x:row r="735">
      <x:c r="A735" s="87"/>
      <x:c r="D735" s="32"/>
      <x:c r="I735" s="74"/>
      <x:c r="J735" s="74"/>
      <x:c r="K735" s="74"/>
      <x:c r="L735" s="91"/>
      <x:c r="M735" s="91"/>
      <x:c r="N735" s="91"/>
      <x:c r="O735" s="91"/>
      <x:c r="P735" s="85"/>
      <x:c r="R735" s="86"/>
      <x:c r="S735" s="32"/>
    </x:row>
    <x:row r="736">
      <x:c r="A736" s="87"/>
      <x:c r="D736" s="32"/>
      <x:c r="I736" s="74"/>
      <x:c r="J736" s="74"/>
      <x:c r="K736" s="74"/>
      <x:c r="L736" s="91"/>
      <x:c r="M736" s="91"/>
      <x:c r="N736" s="91"/>
      <x:c r="O736" s="91"/>
      <x:c r="P736" s="85"/>
      <x:c r="R736" s="86"/>
      <x:c r="S736" s="32"/>
    </x:row>
    <x:row r="737">
      <x:c r="A737" s="87"/>
      <x:c r="D737" s="32"/>
      <x:c r="I737" s="74"/>
      <x:c r="J737" s="74"/>
      <x:c r="K737" s="74"/>
      <x:c r="L737" s="91"/>
      <x:c r="M737" s="91"/>
      <x:c r="N737" s="91"/>
      <x:c r="O737" s="91"/>
      <x:c r="P737" s="85"/>
      <x:c r="R737" s="86"/>
      <x:c r="S737" s="32"/>
    </x:row>
    <x:row r="738">
      <x:c r="A738" s="87"/>
      <x:c r="D738" s="32"/>
      <x:c r="I738" s="74"/>
      <x:c r="J738" s="74"/>
      <x:c r="K738" s="74"/>
      <x:c r="L738" s="91"/>
      <x:c r="M738" s="91"/>
      <x:c r="N738" s="91"/>
      <x:c r="O738" s="91"/>
      <x:c r="P738" s="85"/>
      <x:c r="R738" s="86"/>
      <x:c r="S738" s="32"/>
    </x:row>
    <x:row r="739">
      <x:c r="A739" s="87"/>
      <x:c r="D739" s="32"/>
      <x:c r="I739" s="74"/>
      <x:c r="J739" s="74"/>
      <x:c r="K739" s="74"/>
      <x:c r="L739" s="91"/>
      <x:c r="M739" s="91"/>
      <x:c r="N739" s="91"/>
      <x:c r="O739" s="91"/>
      <x:c r="P739" s="85"/>
      <x:c r="R739" s="86"/>
      <x:c r="S739" s="32"/>
    </x:row>
    <x:row r="740">
      <x:c r="A740" s="87"/>
      <x:c r="D740" s="32"/>
      <x:c r="I740" s="74"/>
      <x:c r="J740" s="74"/>
      <x:c r="K740" s="74"/>
      <x:c r="L740" s="91"/>
      <x:c r="M740" s="91"/>
      <x:c r="N740" s="91"/>
      <x:c r="O740" s="91"/>
      <x:c r="P740" s="85"/>
      <x:c r="R740" s="86"/>
      <x:c r="S740" s="32"/>
    </x:row>
    <x:row r="741">
      <x:c r="A741" s="87"/>
      <x:c r="D741" s="32"/>
      <x:c r="I741" s="74"/>
      <x:c r="J741" s="74"/>
      <x:c r="K741" s="74"/>
      <x:c r="L741" s="91"/>
      <x:c r="M741" s="91"/>
      <x:c r="N741" s="91"/>
      <x:c r="O741" s="91"/>
      <x:c r="P741" s="85"/>
      <x:c r="R741" s="86"/>
      <x:c r="S741" s="32"/>
    </x:row>
    <x:row r="742">
      <x:c r="A742" s="87"/>
      <x:c r="D742" s="32"/>
      <x:c r="I742" s="74"/>
      <x:c r="J742" s="74"/>
      <x:c r="K742" s="74"/>
      <x:c r="L742" s="91"/>
      <x:c r="M742" s="91"/>
      <x:c r="N742" s="91"/>
      <x:c r="O742" s="91"/>
      <x:c r="P742" s="85"/>
      <x:c r="R742" s="86"/>
      <x:c r="S742" s="32"/>
    </x:row>
    <x:row r="743">
      <x:c r="A743" s="87"/>
      <x:c r="D743" s="32"/>
      <x:c r="I743" s="74"/>
      <x:c r="J743" s="74"/>
      <x:c r="K743" s="74"/>
      <x:c r="L743" s="91"/>
      <x:c r="M743" s="91"/>
      <x:c r="N743" s="91"/>
      <x:c r="O743" s="91"/>
      <x:c r="P743" s="85"/>
      <x:c r="R743" s="86"/>
      <x:c r="S743" s="32"/>
    </x:row>
    <x:row r="744">
      <x:c r="A744" s="87"/>
      <x:c r="D744" s="32"/>
      <x:c r="I744" s="74"/>
      <x:c r="J744" s="74"/>
      <x:c r="K744" s="74"/>
      <x:c r="L744" s="91"/>
      <x:c r="M744" s="91"/>
      <x:c r="N744" s="91"/>
      <x:c r="O744" s="91"/>
      <x:c r="P744" s="85"/>
      <x:c r="R744" s="86"/>
      <x:c r="S744" s="32"/>
    </x:row>
    <x:row r="745">
      <x:c r="A745" s="87"/>
      <x:c r="D745" s="32"/>
      <x:c r="I745" s="74"/>
      <x:c r="J745" s="74"/>
      <x:c r="K745" s="74"/>
      <x:c r="L745" s="91"/>
      <x:c r="M745" s="91"/>
      <x:c r="N745" s="91"/>
      <x:c r="O745" s="91"/>
      <x:c r="P745" s="85"/>
      <x:c r="R745" s="86"/>
      <x:c r="S745" s="32"/>
    </x:row>
    <x:row r="746">
      <x:c r="A746" s="87"/>
      <x:c r="D746" s="32"/>
      <x:c r="I746" s="74"/>
      <x:c r="J746" s="74"/>
      <x:c r="K746" s="74"/>
      <x:c r="L746" s="91"/>
      <x:c r="M746" s="91"/>
      <x:c r="N746" s="91"/>
      <x:c r="O746" s="91"/>
      <x:c r="P746" s="85"/>
      <x:c r="R746" s="86"/>
      <x:c r="S746" s="32"/>
    </x:row>
    <x:row r="747">
      <x:c r="A747" s="87"/>
      <x:c r="D747" s="32"/>
      <x:c r="I747" s="74"/>
      <x:c r="J747" s="74"/>
      <x:c r="K747" s="74"/>
      <x:c r="L747" s="91"/>
      <x:c r="M747" s="91"/>
      <x:c r="N747" s="91"/>
      <x:c r="O747" s="91"/>
      <x:c r="P747" s="85"/>
      <x:c r="R747" s="86"/>
      <x:c r="S747" s="32"/>
    </x:row>
    <x:row r="748">
      <x:c r="A748" s="87"/>
      <x:c r="D748" s="32"/>
      <x:c r="I748" s="74"/>
      <x:c r="J748" s="74"/>
      <x:c r="K748" s="74"/>
      <x:c r="L748" s="91"/>
      <x:c r="M748" s="91"/>
      <x:c r="N748" s="91"/>
      <x:c r="O748" s="91"/>
      <x:c r="P748" s="85"/>
      <x:c r="R748" s="86"/>
      <x:c r="S748" s="32"/>
    </x:row>
    <x:row r="749">
      <x:c r="A749" s="87"/>
      <x:c r="D749" s="32"/>
      <x:c r="I749" s="74"/>
      <x:c r="J749" s="74"/>
      <x:c r="K749" s="74"/>
      <x:c r="L749" s="91"/>
      <x:c r="M749" s="91"/>
      <x:c r="N749" s="91"/>
      <x:c r="O749" s="91"/>
      <x:c r="P749" s="85"/>
      <x:c r="R749" s="86"/>
      <x:c r="S749" s="32"/>
    </x:row>
    <x:row r="750">
      <x:c r="A750" s="87"/>
      <x:c r="D750" s="32"/>
      <x:c r="I750" s="74"/>
      <x:c r="J750" s="74"/>
      <x:c r="K750" s="74"/>
      <x:c r="L750" s="91"/>
      <x:c r="M750" s="91"/>
      <x:c r="N750" s="91"/>
      <x:c r="O750" s="91"/>
      <x:c r="P750" s="85"/>
      <x:c r="R750" s="86"/>
      <x:c r="S750" s="32"/>
    </x:row>
    <x:row r="751">
      <x:c r="A751" s="87"/>
      <x:c r="D751" s="32"/>
      <x:c r="I751" s="74"/>
      <x:c r="J751" s="74"/>
      <x:c r="K751" s="74"/>
      <x:c r="L751" s="91"/>
      <x:c r="M751" s="91"/>
      <x:c r="N751" s="91"/>
      <x:c r="O751" s="91"/>
      <x:c r="P751" s="85"/>
      <x:c r="R751" s="86"/>
      <x:c r="S751" s="32"/>
    </x:row>
    <x:row r="752">
      <x:c r="A752" s="87"/>
      <x:c r="D752" s="32"/>
      <x:c r="I752" s="74"/>
      <x:c r="J752" s="74"/>
      <x:c r="K752" s="74"/>
      <x:c r="L752" s="91"/>
      <x:c r="M752" s="91"/>
      <x:c r="N752" s="91"/>
      <x:c r="O752" s="91"/>
      <x:c r="P752" s="85"/>
      <x:c r="R752" s="86"/>
      <x:c r="S752" s="32"/>
    </x:row>
    <x:row r="753">
      <x:c r="A753" s="87"/>
      <x:c r="D753" s="32"/>
      <x:c r="I753" s="74"/>
      <x:c r="J753" s="74"/>
      <x:c r="K753" s="74"/>
      <x:c r="L753" s="91"/>
      <x:c r="M753" s="91"/>
      <x:c r="N753" s="91"/>
      <x:c r="O753" s="91"/>
      <x:c r="P753" s="85"/>
      <x:c r="R753" s="86"/>
      <x:c r="S753" s="32"/>
    </x:row>
    <x:row r="754">
      <x:c r="A754" s="87"/>
      <x:c r="D754" s="32"/>
      <x:c r="I754" s="74"/>
      <x:c r="J754" s="74"/>
      <x:c r="K754" s="74"/>
      <x:c r="L754" s="91"/>
      <x:c r="M754" s="91"/>
      <x:c r="N754" s="91"/>
      <x:c r="O754" s="91"/>
      <x:c r="P754" s="85"/>
      <x:c r="R754" s="86"/>
      <x:c r="S754" s="32"/>
    </x:row>
    <x:row r="755">
      <x:c r="A755" s="87"/>
      <x:c r="D755" s="32"/>
      <x:c r="I755" s="74"/>
      <x:c r="J755" s="74"/>
      <x:c r="K755" s="74"/>
      <x:c r="L755" s="91"/>
      <x:c r="M755" s="91"/>
      <x:c r="N755" s="91"/>
      <x:c r="O755" s="91"/>
      <x:c r="P755" s="85"/>
      <x:c r="R755" s="86"/>
      <x:c r="S755" s="32"/>
    </x:row>
    <x:row r="756">
      <x:c r="A756" s="87"/>
      <x:c r="D756" s="32"/>
      <x:c r="I756" s="74"/>
      <x:c r="J756" s="74"/>
      <x:c r="K756" s="74"/>
      <x:c r="L756" s="91"/>
      <x:c r="M756" s="91"/>
      <x:c r="N756" s="91"/>
      <x:c r="O756" s="91"/>
      <x:c r="P756" s="85"/>
      <x:c r="R756" s="86"/>
      <x:c r="S756" s="32"/>
    </x:row>
    <x:row r="757">
      <x:c r="A757" s="87"/>
      <x:c r="D757" s="32"/>
      <x:c r="I757" s="74"/>
      <x:c r="J757" s="74"/>
      <x:c r="K757" s="74"/>
      <x:c r="L757" s="91"/>
      <x:c r="M757" s="91"/>
      <x:c r="N757" s="91"/>
      <x:c r="O757" s="91"/>
      <x:c r="P757" s="85"/>
      <x:c r="R757" s="86"/>
      <x:c r="S757" s="32"/>
    </x:row>
    <x:row r="758">
      <x:c r="A758" s="87"/>
      <x:c r="D758" s="32"/>
      <x:c r="I758" s="74"/>
      <x:c r="J758" s="74"/>
      <x:c r="K758" s="74"/>
      <x:c r="L758" s="91"/>
      <x:c r="M758" s="91"/>
      <x:c r="N758" s="91"/>
      <x:c r="O758" s="91"/>
      <x:c r="P758" s="85"/>
      <x:c r="R758" s="86"/>
      <x:c r="S758" s="32"/>
    </x:row>
    <x:row r="759">
      <x:c r="A759" s="87"/>
      <x:c r="D759" s="32"/>
      <x:c r="I759" s="74"/>
      <x:c r="J759" s="74"/>
      <x:c r="K759" s="74"/>
      <x:c r="L759" s="91"/>
      <x:c r="M759" s="91"/>
      <x:c r="N759" s="91"/>
      <x:c r="O759" s="91"/>
      <x:c r="P759" s="85"/>
      <x:c r="R759" s="86"/>
      <x:c r="S759" s="32"/>
    </x:row>
    <x:row r="760">
      <x:c r="A760" s="87"/>
      <x:c r="D760" s="32"/>
      <x:c r="I760" s="74"/>
      <x:c r="J760" s="74"/>
      <x:c r="K760" s="74"/>
      <x:c r="L760" s="91"/>
      <x:c r="M760" s="91"/>
      <x:c r="N760" s="91"/>
      <x:c r="O760" s="91"/>
      <x:c r="P760" s="85"/>
      <x:c r="R760" s="86"/>
      <x:c r="S760" s="32"/>
    </x:row>
    <x:row r="761">
      <x:c r="A761" s="87"/>
      <x:c r="D761" s="32"/>
      <x:c r="I761" s="74"/>
      <x:c r="J761" s="74"/>
      <x:c r="K761" s="74"/>
      <x:c r="L761" s="91"/>
      <x:c r="M761" s="91"/>
      <x:c r="N761" s="91"/>
      <x:c r="O761" s="91"/>
      <x:c r="P761" s="85"/>
      <x:c r="R761" s="86"/>
      <x:c r="S761" s="32"/>
    </x:row>
    <x:row r="762">
      <x:c r="A762" s="87"/>
      <x:c r="D762" s="32"/>
      <x:c r="I762" s="74"/>
      <x:c r="J762" s="74"/>
      <x:c r="K762" s="74"/>
      <x:c r="L762" s="91"/>
      <x:c r="M762" s="91"/>
      <x:c r="N762" s="91"/>
      <x:c r="O762" s="91"/>
      <x:c r="P762" s="85"/>
      <x:c r="R762" s="86"/>
      <x:c r="S762" s="32"/>
    </x:row>
    <x:row r="763">
      <x:c r="A763" s="87"/>
      <x:c r="D763" s="32"/>
      <x:c r="I763" s="74"/>
      <x:c r="J763" s="74"/>
      <x:c r="K763" s="74"/>
      <x:c r="L763" s="91"/>
      <x:c r="M763" s="91"/>
      <x:c r="N763" s="91"/>
      <x:c r="O763" s="91"/>
      <x:c r="P763" s="85"/>
      <x:c r="R763" s="86"/>
      <x:c r="S763" s="32"/>
    </x:row>
    <x:row r="764">
      <x:c r="A764" s="87"/>
      <x:c r="D764" s="32"/>
      <x:c r="I764" s="74"/>
      <x:c r="J764" s="74"/>
      <x:c r="K764" s="74"/>
      <x:c r="L764" s="91"/>
      <x:c r="M764" s="91"/>
      <x:c r="N764" s="91"/>
      <x:c r="O764" s="91"/>
      <x:c r="P764" s="85"/>
      <x:c r="R764" s="86"/>
      <x:c r="S764" s="32"/>
    </x:row>
    <x:row r="765">
      <x:c r="A765" s="87"/>
      <x:c r="D765" s="32"/>
      <x:c r="I765" s="74"/>
      <x:c r="J765" s="74"/>
      <x:c r="K765" s="74"/>
      <x:c r="L765" s="91"/>
      <x:c r="M765" s="91"/>
      <x:c r="N765" s="91"/>
      <x:c r="O765" s="91"/>
      <x:c r="P765" s="85"/>
      <x:c r="R765" s="86"/>
      <x:c r="S765" s="32"/>
    </x:row>
    <x:row r="766">
      <x:c r="A766" s="87"/>
      <x:c r="D766" s="32"/>
      <x:c r="I766" s="74"/>
      <x:c r="J766" s="74"/>
      <x:c r="K766" s="74"/>
      <x:c r="L766" s="91"/>
      <x:c r="M766" s="91"/>
      <x:c r="N766" s="91"/>
      <x:c r="O766" s="91"/>
      <x:c r="P766" s="85"/>
      <x:c r="R766" s="86"/>
      <x:c r="S766" s="32"/>
    </x:row>
    <x:row r="767">
      <x:c r="A767" s="87"/>
      <x:c r="D767" s="32"/>
      <x:c r="I767" s="74"/>
      <x:c r="J767" s="74"/>
      <x:c r="K767" s="74"/>
      <x:c r="L767" s="91"/>
      <x:c r="M767" s="91"/>
      <x:c r="N767" s="91"/>
      <x:c r="O767" s="91"/>
      <x:c r="P767" s="85"/>
      <x:c r="R767" s="86"/>
      <x:c r="S767" s="32"/>
    </x:row>
    <x:row r="768">
      <x:c r="A768" s="87"/>
      <x:c r="D768" s="32"/>
      <x:c r="I768" s="74"/>
      <x:c r="J768" s="74"/>
      <x:c r="K768" s="74"/>
      <x:c r="L768" s="91"/>
      <x:c r="M768" s="91"/>
      <x:c r="N768" s="91"/>
      <x:c r="O768" s="91"/>
      <x:c r="P768" s="85"/>
      <x:c r="R768" s="86"/>
      <x:c r="S768" s="32"/>
    </x:row>
    <x:row r="769">
      <x:c r="A769" s="87"/>
      <x:c r="D769" s="32"/>
      <x:c r="I769" s="74"/>
      <x:c r="J769" s="74"/>
      <x:c r="K769" s="74"/>
      <x:c r="L769" s="91"/>
      <x:c r="M769" s="91"/>
      <x:c r="N769" s="91"/>
      <x:c r="O769" s="91"/>
      <x:c r="P769" s="85"/>
      <x:c r="R769" s="86"/>
      <x:c r="S769" s="32"/>
    </x:row>
    <x:row r="770">
      <x:c r="A770" s="87"/>
      <x:c r="D770" s="32"/>
      <x:c r="I770" s="74"/>
      <x:c r="J770" s="74"/>
      <x:c r="K770" s="74"/>
      <x:c r="L770" s="91"/>
      <x:c r="M770" s="91"/>
      <x:c r="N770" s="91"/>
      <x:c r="O770" s="91"/>
      <x:c r="P770" s="85"/>
      <x:c r="R770" s="86"/>
      <x:c r="S770" s="32"/>
    </x:row>
    <x:row r="771">
      <x:c r="A771" s="87"/>
      <x:c r="D771" s="32"/>
      <x:c r="I771" s="74"/>
      <x:c r="J771" s="74"/>
      <x:c r="K771" s="74"/>
      <x:c r="L771" s="91"/>
      <x:c r="M771" s="91"/>
      <x:c r="N771" s="91"/>
      <x:c r="O771" s="91"/>
      <x:c r="P771" s="85"/>
      <x:c r="R771" s="86"/>
      <x:c r="S771" s="32"/>
    </x:row>
    <x:row r="772">
      <x:c r="A772" s="87"/>
      <x:c r="D772" s="32"/>
      <x:c r="I772" s="74"/>
      <x:c r="J772" s="74"/>
      <x:c r="K772" s="74"/>
      <x:c r="L772" s="91"/>
      <x:c r="M772" s="91"/>
      <x:c r="N772" s="91"/>
      <x:c r="O772" s="91"/>
      <x:c r="P772" s="85"/>
      <x:c r="R772" s="86"/>
      <x:c r="S772" s="32"/>
    </x:row>
    <x:row r="773">
      <x:c r="A773" s="87"/>
      <x:c r="D773" s="32"/>
      <x:c r="I773" s="74"/>
      <x:c r="J773" s="74"/>
      <x:c r="K773" s="74"/>
      <x:c r="L773" s="91"/>
      <x:c r="M773" s="91"/>
      <x:c r="N773" s="91"/>
      <x:c r="O773" s="91"/>
      <x:c r="P773" s="85"/>
      <x:c r="R773" s="86"/>
      <x:c r="S773" s="32"/>
    </x:row>
    <x:row r="774">
      <x:c r="A774" s="87"/>
      <x:c r="D774" s="32"/>
      <x:c r="I774" s="74"/>
      <x:c r="J774" s="74"/>
      <x:c r="K774" s="74"/>
      <x:c r="L774" s="91"/>
      <x:c r="M774" s="91"/>
      <x:c r="N774" s="91"/>
      <x:c r="O774" s="91"/>
      <x:c r="P774" s="85"/>
      <x:c r="R774" s="86"/>
      <x:c r="S774" s="32"/>
    </x:row>
    <x:row r="775">
      <x:c r="A775" s="87"/>
      <x:c r="D775" s="32"/>
      <x:c r="I775" s="74"/>
      <x:c r="J775" s="74"/>
      <x:c r="K775" s="74"/>
      <x:c r="L775" s="91"/>
      <x:c r="M775" s="91"/>
      <x:c r="N775" s="91"/>
      <x:c r="O775" s="91"/>
      <x:c r="P775" s="85"/>
      <x:c r="R775" s="86"/>
      <x:c r="S775" s="32"/>
    </x:row>
    <x:row r="776">
      <x:c r="A776" s="87"/>
      <x:c r="D776" s="32"/>
      <x:c r="I776" s="74"/>
      <x:c r="J776" s="74"/>
      <x:c r="K776" s="74"/>
      <x:c r="L776" s="91"/>
      <x:c r="M776" s="91"/>
      <x:c r="N776" s="91"/>
      <x:c r="O776" s="91"/>
      <x:c r="P776" s="85"/>
      <x:c r="R776" s="86"/>
      <x:c r="S776" s="32"/>
    </x:row>
    <x:row r="777">
      <x:c r="A777" s="87"/>
      <x:c r="D777" s="32"/>
      <x:c r="I777" s="74"/>
      <x:c r="J777" s="74"/>
      <x:c r="K777" s="74"/>
      <x:c r="L777" s="91"/>
      <x:c r="M777" s="91"/>
      <x:c r="N777" s="91"/>
      <x:c r="O777" s="91"/>
      <x:c r="P777" s="85"/>
      <x:c r="R777" s="86"/>
      <x:c r="S777" s="32"/>
    </x:row>
    <x:row r="778">
      <x:c r="A778" s="87"/>
      <x:c r="D778" s="32"/>
      <x:c r="I778" s="74"/>
      <x:c r="J778" s="74"/>
      <x:c r="K778" s="74"/>
      <x:c r="L778" s="91"/>
      <x:c r="M778" s="91"/>
      <x:c r="N778" s="91"/>
      <x:c r="O778" s="91"/>
      <x:c r="P778" s="85"/>
      <x:c r="R778" s="86"/>
      <x:c r="S778" s="32"/>
    </x:row>
    <x:row r="779">
      <x:c r="A779" s="87"/>
      <x:c r="D779" s="32"/>
      <x:c r="I779" s="74"/>
      <x:c r="J779" s="74"/>
      <x:c r="K779" s="74"/>
      <x:c r="L779" s="91"/>
      <x:c r="M779" s="91"/>
      <x:c r="N779" s="91"/>
      <x:c r="O779" s="91"/>
      <x:c r="P779" s="85"/>
      <x:c r="R779" s="86"/>
      <x:c r="S779" s="32"/>
    </x:row>
    <x:row r="780">
      <x:c r="A780" s="87"/>
      <x:c r="D780" s="32"/>
      <x:c r="I780" s="74"/>
      <x:c r="J780" s="74"/>
      <x:c r="K780" s="74"/>
      <x:c r="L780" s="91"/>
      <x:c r="M780" s="91"/>
      <x:c r="N780" s="91"/>
      <x:c r="O780" s="91"/>
      <x:c r="P780" s="85"/>
      <x:c r="R780" s="86"/>
      <x:c r="S780" s="32"/>
    </x:row>
    <x:row r="781">
      <x:c r="A781" s="87"/>
      <x:c r="D781" s="32"/>
      <x:c r="I781" s="74"/>
      <x:c r="J781" s="74"/>
      <x:c r="K781" s="74"/>
      <x:c r="L781" s="91"/>
      <x:c r="M781" s="91"/>
      <x:c r="N781" s="91"/>
      <x:c r="O781" s="91"/>
      <x:c r="P781" s="85"/>
      <x:c r="R781" s="86"/>
      <x:c r="S781" s="32"/>
    </x:row>
    <x:row r="782">
      <x:c r="A782" s="87"/>
      <x:c r="D782" s="32"/>
      <x:c r="I782" s="74"/>
      <x:c r="J782" s="74"/>
      <x:c r="K782" s="74"/>
      <x:c r="L782" s="91"/>
      <x:c r="M782" s="91"/>
      <x:c r="N782" s="91"/>
      <x:c r="O782" s="91"/>
      <x:c r="P782" s="85"/>
      <x:c r="R782" s="86"/>
      <x:c r="S782" s="32"/>
    </x:row>
    <x:row r="783">
      <x:c r="A783" s="87"/>
      <x:c r="D783" s="32"/>
      <x:c r="I783" s="74"/>
      <x:c r="J783" s="74"/>
      <x:c r="K783" s="74"/>
      <x:c r="L783" s="91"/>
      <x:c r="M783" s="91"/>
      <x:c r="N783" s="91"/>
      <x:c r="O783" s="91"/>
      <x:c r="P783" s="85"/>
      <x:c r="R783" s="86"/>
      <x:c r="S783" s="32"/>
    </x:row>
    <x:row r="784">
      <x:c r="A784" s="87"/>
      <x:c r="D784" s="32"/>
      <x:c r="I784" s="74"/>
      <x:c r="J784" s="74"/>
      <x:c r="K784" s="74"/>
      <x:c r="L784" s="91"/>
      <x:c r="M784" s="91"/>
      <x:c r="N784" s="91"/>
      <x:c r="O784" s="91"/>
      <x:c r="P784" s="85"/>
      <x:c r="R784" s="86"/>
      <x:c r="S784" s="32"/>
    </x:row>
    <x:row r="785">
      <x:c r="A785" s="87"/>
      <x:c r="D785" s="32"/>
      <x:c r="I785" s="74"/>
      <x:c r="J785" s="74"/>
      <x:c r="K785" s="74"/>
      <x:c r="L785" s="91"/>
      <x:c r="M785" s="91"/>
      <x:c r="N785" s="91"/>
      <x:c r="O785" s="91"/>
      <x:c r="P785" s="85"/>
      <x:c r="R785" s="86"/>
      <x:c r="S785" s="32"/>
    </x:row>
    <x:row r="786">
      <x:c r="A786" s="87"/>
      <x:c r="D786" s="32"/>
      <x:c r="I786" s="74"/>
      <x:c r="J786" s="74"/>
      <x:c r="K786" s="74"/>
      <x:c r="L786" s="91"/>
      <x:c r="M786" s="91"/>
      <x:c r="N786" s="91"/>
      <x:c r="O786" s="91"/>
      <x:c r="P786" s="85"/>
      <x:c r="R786" s="86"/>
      <x:c r="S786" s="32"/>
    </x:row>
    <x:row r="787">
      <x:c r="A787" s="87"/>
      <x:c r="D787" s="32"/>
      <x:c r="I787" s="74"/>
      <x:c r="J787" s="74"/>
      <x:c r="K787" s="74"/>
      <x:c r="L787" s="91"/>
      <x:c r="M787" s="91"/>
      <x:c r="N787" s="91"/>
      <x:c r="O787" s="91"/>
      <x:c r="P787" s="85"/>
      <x:c r="R787" s="86"/>
      <x:c r="S787" s="32"/>
    </x:row>
    <x:row r="788">
      <x:c r="A788" s="87"/>
      <x:c r="D788" s="32"/>
      <x:c r="I788" s="74"/>
      <x:c r="J788" s="74"/>
      <x:c r="K788" s="74"/>
      <x:c r="L788" s="91"/>
      <x:c r="M788" s="91"/>
      <x:c r="N788" s="91"/>
      <x:c r="O788" s="91"/>
      <x:c r="P788" s="85"/>
      <x:c r="R788" s="86"/>
      <x:c r="S788" s="32"/>
    </x:row>
    <x:row r="789">
      <x:c r="A789" s="87"/>
      <x:c r="D789" s="32"/>
      <x:c r="I789" s="74"/>
      <x:c r="J789" s="74"/>
      <x:c r="K789" s="74"/>
      <x:c r="L789" s="91"/>
      <x:c r="M789" s="91"/>
      <x:c r="N789" s="91"/>
      <x:c r="O789" s="91"/>
      <x:c r="P789" s="85"/>
      <x:c r="R789" s="86"/>
      <x:c r="S789" s="32"/>
    </x:row>
    <x:row r="790">
      <x:c r="A790" s="87"/>
      <x:c r="D790" s="32"/>
      <x:c r="I790" s="74"/>
      <x:c r="J790" s="74"/>
      <x:c r="K790" s="74"/>
      <x:c r="L790" s="91"/>
      <x:c r="M790" s="91"/>
      <x:c r="N790" s="91"/>
      <x:c r="O790" s="91"/>
      <x:c r="P790" s="85"/>
      <x:c r="R790" s="86"/>
      <x:c r="S790" s="32"/>
    </x:row>
    <x:row r="791">
      <x:c r="A791" s="87"/>
      <x:c r="D791" s="32"/>
      <x:c r="I791" s="74"/>
      <x:c r="J791" s="74"/>
      <x:c r="K791" s="74"/>
      <x:c r="L791" s="91"/>
      <x:c r="M791" s="91"/>
      <x:c r="N791" s="91"/>
      <x:c r="O791" s="91"/>
      <x:c r="P791" s="85"/>
      <x:c r="R791" s="86"/>
      <x:c r="S791" s="32"/>
    </x:row>
    <x:row r="792">
      <x:c r="A792" s="87"/>
      <x:c r="D792" s="32"/>
      <x:c r="I792" s="74"/>
      <x:c r="J792" s="74"/>
      <x:c r="K792" s="74"/>
      <x:c r="L792" s="91"/>
      <x:c r="M792" s="91"/>
      <x:c r="N792" s="91"/>
      <x:c r="O792" s="91"/>
      <x:c r="P792" s="85"/>
      <x:c r="R792" s="86"/>
      <x:c r="S792" s="32"/>
    </x:row>
    <x:row r="793">
      <x:c r="A793" s="87"/>
      <x:c r="D793" s="32"/>
      <x:c r="I793" s="74"/>
      <x:c r="J793" s="74"/>
      <x:c r="K793" s="74"/>
      <x:c r="L793" s="91"/>
      <x:c r="M793" s="91"/>
      <x:c r="N793" s="91"/>
      <x:c r="O793" s="91"/>
      <x:c r="P793" s="85"/>
      <x:c r="R793" s="86"/>
      <x:c r="S793" s="32"/>
    </x:row>
    <x:row r="794">
      <x:c r="A794" s="87"/>
      <x:c r="D794" s="32"/>
      <x:c r="I794" s="74"/>
      <x:c r="J794" s="74"/>
      <x:c r="K794" s="74"/>
      <x:c r="L794" s="91"/>
      <x:c r="M794" s="91"/>
      <x:c r="N794" s="91"/>
      <x:c r="O794" s="91"/>
      <x:c r="P794" s="85"/>
      <x:c r="R794" s="86"/>
      <x:c r="S794" s="32"/>
    </x:row>
    <x:row r="795">
      <x:c r="A795" s="87"/>
      <x:c r="D795" s="32"/>
      <x:c r="I795" s="74"/>
      <x:c r="J795" s="74"/>
      <x:c r="K795" s="74"/>
      <x:c r="L795" s="91"/>
      <x:c r="M795" s="91"/>
      <x:c r="N795" s="91"/>
      <x:c r="O795" s="91"/>
      <x:c r="P795" s="85"/>
      <x:c r="R795" s="86"/>
      <x:c r="S795" s="32"/>
    </x:row>
    <x:row r="796">
      <x:c r="A796" s="87"/>
      <x:c r="D796" s="32"/>
      <x:c r="I796" s="74"/>
      <x:c r="J796" s="74"/>
      <x:c r="K796" s="74"/>
      <x:c r="L796" s="91"/>
      <x:c r="M796" s="91"/>
      <x:c r="N796" s="91"/>
      <x:c r="O796" s="91"/>
      <x:c r="P796" s="85"/>
      <x:c r="R796" s="86"/>
      <x:c r="S796" s="32"/>
    </x:row>
    <x:row r="797">
      <x:c r="A797" s="87"/>
      <x:c r="D797" s="32"/>
      <x:c r="I797" s="74"/>
      <x:c r="J797" s="74"/>
      <x:c r="K797" s="74"/>
      <x:c r="L797" s="91"/>
      <x:c r="M797" s="91"/>
      <x:c r="N797" s="91"/>
      <x:c r="O797" s="91"/>
      <x:c r="P797" s="85"/>
      <x:c r="R797" s="86"/>
      <x:c r="S797" s="32"/>
    </x:row>
    <x:row r="798">
      <x:c r="A798" s="87"/>
      <x:c r="D798" s="32"/>
      <x:c r="I798" s="74"/>
      <x:c r="J798" s="74"/>
      <x:c r="K798" s="74"/>
      <x:c r="L798" s="91"/>
      <x:c r="M798" s="91"/>
      <x:c r="N798" s="91"/>
      <x:c r="O798" s="91"/>
      <x:c r="P798" s="85"/>
      <x:c r="R798" s="86"/>
      <x:c r="S798" s="32"/>
    </x:row>
    <x:row r="799">
      <x:c r="A799" s="87"/>
      <x:c r="D799" s="32"/>
      <x:c r="I799" s="74"/>
      <x:c r="J799" s="74"/>
      <x:c r="K799" s="74"/>
      <x:c r="L799" s="91"/>
      <x:c r="M799" s="91"/>
      <x:c r="N799" s="91"/>
      <x:c r="O799" s="91"/>
      <x:c r="P799" s="85"/>
      <x:c r="R799" s="86"/>
      <x:c r="S799" s="32"/>
    </x:row>
    <x:row r="800">
      <x:c r="A800" s="87"/>
      <x:c r="D800" s="32"/>
      <x:c r="I800" s="74"/>
      <x:c r="J800" s="74"/>
      <x:c r="K800" s="74"/>
      <x:c r="L800" s="91"/>
      <x:c r="M800" s="91"/>
      <x:c r="N800" s="91"/>
      <x:c r="O800" s="91"/>
      <x:c r="P800" s="85"/>
      <x:c r="R800" s="86"/>
      <x:c r="S800" s="32"/>
    </x:row>
    <x:row r="801">
      <x:c r="A801" s="87"/>
      <x:c r="D801" s="32"/>
      <x:c r="I801" s="74"/>
      <x:c r="J801" s="74"/>
      <x:c r="K801" s="74"/>
      <x:c r="L801" s="91"/>
      <x:c r="M801" s="91"/>
      <x:c r="N801" s="91"/>
      <x:c r="O801" s="91"/>
      <x:c r="P801" s="85"/>
      <x:c r="R801" s="86"/>
      <x:c r="S801" s="32"/>
    </x:row>
    <x:row r="802">
      <x:c r="A802" s="87"/>
      <x:c r="D802" s="32"/>
      <x:c r="I802" s="74"/>
      <x:c r="J802" s="74"/>
      <x:c r="K802" s="74"/>
      <x:c r="L802" s="91"/>
      <x:c r="M802" s="91"/>
      <x:c r="N802" s="91"/>
      <x:c r="O802" s="91"/>
      <x:c r="P802" s="85"/>
      <x:c r="R802" s="86"/>
      <x:c r="S802" s="32"/>
    </x:row>
    <x:row r="803">
      <x:c r="A803" s="87"/>
      <x:c r="D803" s="32"/>
      <x:c r="I803" s="74"/>
      <x:c r="J803" s="74"/>
      <x:c r="K803" s="74"/>
      <x:c r="L803" s="91"/>
      <x:c r="M803" s="91"/>
      <x:c r="N803" s="91"/>
      <x:c r="O803" s="91"/>
      <x:c r="P803" s="85"/>
      <x:c r="R803" s="86"/>
      <x:c r="S803" s="32"/>
    </x:row>
    <x:row r="804">
      <x:c r="A804" s="87"/>
      <x:c r="D804" s="32"/>
      <x:c r="I804" s="74"/>
      <x:c r="J804" s="74"/>
      <x:c r="K804" s="74"/>
      <x:c r="L804" s="91"/>
      <x:c r="M804" s="91"/>
      <x:c r="N804" s="91"/>
      <x:c r="O804" s="91"/>
      <x:c r="P804" s="85"/>
      <x:c r="R804" s="86"/>
      <x:c r="S804" s="32"/>
    </x:row>
    <x:row r="805">
      <x:c r="A805" s="87"/>
      <x:c r="D805" s="32"/>
      <x:c r="I805" s="74"/>
      <x:c r="J805" s="74"/>
      <x:c r="K805" s="74"/>
      <x:c r="L805" s="91"/>
      <x:c r="M805" s="91"/>
      <x:c r="N805" s="91"/>
      <x:c r="O805" s="91"/>
      <x:c r="P805" s="85"/>
      <x:c r="R805" s="86"/>
      <x:c r="S805" s="32"/>
    </x:row>
    <x:row r="806">
      <x:c r="A806" s="87"/>
      <x:c r="D806" s="32"/>
      <x:c r="I806" s="74"/>
      <x:c r="J806" s="74"/>
      <x:c r="K806" s="74"/>
      <x:c r="L806" s="91"/>
      <x:c r="M806" s="91"/>
      <x:c r="N806" s="91"/>
      <x:c r="O806" s="91"/>
      <x:c r="P806" s="85"/>
      <x:c r="R806" s="86"/>
      <x:c r="S806" s="32"/>
    </x:row>
    <x:row r="807">
      <x:c r="A807" s="87"/>
      <x:c r="D807" s="32"/>
      <x:c r="I807" s="74"/>
      <x:c r="J807" s="74"/>
      <x:c r="K807" s="74"/>
      <x:c r="L807" s="91"/>
      <x:c r="M807" s="91"/>
      <x:c r="N807" s="91"/>
      <x:c r="O807" s="91"/>
      <x:c r="P807" s="85"/>
      <x:c r="R807" s="86"/>
      <x:c r="S807" s="32"/>
    </x:row>
    <x:row r="808">
      <x:c r="A808" s="87"/>
      <x:c r="D808" s="32"/>
      <x:c r="I808" s="74"/>
      <x:c r="J808" s="74"/>
      <x:c r="K808" s="74"/>
      <x:c r="L808" s="91"/>
      <x:c r="M808" s="91"/>
      <x:c r="N808" s="91"/>
      <x:c r="O808" s="91"/>
      <x:c r="P808" s="85"/>
      <x:c r="R808" s="86"/>
      <x:c r="S808" s="32"/>
    </x:row>
    <x:row r="809">
      <x:c r="A809" s="87"/>
      <x:c r="D809" s="32"/>
      <x:c r="I809" s="74"/>
      <x:c r="J809" s="74"/>
      <x:c r="K809" s="74"/>
      <x:c r="L809" s="91"/>
      <x:c r="M809" s="91"/>
      <x:c r="N809" s="91"/>
      <x:c r="O809" s="91"/>
      <x:c r="P809" s="85"/>
      <x:c r="R809" s="86"/>
      <x:c r="S809" s="32"/>
    </x:row>
    <x:row r="810">
      <x:c r="A810" s="87"/>
      <x:c r="D810" s="32"/>
      <x:c r="I810" s="74"/>
      <x:c r="J810" s="74"/>
      <x:c r="K810" s="74"/>
      <x:c r="L810" s="91"/>
      <x:c r="M810" s="91"/>
      <x:c r="N810" s="91"/>
      <x:c r="O810" s="91"/>
      <x:c r="P810" s="85"/>
      <x:c r="R810" s="86"/>
      <x:c r="S810" s="32"/>
    </x:row>
    <x:row r="811">
      <x:c r="A811" s="87"/>
      <x:c r="D811" s="32"/>
      <x:c r="I811" s="74"/>
      <x:c r="J811" s="74"/>
      <x:c r="K811" s="74"/>
      <x:c r="L811" s="91"/>
      <x:c r="M811" s="91"/>
      <x:c r="N811" s="91"/>
      <x:c r="O811" s="91"/>
      <x:c r="P811" s="85"/>
      <x:c r="R811" s="86"/>
      <x:c r="S811" s="32"/>
    </x:row>
    <x:row r="812">
      <x:c r="A812" s="87"/>
      <x:c r="D812" s="32"/>
      <x:c r="I812" s="74"/>
      <x:c r="J812" s="74"/>
      <x:c r="K812" s="74"/>
      <x:c r="L812" s="91"/>
      <x:c r="M812" s="91"/>
      <x:c r="N812" s="91"/>
      <x:c r="O812" s="91"/>
      <x:c r="P812" s="85"/>
      <x:c r="R812" s="86"/>
      <x:c r="S812" s="32"/>
    </x:row>
    <x:row r="813">
      <x:c r="A813" s="87"/>
      <x:c r="D813" s="32"/>
      <x:c r="I813" s="74"/>
      <x:c r="J813" s="74"/>
      <x:c r="K813" s="74"/>
      <x:c r="L813" s="91"/>
      <x:c r="M813" s="91"/>
      <x:c r="N813" s="91"/>
      <x:c r="O813" s="91"/>
      <x:c r="P813" s="85"/>
      <x:c r="R813" s="86"/>
      <x:c r="S813" s="32"/>
    </x:row>
    <x:row r="814">
      <x:c r="A814" s="87"/>
      <x:c r="D814" s="32"/>
      <x:c r="I814" s="74"/>
      <x:c r="J814" s="74"/>
      <x:c r="K814" s="74"/>
      <x:c r="L814" s="91"/>
      <x:c r="M814" s="91"/>
      <x:c r="N814" s="91"/>
      <x:c r="O814" s="91"/>
      <x:c r="P814" s="85"/>
      <x:c r="R814" s="86"/>
      <x:c r="S814" s="32"/>
    </x:row>
    <x:row r="815">
      <x:c r="A815" s="87"/>
      <x:c r="D815" s="32"/>
      <x:c r="I815" s="74"/>
      <x:c r="J815" s="74"/>
      <x:c r="K815" s="74"/>
      <x:c r="L815" s="91"/>
      <x:c r="M815" s="91"/>
      <x:c r="N815" s="91"/>
      <x:c r="O815" s="91"/>
      <x:c r="P815" s="85"/>
      <x:c r="R815" s="86"/>
      <x:c r="S815" s="32"/>
    </x:row>
    <x:row r="816">
      <x:c r="A816" s="87"/>
      <x:c r="D816" s="32"/>
      <x:c r="I816" s="74"/>
      <x:c r="J816" s="74"/>
      <x:c r="K816" s="74"/>
      <x:c r="L816" s="91"/>
      <x:c r="M816" s="91"/>
      <x:c r="N816" s="91"/>
      <x:c r="O816" s="91"/>
      <x:c r="P816" s="85"/>
      <x:c r="R816" s="86"/>
      <x:c r="S816" s="32"/>
    </x:row>
    <x:row r="817">
      <x:c r="A817" s="87"/>
      <x:c r="D817" s="32"/>
      <x:c r="I817" s="74"/>
      <x:c r="J817" s="74"/>
      <x:c r="K817" s="74"/>
      <x:c r="L817" s="91"/>
      <x:c r="M817" s="91"/>
      <x:c r="N817" s="91"/>
      <x:c r="O817" s="91"/>
      <x:c r="P817" s="85"/>
      <x:c r="R817" s="86"/>
      <x:c r="S817" s="32"/>
    </x:row>
    <x:row r="818">
      <x:c r="A818" s="87"/>
      <x:c r="D818" s="32"/>
      <x:c r="I818" s="74"/>
      <x:c r="J818" s="74"/>
      <x:c r="K818" s="74"/>
      <x:c r="L818" s="91"/>
      <x:c r="M818" s="91"/>
      <x:c r="N818" s="91"/>
      <x:c r="O818" s="91"/>
      <x:c r="P818" s="85"/>
      <x:c r="R818" s="86"/>
      <x:c r="S818" s="32"/>
    </x:row>
    <x:row r="819">
      <x:c r="A819" s="87"/>
      <x:c r="D819" s="32"/>
      <x:c r="I819" s="74"/>
      <x:c r="J819" s="74"/>
      <x:c r="K819" s="74"/>
      <x:c r="L819" s="91"/>
      <x:c r="M819" s="91"/>
      <x:c r="N819" s="91"/>
      <x:c r="O819" s="91"/>
      <x:c r="P819" s="85"/>
      <x:c r="R819" s="86"/>
      <x:c r="S819" s="32"/>
    </x:row>
    <x:row r="820">
      <x:c r="A820" s="87"/>
      <x:c r="D820" s="32"/>
      <x:c r="I820" s="74"/>
      <x:c r="J820" s="74"/>
      <x:c r="K820" s="74"/>
      <x:c r="L820" s="91"/>
      <x:c r="M820" s="91"/>
      <x:c r="N820" s="91"/>
      <x:c r="O820" s="91"/>
      <x:c r="P820" s="85"/>
      <x:c r="R820" s="86"/>
      <x:c r="S820" s="32"/>
    </x:row>
    <x:row r="821">
      <x:c r="A821" s="87"/>
      <x:c r="D821" s="32"/>
      <x:c r="I821" s="74"/>
      <x:c r="J821" s="74"/>
      <x:c r="K821" s="74"/>
      <x:c r="L821" s="91"/>
      <x:c r="M821" s="91"/>
      <x:c r="N821" s="91"/>
      <x:c r="O821" s="91"/>
      <x:c r="P821" s="85"/>
      <x:c r="R821" s="86"/>
      <x:c r="S821" s="32"/>
    </x:row>
    <x:row r="822">
      <x:c r="A822" s="87"/>
      <x:c r="D822" s="32"/>
      <x:c r="I822" s="74"/>
      <x:c r="J822" s="74"/>
      <x:c r="K822" s="74"/>
      <x:c r="L822" s="91"/>
      <x:c r="M822" s="91"/>
      <x:c r="N822" s="91"/>
      <x:c r="O822" s="91"/>
      <x:c r="P822" s="85"/>
      <x:c r="R822" s="86"/>
      <x:c r="S822" s="32"/>
    </x:row>
    <x:row r="823">
      <x:c r="A823" s="87"/>
      <x:c r="D823" s="32"/>
      <x:c r="I823" s="74"/>
      <x:c r="J823" s="74"/>
      <x:c r="K823" s="74"/>
      <x:c r="L823" s="91"/>
      <x:c r="M823" s="91"/>
      <x:c r="N823" s="91"/>
      <x:c r="O823" s="91"/>
      <x:c r="P823" s="85"/>
      <x:c r="R823" s="86"/>
      <x:c r="S823" s="32"/>
    </x:row>
    <x:row r="824">
      <x:c r="A824" s="87"/>
      <x:c r="D824" s="32"/>
      <x:c r="I824" s="74"/>
      <x:c r="J824" s="74"/>
      <x:c r="K824" s="74"/>
      <x:c r="L824" s="91"/>
      <x:c r="M824" s="91"/>
      <x:c r="N824" s="91"/>
      <x:c r="O824" s="91"/>
      <x:c r="P824" s="85"/>
      <x:c r="R824" s="86"/>
      <x:c r="S824" s="32"/>
    </x:row>
    <x:row r="825">
      <x:c r="A825" s="87"/>
      <x:c r="D825" s="32"/>
      <x:c r="I825" s="74"/>
      <x:c r="J825" s="74"/>
      <x:c r="K825" s="74"/>
      <x:c r="L825" s="91"/>
      <x:c r="M825" s="91"/>
      <x:c r="N825" s="91"/>
      <x:c r="O825" s="91"/>
      <x:c r="P825" s="85"/>
      <x:c r="R825" s="86"/>
      <x:c r="S825" s="32"/>
    </x:row>
    <x:row r="826">
      <x:c r="A826" s="87"/>
      <x:c r="D826" s="32"/>
      <x:c r="I826" s="74"/>
      <x:c r="J826" s="74"/>
      <x:c r="K826" s="74"/>
      <x:c r="L826" s="91"/>
      <x:c r="M826" s="91"/>
      <x:c r="N826" s="91"/>
      <x:c r="O826" s="91"/>
      <x:c r="P826" s="85"/>
      <x:c r="R826" s="86"/>
      <x:c r="S826" s="32"/>
    </x:row>
    <x:row r="827">
      <x:c r="A827" s="87"/>
      <x:c r="D827" s="32"/>
      <x:c r="I827" s="74"/>
      <x:c r="J827" s="74"/>
      <x:c r="K827" s="74"/>
      <x:c r="L827" s="91"/>
      <x:c r="M827" s="91"/>
      <x:c r="N827" s="91"/>
      <x:c r="O827" s="91"/>
      <x:c r="P827" s="85"/>
      <x:c r="R827" s="86"/>
      <x:c r="S827" s="32"/>
    </x:row>
    <x:row r="828">
      <x:c r="A828" s="87"/>
      <x:c r="D828" s="32"/>
      <x:c r="I828" s="74"/>
      <x:c r="J828" s="74"/>
      <x:c r="K828" s="74"/>
      <x:c r="L828" s="91"/>
      <x:c r="M828" s="91"/>
      <x:c r="N828" s="91"/>
      <x:c r="O828" s="91"/>
      <x:c r="P828" s="85"/>
      <x:c r="R828" s="86"/>
      <x:c r="S828" s="32"/>
    </x:row>
    <x:row r="829">
      <x:c r="A829" s="87"/>
      <x:c r="D829" s="32"/>
      <x:c r="I829" s="74"/>
      <x:c r="J829" s="74"/>
      <x:c r="K829" s="74"/>
      <x:c r="L829" s="91"/>
      <x:c r="M829" s="91"/>
      <x:c r="N829" s="91"/>
      <x:c r="O829" s="91"/>
      <x:c r="P829" s="85"/>
      <x:c r="R829" s="86"/>
      <x:c r="S829" s="32"/>
    </x:row>
    <x:row r="830">
      <x:c r="A830" s="87"/>
      <x:c r="D830" s="32"/>
      <x:c r="I830" s="74"/>
      <x:c r="J830" s="74"/>
      <x:c r="K830" s="74"/>
      <x:c r="L830" s="91"/>
      <x:c r="M830" s="91"/>
      <x:c r="N830" s="91"/>
      <x:c r="O830" s="91"/>
      <x:c r="P830" s="85"/>
      <x:c r="R830" s="86"/>
      <x:c r="S830" s="32"/>
    </x:row>
    <x:row r="831">
      <x:c r="A831" s="87"/>
      <x:c r="D831" s="32"/>
      <x:c r="I831" s="74"/>
      <x:c r="J831" s="74"/>
      <x:c r="K831" s="74"/>
      <x:c r="L831" s="91"/>
      <x:c r="M831" s="91"/>
      <x:c r="N831" s="91"/>
      <x:c r="O831" s="91"/>
      <x:c r="P831" s="85"/>
      <x:c r="R831" s="86"/>
      <x:c r="S831" s="32"/>
    </x:row>
    <x:row r="832">
      <x:c r="A832" s="87"/>
      <x:c r="D832" s="32"/>
      <x:c r="I832" s="74"/>
      <x:c r="J832" s="74"/>
      <x:c r="K832" s="74"/>
      <x:c r="L832" s="91"/>
      <x:c r="M832" s="91"/>
      <x:c r="N832" s="91"/>
      <x:c r="O832" s="91"/>
      <x:c r="P832" s="85"/>
      <x:c r="R832" s="86"/>
      <x:c r="S832" s="32"/>
    </x:row>
    <x:row r="833">
      <x:c r="A833" s="87"/>
      <x:c r="D833" s="32"/>
      <x:c r="I833" s="74"/>
      <x:c r="J833" s="74"/>
      <x:c r="K833" s="74"/>
      <x:c r="L833" s="91"/>
      <x:c r="M833" s="91"/>
      <x:c r="N833" s="91"/>
      <x:c r="O833" s="91"/>
      <x:c r="P833" s="85"/>
      <x:c r="R833" s="86"/>
      <x:c r="S833" s="32"/>
    </x:row>
    <x:row r="834">
      <x:c r="A834" s="87"/>
      <x:c r="D834" s="32"/>
      <x:c r="I834" s="74"/>
      <x:c r="J834" s="74"/>
      <x:c r="K834" s="74"/>
      <x:c r="L834" s="91"/>
      <x:c r="M834" s="91"/>
      <x:c r="N834" s="91"/>
      <x:c r="O834" s="91"/>
      <x:c r="P834" s="85"/>
      <x:c r="R834" s="86"/>
      <x:c r="S834" s="32"/>
    </x:row>
    <x:row r="835">
      <x:c r="A835" s="87"/>
      <x:c r="D835" s="32"/>
      <x:c r="I835" s="74"/>
      <x:c r="J835" s="74"/>
      <x:c r="K835" s="74"/>
      <x:c r="L835" s="91"/>
      <x:c r="M835" s="91"/>
      <x:c r="N835" s="91"/>
      <x:c r="O835" s="91"/>
      <x:c r="P835" s="85"/>
      <x:c r="R835" s="86"/>
      <x:c r="S835" s="32"/>
    </x:row>
    <x:row r="836">
      <x:c r="A836" s="87"/>
      <x:c r="D836" s="32"/>
      <x:c r="I836" s="74"/>
      <x:c r="J836" s="74"/>
      <x:c r="K836" s="74"/>
      <x:c r="L836" s="91"/>
      <x:c r="M836" s="91"/>
      <x:c r="N836" s="91"/>
      <x:c r="O836" s="91"/>
      <x:c r="P836" s="85"/>
      <x:c r="R836" s="86"/>
      <x:c r="S836" s="32"/>
    </x:row>
    <x:row r="837">
      <x:c r="A837" s="87"/>
      <x:c r="D837" s="32"/>
      <x:c r="I837" s="74"/>
      <x:c r="J837" s="74"/>
      <x:c r="K837" s="74"/>
      <x:c r="L837" s="91"/>
      <x:c r="M837" s="91"/>
      <x:c r="N837" s="91"/>
      <x:c r="O837" s="91"/>
      <x:c r="P837" s="85"/>
      <x:c r="R837" s="86"/>
      <x:c r="S837" s="32"/>
    </x:row>
    <x:row r="838">
      <x:c r="A838" s="87"/>
      <x:c r="D838" s="32"/>
      <x:c r="I838" s="74"/>
      <x:c r="J838" s="74"/>
      <x:c r="K838" s="74"/>
      <x:c r="L838" s="91"/>
      <x:c r="M838" s="91"/>
      <x:c r="N838" s="91"/>
      <x:c r="O838" s="91"/>
      <x:c r="P838" s="85"/>
      <x:c r="R838" s="86"/>
      <x:c r="S838" s="32"/>
    </x:row>
    <x:row r="839">
      <x:c r="A839" s="87"/>
      <x:c r="D839" s="32"/>
      <x:c r="I839" s="74"/>
      <x:c r="J839" s="74"/>
      <x:c r="K839" s="74"/>
      <x:c r="L839" s="91"/>
      <x:c r="M839" s="91"/>
      <x:c r="N839" s="91"/>
      <x:c r="O839" s="91"/>
      <x:c r="P839" s="85"/>
      <x:c r="R839" s="86"/>
      <x:c r="S839" s="32"/>
    </x:row>
    <x:row r="840">
      <x:c r="A840" s="87"/>
      <x:c r="D840" s="32"/>
      <x:c r="I840" s="74"/>
      <x:c r="J840" s="74"/>
      <x:c r="K840" s="74"/>
      <x:c r="L840" s="91"/>
      <x:c r="M840" s="91"/>
      <x:c r="N840" s="91"/>
      <x:c r="O840" s="91"/>
      <x:c r="P840" s="85"/>
      <x:c r="R840" s="86"/>
      <x:c r="S840" s="32"/>
    </x:row>
    <x:row r="841">
      <x:c r="A841" s="87"/>
      <x:c r="D841" s="32"/>
      <x:c r="I841" s="74"/>
      <x:c r="J841" s="74"/>
      <x:c r="K841" s="74"/>
      <x:c r="L841" s="91"/>
      <x:c r="M841" s="91"/>
      <x:c r="N841" s="91"/>
      <x:c r="O841" s="91"/>
      <x:c r="P841" s="85"/>
      <x:c r="R841" s="86"/>
      <x:c r="S841" s="32"/>
    </x:row>
    <x:row r="842">
      <x:c r="A842" s="87"/>
      <x:c r="D842" s="32"/>
      <x:c r="I842" s="74"/>
      <x:c r="J842" s="74"/>
      <x:c r="K842" s="74"/>
      <x:c r="L842" s="91"/>
      <x:c r="M842" s="91"/>
      <x:c r="N842" s="91"/>
      <x:c r="O842" s="91"/>
      <x:c r="P842" s="85"/>
      <x:c r="R842" s="86"/>
      <x:c r="S842" s="32"/>
    </x:row>
    <x:row r="843">
      <x:c r="A843" s="87"/>
      <x:c r="D843" s="32"/>
      <x:c r="I843" s="74"/>
      <x:c r="J843" s="74"/>
      <x:c r="K843" s="74"/>
      <x:c r="L843" s="91"/>
      <x:c r="M843" s="91"/>
      <x:c r="N843" s="91"/>
      <x:c r="O843" s="91"/>
      <x:c r="P843" s="85"/>
      <x:c r="R843" s="86"/>
      <x:c r="S843" s="32"/>
    </x:row>
    <x:row r="844">
      <x:c r="A844" s="87"/>
      <x:c r="D844" s="32"/>
      <x:c r="I844" s="74"/>
      <x:c r="J844" s="74"/>
      <x:c r="K844" s="74"/>
      <x:c r="L844" s="91"/>
      <x:c r="M844" s="91"/>
      <x:c r="N844" s="91"/>
      <x:c r="O844" s="91"/>
      <x:c r="P844" s="85"/>
      <x:c r="R844" s="86"/>
      <x:c r="S844" s="32"/>
    </x:row>
    <x:row r="845">
      <x:c r="A845" s="87"/>
      <x:c r="D845" s="32"/>
      <x:c r="I845" s="74"/>
      <x:c r="J845" s="74"/>
      <x:c r="K845" s="74"/>
      <x:c r="L845" s="91"/>
      <x:c r="M845" s="91"/>
      <x:c r="N845" s="91"/>
      <x:c r="O845" s="91"/>
      <x:c r="P845" s="85"/>
      <x:c r="R845" s="86"/>
      <x:c r="S845" s="32"/>
    </x:row>
    <x:row r="846">
      <x:c r="A846" s="87"/>
      <x:c r="D846" s="32"/>
      <x:c r="I846" s="74"/>
      <x:c r="J846" s="74"/>
      <x:c r="K846" s="74"/>
      <x:c r="L846" s="91"/>
      <x:c r="M846" s="91"/>
      <x:c r="N846" s="91"/>
      <x:c r="O846" s="91"/>
      <x:c r="P846" s="85"/>
      <x:c r="R846" s="86"/>
      <x:c r="S846" s="32"/>
    </x:row>
    <x:row r="847">
      <x:c r="A847" s="87"/>
      <x:c r="D847" s="32"/>
      <x:c r="I847" s="74"/>
      <x:c r="J847" s="74"/>
      <x:c r="K847" s="74"/>
      <x:c r="L847" s="91"/>
      <x:c r="M847" s="91"/>
      <x:c r="N847" s="91"/>
      <x:c r="O847" s="91"/>
      <x:c r="P847" s="85"/>
      <x:c r="R847" s="86"/>
      <x:c r="S847" s="32"/>
    </x:row>
    <x:row r="848">
      <x:c r="A848" s="87"/>
      <x:c r="D848" s="32"/>
      <x:c r="I848" s="74"/>
      <x:c r="J848" s="74"/>
      <x:c r="K848" s="74"/>
      <x:c r="L848" s="91"/>
      <x:c r="M848" s="91"/>
      <x:c r="N848" s="91"/>
      <x:c r="O848" s="91"/>
      <x:c r="P848" s="85"/>
      <x:c r="R848" s="86"/>
      <x:c r="S848" s="32"/>
    </x:row>
    <x:row r="849">
      <x:c r="A849" s="87"/>
      <x:c r="D849" s="32"/>
      <x:c r="I849" s="74"/>
      <x:c r="J849" s="74"/>
      <x:c r="K849" s="74"/>
      <x:c r="L849" s="91"/>
      <x:c r="M849" s="91"/>
      <x:c r="N849" s="91"/>
      <x:c r="O849" s="91"/>
      <x:c r="P849" s="85"/>
      <x:c r="R849" s="86"/>
      <x:c r="S849" s="32"/>
    </x:row>
    <x:row r="850">
      <x:c r="A850" s="87"/>
      <x:c r="D850" s="32"/>
      <x:c r="I850" s="74"/>
      <x:c r="J850" s="74"/>
      <x:c r="K850" s="74"/>
      <x:c r="L850" s="91"/>
      <x:c r="M850" s="91"/>
      <x:c r="N850" s="91"/>
      <x:c r="O850" s="91"/>
      <x:c r="P850" s="85"/>
      <x:c r="R850" s="86"/>
      <x:c r="S850" s="32"/>
    </x:row>
    <x:row r="851">
      <x:c r="A851" s="87"/>
      <x:c r="D851" s="32"/>
      <x:c r="I851" s="74"/>
      <x:c r="J851" s="74"/>
      <x:c r="K851" s="74"/>
      <x:c r="L851" s="91"/>
      <x:c r="M851" s="91"/>
      <x:c r="N851" s="91"/>
      <x:c r="O851" s="91"/>
      <x:c r="P851" s="85"/>
      <x:c r="R851" s="86"/>
      <x:c r="S851" s="32"/>
    </x:row>
    <x:row r="852">
      <x:c r="A852" s="87"/>
      <x:c r="D852" s="32"/>
      <x:c r="I852" s="74"/>
      <x:c r="J852" s="74"/>
      <x:c r="K852" s="74"/>
      <x:c r="L852" s="91"/>
      <x:c r="M852" s="91"/>
      <x:c r="N852" s="91"/>
      <x:c r="O852" s="91"/>
      <x:c r="P852" s="85"/>
      <x:c r="R852" s="86"/>
      <x:c r="S852" s="32"/>
    </x:row>
    <x:row r="853">
      <x:c r="A853" s="87"/>
      <x:c r="D853" s="32"/>
      <x:c r="I853" s="74"/>
      <x:c r="J853" s="74"/>
      <x:c r="K853" s="74"/>
      <x:c r="L853" s="91"/>
      <x:c r="M853" s="91"/>
      <x:c r="N853" s="91"/>
      <x:c r="O853" s="91"/>
      <x:c r="P853" s="85"/>
      <x:c r="R853" s="86"/>
      <x:c r="S853" s="32"/>
    </x:row>
    <x:row r="854">
      <x:c r="A854" s="87"/>
      <x:c r="D854" s="32"/>
      <x:c r="I854" s="74"/>
      <x:c r="J854" s="74"/>
      <x:c r="K854" s="74"/>
      <x:c r="L854" s="91"/>
      <x:c r="M854" s="91"/>
      <x:c r="N854" s="91"/>
      <x:c r="O854" s="91"/>
      <x:c r="P854" s="85"/>
      <x:c r="R854" s="86"/>
      <x:c r="S854" s="32"/>
    </x:row>
    <x:row r="855">
      <x:c r="A855" s="87"/>
      <x:c r="D855" s="32"/>
      <x:c r="I855" s="74"/>
      <x:c r="J855" s="74"/>
      <x:c r="K855" s="74"/>
      <x:c r="L855" s="91"/>
      <x:c r="M855" s="91"/>
      <x:c r="N855" s="91"/>
      <x:c r="O855" s="91"/>
      <x:c r="P855" s="85"/>
      <x:c r="R855" s="86"/>
      <x:c r="S855" s="32"/>
    </x:row>
    <x:row r="856">
      <x:c r="A856" s="87"/>
      <x:c r="D856" s="32"/>
      <x:c r="I856" s="74"/>
      <x:c r="J856" s="74"/>
      <x:c r="K856" s="74"/>
      <x:c r="L856" s="91"/>
      <x:c r="M856" s="91"/>
      <x:c r="N856" s="91"/>
      <x:c r="O856" s="91"/>
      <x:c r="P856" s="85"/>
      <x:c r="R856" s="86"/>
      <x:c r="S856" s="32"/>
    </x:row>
    <x:row r="857">
      <x:c r="A857" s="87"/>
      <x:c r="D857" s="32"/>
      <x:c r="I857" s="74"/>
      <x:c r="J857" s="74"/>
      <x:c r="K857" s="74"/>
      <x:c r="L857" s="91"/>
      <x:c r="M857" s="91"/>
      <x:c r="N857" s="91"/>
      <x:c r="O857" s="91"/>
      <x:c r="P857" s="85"/>
      <x:c r="R857" s="86"/>
      <x:c r="S857" s="32"/>
    </x:row>
    <x:row r="858">
      <x:c r="A858" s="87"/>
      <x:c r="D858" s="32"/>
      <x:c r="I858" s="74"/>
      <x:c r="J858" s="74"/>
      <x:c r="K858" s="74"/>
      <x:c r="L858" s="91"/>
      <x:c r="M858" s="91"/>
      <x:c r="N858" s="91"/>
      <x:c r="O858" s="91"/>
      <x:c r="P858" s="85"/>
      <x:c r="R858" s="86"/>
      <x:c r="S858" s="32"/>
    </x:row>
    <x:row r="859">
      <x:c r="A859" s="87"/>
      <x:c r="D859" s="32"/>
      <x:c r="I859" s="74"/>
      <x:c r="J859" s="74"/>
      <x:c r="K859" s="74"/>
      <x:c r="L859" s="91"/>
      <x:c r="M859" s="91"/>
      <x:c r="N859" s="91"/>
      <x:c r="O859" s="91"/>
      <x:c r="P859" s="85"/>
      <x:c r="R859" s="86"/>
      <x:c r="S859" s="32"/>
    </x:row>
    <x:row r="860">
      <x:c r="A860" s="87"/>
      <x:c r="D860" s="32"/>
      <x:c r="I860" s="74"/>
      <x:c r="J860" s="74"/>
      <x:c r="K860" s="74"/>
      <x:c r="L860" s="91"/>
      <x:c r="M860" s="91"/>
      <x:c r="N860" s="91"/>
      <x:c r="O860" s="91"/>
      <x:c r="P860" s="85"/>
      <x:c r="R860" s="86"/>
      <x:c r="S860" s="32"/>
    </x:row>
    <x:row r="861">
      <x:c r="A861" s="87"/>
      <x:c r="D861" s="32"/>
      <x:c r="I861" s="74"/>
      <x:c r="J861" s="74"/>
      <x:c r="K861" s="74"/>
      <x:c r="L861" s="91"/>
      <x:c r="M861" s="91"/>
      <x:c r="N861" s="91"/>
      <x:c r="O861" s="91"/>
      <x:c r="P861" s="85"/>
      <x:c r="R861" s="86"/>
      <x:c r="S861" s="32"/>
    </x:row>
    <x:row r="862">
      <x:c r="A862" s="87"/>
      <x:c r="D862" s="32"/>
      <x:c r="I862" s="74"/>
      <x:c r="J862" s="74"/>
      <x:c r="K862" s="74"/>
      <x:c r="L862" s="91"/>
      <x:c r="M862" s="91"/>
      <x:c r="N862" s="91"/>
      <x:c r="O862" s="91"/>
      <x:c r="P862" s="85"/>
      <x:c r="R862" s="86"/>
      <x:c r="S862" s="32"/>
    </x:row>
    <x:row r="863">
      <x:c r="A863" s="87"/>
      <x:c r="D863" s="32"/>
      <x:c r="I863" s="74"/>
      <x:c r="J863" s="74"/>
      <x:c r="K863" s="74"/>
      <x:c r="L863" s="91"/>
      <x:c r="M863" s="91"/>
      <x:c r="N863" s="91"/>
      <x:c r="O863" s="91"/>
      <x:c r="P863" s="85"/>
      <x:c r="R863" s="86"/>
      <x:c r="S863" s="32"/>
    </x:row>
    <x:row r="864">
      <x:c r="A864" s="87"/>
      <x:c r="D864" s="32"/>
      <x:c r="I864" s="74"/>
      <x:c r="J864" s="74"/>
      <x:c r="K864" s="74"/>
      <x:c r="L864" s="91"/>
      <x:c r="M864" s="91"/>
      <x:c r="N864" s="91"/>
      <x:c r="O864" s="91"/>
      <x:c r="P864" s="85"/>
      <x:c r="R864" s="86"/>
      <x:c r="S864" s="32"/>
    </x:row>
    <x:row r="865">
      <x:c r="A865" s="87"/>
      <x:c r="D865" s="32"/>
      <x:c r="I865" s="74"/>
      <x:c r="J865" s="74"/>
      <x:c r="K865" s="74"/>
      <x:c r="L865" s="91"/>
      <x:c r="M865" s="91"/>
      <x:c r="N865" s="91"/>
      <x:c r="O865" s="91"/>
      <x:c r="P865" s="85"/>
      <x:c r="R865" s="86"/>
      <x:c r="S865" s="32"/>
    </x:row>
    <x:row r="866">
      <x:c r="A866" s="87"/>
      <x:c r="D866" s="32"/>
      <x:c r="I866" s="74"/>
      <x:c r="J866" s="74"/>
      <x:c r="K866" s="74"/>
      <x:c r="L866" s="91"/>
      <x:c r="M866" s="91"/>
      <x:c r="N866" s="91"/>
      <x:c r="O866" s="91"/>
      <x:c r="P866" s="85"/>
      <x:c r="R866" s="86"/>
      <x:c r="S866" s="32"/>
    </x:row>
    <x:row r="867">
      <x:c r="A867" s="87"/>
      <x:c r="D867" s="32"/>
      <x:c r="I867" s="74"/>
      <x:c r="J867" s="74"/>
      <x:c r="K867" s="74"/>
      <x:c r="L867" s="91"/>
      <x:c r="M867" s="91"/>
      <x:c r="N867" s="91"/>
      <x:c r="O867" s="91"/>
      <x:c r="P867" s="85"/>
      <x:c r="R867" s="86"/>
      <x:c r="S867" s="32"/>
    </x:row>
    <x:row r="868">
      <x:c r="A868" s="87"/>
      <x:c r="D868" s="32"/>
      <x:c r="I868" s="74"/>
      <x:c r="J868" s="74"/>
      <x:c r="K868" s="74"/>
      <x:c r="L868" s="91"/>
      <x:c r="M868" s="91"/>
      <x:c r="N868" s="91"/>
      <x:c r="O868" s="91"/>
      <x:c r="P868" s="85"/>
      <x:c r="R868" s="86"/>
      <x:c r="S868" s="32"/>
    </x:row>
    <x:row r="869">
      <x:c r="A869" s="87"/>
      <x:c r="D869" s="32"/>
      <x:c r="I869" s="74"/>
      <x:c r="J869" s="74"/>
      <x:c r="K869" s="74"/>
      <x:c r="L869" s="91"/>
      <x:c r="M869" s="91"/>
      <x:c r="N869" s="91"/>
      <x:c r="O869" s="91"/>
      <x:c r="P869" s="85"/>
      <x:c r="R869" s="86"/>
      <x:c r="S869" s="32"/>
    </x:row>
    <x:row r="870">
      <x:c r="A870" s="87"/>
      <x:c r="D870" s="32"/>
      <x:c r="I870" s="74"/>
      <x:c r="J870" s="74"/>
      <x:c r="K870" s="74"/>
      <x:c r="L870" s="91"/>
      <x:c r="M870" s="91"/>
      <x:c r="N870" s="91"/>
      <x:c r="O870" s="91"/>
      <x:c r="P870" s="85"/>
      <x:c r="R870" s="86"/>
      <x:c r="S870" s="32"/>
    </x:row>
    <x:row r="871">
      <x:c r="A871" s="87"/>
      <x:c r="D871" s="32"/>
      <x:c r="I871" s="74"/>
      <x:c r="J871" s="74"/>
      <x:c r="K871" s="74"/>
      <x:c r="L871" s="91"/>
      <x:c r="M871" s="91"/>
      <x:c r="N871" s="91"/>
      <x:c r="O871" s="91"/>
      <x:c r="P871" s="85"/>
      <x:c r="R871" s="86"/>
      <x:c r="S871" s="32"/>
    </x:row>
    <x:row r="872">
      <x:c r="A872" s="87"/>
      <x:c r="D872" s="32"/>
      <x:c r="I872" s="74"/>
      <x:c r="J872" s="74"/>
      <x:c r="K872" s="74"/>
      <x:c r="L872" s="91"/>
      <x:c r="M872" s="91"/>
      <x:c r="N872" s="91"/>
      <x:c r="O872" s="91"/>
      <x:c r="P872" s="85"/>
      <x:c r="R872" s="86"/>
      <x:c r="S872" s="32"/>
    </x:row>
    <x:row r="873">
      <x:c r="A873" s="87"/>
      <x:c r="D873" s="32"/>
      <x:c r="I873" s="74"/>
      <x:c r="J873" s="74"/>
      <x:c r="K873" s="74"/>
      <x:c r="L873" s="91"/>
      <x:c r="M873" s="91"/>
      <x:c r="N873" s="91"/>
      <x:c r="O873" s="91"/>
      <x:c r="P873" s="85"/>
      <x:c r="R873" s="86"/>
      <x:c r="S873" s="32"/>
    </x:row>
    <x:row r="874">
      <x:c r="A874" s="87"/>
      <x:c r="D874" s="32"/>
      <x:c r="I874" s="74"/>
      <x:c r="J874" s="74"/>
      <x:c r="K874" s="74"/>
      <x:c r="L874" s="91"/>
      <x:c r="M874" s="91"/>
      <x:c r="N874" s="91"/>
      <x:c r="O874" s="91"/>
      <x:c r="P874" s="85"/>
      <x:c r="R874" s="86"/>
      <x:c r="S874" s="32"/>
    </x:row>
    <x:row r="875">
      <x:c r="A875" s="87"/>
      <x:c r="D875" s="32"/>
      <x:c r="I875" s="74"/>
      <x:c r="J875" s="74"/>
      <x:c r="K875" s="74"/>
      <x:c r="L875" s="91"/>
      <x:c r="M875" s="91"/>
      <x:c r="N875" s="91"/>
      <x:c r="O875" s="91"/>
      <x:c r="P875" s="85"/>
      <x:c r="R875" s="86"/>
      <x:c r="S875" s="32"/>
    </x:row>
    <x:row r="876">
      <x:c r="A876" s="87"/>
      <x:c r="D876" s="32"/>
      <x:c r="I876" s="74"/>
      <x:c r="J876" s="74"/>
      <x:c r="K876" s="74"/>
      <x:c r="L876" s="91"/>
      <x:c r="M876" s="91"/>
      <x:c r="N876" s="91"/>
      <x:c r="O876" s="91"/>
      <x:c r="P876" s="85"/>
      <x:c r="R876" s="86"/>
      <x:c r="S876" s="32"/>
    </x:row>
    <x:row r="877">
      <x:c r="A877" s="87"/>
      <x:c r="D877" s="32"/>
      <x:c r="I877" s="74"/>
      <x:c r="J877" s="74"/>
      <x:c r="K877" s="74"/>
      <x:c r="L877" s="91"/>
      <x:c r="M877" s="91"/>
      <x:c r="N877" s="91"/>
      <x:c r="O877" s="91"/>
      <x:c r="P877" s="85"/>
      <x:c r="R877" s="86"/>
      <x:c r="S877" s="32"/>
    </x:row>
    <x:row r="878">
      <x:c r="A878" s="87"/>
      <x:c r="D878" s="32"/>
      <x:c r="I878" s="74"/>
      <x:c r="J878" s="74"/>
      <x:c r="K878" s="74"/>
      <x:c r="L878" s="91"/>
      <x:c r="M878" s="91"/>
      <x:c r="N878" s="91"/>
      <x:c r="O878" s="91"/>
      <x:c r="P878" s="85"/>
      <x:c r="R878" s="86"/>
      <x:c r="S878" s="32"/>
    </x:row>
    <x:row r="879">
      <x:c r="A879" s="87"/>
      <x:c r="D879" s="32"/>
      <x:c r="I879" s="74"/>
      <x:c r="J879" s="74"/>
      <x:c r="K879" s="74"/>
      <x:c r="L879" s="91"/>
      <x:c r="M879" s="91"/>
      <x:c r="N879" s="91"/>
      <x:c r="O879" s="91"/>
      <x:c r="P879" s="85"/>
      <x:c r="R879" s="86"/>
      <x:c r="S879" s="32"/>
    </x:row>
    <x:row r="880">
      <x:c r="A880" s="87"/>
      <x:c r="D880" s="32"/>
      <x:c r="I880" s="74"/>
      <x:c r="J880" s="74"/>
      <x:c r="K880" s="74"/>
      <x:c r="L880" s="91"/>
      <x:c r="M880" s="91"/>
      <x:c r="N880" s="91"/>
      <x:c r="O880" s="91"/>
      <x:c r="P880" s="85"/>
      <x:c r="R880" s="86"/>
      <x:c r="S880" s="32"/>
    </x:row>
    <x:row r="881">
      <x:c r="A881" s="87"/>
      <x:c r="D881" s="32"/>
      <x:c r="I881" s="74"/>
      <x:c r="J881" s="74"/>
      <x:c r="K881" s="74"/>
      <x:c r="L881" s="91"/>
      <x:c r="M881" s="91"/>
      <x:c r="N881" s="91"/>
      <x:c r="O881" s="91"/>
      <x:c r="P881" s="85"/>
      <x:c r="R881" s="86"/>
      <x:c r="S881" s="32"/>
    </x:row>
    <x:row r="882">
      <x:c r="A882" s="87"/>
      <x:c r="D882" s="32"/>
      <x:c r="I882" s="74"/>
      <x:c r="J882" s="74"/>
      <x:c r="K882" s="74"/>
      <x:c r="L882" s="91"/>
      <x:c r="M882" s="91"/>
      <x:c r="N882" s="91"/>
      <x:c r="O882" s="91"/>
      <x:c r="P882" s="85"/>
      <x:c r="R882" s="86"/>
      <x:c r="S882" s="32"/>
    </x:row>
    <x:row r="883">
      <x:c r="A883" s="87"/>
      <x:c r="D883" s="32"/>
      <x:c r="I883" s="74"/>
      <x:c r="J883" s="74"/>
      <x:c r="K883" s="74"/>
      <x:c r="L883" s="91"/>
      <x:c r="M883" s="91"/>
      <x:c r="N883" s="91"/>
      <x:c r="O883" s="91"/>
      <x:c r="P883" s="85"/>
      <x:c r="R883" s="86"/>
      <x:c r="S883" s="32"/>
    </x:row>
    <x:row r="884">
      <x:c r="A884" s="87"/>
      <x:c r="D884" s="32"/>
      <x:c r="I884" s="74"/>
      <x:c r="J884" s="74"/>
      <x:c r="K884" s="74"/>
      <x:c r="L884" s="91"/>
      <x:c r="M884" s="91"/>
      <x:c r="N884" s="91"/>
      <x:c r="O884" s="91"/>
      <x:c r="P884" s="85"/>
      <x:c r="R884" s="86"/>
      <x:c r="S884" s="32"/>
    </x:row>
    <x:row r="885">
      <x:c r="A885" s="87"/>
      <x:c r="D885" s="32"/>
      <x:c r="I885" s="74"/>
      <x:c r="J885" s="74"/>
      <x:c r="K885" s="74"/>
      <x:c r="L885" s="91"/>
      <x:c r="M885" s="91"/>
      <x:c r="N885" s="91"/>
      <x:c r="O885" s="91"/>
      <x:c r="P885" s="85"/>
      <x:c r="R885" s="86"/>
      <x:c r="S885" s="32"/>
    </x:row>
    <x:row r="886">
      <x:c r="A886" s="87"/>
      <x:c r="D886" s="32"/>
      <x:c r="I886" s="74"/>
      <x:c r="J886" s="74"/>
      <x:c r="K886" s="74"/>
      <x:c r="L886" s="91"/>
      <x:c r="M886" s="91"/>
      <x:c r="N886" s="91"/>
      <x:c r="O886" s="91"/>
      <x:c r="P886" s="85"/>
      <x:c r="R886" s="86"/>
      <x:c r="S886" s="32"/>
    </x:row>
    <x:row r="887">
      <x:c r="A887" s="87"/>
      <x:c r="D887" s="32"/>
      <x:c r="I887" s="74"/>
      <x:c r="J887" s="74"/>
      <x:c r="K887" s="74"/>
      <x:c r="L887" s="91"/>
      <x:c r="M887" s="91"/>
      <x:c r="N887" s="91"/>
      <x:c r="O887" s="91"/>
      <x:c r="P887" s="85"/>
      <x:c r="R887" s="86"/>
      <x:c r="S887" s="32"/>
    </x:row>
    <x:row r="888">
      <x:c r="A888" s="87"/>
      <x:c r="D888" s="32"/>
      <x:c r="I888" s="74"/>
      <x:c r="J888" s="74"/>
      <x:c r="K888" s="74"/>
      <x:c r="L888" s="91"/>
      <x:c r="M888" s="91"/>
      <x:c r="N888" s="91"/>
      <x:c r="O888" s="91"/>
      <x:c r="P888" s="85"/>
      <x:c r="R888" s="86"/>
      <x:c r="S888" s="32"/>
    </x:row>
    <x:row r="889">
      <x:c r="A889" s="87"/>
      <x:c r="D889" s="32"/>
      <x:c r="I889" s="74"/>
      <x:c r="J889" s="74"/>
      <x:c r="K889" s="74"/>
      <x:c r="L889" s="91"/>
      <x:c r="M889" s="91"/>
      <x:c r="N889" s="91"/>
      <x:c r="O889" s="91"/>
      <x:c r="P889" s="85"/>
      <x:c r="R889" s="86"/>
      <x:c r="S889" s="32"/>
    </x:row>
    <x:row r="890">
      <x:c r="A890" s="87"/>
      <x:c r="D890" s="32"/>
      <x:c r="I890" s="74"/>
      <x:c r="J890" s="74"/>
      <x:c r="K890" s="74"/>
      <x:c r="L890" s="91"/>
      <x:c r="M890" s="91"/>
      <x:c r="N890" s="91"/>
      <x:c r="O890" s="91"/>
      <x:c r="P890" s="85"/>
      <x:c r="R890" s="86"/>
      <x:c r="S890" s="32"/>
    </x:row>
    <x:row r="891">
      <x:c r="A891" s="87"/>
      <x:c r="D891" s="32"/>
      <x:c r="I891" s="74"/>
      <x:c r="J891" s="74"/>
      <x:c r="K891" s="74"/>
      <x:c r="L891" s="91"/>
      <x:c r="M891" s="91"/>
      <x:c r="N891" s="91"/>
      <x:c r="O891" s="91"/>
      <x:c r="P891" s="85"/>
      <x:c r="R891" s="86"/>
      <x:c r="S891" s="32"/>
    </x:row>
    <x:row r="892">
      <x:c r="A892" s="87"/>
      <x:c r="D892" s="32"/>
      <x:c r="I892" s="74"/>
      <x:c r="J892" s="74"/>
      <x:c r="K892" s="74"/>
      <x:c r="L892" s="91"/>
      <x:c r="M892" s="91"/>
      <x:c r="N892" s="91"/>
      <x:c r="O892" s="91"/>
      <x:c r="P892" s="85"/>
      <x:c r="R892" s="86"/>
      <x:c r="S892" s="32"/>
    </x:row>
    <x:row r="893">
      <x:c r="A893" s="87"/>
      <x:c r="D893" s="32"/>
      <x:c r="I893" s="74"/>
      <x:c r="J893" s="74"/>
      <x:c r="K893" s="74"/>
      <x:c r="L893" s="91"/>
      <x:c r="M893" s="91"/>
      <x:c r="N893" s="91"/>
      <x:c r="O893" s="91"/>
      <x:c r="P893" s="85"/>
      <x:c r="R893" s="86"/>
      <x:c r="S893" s="32"/>
    </x:row>
    <x:row r="894">
      <x:c r="A894" s="87"/>
      <x:c r="D894" s="32"/>
      <x:c r="I894" s="74"/>
      <x:c r="J894" s="74"/>
      <x:c r="K894" s="74"/>
      <x:c r="L894" s="91"/>
      <x:c r="M894" s="91"/>
      <x:c r="N894" s="91"/>
      <x:c r="O894" s="91"/>
      <x:c r="P894" s="85"/>
      <x:c r="R894" s="86"/>
      <x:c r="S894" s="32"/>
    </x:row>
    <x:row r="895">
      <x:c r="A895" s="87"/>
      <x:c r="D895" s="32"/>
      <x:c r="I895" s="74"/>
      <x:c r="J895" s="74"/>
      <x:c r="K895" s="74"/>
      <x:c r="L895" s="91"/>
      <x:c r="M895" s="91"/>
      <x:c r="N895" s="91"/>
      <x:c r="O895" s="91"/>
      <x:c r="P895" s="85"/>
      <x:c r="R895" s="86"/>
      <x:c r="S895" s="32"/>
    </x:row>
    <x:row r="896">
      <x:c r="A896" s="87"/>
      <x:c r="D896" s="32"/>
      <x:c r="I896" s="74"/>
      <x:c r="J896" s="74"/>
      <x:c r="K896" s="74"/>
      <x:c r="L896" s="91"/>
      <x:c r="M896" s="91"/>
      <x:c r="N896" s="91"/>
      <x:c r="O896" s="91"/>
      <x:c r="P896" s="85"/>
      <x:c r="R896" s="86"/>
      <x:c r="S896" s="32"/>
    </x:row>
    <x:row r="897">
      <x:c r="A897" s="87"/>
      <x:c r="D897" s="32"/>
      <x:c r="I897" s="74"/>
      <x:c r="J897" s="74"/>
      <x:c r="K897" s="74"/>
      <x:c r="L897" s="91"/>
      <x:c r="M897" s="91"/>
      <x:c r="N897" s="91"/>
      <x:c r="O897" s="91"/>
      <x:c r="P897" s="85"/>
      <x:c r="R897" s="86"/>
      <x:c r="S897" s="32"/>
    </x:row>
    <x:row r="898">
      <x:c r="A898" s="87"/>
      <x:c r="D898" s="32"/>
      <x:c r="I898" s="74"/>
      <x:c r="J898" s="74"/>
      <x:c r="K898" s="74"/>
      <x:c r="L898" s="91"/>
      <x:c r="M898" s="91"/>
      <x:c r="N898" s="91"/>
      <x:c r="O898" s="91"/>
      <x:c r="P898" s="85"/>
      <x:c r="R898" s="86"/>
      <x:c r="S898" s="32"/>
    </x:row>
    <x:row r="899">
      <x:c r="A899" s="87"/>
      <x:c r="D899" s="32"/>
      <x:c r="I899" s="74"/>
      <x:c r="J899" s="74"/>
      <x:c r="K899" s="74"/>
      <x:c r="L899" s="91"/>
      <x:c r="M899" s="91"/>
      <x:c r="N899" s="91"/>
      <x:c r="O899" s="91"/>
      <x:c r="P899" s="85"/>
      <x:c r="R899" s="86"/>
      <x:c r="S899" s="32"/>
    </x:row>
    <x:row r="900">
      <x:c r="A900" s="87"/>
      <x:c r="D900" s="32"/>
      <x:c r="I900" s="74"/>
      <x:c r="J900" s="74"/>
      <x:c r="K900" s="74"/>
      <x:c r="L900" s="91"/>
      <x:c r="M900" s="91"/>
      <x:c r="N900" s="91"/>
      <x:c r="O900" s="91"/>
      <x:c r="P900" s="85"/>
      <x:c r="R900" s="86"/>
      <x:c r="S900" s="32"/>
    </x:row>
    <x:row r="901">
      <x:c r="A901" s="87"/>
      <x:c r="D901" s="32"/>
      <x:c r="I901" s="74"/>
      <x:c r="J901" s="74"/>
      <x:c r="K901" s="74"/>
      <x:c r="L901" s="91"/>
      <x:c r="M901" s="91"/>
      <x:c r="N901" s="91"/>
      <x:c r="O901" s="91"/>
      <x:c r="P901" s="85"/>
      <x:c r="R901" s="86"/>
      <x:c r="S901" s="32"/>
    </x:row>
    <x:row r="902">
      <x:c r="A902" s="87"/>
      <x:c r="D902" s="32"/>
      <x:c r="I902" s="74"/>
      <x:c r="J902" s="74"/>
      <x:c r="K902" s="74"/>
      <x:c r="L902" s="91"/>
      <x:c r="M902" s="91"/>
      <x:c r="N902" s="91"/>
      <x:c r="O902" s="91"/>
      <x:c r="P902" s="85"/>
      <x:c r="R902" s="86"/>
      <x:c r="S902" s="32"/>
    </x:row>
    <x:row r="903">
      <x:c r="A903" s="87"/>
      <x:c r="D903" s="32"/>
      <x:c r="I903" s="74"/>
      <x:c r="J903" s="74"/>
      <x:c r="K903" s="74"/>
      <x:c r="L903" s="91"/>
      <x:c r="M903" s="91"/>
      <x:c r="N903" s="91"/>
      <x:c r="O903" s="91"/>
      <x:c r="P903" s="85"/>
      <x:c r="R903" s="86"/>
      <x:c r="S903" s="32"/>
    </x:row>
    <x:row r="904">
      <x:c r="A904" s="87"/>
      <x:c r="D904" s="32"/>
      <x:c r="I904" s="74"/>
      <x:c r="J904" s="74"/>
      <x:c r="K904" s="74"/>
      <x:c r="L904" s="91"/>
      <x:c r="M904" s="91"/>
      <x:c r="N904" s="91"/>
      <x:c r="O904" s="91"/>
      <x:c r="P904" s="85"/>
      <x:c r="R904" s="86"/>
      <x:c r="S904" s="32"/>
    </x:row>
    <x:row r="905">
      <x:c r="A905" s="87"/>
      <x:c r="D905" s="32"/>
      <x:c r="I905" s="74"/>
      <x:c r="J905" s="74"/>
      <x:c r="K905" s="74"/>
      <x:c r="L905" s="91"/>
      <x:c r="M905" s="91"/>
      <x:c r="N905" s="91"/>
      <x:c r="O905" s="91"/>
      <x:c r="P905" s="85"/>
      <x:c r="R905" s="86"/>
      <x:c r="S905" s="32"/>
    </x:row>
    <x:row r="906">
      <x:c r="A906" s="87"/>
      <x:c r="D906" s="32"/>
      <x:c r="I906" s="74"/>
      <x:c r="J906" s="74"/>
      <x:c r="K906" s="74"/>
      <x:c r="L906" s="91"/>
      <x:c r="M906" s="91"/>
      <x:c r="N906" s="91"/>
      <x:c r="O906" s="91"/>
      <x:c r="P906" s="85"/>
      <x:c r="R906" s="86"/>
      <x:c r="S906" s="32"/>
    </x:row>
    <x:row r="907">
      <x:c r="A907" s="87"/>
      <x:c r="D907" s="32"/>
      <x:c r="I907" s="74"/>
      <x:c r="J907" s="74"/>
      <x:c r="K907" s="74"/>
      <x:c r="L907" s="91"/>
      <x:c r="M907" s="91"/>
      <x:c r="N907" s="91"/>
      <x:c r="O907" s="91"/>
      <x:c r="P907" s="85"/>
      <x:c r="R907" s="86"/>
      <x:c r="S907" s="32"/>
    </x:row>
    <x:row r="908">
      <x:c r="A908" s="87"/>
      <x:c r="D908" s="32"/>
      <x:c r="I908" s="74"/>
      <x:c r="J908" s="74"/>
      <x:c r="K908" s="74"/>
      <x:c r="L908" s="91"/>
      <x:c r="M908" s="91"/>
      <x:c r="N908" s="91"/>
      <x:c r="O908" s="91"/>
      <x:c r="P908" s="85"/>
      <x:c r="R908" s="86"/>
      <x:c r="S908" s="32"/>
    </x:row>
    <x:row r="909">
      <x:c r="A909" s="87"/>
      <x:c r="D909" s="32"/>
      <x:c r="I909" s="74"/>
      <x:c r="J909" s="74"/>
      <x:c r="K909" s="74"/>
      <x:c r="L909" s="91"/>
      <x:c r="M909" s="91"/>
      <x:c r="N909" s="91"/>
      <x:c r="O909" s="91"/>
      <x:c r="P909" s="85"/>
      <x:c r="R909" s="86"/>
      <x:c r="S909" s="32"/>
    </x:row>
    <x:row r="910">
      <x:c r="A910" s="87"/>
      <x:c r="D910" s="32"/>
      <x:c r="I910" s="74"/>
      <x:c r="J910" s="74"/>
      <x:c r="K910" s="74"/>
      <x:c r="L910" s="91"/>
      <x:c r="M910" s="91"/>
      <x:c r="N910" s="91"/>
      <x:c r="O910" s="91"/>
      <x:c r="P910" s="85"/>
      <x:c r="R910" s="86"/>
      <x:c r="S910" s="32"/>
    </x:row>
    <x:row r="911">
      <x:c r="A911" s="87"/>
      <x:c r="D911" s="32"/>
      <x:c r="I911" s="74"/>
      <x:c r="J911" s="74"/>
      <x:c r="K911" s="74"/>
      <x:c r="L911" s="91"/>
      <x:c r="M911" s="91"/>
      <x:c r="N911" s="91"/>
      <x:c r="O911" s="91"/>
      <x:c r="P911" s="85"/>
      <x:c r="R911" s="86"/>
      <x:c r="S911" s="32"/>
    </x:row>
    <x:row r="912">
      <x:c r="A912" s="87"/>
      <x:c r="D912" s="32"/>
      <x:c r="I912" s="74"/>
      <x:c r="J912" s="74"/>
      <x:c r="K912" s="74"/>
      <x:c r="L912" s="91"/>
      <x:c r="M912" s="91"/>
      <x:c r="N912" s="91"/>
      <x:c r="O912" s="91"/>
      <x:c r="P912" s="85"/>
      <x:c r="R912" s="86"/>
      <x:c r="S912" s="32"/>
    </x:row>
    <x:row r="913">
      <x:c r="A913" s="87"/>
      <x:c r="D913" s="32"/>
      <x:c r="I913" s="74"/>
      <x:c r="J913" s="74"/>
      <x:c r="K913" s="74"/>
      <x:c r="L913" s="91"/>
      <x:c r="M913" s="91"/>
      <x:c r="N913" s="91"/>
      <x:c r="O913" s="91"/>
      <x:c r="P913" s="85"/>
      <x:c r="R913" s="86"/>
      <x:c r="S913" s="32"/>
    </x:row>
    <x:row r="914">
      <x:c r="A914" s="87"/>
      <x:c r="D914" s="32"/>
      <x:c r="I914" s="74"/>
      <x:c r="J914" s="74"/>
      <x:c r="K914" s="74"/>
      <x:c r="L914" s="91"/>
      <x:c r="M914" s="91"/>
      <x:c r="N914" s="91"/>
      <x:c r="O914" s="91"/>
      <x:c r="P914" s="85"/>
      <x:c r="R914" s="86"/>
      <x:c r="S914" s="32"/>
    </x:row>
    <x:row r="915">
      <x:c r="A915" s="87"/>
      <x:c r="D915" s="32"/>
      <x:c r="I915" s="74"/>
      <x:c r="J915" s="74"/>
      <x:c r="K915" s="74"/>
      <x:c r="L915" s="91"/>
      <x:c r="M915" s="91"/>
      <x:c r="N915" s="91"/>
      <x:c r="O915" s="91"/>
      <x:c r="P915" s="85"/>
      <x:c r="R915" s="86"/>
      <x:c r="S915" s="32"/>
    </x:row>
    <x:row r="916">
      <x:c r="A916" s="87"/>
      <x:c r="D916" s="32"/>
      <x:c r="I916" s="74"/>
      <x:c r="J916" s="74"/>
      <x:c r="K916" s="74"/>
      <x:c r="L916" s="91"/>
      <x:c r="M916" s="91"/>
      <x:c r="N916" s="91"/>
      <x:c r="O916" s="91"/>
      <x:c r="P916" s="85"/>
      <x:c r="R916" s="86"/>
      <x:c r="S916" s="32"/>
    </x:row>
    <x:row r="917">
      <x:c r="A917" s="87"/>
      <x:c r="D917" s="32"/>
      <x:c r="I917" s="74"/>
      <x:c r="J917" s="74"/>
      <x:c r="K917" s="74"/>
      <x:c r="L917" s="91"/>
      <x:c r="M917" s="91"/>
      <x:c r="N917" s="91"/>
      <x:c r="O917" s="91"/>
      <x:c r="P917" s="85"/>
      <x:c r="R917" s="86"/>
      <x:c r="S917" s="32"/>
    </x:row>
    <x:row r="918">
      <x:c r="A918" s="87"/>
      <x:c r="D918" s="32"/>
      <x:c r="I918" s="74"/>
      <x:c r="J918" s="74"/>
      <x:c r="K918" s="74"/>
      <x:c r="L918" s="91"/>
      <x:c r="M918" s="91"/>
      <x:c r="N918" s="91"/>
      <x:c r="O918" s="91"/>
      <x:c r="P918" s="85"/>
      <x:c r="R918" s="86"/>
      <x:c r="S918" s="32"/>
    </x:row>
    <x:row r="919">
      <x:c r="A919" s="87"/>
      <x:c r="D919" s="32"/>
      <x:c r="I919" s="74"/>
      <x:c r="J919" s="74"/>
      <x:c r="K919" s="74"/>
      <x:c r="L919" s="91"/>
      <x:c r="M919" s="91"/>
      <x:c r="N919" s="91"/>
      <x:c r="O919" s="91"/>
      <x:c r="P919" s="85"/>
      <x:c r="R919" s="86"/>
      <x:c r="S919" s="32"/>
    </x:row>
    <x:row r="920">
      <x:c r="A920" s="87"/>
      <x:c r="D920" s="32"/>
      <x:c r="I920" s="74"/>
      <x:c r="J920" s="74"/>
      <x:c r="K920" s="74"/>
      <x:c r="L920" s="91"/>
      <x:c r="M920" s="91"/>
      <x:c r="N920" s="91"/>
      <x:c r="O920" s="91"/>
      <x:c r="P920" s="85"/>
      <x:c r="R920" s="86"/>
      <x:c r="S920" s="32"/>
    </x:row>
    <x:row r="921">
      <x:c r="A921" s="87"/>
      <x:c r="D921" s="32"/>
      <x:c r="I921" s="74"/>
      <x:c r="J921" s="74"/>
      <x:c r="K921" s="74"/>
      <x:c r="L921" s="91"/>
      <x:c r="M921" s="91"/>
      <x:c r="N921" s="91"/>
      <x:c r="O921" s="91"/>
      <x:c r="P921" s="85"/>
      <x:c r="R921" s="86"/>
      <x:c r="S921" s="32"/>
    </x:row>
    <x:row r="922">
      <x:c r="A922" s="87"/>
      <x:c r="D922" s="32"/>
      <x:c r="I922" s="74"/>
      <x:c r="J922" s="74"/>
      <x:c r="K922" s="74"/>
      <x:c r="L922" s="91"/>
      <x:c r="M922" s="91"/>
      <x:c r="N922" s="91"/>
      <x:c r="O922" s="91"/>
      <x:c r="P922" s="85"/>
      <x:c r="R922" s="86"/>
      <x:c r="S922" s="32"/>
    </x:row>
    <x:row r="923">
      <x:c r="A923" s="87"/>
      <x:c r="D923" s="32"/>
      <x:c r="I923" s="74"/>
      <x:c r="J923" s="74"/>
      <x:c r="K923" s="74"/>
      <x:c r="L923" s="91"/>
      <x:c r="M923" s="91"/>
      <x:c r="N923" s="91"/>
      <x:c r="O923" s="91"/>
      <x:c r="P923" s="85"/>
      <x:c r="R923" s="86"/>
      <x:c r="S923" s="32"/>
    </x:row>
    <x:row r="924">
      <x:c r="A924" s="87"/>
      <x:c r="D924" s="32"/>
      <x:c r="I924" s="74"/>
      <x:c r="J924" s="74"/>
      <x:c r="K924" s="74"/>
      <x:c r="L924" s="91"/>
      <x:c r="M924" s="91"/>
      <x:c r="N924" s="91"/>
      <x:c r="O924" s="91"/>
      <x:c r="P924" s="85"/>
      <x:c r="R924" s="86"/>
      <x:c r="S924" s="32"/>
    </x:row>
    <x:row r="925">
      <x:c r="A925" s="87"/>
      <x:c r="D925" s="32"/>
      <x:c r="I925" s="74"/>
      <x:c r="J925" s="74"/>
      <x:c r="K925" s="74"/>
      <x:c r="L925" s="91"/>
      <x:c r="M925" s="91"/>
      <x:c r="N925" s="91"/>
      <x:c r="O925" s="91"/>
      <x:c r="P925" s="85"/>
      <x:c r="R925" s="86"/>
      <x:c r="S925" s="32"/>
    </x:row>
    <x:row r="926">
      <x:c r="A926" s="87"/>
      <x:c r="D926" s="32"/>
      <x:c r="I926" s="74"/>
      <x:c r="J926" s="74"/>
      <x:c r="K926" s="74"/>
      <x:c r="L926" s="91"/>
      <x:c r="M926" s="91"/>
      <x:c r="N926" s="91"/>
      <x:c r="O926" s="91"/>
      <x:c r="P926" s="85"/>
      <x:c r="R926" s="86"/>
      <x:c r="S926" s="32"/>
    </x:row>
    <x:row r="927">
      <x:c r="A927" s="87"/>
      <x:c r="D927" s="32"/>
      <x:c r="I927" s="74"/>
      <x:c r="J927" s="74"/>
      <x:c r="K927" s="74"/>
      <x:c r="L927" s="91"/>
      <x:c r="M927" s="91"/>
      <x:c r="N927" s="91"/>
      <x:c r="O927" s="91"/>
      <x:c r="P927" s="85"/>
      <x:c r="R927" s="86"/>
      <x:c r="S927" s="32"/>
    </x:row>
    <x:row r="928">
      <x:c r="A928" s="87"/>
      <x:c r="D928" s="32"/>
      <x:c r="I928" s="74"/>
      <x:c r="J928" s="74"/>
      <x:c r="K928" s="74"/>
      <x:c r="L928" s="91"/>
      <x:c r="M928" s="91"/>
      <x:c r="N928" s="91"/>
      <x:c r="O928" s="91"/>
      <x:c r="P928" s="85"/>
      <x:c r="R928" s="86"/>
      <x:c r="S928" s="32"/>
    </x:row>
    <x:row r="929">
      <x:c r="A929" s="87"/>
      <x:c r="D929" s="32"/>
      <x:c r="I929" s="74"/>
      <x:c r="J929" s="74"/>
      <x:c r="K929" s="74"/>
      <x:c r="L929" s="91"/>
      <x:c r="M929" s="91"/>
      <x:c r="N929" s="91"/>
      <x:c r="O929" s="91"/>
      <x:c r="P929" s="85"/>
      <x:c r="R929" s="86"/>
      <x:c r="S929" s="32"/>
    </x:row>
    <x:row r="930">
      <x:c r="A930" s="87"/>
      <x:c r="D930" s="32"/>
      <x:c r="I930" s="74"/>
      <x:c r="J930" s="74"/>
      <x:c r="K930" s="74"/>
      <x:c r="L930" s="91"/>
      <x:c r="M930" s="91"/>
      <x:c r="N930" s="91"/>
      <x:c r="O930" s="91"/>
      <x:c r="P930" s="85"/>
      <x:c r="R930" s="86"/>
      <x:c r="S930" s="32"/>
    </x:row>
    <x:row r="931">
      <x:c r="A931" s="87"/>
      <x:c r="D931" s="32"/>
      <x:c r="I931" s="74"/>
      <x:c r="J931" s="74"/>
      <x:c r="K931" s="74"/>
      <x:c r="L931" s="91"/>
      <x:c r="M931" s="91"/>
      <x:c r="N931" s="91"/>
      <x:c r="O931" s="91"/>
      <x:c r="P931" s="85"/>
      <x:c r="R931" s="86"/>
      <x:c r="S931" s="32"/>
    </x:row>
    <x:row r="932">
      <x:c r="A932" s="87"/>
      <x:c r="D932" s="32"/>
      <x:c r="I932" s="74"/>
      <x:c r="J932" s="74"/>
      <x:c r="K932" s="74"/>
      <x:c r="L932" s="91"/>
      <x:c r="M932" s="91"/>
      <x:c r="N932" s="91"/>
      <x:c r="O932" s="91"/>
      <x:c r="P932" s="85"/>
      <x:c r="R932" s="86"/>
      <x:c r="S932" s="32"/>
    </x:row>
    <x:row r="933">
      <x:c r="A933" s="87"/>
      <x:c r="D933" s="32"/>
      <x:c r="I933" s="74"/>
      <x:c r="J933" s="74"/>
      <x:c r="K933" s="74"/>
      <x:c r="L933" s="91"/>
      <x:c r="M933" s="91"/>
      <x:c r="N933" s="91"/>
      <x:c r="O933" s="91"/>
      <x:c r="P933" s="85"/>
      <x:c r="R933" s="86"/>
      <x:c r="S933" s="32"/>
    </x:row>
    <x:row r="934">
      <x:c r="A934" s="87"/>
      <x:c r="D934" s="32"/>
      <x:c r="I934" s="74"/>
      <x:c r="J934" s="74"/>
      <x:c r="K934" s="74"/>
      <x:c r="L934" s="91"/>
      <x:c r="M934" s="91"/>
      <x:c r="N934" s="91"/>
      <x:c r="O934" s="91"/>
      <x:c r="P934" s="85"/>
      <x:c r="R934" s="86"/>
      <x:c r="S934" s="32"/>
    </x:row>
    <x:row r="935">
      <x:c r="A935" s="87"/>
      <x:c r="D935" s="32"/>
      <x:c r="I935" s="74"/>
      <x:c r="J935" s="74"/>
      <x:c r="K935" s="74"/>
      <x:c r="L935" s="91"/>
      <x:c r="M935" s="91"/>
      <x:c r="N935" s="91"/>
      <x:c r="O935" s="91"/>
      <x:c r="P935" s="85"/>
      <x:c r="R935" s="86"/>
      <x:c r="S935" s="32"/>
    </x:row>
    <x:row r="936">
      <x:c r="A936" s="87"/>
      <x:c r="D936" s="32"/>
      <x:c r="I936" s="74"/>
      <x:c r="J936" s="74"/>
      <x:c r="K936" s="74"/>
      <x:c r="L936" s="91"/>
      <x:c r="M936" s="91"/>
      <x:c r="N936" s="91"/>
      <x:c r="O936" s="91"/>
      <x:c r="P936" s="85"/>
      <x:c r="R936" s="86"/>
      <x:c r="S936" s="32"/>
    </x:row>
    <x:row r="937">
      <x:c r="A937" s="87"/>
      <x:c r="D937" s="32"/>
      <x:c r="I937" s="74"/>
      <x:c r="J937" s="74"/>
      <x:c r="K937" s="74"/>
      <x:c r="L937" s="91"/>
      <x:c r="M937" s="91"/>
      <x:c r="N937" s="91"/>
      <x:c r="O937" s="91"/>
      <x:c r="P937" s="85"/>
      <x:c r="R937" s="86"/>
      <x:c r="S937" s="32"/>
    </x:row>
    <x:row r="938">
      <x:c r="A938" s="87"/>
      <x:c r="D938" s="32"/>
      <x:c r="I938" s="74"/>
      <x:c r="J938" s="74"/>
      <x:c r="K938" s="74"/>
      <x:c r="L938" s="91"/>
      <x:c r="M938" s="91"/>
      <x:c r="N938" s="91"/>
      <x:c r="O938" s="91"/>
      <x:c r="P938" s="85"/>
      <x:c r="R938" s="86"/>
      <x:c r="S938" s="32"/>
    </x:row>
    <x:row r="939">
      <x:c r="A939" s="87"/>
      <x:c r="D939" s="32"/>
      <x:c r="I939" s="74"/>
      <x:c r="J939" s="74"/>
      <x:c r="K939" s="74"/>
      <x:c r="L939" s="91"/>
      <x:c r="M939" s="91"/>
      <x:c r="N939" s="91"/>
      <x:c r="O939" s="91"/>
      <x:c r="P939" s="85"/>
      <x:c r="R939" s="86"/>
      <x:c r="S939" s="32"/>
    </x:row>
    <x:row r="940">
      <x:c r="A940" s="87"/>
      <x:c r="D940" s="32"/>
      <x:c r="I940" s="74"/>
      <x:c r="J940" s="74"/>
      <x:c r="K940" s="74"/>
      <x:c r="L940" s="91"/>
      <x:c r="M940" s="91"/>
      <x:c r="N940" s="91"/>
      <x:c r="O940" s="91"/>
      <x:c r="P940" s="85"/>
      <x:c r="R940" s="86"/>
      <x:c r="S940" s="32"/>
    </x:row>
    <x:row r="941">
      <x:c r="A941" s="87"/>
      <x:c r="D941" s="32"/>
      <x:c r="I941" s="74"/>
      <x:c r="J941" s="74"/>
      <x:c r="K941" s="74"/>
      <x:c r="L941" s="91"/>
      <x:c r="M941" s="91"/>
      <x:c r="N941" s="91"/>
      <x:c r="O941" s="91"/>
      <x:c r="P941" s="85"/>
      <x:c r="R941" s="86"/>
      <x:c r="S941" s="32"/>
    </x:row>
    <x:row r="942">
      <x:c r="A942" s="87"/>
      <x:c r="D942" s="32"/>
      <x:c r="I942" s="74"/>
      <x:c r="J942" s="74"/>
      <x:c r="K942" s="74"/>
      <x:c r="L942" s="91"/>
      <x:c r="M942" s="91"/>
      <x:c r="N942" s="91"/>
      <x:c r="O942" s="91"/>
      <x:c r="P942" s="85"/>
      <x:c r="R942" s="86"/>
      <x:c r="S942" s="32"/>
    </x:row>
    <x:row r="943">
      <x:c r="A943" s="87"/>
      <x:c r="D943" s="32"/>
      <x:c r="I943" s="74"/>
      <x:c r="J943" s="74"/>
      <x:c r="K943" s="74"/>
      <x:c r="L943" s="91"/>
      <x:c r="M943" s="91"/>
      <x:c r="N943" s="91"/>
      <x:c r="O943" s="91"/>
      <x:c r="P943" s="85"/>
      <x:c r="R943" s="86"/>
      <x:c r="S943" s="32"/>
    </x:row>
    <x:row r="944">
      <x:c r="A944" s="87"/>
      <x:c r="D944" s="32"/>
      <x:c r="I944" s="74"/>
      <x:c r="J944" s="74"/>
      <x:c r="K944" s="74"/>
      <x:c r="L944" s="91"/>
      <x:c r="M944" s="91"/>
      <x:c r="N944" s="91"/>
      <x:c r="O944" s="91"/>
      <x:c r="P944" s="85"/>
      <x:c r="R944" s="86"/>
      <x:c r="S944" s="32"/>
    </x:row>
    <x:row r="945">
      <x:c r="A945" s="87"/>
      <x:c r="D945" s="32"/>
      <x:c r="I945" s="74"/>
      <x:c r="J945" s="74"/>
      <x:c r="K945" s="74"/>
      <x:c r="L945" s="91"/>
      <x:c r="M945" s="91"/>
      <x:c r="N945" s="91"/>
      <x:c r="O945" s="91"/>
      <x:c r="P945" s="85"/>
      <x:c r="R945" s="86"/>
      <x:c r="S945" s="32"/>
    </x:row>
    <x:row r="946">
      <x:c r="A946" s="87"/>
      <x:c r="D946" s="32"/>
      <x:c r="I946" s="74"/>
      <x:c r="J946" s="74"/>
      <x:c r="K946" s="74"/>
      <x:c r="L946" s="91"/>
      <x:c r="M946" s="91"/>
      <x:c r="N946" s="91"/>
      <x:c r="O946" s="91"/>
      <x:c r="P946" s="85"/>
      <x:c r="R946" s="86"/>
      <x:c r="S946" s="32"/>
    </x:row>
    <x:row r="947">
      <x:c r="A947" s="87"/>
      <x:c r="D947" s="32"/>
      <x:c r="I947" s="74"/>
      <x:c r="J947" s="74"/>
      <x:c r="K947" s="74"/>
      <x:c r="L947" s="91"/>
      <x:c r="M947" s="91"/>
      <x:c r="N947" s="91"/>
      <x:c r="O947" s="91"/>
      <x:c r="P947" s="85"/>
      <x:c r="R947" s="86"/>
      <x:c r="S947" s="32"/>
    </x:row>
    <x:row r="948">
      <x:c r="A948" s="87"/>
      <x:c r="D948" s="32"/>
      <x:c r="I948" s="74"/>
      <x:c r="J948" s="74"/>
      <x:c r="K948" s="74"/>
      <x:c r="L948" s="91"/>
      <x:c r="M948" s="91"/>
      <x:c r="N948" s="91"/>
      <x:c r="O948" s="91"/>
      <x:c r="P948" s="85"/>
      <x:c r="R948" s="86"/>
      <x:c r="S948" s="32"/>
    </x:row>
    <x:row r="949">
      <x:c r="A949" s="87"/>
      <x:c r="D949" s="32"/>
      <x:c r="I949" s="74"/>
      <x:c r="J949" s="74"/>
      <x:c r="K949" s="74"/>
      <x:c r="L949" s="91"/>
      <x:c r="M949" s="91"/>
      <x:c r="N949" s="91"/>
      <x:c r="O949" s="91"/>
      <x:c r="P949" s="85"/>
      <x:c r="R949" s="86"/>
      <x:c r="S949" s="32"/>
    </x:row>
    <x:row r="950">
      <x:c r="A950" s="87"/>
      <x:c r="D950" s="32"/>
      <x:c r="I950" s="74"/>
      <x:c r="J950" s="74"/>
      <x:c r="K950" s="74"/>
      <x:c r="L950" s="91"/>
      <x:c r="M950" s="91"/>
      <x:c r="N950" s="91"/>
      <x:c r="O950" s="91"/>
      <x:c r="P950" s="85"/>
      <x:c r="R950" s="86"/>
      <x:c r="S950" s="32"/>
    </x:row>
    <x:row r="951">
      <x:c r="A951" s="87"/>
      <x:c r="D951" s="32"/>
      <x:c r="I951" s="74"/>
      <x:c r="J951" s="74"/>
      <x:c r="K951" s="74"/>
      <x:c r="L951" s="91"/>
      <x:c r="M951" s="91"/>
      <x:c r="N951" s="91"/>
      <x:c r="O951" s="91"/>
      <x:c r="P951" s="85"/>
      <x:c r="R951" s="86"/>
      <x:c r="S951" s="32"/>
    </x:row>
    <x:row r="952">
      <x:c r="A952" s="87"/>
      <x:c r="D952" s="32"/>
      <x:c r="I952" s="74"/>
      <x:c r="J952" s="74"/>
      <x:c r="K952" s="74"/>
      <x:c r="L952" s="91"/>
      <x:c r="M952" s="91"/>
      <x:c r="N952" s="91"/>
      <x:c r="O952" s="91"/>
      <x:c r="P952" s="85"/>
      <x:c r="R952" s="86"/>
      <x:c r="S952" s="32"/>
    </x:row>
    <x:row r="953">
      <x:c r="A953" s="87"/>
      <x:c r="D953" s="32"/>
      <x:c r="I953" s="74"/>
      <x:c r="J953" s="74"/>
      <x:c r="K953" s="74"/>
      <x:c r="L953" s="91"/>
      <x:c r="M953" s="91"/>
      <x:c r="N953" s="91"/>
      <x:c r="O953" s="91"/>
      <x:c r="P953" s="85"/>
      <x:c r="R953" s="86"/>
      <x:c r="S953" s="32"/>
    </x:row>
    <x:row r="954">
      <x:c r="A954" s="87"/>
      <x:c r="D954" s="32"/>
      <x:c r="I954" s="74"/>
      <x:c r="J954" s="74"/>
      <x:c r="K954" s="74"/>
      <x:c r="L954" s="91"/>
      <x:c r="M954" s="91"/>
      <x:c r="N954" s="91"/>
      <x:c r="O954" s="91"/>
      <x:c r="P954" s="85"/>
      <x:c r="R954" s="86"/>
      <x:c r="S954" s="32"/>
    </x:row>
    <x:row r="955">
      <x:c r="A955" s="87"/>
      <x:c r="D955" s="32"/>
      <x:c r="I955" s="74"/>
      <x:c r="J955" s="74"/>
      <x:c r="K955" s="74"/>
      <x:c r="L955" s="91"/>
      <x:c r="M955" s="91"/>
      <x:c r="N955" s="91"/>
      <x:c r="O955" s="91"/>
      <x:c r="P955" s="85"/>
      <x:c r="R955" s="86"/>
      <x:c r="S955" s="32"/>
    </x:row>
    <x:row r="956">
      <x:c r="A956" s="87"/>
      <x:c r="D956" s="32"/>
      <x:c r="I956" s="74"/>
      <x:c r="J956" s="74"/>
      <x:c r="K956" s="74"/>
      <x:c r="L956" s="91"/>
      <x:c r="M956" s="91"/>
      <x:c r="N956" s="91"/>
      <x:c r="O956" s="91"/>
      <x:c r="P956" s="85"/>
      <x:c r="R956" s="86"/>
      <x:c r="S956" s="32"/>
    </x:row>
    <x:row r="957">
      <x:c r="A957" s="87"/>
      <x:c r="D957" s="32"/>
      <x:c r="I957" s="74"/>
      <x:c r="J957" s="74"/>
      <x:c r="K957" s="74"/>
      <x:c r="L957" s="91"/>
      <x:c r="M957" s="91"/>
      <x:c r="N957" s="91"/>
      <x:c r="O957" s="91"/>
      <x:c r="P957" s="85"/>
      <x:c r="R957" s="86"/>
      <x:c r="S957" s="32"/>
    </x:row>
    <x:row r="958">
      <x:c r="A958" s="87"/>
      <x:c r="D958" s="32"/>
      <x:c r="I958" s="74"/>
      <x:c r="J958" s="74"/>
      <x:c r="K958" s="74"/>
      <x:c r="L958" s="91"/>
      <x:c r="M958" s="91"/>
      <x:c r="N958" s="91"/>
      <x:c r="O958" s="91"/>
      <x:c r="P958" s="85"/>
      <x:c r="R958" s="86"/>
      <x:c r="S958" s="32"/>
    </x:row>
    <x:row r="959">
      <x:c r="A959" s="87"/>
      <x:c r="D959" s="32"/>
      <x:c r="I959" s="74"/>
      <x:c r="J959" s="74"/>
      <x:c r="K959" s="74"/>
      <x:c r="L959" s="91"/>
      <x:c r="M959" s="91"/>
      <x:c r="N959" s="91"/>
      <x:c r="O959" s="91"/>
      <x:c r="P959" s="85"/>
      <x:c r="R959" s="86"/>
      <x:c r="S959" s="32"/>
    </x:row>
    <x:row r="960">
      <x:c r="A960" s="87"/>
      <x:c r="D960" s="32"/>
      <x:c r="I960" s="74"/>
      <x:c r="J960" s="74"/>
      <x:c r="K960" s="74"/>
      <x:c r="L960" s="91"/>
      <x:c r="M960" s="91"/>
      <x:c r="N960" s="91"/>
      <x:c r="O960" s="91"/>
      <x:c r="P960" s="85"/>
      <x:c r="R960" s="86"/>
      <x:c r="S960" s="32"/>
    </x:row>
    <x:row r="961">
      <x:c r="A961" s="87"/>
      <x:c r="D961" s="32"/>
      <x:c r="I961" s="74"/>
      <x:c r="J961" s="74"/>
      <x:c r="K961" s="74"/>
      <x:c r="L961" s="91"/>
      <x:c r="M961" s="91"/>
      <x:c r="N961" s="91"/>
      <x:c r="O961" s="91"/>
      <x:c r="P961" s="85"/>
      <x:c r="R961" s="86"/>
      <x:c r="S961" s="32"/>
    </x:row>
    <x:row r="962">
      <x:c r="A962" s="87"/>
      <x:c r="D962" s="32"/>
      <x:c r="I962" s="74"/>
      <x:c r="J962" s="74"/>
      <x:c r="K962" s="74"/>
      <x:c r="L962" s="91"/>
      <x:c r="M962" s="91"/>
      <x:c r="N962" s="91"/>
      <x:c r="O962" s="91"/>
      <x:c r="P962" s="85"/>
      <x:c r="R962" s="86"/>
      <x:c r="S962" s="32"/>
    </x:row>
    <x:row r="963">
      <x:c r="A963" s="87"/>
      <x:c r="D963" s="32"/>
      <x:c r="I963" s="74"/>
      <x:c r="J963" s="74"/>
      <x:c r="K963" s="74"/>
      <x:c r="L963" s="91"/>
      <x:c r="M963" s="91"/>
      <x:c r="N963" s="91"/>
      <x:c r="O963" s="91"/>
      <x:c r="P963" s="85"/>
      <x:c r="R963" s="86"/>
      <x:c r="S963" s="32"/>
    </x:row>
    <x:row r="964">
      <x:c r="A964" s="87"/>
      <x:c r="D964" s="32"/>
      <x:c r="I964" s="74"/>
      <x:c r="J964" s="74"/>
      <x:c r="K964" s="74"/>
      <x:c r="L964" s="91"/>
      <x:c r="M964" s="91"/>
      <x:c r="N964" s="91"/>
      <x:c r="O964" s="91"/>
      <x:c r="P964" s="85"/>
      <x:c r="R964" s="86"/>
      <x:c r="S964" s="32"/>
    </x:row>
    <x:row r="965">
      <x:c r="A965" s="87"/>
      <x:c r="D965" s="32"/>
      <x:c r="I965" s="74"/>
      <x:c r="J965" s="74"/>
      <x:c r="K965" s="74"/>
      <x:c r="L965" s="91"/>
      <x:c r="M965" s="91"/>
      <x:c r="N965" s="91"/>
      <x:c r="O965" s="91"/>
      <x:c r="P965" s="85"/>
      <x:c r="R965" s="86"/>
      <x:c r="S965" s="32"/>
    </x:row>
    <x:row r="966">
      <x:c r="A966" s="87"/>
      <x:c r="D966" s="32"/>
      <x:c r="I966" s="74"/>
      <x:c r="J966" s="74"/>
      <x:c r="K966" s="74"/>
      <x:c r="L966" s="91"/>
      <x:c r="M966" s="91"/>
      <x:c r="N966" s="91"/>
      <x:c r="O966" s="91"/>
      <x:c r="P966" s="85"/>
      <x:c r="R966" s="86"/>
      <x:c r="S966" s="32"/>
    </x:row>
    <x:row r="967">
      <x:c r="A967" s="87"/>
      <x:c r="D967" s="32"/>
      <x:c r="I967" s="74"/>
      <x:c r="J967" s="74"/>
      <x:c r="K967" s="74"/>
      <x:c r="L967" s="91"/>
      <x:c r="M967" s="91"/>
      <x:c r="N967" s="91"/>
      <x:c r="O967" s="91"/>
      <x:c r="P967" s="85"/>
      <x:c r="R967" s="86"/>
      <x:c r="S967" s="32"/>
    </x:row>
    <x:row r="968">
      <x:c r="A968" s="87"/>
      <x:c r="D968" s="32"/>
      <x:c r="I968" s="74"/>
      <x:c r="J968" s="74"/>
      <x:c r="K968" s="74"/>
      <x:c r="L968" s="91"/>
      <x:c r="M968" s="91"/>
      <x:c r="N968" s="91"/>
      <x:c r="O968" s="91"/>
      <x:c r="P968" s="85"/>
      <x:c r="R968" s="86"/>
      <x:c r="S968" s="32"/>
    </x:row>
    <x:row r="969">
      <x:c r="A969" s="87"/>
      <x:c r="D969" s="32"/>
      <x:c r="I969" s="74"/>
      <x:c r="J969" s="74"/>
      <x:c r="K969" s="74"/>
      <x:c r="L969" s="91"/>
      <x:c r="M969" s="91"/>
      <x:c r="N969" s="91"/>
      <x:c r="O969" s="91"/>
      <x:c r="P969" s="85"/>
      <x:c r="R969" s="86"/>
      <x:c r="S969" s="32"/>
    </x:row>
    <x:row r="970">
      <x:c r="A970" s="87"/>
      <x:c r="D970" s="32"/>
      <x:c r="I970" s="74"/>
      <x:c r="J970" s="74"/>
      <x:c r="K970" s="74"/>
      <x:c r="L970" s="91"/>
      <x:c r="M970" s="91"/>
      <x:c r="N970" s="91"/>
      <x:c r="O970" s="91"/>
      <x:c r="P970" s="85"/>
      <x:c r="R970" s="86"/>
      <x:c r="S970" s="32"/>
    </x:row>
    <x:row r="971">
      <x:c r="A971" s="87"/>
      <x:c r="D971" s="32"/>
      <x:c r="I971" s="74"/>
      <x:c r="J971" s="74"/>
      <x:c r="K971" s="74"/>
      <x:c r="L971" s="91"/>
      <x:c r="M971" s="91"/>
      <x:c r="N971" s="91"/>
      <x:c r="O971" s="91"/>
      <x:c r="P971" s="85"/>
      <x:c r="R971" s="86"/>
      <x:c r="S971" s="32"/>
    </x:row>
    <x:row r="972">
      <x:c r="A972" s="87"/>
      <x:c r="D972" s="32"/>
      <x:c r="I972" s="74"/>
      <x:c r="J972" s="74"/>
      <x:c r="K972" s="74"/>
      <x:c r="L972" s="91"/>
      <x:c r="M972" s="91"/>
      <x:c r="N972" s="91"/>
      <x:c r="O972" s="91"/>
      <x:c r="P972" s="85"/>
      <x:c r="R972" s="86"/>
      <x:c r="S972" s="32"/>
    </x:row>
    <x:row r="973">
      <x:c r="A973" s="87"/>
      <x:c r="D973" s="32"/>
      <x:c r="I973" s="74"/>
      <x:c r="J973" s="74"/>
      <x:c r="K973" s="74"/>
      <x:c r="L973" s="91"/>
      <x:c r="M973" s="91"/>
      <x:c r="N973" s="91"/>
      <x:c r="O973" s="91"/>
      <x:c r="P973" s="85"/>
      <x:c r="R973" s="86"/>
      <x:c r="S973" s="32"/>
    </x:row>
    <x:row r="974">
      <x:c r="A974" s="87"/>
      <x:c r="D974" s="32"/>
      <x:c r="I974" s="74"/>
      <x:c r="J974" s="74"/>
      <x:c r="K974" s="74"/>
      <x:c r="L974" s="91"/>
      <x:c r="M974" s="91"/>
      <x:c r="N974" s="91"/>
      <x:c r="O974" s="91"/>
      <x:c r="P974" s="85"/>
      <x:c r="R974" s="86"/>
      <x:c r="S974" s="32"/>
    </x:row>
    <x:row r="975">
      <x:c r="A975" s="87"/>
      <x:c r="D975" s="32"/>
      <x:c r="I975" s="74"/>
      <x:c r="J975" s="74"/>
      <x:c r="K975" s="74"/>
      <x:c r="L975" s="91"/>
      <x:c r="M975" s="91"/>
      <x:c r="N975" s="91"/>
      <x:c r="O975" s="91"/>
      <x:c r="P975" s="85"/>
      <x:c r="R975" s="86"/>
      <x:c r="S975" s="32"/>
    </x:row>
    <x:row r="976">
      <x:c r="A976" s="87"/>
      <x:c r="D976" s="32"/>
      <x:c r="I976" s="74"/>
      <x:c r="J976" s="74"/>
      <x:c r="K976" s="74"/>
      <x:c r="L976" s="91"/>
      <x:c r="M976" s="91"/>
      <x:c r="N976" s="91"/>
      <x:c r="O976" s="91"/>
      <x:c r="P976" s="85"/>
      <x:c r="R976" s="86"/>
      <x:c r="S976" s="32"/>
    </x:row>
    <x:row r="977">
      <x:c r="A977" s="87"/>
      <x:c r="D977" s="32"/>
      <x:c r="I977" s="74"/>
      <x:c r="J977" s="74"/>
      <x:c r="K977" s="74"/>
      <x:c r="L977" s="91"/>
      <x:c r="M977" s="91"/>
      <x:c r="N977" s="91"/>
      <x:c r="O977" s="91"/>
      <x:c r="P977" s="85"/>
      <x:c r="R977" s="86"/>
      <x:c r="S977" s="32"/>
    </x:row>
    <x:row r="978">
      <x:c r="A978" s="87"/>
      <x:c r="D978" s="32"/>
      <x:c r="I978" s="74"/>
      <x:c r="J978" s="74"/>
      <x:c r="K978" s="74"/>
      <x:c r="L978" s="91"/>
      <x:c r="M978" s="91"/>
      <x:c r="N978" s="91"/>
      <x:c r="O978" s="91"/>
      <x:c r="P978" s="85"/>
      <x:c r="R978" s="86"/>
      <x:c r="S978" s="32"/>
    </x:row>
    <x:row r="979">
      <x:c r="A979" s="87"/>
      <x:c r="D979" s="32"/>
      <x:c r="I979" s="74"/>
      <x:c r="J979" s="74"/>
      <x:c r="K979" s="74"/>
      <x:c r="L979" s="91"/>
      <x:c r="M979" s="91"/>
      <x:c r="N979" s="91"/>
      <x:c r="O979" s="91"/>
      <x:c r="P979" s="85"/>
      <x:c r="R979" s="86"/>
      <x:c r="S979" s="32"/>
    </x:row>
    <x:row r="980">
      <x:c r="A980" s="87"/>
      <x:c r="D980" s="32"/>
      <x:c r="I980" s="74"/>
      <x:c r="J980" s="74"/>
      <x:c r="K980" s="74"/>
      <x:c r="L980" s="91"/>
      <x:c r="M980" s="91"/>
      <x:c r="N980" s="91"/>
      <x:c r="O980" s="91"/>
      <x:c r="P980" s="85"/>
      <x:c r="R980" s="86"/>
      <x:c r="S980" s="32"/>
    </x:row>
    <x:row r="981">
      <x:c r="A981" s="87"/>
      <x:c r="D981" s="32"/>
      <x:c r="I981" s="74"/>
      <x:c r="J981" s="74"/>
      <x:c r="K981" s="74"/>
      <x:c r="L981" s="91"/>
      <x:c r="M981" s="91"/>
      <x:c r="N981" s="91"/>
      <x:c r="O981" s="91"/>
      <x:c r="P981" s="85"/>
      <x:c r="R981" s="86"/>
      <x:c r="S981" s="32"/>
    </x:row>
    <x:row r="982">
      <x:c r="A982" s="87"/>
      <x:c r="D982" s="32"/>
      <x:c r="I982" s="74"/>
      <x:c r="J982" s="74"/>
      <x:c r="K982" s="74"/>
      <x:c r="L982" s="91"/>
      <x:c r="M982" s="91"/>
      <x:c r="N982" s="91"/>
      <x:c r="O982" s="91"/>
      <x:c r="P982" s="85"/>
      <x:c r="R982" s="86"/>
      <x:c r="S982" s="32"/>
    </x:row>
    <x:row r="983">
      <x:c r="A983" s="87"/>
      <x:c r="D983" s="32"/>
      <x:c r="I983" s="74"/>
      <x:c r="J983" s="74"/>
      <x:c r="K983" s="74"/>
      <x:c r="L983" s="91"/>
      <x:c r="M983" s="91"/>
      <x:c r="N983" s="91"/>
      <x:c r="O983" s="91"/>
      <x:c r="P983" s="85"/>
      <x:c r="R983" s="86"/>
      <x:c r="S983" s="32"/>
    </x:row>
    <x:row r="984">
      <x:c r="A984" s="87"/>
      <x:c r="D984" s="32"/>
      <x:c r="I984" s="74"/>
      <x:c r="J984" s="74"/>
      <x:c r="K984" s="74"/>
      <x:c r="L984" s="91"/>
      <x:c r="M984" s="91"/>
      <x:c r="N984" s="91"/>
      <x:c r="O984" s="91"/>
      <x:c r="P984" s="85"/>
      <x:c r="R984" s="86"/>
      <x:c r="S984" s="32"/>
    </x:row>
    <x:row r="985">
      <x:c r="A985" s="87"/>
      <x:c r="D985" s="32"/>
      <x:c r="I985" s="74"/>
      <x:c r="J985" s="74"/>
      <x:c r="K985" s="74"/>
      <x:c r="L985" s="91"/>
      <x:c r="M985" s="91"/>
      <x:c r="N985" s="91"/>
      <x:c r="O985" s="91"/>
      <x:c r="P985" s="85"/>
      <x:c r="R985" s="86"/>
      <x:c r="S985" s="32"/>
    </x:row>
    <x:row r="986">
      <x:c r="A986" s="87"/>
      <x:c r="D986" s="32"/>
      <x:c r="I986" s="74"/>
      <x:c r="J986" s="74"/>
      <x:c r="K986" s="74"/>
      <x:c r="L986" s="91"/>
      <x:c r="M986" s="91"/>
      <x:c r="N986" s="91"/>
      <x:c r="O986" s="91"/>
      <x:c r="P986" s="85"/>
      <x:c r="R986" s="86"/>
      <x:c r="S986" s="32"/>
    </x:row>
    <x:row r="987">
      <x:c r="A987" s="87"/>
      <x:c r="D987" s="32"/>
      <x:c r="I987" s="74"/>
      <x:c r="J987" s="74"/>
      <x:c r="K987" s="74"/>
      <x:c r="L987" s="91"/>
      <x:c r="M987" s="91"/>
      <x:c r="N987" s="91"/>
      <x:c r="O987" s="91"/>
      <x:c r="P987" s="85"/>
      <x:c r="R987" s="86"/>
      <x:c r="S987" s="32"/>
    </x:row>
    <x:row r="988">
      <x:c r="A988" s="87"/>
      <x:c r="D988" s="32"/>
      <x:c r="I988" s="74"/>
      <x:c r="J988" s="74"/>
      <x:c r="K988" s="74"/>
      <x:c r="L988" s="91"/>
      <x:c r="M988" s="91"/>
      <x:c r="N988" s="91"/>
      <x:c r="O988" s="91"/>
      <x:c r="P988" s="85"/>
      <x:c r="R988" s="86"/>
      <x:c r="S988" s="32"/>
    </x:row>
    <x:row r="989">
      <x:c r="A989" s="87"/>
      <x:c r="D989" s="32"/>
      <x:c r="I989" s="74"/>
      <x:c r="J989" s="74"/>
      <x:c r="K989" s="74"/>
      <x:c r="L989" s="91"/>
      <x:c r="M989" s="91"/>
      <x:c r="N989" s="91"/>
      <x:c r="O989" s="91"/>
      <x:c r="P989" s="85"/>
      <x:c r="R989" s="86"/>
      <x:c r="S989" s="32"/>
    </x:row>
    <x:row r="990">
      <x:c r="A990" s="87"/>
      <x:c r="D990" s="32"/>
      <x:c r="I990" s="74"/>
      <x:c r="J990" s="74"/>
      <x:c r="K990" s="74"/>
      <x:c r="L990" s="91"/>
      <x:c r="M990" s="91"/>
      <x:c r="N990" s="91"/>
      <x:c r="O990" s="91"/>
      <x:c r="P990" s="85"/>
      <x:c r="R990" s="86"/>
      <x:c r="S990" s="32"/>
    </x:row>
    <x:row r="991">
      <x:c r="A991" s="87"/>
      <x:c r="D991" s="32"/>
      <x:c r="I991" s="74"/>
      <x:c r="J991" s="74"/>
      <x:c r="K991" s="74"/>
      <x:c r="L991" s="91"/>
      <x:c r="M991" s="91"/>
      <x:c r="N991" s="91"/>
      <x:c r="O991" s="91"/>
      <x:c r="P991" s="85"/>
      <x:c r="R991" s="86"/>
      <x:c r="S991" s="32"/>
    </x:row>
    <x:row r="992">
      <x:c r="A992" s="87"/>
      <x:c r="D992" s="32"/>
      <x:c r="I992" s="74"/>
      <x:c r="J992" s="74"/>
      <x:c r="K992" s="74"/>
      <x:c r="L992" s="91"/>
      <x:c r="M992" s="91"/>
      <x:c r="N992" s="91"/>
      <x:c r="O992" s="91"/>
      <x:c r="P992" s="85"/>
      <x:c r="R992" s="86"/>
      <x:c r="S992" s="32"/>
    </x:row>
    <x:row r="993">
      <x:c r="A993" s="87"/>
      <x:c r="D993" s="32"/>
      <x:c r="I993" s="74"/>
      <x:c r="J993" s="74"/>
      <x:c r="K993" s="74"/>
      <x:c r="L993" s="91"/>
      <x:c r="M993" s="91"/>
      <x:c r="N993" s="91"/>
      <x:c r="O993" s="91"/>
      <x:c r="P993" s="85"/>
      <x:c r="R993" s="86"/>
      <x:c r="S993" s="32"/>
    </x:row>
    <x:row r="994">
      <x:c r="A994" s="87"/>
      <x:c r="D994" s="32"/>
      <x:c r="I994" s="74"/>
      <x:c r="J994" s="74"/>
      <x:c r="K994" s="74"/>
      <x:c r="L994" s="91"/>
      <x:c r="M994" s="91"/>
      <x:c r="N994" s="91"/>
      <x:c r="O994" s="91"/>
      <x:c r="P994" s="85"/>
      <x:c r="R994" s="86"/>
      <x:c r="S994" s="32"/>
    </x:row>
    <x:row r="995">
      <x:c r="A995" s="87"/>
      <x:c r="D995" s="32"/>
      <x:c r="I995" s="74"/>
      <x:c r="J995" s="74"/>
      <x:c r="K995" s="74"/>
      <x:c r="L995" s="91"/>
      <x:c r="M995" s="91"/>
      <x:c r="N995" s="91"/>
      <x:c r="O995" s="91"/>
      <x:c r="P995" s="85"/>
      <x:c r="R995" s="86"/>
      <x:c r="S995" s="32"/>
    </x:row>
    <x:row r="996">
      <x:c r="A996" s="87"/>
      <x:c r="D996" s="32"/>
      <x:c r="I996" s="74"/>
      <x:c r="J996" s="74"/>
      <x:c r="K996" s="74"/>
      <x:c r="L996" s="91"/>
      <x:c r="M996" s="91"/>
      <x:c r="N996" s="91"/>
      <x:c r="O996" s="91"/>
      <x:c r="P996" s="85"/>
      <x:c r="R996" s="86"/>
      <x:c r="S996" s="32"/>
    </x:row>
    <x:row r="997">
      <x:c r="A997" s="87"/>
      <x:c r="D997" s="32"/>
      <x:c r="I997" s="74"/>
      <x:c r="J997" s="74"/>
      <x:c r="K997" s="74"/>
      <x:c r="L997" s="91"/>
      <x:c r="M997" s="91"/>
      <x:c r="N997" s="91"/>
      <x:c r="O997" s="91"/>
      <x:c r="P997" s="85"/>
      <x:c r="R997" s="86"/>
      <x:c r="S997" s="32"/>
    </x:row>
    <x:row r="998">
      <x:c r="A998" s="87"/>
      <x:c r="D998" s="32"/>
      <x:c r="I998" s="74"/>
      <x:c r="J998" s="74"/>
      <x:c r="K998" s="74"/>
      <x:c r="L998" s="91"/>
      <x:c r="M998" s="91"/>
      <x:c r="N998" s="91"/>
      <x:c r="O998" s="91"/>
      <x:c r="P998" s="85"/>
      <x:c r="R998" s="86"/>
      <x:c r="S998" s="32"/>
    </x:row>
    <x:row r="999">
      <x:c r="A999" s="87"/>
      <x:c r="D999" s="32"/>
      <x:c r="I999" s="74"/>
      <x:c r="J999" s="74"/>
      <x:c r="K999" s="74"/>
      <x:c r="L999" s="91"/>
      <x:c r="M999" s="91"/>
      <x:c r="N999" s="91"/>
      <x:c r="O999" s="91"/>
      <x:c r="P999" s="85"/>
      <x:c r="R999" s="86"/>
      <x:c r="S999" s="32"/>
    </x:row>
    <x:row r="1000">
      <x:c r="A1000" s="87"/>
      <x:c r="D1000" s="32"/>
      <x:c r="I1000" s="74"/>
      <x:c r="J1000" s="74"/>
      <x:c r="K1000" s="74"/>
      <x:c r="L1000" s="91"/>
      <x:c r="M1000" s="91"/>
      <x:c r="N1000" s="91"/>
      <x:c r="O1000" s="91"/>
      <x:c r="P1000" s="85"/>
      <x:c r="R1000" s="86"/>
      <x:c r="S1000" s="32"/>
    </x:row>
    <x:row r="1001">
      <x:c r="A1001" s="87"/>
      <x:c r="D1001" s="32"/>
      <x:c r="I1001" s="74"/>
      <x:c r="J1001" s="74"/>
      <x:c r="K1001" s="74"/>
      <x:c r="L1001" s="91"/>
      <x:c r="M1001" s="91"/>
      <x:c r="N1001" s="91"/>
      <x:c r="O1001" s="91"/>
      <x:c r="P1001" s="85"/>
      <x:c r="R1001" s="86"/>
      <x:c r="S1001" s="32"/>
    </x:row>
    <x:row r="1002">
      <x:c r="A1002" s="87"/>
      <x:c r="D1002" s="32"/>
      <x:c r="I1002" s="74"/>
      <x:c r="J1002" s="74"/>
      <x:c r="K1002" s="74"/>
      <x:c r="L1002" s="91"/>
      <x:c r="M1002" s="91"/>
      <x:c r="N1002" s="91"/>
      <x:c r="O1002" s="91"/>
      <x:c r="P1002" s="85"/>
      <x:c r="R1002" s="86"/>
      <x:c r="S1002" s="32"/>
    </x:row>
    <x:row r="1003">
      <x:c r="A1003" s="87"/>
      <x:c r="D1003" s="32"/>
      <x:c r="I1003" s="74"/>
      <x:c r="J1003" s="74"/>
      <x:c r="K1003" s="74"/>
      <x:c r="L1003" s="91"/>
      <x:c r="M1003" s="91"/>
      <x:c r="N1003" s="91"/>
      <x:c r="O1003" s="91"/>
      <x:c r="P1003" s="85"/>
      <x:c r="R1003" s="86"/>
      <x:c r="S1003" s="32"/>
    </x:row>
    <x:row r="1004">
      <x:c r="A1004" s="87"/>
      <x:c r="D1004" s="32"/>
      <x:c r="I1004" s="74"/>
      <x:c r="J1004" s="74"/>
      <x:c r="K1004" s="74"/>
      <x:c r="L1004" s="91"/>
      <x:c r="M1004" s="91"/>
      <x:c r="N1004" s="91"/>
      <x:c r="O1004" s="91"/>
      <x:c r="P1004" s="85"/>
      <x:c r="R1004" s="86"/>
      <x:c r="S1004" s="32"/>
    </x:row>
    <x:row r="1005">
      <x:c r="A1005" s="87"/>
      <x:c r="D1005" s="32"/>
      <x:c r="I1005" s="74"/>
      <x:c r="J1005" s="74"/>
      <x:c r="K1005" s="74"/>
      <x:c r="L1005" s="91"/>
      <x:c r="M1005" s="91"/>
      <x:c r="N1005" s="91"/>
      <x:c r="O1005" s="91"/>
      <x:c r="P1005" s="85"/>
      <x:c r="R1005" s="86"/>
      <x:c r="S1005" s="32"/>
    </x:row>
    <x:row r="1006">
      <x:c r="A1006" s="87"/>
      <x:c r="D1006" s="32"/>
      <x:c r="I1006" s="74"/>
      <x:c r="J1006" s="74"/>
      <x:c r="K1006" s="74"/>
      <x:c r="L1006" s="91"/>
      <x:c r="M1006" s="91"/>
      <x:c r="N1006" s="91"/>
      <x:c r="O1006" s="91"/>
      <x:c r="P1006" s="85"/>
      <x:c r="R1006" s="86"/>
      <x:c r="S1006" s="32"/>
    </x:row>
    <x:row r="1007">
      <x:c r="A1007" s="87"/>
      <x:c r="D1007" s="32"/>
      <x:c r="I1007" s="74"/>
      <x:c r="J1007" s="74"/>
      <x:c r="K1007" s="74"/>
      <x:c r="L1007" s="91"/>
      <x:c r="M1007" s="91"/>
      <x:c r="N1007" s="91"/>
      <x:c r="O1007" s="91"/>
      <x:c r="P1007" s="85"/>
      <x:c r="R1007" s="86"/>
      <x:c r="S1007" s="32"/>
    </x:row>
    <x:row r="1008">
      <x:c r="A1008" s="87"/>
      <x:c r="D1008" s="32"/>
      <x:c r="I1008" s="74"/>
      <x:c r="J1008" s="74"/>
      <x:c r="K1008" s="74"/>
      <x:c r="L1008" s="91"/>
      <x:c r="M1008" s="91"/>
      <x:c r="N1008" s="91"/>
      <x:c r="O1008" s="91"/>
      <x:c r="P1008" s="85"/>
      <x:c r="R1008" s="86"/>
      <x:c r="S1008" s="32"/>
    </x:row>
    <x:row r="1009">
      <x:c r="A1009" s="87"/>
      <x:c r="D1009" s="32"/>
      <x:c r="I1009" s="74"/>
      <x:c r="J1009" s="74"/>
      <x:c r="K1009" s="74"/>
      <x:c r="L1009" s="91"/>
      <x:c r="M1009" s="91"/>
      <x:c r="N1009" s="91"/>
      <x:c r="O1009" s="91"/>
      <x:c r="P1009" s="85"/>
      <x:c r="R1009" s="86"/>
      <x:c r="S1009" s="32"/>
    </x:row>
    <x:row r="1010">
      <x:c r="A1010" s="87"/>
      <x:c r="D1010" s="32"/>
      <x:c r="I1010" s="74"/>
      <x:c r="J1010" s="74"/>
      <x:c r="K1010" s="74"/>
      <x:c r="L1010" s="91"/>
      <x:c r="M1010" s="91"/>
      <x:c r="N1010" s="91"/>
      <x:c r="O1010" s="91"/>
      <x:c r="P1010" s="85"/>
      <x:c r="R1010" s="86"/>
      <x:c r="S1010" s="32"/>
    </x:row>
    <x:row r="1011">
      <x:c r="A1011" s="87"/>
      <x:c r="D1011" s="32"/>
      <x:c r="I1011" s="74"/>
      <x:c r="J1011" s="74"/>
      <x:c r="K1011" s="74"/>
      <x:c r="L1011" s="91"/>
      <x:c r="M1011" s="91"/>
      <x:c r="N1011" s="91"/>
      <x:c r="O1011" s="91"/>
      <x:c r="P1011" s="85"/>
      <x:c r="R1011" s="86"/>
      <x:c r="S1011" s="32"/>
    </x:row>
    <x:row r="1012">
      <x:c r="A1012" s="87"/>
      <x:c r="D1012" s="32"/>
      <x:c r="I1012" s="74"/>
      <x:c r="J1012" s="74"/>
      <x:c r="K1012" s="74"/>
      <x:c r="L1012" s="91"/>
      <x:c r="M1012" s="91"/>
      <x:c r="N1012" s="91"/>
      <x:c r="O1012" s="91"/>
      <x:c r="P1012" s="85"/>
      <x:c r="R1012" s="86"/>
      <x:c r="S1012" s="32"/>
    </x:row>
    <x:row r="1013">
      <x:c r="A1013" s="87"/>
      <x:c r="D1013" s="32"/>
      <x:c r="I1013" s="74"/>
      <x:c r="J1013" s="74"/>
      <x:c r="K1013" s="74"/>
      <x:c r="L1013" s="91"/>
      <x:c r="M1013" s="91"/>
      <x:c r="N1013" s="91"/>
      <x:c r="O1013" s="91"/>
      <x:c r="P1013" s="85"/>
      <x:c r="R1013" s="86"/>
      <x:c r="S1013" s="32"/>
    </x:row>
    <x:row r="1014">
      <x:c r="A1014" s="87"/>
      <x:c r="D1014" s="32"/>
      <x:c r="I1014" s="74"/>
      <x:c r="J1014" s="74"/>
      <x:c r="K1014" s="74"/>
      <x:c r="L1014" s="91"/>
      <x:c r="M1014" s="91"/>
      <x:c r="N1014" s="91"/>
      <x:c r="O1014" s="91"/>
      <x:c r="P1014" s="85"/>
      <x:c r="R1014" s="86"/>
      <x:c r="S1014" s="32"/>
    </x:row>
    <x:row r="1015">
      <x:c r="A1015" s="87"/>
      <x:c r="D1015" s="32"/>
      <x:c r="I1015" s="74"/>
      <x:c r="J1015" s="74"/>
      <x:c r="K1015" s="74"/>
      <x:c r="L1015" s="91"/>
      <x:c r="M1015" s="91"/>
      <x:c r="N1015" s="91"/>
      <x:c r="O1015" s="91"/>
      <x:c r="P1015" s="85"/>
      <x:c r="R1015" s="86"/>
      <x:c r="S1015" s="32"/>
    </x:row>
    <x:row r="1016">
      <x:c r="A1016" s="87"/>
      <x:c r="D1016" s="32"/>
      <x:c r="I1016" s="74"/>
      <x:c r="J1016" s="74"/>
      <x:c r="K1016" s="74"/>
      <x:c r="L1016" s="91"/>
      <x:c r="M1016" s="91"/>
      <x:c r="N1016" s="91"/>
      <x:c r="O1016" s="91"/>
      <x:c r="P1016" s="85"/>
      <x:c r="R1016" s="86"/>
      <x:c r="S1016" s="32"/>
    </x:row>
    <x:row r="1017">
      <x:c r="A1017" s="87"/>
      <x:c r="D1017" s="32"/>
      <x:c r="I1017" s="74"/>
      <x:c r="J1017" s="74"/>
      <x:c r="K1017" s="74"/>
      <x:c r="L1017" s="91"/>
      <x:c r="M1017" s="91"/>
      <x:c r="N1017" s="91"/>
      <x:c r="O1017" s="91"/>
      <x:c r="P1017" s="85"/>
      <x:c r="R1017" s="86"/>
      <x:c r="S1017" s="32"/>
    </x:row>
    <x:row r="1018">
      <x:c r="A1018" s="87"/>
      <x:c r="D1018" s="32"/>
      <x:c r="I1018" s="74"/>
      <x:c r="J1018" s="74"/>
      <x:c r="K1018" s="74"/>
      <x:c r="L1018" s="91"/>
      <x:c r="M1018" s="91"/>
      <x:c r="N1018" s="91"/>
      <x:c r="O1018" s="91"/>
      <x:c r="P1018" s="85"/>
      <x:c r="R1018" s="86"/>
      <x:c r="S1018" s="32"/>
    </x:row>
    <x:row r="1019">
      <x:c r="A1019" s="87"/>
      <x:c r="D1019" s="32"/>
      <x:c r="I1019" s="74"/>
      <x:c r="J1019" s="74"/>
      <x:c r="K1019" s="74"/>
      <x:c r="L1019" s="91"/>
      <x:c r="M1019" s="91"/>
      <x:c r="N1019" s="91"/>
      <x:c r="O1019" s="91"/>
      <x:c r="P1019" s="85"/>
      <x:c r="R1019" s="86"/>
      <x:c r="S1019" s="32"/>
    </x:row>
    <x:row r="1020">
      <x:c r="A1020" s="87"/>
      <x:c r="D1020" s="32"/>
      <x:c r="I1020" s="74"/>
      <x:c r="J1020" s="74"/>
      <x:c r="K1020" s="74"/>
      <x:c r="L1020" s="91"/>
      <x:c r="M1020" s="91"/>
      <x:c r="N1020" s="91"/>
      <x:c r="O1020" s="91"/>
      <x:c r="P1020" s="85"/>
      <x:c r="R1020" s="86"/>
      <x:c r="S1020" s="32"/>
    </x:row>
    <x:row r="1021">
      <x:c r="A1021" s="87"/>
      <x:c r="D1021" s="32"/>
      <x:c r="I1021" s="74"/>
      <x:c r="J1021" s="74"/>
      <x:c r="K1021" s="74"/>
      <x:c r="L1021" s="91"/>
      <x:c r="M1021" s="91"/>
      <x:c r="N1021" s="91"/>
      <x:c r="O1021" s="91"/>
      <x:c r="P1021" s="85"/>
      <x:c r="R1021" s="86"/>
      <x:c r="S1021" s="32"/>
    </x:row>
    <x:row r="1022">
      <x:c r="A1022" s="87"/>
      <x:c r="D1022" s="32"/>
      <x:c r="I1022" s="74"/>
      <x:c r="J1022" s="74"/>
      <x:c r="K1022" s="74"/>
      <x:c r="L1022" s="91"/>
      <x:c r="M1022" s="91"/>
      <x:c r="N1022" s="91"/>
      <x:c r="O1022" s="91"/>
      <x:c r="P1022" s="85"/>
      <x:c r="R1022" s="86"/>
      <x:c r="S1022" s="32"/>
    </x:row>
    <x:row r="1023">
      <x:c r="A1023" s="87"/>
      <x:c r="D1023" s="32"/>
      <x:c r="I1023" s="74"/>
      <x:c r="J1023" s="74"/>
      <x:c r="K1023" s="74"/>
      <x:c r="L1023" s="91"/>
      <x:c r="M1023" s="91"/>
      <x:c r="N1023" s="91"/>
      <x:c r="O1023" s="91"/>
      <x:c r="P1023" s="85"/>
      <x:c r="R1023" s="86"/>
      <x:c r="S1023" s="32"/>
    </x:row>
    <x:row r="1024">
      <x:c r="A1024" s="87"/>
      <x:c r="D1024" s="32"/>
      <x:c r="I1024" s="74"/>
      <x:c r="J1024" s="74"/>
      <x:c r="K1024" s="74"/>
      <x:c r="L1024" s="91"/>
      <x:c r="M1024" s="91"/>
      <x:c r="N1024" s="91"/>
      <x:c r="O1024" s="91"/>
      <x:c r="P1024" s="85"/>
      <x:c r="R1024" s="86"/>
      <x:c r="S1024" s="32"/>
    </x:row>
    <x:row r="1025">
      <x:c r="A1025" s="87"/>
      <x:c r="D1025" s="32"/>
      <x:c r="I1025" s="74"/>
      <x:c r="J1025" s="74"/>
      <x:c r="K1025" s="74"/>
      <x:c r="L1025" s="91"/>
      <x:c r="M1025" s="91"/>
      <x:c r="N1025" s="91"/>
      <x:c r="O1025" s="91"/>
      <x:c r="P1025" s="85"/>
      <x:c r="R1025" s="86"/>
      <x:c r="S1025" s="32"/>
    </x:row>
    <x:row r="1026">
      <x:c r="A1026" s="87"/>
      <x:c r="D1026" s="32"/>
      <x:c r="I1026" s="74"/>
      <x:c r="J1026" s="74"/>
      <x:c r="K1026" s="74"/>
      <x:c r="L1026" s="91"/>
      <x:c r="M1026" s="91"/>
      <x:c r="N1026" s="91"/>
      <x:c r="O1026" s="91"/>
      <x:c r="P1026" s="85"/>
      <x:c r="R1026" s="86"/>
      <x:c r="S1026" s="32"/>
    </x:row>
    <x:row r="1027">
      <x:c r="A1027" s="87"/>
      <x:c r="D1027" s="32"/>
      <x:c r="I1027" s="74"/>
      <x:c r="J1027" s="74"/>
      <x:c r="K1027" s="74"/>
      <x:c r="L1027" s="91"/>
      <x:c r="M1027" s="91"/>
      <x:c r="N1027" s="91"/>
      <x:c r="O1027" s="91"/>
      <x:c r="P1027" s="85"/>
      <x:c r="R1027" s="86"/>
      <x:c r="S1027" s="32"/>
    </x:row>
    <x:row r="1028">
      <x:c r="A1028" s="87"/>
      <x:c r="D1028" s="32"/>
      <x:c r="I1028" s="74"/>
      <x:c r="J1028" s="74"/>
      <x:c r="K1028" s="74"/>
      <x:c r="L1028" s="91"/>
      <x:c r="M1028" s="91"/>
      <x:c r="N1028" s="91"/>
      <x:c r="O1028" s="91"/>
      <x:c r="P1028" s="85"/>
      <x:c r="R1028" s="86"/>
      <x:c r="S1028" s="32"/>
    </x:row>
    <x:row r="1029">
      <x:c r="A1029" s="87"/>
      <x:c r="D1029" s="32"/>
      <x:c r="I1029" s="74"/>
      <x:c r="J1029" s="74"/>
      <x:c r="K1029" s="74"/>
      <x:c r="L1029" s="91"/>
      <x:c r="M1029" s="91"/>
      <x:c r="N1029" s="91"/>
      <x:c r="O1029" s="91"/>
      <x:c r="P1029" s="85"/>
      <x:c r="R1029" s="86"/>
      <x:c r="S1029" s="32"/>
    </x:row>
    <x:row r="1030">
      <x:c r="A1030" s="87"/>
      <x:c r="D1030" s="32"/>
      <x:c r="I1030" s="74"/>
      <x:c r="J1030" s="74"/>
      <x:c r="K1030" s="74"/>
      <x:c r="L1030" s="91"/>
      <x:c r="M1030" s="91"/>
      <x:c r="N1030" s="91"/>
      <x:c r="O1030" s="91"/>
      <x:c r="P1030" s="85"/>
      <x:c r="R1030" s="86"/>
      <x:c r="S1030" s="32"/>
    </x:row>
    <x:row r="1031">
      <x:c r="A1031" s="87"/>
      <x:c r="D1031" s="32"/>
      <x:c r="I1031" s="74"/>
      <x:c r="J1031" s="74"/>
      <x:c r="K1031" s="74"/>
      <x:c r="L1031" s="91"/>
      <x:c r="M1031" s="91"/>
      <x:c r="N1031" s="91"/>
      <x:c r="O1031" s="91"/>
      <x:c r="P1031" s="85"/>
      <x:c r="R1031" s="86"/>
      <x:c r="S1031" s="32"/>
    </x:row>
    <x:row r="1032">
      <x:c r="A1032" s="87"/>
      <x:c r="D1032" s="32"/>
      <x:c r="I1032" s="74"/>
      <x:c r="J1032" s="74"/>
      <x:c r="K1032" s="74"/>
      <x:c r="L1032" s="91"/>
      <x:c r="M1032" s="91"/>
      <x:c r="N1032" s="91"/>
      <x:c r="O1032" s="91"/>
      <x:c r="P1032" s="85"/>
      <x:c r="R1032" s="86"/>
      <x:c r="S1032" s="32"/>
    </x:row>
    <x:row r="1033">
      <x:c r="A1033" s="87"/>
      <x:c r="D1033" s="32"/>
      <x:c r="I1033" s="74"/>
      <x:c r="J1033" s="74"/>
      <x:c r="K1033" s="74"/>
      <x:c r="L1033" s="91"/>
      <x:c r="M1033" s="91"/>
      <x:c r="N1033" s="91"/>
      <x:c r="O1033" s="91"/>
      <x:c r="P1033" s="85"/>
      <x:c r="R1033" s="86"/>
      <x:c r="S1033" s="32"/>
    </x:row>
    <x:row r="1034">
      <x:c r="A1034" s="87"/>
      <x:c r="D1034" s="32"/>
      <x:c r="I1034" s="74"/>
      <x:c r="J1034" s="74"/>
      <x:c r="K1034" s="74"/>
      <x:c r="L1034" s="91"/>
      <x:c r="M1034" s="91"/>
      <x:c r="N1034" s="91"/>
      <x:c r="O1034" s="91"/>
      <x:c r="P1034" s="85"/>
      <x:c r="R1034" s="86"/>
      <x:c r="S1034" s="32"/>
    </x:row>
    <x:row r="1035">
      <x:c r="A1035" s="87"/>
      <x:c r="D1035" s="32"/>
      <x:c r="I1035" s="74"/>
      <x:c r="J1035" s="74"/>
      <x:c r="K1035" s="74"/>
      <x:c r="L1035" s="91"/>
      <x:c r="M1035" s="91"/>
      <x:c r="N1035" s="91"/>
      <x:c r="O1035" s="91"/>
      <x:c r="P1035" s="85"/>
      <x:c r="R1035" s="86"/>
      <x:c r="S1035" s="32"/>
    </x:row>
    <x:row r="1036">
      <x:c r="A1036" s="87"/>
      <x:c r="D1036" s="32"/>
      <x:c r="I1036" s="74"/>
      <x:c r="J1036" s="74"/>
      <x:c r="K1036" s="74"/>
      <x:c r="L1036" s="91"/>
      <x:c r="M1036" s="91"/>
      <x:c r="N1036" s="91"/>
      <x:c r="O1036" s="91"/>
      <x:c r="P1036" s="85"/>
      <x:c r="R1036" s="86"/>
      <x:c r="S1036" s="32"/>
    </x:row>
    <x:row r="1037">
      <x:c r="A1037" s="87"/>
      <x:c r="D1037" s="32"/>
      <x:c r="I1037" s="74"/>
      <x:c r="J1037" s="74"/>
      <x:c r="K1037" s="74"/>
      <x:c r="L1037" s="91"/>
      <x:c r="M1037" s="91"/>
      <x:c r="N1037" s="91"/>
      <x:c r="O1037" s="91"/>
      <x:c r="P1037" s="85"/>
      <x:c r="R1037" s="86"/>
      <x:c r="S1037" s="32"/>
    </x:row>
    <x:row r="1038">
      <x:c r="A1038" s="87"/>
      <x:c r="D1038" s="32"/>
      <x:c r="I1038" s="74"/>
      <x:c r="J1038" s="74"/>
      <x:c r="K1038" s="74"/>
      <x:c r="L1038" s="91"/>
      <x:c r="M1038" s="91"/>
      <x:c r="N1038" s="91"/>
      <x:c r="O1038" s="91"/>
      <x:c r="P1038" s="85"/>
      <x:c r="R1038" s="86"/>
      <x:c r="S1038" s="32"/>
    </x:row>
  </x:sheetData>
  <x:conditionalFormatting sqref="B2:B2 C2:C6 D2:O2 P2:P58 Q2:Q2">
    <x:cfRule type="expression" dxfId="0" priority="1">
      <x:formula>$Q2="Done"</x:formula>
    </x:cfRule>
  </x:conditionalFormatting>
  <x:conditionalFormatting sqref="B2:B2 C2:C6 D2:O2 P2:P58 Q2:Q2">
    <x:cfRule type="expression" dxfId="1" priority="2">
      <x:formula>AND(NOT($Q2="Done"), OR(#REF!="Đã CK Anh", #REF!="Đã CK Em"))</x:formula>
    </x:cfRule>
  </x:conditionalFormatting>
  <x:conditionalFormatting sqref="L2:O2 P2:P58">
    <x:cfRule type="expression" dxfId="1" priority="3">
      <x:formula>AND(NOT(#REF!="Done"), OR(#REF!="Đã CK Anh", #REF!="Đã CK Em"))</x:formula>
    </x:cfRule>
  </x:conditionalFormatting>
  <x:conditionalFormatting sqref="L2:O2 P2:P58">
    <x:cfRule type="expression" dxfId="0" priority="4">
      <x:formula>#REF!="Done"</x:formula>
    </x:cfRule>
  </x:conditionalFormatting>
  <x:conditionalFormatting sqref="C2:C6 B3:B3 D3:Q3">
    <x:cfRule type="expression" dxfId="0" priority="5">
      <x:formula>$Q2="Done"</x:formula>
    </x:cfRule>
  </x:conditionalFormatting>
  <x:conditionalFormatting sqref="C2:C6 B3:B3 D3:Q3">
    <x:cfRule type="expression" dxfId="1" priority="6">
      <x:formula>AND(NOT($Q2="Done"), OR(#REF!="Đã CK Anh", #REF!="Đã CK Em"))</x:formula>
    </x:cfRule>
  </x:conditionalFormatting>
  <x:conditionalFormatting sqref="L3:P3">
    <x:cfRule type="expression" dxfId="1" priority="7">
      <x:formula>AND(NOT(#REF!="Done"), OR(#REF!="Đã CK Anh", #REF!="Đã CK Em"))</x:formula>
    </x:cfRule>
  </x:conditionalFormatting>
  <x:conditionalFormatting sqref="L3:P3">
    <x:cfRule type="expression" dxfId="0" priority="8">
      <x:formula>#REF!="Done"</x:formula>
    </x:cfRule>
  </x:conditionalFormatting>
  <x:conditionalFormatting sqref="L2:O2 P2:P58 L4:O58">
    <x:cfRule type="expression" dxfId="0" priority="9">
      <x:formula>$R2="Done"</x:formula>
    </x:cfRule>
  </x:conditionalFormatting>
  <x:conditionalFormatting sqref="L2:O2 P2:P58 L4:O58">
    <x:cfRule type="expression" dxfId="1" priority="10">
      <x:formula>AND(NOT($R2="Done"), OR($S2="Đã CK Anh", $S2="Đã CK Em"))</x:formula>
    </x:cfRule>
  </x:conditionalFormatting>
  <x:conditionalFormatting sqref="A59:B60">
    <x:cfRule type="expression" dxfId="0" priority="11">
      <x:formula>$K59="Done"</x:formula>
    </x:cfRule>
  </x:conditionalFormatting>
  <x:conditionalFormatting sqref="A59:B60">
    <x:cfRule type="expression" dxfId="1" priority="12">
      <x:formula>AND(NOT($K59="Done"), OR($I59="Đã CK Anh", $I59="Đã CK Em"))</x:formula>
    </x:cfRule>
  </x:conditionalFormatting>
  <x:conditionalFormatting sqref="A2:A1038 B2:B2 C2:C1038 D2:O2 P2:P1038 Q2:Q2 B4:B1038 D4:O1038 Q4:Q1038">
    <x:cfRule type="expression" dxfId="0" priority="13">
      <x:formula>$Q2="Done"</x:formula>
    </x:cfRule>
  </x:conditionalFormatting>
  <x:conditionalFormatting sqref="A2:A1038 B2:B2 C2:C1038 D2:O2 P2:P1038 Q2:Q2 B4:B1038 D4:O1038 Q4:Q1038">
    <x:cfRule type="expression" dxfId="1" priority="14">
      <x:formula>AND(NOT($Q2="Done"), OR($R2="Đã CK Anh", $R2="Đã CK Em"))</x:formula>
    </x:cfRule>
  </x:conditionalFormatting>
  <x:dataValidations count="1">
    <x:dataValidation type="list" allowBlank="1" showErrorMessage="1" sqref="R2:R1038">
      <x:formula1>"Chưa CK,Đã CK Anh,Đã CK Em"</x:formula1>
    </x:dataValidation>
  </x:dataValidations>
  <x:hyperlinks>
    <x:hyperlink xmlns:r="http://schemas.openxmlformats.org/officeDocument/2006/relationships" ref="D2" r:id="R2c0cd4bf635c47ee"/>
    <x:hyperlink xmlns:r="http://schemas.openxmlformats.org/officeDocument/2006/relationships" ref="D3" r:id="R94ee3d7443514f45"/>
    <x:hyperlink xmlns:r="http://schemas.openxmlformats.org/officeDocument/2006/relationships" ref="D4" r:id="R9284ec7f17264a76"/>
    <x:hyperlink xmlns:r="http://schemas.openxmlformats.org/officeDocument/2006/relationships" ref="D5" r:id="R67492f86128e44a2"/>
    <x:hyperlink xmlns:r="http://schemas.openxmlformats.org/officeDocument/2006/relationships" ref="D6" r:id="Rfae1d517606648b0"/>
    <x:hyperlink xmlns:r="http://schemas.openxmlformats.org/officeDocument/2006/relationships" ref="D7" r:id="Rf4eee1dfa5a14d9e"/>
    <x:hyperlink xmlns:r="http://schemas.openxmlformats.org/officeDocument/2006/relationships" ref="D8" r:id="R22053ca6535d4a62"/>
    <x:hyperlink xmlns:r="http://schemas.openxmlformats.org/officeDocument/2006/relationships" ref="D9" r:id="R6afbc5abd1304345"/>
    <x:hyperlink xmlns:r="http://schemas.openxmlformats.org/officeDocument/2006/relationships" ref="D10" r:id="Rb8e2e3771fa04b6c"/>
    <x:hyperlink xmlns:r="http://schemas.openxmlformats.org/officeDocument/2006/relationships" ref="D11" r:id="R0955b9affd394434"/>
    <x:hyperlink xmlns:r="http://schemas.openxmlformats.org/officeDocument/2006/relationships" ref="D12" r:id="R3c03a70aac9346da"/>
    <x:hyperlink xmlns:r="http://schemas.openxmlformats.org/officeDocument/2006/relationships" ref="D13" r:id="Rf95f0e07b703481b"/>
    <x:hyperlink xmlns:r="http://schemas.openxmlformats.org/officeDocument/2006/relationships" ref="D14" r:id="R1bb8695deb30480d"/>
    <x:hyperlink xmlns:r="http://schemas.openxmlformats.org/officeDocument/2006/relationships" ref="D15" r:id="Rbd15e945acdb4711"/>
    <x:hyperlink xmlns:r="http://schemas.openxmlformats.org/officeDocument/2006/relationships" ref="D16" r:id="R9d1c2211fcb34aca"/>
    <x:hyperlink xmlns:r="http://schemas.openxmlformats.org/officeDocument/2006/relationships" ref="D17" r:id="Rf1c8413ef3874ad0"/>
    <x:hyperlink xmlns:r="http://schemas.openxmlformats.org/officeDocument/2006/relationships" ref="D18" r:id="Rceda8528335143df"/>
    <x:hyperlink xmlns:r="http://schemas.openxmlformats.org/officeDocument/2006/relationships" ref="D19" r:id="Rac301b3c943448df"/>
    <x:hyperlink xmlns:r="http://schemas.openxmlformats.org/officeDocument/2006/relationships" ref="D20" r:id="Ra656e4bf43c24358"/>
    <x:hyperlink xmlns:r="http://schemas.openxmlformats.org/officeDocument/2006/relationships" ref="D21" r:id="Rf5f0edcdd89c4d1f"/>
    <x:hyperlink xmlns:r="http://schemas.openxmlformats.org/officeDocument/2006/relationships" ref="D22" r:id="Rb1e806a254724d99"/>
    <x:hyperlink xmlns:r="http://schemas.openxmlformats.org/officeDocument/2006/relationships" ref="D23" r:id="Rabe8b73dd7b24d95"/>
    <x:hyperlink xmlns:r="http://schemas.openxmlformats.org/officeDocument/2006/relationships" ref="D24" r:id="Ra990d73734944c70"/>
    <x:hyperlink xmlns:r="http://schemas.openxmlformats.org/officeDocument/2006/relationships" ref="D25" r:id="Re4e39ec583914b36"/>
    <x:hyperlink xmlns:r="http://schemas.openxmlformats.org/officeDocument/2006/relationships" ref="D26" r:id="R04a662b722af464d"/>
    <x:hyperlink xmlns:r="http://schemas.openxmlformats.org/officeDocument/2006/relationships" ref="D27" r:id="Rbec92a7a77bc49ff"/>
    <x:hyperlink xmlns:r="http://schemas.openxmlformats.org/officeDocument/2006/relationships" ref="D28" r:id="R8715425994d145d7"/>
    <x:hyperlink xmlns:r="http://schemas.openxmlformats.org/officeDocument/2006/relationships" ref="D29" r:id="Rafada4911bb94f98"/>
    <x:hyperlink xmlns:r="http://schemas.openxmlformats.org/officeDocument/2006/relationships" ref="D30" r:id="R753ea544efc8496a"/>
    <x:hyperlink xmlns:r="http://schemas.openxmlformats.org/officeDocument/2006/relationships" ref="D31" r:id="R6eb46ad7220f4953"/>
    <x:hyperlink xmlns:r="http://schemas.openxmlformats.org/officeDocument/2006/relationships" ref="D32" r:id="R8f466c261d354b8b"/>
    <x:hyperlink xmlns:r="http://schemas.openxmlformats.org/officeDocument/2006/relationships" ref="D33" r:id="R82a9a8163ee84fd7"/>
    <x:hyperlink xmlns:r="http://schemas.openxmlformats.org/officeDocument/2006/relationships" ref="D35" r:id="R400ef2e8920f4089"/>
    <x:hyperlink xmlns:r="http://schemas.openxmlformats.org/officeDocument/2006/relationships" ref="D36" r:id="Re19aebd303ea454f"/>
    <x:hyperlink xmlns:r="http://schemas.openxmlformats.org/officeDocument/2006/relationships" ref="D37" r:id="R7710c0a39c9a4d62"/>
    <x:hyperlink xmlns:r="http://schemas.openxmlformats.org/officeDocument/2006/relationships" ref="D38" r:id="R90adf8adbb5d4dba"/>
    <x:hyperlink xmlns:r="http://schemas.openxmlformats.org/officeDocument/2006/relationships" ref="D39" r:id="R90891d4d44d94856"/>
    <x:hyperlink xmlns:r="http://schemas.openxmlformats.org/officeDocument/2006/relationships" ref="D40" r:id="R94bb95158eee4849"/>
    <x:hyperlink xmlns:r="http://schemas.openxmlformats.org/officeDocument/2006/relationships" ref="D42" r:id="R6631374c7a364196"/>
    <x:hyperlink xmlns:r="http://schemas.openxmlformats.org/officeDocument/2006/relationships" ref="D43" r:id="Rb1d00d8a4bf94ce7"/>
    <x:hyperlink xmlns:r="http://schemas.openxmlformats.org/officeDocument/2006/relationships" ref="D44" r:id="Rf4939381a13643e6"/>
    <x:hyperlink xmlns:r="http://schemas.openxmlformats.org/officeDocument/2006/relationships" ref="D45" r:id="R4a7d5b311a87455b"/>
    <x:hyperlink xmlns:r="http://schemas.openxmlformats.org/officeDocument/2006/relationships" ref="D46" r:id="R672c7da5c4584645"/>
    <x:hyperlink xmlns:r="http://schemas.openxmlformats.org/officeDocument/2006/relationships" ref="D47" r:id="R1f9c639a33ea4597"/>
    <x:hyperlink xmlns:r="http://schemas.openxmlformats.org/officeDocument/2006/relationships" ref="D48" r:id="R332cbc5aab3047e8"/>
    <x:hyperlink xmlns:r="http://schemas.openxmlformats.org/officeDocument/2006/relationships" ref="D49" r:id="R5c4dd0aca3514de1"/>
    <x:hyperlink xmlns:r="http://schemas.openxmlformats.org/officeDocument/2006/relationships" ref="D50" r:id="R70f65afd78f849e9"/>
    <x:hyperlink xmlns:r="http://schemas.openxmlformats.org/officeDocument/2006/relationships" ref="D51" r:id="R5ba8d4bf0dd243cc"/>
    <x:hyperlink xmlns:r="http://schemas.openxmlformats.org/officeDocument/2006/relationships" ref="D52" r:id="R64e0db816ed64000"/>
    <x:hyperlink xmlns:r="http://schemas.openxmlformats.org/officeDocument/2006/relationships" ref="D53" r:id="Rfd7f5a3f71ea4dd8"/>
    <x:hyperlink xmlns:r="http://schemas.openxmlformats.org/officeDocument/2006/relationships" ref="D54" r:id="Rd9cc33ee96d1467c"/>
    <x:hyperlink xmlns:r="http://schemas.openxmlformats.org/officeDocument/2006/relationships" ref="D56" r:id="Re4ab0e1fedbe4ab7"/>
    <x:hyperlink xmlns:r="http://schemas.openxmlformats.org/officeDocument/2006/relationships" ref="D57" r:id="R405d8612c1cb4718"/>
    <x:hyperlink xmlns:r="http://schemas.openxmlformats.org/officeDocument/2006/relationships" ref="D58" r:id="R42a18bc970224ee4"/>
  </x:hyperlink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5" width="11.130000114440918" customWidth="1"/>
    <x:col min="6" max="6" width="10.630000114440918" customWidth="1"/>
    <x:col min="7" max="8" width="11.630000114440918" customWidth="1"/>
    <x:col min="9" max="10" width="12.380000114440918" customWidth="1"/>
    <x:col min="11" max="11" width="12.380000114440918" hidden="1" customWidth="1"/>
    <x:col min="12" max="12" width="12.380000114440918" customWidth="1"/>
    <x:col min="15" max="15" width="25.8799991607666" customWidth="1"/>
    <x:col min="16" max="16" width="18.5" customWidth="1"/>
  </x:cols>
  <x:sheetData>
    <x:row r="1" ht="21" customHeight="1">
      <x:c r="A1" s="1" t="s">
        <x:v>0</x:v>
      </x:c>
      <x:c r="B1" s="1" t="s">
        <x:v>1</x:v>
      </x:c>
      <x:c r="C1" s="1" t="s">
        <x:v>2</x:v>
      </x:c>
      <x:c r="D1" s="3" t="s">
        <x:v>3</x:v>
      </x:c>
      <x:c r="E1" s="1" t="s">
        <x:v>6</x:v>
      </x:c>
      <x:c r="F1" s="1" t="s">
        <x:v>445</x:v>
      </x:c>
      <x:c r="G1" s="1" t="s">
        <x:v>443</x:v>
      </x:c>
      <x:c r="H1" s="1" t="s">
        <x:v>9</x:v>
      </x:c>
      <x:c r="I1" s="4" t="s">
        <x:v>8</x:v>
      </x:c>
      <x:c r="J1" s="4" t="s">
        <x:v>12</x:v>
      </x:c>
      <x:c r="K1" s="4" t="s">
        <x:v>321</x:v>
      </x:c>
      <x:c r="L1" s="4" t="s">
        <x:v>13</x:v>
      </x:c>
      <x:c r="M1" s="1" t="s">
        <x:v>324</x:v>
      </x:c>
      <x:c r="N1" s="5" t="s">
        <x:v>21</x:v>
      </x:c>
      <x:c r="O1" s="1" t="s">
        <x:v>22</x:v>
      </x:c>
      <x:c r="P1" s="1" t="s">
        <x:v>24</x:v>
      </x:c>
      <x:c r="Q1" s="6" t="s">
        <x:v>25</x:v>
      </x:c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</x:row>
    <x:row r="2" ht="18.75" customHeight="1">
      <x:c r="A2" s="19">
        <x:v>1.0</x:v>
      </x:c>
      <x:c r="B2" s="98" t="s">
        <x:v>495</x:v>
      </x:c>
      <x:c r="C2" s="21">
        <x:v>45717.0</x:v>
      </x:c>
      <x:c r="D2" s="58" t="s">
        <x:v>496</x:v>
      </x:c>
      <x:c r="E2" s="23"/>
      <x:c r="F2" s="23">
        <x:v>1.0</x:v>
      </x:c>
      <x:c r="G2" s="56"/>
      <x:c r="H2" s="23"/>
      <x:c r="I2" s="24"/>
      <x:c r="J2" s="25"/>
      <x:c r="K2" s="24"/>
      <x:c r="L2" s="25"/>
      <x:c r="M2" s="94"/>
      <x:c r="N2" s="26" t="n">
        <x:f>(E2*260+F2*255+G2*360+H2*390+I2*245+J2*190+K2*250+L2*470+M2*240)*1000</x:f>
        <x:v>255000</x:v>
      </x:c>
      <x:c r="O2" s="23" t="s">
        <x:v>74</x:v>
      </x:c>
      <x:c r="P2" s="23" t="s">
        <x:v>31</x:v>
      </x:c>
      <x:c r="R2" s="28" t="s">
        <x:v>34</x:v>
      </x:c>
      <x:c r="S2" s="28" t="s">
        <x:v>31</x:v>
      </x:c>
      <x:c r="T2" s="28" t="s">
        <x:v>54</x:v>
      </x:c>
      <x:c r="U2" s="28" t="s">
        <x:v>55</x:v>
      </x:c>
    </x:row>
    <x:row r="3" ht="18.75" customHeight="1">
      <x:c r="A3" s="19">
        <x:v>2.0</x:v>
      </x:c>
      <x:c r="B3" s="98" t="s">
        <x:v>846</x:v>
      </x:c>
      <x:c r="C3" s="21">
        <x:v>45717.0</x:v>
      </x:c>
      <x:c r="D3" s="58" t="s">
        <x:v>847</x:v>
      </x:c>
      <x:c r="E3" s="23"/>
      <x:c r="F3" s="23"/>
      <x:c r="G3" s="23"/>
      <x:c r="H3" s="23"/>
      <x:c r="I3" s="24"/>
      <x:c r="J3" s="24">
        <x:v>1.0</x:v>
      </x:c>
      <x:c r="K3" s="24"/>
      <x:c r="L3" s="24">
        <x:v>1.0</x:v>
      </x:c>
      <x:c r="M3" s="94"/>
      <x:c r="N3" s="26" t="n">
        <x:f t="shared" ref="N3:N4" si="1">(E3*260+F3*255+G3*360+H3*390+J3*245+K3*190+L3*250+I3*470+M3*240)*1000</x:f>
        <x:v>495000</x:v>
      </x:c>
      <x:c r="O3" s="23" t="s">
        <x:v>74</x:v>
      </x:c>
      <x:c r="P3" s="23" t="s">
        <x:v>31</x:v>
      </x:c>
      <x:c r="R3" s="31" t="n">
        <x:f>SUMIF(P2:P996, "Đã CK Anh", N2:N996)</x:f>
        <x:v>4175000</x:v>
      </x:c>
      <x:c r="S3" s="31" t="n">
        <x:f>SUMIF(P2:P996, "Đã CK Em", N2:N996)</x:f>
        <x:v>30126000</x:v>
      </x:c>
      <x:c r="T3" s="31" t="n">
        <x:f>R3+S3</x:f>
        <x:v>34301000</x:v>
      </x:c>
      <x:c r="U3" s="31" t="n">
        <x:f>SUMIF(P2:P996, "Chưa CK", N2:N996)</x:f>
        <x:v>0</x:v>
      </x:c>
    </x:row>
    <x:row r="4" ht="18.75" customHeight="1">
      <x:c r="A4" s="19">
        <x:v>3.0</x:v>
      </x:c>
      <x:c r="B4" s="23" t="s">
        <x:v>848</x:v>
      </x:c>
      <x:c r="C4" s="21">
        <x:v>45720.0</x:v>
      </x:c>
      <x:c r="D4" s="58" t="s">
        <x:v>849</x:v>
      </x:c>
      <x:c r="E4" s="23">
        <x:v>1.0</x:v>
      </x:c>
      <x:c r="F4" s="23"/>
      <x:c r="G4" s="23">
        <x:v>1.0</x:v>
      </x:c>
      <x:c r="H4" s="23"/>
      <x:c r="I4" s="24"/>
      <x:c r="J4" s="24"/>
      <x:c r="K4" s="24"/>
      <x:c r="L4" s="24"/>
      <x:c r="M4" s="23"/>
      <x:c r="N4" s="26">
        <x:f t="shared" si="1"/>
        <x:v>620000</x:v>
      </x:c>
      <x:c r="O4" s="23" t="s">
        <x:v>74</x:v>
      </x:c>
      <x:c r="P4" s="23" t="s">
        <x:v>31</x:v>
      </x:c>
    </x:row>
    <x:row r="5" ht="18.75" customHeight="1">
      <x:c r="A5" s="19">
        <x:v>4.0</x:v>
      </x:c>
      <x:c r="B5" s="23" t="s">
        <x:v>850</x:v>
      </x:c>
      <x:c r="C5" s="21">
        <x:v>45720.0</x:v>
      </x:c>
      <x:c r="D5" s="58" t="s">
        <x:v>851</x:v>
      </x:c>
      <x:c r="E5" s="23">
        <x:v>10.0</x:v>
      </x:c>
      <x:c r="F5" s="23"/>
      <x:c r="G5" s="23"/>
      <x:c r="H5" s="23"/>
      <x:c r="I5" s="24">
        <x:v>10.0</x:v>
      </x:c>
      <x:c r="J5" s="24"/>
      <x:c r="K5" s="24"/>
      <x:c r="L5" s="24"/>
      <x:c r="M5" s="23">
        <x:v>3.0</x:v>
      </x:c>
      <x:c r="N5" s="26" t="n">
        <x:f>(E5*255+F5*255+G5*360+H5*390+J5*245+K5*190+L5*250+I5*465+M5*240-10-24)*1000</x:f>
        <x:v>7886000</x:v>
      </x:c>
      <x:c r="O5" s="23" t="s">
        <x:v>74</x:v>
      </x:c>
      <x:c r="P5" s="23" t="s">
        <x:v>31</x:v>
      </x:c>
    </x:row>
    <x:row r="6" ht="18.75" customHeight="1">
      <x:c r="A6" s="19">
        <x:v>5.0</x:v>
      </x:c>
      <x:c r="B6" s="23" t="s">
        <x:v>852</x:v>
      </x:c>
      <x:c r="C6" s="21">
        <x:v>45720.0</x:v>
      </x:c>
      <x:c r="D6" s="22" t="s">
        <x:v>853</x:v>
      </x:c>
      <x:c r="E6" s="23"/>
      <x:c r="F6" s="23"/>
      <x:c r="G6" s="23"/>
      <x:c r="H6" s="23"/>
      <x:c r="I6" s="25"/>
      <x:c r="J6" s="24"/>
      <x:c r="K6" s="25"/>
      <x:c r="L6" s="25"/>
      <x:c r="M6" s="23">
        <x:v>3.0</x:v>
      </x:c>
      <x:c r="N6" s="26" t="n">
        <x:f t="shared" ref="N6:N8" si="2">(E6*260+F6*255+G6*360+H6*390+J6*245+K6*190+L6*250+I6*470+M6*240)*1000</x:f>
        <x:v>720000</x:v>
      </x:c>
      <x:c r="O6" s="23" t="s">
        <x:v>74</x:v>
      </x:c>
      <x:c r="P6" s="23" t="s">
        <x:v>31</x:v>
      </x:c>
    </x:row>
    <x:row r="7" ht="18.75" customHeight="1">
      <x:c r="A7" s="19">
        <x:v>6.0</x:v>
      </x:c>
      <x:c r="B7" s="23" t="s">
        <x:v>854</x:v>
      </x:c>
      <x:c r="C7" s="21">
        <x:v>45721.0</x:v>
      </x:c>
      <x:c r="D7" s="22" t="s">
        <x:v>849</x:v>
      </x:c>
      <x:c r="E7" s="23"/>
      <x:c r="F7" s="23">
        <x:v>1.0</x:v>
      </x:c>
      <x:c r="G7" s="56"/>
      <x:c r="H7" s="23"/>
      <x:c r="I7" s="25"/>
      <x:c r="J7" s="24"/>
      <x:c r="K7" s="25"/>
      <x:c r="L7" s="24"/>
      <x:c r="M7" s="94"/>
      <x:c r="N7" s="26">
        <x:f t="shared" si="2"/>
        <x:v>255000</x:v>
      </x:c>
      <x:c r="O7" s="23" t="s">
        <x:v>74</x:v>
      </x:c>
      <x:c r="P7" s="23" t="s">
        <x:v>34</x:v>
      </x:c>
      <x:c r="R7" s="28" t="s">
        <x:v>2</x:v>
      </x:c>
      <x:c r="S7" s="28" t="s">
        <x:v>368</x:v>
      </x:c>
      <x:c r="T7" s="28" t="s">
        <x:v>369</x:v>
      </x:c>
      <x:c r="U7" s="28" t="s">
        <x:v>369</x:v>
      </x:c>
    </x:row>
    <x:row r="8" ht="18.75" customHeight="1">
      <x:c r="A8" s="19">
        <x:v>7.0</x:v>
      </x:c>
      <x:c r="B8" s="23" t="s">
        <x:v>658</x:v>
      </x:c>
      <x:c r="C8" s="21">
        <x:v>45721.0</x:v>
      </x:c>
      <x:c r="D8" s="22" t="s">
        <x:v>855</x:v>
      </x:c>
      <x:c r="E8" s="23"/>
      <x:c r="F8" s="23">
        <x:v>1.0</x:v>
      </x:c>
      <x:c r="G8" s="56"/>
      <x:c r="H8" s="23"/>
      <x:c r="I8" s="24"/>
      <x:c r="J8" s="25"/>
      <x:c r="K8" s="25"/>
      <x:c r="L8" s="25"/>
      <x:c r="M8" s="94"/>
      <x:c r="N8" s="26">
        <x:f t="shared" si="2"/>
        <x:v>255000</x:v>
      </x:c>
      <x:c r="O8" s="23" t="s">
        <x:v>74</x:v>
      </x:c>
      <x:c r="P8" s="23" t="s">
        <x:v>31</x:v>
      </x:c>
      <x:c r="R8" s="33" t="n" cm="1">
        <x:f t="array" ref="R8:R24">_xlfn._xlws.SORT(_xlfn.UNIQUE(C2:C994))</x:f>
        <x:v>45717</x:v>
      </x:c>
      <x:c r="S8" s="34" t="e">
        <x:f>IFERROR(__xludf.DUMMYFUNCTION("SUM(FILTER($E$2:$M$996, $C$2:$C$996 = R8))"),3.0)</x:f>
        <x:v>#NAME?</x:v>
      </x:c>
      <x:c r="T8" s="34" t="e">
        <x:f>IFERROR(__xludf.DUMMYFUNCTION("COUNT(FILTER($C$2:$C$996, $C2:$C996 = R8))"),2.0)</x:f>
        <x:v>#NAME?</x:v>
      </x:c>
      <x:c r="U8" s="31" t="n">
        <x:f t="shared" ref="U8:U23" si="3">SUMIF($C$2:$C$996, $R8 , $N$2:$N$996)</x:f>
        <x:v>750000</x:v>
      </x:c>
    </x:row>
    <x:row r="9" ht="18.75" customHeight="1">
      <x:c r="A9" s="19">
        <x:v>8.0</x:v>
      </x:c>
      <x:c r="B9" s="23" t="s">
        <x:v>856</x:v>
      </x:c>
      <x:c r="C9" s="21">
        <x:v>45723.0</x:v>
      </x:c>
      <x:c r="D9" s="22" t="s">
        <x:v>857</x:v>
      </x:c>
      <x:c r="E9" s="23"/>
      <x:c r="F9" s="23">
        <x:v>1.0</x:v>
      </x:c>
      <x:c r="G9" s="56"/>
      <x:c r="H9" s="23"/>
      <x:c r="I9" s="25"/>
      <x:c r="J9" s="25"/>
      <x:c r="K9" s="25"/>
      <x:c r="L9" s="25"/>
      <x:c r="M9" s="94"/>
      <x:c r="N9" s="26" t="n">
        <x:f>(E9*260+F9*255+G9*360+H9*390+J9*245+K9*190+L9*250+I9*470+M9*240-5)*1000</x:f>
        <x:v>250000</x:v>
      </x:c>
      <x:c r="O9" s="23" t="s">
        <x:v>37</x:v>
      </x:c>
      <x:c r="P9" s="23" t="s">
        <x:v>31</x:v>
      </x:c>
      <x:c r="R9" s="33" t="n">
        <x:v>45720</x:v>
      </x:c>
      <x:c r="S9" s="34" t="e">
        <x:f>IFERROR(__xludf.DUMMYFUNCTION("SUM(FILTER($E$2:$M$996, $C$2:$C$996 = R9))"),28.0)</x:f>
        <x:v>#NAME?</x:v>
      </x:c>
      <x:c r="T9" s="34" t="e">
        <x:f>IFERROR(__xludf.DUMMYFUNCTION("COUNT(FILTER($C$2:$C$996, $C2:$C996 = R9))"),3.0)</x:f>
        <x:v>#NAME?</x:v>
      </x:c>
      <x:c r="U9" s="31">
        <x:f t="shared" si="3"/>
        <x:v>9226000</x:v>
      </x:c>
    </x:row>
    <x:row r="10" ht="18.75" customHeight="1">
      <x:c r="A10" s="19">
        <x:v>9.0</x:v>
      </x:c>
      <x:c r="B10" s="23" t="s">
        <x:v>858</x:v>
      </x:c>
      <x:c r="C10" s="21">
        <x:v>45723.0</x:v>
      </x:c>
      <x:c r="D10" s="22" t="s">
        <x:v>859</x:v>
      </x:c>
      <x:c r="E10" s="23">
        <x:v>1.0</x:v>
      </x:c>
      <x:c r="F10" s="23"/>
      <x:c r="G10" s="56"/>
      <x:c r="H10" s="56"/>
      <x:c r="I10" s="25"/>
      <x:c r="J10" s="24">
        <x:v>1.0</x:v>
      </x:c>
      <x:c r="K10" s="24"/>
      <x:c r="L10" s="25"/>
      <x:c r="M10" s="94"/>
      <x:c r="N10" s="26" t="n">
        <x:f>(E10*260+F10*255+G10*360+H10*390+J10*245+K10*190+L10*250+I10*470+M10*240-10)*1000</x:f>
        <x:v>495000</x:v>
      </x:c>
      <x:c r="O10" s="23" t="s">
        <x:v>37</x:v>
      </x:c>
      <x:c r="P10" s="23" t="s">
        <x:v>31</x:v>
      </x:c>
      <x:c r="R10" s="33" t="n">
        <x:v>45721</x:v>
      </x:c>
      <x:c r="S10" s="34" t="e">
        <x:f>IFERROR(__xludf.DUMMYFUNCTION("SUM(FILTER($E$2:$M$996, $C$2:$C$996 = R10))"),2.0)</x:f>
        <x:v>#NAME?</x:v>
      </x:c>
      <x:c r="T10" s="34" t="e">
        <x:f>IFERROR(__xludf.DUMMYFUNCTION("COUNT(FILTER($C$2:$C$996, $C2:$C996 = R10))"),2.0)</x:f>
        <x:v>#NAME?</x:v>
      </x:c>
      <x:c r="U10" s="31">
        <x:f t="shared" si="3"/>
        <x:v>510000</x:v>
      </x:c>
    </x:row>
    <x:row r="11" ht="18.75" customHeight="1">
      <x:c r="A11" s="19">
        <x:v>10.0</x:v>
      </x:c>
      <x:c r="B11" s="23" t="s">
        <x:v>860</x:v>
      </x:c>
      <x:c r="C11" s="21">
        <x:v>45723.0</x:v>
      </x:c>
      <x:c r="D11" s="22" t="s">
        <x:v>784</x:v>
      </x:c>
      <x:c r="E11" s="56"/>
      <x:c r="F11" s="23"/>
      <x:c r="G11" s="23"/>
      <x:c r="H11" s="23">
        <x:v>1.0</x:v>
      </x:c>
      <x:c r="I11" s="24"/>
      <x:c r="J11" s="25"/>
      <x:c r="K11" s="25"/>
      <x:c r="L11" s="24"/>
      <x:c r="M11" s="94"/>
      <x:c r="N11" s="26" t="n">
        <x:f>(E11*260+F11*255+G11*360+H11*410+J11*245+K11*190+L11*250+I11*470+M11*240-5)*1000</x:f>
        <x:v>405000</x:v>
      </x:c>
      <x:c r="O11" s="23" t="s">
        <x:v>74</x:v>
      </x:c>
      <x:c r="P11" s="23" t="s">
        <x:v>31</x:v>
      </x:c>
      <x:c r="Q11" s="32"/>
      <x:c r="R11" s="33" t="n">
        <x:v>45723</x:v>
      </x:c>
      <x:c r="S11" s="34" t="e">
        <x:f>IFERROR(__xludf.DUMMYFUNCTION("SUM(FILTER($E$2:$M$996, $C$2:$C$996 = R11))"),16.0)</x:f>
        <x:v>#NAME?</x:v>
      </x:c>
      <x:c r="T11" s="34" t="e">
        <x:f>IFERROR(__xludf.DUMMYFUNCTION("COUNT(FILTER($C$2:$C$996, $C2:$C996 = R11))"),8.0)</x:f>
        <x:v>#NAME?</x:v>
      </x:c>
      <x:c r="U11" s="31">
        <x:f t="shared" si="3"/>
        <x:v>4255000</x:v>
      </x:c>
    </x:row>
    <x:row r="12" ht="18.75" customHeight="1">
      <x:c r="A12" s="19">
        <x:v>11.0</x:v>
      </x:c>
      <x:c r="B12" s="23" t="s">
        <x:v>861</x:v>
      </x:c>
      <x:c r="C12" s="21">
        <x:v>45723.0</x:v>
      </x:c>
      <x:c r="D12" s="58" t="s">
        <x:v>862</x:v>
      </x:c>
      <x:c r="E12" s="23">
        <x:v>2.0</x:v>
      </x:c>
      <x:c r="F12" s="23"/>
      <x:c r="G12" s="56"/>
      <x:c r="H12" s="56"/>
      <x:c r="I12" s="24"/>
      <x:c r="J12" s="25"/>
      <x:c r="K12" s="25"/>
      <x:c r="L12" s="25"/>
      <x:c r="M12" s="23"/>
      <x:c r="N12" s="26" t="n">
        <x:f>(E12*260+F12*255+G12*360+H12*415+J12*245+K12*190+L12*250+I12*470+M12*240-20)*1000</x:f>
        <x:v>500000</x:v>
      </x:c>
      <x:c r="O12" s="23" t="s">
        <x:v>74</x:v>
      </x:c>
      <x:c r="P12" s="23" t="s">
        <x:v>31</x:v>
      </x:c>
      <x:c r="Q12" s="32"/>
      <x:c r="R12" s="33" t="n">
        <x:v>45724</x:v>
      </x:c>
      <x:c r="S12" s="34" t="e">
        <x:f>IFERROR(__xludf.DUMMYFUNCTION("SUM(FILTER($E$2:$M$996, $C$2:$C$996 = R12))"),22.0)</x:f>
        <x:v>#NAME?</x:v>
      </x:c>
      <x:c r="T12" s="34" t="e">
        <x:f>IFERROR(__xludf.DUMMYFUNCTION("COUNT(FILTER($C$2:$C$996, $C2:$C996 = R12))"),14.0)</x:f>
        <x:v>#NAME?</x:v>
      </x:c>
      <x:c r="U12" s="31">
        <x:f t="shared" si="3"/>
        <x:v>6445000</x:v>
      </x:c>
    </x:row>
    <x:row r="13" ht="18.75" customHeight="1">
      <x:c r="A13" s="19">
        <x:v>12.0</x:v>
      </x:c>
      <x:c r="B13" s="23" t="s">
        <x:v>863</x:v>
      </x:c>
      <x:c r="C13" s="21">
        <x:v>45723.0</x:v>
      </x:c>
      <x:c r="D13" s="22" t="s">
        <x:v>373</x:v>
      </x:c>
      <x:c r="E13" s="23">
        <x:v>1.0</x:v>
      </x:c>
      <x:c r="F13" s="23"/>
      <x:c r="G13" s="56"/>
      <x:c r="H13" s="56"/>
      <x:c r="I13" s="24"/>
      <x:c r="J13" s="24">
        <x:v>1.0</x:v>
      </x:c>
      <x:c r="K13" s="25"/>
      <x:c r="L13" s="25"/>
      <x:c r="M13" s="23"/>
      <x:c r="N13" s="26" t="n">
        <x:f>(E13*260+F13*255+G13*360+H13*415+J13*245+K13*190+L13*250+I13*470+M13*240-10)*1000</x:f>
        <x:v>495000</x:v>
      </x:c>
      <x:c r="O13" s="23" t="s">
        <x:v>74</x:v>
      </x:c>
      <x:c r="P13" s="23" t="s">
        <x:v>31</x:v>
      </x:c>
      <x:c r="Q13" s="32"/>
      <x:c r="R13" s="33" t="n">
        <x:v>45725</x:v>
      </x:c>
      <x:c r="S13" s="34" t="e">
        <x:f>IFERROR(__xludf.DUMMYFUNCTION("SUM(FILTER($E$2:$M$996, $C$2:$C$996 = R13))"),2.0)</x:f>
        <x:v>#NAME?</x:v>
      </x:c>
      <x:c r="T13" s="34" t="e">
        <x:f>IFERROR(__xludf.DUMMYFUNCTION("COUNT(FILTER($C$2:$C$996, $C2:$C996 = R13))"),1.0)</x:f>
        <x:v>#NAME?</x:v>
      </x:c>
      <x:c r="U13" s="31">
        <x:f t="shared" si="3"/>
        <x:v>500000</x:v>
      </x:c>
    </x:row>
    <x:row r="14" ht="18.75" customHeight="1">
      <x:c r="A14" s="19">
        <x:v>13.0</x:v>
      </x:c>
      <x:c r="B14" s="23" t="s">
        <x:v>844</x:v>
      </x:c>
      <x:c r="C14" s="21">
        <x:v>45723.0</x:v>
      </x:c>
      <x:c r="D14" s="22" t="s">
        <x:v>845</x:v>
      </x:c>
      <x:c r="E14" s="23"/>
      <x:c r="F14" s="23"/>
      <x:c r="G14" s="56"/>
      <x:c r="H14" s="56"/>
      <x:c r="I14" s="24"/>
      <x:c r="J14" s="24">
        <x:v>1.0</x:v>
      </x:c>
      <x:c r="K14" s="25"/>
      <x:c r="L14" s="25"/>
      <x:c r="M14" s="94"/>
      <x:c r="N14" s="26" t="n">
        <x:f>(E14*260+F14*255+G14*360+H14*415+J14*245+K14*190+L14*250+I14*470+M14*240)*1000</x:f>
        <x:v>245000</x:v>
      </x:c>
      <x:c r="O14" s="99" t="s">
        <x:v>74</x:v>
      </x:c>
      <x:c r="P14" s="23" t="s">
        <x:v>34</x:v>
      </x:c>
      <x:c r="Q14" s="32"/>
      <x:c r="R14" s="33" t="n">
        <x:v>45726</x:v>
      </x:c>
      <x:c r="S14" s="34" t="e">
        <x:f>IFERROR(__xludf.DUMMYFUNCTION("SUM(FILTER($E$2:$M$996, $C$2:$C$996 = R14))"),15.0)</x:f>
        <x:v>#NAME?</x:v>
      </x:c>
      <x:c r="T14" s="34" t="e">
        <x:f>IFERROR(__xludf.DUMMYFUNCTION("COUNT(FILTER($C$2:$C$996, $C2:$C996 = R14))"),3.0)</x:f>
        <x:v>#NAME?</x:v>
      </x:c>
      <x:c r="U14" s="31">
        <x:f t="shared" si="3"/>
        <x:v>4645000</x:v>
      </x:c>
    </x:row>
    <x:row r="15">
      <x:c r="A15" s="19">
        <x:v>14.0</x:v>
      </x:c>
      <x:c r="B15" s="23" t="s">
        <x:v>864</x:v>
      </x:c>
      <x:c r="C15" s="21">
        <x:v>45723.0</x:v>
      </x:c>
      <x:c r="D15" s="22" t="s">
        <x:v>865</x:v>
      </x:c>
      <x:c r="E15" s="23">
        <x:v>2.0</x:v>
      </x:c>
      <x:c r="F15" s="23">
        <x:v>2.0</x:v>
      </x:c>
      <x:c r="G15" s="23">
        <x:v>1.0</x:v>
      </x:c>
      <x:c r="H15" s="56"/>
      <x:c r="I15" s="24"/>
      <x:c r="J15" s="24"/>
      <x:c r="K15" s="25"/>
      <x:c r="L15" s="24"/>
      <x:c r="M15" s="94"/>
      <x:c r="N15" s="26" t="n">
        <x:f>(E15*260+F15*255+G15*360+H15*415+J15*245+K15*190+L15*250+I15*470+M15*240-25)*1000</x:f>
        <x:v>1365000</x:v>
      </x:c>
      <x:c r="O15" s="23" t="s">
        <x:v>74</x:v>
      </x:c>
      <x:c r="P15" s="23" t="s">
        <x:v>31</x:v>
      </x:c>
      <x:c r="Q15" s="32"/>
      <x:c r="R15" s="33" t="n">
        <x:v>45727</x:v>
      </x:c>
      <x:c r="S15" s="34" t="e">
        <x:f>IFERROR(__xludf.DUMMYFUNCTION("SUM(FILTER($E$2:$M$996, $C$2:$C$996 = R15))"),1.0)</x:f>
        <x:v>#NAME?</x:v>
      </x:c>
      <x:c r="T15" s="34" t="e">
        <x:f>IFERROR(__xludf.DUMMYFUNCTION("COUNT(FILTER($C$2:$C$996, $C2:$C996 = R15))"),1.0)</x:f>
        <x:v>#NAME?</x:v>
      </x:c>
      <x:c r="U15" s="31">
        <x:f t="shared" si="3"/>
        <x:v>250000</x:v>
      </x:c>
    </x:row>
    <x:row r="16" ht="18.75" customHeight="1">
      <x:c r="A16" s="19">
        <x:v>15.0</x:v>
      </x:c>
      <x:c r="B16" s="23" t="s">
        <x:v>866</x:v>
      </x:c>
      <x:c r="C16" s="21">
        <x:v>45723.0</x:v>
      </x:c>
      <x:c r="D16" s="22" t="s">
        <x:v>867</x:v>
      </x:c>
      <x:c r="E16" s="23"/>
      <x:c r="F16" s="23">
        <x:v>2.0</x:v>
      </x:c>
      <x:c r="G16" s="56"/>
      <x:c r="H16" s="56"/>
      <x:c r="I16" s="25"/>
      <x:c r="J16" s="24"/>
      <x:c r="K16" s="25"/>
      <x:c r="L16" s="25"/>
      <x:c r="M16" s="94"/>
      <x:c r="N16" s="26" t="n">
        <x:f t="shared" ref="N16:N17" si="4">(E16*260+F16*255+G16*360+H16*415+J16*245+K16*190+L16*250+I16*470+M16*240-10)*1000</x:f>
        <x:v>500000</x:v>
      </x:c>
      <x:c r="O16" s="23" t="s">
        <x:v>74</x:v>
      </x:c>
      <x:c r="P16" s="23" t="s">
        <x:v>34</x:v>
      </x:c>
      <x:c r="Q16" s="32"/>
      <x:c r="R16" s="33" t="n">
        <x:v>45729</x:v>
      </x:c>
      <x:c r="S16" s="34" t="e">
        <x:f>IFERROR(__xludf.DUMMYFUNCTION("SUM(FILTER($E$2:$M$996, $C$2:$C$996 = R16))"),1.0)</x:f>
        <x:v>#NAME?</x:v>
      </x:c>
      <x:c r="T16" s="34" t="e">
        <x:f>IFERROR(__xludf.DUMMYFUNCTION("COUNT(FILTER($C$2:$C$996, $C2:$C996 = R16))"),1.0)</x:f>
        <x:v>#NAME?</x:v>
      </x:c>
      <x:c r="U16" s="31">
        <x:f t="shared" si="3"/>
        <x:v>245000</x:v>
      </x:c>
    </x:row>
    <x:row r="17" ht="18.75" customHeight="1">
      <x:c r="A17" s="19">
        <x:v>16.0</x:v>
      </x:c>
      <x:c r="B17" s="23" t="s">
        <x:v>868</x:v>
      </x:c>
      <x:c r="C17" s="21">
        <x:v>45724.0</x:v>
      </x:c>
      <x:c r="D17" s="22" t="s">
        <x:v>869</x:v>
      </x:c>
      <x:c r="E17" s="23"/>
      <x:c r="F17" s="23">
        <x:v>2.0</x:v>
      </x:c>
      <x:c r="G17" s="56"/>
      <x:c r="H17" s="56"/>
      <x:c r="I17" s="24"/>
      <x:c r="J17" s="24"/>
      <x:c r="K17" s="24"/>
      <x:c r="L17" s="24"/>
      <x:c r="M17" s="94"/>
      <x:c r="N17" s="26">
        <x:f t="shared" si="4"/>
        <x:v>500000</x:v>
      </x:c>
      <x:c r="O17" s="23" t="s">
        <x:v>74</x:v>
      </x:c>
      <x:c r="P17" s="23" t="s">
        <x:v>31</x:v>
      </x:c>
      <x:c r="Q17" s="32"/>
      <x:c r="R17" s="33" t="n">
        <x:v>45730</x:v>
      </x:c>
      <x:c r="S17" s="34" t="e">
        <x:f>IFERROR(__xludf.DUMMYFUNCTION("SUM(FILTER($E$2:$M$996, $C$2:$C$996 = R17))"),3.0)</x:f>
        <x:v>#NAME?</x:v>
      </x:c>
      <x:c r="T17" s="34" t="e">
        <x:f>IFERROR(__xludf.DUMMYFUNCTION("COUNT(FILTER($C$2:$C$996, $C2:$C996 = R17))"),3.0)</x:f>
        <x:v>#NAME?</x:v>
      </x:c>
      <x:c r="U17" s="31">
        <x:f t="shared" si="3"/>
        <x:v>745000</x:v>
      </x:c>
    </x:row>
    <x:row r="18" ht="18.75" customHeight="1">
      <x:c r="A18" s="19">
        <x:v>17.0</x:v>
      </x:c>
      <x:c r="B18" s="23" t="s">
        <x:v>870</x:v>
      </x:c>
      <x:c r="C18" s="21">
        <x:v>45724.0</x:v>
      </x:c>
      <x:c r="D18" s="22" t="s">
        <x:v>871</x:v>
      </x:c>
      <x:c r="E18" s="23">
        <x:v>1.0</x:v>
      </x:c>
      <x:c r="F18" s="23"/>
      <x:c r="G18" s="56"/>
      <x:c r="H18" s="56"/>
      <x:c r="I18" s="24"/>
      <x:c r="J18" s="24"/>
      <x:c r="K18" s="24"/>
      <x:c r="L18" s="24"/>
      <x:c r="M18" s="94"/>
      <x:c r="N18" s="26" t="n">
        <x:f>(E18*260+F18*255+G18*360+H18*415+J18*245+K18*190+L18*250+I18*470+M18*240-5)*1000</x:f>
        <x:v>255000</x:v>
      </x:c>
      <x:c r="O18" s="23" t="s">
        <x:v>74</x:v>
      </x:c>
      <x:c r="P18" s="23" t="s">
        <x:v>34</x:v>
      </x:c>
      <x:c r="Q18" s="32"/>
      <x:c r="R18" s="33" t="n">
        <x:v>45731</x:v>
      </x:c>
      <x:c r="S18" s="34" t="e">
        <x:f>IFERROR(__xludf.DUMMYFUNCTION("SUM(FILTER($E$2:$M$996, $C$2:$C$996 = R18))"),1.0)</x:f>
        <x:v>#NAME?</x:v>
      </x:c>
      <x:c r="T18" s="34" t="e">
        <x:f>IFERROR(__xludf.DUMMYFUNCTION("COUNT(FILTER($C$2:$C$996, $C2:$C996 = R18))"),1.0)</x:f>
        <x:v>#NAME?</x:v>
      </x:c>
      <x:c r="U18" s="31">
        <x:f t="shared" si="3"/>
        <x:v>250000</x:v>
      </x:c>
    </x:row>
    <x:row r="19" ht="18.75" customHeight="1">
      <x:c r="A19" s="19">
        <x:v>18.0</x:v>
      </x:c>
      <x:c r="B19" s="23" t="s">
        <x:v>872</x:v>
      </x:c>
      <x:c r="C19" s="21">
        <x:v>45724.0</x:v>
      </x:c>
      <x:c r="D19" s="58" t="s">
        <x:v>873</x:v>
      </x:c>
      <x:c r="E19" s="23">
        <x:v>1.0</x:v>
      </x:c>
      <x:c r="F19" s="23"/>
      <x:c r="G19" s="56"/>
      <x:c r="H19" s="56"/>
      <x:c r="I19" s="25"/>
      <x:c r="J19" s="25"/>
      <x:c r="K19" s="25"/>
      <x:c r="L19" s="24">
        <x:v>1.0</x:v>
      </x:c>
      <x:c r="M19" s="94"/>
      <x:c r="N19" s="26" t="n">
        <x:f t="shared" ref="N19:N20" si="5">(E19*260+F19*255+G19*360+H19*415+J19*245+K19*190+L19*250+I19*470+M19*240-10)*1000</x:f>
        <x:v>500000</x:v>
      </x:c>
      <x:c r="O19" s="23" t="s">
        <x:v>74</x:v>
      </x:c>
      <x:c r="P19" s="23" t="s">
        <x:v>31</x:v>
      </x:c>
      <x:c r="Q19" s="32"/>
      <x:c r="R19" s="33" t="n">
        <x:v>45734</x:v>
      </x:c>
      <x:c r="S19" s="34" t="e">
        <x:f>IFERROR(__xludf.DUMMYFUNCTION("SUM(FILTER($E$2:$M$996, $C$2:$C$996 = R19))"),5.0)</x:f>
        <x:v>#NAME?</x:v>
      </x:c>
      <x:c r="T19" s="34" t="e">
        <x:f>IFERROR(__xludf.DUMMYFUNCTION("COUNT(FILTER($C$2:$C$996, $C2:$C996 = R19))"),2.0)</x:f>
        <x:v>#NAME?</x:v>
      </x:c>
      <x:c r="U19" s="31">
        <x:f t="shared" si="3"/>
        <x:v>1400000</x:v>
      </x:c>
    </x:row>
    <x:row r="20" ht="18.75" customHeight="1">
      <x:c r="A20" s="19">
        <x:v>19.0</x:v>
      </x:c>
      <x:c r="B20" s="23" t="s">
        <x:v>79</x:v>
      </x:c>
      <x:c r="C20" s="21">
        <x:v>45724.0</x:v>
      </x:c>
      <x:c r="D20" s="22" t="s">
        <x:v>874</x:v>
      </x:c>
      <x:c r="E20" s="23">
        <x:v>2.0</x:v>
      </x:c>
      <x:c r="F20" s="23"/>
      <x:c r="G20" s="23"/>
      <x:c r="H20" s="23"/>
      <x:c r="I20" s="25"/>
      <x:c r="J20" s="25"/>
      <x:c r="K20" s="25"/>
      <x:c r="L20" s="24"/>
      <x:c r="M20" s="94"/>
      <x:c r="N20" s="26">
        <x:f t="shared" si="5"/>
        <x:v>510000</x:v>
      </x:c>
      <x:c r="O20" s="23" t="s">
        <x:v>74</x:v>
      </x:c>
      <x:c r="P20" s="23" t="s">
        <x:v>31</x:v>
      </x:c>
      <x:c r="Q20" s="32"/>
      <x:c r="R20" s="33" t="n">
        <x:v>45735</x:v>
      </x:c>
      <x:c r="S20" s="34" t="e">
        <x:f>IFERROR(__xludf.DUMMYFUNCTION("SUM(FILTER($E$2:$M$996, $C$2:$C$996 = R20))"),1.0)</x:f>
        <x:v>#NAME?</x:v>
      </x:c>
      <x:c r="T20" s="34" t="e">
        <x:f>IFERROR(__xludf.DUMMYFUNCTION("COUNT(FILTER($C$2:$C$996, $C4:$C997 = R20))"),0.0)</x:f>
        <x:v>#NAME?</x:v>
      </x:c>
      <x:c r="U20" s="31">
        <x:f t="shared" si="3"/>
        <x:v>245000</x:v>
      </x:c>
    </x:row>
    <x:row r="21" ht="18.75" customHeight="1">
      <x:c r="A21" s="19">
        <x:v>20.0</x:v>
      </x:c>
      <x:c r="B21" s="23" t="s">
        <x:v>875</x:v>
      </x:c>
      <x:c r="C21" s="21">
        <x:v>45724.0</x:v>
      </x:c>
      <x:c r="D21" s="22" t="s">
        <x:v>876</x:v>
      </x:c>
      <x:c r="E21" s="23"/>
      <x:c r="F21" s="23"/>
      <x:c r="G21" s="23"/>
      <x:c r="H21" s="56"/>
      <x:c r="I21" s="24">
        <x:v>1.0</x:v>
      </x:c>
      <x:c r="J21" s="25"/>
      <x:c r="K21" s="25"/>
      <x:c r="L21" s="25"/>
      <x:c r="M21" s="94"/>
      <x:c r="N21" s="26" t="n">
        <x:f>(E21*260+F21*255+G21*360+H21*415+J21*245+K21*190+L21*250+I21*470+M21*240-5)*1000</x:f>
        <x:v>465000</x:v>
      </x:c>
      <x:c r="O21" s="23" t="s">
        <x:v>74</x:v>
      </x:c>
      <x:c r="P21" s="23" t="s">
        <x:v>31</x:v>
      </x:c>
      <x:c r="Q21" s="32"/>
      <x:c r="R21" s="33" t="n">
        <x:v>45736</x:v>
      </x:c>
      <x:c r="S21" s="34" t="e">
        <x:f>IFERROR(__xludf.DUMMYFUNCTION("SUM(FILTER($E$2:$M$996, $C$2:$C$996 = R21))"),10.0)</x:f>
        <x:v>#NAME?</x:v>
      </x:c>
      <x:c r="T21" s="34" t="e">
        <x:f>IFERROR(__xludf.DUMMYFUNCTION("COUNT(FILTER($C$2:$C$996, $C5:$C998 = R21))"),0.0)</x:f>
        <x:v>#NAME?</x:v>
      </x:c>
      <x:c r="U21" s="31">
        <x:f t="shared" si="3"/>
        <x:v>3950000</x:v>
      </x:c>
    </x:row>
    <x:row r="22">
      <x:c r="A22" s="19">
        <x:v>21.0</x:v>
      </x:c>
      <x:c r="B22" s="23" t="s">
        <x:v>877</x:v>
      </x:c>
      <x:c r="C22" s="21">
        <x:v>45724.0</x:v>
      </x:c>
      <x:c r="D22" s="58" t="s">
        <x:v>878</x:v>
      </x:c>
      <x:c r="E22" s="56"/>
      <x:c r="F22" s="23"/>
      <x:c r="G22" s="23">
        <x:v>1.0</x:v>
      </x:c>
      <x:c r="H22" s="23">
        <x:v>1.0</x:v>
      </x:c>
      <x:c r="I22" s="25"/>
      <x:c r="J22" s="25"/>
      <x:c r="K22" s="25"/>
      <x:c r="L22" s="25"/>
      <x:c r="M22" s="94"/>
      <x:c r="N22" s="26" t="n">
        <x:f>(E22*260+F22*255+G22*360+H22*410+J22*245+K22*190+L22*250+I22*470+M22*240-10)*1000</x:f>
        <x:v>760000</x:v>
      </x:c>
      <x:c r="O22" s="23" t="s">
        <x:v>74</x:v>
      </x:c>
      <x:c r="P22" s="23" t="s">
        <x:v>31</x:v>
      </x:c>
      <x:c r="Q22" s="57"/>
      <x:c r="R22" s="33" t="n">
        <x:v>45737</x:v>
      </x:c>
      <x:c r="S22" s="34" t="e">
        <x:f>IFERROR(__xludf.DUMMYFUNCTION("SUM(FILTER($E$2:$M$996, $C$2:$C$996 = R22))"),2.0)</x:f>
        <x:v>#NAME?</x:v>
      </x:c>
      <x:c r="T22" s="34" t="e">
        <x:f>IFERROR(__xludf.DUMMYFUNCTION("COUNT(FILTER($C$2:$C$996, $C6:$C999 = R22))"),0.0)</x:f>
        <x:v>#NAME?</x:v>
      </x:c>
      <x:c r="U22" s="31">
        <x:f t="shared" si="3"/>
        <x:v>635000</x:v>
      </x:c>
    </x:row>
    <x:row r="23" ht="18.75" customHeight="1">
      <x:c r="A23" s="19">
        <x:v>22.0</x:v>
      </x:c>
      <x:c r="B23" s="23" t="s">
        <x:v>879</x:v>
      </x:c>
      <x:c r="C23" s="21">
        <x:v>45724.0</x:v>
      </x:c>
      <x:c r="D23" s="58" t="s">
        <x:v>880</x:v>
      </x:c>
      <x:c r="E23" s="56"/>
      <x:c r="F23" s="23">
        <x:v>1.0</x:v>
      </x:c>
      <x:c r="G23" s="56"/>
      <x:c r="H23" s="56"/>
      <x:c r="I23" s="25"/>
      <x:c r="J23" s="24"/>
      <x:c r="K23" s="24"/>
      <x:c r="L23" s="24"/>
      <x:c r="M23" s="94"/>
      <x:c r="N23" s="26" t="n">
        <x:f t="shared" ref="N23:N24" si="6">(E23*260+F23*255+G23*360+H23*415+J23*245+K23*190+L23*250+I23*470+M23*240-5)*1000</x:f>
        <x:v>250000</x:v>
      </x:c>
      <x:c r="O23" s="23" t="s">
        <x:v>74</x:v>
      </x:c>
      <x:c r="P23" s="23" t="s">
        <x:v>34</x:v>
      </x:c>
      <x:c r="Q23" s="32"/>
      <x:c r="R23" s="33" t="n">
        <x:v>45740</x:v>
      </x:c>
      <x:c r="S23" s="34" t="e">
        <x:f>IFERROR(__xludf.DUMMYFUNCTION("SUM(FILTER($E$2:$M$996, $C$2:$C$996 = R23))"),1.0)</x:f>
        <x:v>#NAME?</x:v>
      </x:c>
      <x:c r="T23" s="34" t="e">
        <x:f>IFERROR(__xludf.DUMMYFUNCTION("COUNT(FILTER($C$2:$C$996, $C7:$C1000 = R23))"),0.0)</x:f>
        <x:v>#NAME?</x:v>
      </x:c>
      <x:c r="U23" s="31">
        <x:f t="shared" si="3"/>
        <x:v>250000</x:v>
      </x:c>
    </x:row>
    <x:row r="24" ht="18.75" customHeight="1">
      <x:c r="A24" s="19">
        <x:v>23.0</x:v>
      </x:c>
      <x:c r="B24" s="23" t="s">
        <x:v>881</x:v>
      </x:c>
      <x:c r="C24" s="21">
        <x:v>45724.0</x:v>
      </x:c>
      <x:c r="D24" s="22" t="s">
        <x:v>882</x:v>
      </x:c>
      <x:c r="E24" s="23"/>
      <x:c r="F24" s="23">
        <x:v>1.0</x:v>
      </x:c>
      <x:c r="G24" s="56"/>
      <x:c r="H24" s="56"/>
      <x:c r="I24" s="25"/>
      <x:c r="J24" s="25"/>
      <x:c r="K24" s="25"/>
      <x:c r="L24" s="24"/>
      <x:c r="M24" s="94"/>
      <x:c r="N24" s="26">
        <x:f t="shared" si="6"/>
        <x:v>250000</x:v>
      </x:c>
      <x:c r="O24" s="23" t="s">
        <x:v>74</x:v>
      </x:c>
      <x:c r="P24" s="23" t="s">
        <x:v>31</x:v>
      </x:c>
      <x:c r="Q24" s="32"/>
      <x:c r="R24" s="86" t="n">
        <x:v>0</x:v>
      </x:c>
    </x:row>
    <x:row r="25" ht="18.75" customHeight="1">
      <x:c r="A25" s="19">
        <x:v>24.0</x:v>
      </x:c>
      <x:c r="B25" s="23" t="s">
        <x:v>883</x:v>
      </x:c>
      <x:c r="C25" s="21">
        <x:v>45724.0</x:v>
      </x:c>
      <x:c r="D25" s="22" t="s">
        <x:v>884</x:v>
      </x:c>
      <x:c r="E25" s="23"/>
      <x:c r="F25" s="23"/>
      <x:c r="G25" s="23">
        <x:v>1.0</x:v>
      </x:c>
      <x:c r="H25" s="23">
        <x:v>1.0</x:v>
      </x:c>
      <x:c r="I25" s="24">
        <x:v>1.0</x:v>
      </x:c>
      <x:c r="J25" s="25"/>
      <x:c r="K25" s="24"/>
      <x:c r="L25" s="25"/>
      <x:c r="M25" s="94"/>
      <x:c r="N25" s="26" t="n">
        <x:f>(E25*260+F25*255+G25*360+H25*410+J25*245+K25*190+L25*250+I25*470+M25*240-15)*1000</x:f>
        <x:v>1225000</x:v>
      </x:c>
      <x:c r="O25" s="23" t="s">
        <x:v>74</x:v>
      </x:c>
      <x:c r="P25" s="23" t="s">
        <x:v>34</x:v>
      </x:c>
      <x:c r="Q25" s="32"/>
    </x:row>
    <x:row r="26">
      <x:c r="A26" s="19">
        <x:v>25.0</x:v>
      </x:c>
      <x:c r="B26" s="23" t="s">
        <x:v>885</x:v>
      </x:c>
      <x:c r="C26" s="21">
        <x:v>45724.0</x:v>
      </x:c>
      <x:c r="D26" s="22" t="s">
        <x:v>886</x:v>
      </x:c>
      <x:c r="E26" s="23"/>
      <x:c r="F26" s="23"/>
      <x:c r="G26" s="23"/>
      <x:c r="H26" s="23"/>
      <x:c r="I26" s="25"/>
      <x:c r="J26" s="24">
        <x:v>2.0</x:v>
      </x:c>
      <x:c r="K26" s="25"/>
      <x:c r="L26" s="24"/>
      <x:c r="M26" s="94"/>
      <x:c r="N26" s="26" t="n">
        <x:f t="shared" ref="N26:N27" si="7">(E26*260+F26*255+G26*360+H26*415+J26*245+K26*190+L26*250+I26*470+M26*240-10)*1000</x:f>
        <x:v>480000</x:v>
      </x:c>
      <x:c r="O26" s="23" t="s">
        <x:v>74</x:v>
      </x:c>
      <x:c r="P26" s="23" t="s">
        <x:v>34</x:v>
      </x:c>
      <x:c r="Q26" s="57"/>
    </x:row>
    <x:row r="27" ht="18.75" customHeight="1">
      <x:c r="A27" s="19">
        <x:v>26.0</x:v>
      </x:c>
      <x:c r="B27" s="23" t="s">
        <x:v>887</x:v>
      </x:c>
      <x:c r="C27" s="21">
        <x:v>45724.0</x:v>
      </x:c>
      <x:c r="D27" s="22" t="s">
        <x:v>888</x:v>
      </x:c>
      <x:c r="E27" s="56"/>
      <x:c r="F27" s="23">
        <x:v>2.0</x:v>
      </x:c>
      <x:c r="G27" s="56"/>
      <x:c r="H27" s="23"/>
      <x:c r="I27" s="24"/>
      <x:c r="J27" s="24"/>
      <x:c r="K27" s="25"/>
      <x:c r="L27" s="24"/>
      <x:c r="M27" s="94"/>
      <x:c r="N27" s="26">
        <x:f t="shared" si="7"/>
        <x:v>500000</x:v>
      </x:c>
      <x:c r="O27" s="23" t="s">
        <x:v>74</x:v>
      </x:c>
      <x:c r="P27" s="23" t="s">
        <x:v>31</x:v>
      </x:c>
      <x:c r="Q27" s="57"/>
    </x:row>
    <x:row r="28" ht="18.75" customHeight="1">
      <x:c r="A28" s="19">
        <x:v>27.0</x:v>
      </x:c>
      <x:c r="B28" s="23" t="s">
        <x:v>889</x:v>
      </x:c>
      <x:c r="C28" s="21">
        <x:v>45724.0</x:v>
      </x:c>
      <x:c r="D28" s="22" t="s">
        <x:v>890</x:v>
      </x:c>
      <x:c r="E28" s="56"/>
      <x:c r="F28" s="23">
        <x:v>1.0</x:v>
      </x:c>
      <x:c r="G28" s="23"/>
      <x:c r="H28" s="23"/>
      <x:c r="I28" s="24"/>
      <x:c r="J28" s="24"/>
      <x:c r="K28" s="24"/>
      <x:c r="L28" s="24"/>
      <x:c r="M28" s="94"/>
      <x:c r="N28" s="26" t="n">
        <x:f>(E28*260+F28*255+G28*360+H28*415+J28*245+K28*190+L28*250+I28*470+M28*240-5)*1000</x:f>
        <x:v>250000</x:v>
      </x:c>
      <x:c r="O28" s="23" t="s">
        <x:v>74</x:v>
      </x:c>
      <x:c r="P28" s="23" t="s">
        <x:v>34</x:v>
      </x:c>
      <x:c r="Q28" s="32"/>
    </x:row>
    <x:row r="29" ht="18.75" customHeight="1">
      <x:c r="A29" s="19">
        <x:v>28.0</x:v>
      </x:c>
      <x:c r="B29" s="23" t="s">
        <x:v>891</x:v>
      </x:c>
      <x:c r="C29" s="21">
        <x:v>45724.0</x:v>
      </x:c>
      <x:c r="D29" s="58" t="s">
        <x:v>892</x:v>
      </x:c>
      <x:c r="E29" s="23"/>
      <x:c r="F29" s="23"/>
      <x:c r="G29" s="56"/>
      <x:c r="H29" s="23"/>
      <x:c r="I29" s="24"/>
      <x:c r="J29" s="24">
        <x:v>1.0</x:v>
      </x:c>
      <x:c r="K29" s="24"/>
      <x:c r="L29" s="24"/>
      <x:c r="M29" s="94"/>
      <x:c r="N29" s="26" t="n">
        <x:f t="shared" ref="N29:N31" si="8">(E29*260+F29*255+G29*360+H29*415+J29*245+K29*190+L29*250+I29*470+M29*240)*1000</x:f>
        <x:v>245000</x:v>
      </x:c>
      <x:c r="O29" s="23" t="s">
        <x:v>74</x:v>
      </x:c>
      <x:c r="P29" s="23" t="s">
        <x:v>31</x:v>
      </x:c>
      <x:c r="Q29" s="32"/>
    </x:row>
    <x:row r="30" ht="18.75" customHeight="1">
      <x:c r="A30" s="19">
        <x:v>29.0</x:v>
      </x:c>
      <x:c r="B30" s="23" t="s">
        <x:v>893</x:v>
      </x:c>
      <x:c r="C30" s="21">
        <x:v>45724.0</x:v>
      </x:c>
      <x:c r="D30" s="22" t="s">
        <x:v>894</x:v>
      </x:c>
      <x:c r="E30" s="23"/>
      <x:c r="F30" s="23">
        <x:v>1.0</x:v>
      </x:c>
      <x:c r="G30" s="56"/>
      <x:c r="H30" s="23"/>
      <x:c r="I30" s="24"/>
      <x:c r="J30" s="24"/>
      <x:c r="K30" s="24"/>
      <x:c r="L30" s="24"/>
      <x:c r="M30" s="23"/>
      <x:c r="N30" s="26">
        <x:f t="shared" si="8"/>
        <x:v>255000</x:v>
      </x:c>
      <x:c r="O30" s="23" t="s">
        <x:v>74</x:v>
      </x:c>
      <x:c r="P30" s="23" t="s">
        <x:v>31</x:v>
      </x:c>
      <x:c r="Q30" s="32"/>
    </x:row>
    <x:row r="31" ht="18.75" customHeight="1">
      <x:c r="A31" s="19">
        <x:v>30.0</x:v>
      </x:c>
      <x:c r="B31" s="23" t="s">
        <x:v>895</x:v>
      </x:c>
      <x:c r="C31" s="21">
        <x:v>45725.0</x:v>
      </x:c>
      <x:c r="D31" s="22" t="s">
        <x:v>896</x:v>
      </x:c>
      <x:c r="E31" s="56"/>
      <x:c r="F31" s="23">
        <x:v>1.0</x:v>
      </x:c>
      <x:c r="G31" s="23"/>
      <x:c r="H31" s="56"/>
      <x:c r="I31" s="25"/>
      <x:c r="J31" s="24">
        <x:v>1.0</x:v>
      </x:c>
      <x:c r="K31" s="25"/>
      <x:c r="L31" s="25"/>
      <x:c r="M31" s="94"/>
      <x:c r="N31" s="26">
        <x:f t="shared" si="8"/>
        <x:v>500000</x:v>
      </x:c>
      <x:c r="O31" s="23" t="s">
        <x:v>74</x:v>
      </x:c>
      <x:c r="P31" s="23" t="s">
        <x:v>31</x:v>
      </x:c>
      <x:c r="Q31" s="32"/>
    </x:row>
    <x:row r="32" ht="18.75" customHeight="1">
      <x:c r="A32" s="19">
        <x:v>31.0</x:v>
      </x:c>
      <x:c r="B32" s="23" t="s">
        <x:v>897</x:v>
      </x:c>
      <x:c r="C32" s="21">
        <x:v>45726.0</x:v>
      </x:c>
      <x:c r="D32" s="22" t="s">
        <x:v>898</x:v>
      </x:c>
      <x:c r="E32" s="23"/>
      <x:c r="F32" s="23">
        <x:v>10.0</x:v>
      </x:c>
      <x:c r="G32" s="23"/>
      <x:c r="H32" s="23"/>
      <x:c r="I32" s="24">
        <x:v>3.0</x:v>
      </x:c>
      <x:c r="J32" s="24"/>
      <x:c r="K32" s="24"/>
      <x:c r="L32" s="24"/>
      <x:c r="M32" s="94"/>
      <x:c r="N32" s="26" t="n">
        <x:f>(E32*260+F32*255+G32*360+H32*415+J32*245+K32*190+L32*250+I32*470+M32*240-30)*1000</x:f>
        <x:v>3930000</x:v>
      </x:c>
      <x:c r="O32" s="23" t="s">
        <x:v>74</x:v>
      </x:c>
      <x:c r="P32" s="23" t="s">
        <x:v>31</x:v>
      </x:c>
      <x:c r="Q32" s="32"/>
    </x:row>
    <x:row r="33" ht="18.75" customHeight="1">
      <x:c r="A33" s="19">
        <x:v>32.0</x:v>
      </x:c>
      <x:c r="B33" s="23" t="s">
        <x:v>899</x:v>
      </x:c>
      <x:c r="C33" s="21">
        <x:v>45726.0</x:v>
      </x:c>
      <x:c r="D33" s="22" t="s">
        <x:v>900</x:v>
      </x:c>
      <x:c r="E33" s="23"/>
      <x:c r="F33" s="23"/>
      <x:c r="G33" s="56"/>
      <x:c r="H33" s="23"/>
      <x:c r="I33" s="25"/>
      <x:c r="J33" s="24">
        <x:v>1.0</x:v>
      </x:c>
      <x:c r="K33" s="25"/>
      <x:c r="L33" s="24"/>
      <x:c r="M33" s="94"/>
      <x:c r="N33" s="26" t="n">
        <x:f t="shared" ref="N33:N40" si="9">(E33*260+F33*255+G33*360+H33*415+J33*245+K33*190+L33*250+I33*470+M33*240)*1000</x:f>
        <x:v>245000</x:v>
      </x:c>
      <x:c r="O33" s="23" t="s">
        <x:v>74</x:v>
      </x:c>
      <x:c r="P33" s="23" t="s">
        <x:v>31</x:v>
      </x:c>
      <x:c r="Q33" s="57"/>
    </x:row>
    <x:row r="34">
      <x:c r="A34" s="19">
        <x:v>33.0</x:v>
      </x:c>
      <x:c r="B34" s="23" t="s">
        <x:v>767</x:v>
      </x:c>
      <x:c r="C34" s="21">
        <x:v>45726.0</x:v>
      </x:c>
      <x:c r="D34" s="22" t="s">
        <x:v>901</x:v>
      </x:c>
      <x:c r="E34" s="56"/>
      <x:c r="F34" s="23"/>
      <x:c r="G34" s="56"/>
      <x:c r="H34" s="23"/>
      <x:c r="I34" s="24">
        <x:v>1.0</x:v>
      </x:c>
      <x:c r="J34" s="24"/>
      <x:c r="K34" s="25"/>
      <x:c r="L34" s="24"/>
      <x:c r="M34" s="94"/>
      <x:c r="N34" s="26">
        <x:f t="shared" si="9"/>
        <x:v>470000</x:v>
      </x:c>
      <x:c r="O34" s="23" t="s">
        <x:v>74</x:v>
      </x:c>
      <x:c r="P34" s="23" t="s">
        <x:v>34</x:v>
      </x:c>
      <x:c r="Q34" s="32"/>
    </x:row>
    <x:row r="35" ht="18.75" customHeight="1">
      <x:c r="A35" s="19">
        <x:v>34.0</x:v>
      </x:c>
      <x:c r="B35" s="23" t="s">
        <x:v>819</x:v>
      </x:c>
      <x:c r="C35" s="21">
        <x:v>45727.0</x:v>
      </x:c>
      <x:c r="D35" s="22" t="s">
        <x:v>820</x:v>
      </x:c>
      <x:c r="E35" s="23"/>
      <x:c r="F35" s="23"/>
      <x:c r="G35" s="23"/>
      <x:c r="H35" s="23"/>
      <x:c r="I35" s="25"/>
      <x:c r="J35" s="24"/>
      <x:c r="K35" s="25"/>
      <x:c r="L35" s="24">
        <x:v>1.0</x:v>
      </x:c>
      <x:c r="M35" s="94"/>
      <x:c r="N35" s="26">
        <x:f t="shared" si="9"/>
        <x:v>250000</x:v>
      </x:c>
      <x:c r="O35" s="23" t="s">
        <x:v>74</x:v>
      </x:c>
      <x:c r="P35" s="23" t="s">
        <x:v>31</x:v>
      </x:c>
    </x:row>
    <x:row r="36" ht="18.75" customHeight="1">
      <x:c r="A36" s="19">
        <x:v>35.0</x:v>
      </x:c>
      <x:c r="B36" s="23" t="s">
        <x:v>902</x:v>
      </x:c>
      <x:c r="C36" s="21">
        <x:v>45729.0</x:v>
      </x:c>
      <x:c r="D36" s="22" t="s">
        <x:v>903</x:v>
      </x:c>
      <x:c r="E36" s="23"/>
      <x:c r="F36" s="23"/>
      <x:c r="G36" s="23"/>
      <x:c r="H36" s="23"/>
      <x:c r="I36" s="25"/>
      <x:c r="J36" s="24">
        <x:v>1.0</x:v>
      </x:c>
      <x:c r="K36" s="25"/>
      <x:c r="L36" s="24"/>
      <x:c r="M36" s="94"/>
      <x:c r="N36" s="26">
        <x:f t="shared" si="9"/>
        <x:v>245000</x:v>
      </x:c>
      <x:c r="O36" s="23" t="s">
        <x:v>74</x:v>
      </x:c>
      <x:c r="P36" s="23" t="s">
        <x:v>34</x:v>
      </x:c>
    </x:row>
    <x:row r="37" ht="18.75" customHeight="1">
      <x:c r="A37" s="19">
        <x:v>36.0</x:v>
      </x:c>
      <x:c r="B37" s="23" t="s">
        <x:v>803</x:v>
      </x:c>
      <x:c r="C37" s="21">
        <x:v>45730.0</x:v>
      </x:c>
      <x:c r="D37" s="22" t="s">
        <x:v>804</x:v>
      </x:c>
      <x:c r="E37" s="23"/>
      <x:c r="F37" s="23"/>
      <x:c r="G37" s="23"/>
      <x:c r="H37" s="23"/>
      <x:c r="I37" s="25"/>
      <x:c r="J37" s="24"/>
      <x:c r="K37" s="25"/>
      <x:c r="L37" s="24">
        <x:v>1.0</x:v>
      </x:c>
      <x:c r="M37" s="94"/>
      <x:c r="N37" s="26">
        <x:f t="shared" si="9"/>
        <x:v>250000</x:v>
      </x:c>
      <x:c r="O37" s="23" t="s">
        <x:v>74</x:v>
      </x:c>
      <x:c r="P37" s="23" t="s">
        <x:v>31</x:v>
      </x:c>
    </x:row>
    <x:row r="38" ht="18.75" customHeight="1">
      <x:c r="A38" s="19">
        <x:v>37.0</x:v>
      </x:c>
      <x:c r="B38" s="23" t="s">
        <x:v>904</x:v>
      </x:c>
      <x:c r="C38" s="21">
        <x:v>45730.0</x:v>
      </x:c>
      <x:c r="D38" s="22" t="s">
        <x:v>905</x:v>
      </x:c>
      <x:c r="E38" s="23"/>
      <x:c r="F38" s="23"/>
      <x:c r="G38" s="23"/>
      <x:c r="H38" s="23"/>
      <x:c r="I38" s="24"/>
      <x:c r="J38" s="25"/>
      <x:c r="K38" s="25"/>
      <x:c r="L38" s="24">
        <x:v>1.0</x:v>
      </x:c>
      <x:c r="M38" s="94"/>
      <x:c r="N38" s="26">
        <x:f t="shared" si="9"/>
        <x:v>250000</x:v>
      </x:c>
      <x:c r="O38" s="23" t="s">
        <x:v>74</x:v>
      </x:c>
      <x:c r="P38" s="23" t="s">
        <x:v>31</x:v>
      </x:c>
    </x:row>
    <x:row r="39" ht="18.75" customHeight="1">
      <x:c r="A39" s="19">
        <x:v>38.0</x:v>
      </x:c>
      <x:c r="B39" s="23" t="s">
        <x:v>906</x:v>
      </x:c>
      <x:c r="C39" s="21">
        <x:v>45730.0</x:v>
      </x:c>
      <x:c r="D39" s="22" t="s">
        <x:v>907</x:v>
      </x:c>
      <x:c r="E39" s="23"/>
      <x:c r="F39" s="23"/>
      <x:c r="G39" s="56"/>
      <x:c r="H39" s="23"/>
      <x:c r="I39" s="25"/>
      <x:c r="J39" s="24">
        <x:v>1.0</x:v>
      </x:c>
      <x:c r="K39" s="24"/>
      <x:c r="L39" s="25"/>
      <x:c r="M39" s="94"/>
      <x:c r="N39" s="26">
        <x:f t="shared" si="9"/>
        <x:v>245000</x:v>
      </x:c>
      <x:c r="O39" s="23" t="s">
        <x:v>74</x:v>
      </x:c>
      <x:c r="P39" s="23" t="s">
        <x:v>31</x:v>
      </x:c>
    </x:row>
    <x:row r="40" ht="18.75" customHeight="1">
      <x:c r="A40" s="19">
        <x:v>39.0</x:v>
      </x:c>
      <x:c r="B40" s="23" t="s">
        <x:v>908</x:v>
      </x:c>
      <x:c r="C40" s="21">
        <x:v>45731.0</x:v>
      </x:c>
      <x:c r="D40" s="58" t="s">
        <x:v>909</x:v>
      </x:c>
      <x:c r="E40" s="23"/>
      <x:c r="F40" s="23"/>
      <x:c r="G40" s="23"/>
      <x:c r="H40" s="23"/>
      <x:c r="I40" s="25"/>
      <x:c r="J40" s="25"/>
      <x:c r="K40" s="24"/>
      <x:c r="L40" s="24">
        <x:v>1.0</x:v>
      </x:c>
      <x:c r="M40" s="94"/>
      <x:c r="N40" s="26">
        <x:f t="shared" si="9"/>
        <x:v>250000</x:v>
      </x:c>
      <x:c r="O40" s="23" t="s">
        <x:v>74</x:v>
      </x:c>
      <x:c r="P40" s="23" t="s">
        <x:v>31</x:v>
      </x:c>
    </x:row>
    <x:row r="41" ht="18.75" customHeight="1">
      <x:c r="A41" s="19">
        <x:v>40.0</x:v>
      </x:c>
      <x:c r="B41" s="39" t="s">
        <x:v>740</x:v>
      </x:c>
      <x:c r="C41" s="21">
        <x:v>45734.0</x:v>
      </x:c>
      <x:c r="D41" s="22" t="s">
        <x:v>741</x:v>
      </x:c>
      <x:c r="E41" s="23"/>
      <x:c r="F41" s="23"/>
      <x:c r="G41" s="23"/>
      <x:c r="H41" s="23">
        <x:v>1.0</x:v>
      </x:c>
      <x:c r="I41" s="25"/>
      <x:c r="J41" s="24">
        <x:v>1.0</x:v>
      </x:c>
      <x:c r="K41" s="25"/>
      <x:c r="L41" s="24">
        <x:v>1.0</x:v>
      </x:c>
      <x:c r="M41" s="94"/>
      <x:c r="N41" s="26" t="n">
        <x:f>(E41*260+F41*255+G41*360+H41*410+J41*245+K41*190+L41*250+I41*470+M41*240-5)*1000</x:f>
        <x:v>900000</x:v>
      </x:c>
      <x:c r="O41" s="23" t="s">
        <x:v>74</x:v>
      </x:c>
      <x:c r="P41" s="23" t="s">
        <x:v>31</x:v>
      </x:c>
    </x:row>
    <x:row r="42" ht="18.75" customHeight="1">
      <x:c r="A42" s="19">
        <x:v>41.0</x:v>
      </x:c>
      <x:c r="B42" s="39" t="s">
        <x:v>910</x:v>
      </x:c>
      <x:c r="C42" s="21">
        <x:v>45734.0</x:v>
      </x:c>
      <x:c r="D42" s="22" t="s">
        <x:v>911</x:v>
      </x:c>
      <x:c r="E42" s="56"/>
      <x:c r="F42" s="23"/>
      <x:c r="G42" s="56"/>
      <x:c r="H42" s="23"/>
      <x:c r="I42" s="25"/>
      <x:c r="J42" s="24">
        <x:v>2.0</x:v>
      </x:c>
      <x:c r="K42" s="24"/>
      <x:c r="L42" s="24"/>
      <x:c r="M42" s="94"/>
      <x:c r="N42" s="26" t="n">
        <x:f>(E42*260+F42*255+G42*360+H42*415+J42*245+K42*190+L42*250+I42*470+M42*240+10)*1000</x:f>
        <x:v>500000</x:v>
      </x:c>
      <x:c r="O42" s="23" t="s">
        <x:v>74</x:v>
      </x:c>
      <x:c r="P42" s="23" t="s">
        <x:v>31</x:v>
      </x:c>
    </x:row>
    <x:row r="43" ht="18.75" customHeight="1">
      <x:c r="A43" s="19">
        <x:v>42.0</x:v>
      </x:c>
      <x:c r="B43" s="23" t="s">
        <x:v>912</x:v>
      </x:c>
      <x:c r="C43" s="21">
        <x:v>45735.0</x:v>
      </x:c>
      <x:c r="D43" s="22" t="s">
        <x:v>913</x:v>
      </x:c>
      <x:c r="E43" s="56"/>
      <x:c r="F43" s="23"/>
      <x:c r="G43" s="56"/>
      <x:c r="H43" s="23"/>
      <x:c r="I43" s="25"/>
      <x:c r="J43" s="24">
        <x:v>1.0</x:v>
      </x:c>
      <x:c r="K43" s="24"/>
      <x:c r="L43" s="24"/>
      <x:c r="M43" s="94"/>
      <x:c r="N43" s="26" t="n">
        <x:f>(E43*260+F43*255+G43*360+H43*415+J43*245+K43*190+L43*250+I43*470+M43*240)*1000</x:f>
        <x:v>245000</x:v>
      </x:c>
      <x:c r="O43" s="23" t="s">
        <x:v>74</x:v>
      </x:c>
      <x:c r="P43" s="23" t="s">
        <x:v>31</x:v>
      </x:c>
    </x:row>
    <x:row r="44" ht="18.75" customHeight="1">
      <x:c r="A44" s="19">
        <x:v>43.0</x:v>
      </x:c>
      <x:c r="B44" s="23" t="s">
        <x:v>114</x:v>
      </x:c>
      <x:c r="C44" s="21">
        <x:v>45736.0</x:v>
      </x:c>
      <x:c r="D44" s="22" t="s">
        <x:v>851</x:v>
      </x:c>
      <x:c r="E44" s="23"/>
      <x:c r="F44" s="23"/>
      <x:c r="G44" s="56"/>
      <x:c r="H44" s="23">
        <x:v>10.0</x:v>
      </x:c>
      <x:c r="I44" s="25"/>
      <x:c r="J44" s="24"/>
      <x:c r="K44" s="24"/>
      <x:c r="L44" s="25"/>
      <x:c r="M44" s="94"/>
      <x:c r="N44" s="26" t="n">
        <x:f>(E44*260+F44*255+G44*360+H44*395+J44*245+K44*190+L44*250+I44*470+M44*240)*1000</x:f>
        <x:v>3950000</x:v>
      </x:c>
      <x:c r="O44" s="23" t="s">
        <x:v>74</x:v>
      </x:c>
      <x:c r="P44" s="23" t="s">
        <x:v>31</x:v>
      </x:c>
    </x:row>
    <x:row r="45" ht="18.75" customHeight="1">
      <x:c r="A45" s="19">
        <x:v>44.0</x:v>
      </x:c>
      <x:c r="B45" s="23" t="s">
        <x:v>914</x:v>
      </x:c>
      <x:c r="C45" s="21">
        <x:v>45737.0</x:v>
      </x:c>
      <x:c r="D45" s="58" t="s">
        <x:v>762</x:v>
      </x:c>
      <x:c r="E45" s="23"/>
      <x:c r="F45" s="23"/>
      <x:c r="G45" s="23"/>
      <x:c r="H45" s="23"/>
      <x:c r="I45" s="25"/>
      <x:c r="J45" s="24">
        <x:v>1.0</x:v>
      </x:c>
      <x:c r="K45" s="25"/>
      <x:c r="L45" s="24"/>
      <x:c r="M45" s="94"/>
      <x:c r="N45" s="26" t="n">
        <x:f>(E45*260+F45*255+G45*360+H45*415+J45*245+K45*190+L45*250+I45*470+M45*240)*1000</x:f>
        <x:v>245000</x:v>
      </x:c>
      <x:c r="O45" s="23" t="s">
        <x:v>74</x:v>
      </x:c>
      <x:c r="P45" s="23" t="s">
        <x:v>31</x:v>
      </x:c>
    </x:row>
    <x:row r="46" ht="18.75" customHeight="1">
      <x:c r="A46" s="19">
        <x:v>45.0</x:v>
      </x:c>
      <x:c r="B46" s="23" t="s">
        <x:v>915</x:v>
      </x:c>
      <x:c r="C46" s="21">
        <x:v>45737.0</x:v>
      </x:c>
      <x:c r="D46" s="55"/>
      <x:c r="E46" s="56"/>
      <x:c r="F46" s="23"/>
      <x:c r="G46" s="23"/>
      <x:c r="H46" s="23">
        <x:v>1.0</x:v>
      </x:c>
      <x:c r="I46" s="24"/>
      <x:c r="J46" s="24"/>
      <x:c r="K46" s="24"/>
      <x:c r="L46" s="24"/>
      <x:c r="M46" s="94"/>
      <x:c r="N46" s="26" t="n">
        <x:f>(E46*260+F46*255+G46*360+H46*410+J46*245+K46*190+L46*250+I46*470+M46*240-20)*1000</x:f>
        <x:v>390000</x:v>
      </x:c>
      <x:c r="O46" s="23" t="s">
        <x:v>74</x:v>
      </x:c>
      <x:c r="P46" s="23" t="s">
        <x:v>31</x:v>
      </x:c>
    </x:row>
    <x:row r="47" ht="18.75" customHeight="1">
      <x:c r="A47" s="19">
        <x:v>46.0</x:v>
      </x:c>
      <x:c r="B47" s="23" t="s">
        <x:v>916</x:v>
      </x:c>
      <x:c r="C47" s="21">
        <x:v>45740.0</x:v>
      </x:c>
      <x:c r="D47" s="22" t="s">
        <x:v>917</x:v>
      </x:c>
      <x:c r="E47" s="56"/>
      <x:c r="F47" s="23"/>
      <x:c r="G47" s="23"/>
      <x:c r="H47" s="23"/>
      <x:c r="I47" s="24"/>
      <x:c r="J47" s="24"/>
      <x:c r="K47" s="24"/>
      <x:c r="L47" s="24">
        <x:v>1.0</x:v>
      </x:c>
      <x:c r="M47" s="94"/>
      <x:c r="N47" s="26" t="n">
        <x:f>(E47*260+F47*255+G47*360+H47*410+J47*245+K47*190+L47*250+I47*470+M47*240)*1000</x:f>
        <x:v>250000</x:v>
      </x:c>
      <x:c r="O47" s="23" t="s">
        <x:v>74</x:v>
      </x:c>
      <x:c r="P47" s="23" t="s">
        <x:v>31</x:v>
      </x:c>
    </x:row>
    <x:row r="48">
      <x:c r="A48" s="75"/>
      <x:c r="B48" s="75" t="s">
        <x:v>27</x:v>
      </x:c>
      <x:c r="C48" s="77"/>
      <x:c r="D48" s="78"/>
      <x:c r="E48" s="77" t="n">
        <x:f t="shared" ref="E48:N48" si="10">SUM(E2:E47)</x:f>
        <x:v>21</x:v>
      </x:c>
      <x:c r="F48" s="77">
        <x:f t="shared" si="10"/>
        <x:v>27</x:v>
      </x:c>
      <x:c r="G48" s="77">
        <x:f t="shared" si="10"/>
        <x:v>4</x:v>
      </x:c>
      <x:c r="H48" s="77">
        <x:f t="shared" si="10"/>
        <x:v>15</x:v>
      </x:c>
      <x:c r="I48" s="79">
        <x:f t="shared" si="10"/>
        <x:v>16</x:v>
      </x:c>
      <x:c r="J48" s="79">
        <x:f t="shared" si="10"/>
        <x:v>16</x:v>
      </x:c>
      <x:c r="K48" s="79">
        <x:f t="shared" si="10"/>
        <x:v>0</x:v>
      </x:c>
      <x:c r="L48" s="79">
        <x:f t="shared" si="10"/>
        <x:v>8</x:v>
      </x:c>
      <x:c r="M48" s="77">
        <x:f t="shared" si="10"/>
        <x:v>6</x:v>
      </x:c>
      <x:c r="N48" s="80">
        <x:f t="shared" si="10"/>
        <x:v>34301000</x:v>
      </x:c>
      <x:c r="O48" s="77"/>
      <x:c r="P48" s="77"/>
    </x:row>
    <x:row r="49">
      <x:c r="A49" s="75"/>
      <x:c r="B49" s="75" t="s">
        <x:v>51</x:v>
      </x:c>
      <x:c r="C49" s="81"/>
      <x:c r="D49" s="96"/>
      <x:c r="E49" s="83" t="n">
        <x:f>E48*Inventory_batches!I60</x:f>
        <x:v>3160920</x:v>
      </x:c>
      <x:c r="F49" s="83" t="n">
        <x:f>F48*Inventory_batches!I56</x:f>
        <x:v>4064040</x:v>
      </x:c>
      <x:c r="G49" s="83" t="n">
        <x:f>G48*Inventory_batches!F24</x:f>
        <x:v>522833.3333333333</x:v>
      </x:c>
      <x:c r="H49" s="83" t="n">
        <x:f>H48*Inventory_batches!I58</x:f>
        <x:v>2952300</x:v>
      </x:c>
      <x:c r="I49" s="84" t="n">
        <x:f>I48*Inventory_batches!I59</x:f>
        <x:v>3149120</x:v>
      </x:c>
      <x:c r="J49" s="84" t="n">
        <x:f>J48*Inventory_batches!I57</x:f>
        <x:v>2037920</x:v>
      </x:c>
      <x:c r="K49" s="84" t="n">
        <x:f>K48*Inventory_batches!I39</x:f>
        <x:v>0</x:v>
      </x:c>
      <x:c r="L49" s="84" t="n">
        <x:f>L48*Inventory_batches!I55</x:f>
        <x:v>1018960</x:v>
      </x:c>
      <x:c r="M49" s="83" t="n">
        <x:f>M48*Inventory_batches!F6</x:f>
        <x:v>396395.6043956044</x:v>
      </x:c>
      <x:c r="N49" s="83" t="n">
        <x:f>SUM(E49:L49)</x:f>
        <x:v>16906093.333333332</x:v>
      </x:c>
      <x:c r="O49" s="85" t="n">
        <x:f>N49-R3</x:f>
        <x:v>12731093.333333332</x:v>
      </x:c>
      <x:c r="P49" s="86"/>
      <x:c r="Q49" s="32"/>
    </x:row>
    <x:row r="50">
      <x:c r="A50" s="87"/>
      <x:c r="D50" s="32"/>
      <x:c r="I50" s="74"/>
      <x:c r="J50" s="74"/>
      <x:c r="K50" s="74"/>
      <x:c r="L50" s="74"/>
      <x:c r="M50" s="89"/>
      <x:c r="N50" s="90" t="n">
        <x:f>N48-N49</x:f>
        <x:v>17394906.666666668</x:v>
      </x:c>
      <x:c r="P50" s="86"/>
      <x:c r="Q50" s="32"/>
    </x:row>
    <x:row r="51">
      <x:c r="A51" s="87"/>
      <x:c r="D51" s="32"/>
      <x:c r="I51" s="74"/>
      <x:c r="J51" s="74"/>
      <x:c r="K51" s="74"/>
      <x:c r="L51" s="74"/>
      <x:c r="M51" s="91"/>
      <x:c r="N51" s="85"/>
      <x:c r="P51" s="86"/>
      <x:c r="Q51" s="32"/>
    </x:row>
    <x:row r="52">
      <x:c r="A52" s="87"/>
      <x:c r="D52" s="32"/>
      <x:c r="I52" s="74"/>
      <x:c r="J52" s="74"/>
      <x:c r="K52" s="74"/>
      <x:c r="L52" s="74"/>
      <x:c r="M52" s="91"/>
      <x:c r="N52" s="85"/>
      <x:c r="P52" s="86"/>
      <x:c r="Q52" s="32"/>
    </x:row>
    <x:row r="53">
      <x:c r="A53" s="87"/>
      <x:c r="D53" s="32"/>
      <x:c r="I53" s="74"/>
      <x:c r="J53" s="74"/>
      <x:c r="K53" s="74"/>
      <x:c r="L53" s="74"/>
      <x:c r="M53" s="91"/>
      <x:c r="N53" s="85"/>
      <x:c r="P53" s="86"/>
      <x:c r="Q53" s="32"/>
    </x:row>
    <x:row r="54">
      <x:c r="A54" s="87"/>
      <x:c r="D54" s="32"/>
      <x:c r="I54" s="74"/>
      <x:c r="J54" s="74"/>
      <x:c r="K54" s="74"/>
      <x:c r="L54" s="74"/>
      <x:c r="M54" s="91"/>
      <x:c r="N54" s="85"/>
      <x:c r="P54" s="86"/>
      <x:c r="Q54" s="32"/>
    </x:row>
    <x:row r="55">
      <x:c r="A55" s="87"/>
      <x:c r="D55" s="32"/>
      <x:c r="I55" s="74"/>
      <x:c r="J55" s="74"/>
      <x:c r="K55" s="74"/>
      <x:c r="L55" s="74"/>
      <x:c r="M55" s="91"/>
      <x:c r="N55" s="85"/>
      <x:c r="P55" s="86"/>
      <x:c r="Q55" s="32"/>
    </x:row>
    <x:row r="56">
      <x:c r="A56" s="87"/>
      <x:c r="D56" s="32"/>
      <x:c r="I56" s="74"/>
      <x:c r="J56" s="74"/>
      <x:c r="K56" s="74"/>
      <x:c r="L56" s="74"/>
      <x:c r="M56" s="91"/>
      <x:c r="N56" s="85"/>
      <x:c r="P56" s="86"/>
      <x:c r="Q56" s="32"/>
    </x:row>
    <x:row r="57">
      <x:c r="A57" s="87"/>
      <x:c r="D57" s="32"/>
      <x:c r="I57" s="74"/>
      <x:c r="J57" s="74"/>
      <x:c r="K57" s="74"/>
      <x:c r="L57" s="74"/>
      <x:c r="M57" s="91"/>
      <x:c r="N57" s="85"/>
      <x:c r="P57" s="86"/>
      <x:c r="Q57" s="32"/>
    </x:row>
    <x:row r="58">
      <x:c r="A58" s="87"/>
      <x:c r="D58" s="32"/>
      <x:c r="I58" s="74"/>
      <x:c r="J58" s="74"/>
      <x:c r="K58" s="74"/>
      <x:c r="L58" s="74"/>
      <x:c r="M58" s="91"/>
      <x:c r="N58" s="85"/>
      <x:c r="P58" s="86"/>
      <x:c r="Q58" s="32"/>
    </x:row>
    <x:row r="59">
      <x:c r="A59" s="87"/>
      <x:c r="D59" s="32"/>
      <x:c r="I59" s="74"/>
      <x:c r="J59" s="74"/>
      <x:c r="K59" s="74"/>
      <x:c r="L59" s="74"/>
      <x:c r="M59" s="91"/>
      <x:c r="N59" s="85"/>
      <x:c r="P59" s="86"/>
      <x:c r="Q59" s="32"/>
    </x:row>
    <x:row r="60">
      <x:c r="A60" s="87"/>
      <x:c r="D60" s="32"/>
      <x:c r="I60" s="74"/>
      <x:c r="J60" s="74"/>
      <x:c r="K60" s="74"/>
      <x:c r="L60" s="74"/>
      <x:c r="M60" s="91"/>
      <x:c r="N60" s="85"/>
      <x:c r="P60" s="86"/>
      <x:c r="Q60" s="32"/>
    </x:row>
    <x:row r="61">
      <x:c r="A61" s="87"/>
      <x:c r="D61" s="32"/>
      <x:c r="I61" s="74"/>
      <x:c r="J61" s="74"/>
      <x:c r="K61" s="74"/>
      <x:c r="L61" s="74"/>
      <x:c r="M61" s="91"/>
      <x:c r="N61" s="85"/>
      <x:c r="P61" s="86"/>
      <x:c r="Q61" s="32"/>
    </x:row>
    <x:row r="62">
      <x:c r="A62" s="87"/>
      <x:c r="D62" s="32"/>
      <x:c r="I62" s="74"/>
      <x:c r="J62" s="74"/>
      <x:c r="K62" s="74"/>
      <x:c r="L62" s="74"/>
      <x:c r="M62" s="91"/>
      <x:c r="N62" s="85"/>
      <x:c r="P62" s="86"/>
      <x:c r="Q62" s="32"/>
    </x:row>
    <x:row r="63">
      <x:c r="A63" s="87"/>
      <x:c r="D63" s="32"/>
      <x:c r="I63" s="74"/>
      <x:c r="J63" s="74"/>
      <x:c r="K63" s="74"/>
      <x:c r="L63" s="74"/>
      <x:c r="M63" s="91"/>
      <x:c r="N63" s="85"/>
      <x:c r="P63" s="86"/>
      <x:c r="Q63" s="32"/>
    </x:row>
    <x:row r="64">
      <x:c r="A64" s="87"/>
      <x:c r="D64" s="32"/>
      <x:c r="I64" s="74"/>
      <x:c r="J64" s="74"/>
      <x:c r="K64" s="74"/>
      <x:c r="L64" s="74"/>
      <x:c r="M64" s="91"/>
      <x:c r="N64" s="85"/>
      <x:c r="P64" s="86"/>
      <x:c r="Q64" s="32"/>
    </x:row>
    <x:row r="65">
      <x:c r="A65" s="87"/>
      <x:c r="D65" s="32"/>
      <x:c r="I65" s="74"/>
      <x:c r="J65" s="74"/>
      <x:c r="K65" s="74"/>
      <x:c r="L65" s="74"/>
      <x:c r="M65" s="91"/>
      <x:c r="N65" s="85"/>
      <x:c r="P65" s="86"/>
      <x:c r="Q65" s="32"/>
    </x:row>
    <x:row r="66">
      <x:c r="A66" s="87"/>
      <x:c r="D66" s="32"/>
      <x:c r="I66" s="74"/>
      <x:c r="J66" s="74"/>
      <x:c r="K66" s="74"/>
      <x:c r="L66" s="74"/>
      <x:c r="M66" s="91"/>
      <x:c r="N66" s="85"/>
      <x:c r="P66" s="86"/>
      <x:c r="Q66" s="32"/>
    </x:row>
    <x:row r="67">
      <x:c r="A67" s="87"/>
      <x:c r="D67" s="32"/>
      <x:c r="I67" s="74"/>
      <x:c r="J67" s="74"/>
      <x:c r="K67" s="74"/>
      <x:c r="L67" s="74"/>
      <x:c r="M67" s="91"/>
      <x:c r="N67" s="85"/>
      <x:c r="P67" s="86"/>
      <x:c r="Q67" s="32"/>
    </x:row>
    <x:row r="68">
      <x:c r="A68" s="87"/>
      <x:c r="D68" s="32"/>
      <x:c r="I68" s="74"/>
      <x:c r="J68" s="74"/>
      <x:c r="K68" s="74"/>
      <x:c r="L68" s="74"/>
      <x:c r="M68" s="91"/>
      <x:c r="N68" s="85"/>
      <x:c r="P68" s="86"/>
      <x:c r="Q68" s="32"/>
    </x:row>
    <x:row r="69">
      <x:c r="A69" s="87"/>
      <x:c r="D69" s="32"/>
      <x:c r="I69" s="74"/>
      <x:c r="J69" s="74"/>
      <x:c r="K69" s="74"/>
      <x:c r="L69" s="74"/>
      <x:c r="M69" s="91"/>
      <x:c r="N69" s="85"/>
      <x:c r="P69" s="86"/>
      <x:c r="Q69" s="32"/>
    </x:row>
    <x:row r="70">
      <x:c r="A70" s="87"/>
      <x:c r="D70" s="32"/>
      <x:c r="I70" s="74"/>
      <x:c r="J70" s="74"/>
      <x:c r="K70" s="74"/>
      <x:c r="L70" s="74"/>
      <x:c r="M70" s="91"/>
      <x:c r="N70" s="85"/>
      <x:c r="P70" s="86"/>
      <x:c r="Q70" s="32"/>
    </x:row>
    <x:row r="71">
      <x:c r="A71" s="87"/>
      <x:c r="D71" s="32"/>
      <x:c r="I71" s="74"/>
      <x:c r="J71" s="74"/>
      <x:c r="K71" s="74"/>
      <x:c r="L71" s="74"/>
      <x:c r="M71" s="91"/>
      <x:c r="N71" s="85"/>
      <x:c r="P71" s="86"/>
      <x:c r="Q71" s="32"/>
    </x:row>
    <x:row r="72">
      <x:c r="A72" s="87"/>
      <x:c r="D72" s="32"/>
      <x:c r="I72" s="74"/>
      <x:c r="J72" s="74"/>
      <x:c r="K72" s="74"/>
      <x:c r="L72" s="74"/>
      <x:c r="M72" s="91"/>
      <x:c r="N72" s="85"/>
      <x:c r="P72" s="86"/>
      <x:c r="Q72" s="32"/>
    </x:row>
    <x:row r="73">
      <x:c r="A73" s="87"/>
      <x:c r="D73" s="32"/>
      <x:c r="I73" s="74"/>
      <x:c r="J73" s="74"/>
      <x:c r="K73" s="74"/>
      <x:c r="L73" s="74"/>
      <x:c r="M73" s="91"/>
      <x:c r="N73" s="85"/>
      <x:c r="P73" s="86"/>
      <x:c r="Q73" s="32"/>
    </x:row>
    <x:row r="74">
      <x:c r="A74" s="87"/>
      <x:c r="D74" s="32"/>
      <x:c r="I74" s="74"/>
      <x:c r="J74" s="74"/>
      <x:c r="K74" s="74"/>
      <x:c r="L74" s="74"/>
      <x:c r="M74" s="91"/>
      <x:c r="N74" s="85"/>
      <x:c r="P74" s="86"/>
      <x:c r="Q74" s="32"/>
    </x:row>
    <x:row r="75">
      <x:c r="A75" s="87"/>
      <x:c r="D75" s="32"/>
      <x:c r="I75" s="74"/>
      <x:c r="J75" s="74"/>
      <x:c r="K75" s="74"/>
      <x:c r="L75" s="74"/>
      <x:c r="M75" s="91"/>
      <x:c r="N75" s="85"/>
      <x:c r="P75" s="86"/>
      <x:c r="Q75" s="32"/>
    </x:row>
    <x:row r="76">
      <x:c r="A76" s="87"/>
      <x:c r="D76" s="32"/>
      <x:c r="I76" s="74"/>
      <x:c r="J76" s="74"/>
      <x:c r="K76" s="74"/>
      <x:c r="L76" s="74"/>
      <x:c r="M76" s="91"/>
      <x:c r="N76" s="85"/>
      <x:c r="P76" s="86"/>
      <x:c r="Q76" s="32"/>
    </x:row>
    <x:row r="77">
      <x:c r="A77" s="87"/>
      <x:c r="D77" s="32"/>
      <x:c r="I77" s="74"/>
      <x:c r="J77" s="74"/>
      <x:c r="K77" s="74"/>
      <x:c r="L77" s="74"/>
      <x:c r="M77" s="91"/>
      <x:c r="N77" s="85"/>
      <x:c r="P77" s="86"/>
      <x:c r="Q77" s="32"/>
    </x:row>
    <x:row r="78">
      <x:c r="A78" s="87"/>
      <x:c r="D78" s="32"/>
      <x:c r="I78" s="74"/>
      <x:c r="J78" s="74"/>
      <x:c r="K78" s="74"/>
      <x:c r="L78" s="74"/>
      <x:c r="M78" s="91"/>
      <x:c r="N78" s="85"/>
      <x:c r="P78" s="86"/>
      <x:c r="Q78" s="32"/>
    </x:row>
    <x:row r="79">
      <x:c r="A79" s="87"/>
      <x:c r="D79" s="32"/>
      <x:c r="I79" s="74"/>
      <x:c r="J79" s="74"/>
      <x:c r="K79" s="74"/>
      <x:c r="L79" s="74"/>
      <x:c r="M79" s="91"/>
      <x:c r="N79" s="85"/>
      <x:c r="P79" s="86"/>
      <x:c r="Q79" s="32"/>
    </x:row>
    <x:row r="80">
      <x:c r="A80" s="87"/>
      <x:c r="D80" s="32"/>
      <x:c r="I80" s="74"/>
      <x:c r="J80" s="74"/>
      <x:c r="K80" s="74"/>
      <x:c r="L80" s="74"/>
      <x:c r="M80" s="91"/>
      <x:c r="N80" s="85"/>
      <x:c r="P80" s="86"/>
      <x:c r="Q80" s="32"/>
    </x:row>
    <x:row r="81">
      <x:c r="A81" s="87"/>
      <x:c r="D81" s="32"/>
      <x:c r="I81" s="74"/>
      <x:c r="J81" s="74"/>
      <x:c r="K81" s="74"/>
      <x:c r="L81" s="74"/>
      <x:c r="M81" s="91"/>
      <x:c r="N81" s="85"/>
      <x:c r="P81" s="86"/>
      <x:c r="Q81" s="32"/>
    </x:row>
    <x:row r="82">
      <x:c r="A82" s="87"/>
      <x:c r="D82" s="32"/>
      <x:c r="I82" s="74"/>
      <x:c r="J82" s="74"/>
      <x:c r="K82" s="74"/>
      <x:c r="L82" s="74"/>
      <x:c r="M82" s="91"/>
      <x:c r="N82" s="85"/>
      <x:c r="P82" s="86"/>
      <x:c r="Q82" s="32"/>
    </x:row>
    <x:row r="83">
      <x:c r="A83" s="87"/>
      <x:c r="D83" s="32"/>
      <x:c r="I83" s="74"/>
      <x:c r="J83" s="74"/>
      <x:c r="K83" s="74"/>
      <x:c r="L83" s="74"/>
      <x:c r="M83" s="91"/>
      <x:c r="N83" s="85"/>
      <x:c r="P83" s="86"/>
      <x:c r="Q83" s="32"/>
    </x:row>
    <x:row r="84">
      <x:c r="A84" s="87"/>
      <x:c r="D84" s="32"/>
      <x:c r="I84" s="74"/>
      <x:c r="J84" s="74"/>
      <x:c r="K84" s="74"/>
      <x:c r="L84" s="74"/>
      <x:c r="M84" s="91"/>
      <x:c r="N84" s="85"/>
      <x:c r="P84" s="86"/>
      <x:c r="Q84" s="32"/>
    </x:row>
    <x:row r="85">
      <x:c r="A85" s="87"/>
      <x:c r="D85" s="32"/>
      <x:c r="I85" s="74"/>
      <x:c r="J85" s="74"/>
      <x:c r="K85" s="74"/>
      <x:c r="L85" s="74"/>
      <x:c r="M85" s="91"/>
      <x:c r="N85" s="85"/>
      <x:c r="P85" s="86"/>
      <x:c r="Q85" s="32"/>
    </x:row>
    <x:row r="86">
      <x:c r="A86" s="87"/>
      <x:c r="D86" s="32"/>
      <x:c r="I86" s="74"/>
      <x:c r="J86" s="74"/>
      <x:c r="K86" s="74"/>
      <x:c r="L86" s="74"/>
      <x:c r="M86" s="91"/>
      <x:c r="N86" s="85"/>
      <x:c r="P86" s="86"/>
      <x:c r="Q86" s="32"/>
    </x:row>
    <x:row r="87">
      <x:c r="A87" s="87"/>
      <x:c r="D87" s="32"/>
      <x:c r="I87" s="74"/>
      <x:c r="J87" s="74"/>
      <x:c r="K87" s="74"/>
      <x:c r="L87" s="74"/>
      <x:c r="M87" s="91"/>
      <x:c r="N87" s="85"/>
      <x:c r="P87" s="86"/>
      <x:c r="Q87" s="32"/>
    </x:row>
    <x:row r="88">
      <x:c r="A88" s="87"/>
      <x:c r="D88" s="32"/>
      <x:c r="I88" s="74"/>
      <x:c r="J88" s="74"/>
      <x:c r="K88" s="74"/>
      <x:c r="L88" s="74"/>
      <x:c r="M88" s="91"/>
      <x:c r="N88" s="85"/>
      <x:c r="P88" s="86"/>
      <x:c r="Q88" s="32"/>
    </x:row>
    <x:row r="89">
      <x:c r="A89" s="87"/>
      <x:c r="D89" s="32"/>
      <x:c r="I89" s="74"/>
      <x:c r="J89" s="74"/>
      <x:c r="K89" s="74"/>
      <x:c r="L89" s="74"/>
      <x:c r="M89" s="91"/>
      <x:c r="N89" s="85"/>
      <x:c r="P89" s="86"/>
      <x:c r="Q89" s="32"/>
    </x:row>
    <x:row r="90">
      <x:c r="A90" s="87"/>
      <x:c r="D90" s="32"/>
      <x:c r="I90" s="74"/>
      <x:c r="J90" s="74"/>
      <x:c r="K90" s="74"/>
      <x:c r="L90" s="74"/>
      <x:c r="M90" s="91"/>
      <x:c r="N90" s="85"/>
      <x:c r="P90" s="86"/>
      <x:c r="Q90" s="32"/>
    </x:row>
    <x:row r="91">
      <x:c r="A91" s="87"/>
      <x:c r="D91" s="32"/>
      <x:c r="I91" s="74"/>
      <x:c r="J91" s="74"/>
      <x:c r="K91" s="74"/>
      <x:c r="L91" s="74"/>
      <x:c r="M91" s="91"/>
      <x:c r="N91" s="85"/>
      <x:c r="P91" s="86"/>
      <x:c r="Q91" s="32"/>
    </x:row>
    <x:row r="92">
      <x:c r="A92" s="87"/>
      <x:c r="D92" s="32"/>
      <x:c r="I92" s="74"/>
      <x:c r="J92" s="74"/>
      <x:c r="K92" s="74"/>
      <x:c r="L92" s="74"/>
      <x:c r="M92" s="91"/>
      <x:c r="N92" s="85"/>
      <x:c r="P92" s="86"/>
      <x:c r="Q92" s="32"/>
    </x:row>
    <x:row r="93">
      <x:c r="A93" s="87"/>
      <x:c r="D93" s="32"/>
      <x:c r="I93" s="74"/>
      <x:c r="J93" s="74"/>
      <x:c r="K93" s="74"/>
      <x:c r="L93" s="74"/>
      <x:c r="M93" s="91"/>
      <x:c r="N93" s="85"/>
      <x:c r="P93" s="86"/>
      <x:c r="Q93" s="32"/>
    </x:row>
    <x:row r="94">
      <x:c r="A94" s="87"/>
      <x:c r="D94" s="32"/>
      <x:c r="I94" s="74"/>
      <x:c r="J94" s="74"/>
      <x:c r="K94" s="74"/>
      <x:c r="L94" s="74"/>
      <x:c r="M94" s="91"/>
      <x:c r="N94" s="85"/>
      <x:c r="P94" s="86"/>
      <x:c r="Q94" s="32"/>
    </x:row>
    <x:row r="95">
      <x:c r="A95" s="87"/>
      <x:c r="D95" s="32"/>
      <x:c r="I95" s="74"/>
      <x:c r="J95" s="74"/>
      <x:c r="K95" s="74"/>
      <x:c r="L95" s="74"/>
      <x:c r="M95" s="91"/>
      <x:c r="N95" s="85"/>
      <x:c r="P95" s="86"/>
      <x:c r="Q95" s="32"/>
    </x:row>
    <x:row r="96">
      <x:c r="A96" s="87"/>
      <x:c r="D96" s="32"/>
      <x:c r="I96" s="74"/>
      <x:c r="J96" s="74"/>
      <x:c r="K96" s="74"/>
      <x:c r="L96" s="74"/>
      <x:c r="M96" s="91"/>
      <x:c r="N96" s="85"/>
      <x:c r="P96" s="86"/>
      <x:c r="Q96" s="32"/>
    </x:row>
    <x:row r="97">
      <x:c r="A97" s="87"/>
      <x:c r="D97" s="32"/>
      <x:c r="I97" s="74"/>
      <x:c r="J97" s="74"/>
      <x:c r="K97" s="74"/>
      <x:c r="L97" s="74"/>
      <x:c r="M97" s="91"/>
      <x:c r="N97" s="85"/>
      <x:c r="P97" s="86"/>
      <x:c r="Q97" s="32"/>
    </x:row>
    <x:row r="98">
      <x:c r="A98" s="87"/>
      <x:c r="D98" s="32"/>
      <x:c r="I98" s="74"/>
      <x:c r="J98" s="74"/>
      <x:c r="K98" s="74"/>
      <x:c r="L98" s="74"/>
      <x:c r="M98" s="91"/>
      <x:c r="N98" s="85"/>
      <x:c r="P98" s="86"/>
      <x:c r="Q98" s="32"/>
    </x:row>
    <x:row r="99">
      <x:c r="A99" s="87"/>
      <x:c r="D99" s="32"/>
      <x:c r="I99" s="74"/>
      <x:c r="J99" s="74"/>
      <x:c r="K99" s="74"/>
      <x:c r="L99" s="74"/>
      <x:c r="M99" s="91"/>
      <x:c r="N99" s="85"/>
      <x:c r="P99" s="86"/>
      <x:c r="Q99" s="32"/>
    </x:row>
    <x:row r="100">
      <x:c r="A100" s="87"/>
      <x:c r="D100" s="32"/>
      <x:c r="I100" s="74"/>
      <x:c r="J100" s="74"/>
      <x:c r="K100" s="74"/>
      <x:c r="L100" s="74"/>
      <x:c r="M100" s="91"/>
      <x:c r="N100" s="85"/>
      <x:c r="P100" s="86"/>
      <x:c r="Q100" s="32"/>
    </x:row>
    <x:row r="101">
      <x:c r="A101" s="87"/>
      <x:c r="D101" s="32"/>
      <x:c r="I101" s="74"/>
      <x:c r="J101" s="74"/>
      <x:c r="K101" s="74"/>
      <x:c r="L101" s="74"/>
      <x:c r="M101" s="91"/>
      <x:c r="N101" s="85"/>
      <x:c r="P101" s="86"/>
      <x:c r="Q101" s="32"/>
    </x:row>
    <x:row r="102">
      <x:c r="A102" s="87"/>
      <x:c r="D102" s="32"/>
      <x:c r="I102" s="74"/>
      <x:c r="J102" s="74"/>
      <x:c r="K102" s="74"/>
      <x:c r="L102" s="74"/>
      <x:c r="M102" s="91"/>
      <x:c r="N102" s="85"/>
      <x:c r="P102" s="86"/>
      <x:c r="Q102" s="32"/>
    </x:row>
    <x:row r="103">
      <x:c r="A103" s="87"/>
      <x:c r="D103" s="32"/>
      <x:c r="I103" s="74"/>
      <x:c r="J103" s="74"/>
      <x:c r="K103" s="74"/>
      <x:c r="L103" s="74"/>
      <x:c r="M103" s="91"/>
      <x:c r="N103" s="85"/>
      <x:c r="P103" s="86"/>
      <x:c r="Q103" s="32"/>
    </x:row>
    <x:row r="104">
      <x:c r="A104" s="87"/>
      <x:c r="D104" s="32"/>
      <x:c r="I104" s="74"/>
      <x:c r="J104" s="74"/>
      <x:c r="K104" s="74"/>
      <x:c r="L104" s="74"/>
      <x:c r="M104" s="91"/>
      <x:c r="N104" s="85"/>
      <x:c r="P104" s="86"/>
      <x:c r="Q104" s="32"/>
    </x:row>
    <x:row r="105">
      <x:c r="A105" s="87"/>
      <x:c r="D105" s="32"/>
      <x:c r="I105" s="74"/>
      <x:c r="J105" s="74"/>
      <x:c r="K105" s="74"/>
      <x:c r="L105" s="74"/>
      <x:c r="M105" s="91"/>
      <x:c r="N105" s="85"/>
      <x:c r="P105" s="86"/>
      <x:c r="Q105" s="32"/>
    </x:row>
    <x:row r="106">
      <x:c r="A106" s="87"/>
      <x:c r="D106" s="32"/>
      <x:c r="I106" s="74"/>
      <x:c r="J106" s="74"/>
      <x:c r="K106" s="74"/>
      <x:c r="L106" s="74"/>
      <x:c r="M106" s="91"/>
      <x:c r="N106" s="85"/>
      <x:c r="P106" s="86"/>
      <x:c r="Q106" s="32"/>
    </x:row>
    <x:row r="107">
      <x:c r="A107" s="87"/>
      <x:c r="D107" s="32"/>
      <x:c r="I107" s="74"/>
      <x:c r="J107" s="74"/>
      <x:c r="K107" s="74"/>
      <x:c r="L107" s="74"/>
      <x:c r="M107" s="91"/>
      <x:c r="N107" s="85"/>
      <x:c r="P107" s="86"/>
      <x:c r="Q107" s="32"/>
    </x:row>
    <x:row r="108">
      <x:c r="A108" s="87"/>
      <x:c r="D108" s="32"/>
      <x:c r="I108" s="74"/>
      <x:c r="J108" s="74"/>
      <x:c r="K108" s="74"/>
      <x:c r="L108" s="74"/>
      <x:c r="M108" s="91"/>
      <x:c r="N108" s="85"/>
      <x:c r="P108" s="86"/>
      <x:c r="Q108" s="32"/>
    </x:row>
    <x:row r="109">
      <x:c r="A109" s="87"/>
      <x:c r="D109" s="32"/>
      <x:c r="I109" s="74"/>
      <x:c r="J109" s="74"/>
      <x:c r="K109" s="74"/>
      <x:c r="L109" s="74"/>
      <x:c r="M109" s="91"/>
      <x:c r="N109" s="85"/>
      <x:c r="P109" s="86"/>
      <x:c r="Q109" s="32"/>
    </x:row>
    <x:row r="110">
      <x:c r="A110" s="87"/>
      <x:c r="D110" s="32"/>
      <x:c r="I110" s="74"/>
      <x:c r="J110" s="74"/>
      <x:c r="K110" s="74"/>
      <x:c r="L110" s="74"/>
      <x:c r="M110" s="91"/>
      <x:c r="N110" s="85"/>
      <x:c r="P110" s="86"/>
      <x:c r="Q110" s="32"/>
    </x:row>
    <x:row r="111">
      <x:c r="A111" s="87"/>
      <x:c r="D111" s="32"/>
      <x:c r="I111" s="74"/>
      <x:c r="J111" s="74"/>
      <x:c r="K111" s="74"/>
      <x:c r="L111" s="74"/>
      <x:c r="M111" s="91"/>
      <x:c r="N111" s="85"/>
      <x:c r="P111" s="86"/>
      <x:c r="Q111" s="32"/>
    </x:row>
    <x:row r="112">
      <x:c r="A112" s="87"/>
      <x:c r="D112" s="32"/>
      <x:c r="I112" s="74"/>
      <x:c r="J112" s="74"/>
      <x:c r="K112" s="74"/>
      <x:c r="L112" s="74"/>
      <x:c r="M112" s="91"/>
      <x:c r="N112" s="85"/>
      <x:c r="P112" s="86"/>
      <x:c r="Q112" s="32"/>
    </x:row>
    <x:row r="113">
      <x:c r="A113" s="87"/>
      <x:c r="D113" s="32"/>
      <x:c r="I113" s="74"/>
      <x:c r="J113" s="74"/>
      <x:c r="K113" s="74"/>
      <x:c r="L113" s="74"/>
      <x:c r="M113" s="91"/>
      <x:c r="N113" s="85"/>
      <x:c r="P113" s="86"/>
      <x:c r="Q113" s="32"/>
    </x:row>
    <x:row r="114">
      <x:c r="A114" s="87"/>
      <x:c r="D114" s="32"/>
      <x:c r="I114" s="74"/>
      <x:c r="J114" s="74"/>
      <x:c r="K114" s="74"/>
      <x:c r="L114" s="74"/>
      <x:c r="M114" s="91"/>
      <x:c r="N114" s="85"/>
      <x:c r="P114" s="86"/>
      <x:c r="Q114" s="32"/>
    </x:row>
    <x:row r="115">
      <x:c r="A115" s="87"/>
      <x:c r="D115" s="32"/>
      <x:c r="I115" s="74"/>
      <x:c r="J115" s="74"/>
      <x:c r="K115" s="74"/>
      <x:c r="L115" s="74"/>
      <x:c r="M115" s="91"/>
      <x:c r="N115" s="85"/>
      <x:c r="P115" s="86"/>
      <x:c r="Q115" s="32"/>
    </x:row>
    <x:row r="116">
      <x:c r="A116" s="87"/>
      <x:c r="D116" s="32"/>
      <x:c r="I116" s="74"/>
      <x:c r="J116" s="74"/>
      <x:c r="K116" s="74"/>
      <x:c r="L116" s="74"/>
      <x:c r="M116" s="91"/>
      <x:c r="N116" s="85"/>
      <x:c r="P116" s="86"/>
      <x:c r="Q116" s="32"/>
    </x:row>
    <x:row r="117">
      <x:c r="A117" s="87"/>
      <x:c r="D117" s="32"/>
      <x:c r="I117" s="74"/>
      <x:c r="J117" s="74"/>
      <x:c r="K117" s="74"/>
      <x:c r="L117" s="74"/>
      <x:c r="M117" s="91"/>
      <x:c r="N117" s="85"/>
      <x:c r="P117" s="86"/>
      <x:c r="Q117" s="32"/>
    </x:row>
    <x:row r="118">
      <x:c r="A118" s="87"/>
      <x:c r="D118" s="32"/>
      <x:c r="I118" s="74"/>
      <x:c r="J118" s="74"/>
      <x:c r="K118" s="74"/>
      <x:c r="L118" s="74"/>
      <x:c r="M118" s="91"/>
      <x:c r="N118" s="85"/>
      <x:c r="P118" s="86"/>
      <x:c r="Q118" s="32"/>
    </x:row>
    <x:row r="119">
      <x:c r="A119" s="87"/>
      <x:c r="D119" s="32"/>
      <x:c r="I119" s="74"/>
      <x:c r="J119" s="74"/>
      <x:c r="K119" s="74"/>
      <x:c r="L119" s="74"/>
      <x:c r="M119" s="91"/>
      <x:c r="N119" s="85"/>
      <x:c r="P119" s="86"/>
      <x:c r="Q119" s="32"/>
    </x:row>
    <x:row r="120">
      <x:c r="A120" s="87"/>
      <x:c r="D120" s="32"/>
      <x:c r="I120" s="74"/>
      <x:c r="J120" s="74"/>
      <x:c r="K120" s="74"/>
      <x:c r="L120" s="74"/>
      <x:c r="M120" s="91"/>
      <x:c r="N120" s="85"/>
      <x:c r="P120" s="86"/>
      <x:c r="Q120" s="32"/>
    </x:row>
    <x:row r="121">
      <x:c r="A121" s="87"/>
      <x:c r="D121" s="32"/>
      <x:c r="I121" s="74"/>
      <x:c r="J121" s="74"/>
      <x:c r="K121" s="74"/>
      <x:c r="L121" s="74"/>
      <x:c r="M121" s="91"/>
      <x:c r="N121" s="85"/>
      <x:c r="P121" s="86"/>
      <x:c r="Q121" s="32"/>
    </x:row>
    <x:row r="122">
      <x:c r="A122" s="87"/>
      <x:c r="D122" s="32"/>
      <x:c r="I122" s="74"/>
      <x:c r="J122" s="74"/>
      <x:c r="K122" s="74"/>
      <x:c r="L122" s="74"/>
      <x:c r="M122" s="91"/>
      <x:c r="N122" s="85"/>
      <x:c r="P122" s="86"/>
      <x:c r="Q122" s="32"/>
    </x:row>
    <x:row r="123">
      <x:c r="A123" s="87"/>
      <x:c r="D123" s="32"/>
      <x:c r="I123" s="74"/>
      <x:c r="J123" s="74"/>
      <x:c r="K123" s="74"/>
      <x:c r="L123" s="74"/>
      <x:c r="M123" s="91"/>
      <x:c r="N123" s="85"/>
      <x:c r="P123" s="86"/>
      <x:c r="Q123" s="32"/>
    </x:row>
    <x:row r="124">
      <x:c r="A124" s="87"/>
      <x:c r="D124" s="32"/>
      <x:c r="I124" s="74"/>
      <x:c r="J124" s="74"/>
      <x:c r="K124" s="74"/>
      <x:c r="L124" s="74"/>
      <x:c r="M124" s="91"/>
      <x:c r="N124" s="85"/>
      <x:c r="P124" s="86"/>
      <x:c r="Q124" s="32"/>
    </x:row>
    <x:row r="125">
      <x:c r="A125" s="87"/>
      <x:c r="D125" s="32"/>
      <x:c r="I125" s="74"/>
      <x:c r="J125" s="74"/>
      <x:c r="K125" s="74"/>
      <x:c r="L125" s="74"/>
      <x:c r="M125" s="91"/>
      <x:c r="N125" s="85"/>
      <x:c r="P125" s="86"/>
      <x:c r="Q125" s="32"/>
    </x:row>
    <x:row r="126">
      <x:c r="A126" s="87"/>
      <x:c r="D126" s="32"/>
      <x:c r="I126" s="74"/>
      <x:c r="J126" s="74"/>
      <x:c r="K126" s="74"/>
      <x:c r="L126" s="74"/>
      <x:c r="M126" s="91"/>
      <x:c r="N126" s="85"/>
      <x:c r="P126" s="86"/>
      <x:c r="Q126" s="32"/>
    </x:row>
    <x:row r="127">
      <x:c r="A127" s="87"/>
      <x:c r="D127" s="32"/>
      <x:c r="I127" s="74"/>
      <x:c r="J127" s="74"/>
      <x:c r="K127" s="74"/>
      <x:c r="L127" s="74"/>
      <x:c r="M127" s="91"/>
      <x:c r="N127" s="85"/>
      <x:c r="P127" s="86"/>
      <x:c r="Q127" s="32"/>
    </x:row>
    <x:row r="128">
      <x:c r="A128" s="87"/>
      <x:c r="D128" s="32"/>
      <x:c r="I128" s="74"/>
      <x:c r="J128" s="74"/>
      <x:c r="K128" s="74"/>
      <x:c r="L128" s="74"/>
      <x:c r="M128" s="91"/>
      <x:c r="N128" s="85"/>
      <x:c r="P128" s="86"/>
      <x:c r="Q128" s="32"/>
    </x:row>
    <x:row r="129">
      <x:c r="A129" s="87"/>
      <x:c r="D129" s="32"/>
      <x:c r="I129" s="74"/>
      <x:c r="J129" s="74"/>
      <x:c r="K129" s="74"/>
      <x:c r="L129" s="74"/>
      <x:c r="M129" s="91"/>
      <x:c r="N129" s="85"/>
      <x:c r="P129" s="86"/>
      <x:c r="Q129" s="32"/>
    </x:row>
    <x:row r="130">
      <x:c r="A130" s="87"/>
      <x:c r="D130" s="32"/>
      <x:c r="I130" s="74"/>
      <x:c r="J130" s="74"/>
      <x:c r="K130" s="74"/>
      <x:c r="L130" s="74"/>
      <x:c r="M130" s="91"/>
      <x:c r="N130" s="85"/>
      <x:c r="P130" s="86"/>
      <x:c r="Q130" s="32"/>
    </x:row>
    <x:row r="131">
      <x:c r="A131" s="87"/>
      <x:c r="D131" s="32"/>
      <x:c r="I131" s="74"/>
      <x:c r="J131" s="74"/>
      <x:c r="K131" s="74"/>
      <x:c r="L131" s="74"/>
      <x:c r="M131" s="91"/>
      <x:c r="N131" s="85"/>
      <x:c r="P131" s="86"/>
      <x:c r="Q131" s="32"/>
    </x:row>
    <x:row r="132">
      <x:c r="A132" s="87"/>
      <x:c r="D132" s="32"/>
      <x:c r="I132" s="74"/>
      <x:c r="J132" s="74"/>
      <x:c r="K132" s="74"/>
      <x:c r="L132" s="74"/>
      <x:c r="M132" s="91"/>
      <x:c r="N132" s="85"/>
      <x:c r="P132" s="86"/>
      <x:c r="Q132" s="32"/>
    </x:row>
    <x:row r="133">
      <x:c r="A133" s="87"/>
      <x:c r="D133" s="32"/>
      <x:c r="I133" s="74"/>
      <x:c r="J133" s="74"/>
      <x:c r="K133" s="74"/>
      <x:c r="L133" s="74"/>
      <x:c r="M133" s="91"/>
      <x:c r="N133" s="85"/>
      <x:c r="P133" s="86"/>
      <x:c r="Q133" s="32"/>
    </x:row>
    <x:row r="134">
      <x:c r="A134" s="87"/>
      <x:c r="D134" s="32"/>
      <x:c r="I134" s="74"/>
      <x:c r="J134" s="74"/>
      <x:c r="K134" s="74"/>
      <x:c r="L134" s="74"/>
      <x:c r="M134" s="91"/>
      <x:c r="N134" s="85"/>
      <x:c r="P134" s="86"/>
      <x:c r="Q134" s="32"/>
    </x:row>
    <x:row r="135">
      <x:c r="A135" s="87"/>
      <x:c r="D135" s="32"/>
      <x:c r="I135" s="74"/>
      <x:c r="J135" s="74"/>
      <x:c r="K135" s="74"/>
      <x:c r="L135" s="74"/>
      <x:c r="M135" s="91"/>
      <x:c r="N135" s="85"/>
      <x:c r="P135" s="86"/>
      <x:c r="Q135" s="32"/>
    </x:row>
    <x:row r="136">
      <x:c r="A136" s="87"/>
      <x:c r="D136" s="32"/>
      <x:c r="I136" s="74"/>
      <x:c r="J136" s="74"/>
      <x:c r="K136" s="74"/>
      <x:c r="L136" s="74"/>
      <x:c r="M136" s="91"/>
      <x:c r="N136" s="85"/>
      <x:c r="P136" s="86"/>
      <x:c r="Q136" s="32"/>
    </x:row>
    <x:row r="137">
      <x:c r="A137" s="87"/>
      <x:c r="D137" s="32"/>
      <x:c r="I137" s="74"/>
      <x:c r="J137" s="74"/>
      <x:c r="K137" s="74"/>
      <x:c r="L137" s="74"/>
      <x:c r="M137" s="91"/>
      <x:c r="N137" s="85"/>
      <x:c r="P137" s="86"/>
      <x:c r="Q137" s="32"/>
    </x:row>
    <x:row r="138">
      <x:c r="A138" s="87"/>
      <x:c r="D138" s="32"/>
      <x:c r="I138" s="74"/>
      <x:c r="J138" s="74"/>
      <x:c r="K138" s="74"/>
      <x:c r="L138" s="74"/>
      <x:c r="M138" s="91"/>
      <x:c r="N138" s="85"/>
      <x:c r="P138" s="86"/>
      <x:c r="Q138" s="32"/>
    </x:row>
    <x:row r="139">
      <x:c r="A139" s="87"/>
      <x:c r="D139" s="32"/>
      <x:c r="I139" s="74"/>
      <x:c r="J139" s="74"/>
      <x:c r="K139" s="74"/>
      <x:c r="L139" s="74"/>
      <x:c r="M139" s="91"/>
      <x:c r="N139" s="85"/>
      <x:c r="P139" s="86"/>
      <x:c r="Q139" s="32"/>
    </x:row>
    <x:row r="140">
      <x:c r="A140" s="87"/>
      <x:c r="D140" s="32"/>
      <x:c r="I140" s="74"/>
      <x:c r="J140" s="74"/>
      <x:c r="K140" s="74"/>
      <x:c r="L140" s="74"/>
      <x:c r="M140" s="91"/>
      <x:c r="N140" s="85"/>
      <x:c r="P140" s="86"/>
      <x:c r="Q140" s="32"/>
    </x:row>
    <x:row r="141">
      <x:c r="A141" s="87"/>
      <x:c r="D141" s="32"/>
      <x:c r="I141" s="74"/>
      <x:c r="J141" s="74"/>
      <x:c r="K141" s="74"/>
      <x:c r="L141" s="74"/>
      <x:c r="M141" s="91"/>
      <x:c r="N141" s="85"/>
      <x:c r="P141" s="86"/>
      <x:c r="Q141" s="32"/>
    </x:row>
    <x:row r="142">
      <x:c r="A142" s="87"/>
      <x:c r="D142" s="32"/>
      <x:c r="I142" s="74"/>
      <x:c r="J142" s="74"/>
      <x:c r="K142" s="74"/>
      <x:c r="L142" s="74"/>
      <x:c r="M142" s="91"/>
      <x:c r="N142" s="85"/>
      <x:c r="P142" s="86"/>
      <x:c r="Q142" s="32"/>
    </x:row>
    <x:row r="143">
      <x:c r="A143" s="87"/>
      <x:c r="D143" s="32"/>
      <x:c r="I143" s="74"/>
      <x:c r="J143" s="74"/>
      <x:c r="K143" s="74"/>
      <x:c r="L143" s="74"/>
      <x:c r="M143" s="91"/>
      <x:c r="N143" s="85"/>
      <x:c r="P143" s="86"/>
      <x:c r="Q143" s="32"/>
    </x:row>
    <x:row r="144">
      <x:c r="A144" s="87"/>
      <x:c r="D144" s="32"/>
      <x:c r="I144" s="74"/>
      <x:c r="J144" s="74"/>
      <x:c r="K144" s="74"/>
      <x:c r="L144" s="74"/>
      <x:c r="M144" s="91"/>
      <x:c r="N144" s="85"/>
      <x:c r="P144" s="86"/>
      <x:c r="Q144" s="32"/>
    </x:row>
    <x:row r="145">
      <x:c r="A145" s="87"/>
      <x:c r="D145" s="32"/>
      <x:c r="I145" s="74"/>
      <x:c r="J145" s="74"/>
      <x:c r="K145" s="74"/>
      <x:c r="L145" s="74"/>
      <x:c r="M145" s="91"/>
      <x:c r="N145" s="85"/>
      <x:c r="P145" s="86"/>
      <x:c r="Q145" s="32"/>
    </x:row>
    <x:row r="146">
      <x:c r="A146" s="87"/>
      <x:c r="D146" s="32"/>
      <x:c r="I146" s="74"/>
      <x:c r="J146" s="74"/>
      <x:c r="K146" s="74"/>
      <x:c r="L146" s="74"/>
      <x:c r="M146" s="91"/>
      <x:c r="N146" s="85"/>
      <x:c r="P146" s="86"/>
      <x:c r="Q146" s="32"/>
    </x:row>
    <x:row r="147">
      <x:c r="A147" s="87"/>
      <x:c r="D147" s="32"/>
      <x:c r="I147" s="74"/>
      <x:c r="J147" s="74"/>
      <x:c r="K147" s="74"/>
      <x:c r="L147" s="74"/>
      <x:c r="M147" s="91"/>
      <x:c r="N147" s="85"/>
      <x:c r="P147" s="86"/>
      <x:c r="Q147" s="32"/>
    </x:row>
    <x:row r="148">
      <x:c r="A148" s="87"/>
      <x:c r="D148" s="32"/>
      <x:c r="I148" s="74"/>
      <x:c r="J148" s="74"/>
      <x:c r="K148" s="74"/>
      <x:c r="L148" s="74"/>
      <x:c r="M148" s="91"/>
      <x:c r="N148" s="85"/>
      <x:c r="P148" s="86"/>
      <x:c r="Q148" s="32"/>
    </x:row>
    <x:row r="149">
      <x:c r="A149" s="87"/>
      <x:c r="D149" s="32"/>
      <x:c r="I149" s="74"/>
      <x:c r="J149" s="74"/>
      <x:c r="K149" s="74"/>
      <x:c r="L149" s="74"/>
      <x:c r="M149" s="91"/>
      <x:c r="N149" s="85"/>
      <x:c r="P149" s="86"/>
      <x:c r="Q149" s="32"/>
    </x:row>
    <x:row r="150">
      <x:c r="A150" s="87"/>
      <x:c r="D150" s="32"/>
      <x:c r="I150" s="74"/>
      <x:c r="J150" s="74"/>
      <x:c r="K150" s="74"/>
      <x:c r="L150" s="74"/>
      <x:c r="M150" s="91"/>
      <x:c r="N150" s="85"/>
      <x:c r="P150" s="86"/>
      <x:c r="Q150" s="32"/>
    </x:row>
    <x:row r="151">
      <x:c r="A151" s="87"/>
      <x:c r="D151" s="32"/>
      <x:c r="I151" s="74"/>
      <x:c r="J151" s="74"/>
      <x:c r="K151" s="74"/>
      <x:c r="L151" s="74"/>
      <x:c r="M151" s="91"/>
      <x:c r="N151" s="85"/>
      <x:c r="P151" s="86"/>
      <x:c r="Q151" s="32"/>
    </x:row>
    <x:row r="152">
      <x:c r="A152" s="87"/>
      <x:c r="D152" s="32"/>
      <x:c r="I152" s="74"/>
      <x:c r="J152" s="74"/>
      <x:c r="K152" s="74"/>
      <x:c r="L152" s="74"/>
      <x:c r="M152" s="91"/>
      <x:c r="N152" s="85"/>
      <x:c r="P152" s="86"/>
      <x:c r="Q152" s="32"/>
    </x:row>
    <x:row r="153">
      <x:c r="A153" s="87"/>
      <x:c r="D153" s="32"/>
      <x:c r="I153" s="74"/>
      <x:c r="J153" s="74"/>
      <x:c r="K153" s="74"/>
      <x:c r="L153" s="74"/>
      <x:c r="M153" s="91"/>
      <x:c r="N153" s="85"/>
      <x:c r="P153" s="86"/>
      <x:c r="Q153" s="32"/>
    </x:row>
    <x:row r="154">
      <x:c r="A154" s="87"/>
      <x:c r="D154" s="32"/>
      <x:c r="I154" s="74"/>
      <x:c r="J154" s="74"/>
      <x:c r="K154" s="74"/>
      <x:c r="L154" s="74"/>
      <x:c r="M154" s="91"/>
      <x:c r="N154" s="85"/>
      <x:c r="P154" s="86"/>
      <x:c r="Q154" s="32"/>
    </x:row>
    <x:row r="155">
      <x:c r="A155" s="87"/>
      <x:c r="D155" s="32"/>
      <x:c r="I155" s="74"/>
      <x:c r="J155" s="74"/>
      <x:c r="K155" s="74"/>
      <x:c r="L155" s="74"/>
      <x:c r="M155" s="91"/>
      <x:c r="N155" s="85"/>
      <x:c r="P155" s="86"/>
      <x:c r="Q155" s="32"/>
    </x:row>
    <x:row r="156">
      <x:c r="A156" s="87"/>
      <x:c r="D156" s="32"/>
      <x:c r="I156" s="74"/>
      <x:c r="J156" s="74"/>
      <x:c r="K156" s="74"/>
      <x:c r="L156" s="74"/>
      <x:c r="M156" s="91"/>
      <x:c r="N156" s="85"/>
      <x:c r="P156" s="86"/>
      <x:c r="Q156" s="32"/>
    </x:row>
    <x:row r="157">
      <x:c r="A157" s="87"/>
      <x:c r="D157" s="32"/>
      <x:c r="I157" s="74"/>
      <x:c r="J157" s="74"/>
      <x:c r="K157" s="74"/>
      <x:c r="L157" s="74"/>
      <x:c r="M157" s="91"/>
      <x:c r="N157" s="85"/>
      <x:c r="P157" s="86"/>
      <x:c r="Q157" s="32"/>
    </x:row>
    <x:row r="158">
      <x:c r="A158" s="87"/>
      <x:c r="D158" s="32"/>
      <x:c r="I158" s="74"/>
      <x:c r="J158" s="74"/>
      <x:c r="K158" s="74"/>
      <x:c r="L158" s="74"/>
      <x:c r="M158" s="91"/>
      <x:c r="N158" s="85"/>
      <x:c r="P158" s="86"/>
      <x:c r="Q158" s="32"/>
    </x:row>
    <x:row r="159">
      <x:c r="A159" s="87"/>
      <x:c r="D159" s="32"/>
      <x:c r="I159" s="74"/>
      <x:c r="J159" s="74"/>
      <x:c r="K159" s="74"/>
      <x:c r="L159" s="74"/>
      <x:c r="M159" s="91"/>
      <x:c r="N159" s="85"/>
      <x:c r="P159" s="86"/>
      <x:c r="Q159" s="32"/>
    </x:row>
    <x:row r="160">
      <x:c r="A160" s="87"/>
      <x:c r="D160" s="32"/>
      <x:c r="I160" s="74"/>
      <x:c r="J160" s="74"/>
      <x:c r="K160" s="74"/>
      <x:c r="L160" s="74"/>
      <x:c r="M160" s="91"/>
      <x:c r="N160" s="85"/>
      <x:c r="P160" s="86"/>
      <x:c r="Q160" s="32"/>
    </x:row>
    <x:row r="161">
      <x:c r="A161" s="87"/>
      <x:c r="D161" s="32"/>
      <x:c r="I161" s="74"/>
      <x:c r="J161" s="74"/>
      <x:c r="K161" s="74"/>
      <x:c r="L161" s="74"/>
      <x:c r="M161" s="91"/>
      <x:c r="N161" s="85"/>
      <x:c r="P161" s="86"/>
      <x:c r="Q161" s="32"/>
    </x:row>
    <x:row r="162">
      <x:c r="A162" s="87"/>
      <x:c r="D162" s="32"/>
      <x:c r="I162" s="74"/>
      <x:c r="J162" s="74"/>
      <x:c r="K162" s="74"/>
      <x:c r="L162" s="74"/>
      <x:c r="M162" s="91"/>
      <x:c r="N162" s="85"/>
      <x:c r="P162" s="86"/>
      <x:c r="Q162" s="32"/>
    </x:row>
    <x:row r="163">
      <x:c r="A163" s="87"/>
      <x:c r="D163" s="32"/>
      <x:c r="I163" s="74"/>
      <x:c r="J163" s="74"/>
      <x:c r="K163" s="74"/>
      <x:c r="L163" s="74"/>
      <x:c r="M163" s="91"/>
      <x:c r="N163" s="85"/>
      <x:c r="P163" s="86"/>
      <x:c r="Q163" s="32"/>
    </x:row>
    <x:row r="164">
      <x:c r="A164" s="87"/>
      <x:c r="D164" s="32"/>
      <x:c r="I164" s="74"/>
      <x:c r="J164" s="74"/>
      <x:c r="K164" s="74"/>
      <x:c r="L164" s="74"/>
      <x:c r="M164" s="91"/>
      <x:c r="N164" s="85"/>
      <x:c r="P164" s="86"/>
      <x:c r="Q164" s="32"/>
    </x:row>
    <x:row r="165">
      <x:c r="A165" s="87"/>
      <x:c r="D165" s="32"/>
      <x:c r="I165" s="74"/>
      <x:c r="J165" s="74"/>
      <x:c r="K165" s="74"/>
      <x:c r="L165" s="74"/>
      <x:c r="M165" s="91"/>
      <x:c r="N165" s="85"/>
      <x:c r="P165" s="86"/>
      <x:c r="Q165" s="32"/>
    </x:row>
    <x:row r="166">
      <x:c r="A166" s="87"/>
      <x:c r="D166" s="32"/>
      <x:c r="I166" s="74"/>
      <x:c r="J166" s="74"/>
      <x:c r="K166" s="74"/>
      <x:c r="L166" s="74"/>
      <x:c r="M166" s="91"/>
      <x:c r="N166" s="85"/>
      <x:c r="P166" s="86"/>
      <x:c r="Q166" s="32"/>
    </x:row>
    <x:row r="167">
      <x:c r="A167" s="87"/>
      <x:c r="D167" s="32"/>
      <x:c r="I167" s="74"/>
      <x:c r="J167" s="74"/>
      <x:c r="K167" s="74"/>
      <x:c r="L167" s="74"/>
      <x:c r="M167" s="91"/>
      <x:c r="N167" s="85"/>
      <x:c r="P167" s="86"/>
      <x:c r="Q167" s="32"/>
    </x:row>
    <x:row r="168">
      <x:c r="A168" s="87"/>
      <x:c r="D168" s="32"/>
      <x:c r="I168" s="74"/>
      <x:c r="J168" s="74"/>
      <x:c r="K168" s="74"/>
      <x:c r="L168" s="74"/>
      <x:c r="M168" s="91"/>
      <x:c r="N168" s="85"/>
      <x:c r="P168" s="86"/>
      <x:c r="Q168" s="32"/>
    </x:row>
    <x:row r="169">
      <x:c r="A169" s="87"/>
      <x:c r="D169" s="32"/>
      <x:c r="I169" s="74"/>
      <x:c r="J169" s="74"/>
      <x:c r="K169" s="74"/>
      <x:c r="L169" s="74"/>
      <x:c r="M169" s="91"/>
      <x:c r="N169" s="85"/>
      <x:c r="P169" s="86"/>
      <x:c r="Q169" s="32"/>
    </x:row>
    <x:row r="170">
      <x:c r="A170" s="87"/>
      <x:c r="D170" s="32"/>
      <x:c r="I170" s="74"/>
      <x:c r="J170" s="74"/>
      <x:c r="K170" s="74"/>
      <x:c r="L170" s="74"/>
      <x:c r="M170" s="91"/>
      <x:c r="N170" s="85"/>
      <x:c r="P170" s="86"/>
      <x:c r="Q170" s="32"/>
    </x:row>
    <x:row r="171">
      <x:c r="A171" s="87"/>
      <x:c r="D171" s="32"/>
      <x:c r="I171" s="74"/>
      <x:c r="J171" s="74"/>
      <x:c r="K171" s="74"/>
      <x:c r="L171" s="74"/>
      <x:c r="M171" s="91"/>
      <x:c r="N171" s="85"/>
      <x:c r="P171" s="86"/>
      <x:c r="Q171" s="32"/>
    </x:row>
    <x:row r="172">
      <x:c r="A172" s="87"/>
      <x:c r="D172" s="32"/>
      <x:c r="I172" s="74"/>
      <x:c r="J172" s="74"/>
      <x:c r="K172" s="74"/>
      <x:c r="L172" s="74"/>
      <x:c r="M172" s="91"/>
      <x:c r="N172" s="85"/>
      <x:c r="P172" s="86"/>
      <x:c r="Q172" s="32"/>
    </x:row>
    <x:row r="173">
      <x:c r="A173" s="87"/>
      <x:c r="D173" s="32"/>
      <x:c r="I173" s="74"/>
      <x:c r="J173" s="74"/>
      <x:c r="K173" s="74"/>
      <x:c r="L173" s="74"/>
      <x:c r="M173" s="91"/>
      <x:c r="N173" s="85"/>
      <x:c r="P173" s="86"/>
      <x:c r="Q173" s="32"/>
    </x:row>
    <x:row r="174">
      <x:c r="A174" s="87"/>
      <x:c r="D174" s="32"/>
      <x:c r="I174" s="74"/>
      <x:c r="J174" s="74"/>
      <x:c r="K174" s="74"/>
      <x:c r="L174" s="74"/>
      <x:c r="M174" s="91"/>
      <x:c r="N174" s="85"/>
      <x:c r="P174" s="86"/>
      <x:c r="Q174" s="32"/>
    </x:row>
    <x:row r="175">
      <x:c r="A175" s="87"/>
      <x:c r="D175" s="32"/>
      <x:c r="I175" s="74"/>
      <x:c r="J175" s="74"/>
      <x:c r="K175" s="74"/>
      <x:c r="L175" s="74"/>
      <x:c r="M175" s="91"/>
      <x:c r="N175" s="85"/>
      <x:c r="P175" s="86"/>
      <x:c r="Q175" s="32"/>
    </x:row>
    <x:row r="176">
      <x:c r="A176" s="87"/>
      <x:c r="D176" s="32"/>
      <x:c r="I176" s="74"/>
      <x:c r="J176" s="74"/>
      <x:c r="K176" s="74"/>
      <x:c r="L176" s="74"/>
      <x:c r="M176" s="91"/>
      <x:c r="N176" s="85"/>
      <x:c r="P176" s="86"/>
      <x:c r="Q176" s="32"/>
    </x:row>
    <x:row r="177">
      <x:c r="A177" s="87"/>
      <x:c r="D177" s="32"/>
      <x:c r="I177" s="74"/>
      <x:c r="J177" s="74"/>
      <x:c r="K177" s="74"/>
      <x:c r="L177" s="74"/>
      <x:c r="M177" s="91"/>
      <x:c r="N177" s="85"/>
      <x:c r="P177" s="86"/>
      <x:c r="Q177" s="32"/>
    </x:row>
    <x:row r="178">
      <x:c r="A178" s="87"/>
      <x:c r="D178" s="32"/>
      <x:c r="I178" s="74"/>
      <x:c r="J178" s="74"/>
      <x:c r="K178" s="74"/>
      <x:c r="L178" s="74"/>
      <x:c r="M178" s="91"/>
      <x:c r="N178" s="85"/>
      <x:c r="P178" s="86"/>
      <x:c r="Q178" s="32"/>
    </x:row>
    <x:row r="179">
      <x:c r="A179" s="87"/>
      <x:c r="D179" s="32"/>
      <x:c r="I179" s="74"/>
      <x:c r="J179" s="74"/>
      <x:c r="K179" s="74"/>
      <x:c r="L179" s="74"/>
      <x:c r="M179" s="91"/>
      <x:c r="N179" s="85"/>
      <x:c r="P179" s="86"/>
      <x:c r="Q179" s="32"/>
    </x:row>
    <x:row r="180">
      <x:c r="A180" s="87"/>
      <x:c r="D180" s="32"/>
      <x:c r="I180" s="74"/>
      <x:c r="J180" s="74"/>
      <x:c r="K180" s="74"/>
      <x:c r="L180" s="74"/>
      <x:c r="M180" s="91"/>
      <x:c r="N180" s="85"/>
      <x:c r="P180" s="86"/>
      <x:c r="Q180" s="32"/>
    </x:row>
    <x:row r="181">
      <x:c r="A181" s="87"/>
      <x:c r="D181" s="32"/>
      <x:c r="I181" s="74"/>
      <x:c r="J181" s="74"/>
      <x:c r="K181" s="74"/>
      <x:c r="L181" s="74"/>
      <x:c r="M181" s="91"/>
      <x:c r="N181" s="85"/>
      <x:c r="P181" s="86"/>
      <x:c r="Q181" s="32"/>
    </x:row>
    <x:row r="182">
      <x:c r="A182" s="87"/>
      <x:c r="D182" s="32"/>
      <x:c r="I182" s="74"/>
      <x:c r="J182" s="74"/>
      <x:c r="K182" s="74"/>
      <x:c r="L182" s="74"/>
      <x:c r="M182" s="91"/>
      <x:c r="N182" s="85"/>
      <x:c r="P182" s="86"/>
      <x:c r="Q182" s="32"/>
    </x:row>
    <x:row r="183">
      <x:c r="A183" s="87"/>
      <x:c r="D183" s="32"/>
      <x:c r="I183" s="74"/>
      <x:c r="J183" s="74"/>
      <x:c r="K183" s="74"/>
      <x:c r="L183" s="74"/>
      <x:c r="M183" s="91"/>
      <x:c r="N183" s="85"/>
      <x:c r="P183" s="86"/>
      <x:c r="Q183" s="32"/>
    </x:row>
    <x:row r="184">
      <x:c r="A184" s="87"/>
      <x:c r="D184" s="32"/>
      <x:c r="I184" s="74"/>
      <x:c r="J184" s="74"/>
      <x:c r="K184" s="74"/>
      <x:c r="L184" s="74"/>
      <x:c r="M184" s="91"/>
      <x:c r="N184" s="85"/>
      <x:c r="P184" s="86"/>
      <x:c r="Q184" s="32"/>
    </x:row>
    <x:row r="185">
      <x:c r="A185" s="87"/>
      <x:c r="D185" s="32"/>
      <x:c r="I185" s="74"/>
      <x:c r="J185" s="74"/>
      <x:c r="K185" s="74"/>
      <x:c r="L185" s="74"/>
      <x:c r="M185" s="91"/>
      <x:c r="N185" s="85"/>
      <x:c r="P185" s="86"/>
      <x:c r="Q185" s="32"/>
    </x:row>
    <x:row r="186">
      <x:c r="A186" s="87"/>
      <x:c r="D186" s="32"/>
      <x:c r="I186" s="74"/>
      <x:c r="J186" s="74"/>
      <x:c r="K186" s="74"/>
      <x:c r="L186" s="74"/>
      <x:c r="M186" s="91"/>
      <x:c r="N186" s="85"/>
      <x:c r="P186" s="86"/>
      <x:c r="Q186" s="32"/>
    </x:row>
    <x:row r="187">
      <x:c r="A187" s="87"/>
      <x:c r="D187" s="32"/>
      <x:c r="I187" s="74"/>
      <x:c r="J187" s="74"/>
      <x:c r="K187" s="74"/>
      <x:c r="L187" s="74"/>
      <x:c r="M187" s="91"/>
      <x:c r="N187" s="85"/>
      <x:c r="P187" s="86"/>
      <x:c r="Q187" s="32"/>
    </x:row>
    <x:row r="188">
      <x:c r="A188" s="87"/>
      <x:c r="D188" s="32"/>
      <x:c r="I188" s="74"/>
      <x:c r="J188" s="74"/>
      <x:c r="K188" s="74"/>
      <x:c r="L188" s="74"/>
      <x:c r="M188" s="91"/>
      <x:c r="N188" s="85"/>
      <x:c r="P188" s="86"/>
      <x:c r="Q188" s="32"/>
    </x:row>
    <x:row r="189">
      <x:c r="A189" s="87"/>
      <x:c r="D189" s="32"/>
      <x:c r="I189" s="74"/>
      <x:c r="J189" s="74"/>
      <x:c r="K189" s="74"/>
      <x:c r="L189" s="74"/>
      <x:c r="M189" s="91"/>
      <x:c r="N189" s="85"/>
      <x:c r="P189" s="86"/>
      <x:c r="Q189" s="32"/>
    </x:row>
    <x:row r="190">
      <x:c r="A190" s="87"/>
      <x:c r="D190" s="32"/>
      <x:c r="I190" s="74"/>
      <x:c r="J190" s="74"/>
      <x:c r="K190" s="74"/>
      <x:c r="L190" s="74"/>
      <x:c r="M190" s="91"/>
      <x:c r="N190" s="85"/>
      <x:c r="P190" s="86"/>
      <x:c r="Q190" s="32"/>
    </x:row>
    <x:row r="191">
      <x:c r="A191" s="87"/>
      <x:c r="D191" s="32"/>
      <x:c r="I191" s="74"/>
      <x:c r="J191" s="74"/>
      <x:c r="K191" s="74"/>
      <x:c r="L191" s="74"/>
      <x:c r="M191" s="91"/>
      <x:c r="N191" s="85"/>
      <x:c r="P191" s="86"/>
      <x:c r="Q191" s="32"/>
    </x:row>
    <x:row r="192">
      <x:c r="A192" s="87"/>
      <x:c r="D192" s="32"/>
      <x:c r="I192" s="74"/>
      <x:c r="J192" s="74"/>
      <x:c r="K192" s="74"/>
      <x:c r="L192" s="74"/>
      <x:c r="M192" s="91"/>
      <x:c r="N192" s="85"/>
      <x:c r="P192" s="86"/>
      <x:c r="Q192" s="32"/>
    </x:row>
    <x:row r="193">
      <x:c r="A193" s="87"/>
      <x:c r="D193" s="32"/>
      <x:c r="I193" s="74"/>
      <x:c r="J193" s="74"/>
      <x:c r="K193" s="74"/>
      <x:c r="L193" s="74"/>
      <x:c r="M193" s="91"/>
      <x:c r="N193" s="85"/>
      <x:c r="P193" s="86"/>
      <x:c r="Q193" s="32"/>
    </x:row>
    <x:row r="194">
      <x:c r="A194" s="87"/>
      <x:c r="D194" s="32"/>
      <x:c r="I194" s="74"/>
      <x:c r="J194" s="74"/>
      <x:c r="K194" s="74"/>
      <x:c r="L194" s="74"/>
      <x:c r="M194" s="91"/>
      <x:c r="N194" s="85"/>
      <x:c r="P194" s="86"/>
      <x:c r="Q194" s="32"/>
    </x:row>
    <x:row r="195">
      <x:c r="A195" s="87"/>
      <x:c r="D195" s="32"/>
      <x:c r="I195" s="74"/>
      <x:c r="J195" s="74"/>
      <x:c r="K195" s="74"/>
      <x:c r="L195" s="74"/>
      <x:c r="M195" s="91"/>
      <x:c r="N195" s="85"/>
      <x:c r="P195" s="86"/>
      <x:c r="Q195" s="32"/>
    </x:row>
    <x:row r="196">
      <x:c r="A196" s="87"/>
      <x:c r="D196" s="32"/>
      <x:c r="I196" s="74"/>
      <x:c r="J196" s="74"/>
      <x:c r="K196" s="74"/>
      <x:c r="L196" s="74"/>
      <x:c r="M196" s="91"/>
      <x:c r="N196" s="85"/>
      <x:c r="P196" s="86"/>
      <x:c r="Q196" s="32"/>
    </x:row>
    <x:row r="197">
      <x:c r="A197" s="87"/>
      <x:c r="D197" s="32"/>
      <x:c r="I197" s="74"/>
      <x:c r="J197" s="74"/>
      <x:c r="K197" s="74"/>
      <x:c r="L197" s="74"/>
      <x:c r="M197" s="91"/>
      <x:c r="N197" s="85"/>
      <x:c r="P197" s="86"/>
      <x:c r="Q197" s="32"/>
    </x:row>
    <x:row r="198">
      <x:c r="A198" s="87"/>
      <x:c r="D198" s="32"/>
      <x:c r="I198" s="74"/>
      <x:c r="J198" s="74"/>
      <x:c r="K198" s="74"/>
      <x:c r="L198" s="74"/>
      <x:c r="M198" s="91"/>
      <x:c r="N198" s="85"/>
      <x:c r="P198" s="86"/>
      <x:c r="Q198" s="32"/>
    </x:row>
    <x:row r="199">
      <x:c r="A199" s="87"/>
      <x:c r="D199" s="32"/>
      <x:c r="I199" s="74"/>
      <x:c r="J199" s="74"/>
      <x:c r="K199" s="74"/>
      <x:c r="L199" s="74"/>
      <x:c r="M199" s="91"/>
      <x:c r="N199" s="85"/>
      <x:c r="P199" s="86"/>
      <x:c r="Q199" s="32"/>
    </x:row>
    <x:row r="200">
      <x:c r="A200" s="87"/>
      <x:c r="D200" s="32"/>
      <x:c r="I200" s="74"/>
      <x:c r="J200" s="74"/>
      <x:c r="K200" s="74"/>
      <x:c r="L200" s="74"/>
      <x:c r="M200" s="91"/>
      <x:c r="N200" s="85"/>
      <x:c r="P200" s="86"/>
      <x:c r="Q200" s="32"/>
    </x:row>
    <x:row r="201">
      <x:c r="A201" s="87"/>
      <x:c r="D201" s="32"/>
      <x:c r="I201" s="74"/>
      <x:c r="J201" s="74"/>
      <x:c r="K201" s="74"/>
      <x:c r="L201" s="74"/>
      <x:c r="M201" s="91"/>
      <x:c r="N201" s="85"/>
      <x:c r="P201" s="86"/>
      <x:c r="Q201" s="32"/>
    </x:row>
    <x:row r="202">
      <x:c r="A202" s="87"/>
      <x:c r="D202" s="32"/>
      <x:c r="I202" s="74"/>
      <x:c r="J202" s="74"/>
      <x:c r="K202" s="74"/>
      <x:c r="L202" s="74"/>
      <x:c r="M202" s="91"/>
      <x:c r="N202" s="85"/>
      <x:c r="P202" s="86"/>
      <x:c r="Q202" s="32"/>
    </x:row>
    <x:row r="203">
      <x:c r="A203" s="87"/>
      <x:c r="D203" s="32"/>
      <x:c r="I203" s="74"/>
      <x:c r="J203" s="74"/>
      <x:c r="K203" s="74"/>
      <x:c r="L203" s="74"/>
      <x:c r="M203" s="91"/>
      <x:c r="N203" s="85"/>
      <x:c r="P203" s="86"/>
      <x:c r="Q203" s="32"/>
    </x:row>
    <x:row r="204">
      <x:c r="A204" s="87"/>
      <x:c r="D204" s="32"/>
      <x:c r="I204" s="74"/>
      <x:c r="J204" s="74"/>
      <x:c r="K204" s="74"/>
      <x:c r="L204" s="74"/>
      <x:c r="M204" s="91"/>
      <x:c r="N204" s="85"/>
      <x:c r="P204" s="86"/>
      <x:c r="Q204" s="32"/>
    </x:row>
    <x:row r="205">
      <x:c r="A205" s="87"/>
      <x:c r="D205" s="32"/>
      <x:c r="I205" s="74"/>
      <x:c r="J205" s="74"/>
      <x:c r="K205" s="74"/>
      <x:c r="L205" s="74"/>
      <x:c r="M205" s="91"/>
      <x:c r="N205" s="85"/>
      <x:c r="P205" s="86"/>
      <x:c r="Q205" s="32"/>
    </x:row>
    <x:row r="206">
      <x:c r="A206" s="87"/>
      <x:c r="D206" s="32"/>
      <x:c r="I206" s="74"/>
      <x:c r="J206" s="74"/>
      <x:c r="K206" s="74"/>
      <x:c r="L206" s="74"/>
      <x:c r="M206" s="91"/>
      <x:c r="N206" s="85"/>
      <x:c r="P206" s="86"/>
      <x:c r="Q206" s="32"/>
    </x:row>
    <x:row r="207">
      <x:c r="A207" s="87"/>
      <x:c r="D207" s="32"/>
      <x:c r="I207" s="74"/>
      <x:c r="J207" s="74"/>
      <x:c r="K207" s="74"/>
      <x:c r="L207" s="74"/>
      <x:c r="M207" s="91"/>
      <x:c r="N207" s="85"/>
      <x:c r="P207" s="86"/>
      <x:c r="Q207" s="32"/>
    </x:row>
    <x:row r="208">
      <x:c r="A208" s="87"/>
      <x:c r="D208" s="32"/>
      <x:c r="I208" s="74"/>
      <x:c r="J208" s="74"/>
      <x:c r="K208" s="74"/>
      <x:c r="L208" s="74"/>
      <x:c r="M208" s="91"/>
      <x:c r="N208" s="85"/>
      <x:c r="P208" s="86"/>
      <x:c r="Q208" s="32"/>
    </x:row>
    <x:row r="209">
      <x:c r="A209" s="87"/>
      <x:c r="D209" s="32"/>
      <x:c r="I209" s="74"/>
      <x:c r="J209" s="74"/>
      <x:c r="K209" s="74"/>
      <x:c r="L209" s="74"/>
      <x:c r="M209" s="91"/>
      <x:c r="N209" s="85"/>
      <x:c r="P209" s="86"/>
      <x:c r="Q209" s="32"/>
    </x:row>
    <x:row r="210">
      <x:c r="A210" s="87"/>
      <x:c r="D210" s="32"/>
      <x:c r="I210" s="74"/>
      <x:c r="J210" s="74"/>
      <x:c r="K210" s="74"/>
      <x:c r="L210" s="74"/>
      <x:c r="M210" s="91"/>
      <x:c r="N210" s="85"/>
      <x:c r="P210" s="86"/>
      <x:c r="Q210" s="32"/>
    </x:row>
    <x:row r="211">
      <x:c r="A211" s="87"/>
      <x:c r="D211" s="32"/>
      <x:c r="I211" s="74"/>
      <x:c r="J211" s="74"/>
      <x:c r="K211" s="74"/>
      <x:c r="L211" s="74"/>
      <x:c r="M211" s="91"/>
      <x:c r="N211" s="85"/>
      <x:c r="P211" s="86"/>
      <x:c r="Q211" s="32"/>
    </x:row>
    <x:row r="212">
      <x:c r="A212" s="87"/>
      <x:c r="D212" s="32"/>
      <x:c r="I212" s="74"/>
      <x:c r="J212" s="74"/>
      <x:c r="K212" s="74"/>
      <x:c r="L212" s="74"/>
      <x:c r="M212" s="91"/>
      <x:c r="N212" s="85"/>
      <x:c r="P212" s="86"/>
      <x:c r="Q212" s="32"/>
    </x:row>
    <x:row r="213">
      <x:c r="A213" s="87"/>
      <x:c r="D213" s="32"/>
      <x:c r="I213" s="74"/>
      <x:c r="J213" s="74"/>
      <x:c r="K213" s="74"/>
      <x:c r="L213" s="74"/>
      <x:c r="M213" s="91"/>
      <x:c r="N213" s="85"/>
      <x:c r="P213" s="86"/>
      <x:c r="Q213" s="32"/>
    </x:row>
    <x:row r="214">
      <x:c r="A214" s="87"/>
      <x:c r="D214" s="32"/>
      <x:c r="I214" s="74"/>
      <x:c r="J214" s="74"/>
      <x:c r="K214" s="74"/>
      <x:c r="L214" s="74"/>
      <x:c r="M214" s="91"/>
      <x:c r="N214" s="85"/>
      <x:c r="P214" s="86"/>
      <x:c r="Q214" s="32"/>
    </x:row>
    <x:row r="215">
      <x:c r="A215" s="87"/>
      <x:c r="D215" s="32"/>
      <x:c r="I215" s="74"/>
      <x:c r="J215" s="74"/>
      <x:c r="K215" s="74"/>
      <x:c r="L215" s="74"/>
      <x:c r="M215" s="91"/>
      <x:c r="N215" s="85"/>
      <x:c r="P215" s="86"/>
      <x:c r="Q215" s="32"/>
    </x:row>
    <x:row r="216">
      <x:c r="A216" s="87"/>
      <x:c r="D216" s="32"/>
      <x:c r="I216" s="74"/>
      <x:c r="J216" s="74"/>
      <x:c r="K216" s="74"/>
      <x:c r="L216" s="74"/>
      <x:c r="M216" s="91"/>
      <x:c r="N216" s="85"/>
      <x:c r="P216" s="86"/>
      <x:c r="Q216" s="32"/>
    </x:row>
    <x:row r="217">
      <x:c r="A217" s="87"/>
      <x:c r="D217" s="32"/>
      <x:c r="I217" s="74"/>
      <x:c r="J217" s="74"/>
      <x:c r="K217" s="74"/>
      <x:c r="L217" s="74"/>
      <x:c r="M217" s="91"/>
      <x:c r="N217" s="85"/>
      <x:c r="P217" s="86"/>
      <x:c r="Q217" s="32"/>
    </x:row>
    <x:row r="218">
      <x:c r="A218" s="87"/>
      <x:c r="D218" s="32"/>
      <x:c r="I218" s="74"/>
      <x:c r="J218" s="74"/>
      <x:c r="K218" s="74"/>
      <x:c r="L218" s="74"/>
      <x:c r="M218" s="91"/>
      <x:c r="N218" s="85"/>
      <x:c r="P218" s="86"/>
      <x:c r="Q218" s="32"/>
    </x:row>
    <x:row r="219">
      <x:c r="A219" s="87"/>
      <x:c r="D219" s="32"/>
      <x:c r="I219" s="74"/>
      <x:c r="J219" s="74"/>
      <x:c r="K219" s="74"/>
      <x:c r="L219" s="74"/>
      <x:c r="M219" s="91"/>
      <x:c r="N219" s="85"/>
      <x:c r="P219" s="86"/>
      <x:c r="Q219" s="32"/>
    </x:row>
    <x:row r="220">
      <x:c r="A220" s="87"/>
      <x:c r="D220" s="32"/>
      <x:c r="I220" s="74"/>
      <x:c r="J220" s="74"/>
      <x:c r="K220" s="74"/>
      <x:c r="L220" s="74"/>
      <x:c r="M220" s="91"/>
      <x:c r="N220" s="85"/>
      <x:c r="P220" s="86"/>
      <x:c r="Q220" s="32"/>
    </x:row>
    <x:row r="221">
      <x:c r="A221" s="87"/>
      <x:c r="D221" s="32"/>
      <x:c r="I221" s="74"/>
      <x:c r="J221" s="74"/>
      <x:c r="K221" s="74"/>
      <x:c r="L221" s="74"/>
      <x:c r="M221" s="91"/>
      <x:c r="N221" s="85"/>
      <x:c r="P221" s="86"/>
      <x:c r="Q221" s="32"/>
    </x:row>
    <x:row r="222">
      <x:c r="A222" s="87"/>
      <x:c r="D222" s="32"/>
      <x:c r="I222" s="74"/>
      <x:c r="J222" s="74"/>
      <x:c r="K222" s="74"/>
      <x:c r="L222" s="74"/>
      <x:c r="M222" s="91"/>
      <x:c r="N222" s="85"/>
      <x:c r="P222" s="86"/>
      <x:c r="Q222" s="32"/>
    </x:row>
    <x:row r="223">
      <x:c r="A223" s="87"/>
      <x:c r="D223" s="32"/>
      <x:c r="I223" s="74"/>
      <x:c r="J223" s="74"/>
      <x:c r="K223" s="74"/>
      <x:c r="L223" s="74"/>
      <x:c r="M223" s="91"/>
      <x:c r="N223" s="85"/>
      <x:c r="P223" s="86"/>
      <x:c r="Q223" s="32"/>
    </x:row>
    <x:row r="224">
      <x:c r="A224" s="87"/>
      <x:c r="D224" s="32"/>
      <x:c r="I224" s="74"/>
      <x:c r="J224" s="74"/>
      <x:c r="K224" s="74"/>
      <x:c r="L224" s="74"/>
      <x:c r="M224" s="91"/>
      <x:c r="N224" s="85"/>
      <x:c r="P224" s="86"/>
      <x:c r="Q224" s="32"/>
    </x:row>
    <x:row r="225">
      <x:c r="A225" s="87"/>
      <x:c r="D225" s="32"/>
      <x:c r="I225" s="74"/>
      <x:c r="J225" s="74"/>
      <x:c r="K225" s="74"/>
      <x:c r="L225" s="74"/>
      <x:c r="M225" s="91"/>
      <x:c r="N225" s="85"/>
      <x:c r="P225" s="86"/>
      <x:c r="Q225" s="32"/>
    </x:row>
    <x:row r="226">
      <x:c r="A226" s="87"/>
      <x:c r="D226" s="32"/>
      <x:c r="I226" s="74"/>
      <x:c r="J226" s="74"/>
      <x:c r="K226" s="74"/>
      <x:c r="L226" s="74"/>
      <x:c r="M226" s="91"/>
      <x:c r="N226" s="85"/>
      <x:c r="P226" s="86"/>
      <x:c r="Q226" s="32"/>
    </x:row>
    <x:row r="227">
      <x:c r="A227" s="87"/>
      <x:c r="D227" s="32"/>
      <x:c r="I227" s="74"/>
      <x:c r="J227" s="74"/>
      <x:c r="K227" s="74"/>
      <x:c r="L227" s="74"/>
      <x:c r="M227" s="91"/>
      <x:c r="N227" s="85"/>
      <x:c r="P227" s="86"/>
      <x:c r="Q227" s="32"/>
    </x:row>
    <x:row r="228">
      <x:c r="A228" s="87"/>
      <x:c r="D228" s="32"/>
      <x:c r="I228" s="74"/>
      <x:c r="J228" s="74"/>
      <x:c r="K228" s="74"/>
      <x:c r="L228" s="74"/>
      <x:c r="M228" s="91"/>
      <x:c r="N228" s="85"/>
      <x:c r="P228" s="86"/>
      <x:c r="Q228" s="32"/>
    </x:row>
    <x:row r="229">
      <x:c r="A229" s="87"/>
      <x:c r="D229" s="32"/>
      <x:c r="I229" s="74"/>
      <x:c r="J229" s="74"/>
      <x:c r="K229" s="74"/>
      <x:c r="L229" s="74"/>
      <x:c r="M229" s="91"/>
      <x:c r="N229" s="85"/>
      <x:c r="P229" s="86"/>
      <x:c r="Q229" s="32"/>
    </x:row>
    <x:row r="230">
      <x:c r="A230" s="87"/>
      <x:c r="D230" s="32"/>
      <x:c r="I230" s="74"/>
      <x:c r="J230" s="74"/>
      <x:c r="K230" s="74"/>
      <x:c r="L230" s="74"/>
      <x:c r="M230" s="91"/>
      <x:c r="N230" s="85"/>
      <x:c r="P230" s="86"/>
      <x:c r="Q230" s="32"/>
    </x:row>
    <x:row r="231">
      <x:c r="A231" s="87"/>
      <x:c r="D231" s="32"/>
      <x:c r="I231" s="74"/>
      <x:c r="J231" s="74"/>
      <x:c r="K231" s="74"/>
      <x:c r="L231" s="74"/>
      <x:c r="M231" s="91"/>
      <x:c r="N231" s="85"/>
      <x:c r="P231" s="86"/>
      <x:c r="Q231" s="32"/>
    </x:row>
    <x:row r="232">
      <x:c r="A232" s="87"/>
      <x:c r="D232" s="32"/>
      <x:c r="I232" s="74"/>
      <x:c r="J232" s="74"/>
      <x:c r="K232" s="74"/>
      <x:c r="L232" s="74"/>
      <x:c r="M232" s="91"/>
      <x:c r="N232" s="85"/>
      <x:c r="P232" s="86"/>
      <x:c r="Q232" s="32"/>
    </x:row>
    <x:row r="233">
      <x:c r="A233" s="87"/>
      <x:c r="D233" s="32"/>
      <x:c r="I233" s="74"/>
      <x:c r="J233" s="74"/>
      <x:c r="K233" s="74"/>
      <x:c r="L233" s="74"/>
      <x:c r="M233" s="91"/>
      <x:c r="N233" s="85"/>
      <x:c r="P233" s="86"/>
      <x:c r="Q233" s="32"/>
    </x:row>
    <x:row r="234">
      <x:c r="A234" s="87"/>
      <x:c r="D234" s="32"/>
      <x:c r="I234" s="74"/>
      <x:c r="J234" s="74"/>
      <x:c r="K234" s="74"/>
      <x:c r="L234" s="74"/>
      <x:c r="M234" s="91"/>
      <x:c r="N234" s="85"/>
      <x:c r="P234" s="86"/>
      <x:c r="Q234" s="32"/>
    </x:row>
    <x:row r="235">
      <x:c r="A235" s="87"/>
      <x:c r="D235" s="32"/>
      <x:c r="I235" s="74"/>
      <x:c r="J235" s="74"/>
      <x:c r="K235" s="74"/>
      <x:c r="L235" s="74"/>
      <x:c r="M235" s="91"/>
      <x:c r="N235" s="85"/>
      <x:c r="P235" s="86"/>
      <x:c r="Q235" s="32"/>
    </x:row>
    <x:row r="236">
      <x:c r="A236" s="87"/>
      <x:c r="D236" s="32"/>
      <x:c r="I236" s="74"/>
      <x:c r="J236" s="74"/>
      <x:c r="K236" s="74"/>
      <x:c r="L236" s="74"/>
      <x:c r="M236" s="91"/>
      <x:c r="N236" s="85"/>
      <x:c r="P236" s="86"/>
      <x:c r="Q236" s="32"/>
    </x:row>
    <x:row r="237">
      <x:c r="A237" s="87"/>
      <x:c r="D237" s="32"/>
      <x:c r="I237" s="74"/>
      <x:c r="J237" s="74"/>
      <x:c r="K237" s="74"/>
      <x:c r="L237" s="74"/>
      <x:c r="M237" s="91"/>
      <x:c r="N237" s="85"/>
      <x:c r="P237" s="86"/>
      <x:c r="Q237" s="32"/>
    </x:row>
    <x:row r="238">
      <x:c r="A238" s="87"/>
      <x:c r="D238" s="32"/>
      <x:c r="I238" s="74"/>
      <x:c r="J238" s="74"/>
      <x:c r="K238" s="74"/>
      <x:c r="L238" s="74"/>
      <x:c r="M238" s="91"/>
      <x:c r="N238" s="85"/>
      <x:c r="P238" s="86"/>
      <x:c r="Q238" s="32"/>
    </x:row>
    <x:row r="239">
      <x:c r="A239" s="87"/>
      <x:c r="D239" s="32"/>
      <x:c r="I239" s="74"/>
      <x:c r="J239" s="74"/>
      <x:c r="K239" s="74"/>
      <x:c r="L239" s="74"/>
      <x:c r="M239" s="91"/>
      <x:c r="N239" s="85"/>
      <x:c r="P239" s="86"/>
      <x:c r="Q239" s="32"/>
    </x:row>
    <x:row r="240">
      <x:c r="A240" s="87"/>
      <x:c r="D240" s="32"/>
      <x:c r="I240" s="74"/>
      <x:c r="J240" s="74"/>
      <x:c r="K240" s="74"/>
      <x:c r="L240" s="74"/>
      <x:c r="M240" s="91"/>
      <x:c r="N240" s="85"/>
      <x:c r="P240" s="86"/>
      <x:c r="Q240" s="32"/>
    </x:row>
    <x:row r="241">
      <x:c r="A241" s="87"/>
      <x:c r="D241" s="32"/>
      <x:c r="I241" s="74"/>
      <x:c r="J241" s="74"/>
      <x:c r="K241" s="74"/>
      <x:c r="L241" s="74"/>
      <x:c r="M241" s="91"/>
      <x:c r="N241" s="85"/>
      <x:c r="P241" s="86"/>
      <x:c r="Q241" s="32"/>
    </x:row>
    <x:row r="242">
      <x:c r="A242" s="87"/>
      <x:c r="D242" s="32"/>
      <x:c r="I242" s="74"/>
      <x:c r="J242" s="74"/>
      <x:c r="K242" s="74"/>
      <x:c r="L242" s="74"/>
      <x:c r="M242" s="91"/>
      <x:c r="N242" s="85"/>
      <x:c r="P242" s="86"/>
      <x:c r="Q242" s="32"/>
    </x:row>
    <x:row r="243">
      <x:c r="A243" s="87"/>
      <x:c r="D243" s="32"/>
      <x:c r="I243" s="74"/>
      <x:c r="J243" s="74"/>
      <x:c r="K243" s="74"/>
      <x:c r="L243" s="74"/>
      <x:c r="M243" s="91"/>
      <x:c r="N243" s="85"/>
      <x:c r="P243" s="86"/>
      <x:c r="Q243" s="32"/>
    </x:row>
    <x:row r="244">
      <x:c r="A244" s="87"/>
      <x:c r="D244" s="32"/>
      <x:c r="I244" s="74"/>
      <x:c r="J244" s="74"/>
      <x:c r="K244" s="74"/>
      <x:c r="L244" s="74"/>
      <x:c r="M244" s="91"/>
      <x:c r="N244" s="85"/>
      <x:c r="P244" s="86"/>
      <x:c r="Q244" s="32"/>
    </x:row>
    <x:row r="245">
      <x:c r="A245" s="87"/>
      <x:c r="D245" s="32"/>
      <x:c r="I245" s="74"/>
      <x:c r="J245" s="74"/>
      <x:c r="K245" s="74"/>
      <x:c r="L245" s="74"/>
      <x:c r="M245" s="91"/>
      <x:c r="N245" s="85"/>
      <x:c r="P245" s="86"/>
      <x:c r="Q245" s="32"/>
    </x:row>
    <x:row r="246">
      <x:c r="A246" s="87"/>
      <x:c r="D246" s="32"/>
      <x:c r="I246" s="74"/>
      <x:c r="J246" s="74"/>
      <x:c r="K246" s="74"/>
      <x:c r="L246" s="74"/>
      <x:c r="M246" s="91"/>
      <x:c r="N246" s="85"/>
      <x:c r="P246" s="86"/>
      <x:c r="Q246" s="32"/>
    </x:row>
    <x:row r="247">
      <x:c r="A247" s="87"/>
      <x:c r="D247" s="32"/>
      <x:c r="I247" s="74"/>
      <x:c r="J247" s="74"/>
      <x:c r="K247" s="74"/>
      <x:c r="L247" s="74"/>
      <x:c r="M247" s="91"/>
      <x:c r="N247" s="85"/>
      <x:c r="P247" s="86"/>
      <x:c r="Q247" s="32"/>
    </x:row>
    <x:row r="248">
      <x:c r="A248" s="87"/>
      <x:c r="D248" s="32"/>
      <x:c r="I248" s="74"/>
      <x:c r="J248" s="74"/>
      <x:c r="K248" s="74"/>
      <x:c r="L248" s="74"/>
      <x:c r="M248" s="91"/>
      <x:c r="N248" s="85"/>
      <x:c r="P248" s="86"/>
      <x:c r="Q248" s="32"/>
    </x:row>
    <x:row r="249">
      <x:c r="A249" s="87"/>
      <x:c r="D249" s="32"/>
      <x:c r="I249" s="74"/>
      <x:c r="J249" s="74"/>
      <x:c r="K249" s="74"/>
      <x:c r="L249" s="74"/>
      <x:c r="M249" s="91"/>
      <x:c r="N249" s="85"/>
      <x:c r="P249" s="86"/>
      <x:c r="Q249" s="32"/>
    </x:row>
    <x:row r="250">
      <x:c r="A250" s="87"/>
      <x:c r="D250" s="32"/>
      <x:c r="I250" s="74"/>
      <x:c r="J250" s="74"/>
      <x:c r="K250" s="74"/>
      <x:c r="L250" s="74"/>
      <x:c r="M250" s="91"/>
      <x:c r="N250" s="85"/>
      <x:c r="P250" s="86"/>
      <x:c r="Q250" s="32"/>
    </x:row>
    <x:row r="251">
      <x:c r="A251" s="87"/>
      <x:c r="D251" s="32"/>
      <x:c r="I251" s="74"/>
      <x:c r="J251" s="74"/>
      <x:c r="K251" s="74"/>
      <x:c r="L251" s="74"/>
      <x:c r="M251" s="91"/>
      <x:c r="N251" s="85"/>
      <x:c r="P251" s="86"/>
      <x:c r="Q251" s="32"/>
    </x:row>
    <x:row r="252">
      <x:c r="A252" s="87"/>
      <x:c r="D252" s="32"/>
      <x:c r="I252" s="74"/>
      <x:c r="J252" s="74"/>
      <x:c r="K252" s="74"/>
      <x:c r="L252" s="74"/>
      <x:c r="M252" s="91"/>
      <x:c r="N252" s="85"/>
      <x:c r="P252" s="86"/>
      <x:c r="Q252" s="32"/>
    </x:row>
    <x:row r="253">
      <x:c r="A253" s="87"/>
      <x:c r="D253" s="32"/>
      <x:c r="I253" s="74"/>
      <x:c r="J253" s="74"/>
      <x:c r="K253" s="74"/>
      <x:c r="L253" s="74"/>
      <x:c r="M253" s="91"/>
      <x:c r="N253" s="85"/>
      <x:c r="P253" s="86"/>
      <x:c r="Q253" s="32"/>
    </x:row>
    <x:row r="254">
      <x:c r="A254" s="87"/>
      <x:c r="D254" s="32"/>
      <x:c r="I254" s="74"/>
      <x:c r="J254" s="74"/>
      <x:c r="K254" s="74"/>
      <x:c r="L254" s="74"/>
      <x:c r="M254" s="91"/>
      <x:c r="N254" s="85"/>
      <x:c r="P254" s="86"/>
      <x:c r="Q254" s="32"/>
    </x:row>
    <x:row r="255">
      <x:c r="A255" s="87"/>
      <x:c r="D255" s="32"/>
      <x:c r="I255" s="74"/>
      <x:c r="J255" s="74"/>
      <x:c r="K255" s="74"/>
      <x:c r="L255" s="74"/>
      <x:c r="M255" s="91"/>
      <x:c r="N255" s="85"/>
      <x:c r="P255" s="86"/>
      <x:c r="Q255" s="32"/>
    </x:row>
    <x:row r="256">
      <x:c r="A256" s="87"/>
      <x:c r="D256" s="32"/>
      <x:c r="I256" s="74"/>
      <x:c r="J256" s="74"/>
      <x:c r="K256" s="74"/>
      <x:c r="L256" s="74"/>
      <x:c r="M256" s="91"/>
      <x:c r="N256" s="85"/>
      <x:c r="P256" s="86"/>
      <x:c r="Q256" s="32"/>
    </x:row>
    <x:row r="257">
      <x:c r="A257" s="87"/>
      <x:c r="D257" s="32"/>
      <x:c r="I257" s="74"/>
      <x:c r="J257" s="74"/>
      <x:c r="K257" s="74"/>
      <x:c r="L257" s="74"/>
      <x:c r="M257" s="91"/>
      <x:c r="N257" s="85"/>
      <x:c r="P257" s="86"/>
      <x:c r="Q257" s="32"/>
    </x:row>
    <x:row r="258">
      <x:c r="A258" s="87"/>
      <x:c r="D258" s="32"/>
      <x:c r="I258" s="74"/>
      <x:c r="J258" s="74"/>
      <x:c r="K258" s="74"/>
      <x:c r="L258" s="74"/>
      <x:c r="M258" s="91"/>
      <x:c r="N258" s="85"/>
      <x:c r="P258" s="86"/>
      <x:c r="Q258" s="32"/>
    </x:row>
    <x:row r="259">
      <x:c r="A259" s="87"/>
      <x:c r="D259" s="32"/>
      <x:c r="I259" s="74"/>
      <x:c r="J259" s="74"/>
      <x:c r="K259" s="74"/>
      <x:c r="L259" s="74"/>
      <x:c r="M259" s="91"/>
      <x:c r="N259" s="85"/>
      <x:c r="P259" s="86"/>
      <x:c r="Q259" s="32"/>
    </x:row>
    <x:row r="260">
      <x:c r="A260" s="87"/>
      <x:c r="D260" s="32"/>
      <x:c r="I260" s="74"/>
      <x:c r="J260" s="74"/>
      <x:c r="K260" s="74"/>
      <x:c r="L260" s="74"/>
      <x:c r="M260" s="91"/>
      <x:c r="N260" s="85"/>
      <x:c r="P260" s="86"/>
      <x:c r="Q260" s="32"/>
    </x:row>
    <x:row r="261">
      <x:c r="A261" s="87"/>
      <x:c r="D261" s="32"/>
      <x:c r="I261" s="74"/>
      <x:c r="J261" s="74"/>
      <x:c r="K261" s="74"/>
      <x:c r="L261" s="74"/>
      <x:c r="M261" s="91"/>
      <x:c r="N261" s="85"/>
      <x:c r="P261" s="86"/>
      <x:c r="Q261" s="32"/>
    </x:row>
    <x:row r="262">
      <x:c r="A262" s="87"/>
      <x:c r="D262" s="32"/>
      <x:c r="I262" s="74"/>
      <x:c r="J262" s="74"/>
      <x:c r="K262" s="74"/>
      <x:c r="L262" s="74"/>
      <x:c r="M262" s="91"/>
      <x:c r="N262" s="85"/>
      <x:c r="P262" s="86"/>
      <x:c r="Q262" s="32"/>
    </x:row>
    <x:row r="263">
      <x:c r="A263" s="87"/>
      <x:c r="D263" s="32"/>
      <x:c r="I263" s="74"/>
      <x:c r="J263" s="74"/>
      <x:c r="K263" s="74"/>
      <x:c r="L263" s="74"/>
      <x:c r="M263" s="91"/>
      <x:c r="N263" s="85"/>
      <x:c r="P263" s="86"/>
      <x:c r="Q263" s="32"/>
    </x:row>
    <x:row r="264">
      <x:c r="A264" s="87"/>
      <x:c r="D264" s="32"/>
      <x:c r="I264" s="74"/>
      <x:c r="J264" s="74"/>
      <x:c r="K264" s="74"/>
      <x:c r="L264" s="74"/>
      <x:c r="M264" s="91"/>
      <x:c r="N264" s="85"/>
      <x:c r="P264" s="86"/>
      <x:c r="Q264" s="32"/>
    </x:row>
    <x:row r="265">
      <x:c r="A265" s="87"/>
      <x:c r="D265" s="32"/>
      <x:c r="I265" s="74"/>
      <x:c r="J265" s="74"/>
      <x:c r="K265" s="74"/>
      <x:c r="L265" s="74"/>
      <x:c r="M265" s="91"/>
      <x:c r="N265" s="85"/>
      <x:c r="P265" s="86"/>
      <x:c r="Q265" s="32"/>
    </x:row>
    <x:row r="266">
      <x:c r="A266" s="87"/>
      <x:c r="D266" s="32"/>
      <x:c r="I266" s="74"/>
      <x:c r="J266" s="74"/>
      <x:c r="K266" s="74"/>
      <x:c r="L266" s="74"/>
      <x:c r="M266" s="91"/>
      <x:c r="N266" s="85"/>
      <x:c r="P266" s="86"/>
      <x:c r="Q266" s="32"/>
    </x:row>
    <x:row r="267">
      <x:c r="A267" s="87"/>
      <x:c r="D267" s="32"/>
      <x:c r="I267" s="74"/>
      <x:c r="J267" s="74"/>
      <x:c r="K267" s="74"/>
      <x:c r="L267" s="74"/>
      <x:c r="M267" s="91"/>
      <x:c r="N267" s="85"/>
      <x:c r="P267" s="86"/>
      <x:c r="Q267" s="32"/>
    </x:row>
    <x:row r="268">
      <x:c r="A268" s="87"/>
      <x:c r="D268" s="32"/>
      <x:c r="I268" s="74"/>
      <x:c r="J268" s="74"/>
      <x:c r="K268" s="74"/>
      <x:c r="L268" s="74"/>
      <x:c r="M268" s="91"/>
      <x:c r="N268" s="85"/>
      <x:c r="P268" s="86"/>
      <x:c r="Q268" s="32"/>
    </x:row>
    <x:row r="269">
      <x:c r="A269" s="87"/>
      <x:c r="D269" s="32"/>
      <x:c r="I269" s="74"/>
      <x:c r="J269" s="74"/>
      <x:c r="K269" s="74"/>
      <x:c r="L269" s="74"/>
      <x:c r="M269" s="91"/>
      <x:c r="N269" s="85"/>
      <x:c r="P269" s="86"/>
      <x:c r="Q269" s="32"/>
    </x:row>
    <x:row r="270">
      <x:c r="A270" s="87"/>
      <x:c r="D270" s="32"/>
      <x:c r="I270" s="74"/>
      <x:c r="J270" s="74"/>
      <x:c r="K270" s="74"/>
      <x:c r="L270" s="74"/>
      <x:c r="M270" s="91"/>
      <x:c r="N270" s="85"/>
      <x:c r="P270" s="86"/>
      <x:c r="Q270" s="32"/>
    </x:row>
    <x:row r="271">
      <x:c r="A271" s="87"/>
      <x:c r="D271" s="32"/>
      <x:c r="I271" s="74"/>
      <x:c r="J271" s="74"/>
      <x:c r="K271" s="74"/>
      <x:c r="L271" s="74"/>
      <x:c r="M271" s="91"/>
      <x:c r="N271" s="85"/>
      <x:c r="P271" s="86"/>
      <x:c r="Q271" s="32"/>
    </x:row>
    <x:row r="272">
      <x:c r="A272" s="87"/>
      <x:c r="D272" s="32"/>
      <x:c r="I272" s="74"/>
      <x:c r="J272" s="74"/>
      <x:c r="K272" s="74"/>
      <x:c r="L272" s="74"/>
      <x:c r="M272" s="91"/>
      <x:c r="N272" s="85"/>
      <x:c r="P272" s="86"/>
      <x:c r="Q272" s="32"/>
    </x:row>
    <x:row r="273">
      <x:c r="A273" s="87"/>
      <x:c r="D273" s="32"/>
      <x:c r="I273" s="74"/>
      <x:c r="J273" s="74"/>
      <x:c r="K273" s="74"/>
      <x:c r="L273" s="74"/>
      <x:c r="M273" s="91"/>
      <x:c r="N273" s="85"/>
      <x:c r="P273" s="86"/>
      <x:c r="Q273" s="32"/>
    </x:row>
    <x:row r="274">
      <x:c r="A274" s="87"/>
      <x:c r="D274" s="32"/>
      <x:c r="I274" s="74"/>
      <x:c r="J274" s="74"/>
      <x:c r="K274" s="74"/>
      <x:c r="L274" s="74"/>
      <x:c r="M274" s="91"/>
      <x:c r="N274" s="85"/>
      <x:c r="P274" s="86"/>
      <x:c r="Q274" s="32"/>
    </x:row>
    <x:row r="275">
      <x:c r="A275" s="87"/>
      <x:c r="D275" s="32"/>
      <x:c r="I275" s="74"/>
      <x:c r="J275" s="74"/>
      <x:c r="K275" s="74"/>
      <x:c r="L275" s="74"/>
      <x:c r="M275" s="91"/>
      <x:c r="N275" s="85"/>
      <x:c r="P275" s="86"/>
      <x:c r="Q275" s="32"/>
    </x:row>
    <x:row r="276">
      <x:c r="A276" s="87"/>
      <x:c r="D276" s="32"/>
      <x:c r="I276" s="74"/>
      <x:c r="J276" s="74"/>
      <x:c r="K276" s="74"/>
      <x:c r="L276" s="74"/>
      <x:c r="M276" s="91"/>
      <x:c r="N276" s="85"/>
      <x:c r="P276" s="86"/>
      <x:c r="Q276" s="32"/>
    </x:row>
    <x:row r="277">
      <x:c r="A277" s="87"/>
      <x:c r="D277" s="32"/>
      <x:c r="I277" s="74"/>
      <x:c r="J277" s="74"/>
      <x:c r="K277" s="74"/>
      <x:c r="L277" s="74"/>
      <x:c r="M277" s="91"/>
      <x:c r="N277" s="85"/>
      <x:c r="P277" s="86"/>
      <x:c r="Q277" s="32"/>
    </x:row>
    <x:row r="278">
      <x:c r="A278" s="87"/>
      <x:c r="D278" s="32"/>
      <x:c r="I278" s="74"/>
      <x:c r="J278" s="74"/>
      <x:c r="K278" s="74"/>
      <x:c r="L278" s="74"/>
      <x:c r="M278" s="91"/>
      <x:c r="N278" s="85"/>
      <x:c r="P278" s="86"/>
      <x:c r="Q278" s="32"/>
    </x:row>
    <x:row r="279">
      <x:c r="A279" s="87"/>
      <x:c r="D279" s="32"/>
      <x:c r="I279" s="74"/>
      <x:c r="J279" s="74"/>
      <x:c r="K279" s="74"/>
      <x:c r="L279" s="74"/>
      <x:c r="M279" s="91"/>
      <x:c r="N279" s="85"/>
      <x:c r="P279" s="86"/>
      <x:c r="Q279" s="32"/>
    </x:row>
    <x:row r="280">
      <x:c r="A280" s="87"/>
      <x:c r="D280" s="32"/>
      <x:c r="I280" s="74"/>
      <x:c r="J280" s="74"/>
      <x:c r="K280" s="74"/>
      <x:c r="L280" s="74"/>
      <x:c r="M280" s="91"/>
      <x:c r="N280" s="85"/>
      <x:c r="P280" s="86"/>
      <x:c r="Q280" s="32"/>
    </x:row>
    <x:row r="281">
      <x:c r="A281" s="87"/>
      <x:c r="D281" s="32"/>
      <x:c r="I281" s="74"/>
      <x:c r="J281" s="74"/>
      <x:c r="K281" s="74"/>
      <x:c r="L281" s="74"/>
      <x:c r="M281" s="91"/>
      <x:c r="N281" s="85"/>
      <x:c r="P281" s="86"/>
      <x:c r="Q281" s="32"/>
    </x:row>
    <x:row r="282">
      <x:c r="A282" s="87"/>
      <x:c r="D282" s="32"/>
      <x:c r="I282" s="74"/>
      <x:c r="J282" s="74"/>
      <x:c r="K282" s="74"/>
      <x:c r="L282" s="74"/>
      <x:c r="M282" s="91"/>
      <x:c r="N282" s="85"/>
      <x:c r="P282" s="86"/>
      <x:c r="Q282" s="32"/>
    </x:row>
    <x:row r="283">
      <x:c r="A283" s="87"/>
      <x:c r="D283" s="32"/>
      <x:c r="I283" s="74"/>
      <x:c r="J283" s="74"/>
      <x:c r="K283" s="74"/>
      <x:c r="L283" s="74"/>
      <x:c r="M283" s="91"/>
      <x:c r="N283" s="85"/>
      <x:c r="P283" s="86"/>
      <x:c r="Q283" s="32"/>
    </x:row>
    <x:row r="284">
      <x:c r="A284" s="87"/>
      <x:c r="D284" s="32"/>
      <x:c r="I284" s="74"/>
      <x:c r="J284" s="74"/>
      <x:c r="K284" s="74"/>
      <x:c r="L284" s="74"/>
      <x:c r="M284" s="91"/>
      <x:c r="N284" s="85"/>
      <x:c r="P284" s="86"/>
      <x:c r="Q284" s="32"/>
    </x:row>
    <x:row r="285">
      <x:c r="A285" s="87"/>
      <x:c r="D285" s="32"/>
      <x:c r="I285" s="74"/>
      <x:c r="J285" s="74"/>
      <x:c r="K285" s="74"/>
      <x:c r="L285" s="74"/>
      <x:c r="M285" s="91"/>
      <x:c r="N285" s="85"/>
      <x:c r="P285" s="86"/>
      <x:c r="Q285" s="32"/>
    </x:row>
    <x:row r="286">
      <x:c r="A286" s="87"/>
      <x:c r="D286" s="32"/>
      <x:c r="I286" s="74"/>
      <x:c r="J286" s="74"/>
      <x:c r="K286" s="74"/>
      <x:c r="L286" s="74"/>
      <x:c r="M286" s="91"/>
      <x:c r="N286" s="85"/>
      <x:c r="P286" s="86"/>
      <x:c r="Q286" s="32"/>
    </x:row>
    <x:row r="287">
      <x:c r="A287" s="87"/>
      <x:c r="D287" s="32"/>
      <x:c r="I287" s="74"/>
      <x:c r="J287" s="74"/>
      <x:c r="K287" s="74"/>
      <x:c r="L287" s="74"/>
      <x:c r="M287" s="91"/>
      <x:c r="N287" s="85"/>
      <x:c r="P287" s="86"/>
      <x:c r="Q287" s="32"/>
    </x:row>
    <x:row r="288">
      <x:c r="A288" s="87"/>
      <x:c r="D288" s="32"/>
      <x:c r="I288" s="74"/>
      <x:c r="J288" s="74"/>
      <x:c r="K288" s="74"/>
      <x:c r="L288" s="74"/>
      <x:c r="M288" s="91"/>
      <x:c r="N288" s="85"/>
      <x:c r="P288" s="86"/>
      <x:c r="Q288" s="32"/>
    </x:row>
    <x:row r="289">
      <x:c r="A289" s="87"/>
      <x:c r="D289" s="32"/>
      <x:c r="I289" s="74"/>
      <x:c r="J289" s="74"/>
      <x:c r="K289" s="74"/>
      <x:c r="L289" s="74"/>
      <x:c r="M289" s="91"/>
      <x:c r="N289" s="85"/>
      <x:c r="P289" s="86"/>
      <x:c r="Q289" s="32"/>
    </x:row>
    <x:row r="290">
      <x:c r="A290" s="87"/>
      <x:c r="D290" s="32"/>
      <x:c r="I290" s="74"/>
      <x:c r="J290" s="74"/>
      <x:c r="K290" s="74"/>
      <x:c r="L290" s="74"/>
      <x:c r="M290" s="91"/>
      <x:c r="N290" s="85"/>
      <x:c r="P290" s="86"/>
      <x:c r="Q290" s="32"/>
    </x:row>
    <x:row r="291">
      <x:c r="A291" s="87"/>
      <x:c r="D291" s="32"/>
      <x:c r="I291" s="74"/>
      <x:c r="J291" s="74"/>
      <x:c r="K291" s="74"/>
      <x:c r="L291" s="74"/>
      <x:c r="M291" s="91"/>
      <x:c r="N291" s="85"/>
      <x:c r="P291" s="86"/>
      <x:c r="Q291" s="32"/>
    </x:row>
    <x:row r="292">
      <x:c r="A292" s="87"/>
      <x:c r="D292" s="32"/>
      <x:c r="I292" s="74"/>
      <x:c r="J292" s="74"/>
      <x:c r="K292" s="74"/>
      <x:c r="L292" s="74"/>
      <x:c r="M292" s="91"/>
      <x:c r="N292" s="85"/>
      <x:c r="P292" s="86"/>
      <x:c r="Q292" s="32"/>
    </x:row>
    <x:row r="293">
      <x:c r="A293" s="87"/>
      <x:c r="D293" s="32"/>
      <x:c r="I293" s="74"/>
      <x:c r="J293" s="74"/>
      <x:c r="K293" s="74"/>
      <x:c r="L293" s="74"/>
      <x:c r="M293" s="91"/>
      <x:c r="N293" s="85"/>
      <x:c r="P293" s="86"/>
      <x:c r="Q293" s="32"/>
    </x:row>
    <x:row r="294">
      <x:c r="A294" s="87"/>
      <x:c r="D294" s="32"/>
      <x:c r="I294" s="74"/>
      <x:c r="J294" s="74"/>
      <x:c r="K294" s="74"/>
      <x:c r="L294" s="74"/>
      <x:c r="M294" s="91"/>
      <x:c r="N294" s="85"/>
      <x:c r="P294" s="86"/>
      <x:c r="Q294" s="32"/>
    </x:row>
    <x:row r="295">
      <x:c r="A295" s="87"/>
      <x:c r="D295" s="32"/>
      <x:c r="I295" s="74"/>
      <x:c r="J295" s="74"/>
      <x:c r="K295" s="74"/>
      <x:c r="L295" s="74"/>
      <x:c r="M295" s="91"/>
      <x:c r="N295" s="85"/>
      <x:c r="P295" s="86"/>
      <x:c r="Q295" s="32"/>
    </x:row>
    <x:row r="296">
      <x:c r="A296" s="87"/>
      <x:c r="D296" s="32"/>
      <x:c r="I296" s="74"/>
      <x:c r="J296" s="74"/>
      <x:c r="K296" s="74"/>
      <x:c r="L296" s="74"/>
      <x:c r="M296" s="91"/>
      <x:c r="N296" s="85"/>
      <x:c r="P296" s="86"/>
      <x:c r="Q296" s="32"/>
    </x:row>
    <x:row r="297">
      <x:c r="A297" s="87"/>
      <x:c r="D297" s="32"/>
      <x:c r="I297" s="74"/>
      <x:c r="J297" s="74"/>
      <x:c r="K297" s="74"/>
      <x:c r="L297" s="74"/>
      <x:c r="M297" s="91"/>
      <x:c r="N297" s="85"/>
      <x:c r="P297" s="86"/>
      <x:c r="Q297" s="32"/>
    </x:row>
    <x:row r="298">
      <x:c r="A298" s="87"/>
      <x:c r="D298" s="32"/>
      <x:c r="I298" s="74"/>
      <x:c r="J298" s="74"/>
      <x:c r="K298" s="74"/>
      <x:c r="L298" s="74"/>
      <x:c r="M298" s="91"/>
      <x:c r="N298" s="85"/>
      <x:c r="P298" s="86"/>
      <x:c r="Q298" s="32"/>
    </x:row>
    <x:row r="299">
      <x:c r="A299" s="87"/>
      <x:c r="D299" s="32"/>
      <x:c r="I299" s="74"/>
      <x:c r="J299" s="74"/>
      <x:c r="K299" s="74"/>
      <x:c r="L299" s="74"/>
      <x:c r="M299" s="91"/>
      <x:c r="N299" s="85"/>
      <x:c r="P299" s="86"/>
      <x:c r="Q299" s="32"/>
    </x:row>
    <x:row r="300">
      <x:c r="A300" s="87"/>
      <x:c r="D300" s="32"/>
      <x:c r="I300" s="74"/>
      <x:c r="J300" s="74"/>
      <x:c r="K300" s="74"/>
      <x:c r="L300" s="74"/>
      <x:c r="M300" s="91"/>
      <x:c r="N300" s="85"/>
      <x:c r="P300" s="86"/>
      <x:c r="Q300" s="32"/>
    </x:row>
    <x:row r="301">
      <x:c r="A301" s="87"/>
      <x:c r="D301" s="32"/>
      <x:c r="I301" s="74"/>
      <x:c r="J301" s="74"/>
      <x:c r="K301" s="74"/>
      <x:c r="L301" s="74"/>
      <x:c r="M301" s="91"/>
      <x:c r="N301" s="85"/>
      <x:c r="P301" s="86"/>
      <x:c r="Q301" s="32"/>
    </x:row>
    <x:row r="302">
      <x:c r="A302" s="87"/>
      <x:c r="D302" s="32"/>
      <x:c r="I302" s="74"/>
      <x:c r="J302" s="74"/>
      <x:c r="K302" s="74"/>
      <x:c r="L302" s="74"/>
      <x:c r="M302" s="91"/>
      <x:c r="N302" s="85"/>
      <x:c r="P302" s="86"/>
      <x:c r="Q302" s="32"/>
    </x:row>
    <x:row r="303">
      <x:c r="A303" s="87"/>
      <x:c r="D303" s="32"/>
      <x:c r="I303" s="74"/>
      <x:c r="J303" s="74"/>
      <x:c r="K303" s="74"/>
      <x:c r="L303" s="74"/>
      <x:c r="M303" s="91"/>
      <x:c r="N303" s="85"/>
      <x:c r="P303" s="86"/>
      <x:c r="Q303" s="32"/>
    </x:row>
    <x:row r="304">
      <x:c r="A304" s="87"/>
      <x:c r="D304" s="32"/>
      <x:c r="I304" s="74"/>
      <x:c r="J304" s="74"/>
      <x:c r="K304" s="74"/>
      <x:c r="L304" s="74"/>
      <x:c r="M304" s="91"/>
      <x:c r="N304" s="85"/>
      <x:c r="P304" s="86"/>
      <x:c r="Q304" s="32"/>
    </x:row>
    <x:row r="305">
      <x:c r="A305" s="87"/>
      <x:c r="D305" s="32"/>
      <x:c r="I305" s="74"/>
      <x:c r="J305" s="74"/>
      <x:c r="K305" s="74"/>
      <x:c r="L305" s="74"/>
      <x:c r="M305" s="91"/>
      <x:c r="N305" s="85"/>
      <x:c r="P305" s="86"/>
      <x:c r="Q305" s="32"/>
    </x:row>
    <x:row r="306">
      <x:c r="A306" s="87"/>
      <x:c r="D306" s="32"/>
      <x:c r="I306" s="74"/>
      <x:c r="J306" s="74"/>
      <x:c r="K306" s="74"/>
      <x:c r="L306" s="74"/>
      <x:c r="M306" s="91"/>
      <x:c r="N306" s="85"/>
      <x:c r="P306" s="86"/>
      <x:c r="Q306" s="32"/>
    </x:row>
    <x:row r="307">
      <x:c r="A307" s="87"/>
      <x:c r="D307" s="32"/>
      <x:c r="I307" s="74"/>
      <x:c r="J307" s="74"/>
      <x:c r="K307" s="74"/>
      <x:c r="L307" s="74"/>
      <x:c r="M307" s="91"/>
      <x:c r="N307" s="85"/>
      <x:c r="P307" s="86"/>
      <x:c r="Q307" s="32"/>
    </x:row>
    <x:row r="308">
      <x:c r="A308" s="87"/>
      <x:c r="D308" s="32"/>
      <x:c r="I308" s="74"/>
      <x:c r="J308" s="74"/>
      <x:c r="K308" s="74"/>
      <x:c r="L308" s="74"/>
      <x:c r="M308" s="91"/>
      <x:c r="N308" s="85"/>
      <x:c r="P308" s="86"/>
      <x:c r="Q308" s="32"/>
    </x:row>
    <x:row r="309">
      <x:c r="A309" s="87"/>
      <x:c r="D309" s="32"/>
      <x:c r="I309" s="74"/>
      <x:c r="J309" s="74"/>
      <x:c r="K309" s="74"/>
      <x:c r="L309" s="74"/>
      <x:c r="M309" s="91"/>
      <x:c r="N309" s="85"/>
      <x:c r="P309" s="86"/>
      <x:c r="Q309" s="32"/>
    </x:row>
    <x:row r="310">
      <x:c r="A310" s="87"/>
      <x:c r="D310" s="32"/>
      <x:c r="I310" s="74"/>
      <x:c r="J310" s="74"/>
      <x:c r="K310" s="74"/>
      <x:c r="L310" s="74"/>
      <x:c r="M310" s="91"/>
      <x:c r="N310" s="85"/>
      <x:c r="P310" s="86"/>
      <x:c r="Q310" s="32"/>
    </x:row>
    <x:row r="311">
      <x:c r="A311" s="87"/>
      <x:c r="D311" s="32"/>
      <x:c r="I311" s="74"/>
      <x:c r="J311" s="74"/>
      <x:c r="K311" s="74"/>
      <x:c r="L311" s="74"/>
      <x:c r="M311" s="91"/>
      <x:c r="N311" s="85"/>
      <x:c r="P311" s="86"/>
      <x:c r="Q311" s="32"/>
    </x:row>
    <x:row r="312">
      <x:c r="A312" s="87"/>
      <x:c r="D312" s="32"/>
      <x:c r="I312" s="74"/>
      <x:c r="J312" s="74"/>
      <x:c r="K312" s="74"/>
      <x:c r="L312" s="74"/>
      <x:c r="M312" s="91"/>
      <x:c r="N312" s="85"/>
      <x:c r="P312" s="86"/>
      <x:c r="Q312" s="32"/>
    </x:row>
    <x:row r="313">
      <x:c r="A313" s="87"/>
      <x:c r="D313" s="32"/>
      <x:c r="I313" s="74"/>
      <x:c r="J313" s="74"/>
      <x:c r="K313" s="74"/>
      <x:c r="L313" s="74"/>
      <x:c r="M313" s="91"/>
      <x:c r="N313" s="85"/>
      <x:c r="P313" s="86"/>
      <x:c r="Q313" s="32"/>
    </x:row>
    <x:row r="314">
      <x:c r="A314" s="87"/>
      <x:c r="D314" s="32"/>
      <x:c r="I314" s="74"/>
      <x:c r="J314" s="74"/>
      <x:c r="K314" s="74"/>
      <x:c r="L314" s="74"/>
      <x:c r="M314" s="91"/>
      <x:c r="N314" s="85"/>
      <x:c r="P314" s="86"/>
      <x:c r="Q314" s="32"/>
    </x:row>
    <x:row r="315">
      <x:c r="A315" s="87"/>
      <x:c r="D315" s="32"/>
      <x:c r="I315" s="74"/>
      <x:c r="J315" s="74"/>
      <x:c r="K315" s="74"/>
      <x:c r="L315" s="74"/>
      <x:c r="M315" s="91"/>
      <x:c r="N315" s="85"/>
      <x:c r="P315" s="86"/>
      <x:c r="Q315" s="32"/>
    </x:row>
    <x:row r="316">
      <x:c r="A316" s="87"/>
      <x:c r="D316" s="32"/>
      <x:c r="I316" s="74"/>
      <x:c r="J316" s="74"/>
      <x:c r="K316" s="74"/>
      <x:c r="L316" s="74"/>
      <x:c r="M316" s="91"/>
      <x:c r="N316" s="85"/>
      <x:c r="P316" s="86"/>
      <x:c r="Q316" s="32"/>
    </x:row>
    <x:row r="317">
      <x:c r="A317" s="87"/>
      <x:c r="D317" s="32"/>
      <x:c r="I317" s="74"/>
      <x:c r="J317" s="74"/>
      <x:c r="K317" s="74"/>
      <x:c r="L317" s="74"/>
      <x:c r="M317" s="91"/>
      <x:c r="N317" s="85"/>
      <x:c r="P317" s="86"/>
      <x:c r="Q317" s="32"/>
    </x:row>
    <x:row r="318">
      <x:c r="A318" s="87"/>
      <x:c r="D318" s="32"/>
      <x:c r="I318" s="74"/>
      <x:c r="J318" s="74"/>
      <x:c r="K318" s="74"/>
      <x:c r="L318" s="74"/>
      <x:c r="M318" s="91"/>
      <x:c r="N318" s="85"/>
      <x:c r="P318" s="86"/>
      <x:c r="Q318" s="32"/>
    </x:row>
    <x:row r="319">
      <x:c r="A319" s="87"/>
      <x:c r="D319" s="32"/>
      <x:c r="I319" s="74"/>
      <x:c r="J319" s="74"/>
      <x:c r="K319" s="74"/>
      <x:c r="L319" s="74"/>
      <x:c r="M319" s="91"/>
      <x:c r="N319" s="85"/>
      <x:c r="P319" s="86"/>
      <x:c r="Q319" s="32"/>
    </x:row>
    <x:row r="320">
      <x:c r="A320" s="87"/>
      <x:c r="D320" s="32"/>
      <x:c r="I320" s="74"/>
      <x:c r="J320" s="74"/>
      <x:c r="K320" s="74"/>
      <x:c r="L320" s="74"/>
      <x:c r="M320" s="91"/>
      <x:c r="N320" s="85"/>
      <x:c r="P320" s="86"/>
      <x:c r="Q320" s="32"/>
    </x:row>
    <x:row r="321">
      <x:c r="A321" s="87"/>
      <x:c r="D321" s="32"/>
      <x:c r="I321" s="74"/>
      <x:c r="J321" s="74"/>
      <x:c r="K321" s="74"/>
      <x:c r="L321" s="74"/>
      <x:c r="M321" s="91"/>
      <x:c r="N321" s="85"/>
      <x:c r="P321" s="86"/>
      <x:c r="Q321" s="32"/>
    </x:row>
    <x:row r="322">
      <x:c r="A322" s="87"/>
      <x:c r="D322" s="32"/>
      <x:c r="I322" s="74"/>
      <x:c r="J322" s="74"/>
      <x:c r="K322" s="74"/>
      <x:c r="L322" s="74"/>
      <x:c r="M322" s="91"/>
      <x:c r="N322" s="85"/>
      <x:c r="P322" s="86"/>
      <x:c r="Q322" s="32"/>
    </x:row>
    <x:row r="323">
      <x:c r="A323" s="87"/>
      <x:c r="D323" s="32"/>
      <x:c r="I323" s="74"/>
      <x:c r="J323" s="74"/>
      <x:c r="K323" s="74"/>
      <x:c r="L323" s="74"/>
      <x:c r="M323" s="91"/>
      <x:c r="N323" s="85"/>
      <x:c r="P323" s="86"/>
      <x:c r="Q323" s="32"/>
    </x:row>
    <x:row r="324">
      <x:c r="A324" s="87"/>
      <x:c r="D324" s="32"/>
      <x:c r="I324" s="74"/>
      <x:c r="J324" s="74"/>
      <x:c r="K324" s="74"/>
      <x:c r="L324" s="74"/>
      <x:c r="M324" s="91"/>
      <x:c r="N324" s="85"/>
      <x:c r="P324" s="86"/>
      <x:c r="Q324" s="32"/>
    </x:row>
    <x:row r="325">
      <x:c r="A325" s="87"/>
      <x:c r="D325" s="32"/>
      <x:c r="I325" s="74"/>
      <x:c r="J325" s="74"/>
      <x:c r="K325" s="74"/>
      <x:c r="L325" s="74"/>
      <x:c r="M325" s="91"/>
      <x:c r="N325" s="85"/>
      <x:c r="P325" s="86"/>
      <x:c r="Q325" s="32"/>
    </x:row>
    <x:row r="326">
      <x:c r="A326" s="87"/>
      <x:c r="D326" s="32"/>
      <x:c r="I326" s="74"/>
      <x:c r="J326" s="74"/>
      <x:c r="K326" s="74"/>
      <x:c r="L326" s="74"/>
      <x:c r="M326" s="91"/>
      <x:c r="N326" s="85"/>
      <x:c r="P326" s="86"/>
      <x:c r="Q326" s="32"/>
    </x:row>
    <x:row r="327">
      <x:c r="A327" s="87"/>
      <x:c r="D327" s="32"/>
      <x:c r="I327" s="74"/>
      <x:c r="J327" s="74"/>
      <x:c r="K327" s="74"/>
      <x:c r="L327" s="74"/>
      <x:c r="M327" s="91"/>
      <x:c r="N327" s="85"/>
      <x:c r="P327" s="86"/>
      <x:c r="Q327" s="32"/>
    </x:row>
    <x:row r="328">
      <x:c r="A328" s="87"/>
      <x:c r="D328" s="32"/>
      <x:c r="I328" s="74"/>
      <x:c r="J328" s="74"/>
      <x:c r="K328" s="74"/>
      <x:c r="L328" s="74"/>
      <x:c r="M328" s="91"/>
      <x:c r="N328" s="85"/>
      <x:c r="P328" s="86"/>
      <x:c r="Q328" s="32"/>
    </x:row>
    <x:row r="329">
      <x:c r="A329" s="87"/>
      <x:c r="D329" s="32"/>
      <x:c r="I329" s="74"/>
      <x:c r="J329" s="74"/>
      <x:c r="K329" s="74"/>
      <x:c r="L329" s="74"/>
      <x:c r="M329" s="91"/>
      <x:c r="N329" s="85"/>
      <x:c r="P329" s="86"/>
      <x:c r="Q329" s="32"/>
    </x:row>
    <x:row r="330">
      <x:c r="A330" s="87"/>
      <x:c r="D330" s="32"/>
      <x:c r="I330" s="74"/>
      <x:c r="J330" s="74"/>
      <x:c r="K330" s="74"/>
      <x:c r="L330" s="74"/>
      <x:c r="M330" s="91"/>
      <x:c r="N330" s="85"/>
      <x:c r="P330" s="86"/>
      <x:c r="Q330" s="32"/>
    </x:row>
    <x:row r="331">
      <x:c r="A331" s="87"/>
      <x:c r="D331" s="32"/>
      <x:c r="I331" s="74"/>
      <x:c r="J331" s="74"/>
      <x:c r="K331" s="74"/>
      <x:c r="L331" s="74"/>
      <x:c r="M331" s="91"/>
      <x:c r="N331" s="85"/>
      <x:c r="P331" s="86"/>
      <x:c r="Q331" s="32"/>
    </x:row>
    <x:row r="332">
      <x:c r="A332" s="87"/>
      <x:c r="D332" s="32"/>
      <x:c r="I332" s="74"/>
      <x:c r="J332" s="74"/>
      <x:c r="K332" s="74"/>
      <x:c r="L332" s="74"/>
      <x:c r="M332" s="91"/>
      <x:c r="N332" s="85"/>
      <x:c r="P332" s="86"/>
      <x:c r="Q332" s="32"/>
    </x:row>
    <x:row r="333">
      <x:c r="A333" s="87"/>
      <x:c r="D333" s="32"/>
      <x:c r="I333" s="74"/>
      <x:c r="J333" s="74"/>
      <x:c r="K333" s="74"/>
      <x:c r="L333" s="74"/>
      <x:c r="M333" s="91"/>
      <x:c r="N333" s="85"/>
      <x:c r="P333" s="86"/>
      <x:c r="Q333" s="32"/>
    </x:row>
    <x:row r="334">
      <x:c r="A334" s="87"/>
      <x:c r="D334" s="32"/>
      <x:c r="I334" s="74"/>
      <x:c r="J334" s="74"/>
      <x:c r="K334" s="74"/>
      <x:c r="L334" s="74"/>
      <x:c r="M334" s="91"/>
      <x:c r="N334" s="85"/>
      <x:c r="P334" s="86"/>
      <x:c r="Q334" s="32"/>
    </x:row>
    <x:row r="335">
      <x:c r="A335" s="87"/>
      <x:c r="D335" s="32"/>
      <x:c r="I335" s="74"/>
      <x:c r="J335" s="74"/>
      <x:c r="K335" s="74"/>
      <x:c r="L335" s="74"/>
      <x:c r="M335" s="91"/>
      <x:c r="N335" s="85"/>
      <x:c r="P335" s="86"/>
      <x:c r="Q335" s="32"/>
    </x:row>
    <x:row r="336">
      <x:c r="A336" s="87"/>
      <x:c r="D336" s="32"/>
      <x:c r="I336" s="74"/>
      <x:c r="J336" s="74"/>
      <x:c r="K336" s="74"/>
      <x:c r="L336" s="74"/>
      <x:c r="M336" s="91"/>
      <x:c r="N336" s="85"/>
      <x:c r="P336" s="86"/>
      <x:c r="Q336" s="32"/>
    </x:row>
    <x:row r="337">
      <x:c r="A337" s="87"/>
      <x:c r="D337" s="32"/>
      <x:c r="I337" s="74"/>
      <x:c r="J337" s="74"/>
      <x:c r="K337" s="74"/>
      <x:c r="L337" s="74"/>
      <x:c r="M337" s="91"/>
      <x:c r="N337" s="85"/>
      <x:c r="P337" s="86"/>
      <x:c r="Q337" s="32"/>
    </x:row>
    <x:row r="338">
      <x:c r="A338" s="87"/>
      <x:c r="D338" s="32"/>
      <x:c r="I338" s="74"/>
      <x:c r="J338" s="74"/>
      <x:c r="K338" s="74"/>
      <x:c r="L338" s="74"/>
      <x:c r="M338" s="91"/>
      <x:c r="N338" s="85"/>
      <x:c r="P338" s="86"/>
      <x:c r="Q338" s="32"/>
    </x:row>
    <x:row r="339">
      <x:c r="A339" s="87"/>
      <x:c r="D339" s="32"/>
      <x:c r="I339" s="74"/>
      <x:c r="J339" s="74"/>
      <x:c r="K339" s="74"/>
      <x:c r="L339" s="74"/>
      <x:c r="M339" s="91"/>
      <x:c r="N339" s="85"/>
      <x:c r="P339" s="86"/>
      <x:c r="Q339" s="32"/>
    </x:row>
    <x:row r="340">
      <x:c r="A340" s="87"/>
      <x:c r="D340" s="32"/>
      <x:c r="I340" s="74"/>
      <x:c r="J340" s="74"/>
      <x:c r="K340" s="74"/>
      <x:c r="L340" s="74"/>
      <x:c r="M340" s="91"/>
      <x:c r="N340" s="85"/>
      <x:c r="P340" s="86"/>
      <x:c r="Q340" s="32"/>
    </x:row>
    <x:row r="341">
      <x:c r="A341" s="87"/>
      <x:c r="D341" s="32"/>
      <x:c r="I341" s="74"/>
      <x:c r="J341" s="74"/>
      <x:c r="K341" s="74"/>
      <x:c r="L341" s="74"/>
      <x:c r="M341" s="91"/>
      <x:c r="N341" s="85"/>
      <x:c r="P341" s="86"/>
      <x:c r="Q341" s="32"/>
    </x:row>
    <x:row r="342">
      <x:c r="A342" s="87"/>
      <x:c r="D342" s="32"/>
      <x:c r="I342" s="74"/>
      <x:c r="J342" s="74"/>
      <x:c r="K342" s="74"/>
      <x:c r="L342" s="74"/>
      <x:c r="M342" s="91"/>
      <x:c r="N342" s="85"/>
      <x:c r="P342" s="86"/>
      <x:c r="Q342" s="32"/>
    </x:row>
    <x:row r="343">
      <x:c r="A343" s="87"/>
      <x:c r="D343" s="32"/>
      <x:c r="I343" s="74"/>
      <x:c r="J343" s="74"/>
      <x:c r="K343" s="74"/>
      <x:c r="L343" s="74"/>
      <x:c r="M343" s="91"/>
      <x:c r="N343" s="85"/>
      <x:c r="P343" s="86"/>
      <x:c r="Q343" s="32"/>
    </x:row>
    <x:row r="344">
      <x:c r="A344" s="87"/>
      <x:c r="D344" s="32"/>
      <x:c r="I344" s="74"/>
      <x:c r="J344" s="74"/>
      <x:c r="K344" s="74"/>
      <x:c r="L344" s="74"/>
      <x:c r="M344" s="91"/>
      <x:c r="N344" s="85"/>
      <x:c r="P344" s="86"/>
      <x:c r="Q344" s="32"/>
    </x:row>
    <x:row r="345">
      <x:c r="A345" s="87"/>
      <x:c r="D345" s="32"/>
      <x:c r="I345" s="74"/>
      <x:c r="J345" s="74"/>
      <x:c r="K345" s="74"/>
      <x:c r="L345" s="74"/>
      <x:c r="M345" s="91"/>
      <x:c r="N345" s="85"/>
      <x:c r="P345" s="86"/>
      <x:c r="Q345" s="32"/>
    </x:row>
    <x:row r="346">
      <x:c r="A346" s="87"/>
      <x:c r="D346" s="32"/>
      <x:c r="I346" s="74"/>
      <x:c r="J346" s="74"/>
      <x:c r="K346" s="74"/>
      <x:c r="L346" s="74"/>
      <x:c r="M346" s="91"/>
      <x:c r="N346" s="85"/>
      <x:c r="P346" s="86"/>
      <x:c r="Q346" s="32"/>
    </x:row>
    <x:row r="347">
      <x:c r="A347" s="87"/>
      <x:c r="D347" s="32"/>
      <x:c r="I347" s="74"/>
      <x:c r="J347" s="74"/>
      <x:c r="K347" s="74"/>
      <x:c r="L347" s="74"/>
      <x:c r="M347" s="91"/>
      <x:c r="N347" s="85"/>
      <x:c r="P347" s="86"/>
      <x:c r="Q347" s="32"/>
    </x:row>
    <x:row r="348">
      <x:c r="A348" s="87"/>
      <x:c r="D348" s="32"/>
      <x:c r="I348" s="74"/>
      <x:c r="J348" s="74"/>
      <x:c r="K348" s="74"/>
      <x:c r="L348" s="74"/>
      <x:c r="M348" s="91"/>
      <x:c r="N348" s="85"/>
      <x:c r="P348" s="86"/>
      <x:c r="Q348" s="32"/>
    </x:row>
    <x:row r="349">
      <x:c r="A349" s="87"/>
      <x:c r="D349" s="32"/>
      <x:c r="I349" s="74"/>
      <x:c r="J349" s="74"/>
      <x:c r="K349" s="74"/>
      <x:c r="L349" s="74"/>
      <x:c r="M349" s="91"/>
      <x:c r="N349" s="85"/>
      <x:c r="P349" s="86"/>
      <x:c r="Q349" s="32"/>
    </x:row>
    <x:row r="350">
      <x:c r="A350" s="87"/>
      <x:c r="D350" s="32"/>
      <x:c r="I350" s="74"/>
      <x:c r="J350" s="74"/>
      <x:c r="K350" s="74"/>
      <x:c r="L350" s="74"/>
      <x:c r="M350" s="91"/>
      <x:c r="N350" s="85"/>
      <x:c r="P350" s="86"/>
      <x:c r="Q350" s="32"/>
    </x:row>
    <x:row r="351">
      <x:c r="A351" s="87"/>
      <x:c r="D351" s="32"/>
      <x:c r="I351" s="74"/>
      <x:c r="J351" s="74"/>
      <x:c r="K351" s="74"/>
      <x:c r="L351" s="74"/>
      <x:c r="M351" s="91"/>
      <x:c r="N351" s="85"/>
      <x:c r="P351" s="86"/>
      <x:c r="Q351" s="32"/>
    </x:row>
    <x:row r="352">
      <x:c r="A352" s="87"/>
      <x:c r="D352" s="32"/>
      <x:c r="I352" s="74"/>
      <x:c r="J352" s="74"/>
      <x:c r="K352" s="74"/>
      <x:c r="L352" s="74"/>
      <x:c r="M352" s="91"/>
      <x:c r="N352" s="85"/>
      <x:c r="P352" s="86"/>
      <x:c r="Q352" s="32"/>
    </x:row>
    <x:row r="353">
      <x:c r="A353" s="87"/>
      <x:c r="D353" s="32"/>
      <x:c r="I353" s="74"/>
      <x:c r="J353" s="74"/>
      <x:c r="K353" s="74"/>
      <x:c r="L353" s="74"/>
      <x:c r="M353" s="91"/>
      <x:c r="N353" s="85"/>
      <x:c r="P353" s="86"/>
      <x:c r="Q353" s="32"/>
    </x:row>
    <x:row r="354">
      <x:c r="A354" s="87"/>
      <x:c r="D354" s="32"/>
      <x:c r="I354" s="74"/>
      <x:c r="J354" s="74"/>
      <x:c r="K354" s="74"/>
      <x:c r="L354" s="74"/>
      <x:c r="M354" s="91"/>
      <x:c r="N354" s="85"/>
      <x:c r="P354" s="86"/>
      <x:c r="Q354" s="32"/>
    </x:row>
    <x:row r="355">
      <x:c r="A355" s="87"/>
      <x:c r="D355" s="32"/>
      <x:c r="I355" s="74"/>
      <x:c r="J355" s="74"/>
      <x:c r="K355" s="74"/>
      <x:c r="L355" s="74"/>
      <x:c r="M355" s="91"/>
      <x:c r="N355" s="85"/>
      <x:c r="P355" s="86"/>
      <x:c r="Q355" s="32"/>
    </x:row>
    <x:row r="356">
      <x:c r="A356" s="87"/>
      <x:c r="D356" s="32"/>
      <x:c r="I356" s="74"/>
      <x:c r="J356" s="74"/>
      <x:c r="K356" s="74"/>
      <x:c r="L356" s="74"/>
      <x:c r="M356" s="91"/>
      <x:c r="N356" s="85"/>
      <x:c r="P356" s="86"/>
      <x:c r="Q356" s="32"/>
    </x:row>
    <x:row r="357">
      <x:c r="A357" s="87"/>
      <x:c r="D357" s="32"/>
      <x:c r="I357" s="74"/>
      <x:c r="J357" s="74"/>
      <x:c r="K357" s="74"/>
      <x:c r="L357" s="74"/>
      <x:c r="M357" s="91"/>
      <x:c r="N357" s="85"/>
      <x:c r="P357" s="86"/>
      <x:c r="Q357" s="32"/>
    </x:row>
    <x:row r="358">
      <x:c r="A358" s="87"/>
      <x:c r="D358" s="32"/>
      <x:c r="I358" s="74"/>
      <x:c r="J358" s="74"/>
      <x:c r="K358" s="74"/>
      <x:c r="L358" s="74"/>
      <x:c r="M358" s="91"/>
      <x:c r="N358" s="85"/>
      <x:c r="P358" s="86"/>
      <x:c r="Q358" s="32"/>
    </x:row>
    <x:row r="359">
      <x:c r="A359" s="87"/>
      <x:c r="D359" s="32"/>
      <x:c r="I359" s="74"/>
      <x:c r="J359" s="74"/>
      <x:c r="K359" s="74"/>
      <x:c r="L359" s="74"/>
      <x:c r="M359" s="91"/>
      <x:c r="N359" s="85"/>
      <x:c r="P359" s="86"/>
      <x:c r="Q359" s="32"/>
    </x:row>
    <x:row r="360">
      <x:c r="A360" s="87"/>
      <x:c r="D360" s="32"/>
      <x:c r="I360" s="74"/>
      <x:c r="J360" s="74"/>
      <x:c r="K360" s="74"/>
      <x:c r="L360" s="74"/>
      <x:c r="M360" s="91"/>
      <x:c r="N360" s="85"/>
      <x:c r="P360" s="86"/>
      <x:c r="Q360" s="32"/>
    </x:row>
    <x:row r="361">
      <x:c r="A361" s="87"/>
      <x:c r="D361" s="32"/>
      <x:c r="I361" s="74"/>
      <x:c r="J361" s="74"/>
      <x:c r="K361" s="74"/>
      <x:c r="L361" s="74"/>
      <x:c r="M361" s="91"/>
      <x:c r="N361" s="85"/>
      <x:c r="P361" s="86"/>
      <x:c r="Q361" s="32"/>
    </x:row>
    <x:row r="362">
      <x:c r="A362" s="87"/>
      <x:c r="D362" s="32"/>
      <x:c r="I362" s="74"/>
      <x:c r="J362" s="74"/>
      <x:c r="K362" s="74"/>
      <x:c r="L362" s="74"/>
      <x:c r="M362" s="91"/>
      <x:c r="N362" s="85"/>
      <x:c r="P362" s="86"/>
      <x:c r="Q362" s="32"/>
    </x:row>
    <x:row r="363">
      <x:c r="A363" s="87"/>
      <x:c r="D363" s="32"/>
      <x:c r="I363" s="74"/>
      <x:c r="J363" s="74"/>
      <x:c r="K363" s="74"/>
      <x:c r="L363" s="74"/>
      <x:c r="M363" s="91"/>
      <x:c r="N363" s="85"/>
      <x:c r="P363" s="86"/>
      <x:c r="Q363" s="32"/>
    </x:row>
    <x:row r="364">
      <x:c r="A364" s="87"/>
      <x:c r="D364" s="32"/>
      <x:c r="I364" s="74"/>
      <x:c r="J364" s="74"/>
      <x:c r="K364" s="74"/>
      <x:c r="L364" s="74"/>
      <x:c r="M364" s="91"/>
      <x:c r="N364" s="85"/>
      <x:c r="P364" s="86"/>
      <x:c r="Q364" s="32"/>
    </x:row>
    <x:row r="365">
      <x:c r="A365" s="87"/>
      <x:c r="D365" s="32"/>
      <x:c r="I365" s="74"/>
      <x:c r="J365" s="74"/>
      <x:c r="K365" s="74"/>
      <x:c r="L365" s="74"/>
      <x:c r="M365" s="91"/>
      <x:c r="N365" s="85"/>
      <x:c r="P365" s="86"/>
      <x:c r="Q365" s="32"/>
    </x:row>
    <x:row r="366">
      <x:c r="A366" s="87"/>
      <x:c r="D366" s="32"/>
      <x:c r="I366" s="74"/>
      <x:c r="J366" s="74"/>
      <x:c r="K366" s="74"/>
      <x:c r="L366" s="74"/>
      <x:c r="M366" s="91"/>
      <x:c r="N366" s="85"/>
      <x:c r="P366" s="86"/>
      <x:c r="Q366" s="32"/>
    </x:row>
    <x:row r="367">
      <x:c r="A367" s="87"/>
      <x:c r="D367" s="32"/>
      <x:c r="I367" s="74"/>
      <x:c r="J367" s="74"/>
      <x:c r="K367" s="74"/>
      <x:c r="L367" s="74"/>
      <x:c r="M367" s="91"/>
      <x:c r="N367" s="85"/>
      <x:c r="P367" s="86"/>
      <x:c r="Q367" s="32"/>
    </x:row>
    <x:row r="368">
      <x:c r="A368" s="87"/>
      <x:c r="D368" s="32"/>
      <x:c r="I368" s="74"/>
      <x:c r="J368" s="74"/>
      <x:c r="K368" s="74"/>
      <x:c r="L368" s="74"/>
      <x:c r="M368" s="91"/>
      <x:c r="N368" s="85"/>
      <x:c r="P368" s="86"/>
      <x:c r="Q368" s="32"/>
    </x:row>
    <x:row r="369">
      <x:c r="A369" s="87"/>
      <x:c r="D369" s="32"/>
      <x:c r="I369" s="74"/>
      <x:c r="J369" s="74"/>
      <x:c r="K369" s="74"/>
      <x:c r="L369" s="74"/>
      <x:c r="M369" s="91"/>
      <x:c r="N369" s="85"/>
      <x:c r="P369" s="86"/>
      <x:c r="Q369" s="32"/>
    </x:row>
    <x:row r="370">
      <x:c r="A370" s="87"/>
      <x:c r="D370" s="32"/>
      <x:c r="I370" s="74"/>
      <x:c r="J370" s="74"/>
      <x:c r="K370" s="74"/>
      <x:c r="L370" s="74"/>
      <x:c r="M370" s="91"/>
      <x:c r="N370" s="85"/>
      <x:c r="P370" s="86"/>
      <x:c r="Q370" s="32"/>
    </x:row>
    <x:row r="371">
      <x:c r="A371" s="87"/>
      <x:c r="D371" s="32"/>
      <x:c r="I371" s="74"/>
      <x:c r="J371" s="74"/>
      <x:c r="K371" s="74"/>
      <x:c r="L371" s="74"/>
      <x:c r="M371" s="91"/>
      <x:c r="N371" s="85"/>
      <x:c r="P371" s="86"/>
      <x:c r="Q371" s="32"/>
    </x:row>
    <x:row r="372">
      <x:c r="A372" s="87"/>
      <x:c r="D372" s="32"/>
      <x:c r="I372" s="74"/>
      <x:c r="J372" s="74"/>
      <x:c r="K372" s="74"/>
      <x:c r="L372" s="74"/>
      <x:c r="M372" s="91"/>
      <x:c r="N372" s="85"/>
      <x:c r="P372" s="86"/>
      <x:c r="Q372" s="32"/>
    </x:row>
    <x:row r="373">
      <x:c r="A373" s="87"/>
      <x:c r="D373" s="32"/>
      <x:c r="I373" s="74"/>
      <x:c r="J373" s="74"/>
      <x:c r="K373" s="74"/>
      <x:c r="L373" s="74"/>
      <x:c r="M373" s="91"/>
      <x:c r="N373" s="85"/>
      <x:c r="P373" s="86"/>
      <x:c r="Q373" s="32"/>
    </x:row>
    <x:row r="374">
      <x:c r="A374" s="87"/>
      <x:c r="D374" s="32"/>
      <x:c r="I374" s="74"/>
      <x:c r="J374" s="74"/>
      <x:c r="K374" s="74"/>
      <x:c r="L374" s="74"/>
      <x:c r="M374" s="91"/>
      <x:c r="N374" s="85"/>
      <x:c r="P374" s="86"/>
      <x:c r="Q374" s="32"/>
    </x:row>
    <x:row r="375">
      <x:c r="A375" s="87"/>
      <x:c r="D375" s="32"/>
      <x:c r="I375" s="74"/>
      <x:c r="J375" s="74"/>
      <x:c r="K375" s="74"/>
      <x:c r="L375" s="74"/>
      <x:c r="M375" s="91"/>
      <x:c r="N375" s="85"/>
      <x:c r="P375" s="86"/>
      <x:c r="Q375" s="32"/>
    </x:row>
    <x:row r="376">
      <x:c r="A376" s="87"/>
      <x:c r="D376" s="32"/>
      <x:c r="I376" s="74"/>
      <x:c r="J376" s="74"/>
      <x:c r="K376" s="74"/>
      <x:c r="L376" s="74"/>
      <x:c r="M376" s="91"/>
      <x:c r="N376" s="85"/>
      <x:c r="P376" s="86"/>
      <x:c r="Q376" s="32"/>
    </x:row>
    <x:row r="377">
      <x:c r="A377" s="87"/>
      <x:c r="D377" s="32"/>
      <x:c r="I377" s="74"/>
      <x:c r="J377" s="74"/>
      <x:c r="K377" s="74"/>
      <x:c r="L377" s="74"/>
      <x:c r="M377" s="91"/>
      <x:c r="N377" s="85"/>
      <x:c r="P377" s="86"/>
      <x:c r="Q377" s="32"/>
    </x:row>
    <x:row r="378">
      <x:c r="A378" s="87"/>
      <x:c r="D378" s="32"/>
      <x:c r="I378" s="74"/>
      <x:c r="J378" s="74"/>
      <x:c r="K378" s="74"/>
      <x:c r="L378" s="74"/>
      <x:c r="M378" s="91"/>
      <x:c r="N378" s="85"/>
      <x:c r="P378" s="86"/>
      <x:c r="Q378" s="32"/>
    </x:row>
    <x:row r="379">
      <x:c r="A379" s="87"/>
      <x:c r="D379" s="32"/>
      <x:c r="I379" s="74"/>
      <x:c r="J379" s="74"/>
      <x:c r="K379" s="74"/>
      <x:c r="L379" s="74"/>
      <x:c r="M379" s="91"/>
      <x:c r="N379" s="85"/>
      <x:c r="P379" s="86"/>
      <x:c r="Q379" s="32"/>
    </x:row>
    <x:row r="380">
      <x:c r="A380" s="87"/>
      <x:c r="D380" s="32"/>
      <x:c r="I380" s="74"/>
      <x:c r="J380" s="74"/>
      <x:c r="K380" s="74"/>
      <x:c r="L380" s="74"/>
      <x:c r="M380" s="91"/>
      <x:c r="N380" s="85"/>
      <x:c r="P380" s="86"/>
      <x:c r="Q380" s="32"/>
    </x:row>
    <x:row r="381">
      <x:c r="A381" s="87"/>
      <x:c r="D381" s="32"/>
      <x:c r="I381" s="74"/>
      <x:c r="J381" s="74"/>
      <x:c r="K381" s="74"/>
      <x:c r="L381" s="74"/>
      <x:c r="M381" s="91"/>
      <x:c r="N381" s="85"/>
      <x:c r="P381" s="86"/>
      <x:c r="Q381" s="32"/>
    </x:row>
    <x:row r="382">
      <x:c r="A382" s="87"/>
      <x:c r="D382" s="32"/>
      <x:c r="I382" s="74"/>
      <x:c r="J382" s="74"/>
      <x:c r="K382" s="74"/>
      <x:c r="L382" s="74"/>
      <x:c r="M382" s="91"/>
      <x:c r="N382" s="85"/>
      <x:c r="P382" s="86"/>
      <x:c r="Q382" s="32"/>
    </x:row>
    <x:row r="383">
      <x:c r="A383" s="87"/>
      <x:c r="D383" s="32"/>
      <x:c r="I383" s="74"/>
      <x:c r="J383" s="74"/>
      <x:c r="K383" s="74"/>
      <x:c r="L383" s="74"/>
      <x:c r="M383" s="91"/>
      <x:c r="N383" s="85"/>
      <x:c r="P383" s="86"/>
      <x:c r="Q383" s="32"/>
    </x:row>
    <x:row r="384">
      <x:c r="A384" s="87"/>
      <x:c r="D384" s="32"/>
      <x:c r="I384" s="74"/>
      <x:c r="J384" s="74"/>
      <x:c r="K384" s="74"/>
      <x:c r="L384" s="74"/>
      <x:c r="M384" s="91"/>
      <x:c r="N384" s="85"/>
      <x:c r="P384" s="86"/>
      <x:c r="Q384" s="32"/>
    </x:row>
    <x:row r="385">
      <x:c r="A385" s="87"/>
      <x:c r="D385" s="32"/>
      <x:c r="I385" s="74"/>
      <x:c r="J385" s="74"/>
      <x:c r="K385" s="74"/>
      <x:c r="L385" s="74"/>
      <x:c r="M385" s="91"/>
      <x:c r="N385" s="85"/>
      <x:c r="P385" s="86"/>
      <x:c r="Q385" s="32"/>
    </x:row>
    <x:row r="386">
      <x:c r="A386" s="87"/>
      <x:c r="D386" s="32"/>
      <x:c r="I386" s="74"/>
      <x:c r="J386" s="74"/>
      <x:c r="K386" s="74"/>
      <x:c r="L386" s="74"/>
      <x:c r="M386" s="91"/>
      <x:c r="N386" s="85"/>
      <x:c r="P386" s="86"/>
      <x:c r="Q386" s="32"/>
    </x:row>
    <x:row r="387">
      <x:c r="A387" s="87"/>
      <x:c r="D387" s="32"/>
      <x:c r="I387" s="74"/>
      <x:c r="J387" s="74"/>
      <x:c r="K387" s="74"/>
      <x:c r="L387" s="74"/>
      <x:c r="M387" s="91"/>
      <x:c r="N387" s="85"/>
      <x:c r="P387" s="86"/>
      <x:c r="Q387" s="32"/>
    </x:row>
    <x:row r="388">
      <x:c r="A388" s="87"/>
      <x:c r="D388" s="32"/>
      <x:c r="I388" s="74"/>
      <x:c r="J388" s="74"/>
      <x:c r="K388" s="74"/>
      <x:c r="L388" s="74"/>
      <x:c r="M388" s="91"/>
      <x:c r="N388" s="85"/>
      <x:c r="P388" s="86"/>
      <x:c r="Q388" s="32"/>
    </x:row>
    <x:row r="389">
      <x:c r="A389" s="87"/>
      <x:c r="D389" s="32"/>
      <x:c r="I389" s="74"/>
      <x:c r="J389" s="74"/>
      <x:c r="K389" s="74"/>
      <x:c r="L389" s="74"/>
      <x:c r="M389" s="91"/>
      <x:c r="N389" s="85"/>
      <x:c r="P389" s="86"/>
      <x:c r="Q389" s="32"/>
    </x:row>
    <x:row r="390">
      <x:c r="A390" s="87"/>
      <x:c r="D390" s="32"/>
      <x:c r="I390" s="74"/>
      <x:c r="J390" s="74"/>
      <x:c r="K390" s="74"/>
      <x:c r="L390" s="74"/>
      <x:c r="M390" s="91"/>
      <x:c r="N390" s="85"/>
      <x:c r="P390" s="86"/>
      <x:c r="Q390" s="32"/>
    </x:row>
    <x:row r="391">
      <x:c r="A391" s="87"/>
      <x:c r="D391" s="32"/>
      <x:c r="I391" s="74"/>
      <x:c r="J391" s="74"/>
      <x:c r="K391" s="74"/>
      <x:c r="L391" s="74"/>
      <x:c r="M391" s="91"/>
      <x:c r="N391" s="85"/>
      <x:c r="P391" s="86"/>
      <x:c r="Q391" s="32"/>
    </x:row>
    <x:row r="392">
      <x:c r="A392" s="87"/>
      <x:c r="D392" s="32"/>
      <x:c r="I392" s="74"/>
      <x:c r="J392" s="74"/>
      <x:c r="K392" s="74"/>
      <x:c r="L392" s="74"/>
      <x:c r="M392" s="91"/>
      <x:c r="N392" s="85"/>
      <x:c r="P392" s="86"/>
      <x:c r="Q392" s="32"/>
    </x:row>
    <x:row r="393">
      <x:c r="A393" s="87"/>
      <x:c r="D393" s="32"/>
      <x:c r="I393" s="74"/>
      <x:c r="J393" s="74"/>
      <x:c r="K393" s="74"/>
      <x:c r="L393" s="74"/>
      <x:c r="M393" s="91"/>
      <x:c r="N393" s="85"/>
      <x:c r="P393" s="86"/>
      <x:c r="Q393" s="32"/>
    </x:row>
    <x:row r="394">
      <x:c r="A394" s="87"/>
      <x:c r="D394" s="32"/>
      <x:c r="I394" s="74"/>
      <x:c r="J394" s="74"/>
      <x:c r="K394" s="74"/>
      <x:c r="L394" s="74"/>
      <x:c r="M394" s="91"/>
      <x:c r="N394" s="85"/>
      <x:c r="P394" s="86"/>
      <x:c r="Q394" s="32"/>
    </x:row>
    <x:row r="395">
      <x:c r="A395" s="87"/>
      <x:c r="D395" s="32"/>
      <x:c r="I395" s="74"/>
      <x:c r="J395" s="74"/>
      <x:c r="K395" s="74"/>
      <x:c r="L395" s="74"/>
      <x:c r="M395" s="91"/>
      <x:c r="N395" s="85"/>
      <x:c r="P395" s="86"/>
      <x:c r="Q395" s="32"/>
    </x:row>
    <x:row r="396">
      <x:c r="A396" s="87"/>
      <x:c r="D396" s="32"/>
      <x:c r="I396" s="74"/>
      <x:c r="J396" s="74"/>
      <x:c r="K396" s="74"/>
      <x:c r="L396" s="74"/>
      <x:c r="M396" s="91"/>
      <x:c r="N396" s="85"/>
      <x:c r="P396" s="86"/>
      <x:c r="Q396" s="32"/>
    </x:row>
    <x:row r="397">
      <x:c r="A397" s="87"/>
      <x:c r="D397" s="32"/>
      <x:c r="I397" s="74"/>
      <x:c r="J397" s="74"/>
      <x:c r="K397" s="74"/>
      <x:c r="L397" s="74"/>
      <x:c r="M397" s="91"/>
      <x:c r="N397" s="85"/>
      <x:c r="P397" s="86"/>
      <x:c r="Q397" s="32"/>
    </x:row>
    <x:row r="398">
      <x:c r="A398" s="87"/>
      <x:c r="D398" s="32"/>
      <x:c r="I398" s="74"/>
      <x:c r="J398" s="74"/>
      <x:c r="K398" s="74"/>
      <x:c r="L398" s="74"/>
      <x:c r="M398" s="91"/>
      <x:c r="N398" s="85"/>
      <x:c r="P398" s="86"/>
      <x:c r="Q398" s="32"/>
    </x:row>
    <x:row r="399">
      <x:c r="A399" s="87"/>
      <x:c r="D399" s="32"/>
      <x:c r="I399" s="74"/>
      <x:c r="J399" s="74"/>
      <x:c r="K399" s="74"/>
      <x:c r="L399" s="74"/>
      <x:c r="M399" s="91"/>
      <x:c r="N399" s="85"/>
      <x:c r="P399" s="86"/>
      <x:c r="Q399" s="32"/>
    </x:row>
    <x:row r="400">
      <x:c r="A400" s="87"/>
      <x:c r="D400" s="32"/>
      <x:c r="I400" s="74"/>
      <x:c r="J400" s="74"/>
      <x:c r="K400" s="74"/>
      <x:c r="L400" s="74"/>
      <x:c r="M400" s="91"/>
      <x:c r="N400" s="85"/>
      <x:c r="P400" s="86"/>
      <x:c r="Q400" s="32"/>
    </x:row>
    <x:row r="401">
      <x:c r="A401" s="87"/>
      <x:c r="D401" s="32"/>
      <x:c r="I401" s="74"/>
      <x:c r="J401" s="74"/>
      <x:c r="K401" s="74"/>
      <x:c r="L401" s="74"/>
      <x:c r="M401" s="91"/>
      <x:c r="N401" s="85"/>
      <x:c r="P401" s="86"/>
      <x:c r="Q401" s="32"/>
    </x:row>
    <x:row r="402">
      <x:c r="A402" s="87"/>
      <x:c r="D402" s="32"/>
      <x:c r="I402" s="74"/>
      <x:c r="J402" s="74"/>
      <x:c r="K402" s="74"/>
      <x:c r="L402" s="74"/>
      <x:c r="M402" s="91"/>
      <x:c r="N402" s="85"/>
      <x:c r="P402" s="86"/>
      <x:c r="Q402" s="32"/>
    </x:row>
    <x:row r="403">
      <x:c r="A403" s="87"/>
      <x:c r="D403" s="32"/>
      <x:c r="I403" s="74"/>
      <x:c r="J403" s="74"/>
      <x:c r="K403" s="74"/>
      <x:c r="L403" s="74"/>
      <x:c r="M403" s="91"/>
      <x:c r="N403" s="85"/>
      <x:c r="P403" s="86"/>
      <x:c r="Q403" s="32"/>
    </x:row>
    <x:row r="404">
      <x:c r="A404" s="87"/>
      <x:c r="D404" s="32"/>
      <x:c r="I404" s="74"/>
      <x:c r="J404" s="74"/>
      <x:c r="K404" s="74"/>
      <x:c r="L404" s="74"/>
      <x:c r="M404" s="91"/>
      <x:c r="N404" s="85"/>
      <x:c r="P404" s="86"/>
      <x:c r="Q404" s="32"/>
    </x:row>
    <x:row r="405">
      <x:c r="A405" s="87"/>
      <x:c r="D405" s="32"/>
      <x:c r="I405" s="74"/>
      <x:c r="J405" s="74"/>
      <x:c r="K405" s="74"/>
      <x:c r="L405" s="74"/>
      <x:c r="M405" s="91"/>
      <x:c r="N405" s="85"/>
      <x:c r="P405" s="86"/>
      <x:c r="Q405" s="32"/>
    </x:row>
    <x:row r="406">
      <x:c r="A406" s="87"/>
      <x:c r="D406" s="32"/>
      <x:c r="I406" s="74"/>
      <x:c r="J406" s="74"/>
      <x:c r="K406" s="74"/>
      <x:c r="L406" s="74"/>
      <x:c r="M406" s="91"/>
      <x:c r="N406" s="85"/>
      <x:c r="P406" s="86"/>
      <x:c r="Q406" s="32"/>
    </x:row>
    <x:row r="407">
      <x:c r="A407" s="87"/>
      <x:c r="D407" s="32"/>
      <x:c r="I407" s="74"/>
      <x:c r="J407" s="74"/>
      <x:c r="K407" s="74"/>
      <x:c r="L407" s="74"/>
      <x:c r="M407" s="91"/>
      <x:c r="N407" s="85"/>
      <x:c r="P407" s="86"/>
      <x:c r="Q407" s="32"/>
    </x:row>
    <x:row r="408">
      <x:c r="A408" s="87"/>
      <x:c r="D408" s="32"/>
      <x:c r="I408" s="74"/>
      <x:c r="J408" s="74"/>
      <x:c r="K408" s="74"/>
      <x:c r="L408" s="74"/>
      <x:c r="M408" s="91"/>
      <x:c r="N408" s="85"/>
      <x:c r="P408" s="86"/>
      <x:c r="Q408" s="32"/>
    </x:row>
    <x:row r="409">
      <x:c r="A409" s="87"/>
      <x:c r="D409" s="32"/>
      <x:c r="I409" s="74"/>
      <x:c r="J409" s="74"/>
      <x:c r="K409" s="74"/>
      <x:c r="L409" s="74"/>
      <x:c r="M409" s="91"/>
      <x:c r="N409" s="85"/>
      <x:c r="P409" s="86"/>
      <x:c r="Q409" s="32"/>
    </x:row>
    <x:row r="410">
      <x:c r="A410" s="87"/>
      <x:c r="D410" s="32"/>
      <x:c r="I410" s="74"/>
      <x:c r="J410" s="74"/>
      <x:c r="K410" s="74"/>
      <x:c r="L410" s="74"/>
      <x:c r="M410" s="91"/>
      <x:c r="N410" s="85"/>
      <x:c r="P410" s="86"/>
      <x:c r="Q410" s="32"/>
    </x:row>
    <x:row r="411">
      <x:c r="A411" s="87"/>
      <x:c r="D411" s="32"/>
      <x:c r="I411" s="74"/>
      <x:c r="J411" s="74"/>
      <x:c r="K411" s="74"/>
      <x:c r="L411" s="74"/>
      <x:c r="M411" s="91"/>
      <x:c r="N411" s="85"/>
      <x:c r="P411" s="86"/>
      <x:c r="Q411" s="32"/>
    </x:row>
    <x:row r="412">
      <x:c r="A412" s="87"/>
      <x:c r="D412" s="32"/>
      <x:c r="I412" s="74"/>
      <x:c r="J412" s="74"/>
      <x:c r="K412" s="74"/>
      <x:c r="L412" s="74"/>
      <x:c r="M412" s="91"/>
      <x:c r="N412" s="85"/>
      <x:c r="P412" s="86"/>
      <x:c r="Q412" s="32"/>
    </x:row>
    <x:row r="413">
      <x:c r="A413" s="87"/>
      <x:c r="D413" s="32"/>
      <x:c r="I413" s="74"/>
      <x:c r="J413" s="74"/>
      <x:c r="K413" s="74"/>
      <x:c r="L413" s="74"/>
      <x:c r="M413" s="91"/>
      <x:c r="N413" s="85"/>
      <x:c r="P413" s="86"/>
      <x:c r="Q413" s="32"/>
    </x:row>
    <x:row r="414">
      <x:c r="A414" s="87"/>
      <x:c r="D414" s="32"/>
      <x:c r="I414" s="74"/>
      <x:c r="J414" s="74"/>
      <x:c r="K414" s="74"/>
      <x:c r="L414" s="74"/>
      <x:c r="M414" s="91"/>
      <x:c r="N414" s="85"/>
      <x:c r="P414" s="86"/>
      <x:c r="Q414" s="32"/>
    </x:row>
    <x:row r="415">
      <x:c r="A415" s="87"/>
      <x:c r="D415" s="32"/>
      <x:c r="I415" s="74"/>
      <x:c r="J415" s="74"/>
      <x:c r="K415" s="74"/>
      <x:c r="L415" s="74"/>
      <x:c r="M415" s="91"/>
      <x:c r="N415" s="85"/>
      <x:c r="P415" s="86"/>
      <x:c r="Q415" s="32"/>
    </x:row>
    <x:row r="416">
      <x:c r="A416" s="87"/>
      <x:c r="D416" s="32"/>
      <x:c r="I416" s="74"/>
      <x:c r="J416" s="74"/>
      <x:c r="K416" s="74"/>
      <x:c r="L416" s="74"/>
      <x:c r="M416" s="91"/>
      <x:c r="N416" s="85"/>
      <x:c r="P416" s="86"/>
      <x:c r="Q416" s="32"/>
    </x:row>
    <x:row r="417">
      <x:c r="A417" s="87"/>
      <x:c r="D417" s="32"/>
      <x:c r="I417" s="74"/>
      <x:c r="J417" s="74"/>
      <x:c r="K417" s="74"/>
      <x:c r="L417" s="74"/>
      <x:c r="M417" s="91"/>
      <x:c r="N417" s="85"/>
      <x:c r="P417" s="86"/>
      <x:c r="Q417" s="32"/>
    </x:row>
    <x:row r="418">
      <x:c r="A418" s="87"/>
      <x:c r="D418" s="32"/>
      <x:c r="I418" s="74"/>
      <x:c r="J418" s="74"/>
      <x:c r="K418" s="74"/>
      <x:c r="L418" s="74"/>
      <x:c r="M418" s="91"/>
      <x:c r="N418" s="85"/>
      <x:c r="P418" s="86"/>
      <x:c r="Q418" s="32"/>
    </x:row>
    <x:row r="419">
      <x:c r="A419" s="87"/>
      <x:c r="D419" s="32"/>
      <x:c r="I419" s="74"/>
      <x:c r="J419" s="74"/>
      <x:c r="K419" s="74"/>
      <x:c r="L419" s="74"/>
      <x:c r="M419" s="91"/>
      <x:c r="N419" s="85"/>
      <x:c r="P419" s="86"/>
      <x:c r="Q419" s="32"/>
    </x:row>
    <x:row r="420">
      <x:c r="A420" s="87"/>
      <x:c r="D420" s="32"/>
      <x:c r="I420" s="74"/>
      <x:c r="J420" s="74"/>
      <x:c r="K420" s="74"/>
      <x:c r="L420" s="74"/>
      <x:c r="M420" s="91"/>
      <x:c r="N420" s="85"/>
      <x:c r="P420" s="86"/>
      <x:c r="Q420" s="32"/>
    </x:row>
    <x:row r="421">
      <x:c r="A421" s="87"/>
      <x:c r="D421" s="32"/>
      <x:c r="I421" s="74"/>
      <x:c r="J421" s="74"/>
      <x:c r="K421" s="74"/>
      <x:c r="L421" s="74"/>
      <x:c r="M421" s="91"/>
      <x:c r="N421" s="85"/>
      <x:c r="P421" s="86"/>
      <x:c r="Q421" s="32"/>
    </x:row>
    <x:row r="422">
      <x:c r="A422" s="87"/>
      <x:c r="D422" s="32"/>
      <x:c r="I422" s="74"/>
      <x:c r="J422" s="74"/>
      <x:c r="K422" s="74"/>
      <x:c r="L422" s="74"/>
      <x:c r="M422" s="91"/>
      <x:c r="N422" s="85"/>
      <x:c r="P422" s="86"/>
      <x:c r="Q422" s="32"/>
    </x:row>
    <x:row r="423">
      <x:c r="A423" s="87"/>
      <x:c r="D423" s="32"/>
      <x:c r="I423" s="74"/>
      <x:c r="J423" s="74"/>
      <x:c r="K423" s="74"/>
      <x:c r="L423" s="74"/>
      <x:c r="M423" s="91"/>
      <x:c r="N423" s="85"/>
      <x:c r="P423" s="86"/>
      <x:c r="Q423" s="32"/>
    </x:row>
    <x:row r="424">
      <x:c r="A424" s="87"/>
      <x:c r="D424" s="32"/>
      <x:c r="I424" s="74"/>
      <x:c r="J424" s="74"/>
      <x:c r="K424" s="74"/>
      <x:c r="L424" s="74"/>
      <x:c r="M424" s="91"/>
      <x:c r="N424" s="85"/>
      <x:c r="P424" s="86"/>
      <x:c r="Q424" s="32"/>
    </x:row>
    <x:row r="425">
      <x:c r="A425" s="87"/>
      <x:c r="D425" s="32"/>
      <x:c r="I425" s="74"/>
      <x:c r="J425" s="74"/>
      <x:c r="K425" s="74"/>
      <x:c r="L425" s="74"/>
      <x:c r="M425" s="91"/>
      <x:c r="N425" s="85"/>
      <x:c r="P425" s="86"/>
      <x:c r="Q425" s="32"/>
    </x:row>
    <x:row r="426">
      <x:c r="A426" s="87"/>
      <x:c r="D426" s="32"/>
      <x:c r="I426" s="74"/>
      <x:c r="J426" s="74"/>
      <x:c r="K426" s="74"/>
      <x:c r="L426" s="74"/>
      <x:c r="M426" s="91"/>
      <x:c r="N426" s="85"/>
      <x:c r="P426" s="86"/>
      <x:c r="Q426" s="32"/>
    </x:row>
    <x:row r="427">
      <x:c r="A427" s="87"/>
      <x:c r="D427" s="32"/>
      <x:c r="I427" s="74"/>
      <x:c r="J427" s="74"/>
      <x:c r="K427" s="74"/>
      <x:c r="L427" s="74"/>
      <x:c r="M427" s="91"/>
      <x:c r="N427" s="85"/>
      <x:c r="P427" s="86"/>
      <x:c r="Q427" s="32"/>
    </x:row>
    <x:row r="428">
      <x:c r="A428" s="87"/>
      <x:c r="D428" s="32"/>
      <x:c r="I428" s="74"/>
      <x:c r="J428" s="74"/>
      <x:c r="K428" s="74"/>
      <x:c r="L428" s="74"/>
      <x:c r="M428" s="91"/>
      <x:c r="N428" s="85"/>
      <x:c r="P428" s="86"/>
      <x:c r="Q428" s="32"/>
    </x:row>
    <x:row r="429">
      <x:c r="A429" s="87"/>
      <x:c r="D429" s="32"/>
      <x:c r="I429" s="74"/>
      <x:c r="J429" s="74"/>
      <x:c r="K429" s="74"/>
      <x:c r="L429" s="74"/>
      <x:c r="M429" s="91"/>
      <x:c r="N429" s="85"/>
      <x:c r="P429" s="86"/>
      <x:c r="Q429" s="32"/>
    </x:row>
    <x:row r="430">
      <x:c r="A430" s="87"/>
      <x:c r="D430" s="32"/>
      <x:c r="I430" s="74"/>
      <x:c r="J430" s="74"/>
      <x:c r="K430" s="74"/>
      <x:c r="L430" s="74"/>
      <x:c r="M430" s="91"/>
      <x:c r="N430" s="85"/>
      <x:c r="P430" s="86"/>
      <x:c r="Q430" s="32"/>
    </x:row>
    <x:row r="431">
      <x:c r="A431" s="87"/>
      <x:c r="D431" s="32"/>
      <x:c r="I431" s="74"/>
      <x:c r="J431" s="74"/>
      <x:c r="K431" s="74"/>
      <x:c r="L431" s="74"/>
      <x:c r="M431" s="91"/>
      <x:c r="N431" s="85"/>
      <x:c r="P431" s="86"/>
      <x:c r="Q431" s="32"/>
    </x:row>
    <x:row r="432">
      <x:c r="A432" s="87"/>
      <x:c r="D432" s="32"/>
      <x:c r="I432" s="74"/>
      <x:c r="J432" s="74"/>
      <x:c r="K432" s="74"/>
      <x:c r="L432" s="74"/>
      <x:c r="M432" s="91"/>
      <x:c r="N432" s="85"/>
      <x:c r="P432" s="86"/>
      <x:c r="Q432" s="32"/>
    </x:row>
    <x:row r="433">
      <x:c r="A433" s="87"/>
      <x:c r="D433" s="32"/>
      <x:c r="I433" s="74"/>
      <x:c r="J433" s="74"/>
      <x:c r="K433" s="74"/>
      <x:c r="L433" s="74"/>
      <x:c r="M433" s="91"/>
      <x:c r="N433" s="85"/>
      <x:c r="P433" s="86"/>
      <x:c r="Q433" s="32"/>
    </x:row>
    <x:row r="434">
      <x:c r="A434" s="87"/>
      <x:c r="D434" s="32"/>
      <x:c r="I434" s="74"/>
      <x:c r="J434" s="74"/>
      <x:c r="K434" s="74"/>
      <x:c r="L434" s="74"/>
      <x:c r="M434" s="91"/>
      <x:c r="N434" s="85"/>
      <x:c r="P434" s="86"/>
      <x:c r="Q434" s="32"/>
    </x:row>
    <x:row r="435">
      <x:c r="A435" s="87"/>
      <x:c r="D435" s="32"/>
      <x:c r="I435" s="74"/>
      <x:c r="J435" s="74"/>
      <x:c r="K435" s="74"/>
      <x:c r="L435" s="74"/>
      <x:c r="M435" s="91"/>
      <x:c r="N435" s="85"/>
      <x:c r="P435" s="86"/>
      <x:c r="Q435" s="32"/>
    </x:row>
    <x:row r="436">
      <x:c r="A436" s="87"/>
      <x:c r="D436" s="32"/>
      <x:c r="I436" s="74"/>
      <x:c r="J436" s="74"/>
      <x:c r="K436" s="74"/>
      <x:c r="L436" s="74"/>
      <x:c r="M436" s="91"/>
      <x:c r="N436" s="85"/>
      <x:c r="P436" s="86"/>
      <x:c r="Q436" s="32"/>
    </x:row>
    <x:row r="437">
      <x:c r="A437" s="87"/>
      <x:c r="D437" s="32"/>
      <x:c r="I437" s="74"/>
      <x:c r="J437" s="74"/>
      <x:c r="K437" s="74"/>
      <x:c r="L437" s="74"/>
      <x:c r="M437" s="91"/>
      <x:c r="N437" s="85"/>
      <x:c r="P437" s="86"/>
      <x:c r="Q437" s="32"/>
    </x:row>
    <x:row r="438">
      <x:c r="A438" s="87"/>
      <x:c r="D438" s="32"/>
      <x:c r="I438" s="74"/>
      <x:c r="J438" s="74"/>
      <x:c r="K438" s="74"/>
      <x:c r="L438" s="74"/>
      <x:c r="M438" s="91"/>
      <x:c r="N438" s="85"/>
      <x:c r="P438" s="86"/>
      <x:c r="Q438" s="32"/>
    </x:row>
    <x:row r="439">
      <x:c r="A439" s="87"/>
      <x:c r="D439" s="32"/>
      <x:c r="I439" s="74"/>
      <x:c r="J439" s="74"/>
      <x:c r="K439" s="74"/>
      <x:c r="L439" s="74"/>
      <x:c r="M439" s="91"/>
      <x:c r="N439" s="85"/>
      <x:c r="P439" s="86"/>
      <x:c r="Q439" s="32"/>
    </x:row>
    <x:row r="440">
      <x:c r="A440" s="87"/>
      <x:c r="D440" s="32"/>
      <x:c r="I440" s="74"/>
      <x:c r="J440" s="74"/>
      <x:c r="K440" s="74"/>
      <x:c r="L440" s="74"/>
      <x:c r="M440" s="91"/>
      <x:c r="N440" s="85"/>
      <x:c r="P440" s="86"/>
      <x:c r="Q440" s="32"/>
    </x:row>
    <x:row r="441">
      <x:c r="A441" s="87"/>
      <x:c r="D441" s="32"/>
      <x:c r="I441" s="74"/>
      <x:c r="J441" s="74"/>
      <x:c r="K441" s="74"/>
      <x:c r="L441" s="74"/>
      <x:c r="M441" s="91"/>
      <x:c r="N441" s="85"/>
      <x:c r="P441" s="86"/>
      <x:c r="Q441" s="32"/>
    </x:row>
    <x:row r="442">
      <x:c r="A442" s="87"/>
      <x:c r="D442" s="32"/>
      <x:c r="I442" s="74"/>
      <x:c r="J442" s="74"/>
      <x:c r="K442" s="74"/>
      <x:c r="L442" s="74"/>
      <x:c r="M442" s="91"/>
      <x:c r="N442" s="85"/>
      <x:c r="P442" s="86"/>
      <x:c r="Q442" s="32"/>
    </x:row>
    <x:row r="443">
      <x:c r="A443" s="87"/>
      <x:c r="D443" s="32"/>
      <x:c r="I443" s="74"/>
      <x:c r="J443" s="74"/>
      <x:c r="K443" s="74"/>
      <x:c r="L443" s="74"/>
      <x:c r="M443" s="91"/>
      <x:c r="N443" s="85"/>
      <x:c r="P443" s="86"/>
      <x:c r="Q443" s="32"/>
    </x:row>
    <x:row r="444">
      <x:c r="A444" s="87"/>
      <x:c r="D444" s="32"/>
      <x:c r="I444" s="74"/>
      <x:c r="J444" s="74"/>
      <x:c r="K444" s="74"/>
      <x:c r="L444" s="74"/>
      <x:c r="M444" s="91"/>
      <x:c r="N444" s="85"/>
      <x:c r="P444" s="86"/>
      <x:c r="Q444" s="32"/>
    </x:row>
    <x:row r="445">
      <x:c r="A445" s="87"/>
      <x:c r="D445" s="32"/>
      <x:c r="I445" s="74"/>
      <x:c r="J445" s="74"/>
      <x:c r="K445" s="74"/>
      <x:c r="L445" s="74"/>
      <x:c r="M445" s="91"/>
      <x:c r="N445" s="85"/>
      <x:c r="P445" s="86"/>
      <x:c r="Q445" s="32"/>
    </x:row>
    <x:row r="446">
      <x:c r="A446" s="87"/>
      <x:c r="D446" s="32"/>
      <x:c r="I446" s="74"/>
      <x:c r="J446" s="74"/>
      <x:c r="K446" s="74"/>
      <x:c r="L446" s="74"/>
      <x:c r="M446" s="91"/>
      <x:c r="N446" s="85"/>
      <x:c r="P446" s="86"/>
      <x:c r="Q446" s="32"/>
    </x:row>
    <x:row r="447">
      <x:c r="A447" s="87"/>
      <x:c r="D447" s="32"/>
      <x:c r="I447" s="74"/>
      <x:c r="J447" s="74"/>
      <x:c r="K447" s="74"/>
      <x:c r="L447" s="74"/>
      <x:c r="M447" s="91"/>
      <x:c r="N447" s="85"/>
      <x:c r="P447" s="86"/>
      <x:c r="Q447" s="32"/>
    </x:row>
    <x:row r="448">
      <x:c r="A448" s="87"/>
      <x:c r="D448" s="32"/>
      <x:c r="I448" s="74"/>
      <x:c r="J448" s="74"/>
      <x:c r="K448" s="74"/>
      <x:c r="L448" s="74"/>
      <x:c r="M448" s="91"/>
      <x:c r="N448" s="85"/>
      <x:c r="P448" s="86"/>
      <x:c r="Q448" s="32"/>
    </x:row>
    <x:row r="449">
      <x:c r="A449" s="87"/>
      <x:c r="D449" s="32"/>
      <x:c r="I449" s="74"/>
      <x:c r="J449" s="74"/>
      <x:c r="K449" s="74"/>
      <x:c r="L449" s="74"/>
      <x:c r="M449" s="91"/>
      <x:c r="N449" s="85"/>
      <x:c r="P449" s="86"/>
      <x:c r="Q449" s="32"/>
    </x:row>
    <x:row r="450">
      <x:c r="A450" s="87"/>
      <x:c r="D450" s="32"/>
      <x:c r="I450" s="74"/>
      <x:c r="J450" s="74"/>
      <x:c r="K450" s="74"/>
      <x:c r="L450" s="74"/>
      <x:c r="M450" s="91"/>
      <x:c r="N450" s="85"/>
      <x:c r="P450" s="86"/>
      <x:c r="Q450" s="32"/>
    </x:row>
    <x:row r="451">
      <x:c r="A451" s="87"/>
      <x:c r="D451" s="32"/>
      <x:c r="I451" s="74"/>
      <x:c r="J451" s="74"/>
      <x:c r="K451" s="74"/>
      <x:c r="L451" s="74"/>
      <x:c r="M451" s="91"/>
      <x:c r="N451" s="85"/>
      <x:c r="P451" s="86"/>
      <x:c r="Q451" s="32"/>
    </x:row>
    <x:row r="452">
      <x:c r="A452" s="87"/>
      <x:c r="D452" s="32"/>
      <x:c r="I452" s="74"/>
      <x:c r="J452" s="74"/>
      <x:c r="K452" s="74"/>
      <x:c r="L452" s="74"/>
      <x:c r="M452" s="91"/>
      <x:c r="N452" s="85"/>
      <x:c r="P452" s="86"/>
      <x:c r="Q452" s="32"/>
    </x:row>
    <x:row r="453">
      <x:c r="A453" s="87"/>
      <x:c r="D453" s="32"/>
      <x:c r="I453" s="74"/>
      <x:c r="J453" s="74"/>
      <x:c r="K453" s="74"/>
      <x:c r="L453" s="74"/>
      <x:c r="M453" s="91"/>
      <x:c r="N453" s="85"/>
      <x:c r="P453" s="86"/>
      <x:c r="Q453" s="32"/>
    </x:row>
    <x:row r="454">
      <x:c r="A454" s="87"/>
      <x:c r="D454" s="32"/>
      <x:c r="I454" s="74"/>
      <x:c r="J454" s="74"/>
      <x:c r="K454" s="74"/>
      <x:c r="L454" s="74"/>
      <x:c r="M454" s="91"/>
      <x:c r="N454" s="85"/>
      <x:c r="P454" s="86"/>
      <x:c r="Q454" s="32"/>
    </x:row>
    <x:row r="455">
      <x:c r="A455" s="87"/>
      <x:c r="D455" s="32"/>
      <x:c r="I455" s="74"/>
      <x:c r="J455" s="74"/>
      <x:c r="K455" s="74"/>
      <x:c r="L455" s="74"/>
      <x:c r="M455" s="91"/>
      <x:c r="N455" s="85"/>
      <x:c r="P455" s="86"/>
      <x:c r="Q455" s="32"/>
    </x:row>
    <x:row r="456">
      <x:c r="A456" s="87"/>
      <x:c r="D456" s="32"/>
      <x:c r="I456" s="74"/>
      <x:c r="J456" s="74"/>
      <x:c r="K456" s="74"/>
      <x:c r="L456" s="74"/>
      <x:c r="M456" s="91"/>
      <x:c r="N456" s="85"/>
      <x:c r="P456" s="86"/>
      <x:c r="Q456" s="32"/>
    </x:row>
    <x:row r="457">
      <x:c r="A457" s="87"/>
      <x:c r="D457" s="32"/>
      <x:c r="I457" s="74"/>
      <x:c r="J457" s="74"/>
      <x:c r="K457" s="74"/>
      <x:c r="L457" s="74"/>
      <x:c r="M457" s="91"/>
      <x:c r="N457" s="85"/>
      <x:c r="P457" s="86"/>
      <x:c r="Q457" s="32"/>
    </x:row>
    <x:row r="458">
      <x:c r="A458" s="87"/>
      <x:c r="D458" s="32"/>
      <x:c r="I458" s="74"/>
      <x:c r="J458" s="74"/>
      <x:c r="K458" s="74"/>
      <x:c r="L458" s="74"/>
      <x:c r="M458" s="91"/>
      <x:c r="N458" s="85"/>
      <x:c r="P458" s="86"/>
      <x:c r="Q458" s="32"/>
    </x:row>
    <x:row r="459">
      <x:c r="A459" s="87"/>
      <x:c r="D459" s="32"/>
      <x:c r="I459" s="74"/>
      <x:c r="J459" s="74"/>
      <x:c r="K459" s="74"/>
      <x:c r="L459" s="74"/>
      <x:c r="M459" s="91"/>
      <x:c r="N459" s="85"/>
      <x:c r="P459" s="86"/>
      <x:c r="Q459" s="32"/>
    </x:row>
    <x:row r="460">
      <x:c r="A460" s="87"/>
      <x:c r="D460" s="32"/>
      <x:c r="I460" s="74"/>
      <x:c r="J460" s="74"/>
      <x:c r="K460" s="74"/>
      <x:c r="L460" s="74"/>
      <x:c r="M460" s="91"/>
      <x:c r="N460" s="85"/>
      <x:c r="P460" s="86"/>
      <x:c r="Q460" s="32"/>
    </x:row>
    <x:row r="461">
      <x:c r="A461" s="87"/>
      <x:c r="D461" s="32"/>
      <x:c r="I461" s="74"/>
      <x:c r="J461" s="74"/>
      <x:c r="K461" s="74"/>
      <x:c r="L461" s="74"/>
      <x:c r="M461" s="91"/>
      <x:c r="N461" s="85"/>
      <x:c r="P461" s="86"/>
      <x:c r="Q461" s="32"/>
    </x:row>
    <x:row r="462">
      <x:c r="A462" s="87"/>
      <x:c r="D462" s="32"/>
      <x:c r="I462" s="74"/>
      <x:c r="J462" s="74"/>
      <x:c r="K462" s="74"/>
      <x:c r="L462" s="74"/>
      <x:c r="M462" s="91"/>
      <x:c r="N462" s="85"/>
      <x:c r="P462" s="86"/>
      <x:c r="Q462" s="32"/>
    </x:row>
    <x:row r="463">
      <x:c r="A463" s="87"/>
      <x:c r="D463" s="32"/>
      <x:c r="I463" s="74"/>
      <x:c r="J463" s="74"/>
      <x:c r="K463" s="74"/>
      <x:c r="L463" s="74"/>
      <x:c r="M463" s="91"/>
      <x:c r="N463" s="85"/>
      <x:c r="P463" s="86"/>
      <x:c r="Q463" s="32"/>
    </x:row>
    <x:row r="464">
      <x:c r="A464" s="87"/>
      <x:c r="D464" s="32"/>
      <x:c r="I464" s="74"/>
      <x:c r="J464" s="74"/>
      <x:c r="K464" s="74"/>
      <x:c r="L464" s="74"/>
      <x:c r="M464" s="91"/>
      <x:c r="N464" s="85"/>
      <x:c r="P464" s="86"/>
      <x:c r="Q464" s="32"/>
    </x:row>
    <x:row r="465">
      <x:c r="A465" s="87"/>
      <x:c r="D465" s="32"/>
      <x:c r="I465" s="74"/>
      <x:c r="J465" s="74"/>
      <x:c r="K465" s="74"/>
      <x:c r="L465" s="74"/>
      <x:c r="M465" s="91"/>
      <x:c r="N465" s="85"/>
      <x:c r="P465" s="86"/>
      <x:c r="Q465" s="32"/>
    </x:row>
    <x:row r="466">
      <x:c r="A466" s="87"/>
      <x:c r="D466" s="32"/>
      <x:c r="I466" s="74"/>
      <x:c r="J466" s="74"/>
      <x:c r="K466" s="74"/>
      <x:c r="L466" s="74"/>
      <x:c r="M466" s="91"/>
      <x:c r="N466" s="85"/>
      <x:c r="P466" s="86"/>
      <x:c r="Q466" s="32"/>
    </x:row>
    <x:row r="467">
      <x:c r="A467" s="87"/>
      <x:c r="D467" s="32"/>
      <x:c r="I467" s="74"/>
      <x:c r="J467" s="74"/>
      <x:c r="K467" s="74"/>
      <x:c r="L467" s="74"/>
      <x:c r="M467" s="91"/>
      <x:c r="N467" s="85"/>
      <x:c r="P467" s="86"/>
      <x:c r="Q467" s="32"/>
    </x:row>
    <x:row r="468">
      <x:c r="A468" s="87"/>
      <x:c r="D468" s="32"/>
      <x:c r="I468" s="74"/>
      <x:c r="J468" s="74"/>
      <x:c r="K468" s="74"/>
      <x:c r="L468" s="74"/>
      <x:c r="M468" s="91"/>
      <x:c r="N468" s="85"/>
      <x:c r="P468" s="86"/>
      <x:c r="Q468" s="32"/>
    </x:row>
    <x:row r="469">
      <x:c r="A469" s="87"/>
      <x:c r="D469" s="32"/>
      <x:c r="I469" s="74"/>
      <x:c r="J469" s="74"/>
      <x:c r="K469" s="74"/>
      <x:c r="L469" s="74"/>
      <x:c r="M469" s="91"/>
      <x:c r="N469" s="85"/>
      <x:c r="P469" s="86"/>
      <x:c r="Q469" s="32"/>
    </x:row>
    <x:row r="470">
      <x:c r="A470" s="87"/>
      <x:c r="D470" s="32"/>
      <x:c r="I470" s="74"/>
      <x:c r="J470" s="74"/>
      <x:c r="K470" s="74"/>
      <x:c r="L470" s="74"/>
      <x:c r="M470" s="91"/>
      <x:c r="N470" s="85"/>
      <x:c r="P470" s="86"/>
      <x:c r="Q470" s="32"/>
    </x:row>
    <x:row r="471">
      <x:c r="A471" s="87"/>
      <x:c r="D471" s="32"/>
      <x:c r="I471" s="74"/>
      <x:c r="J471" s="74"/>
      <x:c r="K471" s="74"/>
      <x:c r="L471" s="74"/>
      <x:c r="M471" s="91"/>
      <x:c r="N471" s="85"/>
      <x:c r="P471" s="86"/>
      <x:c r="Q471" s="32"/>
    </x:row>
    <x:row r="472">
      <x:c r="A472" s="87"/>
      <x:c r="D472" s="32"/>
      <x:c r="I472" s="74"/>
      <x:c r="J472" s="74"/>
      <x:c r="K472" s="74"/>
      <x:c r="L472" s="74"/>
      <x:c r="M472" s="91"/>
      <x:c r="N472" s="85"/>
      <x:c r="P472" s="86"/>
      <x:c r="Q472" s="32"/>
    </x:row>
    <x:row r="473">
      <x:c r="A473" s="87"/>
      <x:c r="D473" s="32"/>
      <x:c r="I473" s="74"/>
      <x:c r="J473" s="74"/>
      <x:c r="K473" s="74"/>
      <x:c r="L473" s="74"/>
      <x:c r="M473" s="91"/>
      <x:c r="N473" s="85"/>
      <x:c r="P473" s="86"/>
      <x:c r="Q473" s="32"/>
    </x:row>
    <x:row r="474">
      <x:c r="A474" s="87"/>
      <x:c r="D474" s="32"/>
      <x:c r="I474" s="74"/>
      <x:c r="J474" s="74"/>
      <x:c r="K474" s="74"/>
      <x:c r="L474" s="74"/>
      <x:c r="M474" s="91"/>
      <x:c r="N474" s="85"/>
      <x:c r="P474" s="86"/>
      <x:c r="Q474" s="32"/>
    </x:row>
    <x:row r="475">
      <x:c r="A475" s="87"/>
      <x:c r="D475" s="32"/>
      <x:c r="I475" s="74"/>
      <x:c r="J475" s="74"/>
      <x:c r="K475" s="74"/>
      <x:c r="L475" s="74"/>
      <x:c r="M475" s="91"/>
      <x:c r="N475" s="85"/>
      <x:c r="P475" s="86"/>
      <x:c r="Q475" s="32"/>
    </x:row>
    <x:row r="476">
      <x:c r="A476" s="87"/>
      <x:c r="D476" s="32"/>
      <x:c r="I476" s="74"/>
      <x:c r="J476" s="74"/>
      <x:c r="K476" s="74"/>
      <x:c r="L476" s="74"/>
      <x:c r="M476" s="91"/>
      <x:c r="N476" s="85"/>
      <x:c r="P476" s="86"/>
      <x:c r="Q476" s="32"/>
    </x:row>
    <x:row r="477">
      <x:c r="A477" s="87"/>
      <x:c r="D477" s="32"/>
      <x:c r="I477" s="74"/>
      <x:c r="J477" s="74"/>
      <x:c r="K477" s="74"/>
      <x:c r="L477" s="74"/>
      <x:c r="M477" s="91"/>
      <x:c r="N477" s="85"/>
      <x:c r="P477" s="86"/>
      <x:c r="Q477" s="32"/>
    </x:row>
    <x:row r="478">
      <x:c r="A478" s="87"/>
      <x:c r="D478" s="32"/>
      <x:c r="I478" s="74"/>
      <x:c r="J478" s="74"/>
      <x:c r="K478" s="74"/>
      <x:c r="L478" s="74"/>
      <x:c r="M478" s="91"/>
      <x:c r="N478" s="85"/>
      <x:c r="P478" s="86"/>
      <x:c r="Q478" s="32"/>
    </x:row>
    <x:row r="479">
      <x:c r="A479" s="87"/>
      <x:c r="D479" s="32"/>
      <x:c r="I479" s="74"/>
      <x:c r="J479" s="74"/>
      <x:c r="K479" s="74"/>
      <x:c r="L479" s="74"/>
      <x:c r="M479" s="91"/>
      <x:c r="N479" s="85"/>
      <x:c r="P479" s="86"/>
      <x:c r="Q479" s="32"/>
    </x:row>
    <x:row r="480">
      <x:c r="A480" s="87"/>
      <x:c r="D480" s="32"/>
      <x:c r="I480" s="74"/>
      <x:c r="J480" s="74"/>
      <x:c r="K480" s="74"/>
      <x:c r="L480" s="74"/>
      <x:c r="M480" s="91"/>
      <x:c r="N480" s="85"/>
      <x:c r="P480" s="86"/>
      <x:c r="Q480" s="32"/>
    </x:row>
    <x:row r="481">
      <x:c r="A481" s="87"/>
      <x:c r="D481" s="32"/>
      <x:c r="I481" s="74"/>
      <x:c r="J481" s="74"/>
      <x:c r="K481" s="74"/>
      <x:c r="L481" s="74"/>
      <x:c r="M481" s="91"/>
      <x:c r="N481" s="85"/>
      <x:c r="P481" s="86"/>
      <x:c r="Q481" s="32"/>
    </x:row>
    <x:row r="482">
      <x:c r="A482" s="87"/>
      <x:c r="D482" s="32"/>
      <x:c r="I482" s="74"/>
      <x:c r="J482" s="74"/>
      <x:c r="K482" s="74"/>
      <x:c r="L482" s="74"/>
      <x:c r="M482" s="91"/>
      <x:c r="N482" s="85"/>
      <x:c r="P482" s="86"/>
      <x:c r="Q482" s="32"/>
    </x:row>
    <x:row r="483">
      <x:c r="A483" s="87"/>
      <x:c r="D483" s="32"/>
      <x:c r="I483" s="74"/>
      <x:c r="J483" s="74"/>
      <x:c r="K483" s="74"/>
      <x:c r="L483" s="74"/>
      <x:c r="M483" s="91"/>
      <x:c r="N483" s="85"/>
      <x:c r="P483" s="86"/>
      <x:c r="Q483" s="32"/>
    </x:row>
    <x:row r="484">
      <x:c r="A484" s="87"/>
      <x:c r="D484" s="32"/>
      <x:c r="I484" s="74"/>
      <x:c r="J484" s="74"/>
      <x:c r="K484" s="74"/>
      <x:c r="L484" s="74"/>
      <x:c r="M484" s="91"/>
      <x:c r="N484" s="85"/>
      <x:c r="P484" s="86"/>
      <x:c r="Q484" s="32"/>
    </x:row>
    <x:row r="485">
      <x:c r="A485" s="87"/>
      <x:c r="D485" s="32"/>
      <x:c r="I485" s="74"/>
      <x:c r="J485" s="74"/>
      <x:c r="K485" s="74"/>
      <x:c r="L485" s="74"/>
      <x:c r="M485" s="91"/>
      <x:c r="N485" s="85"/>
      <x:c r="P485" s="86"/>
      <x:c r="Q485" s="32"/>
    </x:row>
    <x:row r="486">
      <x:c r="A486" s="87"/>
      <x:c r="D486" s="32"/>
      <x:c r="I486" s="74"/>
      <x:c r="J486" s="74"/>
      <x:c r="K486" s="74"/>
      <x:c r="L486" s="74"/>
      <x:c r="M486" s="91"/>
      <x:c r="N486" s="85"/>
      <x:c r="P486" s="86"/>
      <x:c r="Q486" s="32"/>
    </x:row>
    <x:row r="487">
      <x:c r="A487" s="87"/>
      <x:c r="D487" s="32"/>
      <x:c r="I487" s="74"/>
      <x:c r="J487" s="74"/>
      <x:c r="K487" s="74"/>
      <x:c r="L487" s="74"/>
      <x:c r="M487" s="91"/>
      <x:c r="N487" s="85"/>
      <x:c r="P487" s="86"/>
      <x:c r="Q487" s="32"/>
    </x:row>
    <x:row r="488">
      <x:c r="A488" s="87"/>
      <x:c r="D488" s="32"/>
      <x:c r="I488" s="74"/>
      <x:c r="J488" s="74"/>
      <x:c r="K488" s="74"/>
      <x:c r="L488" s="74"/>
      <x:c r="M488" s="91"/>
      <x:c r="N488" s="85"/>
      <x:c r="P488" s="86"/>
      <x:c r="Q488" s="32"/>
    </x:row>
    <x:row r="489">
      <x:c r="A489" s="87"/>
      <x:c r="D489" s="32"/>
      <x:c r="I489" s="74"/>
      <x:c r="J489" s="74"/>
      <x:c r="K489" s="74"/>
      <x:c r="L489" s="74"/>
      <x:c r="M489" s="91"/>
      <x:c r="N489" s="85"/>
      <x:c r="P489" s="86"/>
      <x:c r="Q489" s="32"/>
    </x:row>
    <x:row r="490">
      <x:c r="A490" s="87"/>
      <x:c r="D490" s="32"/>
      <x:c r="I490" s="74"/>
      <x:c r="J490" s="74"/>
      <x:c r="K490" s="74"/>
      <x:c r="L490" s="74"/>
      <x:c r="M490" s="91"/>
      <x:c r="N490" s="85"/>
      <x:c r="P490" s="86"/>
      <x:c r="Q490" s="32"/>
    </x:row>
    <x:row r="491">
      <x:c r="A491" s="87"/>
      <x:c r="D491" s="32"/>
      <x:c r="I491" s="74"/>
      <x:c r="J491" s="74"/>
      <x:c r="K491" s="74"/>
      <x:c r="L491" s="74"/>
      <x:c r="M491" s="91"/>
      <x:c r="N491" s="85"/>
      <x:c r="P491" s="86"/>
      <x:c r="Q491" s="32"/>
    </x:row>
    <x:row r="492">
      <x:c r="A492" s="87"/>
      <x:c r="D492" s="32"/>
      <x:c r="I492" s="74"/>
      <x:c r="J492" s="74"/>
      <x:c r="K492" s="74"/>
      <x:c r="L492" s="74"/>
      <x:c r="M492" s="91"/>
      <x:c r="N492" s="85"/>
      <x:c r="P492" s="86"/>
      <x:c r="Q492" s="32"/>
    </x:row>
    <x:row r="493">
      <x:c r="A493" s="87"/>
      <x:c r="D493" s="32"/>
      <x:c r="I493" s="74"/>
      <x:c r="J493" s="74"/>
      <x:c r="K493" s="74"/>
      <x:c r="L493" s="74"/>
      <x:c r="M493" s="91"/>
      <x:c r="N493" s="85"/>
      <x:c r="P493" s="86"/>
      <x:c r="Q493" s="32"/>
    </x:row>
    <x:row r="494">
      <x:c r="A494" s="87"/>
      <x:c r="D494" s="32"/>
      <x:c r="I494" s="74"/>
      <x:c r="J494" s="74"/>
      <x:c r="K494" s="74"/>
      <x:c r="L494" s="74"/>
      <x:c r="M494" s="91"/>
      <x:c r="N494" s="85"/>
      <x:c r="P494" s="86"/>
      <x:c r="Q494" s="32"/>
    </x:row>
    <x:row r="495">
      <x:c r="A495" s="87"/>
      <x:c r="D495" s="32"/>
      <x:c r="I495" s="74"/>
      <x:c r="J495" s="74"/>
      <x:c r="K495" s="74"/>
      <x:c r="L495" s="74"/>
      <x:c r="M495" s="91"/>
      <x:c r="N495" s="85"/>
      <x:c r="P495" s="86"/>
      <x:c r="Q495" s="32"/>
    </x:row>
    <x:row r="496">
      <x:c r="A496" s="87"/>
      <x:c r="D496" s="32"/>
      <x:c r="I496" s="74"/>
      <x:c r="J496" s="74"/>
      <x:c r="K496" s="74"/>
      <x:c r="L496" s="74"/>
      <x:c r="M496" s="91"/>
      <x:c r="N496" s="85"/>
      <x:c r="P496" s="86"/>
      <x:c r="Q496" s="32"/>
    </x:row>
    <x:row r="497">
      <x:c r="A497" s="87"/>
      <x:c r="D497" s="32"/>
      <x:c r="I497" s="74"/>
      <x:c r="J497" s="74"/>
      <x:c r="K497" s="74"/>
      <x:c r="L497" s="74"/>
      <x:c r="M497" s="91"/>
      <x:c r="N497" s="85"/>
      <x:c r="P497" s="86"/>
      <x:c r="Q497" s="32"/>
    </x:row>
    <x:row r="498">
      <x:c r="A498" s="87"/>
      <x:c r="D498" s="32"/>
      <x:c r="I498" s="74"/>
      <x:c r="J498" s="74"/>
      <x:c r="K498" s="74"/>
      <x:c r="L498" s="74"/>
      <x:c r="M498" s="91"/>
      <x:c r="N498" s="85"/>
      <x:c r="P498" s="86"/>
      <x:c r="Q498" s="32"/>
    </x:row>
    <x:row r="499">
      <x:c r="A499" s="87"/>
      <x:c r="D499" s="32"/>
      <x:c r="I499" s="74"/>
      <x:c r="J499" s="74"/>
      <x:c r="K499" s="74"/>
      <x:c r="L499" s="74"/>
      <x:c r="M499" s="91"/>
      <x:c r="N499" s="85"/>
      <x:c r="P499" s="86"/>
      <x:c r="Q499" s="32"/>
    </x:row>
    <x:row r="500">
      <x:c r="A500" s="87"/>
      <x:c r="D500" s="32"/>
      <x:c r="I500" s="74"/>
      <x:c r="J500" s="74"/>
      <x:c r="K500" s="74"/>
      <x:c r="L500" s="74"/>
      <x:c r="M500" s="91"/>
      <x:c r="N500" s="85"/>
      <x:c r="P500" s="86"/>
      <x:c r="Q500" s="32"/>
    </x:row>
    <x:row r="501">
      <x:c r="A501" s="87"/>
      <x:c r="D501" s="32"/>
      <x:c r="I501" s="74"/>
      <x:c r="J501" s="74"/>
      <x:c r="K501" s="74"/>
      <x:c r="L501" s="74"/>
      <x:c r="M501" s="91"/>
      <x:c r="N501" s="85"/>
      <x:c r="P501" s="86"/>
      <x:c r="Q501" s="32"/>
    </x:row>
    <x:row r="502">
      <x:c r="A502" s="87"/>
      <x:c r="D502" s="32"/>
      <x:c r="I502" s="74"/>
      <x:c r="J502" s="74"/>
      <x:c r="K502" s="74"/>
      <x:c r="L502" s="74"/>
      <x:c r="M502" s="91"/>
      <x:c r="N502" s="85"/>
      <x:c r="P502" s="86"/>
      <x:c r="Q502" s="32"/>
    </x:row>
    <x:row r="503">
      <x:c r="A503" s="87"/>
      <x:c r="D503" s="32"/>
      <x:c r="I503" s="74"/>
      <x:c r="J503" s="74"/>
      <x:c r="K503" s="74"/>
      <x:c r="L503" s="74"/>
      <x:c r="M503" s="91"/>
      <x:c r="N503" s="85"/>
      <x:c r="P503" s="86"/>
      <x:c r="Q503" s="32"/>
    </x:row>
    <x:row r="504">
      <x:c r="A504" s="87"/>
      <x:c r="D504" s="32"/>
      <x:c r="I504" s="74"/>
      <x:c r="J504" s="74"/>
      <x:c r="K504" s="74"/>
      <x:c r="L504" s="74"/>
      <x:c r="M504" s="91"/>
      <x:c r="N504" s="85"/>
      <x:c r="P504" s="86"/>
      <x:c r="Q504" s="32"/>
    </x:row>
    <x:row r="505">
      <x:c r="A505" s="87"/>
      <x:c r="D505" s="32"/>
      <x:c r="I505" s="74"/>
      <x:c r="J505" s="74"/>
      <x:c r="K505" s="74"/>
      <x:c r="L505" s="74"/>
      <x:c r="M505" s="91"/>
      <x:c r="N505" s="85"/>
      <x:c r="P505" s="86"/>
      <x:c r="Q505" s="32"/>
    </x:row>
    <x:row r="506">
      <x:c r="A506" s="87"/>
      <x:c r="D506" s="32"/>
      <x:c r="I506" s="74"/>
      <x:c r="J506" s="74"/>
      <x:c r="K506" s="74"/>
      <x:c r="L506" s="74"/>
      <x:c r="M506" s="91"/>
      <x:c r="N506" s="85"/>
      <x:c r="P506" s="86"/>
      <x:c r="Q506" s="32"/>
    </x:row>
    <x:row r="507">
      <x:c r="A507" s="87"/>
      <x:c r="D507" s="32"/>
      <x:c r="I507" s="74"/>
      <x:c r="J507" s="74"/>
      <x:c r="K507" s="74"/>
      <x:c r="L507" s="74"/>
      <x:c r="M507" s="91"/>
      <x:c r="N507" s="85"/>
      <x:c r="P507" s="86"/>
      <x:c r="Q507" s="32"/>
    </x:row>
    <x:row r="508">
      <x:c r="A508" s="87"/>
      <x:c r="D508" s="32"/>
      <x:c r="I508" s="74"/>
      <x:c r="J508" s="74"/>
      <x:c r="K508" s="74"/>
      <x:c r="L508" s="74"/>
      <x:c r="M508" s="91"/>
      <x:c r="N508" s="85"/>
      <x:c r="P508" s="86"/>
      <x:c r="Q508" s="32"/>
    </x:row>
    <x:row r="509">
      <x:c r="A509" s="87"/>
      <x:c r="D509" s="32"/>
      <x:c r="I509" s="74"/>
      <x:c r="J509" s="74"/>
      <x:c r="K509" s="74"/>
      <x:c r="L509" s="74"/>
      <x:c r="M509" s="91"/>
      <x:c r="N509" s="85"/>
      <x:c r="P509" s="86"/>
      <x:c r="Q509" s="32"/>
    </x:row>
    <x:row r="510">
      <x:c r="A510" s="87"/>
      <x:c r="D510" s="32"/>
      <x:c r="I510" s="74"/>
      <x:c r="J510" s="74"/>
      <x:c r="K510" s="74"/>
      <x:c r="L510" s="74"/>
      <x:c r="M510" s="91"/>
      <x:c r="N510" s="85"/>
      <x:c r="P510" s="86"/>
      <x:c r="Q510" s="32"/>
    </x:row>
    <x:row r="511">
      <x:c r="A511" s="87"/>
      <x:c r="D511" s="32"/>
      <x:c r="I511" s="74"/>
      <x:c r="J511" s="74"/>
      <x:c r="K511" s="74"/>
      <x:c r="L511" s="74"/>
      <x:c r="M511" s="91"/>
      <x:c r="N511" s="85"/>
      <x:c r="P511" s="86"/>
      <x:c r="Q511" s="32"/>
    </x:row>
    <x:row r="512">
      <x:c r="A512" s="87"/>
      <x:c r="D512" s="32"/>
      <x:c r="I512" s="74"/>
      <x:c r="J512" s="74"/>
      <x:c r="K512" s="74"/>
      <x:c r="L512" s="74"/>
      <x:c r="M512" s="91"/>
      <x:c r="N512" s="85"/>
      <x:c r="P512" s="86"/>
      <x:c r="Q512" s="32"/>
    </x:row>
    <x:row r="513">
      <x:c r="A513" s="87"/>
      <x:c r="D513" s="32"/>
      <x:c r="I513" s="74"/>
      <x:c r="J513" s="74"/>
      <x:c r="K513" s="74"/>
      <x:c r="L513" s="74"/>
      <x:c r="M513" s="91"/>
      <x:c r="N513" s="85"/>
      <x:c r="P513" s="86"/>
      <x:c r="Q513" s="32"/>
    </x:row>
    <x:row r="514">
      <x:c r="A514" s="87"/>
      <x:c r="D514" s="32"/>
      <x:c r="I514" s="74"/>
      <x:c r="J514" s="74"/>
      <x:c r="K514" s="74"/>
      <x:c r="L514" s="74"/>
      <x:c r="M514" s="91"/>
      <x:c r="N514" s="85"/>
      <x:c r="P514" s="86"/>
      <x:c r="Q514" s="32"/>
    </x:row>
    <x:row r="515">
      <x:c r="A515" s="87"/>
      <x:c r="D515" s="32"/>
      <x:c r="I515" s="74"/>
      <x:c r="J515" s="74"/>
      <x:c r="K515" s="74"/>
      <x:c r="L515" s="74"/>
      <x:c r="M515" s="91"/>
      <x:c r="N515" s="85"/>
      <x:c r="P515" s="86"/>
      <x:c r="Q515" s="32"/>
    </x:row>
    <x:row r="516">
      <x:c r="A516" s="87"/>
      <x:c r="D516" s="32"/>
      <x:c r="I516" s="74"/>
      <x:c r="J516" s="74"/>
      <x:c r="K516" s="74"/>
      <x:c r="L516" s="74"/>
      <x:c r="M516" s="91"/>
      <x:c r="N516" s="85"/>
      <x:c r="P516" s="86"/>
      <x:c r="Q516" s="32"/>
    </x:row>
    <x:row r="517">
      <x:c r="A517" s="87"/>
      <x:c r="D517" s="32"/>
      <x:c r="I517" s="74"/>
      <x:c r="J517" s="74"/>
      <x:c r="K517" s="74"/>
      <x:c r="L517" s="74"/>
      <x:c r="M517" s="91"/>
      <x:c r="N517" s="85"/>
      <x:c r="P517" s="86"/>
      <x:c r="Q517" s="32"/>
    </x:row>
    <x:row r="518">
      <x:c r="A518" s="87"/>
      <x:c r="D518" s="32"/>
      <x:c r="I518" s="74"/>
      <x:c r="J518" s="74"/>
      <x:c r="K518" s="74"/>
      <x:c r="L518" s="74"/>
      <x:c r="M518" s="91"/>
      <x:c r="N518" s="85"/>
      <x:c r="P518" s="86"/>
      <x:c r="Q518" s="32"/>
    </x:row>
    <x:row r="519">
      <x:c r="A519" s="87"/>
      <x:c r="D519" s="32"/>
      <x:c r="I519" s="74"/>
      <x:c r="J519" s="74"/>
      <x:c r="K519" s="74"/>
      <x:c r="L519" s="74"/>
      <x:c r="M519" s="91"/>
      <x:c r="N519" s="85"/>
      <x:c r="P519" s="86"/>
      <x:c r="Q519" s="32"/>
    </x:row>
    <x:row r="520">
      <x:c r="A520" s="87"/>
      <x:c r="D520" s="32"/>
      <x:c r="I520" s="74"/>
      <x:c r="J520" s="74"/>
      <x:c r="K520" s="74"/>
      <x:c r="L520" s="74"/>
      <x:c r="M520" s="91"/>
      <x:c r="N520" s="85"/>
      <x:c r="P520" s="86"/>
      <x:c r="Q520" s="32"/>
    </x:row>
    <x:row r="521">
      <x:c r="A521" s="87"/>
      <x:c r="D521" s="32"/>
      <x:c r="I521" s="74"/>
      <x:c r="J521" s="74"/>
      <x:c r="K521" s="74"/>
      <x:c r="L521" s="74"/>
      <x:c r="M521" s="91"/>
      <x:c r="N521" s="85"/>
      <x:c r="P521" s="86"/>
      <x:c r="Q521" s="32"/>
    </x:row>
    <x:row r="522">
      <x:c r="A522" s="87"/>
      <x:c r="D522" s="32"/>
      <x:c r="I522" s="74"/>
      <x:c r="J522" s="74"/>
      <x:c r="K522" s="74"/>
      <x:c r="L522" s="74"/>
      <x:c r="M522" s="91"/>
      <x:c r="N522" s="85"/>
      <x:c r="P522" s="86"/>
      <x:c r="Q522" s="32"/>
    </x:row>
    <x:row r="523">
      <x:c r="A523" s="87"/>
      <x:c r="D523" s="32"/>
      <x:c r="I523" s="74"/>
      <x:c r="J523" s="74"/>
      <x:c r="K523" s="74"/>
      <x:c r="L523" s="74"/>
      <x:c r="M523" s="91"/>
      <x:c r="N523" s="85"/>
      <x:c r="P523" s="86"/>
      <x:c r="Q523" s="32"/>
    </x:row>
    <x:row r="524">
      <x:c r="A524" s="87"/>
      <x:c r="D524" s="32"/>
      <x:c r="I524" s="74"/>
      <x:c r="J524" s="74"/>
      <x:c r="K524" s="74"/>
      <x:c r="L524" s="74"/>
      <x:c r="M524" s="91"/>
      <x:c r="N524" s="85"/>
      <x:c r="P524" s="86"/>
      <x:c r="Q524" s="32"/>
    </x:row>
    <x:row r="525">
      <x:c r="A525" s="87"/>
      <x:c r="D525" s="32"/>
      <x:c r="I525" s="74"/>
      <x:c r="J525" s="74"/>
      <x:c r="K525" s="74"/>
      <x:c r="L525" s="74"/>
      <x:c r="M525" s="91"/>
      <x:c r="N525" s="85"/>
      <x:c r="P525" s="86"/>
      <x:c r="Q525" s="32"/>
    </x:row>
    <x:row r="526">
      <x:c r="A526" s="87"/>
      <x:c r="D526" s="32"/>
      <x:c r="I526" s="74"/>
      <x:c r="J526" s="74"/>
      <x:c r="K526" s="74"/>
      <x:c r="L526" s="74"/>
      <x:c r="M526" s="91"/>
      <x:c r="N526" s="85"/>
      <x:c r="P526" s="86"/>
      <x:c r="Q526" s="32"/>
    </x:row>
    <x:row r="527">
      <x:c r="A527" s="87"/>
      <x:c r="D527" s="32"/>
      <x:c r="I527" s="74"/>
      <x:c r="J527" s="74"/>
      <x:c r="K527" s="74"/>
      <x:c r="L527" s="74"/>
      <x:c r="M527" s="91"/>
      <x:c r="N527" s="85"/>
      <x:c r="P527" s="86"/>
      <x:c r="Q527" s="32"/>
    </x:row>
    <x:row r="528">
      <x:c r="A528" s="87"/>
      <x:c r="D528" s="32"/>
      <x:c r="I528" s="74"/>
      <x:c r="J528" s="74"/>
      <x:c r="K528" s="74"/>
      <x:c r="L528" s="74"/>
      <x:c r="M528" s="91"/>
      <x:c r="N528" s="85"/>
      <x:c r="P528" s="86"/>
      <x:c r="Q528" s="32"/>
    </x:row>
    <x:row r="529">
      <x:c r="A529" s="87"/>
      <x:c r="D529" s="32"/>
      <x:c r="I529" s="74"/>
      <x:c r="J529" s="74"/>
      <x:c r="K529" s="74"/>
      <x:c r="L529" s="74"/>
      <x:c r="M529" s="91"/>
      <x:c r="N529" s="85"/>
      <x:c r="P529" s="86"/>
      <x:c r="Q529" s="32"/>
    </x:row>
    <x:row r="530">
      <x:c r="A530" s="87"/>
      <x:c r="D530" s="32"/>
      <x:c r="I530" s="74"/>
      <x:c r="J530" s="74"/>
      <x:c r="K530" s="74"/>
      <x:c r="L530" s="74"/>
      <x:c r="M530" s="91"/>
      <x:c r="N530" s="85"/>
      <x:c r="P530" s="86"/>
      <x:c r="Q530" s="32"/>
    </x:row>
    <x:row r="531">
      <x:c r="A531" s="87"/>
      <x:c r="D531" s="32"/>
      <x:c r="I531" s="74"/>
      <x:c r="J531" s="74"/>
      <x:c r="K531" s="74"/>
      <x:c r="L531" s="74"/>
      <x:c r="M531" s="91"/>
      <x:c r="N531" s="85"/>
      <x:c r="P531" s="86"/>
      <x:c r="Q531" s="32"/>
    </x:row>
    <x:row r="532">
      <x:c r="A532" s="87"/>
      <x:c r="D532" s="32"/>
      <x:c r="I532" s="74"/>
      <x:c r="J532" s="74"/>
      <x:c r="K532" s="74"/>
      <x:c r="L532" s="74"/>
      <x:c r="M532" s="91"/>
      <x:c r="N532" s="85"/>
      <x:c r="P532" s="86"/>
      <x:c r="Q532" s="32"/>
    </x:row>
    <x:row r="533">
      <x:c r="A533" s="87"/>
      <x:c r="D533" s="32"/>
      <x:c r="I533" s="74"/>
      <x:c r="J533" s="74"/>
      <x:c r="K533" s="74"/>
      <x:c r="L533" s="74"/>
      <x:c r="M533" s="91"/>
      <x:c r="N533" s="85"/>
      <x:c r="P533" s="86"/>
      <x:c r="Q533" s="32"/>
    </x:row>
    <x:row r="534">
      <x:c r="A534" s="87"/>
      <x:c r="D534" s="32"/>
      <x:c r="I534" s="74"/>
      <x:c r="J534" s="74"/>
      <x:c r="K534" s="74"/>
      <x:c r="L534" s="74"/>
      <x:c r="M534" s="91"/>
      <x:c r="N534" s="85"/>
      <x:c r="P534" s="86"/>
      <x:c r="Q534" s="32"/>
    </x:row>
    <x:row r="535">
      <x:c r="A535" s="87"/>
      <x:c r="D535" s="32"/>
      <x:c r="I535" s="74"/>
      <x:c r="J535" s="74"/>
      <x:c r="K535" s="74"/>
      <x:c r="L535" s="74"/>
      <x:c r="M535" s="91"/>
      <x:c r="N535" s="85"/>
      <x:c r="P535" s="86"/>
      <x:c r="Q535" s="32"/>
    </x:row>
    <x:row r="536">
      <x:c r="A536" s="87"/>
      <x:c r="D536" s="32"/>
      <x:c r="I536" s="74"/>
      <x:c r="J536" s="74"/>
      <x:c r="K536" s="74"/>
      <x:c r="L536" s="74"/>
      <x:c r="M536" s="91"/>
      <x:c r="N536" s="85"/>
      <x:c r="P536" s="86"/>
      <x:c r="Q536" s="32"/>
    </x:row>
    <x:row r="537">
      <x:c r="A537" s="87"/>
      <x:c r="D537" s="32"/>
      <x:c r="I537" s="74"/>
      <x:c r="J537" s="74"/>
      <x:c r="K537" s="74"/>
      <x:c r="L537" s="74"/>
      <x:c r="M537" s="91"/>
      <x:c r="N537" s="85"/>
      <x:c r="P537" s="86"/>
      <x:c r="Q537" s="32"/>
    </x:row>
    <x:row r="538">
      <x:c r="A538" s="87"/>
      <x:c r="D538" s="32"/>
      <x:c r="I538" s="74"/>
      <x:c r="J538" s="74"/>
      <x:c r="K538" s="74"/>
      <x:c r="L538" s="74"/>
      <x:c r="M538" s="91"/>
      <x:c r="N538" s="85"/>
      <x:c r="P538" s="86"/>
      <x:c r="Q538" s="32"/>
    </x:row>
    <x:row r="539">
      <x:c r="A539" s="87"/>
      <x:c r="D539" s="32"/>
      <x:c r="I539" s="74"/>
      <x:c r="J539" s="74"/>
      <x:c r="K539" s="74"/>
      <x:c r="L539" s="74"/>
      <x:c r="M539" s="91"/>
      <x:c r="N539" s="85"/>
      <x:c r="P539" s="86"/>
      <x:c r="Q539" s="32"/>
    </x:row>
    <x:row r="540">
      <x:c r="A540" s="87"/>
      <x:c r="D540" s="32"/>
      <x:c r="I540" s="74"/>
      <x:c r="J540" s="74"/>
      <x:c r="K540" s="74"/>
      <x:c r="L540" s="74"/>
      <x:c r="M540" s="91"/>
      <x:c r="N540" s="85"/>
      <x:c r="P540" s="86"/>
      <x:c r="Q540" s="32"/>
    </x:row>
    <x:row r="541">
      <x:c r="A541" s="87"/>
      <x:c r="D541" s="32"/>
      <x:c r="I541" s="74"/>
      <x:c r="J541" s="74"/>
      <x:c r="K541" s="74"/>
      <x:c r="L541" s="74"/>
      <x:c r="M541" s="91"/>
      <x:c r="N541" s="85"/>
      <x:c r="P541" s="86"/>
      <x:c r="Q541" s="32"/>
    </x:row>
    <x:row r="542">
      <x:c r="A542" s="87"/>
      <x:c r="D542" s="32"/>
      <x:c r="I542" s="74"/>
      <x:c r="J542" s="74"/>
      <x:c r="K542" s="74"/>
      <x:c r="L542" s="74"/>
      <x:c r="M542" s="91"/>
      <x:c r="N542" s="85"/>
      <x:c r="P542" s="86"/>
      <x:c r="Q542" s="32"/>
    </x:row>
    <x:row r="543">
      <x:c r="A543" s="87"/>
      <x:c r="D543" s="32"/>
      <x:c r="I543" s="74"/>
      <x:c r="J543" s="74"/>
      <x:c r="K543" s="74"/>
      <x:c r="L543" s="74"/>
      <x:c r="M543" s="91"/>
      <x:c r="N543" s="85"/>
      <x:c r="P543" s="86"/>
      <x:c r="Q543" s="32"/>
    </x:row>
    <x:row r="544">
      <x:c r="A544" s="87"/>
      <x:c r="D544" s="32"/>
      <x:c r="I544" s="74"/>
      <x:c r="J544" s="74"/>
      <x:c r="K544" s="74"/>
      <x:c r="L544" s="74"/>
      <x:c r="M544" s="91"/>
      <x:c r="N544" s="85"/>
      <x:c r="P544" s="86"/>
      <x:c r="Q544" s="32"/>
    </x:row>
    <x:row r="545">
      <x:c r="A545" s="87"/>
      <x:c r="D545" s="32"/>
      <x:c r="I545" s="74"/>
      <x:c r="J545" s="74"/>
      <x:c r="K545" s="74"/>
      <x:c r="L545" s="74"/>
      <x:c r="M545" s="91"/>
      <x:c r="N545" s="85"/>
      <x:c r="P545" s="86"/>
      <x:c r="Q545" s="32"/>
    </x:row>
    <x:row r="546">
      <x:c r="A546" s="87"/>
      <x:c r="D546" s="32"/>
      <x:c r="I546" s="74"/>
      <x:c r="J546" s="74"/>
      <x:c r="K546" s="74"/>
      <x:c r="L546" s="74"/>
      <x:c r="M546" s="91"/>
      <x:c r="N546" s="85"/>
      <x:c r="P546" s="86"/>
      <x:c r="Q546" s="32"/>
    </x:row>
    <x:row r="547">
      <x:c r="A547" s="87"/>
      <x:c r="D547" s="32"/>
      <x:c r="I547" s="74"/>
      <x:c r="J547" s="74"/>
      <x:c r="K547" s="74"/>
      <x:c r="L547" s="74"/>
      <x:c r="M547" s="91"/>
      <x:c r="N547" s="85"/>
      <x:c r="P547" s="86"/>
      <x:c r="Q547" s="32"/>
    </x:row>
    <x:row r="548">
      <x:c r="A548" s="87"/>
      <x:c r="D548" s="32"/>
      <x:c r="I548" s="74"/>
      <x:c r="J548" s="74"/>
      <x:c r="K548" s="74"/>
      <x:c r="L548" s="74"/>
      <x:c r="M548" s="91"/>
      <x:c r="N548" s="85"/>
      <x:c r="P548" s="86"/>
      <x:c r="Q548" s="32"/>
    </x:row>
    <x:row r="549">
      <x:c r="A549" s="87"/>
      <x:c r="D549" s="32"/>
      <x:c r="I549" s="74"/>
      <x:c r="J549" s="74"/>
      <x:c r="K549" s="74"/>
      <x:c r="L549" s="74"/>
      <x:c r="M549" s="91"/>
      <x:c r="N549" s="85"/>
      <x:c r="P549" s="86"/>
      <x:c r="Q549" s="32"/>
    </x:row>
    <x:row r="550">
      <x:c r="A550" s="87"/>
      <x:c r="D550" s="32"/>
      <x:c r="I550" s="74"/>
      <x:c r="J550" s="74"/>
      <x:c r="K550" s="74"/>
      <x:c r="L550" s="74"/>
      <x:c r="M550" s="91"/>
      <x:c r="N550" s="85"/>
      <x:c r="P550" s="86"/>
      <x:c r="Q550" s="32"/>
    </x:row>
    <x:row r="551">
      <x:c r="A551" s="87"/>
      <x:c r="D551" s="32"/>
      <x:c r="I551" s="74"/>
      <x:c r="J551" s="74"/>
      <x:c r="K551" s="74"/>
      <x:c r="L551" s="74"/>
      <x:c r="M551" s="91"/>
      <x:c r="N551" s="85"/>
      <x:c r="P551" s="86"/>
      <x:c r="Q551" s="32"/>
    </x:row>
    <x:row r="552">
      <x:c r="A552" s="87"/>
      <x:c r="D552" s="32"/>
      <x:c r="I552" s="74"/>
      <x:c r="J552" s="74"/>
      <x:c r="K552" s="74"/>
      <x:c r="L552" s="74"/>
      <x:c r="M552" s="91"/>
      <x:c r="N552" s="85"/>
      <x:c r="P552" s="86"/>
      <x:c r="Q552" s="32"/>
    </x:row>
    <x:row r="553">
      <x:c r="A553" s="87"/>
      <x:c r="D553" s="32"/>
      <x:c r="I553" s="74"/>
      <x:c r="J553" s="74"/>
      <x:c r="K553" s="74"/>
      <x:c r="L553" s="74"/>
      <x:c r="M553" s="91"/>
      <x:c r="N553" s="85"/>
      <x:c r="P553" s="86"/>
      <x:c r="Q553" s="32"/>
    </x:row>
    <x:row r="554">
      <x:c r="A554" s="87"/>
      <x:c r="D554" s="32"/>
      <x:c r="I554" s="74"/>
      <x:c r="J554" s="74"/>
      <x:c r="K554" s="74"/>
      <x:c r="L554" s="74"/>
      <x:c r="M554" s="91"/>
      <x:c r="N554" s="85"/>
      <x:c r="P554" s="86"/>
      <x:c r="Q554" s="32"/>
    </x:row>
    <x:row r="555">
      <x:c r="A555" s="87"/>
      <x:c r="D555" s="32"/>
      <x:c r="I555" s="74"/>
      <x:c r="J555" s="74"/>
      <x:c r="K555" s="74"/>
      <x:c r="L555" s="74"/>
      <x:c r="M555" s="91"/>
      <x:c r="N555" s="85"/>
      <x:c r="P555" s="86"/>
      <x:c r="Q555" s="32"/>
    </x:row>
    <x:row r="556">
      <x:c r="A556" s="87"/>
      <x:c r="D556" s="32"/>
      <x:c r="I556" s="74"/>
      <x:c r="J556" s="74"/>
      <x:c r="K556" s="74"/>
      <x:c r="L556" s="74"/>
      <x:c r="M556" s="91"/>
      <x:c r="N556" s="85"/>
      <x:c r="P556" s="86"/>
      <x:c r="Q556" s="32"/>
    </x:row>
    <x:row r="557">
      <x:c r="A557" s="87"/>
      <x:c r="D557" s="32"/>
      <x:c r="I557" s="74"/>
      <x:c r="J557" s="74"/>
      <x:c r="K557" s="74"/>
      <x:c r="L557" s="74"/>
      <x:c r="M557" s="91"/>
      <x:c r="N557" s="85"/>
      <x:c r="P557" s="86"/>
      <x:c r="Q557" s="32"/>
    </x:row>
    <x:row r="558">
      <x:c r="A558" s="87"/>
      <x:c r="D558" s="32"/>
      <x:c r="I558" s="74"/>
      <x:c r="J558" s="74"/>
      <x:c r="K558" s="74"/>
      <x:c r="L558" s="74"/>
      <x:c r="M558" s="91"/>
      <x:c r="N558" s="85"/>
      <x:c r="P558" s="86"/>
      <x:c r="Q558" s="32"/>
    </x:row>
    <x:row r="559">
      <x:c r="A559" s="87"/>
      <x:c r="D559" s="32"/>
      <x:c r="I559" s="74"/>
      <x:c r="J559" s="74"/>
      <x:c r="K559" s="74"/>
      <x:c r="L559" s="74"/>
      <x:c r="M559" s="91"/>
      <x:c r="N559" s="85"/>
      <x:c r="P559" s="86"/>
      <x:c r="Q559" s="32"/>
    </x:row>
    <x:row r="560">
      <x:c r="A560" s="87"/>
      <x:c r="D560" s="32"/>
      <x:c r="I560" s="74"/>
      <x:c r="J560" s="74"/>
      <x:c r="K560" s="74"/>
      <x:c r="L560" s="74"/>
      <x:c r="M560" s="91"/>
      <x:c r="N560" s="85"/>
      <x:c r="P560" s="86"/>
      <x:c r="Q560" s="32"/>
    </x:row>
    <x:row r="561">
      <x:c r="A561" s="87"/>
      <x:c r="D561" s="32"/>
      <x:c r="I561" s="74"/>
      <x:c r="J561" s="74"/>
      <x:c r="K561" s="74"/>
      <x:c r="L561" s="74"/>
      <x:c r="M561" s="91"/>
      <x:c r="N561" s="85"/>
      <x:c r="P561" s="86"/>
      <x:c r="Q561" s="32"/>
    </x:row>
    <x:row r="562">
      <x:c r="A562" s="87"/>
      <x:c r="D562" s="32"/>
      <x:c r="I562" s="74"/>
      <x:c r="J562" s="74"/>
      <x:c r="K562" s="74"/>
      <x:c r="L562" s="74"/>
      <x:c r="M562" s="91"/>
      <x:c r="N562" s="85"/>
      <x:c r="P562" s="86"/>
      <x:c r="Q562" s="32"/>
    </x:row>
    <x:row r="563">
      <x:c r="A563" s="87"/>
      <x:c r="D563" s="32"/>
      <x:c r="I563" s="74"/>
      <x:c r="J563" s="74"/>
      <x:c r="K563" s="74"/>
      <x:c r="L563" s="74"/>
      <x:c r="M563" s="91"/>
      <x:c r="N563" s="85"/>
      <x:c r="P563" s="86"/>
      <x:c r="Q563" s="32"/>
    </x:row>
    <x:row r="564">
      <x:c r="A564" s="87"/>
      <x:c r="D564" s="32"/>
      <x:c r="I564" s="74"/>
      <x:c r="J564" s="74"/>
      <x:c r="K564" s="74"/>
      <x:c r="L564" s="74"/>
      <x:c r="M564" s="91"/>
      <x:c r="N564" s="85"/>
      <x:c r="P564" s="86"/>
      <x:c r="Q564" s="32"/>
    </x:row>
    <x:row r="565">
      <x:c r="A565" s="87"/>
      <x:c r="D565" s="32"/>
      <x:c r="I565" s="74"/>
      <x:c r="J565" s="74"/>
      <x:c r="K565" s="74"/>
      <x:c r="L565" s="74"/>
      <x:c r="M565" s="91"/>
      <x:c r="N565" s="85"/>
      <x:c r="P565" s="86"/>
      <x:c r="Q565" s="32"/>
    </x:row>
    <x:row r="566">
      <x:c r="A566" s="87"/>
      <x:c r="D566" s="32"/>
      <x:c r="I566" s="74"/>
      <x:c r="J566" s="74"/>
      <x:c r="K566" s="74"/>
      <x:c r="L566" s="74"/>
      <x:c r="M566" s="91"/>
      <x:c r="N566" s="85"/>
      <x:c r="P566" s="86"/>
      <x:c r="Q566" s="32"/>
    </x:row>
    <x:row r="567">
      <x:c r="A567" s="87"/>
      <x:c r="D567" s="32"/>
      <x:c r="I567" s="74"/>
      <x:c r="J567" s="74"/>
      <x:c r="K567" s="74"/>
      <x:c r="L567" s="74"/>
      <x:c r="M567" s="91"/>
      <x:c r="N567" s="85"/>
      <x:c r="P567" s="86"/>
      <x:c r="Q567" s="32"/>
    </x:row>
    <x:row r="568">
      <x:c r="A568" s="87"/>
      <x:c r="D568" s="32"/>
      <x:c r="I568" s="74"/>
      <x:c r="J568" s="74"/>
      <x:c r="K568" s="74"/>
      <x:c r="L568" s="74"/>
      <x:c r="M568" s="91"/>
      <x:c r="N568" s="85"/>
      <x:c r="P568" s="86"/>
      <x:c r="Q568" s="32"/>
    </x:row>
    <x:row r="569">
      <x:c r="A569" s="87"/>
      <x:c r="D569" s="32"/>
      <x:c r="I569" s="74"/>
      <x:c r="J569" s="74"/>
      <x:c r="K569" s="74"/>
      <x:c r="L569" s="74"/>
      <x:c r="M569" s="91"/>
      <x:c r="N569" s="85"/>
      <x:c r="P569" s="86"/>
      <x:c r="Q569" s="32"/>
    </x:row>
    <x:row r="570">
      <x:c r="A570" s="87"/>
      <x:c r="D570" s="32"/>
      <x:c r="I570" s="74"/>
      <x:c r="J570" s="74"/>
      <x:c r="K570" s="74"/>
      <x:c r="L570" s="74"/>
      <x:c r="M570" s="91"/>
      <x:c r="N570" s="85"/>
      <x:c r="P570" s="86"/>
      <x:c r="Q570" s="32"/>
    </x:row>
    <x:row r="571">
      <x:c r="A571" s="87"/>
      <x:c r="D571" s="32"/>
      <x:c r="I571" s="74"/>
      <x:c r="J571" s="74"/>
      <x:c r="K571" s="74"/>
      <x:c r="L571" s="74"/>
      <x:c r="M571" s="91"/>
      <x:c r="N571" s="85"/>
      <x:c r="P571" s="86"/>
      <x:c r="Q571" s="32"/>
    </x:row>
    <x:row r="572">
      <x:c r="A572" s="87"/>
      <x:c r="D572" s="32"/>
      <x:c r="I572" s="74"/>
      <x:c r="J572" s="74"/>
      <x:c r="K572" s="74"/>
      <x:c r="L572" s="74"/>
      <x:c r="M572" s="91"/>
      <x:c r="N572" s="85"/>
      <x:c r="P572" s="86"/>
      <x:c r="Q572" s="32"/>
    </x:row>
    <x:row r="573">
      <x:c r="A573" s="87"/>
      <x:c r="D573" s="32"/>
      <x:c r="I573" s="74"/>
      <x:c r="J573" s="74"/>
      <x:c r="K573" s="74"/>
      <x:c r="L573" s="74"/>
      <x:c r="M573" s="91"/>
      <x:c r="N573" s="85"/>
      <x:c r="P573" s="86"/>
      <x:c r="Q573" s="32"/>
    </x:row>
    <x:row r="574">
      <x:c r="A574" s="87"/>
      <x:c r="D574" s="32"/>
      <x:c r="I574" s="74"/>
      <x:c r="J574" s="74"/>
      <x:c r="K574" s="74"/>
      <x:c r="L574" s="74"/>
      <x:c r="M574" s="91"/>
      <x:c r="N574" s="85"/>
      <x:c r="P574" s="86"/>
      <x:c r="Q574" s="32"/>
    </x:row>
    <x:row r="575">
      <x:c r="A575" s="87"/>
      <x:c r="D575" s="32"/>
      <x:c r="I575" s="74"/>
      <x:c r="J575" s="74"/>
      <x:c r="K575" s="74"/>
      <x:c r="L575" s="74"/>
      <x:c r="M575" s="91"/>
      <x:c r="N575" s="85"/>
      <x:c r="P575" s="86"/>
      <x:c r="Q575" s="32"/>
    </x:row>
    <x:row r="576">
      <x:c r="A576" s="87"/>
      <x:c r="D576" s="32"/>
      <x:c r="I576" s="74"/>
      <x:c r="J576" s="74"/>
      <x:c r="K576" s="74"/>
      <x:c r="L576" s="74"/>
      <x:c r="M576" s="91"/>
      <x:c r="N576" s="85"/>
      <x:c r="P576" s="86"/>
      <x:c r="Q576" s="32"/>
    </x:row>
    <x:row r="577">
      <x:c r="A577" s="87"/>
      <x:c r="D577" s="32"/>
      <x:c r="I577" s="74"/>
      <x:c r="J577" s="74"/>
      <x:c r="K577" s="74"/>
      <x:c r="L577" s="74"/>
      <x:c r="M577" s="91"/>
      <x:c r="N577" s="85"/>
      <x:c r="P577" s="86"/>
      <x:c r="Q577" s="32"/>
    </x:row>
    <x:row r="578">
      <x:c r="A578" s="87"/>
      <x:c r="D578" s="32"/>
      <x:c r="I578" s="74"/>
      <x:c r="J578" s="74"/>
      <x:c r="K578" s="74"/>
      <x:c r="L578" s="74"/>
      <x:c r="M578" s="91"/>
      <x:c r="N578" s="85"/>
      <x:c r="P578" s="86"/>
      <x:c r="Q578" s="32"/>
    </x:row>
    <x:row r="579">
      <x:c r="A579" s="87"/>
      <x:c r="D579" s="32"/>
      <x:c r="I579" s="74"/>
      <x:c r="J579" s="74"/>
      <x:c r="K579" s="74"/>
      <x:c r="L579" s="74"/>
      <x:c r="M579" s="91"/>
      <x:c r="N579" s="85"/>
      <x:c r="P579" s="86"/>
      <x:c r="Q579" s="32"/>
    </x:row>
    <x:row r="580">
      <x:c r="A580" s="87"/>
      <x:c r="D580" s="32"/>
      <x:c r="I580" s="74"/>
      <x:c r="J580" s="74"/>
      <x:c r="K580" s="74"/>
      <x:c r="L580" s="74"/>
      <x:c r="M580" s="91"/>
      <x:c r="N580" s="85"/>
      <x:c r="P580" s="86"/>
      <x:c r="Q580" s="32"/>
    </x:row>
    <x:row r="581">
      <x:c r="A581" s="87"/>
      <x:c r="D581" s="32"/>
      <x:c r="I581" s="74"/>
      <x:c r="J581" s="74"/>
      <x:c r="K581" s="74"/>
      <x:c r="L581" s="74"/>
      <x:c r="M581" s="91"/>
      <x:c r="N581" s="85"/>
      <x:c r="P581" s="86"/>
      <x:c r="Q581" s="32"/>
    </x:row>
    <x:row r="582">
      <x:c r="A582" s="87"/>
      <x:c r="D582" s="32"/>
      <x:c r="I582" s="74"/>
      <x:c r="J582" s="74"/>
      <x:c r="K582" s="74"/>
      <x:c r="L582" s="74"/>
      <x:c r="M582" s="91"/>
      <x:c r="N582" s="85"/>
      <x:c r="P582" s="86"/>
      <x:c r="Q582" s="32"/>
    </x:row>
    <x:row r="583">
      <x:c r="A583" s="87"/>
      <x:c r="D583" s="32"/>
      <x:c r="I583" s="74"/>
      <x:c r="J583" s="74"/>
      <x:c r="K583" s="74"/>
      <x:c r="L583" s="74"/>
      <x:c r="M583" s="91"/>
      <x:c r="N583" s="85"/>
      <x:c r="P583" s="86"/>
      <x:c r="Q583" s="32"/>
    </x:row>
    <x:row r="584">
      <x:c r="A584" s="87"/>
      <x:c r="D584" s="32"/>
      <x:c r="I584" s="74"/>
      <x:c r="J584" s="74"/>
      <x:c r="K584" s="74"/>
      <x:c r="L584" s="74"/>
      <x:c r="M584" s="91"/>
      <x:c r="N584" s="85"/>
      <x:c r="P584" s="86"/>
      <x:c r="Q584" s="32"/>
    </x:row>
    <x:row r="585">
      <x:c r="A585" s="87"/>
      <x:c r="D585" s="32"/>
      <x:c r="I585" s="74"/>
      <x:c r="J585" s="74"/>
      <x:c r="K585" s="74"/>
      <x:c r="L585" s="74"/>
      <x:c r="M585" s="91"/>
      <x:c r="N585" s="85"/>
      <x:c r="P585" s="86"/>
      <x:c r="Q585" s="32"/>
    </x:row>
    <x:row r="586">
      <x:c r="A586" s="87"/>
      <x:c r="D586" s="32"/>
      <x:c r="I586" s="74"/>
      <x:c r="J586" s="74"/>
      <x:c r="K586" s="74"/>
      <x:c r="L586" s="74"/>
      <x:c r="M586" s="91"/>
      <x:c r="N586" s="85"/>
      <x:c r="P586" s="86"/>
      <x:c r="Q586" s="32"/>
    </x:row>
    <x:row r="587">
      <x:c r="A587" s="87"/>
      <x:c r="D587" s="32"/>
      <x:c r="I587" s="74"/>
      <x:c r="J587" s="74"/>
      <x:c r="K587" s="74"/>
      <x:c r="L587" s="74"/>
      <x:c r="M587" s="91"/>
      <x:c r="N587" s="85"/>
      <x:c r="P587" s="86"/>
      <x:c r="Q587" s="32"/>
    </x:row>
    <x:row r="588">
      <x:c r="A588" s="87"/>
      <x:c r="D588" s="32"/>
      <x:c r="I588" s="74"/>
      <x:c r="J588" s="74"/>
      <x:c r="K588" s="74"/>
      <x:c r="L588" s="74"/>
      <x:c r="M588" s="91"/>
      <x:c r="N588" s="85"/>
      <x:c r="P588" s="86"/>
      <x:c r="Q588" s="32"/>
    </x:row>
    <x:row r="589">
      <x:c r="A589" s="87"/>
      <x:c r="D589" s="32"/>
      <x:c r="I589" s="74"/>
      <x:c r="J589" s="74"/>
      <x:c r="K589" s="74"/>
      <x:c r="L589" s="74"/>
      <x:c r="M589" s="91"/>
      <x:c r="N589" s="85"/>
      <x:c r="P589" s="86"/>
      <x:c r="Q589" s="32"/>
    </x:row>
    <x:row r="590">
      <x:c r="A590" s="87"/>
      <x:c r="D590" s="32"/>
      <x:c r="I590" s="74"/>
      <x:c r="J590" s="74"/>
      <x:c r="K590" s="74"/>
      <x:c r="L590" s="74"/>
      <x:c r="M590" s="91"/>
      <x:c r="N590" s="85"/>
      <x:c r="P590" s="86"/>
      <x:c r="Q590" s="32"/>
    </x:row>
    <x:row r="591">
      <x:c r="A591" s="87"/>
      <x:c r="D591" s="32"/>
      <x:c r="I591" s="74"/>
      <x:c r="J591" s="74"/>
      <x:c r="K591" s="74"/>
      <x:c r="L591" s="74"/>
      <x:c r="M591" s="91"/>
      <x:c r="N591" s="85"/>
      <x:c r="P591" s="86"/>
      <x:c r="Q591" s="32"/>
    </x:row>
    <x:row r="592">
      <x:c r="A592" s="87"/>
      <x:c r="D592" s="32"/>
      <x:c r="I592" s="74"/>
      <x:c r="J592" s="74"/>
      <x:c r="K592" s="74"/>
      <x:c r="L592" s="74"/>
      <x:c r="M592" s="91"/>
      <x:c r="N592" s="85"/>
      <x:c r="P592" s="86"/>
      <x:c r="Q592" s="32"/>
    </x:row>
    <x:row r="593">
      <x:c r="A593" s="87"/>
      <x:c r="D593" s="32"/>
      <x:c r="I593" s="74"/>
      <x:c r="J593" s="74"/>
      <x:c r="K593" s="74"/>
      <x:c r="L593" s="74"/>
      <x:c r="M593" s="91"/>
      <x:c r="N593" s="85"/>
      <x:c r="P593" s="86"/>
      <x:c r="Q593" s="32"/>
    </x:row>
    <x:row r="594">
      <x:c r="A594" s="87"/>
      <x:c r="D594" s="32"/>
      <x:c r="I594" s="74"/>
      <x:c r="J594" s="74"/>
      <x:c r="K594" s="74"/>
      <x:c r="L594" s="74"/>
      <x:c r="M594" s="91"/>
      <x:c r="N594" s="85"/>
      <x:c r="P594" s="86"/>
      <x:c r="Q594" s="32"/>
    </x:row>
    <x:row r="595">
      <x:c r="A595" s="87"/>
      <x:c r="D595" s="32"/>
      <x:c r="I595" s="74"/>
      <x:c r="J595" s="74"/>
      <x:c r="K595" s="74"/>
      <x:c r="L595" s="74"/>
      <x:c r="M595" s="91"/>
      <x:c r="N595" s="85"/>
      <x:c r="P595" s="86"/>
      <x:c r="Q595" s="32"/>
    </x:row>
    <x:row r="596">
      <x:c r="A596" s="87"/>
      <x:c r="D596" s="32"/>
      <x:c r="I596" s="74"/>
      <x:c r="J596" s="74"/>
      <x:c r="K596" s="74"/>
      <x:c r="L596" s="74"/>
      <x:c r="M596" s="91"/>
      <x:c r="N596" s="85"/>
      <x:c r="P596" s="86"/>
      <x:c r="Q596" s="32"/>
    </x:row>
    <x:row r="597">
      <x:c r="A597" s="87"/>
      <x:c r="D597" s="32"/>
      <x:c r="I597" s="74"/>
      <x:c r="J597" s="74"/>
      <x:c r="K597" s="74"/>
      <x:c r="L597" s="74"/>
      <x:c r="M597" s="91"/>
      <x:c r="N597" s="85"/>
      <x:c r="P597" s="86"/>
      <x:c r="Q597" s="32"/>
    </x:row>
    <x:row r="598">
      <x:c r="A598" s="87"/>
      <x:c r="D598" s="32"/>
      <x:c r="I598" s="74"/>
      <x:c r="J598" s="74"/>
      <x:c r="K598" s="74"/>
      <x:c r="L598" s="74"/>
      <x:c r="M598" s="91"/>
      <x:c r="N598" s="85"/>
      <x:c r="P598" s="86"/>
      <x:c r="Q598" s="32"/>
    </x:row>
    <x:row r="599">
      <x:c r="A599" s="87"/>
      <x:c r="D599" s="32"/>
      <x:c r="I599" s="74"/>
      <x:c r="J599" s="74"/>
      <x:c r="K599" s="74"/>
      <x:c r="L599" s="74"/>
      <x:c r="M599" s="91"/>
      <x:c r="N599" s="85"/>
      <x:c r="P599" s="86"/>
      <x:c r="Q599" s="32"/>
    </x:row>
    <x:row r="600">
      <x:c r="A600" s="87"/>
      <x:c r="D600" s="32"/>
      <x:c r="I600" s="74"/>
      <x:c r="J600" s="74"/>
      <x:c r="K600" s="74"/>
      <x:c r="L600" s="74"/>
      <x:c r="M600" s="91"/>
      <x:c r="N600" s="85"/>
      <x:c r="P600" s="86"/>
      <x:c r="Q600" s="32"/>
    </x:row>
    <x:row r="601">
      <x:c r="A601" s="87"/>
      <x:c r="D601" s="32"/>
      <x:c r="I601" s="74"/>
      <x:c r="J601" s="74"/>
      <x:c r="K601" s="74"/>
      <x:c r="L601" s="74"/>
      <x:c r="M601" s="91"/>
      <x:c r="N601" s="85"/>
      <x:c r="P601" s="86"/>
      <x:c r="Q601" s="32"/>
    </x:row>
    <x:row r="602">
      <x:c r="A602" s="87"/>
      <x:c r="D602" s="32"/>
      <x:c r="I602" s="74"/>
      <x:c r="J602" s="74"/>
      <x:c r="K602" s="74"/>
      <x:c r="L602" s="74"/>
      <x:c r="M602" s="91"/>
      <x:c r="N602" s="85"/>
      <x:c r="P602" s="86"/>
      <x:c r="Q602" s="32"/>
    </x:row>
    <x:row r="603">
      <x:c r="A603" s="87"/>
      <x:c r="D603" s="32"/>
      <x:c r="I603" s="74"/>
      <x:c r="J603" s="74"/>
      <x:c r="K603" s="74"/>
      <x:c r="L603" s="74"/>
      <x:c r="M603" s="91"/>
      <x:c r="N603" s="85"/>
      <x:c r="P603" s="86"/>
      <x:c r="Q603" s="32"/>
    </x:row>
    <x:row r="604">
      <x:c r="A604" s="87"/>
      <x:c r="D604" s="32"/>
      <x:c r="I604" s="74"/>
      <x:c r="J604" s="74"/>
      <x:c r="K604" s="74"/>
      <x:c r="L604" s="74"/>
      <x:c r="M604" s="91"/>
      <x:c r="N604" s="85"/>
      <x:c r="P604" s="86"/>
      <x:c r="Q604" s="32"/>
    </x:row>
    <x:row r="605">
      <x:c r="A605" s="87"/>
      <x:c r="D605" s="32"/>
      <x:c r="I605" s="74"/>
      <x:c r="J605" s="74"/>
      <x:c r="K605" s="74"/>
      <x:c r="L605" s="74"/>
      <x:c r="M605" s="91"/>
      <x:c r="N605" s="85"/>
      <x:c r="P605" s="86"/>
      <x:c r="Q605" s="32"/>
    </x:row>
    <x:row r="606">
      <x:c r="A606" s="87"/>
      <x:c r="D606" s="32"/>
      <x:c r="I606" s="74"/>
      <x:c r="J606" s="74"/>
      <x:c r="K606" s="74"/>
      <x:c r="L606" s="74"/>
      <x:c r="M606" s="91"/>
      <x:c r="N606" s="85"/>
      <x:c r="P606" s="86"/>
      <x:c r="Q606" s="32"/>
    </x:row>
    <x:row r="607">
      <x:c r="A607" s="87"/>
      <x:c r="D607" s="32"/>
      <x:c r="I607" s="74"/>
      <x:c r="J607" s="74"/>
      <x:c r="K607" s="74"/>
      <x:c r="L607" s="74"/>
      <x:c r="M607" s="91"/>
      <x:c r="N607" s="85"/>
      <x:c r="P607" s="86"/>
      <x:c r="Q607" s="32"/>
    </x:row>
    <x:row r="608">
      <x:c r="A608" s="87"/>
      <x:c r="D608" s="32"/>
      <x:c r="I608" s="74"/>
      <x:c r="J608" s="74"/>
      <x:c r="K608" s="74"/>
      <x:c r="L608" s="74"/>
      <x:c r="M608" s="91"/>
      <x:c r="N608" s="85"/>
      <x:c r="P608" s="86"/>
      <x:c r="Q608" s="32"/>
    </x:row>
    <x:row r="609">
      <x:c r="A609" s="87"/>
      <x:c r="D609" s="32"/>
      <x:c r="I609" s="74"/>
      <x:c r="J609" s="74"/>
      <x:c r="K609" s="74"/>
      <x:c r="L609" s="74"/>
      <x:c r="M609" s="91"/>
      <x:c r="N609" s="85"/>
      <x:c r="P609" s="86"/>
      <x:c r="Q609" s="32"/>
    </x:row>
    <x:row r="610">
      <x:c r="A610" s="87"/>
      <x:c r="D610" s="32"/>
      <x:c r="I610" s="74"/>
      <x:c r="J610" s="74"/>
      <x:c r="K610" s="74"/>
      <x:c r="L610" s="74"/>
      <x:c r="M610" s="91"/>
      <x:c r="N610" s="85"/>
      <x:c r="P610" s="86"/>
      <x:c r="Q610" s="32"/>
    </x:row>
    <x:row r="611">
      <x:c r="A611" s="87"/>
      <x:c r="D611" s="32"/>
      <x:c r="I611" s="74"/>
      <x:c r="J611" s="74"/>
      <x:c r="K611" s="74"/>
      <x:c r="L611" s="74"/>
      <x:c r="M611" s="91"/>
      <x:c r="N611" s="85"/>
      <x:c r="P611" s="86"/>
      <x:c r="Q611" s="32"/>
    </x:row>
    <x:row r="612">
      <x:c r="A612" s="87"/>
      <x:c r="D612" s="32"/>
      <x:c r="I612" s="74"/>
      <x:c r="J612" s="74"/>
      <x:c r="K612" s="74"/>
      <x:c r="L612" s="74"/>
      <x:c r="M612" s="91"/>
      <x:c r="N612" s="85"/>
      <x:c r="P612" s="86"/>
      <x:c r="Q612" s="32"/>
    </x:row>
    <x:row r="613">
      <x:c r="A613" s="87"/>
      <x:c r="D613" s="32"/>
      <x:c r="I613" s="74"/>
      <x:c r="J613" s="74"/>
      <x:c r="K613" s="74"/>
      <x:c r="L613" s="74"/>
      <x:c r="M613" s="91"/>
      <x:c r="N613" s="85"/>
      <x:c r="P613" s="86"/>
      <x:c r="Q613" s="32"/>
    </x:row>
    <x:row r="614">
      <x:c r="A614" s="87"/>
      <x:c r="D614" s="32"/>
      <x:c r="I614" s="74"/>
      <x:c r="J614" s="74"/>
      <x:c r="K614" s="74"/>
      <x:c r="L614" s="74"/>
      <x:c r="M614" s="91"/>
      <x:c r="N614" s="85"/>
      <x:c r="P614" s="86"/>
      <x:c r="Q614" s="32"/>
    </x:row>
    <x:row r="615">
      <x:c r="A615" s="87"/>
      <x:c r="D615" s="32"/>
      <x:c r="I615" s="74"/>
      <x:c r="J615" s="74"/>
      <x:c r="K615" s="74"/>
      <x:c r="L615" s="74"/>
      <x:c r="M615" s="91"/>
      <x:c r="N615" s="85"/>
      <x:c r="P615" s="86"/>
      <x:c r="Q615" s="32"/>
    </x:row>
    <x:row r="616">
      <x:c r="A616" s="87"/>
      <x:c r="D616" s="32"/>
      <x:c r="I616" s="74"/>
      <x:c r="J616" s="74"/>
      <x:c r="K616" s="74"/>
      <x:c r="L616" s="74"/>
      <x:c r="M616" s="91"/>
      <x:c r="N616" s="85"/>
      <x:c r="P616" s="86"/>
      <x:c r="Q616" s="32"/>
    </x:row>
    <x:row r="617">
      <x:c r="A617" s="87"/>
      <x:c r="D617" s="32"/>
      <x:c r="I617" s="74"/>
      <x:c r="J617" s="74"/>
      <x:c r="K617" s="74"/>
      <x:c r="L617" s="74"/>
      <x:c r="M617" s="91"/>
      <x:c r="N617" s="85"/>
      <x:c r="P617" s="86"/>
      <x:c r="Q617" s="32"/>
    </x:row>
    <x:row r="618">
      <x:c r="A618" s="87"/>
      <x:c r="D618" s="32"/>
      <x:c r="I618" s="74"/>
      <x:c r="J618" s="74"/>
      <x:c r="K618" s="74"/>
      <x:c r="L618" s="74"/>
      <x:c r="M618" s="91"/>
      <x:c r="N618" s="85"/>
      <x:c r="P618" s="86"/>
      <x:c r="Q618" s="32"/>
    </x:row>
    <x:row r="619">
      <x:c r="A619" s="87"/>
      <x:c r="D619" s="32"/>
      <x:c r="I619" s="74"/>
      <x:c r="J619" s="74"/>
      <x:c r="K619" s="74"/>
      <x:c r="L619" s="74"/>
      <x:c r="M619" s="91"/>
      <x:c r="N619" s="85"/>
      <x:c r="P619" s="86"/>
      <x:c r="Q619" s="32"/>
    </x:row>
    <x:row r="620">
      <x:c r="A620" s="87"/>
      <x:c r="D620" s="32"/>
      <x:c r="I620" s="74"/>
      <x:c r="J620" s="74"/>
      <x:c r="K620" s="74"/>
      <x:c r="L620" s="74"/>
      <x:c r="M620" s="91"/>
      <x:c r="N620" s="85"/>
      <x:c r="P620" s="86"/>
      <x:c r="Q620" s="32"/>
    </x:row>
    <x:row r="621">
      <x:c r="A621" s="87"/>
      <x:c r="D621" s="32"/>
      <x:c r="I621" s="74"/>
      <x:c r="J621" s="74"/>
      <x:c r="K621" s="74"/>
      <x:c r="L621" s="74"/>
      <x:c r="M621" s="91"/>
      <x:c r="N621" s="85"/>
      <x:c r="P621" s="86"/>
      <x:c r="Q621" s="32"/>
    </x:row>
    <x:row r="622">
      <x:c r="A622" s="87"/>
      <x:c r="D622" s="32"/>
      <x:c r="I622" s="74"/>
      <x:c r="J622" s="74"/>
      <x:c r="K622" s="74"/>
      <x:c r="L622" s="74"/>
      <x:c r="M622" s="91"/>
      <x:c r="N622" s="85"/>
      <x:c r="P622" s="86"/>
      <x:c r="Q622" s="32"/>
    </x:row>
    <x:row r="623">
      <x:c r="A623" s="87"/>
      <x:c r="D623" s="32"/>
      <x:c r="I623" s="74"/>
      <x:c r="J623" s="74"/>
      <x:c r="K623" s="74"/>
      <x:c r="L623" s="74"/>
      <x:c r="M623" s="91"/>
      <x:c r="N623" s="85"/>
      <x:c r="P623" s="86"/>
      <x:c r="Q623" s="32"/>
    </x:row>
    <x:row r="624">
      <x:c r="A624" s="87"/>
      <x:c r="D624" s="32"/>
      <x:c r="I624" s="74"/>
      <x:c r="J624" s="74"/>
      <x:c r="K624" s="74"/>
      <x:c r="L624" s="74"/>
      <x:c r="M624" s="91"/>
      <x:c r="N624" s="85"/>
      <x:c r="P624" s="86"/>
      <x:c r="Q624" s="32"/>
    </x:row>
    <x:row r="625">
      <x:c r="A625" s="87"/>
      <x:c r="D625" s="32"/>
      <x:c r="I625" s="74"/>
      <x:c r="J625" s="74"/>
      <x:c r="K625" s="74"/>
      <x:c r="L625" s="74"/>
      <x:c r="M625" s="91"/>
      <x:c r="N625" s="85"/>
      <x:c r="P625" s="86"/>
      <x:c r="Q625" s="32"/>
    </x:row>
    <x:row r="626">
      <x:c r="A626" s="87"/>
      <x:c r="D626" s="32"/>
      <x:c r="I626" s="74"/>
      <x:c r="J626" s="74"/>
      <x:c r="K626" s="74"/>
      <x:c r="L626" s="74"/>
      <x:c r="M626" s="91"/>
      <x:c r="N626" s="85"/>
      <x:c r="P626" s="86"/>
      <x:c r="Q626" s="32"/>
    </x:row>
    <x:row r="627">
      <x:c r="A627" s="87"/>
      <x:c r="D627" s="32"/>
      <x:c r="I627" s="74"/>
      <x:c r="J627" s="74"/>
      <x:c r="K627" s="74"/>
      <x:c r="L627" s="74"/>
      <x:c r="M627" s="91"/>
      <x:c r="N627" s="85"/>
      <x:c r="P627" s="86"/>
      <x:c r="Q627" s="32"/>
    </x:row>
    <x:row r="628">
      <x:c r="A628" s="87"/>
      <x:c r="D628" s="32"/>
      <x:c r="I628" s="74"/>
      <x:c r="J628" s="74"/>
      <x:c r="K628" s="74"/>
      <x:c r="L628" s="74"/>
      <x:c r="M628" s="91"/>
      <x:c r="N628" s="85"/>
      <x:c r="P628" s="86"/>
      <x:c r="Q628" s="32"/>
    </x:row>
    <x:row r="629">
      <x:c r="A629" s="87"/>
      <x:c r="D629" s="32"/>
      <x:c r="I629" s="74"/>
      <x:c r="J629" s="74"/>
      <x:c r="K629" s="74"/>
      <x:c r="L629" s="74"/>
      <x:c r="M629" s="91"/>
      <x:c r="N629" s="85"/>
      <x:c r="P629" s="86"/>
      <x:c r="Q629" s="32"/>
    </x:row>
    <x:row r="630">
      <x:c r="A630" s="87"/>
      <x:c r="D630" s="32"/>
      <x:c r="I630" s="74"/>
      <x:c r="J630" s="74"/>
      <x:c r="K630" s="74"/>
      <x:c r="L630" s="74"/>
      <x:c r="M630" s="91"/>
      <x:c r="N630" s="85"/>
      <x:c r="P630" s="86"/>
      <x:c r="Q630" s="32"/>
    </x:row>
    <x:row r="631">
      <x:c r="A631" s="87"/>
      <x:c r="D631" s="32"/>
      <x:c r="I631" s="74"/>
      <x:c r="J631" s="74"/>
      <x:c r="K631" s="74"/>
      <x:c r="L631" s="74"/>
      <x:c r="M631" s="91"/>
      <x:c r="N631" s="85"/>
      <x:c r="P631" s="86"/>
      <x:c r="Q631" s="32"/>
    </x:row>
    <x:row r="632">
      <x:c r="A632" s="87"/>
      <x:c r="D632" s="32"/>
      <x:c r="I632" s="74"/>
      <x:c r="J632" s="74"/>
      <x:c r="K632" s="74"/>
      <x:c r="L632" s="74"/>
      <x:c r="M632" s="91"/>
      <x:c r="N632" s="85"/>
      <x:c r="P632" s="86"/>
      <x:c r="Q632" s="32"/>
    </x:row>
    <x:row r="633">
      <x:c r="A633" s="87"/>
      <x:c r="D633" s="32"/>
      <x:c r="I633" s="74"/>
      <x:c r="J633" s="74"/>
      <x:c r="K633" s="74"/>
      <x:c r="L633" s="74"/>
      <x:c r="M633" s="91"/>
      <x:c r="N633" s="85"/>
      <x:c r="P633" s="86"/>
      <x:c r="Q633" s="32"/>
    </x:row>
    <x:row r="634">
      <x:c r="A634" s="87"/>
      <x:c r="D634" s="32"/>
      <x:c r="I634" s="74"/>
      <x:c r="J634" s="74"/>
      <x:c r="K634" s="74"/>
      <x:c r="L634" s="74"/>
      <x:c r="M634" s="91"/>
      <x:c r="N634" s="85"/>
      <x:c r="P634" s="86"/>
      <x:c r="Q634" s="32"/>
    </x:row>
    <x:row r="635">
      <x:c r="A635" s="87"/>
      <x:c r="D635" s="32"/>
      <x:c r="I635" s="74"/>
      <x:c r="J635" s="74"/>
      <x:c r="K635" s="74"/>
      <x:c r="L635" s="74"/>
      <x:c r="M635" s="91"/>
      <x:c r="N635" s="85"/>
      <x:c r="P635" s="86"/>
      <x:c r="Q635" s="32"/>
    </x:row>
    <x:row r="636">
      <x:c r="A636" s="87"/>
      <x:c r="D636" s="32"/>
      <x:c r="I636" s="74"/>
      <x:c r="J636" s="74"/>
      <x:c r="K636" s="74"/>
      <x:c r="L636" s="74"/>
      <x:c r="M636" s="91"/>
      <x:c r="N636" s="85"/>
      <x:c r="P636" s="86"/>
      <x:c r="Q636" s="32"/>
    </x:row>
    <x:row r="637">
      <x:c r="A637" s="87"/>
      <x:c r="D637" s="32"/>
      <x:c r="I637" s="74"/>
      <x:c r="J637" s="74"/>
      <x:c r="K637" s="74"/>
      <x:c r="L637" s="74"/>
      <x:c r="M637" s="91"/>
      <x:c r="N637" s="85"/>
      <x:c r="P637" s="86"/>
      <x:c r="Q637" s="32"/>
    </x:row>
    <x:row r="638">
      <x:c r="A638" s="87"/>
      <x:c r="D638" s="32"/>
      <x:c r="I638" s="74"/>
      <x:c r="J638" s="74"/>
      <x:c r="K638" s="74"/>
      <x:c r="L638" s="74"/>
      <x:c r="M638" s="91"/>
      <x:c r="N638" s="85"/>
      <x:c r="P638" s="86"/>
      <x:c r="Q638" s="32"/>
    </x:row>
    <x:row r="639">
      <x:c r="A639" s="87"/>
      <x:c r="D639" s="32"/>
      <x:c r="I639" s="74"/>
      <x:c r="J639" s="74"/>
      <x:c r="K639" s="74"/>
      <x:c r="L639" s="74"/>
      <x:c r="M639" s="91"/>
      <x:c r="N639" s="85"/>
      <x:c r="P639" s="86"/>
      <x:c r="Q639" s="32"/>
    </x:row>
    <x:row r="640">
      <x:c r="A640" s="87"/>
      <x:c r="D640" s="32"/>
      <x:c r="I640" s="74"/>
      <x:c r="J640" s="74"/>
      <x:c r="K640" s="74"/>
      <x:c r="L640" s="74"/>
      <x:c r="M640" s="91"/>
      <x:c r="N640" s="85"/>
      <x:c r="P640" s="86"/>
      <x:c r="Q640" s="32"/>
    </x:row>
    <x:row r="641">
      <x:c r="A641" s="87"/>
      <x:c r="D641" s="32"/>
      <x:c r="I641" s="74"/>
      <x:c r="J641" s="74"/>
      <x:c r="K641" s="74"/>
      <x:c r="L641" s="74"/>
      <x:c r="M641" s="91"/>
      <x:c r="N641" s="85"/>
      <x:c r="P641" s="86"/>
      <x:c r="Q641" s="32"/>
    </x:row>
    <x:row r="642">
      <x:c r="A642" s="87"/>
      <x:c r="D642" s="32"/>
      <x:c r="I642" s="74"/>
      <x:c r="J642" s="74"/>
      <x:c r="K642" s="74"/>
      <x:c r="L642" s="74"/>
      <x:c r="M642" s="91"/>
      <x:c r="N642" s="85"/>
      <x:c r="P642" s="86"/>
      <x:c r="Q642" s="32"/>
    </x:row>
    <x:row r="643">
      <x:c r="A643" s="87"/>
      <x:c r="D643" s="32"/>
      <x:c r="I643" s="74"/>
      <x:c r="J643" s="74"/>
      <x:c r="K643" s="74"/>
      <x:c r="L643" s="74"/>
      <x:c r="M643" s="91"/>
      <x:c r="N643" s="85"/>
      <x:c r="P643" s="86"/>
      <x:c r="Q643" s="32"/>
    </x:row>
    <x:row r="644">
      <x:c r="A644" s="87"/>
      <x:c r="D644" s="32"/>
      <x:c r="I644" s="74"/>
      <x:c r="J644" s="74"/>
      <x:c r="K644" s="74"/>
      <x:c r="L644" s="74"/>
      <x:c r="M644" s="91"/>
      <x:c r="N644" s="85"/>
      <x:c r="P644" s="86"/>
      <x:c r="Q644" s="32"/>
    </x:row>
    <x:row r="645">
      <x:c r="A645" s="87"/>
      <x:c r="D645" s="32"/>
      <x:c r="I645" s="74"/>
      <x:c r="J645" s="74"/>
      <x:c r="K645" s="74"/>
      <x:c r="L645" s="74"/>
      <x:c r="M645" s="91"/>
      <x:c r="N645" s="85"/>
      <x:c r="P645" s="86"/>
      <x:c r="Q645" s="32"/>
    </x:row>
    <x:row r="646">
      <x:c r="A646" s="87"/>
      <x:c r="D646" s="32"/>
      <x:c r="I646" s="74"/>
      <x:c r="J646" s="74"/>
      <x:c r="K646" s="74"/>
      <x:c r="L646" s="74"/>
      <x:c r="M646" s="91"/>
      <x:c r="N646" s="85"/>
      <x:c r="P646" s="86"/>
      <x:c r="Q646" s="32"/>
    </x:row>
    <x:row r="647">
      <x:c r="A647" s="87"/>
      <x:c r="D647" s="32"/>
      <x:c r="I647" s="74"/>
      <x:c r="J647" s="74"/>
      <x:c r="K647" s="74"/>
      <x:c r="L647" s="74"/>
      <x:c r="M647" s="91"/>
      <x:c r="N647" s="85"/>
      <x:c r="P647" s="86"/>
      <x:c r="Q647" s="32"/>
    </x:row>
    <x:row r="648">
      <x:c r="A648" s="87"/>
      <x:c r="D648" s="32"/>
      <x:c r="I648" s="74"/>
      <x:c r="J648" s="74"/>
      <x:c r="K648" s="74"/>
      <x:c r="L648" s="74"/>
      <x:c r="M648" s="91"/>
      <x:c r="N648" s="85"/>
      <x:c r="P648" s="86"/>
      <x:c r="Q648" s="32"/>
    </x:row>
    <x:row r="649">
      <x:c r="A649" s="87"/>
      <x:c r="D649" s="32"/>
      <x:c r="I649" s="74"/>
      <x:c r="J649" s="74"/>
      <x:c r="K649" s="74"/>
      <x:c r="L649" s="74"/>
      <x:c r="M649" s="91"/>
      <x:c r="N649" s="85"/>
      <x:c r="P649" s="86"/>
      <x:c r="Q649" s="32"/>
    </x:row>
    <x:row r="650">
      <x:c r="A650" s="87"/>
      <x:c r="D650" s="32"/>
      <x:c r="I650" s="74"/>
      <x:c r="J650" s="74"/>
      <x:c r="K650" s="74"/>
      <x:c r="L650" s="74"/>
      <x:c r="M650" s="91"/>
      <x:c r="N650" s="85"/>
      <x:c r="P650" s="86"/>
      <x:c r="Q650" s="32"/>
    </x:row>
    <x:row r="651">
      <x:c r="A651" s="87"/>
      <x:c r="D651" s="32"/>
      <x:c r="I651" s="74"/>
      <x:c r="J651" s="74"/>
      <x:c r="K651" s="74"/>
      <x:c r="L651" s="74"/>
      <x:c r="M651" s="91"/>
      <x:c r="N651" s="85"/>
      <x:c r="P651" s="86"/>
      <x:c r="Q651" s="32"/>
    </x:row>
    <x:row r="652">
      <x:c r="A652" s="87"/>
      <x:c r="D652" s="32"/>
      <x:c r="I652" s="74"/>
      <x:c r="J652" s="74"/>
      <x:c r="K652" s="74"/>
      <x:c r="L652" s="74"/>
      <x:c r="M652" s="91"/>
      <x:c r="N652" s="85"/>
      <x:c r="P652" s="86"/>
      <x:c r="Q652" s="32"/>
    </x:row>
    <x:row r="653">
      <x:c r="A653" s="87"/>
      <x:c r="D653" s="32"/>
      <x:c r="I653" s="74"/>
      <x:c r="J653" s="74"/>
      <x:c r="K653" s="74"/>
      <x:c r="L653" s="74"/>
      <x:c r="M653" s="91"/>
      <x:c r="N653" s="85"/>
      <x:c r="P653" s="86"/>
      <x:c r="Q653" s="32"/>
    </x:row>
    <x:row r="654">
      <x:c r="A654" s="87"/>
      <x:c r="D654" s="32"/>
      <x:c r="I654" s="74"/>
      <x:c r="J654" s="74"/>
      <x:c r="K654" s="74"/>
      <x:c r="L654" s="74"/>
      <x:c r="M654" s="91"/>
      <x:c r="N654" s="85"/>
      <x:c r="P654" s="86"/>
      <x:c r="Q654" s="32"/>
    </x:row>
    <x:row r="655">
      <x:c r="A655" s="87"/>
      <x:c r="D655" s="32"/>
      <x:c r="I655" s="74"/>
      <x:c r="J655" s="74"/>
      <x:c r="K655" s="74"/>
      <x:c r="L655" s="74"/>
      <x:c r="M655" s="91"/>
      <x:c r="N655" s="85"/>
      <x:c r="P655" s="86"/>
      <x:c r="Q655" s="32"/>
    </x:row>
    <x:row r="656">
      <x:c r="A656" s="87"/>
      <x:c r="D656" s="32"/>
      <x:c r="I656" s="74"/>
      <x:c r="J656" s="74"/>
      <x:c r="K656" s="74"/>
      <x:c r="L656" s="74"/>
      <x:c r="M656" s="91"/>
      <x:c r="N656" s="85"/>
      <x:c r="P656" s="86"/>
      <x:c r="Q656" s="32"/>
    </x:row>
    <x:row r="657">
      <x:c r="A657" s="87"/>
      <x:c r="D657" s="32"/>
      <x:c r="I657" s="74"/>
      <x:c r="J657" s="74"/>
      <x:c r="K657" s="74"/>
      <x:c r="L657" s="74"/>
      <x:c r="M657" s="91"/>
      <x:c r="N657" s="85"/>
      <x:c r="P657" s="86"/>
      <x:c r="Q657" s="32"/>
    </x:row>
    <x:row r="658">
      <x:c r="A658" s="87"/>
      <x:c r="D658" s="32"/>
      <x:c r="I658" s="74"/>
      <x:c r="J658" s="74"/>
      <x:c r="K658" s="74"/>
      <x:c r="L658" s="74"/>
      <x:c r="M658" s="91"/>
      <x:c r="N658" s="85"/>
      <x:c r="P658" s="86"/>
      <x:c r="Q658" s="32"/>
    </x:row>
    <x:row r="659">
      <x:c r="A659" s="87"/>
      <x:c r="D659" s="32"/>
      <x:c r="I659" s="74"/>
      <x:c r="J659" s="74"/>
      <x:c r="K659" s="74"/>
      <x:c r="L659" s="74"/>
      <x:c r="M659" s="91"/>
      <x:c r="N659" s="85"/>
      <x:c r="P659" s="86"/>
      <x:c r="Q659" s="32"/>
    </x:row>
    <x:row r="660">
      <x:c r="A660" s="87"/>
      <x:c r="D660" s="32"/>
      <x:c r="I660" s="74"/>
      <x:c r="J660" s="74"/>
      <x:c r="K660" s="74"/>
      <x:c r="L660" s="74"/>
      <x:c r="M660" s="91"/>
      <x:c r="N660" s="85"/>
      <x:c r="P660" s="86"/>
      <x:c r="Q660" s="32"/>
    </x:row>
    <x:row r="661">
      <x:c r="A661" s="87"/>
      <x:c r="D661" s="32"/>
      <x:c r="I661" s="74"/>
      <x:c r="J661" s="74"/>
      <x:c r="K661" s="74"/>
      <x:c r="L661" s="74"/>
      <x:c r="M661" s="91"/>
      <x:c r="N661" s="85"/>
      <x:c r="P661" s="86"/>
      <x:c r="Q661" s="32"/>
    </x:row>
    <x:row r="662">
      <x:c r="A662" s="87"/>
      <x:c r="D662" s="32"/>
      <x:c r="I662" s="74"/>
      <x:c r="J662" s="74"/>
      <x:c r="K662" s="74"/>
      <x:c r="L662" s="74"/>
      <x:c r="M662" s="91"/>
      <x:c r="N662" s="85"/>
      <x:c r="P662" s="86"/>
      <x:c r="Q662" s="32"/>
    </x:row>
    <x:row r="663">
      <x:c r="A663" s="87"/>
      <x:c r="D663" s="32"/>
      <x:c r="I663" s="74"/>
      <x:c r="J663" s="74"/>
      <x:c r="K663" s="74"/>
      <x:c r="L663" s="74"/>
      <x:c r="M663" s="91"/>
      <x:c r="N663" s="85"/>
      <x:c r="P663" s="86"/>
      <x:c r="Q663" s="32"/>
    </x:row>
    <x:row r="664">
      <x:c r="A664" s="87"/>
      <x:c r="D664" s="32"/>
      <x:c r="I664" s="74"/>
      <x:c r="J664" s="74"/>
      <x:c r="K664" s="74"/>
      <x:c r="L664" s="74"/>
      <x:c r="M664" s="91"/>
      <x:c r="N664" s="85"/>
      <x:c r="P664" s="86"/>
      <x:c r="Q664" s="32"/>
    </x:row>
    <x:row r="665">
      <x:c r="A665" s="87"/>
      <x:c r="D665" s="32"/>
      <x:c r="I665" s="74"/>
      <x:c r="J665" s="74"/>
      <x:c r="K665" s="74"/>
      <x:c r="L665" s="74"/>
      <x:c r="M665" s="91"/>
      <x:c r="N665" s="85"/>
      <x:c r="P665" s="86"/>
      <x:c r="Q665" s="32"/>
    </x:row>
    <x:row r="666">
      <x:c r="A666" s="87"/>
      <x:c r="D666" s="32"/>
      <x:c r="I666" s="74"/>
      <x:c r="J666" s="74"/>
      <x:c r="K666" s="74"/>
      <x:c r="L666" s="74"/>
      <x:c r="M666" s="91"/>
      <x:c r="N666" s="85"/>
      <x:c r="P666" s="86"/>
      <x:c r="Q666" s="32"/>
    </x:row>
    <x:row r="667">
      <x:c r="A667" s="87"/>
      <x:c r="D667" s="32"/>
      <x:c r="I667" s="74"/>
      <x:c r="J667" s="74"/>
      <x:c r="K667" s="74"/>
      <x:c r="L667" s="74"/>
      <x:c r="M667" s="91"/>
      <x:c r="N667" s="85"/>
      <x:c r="P667" s="86"/>
      <x:c r="Q667" s="32"/>
    </x:row>
    <x:row r="668">
      <x:c r="A668" s="87"/>
      <x:c r="D668" s="32"/>
      <x:c r="I668" s="74"/>
      <x:c r="J668" s="74"/>
      <x:c r="K668" s="74"/>
      <x:c r="L668" s="74"/>
      <x:c r="M668" s="91"/>
      <x:c r="N668" s="85"/>
      <x:c r="P668" s="86"/>
      <x:c r="Q668" s="32"/>
    </x:row>
    <x:row r="669">
      <x:c r="A669" s="87"/>
      <x:c r="D669" s="32"/>
      <x:c r="I669" s="74"/>
      <x:c r="J669" s="74"/>
      <x:c r="K669" s="74"/>
      <x:c r="L669" s="74"/>
      <x:c r="M669" s="91"/>
      <x:c r="N669" s="85"/>
      <x:c r="P669" s="86"/>
      <x:c r="Q669" s="32"/>
    </x:row>
    <x:row r="670">
      <x:c r="A670" s="87"/>
      <x:c r="D670" s="32"/>
      <x:c r="I670" s="74"/>
      <x:c r="J670" s="74"/>
      <x:c r="K670" s="74"/>
      <x:c r="L670" s="74"/>
      <x:c r="M670" s="91"/>
      <x:c r="N670" s="85"/>
      <x:c r="P670" s="86"/>
      <x:c r="Q670" s="32"/>
    </x:row>
    <x:row r="671">
      <x:c r="A671" s="87"/>
      <x:c r="D671" s="32"/>
      <x:c r="I671" s="74"/>
      <x:c r="J671" s="74"/>
      <x:c r="K671" s="74"/>
      <x:c r="L671" s="74"/>
      <x:c r="M671" s="91"/>
      <x:c r="N671" s="85"/>
      <x:c r="P671" s="86"/>
      <x:c r="Q671" s="32"/>
    </x:row>
    <x:row r="672">
      <x:c r="A672" s="87"/>
      <x:c r="D672" s="32"/>
      <x:c r="I672" s="74"/>
      <x:c r="J672" s="74"/>
      <x:c r="K672" s="74"/>
      <x:c r="L672" s="74"/>
      <x:c r="M672" s="91"/>
      <x:c r="N672" s="85"/>
      <x:c r="P672" s="86"/>
      <x:c r="Q672" s="32"/>
    </x:row>
    <x:row r="673">
      <x:c r="A673" s="87"/>
      <x:c r="D673" s="32"/>
      <x:c r="I673" s="74"/>
      <x:c r="J673" s="74"/>
      <x:c r="K673" s="74"/>
      <x:c r="L673" s="74"/>
      <x:c r="M673" s="91"/>
      <x:c r="N673" s="85"/>
      <x:c r="P673" s="86"/>
      <x:c r="Q673" s="32"/>
    </x:row>
    <x:row r="674">
      <x:c r="A674" s="87"/>
      <x:c r="D674" s="32"/>
      <x:c r="I674" s="74"/>
      <x:c r="J674" s="74"/>
      <x:c r="K674" s="74"/>
      <x:c r="L674" s="74"/>
      <x:c r="M674" s="91"/>
      <x:c r="N674" s="85"/>
      <x:c r="P674" s="86"/>
      <x:c r="Q674" s="32"/>
    </x:row>
    <x:row r="675">
      <x:c r="A675" s="87"/>
      <x:c r="D675" s="32"/>
      <x:c r="I675" s="74"/>
      <x:c r="J675" s="74"/>
      <x:c r="K675" s="74"/>
      <x:c r="L675" s="74"/>
      <x:c r="M675" s="91"/>
      <x:c r="N675" s="85"/>
      <x:c r="P675" s="86"/>
      <x:c r="Q675" s="32"/>
    </x:row>
    <x:row r="676">
      <x:c r="A676" s="87"/>
      <x:c r="D676" s="32"/>
      <x:c r="I676" s="74"/>
      <x:c r="J676" s="74"/>
      <x:c r="K676" s="74"/>
      <x:c r="L676" s="74"/>
      <x:c r="M676" s="91"/>
      <x:c r="N676" s="85"/>
      <x:c r="P676" s="86"/>
      <x:c r="Q676" s="32"/>
    </x:row>
    <x:row r="677">
      <x:c r="A677" s="87"/>
      <x:c r="D677" s="32"/>
      <x:c r="I677" s="74"/>
      <x:c r="J677" s="74"/>
      <x:c r="K677" s="74"/>
      <x:c r="L677" s="74"/>
      <x:c r="M677" s="91"/>
      <x:c r="N677" s="85"/>
      <x:c r="P677" s="86"/>
      <x:c r="Q677" s="32"/>
    </x:row>
    <x:row r="678">
      <x:c r="A678" s="87"/>
      <x:c r="D678" s="32"/>
      <x:c r="I678" s="74"/>
      <x:c r="J678" s="74"/>
      <x:c r="K678" s="74"/>
      <x:c r="L678" s="74"/>
      <x:c r="M678" s="91"/>
      <x:c r="N678" s="85"/>
      <x:c r="P678" s="86"/>
      <x:c r="Q678" s="32"/>
    </x:row>
    <x:row r="679">
      <x:c r="A679" s="87"/>
      <x:c r="D679" s="32"/>
      <x:c r="I679" s="74"/>
      <x:c r="J679" s="74"/>
      <x:c r="K679" s="74"/>
      <x:c r="L679" s="74"/>
      <x:c r="M679" s="91"/>
      <x:c r="N679" s="85"/>
      <x:c r="P679" s="86"/>
      <x:c r="Q679" s="32"/>
    </x:row>
    <x:row r="680">
      <x:c r="A680" s="87"/>
      <x:c r="D680" s="32"/>
      <x:c r="I680" s="74"/>
      <x:c r="J680" s="74"/>
      <x:c r="K680" s="74"/>
      <x:c r="L680" s="74"/>
      <x:c r="M680" s="91"/>
      <x:c r="N680" s="85"/>
      <x:c r="P680" s="86"/>
      <x:c r="Q680" s="32"/>
    </x:row>
    <x:row r="681">
      <x:c r="A681" s="87"/>
      <x:c r="D681" s="32"/>
      <x:c r="I681" s="74"/>
      <x:c r="J681" s="74"/>
      <x:c r="K681" s="74"/>
      <x:c r="L681" s="74"/>
      <x:c r="M681" s="91"/>
      <x:c r="N681" s="85"/>
      <x:c r="P681" s="86"/>
      <x:c r="Q681" s="32"/>
    </x:row>
    <x:row r="682">
      <x:c r="A682" s="87"/>
      <x:c r="D682" s="32"/>
      <x:c r="I682" s="74"/>
      <x:c r="J682" s="74"/>
      <x:c r="K682" s="74"/>
      <x:c r="L682" s="74"/>
      <x:c r="M682" s="91"/>
      <x:c r="N682" s="85"/>
      <x:c r="P682" s="86"/>
      <x:c r="Q682" s="32"/>
    </x:row>
    <x:row r="683">
      <x:c r="A683" s="87"/>
      <x:c r="D683" s="32"/>
      <x:c r="I683" s="74"/>
      <x:c r="J683" s="74"/>
      <x:c r="K683" s="74"/>
      <x:c r="L683" s="74"/>
      <x:c r="M683" s="91"/>
      <x:c r="N683" s="85"/>
      <x:c r="P683" s="86"/>
      <x:c r="Q683" s="32"/>
    </x:row>
    <x:row r="684">
      <x:c r="A684" s="87"/>
      <x:c r="D684" s="32"/>
      <x:c r="I684" s="74"/>
      <x:c r="J684" s="74"/>
      <x:c r="K684" s="74"/>
      <x:c r="L684" s="74"/>
      <x:c r="M684" s="91"/>
      <x:c r="N684" s="85"/>
      <x:c r="P684" s="86"/>
      <x:c r="Q684" s="32"/>
    </x:row>
    <x:row r="685">
      <x:c r="A685" s="87"/>
      <x:c r="D685" s="32"/>
      <x:c r="I685" s="74"/>
      <x:c r="J685" s="74"/>
      <x:c r="K685" s="74"/>
      <x:c r="L685" s="74"/>
      <x:c r="M685" s="91"/>
      <x:c r="N685" s="85"/>
      <x:c r="P685" s="86"/>
      <x:c r="Q685" s="32"/>
    </x:row>
    <x:row r="686">
      <x:c r="A686" s="87"/>
      <x:c r="D686" s="32"/>
      <x:c r="I686" s="74"/>
      <x:c r="J686" s="74"/>
      <x:c r="K686" s="74"/>
      <x:c r="L686" s="74"/>
      <x:c r="M686" s="91"/>
      <x:c r="N686" s="85"/>
      <x:c r="P686" s="86"/>
      <x:c r="Q686" s="32"/>
    </x:row>
    <x:row r="687">
      <x:c r="A687" s="87"/>
      <x:c r="D687" s="32"/>
      <x:c r="I687" s="74"/>
      <x:c r="J687" s="74"/>
      <x:c r="K687" s="74"/>
      <x:c r="L687" s="74"/>
      <x:c r="M687" s="91"/>
      <x:c r="N687" s="85"/>
      <x:c r="P687" s="86"/>
      <x:c r="Q687" s="32"/>
    </x:row>
    <x:row r="688">
      <x:c r="A688" s="87"/>
      <x:c r="D688" s="32"/>
      <x:c r="I688" s="74"/>
      <x:c r="J688" s="74"/>
      <x:c r="K688" s="74"/>
      <x:c r="L688" s="74"/>
      <x:c r="M688" s="91"/>
      <x:c r="N688" s="85"/>
      <x:c r="P688" s="86"/>
      <x:c r="Q688" s="32"/>
    </x:row>
    <x:row r="689">
      <x:c r="A689" s="87"/>
      <x:c r="D689" s="32"/>
      <x:c r="I689" s="74"/>
      <x:c r="J689" s="74"/>
      <x:c r="K689" s="74"/>
      <x:c r="L689" s="74"/>
      <x:c r="M689" s="91"/>
      <x:c r="N689" s="85"/>
      <x:c r="P689" s="86"/>
      <x:c r="Q689" s="32"/>
    </x:row>
    <x:row r="690">
      <x:c r="A690" s="87"/>
      <x:c r="D690" s="32"/>
      <x:c r="I690" s="74"/>
      <x:c r="J690" s="74"/>
      <x:c r="K690" s="74"/>
      <x:c r="L690" s="74"/>
      <x:c r="M690" s="91"/>
      <x:c r="N690" s="85"/>
      <x:c r="P690" s="86"/>
      <x:c r="Q690" s="32"/>
    </x:row>
    <x:row r="691">
      <x:c r="A691" s="87"/>
      <x:c r="D691" s="32"/>
      <x:c r="I691" s="74"/>
      <x:c r="J691" s="74"/>
      <x:c r="K691" s="74"/>
      <x:c r="L691" s="74"/>
      <x:c r="M691" s="91"/>
      <x:c r="N691" s="85"/>
      <x:c r="P691" s="86"/>
      <x:c r="Q691" s="32"/>
    </x:row>
    <x:row r="692">
      <x:c r="A692" s="87"/>
      <x:c r="D692" s="32"/>
      <x:c r="I692" s="74"/>
      <x:c r="J692" s="74"/>
      <x:c r="K692" s="74"/>
      <x:c r="L692" s="74"/>
      <x:c r="M692" s="91"/>
      <x:c r="N692" s="85"/>
      <x:c r="P692" s="86"/>
      <x:c r="Q692" s="32"/>
    </x:row>
    <x:row r="693">
      <x:c r="A693" s="87"/>
      <x:c r="D693" s="32"/>
      <x:c r="I693" s="74"/>
      <x:c r="J693" s="74"/>
      <x:c r="K693" s="74"/>
      <x:c r="L693" s="74"/>
      <x:c r="M693" s="91"/>
      <x:c r="N693" s="85"/>
      <x:c r="P693" s="86"/>
      <x:c r="Q693" s="32"/>
    </x:row>
    <x:row r="694">
      <x:c r="A694" s="87"/>
      <x:c r="D694" s="32"/>
      <x:c r="I694" s="74"/>
      <x:c r="J694" s="74"/>
      <x:c r="K694" s="74"/>
      <x:c r="L694" s="74"/>
      <x:c r="M694" s="91"/>
      <x:c r="N694" s="85"/>
      <x:c r="P694" s="86"/>
      <x:c r="Q694" s="32"/>
    </x:row>
    <x:row r="695">
      <x:c r="A695" s="87"/>
      <x:c r="D695" s="32"/>
      <x:c r="I695" s="74"/>
      <x:c r="J695" s="74"/>
      <x:c r="K695" s="74"/>
      <x:c r="L695" s="74"/>
      <x:c r="M695" s="91"/>
      <x:c r="N695" s="85"/>
      <x:c r="P695" s="86"/>
      <x:c r="Q695" s="32"/>
    </x:row>
    <x:row r="696">
      <x:c r="A696" s="87"/>
      <x:c r="D696" s="32"/>
      <x:c r="I696" s="74"/>
      <x:c r="J696" s="74"/>
      <x:c r="K696" s="74"/>
      <x:c r="L696" s="74"/>
      <x:c r="M696" s="91"/>
      <x:c r="N696" s="85"/>
      <x:c r="P696" s="86"/>
      <x:c r="Q696" s="32"/>
    </x:row>
    <x:row r="697">
      <x:c r="A697" s="87"/>
      <x:c r="D697" s="32"/>
      <x:c r="I697" s="74"/>
      <x:c r="J697" s="74"/>
      <x:c r="K697" s="74"/>
      <x:c r="L697" s="74"/>
      <x:c r="M697" s="91"/>
      <x:c r="N697" s="85"/>
      <x:c r="P697" s="86"/>
      <x:c r="Q697" s="32"/>
    </x:row>
    <x:row r="698">
      <x:c r="A698" s="87"/>
      <x:c r="D698" s="32"/>
      <x:c r="I698" s="74"/>
      <x:c r="J698" s="74"/>
      <x:c r="K698" s="74"/>
      <x:c r="L698" s="74"/>
      <x:c r="M698" s="91"/>
      <x:c r="N698" s="85"/>
      <x:c r="P698" s="86"/>
      <x:c r="Q698" s="32"/>
    </x:row>
    <x:row r="699">
      <x:c r="A699" s="87"/>
      <x:c r="D699" s="32"/>
      <x:c r="I699" s="74"/>
      <x:c r="J699" s="74"/>
      <x:c r="K699" s="74"/>
      <x:c r="L699" s="74"/>
      <x:c r="M699" s="91"/>
      <x:c r="N699" s="85"/>
      <x:c r="P699" s="86"/>
      <x:c r="Q699" s="32"/>
    </x:row>
    <x:row r="700">
      <x:c r="A700" s="87"/>
      <x:c r="D700" s="32"/>
      <x:c r="I700" s="74"/>
      <x:c r="J700" s="74"/>
      <x:c r="K700" s="74"/>
      <x:c r="L700" s="74"/>
      <x:c r="M700" s="91"/>
      <x:c r="N700" s="85"/>
      <x:c r="P700" s="86"/>
      <x:c r="Q700" s="32"/>
    </x:row>
    <x:row r="701">
      <x:c r="A701" s="87"/>
      <x:c r="D701" s="32"/>
      <x:c r="I701" s="74"/>
      <x:c r="J701" s="74"/>
      <x:c r="K701" s="74"/>
      <x:c r="L701" s="74"/>
      <x:c r="M701" s="91"/>
      <x:c r="N701" s="85"/>
      <x:c r="P701" s="86"/>
      <x:c r="Q701" s="32"/>
    </x:row>
    <x:row r="702">
      <x:c r="A702" s="87"/>
      <x:c r="D702" s="32"/>
      <x:c r="I702" s="74"/>
      <x:c r="J702" s="74"/>
      <x:c r="K702" s="74"/>
      <x:c r="L702" s="74"/>
      <x:c r="M702" s="91"/>
      <x:c r="N702" s="85"/>
      <x:c r="P702" s="86"/>
      <x:c r="Q702" s="32"/>
    </x:row>
    <x:row r="703">
      <x:c r="A703" s="87"/>
      <x:c r="D703" s="32"/>
      <x:c r="I703" s="74"/>
      <x:c r="J703" s="74"/>
      <x:c r="K703" s="74"/>
      <x:c r="L703" s="74"/>
      <x:c r="M703" s="91"/>
      <x:c r="N703" s="85"/>
      <x:c r="P703" s="86"/>
      <x:c r="Q703" s="32"/>
    </x:row>
    <x:row r="704">
      <x:c r="A704" s="87"/>
      <x:c r="D704" s="32"/>
      <x:c r="I704" s="74"/>
      <x:c r="J704" s="74"/>
      <x:c r="K704" s="74"/>
      <x:c r="L704" s="74"/>
      <x:c r="M704" s="91"/>
      <x:c r="N704" s="85"/>
      <x:c r="P704" s="86"/>
      <x:c r="Q704" s="32"/>
    </x:row>
    <x:row r="705">
      <x:c r="A705" s="87"/>
      <x:c r="D705" s="32"/>
      <x:c r="I705" s="74"/>
      <x:c r="J705" s="74"/>
      <x:c r="K705" s="74"/>
      <x:c r="L705" s="74"/>
      <x:c r="M705" s="91"/>
      <x:c r="N705" s="85"/>
      <x:c r="P705" s="86"/>
      <x:c r="Q705" s="32"/>
    </x:row>
    <x:row r="706">
      <x:c r="A706" s="87"/>
      <x:c r="D706" s="32"/>
      <x:c r="I706" s="74"/>
      <x:c r="J706" s="74"/>
      <x:c r="K706" s="74"/>
      <x:c r="L706" s="74"/>
      <x:c r="M706" s="91"/>
      <x:c r="N706" s="85"/>
      <x:c r="P706" s="86"/>
      <x:c r="Q706" s="32"/>
    </x:row>
    <x:row r="707">
      <x:c r="A707" s="87"/>
      <x:c r="D707" s="32"/>
      <x:c r="I707" s="74"/>
      <x:c r="J707" s="74"/>
      <x:c r="K707" s="74"/>
      <x:c r="L707" s="74"/>
      <x:c r="M707" s="91"/>
      <x:c r="N707" s="85"/>
      <x:c r="P707" s="86"/>
      <x:c r="Q707" s="32"/>
    </x:row>
    <x:row r="708">
      <x:c r="A708" s="87"/>
      <x:c r="D708" s="32"/>
      <x:c r="I708" s="74"/>
      <x:c r="J708" s="74"/>
      <x:c r="K708" s="74"/>
      <x:c r="L708" s="74"/>
      <x:c r="M708" s="91"/>
      <x:c r="N708" s="85"/>
      <x:c r="P708" s="86"/>
      <x:c r="Q708" s="32"/>
    </x:row>
    <x:row r="709">
      <x:c r="A709" s="87"/>
      <x:c r="D709" s="32"/>
      <x:c r="I709" s="74"/>
      <x:c r="J709" s="74"/>
      <x:c r="K709" s="74"/>
      <x:c r="L709" s="74"/>
      <x:c r="M709" s="91"/>
      <x:c r="N709" s="85"/>
      <x:c r="P709" s="86"/>
      <x:c r="Q709" s="32"/>
    </x:row>
    <x:row r="710">
      <x:c r="A710" s="87"/>
      <x:c r="D710" s="32"/>
      <x:c r="I710" s="74"/>
      <x:c r="J710" s="74"/>
      <x:c r="K710" s="74"/>
      <x:c r="L710" s="74"/>
      <x:c r="M710" s="91"/>
      <x:c r="N710" s="85"/>
      <x:c r="P710" s="86"/>
      <x:c r="Q710" s="32"/>
    </x:row>
    <x:row r="711">
      <x:c r="A711" s="87"/>
      <x:c r="D711" s="32"/>
      <x:c r="I711" s="74"/>
      <x:c r="J711" s="74"/>
      <x:c r="K711" s="74"/>
      <x:c r="L711" s="74"/>
      <x:c r="M711" s="91"/>
      <x:c r="N711" s="85"/>
      <x:c r="P711" s="86"/>
      <x:c r="Q711" s="32"/>
    </x:row>
    <x:row r="712">
      <x:c r="A712" s="87"/>
      <x:c r="D712" s="32"/>
      <x:c r="I712" s="74"/>
      <x:c r="J712" s="74"/>
      <x:c r="K712" s="74"/>
      <x:c r="L712" s="74"/>
      <x:c r="M712" s="91"/>
      <x:c r="N712" s="85"/>
      <x:c r="P712" s="86"/>
      <x:c r="Q712" s="32"/>
    </x:row>
    <x:row r="713">
      <x:c r="A713" s="87"/>
      <x:c r="D713" s="32"/>
      <x:c r="I713" s="74"/>
      <x:c r="J713" s="74"/>
      <x:c r="K713" s="74"/>
      <x:c r="L713" s="74"/>
      <x:c r="M713" s="91"/>
      <x:c r="N713" s="85"/>
      <x:c r="P713" s="86"/>
      <x:c r="Q713" s="32"/>
    </x:row>
    <x:row r="714">
      <x:c r="A714" s="87"/>
      <x:c r="D714" s="32"/>
      <x:c r="I714" s="74"/>
      <x:c r="J714" s="74"/>
      <x:c r="K714" s="74"/>
      <x:c r="L714" s="74"/>
      <x:c r="M714" s="91"/>
      <x:c r="N714" s="85"/>
      <x:c r="P714" s="86"/>
      <x:c r="Q714" s="32"/>
    </x:row>
    <x:row r="715">
      <x:c r="A715" s="87"/>
      <x:c r="D715" s="32"/>
      <x:c r="I715" s="74"/>
      <x:c r="J715" s="74"/>
      <x:c r="K715" s="74"/>
      <x:c r="L715" s="74"/>
      <x:c r="M715" s="91"/>
      <x:c r="N715" s="85"/>
      <x:c r="P715" s="86"/>
      <x:c r="Q715" s="32"/>
    </x:row>
    <x:row r="716">
      <x:c r="A716" s="87"/>
      <x:c r="D716" s="32"/>
      <x:c r="I716" s="74"/>
      <x:c r="J716" s="74"/>
      <x:c r="K716" s="74"/>
      <x:c r="L716" s="74"/>
      <x:c r="M716" s="91"/>
      <x:c r="N716" s="85"/>
      <x:c r="P716" s="86"/>
      <x:c r="Q716" s="32"/>
    </x:row>
    <x:row r="717">
      <x:c r="A717" s="87"/>
      <x:c r="D717" s="32"/>
      <x:c r="I717" s="74"/>
      <x:c r="J717" s="74"/>
      <x:c r="K717" s="74"/>
      <x:c r="L717" s="74"/>
      <x:c r="M717" s="91"/>
      <x:c r="N717" s="85"/>
      <x:c r="P717" s="86"/>
      <x:c r="Q717" s="32"/>
    </x:row>
    <x:row r="718">
      <x:c r="A718" s="87"/>
      <x:c r="D718" s="32"/>
      <x:c r="I718" s="74"/>
      <x:c r="J718" s="74"/>
      <x:c r="K718" s="74"/>
      <x:c r="L718" s="74"/>
      <x:c r="M718" s="91"/>
      <x:c r="N718" s="85"/>
      <x:c r="P718" s="86"/>
      <x:c r="Q718" s="32"/>
    </x:row>
    <x:row r="719">
      <x:c r="A719" s="87"/>
      <x:c r="D719" s="32"/>
      <x:c r="I719" s="74"/>
      <x:c r="J719" s="74"/>
      <x:c r="K719" s="74"/>
      <x:c r="L719" s="74"/>
      <x:c r="M719" s="91"/>
      <x:c r="N719" s="85"/>
      <x:c r="P719" s="86"/>
      <x:c r="Q719" s="32"/>
    </x:row>
    <x:row r="720">
      <x:c r="A720" s="87"/>
      <x:c r="D720" s="32"/>
      <x:c r="I720" s="74"/>
      <x:c r="J720" s="74"/>
      <x:c r="K720" s="74"/>
      <x:c r="L720" s="74"/>
      <x:c r="M720" s="91"/>
      <x:c r="N720" s="85"/>
      <x:c r="P720" s="86"/>
      <x:c r="Q720" s="32"/>
    </x:row>
    <x:row r="721">
      <x:c r="A721" s="87"/>
      <x:c r="D721" s="32"/>
      <x:c r="I721" s="74"/>
      <x:c r="J721" s="74"/>
      <x:c r="K721" s="74"/>
      <x:c r="L721" s="74"/>
      <x:c r="M721" s="91"/>
      <x:c r="N721" s="85"/>
      <x:c r="P721" s="86"/>
      <x:c r="Q721" s="32"/>
    </x:row>
    <x:row r="722">
      <x:c r="A722" s="87"/>
      <x:c r="D722" s="32"/>
      <x:c r="I722" s="74"/>
      <x:c r="J722" s="74"/>
      <x:c r="K722" s="74"/>
      <x:c r="L722" s="74"/>
      <x:c r="M722" s="91"/>
      <x:c r="N722" s="85"/>
      <x:c r="P722" s="86"/>
      <x:c r="Q722" s="32"/>
    </x:row>
    <x:row r="723">
      <x:c r="A723" s="87"/>
      <x:c r="D723" s="32"/>
      <x:c r="I723" s="74"/>
      <x:c r="J723" s="74"/>
      <x:c r="K723" s="74"/>
      <x:c r="L723" s="74"/>
      <x:c r="M723" s="91"/>
      <x:c r="N723" s="85"/>
      <x:c r="P723" s="86"/>
      <x:c r="Q723" s="32"/>
    </x:row>
    <x:row r="724">
      <x:c r="A724" s="87"/>
      <x:c r="D724" s="32"/>
      <x:c r="I724" s="74"/>
      <x:c r="J724" s="74"/>
      <x:c r="K724" s="74"/>
      <x:c r="L724" s="74"/>
      <x:c r="M724" s="91"/>
      <x:c r="N724" s="85"/>
      <x:c r="P724" s="86"/>
      <x:c r="Q724" s="32"/>
    </x:row>
    <x:row r="725">
      <x:c r="A725" s="87"/>
      <x:c r="D725" s="32"/>
      <x:c r="I725" s="74"/>
      <x:c r="J725" s="74"/>
      <x:c r="K725" s="74"/>
      <x:c r="L725" s="74"/>
      <x:c r="M725" s="91"/>
      <x:c r="N725" s="85"/>
      <x:c r="P725" s="86"/>
      <x:c r="Q725" s="32"/>
    </x:row>
    <x:row r="726">
      <x:c r="A726" s="87"/>
      <x:c r="D726" s="32"/>
      <x:c r="I726" s="74"/>
      <x:c r="J726" s="74"/>
      <x:c r="K726" s="74"/>
      <x:c r="L726" s="74"/>
      <x:c r="M726" s="91"/>
      <x:c r="N726" s="85"/>
      <x:c r="P726" s="86"/>
      <x:c r="Q726" s="32"/>
    </x:row>
    <x:row r="727">
      <x:c r="A727" s="87"/>
      <x:c r="D727" s="32"/>
      <x:c r="I727" s="74"/>
      <x:c r="J727" s="74"/>
      <x:c r="K727" s="74"/>
      <x:c r="L727" s="74"/>
      <x:c r="M727" s="91"/>
      <x:c r="N727" s="85"/>
      <x:c r="P727" s="86"/>
      <x:c r="Q727" s="32"/>
    </x:row>
    <x:row r="728">
      <x:c r="A728" s="87"/>
      <x:c r="D728" s="32"/>
      <x:c r="I728" s="74"/>
      <x:c r="J728" s="74"/>
      <x:c r="K728" s="74"/>
      <x:c r="L728" s="74"/>
      <x:c r="M728" s="91"/>
      <x:c r="N728" s="85"/>
      <x:c r="P728" s="86"/>
      <x:c r="Q728" s="32"/>
    </x:row>
    <x:row r="729">
      <x:c r="A729" s="87"/>
      <x:c r="D729" s="32"/>
      <x:c r="I729" s="74"/>
      <x:c r="J729" s="74"/>
      <x:c r="K729" s="74"/>
      <x:c r="L729" s="74"/>
      <x:c r="M729" s="91"/>
      <x:c r="N729" s="85"/>
      <x:c r="P729" s="86"/>
      <x:c r="Q729" s="32"/>
    </x:row>
    <x:row r="730">
      <x:c r="A730" s="87"/>
      <x:c r="D730" s="32"/>
      <x:c r="I730" s="74"/>
      <x:c r="J730" s="74"/>
      <x:c r="K730" s="74"/>
      <x:c r="L730" s="74"/>
      <x:c r="M730" s="91"/>
      <x:c r="N730" s="85"/>
      <x:c r="P730" s="86"/>
      <x:c r="Q730" s="32"/>
    </x:row>
    <x:row r="731">
      <x:c r="A731" s="87"/>
      <x:c r="D731" s="32"/>
      <x:c r="I731" s="74"/>
      <x:c r="J731" s="74"/>
      <x:c r="K731" s="74"/>
      <x:c r="L731" s="74"/>
      <x:c r="M731" s="91"/>
      <x:c r="N731" s="85"/>
      <x:c r="P731" s="86"/>
      <x:c r="Q731" s="32"/>
    </x:row>
    <x:row r="732">
      <x:c r="A732" s="87"/>
      <x:c r="D732" s="32"/>
      <x:c r="I732" s="74"/>
      <x:c r="J732" s="74"/>
      <x:c r="K732" s="74"/>
      <x:c r="L732" s="74"/>
      <x:c r="M732" s="91"/>
      <x:c r="N732" s="85"/>
      <x:c r="P732" s="86"/>
      <x:c r="Q732" s="32"/>
    </x:row>
    <x:row r="733">
      <x:c r="A733" s="87"/>
      <x:c r="D733" s="32"/>
      <x:c r="I733" s="74"/>
      <x:c r="J733" s="74"/>
      <x:c r="K733" s="74"/>
      <x:c r="L733" s="74"/>
      <x:c r="M733" s="91"/>
      <x:c r="N733" s="85"/>
      <x:c r="P733" s="86"/>
      <x:c r="Q733" s="32"/>
    </x:row>
    <x:row r="734">
      <x:c r="A734" s="87"/>
      <x:c r="D734" s="32"/>
      <x:c r="I734" s="74"/>
      <x:c r="J734" s="74"/>
      <x:c r="K734" s="74"/>
      <x:c r="L734" s="74"/>
      <x:c r="M734" s="91"/>
      <x:c r="N734" s="85"/>
      <x:c r="P734" s="86"/>
      <x:c r="Q734" s="32"/>
    </x:row>
    <x:row r="735">
      <x:c r="A735" s="87"/>
      <x:c r="D735" s="32"/>
      <x:c r="I735" s="74"/>
      <x:c r="J735" s="74"/>
      <x:c r="K735" s="74"/>
      <x:c r="L735" s="74"/>
      <x:c r="M735" s="91"/>
      <x:c r="N735" s="85"/>
      <x:c r="P735" s="86"/>
      <x:c r="Q735" s="32"/>
    </x:row>
    <x:row r="736">
      <x:c r="A736" s="87"/>
      <x:c r="D736" s="32"/>
      <x:c r="I736" s="74"/>
      <x:c r="J736" s="74"/>
      <x:c r="K736" s="74"/>
      <x:c r="L736" s="74"/>
      <x:c r="M736" s="91"/>
      <x:c r="N736" s="85"/>
      <x:c r="P736" s="86"/>
      <x:c r="Q736" s="32"/>
    </x:row>
    <x:row r="737">
      <x:c r="A737" s="87"/>
      <x:c r="D737" s="32"/>
      <x:c r="I737" s="74"/>
      <x:c r="J737" s="74"/>
      <x:c r="K737" s="74"/>
      <x:c r="L737" s="74"/>
      <x:c r="M737" s="91"/>
      <x:c r="N737" s="85"/>
      <x:c r="P737" s="86"/>
      <x:c r="Q737" s="32"/>
    </x:row>
    <x:row r="738">
      <x:c r="A738" s="87"/>
      <x:c r="D738" s="32"/>
      <x:c r="I738" s="74"/>
      <x:c r="J738" s="74"/>
      <x:c r="K738" s="74"/>
      <x:c r="L738" s="74"/>
      <x:c r="M738" s="91"/>
      <x:c r="N738" s="85"/>
      <x:c r="P738" s="86"/>
      <x:c r="Q738" s="32"/>
    </x:row>
    <x:row r="739">
      <x:c r="A739" s="87"/>
      <x:c r="D739" s="32"/>
      <x:c r="I739" s="74"/>
      <x:c r="J739" s="74"/>
      <x:c r="K739" s="74"/>
      <x:c r="L739" s="74"/>
      <x:c r="M739" s="91"/>
      <x:c r="N739" s="85"/>
      <x:c r="P739" s="86"/>
      <x:c r="Q739" s="32"/>
    </x:row>
    <x:row r="740">
      <x:c r="A740" s="87"/>
      <x:c r="D740" s="32"/>
      <x:c r="I740" s="74"/>
      <x:c r="J740" s="74"/>
      <x:c r="K740" s="74"/>
      <x:c r="L740" s="74"/>
      <x:c r="M740" s="91"/>
      <x:c r="N740" s="85"/>
      <x:c r="P740" s="86"/>
      <x:c r="Q740" s="32"/>
    </x:row>
    <x:row r="741">
      <x:c r="A741" s="87"/>
      <x:c r="D741" s="32"/>
      <x:c r="I741" s="74"/>
      <x:c r="J741" s="74"/>
      <x:c r="K741" s="74"/>
      <x:c r="L741" s="74"/>
      <x:c r="M741" s="91"/>
      <x:c r="N741" s="85"/>
      <x:c r="P741" s="86"/>
      <x:c r="Q741" s="32"/>
    </x:row>
    <x:row r="742">
      <x:c r="A742" s="87"/>
      <x:c r="D742" s="32"/>
      <x:c r="I742" s="74"/>
      <x:c r="J742" s="74"/>
      <x:c r="K742" s="74"/>
      <x:c r="L742" s="74"/>
      <x:c r="M742" s="91"/>
      <x:c r="N742" s="85"/>
      <x:c r="P742" s="86"/>
      <x:c r="Q742" s="32"/>
    </x:row>
    <x:row r="743">
      <x:c r="A743" s="87"/>
      <x:c r="D743" s="32"/>
      <x:c r="I743" s="74"/>
      <x:c r="J743" s="74"/>
      <x:c r="K743" s="74"/>
      <x:c r="L743" s="74"/>
      <x:c r="M743" s="91"/>
      <x:c r="N743" s="85"/>
      <x:c r="P743" s="86"/>
      <x:c r="Q743" s="32"/>
    </x:row>
    <x:row r="744">
      <x:c r="A744" s="87"/>
      <x:c r="D744" s="32"/>
      <x:c r="I744" s="74"/>
      <x:c r="J744" s="74"/>
      <x:c r="K744" s="74"/>
      <x:c r="L744" s="74"/>
      <x:c r="M744" s="91"/>
      <x:c r="N744" s="85"/>
      <x:c r="P744" s="86"/>
      <x:c r="Q744" s="32"/>
    </x:row>
    <x:row r="745">
      <x:c r="A745" s="87"/>
      <x:c r="D745" s="32"/>
      <x:c r="I745" s="74"/>
      <x:c r="J745" s="74"/>
      <x:c r="K745" s="74"/>
      <x:c r="L745" s="74"/>
      <x:c r="M745" s="91"/>
      <x:c r="N745" s="85"/>
      <x:c r="P745" s="86"/>
      <x:c r="Q745" s="32"/>
    </x:row>
    <x:row r="746">
      <x:c r="A746" s="87"/>
      <x:c r="D746" s="32"/>
      <x:c r="I746" s="74"/>
      <x:c r="J746" s="74"/>
      <x:c r="K746" s="74"/>
      <x:c r="L746" s="74"/>
      <x:c r="M746" s="91"/>
      <x:c r="N746" s="85"/>
      <x:c r="P746" s="86"/>
      <x:c r="Q746" s="32"/>
    </x:row>
    <x:row r="747">
      <x:c r="A747" s="87"/>
      <x:c r="D747" s="32"/>
      <x:c r="I747" s="74"/>
      <x:c r="J747" s="74"/>
      <x:c r="K747" s="74"/>
      <x:c r="L747" s="74"/>
      <x:c r="M747" s="91"/>
      <x:c r="N747" s="85"/>
      <x:c r="P747" s="86"/>
      <x:c r="Q747" s="32"/>
    </x:row>
    <x:row r="748">
      <x:c r="A748" s="87"/>
      <x:c r="D748" s="32"/>
      <x:c r="I748" s="74"/>
      <x:c r="J748" s="74"/>
      <x:c r="K748" s="74"/>
      <x:c r="L748" s="74"/>
      <x:c r="M748" s="91"/>
      <x:c r="N748" s="85"/>
      <x:c r="P748" s="86"/>
      <x:c r="Q748" s="32"/>
    </x:row>
    <x:row r="749">
      <x:c r="A749" s="87"/>
      <x:c r="D749" s="32"/>
      <x:c r="I749" s="74"/>
      <x:c r="J749" s="74"/>
      <x:c r="K749" s="74"/>
      <x:c r="L749" s="74"/>
      <x:c r="M749" s="91"/>
      <x:c r="N749" s="85"/>
      <x:c r="P749" s="86"/>
      <x:c r="Q749" s="32"/>
    </x:row>
    <x:row r="750">
      <x:c r="A750" s="87"/>
      <x:c r="D750" s="32"/>
      <x:c r="I750" s="74"/>
      <x:c r="J750" s="74"/>
      <x:c r="K750" s="74"/>
      <x:c r="L750" s="74"/>
      <x:c r="M750" s="91"/>
      <x:c r="N750" s="85"/>
      <x:c r="P750" s="86"/>
      <x:c r="Q750" s="32"/>
    </x:row>
    <x:row r="751">
      <x:c r="A751" s="87"/>
      <x:c r="D751" s="32"/>
      <x:c r="I751" s="74"/>
      <x:c r="J751" s="74"/>
      <x:c r="K751" s="74"/>
      <x:c r="L751" s="74"/>
      <x:c r="M751" s="91"/>
      <x:c r="N751" s="85"/>
      <x:c r="P751" s="86"/>
      <x:c r="Q751" s="32"/>
    </x:row>
    <x:row r="752">
      <x:c r="A752" s="87"/>
      <x:c r="D752" s="32"/>
      <x:c r="I752" s="74"/>
      <x:c r="J752" s="74"/>
      <x:c r="K752" s="74"/>
      <x:c r="L752" s="74"/>
      <x:c r="M752" s="91"/>
      <x:c r="N752" s="85"/>
      <x:c r="P752" s="86"/>
      <x:c r="Q752" s="32"/>
    </x:row>
    <x:row r="753">
      <x:c r="A753" s="87"/>
      <x:c r="D753" s="32"/>
      <x:c r="I753" s="74"/>
      <x:c r="J753" s="74"/>
      <x:c r="K753" s="74"/>
      <x:c r="L753" s="74"/>
      <x:c r="M753" s="91"/>
      <x:c r="N753" s="85"/>
      <x:c r="P753" s="86"/>
      <x:c r="Q753" s="32"/>
    </x:row>
    <x:row r="754">
      <x:c r="A754" s="87"/>
      <x:c r="D754" s="32"/>
      <x:c r="I754" s="74"/>
      <x:c r="J754" s="74"/>
      <x:c r="K754" s="74"/>
      <x:c r="L754" s="74"/>
      <x:c r="M754" s="91"/>
      <x:c r="N754" s="85"/>
      <x:c r="P754" s="86"/>
      <x:c r="Q754" s="32"/>
    </x:row>
    <x:row r="755">
      <x:c r="A755" s="87"/>
      <x:c r="D755" s="32"/>
      <x:c r="I755" s="74"/>
      <x:c r="J755" s="74"/>
      <x:c r="K755" s="74"/>
      <x:c r="L755" s="74"/>
      <x:c r="M755" s="91"/>
      <x:c r="N755" s="85"/>
      <x:c r="P755" s="86"/>
      <x:c r="Q755" s="32"/>
    </x:row>
    <x:row r="756">
      <x:c r="A756" s="87"/>
      <x:c r="D756" s="32"/>
      <x:c r="I756" s="74"/>
      <x:c r="J756" s="74"/>
      <x:c r="K756" s="74"/>
      <x:c r="L756" s="74"/>
      <x:c r="M756" s="91"/>
      <x:c r="N756" s="85"/>
      <x:c r="P756" s="86"/>
      <x:c r="Q756" s="32"/>
    </x:row>
    <x:row r="757">
      <x:c r="A757" s="87"/>
      <x:c r="D757" s="32"/>
      <x:c r="I757" s="74"/>
      <x:c r="J757" s="74"/>
      <x:c r="K757" s="74"/>
      <x:c r="L757" s="74"/>
      <x:c r="M757" s="91"/>
      <x:c r="N757" s="85"/>
      <x:c r="P757" s="86"/>
      <x:c r="Q757" s="32"/>
    </x:row>
    <x:row r="758">
      <x:c r="A758" s="87"/>
      <x:c r="D758" s="32"/>
      <x:c r="I758" s="74"/>
      <x:c r="J758" s="74"/>
      <x:c r="K758" s="74"/>
      <x:c r="L758" s="74"/>
      <x:c r="M758" s="91"/>
      <x:c r="N758" s="85"/>
      <x:c r="P758" s="86"/>
      <x:c r="Q758" s="32"/>
    </x:row>
    <x:row r="759">
      <x:c r="A759" s="87"/>
      <x:c r="D759" s="32"/>
      <x:c r="I759" s="74"/>
      <x:c r="J759" s="74"/>
      <x:c r="K759" s="74"/>
      <x:c r="L759" s="74"/>
      <x:c r="M759" s="91"/>
      <x:c r="N759" s="85"/>
      <x:c r="P759" s="86"/>
      <x:c r="Q759" s="32"/>
    </x:row>
    <x:row r="760">
      <x:c r="A760" s="87"/>
      <x:c r="D760" s="32"/>
      <x:c r="I760" s="74"/>
      <x:c r="J760" s="74"/>
      <x:c r="K760" s="74"/>
      <x:c r="L760" s="74"/>
      <x:c r="M760" s="91"/>
      <x:c r="N760" s="85"/>
      <x:c r="P760" s="86"/>
      <x:c r="Q760" s="32"/>
    </x:row>
    <x:row r="761">
      <x:c r="A761" s="87"/>
      <x:c r="D761" s="32"/>
      <x:c r="I761" s="74"/>
      <x:c r="J761" s="74"/>
      <x:c r="K761" s="74"/>
      <x:c r="L761" s="74"/>
      <x:c r="M761" s="91"/>
      <x:c r="N761" s="85"/>
      <x:c r="P761" s="86"/>
      <x:c r="Q761" s="32"/>
    </x:row>
    <x:row r="762">
      <x:c r="A762" s="87"/>
      <x:c r="D762" s="32"/>
      <x:c r="I762" s="74"/>
      <x:c r="J762" s="74"/>
      <x:c r="K762" s="74"/>
      <x:c r="L762" s="74"/>
      <x:c r="M762" s="91"/>
      <x:c r="N762" s="85"/>
      <x:c r="P762" s="86"/>
      <x:c r="Q762" s="32"/>
    </x:row>
    <x:row r="763">
      <x:c r="A763" s="87"/>
      <x:c r="D763" s="32"/>
      <x:c r="I763" s="74"/>
      <x:c r="J763" s="74"/>
      <x:c r="K763" s="74"/>
      <x:c r="L763" s="74"/>
      <x:c r="M763" s="91"/>
      <x:c r="N763" s="85"/>
      <x:c r="P763" s="86"/>
      <x:c r="Q763" s="32"/>
    </x:row>
    <x:row r="764">
      <x:c r="A764" s="87"/>
      <x:c r="D764" s="32"/>
      <x:c r="I764" s="74"/>
      <x:c r="J764" s="74"/>
      <x:c r="K764" s="74"/>
      <x:c r="L764" s="74"/>
      <x:c r="M764" s="91"/>
      <x:c r="N764" s="85"/>
      <x:c r="P764" s="86"/>
      <x:c r="Q764" s="32"/>
    </x:row>
    <x:row r="765">
      <x:c r="A765" s="87"/>
      <x:c r="D765" s="32"/>
      <x:c r="I765" s="74"/>
      <x:c r="J765" s="74"/>
      <x:c r="K765" s="74"/>
      <x:c r="L765" s="74"/>
      <x:c r="M765" s="91"/>
      <x:c r="N765" s="85"/>
      <x:c r="P765" s="86"/>
      <x:c r="Q765" s="32"/>
    </x:row>
    <x:row r="766">
      <x:c r="A766" s="87"/>
      <x:c r="D766" s="32"/>
      <x:c r="I766" s="74"/>
      <x:c r="J766" s="74"/>
      <x:c r="K766" s="74"/>
      <x:c r="L766" s="74"/>
      <x:c r="M766" s="91"/>
      <x:c r="N766" s="85"/>
      <x:c r="P766" s="86"/>
      <x:c r="Q766" s="32"/>
    </x:row>
    <x:row r="767">
      <x:c r="A767" s="87"/>
      <x:c r="D767" s="32"/>
      <x:c r="I767" s="74"/>
      <x:c r="J767" s="74"/>
      <x:c r="K767" s="74"/>
      <x:c r="L767" s="74"/>
      <x:c r="M767" s="91"/>
      <x:c r="N767" s="85"/>
      <x:c r="P767" s="86"/>
      <x:c r="Q767" s="32"/>
    </x:row>
    <x:row r="768">
      <x:c r="A768" s="87"/>
      <x:c r="D768" s="32"/>
      <x:c r="I768" s="74"/>
      <x:c r="J768" s="74"/>
      <x:c r="K768" s="74"/>
      <x:c r="L768" s="74"/>
      <x:c r="M768" s="91"/>
      <x:c r="N768" s="85"/>
      <x:c r="P768" s="86"/>
      <x:c r="Q768" s="32"/>
    </x:row>
    <x:row r="769">
      <x:c r="A769" s="87"/>
      <x:c r="D769" s="32"/>
      <x:c r="I769" s="74"/>
      <x:c r="J769" s="74"/>
      <x:c r="K769" s="74"/>
      <x:c r="L769" s="74"/>
      <x:c r="M769" s="91"/>
      <x:c r="N769" s="85"/>
      <x:c r="P769" s="86"/>
      <x:c r="Q769" s="32"/>
    </x:row>
    <x:row r="770">
      <x:c r="A770" s="87"/>
      <x:c r="D770" s="32"/>
      <x:c r="I770" s="74"/>
      <x:c r="J770" s="74"/>
      <x:c r="K770" s="74"/>
      <x:c r="L770" s="74"/>
      <x:c r="M770" s="91"/>
      <x:c r="N770" s="85"/>
      <x:c r="P770" s="86"/>
      <x:c r="Q770" s="32"/>
    </x:row>
    <x:row r="771">
      <x:c r="A771" s="87"/>
      <x:c r="D771" s="32"/>
      <x:c r="I771" s="74"/>
      <x:c r="J771" s="74"/>
      <x:c r="K771" s="74"/>
      <x:c r="L771" s="74"/>
      <x:c r="M771" s="91"/>
      <x:c r="N771" s="85"/>
      <x:c r="P771" s="86"/>
      <x:c r="Q771" s="32"/>
    </x:row>
    <x:row r="772">
      <x:c r="A772" s="87"/>
      <x:c r="D772" s="32"/>
      <x:c r="I772" s="74"/>
      <x:c r="J772" s="74"/>
      <x:c r="K772" s="74"/>
      <x:c r="L772" s="74"/>
      <x:c r="M772" s="91"/>
      <x:c r="N772" s="85"/>
      <x:c r="P772" s="86"/>
      <x:c r="Q772" s="32"/>
    </x:row>
    <x:row r="773">
      <x:c r="A773" s="87"/>
      <x:c r="D773" s="32"/>
      <x:c r="I773" s="74"/>
      <x:c r="J773" s="74"/>
      <x:c r="K773" s="74"/>
      <x:c r="L773" s="74"/>
      <x:c r="M773" s="91"/>
      <x:c r="N773" s="85"/>
      <x:c r="P773" s="86"/>
      <x:c r="Q773" s="32"/>
    </x:row>
    <x:row r="774">
      <x:c r="A774" s="87"/>
      <x:c r="D774" s="32"/>
      <x:c r="I774" s="74"/>
      <x:c r="J774" s="74"/>
      <x:c r="K774" s="74"/>
      <x:c r="L774" s="74"/>
      <x:c r="M774" s="91"/>
      <x:c r="N774" s="85"/>
      <x:c r="P774" s="86"/>
      <x:c r="Q774" s="32"/>
    </x:row>
    <x:row r="775">
      <x:c r="A775" s="87"/>
      <x:c r="D775" s="32"/>
      <x:c r="I775" s="74"/>
      <x:c r="J775" s="74"/>
      <x:c r="K775" s="74"/>
      <x:c r="L775" s="74"/>
      <x:c r="M775" s="91"/>
      <x:c r="N775" s="85"/>
      <x:c r="P775" s="86"/>
      <x:c r="Q775" s="32"/>
    </x:row>
    <x:row r="776">
      <x:c r="A776" s="87"/>
      <x:c r="D776" s="32"/>
      <x:c r="I776" s="74"/>
      <x:c r="J776" s="74"/>
      <x:c r="K776" s="74"/>
      <x:c r="L776" s="74"/>
      <x:c r="M776" s="91"/>
      <x:c r="N776" s="85"/>
      <x:c r="P776" s="86"/>
      <x:c r="Q776" s="32"/>
    </x:row>
    <x:row r="777">
      <x:c r="A777" s="87"/>
      <x:c r="D777" s="32"/>
      <x:c r="I777" s="74"/>
      <x:c r="J777" s="74"/>
      <x:c r="K777" s="74"/>
      <x:c r="L777" s="74"/>
      <x:c r="M777" s="91"/>
      <x:c r="N777" s="85"/>
      <x:c r="P777" s="86"/>
      <x:c r="Q777" s="32"/>
    </x:row>
    <x:row r="778">
      <x:c r="A778" s="87"/>
      <x:c r="D778" s="32"/>
      <x:c r="I778" s="74"/>
      <x:c r="J778" s="74"/>
      <x:c r="K778" s="74"/>
      <x:c r="L778" s="74"/>
      <x:c r="M778" s="91"/>
      <x:c r="N778" s="85"/>
      <x:c r="P778" s="86"/>
      <x:c r="Q778" s="32"/>
    </x:row>
    <x:row r="779">
      <x:c r="A779" s="87"/>
      <x:c r="D779" s="32"/>
      <x:c r="I779" s="74"/>
      <x:c r="J779" s="74"/>
      <x:c r="K779" s="74"/>
      <x:c r="L779" s="74"/>
      <x:c r="M779" s="91"/>
      <x:c r="N779" s="85"/>
      <x:c r="P779" s="86"/>
      <x:c r="Q779" s="32"/>
    </x:row>
    <x:row r="780">
      <x:c r="A780" s="87"/>
      <x:c r="D780" s="32"/>
      <x:c r="I780" s="74"/>
      <x:c r="J780" s="74"/>
      <x:c r="K780" s="74"/>
      <x:c r="L780" s="74"/>
      <x:c r="M780" s="91"/>
      <x:c r="N780" s="85"/>
      <x:c r="P780" s="86"/>
      <x:c r="Q780" s="32"/>
    </x:row>
    <x:row r="781">
      <x:c r="A781" s="87"/>
      <x:c r="D781" s="32"/>
      <x:c r="I781" s="74"/>
      <x:c r="J781" s="74"/>
      <x:c r="K781" s="74"/>
      <x:c r="L781" s="74"/>
      <x:c r="M781" s="91"/>
      <x:c r="N781" s="85"/>
      <x:c r="P781" s="86"/>
      <x:c r="Q781" s="32"/>
    </x:row>
    <x:row r="782">
      <x:c r="A782" s="87"/>
      <x:c r="D782" s="32"/>
      <x:c r="I782" s="74"/>
      <x:c r="J782" s="74"/>
      <x:c r="K782" s="74"/>
      <x:c r="L782" s="74"/>
      <x:c r="M782" s="91"/>
      <x:c r="N782" s="85"/>
      <x:c r="P782" s="86"/>
      <x:c r="Q782" s="32"/>
    </x:row>
    <x:row r="783">
      <x:c r="A783" s="87"/>
      <x:c r="D783" s="32"/>
      <x:c r="I783" s="74"/>
      <x:c r="J783" s="74"/>
      <x:c r="K783" s="74"/>
      <x:c r="L783" s="74"/>
      <x:c r="M783" s="91"/>
      <x:c r="N783" s="85"/>
      <x:c r="P783" s="86"/>
      <x:c r="Q783" s="32"/>
    </x:row>
    <x:row r="784">
      <x:c r="A784" s="87"/>
      <x:c r="D784" s="32"/>
      <x:c r="I784" s="74"/>
      <x:c r="J784" s="74"/>
      <x:c r="K784" s="74"/>
      <x:c r="L784" s="74"/>
      <x:c r="M784" s="91"/>
      <x:c r="N784" s="85"/>
      <x:c r="P784" s="86"/>
      <x:c r="Q784" s="32"/>
    </x:row>
    <x:row r="785">
      <x:c r="A785" s="87"/>
      <x:c r="D785" s="32"/>
      <x:c r="I785" s="74"/>
      <x:c r="J785" s="74"/>
      <x:c r="K785" s="74"/>
      <x:c r="L785" s="74"/>
      <x:c r="M785" s="91"/>
      <x:c r="N785" s="85"/>
      <x:c r="P785" s="86"/>
      <x:c r="Q785" s="32"/>
    </x:row>
    <x:row r="786">
      <x:c r="A786" s="87"/>
      <x:c r="D786" s="32"/>
      <x:c r="I786" s="74"/>
      <x:c r="J786" s="74"/>
      <x:c r="K786" s="74"/>
      <x:c r="L786" s="74"/>
      <x:c r="M786" s="91"/>
      <x:c r="N786" s="85"/>
      <x:c r="P786" s="86"/>
      <x:c r="Q786" s="32"/>
    </x:row>
    <x:row r="787">
      <x:c r="A787" s="87"/>
      <x:c r="D787" s="32"/>
      <x:c r="I787" s="74"/>
      <x:c r="J787" s="74"/>
      <x:c r="K787" s="74"/>
      <x:c r="L787" s="74"/>
      <x:c r="M787" s="91"/>
      <x:c r="N787" s="85"/>
      <x:c r="P787" s="86"/>
      <x:c r="Q787" s="32"/>
    </x:row>
    <x:row r="788">
      <x:c r="A788" s="87"/>
      <x:c r="D788" s="32"/>
      <x:c r="I788" s="74"/>
      <x:c r="J788" s="74"/>
      <x:c r="K788" s="74"/>
      <x:c r="L788" s="74"/>
      <x:c r="M788" s="91"/>
      <x:c r="N788" s="85"/>
      <x:c r="P788" s="86"/>
      <x:c r="Q788" s="32"/>
    </x:row>
    <x:row r="789">
      <x:c r="A789" s="87"/>
      <x:c r="D789" s="32"/>
      <x:c r="I789" s="74"/>
      <x:c r="J789" s="74"/>
      <x:c r="K789" s="74"/>
      <x:c r="L789" s="74"/>
      <x:c r="M789" s="91"/>
      <x:c r="N789" s="85"/>
      <x:c r="P789" s="86"/>
      <x:c r="Q789" s="32"/>
    </x:row>
    <x:row r="790">
      <x:c r="A790" s="87"/>
      <x:c r="D790" s="32"/>
      <x:c r="I790" s="74"/>
      <x:c r="J790" s="74"/>
      <x:c r="K790" s="74"/>
      <x:c r="L790" s="74"/>
      <x:c r="M790" s="91"/>
      <x:c r="N790" s="85"/>
      <x:c r="P790" s="86"/>
      <x:c r="Q790" s="32"/>
    </x:row>
    <x:row r="791">
      <x:c r="A791" s="87"/>
      <x:c r="D791" s="32"/>
      <x:c r="I791" s="74"/>
      <x:c r="J791" s="74"/>
      <x:c r="K791" s="74"/>
      <x:c r="L791" s="74"/>
      <x:c r="M791" s="91"/>
      <x:c r="N791" s="85"/>
      <x:c r="P791" s="86"/>
      <x:c r="Q791" s="32"/>
    </x:row>
    <x:row r="792">
      <x:c r="A792" s="87"/>
      <x:c r="D792" s="32"/>
      <x:c r="I792" s="74"/>
      <x:c r="J792" s="74"/>
      <x:c r="K792" s="74"/>
      <x:c r="L792" s="74"/>
      <x:c r="M792" s="91"/>
      <x:c r="N792" s="85"/>
      <x:c r="P792" s="86"/>
      <x:c r="Q792" s="32"/>
    </x:row>
    <x:row r="793">
      <x:c r="A793" s="87"/>
      <x:c r="D793" s="32"/>
      <x:c r="I793" s="74"/>
      <x:c r="J793" s="74"/>
      <x:c r="K793" s="74"/>
      <x:c r="L793" s="74"/>
      <x:c r="M793" s="91"/>
      <x:c r="N793" s="85"/>
      <x:c r="P793" s="86"/>
      <x:c r="Q793" s="32"/>
    </x:row>
    <x:row r="794">
      <x:c r="A794" s="87"/>
      <x:c r="D794" s="32"/>
      <x:c r="I794" s="74"/>
      <x:c r="J794" s="74"/>
      <x:c r="K794" s="74"/>
      <x:c r="L794" s="74"/>
      <x:c r="M794" s="91"/>
      <x:c r="N794" s="85"/>
      <x:c r="P794" s="86"/>
      <x:c r="Q794" s="32"/>
    </x:row>
    <x:row r="795">
      <x:c r="A795" s="87"/>
      <x:c r="D795" s="32"/>
      <x:c r="I795" s="74"/>
      <x:c r="J795" s="74"/>
      <x:c r="K795" s="74"/>
      <x:c r="L795" s="74"/>
      <x:c r="M795" s="91"/>
      <x:c r="N795" s="85"/>
      <x:c r="P795" s="86"/>
      <x:c r="Q795" s="32"/>
    </x:row>
    <x:row r="796">
      <x:c r="A796" s="87"/>
      <x:c r="D796" s="32"/>
      <x:c r="I796" s="74"/>
      <x:c r="J796" s="74"/>
      <x:c r="K796" s="74"/>
      <x:c r="L796" s="74"/>
      <x:c r="M796" s="91"/>
      <x:c r="N796" s="85"/>
      <x:c r="P796" s="86"/>
      <x:c r="Q796" s="32"/>
    </x:row>
    <x:row r="797">
      <x:c r="A797" s="87"/>
      <x:c r="D797" s="32"/>
      <x:c r="I797" s="74"/>
      <x:c r="J797" s="74"/>
      <x:c r="K797" s="74"/>
      <x:c r="L797" s="74"/>
      <x:c r="M797" s="91"/>
      <x:c r="N797" s="85"/>
      <x:c r="P797" s="86"/>
      <x:c r="Q797" s="32"/>
    </x:row>
    <x:row r="798">
      <x:c r="A798" s="87"/>
      <x:c r="D798" s="32"/>
      <x:c r="I798" s="74"/>
      <x:c r="J798" s="74"/>
      <x:c r="K798" s="74"/>
      <x:c r="L798" s="74"/>
      <x:c r="M798" s="91"/>
      <x:c r="N798" s="85"/>
      <x:c r="P798" s="86"/>
      <x:c r="Q798" s="32"/>
    </x:row>
    <x:row r="799">
      <x:c r="A799" s="87"/>
      <x:c r="D799" s="32"/>
      <x:c r="I799" s="74"/>
      <x:c r="J799" s="74"/>
      <x:c r="K799" s="74"/>
      <x:c r="L799" s="74"/>
      <x:c r="M799" s="91"/>
      <x:c r="N799" s="85"/>
      <x:c r="P799" s="86"/>
      <x:c r="Q799" s="32"/>
    </x:row>
    <x:row r="800">
      <x:c r="A800" s="87"/>
      <x:c r="D800" s="32"/>
      <x:c r="I800" s="74"/>
      <x:c r="J800" s="74"/>
      <x:c r="K800" s="74"/>
      <x:c r="L800" s="74"/>
      <x:c r="M800" s="91"/>
      <x:c r="N800" s="85"/>
      <x:c r="P800" s="86"/>
      <x:c r="Q800" s="32"/>
    </x:row>
    <x:row r="801">
      <x:c r="A801" s="87"/>
      <x:c r="D801" s="32"/>
      <x:c r="I801" s="74"/>
      <x:c r="J801" s="74"/>
      <x:c r="K801" s="74"/>
      <x:c r="L801" s="74"/>
      <x:c r="M801" s="91"/>
      <x:c r="N801" s="85"/>
      <x:c r="P801" s="86"/>
      <x:c r="Q801" s="32"/>
    </x:row>
    <x:row r="802">
      <x:c r="A802" s="87"/>
      <x:c r="D802" s="32"/>
      <x:c r="I802" s="74"/>
      <x:c r="J802" s="74"/>
      <x:c r="K802" s="74"/>
      <x:c r="L802" s="74"/>
      <x:c r="M802" s="91"/>
      <x:c r="N802" s="85"/>
      <x:c r="P802" s="86"/>
      <x:c r="Q802" s="32"/>
    </x:row>
    <x:row r="803">
      <x:c r="A803" s="87"/>
      <x:c r="D803" s="32"/>
      <x:c r="I803" s="74"/>
      <x:c r="J803" s="74"/>
      <x:c r="K803" s="74"/>
      <x:c r="L803" s="74"/>
      <x:c r="M803" s="91"/>
      <x:c r="N803" s="85"/>
      <x:c r="P803" s="86"/>
      <x:c r="Q803" s="32"/>
    </x:row>
    <x:row r="804">
      <x:c r="A804" s="87"/>
      <x:c r="D804" s="32"/>
      <x:c r="I804" s="74"/>
      <x:c r="J804" s="74"/>
      <x:c r="K804" s="74"/>
      <x:c r="L804" s="74"/>
      <x:c r="M804" s="91"/>
      <x:c r="N804" s="85"/>
      <x:c r="P804" s="86"/>
      <x:c r="Q804" s="32"/>
    </x:row>
    <x:row r="805">
      <x:c r="A805" s="87"/>
      <x:c r="D805" s="32"/>
      <x:c r="I805" s="74"/>
      <x:c r="J805" s="74"/>
      <x:c r="K805" s="74"/>
      <x:c r="L805" s="74"/>
      <x:c r="M805" s="91"/>
      <x:c r="N805" s="85"/>
      <x:c r="P805" s="86"/>
      <x:c r="Q805" s="32"/>
    </x:row>
    <x:row r="806">
      <x:c r="A806" s="87"/>
      <x:c r="D806" s="32"/>
      <x:c r="I806" s="74"/>
      <x:c r="J806" s="74"/>
      <x:c r="K806" s="74"/>
      <x:c r="L806" s="74"/>
      <x:c r="M806" s="91"/>
      <x:c r="N806" s="85"/>
      <x:c r="P806" s="86"/>
      <x:c r="Q806" s="32"/>
    </x:row>
    <x:row r="807">
      <x:c r="A807" s="87"/>
      <x:c r="D807" s="32"/>
      <x:c r="I807" s="74"/>
      <x:c r="J807" s="74"/>
      <x:c r="K807" s="74"/>
      <x:c r="L807" s="74"/>
      <x:c r="M807" s="91"/>
      <x:c r="N807" s="85"/>
      <x:c r="P807" s="86"/>
      <x:c r="Q807" s="32"/>
    </x:row>
    <x:row r="808">
      <x:c r="A808" s="87"/>
      <x:c r="D808" s="32"/>
      <x:c r="I808" s="74"/>
      <x:c r="J808" s="74"/>
      <x:c r="K808" s="74"/>
      <x:c r="L808" s="74"/>
      <x:c r="M808" s="91"/>
      <x:c r="N808" s="85"/>
      <x:c r="P808" s="86"/>
      <x:c r="Q808" s="32"/>
    </x:row>
    <x:row r="809">
      <x:c r="A809" s="87"/>
      <x:c r="D809" s="32"/>
      <x:c r="I809" s="74"/>
      <x:c r="J809" s="74"/>
      <x:c r="K809" s="74"/>
      <x:c r="L809" s="74"/>
      <x:c r="M809" s="91"/>
      <x:c r="N809" s="85"/>
      <x:c r="P809" s="86"/>
      <x:c r="Q809" s="32"/>
    </x:row>
    <x:row r="810">
      <x:c r="A810" s="87"/>
      <x:c r="D810" s="32"/>
      <x:c r="I810" s="74"/>
      <x:c r="J810" s="74"/>
      <x:c r="K810" s="74"/>
      <x:c r="L810" s="74"/>
      <x:c r="M810" s="91"/>
      <x:c r="N810" s="85"/>
      <x:c r="P810" s="86"/>
      <x:c r="Q810" s="32"/>
    </x:row>
    <x:row r="811">
      <x:c r="A811" s="87"/>
      <x:c r="D811" s="32"/>
      <x:c r="I811" s="74"/>
      <x:c r="J811" s="74"/>
      <x:c r="K811" s="74"/>
      <x:c r="L811" s="74"/>
      <x:c r="M811" s="91"/>
      <x:c r="N811" s="85"/>
      <x:c r="P811" s="86"/>
      <x:c r="Q811" s="32"/>
    </x:row>
    <x:row r="812">
      <x:c r="A812" s="87"/>
      <x:c r="D812" s="32"/>
      <x:c r="I812" s="74"/>
      <x:c r="J812" s="74"/>
      <x:c r="K812" s="74"/>
      <x:c r="L812" s="74"/>
      <x:c r="M812" s="91"/>
      <x:c r="N812" s="85"/>
      <x:c r="P812" s="86"/>
      <x:c r="Q812" s="32"/>
    </x:row>
    <x:row r="813">
      <x:c r="A813" s="87"/>
      <x:c r="D813" s="32"/>
      <x:c r="I813" s="74"/>
      <x:c r="J813" s="74"/>
      <x:c r="K813" s="74"/>
      <x:c r="L813" s="74"/>
      <x:c r="M813" s="91"/>
      <x:c r="N813" s="85"/>
      <x:c r="P813" s="86"/>
      <x:c r="Q813" s="32"/>
    </x:row>
    <x:row r="814">
      <x:c r="A814" s="87"/>
      <x:c r="D814" s="32"/>
      <x:c r="I814" s="74"/>
      <x:c r="J814" s="74"/>
      <x:c r="K814" s="74"/>
      <x:c r="L814" s="74"/>
      <x:c r="M814" s="91"/>
      <x:c r="N814" s="85"/>
      <x:c r="P814" s="86"/>
      <x:c r="Q814" s="32"/>
    </x:row>
    <x:row r="815">
      <x:c r="A815" s="87"/>
      <x:c r="D815" s="32"/>
      <x:c r="I815" s="74"/>
      <x:c r="J815" s="74"/>
      <x:c r="K815" s="74"/>
      <x:c r="L815" s="74"/>
      <x:c r="M815" s="91"/>
      <x:c r="N815" s="85"/>
      <x:c r="P815" s="86"/>
      <x:c r="Q815" s="32"/>
    </x:row>
    <x:row r="816">
      <x:c r="A816" s="87"/>
      <x:c r="D816" s="32"/>
      <x:c r="I816" s="74"/>
      <x:c r="J816" s="74"/>
      <x:c r="K816" s="74"/>
      <x:c r="L816" s="74"/>
      <x:c r="M816" s="91"/>
      <x:c r="N816" s="85"/>
      <x:c r="P816" s="86"/>
      <x:c r="Q816" s="32"/>
    </x:row>
    <x:row r="817">
      <x:c r="A817" s="87"/>
      <x:c r="D817" s="32"/>
      <x:c r="I817" s="74"/>
      <x:c r="J817" s="74"/>
      <x:c r="K817" s="74"/>
      <x:c r="L817" s="74"/>
      <x:c r="M817" s="91"/>
      <x:c r="N817" s="85"/>
      <x:c r="P817" s="86"/>
      <x:c r="Q817" s="32"/>
    </x:row>
    <x:row r="818">
      <x:c r="A818" s="87"/>
      <x:c r="D818" s="32"/>
      <x:c r="I818" s="74"/>
      <x:c r="J818" s="74"/>
      <x:c r="K818" s="74"/>
      <x:c r="L818" s="74"/>
      <x:c r="M818" s="91"/>
      <x:c r="N818" s="85"/>
      <x:c r="P818" s="86"/>
      <x:c r="Q818" s="32"/>
    </x:row>
    <x:row r="819">
      <x:c r="A819" s="87"/>
      <x:c r="D819" s="32"/>
      <x:c r="I819" s="74"/>
      <x:c r="J819" s="74"/>
      <x:c r="K819" s="74"/>
      <x:c r="L819" s="74"/>
      <x:c r="M819" s="91"/>
      <x:c r="N819" s="85"/>
      <x:c r="P819" s="86"/>
      <x:c r="Q819" s="32"/>
    </x:row>
    <x:row r="820">
      <x:c r="A820" s="87"/>
      <x:c r="D820" s="32"/>
      <x:c r="I820" s="74"/>
      <x:c r="J820" s="74"/>
      <x:c r="K820" s="74"/>
      <x:c r="L820" s="74"/>
      <x:c r="M820" s="91"/>
      <x:c r="N820" s="85"/>
      <x:c r="P820" s="86"/>
      <x:c r="Q820" s="32"/>
    </x:row>
    <x:row r="821">
      <x:c r="A821" s="87"/>
      <x:c r="D821" s="32"/>
      <x:c r="I821" s="74"/>
      <x:c r="J821" s="74"/>
      <x:c r="K821" s="74"/>
      <x:c r="L821" s="74"/>
      <x:c r="M821" s="91"/>
      <x:c r="N821" s="85"/>
      <x:c r="P821" s="86"/>
      <x:c r="Q821" s="32"/>
    </x:row>
    <x:row r="822">
      <x:c r="A822" s="87"/>
      <x:c r="D822" s="32"/>
      <x:c r="I822" s="74"/>
      <x:c r="J822" s="74"/>
      <x:c r="K822" s="74"/>
      <x:c r="L822" s="74"/>
      <x:c r="M822" s="91"/>
      <x:c r="N822" s="85"/>
      <x:c r="P822" s="86"/>
      <x:c r="Q822" s="32"/>
    </x:row>
    <x:row r="823">
      <x:c r="A823" s="87"/>
      <x:c r="D823" s="32"/>
      <x:c r="I823" s="74"/>
      <x:c r="J823" s="74"/>
      <x:c r="K823" s="74"/>
      <x:c r="L823" s="74"/>
      <x:c r="M823" s="91"/>
      <x:c r="N823" s="85"/>
      <x:c r="P823" s="86"/>
      <x:c r="Q823" s="32"/>
    </x:row>
    <x:row r="824">
      <x:c r="A824" s="87"/>
      <x:c r="D824" s="32"/>
      <x:c r="I824" s="74"/>
      <x:c r="J824" s="74"/>
      <x:c r="K824" s="74"/>
      <x:c r="L824" s="74"/>
      <x:c r="M824" s="91"/>
      <x:c r="N824" s="85"/>
      <x:c r="P824" s="86"/>
      <x:c r="Q824" s="32"/>
    </x:row>
    <x:row r="825">
      <x:c r="A825" s="87"/>
      <x:c r="D825" s="32"/>
      <x:c r="I825" s="74"/>
      <x:c r="J825" s="74"/>
      <x:c r="K825" s="74"/>
      <x:c r="L825" s="74"/>
      <x:c r="M825" s="91"/>
      <x:c r="N825" s="85"/>
      <x:c r="P825" s="86"/>
      <x:c r="Q825" s="32"/>
    </x:row>
    <x:row r="826">
      <x:c r="A826" s="87"/>
      <x:c r="D826" s="32"/>
      <x:c r="I826" s="74"/>
      <x:c r="J826" s="74"/>
      <x:c r="K826" s="74"/>
      <x:c r="L826" s="74"/>
      <x:c r="M826" s="91"/>
      <x:c r="N826" s="85"/>
      <x:c r="P826" s="86"/>
      <x:c r="Q826" s="32"/>
    </x:row>
    <x:row r="827">
      <x:c r="A827" s="87"/>
      <x:c r="D827" s="32"/>
      <x:c r="I827" s="74"/>
      <x:c r="J827" s="74"/>
      <x:c r="K827" s="74"/>
      <x:c r="L827" s="74"/>
      <x:c r="M827" s="91"/>
      <x:c r="N827" s="85"/>
      <x:c r="P827" s="86"/>
      <x:c r="Q827" s="32"/>
    </x:row>
    <x:row r="828">
      <x:c r="A828" s="87"/>
      <x:c r="D828" s="32"/>
      <x:c r="I828" s="74"/>
      <x:c r="J828" s="74"/>
      <x:c r="K828" s="74"/>
      <x:c r="L828" s="74"/>
      <x:c r="M828" s="91"/>
      <x:c r="N828" s="85"/>
      <x:c r="P828" s="86"/>
      <x:c r="Q828" s="32"/>
    </x:row>
    <x:row r="829">
      <x:c r="A829" s="87"/>
      <x:c r="D829" s="32"/>
      <x:c r="I829" s="74"/>
      <x:c r="J829" s="74"/>
      <x:c r="K829" s="74"/>
      <x:c r="L829" s="74"/>
      <x:c r="M829" s="91"/>
      <x:c r="N829" s="85"/>
      <x:c r="P829" s="86"/>
      <x:c r="Q829" s="32"/>
    </x:row>
    <x:row r="830">
      <x:c r="A830" s="87"/>
      <x:c r="D830" s="32"/>
      <x:c r="I830" s="74"/>
      <x:c r="J830" s="74"/>
      <x:c r="K830" s="74"/>
      <x:c r="L830" s="74"/>
      <x:c r="M830" s="91"/>
      <x:c r="N830" s="85"/>
      <x:c r="P830" s="86"/>
      <x:c r="Q830" s="32"/>
    </x:row>
    <x:row r="831">
      <x:c r="A831" s="87"/>
      <x:c r="D831" s="32"/>
      <x:c r="I831" s="74"/>
      <x:c r="J831" s="74"/>
      <x:c r="K831" s="74"/>
      <x:c r="L831" s="74"/>
      <x:c r="M831" s="91"/>
      <x:c r="N831" s="85"/>
      <x:c r="P831" s="86"/>
      <x:c r="Q831" s="32"/>
    </x:row>
    <x:row r="832">
      <x:c r="A832" s="87"/>
      <x:c r="D832" s="32"/>
      <x:c r="I832" s="74"/>
      <x:c r="J832" s="74"/>
      <x:c r="K832" s="74"/>
      <x:c r="L832" s="74"/>
      <x:c r="M832" s="91"/>
      <x:c r="N832" s="85"/>
      <x:c r="P832" s="86"/>
      <x:c r="Q832" s="32"/>
    </x:row>
    <x:row r="833">
      <x:c r="A833" s="87"/>
      <x:c r="D833" s="32"/>
      <x:c r="I833" s="74"/>
      <x:c r="J833" s="74"/>
      <x:c r="K833" s="74"/>
      <x:c r="L833" s="74"/>
      <x:c r="M833" s="91"/>
      <x:c r="N833" s="85"/>
      <x:c r="P833" s="86"/>
      <x:c r="Q833" s="32"/>
    </x:row>
    <x:row r="834">
      <x:c r="A834" s="87"/>
      <x:c r="D834" s="32"/>
      <x:c r="I834" s="74"/>
      <x:c r="J834" s="74"/>
      <x:c r="K834" s="74"/>
      <x:c r="L834" s="74"/>
      <x:c r="M834" s="91"/>
      <x:c r="N834" s="85"/>
      <x:c r="P834" s="86"/>
      <x:c r="Q834" s="32"/>
    </x:row>
    <x:row r="835">
      <x:c r="A835" s="87"/>
      <x:c r="D835" s="32"/>
      <x:c r="I835" s="74"/>
      <x:c r="J835" s="74"/>
      <x:c r="K835" s="74"/>
      <x:c r="L835" s="74"/>
      <x:c r="M835" s="91"/>
      <x:c r="N835" s="85"/>
      <x:c r="P835" s="86"/>
      <x:c r="Q835" s="32"/>
    </x:row>
    <x:row r="836">
      <x:c r="A836" s="87"/>
      <x:c r="D836" s="32"/>
      <x:c r="I836" s="74"/>
      <x:c r="J836" s="74"/>
      <x:c r="K836" s="74"/>
      <x:c r="L836" s="74"/>
      <x:c r="M836" s="91"/>
      <x:c r="N836" s="85"/>
      <x:c r="P836" s="86"/>
      <x:c r="Q836" s="32"/>
    </x:row>
    <x:row r="837">
      <x:c r="A837" s="87"/>
      <x:c r="D837" s="32"/>
      <x:c r="I837" s="74"/>
      <x:c r="J837" s="74"/>
      <x:c r="K837" s="74"/>
      <x:c r="L837" s="74"/>
      <x:c r="M837" s="91"/>
      <x:c r="N837" s="85"/>
      <x:c r="P837" s="86"/>
      <x:c r="Q837" s="32"/>
    </x:row>
    <x:row r="838">
      <x:c r="A838" s="87"/>
      <x:c r="D838" s="32"/>
      <x:c r="I838" s="74"/>
      <x:c r="J838" s="74"/>
      <x:c r="K838" s="74"/>
      <x:c r="L838" s="74"/>
      <x:c r="M838" s="91"/>
      <x:c r="N838" s="85"/>
      <x:c r="P838" s="86"/>
      <x:c r="Q838" s="32"/>
    </x:row>
    <x:row r="839">
      <x:c r="A839" s="87"/>
      <x:c r="D839" s="32"/>
      <x:c r="I839" s="74"/>
      <x:c r="J839" s="74"/>
      <x:c r="K839" s="74"/>
      <x:c r="L839" s="74"/>
      <x:c r="M839" s="91"/>
      <x:c r="N839" s="85"/>
      <x:c r="P839" s="86"/>
      <x:c r="Q839" s="32"/>
    </x:row>
    <x:row r="840">
      <x:c r="A840" s="87"/>
      <x:c r="D840" s="32"/>
      <x:c r="I840" s="74"/>
      <x:c r="J840" s="74"/>
      <x:c r="K840" s="74"/>
      <x:c r="L840" s="74"/>
      <x:c r="M840" s="91"/>
      <x:c r="N840" s="85"/>
      <x:c r="P840" s="86"/>
      <x:c r="Q840" s="32"/>
    </x:row>
    <x:row r="841">
      <x:c r="A841" s="87"/>
      <x:c r="D841" s="32"/>
      <x:c r="I841" s="74"/>
      <x:c r="J841" s="74"/>
      <x:c r="K841" s="74"/>
      <x:c r="L841" s="74"/>
      <x:c r="M841" s="91"/>
      <x:c r="N841" s="85"/>
      <x:c r="P841" s="86"/>
      <x:c r="Q841" s="32"/>
    </x:row>
    <x:row r="842">
      <x:c r="A842" s="87"/>
      <x:c r="D842" s="32"/>
      <x:c r="I842" s="74"/>
      <x:c r="J842" s="74"/>
      <x:c r="K842" s="74"/>
      <x:c r="L842" s="74"/>
      <x:c r="M842" s="91"/>
      <x:c r="N842" s="85"/>
      <x:c r="P842" s="86"/>
      <x:c r="Q842" s="32"/>
    </x:row>
    <x:row r="843">
      <x:c r="A843" s="87"/>
      <x:c r="D843" s="32"/>
      <x:c r="I843" s="74"/>
      <x:c r="J843" s="74"/>
      <x:c r="K843" s="74"/>
      <x:c r="L843" s="74"/>
      <x:c r="M843" s="91"/>
      <x:c r="N843" s="85"/>
      <x:c r="P843" s="86"/>
      <x:c r="Q843" s="32"/>
    </x:row>
    <x:row r="844">
      <x:c r="A844" s="87"/>
      <x:c r="D844" s="32"/>
      <x:c r="I844" s="74"/>
      <x:c r="J844" s="74"/>
      <x:c r="K844" s="74"/>
      <x:c r="L844" s="74"/>
      <x:c r="M844" s="91"/>
      <x:c r="N844" s="85"/>
      <x:c r="P844" s="86"/>
      <x:c r="Q844" s="32"/>
    </x:row>
    <x:row r="845">
      <x:c r="A845" s="87"/>
      <x:c r="D845" s="32"/>
      <x:c r="I845" s="74"/>
      <x:c r="J845" s="74"/>
      <x:c r="K845" s="74"/>
      <x:c r="L845" s="74"/>
      <x:c r="M845" s="91"/>
      <x:c r="N845" s="85"/>
      <x:c r="P845" s="86"/>
      <x:c r="Q845" s="32"/>
    </x:row>
    <x:row r="846">
      <x:c r="A846" s="87"/>
      <x:c r="D846" s="32"/>
      <x:c r="I846" s="74"/>
      <x:c r="J846" s="74"/>
      <x:c r="K846" s="74"/>
      <x:c r="L846" s="74"/>
      <x:c r="M846" s="91"/>
      <x:c r="N846" s="85"/>
      <x:c r="P846" s="86"/>
      <x:c r="Q846" s="32"/>
    </x:row>
    <x:row r="847">
      <x:c r="A847" s="87"/>
      <x:c r="D847" s="32"/>
      <x:c r="I847" s="74"/>
      <x:c r="J847" s="74"/>
      <x:c r="K847" s="74"/>
      <x:c r="L847" s="74"/>
      <x:c r="M847" s="91"/>
      <x:c r="N847" s="85"/>
      <x:c r="P847" s="86"/>
      <x:c r="Q847" s="32"/>
    </x:row>
    <x:row r="848">
      <x:c r="A848" s="87"/>
      <x:c r="D848" s="32"/>
      <x:c r="I848" s="74"/>
      <x:c r="J848" s="74"/>
      <x:c r="K848" s="74"/>
      <x:c r="L848" s="74"/>
      <x:c r="M848" s="91"/>
      <x:c r="N848" s="85"/>
      <x:c r="P848" s="86"/>
      <x:c r="Q848" s="32"/>
    </x:row>
    <x:row r="849">
      <x:c r="A849" s="87"/>
      <x:c r="D849" s="32"/>
      <x:c r="I849" s="74"/>
      <x:c r="J849" s="74"/>
      <x:c r="K849" s="74"/>
      <x:c r="L849" s="74"/>
      <x:c r="M849" s="91"/>
      <x:c r="N849" s="85"/>
      <x:c r="P849" s="86"/>
      <x:c r="Q849" s="32"/>
    </x:row>
    <x:row r="850">
      <x:c r="A850" s="87"/>
      <x:c r="D850" s="32"/>
      <x:c r="I850" s="74"/>
      <x:c r="J850" s="74"/>
      <x:c r="K850" s="74"/>
      <x:c r="L850" s="74"/>
      <x:c r="M850" s="91"/>
      <x:c r="N850" s="85"/>
      <x:c r="P850" s="86"/>
      <x:c r="Q850" s="32"/>
    </x:row>
    <x:row r="851">
      <x:c r="A851" s="87"/>
      <x:c r="D851" s="32"/>
      <x:c r="I851" s="74"/>
      <x:c r="J851" s="74"/>
      <x:c r="K851" s="74"/>
      <x:c r="L851" s="74"/>
      <x:c r="M851" s="91"/>
      <x:c r="N851" s="85"/>
      <x:c r="P851" s="86"/>
      <x:c r="Q851" s="32"/>
    </x:row>
    <x:row r="852">
      <x:c r="A852" s="87"/>
      <x:c r="D852" s="32"/>
      <x:c r="I852" s="74"/>
      <x:c r="J852" s="74"/>
      <x:c r="K852" s="74"/>
      <x:c r="L852" s="74"/>
      <x:c r="M852" s="91"/>
      <x:c r="N852" s="85"/>
      <x:c r="P852" s="86"/>
      <x:c r="Q852" s="32"/>
    </x:row>
    <x:row r="853">
      <x:c r="A853" s="87"/>
      <x:c r="D853" s="32"/>
      <x:c r="I853" s="74"/>
      <x:c r="J853" s="74"/>
      <x:c r="K853" s="74"/>
      <x:c r="L853" s="74"/>
      <x:c r="M853" s="91"/>
      <x:c r="N853" s="85"/>
      <x:c r="P853" s="86"/>
      <x:c r="Q853" s="32"/>
    </x:row>
    <x:row r="854">
      <x:c r="A854" s="87"/>
      <x:c r="D854" s="32"/>
      <x:c r="I854" s="74"/>
      <x:c r="J854" s="74"/>
      <x:c r="K854" s="74"/>
      <x:c r="L854" s="74"/>
      <x:c r="M854" s="91"/>
      <x:c r="N854" s="85"/>
      <x:c r="P854" s="86"/>
      <x:c r="Q854" s="32"/>
    </x:row>
    <x:row r="855">
      <x:c r="A855" s="87"/>
      <x:c r="D855" s="32"/>
      <x:c r="I855" s="74"/>
      <x:c r="J855" s="74"/>
      <x:c r="K855" s="74"/>
      <x:c r="L855" s="74"/>
      <x:c r="M855" s="91"/>
      <x:c r="N855" s="85"/>
      <x:c r="P855" s="86"/>
      <x:c r="Q855" s="32"/>
    </x:row>
    <x:row r="856">
      <x:c r="A856" s="87"/>
      <x:c r="D856" s="32"/>
      <x:c r="I856" s="74"/>
      <x:c r="J856" s="74"/>
      <x:c r="K856" s="74"/>
      <x:c r="L856" s="74"/>
      <x:c r="M856" s="91"/>
      <x:c r="N856" s="85"/>
      <x:c r="P856" s="86"/>
      <x:c r="Q856" s="32"/>
    </x:row>
    <x:row r="857">
      <x:c r="A857" s="87"/>
      <x:c r="D857" s="32"/>
      <x:c r="I857" s="74"/>
      <x:c r="J857" s="74"/>
      <x:c r="K857" s="74"/>
      <x:c r="L857" s="74"/>
      <x:c r="M857" s="91"/>
      <x:c r="N857" s="85"/>
      <x:c r="P857" s="86"/>
      <x:c r="Q857" s="32"/>
    </x:row>
    <x:row r="858">
      <x:c r="A858" s="87"/>
      <x:c r="D858" s="32"/>
      <x:c r="I858" s="74"/>
      <x:c r="J858" s="74"/>
      <x:c r="K858" s="74"/>
      <x:c r="L858" s="74"/>
      <x:c r="M858" s="91"/>
      <x:c r="N858" s="85"/>
      <x:c r="P858" s="86"/>
      <x:c r="Q858" s="32"/>
    </x:row>
    <x:row r="859">
      <x:c r="A859" s="87"/>
      <x:c r="D859" s="32"/>
      <x:c r="I859" s="74"/>
      <x:c r="J859" s="74"/>
      <x:c r="K859" s="74"/>
      <x:c r="L859" s="74"/>
      <x:c r="M859" s="91"/>
      <x:c r="N859" s="85"/>
      <x:c r="P859" s="86"/>
      <x:c r="Q859" s="32"/>
    </x:row>
    <x:row r="860">
      <x:c r="A860" s="87"/>
      <x:c r="D860" s="32"/>
      <x:c r="I860" s="74"/>
      <x:c r="J860" s="74"/>
      <x:c r="K860" s="74"/>
      <x:c r="L860" s="74"/>
      <x:c r="M860" s="91"/>
      <x:c r="N860" s="85"/>
      <x:c r="P860" s="86"/>
      <x:c r="Q860" s="32"/>
    </x:row>
    <x:row r="861">
      <x:c r="A861" s="87"/>
      <x:c r="D861" s="32"/>
      <x:c r="I861" s="74"/>
      <x:c r="J861" s="74"/>
      <x:c r="K861" s="74"/>
      <x:c r="L861" s="74"/>
      <x:c r="M861" s="91"/>
      <x:c r="N861" s="85"/>
      <x:c r="P861" s="86"/>
      <x:c r="Q861" s="32"/>
    </x:row>
    <x:row r="862">
      <x:c r="A862" s="87"/>
      <x:c r="D862" s="32"/>
      <x:c r="I862" s="74"/>
      <x:c r="J862" s="74"/>
      <x:c r="K862" s="74"/>
      <x:c r="L862" s="74"/>
      <x:c r="M862" s="91"/>
      <x:c r="N862" s="85"/>
      <x:c r="P862" s="86"/>
      <x:c r="Q862" s="32"/>
    </x:row>
    <x:row r="863">
      <x:c r="A863" s="87"/>
      <x:c r="D863" s="32"/>
      <x:c r="I863" s="74"/>
      <x:c r="J863" s="74"/>
      <x:c r="K863" s="74"/>
      <x:c r="L863" s="74"/>
      <x:c r="M863" s="91"/>
      <x:c r="N863" s="85"/>
      <x:c r="P863" s="86"/>
      <x:c r="Q863" s="32"/>
    </x:row>
    <x:row r="864">
      <x:c r="A864" s="87"/>
      <x:c r="D864" s="32"/>
      <x:c r="I864" s="74"/>
      <x:c r="J864" s="74"/>
      <x:c r="K864" s="74"/>
      <x:c r="L864" s="74"/>
      <x:c r="M864" s="91"/>
      <x:c r="N864" s="85"/>
      <x:c r="P864" s="86"/>
      <x:c r="Q864" s="32"/>
    </x:row>
    <x:row r="865">
      <x:c r="A865" s="87"/>
      <x:c r="D865" s="32"/>
      <x:c r="I865" s="74"/>
      <x:c r="J865" s="74"/>
      <x:c r="K865" s="74"/>
      <x:c r="L865" s="74"/>
      <x:c r="M865" s="91"/>
      <x:c r="N865" s="85"/>
      <x:c r="P865" s="86"/>
      <x:c r="Q865" s="32"/>
    </x:row>
    <x:row r="866">
      <x:c r="A866" s="87"/>
      <x:c r="D866" s="32"/>
      <x:c r="I866" s="74"/>
      <x:c r="J866" s="74"/>
      <x:c r="K866" s="74"/>
      <x:c r="L866" s="74"/>
      <x:c r="M866" s="91"/>
      <x:c r="N866" s="85"/>
      <x:c r="P866" s="86"/>
      <x:c r="Q866" s="32"/>
    </x:row>
    <x:row r="867">
      <x:c r="A867" s="87"/>
      <x:c r="D867" s="32"/>
      <x:c r="I867" s="74"/>
      <x:c r="J867" s="74"/>
      <x:c r="K867" s="74"/>
      <x:c r="L867" s="74"/>
      <x:c r="M867" s="91"/>
      <x:c r="N867" s="85"/>
      <x:c r="P867" s="86"/>
      <x:c r="Q867" s="32"/>
    </x:row>
    <x:row r="868">
      <x:c r="A868" s="87"/>
      <x:c r="D868" s="32"/>
      <x:c r="I868" s="74"/>
      <x:c r="J868" s="74"/>
      <x:c r="K868" s="74"/>
      <x:c r="L868" s="74"/>
      <x:c r="M868" s="91"/>
      <x:c r="N868" s="85"/>
      <x:c r="P868" s="86"/>
      <x:c r="Q868" s="32"/>
    </x:row>
    <x:row r="869">
      <x:c r="A869" s="87"/>
      <x:c r="D869" s="32"/>
      <x:c r="I869" s="74"/>
      <x:c r="J869" s="74"/>
      <x:c r="K869" s="74"/>
      <x:c r="L869" s="74"/>
      <x:c r="M869" s="91"/>
      <x:c r="N869" s="85"/>
      <x:c r="P869" s="86"/>
      <x:c r="Q869" s="32"/>
    </x:row>
    <x:row r="870">
      <x:c r="A870" s="87"/>
      <x:c r="D870" s="32"/>
      <x:c r="I870" s="74"/>
      <x:c r="J870" s="74"/>
      <x:c r="K870" s="74"/>
      <x:c r="L870" s="74"/>
      <x:c r="M870" s="91"/>
      <x:c r="N870" s="85"/>
      <x:c r="P870" s="86"/>
      <x:c r="Q870" s="32"/>
    </x:row>
    <x:row r="871">
      <x:c r="A871" s="87"/>
      <x:c r="D871" s="32"/>
      <x:c r="I871" s="74"/>
      <x:c r="J871" s="74"/>
      <x:c r="K871" s="74"/>
      <x:c r="L871" s="74"/>
      <x:c r="M871" s="91"/>
      <x:c r="N871" s="85"/>
      <x:c r="P871" s="86"/>
      <x:c r="Q871" s="32"/>
    </x:row>
    <x:row r="872">
      <x:c r="A872" s="87"/>
      <x:c r="D872" s="32"/>
      <x:c r="I872" s="74"/>
      <x:c r="J872" s="74"/>
      <x:c r="K872" s="74"/>
      <x:c r="L872" s="74"/>
      <x:c r="M872" s="91"/>
      <x:c r="N872" s="85"/>
      <x:c r="P872" s="86"/>
      <x:c r="Q872" s="32"/>
    </x:row>
    <x:row r="873">
      <x:c r="A873" s="87"/>
      <x:c r="D873" s="32"/>
      <x:c r="I873" s="74"/>
      <x:c r="J873" s="74"/>
      <x:c r="K873" s="74"/>
      <x:c r="L873" s="74"/>
      <x:c r="M873" s="91"/>
      <x:c r="N873" s="85"/>
      <x:c r="P873" s="86"/>
      <x:c r="Q873" s="32"/>
    </x:row>
    <x:row r="874">
      <x:c r="A874" s="87"/>
      <x:c r="D874" s="32"/>
      <x:c r="I874" s="74"/>
      <x:c r="J874" s="74"/>
      <x:c r="K874" s="74"/>
      <x:c r="L874" s="74"/>
      <x:c r="M874" s="91"/>
      <x:c r="N874" s="85"/>
      <x:c r="P874" s="86"/>
      <x:c r="Q874" s="32"/>
    </x:row>
    <x:row r="875">
      <x:c r="A875" s="87"/>
      <x:c r="D875" s="32"/>
      <x:c r="I875" s="74"/>
      <x:c r="J875" s="74"/>
      <x:c r="K875" s="74"/>
      <x:c r="L875" s="74"/>
      <x:c r="M875" s="91"/>
      <x:c r="N875" s="85"/>
      <x:c r="P875" s="86"/>
      <x:c r="Q875" s="32"/>
    </x:row>
    <x:row r="876">
      <x:c r="A876" s="87"/>
      <x:c r="D876" s="32"/>
      <x:c r="I876" s="74"/>
      <x:c r="J876" s="74"/>
      <x:c r="K876" s="74"/>
      <x:c r="L876" s="74"/>
      <x:c r="M876" s="91"/>
      <x:c r="N876" s="85"/>
      <x:c r="P876" s="86"/>
      <x:c r="Q876" s="32"/>
    </x:row>
    <x:row r="877">
      <x:c r="A877" s="87"/>
      <x:c r="D877" s="32"/>
      <x:c r="I877" s="74"/>
      <x:c r="J877" s="74"/>
      <x:c r="K877" s="74"/>
      <x:c r="L877" s="74"/>
      <x:c r="M877" s="91"/>
      <x:c r="N877" s="85"/>
      <x:c r="P877" s="86"/>
      <x:c r="Q877" s="32"/>
    </x:row>
    <x:row r="878">
      <x:c r="A878" s="87"/>
      <x:c r="D878" s="32"/>
      <x:c r="I878" s="74"/>
      <x:c r="J878" s="74"/>
      <x:c r="K878" s="74"/>
      <x:c r="L878" s="74"/>
      <x:c r="M878" s="91"/>
      <x:c r="N878" s="85"/>
      <x:c r="P878" s="86"/>
      <x:c r="Q878" s="32"/>
    </x:row>
    <x:row r="879">
      <x:c r="A879" s="87"/>
      <x:c r="D879" s="32"/>
      <x:c r="I879" s="74"/>
      <x:c r="J879" s="74"/>
      <x:c r="K879" s="74"/>
      <x:c r="L879" s="74"/>
      <x:c r="M879" s="91"/>
      <x:c r="N879" s="85"/>
      <x:c r="P879" s="86"/>
      <x:c r="Q879" s="32"/>
    </x:row>
    <x:row r="880">
      <x:c r="A880" s="87"/>
      <x:c r="D880" s="32"/>
      <x:c r="I880" s="74"/>
      <x:c r="J880" s="74"/>
      <x:c r="K880" s="74"/>
      <x:c r="L880" s="74"/>
      <x:c r="M880" s="91"/>
      <x:c r="N880" s="85"/>
      <x:c r="P880" s="86"/>
      <x:c r="Q880" s="32"/>
    </x:row>
    <x:row r="881">
      <x:c r="A881" s="87"/>
      <x:c r="D881" s="32"/>
      <x:c r="I881" s="74"/>
      <x:c r="J881" s="74"/>
      <x:c r="K881" s="74"/>
      <x:c r="L881" s="74"/>
      <x:c r="M881" s="91"/>
      <x:c r="N881" s="85"/>
      <x:c r="P881" s="86"/>
      <x:c r="Q881" s="32"/>
    </x:row>
    <x:row r="882">
      <x:c r="A882" s="87"/>
      <x:c r="D882" s="32"/>
      <x:c r="I882" s="74"/>
      <x:c r="J882" s="74"/>
      <x:c r="K882" s="74"/>
      <x:c r="L882" s="74"/>
      <x:c r="M882" s="91"/>
      <x:c r="N882" s="85"/>
      <x:c r="P882" s="86"/>
      <x:c r="Q882" s="32"/>
    </x:row>
    <x:row r="883">
      <x:c r="A883" s="87"/>
      <x:c r="D883" s="32"/>
      <x:c r="I883" s="74"/>
      <x:c r="J883" s="74"/>
      <x:c r="K883" s="74"/>
      <x:c r="L883" s="74"/>
      <x:c r="M883" s="91"/>
      <x:c r="N883" s="85"/>
      <x:c r="P883" s="86"/>
      <x:c r="Q883" s="32"/>
    </x:row>
    <x:row r="884">
      <x:c r="A884" s="87"/>
      <x:c r="D884" s="32"/>
      <x:c r="I884" s="74"/>
      <x:c r="J884" s="74"/>
      <x:c r="K884" s="74"/>
      <x:c r="L884" s="74"/>
      <x:c r="M884" s="91"/>
      <x:c r="N884" s="85"/>
      <x:c r="P884" s="86"/>
      <x:c r="Q884" s="32"/>
    </x:row>
    <x:row r="885">
      <x:c r="A885" s="87"/>
      <x:c r="D885" s="32"/>
      <x:c r="I885" s="74"/>
      <x:c r="J885" s="74"/>
      <x:c r="K885" s="74"/>
      <x:c r="L885" s="74"/>
      <x:c r="M885" s="91"/>
      <x:c r="N885" s="85"/>
      <x:c r="P885" s="86"/>
      <x:c r="Q885" s="32"/>
    </x:row>
    <x:row r="886">
      <x:c r="A886" s="87"/>
      <x:c r="D886" s="32"/>
      <x:c r="I886" s="74"/>
      <x:c r="J886" s="74"/>
      <x:c r="K886" s="74"/>
      <x:c r="L886" s="74"/>
      <x:c r="M886" s="91"/>
      <x:c r="N886" s="85"/>
      <x:c r="P886" s="86"/>
      <x:c r="Q886" s="32"/>
    </x:row>
    <x:row r="887">
      <x:c r="A887" s="87"/>
      <x:c r="D887" s="32"/>
      <x:c r="I887" s="74"/>
      <x:c r="J887" s="74"/>
      <x:c r="K887" s="74"/>
      <x:c r="L887" s="74"/>
      <x:c r="M887" s="91"/>
      <x:c r="N887" s="85"/>
      <x:c r="P887" s="86"/>
      <x:c r="Q887" s="32"/>
    </x:row>
    <x:row r="888">
      <x:c r="A888" s="87"/>
      <x:c r="D888" s="32"/>
      <x:c r="I888" s="74"/>
      <x:c r="J888" s="74"/>
      <x:c r="K888" s="74"/>
      <x:c r="L888" s="74"/>
      <x:c r="M888" s="91"/>
      <x:c r="N888" s="85"/>
      <x:c r="P888" s="86"/>
      <x:c r="Q888" s="32"/>
    </x:row>
    <x:row r="889">
      <x:c r="A889" s="87"/>
      <x:c r="D889" s="32"/>
      <x:c r="I889" s="74"/>
      <x:c r="J889" s="74"/>
      <x:c r="K889" s="74"/>
      <x:c r="L889" s="74"/>
      <x:c r="M889" s="91"/>
      <x:c r="N889" s="85"/>
      <x:c r="P889" s="86"/>
      <x:c r="Q889" s="32"/>
    </x:row>
    <x:row r="890">
      <x:c r="A890" s="87"/>
      <x:c r="D890" s="32"/>
      <x:c r="I890" s="74"/>
      <x:c r="J890" s="74"/>
      <x:c r="K890" s="74"/>
      <x:c r="L890" s="74"/>
      <x:c r="M890" s="91"/>
      <x:c r="N890" s="85"/>
      <x:c r="P890" s="86"/>
      <x:c r="Q890" s="32"/>
    </x:row>
    <x:row r="891">
      <x:c r="A891" s="87"/>
      <x:c r="D891" s="32"/>
      <x:c r="I891" s="74"/>
      <x:c r="J891" s="74"/>
      <x:c r="K891" s="74"/>
      <x:c r="L891" s="74"/>
      <x:c r="M891" s="91"/>
      <x:c r="N891" s="85"/>
      <x:c r="P891" s="86"/>
      <x:c r="Q891" s="32"/>
    </x:row>
    <x:row r="892">
      <x:c r="A892" s="87"/>
      <x:c r="D892" s="32"/>
      <x:c r="I892" s="74"/>
      <x:c r="J892" s="74"/>
      <x:c r="K892" s="74"/>
      <x:c r="L892" s="74"/>
      <x:c r="M892" s="91"/>
      <x:c r="N892" s="85"/>
      <x:c r="P892" s="86"/>
      <x:c r="Q892" s="32"/>
    </x:row>
    <x:row r="893">
      <x:c r="A893" s="87"/>
      <x:c r="D893" s="32"/>
      <x:c r="I893" s="74"/>
      <x:c r="J893" s="74"/>
      <x:c r="K893" s="74"/>
      <x:c r="L893" s="74"/>
      <x:c r="M893" s="91"/>
      <x:c r="N893" s="85"/>
      <x:c r="P893" s="86"/>
      <x:c r="Q893" s="32"/>
    </x:row>
    <x:row r="894">
      <x:c r="A894" s="87"/>
      <x:c r="D894" s="32"/>
      <x:c r="I894" s="74"/>
      <x:c r="J894" s="74"/>
      <x:c r="K894" s="74"/>
      <x:c r="L894" s="74"/>
      <x:c r="M894" s="91"/>
      <x:c r="N894" s="85"/>
      <x:c r="P894" s="86"/>
      <x:c r="Q894" s="32"/>
    </x:row>
    <x:row r="895">
      <x:c r="A895" s="87"/>
      <x:c r="D895" s="32"/>
      <x:c r="I895" s="74"/>
      <x:c r="J895" s="74"/>
      <x:c r="K895" s="74"/>
      <x:c r="L895" s="74"/>
      <x:c r="M895" s="91"/>
      <x:c r="N895" s="85"/>
      <x:c r="P895" s="86"/>
      <x:c r="Q895" s="32"/>
    </x:row>
    <x:row r="896">
      <x:c r="A896" s="87"/>
      <x:c r="D896" s="32"/>
      <x:c r="I896" s="74"/>
      <x:c r="J896" s="74"/>
      <x:c r="K896" s="74"/>
      <x:c r="L896" s="74"/>
      <x:c r="M896" s="91"/>
      <x:c r="N896" s="85"/>
      <x:c r="P896" s="86"/>
      <x:c r="Q896" s="32"/>
    </x:row>
    <x:row r="897">
      <x:c r="A897" s="87"/>
      <x:c r="D897" s="32"/>
      <x:c r="I897" s="74"/>
      <x:c r="J897" s="74"/>
      <x:c r="K897" s="74"/>
      <x:c r="L897" s="74"/>
      <x:c r="M897" s="91"/>
      <x:c r="N897" s="85"/>
      <x:c r="P897" s="86"/>
      <x:c r="Q897" s="32"/>
    </x:row>
    <x:row r="898">
      <x:c r="A898" s="87"/>
      <x:c r="D898" s="32"/>
      <x:c r="I898" s="74"/>
      <x:c r="J898" s="74"/>
      <x:c r="K898" s="74"/>
      <x:c r="L898" s="74"/>
      <x:c r="M898" s="91"/>
      <x:c r="N898" s="85"/>
      <x:c r="P898" s="86"/>
      <x:c r="Q898" s="32"/>
    </x:row>
    <x:row r="899">
      <x:c r="A899" s="87"/>
      <x:c r="D899" s="32"/>
      <x:c r="I899" s="74"/>
      <x:c r="J899" s="74"/>
      <x:c r="K899" s="74"/>
      <x:c r="L899" s="74"/>
      <x:c r="M899" s="91"/>
      <x:c r="N899" s="85"/>
      <x:c r="P899" s="86"/>
      <x:c r="Q899" s="32"/>
    </x:row>
    <x:row r="900">
      <x:c r="A900" s="87"/>
      <x:c r="D900" s="32"/>
      <x:c r="I900" s="74"/>
      <x:c r="J900" s="74"/>
      <x:c r="K900" s="74"/>
      <x:c r="L900" s="74"/>
      <x:c r="M900" s="91"/>
      <x:c r="N900" s="85"/>
      <x:c r="P900" s="86"/>
      <x:c r="Q900" s="32"/>
    </x:row>
    <x:row r="901">
      <x:c r="A901" s="87"/>
      <x:c r="D901" s="32"/>
      <x:c r="I901" s="74"/>
      <x:c r="J901" s="74"/>
      <x:c r="K901" s="74"/>
      <x:c r="L901" s="74"/>
      <x:c r="M901" s="91"/>
      <x:c r="N901" s="85"/>
      <x:c r="P901" s="86"/>
      <x:c r="Q901" s="32"/>
    </x:row>
    <x:row r="902">
      <x:c r="A902" s="87"/>
      <x:c r="D902" s="32"/>
      <x:c r="I902" s="74"/>
      <x:c r="J902" s="74"/>
      <x:c r="K902" s="74"/>
      <x:c r="L902" s="74"/>
      <x:c r="M902" s="91"/>
      <x:c r="N902" s="85"/>
      <x:c r="P902" s="86"/>
      <x:c r="Q902" s="32"/>
    </x:row>
    <x:row r="903">
      <x:c r="A903" s="87"/>
      <x:c r="D903" s="32"/>
      <x:c r="I903" s="74"/>
      <x:c r="J903" s="74"/>
      <x:c r="K903" s="74"/>
      <x:c r="L903" s="74"/>
      <x:c r="M903" s="91"/>
      <x:c r="N903" s="85"/>
      <x:c r="P903" s="86"/>
      <x:c r="Q903" s="32"/>
    </x:row>
    <x:row r="904">
      <x:c r="A904" s="87"/>
      <x:c r="D904" s="32"/>
      <x:c r="I904" s="74"/>
      <x:c r="J904" s="74"/>
      <x:c r="K904" s="74"/>
      <x:c r="L904" s="74"/>
      <x:c r="M904" s="91"/>
      <x:c r="N904" s="85"/>
      <x:c r="P904" s="86"/>
      <x:c r="Q904" s="32"/>
    </x:row>
    <x:row r="905">
      <x:c r="A905" s="87"/>
      <x:c r="D905" s="32"/>
      <x:c r="I905" s="74"/>
      <x:c r="J905" s="74"/>
      <x:c r="K905" s="74"/>
      <x:c r="L905" s="74"/>
      <x:c r="M905" s="91"/>
      <x:c r="N905" s="85"/>
      <x:c r="P905" s="86"/>
      <x:c r="Q905" s="32"/>
    </x:row>
    <x:row r="906">
      <x:c r="A906" s="87"/>
      <x:c r="D906" s="32"/>
      <x:c r="I906" s="74"/>
      <x:c r="J906" s="74"/>
      <x:c r="K906" s="74"/>
      <x:c r="L906" s="74"/>
      <x:c r="M906" s="91"/>
      <x:c r="N906" s="85"/>
      <x:c r="P906" s="86"/>
      <x:c r="Q906" s="32"/>
    </x:row>
    <x:row r="907">
      <x:c r="A907" s="87"/>
      <x:c r="D907" s="32"/>
      <x:c r="I907" s="74"/>
      <x:c r="J907" s="74"/>
      <x:c r="K907" s="74"/>
      <x:c r="L907" s="74"/>
      <x:c r="M907" s="91"/>
      <x:c r="N907" s="85"/>
      <x:c r="P907" s="86"/>
      <x:c r="Q907" s="32"/>
    </x:row>
    <x:row r="908">
      <x:c r="A908" s="87"/>
      <x:c r="D908" s="32"/>
      <x:c r="I908" s="74"/>
      <x:c r="J908" s="74"/>
      <x:c r="K908" s="74"/>
      <x:c r="L908" s="74"/>
      <x:c r="M908" s="91"/>
      <x:c r="N908" s="85"/>
      <x:c r="P908" s="86"/>
      <x:c r="Q908" s="32"/>
    </x:row>
    <x:row r="909">
      <x:c r="A909" s="87"/>
      <x:c r="D909" s="32"/>
      <x:c r="I909" s="74"/>
      <x:c r="J909" s="74"/>
      <x:c r="K909" s="74"/>
      <x:c r="L909" s="74"/>
      <x:c r="M909" s="91"/>
      <x:c r="N909" s="85"/>
      <x:c r="P909" s="86"/>
      <x:c r="Q909" s="32"/>
    </x:row>
    <x:row r="910">
      <x:c r="A910" s="87"/>
      <x:c r="D910" s="32"/>
      <x:c r="I910" s="74"/>
      <x:c r="J910" s="74"/>
      <x:c r="K910" s="74"/>
      <x:c r="L910" s="74"/>
      <x:c r="M910" s="91"/>
      <x:c r="N910" s="85"/>
      <x:c r="P910" s="86"/>
      <x:c r="Q910" s="32"/>
    </x:row>
    <x:row r="911">
      <x:c r="A911" s="87"/>
      <x:c r="D911" s="32"/>
      <x:c r="I911" s="74"/>
      <x:c r="J911" s="74"/>
      <x:c r="K911" s="74"/>
      <x:c r="L911" s="74"/>
      <x:c r="M911" s="91"/>
      <x:c r="N911" s="85"/>
      <x:c r="P911" s="86"/>
      <x:c r="Q911" s="32"/>
    </x:row>
    <x:row r="912">
      <x:c r="A912" s="87"/>
      <x:c r="D912" s="32"/>
      <x:c r="I912" s="74"/>
      <x:c r="J912" s="74"/>
      <x:c r="K912" s="74"/>
      <x:c r="L912" s="74"/>
      <x:c r="M912" s="91"/>
      <x:c r="N912" s="85"/>
      <x:c r="P912" s="86"/>
      <x:c r="Q912" s="32"/>
    </x:row>
    <x:row r="913">
      <x:c r="A913" s="87"/>
      <x:c r="D913" s="32"/>
      <x:c r="I913" s="74"/>
      <x:c r="J913" s="74"/>
      <x:c r="K913" s="74"/>
      <x:c r="L913" s="74"/>
      <x:c r="M913" s="91"/>
      <x:c r="N913" s="85"/>
      <x:c r="P913" s="86"/>
      <x:c r="Q913" s="32"/>
    </x:row>
    <x:row r="914">
      <x:c r="A914" s="87"/>
      <x:c r="D914" s="32"/>
      <x:c r="I914" s="74"/>
      <x:c r="J914" s="74"/>
      <x:c r="K914" s="74"/>
      <x:c r="L914" s="74"/>
      <x:c r="M914" s="91"/>
      <x:c r="N914" s="85"/>
      <x:c r="P914" s="86"/>
      <x:c r="Q914" s="32"/>
    </x:row>
    <x:row r="915">
      <x:c r="A915" s="87"/>
      <x:c r="D915" s="32"/>
      <x:c r="I915" s="74"/>
      <x:c r="J915" s="74"/>
      <x:c r="K915" s="74"/>
      <x:c r="L915" s="74"/>
      <x:c r="M915" s="91"/>
      <x:c r="N915" s="85"/>
      <x:c r="P915" s="86"/>
      <x:c r="Q915" s="32"/>
    </x:row>
    <x:row r="916">
      <x:c r="A916" s="87"/>
      <x:c r="D916" s="32"/>
      <x:c r="I916" s="74"/>
      <x:c r="J916" s="74"/>
      <x:c r="K916" s="74"/>
      <x:c r="L916" s="74"/>
      <x:c r="M916" s="91"/>
      <x:c r="N916" s="85"/>
      <x:c r="P916" s="86"/>
      <x:c r="Q916" s="32"/>
    </x:row>
    <x:row r="917">
      <x:c r="A917" s="87"/>
      <x:c r="D917" s="32"/>
      <x:c r="I917" s="74"/>
      <x:c r="J917" s="74"/>
      <x:c r="K917" s="74"/>
      <x:c r="L917" s="74"/>
      <x:c r="M917" s="91"/>
      <x:c r="N917" s="85"/>
      <x:c r="P917" s="86"/>
      <x:c r="Q917" s="32"/>
    </x:row>
    <x:row r="918">
      <x:c r="A918" s="87"/>
      <x:c r="D918" s="32"/>
      <x:c r="I918" s="74"/>
      <x:c r="J918" s="74"/>
      <x:c r="K918" s="74"/>
      <x:c r="L918" s="74"/>
      <x:c r="M918" s="91"/>
      <x:c r="N918" s="85"/>
      <x:c r="P918" s="86"/>
      <x:c r="Q918" s="32"/>
    </x:row>
    <x:row r="919">
      <x:c r="A919" s="87"/>
      <x:c r="D919" s="32"/>
      <x:c r="I919" s="74"/>
      <x:c r="J919" s="74"/>
      <x:c r="K919" s="74"/>
      <x:c r="L919" s="74"/>
      <x:c r="M919" s="91"/>
      <x:c r="N919" s="85"/>
      <x:c r="P919" s="86"/>
      <x:c r="Q919" s="32"/>
    </x:row>
    <x:row r="920">
      <x:c r="A920" s="87"/>
      <x:c r="D920" s="32"/>
      <x:c r="I920" s="74"/>
      <x:c r="J920" s="74"/>
      <x:c r="K920" s="74"/>
      <x:c r="L920" s="74"/>
      <x:c r="M920" s="91"/>
      <x:c r="N920" s="85"/>
      <x:c r="P920" s="86"/>
      <x:c r="Q920" s="32"/>
    </x:row>
    <x:row r="921">
      <x:c r="A921" s="87"/>
      <x:c r="D921" s="32"/>
      <x:c r="I921" s="74"/>
      <x:c r="J921" s="74"/>
      <x:c r="K921" s="74"/>
      <x:c r="L921" s="74"/>
      <x:c r="M921" s="91"/>
      <x:c r="N921" s="85"/>
      <x:c r="P921" s="86"/>
      <x:c r="Q921" s="32"/>
    </x:row>
    <x:row r="922">
      <x:c r="A922" s="87"/>
      <x:c r="D922" s="32"/>
      <x:c r="I922" s="74"/>
      <x:c r="J922" s="74"/>
      <x:c r="K922" s="74"/>
      <x:c r="L922" s="74"/>
      <x:c r="M922" s="91"/>
      <x:c r="N922" s="85"/>
      <x:c r="P922" s="86"/>
      <x:c r="Q922" s="32"/>
    </x:row>
    <x:row r="923">
      <x:c r="A923" s="87"/>
      <x:c r="D923" s="32"/>
      <x:c r="I923" s="74"/>
      <x:c r="J923" s="74"/>
      <x:c r="K923" s="74"/>
      <x:c r="L923" s="74"/>
      <x:c r="M923" s="91"/>
      <x:c r="N923" s="85"/>
      <x:c r="P923" s="86"/>
      <x:c r="Q923" s="32"/>
    </x:row>
    <x:row r="924">
      <x:c r="A924" s="87"/>
      <x:c r="D924" s="32"/>
      <x:c r="I924" s="74"/>
      <x:c r="J924" s="74"/>
      <x:c r="K924" s="74"/>
      <x:c r="L924" s="74"/>
      <x:c r="M924" s="91"/>
      <x:c r="N924" s="85"/>
      <x:c r="P924" s="86"/>
      <x:c r="Q924" s="32"/>
    </x:row>
    <x:row r="925">
      <x:c r="A925" s="87"/>
      <x:c r="D925" s="32"/>
      <x:c r="I925" s="74"/>
      <x:c r="J925" s="74"/>
      <x:c r="K925" s="74"/>
      <x:c r="L925" s="74"/>
      <x:c r="M925" s="91"/>
      <x:c r="N925" s="85"/>
      <x:c r="P925" s="86"/>
      <x:c r="Q925" s="32"/>
    </x:row>
    <x:row r="926">
      <x:c r="A926" s="87"/>
      <x:c r="D926" s="32"/>
      <x:c r="I926" s="74"/>
      <x:c r="J926" s="74"/>
      <x:c r="K926" s="74"/>
      <x:c r="L926" s="74"/>
      <x:c r="M926" s="91"/>
      <x:c r="N926" s="85"/>
      <x:c r="P926" s="86"/>
      <x:c r="Q926" s="32"/>
    </x:row>
    <x:row r="927">
      <x:c r="A927" s="87"/>
      <x:c r="D927" s="32"/>
      <x:c r="I927" s="74"/>
      <x:c r="J927" s="74"/>
      <x:c r="K927" s="74"/>
      <x:c r="L927" s="74"/>
      <x:c r="M927" s="91"/>
      <x:c r="N927" s="85"/>
      <x:c r="P927" s="86"/>
      <x:c r="Q927" s="32"/>
    </x:row>
    <x:row r="928">
      <x:c r="A928" s="87"/>
      <x:c r="D928" s="32"/>
      <x:c r="I928" s="74"/>
      <x:c r="J928" s="74"/>
      <x:c r="K928" s="74"/>
      <x:c r="L928" s="74"/>
      <x:c r="M928" s="91"/>
      <x:c r="N928" s="85"/>
      <x:c r="P928" s="86"/>
      <x:c r="Q928" s="32"/>
    </x:row>
    <x:row r="929">
      <x:c r="A929" s="87"/>
      <x:c r="D929" s="32"/>
      <x:c r="I929" s="74"/>
      <x:c r="J929" s="74"/>
      <x:c r="K929" s="74"/>
      <x:c r="L929" s="74"/>
      <x:c r="M929" s="91"/>
      <x:c r="N929" s="85"/>
      <x:c r="P929" s="86"/>
      <x:c r="Q929" s="32"/>
    </x:row>
    <x:row r="930">
      <x:c r="A930" s="87"/>
      <x:c r="D930" s="32"/>
      <x:c r="I930" s="74"/>
      <x:c r="J930" s="74"/>
      <x:c r="K930" s="74"/>
      <x:c r="L930" s="74"/>
      <x:c r="M930" s="91"/>
      <x:c r="N930" s="85"/>
      <x:c r="P930" s="86"/>
      <x:c r="Q930" s="32"/>
    </x:row>
    <x:row r="931">
      <x:c r="A931" s="87"/>
      <x:c r="D931" s="32"/>
      <x:c r="I931" s="74"/>
      <x:c r="J931" s="74"/>
      <x:c r="K931" s="74"/>
      <x:c r="L931" s="74"/>
      <x:c r="M931" s="91"/>
      <x:c r="N931" s="85"/>
      <x:c r="P931" s="86"/>
      <x:c r="Q931" s="32"/>
    </x:row>
    <x:row r="932">
      <x:c r="A932" s="87"/>
      <x:c r="D932" s="32"/>
      <x:c r="I932" s="74"/>
      <x:c r="J932" s="74"/>
      <x:c r="K932" s="74"/>
      <x:c r="L932" s="74"/>
      <x:c r="M932" s="91"/>
      <x:c r="N932" s="85"/>
      <x:c r="P932" s="86"/>
      <x:c r="Q932" s="32"/>
    </x:row>
    <x:row r="933">
      <x:c r="A933" s="87"/>
      <x:c r="D933" s="32"/>
      <x:c r="I933" s="74"/>
      <x:c r="J933" s="74"/>
      <x:c r="K933" s="74"/>
      <x:c r="L933" s="74"/>
      <x:c r="M933" s="91"/>
      <x:c r="N933" s="85"/>
      <x:c r="P933" s="86"/>
      <x:c r="Q933" s="32"/>
    </x:row>
    <x:row r="934">
      <x:c r="A934" s="87"/>
      <x:c r="D934" s="32"/>
      <x:c r="I934" s="74"/>
      <x:c r="J934" s="74"/>
      <x:c r="K934" s="74"/>
      <x:c r="L934" s="74"/>
      <x:c r="M934" s="91"/>
      <x:c r="N934" s="85"/>
      <x:c r="P934" s="86"/>
      <x:c r="Q934" s="32"/>
    </x:row>
    <x:row r="935">
      <x:c r="A935" s="87"/>
      <x:c r="D935" s="32"/>
      <x:c r="I935" s="74"/>
      <x:c r="J935" s="74"/>
      <x:c r="K935" s="74"/>
      <x:c r="L935" s="74"/>
      <x:c r="M935" s="91"/>
      <x:c r="N935" s="85"/>
      <x:c r="P935" s="86"/>
      <x:c r="Q935" s="32"/>
    </x:row>
    <x:row r="936">
      <x:c r="A936" s="87"/>
      <x:c r="D936" s="32"/>
      <x:c r="I936" s="74"/>
      <x:c r="J936" s="74"/>
      <x:c r="K936" s="74"/>
      <x:c r="L936" s="74"/>
      <x:c r="M936" s="91"/>
      <x:c r="N936" s="85"/>
      <x:c r="P936" s="86"/>
      <x:c r="Q936" s="32"/>
    </x:row>
    <x:row r="937">
      <x:c r="A937" s="87"/>
      <x:c r="D937" s="32"/>
      <x:c r="I937" s="74"/>
      <x:c r="J937" s="74"/>
      <x:c r="K937" s="74"/>
      <x:c r="L937" s="74"/>
      <x:c r="M937" s="91"/>
      <x:c r="N937" s="85"/>
      <x:c r="P937" s="86"/>
      <x:c r="Q937" s="32"/>
    </x:row>
    <x:row r="938">
      <x:c r="A938" s="87"/>
      <x:c r="D938" s="32"/>
      <x:c r="I938" s="74"/>
      <x:c r="J938" s="74"/>
      <x:c r="K938" s="74"/>
      <x:c r="L938" s="74"/>
      <x:c r="M938" s="91"/>
      <x:c r="N938" s="85"/>
      <x:c r="P938" s="86"/>
      <x:c r="Q938" s="32"/>
    </x:row>
    <x:row r="939">
      <x:c r="A939" s="87"/>
      <x:c r="D939" s="32"/>
      <x:c r="I939" s="74"/>
      <x:c r="J939" s="74"/>
      <x:c r="K939" s="74"/>
      <x:c r="L939" s="74"/>
      <x:c r="M939" s="91"/>
      <x:c r="N939" s="85"/>
      <x:c r="P939" s="86"/>
      <x:c r="Q939" s="32"/>
    </x:row>
    <x:row r="940">
      <x:c r="A940" s="87"/>
      <x:c r="D940" s="32"/>
      <x:c r="I940" s="74"/>
      <x:c r="J940" s="74"/>
      <x:c r="K940" s="74"/>
      <x:c r="L940" s="74"/>
      <x:c r="M940" s="91"/>
      <x:c r="N940" s="85"/>
      <x:c r="P940" s="86"/>
      <x:c r="Q940" s="32"/>
    </x:row>
    <x:row r="941">
      <x:c r="A941" s="87"/>
      <x:c r="D941" s="32"/>
      <x:c r="I941" s="74"/>
      <x:c r="J941" s="74"/>
      <x:c r="K941" s="74"/>
      <x:c r="L941" s="74"/>
      <x:c r="M941" s="91"/>
      <x:c r="N941" s="85"/>
      <x:c r="P941" s="86"/>
      <x:c r="Q941" s="32"/>
    </x:row>
    <x:row r="942">
      <x:c r="A942" s="87"/>
      <x:c r="D942" s="32"/>
      <x:c r="I942" s="74"/>
      <x:c r="J942" s="74"/>
      <x:c r="K942" s="74"/>
      <x:c r="L942" s="74"/>
      <x:c r="M942" s="91"/>
      <x:c r="N942" s="85"/>
      <x:c r="P942" s="86"/>
      <x:c r="Q942" s="32"/>
    </x:row>
    <x:row r="943">
      <x:c r="A943" s="87"/>
      <x:c r="D943" s="32"/>
      <x:c r="I943" s="74"/>
      <x:c r="J943" s="74"/>
      <x:c r="K943" s="74"/>
      <x:c r="L943" s="74"/>
      <x:c r="M943" s="91"/>
      <x:c r="N943" s="85"/>
      <x:c r="P943" s="86"/>
      <x:c r="Q943" s="32"/>
    </x:row>
    <x:row r="944">
      <x:c r="A944" s="87"/>
      <x:c r="D944" s="32"/>
      <x:c r="I944" s="74"/>
      <x:c r="J944" s="74"/>
      <x:c r="K944" s="74"/>
      <x:c r="L944" s="74"/>
      <x:c r="M944" s="91"/>
      <x:c r="N944" s="85"/>
      <x:c r="P944" s="86"/>
      <x:c r="Q944" s="32"/>
    </x:row>
    <x:row r="945">
      <x:c r="A945" s="87"/>
      <x:c r="D945" s="32"/>
      <x:c r="I945" s="74"/>
      <x:c r="J945" s="74"/>
      <x:c r="K945" s="74"/>
      <x:c r="L945" s="74"/>
      <x:c r="M945" s="91"/>
      <x:c r="N945" s="85"/>
      <x:c r="P945" s="86"/>
      <x:c r="Q945" s="32"/>
    </x:row>
    <x:row r="946">
      <x:c r="A946" s="87"/>
      <x:c r="D946" s="32"/>
      <x:c r="I946" s="74"/>
      <x:c r="J946" s="74"/>
      <x:c r="K946" s="74"/>
      <x:c r="L946" s="74"/>
      <x:c r="M946" s="91"/>
      <x:c r="N946" s="85"/>
      <x:c r="P946" s="86"/>
      <x:c r="Q946" s="32"/>
    </x:row>
    <x:row r="947">
      <x:c r="A947" s="87"/>
      <x:c r="D947" s="32"/>
      <x:c r="I947" s="74"/>
      <x:c r="J947" s="74"/>
      <x:c r="K947" s="74"/>
      <x:c r="L947" s="74"/>
      <x:c r="M947" s="91"/>
      <x:c r="N947" s="85"/>
      <x:c r="P947" s="86"/>
      <x:c r="Q947" s="32"/>
    </x:row>
    <x:row r="948">
      <x:c r="A948" s="87"/>
      <x:c r="D948" s="32"/>
      <x:c r="I948" s="74"/>
      <x:c r="J948" s="74"/>
      <x:c r="K948" s="74"/>
      <x:c r="L948" s="74"/>
      <x:c r="M948" s="91"/>
      <x:c r="N948" s="85"/>
      <x:c r="P948" s="86"/>
      <x:c r="Q948" s="32"/>
    </x:row>
    <x:row r="949">
      <x:c r="A949" s="87"/>
      <x:c r="D949" s="32"/>
      <x:c r="I949" s="74"/>
      <x:c r="J949" s="74"/>
      <x:c r="K949" s="74"/>
      <x:c r="L949" s="74"/>
      <x:c r="M949" s="91"/>
      <x:c r="N949" s="85"/>
      <x:c r="P949" s="86"/>
      <x:c r="Q949" s="32"/>
    </x:row>
    <x:row r="950">
      <x:c r="A950" s="87"/>
      <x:c r="D950" s="32"/>
      <x:c r="I950" s="74"/>
      <x:c r="J950" s="74"/>
      <x:c r="K950" s="74"/>
      <x:c r="L950" s="74"/>
      <x:c r="M950" s="91"/>
      <x:c r="N950" s="85"/>
      <x:c r="P950" s="86"/>
      <x:c r="Q950" s="32"/>
    </x:row>
    <x:row r="951">
      <x:c r="A951" s="87"/>
      <x:c r="D951" s="32"/>
      <x:c r="I951" s="74"/>
      <x:c r="J951" s="74"/>
      <x:c r="K951" s="74"/>
      <x:c r="L951" s="74"/>
      <x:c r="M951" s="91"/>
      <x:c r="N951" s="85"/>
      <x:c r="P951" s="86"/>
      <x:c r="Q951" s="32"/>
    </x:row>
    <x:row r="952">
      <x:c r="A952" s="87"/>
      <x:c r="D952" s="32"/>
      <x:c r="I952" s="74"/>
      <x:c r="J952" s="74"/>
      <x:c r="K952" s="74"/>
      <x:c r="L952" s="74"/>
      <x:c r="M952" s="91"/>
      <x:c r="N952" s="85"/>
      <x:c r="P952" s="86"/>
      <x:c r="Q952" s="32"/>
    </x:row>
    <x:row r="953">
      <x:c r="A953" s="87"/>
      <x:c r="D953" s="32"/>
      <x:c r="I953" s="74"/>
      <x:c r="J953" s="74"/>
      <x:c r="K953" s="74"/>
      <x:c r="L953" s="74"/>
      <x:c r="M953" s="91"/>
      <x:c r="N953" s="85"/>
      <x:c r="P953" s="86"/>
      <x:c r="Q953" s="32"/>
    </x:row>
    <x:row r="954">
      <x:c r="A954" s="87"/>
      <x:c r="D954" s="32"/>
      <x:c r="I954" s="74"/>
      <x:c r="J954" s="74"/>
      <x:c r="K954" s="74"/>
      <x:c r="L954" s="74"/>
      <x:c r="M954" s="91"/>
      <x:c r="N954" s="85"/>
      <x:c r="P954" s="86"/>
      <x:c r="Q954" s="32"/>
    </x:row>
    <x:row r="955">
      <x:c r="A955" s="87"/>
      <x:c r="D955" s="32"/>
      <x:c r="I955" s="74"/>
      <x:c r="J955" s="74"/>
      <x:c r="K955" s="74"/>
      <x:c r="L955" s="74"/>
      <x:c r="M955" s="91"/>
      <x:c r="N955" s="85"/>
      <x:c r="P955" s="86"/>
      <x:c r="Q955" s="32"/>
    </x:row>
    <x:row r="956">
      <x:c r="A956" s="87"/>
      <x:c r="D956" s="32"/>
      <x:c r="I956" s="74"/>
      <x:c r="J956" s="74"/>
      <x:c r="K956" s="74"/>
      <x:c r="L956" s="74"/>
      <x:c r="M956" s="91"/>
      <x:c r="N956" s="85"/>
      <x:c r="P956" s="86"/>
      <x:c r="Q956" s="32"/>
    </x:row>
    <x:row r="957">
      <x:c r="A957" s="87"/>
      <x:c r="D957" s="32"/>
      <x:c r="I957" s="74"/>
      <x:c r="J957" s="74"/>
      <x:c r="K957" s="74"/>
      <x:c r="L957" s="74"/>
      <x:c r="M957" s="91"/>
      <x:c r="N957" s="85"/>
      <x:c r="P957" s="86"/>
      <x:c r="Q957" s="32"/>
    </x:row>
    <x:row r="958">
      <x:c r="A958" s="87"/>
      <x:c r="D958" s="32"/>
      <x:c r="I958" s="74"/>
      <x:c r="J958" s="74"/>
      <x:c r="K958" s="74"/>
      <x:c r="L958" s="74"/>
      <x:c r="M958" s="91"/>
      <x:c r="N958" s="85"/>
      <x:c r="P958" s="86"/>
      <x:c r="Q958" s="32"/>
    </x:row>
    <x:row r="959">
      <x:c r="A959" s="87"/>
      <x:c r="D959" s="32"/>
      <x:c r="I959" s="74"/>
      <x:c r="J959" s="74"/>
      <x:c r="K959" s="74"/>
      <x:c r="L959" s="74"/>
      <x:c r="M959" s="91"/>
      <x:c r="N959" s="85"/>
      <x:c r="P959" s="86"/>
      <x:c r="Q959" s="32"/>
    </x:row>
    <x:row r="960">
      <x:c r="A960" s="87"/>
      <x:c r="D960" s="32"/>
      <x:c r="I960" s="74"/>
      <x:c r="J960" s="74"/>
      <x:c r="K960" s="74"/>
      <x:c r="L960" s="74"/>
      <x:c r="M960" s="91"/>
      <x:c r="N960" s="85"/>
      <x:c r="P960" s="86"/>
      <x:c r="Q960" s="32"/>
    </x:row>
    <x:row r="961">
      <x:c r="A961" s="87"/>
      <x:c r="D961" s="32"/>
      <x:c r="I961" s="74"/>
      <x:c r="J961" s="74"/>
      <x:c r="K961" s="74"/>
      <x:c r="L961" s="74"/>
      <x:c r="M961" s="91"/>
      <x:c r="N961" s="85"/>
      <x:c r="P961" s="86"/>
      <x:c r="Q961" s="32"/>
    </x:row>
    <x:row r="962">
      <x:c r="A962" s="87"/>
      <x:c r="D962" s="32"/>
      <x:c r="I962" s="74"/>
      <x:c r="J962" s="74"/>
      <x:c r="K962" s="74"/>
      <x:c r="L962" s="74"/>
      <x:c r="M962" s="91"/>
      <x:c r="N962" s="85"/>
      <x:c r="P962" s="86"/>
      <x:c r="Q962" s="32"/>
    </x:row>
    <x:row r="963">
      <x:c r="A963" s="87"/>
      <x:c r="D963" s="32"/>
      <x:c r="I963" s="74"/>
      <x:c r="J963" s="74"/>
      <x:c r="K963" s="74"/>
      <x:c r="L963" s="74"/>
      <x:c r="M963" s="91"/>
      <x:c r="N963" s="85"/>
      <x:c r="P963" s="86"/>
      <x:c r="Q963" s="32"/>
    </x:row>
    <x:row r="964">
      <x:c r="A964" s="87"/>
      <x:c r="D964" s="32"/>
      <x:c r="I964" s="74"/>
      <x:c r="J964" s="74"/>
      <x:c r="K964" s="74"/>
      <x:c r="L964" s="74"/>
      <x:c r="M964" s="91"/>
      <x:c r="N964" s="85"/>
      <x:c r="P964" s="86"/>
      <x:c r="Q964" s="32"/>
    </x:row>
    <x:row r="965">
      <x:c r="A965" s="87"/>
      <x:c r="D965" s="32"/>
      <x:c r="I965" s="74"/>
      <x:c r="J965" s="74"/>
      <x:c r="K965" s="74"/>
      <x:c r="L965" s="74"/>
      <x:c r="M965" s="91"/>
      <x:c r="N965" s="85"/>
      <x:c r="P965" s="86"/>
      <x:c r="Q965" s="32"/>
    </x:row>
    <x:row r="966">
      <x:c r="A966" s="87"/>
      <x:c r="D966" s="32"/>
      <x:c r="I966" s="74"/>
      <x:c r="J966" s="74"/>
      <x:c r="K966" s="74"/>
      <x:c r="L966" s="74"/>
      <x:c r="M966" s="91"/>
      <x:c r="N966" s="85"/>
      <x:c r="P966" s="86"/>
      <x:c r="Q966" s="32"/>
    </x:row>
    <x:row r="967">
      <x:c r="A967" s="87"/>
      <x:c r="D967" s="32"/>
      <x:c r="I967" s="74"/>
      <x:c r="J967" s="74"/>
      <x:c r="K967" s="74"/>
      <x:c r="L967" s="74"/>
      <x:c r="M967" s="91"/>
      <x:c r="N967" s="85"/>
      <x:c r="P967" s="86"/>
      <x:c r="Q967" s="32"/>
    </x:row>
    <x:row r="968">
      <x:c r="A968" s="87"/>
      <x:c r="D968" s="32"/>
      <x:c r="I968" s="74"/>
      <x:c r="J968" s="74"/>
      <x:c r="K968" s="74"/>
      <x:c r="L968" s="74"/>
      <x:c r="M968" s="91"/>
      <x:c r="N968" s="85"/>
      <x:c r="P968" s="86"/>
      <x:c r="Q968" s="32"/>
    </x:row>
    <x:row r="969">
      <x:c r="A969" s="87"/>
      <x:c r="D969" s="32"/>
      <x:c r="I969" s="74"/>
      <x:c r="J969" s="74"/>
      <x:c r="K969" s="74"/>
      <x:c r="L969" s="74"/>
      <x:c r="M969" s="91"/>
      <x:c r="N969" s="85"/>
      <x:c r="P969" s="86"/>
      <x:c r="Q969" s="32"/>
    </x:row>
    <x:row r="970">
      <x:c r="A970" s="87"/>
      <x:c r="D970" s="32"/>
      <x:c r="I970" s="74"/>
      <x:c r="J970" s="74"/>
      <x:c r="K970" s="74"/>
      <x:c r="L970" s="74"/>
      <x:c r="M970" s="91"/>
      <x:c r="N970" s="85"/>
      <x:c r="P970" s="86"/>
      <x:c r="Q970" s="32"/>
    </x:row>
    <x:row r="971">
      <x:c r="A971" s="87"/>
      <x:c r="D971" s="32"/>
      <x:c r="I971" s="74"/>
      <x:c r="J971" s="74"/>
      <x:c r="K971" s="74"/>
      <x:c r="L971" s="74"/>
      <x:c r="M971" s="91"/>
      <x:c r="N971" s="85"/>
      <x:c r="P971" s="86"/>
      <x:c r="Q971" s="32"/>
    </x:row>
    <x:row r="972">
      <x:c r="A972" s="87"/>
      <x:c r="D972" s="32"/>
      <x:c r="I972" s="74"/>
      <x:c r="J972" s="74"/>
      <x:c r="K972" s="74"/>
      <x:c r="L972" s="74"/>
      <x:c r="M972" s="91"/>
      <x:c r="N972" s="85"/>
      <x:c r="P972" s="86"/>
      <x:c r="Q972" s="32"/>
    </x:row>
    <x:row r="973">
      <x:c r="A973" s="87"/>
      <x:c r="D973" s="32"/>
      <x:c r="I973" s="74"/>
      <x:c r="J973" s="74"/>
      <x:c r="K973" s="74"/>
      <x:c r="L973" s="74"/>
      <x:c r="M973" s="91"/>
      <x:c r="N973" s="85"/>
      <x:c r="P973" s="86"/>
      <x:c r="Q973" s="32"/>
    </x:row>
    <x:row r="974">
      <x:c r="A974" s="87"/>
      <x:c r="D974" s="32"/>
      <x:c r="I974" s="74"/>
      <x:c r="J974" s="74"/>
      <x:c r="K974" s="74"/>
      <x:c r="L974" s="74"/>
      <x:c r="M974" s="91"/>
      <x:c r="N974" s="85"/>
      <x:c r="P974" s="86"/>
      <x:c r="Q974" s="32"/>
    </x:row>
    <x:row r="975">
      <x:c r="A975" s="87"/>
      <x:c r="D975" s="32"/>
      <x:c r="I975" s="74"/>
      <x:c r="J975" s="74"/>
      <x:c r="K975" s="74"/>
      <x:c r="L975" s="74"/>
      <x:c r="M975" s="91"/>
      <x:c r="N975" s="85"/>
      <x:c r="P975" s="86"/>
      <x:c r="Q975" s="32"/>
    </x:row>
    <x:row r="976">
      <x:c r="A976" s="87"/>
      <x:c r="D976" s="32"/>
      <x:c r="I976" s="74"/>
      <x:c r="J976" s="74"/>
      <x:c r="K976" s="74"/>
      <x:c r="L976" s="74"/>
      <x:c r="M976" s="91"/>
      <x:c r="N976" s="85"/>
      <x:c r="P976" s="86"/>
      <x:c r="Q976" s="32"/>
    </x:row>
    <x:row r="977">
      <x:c r="A977" s="87"/>
      <x:c r="D977" s="32"/>
      <x:c r="I977" s="74"/>
      <x:c r="J977" s="74"/>
      <x:c r="K977" s="74"/>
      <x:c r="L977" s="74"/>
      <x:c r="M977" s="91"/>
      <x:c r="N977" s="85"/>
      <x:c r="P977" s="86"/>
      <x:c r="Q977" s="32"/>
    </x:row>
    <x:row r="978">
      <x:c r="A978" s="87"/>
      <x:c r="D978" s="32"/>
      <x:c r="I978" s="74"/>
      <x:c r="J978" s="74"/>
      <x:c r="K978" s="74"/>
      <x:c r="L978" s="74"/>
      <x:c r="M978" s="91"/>
      <x:c r="N978" s="85"/>
      <x:c r="P978" s="86"/>
      <x:c r="Q978" s="32"/>
    </x:row>
    <x:row r="979">
      <x:c r="A979" s="87"/>
      <x:c r="D979" s="32"/>
      <x:c r="I979" s="74"/>
      <x:c r="J979" s="74"/>
      <x:c r="K979" s="74"/>
      <x:c r="L979" s="74"/>
      <x:c r="M979" s="91"/>
      <x:c r="N979" s="85"/>
      <x:c r="P979" s="86"/>
      <x:c r="Q979" s="32"/>
    </x:row>
    <x:row r="980">
      <x:c r="A980" s="87"/>
      <x:c r="D980" s="32"/>
      <x:c r="I980" s="74"/>
      <x:c r="J980" s="74"/>
      <x:c r="K980" s="74"/>
      <x:c r="L980" s="74"/>
      <x:c r="M980" s="91"/>
      <x:c r="N980" s="85"/>
      <x:c r="P980" s="86"/>
      <x:c r="Q980" s="32"/>
    </x:row>
    <x:row r="981">
      <x:c r="A981" s="87"/>
      <x:c r="D981" s="32"/>
      <x:c r="I981" s="74"/>
      <x:c r="J981" s="74"/>
      <x:c r="K981" s="74"/>
      <x:c r="L981" s="74"/>
      <x:c r="M981" s="91"/>
      <x:c r="N981" s="85"/>
      <x:c r="P981" s="86"/>
      <x:c r="Q981" s="32"/>
    </x:row>
    <x:row r="982">
      <x:c r="A982" s="87"/>
      <x:c r="D982" s="32"/>
      <x:c r="I982" s="74"/>
      <x:c r="J982" s="74"/>
      <x:c r="K982" s="74"/>
      <x:c r="L982" s="74"/>
      <x:c r="M982" s="91"/>
      <x:c r="N982" s="85"/>
      <x:c r="P982" s="86"/>
      <x:c r="Q982" s="32"/>
    </x:row>
    <x:row r="983">
      <x:c r="A983" s="87"/>
      <x:c r="D983" s="32"/>
      <x:c r="I983" s="74"/>
      <x:c r="J983" s="74"/>
      <x:c r="K983" s="74"/>
      <x:c r="L983" s="74"/>
      <x:c r="M983" s="91"/>
      <x:c r="N983" s="85"/>
      <x:c r="P983" s="86"/>
      <x:c r="Q983" s="32"/>
    </x:row>
    <x:row r="984">
      <x:c r="A984" s="87"/>
      <x:c r="D984" s="32"/>
      <x:c r="I984" s="74"/>
      <x:c r="J984" s="74"/>
      <x:c r="K984" s="74"/>
      <x:c r="L984" s="74"/>
      <x:c r="M984" s="91"/>
      <x:c r="N984" s="85"/>
      <x:c r="P984" s="86"/>
      <x:c r="Q984" s="32"/>
    </x:row>
    <x:row r="985">
      <x:c r="A985" s="87"/>
      <x:c r="D985" s="32"/>
      <x:c r="I985" s="74"/>
      <x:c r="J985" s="74"/>
      <x:c r="K985" s="74"/>
      <x:c r="L985" s="74"/>
      <x:c r="M985" s="91"/>
      <x:c r="N985" s="85"/>
      <x:c r="P985" s="86"/>
      <x:c r="Q985" s="32"/>
    </x:row>
    <x:row r="986">
      <x:c r="A986" s="87"/>
      <x:c r="D986" s="32"/>
      <x:c r="I986" s="74"/>
      <x:c r="J986" s="74"/>
      <x:c r="K986" s="74"/>
      <x:c r="L986" s="74"/>
      <x:c r="M986" s="91"/>
      <x:c r="N986" s="85"/>
      <x:c r="P986" s="86"/>
      <x:c r="Q986" s="32"/>
    </x:row>
    <x:row r="987">
      <x:c r="A987" s="87"/>
      <x:c r="D987" s="32"/>
      <x:c r="I987" s="74"/>
      <x:c r="J987" s="74"/>
      <x:c r="K987" s="74"/>
      <x:c r="L987" s="74"/>
      <x:c r="M987" s="91"/>
      <x:c r="N987" s="85"/>
      <x:c r="P987" s="86"/>
      <x:c r="Q987" s="32"/>
    </x:row>
    <x:row r="988">
      <x:c r="A988" s="87"/>
      <x:c r="D988" s="32"/>
      <x:c r="I988" s="74"/>
      <x:c r="J988" s="74"/>
      <x:c r="K988" s="74"/>
      <x:c r="L988" s="74"/>
      <x:c r="M988" s="91"/>
      <x:c r="N988" s="85"/>
      <x:c r="P988" s="86"/>
      <x:c r="Q988" s="32"/>
    </x:row>
    <x:row r="989">
      <x:c r="A989" s="87"/>
      <x:c r="D989" s="32"/>
      <x:c r="I989" s="74"/>
      <x:c r="J989" s="74"/>
      <x:c r="K989" s="74"/>
      <x:c r="L989" s="74"/>
      <x:c r="M989" s="91"/>
      <x:c r="N989" s="85"/>
      <x:c r="P989" s="86"/>
      <x:c r="Q989" s="32"/>
    </x:row>
    <x:row r="990">
      <x:c r="A990" s="87"/>
      <x:c r="D990" s="32"/>
      <x:c r="I990" s="74"/>
      <x:c r="J990" s="74"/>
      <x:c r="K990" s="74"/>
      <x:c r="L990" s="74"/>
      <x:c r="M990" s="91"/>
      <x:c r="N990" s="85"/>
      <x:c r="P990" s="86"/>
      <x:c r="Q990" s="32"/>
    </x:row>
    <x:row r="991">
      <x:c r="A991" s="87"/>
      <x:c r="D991" s="32"/>
      <x:c r="I991" s="74"/>
      <x:c r="J991" s="74"/>
      <x:c r="K991" s="74"/>
      <x:c r="L991" s="74"/>
      <x:c r="M991" s="91"/>
      <x:c r="N991" s="85"/>
      <x:c r="P991" s="86"/>
      <x:c r="Q991" s="32"/>
    </x:row>
    <x:row r="992">
      <x:c r="A992" s="87"/>
      <x:c r="D992" s="32"/>
      <x:c r="I992" s="74"/>
      <x:c r="J992" s="74"/>
      <x:c r="K992" s="74"/>
      <x:c r="L992" s="74"/>
      <x:c r="M992" s="91"/>
      <x:c r="N992" s="85"/>
      <x:c r="P992" s="86"/>
      <x:c r="Q992" s="32"/>
    </x:row>
    <x:row r="993">
      <x:c r="A993" s="87"/>
      <x:c r="D993" s="32"/>
      <x:c r="I993" s="74"/>
      <x:c r="J993" s="74"/>
      <x:c r="K993" s="74"/>
      <x:c r="L993" s="74"/>
      <x:c r="M993" s="91"/>
      <x:c r="N993" s="85"/>
      <x:c r="P993" s="86"/>
      <x:c r="Q993" s="32"/>
    </x:row>
    <x:row r="994">
      <x:c r="A994" s="87"/>
      <x:c r="D994" s="32"/>
      <x:c r="I994" s="74"/>
      <x:c r="J994" s="74"/>
      <x:c r="K994" s="74"/>
      <x:c r="L994" s="74"/>
      <x:c r="M994" s="91"/>
      <x:c r="N994" s="85"/>
      <x:c r="P994" s="86"/>
      <x:c r="Q994" s="32"/>
    </x:row>
    <x:row r="995">
      <x:c r="A995" s="87"/>
      <x:c r="D995" s="32"/>
      <x:c r="I995" s="74"/>
      <x:c r="J995" s="74"/>
      <x:c r="K995" s="74"/>
      <x:c r="L995" s="74"/>
      <x:c r="M995" s="91"/>
      <x:c r="N995" s="85"/>
      <x:c r="P995" s="86"/>
      <x:c r="Q995" s="32"/>
    </x:row>
    <x:row r="996">
      <x:c r="A996" s="87"/>
      <x:c r="D996" s="32"/>
      <x:c r="I996" s="74"/>
      <x:c r="J996" s="74"/>
      <x:c r="K996" s="74"/>
      <x:c r="L996" s="74"/>
      <x:c r="M996" s="91"/>
      <x:c r="N996" s="85"/>
      <x:c r="P996" s="86"/>
      <x:c r="Q996" s="32"/>
    </x:row>
    <x:row r="997">
      <x:c r="A997" s="87"/>
      <x:c r="D997" s="32"/>
      <x:c r="I997" s="74"/>
      <x:c r="J997" s="74"/>
      <x:c r="K997" s="74"/>
      <x:c r="L997" s="74"/>
      <x:c r="M997" s="91"/>
      <x:c r="N997" s="85"/>
      <x:c r="P997" s="86"/>
      <x:c r="Q997" s="32"/>
    </x:row>
    <x:row r="998">
      <x:c r="A998" s="87"/>
      <x:c r="D998" s="32"/>
      <x:c r="I998" s="74"/>
      <x:c r="J998" s="74"/>
      <x:c r="K998" s="74"/>
      <x:c r="L998" s="74"/>
      <x:c r="M998" s="91"/>
      <x:c r="N998" s="85"/>
      <x:c r="P998" s="86"/>
      <x:c r="Q998" s="32"/>
    </x:row>
    <x:row r="999">
      <x:c r="A999" s="87"/>
      <x:c r="D999" s="32"/>
      <x:c r="I999" s="74"/>
      <x:c r="J999" s="74"/>
      <x:c r="K999" s="74"/>
      <x:c r="L999" s="74"/>
      <x:c r="M999" s="91"/>
      <x:c r="N999" s="85"/>
      <x:c r="P999" s="86"/>
      <x:c r="Q999" s="32"/>
    </x:row>
    <x:row r="1000">
      <x:c r="A1000" s="87"/>
      <x:c r="D1000" s="32"/>
      <x:c r="I1000" s="74"/>
      <x:c r="J1000" s="74"/>
      <x:c r="K1000" s="74"/>
      <x:c r="L1000" s="74"/>
      <x:c r="M1000" s="91"/>
      <x:c r="N1000" s="85"/>
      <x:c r="P1000" s="86"/>
      <x:c r="Q1000" s="32"/>
    </x:row>
    <x:row r="1001">
      <x:c r="A1001" s="87"/>
      <x:c r="D1001" s="32"/>
      <x:c r="I1001" s="74"/>
      <x:c r="J1001" s="74"/>
      <x:c r="K1001" s="74"/>
      <x:c r="L1001" s="74"/>
      <x:c r="M1001" s="91"/>
      <x:c r="N1001" s="85"/>
      <x:c r="P1001" s="86"/>
      <x:c r="Q1001" s="32"/>
    </x:row>
    <x:row r="1002">
      <x:c r="A1002" s="87"/>
      <x:c r="D1002" s="32"/>
      <x:c r="I1002" s="74"/>
      <x:c r="J1002" s="74"/>
      <x:c r="K1002" s="74"/>
      <x:c r="L1002" s="74"/>
      <x:c r="M1002" s="91"/>
      <x:c r="N1002" s="85"/>
      <x:c r="P1002" s="86"/>
      <x:c r="Q1002" s="32"/>
    </x:row>
    <x:row r="1003">
      <x:c r="A1003" s="87"/>
      <x:c r="D1003" s="32"/>
      <x:c r="I1003" s="74"/>
      <x:c r="J1003" s="74"/>
      <x:c r="K1003" s="74"/>
      <x:c r="L1003" s="74"/>
      <x:c r="M1003" s="91"/>
      <x:c r="N1003" s="85"/>
      <x:c r="P1003" s="86"/>
      <x:c r="Q1003" s="32"/>
    </x:row>
    <x:row r="1004">
      <x:c r="A1004" s="87"/>
      <x:c r="D1004" s="32"/>
      <x:c r="I1004" s="74"/>
      <x:c r="J1004" s="74"/>
      <x:c r="K1004" s="74"/>
      <x:c r="L1004" s="74"/>
      <x:c r="M1004" s="91"/>
      <x:c r="N1004" s="85"/>
      <x:c r="P1004" s="86"/>
      <x:c r="Q1004" s="32"/>
    </x:row>
    <x:row r="1005">
      <x:c r="A1005" s="87"/>
      <x:c r="D1005" s="32"/>
      <x:c r="I1005" s="74"/>
      <x:c r="J1005" s="74"/>
      <x:c r="K1005" s="74"/>
      <x:c r="L1005" s="74"/>
      <x:c r="M1005" s="91"/>
      <x:c r="N1005" s="85"/>
      <x:c r="P1005" s="86"/>
      <x:c r="Q1005" s="32"/>
    </x:row>
    <x:row r="1006">
      <x:c r="A1006" s="87"/>
      <x:c r="D1006" s="32"/>
      <x:c r="I1006" s="74"/>
      <x:c r="J1006" s="74"/>
      <x:c r="K1006" s="74"/>
      <x:c r="L1006" s="74"/>
      <x:c r="M1006" s="91"/>
      <x:c r="N1006" s="85"/>
      <x:c r="P1006" s="86"/>
      <x:c r="Q1006" s="32"/>
    </x:row>
    <x:row r="1007">
      <x:c r="A1007" s="87"/>
      <x:c r="D1007" s="32"/>
      <x:c r="I1007" s="74"/>
      <x:c r="J1007" s="74"/>
      <x:c r="K1007" s="74"/>
      <x:c r="L1007" s="74"/>
      <x:c r="M1007" s="91"/>
      <x:c r="N1007" s="85"/>
      <x:c r="P1007" s="86"/>
      <x:c r="Q1007" s="32"/>
    </x:row>
    <x:row r="1008">
      <x:c r="A1008" s="87"/>
      <x:c r="D1008" s="32"/>
      <x:c r="I1008" s="74"/>
      <x:c r="J1008" s="74"/>
      <x:c r="K1008" s="74"/>
      <x:c r="L1008" s="74"/>
      <x:c r="M1008" s="91"/>
      <x:c r="N1008" s="85"/>
      <x:c r="P1008" s="86"/>
      <x:c r="Q1008" s="32"/>
    </x:row>
    <x:row r="1009">
      <x:c r="A1009" s="87"/>
      <x:c r="D1009" s="32"/>
      <x:c r="I1009" s="74"/>
      <x:c r="J1009" s="74"/>
      <x:c r="K1009" s="74"/>
      <x:c r="L1009" s="74"/>
      <x:c r="M1009" s="91"/>
      <x:c r="N1009" s="85"/>
      <x:c r="P1009" s="86"/>
      <x:c r="Q1009" s="32"/>
    </x:row>
    <x:row r="1010">
      <x:c r="A1010" s="87"/>
      <x:c r="D1010" s="32"/>
      <x:c r="I1010" s="74"/>
      <x:c r="J1010" s="74"/>
      <x:c r="K1010" s="74"/>
      <x:c r="L1010" s="74"/>
      <x:c r="M1010" s="91"/>
      <x:c r="N1010" s="85"/>
      <x:c r="P1010" s="86"/>
      <x:c r="Q1010" s="32"/>
    </x:row>
    <x:row r="1011">
      <x:c r="A1011" s="87"/>
      <x:c r="D1011" s="32"/>
      <x:c r="I1011" s="74"/>
      <x:c r="J1011" s="74"/>
      <x:c r="K1011" s="74"/>
      <x:c r="L1011" s="74"/>
      <x:c r="M1011" s="91"/>
      <x:c r="N1011" s="85"/>
      <x:c r="P1011" s="86"/>
      <x:c r="Q1011" s="32"/>
    </x:row>
    <x:row r="1012">
      <x:c r="A1012" s="87"/>
      <x:c r="D1012" s="32"/>
      <x:c r="I1012" s="74"/>
      <x:c r="J1012" s="74"/>
      <x:c r="K1012" s="74"/>
      <x:c r="L1012" s="74"/>
      <x:c r="M1012" s="91"/>
      <x:c r="N1012" s="85"/>
      <x:c r="P1012" s="86"/>
      <x:c r="Q1012" s="32"/>
    </x:row>
    <x:row r="1013">
      <x:c r="A1013" s="87"/>
      <x:c r="D1013" s="32"/>
      <x:c r="I1013" s="74"/>
      <x:c r="J1013" s="74"/>
      <x:c r="K1013" s="74"/>
      <x:c r="L1013" s="74"/>
      <x:c r="M1013" s="91"/>
      <x:c r="N1013" s="85"/>
      <x:c r="P1013" s="86"/>
      <x:c r="Q1013" s="32"/>
    </x:row>
    <x:row r="1014">
      <x:c r="A1014" s="87"/>
      <x:c r="D1014" s="32"/>
      <x:c r="I1014" s="74"/>
      <x:c r="J1014" s="74"/>
      <x:c r="K1014" s="74"/>
      <x:c r="L1014" s="74"/>
      <x:c r="M1014" s="91"/>
      <x:c r="N1014" s="85"/>
      <x:c r="P1014" s="86"/>
      <x:c r="Q1014" s="32"/>
    </x:row>
    <x:row r="1015">
      <x:c r="A1015" s="87"/>
      <x:c r="D1015" s="32"/>
      <x:c r="I1015" s="74"/>
      <x:c r="J1015" s="74"/>
      <x:c r="K1015" s="74"/>
      <x:c r="L1015" s="74"/>
      <x:c r="M1015" s="91"/>
      <x:c r="N1015" s="85"/>
      <x:c r="P1015" s="86"/>
      <x:c r="Q1015" s="32"/>
    </x:row>
    <x:row r="1016">
      <x:c r="A1016" s="87"/>
      <x:c r="D1016" s="32"/>
      <x:c r="I1016" s="74"/>
      <x:c r="J1016" s="74"/>
      <x:c r="K1016" s="74"/>
      <x:c r="L1016" s="74"/>
      <x:c r="M1016" s="91"/>
      <x:c r="N1016" s="85"/>
      <x:c r="P1016" s="86"/>
      <x:c r="Q1016" s="32"/>
    </x:row>
    <x:row r="1017">
      <x:c r="A1017" s="87"/>
      <x:c r="D1017" s="32"/>
      <x:c r="I1017" s="74"/>
      <x:c r="J1017" s="74"/>
      <x:c r="K1017" s="74"/>
      <x:c r="L1017" s="74"/>
      <x:c r="M1017" s="91"/>
      <x:c r="N1017" s="85"/>
      <x:c r="P1017" s="86"/>
      <x:c r="Q1017" s="32"/>
    </x:row>
    <x:row r="1018">
      <x:c r="A1018" s="87"/>
      <x:c r="D1018" s="32"/>
      <x:c r="I1018" s="74"/>
      <x:c r="J1018" s="74"/>
      <x:c r="K1018" s="74"/>
      <x:c r="L1018" s="74"/>
      <x:c r="M1018" s="91"/>
      <x:c r="N1018" s="85"/>
      <x:c r="P1018" s="86"/>
      <x:c r="Q1018" s="32"/>
    </x:row>
    <x:row r="1019">
      <x:c r="A1019" s="87"/>
      <x:c r="D1019" s="32"/>
      <x:c r="I1019" s="74"/>
      <x:c r="J1019" s="74"/>
      <x:c r="K1019" s="74"/>
      <x:c r="L1019" s="74"/>
      <x:c r="M1019" s="91"/>
      <x:c r="N1019" s="85"/>
      <x:c r="P1019" s="86"/>
      <x:c r="Q1019" s="32"/>
    </x:row>
    <x:row r="1020">
      <x:c r="A1020" s="87"/>
      <x:c r="D1020" s="32"/>
      <x:c r="I1020" s="74"/>
      <x:c r="J1020" s="74"/>
      <x:c r="K1020" s="74"/>
      <x:c r="L1020" s="74"/>
      <x:c r="M1020" s="91"/>
      <x:c r="N1020" s="85"/>
      <x:c r="P1020" s="86"/>
      <x:c r="Q1020" s="32"/>
    </x:row>
    <x:row r="1021">
      <x:c r="A1021" s="87"/>
      <x:c r="D1021" s="32"/>
      <x:c r="I1021" s="74"/>
      <x:c r="J1021" s="74"/>
      <x:c r="K1021" s="74"/>
      <x:c r="L1021" s="74"/>
      <x:c r="M1021" s="91"/>
      <x:c r="N1021" s="85"/>
      <x:c r="P1021" s="86"/>
      <x:c r="Q1021" s="32"/>
    </x:row>
    <x:row r="1022">
      <x:c r="A1022" s="87"/>
      <x:c r="D1022" s="32"/>
      <x:c r="I1022" s="74"/>
      <x:c r="J1022" s="74"/>
      <x:c r="K1022" s="74"/>
      <x:c r="L1022" s="74"/>
      <x:c r="M1022" s="91"/>
      <x:c r="N1022" s="85"/>
      <x:c r="P1022" s="86"/>
      <x:c r="Q1022" s="32"/>
    </x:row>
    <x:row r="1023">
      <x:c r="A1023" s="87"/>
      <x:c r="D1023" s="32"/>
      <x:c r="I1023" s="74"/>
      <x:c r="J1023" s="74"/>
      <x:c r="K1023" s="74"/>
      <x:c r="L1023" s="74"/>
      <x:c r="M1023" s="91"/>
      <x:c r="N1023" s="85"/>
      <x:c r="P1023" s="86"/>
      <x:c r="Q1023" s="32"/>
    </x:row>
    <x:row r="1024">
      <x:c r="A1024" s="87"/>
      <x:c r="D1024" s="32"/>
      <x:c r="I1024" s="74"/>
      <x:c r="J1024" s="74"/>
      <x:c r="K1024" s="74"/>
      <x:c r="L1024" s="74"/>
      <x:c r="M1024" s="91"/>
      <x:c r="N1024" s="85"/>
      <x:c r="P1024" s="86"/>
      <x:c r="Q1024" s="32"/>
    </x:row>
    <x:row r="1025">
      <x:c r="A1025" s="87"/>
      <x:c r="D1025" s="32"/>
      <x:c r="I1025" s="74"/>
      <x:c r="J1025" s="74"/>
      <x:c r="K1025" s="74"/>
      <x:c r="L1025" s="74"/>
      <x:c r="M1025" s="91"/>
      <x:c r="N1025" s="85"/>
      <x:c r="P1025" s="86"/>
      <x:c r="Q1025" s="32"/>
    </x:row>
    <x:row r="1026">
      <x:c r="A1026" s="87"/>
      <x:c r="D1026" s="32"/>
      <x:c r="I1026" s="74"/>
      <x:c r="J1026" s="74"/>
      <x:c r="K1026" s="74"/>
      <x:c r="L1026" s="74"/>
      <x:c r="M1026" s="91"/>
      <x:c r="N1026" s="85"/>
      <x:c r="P1026" s="86"/>
      <x:c r="Q1026" s="32"/>
    </x:row>
    <x:row r="1027">
      <x:c r="A1027" s="87"/>
      <x:c r="D1027" s="32"/>
      <x:c r="I1027" s="74"/>
      <x:c r="J1027" s="74"/>
      <x:c r="K1027" s="74"/>
      <x:c r="L1027" s="74"/>
      <x:c r="M1027" s="91"/>
      <x:c r="N1027" s="85"/>
      <x:c r="P1027" s="86"/>
      <x:c r="Q1027" s="32"/>
    </x:row>
  </x:sheetData>
  <x:conditionalFormatting sqref="B2:M2 N2:N3 O2:O2">
    <x:cfRule type="expression" dxfId="0" priority="1">
      <x:formula>$O2="Done"</x:formula>
    </x:cfRule>
  </x:conditionalFormatting>
  <x:conditionalFormatting sqref="B2:M2 N2:N3 O2:O2">
    <x:cfRule type="expression" dxfId="1" priority="2">
      <x:formula>AND(NOT($O2="Done"), OR(#REF!="Đã CK Anh", #REF!="Đã CK Em"))</x:formula>
    </x:cfRule>
  </x:conditionalFormatting>
  <x:conditionalFormatting sqref="M2:M2 N2:N3">
    <x:cfRule type="expression" dxfId="1" priority="3">
      <x:formula>AND(NOT(#REF!="Done"), OR(#REF!="Đã CK Anh", #REF!="Đã CK Em"))</x:formula>
    </x:cfRule>
  </x:conditionalFormatting>
  <x:conditionalFormatting sqref="M2:M2 N2:N3">
    <x:cfRule type="expression" dxfId="0" priority="4">
      <x:formula>#REF!="Done"</x:formula>
    </x:cfRule>
  </x:conditionalFormatting>
  <x:conditionalFormatting sqref="C2:C3 B3:B3 D3:O3">
    <x:cfRule type="expression" dxfId="0" priority="5">
      <x:formula>$O2="Done"</x:formula>
    </x:cfRule>
  </x:conditionalFormatting>
  <x:conditionalFormatting sqref="C2:C3 B3:B3 D3:O3">
    <x:cfRule type="expression" dxfId="1" priority="6">
      <x:formula>AND(NOT($O2="Done"), OR(#REF!="Đã CK Anh", #REF!="Đã CK Em"))</x:formula>
    </x:cfRule>
  </x:conditionalFormatting>
  <x:conditionalFormatting sqref="M3:N3">
    <x:cfRule type="expression" dxfId="1" priority="7">
      <x:formula>AND(NOT(#REF!="Done"), OR(#REF!="Đã CK Anh", #REF!="Đã CK Em"))</x:formula>
    </x:cfRule>
  </x:conditionalFormatting>
  <x:conditionalFormatting sqref="M3:N3">
    <x:cfRule type="expression" dxfId="0" priority="8">
      <x:formula>#REF!="Done"</x:formula>
    </x:cfRule>
  </x:conditionalFormatting>
  <x:conditionalFormatting sqref="M2:M2 N2:N47 M4:M47">
    <x:cfRule type="expression" dxfId="0" priority="9">
      <x:formula>$P2="Done"</x:formula>
    </x:cfRule>
  </x:conditionalFormatting>
  <x:conditionalFormatting sqref="M2:M2 N2:N47 M4:M47">
    <x:cfRule type="expression" dxfId="1" priority="10">
      <x:formula>AND(NOT($P2="Done"), OR($Q2="Đã CK Anh", $Q2="Đã CK Em"))</x:formula>
    </x:cfRule>
  </x:conditionalFormatting>
  <x:conditionalFormatting sqref="A48:B49">
    <x:cfRule type="expression" dxfId="0" priority="11">
      <x:formula>$L48="Done"</x:formula>
    </x:cfRule>
  </x:conditionalFormatting>
  <x:conditionalFormatting sqref="A48:B49">
    <x:cfRule type="expression" dxfId="1" priority="12">
      <x:formula>AND(NOT($L48="Done"), OR($I48="Đã CK Anh", $I48="Đã CK Em"))</x:formula>
    </x:cfRule>
  </x:conditionalFormatting>
  <x:conditionalFormatting sqref="A2:A1027 B2:B2 C2:C1027 D2:M2 N2:N1027 O2:O2 B4:B1027 D4:M1027 O4:O1027">
    <x:cfRule type="expression" dxfId="0" priority="13">
      <x:formula>$O2="Done"</x:formula>
    </x:cfRule>
  </x:conditionalFormatting>
  <x:conditionalFormatting sqref="A2:A1027 B2:B2 C2:C1027 D2:M2 N2:N1027 O2:O2 B4:B1027 D4:M1027 O4:O1027">
    <x:cfRule type="expression" dxfId="1" priority="14">
      <x:formula>AND(NOT($O2="Done"), OR($P2="Đã CK Anh", $P2="Đã CK Em"))</x:formula>
    </x:cfRule>
  </x:conditionalFormatting>
  <x:dataValidations count="1">
    <x:dataValidation type="list" allowBlank="1" showErrorMessage="1" sqref="P2:P1027">
      <x:formula1>"Chưa CK,Đã CK Anh,Đã CK Em"</x:formula1>
    </x:dataValidation>
  </x:dataValidations>
  <x:hyperlinks>
    <x:hyperlink xmlns:r="http://schemas.openxmlformats.org/officeDocument/2006/relationships" ref="D2" r:id="R2aca75f41b284ec0"/>
    <x:hyperlink xmlns:r="http://schemas.openxmlformats.org/officeDocument/2006/relationships" ref="D3" r:id="Rf903340dc1854afe"/>
    <x:hyperlink xmlns:r="http://schemas.openxmlformats.org/officeDocument/2006/relationships" ref="D4" r:id="R9f9cea18ae084c3b"/>
    <x:hyperlink xmlns:r="http://schemas.openxmlformats.org/officeDocument/2006/relationships" ref="D5" r:id="Rc345fa0350c9422a"/>
    <x:hyperlink xmlns:r="http://schemas.openxmlformats.org/officeDocument/2006/relationships" ref="D6" r:id="R8c81a623242b4e7f"/>
    <x:hyperlink xmlns:r="http://schemas.openxmlformats.org/officeDocument/2006/relationships" ref="D7" r:id="R34d8e63a4576443f"/>
    <x:hyperlink xmlns:r="http://schemas.openxmlformats.org/officeDocument/2006/relationships" ref="D8" r:id="Rcade445f01814e78"/>
    <x:hyperlink xmlns:r="http://schemas.openxmlformats.org/officeDocument/2006/relationships" ref="D9" r:id="Ra3097734d11b4bed"/>
    <x:hyperlink xmlns:r="http://schemas.openxmlformats.org/officeDocument/2006/relationships" ref="D10" r:id="Rc25fd1674530445b"/>
    <x:hyperlink xmlns:r="http://schemas.openxmlformats.org/officeDocument/2006/relationships" ref="D11" r:id="R99810540f8af48d8"/>
    <x:hyperlink xmlns:r="http://schemas.openxmlformats.org/officeDocument/2006/relationships" ref="D12" r:id="Rd880c0b897f34cac"/>
    <x:hyperlink xmlns:r="http://schemas.openxmlformats.org/officeDocument/2006/relationships" ref="D13" r:id="R1f21ca2085524773"/>
    <x:hyperlink xmlns:r="http://schemas.openxmlformats.org/officeDocument/2006/relationships" ref="D14" r:id="R3fb762735b074a71"/>
    <x:hyperlink xmlns:r="http://schemas.openxmlformats.org/officeDocument/2006/relationships" ref="D15" r:id="Rdbf79271fd204049"/>
    <x:hyperlink xmlns:r="http://schemas.openxmlformats.org/officeDocument/2006/relationships" ref="D16" r:id="R34cf464f686e4b0b"/>
    <x:hyperlink xmlns:r="http://schemas.openxmlformats.org/officeDocument/2006/relationships" ref="D17" r:id="Rbdaeea8eb30e4a27"/>
    <x:hyperlink xmlns:r="http://schemas.openxmlformats.org/officeDocument/2006/relationships" ref="D18" r:id="Rc67ec7cd373347f0"/>
    <x:hyperlink xmlns:r="http://schemas.openxmlformats.org/officeDocument/2006/relationships" ref="D19" r:id="R563ed01a46094e12"/>
    <x:hyperlink xmlns:r="http://schemas.openxmlformats.org/officeDocument/2006/relationships" ref="D20" r:id="R1ebce1c200f349d4"/>
    <x:hyperlink xmlns:r="http://schemas.openxmlformats.org/officeDocument/2006/relationships" ref="D21" r:id="R49cd97e22b9949a9"/>
    <x:hyperlink xmlns:r="http://schemas.openxmlformats.org/officeDocument/2006/relationships" ref="D22" r:id="R6d519b053f184f46"/>
    <x:hyperlink xmlns:r="http://schemas.openxmlformats.org/officeDocument/2006/relationships" ref="D23" r:id="Rb5246e1a81ea43fc"/>
    <x:hyperlink xmlns:r="http://schemas.openxmlformats.org/officeDocument/2006/relationships" ref="D24" r:id="Rb9ded83954074608"/>
    <x:hyperlink xmlns:r="http://schemas.openxmlformats.org/officeDocument/2006/relationships" ref="D25" r:id="R087e8d7c5e7246b4"/>
    <x:hyperlink xmlns:r="http://schemas.openxmlformats.org/officeDocument/2006/relationships" ref="D26" r:id="R5bda913a1b2349d2"/>
    <x:hyperlink xmlns:r="http://schemas.openxmlformats.org/officeDocument/2006/relationships" ref="D27" r:id="R7e95883e0d8342a6"/>
    <x:hyperlink xmlns:r="http://schemas.openxmlformats.org/officeDocument/2006/relationships" ref="D28" r:id="R0c5d0ab6a9ff460d"/>
    <x:hyperlink xmlns:r="http://schemas.openxmlformats.org/officeDocument/2006/relationships" ref="D29" r:id="R10f69bd02d4d4fc1"/>
    <x:hyperlink xmlns:r="http://schemas.openxmlformats.org/officeDocument/2006/relationships" ref="D30" r:id="R634390420f1b419a"/>
    <x:hyperlink xmlns:r="http://schemas.openxmlformats.org/officeDocument/2006/relationships" ref="D31" r:id="Rccae9f5f1a0d4af6"/>
    <x:hyperlink xmlns:r="http://schemas.openxmlformats.org/officeDocument/2006/relationships" ref="D32" r:id="Rc2dd47d6563d473f"/>
    <x:hyperlink xmlns:r="http://schemas.openxmlformats.org/officeDocument/2006/relationships" ref="D33" r:id="Ra0d08059b93948c4"/>
    <x:hyperlink xmlns:r="http://schemas.openxmlformats.org/officeDocument/2006/relationships" ref="D34" r:id="Rb2b6a482831d4bbf"/>
    <x:hyperlink xmlns:r="http://schemas.openxmlformats.org/officeDocument/2006/relationships" ref="D35" r:id="Rd64bf042094b460d"/>
    <x:hyperlink xmlns:r="http://schemas.openxmlformats.org/officeDocument/2006/relationships" ref="D36" r:id="R1d00a69d42aa4c27"/>
    <x:hyperlink xmlns:r="http://schemas.openxmlformats.org/officeDocument/2006/relationships" ref="D37" r:id="Rc9855a60fd8e4d53"/>
    <x:hyperlink xmlns:r="http://schemas.openxmlformats.org/officeDocument/2006/relationships" ref="D38" r:id="Ra882783f5b6c4486"/>
    <x:hyperlink xmlns:r="http://schemas.openxmlformats.org/officeDocument/2006/relationships" ref="D39" r:id="R3a26acd96e0f43a1"/>
    <x:hyperlink xmlns:r="http://schemas.openxmlformats.org/officeDocument/2006/relationships" ref="D40" r:id="R3c5ed467b90245f3"/>
    <x:hyperlink xmlns:r="http://schemas.openxmlformats.org/officeDocument/2006/relationships" ref="D41" r:id="Re5775905d9b444f8"/>
    <x:hyperlink xmlns:r="http://schemas.openxmlformats.org/officeDocument/2006/relationships" ref="D42" r:id="R84696fab86bb40c2"/>
    <x:hyperlink xmlns:r="http://schemas.openxmlformats.org/officeDocument/2006/relationships" ref="D43" r:id="Ra50439bfc99949ba"/>
    <x:hyperlink xmlns:r="http://schemas.openxmlformats.org/officeDocument/2006/relationships" ref="D44" r:id="R165e4c8e556b4808"/>
    <x:hyperlink xmlns:r="http://schemas.openxmlformats.org/officeDocument/2006/relationships" ref="D45" r:id="R9ad10ddbee7c4b2e"/>
    <x:hyperlink xmlns:r="http://schemas.openxmlformats.org/officeDocument/2006/relationships" ref="D47" r:id="R109fd868ae034f53"/>
  </x:hyperlink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5" width="11.130000114440918" customWidth="1"/>
    <x:col min="6" max="6" width="10.630000114440918" customWidth="1"/>
    <x:col min="7" max="7" width="11.630000114440918" customWidth="1"/>
    <x:col min="8" max="8" width="11.630000114440918" hidden="1" customWidth="1"/>
    <x:col min="9" max="9" width="12.380000114440918" customWidth="1"/>
    <x:col min="10" max="10" width="12.380000114440918" hidden="1" customWidth="1"/>
    <x:col min="11" max="12" width="12.380000114440918" customWidth="1"/>
    <x:col min="15" max="15" width="25.8799991607666" customWidth="1"/>
    <x:col min="16" max="16" width="18.5" customWidth="1"/>
  </x:cols>
  <x:sheetData>
    <x:row r="1" ht="21" customHeight="1">
      <x:c r="A1" s="1" t="s">
        <x:v>0</x:v>
      </x:c>
      <x:c r="B1" s="1" t="s">
        <x:v>1</x:v>
      </x:c>
      <x:c r="C1" s="1" t="s">
        <x:v>2</x:v>
      </x:c>
      <x:c r="D1" s="3" t="s">
        <x:v>3</x:v>
      </x:c>
      <x:c r="E1" s="1" t="s">
        <x:v>6</x:v>
      </x:c>
      <x:c r="F1" s="1" t="s">
        <x:v>445</x:v>
      </x:c>
      <x:c r="G1" s="1" t="s">
        <x:v>443</x:v>
      </x:c>
      <x:c r="H1" s="1" t="s">
        <x:v>9</x:v>
      </x:c>
      <x:c r="I1" s="4" t="s">
        <x:v>12</x:v>
      </x:c>
      <x:c r="J1" s="4" t="s">
        <x:v>321</x:v>
      </x:c>
      <x:c r="K1" s="4" t="s">
        <x:v>13</x:v>
      </x:c>
      <x:c r="L1" s="4" t="s">
        <x:v>8</x:v>
      </x:c>
      <x:c r="M1" s="1" t="s">
        <x:v>324</x:v>
      </x:c>
      <x:c r="N1" s="5" t="s">
        <x:v>21</x:v>
      </x:c>
      <x:c r="O1" s="1" t="s">
        <x:v>22</x:v>
      </x:c>
      <x:c r="P1" s="1" t="s">
        <x:v>24</x:v>
      </x:c>
      <x:c r="Q1" s="6" t="s">
        <x:v>25</x:v>
      </x:c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</x:row>
    <x:row r="2" ht="18.75" customHeight="1">
      <x:c r="A2" s="19">
        <x:v>1.0</x:v>
      </x:c>
      <x:c r="B2" s="23" t="s">
        <x:v>918</x:v>
      </x:c>
      <x:c r="C2" s="21">
        <x:v>45698.0</x:v>
      </x:c>
      <x:c r="D2" s="22" t="s">
        <x:v>919</x:v>
      </x:c>
      <x:c r="E2" s="56"/>
      <x:c r="F2" s="23"/>
      <x:c r="G2" s="56"/>
      <x:c r="H2" s="23"/>
      <x:c r="I2" s="25"/>
      <x:c r="J2" s="24"/>
      <x:c r="K2" s="25"/>
      <x:c r="L2" s="24">
        <x:v>2.0</x:v>
      </x:c>
      <x:c r="M2" s="94"/>
      <x:c r="N2" s="26" t="n">
        <x:f>(E2*260+F2*255+G2*360+H2*390+I2*245+J2*190+K2*250+L2*470-30)*1000</x:f>
        <x:v>910000</x:v>
      </x:c>
      <x:c r="O2" s="23" t="s">
        <x:v>74</x:v>
      </x:c>
      <x:c r="P2" s="23" t="s">
        <x:v>31</x:v>
      </x:c>
      <x:c r="R2" s="28" t="s">
        <x:v>34</x:v>
      </x:c>
      <x:c r="S2" s="28" t="s">
        <x:v>31</x:v>
      </x:c>
      <x:c r="T2" s="28" t="s">
        <x:v>54</x:v>
      </x:c>
      <x:c r="U2" s="28" t="s">
        <x:v>55</x:v>
      </x:c>
    </x:row>
    <x:row r="3" ht="18.75" customHeight="1">
      <x:c r="A3" s="19">
        <x:v>2.0</x:v>
      </x:c>
      <x:c r="B3" s="23" t="s">
        <x:v>920</x:v>
      </x:c>
      <x:c r="C3" s="21">
        <x:v>45698.0</x:v>
      </x:c>
      <x:c r="D3" s="55" t="s">
        <x:v>921</x:v>
      </x:c>
      <x:c r="E3" s="23"/>
      <x:c r="F3" s="23">
        <x:v>2.0</x:v>
      </x:c>
      <x:c r="G3" s="23">
        <x:v>1.0</x:v>
      </x:c>
      <x:c r="H3" s="23"/>
      <x:c r="I3" s="24">
        <x:v>1.0</x:v>
      </x:c>
      <x:c r="J3" s="24"/>
      <x:c r="K3" s="24"/>
      <x:c r="L3" s="25"/>
      <x:c r="M3" s="94"/>
      <x:c r="N3" s="26" t="n">
        <x:f>(E3*260+F3*255+G3*360+H3*390+I3*245+J3*190+K3*250+L3*470-20)*1000</x:f>
        <x:v>1095000</x:v>
      </x:c>
      <x:c r="O3" s="23" t="s">
        <x:v>74</x:v>
      </x:c>
      <x:c r="P3" s="23" t="s">
        <x:v>31</x:v>
      </x:c>
      <x:c r="R3" s="31" t="n">
        <x:f>SUMIF(P2:P1060, "Đã CK Anh", N2:N1060)</x:f>
        <x:v>0</x:v>
      </x:c>
      <x:c r="S3" s="31" t="n">
        <x:f>SUMIF(P2:P1060, "Đã CK Em", N2:N1060)</x:f>
        <x:v>33984000</x:v>
      </x:c>
      <x:c r="T3" s="31" t="n">
        <x:f>R3+S3</x:f>
        <x:v>33984000</x:v>
      </x:c>
      <x:c r="U3" s="31" t="n">
        <x:f>SUMIF(P2:P1060, "Chưa CK", N2:N1060)</x:f>
        <x:v>0</x:v>
      </x:c>
    </x:row>
    <x:row r="4" ht="18.75" customHeight="1">
      <x:c r="A4" s="19">
        <x:v>3.0</x:v>
      </x:c>
      <x:c r="B4" s="23" t="s">
        <x:v>28</x:v>
      </x:c>
      <x:c r="C4" s="21">
        <x:v>45698.0</x:v>
      </x:c>
      <x:c r="D4" s="22" t="s">
        <x:v>29</x:v>
      </x:c>
      <x:c r="E4" s="23">
        <x:v>1.0</x:v>
      </x:c>
      <x:c r="F4" s="23"/>
      <x:c r="G4" s="23">
        <x:v>1.0</x:v>
      </x:c>
      <x:c r="H4" s="23"/>
      <x:c r="I4" s="24">
        <x:v>1.0</x:v>
      </x:c>
      <x:c r="J4" s="25"/>
      <x:c r="K4" s="25"/>
      <x:c r="L4" s="25"/>
      <x:c r="M4" s="94"/>
      <x:c r="N4" s="26" t="n">
        <x:f t="shared" ref="N4:N10" si="1">(E4*260+F4*255+G4*360+H4*390+I4*245+J4*190+K4*250+L4*470)*1000</x:f>
        <x:v>865000</x:v>
      </x:c>
      <x:c r="O4" s="23" t="s">
        <x:v>74</x:v>
      </x:c>
      <x:c r="P4" s="23" t="s">
        <x:v>31</x:v>
      </x:c>
    </x:row>
    <x:row r="5" ht="18.75" customHeight="1">
      <x:c r="A5" s="19">
        <x:v>4.0</x:v>
      </x:c>
      <x:c r="B5" s="23" t="s">
        <x:v>551</x:v>
      </x:c>
      <x:c r="C5" s="21">
        <x:v>45698.0</x:v>
      </x:c>
      <x:c r="D5" s="22" t="s">
        <x:v>552</x:v>
      </x:c>
      <x:c r="E5" s="23">
        <x:v>1.0</x:v>
      </x:c>
      <x:c r="F5" s="23">
        <x:v>1.0</x:v>
      </x:c>
      <x:c r="G5" s="56"/>
      <x:c r="H5" s="23"/>
      <x:c r="I5" s="24"/>
      <x:c r="J5" s="24"/>
      <x:c r="K5" s="25"/>
      <x:c r="L5" s="25"/>
      <x:c r="M5" s="94"/>
      <x:c r="N5" s="26">
        <x:f t="shared" si="1"/>
        <x:v>515000</x:v>
      </x:c>
      <x:c r="O5" s="23" t="s">
        <x:v>74</x:v>
      </x:c>
      <x:c r="P5" s="23" t="s">
        <x:v>31</x:v>
      </x:c>
    </x:row>
    <x:row r="6" ht="18.75" customHeight="1">
      <x:c r="A6" s="19">
        <x:v>5.0</x:v>
      </x:c>
      <x:c r="B6" s="23" t="s">
        <x:v>38</x:v>
      </x:c>
      <x:c r="C6" s="21">
        <x:v>45698.0</x:v>
      </x:c>
      <x:c r="D6" s="22" t="s">
        <x:v>922</x:v>
      </x:c>
      <x:c r="E6" s="23"/>
      <x:c r="F6" s="23"/>
      <x:c r="G6" s="56"/>
      <x:c r="H6" s="23"/>
      <x:c r="I6" s="24"/>
      <x:c r="J6" s="25"/>
      <x:c r="K6" s="24">
        <x:v>1.0</x:v>
      </x:c>
      <x:c r="L6" s="25"/>
      <x:c r="M6" s="94"/>
      <x:c r="N6" s="26">
        <x:f t="shared" si="1"/>
        <x:v>250000</x:v>
      </x:c>
      <x:c r="O6" s="23" t="s">
        <x:v>74</x:v>
      </x:c>
      <x:c r="P6" s="23" t="s">
        <x:v>31</x:v>
      </x:c>
      <x:c r="R6" s="28" t="s">
        <x:v>2</x:v>
      </x:c>
      <x:c r="S6" s="28" t="s">
        <x:v>368</x:v>
      </x:c>
      <x:c r="T6" s="28" t="s">
        <x:v>369</x:v>
      </x:c>
      <x:c r="U6" s="28" t="s">
        <x:v>369</x:v>
      </x:c>
    </x:row>
    <x:row r="7" ht="18.75" customHeight="1">
      <x:c r="A7" s="19">
        <x:v>6.0</x:v>
      </x:c>
      <x:c r="B7" s="23" t="s">
        <x:v>923</x:v>
      </x:c>
      <x:c r="C7" s="21">
        <x:v>45698.0</x:v>
      </x:c>
      <x:c r="D7" s="22" t="s">
        <x:v>924</x:v>
      </x:c>
      <x:c r="E7" s="23"/>
      <x:c r="F7" s="23"/>
      <x:c r="G7" s="56"/>
      <x:c r="H7" s="23"/>
      <x:c r="I7" s="25"/>
      <x:c r="J7" s="25"/>
      <x:c r="K7" s="25"/>
      <x:c r="L7" s="24">
        <x:v>1.0</x:v>
      </x:c>
      <x:c r="M7" s="94"/>
      <x:c r="N7" s="26">
        <x:f t="shared" si="1"/>
        <x:v>470000</x:v>
      </x:c>
      <x:c r="O7" s="23" t="s">
        <x:v>74</x:v>
      </x:c>
      <x:c r="P7" s="23" t="s">
        <x:v>31</x:v>
      </x:c>
      <x:c r="R7" s="33" t="n" cm="1">
        <x:f t="array" ref="R7:R22">_xlfn._xlws.SORT(_xlfn.UNIQUE(C2:C1058))</x:f>
        <x:v>45698</x:v>
      </x:c>
      <x:c r="S7" s="34" t="e">
        <x:f>IFERROR(__xludf.DUMMYFUNCTION("SUM(FILTER($E$2:$M$1060, $C$2:$C$1060 = R7))"),33.0)</x:f>
        <x:v>#NAME?</x:v>
      </x:c>
      <x:c r="T7" s="34" t="e">
        <x:f>IFERROR(__xludf.DUMMYFUNCTION("COUNT(FILTER($C$2:$C$1060, $C2:$C1060 = R7))"),10.0)</x:f>
        <x:v>#NAME?</x:v>
      </x:c>
      <x:c r="U7" s="31" t="n">
        <x:f t="shared" ref="U7:U21" si="2">SUMIF($C$2:$C$1060, $R7 , $N$2:$N$1060)</x:f>
        <x:v>9990000</x:v>
      </x:c>
    </x:row>
    <x:row r="8" ht="18.75" customHeight="1">
      <x:c r="A8" s="19">
        <x:v>7.0</x:v>
      </x:c>
      <x:c r="B8" s="23" t="s">
        <x:v>925</x:v>
      </x:c>
      <x:c r="C8" s="21">
        <x:v>45698.0</x:v>
      </x:c>
      <x:c r="D8" s="22" t="s">
        <x:v>926</x:v>
      </x:c>
      <x:c r="E8" s="23">
        <x:v>1.0</x:v>
      </x:c>
      <x:c r="F8" s="23"/>
      <x:c r="G8" s="56"/>
      <x:c r="H8" s="23"/>
      <x:c r="I8" s="25"/>
      <x:c r="J8" s="25"/>
      <x:c r="K8" s="25"/>
      <x:c r="L8" s="25"/>
      <x:c r="M8" s="94"/>
      <x:c r="N8" s="26">
        <x:f t="shared" si="1"/>
        <x:v>260000</x:v>
      </x:c>
      <x:c r="O8" s="23" t="s">
        <x:v>37</x:v>
      </x:c>
      <x:c r="P8" s="23" t="s">
        <x:v>31</x:v>
      </x:c>
      <x:c r="R8" s="33" t="n">
        <x:v>45699</x:v>
      </x:c>
      <x:c r="S8" s="34" t="e">
        <x:f>IFERROR(__xludf.DUMMYFUNCTION("SUM(FILTER($E$2:$M$1060, $C$2:$C$1060 = R8))"),19.0)</x:f>
        <x:v>#NAME?</x:v>
      </x:c>
      <x:c r="T8" s="34" t="e">
        <x:f>IFERROR(__xludf.DUMMYFUNCTION("COUNT(FILTER($C$2:$C$1060, $C2:$C1060 = R8))"),13.0)</x:f>
        <x:v>#NAME?</x:v>
      </x:c>
      <x:c r="U8" s="31">
        <x:f t="shared" si="2"/>
        <x:v>6310000</x:v>
      </x:c>
    </x:row>
    <x:row r="9" ht="18.75" customHeight="1">
      <x:c r="A9" s="19">
        <x:v>8.0</x:v>
      </x:c>
      <x:c r="B9" s="23" t="s">
        <x:v>927</x:v>
      </x:c>
      <x:c r="C9" s="21">
        <x:v>45698.0</x:v>
      </x:c>
      <x:c r="D9" s="22" t="s">
        <x:v>928</x:v>
      </x:c>
      <x:c r="E9" s="23">
        <x:v>1.0</x:v>
      </x:c>
      <x:c r="F9" s="23"/>
      <x:c r="G9" s="56"/>
      <x:c r="H9" s="56"/>
      <x:c r="I9" s="25"/>
      <x:c r="J9" s="24"/>
      <x:c r="K9" s="25"/>
      <x:c r="L9" s="25"/>
      <x:c r="M9" s="94"/>
      <x:c r="N9" s="26">
        <x:f t="shared" si="1"/>
        <x:v>260000</x:v>
      </x:c>
      <x:c r="O9" s="23" t="s">
        <x:v>37</x:v>
      </x:c>
      <x:c r="P9" s="23" t="s">
        <x:v>31</x:v>
      </x:c>
      <x:c r="R9" s="33" t="n">
        <x:v>45700</x:v>
      </x:c>
      <x:c r="S9" s="34" t="e">
        <x:f>IFERROR(__xludf.DUMMYFUNCTION("SUM(FILTER($E$2:$M$1060, $C$2:$C$1060 = R9))"),9.0)</x:f>
        <x:v>#NAME?</x:v>
      </x:c>
      <x:c r="T9" s="34" t="e">
        <x:f>IFERROR(__xludf.DUMMYFUNCTION("COUNT(FILTER($C$2:$C$1060, $C2:$C1060 = R9))"),6.0)</x:f>
        <x:v>#NAME?</x:v>
      </x:c>
      <x:c r="U9" s="31">
        <x:f t="shared" si="2"/>
        <x:v>2465000</x:v>
      </x:c>
    </x:row>
    <x:row r="10" ht="18.75" customHeight="1">
      <x:c r="A10" s="19">
        <x:v>9.0</x:v>
      </x:c>
      <x:c r="B10" s="23" t="s">
        <x:v>929</x:v>
      </x:c>
      <x:c r="C10" s="21">
        <x:v>45698.0</x:v>
      </x:c>
      <x:c r="D10" s="22" t="s">
        <x:v>453</x:v>
      </x:c>
      <x:c r="E10" s="56"/>
      <x:c r="F10" s="23">
        <x:v>2.0</x:v>
      </x:c>
      <x:c r="G10" s="23"/>
      <x:c r="H10" s="23"/>
      <x:c r="I10" s="25"/>
      <x:c r="J10" s="25"/>
      <x:c r="K10" s="24"/>
      <x:c r="L10" s="24">
        <x:v>1.0</x:v>
      </x:c>
      <x:c r="M10" s="94"/>
      <x:c r="N10" s="26">
        <x:f t="shared" si="1"/>
        <x:v>980000</x:v>
      </x:c>
      <x:c r="O10" s="23" t="s">
        <x:v>74</x:v>
      </x:c>
      <x:c r="P10" s="23" t="s">
        <x:v>31</x:v>
      </x:c>
      <x:c r="Q10" s="32"/>
      <x:c r="R10" s="33" t="n">
        <x:v>45701</x:v>
      </x:c>
      <x:c r="S10" s="34" t="e">
        <x:f>IFERROR(__xludf.DUMMYFUNCTION("SUM(FILTER($E$2:$M$1060, $C$2:$C$1060 = R10))"),3.0)</x:f>
        <x:v>#NAME?</x:v>
      </x:c>
      <x:c r="T10" s="34" t="e">
        <x:f>IFERROR(__xludf.DUMMYFUNCTION("COUNT(FILTER($C$2:$C$1060, $C2:$C1060 = R10))"),2.0)</x:f>
        <x:v>#NAME?</x:v>
      </x:c>
      <x:c r="U10" s="31">
        <x:f t="shared" si="2"/>
        <x:v>745000</x:v>
      </x:c>
    </x:row>
    <x:row r="11" ht="18.75" customHeight="1">
      <x:c r="A11" s="19">
        <x:v>10.0</x:v>
      </x:c>
      <x:c r="B11" s="23" t="s">
        <x:v>114</x:v>
      </x:c>
      <x:c r="C11" s="21">
        <x:v>45698.0</x:v>
      </x:c>
      <x:c r="D11" s="55"/>
      <x:c r="E11" s="23"/>
      <x:c r="F11" s="23"/>
      <x:c r="G11" s="56"/>
      <x:c r="H11" s="56"/>
      <x:c r="I11" s="25"/>
      <x:c r="J11" s="25"/>
      <x:c r="K11" s="25"/>
      <x:c r="L11" s="24">
        <x:v>5.0</x:v>
      </x:c>
      <x:c r="M11" s="23">
        <x:v>10.0</x:v>
      </x:c>
      <x:c r="N11" s="26" t="n">
        <x:f>(E11*260+F11*255+G11*360+H11*390+I11*245+J11*190+K11*250+L11*465+M11*230)*1000 - 240000</x:f>
        <x:v>4385000</x:v>
      </x:c>
      <x:c r="O11" s="23" t="s">
        <x:v>74</x:v>
      </x:c>
      <x:c r="P11" s="23" t="s">
        <x:v>31</x:v>
      </x:c>
      <x:c r="Q11" s="32"/>
      <x:c r="R11" s="33" t="n">
        <x:v>45702</x:v>
      </x:c>
      <x:c r="S11" s="34" t="e">
        <x:f>IFERROR(__xludf.DUMMYFUNCTION("SUM(FILTER($E$2:$M$1060, $C$2:$C$1060 = R11))"),2.0)</x:f>
        <x:v>#NAME?</x:v>
      </x:c>
      <x:c r="T11" s="34" t="e">
        <x:f>IFERROR(__xludf.DUMMYFUNCTION("COUNT(FILTER($C$2:$C$1060, $C2:$C1060 = R11))"),2.0)</x:f>
        <x:v>#NAME?</x:v>
      </x:c>
      <x:c r="U11" s="31">
        <x:f t="shared" si="2"/>
        <x:v>504000</x:v>
      </x:c>
    </x:row>
    <x:row r="12" ht="18.75" customHeight="1">
      <x:c r="A12" s="19">
        <x:v>11.0</x:v>
      </x:c>
      <x:c r="B12" s="23" t="s">
        <x:v>930</x:v>
      </x:c>
      <x:c r="C12" s="21">
        <x:v>45699.0</x:v>
      </x:c>
      <x:c r="D12" s="22" t="s">
        <x:v>931</x:v>
      </x:c>
      <x:c r="E12" s="23"/>
      <x:c r="F12" s="23"/>
      <x:c r="G12" s="56"/>
      <x:c r="H12" s="56"/>
      <x:c r="I12" s="24"/>
      <x:c r="J12" s="25"/>
      <x:c r="K12" s="25"/>
      <x:c r="L12" s="24">
        <x:v>2.0</x:v>
      </x:c>
      <x:c r="M12" s="23"/>
      <x:c r="N12" s="26" t="n">
        <x:f>(E12*260+F12*255+G12*360+H12*390+I12*245+J12*190+K12*250+L12*470+M12*240)*1000-10000</x:f>
        <x:v>930000</x:v>
      </x:c>
      <x:c r="O12" s="23" t="s">
        <x:v>74</x:v>
      </x:c>
      <x:c r="P12" s="23" t="s">
        <x:v>31</x:v>
      </x:c>
      <x:c r="Q12" s="32"/>
      <x:c r="R12" s="33" t="n">
        <x:v>45703</x:v>
      </x:c>
      <x:c r="S12" s="34" t="e">
        <x:f>IFERROR(__xludf.DUMMYFUNCTION("SUM(FILTER($E$2:$M$1060, $C$2:$C$1060 = R12))"),3.0)</x:f>
        <x:v>#NAME?</x:v>
      </x:c>
      <x:c r="T12" s="34" t="e">
        <x:f>IFERROR(__xludf.DUMMYFUNCTION("COUNT(FILTER($C$2:$C$1060, $C2:$C1060 = R12))"),3.0)</x:f>
        <x:v>#NAME?</x:v>
      </x:c>
      <x:c r="U12" s="31">
        <x:f t="shared" si="2"/>
        <x:v>960000</x:v>
      </x:c>
    </x:row>
    <x:row r="13" ht="18.75" customHeight="1">
      <x:c r="A13" s="19">
        <x:v>12.0</x:v>
      </x:c>
      <x:c r="B13" s="23" t="s">
        <x:v>932</x:v>
      </x:c>
      <x:c r="C13" s="21">
        <x:v>45699.0</x:v>
      </x:c>
      <x:c r="D13" s="22" t="s">
        <x:v>933</x:v>
      </x:c>
      <x:c r="E13" s="23"/>
      <x:c r="F13" s="23"/>
      <x:c r="G13" s="56"/>
      <x:c r="H13" s="56"/>
      <x:c r="I13" s="24">
        <x:v>1.0</x:v>
      </x:c>
      <x:c r="J13" s="25"/>
      <x:c r="K13" s="25"/>
      <x:c r="L13" s="24">
        <x:v>1.0</x:v>
      </x:c>
      <x:c r="M13" s="94"/>
      <x:c r="N13" s="26" t="n">
        <x:f t="shared" ref="N13:N32" si="3">(E13*260+F13*255+G13*360+H13*390+I13*245+J13*190+K13*250+L13*470+M13*240)*1000</x:f>
        <x:v>715000</x:v>
      </x:c>
      <x:c r="O13" s="99" t="s">
        <x:v>74</x:v>
      </x:c>
      <x:c r="P13" s="23" t="s">
        <x:v>31</x:v>
      </x:c>
      <x:c r="Q13" s="32"/>
      <x:c r="R13" s="33" t="n">
        <x:v>45704</x:v>
      </x:c>
      <x:c r="S13" s="34" t="e">
        <x:f>IFERROR(__xludf.DUMMYFUNCTION("SUM(FILTER($E$2:$M$1060, $C$2:$C$1060 = R13))"),6.0)</x:f>
        <x:v>#NAME?</x:v>
      </x:c>
      <x:c r="T13" s="34" t="e">
        <x:f>IFERROR(__xludf.DUMMYFUNCTION("COUNT(FILTER($C$2:$C$1060, $C2:$C1060 = R13))"),3.0)</x:f>
        <x:v>#NAME?</x:v>
      </x:c>
      <x:c r="U13" s="31">
        <x:f t="shared" si="2"/>
        <x:v>1510000</x:v>
      </x:c>
    </x:row>
    <x:row r="14">
      <x:c r="A14" s="19">
        <x:v>13.0</x:v>
      </x:c>
      <x:c r="B14" s="23" t="s">
        <x:v>934</x:v>
      </x:c>
      <x:c r="C14" s="21">
        <x:v>45699.0</x:v>
      </x:c>
      <x:c r="D14" s="22" t="s">
        <x:v>935</x:v>
      </x:c>
      <x:c r="E14" s="56"/>
      <x:c r="F14" s="23"/>
      <x:c r="G14" s="23"/>
      <x:c r="H14" s="56"/>
      <x:c r="I14" s="24"/>
      <x:c r="J14" s="25"/>
      <x:c r="K14" s="24"/>
      <x:c r="L14" s="24">
        <x:v>2.0</x:v>
      </x:c>
      <x:c r="M14" s="94"/>
      <x:c r="N14" s="26">
        <x:f t="shared" si="3"/>
        <x:v>940000</x:v>
      </x:c>
      <x:c r="O14" s="23" t="s">
        <x:v>74</x:v>
      </x:c>
      <x:c r="P14" s="23" t="s">
        <x:v>31</x:v>
      </x:c>
      <x:c r="Q14" s="32"/>
      <x:c r="R14" s="33" t="n">
        <x:v>45705</x:v>
      </x:c>
      <x:c r="S14" s="34" t="e">
        <x:f>IFERROR(__xludf.DUMMYFUNCTION("SUM(FILTER($E$2:$M$1060, $C$2:$C$1060 = R14))"),1.0)</x:f>
        <x:v>#NAME?</x:v>
      </x:c>
      <x:c r="T14" s="34" t="e">
        <x:f>IFERROR(__xludf.DUMMYFUNCTION("COUNT(FILTER($C$2:$C$1060, $C2:$C1060 = R14))"),1.0)</x:f>
        <x:v>#NAME?</x:v>
      </x:c>
      <x:c r="U14" s="31">
        <x:f t="shared" si="2"/>
        <x:v>260000</x:v>
      </x:c>
    </x:row>
    <x:row r="15" ht="18.75" customHeight="1">
      <x:c r="A15" s="19">
        <x:v>14.0</x:v>
      </x:c>
      <x:c r="B15" s="23" t="s">
        <x:v>920</x:v>
      </x:c>
      <x:c r="C15" s="21">
        <x:v>45699.0</x:v>
      </x:c>
      <x:c r="D15" s="22" t="s">
        <x:v>936</x:v>
      </x:c>
      <x:c r="E15" s="23"/>
      <x:c r="F15" s="23">
        <x:v>1.0</x:v>
      </x:c>
      <x:c r="G15" s="56"/>
      <x:c r="H15" s="56"/>
      <x:c r="I15" s="24"/>
      <x:c r="J15" s="25"/>
      <x:c r="K15" s="25"/>
      <x:c r="L15" s="25"/>
      <x:c r="M15" s="94"/>
      <x:c r="N15" s="26">
        <x:f t="shared" si="3"/>
        <x:v>255000</x:v>
      </x:c>
      <x:c r="O15" s="23" t="s">
        <x:v>74</x:v>
      </x:c>
      <x:c r="P15" s="23" t="s">
        <x:v>31</x:v>
      </x:c>
      <x:c r="Q15" s="32"/>
      <x:c r="R15" s="33" t="n">
        <x:v>45706</x:v>
      </x:c>
      <x:c r="S15" s="34" t="e">
        <x:f>IFERROR(__xludf.DUMMYFUNCTION("SUM(FILTER($E$2:$M$1060, $C$2:$C$1060 = R15))"),4.0)</x:f>
        <x:v>#NAME?</x:v>
      </x:c>
      <x:c r="T15" s="34" t="e">
        <x:f>IFERROR(__xludf.DUMMYFUNCTION("COUNT(FILTER($C$2:$C$1060, $C2:$C1060 = R15))"),1.0)</x:f>
        <x:v>#NAME?</x:v>
      </x:c>
      <x:c r="U15" s="31">
        <x:f t="shared" si="2"/>
        <x:v>1010000</x:v>
      </x:c>
    </x:row>
    <x:row r="16" ht="18.75" customHeight="1">
      <x:c r="A16" s="19">
        <x:v>15.0</x:v>
      </x:c>
      <x:c r="B16" s="23" t="s">
        <x:v>937</x:v>
      </x:c>
      <x:c r="C16" s="21">
        <x:v>45699.0</x:v>
      </x:c>
      <x:c r="D16" s="22" t="s">
        <x:v>938</x:v>
      </x:c>
      <x:c r="E16" s="23"/>
      <x:c r="F16" s="23"/>
      <x:c r="G16" s="56"/>
      <x:c r="H16" s="56"/>
      <x:c r="I16" s="24"/>
      <x:c r="J16" s="24"/>
      <x:c r="K16" s="24"/>
      <x:c r="L16" s="24">
        <x:v>1.0</x:v>
      </x:c>
      <x:c r="M16" s="94"/>
      <x:c r="N16" s="26">
        <x:f t="shared" si="3"/>
        <x:v>470000</x:v>
      </x:c>
      <x:c r="O16" s="23" t="s">
        <x:v>74</x:v>
      </x:c>
      <x:c r="P16" s="23" t="s">
        <x:v>31</x:v>
      </x:c>
      <x:c r="Q16" s="32"/>
      <x:c r="R16" s="33" t="n">
        <x:v>45709</x:v>
      </x:c>
      <x:c r="S16" s="34" t="e">
        <x:f>IFERROR(__xludf.DUMMYFUNCTION("SUM(FILTER($E$2:$M$1060, $C$2:$C$1060 = R16))"),8.0)</x:f>
        <x:v>#NAME?</x:v>
      </x:c>
      <x:c r="T16" s="34" t="e">
        <x:f>IFERROR(__xludf.DUMMYFUNCTION("COUNT(FILTER($C$2:$C$1060, $C2:$C1060 = R16))"),6.0)</x:f>
        <x:v>#NAME?</x:v>
      </x:c>
      <x:c r="U16" s="31">
        <x:f t="shared" si="2"/>
        <x:v>2235000</x:v>
      </x:c>
    </x:row>
    <x:row r="17" ht="18.75" customHeight="1">
      <x:c r="A17" s="19">
        <x:v>16.0</x:v>
      </x:c>
      <x:c r="B17" s="23" t="s">
        <x:v>939</x:v>
      </x:c>
      <x:c r="C17" s="21">
        <x:v>45699.0</x:v>
      </x:c>
      <x:c r="D17" s="22" t="s">
        <x:v>940</x:v>
      </x:c>
      <x:c r="E17" s="23"/>
      <x:c r="F17" s="23">
        <x:v>1.0</x:v>
      </x:c>
      <x:c r="G17" s="56"/>
      <x:c r="H17" s="56"/>
      <x:c r="I17" s="24"/>
      <x:c r="J17" s="24"/>
      <x:c r="K17" s="24"/>
      <x:c r="L17" s="24"/>
      <x:c r="M17" s="94"/>
      <x:c r="N17" s="26">
        <x:f t="shared" si="3"/>
        <x:v>255000</x:v>
      </x:c>
      <x:c r="O17" s="23" t="s">
        <x:v>74</x:v>
      </x:c>
      <x:c r="P17" s="23" t="s">
        <x:v>31</x:v>
      </x:c>
      <x:c r="Q17" s="32"/>
      <x:c r="R17" s="33" t="n">
        <x:v>45710</x:v>
      </x:c>
      <x:c r="S17" s="34" t="e">
        <x:f>IFERROR(__xludf.DUMMYFUNCTION("SUM(FILTER($E$2:$M$1060, $C$2:$C$1060 = R17))"),10.0)</x:f>
        <x:v>#NAME?</x:v>
      </x:c>
      <x:c r="T17" s="34" t="e">
        <x:f>IFERROR(__xludf.DUMMYFUNCTION("COUNT(FILTER($C$2:$C$1060, $C2:$C1060 = R17))"),8.0)</x:f>
        <x:v>#NAME?</x:v>
      </x:c>
      <x:c r="U17" s="31">
        <x:f t="shared" si="2"/>
        <x:v>2825000</x:v>
      </x:c>
    </x:row>
    <x:row r="18" ht="18.75" customHeight="1">
      <x:c r="A18" s="19">
        <x:v>17.0</x:v>
      </x:c>
      <x:c r="B18" s="23" t="s">
        <x:v>941</x:v>
      </x:c>
      <x:c r="C18" s="21">
        <x:v>45699.0</x:v>
      </x:c>
      <x:c r="D18" s="58" t="s">
        <x:v>942</x:v>
      </x:c>
      <x:c r="E18" s="23">
        <x:v>1.0</x:v>
      </x:c>
      <x:c r="F18" s="23"/>
      <x:c r="G18" s="56"/>
      <x:c r="H18" s="56"/>
      <x:c r="I18" s="25"/>
      <x:c r="J18" s="25"/>
      <x:c r="K18" s="24">
        <x:v>1.0</x:v>
      </x:c>
      <x:c r="L18" s="25"/>
      <x:c r="M18" s="94"/>
      <x:c r="N18" s="26">
        <x:f t="shared" si="3"/>
        <x:v>510000</x:v>
      </x:c>
      <x:c r="O18" s="23" t="s">
        <x:v>74</x:v>
      </x:c>
      <x:c r="P18" s="23" t="s">
        <x:v>31</x:v>
      </x:c>
      <x:c r="Q18" s="32"/>
      <x:c r="R18" s="33" t="n">
        <x:v>45711</x:v>
      </x:c>
      <x:c r="S18" s="34" t="e">
        <x:f>IFERROR(__xludf.DUMMYFUNCTION("SUM(FILTER($E$2:$M$1060, $C$2:$C$1060 = R18))"),1.0)</x:f>
        <x:v>#NAME?</x:v>
      </x:c>
      <x:c r="T18" s="34" t="e">
        <x:f>IFERROR(__xludf.DUMMYFUNCTION("COUNT(FILTER($C$2:$C$1060, $C2:$C1060 = R18))"),1.0)</x:f>
        <x:v>#NAME?</x:v>
      </x:c>
      <x:c r="U18" s="31">
        <x:f t="shared" si="2"/>
        <x:v>470000</x:v>
      </x:c>
    </x:row>
    <x:row r="19" ht="18.75" customHeight="1">
      <x:c r="A19" s="19">
        <x:v>18.0</x:v>
      </x:c>
      <x:c r="B19" s="23" t="s">
        <x:v>943</x:v>
      </x:c>
      <x:c r="C19" s="21">
        <x:v>45699.0</x:v>
      </x:c>
      <x:c r="D19" s="22" t="s">
        <x:v>944</x:v>
      </x:c>
      <x:c r="E19" s="23"/>
      <x:c r="F19" s="23"/>
      <x:c r="G19" s="23"/>
      <x:c r="H19" s="23"/>
      <x:c r="I19" s="25"/>
      <x:c r="J19" s="25"/>
      <x:c r="K19" s="24">
        <x:v>1.0</x:v>
      </x:c>
      <x:c r="L19" s="25"/>
      <x:c r="M19" s="94"/>
      <x:c r="N19" s="26">
        <x:f t="shared" si="3"/>
        <x:v>250000</x:v>
      </x:c>
      <x:c r="O19" s="23" t="s">
        <x:v>74</x:v>
      </x:c>
      <x:c r="P19" s="23" t="s">
        <x:v>31</x:v>
      </x:c>
      <x:c r="Q19" s="32"/>
      <x:c r="R19" s="33" t="n">
        <x:v>45712</x:v>
      </x:c>
      <x:c r="S19" s="34" t="e">
        <x:f>IFERROR(__xludf.DUMMYFUNCTION("SUM(FILTER($E$2:$M$1060, $C$2:$C$1060 = R19))"),4.0)</x:f>
        <x:v>#NAME?</x:v>
      </x:c>
      <x:c r="T19" s="34" t="e">
        <x:f>IFERROR(__xludf.DUMMYFUNCTION("COUNT(FILTER($C$2:$C$1060, $C3:$C1061 = R19))"),2.0)</x:f>
        <x:v>#NAME?</x:v>
      </x:c>
      <x:c r="U19" s="31">
        <x:f t="shared" si="2"/>
        <x:v>985000</x:v>
      </x:c>
    </x:row>
    <x:row r="20" ht="18.75" customHeight="1">
      <x:c r="A20" s="19">
        <x:v>19.0</x:v>
      </x:c>
      <x:c r="B20" s="23" t="s">
        <x:v>945</x:v>
      </x:c>
      <x:c r="C20" s="21">
        <x:v>45699.0</x:v>
      </x:c>
      <x:c r="D20" s="22" t="s">
        <x:v>946</x:v>
      </x:c>
      <x:c r="E20" s="23"/>
      <x:c r="F20" s="23">
        <x:v>1.0</x:v>
      </x:c>
      <x:c r="G20" s="23"/>
      <x:c r="H20" s="56"/>
      <x:c r="I20" s="25"/>
      <x:c r="J20" s="25"/>
      <x:c r="K20" s="25"/>
      <x:c r="L20" s="25"/>
      <x:c r="M20" s="94"/>
      <x:c r="N20" s="26">
        <x:f t="shared" si="3"/>
        <x:v>255000</x:v>
      </x:c>
      <x:c r="O20" s="23" t="s">
        <x:v>74</x:v>
      </x:c>
      <x:c r="P20" s="23" t="s">
        <x:v>31</x:v>
      </x:c>
      <x:c r="Q20" s="32"/>
      <x:c r="R20" s="33" t="n">
        <x:v>45714</x:v>
      </x:c>
      <x:c r="S20" s="34" t="e">
        <x:f>IFERROR(__xludf.DUMMYFUNCTION("SUM(FILTER($E$2:$M$1060, $C$2:$C$1060 = R20))"),6.0)</x:f>
        <x:v>#NAME?</x:v>
      </x:c>
      <x:c r="T20" s="34" t="e">
        <x:f>IFERROR(__xludf.DUMMYFUNCTION("COUNT(FILTER($C$2:$C$1060, $C4:$C1062 = R20))"),2.0)</x:f>
        <x:v>#NAME?</x:v>
      </x:c>
      <x:c r="U20" s="31">
        <x:f t="shared" si="2"/>
        <x:v>2590000</x:v>
      </x:c>
    </x:row>
    <x:row r="21">
      <x:c r="A21" s="19">
        <x:v>20.0</x:v>
      </x:c>
      <x:c r="B21" s="23" t="s">
        <x:v>947</x:v>
      </x:c>
      <x:c r="C21" s="21">
        <x:v>45699.0</x:v>
      </x:c>
      <x:c r="D21" s="58" t="s">
        <x:v>948</x:v>
      </x:c>
      <x:c r="E21" s="56"/>
      <x:c r="F21" s="23">
        <x:v>1.0</x:v>
      </x:c>
      <x:c r="G21" s="56"/>
      <x:c r="H21" s="23"/>
      <x:c r="I21" s="25"/>
      <x:c r="J21" s="25"/>
      <x:c r="K21" s="25"/>
      <x:c r="L21" s="25"/>
      <x:c r="M21" s="94"/>
      <x:c r="N21" s="26">
        <x:f t="shared" si="3"/>
        <x:v>255000</x:v>
      </x:c>
      <x:c r="O21" s="23" t="s">
        <x:v>74</x:v>
      </x:c>
      <x:c r="P21" s="23" t="s">
        <x:v>31</x:v>
      </x:c>
      <x:c r="Q21" s="57"/>
      <x:c r="R21" s="33" t="n">
        <x:v>45716</x:v>
      </x:c>
      <x:c r="S21" s="34" t="e">
        <x:f>IFERROR(__xludf.DUMMYFUNCTION("SUM(FILTER($E$2:$M$1060, $C$2:$C$1060 = R21))"),4.0)</x:f>
        <x:v>#NAME?</x:v>
      </x:c>
      <x:c r="T21" s="34" t="e">
        <x:f>IFERROR(__xludf.DUMMYFUNCTION("COUNT(FILTER($C$2:$C$1060, $C5:$C1063 = R21))"),3.0)</x:f>
        <x:v>#NAME?</x:v>
      </x:c>
      <x:c r="U21" s="31">
        <x:f t="shared" si="2"/>
        <x:v>1125000</x:v>
      </x:c>
    </x:row>
    <x:row r="22" ht="18.75" customHeight="1">
      <x:c r="A22" s="19">
        <x:v>21.0</x:v>
      </x:c>
      <x:c r="B22" s="23" t="s">
        <x:v>949</x:v>
      </x:c>
      <x:c r="C22" s="21">
        <x:v>45699.0</x:v>
      </x:c>
      <x:c r="D22" s="58" t="s">
        <x:v>950</x:v>
      </x:c>
      <x:c r="E22" s="56"/>
      <x:c r="F22" s="23"/>
      <x:c r="G22" s="56"/>
      <x:c r="H22" s="56"/>
      <x:c r="I22" s="24">
        <x:v>1.0</x:v>
      </x:c>
      <x:c r="J22" s="24"/>
      <x:c r="K22" s="24">
        <x:v>1.0</x:v>
      </x:c>
      <x:c r="L22" s="25"/>
      <x:c r="M22" s="94"/>
      <x:c r="N22" s="26">
        <x:f t="shared" si="3"/>
        <x:v>495000</x:v>
      </x:c>
      <x:c r="O22" s="23" t="s">
        <x:v>74</x:v>
      </x:c>
      <x:c r="P22" s="23" t="s">
        <x:v>31</x:v>
      </x:c>
      <x:c r="Q22" s="32"/>
      <x:c r="R22" s="33" t="n">
        <x:v>0</x:v>
      </x:c>
      <x:c r="S22" s="34"/>
      <x:c r="T22" s="34"/>
      <x:c r="U22" s="31"/>
    </x:row>
    <x:row r="23" ht="18.75" customHeight="1">
      <x:c r="A23" s="19">
        <x:v>22.0</x:v>
      </x:c>
      <x:c r="B23" s="23" t="s">
        <x:v>861</x:v>
      </x:c>
      <x:c r="C23" s="21">
        <x:v>45699.0</x:v>
      </x:c>
      <x:c r="D23" s="22" t="s">
        <x:v>862</x:v>
      </x:c>
      <x:c r="E23" s="23">
        <x:v>1.0</x:v>
      </x:c>
      <x:c r="F23" s="23"/>
      <x:c r="G23" s="56"/>
      <x:c r="H23" s="56"/>
      <x:c r="I23" s="25"/>
      <x:c r="J23" s="25"/>
      <x:c r="K23" s="24">
        <x:v>1.0</x:v>
      </x:c>
      <x:c r="L23" s="25"/>
      <x:c r="M23" s="94"/>
      <x:c r="N23" s="26">
        <x:f t="shared" si="3"/>
        <x:v>510000</x:v>
      </x:c>
      <x:c r="O23" s="23" t="s">
        <x:v>74</x:v>
      </x:c>
      <x:c r="P23" s="23" t="s">
        <x:v>31</x:v>
      </x:c>
      <x:c r="Q23" s="32"/>
    </x:row>
    <x:row r="24" ht="18.75" customHeight="1">
      <x:c r="A24" s="19">
        <x:v>23.0</x:v>
      </x:c>
      <x:c r="B24" s="23" t="s">
        <x:v>951</x:v>
      </x:c>
      <x:c r="C24" s="21">
        <x:v>45699.0</x:v>
      </x:c>
      <x:c r="D24" s="22" t="s">
        <x:v>952</x:v>
      </x:c>
      <x:c r="E24" s="23"/>
      <x:c r="F24" s="23"/>
      <x:c r="G24" s="23"/>
      <x:c r="H24" s="23"/>
      <x:c r="I24" s="25"/>
      <x:c r="J24" s="24"/>
      <x:c r="K24" s="25"/>
      <x:c r="L24" s="24">
        <x:v>1.0</x:v>
      </x:c>
      <x:c r="M24" s="94"/>
      <x:c r="N24" s="26">
        <x:f t="shared" si="3"/>
        <x:v>470000</x:v>
      </x:c>
      <x:c r="O24" s="23" t="s">
        <x:v>74</x:v>
      </x:c>
      <x:c r="P24" s="23" t="s">
        <x:v>31</x:v>
      </x:c>
      <x:c r="Q24" s="32"/>
    </x:row>
    <x:row r="25">
      <x:c r="A25" s="19">
        <x:v>24.0</x:v>
      </x:c>
      <x:c r="B25" s="23" t="s">
        <x:v>953</x:v>
      </x:c>
      <x:c r="C25" s="21">
        <x:v>45700.0</x:v>
      </x:c>
      <x:c r="D25" s="22" t="s">
        <x:v>954</x:v>
      </x:c>
      <x:c r="E25" s="23"/>
      <x:c r="F25" s="23"/>
      <x:c r="G25" s="23">
        <x:v>1.0</x:v>
      </x:c>
      <x:c r="H25" s="23"/>
      <x:c r="I25" s="24">
        <x:v>1.0</x:v>
      </x:c>
      <x:c r="J25" s="25"/>
      <x:c r="K25" s="24">
        <x:v>1.0</x:v>
      </x:c>
      <x:c r="L25" s="25"/>
      <x:c r="M25" s="94"/>
      <x:c r="N25" s="26">
        <x:f t="shared" si="3"/>
        <x:v>855000</x:v>
      </x:c>
      <x:c r="O25" s="23" t="s">
        <x:v>74</x:v>
      </x:c>
      <x:c r="P25" s="23" t="s">
        <x:v>31</x:v>
      </x:c>
      <x:c r="Q25" s="57"/>
    </x:row>
    <x:row r="26" ht="18.75" customHeight="1">
      <x:c r="A26" s="19">
        <x:v>25.0</x:v>
      </x:c>
      <x:c r="B26" s="23" t="s">
        <x:v>955</x:v>
      </x:c>
      <x:c r="C26" s="21">
        <x:v>45700.0</x:v>
      </x:c>
      <x:c r="D26" s="22" t="s">
        <x:v>956</x:v>
      </x:c>
      <x:c r="E26" s="56"/>
      <x:c r="F26" s="23"/>
      <x:c r="G26" s="56"/>
      <x:c r="H26" s="23"/>
      <x:c r="I26" s="24">
        <x:v>1.0</x:v>
      </x:c>
      <x:c r="J26" s="25"/>
      <x:c r="K26" s="24"/>
      <x:c r="L26" s="24"/>
      <x:c r="M26" s="94"/>
      <x:c r="N26" s="26">
        <x:f t="shared" si="3"/>
        <x:v>245000</x:v>
      </x:c>
      <x:c r="O26" s="23" t="s">
        <x:v>74</x:v>
      </x:c>
      <x:c r="P26" s="23" t="s">
        <x:v>31</x:v>
      </x:c>
      <x:c r="Q26" s="57"/>
    </x:row>
    <x:row r="27">
      <x:c r="A27" s="19">
        <x:v>26.0</x:v>
      </x:c>
      <x:c r="B27" s="23" t="s">
        <x:v>957</x:v>
      </x:c>
      <x:c r="C27" s="21">
        <x:v>45700.0</x:v>
      </x:c>
      <x:c r="D27" s="22" t="s">
        <x:v>958</x:v>
      </x:c>
      <x:c r="E27" s="23">
        <x:v>1.0</x:v>
      </x:c>
      <x:c r="F27" s="23">
        <x:v>1.0</x:v>
      </x:c>
      <x:c r="G27" s="56"/>
      <x:c r="H27" s="23"/>
      <x:c r="I27" s="24"/>
      <x:c r="J27" s="24"/>
      <x:c r="K27" s="25"/>
      <x:c r="L27" s="25"/>
      <x:c r="M27" s="94"/>
      <x:c r="N27" s="26">
        <x:f t="shared" si="3"/>
        <x:v>515000</x:v>
      </x:c>
      <x:c r="O27" s="23" t="s">
        <x:v>74</x:v>
      </x:c>
      <x:c r="P27" s="23" t="s">
        <x:v>31</x:v>
      </x:c>
      <x:c r="Q27" s="57"/>
    </x:row>
    <x:row r="28" ht="18.75" customHeight="1">
      <x:c r="A28" s="19">
        <x:v>27.0</x:v>
      </x:c>
      <x:c r="B28" s="23" t="s">
        <x:v>959</x:v>
      </x:c>
      <x:c r="C28" s="21">
        <x:v>45700.0</x:v>
      </x:c>
      <x:c r="D28" s="22" t="s">
        <x:v>960</x:v>
      </x:c>
      <x:c r="E28" s="56"/>
      <x:c r="F28" s="23"/>
      <x:c r="G28" s="23">
        <x:v>1.0</x:v>
      </x:c>
      <x:c r="H28" s="23"/>
      <x:c r="I28" s="24"/>
      <x:c r="J28" s="24"/>
      <x:c r="K28" s="24"/>
      <x:c r="L28" s="24"/>
      <x:c r="M28" s="94"/>
      <x:c r="N28" s="26">
        <x:f t="shared" si="3"/>
        <x:v>360000</x:v>
      </x:c>
      <x:c r="O28" s="23" t="s">
        <x:v>74</x:v>
      </x:c>
      <x:c r="P28" s="23" t="s">
        <x:v>31</x:v>
      </x:c>
      <x:c r="Q28" s="32"/>
    </x:row>
    <x:row r="29" ht="18.75" customHeight="1">
      <x:c r="A29" s="19">
        <x:v>28.0</x:v>
      </x:c>
      <x:c r="B29" s="23" t="s">
        <x:v>961</x:v>
      </x:c>
      <x:c r="C29" s="21">
        <x:v>45700.0</x:v>
      </x:c>
      <x:c r="D29" s="58" t="s">
        <x:v>962</x:v>
      </x:c>
      <x:c r="E29" s="23"/>
      <x:c r="F29" s="23"/>
      <x:c r="G29" s="56"/>
      <x:c r="H29" s="23"/>
      <x:c r="I29" s="24"/>
      <x:c r="J29" s="24"/>
      <x:c r="K29" s="24">
        <x:v>1.0</x:v>
      </x:c>
      <x:c r="L29" s="24"/>
      <x:c r="M29" s="94"/>
      <x:c r="N29" s="26">
        <x:f t="shared" si="3"/>
        <x:v>250000</x:v>
      </x:c>
      <x:c r="O29" s="23" t="s">
        <x:v>74</x:v>
      </x:c>
      <x:c r="P29" s="23" t="s">
        <x:v>31</x:v>
      </x:c>
      <x:c r="Q29" s="32"/>
    </x:row>
    <x:row r="30" ht="18.75" customHeight="1">
      <x:c r="A30" s="19">
        <x:v>29.0</x:v>
      </x:c>
      <x:c r="B30" s="23" t="s">
        <x:v>963</x:v>
      </x:c>
      <x:c r="C30" s="21">
        <x:v>45700.0</x:v>
      </x:c>
      <x:c r="D30" s="22" t="s">
        <x:v>964</x:v>
      </x:c>
      <x:c r="E30" s="23"/>
      <x:c r="F30" s="23"/>
      <x:c r="G30" s="56"/>
      <x:c r="H30" s="23"/>
      <x:c r="I30" s="24"/>
      <x:c r="J30" s="24"/>
      <x:c r="K30" s="24"/>
      <x:c r="L30" s="24"/>
      <x:c r="M30" s="23">
        <x:v>1.0</x:v>
      </x:c>
      <x:c r="N30" s="26">
        <x:f t="shared" si="3"/>
        <x:v>240000</x:v>
      </x:c>
      <x:c r="O30" s="23" t="s">
        <x:v>74</x:v>
      </x:c>
      <x:c r="P30" s="23" t="s">
        <x:v>31</x:v>
      </x:c>
      <x:c r="Q30" s="32"/>
    </x:row>
    <x:row r="31" ht="18.75" customHeight="1">
      <x:c r="A31" s="19">
        <x:v>30.0</x:v>
      </x:c>
      <x:c r="B31" s="23" t="s">
        <x:v>625</x:v>
      </x:c>
      <x:c r="C31" s="21">
        <x:v>45701.0</x:v>
      </x:c>
      <x:c r="D31" s="22" t="s">
        <x:v>965</x:v>
      </x:c>
      <x:c r="E31" s="56"/>
      <x:c r="F31" s="23">
        <x:v>1.0</x:v>
      </x:c>
      <x:c r="G31" s="23"/>
      <x:c r="H31" s="56"/>
      <x:c r="I31" s="24">
        <x:v>1.0</x:v>
      </x:c>
      <x:c r="J31" s="25"/>
      <x:c r="K31" s="25"/>
      <x:c r="L31" s="25"/>
      <x:c r="M31" s="94"/>
      <x:c r="N31" s="26">
        <x:f t="shared" si="3"/>
        <x:v>500000</x:v>
      </x:c>
      <x:c r="O31" s="23" t="s">
        <x:v>74</x:v>
      </x:c>
      <x:c r="P31" s="23" t="s">
        <x:v>31</x:v>
      </x:c>
      <x:c r="Q31" s="32"/>
    </x:row>
    <x:row r="32" ht="18.75" customHeight="1">
      <x:c r="A32" s="19">
        <x:v>31.0</x:v>
      </x:c>
      <x:c r="B32" s="23" t="s">
        <x:v>966</x:v>
      </x:c>
      <x:c r="C32" s="21">
        <x:v>45701.0</x:v>
      </x:c>
      <x:c r="D32" s="22" t="s">
        <x:v>967</x:v>
      </x:c>
      <x:c r="E32" s="23"/>
      <x:c r="F32" s="23"/>
      <x:c r="G32" s="23"/>
      <x:c r="H32" s="23"/>
      <x:c r="I32" s="24">
        <x:v>1.0</x:v>
      </x:c>
      <x:c r="J32" s="24"/>
      <x:c r="K32" s="24"/>
      <x:c r="L32" s="25"/>
      <x:c r="M32" s="94"/>
      <x:c r="N32" s="26">
        <x:f t="shared" si="3"/>
        <x:v>245000</x:v>
      </x:c>
      <x:c r="O32" s="23" t="s">
        <x:v>74</x:v>
      </x:c>
      <x:c r="P32" s="23" t="s">
        <x:v>31</x:v>
      </x:c>
      <x:c r="Q32" s="32"/>
    </x:row>
    <x:row r="33" ht="18.75" customHeight="1">
      <x:c r="A33" s="19">
        <x:v>32.0</x:v>
      </x:c>
      <x:c r="B33" s="23" t="s">
        <x:v>968</x:v>
      </x:c>
      <x:c r="C33" s="21">
        <x:v>45702.0</x:v>
      </x:c>
      <x:c r="D33" s="22" t="s">
        <x:v>969</x:v>
      </x:c>
      <x:c r="E33" s="23">
        <x:v>1.0</x:v>
      </x:c>
      <x:c r="F33" s="23"/>
      <x:c r="G33" s="56"/>
      <x:c r="H33" s="23"/>
      <x:c r="I33" s="25"/>
      <x:c r="J33" s="25"/>
      <x:c r="K33" s="24"/>
      <x:c r="L33" s="25"/>
      <x:c r="M33" s="94"/>
      <x:c r="N33" s="26" t="n">
        <x:f>(E33*260+F33*255+G33*360+H33*390+I33*245+J33*190+K33*250+L33*470+M33*240)*1000-6000</x:f>
        <x:v>254000</x:v>
      </x:c>
      <x:c r="O33" s="23" t="s">
        <x:v>74</x:v>
      </x:c>
      <x:c r="P33" s="23" t="s">
        <x:v>31</x:v>
      </x:c>
      <x:c r="Q33" s="57"/>
    </x:row>
    <x:row r="34">
      <x:c r="A34" s="19">
        <x:v>33.0</x:v>
      </x:c>
      <x:c r="B34" s="23" t="s">
        <x:v>970</x:v>
      </x:c>
      <x:c r="C34" s="21">
        <x:v>45702.0</x:v>
      </x:c>
      <x:c r="D34" s="22" t="s">
        <x:v>971</x:v>
      </x:c>
      <x:c r="E34" s="56"/>
      <x:c r="F34" s="23"/>
      <x:c r="G34" s="56"/>
      <x:c r="H34" s="23"/>
      <x:c r="I34" s="24"/>
      <x:c r="J34" s="25"/>
      <x:c r="K34" s="24">
        <x:v>1.0</x:v>
      </x:c>
      <x:c r="L34" s="25"/>
      <x:c r="M34" s="94"/>
      <x:c r="N34" s="26" t="n">
        <x:f t="shared" ref="N34:N40" si="4">(E34*260+F34*255+G34*360+H34*390+I34*245+J34*190+K34*250+L34*470+M34*240)*1000</x:f>
        <x:v>250000</x:v>
      </x:c>
      <x:c r="O34" s="23" t="s">
        <x:v>74</x:v>
      </x:c>
      <x:c r="P34" s="23" t="s">
        <x:v>31</x:v>
      </x:c>
      <x:c r="Q34" s="32"/>
    </x:row>
    <x:row r="35" ht="18.75" customHeight="1">
      <x:c r="A35" s="19">
        <x:v>34.0</x:v>
      </x:c>
      <x:c r="B35" s="23" t="s">
        <x:v>972</x:v>
      </x:c>
      <x:c r="C35" s="21">
        <x:v>45703.0</x:v>
      </x:c>
      <x:c r="D35" s="22" t="s">
        <x:v>521</x:v>
      </x:c>
      <x:c r="E35" s="23"/>
      <x:c r="F35" s="23"/>
      <x:c r="G35" s="23"/>
      <x:c r="H35" s="23"/>
      <x:c r="I35" s="24">
        <x:v>1.0</x:v>
      </x:c>
      <x:c r="J35" s="25"/>
      <x:c r="K35" s="25"/>
      <x:c r="L35" s="25"/>
      <x:c r="M35" s="94"/>
      <x:c r="N35" s="26">
        <x:f t="shared" si="4"/>
        <x:v>245000</x:v>
      </x:c>
      <x:c r="O35" s="23" t="s">
        <x:v>74</x:v>
      </x:c>
      <x:c r="P35" s="23" t="s">
        <x:v>31</x:v>
      </x:c>
    </x:row>
    <x:row r="36" ht="18.75" customHeight="1">
      <x:c r="A36" s="19">
        <x:v>35.0</x:v>
      </x:c>
      <x:c r="B36" s="23" t="s">
        <x:v>973</x:v>
      </x:c>
      <x:c r="C36" s="21">
        <x:v>45703.0</x:v>
      </x:c>
      <x:c r="D36" s="22" t="s">
        <x:v>974</x:v>
      </x:c>
      <x:c r="E36" s="23"/>
      <x:c r="F36" s="23"/>
      <x:c r="G36" s="23"/>
      <x:c r="H36" s="23"/>
      <x:c r="I36" s="25"/>
      <x:c r="J36" s="25"/>
      <x:c r="K36" s="25"/>
      <x:c r="L36" s="24">
        <x:v>1.0</x:v>
      </x:c>
      <x:c r="M36" s="94"/>
      <x:c r="N36" s="26">
        <x:f t="shared" si="4"/>
        <x:v>470000</x:v>
      </x:c>
      <x:c r="O36" s="23" t="s">
        <x:v>74</x:v>
      </x:c>
      <x:c r="P36" s="23" t="s">
        <x:v>31</x:v>
      </x:c>
    </x:row>
    <x:row r="37" ht="18.75" customHeight="1">
      <x:c r="A37" s="19">
        <x:v>36.0</x:v>
      </x:c>
      <x:c r="B37" s="23" t="s">
        <x:v>975</x:v>
      </x:c>
      <x:c r="C37" s="21">
        <x:v>45703.0</x:v>
      </x:c>
      <x:c r="D37" s="22" t="s">
        <x:v>976</x:v>
      </x:c>
      <x:c r="E37" s="23"/>
      <x:c r="F37" s="23"/>
      <x:c r="G37" s="56"/>
      <x:c r="H37" s="23"/>
      <x:c r="I37" s="24">
        <x:v>1.0</x:v>
      </x:c>
      <x:c r="J37" s="24"/>
      <x:c r="K37" s="25"/>
      <x:c r="L37" s="25"/>
      <x:c r="M37" s="94"/>
      <x:c r="N37" s="26">
        <x:f t="shared" si="4"/>
        <x:v>245000</x:v>
      </x:c>
      <x:c r="O37" s="23" t="s">
        <x:v>74</x:v>
      </x:c>
      <x:c r="P37" s="23" t="s">
        <x:v>31</x:v>
      </x:c>
    </x:row>
    <x:row r="38" ht="18.75" customHeight="1">
      <x:c r="A38" s="19">
        <x:v>37.0</x:v>
      </x:c>
      <x:c r="B38" s="23" t="s">
        <x:v>977</x:v>
      </x:c>
      <x:c r="C38" s="21">
        <x:v>45704.0</x:v>
      </x:c>
      <x:c r="D38" s="58" t="s">
        <x:v>978</x:v>
      </x:c>
      <x:c r="E38" s="23"/>
      <x:c r="F38" s="23">
        <x:v>1.0</x:v>
      </x:c>
      <x:c r="G38" s="23"/>
      <x:c r="H38" s="23"/>
      <x:c r="I38" s="25"/>
      <x:c r="J38" s="24"/>
      <x:c r="K38" s="24">
        <x:v>2.0</x:v>
      </x:c>
      <x:c r="L38" s="25"/>
      <x:c r="M38" s="94"/>
      <x:c r="N38" s="26">
        <x:f t="shared" si="4"/>
        <x:v>755000</x:v>
      </x:c>
      <x:c r="O38" s="23" t="s">
        <x:v>74</x:v>
      </x:c>
      <x:c r="P38" s="23" t="s">
        <x:v>31</x:v>
      </x:c>
    </x:row>
    <x:row r="39" ht="18.75" customHeight="1">
      <x:c r="A39" s="19">
        <x:v>38.0</x:v>
      </x:c>
      <x:c r="B39" s="39" t="s">
        <x:v>979</x:v>
      </x:c>
      <x:c r="C39" s="21">
        <x:v>45704.0</x:v>
      </x:c>
      <x:c r="D39" s="22" t="s">
        <x:v>594</x:v>
      </x:c>
      <x:c r="E39" s="23"/>
      <x:c r="F39" s="23">
        <x:v>1.0</x:v>
      </x:c>
      <x:c r="G39" s="23"/>
      <x:c r="H39" s="23"/>
      <x:c r="I39" s="24"/>
      <x:c r="J39" s="25"/>
      <x:c r="K39" s="25"/>
      <x:c r="L39" s="25"/>
      <x:c r="M39" s="94"/>
      <x:c r="N39" s="26">
        <x:f t="shared" si="4"/>
        <x:v>255000</x:v>
      </x:c>
      <x:c r="O39" s="23" t="s">
        <x:v>74</x:v>
      </x:c>
      <x:c r="P39" s="23" t="s">
        <x:v>31</x:v>
      </x:c>
    </x:row>
    <x:row r="40" ht="18.75" customHeight="1">
      <x:c r="A40" s="19">
        <x:v>39.0</x:v>
      </x:c>
      <x:c r="B40" s="23" t="s">
        <x:v>980</x:v>
      </x:c>
      <x:c r="C40" s="21">
        <x:v>45704.0</x:v>
      </x:c>
      <x:c r="D40" s="22" t="s">
        <x:v>981</x:v>
      </x:c>
      <x:c r="E40" s="23"/>
      <x:c r="F40" s="23">
        <x:v>1.0</x:v>
      </x:c>
      <x:c r="G40" s="23"/>
      <x:c r="H40" s="23"/>
      <x:c r="I40" s="24">
        <x:v>1.0</x:v>
      </x:c>
      <x:c r="J40" s="25"/>
      <x:c r="K40" s="25"/>
      <x:c r="L40" s="25"/>
      <x:c r="M40" s="94"/>
      <x:c r="N40" s="26">
        <x:f t="shared" si="4"/>
        <x:v>500000</x:v>
      </x:c>
      <x:c r="O40" s="23" t="s">
        <x:v>74</x:v>
      </x:c>
      <x:c r="P40" s="23" t="s">
        <x:v>31</x:v>
      </x:c>
    </x:row>
    <x:row r="41" ht="18.75" customHeight="1">
      <x:c r="A41" s="19">
        <x:v>40.0</x:v>
      </x:c>
      <x:c r="B41" s="23" t="s">
        <x:v>982</x:v>
      </x:c>
      <x:c r="C41" s="21">
        <x:v>45705.0</x:v>
      </x:c>
      <x:c r="D41" s="22" t="s">
        <x:v>983</x:v>
      </x:c>
      <x:c r="E41" s="56"/>
      <x:c r="F41" s="23"/>
      <x:c r="G41" s="56"/>
      <x:c r="H41" s="23"/>
      <x:c r="I41" s="25"/>
      <x:c r="J41" s="24"/>
      <x:c r="K41" s="24">
        <x:v>1.0</x:v>
      </x:c>
      <x:c r="L41" s="25"/>
      <x:c r="M41" s="94"/>
      <x:c r="N41" s="26" t="n">
        <x:f>(E41*260+F41*255+G41*360+H41*390+I41*245+J41*190+K41*250+L41*470+M41*240)*1000+10000</x:f>
        <x:v>260000</x:v>
      </x:c>
      <x:c r="O41" s="23" t="s">
        <x:v>74</x:v>
      </x:c>
      <x:c r="P41" s="23" t="s">
        <x:v>31</x:v>
      </x:c>
    </x:row>
    <x:row r="42" ht="18.75" customHeight="1">
      <x:c r="A42" s="19">
        <x:v>41.0</x:v>
      </x:c>
      <x:c r="B42" s="23" t="s">
        <x:v>984</x:v>
      </x:c>
      <x:c r="C42" s="21">
        <x:v>45706.0</x:v>
      </x:c>
      <x:c r="D42" s="58" t="s">
        <x:v>985</x:v>
      </x:c>
      <x:c r="E42" s="23">
        <x:v>2.0</x:v>
      </x:c>
      <x:c r="F42" s="23"/>
      <x:c r="G42" s="56"/>
      <x:c r="H42" s="23"/>
      <x:c r="I42" s="24">
        <x:v>2.0</x:v>
      </x:c>
      <x:c r="J42" s="24"/>
      <x:c r="K42" s="25"/>
      <x:c r="L42" s="25"/>
      <x:c r="M42" s="94"/>
      <x:c r="N42" s="26" t="n">
        <x:f t="shared" ref="N42:N43" si="5">(E42*260+F42*255+G42*360+H42*390+I42*245+J42*190+K42*250+L42*470+M42*240)*1000</x:f>
        <x:v>1010000</x:v>
      </x:c>
      <x:c r="O42" s="23" t="s">
        <x:v>74</x:v>
      </x:c>
      <x:c r="P42" s="23" t="s">
        <x:v>31</x:v>
      </x:c>
    </x:row>
    <x:row r="43" ht="18.75" customHeight="1">
      <x:c r="A43" s="19">
        <x:v>42.0</x:v>
      </x:c>
      <x:c r="B43" s="23" t="s">
        <x:v>986</x:v>
      </x:c>
      <x:c r="C43" s="21">
        <x:v>45709.0</x:v>
      </x:c>
      <x:c r="D43" s="58" t="s">
        <x:v>987</x:v>
      </x:c>
      <x:c r="E43" s="23">
        <x:v>1.0</x:v>
      </x:c>
      <x:c r="F43" s="23"/>
      <x:c r="G43" s="23">
        <x:v>1.0</x:v>
      </x:c>
      <x:c r="H43" s="23"/>
      <x:c r="I43" s="25"/>
      <x:c r="J43" s="25"/>
      <x:c r="K43" s="24"/>
      <x:c r="L43" s="25"/>
      <x:c r="M43" s="94"/>
      <x:c r="N43" s="26">
        <x:f t="shared" si="5"/>
        <x:v>620000</x:v>
      </x:c>
      <x:c r="O43" s="23" t="s">
        <x:v>988</x:v>
      </x:c>
      <x:c r="P43" s="23" t="s">
        <x:v>31</x:v>
      </x:c>
    </x:row>
    <x:row r="44" ht="18.75" customHeight="1">
      <x:c r="A44" s="19">
        <x:v>43.0</x:v>
      </x:c>
      <x:c r="B44" s="23" t="s">
        <x:v>989</x:v>
      </x:c>
      <x:c r="C44" s="21">
        <x:v>45709.0</x:v>
      </x:c>
      <x:c r="D44" s="55"/>
      <x:c r="E44" s="56"/>
      <x:c r="F44" s="23"/>
      <x:c r="G44" s="23">
        <x:v>1.0</x:v>
      </x:c>
      <x:c r="H44" s="23"/>
      <x:c r="I44" s="24"/>
      <x:c r="J44" s="24"/>
      <x:c r="K44" s="24"/>
      <x:c r="L44" s="24"/>
      <x:c r="M44" s="94"/>
      <x:c r="N44" s="26" t="n">
        <x:f>(E44*260+F44*255+G44*360+H44*390+I44*245+J44*190+K44*250+L44*470+M44*240)*1000-5000</x:f>
        <x:v>355000</x:v>
      </x:c>
      <x:c r="O44" s="23" t="s">
        <x:v>74</x:v>
      </x:c>
      <x:c r="P44" s="23" t="s">
        <x:v>31</x:v>
      </x:c>
    </x:row>
    <x:row r="45" ht="18.75" customHeight="1">
      <x:c r="A45" s="19">
        <x:v>45.0</x:v>
      </x:c>
      <x:c r="B45" s="23" t="s">
        <x:v>569</x:v>
      </x:c>
      <x:c r="C45" s="21">
        <x:v>45709.0</x:v>
      </x:c>
      <x:c r="D45" s="22" t="s">
        <x:v>990</x:v>
      </x:c>
      <x:c r="E45" s="56"/>
      <x:c r="F45" s="23">
        <x:v>2.0</x:v>
      </x:c>
      <x:c r="G45" s="23"/>
      <x:c r="H45" s="23"/>
      <x:c r="I45" s="24"/>
      <x:c r="J45" s="24"/>
      <x:c r="K45" s="24"/>
      <x:c r="L45" s="24"/>
      <x:c r="M45" s="94"/>
      <x:c r="N45" s="26" t="n">
        <x:f t="shared" ref="N45:N49" si="6">(E45*260+F45*255+G45*360+H45*390+I45*245+J45*190+K45*250+L45*470+M45*240)*1000</x:f>
        <x:v>510000</x:v>
      </x:c>
      <x:c r="O45" s="23" t="s">
        <x:v>74</x:v>
      </x:c>
      <x:c r="P45" s="23" t="s">
        <x:v>31</x:v>
      </x:c>
    </x:row>
    <x:row r="46" ht="18.75" customHeight="1">
      <x:c r="A46" s="19">
        <x:v>46.0</x:v>
      </x:c>
      <x:c r="B46" s="23" t="s">
        <x:v>991</x:v>
      </x:c>
      <x:c r="C46" s="21">
        <x:v>45709.0</x:v>
      </x:c>
      <x:c r="D46" s="58" t="s">
        <x:v>992</x:v>
      </x:c>
      <x:c r="E46" s="56"/>
      <x:c r="F46" s="23">
        <x:v>1.0</x:v>
      </x:c>
      <x:c r="G46" s="56"/>
      <x:c r="H46" s="23"/>
      <x:c r="I46" s="24"/>
      <x:c r="J46" s="24"/>
      <x:c r="K46" s="24"/>
      <x:c r="L46" s="24"/>
      <x:c r="M46" s="94"/>
      <x:c r="N46" s="26">
        <x:f t="shared" si="6"/>
        <x:v>255000</x:v>
      </x:c>
      <x:c r="O46" s="23" t="s">
        <x:v>74</x:v>
      </x:c>
      <x:c r="P46" s="23" t="s">
        <x:v>31</x:v>
      </x:c>
      <x:c r="Q46" s="39"/>
    </x:row>
    <x:row r="47" ht="18.75" customHeight="1">
      <x:c r="A47" s="19">
        <x:v>48.0</x:v>
      </x:c>
      <x:c r="B47" s="23" t="s">
        <x:v>993</x:v>
      </x:c>
      <x:c r="C47" s="21">
        <x:v>45709.0</x:v>
      </x:c>
      <x:c r="D47" s="22" t="s">
        <x:v>994</x:v>
      </x:c>
      <x:c r="E47" s="56"/>
      <x:c r="F47" s="23"/>
      <x:c r="G47" s="56"/>
      <x:c r="H47" s="23"/>
      <x:c r="I47" s="24"/>
      <x:c r="J47" s="24"/>
      <x:c r="K47" s="24">
        <x:v>1.0</x:v>
      </x:c>
      <x:c r="L47" s="25"/>
      <x:c r="M47" s="94"/>
      <x:c r="N47" s="26">
        <x:f t="shared" si="6"/>
        <x:v>250000</x:v>
      </x:c>
      <x:c r="O47" s="23" t="s">
        <x:v>74</x:v>
      </x:c>
      <x:c r="P47" s="23" t="s">
        <x:v>31</x:v>
      </x:c>
    </x:row>
    <x:row r="48" ht="18.75" customHeight="1">
      <x:c r="A48" s="19">
        <x:v>49.0</x:v>
      </x:c>
      <x:c r="B48" s="23" t="s">
        <x:v>995</x:v>
      </x:c>
      <x:c r="C48" s="21">
        <x:v>45709.0</x:v>
      </x:c>
      <x:c r="D48" s="22" t="s">
        <x:v>996</x:v>
      </x:c>
      <x:c r="E48" s="56"/>
      <x:c r="F48" s="23"/>
      <x:c r="G48" s="56"/>
      <x:c r="H48" s="23"/>
      <x:c r="I48" s="24">
        <x:v>1.0</x:v>
      </x:c>
      <x:c r="J48" s="25"/>
      <x:c r="K48" s="25"/>
      <x:c r="L48" s="25"/>
      <x:c r="M48" s="94"/>
      <x:c r="N48" s="26">
        <x:f t="shared" si="6"/>
        <x:v>245000</x:v>
      </x:c>
      <x:c r="O48" s="23" t="s">
        <x:v>74</x:v>
      </x:c>
      <x:c r="P48" s="23" t="s">
        <x:v>31</x:v>
      </x:c>
    </x:row>
    <x:row r="49" ht="18.75" customHeight="1">
      <x:c r="A49" s="19">
        <x:v>50.0</x:v>
      </x:c>
      <x:c r="B49" s="23" t="s">
        <x:v>997</x:v>
      </x:c>
      <x:c r="C49" s="21">
        <x:v>45710.0</x:v>
      </x:c>
      <x:c r="D49" s="58" t="s">
        <x:v>998</x:v>
      </x:c>
      <x:c r="E49" s="23">
        <x:v>1.0</x:v>
      </x:c>
      <x:c r="F49" s="23"/>
      <x:c r="G49" s="23"/>
      <x:c r="H49" s="23"/>
      <x:c r="I49" s="24">
        <x:v>1.0</x:v>
      </x:c>
      <x:c r="J49" s="24"/>
      <x:c r="K49" s="25"/>
      <x:c r="L49" s="25"/>
      <x:c r="M49" s="94"/>
      <x:c r="N49" s="26">
        <x:f t="shared" si="6"/>
        <x:v>505000</x:v>
      </x:c>
      <x:c r="O49" s="23" t="s">
        <x:v>74</x:v>
      </x:c>
      <x:c r="P49" s="23" t="s">
        <x:v>31</x:v>
      </x:c>
    </x:row>
    <x:row r="50" ht="18.75" customHeight="1">
      <x:c r="A50" s="19">
        <x:v>51.0</x:v>
      </x:c>
      <x:c r="B50" s="23" t="s">
        <x:v>999</x:v>
      </x:c>
      <x:c r="C50" s="21">
        <x:v>45710.0</x:v>
      </x:c>
      <x:c r="D50" s="22" t="s">
        <x:v>1000</x:v>
      </x:c>
      <x:c r="E50" s="23"/>
      <x:c r="F50" s="23"/>
      <x:c r="G50" s="56"/>
      <x:c r="H50" s="23"/>
      <x:c r="I50" s="24">
        <x:v>1.0</x:v>
      </x:c>
      <x:c r="J50" s="24"/>
      <x:c r="K50" s="25"/>
      <x:c r="L50" s="25"/>
      <x:c r="M50" s="94"/>
      <x:c r="N50" s="26" t="n">
        <x:f>(E50*260+F50*255+G50*360+H50*390+I50*245+J50*190+K50*250+L50*470+M50*240)*1000-5000</x:f>
        <x:v>240000</x:v>
      </x:c>
      <x:c r="O50" s="23" t="s">
        <x:v>74</x:v>
      </x:c>
      <x:c r="P50" s="23" t="s">
        <x:v>31</x:v>
      </x:c>
    </x:row>
    <x:row r="51" ht="18.75" customHeight="1">
      <x:c r="A51" s="19">
        <x:v>52.0</x:v>
      </x:c>
      <x:c r="B51" s="23" t="s">
        <x:v>1001</x:v>
      </x:c>
      <x:c r="C51" s="21">
        <x:v>45710.0</x:v>
      </x:c>
      <x:c r="D51" s="22" t="s">
        <x:v>1002</x:v>
      </x:c>
      <x:c r="E51" s="56"/>
      <x:c r="F51" s="23"/>
      <x:c r="G51" s="23">
        <x:v>1.0</x:v>
      </x:c>
      <x:c r="H51" s="23"/>
      <x:c r="I51" s="25"/>
      <x:c r="J51" s="24"/>
      <x:c r="K51" s="25"/>
      <x:c r="L51" s="25"/>
      <x:c r="M51" s="94"/>
      <x:c r="N51" s="26" t="n">
        <x:f>(E51*260+F51*255+G51*360+H51*390+I51*245+J51*190+K51*250+L51*470+M51*240)*1000</x:f>
        <x:v>360000</x:v>
      </x:c>
      <x:c r="O51" s="23" t="s">
        <x:v>74</x:v>
      </x:c>
      <x:c r="P51" s="23" t="s">
        <x:v>31</x:v>
      </x:c>
    </x:row>
    <x:row r="52" ht="18.75" customHeight="1">
      <x:c r="A52" s="19">
        <x:v>53.0</x:v>
      </x:c>
      <x:c r="B52" s="23" t="s">
        <x:v>1003</x:v>
      </x:c>
      <x:c r="C52" s="21">
        <x:v>45710.0</x:v>
      </x:c>
      <x:c r="D52" s="22" t="s">
        <x:v>1004</x:v>
      </x:c>
      <x:c r="E52" s="23"/>
      <x:c r="F52" s="23"/>
      <x:c r="G52" s="23">
        <x:v>1.0</x:v>
      </x:c>
      <x:c r="H52" s="23"/>
      <x:c r="I52" s="24"/>
      <x:c r="J52" s="24"/>
      <x:c r="K52" s="25"/>
      <x:c r="L52" s="25"/>
      <x:c r="M52" s="94"/>
      <x:c r="N52" s="26" t="n">
        <x:f>(E52*260+F52*255+G52*360+H52*390+I52*245+J52*190+K52*250+L52*470+M52*240)*1000-5000</x:f>
        <x:v>355000</x:v>
      </x:c>
      <x:c r="O52" s="23" t="s">
        <x:v>74</x:v>
      </x:c>
      <x:c r="P52" s="23" t="s">
        <x:v>31</x:v>
      </x:c>
    </x:row>
    <x:row r="53" ht="18.75" customHeight="1">
      <x:c r="A53" s="19">
        <x:v>54.0</x:v>
      </x:c>
      <x:c r="B53" s="23" t="s">
        <x:v>1005</x:v>
      </x:c>
      <x:c r="C53" s="21">
        <x:v>45710.0</x:v>
      </x:c>
      <x:c r="D53" s="22" t="s">
        <x:v>1006</x:v>
      </x:c>
      <x:c r="E53" s="23"/>
      <x:c r="F53" s="23"/>
      <x:c r="G53" s="23">
        <x:v>1.0</x:v>
      </x:c>
      <x:c r="H53" s="23"/>
      <x:c r="I53" s="24"/>
      <x:c r="J53" s="24"/>
      <x:c r="K53" s="25"/>
      <x:c r="L53" s="25"/>
      <x:c r="M53" s="94"/>
      <x:c r="N53" s="26" t="n">
        <x:f>(E53*260+F53*255+G53*360+H53*390+I53*245+J53*190+K53*250+L53*470+M53*240)*1000-5000</x:f>
        <x:v>355000</x:v>
      </x:c>
      <x:c r="O53" s="23" t="s">
        <x:v>1007</x:v>
      </x:c>
      <x:c r="P53" s="23" t="s">
        <x:v>31</x:v>
      </x:c>
    </x:row>
    <x:row r="54" ht="18.75" customHeight="1">
      <x:c r="A54" s="19">
        <x:v>55.0</x:v>
      </x:c>
      <x:c r="B54" s="23" t="s">
        <x:v>1008</x:v>
      </x:c>
      <x:c r="C54" s="21">
        <x:v>45710.0</x:v>
      </x:c>
      <x:c r="D54" s="22" t="s">
        <x:v>1009</x:v>
      </x:c>
      <x:c r="E54" s="23">
        <x:v>1.0</x:v>
      </x:c>
      <x:c r="F54" s="23">
        <x:v>1.0</x:v>
      </x:c>
      <x:c r="G54" s="23"/>
      <x:c r="H54" s="23"/>
      <x:c r="I54" s="24"/>
      <x:c r="J54" s="24"/>
      <x:c r="K54" s="24"/>
      <x:c r="L54" s="24"/>
      <x:c r="M54" s="94"/>
      <x:c r="N54" s="26" t="n">
        <x:f>(E54*260+F54*255+G54*360+H54*390+I54*245+J54*190+K54*250+L54*470+M54*240)*1000-10000</x:f>
        <x:v>505000</x:v>
      </x:c>
      <x:c r="O54" s="23" t="s">
        <x:v>74</x:v>
      </x:c>
      <x:c r="P54" s="23" t="s">
        <x:v>31</x:v>
      </x:c>
    </x:row>
    <x:row r="55" ht="18.75" customHeight="1">
      <x:c r="A55" s="19">
        <x:v>56.0</x:v>
      </x:c>
      <x:c r="B55" s="23" t="s">
        <x:v>1010</x:v>
      </x:c>
      <x:c r="C55" s="21">
        <x:v>45710.0</x:v>
      </x:c>
      <x:c r="D55" s="22" t="s">
        <x:v>1011</x:v>
      </x:c>
      <x:c r="E55" s="23">
        <x:v>1.0</x:v>
      </x:c>
      <x:c r="F55" s="23"/>
      <x:c r="G55" s="56"/>
      <x:c r="H55" s="23"/>
      <x:c r="I55" s="24"/>
      <x:c r="J55" s="24"/>
      <x:c r="K55" s="24"/>
      <x:c r="L55" s="24"/>
      <x:c r="M55" s="94"/>
      <x:c r="N55" s="26" t="n">
        <x:f t="shared" ref="N55:N56" si="7">(E55*260+F55*255+G55*360+H55*390+I55*245+J55*190+K55*250+L55*470+M55*240)*1000-5000</x:f>
        <x:v>255000</x:v>
      </x:c>
      <x:c r="O55" s="23" t="s">
        <x:v>74</x:v>
      </x:c>
      <x:c r="P55" s="23" t="s">
        <x:v>31</x:v>
      </x:c>
    </x:row>
    <x:row r="56" ht="18.75" customHeight="1">
      <x:c r="A56" s="19">
        <x:v>57.0</x:v>
      </x:c>
      <x:c r="B56" s="23" t="s">
        <x:v>914</x:v>
      </x:c>
      <x:c r="C56" s="21">
        <x:v>45710.0</x:v>
      </x:c>
      <x:c r="D56" s="58" t="s">
        <x:v>762</x:v>
      </x:c>
      <x:c r="E56" s="23"/>
      <x:c r="F56" s="23">
        <x:v>1.0</x:v>
      </x:c>
      <x:c r="G56" s="56"/>
      <x:c r="H56" s="23"/>
      <x:c r="I56" s="24"/>
      <x:c r="J56" s="24"/>
      <x:c r="K56" s="24"/>
      <x:c r="L56" s="24"/>
      <x:c r="M56" s="94"/>
      <x:c r="N56" s="26">
        <x:f t="shared" si="7"/>
        <x:v>250000</x:v>
      </x:c>
      <x:c r="O56" s="23" t="s">
        <x:v>74</x:v>
      </x:c>
      <x:c r="P56" s="23" t="s">
        <x:v>31</x:v>
      </x:c>
    </x:row>
    <x:row r="57" ht="18.75" customHeight="1">
      <x:c r="A57" s="19">
        <x:v>58.0</x:v>
      </x:c>
      <x:c r="B57" s="23" t="s">
        <x:v>1012</x:v>
      </x:c>
      <x:c r="C57" s="21">
        <x:v>45711.0</x:v>
      </x:c>
      <x:c r="D57" s="58" t="s">
        <x:v>1013</x:v>
      </x:c>
      <x:c r="E57" s="23"/>
      <x:c r="F57" s="23"/>
      <x:c r="G57" s="56"/>
      <x:c r="H57" s="23"/>
      <x:c r="I57" s="25"/>
      <x:c r="J57" s="24"/>
      <x:c r="K57" s="25"/>
      <x:c r="L57" s="24">
        <x:v>1.0</x:v>
      </x:c>
      <x:c r="M57" s="94"/>
      <x:c r="N57" s="26" t="n">
        <x:f t="shared" ref="N57:N60" si="8">(E57*260+F57*255+G57*360+H57*390+I57*245+J57*190+K57*250+L57*470+M57*240)*1000</x:f>
        <x:v>470000</x:v>
      </x:c>
      <x:c r="O57" s="23" t="s">
        <x:v>74</x:v>
      </x:c>
      <x:c r="P57" s="23" t="s">
        <x:v>31</x:v>
      </x:c>
    </x:row>
    <x:row r="58" ht="18.75" customHeight="1">
      <x:c r="A58" s="19">
        <x:v>59.0</x:v>
      </x:c>
      <x:c r="B58" s="23" t="s">
        <x:v>1014</x:v>
      </x:c>
      <x:c r="C58" s="21">
        <x:v>45712.0</x:v>
      </x:c>
      <x:c r="D58" s="58" t="s">
        <x:v>1015</x:v>
      </x:c>
      <x:c r="E58" s="23"/>
      <x:c r="F58" s="23"/>
      <x:c r="G58" s="56"/>
      <x:c r="H58" s="23"/>
      <x:c r="I58" s="24">
        <x:v>1.0</x:v>
      </x:c>
      <x:c r="J58" s="25"/>
      <x:c r="K58" s="24">
        <x:v>1.0</x:v>
      </x:c>
      <x:c r="L58" s="25"/>
      <x:c r="M58" s="94"/>
      <x:c r="N58" s="26">
        <x:f t="shared" si="8"/>
        <x:v>495000</x:v>
      </x:c>
      <x:c r="O58" s="23" t="s">
        <x:v>74</x:v>
      </x:c>
      <x:c r="P58" s="23" t="s">
        <x:v>31</x:v>
      </x:c>
    </x:row>
    <x:row r="59" ht="18.75" customHeight="1">
      <x:c r="A59" s="19">
        <x:v>60.0</x:v>
      </x:c>
      <x:c r="B59" s="23" t="s">
        <x:v>1016</x:v>
      </x:c>
      <x:c r="C59" s="21">
        <x:v>45712.0</x:v>
      </x:c>
      <x:c r="D59" s="58" t="s">
        <x:v>1017</x:v>
      </x:c>
      <x:c r="E59" s="23"/>
      <x:c r="F59" s="23"/>
      <x:c r="G59" s="23"/>
      <x:c r="H59" s="23"/>
      <x:c r="I59" s="24">
        <x:v>2.0</x:v>
      </x:c>
      <x:c r="J59" s="25"/>
      <x:c r="K59" s="24"/>
      <x:c r="L59" s="24"/>
      <x:c r="M59" s="94"/>
      <x:c r="N59" s="26">
        <x:f t="shared" si="8"/>
        <x:v>490000</x:v>
      </x:c>
      <x:c r="O59" s="23" t="s">
        <x:v>74</x:v>
      </x:c>
      <x:c r="P59" s="23" t="s">
        <x:v>31</x:v>
      </x:c>
    </x:row>
    <x:row r="60" ht="18.75" customHeight="1">
      <x:c r="A60" s="19">
        <x:v>61.0</x:v>
      </x:c>
      <x:c r="B60" s="23" t="s">
        <x:v>1018</x:v>
      </x:c>
      <x:c r="C60" s="21">
        <x:v>45714.0</x:v>
      </x:c>
      <x:c r="D60" s="58" t="s">
        <x:v>1019</x:v>
      </x:c>
      <x:c r="E60" s="23"/>
      <x:c r="F60" s="23">
        <x:v>1.0</x:v>
      </x:c>
      <x:c r="G60" s="23"/>
      <x:c r="H60" s="23"/>
      <x:c r="I60" s="24"/>
      <x:c r="J60" s="24"/>
      <x:c r="K60" s="25"/>
      <x:c r="L60" s="25"/>
      <x:c r="M60" s="94"/>
      <x:c r="N60" s="26">
        <x:f t="shared" si="8"/>
        <x:v>255000</x:v>
      </x:c>
      <x:c r="O60" s="23" t="s">
        <x:v>74</x:v>
      </x:c>
      <x:c r="P60" s="23" t="s">
        <x:v>31</x:v>
      </x:c>
    </x:row>
    <x:row r="61" ht="18.75" customHeight="1">
      <x:c r="A61" s="19">
        <x:v>62.0</x:v>
      </x:c>
      <x:c r="B61" s="23" t="s">
        <x:v>1020</x:v>
      </x:c>
      <x:c r="C61" s="21">
        <x:v>45714.0</x:v>
      </x:c>
      <x:c r="D61" s="58" t="s">
        <x:v>1021</x:v>
      </x:c>
      <x:c r="E61" s="23"/>
      <x:c r="F61" s="23"/>
      <x:c r="G61" s="23"/>
      <x:c r="H61" s="23"/>
      <x:c r="I61" s="24"/>
      <x:c r="J61" s="24"/>
      <x:c r="K61" s="24"/>
      <x:c r="L61" s="24">
        <x:v>5.0</x:v>
      </x:c>
      <x:c r="M61" s="94"/>
      <x:c r="N61" s="26" t="n">
        <x:f>(E61*260+F61*255+G61*360+H61*390+I61*245+J61*190+K61*250+L61*470+M61*240)*1000-15000</x:f>
        <x:v>2335000</x:v>
      </x:c>
      <x:c r="O61" s="23" t="s">
        <x:v>74</x:v>
      </x:c>
      <x:c r="P61" s="23" t="s">
        <x:v>31</x:v>
      </x:c>
    </x:row>
    <x:row r="62" ht="18.75" customHeight="1">
      <x:c r="A62" s="19">
        <x:v>63.0</x:v>
      </x:c>
      <x:c r="B62" s="23" t="s">
        <x:v>1022</x:v>
      </x:c>
      <x:c r="C62" s="21">
        <x:v>45716.0</x:v>
      </x:c>
      <x:c r="D62" s="22" t="s">
        <x:v>1023</x:v>
      </x:c>
      <x:c r="E62" s="23"/>
      <x:c r="F62" s="23">
        <x:v>1.0</x:v>
      </x:c>
      <x:c r="G62" s="56"/>
      <x:c r="H62" s="23"/>
      <x:c r="I62" s="24"/>
      <x:c r="J62" s="25"/>
      <x:c r="K62" s="24"/>
      <x:c r="L62" s="25"/>
      <x:c r="M62" s="94"/>
      <x:c r="N62" s="26" t="n">
        <x:f>(E62*260+F62*255+G62*360+H62*390+I62*245+J62*190+K62*250+L62*470+M62*240)*1000-5000</x:f>
        <x:v>250000</x:v>
      </x:c>
      <x:c r="O62" s="23" t="s">
        <x:v>74</x:v>
      </x:c>
      <x:c r="P62" s="23" t="s">
        <x:v>31</x:v>
      </x:c>
    </x:row>
    <x:row r="63" ht="18.75" customHeight="1">
      <x:c r="A63" s="19">
        <x:v>64.0</x:v>
      </x:c>
      <x:c r="B63" s="23" t="s">
        <x:v>730</x:v>
      </x:c>
      <x:c r="C63" s="21">
        <x:v>45716.0</x:v>
      </x:c>
      <x:c r="D63" s="58" t="s">
        <x:v>731</x:v>
      </x:c>
      <x:c r="E63" s="23">
        <x:v>1.0</x:v>
      </x:c>
      <x:c r="F63" s="23">
        <x:v>1.0</x:v>
      </x:c>
      <x:c r="G63" s="23"/>
      <x:c r="H63" s="23"/>
      <x:c r="I63" s="25"/>
      <x:c r="J63" s="24"/>
      <x:c r="K63" s="25"/>
      <x:c r="L63" s="25"/>
      <x:c r="M63" s="94"/>
      <x:c r="N63" s="26" t="n">
        <x:f t="shared" ref="N63:N64" si="9">(E63*260+F63*255+G63*360+H63*390+I63*245+J63*190+K63*250+L63*470+M63*240)*1000</x:f>
        <x:v>515000</x:v>
      </x:c>
      <x:c r="O63" s="23" t="s">
        <x:v>74</x:v>
      </x:c>
      <x:c r="P63" s="23" t="s">
        <x:v>31</x:v>
      </x:c>
    </x:row>
    <x:row r="64" ht="18.75" customHeight="1">
      <x:c r="A64" s="19">
        <x:v>65.0</x:v>
      </x:c>
      <x:c r="B64" s="23" t="s">
        <x:v>38</x:v>
      </x:c>
      <x:c r="C64" s="21">
        <x:v>45716.0</x:v>
      </x:c>
      <x:c r="D64" s="58" t="s">
        <x:v>1024</x:v>
      </x:c>
      <x:c r="E64" s="23"/>
      <x:c r="F64" s="23"/>
      <x:c r="G64" s="23">
        <x:v>1.0</x:v>
      </x:c>
      <x:c r="H64" s="23"/>
      <x:c r="I64" s="24"/>
      <x:c r="J64" s="25"/>
      <x:c r="K64" s="25"/>
      <x:c r="L64" s="25"/>
      <x:c r="M64" s="94"/>
      <x:c r="N64" s="26">
        <x:f t="shared" si="9"/>
        <x:v>360000</x:v>
      </x:c>
      <x:c r="O64" s="23" t="s">
        <x:v>74</x:v>
      </x:c>
      <x:c r="P64" s="23" t="s">
        <x:v>31</x:v>
      </x:c>
    </x:row>
    <x:row r="65" ht="18.75" customHeight="1">
      <x:c r="A65" s="19">
        <x:v>66.0</x:v>
      </x:c>
      <x:c r="P65" s="23" t="s">
        <x:v>31</x:v>
      </x:c>
    </x:row>
    <x:row r="66" ht="18.75" customHeight="1">
      <x:c r="A66" s="19">
        <x:v>69.0</x:v>
      </x:c>
      <x:c r="B66" s="98"/>
      <x:c r="C66" s="21"/>
      <x:c r="D66" s="55"/>
      <x:c r="E66" s="23"/>
      <x:c r="F66" s="23"/>
      <x:c r="G66" s="56"/>
      <x:c r="H66" s="23"/>
      <x:c r="I66" s="24"/>
      <x:c r="J66" s="24"/>
      <x:c r="K66" s="25"/>
      <x:c r="L66" s="25"/>
      <x:c r="M66" s="94"/>
      <x:c r="N66" s="26" t="n">
        <x:f t="shared" ref="N66:N110" si="10">(E66*260+F66*255+G66*360+H66*390+I66*245+J66*190+K66*250+L66*470+M66*240)*1000</x:f>
        <x:v>0</x:v>
      </x:c>
      <x:c r="O66" s="23"/>
      <x:c r="P66" s="23"/>
    </x:row>
    <x:row r="67" ht="18.75" customHeight="1">
      <x:c r="A67" s="19">
        <x:v>70.0</x:v>
      </x:c>
      <x:c r="B67" s="98"/>
      <x:c r="C67" s="21"/>
      <x:c r="D67" s="55"/>
      <x:c r="E67" s="23"/>
      <x:c r="F67" s="23"/>
      <x:c r="G67" s="56"/>
      <x:c r="H67" s="23"/>
      <x:c r="I67" s="24"/>
      <x:c r="J67" s="24"/>
      <x:c r="K67" s="25"/>
      <x:c r="L67" s="25"/>
      <x:c r="M67" s="94"/>
      <x:c r="N67" s="26">
        <x:f t="shared" si="10"/>
        <x:v>0</x:v>
      </x:c>
      <x:c r="O67" s="23"/>
      <x:c r="P67" s="23"/>
    </x:row>
    <x:row r="68" ht="18.75" customHeight="1">
      <x:c r="A68" s="19">
        <x:v>71.0</x:v>
      </x:c>
      <x:c r="B68" s="98"/>
      <x:c r="C68" s="21"/>
      <x:c r="D68" s="55"/>
      <x:c r="E68" s="23"/>
      <x:c r="F68" s="23"/>
      <x:c r="G68" s="56"/>
      <x:c r="H68" s="23"/>
      <x:c r="I68" s="24"/>
      <x:c r="J68" s="24"/>
      <x:c r="K68" s="25"/>
      <x:c r="L68" s="25"/>
      <x:c r="M68" s="94"/>
      <x:c r="N68" s="26">
        <x:f t="shared" si="10"/>
        <x:v>0</x:v>
      </x:c>
      <x:c r="O68" s="23"/>
      <x:c r="P68" s="23"/>
    </x:row>
    <x:row r="69" ht="18.75" customHeight="1">
      <x:c r="A69" s="19">
        <x:v>72.0</x:v>
      </x:c>
      <x:c r="B69" s="98"/>
      <x:c r="C69" s="21"/>
      <x:c r="D69" s="55"/>
      <x:c r="E69" s="23"/>
      <x:c r="F69" s="23"/>
      <x:c r="G69" s="23"/>
      <x:c r="H69" s="23"/>
      <x:c r="I69" s="25"/>
      <x:c r="J69" s="24"/>
      <x:c r="K69" s="24"/>
      <x:c r="L69" s="25"/>
      <x:c r="M69" s="94"/>
      <x:c r="N69" s="26">
        <x:f t="shared" si="10"/>
        <x:v>0</x:v>
      </x:c>
      <x:c r="O69" s="23"/>
      <x:c r="P69" s="23"/>
    </x:row>
    <x:row r="70" ht="18.75" customHeight="1">
      <x:c r="A70" s="19">
        <x:v>73.0</x:v>
      </x:c>
      <x:c r="B70" s="98"/>
      <x:c r="C70" s="21"/>
      <x:c r="D70" s="55"/>
      <x:c r="E70" s="23"/>
      <x:c r="F70" s="23"/>
      <x:c r="G70" s="56"/>
      <x:c r="H70" s="23"/>
      <x:c r="I70" s="25"/>
      <x:c r="J70" s="24"/>
      <x:c r="K70" s="25"/>
      <x:c r="L70" s="25"/>
      <x:c r="M70" s="94"/>
      <x:c r="N70" s="26">
        <x:f t="shared" si="10"/>
        <x:v>0</x:v>
      </x:c>
      <x:c r="O70" s="23"/>
      <x:c r="P70" s="23"/>
    </x:row>
    <x:row r="71" ht="18.75" customHeight="1">
      <x:c r="A71" s="19">
        <x:v>74.0</x:v>
      </x:c>
      <x:c r="B71" s="98"/>
      <x:c r="C71" s="21"/>
      <x:c r="D71" s="55"/>
      <x:c r="E71" s="23"/>
      <x:c r="F71" s="23"/>
      <x:c r="G71" s="23"/>
      <x:c r="H71" s="23"/>
      <x:c r="I71" s="24"/>
      <x:c r="J71" s="24"/>
      <x:c r="K71" s="25"/>
      <x:c r="L71" s="25"/>
      <x:c r="M71" s="94"/>
      <x:c r="N71" s="26">
        <x:f t="shared" si="10"/>
        <x:v>0</x:v>
      </x:c>
      <x:c r="O71" s="23"/>
      <x:c r="P71" s="23"/>
    </x:row>
    <x:row r="72" ht="18.75" customHeight="1">
      <x:c r="A72" s="19">
        <x:v>75.0</x:v>
      </x:c>
      <x:c r="B72" s="98"/>
      <x:c r="C72" s="21"/>
      <x:c r="D72" s="35"/>
      <x:c r="E72" s="23"/>
      <x:c r="F72" s="23"/>
      <x:c r="G72" s="56"/>
      <x:c r="H72" s="23"/>
      <x:c r="I72" s="24"/>
      <x:c r="J72" s="24"/>
      <x:c r="K72" s="24"/>
      <x:c r="L72" s="25"/>
      <x:c r="M72" s="94"/>
      <x:c r="N72" s="26">
        <x:f t="shared" si="10"/>
        <x:v>0</x:v>
      </x:c>
      <x:c r="O72" s="23"/>
      <x:c r="P72" s="23"/>
    </x:row>
    <x:row r="73" ht="18.75" customHeight="1">
      <x:c r="A73" s="19">
        <x:v>76.0</x:v>
      </x:c>
      <x:c r="B73" s="98"/>
      <x:c r="C73" s="21"/>
      <x:c r="D73" s="55"/>
      <x:c r="E73" s="23"/>
      <x:c r="F73" s="23"/>
      <x:c r="G73" s="56"/>
      <x:c r="H73" s="23"/>
      <x:c r="I73" s="24"/>
      <x:c r="J73" s="24"/>
      <x:c r="K73" s="25"/>
      <x:c r="L73" s="25"/>
      <x:c r="M73" s="94"/>
      <x:c r="N73" s="26">
        <x:f t="shared" si="10"/>
        <x:v>0</x:v>
      </x:c>
      <x:c r="O73" s="23"/>
      <x:c r="P73" s="23"/>
    </x:row>
    <x:row r="74" ht="18.75" customHeight="1">
      <x:c r="A74" s="19">
        <x:v>77.0</x:v>
      </x:c>
      <x:c r="B74" s="98"/>
      <x:c r="C74" s="21"/>
      <x:c r="D74" s="35"/>
      <x:c r="E74" s="23"/>
      <x:c r="F74" s="23"/>
      <x:c r="G74" s="56"/>
      <x:c r="H74" s="23"/>
      <x:c r="I74" s="25"/>
      <x:c r="J74" s="24"/>
      <x:c r="K74" s="25"/>
      <x:c r="L74" s="25"/>
      <x:c r="M74" s="94"/>
      <x:c r="N74" s="26">
        <x:f t="shared" si="10"/>
        <x:v>0</x:v>
      </x:c>
      <x:c r="O74" s="23"/>
      <x:c r="P74" s="23"/>
    </x:row>
    <x:row r="75" ht="18.75" customHeight="1">
      <x:c r="A75" s="19">
        <x:v>78.0</x:v>
      </x:c>
      <x:c r="B75" s="98"/>
      <x:c r="C75" s="21"/>
      <x:c r="D75" s="55"/>
      <x:c r="E75" s="23"/>
      <x:c r="F75" s="23"/>
      <x:c r="G75" s="56"/>
      <x:c r="H75" s="23"/>
      <x:c r="I75" s="24"/>
      <x:c r="J75" s="24"/>
      <x:c r="K75" s="25"/>
      <x:c r="L75" s="25"/>
      <x:c r="M75" s="94"/>
      <x:c r="N75" s="26">
        <x:f t="shared" si="10"/>
        <x:v>0</x:v>
      </x:c>
      <x:c r="O75" s="23"/>
      <x:c r="P75" s="23"/>
    </x:row>
    <x:row r="76" ht="18.75" customHeight="1">
      <x:c r="A76" s="19">
        <x:v>79.0</x:v>
      </x:c>
      <x:c r="B76" s="98"/>
      <x:c r="C76" s="21"/>
      <x:c r="D76" s="35"/>
      <x:c r="E76" s="23"/>
      <x:c r="F76" s="23"/>
      <x:c r="G76" s="23"/>
      <x:c r="H76" s="23"/>
      <x:c r="I76" s="25"/>
      <x:c r="J76" s="24"/>
      <x:c r="K76" s="25"/>
      <x:c r="L76" s="25"/>
      <x:c r="M76" s="94"/>
      <x:c r="N76" s="26">
        <x:f t="shared" si="10"/>
        <x:v>0</x:v>
      </x:c>
      <x:c r="O76" s="23"/>
      <x:c r="P76" s="23"/>
    </x:row>
    <x:row r="77" ht="18.75" customHeight="1">
      <x:c r="A77" s="19">
        <x:v>80.0</x:v>
      </x:c>
      <x:c r="B77" s="23"/>
      <x:c r="C77" s="21"/>
      <x:c r="D77" s="55"/>
      <x:c r="E77" s="56"/>
      <x:c r="F77" s="23"/>
      <x:c r="G77" s="23"/>
      <x:c r="H77" s="23"/>
      <x:c r="I77" s="25"/>
      <x:c r="J77" s="24"/>
      <x:c r="K77" s="25"/>
      <x:c r="L77" s="25"/>
      <x:c r="M77" s="94"/>
      <x:c r="N77" s="26">
        <x:f t="shared" si="10"/>
        <x:v>0</x:v>
      </x:c>
      <x:c r="O77" s="23"/>
      <x:c r="P77" s="23"/>
    </x:row>
    <x:row r="78" ht="18.75" customHeight="1">
      <x:c r="A78" s="19">
        <x:v>81.0</x:v>
      </x:c>
      <x:c r="B78" s="23"/>
      <x:c r="C78" s="21"/>
      <x:c r="D78" s="55"/>
      <x:c r="E78" s="56"/>
      <x:c r="F78" s="23"/>
      <x:c r="G78" s="23"/>
      <x:c r="H78" s="23"/>
      <x:c r="I78" s="24"/>
      <x:c r="J78" s="24"/>
      <x:c r="K78" s="25"/>
      <x:c r="L78" s="25"/>
      <x:c r="M78" s="94"/>
      <x:c r="N78" s="26">
        <x:f t="shared" si="10"/>
        <x:v>0</x:v>
      </x:c>
      <x:c r="O78" s="23"/>
      <x:c r="P78" s="23"/>
    </x:row>
    <x:row r="79" ht="18.75" customHeight="1">
      <x:c r="A79" s="19">
        <x:v>82.0</x:v>
      </x:c>
      <x:c r="B79" s="23"/>
      <x:c r="C79" s="21"/>
      <x:c r="D79" s="55"/>
      <x:c r="E79" s="56"/>
      <x:c r="F79" s="23"/>
      <x:c r="G79" s="56"/>
      <x:c r="H79" s="23"/>
      <x:c r="I79" s="24"/>
      <x:c r="J79" s="24"/>
      <x:c r="K79" s="25"/>
      <x:c r="L79" s="25"/>
      <x:c r="M79" s="94"/>
      <x:c r="N79" s="26">
        <x:f t="shared" si="10"/>
        <x:v>0</x:v>
      </x:c>
      <x:c r="O79" s="23"/>
      <x:c r="P79" s="23"/>
    </x:row>
    <x:row r="80" ht="18.75" customHeight="1">
      <x:c r="A80" s="19">
        <x:v>83.0</x:v>
      </x:c>
      <x:c r="B80" s="23"/>
      <x:c r="C80" s="21"/>
      <x:c r="D80" s="35"/>
      <x:c r="E80" s="56"/>
      <x:c r="F80" s="23"/>
      <x:c r="G80" s="56"/>
      <x:c r="H80" s="23"/>
      <x:c r="I80" s="25"/>
      <x:c r="J80" s="24"/>
      <x:c r="K80" s="25"/>
      <x:c r="L80" s="25"/>
      <x:c r="M80" s="94"/>
      <x:c r="N80" s="26">
        <x:f t="shared" si="10"/>
        <x:v>0</x:v>
      </x:c>
      <x:c r="O80" s="23"/>
      <x:c r="P80" s="23"/>
    </x:row>
    <x:row r="81" ht="18.75" customHeight="1">
      <x:c r="A81" s="19">
        <x:v>84.0</x:v>
      </x:c>
      <x:c r="B81" s="23"/>
      <x:c r="C81" s="21"/>
      <x:c r="D81" s="55"/>
      <x:c r="E81" s="56"/>
      <x:c r="F81" s="23"/>
      <x:c r="G81" s="56"/>
      <x:c r="H81" s="23"/>
      <x:c r="I81" s="24"/>
      <x:c r="J81" s="24"/>
      <x:c r="K81" s="25"/>
      <x:c r="L81" s="25"/>
      <x:c r="M81" s="94"/>
      <x:c r="N81" s="26">
        <x:f t="shared" si="10"/>
        <x:v>0</x:v>
      </x:c>
      <x:c r="O81" s="23"/>
      <x:c r="P81" s="23"/>
    </x:row>
    <x:row r="82" ht="18.75" customHeight="1">
      <x:c r="A82" s="19">
        <x:v>85.0</x:v>
      </x:c>
      <x:c r="B82" s="23"/>
      <x:c r="C82" s="21"/>
      <x:c r="D82" s="55"/>
      <x:c r="E82" s="23"/>
      <x:c r="F82" s="23"/>
      <x:c r="G82" s="56"/>
      <x:c r="H82" s="23"/>
      <x:c r="I82" s="24"/>
      <x:c r="J82" s="24"/>
      <x:c r="K82" s="25"/>
      <x:c r="L82" s="25"/>
      <x:c r="M82" s="94"/>
      <x:c r="N82" s="26">
        <x:f t="shared" si="10"/>
        <x:v>0</x:v>
      </x:c>
      <x:c r="O82" s="23"/>
      <x:c r="P82" s="23"/>
    </x:row>
    <x:row r="83" ht="18.75" customHeight="1">
      <x:c r="A83" s="19">
        <x:v>86.0</x:v>
      </x:c>
      <x:c r="B83" s="23"/>
      <x:c r="C83" s="21"/>
      <x:c r="D83" s="55"/>
      <x:c r="E83" s="56"/>
      <x:c r="F83" s="23"/>
      <x:c r="G83" s="23"/>
      <x:c r="H83" s="23"/>
      <x:c r="I83" s="25"/>
      <x:c r="J83" s="24"/>
      <x:c r="K83" s="25"/>
      <x:c r="L83" s="25"/>
      <x:c r="M83" s="94"/>
      <x:c r="N83" s="26">
        <x:f t="shared" si="10"/>
        <x:v>0</x:v>
      </x:c>
      <x:c r="O83" s="23"/>
      <x:c r="P83" s="23"/>
    </x:row>
    <x:row r="84" ht="18.75" customHeight="1">
      <x:c r="A84" s="19">
        <x:v>87.0</x:v>
      </x:c>
      <x:c r="B84" s="23"/>
      <x:c r="C84" s="21"/>
      <x:c r="D84" s="55"/>
      <x:c r="E84" s="56"/>
      <x:c r="F84" s="23"/>
      <x:c r="G84" s="23"/>
      <x:c r="H84" s="23"/>
      <x:c r="I84" s="25"/>
      <x:c r="J84" s="24"/>
      <x:c r="K84" s="25"/>
      <x:c r="L84" s="25"/>
      <x:c r="M84" s="94"/>
      <x:c r="N84" s="26">
        <x:f t="shared" si="10"/>
        <x:v>0</x:v>
      </x:c>
      <x:c r="O84" s="23"/>
      <x:c r="P84" s="23"/>
    </x:row>
    <x:row r="85" ht="18.75" customHeight="1">
      <x:c r="A85" s="19">
        <x:v>88.0</x:v>
      </x:c>
      <x:c r="B85" s="23"/>
      <x:c r="C85" s="21"/>
      <x:c r="D85" s="55"/>
      <x:c r="E85" s="56"/>
      <x:c r="F85" s="23"/>
      <x:c r="G85" s="23"/>
      <x:c r="H85" s="23"/>
      <x:c r="I85" s="24"/>
      <x:c r="J85" s="24"/>
      <x:c r="K85" s="25"/>
      <x:c r="L85" s="25"/>
      <x:c r="M85" s="94"/>
      <x:c r="N85" s="26">
        <x:f t="shared" si="10"/>
        <x:v>0</x:v>
      </x:c>
      <x:c r="O85" s="23"/>
      <x:c r="P85" s="23"/>
    </x:row>
    <x:row r="86" ht="18.75" customHeight="1">
      <x:c r="A86" s="19">
        <x:v>89.0</x:v>
      </x:c>
      <x:c r="B86" s="23"/>
      <x:c r="C86" s="21"/>
      <x:c r="D86" s="55"/>
      <x:c r="E86" s="23"/>
      <x:c r="F86" s="23"/>
      <x:c r="G86" s="56"/>
      <x:c r="H86" s="23"/>
      <x:c r="I86" s="25"/>
      <x:c r="J86" s="24"/>
      <x:c r="K86" s="25"/>
      <x:c r="L86" s="25"/>
      <x:c r="M86" s="94"/>
      <x:c r="N86" s="26">
        <x:f t="shared" si="10"/>
        <x:v>0</x:v>
      </x:c>
      <x:c r="O86" s="23"/>
      <x:c r="P86" s="23"/>
    </x:row>
    <x:row r="87" ht="18.75" customHeight="1">
      <x:c r="A87" s="19">
        <x:v>90.0</x:v>
      </x:c>
      <x:c r="B87" s="23"/>
      <x:c r="C87" s="21"/>
      <x:c r="D87" s="55"/>
      <x:c r="E87" s="23"/>
      <x:c r="F87" s="23"/>
      <x:c r="G87" s="56"/>
      <x:c r="H87" s="23"/>
      <x:c r="I87" s="24"/>
      <x:c r="J87" s="24"/>
      <x:c r="K87" s="25"/>
      <x:c r="L87" s="25"/>
      <x:c r="M87" s="94"/>
      <x:c r="N87" s="26">
        <x:f t="shared" si="10"/>
        <x:v>0</x:v>
      </x:c>
      <x:c r="O87" s="23"/>
      <x:c r="P87" s="23"/>
    </x:row>
    <x:row r="88" ht="18.75" customHeight="1">
      <x:c r="A88" s="19">
        <x:v>91.0</x:v>
      </x:c>
      <x:c r="B88" s="23"/>
      <x:c r="C88" s="21"/>
      <x:c r="D88" s="35"/>
      <x:c r="E88" s="56"/>
      <x:c r="F88" s="23"/>
      <x:c r="G88" s="56"/>
      <x:c r="H88" s="23"/>
      <x:c r="I88" s="25"/>
      <x:c r="J88" s="24"/>
      <x:c r="K88" s="25"/>
      <x:c r="L88" s="25"/>
      <x:c r="M88" s="94"/>
      <x:c r="N88" s="26">
        <x:f t="shared" si="10"/>
        <x:v>0</x:v>
      </x:c>
      <x:c r="O88" s="23"/>
      <x:c r="P88" s="23"/>
    </x:row>
    <x:row r="89" ht="18.75" customHeight="1">
      <x:c r="A89" s="19">
        <x:v>92.0</x:v>
      </x:c>
      <x:c r="B89" s="23"/>
      <x:c r="C89" s="21"/>
      <x:c r="D89" s="55"/>
      <x:c r="E89" s="56"/>
      <x:c r="F89" s="23"/>
      <x:c r="G89" s="23"/>
      <x:c r="H89" s="23"/>
      <x:c r="I89" s="25"/>
      <x:c r="J89" s="24"/>
      <x:c r="K89" s="25"/>
      <x:c r="L89" s="25"/>
      <x:c r="M89" s="94"/>
      <x:c r="N89" s="26">
        <x:f t="shared" si="10"/>
        <x:v>0</x:v>
      </x:c>
      <x:c r="O89" s="23"/>
      <x:c r="P89" s="23"/>
    </x:row>
    <x:row r="90" ht="18.75" customHeight="1">
      <x:c r="A90" s="19">
        <x:v>93.0</x:v>
      </x:c>
      <x:c r="B90" s="23"/>
      <x:c r="C90" s="21"/>
      <x:c r="D90" s="55"/>
      <x:c r="E90" s="23"/>
      <x:c r="F90" s="23"/>
      <x:c r="G90" s="56"/>
      <x:c r="H90" s="23"/>
      <x:c r="I90" s="25"/>
      <x:c r="J90" s="24"/>
      <x:c r="K90" s="24"/>
      <x:c r="L90" s="25"/>
      <x:c r="M90" s="94"/>
      <x:c r="N90" s="26">
        <x:f t="shared" si="10"/>
        <x:v>0</x:v>
      </x:c>
      <x:c r="O90" s="23"/>
      <x:c r="P90" s="23"/>
    </x:row>
    <x:row r="91" ht="18.75" customHeight="1">
      <x:c r="A91" s="19">
        <x:v>94.0</x:v>
      </x:c>
      <x:c r="B91" s="23"/>
      <x:c r="C91" s="21"/>
      <x:c r="D91" s="55"/>
      <x:c r="E91" s="56"/>
      <x:c r="F91" s="23"/>
      <x:c r="G91" s="23"/>
      <x:c r="H91" s="23"/>
      <x:c r="I91" s="25"/>
      <x:c r="J91" s="24"/>
      <x:c r="K91" s="25"/>
      <x:c r="L91" s="25"/>
      <x:c r="M91" s="94"/>
      <x:c r="N91" s="26">
        <x:f t="shared" si="10"/>
        <x:v>0</x:v>
      </x:c>
      <x:c r="O91" s="23"/>
      <x:c r="P91" s="23"/>
    </x:row>
    <x:row r="92" ht="18.75" customHeight="1">
      <x:c r="A92" s="19">
        <x:v>95.0</x:v>
      </x:c>
      <x:c r="B92" s="23"/>
      <x:c r="C92" s="21"/>
      <x:c r="D92" s="55"/>
      <x:c r="E92" s="56"/>
      <x:c r="F92" s="23"/>
      <x:c r="G92" s="23"/>
      <x:c r="H92" s="23"/>
      <x:c r="I92" s="25"/>
      <x:c r="J92" s="24"/>
      <x:c r="K92" s="25"/>
      <x:c r="L92" s="25"/>
      <x:c r="M92" s="94"/>
      <x:c r="N92" s="26">
        <x:f t="shared" si="10"/>
        <x:v>0</x:v>
      </x:c>
      <x:c r="O92" s="23"/>
      <x:c r="P92" s="23"/>
    </x:row>
    <x:row r="93" ht="18.75" customHeight="1">
      <x:c r="A93" s="19">
        <x:v>96.0</x:v>
      </x:c>
      <x:c r="B93" s="23"/>
      <x:c r="C93" s="21"/>
      <x:c r="D93" s="55"/>
      <x:c r="E93" s="56"/>
      <x:c r="F93" s="23"/>
      <x:c r="G93" s="23"/>
      <x:c r="H93" s="23"/>
      <x:c r="I93" s="25"/>
      <x:c r="J93" s="24"/>
      <x:c r="K93" s="25"/>
      <x:c r="L93" s="25"/>
      <x:c r="M93" s="94"/>
      <x:c r="N93" s="26">
        <x:f t="shared" si="10"/>
        <x:v>0</x:v>
      </x:c>
      <x:c r="O93" s="23"/>
      <x:c r="P93" s="23"/>
    </x:row>
    <x:row r="94" ht="18.75" customHeight="1">
      <x:c r="A94" s="19">
        <x:v>97.0</x:v>
      </x:c>
      <x:c r="B94" s="23"/>
      <x:c r="C94" s="21"/>
      <x:c r="D94" s="55"/>
      <x:c r="E94" s="56"/>
      <x:c r="F94" s="23"/>
      <x:c r="G94" s="23"/>
      <x:c r="H94" s="23"/>
      <x:c r="I94" s="25"/>
      <x:c r="J94" s="24"/>
      <x:c r="K94" s="25"/>
      <x:c r="L94" s="25"/>
      <x:c r="M94" s="94"/>
      <x:c r="N94" s="26">
        <x:f t="shared" si="10"/>
        <x:v>0</x:v>
      </x:c>
      <x:c r="O94" s="23"/>
      <x:c r="P94" s="23"/>
    </x:row>
    <x:row r="95" ht="18.75" customHeight="1">
      <x:c r="A95" s="19">
        <x:v>98.0</x:v>
      </x:c>
      <x:c r="B95" s="23"/>
      <x:c r="C95" s="21"/>
      <x:c r="D95" s="55"/>
      <x:c r="E95" s="56"/>
      <x:c r="F95" s="23"/>
      <x:c r="G95" s="23"/>
      <x:c r="H95" s="23"/>
      <x:c r="I95" s="25"/>
      <x:c r="J95" s="24"/>
      <x:c r="K95" s="25"/>
      <x:c r="L95" s="25"/>
      <x:c r="M95" s="94"/>
      <x:c r="N95" s="26">
        <x:f t="shared" si="10"/>
        <x:v>0</x:v>
      </x:c>
      <x:c r="O95" s="23"/>
      <x:c r="P95" s="23"/>
    </x:row>
    <x:row r="96" ht="18.75" customHeight="1">
      <x:c r="A96" s="19">
        <x:v>99.0</x:v>
      </x:c>
      <x:c r="B96" s="23"/>
      <x:c r="C96" s="21"/>
      <x:c r="D96" s="35"/>
      <x:c r="E96" s="56"/>
      <x:c r="F96" s="23"/>
      <x:c r="G96" s="56"/>
      <x:c r="H96" s="23"/>
      <x:c r="I96" s="25"/>
      <x:c r="J96" s="24"/>
      <x:c r="K96" s="25"/>
      <x:c r="L96" s="25"/>
      <x:c r="M96" s="94"/>
      <x:c r="N96" s="26">
        <x:f t="shared" si="10"/>
        <x:v>0</x:v>
      </x:c>
      <x:c r="O96" s="23"/>
      <x:c r="P96" s="23"/>
    </x:row>
    <x:row r="97" ht="18.75" customHeight="1">
      <x:c r="A97" s="19">
        <x:v>100.0</x:v>
      </x:c>
      <x:c r="B97" s="23"/>
      <x:c r="C97" s="21"/>
      <x:c r="D97" s="55"/>
      <x:c r="E97" s="56"/>
      <x:c r="F97" s="23"/>
      <x:c r="G97" s="56"/>
      <x:c r="H97" s="23"/>
      <x:c r="I97" s="25"/>
      <x:c r="J97" s="24"/>
      <x:c r="K97" s="25"/>
      <x:c r="L97" s="25"/>
      <x:c r="M97" s="94"/>
      <x:c r="N97" s="26">
        <x:f t="shared" si="10"/>
        <x:v>0</x:v>
      </x:c>
      <x:c r="O97" s="23"/>
      <x:c r="P97" s="23"/>
    </x:row>
    <x:row r="98" ht="18.75" customHeight="1">
      <x:c r="A98" s="19">
        <x:v>101.0</x:v>
      </x:c>
      <x:c r="B98" s="23"/>
      <x:c r="C98" s="21"/>
      <x:c r="D98" s="55"/>
      <x:c r="E98" s="56"/>
      <x:c r="F98" s="23"/>
      <x:c r="G98" s="56"/>
      <x:c r="H98" s="23"/>
      <x:c r="I98" s="25"/>
      <x:c r="J98" s="24"/>
      <x:c r="K98" s="25"/>
      <x:c r="L98" s="25"/>
      <x:c r="M98" s="94"/>
      <x:c r="N98" s="26">
        <x:f t="shared" si="10"/>
        <x:v>0</x:v>
      </x:c>
      <x:c r="O98" s="23"/>
      <x:c r="P98" s="23"/>
    </x:row>
    <x:row r="99" ht="18.75" customHeight="1">
      <x:c r="A99" s="19">
        <x:v>102.0</x:v>
      </x:c>
      <x:c r="B99" s="23"/>
      <x:c r="C99" s="21"/>
      <x:c r="D99" s="35"/>
      <x:c r="E99" s="56"/>
      <x:c r="F99" s="23"/>
      <x:c r="G99" s="56"/>
      <x:c r="H99" s="23"/>
      <x:c r="I99" s="25"/>
      <x:c r="J99" s="24"/>
      <x:c r="K99" s="25"/>
      <x:c r="L99" s="25"/>
      <x:c r="M99" s="94"/>
      <x:c r="N99" s="26">
        <x:f t="shared" si="10"/>
        <x:v>0</x:v>
      </x:c>
      <x:c r="O99" s="23"/>
      <x:c r="P99" s="23"/>
    </x:row>
    <x:row r="100" ht="18.75" customHeight="1">
      <x:c r="A100" s="19">
        <x:v>103.0</x:v>
      </x:c>
      <x:c r="B100" s="23"/>
      <x:c r="C100" s="21"/>
      <x:c r="D100" s="55"/>
      <x:c r="E100" s="56"/>
      <x:c r="F100" s="23"/>
      <x:c r="G100" s="56"/>
      <x:c r="H100" s="23"/>
      <x:c r="I100" s="25"/>
      <x:c r="J100" s="24"/>
      <x:c r="K100" s="25"/>
      <x:c r="L100" s="25"/>
      <x:c r="M100" s="94"/>
      <x:c r="N100" s="26">
        <x:f t="shared" si="10"/>
        <x:v>0</x:v>
      </x:c>
      <x:c r="O100" s="23"/>
      <x:c r="P100" s="23"/>
    </x:row>
    <x:row r="101" ht="18.75" customHeight="1">
      <x:c r="A101" s="19">
        <x:v>104.0</x:v>
      </x:c>
      <x:c r="B101" s="23"/>
      <x:c r="C101" s="21"/>
      <x:c r="D101" s="55"/>
      <x:c r="E101" s="56"/>
      <x:c r="F101" s="23"/>
      <x:c r="G101" s="56"/>
      <x:c r="H101" s="23"/>
      <x:c r="I101" s="24"/>
      <x:c r="J101" s="24"/>
      <x:c r="K101" s="25"/>
      <x:c r="L101" s="25"/>
      <x:c r="M101" s="94"/>
      <x:c r="N101" s="26">
        <x:f t="shared" si="10"/>
        <x:v>0</x:v>
      </x:c>
      <x:c r="O101" s="23"/>
      <x:c r="P101" s="23"/>
    </x:row>
    <x:row r="102" ht="18.75" customHeight="1">
      <x:c r="A102" s="19">
        <x:v>105.0</x:v>
      </x:c>
      <x:c r="B102" s="23"/>
      <x:c r="C102" s="21"/>
      <x:c r="D102" s="35"/>
      <x:c r="E102" s="56"/>
      <x:c r="F102" s="23"/>
      <x:c r="G102" s="56"/>
      <x:c r="H102" s="23"/>
      <x:c r="I102" s="25"/>
      <x:c r="J102" s="24"/>
      <x:c r="K102" s="25"/>
      <x:c r="L102" s="25"/>
      <x:c r="M102" s="94"/>
      <x:c r="N102" s="26">
        <x:f t="shared" si="10"/>
        <x:v>0</x:v>
      </x:c>
      <x:c r="O102" s="23"/>
      <x:c r="P102" s="23"/>
    </x:row>
    <x:row r="103" ht="18.75" customHeight="1">
      <x:c r="A103" s="19">
        <x:v>106.0</x:v>
      </x:c>
      <x:c r="B103" s="23"/>
      <x:c r="C103" s="21"/>
      <x:c r="D103" s="55"/>
      <x:c r="E103" s="56"/>
      <x:c r="F103" s="23"/>
      <x:c r="G103" s="23"/>
      <x:c r="H103" s="23"/>
      <x:c r="I103" s="25"/>
      <x:c r="J103" s="24"/>
      <x:c r="K103" s="25"/>
      <x:c r="L103" s="25"/>
      <x:c r="M103" s="94"/>
      <x:c r="N103" s="26">
        <x:f t="shared" si="10"/>
        <x:v>0</x:v>
      </x:c>
      <x:c r="O103" s="23"/>
      <x:c r="P103" s="23"/>
    </x:row>
    <x:row r="104" ht="18.75" customHeight="1">
      <x:c r="A104" s="19">
        <x:v>107.0</x:v>
      </x:c>
      <x:c r="B104" s="23"/>
      <x:c r="C104" s="21"/>
      <x:c r="D104" s="55"/>
      <x:c r="E104" s="56"/>
      <x:c r="F104" s="23"/>
      <x:c r="G104" s="56"/>
      <x:c r="H104" s="23"/>
      <x:c r="I104" s="25"/>
      <x:c r="J104" s="24"/>
      <x:c r="K104" s="25"/>
      <x:c r="L104" s="25"/>
      <x:c r="M104" s="94"/>
      <x:c r="N104" s="26">
        <x:f t="shared" si="10"/>
        <x:v>0</x:v>
      </x:c>
      <x:c r="O104" s="23"/>
      <x:c r="P104" s="23"/>
    </x:row>
    <x:row r="105" ht="18.75" customHeight="1">
      <x:c r="A105" s="19">
        <x:v>108.0</x:v>
      </x:c>
      <x:c r="B105" s="23"/>
      <x:c r="C105" s="21"/>
      <x:c r="D105" s="55"/>
      <x:c r="E105" s="56"/>
      <x:c r="F105" s="23"/>
      <x:c r="G105" s="56"/>
      <x:c r="H105" s="23"/>
      <x:c r="I105" s="25"/>
      <x:c r="J105" s="24"/>
      <x:c r="K105" s="25"/>
      <x:c r="L105" s="25"/>
      <x:c r="M105" s="94"/>
      <x:c r="N105" s="26">
        <x:f t="shared" si="10"/>
        <x:v>0</x:v>
      </x:c>
      <x:c r="O105" s="23"/>
      <x:c r="P105" s="23"/>
    </x:row>
    <x:row r="106" ht="18.75" customHeight="1">
      <x:c r="A106" s="19">
        <x:v>109.0</x:v>
      </x:c>
      <x:c r="B106" s="23"/>
      <x:c r="C106" s="21"/>
      <x:c r="D106" s="55"/>
      <x:c r="E106" s="56"/>
      <x:c r="F106" s="23"/>
      <x:c r="G106" s="56"/>
      <x:c r="H106" s="23"/>
      <x:c r="I106" s="25"/>
      <x:c r="J106" s="24"/>
      <x:c r="K106" s="25"/>
      <x:c r="L106" s="25"/>
      <x:c r="M106" s="94"/>
      <x:c r="N106" s="26">
        <x:f t="shared" si="10"/>
        <x:v>0</x:v>
      </x:c>
      <x:c r="O106" s="23"/>
      <x:c r="P106" s="23"/>
    </x:row>
    <x:row r="107" ht="18.75" customHeight="1">
      <x:c r="A107" s="19">
        <x:v>110.0</x:v>
      </x:c>
      <x:c r="B107" s="23"/>
      <x:c r="C107" s="21"/>
      <x:c r="D107" s="55"/>
      <x:c r="E107" s="56"/>
      <x:c r="F107" s="23"/>
      <x:c r="G107" s="56"/>
      <x:c r="H107" s="23"/>
      <x:c r="I107" s="25"/>
      <x:c r="J107" s="24"/>
      <x:c r="K107" s="25"/>
      <x:c r="L107" s="25"/>
      <x:c r="M107" s="94"/>
      <x:c r="N107" s="26">
        <x:f t="shared" si="10"/>
        <x:v>0</x:v>
      </x:c>
      <x:c r="O107" s="23"/>
      <x:c r="P107" s="23"/>
    </x:row>
    <x:row r="108" ht="18.75" customHeight="1">
      <x:c r="A108" s="19">
        <x:v>111.0</x:v>
      </x:c>
      <x:c r="B108" s="23"/>
      <x:c r="C108" s="21"/>
      <x:c r="D108" s="35"/>
      <x:c r="E108" s="56"/>
      <x:c r="F108" s="23"/>
      <x:c r="G108" s="23"/>
      <x:c r="H108" s="23"/>
      <x:c r="I108" s="25"/>
      <x:c r="J108" s="24"/>
      <x:c r="K108" s="25"/>
      <x:c r="L108" s="25"/>
      <x:c r="M108" s="94"/>
      <x:c r="N108" s="26">
        <x:f t="shared" si="10"/>
        <x:v>0</x:v>
      </x:c>
      <x:c r="O108" s="23"/>
      <x:c r="P108" s="23"/>
    </x:row>
    <x:row r="109" ht="18.75" customHeight="1">
      <x:c r="A109" s="19">
        <x:v>112.0</x:v>
      </x:c>
      <x:c r="B109" s="23"/>
      <x:c r="C109" s="21"/>
      <x:c r="D109" s="55"/>
      <x:c r="E109" s="56"/>
      <x:c r="F109" s="23"/>
      <x:c r="G109" s="56"/>
      <x:c r="H109" s="23"/>
      <x:c r="I109" s="25"/>
      <x:c r="J109" s="24"/>
      <x:c r="K109" s="25"/>
      <x:c r="L109" s="25"/>
      <x:c r="M109" s="94"/>
      <x:c r="N109" s="26">
        <x:f t="shared" si="10"/>
        <x:v>0</x:v>
      </x:c>
      <x:c r="O109" s="23"/>
      <x:c r="P109" s="23"/>
    </x:row>
    <x:row r="110" ht="18.75" customHeight="1">
      <x:c r="A110" s="19">
        <x:v>113.0</x:v>
      </x:c>
      <x:c r="B110" s="23"/>
      <x:c r="C110" s="21"/>
      <x:c r="D110" s="55"/>
      <x:c r="E110" s="56"/>
      <x:c r="F110" s="23"/>
      <x:c r="G110" s="23"/>
      <x:c r="H110" s="23"/>
      <x:c r="I110" s="25"/>
      <x:c r="J110" s="24"/>
      <x:c r="K110" s="25"/>
      <x:c r="L110" s="25"/>
      <x:c r="M110" s="94"/>
      <x:c r="N110" s="26">
        <x:f t="shared" si="10"/>
        <x:v>0</x:v>
      </x:c>
      <x:c r="O110" s="23"/>
      <x:c r="P110" s="23"/>
    </x:row>
    <x:row r="111" ht="18.75" customHeight="1">
      <x:c r="A111" s="19"/>
      <x:c r="B111" s="23"/>
      <x:c r="C111" s="21"/>
      <x:c r="D111" s="55"/>
      <x:c r="E111" s="56"/>
      <x:c r="F111" s="23"/>
      <x:c r="G111" s="56"/>
      <x:c r="H111" s="23"/>
      <x:c r="I111" s="25"/>
      <x:c r="J111" s="24"/>
      <x:c r="K111" s="25"/>
      <x:c r="L111" s="25"/>
      <x:c r="M111" s="94"/>
      <x:c r="N111" s="26"/>
      <x:c r="O111" s="23"/>
      <x:c r="P111" s="23"/>
    </x:row>
    <x:row r="112">
      <x:c r="A112" s="75"/>
      <x:c r="B112" s="75" t="s">
        <x:v>27</x:v>
      </x:c>
      <x:c r="C112" s="77"/>
      <x:c r="D112" s="78"/>
      <x:c r="E112" s="77" t="n">
        <x:f t="shared" ref="E112:N112" si="11">SUM(E2:E111)</x:f>
        <x:v>15</x:v>
      </x:c>
      <x:c r="F112" s="77">
        <x:f t="shared" si="11"/>
        <x:v>22</x:v>
      </x:c>
      <x:c r="G112" s="77">
        <x:f t="shared" si="11"/>
        <x:v>10</x:v>
      </x:c>
      <x:c r="H112" s="77">
        <x:f t="shared" si="11"/>
        <x:v>0</x:v>
      </x:c>
      <x:c r="I112" s="79">
        <x:f t="shared" si="11"/>
        <x:v>19</x:v>
      </x:c>
      <x:c r="J112" s="79">
        <x:f t="shared" si="11"/>
        <x:v>0</x:v>
      </x:c>
      <x:c r="K112" s="79">
        <x:f t="shared" si="11"/>
        <x:v>13</x:v>
      </x:c>
      <x:c r="L112" s="79">
        <x:f t="shared" si="11"/>
        <x:v>23</x:v>
      </x:c>
      <x:c r="M112" s="77">
        <x:f t="shared" si="11"/>
        <x:v>11</x:v>
      </x:c>
      <x:c r="N112" s="80">
        <x:f t="shared" si="11"/>
        <x:v>33984000</x:v>
      </x:c>
      <x:c r="O112" s="77"/>
      <x:c r="P112" s="77"/>
    </x:row>
    <x:row r="113">
      <x:c r="A113" s="75"/>
      <x:c r="B113" s="75" t="s">
        <x:v>51</x:v>
      </x:c>
      <x:c r="C113" s="81"/>
      <x:c r="D113" s="96"/>
      <x:c r="E113" s="83" t="n">
        <x:f>E112*Inventory_batches!I51</x:f>
        <x:v>2245312.5</x:v>
      </x:c>
      <x:c r="F113" s="83" t="n">
        <x:f>F112*Inventory_batches!I48</x:f>
        <x:v>3293125</x:v>
      </x:c>
      <x:c r="G113" s="83" t="n">
        <x:f>G112*Inventory_batches!F24</x:f>
        <x:v>1307083.3333333333</x:v>
      </x:c>
      <x:c r="H113" s="83" t="n">
        <x:f>H112*Inventory_batches!F37</x:f>
        <x:v>0</x:v>
      </x:c>
      <x:c r="I113" s="84" t="n">
        <x:f>I112*Inventory_batches!I49</x:f>
        <x:v>2404212.5</x:v>
      </x:c>
      <x:c r="J113" s="84" t="n">
        <x:f>J112*Inventory_batches!I39</x:f>
        <x:v>0</x:v>
      </x:c>
      <x:c r="K113" s="84" t="n">
        <x:f>K112*Inventory_batches!I47</x:f>
        <x:v>1644987.5</x:v>
      </x:c>
      <x:c r="L113" s="84" t="n">
        <x:f>L112*Inventory_batches!I50</x:f>
        <x:v>4507712.5</x:v>
      </x:c>
      <x:c r="M113" s="83" t="n">
        <x:f>M112*Inventory_batches!F6</x:f>
        <x:v>726725.2747252748</x:v>
      </x:c>
      <x:c r="N113" s="83" t="n">
        <x:f>SUM(E113:M113)</x:f>
        <x:v>16129158.608058607</x:v>
      </x:c>
      <x:c r="P113" s="86"/>
      <x:c r="Q113" s="32"/>
    </x:row>
    <x:row r="114">
      <x:c r="A114" s="87"/>
      <x:c r="D114" s="32"/>
      <x:c r="I114" s="74"/>
      <x:c r="J114" s="74"/>
      <x:c r="K114" s="74"/>
      <x:c r="L114" s="74"/>
      <x:c r="M114" s="89"/>
      <x:c r="N114" s="90" t="n">
        <x:f>N112-N113</x:f>
        <x:v>17854841.39194139</x:v>
      </x:c>
      <x:c r="P114" s="86"/>
      <x:c r="Q114" s="32"/>
    </x:row>
    <x:row r="115">
      <x:c r="A115" s="87"/>
      <x:c r="D115" s="32"/>
      <x:c r="I115" s="74"/>
      <x:c r="J115" s="74"/>
      <x:c r="K115" s="74"/>
      <x:c r="L115" s="74"/>
      <x:c r="M115" s="91"/>
      <x:c r="N115" s="85"/>
      <x:c r="P115" s="86"/>
      <x:c r="Q115" s="32"/>
    </x:row>
    <x:row r="116">
      <x:c r="A116" s="87"/>
      <x:c r="D116" s="32"/>
      <x:c r="I116" s="74"/>
      <x:c r="J116" s="74"/>
      <x:c r="K116" s="74"/>
      <x:c r="L116" s="74"/>
      <x:c r="M116" s="91"/>
      <x:c r="N116" s="85" t="n">
        <x:f>18581567-N114</x:f>
        <x:v>726725.6080586091</x:v>
      </x:c>
      <x:c r="P116" s="86"/>
      <x:c r="Q116" s="32"/>
    </x:row>
    <x:row r="117">
      <x:c r="A117" s="87"/>
      <x:c r="D117" s="32"/>
      <x:c r="I117" s="74"/>
      <x:c r="J117" s="74"/>
      <x:c r="K117" s="74"/>
      <x:c r="L117" s="74"/>
      <x:c r="M117" s="91"/>
      <x:c r="N117" s="85"/>
      <x:c r="P117" s="86"/>
      <x:c r="Q117" s="32"/>
    </x:row>
    <x:row r="118">
      <x:c r="A118" s="87"/>
      <x:c r="D118" s="32"/>
      <x:c r="I118" s="74"/>
      <x:c r="J118" s="74"/>
      <x:c r="K118" s="74"/>
      <x:c r="L118" s="74"/>
      <x:c r="M118" s="91"/>
      <x:c r="N118" s="85"/>
      <x:c r="P118" s="86"/>
      <x:c r="Q118" s="32"/>
    </x:row>
    <x:row r="119">
      <x:c r="A119" s="87"/>
      <x:c r="D119" s="32"/>
      <x:c r="I119" s="74"/>
      <x:c r="J119" s="74"/>
      <x:c r="K119" s="74"/>
      <x:c r="L119" s="74"/>
      <x:c r="M119" s="91"/>
      <x:c r="N119" s="85"/>
      <x:c r="P119" s="86"/>
      <x:c r="Q119" s="32"/>
    </x:row>
    <x:row r="120">
      <x:c r="A120" s="87"/>
      <x:c r="D120" s="32"/>
      <x:c r="I120" s="74"/>
      <x:c r="J120" s="74"/>
      <x:c r="K120" s="74"/>
      <x:c r="L120" s="74"/>
      <x:c r="M120" s="91"/>
      <x:c r="N120" s="85"/>
      <x:c r="P120" s="86"/>
      <x:c r="Q120" s="32"/>
    </x:row>
    <x:row r="121">
      <x:c r="A121" s="87"/>
      <x:c r="D121" s="32"/>
      <x:c r="I121" s="74"/>
      <x:c r="J121" s="74"/>
      <x:c r="K121" s="74"/>
      <x:c r="L121" s="74"/>
      <x:c r="M121" s="91"/>
      <x:c r="N121" s="85"/>
      <x:c r="P121" s="86"/>
      <x:c r="Q121" s="32"/>
    </x:row>
    <x:row r="122">
      <x:c r="A122" s="87"/>
      <x:c r="D122" s="32"/>
      <x:c r="I122" s="74"/>
      <x:c r="J122" s="74"/>
      <x:c r="K122" s="74"/>
      <x:c r="L122" s="74"/>
      <x:c r="M122" s="91"/>
      <x:c r="N122" s="85"/>
      <x:c r="P122" s="86"/>
      <x:c r="Q122" s="32"/>
    </x:row>
    <x:row r="123">
      <x:c r="A123" s="87"/>
      <x:c r="D123" s="32"/>
      <x:c r="I123" s="74"/>
      <x:c r="J123" s="74"/>
      <x:c r="K123" s="74"/>
      <x:c r="L123" s="74"/>
      <x:c r="M123" s="91"/>
      <x:c r="N123" s="85"/>
      <x:c r="P123" s="86"/>
      <x:c r="Q123" s="32"/>
    </x:row>
    <x:row r="124">
      <x:c r="A124" s="87"/>
      <x:c r="D124" s="32"/>
      <x:c r="I124" s="74"/>
      <x:c r="J124" s="74"/>
      <x:c r="K124" s="74"/>
      <x:c r="L124" s="74"/>
      <x:c r="M124" s="91"/>
      <x:c r="N124" s="85"/>
      <x:c r="P124" s="86"/>
      <x:c r="Q124" s="32"/>
    </x:row>
    <x:row r="125">
      <x:c r="A125" s="87"/>
      <x:c r="D125" s="32"/>
      <x:c r="I125" s="74"/>
      <x:c r="J125" s="74"/>
      <x:c r="K125" s="74"/>
      <x:c r="L125" s="74"/>
      <x:c r="M125" s="91"/>
      <x:c r="N125" s="85"/>
      <x:c r="P125" s="86"/>
      <x:c r="Q125" s="32"/>
    </x:row>
    <x:row r="126">
      <x:c r="A126" s="87"/>
      <x:c r="D126" s="32"/>
      <x:c r="I126" s="74"/>
      <x:c r="J126" s="74"/>
      <x:c r="K126" s="74"/>
      <x:c r="L126" s="74"/>
      <x:c r="M126" s="91"/>
      <x:c r="N126" s="85"/>
      <x:c r="P126" s="86"/>
      <x:c r="Q126" s="32"/>
    </x:row>
    <x:row r="127">
      <x:c r="A127" s="87"/>
      <x:c r="D127" s="32"/>
      <x:c r="I127" s="74"/>
      <x:c r="J127" s="74"/>
      <x:c r="K127" s="74"/>
      <x:c r="L127" s="74"/>
      <x:c r="M127" s="91"/>
      <x:c r="N127" s="85"/>
      <x:c r="P127" s="86"/>
      <x:c r="Q127" s="32"/>
    </x:row>
    <x:row r="128">
      <x:c r="A128" s="87"/>
      <x:c r="D128" s="32"/>
      <x:c r="I128" s="74"/>
      <x:c r="J128" s="74"/>
      <x:c r="K128" s="74"/>
      <x:c r="L128" s="74"/>
      <x:c r="M128" s="91"/>
      <x:c r="N128" s="85"/>
      <x:c r="P128" s="86"/>
      <x:c r="Q128" s="32"/>
    </x:row>
    <x:row r="129">
      <x:c r="A129" s="87"/>
      <x:c r="D129" s="32"/>
      <x:c r="I129" s="74"/>
      <x:c r="J129" s="74"/>
      <x:c r="K129" s="74"/>
      <x:c r="L129" s="74"/>
      <x:c r="M129" s="91"/>
      <x:c r="N129" s="85"/>
      <x:c r="P129" s="86"/>
      <x:c r="Q129" s="32"/>
    </x:row>
    <x:row r="130">
      <x:c r="A130" s="87"/>
      <x:c r="D130" s="32"/>
      <x:c r="I130" s="74"/>
      <x:c r="J130" s="74"/>
      <x:c r="K130" s="74"/>
      <x:c r="L130" s="74"/>
      <x:c r="M130" s="91"/>
      <x:c r="N130" s="85"/>
      <x:c r="P130" s="86"/>
      <x:c r="Q130" s="32"/>
    </x:row>
    <x:row r="131">
      <x:c r="A131" s="87"/>
      <x:c r="D131" s="32"/>
      <x:c r="I131" s="74"/>
      <x:c r="J131" s="74"/>
      <x:c r="K131" s="74"/>
      <x:c r="L131" s="74"/>
      <x:c r="M131" s="91"/>
      <x:c r="N131" s="85"/>
      <x:c r="P131" s="86"/>
      <x:c r="Q131" s="32"/>
    </x:row>
    <x:row r="132">
      <x:c r="A132" s="87"/>
      <x:c r="D132" s="32"/>
      <x:c r="I132" s="74"/>
      <x:c r="J132" s="74"/>
      <x:c r="K132" s="74"/>
      <x:c r="L132" s="74"/>
      <x:c r="M132" s="91"/>
      <x:c r="N132" s="85"/>
      <x:c r="P132" s="86"/>
      <x:c r="Q132" s="32"/>
    </x:row>
    <x:row r="133">
      <x:c r="A133" s="87"/>
      <x:c r="D133" s="32"/>
      <x:c r="I133" s="74"/>
      <x:c r="J133" s="74"/>
      <x:c r="K133" s="74"/>
      <x:c r="L133" s="74"/>
      <x:c r="M133" s="91"/>
      <x:c r="N133" s="85"/>
      <x:c r="P133" s="86"/>
      <x:c r="Q133" s="32"/>
    </x:row>
    <x:row r="134">
      <x:c r="A134" s="87"/>
      <x:c r="D134" s="32"/>
      <x:c r="I134" s="74"/>
      <x:c r="J134" s="74"/>
      <x:c r="K134" s="74"/>
      <x:c r="L134" s="74"/>
      <x:c r="M134" s="91"/>
      <x:c r="N134" s="85"/>
      <x:c r="P134" s="86"/>
      <x:c r="Q134" s="32"/>
    </x:row>
    <x:row r="135">
      <x:c r="A135" s="87"/>
      <x:c r="D135" s="32"/>
      <x:c r="I135" s="74"/>
      <x:c r="J135" s="74"/>
      <x:c r="K135" s="74"/>
      <x:c r="L135" s="74"/>
      <x:c r="M135" s="91"/>
      <x:c r="N135" s="85"/>
      <x:c r="P135" s="86"/>
      <x:c r="Q135" s="32"/>
    </x:row>
    <x:row r="136">
      <x:c r="A136" s="87"/>
      <x:c r="D136" s="32"/>
      <x:c r="I136" s="74"/>
      <x:c r="J136" s="74"/>
      <x:c r="K136" s="74"/>
      <x:c r="L136" s="74"/>
      <x:c r="M136" s="91"/>
      <x:c r="N136" s="85"/>
      <x:c r="P136" s="86"/>
      <x:c r="Q136" s="32"/>
    </x:row>
    <x:row r="137">
      <x:c r="A137" s="87"/>
      <x:c r="D137" s="32"/>
      <x:c r="I137" s="74"/>
      <x:c r="J137" s="74"/>
      <x:c r="K137" s="74"/>
      <x:c r="L137" s="74"/>
      <x:c r="M137" s="91"/>
      <x:c r="N137" s="85"/>
      <x:c r="P137" s="86"/>
      <x:c r="Q137" s="32"/>
    </x:row>
    <x:row r="138">
      <x:c r="A138" s="87"/>
      <x:c r="D138" s="32"/>
      <x:c r="I138" s="74"/>
      <x:c r="J138" s="74"/>
      <x:c r="K138" s="74"/>
      <x:c r="L138" s="74"/>
      <x:c r="M138" s="91"/>
      <x:c r="N138" s="85"/>
      <x:c r="P138" s="86"/>
      <x:c r="Q138" s="32"/>
    </x:row>
    <x:row r="139">
      <x:c r="A139" s="87"/>
      <x:c r="D139" s="32"/>
      <x:c r="I139" s="74"/>
      <x:c r="J139" s="74"/>
      <x:c r="K139" s="74"/>
      <x:c r="L139" s="74"/>
      <x:c r="M139" s="91"/>
      <x:c r="N139" s="85"/>
      <x:c r="P139" s="86"/>
      <x:c r="Q139" s="32"/>
    </x:row>
    <x:row r="140">
      <x:c r="A140" s="87"/>
      <x:c r="D140" s="32"/>
      <x:c r="I140" s="74"/>
      <x:c r="J140" s="74"/>
      <x:c r="K140" s="74"/>
      <x:c r="L140" s="74"/>
      <x:c r="M140" s="91"/>
      <x:c r="N140" s="85"/>
      <x:c r="P140" s="86"/>
      <x:c r="Q140" s="32"/>
    </x:row>
    <x:row r="141">
      <x:c r="A141" s="87"/>
      <x:c r="D141" s="32"/>
      <x:c r="I141" s="74"/>
      <x:c r="J141" s="74"/>
      <x:c r="K141" s="74"/>
      <x:c r="L141" s="74"/>
      <x:c r="M141" s="91"/>
      <x:c r="N141" s="85"/>
      <x:c r="P141" s="86"/>
      <x:c r="Q141" s="32"/>
    </x:row>
    <x:row r="142">
      <x:c r="A142" s="87"/>
      <x:c r="D142" s="32"/>
      <x:c r="I142" s="74"/>
      <x:c r="J142" s="74"/>
      <x:c r="K142" s="74"/>
      <x:c r="L142" s="74"/>
      <x:c r="M142" s="91"/>
      <x:c r="N142" s="85"/>
      <x:c r="P142" s="86"/>
      <x:c r="Q142" s="32"/>
    </x:row>
    <x:row r="143">
      <x:c r="A143" s="87"/>
      <x:c r="D143" s="32"/>
      <x:c r="I143" s="74"/>
      <x:c r="J143" s="74"/>
      <x:c r="K143" s="74"/>
      <x:c r="L143" s="74"/>
      <x:c r="M143" s="91"/>
      <x:c r="N143" s="85"/>
      <x:c r="P143" s="86"/>
      <x:c r="Q143" s="32"/>
    </x:row>
    <x:row r="144">
      <x:c r="A144" s="87"/>
      <x:c r="D144" s="32"/>
      <x:c r="I144" s="74"/>
      <x:c r="J144" s="74"/>
      <x:c r="K144" s="74"/>
      <x:c r="L144" s="74"/>
      <x:c r="M144" s="91"/>
      <x:c r="N144" s="85"/>
      <x:c r="P144" s="86"/>
      <x:c r="Q144" s="32"/>
    </x:row>
    <x:row r="145">
      <x:c r="A145" s="87"/>
      <x:c r="D145" s="32"/>
      <x:c r="I145" s="74"/>
      <x:c r="J145" s="74"/>
      <x:c r="K145" s="74"/>
      <x:c r="L145" s="74"/>
      <x:c r="M145" s="91"/>
      <x:c r="N145" s="85"/>
      <x:c r="P145" s="86"/>
      <x:c r="Q145" s="32"/>
    </x:row>
    <x:row r="146">
      <x:c r="A146" s="87"/>
      <x:c r="D146" s="32"/>
      <x:c r="I146" s="74"/>
      <x:c r="J146" s="74"/>
      <x:c r="K146" s="74"/>
      <x:c r="L146" s="74"/>
      <x:c r="M146" s="91"/>
      <x:c r="N146" s="85"/>
      <x:c r="P146" s="86"/>
      <x:c r="Q146" s="32"/>
    </x:row>
    <x:row r="147">
      <x:c r="A147" s="87"/>
      <x:c r="D147" s="32"/>
      <x:c r="I147" s="74"/>
      <x:c r="J147" s="74"/>
      <x:c r="K147" s="74"/>
      <x:c r="L147" s="74"/>
      <x:c r="M147" s="91"/>
      <x:c r="N147" s="85"/>
      <x:c r="P147" s="86"/>
      <x:c r="Q147" s="32"/>
    </x:row>
    <x:row r="148">
      <x:c r="A148" s="87"/>
      <x:c r="D148" s="32"/>
      <x:c r="I148" s="74"/>
      <x:c r="J148" s="74"/>
      <x:c r="K148" s="74"/>
      <x:c r="L148" s="74"/>
      <x:c r="M148" s="91"/>
      <x:c r="N148" s="85"/>
      <x:c r="P148" s="86"/>
      <x:c r="Q148" s="32"/>
    </x:row>
    <x:row r="149">
      <x:c r="A149" s="87"/>
      <x:c r="D149" s="32"/>
      <x:c r="I149" s="74"/>
      <x:c r="J149" s="74"/>
      <x:c r="K149" s="74"/>
      <x:c r="L149" s="74"/>
      <x:c r="M149" s="91"/>
      <x:c r="N149" s="85"/>
      <x:c r="P149" s="86"/>
      <x:c r="Q149" s="32"/>
    </x:row>
    <x:row r="150">
      <x:c r="A150" s="87"/>
      <x:c r="D150" s="32"/>
      <x:c r="I150" s="74"/>
      <x:c r="J150" s="74"/>
      <x:c r="K150" s="74"/>
      <x:c r="L150" s="74"/>
      <x:c r="M150" s="91"/>
      <x:c r="N150" s="85"/>
      <x:c r="P150" s="86"/>
      <x:c r="Q150" s="32"/>
    </x:row>
    <x:row r="151">
      <x:c r="A151" s="87"/>
      <x:c r="D151" s="32"/>
      <x:c r="I151" s="74"/>
      <x:c r="J151" s="74"/>
      <x:c r="K151" s="74"/>
      <x:c r="L151" s="74"/>
      <x:c r="M151" s="91"/>
      <x:c r="N151" s="85"/>
      <x:c r="P151" s="86"/>
      <x:c r="Q151" s="32"/>
    </x:row>
    <x:row r="152">
      <x:c r="A152" s="87"/>
      <x:c r="D152" s="32"/>
      <x:c r="I152" s="74"/>
      <x:c r="J152" s="74"/>
      <x:c r="K152" s="74"/>
      <x:c r="L152" s="74"/>
      <x:c r="M152" s="91"/>
      <x:c r="N152" s="85"/>
      <x:c r="P152" s="86"/>
      <x:c r="Q152" s="32"/>
    </x:row>
    <x:row r="153">
      <x:c r="A153" s="87"/>
      <x:c r="D153" s="32"/>
      <x:c r="I153" s="74"/>
      <x:c r="J153" s="74"/>
      <x:c r="K153" s="74"/>
      <x:c r="L153" s="74"/>
      <x:c r="M153" s="91"/>
      <x:c r="N153" s="85"/>
      <x:c r="P153" s="86"/>
      <x:c r="Q153" s="32"/>
    </x:row>
    <x:row r="154">
      <x:c r="A154" s="87"/>
      <x:c r="D154" s="32"/>
      <x:c r="I154" s="74"/>
      <x:c r="J154" s="74"/>
      <x:c r="K154" s="74"/>
      <x:c r="L154" s="74"/>
      <x:c r="M154" s="91"/>
      <x:c r="N154" s="85"/>
      <x:c r="P154" s="86"/>
      <x:c r="Q154" s="32"/>
    </x:row>
    <x:row r="155">
      <x:c r="A155" s="87"/>
      <x:c r="D155" s="32"/>
      <x:c r="I155" s="74"/>
      <x:c r="J155" s="74"/>
      <x:c r="K155" s="74"/>
      <x:c r="L155" s="74"/>
      <x:c r="M155" s="91"/>
      <x:c r="N155" s="85"/>
      <x:c r="P155" s="86"/>
      <x:c r="Q155" s="32"/>
    </x:row>
    <x:row r="156">
      <x:c r="A156" s="87"/>
      <x:c r="D156" s="32"/>
      <x:c r="I156" s="74"/>
      <x:c r="J156" s="74"/>
      <x:c r="K156" s="74"/>
      <x:c r="L156" s="74"/>
      <x:c r="M156" s="91"/>
      <x:c r="N156" s="85"/>
      <x:c r="P156" s="86"/>
      <x:c r="Q156" s="32"/>
    </x:row>
    <x:row r="157">
      <x:c r="A157" s="87"/>
      <x:c r="D157" s="32"/>
      <x:c r="I157" s="74"/>
      <x:c r="J157" s="74"/>
      <x:c r="K157" s="74"/>
      <x:c r="L157" s="74"/>
      <x:c r="M157" s="91"/>
      <x:c r="N157" s="85"/>
      <x:c r="P157" s="86"/>
      <x:c r="Q157" s="32"/>
    </x:row>
    <x:row r="158">
      <x:c r="A158" s="87"/>
      <x:c r="D158" s="32"/>
      <x:c r="I158" s="74"/>
      <x:c r="J158" s="74"/>
      <x:c r="K158" s="74"/>
      <x:c r="L158" s="74"/>
      <x:c r="M158" s="91"/>
      <x:c r="N158" s="85"/>
      <x:c r="P158" s="86"/>
      <x:c r="Q158" s="32"/>
    </x:row>
    <x:row r="159">
      <x:c r="A159" s="87"/>
      <x:c r="D159" s="32"/>
      <x:c r="I159" s="74"/>
      <x:c r="J159" s="74"/>
      <x:c r="K159" s="74"/>
      <x:c r="L159" s="74"/>
      <x:c r="M159" s="91"/>
      <x:c r="N159" s="85"/>
      <x:c r="P159" s="86"/>
      <x:c r="Q159" s="32"/>
    </x:row>
    <x:row r="160">
      <x:c r="A160" s="87"/>
      <x:c r="D160" s="32"/>
      <x:c r="I160" s="74"/>
      <x:c r="J160" s="74"/>
      <x:c r="K160" s="74"/>
      <x:c r="L160" s="74"/>
      <x:c r="M160" s="91"/>
      <x:c r="N160" s="85"/>
      <x:c r="P160" s="86"/>
      <x:c r="Q160" s="32"/>
    </x:row>
    <x:row r="161">
      <x:c r="A161" s="87"/>
      <x:c r="D161" s="32"/>
      <x:c r="I161" s="74"/>
      <x:c r="J161" s="74"/>
      <x:c r="K161" s="74"/>
      <x:c r="L161" s="74"/>
      <x:c r="M161" s="91"/>
      <x:c r="N161" s="85"/>
      <x:c r="P161" s="86"/>
      <x:c r="Q161" s="32"/>
    </x:row>
    <x:row r="162">
      <x:c r="A162" s="87"/>
      <x:c r="D162" s="32"/>
      <x:c r="I162" s="74"/>
      <x:c r="J162" s="74"/>
      <x:c r="K162" s="74"/>
      <x:c r="L162" s="74"/>
      <x:c r="M162" s="91"/>
      <x:c r="N162" s="85"/>
      <x:c r="P162" s="86"/>
      <x:c r="Q162" s="32"/>
    </x:row>
    <x:row r="163">
      <x:c r="A163" s="87"/>
      <x:c r="D163" s="32"/>
      <x:c r="I163" s="74"/>
      <x:c r="J163" s="74"/>
      <x:c r="K163" s="74"/>
      <x:c r="L163" s="74"/>
      <x:c r="M163" s="91"/>
      <x:c r="N163" s="85"/>
      <x:c r="P163" s="86"/>
      <x:c r="Q163" s="32"/>
    </x:row>
    <x:row r="164">
      <x:c r="A164" s="87"/>
      <x:c r="D164" s="32"/>
      <x:c r="I164" s="74"/>
      <x:c r="J164" s="74"/>
      <x:c r="K164" s="74"/>
      <x:c r="L164" s="74"/>
      <x:c r="M164" s="91"/>
      <x:c r="N164" s="85"/>
      <x:c r="P164" s="86"/>
      <x:c r="Q164" s="32"/>
    </x:row>
    <x:row r="165">
      <x:c r="A165" s="87"/>
      <x:c r="D165" s="32"/>
      <x:c r="I165" s="74"/>
      <x:c r="J165" s="74"/>
      <x:c r="K165" s="74"/>
      <x:c r="L165" s="74"/>
      <x:c r="M165" s="91"/>
      <x:c r="N165" s="85"/>
      <x:c r="P165" s="86"/>
      <x:c r="Q165" s="32"/>
    </x:row>
    <x:row r="166">
      <x:c r="A166" s="87"/>
      <x:c r="D166" s="32"/>
      <x:c r="I166" s="74"/>
      <x:c r="J166" s="74"/>
      <x:c r="K166" s="74"/>
      <x:c r="L166" s="74"/>
      <x:c r="M166" s="91"/>
      <x:c r="N166" s="85"/>
      <x:c r="P166" s="86"/>
      <x:c r="Q166" s="32"/>
    </x:row>
    <x:row r="167">
      <x:c r="A167" s="87"/>
      <x:c r="D167" s="32"/>
      <x:c r="I167" s="74"/>
      <x:c r="J167" s="74"/>
      <x:c r="K167" s="74"/>
      <x:c r="L167" s="74"/>
      <x:c r="M167" s="91"/>
      <x:c r="N167" s="85"/>
      <x:c r="P167" s="86"/>
      <x:c r="Q167" s="32"/>
    </x:row>
    <x:row r="168">
      <x:c r="A168" s="87"/>
      <x:c r="D168" s="32"/>
      <x:c r="I168" s="74"/>
      <x:c r="J168" s="74"/>
      <x:c r="K168" s="74"/>
      <x:c r="L168" s="74"/>
      <x:c r="M168" s="91"/>
      <x:c r="N168" s="85"/>
      <x:c r="P168" s="86"/>
      <x:c r="Q168" s="32"/>
    </x:row>
    <x:row r="169">
      <x:c r="A169" s="87"/>
      <x:c r="D169" s="32"/>
      <x:c r="I169" s="74"/>
      <x:c r="J169" s="74"/>
      <x:c r="K169" s="74"/>
      <x:c r="L169" s="74"/>
      <x:c r="M169" s="91"/>
      <x:c r="N169" s="85"/>
      <x:c r="P169" s="86"/>
      <x:c r="Q169" s="32"/>
    </x:row>
    <x:row r="170">
      <x:c r="A170" s="87"/>
      <x:c r="D170" s="32"/>
      <x:c r="I170" s="74"/>
      <x:c r="J170" s="74"/>
      <x:c r="K170" s="74"/>
      <x:c r="L170" s="74"/>
      <x:c r="M170" s="91"/>
      <x:c r="N170" s="85"/>
      <x:c r="P170" s="86"/>
      <x:c r="Q170" s="32"/>
    </x:row>
    <x:row r="171">
      <x:c r="A171" s="87"/>
      <x:c r="D171" s="32"/>
      <x:c r="I171" s="74"/>
      <x:c r="J171" s="74"/>
      <x:c r="K171" s="74"/>
      <x:c r="L171" s="74"/>
      <x:c r="M171" s="91"/>
      <x:c r="N171" s="85"/>
      <x:c r="P171" s="86"/>
      <x:c r="Q171" s="32"/>
    </x:row>
    <x:row r="172">
      <x:c r="A172" s="87"/>
      <x:c r="D172" s="32"/>
      <x:c r="I172" s="74"/>
      <x:c r="J172" s="74"/>
      <x:c r="K172" s="74"/>
      <x:c r="L172" s="74"/>
      <x:c r="M172" s="91"/>
      <x:c r="N172" s="85"/>
      <x:c r="P172" s="86"/>
      <x:c r="Q172" s="32"/>
    </x:row>
    <x:row r="173">
      <x:c r="A173" s="87"/>
      <x:c r="D173" s="32"/>
      <x:c r="I173" s="74"/>
      <x:c r="J173" s="74"/>
      <x:c r="K173" s="74"/>
      <x:c r="L173" s="74"/>
      <x:c r="M173" s="91"/>
      <x:c r="N173" s="85"/>
      <x:c r="P173" s="86"/>
      <x:c r="Q173" s="32"/>
    </x:row>
    <x:row r="174">
      <x:c r="A174" s="87"/>
      <x:c r="D174" s="32"/>
      <x:c r="I174" s="74"/>
      <x:c r="J174" s="74"/>
      <x:c r="K174" s="74"/>
      <x:c r="L174" s="74"/>
      <x:c r="M174" s="91"/>
      <x:c r="N174" s="85"/>
      <x:c r="P174" s="86"/>
      <x:c r="Q174" s="32"/>
    </x:row>
    <x:row r="175">
      <x:c r="A175" s="87"/>
      <x:c r="D175" s="32"/>
      <x:c r="I175" s="74"/>
      <x:c r="J175" s="74"/>
      <x:c r="K175" s="74"/>
      <x:c r="L175" s="74"/>
      <x:c r="M175" s="91"/>
      <x:c r="N175" s="85"/>
      <x:c r="P175" s="86"/>
      <x:c r="Q175" s="32"/>
    </x:row>
    <x:row r="176">
      <x:c r="A176" s="87"/>
      <x:c r="D176" s="32"/>
      <x:c r="I176" s="74"/>
      <x:c r="J176" s="74"/>
      <x:c r="K176" s="74"/>
      <x:c r="L176" s="74"/>
      <x:c r="M176" s="91"/>
      <x:c r="N176" s="85"/>
      <x:c r="P176" s="86"/>
      <x:c r="Q176" s="32"/>
    </x:row>
    <x:row r="177">
      <x:c r="A177" s="87"/>
      <x:c r="D177" s="32"/>
      <x:c r="I177" s="74"/>
      <x:c r="J177" s="74"/>
      <x:c r="K177" s="74"/>
      <x:c r="L177" s="74"/>
      <x:c r="M177" s="91"/>
      <x:c r="N177" s="85"/>
      <x:c r="P177" s="86"/>
      <x:c r="Q177" s="32"/>
    </x:row>
    <x:row r="178">
      <x:c r="A178" s="87"/>
      <x:c r="D178" s="32"/>
      <x:c r="I178" s="74"/>
      <x:c r="J178" s="74"/>
      <x:c r="K178" s="74"/>
      <x:c r="L178" s="74"/>
      <x:c r="M178" s="91"/>
      <x:c r="N178" s="85"/>
      <x:c r="P178" s="86"/>
      <x:c r="Q178" s="32"/>
    </x:row>
    <x:row r="179">
      <x:c r="A179" s="87"/>
      <x:c r="D179" s="32"/>
      <x:c r="I179" s="74"/>
      <x:c r="J179" s="74"/>
      <x:c r="K179" s="74"/>
      <x:c r="L179" s="74"/>
      <x:c r="M179" s="91"/>
      <x:c r="N179" s="85"/>
      <x:c r="P179" s="86"/>
      <x:c r="Q179" s="32"/>
    </x:row>
    <x:row r="180">
      <x:c r="A180" s="87"/>
      <x:c r="D180" s="32"/>
      <x:c r="I180" s="74"/>
      <x:c r="J180" s="74"/>
      <x:c r="K180" s="74"/>
      <x:c r="L180" s="74"/>
      <x:c r="M180" s="91"/>
      <x:c r="N180" s="85"/>
      <x:c r="P180" s="86"/>
      <x:c r="Q180" s="32"/>
    </x:row>
    <x:row r="181">
      <x:c r="A181" s="87"/>
      <x:c r="D181" s="32"/>
      <x:c r="I181" s="74"/>
      <x:c r="J181" s="74"/>
      <x:c r="K181" s="74"/>
      <x:c r="L181" s="74"/>
      <x:c r="M181" s="91"/>
      <x:c r="N181" s="85"/>
      <x:c r="P181" s="86"/>
      <x:c r="Q181" s="32"/>
    </x:row>
    <x:row r="182">
      <x:c r="A182" s="87"/>
      <x:c r="D182" s="32"/>
      <x:c r="I182" s="74"/>
      <x:c r="J182" s="74"/>
      <x:c r="K182" s="74"/>
      <x:c r="L182" s="74"/>
      <x:c r="M182" s="91"/>
      <x:c r="N182" s="85"/>
      <x:c r="P182" s="86"/>
      <x:c r="Q182" s="32"/>
    </x:row>
    <x:row r="183">
      <x:c r="A183" s="87"/>
      <x:c r="D183" s="32"/>
      <x:c r="I183" s="74"/>
      <x:c r="J183" s="74"/>
      <x:c r="K183" s="74"/>
      <x:c r="L183" s="74"/>
      <x:c r="M183" s="91"/>
      <x:c r="N183" s="85"/>
      <x:c r="P183" s="86"/>
      <x:c r="Q183" s="32"/>
    </x:row>
    <x:row r="184">
      <x:c r="A184" s="87"/>
      <x:c r="D184" s="32"/>
      <x:c r="I184" s="74"/>
      <x:c r="J184" s="74"/>
      <x:c r="K184" s="74"/>
      <x:c r="L184" s="74"/>
      <x:c r="M184" s="91"/>
      <x:c r="N184" s="85"/>
      <x:c r="P184" s="86"/>
      <x:c r="Q184" s="32"/>
    </x:row>
    <x:row r="185">
      <x:c r="A185" s="87"/>
      <x:c r="D185" s="32"/>
      <x:c r="I185" s="74"/>
      <x:c r="J185" s="74"/>
      <x:c r="K185" s="74"/>
      <x:c r="L185" s="74"/>
      <x:c r="M185" s="91"/>
      <x:c r="N185" s="85"/>
      <x:c r="P185" s="86"/>
      <x:c r="Q185" s="32"/>
    </x:row>
    <x:row r="186">
      <x:c r="A186" s="87"/>
      <x:c r="D186" s="32"/>
      <x:c r="I186" s="74"/>
      <x:c r="J186" s="74"/>
      <x:c r="K186" s="74"/>
      <x:c r="L186" s="74"/>
      <x:c r="M186" s="91"/>
      <x:c r="N186" s="85"/>
      <x:c r="P186" s="86"/>
      <x:c r="Q186" s="32"/>
    </x:row>
    <x:row r="187">
      <x:c r="A187" s="87"/>
      <x:c r="D187" s="32"/>
      <x:c r="I187" s="74"/>
      <x:c r="J187" s="74"/>
      <x:c r="K187" s="74"/>
      <x:c r="L187" s="74"/>
      <x:c r="M187" s="91"/>
      <x:c r="N187" s="85"/>
      <x:c r="P187" s="86"/>
      <x:c r="Q187" s="32"/>
    </x:row>
    <x:row r="188">
      <x:c r="A188" s="87"/>
      <x:c r="D188" s="32"/>
      <x:c r="I188" s="74"/>
      <x:c r="J188" s="74"/>
      <x:c r="K188" s="74"/>
      <x:c r="L188" s="74"/>
      <x:c r="M188" s="91"/>
      <x:c r="N188" s="85"/>
      <x:c r="P188" s="86"/>
      <x:c r="Q188" s="32"/>
    </x:row>
    <x:row r="189">
      <x:c r="A189" s="87"/>
      <x:c r="D189" s="32"/>
      <x:c r="I189" s="74"/>
      <x:c r="J189" s="74"/>
      <x:c r="K189" s="74"/>
      <x:c r="L189" s="74"/>
      <x:c r="M189" s="91"/>
      <x:c r="N189" s="85"/>
      <x:c r="P189" s="86"/>
      <x:c r="Q189" s="32"/>
    </x:row>
    <x:row r="190">
      <x:c r="A190" s="87"/>
      <x:c r="D190" s="32"/>
      <x:c r="I190" s="74"/>
      <x:c r="J190" s="74"/>
      <x:c r="K190" s="74"/>
      <x:c r="L190" s="74"/>
      <x:c r="M190" s="91"/>
      <x:c r="N190" s="85"/>
      <x:c r="P190" s="86"/>
      <x:c r="Q190" s="32"/>
    </x:row>
    <x:row r="191">
      <x:c r="A191" s="87"/>
      <x:c r="D191" s="32"/>
      <x:c r="I191" s="74"/>
      <x:c r="J191" s="74"/>
      <x:c r="K191" s="74"/>
      <x:c r="L191" s="74"/>
      <x:c r="M191" s="91"/>
      <x:c r="N191" s="85"/>
      <x:c r="P191" s="86"/>
      <x:c r="Q191" s="32"/>
    </x:row>
    <x:row r="192">
      <x:c r="A192" s="87"/>
      <x:c r="D192" s="32"/>
      <x:c r="I192" s="74"/>
      <x:c r="J192" s="74"/>
      <x:c r="K192" s="74"/>
      <x:c r="L192" s="74"/>
      <x:c r="M192" s="91"/>
      <x:c r="N192" s="85"/>
      <x:c r="P192" s="86"/>
      <x:c r="Q192" s="32"/>
    </x:row>
    <x:row r="193">
      <x:c r="A193" s="87"/>
      <x:c r="D193" s="32"/>
      <x:c r="I193" s="74"/>
      <x:c r="J193" s="74"/>
      <x:c r="K193" s="74"/>
      <x:c r="L193" s="74"/>
      <x:c r="M193" s="91"/>
      <x:c r="N193" s="85"/>
      <x:c r="P193" s="86"/>
      <x:c r="Q193" s="32"/>
    </x:row>
    <x:row r="194">
      <x:c r="A194" s="87"/>
      <x:c r="D194" s="32"/>
      <x:c r="I194" s="74"/>
      <x:c r="J194" s="74"/>
      <x:c r="K194" s="74"/>
      <x:c r="L194" s="74"/>
      <x:c r="M194" s="91"/>
      <x:c r="N194" s="85"/>
      <x:c r="P194" s="86"/>
      <x:c r="Q194" s="32"/>
    </x:row>
    <x:row r="195">
      <x:c r="A195" s="87"/>
      <x:c r="D195" s="32"/>
      <x:c r="I195" s="74"/>
      <x:c r="J195" s="74"/>
      <x:c r="K195" s="74"/>
      <x:c r="L195" s="74"/>
      <x:c r="M195" s="91"/>
      <x:c r="N195" s="85"/>
      <x:c r="P195" s="86"/>
      <x:c r="Q195" s="32"/>
    </x:row>
    <x:row r="196">
      <x:c r="A196" s="87"/>
      <x:c r="D196" s="32"/>
      <x:c r="I196" s="74"/>
      <x:c r="J196" s="74"/>
      <x:c r="K196" s="74"/>
      <x:c r="L196" s="74"/>
      <x:c r="M196" s="91"/>
      <x:c r="N196" s="85"/>
      <x:c r="P196" s="86"/>
      <x:c r="Q196" s="32"/>
    </x:row>
    <x:row r="197">
      <x:c r="A197" s="87"/>
      <x:c r="D197" s="32"/>
      <x:c r="I197" s="74"/>
      <x:c r="J197" s="74"/>
      <x:c r="K197" s="74"/>
      <x:c r="L197" s="74"/>
      <x:c r="M197" s="91"/>
      <x:c r="N197" s="85"/>
      <x:c r="P197" s="86"/>
      <x:c r="Q197" s="32"/>
    </x:row>
    <x:row r="198">
      <x:c r="A198" s="87"/>
      <x:c r="D198" s="32"/>
      <x:c r="I198" s="74"/>
      <x:c r="J198" s="74"/>
      <x:c r="K198" s="74"/>
      <x:c r="L198" s="74"/>
      <x:c r="M198" s="91"/>
      <x:c r="N198" s="85"/>
      <x:c r="P198" s="86"/>
      <x:c r="Q198" s="32"/>
    </x:row>
    <x:row r="199">
      <x:c r="A199" s="87"/>
      <x:c r="D199" s="32"/>
      <x:c r="I199" s="74"/>
      <x:c r="J199" s="74"/>
      <x:c r="K199" s="74"/>
      <x:c r="L199" s="74"/>
      <x:c r="M199" s="91"/>
      <x:c r="N199" s="85"/>
      <x:c r="P199" s="86"/>
      <x:c r="Q199" s="32"/>
    </x:row>
    <x:row r="200">
      <x:c r="A200" s="87"/>
      <x:c r="D200" s="32"/>
      <x:c r="I200" s="74"/>
      <x:c r="J200" s="74"/>
      <x:c r="K200" s="74"/>
      <x:c r="L200" s="74"/>
      <x:c r="M200" s="91"/>
      <x:c r="N200" s="85"/>
      <x:c r="P200" s="86"/>
      <x:c r="Q200" s="32"/>
    </x:row>
    <x:row r="201">
      <x:c r="A201" s="87"/>
      <x:c r="D201" s="32"/>
      <x:c r="I201" s="74"/>
      <x:c r="J201" s="74"/>
      <x:c r="K201" s="74"/>
      <x:c r="L201" s="74"/>
      <x:c r="M201" s="91"/>
      <x:c r="N201" s="85"/>
      <x:c r="P201" s="86"/>
      <x:c r="Q201" s="32"/>
    </x:row>
    <x:row r="202">
      <x:c r="A202" s="87"/>
      <x:c r="D202" s="32"/>
      <x:c r="I202" s="74"/>
      <x:c r="J202" s="74"/>
      <x:c r="K202" s="74"/>
      <x:c r="L202" s="74"/>
      <x:c r="M202" s="91"/>
      <x:c r="N202" s="85"/>
      <x:c r="P202" s="86"/>
      <x:c r="Q202" s="32"/>
    </x:row>
    <x:row r="203">
      <x:c r="A203" s="87"/>
      <x:c r="D203" s="32"/>
      <x:c r="I203" s="74"/>
      <x:c r="J203" s="74"/>
      <x:c r="K203" s="74"/>
      <x:c r="L203" s="74"/>
      <x:c r="M203" s="91"/>
      <x:c r="N203" s="85"/>
      <x:c r="P203" s="86"/>
      <x:c r="Q203" s="32"/>
    </x:row>
    <x:row r="204">
      <x:c r="A204" s="87"/>
      <x:c r="D204" s="32"/>
      <x:c r="I204" s="74"/>
      <x:c r="J204" s="74"/>
      <x:c r="K204" s="74"/>
      <x:c r="L204" s="74"/>
      <x:c r="M204" s="91"/>
      <x:c r="N204" s="85"/>
      <x:c r="P204" s="86"/>
      <x:c r="Q204" s="32"/>
    </x:row>
    <x:row r="205">
      <x:c r="A205" s="87"/>
      <x:c r="D205" s="32"/>
      <x:c r="I205" s="74"/>
      <x:c r="J205" s="74"/>
      <x:c r="K205" s="74"/>
      <x:c r="L205" s="74"/>
      <x:c r="M205" s="91"/>
      <x:c r="N205" s="85"/>
      <x:c r="P205" s="86"/>
      <x:c r="Q205" s="32"/>
    </x:row>
    <x:row r="206">
      <x:c r="A206" s="87"/>
      <x:c r="D206" s="32"/>
      <x:c r="I206" s="74"/>
      <x:c r="J206" s="74"/>
      <x:c r="K206" s="74"/>
      <x:c r="L206" s="74"/>
      <x:c r="M206" s="91"/>
      <x:c r="N206" s="85"/>
      <x:c r="P206" s="86"/>
      <x:c r="Q206" s="32"/>
    </x:row>
    <x:row r="207">
      <x:c r="A207" s="87"/>
      <x:c r="D207" s="32"/>
      <x:c r="I207" s="74"/>
      <x:c r="J207" s="74"/>
      <x:c r="K207" s="74"/>
      <x:c r="L207" s="74"/>
      <x:c r="M207" s="91"/>
      <x:c r="N207" s="85"/>
      <x:c r="P207" s="86"/>
      <x:c r="Q207" s="32"/>
    </x:row>
    <x:row r="208">
      <x:c r="A208" s="87"/>
      <x:c r="D208" s="32"/>
      <x:c r="I208" s="74"/>
      <x:c r="J208" s="74"/>
      <x:c r="K208" s="74"/>
      <x:c r="L208" s="74"/>
      <x:c r="M208" s="91"/>
      <x:c r="N208" s="85"/>
      <x:c r="P208" s="86"/>
      <x:c r="Q208" s="32"/>
    </x:row>
    <x:row r="209">
      <x:c r="A209" s="87"/>
      <x:c r="D209" s="32"/>
      <x:c r="I209" s="74"/>
      <x:c r="J209" s="74"/>
      <x:c r="K209" s="74"/>
      <x:c r="L209" s="74"/>
      <x:c r="M209" s="91"/>
      <x:c r="N209" s="85"/>
      <x:c r="P209" s="86"/>
      <x:c r="Q209" s="32"/>
    </x:row>
    <x:row r="210">
      <x:c r="A210" s="87"/>
      <x:c r="D210" s="32"/>
      <x:c r="I210" s="74"/>
      <x:c r="J210" s="74"/>
      <x:c r="K210" s="74"/>
      <x:c r="L210" s="74"/>
      <x:c r="M210" s="91"/>
      <x:c r="N210" s="85"/>
      <x:c r="P210" s="86"/>
      <x:c r="Q210" s="32"/>
    </x:row>
    <x:row r="211">
      <x:c r="A211" s="87"/>
      <x:c r="D211" s="32"/>
      <x:c r="I211" s="74"/>
      <x:c r="J211" s="74"/>
      <x:c r="K211" s="74"/>
      <x:c r="L211" s="74"/>
      <x:c r="M211" s="91"/>
      <x:c r="N211" s="85"/>
      <x:c r="P211" s="86"/>
      <x:c r="Q211" s="32"/>
    </x:row>
    <x:row r="212">
      <x:c r="A212" s="87"/>
      <x:c r="D212" s="32"/>
      <x:c r="I212" s="74"/>
      <x:c r="J212" s="74"/>
      <x:c r="K212" s="74"/>
      <x:c r="L212" s="74"/>
      <x:c r="M212" s="91"/>
      <x:c r="N212" s="85"/>
      <x:c r="P212" s="86"/>
      <x:c r="Q212" s="32"/>
    </x:row>
    <x:row r="213">
      <x:c r="A213" s="87"/>
      <x:c r="D213" s="32"/>
      <x:c r="I213" s="74"/>
      <x:c r="J213" s="74"/>
      <x:c r="K213" s="74"/>
      <x:c r="L213" s="74"/>
      <x:c r="M213" s="91"/>
      <x:c r="N213" s="85"/>
      <x:c r="P213" s="86"/>
      <x:c r="Q213" s="32"/>
    </x:row>
    <x:row r="214">
      <x:c r="A214" s="87"/>
      <x:c r="D214" s="32"/>
      <x:c r="I214" s="74"/>
      <x:c r="J214" s="74"/>
      <x:c r="K214" s="74"/>
      <x:c r="L214" s="74"/>
      <x:c r="M214" s="91"/>
      <x:c r="N214" s="85"/>
      <x:c r="P214" s="86"/>
      <x:c r="Q214" s="32"/>
    </x:row>
    <x:row r="215">
      <x:c r="A215" s="87"/>
      <x:c r="D215" s="32"/>
      <x:c r="I215" s="74"/>
      <x:c r="J215" s="74"/>
      <x:c r="K215" s="74"/>
      <x:c r="L215" s="74"/>
      <x:c r="M215" s="91"/>
      <x:c r="N215" s="85"/>
      <x:c r="P215" s="86"/>
      <x:c r="Q215" s="32"/>
    </x:row>
    <x:row r="216">
      <x:c r="A216" s="87"/>
      <x:c r="D216" s="32"/>
      <x:c r="I216" s="74"/>
      <x:c r="J216" s="74"/>
      <x:c r="K216" s="74"/>
      <x:c r="L216" s="74"/>
      <x:c r="M216" s="91"/>
      <x:c r="N216" s="85"/>
      <x:c r="P216" s="86"/>
      <x:c r="Q216" s="32"/>
    </x:row>
    <x:row r="217">
      <x:c r="A217" s="87"/>
      <x:c r="D217" s="32"/>
      <x:c r="I217" s="74"/>
      <x:c r="J217" s="74"/>
      <x:c r="K217" s="74"/>
      <x:c r="L217" s="74"/>
      <x:c r="M217" s="91"/>
      <x:c r="N217" s="85"/>
      <x:c r="P217" s="86"/>
      <x:c r="Q217" s="32"/>
    </x:row>
    <x:row r="218">
      <x:c r="A218" s="87"/>
      <x:c r="D218" s="32"/>
      <x:c r="I218" s="74"/>
      <x:c r="J218" s="74"/>
      <x:c r="K218" s="74"/>
      <x:c r="L218" s="74"/>
      <x:c r="M218" s="91"/>
      <x:c r="N218" s="85"/>
      <x:c r="P218" s="86"/>
      <x:c r="Q218" s="32"/>
    </x:row>
    <x:row r="219">
      <x:c r="A219" s="87"/>
      <x:c r="D219" s="32"/>
      <x:c r="I219" s="74"/>
      <x:c r="J219" s="74"/>
      <x:c r="K219" s="74"/>
      <x:c r="L219" s="74"/>
      <x:c r="M219" s="91"/>
      <x:c r="N219" s="85"/>
      <x:c r="P219" s="86"/>
      <x:c r="Q219" s="32"/>
    </x:row>
    <x:row r="220">
      <x:c r="A220" s="87"/>
      <x:c r="D220" s="32"/>
      <x:c r="I220" s="74"/>
      <x:c r="J220" s="74"/>
      <x:c r="K220" s="74"/>
      <x:c r="L220" s="74"/>
      <x:c r="M220" s="91"/>
      <x:c r="N220" s="85"/>
      <x:c r="P220" s="86"/>
      <x:c r="Q220" s="32"/>
    </x:row>
    <x:row r="221">
      <x:c r="A221" s="87"/>
      <x:c r="D221" s="32"/>
      <x:c r="I221" s="74"/>
      <x:c r="J221" s="74"/>
      <x:c r="K221" s="74"/>
      <x:c r="L221" s="74"/>
      <x:c r="M221" s="91"/>
      <x:c r="N221" s="85"/>
      <x:c r="P221" s="86"/>
      <x:c r="Q221" s="32"/>
    </x:row>
    <x:row r="222">
      <x:c r="A222" s="87"/>
      <x:c r="D222" s="32"/>
      <x:c r="I222" s="74"/>
      <x:c r="J222" s="74"/>
      <x:c r="K222" s="74"/>
      <x:c r="L222" s="74"/>
      <x:c r="M222" s="91"/>
      <x:c r="N222" s="85"/>
      <x:c r="P222" s="86"/>
      <x:c r="Q222" s="32"/>
    </x:row>
    <x:row r="223">
      <x:c r="A223" s="87"/>
      <x:c r="D223" s="32"/>
      <x:c r="I223" s="74"/>
      <x:c r="J223" s="74"/>
      <x:c r="K223" s="74"/>
      <x:c r="L223" s="74"/>
      <x:c r="M223" s="91"/>
      <x:c r="N223" s="85"/>
      <x:c r="P223" s="86"/>
      <x:c r="Q223" s="32"/>
    </x:row>
    <x:row r="224">
      <x:c r="A224" s="87"/>
      <x:c r="D224" s="32"/>
      <x:c r="I224" s="74"/>
      <x:c r="J224" s="74"/>
      <x:c r="K224" s="74"/>
      <x:c r="L224" s="74"/>
      <x:c r="M224" s="91"/>
      <x:c r="N224" s="85"/>
      <x:c r="P224" s="86"/>
      <x:c r="Q224" s="32"/>
    </x:row>
    <x:row r="225">
      <x:c r="A225" s="87"/>
      <x:c r="D225" s="32"/>
      <x:c r="I225" s="74"/>
      <x:c r="J225" s="74"/>
      <x:c r="K225" s="74"/>
      <x:c r="L225" s="74"/>
      <x:c r="M225" s="91"/>
      <x:c r="N225" s="85"/>
      <x:c r="P225" s="86"/>
      <x:c r="Q225" s="32"/>
    </x:row>
    <x:row r="226">
      <x:c r="A226" s="87"/>
      <x:c r="D226" s="32"/>
      <x:c r="I226" s="74"/>
      <x:c r="J226" s="74"/>
      <x:c r="K226" s="74"/>
      <x:c r="L226" s="74"/>
      <x:c r="M226" s="91"/>
      <x:c r="N226" s="85"/>
      <x:c r="P226" s="86"/>
      <x:c r="Q226" s="32"/>
    </x:row>
    <x:row r="227">
      <x:c r="A227" s="87"/>
      <x:c r="D227" s="32"/>
      <x:c r="I227" s="74"/>
      <x:c r="J227" s="74"/>
      <x:c r="K227" s="74"/>
      <x:c r="L227" s="74"/>
      <x:c r="M227" s="91"/>
      <x:c r="N227" s="85"/>
      <x:c r="P227" s="86"/>
      <x:c r="Q227" s="32"/>
    </x:row>
    <x:row r="228">
      <x:c r="A228" s="87"/>
      <x:c r="D228" s="32"/>
      <x:c r="I228" s="74"/>
      <x:c r="J228" s="74"/>
      <x:c r="K228" s="74"/>
      <x:c r="L228" s="74"/>
      <x:c r="M228" s="91"/>
      <x:c r="N228" s="85"/>
      <x:c r="P228" s="86"/>
      <x:c r="Q228" s="32"/>
    </x:row>
    <x:row r="229">
      <x:c r="A229" s="87"/>
      <x:c r="D229" s="32"/>
      <x:c r="I229" s="74"/>
      <x:c r="J229" s="74"/>
      <x:c r="K229" s="74"/>
      <x:c r="L229" s="74"/>
      <x:c r="M229" s="91"/>
      <x:c r="N229" s="85"/>
      <x:c r="P229" s="86"/>
      <x:c r="Q229" s="32"/>
    </x:row>
    <x:row r="230">
      <x:c r="A230" s="87"/>
      <x:c r="D230" s="32"/>
      <x:c r="I230" s="74"/>
      <x:c r="J230" s="74"/>
      <x:c r="K230" s="74"/>
      <x:c r="L230" s="74"/>
      <x:c r="M230" s="91"/>
      <x:c r="N230" s="85"/>
      <x:c r="P230" s="86"/>
      <x:c r="Q230" s="32"/>
    </x:row>
    <x:row r="231">
      <x:c r="A231" s="87"/>
      <x:c r="D231" s="32"/>
      <x:c r="I231" s="74"/>
      <x:c r="J231" s="74"/>
      <x:c r="K231" s="74"/>
      <x:c r="L231" s="74"/>
      <x:c r="M231" s="91"/>
      <x:c r="N231" s="85"/>
      <x:c r="P231" s="86"/>
      <x:c r="Q231" s="32"/>
    </x:row>
    <x:row r="232">
      <x:c r="A232" s="87"/>
      <x:c r="D232" s="32"/>
      <x:c r="I232" s="74"/>
      <x:c r="J232" s="74"/>
      <x:c r="K232" s="74"/>
      <x:c r="L232" s="74"/>
      <x:c r="M232" s="91"/>
      <x:c r="N232" s="85"/>
      <x:c r="P232" s="86"/>
      <x:c r="Q232" s="32"/>
    </x:row>
    <x:row r="233">
      <x:c r="A233" s="87"/>
      <x:c r="D233" s="32"/>
      <x:c r="I233" s="74"/>
      <x:c r="J233" s="74"/>
      <x:c r="K233" s="74"/>
      <x:c r="L233" s="74"/>
      <x:c r="M233" s="91"/>
      <x:c r="N233" s="85"/>
      <x:c r="P233" s="86"/>
      <x:c r="Q233" s="32"/>
    </x:row>
    <x:row r="234">
      <x:c r="A234" s="87"/>
      <x:c r="D234" s="32"/>
      <x:c r="I234" s="74"/>
      <x:c r="J234" s="74"/>
      <x:c r="K234" s="74"/>
      <x:c r="L234" s="74"/>
      <x:c r="M234" s="91"/>
      <x:c r="N234" s="85"/>
      <x:c r="P234" s="86"/>
      <x:c r="Q234" s="32"/>
    </x:row>
    <x:row r="235">
      <x:c r="A235" s="87"/>
      <x:c r="D235" s="32"/>
      <x:c r="I235" s="74"/>
      <x:c r="J235" s="74"/>
      <x:c r="K235" s="74"/>
      <x:c r="L235" s="74"/>
      <x:c r="M235" s="91"/>
      <x:c r="N235" s="85"/>
      <x:c r="P235" s="86"/>
      <x:c r="Q235" s="32"/>
    </x:row>
    <x:row r="236">
      <x:c r="A236" s="87"/>
      <x:c r="D236" s="32"/>
      <x:c r="I236" s="74"/>
      <x:c r="J236" s="74"/>
      <x:c r="K236" s="74"/>
      <x:c r="L236" s="74"/>
      <x:c r="M236" s="91"/>
      <x:c r="N236" s="85"/>
      <x:c r="P236" s="86"/>
      <x:c r="Q236" s="32"/>
    </x:row>
    <x:row r="237">
      <x:c r="A237" s="87"/>
      <x:c r="D237" s="32"/>
      <x:c r="I237" s="74"/>
      <x:c r="J237" s="74"/>
      <x:c r="K237" s="74"/>
      <x:c r="L237" s="74"/>
      <x:c r="M237" s="91"/>
      <x:c r="N237" s="85"/>
      <x:c r="P237" s="86"/>
      <x:c r="Q237" s="32"/>
    </x:row>
    <x:row r="238">
      <x:c r="A238" s="87"/>
      <x:c r="D238" s="32"/>
      <x:c r="I238" s="74"/>
      <x:c r="J238" s="74"/>
      <x:c r="K238" s="74"/>
      <x:c r="L238" s="74"/>
      <x:c r="M238" s="91"/>
      <x:c r="N238" s="85"/>
      <x:c r="P238" s="86"/>
      <x:c r="Q238" s="32"/>
    </x:row>
    <x:row r="239">
      <x:c r="A239" s="87"/>
      <x:c r="D239" s="32"/>
      <x:c r="I239" s="74"/>
      <x:c r="J239" s="74"/>
      <x:c r="K239" s="74"/>
      <x:c r="L239" s="74"/>
      <x:c r="M239" s="91"/>
      <x:c r="N239" s="85"/>
      <x:c r="P239" s="86"/>
      <x:c r="Q239" s="32"/>
    </x:row>
    <x:row r="240">
      <x:c r="A240" s="87"/>
      <x:c r="D240" s="32"/>
      <x:c r="I240" s="74"/>
      <x:c r="J240" s="74"/>
      <x:c r="K240" s="74"/>
      <x:c r="L240" s="74"/>
      <x:c r="M240" s="91"/>
      <x:c r="N240" s="85"/>
      <x:c r="P240" s="86"/>
      <x:c r="Q240" s="32"/>
    </x:row>
    <x:row r="241">
      <x:c r="A241" s="87"/>
      <x:c r="D241" s="32"/>
      <x:c r="I241" s="74"/>
      <x:c r="J241" s="74"/>
      <x:c r="K241" s="74"/>
      <x:c r="L241" s="74"/>
      <x:c r="M241" s="91"/>
      <x:c r="N241" s="85"/>
      <x:c r="P241" s="86"/>
      <x:c r="Q241" s="32"/>
    </x:row>
    <x:row r="242">
      <x:c r="A242" s="87"/>
      <x:c r="D242" s="32"/>
      <x:c r="I242" s="74"/>
      <x:c r="J242" s="74"/>
      <x:c r="K242" s="74"/>
      <x:c r="L242" s="74"/>
      <x:c r="M242" s="91"/>
      <x:c r="N242" s="85"/>
      <x:c r="P242" s="86"/>
      <x:c r="Q242" s="32"/>
    </x:row>
    <x:row r="243">
      <x:c r="A243" s="87"/>
      <x:c r="D243" s="32"/>
      <x:c r="I243" s="74"/>
      <x:c r="J243" s="74"/>
      <x:c r="K243" s="74"/>
      <x:c r="L243" s="74"/>
      <x:c r="M243" s="91"/>
      <x:c r="N243" s="85"/>
      <x:c r="P243" s="86"/>
      <x:c r="Q243" s="32"/>
    </x:row>
    <x:row r="244">
      <x:c r="A244" s="87"/>
      <x:c r="D244" s="32"/>
      <x:c r="I244" s="74"/>
      <x:c r="J244" s="74"/>
      <x:c r="K244" s="74"/>
      <x:c r="L244" s="74"/>
      <x:c r="M244" s="91"/>
      <x:c r="N244" s="85"/>
      <x:c r="P244" s="86"/>
      <x:c r="Q244" s="32"/>
    </x:row>
    <x:row r="245">
      <x:c r="A245" s="87"/>
      <x:c r="D245" s="32"/>
      <x:c r="I245" s="74"/>
      <x:c r="J245" s="74"/>
      <x:c r="K245" s="74"/>
      <x:c r="L245" s="74"/>
      <x:c r="M245" s="91"/>
      <x:c r="N245" s="85"/>
      <x:c r="P245" s="86"/>
      <x:c r="Q245" s="32"/>
    </x:row>
    <x:row r="246">
      <x:c r="A246" s="87"/>
      <x:c r="D246" s="32"/>
      <x:c r="I246" s="74"/>
      <x:c r="J246" s="74"/>
      <x:c r="K246" s="74"/>
      <x:c r="L246" s="74"/>
      <x:c r="M246" s="91"/>
      <x:c r="N246" s="85"/>
      <x:c r="P246" s="86"/>
      <x:c r="Q246" s="32"/>
    </x:row>
    <x:row r="247">
      <x:c r="A247" s="87"/>
      <x:c r="D247" s="32"/>
      <x:c r="I247" s="74"/>
      <x:c r="J247" s="74"/>
      <x:c r="K247" s="74"/>
      <x:c r="L247" s="74"/>
      <x:c r="M247" s="91"/>
      <x:c r="N247" s="85"/>
      <x:c r="P247" s="86"/>
      <x:c r="Q247" s="32"/>
    </x:row>
    <x:row r="248">
      <x:c r="A248" s="87"/>
      <x:c r="D248" s="32"/>
      <x:c r="I248" s="74"/>
      <x:c r="J248" s="74"/>
      <x:c r="K248" s="74"/>
      <x:c r="L248" s="74"/>
      <x:c r="M248" s="91"/>
      <x:c r="N248" s="85"/>
      <x:c r="P248" s="86"/>
      <x:c r="Q248" s="32"/>
    </x:row>
    <x:row r="249">
      <x:c r="A249" s="87"/>
      <x:c r="D249" s="32"/>
      <x:c r="I249" s="74"/>
      <x:c r="J249" s="74"/>
      <x:c r="K249" s="74"/>
      <x:c r="L249" s="74"/>
      <x:c r="M249" s="91"/>
      <x:c r="N249" s="85"/>
      <x:c r="P249" s="86"/>
      <x:c r="Q249" s="32"/>
    </x:row>
    <x:row r="250">
      <x:c r="A250" s="87"/>
      <x:c r="D250" s="32"/>
      <x:c r="I250" s="74"/>
      <x:c r="J250" s="74"/>
      <x:c r="K250" s="74"/>
      <x:c r="L250" s="74"/>
      <x:c r="M250" s="91"/>
      <x:c r="N250" s="85"/>
      <x:c r="P250" s="86"/>
      <x:c r="Q250" s="32"/>
    </x:row>
    <x:row r="251">
      <x:c r="A251" s="87"/>
      <x:c r="D251" s="32"/>
      <x:c r="I251" s="74"/>
      <x:c r="J251" s="74"/>
      <x:c r="K251" s="74"/>
      <x:c r="L251" s="74"/>
      <x:c r="M251" s="91"/>
      <x:c r="N251" s="85"/>
      <x:c r="P251" s="86"/>
      <x:c r="Q251" s="32"/>
    </x:row>
    <x:row r="252">
      <x:c r="A252" s="87"/>
      <x:c r="D252" s="32"/>
      <x:c r="I252" s="74"/>
      <x:c r="J252" s="74"/>
      <x:c r="K252" s="74"/>
      <x:c r="L252" s="74"/>
      <x:c r="M252" s="91"/>
      <x:c r="N252" s="85"/>
      <x:c r="P252" s="86"/>
      <x:c r="Q252" s="32"/>
    </x:row>
    <x:row r="253">
      <x:c r="A253" s="87"/>
      <x:c r="D253" s="32"/>
      <x:c r="I253" s="74"/>
      <x:c r="J253" s="74"/>
      <x:c r="K253" s="74"/>
      <x:c r="L253" s="74"/>
      <x:c r="M253" s="91"/>
      <x:c r="N253" s="85"/>
      <x:c r="P253" s="86"/>
      <x:c r="Q253" s="32"/>
    </x:row>
    <x:row r="254">
      <x:c r="A254" s="87"/>
      <x:c r="D254" s="32"/>
      <x:c r="I254" s="74"/>
      <x:c r="J254" s="74"/>
      <x:c r="K254" s="74"/>
      <x:c r="L254" s="74"/>
      <x:c r="M254" s="91"/>
      <x:c r="N254" s="85"/>
      <x:c r="P254" s="86"/>
      <x:c r="Q254" s="32"/>
    </x:row>
    <x:row r="255">
      <x:c r="A255" s="87"/>
      <x:c r="D255" s="32"/>
      <x:c r="I255" s="74"/>
      <x:c r="J255" s="74"/>
      <x:c r="K255" s="74"/>
      <x:c r="L255" s="74"/>
      <x:c r="M255" s="91"/>
      <x:c r="N255" s="85"/>
      <x:c r="P255" s="86"/>
      <x:c r="Q255" s="32"/>
    </x:row>
    <x:row r="256">
      <x:c r="A256" s="87"/>
      <x:c r="D256" s="32"/>
      <x:c r="I256" s="74"/>
      <x:c r="J256" s="74"/>
      <x:c r="K256" s="74"/>
      <x:c r="L256" s="74"/>
      <x:c r="M256" s="91"/>
      <x:c r="N256" s="85"/>
      <x:c r="P256" s="86"/>
      <x:c r="Q256" s="32"/>
    </x:row>
    <x:row r="257">
      <x:c r="A257" s="87"/>
      <x:c r="D257" s="32"/>
      <x:c r="I257" s="74"/>
      <x:c r="J257" s="74"/>
      <x:c r="K257" s="74"/>
      <x:c r="L257" s="74"/>
      <x:c r="M257" s="91"/>
      <x:c r="N257" s="85"/>
      <x:c r="P257" s="86"/>
      <x:c r="Q257" s="32"/>
    </x:row>
    <x:row r="258">
      <x:c r="A258" s="87"/>
      <x:c r="D258" s="32"/>
      <x:c r="I258" s="74"/>
      <x:c r="J258" s="74"/>
      <x:c r="K258" s="74"/>
      <x:c r="L258" s="74"/>
      <x:c r="M258" s="91"/>
      <x:c r="N258" s="85"/>
      <x:c r="P258" s="86"/>
      <x:c r="Q258" s="32"/>
    </x:row>
    <x:row r="259">
      <x:c r="A259" s="87"/>
      <x:c r="D259" s="32"/>
      <x:c r="I259" s="74"/>
      <x:c r="J259" s="74"/>
      <x:c r="K259" s="74"/>
      <x:c r="L259" s="74"/>
      <x:c r="M259" s="91"/>
      <x:c r="N259" s="85"/>
      <x:c r="P259" s="86"/>
      <x:c r="Q259" s="32"/>
    </x:row>
    <x:row r="260">
      <x:c r="A260" s="87"/>
      <x:c r="D260" s="32"/>
      <x:c r="I260" s="74"/>
      <x:c r="J260" s="74"/>
      <x:c r="K260" s="74"/>
      <x:c r="L260" s="74"/>
      <x:c r="M260" s="91"/>
      <x:c r="N260" s="85"/>
      <x:c r="P260" s="86"/>
      <x:c r="Q260" s="32"/>
    </x:row>
    <x:row r="261">
      <x:c r="A261" s="87"/>
      <x:c r="D261" s="32"/>
      <x:c r="I261" s="74"/>
      <x:c r="J261" s="74"/>
      <x:c r="K261" s="74"/>
      <x:c r="L261" s="74"/>
      <x:c r="M261" s="91"/>
      <x:c r="N261" s="85"/>
      <x:c r="P261" s="86"/>
      <x:c r="Q261" s="32"/>
    </x:row>
    <x:row r="262">
      <x:c r="A262" s="87"/>
      <x:c r="D262" s="32"/>
      <x:c r="I262" s="74"/>
      <x:c r="J262" s="74"/>
      <x:c r="K262" s="74"/>
      <x:c r="L262" s="74"/>
      <x:c r="M262" s="91"/>
      <x:c r="N262" s="85"/>
      <x:c r="P262" s="86"/>
      <x:c r="Q262" s="32"/>
    </x:row>
    <x:row r="263">
      <x:c r="A263" s="87"/>
      <x:c r="D263" s="32"/>
      <x:c r="I263" s="74"/>
      <x:c r="J263" s="74"/>
      <x:c r="K263" s="74"/>
      <x:c r="L263" s="74"/>
      <x:c r="M263" s="91"/>
      <x:c r="N263" s="85"/>
      <x:c r="P263" s="86"/>
      <x:c r="Q263" s="32"/>
    </x:row>
    <x:row r="264">
      <x:c r="A264" s="87"/>
      <x:c r="D264" s="32"/>
      <x:c r="I264" s="74"/>
      <x:c r="J264" s="74"/>
      <x:c r="K264" s="74"/>
      <x:c r="L264" s="74"/>
      <x:c r="M264" s="91"/>
      <x:c r="N264" s="85"/>
      <x:c r="P264" s="86"/>
      <x:c r="Q264" s="32"/>
    </x:row>
    <x:row r="265">
      <x:c r="A265" s="87"/>
      <x:c r="D265" s="32"/>
      <x:c r="I265" s="74"/>
      <x:c r="J265" s="74"/>
      <x:c r="K265" s="74"/>
      <x:c r="L265" s="74"/>
      <x:c r="M265" s="91"/>
      <x:c r="N265" s="85"/>
      <x:c r="P265" s="86"/>
      <x:c r="Q265" s="32"/>
    </x:row>
    <x:row r="266">
      <x:c r="A266" s="87"/>
      <x:c r="D266" s="32"/>
      <x:c r="I266" s="74"/>
      <x:c r="J266" s="74"/>
      <x:c r="K266" s="74"/>
      <x:c r="L266" s="74"/>
      <x:c r="M266" s="91"/>
      <x:c r="N266" s="85"/>
      <x:c r="P266" s="86"/>
      <x:c r="Q266" s="32"/>
    </x:row>
    <x:row r="267">
      <x:c r="A267" s="87"/>
      <x:c r="D267" s="32"/>
      <x:c r="I267" s="74"/>
      <x:c r="J267" s="74"/>
      <x:c r="K267" s="74"/>
      <x:c r="L267" s="74"/>
      <x:c r="M267" s="91"/>
      <x:c r="N267" s="85"/>
      <x:c r="P267" s="86"/>
      <x:c r="Q267" s="32"/>
    </x:row>
    <x:row r="268">
      <x:c r="A268" s="87"/>
      <x:c r="D268" s="32"/>
      <x:c r="I268" s="74"/>
      <x:c r="J268" s="74"/>
      <x:c r="K268" s="74"/>
      <x:c r="L268" s="74"/>
      <x:c r="M268" s="91"/>
      <x:c r="N268" s="85"/>
      <x:c r="P268" s="86"/>
      <x:c r="Q268" s="32"/>
    </x:row>
    <x:row r="269">
      <x:c r="A269" s="87"/>
      <x:c r="D269" s="32"/>
      <x:c r="I269" s="74"/>
      <x:c r="J269" s="74"/>
      <x:c r="K269" s="74"/>
      <x:c r="L269" s="74"/>
      <x:c r="M269" s="91"/>
      <x:c r="N269" s="85"/>
      <x:c r="P269" s="86"/>
      <x:c r="Q269" s="32"/>
    </x:row>
    <x:row r="270">
      <x:c r="A270" s="87"/>
      <x:c r="D270" s="32"/>
      <x:c r="I270" s="74"/>
      <x:c r="J270" s="74"/>
      <x:c r="K270" s="74"/>
      <x:c r="L270" s="74"/>
      <x:c r="M270" s="91"/>
      <x:c r="N270" s="85"/>
      <x:c r="P270" s="86"/>
      <x:c r="Q270" s="32"/>
    </x:row>
    <x:row r="271">
      <x:c r="A271" s="87"/>
      <x:c r="D271" s="32"/>
      <x:c r="I271" s="74"/>
      <x:c r="J271" s="74"/>
      <x:c r="K271" s="74"/>
      <x:c r="L271" s="74"/>
      <x:c r="M271" s="91"/>
      <x:c r="N271" s="85"/>
      <x:c r="P271" s="86"/>
      <x:c r="Q271" s="32"/>
    </x:row>
    <x:row r="272">
      <x:c r="A272" s="87"/>
      <x:c r="D272" s="32"/>
      <x:c r="I272" s="74"/>
      <x:c r="J272" s="74"/>
      <x:c r="K272" s="74"/>
      <x:c r="L272" s="74"/>
      <x:c r="M272" s="91"/>
      <x:c r="N272" s="85"/>
      <x:c r="P272" s="86"/>
      <x:c r="Q272" s="32"/>
    </x:row>
    <x:row r="273">
      <x:c r="A273" s="87"/>
      <x:c r="D273" s="32"/>
      <x:c r="I273" s="74"/>
      <x:c r="J273" s="74"/>
      <x:c r="K273" s="74"/>
      <x:c r="L273" s="74"/>
      <x:c r="M273" s="91"/>
      <x:c r="N273" s="85"/>
      <x:c r="P273" s="86"/>
      <x:c r="Q273" s="32"/>
    </x:row>
    <x:row r="274">
      <x:c r="A274" s="87"/>
      <x:c r="D274" s="32"/>
      <x:c r="I274" s="74"/>
      <x:c r="J274" s="74"/>
      <x:c r="K274" s="74"/>
      <x:c r="L274" s="74"/>
      <x:c r="M274" s="91"/>
      <x:c r="N274" s="85"/>
      <x:c r="P274" s="86"/>
      <x:c r="Q274" s="32"/>
    </x:row>
    <x:row r="275">
      <x:c r="A275" s="87"/>
      <x:c r="D275" s="32"/>
      <x:c r="I275" s="74"/>
      <x:c r="J275" s="74"/>
      <x:c r="K275" s="74"/>
      <x:c r="L275" s="74"/>
      <x:c r="M275" s="91"/>
      <x:c r="N275" s="85"/>
      <x:c r="P275" s="86"/>
      <x:c r="Q275" s="32"/>
    </x:row>
    <x:row r="276">
      <x:c r="A276" s="87"/>
      <x:c r="D276" s="32"/>
      <x:c r="I276" s="74"/>
      <x:c r="J276" s="74"/>
      <x:c r="K276" s="74"/>
      <x:c r="L276" s="74"/>
      <x:c r="M276" s="91"/>
      <x:c r="N276" s="85"/>
      <x:c r="P276" s="86"/>
      <x:c r="Q276" s="32"/>
    </x:row>
    <x:row r="277">
      <x:c r="A277" s="87"/>
      <x:c r="D277" s="32"/>
      <x:c r="I277" s="74"/>
      <x:c r="J277" s="74"/>
      <x:c r="K277" s="74"/>
      <x:c r="L277" s="74"/>
      <x:c r="M277" s="91"/>
      <x:c r="N277" s="85"/>
      <x:c r="P277" s="86"/>
      <x:c r="Q277" s="32"/>
    </x:row>
    <x:row r="278">
      <x:c r="A278" s="87"/>
      <x:c r="D278" s="32"/>
      <x:c r="I278" s="74"/>
      <x:c r="J278" s="74"/>
      <x:c r="K278" s="74"/>
      <x:c r="L278" s="74"/>
      <x:c r="M278" s="91"/>
      <x:c r="N278" s="85"/>
      <x:c r="P278" s="86"/>
      <x:c r="Q278" s="32"/>
    </x:row>
    <x:row r="279">
      <x:c r="A279" s="87"/>
      <x:c r="D279" s="32"/>
      <x:c r="I279" s="74"/>
      <x:c r="J279" s="74"/>
      <x:c r="K279" s="74"/>
      <x:c r="L279" s="74"/>
      <x:c r="M279" s="91"/>
      <x:c r="N279" s="85"/>
      <x:c r="P279" s="86"/>
      <x:c r="Q279" s="32"/>
    </x:row>
    <x:row r="280">
      <x:c r="A280" s="87"/>
      <x:c r="D280" s="32"/>
      <x:c r="I280" s="74"/>
      <x:c r="J280" s="74"/>
      <x:c r="K280" s="74"/>
      <x:c r="L280" s="74"/>
      <x:c r="M280" s="91"/>
      <x:c r="N280" s="85"/>
      <x:c r="P280" s="86"/>
      <x:c r="Q280" s="32"/>
    </x:row>
    <x:row r="281">
      <x:c r="A281" s="87"/>
      <x:c r="D281" s="32"/>
      <x:c r="I281" s="74"/>
      <x:c r="J281" s="74"/>
      <x:c r="K281" s="74"/>
      <x:c r="L281" s="74"/>
      <x:c r="M281" s="91"/>
      <x:c r="N281" s="85"/>
      <x:c r="P281" s="86"/>
      <x:c r="Q281" s="32"/>
    </x:row>
    <x:row r="282">
      <x:c r="A282" s="87"/>
      <x:c r="D282" s="32"/>
      <x:c r="I282" s="74"/>
      <x:c r="J282" s="74"/>
      <x:c r="K282" s="74"/>
      <x:c r="L282" s="74"/>
      <x:c r="M282" s="91"/>
      <x:c r="N282" s="85"/>
      <x:c r="P282" s="86"/>
      <x:c r="Q282" s="32"/>
    </x:row>
    <x:row r="283">
      <x:c r="A283" s="87"/>
      <x:c r="D283" s="32"/>
      <x:c r="I283" s="74"/>
      <x:c r="J283" s="74"/>
      <x:c r="K283" s="74"/>
      <x:c r="L283" s="74"/>
      <x:c r="M283" s="91"/>
      <x:c r="N283" s="85"/>
      <x:c r="P283" s="86"/>
      <x:c r="Q283" s="32"/>
    </x:row>
    <x:row r="284">
      <x:c r="A284" s="87"/>
      <x:c r="D284" s="32"/>
      <x:c r="I284" s="74"/>
      <x:c r="J284" s="74"/>
      <x:c r="K284" s="74"/>
      <x:c r="L284" s="74"/>
      <x:c r="M284" s="91"/>
      <x:c r="N284" s="85"/>
      <x:c r="P284" s="86"/>
      <x:c r="Q284" s="32"/>
    </x:row>
    <x:row r="285">
      <x:c r="A285" s="87"/>
      <x:c r="D285" s="32"/>
      <x:c r="I285" s="74"/>
      <x:c r="J285" s="74"/>
      <x:c r="K285" s="74"/>
      <x:c r="L285" s="74"/>
      <x:c r="M285" s="91"/>
      <x:c r="N285" s="85"/>
      <x:c r="P285" s="86"/>
      <x:c r="Q285" s="32"/>
    </x:row>
    <x:row r="286">
      <x:c r="A286" s="87"/>
      <x:c r="D286" s="32"/>
      <x:c r="I286" s="74"/>
      <x:c r="J286" s="74"/>
      <x:c r="K286" s="74"/>
      <x:c r="L286" s="74"/>
      <x:c r="M286" s="91"/>
      <x:c r="N286" s="85"/>
      <x:c r="P286" s="86"/>
      <x:c r="Q286" s="32"/>
    </x:row>
    <x:row r="287">
      <x:c r="A287" s="87"/>
      <x:c r="D287" s="32"/>
      <x:c r="I287" s="74"/>
      <x:c r="J287" s="74"/>
      <x:c r="K287" s="74"/>
      <x:c r="L287" s="74"/>
      <x:c r="M287" s="91"/>
      <x:c r="N287" s="85"/>
      <x:c r="P287" s="86"/>
      <x:c r="Q287" s="32"/>
    </x:row>
    <x:row r="288">
      <x:c r="A288" s="87"/>
      <x:c r="D288" s="32"/>
      <x:c r="I288" s="74"/>
      <x:c r="J288" s="74"/>
      <x:c r="K288" s="74"/>
      <x:c r="L288" s="74"/>
      <x:c r="M288" s="91"/>
      <x:c r="N288" s="85"/>
      <x:c r="P288" s="86"/>
      <x:c r="Q288" s="32"/>
    </x:row>
    <x:row r="289">
      <x:c r="A289" s="87"/>
      <x:c r="D289" s="32"/>
      <x:c r="I289" s="74"/>
      <x:c r="J289" s="74"/>
      <x:c r="K289" s="74"/>
      <x:c r="L289" s="74"/>
      <x:c r="M289" s="91"/>
      <x:c r="N289" s="85"/>
      <x:c r="P289" s="86"/>
      <x:c r="Q289" s="32"/>
    </x:row>
    <x:row r="290">
      <x:c r="A290" s="87"/>
      <x:c r="D290" s="32"/>
      <x:c r="I290" s="74"/>
      <x:c r="J290" s="74"/>
      <x:c r="K290" s="74"/>
      <x:c r="L290" s="74"/>
      <x:c r="M290" s="91"/>
      <x:c r="N290" s="85"/>
      <x:c r="P290" s="86"/>
      <x:c r="Q290" s="32"/>
    </x:row>
    <x:row r="291">
      <x:c r="A291" s="87"/>
      <x:c r="D291" s="32"/>
      <x:c r="I291" s="74"/>
      <x:c r="J291" s="74"/>
      <x:c r="K291" s="74"/>
      <x:c r="L291" s="74"/>
      <x:c r="M291" s="91"/>
      <x:c r="N291" s="85"/>
      <x:c r="P291" s="86"/>
      <x:c r="Q291" s="32"/>
    </x:row>
    <x:row r="292">
      <x:c r="A292" s="87"/>
      <x:c r="D292" s="32"/>
      <x:c r="I292" s="74"/>
      <x:c r="J292" s="74"/>
      <x:c r="K292" s="74"/>
      <x:c r="L292" s="74"/>
      <x:c r="M292" s="91"/>
      <x:c r="N292" s="85"/>
      <x:c r="P292" s="86"/>
      <x:c r="Q292" s="32"/>
    </x:row>
    <x:row r="293">
      <x:c r="A293" s="87"/>
      <x:c r="D293" s="32"/>
      <x:c r="I293" s="74"/>
      <x:c r="J293" s="74"/>
      <x:c r="K293" s="74"/>
      <x:c r="L293" s="74"/>
      <x:c r="M293" s="91"/>
      <x:c r="N293" s="85"/>
      <x:c r="P293" s="86"/>
      <x:c r="Q293" s="32"/>
    </x:row>
    <x:row r="294">
      <x:c r="A294" s="87"/>
      <x:c r="D294" s="32"/>
      <x:c r="I294" s="74"/>
      <x:c r="J294" s="74"/>
      <x:c r="K294" s="74"/>
      <x:c r="L294" s="74"/>
      <x:c r="M294" s="91"/>
      <x:c r="N294" s="85"/>
      <x:c r="P294" s="86"/>
      <x:c r="Q294" s="32"/>
    </x:row>
    <x:row r="295">
      <x:c r="A295" s="87"/>
      <x:c r="D295" s="32"/>
      <x:c r="I295" s="74"/>
      <x:c r="J295" s="74"/>
      <x:c r="K295" s="74"/>
      <x:c r="L295" s="74"/>
      <x:c r="M295" s="91"/>
      <x:c r="N295" s="85"/>
      <x:c r="P295" s="86"/>
      <x:c r="Q295" s="32"/>
    </x:row>
    <x:row r="296">
      <x:c r="A296" s="87"/>
      <x:c r="D296" s="32"/>
      <x:c r="I296" s="74"/>
      <x:c r="J296" s="74"/>
      <x:c r="K296" s="74"/>
      <x:c r="L296" s="74"/>
      <x:c r="M296" s="91"/>
      <x:c r="N296" s="85"/>
      <x:c r="P296" s="86"/>
      <x:c r="Q296" s="32"/>
    </x:row>
    <x:row r="297">
      <x:c r="A297" s="87"/>
      <x:c r="D297" s="32"/>
      <x:c r="I297" s="74"/>
      <x:c r="J297" s="74"/>
      <x:c r="K297" s="74"/>
      <x:c r="L297" s="74"/>
      <x:c r="M297" s="91"/>
      <x:c r="N297" s="85"/>
      <x:c r="P297" s="86"/>
      <x:c r="Q297" s="32"/>
    </x:row>
    <x:row r="298">
      <x:c r="A298" s="87"/>
      <x:c r="D298" s="32"/>
      <x:c r="I298" s="74"/>
      <x:c r="J298" s="74"/>
      <x:c r="K298" s="74"/>
      <x:c r="L298" s="74"/>
      <x:c r="M298" s="91"/>
      <x:c r="N298" s="85"/>
      <x:c r="P298" s="86"/>
      <x:c r="Q298" s="32"/>
    </x:row>
    <x:row r="299">
      <x:c r="A299" s="87"/>
      <x:c r="D299" s="32"/>
      <x:c r="I299" s="74"/>
      <x:c r="J299" s="74"/>
      <x:c r="K299" s="74"/>
      <x:c r="L299" s="74"/>
      <x:c r="M299" s="91"/>
      <x:c r="N299" s="85"/>
      <x:c r="P299" s="86"/>
      <x:c r="Q299" s="32"/>
    </x:row>
    <x:row r="300">
      <x:c r="A300" s="87"/>
      <x:c r="D300" s="32"/>
      <x:c r="I300" s="74"/>
      <x:c r="J300" s="74"/>
      <x:c r="K300" s="74"/>
      <x:c r="L300" s="74"/>
      <x:c r="M300" s="91"/>
      <x:c r="N300" s="85"/>
      <x:c r="P300" s="86"/>
      <x:c r="Q300" s="32"/>
    </x:row>
    <x:row r="301">
      <x:c r="A301" s="87"/>
      <x:c r="D301" s="32"/>
      <x:c r="I301" s="74"/>
      <x:c r="J301" s="74"/>
      <x:c r="K301" s="74"/>
      <x:c r="L301" s="74"/>
      <x:c r="M301" s="91"/>
      <x:c r="N301" s="85"/>
      <x:c r="P301" s="86"/>
      <x:c r="Q301" s="32"/>
    </x:row>
    <x:row r="302">
      <x:c r="A302" s="87"/>
      <x:c r="D302" s="32"/>
      <x:c r="I302" s="74"/>
      <x:c r="J302" s="74"/>
      <x:c r="K302" s="74"/>
      <x:c r="L302" s="74"/>
      <x:c r="M302" s="91"/>
      <x:c r="N302" s="85"/>
      <x:c r="P302" s="86"/>
      <x:c r="Q302" s="32"/>
    </x:row>
    <x:row r="303">
      <x:c r="A303" s="87"/>
      <x:c r="D303" s="32"/>
      <x:c r="I303" s="74"/>
      <x:c r="J303" s="74"/>
      <x:c r="K303" s="74"/>
      <x:c r="L303" s="74"/>
      <x:c r="M303" s="91"/>
      <x:c r="N303" s="85"/>
      <x:c r="P303" s="86"/>
      <x:c r="Q303" s="32"/>
    </x:row>
    <x:row r="304">
      <x:c r="A304" s="87"/>
      <x:c r="D304" s="32"/>
      <x:c r="I304" s="74"/>
      <x:c r="J304" s="74"/>
      <x:c r="K304" s="74"/>
      <x:c r="L304" s="74"/>
      <x:c r="M304" s="91"/>
      <x:c r="N304" s="85"/>
      <x:c r="P304" s="86"/>
      <x:c r="Q304" s="32"/>
    </x:row>
    <x:row r="305">
      <x:c r="A305" s="87"/>
      <x:c r="D305" s="32"/>
      <x:c r="I305" s="74"/>
      <x:c r="J305" s="74"/>
      <x:c r="K305" s="74"/>
      <x:c r="L305" s="74"/>
      <x:c r="M305" s="91"/>
      <x:c r="N305" s="85"/>
      <x:c r="P305" s="86"/>
      <x:c r="Q305" s="32"/>
    </x:row>
    <x:row r="306">
      <x:c r="A306" s="87"/>
      <x:c r="D306" s="32"/>
      <x:c r="I306" s="74"/>
      <x:c r="J306" s="74"/>
      <x:c r="K306" s="74"/>
      <x:c r="L306" s="74"/>
      <x:c r="M306" s="91"/>
      <x:c r="N306" s="85"/>
      <x:c r="P306" s="86"/>
      <x:c r="Q306" s="32"/>
    </x:row>
    <x:row r="307">
      <x:c r="A307" s="87"/>
      <x:c r="D307" s="32"/>
      <x:c r="I307" s="74"/>
      <x:c r="J307" s="74"/>
      <x:c r="K307" s="74"/>
      <x:c r="L307" s="74"/>
      <x:c r="M307" s="91"/>
      <x:c r="N307" s="85"/>
      <x:c r="P307" s="86"/>
      <x:c r="Q307" s="32"/>
    </x:row>
    <x:row r="308">
      <x:c r="A308" s="87"/>
      <x:c r="D308" s="32"/>
      <x:c r="I308" s="74"/>
      <x:c r="J308" s="74"/>
      <x:c r="K308" s="74"/>
      <x:c r="L308" s="74"/>
      <x:c r="M308" s="91"/>
      <x:c r="N308" s="85"/>
      <x:c r="P308" s="86"/>
      <x:c r="Q308" s="32"/>
    </x:row>
    <x:row r="309">
      <x:c r="A309" s="87"/>
      <x:c r="D309" s="32"/>
      <x:c r="I309" s="74"/>
      <x:c r="J309" s="74"/>
      <x:c r="K309" s="74"/>
      <x:c r="L309" s="74"/>
      <x:c r="M309" s="91"/>
      <x:c r="N309" s="85"/>
      <x:c r="P309" s="86"/>
      <x:c r="Q309" s="32"/>
    </x:row>
    <x:row r="310">
      <x:c r="A310" s="87"/>
      <x:c r="D310" s="32"/>
      <x:c r="I310" s="74"/>
      <x:c r="J310" s="74"/>
      <x:c r="K310" s="74"/>
      <x:c r="L310" s="74"/>
      <x:c r="M310" s="91"/>
      <x:c r="N310" s="85"/>
      <x:c r="P310" s="86"/>
      <x:c r="Q310" s="32"/>
    </x:row>
    <x:row r="311">
      <x:c r="A311" s="87"/>
      <x:c r="D311" s="32"/>
      <x:c r="I311" s="74"/>
      <x:c r="J311" s="74"/>
      <x:c r="K311" s="74"/>
      <x:c r="L311" s="74"/>
      <x:c r="M311" s="91"/>
      <x:c r="N311" s="85"/>
      <x:c r="P311" s="86"/>
      <x:c r="Q311" s="32"/>
    </x:row>
    <x:row r="312">
      <x:c r="A312" s="87"/>
      <x:c r="D312" s="32"/>
      <x:c r="I312" s="74"/>
      <x:c r="J312" s="74"/>
      <x:c r="K312" s="74"/>
      <x:c r="L312" s="74"/>
      <x:c r="M312" s="91"/>
      <x:c r="N312" s="85"/>
      <x:c r="P312" s="86"/>
      <x:c r="Q312" s="32"/>
    </x:row>
    <x:row r="313">
      <x:c r="A313" s="87"/>
      <x:c r="D313" s="32"/>
      <x:c r="I313" s="74"/>
      <x:c r="J313" s="74"/>
      <x:c r="K313" s="74"/>
      <x:c r="L313" s="74"/>
      <x:c r="M313" s="91"/>
      <x:c r="N313" s="85"/>
      <x:c r="P313" s="86"/>
      <x:c r="Q313" s="32"/>
    </x:row>
    <x:row r="314">
      <x:c r="A314" s="87"/>
      <x:c r="D314" s="32"/>
      <x:c r="I314" s="74"/>
      <x:c r="J314" s="74"/>
      <x:c r="K314" s="74"/>
      <x:c r="L314" s="74"/>
      <x:c r="M314" s="91"/>
      <x:c r="N314" s="85"/>
      <x:c r="P314" s="86"/>
      <x:c r="Q314" s="32"/>
    </x:row>
    <x:row r="315">
      <x:c r="A315" s="87"/>
      <x:c r="D315" s="32"/>
      <x:c r="I315" s="74"/>
      <x:c r="J315" s="74"/>
      <x:c r="K315" s="74"/>
      <x:c r="L315" s="74"/>
      <x:c r="M315" s="91"/>
      <x:c r="N315" s="85"/>
      <x:c r="P315" s="86"/>
      <x:c r="Q315" s="32"/>
    </x:row>
    <x:row r="316">
      <x:c r="A316" s="87"/>
      <x:c r="D316" s="32"/>
      <x:c r="I316" s="74"/>
      <x:c r="J316" s="74"/>
      <x:c r="K316" s="74"/>
      <x:c r="L316" s="74"/>
      <x:c r="M316" s="91"/>
      <x:c r="N316" s="85"/>
      <x:c r="P316" s="86"/>
      <x:c r="Q316" s="32"/>
    </x:row>
    <x:row r="317">
      <x:c r="A317" s="87"/>
      <x:c r="D317" s="32"/>
      <x:c r="I317" s="74"/>
      <x:c r="J317" s="74"/>
      <x:c r="K317" s="74"/>
      <x:c r="L317" s="74"/>
      <x:c r="M317" s="91"/>
      <x:c r="N317" s="85"/>
      <x:c r="P317" s="86"/>
      <x:c r="Q317" s="32"/>
    </x:row>
    <x:row r="318">
      <x:c r="A318" s="87"/>
      <x:c r="D318" s="32"/>
      <x:c r="I318" s="74"/>
      <x:c r="J318" s="74"/>
      <x:c r="K318" s="74"/>
      <x:c r="L318" s="74"/>
      <x:c r="M318" s="91"/>
      <x:c r="N318" s="85"/>
      <x:c r="P318" s="86"/>
      <x:c r="Q318" s="32"/>
    </x:row>
    <x:row r="319">
      <x:c r="A319" s="87"/>
      <x:c r="D319" s="32"/>
      <x:c r="I319" s="74"/>
      <x:c r="J319" s="74"/>
      <x:c r="K319" s="74"/>
      <x:c r="L319" s="74"/>
      <x:c r="M319" s="91"/>
      <x:c r="N319" s="85"/>
      <x:c r="P319" s="86"/>
      <x:c r="Q319" s="32"/>
    </x:row>
    <x:row r="320">
      <x:c r="A320" s="87"/>
      <x:c r="D320" s="32"/>
      <x:c r="I320" s="74"/>
      <x:c r="J320" s="74"/>
      <x:c r="K320" s="74"/>
      <x:c r="L320" s="74"/>
      <x:c r="M320" s="91"/>
      <x:c r="N320" s="85"/>
      <x:c r="P320" s="86"/>
      <x:c r="Q320" s="32"/>
    </x:row>
    <x:row r="321">
      <x:c r="A321" s="87"/>
      <x:c r="D321" s="32"/>
      <x:c r="I321" s="74"/>
      <x:c r="J321" s="74"/>
      <x:c r="K321" s="74"/>
      <x:c r="L321" s="74"/>
      <x:c r="M321" s="91"/>
      <x:c r="N321" s="85"/>
      <x:c r="P321" s="86"/>
      <x:c r="Q321" s="32"/>
    </x:row>
    <x:row r="322">
      <x:c r="A322" s="87"/>
      <x:c r="D322" s="32"/>
      <x:c r="I322" s="74"/>
      <x:c r="J322" s="74"/>
      <x:c r="K322" s="74"/>
      <x:c r="L322" s="74"/>
      <x:c r="M322" s="91"/>
      <x:c r="N322" s="85"/>
      <x:c r="P322" s="86"/>
      <x:c r="Q322" s="32"/>
    </x:row>
    <x:row r="323">
      <x:c r="A323" s="87"/>
      <x:c r="D323" s="32"/>
      <x:c r="I323" s="74"/>
      <x:c r="J323" s="74"/>
      <x:c r="K323" s="74"/>
      <x:c r="L323" s="74"/>
      <x:c r="M323" s="91"/>
      <x:c r="N323" s="85"/>
      <x:c r="P323" s="86"/>
      <x:c r="Q323" s="32"/>
    </x:row>
    <x:row r="324">
      <x:c r="A324" s="87"/>
      <x:c r="D324" s="32"/>
      <x:c r="I324" s="74"/>
      <x:c r="J324" s="74"/>
      <x:c r="K324" s="74"/>
      <x:c r="L324" s="74"/>
      <x:c r="M324" s="91"/>
      <x:c r="N324" s="85"/>
      <x:c r="P324" s="86"/>
      <x:c r="Q324" s="32"/>
    </x:row>
    <x:row r="325">
      <x:c r="A325" s="87"/>
      <x:c r="D325" s="32"/>
      <x:c r="I325" s="74"/>
      <x:c r="J325" s="74"/>
      <x:c r="K325" s="74"/>
      <x:c r="L325" s="74"/>
      <x:c r="M325" s="91"/>
      <x:c r="N325" s="85"/>
      <x:c r="P325" s="86"/>
      <x:c r="Q325" s="32"/>
    </x:row>
    <x:row r="326">
      <x:c r="A326" s="87"/>
      <x:c r="D326" s="32"/>
      <x:c r="I326" s="74"/>
      <x:c r="J326" s="74"/>
      <x:c r="K326" s="74"/>
      <x:c r="L326" s="74"/>
      <x:c r="M326" s="91"/>
      <x:c r="N326" s="85"/>
      <x:c r="P326" s="86"/>
      <x:c r="Q326" s="32"/>
    </x:row>
    <x:row r="327">
      <x:c r="A327" s="87"/>
      <x:c r="D327" s="32"/>
      <x:c r="I327" s="74"/>
      <x:c r="J327" s="74"/>
      <x:c r="K327" s="74"/>
      <x:c r="L327" s="74"/>
      <x:c r="M327" s="91"/>
      <x:c r="N327" s="85"/>
      <x:c r="P327" s="86"/>
      <x:c r="Q327" s="32"/>
    </x:row>
    <x:row r="328">
      <x:c r="A328" s="87"/>
      <x:c r="D328" s="32"/>
      <x:c r="I328" s="74"/>
      <x:c r="J328" s="74"/>
      <x:c r="K328" s="74"/>
      <x:c r="L328" s="74"/>
      <x:c r="M328" s="91"/>
      <x:c r="N328" s="85"/>
      <x:c r="P328" s="86"/>
      <x:c r="Q328" s="32"/>
    </x:row>
    <x:row r="329">
      <x:c r="A329" s="87"/>
      <x:c r="D329" s="32"/>
      <x:c r="I329" s="74"/>
      <x:c r="J329" s="74"/>
      <x:c r="K329" s="74"/>
      <x:c r="L329" s="74"/>
      <x:c r="M329" s="91"/>
      <x:c r="N329" s="85"/>
      <x:c r="P329" s="86"/>
      <x:c r="Q329" s="32"/>
    </x:row>
    <x:row r="330">
      <x:c r="A330" s="87"/>
      <x:c r="D330" s="32"/>
      <x:c r="I330" s="74"/>
      <x:c r="J330" s="74"/>
      <x:c r="K330" s="74"/>
      <x:c r="L330" s="74"/>
      <x:c r="M330" s="91"/>
      <x:c r="N330" s="85"/>
      <x:c r="P330" s="86"/>
      <x:c r="Q330" s="32"/>
    </x:row>
    <x:row r="331">
      <x:c r="A331" s="87"/>
      <x:c r="D331" s="32"/>
      <x:c r="I331" s="74"/>
      <x:c r="J331" s="74"/>
      <x:c r="K331" s="74"/>
      <x:c r="L331" s="74"/>
      <x:c r="M331" s="91"/>
      <x:c r="N331" s="85"/>
      <x:c r="P331" s="86"/>
      <x:c r="Q331" s="32"/>
    </x:row>
    <x:row r="332">
      <x:c r="A332" s="87"/>
      <x:c r="D332" s="32"/>
      <x:c r="I332" s="74"/>
      <x:c r="J332" s="74"/>
      <x:c r="K332" s="74"/>
      <x:c r="L332" s="74"/>
      <x:c r="M332" s="91"/>
      <x:c r="N332" s="85"/>
      <x:c r="P332" s="86"/>
      <x:c r="Q332" s="32"/>
    </x:row>
    <x:row r="333">
      <x:c r="A333" s="87"/>
      <x:c r="D333" s="32"/>
      <x:c r="I333" s="74"/>
      <x:c r="J333" s="74"/>
      <x:c r="K333" s="74"/>
      <x:c r="L333" s="74"/>
      <x:c r="M333" s="91"/>
      <x:c r="N333" s="85"/>
      <x:c r="P333" s="86"/>
      <x:c r="Q333" s="32"/>
    </x:row>
    <x:row r="334">
      <x:c r="A334" s="87"/>
      <x:c r="D334" s="32"/>
      <x:c r="I334" s="74"/>
      <x:c r="J334" s="74"/>
      <x:c r="K334" s="74"/>
      <x:c r="L334" s="74"/>
      <x:c r="M334" s="91"/>
      <x:c r="N334" s="85"/>
      <x:c r="P334" s="86"/>
      <x:c r="Q334" s="32"/>
    </x:row>
    <x:row r="335">
      <x:c r="A335" s="87"/>
      <x:c r="D335" s="32"/>
      <x:c r="I335" s="74"/>
      <x:c r="J335" s="74"/>
      <x:c r="K335" s="74"/>
      <x:c r="L335" s="74"/>
      <x:c r="M335" s="91"/>
      <x:c r="N335" s="85"/>
      <x:c r="P335" s="86"/>
      <x:c r="Q335" s="32"/>
    </x:row>
    <x:row r="336">
      <x:c r="A336" s="87"/>
      <x:c r="D336" s="32"/>
      <x:c r="I336" s="74"/>
      <x:c r="J336" s="74"/>
      <x:c r="K336" s="74"/>
      <x:c r="L336" s="74"/>
      <x:c r="M336" s="91"/>
      <x:c r="N336" s="85"/>
      <x:c r="P336" s="86"/>
      <x:c r="Q336" s="32"/>
    </x:row>
    <x:row r="337">
      <x:c r="A337" s="87"/>
      <x:c r="D337" s="32"/>
      <x:c r="I337" s="74"/>
      <x:c r="J337" s="74"/>
      <x:c r="K337" s="74"/>
      <x:c r="L337" s="74"/>
      <x:c r="M337" s="91"/>
      <x:c r="N337" s="85"/>
      <x:c r="P337" s="86"/>
      <x:c r="Q337" s="32"/>
    </x:row>
    <x:row r="338">
      <x:c r="A338" s="87"/>
      <x:c r="D338" s="32"/>
      <x:c r="I338" s="74"/>
      <x:c r="J338" s="74"/>
      <x:c r="K338" s="74"/>
      <x:c r="L338" s="74"/>
      <x:c r="M338" s="91"/>
      <x:c r="N338" s="85"/>
      <x:c r="P338" s="86"/>
      <x:c r="Q338" s="32"/>
    </x:row>
    <x:row r="339">
      <x:c r="A339" s="87"/>
      <x:c r="D339" s="32"/>
      <x:c r="I339" s="74"/>
      <x:c r="J339" s="74"/>
      <x:c r="K339" s="74"/>
      <x:c r="L339" s="74"/>
      <x:c r="M339" s="91"/>
      <x:c r="N339" s="85"/>
      <x:c r="P339" s="86"/>
      <x:c r="Q339" s="32"/>
    </x:row>
    <x:row r="340">
      <x:c r="A340" s="87"/>
      <x:c r="D340" s="32"/>
      <x:c r="I340" s="74"/>
      <x:c r="J340" s="74"/>
      <x:c r="K340" s="74"/>
      <x:c r="L340" s="74"/>
      <x:c r="M340" s="91"/>
      <x:c r="N340" s="85"/>
      <x:c r="P340" s="86"/>
      <x:c r="Q340" s="32"/>
    </x:row>
    <x:row r="341">
      <x:c r="A341" s="87"/>
      <x:c r="D341" s="32"/>
      <x:c r="I341" s="74"/>
      <x:c r="J341" s="74"/>
      <x:c r="K341" s="74"/>
      <x:c r="L341" s="74"/>
      <x:c r="M341" s="91"/>
      <x:c r="N341" s="85"/>
      <x:c r="P341" s="86"/>
      <x:c r="Q341" s="32"/>
    </x:row>
    <x:row r="342">
      <x:c r="A342" s="87"/>
      <x:c r="D342" s="32"/>
      <x:c r="I342" s="74"/>
      <x:c r="J342" s="74"/>
      <x:c r="K342" s="74"/>
      <x:c r="L342" s="74"/>
      <x:c r="M342" s="91"/>
      <x:c r="N342" s="85"/>
      <x:c r="P342" s="86"/>
      <x:c r="Q342" s="32"/>
    </x:row>
    <x:row r="343">
      <x:c r="A343" s="87"/>
      <x:c r="D343" s="32"/>
      <x:c r="I343" s="74"/>
      <x:c r="J343" s="74"/>
      <x:c r="K343" s="74"/>
      <x:c r="L343" s="74"/>
      <x:c r="M343" s="91"/>
      <x:c r="N343" s="85"/>
      <x:c r="P343" s="86"/>
      <x:c r="Q343" s="32"/>
    </x:row>
    <x:row r="344">
      <x:c r="A344" s="87"/>
      <x:c r="D344" s="32"/>
      <x:c r="I344" s="74"/>
      <x:c r="J344" s="74"/>
      <x:c r="K344" s="74"/>
      <x:c r="L344" s="74"/>
      <x:c r="M344" s="91"/>
      <x:c r="N344" s="85"/>
      <x:c r="P344" s="86"/>
      <x:c r="Q344" s="32"/>
    </x:row>
    <x:row r="345">
      <x:c r="A345" s="87"/>
      <x:c r="D345" s="32"/>
      <x:c r="I345" s="74"/>
      <x:c r="J345" s="74"/>
      <x:c r="K345" s="74"/>
      <x:c r="L345" s="74"/>
      <x:c r="M345" s="91"/>
      <x:c r="N345" s="85"/>
      <x:c r="P345" s="86"/>
      <x:c r="Q345" s="32"/>
    </x:row>
    <x:row r="346">
      <x:c r="A346" s="87"/>
      <x:c r="D346" s="32"/>
      <x:c r="I346" s="74"/>
      <x:c r="J346" s="74"/>
      <x:c r="K346" s="74"/>
      <x:c r="L346" s="74"/>
      <x:c r="M346" s="91"/>
      <x:c r="N346" s="85"/>
      <x:c r="P346" s="86"/>
      <x:c r="Q346" s="32"/>
    </x:row>
    <x:row r="347">
      <x:c r="A347" s="87"/>
      <x:c r="D347" s="32"/>
      <x:c r="I347" s="74"/>
      <x:c r="J347" s="74"/>
      <x:c r="K347" s="74"/>
      <x:c r="L347" s="74"/>
      <x:c r="M347" s="91"/>
      <x:c r="N347" s="85"/>
      <x:c r="P347" s="86"/>
      <x:c r="Q347" s="32"/>
    </x:row>
    <x:row r="348">
      <x:c r="A348" s="87"/>
      <x:c r="D348" s="32"/>
      <x:c r="I348" s="74"/>
      <x:c r="J348" s="74"/>
      <x:c r="K348" s="74"/>
      <x:c r="L348" s="74"/>
      <x:c r="M348" s="91"/>
      <x:c r="N348" s="85"/>
      <x:c r="P348" s="86"/>
      <x:c r="Q348" s="32"/>
    </x:row>
    <x:row r="349">
      <x:c r="A349" s="87"/>
      <x:c r="D349" s="32"/>
      <x:c r="I349" s="74"/>
      <x:c r="J349" s="74"/>
      <x:c r="K349" s="74"/>
      <x:c r="L349" s="74"/>
      <x:c r="M349" s="91"/>
      <x:c r="N349" s="85"/>
      <x:c r="P349" s="86"/>
      <x:c r="Q349" s="32"/>
    </x:row>
    <x:row r="350">
      <x:c r="A350" s="87"/>
      <x:c r="D350" s="32"/>
      <x:c r="I350" s="74"/>
      <x:c r="J350" s="74"/>
      <x:c r="K350" s="74"/>
      <x:c r="L350" s="74"/>
      <x:c r="M350" s="91"/>
      <x:c r="N350" s="85"/>
      <x:c r="P350" s="86"/>
      <x:c r="Q350" s="32"/>
    </x:row>
    <x:row r="351">
      <x:c r="A351" s="87"/>
      <x:c r="D351" s="32"/>
      <x:c r="I351" s="74"/>
      <x:c r="J351" s="74"/>
      <x:c r="K351" s="74"/>
      <x:c r="L351" s="74"/>
      <x:c r="M351" s="91"/>
      <x:c r="N351" s="85"/>
      <x:c r="P351" s="86"/>
      <x:c r="Q351" s="32"/>
    </x:row>
    <x:row r="352">
      <x:c r="A352" s="87"/>
      <x:c r="D352" s="32"/>
      <x:c r="I352" s="74"/>
      <x:c r="J352" s="74"/>
      <x:c r="K352" s="74"/>
      <x:c r="L352" s="74"/>
      <x:c r="M352" s="91"/>
      <x:c r="N352" s="85"/>
      <x:c r="P352" s="86"/>
      <x:c r="Q352" s="32"/>
    </x:row>
    <x:row r="353">
      <x:c r="A353" s="87"/>
      <x:c r="D353" s="32"/>
      <x:c r="I353" s="74"/>
      <x:c r="J353" s="74"/>
      <x:c r="K353" s="74"/>
      <x:c r="L353" s="74"/>
      <x:c r="M353" s="91"/>
      <x:c r="N353" s="85"/>
      <x:c r="P353" s="86"/>
      <x:c r="Q353" s="32"/>
    </x:row>
    <x:row r="354">
      <x:c r="A354" s="87"/>
      <x:c r="D354" s="32"/>
      <x:c r="I354" s="74"/>
      <x:c r="J354" s="74"/>
      <x:c r="K354" s="74"/>
      <x:c r="L354" s="74"/>
      <x:c r="M354" s="91"/>
      <x:c r="N354" s="85"/>
      <x:c r="P354" s="86"/>
      <x:c r="Q354" s="32"/>
    </x:row>
    <x:row r="355">
      <x:c r="A355" s="87"/>
      <x:c r="D355" s="32"/>
      <x:c r="I355" s="74"/>
      <x:c r="J355" s="74"/>
      <x:c r="K355" s="74"/>
      <x:c r="L355" s="74"/>
      <x:c r="M355" s="91"/>
      <x:c r="N355" s="85"/>
      <x:c r="P355" s="86"/>
      <x:c r="Q355" s="32"/>
    </x:row>
    <x:row r="356">
      <x:c r="A356" s="87"/>
      <x:c r="D356" s="32"/>
      <x:c r="I356" s="74"/>
      <x:c r="J356" s="74"/>
      <x:c r="K356" s="74"/>
      <x:c r="L356" s="74"/>
      <x:c r="M356" s="91"/>
      <x:c r="N356" s="85"/>
      <x:c r="P356" s="86"/>
      <x:c r="Q356" s="32"/>
    </x:row>
    <x:row r="357">
      <x:c r="A357" s="87"/>
      <x:c r="D357" s="32"/>
      <x:c r="I357" s="74"/>
      <x:c r="J357" s="74"/>
      <x:c r="K357" s="74"/>
      <x:c r="L357" s="74"/>
      <x:c r="M357" s="91"/>
      <x:c r="N357" s="85"/>
      <x:c r="P357" s="86"/>
      <x:c r="Q357" s="32"/>
    </x:row>
    <x:row r="358">
      <x:c r="A358" s="87"/>
      <x:c r="D358" s="32"/>
      <x:c r="I358" s="74"/>
      <x:c r="J358" s="74"/>
      <x:c r="K358" s="74"/>
      <x:c r="L358" s="74"/>
      <x:c r="M358" s="91"/>
      <x:c r="N358" s="85"/>
      <x:c r="P358" s="86"/>
      <x:c r="Q358" s="32"/>
    </x:row>
    <x:row r="359">
      <x:c r="A359" s="87"/>
      <x:c r="D359" s="32"/>
      <x:c r="I359" s="74"/>
      <x:c r="J359" s="74"/>
      <x:c r="K359" s="74"/>
      <x:c r="L359" s="74"/>
      <x:c r="M359" s="91"/>
      <x:c r="N359" s="85"/>
      <x:c r="P359" s="86"/>
      <x:c r="Q359" s="32"/>
    </x:row>
    <x:row r="360">
      <x:c r="A360" s="87"/>
      <x:c r="D360" s="32"/>
      <x:c r="I360" s="74"/>
      <x:c r="J360" s="74"/>
      <x:c r="K360" s="74"/>
      <x:c r="L360" s="74"/>
      <x:c r="M360" s="91"/>
      <x:c r="N360" s="85"/>
      <x:c r="P360" s="86"/>
      <x:c r="Q360" s="32"/>
    </x:row>
    <x:row r="361">
      <x:c r="A361" s="87"/>
      <x:c r="D361" s="32"/>
      <x:c r="I361" s="74"/>
      <x:c r="J361" s="74"/>
      <x:c r="K361" s="74"/>
      <x:c r="L361" s="74"/>
      <x:c r="M361" s="91"/>
      <x:c r="N361" s="85"/>
      <x:c r="P361" s="86"/>
      <x:c r="Q361" s="32"/>
    </x:row>
    <x:row r="362">
      <x:c r="A362" s="87"/>
      <x:c r="D362" s="32"/>
      <x:c r="I362" s="74"/>
      <x:c r="J362" s="74"/>
      <x:c r="K362" s="74"/>
      <x:c r="L362" s="74"/>
      <x:c r="M362" s="91"/>
      <x:c r="N362" s="85"/>
      <x:c r="P362" s="86"/>
      <x:c r="Q362" s="32"/>
    </x:row>
    <x:row r="363">
      <x:c r="A363" s="87"/>
      <x:c r="D363" s="32"/>
      <x:c r="I363" s="74"/>
      <x:c r="J363" s="74"/>
      <x:c r="K363" s="74"/>
      <x:c r="L363" s="74"/>
      <x:c r="M363" s="91"/>
      <x:c r="N363" s="85"/>
      <x:c r="P363" s="86"/>
      <x:c r="Q363" s="32"/>
    </x:row>
    <x:row r="364">
      <x:c r="A364" s="87"/>
      <x:c r="D364" s="32"/>
      <x:c r="I364" s="74"/>
      <x:c r="J364" s="74"/>
      <x:c r="K364" s="74"/>
      <x:c r="L364" s="74"/>
      <x:c r="M364" s="91"/>
      <x:c r="N364" s="85"/>
      <x:c r="P364" s="86"/>
      <x:c r="Q364" s="32"/>
    </x:row>
    <x:row r="365">
      <x:c r="A365" s="87"/>
      <x:c r="D365" s="32"/>
      <x:c r="I365" s="74"/>
      <x:c r="J365" s="74"/>
      <x:c r="K365" s="74"/>
      <x:c r="L365" s="74"/>
      <x:c r="M365" s="91"/>
      <x:c r="N365" s="85"/>
      <x:c r="P365" s="86"/>
      <x:c r="Q365" s="32"/>
    </x:row>
    <x:row r="366">
      <x:c r="A366" s="87"/>
      <x:c r="D366" s="32"/>
      <x:c r="I366" s="74"/>
      <x:c r="J366" s="74"/>
      <x:c r="K366" s="74"/>
      <x:c r="L366" s="74"/>
      <x:c r="M366" s="91"/>
      <x:c r="N366" s="85"/>
      <x:c r="P366" s="86"/>
      <x:c r="Q366" s="32"/>
    </x:row>
    <x:row r="367">
      <x:c r="A367" s="87"/>
      <x:c r="D367" s="32"/>
      <x:c r="I367" s="74"/>
      <x:c r="J367" s="74"/>
      <x:c r="K367" s="74"/>
      <x:c r="L367" s="74"/>
      <x:c r="M367" s="91"/>
      <x:c r="N367" s="85"/>
      <x:c r="P367" s="86"/>
      <x:c r="Q367" s="32"/>
    </x:row>
    <x:row r="368">
      <x:c r="A368" s="87"/>
      <x:c r="D368" s="32"/>
      <x:c r="I368" s="74"/>
      <x:c r="J368" s="74"/>
      <x:c r="K368" s="74"/>
      <x:c r="L368" s="74"/>
      <x:c r="M368" s="91"/>
      <x:c r="N368" s="85"/>
      <x:c r="P368" s="86"/>
      <x:c r="Q368" s="32"/>
    </x:row>
    <x:row r="369">
      <x:c r="A369" s="87"/>
      <x:c r="D369" s="32"/>
      <x:c r="I369" s="74"/>
      <x:c r="J369" s="74"/>
      <x:c r="K369" s="74"/>
      <x:c r="L369" s="74"/>
      <x:c r="M369" s="91"/>
      <x:c r="N369" s="85"/>
      <x:c r="P369" s="86"/>
      <x:c r="Q369" s="32"/>
    </x:row>
    <x:row r="370">
      <x:c r="A370" s="87"/>
      <x:c r="D370" s="32"/>
      <x:c r="I370" s="74"/>
      <x:c r="J370" s="74"/>
      <x:c r="K370" s="74"/>
      <x:c r="L370" s="74"/>
      <x:c r="M370" s="91"/>
      <x:c r="N370" s="85"/>
      <x:c r="P370" s="86"/>
      <x:c r="Q370" s="32"/>
    </x:row>
    <x:row r="371">
      <x:c r="A371" s="87"/>
      <x:c r="D371" s="32"/>
      <x:c r="I371" s="74"/>
      <x:c r="J371" s="74"/>
      <x:c r="K371" s="74"/>
      <x:c r="L371" s="74"/>
      <x:c r="M371" s="91"/>
      <x:c r="N371" s="85"/>
      <x:c r="P371" s="86"/>
      <x:c r="Q371" s="32"/>
    </x:row>
    <x:row r="372">
      <x:c r="A372" s="87"/>
      <x:c r="D372" s="32"/>
      <x:c r="I372" s="74"/>
      <x:c r="J372" s="74"/>
      <x:c r="K372" s="74"/>
      <x:c r="L372" s="74"/>
      <x:c r="M372" s="91"/>
      <x:c r="N372" s="85"/>
      <x:c r="P372" s="86"/>
      <x:c r="Q372" s="32"/>
    </x:row>
    <x:row r="373">
      <x:c r="A373" s="87"/>
      <x:c r="D373" s="32"/>
      <x:c r="I373" s="74"/>
      <x:c r="J373" s="74"/>
      <x:c r="K373" s="74"/>
      <x:c r="L373" s="74"/>
      <x:c r="M373" s="91"/>
      <x:c r="N373" s="85"/>
      <x:c r="P373" s="86"/>
      <x:c r="Q373" s="32"/>
    </x:row>
    <x:row r="374">
      <x:c r="A374" s="87"/>
      <x:c r="D374" s="32"/>
      <x:c r="I374" s="74"/>
      <x:c r="J374" s="74"/>
      <x:c r="K374" s="74"/>
      <x:c r="L374" s="74"/>
      <x:c r="M374" s="91"/>
      <x:c r="N374" s="85"/>
      <x:c r="P374" s="86"/>
      <x:c r="Q374" s="32"/>
    </x:row>
    <x:row r="375">
      <x:c r="A375" s="87"/>
      <x:c r="D375" s="32"/>
      <x:c r="I375" s="74"/>
      <x:c r="J375" s="74"/>
      <x:c r="K375" s="74"/>
      <x:c r="L375" s="74"/>
      <x:c r="M375" s="91"/>
      <x:c r="N375" s="85"/>
      <x:c r="P375" s="86"/>
      <x:c r="Q375" s="32"/>
    </x:row>
    <x:row r="376">
      <x:c r="A376" s="87"/>
      <x:c r="D376" s="32"/>
      <x:c r="I376" s="74"/>
      <x:c r="J376" s="74"/>
      <x:c r="K376" s="74"/>
      <x:c r="L376" s="74"/>
      <x:c r="M376" s="91"/>
      <x:c r="N376" s="85"/>
      <x:c r="P376" s="86"/>
      <x:c r="Q376" s="32"/>
    </x:row>
    <x:row r="377">
      <x:c r="A377" s="87"/>
      <x:c r="D377" s="32"/>
      <x:c r="I377" s="74"/>
      <x:c r="J377" s="74"/>
      <x:c r="K377" s="74"/>
      <x:c r="L377" s="74"/>
      <x:c r="M377" s="91"/>
      <x:c r="N377" s="85"/>
      <x:c r="P377" s="86"/>
      <x:c r="Q377" s="32"/>
    </x:row>
    <x:row r="378">
      <x:c r="A378" s="87"/>
      <x:c r="D378" s="32"/>
      <x:c r="I378" s="74"/>
      <x:c r="J378" s="74"/>
      <x:c r="K378" s="74"/>
      <x:c r="L378" s="74"/>
      <x:c r="M378" s="91"/>
      <x:c r="N378" s="85"/>
      <x:c r="P378" s="86"/>
      <x:c r="Q378" s="32"/>
    </x:row>
    <x:row r="379">
      <x:c r="A379" s="87"/>
      <x:c r="D379" s="32"/>
      <x:c r="I379" s="74"/>
      <x:c r="J379" s="74"/>
      <x:c r="K379" s="74"/>
      <x:c r="L379" s="74"/>
      <x:c r="M379" s="91"/>
      <x:c r="N379" s="85"/>
      <x:c r="P379" s="86"/>
      <x:c r="Q379" s="32"/>
    </x:row>
    <x:row r="380">
      <x:c r="A380" s="87"/>
      <x:c r="D380" s="32"/>
      <x:c r="I380" s="74"/>
      <x:c r="J380" s="74"/>
      <x:c r="K380" s="74"/>
      <x:c r="L380" s="74"/>
      <x:c r="M380" s="91"/>
      <x:c r="N380" s="85"/>
      <x:c r="P380" s="86"/>
      <x:c r="Q380" s="32"/>
    </x:row>
    <x:row r="381">
      <x:c r="A381" s="87"/>
      <x:c r="D381" s="32"/>
      <x:c r="I381" s="74"/>
      <x:c r="J381" s="74"/>
      <x:c r="K381" s="74"/>
      <x:c r="L381" s="74"/>
      <x:c r="M381" s="91"/>
      <x:c r="N381" s="85"/>
      <x:c r="P381" s="86"/>
      <x:c r="Q381" s="32"/>
    </x:row>
    <x:row r="382">
      <x:c r="A382" s="87"/>
      <x:c r="D382" s="32"/>
      <x:c r="I382" s="74"/>
      <x:c r="J382" s="74"/>
      <x:c r="K382" s="74"/>
      <x:c r="L382" s="74"/>
      <x:c r="M382" s="91"/>
      <x:c r="N382" s="85"/>
      <x:c r="P382" s="86"/>
      <x:c r="Q382" s="32"/>
    </x:row>
    <x:row r="383">
      <x:c r="A383" s="87"/>
      <x:c r="D383" s="32"/>
      <x:c r="I383" s="74"/>
      <x:c r="J383" s="74"/>
      <x:c r="K383" s="74"/>
      <x:c r="L383" s="74"/>
      <x:c r="M383" s="91"/>
      <x:c r="N383" s="85"/>
      <x:c r="P383" s="86"/>
      <x:c r="Q383" s="32"/>
    </x:row>
    <x:row r="384">
      <x:c r="A384" s="87"/>
      <x:c r="D384" s="32"/>
      <x:c r="I384" s="74"/>
      <x:c r="J384" s="74"/>
      <x:c r="K384" s="74"/>
      <x:c r="L384" s="74"/>
      <x:c r="M384" s="91"/>
      <x:c r="N384" s="85"/>
      <x:c r="P384" s="86"/>
      <x:c r="Q384" s="32"/>
    </x:row>
    <x:row r="385">
      <x:c r="A385" s="87"/>
      <x:c r="D385" s="32"/>
      <x:c r="I385" s="74"/>
      <x:c r="J385" s="74"/>
      <x:c r="K385" s="74"/>
      <x:c r="L385" s="74"/>
      <x:c r="M385" s="91"/>
      <x:c r="N385" s="85"/>
      <x:c r="P385" s="86"/>
      <x:c r="Q385" s="32"/>
    </x:row>
    <x:row r="386">
      <x:c r="A386" s="87"/>
      <x:c r="D386" s="32"/>
      <x:c r="I386" s="74"/>
      <x:c r="J386" s="74"/>
      <x:c r="K386" s="74"/>
      <x:c r="L386" s="74"/>
      <x:c r="M386" s="91"/>
      <x:c r="N386" s="85"/>
      <x:c r="P386" s="86"/>
      <x:c r="Q386" s="32"/>
    </x:row>
    <x:row r="387">
      <x:c r="A387" s="87"/>
      <x:c r="D387" s="32"/>
      <x:c r="I387" s="74"/>
      <x:c r="J387" s="74"/>
      <x:c r="K387" s="74"/>
      <x:c r="L387" s="74"/>
      <x:c r="M387" s="91"/>
      <x:c r="N387" s="85"/>
      <x:c r="P387" s="86"/>
      <x:c r="Q387" s="32"/>
    </x:row>
    <x:row r="388">
      <x:c r="A388" s="87"/>
      <x:c r="D388" s="32"/>
      <x:c r="I388" s="74"/>
      <x:c r="J388" s="74"/>
      <x:c r="K388" s="74"/>
      <x:c r="L388" s="74"/>
      <x:c r="M388" s="91"/>
      <x:c r="N388" s="85"/>
      <x:c r="P388" s="86"/>
      <x:c r="Q388" s="32"/>
    </x:row>
    <x:row r="389">
      <x:c r="A389" s="87"/>
      <x:c r="D389" s="32"/>
      <x:c r="I389" s="74"/>
      <x:c r="J389" s="74"/>
      <x:c r="K389" s="74"/>
      <x:c r="L389" s="74"/>
      <x:c r="M389" s="91"/>
      <x:c r="N389" s="85"/>
      <x:c r="P389" s="86"/>
      <x:c r="Q389" s="32"/>
    </x:row>
    <x:row r="390">
      <x:c r="A390" s="87"/>
      <x:c r="D390" s="32"/>
      <x:c r="I390" s="74"/>
      <x:c r="J390" s="74"/>
      <x:c r="K390" s="74"/>
      <x:c r="L390" s="74"/>
      <x:c r="M390" s="91"/>
      <x:c r="N390" s="85"/>
      <x:c r="P390" s="86"/>
      <x:c r="Q390" s="32"/>
    </x:row>
    <x:row r="391">
      <x:c r="A391" s="87"/>
      <x:c r="D391" s="32"/>
      <x:c r="I391" s="74"/>
      <x:c r="J391" s="74"/>
      <x:c r="K391" s="74"/>
      <x:c r="L391" s="74"/>
      <x:c r="M391" s="91"/>
      <x:c r="N391" s="85"/>
      <x:c r="P391" s="86"/>
      <x:c r="Q391" s="32"/>
    </x:row>
    <x:row r="392">
      <x:c r="A392" s="87"/>
      <x:c r="D392" s="32"/>
      <x:c r="I392" s="74"/>
      <x:c r="J392" s="74"/>
      <x:c r="K392" s="74"/>
      <x:c r="L392" s="74"/>
      <x:c r="M392" s="91"/>
      <x:c r="N392" s="85"/>
      <x:c r="P392" s="86"/>
      <x:c r="Q392" s="32"/>
    </x:row>
    <x:row r="393">
      <x:c r="A393" s="87"/>
      <x:c r="D393" s="32"/>
      <x:c r="I393" s="74"/>
      <x:c r="J393" s="74"/>
      <x:c r="K393" s="74"/>
      <x:c r="L393" s="74"/>
      <x:c r="M393" s="91"/>
      <x:c r="N393" s="85"/>
      <x:c r="P393" s="86"/>
      <x:c r="Q393" s="32"/>
    </x:row>
    <x:row r="394">
      <x:c r="A394" s="87"/>
      <x:c r="D394" s="32"/>
      <x:c r="I394" s="74"/>
      <x:c r="J394" s="74"/>
      <x:c r="K394" s="74"/>
      <x:c r="L394" s="74"/>
      <x:c r="M394" s="91"/>
      <x:c r="N394" s="85"/>
      <x:c r="P394" s="86"/>
      <x:c r="Q394" s="32"/>
    </x:row>
    <x:row r="395">
      <x:c r="A395" s="87"/>
      <x:c r="D395" s="32"/>
      <x:c r="I395" s="74"/>
      <x:c r="J395" s="74"/>
      <x:c r="K395" s="74"/>
      <x:c r="L395" s="74"/>
      <x:c r="M395" s="91"/>
      <x:c r="N395" s="85"/>
      <x:c r="P395" s="86"/>
      <x:c r="Q395" s="32"/>
    </x:row>
    <x:row r="396">
      <x:c r="A396" s="87"/>
      <x:c r="D396" s="32"/>
      <x:c r="I396" s="74"/>
      <x:c r="J396" s="74"/>
      <x:c r="K396" s="74"/>
      <x:c r="L396" s="74"/>
      <x:c r="M396" s="91"/>
      <x:c r="N396" s="85"/>
      <x:c r="P396" s="86"/>
      <x:c r="Q396" s="32"/>
    </x:row>
    <x:row r="397">
      <x:c r="A397" s="87"/>
      <x:c r="D397" s="32"/>
      <x:c r="I397" s="74"/>
      <x:c r="J397" s="74"/>
      <x:c r="K397" s="74"/>
      <x:c r="L397" s="74"/>
      <x:c r="M397" s="91"/>
      <x:c r="N397" s="85"/>
      <x:c r="P397" s="86"/>
      <x:c r="Q397" s="32"/>
    </x:row>
    <x:row r="398">
      <x:c r="A398" s="87"/>
      <x:c r="D398" s="32"/>
      <x:c r="I398" s="74"/>
      <x:c r="J398" s="74"/>
      <x:c r="K398" s="74"/>
      <x:c r="L398" s="74"/>
      <x:c r="M398" s="91"/>
      <x:c r="N398" s="85"/>
      <x:c r="P398" s="86"/>
      <x:c r="Q398" s="32"/>
    </x:row>
    <x:row r="399">
      <x:c r="A399" s="87"/>
      <x:c r="D399" s="32"/>
      <x:c r="I399" s="74"/>
      <x:c r="J399" s="74"/>
      <x:c r="K399" s="74"/>
      <x:c r="L399" s="74"/>
      <x:c r="M399" s="91"/>
      <x:c r="N399" s="85"/>
      <x:c r="P399" s="86"/>
      <x:c r="Q399" s="32"/>
    </x:row>
    <x:row r="400">
      <x:c r="A400" s="87"/>
      <x:c r="D400" s="32"/>
      <x:c r="I400" s="74"/>
      <x:c r="J400" s="74"/>
      <x:c r="K400" s="74"/>
      <x:c r="L400" s="74"/>
      <x:c r="M400" s="91"/>
      <x:c r="N400" s="85"/>
      <x:c r="P400" s="86"/>
      <x:c r="Q400" s="32"/>
    </x:row>
    <x:row r="401">
      <x:c r="A401" s="87"/>
      <x:c r="D401" s="32"/>
      <x:c r="I401" s="74"/>
      <x:c r="J401" s="74"/>
      <x:c r="K401" s="74"/>
      <x:c r="L401" s="74"/>
      <x:c r="M401" s="91"/>
      <x:c r="N401" s="85"/>
      <x:c r="P401" s="86"/>
      <x:c r="Q401" s="32"/>
    </x:row>
    <x:row r="402">
      <x:c r="A402" s="87"/>
      <x:c r="D402" s="32"/>
      <x:c r="I402" s="74"/>
      <x:c r="J402" s="74"/>
      <x:c r="K402" s="74"/>
      <x:c r="L402" s="74"/>
      <x:c r="M402" s="91"/>
      <x:c r="N402" s="85"/>
      <x:c r="P402" s="86"/>
      <x:c r="Q402" s="32"/>
    </x:row>
    <x:row r="403">
      <x:c r="A403" s="87"/>
      <x:c r="D403" s="32"/>
      <x:c r="I403" s="74"/>
      <x:c r="J403" s="74"/>
      <x:c r="K403" s="74"/>
      <x:c r="L403" s="74"/>
      <x:c r="M403" s="91"/>
      <x:c r="N403" s="85"/>
      <x:c r="P403" s="86"/>
      <x:c r="Q403" s="32"/>
    </x:row>
    <x:row r="404">
      <x:c r="A404" s="87"/>
      <x:c r="D404" s="32"/>
      <x:c r="I404" s="74"/>
      <x:c r="J404" s="74"/>
      <x:c r="K404" s="74"/>
      <x:c r="L404" s="74"/>
      <x:c r="M404" s="91"/>
      <x:c r="N404" s="85"/>
      <x:c r="P404" s="86"/>
      <x:c r="Q404" s="32"/>
    </x:row>
    <x:row r="405">
      <x:c r="A405" s="87"/>
      <x:c r="D405" s="32"/>
      <x:c r="I405" s="74"/>
      <x:c r="J405" s="74"/>
      <x:c r="K405" s="74"/>
      <x:c r="L405" s="74"/>
      <x:c r="M405" s="91"/>
      <x:c r="N405" s="85"/>
      <x:c r="P405" s="86"/>
      <x:c r="Q405" s="32"/>
    </x:row>
    <x:row r="406">
      <x:c r="A406" s="87"/>
      <x:c r="D406" s="32"/>
      <x:c r="I406" s="74"/>
      <x:c r="J406" s="74"/>
      <x:c r="K406" s="74"/>
      <x:c r="L406" s="74"/>
      <x:c r="M406" s="91"/>
      <x:c r="N406" s="85"/>
      <x:c r="P406" s="86"/>
      <x:c r="Q406" s="32"/>
    </x:row>
    <x:row r="407">
      <x:c r="A407" s="87"/>
      <x:c r="D407" s="32"/>
      <x:c r="I407" s="74"/>
      <x:c r="J407" s="74"/>
      <x:c r="K407" s="74"/>
      <x:c r="L407" s="74"/>
      <x:c r="M407" s="91"/>
      <x:c r="N407" s="85"/>
      <x:c r="P407" s="86"/>
      <x:c r="Q407" s="32"/>
    </x:row>
    <x:row r="408">
      <x:c r="A408" s="87"/>
      <x:c r="D408" s="32"/>
      <x:c r="I408" s="74"/>
      <x:c r="J408" s="74"/>
      <x:c r="K408" s="74"/>
      <x:c r="L408" s="74"/>
      <x:c r="M408" s="91"/>
      <x:c r="N408" s="85"/>
      <x:c r="P408" s="86"/>
      <x:c r="Q408" s="32"/>
    </x:row>
    <x:row r="409">
      <x:c r="A409" s="87"/>
      <x:c r="D409" s="32"/>
      <x:c r="I409" s="74"/>
      <x:c r="J409" s="74"/>
      <x:c r="K409" s="74"/>
      <x:c r="L409" s="74"/>
      <x:c r="M409" s="91"/>
      <x:c r="N409" s="85"/>
      <x:c r="P409" s="86"/>
      <x:c r="Q409" s="32"/>
    </x:row>
    <x:row r="410">
      <x:c r="A410" s="87"/>
      <x:c r="D410" s="32"/>
      <x:c r="I410" s="74"/>
      <x:c r="J410" s="74"/>
      <x:c r="K410" s="74"/>
      <x:c r="L410" s="74"/>
      <x:c r="M410" s="91"/>
      <x:c r="N410" s="85"/>
      <x:c r="P410" s="86"/>
      <x:c r="Q410" s="32"/>
    </x:row>
    <x:row r="411">
      <x:c r="A411" s="87"/>
      <x:c r="D411" s="32"/>
      <x:c r="I411" s="74"/>
      <x:c r="J411" s="74"/>
      <x:c r="K411" s="74"/>
      <x:c r="L411" s="74"/>
      <x:c r="M411" s="91"/>
      <x:c r="N411" s="85"/>
      <x:c r="P411" s="86"/>
      <x:c r="Q411" s="32"/>
    </x:row>
    <x:row r="412">
      <x:c r="A412" s="87"/>
      <x:c r="D412" s="32"/>
      <x:c r="I412" s="74"/>
      <x:c r="J412" s="74"/>
      <x:c r="K412" s="74"/>
      <x:c r="L412" s="74"/>
      <x:c r="M412" s="91"/>
      <x:c r="N412" s="85"/>
      <x:c r="P412" s="86"/>
      <x:c r="Q412" s="32"/>
    </x:row>
    <x:row r="413">
      <x:c r="A413" s="87"/>
      <x:c r="D413" s="32"/>
      <x:c r="I413" s="74"/>
      <x:c r="J413" s="74"/>
      <x:c r="K413" s="74"/>
      <x:c r="L413" s="74"/>
      <x:c r="M413" s="91"/>
      <x:c r="N413" s="85"/>
      <x:c r="P413" s="86"/>
      <x:c r="Q413" s="32"/>
    </x:row>
    <x:row r="414">
      <x:c r="A414" s="87"/>
      <x:c r="D414" s="32"/>
      <x:c r="I414" s="74"/>
      <x:c r="J414" s="74"/>
      <x:c r="K414" s="74"/>
      <x:c r="L414" s="74"/>
      <x:c r="M414" s="91"/>
      <x:c r="N414" s="85"/>
      <x:c r="P414" s="86"/>
      <x:c r="Q414" s="32"/>
    </x:row>
    <x:row r="415">
      <x:c r="A415" s="87"/>
      <x:c r="D415" s="32"/>
      <x:c r="I415" s="74"/>
      <x:c r="J415" s="74"/>
      <x:c r="K415" s="74"/>
      <x:c r="L415" s="74"/>
      <x:c r="M415" s="91"/>
      <x:c r="N415" s="85"/>
      <x:c r="P415" s="86"/>
      <x:c r="Q415" s="32"/>
    </x:row>
    <x:row r="416">
      <x:c r="A416" s="87"/>
      <x:c r="D416" s="32"/>
      <x:c r="I416" s="74"/>
      <x:c r="J416" s="74"/>
      <x:c r="K416" s="74"/>
      <x:c r="L416" s="74"/>
      <x:c r="M416" s="91"/>
      <x:c r="N416" s="85"/>
      <x:c r="P416" s="86"/>
      <x:c r="Q416" s="32"/>
    </x:row>
    <x:row r="417">
      <x:c r="A417" s="87"/>
      <x:c r="D417" s="32"/>
      <x:c r="I417" s="74"/>
      <x:c r="J417" s="74"/>
      <x:c r="K417" s="74"/>
      <x:c r="L417" s="74"/>
      <x:c r="M417" s="91"/>
      <x:c r="N417" s="85"/>
      <x:c r="P417" s="86"/>
      <x:c r="Q417" s="32"/>
    </x:row>
    <x:row r="418">
      <x:c r="A418" s="87"/>
      <x:c r="D418" s="32"/>
      <x:c r="I418" s="74"/>
      <x:c r="J418" s="74"/>
      <x:c r="K418" s="74"/>
      <x:c r="L418" s="74"/>
      <x:c r="M418" s="91"/>
      <x:c r="N418" s="85"/>
      <x:c r="P418" s="86"/>
      <x:c r="Q418" s="32"/>
    </x:row>
    <x:row r="419">
      <x:c r="A419" s="87"/>
      <x:c r="D419" s="32"/>
      <x:c r="I419" s="74"/>
      <x:c r="J419" s="74"/>
      <x:c r="K419" s="74"/>
      <x:c r="L419" s="74"/>
      <x:c r="M419" s="91"/>
      <x:c r="N419" s="85"/>
      <x:c r="P419" s="86"/>
      <x:c r="Q419" s="32"/>
    </x:row>
    <x:row r="420">
      <x:c r="A420" s="87"/>
      <x:c r="D420" s="32"/>
      <x:c r="I420" s="74"/>
      <x:c r="J420" s="74"/>
      <x:c r="K420" s="74"/>
      <x:c r="L420" s="74"/>
      <x:c r="M420" s="91"/>
      <x:c r="N420" s="85"/>
      <x:c r="P420" s="86"/>
      <x:c r="Q420" s="32"/>
    </x:row>
    <x:row r="421">
      <x:c r="A421" s="87"/>
      <x:c r="D421" s="32"/>
      <x:c r="I421" s="74"/>
      <x:c r="J421" s="74"/>
      <x:c r="K421" s="74"/>
      <x:c r="L421" s="74"/>
      <x:c r="M421" s="91"/>
      <x:c r="N421" s="85"/>
      <x:c r="P421" s="86"/>
      <x:c r="Q421" s="32"/>
    </x:row>
    <x:row r="422">
      <x:c r="A422" s="87"/>
      <x:c r="D422" s="32"/>
      <x:c r="I422" s="74"/>
      <x:c r="J422" s="74"/>
      <x:c r="K422" s="74"/>
      <x:c r="L422" s="74"/>
      <x:c r="M422" s="91"/>
      <x:c r="N422" s="85"/>
      <x:c r="P422" s="86"/>
      <x:c r="Q422" s="32"/>
    </x:row>
    <x:row r="423">
      <x:c r="A423" s="87"/>
      <x:c r="D423" s="32"/>
      <x:c r="I423" s="74"/>
      <x:c r="J423" s="74"/>
      <x:c r="K423" s="74"/>
      <x:c r="L423" s="74"/>
      <x:c r="M423" s="91"/>
      <x:c r="N423" s="85"/>
      <x:c r="P423" s="86"/>
      <x:c r="Q423" s="32"/>
    </x:row>
    <x:row r="424">
      <x:c r="A424" s="87"/>
      <x:c r="D424" s="32"/>
      <x:c r="I424" s="74"/>
      <x:c r="J424" s="74"/>
      <x:c r="K424" s="74"/>
      <x:c r="L424" s="74"/>
      <x:c r="M424" s="91"/>
      <x:c r="N424" s="85"/>
      <x:c r="P424" s="86"/>
      <x:c r="Q424" s="32"/>
    </x:row>
    <x:row r="425">
      <x:c r="A425" s="87"/>
      <x:c r="D425" s="32"/>
      <x:c r="I425" s="74"/>
      <x:c r="J425" s="74"/>
      <x:c r="K425" s="74"/>
      <x:c r="L425" s="74"/>
      <x:c r="M425" s="91"/>
      <x:c r="N425" s="85"/>
      <x:c r="P425" s="86"/>
      <x:c r="Q425" s="32"/>
    </x:row>
    <x:row r="426">
      <x:c r="A426" s="87"/>
      <x:c r="D426" s="32"/>
      <x:c r="I426" s="74"/>
      <x:c r="J426" s="74"/>
      <x:c r="K426" s="74"/>
      <x:c r="L426" s="74"/>
      <x:c r="M426" s="91"/>
      <x:c r="N426" s="85"/>
      <x:c r="P426" s="86"/>
      <x:c r="Q426" s="32"/>
    </x:row>
    <x:row r="427">
      <x:c r="A427" s="87"/>
      <x:c r="D427" s="32"/>
      <x:c r="I427" s="74"/>
      <x:c r="J427" s="74"/>
      <x:c r="K427" s="74"/>
      <x:c r="L427" s="74"/>
      <x:c r="M427" s="91"/>
      <x:c r="N427" s="85"/>
      <x:c r="P427" s="86"/>
      <x:c r="Q427" s="32"/>
    </x:row>
    <x:row r="428">
      <x:c r="A428" s="87"/>
      <x:c r="D428" s="32"/>
      <x:c r="I428" s="74"/>
      <x:c r="J428" s="74"/>
      <x:c r="K428" s="74"/>
      <x:c r="L428" s="74"/>
      <x:c r="M428" s="91"/>
      <x:c r="N428" s="85"/>
      <x:c r="P428" s="86"/>
      <x:c r="Q428" s="32"/>
    </x:row>
    <x:row r="429">
      <x:c r="A429" s="87"/>
      <x:c r="D429" s="32"/>
      <x:c r="I429" s="74"/>
      <x:c r="J429" s="74"/>
      <x:c r="K429" s="74"/>
      <x:c r="L429" s="74"/>
      <x:c r="M429" s="91"/>
      <x:c r="N429" s="85"/>
      <x:c r="P429" s="86"/>
      <x:c r="Q429" s="32"/>
    </x:row>
    <x:row r="430">
      <x:c r="A430" s="87"/>
      <x:c r="D430" s="32"/>
      <x:c r="I430" s="74"/>
      <x:c r="J430" s="74"/>
      <x:c r="K430" s="74"/>
      <x:c r="L430" s="74"/>
      <x:c r="M430" s="91"/>
      <x:c r="N430" s="85"/>
      <x:c r="P430" s="86"/>
      <x:c r="Q430" s="32"/>
    </x:row>
    <x:row r="431">
      <x:c r="A431" s="87"/>
      <x:c r="D431" s="32"/>
      <x:c r="I431" s="74"/>
      <x:c r="J431" s="74"/>
      <x:c r="K431" s="74"/>
      <x:c r="L431" s="74"/>
      <x:c r="M431" s="91"/>
      <x:c r="N431" s="85"/>
      <x:c r="P431" s="86"/>
      <x:c r="Q431" s="32"/>
    </x:row>
    <x:row r="432">
      <x:c r="A432" s="87"/>
      <x:c r="D432" s="32"/>
      <x:c r="I432" s="74"/>
      <x:c r="J432" s="74"/>
      <x:c r="K432" s="74"/>
      <x:c r="L432" s="74"/>
      <x:c r="M432" s="91"/>
      <x:c r="N432" s="85"/>
      <x:c r="P432" s="86"/>
      <x:c r="Q432" s="32"/>
    </x:row>
    <x:row r="433">
      <x:c r="A433" s="87"/>
      <x:c r="D433" s="32"/>
      <x:c r="I433" s="74"/>
      <x:c r="J433" s="74"/>
      <x:c r="K433" s="74"/>
      <x:c r="L433" s="74"/>
      <x:c r="M433" s="91"/>
      <x:c r="N433" s="85"/>
      <x:c r="P433" s="86"/>
      <x:c r="Q433" s="32"/>
    </x:row>
    <x:row r="434">
      <x:c r="A434" s="87"/>
      <x:c r="D434" s="32"/>
      <x:c r="I434" s="74"/>
      <x:c r="J434" s="74"/>
      <x:c r="K434" s="74"/>
      <x:c r="L434" s="74"/>
      <x:c r="M434" s="91"/>
      <x:c r="N434" s="85"/>
      <x:c r="P434" s="86"/>
      <x:c r="Q434" s="32"/>
    </x:row>
    <x:row r="435">
      <x:c r="A435" s="87"/>
      <x:c r="D435" s="32"/>
      <x:c r="I435" s="74"/>
      <x:c r="J435" s="74"/>
      <x:c r="K435" s="74"/>
      <x:c r="L435" s="74"/>
      <x:c r="M435" s="91"/>
      <x:c r="N435" s="85"/>
      <x:c r="P435" s="86"/>
      <x:c r="Q435" s="32"/>
    </x:row>
    <x:row r="436">
      <x:c r="A436" s="87"/>
      <x:c r="D436" s="32"/>
      <x:c r="I436" s="74"/>
      <x:c r="J436" s="74"/>
      <x:c r="K436" s="74"/>
      <x:c r="L436" s="74"/>
      <x:c r="M436" s="91"/>
      <x:c r="N436" s="85"/>
      <x:c r="P436" s="86"/>
      <x:c r="Q436" s="32"/>
    </x:row>
    <x:row r="437">
      <x:c r="A437" s="87"/>
      <x:c r="D437" s="32"/>
      <x:c r="I437" s="74"/>
      <x:c r="J437" s="74"/>
      <x:c r="K437" s="74"/>
      <x:c r="L437" s="74"/>
      <x:c r="M437" s="91"/>
      <x:c r="N437" s="85"/>
      <x:c r="P437" s="86"/>
      <x:c r="Q437" s="32"/>
    </x:row>
    <x:row r="438">
      <x:c r="A438" s="87"/>
      <x:c r="D438" s="32"/>
      <x:c r="I438" s="74"/>
      <x:c r="J438" s="74"/>
      <x:c r="K438" s="74"/>
      <x:c r="L438" s="74"/>
      <x:c r="M438" s="91"/>
      <x:c r="N438" s="85"/>
      <x:c r="P438" s="86"/>
      <x:c r="Q438" s="32"/>
    </x:row>
    <x:row r="439">
      <x:c r="A439" s="87"/>
      <x:c r="D439" s="32"/>
      <x:c r="I439" s="74"/>
      <x:c r="J439" s="74"/>
      <x:c r="K439" s="74"/>
      <x:c r="L439" s="74"/>
      <x:c r="M439" s="91"/>
      <x:c r="N439" s="85"/>
      <x:c r="P439" s="86"/>
      <x:c r="Q439" s="32"/>
    </x:row>
    <x:row r="440">
      <x:c r="A440" s="87"/>
      <x:c r="D440" s="32"/>
      <x:c r="I440" s="74"/>
      <x:c r="J440" s="74"/>
      <x:c r="K440" s="74"/>
      <x:c r="L440" s="74"/>
      <x:c r="M440" s="91"/>
      <x:c r="N440" s="85"/>
      <x:c r="P440" s="86"/>
      <x:c r="Q440" s="32"/>
    </x:row>
    <x:row r="441">
      <x:c r="A441" s="87"/>
      <x:c r="D441" s="32"/>
      <x:c r="I441" s="74"/>
      <x:c r="J441" s="74"/>
      <x:c r="K441" s="74"/>
      <x:c r="L441" s="74"/>
      <x:c r="M441" s="91"/>
      <x:c r="N441" s="85"/>
      <x:c r="P441" s="86"/>
      <x:c r="Q441" s="32"/>
    </x:row>
    <x:row r="442">
      <x:c r="A442" s="87"/>
      <x:c r="D442" s="32"/>
      <x:c r="I442" s="74"/>
      <x:c r="J442" s="74"/>
      <x:c r="K442" s="74"/>
      <x:c r="L442" s="74"/>
      <x:c r="M442" s="91"/>
      <x:c r="N442" s="85"/>
      <x:c r="P442" s="86"/>
      <x:c r="Q442" s="32"/>
    </x:row>
    <x:row r="443">
      <x:c r="A443" s="87"/>
      <x:c r="D443" s="32"/>
      <x:c r="I443" s="74"/>
      <x:c r="J443" s="74"/>
      <x:c r="K443" s="74"/>
      <x:c r="L443" s="74"/>
      <x:c r="M443" s="91"/>
      <x:c r="N443" s="85"/>
      <x:c r="P443" s="86"/>
      <x:c r="Q443" s="32"/>
    </x:row>
    <x:row r="444">
      <x:c r="A444" s="87"/>
      <x:c r="D444" s="32"/>
      <x:c r="I444" s="74"/>
      <x:c r="J444" s="74"/>
      <x:c r="K444" s="74"/>
      <x:c r="L444" s="74"/>
      <x:c r="M444" s="91"/>
      <x:c r="N444" s="85"/>
      <x:c r="P444" s="86"/>
      <x:c r="Q444" s="32"/>
    </x:row>
    <x:row r="445">
      <x:c r="A445" s="87"/>
      <x:c r="D445" s="32"/>
      <x:c r="I445" s="74"/>
      <x:c r="J445" s="74"/>
      <x:c r="K445" s="74"/>
      <x:c r="L445" s="74"/>
      <x:c r="M445" s="91"/>
      <x:c r="N445" s="85"/>
      <x:c r="P445" s="86"/>
      <x:c r="Q445" s="32"/>
    </x:row>
    <x:row r="446">
      <x:c r="A446" s="87"/>
      <x:c r="D446" s="32"/>
      <x:c r="I446" s="74"/>
      <x:c r="J446" s="74"/>
      <x:c r="K446" s="74"/>
      <x:c r="L446" s="74"/>
      <x:c r="M446" s="91"/>
      <x:c r="N446" s="85"/>
      <x:c r="P446" s="86"/>
      <x:c r="Q446" s="32"/>
    </x:row>
    <x:row r="447">
      <x:c r="A447" s="87"/>
      <x:c r="D447" s="32"/>
      <x:c r="I447" s="74"/>
      <x:c r="J447" s="74"/>
      <x:c r="K447" s="74"/>
      <x:c r="L447" s="74"/>
      <x:c r="M447" s="91"/>
      <x:c r="N447" s="85"/>
      <x:c r="P447" s="86"/>
      <x:c r="Q447" s="32"/>
    </x:row>
    <x:row r="448">
      <x:c r="A448" s="87"/>
      <x:c r="D448" s="32"/>
      <x:c r="I448" s="74"/>
      <x:c r="J448" s="74"/>
      <x:c r="K448" s="74"/>
      <x:c r="L448" s="74"/>
      <x:c r="M448" s="91"/>
      <x:c r="N448" s="85"/>
      <x:c r="P448" s="86"/>
      <x:c r="Q448" s="32"/>
    </x:row>
    <x:row r="449">
      <x:c r="A449" s="87"/>
      <x:c r="D449" s="32"/>
      <x:c r="I449" s="74"/>
      <x:c r="J449" s="74"/>
      <x:c r="K449" s="74"/>
      <x:c r="L449" s="74"/>
      <x:c r="M449" s="91"/>
      <x:c r="N449" s="85"/>
      <x:c r="P449" s="86"/>
      <x:c r="Q449" s="32"/>
    </x:row>
    <x:row r="450">
      <x:c r="A450" s="87"/>
      <x:c r="D450" s="32"/>
      <x:c r="I450" s="74"/>
      <x:c r="J450" s="74"/>
      <x:c r="K450" s="74"/>
      <x:c r="L450" s="74"/>
      <x:c r="M450" s="91"/>
      <x:c r="N450" s="85"/>
      <x:c r="P450" s="86"/>
      <x:c r="Q450" s="32"/>
    </x:row>
    <x:row r="451">
      <x:c r="A451" s="87"/>
      <x:c r="D451" s="32"/>
      <x:c r="I451" s="74"/>
      <x:c r="J451" s="74"/>
      <x:c r="K451" s="74"/>
      <x:c r="L451" s="74"/>
      <x:c r="M451" s="91"/>
      <x:c r="N451" s="85"/>
      <x:c r="P451" s="86"/>
      <x:c r="Q451" s="32"/>
    </x:row>
    <x:row r="452">
      <x:c r="A452" s="87"/>
      <x:c r="D452" s="32"/>
      <x:c r="I452" s="74"/>
      <x:c r="J452" s="74"/>
      <x:c r="K452" s="74"/>
      <x:c r="L452" s="74"/>
      <x:c r="M452" s="91"/>
      <x:c r="N452" s="85"/>
      <x:c r="P452" s="86"/>
      <x:c r="Q452" s="32"/>
    </x:row>
    <x:row r="453">
      <x:c r="A453" s="87"/>
      <x:c r="D453" s="32"/>
      <x:c r="I453" s="74"/>
      <x:c r="J453" s="74"/>
      <x:c r="K453" s="74"/>
      <x:c r="L453" s="74"/>
      <x:c r="M453" s="91"/>
      <x:c r="N453" s="85"/>
      <x:c r="P453" s="86"/>
      <x:c r="Q453" s="32"/>
    </x:row>
    <x:row r="454">
      <x:c r="A454" s="87"/>
      <x:c r="D454" s="32"/>
      <x:c r="I454" s="74"/>
      <x:c r="J454" s="74"/>
      <x:c r="K454" s="74"/>
      <x:c r="L454" s="74"/>
      <x:c r="M454" s="91"/>
      <x:c r="N454" s="85"/>
      <x:c r="P454" s="86"/>
      <x:c r="Q454" s="32"/>
    </x:row>
    <x:row r="455">
      <x:c r="A455" s="87"/>
      <x:c r="D455" s="32"/>
      <x:c r="I455" s="74"/>
      <x:c r="J455" s="74"/>
      <x:c r="K455" s="74"/>
      <x:c r="L455" s="74"/>
      <x:c r="M455" s="91"/>
      <x:c r="N455" s="85"/>
      <x:c r="P455" s="86"/>
      <x:c r="Q455" s="32"/>
    </x:row>
    <x:row r="456">
      <x:c r="A456" s="87"/>
      <x:c r="D456" s="32"/>
      <x:c r="I456" s="74"/>
      <x:c r="J456" s="74"/>
      <x:c r="K456" s="74"/>
      <x:c r="L456" s="74"/>
      <x:c r="M456" s="91"/>
      <x:c r="N456" s="85"/>
      <x:c r="P456" s="86"/>
      <x:c r="Q456" s="32"/>
    </x:row>
    <x:row r="457">
      <x:c r="A457" s="87"/>
      <x:c r="D457" s="32"/>
      <x:c r="I457" s="74"/>
      <x:c r="J457" s="74"/>
      <x:c r="K457" s="74"/>
      <x:c r="L457" s="74"/>
      <x:c r="M457" s="91"/>
      <x:c r="N457" s="85"/>
      <x:c r="P457" s="86"/>
      <x:c r="Q457" s="32"/>
    </x:row>
    <x:row r="458">
      <x:c r="A458" s="87"/>
      <x:c r="D458" s="32"/>
      <x:c r="I458" s="74"/>
      <x:c r="J458" s="74"/>
      <x:c r="K458" s="74"/>
      <x:c r="L458" s="74"/>
      <x:c r="M458" s="91"/>
      <x:c r="N458" s="85"/>
      <x:c r="P458" s="86"/>
      <x:c r="Q458" s="32"/>
    </x:row>
    <x:row r="459">
      <x:c r="A459" s="87"/>
      <x:c r="D459" s="32"/>
      <x:c r="I459" s="74"/>
      <x:c r="J459" s="74"/>
      <x:c r="K459" s="74"/>
      <x:c r="L459" s="74"/>
      <x:c r="M459" s="91"/>
      <x:c r="N459" s="85"/>
      <x:c r="P459" s="86"/>
      <x:c r="Q459" s="32"/>
    </x:row>
    <x:row r="460">
      <x:c r="A460" s="87"/>
      <x:c r="D460" s="32"/>
      <x:c r="I460" s="74"/>
      <x:c r="J460" s="74"/>
      <x:c r="K460" s="74"/>
      <x:c r="L460" s="74"/>
      <x:c r="M460" s="91"/>
      <x:c r="N460" s="85"/>
      <x:c r="P460" s="86"/>
      <x:c r="Q460" s="32"/>
    </x:row>
    <x:row r="461">
      <x:c r="A461" s="87"/>
      <x:c r="D461" s="32"/>
      <x:c r="I461" s="74"/>
      <x:c r="J461" s="74"/>
      <x:c r="K461" s="74"/>
      <x:c r="L461" s="74"/>
      <x:c r="M461" s="91"/>
      <x:c r="N461" s="85"/>
      <x:c r="P461" s="86"/>
      <x:c r="Q461" s="32"/>
    </x:row>
    <x:row r="462">
      <x:c r="A462" s="87"/>
      <x:c r="D462" s="32"/>
      <x:c r="I462" s="74"/>
      <x:c r="J462" s="74"/>
      <x:c r="K462" s="74"/>
      <x:c r="L462" s="74"/>
      <x:c r="M462" s="91"/>
      <x:c r="N462" s="85"/>
      <x:c r="P462" s="86"/>
      <x:c r="Q462" s="32"/>
    </x:row>
    <x:row r="463">
      <x:c r="A463" s="87"/>
      <x:c r="D463" s="32"/>
      <x:c r="I463" s="74"/>
      <x:c r="J463" s="74"/>
      <x:c r="K463" s="74"/>
      <x:c r="L463" s="74"/>
      <x:c r="M463" s="91"/>
      <x:c r="N463" s="85"/>
      <x:c r="P463" s="86"/>
      <x:c r="Q463" s="32"/>
    </x:row>
    <x:row r="464">
      <x:c r="A464" s="87"/>
      <x:c r="D464" s="32"/>
      <x:c r="I464" s="74"/>
      <x:c r="J464" s="74"/>
      <x:c r="K464" s="74"/>
      <x:c r="L464" s="74"/>
      <x:c r="M464" s="91"/>
      <x:c r="N464" s="85"/>
      <x:c r="P464" s="86"/>
      <x:c r="Q464" s="32"/>
    </x:row>
    <x:row r="465">
      <x:c r="A465" s="87"/>
      <x:c r="D465" s="32"/>
      <x:c r="I465" s="74"/>
      <x:c r="J465" s="74"/>
      <x:c r="K465" s="74"/>
      <x:c r="L465" s="74"/>
      <x:c r="M465" s="91"/>
      <x:c r="N465" s="85"/>
      <x:c r="P465" s="86"/>
      <x:c r="Q465" s="32"/>
    </x:row>
    <x:row r="466">
      <x:c r="A466" s="87"/>
      <x:c r="D466" s="32"/>
      <x:c r="I466" s="74"/>
      <x:c r="J466" s="74"/>
      <x:c r="K466" s="74"/>
      <x:c r="L466" s="74"/>
      <x:c r="M466" s="91"/>
      <x:c r="N466" s="85"/>
      <x:c r="P466" s="86"/>
      <x:c r="Q466" s="32"/>
    </x:row>
    <x:row r="467">
      <x:c r="A467" s="87"/>
      <x:c r="D467" s="32"/>
      <x:c r="I467" s="74"/>
      <x:c r="J467" s="74"/>
      <x:c r="K467" s="74"/>
      <x:c r="L467" s="74"/>
      <x:c r="M467" s="91"/>
      <x:c r="N467" s="85"/>
      <x:c r="P467" s="86"/>
      <x:c r="Q467" s="32"/>
    </x:row>
    <x:row r="468">
      <x:c r="A468" s="87"/>
      <x:c r="D468" s="32"/>
      <x:c r="I468" s="74"/>
      <x:c r="J468" s="74"/>
      <x:c r="K468" s="74"/>
      <x:c r="L468" s="74"/>
      <x:c r="M468" s="91"/>
      <x:c r="N468" s="85"/>
      <x:c r="P468" s="86"/>
      <x:c r="Q468" s="32"/>
    </x:row>
    <x:row r="469">
      <x:c r="A469" s="87"/>
      <x:c r="D469" s="32"/>
      <x:c r="I469" s="74"/>
      <x:c r="J469" s="74"/>
      <x:c r="K469" s="74"/>
      <x:c r="L469" s="74"/>
      <x:c r="M469" s="91"/>
      <x:c r="N469" s="85"/>
      <x:c r="P469" s="86"/>
      <x:c r="Q469" s="32"/>
    </x:row>
    <x:row r="470">
      <x:c r="A470" s="87"/>
      <x:c r="D470" s="32"/>
      <x:c r="I470" s="74"/>
      <x:c r="J470" s="74"/>
      <x:c r="K470" s="74"/>
      <x:c r="L470" s="74"/>
      <x:c r="M470" s="91"/>
      <x:c r="N470" s="85"/>
      <x:c r="P470" s="86"/>
      <x:c r="Q470" s="32"/>
    </x:row>
    <x:row r="471">
      <x:c r="A471" s="87"/>
      <x:c r="D471" s="32"/>
      <x:c r="I471" s="74"/>
      <x:c r="J471" s="74"/>
      <x:c r="K471" s="74"/>
      <x:c r="L471" s="74"/>
      <x:c r="M471" s="91"/>
      <x:c r="N471" s="85"/>
      <x:c r="P471" s="86"/>
      <x:c r="Q471" s="32"/>
    </x:row>
    <x:row r="472">
      <x:c r="A472" s="87"/>
      <x:c r="D472" s="32"/>
      <x:c r="I472" s="74"/>
      <x:c r="J472" s="74"/>
      <x:c r="K472" s="74"/>
      <x:c r="L472" s="74"/>
      <x:c r="M472" s="91"/>
      <x:c r="N472" s="85"/>
      <x:c r="P472" s="86"/>
      <x:c r="Q472" s="32"/>
    </x:row>
    <x:row r="473">
      <x:c r="A473" s="87"/>
      <x:c r="D473" s="32"/>
      <x:c r="I473" s="74"/>
      <x:c r="J473" s="74"/>
      <x:c r="K473" s="74"/>
      <x:c r="L473" s="74"/>
      <x:c r="M473" s="91"/>
      <x:c r="N473" s="85"/>
      <x:c r="P473" s="86"/>
      <x:c r="Q473" s="32"/>
    </x:row>
    <x:row r="474">
      <x:c r="A474" s="87"/>
      <x:c r="D474" s="32"/>
      <x:c r="I474" s="74"/>
      <x:c r="J474" s="74"/>
      <x:c r="K474" s="74"/>
      <x:c r="L474" s="74"/>
      <x:c r="M474" s="91"/>
      <x:c r="N474" s="85"/>
      <x:c r="P474" s="86"/>
      <x:c r="Q474" s="32"/>
    </x:row>
    <x:row r="475">
      <x:c r="A475" s="87"/>
      <x:c r="D475" s="32"/>
      <x:c r="I475" s="74"/>
      <x:c r="J475" s="74"/>
      <x:c r="K475" s="74"/>
      <x:c r="L475" s="74"/>
      <x:c r="M475" s="91"/>
      <x:c r="N475" s="85"/>
      <x:c r="P475" s="86"/>
      <x:c r="Q475" s="32"/>
    </x:row>
    <x:row r="476">
      <x:c r="A476" s="87"/>
      <x:c r="D476" s="32"/>
      <x:c r="I476" s="74"/>
      <x:c r="J476" s="74"/>
      <x:c r="K476" s="74"/>
      <x:c r="L476" s="74"/>
      <x:c r="M476" s="91"/>
      <x:c r="N476" s="85"/>
      <x:c r="P476" s="86"/>
      <x:c r="Q476" s="32"/>
    </x:row>
    <x:row r="477">
      <x:c r="A477" s="87"/>
      <x:c r="D477" s="32"/>
      <x:c r="I477" s="74"/>
      <x:c r="J477" s="74"/>
      <x:c r="K477" s="74"/>
      <x:c r="L477" s="74"/>
      <x:c r="M477" s="91"/>
      <x:c r="N477" s="85"/>
      <x:c r="P477" s="86"/>
      <x:c r="Q477" s="32"/>
    </x:row>
    <x:row r="478">
      <x:c r="A478" s="87"/>
      <x:c r="D478" s="32"/>
      <x:c r="I478" s="74"/>
      <x:c r="J478" s="74"/>
      <x:c r="K478" s="74"/>
      <x:c r="L478" s="74"/>
      <x:c r="M478" s="91"/>
      <x:c r="N478" s="85"/>
      <x:c r="P478" s="86"/>
      <x:c r="Q478" s="32"/>
    </x:row>
    <x:row r="479">
      <x:c r="A479" s="87"/>
      <x:c r="D479" s="32"/>
      <x:c r="I479" s="74"/>
      <x:c r="J479" s="74"/>
      <x:c r="K479" s="74"/>
      <x:c r="L479" s="74"/>
      <x:c r="M479" s="91"/>
      <x:c r="N479" s="85"/>
      <x:c r="P479" s="86"/>
      <x:c r="Q479" s="32"/>
    </x:row>
    <x:row r="480">
      <x:c r="A480" s="87"/>
      <x:c r="D480" s="32"/>
      <x:c r="I480" s="74"/>
      <x:c r="J480" s="74"/>
      <x:c r="K480" s="74"/>
      <x:c r="L480" s="74"/>
      <x:c r="M480" s="91"/>
      <x:c r="N480" s="85"/>
      <x:c r="P480" s="86"/>
      <x:c r="Q480" s="32"/>
    </x:row>
    <x:row r="481">
      <x:c r="A481" s="87"/>
      <x:c r="D481" s="32"/>
      <x:c r="I481" s="74"/>
      <x:c r="J481" s="74"/>
      <x:c r="K481" s="74"/>
      <x:c r="L481" s="74"/>
      <x:c r="M481" s="91"/>
      <x:c r="N481" s="85"/>
      <x:c r="P481" s="86"/>
      <x:c r="Q481" s="32"/>
    </x:row>
    <x:row r="482">
      <x:c r="A482" s="87"/>
      <x:c r="D482" s="32"/>
      <x:c r="I482" s="74"/>
      <x:c r="J482" s="74"/>
      <x:c r="K482" s="74"/>
      <x:c r="L482" s="74"/>
      <x:c r="M482" s="91"/>
      <x:c r="N482" s="85"/>
      <x:c r="P482" s="86"/>
      <x:c r="Q482" s="32"/>
    </x:row>
    <x:row r="483">
      <x:c r="A483" s="87"/>
      <x:c r="D483" s="32"/>
      <x:c r="I483" s="74"/>
      <x:c r="J483" s="74"/>
      <x:c r="K483" s="74"/>
      <x:c r="L483" s="74"/>
      <x:c r="M483" s="91"/>
      <x:c r="N483" s="85"/>
      <x:c r="P483" s="86"/>
      <x:c r="Q483" s="32"/>
    </x:row>
    <x:row r="484">
      <x:c r="A484" s="87"/>
      <x:c r="D484" s="32"/>
      <x:c r="I484" s="74"/>
      <x:c r="J484" s="74"/>
      <x:c r="K484" s="74"/>
      <x:c r="L484" s="74"/>
      <x:c r="M484" s="91"/>
      <x:c r="N484" s="85"/>
      <x:c r="P484" s="86"/>
      <x:c r="Q484" s="32"/>
    </x:row>
    <x:row r="485">
      <x:c r="A485" s="87"/>
      <x:c r="D485" s="32"/>
      <x:c r="I485" s="74"/>
      <x:c r="J485" s="74"/>
      <x:c r="K485" s="74"/>
      <x:c r="L485" s="74"/>
      <x:c r="M485" s="91"/>
      <x:c r="N485" s="85"/>
      <x:c r="P485" s="86"/>
      <x:c r="Q485" s="32"/>
    </x:row>
    <x:row r="486">
      <x:c r="A486" s="87"/>
      <x:c r="D486" s="32"/>
      <x:c r="I486" s="74"/>
      <x:c r="J486" s="74"/>
      <x:c r="K486" s="74"/>
      <x:c r="L486" s="74"/>
      <x:c r="M486" s="91"/>
      <x:c r="N486" s="85"/>
      <x:c r="P486" s="86"/>
      <x:c r="Q486" s="32"/>
    </x:row>
    <x:row r="487">
      <x:c r="A487" s="87"/>
      <x:c r="D487" s="32"/>
      <x:c r="I487" s="74"/>
      <x:c r="J487" s="74"/>
      <x:c r="K487" s="74"/>
      <x:c r="L487" s="74"/>
      <x:c r="M487" s="91"/>
      <x:c r="N487" s="85"/>
      <x:c r="P487" s="86"/>
      <x:c r="Q487" s="32"/>
    </x:row>
    <x:row r="488">
      <x:c r="A488" s="87"/>
      <x:c r="D488" s="32"/>
      <x:c r="I488" s="74"/>
      <x:c r="J488" s="74"/>
      <x:c r="K488" s="74"/>
      <x:c r="L488" s="74"/>
      <x:c r="M488" s="91"/>
      <x:c r="N488" s="85"/>
      <x:c r="P488" s="86"/>
      <x:c r="Q488" s="32"/>
    </x:row>
    <x:row r="489">
      <x:c r="A489" s="87"/>
      <x:c r="D489" s="32"/>
      <x:c r="I489" s="74"/>
      <x:c r="J489" s="74"/>
      <x:c r="K489" s="74"/>
      <x:c r="L489" s="74"/>
      <x:c r="M489" s="91"/>
      <x:c r="N489" s="85"/>
      <x:c r="P489" s="86"/>
      <x:c r="Q489" s="32"/>
    </x:row>
    <x:row r="490">
      <x:c r="A490" s="87"/>
      <x:c r="D490" s="32"/>
      <x:c r="I490" s="74"/>
      <x:c r="J490" s="74"/>
      <x:c r="K490" s="74"/>
      <x:c r="L490" s="74"/>
      <x:c r="M490" s="91"/>
      <x:c r="N490" s="85"/>
      <x:c r="P490" s="86"/>
      <x:c r="Q490" s="32"/>
    </x:row>
    <x:row r="491">
      <x:c r="A491" s="87"/>
      <x:c r="D491" s="32"/>
      <x:c r="I491" s="74"/>
      <x:c r="J491" s="74"/>
      <x:c r="K491" s="74"/>
      <x:c r="L491" s="74"/>
      <x:c r="M491" s="91"/>
      <x:c r="N491" s="85"/>
      <x:c r="P491" s="86"/>
      <x:c r="Q491" s="32"/>
    </x:row>
    <x:row r="492">
      <x:c r="A492" s="87"/>
      <x:c r="D492" s="32"/>
      <x:c r="I492" s="74"/>
      <x:c r="J492" s="74"/>
      <x:c r="K492" s="74"/>
      <x:c r="L492" s="74"/>
      <x:c r="M492" s="91"/>
      <x:c r="N492" s="85"/>
      <x:c r="P492" s="86"/>
      <x:c r="Q492" s="32"/>
    </x:row>
    <x:row r="493">
      <x:c r="A493" s="87"/>
      <x:c r="D493" s="32"/>
      <x:c r="I493" s="74"/>
      <x:c r="J493" s="74"/>
      <x:c r="K493" s="74"/>
      <x:c r="L493" s="74"/>
      <x:c r="M493" s="91"/>
      <x:c r="N493" s="85"/>
      <x:c r="P493" s="86"/>
      <x:c r="Q493" s="32"/>
    </x:row>
    <x:row r="494">
      <x:c r="A494" s="87"/>
      <x:c r="D494" s="32"/>
      <x:c r="I494" s="74"/>
      <x:c r="J494" s="74"/>
      <x:c r="K494" s="74"/>
      <x:c r="L494" s="74"/>
      <x:c r="M494" s="91"/>
      <x:c r="N494" s="85"/>
      <x:c r="P494" s="86"/>
      <x:c r="Q494" s="32"/>
    </x:row>
    <x:row r="495">
      <x:c r="A495" s="87"/>
      <x:c r="D495" s="32"/>
      <x:c r="I495" s="74"/>
      <x:c r="J495" s="74"/>
      <x:c r="K495" s="74"/>
      <x:c r="L495" s="74"/>
      <x:c r="M495" s="91"/>
      <x:c r="N495" s="85"/>
      <x:c r="P495" s="86"/>
      <x:c r="Q495" s="32"/>
    </x:row>
    <x:row r="496">
      <x:c r="A496" s="87"/>
      <x:c r="D496" s="32"/>
      <x:c r="I496" s="74"/>
      <x:c r="J496" s="74"/>
      <x:c r="K496" s="74"/>
      <x:c r="L496" s="74"/>
      <x:c r="M496" s="91"/>
      <x:c r="N496" s="85"/>
      <x:c r="P496" s="86"/>
      <x:c r="Q496" s="32"/>
    </x:row>
    <x:row r="497">
      <x:c r="A497" s="87"/>
      <x:c r="D497" s="32"/>
      <x:c r="I497" s="74"/>
      <x:c r="J497" s="74"/>
      <x:c r="K497" s="74"/>
      <x:c r="L497" s="74"/>
      <x:c r="M497" s="91"/>
      <x:c r="N497" s="85"/>
      <x:c r="P497" s="86"/>
      <x:c r="Q497" s="32"/>
    </x:row>
    <x:row r="498">
      <x:c r="A498" s="87"/>
      <x:c r="D498" s="32"/>
      <x:c r="I498" s="74"/>
      <x:c r="J498" s="74"/>
      <x:c r="K498" s="74"/>
      <x:c r="L498" s="74"/>
      <x:c r="M498" s="91"/>
      <x:c r="N498" s="85"/>
      <x:c r="P498" s="86"/>
      <x:c r="Q498" s="32"/>
    </x:row>
    <x:row r="499">
      <x:c r="A499" s="87"/>
      <x:c r="D499" s="32"/>
      <x:c r="I499" s="74"/>
      <x:c r="J499" s="74"/>
      <x:c r="K499" s="74"/>
      <x:c r="L499" s="74"/>
      <x:c r="M499" s="91"/>
      <x:c r="N499" s="85"/>
      <x:c r="P499" s="86"/>
      <x:c r="Q499" s="32"/>
    </x:row>
    <x:row r="500">
      <x:c r="A500" s="87"/>
      <x:c r="D500" s="32"/>
      <x:c r="I500" s="74"/>
      <x:c r="J500" s="74"/>
      <x:c r="K500" s="74"/>
      <x:c r="L500" s="74"/>
      <x:c r="M500" s="91"/>
      <x:c r="N500" s="85"/>
      <x:c r="P500" s="86"/>
      <x:c r="Q500" s="32"/>
    </x:row>
    <x:row r="501">
      <x:c r="A501" s="87"/>
      <x:c r="D501" s="32"/>
      <x:c r="I501" s="74"/>
      <x:c r="J501" s="74"/>
      <x:c r="K501" s="74"/>
      <x:c r="L501" s="74"/>
      <x:c r="M501" s="91"/>
      <x:c r="N501" s="85"/>
      <x:c r="P501" s="86"/>
      <x:c r="Q501" s="32"/>
    </x:row>
    <x:row r="502">
      <x:c r="A502" s="87"/>
      <x:c r="D502" s="32"/>
      <x:c r="I502" s="74"/>
      <x:c r="J502" s="74"/>
      <x:c r="K502" s="74"/>
      <x:c r="L502" s="74"/>
      <x:c r="M502" s="91"/>
      <x:c r="N502" s="85"/>
      <x:c r="P502" s="86"/>
      <x:c r="Q502" s="32"/>
    </x:row>
    <x:row r="503">
      <x:c r="A503" s="87"/>
      <x:c r="D503" s="32"/>
      <x:c r="I503" s="74"/>
      <x:c r="J503" s="74"/>
      <x:c r="K503" s="74"/>
      <x:c r="L503" s="74"/>
      <x:c r="M503" s="91"/>
      <x:c r="N503" s="85"/>
      <x:c r="P503" s="86"/>
      <x:c r="Q503" s="32"/>
    </x:row>
    <x:row r="504">
      <x:c r="A504" s="87"/>
      <x:c r="D504" s="32"/>
      <x:c r="I504" s="74"/>
      <x:c r="J504" s="74"/>
      <x:c r="K504" s="74"/>
      <x:c r="L504" s="74"/>
      <x:c r="M504" s="91"/>
      <x:c r="N504" s="85"/>
      <x:c r="P504" s="86"/>
      <x:c r="Q504" s="32"/>
    </x:row>
    <x:row r="505">
      <x:c r="A505" s="87"/>
      <x:c r="D505" s="32"/>
      <x:c r="I505" s="74"/>
      <x:c r="J505" s="74"/>
      <x:c r="K505" s="74"/>
      <x:c r="L505" s="74"/>
      <x:c r="M505" s="91"/>
      <x:c r="N505" s="85"/>
      <x:c r="P505" s="86"/>
      <x:c r="Q505" s="32"/>
    </x:row>
    <x:row r="506">
      <x:c r="A506" s="87"/>
      <x:c r="D506" s="32"/>
      <x:c r="I506" s="74"/>
      <x:c r="J506" s="74"/>
      <x:c r="K506" s="74"/>
      <x:c r="L506" s="74"/>
      <x:c r="M506" s="91"/>
      <x:c r="N506" s="85"/>
      <x:c r="P506" s="86"/>
      <x:c r="Q506" s="32"/>
    </x:row>
    <x:row r="507">
      <x:c r="A507" s="87"/>
      <x:c r="D507" s="32"/>
      <x:c r="I507" s="74"/>
      <x:c r="J507" s="74"/>
      <x:c r="K507" s="74"/>
      <x:c r="L507" s="74"/>
      <x:c r="M507" s="91"/>
      <x:c r="N507" s="85"/>
      <x:c r="P507" s="86"/>
      <x:c r="Q507" s="32"/>
    </x:row>
    <x:row r="508">
      <x:c r="A508" s="87"/>
      <x:c r="D508" s="32"/>
      <x:c r="I508" s="74"/>
      <x:c r="J508" s="74"/>
      <x:c r="K508" s="74"/>
      <x:c r="L508" s="74"/>
      <x:c r="M508" s="91"/>
      <x:c r="N508" s="85"/>
      <x:c r="P508" s="86"/>
      <x:c r="Q508" s="32"/>
    </x:row>
    <x:row r="509">
      <x:c r="A509" s="87"/>
      <x:c r="D509" s="32"/>
      <x:c r="I509" s="74"/>
      <x:c r="J509" s="74"/>
      <x:c r="K509" s="74"/>
      <x:c r="L509" s="74"/>
      <x:c r="M509" s="91"/>
      <x:c r="N509" s="85"/>
      <x:c r="P509" s="86"/>
      <x:c r="Q509" s="32"/>
    </x:row>
    <x:row r="510">
      <x:c r="A510" s="87"/>
      <x:c r="D510" s="32"/>
      <x:c r="I510" s="74"/>
      <x:c r="J510" s="74"/>
      <x:c r="K510" s="74"/>
      <x:c r="L510" s="74"/>
      <x:c r="M510" s="91"/>
      <x:c r="N510" s="85"/>
      <x:c r="P510" s="86"/>
      <x:c r="Q510" s="32"/>
    </x:row>
    <x:row r="511">
      <x:c r="A511" s="87"/>
      <x:c r="D511" s="32"/>
      <x:c r="I511" s="74"/>
      <x:c r="J511" s="74"/>
      <x:c r="K511" s="74"/>
      <x:c r="L511" s="74"/>
      <x:c r="M511" s="91"/>
      <x:c r="N511" s="85"/>
      <x:c r="P511" s="86"/>
      <x:c r="Q511" s="32"/>
    </x:row>
    <x:row r="512">
      <x:c r="A512" s="87"/>
      <x:c r="D512" s="32"/>
      <x:c r="I512" s="74"/>
      <x:c r="J512" s="74"/>
      <x:c r="K512" s="74"/>
      <x:c r="L512" s="74"/>
      <x:c r="M512" s="91"/>
      <x:c r="N512" s="85"/>
      <x:c r="P512" s="86"/>
      <x:c r="Q512" s="32"/>
    </x:row>
    <x:row r="513">
      <x:c r="A513" s="87"/>
      <x:c r="D513" s="32"/>
      <x:c r="I513" s="74"/>
      <x:c r="J513" s="74"/>
      <x:c r="K513" s="74"/>
      <x:c r="L513" s="74"/>
      <x:c r="M513" s="91"/>
      <x:c r="N513" s="85"/>
      <x:c r="P513" s="86"/>
      <x:c r="Q513" s="32"/>
    </x:row>
    <x:row r="514">
      <x:c r="A514" s="87"/>
      <x:c r="D514" s="32"/>
      <x:c r="I514" s="74"/>
      <x:c r="J514" s="74"/>
      <x:c r="K514" s="74"/>
      <x:c r="L514" s="74"/>
      <x:c r="M514" s="91"/>
      <x:c r="N514" s="85"/>
      <x:c r="P514" s="86"/>
      <x:c r="Q514" s="32"/>
    </x:row>
    <x:row r="515">
      <x:c r="A515" s="87"/>
      <x:c r="D515" s="32"/>
      <x:c r="I515" s="74"/>
      <x:c r="J515" s="74"/>
      <x:c r="K515" s="74"/>
      <x:c r="L515" s="74"/>
      <x:c r="M515" s="91"/>
      <x:c r="N515" s="85"/>
      <x:c r="P515" s="86"/>
      <x:c r="Q515" s="32"/>
    </x:row>
    <x:row r="516">
      <x:c r="A516" s="87"/>
      <x:c r="D516" s="32"/>
      <x:c r="I516" s="74"/>
      <x:c r="J516" s="74"/>
      <x:c r="K516" s="74"/>
      <x:c r="L516" s="74"/>
      <x:c r="M516" s="91"/>
      <x:c r="N516" s="85"/>
      <x:c r="P516" s="86"/>
      <x:c r="Q516" s="32"/>
    </x:row>
    <x:row r="517">
      <x:c r="A517" s="87"/>
      <x:c r="D517" s="32"/>
      <x:c r="I517" s="74"/>
      <x:c r="J517" s="74"/>
      <x:c r="K517" s="74"/>
      <x:c r="L517" s="74"/>
      <x:c r="M517" s="91"/>
      <x:c r="N517" s="85"/>
      <x:c r="P517" s="86"/>
      <x:c r="Q517" s="32"/>
    </x:row>
    <x:row r="518">
      <x:c r="A518" s="87"/>
      <x:c r="D518" s="32"/>
      <x:c r="I518" s="74"/>
      <x:c r="J518" s="74"/>
      <x:c r="K518" s="74"/>
      <x:c r="L518" s="74"/>
      <x:c r="M518" s="91"/>
      <x:c r="N518" s="85"/>
      <x:c r="P518" s="86"/>
      <x:c r="Q518" s="32"/>
    </x:row>
    <x:row r="519">
      <x:c r="A519" s="87"/>
      <x:c r="D519" s="32"/>
      <x:c r="I519" s="74"/>
      <x:c r="J519" s="74"/>
      <x:c r="K519" s="74"/>
      <x:c r="L519" s="74"/>
      <x:c r="M519" s="91"/>
      <x:c r="N519" s="85"/>
      <x:c r="P519" s="86"/>
      <x:c r="Q519" s="32"/>
    </x:row>
    <x:row r="520">
      <x:c r="A520" s="87"/>
      <x:c r="D520" s="32"/>
      <x:c r="I520" s="74"/>
      <x:c r="J520" s="74"/>
      <x:c r="K520" s="74"/>
      <x:c r="L520" s="74"/>
      <x:c r="M520" s="91"/>
      <x:c r="N520" s="85"/>
      <x:c r="P520" s="86"/>
      <x:c r="Q520" s="32"/>
    </x:row>
    <x:row r="521">
      <x:c r="A521" s="87"/>
      <x:c r="D521" s="32"/>
      <x:c r="I521" s="74"/>
      <x:c r="J521" s="74"/>
      <x:c r="K521" s="74"/>
      <x:c r="L521" s="74"/>
      <x:c r="M521" s="91"/>
      <x:c r="N521" s="85"/>
      <x:c r="P521" s="86"/>
      <x:c r="Q521" s="32"/>
    </x:row>
    <x:row r="522">
      <x:c r="A522" s="87"/>
      <x:c r="D522" s="32"/>
      <x:c r="I522" s="74"/>
      <x:c r="J522" s="74"/>
      <x:c r="K522" s="74"/>
      <x:c r="L522" s="74"/>
      <x:c r="M522" s="91"/>
      <x:c r="N522" s="85"/>
      <x:c r="P522" s="86"/>
      <x:c r="Q522" s="32"/>
    </x:row>
    <x:row r="523">
      <x:c r="A523" s="87"/>
      <x:c r="D523" s="32"/>
      <x:c r="I523" s="74"/>
      <x:c r="J523" s="74"/>
      <x:c r="K523" s="74"/>
      <x:c r="L523" s="74"/>
      <x:c r="M523" s="91"/>
      <x:c r="N523" s="85"/>
      <x:c r="P523" s="86"/>
      <x:c r="Q523" s="32"/>
    </x:row>
    <x:row r="524">
      <x:c r="A524" s="87"/>
      <x:c r="D524" s="32"/>
      <x:c r="I524" s="74"/>
      <x:c r="J524" s="74"/>
      <x:c r="K524" s="74"/>
      <x:c r="L524" s="74"/>
      <x:c r="M524" s="91"/>
      <x:c r="N524" s="85"/>
      <x:c r="P524" s="86"/>
      <x:c r="Q524" s="32"/>
    </x:row>
    <x:row r="525">
      <x:c r="A525" s="87"/>
      <x:c r="D525" s="32"/>
      <x:c r="I525" s="74"/>
      <x:c r="J525" s="74"/>
      <x:c r="K525" s="74"/>
      <x:c r="L525" s="74"/>
      <x:c r="M525" s="91"/>
      <x:c r="N525" s="85"/>
      <x:c r="P525" s="86"/>
      <x:c r="Q525" s="32"/>
    </x:row>
    <x:row r="526">
      <x:c r="A526" s="87"/>
      <x:c r="D526" s="32"/>
      <x:c r="I526" s="74"/>
      <x:c r="J526" s="74"/>
      <x:c r="K526" s="74"/>
      <x:c r="L526" s="74"/>
      <x:c r="M526" s="91"/>
      <x:c r="N526" s="85"/>
      <x:c r="P526" s="86"/>
      <x:c r="Q526" s="32"/>
    </x:row>
    <x:row r="527">
      <x:c r="A527" s="87"/>
      <x:c r="D527" s="32"/>
      <x:c r="I527" s="74"/>
      <x:c r="J527" s="74"/>
      <x:c r="K527" s="74"/>
      <x:c r="L527" s="74"/>
      <x:c r="M527" s="91"/>
      <x:c r="N527" s="85"/>
      <x:c r="P527" s="86"/>
      <x:c r="Q527" s="32"/>
    </x:row>
    <x:row r="528">
      <x:c r="A528" s="87"/>
      <x:c r="D528" s="32"/>
      <x:c r="I528" s="74"/>
      <x:c r="J528" s="74"/>
      <x:c r="K528" s="74"/>
      <x:c r="L528" s="74"/>
      <x:c r="M528" s="91"/>
      <x:c r="N528" s="85"/>
      <x:c r="P528" s="86"/>
      <x:c r="Q528" s="32"/>
    </x:row>
    <x:row r="529">
      <x:c r="A529" s="87"/>
      <x:c r="D529" s="32"/>
      <x:c r="I529" s="74"/>
      <x:c r="J529" s="74"/>
      <x:c r="K529" s="74"/>
      <x:c r="L529" s="74"/>
      <x:c r="M529" s="91"/>
      <x:c r="N529" s="85"/>
      <x:c r="P529" s="86"/>
      <x:c r="Q529" s="32"/>
    </x:row>
    <x:row r="530">
      <x:c r="A530" s="87"/>
      <x:c r="D530" s="32"/>
      <x:c r="I530" s="74"/>
      <x:c r="J530" s="74"/>
      <x:c r="K530" s="74"/>
      <x:c r="L530" s="74"/>
      <x:c r="M530" s="91"/>
      <x:c r="N530" s="85"/>
      <x:c r="P530" s="86"/>
      <x:c r="Q530" s="32"/>
    </x:row>
    <x:row r="531">
      <x:c r="A531" s="87"/>
      <x:c r="D531" s="32"/>
      <x:c r="I531" s="74"/>
      <x:c r="J531" s="74"/>
      <x:c r="K531" s="74"/>
      <x:c r="L531" s="74"/>
      <x:c r="M531" s="91"/>
      <x:c r="N531" s="85"/>
      <x:c r="P531" s="86"/>
      <x:c r="Q531" s="32"/>
    </x:row>
    <x:row r="532">
      <x:c r="A532" s="87"/>
      <x:c r="D532" s="32"/>
      <x:c r="I532" s="74"/>
      <x:c r="J532" s="74"/>
      <x:c r="K532" s="74"/>
      <x:c r="L532" s="74"/>
      <x:c r="M532" s="91"/>
      <x:c r="N532" s="85"/>
      <x:c r="P532" s="86"/>
      <x:c r="Q532" s="32"/>
    </x:row>
    <x:row r="533">
      <x:c r="A533" s="87"/>
      <x:c r="D533" s="32"/>
      <x:c r="I533" s="74"/>
      <x:c r="J533" s="74"/>
      <x:c r="K533" s="74"/>
      <x:c r="L533" s="74"/>
      <x:c r="M533" s="91"/>
      <x:c r="N533" s="85"/>
      <x:c r="P533" s="86"/>
      <x:c r="Q533" s="32"/>
    </x:row>
    <x:row r="534">
      <x:c r="A534" s="87"/>
      <x:c r="D534" s="32"/>
      <x:c r="I534" s="74"/>
      <x:c r="J534" s="74"/>
      <x:c r="K534" s="74"/>
      <x:c r="L534" s="74"/>
      <x:c r="M534" s="91"/>
      <x:c r="N534" s="85"/>
      <x:c r="P534" s="86"/>
      <x:c r="Q534" s="32"/>
    </x:row>
    <x:row r="535">
      <x:c r="A535" s="87"/>
      <x:c r="D535" s="32"/>
      <x:c r="I535" s="74"/>
      <x:c r="J535" s="74"/>
      <x:c r="K535" s="74"/>
      <x:c r="L535" s="74"/>
      <x:c r="M535" s="91"/>
      <x:c r="N535" s="85"/>
      <x:c r="P535" s="86"/>
      <x:c r="Q535" s="32"/>
    </x:row>
    <x:row r="536">
      <x:c r="A536" s="87"/>
      <x:c r="D536" s="32"/>
      <x:c r="I536" s="74"/>
      <x:c r="J536" s="74"/>
      <x:c r="K536" s="74"/>
      <x:c r="L536" s="74"/>
      <x:c r="M536" s="91"/>
      <x:c r="N536" s="85"/>
      <x:c r="P536" s="86"/>
      <x:c r="Q536" s="32"/>
    </x:row>
    <x:row r="537">
      <x:c r="A537" s="87"/>
      <x:c r="D537" s="32"/>
      <x:c r="I537" s="74"/>
      <x:c r="J537" s="74"/>
      <x:c r="K537" s="74"/>
      <x:c r="L537" s="74"/>
      <x:c r="M537" s="91"/>
      <x:c r="N537" s="85"/>
      <x:c r="P537" s="86"/>
      <x:c r="Q537" s="32"/>
    </x:row>
    <x:row r="538">
      <x:c r="A538" s="87"/>
      <x:c r="D538" s="32"/>
      <x:c r="I538" s="74"/>
      <x:c r="J538" s="74"/>
      <x:c r="K538" s="74"/>
      <x:c r="L538" s="74"/>
      <x:c r="M538" s="91"/>
      <x:c r="N538" s="85"/>
      <x:c r="P538" s="86"/>
      <x:c r="Q538" s="32"/>
    </x:row>
    <x:row r="539">
      <x:c r="A539" s="87"/>
      <x:c r="D539" s="32"/>
      <x:c r="I539" s="74"/>
      <x:c r="J539" s="74"/>
      <x:c r="K539" s="74"/>
      <x:c r="L539" s="74"/>
      <x:c r="M539" s="91"/>
      <x:c r="N539" s="85"/>
      <x:c r="P539" s="86"/>
      <x:c r="Q539" s="32"/>
    </x:row>
    <x:row r="540">
      <x:c r="A540" s="87"/>
      <x:c r="D540" s="32"/>
      <x:c r="I540" s="74"/>
      <x:c r="J540" s="74"/>
      <x:c r="K540" s="74"/>
      <x:c r="L540" s="74"/>
      <x:c r="M540" s="91"/>
      <x:c r="N540" s="85"/>
      <x:c r="P540" s="86"/>
      <x:c r="Q540" s="32"/>
    </x:row>
    <x:row r="541">
      <x:c r="A541" s="87"/>
      <x:c r="D541" s="32"/>
      <x:c r="I541" s="74"/>
      <x:c r="J541" s="74"/>
      <x:c r="K541" s="74"/>
      <x:c r="L541" s="74"/>
      <x:c r="M541" s="91"/>
      <x:c r="N541" s="85"/>
      <x:c r="P541" s="86"/>
      <x:c r="Q541" s="32"/>
    </x:row>
    <x:row r="542">
      <x:c r="A542" s="87"/>
      <x:c r="D542" s="32"/>
      <x:c r="I542" s="74"/>
      <x:c r="J542" s="74"/>
      <x:c r="K542" s="74"/>
      <x:c r="L542" s="74"/>
      <x:c r="M542" s="91"/>
      <x:c r="N542" s="85"/>
      <x:c r="P542" s="86"/>
      <x:c r="Q542" s="32"/>
    </x:row>
    <x:row r="543">
      <x:c r="A543" s="87"/>
      <x:c r="D543" s="32"/>
      <x:c r="I543" s="74"/>
      <x:c r="J543" s="74"/>
      <x:c r="K543" s="74"/>
      <x:c r="L543" s="74"/>
      <x:c r="M543" s="91"/>
      <x:c r="N543" s="85"/>
      <x:c r="P543" s="86"/>
      <x:c r="Q543" s="32"/>
    </x:row>
    <x:row r="544">
      <x:c r="A544" s="87"/>
      <x:c r="D544" s="32"/>
      <x:c r="I544" s="74"/>
      <x:c r="J544" s="74"/>
      <x:c r="K544" s="74"/>
      <x:c r="L544" s="74"/>
      <x:c r="M544" s="91"/>
      <x:c r="N544" s="85"/>
      <x:c r="P544" s="86"/>
      <x:c r="Q544" s="32"/>
    </x:row>
    <x:row r="545">
      <x:c r="A545" s="87"/>
      <x:c r="D545" s="32"/>
      <x:c r="I545" s="74"/>
      <x:c r="J545" s="74"/>
      <x:c r="K545" s="74"/>
      <x:c r="L545" s="74"/>
      <x:c r="M545" s="91"/>
      <x:c r="N545" s="85"/>
      <x:c r="P545" s="86"/>
      <x:c r="Q545" s="32"/>
    </x:row>
    <x:row r="546">
      <x:c r="A546" s="87"/>
      <x:c r="D546" s="32"/>
      <x:c r="I546" s="74"/>
      <x:c r="J546" s="74"/>
      <x:c r="K546" s="74"/>
      <x:c r="L546" s="74"/>
      <x:c r="M546" s="91"/>
      <x:c r="N546" s="85"/>
      <x:c r="P546" s="86"/>
      <x:c r="Q546" s="32"/>
    </x:row>
    <x:row r="547">
      <x:c r="A547" s="87"/>
      <x:c r="D547" s="32"/>
      <x:c r="I547" s="74"/>
      <x:c r="J547" s="74"/>
      <x:c r="K547" s="74"/>
      <x:c r="L547" s="74"/>
      <x:c r="M547" s="91"/>
      <x:c r="N547" s="85"/>
      <x:c r="P547" s="86"/>
      <x:c r="Q547" s="32"/>
    </x:row>
    <x:row r="548">
      <x:c r="A548" s="87"/>
      <x:c r="D548" s="32"/>
      <x:c r="I548" s="74"/>
      <x:c r="J548" s="74"/>
      <x:c r="K548" s="74"/>
      <x:c r="L548" s="74"/>
      <x:c r="M548" s="91"/>
      <x:c r="N548" s="85"/>
      <x:c r="P548" s="86"/>
      <x:c r="Q548" s="32"/>
    </x:row>
    <x:row r="549">
      <x:c r="A549" s="87"/>
      <x:c r="D549" s="32"/>
      <x:c r="I549" s="74"/>
      <x:c r="J549" s="74"/>
      <x:c r="K549" s="74"/>
      <x:c r="L549" s="74"/>
      <x:c r="M549" s="91"/>
      <x:c r="N549" s="85"/>
      <x:c r="P549" s="86"/>
      <x:c r="Q549" s="32"/>
    </x:row>
    <x:row r="550">
      <x:c r="A550" s="87"/>
      <x:c r="D550" s="32"/>
      <x:c r="I550" s="74"/>
      <x:c r="J550" s="74"/>
      <x:c r="K550" s="74"/>
      <x:c r="L550" s="74"/>
      <x:c r="M550" s="91"/>
      <x:c r="N550" s="85"/>
      <x:c r="P550" s="86"/>
      <x:c r="Q550" s="32"/>
    </x:row>
    <x:row r="551">
      <x:c r="A551" s="87"/>
      <x:c r="D551" s="32"/>
      <x:c r="I551" s="74"/>
      <x:c r="J551" s="74"/>
      <x:c r="K551" s="74"/>
      <x:c r="L551" s="74"/>
      <x:c r="M551" s="91"/>
      <x:c r="N551" s="85"/>
      <x:c r="P551" s="86"/>
      <x:c r="Q551" s="32"/>
    </x:row>
    <x:row r="552">
      <x:c r="A552" s="87"/>
      <x:c r="D552" s="32"/>
      <x:c r="I552" s="74"/>
      <x:c r="J552" s="74"/>
      <x:c r="K552" s="74"/>
      <x:c r="L552" s="74"/>
      <x:c r="M552" s="91"/>
      <x:c r="N552" s="85"/>
      <x:c r="P552" s="86"/>
      <x:c r="Q552" s="32"/>
    </x:row>
    <x:row r="553">
      <x:c r="A553" s="87"/>
      <x:c r="D553" s="32"/>
      <x:c r="I553" s="74"/>
      <x:c r="J553" s="74"/>
      <x:c r="K553" s="74"/>
      <x:c r="L553" s="74"/>
      <x:c r="M553" s="91"/>
      <x:c r="N553" s="85"/>
      <x:c r="P553" s="86"/>
      <x:c r="Q553" s="32"/>
    </x:row>
    <x:row r="554">
      <x:c r="A554" s="87"/>
      <x:c r="D554" s="32"/>
      <x:c r="I554" s="74"/>
      <x:c r="J554" s="74"/>
      <x:c r="K554" s="74"/>
      <x:c r="L554" s="74"/>
      <x:c r="M554" s="91"/>
      <x:c r="N554" s="85"/>
      <x:c r="P554" s="86"/>
      <x:c r="Q554" s="32"/>
    </x:row>
    <x:row r="555">
      <x:c r="A555" s="87"/>
      <x:c r="D555" s="32"/>
      <x:c r="I555" s="74"/>
      <x:c r="J555" s="74"/>
      <x:c r="K555" s="74"/>
      <x:c r="L555" s="74"/>
      <x:c r="M555" s="91"/>
      <x:c r="N555" s="85"/>
      <x:c r="P555" s="86"/>
      <x:c r="Q555" s="32"/>
    </x:row>
    <x:row r="556">
      <x:c r="A556" s="87"/>
      <x:c r="D556" s="32"/>
      <x:c r="I556" s="74"/>
      <x:c r="J556" s="74"/>
      <x:c r="K556" s="74"/>
      <x:c r="L556" s="74"/>
      <x:c r="M556" s="91"/>
      <x:c r="N556" s="85"/>
      <x:c r="P556" s="86"/>
      <x:c r="Q556" s="32"/>
    </x:row>
    <x:row r="557">
      <x:c r="A557" s="87"/>
      <x:c r="D557" s="32"/>
      <x:c r="I557" s="74"/>
      <x:c r="J557" s="74"/>
      <x:c r="K557" s="74"/>
      <x:c r="L557" s="74"/>
      <x:c r="M557" s="91"/>
      <x:c r="N557" s="85"/>
      <x:c r="P557" s="86"/>
      <x:c r="Q557" s="32"/>
    </x:row>
    <x:row r="558">
      <x:c r="A558" s="87"/>
      <x:c r="D558" s="32"/>
      <x:c r="I558" s="74"/>
      <x:c r="J558" s="74"/>
      <x:c r="K558" s="74"/>
      <x:c r="L558" s="74"/>
      <x:c r="M558" s="91"/>
      <x:c r="N558" s="85"/>
      <x:c r="P558" s="86"/>
      <x:c r="Q558" s="32"/>
    </x:row>
    <x:row r="559">
      <x:c r="A559" s="87"/>
      <x:c r="D559" s="32"/>
      <x:c r="I559" s="74"/>
      <x:c r="J559" s="74"/>
      <x:c r="K559" s="74"/>
      <x:c r="L559" s="74"/>
      <x:c r="M559" s="91"/>
      <x:c r="N559" s="85"/>
      <x:c r="P559" s="86"/>
      <x:c r="Q559" s="32"/>
    </x:row>
    <x:row r="560">
      <x:c r="A560" s="87"/>
      <x:c r="D560" s="32"/>
      <x:c r="I560" s="74"/>
      <x:c r="J560" s="74"/>
      <x:c r="K560" s="74"/>
      <x:c r="L560" s="74"/>
      <x:c r="M560" s="91"/>
      <x:c r="N560" s="85"/>
      <x:c r="P560" s="86"/>
      <x:c r="Q560" s="32"/>
    </x:row>
    <x:row r="561">
      <x:c r="A561" s="87"/>
      <x:c r="D561" s="32"/>
      <x:c r="I561" s="74"/>
      <x:c r="J561" s="74"/>
      <x:c r="K561" s="74"/>
      <x:c r="L561" s="74"/>
      <x:c r="M561" s="91"/>
      <x:c r="N561" s="85"/>
      <x:c r="P561" s="86"/>
      <x:c r="Q561" s="32"/>
    </x:row>
    <x:row r="562">
      <x:c r="A562" s="87"/>
      <x:c r="D562" s="32"/>
      <x:c r="I562" s="74"/>
      <x:c r="J562" s="74"/>
      <x:c r="K562" s="74"/>
      <x:c r="L562" s="74"/>
      <x:c r="M562" s="91"/>
      <x:c r="N562" s="85"/>
      <x:c r="P562" s="86"/>
      <x:c r="Q562" s="32"/>
    </x:row>
    <x:row r="563">
      <x:c r="A563" s="87"/>
      <x:c r="D563" s="32"/>
      <x:c r="I563" s="74"/>
      <x:c r="J563" s="74"/>
      <x:c r="K563" s="74"/>
      <x:c r="L563" s="74"/>
      <x:c r="M563" s="91"/>
      <x:c r="N563" s="85"/>
      <x:c r="P563" s="86"/>
      <x:c r="Q563" s="32"/>
    </x:row>
    <x:row r="564">
      <x:c r="A564" s="87"/>
      <x:c r="D564" s="32"/>
      <x:c r="I564" s="74"/>
      <x:c r="J564" s="74"/>
      <x:c r="K564" s="74"/>
      <x:c r="L564" s="74"/>
      <x:c r="M564" s="91"/>
      <x:c r="N564" s="85"/>
      <x:c r="P564" s="86"/>
      <x:c r="Q564" s="32"/>
    </x:row>
    <x:row r="565">
      <x:c r="A565" s="87"/>
      <x:c r="D565" s="32"/>
      <x:c r="I565" s="74"/>
      <x:c r="J565" s="74"/>
      <x:c r="K565" s="74"/>
      <x:c r="L565" s="74"/>
      <x:c r="M565" s="91"/>
      <x:c r="N565" s="85"/>
      <x:c r="P565" s="86"/>
      <x:c r="Q565" s="32"/>
    </x:row>
    <x:row r="566">
      <x:c r="A566" s="87"/>
      <x:c r="D566" s="32"/>
      <x:c r="I566" s="74"/>
      <x:c r="J566" s="74"/>
      <x:c r="K566" s="74"/>
      <x:c r="L566" s="74"/>
      <x:c r="M566" s="91"/>
      <x:c r="N566" s="85"/>
      <x:c r="P566" s="86"/>
      <x:c r="Q566" s="32"/>
    </x:row>
    <x:row r="567">
      <x:c r="A567" s="87"/>
      <x:c r="D567" s="32"/>
      <x:c r="I567" s="74"/>
      <x:c r="J567" s="74"/>
      <x:c r="K567" s="74"/>
      <x:c r="L567" s="74"/>
      <x:c r="M567" s="91"/>
      <x:c r="N567" s="85"/>
      <x:c r="P567" s="86"/>
      <x:c r="Q567" s="32"/>
    </x:row>
    <x:row r="568">
      <x:c r="A568" s="87"/>
      <x:c r="D568" s="32"/>
      <x:c r="I568" s="74"/>
      <x:c r="J568" s="74"/>
      <x:c r="K568" s="74"/>
      <x:c r="L568" s="74"/>
      <x:c r="M568" s="91"/>
      <x:c r="N568" s="85"/>
      <x:c r="P568" s="86"/>
      <x:c r="Q568" s="32"/>
    </x:row>
    <x:row r="569">
      <x:c r="A569" s="87"/>
      <x:c r="D569" s="32"/>
      <x:c r="I569" s="74"/>
      <x:c r="J569" s="74"/>
      <x:c r="K569" s="74"/>
      <x:c r="L569" s="74"/>
      <x:c r="M569" s="91"/>
      <x:c r="N569" s="85"/>
      <x:c r="P569" s="86"/>
      <x:c r="Q569" s="32"/>
    </x:row>
    <x:row r="570">
      <x:c r="A570" s="87"/>
      <x:c r="D570" s="32"/>
      <x:c r="I570" s="74"/>
      <x:c r="J570" s="74"/>
      <x:c r="K570" s="74"/>
      <x:c r="L570" s="74"/>
      <x:c r="M570" s="91"/>
      <x:c r="N570" s="85"/>
      <x:c r="P570" s="86"/>
      <x:c r="Q570" s="32"/>
    </x:row>
    <x:row r="571">
      <x:c r="A571" s="87"/>
      <x:c r="D571" s="32"/>
      <x:c r="I571" s="74"/>
      <x:c r="J571" s="74"/>
      <x:c r="K571" s="74"/>
      <x:c r="L571" s="74"/>
      <x:c r="M571" s="91"/>
      <x:c r="N571" s="85"/>
      <x:c r="P571" s="86"/>
      <x:c r="Q571" s="32"/>
    </x:row>
    <x:row r="572">
      <x:c r="A572" s="87"/>
      <x:c r="D572" s="32"/>
      <x:c r="I572" s="74"/>
      <x:c r="J572" s="74"/>
      <x:c r="K572" s="74"/>
      <x:c r="L572" s="74"/>
      <x:c r="M572" s="91"/>
      <x:c r="N572" s="85"/>
      <x:c r="P572" s="86"/>
      <x:c r="Q572" s="32"/>
    </x:row>
    <x:row r="573">
      <x:c r="A573" s="87"/>
      <x:c r="D573" s="32"/>
      <x:c r="I573" s="74"/>
      <x:c r="J573" s="74"/>
      <x:c r="K573" s="74"/>
      <x:c r="L573" s="74"/>
      <x:c r="M573" s="91"/>
      <x:c r="N573" s="85"/>
      <x:c r="P573" s="86"/>
      <x:c r="Q573" s="32"/>
    </x:row>
    <x:row r="574">
      <x:c r="A574" s="87"/>
      <x:c r="D574" s="32"/>
      <x:c r="I574" s="74"/>
      <x:c r="J574" s="74"/>
      <x:c r="K574" s="74"/>
      <x:c r="L574" s="74"/>
      <x:c r="M574" s="91"/>
      <x:c r="N574" s="85"/>
      <x:c r="P574" s="86"/>
      <x:c r="Q574" s="32"/>
    </x:row>
    <x:row r="575">
      <x:c r="A575" s="87"/>
      <x:c r="D575" s="32"/>
      <x:c r="I575" s="74"/>
      <x:c r="J575" s="74"/>
      <x:c r="K575" s="74"/>
      <x:c r="L575" s="74"/>
      <x:c r="M575" s="91"/>
      <x:c r="N575" s="85"/>
      <x:c r="P575" s="86"/>
      <x:c r="Q575" s="32"/>
    </x:row>
    <x:row r="576">
      <x:c r="A576" s="87"/>
      <x:c r="D576" s="32"/>
      <x:c r="I576" s="74"/>
      <x:c r="J576" s="74"/>
      <x:c r="K576" s="74"/>
      <x:c r="L576" s="74"/>
      <x:c r="M576" s="91"/>
      <x:c r="N576" s="85"/>
      <x:c r="P576" s="86"/>
      <x:c r="Q576" s="32"/>
    </x:row>
    <x:row r="577">
      <x:c r="A577" s="87"/>
      <x:c r="D577" s="32"/>
      <x:c r="I577" s="74"/>
      <x:c r="J577" s="74"/>
      <x:c r="K577" s="74"/>
      <x:c r="L577" s="74"/>
      <x:c r="M577" s="91"/>
      <x:c r="N577" s="85"/>
      <x:c r="P577" s="86"/>
      <x:c r="Q577" s="32"/>
    </x:row>
    <x:row r="578">
      <x:c r="A578" s="87"/>
      <x:c r="D578" s="32"/>
      <x:c r="I578" s="74"/>
      <x:c r="J578" s="74"/>
      <x:c r="K578" s="74"/>
      <x:c r="L578" s="74"/>
      <x:c r="M578" s="91"/>
      <x:c r="N578" s="85"/>
      <x:c r="P578" s="86"/>
      <x:c r="Q578" s="32"/>
    </x:row>
    <x:row r="579">
      <x:c r="A579" s="87"/>
      <x:c r="D579" s="32"/>
      <x:c r="I579" s="74"/>
      <x:c r="J579" s="74"/>
      <x:c r="K579" s="74"/>
      <x:c r="L579" s="74"/>
      <x:c r="M579" s="91"/>
      <x:c r="N579" s="85"/>
      <x:c r="P579" s="86"/>
      <x:c r="Q579" s="32"/>
    </x:row>
    <x:row r="580">
      <x:c r="A580" s="87"/>
      <x:c r="D580" s="32"/>
      <x:c r="I580" s="74"/>
      <x:c r="J580" s="74"/>
      <x:c r="K580" s="74"/>
      <x:c r="L580" s="74"/>
      <x:c r="M580" s="91"/>
      <x:c r="N580" s="85"/>
      <x:c r="P580" s="86"/>
      <x:c r="Q580" s="32"/>
    </x:row>
    <x:row r="581">
      <x:c r="A581" s="87"/>
      <x:c r="D581" s="32"/>
      <x:c r="I581" s="74"/>
      <x:c r="J581" s="74"/>
      <x:c r="K581" s="74"/>
      <x:c r="L581" s="74"/>
      <x:c r="M581" s="91"/>
      <x:c r="N581" s="85"/>
      <x:c r="P581" s="86"/>
      <x:c r="Q581" s="32"/>
    </x:row>
    <x:row r="582">
      <x:c r="A582" s="87"/>
      <x:c r="D582" s="32"/>
      <x:c r="I582" s="74"/>
      <x:c r="J582" s="74"/>
      <x:c r="K582" s="74"/>
      <x:c r="L582" s="74"/>
      <x:c r="M582" s="91"/>
      <x:c r="N582" s="85"/>
      <x:c r="P582" s="86"/>
      <x:c r="Q582" s="32"/>
    </x:row>
    <x:row r="583">
      <x:c r="A583" s="87"/>
      <x:c r="D583" s="32"/>
      <x:c r="I583" s="74"/>
      <x:c r="J583" s="74"/>
      <x:c r="K583" s="74"/>
      <x:c r="L583" s="74"/>
      <x:c r="M583" s="91"/>
      <x:c r="N583" s="85"/>
      <x:c r="P583" s="86"/>
      <x:c r="Q583" s="32"/>
    </x:row>
    <x:row r="584">
      <x:c r="A584" s="87"/>
      <x:c r="D584" s="32"/>
      <x:c r="I584" s="74"/>
      <x:c r="J584" s="74"/>
      <x:c r="K584" s="74"/>
      <x:c r="L584" s="74"/>
      <x:c r="M584" s="91"/>
      <x:c r="N584" s="85"/>
      <x:c r="P584" s="86"/>
      <x:c r="Q584" s="32"/>
    </x:row>
    <x:row r="585">
      <x:c r="A585" s="87"/>
      <x:c r="D585" s="32"/>
      <x:c r="I585" s="74"/>
      <x:c r="J585" s="74"/>
      <x:c r="K585" s="74"/>
      <x:c r="L585" s="74"/>
      <x:c r="M585" s="91"/>
      <x:c r="N585" s="85"/>
      <x:c r="P585" s="86"/>
      <x:c r="Q585" s="32"/>
    </x:row>
    <x:row r="586">
      <x:c r="A586" s="87"/>
      <x:c r="D586" s="32"/>
      <x:c r="I586" s="74"/>
      <x:c r="J586" s="74"/>
      <x:c r="K586" s="74"/>
      <x:c r="L586" s="74"/>
      <x:c r="M586" s="91"/>
      <x:c r="N586" s="85"/>
      <x:c r="P586" s="86"/>
      <x:c r="Q586" s="32"/>
    </x:row>
    <x:row r="587">
      <x:c r="A587" s="87"/>
      <x:c r="D587" s="32"/>
      <x:c r="I587" s="74"/>
      <x:c r="J587" s="74"/>
      <x:c r="K587" s="74"/>
      <x:c r="L587" s="74"/>
      <x:c r="M587" s="91"/>
      <x:c r="N587" s="85"/>
      <x:c r="P587" s="86"/>
      <x:c r="Q587" s="32"/>
    </x:row>
    <x:row r="588">
      <x:c r="A588" s="87"/>
      <x:c r="D588" s="32"/>
      <x:c r="I588" s="74"/>
      <x:c r="J588" s="74"/>
      <x:c r="K588" s="74"/>
      <x:c r="L588" s="74"/>
      <x:c r="M588" s="91"/>
      <x:c r="N588" s="85"/>
      <x:c r="P588" s="86"/>
      <x:c r="Q588" s="32"/>
    </x:row>
    <x:row r="589">
      <x:c r="A589" s="87"/>
      <x:c r="D589" s="32"/>
      <x:c r="I589" s="74"/>
      <x:c r="J589" s="74"/>
      <x:c r="K589" s="74"/>
      <x:c r="L589" s="74"/>
      <x:c r="M589" s="91"/>
      <x:c r="N589" s="85"/>
      <x:c r="P589" s="86"/>
      <x:c r="Q589" s="32"/>
    </x:row>
    <x:row r="590">
      <x:c r="A590" s="87"/>
      <x:c r="D590" s="32"/>
      <x:c r="I590" s="74"/>
      <x:c r="J590" s="74"/>
      <x:c r="K590" s="74"/>
      <x:c r="L590" s="74"/>
      <x:c r="M590" s="91"/>
      <x:c r="N590" s="85"/>
      <x:c r="P590" s="86"/>
      <x:c r="Q590" s="32"/>
    </x:row>
    <x:row r="591">
      <x:c r="A591" s="87"/>
      <x:c r="D591" s="32"/>
      <x:c r="I591" s="74"/>
      <x:c r="J591" s="74"/>
      <x:c r="K591" s="74"/>
      <x:c r="L591" s="74"/>
      <x:c r="M591" s="91"/>
      <x:c r="N591" s="85"/>
      <x:c r="P591" s="86"/>
      <x:c r="Q591" s="32"/>
    </x:row>
    <x:row r="592">
      <x:c r="A592" s="87"/>
      <x:c r="D592" s="32"/>
      <x:c r="I592" s="74"/>
      <x:c r="J592" s="74"/>
      <x:c r="K592" s="74"/>
      <x:c r="L592" s="74"/>
      <x:c r="M592" s="91"/>
      <x:c r="N592" s="85"/>
      <x:c r="P592" s="86"/>
      <x:c r="Q592" s="32"/>
    </x:row>
    <x:row r="593">
      <x:c r="A593" s="87"/>
      <x:c r="D593" s="32"/>
      <x:c r="I593" s="74"/>
      <x:c r="J593" s="74"/>
      <x:c r="K593" s="74"/>
      <x:c r="L593" s="74"/>
      <x:c r="M593" s="91"/>
      <x:c r="N593" s="85"/>
      <x:c r="P593" s="86"/>
      <x:c r="Q593" s="32"/>
    </x:row>
    <x:row r="594">
      <x:c r="A594" s="87"/>
      <x:c r="D594" s="32"/>
      <x:c r="I594" s="74"/>
      <x:c r="J594" s="74"/>
      <x:c r="K594" s="74"/>
      <x:c r="L594" s="74"/>
      <x:c r="M594" s="91"/>
      <x:c r="N594" s="85"/>
      <x:c r="P594" s="86"/>
      <x:c r="Q594" s="32"/>
    </x:row>
    <x:row r="595">
      <x:c r="A595" s="87"/>
      <x:c r="D595" s="32"/>
      <x:c r="I595" s="74"/>
      <x:c r="J595" s="74"/>
      <x:c r="K595" s="74"/>
      <x:c r="L595" s="74"/>
      <x:c r="M595" s="91"/>
      <x:c r="N595" s="85"/>
      <x:c r="P595" s="86"/>
      <x:c r="Q595" s="32"/>
    </x:row>
    <x:row r="596">
      <x:c r="A596" s="87"/>
      <x:c r="D596" s="32"/>
      <x:c r="I596" s="74"/>
      <x:c r="J596" s="74"/>
      <x:c r="K596" s="74"/>
      <x:c r="L596" s="74"/>
      <x:c r="M596" s="91"/>
      <x:c r="N596" s="85"/>
      <x:c r="P596" s="86"/>
      <x:c r="Q596" s="32"/>
    </x:row>
    <x:row r="597">
      <x:c r="A597" s="87"/>
      <x:c r="D597" s="32"/>
      <x:c r="I597" s="74"/>
      <x:c r="J597" s="74"/>
      <x:c r="K597" s="74"/>
      <x:c r="L597" s="74"/>
      <x:c r="M597" s="91"/>
      <x:c r="N597" s="85"/>
      <x:c r="P597" s="86"/>
      <x:c r="Q597" s="32"/>
    </x:row>
    <x:row r="598">
      <x:c r="A598" s="87"/>
      <x:c r="D598" s="32"/>
      <x:c r="I598" s="74"/>
      <x:c r="J598" s="74"/>
      <x:c r="K598" s="74"/>
      <x:c r="L598" s="74"/>
      <x:c r="M598" s="91"/>
      <x:c r="N598" s="85"/>
      <x:c r="P598" s="86"/>
      <x:c r="Q598" s="32"/>
    </x:row>
    <x:row r="599">
      <x:c r="A599" s="87"/>
      <x:c r="D599" s="32"/>
      <x:c r="I599" s="74"/>
      <x:c r="J599" s="74"/>
      <x:c r="K599" s="74"/>
      <x:c r="L599" s="74"/>
      <x:c r="M599" s="91"/>
      <x:c r="N599" s="85"/>
      <x:c r="P599" s="86"/>
      <x:c r="Q599" s="32"/>
    </x:row>
    <x:row r="600">
      <x:c r="A600" s="87"/>
      <x:c r="D600" s="32"/>
      <x:c r="I600" s="74"/>
      <x:c r="J600" s="74"/>
      <x:c r="K600" s="74"/>
      <x:c r="L600" s="74"/>
      <x:c r="M600" s="91"/>
      <x:c r="N600" s="85"/>
      <x:c r="P600" s="86"/>
      <x:c r="Q600" s="32"/>
    </x:row>
    <x:row r="601">
      <x:c r="A601" s="87"/>
      <x:c r="D601" s="32"/>
      <x:c r="I601" s="74"/>
      <x:c r="J601" s="74"/>
      <x:c r="K601" s="74"/>
      <x:c r="L601" s="74"/>
      <x:c r="M601" s="91"/>
      <x:c r="N601" s="85"/>
      <x:c r="P601" s="86"/>
      <x:c r="Q601" s="32"/>
    </x:row>
    <x:row r="602">
      <x:c r="A602" s="87"/>
      <x:c r="D602" s="32"/>
      <x:c r="I602" s="74"/>
      <x:c r="J602" s="74"/>
      <x:c r="K602" s="74"/>
      <x:c r="L602" s="74"/>
      <x:c r="M602" s="91"/>
      <x:c r="N602" s="85"/>
      <x:c r="P602" s="86"/>
      <x:c r="Q602" s="32"/>
    </x:row>
    <x:row r="603">
      <x:c r="A603" s="87"/>
      <x:c r="D603" s="32"/>
      <x:c r="I603" s="74"/>
      <x:c r="J603" s="74"/>
      <x:c r="K603" s="74"/>
      <x:c r="L603" s="74"/>
      <x:c r="M603" s="91"/>
      <x:c r="N603" s="85"/>
      <x:c r="P603" s="86"/>
      <x:c r="Q603" s="32"/>
    </x:row>
    <x:row r="604">
      <x:c r="A604" s="87"/>
      <x:c r="D604" s="32"/>
      <x:c r="I604" s="74"/>
      <x:c r="J604" s="74"/>
      <x:c r="K604" s="74"/>
      <x:c r="L604" s="74"/>
      <x:c r="M604" s="91"/>
      <x:c r="N604" s="85"/>
      <x:c r="P604" s="86"/>
      <x:c r="Q604" s="32"/>
    </x:row>
    <x:row r="605">
      <x:c r="A605" s="87"/>
      <x:c r="D605" s="32"/>
      <x:c r="I605" s="74"/>
      <x:c r="J605" s="74"/>
      <x:c r="K605" s="74"/>
      <x:c r="L605" s="74"/>
      <x:c r="M605" s="91"/>
      <x:c r="N605" s="85"/>
      <x:c r="P605" s="86"/>
      <x:c r="Q605" s="32"/>
    </x:row>
    <x:row r="606">
      <x:c r="A606" s="87"/>
      <x:c r="D606" s="32"/>
      <x:c r="I606" s="74"/>
      <x:c r="J606" s="74"/>
      <x:c r="K606" s="74"/>
      <x:c r="L606" s="74"/>
      <x:c r="M606" s="91"/>
      <x:c r="N606" s="85"/>
      <x:c r="P606" s="86"/>
      <x:c r="Q606" s="32"/>
    </x:row>
    <x:row r="607">
      <x:c r="A607" s="87"/>
      <x:c r="D607" s="32"/>
      <x:c r="I607" s="74"/>
      <x:c r="J607" s="74"/>
      <x:c r="K607" s="74"/>
      <x:c r="L607" s="74"/>
      <x:c r="M607" s="91"/>
      <x:c r="N607" s="85"/>
      <x:c r="P607" s="86"/>
      <x:c r="Q607" s="32"/>
    </x:row>
    <x:row r="608">
      <x:c r="A608" s="87"/>
      <x:c r="D608" s="32"/>
      <x:c r="I608" s="74"/>
      <x:c r="J608" s="74"/>
      <x:c r="K608" s="74"/>
      <x:c r="L608" s="74"/>
      <x:c r="M608" s="91"/>
      <x:c r="N608" s="85"/>
      <x:c r="P608" s="86"/>
      <x:c r="Q608" s="32"/>
    </x:row>
    <x:row r="609">
      <x:c r="A609" s="87"/>
      <x:c r="D609" s="32"/>
      <x:c r="I609" s="74"/>
      <x:c r="J609" s="74"/>
      <x:c r="K609" s="74"/>
      <x:c r="L609" s="74"/>
      <x:c r="M609" s="91"/>
      <x:c r="N609" s="85"/>
      <x:c r="P609" s="86"/>
      <x:c r="Q609" s="32"/>
    </x:row>
    <x:row r="610">
      <x:c r="A610" s="87"/>
      <x:c r="D610" s="32"/>
      <x:c r="I610" s="74"/>
      <x:c r="J610" s="74"/>
      <x:c r="K610" s="74"/>
      <x:c r="L610" s="74"/>
      <x:c r="M610" s="91"/>
      <x:c r="N610" s="85"/>
      <x:c r="P610" s="86"/>
      <x:c r="Q610" s="32"/>
    </x:row>
    <x:row r="611">
      <x:c r="A611" s="87"/>
      <x:c r="D611" s="32"/>
      <x:c r="I611" s="74"/>
      <x:c r="J611" s="74"/>
      <x:c r="K611" s="74"/>
      <x:c r="L611" s="74"/>
      <x:c r="M611" s="91"/>
      <x:c r="N611" s="85"/>
      <x:c r="P611" s="86"/>
      <x:c r="Q611" s="32"/>
    </x:row>
    <x:row r="612">
      <x:c r="A612" s="87"/>
      <x:c r="D612" s="32"/>
      <x:c r="I612" s="74"/>
      <x:c r="J612" s="74"/>
      <x:c r="K612" s="74"/>
      <x:c r="L612" s="74"/>
      <x:c r="M612" s="91"/>
      <x:c r="N612" s="85"/>
      <x:c r="P612" s="86"/>
      <x:c r="Q612" s="32"/>
    </x:row>
    <x:row r="613">
      <x:c r="A613" s="87"/>
      <x:c r="D613" s="32"/>
      <x:c r="I613" s="74"/>
      <x:c r="J613" s="74"/>
      <x:c r="K613" s="74"/>
      <x:c r="L613" s="74"/>
      <x:c r="M613" s="91"/>
      <x:c r="N613" s="85"/>
      <x:c r="P613" s="86"/>
      <x:c r="Q613" s="32"/>
    </x:row>
    <x:row r="614">
      <x:c r="A614" s="87"/>
      <x:c r="D614" s="32"/>
      <x:c r="I614" s="74"/>
      <x:c r="J614" s="74"/>
      <x:c r="K614" s="74"/>
      <x:c r="L614" s="74"/>
      <x:c r="M614" s="91"/>
      <x:c r="N614" s="85"/>
      <x:c r="P614" s="86"/>
      <x:c r="Q614" s="32"/>
    </x:row>
    <x:row r="615">
      <x:c r="A615" s="87"/>
      <x:c r="D615" s="32"/>
      <x:c r="I615" s="74"/>
      <x:c r="J615" s="74"/>
      <x:c r="K615" s="74"/>
      <x:c r="L615" s="74"/>
      <x:c r="M615" s="91"/>
      <x:c r="N615" s="85"/>
      <x:c r="P615" s="86"/>
      <x:c r="Q615" s="32"/>
    </x:row>
    <x:row r="616">
      <x:c r="A616" s="87"/>
      <x:c r="D616" s="32"/>
      <x:c r="I616" s="74"/>
      <x:c r="J616" s="74"/>
      <x:c r="K616" s="74"/>
      <x:c r="L616" s="74"/>
      <x:c r="M616" s="91"/>
      <x:c r="N616" s="85"/>
      <x:c r="P616" s="86"/>
      <x:c r="Q616" s="32"/>
    </x:row>
    <x:row r="617">
      <x:c r="A617" s="87"/>
      <x:c r="D617" s="32"/>
      <x:c r="I617" s="74"/>
      <x:c r="J617" s="74"/>
      <x:c r="K617" s="74"/>
      <x:c r="L617" s="74"/>
      <x:c r="M617" s="91"/>
      <x:c r="N617" s="85"/>
      <x:c r="P617" s="86"/>
      <x:c r="Q617" s="32"/>
    </x:row>
    <x:row r="618">
      <x:c r="A618" s="87"/>
      <x:c r="D618" s="32"/>
      <x:c r="I618" s="74"/>
      <x:c r="J618" s="74"/>
      <x:c r="K618" s="74"/>
      <x:c r="L618" s="74"/>
      <x:c r="M618" s="91"/>
      <x:c r="N618" s="85"/>
      <x:c r="P618" s="86"/>
      <x:c r="Q618" s="32"/>
    </x:row>
    <x:row r="619">
      <x:c r="A619" s="87"/>
      <x:c r="D619" s="32"/>
      <x:c r="I619" s="74"/>
      <x:c r="J619" s="74"/>
      <x:c r="K619" s="74"/>
      <x:c r="L619" s="74"/>
      <x:c r="M619" s="91"/>
      <x:c r="N619" s="85"/>
      <x:c r="P619" s="86"/>
      <x:c r="Q619" s="32"/>
    </x:row>
    <x:row r="620">
      <x:c r="A620" s="87"/>
      <x:c r="D620" s="32"/>
      <x:c r="I620" s="74"/>
      <x:c r="J620" s="74"/>
      <x:c r="K620" s="74"/>
      <x:c r="L620" s="74"/>
      <x:c r="M620" s="91"/>
      <x:c r="N620" s="85"/>
      <x:c r="P620" s="86"/>
      <x:c r="Q620" s="32"/>
    </x:row>
    <x:row r="621">
      <x:c r="A621" s="87"/>
      <x:c r="D621" s="32"/>
      <x:c r="I621" s="74"/>
      <x:c r="J621" s="74"/>
      <x:c r="K621" s="74"/>
      <x:c r="L621" s="74"/>
      <x:c r="M621" s="91"/>
      <x:c r="N621" s="85"/>
      <x:c r="P621" s="86"/>
      <x:c r="Q621" s="32"/>
    </x:row>
    <x:row r="622">
      <x:c r="A622" s="87"/>
      <x:c r="D622" s="32"/>
      <x:c r="I622" s="74"/>
      <x:c r="J622" s="74"/>
      <x:c r="K622" s="74"/>
      <x:c r="L622" s="74"/>
      <x:c r="M622" s="91"/>
      <x:c r="N622" s="85"/>
      <x:c r="P622" s="86"/>
      <x:c r="Q622" s="32"/>
    </x:row>
    <x:row r="623">
      <x:c r="A623" s="87"/>
      <x:c r="D623" s="32"/>
      <x:c r="I623" s="74"/>
      <x:c r="J623" s="74"/>
      <x:c r="K623" s="74"/>
      <x:c r="L623" s="74"/>
      <x:c r="M623" s="91"/>
      <x:c r="N623" s="85"/>
      <x:c r="P623" s="86"/>
      <x:c r="Q623" s="32"/>
    </x:row>
    <x:row r="624">
      <x:c r="A624" s="87"/>
      <x:c r="D624" s="32"/>
      <x:c r="I624" s="74"/>
      <x:c r="J624" s="74"/>
      <x:c r="K624" s="74"/>
      <x:c r="L624" s="74"/>
      <x:c r="M624" s="91"/>
      <x:c r="N624" s="85"/>
      <x:c r="P624" s="86"/>
      <x:c r="Q624" s="32"/>
    </x:row>
    <x:row r="625">
      <x:c r="A625" s="87"/>
      <x:c r="D625" s="32"/>
      <x:c r="I625" s="74"/>
      <x:c r="J625" s="74"/>
      <x:c r="K625" s="74"/>
      <x:c r="L625" s="74"/>
      <x:c r="M625" s="91"/>
      <x:c r="N625" s="85"/>
      <x:c r="P625" s="86"/>
      <x:c r="Q625" s="32"/>
    </x:row>
    <x:row r="626">
      <x:c r="A626" s="87"/>
      <x:c r="D626" s="32"/>
      <x:c r="I626" s="74"/>
      <x:c r="J626" s="74"/>
      <x:c r="K626" s="74"/>
      <x:c r="L626" s="74"/>
      <x:c r="M626" s="91"/>
      <x:c r="N626" s="85"/>
      <x:c r="P626" s="86"/>
      <x:c r="Q626" s="32"/>
    </x:row>
    <x:row r="627">
      <x:c r="A627" s="87"/>
      <x:c r="D627" s="32"/>
      <x:c r="I627" s="74"/>
      <x:c r="J627" s="74"/>
      <x:c r="K627" s="74"/>
      <x:c r="L627" s="74"/>
      <x:c r="M627" s="91"/>
      <x:c r="N627" s="85"/>
      <x:c r="P627" s="86"/>
      <x:c r="Q627" s="32"/>
    </x:row>
    <x:row r="628">
      <x:c r="A628" s="87"/>
      <x:c r="D628" s="32"/>
      <x:c r="I628" s="74"/>
      <x:c r="J628" s="74"/>
      <x:c r="K628" s="74"/>
      <x:c r="L628" s="74"/>
      <x:c r="M628" s="91"/>
      <x:c r="N628" s="85"/>
      <x:c r="P628" s="86"/>
      <x:c r="Q628" s="32"/>
    </x:row>
    <x:row r="629">
      <x:c r="A629" s="87"/>
      <x:c r="D629" s="32"/>
      <x:c r="I629" s="74"/>
      <x:c r="J629" s="74"/>
      <x:c r="K629" s="74"/>
      <x:c r="L629" s="74"/>
      <x:c r="M629" s="91"/>
      <x:c r="N629" s="85"/>
      <x:c r="P629" s="86"/>
      <x:c r="Q629" s="32"/>
    </x:row>
    <x:row r="630">
      <x:c r="A630" s="87"/>
      <x:c r="D630" s="32"/>
      <x:c r="I630" s="74"/>
      <x:c r="J630" s="74"/>
      <x:c r="K630" s="74"/>
      <x:c r="L630" s="74"/>
      <x:c r="M630" s="91"/>
      <x:c r="N630" s="85"/>
      <x:c r="P630" s="86"/>
      <x:c r="Q630" s="32"/>
    </x:row>
    <x:row r="631">
      <x:c r="A631" s="87"/>
      <x:c r="D631" s="32"/>
      <x:c r="I631" s="74"/>
      <x:c r="J631" s="74"/>
      <x:c r="K631" s="74"/>
      <x:c r="L631" s="74"/>
      <x:c r="M631" s="91"/>
      <x:c r="N631" s="85"/>
      <x:c r="P631" s="86"/>
      <x:c r="Q631" s="32"/>
    </x:row>
    <x:row r="632">
      <x:c r="A632" s="87"/>
      <x:c r="D632" s="32"/>
      <x:c r="I632" s="74"/>
      <x:c r="J632" s="74"/>
      <x:c r="K632" s="74"/>
      <x:c r="L632" s="74"/>
      <x:c r="M632" s="91"/>
      <x:c r="N632" s="85"/>
      <x:c r="P632" s="86"/>
      <x:c r="Q632" s="32"/>
    </x:row>
    <x:row r="633">
      <x:c r="A633" s="87"/>
      <x:c r="D633" s="32"/>
      <x:c r="I633" s="74"/>
      <x:c r="J633" s="74"/>
      <x:c r="K633" s="74"/>
      <x:c r="L633" s="74"/>
      <x:c r="M633" s="91"/>
      <x:c r="N633" s="85"/>
      <x:c r="P633" s="86"/>
      <x:c r="Q633" s="32"/>
    </x:row>
    <x:row r="634">
      <x:c r="A634" s="87"/>
      <x:c r="D634" s="32"/>
      <x:c r="I634" s="74"/>
      <x:c r="J634" s="74"/>
      <x:c r="K634" s="74"/>
      <x:c r="L634" s="74"/>
      <x:c r="M634" s="91"/>
      <x:c r="N634" s="85"/>
      <x:c r="P634" s="86"/>
      <x:c r="Q634" s="32"/>
    </x:row>
    <x:row r="635">
      <x:c r="A635" s="87"/>
      <x:c r="D635" s="32"/>
      <x:c r="I635" s="74"/>
      <x:c r="J635" s="74"/>
      <x:c r="K635" s="74"/>
      <x:c r="L635" s="74"/>
      <x:c r="M635" s="91"/>
      <x:c r="N635" s="85"/>
      <x:c r="P635" s="86"/>
      <x:c r="Q635" s="32"/>
    </x:row>
    <x:row r="636">
      <x:c r="A636" s="87"/>
      <x:c r="D636" s="32"/>
      <x:c r="I636" s="74"/>
      <x:c r="J636" s="74"/>
      <x:c r="K636" s="74"/>
      <x:c r="L636" s="74"/>
      <x:c r="M636" s="91"/>
      <x:c r="N636" s="85"/>
      <x:c r="P636" s="86"/>
      <x:c r="Q636" s="32"/>
    </x:row>
    <x:row r="637">
      <x:c r="A637" s="87"/>
      <x:c r="D637" s="32"/>
      <x:c r="I637" s="74"/>
      <x:c r="J637" s="74"/>
      <x:c r="K637" s="74"/>
      <x:c r="L637" s="74"/>
      <x:c r="M637" s="91"/>
      <x:c r="N637" s="85"/>
      <x:c r="P637" s="86"/>
      <x:c r="Q637" s="32"/>
    </x:row>
    <x:row r="638">
      <x:c r="A638" s="87"/>
      <x:c r="D638" s="32"/>
      <x:c r="I638" s="74"/>
      <x:c r="J638" s="74"/>
      <x:c r="K638" s="74"/>
      <x:c r="L638" s="74"/>
      <x:c r="M638" s="91"/>
      <x:c r="N638" s="85"/>
      <x:c r="P638" s="86"/>
      <x:c r="Q638" s="32"/>
    </x:row>
    <x:row r="639">
      <x:c r="A639" s="87"/>
      <x:c r="D639" s="32"/>
      <x:c r="I639" s="74"/>
      <x:c r="J639" s="74"/>
      <x:c r="K639" s="74"/>
      <x:c r="L639" s="74"/>
      <x:c r="M639" s="91"/>
      <x:c r="N639" s="85"/>
      <x:c r="P639" s="86"/>
      <x:c r="Q639" s="32"/>
    </x:row>
    <x:row r="640">
      <x:c r="A640" s="87"/>
      <x:c r="D640" s="32"/>
      <x:c r="I640" s="74"/>
      <x:c r="J640" s="74"/>
      <x:c r="K640" s="74"/>
      <x:c r="L640" s="74"/>
      <x:c r="M640" s="91"/>
      <x:c r="N640" s="85"/>
      <x:c r="P640" s="86"/>
      <x:c r="Q640" s="32"/>
    </x:row>
    <x:row r="641">
      <x:c r="A641" s="87"/>
      <x:c r="D641" s="32"/>
      <x:c r="I641" s="74"/>
      <x:c r="J641" s="74"/>
      <x:c r="K641" s="74"/>
      <x:c r="L641" s="74"/>
      <x:c r="M641" s="91"/>
      <x:c r="N641" s="85"/>
      <x:c r="P641" s="86"/>
      <x:c r="Q641" s="32"/>
    </x:row>
    <x:row r="642">
      <x:c r="A642" s="87"/>
      <x:c r="D642" s="32"/>
      <x:c r="I642" s="74"/>
      <x:c r="J642" s="74"/>
      <x:c r="K642" s="74"/>
      <x:c r="L642" s="74"/>
      <x:c r="M642" s="91"/>
      <x:c r="N642" s="85"/>
      <x:c r="P642" s="86"/>
      <x:c r="Q642" s="32"/>
    </x:row>
    <x:row r="643">
      <x:c r="A643" s="87"/>
      <x:c r="D643" s="32"/>
      <x:c r="I643" s="74"/>
      <x:c r="J643" s="74"/>
      <x:c r="K643" s="74"/>
      <x:c r="L643" s="74"/>
      <x:c r="M643" s="91"/>
      <x:c r="N643" s="85"/>
      <x:c r="P643" s="86"/>
      <x:c r="Q643" s="32"/>
    </x:row>
    <x:row r="644">
      <x:c r="A644" s="87"/>
      <x:c r="D644" s="32"/>
      <x:c r="I644" s="74"/>
      <x:c r="J644" s="74"/>
      <x:c r="K644" s="74"/>
      <x:c r="L644" s="74"/>
      <x:c r="M644" s="91"/>
      <x:c r="N644" s="85"/>
      <x:c r="P644" s="86"/>
      <x:c r="Q644" s="32"/>
    </x:row>
    <x:row r="645">
      <x:c r="A645" s="87"/>
      <x:c r="D645" s="32"/>
      <x:c r="I645" s="74"/>
      <x:c r="J645" s="74"/>
      <x:c r="K645" s="74"/>
      <x:c r="L645" s="74"/>
      <x:c r="M645" s="91"/>
      <x:c r="N645" s="85"/>
      <x:c r="P645" s="86"/>
      <x:c r="Q645" s="32"/>
    </x:row>
    <x:row r="646">
      <x:c r="A646" s="87"/>
      <x:c r="D646" s="32"/>
      <x:c r="I646" s="74"/>
      <x:c r="J646" s="74"/>
      <x:c r="K646" s="74"/>
      <x:c r="L646" s="74"/>
      <x:c r="M646" s="91"/>
      <x:c r="N646" s="85"/>
      <x:c r="P646" s="86"/>
      <x:c r="Q646" s="32"/>
    </x:row>
    <x:row r="647">
      <x:c r="A647" s="87"/>
      <x:c r="D647" s="32"/>
      <x:c r="I647" s="74"/>
      <x:c r="J647" s="74"/>
      <x:c r="K647" s="74"/>
      <x:c r="L647" s="74"/>
      <x:c r="M647" s="91"/>
      <x:c r="N647" s="85"/>
      <x:c r="P647" s="86"/>
      <x:c r="Q647" s="32"/>
    </x:row>
    <x:row r="648">
      <x:c r="A648" s="87"/>
      <x:c r="D648" s="32"/>
      <x:c r="I648" s="74"/>
      <x:c r="J648" s="74"/>
      <x:c r="K648" s="74"/>
      <x:c r="L648" s="74"/>
      <x:c r="M648" s="91"/>
      <x:c r="N648" s="85"/>
      <x:c r="P648" s="86"/>
      <x:c r="Q648" s="32"/>
    </x:row>
    <x:row r="649">
      <x:c r="A649" s="87"/>
      <x:c r="D649" s="32"/>
      <x:c r="I649" s="74"/>
      <x:c r="J649" s="74"/>
      <x:c r="K649" s="74"/>
      <x:c r="L649" s="74"/>
      <x:c r="M649" s="91"/>
      <x:c r="N649" s="85"/>
      <x:c r="P649" s="86"/>
      <x:c r="Q649" s="32"/>
    </x:row>
    <x:row r="650">
      <x:c r="A650" s="87"/>
      <x:c r="D650" s="32"/>
      <x:c r="I650" s="74"/>
      <x:c r="J650" s="74"/>
      <x:c r="K650" s="74"/>
      <x:c r="L650" s="74"/>
      <x:c r="M650" s="91"/>
      <x:c r="N650" s="85"/>
      <x:c r="P650" s="86"/>
      <x:c r="Q650" s="32"/>
    </x:row>
    <x:row r="651">
      <x:c r="A651" s="87"/>
      <x:c r="D651" s="32"/>
      <x:c r="I651" s="74"/>
      <x:c r="J651" s="74"/>
      <x:c r="K651" s="74"/>
      <x:c r="L651" s="74"/>
      <x:c r="M651" s="91"/>
      <x:c r="N651" s="85"/>
      <x:c r="P651" s="86"/>
      <x:c r="Q651" s="32"/>
    </x:row>
    <x:row r="652">
      <x:c r="A652" s="87"/>
      <x:c r="D652" s="32"/>
      <x:c r="I652" s="74"/>
      <x:c r="J652" s="74"/>
      <x:c r="K652" s="74"/>
      <x:c r="L652" s="74"/>
      <x:c r="M652" s="91"/>
      <x:c r="N652" s="85"/>
      <x:c r="P652" s="86"/>
      <x:c r="Q652" s="32"/>
    </x:row>
    <x:row r="653">
      <x:c r="A653" s="87"/>
      <x:c r="D653" s="32"/>
      <x:c r="I653" s="74"/>
      <x:c r="J653" s="74"/>
      <x:c r="K653" s="74"/>
      <x:c r="L653" s="74"/>
      <x:c r="M653" s="91"/>
      <x:c r="N653" s="85"/>
      <x:c r="P653" s="86"/>
      <x:c r="Q653" s="32"/>
    </x:row>
    <x:row r="654">
      <x:c r="A654" s="87"/>
      <x:c r="D654" s="32"/>
      <x:c r="I654" s="74"/>
      <x:c r="J654" s="74"/>
      <x:c r="K654" s="74"/>
      <x:c r="L654" s="74"/>
      <x:c r="M654" s="91"/>
      <x:c r="N654" s="85"/>
      <x:c r="P654" s="86"/>
      <x:c r="Q654" s="32"/>
    </x:row>
    <x:row r="655">
      <x:c r="A655" s="87"/>
      <x:c r="D655" s="32"/>
      <x:c r="I655" s="74"/>
      <x:c r="J655" s="74"/>
      <x:c r="K655" s="74"/>
      <x:c r="L655" s="74"/>
      <x:c r="M655" s="91"/>
      <x:c r="N655" s="85"/>
      <x:c r="P655" s="86"/>
      <x:c r="Q655" s="32"/>
    </x:row>
    <x:row r="656">
      <x:c r="A656" s="87"/>
      <x:c r="D656" s="32"/>
      <x:c r="I656" s="74"/>
      <x:c r="J656" s="74"/>
      <x:c r="K656" s="74"/>
      <x:c r="L656" s="74"/>
      <x:c r="M656" s="91"/>
      <x:c r="N656" s="85"/>
      <x:c r="P656" s="86"/>
      <x:c r="Q656" s="32"/>
    </x:row>
    <x:row r="657">
      <x:c r="A657" s="87"/>
      <x:c r="D657" s="32"/>
      <x:c r="I657" s="74"/>
      <x:c r="J657" s="74"/>
      <x:c r="K657" s="74"/>
      <x:c r="L657" s="74"/>
      <x:c r="M657" s="91"/>
      <x:c r="N657" s="85"/>
      <x:c r="P657" s="86"/>
      <x:c r="Q657" s="32"/>
    </x:row>
    <x:row r="658">
      <x:c r="A658" s="87"/>
      <x:c r="D658" s="32"/>
      <x:c r="I658" s="74"/>
      <x:c r="J658" s="74"/>
      <x:c r="K658" s="74"/>
      <x:c r="L658" s="74"/>
      <x:c r="M658" s="91"/>
      <x:c r="N658" s="85"/>
      <x:c r="P658" s="86"/>
      <x:c r="Q658" s="32"/>
    </x:row>
    <x:row r="659">
      <x:c r="A659" s="87"/>
      <x:c r="D659" s="32"/>
      <x:c r="I659" s="74"/>
      <x:c r="J659" s="74"/>
      <x:c r="K659" s="74"/>
      <x:c r="L659" s="74"/>
      <x:c r="M659" s="91"/>
      <x:c r="N659" s="85"/>
      <x:c r="P659" s="86"/>
      <x:c r="Q659" s="32"/>
    </x:row>
    <x:row r="660">
      <x:c r="A660" s="87"/>
      <x:c r="D660" s="32"/>
      <x:c r="I660" s="74"/>
      <x:c r="J660" s="74"/>
      <x:c r="K660" s="74"/>
      <x:c r="L660" s="74"/>
      <x:c r="M660" s="91"/>
      <x:c r="N660" s="85"/>
      <x:c r="P660" s="86"/>
      <x:c r="Q660" s="32"/>
    </x:row>
    <x:row r="661">
      <x:c r="A661" s="87"/>
      <x:c r="D661" s="32"/>
      <x:c r="I661" s="74"/>
      <x:c r="J661" s="74"/>
      <x:c r="K661" s="74"/>
      <x:c r="L661" s="74"/>
      <x:c r="M661" s="91"/>
      <x:c r="N661" s="85"/>
      <x:c r="P661" s="86"/>
      <x:c r="Q661" s="32"/>
    </x:row>
    <x:row r="662">
      <x:c r="A662" s="87"/>
      <x:c r="D662" s="32"/>
      <x:c r="I662" s="74"/>
      <x:c r="J662" s="74"/>
      <x:c r="K662" s="74"/>
      <x:c r="L662" s="74"/>
      <x:c r="M662" s="91"/>
      <x:c r="N662" s="85"/>
      <x:c r="P662" s="86"/>
      <x:c r="Q662" s="32"/>
    </x:row>
    <x:row r="663">
      <x:c r="A663" s="87"/>
      <x:c r="D663" s="32"/>
      <x:c r="I663" s="74"/>
      <x:c r="J663" s="74"/>
      <x:c r="K663" s="74"/>
      <x:c r="L663" s="74"/>
      <x:c r="M663" s="91"/>
      <x:c r="N663" s="85"/>
      <x:c r="P663" s="86"/>
      <x:c r="Q663" s="32"/>
    </x:row>
    <x:row r="664">
      <x:c r="A664" s="87"/>
      <x:c r="D664" s="32"/>
      <x:c r="I664" s="74"/>
      <x:c r="J664" s="74"/>
      <x:c r="K664" s="74"/>
      <x:c r="L664" s="74"/>
      <x:c r="M664" s="91"/>
      <x:c r="N664" s="85"/>
      <x:c r="P664" s="86"/>
      <x:c r="Q664" s="32"/>
    </x:row>
    <x:row r="665">
      <x:c r="A665" s="87"/>
      <x:c r="D665" s="32"/>
      <x:c r="I665" s="74"/>
      <x:c r="J665" s="74"/>
      <x:c r="K665" s="74"/>
      <x:c r="L665" s="74"/>
      <x:c r="M665" s="91"/>
      <x:c r="N665" s="85"/>
      <x:c r="P665" s="86"/>
      <x:c r="Q665" s="32"/>
    </x:row>
    <x:row r="666">
      <x:c r="A666" s="87"/>
      <x:c r="D666" s="32"/>
      <x:c r="I666" s="74"/>
      <x:c r="J666" s="74"/>
      <x:c r="K666" s="74"/>
      <x:c r="L666" s="74"/>
      <x:c r="M666" s="91"/>
      <x:c r="N666" s="85"/>
      <x:c r="P666" s="86"/>
      <x:c r="Q666" s="32"/>
    </x:row>
    <x:row r="667">
      <x:c r="A667" s="87"/>
      <x:c r="D667" s="32"/>
      <x:c r="I667" s="74"/>
      <x:c r="J667" s="74"/>
      <x:c r="K667" s="74"/>
      <x:c r="L667" s="74"/>
      <x:c r="M667" s="91"/>
      <x:c r="N667" s="85"/>
      <x:c r="P667" s="86"/>
      <x:c r="Q667" s="32"/>
    </x:row>
    <x:row r="668">
      <x:c r="A668" s="87"/>
      <x:c r="D668" s="32"/>
      <x:c r="I668" s="74"/>
      <x:c r="J668" s="74"/>
      <x:c r="K668" s="74"/>
      <x:c r="L668" s="74"/>
      <x:c r="M668" s="91"/>
      <x:c r="N668" s="85"/>
      <x:c r="P668" s="86"/>
      <x:c r="Q668" s="32"/>
    </x:row>
    <x:row r="669">
      <x:c r="A669" s="87"/>
      <x:c r="D669" s="32"/>
      <x:c r="I669" s="74"/>
      <x:c r="J669" s="74"/>
      <x:c r="K669" s="74"/>
      <x:c r="L669" s="74"/>
      <x:c r="M669" s="91"/>
      <x:c r="N669" s="85"/>
      <x:c r="P669" s="86"/>
      <x:c r="Q669" s="32"/>
    </x:row>
    <x:row r="670">
      <x:c r="A670" s="87"/>
      <x:c r="D670" s="32"/>
      <x:c r="I670" s="74"/>
      <x:c r="J670" s="74"/>
      <x:c r="K670" s="74"/>
      <x:c r="L670" s="74"/>
      <x:c r="M670" s="91"/>
      <x:c r="N670" s="85"/>
      <x:c r="P670" s="86"/>
      <x:c r="Q670" s="32"/>
    </x:row>
    <x:row r="671">
      <x:c r="A671" s="87"/>
      <x:c r="D671" s="32"/>
      <x:c r="I671" s="74"/>
      <x:c r="J671" s="74"/>
      <x:c r="K671" s="74"/>
      <x:c r="L671" s="74"/>
      <x:c r="M671" s="91"/>
      <x:c r="N671" s="85"/>
      <x:c r="P671" s="86"/>
      <x:c r="Q671" s="32"/>
    </x:row>
    <x:row r="672">
      <x:c r="A672" s="87"/>
      <x:c r="D672" s="32"/>
      <x:c r="I672" s="74"/>
      <x:c r="J672" s="74"/>
      <x:c r="K672" s="74"/>
      <x:c r="L672" s="74"/>
      <x:c r="M672" s="91"/>
      <x:c r="N672" s="85"/>
      <x:c r="P672" s="86"/>
      <x:c r="Q672" s="32"/>
    </x:row>
    <x:row r="673">
      <x:c r="A673" s="87"/>
      <x:c r="D673" s="32"/>
      <x:c r="I673" s="74"/>
      <x:c r="J673" s="74"/>
      <x:c r="K673" s="74"/>
      <x:c r="L673" s="74"/>
      <x:c r="M673" s="91"/>
      <x:c r="N673" s="85"/>
      <x:c r="P673" s="86"/>
      <x:c r="Q673" s="32"/>
    </x:row>
    <x:row r="674">
      <x:c r="A674" s="87"/>
      <x:c r="D674" s="32"/>
      <x:c r="I674" s="74"/>
      <x:c r="J674" s="74"/>
      <x:c r="K674" s="74"/>
      <x:c r="L674" s="74"/>
      <x:c r="M674" s="91"/>
      <x:c r="N674" s="85"/>
      <x:c r="P674" s="86"/>
      <x:c r="Q674" s="32"/>
    </x:row>
    <x:row r="675">
      <x:c r="A675" s="87"/>
      <x:c r="D675" s="32"/>
      <x:c r="I675" s="74"/>
      <x:c r="J675" s="74"/>
      <x:c r="K675" s="74"/>
      <x:c r="L675" s="74"/>
      <x:c r="M675" s="91"/>
      <x:c r="N675" s="85"/>
      <x:c r="P675" s="86"/>
      <x:c r="Q675" s="32"/>
    </x:row>
    <x:row r="676">
      <x:c r="A676" s="87"/>
      <x:c r="D676" s="32"/>
      <x:c r="I676" s="74"/>
      <x:c r="J676" s="74"/>
      <x:c r="K676" s="74"/>
      <x:c r="L676" s="74"/>
      <x:c r="M676" s="91"/>
      <x:c r="N676" s="85"/>
      <x:c r="P676" s="86"/>
      <x:c r="Q676" s="32"/>
    </x:row>
    <x:row r="677">
      <x:c r="A677" s="87"/>
      <x:c r="D677" s="32"/>
      <x:c r="I677" s="74"/>
      <x:c r="J677" s="74"/>
      <x:c r="K677" s="74"/>
      <x:c r="L677" s="74"/>
      <x:c r="M677" s="91"/>
      <x:c r="N677" s="85"/>
      <x:c r="P677" s="86"/>
      <x:c r="Q677" s="32"/>
    </x:row>
    <x:row r="678">
      <x:c r="A678" s="87"/>
      <x:c r="D678" s="32"/>
      <x:c r="I678" s="74"/>
      <x:c r="J678" s="74"/>
      <x:c r="K678" s="74"/>
      <x:c r="L678" s="74"/>
      <x:c r="M678" s="91"/>
      <x:c r="N678" s="85"/>
      <x:c r="P678" s="86"/>
      <x:c r="Q678" s="32"/>
    </x:row>
    <x:row r="679">
      <x:c r="A679" s="87"/>
      <x:c r="D679" s="32"/>
      <x:c r="I679" s="74"/>
      <x:c r="J679" s="74"/>
      <x:c r="K679" s="74"/>
      <x:c r="L679" s="74"/>
      <x:c r="M679" s="91"/>
      <x:c r="N679" s="85"/>
      <x:c r="P679" s="86"/>
      <x:c r="Q679" s="32"/>
    </x:row>
    <x:row r="680">
      <x:c r="A680" s="87"/>
      <x:c r="D680" s="32"/>
      <x:c r="I680" s="74"/>
      <x:c r="J680" s="74"/>
      <x:c r="K680" s="74"/>
      <x:c r="L680" s="74"/>
      <x:c r="M680" s="91"/>
      <x:c r="N680" s="85"/>
      <x:c r="P680" s="86"/>
      <x:c r="Q680" s="32"/>
    </x:row>
    <x:row r="681">
      <x:c r="A681" s="87"/>
      <x:c r="D681" s="32"/>
      <x:c r="I681" s="74"/>
      <x:c r="J681" s="74"/>
      <x:c r="K681" s="74"/>
      <x:c r="L681" s="74"/>
      <x:c r="M681" s="91"/>
      <x:c r="N681" s="85"/>
      <x:c r="P681" s="86"/>
      <x:c r="Q681" s="32"/>
    </x:row>
    <x:row r="682">
      <x:c r="A682" s="87"/>
      <x:c r="D682" s="32"/>
      <x:c r="I682" s="74"/>
      <x:c r="J682" s="74"/>
      <x:c r="K682" s="74"/>
      <x:c r="L682" s="74"/>
      <x:c r="M682" s="91"/>
      <x:c r="N682" s="85"/>
      <x:c r="P682" s="86"/>
      <x:c r="Q682" s="32"/>
    </x:row>
    <x:row r="683">
      <x:c r="A683" s="87"/>
      <x:c r="D683" s="32"/>
      <x:c r="I683" s="74"/>
      <x:c r="J683" s="74"/>
      <x:c r="K683" s="74"/>
      <x:c r="L683" s="74"/>
      <x:c r="M683" s="91"/>
      <x:c r="N683" s="85"/>
      <x:c r="P683" s="86"/>
      <x:c r="Q683" s="32"/>
    </x:row>
    <x:row r="684">
      <x:c r="A684" s="87"/>
      <x:c r="D684" s="32"/>
      <x:c r="I684" s="74"/>
      <x:c r="J684" s="74"/>
      <x:c r="K684" s="74"/>
      <x:c r="L684" s="74"/>
      <x:c r="M684" s="91"/>
      <x:c r="N684" s="85"/>
      <x:c r="P684" s="86"/>
      <x:c r="Q684" s="32"/>
    </x:row>
    <x:row r="685">
      <x:c r="A685" s="87"/>
      <x:c r="D685" s="32"/>
      <x:c r="I685" s="74"/>
      <x:c r="J685" s="74"/>
      <x:c r="K685" s="74"/>
      <x:c r="L685" s="74"/>
      <x:c r="M685" s="91"/>
      <x:c r="N685" s="85"/>
      <x:c r="P685" s="86"/>
      <x:c r="Q685" s="32"/>
    </x:row>
    <x:row r="686">
      <x:c r="A686" s="87"/>
      <x:c r="D686" s="32"/>
      <x:c r="I686" s="74"/>
      <x:c r="J686" s="74"/>
      <x:c r="K686" s="74"/>
      <x:c r="L686" s="74"/>
      <x:c r="M686" s="91"/>
      <x:c r="N686" s="85"/>
      <x:c r="P686" s="86"/>
      <x:c r="Q686" s="32"/>
    </x:row>
    <x:row r="687">
      <x:c r="A687" s="87"/>
      <x:c r="D687" s="32"/>
      <x:c r="I687" s="74"/>
      <x:c r="J687" s="74"/>
      <x:c r="K687" s="74"/>
      <x:c r="L687" s="74"/>
      <x:c r="M687" s="91"/>
      <x:c r="N687" s="85"/>
      <x:c r="P687" s="86"/>
      <x:c r="Q687" s="32"/>
    </x:row>
    <x:row r="688">
      <x:c r="A688" s="87"/>
      <x:c r="D688" s="32"/>
      <x:c r="I688" s="74"/>
      <x:c r="J688" s="74"/>
      <x:c r="K688" s="74"/>
      <x:c r="L688" s="74"/>
      <x:c r="M688" s="91"/>
      <x:c r="N688" s="85"/>
      <x:c r="P688" s="86"/>
      <x:c r="Q688" s="32"/>
    </x:row>
    <x:row r="689">
      <x:c r="A689" s="87"/>
      <x:c r="D689" s="32"/>
      <x:c r="I689" s="74"/>
      <x:c r="J689" s="74"/>
      <x:c r="K689" s="74"/>
      <x:c r="L689" s="74"/>
      <x:c r="M689" s="91"/>
      <x:c r="N689" s="85"/>
      <x:c r="P689" s="86"/>
      <x:c r="Q689" s="32"/>
    </x:row>
    <x:row r="690">
      <x:c r="A690" s="87"/>
      <x:c r="D690" s="32"/>
      <x:c r="I690" s="74"/>
      <x:c r="J690" s="74"/>
      <x:c r="K690" s="74"/>
      <x:c r="L690" s="74"/>
      <x:c r="M690" s="91"/>
      <x:c r="N690" s="85"/>
      <x:c r="P690" s="86"/>
      <x:c r="Q690" s="32"/>
    </x:row>
    <x:row r="691">
      <x:c r="A691" s="87"/>
      <x:c r="D691" s="32"/>
      <x:c r="I691" s="74"/>
      <x:c r="J691" s="74"/>
      <x:c r="K691" s="74"/>
      <x:c r="L691" s="74"/>
      <x:c r="M691" s="91"/>
      <x:c r="N691" s="85"/>
      <x:c r="P691" s="86"/>
      <x:c r="Q691" s="32"/>
    </x:row>
    <x:row r="692">
      <x:c r="A692" s="87"/>
      <x:c r="D692" s="32"/>
      <x:c r="I692" s="74"/>
      <x:c r="J692" s="74"/>
      <x:c r="K692" s="74"/>
      <x:c r="L692" s="74"/>
      <x:c r="M692" s="91"/>
      <x:c r="N692" s="85"/>
      <x:c r="P692" s="86"/>
      <x:c r="Q692" s="32"/>
    </x:row>
    <x:row r="693">
      <x:c r="A693" s="87"/>
      <x:c r="D693" s="32"/>
      <x:c r="I693" s="74"/>
      <x:c r="J693" s="74"/>
      <x:c r="K693" s="74"/>
      <x:c r="L693" s="74"/>
      <x:c r="M693" s="91"/>
      <x:c r="N693" s="85"/>
      <x:c r="P693" s="86"/>
      <x:c r="Q693" s="32"/>
    </x:row>
    <x:row r="694">
      <x:c r="A694" s="87"/>
      <x:c r="D694" s="32"/>
      <x:c r="I694" s="74"/>
      <x:c r="J694" s="74"/>
      <x:c r="K694" s="74"/>
      <x:c r="L694" s="74"/>
      <x:c r="M694" s="91"/>
      <x:c r="N694" s="85"/>
      <x:c r="P694" s="86"/>
      <x:c r="Q694" s="32"/>
    </x:row>
    <x:row r="695">
      <x:c r="A695" s="87"/>
      <x:c r="D695" s="32"/>
      <x:c r="I695" s="74"/>
      <x:c r="J695" s="74"/>
      <x:c r="K695" s="74"/>
      <x:c r="L695" s="74"/>
      <x:c r="M695" s="91"/>
      <x:c r="N695" s="85"/>
      <x:c r="P695" s="86"/>
      <x:c r="Q695" s="32"/>
    </x:row>
    <x:row r="696">
      <x:c r="A696" s="87"/>
      <x:c r="D696" s="32"/>
      <x:c r="I696" s="74"/>
      <x:c r="J696" s="74"/>
      <x:c r="K696" s="74"/>
      <x:c r="L696" s="74"/>
      <x:c r="M696" s="91"/>
      <x:c r="N696" s="85"/>
      <x:c r="P696" s="86"/>
      <x:c r="Q696" s="32"/>
    </x:row>
    <x:row r="697">
      <x:c r="A697" s="87"/>
      <x:c r="D697" s="32"/>
      <x:c r="I697" s="74"/>
      <x:c r="J697" s="74"/>
      <x:c r="K697" s="74"/>
      <x:c r="L697" s="74"/>
      <x:c r="M697" s="91"/>
      <x:c r="N697" s="85"/>
      <x:c r="P697" s="86"/>
      <x:c r="Q697" s="32"/>
    </x:row>
    <x:row r="698">
      <x:c r="A698" s="87"/>
      <x:c r="D698" s="32"/>
      <x:c r="I698" s="74"/>
      <x:c r="J698" s="74"/>
      <x:c r="K698" s="74"/>
      <x:c r="L698" s="74"/>
      <x:c r="M698" s="91"/>
      <x:c r="N698" s="85"/>
      <x:c r="P698" s="86"/>
      <x:c r="Q698" s="32"/>
    </x:row>
    <x:row r="699">
      <x:c r="A699" s="87"/>
      <x:c r="D699" s="32"/>
      <x:c r="I699" s="74"/>
      <x:c r="J699" s="74"/>
      <x:c r="K699" s="74"/>
      <x:c r="L699" s="74"/>
      <x:c r="M699" s="91"/>
      <x:c r="N699" s="85"/>
      <x:c r="P699" s="86"/>
      <x:c r="Q699" s="32"/>
    </x:row>
    <x:row r="700">
      <x:c r="A700" s="87"/>
      <x:c r="D700" s="32"/>
      <x:c r="I700" s="74"/>
      <x:c r="J700" s="74"/>
      <x:c r="K700" s="74"/>
      <x:c r="L700" s="74"/>
      <x:c r="M700" s="91"/>
      <x:c r="N700" s="85"/>
      <x:c r="P700" s="86"/>
      <x:c r="Q700" s="32"/>
    </x:row>
    <x:row r="701">
      <x:c r="A701" s="87"/>
      <x:c r="D701" s="32"/>
      <x:c r="I701" s="74"/>
      <x:c r="J701" s="74"/>
      <x:c r="K701" s="74"/>
      <x:c r="L701" s="74"/>
      <x:c r="M701" s="91"/>
      <x:c r="N701" s="85"/>
      <x:c r="P701" s="86"/>
      <x:c r="Q701" s="32"/>
    </x:row>
    <x:row r="702">
      <x:c r="A702" s="87"/>
      <x:c r="D702" s="32"/>
      <x:c r="I702" s="74"/>
      <x:c r="J702" s="74"/>
      <x:c r="K702" s="74"/>
      <x:c r="L702" s="74"/>
      <x:c r="M702" s="91"/>
      <x:c r="N702" s="85"/>
      <x:c r="P702" s="86"/>
      <x:c r="Q702" s="32"/>
    </x:row>
    <x:row r="703">
      <x:c r="A703" s="87"/>
      <x:c r="D703" s="32"/>
      <x:c r="I703" s="74"/>
      <x:c r="J703" s="74"/>
      <x:c r="K703" s="74"/>
      <x:c r="L703" s="74"/>
      <x:c r="M703" s="91"/>
      <x:c r="N703" s="85"/>
      <x:c r="P703" s="86"/>
      <x:c r="Q703" s="32"/>
    </x:row>
    <x:row r="704">
      <x:c r="A704" s="87"/>
      <x:c r="D704" s="32"/>
      <x:c r="I704" s="74"/>
      <x:c r="J704" s="74"/>
      <x:c r="K704" s="74"/>
      <x:c r="L704" s="74"/>
      <x:c r="M704" s="91"/>
      <x:c r="N704" s="85"/>
      <x:c r="P704" s="86"/>
      <x:c r="Q704" s="32"/>
    </x:row>
    <x:row r="705">
      <x:c r="A705" s="87"/>
      <x:c r="D705" s="32"/>
      <x:c r="I705" s="74"/>
      <x:c r="J705" s="74"/>
      <x:c r="K705" s="74"/>
      <x:c r="L705" s="74"/>
      <x:c r="M705" s="91"/>
      <x:c r="N705" s="85"/>
      <x:c r="P705" s="86"/>
      <x:c r="Q705" s="32"/>
    </x:row>
    <x:row r="706">
      <x:c r="A706" s="87"/>
      <x:c r="D706" s="32"/>
      <x:c r="I706" s="74"/>
      <x:c r="J706" s="74"/>
      <x:c r="K706" s="74"/>
      <x:c r="L706" s="74"/>
      <x:c r="M706" s="91"/>
      <x:c r="N706" s="85"/>
      <x:c r="P706" s="86"/>
      <x:c r="Q706" s="32"/>
    </x:row>
    <x:row r="707">
      <x:c r="A707" s="87"/>
      <x:c r="D707" s="32"/>
      <x:c r="I707" s="74"/>
      <x:c r="J707" s="74"/>
      <x:c r="K707" s="74"/>
      <x:c r="L707" s="74"/>
      <x:c r="M707" s="91"/>
      <x:c r="N707" s="85"/>
      <x:c r="P707" s="86"/>
      <x:c r="Q707" s="32"/>
    </x:row>
    <x:row r="708">
      <x:c r="A708" s="87"/>
      <x:c r="D708" s="32"/>
      <x:c r="I708" s="74"/>
      <x:c r="J708" s="74"/>
      <x:c r="K708" s="74"/>
      <x:c r="L708" s="74"/>
      <x:c r="M708" s="91"/>
      <x:c r="N708" s="85"/>
      <x:c r="P708" s="86"/>
      <x:c r="Q708" s="32"/>
    </x:row>
    <x:row r="709">
      <x:c r="A709" s="87"/>
      <x:c r="D709" s="32"/>
      <x:c r="I709" s="74"/>
      <x:c r="J709" s="74"/>
      <x:c r="K709" s="74"/>
      <x:c r="L709" s="74"/>
      <x:c r="M709" s="91"/>
      <x:c r="N709" s="85"/>
      <x:c r="P709" s="86"/>
      <x:c r="Q709" s="32"/>
    </x:row>
    <x:row r="710">
      <x:c r="A710" s="87"/>
      <x:c r="D710" s="32"/>
      <x:c r="I710" s="74"/>
      <x:c r="J710" s="74"/>
      <x:c r="K710" s="74"/>
      <x:c r="L710" s="74"/>
      <x:c r="M710" s="91"/>
      <x:c r="N710" s="85"/>
      <x:c r="P710" s="86"/>
      <x:c r="Q710" s="32"/>
    </x:row>
    <x:row r="711">
      <x:c r="A711" s="87"/>
      <x:c r="D711" s="32"/>
      <x:c r="I711" s="74"/>
      <x:c r="J711" s="74"/>
      <x:c r="K711" s="74"/>
      <x:c r="L711" s="74"/>
      <x:c r="M711" s="91"/>
      <x:c r="N711" s="85"/>
      <x:c r="P711" s="86"/>
      <x:c r="Q711" s="32"/>
    </x:row>
    <x:row r="712">
      <x:c r="A712" s="87"/>
      <x:c r="D712" s="32"/>
      <x:c r="I712" s="74"/>
      <x:c r="J712" s="74"/>
      <x:c r="K712" s="74"/>
      <x:c r="L712" s="74"/>
      <x:c r="M712" s="91"/>
      <x:c r="N712" s="85"/>
      <x:c r="P712" s="86"/>
      <x:c r="Q712" s="32"/>
    </x:row>
    <x:row r="713">
      <x:c r="A713" s="87"/>
      <x:c r="D713" s="32"/>
      <x:c r="I713" s="74"/>
      <x:c r="J713" s="74"/>
      <x:c r="K713" s="74"/>
      <x:c r="L713" s="74"/>
      <x:c r="M713" s="91"/>
      <x:c r="N713" s="85"/>
      <x:c r="P713" s="86"/>
      <x:c r="Q713" s="32"/>
    </x:row>
    <x:row r="714">
      <x:c r="A714" s="87"/>
      <x:c r="D714" s="32"/>
      <x:c r="I714" s="74"/>
      <x:c r="J714" s="74"/>
      <x:c r="K714" s="74"/>
      <x:c r="L714" s="74"/>
      <x:c r="M714" s="91"/>
      <x:c r="N714" s="85"/>
      <x:c r="P714" s="86"/>
      <x:c r="Q714" s="32"/>
    </x:row>
    <x:row r="715">
      <x:c r="A715" s="87"/>
      <x:c r="D715" s="32"/>
      <x:c r="I715" s="74"/>
      <x:c r="J715" s="74"/>
      <x:c r="K715" s="74"/>
      <x:c r="L715" s="74"/>
      <x:c r="M715" s="91"/>
      <x:c r="N715" s="85"/>
      <x:c r="P715" s="86"/>
      <x:c r="Q715" s="32"/>
    </x:row>
    <x:row r="716">
      <x:c r="A716" s="87"/>
      <x:c r="D716" s="32"/>
      <x:c r="I716" s="74"/>
      <x:c r="J716" s="74"/>
      <x:c r="K716" s="74"/>
      <x:c r="L716" s="74"/>
      <x:c r="M716" s="91"/>
      <x:c r="N716" s="85"/>
      <x:c r="P716" s="86"/>
      <x:c r="Q716" s="32"/>
    </x:row>
    <x:row r="717">
      <x:c r="A717" s="87"/>
      <x:c r="D717" s="32"/>
      <x:c r="I717" s="74"/>
      <x:c r="J717" s="74"/>
      <x:c r="K717" s="74"/>
      <x:c r="L717" s="74"/>
      <x:c r="M717" s="91"/>
      <x:c r="N717" s="85"/>
      <x:c r="P717" s="86"/>
      <x:c r="Q717" s="32"/>
    </x:row>
    <x:row r="718">
      <x:c r="A718" s="87"/>
      <x:c r="D718" s="32"/>
      <x:c r="I718" s="74"/>
      <x:c r="J718" s="74"/>
      <x:c r="K718" s="74"/>
      <x:c r="L718" s="74"/>
      <x:c r="M718" s="91"/>
      <x:c r="N718" s="85"/>
      <x:c r="P718" s="86"/>
      <x:c r="Q718" s="32"/>
    </x:row>
    <x:row r="719">
      <x:c r="A719" s="87"/>
      <x:c r="D719" s="32"/>
      <x:c r="I719" s="74"/>
      <x:c r="J719" s="74"/>
      <x:c r="K719" s="74"/>
      <x:c r="L719" s="74"/>
      <x:c r="M719" s="91"/>
      <x:c r="N719" s="85"/>
      <x:c r="P719" s="86"/>
      <x:c r="Q719" s="32"/>
    </x:row>
    <x:row r="720">
      <x:c r="A720" s="87"/>
      <x:c r="D720" s="32"/>
      <x:c r="I720" s="74"/>
      <x:c r="J720" s="74"/>
      <x:c r="K720" s="74"/>
      <x:c r="L720" s="74"/>
      <x:c r="M720" s="91"/>
      <x:c r="N720" s="85"/>
      <x:c r="P720" s="86"/>
      <x:c r="Q720" s="32"/>
    </x:row>
    <x:row r="721">
      <x:c r="A721" s="87"/>
      <x:c r="D721" s="32"/>
      <x:c r="I721" s="74"/>
      <x:c r="J721" s="74"/>
      <x:c r="K721" s="74"/>
      <x:c r="L721" s="74"/>
      <x:c r="M721" s="91"/>
      <x:c r="N721" s="85"/>
      <x:c r="P721" s="86"/>
      <x:c r="Q721" s="32"/>
    </x:row>
    <x:row r="722">
      <x:c r="A722" s="87"/>
      <x:c r="D722" s="32"/>
      <x:c r="I722" s="74"/>
      <x:c r="J722" s="74"/>
      <x:c r="K722" s="74"/>
      <x:c r="L722" s="74"/>
      <x:c r="M722" s="91"/>
      <x:c r="N722" s="85"/>
      <x:c r="P722" s="86"/>
      <x:c r="Q722" s="32"/>
    </x:row>
    <x:row r="723">
      <x:c r="A723" s="87"/>
      <x:c r="D723" s="32"/>
      <x:c r="I723" s="74"/>
      <x:c r="J723" s="74"/>
      <x:c r="K723" s="74"/>
      <x:c r="L723" s="74"/>
      <x:c r="M723" s="91"/>
      <x:c r="N723" s="85"/>
      <x:c r="P723" s="86"/>
      <x:c r="Q723" s="32"/>
    </x:row>
    <x:row r="724">
      <x:c r="A724" s="87"/>
      <x:c r="D724" s="32"/>
      <x:c r="I724" s="74"/>
      <x:c r="J724" s="74"/>
      <x:c r="K724" s="74"/>
      <x:c r="L724" s="74"/>
      <x:c r="M724" s="91"/>
      <x:c r="N724" s="85"/>
      <x:c r="P724" s="86"/>
      <x:c r="Q724" s="32"/>
    </x:row>
    <x:row r="725">
      <x:c r="A725" s="87"/>
      <x:c r="D725" s="32"/>
      <x:c r="I725" s="74"/>
      <x:c r="J725" s="74"/>
      <x:c r="K725" s="74"/>
      <x:c r="L725" s="74"/>
      <x:c r="M725" s="91"/>
      <x:c r="N725" s="85"/>
      <x:c r="P725" s="86"/>
      <x:c r="Q725" s="32"/>
    </x:row>
    <x:row r="726">
      <x:c r="A726" s="87"/>
      <x:c r="D726" s="32"/>
      <x:c r="I726" s="74"/>
      <x:c r="J726" s="74"/>
      <x:c r="K726" s="74"/>
      <x:c r="L726" s="74"/>
      <x:c r="M726" s="91"/>
      <x:c r="N726" s="85"/>
      <x:c r="P726" s="86"/>
      <x:c r="Q726" s="32"/>
    </x:row>
    <x:row r="727">
      <x:c r="A727" s="87"/>
      <x:c r="D727" s="32"/>
      <x:c r="I727" s="74"/>
      <x:c r="J727" s="74"/>
      <x:c r="K727" s="74"/>
      <x:c r="L727" s="74"/>
      <x:c r="M727" s="91"/>
      <x:c r="N727" s="85"/>
      <x:c r="P727" s="86"/>
      <x:c r="Q727" s="32"/>
    </x:row>
    <x:row r="728">
      <x:c r="A728" s="87"/>
      <x:c r="D728" s="32"/>
      <x:c r="I728" s="74"/>
      <x:c r="J728" s="74"/>
      <x:c r="K728" s="74"/>
      <x:c r="L728" s="74"/>
      <x:c r="M728" s="91"/>
      <x:c r="N728" s="85"/>
      <x:c r="P728" s="86"/>
      <x:c r="Q728" s="32"/>
    </x:row>
    <x:row r="729">
      <x:c r="A729" s="87"/>
      <x:c r="D729" s="32"/>
      <x:c r="I729" s="74"/>
      <x:c r="J729" s="74"/>
      <x:c r="K729" s="74"/>
      <x:c r="L729" s="74"/>
      <x:c r="M729" s="91"/>
      <x:c r="N729" s="85"/>
      <x:c r="P729" s="86"/>
      <x:c r="Q729" s="32"/>
    </x:row>
    <x:row r="730">
      <x:c r="A730" s="87"/>
      <x:c r="D730" s="32"/>
      <x:c r="I730" s="74"/>
      <x:c r="J730" s="74"/>
      <x:c r="K730" s="74"/>
      <x:c r="L730" s="74"/>
      <x:c r="M730" s="91"/>
      <x:c r="N730" s="85"/>
      <x:c r="P730" s="86"/>
      <x:c r="Q730" s="32"/>
    </x:row>
    <x:row r="731">
      <x:c r="A731" s="87"/>
      <x:c r="D731" s="32"/>
      <x:c r="I731" s="74"/>
      <x:c r="J731" s="74"/>
      <x:c r="K731" s="74"/>
      <x:c r="L731" s="74"/>
      <x:c r="M731" s="91"/>
      <x:c r="N731" s="85"/>
      <x:c r="P731" s="86"/>
      <x:c r="Q731" s="32"/>
    </x:row>
    <x:row r="732">
      <x:c r="A732" s="87"/>
      <x:c r="D732" s="32"/>
      <x:c r="I732" s="74"/>
      <x:c r="J732" s="74"/>
      <x:c r="K732" s="74"/>
      <x:c r="L732" s="74"/>
      <x:c r="M732" s="91"/>
      <x:c r="N732" s="85"/>
      <x:c r="P732" s="86"/>
      <x:c r="Q732" s="32"/>
    </x:row>
    <x:row r="733">
      <x:c r="A733" s="87"/>
      <x:c r="D733" s="32"/>
      <x:c r="I733" s="74"/>
      <x:c r="J733" s="74"/>
      <x:c r="K733" s="74"/>
      <x:c r="L733" s="74"/>
      <x:c r="M733" s="91"/>
      <x:c r="N733" s="85"/>
      <x:c r="P733" s="86"/>
      <x:c r="Q733" s="32"/>
    </x:row>
    <x:row r="734">
      <x:c r="A734" s="87"/>
      <x:c r="D734" s="32"/>
      <x:c r="I734" s="74"/>
      <x:c r="J734" s="74"/>
      <x:c r="K734" s="74"/>
      <x:c r="L734" s="74"/>
      <x:c r="M734" s="91"/>
      <x:c r="N734" s="85"/>
      <x:c r="P734" s="86"/>
      <x:c r="Q734" s="32"/>
    </x:row>
    <x:row r="735">
      <x:c r="A735" s="87"/>
      <x:c r="D735" s="32"/>
      <x:c r="I735" s="74"/>
      <x:c r="J735" s="74"/>
      <x:c r="K735" s="74"/>
      <x:c r="L735" s="74"/>
      <x:c r="M735" s="91"/>
      <x:c r="N735" s="85"/>
      <x:c r="P735" s="86"/>
      <x:c r="Q735" s="32"/>
    </x:row>
    <x:row r="736">
      <x:c r="A736" s="87"/>
      <x:c r="D736" s="32"/>
      <x:c r="I736" s="74"/>
      <x:c r="J736" s="74"/>
      <x:c r="K736" s="74"/>
      <x:c r="L736" s="74"/>
      <x:c r="M736" s="91"/>
      <x:c r="N736" s="85"/>
      <x:c r="P736" s="86"/>
      <x:c r="Q736" s="32"/>
    </x:row>
    <x:row r="737">
      <x:c r="A737" s="87"/>
      <x:c r="D737" s="32"/>
      <x:c r="I737" s="74"/>
      <x:c r="J737" s="74"/>
      <x:c r="K737" s="74"/>
      <x:c r="L737" s="74"/>
      <x:c r="M737" s="91"/>
      <x:c r="N737" s="85"/>
      <x:c r="P737" s="86"/>
      <x:c r="Q737" s="32"/>
    </x:row>
    <x:row r="738">
      <x:c r="A738" s="87"/>
      <x:c r="D738" s="32"/>
      <x:c r="I738" s="74"/>
      <x:c r="J738" s="74"/>
      <x:c r="K738" s="74"/>
      <x:c r="L738" s="74"/>
      <x:c r="M738" s="91"/>
      <x:c r="N738" s="85"/>
      <x:c r="P738" s="86"/>
      <x:c r="Q738" s="32"/>
    </x:row>
    <x:row r="739">
      <x:c r="A739" s="87"/>
      <x:c r="D739" s="32"/>
      <x:c r="I739" s="74"/>
      <x:c r="J739" s="74"/>
      <x:c r="K739" s="74"/>
      <x:c r="L739" s="74"/>
      <x:c r="M739" s="91"/>
      <x:c r="N739" s="85"/>
      <x:c r="P739" s="86"/>
      <x:c r="Q739" s="32"/>
    </x:row>
    <x:row r="740">
      <x:c r="A740" s="87"/>
      <x:c r="D740" s="32"/>
      <x:c r="I740" s="74"/>
      <x:c r="J740" s="74"/>
      <x:c r="K740" s="74"/>
      <x:c r="L740" s="74"/>
      <x:c r="M740" s="91"/>
      <x:c r="N740" s="85"/>
      <x:c r="P740" s="86"/>
      <x:c r="Q740" s="32"/>
    </x:row>
    <x:row r="741">
      <x:c r="A741" s="87"/>
      <x:c r="D741" s="32"/>
      <x:c r="I741" s="74"/>
      <x:c r="J741" s="74"/>
      <x:c r="K741" s="74"/>
      <x:c r="L741" s="74"/>
      <x:c r="M741" s="91"/>
      <x:c r="N741" s="85"/>
      <x:c r="P741" s="86"/>
      <x:c r="Q741" s="32"/>
    </x:row>
    <x:row r="742">
      <x:c r="A742" s="87"/>
      <x:c r="D742" s="32"/>
      <x:c r="I742" s="74"/>
      <x:c r="J742" s="74"/>
      <x:c r="K742" s="74"/>
      <x:c r="L742" s="74"/>
      <x:c r="M742" s="91"/>
      <x:c r="N742" s="85"/>
      <x:c r="P742" s="86"/>
      <x:c r="Q742" s="32"/>
    </x:row>
    <x:row r="743">
      <x:c r="A743" s="87"/>
      <x:c r="D743" s="32"/>
      <x:c r="I743" s="74"/>
      <x:c r="J743" s="74"/>
      <x:c r="K743" s="74"/>
      <x:c r="L743" s="74"/>
      <x:c r="M743" s="91"/>
      <x:c r="N743" s="85"/>
      <x:c r="P743" s="86"/>
      <x:c r="Q743" s="32"/>
    </x:row>
    <x:row r="744">
      <x:c r="A744" s="87"/>
      <x:c r="D744" s="32"/>
      <x:c r="I744" s="74"/>
      <x:c r="J744" s="74"/>
      <x:c r="K744" s="74"/>
      <x:c r="L744" s="74"/>
      <x:c r="M744" s="91"/>
      <x:c r="N744" s="85"/>
      <x:c r="P744" s="86"/>
      <x:c r="Q744" s="32"/>
    </x:row>
    <x:row r="745">
      <x:c r="A745" s="87"/>
      <x:c r="D745" s="32"/>
      <x:c r="I745" s="74"/>
      <x:c r="J745" s="74"/>
      <x:c r="K745" s="74"/>
      <x:c r="L745" s="74"/>
      <x:c r="M745" s="91"/>
      <x:c r="N745" s="85"/>
      <x:c r="P745" s="86"/>
      <x:c r="Q745" s="32"/>
    </x:row>
    <x:row r="746">
      <x:c r="A746" s="87"/>
      <x:c r="D746" s="32"/>
      <x:c r="I746" s="74"/>
      <x:c r="J746" s="74"/>
      <x:c r="K746" s="74"/>
      <x:c r="L746" s="74"/>
      <x:c r="M746" s="91"/>
      <x:c r="N746" s="85"/>
      <x:c r="P746" s="86"/>
      <x:c r="Q746" s="32"/>
    </x:row>
    <x:row r="747">
      <x:c r="A747" s="87"/>
      <x:c r="D747" s="32"/>
      <x:c r="I747" s="74"/>
      <x:c r="J747" s="74"/>
      <x:c r="K747" s="74"/>
      <x:c r="L747" s="74"/>
      <x:c r="M747" s="91"/>
      <x:c r="N747" s="85"/>
      <x:c r="P747" s="86"/>
      <x:c r="Q747" s="32"/>
    </x:row>
    <x:row r="748">
      <x:c r="A748" s="87"/>
      <x:c r="D748" s="32"/>
      <x:c r="I748" s="74"/>
      <x:c r="J748" s="74"/>
      <x:c r="K748" s="74"/>
      <x:c r="L748" s="74"/>
      <x:c r="M748" s="91"/>
      <x:c r="N748" s="85"/>
      <x:c r="P748" s="86"/>
      <x:c r="Q748" s="32"/>
    </x:row>
    <x:row r="749">
      <x:c r="A749" s="87"/>
      <x:c r="D749" s="32"/>
      <x:c r="I749" s="74"/>
      <x:c r="J749" s="74"/>
      <x:c r="K749" s="74"/>
      <x:c r="L749" s="74"/>
      <x:c r="M749" s="91"/>
      <x:c r="N749" s="85"/>
      <x:c r="P749" s="86"/>
      <x:c r="Q749" s="32"/>
    </x:row>
    <x:row r="750">
      <x:c r="A750" s="87"/>
      <x:c r="D750" s="32"/>
      <x:c r="I750" s="74"/>
      <x:c r="J750" s="74"/>
      <x:c r="K750" s="74"/>
      <x:c r="L750" s="74"/>
      <x:c r="M750" s="91"/>
      <x:c r="N750" s="85"/>
      <x:c r="P750" s="86"/>
      <x:c r="Q750" s="32"/>
    </x:row>
    <x:row r="751">
      <x:c r="A751" s="87"/>
      <x:c r="D751" s="32"/>
      <x:c r="I751" s="74"/>
      <x:c r="J751" s="74"/>
      <x:c r="K751" s="74"/>
      <x:c r="L751" s="74"/>
      <x:c r="M751" s="91"/>
      <x:c r="N751" s="85"/>
      <x:c r="P751" s="86"/>
      <x:c r="Q751" s="32"/>
    </x:row>
    <x:row r="752">
      <x:c r="A752" s="87"/>
      <x:c r="D752" s="32"/>
      <x:c r="I752" s="74"/>
      <x:c r="J752" s="74"/>
      <x:c r="K752" s="74"/>
      <x:c r="L752" s="74"/>
      <x:c r="M752" s="91"/>
      <x:c r="N752" s="85"/>
      <x:c r="P752" s="86"/>
      <x:c r="Q752" s="32"/>
    </x:row>
    <x:row r="753">
      <x:c r="A753" s="87"/>
      <x:c r="D753" s="32"/>
      <x:c r="I753" s="74"/>
      <x:c r="J753" s="74"/>
      <x:c r="K753" s="74"/>
      <x:c r="L753" s="74"/>
      <x:c r="M753" s="91"/>
      <x:c r="N753" s="85"/>
      <x:c r="P753" s="86"/>
      <x:c r="Q753" s="32"/>
    </x:row>
    <x:row r="754">
      <x:c r="A754" s="87"/>
      <x:c r="D754" s="32"/>
      <x:c r="I754" s="74"/>
      <x:c r="J754" s="74"/>
      <x:c r="K754" s="74"/>
      <x:c r="L754" s="74"/>
      <x:c r="M754" s="91"/>
      <x:c r="N754" s="85"/>
      <x:c r="P754" s="86"/>
      <x:c r="Q754" s="32"/>
    </x:row>
    <x:row r="755">
      <x:c r="A755" s="87"/>
      <x:c r="D755" s="32"/>
      <x:c r="I755" s="74"/>
      <x:c r="J755" s="74"/>
      <x:c r="K755" s="74"/>
      <x:c r="L755" s="74"/>
      <x:c r="M755" s="91"/>
      <x:c r="N755" s="85"/>
      <x:c r="P755" s="86"/>
      <x:c r="Q755" s="32"/>
    </x:row>
    <x:row r="756">
      <x:c r="A756" s="87"/>
      <x:c r="D756" s="32"/>
      <x:c r="I756" s="74"/>
      <x:c r="J756" s="74"/>
      <x:c r="K756" s="74"/>
      <x:c r="L756" s="74"/>
      <x:c r="M756" s="91"/>
      <x:c r="N756" s="85"/>
      <x:c r="P756" s="86"/>
      <x:c r="Q756" s="32"/>
    </x:row>
    <x:row r="757">
      <x:c r="A757" s="87"/>
      <x:c r="D757" s="32"/>
      <x:c r="I757" s="74"/>
      <x:c r="J757" s="74"/>
      <x:c r="K757" s="74"/>
      <x:c r="L757" s="74"/>
      <x:c r="M757" s="91"/>
      <x:c r="N757" s="85"/>
      <x:c r="P757" s="86"/>
      <x:c r="Q757" s="32"/>
    </x:row>
    <x:row r="758">
      <x:c r="A758" s="87"/>
      <x:c r="D758" s="32"/>
      <x:c r="I758" s="74"/>
      <x:c r="J758" s="74"/>
      <x:c r="K758" s="74"/>
      <x:c r="L758" s="74"/>
      <x:c r="M758" s="91"/>
      <x:c r="N758" s="85"/>
      <x:c r="P758" s="86"/>
      <x:c r="Q758" s="32"/>
    </x:row>
    <x:row r="759">
      <x:c r="A759" s="87"/>
      <x:c r="D759" s="32"/>
      <x:c r="I759" s="74"/>
      <x:c r="J759" s="74"/>
      <x:c r="K759" s="74"/>
      <x:c r="L759" s="74"/>
      <x:c r="M759" s="91"/>
      <x:c r="N759" s="85"/>
      <x:c r="P759" s="86"/>
      <x:c r="Q759" s="32"/>
    </x:row>
    <x:row r="760">
      <x:c r="A760" s="87"/>
      <x:c r="D760" s="32"/>
      <x:c r="I760" s="74"/>
      <x:c r="J760" s="74"/>
      <x:c r="K760" s="74"/>
      <x:c r="L760" s="74"/>
      <x:c r="M760" s="91"/>
      <x:c r="N760" s="85"/>
      <x:c r="P760" s="86"/>
      <x:c r="Q760" s="32"/>
    </x:row>
    <x:row r="761">
      <x:c r="A761" s="87"/>
      <x:c r="D761" s="32"/>
      <x:c r="I761" s="74"/>
      <x:c r="J761" s="74"/>
      <x:c r="K761" s="74"/>
      <x:c r="L761" s="74"/>
      <x:c r="M761" s="91"/>
      <x:c r="N761" s="85"/>
      <x:c r="P761" s="86"/>
      <x:c r="Q761" s="32"/>
    </x:row>
    <x:row r="762">
      <x:c r="A762" s="87"/>
      <x:c r="D762" s="32"/>
      <x:c r="I762" s="74"/>
      <x:c r="J762" s="74"/>
      <x:c r="K762" s="74"/>
      <x:c r="L762" s="74"/>
      <x:c r="M762" s="91"/>
      <x:c r="N762" s="85"/>
      <x:c r="P762" s="86"/>
      <x:c r="Q762" s="32"/>
    </x:row>
    <x:row r="763">
      <x:c r="A763" s="87"/>
      <x:c r="D763" s="32"/>
      <x:c r="I763" s="74"/>
      <x:c r="J763" s="74"/>
      <x:c r="K763" s="74"/>
      <x:c r="L763" s="74"/>
      <x:c r="M763" s="91"/>
      <x:c r="N763" s="85"/>
      <x:c r="P763" s="86"/>
      <x:c r="Q763" s="32"/>
    </x:row>
    <x:row r="764">
      <x:c r="A764" s="87"/>
      <x:c r="D764" s="32"/>
      <x:c r="I764" s="74"/>
      <x:c r="J764" s="74"/>
      <x:c r="K764" s="74"/>
      <x:c r="L764" s="74"/>
      <x:c r="M764" s="91"/>
      <x:c r="N764" s="85"/>
      <x:c r="P764" s="86"/>
      <x:c r="Q764" s="32"/>
    </x:row>
    <x:row r="765">
      <x:c r="A765" s="87"/>
      <x:c r="D765" s="32"/>
      <x:c r="I765" s="74"/>
      <x:c r="J765" s="74"/>
      <x:c r="K765" s="74"/>
      <x:c r="L765" s="74"/>
      <x:c r="M765" s="91"/>
      <x:c r="N765" s="85"/>
      <x:c r="P765" s="86"/>
      <x:c r="Q765" s="32"/>
    </x:row>
    <x:row r="766">
      <x:c r="A766" s="87"/>
      <x:c r="D766" s="32"/>
      <x:c r="I766" s="74"/>
      <x:c r="J766" s="74"/>
      <x:c r="K766" s="74"/>
      <x:c r="L766" s="74"/>
      <x:c r="M766" s="91"/>
      <x:c r="N766" s="85"/>
      <x:c r="P766" s="86"/>
      <x:c r="Q766" s="32"/>
    </x:row>
    <x:row r="767">
      <x:c r="A767" s="87"/>
      <x:c r="D767" s="32"/>
      <x:c r="I767" s="74"/>
      <x:c r="J767" s="74"/>
      <x:c r="K767" s="74"/>
      <x:c r="L767" s="74"/>
      <x:c r="M767" s="91"/>
      <x:c r="N767" s="85"/>
      <x:c r="P767" s="86"/>
      <x:c r="Q767" s="32"/>
    </x:row>
    <x:row r="768">
      <x:c r="A768" s="87"/>
      <x:c r="D768" s="32"/>
      <x:c r="I768" s="74"/>
      <x:c r="J768" s="74"/>
      <x:c r="K768" s="74"/>
      <x:c r="L768" s="74"/>
      <x:c r="M768" s="91"/>
      <x:c r="N768" s="85"/>
      <x:c r="P768" s="86"/>
      <x:c r="Q768" s="32"/>
    </x:row>
    <x:row r="769">
      <x:c r="A769" s="87"/>
      <x:c r="D769" s="32"/>
      <x:c r="I769" s="74"/>
      <x:c r="J769" s="74"/>
      <x:c r="K769" s="74"/>
      <x:c r="L769" s="74"/>
      <x:c r="M769" s="91"/>
      <x:c r="N769" s="85"/>
      <x:c r="P769" s="86"/>
      <x:c r="Q769" s="32"/>
    </x:row>
    <x:row r="770">
      <x:c r="A770" s="87"/>
      <x:c r="D770" s="32"/>
      <x:c r="I770" s="74"/>
      <x:c r="J770" s="74"/>
      <x:c r="K770" s="74"/>
      <x:c r="L770" s="74"/>
      <x:c r="M770" s="91"/>
      <x:c r="N770" s="85"/>
      <x:c r="P770" s="86"/>
      <x:c r="Q770" s="32"/>
    </x:row>
    <x:row r="771">
      <x:c r="A771" s="87"/>
      <x:c r="D771" s="32"/>
      <x:c r="I771" s="74"/>
      <x:c r="J771" s="74"/>
      <x:c r="K771" s="74"/>
      <x:c r="L771" s="74"/>
      <x:c r="M771" s="91"/>
      <x:c r="N771" s="85"/>
      <x:c r="P771" s="86"/>
      <x:c r="Q771" s="32"/>
    </x:row>
    <x:row r="772">
      <x:c r="A772" s="87"/>
      <x:c r="D772" s="32"/>
      <x:c r="I772" s="74"/>
      <x:c r="J772" s="74"/>
      <x:c r="K772" s="74"/>
      <x:c r="L772" s="74"/>
      <x:c r="M772" s="91"/>
      <x:c r="N772" s="85"/>
      <x:c r="P772" s="86"/>
      <x:c r="Q772" s="32"/>
    </x:row>
    <x:row r="773">
      <x:c r="A773" s="87"/>
      <x:c r="D773" s="32"/>
      <x:c r="I773" s="74"/>
      <x:c r="J773" s="74"/>
      <x:c r="K773" s="74"/>
      <x:c r="L773" s="74"/>
      <x:c r="M773" s="91"/>
      <x:c r="N773" s="85"/>
      <x:c r="P773" s="86"/>
      <x:c r="Q773" s="32"/>
    </x:row>
    <x:row r="774">
      <x:c r="A774" s="87"/>
      <x:c r="D774" s="32"/>
      <x:c r="I774" s="74"/>
      <x:c r="J774" s="74"/>
      <x:c r="K774" s="74"/>
      <x:c r="L774" s="74"/>
      <x:c r="M774" s="91"/>
      <x:c r="N774" s="85"/>
      <x:c r="P774" s="86"/>
      <x:c r="Q774" s="32"/>
    </x:row>
    <x:row r="775">
      <x:c r="A775" s="87"/>
      <x:c r="D775" s="32"/>
      <x:c r="I775" s="74"/>
      <x:c r="J775" s="74"/>
      <x:c r="K775" s="74"/>
      <x:c r="L775" s="74"/>
      <x:c r="M775" s="91"/>
      <x:c r="N775" s="85"/>
      <x:c r="P775" s="86"/>
      <x:c r="Q775" s="32"/>
    </x:row>
    <x:row r="776">
      <x:c r="A776" s="87"/>
      <x:c r="D776" s="32"/>
      <x:c r="I776" s="74"/>
      <x:c r="J776" s="74"/>
      <x:c r="K776" s="74"/>
      <x:c r="L776" s="74"/>
      <x:c r="M776" s="91"/>
      <x:c r="N776" s="85"/>
      <x:c r="P776" s="86"/>
      <x:c r="Q776" s="32"/>
    </x:row>
    <x:row r="777">
      <x:c r="A777" s="87"/>
      <x:c r="D777" s="32"/>
      <x:c r="I777" s="74"/>
      <x:c r="J777" s="74"/>
      <x:c r="K777" s="74"/>
      <x:c r="L777" s="74"/>
      <x:c r="M777" s="91"/>
      <x:c r="N777" s="85"/>
      <x:c r="P777" s="86"/>
      <x:c r="Q777" s="32"/>
    </x:row>
    <x:row r="778">
      <x:c r="A778" s="87"/>
      <x:c r="D778" s="32"/>
      <x:c r="I778" s="74"/>
      <x:c r="J778" s="74"/>
      <x:c r="K778" s="74"/>
      <x:c r="L778" s="74"/>
      <x:c r="M778" s="91"/>
      <x:c r="N778" s="85"/>
      <x:c r="P778" s="86"/>
      <x:c r="Q778" s="32"/>
    </x:row>
    <x:row r="779">
      <x:c r="A779" s="87"/>
      <x:c r="D779" s="32"/>
      <x:c r="I779" s="74"/>
      <x:c r="J779" s="74"/>
      <x:c r="K779" s="74"/>
      <x:c r="L779" s="74"/>
      <x:c r="M779" s="91"/>
      <x:c r="N779" s="85"/>
      <x:c r="P779" s="86"/>
      <x:c r="Q779" s="32"/>
    </x:row>
    <x:row r="780">
      <x:c r="A780" s="87"/>
      <x:c r="D780" s="32"/>
      <x:c r="I780" s="74"/>
      <x:c r="J780" s="74"/>
      <x:c r="K780" s="74"/>
      <x:c r="L780" s="74"/>
      <x:c r="M780" s="91"/>
      <x:c r="N780" s="85"/>
      <x:c r="P780" s="86"/>
      <x:c r="Q780" s="32"/>
    </x:row>
    <x:row r="781">
      <x:c r="A781" s="87"/>
      <x:c r="D781" s="32"/>
      <x:c r="I781" s="74"/>
      <x:c r="J781" s="74"/>
      <x:c r="K781" s="74"/>
      <x:c r="L781" s="74"/>
      <x:c r="M781" s="91"/>
      <x:c r="N781" s="85"/>
      <x:c r="P781" s="86"/>
      <x:c r="Q781" s="32"/>
    </x:row>
    <x:row r="782">
      <x:c r="A782" s="87"/>
      <x:c r="D782" s="32"/>
      <x:c r="I782" s="74"/>
      <x:c r="J782" s="74"/>
      <x:c r="K782" s="74"/>
      <x:c r="L782" s="74"/>
      <x:c r="M782" s="91"/>
      <x:c r="N782" s="85"/>
      <x:c r="P782" s="86"/>
      <x:c r="Q782" s="32"/>
    </x:row>
    <x:row r="783">
      <x:c r="A783" s="87"/>
      <x:c r="D783" s="32"/>
      <x:c r="I783" s="74"/>
      <x:c r="J783" s="74"/>
      <x:c r="K783" s="74"/>
      <x:c r="L783" s="74"/>
      <x:c r="M783" s="91"/>
      <x:c r="N783" s="85"/>
      <x:c r="P783" s="86"/>
      <x:c r="Q783" s="32"/>
    </x:row>
    <x:row r="784">
      <x:c r="A784" s="87"/>
      <x:c r="D784" s="32"/>
      <x:c r="I784" s="74"/>
      <x:c r="J784" s="74"/>
      <x:c r="K784" s="74"/>
      <x:c r="L784" s="74"/>
      <x:c r="M784" s="91"/>
      <x:c r="N784" s="85"/>
      <x:c r="P784" s="86"/>
      <x:c r="Q784" s="32"/>
    </x:row>
    <x:row r="785">
      <x:c r="A785" s="87"/>
      <x:c r="D785" s="32"/>
      <x:c r="I785" s="74"/>
      <x:c r="J785" s="74"/>
      <x:c r="K785" s="74"/>
      <x:c r="L785" s="74"/>
      <x:c r="M785" s="91"/>
      <x:c r="N785" s="85"/>
      <x:c r="P785" s="86"/>
      <x:c r="Q785" s="32"/>
    </x:row>
    <x:row r="786">
      <x:c r="A786" s="87"/>
      <x:c r="D786" s="32"/>
      <x:c r="I786" s="74"/>
      <x:c r="J786" s="74"/>
      <x:c r="K786" s="74"/>
      <x:c r="L786" s="74"/>
      <x:c r="M786" s="91"/>
      <x:c r="N786" s="85"/>
      <x:c r="P786" s="86"/>
      <x:c r="Q786" s="32"/>
    </x:row>
    <x:row r="787">
      <x:c r="A787" s="87"/>
      <x:c r="D787" s="32"/>
      <x:c r="I787" s="74"/>
      <x:c r="J787" s="74"/>
      <x:c r="K787" s="74"/>
      <x:c r="L787" s="74"/>
      <x:c r="M787" s="91"/>
      <x:c r="N787" s="85"/>
      <x:c r="P787" s="86"/>
      <x:c r="Q787" s="32"/>
    </x:row>
    <x:row r="788">
      <x:c r="A788" s="87"/>
      <x:c r="D788" s="32"/>
      <x:c r="I788" s="74"/>
      <x:c r="J788" s="74"/>
      <x:c r="K788" s="74"/>
      <x:c r="L788" s="74"/>
      <x:c r="M788" s="91"/>
      <x:c r="N788" s="85"/>
      <x:c r="P788" s="86"/>
      <x:c r="Q788" s="32"/>
    </x:row>
    <x:row r="789">
      <x:c r="A789" s="87"/>
      <x:c r="D789" s="32"/>
      <x:c r="I789" s="74"/>
      <x:c r="J789" s="74"/>
      <x:c r="K789" s="74"/>
      <x:c r="L789" s="74"/>
      <x:c r="M789" s="91"/>
      <x:c r="N789" s="85"/>
      <x:c r="P789" s="86"/>
      <x:c r="Q789" s="32"/>
    </x:row>
    <x:row r="790">
      <x:c r="A790" s="87"/>
      <x:c r="D790" s="32"/>
      <x:c r="I790" s="74"/>
      <x:c r="J790" s="74"/>
      <x:c r="K790" s="74"/>
      <x:c r="L790" s="74"/>
      <x:c r="M790" s="91"/>
      <x:c r="N790" s="85"/>
      <x:c r="P790" s="86"/>
      <x:c r="Q790" s="32"/>
    </x:row>
    <x:row r="791">
      <x:c r="A791" s="87"/>
      <x:c r="D791" s="32"/>
      <x:c r="I791" s="74"/>
      <x:c r="J791" s="74"/>
      <x:c r="K791" s="74"/>
      <x:c r="L791" s="74"/>
      <x:c r="M791" s="91"/>
      <x:c r="N791" s="85"/>
      <x:c r="P791" s="86"/>
      <x:c r="Q791" s="32"/>
    </x:row>
    <x:row r="792">
      <x:c r="A792" s="87"/>
      <x:c r="D792" s="32"/>
      <x:c r="I792" s="74"/>
      <x:c r="J792" s="74"/>
      <x:c r="K792" s="74"/>
      <x:c r="L792" s="74"/>
      <x:c r="M792" s="91"/>
      <x:c r="N792" s="85"/>
      <x:c r="P792" s="86"/>
      <x:c r="Q792" s="32"/>
    </x:row>
    <x:row r="793">
      <x:c r="A793" s="87"/>
      <x:c r="D793" s="32"/>
      <x:c r="I793" s="74"/>
      <x:c r="J793" s="74"/>
      <x:c r="K793" s="74"/>
      <x:c r="L793" s="74"/>
      <x:c r="M793" s="91"/>
      <x:c r="N793" s="85"/>
      <x:c r="P793" s="86"/>
      <x:c r="Q793" s="32"/>
    </x:row>
    <x:row r="794">
      <x:c r="A794" s="87"/>
      <x:c r="D794" s="32"/>
      <x:c r="I794" s="74"/>
      <x:c r="J794" s="74"/>
      <x:c r="K794" s="74"/>
      <x:c r="L794" s="74"/>
      <x:c r="M794" s="91"/>
      <x:c r="N794" s="85"/>
      <x:c r="P794" s="86"/>
      <x:c r="Q794" s="32"/>
    </x:row>
    <x:row r="795">
      <x:c r="A795" s="87"/>
      <x:c r="D795" s="32"/>
      <x:c r="I795" s="74"/>
      <x:c r="J795" s="74"/>
      <x:c r="K795" s="74"/>
      <x:c r="L795" s="74"/>
      <x:c r="M795" s="91"/>
      <x:c r="N795" s="85"/>
      <x:c r="P795" s="86"/>
      <x:c r="Q795" s="32"/>
    </x:row>
    <x:row r="796">
      <x:c r="A796" s="87"/>
      <x:c r="D796" s="32"/>
      <x:c r="I796" s="74"/>
      <x:c r="J796" s="74"/>
      <x:c r="K796" s="74"/>
      <x:c r="L796" s="74"/>
      <x:c r="M796" s="91"/>
      <x:c r="N796" s="85"/>
      <x:c r="P796" s="86"/>
      <x:c r="Q796" s="32"/>
    </x:row>
    <x:row r="797">
      <x:c r="A797" s="87"/>
      <x:c r="D797" s="32"/>
      <x:c r="I797" s="74"/>
      <x:c r="J797" s="74"/>
      <x:c r="K797" s="74"/>
      <x:c r="L797" s="74"/>
      <x:c r="M797" s="91"/>
      <x:c r="N797" s="85"/>
      <x:c r="P797" s="86"/>
      <x:c r="Q797" s="32"/>
    </x:row>
    <x:row r="798">
      <x:c r="A798" s="87"/>
      <x:c r="D798" s="32"/>
      <x:c r="I798" s="74"/>
      <x:c r="J798" s="74"/>
      <x:c r="K798" s="74"/>
      <x:c r="L798" s="74"/>
      <x:c r="M798" s="91"/>
      <x:c r="N798" s="85"/>
      <x:c r="P798" s="86"/>
      <x:c r="Q798" s="32"/>
    </x:row>
    <x:row r="799">
      <x:c r="A799" s="87"/>
      <x:c r="D799" s="32"/>
      <x:c r="I799" s="74"/>
      <x:c r="J799" s="74"/>
      <x:c r="K799" s="74"/>
      <x:c r="L799" s="74"/>
      <x:c r="M799" s="91"/>
      <x:c r="N799" s="85"/>
      <x:c r="P799" s="86"/>
      <x:c r="Q799" s="32"/>
    </x:row>
    <x:row r="800">
      <x:c r="A800" s="87"/>
      <x:c r="D800" s="32"/>
      <x:c r="I800" s="74"/>
      <x:c r="J800" s="74"/>
      <x:c r="K800" s="74"/>
      <x:c r="L800" s="74"/>
      <x:c r="M800" s="91"/>
      <x:c r="N800" s="85"/>
      <x:c r="P800" s="86"/>
      <x:c r="Q800" s="32"/>
    </x:row>
    <x:row r="801">
      <x:c r="A801" s="87"/>
      <x:c r="D801" s="32"/>
      <x:c r="I801" s="74"/>
      <x:c r="J801" s="74"/>
      <x:c r="K801" s="74"/>
      <x:c r="L801" s="74"/>
      <x:c r="M801" s="91"/>
      <x:c r="N801" s="85"/>
      <x:c r="P801" s="86"/>
      <x:c r="Q801" s="32"/>
    </x:row>
    <x:row r="802">
      <x:c r="A802" s="87"/>
      <x:c r="D802" s="32"/>
      <x:c r="I802" s="74"/>
      <x:c r="J802" s="74"/>
      <x:c r="K802" s="74"/>
      <x:c r="L802" s="74"/>
      <x:c r="M802" s="91"/>
      <x:c r="N802" s="85"/>
      <x:c r="P802" s="86"/>
      <x:c r="Q802" s="32"/>
    </x:row>
    <x:row r="803">
      <x:c r="A803" s="87"/>
      <x:c r="D803" s="32"/>
      <x:c r="I803" s="74"/>
      <x:c r="J803" s="74"/>
      <x:c r="K803" s="74"/>
      <x:c r="L803" s="74"/>
      <x:c r="M803" s="91"/>
      <x:c r="N803" s="85"/>
      <x:c r="P803" s="86"/>
      <x:c r="Q803" s="32"/>
    </x:row>
    <x:row r="804">
      <x:c r="A804" s="87"/>
      <x:c r="D804" s="32"/>
      <x:c r="I804" s="74"/>
      <x:c r="J804" s="74"/>
      <x:c r="K804" s="74"/>
      <x:c r="L804" s="74"/>
      <x:c r="M804" s="91"/>
      <x:c r="N804" s="85"/>
      <x:c r="P804" s="86"/>
      <x:c r="Q804" s="32"/>
    </x:row>
    <x:row r="805">
      <x:c r="A805" s="87"/>
      <x:c r="D805" s="32"/>
      <x:c r="I805" s="74"/>
      <x:c r="J805" s="74"/>
      <x:c r="K805" s="74"/>
      <x:c r="L805" s="74"/>
      <x:c r="M805" s="91"/>
      <x:c r="N805" s="85"/>
      <x:c r="P805" s="86"/>
      <x:c r="Q805" s="32"/>
    </x:row>
    <x:row r="806">
      <x:c r="A806" s="87"/>
      <x:c r="D806" s="32"/>
      <x:c r="I806" s="74"/>
      <x:c r="J806" s="74"/>
      <x:c r="K806" s="74"/>
      <x:c r="L806" s="74"/>
      <x:c r="M806" s="91"/>
      <x:c r="N806" s="85"/>
      <x:c r="P806" s="86"/>
      <x:c r="Q806" s="32"/>
    </x:row>
    <x:row r="807">
      <x:c r="A807" s="87"/>
      <x:c r="D807" s="32"/>
      <x:c r="I807" s="74"/>
      <x:c r="J807" s="74"/>
      <x:c r="K807" s="74"/>
      <x:c r="L807" s="74"/>
      <x:c r="M807" s="91"/>
      <x:c r="N807" s="85"/>
      <x:c r="P807" s="86"/>
      <x:c r="Q807" s="32"/>
    </x:row>
    <x:row r="808">
      <x:c r="A808" s="87"/>
      <x:c r="D808" s="32"/>
      <x:c r="I808" s="74"/>
      <x:c r="J808" s="74"/>
      <x:c r="K808" s="74"/>
      <x:c r="L808" s="74"/>
      <x:c r="M808" s="91"/>
      <x:c r="N808" s="85"/>
      <x:c r="P808" s="86"/>
      <x:c r="Q808" s="32"/>
    </x:row>
    <x:row r="809">
      <x:c r="A809" s="87"/>
      <x:c r="D809" s="32"/>
      <x:c r="I809" s="74"/>
      <x:c r="J809" s="74"/>
      <x:c r="K809" s="74"/>
      <x:c r="L809" s="74"/>
      <x:c r="M809" s="91"/>
      <x:c r="N809" s="85"/>
      <x:c r="P809" s="86"/>
      <x:c r="Q809" s="32"/>
    </x:row>
    <x:row r="810">
      <x:c r="A810" s="87"/>
      <x:c r="D810" s="32"/>
      <x:c r="I810" s="74"/>
      <x:c r="J810" s="74"/>
      <x:c r="K810" s="74"/>
      <x:c r="L810" s="74"/>
      <x:c r="M810" s="91"/>
      <x:c r="N810" s="85"/>
      <x:c r="P810" s="86"/>
      <x:c r="Q810" s="32"/>
    </x:row>
    <x:row r="811">
      <x:c r="A811" s="87"/>
      <x:c r="D811" s="32"/>
      <x:c r="I811" s="74"/>
      <x:c r="J811" s="74"/>
      <x:c r="K811" s="74"/>
      <x:c r="L811" s="74"/>
      <x:c r="M811" s="91"/>
      <x:c r="N811" s="85"/>
      <x:c r="P811" s="86"/>
      <x:c r="Q811" s="32"/>
    </x:row>
    <x:row r="812">
      <x:c r="A812" s="87"/>
      <x:c r="D812" s="32"/>
      <x:c r="I812" s="74"/>
      <x:c r="J812" s="74"/>
      <x:c r="K812" s="74"/>
      <x:c r="L812" s="74"/>
      <x:c r="M812" s="91"/>
      <x:c r="N812" s="85"/>
      <x:c r="P812" s="86"/>
      <x:c r="Q812" s="32"/>
    </x:row>
    <x:row r="813">
      <x:c r="A813" s="87"/>
      <x:c r="D813" s="32"/>
      <x:c r="I813" s="74"/>
      <x:c r="J813" s="74"/>
      <x:c r="K813" s="74"/>
      <x:c r="L813" s="74"/>
      <x:c r="M813" s="91"/>
      <x:c r="N813" s="85"/>
      <x:c r="P813" s="86"/>
      <x:c r="Q813" s="32"/>
    </x:row>
    <x:row r="814">
      <x:c r="A814" s="87"/>
      <x:c r="D814" s="32"/>
      <x:c r="I814" s="74"/>
      <x:c r="J814" s="74"/>
      <x:c r="K814" s="74"/>
      <x:c r="L814" s="74"/>
      <x:c r="M814" s="91"/>
      <x:c r="N814" s="85"/>
      <x:c r="P814" s="86"/>
      <x:c r="Q814" s="32"/>
    </x:row>
    <x:row r="815">
      <x:c r="A815" s="87"/>
      <x:c r="D815" s="32"/>
      <x:c r="I815" s="74"/>
      <x:c r="J815" s="74"/>
      <x:c r="K815" s="74"/>
      <x:c r="L815" s="74"/>
      <x:c r="M815" s="91"/>
      <x:c r="N815" s="85"/>
      <x:c r="P815" s="86"/>
      <x:c r="Q815" s="32"/>
    </x:row>
    <x:row r="816">
      <x:c r="A816" s="87"/>
      <x:c r="D816" s="32"/>
      <x:c r="I816" s="74"/>
      <x:c r="J816" s="74"/>
      <x:c r="K816" s="74"/>
      <x:c r="L816" s="74"/>
      <x:c r="M816" s="91"/>
      <x:c r="N816" s="85"/>
      <x:c r="P816" s="86"/>
      <x:c r="Q816" s="32"/>
    </x:row>
    <x:row r="817">
      <x:c r="A817" s="87"/>
      <x:c r="D817" s="32"/>
      <x:c r="I817" s="74"/>
      <x:c r="J817" s="74"/>
      <x:c r="K817" s="74"/>
      <x:c r="L817" s="74"/>
      <x:c r="M817" s="91"/>
      <x:c r="N817" s="85"/>
      <x:c r="P817" s="86"/>
      <x:c r="Q817" s="32"/>
    </x:row>
    <x:row r="818">
      <x:c r="A818" s="87"/>
      <x:c r="D818" s="32"/>
      <x:c r="I818" s="74"/>
      <x:c r="J818" s="74"/>
      <x:c r="K818" s="74"/>
      <x:c r="L818" s="74"/>
      <x:c r="M818" s="91"/>
      <x:c r="N818" s="85"/>
      <x:c r="P818" s="86"/>
      <x:c r="Q818" s="32"/>
    </x:row>
    <x:row r="819">
      <x:c r="A819" s="87"/>
      <x:c r="D819" s="32"/>
      <x:c r="I819" s="74"/>
      <x:c r="J819" s="74"/>
      <x:c r="K819" s="74"/>
      <x:c r="L819" s="74"/>
      <x:c r="M819" s="91"/>
      <x:c r="N819" s="85"/>
      <x:c r="P819" s="86"/>
      <x:c r="Q819" s="32"/>
    </x:row>
    <x:row r="820">
      <x:c r="A820" s="87"/>
      <x:c r="D820" s="32"/>
      <x:c r="I820" s="74"/>
      <x:c r="J820" s="74"/>
      <x:c r="K820" s="74"/>
      <x:c r="L820" s="74"/>
      <x:c r="M820" s="91"/>
      <x:c r="N820" s="85"/>
      <x:c r="P820" s="86"/>
      <x:c r="Q820" s="32"/>
    </x:row>
    <x:row r="821">
      <x:c r="A821" s="87"/>
      <x:c r="D821" s="32"/>
      <x:c r="I821" s="74"/>
      <x:c r="J821" s="74"/>
      <x:c r="K821" s="74"/>
      <x:c r="L821" s="74"/>
      <x:c r="M821" s="91"/>
      <x:c r="N821" s="85"/>
      <x:c r="P821" s="86"/>
      <x:c r="Q821" s="32"/>
    </x:row>
    <x:row r="822">
      <x:c r="A822" s="87"/>
      <x:c r="D822" s="32"/>
      <x:c r="I822" s="74"/>
      <x:c r="J822" s="74"/>
      <x:c r="K822" s="74"/>
      <x:c r="L822" s="74"/>
      <x:c r="M822" s="91"/>
      <x:c r="N822" s="85"/>
      <x:c r="P822" s="86"/>
      <x:c r="Q822" s="32"/>
    </x:row>
    <x:row r="823">
      <x:c r="A823" s="87"/>
      <x:c r="D823" s="32"/>
      <x:c r="I823" s="74"/>
      <x:c r="J823" s="74"/>
      <x:c r="K823" s="74"/>
      <x:c r="L823" s="74"/>
      <x:c r="M823" s="91"/>
      <x:c r="N823" s="85"/>
      <x:c r="P823" s="86"/>
      <x:c r="Q823" s="32"/>
    </x:row>
    <x:row r="824">
      <x:c r="A824" s="87"/>
      <x:c r="D824" s="32"/>
      <x:c r="I824" s="74"/>
      <x:c r="J824" s="74"/>
      <x:c r="K824" s="74"/>
      <x:c r="L824" s="74"/>
      <x:c r="M824" s="91"/>
      <x:c r="N824" s="85"/>
      <x:c r="P824" s="86"/>
      <x:c r="Q824" s="32"/>
    </x:row>
    <x:row r="825">
      <x:c r="A825" s="87"/>
      <x:c r="D825" s="32"/>
      <x:c r="I825" s="74"/>
      <x:c r="J825" s="74"/>
      <x:c r="K825" s="74"/>
      <x:c r="L825" s="74"/>
      <x:c r="M825" s="91"/>
      <x:c r="N825" s="85"/>
      <x:c r="P825" s="86"/>
      <x:c r="Q825" s="32"/>
    </x:row>
    <x:row r="826">
      <x:c r="A826" s="87"/>
      <x:c r="D826" s="32"/>
      <x:c r="I826" s="74"/>
      <x:c r="J826" s="74"/>
      <x:c r="K826" s="74"/>
      <x:c r="L826" s="74"/>
      <x:c r="M826" s="91"/>
      <x:c r="N826" s="85"/>
      <x:c r="P826" s="86"/>
      <x:c r="Q826" s="32"/>
    </x:row>
    <x:row r="827">
      <x:c r="A827" s="87"/>
      <x:c r="D827" s="32"/>
      <x:c r="I827" s="74"/>
      <x:c r="J827" s="74"/>
      <x:c r="K827" s="74"/>
      <x:c r="L827" s="74"/>
      <x:c r="M827" s="91"/>
      <x:c r="N827" s="85"/>
      <x:c r="P827" s="86"/>
      <x:c r="Q827" s="32"/>
    </x:row>
    <x:row r="828">
      <x:c r="A828" s="87"/>
      <x:c r="D828" s="32"/>
      <x:c r="I828" s="74"/>
      <x:c r="J828" s="74"/>
      <x:c r="K828" s="74"/>
      <x:c r="L828" s="74"/>
      <x:c r="M828" s="91"/>
      <x:c r="N828" s="85"/>
      <x:c r="P828" s="86"/>
      <x:c r="Q828" s="32"/>
    </x:row>
    <x:row r="829">
      <x:c r="A829" s="87"/>
      <x:c r="D829" s="32"/>
      <x:c r="I829" s="74"/>
      <x:c r="J829" s="74"/>
      <x:c r="K829" s="74"/>
      <x:c r="L829" s="74"/>
      <x:c r="M829" s="91"/>
      <x:c r="N829" s="85"/>
      <x:c r="P829" s="86"/>
      <x:c r="Q829" s="32"/>
    </x:row>
    <x:row r="830">
      <x:c r="A830" s="87"/>
      <x:c r="D830" s="32"/>
      <x:c r="I830" s="74"/>
      <x:c r="J830" s="74"/>
      <x:c r="K830" s="74"/>
      <x:c r="L830" s="74"/>
      <x:c r="M830" s="91"/>
      <x:c r="N830" s="85"/>
      <x:c r="P830" s="86"/>
      <x:c r="Q830" s="32"/>
    </x:row>
    <x:row r="831">
      <x:c r="A831" s="87"/>
      <x:c r="D831" s="32"/>
      <x:c r="I831" s="74"/>
      <x:c r="J831" s="74"/>
      <x:c r="K831" s="74"/>
      <x:c r="L831" s="74"/>
      <x:c r="M831" s="91"/>
      <x:c r="N831" s="85"/>
      <x:c r="P831" s="86"/>
      <x:c r="Q831" s="32"/>
    </x:row>
    <x:row r="832">
      <x:c r="A832" s="87"/>
      <x:c r="D832" s="32"/>
      <x:c r="I832" s="74"/>
      <x:c r="J832" s="74"/>
      <x:c r="K832" s="74"/>
      <x:c r="L832" s="74"/>
      <x:c r="M832" s="91"/>
      <x:c r="N832" s="85"/>
      <x:c r="P832" s="86"/>
      <x:c r="Q832" s="32"/>
    </x:row>
    <x:row r="833">
      <x:c r="A833" s="87"/>
      <x:c r="D833" s="32"/>
      <x:c r="I833" s="74"/>
      <x:c r="J833" s="74"/>
      <x:c r="K833" s="74"/>
      <x:c r="L833" s="74"/>
      <x:c r="M833" s="91"/>
      <x:c r="N833" s="85"/>
      <x:c r="P833" s="86"/>
      <x:c r="Q833" s="32"/>
    </x:row>
    <x:row r="834">
      <x:c r="A834" s="87"/>
      <x:c r="D834" s="32"/>
      <x:c r="I834" s="74"/>
      <x:c r="J834" s="74"/>
      <x:c r="K834" s="74"/>
      <x:c r="L834" s="74"/>
      <x:c r="M834" s="91"/>
      <x:c r="N834" s="85"/>
      <x:c r="P834" s="86"/>
      <x:c r="Q834" s="32"/>
    </x:row>
    <x:row r="835">
      <x:c r="A835" s="87"/>
      <x:c r="D835" s="32"/>
      <x:c r="I835" s="74"/>
      <x:c r="J835" s="74"/>
      <x:c r="K835" s="74"/>
      <x:c r="L835" s="74"/>
      <x:c r="M835" s="91"/>
      <x:c r="N835" s="85"/>
      <x:c r="P835" s="86"/>
      <x:c r="Q835" s="32"/>
    </x:row>
    <x:row r="836">
      <x:c r="A836" s="87"/>
      <x:c r="D836" s="32"/>
      <x:c r="I836" s="74"/>
      <x:c r="J836" s="74"/>
      <x:c r="K836" s="74"/>
      <x:c r="L836" s="74"/>
      <x:c r="M836" s="91"/>
      <x:c r="N836" s="85"/>
      <x:c r="P836" s="86"/>
      <x:c r="Q836" s="32"/>
    </x:row>
    <x:row r="837">
      <x:c r="A837" s="87"/>
      <x:c r="D837" s="32"/>
      <x:c r="I837" s="74"/>
      <x:c r="J837" s="74"/>
      <x:c r="K837" s="74"/>
      <x:c r="L837" s="74"/>
      <x:c r="M837" s="91"/>
      <x:c r="N837" s="85"/>
      <x:c r="P837" s="86"/>
      <x:c r="Q837" s="32"/>
    </x:row>
    <x:row r="838">
      <x:c r="A838" s="87"/>
      <x:c r="D838" s="32"/>
      <x:c r="I838" s="74"/>
      <x:c r="J838" s="74"/>
      <x:c r="K838" s="74"/>
      <x:c r="L838" s="74"/>
      <x:c r="M838" s="91"/>
      <x:c r="N838" s="85"/>
      <x:c r="P838" s="86"/>
      <x:c r="Q838" s="32"/>
    </x:row>
    <x:row r="839">
      <x:c r="A839" s="87"/>
      <x:c r="D839" s="32"/>
      <x:c r="I839" s="74"/>
      <x:c r="J839" s="74"/>
      <x:c r="K839" s="74"/>
      <x:c r="L839" s="74"/>
      <x:c r="M839" s="91"/>
      <x:c r="N839" s="85"/>
      <x:c r="P839" s="86"/>
      <x:c r="Q839" s="32"/>
    </x:row>
    <x:row r="840">
      <x:c r="A840" s="87"/>
      <x:c r="D840" s="32"/>
      <x:c r="I840" s="74"/>
      <x:c r="J840" s="74"/>
      <x:c r="K840" s="74"/>
      <x:c r="L840" s="74"/>
      <x:c r="M840" s="91"/>
      <x:c r="N840" s="85"/>
      <x:c r="P840" s="86"/>
      <x:c r="Q840" s="32"/>
    </x:row>
    <x:row r="841">
      <x:c r="A841" s="87"/>
      <x:c r="D841" s="32"/>
      <x:c r="I841" s="74"/>
      <x:c r="J841" s="74"/>
      <x:c r="K841" s="74"/>
      <x:c r="L841" s="74"/>
      <x:c r="M841" s="91"/>
      <x:c r="N841" s="85"/>
      <x:c r="P841" s="86"/>
      <x:c r="Q841" s="32"/>
    </x:row>
    <x:row r="842">
      <x:c r="A842" s="87"/>
      <x:c r="D842" s="32"/>
      <x:c r="I842" s="74"/>
      <x:c r="J842" s="74"/>
      <x:c r="K842" s="74"/>
      <x:c r="L842" s="74"/>
      <x:c r="M842" s="91"/>
      <x:c r="N842" s="85"/>
      <x:c r="P842" s="86"/>
      <x:c r="Q842" s="32"/>
    </x:row>
    <x:row r="843">
      <x:c r="A843" s="87"/>
      <x:c r="D843" s="32"/>
      <x:c r="I843" s="74"/>
      <x:c r="J843" s="74"/>
      <x:c r="K843" s="74"/>
      <x:c r="L843" s="74"/>
      <x:c r="M843" s="91"/>
      <x:c r="N843" s="85"/>
      <x:c r="P843" s="86"/>
      <x:c r="Q843" s="32"/>
    </x:row>
    <x:row r="844">
      <x:c r="A844" s="87"/>
      <x:c r="D844" s="32"/>
      <x:c r="I844" s="74"/>
      <x:c r="J844" s="74"/>
      <x:c r="K844" s="74"/>
      <x:c r="L844" s="74"/>
      <x:c r="M844" s="91"/>
      <x:c r="N844" s="85"/>
      <x:c r="P844" s="86"/>
      <x:c r="Q844" s="32"/>
    </x:row>
    <x:row r="845">
      <x:c r="A845" s="87"/>
      <x:c r="D845" s="32"/>
      <x:c r="I845" s="74"/>
      <x:c r="J845" s="74"/>
      <x:c r="K845" s="74"/>
      <x:c r="L845" s="74"/>
      <x:c r="M845" s="91"/>
      <x:c r="N845" s="85"/>
      <x:c r="P845" s="86"/>
      <x:c r="Q845" s="32"/>
    </x:row>
    <x:row r="846">
      <x:c r="A846" s="87"/>
      <x:c r="D846" s="32"/>
      <x:c r="I846" s="74"/>
      <x:c r="J846" s="74"/>
      <x:c r="K846" s="74"/>
      <x:c r="L846" s="74"/>
      <x:c r="M846" s="91"/>
      <x:c r="N846" s="85"/>
      <x:c r="P846" s="86"/>
      <x:c r="Q846" s="32"/>
    </x:row>
    <x:row r="847">
      <x:c r="A847" s="87"/>
      <x:c r="D847" s="32"/>
      <x:c r="I847" s="74"/>
      <x:c r="J847" s="74"/>
      <x:c r="K847" s="74"/>
      <x:c r="L847" s="74"/>
      <x:c r="M847" s="91"/>
      <x:c r="N847" s="85"/>
      <x:c r="P847" s="86"/>
      <x:c r="Q847" s="32"/>
    </x:row>
    <x:row r="848">
      <x:c r="A848" s="87"/>
      <x:c r="D848" s="32"/>
      <x:c r="I848" s="74"/>
      <x:c r="J848" s="74"/>
      <x:c r="K848" s="74"/>
      <x:c r="L848" s="74"/>
      <x:c r="M848" s="91"/>
      <x:c r="N848" s="85"/>
      <x:c r="P848" s="86"/>
      <x:c r="Q848" s="32"/>
    </x:row>
    <x:row r="849">
      <x:c r="A849" s="87"/>
      <x:c r="D849" s="32"/>
      <x:c r="I849" s="74"/>
      <x:c r="J849" s="74"/>
      <x:c r="K849" s="74"/>
      <x:c r="L849" s="74"/>
      <x:c r="M849" s="91"/>
      <x:c r="N849" s="85"/>
      <x:c r="P849" s="86"/>
      <x:c r="Q849" s="32"/>
    </x:row>
    <x:row r="850">
      <x:c r="A850" s="87"/>
      <x:c r="D850" s="32"/>
      <x:c r="I850" s="74"/>
      <x:c r="J850" s="74"/>
      <x:c r="K850" s="74"/>
      <x:c r="L850" s="74"/>
      <x:c r="M850" s="91"/>
      <x:c r="N850" s="85"/>
      <x:c r="P850" s="86"/>
      <x:c r="Q850" s="32"/>
    </x:row>
    <x:row r="851">
      <x:c r="A851" s="87"/>
      <x:c r="D851" s="32"/>
      <x:c r="I851" s="74"/>
      <x:c r="J851" s="74"/>
      <x:c r="K851" s="74"/>
      <x:c r="L851" s="74"/>
      <x:c r="M851" s="91"/>
      <x:c r="N851" s="85"/>
      <x:c r="P851" s="86"/>
      <x:c r="Q851" s="32"/>
    </x:row>
    <x:row r="852">
      <x:c r="A852" s="87"/>
      <x:c r="D852" s="32"/>
      <x:c r="I852" s="74"/>
      <x:c r="J852" s="74"/>
      <x:c r="K852" s="74"/>
      <x:c r="L852" s="74"/>
      <x:c r="M852" s="91"/>
      <x:c r="N852" s="85"/>
      <x:c r="P852" s="86"/>
      <x:c r="Q852" s="32"/>
    </x:row>
    <x:row r="853">
      <x:c r="A853" s="87"/>
      <x:c r="D853" s="32"/>
      <x:c r="I853" s="74"/>
      <x:c r="J853" s="74"/>
      <x:c r="K853" s="74"/>
      <x:c r="L853" s="74"/>
      <x:c r="M853" s="91"/>
      <x:c r="N853" s="85"/>
      <x:c r="P853" s="86"/>
      <x:c r="Q853" s="32"/>
    </x:row>
    <x:row r="854">
      <x:c r="A854" s="87"/>
      <x:c r="D854" s="32"/>
      <x:c r="I854" s="74"/>
      <x:c r="J854" s="74"/>
      <x:c r="K854" s="74"/>
      <x:c r="L854" s="74"/>
      <x:c r="M854" s="91"/>
      <x:c r="N854" s="85"/>
      <x:c r="P854" s="86"/>
      <x:c r="Q854" s="32"/>
    </x:row>
    <x:row r="855">
      <x:c r="A855" s="87"/>
      <x:c r="D855" s="32"/>
      <x:c r="I855" s="74"/>
      <x:c r="J855" s="74"/>
      <x:c r="K855" s="74"/>
      <x:c r="L855" s="74"/>
      <x:c r="M855" s="91"/>
      <x:c r="N855" s="85"/>
      <x:c r="P855" s="86"/>
      <x:c r="Q855" s="32"/>
    </x:row>
    <x:row r="856">
      <x:c r="A856" s="87"/>
      <x:c r="D856" s="32"/>
      <x:c r="I856" s="74"/>
      <x:c r="J856" s="74"/>
      <x:c r="K856" s="74"/>
      <x:c r="L856" s="74"/>
      <x:c r="M856" s="91"/>
      <x:c r="N856" s="85"/>
      <x:c r="P856" s="86"/>
      <x:c r="Q856" s="32"/>
    </x:row>
    <x:row r="857">
      <x:c r="A857" s="87"/>
      <x:c r="D857" s="32"/>
      <x:c r="I857" s="74"/>
      <x:c r="J857" s="74"/>
      <x:c r="K857" s="74"/>
      <x:c r="L857" s="74"/>
      <x:c r="M857" s="91"/>
      <x:c r="N857" s="85"/>
      <x:c r="P857" s="86"/>
      <x:c r="Q857" s="32"/>
    </x:row>
    <x:row r="858">
      <x:c r="A858" s="87"/>
      <x:c r="D858" s="32"/>
      <x:c r="I858" s="74"/>
      <x:c r="J858" s="74"/>
      <x:c r="K858" s="74"/>
      <x:c r="L858" s="74"/>
      <x:c r="M858" s="91"/>
      <x:c r="N858" s="85"/>
      <x:c r="P858" s="86"/>
      <x:c r="Q858" s="32"/>
    </x:row>
    <x:row r="859">
      <x:c r="A859" s="87"/>
      <x:c r="D859" s="32"/>
      <x:c r="I859" s="74"/>
      <x:c r="J859" s="74"/>
      <x:c r="K859" s="74"/>
      <x:c r="L859" s="74"/>
      <x:c r="M859" s="91"/>
      <x:c r="N859" s="85"/>
      <x:c r="P859" s="86"/>
      <x:c r="Q859" s="32"/>
    </x:row>
    <x:row r="860">
      <x:c r="A860" s="87"/>
      <x:c r="D860" s="32"/>
      <x:c r="I860" s="74"/>
      <x:c r="J860" s="74"/>
      <x:c r="K860" s="74"/>
      <x:c r="L860" s="74"/>
      <x:c r="M860" s="91"/>
      <x:c r="N860" s="85"/>
      <x:c r="P860" s="86"/>
      <x:c r="Q860" s="32"/>
    </x:row>
    <x:row r="861">
      <x:c r="A861" s="87"/>
      <x:c r="D861" s="32"/>
      <x:c r="I861" s="74"/>
      <x:c r="J861" s="74"/>
      <x:c r="K861" s="74"/>
      <x:c r="L861" s="74"/>
      <x:c r="M861" s="91"/>
      <x:c r="N861" s="85"/>
      <x:c r="P861" s="86"/>
      <x:c r="Q861" s="32"/>
    </x:row>
    <x:row r="862">
      <x:c r="A862" s="87"/>
      <x:c r="D862" s="32"/>
      <x:c r="I862" s="74"/>
      <x:c r="J862" s="74"/>
      <x:c r="K862" s="74"/>
      <x:c r="L862" s="74"/>
      <x:c r="M862" s="91"/>
      <x:c r="N862" s="85"/>
      <x:c r="P862" s="86"/>
      <x:c r="Q862" s="32"/>
    </x:row>
    <x:row r="863">
      <x:c r="A863" s="87"/>
      <x:c r="D863" s="32"/>
      <x:c r="I863" s="74"/>
      <x:c r="J863" s="74"/>
      <x:c r="K863" s="74"/>
      <x:c r="L863" s="74"/>
      <x:c r="M863" s="91"/>
      <x:c r="N863" s="85"/>
      <x:c r="P863" s="86"/>
      <x:c r="Q863" s="32"/>
    </x:row>
    <x:row r="864">
      <x:c r="A864" s="87"/>
      <x:c r="D864" s="32"/>
      <x:c r="I864" s="74"/>
      <x:c r="J864" s="74"/>
      <x:c r="K864" s="74"/>
      <x:c r="L864" s="74"/>
      <x:c r="M864" s="91"/>
      <x:c r="N864" s="85"/>
      <x:c r="P864" s="86"/>
      <x:c r="Q864" s="32"/>
    </x:row>
    <x:row r="865">
      <x:c r="A865" s="87"/>
      <x:c r="D865" s="32"/>
      <x:c r="I865" s="74"/>
      <x:c r="J865" s="74"/>
      <x:c r="K865" s="74"/>
      <x:c r="L865" s="74"/>
      <x:c r="M865" s="91"/>
      <x:c r="N865" s="85"/>
      <x:c r="P865" s="86"/>
      <x:c r="Q865" s="32"/>
    </x:row>
    <x:row r="866">
      <x:c r="A866" s="87"/>
      <x:c r="D866" s="32"/>
      <x:c r="I866" s="74"/>
      <x:c r="J866" s="74"/>
      <x:c r="K866" s="74"/>
      <x:c r="L866" s="74"/>
      <x:c r="M866" s="91"/>
      <x:c r="N866" s="85"/>
      <x:c r="P866" s="86"/>
      <x:c r="Q866" s="32"/>
    </x:row>
    <x:row r="867">
      <x:c r="A867" s="87"/>
      <x:c r="D867" s="32"/>
      <x:c r="I867" s="74"/>
      <x:c r="J867" s="74"/>
      <x:c r="K867" s="74"/>
      <x:c r="L867" s="74"/>
      <x:c r="M867" s="91"/>
      <x:c r="N867" s="85"/>
      <x:c r="P867" s="86"/>
      <x:c r="Q867" s="32"/>
    </x:row>
    <x:row r="868">
      <x:c r="A868" s="87"/>
      <x:c r="D868" s="32"/>
      <x:c r="I868" s="74"/>
      <x:c r="J868" s="74"/>
      <x:c r="K868" s="74"/>
      <x:c r="L868" s="74"/>
      <x:c r="M868" s="91"/>
      <x:c r="N868" s="85"/>
      <x:c r="P868" s="86"/>
      <x:c r="Q868" s="32"/>
    </x:row>
    <x:row r="869">
      <x:c r="A869" s="87"/>
      <x:c r="D869" s="32"/>
      <x:c r="I869" s="74"/>
      <x:c r="J869" s="74"/>
      <x:c r="K869" s="74"/>
      <x:c r="L869" s="74"/>
      <x:c r="M869" s="91"/>
      <x:c r="N869" s="85"/>
      <x:c r="P869" s="86"/>
      <x:c r="Q869" s="32"/>
    </x:row>
    <x:row r="870">
      <x:c r="A870" s="87"/>
      <x:c r="D870" s="32"/>
      <x:c r="I870" s="74"/>
      <x:c r="J870" s="74"/>
      <x:c r="K870" s="74"/>
      <x:c r="L870" s="74"/>
      <x:c r="M870" s="91"/>
      <x:c r="N870" s="85"/>
      <x:c r="P870" s="86"/>
      <x:c r="Q870" s="32"/>
    </x:row>
    <x:row r="871">
      <x:c r="A871" s="87"/>
      <x:c r="D871" s="32"/>
      <x:c r="I871" s="74"/>
      <x:c r="J871" s="74"/>
      <x:c r="K871" s="74"/>
      <x:c r="L871" s="74"/>
      <x:c r="M871" s="91"/>
      <x:c r="N871" s="85"/>
      <x:c r="P871" s="86"/>
      <x:c r="Q871" s="32"/>
    </x:row>
    <x:row r="872">
      <x:c r="A872" s="87"/>
      <x:c r="D872" s="32"/>
      <x:c r="I872" s="74"/>
      <x:c r="J872" s="74"/>
      <x:c r="K872" s="74"/>
      <x:c r="L872" s="74"/>
      <x:c r="M872" s="91"/>
      <x:c r="N872" s="85"/>
      <x:c r="P872" s="86"/>
      <x:c r="Q872" s="32"/>
    </x:row>
    <x:row r="873">
      <x:c r="A873" s="87"/>
      <x:c r="D873" s="32"/>
      <x:c r="I873" s="74"/>
      <x:c r="J873" s="74"/>
      <x:c r="K873" s="74"/>
      <x:c r="L873" s="74"/>
      <x:c r="M873" s="91"/>
      <x:c r="N873" s="85"/>
      <x:c r="P873" s="86"/>
      <x:c r="Q873" s="32"/>
    </x:row>
    <x:row r="874">
      <x:c r="A874" s="87"/>
      <x:c r="D874" s="32"/>
      <x:c r="I874" s="74"/>
      <x:c r="J874" s="74"/>
      <x:c r="K874" s="74"/>
      <x:c r="L874" s="74"/>
      <x:c r="M874" s="91"/>
      <x:c r="N874" s="85"/>
      <x:c r="P874" s="86"/>
      <x:c r="Q874" s="32"/>
    </x:row>
    <x:row r="875">
      <x:c r="A875" s="87"/>
      <x:c r="D875" s="32"/>
      <x:c r="I875" s="74"/>
      <x:c r="J875" s="74"/>
      <x:c r="K875" s="74"/>
      <x:c r="L875" s="74"/>
      <x:c r="M875" s="91"/>
      <x:c r="N875" s="85"/>
      <x:c r="P875" s="86"/>
      <x:c r="Q875" s="32"/>
    </x:row>
    <x:row r="876">
      <x:c r="A876" s="87"/>
      <x:c r="D876" s="32"/>
      <x:c r="I876" s="74"/>
      <x:c r="J876" s="74"/>
      <x:c r="K876" s="74"/>
      <x:c r="L876" s="74"/>
      <x:c r="M876" s="91"/>
      <x:c r="N876" s="85"/>
      <x:c r="P876" s="86"/>
      <x:c r="Q876" s="32"/>
    </x:row>
    <x:row r="877">
      <x:c r="A877" s="87"/>
      <x:c r="D877" s="32"/>
      <x:c r="I877" s="74"/>
      <x:c r="J877" s="74"/>
      <x:c r="K877" s="74"/>
      <x:c r="L877" s="74"/>
      <x:c r="M877" s="91"/>
      <x:c r="N877" s="85"/>
      <x:c r="P877" s="86"/>
      <x:c r="Q877" s="32"/>
    </x:row>
    <x:row r="878">
      <x:c r="A878" s="87"/>
      <x:c r="D878" s="32"/>
      <x:c r="I878" s="74"/>
      <x:c r="J878" s="74"/>
      <x:c r="K878" s="74"/>
      <x:c r="L878" s="74"/>
      <x:c r="M878" s="91"/>
      <x:c r="N878" s="85"/>
      <x:c r="P878" s="86"/>
      <x:c r="Q878" s="32"/>
    </x:row>
    <x:row r="879">
      <x:c r="A879" s="87"/>
      <x:c r="D879" s="32"/>
      <x:c r="I879" s="74"/>
      <x:c r="J879" s="74"/>
      <x:c r="K879" s="74"/>
      <x:c r="L879" s="74"/>
      <x:c r="M879" s="91"/>
      <x:c r="N879" s="85"/>
      <x:c r="P879" s="86"/>
      <x:c r="Q879" s="32"/>
    </x:row>
    <x:row r="880">
      <x:c r="A880" s="87"/>
      <x:c r="D880" s="32"/>
      <x:c r="I880" s="74"/>
      <x:c r="J880" s="74"/>
      <x:c r="K880" s="74"/>
      <x:c r="L880" s="74"/>
      <x:c r="M880" s="91"/>
      <x:c r="N880" s="85"/>
      <x:c r="P880" s="86"/>
      <x:c r="Q880" s="32"/>
    </x:row>
    <x:row r="881">
      <x:c r="A881" s="87"/>
      <x:c r="D881" s="32"/>
      <x:c r="I881" s="74"/>
      <x:c r="J881" s="74"/>
      <x:c r="K881" s="74"/>
      <x:c r="L881" s="74"/>
      <x:c r="M881" s="91"/>
      <x:c r="N881" s="85"/>
      <x:c r="P881" s="86"/>
      <x:c r="Q881" s="32"/>
    </x:row>
    <x:row r="882">
      <x:c r="A882" s="87"/>
      <x:c r="D882" s="32"/>
      <x:c r="I882" s="74"/>
      <x:c r="J882" s="74"/>
      <x:c r="K882" s="74"/>
      <x:c r="L882" s="74"/>
      <x:c r="M882" s="91"/>
      <x:c r="N882" s="85"/>
      <x:c r="P882" s="86"/>
      <x:c r="Q882" s="32"/>
    </x:row>
    <x:row r="883">
      <x:c r="A883" s="87"/>
      <x:c r="D883" s="32"/>
      <x:c r="I883" s="74"/>
      <x:c r="J883" s="74"/>
      <x:c r="K883" s="74"/>
      <x:c r="L883" s="74"/>
      <x:c r="M883" s="91"/>
      <x:c r="N883" s="85"/>
      <x:c r="P883" s="86"/>
      <x:c r="Q883" s="32"/>
    </x:row>
    <x:row r="884">
      <x:c r="A884" s="87"/>
      <x:c r="D884" s="32"/>
      <x:c r="I884" s="74"/>
      <x:c r="J884" s="74"/>
      <x:c r="K884" s="74"/>
      <x:c r="L884" s="74"/>
      <x:c r="M884" s="91"/>
      <x:c r="N884" s="85"/>
      <x:c r="P884" s="86"/>
      <x:c r="Q884" s="32"/>
    </x:row>
    <x:row r="885">
      <x:c r="A885" s="87"/>
      <x:c r="D885" s="32"/>
      <x:c r="I885" s="74"/>
      <x:c r="J885" s="74"/>
      <x:c r="K885" s="74"/>
      <x:c r="L885" s="74"/>
      <x:c r="M885" s="91"/>
      <x:c r="N885" s="85"/>
      <x:c r="P885" s="86"/>
      <x:c r="Q885" s="32"/>
    </x:row>
    <x:row r="886">
      <x:c r="A886" s="87"/>
      <x:c r="D886" s="32"/>
      <x:c r="I886" s="74"/>
      <x:c r="J886" s="74"/>
      <x:c r="K886" s="74"/>
      <x:c r="L886" s="74"/>
      <x:c r="M886" s="91"/>
      <x:c r="N886" s="85"/>
      <x:c r="P886" s="86"/>
      <x:c r="Q886" s="32"/>
    </x:row>
    <x:row r="887">
      <x:c r="A887" s="87"/>
      <x:c r="D887" s="32"/>
      <x:c r="I887" s="74"/>
      <x:c r="J887" s="74"/>
      <x:c r="K887" s="74"/>
      <x:c r="L887" s="74"/>
      <x:c r="M887" s="91"/>
      <x:c r="N887" s="85"/>
      <x:c r="P887" s="86"/>
      <x:c r="Q887" s="32"/>
    </x:row>
    <x:row r="888">
      <x:c r="A888" s="87"/>
      <x:c r="D888" s="32"/>
      <x:c r="I888" s="74"/>
      <x:c r="J888" s="74"/>
      <x:c r="K888" s="74"/>
      <x:c r="L888" s="74"/>
      <x:c r="M888" s="91"/>
      <x:c r="N888" s="85"/>
      <x:c r="P888" s="86"/>
      <x:c r="Q888" s="32"/>
    </x:row>
    <x:row r="889">
      <x:c r="A889" s="87"/>
      <x:c r="D889" s="32"/>
      <x:c r="I889" s="74"/>
      <x:c r="J889" s="74"/>
      <x:c r="K889" s="74"/>
      <x:c r="L889" s="74"/>
      <x:c r="M889" s="91"/>
      <x:c r="N889" s="85"/>
      <x:c r="P889" s="86"/>
      <x:c r="Q889" s="32"/>
    </x:row>
    <x:row r="890">
      <x:c r="A890" s="87"/>
      <x:c r="D890" s="32"/>
      <x:c r="I890" s="74"/>
      <x:c r="J890" s="74"/>
      <x:c r="K890" s="74"/>
      <x:c r="L890" s="74"/>
      <x:c r="M890" s="91"/>
      <x:c r="N890" s="85"/>
      <x:c r="P890" s="86"/>
      <x:c r="Q890" s="32"/>
    </x:row>
    <x:row r="891">
      <x:c r="A891" s="87"/>
      <x:c r="D891" s="32"/>
      <x:c r="I891" s="74"/>
      <x:c r="J891" s="74"/>
      <x:c r="K891" s="74"/>
      <x:c r="L891" s="74"/>
      <x:c r="M891" s="91"/>
      <x:c r="N891" s="85"/>
      <x:c r="P891" s="86"/>
      <x:c r="Q891" s="32"/>
    </x:row>
    <x:row r="892">
      <x:c r="A892" s="87"/>
      <x:c r="D892" s="32"/>
      <x:c r="I892" s="74"/>
      <x:c r="J892" s="74"/>
      <x:c r="K892" s="74"/>
      <x:c r="L892" s="74"/>
      <x:c r="M892" s="91"/>
      <x:c r="N892" s="85"/>
      <x:c r="P892" s="86"/>
      <x:c r="Q892" s="32"/>
    </x:row>
    <x:row r="893">
      <x:c r="A893" s="87"/>
      <x:c r="D893" s="32"/>
      <x:c r="I893" s="74"/>
      <x:c r="J893" s="74"/>
      <x:c r="K893" s="74"/>
      <x:c r="L893" s="74"/>
      <x:c r="M893" s="91"/>
      <x:c r="N893" s="85"/>
      <x:c r="P893" s="86"/>
      <x:c r="Q893" s="32"/>
    </x:row>
    <x:row r="894">
      <x:c r="A894" s="87"/>
      <x:c r="D894" s="32"/>
      <x:c r="I894" s="74"/>
      <x:c r="J894" s="74"/>
      <x:c r="K894" s="74"/>
      <x:c r="L894" s="74"/>
      <x:c r="M894" s="91"/>
      <x:c r="N894" s="85"/>
      <x:c r="P894" s="86"/>
      <x:c r="Q894" s="32"/>
    </x:row>
    <x:row r="895">
      <x:c r="A895" s="87"/>
      <x:c r="D895" s="32"/>
      <x:c r="I895" s="74"/>
      <x:c r="J895" s="74"/>
      <x:c r="K895" s="74"/>
      <x:c r="L895" s="74"/>
      <x:c r="M895" s="91"/>
      <x:c r="N895" s="85"/>
      <x:c r="P895" s="86"/>
      <x:c r="Q895" s="32"/>
    </x:row>
    <x:row r="896">
      <x:c r="A896" s="87"/>
      <x:c r="D896" s="32"/>
      <x:c r="I896" s="74"/>
      <x:c r="J896" s="74"/>
      <x:c r="K896" s="74"/>
      <x:c r="L896" s="74"/>
      <x:c r="M896" s="91"/>
      <x:c r="N896" s="85"/>
      <x:c r="P896" s="86"/>
      <x:c r="Q896" s="32"/>
    </x:row>
    <x:row r="897">
      <x:c r="A897" s="87"/>
      <x:c r="D897" s="32"/>
      <x:c r="I897" s="74"/>
      <x:c r="J897" s="74"/>
      <x:c r="K897" s="74"/>
      <x:c r="L897" s="74"/>
      <x:c r="M897" s="91"/>
      <x:c r="N897" s="85"/>
      <x:c r="P897" s="86"/>
      <x:c r="Q897" s="32"/>
    </x:row>
    <x:row r="898">
      <x:c r="A898" s="87"/>
      <x:c r="D898" s="32"/>
      <x:c r="I898" s="74"/>
      <x:c r="J898" s="74"/>
      <x:c r="K898" s="74"/>
      <x:c r="L898" s="74"/>
      <x:c r="M898" s="91"/>
      <x:c r="N898" s="85"/>
      <x:c r="P898" s="86"/>
      <x:c r="Q898" s="32"/>
    </x:row>
    <x:row r="899">
      <x:c r="A899" s="87"/>
      <x:c r="D899" s="32"/>
      <x:c r="I899" s="74"/>
      <x:c r="J899" s="74"/>
      <x:c r="K899" s="74"/>
      <x:c r="L899" s="74"/>
      <x:c r="M899" s="91"/>
      <x:c r="N899" s="85"/>
      <x:c r="P899" s="86"/>
      <x:c r="Q899" s="32"/>
    </x:row>
    <x:row r="900">
      <x:c r="A900" s="87"/>
      <x:c r="D900" s="32"/>
      <x:c r="I900" s="74"/>
      <x:c r="J900" s="74"/>
      <x:c r="K900" s="74"/>
      <x:c r="L900" s="74"/>
      <x:c r="M900" s="91"/>
      <x:c r="N900" s="85"/>
      <x:c r="P900" s="86"/>
      <x:c r="Q900" s="32"/>
    </x:row>
    <x:row r="901">
      <x:c r="A901" s="87"/>
      <x:c r="D901" s="32"/>
      <x:c r="I901" s="74"/>
      <x:c r="J901" s="74"/>
      <x:c r="K901" s="74"/>
      <x:c r="L901" s="74"/>
      <x:c r="M901" s="91"/>
      <x:c r="N901" s="85"/>
      <x:c r="P901" s="86"/>
      <x:c r="Q901" s="32"/>
    </x:row>
    <x:row r="902">
      <x:c r="A902" s="87"/>
      <x:c r="D902" s="32"/>
      <x:c r="I902" s="74"/>
      <x:c r="J902" s="74"/>
      <x:c r="K902" s="74"/>
      <x:c r="L902" s="74"/>
      <x:c r="M902" s="91"/>
      <x:c r="N902" s="85"/>
      <x:c r="P902" s="86"/>
      <x:c r="Q902" s="32"/>
    </x:row>
    <x:row r="903">
      <x:c r="A903" s="87"/>
      <x:c r="D903" s="32"/>
      <x:c r="I903" s="74"/>
      <x:c r="J903" s="74"/>
      <x:c r="K903" s="74"/>
      <x:c r="L903" s="74"/>
      <x:c r="M903" s="91"/>
      <x:c r="N903" s="85"/>
      <x:c r="P903" s="86"/>
      <x:c r="Q903" s="32"/>
    </x:row>
    <x:row r="904">
      <x:c r="A904" s="87"/>
      <x:c r="D904" s="32"/>
      <x:c r="I904" s="74"/>
      <x:c r="J904" s="74"/>
      <x:c r="K904" s="74"/>
      <x:c r="L904" s="74"/>
      <x:c r="M904" s="91"/>
      <x:c r="N904" s="85"/>
      <x:c r="P904" s="86"/>
      <x:c r="Q904" s="32"/>
    </x:row>
    <x:row r="905">
      <x:c r="A905" s="87"/>
      <x:c r="D905" s="32"/>
      <x:c r="I905" s="74"/>
      <x:c r="J905" s="74"/>
      <x:c r="K905" s="74"/>
      <x:c r="L905" s="74"/>
      <x:c r="M905" s="91"/>
      <x:c r="N905" s="85"/>
      <x:c r="P905" s="86"/>
      <x:c r="Q905" s="32"/>
    </x:row>
    <x:row r="906">
      <x:c r="A906" s="87"/>
      <x:c r="D906" s="32"/>
      <x:c r="I906" s="74"/>
      <x:c r="J906" s="74"/>
      <x:c r="K906" s="74"/>
      <x:c r="L906" s="74"/>
      <x:c r="M906" s="91"/>
      <x:c r="N906" s="85"/>
      <x:c r="P906" s="86"/>
      <x:c r="Q906" s="32"/>
    </x:row>
    <x:row r="907">
      <x:c r="A907" s="87"/>
      <x:c r="D907" s="32"/>
      <x:c r="I907" s="74"/>
      <x:c r="J907" s="74"/>
      <x:c r="K907" s="74"/>
      <x:c r="L907" s="74"/>
      <x:c r="M907" s="91"/>
      <x:c r="N907" s="85"/>
      <x:c r="P907" s="86"/>
      <x:c r="Q907" s="32"/>
    </x:row>
    <x:row r="908">
      <x:c r="A908" s="87"/>
      <x:c r="D908" s="32"/>
      <x:c r="I908" s="74"/>
      <x:c r="J908" s="74"/>
      <x:c r="K908" s="74"/>
      <x:c r="L908" s="74"/>
      <x:c r="M908" s="91"/>
      <x:c r="N908" s="85"/>
      <x:c r="P908" s="86"/>
      <x:c r="Q908" s="32"/>
    </x:row>
    <x:row r="909">
      <x:c r="A909" s="87"/>
      <x:c r="D909" s="32"/>
      <x:c r="I909" s="74"/>
      <x:c r="J909" s="74"/>
      <x:c r="K909" s="74"/>
      <x:c r="L909" s="74"/>
      <x:c r="M909" s="91"/>
      <x:c r="N909" s="85"/>
      <x:c r="P909" s="86"/>
      <x:c r="Q909" s="32"/>
    </x:row>
    <x:row r="910">
      <x:c r="A910" s="87"/>
      <x:c r="D910" s="32"/>
      <x:c r="I910" s="74"/>
      <x:c r="J910" s="74"/>
      <x:c r="K910" s="74"/>
      <x:c r="L910" s="74"/>
      <x:c r="M910" s="91"/>
      <x:c r="N910" s="85"/>
      <x:c r="P910" s="86"/>
      <x:c r="Q910" s="32"/>
    </x:row>
    <x:row r="911">
      <x:c r="A911" s="87"/>
      <x:c r="D911" s="32"/>
      <x:c r="I911" s="74"/>
      <x:c r="J911" s="74"/>
      <x:c r="K911" s="74"/>
      <x:c r="L911" s="74"/>
      <x:c r="M911" s="91"/>
      <x:c r="N911" s="85"/>
      <x:c r="P911" s="86"/>
      <x:c r="Q911" s="32"/>
    </x:row>
    <x:row r="912">
      <x:c r="A912" s="87"/>
      <x:c r="D912" s="32"/>
      <x:c r="I912" s="74"/>
      <x:c r="J912" s="74"/>
      <x:c r="K912" s="74"/>
      <x:c r="L912" s="74"/>
      <x:c r="M912" s="91"/>
      <x:c r="N912" s="85"/>
      <x:c r="P912" s="86"/>
      <x:c r="Q912" s="32"/>
    </x:row>
    <x:row r="913">
      <x:c r="A913" s="87"/>
      <x:c r="D913" s="32"/>
      <x:c r="I913" s="74"/>
      <x:c r="J913" s="74"/>
      <x:c r="K913" s="74"/>
      <x:c r="L913" s="74"/>
      <x:c r="M913" s="91"/>
      <x:c r="N913" s="85"/>
      <x:c r="P913" s="86"/>
      <x:c r="Q913" s="32"/>
    </x:row>
    <x:row r="914">
      <x:c r="A914" s="87"/>
      <x:c r="D914" s="32"/>
      <x:c r="I914" s="74"/>
      <x:c r="J914" s="74"/>
      <x:c r="K914" s="74"/>
      <x:c r="L914" s="74"/>
      <x:c r="M914" s="91"/>
      <x:c r="N914" s="85"/>
      <x:c r="P914" s="86"/>
      <x:c r="Q914" s="32"/>
    </x:row>
    <x:row r="915">
      <x:c r="A915" s="87"/>
      <x:c r="D915" s="32"/>
      <x:c r="I915" s="74"/>
      <x:c r="J915" s="74"/>
      <x:c r="K915" s="74"/>
      <x:c r="L915" s="74"/>
      <x:c r="M915" s="91"/>
      <x:c r="N915" s="85"/>
      <x:c r="P915" s="86"/>
      <x:c r="Q915" s="32"/>
    </x:row>
    <x:row r="916">
      <x:c r="A916" s="87"/>
      <x:c r="D916" s="32"/>
      <x:c r="I916" s="74"/>
      <x:c r="J916" s="74"/>
      <x:c r="K916" s="74"/>
      <x:c r="L916" s="74"/>
      <x:c r="M916" s="91"/>
      <x:c r="N916" s="85"/>
      <x:c r="P916" s="86"/>
      <x:c r="Q916" s="32"/>
    </x:row>
    <x:row r="917">
      <x:c r="A917" s="87"/>
      <x:c r="D917" s="32"/>
      <x:c r="I917" s="74"/>
      <x:c r="J917" s="74"/>
      <x:c r="K917" s="74"/>
      <x:c r="L917" s="74"/>
      <x:c r="M917" s="91"/>
      <x:c r="N917" s="85"/>
      <x:c r="P917" s="86"/>
      <x:c r="Q917" s="32"/>
    </x:row>
    <x:row r="918">
      <x:c r="A918" s="87"/>
      <x:c r="D918" s="32"/>
      <x:c r="I918" s="74"/>
      <x:c r="J918" s="74"/>
      <x:c r="K918" s="74"/>
      <x:c r="L918" s="74"/>
      <x:c r="M918" s="91"/>
      <x:c r="N918" s="85"/>
      <x:c r="P918" s="86"/>
      <x:c r="Q918" s="32"/>
    </x:row>
    <x:row r="919">
      <x:c r="A919" s="87"/>
      <x:c r="D919" s="32"/>
      <x:c r="I919" s="74"/>
      <x:c r="J919" s="74"/>
      <x:c r="K919" s="74"/>
      <x:c r="L919" s="74"/>
      <x:c r="M919" s="91"/>
      <x:c r="N919" s="85"/>
      <x:c r="P919" s="86"/>
      <x:c r="Q919" s="32"/>
    </x:row>
    <x:row r="920">
      <x:c r="A920" s="87"/>
      <x:c r="D920" s="32"/>
      <x:c r="I920" s="74"/>
      <x:c r="J920" s="74"/>
      <x:c r="K920" s="74"/>
      <x:c r="L920" s="74"/>
      <x:c r="M920" s="91"/>
      <x:c r="N920" s="85"/>
      <x:c r="P920" s="86"/>
      <x:c r="Q920" s="32"/>
    </x:row>
    <x:row r="921">
      <x:c r="A921" s="87"/>
      <x:c r="D921" s="32"/>
      <x:c r="I921" s="74"/>
      <x:c r="J921" s="74"/>
      <x:c r="K921" s="74"/>
      <x:c r="L921" s="74"/>
      <x:c r="M921" s="91"/>
      <x:c r="N921" s="85"/>
      <x:c r="P921" s="86"/>
      <x:c r="Q921" s="32"/>
    </x:row>
    <x:row r="922">
      <x:c r="A922" s="87"/>
      <x:c r="D922" s="32"/>
      <x:c r="I922" s="74"/>
      <x:c r="J922" s="74"/>
      <x:c r="K922" s="74"/>
      <x:c r="L922" s="74"/>
      <x:c r="M922" s="91"/>
      <x:c r="N922" s="85"/>
      <x:c r="P922" s="86"/>
      <x:c r="Q922" s="32"/>
    </x:row>
    <x:row r="923">
      <x:c r="A923" s="87"/>
      <x:c r="D923" s="32"/>
      <x:c r="I923" s="74"/>
      <x:c r="J923" s="74"/>
      <x:c r="K923" s="74"/>
      <x:c r="L923" s="74"/>
      <x:c r="M923" s="91"/>
      <x:c r="N923" s="85"/>
      <x:c r="P923" s="86"/>
      <x:c r="Q923" s="32"/>
    </x:row>
    <x:row r="924">
      <x:c r="A924" s="87"/>
      <x:c r="D924" s="32"/>
      <x:c r="I924" s="74"/>
      <x:c r="J924" s="74"/>
      <x:c r="K924" s="74"/>
      <x:c r="L924" s="74"/>
      <x:c r="M924" s="91"/>
      <x:c r="N924" s="85"/>
      <x:c r="P924" s="86"/>
      <x:c r="Q924" s="32"/>
    </x:row>
    <x:row r="925">
      <x:c r="A925" s="87"/>
      <x:c r="D925" s="32"/>
      <x:c r="I925" s="74"/>
      <x:c r="J925" s="74"/>
      <x:c r="K925" s="74"/>
      <x:c r="L925" s="74"/>
      <x:c r="M925" s="91"/>
      <x:c r="N925" s="85"/>
      <x:c r="P925" s="86"/>
      <x:c r="Q925" s="32"/>
    </x:row>
    <x:row r="926">
      <x:c r="A926" s="87"/>
      <x:c r="D926" s="32"/>
      <x:c r="I926" s="74"/>
      <x:c r="J926" s="74"/>
      <x:c r="K926" s="74"/>
      <x:c r="L926" s="74"/>
      <x:c r="M926" s="91"/>
      <x:c r="N926" s="85"/>
      <x:c r="P926" s="86"/>
      <x:c r="Q926" s="32"/>
    </x:row>
    <x:row r="927">
      <x:c r="A927" s="87"/>
      <x:c r="D927" s="32"/>
      <x:c r="I927" s="74"/>
      <x:c r="J927" s="74"/>
      <x:c r="K927" s="74"/>
      <x:c r="L927" s="74"/>
      <x:c r="M927" s="91"/>
      <x:c r="N927" s="85"/>
      <x:c r="P927" s="86"/>
      <x:c r="Q927" s="32"/>
    </x:row>
    <x:row r="928">
      <x:c r="A928" s="87"/>
      <x:c r="D928" s="32"/>
      <x:c r="I928" s="74"/>
      <x:c r="J928" s="74"/>
      <x:c r="K928" s="74"/>
      <x:c r="L928" s="74"/>
      <x:c r="M928" s="91"/>
      <x:c r="N928" s="85"/>
      <x:c r="P928" s="86"/>
      <x:c r="Q928" s="32"/>
    </x:row>
    <x:row r="929">
      <x:c r="A929" s="87"/>
      <x:c r="D929" s="32"/>
      <x:c r="I929" s="74"/>
      <x:c r="J929" s="74"/>
      <x:c r="K929" s="74"/>
      <x:c r="L929" s="74"/>
      <x:c r="M929" s="91"/>
      <x:c r="N929" s="85"/>
      <x:c r="P929" s="86"/>
      <x:c r="Q929" s="32"/>
    </x:row>
    <x:row r="930">
      <x:c r="A930" s="87"/>
      <x:c r="D930" s="32"/>
      <x:c r="I930" s="74"/>
      <x:c r="J930" s="74"/>
      <x:c r="K930" s="74"/>
      <x:c r="L930" s="74"/>
      <x:c r="M930" s="91"/>
      <x:c r="N930" s="85"/>
      <x:c r="P930" s="86"/>
      <x:c r="Q930" s="32"/>
    </x:row>
    <x:row r="931">
      <x:c r="A931" s="87"/>
      <x:c r="D931" s="32"/>
      <x:c r="I931" s="74"/>
      <x:c r="J931" s="74"/>
      <x:c r="K931" s="74"/>
      <x:c r="L931" s="74"/>
      <x:c r="M931" s="91"/>
      <x:c r="N931" s="85"/>
      <x:c r="P931" s="86"/>
      <x:c r="Q931" s="32"/>
    </x:row>
    <x:row r="932">
      <x:c r="A932" s="87"/>
      <x:c r="D932" s="32"/>
      <x:c r="I932" s="74"/>
      <x:c r="J932" s="74"/>
      <x:c r="K932" s="74"/>
      <x:c r="L932" s="74"/>
      <x:c r="M932" s="91"/>
      <x:c r="N932" s="85"/>
      <x:c r="P932" s="86"/>
      <x:c r="Q932" s="32"/>
    </x:row>
    <x:row r="933">
      <x:c r="A933" s="87"/>
      <x:c r="D933" s="32"/>
      <x:c r="I933" s="74"/>
      <x:c r="J933" s="74"/>
      <x:c r="K933" s="74"/>
      <x:c r="L933" s="74"/>
      <x:c r="M933" s="91"/>
      <x:c r="N933" s="85"/>
      <x:c r="P933" s="86"/>
      <x:c r="Q933" s="32"/>
    </x:row>
    <x:row r="934">
      <x:c r="A934" s="87"/>
      <x:c r="D934" s="32"/>
      <x:c r="I934" s="74"/>
      <x:c r="J934" s="74"/>
      <x:c r="K934" s="74"/>
      <x:c r="L934" s="74"/>
      <x:c r="M934" s="91"/>
      <x:c r="N934" s="85"/>
      <x:c r="P934" s="86"/>
      <x:c r="Q934" s="32"/>
    </x:row>
    <x:row r="935">
      <x:c r="A935" s="87"/>
      <x:c r="D935" s="32"/>
      <x:c r="I935" s="74"/>
      <x:c r="J935" s="74"/>
      <x:c r="K935" s="74"/>
      <x:c r="L935" s="74"/>
      <x:c r="M935" s="91"/>
      <x:c r="N935" s="85"/>
      <x:c r="P935" s="86"/>
      <x:c r="Q935" s="32"/>
    </x:row>
    <x:row r="936">
      <x:c r="A936" s="87"/>
      <x:c r="D936" s="32"/>
      <x:c r="I936" s="74"/>
      <x:c r="J936" s="74"/>
      <x:c r="K936" s="74"/>
      <x:c r="L936" s="74"/>
      <x:c r="M936" s="91"/>
      <x:c r="N936" s="85"/>
      <x:c r="P936" s="86"/>
      <x:c r="Q936" s="32"/>
    </x:row>
    <x:row r="937">
      <x:c r="A937" s="87"/>
      <x:c r="D937" s="32"/>
      <x:c r="I937" s="74"/>
      <x:c r="J937" s="74"/>
      <x:c r="K937" s="74"/>
      <x:c r="L937" s="74"/>
      <x:c r="M937" s="91"/>
      <x:c r="N937" s="85"/>
      <x:c r="P937" s="86"/>
      <x:c r="Q937" s="32"/>
    </x:row>
    <x:row r="938">
      <x:c r="A938" s="87"/>
      <x:c r="D938" s="32"/>
      <x:c r="I938" s="74"/>
      <x:c r="J938" s="74"/>
      <x:c r="K938" s="74"/>
      <x:c r="L938" s="74"/>
      <x:c r="M938" s="91"/>
      <x:c r="N938" s="85"/>
      <x:c r="P938" s="86"/>
      <x:c r="Q938" s="32"/>
    </x:row>
    <x:row r="939">
      <x:c r="A939" s="87"/>
      <x:c r="D939" s="32"/>
      <x:c r="I939" s="74"/>
      <x:c r="J939" s="74"/>
      <x:c r="K939" s="74"/>
      <x:c r="L939" s="74"/>
      <x:c r="M939" s="91"/>
      <x:c r="N939" s="85"/>
      <x:c r="P939" s="86"/>
      <x:c r="Q939" s="32"/>
    </x:row>
    <x:row r="940">
      <x:c r="A940" s="87"/>
      <x:c r="D940" s="32"/>
      <x:c r="I940" s="74"/>
      <x:c r="J940" s="74"/>
      <x:c r="K940" s="74"/>
      <x:c r="L940" s="74"/>
      <x:c r="M940" s="91"/>
      <x:c r="N940" s="85"/>
      <x:c r="P940" s="86"/>
      <x:c r="Q940" s="32"/>
    </x:row>
    <x:row r="941">
      <x:c r="A941" s="87"/>
      <x:c r="D941" s="32"/>
      <x:c r="I941" s="74"/>
      <x:c r="J941" s="74"/>
      <x:c r="K941" s="74"/>
      <x:c r="L941" s="74"/>
      <x:c r="M941" s="91"/>
      <x:c r="N941" s="85"/>
      <x:c r="P941" s="86"/>
      <x:c r="Q941" s="32"/>
    </x:row>
    <x:row r="942">
      <x:c r="A942" s="87"/>
      <x:c r="D942" s="32"/>
      <x:c r="I942" s="74"/>
      <x:c r="J942" s="74"/>
      <x:c r="K942" s="74"/>
      <x:c r="L942" s="74"/>
      <x:c r="M942" s="91"/>
      <x:c r="N942" s="85"/>
      <x:c r="P942" s="86"/>
      <x:c r="Q942" s="32"/>
    </x:row>
    <x:row r="943">
      <x:c r="A943" s="87"/>
      <x:c r="D943" s="32"/>
      <x:c r="I943" s="74"/>
      <x:c r="J943" s="74"/>
      <x:c r="K943" s="74"/>
      <x:c r="L943" s="74"/>
      <x:c r="M943" s="91"/>
      <x:c r="N943" s="85"/>
      <x:c r="P943" s="86"/>
      <x:c r="Q943" s="32"/>
    </x:row>
    <x:row r="944">
      <x:c r="A944" s="87"/>
      <x:c r="D944" s="32"/>
      <x:c r="I944" s="74"/>
      <x:c r="J944" s="74"/>
      <x:c r="K944" s="74"/>
      <x:c r="L944" s="74"/>
      <x:c r="M944" s="91"/>
      <x:c r="N944" s="85"/>
      <x:c r="P944" s="86"/>
      <x:c r="Q944" s="32"/>
    </x:row>
    <x:row r="945">
      <x:c r="A945" s="87"/>
      <x:c r="D945" s="32"/>
      <x:c r="I945" s="74"/>
      <x:c r="J945" s="74"/>
      <x:c r="K945" s="74"/>
      <x:c r="L945" s="74"/>
      <x:c r="M945" s="91"/>
      <x:c r="N945" s="85"/>
      <x:c r="P945" s="86"/>
      <x:c r="Q945" s="32"/>
    </x:row>
    <x:row r="946">
      <x:c r="A946" s="87"/>
      <x:c r="D946" s="32"/>
      <x:c r="I946" s="74"/>
      <x:c r="J946" s="74"/>
      <x:c r="K946" s="74"/>
      <x:c r="L946" s="74"/>
      <x:c r="M946" s="91"/>
      <x:c r="N946" s="85"/>
      <x:c r="P946" s="86"/>
      <x:c r="Q946" s="32"/>
    </x:row>
    <x:row r="947">
      <x:c r="A947" s="87"/>
      <x:c r="D947" s="32"/>
      <x:c r="I947" s="74"/>
      <x:c r="J947" s="74"/>
      <x:c r="K947" s="74"/>
      <x:c r="L947" s="74"/>
      <x:c r="M947" s="91"/>
      <x:c r="N947" s="85"/>
      <x:c r="P947" s="86"/>
      <x:c r="Q947" s="32"/>
    </x:row>
    <x:row r="948">
      <x:c r="A948" s="87"/>
      <x:c r="D948" s="32"/>
      <x:c r="I948" s="74"/>
      <x:c r="J948" s="74"/>
      <x:c r="K948" s="74"/>
      <x:c r="L948" s="74"/>
      <x:c r="M948" s="91"/>
      <x:c r="N948" s="85"/>
      <x:c r="P948" s="86"/>
      <x:c r="Q948" s="32"/>
    </x:row>
    <x:row r="949">
      <x:c r="A949" s="87"/>
      <x:c r="D949" s="32"/>
      <x:c r="I949" s="74"/>
      <x:c r="J949" s="74"/>
      <x:c r="K949" s="74"/>
      <x:c r="L949" s="74"/>
      <x:c r="M949" s="91"/>
      <x:c r="N949" s="85"/>
      <x:c r="P949" s="86"/>
      <x:c r="Q949" s="32"/>
    </x:row>
    <x:row r="950">
      <x:c r="A950" s="87"/>
      <x:c r="D950" s="32"/>
      <x:c r="I950" s="74"/>
      <x:c r="J950" s="74"/>
      <x:c r="K950" s="74"/>
      <x:c r="L950" s="74"/>
      <x:c r="M950" s="91"/>
      <x:c r="N950" s="85"/>
      <x:c r="P950" s="86"/>
      <x:c r="Q950" s="32"/>
    </x:row>
    <x:row r="951">
      <x:c r="A951" s="87"/>
      <x:c r="D951" s="32"/>
      <x:c r="I951" s="74"/>
      <x:c r="J951" s="74"/>
      <x:c r="K951" s="74"/>
      <x:c r="L951" s="74"/>
      <x:c r="M951" s="91"/>
      <x:c r="N951" s="85"/>
      <x:c r="P951" s="86"/>
      <x:c r="Q951" s="32"/>
    </x:row>
    <x:row r="952">
      <x:c r="A952" s="87"/>
      <x:c r="D952" s="32"/>
      <x:c r="I952" s="74"/>
      <x:c r="J952" s="74"/>
      <x:c r="K952" s="74"/>
      <x:c r="L952" s="74"/>
      <x:c r="M952" s="91"/>
      <x:c r="N952" s="85"/>
      <x:c r="P952" s="86"/>
      <x:c r="Q952" s="32"/>
    </x:row>
    <x:row r="953">
      <x:c r="A953" s="87"/>
      <x:c r="D953" s="32"/>
      <x:c r="I953" s="74"/>
      <x:c r="J953" s="74"/>
      <x:c r="K953" s="74"/>
      <x:c r="L953" s="74"/>
      <x:c r="M953" s="91"/>
      <x:c r="N953" s="85"/>
      <x:c r="P953" s="86"/>
      <x:c r="Q953" s="32"/>
    </x:row>
    <x:row r="954">
      <x:c r="A954" s="87"/>
      <x:c r="D954" s="32"/>
      <x:c r="I954" s="74"/>
      <x:c r="J954" s="74"/>
      <x:c r="K954" s="74"/>
      <x:c r="L954" s="74"/>
      <x:c r="M954" s="91"/>
      <x:c r="N954" s="85"/>
      <x:c r="P954" s="86"/>
      <x:c r="Q954" s="32"/>
    </x:row>
    <x:row r="955">
      <x:c r="A955" s="87"/>
      <x:c r="D955" s="32"/>
      <x:c r="I955" s="74"/>
      <x:c r="J955" s="74"/>
      <x:c r="K955" s="74"/>
      <x:c r="L955" s="74"/>
      <x:c r="M955" s="91"/>
      <x:c r="N955" s="85"/>
      <x:c r="P955" s="86"/>
      <x:c r="Q955" s="32"/>
    </x:row>
    <x:row r="956">
      <x:c r="A956" s="87"/>
      <x:c r="D956" s="32"/>
      <x:c r="I956" s="74"/>
      <x:c r="J956" s="74"/>
      <x:c r="K956" s="74"/>
      <x:c r="L956" s="74"/>
      <x:c r="M956" s="91"/>
      <x:c r="N956" s="85"/>
      <x:c r="P956" s="86"/>
      <x:c r="Q956" s="32"/>
    </x:row>
    <x:row r="957">
      <x:c r="A957" s="87"/>
      <x:c r="D957" s="32"/>
      <x:c r="I957" s="74"/>
      <x:c r="J957" s="74"/>
      <x:c r="K957" s="74"/>
      <x:c r="L957" s="74"/>
      <x:c r="M957" s="91"/>
      <x:c r="N957" s="85"/>
      <x:c r="P957" s="86"/>
      <x:c r="Q957" s="32"/>
    </x:row>
    <x:row r="958">
      <x:c r="A958" s="87"/>
      <x:c r="D958" s="32"/>
      <x:c r="I958" s="74"/>
      <x:c r="J958" s="74"/>
      <x:c r="K958" s="74"/>
      <x:c r="L958" s="74"/>
      <x:c r="M958" s="91"/>
      <x:c r="N958" s="85"/>
      <x:c r="P958" s="86"/>
      <x:c r="Q958" s="32"/>
    </x:row>
    <x:row r="959">
      <x:c r="A959" s="87"/>
      <x:c r="D959" s="32"/>
      <x:c r="I959" s="74"/>
      <x:c r="J959" s="74"/>
      <x:c r="K959" s="74"/>
      <x:c r="L959" s="74"/>
      <x:c r="M959" s="91"/>
      <x:c r="N959" s="85"/>
      <x:c r="P959" s="86"/>
      <x:c r="Q959" s="32"/>
    </x:row>
    <x:row r="960">
      <x:c r="A960" s="87"/>
      <x:c r="D960" s="32"/>
      <x:c r="I960" s="74"/>
      <x:c r="J960" s="74"/>
      <x:c r="K960" s="74"/>
      <x:c r="L960" s="74"/>
      <x:c r="M960" s="91"/>
      <x:c r="N960" s="85"/>
      <x:c r="P960" s="86"/>
      <x:c r="Q960" s="32"/>
    </x:row>
    <x:row r="961">
      <x:c r="A961" s="87"/>
      <x:c r="D961" s="32"/>
      <x:c r="I961" s="74"/>
      <x:c r="J961" s="74"/>
      <x:c r="K961" s="74"/>
      <x:c r="L961" s="74"/>
      <x:c r="M961" s="91"/>
      <x:c r="N961" s="85"/>
      <x:c r="P961" s="86"/>
      <x:c r="Q961" s="32"/>
    </x:row>
    <x:row r="962">
      <x:c r="A962" s="87"/>
      <x:c r="D962" s="32"/>
      <x:c r="I962" s="74"/>
      <x:c r="J962" s="74"/>
      <x:c r="K962" s="74"/>
      <x:c r="L962" s="74"/>
      <x:c r="M962" s="91"/>
      <x:c r="N962" s="85"/>
      <x:c r="P962" s="86"/>
      <x:c r="Q962" s="32"/>
    </x:row>
    <x:row r="963">
      <x:c r="A963" s="87"/>
      <x:c r="D963" s="32"/>
      <x:c r="I963" s="74"/>
      <x:c r="J963" s="74"/>
      <x:c r="K963" s="74"/>
      <x:c r="L963" s="74"/>
      <x:c r="M963" s="91"/>
      <x:c r="N963" s="85"/>
      <x:c r="P963" s="86"/>
      <x:c r="Q963" s="32"/>
    </x:row>
    <x:row r="964">
      <x:c r="A964" s="87"/>
      <x:c r="D964" s="32"/>
      <x:c r="I964" s="74"/>
      <x:c r="J964" s="74"/>
      <x:c r="K964" s="74"/>
      <x:c r="L964" s="74"/>
      <x:c r="M964" s="91"/>
      <x:c r="N964" s="85"/>
      <x:c r="P964" s="86"/>
      <x:c r="Q964" s="32"/>
    </x:row>
    <x:row r="965">
      <x:c r="A965" s="87"/>
      <x:c r="D965" s="32"/>
      <x:c r="I965" s="74"/>
      <x:c r="J965" s="74"/>
      <x:c r="K965" s="74"/>
      <x:c r="L965" s="74"/>
      <x:c r="M965" s="91"/>
      <x:c r="N965" s="85"/>
      <x:c r="P965" s="86"/>
      <x:c r="Q965" s="32"/>
    </x:row>
    <x:row r="966">
      <x:c r="A966" s="87"/>
      <x:c r="D966" s="32"/>
      <x:c r="I966" s="74"/>
      <x:c r="J966" s="74"/>
      <x:c r="K966" s="74"/>
      <x:c r="L966" s="74"/>
      <x:c r="M966" s="91"/>
      <x:c r="N966" s="85"/>
      <x:c r="P966" s="86"/>
      <x:c r="Q966" s="32"/>
    </x:row>
    <x:row r="967">
      <x:c r="A967" s="87"/>
      <x:c r="D967" s="32"/>
      <x:c r="I967" s="74"/>
      <x:c r="J967" s="74"/>
      <x:c r="K967" s="74"/>
      <x:c r="L967" s="74"/>
      <x:c r="M967" s="91"/>
      <x:c r="N967" s="85"/>
      <x:c r="P967" s="86"/>
      <x:c r="Q967" s="32"/>
    </x:row>
    <x:row r="968">
      <x:c r="A968" s="87"/>
      <x:c r="D968" s="32"/>
      <x:c r="I968" s="74"/>
      <x:c r="J968" s="74"/>
      <x:c r="K968" s="74"/>
      <x:c r="L968" s="74"/>
      <x:c r="M968" s="91"/>
      <x:c r="N968" s="85"/>
      <x:c r="P968" s="86"/>
      <x:c r="Q968" s="32"/>
    </x:row>
    <x:row r="969">
      <x:c r="A969" s="87"/>
      <x:c r="D969" s="32"/>
      <x:c r="I969" s="74"/>
      <x:c r="J969" s="74"/>
      <x:c r="K969" s="74"/>
      <x:c r="L969" s="74"/>
      <x:c r="M969" s="91"/>
      <x:c r="N969" s="85"/>
      <x:c r="P969" s="86"/>
      <x:c r="Q969" s="32"/>
    </x:row>
    <x:row r="970">
      <x:c r="A970" s="87"/>
      <x:c r="D970" s="32"/>
      <x:c r="I970" s="74"/>
      <x:c r="J970" s="74"/>
      <x:c r="K970" s="74"/>
      <x:c r="L970" s="74"/>
      <x:c r="M970" s="91"/>
      <x:c r="N970" s="85"/>
      <x:c r="P970" s="86"/>
      <x:c r="Q970" s="32"/>
    </x:row>
    <x:row r="971">
      <x:c r="A971" s="87"/>
      <x:c r="D971" s="32"/>
      <x:c r="I971" s="74"/>
      <x:c r="J971" s="74"/>
      <x:c r="K971" s="74"/>
      <x:c r="L971" s="74"/>
      <x:c r="M971" s="91"/>
      <x:c r="N971" s="85"/>
      <x:c r="P971" s="86"/>
      <x:c r="Q971" s="32"/>
    </x:row>
    <x:row r="972">
      <x:c r="A972" s="87"/>
      <x:c r="D972" s="32"/>
      <x:c r="I972" s="74"/>
      <x:c r="J972" s="74"/>
      <x:c r="K972" s="74"/>
      <x:c r="L972" s="74"/>
      <x:c r="M972" s="91"/>
      <x:c r="N972" s="85"/>
      <x:c r="P972" s="86"/>
      <x:c r="Q972" s="32"/>
    </x:row>
    <x:row r="973">
      <x:c r="A973" s="87"/>
      <x:c r="D973" s="32"/>
      <x:c r="I973" s="74"/>
      <x:c r="J973" s="74"/>
      <x:c r="K973" s="74"/>
      <x:c r="L973" s="74"/>
      <x:c r="M973" s="91"/>
      <x:c r="N973" s="85"/>
      <x:c r="P973" s="86"/>
      <x:c r="Q973" s="32"/>
    </x:row>
    <x:row r="974">
      <x:c r="A974" s="87"/>
      <x:c r="D974" s="32"/>
      <x:c r="I974" s="74"/>
      <x:c r="J974" s="74"/>
      <x:c r="K974" s="74"/>
      <x:c r="L974" s="74"/>
      <x:c r="M974" s="91"/>
      <x:c r="N974" s="85"/>
      <x:c r="P974" s="86"/>
      <x:c r="Q974" s="32"/>
    </x:row>
    <x:row r="975">
      <x:c r="A975" s="87"/>
      <x:c r="D975" s="32"/>
      <x:c r="I975" s="74"/>
      <x:c r="J975" s="74"/>
      <x:c r="K975" s="74"/>
      <x:c r="L975" s="74"/>
      <x:c r="M975" s="91"/>
      <x:c r="N975" s="85"/>
      <x:c r="P975" s="86"/>
      <x:c r="Q975" s="32"/>
    </x:row>
    <x:row r="976">
      <x:c r="A976" s="87"/>
      <x:c r="D976" s="32"/>
      <x:c r="I976" s="74"/>
      <x:c r="J976" s="74"/>
      <x:c r="K976" s="74"/>
      <x:c r="L976" s="74"/>
      <x:c r="M976" s="91"/>
      <x:c r="N976" s="85"/>
      <x:c r="P976" s="86"/>
      <x:c r="Q976" s="32"/>
    </x:row>
    <x:row r="977">
      <x:c r="A977" s="87"/>
      <x:c r="D977" s="32"/>
      <x:c r="I977" s="74"/>
      <x:c r="J977" s="74"/>
      <x:c r="K977" s="74"/>
      <x:c r="L977" s="74"/>
      <x:c r="M977" s="91"/>
      <x:c r="N977" s="85"/>
      <x:c r="P977" s="86"/>
      <x:c r="Q977" s="32"/>
    </x:row>
    <x:row r="978">
      <x:c r="A978" s="87"/>
      <x:c r="D978" s="32"/>
      <x:c r="I978" s="74"/>
      <x:c r="J978" s="74"/>
      <x:c r="K978" s="74"/>
      <x:c r="L978" s="74"/>
      <x:c r="M978" s="91"/>
      <x:c r="N978" s="85"/>
      <x:c r="P978" s="86"/>
      <x:c r="Q978" s="32"/>
    </x:row>
    <x:row r="979">
      <x:c r="A979" s="87"/>
      <x:c r="D979" s="32"/>
      <x:c r="I979" s="74"/>
      <x:c r="J979" s="74"/>
      <x:c r="K979" s="74"/>
      <x:c r="L979" s="74"/>
      <x:c r="M979" s="91"/>
      <x:c r="N979" s="85"/>
      <x:c r="P979" s="86"/>
      <x:c r="Q979" s="32"/>
    </x:row>
    <x:row r="980">
      <x:c r="A980" s="87"/>
      <x:c r="D980" s="32"/>
      <x:c r="I980" s="74"/>
      <x:c r="J980" s="74"/>
      <x:c r="K980" s="74"/>
      <x:c r="L980" s="74"/>
      <x:c r="M980" s="91"/>
      <x:c r="N980" s="85"/>
      <x:c r="P980" s="86"/>
      <x:c r="Q980" s="32"/>
    </x:row>
    <x:row r="981">
      <x:c r="A981" s="87"/>
      <x:c r="D981" s="32"/>
      <x:c r="I981" s="74"/>
      <x:c r="J981" s="74"/>
      <x:c r="K981" s="74"/>
      <x:c r="L981" s="74"/>
      <x:c r="M981" s="91"/>
      <x:c r="N981" s="85"/>
      <x:c r="P981" s="86"/>
      <x:c r="Q981" s="32"/>
    </x:row>
    <x:row r="982">
      <x:c r="A982" s="87"/>
      <x:c r="D982" s="32"/>
      <x:c r="I982" s="74"/>
      <x:c r="J982" s="74"/>
      <x:c r="K982" s="74"/>
      <x:c r="L982" s="74"/>
      <x:c r="M982" s="91"/>
      <x:c r="N982" s="85"/>
      <x:c r="P982" s="86"/>
      <x:c r="Q982" s="32"/>
    </x:row>
    <x:row r="983">
      <x:c r="A983" s="87"/>
      <x:c r="D983" s="32"/>
      <x:c r="I983" s="74"/>
      <x:c r="J983" s="74"/>
      <x:c r="K983" s="74"/>
      <x:c r="L983" s="74"/>
      <x:c r="M983" s="91"/>
      <x:c r="N983" s="85"/>
      <x:c r="P983" s="86"/>
      <x:c r="Q983" s="32"/>
    </x:row>
    <x:row r="984">
      <x:c r="A984" s="87"/>
      <x:c r="D984" s="32"/>
      <x:c r="I984" s="74"/>
      <x:c r="J984" s="74"/>
      <x:c r="K984" s="74"/>
      <x:c r="L984" s="74"/>
      <x:c r="M984" s="91"/>
      <x:c r="N984" s="85"/>
      <x:c r="P984" s="86"/>
      <x:c r="Q984" s="32"/>
    </x:row>
    <x:row r="985">
      <x:c r="A985" s="87"/>
      <x:c r="D985" s="32"/>
      <x:c r="I985" s="74"/>
      <x:c r="J985" s="74"/>
      <x:c r="K985" s="74"/>
      <x:c r="L985" s="74"/>
      <x:c r="M985" s="91"/>
      <x:c r="N985" s="85"/>
      <x:c r="P985" s="86"/>
      <x:c r="Q985" s="32"/>
    </x:row>
    <x:row r="986">
      <x:c r="A986" s="87"/>
      <x:c r="D986" s="32"/>
      <x:c r="I986" s="74"/>
      <x:c r="J986" s="74"/>
      <x:c r="K986" s="74"/>
      <x:c r="L986" s="74"/>
      <x:c r="M986" s="91"/>
      <x:c r="N986" s="85"/>
      <x:c r="P986" s="86"/>
      <x:c r="Q986" s="32"/>
    </x:row>
    <x:row r="987">
      <x:c r="A987" s="87"/>
      <x:c r="D987" s="32"/>
      <x:c r="I987" s="74"/>
      <x:c r="J987" s="74"/>
      <x:c r="K987" s="74"/>
      <x:c r="L987" s="74"/>
      <x:c r="M987" s="91"/>
      <x:c r="N987" s="85"/>
      <x:c r="P987" s="86"/>
      <x:c r="Q987" s="32"/>
    </x:row>
    <x:row r="988">
      <x:c r="A988" s="87"/>
      <x:c r="D988" s="32"/>
      <x:c r="I988" s="74"/>
      <x:c r="J988" s="74"/>
      <x:c r="K988" s="74"/>
      <x:c r="L988" s="74"/>
      <x:c r="M988" s="91"/>
      <x:c r="N988" s="85"/>
      <x:c r="P988" s="86"/>
      <x:c r="Q988" s="32"/>
    </x:row>
    <x:row r="989">
      <x:c r="A989" s="87"/>
      <x:c r="D989" s="32"/>
      <x:c r="I989" s="74"/>
      <x:c r="J989" s="74"/>
      <x:c r="K989" s="74"/>
      <x:c r="L989" s="74"/>
      <x:c r="M989" s="91"/>
      <x:c r="N989" s="85"/>
      <x:c r="P989" s="86"/>
      <x:c r="Q989" s="32"/>
    </x:row>
    <x:row r="990">
      <x:c r="A990" s="87"/>
      <x:c r="D990" s="32"/>
      <x:c r="I990" s="74"/>
      <x:c r="J990" s="74"/>
      <x:c r="K990" s="74"/>
      <x:c r="L990" s="74"/>
      <x:c r="M990" s="91"/>
      <x:c r="N990" s="85"/>
      <x:c r="P990" s="86"/>
      <x:c r="Q990" s="32"/>
    </x:row>
    <x:row r="991">
      <x:c r="A991" s="87"/>
      <x:c r="D991" s="32"/>
      <x:c r="I991" s="74"/>
      <x:c r="J991" s="74"/>
      <x:c r="K991" s="74"/>
      <x:c r="L991" s="74"/>
      <x:c r="M991" s="91"/>
      <x:c r="N991" s="85"/>
      <x:c r="P991" s="86"/>
      <x:c r="Q991" s="32"/>
    </x:row>
    <x:row r="992">
      <x:c r="A992" s="87"/>
      <x:c r="D992" s="32"/>
      <x:c r="I992" s="74"/>
      <x:c r="J992" s="74"/>
      <x:c r="K992" s="74"/>
      <x:c r="L992" s="74"/>
      <x:c r="M992" s="91"/>
      <x:c r="N992" s="85"/>
      <x:c r="P992" s="86"/>
      <x:c r="Q992" s="32"/>
    </x:row>
    <x:row r="993">
      <x:c r="A993" s="87"/>
      <x:c r="D993" s="32"/>
      <x:c r="I993" s="74"/>
      <x:c r="J993" s="74"/>
      <x:c r="K993" s="74"/>
      <x:c r="L993" s="74"/>
      <x:c r="M993" s="91"/>
      <x:c r="N993" s="85"/>
      <x:c r="P993" s="86"/>
      <x:c r="Q993" s="32"/>
    </x:row>
    <x:row r="994">
      <x:c r="A994" s="87"/>
      <x:c r="D994" s="32"/>
      <x:c r="I994" s="74"/>
      <x:c r="J994" s="74"/>
      <x:c r="K994" s="74"/>
      <x:c r="L994" s="74"/>
      <x:c r="M994" s="91"/>
      <x:c r="N994" s="85"/>
      <x:c r="P994" s="86"/>
      <x:c r="Q994" s="32"/>
    </x:row>
    <x:row r="995">
      <x:c r="A995" s="87"/>
      <x:c r="D995" s="32"/>
      <x:c r="I995" s="74"/>
      <x:c r="J995" s="74"/>
      <x:c r="K995" s="74"/>
      <x:c r="L995" s="74"/>
      <x:c r="M995" s="91"/>
      <x:c r="N995" s="85"/>
      <x:c r="P995" s="86"/>
      <x:c r="Q995" s="32"/>
    </x:row>
    <x:row r="996">
      <x:c r="A996" s="87"/>
      <x:c r="D996" s="32"/>
      <x:c r="I996" s="74"/>
      <x:c r="J996" s="74"/>
      <x:c r="K996" s="74"/>
      <x:c r="L996" s="74"/>
      <x:c r="M996" s="91"/>
      <x:c r="N996" s="85"/>
      <x:c r="P996" s="86"/>
      <x:c r="Q996" s="32"/>
    </x:row>
    <x:row r="997">
      <x:c r="A997" s="87"/>
      <x:c r="D997" s="32"/>
      <x:c r="I997" s="74"/>
      <x:c r="J997" s="74"/>
      <x:c r="K997" s="74"/>
      <x:c r="L997" s="74"/>
      <x:c r="M997" s="91"/>
      <x:c r="N997" s="85"/>
      <x:c r="P997" s="86"/>
      <x:c r="Q997" s="32"/>
    </x:row>
    <x:row r="998">
      <x:c r="A998" s="87"/>
      <x:c r="D998" s="32"/>
      <x:c r="I998" s="74"/>
      <x:c r="J998" s="74"/>
      <x:c r="K998" s="74"/>
      <x:c r="L998" s="74"/>
      <x:c r="M998" s="91"/>
      <x:c r="N998" s="85"/>
      <x:c r="P998" s="86"/>
      <x:c r="Q998" s="32"/>
    </x:row>
    <x:row r="999">
      <x:c r="A999" s="87"/>
      <x:c r="D999" s="32"/>
      <x:c r="I999" s="74"/>
      <x:c r="J999" s="74"/>
      <x:c r="K999" s="74"/>
      <x:c r="L999" s="74"/>
      <x:c r="M999" s="91"/>
      <x:c r="N999" s="85"/>
      <x:c r="P999" s="86"/>
      <x:c r="Q999" s="32"/>
    </x:row>
    <x:row r="1000">
      <x:c r="A1000" s="87"/>
      <x:c r="D1000" s="32"/>
      <x:c r="I1000" s="74"/>
      <x:c r="J1000" s="74"/>
      <x:c r="K1000" s="74"/>
      <x:c r="L1000" s="74"/>
      <x:c r="M1000" s="91"/>
      <x:c r="N1000" s="85"/>
      <x:c r="P1000" s="86"/>
      <x:c r="Q1000" s="32"/>
    </x:row>
    <x:row r="1001">
      <x:c r="A1001" s="87"/>
      <x:c r="D1001" s="32"/>
      <x:c r="I1001" s="74"/>
      <x:c r="J1001" s="74"/>
      <x:c r="K1001" s="74"/>
      <x:c r="L1001" s="74"/>
      <x:c r="M1001" s="91"/>
      <x:c r="N1001" s="85"/>
      <x:c r="P1001" s="86"/>
      <x:c r="Q1001" s="32"/>
    </x:row>
    <x:row r="1002">
      <x:c r="A1002" s="87"/>
      <x:c r="D1002" s="32"/>
      <x:c r="I1002" s="74"/>
      <x:c r="J1002" s="74"/>
      <x:c r="K1002" s="74"/>
      <x:c r="L1002" s="74"/>
      <x:c r="M1002" s="91"/>
      <x:c r="N1002" s="85"/>
      <x:c r="P1002" s="86"/>
      <x:c r="Q1002" s="32"/>
    </x:row>
    <x:row r="1003">
      <x:c r="A1003" s="87"/>
      <x:c r="D1003" s="32"/>
      <x:c r="I1003" s="74"/>
      <x:c r="J1003" s="74"/>
      <x:c r="K1003" s="74"/>
      <x:c r="L1003" s="74"/>
      <x:c r="M1003" s="91"/>
      <x:c r="N1003" s="85"/>
      <x:c r="P1003" s="86"/>
      <x:c r="Q1003" s="32"/>
    </x:row>
    <x:row r="1004">
      <x:c r="A1004" s="87"/>
      <x:c r="D1004" s="32"/>
      <x:c r="I1004" s="74"/>
      <x:c r="J1004" s="74"/>
      <x:c r="K1004" s="74"/>
      <x:c r="L1004" s="74"/>
      <x:c r="M1004" s="91"/>
      <x:c r="N1004" s="85"/>
      <x:c r="P1004" s="86"/>
      <x:c r="Q1004" s="32"/>
    </x:row>
    <x:row r="1005">
      <x:c r="A1005" s="87"/>
      <x:c r="D1005" s="32"/>
      <x:c r="I1005" s="74"/>
      <x:c r="J1005" s="74"/>
      <x:c r="K1005" s="74"/>
      <x:c r="L1005" s="74"/>
      <x:c r="M1005" s="91"/>
      <x:c r="N1005" s="85"/>
      <x:c r="P1005" s="86"/>
      <x:c r="Q1005" s="32"/>
    </x:row>
    <x:row r="1006">
      <x:c r="A1006" s="87"/>
      <x:c r="D1006" s="32"/>
      <x:c r="I1006" s="74"/>
      <x:c r="J1006" s="74"/>
      <x:c r="K1006" s="74"/>
      <x:c r="L1006" s="74"/>
      <x:c r="M1006" s="91"/>
      <x:c r="N1006" s="85"/>
      <x:c r="P1006" s="86"/>
      <x:c r="Q1006" s="32"/>
    </x:row>
    <x:row r="1007">
      <x:c r="A1007" s="87"/>
      <x:c r="D1007" s="32"/>
      <x:c r="I1007" s="74"/>
      <x:c r="J1007" s="74"/>
      <x:c r="K1007" s="74"/>
      <x:c r="L1007" s="74"/>
      <x:c r="M1007" s="91"/>
      <x:c r="N1007" s="85"/>
      <x:c r="P1007" s="86"/>
      <x:c r="Q1007" s="32"/>
    </x:row>
    <x:row r="1008">
      <x:c r="A1008" s="87"/>
      <x:c r="D1008" s="32"/>
      <x:c r="I1008" s="74"/>
      <x:c r="J1008" s="74"/>
      <x:c r="K1008" s="74"/>
      <x:c r="L1008" s="74"/>
      <x:c r="M1008" s="91"/>
      <x:c r="N1008" s="85"/>
      <x:c r="P1008" s="86"/>
      <x:c r="Q1008" s="32"/>
    </x:row>
    <x:row r="1009">
      <x:c r="A1009" s="87"/>
      <x:c r="D1009" s="32"/>
      <x:c r="I1009" s="74"/>
      <x:c r="J1009" s="74"/>
      <x:c r="K1009" s="74"/>
      <x:c r="L1009" s="74"/>
      <x:c r="M1009" s="91"/>
      <x:c r="N1009" s="85"/>
      <x:c r="P1009" s="86"/>
      <x:c r="Q1009" s="32"/>
    </x:row>
    <x:row r="1010">
      <x:c r="A1010" s="87"/>
      <x:c r="D1010" s="32"/>
      <x:c r="I1010" s="74"/>
      <x:c r="J1010" s="74"/>
      <x:c r="K1010" s="74"/>
      <x:c r="L1010" s="74"/>
      <x:c r="M1010" s="91"/>
      <x:c r="N1010" s="85"/>
      <x:c r="P1010" s="86"/>
      <x:c r="Q1010" s="32"/>
    </x:row>
    <x:row r="1011">
      <x:c r="A1011" s="87"/>
      <x:c r="D1011" s="32"/>
      <x:c r="I1011" s="74"/>
      <x:c r="J1011" s="74"/>
      <x:c r="K1011" s="74"/>
      <x:c r="L1011" s="74"/>
      <x:c r="M1011" s="91"/>
      <x:c r="N1011" s="85"/>
      <x:c r="P1011" s="86"/>
      <x:c r="Q1011" s="32"/>
    </x:row>
    <x:row r="1012">
      <x:c r="A1012" s="87"/>
      <x:c r="D1012" s="32"/>
      <x:c r="I1012" s="74"/>
      <x:c r="J1012" s="74"/>
      <x:c r="K1012" s="74"/>
      <x:c r="L1012" s="74"/>
      <x:c r="M1012" s="91"/>
      <x:c r="N1012" s="85"/>
      <x:c r="P1012" s="86"/>
      <x:c r="Q1012" s="32"/>
    </x:row>
    <x:row r="1013">
      <x:c r="A1013" s="87"/>
      <x:c r="D1013" s="32"/>
      <x:c r="I1013" s="74"/>
      <x:c r="J1013" s="74"/>
      <x:c r="K1013" s="74"/>
      <x:c r="L1013" s="74"/>
      <x:c r="M1013" s="91"/>
      <x:c r="N1013" s="85"/>
      <x:c r="P1013" s="86"/>
      <x:c r="Q1013" s="32"/>
    </x:row>
    <x:row r="1014">
      <x:c r="A1014" s="87"/>
      <x:c r="D1014" s="32"/>
      <x:c r="I1014" s="74"/>
      <x:c r="J1014" s="74"/>
      <x:c r="K1014" s="74"/>
      <x:c r="L1014" s="74"/>
      <x:c r="M1014" s="91"/>
      <x:c r="N1014" s="85"/>
      <x:c r="P1014" s="86"/>
      <x:c r="Q1014" s="32"/>
    </x:row>
    <x:row r="1015">
      <x:c r="A1015" s="87"/>
      <x:c r="D1015" s="32"/>
      <x:c r="I1015" s="74"/>
      <x:c r="J1015" s="74"/>
      <x:c r="K1015" s="74"/>
      <x:c r="L1015" s="74"/>
      <x:c r="M1015" s="91"/>
      <x:c r="N1015" s="85"/>
      <x:c r="P1015" s="86"/>
      <x:c r="Q1015" s="32"/>
    </x:row>
    <x:row r="1016">
      <x:c r="A1016" s="87"/>
      <x:c r="D1016" s="32"/>
      <x:c r="I1016" s="74"/>
      <x:c r="J1016" s="74"/>
      <x:c r="K1016" s="74"/>
      <x:c r="L1016" s="74"/>
      <x:c r="M1016" s="91"/>
      <x:c r="N1016" s="85"/>
      <x:c r="P1016" s="86"/>
      <x:c r="Q1016" s="32"/>
    </x:row>
    <x:row r="1017">
      <x:c r="A1017" s="87"/>
      <x:c r="D1017" s="32"/>
      <x:c r="I1017" s="74"/>
      <x:c r="J1017" s="74"/>
      <x:c r="K1017" s="74"/>
      <x:c r="L1017" s="74"/>
      <x:c r="M1017" s="91"/>
      <x:c r="N1017" s="85"/>
      <x:c r="P1017" s="86"/>
      <x:c r="Q1017" s="32"/>
    </x:row>
    <x:row r="1018">
      <x:c r="A1018" s="87"/>
      <x:c r="D1018" s="32"/>
      <x:c r="I1018" s="74"/>
      <x:c r="J1018" s="74"/>
      <x:c r="K1018" s="74"/>
      <x:c r="L1018" s="74"/>
      <x:c r="M1018" s="91"/>
      <x:c r="N1018" s="85"/>
      <x:c r="P1018" s="86"/>
      <x:c r="Q1018" s="32"/>
    </x:row>
    <x:row r="1019">
      <x:c r="A1019" s="87"/>
      <x:c r="D1019" s="32"/>
      <x:c r="I1019" s="74"/>
      <x:c r="J1019" s="74"/>
      <x:c r="K1019" s="74"/>
      <x:c r="L1019" s="74"/>
      <x:c r="M1019" s="91"/>
      <x:c r="N1019" s="85"/>
      <x:c r="P1019" s="86"/>
      <x:c r="Q1019" s="32"/>
    </x:row>
    <x:row r="1020">
      <x:c r="A1020" s="87"/>
      <x:c r="D1020" s="32"/>
      <x:c r="I1020" s="74"/>
      <x:c r="J1020" s="74"/>
      <x:c r="K1020" s="74"/>
      <x:c r="L1020" s="74"/>
      <x:c r="M1020" s="91"/>
      <x:c r="N1020" s="85"/>
      <x:c r="P1020" s="86"/>
      <x:c r="Q1020" s="32"/>
    </x:row>
    <x:row r="1021">
      <x:c r="A1021" s="87"/>
      <x:c r="D1021" s="32"/>
      <x:c r="I1021" s="74"/>
      <x:c r="J1021" s="74"/>
      <x:c r="K1021" s="74"/>
      <x:c r="L1021" s="74"/>
      <x:c r="M1021" s="91"/>
      <x:c r="N1021" s="85"/>
      <x:c r="P1021" s="86"/>
      <x:c r="Q1021" s="32"/>
    </x:row>
    <x:row r="1022">
      <x:c r="A1022" s="87"/>
      <x:c r="D1022" s="32"/>
      <x:c r="I1022" s="74"/>
      <x:c r="J1022" s="74"/>
      <x:c r="K1022" s="74"/>
      <x:c r="L1022" s="74"/>
      <x:c r="M1022" s="91"/>
      <x:c r="N1022" s="85"/>
      <x:c r="P1022" s="86"/>
      <x:c r="Q1022" s="32"/>
    </x:row>
    <x:row r="1023">
      <x:c r="A1023" s="87"/>
      <x:c r="D1023" s="32"/>
      <x:c r="I1023" s="74"/>
      <x:c r="J1023" s="74"/>
      <x:c r="K1023" s="74"/>
      <x:c r="L1023" s="74"/>
      <x:c r="M1023" s="91"/>
      <x:c r="N1023" s="85"/>
      <x:c r="P1023" s="86"/>
      <x:c r="Q1023" s="32"/>
    </x:row>
    <x:row r="1024">
      <x:c r="A1024" s="87"/>
      <x:c r="D1024" s="32"/>
      <x:c r="I1024" s="74"/>
      <x:c r="J1024" s="74"/>
      <x:c r="K1024" s="74"/>
      <x:c r="L1024" s="74"/>
      <x:c r="M1024" s="91"/>
      <x:c r="N1024" s="85"/>
      <x:c r="P1024" s="86"/>
      <x:c r="Q1024" s="32"/>
    </x:row>
    <x:row r="1025">
      <x:c r="A1025" s="87"/>
      <x:c r="D1025" s="32"/>
      <x:c r="I1025" s="74"/>
      <x:c r="J1025" s="74"/>
      <x:c r="K1025" s="74"/>
      <x:c r="L1025" s="74"/>
      <x:c r="M1025" s="91"/>
      <x:c r="N1025" s="85"/>
      <x:c r="P1025" s="86"/>
      <x:c r="Q1025" s="32"/>
    </x:row>
    <x:row r="1026">
      <x:c r="A1026" s="87"/>
      <x:c r="D1026" s="32"/>
      <x:c r="I1026" s="74"/>
      <x:c r="J1026" s="74"/>
      <x:c r="K1026" s="74"/>
      <x:c r="L1026" s="74"/>
      <x:c r="M1026" s="91"/>
      <x:c r="N1026" s="85"/>
      <x:c r="P1026" s="86"/>
      <x:c r="Q1026" s="32"/>
    </x:row>
    <x:row r="1027">
      <x:c r="A1027" s="87"/>
      <x:c r="D1027" s="32"/>
      <x:c r="I1027" s="74"/>
      <x:c r="J1027" s="74"/>
      <x:c r="K1027" s="74"/>
      <x:c r="L1027" s="74"/>
      <x:c r="M1027" s="91"/>
      <x:c r="N1027" s="85"/>
      <x:c r="P1027" s="86"/>
      <x:c r="Q1027" s="32"/>
    </x:row>
    <x:row r="1028">
      <x:c r="A1028" s="87"/>
      <x:c r="D1028" s="32"/>
      <x:c r="I1028" s="74"/>
      <x:c r="J1028" s="74"/>
      <x:c r="K1028" s="74"/>
      <x:c r="L1028" s="74"/>
      <x:c r="M1028" s="91"/>
      <x:c r="N1028" s="85"/>
      <x:c r="P1028" s="86"/>
      <x:c r="Q1028" s="32"/>
    </x:row>
    <x:row r="1029">
      <x:c r="A1029" s="87"/>
      <x:c r="D1029" s="32"/>
      <x:c r="I1029" s="74"/>
      <x:c r="J1029" s="74"/>
      <x:c r="K1029" s="74"/>
      <x:c r="L1029" s="74"/>
      <x:c r="M1029" s="91"/>
      <x:c r="N1029" s="85"/>
      <x:c r="P1029" s="86"/>
      <x:c r="Q1029" s="32"/>
    </x:row>
    <x:row r="1030">
      <x:c r="A1030" s="87"/>
      <x:c r="D1030" s="32"/>
      <x:c r="I1030" s="74"/>
      <x:c r="J1030" s="74"/>
      <x:c r="K1030" s="74"/>
      <x:c r="L1030" s="74"/>
      <x:c r="M1030" s="91"/>
      <x:c r="N1030" s="85"/>
      <x:c r="P1030" s="86"/>
      <x:c r="Q1030" s="32"/>
    </x:row>
    <x:row r="1031">
      <x:c r="A1031" s="87"/>
      <x:c r="D1031" s="32"/>
      <x:c r="I1031" s="74"/>
      <x:c r="J1031" s="74"/>
      <x:c r="K1031" s="74"/>
      <x:c r="L1031" s="74"/>
      <x:c r="M1031" s="91"/>
      <x:c r="N1031" s="85"/>
      <x:c r="P1031" s="86"/>
      <x:c r="Q1031" s="32"/>
    </x:row>
    <x:row r="1032">
      <x:c r="A1032" s="87"/>
      <x:c r="D1032" s="32"/>
      <x:c r="I1032" s="74"/>
      <x:c r="J1032" s="74"/>
      <x:c r="K1032" s="74"/>
      <x:c r="L1032" s="74"/>
      <x:c r="M1032" s="91"/>
      <x:c r="N1032" s="85"/>
      <x:c r="P1032" s="86"/>
      <x:c r="Q1032" s="32"/>
    </x:row>
    <x:row r="1033">
      <x:c r="A1033" s="87"/>
      <x:c r="D1033" s="32"/>
      <x:c r="I1033" s="74"/>
      <x:c r="J1033" s="74"/>
      <x:c r="K1033" s="74"/>
      <x:c r="L1033" s="74"/>
      <x:c r="M1033" s="91"/>
      <x:c r="N1033" s="85"/>
      <x:c r="P1033" s="86"/>
      <x:c r="Q1033" s="32"/>
    </x:row>
    <x:row r="1034">
      <x:c r="A1034" s="87"/>
      <x:c r="D1034" s="32"/>
      <x:c r="I1034" s="74"/>
      <x:c r="J1034" s="74"/>
      <x:c r="K1034" s="74"/>
      <x:c r="L1034" s="74"/>
      <x:c r="M1034" s="91"/>
      <x:c r="N1034" s="85"/>
      <x:c r="P1034" s="86"/>
      <x:c r="Q1034" s="32"/>
    </x:row>
    <x:row r="1035">
      <x:c r="A1035" s="87"/>
      <x:c r="D1035" s="32"/>
      <x:c r="I1035" s="74"/>
      <x:c r="J1035" s="74"/>
      <x:c r="K1035" s="74"/>
      <x:c r="L1035" s="74"/>
      <x:c r="M1035" s="91"/>
      <x:c r="N1035" s="85"/>
      <x:c r="P1035" s="86"/>
      <x:c r="Q1035" s="32"/>
    </x:row>
    <x:row r="1036">
      <x:c r="A1036" s="87"/>
      <x:c r="D1036" s="32"/>
      <x:c r="I1036" s="74"/>
      <x:c r="J1036" s="74"/>
      <x:c r="K1036" s="74"/>
      <x:c r="L1036" s="74"/>
      <x:c r="M1036" s="91"/>
      <x:c r="N1036" s="85"/>
      <x:c r="P1036" s="86"/>
      <x:c r="Q1036" s="32"/>
    </x:row>
    <x:row r="1037">
      <x:c r="A1037" s="87"/>
      <x:c r="D1037" s="32"/>
      <x:c r="I1037" s="74"/>
      <x:c r="J1037" s="74"/>
      <x:c r="K1037" s="74"/>
      <x:c r="L1037" s="74"/>
      <x:c r="M1037" s="91"/>
      <x:c r="N1037" s="85"/>
      <x:c r="P1037" s="86"/>
      <x:c r="Q1037" s="32"/>
    </x:row>
    <x:row r="1038">
      <x:c r="A1038" s="87"/>
      <x:c r="D1038" s="32"/>
      <x:c r="I1038" s="74"/>
      <x:c r="J1038" s="74"/>
      <x:c r="K1038" s="74"/>
      <x:c r="L1038" s="74"/>
      <x:c r="M1038" s="91"/>
      <x:c r="N1038" s="85"/>
      <x:c r="P1038" s="86"/>
      <x:c r="Q1038" s="32"/>
    </x:row>
    <x:row r="1039">
      <x:c r="A1039" s="87"/>
      <x:c r="D1039" s="32"/>
      <x:c r="I1039" s="74"/>
      <x:c r="J1039" s="74"/>
      <x:c r="K1039" s="74"/>
      <x:c r="L1039" s="74"/>
      <x:c r="M1039" s="91"/>
      <x:c r="N1039" s="85"/>
      <x:c r="P1039" s="86"/>
      <x:c r="Q1039" s="32"/>
    </x:row>
    <x:row r="1040">
      <x:c r="A1040" s="87"/>
      <x:c r="D1040" s="32"/>
      <x:c r="I1040" s="74"/>
      <x:c r="J1040" s="74"/>
      <x:c r="K1040" s="74"/>
      <x:c r="L1040" s="74"/>
      <x:c r="M1040" s="91"/>
      <x:c r="N1040" s="85"/>
      <x:c r="P1040" s="86"/>
      <x:c r="Q1040" s="32"/>
    </x:row>
    <x:row r="1041">
      <x:c r="A1041" s="87"/>
      <x:c r="D1041" s="32"/>
      <x:c r="I1041" s="74"/>
      <x:c r="J1041" s="74"/>
      <x:c r="K1041" s="74"/>
      <x:c r="L1041" s="74"/>
      <x:c r="M1041" s="91"/>
      <x:c r="N1041" s="85"/>
      <x:c r="P1041" s="86"/>
      <x:c r="Q1041" s="32"/>
    </x:row>
    <x:row r="1042">
      <x:c r="A1042" s="87"/>
      <x:c r="D1042" s="32"/>
      <x:c r="I1042" s="74"/>
      <x:c r="J1042" s="74"/>
      <x:c r="K1042" s="74"/>
      <x:c r="L1042" s="74"/>
      <x:c r="M1042" s="91"/>
      <x:c r="N1042" s="85"/>
      <x:c r="P1042" s="86"/>
      <x:c r="Q1042" s="32"/>
    </x:row>
    <x:row r="1043">
      <x:c r="A1043" s="87"/>
      <x:c r="D1043" s="32"/>
      <x:c r="I1043" s="74"/>
      <x:c r="J1043" s="74"/>
      <x:c r="K1043" s="74"/>
      <x:c r="L1043" s="74"/>
      <x:c r="M1043" s="91"/>
      <x:c r="N1043" s="85"/>
      <x:c r="P1043" s="86"/>
      <x:c r="Q1043" s="32"/>
    </x:row>
    <x:row r="1044">
      <x:c r="A1044" s="87"/>
      <x:c r="D1044" s="32"/>
      <x:c r="I1044" s="74"/>
      <x:c r="J1044" s="74"/>
      <x:c r="K1044" s="74"/>
      <x:c r="L1044" s="74"/>
      <x:c r="M1044" s="91"/>
      <x:c r="N1044" s="85"/>
      <x:c r="P1044" s="86"/>
      <x:c r="Q1044" s="32"/>
    </x:row>
    <x:row r="1045">
      <x:c r="A1045" s="87"/>
      <x:c r="D1045" s="32"/>
      <x:c r="I1045" s="74"/>
      <x:c r="J1045" s="74"/>
      <x:c r="K1045" s="74"/>
      <x:c r="L1045" s="74"/>
      <x:c r="M1045" s="91"/>
      <x:c r="N1045" s="85"/>
      <x:c r="P1045" s="86"/>
      <x:c r="Q1045" s="32"/>
    </x:row>
    <x:row r="1046">
      <x:c r="A1046" s="87"/>
      <x:c r="D1046" s="32"/>
      <x:c r="I1046" s="74"/>
      <x:c r="J1046" s="74"/>
      <x:c r="K1046" s="74"/>
      <x:c r="L1046" s="74"/>
      <x:c r="M1046" s="91"/>
      <x:c r="N1046" s="85"/>
      <x:c r="P1046" s="86"/>
      <x:c r="Q1046" s="32"/>
    </x:row>
    <x:row r="1047">
      <x:c r="A1047" s="87"/>
      <x:c r="D1047" s="32"/>
      <x:c r="I1047" s="74"/>
      <x:c r="J1047" s="74"/>
      <x:c r="K1047" s="74"/>
      <x:c r="L1047" s="74"/>
      <x:c r="M1047" s="91"/>
      <x:c r="N1047" s="85"/>
      <x:c r="P1047" s="86"/>
      <x:c r="Q1047" s="32"/>
    </x:row>
    <x:row r="1048">
      <x:c r="A1048" s="87"/>
      <x:c r="D1048" s="32"/>
      <x:c r="I1048" s="74"/>
      <x:c r="J1048" s="74"/>
      <x:c r="K1048" s="74"/>
      <x:c r="L1048" s="74"/>
      <x:c r="M1048" s="91"/>
      <x:c r="N1048" s="85"/>
      <x:c r="P1048" s="86"/>
      <x:c r="Q1048" s="32"/>
    </x:row>
    <x:row r="1049">
      <x:c r="A1049" s="87"/>
      <x:c r="D1049" s="32"/>
      <x:c r="I1049" s="74"/>
      <x:c r="J1049" s="74"/>
      <x:c r="K1049" s="74"/>
      <x:c r="L1049" s="74"/>
      <x:c r="M1049" s="91"/>
      <x:c r="N1049" s="85"/>
      <x:c r="P1049" s="86"/>
      <x:c r="Q1049" s="32"/>
    </x:row>
    <x:row r="1050">
      <x:c r="A1050" s="87"/>
      <x:c r="D1050" s="32"/>
      <x:c r="I1050" s="74"/>
      <x:c r="J1050" s="74"/>
      <x:c r="K1050" s="74"/>
      <x:c r="L1050" s="74"/>
      <x:c r="M1050" s="91"/>
      <x:c r="N1050" s="85"/>
      <x:c r="P1050" s="86"/>
      <x:c r="Q1050" s="32"/>
    </x:row>
    <x:row r="1051">
      <x:c r="A1051" s="87"/>
      <x:c r="D1051" s="32"/>
      <x:c r="I1051" s="74"/>
      <x:c r="J1051" s="74"/>
      <x:c r="K1051" s="74"/>
      <x:c r="L1051" s="74"/>
      <x:c r="M1051" s="91"/>
      <x:c r="N1051" s="85"/>
      <x:c r="P1051" s="86"/>
      <x:c r="Q1051" s="32"/>
    </x:row>
    <x:row r="1052">
      <x:c r="A1052" s="87"/>
      <x:c r="D1052" s="32"/>
      <x:c r="I1052" s="74"/>
      <x:c r="J1052" s="74"/>
      <x:c r="K1052" s="74"/>
      <x:c r="L1052" s="74"/>
      <x:c r="M1052" s="91"/>
      <x:c r="N1052" s="85"/>
      <x:c r="P1052" s="86"/>
      <x:c r="Q1052" s="32"/>
    </x:row>
    <x:row r="1053">
      <x:c r="A1053" s="87"/>
      <x:c r="D1053" s="32"/>
      <x:c r="I1053" s="74"/>
      <x:c r="J1053" s="74"/>
      <x:c r="K1053" s="74"/>
      <x:c r="L1053" s="74"/>
      <x:c r="M1053" s="91"/>
      <x:c r="N1053" s="85"/>
      <x:c r="P1053" s="86"/>
      <x:c r="Q1053" s="32"/>
    </x:row>
    <x:row r="1054">
      <x:c r="A1054" s="87"/>
      <x:c r="D1054" s="32"/>
      <x:c r="I1054" s="74"/>
      <x:c r="J1054" s="74"/>
      <x:c r="K1054" s="74"/>
      <x:c r="L1054" s="74"/>
      <x:c r="M1054" s="91"/>
      <x:c r="N1054" s="85"/>
      <x:c r="P1054" s="86"/>
      <x:c r="Q1054" s="32"/>
    </x:row>
    <x:row r="1055">
      <x:c r="A1055" s="87"/>
      <x:c r="D1055" s="32"/>
      <x:c r="I1055" s="74"/>
      <x:c r="J1055" s="74"/>
      <x:c r="K1055" s="74"/>
      <x:c r="L1055" s="74"/>
      <x:c r="M1055" s="91"/>
      <x:c r="N1055" s="85"/>
      <x:c r="P1055" s="86"/>
      <x:c r="Q1055" s="32"/>
    </x:row>
    <x:row r="1056">
      <x:c r="A1056" s="87"/>
      <x:c r="D1056" s="32"/>
      <x:c r="I1056" s="74"/>
      <x:c r="J1056" s="74"/>
      <x:c r="K1056" s="74"/>
      <x:c r="L1056" s="74"/>
      <x:c r="M1056" s="91"/>
      <x:c r="N1056" s="85"/>
      <x:c r="P1056" s="86"/>
      <x:c r="Q1056" s="32"/>
    </x:row>
    <x:row r="1057">
      <x:c r="A1057" s="87"/>
      <x:c r="D1057" s="32"/>
      <x:c r="I1057" s="74"/>
      <x:c r="J1057" s="74"/>
      <x:c r="K1057" s="74"/>
      <x:c r="L1057" s="74"/>
      <x:c r="M1057" s="91"/>
      <x:c r="N1057" s="85"/>
      <x:c r="P1057" s="86"/>
      <x:c r="Q1057" s="32"/>
    </x:row>
    <x:row r="1058">
      <x:c r="A1058" s="87"/>
      <x:c r="D1058" s="32"/>
      <x:c r="I1058" s="74"/>
      <x:c r="J1058" s="74"/>
      <x:c r="K1058" s="74"/>
      <x:c r="L1058" s="74"/>
      <x:c r="M1058" s="91"/>
      <x:c r="N1058" s="85"/>
      <x:c r="P1058" s="86"/>
      <x:c r="Q1058" s="32"/>
    </x:row>
    <x:row r="1059">
      <x:c r="A1059" s="87"/>
      <x:c r="D1059" s="32"/>
      <x:c r="I1059" s="74"/>
      <x:c r="J1059" s="74"/>
      <x:c r="K1059" s="74"/>
      <x:c r="L1059" s="74"/>
      <x:c r="M1059" s="91"/>
      <x:c r="N1059" s="85"/>
      <x:c r="P1059" s="86"/>
      <x:c r="Q1059" s="32"/>
    </x:row>
    <x:row r="1060">
      <x:c r="A1060" s="87"/>
      <x:c r="D1060" s="32"/>
      <x:c r="I1060" s="74"/>
      <x:c r="J1060" s="74"/>
      <x:c r="K1060" s="74"/>
      <x:c r="L1060" s="74"/>
      <x:c r="M1060" s="91"/>
      <x:c r="N1060" s="85"/>
      <x:c r="P1060" s="86"/>
      <x:c r="Q1060" s="32"/>
    </x:row>
    <x:row r="1061">
      <x:c r="A1061" s="87"/>
      <x:c r="D1061" s="32"/>
      <x:c r="I1061" s="74"/>
      <x:c r="J1061" s="74"/>
      <x:c r="K1061" s="74"/>
      <x:c r="L1061" s="74"/>
      <x:c r="M1061" s="91"/>
      <x:c r="N1061" s="85"/>
      <x:c r="P1061" s="86"/>
      <x:c r="Q1061" s="32"/>
    </x:row>
    <x:row r="1062">
      <x:c r="A1062" s="87"/>
      <x:c r="D1062" s="32"/>
      <x:c r="I1062" s="74"/>
      <x:c r="J1062" s="74"/>
      <x:c r="K1062" s="74"/>
      <x:c r="L1062" s="74"/>
      <x:c r="M1062" s="91"/>
      <x:c r="N1062" s="85"/>
      <x:c r="P1062" s="86"/>
      <x:c r="Q1062" s="32"/>
    </x:row>
    <x:row r="1063">
      <x:c r="A1063" s="87"/>
      <x:c r="D1063" s="32"/>
      <x:c r="I1063" s="74"/>
      <x:c r="J1063" s="74"/>
      <x:c r="K1063" s="74"/>
      <x:c r="L1063" s="74"/>
      <x:c r="M1063" s="91"/>
      <x:c r="N1063" s="85"/>
      <x:c r="P1063" s="86"/>
      <x:c r="Q1063" s="32"/>
    </x:row>
    <x:row r="1064">
      <x:c r="A1064" s="87"/>
      <x:c r="D1064" s="32"/>
      <x:c r="I1064" s="74"/>
      <x:c r="J1064" s="74"/>
      <x:c r="K1064" s="74"/>
      <x:c r="L1064" s="74"/>
      <x:c r="M1064" s="91"/>
      <x:c r="N1064" s="85"/>
      <x:c r="P1064" s="86"/>
      <x:c r="Q1064" s="32"/>
    </x:row>
    <x:row r="1065">
      <x:c r="A1065" s="87"/>
      <x:c r="D1065" s="32"/>
      <x:c r="I1065" s="74"/>
      <x:c r="J1065" s="74"/>
      <x:c r="K1065" s="74"/>
      <x:c r="L1065" s="74"/>
      <x:c r="M1065" s="91"/>
      <x:c r="N1065" s="85"/>
      <x:c r="P1065" s="86"/>
      <x:c r="Q1065" s="32"/>
    </x:row>
    <x:row r="1066">
      <x:c r="A1066" s="87"/>
      <x:c r="D1066" s="32"/>
      <x:c r="I1066" s="74"/>
      <x:c r="J1066" s="74"/>
      <x:c r="K1066" s="74"/>
      <x:c r="L1066" s="74"/>
      <x:c r="M1066" s="91"/>
      <x:c r="N1066" s="85"/>
      <x:c r="P1066" s="86"/>
      <x:c r="Q1066" s="32"/>
    </x:row>
    <x:row r="1067">
      <x:c r="A1067" s="87"/>
      <x:c r="D1067" s="32"/>
      <x:c r="I1067" s="74"/>
      <x:c r="J1067" s="74"/>
      <x:c r="K1067" s="74"/>
      <x:c r="L1067" s="74"/>
      <x:c r="M1067" s="91"/>
      <x:c r="N1067" s="85"/>
      <x:c r="P1067" s="86"/>
      <x:c r="Q1067" s="32"/>
    </x:row>
    <x:row r="1068">
      <x:c r="A1068" s="87"/>
      <x:c r="D1068" s="32"/>
      <x:c r="I1068" s="74"/>
      <x:c r="J1068" s="74"/>
      <x:c r="K1068" s="74"/>
      <x:c r="L1068" s="74"/>
      <x:c r="M1068" s="91"/>
      <x:c r="N1068" s="85"/>
      <x:c r="P1068" s="86"/>
      <x:c r="Q1068" s="32"/>
    </x:row>
    <x:row r="1069">
      <x:c r="A1069" s="87"/>
      <x:c r="D1069" s="32"/>
      <x:c r="I1069" s="74"/>
      <x:c r="J1069" s="74"/>
      <x:c r="K1069" s="74"/>
      <x:c r="L1069" s="74"/>
      <x:c r="M1069" s="91"/>
      <x:c r="N1069" s="85"/>
      <x:c r="P1069" s="86"/>
      <x:c r="Q1069" s="32"/>
    </x:row>
    <x:row r="1070">
      <x:c r="A1070" s="87"/>
      <x:c r="D1070" s="32"/>
      <x:c r="I1070" s="74"/>
      <x:c r="J1070" s="74"/>
      <x:c r="K1070" s="74"/>
      <x:c r="L1070" s="74"/>
      <x:c r="M1070" s="91"/>
      <x:c r="N1070" s="85"/>
      <x:c r="P1070" s="86"/>
      <x:c r="Q1070" s="32"/>
    </x:row>
    <x:row r="1071">
      <x:c r="A1071" s="87"/>
      <x:c r="D1071" s="32"/>
      <x:c r="I1071" s="74"/>
      <x:c r="J1071" s="74"/>
      <x:c r="K1071" s="74"/>
      <x:c r="L1071" s="74"/>
      <x:c r="M1071" s="91"/>
      <x:c r="N1071" s="85"/>
      <x:c r="P1071" s="86"/>
      <x:c r="Q1071" s="32"/>
    </x:row>
    <x:row r="1072">
      <x:c r="A1072" s="87"/>
      <x:c r="D1072" s="32"/>
      <x:c r="I1072" s="74"/>
      <x:c r="J1072" s="74"/>
      <x:c r="K1072" s="74"/>
      <x:c r="L1072" s="74"/>
      <x:c r="M1072" s="91"/>
      <x:c r="N1072" s="85"/>
      <x:c r="P1072" s="86"/>
      <x:c r="Q1072" s="32"/>
    </x:row>
    <x:row r="1073">
      <x:c r="A1073" s="87"/>
      <x:c r="D1073" s="32"/>
      <x:c r="I1073" s="74"/>
      <x:c r="J1073" s="74"/>
      <x:c r="K1073" s="74"/>
      <x:c r="L1073" s="74"/>
      <x:c r="M1073" s="91"/>
      <x:c r="N1073" s="85"/>
      <x:c r="P1073" s="86"/>
      <x:c r="Q1073" s="32"/>
    </x:row>
    <x:row r="1074">
      <x:c r="A1074" s="87"/>
      <x:c r="D1074" s="32"/>
      <x:c r="I1074" s="74"/>
      <x:c r="J1074" s="74"/>
      <x:c r="K1074" s="74"/>
      <x:c r="L1074" s="74"/>
      <x:c r="M1074" s="91"/>
      <x:c r="N1074" s="85"/>
      <x:c r="P1074" s="86"/>
      <x:c r="Q1074" s="32"/>
    </x:row>
    <x:row r="1075">
      <x:c r="A1075" s="87"/>
      <x:c r="D1075" s="32"/>
      <x:c r="I1075" s="74"/>
      <x:c r="J1075" s="74"/>
      <x:c r="K1075" s="74"/>
      <x:c r="L1075" s="74"/>
      <x:c r="M1075" s="91"/>
      <x:c r="N1075" s="85"/>
      <x:c r="P1075" s="86"/>
      <x:c r="Q1075" s="32"/>
    </x:row>
    <x:row r="1076">
      <x:c r="A1076" s="87"/>
      <x:c r="D1076" s="32"/>
      <x:c r="I1076" s="74"/>
      <x:c r="J1076" s="74"/>
      <x:c r="K1076" s="74"/>
      <x:c r="L1076" s="74"/>
      <x:c r="M1076" s="91"/>
      <x:c r="N1076" s="85"/>
      <x:c r="P1076" s="86"/>
      <x:c r="Q1076" s="32"/>
    </x:row>
    <x:row r="1077">
      <x:c r="A1077" s="87"/>
      <x:c r="D1077" s="32"/>
      <x:c r="I1077" s="74"/>
      <x:c r="J1077" s="74"/>
      <x:c r="K1077" s="74"/>
      <x:c r="L1077" s="74"/>
      <x:c r="M1077" s="91"/>
      <x:c r="N1077" s="85"/>
      <x:c r="P1077" s="86"/>
      <x:c r="Q1077" s="32"/>
    </x:row>
    <x:row r="1078">
      <x:c r="A1078" s="87"/>
      <x:c r="D1078" s="32"/>
      <x:c r="I1078" s="74"/>
      <x:c r="J1078" s="74"/>
      <x:c r="K1078" s="74"/>
      <x:c r="L1078" s="74"/>
      <x:c r="M1078" s="91"/>
      <x:c r="N1078" s="85"/>
      <x:c r="P1078" s="86"/>
      <x:c r="Q1078" s="32"/>
    </x:row>
    <x:row r="1079">
      <x:c r="A1079" s="87"/>
      <x:c r="D1079" s="32"/>
      <x:c r="I1079" s="74"/>
      <x:c r="J1079" s="74"/>
      <x:c r="K1079" s="74"/>
      <x:c r="L1079" s="74"/>
      <x:c r="M1079" s="91"/>
      <x:c r="N1079" s="85"/>
      <x:c r="P1079" s="86"/>
      <x:c r="Q1079" s="32"/>
    </x:row>
    <x:row r="1080">
      <x:c r="A1080" s="87"/>
      <x:c r="D1080" s="32"/>
      <x:c r="I1080" s="74"/>
      <x:c r="J1080" s="74"/>
      <x:c r="K1080" s="74"/>
      <x:c r="L1080" s="74"/>
      <x:c r="M1080" s="91"/>
      <x:c r="N1080" s="85"/>
      <x:c r="P1080" s="86"/>
      <x:c r="Q1080" s="32"/>
    </x:row>
    <x:row r="1081">
      <x:c r="A1081" s="87"/>
      <x:c r="D1081" s="32"/>
      <x:c r="I1081" s="74"/>
      <x:c r="J1081" s="74"/>
      <x:c r="K1081" s="74"/>
      <x:c r="L1081" s="74"/>
      <x:c r="M1081" s="91"/>
      <x:c r="N1081" s="85"/>
      <x:c r="P1081" s="86"/>
      <x:c r="Q1081" s="32"/>
    </x:row>
    <x:row r="1082">
      <x:c r="A1082" s="87"/>
      <x:c r="D1082" s="32"/>
      <x:c r="I1082" s="74"/>
      <x:c r="J1082" s="74"/>
      <x:c r="K1082" s="74"/>
      <x:c r="L1082" s="74"/>
      <x:c r="M1082" s="91"/>
      <x:c r="N1082" s="85"/>
      <x:c r="P1082" s="86"/>
      <x:c r="Q1082" s="32"/>
    </x:row>
    <x:row r="1083">
      <x:c r="A1083" s="87"/>
      <x:c r="D1083" s="32"/>
      <x:c r="I1083" s="74"/>
      <x:c r="J1083" s="74"/>
      <x:c r="K1083" s="74"/>
      <x:c r="L1083" s="74"/>
      <x:c r="M1083" s="91"/>
      <x:c r="N1083" s="85"/>
      <x:c r="P1083" s="86"/>
      <x:c r="Q1083" s="32"/>
    </x:row>
    <x:row r="1084">
      <x:c r="A1084" s="87"/>
      <x:c r="D1084" s="32"/>
      <x:c r="I1084" s="74"/>
      <x:c r="J1084" s="74"/>
      <x:c r="K1084" s="74"/>
      <x:c r="L1084" s="74"/>
      <x:c r="M1084" s="91"/>
      <x:c r="N1084" s="85"/>
      <x:c r="P1084" s="86"/>
      <x:c r="Q1084" s="32"/>
    </x:row>
    <x:row r="1085">
      <x:c r="A1085" s="87"/>
      <x:c r="D1085" s="32"/>
      <x:c r="I1085" s="74"/>
      <x:c r="J1085" s="74"/>
      <x:c r="K1085" s="74"/>
      <x:c r="L1085" s="74"/>
      <x:c r="M1085" s="91"/>
      <x:c r="N1085" s="85"/>
      <x:c r="P1085" s="86"/>
      <x:c r="Q1085" s="32"/>
    </x:row>
    <x:row r="1086">
      <x:c r="A1086" s="87"/>
      <x:c r="D1086" s="32"/>
      <x:c r="I1086" s="74"/>
      <x:c r="J1086" s="74"/>
      <x:c r="K1086" s="74"/>
      <x:c r="L1086" s="74"/>
      <x:c r="M1086" s="91"/>
      <x:c r="N1086" s="85"/>
      <x:c r="P1086" s="86"/>
      <x:c r="Q1086" s="32"/>
    </x:row>
    <x:row r="1087">
      <x:c r="A1087" s="87"/>
      <x:c r="D1087" s="32"/>
      <x:c r="I1087" s="74"/>
      <x:c r="J1087" s="74"/>
      <x:c r="K1087" s="74"/>
      <x:c r="L1087" s="74"/>
      <x:c r="M1087" s="91"/>
      <x:c r="N1087" s="85"/>
      <x:c r="P1087" s="86"/>
      <x:c r="Q1087" s="32"/>
    </x:row>
    <x:row r="1088">
      <x:c r="A1088" s="87"/>
      <x:c r="D1088" s="32"/>
      <x:c r="I1088" s="74"/>
      <x:c r="J1088" s="74"/>
      <x:c r="K1088" s="74"/>
      <x:c r="L1088" s="74"/>
      <x:c r="M1088" s="91"/>
      <x:c r="N1088" s="85"/>
      <x:c r="P1088" s="86"/>
      <x:c r="Q1088" s="32"/>
    </x:row>
    <x:row r="1089">
      <x:c r="A1089" s="87"/>
      <x:c r="D1089" s="32"/>
      <x:c r="I1089" s="74"/>
      <x:c r="J1089" s="74"/>
      <x:c r="K1089" s="74"/>
      <x:c r="L1089" s="74"/>
      <x:c r="M1089" s="91"/>
      <x:c r="N1089" s="85"/>
      <x:c r="P1089" s="86"/>
      <x:c r="Q1089" s="32"/>
    </x:row>
    <x:row r="1090">
      <x:c r="A1090" s="87"/>
      <x:c r="D1090" s="32"/>
      <x:c r="I1090" s="74"/>
      <x:c r="J1090" s="74"/>
      <x:c r="K1090" s="74"/>
      <x:c r="L1090" s="74"/>
      <x:c r="M1090" s="91"/>
      <x:c r="N1090" s="85"/>
      <x:c r="P1090" s="86"/>
      <x:c r="Q1090" s="32"/>
    </x:row>
    <x:row r="1091">
      <x:c r="A1091" s="87"/>
      <x:c r="D1091" s="32"/>
      <x:c r="I1091" s="74"/>
      <x:c r="J1091" s="74"/>
      <x:c r="K1091" s="74"/>
      <x:c r="L1091" s="74"/>
      <x:c r="M1091" s="91"/>
      <x:c r="N1091" s="85"/>
      <x:c r="P1091" s="86"/>
      <x:c r="Q1091" s="32"/>
    </x:row>
  </x:sheetData>
  <x:conditionalFormatting sqref="M2:N64 M66:N111">
    <x:cfRule type="expression" dxfId="0" priority="1">
      <x:formula>$P2="Done"</x:formula>
    </x:cfRule>
  </x:conditionalFormatting>
  <x:conditionalFormatting sqref="M2:N64 M66:N111">
    <x:cfRule type="expression" dxfId="1" priority="2">
      <x:formula>AND(NOT($P2="Done"), OR($Q2="Đã CK Anh", $Q2="Đã CK Em"))</x:formula>
    </x:cfRule>
  </x:conditionalFormatting>
  <x:conditionalFormatting sqref="A75:O75 A77:A77 A80:A80 A82:A82 A84:A111">
    <x:cfRule type="expression" dxfId="1" priority="3">
      <x:formula>AND(NOT($O75="Done"), OR($P75="Đã CK Anh", $P75="Đã CK Em"))</x:formula>
    </x:cfRule>
  </x:conditionalFormatting>
  <x:conditionalFormatting sqref="A75:O75 A77:A77 A80:A80 A82:A82 A84:A111">
    <x:cfRule type="expression" dxfId="0" priority="4">
      <x:formula>$O75="Done"</x:formula>
    </x:cfRule>
  </x:conditionalFormatting>
  <x:conditionalFormatting sqref="A112:B113">
    <x:cfRule type="expression" dxfId="0" priority="5">
      <x:formula>$K112="Done"</x:formula>
    </x:cfRule>
  </x:conditionalFormatting>
  <x:conditionalFormatting sqref="A112:B113">
    <x:cfRule type="expression" dxfId="1" priority="6">
      <x:formula>AND(NOT($K112="Done"), OR($L112="Đã CK Anh", $L112="Đã CK Em"))</x:formula>
    </x:cfRule>
  </x:conditionalFormatting>
  <x:conditionalFormatting sqref="A2:A1091 B2:O64 B66:L74 M66:N1091 O66:O74 B76:L1091 O76:O1091">
    <x:cfRule type="expression" dxfId="0" priority="7">
      <x:formula>$O2="Done"</x:formula>
    </x:cfRule>
  </x:conditionalFormatting>
  <x:conditionalFormatting sqref="A2:A1091 B2:O64 B66:L74 M66:N1091 O66:O74 B76:L1091 O76:O1091">
    <x:cfRule type="expression" dxfId="1" priority="8">
      <x:formula>AND(NOT($O2="Done"), OR($P2="Đã CK Anh", $P2="Đã CK Em"))</x:formula>
    </x:cfRule>
  </x:conditionalFormatting>
  <x:dataValidations count="1">
    <x:dataValidation type="list" allowBlank="1" showErrorMessage="1" sqref="P2:P1091">
      <x:formula1>"Chưa CK,Đã CK Anh,Đã CK Em"</x:formula1>
    </x:dataValidation>
  </x:dataValidations>
  <x:hyperlinks>
    <x:hyperlink xmlns:r="http://schemas.openxmlformats.org/officeDocument/2006/relationships" ref="D2" r:id="R8fe407723ee74bd9"/>
    <x:hyperlink xmlns:r="http://schemas.openxmlformats.org/officeDocument/2006/relationships" ref="D4" r:id="R9f44a67a7f444ba2"/>
    <x:hyperlink xmlns:r="http://schemas.openxmlformats.org/officeDocument/2006/relationships" ref="D5" r:id="Rc2bcbb684364406c"/>
    <x:hyperlink xmlns:r="http://schemas.openxmlformats.org/officeDocument/2006/relationships" ref="D6" r:id="R27b7adb1eafd41df"/>
    <x:hyperlink xmlns:r="http://schemas.openxmlformats.org/officeDocument/2006/relationships" ref="D7" r:id="R6418597e147c461f"/>
    <x:hyperlink xmlns:r="http://schemas.openxmlformats.org/officeDocument/2006/relationships" ref="D8" r:id="R3f4b802dd3e24d6e"/>
    <x:hyperlink xmlns:r="http://schemas.openxmlformats.org/officeDocument/2006/relationships" ref="D9" r:id="R4c92235588254f38"/>
    <x:hyperlink xmlns:r="http://schemas.openxmlformats.org/officeDocument/2006/relationships" ref="D10" r:id="Rb3020130360a4791"/>
    <x:hyperlink xmlns:r="http://schemas.openxmlformats.org/officeDocument/2006/relationships" ref="D12" r:id="R11d47834760c42d9"/>
    <x:hyperlink xmlns:r="http://schemas.openxmlformats.org/officeDocument/2006/relationships" ref="D13" r:id="R6a55c1dc3ad745f5"/>
    <x:hyperlink xmlns:r="http://schemas.openxmlformats.org/officeDocument/2006/relationships" ref="D14" r:id="R1c8305a07d0a468b"/>
    <x:hyperlink xmlns:r="http://schemas.openxmlformats.org/officeDocument/2006/relationships" ref="D15" r:id="Radfd56b5fbac4c3e"/>
    <x:hyperlink xmlns:r="http://schemas.openxmlformats.org/officeDocument/2006/relationships" ref="D16" r:id="R8fac2b3e6791435a"/>
    <x:hyperlink xmlns:r="http://schemas.openxmlformats.org/officeDocument/2006/relationships" ref="D17" r:id="R764628dba7b54cab"/>
    <x:hyperlink xmlns:r="http://schemas.openxmlformats.org/officeDocument/2006/relationships" ref="D18" r:id="Rd4233bb83c1844ef"/>
    <x:hyperlink xmlns:r="http://schemas.openxmlformats.org/officeDocument/2006/relationships" ref="D19" r:id="R9f92ebb29b934333"/>
    <x:hyperlink xmlns:r="http://schemas.openxmlformats.org/officeDocument/2006/relationships" ref="D20" r:id="Rfd4914754e124f9b"/>
    <x:hyperlink xmlns:r="http://schemas.openxmlformats.org/officeDocument/2006/relationships" ref="D21" r:id="R985471916154441b"/>
    <x:hyperlink xmlns:r="http://schemas.openxmlformats.org/officeDocument/2006/relationships" ref="D22" r:id="R75fa50621d1b4bae"/>
    <x:hyperlink xmlns:r="http://schemas.openxmlformats.org/officeDocument/2006/relationships" ref="D23" r:id="Ra7e5678d73df4451"/>
    <x:hyperlink xmlns:r="http://schemas.openxmlformats.org/officeDocument/2006/relationships" ref="D24" r:id="R41983099fb49476b"/>
    <x:hyperlink xmlns:r="http://schemas.openxmlformats.org/officeDocument/2006/relationships" ref="D25" r:id="R34b5698e0d824cb1"/>
    <x:hyperlink xmlns:r="http://schemas.openxmlformats.org/officeDocument/2006/relationships" ref="D26" r:id="R5249bdd025f64026"/>
    <x:hyperlink xmlns:r="http://schemas.openxmlformats.org/officeDocument/2006/relationships" ref="D27" r:id="R05b6e976a1404702"/>
    <x:hyperlink xmlns:r="http://schemas.openxmlformats.org/officeDocument/2006/relationships" ref="D28" r:id="Rb9908f56a8634ec9"/>
    <x:hyperlink xmlns:r="http://schemas.openxmlformats.org/officeDocument/2006/relationships" ref="D29" r:id="Rdc3a94ab03c0424f"/>
    <x:hyperlink xmlns:r="http://schemas.openxmlformats.org/officeDocument/2006/relationships" ref="D30" r:id="R4f325fead7bb4dd2"/>
    <x:hyperlink xmlns:r="http://schemas.openxmlformats.org/officeDocument/2006/relationships" ref="D31" r:id="Rc478c2e14d1e4853"/>
    <x:hyperlink xmlns:r="http://schemas.openxmlformats.org/officeDocument/2006/relationships" ref="D32" r:id="Rf0ab82a058ca42e6"/>
    <x:hyperlink xmlns:r="http://schemas.openxmlformats.org/officeDocument/2006/relationships" ref="D33" r:id="R5d9f3a69ea484b7b"/>
    <x:hyperlink xmlns:r="http://schemas.openxmlformats.org/officeDocument/2006/relationships" ref="D34" r:id="R88e306300c584688"/>
    <x:hyperlink xmlns:r="http://schemas.openxmlformats.org/officeDocument/2006/relationships" ref="D35" r:id="R93b7781b31f5459f"/>
    <x:hyperlink xmlns:r="http://schemas.openxmlformats.org/officeDocument/2006/relationships" ref="D36" r:id="Rfeefe5a395a14b93"/>
    <x:hyperlink xmlns:r="http://schemas.openxmlformats.org/officeDocument/2006/relationships" ref="D37" r:id="Re721897a17704a2c"/>
    <x:hyperlink xmlns:r="http://schemas.openxmlformats.org/officeDocument/2006/relationships" ref="D38" r:id="R52b213e64a474594"/>
    <x:hyperlink xmlns:r="http://schemas.openxmlformats.org/officeDocument/2006/relationships" ref="D39" r:id="Ra3ab58ec47e848df"/>
    <x:hyperlink xmlns:r="http://schemas.openxmlformats.org/officeDocument/2006/relationships" ref="D40" r:id="R1d8dc32070f24d19"/>
    <x:hyperlink xmlns:r="http://schemas.openxmlformats.org/officeDocument/2006/relationships" ref="D41" r:id="R119f014a9e43412d"/>
    <x:hyperlink xmlns:r="http://schemas.openxmlformats.org/officeDocument/2006/relationships" ref="D42" r:id="R1cfaa64b6b64400c"/>
    <x:hyperlink xmlns:r="http://schemas.openxmlformats.org/officeDocument/2006/relationships" ref="D43" r:id="Rfaf9c50a72114e7c"/>
    <x:hyperlink xmlns:r="http://schemas.openxmlformats.org/officeDocument/2006/relationships" ref="D45" r:id="R8f94be99e96948c7"/>
    <x:hyperlink xmlns:r="http://schemas.openxmlformats.org/officeDocument/2006/relationships" ref="D46" r:id="R128948bcd3c74eaa"/>
    <x:hyperlink xmlns:r="http://schemas.openxmlformats.org/officeDocument/2006/relationships" ref="D47" r:id="Rf0ea055679d54a9b"/>
    <x:hyperlink xmlns:r="http://schemas.openxmlformats.org/officeDocument/2006/relationships" ref="D48" r:id="R838bf7ece5654f8c"/>
    <x:hyperlink xmlns:r="http://schemas.openxmlformats.org/officeDocument/2006/relationships" ref="D49" r:id="Ra713580e7c9e436a"/>
    <x:hyperlink xmlns:r="http://schemas.openxmlformats.org/officeDocument/2006/relationships" ref="D50" r:id="R0f030657f5c547c4"/>
    <x:hyperlink xmlns:r="http://schemas.openxmlformats.org/officeDocument/2006/relationships" ref="D51" r:id="R1b4adced3395402e"/>
    <x:hyperlink xmlns:r="http://schemas.openxmlformats.org/officeDocument/2006/relationships" ref="D52" r:id="R3f7da791db5145c1"/>
    <x:hyperlink xmlns:r="http://schemas.openxmlformats.org/officeDocument/2006/relationships" ref="D53" r:id="R3e8c5e0b392c4d13"/>
    <x:hyperlink xmlns:r="http://schemas.openxmlformats.org/officeDocument/2006/relationships" ref="D54" r:id="R52b779f8c7864c6f"/>
    <x:hyperlink xmlns:r="http://schemas.openxmlformats.org/officeDocument/2006/relationships" ref="D55" r:id="R194b5887784d494e"/>
    <x:hyperlink xmlns:r="http://schemas.openxmlformats.org/officeDocument/2006/relationships" ref="D56" r:id="R6f527a3284994cad"/>
    <x:hyperlink xmlns:r="http://schemas.openxmlformats.org/officeDocument/2006/relationships" ref="D57" r:id="Rd616243514814451"/>
    <x:hyperlink xmlns:r="http://schemas.openxmlformats.org/officeDocument/2006/relationships" ref="D58" r:id="Rc472d8f6a8f64e4c"/>
    <x:hyperlink xmlns:r="http://schemas.openxmlformats.org/officeDocument/2006/relationships" ref="D59" r:id="R15c6a46705d84fed"/>
    <x:hyperlink xmlns:r="http://schemas.openxmlformats.org/officeDocument/2006/relationships" ref="D60" r:id="R008d59448de6442d"/>
    <x:hyperlink xmlns:r="http://schemas.openxmlformats.org/officeDocument/2006/relationships" ref="D61" r:id="Rcc54664b96414521"/>
    <x:hyperlink xmlns:r="http://schemas.openxmlformats.org/officeDocument/2006/relationships" ref="D62" r:id="Rf1fb6a5cd90f4d89"/>
    <x:hyperlink xmlns:r="http://schemas.openxmlformats.org/officeDocument/2006/relationships" ref="D63" r:id="Re984fe7c106e4ea5"/>
    <x:hyperlink xmlns:r="http://schemas.openxmlformats.org/officeDocument/2006/relationships" ref="D64" r:id="Ra6589034c5214e9c"/>
  </x:hyperlink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5" width="11.130000114440918" customWidth="1"/>
    <x:col min="6" max="6" width="10.630000114440918" customWidth="1"/>
    <x:col min="7" max="8" width="11.630000114440918" customWidth="1"/>
    <x:col min="9" max="12" width="12.380000114440918" customWidth="1"/>
    <x:col min="14" max="14" width="23.75" customWidth="1"/>
    <x:col min="15" max="15" width="18.5" customWidth="1"/>
  </x:cols>
  <x:sheetData>
    <x:row r="1" ht="21" customHeight="1">
      <x:c r="A1" s="1" t="s">
        <x:v>0</x:v>
      </x:c>
      <x:c r="B1" s="1" t="s">
        <x:v>1</x:v>
      </x:c>
      <x:c r="C1" s="1" t="s">
        <x:v>2</x:v>
      </x:c>
      <x:c r="D1" s="3" t="s">
        <x:v>3</x:v>
      </x:c>
      <x:c r="E1" s="1" t="s">
        <x:v>6</x:v>
      </x:c>
      <x:c r="F1" s="1" t="s">
        <x:v>445</x:v>
      </x:c>
      <x:c r="G1" s="1" t="s">
        <x:v>443</x:v>
      </x:c>
      <x:c r="H1" s="1" t="s">
        <x:v>9</x:v>
      </x:c>
      <x:c r="I1" s="4" t="s">
        <x:v>12</x:v>
      </x:c>
      <x:c r="J1" s="4" t="s">
        <x:v>321</x:v>
      </x:c>
      <x:c r="K1" s="4" t="s">
        <x:v>13</x:v>
      </x:c>
      <x:c r="L1" s="4" t="s">
        <x:v>1025</x:v>
      </x:c>
      <x:c r="M1" s="5" t="s">
        <x:v>21</x:v>
      </x:c>
      <x:c r="N1" s="1" t="s">
        <x:v>22</x:v>
      </x:c>
      <x:c r="O1" s="1" t="s">
        <x:v>24</x:v>
      </x:c>
      <x:c r="P1" s="6" t="s">
        <x:v>25</x:v>
      </x:c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</x:row>
    <x:row r="2" ht="18.75" customHeight="1">
      <x:c r="A2" s="19">
        <x:v>1.0</x:v>
      </x:c>
      <x:c r="B2" s="23" t="s">
        <x:v>730</x:v>
      </x:c>
      <x:c r="C2" s="21">
        <x:v>45658.0</x:v>
      </x:c>
      <x:c r="D2" s="58" t="s">
        <x:v>1026</x:v>
      </x:c>
      <x:c r="E2" s="56"/>
      <x:c r="F2" s="23">
        <x:v>1.0</x:v>
      </x:c>
      <x:c r="G2" s="56"/>
      <x:c r="H2" s="23"/>
      <x:c r="I2" s="25"/>
      <x:c r="J2" s="24"/>
      <x:c r="K2" s="25"/>
      <x:c r="L2" s="25"/>
      <x:c r="M2" s="26" t="n">
        <x:f t="shared" ref="M2:M6" si="1">(E2*240+F2*240+G2*350+H2*390+I2*230+J2*190+K2*230+L2*390)*1000</x:f>
        <x:v>240000</x:v>
      </x:c>
      <x:c r="N2" s="23" t="s">
        <x:v>74</x:v>
      </x:c>
      <x:c r="O2" s="23" t="s">
        <x:v>31</x:v>
      </x:c>
      <x:c r="Q2" s="28" t="s">
        <x:v>34</x:v>
      </x:c>
      <x:c r="R2" s="28" t="s">
        <x:v>31</x:v>
      </x:c>
      <x:c r="S2" s="28" t="s">
        <x:v>54</x:v>
      </x:c>
      <x:c r="T2" s="28" t="s">
        <x:v>55</x:v>
      </x:c>
    </x:row>
    <x:row r="3" ht="18.75" customHeight="1">
      <x:c r="A3" s="19">
        <x:v>2.0</x:v>
      </x:c>
      <x:c r="B3" s="23" t="s">
        <x:v>1027</x:v>
      </x:c>
      <x:c r="C3" s="21">
        <x:v>45658.0</x:v>
      </x:c>
      <x:c r="D3" s="58" t="s">
        <x:v>1028</x:v>
      </x:c>
      <x:c r="E3" s="23">
        <x:v>2.0</x:v>
      </x:c>
      <x:c r="F3" s="23">
        <x:v>1.0</x:v>
      </x:c>
      <x:c r="G3" s="56"/>
      <x:c r="H3" s="23"/>
      <x:c r="I3" s="25"/>
      <x:c r="J3" s="24"/>
      <x:c r="K3" s="24">
        <x:v>1.0</x:v>
      </x:c>
      <x:c r="L3" s="25"/>
      <x:c r="M3" s="26">
        <x:f t="shared" si="1"/>
        <x:v>950000</x:v>
      </x:c>
      <x:c r="N3" s="23" t="s">
        <x:v>74</x:v>
      </x:c>
      <x:c r="O3" s="23" t="s">
        <x:v>31</x:v>
      </x:c>
      <x:c r="Q3" s="31" t="n">
        <x:f>SUMIF(O2:O1064, "Đã CK Anh", M2:M1064)</x:f>
        <x:v>13568000</x:v>
      </x:c>
      <x:c r="R3" s="31" t="n">
        <x:f>SUMIF(O2:O1064, "Đã CK Em", M2:M1064)</x:f>
        <x:v>34390000</x:v>
      </x:c>
      <x:c r="S3" s="31" t="n">
        <x:f>Q3+R3</x:f>
        <x:v>47958000</x:v>
      </x:c>
      <x:c r="T3" s="31" t="n">
        <x:f>SUMIF(O2:O1064, "Chưa CK", M2:M1064)</x:f>
        <x:v>0</x:v>
      </x:c>
    </x:row>
    <x:row r="4" ht="18.75" customHeight="1">
      <x:c r="A4" s="19">
        <x:v>3.0</x:v>
      </x:c>
      <x:c r="B4" s="23" t="s">
        <x:v>972</x:v>
      </x:c>
      <x:c r="C4" s="21">
        <x:v>45658.0</x:v>
      </x:c>
      <x:c r="D4" s="22" t="s">
        <x:v>521</x:v>
      </x:c>
      <x:c r="E4" s="23"/>
      <x:c r="F4" s="23">
        <x:v>1.0</x:v>
      </x:c>
      <x:c r="G4" s="56"/>
      <x:c r="H4" s="23"/>
      <x:c r="I4" s="25"/>
      <x:c r="J4" s="25"/>
      <x:c r="K4" s="25"/>
      <x:c r="L4" s="25"/>
      <x:c r="M4" s="26">
        <x:f t="shared" si="1"/>
        <x:v>240000</x:v>
      </x:c>
      <x:c r="N4" s="23" t="s">
        <x:v>74</x:v>
      </x:c>
      <x:c r="O4" s="23" t="s">
        <x:v>31</x:v>
      </x:c>
    </x:row>
    <x:row r="5" ht="18.75" customHeight="1">
      <x:c r="A5" s="19">
        <x:v>4.0</x:v>
      </x:c>
      <x:c r="B5" s="23" t="s">
        <x:v>1029</x:v>
      </x:c>
      <x:c r="C5" s="21">
        <x:v>45658.0</x:v>
      </x:c>
      <x:c r="D5" s="22" t="s">
        <x:v>1030</x:v>
      </x:c>
      <x:c r="E5" s="23"/>
      <x:c r="F5" s="23"/>
      <x:c r="G5" s="56"/>
      <x:c r="H5" s="23"/>
      <x:c r="I5" s="24">
        <x:v>1.0</x:v>
      </x:c>
      <x:c r="J5" s="24">
        <x:v>1.0</x:v>
      </x:c>
      <x:c r="K5" s="25"/>
      <x:c r="L5" s="25"/>
      <x:c r="M5" s="26">
        <x:f t="shared" si="1"/>
        <x:v>420000</x:v>
      </x:c>
      <x:c r="N5" s="23" t="s">
        <x:v>74</x:v>
      </x:c>
      <x:c r="O5" s="23" t="s">
        <x:v>31</x:v>
      </x:c>
    </x:row>
    <x:row r="6" ht="18.75" customHeight="1">
      <x:c r="A6" s="19">
        <x:v>5.0</x:v>
      </x:c>
      <x:c r="B6" s="23" t="s">
        <x:v>1031</x:v>
      </x:c>
      <x:c r="C6" s="21">
        <x:v>45658.0</x:v>
      </x:c>
      <x:c r="D6" s="22" t="s">
        <x:v>1032</x:v>
      </x:c>
      <x:c r="E6" s="23"/>
      <x:c r="F6" s="23"/>
      <x:c r="G6" s="56"/>
      <x:c r="H6" s="23"/>
      <x:c r="I6" s="24">
        <x:v>1.0</x:v>
      </x:c>
      <x:c r="J6" s="25"/>
      <x:c r="K6" s="25"/>
      <x:c r="L6" s="25"/>
      <x:c r="M6" s="26">
        <x:f t="shared" si="1"/>
        <x:v>230000</x:v>
      </x:c>
      <x:c r="N6" s="23" t="s">
        <x:v>74</x:v>
      </x:c>
      <x:c r="O6" s="23" t="s">
        <x:v>31</x:v>
      </x:c>
      <x:c r="Q6" s="28" t="s">
        <x:v>2</x:v>
      </x:c>
      <x:c r="R6" s="28" t="s">
        <x:v>368</x:v>
      </x:c>
      <x:c r="S6" s="28" t="s">
        <x:v>369</x:v>
      </x:c>
      <x:c r="T6" s="28" t="s">
        <x:v>369</x:v>
      </x:c>
    </x:row>
    <x:row r="7" ht="18.75" customHeight="1">
      <x:c r="A7" s="19">
        <x:v>6.0</x:v>
      </x:c>
      <x:c r="B7" s="23" t="s">
        <x:v>1033</x:v>
      </x:c>
      <x:c r="C7" s="21">
        <x:v>45658.0</x:v>
      </x:c>
      <x:c r="D7" s="22" t="s">
        <x:v>1034</x:v>
      </x:c>
      <x:c r="E7" s="23"/>
      <x:c r="F7" s="23">
        <x:v>21.0</x:v>
      </x:c>
      <x:c r="G7" s="56"/>
      <x:c r="H7" s="23"/>
      <x:c r="I7" s="25"/>
      <x:c r="J7" s="25"/>
      <x:c r="K7" s="25"/>
      <x:c r="L7" s="25"/>
      <x:c r="M7" s="26" t="n">
        <x:f>(E7*240+F7*235+G7*350+H7*390+I7*230+J7*190+K7*230+L7*390)*1000-7000</x:f>
        <x:v>4928000</x:v>
      </x:c>
      <x:c r="N7" s="23" t="s">
        <x:v>74</x:v>
      </x:c>
      <x:c r="O7" s="23" t="s">
        <x:v>31</x:v>
      </x:c>
      <x:c r="Q7" s="33" t="n" cm="1">
        <x:f t="array" ref="Q7:Q23">_xlfn._xlws.SORT(_xlfn.UNIQUE(C2:C1062))</x:f>
        <x:v>45658</x:v>
      </x:c>
      <x:c r="R7" s="34" t="e">
        <x:f>IFERROR(__xludf.DUMMYFUNCTION("SUM(FILTER($E$2:$L$1064, $C2:$C1064 = Q7))"),35.0)</x:f>
        <x:v>#NAME?</x:v>
      </x:c>
      <x:c r="S7" s="34" t="e">
        <x:f>IFERROR(__xludf.DUMMYFUNCTION("COUNT(FILTER($C$2:$C$1064, $C2:$C1064 = Q7))"),10.0)</x:f>
        <x:v>#NAME?</x:v>
      </x:c>
      <x:c r="T7" s="31" t="n">
        <x:f t="shared" ref="T7:T22" si="2">SUMIF($C$2:$C$1064, $Q7 , $M$2:$M$1064)</x:f>
        <x:v>8198000</x:v>
      </x:c>
    </x:row>
    <x:row r="8" ht="18.75" customHeight="1">
      <x:c r="A8" s="19">
        <x:v>7.0</x:v>
      </x:c>
      <x:c r="B8" s="23" t="s">
        <x:v>1035</x:v>
      </x:c>
      <x:c r="C8" s="21">
        <x:v>45658.0</x:v>
      </x:c>
      <x:c r="D8" s="58" t="s">
        <x:v>1036</x:v>
      </x:c>
      <x:c r="E8" s="23"/>
      <x:c r="F8" s="23">
        <x:v>2.0</x:v>
      </x:c>
      <x:c r="G8" s="56"/>
      <x:c r="H8" s="23"/>
      <x:c r="I8" s="25"/>
      <x:c r="J8" s="25"/>
      <x:c r="K8" s="25"/>
      <x:c r="L8" s="25"/>
      <x:c r="M8" s="26" t="n">
        <x:f t="shared" ref="M8:M18" si="3">(E8*240+F8*240+G8*350+H8*390+I8*230+J8*190+K8*230+L8*390)*1000</x:f>
        <x:v>480000</x:v>
      </x:c>
      <x:c r="N8" s="23" t="s">
        <x:v>74</x:v>
      </x:c>
      <x:c r="O8" s="23" t="s">
        <x:v>34</x:v>
      </x:c>
      <x:c r="Q8" s="33" t="n">
        <x:v>45659</x:v>
      </x:c>
      <x:c r="R8" s="34" t="e">
        <x:f>IFERROR(__xludf.DUMMYFUNCTION("SUM(FILTER($E$2:$L$1064, $C2:$C1064 = Q8))"),22.0)</x:f>
        <x:v>#NAME?</x:v>
      </x:c>
      <x:c r="S8" s="34" t="e">
        <x:f>IFERROR(__xludf.DUMMYFUNCTION("COUNT(FILTER($C$2:$C$1064, $C2:$C1064 = Q8))"),13.0)</x:f>
        <x:v>#NAME?</x:v>
      </x:c>
      <x:c r="T8" s="31">
        <x:f t="shared" si="2"/>
        <x:v>5511000</x:v>
      </x:c>
    </x:row>
    <x:row r="9" ht="18.75" customHeight="1">
      <x:c r="A9" s="19">
        <x:v>8.0</x:v>
      </x:c>
      <x:c r="B9" s="23" t="s">
        <x:v>176</x:v>
      </x:c>
      <x:c r="C9" s="21">
        <x:v>45658.0</x:v>
      </x:c>
      <x:c r="D9" s="22" t="s">
        <x:v>1037</x:v>
      </x:c>
      <x:c r="E9" s="23"/>
      <x:c r="F9" s="23">
        <x:v>1.0</x:v>
      </x:c>
      <x:c r="G9" s="56"/>
      <x:c r="H9" s="56"/>
      <x:c r="I9" s="25"/>
      <x:c r="J9" s="24"/>
      <x:c r="K9" s="25"/>
      <x:c r="L9" s="25"/>
      <x:c r="M9" s="26">
        <x:f t="shared" si="3"/>
        <x:v>240000</x:v>
      </x:c>
      <x:c r="N9" s="23" t="s">
        <x:v>74</x:v>
      </x:c>
      <x:c r="O9" s="23" t="s">
        <x:v>31</x:v>
      </x:c>
      <x:c r="Q9" s="33" t="n">
        <x:v>45660</x:v>
      </x:c>
      <x:c r="R9" s="34" t="e">
        <x:f>IFERROR(__xludf.DUMMYFUNCTION("SUM(FILTER($E$2:$L$1064, $C2:$C1064 = Q9))"),34.0)</x:f>
        <x:v>#NAME?</x:v>
      </x:c>
      <x:c r="S9" s="34" t="e">
        <x:f>IFERROR(__xludf.DUMMYFUNCTION("COUNT(FILTER($C$2:$C$1064, $C2:$C1064 = Q9))"),18.0)</x:f>
        <x:v>#NAME?</x:v>
      </x:c>
      <x:c r="T9" s="31">
        <x:f t="shared" si="2"/>
        <x:v>8346000</x:v>
      </x:c>
    </x:row>
    <x:row r="10" ht="18.75" customHeight="1">
      <x:c r="A10" s="19">
        <x:v>9.0</x:v>
      </x:c>
      <x:c r="B10" s="23" t="s">
        <x:v>1038</x:v>
      </x:c>
      <x:c r="C10" s="21">
        <x:v>45658.0</x:v>
      </x:c>
      <x:c r="D10" s="22" t="s">
        <x:v>1039</x:v>
      </x:c>
      <x:c r="E10" s="56"/>
      <x:c r="F10" s="23"/>
      <x:c r="G10" s="23"/>
      <x:c r="H10" s="23"/>
      <x:c r="I10" s="25"/>
      <x:c r="J10" s="25"/>
      <x:c r="K10" s="24">
        <x:v>1.0</x:v>
      </x:c>
      <x:c r="L10" s="25"/>
      <x:c r="M10" s="26">
        <x:f t="shared" si="3"/>
        <x:v>230000</x:v>
      </x:c>
      <x:c r="N10" s="23" t="s">
        <x:v>74</x:v>
      </x:c>
      <x:c r="O10" s="23" t="s">
        <x:v>34</x:v>
      </x:c>
      <x:c r="P10" s="32"/>
      <x:c r="Q10" s="33" t="n">
        <x:v>45661</x:v>
      </x:c>
      <x:c r="R10" s="34" t="e">
        <x:f>IFERROR(__xludf.DUMMYFUNCTION("SUM(FILTER($E$2:$L$1064, $C2:$C1064 = Q10))"),14.0)</x:f>
        <x:v>#NAME?</x:v>
      </x:c>
      <x:c r="S10" s="34" t="e">
        <x:f>IFERROR(__xludf.DUMMYFUNCTION("COUNT(FILTER($C$2:$C$1064, $C2:$C1064 = Q10))"),9.0)</x:f>
        <x:v>#NAME?</x:v>
      </x:c>
      <x:c r="T10" s="31">
        <x:f t="shared" si="2"/>
        <x:v>3190000</x:v>
      </x:c>
    </x:row>
    <x:row r="11" ht="18.75" customHeight="1">
      <x:c r="A11" s="19">
        <x:v>10.0</x:v>
      </x:c>
      <x:c r="B11" s="23" t="s">
        <x:v>1040</x:v>
      </x:c>
      <x:c r="C11" s="21">
        <x:v>45658.0</x:v>
      </x:c>
      <x:c r="D11" s="58" t="s">
        <x:v>1041</x:v>
      </x:c>
      <x:c r="E11" s="23">
        <x:v>1.0</x:v>
      </x:c>
      <x:c r="F11" s="23"/>
      <x:c r="G11" s="56"/>
      <x:c r="H11" s="56"/>
      <x:c r="I11" s="25"/>
      <x:c r="J11" s="25"/>
      <x:c r="K11" s="25"/>
      <x:c r="L11" s="25"/>
      <x:c r="M11" s="26">
        <x:f t="shared" si="3"/>
        <x:v>240000</x:v>
      </x:c>
      <x:c r="N11" s="23" t="s">
        <x:v>74</x:v>
      </x:c>
      <x:c r="O11" s="23" t="s">
        <x:v>31</x:v>
      </x:c>
      <x:c r="P11" s="32"/>
      <x:c r="Q11" s="33" t="n">
        <x:v>45662</x:v>
      </x:c>
      <x:c r="R11" s="34" t="e">
        <x:f>IFERROR(__xludf.DUMMYFUNCTION("SUM(FILTER($E$2:$L$1064, $C2:$C1064 = Q11))"),2.0)</x:f>
        <x:v>#NAME?</x:v>
      </x:c>
      <x:c r="S11" s="34" t="e">
        <x:f>IFERROR(__xludf.DUMMYFUNCTION("COUNT(FILTER($C$2:$C$1064, $C2:$C1064 = Q11))"),2.0)</x:f>
        <x:v>#NAME?</x:v>
      </x:c>
      <x:c r="T11" s="31">
        <x:f t="shared" si="2"/>
        <x:v>585000</x:v>
      </x:c>
    </x:row>
    <x:row r="12" ht="18.75" customHeight="1">
      <x:c r="A12" s="19">
        <x:v>11.0</x:v>
      </x:c>
      <x:c r="B12" s="23" t="s">
        <x:v>1042</x:v>
      </x:c>
      <x:c r="C12" s="21">
        <x:v>45659.0</x:v>
      </x:c>
      <x:c r="D12" s="58" t="s">
        <x:v>1043</x:v>
      </x:c>
      <x:c r="E12" s="23"/>
      <x:c r="F12" s="23">
        <x:v>1.0</x:v>
      </x:c>
      <x:c r="G12" s="56"/>
      <x:c r="H12" s="56"/>
      <x:c r="I12" s="24">
        <x:v>1.0</x:v>
      </x:c>
      <x:c r="J12" s="25"/>
      <x:c r="K12" s="25"/>
      <x:c r="L12" s="25"/>
      <x:c r="M12" s="26">
        <x:f t="shared" si="3"/>
        <x:v>470000</x:v>
      </x:c>
      <x:c r="N12" s="23" t="s">
        <x:v>74</x:v>
      </x:c>
      <x:c r="O12" s="23" t="s">
        <x:v>34</x:v>
      </x:c>
      <x:c r="P12" s="32"/>
      <x:c r="Q12" s="33" t="n">
        <x:v>45663</x:v>
      </x:c>
      <x:c r="R12" s="34" t="e">
        <x:f>IFERROR(__xludf.DUMMYFUNCTION("SUM(FILTER($E$2:$L$1064, $C2:$C1064 = Q12))"),8.0)</x:f>
        <x:v>#NAME?</x:v>
      </x:c>
      <x:c r="S12" s="34" t="e">
        <x:f>IFERROR(__xludf.DUMMYFUNCTION("COUNT(FILTER($C$2:$C$1064, $C2:$C1064 = Q12))"),7.0)</x:f>
        <x:v>#NAME?</x:v>
      </x:c>
      <x:c r="T12" s="31">
        <x:f t="shared" si="2"/>
        <x:v>2200000</x:v>
      </x:c>
    </x:row>
    <x:row r="13" ht="18.75" customHeight="1">
      <x:c r="A13" s="19">
        <x:v>12.0</x:v>
      </x:c>
      <x:c r="B13" s="23" t="s">
        <x:v>1044</x:v>
      </x:c>
      <x:c r="C13" s="21">
        <x:v>45659.0</x:v>
      </x:c>
      <x:c r="D13" s="22" t="s">
        <x:v>1045</x:v>
      </x:c>
      <x:c r="E13" s="23">
        <x:v>2.0</x:v>
      </x:c>
      <x:c r="F13" s="23"/>
      <x:c r="G13" s="56"/>
      <x:c r="H13" s="56"/>
      <x:c r="I13" s="24">
        <x:v>1.0</x:v>
      </x:c>
      <x:c r="J13" s="25"/>
      <x:c r="K13" s="25"/>
      <x:c r="L13" s="25"/>
      <x:c r="M13" s="26">
        <x:f t="shared" si="3"/>
        <x:v>710000</x:v>
      </x:c>
      <x:c r="N13" s="99" t="s">
        <x:v>74</x:v>
      </x:c>
      <x:c r="O13" s="23" t="s">
        <x:v>31</x:v>
      </x:c>
      <x:c r="P13" s="32"/>
      <x:c r="Q13" s="33" t="n">
        <x:v>45664</x:v>
      </x:c>
      <x:c r="R13" s="34" t="e">
        <x:f>IFERROR(__xludf.DUMMYFUNCTION("SUM(FILTER($E$2:$L$1064, $C2:$C1064 = Q13))"),4.0)</x:f>
        <x:v>#NAME?</x:v>
      </x:c>
      <x:c r="S13" s="34" t="e">
        <x:f>IFERROR(__xludf.DUMMYFUNCTION("COUNT(FILTER($C$2:$C$1064, $C2:$C1064 = Q13))"),2.0)</x:f>
        <x:v>#NAME?</x:v>
      </x:c>
      <x:c r="T13" s="31">
        <x:f t="shared" si="2"/>
        <x:v>886000</x:v>
      </x:c>
    </x:row>
    <x:row r="14">
      <x:c r="A14" s="19">
        <x:v>13.0</x:v>
      </x:c>
      <x:c r="B14" s="23" t="s">
        <x:v>1046</x:v>
      </x:c>
      <x:c r="C14" s="21">
        <x:v>45659.0</x:v>
      </x:c>
      <x:c r="D14" s="22" t="s">
        <x:v>1047</x:v>
      </x:c>
      <x:c r="E14" s="56"/>
      <x:c r="F14" s="23"/>
      <x:c r="G14" s="23">
        <x:v>1.0</x:v>
      </x:c>
      <x:c r="H14" s="56"/>
      <x:c r="I14" s="24">
        <x:v>1.0</x:v>
      </x:c>
      <x:c r="J14" s="25"/>
      <x:c r="K14" s="24">
        <x:v>1.0</x:v>
      </x:c>
      <x:c r="L14" s="25"/>
      <x:c r="M14" s="26">
        <x:f t="shared" si="3"/>
        <x:v>810000</x:v>
      </x:c>
      <x:c r="N14" s="23" t="s">
        <x:v>74</x:v>
      </x:c>
      <x:c r="O14" s="23" t="s">
        <x:v>34</x:v>
      </x:c>
      <x:c r="P14" s="32"/>
      <x:c r="Q14" s="33" t="n">
        <x:v>45665</x:v>
      </x:c>
      <x:c r="R14" s="34" t="e">
        <x:f>IFERROR(__xludf.DUMMYFUNCTION("SUM(FILTER($E$2:$L$1064, $C2:$C1064 = Q14))"),14.0)</x:f>
        <x:v>#NAME?</x:v>
      </x:c>
      <x:c r="S14" s="34" t="e">
        <x:f>IFERROR(__xludf.DUMMYFUNCTION("COUNT(FILTER($C$2:$C$1064, $C2:$C1064 = Q14))"),8.0)</x:f>
        <x:v>#NAME?</x:v>
      </x:c>
      <x:c r="T14" s="31">
        <x:f t="shared" si="2"/>
        <x:v>3786000</x:v>
      </x:c>
    </x:row>
    <x:row r="15" ht="18.75" customHeight="1">
      <x:c r="A15" s="19">
        <x:v>14.0</x:v>
      </x:c>
      <x:c r="B15" s="23" t="s">
        <x:v>1048</x:v>
      </x:c>
      <x:c r="C15" s="21">
        <x:v>45659.0</x:v>
      </x:c>
      <x:c r="D15" s="22" t="s">
        <x:v>1049</x:v>
      </x:c>
      <x:c r="E15" s="23"/>
      <x:c r="F15" s="56"/>
      <x:c r="G15" s="56"/>
      <x:c r="H15" s="56"/>
      <x:c r="I15" s="24">
        <x:v>1.0</x:v>
      </x:c>
      <x:c r="J15" s="25"/>
      <x:c r="K15" s="25"/>
      <x:c r="L15" s="25"/>
      <x:c r="M15" s="26">
        <x:f t="shared" si="3"/>
        <x:v>230000</x:v>
      </x:c>
      <x:c r="N15" s="23" t="s">
        <x:v>74</x:v>
      </x:c>
      <x:c r="O15" s="23" t="s">
        <x:v>31</x:v>
      </x:c>
      <x:c r="P15" s="32"/>
      <x:c r="Q15" s="33" t="n">
        <x:v>45666</x:v>
      </x:c>
      <x:c r="R15" s="34" t="e">
        <x:f>IFERROR(__xludf.DUMMYFUNCTION("SUM(FILTER($E$2:$L$1064, $C$2:$C$1064 = Q15))"),13.0)</x:f>
        <x:v>#NAME?</x:v>
      </x:c>
      <x:c r="S15" s="34" t="e">
        <x:f>IFERROR(__xludf.DUMMYFUNCTION("COUNT(FILTER($C$2:$C$1064, $C2:$C1064 = Q15))"),6.0)</x:f>
        <x:v>#NAME?</x:v>
      </x:c>
      <x:c r="T15" s="31">
        <x:f t="shared" si="2"/>
        <x:v>2885000</x:v>
      </x:c>
    </x:row>
    <x:row r="16" ht="18.75" customHeight="1">
      <x:c r="A16" s="19">
        <x:v>15.0</x:v>
      </x:c>
      <x:c r="B16" s="23" t="s">
        <x:v>1050</x:v>
      </x:c>
      <x:c r="C16" s="21">
        <x:v>45659.0</x:v>
      </x:c>
      <x:c r="D16" s="58" t="s">
        <x:v>1051</x:v>
      </x:c>
      <x:c r="E16" s="23">
        <x:v>1.0</x:v>
      </x:c>
      <x:c r="F16" s="23"/>
      <x:c r="G16" s="56"/>
      <x:c r="H16" s="56"/>
      <x:c r="I16" s="24"/>
      <x:c r="J16" s="24"/>
      <x:c r="K16" s="24"/>
      <x:c r="L16" s="24"/>
      <x:c r="M16" s="26">
        <x:f t="shared" si="3"/>
        <x:v>240000</x:v>
      </x:c>
      <x:c r="N16" s="23" t="s">
        <x:v>74</x:v>
      </x:c>
      <x:c r="O16" s="23" t="s">
        <x:v>34</x:v>
      </x:c>
      <x:c r="P16" s="32"/>
      <x:c r="Q16" s="33" t="n">
        <x:v>45667</x:v>
      </x:c>
      <x:c r="R16" s="34" t="e">
        <x:f>IFERROR(__xludf.DUMMYFUNCTION("SUM(FILTER($E$2:$L$1064, $C$2:$C$1064 = Q16))"),5.0)</x:f>
        <x:v>#NAME?</x:v>
      </x:c>
      <x:c r="S16" s="34" t="e">
        <x:f>IFERROR(__xludf.DUMMYFUNCTION("COUNT(FILTER($C$2:$C$1064, $C2:$C1064 = Q16))"),4.0)</x:f>
        <x:v>#NAME?</x:v>
      </x:c>
      <x:c r="T16" s="31">
        <x:f t="shared" si="2"/>
        <x:v>1310000</x:v>
      </x:c>
    </x:row>
    <x:row r="17" ht="18.75" customHeight="1">
      <x:c r="A17" s="19">
        <x:v>16.0</x:v>
      </x:c>
      <x:c r="B17" s="23" t="s">
        <x:v>658</x:v>
      </x:c>
      <x:c r="C17" s="21">
        <x:v>45659.0</x:v>
      </x:c>
      <x:c r="D17" s="58" t="s">
        <x:v>604</x:v>
      </x:c>
      <x:c r="E17" s="23">
        <x:v>1.0</x:v>
      </x:c>
      <x:c r="F17" s="23">
        <x:v>1.0</x:v>
      </x:c>
      <x:c r="G17" s="56"/>
      <x:c r="H17" s="56"/>
      <x:c r="I17" s="24"/>
      <x:c r="J17" s="24"/>
      <x:c r="K17" s="24"/>
      <x:c r="L17" s="24"/>
      <x:c r="M17" s="26">
        <x:f t="shared" si="3"/>
        <x:v>480000</x:v>
      </x:c>
      <x:c r="N17" s="23" t="s">
        <x:v>74</x:v>
      </x:c>
      <x:c r="O17" s="23" t="s">
        <x:v>31</x:v>
      </x:c>
      <x:c r="P17" s="32"/>
      <x:c r="Q17" s="33" t="n">
        <x:v>45669</x:v>
      </x:c>
      <x:c r="R17" s="34" t="e">
        <x:f>IFERROR(__xludf.DUMMYFUNCTION("SUM(FILTER($E$2:$L$1064, $C$2:$C$1064 = Q17))"),8.0)</x:f>
        <x:v>#NAME?</x:v>
      </x:c>
      <x:c r="S17" s="34" t="e">
        <x:f>IFERROR(__xludf.DUMMYFUNCTION("COUNT(FILTER($C$2:$C$1064, $C2:$C1064 = Q17))"),8.0)</x:f>
        <x:v>#NAME?</x:v>
      </x:c>
      <x:c r="T17" s="31">
        <x:f t="shared" si="2"/>
        <x:v>2280000</x:v>
      </x:c>
    </x:row>
    <x:row r="18" ht="18.75" customHeight="1">
      <x:c r="A18" s="19">
        <x:v>17.0</x:v>
      </x:c>
      <x:c r="B18" s="23" t="s">
        <x:v>1052</x:v>
      </x:c>
      <x:c r="C18" s="21">
        <x:v>45659.0</x:v>
      </x:c>
      <x:c r="D18" s="58" t="s">
        <x:v>1053</x:v>
      </x:c>
      <x:c r="E18" s="23"/>
      <x:c r="F18" s="23">
        <x:v>1.0</x:v>
      </x:c>
      <x:c r="G18" s="56"/>
      <x:c r="H18" s="56"/>
      <x:c r="I18" s="25"/>
      <x:c r="J18" s="25"/>
      <x:c r="K18" s="25"/>
      <x:c r="L18" s="25"/>
      <x:c r="M18" s="26">
        <x:f t="shared" si="3"/>
        <x:v>240000</x:v>
      </x:c>
      <x:c r="N18" s="23" t="s">
        <x:v>74</x:v>
      </x:c>
      <x:c r="O18" s="23" t="s">
        <x:v>34</x:v>
      </x:c>
      <x:c r="P18" s="32"/>
      <x:c r="Q18" s="33" t="n">
        <x:v>45670</x:v>
      </x:c>
      <x:c r="R18" s="34" t="e">
        <x:f>IFERROR(__xludf.DUMMYFUNCTION("SUM(FILTER($E$2:$L$1064, $C$2:$C$1064 = Q18))"),10.0)</x:f>
        <x:v>#NAME?</x:v>
      </x:c>
      <x:c r="S18" s="34" t="e">
        <x:f>IFERROR(__xludf.DUMMYFUNCTION("COUNT(FILTER($C$2:$C$1064, $C2:$C1064 = Q18))"),8.0)</x:f>
        <x:v>#NAME?</x:v>
      </x:c>
      <x:c r="T18" s="31">
        <x:f t="shared" si="2"/>
        <x:v>2625000</x:v>
      </x:c>
    </x:row>
    <x:row r="19" ht="18.75" customHeight="1">
      <x:c r="A19" s="19">
        <x:v>18.0</x:v>
      </x:c>
      <x:c r="B19" s="23" t="s">
        <x:v>1054</x:v>
      </x:c>
      <x:c r="C19" s="21">
        <x:v>45659.0</x:v>
      </x:c>
      <x:c r="D19" s="22" t="s">
        <x:v>1055</x:v>
      </x:c>
      <x:c r="E19" s="23">
        <x:v>1.0</x:v>
      </x:c>
      <x:c r="F19" s="23"/>
      <x:c r="G19" s="23"/>
      <x:c r="H19" s="23">
        <x:v>1.0</x:v>
      </x:c>
      <x:c r="I19" s="25"/>
      <x:c r="J19" s="25"/>
      <x:c r="K19" s="25"/>
      <x:c r="L19" s="25"/>
      <x:c r="M19" s="26" t="n">
        <x:f>(E19*240+F19*240+G19*350+H19*390+I19*230+J19*190+K19*230+L19*390)*1000+11000</x:f>
        <x:v>641000</x:v>
      </x:c>
      <x:c r="N19" s="23" t="s">
        <x:v>74</x:v>
      </x:c>
      <x:c r="O19" s="23" t="s">
        <x:v>31</x:v>
      </x:c>
      <x:c r="P19" s="32"/>
      <x:c r="Q19" s="33" t="n">
        <x:v>45671</x:v>
      </x:c>
      <x:c r="R19" s="34" t="e">
        <x:f>IFERROR(__xludf.DUMMYFUNCTION("SUM(FILTER($E$2:$L$1064, $C$2:$C$1064 = Q19))"),9.0)</x:f>
        <x:v>#NAME?</x:v>
      </x:c>
      <x:c r="S19" s="34" t="e">
        <x:f>IFERROR(__xludf.DUMMYFUNCTION("COUNT(FILTER($C$2:$C$1064, $C3:$C1065 = Q19))"),5.0)</x:f>
        <x:v>#NAME?</x:v>
      </x:c>
      <x:c r="T19" s="31">
        <x:f t="shared" si="2"/>
        <x:v>2795000</x:v>
      </x:c>
    </x:row>
    <x:row r="20" ht="18.75" customHeight="1">
      <x:c r="A20" s="19">
        <x:v>19.0</x:v>
      </x:c>
      <x:c r="B20" s="23" t="s">
        <x:v>1056</x:v>
      </x:c>
      <x:c r="C20" s="21">
        <x:v>45659.0</x:v>
      </x:c>
      <x:c r="D20" s="22" t="s">
        <x:v>1057</x:v>
      </x:c>
      <x:c r="E20" s="23"/>
      <x:c r="F20" s="23">
        <x:v>1.0</x:v>
      </x:c>
      <x:c r="G20" s="23"/>
      <x:c r="H20" s="56"/>
      <x:c r="I20" s="25"/>
      <x:c r="J20" s="25"/>
      <x:c r="K20" s="25"/>
      <x:c r="L20" s="25"/>
      <x:c r="M20" s="26" t="n">
        <x:f t="shared" ref="M20:M22" si="4">(E20*240+F20*240+G20*350+H20*390+I20*230+J20*190+K20*230+L20*390)*1000</x:f>
        <x:v>240000</x:v>
      </x:c>
      <x:c r="N20" s="23" t="s">
        <x:v>74</x:v>
      </x:c>
      <x:c r="O20" s="23" t="s">
        <x:v>31</x:v>
      </x:c>
      <x:c r="P20" s="32"/>
      <x:c r="Q20" s="33" t="n">
        <x:v>45672</x:v>
      </x:c>
      <x:c r="R20" s="34" t="e">
        <x:f>IFERROR(__xludf.DUMMYFUNCTION("SUM(FILTER($E$2:$L$1064, $C$2:$C$1064 = Q20))"),3.0)</x:f>
        <x:v>#NAME?</x:v>
      </x:c>
      <x:c r="S20" s="34" t="e">
        <x:f>IFERROR(__xludf.DUMMYFUNCTION("COUNT(FILTER($C$2:$C$1064, $C4:$C1066 = Q20))"),3.0)</x:f>
        <x:v>#NAME?</x:v>
      </x:c>
      <x:c r="T20" s="31">
        <x:f t="shared" si="2"/>
        <x:v>570000</x:v>
      </x:c>
    </x:row>
    <x:row r="21">
      <x:c r="A21" s="19">
        <x:v>20.0</x:v>
      </x:c>
      <x:c r="B21" s="23" t="s">
        <x:v>1058</x:v>
      </x:c>
      <x:c r="C21" s="21">
        <x:v>45659.0</x:v>
      </x:c>
      <x:c r="D21" s="58" t="s">
        <x:v>1059</x:v>
      </x:c>
      <x:c r="E21" s="56"/>
      <x:c r="F21" s="23">
        <x:v>1.0</x:v>
      </x:c>
      <x:c r="G21" s="56"/>
      <x:c r="H21" s="23"/>
      <x:c r="I21" s="25"/>
      <x:c r="J21" s="25"/>
      <x:c r="K21" s="25"/>
      <x:c r="L21" s="25"/>
      <x:c r="M21" s="26">
        <x:f t="shared" si="4"/>
        <x:v>240000</x:v>
      </x:c>
      <x:c r="N21" s="23" t="s">
        <x:v>74</x:v>
      </x:c>
      <x:c r="O21" s="23" t="s">
        <x:v>34</x:v>
      </x:c>
      <x:c r="P21" s="57"/>
      <x:c r="Q21" s="33" t="n">
        <x:v>45673</x:v>
      </x:c>
      <x:c r="R21" s="34" t="e">
        <x:f>IFERROR(__xludf.DUMMYFUNCTION("SUM(FILTER($E$2:$L$1064, $C$2:$C$1064 = Q21))"),6.0)</x:f>
        <x:v>#NAME?</x:v>
      </x:c>
      <x:c r="S21" s="34" t="e">
        <x:f>IFERROR(__xludf.DUMMYFUNCTION("COUNT(FILTER($C$2:$C$1064, $C5:$C1067 = Q21))"),5.0)</x:f>
        <x:v>#NAME?</x:v>
      </x:c>
      <x:c r="T21" s="31">
        <x:f t="shared" si="2"/>
        <x:v>1328000</x:v>
      </x:c>
    </x:row>
    <x:row r="22" ht="18.75" customHeight="1">
      <x:c r="A22" s="19">
        <x:v>21.0</x:v>
      </x:c>
      <x:c r="B22" s="23" t="s">
        <x:v>689</x:v>
      </x:c>
      <x:c r="C22" s="21">
        <x:v>45659.0</x:v>
      </x:c>
      <x:c r="D22" s="58" t="s">
        <x:v>1060</x:v>
      </x:c>
      <x:c r="E22" s="56"/>
      <x:c r="F22" s="23"/>
      <x:c r="G22" s="56"/>
      <x:c r="H22" s="56"/>
      <x:c r="I22" s="24">
        <x:v>1.0</x:v>
      </x:c>
      <x:c r="J22" s="24">
        <x:v>1.0</x:v>
      </x:c>
      <x:c r="K22" s="25"/>
      <x:c r="L22" s="25"/>
      <x:c r="M22" s="26">
        <x:f t="shared" si="4"/>
        <x:v>420000</x:v>
      </x:c>
      <x:c r="N22" s="23" t="s">
        <x:v>74</x:v>
      </x:c>
      <x:c r="O22" s="23" t="s">
        <x:v>31</x:v>
      </x:c>
      <x:c r="P22" s="32"/>
      <x:c r="Q22" s="33" t="n">
        <x:v>45674</x:v>
      </x:c>
      <x:c r="R22" s="34" t="e">
        <x:f>IFERROR(__xludf.DUMMYFUNCTION("SUM(FILTER($E$2:$L$1064, $C$2:$C$1064 = Q22))"),6.0)</x:f>
        <x:v>#NAME?</x:v>
      </x:c>
      <x:c r="S22" s="34" t="e">
        <x:f>IFERROR(__xludf.DUMMYFUNCTION("COUNT(FILTER($C$2:$C$1064, $C6:$C1068 = Q22))"),5.0)</x:f>
        <x:v>#NAME?</x:v>
      </x:c>
      <x:c r="T22" s="31">
        <x:f t="shared" si="2"/>
        <x:v>1463000</x:v>
      </x:c>
    </x:row>
    <x:row r="23" ht="18.75" customHeight="1">
      <x:c r="A23" s="19">
        <x:v>22.0</x:v>
      </x:c>
      <x:c r="B23" s="23" t="s">
        <x:v>1061</x:v>
      </x:c>
      <x:c r="C23" s="21">
        <x:v>45659.0</x:v>
      </x:c>
      <x:c r="D23" s="22" t="s">
        <x:v>1062</x:v>
      </x:c>
      <x:c r="E23" s="56"/>
      <x:c r="F23" s="23">
        <x:v>1.0</x:v>
      </x:c>
      <x:c r="G23" s="56"/>
      <x:c r="H23" s="56"/>
      <x:c r="I23" s="25"/>
      <x:c r="J23" s="25"/>
      <x:c r="K23" s="25"/>
      <x:c r="L23" s="25"/>
      <x:c r="M23" s="26" t="n">
        <x:f>(E23*240+F23*240+G23*350+H23*390+I23*230+J23*190+K23*230+L23*390)*1000+10000</x:f>
        <x:v>250000</x:v>
      </x:c>
      <x:c r="N23" s="23" t="s">
        <x:v>74</x:v>
      </x:c>
      <x:c r="O23" s="23" t="s">
        <x:v>31</x:v>
      </x:c>
      <x:c r="P23" s="32"/>
      <x:c r="Q23" s="103" t="n">
        <x:v>0</x:v>
      </x:c>
    </x:row>
    <x:row r="24" ht="18.75" customHeight="1">
      <x:c r="A24" s="19">
        <x:v>23.0</x:v>
      </x:c>
      <x:c r="B24" s="23" t="s">
        <x:v>1063</x:v>
      </x:c>
      <x:c r="C24" s="21">
        <x:v>45659.0</x:v>
      </x:c>
      <x:c r="D24" s="58" t="s">
        <x:v>1064</x:v>
      </x:c>
      <x:c r="E24" s="23"/>
      <x:c r="F24" s="23"/>
      <x:c r="G24" s="23">
        <x:v>1.0</x:v>
      </x:c>
      <x:c r="H24" s="23"/>
      <x:c r="I24" s="25"/>
      <x:c r="J24" s="24">
        <x:v>1.0</x:v>
      </x:c>
      <x:c r="K24" s="25"/>
      <x:c r="L24" s="25"/>
      <x:c r="M24" s="26" t="n">
        <x:f t="shared" ref="M24:M29" si="5">(E24*240+F24*240+G24*350+H24*390+I24*230+J24*190+K24*230+L24*390)*1000</x:f>
        <x:v>540000</x:v>
      </x:c>
      <x:c r="N24" s="23" t="s">
        <x:v>74</x:v>
      </x:c>
      <x:c r="O24" s="23" t="s">
        <x:v>31</x:v>
      </x:c>
      <x:c r="P24" s="32"/>
    </x:row>
    <x:row r="25">
      <x:c r="A25" s="19">
        <x:v>24.0</x:v>
      </x:c>
      <x:c r="B25" s="23" t="s">
        <x:v>1065</x:v>
      </x:c>
      <x:c r="C25" s="21">
        <x:v>45660.0</x:v>
      </x:c>
      <x:c r="D25" s="58" t="s">
        <x:v>1066</x:v>
      </x:c>
      <x:c r="E25" s="23">
        <x:v>1.0</x:v>
      </x:c>
      <x:c r="F25" s="23"/>
      <x:c r="G25" s="56"/>
      <x:c r="H25" s="23"/>
      <x:c r="I25" s="24">
        <x:v>4.0</x:v>
      </x:c>
      <x:c r="J25" s="25"/>
      <x:c r="K25" s="25"/>
      <x:c r="L25" s="25"/>
      <x:c r="M25" s="26">
        <x:f t="shared" si="5"/>
        <x:v>1160000</x:v>
      </x:c>
      <x:c r="N25" s="23" t="s">
        <x:v>74</x:v>
      </x:c>
      <x:c r="O25" s="23" t="s">
        <x:v>34</x:v>
      </x:c>
      <x:c r="P25" s="57"/>
    </x:row>
    <x:row r="26" ht="18.75" customHeight="1">
      <x:c r="A26" s="19">
        <x:v>25.0</x:v>
      </x:c>
      <x:c r="B26" s="23" t="s">
        <x:v>1067</x:v>
      </x:c>
      <x:c r="C26" s="21">
        <x:v>45660.0</x:v>
      </x:c>
      <x:c r="D26" s="22" t="s">
        <x:v>780</x:v>
      </x:c>
      <x:c r="E26" s="56"/>
      <x:c r="F26" s="23">
        <x:v>1.0</x:v>
      </x:c>
      <x:c r="G26" s="56"/>
      <x:c r="H26" s="23"/>
      <x:c r="I26" s="25"/>
      <x:c r="J26" s="25"/>
      <x:c r="K26" s="24"/>
      <x:c r="L26" s="24"/>
      <x:c r="M26" s="26">
        <x:f t="shared" si="5"/>
        <x:v>240000</x:v>
      </x:c>
      <x:c r="N26" s="23" t="s">
        <x:v>74</x:v>
      </x:c>
      <x:c r="O26" s="23" t="s">
        <x:v>31</x:v>
      </x:c>
      <x:c r="P26" s="57"/>
    </x:row>
    <x:row r="27">
      <x:c r="A27" s="19">
        <x:v>26.0</x:v>
      </x:c>
      <x:c r="B27" s="23" t="s">
        <x:v>1068</x:v>
      </x:c>
      <x:c r="C27" s="21">
        <x:v>45660.0</x:v>
      </x:c>
      <x:c r="D27" s="58" t="s">
        <x:v>1069</x:v>
      </x:c>
      <x:c r="E27" s="56"/>
      <x:c r="F27" s="23">
        <x:v>1.0</x:v>
      </x:c>
      <x:c r="G27" s="56"/>
      <x:c r="H27" s="23"/>
      <x:c r="I27" s="24">
        <x:v>1.0</x:v>
      </x:c>
      <x:c r="J27" s="24"/>
      <x:c r="K27" s="25"/>
      <x:c r="L27" s="25"/>
      <x:c r="M27" s="26">
        <x:f t="shared" si="5"/>
        <x:v>470000</x:v>
      </x:c>
      <x:c r="N27" s="23" t="s">
        <x:v>74</x:v>
      </x:c>
      <x:c r="O27" s="23" t="s">
        <x:v>34</x:v>
      </x:c>
      <x:c r="P27" s="57"/>
    </x:row>
    <x:row r="28" ht="18.75" customHeight="1">
      <x:c r="A28" s="19">
        <x:v>27.0</x:v>
      </x:c>
      <x:c r="B28" s="23" t="s">
        <x:v>1070</x:v>
      </x:c>
      <x:c r="C28" s="21">
        <x:v>45660.0</x:v>
      </x:c>
      <x:c r="D28" s="22" t="s">
        <x:v>1071</x:v>
      </x:c>
      <x:c r="E28" s="56"/>
      <x:c r="F28" s="23"/>
      <x:c r="G28" s="23">
        <x:v>1.0</x:v>
      </x:c>
      <x:c r="H28" s="23"/>
      <x:c r="I28" s="24"/>
      <x:c r="J28" s="24"/>
      <x:c r="K28" s="24"/>
      <x:c r="L28" s="24"/>
      <x:c r="M28" s="26">
        <x:f t="shared" si="5"/>
        <x:v>350000</x:v>
      </x:c>
      <x:c r="N28" s="23" t="s">
        <x:v>74</x:v>
      </x:c>
      <x:c r="O28" s="23" t="s">
        <x:v>31</x:v>
      </x:c>
      <x:c r="P28" s="32"/>
    </x:row>
    <x:row r="29" ht="18.75" customHeight="1">
      <x:c r="A29" s="19">
        <x:v>28.0</x:v>
      </x:c>
      <x:c r="B29" s="23" t="s">
        <x:v>1072</x:v>
      </x:c>
      <x:c r="C29" s="21">
        <x:v>45660.0</x:v>
      </x:c>
      <x:c r="D29" s="58" t="s">
        <x:v>1073</x:v>
      </x:c>
      <x:c r="E29" s="23">
        <x:v>1.0</x:v>
      </x:c>
      <x:c r="F29" s="23"/>
      <x:c r="G29" s="56"/>
      <x:c r="H29" s="23"/>
      <x:c r="I29" s="24"/>
      <x:c r="J29" s="24"/>
      <x:c r="K29" s="24">
        <x:v>1.0</x:v>
      </x:c>
      <x:c r="L29" s="24"/>
      <x:c r="M29" s="26">
        <x:f t="shared" si="5"/>
        <x:v>470000</x:v>
      </x:c>
      <x:c r="N29" s="23" t="s">
        <x:v>74</x:v>
      </x:c>
      <x:c r="O29" s="23" t="s">
        <x:v>34</x:v>
      </x:c>
      <x:c r="P29" s="32"/>
    </x:row>
    <x:row r="30" ht="18.75" customHeight="1">
      <x:c r="A30" s="19">
        <x:v>29.0</x:v>
      </x:c>
      <x:c r="B30" s="23" t="s">
        <x:v>1054</x:v>
      </x:c>
      <x:c r="C30" s="21">
        <x:v>45660.0</x:v>
      </x:c>
      <x:c r="D30" s="22" t="s">
        <x:v>1055</x:v>
      </x:c>
      <x:c r="E30" s="23"/>
      <x:c r="F30" s="23"/>
      <x:c r="G30" s="56"/>
      <x:c r="H30" s="23"/>
      <x:c r="I30" s="24"/>
      <x:c r="J30" s="24"/>
      <x:c r="K30" s="24">
        <x:v>1.0</x:v>
      </x:c>
      <x:c r="L30" s="24"/>
      <x:c r="M30" s="26" t="n">
        <x:f>(E30*240+F30*240+G30*350+H30*390+I30*230+J30*190+K30*230+L30*390)*1000+6000</x:f>
        <x:v>236000</x:v>
      </x:c>
      <x:c r="N30" s="23" t="s">
        <x:v>74</x:v>
      </x:c>
      <x:c r="O30" s="23" t="s">
        <x:v>31</x:v>
      </x:c>
      <x:c r="P30" s="32"/>
    </x:row>
    <x:row r="31" ht="18.75" customHeight="1">
      <x:c r="A31" s="19">
        <x:v>30.0</x:v>
      </x:c>
      <x:c r="B31" s="23" t="s">
        <x:v>1074</x:v>
      </x:c>
      <x:c r="C31" s="21">
        <x:v>45660.0</x:v>
      </x:c>
      <x:c r="D31" s="22" t="s">
        <x:v>1075</x:v>
      </x:c>
      <x:c r="E31" s="56"/>
      <x:c r="F31" s="23"/>
      <x:c r="G31" s="23"/>
      <x:c r="H31" s="56"/>
      <x:c r="I31" s="24">
        <x:v>1.0</x:v>
      </x:c>
      <x:c r="J31" s="25"/>
      <x:c r="K31" s="25"/>
      <x:c r="L31" s="25"/>
      <x:c r="M31" s="26" t="n">
        <x:f t="shared" ref="M31:M35" si="6">(E31*240+F31*240+G31*350+H31*390+I31*230+J31*190+K31*230+L31*390)*1000</x:f>
        <x:v>230000</x:v>
      </x:c>
      <x:c r="N31" s="23" t="s">
        <x:v>74</x:v>
      </x:c>
      <x:c r="O31" s="23" t="s">
        <x:v>34</x:v>
      </x:c>
      <x:c r="P31" s="32"/>
    </x:row>
    <x:row r="32" ht="18.75" customHeight="1">
      <x:c r="A32" s="19">
        <x:v>31.0</x:v>
      </x:c>
      <x:c r="B32" s="23" t="s">
        <x:v>1076</x:v>
      </x:c>
      <x:c r="C32" s="21">
        <x:v>45660.0</x:v>
      </x:c>
      <x:c r="D32" s="58" t="s">
        <x:v>1077</x:v>
      </x:c>
      <x:c r="E32" s="23">
        <x:v>1.0</x:v>
      </x:c>
      <x:c r="F32" s="23"/>
      <x:c r="G32" s="23">
        <x:v>1.0</x:v>
      </x:c>
      <x:c r="H32" s="23"/>
      <x:c r="I32" s="25"/>
      <x:c r="J32" s="24">
        <x:v>2.0</x:v>
      </x:c>
      <x:c r="K32" s="24">
        <x:v>1.0</x:v>
      </x:c>
      <x:c r="L32" s="25"/>
      <x:c r="M32" s="26">
        <x:f t="shared" si="6"/>
        <x:v>1200000</x:v>
      </x:c>
      <x:c r="N32" s="23" t="s">
        <x:v>74</x:v>
      </x:c>
      <x:c r="O32" s="23" t="s">
        <x:v>34</x:v>
      </x:c>
      <x:c r="P32" s="32"/>
    </x:row>
    <x:row r="33" ht="18.75" customHeight="1">
      <x:c r="A33" s="19">
        <x:v>32.0</x:v>
      </x:c>
      <x:c r="B33" s="23" t="s">
        <x:v>1078</x:v>
      </x:c>
      <x:c r="C33" s="21">
        <x:v>45660.0</x:v>
      </x:c>
      <x:c r="D33" s="58" t="s">
        <x:v>1079</x:v>
      </x:c>
      <x:c r="E33" s="23">
        <x:v>1.0</x:v>
      </x:c>
      <x:c r="F33" s="23">
        <x:v>1.0</x:v>
      </x:c>
      <x:c r="G33" s="56"/>
      <x:c r="H33" s="23"/>
      <x:c r="I33" s="25"/>
      <x:c r="J33" s="25"/>
      <x:c r="K33" s="24">
        <x:v>1.0</x:v>
      </x:c>
      <x:c r="L33" s="25"/>
      <x:c r="M33" s="26">
        <x:f t="shared" si="6"/>
        <x:v>710000</x:v>
      </x:c>
      <x:c r="N33" s="23" t="s">
        <x:v>74</x:v>
      </x:c>
      <x:c r="O33" s="23" t="s">
        <x:v>34</x:v>
      </x:c>
      <x:c r="P33" s="57"/>
    </x:row>
    <x:row r="34">
      <x:c r="A34" s="19">
        <x:v>33.0</x:v>
      </x:c>
      <x:c r="B34" s="23" t="s">
        <x:v>1080</x:v>
      </x:c>
      <x:c r="C34" s="21">
        <x:v>45660.0</x:v>
      </x:c>
      <x:c r="D34" s="22" t="s">
        <x:v>1081</x:v>
      </x:c>
      <x:c r="E34" s="56"/>
      <x:c r="F34" s="23"/>
      <x:c r="G34" s="56"/>
      <x:c r="H34" s="23"/>
      <x:c r="I34" s="24">
        <x:v>1.0</x:v>
      </x:c>
      <x:c r="J34" s="25"/>
      <x:c r="K34" s="25"/>
      <x:c r="L34" s="25"/>
      <x:c r="M34" s="26">
        <x:f t="shared" si="6"/>
        <x:v>230000</x:v>
      </x:c>
      <x:c r="N34" s="23" t="s">
        <x:v>74</x:v>
      </x:c>
      <x:c r="O34" s="23" t="s">
        <x:v>34</x:v>
      </x:c>
      <x:c r="P34" s="32"/>
    </x:row>
    <x:row r="35" ht="18.75" customHeight="1">
      <x:c r="A35" s="19">
        <x:v>34.0</x:v>
      </x:c>
      <x:c r="B35" s="23" t="s">
        <x:v>1082</x:v>
      </x:c>
      <x:c r="C35" s="21">
        <x:v>45660.0</x:v>
      </x:c>
      <x:c r="D35" s="58" t="s">
        <x:v>1083</x:v>
      </x:c>
      <x:c r="E35" s="23">
        <x:v>1.0</x:v>
      </x:c>
      <x:c r="F35" s="23"/>
      <x:c r="G35" s="23"/>
      <x:c r="H35" s="23"/>
      <x:c r="I35" s="25"/>
      <x:c r="J35" s="25"/>
      <x:c r="K35" s="25"/>
      <x:c r="L35" s="25"/>
      <x:c r="M35" s="26">
        <x:f t="shared" si="6"/>
        <x:v>240000</x:v>
      </x:c>
      <x:c r="N35" s="23" t="s">
        <x:v>74</x:v>
      </x:c>
      <x:c r="O35" s="23" t="s">
        <x:v>34</x:v>
      </x:c>
    </x:row>
    <x:row r="36" ht="18.75" customHeight="1">
      <x:c r="A36" s="19">
        <x:v>35.0</x:v>
      </x:c>
      <x:c r="B36" s="23" t="s">
        <x:v>351</x:v>
      </x:c>
      <x:c r="C36" s="21">
        <x:v>45660.0</x:v>
      </x:c>
      <x:c r="D36" s="35"/>
      <x:c r="E36" s="23"/>
      <x:c r="F36" s="23"/>
      <x:c r="G36" s="23">
        <x:v>2.0</x:v>
      </x:c>
      <x:c r="H36" s="23"/>
      <x:c r="I36" s="25"/>
      <x:c r="J36" s="25"/>
      <x:c r="K36" s="25"/>
      <x:c r="L36" s="25"/>
      <x:c r="M36" s="26" t="n">
        <x:f>(E36*240+F36*240+G36*330+H36*390+I36*230+J36*190+K36*230+L36*390)*1000</x:f>
        <x:v>660000</x:v>
      </x:c>
      <x:c r="N36" s="23" t="s">
        <x:v>74</x:v>
      </x:c>
      <x:c r="O36" s="23" t="s">
        <x:v>31</x:v>
      </x:c>
    </x:row>
    <x:row r="37" ht="18.75" customHeight="1">
      <x:c r="A37" s="19">
        <x:v>36.0</x:v>
      </x:c>
      <x:c r="B37" s="23" t="s">
        <x:v>1084</x:v>
      </x:c>
      <x:c r="C37" s="21">
        <x:v>45660.0</x:v>
      </x:c>
      <x:c r="D37" s="22" t="s">
        <x:v>1085</x:v>
      </x:c>
      <x:c r="E37" s="23"/>
      <x:c r="F37" s="23"/>
      <x:c r="G37" s="56"/>
      <x:c r="H37" s="23"/>
      <x:c r="I37" s="25"/>
      <x:c r="J37" s="24">
        <x:v>1.0</x:v>
      </x:c>
      <x:c r="K37" s="25"/>
      <x:c r="L37" s="25"/>
      <x:c r="M37" s="26" t="n">
        <x:f t="shared" ref="M37:M51" si="7">(E37*240+F37*240+G37*350+H37*390+I37*230+J37*190+K37*230+L37*390)*1000</x:f>
        <x:v>190000</x:v>
      </x:c>
      <x:c r="N37" s="23" t="s">
        <x:v>74</x:v>
      </x:c>
      <x:c r="O37" s="23" t="s">
        <x:v>31</x:v>
      </x:c>
    </x:row>
    <x:row r="38" ht="18.75" customHeight="1">
      <x:c r="A38" s="19">
        <x:v>37.0</x:v>
      </x:c>
      <x:c r="B38" s="23" t="s">
        <x:v>1086</x:v>
      </x:c>
      <x:c r="C38" s="21">
        <x:v>45660.0</x:v>
      </x:c>
      <x:c r="D38" s="58" t="s">
        <x:v>1087</x:v>
      </x:c>
      <x:c r="E38" s="23"/>
      <x:c r="F38" s="23"/>
      <x:c r="G38" s="23">
        <x:v>1.0</x:v>
      </x:c>
      <x:c r="H38" s="23"/>
      <x:c r="I38" s="25"/>
      <x:c r="J38" s="24">
        <x:v>1.0</x:v>
      </x:c>
      <x:c r="K38" s="24">
        <x:v>1.0</x:v>
      </x:c>
      <x:c r="L38" s="25"/>
      <x:c r="M38" s="26">
        <x:f t="shared" si="7"/>
        <x:v>770000</x:v>
      </x:c>
      <x:c r="N38" s="23" t="s">
        <x:v>74</x:v>
      </x:c>
      <x:c r="O38" s="23" t="s">
        <x:v>34</x:v>
      </x:c>
    </x:row>
    <x:row r="39" ht="18.75" customHeight="1">
      <x:c r="A39" s="19">
        <x:v>38.0</x:v>
      </x:c>
      <x:c r="B39" s="39" t="s">
        <x:v>1088</x:v>
      </x:c>
      <x:c r="C39" s="21">
        <x:v>45660.0</x:v>
      </x:c>
      <x:c r="D39" s="58" t="s">
        <x:v>1089</x:v>
      </x:c>
      <x:c r="E39" s="23"/>
      <x:c r="F39" s="23"/>
      <x:c r="G39" s="23">
        <x:v>1.0</x:v>
      </x:c>
      <x:c r="H39" s="23"/>
      <x:c r="I39" s="24"/>
      <x:c r="J39" s="25"/>
      <x:c r="K39" s="25"/>
      <x:c r="L39" s="25"/>
      <x:c r="M39" s="26">
        <x:f t="shared" si="7"/>
        <x:v>350000</x:v>
      </x:c>
      <x:c r="N39" s="23" t="s">
        <x:v>74</x:v>
      </x:c>
      <x:c r="O39" s="23" t="s">
        <x:v>34</x:v>
      </x:c>
    </x:row>
    <x:row r="40" ht="18.75" customHeight="1">
      <x:c r="A40" s="19">
        <x:v>39.0</x:v>
      </x:c>
      <x:c r="B40" s="23" t="s">
        <x:v>1090</x:v>
      </x:c>
      <x:c r="C40" s="21">
        <x:v>45660.0</x:v>
      </x:c>
      <x:c r="D40" s="58" t="s">
        <x:v>1091</x:v>
      </x:c>
      <x:c r="E40" s="23"/>
      <x:c r="F40" s="23"/>
      <x:c r="G40" s="23"/>
      <x:c r="H40" s="23"/>
      <x:c r="I40" s="24">
        <x:v>2.0</x:v>
      </x:c>
      <x:c r="J40" s="25"/>
      <x:c r="K40" s="25"/>
      <x:c r="L40" s="25"/>
      <x:c r="M40" s="26">
        <x:f t="shared" si="7"/>
        <x:v>460000</x:v>
      </x:c>
      <x:c r="N40" s="23" t="s">
        <x:v>74</x:v>
      </x:c>
      <x:c r="O40" s="23" t="s">
        <x:v>34</x:v>
      </x:c>
    </x:row>
    <x:row r="41" ht="18.75" customHeight="1">
      <x:c r="A41" s="19">
        <x:v>40.0</x:v>
      </x:c>
      <x:c r="B41" s="23" t="s">
        <x:v>1092</x:v>
      </x:c>
      <x:c r="C41" s="21">
        <x:v>45660.0</x:v>
      </x:c>
      <x:c r="D41" s="22" t="s">
        <x:v>1093</x:v>
      </x:c>
      <x:c r="E41" s="56"/>
      <x:c r="F41" s="23"/>
      <x:c r="G41" s="56"/>
      <x:c r="H41" s="23"/>
      <x:c r="I41" s="25"/>
      <x:c r="J41" s="24">
        <x:v>1.0</x:v>
      </x:c>
      <x:c r="K41" s="25"/>
      <x:c r="L41" s="25"/>
      <x:c r="M41" s="26">
        <x:f t="shared" si="7"/>
        <x:v>190000</x:v>
      </x:c>
      <x:c r="N41" s="23" t="s">
        <x:v>74</x:v>
      </x:c>
      <x:c r="O41" s="23" t="s">
        <x:v>31</x:v>
      </x:c>
    </x:row>
    <x:row r="42" ht="18.75" customHeight="1">
      <x:c r="A42" s="19">
        <x:v>41.0</x:v>
      </x:c>
      <x:c r="B42" s="23" t="s">
        <x:v>1094</x:v>
      </x:c>
      <x:c r="C42" s="21">
        <x:v>45660.0</x:v>
      </x:c>
      <x:c r="D42" s="55" t="s">
        <x:v>1095</x:v>
      </x:c>
      <x:c r="E42" s="56"/>
      <x:c r="F42" s="23"/>
      <x:c r="G42" s="56"/>
      <x:c r="H42" s="23"/>
      <x:c r="I42" s="25"/>
      <x:c r="J42" s="24">
        <x:v>1.0</x:v>
      </x:c>
      <x:c r="K42" s="25"/>
      <x:c r="L42" s="25"/>
      <x:c r="M42" s="26">
        <x:f t="shared" si="7"/>
        <x:v>190000</x:v>
      </x:c>
      <x:c r="N42" s="23" t="s">
        <x:v>74</x:v>
      </x:c>
      <x:c r="O42" s="23" t="s">
        <x:v>34</x:v>
      </x:c>
    </x:row>
    <x:row r="43" ht="18.75" customHeight="1">
      <x:c r="A43" s="19">
        <x:v>42.0</x:v>
      </x:c>
      <x:c r="B43" s="23" t="s">
        <x:v>1096</x:v>
      </x:c>
      <x:c r="C43" s="21">
        <x:v>45661.0</x:v>
      </x:c>
      <x:c r="D43" s="58" t="s">
        <x:v>1097</x:v>
      </x:c>
      <x:c r="E43" s="23"/>
      <x:c r="F43" s="23"/>
      <x:c r="G43" s="23"/>
      <x:c r="H43" s="23"/>
      <x:c r="I43" s="25"/>
      <x:c r="J43" s="25"/>
      <x:c r="K43" s="24">
        <x:v>1.0</x:v>
      </x:c>
      <x:c r="L43" s="25"/>
      <x:c r="M43" s="26">
        <x:f t="shared" si="7"/>
        <x:v>230000</x:v>
      </x:c>
      <x:c r="N43" s="23" t="s">
        <x:v>74</x:v>
      </x:c>
      <x:c r="O43" s="23" t="s">
        <x:v>31</x:v>
      </x:c>
    </x:row>
    <x:row r="44" ht="18.75" customHeight="1">
      <x:c r="A44" s="19">
        <x:v>43.0</x:v>
      </x:c>
      <x:c r="B44" s="23" t="s">
        <x:v>47</x:v>
      </x:c>
      <x:c r="C44" s="21">
        <x:v>45661.0</x:v>
      </x:c>
      <x:c r="D44" s="58" t="s">
        <x:v>1098</x:v>
      </x:c>
      <x:c r="E44" s="56"/>
      <x:c r="F44" s="23"/>
      <x:c r="G44" s="56"/>
      <x:c r="H44" s="23"/>
      <x:c r="I44" s="24">
        <x:v>1.0</x:v>
      </x:c>
      <x:c r="J44" s="24">
        <x:v>1.0</x:v>
      </x:c>
      <x:c r="K44" s="24"/>
      <x:c r="L44" s="24"/>
      <x:c r="M44" s="26">
        <x:f t="shared" si="7"/>
        <x:v>420000</x:v>
      </x:c>
      <x:c r="N44" s="23" t="s">
        <x:v>74</x:v>
      </x:c>
      <x:c r="O44" s="23" t="s">
        <x:v>31</x:v>
      </x:c>
    </x:row>
    <x:row r="45" ht="18.75" customHeight="1">
      <x:c r="A45" s="19">
        <x:v>44.0</x:v>
      </x:c>
      <x:c r="B45" s="23" t="s">
        <x:v>1099</x:v>
      </x:c>
      <x:c r="C45" s="21">
        <x:v>45661.0</x:v>
      </x:c>
      <x:c r="D45" s="58" t="s">
        <x:v>1100</x:v>
      </x:c>
      <x:c r="E45" s="23"/>
      <x:c r="F45" s="23"/>
      <x:c r="G45" s="23"/>
      <x:c r="H45" s="23"/>
      <x:c r="I45" s="24"/>
      <x:c r="J45" s="24">
        <x:v>1.0</x:v>
      </x:c>
      <x:c r="K45" s="24"/>
      <x:c r="L45" s="24"/>
      <x:c r="M45" s="26">
        <x:f t="shared" si="7"/>
        <x:v>190000</x:v>
      </x:c>
      <x:c r="N45" s="23" t="s">
        <x:v>74</x:v>
      </x:c>
      <x:c r="O45" s="23" t="s">
        <x:v>31</x:v>
      </x:c>
    </x:row>
    <x:row r="46" ht="18.75" customHeight="1">
      <x:c r="A46" s="19">
        <x:v>45.0</x:v>
      </x:c>
      <x:c r="B46" s="23" t="s">
        <x:v>1101</x:v>
      </x:c>
      <x:c r="C46" s="21">
        <x:v>45661.0</x:v>
      </x:c>
      <x:c r="D46" s="22" t="s">
        <x:v>1102</x:v>
      </x:c>
      <x:c r="E46" s="56"/>
      <x:c r="F46" s="23"/>
      <x:c r="G46" s="23">
        <x:v>1.0</x:v>
      </x:c>
      <x:c r="H46" s="23"/>
      <x:c r="I46" s="24"/>
      <x:c r="J46" s="24"/>
      <x:c r="K46" s="24"/>
      <x:c r="L46" s="24"/>
      <x:c r="M46" s="26">
        <x:f t="shared" si="7"/>
        <x:v>350000</x:v>
      </x:c>
      <x:c r="N46" s="23" t="s">
        <x:v>74</x:v>
      </x:c>
      <x:c r="O46" s="23" t="s">
        <x:v>31</x:v>
      </x:c>
    </x:row>
    <x:row r="47" ht="18.75" customHeight="1">
      <x:c r="A47" s="19">
        <x:v>46.0</x:v>
      </x:c>
      <x:c r="B47" s="23" t="s">
        <x:v>1103</x:v>
      </x:c>
      <x:c r="C47" s="21">
        <x:v>45661.0</x:v>
      </x:c>
      <x:c r="D47" s="58" t="s">
        <x:v>1104</x:v>
      </x:c>
      <x:c r="E47" s="56"/>
      <x:c r="F47" s="23"/>
      <x:c r="G47" s="56"/>
      <x:c r="H47" s="23"/>
      <x:c r="I47" s="24">
        <x:v>1.0</x:v>
      </x:c>
      <x:c r="J47" s="24"/>
      <x:c r="K47" s="24"/>
      <x:c r="L47" s="24"/>
      <x:c r="M47" s="26">
        <x:f t="shared" si="7"/>
        <x:v>230000</x:v>
      </x:c>
      <x:c r="N47" s="23" t="s">
        <x:v>74</x:v>
      </x:c>
      <x:c r="O47" s="23" t="s">
        <x:v>34</x:v>
      </x:c>
      <x:c r="P47" s="39"/>
    </x:row>
    <x:row r="48" ht="18.75" customHeight="1">
      <x:c r="A48" s="19">
        <x:v>47.0</x:v>
      </x:c>
      <x:c r="B48" s="23" t="s">
        <x:v>1105</x:v>
      </x:c>
      <x:c r="C48" s="21">
        <x:v>45661.0</x:v>
      </x:c>
      <x:c r="D48" s="58" t="s">
        <x:v>1106</x:v>
      </x:c>
      <x:c r="E48" s="56"/>
      <x:c r="F48" s="23"/>
      <x:c r="G48" s="23"/>
      <x:c r="H48" s="23"/>
      <x:c r="I48" s="24">
        <x:v>3.0</x:v>
      </x:c>
      <x:c r="J48" s="25"/>
      <x:c r="K48" s="25"/>
      <x:c r="L48" s="25"/>
      <x:c r="M48" s="26">
        <x:f t="shared" si="7"/>
        <x:v>690000</x:v>
      </x:c>
      <x:c r="N48" s="23" t="s">
        <x:v>74</x:v>
      </x:c>
      <x:c r="O48" s="23" t="s">
        <x:v>31</x:v>
      </x:c>
    </x:row>
    <x:row r="49" ht="18.75" customHeight="1">
      <x:c r="A49" s="19">
        <x:v>48.0</x:v>
      </x:c>
      <x:c r="B49" s="23" t="s">
        <x:v>1107</x:v>
      </x:c>
      <x:c r="C49" s="21">
        <x:v>45661.0</x:v>
      </x:c>
      <x:c r="D49" s="22" t="s">
        <x:v>1108</x:v>
      </x:c>
      <x:c r="E49" s="56"/>
      <x:c r="F49" s="23"/>
      <x:c r="G49" s="56"/>
      <x:c r="H49" s="23"/>
      <x:c r="I49" s="24">
        <x:v>1.0</x:v>
      </x:c>
      <x:c r="J49" s="24">
        <x:v>1.0</x:v>
      </x:c>
      <x:c r="K49" s="24"/>
      <x:c r="L49" s="25"/>
      <x:c r="M49" s="26">
        <x:f t="shared" si="7"/>
        <x:v>420000</x:v>
      </x:c>
      <x:c r="N49" s="23" t="s">
        <x:v>74</x:v>
      </x:c>
      <x:c r="O49" s="23" t="s">
        <x:v>31</x:v>
      </x:c>
    </x:row>
    <x:row r="50" ht="18.75" customHeight="1">
      <x:c r="A50" s="19">
        <x:v>49.0</x:v>
      </x:c>
      <x:c r="B50" s="23" t="s">
        <x:v>1109</x:v>
      </x:c>
      <x:c r="C50" s="21">
        <x:v>45661.0</x:v>
      </x:c>
      <x:c r="D50" s="35"/>
      <x:c r="E50" s="56"/>
      <x:c r="F50" s="23">
        <x:v>1.0</x:v>
      </x:c>
      <x:c r="G50" s="56"/>
      <x:c r="H50" s="23"/>
      <x:c r="I50" s="25"/>
      <x:c r="J50" s="25"/>
      <x:c r="K50" s="25"/>
      <x:c r="L50" s="25"/>
      <x:c r="M50" s="26">
        <x:f t="shared" si="7"/>
        <x:v>240000</x:v>
      </x:c>
      <x:c r="N50" s="23" t="s">
        <x:v>74</x:v>
      </x:c>
      <x:c r="O50" s="23" t="s">
        <x:v>31</x:v>
      </x:c>
    </x:row>
    <x:row r="51" ht="18.75" customHeight="1">
      <x:c r="A51" s="19">
        <x:v>50.0</x:v>
      </x:c>
      <x:c r="B51" s="23" t="s">
        <x:v>1107</x:v>
      </x:c>
      <x:c r="C51" s="21">
        <x:v>45661.0</x:v>
      </x:c>
      <x:c r="D51" s="58" t="s">
        <x:v>1108</x:v>
      </x:c>
      <x:c r="E51" s="56"/>
      <x:c r="F51" s="23"/>
      <x:c r="G51" s="23"/>
      <x:c r="H51" s="23"/>
      <x:c r="I51" s="24">
        <x:v>1.0</x:v>
      </x:c>
      <x:c r="J51" s="24">
        <x:v>1.0</x:v>
      </x:c>
      <x:c r="K51" s="25"/>
      <x:c r="L51" s="25"/>
      <x:c r="M51" s="26">
        <x:f t="shared" si="7"/>
        <x:v>420000</x:v>
      </x:c>
      <x:c r="N51" s="23" t="s">
        <x:v>74</x:v>
      </x:c>
      <x:c r="O51" s="23" t="s">
        <x:v>31</x:v>
      </x:c>
    </x:row>
    <x:row r="52" ht="18.75" customHeight="1">
      <x:c r="A52" s="19">
        <x:v>51.0</x:v>
      </x:c>
      <x:c r="B52" s="23" t="s">
        <x:v>1110</x:v>
      </x:c>
      <x:c r="C52" s="21">
        <x:v>45662.0</x:v>
      </x:c>
      <x:c r="D52" s="58" t="s">
        <x:v>1111</x:v>
      </x:c>
      <x:c r="E52" s="23"/>
      <x:c r="F52" s="23"/>
      <x:c r="G52" s="56"/>
      <x:c r="H52" s="23"/>
      <x:c r="I52" s="24">
        <x:v>1.0</x:v>
      </x:c>
      <x:c r="J52" s="24"/>
      <x:c r="K52" s="25"/>
      <x:c r="L52" s="25"/>
      <x:c r="M52" s="26" t="n">
        <x:f>(E52*240+F52*240+G52*350+H52*390+I52*230+J52*190+K52*230+L52*390)*1000+5000</x:f>
        <x:v>235000</x:v>
      </x:c>
      <x:c r="N52" s="23" t="s">
        <x:v>74</x:v>
      </x:c>
      <x:c r="O52" s="23" t="s">
        <x:v>31</x:v>
      </x:c>
    </x:row>
    <x:row r="53" ht="18.75" customHeight="1">
      <x:c r="A53" s="19">
        <x:v>52.0</x:v>
      </x:c>
      <x:c r="B53" s="23" t="s">
        <x:v>1112</x:v>
      </x:c>
      <x:c r="C53" s="21">
        <x:v>45662.0</x:v>
      </x:c>
      <x:c r="D53" s="58" t="s">
        <x:v>1113</x:v>
      </x:c>
      <x:c r="E53" s="56"/>
      <x:c r="F53" s="23"/>
      <x:c r="G53" s="23">
        <x:v>1.0</x:v>
      </x:c>
      <x:c r="H53" s="23"/>
      <x:c r="I53" s="25"/>
      <x:c r="J53" s="24"/>
      <x:c r="K53" s="25"/>
      <x:c r="L53" s="25"/>
      <x:c r="M53" s="26" t="n">
        <x:f t="shared" ref="M53:M61" si="8">(E53*240+F53*240+G53*350+H53*390+I53*230+J53*190+K53*230+L53*390)*1000</x:f>
        <x:v>350000</x:v>
      </x:c>
      <x:c r="N53" s="23" t="s">
        <x:v>74</x:v>
      </x:c>
      <x:c r="O53" s="23" t="s">
        <x:v>31</x:v>
      </x:c>
    </x:row>
    <x:row r="54" ht="18.75" customHeight="1">
      <x:c r="A54" s="19">
        <x:v>53.0</x:v>
      </x:c>
      <x:c r="B54" s="23" t="s">
        <x:v>1114</x:v>
      </x:c>
      <x:c r="C54" s="21">
        <x:v>45663.0</x:v>
      </x:c>
      <x:c r="D54" s="58" t="s">
        <x:v>1115</x:v>
      </x:c>
      <x:c r="E54" s="23"/>
      <x:c r="F54" s="23"/>
      <x:c r="G54" s="56"/>
      <x:c r="H54" s="23"/>
      <x:c r="I54" s="24">
        <x:v>1.0</x:v>
      </x:c>
      <x:c r="J54" s="24"/>
      <x:c r="K54" s="25"/>
      <x:c r="L54" s="25"/>
      <x:c r="M54" s="26">
        <x:f t="shared" si="8"/>
        <x:v>230000</x:v>
      </x:c>
      <x:c r="N54" s="23" t="s">
        <x:v>74</x:v>
      </x:c>
      <x:c r="O54" s="23" t="s">
        <x:v>31</x:v>
      </x:c>
    </x:row>
    <x:row r="55" ht="18.75" customHeight="1">
      <x:c r="A55" s="19">
        <x:v>54.0</x:v>
      </x:c>
      <x:c r="B55" s="23" t="s">
        <x:v>720</x:v>
      </x:c>
      <x:c r="C55" s="21">
        <x:v>45663.0</x:v>
      </x:c>
      <x:c r="D55" s="58" t="s">
        <x:v>721</x:v>
      </x:c>
      <x:c r="E55" s="23"/>
      <x:c r="F55" s="23"/>
      <x:c r="G55" s="23">
        <x:v>1.0</x:v>
      </x:c>
      <x:c r="H55" s="23"/>
      <x:c r="I55" s="24"/>
      <x:c r="J55" s="24"/>
      <x:c r="K55" s="25"/>
      <x:c r="L55" s="25"/>
      <x:c r="M55" s="26">
        <x:f t="shared" si="8"/>
        <x:v>350000</x:v>
      </x:c>
      <x:c r="N55" s="23" t="s">
        <x:v>74</x:v>
      </x:c>
      <x:c r="O55" s="23" t="s">
        <x:v>31</x:v>
      </x:c>
    </x:row>
    <x:row r="56" ht="18.75" customHeight="1">
      <x:c r="A56" s="19">
        <x:v>55.0</x:v>
      </x:c>
      <x:c r="B56" s="23" t="s">
        <x:v>1116</x:v>
      </x:c>
      <x:c r="C56" s="21">
        <x:v>45663.0</x:v>
      </x:c>
      <x:c r="D56" s="58" t="s">
        <x:v>1117</x:v>
      </x:c>
      <x:c r="E56" s="56"/>
      <x:c r="F56" s="23"/>
      <x:c r="G56" s="23">
        <x:v>1.0</x:v>
      </x:c>
      <x:c r="H56" s="23"/>
      <x:c r="I56" s="24"/>
      <x:c r="J56" s="24"/>
      <x:c r="K56" s="24"/>
      <x:c r="L56" s="24">
        <x:v>1.0</x:v>
      </x:c>
      <x:c r="M56" s="26">
        <x:f t="shared" si="8"/>
        <x:v>740000</x:v>
      </x:c>
      <x:c r="N56" s="23" t="s">
        <x:v>74</x:v>
      </x:c>
      <x:c r="O56" s="23" t="s">
        <x:v>31</x:v>
      </x:c>
    </x:row>
    <x:row r="57" ht="18.75" customHeight="1">
      <x:c r="A57" s="19">
        <x:v>56.0</x:v>
      </x:c>
      <x:c r="B57" s="23" t="s">
        <x:v>1118</x:v>
      </x:c>
      <x:c r="C57" s="21">
        <x:v>45663.0</x:v>
      </x:c>
      <x:c r="D57" s="58" t="s">
        <x:v>1119</x:v>
      </x:c>
      <x:c r="E57" s="56"/>
      <x:c r="F57" s="23"/>
      <x:c r="G57" s="56"/>
      <x:c r="H57" s="23"/>
      <x:c r="I57" s="24">
        <x:v>1.0</x:v>
      </x:c>
      <x:c r="J57" s="24"/>
      <x:c r="K57" s="24"/>
      <x:c r="L57" s="24"/>
      <x:c r="M57" s="26">
        <x:f t="shared" si="8"/>
        <x:v>230000</x:v>
      </x:c>
      <x:c r="N57" s="23" t="s">
        <x:v>74</x:v>
      </x:c>
      <x:c r="O57" s="23" t="s">
        <x:v>31</x:v>
      </x:c>
    </x:row>
    <x:row r="58" ht="18.75" customHeight="1">
      <x:c r="A58" s="19">
        <x:v>57.0</x:v>
      </x:c>
      <x:c r="B58" s="23" t="s">
        <x:v>1120</x:v>
      </x:c>
      <x:c r="C58" s="21">
        <x:v>45663.0</x:v>
      </x:c>
      <x:c r="D58" s="58" t="s">
        <x:v>1121</x:v>
      </x:c>
      <x:c r="E58" s="23"/>
      <x:c r="F58" s="23"/>
      <x:c r="G58" s="56"/>
      <x:c r="H58" s="23"/>
      <x:c r="I58" s="24">
        <x:v>1.0</x:v>
      </x:c>
      <x:c r="J58" s="24"/>
      <x:c r="K58" s="24"/>
      <x:c r="L58" s="24"/>
      <x:c r="M58" s="26">
        <x:f t="shared" si="8"/>
        <x:v>230000</x:v>
      </x:c>
      <x:c r="N58" s="23" t="s">
        <x:v>74</x:v>
      </x:c>
      <x:c r="O58" s="23" t="s">
        <x:v>31</x:v>
      </x:c>
    </x:row>
    <x:row r="59" ht="18.75" customHeight="1">
      <x:c r="A59" s="19">
        <x:v>58.0</x:v>
      </x:c>
      <x:c r="B59" s="23" t="s">
        <x:v>1122</x:v>
      </x:c>
      <x:c r="C59" s="21">
        <x:v>45663.0</x:v>
      </x:c>
      <x:c r="D59" s="58" t="s">
        <x:v>1123</x:v>
      </x:c>
      <x:c r="E59" s="23"/>
      <x:c r="F59" s="23"/>
      <x:c r="G59" s="56"/>
      <x:c r="H59" s="23"/>
      <x:c r="I59" s="25"/>
      <x:c r="J59" s="24">
        <x:v>1.0</x:v>
      </x:c>
      <x:c r="K59" s="25"/>
      <x:c r="L59" s="25"/>
      <x:c r="M59" s="26">
        <x:f t="shared" si="8"/>
        <x:v>190000</x:v>
      </x:c>
      <x:c r="N59" s="23" t="s">
        <x:v>74</x:v>
      </x:c>
      <x:c r="O59" s="23" t="s">
        <x:v>31</x:v>
      </x:c>
    </x:row>
    <x:row r="60" ht="18.75" customHeight="1">
      <x:c r="A60" s="19">
        <x:v>59.0</x:v>
      </x:c>
      <x:c r="B60" s="23" t="s">
        <x:v>1124</x:v>
      </x:c>
      <x:c r="C60" s="21">
        <x:v>45663.0</x:v>
      </x:c>
      <x:c r="D60" s="58" t="s">
        <x:v>1125</x:v>
      </x:c>
      <x:c r="E60" s="23"/>
      <x:c r="F60" s="23"/>
      <x:c r="G60" s="56"/>
      <x:c r="H60" s="23"/>
      <x:c r="I60" s="24">
        <x:v>1.0</x:v>
      </x:c>
      <x:c r="J60" s="25"/>
      <x:c r="K60" s="25"/>
      <x:c r="L60" s="25"/>
      <x:c r="M60" s="26">
        <x:f t="shared" si="8"/>
        <x:v>230000</x:v>
      </x:c>
      <x:c r="N60" s="23" t="s">
        <x:v>74</x:v>
      </x:c>
      <x:c r="O60" s="23" t="s">
        <x:v>31</x:v>
      </x:c>
    </x:row>
    <x:row r="61" ht="18.75" customHeight="1">
      <x:c r="A61" s="19">
        <x:v>60.0</x:v>
      </x:c>
      <x:c r="B61" s="23" t="s">
        <x:v>1126</x:v>
      </x:c>
      <x:c r="C61" s="21">
        <x:v>45664.0</x:v>
      </x:c>
      <x:c r="D61" s="58" t="s">
        <x:v>1127</x:v>
      </x:c>
      <x:c r="E61" s="23"/>
      <x:c r="F61" s="23"/>
      <x:c r="G61" s="23"/>
      <x:c r="H61" s="23"/>
      <x:c r="I61" s="24">
        <x:v>3.0</x:v>
      </x:c>
      <x:c r="J61" s="25"/>
      <x:c r="K61" s="25"/>
      <x:c r="L61" s="24"/>
      <x:c r="M61" s="26">
        <x:f t="shared" si="8"/>
        <x:v>690000</x:v>
      </x:c>
      <x:c r="N61" s="23" t="s">
        <x:v>74</x:v>
      </x:c>
      <x:c r="O61" s="23" t="s">
        <x:v>34</x:v>
      </x:c>
    </x:row>
    <x:row r="62" ht="18.75" customHeight="1">
      <x:c r="A62" s="19">
        <x:v>61.0</x:v>
      </x:c>
      <x:c r="B62" s="23" t="s">
        <x:v>1128</x:v>
      </x:c>
      <x:c r="C62" s="21">
        <x:v>45664.0</x:v>
      </x:c>
      <x:c r="D62" s="58" t="s">
        <x:v>486</x:v>
      </x:c>
      <x:c r="E62" s="23"/>
      <x:c r="F62" s="23"/>
      <x:c r="G62" s="23"/>
      <x:c r="H62" s="23"/>
      <x:c r="I62" s="24"/>
      <x:c r="J62" s="24">
        <x:v>1.0</x:v>
      </x:c>
      <x:c r="K62" s="25"/>
      <x:c r="L62" s="25"/>
      <x:c r="M62" s="26" t="n">
        <x:f>(E62*240+F62*240+G62*350+H62*390+I62*230+J62*190+K62*230+L62*390)*1000+6000</x:f>
        <x:v>196000</x:v>
      </x:c>
      <x:c r="N62" s="23" t="s">
        <x:v>74</x:v>
      </x:c>
      <x:c r="O62" s="23" t="s">
        <x:v>31</x:v>
      </x:c>
    </x:row>
    <x:row r="63" ht="18.75" customHeight="1">
      <x:c r="A63" s="19">
        <x:v>62.0</x:v>
      </x:c>
      <x:c r="B63" s="23" t="s">
        <x:v>1129</x:v>
      </x:c>
      <x:c r="C63" s="21">
        <x:v>45665.0</x:v>
      </x:c>
      <x:c r="D63" s="55" t="s">
        <x:v>1130</x:v>
      </x:c>
      <x:c r="E63" s="23"/>
      <x:c r="F63" s="23"/>
      <x:c r="G63" s="23">
        <x:v>1.0</x:v>
      </x:c>
      <x:c r="H63" s="23"/>
      <x:c r="I63" s="24"/>
      <x:c r="J63" s="24">
        <x:v>1.0</x:v>
      </x:c>
      <x:c r="K63" s="24"/>
      <x:c r="L63" s="24"/>
      <x:c r="M63" s="26" t="n">
        <x:f t="shared" ref="M63:M69" si="9">(E63*240+F63*240+G63*350+H63*390+I63*230+J63*190+K63*230+L63*390)*1000</x:f>
        <x:v>540000</x:v>
      </x:c>
      <x:c r="N63" s="23" t="s">
        <x:v>74</x:v>
      </x:c>
      <x:c r="O63" s="23" t="s">
        <x:v>31</x:v>
      </x:c>
    </x:row>
    <x:row r="64" ht="18.75" customHeight="1">
      <x:c r="A64" s="19">
        <x:v>63.0</x:v>
      </x:c>
      <x:c r="B64" s="23" t="s">
        <x:v>1131</x:v>
      </x:c>
      <x:c r="C64" s="21">
        <x:v>45665.0</x:v>
      </x:c>
      <x:c r="D64" s="22" t="s">
        <x:v>1132</x:v>
      </x:c>
      <x:c r="E64" s="23"/>
      <x:c r="F64" s="23"/>
      <x:c r="G64" s="56"/>
      <x:c r="H64" s="23"/>
      <x:c r="I64" s="24">
        <x:v>1.0</x:v>
      </x:c>
      <x:c r="J64" s="25"/>
      <x:c r="K64" s="24">
        <x:v>1.0</x:v>
      </x:c>
      <x:c r="L64" s="25"/>
      <x:c r="M64" s="26">
        <x:f t="shared" si="9"/>
        <x:v>460000</x:v>
      </x:c>
      <x:c r="N64" s="23" t="s">
        <x:v>74</x:v>
      </x:c>
      <x:c r="O64" s="23" t="s">
        <x:v>34</x:v>
      </x:c>
    </x:row>
    <x:row r="65" ht="18.75" customHeight="1">
      <x:c r="A65" s="19">
        <x:v>64.0</x:v>
      </x:c>
      <x:c r="B65" s="23" t="s">
        <x:v>1133</x:v>
      </x:c>
      <x:c r="C65" s="21">
        <x:v>45665.0</x:v>
      </x:c>
      <x:c r="D65" s="58" t="s">
        <x:v>1134</x:v>
      </x:c>
      <x:c r="E65" s="23"/>
      <x:c r="F65" s="23"/>
      <x:c r="G65" s="23"/>
      <x:c r="H65" s="23"/>
      <x:c r="I65" s="25"/>
      <x:c r="J65" s="24">
        <x:v>2.0</x:v>
      </x:c>
      <x:c r="K65" s="25"/>
      <x:c r="L65" s="25"/>
      <x:c r="M65" s="26">
        <x:f t="shared" si="9"/>
        <x:v>380000</x:v>
      </x:c>
      <x:c r="N65" s="23" t="s">
        <x:v>74</x:v>
      </x:c>
      <x:c r="O65" s="23" t="s">
        <x:v>31</x:v>
      </x:c>
    </x:row>
    <x:row r="66" ht="18.75" customHeight="1">
      <x:c r="A66" s="19">
        <x:v>65.0</x:v>
      </x:c>
      <x:c r="B66" s="23" t="s">
        <x:v>1135</x:v>
      </x:c>
      <x:c r="C66" s="21">
        <x:v>45665.0</x:v>
      </x:c>
      <x:c r="D66" s="58" t="s">
        <x:v>1136</x:v>
      </x:c>
      <x:c r="E66" s="23"/>
      <x:c r="F66" s="23"/>
      <x:c r="G66" s="56"/>
      <x:c r="H66" s="23"/>
      <x:c r="I66" s="24">
        <x:v>1.0</x:v>
      </x:c>
      <x:c r="J66" s="25"/>
      <x:c r="K66" s="25"/>
      <x:c r="L66" s="25"/>
      <x:c r="M66" s="26">
        <x:f t="shared" si="9"/>
        <x:v>230000</x:v>
      </x:c>
      <x:c r="N66" s="23" t="s">
        <x:v>74</x:v>
      </x:c>
      <x:c r="O66" s="23" t="s">
        <x:v>31</x:v>
      </x:c>
    </x:row>
    <x:row r="67" ht="18.75" customHeight="1">
      <x:c r="A67" s="19">
        <x:v>66.0</x:v>
      </x:c>
      <x:c r="B67" s="98" t="s">
        <x:v>1137</x:v>
      </x:c>
      <x:c r="C67" s="21">
        <x:v>45665.0</x:v>
      </x:c>
      <x:c r="D67" s="58" t="s">
        <x:v>1138</x:v>
      </x:c>
      <x:c r="E67" s="23"/>
      <x:c r="F67" s="23"/>
      <x:c r="G67" s="56"/>
      <x:c r="H67" s="23"/>
      <x:c r="I67" s="24">
        <x:v>1.0</x:v>
      </x:c>
      <x:c r="J67" s="25"/>
      <x:c r="K67" s="24"/>
      <x:c r="L67" s="25"/>
      <x:c r="M67" s="26">
        <x:f t="shared" si="9"/>
        <x:v>230000</x:v>
      </x:c>
      <x:c r="N67" s="23" t="s">
        <x:v>74</x:v>
      </x:c>
      <x:c r="O67" s="23" t="s">
        <x:v>31</x:v>
      </x:c>
    </x:row>
    <x:row r="68" ht="18.75" customHeight="1">
      <x:c r="A68" s="19">
        <x:v>67.0</x:v>
      </x:c>
      <x:c r="B68" s="98" t="s">
        <x:v>1139</x:v>
      </x:c>
      <x:c r="C68" s="21">
        <x:v>45665.0</x:v>
      </x:c>
      <x:c r="D68" s="58" t="s">
        <x:v>1140</x:v>
      </x:c>
      <x:c r="E68" s="23"/>
      <x:c r="F68" s="23"/>
      <x:c r="G68" s="23">
        <x:v>2.0</x:v>
      </x:c>
      <x:c r="H68" s="23"/>
      <x:c r="I68" s="25"/>
      <x:c r="J68" s="24"/>
      <x:c r="K68" s="25"/>
      <x:c r="L68" s="24">
        <x:v>2.0</x:v>
      </x:c>
      <x:c r="M68" s="26">
        <x:f t="shared" si="9"/>
        <x:v>1480000</x:v>
      </x:c>
      <x:c r="N68" s="23" t="s">
        <x:v>74</x:v>
      </x:c>
      <x:c r="O68" s="23" t="s">
        <x:v>31</x:v>
      </x:c>
    </x:row>
    <x:row r="69" ht="18.75" customHeight="1">
      <x:c r="A69" s="19">
        <x:v>68.0</x:v>
      </x:c>
      <x:c r="B69" s="98" t="s">
        <x:v>934</x:v>
      </x:c>
      <x:c r="C69" s="21">
        <x:v>45665.0</x:v>
      </x:c>
      <x:c r="D69" s="58" t="s">
        <x:v>1141</x:v>
      </x:c>
      <x:c r="E69" s="23"/>
      <x:c r="F69" s="23"/>
      <x:c r="G69" s="56"/>
      <x:c r="H69" s="23"/>
      <x:c r="I69" s="24">
        <x:v>1.0</x:v>
      </x:c>
      <x:c r="J69" s="24"/>
      <x:c r="K69" s="25"/>
      <x:c r="L69" s="25"/>
      <x:c r="M69" s="26">
        <x:f t="shared" si="9"/>
        <x:v>230000</x:v>
      </x:c>
      <x:c r="N69" s="23" t="s">
        <x:v>74</x:v>
      </x:c>
      <x:c r="O69" s="23" t="s">
        <x:v>31</x:v>
      </x:c>
    </x:row>
    <x:row r="70" ht="18.75" customHeight="1">
      <x:c r="A70" s="19">
        <x:v>69.0</x:v>
      </x:c>
      <x:c r="B70" s="98" t="s">
        <x:v>1142</x:v>
      </x:c>
      <x:c r="C70" s="21">
        <x:v>45665.0</x:v>
      </x:c>
      <x:c r="D70" s="58" t="s">
        <x:v>578</x:v>
      </x:c>
      <x:c r="E70" s="23"/>
      <x:c r="F70" s="23"/>
      <x:c r="G70" s="56"/>
      <x:c r="H70" s="23"/>
      <x:c r="I70" s="24">
        <x:v>1.0</x:v>
      </x:c>
      <x:c r="J70" s="24"/>
      <x:c r="K70" s="25"/>
      <x:c r="L70" s="25"/>
      <x:c r="M70" s="26" t="n">
        <x:f>(E70*240+F70*240+G70*350+H70*390+I70*230+J70*190+K70*230+L70*390)*1000+6000</x:f>
        <x:v>236000</x:v>
      </x:c>
      <x:c r="N70" s="23" t="s">
        <x:v>74</x:v>
      </x:c>
      <x:c r="O70" s="23" t="s">
        <x:v>31</x:v>
      </x:c>
    </x:row>
    <x:row r="71" ht="18.75" customHeight="1">
      <x:c r="A71" s="19">
        <x:v>70.0</x:v>
      </x:c>
      <x:c r="B71" s="98" t="s">
        <x:v>176</x:v>
      </x:c>
      <x:c r="C71" s="21">
        <x:v>45666.0</x:v>
      </x:c>
      <x:c r="D71" s="58" t="s">
        <x:v>1143</x:v>
      </x:c>
      <x:c r="E71" s="23"/>
      <x:c r="F71" s="23"/>
      <x:c r="G71" s="56"/>
      <x:c r="H71" s="23"/>
      <x:c r="I71" s="24">
        <x:v>1.0</x:v>
      </x:c>
      <x:c r="J71" s="24"/>
      <x:c r="K71" s="25"/>
      <x:c r="L71" s="25"/>
      <x:c r="M71" s="26" t="n">
        <x:f t="shared" ref="M71:M73" si="10">(E71*240+F71*240+G71*350+H71*390+I71*230+J71*190+K71*230+L71*390)*1000</x:f>
        <x:v>230000</x:v>
      </x:c>
      <x:c r="N71" s="23" t="s">
        <x:v>74</x:v>
      </x:c>
      <x:c r="O71" s="23" t="s">
        <x:v>31</x:v>
      </x:c>
    </x:row>
    <x:row r="72" ht="18.75" customHeight="1">
      <x:c r="A72" s="19">
        <x:v>71.0</x:v>
      </x:c>
      <x:c r="B72" s="98" t="s">
        <x:v>1144</x:v>
      </x:c>
      <x:c r="C72" s="21">
        <x:v>45666.0</x:v>
      </x:c>
      <x:c r="D72" s="58" t="s">
        <x:v>1145</x:v>
      </x:c>
      <x:c r="E72" s="23"/>
      <x:c r="F72" s="23"/>
      <x:c r="G72" s="56"/>
      <x:c r="H72" s="23"/>
      <x:c r="I72" s="24"/>
      <x:c r="J72" s="24">
        <x:v>1.0</x:v>
      </x:c>
      <x:c r="K72" s="25"/>
      <x:c r="L72" s="25"/>
      <x:c r="M72" s="26">
        <x:f t="shared" si="10"/>
        <x:v>190000</x:v>
      </x:c>
      <x:c r="N72" s="23" t="s">
        <x:v>74</x:v>
      </x:c>
      <x:c r="O72" s="23" t="s">
        <x:v>31</x:v>
      </x:c>
    </x:row>
    <x:row r="73" ht="18.75" customHeight="1">
      <x:c r="A73" s="19">
        <x:v>72.0</x:v>
      </x:c>
      <x:c r="B73" s="98" t="s">
        <x:v>1146</x:v>
      </x:c>
      <x:c r="C73" s="21">
        <x:v>45666.0</x:v>
      </x:c>
      <x:c r="D73" s="58" t="s">
        <x:v>1147</x:v>
      </x:c>
      <x:c r="E73" s="23"/>
      <x:c r="F73" s="23"/>
      <x:c r="G73" s="23">
        <x:v>1.0</x:v>
      </x:c>
      <x:c r="H73" s="23"/>
      <x:c r="I73" s="25"/>
      <x:c r="J73" s="24">
        <x:v>2.0</x:v>
      </x:c>
      <x:c r="K73" s="24"/>
      <x:c r="L73" s="25"/>
      <x:c r="M73" s="26">
        <x:f t="shared" si="10"/>
        <x:v>730000</x:v>
      </x:c>
      <x:c r="N73" s="23" t="s">
        <x:v>74</x:v>
      </x:c>
      <x:c r="O73" s="23" t="s">
        <x:v>31</x:v>
      </x:c>
    </x:row>
    <x:row r="74" ht="18.75" customHeight="1">
      <x:c r="A74" s="19">
        <x:v>73.0</x:v>
      </x:c>
      <x:c r="B74" s="98" t="s">
        <x:v>1148</x:v>
      </x:c>
      <x:c r="C74" s="21">
        <x:v>45666.0</x:v>
      </x:c>
      <x:c r="D74" s="58" t="s">
        <x:v>1149</x:v>
      </x:c>
      <x:c r="E74" s="23"/>
      <x:c r="F74" s="23"/>
      <x:c r="G74" s="56"/>
      <x:c r="H74" s="23"/>
      <x:c r="I74" s="25"/>
      <x:c r="J74" s="24">
        <x:v>6.0</x:v>
      </x:c>
      <x:c r="K74" s="25"/>
      <x:c r="L74" s="25"/>
      <x:c r="M74" s="26" t="n">
        <x:f>(E74*240+F74*240+G74*350+H74*390+I74*230+J74*190+K74*230+L74*390)*1000-3000</x:f>
        <x:v>1137000</x:v>
      </x:c>
      <x:c r="N74" s="23" t="s">
        <x:v>74</x:v>
      </x:c>
      <x:c r="O74" s="23" t="s">
        <x:v>31</x:v>
      </x:c>
    </x:row>
    <x:row r="75" ht="18.75" customHeight="1">
      <x:c r="A75" s="19">
        <x:v>74.0</x:v>
      </x:c>
      <x:c r="B75" s="98" t="s">
        <x:v>1150</x:v>
      </x:c>
      <x:c r="C75" s="21">
        <x:v>45666.0</x:v>
      </x:c>
      <x:c r="D75" s="58" t="s">
        <x:v>1151</x:v>
      </x:c>
      <x:c r="E75" s="23"/>
      <x:c r="F75" s="23"/>
      <x:c r="G75" s="23">
        <x:v>1.0</x:v>
      </x:c>
      <x:c r="H75" s="23"/>
      <x:c r="I75" s="24"/>
      <x:c r="J75" s="24"/>
      <x:c r="K75" s="25"/>
      <x:c r="L75" s="25"/>
      <x:c r="M75" s="26" t="n">
        <x:f>(E75*240+F75*240+G75*350+H75*390+I75*230+J75*190+K75*230+L75*390)*1000</x:f>
        <x:v>350000</x:v>
      </x:c>
      <x:c r="N75" s="23" t="s">
        <x:v>74</x:v>
      </x:c>
      <x:c r="O75" s="23" t="s">
        <x:v>31</x:v>
      </x:c>
    </x:row>
    <x:row r="76" ht="18.75" customHeight="1">
      <x:c r="A76" s="19">
        <x:v>75.0</x:v>
      </x:c>
      <x:c r="B76" s="98" t="s">
        <x:v>79</x:v>
      </x:c>
      <x:c r="C76" s="21">
        <x:v>45666.0</x:v>
      </x:c>
      <x:c r="D76" s="22" t="s">
        <x:v>1152</x:v>
      </x:c>
      <x:c r="E76" s="23"/>
      <x:c r="F76" s="23"/>
      <x:c r="G76" s="56"/>
      <x:c r="H76" s="23"/>
      <x:c r="I76" s="24">
        <x:v>1.0</x:v>
      </x:c>
      <x:c r="J76" s="24"/>
      <x:c r="K76" s="24"/>
      <x:c r="L76" s="25"/>
      <x:c r="M76" s="26" t="n">
        <x:f>(E76*240+F76*240+G76*350+H76*390+I76*230+J76*190+K76*230+L76*390)*1000+18000</x:f>
        <x:v>248000</x:v>
      </x:c>
      <x:c r="N76" s="23" t="s">
        <x:v>74</x:v>
      </x:c>
      <x:c r="O76" s="23" t="s">
        <x:v>31</x:v>
      </x:c>
    </x:row>
    <x:row r="77" ht="18.75" customHeight="1">
      <x:c r="A77" s="19">
        <x:v>76.0</x:v>
      </x:c>
      <x:c r="B77" s="98" t="s">
        <x:v>1153</x:v>
      </x:c>
      <x:c r="C77" s="21">
        <x:v>45667.0</x:v>
      </x:c>
      <x:c r="D77" s="58" t="s">
        <x:v>1154</x:v>
      </x:c>
      <x:c r="E77" s="23"/>
      <x:c r="F77" s="23"/>
      <x:c r="G77" s="56"/>
      <x:c r="H77" s="23"/>
      <x:c r="I77" s="24">
        <x:v>1.0</x:v>
      </x:c>
      <x:c r="J77" s="24"/>
      <x:c r="K77" s="25"/>
      <x:c r="L77" s="25"/>
      <x:c r="M77" s="26" t="n">
        <x:f t="shared" ref="M77:M79" si="11">(E77*240+F77*240+G77*350+H77*390+I77*230+J77*190+K77*230+L77*390)*1000</x:f>
        <x:v>230000</x:v>
      </x:c>
      <x:c r="N77" s="23" t="s">
        <x:v>74</x:v>
      </x:c>
      <x:c r="O77" s="23" t="s">
        <x:v>31</x:v>
      </x:c>
    </x:row>
    <x:row r="78" ht="18.75" customHeight="1">
      <x:c r="A78" s="19">
        <x:v>77.0</x:v>
      </x:c>
      <x:c r="B78" s="98" t="s">
        <x:v>1155</x:v>
      </x:c>
      <x:c r="C78" s="21">
        <x:v>45667.0</x:v>
      </x:c>
      <x:c r="D78" s="22" t="s">
        <x:v>1156</x:v>
      </x:c>
      <x:c r="E78" s="23"/>
      <x:c r="F78" s="23"/>
      <x:c r="G78" s="56"/>
      <x:c r="H78" s="23"/>
      <x:c r="I78" s="25"/>
      <x:c r="J78" s="24">
        <x:v>1.0</x:v>
      </x:c>
      <x:c r="K78" s="25"/>
      <x:c r="L78" s="25"/>
      <x:c r="M78" s="26">
        <x:f t="shared" si="11"/>
        <x:v>190000</x:v>
      </x:c>
      <x:c r="N78" s="23" t="s">
        <x:v>74</x:v>
      </x:c>
      <x:c r="O78" s="23" t="s">
        <x:v>31</x:v>
      </x:c>
    </x:row>
    <x:row r="79" ht="18.75" customHeight="1">
      <x:c r="A79" s="19">
        <x:v>78.0</x:v>
      </x:c>
      <x:c r="B79" s="98" t="s">
        <x:v>1157</x:v>
      </x:c>
      <x:c r="C79" s="21">
        <x:v>45667.0</x:v>
      </x:c>
      <x:c r="D79" s="58" t="s">
        <x:v>1102</x:v>
      </x:c>
      <x:c r="E79" s="23"/>
      <x:c r="F79" s="23"/>
      <x:c r="G79" s="56"/>
      <x:c r="H79" s="23"/>
      <x:c r="I79" s="24">
        <x:v>1.0</x:v>
      </x:c>
      <x:c r="J79" s="24"/>
      <x:c r="K79" s="25"/>
      <x:c r="L79" s="25"/>
      <x:c r="M79" s="26">
        <x:f t="shared" si="11"/>
        <x:v>230000</x:v>
      </x:c>
      <x:c r="N79" s="23" t="s">
        <x:v>74</x:v>
      </x:c>
      <x:c r="O79" s="23" t="s">
        <x:v>31</x:v>
      </x:c>
    </x:row>
    <x:row r="80" ht="18.75" customHeight="1">
      <x:c r="A80" s="19">
        <x:v>79.0</x:v>
      </x:c>
      <x:c r="B80" s="98" t="s">
        <x:v>351</x:v>
      </x:c>
      <x:c r="C80" s="21">
        <x:v>45667.0</x:v>
      </x:c>
      <x:c r="D80" s="35"/>
      <x:c r="E80" s="23"/>
      <x:c r="F80" s="23"/>
      <x:c r="G80" s="23">
        <x:v>2.0</x:v>
      </x:c>
      <x:c r="H80" s="23"/>
      <x:c r="I80" s="25"/>
      <x:c r="J80" s="24"/>
      <x:c r="K80" s="25"/>
      <x:c r="L80" s="25"/>
      <x:c r="M80" s="26" t="n">
        <x:f>(E80*240+F80*240+G80*350+H80*390+I80*230+J80*190+K80*230+L80*390)*1000-40000</x:f>
        <x:v>660000</x:v>
      </x:c>
      <x:c r="N80" s="23" t="s">
        <x:v>74</x:v>
      </x:c>
      <x:c r="O80" s="23" t="s">
        <x:v>31</x:v>
      </x:c>
    </x:row>
    <x:row r="81" ht="18.75" customHeight="1">
      <x:c r="A81" s="19">
        <x:v>80.0</x:v>
      </x:c>
      <x:c r="B81" s="23" t="s">
        <x:v>1158</x:v>
      </x:c>
      <x:c r="C81" s="21">
        <x:v>45669.0</x:v>
      </x:c>
      <x:c r="D81" s="55"/>
      <x:c r="E81" s="56"/>
      <x:c r="F81" s="23"/>
      <x:c r="G81" s="23">
        <x:v>1.0</x:v>
      </x:c>
      <x:c r="H81" s="23"/>
      <x:c r="I81" s="25"/>
      <x:c r="J81" s="24"/>
      <x:c r="K81" s="25"/>
      <x:c r="L81" s="25"/>
      <x:c r="M81" s="26" t="n">
        <x:f t="shared" ref="M81:M92" si="12">(E81*240+F81*240+G81*350+H81*390+I81*230+J81*190+K81*230+L81*390)*1000</x:f>
        <x:v>350000</x:v>
      </x:c>
      <x:c r="N81" s="23" t="s">
        <x:v>74</x:v>
      </x:c>
      <x:c r="O81" s="23" t="s">
        <x:v>31</x:v>
      </x:c>
    </x:row>
    <x:row r="82" ht="18.75" customHeight="1">
      <x:c r="A82" s="19">
        <x:v>81.0</x:v>
      </x:c>
      <x:c r="B82" s="23" t="s">
        <x:v>1159</x:v>
      </x:c>
      <x:c r="C82" s="21">
        <x:v>45669.0</x:v>
      </x:c>
      <x:c r="D82" s="58" t="s">
        <x:v>1160</x:v>
      </x:c>
      <x:c r="E82" s="56"/>
      <x:c r="F82" s="23"/>
      <x:c r="G82" s="23">
        <x:v>1.0</x:v>
      </x:c>
      <x:c r="H82" s="23"/>
      <x:c r="I82" s="24"/>
      <x:c r="J82" s="24"/>
      <x:c r="K82" s="25"/>
      <x:c r="L82" s="25"/>
      <x:c r="M82" s="26">
        <x:f t="shared" si="12"/>
        <x:v>350000</x:v>
      </x:c>
      <x:c r="N82" s="23" t="s">
        <x:v>74</x:v>
      </x:c>
      <x:c r="O82" s="23" t="s">
        <x:v>34</x:v>
      </x:c>
    </x:row>
    <x:row r="83" ht="18.75" customHeight="1">
      <x:c r="A83" s="19">
        <x:v>82.0</x:v>
      </x:c>
      <x:c r="B83" s="23" t="s">
        <x:v>1161</x:v>
      </x:c>
      <x:c r="C83" s="21">
        <x:v>45669.0</x:v>
      </x:c>
      <x:c r="D83" s="58" t="s">
        <x:v>1162</x:v>
      </x:c>
      <x:c r="E83" s="56"/>
      <x:c r="F83" s="23"/>
      <x:c r="G83" s="56"/>
      <x:c r="H83" s="23"/>
      <x:c r="I83" s="24">
        <x:v>1.0</x:v>
      </x:c>
      <x:c r="J83" s="24"/>
      <x:c r="K83" s="25"/>
      <x:c r="L83" s="25"/>
      <x:c r="M83" s="26">
        <x:f t="shared" si="12"/>
        <x:v>230000</x:v>
      </x:c>
      <x:c r="N83" s="23" t="s">
        <x:v>74</x:v>
      </x:c>
      <x:c r="O83" s="23" t="s">
        <x:v>31</x:v>
      </x:c>
    </x:row>
    <x:row r="84" ht="18.75" customHeight="1">
      <x:c r="A84" s="19">
        <x:v>83.0</x:v>
      </x:c>
      <x:c r="B84" s="23" t="s">
        <x:v>1163</x:v>
      </x:c>
      <x:c r="C84" s="21">
        <x:v>45669.0</x:v>
      </x:c>
      <x:c r="D84" s="22" t="s">
        <x:v>1164</x:v>
      </x:c>
      <x:c r="E84" s="56"/>
      <x:c r="F84" s="23"/>
      <x:c r="G84" s="56"/>
      <x:c r="H84" s="23"/>
      <x:c r="I84" s="25"/>
      <x:c r="J84" s="24">
        <x:v>1.0</x:v>
      </x:c>
      <x:c r="K84" s="25"/>
      <x:c r="L84" s="25"/>
      <x:c r="M84" s="26">
        <x:f t="shared" si="12"/>
        <x:v>190000</x:v>
      </x:c>
      <x:c r="N84" s="23" t="s">
        <x:v>74</x:v>
      </x:c>
      <x:c r="O84" s="23" t="s">
        <x:v>31</x:v>
      </x:c>
    </x:row>
    <x:row r="85" ht="18.75" customHeight="1">
      <x:c r="A85" s="19">
        <x:v>84.0</x:v>
      </x:c>
      <x:c r="B85" s="23" t="s">
        <x:v>1165</x:v>
      </x:c>
      <x:c r="C85" s="21">
        <x:v>45669.0</x:v>
      </x:c>
      <x:c r="D85" s="58" t="s">
        <x:v>1166</x:v>
      </x:c>
      <x:c r="E85" s="56"/>
      <x:c r="F85" s="23"/>
      <x:c r="G85" s="56"/>
      <x:c r="H85" s="23"/>
      <x:c r="I85" s="24">
        <x:v>1.0</x:v>
      </x:c>
      <x:c r="J85" s="24"/>
      <x:c r="K85" s="25"/>
      <x:c r="L85" s="25"/>
      <x:c r="M85" s="26">
        <x:f t="shared" si="12"/>
        <x:v>230000</x:v>
      </x:c>
      <x:c r="N85" s="23" t="s">
        <x:v>74</x:v>
      </x:c>
      <x:c r="O85" s="23" t="s">
        <x:v>31</x:v>
      </x:c>
    </x:row>
    <x:row r="86" ht="18.75" customHeight="1">
      <x:c r="A86" s="19">
        <x:v>85.0</x:v>
      </x:c>
      <x:c r="B86" s="23" t="s">
        <x:v>1167</x:v>
      </x:c>
      <x:c r="C86" s="21">
        <x:v>45669.0</x:v>
      </x:c>
      <x:c r="D86" s="55">
        <x:v>8.66928438E8</x:v>
      </x:c>
      <x:c r="E86" s="23"/>
      <x:c r="F86" s="23"/>
      <x:c r="G86" s="56"/>
      <x:c r="H86" s="23"/>
      <x:c r="I86" s="24">
        <x:v>1.0</x:v>
      </x:c>
      <x:c r="J86" s="24"/>
      <x:c r="K86" s="25"/>
      <x:c r="L86" s="25"/>
      <x:c r="M86" s="26">
        <x:f t="shared" si="12"/>
        <x:v>230000</x:v>
      </x:c>
      <x:c r="N86" s="23" t="s">
        <x:v>74</x:v>
      </x:c>
      <x:c r="O86" s="23" t="s">
        <x:v>31</x:v>
      </x:c>
    </x:row>
    <x:row r="87" ht="18.75" customHeight="1">
      <x:c r="A87" s="19">
        <x:v>86.0</x:v>
      </x:c>
      <x:c r="B87" s="23" t="s">
        <x:v>38</x:v>
      </x:c>
      <x:c r="C87" s="21">
        <x:v>45669.0</x:v>
      </x:c>
      <x:c r="D87" s="58" t="s">
        <x:v>922</x:v>
      </x:c>
      <x:c r="E87" s="56"/>
      <x:c r="F87" s="23"/>
      <x:c r="G87" s="23">
        <x:v>1.0</x:v>
      </x:c>
      <x:c r="H87" s="23"/>
      <x:c r="I87" s="25"/>
      <x:c r="J87" s="24"/>
      <x:c r="K87" s="25"/>
      <x:c r="L87" s="25"/>
      <x:c r="M87" s="26">
        <x:f t="shared" si="12"/>
        <x:v>350000</x:v>
      </x:c>
      <x:c r="N87" s="23" t="s">
        <x:v>74</x:v>
      </x:c>
      <x:c r="O87" s="23" t="s">
        <x:v>31</x:v>
      </x:c>
    </x:row>
    <x:row r="88" ht="18.75" customHeight="1">
      <x:c r="A88" s="19">
        <x:v>87.0</x:v>
      </x:c>
      <x:c r="B88" s="23" t="s">
        <x:v>1168</x:v>
      </x:c>
      <x:c r="C88" s="21">
        <x:v>45669.0</x:v>
      </x:c>
      <x:c r="D88" s="58" t="s">
        <x:v>1169</x:v>
      </x:c>
      <x:c r="E88" s="56"/>
      <x:c r="F88" s="23"/>
      <x:c r="G88" s="23">
        <x:v>1.0</x:v>
      </x:c>
      <x:c r="H88" s="23"/>
      <x:c r="I88" s="25"/>
      <x:c r="J88" s="24"/>
      <x:c r="K88" s="25"/>
      <x:c r="L88" s="25"/>
      <x:c r="M88" s="26">
        <x:f t="shared" si="12"/>
        <x:v>350000</x:v>
      </x:c>
      <x:c r="N88" s="23" t="s">
        <x:v>74</x:v>
      </x:c>
      <x:c r="O88" s="23" t="s">
        <x:v>34</x:v>
      </x:c>
    </x:row>
    <x:row r="89" ht="18.75" customHeight="1">
      <x:c r="A89" s="19">
        <x:v>88.0</x:v>
      </x:c>
      <x:c r="B89" s="23" t="s">
        <x:v>1170</x:v>
      </x:c>
      <x:c r="C89" s="21">
        <x:v>45670.0</x:v>
      </x:c>
      <x:c r="D89" s="58" t="s">
        <x:v>1171</x:v>
      </x:c>
      <x:c r="E89" s="56"/>
      <x:c r="F89" s="23"/>
      <x:c r="G89" s="23"/>
      <x:c r="H89" s="23"/>
      <x:c r="I89" s="24"/>
      <x:c r="J89" s="24">
        <x:v>1.0</x:v>
      </x:c>
      <x:c r="K89" s="25"/>
      <x:c r="L89" s="25"/>
      <x:c r="M89" s="26">
        <x:f t="shared" si="12"/>
        <x:v>190000</x:v>
      </x:c>
      <x:c r="N89" s="23" t="s">
        <x:v>74</x:v>
      </x:c>
      <x:c r="O89" s="23" t="s">
        <x:v>31</x:v>
      </x:c>
    </x:row>
    <x:row r="90" ht="18.75" customHeight="1">
      <x:c r="A90" s="19">
        <x:v>89.0</x:v>
      </x:c>
      <x:c r="B90" s="23" t="s">
        <x:v>1172</x:v>
      </x:c>
      <x:c r="C90" s="21">
        <x:v>45670.0</x:v>
      </x:c>
      <x:c r="D90" s="58" t="s">
        <x:v>1173</x:v>
      </x:c>
      <x:c r="E90" s="23"/>
      <x:c r="F90" s="23"/>
      <x:c r="G90" s="56"/>
      <x:c r="H90" s="23"/>
      <x:c r="I90" s="25"/>
      <x:c r="J90" s="24">
        <x:v>1.0</x:v>
      </x:c>
      <x:c r="K90" s="25"/>
      <x:c r="L90" s="25"/>
      <x:c r="M90" s="26">
        <x:f t="shared" si="12"/>
        <x:v>190000</x:v>
      </x:c>
      <x:c r="N90" s="23" t="s">
        <x:v>74</x:v>
      </x:c>
      <x:c r="O90" s="23" t="s">
        <x:v>34</x:v>
      </x:c>
    </x:row>
    <x:row r="91" ht="18.75" customHeight="1">
      <x:c r="A91" s="19">
        <x:v>90.0</x:v>
      </x:c>
      <x:c r="B91" s="23" t="s">
        <x:v>1174</x:v>
      </x:c>
      <x:c r="C91" s="21">
        <x:v>45670.0</x:v>
      </x:c>
      <x:c r="D91" s="58" t="s">
        <x:v>1175</x:v>
      </x:c>
      <x:c r="E91" s="23"/>
      <x:c r="F91" s="23"/>
      <x:c r="G91" s="56"/>
      <x:c r="H91" s="23"/>
      <x:c r="I91" s="24">
        <x:v>2.0</x:v>
      </x:c>
      <x:c r="J91" s="24"/>
      <x:c r="K91" s="25"/>
      <x:c r="L91" s="25"/>
      <x:c r="M91" s="26">
        <x:f t="shared" si="12"/>
        <x:v>460000</x:v>
      </x:c>
      <x:c r="N91" s="23" t="s">
        <x:v>74</x:v>
      </x:c>
      <x:c r="O91" s="23" t="s">
        <x:v>31</x:v>
      </x:c>
    </x:row>
    <x:row r="92" ht="18.75" customHeight="1">
      <x:c r="A92" s="19">
        <x:v>91.0</x:v>
      </x:c>
      <x:c r="B92" s="23" t="s">
        <x:v>1176</x:v>
      </x:c>
      <x:c r="C92" s="21">
        <x:v>45670.0</x:v>
      </x:c>
      <x:c r="D92" s="22" t="s">
        <x:v>1177</x:v>
      </x:c>
      <x:c r="E92" s="56"/>
      <x:c r="F92" s="23"/>
      <x:c r="G92" s="56"/>
      <x:c r="H92" s="23"/>
      <x:c r="I92" s="25"/>
      <x:c r="J92" s="24">
        <x:v>1.0</x:v>
      </x:c>
      <x:c r="K92" s="25"/>
      <x:c r="L92" s="25"/>
      <x:c r="M92" s="26">
        <x:f t="shared" si="12"/>
        <x:v>190000</x:v>
      </x:c>
      <x:c r="N92" s="23" t="s">
        <x:v>74</x:v>
      </x:c>
      <x:c r="O92" s="23" t="s">
        <x:v>31</x:v>
      </x:c>
    </x:row>
    <x:row r="93" ht="18.75" customHeight="1">
      <x:c r="A93" s="19">
        <x:v>92.0</x:v>
      </x:c>
      <x:c r="B93" s="23" t="s">
        <x:v>1178</x:v>
      </x:c>
      <x:c r="C93" s="21">
        <x:v>45670.0</x:v>
      </x:c>
      <x:c r="D93" s="58" t="s">
        <x:v>1179</x:v>
      </x:c>
      <x:c r="E93" s="56"/>
      <x:c r="F93" s="23"/>
      <x:c r="G93" s="23">
        <x:v>1.0</x:v>
      </x:c>
      <x:c r="H93" s="23"/>
      <x:c r="I93" s="25"/>
      <x:c r="J93" s="24"/>
      <x:c r="K93" s="25"/>
      <x:c r="L93" s="25"/>
      <x:c r="M93" s="26" t="n">
        <x:f>(E93*240+F93*240+G93*350+H93*390+I93*230+J93*190+K93*230+L93*390)*1000+15000</x:f>
        <x:v>365000</x:v>
      </x:c>
      <x:c r="N93" s="23" t="s">
        <x:v>74</x:v>
      </x:c>
      <x:c r="O93" s="23" t="s">
        <x:v>31</x:v>
      </x:c>
    </x:row>
    <x:row r="94" ht="18.75" customHeight="1">
      <x:c r="A94" s="19">
        <x:v>93.0</x:v>
      </x:c>
      <x:c r="B94" s="23" t="s">
        <x:v>1180</x:v>
      </x:c>
      <x:c r="C94" s="21">
        <x:v>45670.0</x:v>
      </x:c>
      <x:c r="D94" s="58" t="s">
        <x:v>1181</x:v>
      </x:c>
      <x:c r="E94" s="23"/>
      <x:c r="F94" s="23"/>
      <x:c r="G94" s="56"/>
      <x:c r="H94" s="23"/>
      <x:c r="I94" s="25"/>
      <x:c r="J94" s="24">
        <x:v>1.0</x:v>
      </x:c>
      <x:c r="K94" s="24"/>
      <x:c r="L94" s="25"/>
      <x:c r="M94" s="26" t="n">
        <x:f t="shared" ref="M94:M95" si="13">(E94*240+F94*240+G94*350+H94*390+I94*230+J94*190+K94*230+L94*390)*1000</x:f>
        <x:v>190000</x:v>
      </x:c>
      <x:c r="N94" s="23" t="s">
        <x:v>74</x:v>
      </x:c>
      <x:c r="O94" s="23" t="s">
        <x:v>31</x:v>
      </x:c>
    </x:row>
    <x:row r="95" ht="18.75" customHeight="1">
      <x:c r="A95" s="19">
        <x:v>94.0</x:v>
      </x:c>
      <x:c r="B95" s="23" t="s">
        <x:v>656</x:v>
      </x:c>
      <x:c r="C95" s="21">
        <x:v>45670.0</x:v>
      </x:c>
      <x:c r="D95" s="58" t="s">
        <x:v>1182</x:v>
      </x:c>
      <x:c r="E95" s="56"/>
      <x:c r="F95" s="23"/>
      <x:c r="G95" s="23">
        <x:v>1.0</x:v>
      </x:c>
      <x:c r="H95" s="23"/>
      <x:c r="I95" s="25"/>
      <x:c r="J95" s="24"/>
      <x:c r="K95" s="25"/>
      <x:c r="L95" s="25"/>
      <x:c r="M95" s="26">
        <x:f t="shared" si="13"/>
        <x:v>350000</x:v>
      </x:c>
      <x:c r="N95" s="23" t="s">
        <x:v>74</x:v>
      </x:c>
      <x:c r="O95" s="23" t="s">
        <x:v>34</x:v>
      </x:c>
    </x:row>
    <x:row r="96" ht="18.75" customHeight="1">
      <x:c r="A96" s="19">
        <x:v>95.0</x:v>
      </x:c>
      <x:c r="B96" s="23" t="s">
        <x:v>1183</x:v>
      </x:c>
      <x:c r="C96" s="21">
        <x:v>45670.0</x:v>
      </x:c>
      <x:c r="D96" s="58" t="s">
        <x:v>1184</x:v>
      </x:c>
      <x:c r="E96" s="56"/>
      <x:c r="F96" s="23"/>
      <x:c r="G96" s="23">
        <x:v>2.0</x:v>
      </x:c>
      <x:c r="H96" s="23"/>
      <x:c r="I96" s="25"/>
      <x:c r="J96" s="24"/>
      <x:c r="K96" s="25"/>
      <x:c r="L96" s="25"/>
      <x:c r="M96" s="26" t="n">
        <x:f t="shared" ref="M96:M97" si="14">(E96*240+F96*240+G96*345+H96*390+I96*230+J96*190+K96*230+L96*390)*1000</x:f>
        <x:v>690000</x:v>
      </x:c>
      <x:c r="N96" s="23" t="s">
        <x:v>74</x:v>
      </x:c>
      <x:c r="O96" s="23" t="s">
        <x:v>31</x:v>
      </x:c>
    </x:row>
    <x:row r="97" ht="18.75" customHeight="1">
      <x:c r="A97" s="19">
        <x:v>96.0</x:v>
      </x:c>
      <x:c r="B97" s="23" t="s">
        <x:v>1185</x:v>
      </x:c>
      <x:c r="C97" s="21">
        <x:v>45671.0</x:v>
      </x:c>
      <x:c r="D97" s="58" t="s">
        <x:v>1186</x:v>
      </x:c>
      <x:c r="E97" s="56"/>
      <x:c r="F97" s="23"/>
      <x:c r="G97" s="23">
        <x:v>5.0</x:v>
      </x:c>
      <x:c r="H97" s="23"/>
      <x:c r="I97" s="25"/>
      <x:c r="J97" s="24"/>
      <x:c r="K97" s="25"/>
      <x:c r="L97" s="25"/>
      <x:c r="M97" s="26">
        <x:f t="shared" si="14"/>
        <x:v>1725000</x:v>
      </x:c>
      <x:c r="N97" s="23" t="s">
        <x:v>74</x:v>
      </x:c>
      <x:c r="O97" s="23" t="s">
        <x:v>31</x:v>
      </x:c>
    </x:row>
    <x:row r="98" ht="18.75" customHeight="1">
      <x:c r="A98" s="19">
        <x:v>97.0</x:v>
      </x:c>
      <x:c r="B98" s="23" t="s">
        <x:v>1187</x:v>
      </x:c>
      <x:c r="C98" s="21">
        <x:v>45671.0</x:v>
      </x:c>
      <x:c r="D98" s="55" t="s">
        <x:v>1188</x:v>
      </x:c>
      <x:c r="E98" s="56"/>
      <x:c r="F98" s="23"/>
      <x:c r="G98" s="23">
        <x:v>1.0</x:v>
      </x:c>
      <x:c r="H98" s="23"/>
      <x:c r="I98" s="25"/>
      <x:c r="J98" s="24"/>
      <x:c r="K98" s="25"/>
      <x:c r="L98" s="25"/>
      <x:c r="M98" s="26" t="n">
        <x:f>(E98*240+F98*240+G98*350+H98*390+I98*230+J98*190+K98*230+L98*390)*1000-10000</x:f>
        <x:v>340000</x:v>
      </x:c>
      <x:c r="N98" s="23" t="s">
        <x:v>74</x:v>
      </x:c>
      <x:c r="O98" s="23" t="s">
        <x:v>31</x:v>
      </x:c>
    </x:row>
    <x:row r="99" ht="18.75" customHeight="1">
      <x:c r="A99" s="19">
        <x:v>98.0</x:v>
      </x:c>
      <x:c r="B99" s="23" t="s">
        <x:v>1189</x:v>
      </x:c>
      <x:c r="C99" s="21">
        <x:v>45671.0</x:v>
      </x:c>
      <x:c r="D99" s="55" t="s">
        <x:v>1188</x:v>
      </x:c>
      <x:c r="E99" s="56"/>
      <x:c r="F99" s="23"/>
      <x:c r="G99" s="23">
        <x:v>1.0</x:v>
      </x:c>
      <x:c r="H99" s="23"/>
      <x:c r="I99" s="25"/>
      <x:c r="J99" s="24"/>
      <x:c r="K99" s="25"/>
      <x:c r="L99" s="25"/>
      <x:c r="M99" s="26" t="n">
        <x:f t="shared" ref="M99:M104" si="15">(E99*240+F99*240+G99*350+H99*390+I99*230+J99*190+K99*230+L99*390)*1000</x:f>
        <x:v>350000</x:v>
      </x:c>
      <x:c r="N99" s="23" t="s">
        <x:v>74</x:v>
      </x:c>
      <x:c r="O99" s="23" t="s">
        <x:v>31</x:v>
      </x:c>
    </x:row>
    <x:row r="100" ht="18.75" customHeight="1">
      <x:c r="A100" s="19">
        <x:v>99.0</x:v>
      </x:c>
      <x:c r="B100" s="23" t="s">
        <x:v>1190</x:v>
      </x:c>
      <x:c r="C100" s="21">
        <x:v>45671.0</x:v>
      </x:c>
      <x:c r="D100" s="22" t="s">
        <x:v>1191</x:v>
      </x:c>
      <x:c r="E100" s="56"/>
      <x:c r="F100" s="23"/>
      <x:c r="G100" s="56"/>
      <x:c r="H100" s="23"/>
      <x:c r="I100" s="25"/>
      <x:c r="J100" s="24">
        <x:v>1.0</x:v>
      </x:c>
      <x:c r="K100" s="25"/>
      <x:c r="L100" s="25"/>
      <x:c r="M100" s="26">
        <x:f t="shared" si="15"/>
        <x:v>190000</x:v>
      </x:c>
      <x:c r="N100" s="23" t="s">
        <x:v>74</x:v>
      </x:c>
      <x:c r="O100" s="23" t="s">
        <x:v>34</x:v>
      </x:c>
    </x:row>
    <x:row r="101" ht="18.75" customHeight="1">
      <x:c r="A101" s="19">
        <x:v>100.0</x:v>
      </x:c>
      <x:c r="B101" s="23" t="s">
        <x:v>1192</x:v>
      </x:c>
      <x:c r="C101" s="21">
        <x:v>45671.0</x:v>
      </x:c>
      <x:c r="D101" s="58" t="s">
        <x:v>1193</x:v>
      </x:c>
      <x:c r="E101" s="56"/>
      <x:c r="F101" s="23"/>
      <x:c r="G101" s="56"/>
      <x:c r="H101" s="23"/>
      <x:c r="I101" s="25"/>
      <x:c r="J101" s="24">
        <x:v>1.0</x:v>
      </x:c>
      <x:c r="K101" s="25"/>
      <x:c r="L101" s="25"/>
      <x:c r="M101" s="26">
        <x:f t="shared" si="15"/>
        <x:v>190000</x:v>
      </x:c>
      <x:c r="N101" s="23" t="s">
        <x:v>74</x:v>
      </x:c>
      <x:c r="O101" s="23" t="s">
        <x:v>31</x:v>
      </x:c>
    </x:row>
    <x:row r="102" ht="18.75" customHeight="1">
      <x:c r="A102" s="19">
        <x:v>101.0</x:v>
      </x:c>
      <x:c r="B102" s="23" t="s">
        <x:v>1194</x:v>
      </x:c>
      <x:c r="C102" s="21">
        <x:v>45672.0</x:v>
      </x:c>
      <x:c r="D102" s="55" t="s">
        <x:v>1195</x:v>
      </x:c>
      <x:c r="E102" s="56"/>
      <x:c r="F102" s="23"/>
      <x:c r="G102" s="56"/>
      <x:c r="H102" s="23"/>
      <x:c r="I102" s="25"/>
      <x:c r="J102" s="24">
        <x:v>1.0</x:v>
      </x:c>
      <x:c r="K102" s="25"/>
      <x:c r="L102" s="25"/>
      <x:c r="M102" s="26">
        <x:f t="shared" si="15"/>
        <x:v>190000</x:v>
      </x:c>
      <x:c r="N102" s="23" t="s">
        <x:v>74</x:v>
      </x:c>
      <x:c r="O102" s="23" t="s">
        <x:v>34</x:v>
      </x:c>
    </x:row>
    <x:row r="103" ht="18.75" customHeight="1">
      <x:c r="A103" s="19">
        <x:v>102.0</x:v>
      </x:c>
      <x:c r="B103" s="23" t="s">
        <x:v>491</x:v>
      </x:c>
      <x:c r="C103" s="21">
        <x:v>45672.0</x:v>
      </x:c>
      <x:c r="D103" s="22" t="s">
        <x:v>1196</x:v>
      </x:c>
      <x:c r="E103" s="56"/>
      <x:c r="F103" s="23"/>
      <x:c r="G103" s="56"/>
      <x:c r="H103" s="23"/>
      <x:c r="I103" s="25"/>
      <x:c r="J103" s="24">
        <x:v>1.0</x:v>
      </x:c>
      <x:c r="K103" s="25"/>
      <x:c r="L103" s="25"/>
      <x:c r="M103" s="26">
        <x:f t="shared" si="15"/>
        <x:v>190000</x:v>
      </x:c>
      <x:c r="N103" s="23" t="s">
        <x:v>74</x:v>
      </x:c>
      <x:c r="O103" s="23" t="s">
        <x:v>31</x:v>
      </x:c>
    </x:row>
    <x:row r="104" ht="18.75" customHeight="1">
      <x:c r="A104" s="19">
        <x:v>103.0</x:v>
      </x:c>
      <x:c r="B104" s="23" t="s">
        <x:v>1197</x:v>
      </x:c>
      <x:c r="C104" s="21">
        <x:v>45672.0</x:v>
      </x:c>
      <x:c r="D104" s="55" t="s">
        <x:v>1188</x:v>
      </x:c>
      <x:c r="E104" s="56"/>
      <x:c r="F104" s="23"/>
      <x:c r="G104" s="56"/>
      <x:c r="H104" s="23"/>
      <x:c r="I104" s="25"/>
      <x:c r="J104" s="24">
        <x:v>1.0</x:v>
      </x:c>
      <x:c r="K104" s="25"/>
      <x:c r="L104" s="25"/>
      <x:c r="M104" s="26">
        <x:f t="shared" si="15"/>
        <x:v>190000</x:v>
      </x:c>
      <x:c r="N104" s="23" t="s">
        <x:v>74</x:v>
      </x:c>
      <x:c r="O104" s="23" t="s">
        <x:v>34</x:v>
      </x:c>
    </x:row>
    <x:row r="105" ht="18.75" customHeight="1">
      <x:c r="A105" s="19">
        <x:v>104.0</x:v>
      </x:c>
      <x:c r="B105" s="23" t="s">
        <x:v>1198</x:v>
      </x:c>
      <x:c r="C105" s="21">
        <x:v>45673.0</x:v>
      </x:c>
      <x:c r="D105" s="55"/>
      <x:c r="E105" s="56"/>
      <x:c r="F105" s="23"/>
      <x:c r="G105" s="56"/>
      <x:c r="H105" s="23"/>
      <x:c r="I105" s="24">
        <x:v>1.0</x:v>
      </x:c>
      <x:c r="J105" s="24"/>
      <x:c r="K105" s="25"/>
      <x:c r="L105" s="25"/>
      <x:c r="M105" s="26" t="n">
        <x:f>(E105*240+F105*240+G105*350+H105*390+I105*230+J105*190+K105*230+L105*390)*1000+8000</x:f>
        <x:v>238000</x:v>
      </x:c>
      <x:c r="N105" s="23" t="s">
        <x:v>74</x:v>
      </x:c>
      <x:c r="O105" s="23" t="s">
        <x:v>34</x:v>
      </x:c>
    </x:row>
    <x:row r="106" ht="18.75" customHeight="1">
      <x:c r="A106" s="19">
        <x:v>105.0</x:v>
      </x:c>
      <x:c r="B106" s="23" t="s">
        <x:v>1199</x:v>
      </x:c>
      <x:c r="C106" s="21">
        <x:v>45673.0</x:v>
      </x:c>
      <x:c r="D106" s="22" t="s">
        <x:v>1200</x:v>
      </x:c>
      <x:c r="E106" s="56"/>
      <x:c r="F106" s="23"/>
      <x:c r="G106" s="56"/>
      <x:c r="H106" s="23"/>
      <x:c r="I106" s="25"/>
      <x:c r="J106" s="24">
        <x:v>1.0</x:v>
      </x:c>
      <x:c r="K106" s="25"/>
      <x:c r="L106" s="25"/>
      <x:c r="M106" s="26" t="n">
        <x:f>(E106*240+F106*240+G106*350+H106*390+I106*230+J106*190+K106*230+L106*390)*1000</x:f>
        <x:v>190000</x:v>
      </x:c>
      <x:c r="N106" s="23" t="s">
        <x:v>74</x:v>
      </x:c>
      <x:c r="O106" s="23" t="s">
        <x:v>31</x:v>
      </x:c>
    </x:row>
    <x:row r="107" ht="18.75" customHeight="1">
      <x:c r="A107" s="19">
        <x:v>106.0</x:v>
      </x:c>
      <x:c r="B107" s="23" t="s">
        <x:v>1201</x:v>
      </x:c>
      <x:c r="C107" s="21">
        <x:v>45673.0</x:v>
      </x:c>
      <x:c r="D107" s="55"/>
      <x:c r="E107" s="56"/>
      <x:c r="F107" s="23"/>
      <x:c r="G107" s="23">
        <x:v>1.0</x:v>
      </x:c>
      <x:c r="H107" s="23"/>
      <x:c r="I107" s="25"/>
      <x:c r="J107" s="24"/>
      <x:c r="K107" s="25"/>
      <x:c r="L107" s="25"/>
      <x:c r="M107" s="26" t="n">
        <x:f>(E107*240+F107*240+G107*330+H107*390+I107*230+J107*190+K107*230+L107*390)*1000</x:f>
        <x:v>330000</x:v>
      </x:c>
      <x:c r="N107" s="23" t="s">
        <x:v>74</x:v>
      </x:c>
      <x:c r="O107" s="23" t="s">
        <x:v>31</x:v>
      </x:c>
    </x:row>
    <x:row r="108" ht="18.75" customHeight="1">
      <x:c r="A108" s="19">
        <x:v>107.0</x:v>
      </x:c>
      <x:c r="B108" s="23" t="s">
        <x:v>1202</x:v>
      </x:c>
      <x:c r="C108" s="21">
        <x:v>45673.0</x:v>
      </x:c>
      <x:c r="D108" s="58" t="s">
        <x:v>1203</x:v>
      </x:c>
      <x:c r="E108" s="56"/>
      <x:c r="F108" s="23"/>
      <x:c r="G108" s="56"/>
      <x:c r="H108" s="23"/>
      <x:c r="I108" s="25"/>
      <x:c r="J108" s="24">
        <x:v>1.0</x:v>
      </x:c>
      <x:c r="K108" s="25"/>
      <x:c r="L108" s="25"/>
      <x:c r="M108" s="26" t="n">
        <x:f t="shared" ref="M108:M113" si="16">(E108*240+F108*240+G108*350+H108*390+I108*230+J108*190+K108*230+L108*390)*1000</x:f>
        <x:v>190000</x:v>
      </x:c>
      <x:c r="N108" s="23" t="s">
        <x:v>74</x:v>
      </x:c>
      <x:c r="O108" s="23" t="s">
        <x:v>31</x:v>
      </x:c>
    </x:row>
    <x:row r="109" ht="18.75" customHeight="1">
      <x:c r="A109" s="19">
        <x:v>108.0</x:v>
      </x:c>
      <x:c r="B109" s="23" t="s">
        <x:v>1204</x:v>
      </x:c>
      <x:c r="C109" s="21">
        <x:v>45673.0</x:v>
      </x:c>
      <x:c r="D109" s="58" t="s">
        <x:v>1205</x:v>
      </x:c>
      <x:c r="E109" s="56"/>
      <x:c r="F109" s="23"/>
      <x:c r="G109" s="56"/>
      <x:c r="H109" s="23"/>
      <x:c r="I109" s="25"/>
      <x:c r="J109" s="24">
        <x:v>2.0</x:v>
      </x:c>
      <x:c r="K109" s="25"/>
      <x:c r="L109" s="25"/>
      <x:c r="M109" s="26">
        <x:f t="shared" si="16"/>
        <x:v>380000</x:v>
      </x:c>
      <x:c r="N109" s="23" t="s">
        <x:v>74</x:v>
      </x:c>
      <x:c r="O109" s="23" t="s">
        <x:v>34</x:v>
      </x:c>
    </x:row>
    <x:row r="110" ht="18.75" customHeight="1">
      <x:c r="A110" s="19">
        <x:v>109.0</x:v>
      </x:c>
      <x:c r="B110" s="23" t="s">
        <x:v>738</x:v>
      </x:c>
      <x:c r="C110" s="21">
        <x:v>45674.0</x:v>
      </x:c>
      <x:c r="D110" s="55" t="s">
        <x:v>1206</x:v>
      </x:c>
      <x:c r="E110" s="56"/>
      <x:c r="F110" s="23"/>
      <x:c r="G110" s="56"/>
      <x:c r="H110" s="23"/>
      <x:c r="I110" s="25"/>
      <x:c r="J110" s="24">
        <x:v>1.0</x:v>
      </x:c>
      <x:c r="K110" s="25"/>
      <x:c r="L110" s="25"/>
      <x:c r="M110" s="26">
        <x:f t="shared" si="16"/>
        <x:v>190000</x:v>
      </x:c>
      <x:c r="N110" s="23" t="s">
        <x:v>74</x:v>
      </x:c>
      <x:c r="O110" s="23" t="s">
        <x:v>34</x:v>
      </x:c>
    </x:row>
    <x:row r="111" ht="18.75" customHeight="1">
      <x:c r="A111" s="19">
        <x:v>110.0</x:v>
      </x:c>
      <x:c r="B111" s="23" t="s">
        <x:v>1207</x:v>
      </x:c>
      <x:c r="C111" s="21">
        <x:v>45674.0</x:v>
      </x:c>
      <x:c r="D111" s="58" t="s">
        <x:v>1208</x:v>
      </x:c>
      <x:c r="E111" s="56"/>
      <x:c r="F111" s="23"/>
      <x:c r="G111" s="56"/>
      <x:c r="H111" s="23"/>
      <x:c r="I111" s="25"/>
      <x:c r="J111" s="24">
        <x:v>1.0</x:v>
      </x:c>
      <x:c r="K111" s="25"/>
      <x:c r="L111" s="25"/>
      <x:c r="M111" s="26">
        <x:f t="shared" si="16"/>
        <x:v>190000</x:v>
      </x:c>
      <x:c r="N111" s="23" t="s">
        <x:v>74</x:v>
      </x:c>
      <x:c r="O111" s="23" t="s">
        <x:v>34</x:v>
      </x:c>
    </x:row>
    <x:row r="112" ht="18.75" customHeight="1">
      <x:c r="A112" s="19">
        <x:v>111.0</x:v>
      </x:c>
      <x:c r="B112" s="23" t="s">
        <x:v>1209</x:v>
      </x:c>
      <x:c r="C112" s="21">
        <x:v>45674.0</x:v>
      </x:c>
      <x:c r="D112" s="22" t="s">
        <x:v>1210</x:v>
      </x:c>
      <x:c r="E112" s="56"/>
      <x:c r="F112" s="23"/>
      <x:c r="G112" s="23">
        <x:v>1.0</x:v>
      </x:c>
      <x:c r="H112" s="23"/>
      <x:c r="I112" s="25"/>
      <x:c r="J112" s="24"/>
      <x:c r="K112" s="25"/>
      <x:c r="L112" s="25"/>
      <x:c r="M112" s="26">
        <x:f t="shared" si="16"/>
        <x:v>350000</x:v>
      </x:c>
      <x:c r="N112" s="23" t="s">
        <x:v>74</x:v>
      </x:c>
      <x:c r="O112" s="23" t="s">
        <x:v>31</x:v>
      </x:c>
    </x:row>
    <x:row r="113" ht="18.75" customHeight="1">
      <x:c r="A113" s="19">
        <x:v>112.0</x:v>
      </x:c>
      <x:c r="B113" s="23" t="s">
        <x:v>912</x:v>
      </x:c>
      <x:c r="C113" s="21">
        <x:v>45674.0</x:v>
      </x:c>
      <x:c r="D113" s="58" t="s">
        <x:v>913</x:v>
      </x:c>
      <x:c r="E113" s="56"/>
      <x:c r="F113" s="23"/>
      <x:c r="G113" s="56"/>
      <x:c r="H113" s="23"/>
      <x:c r="I113" s="25"/>
      <x:c r="J113" s="24">
        <x:v>1.0</x:v>
      </x:c>
      <x:c r="K113" s="25"/>
      <x:c r="L113" s="25"/>
      <x:c r="M113" s="26">
        <x:f t="shared" si="16"/>
        <x:v>190000</x:v>
      </x:c>
      <x:c r="N113" s="23" t="s">
        <x:v>74</x:v>
      </x:c>
      <x:c r="O113" s="23" t="s">
        <x:v>34</x:v>
      </x:c>
    </x:row>
    <x:row r="114" ht="18.75" customHeight="1">
      <x:c r="A114" s="19">
        <x:v>113.0</x:v>
      </x:c>
      <x:c r="B114" s="23" t="s">
        <x:v>1211</x:v>
      </x:c>
      <x:c r="C114" s="21">
        <x:v>45674.0</x:v>
      </x:c>
      <x:c r="D114" s="58" t="s">
        <x:v>1212</x:v>
      </x:c>
      <x:c r="E114" s="56"/>
      <x:c r="F114" s="23"/>
      <x:c r="G114" s="23">
        <x:v>1.0</x:v>
      </x:c>
      <x:c r="H114" s="23"/>
      <x:c r="I114" s="25"/>
      <x:c r="J114" s="24">
        <x:v>1.0</x:v>
      </x:c>
      <x:c r="K114" s="25"/>
      <x:c r="L114" s="25"/>
      <x:c r="M114" s="26" t="n">
        <x:f>(E114*240+F114*240+G114*350+H114*390+I114*230+J114*190+K114*230+L114*390)*1000+3000</x:f>
        <x:v>543000</x:v>
      </x:c>
      <x:c r="N114" s="23" t="s">
        <x:v>74</x:v>
      </x:c>
      <x:c r="O114" s="23" t="s">
        <x:v>31</x:v>
      </x:c>
    </x:row>
    <x:row r="115" ht="18.75" customHeight="1">
      <x:c r="A115" s="19"/>
      <x:c r="B115" s="23"/>
      <x:c r="C115" s="21"/>
      <x:c r="D115" s="55"/>
      <x:c r="E115" s="56"/>
      <x:c r="F115" s="23"/>
      <x:c r="G115" s="56"/>
      <x:c r="H115" s="23"/>
      <x:c r="I115" s="25"/>
      <x:c r="J115" s="24"/>
      <x:c r="K115" s="25"/>
      <x:c r="L115" s="25"/>
      <x:c r="M115" s="26"/>
      <x:c r="N115" s="23"/>
      <x:c r="O115" s="23"/>
    </x:row>
    <x:row r="116">
      <x:c r="A116" s="75"/>
      <x:c r="B116" s="75" t="s">
        <x:v>27</x:v>
      </x:c>
      <x:c r="C116" s="77"/>
      <x:c r="D116" s="78"/>
      <x:c r="E116" s="77" t="n">
        <x:f t="shared" ref="E116:M116" si="17">SUM(E2:E115)</x:f>
        <x:v>13</x:v>
      </x:c>
      <x:c r="F116" s="77">
        <x:f t="shared" si="17"/>
        <x:v>37</x:v>
      </x:c>
      <x:c r="G116" s="77">
        <x:f t="shared" si="17"/>
        <x:v>37</x:v>
      </x:c>
      <x:c r="H116" s="77">
        <x:f t="shared" si="17"/>
        <x:v>1</x:v>
      </x:c>
      <x:c r="I116" s="79">
        <x:f t="shared" si="17"/>
        <x:v>46</x:v>
      </x:c>
      <x:c r="J116" s="79">
        <x:f t="shared" si="17"/>
        <x:v>46</x:v>
      </x:c>
      <x:c r="K116" s="79">
        <x:f t="shared" si="17"/>
        <x:v>10</x:v>
      </x:c>
      <x:c r="L116" s="79">
        <x:f t="shared" si="17"/>
        <x:v>3</x:v>
      </x:c>
      <x:c r="M116" s="80">
        <x:f t="shared" si="17"/>
        <x:v>47958000</x:v>
      </x:c>
      <x:c r="N116" s="77"/>
      <x:c r="O116" s="77"/>
    </x:row>
    <x:row r="117">
      <x:c r="A117" s="75"/>
      <x:c r="B117" s="75" t="s">
        <x:v>51</x:v>
      </x:c>
      <x:c r="C117" s="81"/>
      <x:c r="D117" s="96"/>
      <x:c r="E117" s="83" t="n">
        <x:f>E116*Inventory_batches!I42</x:f>
        <x:v>2043781.3953488371</x:v>
      </x:c>
      <x:c r="F117" s="83" t="n">
        <x:f>F116*Inventory_batches!I41</x:f>
        <x:v>5816916.279069767</x:v>
      </x:c>
      <x:c r="G117" s="83" t="n">
        <x:f>G116*Inventory_batches!F24</x:f>
        <x:v>4836208.333333333</x:v>
      </x:c>
      <x:c r="H117" s="83" t="n">
        <x:f>H116*Inventory_batches!F37</x:f>
        <x:v>123105.68181818182</x:v>
      </x:c>
      <x:c r="I117" s="84" t="n">
        <x:f>I116*Inventory_batches!F37</x:f>
        <x:v>5662861.363636364</x:v>
      </x:c>
      <x:c r="J117" s="84" t="n">
        <x:f>J116*Inventory_batches!I39</x:f>
        <x:v>3781841.8604651163</x:v>
      </x:c>
      <x:c r="K117" s="84" t="n">
        <x:f>K116*Inventory_batches!I43</x:f>
        <x:v>1322139.5348837208</x:v>
      </x:c>
      <x:c r="L117" s="84" t="n">
        <x:f>L116*Inventory_batches!F24</x:f>
        <x:v>392125</x:v>
      </x:c>
      <x:c r="M117" s="83" t="n">
        <x:f>SUM(E117:L117)</x:f>
        <x:v>23978979.44855532</x:v>
      </x:c>
      <x:c r="N117" s="85" t="n">
        <x:f>M117-Q3</x:f>
        <x:v>10410979.44855532</x:v>
      </x:c>
      <x:c r="O117" s="86"/>
      <x:c r="P117" s="32"/>
    </x:row>
    <x:row r="118">
      <x:c r="A118" s="87"/>
      <x:c r="D118" s="32"/>
      <x:c r="I118" s="74"/>
      <x:c r="J118" s="74"/>
      <x:c r="K118" s="74"/>
      <x:c r="L118" s="74"/>
      <x:c r="M118" s="90" t="n">
        <x:f>M116-M117</x:f>
        <x:v>23979020.55144468</x:v>
      </x:c>
      <x:c r="O118" s="86"/>
      <x:c r="P118" s="32"/>
    </x:row>
    <x:row r="119">
      <x:c r="A119" s="87"/>
      <x:c r="D119" s="32"/>
      <x:c r="I119" s="74"/>
      <x:c r="J119" s="74"/>
      <x:c r="K119" s="74"/>
      <x:c r="L119" s="74"/>
      <x:c r="M119" s="85"/>
      <x:c r="O119" s="86"/>
      <x:c r="P119" s="32"/>
    </x:row>
    <x:row r="120">
      <x:c r="A120" s="87"/>
      <x:c r="D120" s="32"/>
      <x:c r="I120" s="74"/>
      <x:c r="J120" s="74"/>
      <x:c r="K120" s="74"/>
      <x:c r="L120" s="74"/>
      <x:c r="M120" s="85"/>
      <x:c r="O120" s="86"/>
      <x:c r="P120" s="32"/>
    </x:row>
    <x:row r="121">
      <x:c r="A121" s="87"/>
      <x:c r="D121" s="32"/>
      <x:c r="I121" s="74"/>
      <x:c r="J121" s="74"/>
      <x:c r="K121" s="74"/>
      <x:c r="L121" s="74"/>
      <x:c r="M121" s="85"/>
      <x:c r="O121" s="86"/>
      <x:c r="P121" s="32"/>
    </x:row>
    <x:row r="122">
      <x:c r="A122" s="87"/>
      <x:c r="D122" s="32"/>
      <x:c r="I122" s="74"/>
      <x:c r="J122" s="74"/>
      <x:c r="K122" s="74"/>
      <x:c r="L122" s="74"/>
      <x:c r="M122" s="85"/>
      <x:c r="O122" s="86"/>
      <x:c r="P122" s="32"/>
    </x:row>
    <x:row r="123">
      <x:c r="A123" s="87"/>
      <x:c r="D123" s="32"/>
      <x:c r="I123" s="74"/>
      <x:c r="J123" s="74"/>
      <x:c r="K123" s="74"/>
      <x:c r="L123" s="74"/>
      <x:c r="M123" s="85"/>
      <x:c r="O123" s="86"/>
      <x:c r="P123" s="32"/>
    </x:row>
    <x:row r="124">
      <x:c r="A124" s="87"/>
      <x:c r="D124" s="32"/>
      <x:c r="I124" s="74"/>
      <x:c r="J124" s="74"/>
      <x:c r="K124" s="74"/>
      <x:c r="L124" s="74"/>
      <x:c r="M124" s="85"/>
      <x:c r="O124" s="86"/>
      <x:c r="P124" s="32"/>
    </x:row>
    <x:row r="125">
      <x:c r="A125" s="87"/>
      <x:c r="D125" s="32"/>
      <x:c r="I125" s="74"/>
      <x:c r="J125" s="74"/>
      <x:c r="K125" s="74"/>
      <x:c r="L125" s="74"/>
      <x:c r="M125" s="85"/>
      <x:c r="O125" s="86"/>
      <x:c r="P125" s="32"/>
    </x:row>
    <x:row r="126">
      <x:c r="A126" s="87"/>
      <x:c r="D126" s="32"/>
      <x:c r="I126" s="74"/>
      <x:c r="J126" s="74"/>
      <x:c r="K126" s="74"/>
      <x:c r="L126" s="74"/>
      <x:c r="M126" s="85"/>
      <x:c r="O126" s="86"/>
      <x:c r="P126" s="32"/>
    </x:row>
    <x:row r="127">
      <x:c r="A127" s="87"/>
      <x:c r="D127" s="32"/>
      <x:c r="I127" s="74"/>
      <x:c r="J127" s="74"/>
      <x:c r="K127" s="74"/>
      <x:c r="L127" s="74"/>
      <x:c r="M127" s="85"/>
      <x:c r="O127" s="86"/>
      <x:c r="P127" s="32"/>
    </x:row>
    <x:row r="128">
      <x:c r="A128" s="87"/>
      <x:c r="D128" s="32"/>
      <x:c r="I128" s="74"/>
      <x:c r="J128" s="74"/>
      <x:c r="K128" s="74"/>
      <x:c r="L128" s="74"/>
      <x:c r="M128" s="85"/>
      <x:c r="O128" s="86"/>
      <x:c r="P128" s="32"/>
    </x:row>
    <x:row r="129">
      <x:c r="A129" s="87"/>
      <x:c r="D129" s="32"/>
      <x:c r="I129" s="74"/>
      <x:c r="J129" s="74"/>
      <x:c r="K129" s="74"/>
      <x:c r="L129" s="74"/>
      <x:c r="M129" s="85"/>
      <x:c r="O129" s="86"/>
      <x:c r="P129" s="32"/>
    </x:row>
    <x:row r="130">
      <x:c r="A130" s="87"/>
      <x:c r="D130" s="32"/>
      <x:c r="I130" s="74"/>
      <x:c r="J130" s="74"/>
      <x:c r="K130" s="74"/>
      <x:c r="L130" s="74"/>
      <x:c r="M130" s="85"/>
      <x:c r="O130" s="86"/>
      <x:c r="P130" s="32"/>
    </x:row>
    <x:row r="131">
      <x:c r="A131" s="87"/>
      <x:c r="D131" s="32"/>
      <x:c r="I131" s="74"/>
      <x:c r="J131" s="74"/>
      <x:c r="K131" s="74"/>
      <x:c r="L131" s="74"/>
      <x:c r="M131" s="85"/>
      <x:c r="O131" s="86"/>
      <x:c r="P131" s="32"/>
    </x:row>
    <x:row r="132">
      <x:c r="A132" s="87"/>
      <x:c r="D132" s="32"/>
      <x:c r="I132" s="74"/>
      <x:c r="J132" s="74"/>
      <x:c r="K132" s="74"/>
      <x:c r="L132" s="74"/>
      <x:c r="M132" s="85"/>
      <x:c r="O132" s="86"/>
      <x:c r="P132" s="32"/>
    </x:row>
    <x:row r="133">
      <x:c r="A133" s="87"/>
      <x:c r="D133" s="32"/>
      <x:c r="I133" s="74"/>
      <x:c r="J133" s="74"/>
      <x:c r="K133" s="74"/>
      <x:c r="L133" s="74"/>
      <x:c r="M133" s="85"/>
      <x:c r="O133" s="86"/>
      <x:c r="P133" s="32"/>
    </x:row>
    <x:row r="134">
      <x:c r="A134" s="87"/>
      <x:c r="D134" s="32"/>
      <x:c r="I134" s="74"/>
      <x:c r="J134" s="74"/>
      <x:c r="K134" s="74"/>
      <x:c r="L134" s="74"/>
      <x:c r="M134" s="85"/>
      <x:c r="O134" s="86"/>
      <x:c r="P134" s="32"/>
    </x:row>
    <x:row r="135">
      <x:c r="A135" s="87"/>
      <x:c r="D135" s="32"/>
      <x:c r="I135" s="74"/>
      <x:c r="J135" s="74"/>
      <x:c r="K135" s="74"/>
      <x:c r="L135" s="74"/>
      <x:c r="M135" s="85"/>
      <x:c r="O135" s="86"/>
      <x:c r="P135" s="32"/>
    </x:row>
    <x:row r="136">
      <x:c r="A136" s="87"/>
      <x:c r="D136" s="32"/>
      <x:c r="I136" s="74"/>
      <x:c r="J136" s="74"/>
      <x:c r="K136" s="74"/>
      <x:c r="L136" s="74"/>
      <x:c r="M136" s="85"/>
      <x:c r="O136" s="86"/>
      <x:c r="P136" s="32"/>
    </x:row>
    <x:row r="137">
      <x:c r="A137" s="87"/>
      <x:c r="D137" s="32"/>
      <x:c r="I137" s="74"/>
      <x:c r="J137" s="74"/>
      <x:c r="K137" s="74"/>
      <x:c r="L137" s="74"/>
      <x:c r="M137" s="85"/>
      <x:c r="O137" s="86"/>
      <x:c r="P137" s="32"/>
    </x:row>
    <x:row r="138">
      <x:c r="A138" s="87"/>
      <x:c r="D138" s="32"/>
      <x:c r="I138" s="74"/>
      <x:c r="J138" s="74"/>
      <x:c r="K138" s="74"/>
      <x:c r="L138" s="74"/>
      <x:c r="M138" s="85"/>
      <x:c r="O138" s="86"/>
      <x:c r="P138" s="32"/>
    </x:row>
    <x:row r="139">
      <x:c r="A139" s="87"/>
      <x:c r="D139" s="32"/>
      <x:c r="I139" s="74"/>
      <x:c r="J139" s="74"/>
      <x:c r="K139" s="74"/>
      <x:c r="L139" s="74"/>
      <x:c r="M139" s="85"/>
      <x:c r="O139" s="86"/>
      <x:c r="P139" s="32"/>
    </x:row>
    <x:row r="140">
      <x:c r="A140" s="87"/>
      <x:c r="D140" s="32"/>
      <x:c r="I140" s="74"/>
      <x:c r="J140" s="74"/>
      <x:c r="K140" s="74"/>
      <x:c r="L140" s="74"/>
      <x:c r="M140" s="85"/>
      <x:c r="O140" s="86"/>
      <x:c r="P140" s="32"/>
    </x:row>
    <x:row r="141">
      <x:c r="A141" s="87"/>
      <x:c r="D141" s="32"/>
      <x:c r="I141" s="74"/>
      <x:c r="J141" s="74"/>
      <x:c r="K141" s="74"/>
      <x:c r="L141" s="74"/>
      <x:c r="M141" s="85"/>
      <x:c r="O141" s="86"/>
      <x:c r="P141" s="32"/>
    </x:row>
    <x:row r="142">
      <x:c r="A142" s="87"/>
      <x:c r="D142" s="32"/>
      <x:c r="I142" s="74"/>
      <x:c r="J142" s="74"/>
      <x:c r="K142" s="74"/>
      <x:c r="L142" s="74"/>
      <x:c r="M142" s="85"/>
      <x:c r="O142" s="86"/>
      <x:c r="P142" s="32"/>
    </x:row>
    <x:row r="143">
      <x:c r="A143" s="87"/>
      <x:c r="D143" s="32"/>
      <x:c r="I143" s="74"/>
      <x:c r="J143" s="74"/>
      <x:c r="K143" s="74"/>
      <x:c r="L143" s="74"/>
      <x:c r="M143" s="85"/>
      <x:c r="O143" s="86"/>
      <x:c r="P143" s="32"/>
    </x:row>
    <x:row r="144">
      <x:c r="A144" s="87"/>
      <x:c r="D144" s="32"/>
      <x:c r="I144" s="74"/>
      <x:c r="J144" s="74"/>
      <x:c r="K144" s="74"/>
      <x:c r="L144" s="74"/>
      <x:c r="M144" s="85"/>
      <x:c r="O144" s="86"/>
      <x:c r="P144" s="32"/>
    </x:row>
    <x:row r="145">
      <x:c r="A145" s="87"/>
      <x:c r="D145" s="32"/>
      <x:c r="I145" s="74"/>
      <x:c r="J145" s="74"/>
      <x:c r="K145" s="74"/>
      <x:c r="L145" s="74"/>
      <x:c r="M145" s="85"/>
      <x:c r="O145" s="86"/>
      <x:c r="P145" s="32"/>
    </x:row>
    <x:row r="146">
      <x:c r="A146" s="87"/>
      <x:c r="D146" s="32"/>
      <x:c r="I146" s="74"/>
      <x:c r="J146" s="74"/>
      <x:c r="K146" s="74"/>
      <x:c r="L146" s="74"/>
      <x:c r="M146" s="85"/>
      <x:c r="O146" s="86"/>
      <x:c r="P146" s="32"/>
    </x:row>
    <x:row r="147">
      <x:c r="A147" s="87"/>
      <x:c r="D147" s="32"/>
      <x:c r="I147" s="74"/>
      <x:c r="J147" s="74"/>
      <x:c r="K147" s="74"/>
      <x:c r="L147" s="74"/>
      <x:c r="M147" s="85"/>
      <x:c r="O147" s="86"/>
      <x:c r="P147" s="32"/>
    </x:row>
    <x:row r="148">
      <x:c r="A148" s="87"/>
      <x:c r="D148" s="32"/>
      <x:c r="I148" s="74"/>
      <x:c r="J148" s="74"/>
      <x:c r="K148" s="74"/>
      <x:c r="L148" s="74"/>
      <x:c r="M148" s="85"/>
      <x:c r="O148" s="86"/>
      <x:c r="P148" s="32"/>
    </x:row>
    <x:row r="149">
      <x:c r="A149" s="87"/>
      <x:c r="D149" s="32"/>
      <x:c r="I149" s="74"/>
      <x:c r="J149" s="74"/>
      <x:c r="K149" s="74"/>
      <x:c r="L149" s="74"/>
      <x:c r="M149" s="85"/>
      <x:c r="O149" s="86"/>
      <x:c r="P149" s="32"/>
    </x:row>
    <x:row r="150">
      <x:c r="A150" s="87"/>
      <x:c r="D150" s="32"/>
      <x:c r="I150" s="74"/>
      <x:c r="J150" s="74"/>
      <x:c r="K150" s="74"/>
      <x:c r="L150" s="74"/>
      <x:c r="M150" s="85"/>
      <x:c r="O150" s="86"/>
      <x:c r="P150" s="32"/>
    </x:row>
    <x:row r="151">
      <x:c r="A151" s="87"/>
      <x:c r="D151" s="32"/>
      <x:c r="I151" s="74"/>
      <x:c r="J151" s="74"/>
      <x:c r="K151" s="74"/>
      <x:c r="L151" s="74"/>
      <x:c r="M151" s="85"/>
      <x:c r="O151" s="86"/>
      <x:c r="P151" s="32"/>
    </x:row>
    <x:row r="152">
      <x:c r="A152" s="87"/>
      <x:c r="D152" s="32"/>
      <x:c r="I152" s="74"/>
      <x:c r="J152" s="74"/>
      <x:c r="K152" s="74"/>
      <x:c r="L152" s="74"/>
      <x:c r="M152" s="85"/>
      <x:c r="O152" s="86"/>
      <x:c r="P152" s="32"/>
    </x:row>
    <x:row r="153">
      <x:c r="A153" s="87"/>
      <x:c r="D153" s="32"/>
      <x:c r="I153" s="74"/>
      <x:c r="J153" s="74"/>
      <x:c r="K153" s="74"/>
      <x:c r="L153" s="74"/>
      <x:c r="M153" s="85"/>
      <x:c r="O153" s="86"/>
      <x:c r="P153" s="32"/>
    </x:row>
    <x:row r="154">
      <x:c r="A154" s="87"/>
      <x:c r="D154" s="32"/>
      <x:c r="I154" s="74"/>
      <x:c r="J154" s="74"/>
      <x:c r="K154" s="74"/>
      <x:c r="L154" s="74"/>
      <x:c r="M154" s="85"/>
      <x:c r="O154" s="86"/>
      <x:c r="P154" s="32"/>
    </x:row>
    <x:row r="155">
      <x:c r="A155" s="87"/>
      <x:c r="D155" s="32"/>
      <x:c r="I155" s="74"/>
      <x:c r="J155" s="74"/>
      <x:c r="K155" s="74"/>
      <x:c r="L155" s="74"/>
      <x:c r="M155" s="85"/>
      <x:c r="O155" s="86"/>
      <x:c r="P155" s="32"/>
    </x:row>
    <x:row r="156">
      <x:c r="A156" s="87"/>
      <x:c r="D156" s="32"/>
      <x:c r="I156" s="74"/>
      <x:c r="J156" s="74"/>
      <x:c r="K156" s="74"/>
      <x:c r="L156" s="74"/>
      <x:c r="M156" s="85"/>
      <x:c r="O156" s="86"/>
      <x:c r="P156" s="32"/>
    </x:row>
    <x:row r="157">
      <x:c r="A157" s="87"/>
      <x:c r="D157" s="32"/>
      <x:c r="I157" s="74"/>
      <x:c r="J157" s="74"/>
      <x:c r="K157" s="74"/>
      <x:c r="L157" s="74"/>
      <x:c r="M157" s="85"/>
      <x:c r="O157" s="86"/>
      <x:c r="P157" s="32"/>
    </x:row>
    <x:row r="158">
      <x:c r="A158" s="87"/>
      <x:c r="D158" s="32"/>
      <x:c r="I158" s="74"/>
      <x:c r="J158" s="74"/>
      <x:c r="K158" s="74"/>
      <x:c r="L158" s="74"/>
      <x:c r="M158" s="85"/>
      <x:c r="O158" s="86"/>
      <x:c r="P158" s="32"/>
    </x:row>
    <x:row r="159">
      <x:c r="A159" s="87"/>
      <x:c r="D159" s="32"/>
      <x:c r="I159" s="74"/>
      <x:c r="J159" s="74"/>
      <x:c r="K159" s="74"/>
      <x:c r="L159" s="74"/>
      <x:c r="M159" s="85"/>
      <x:c r="O159" s="86"/>
      <x:c r="P159" s="32"/>
    </x:row>
    <x:row r="160">
      <x:c r="A160" s="87"/>
      <x:c r="D160" s="32"/>
      <x:c r="I160" s="74"/>
      <x:c r="J160" s="74"/>
      <x:c r="K160" s="74"/>
      <x:c r="L160" s="74"/>
      <x:c r="M160" s="85"/>
      <x:c r="O160" s="86"/>
      <x:c r="P160" s="32"/>
    </x:row>
    <x:row r="161">
      <x:c r="A161" s="87"/>
      <x:c r="D161" s="32"/>
      <x:c r="I161" s="74"/>
      <x:c r="J161" s="74"/>
      <x:c r="K161" s="74"/>
      <x:c r="L161" s="74"/>
      <x:c r="M161" s="85"/>
      <x:c r="O161" s="86"/>
      <x:c r="P161" s="32"/>
    </x:row>
    <x:row r="162">
      <x:c r="A162" s="87"/>
      <x:c r="D162" s="32"/>
      <x:c r="I162" s="74"/>
      <x:c r="J162" s="74"/>
      <x:c r="K162" s="74"/>
      <x:c r="L162" s="74"/>
      <x:c r="M162" s="85"/>
      <x:c r="O162" s="86"/>
      <x:c r="P162" s="32"/>
    </x:row>
    <x:row r="163">
      <x:c r="A163" s="87"/>
      <x:c r="D163" s="32"/>
      <x:c r="I163" s="74"/>
      <x:c r="J163" s="74"/>
      <x:c r="K163" s="74"/>
      <x:c r="L163" s="74"/>
      <x:c r="M163" s="85"/>
      <x:c r="O163" s="86"/>
      <x:c r="P163" s="32"/>
    </x:row>
    <x:row r="164">
      <x:c r="A164" s="87"/>
      <x:c r="D164" s="32"/>
      <x:c r="I164" s="74"/>
      <x:c r="J164" s="74"/>
      <x:c r="K164" s="74"/>
      <x:c r="L164" s="74"/>
      <x:c r="M164" s="85"/>
      <x:c r="O164" s="86"/>
      <x:c r="P164" s="32"/>
    </x:row>
    <x:row r="165">
      <x:c r="A165" s="87"/>
      <x:c r="D165" s="32"/>
      <x:c r="I165" s="74"/>
      <x:c r="J165" s="74"/>
      <x:c r="K165" s="74"/>
      <x:c r="L165" s="74"/>
      <x:c r="M165" s="85"/>
      <x:c r="O165" s="86"/>
      <x:c r="P165" s="32"/>
    </x:row>
    <x:row r="166">
      <x:c r="A166" s="87"/>
      <x:c r="D166" s="32"/>
      <x:c r="I166" s="74"/>
      <x:c r="J166" s="74"/>
      <x:c r="K166" s="74"/>
      <x:c r="L166" s="74"/>
      <x:c r="M166" s="85"/>
      <x:c r="O166" s="86"/>
      <x:c r="P166" s="32"/>
    </x:row>
    <x:row r="167">
      <x:c r="A167" s="87"/>
      <x:c r="D167" s="32"/>
      <x:c r="I167" s="74"/>
      <x:c r="J167" s="74"/>
      <x:c r="K167" s="74"/>
      <x:c r="L167" s="74"/>
      <x:c r="M167" s="85"/>
      <x:c r="O167" s="86"/>
      <x:c r="P167" s="32"/>
    </x:row>
    <x:row r="168">
      <x:c r="A168" s="87"/>
      <x:c r="D168" s="32"/>
      <x:c r="I168" s="74"/>
      <x:c r="J168" s="74"/>
      <x:c r="K168" s="74"/>
      <x:c r="L168" s="74"/>
      <x:c r="M168" s="85"/>
      <x:c r="O168" s="86"/>
      <x:c r="P168" s="32"/>
    </x:row>
    <x:row r="169">
      <x:c r="A169" s="87"/>
      <x:c r="D169" s="32"/>
      <x:c r="I169" s="74"/>
      <x:c r="J169" s="74"/>
      <x:c r="K169" s="74"/>
      <x:c r="L169" s="74"/>
      <x:c r="M169" s="85"/>
      <x:c r="O169" s="86"/>
      <x:c r="P169" s="32"/>
    </x:row>
    <x:row r="170">
      <x:c r="A170" s="87"/>
      <x:c r="D170" s="32"/>
      <x:c r="I170" s="74"/>
      <x:c r="J170" s="74"/>
      <x:c r="K170" s="74"/>
      <x:c r="L170" s="74"/>
      <x:c r="M170" s="85"/>
      <x:c r="O170" s="86"/>
      <x:c r="P170" s="32"/>
    </x:row>
    <x:row r="171">
      <x:c r="A171" s="87"/>
      <x:c r="D171" s="32"/>
      <x:c r="I171" s="74"/>
      <x:c r="J171" s="74"/>
      <x:c r="K171" s="74"/>
      <x:c r="L171" s="74"/>
      <x:c r="M171" s="85"/>
      <x:c r="O171" s="86"/>
      <x:c r="P171" s="32"/>
    </x:row>
    <x:row r="172">
      <x:c r="A172" s="87"/>
      <x:c r="D172" s="32"/>
      <x:c r="I172" s="74"/>
      <x:c r="J172" s="74"/>
      <x:c r="K172" s="74"/>
      <x:c r="L172" s="74"/>
      <x:c r="M172" s="85"/>
      <x:c r="O172" s="86"/>
      <x:c r="P172" s="32"/>
    </x:row>
    <x:row r="173">
      <x:c r="A173" s="87"/>
      <x:c r="D173" s="32"/>
      <x:c r="I173" s="74"/>
      <x:c r="J173" s="74"/>
      <x:c r="K173" s="74"/>
      <x:c r="L173" s="74"/>
      <x:c r="M173" s="85"/>
      <x:c r="O173" s="86"/>
      <x:c r="P173" s="32"/>
    </x:row>
    <x:row r="174">
      <x:c r="A174" s="87"/>
      <x:c r="D174" s="32"/>
      <x:c r="I174" s="74"/>
      <x:c r="J174" s="74"/>
      <x:c r="K174" s="74"/>
      <x:c r="L174" s="74"/>
      <x:c r="M174" s="85"/>
      <x:c r="O174" s="86"/>
      <x:c r="P174" s="32"/>
    </x:row>
    <x:row r="175">
      <x:c r="A175" s="87"/>
      <x:c r="D175" s="32"/>
      <x:c r="I175" s="74"/>
      <x:c r="J175" s="74"/>
      <x:c r="K175" s="74"/>
      <x:c r="L175" s="74"/>
      <x:c r="M175" s="85"/>
      <x:c r="O175" s="86"/>
      <x:c r="P175" s="32"/>
    </x:row>
    <x:row r="176">
      <x:c r="A176" s="87"/>
      <x:c r="D176" s="32"/>
      <x:c r="I176" s="74"/>
      <x:c r="J176" s="74"/>
      <x:c r="K176" s="74"/>
      <x:c r="L176" s="74"/>
      <x:c r="M176" s="85"/>
      <x:c r="O176" s="86"/>
      <x:c r="P176" s="32"/>
    </x:row>
    <x:row r="177">
      <x:c r="A177" s="87"/>
      <x:c r="D177" s="32"/>
      <x:c r="I177" s="74"/>
      <x:c r="J177" s="74"/>
      <x:c r="K177" s="74"/>
      <x:c r="L177" s="74"/>
      <x:c r="M177" s="85"/>
      <x:c r="O177" s="86"/>
      <x:c r="P177" s="32"/>
    </x:row>
    <x:row r="178">
      <x:c r="A178" s="87"/>
      <x:c r="D178" s="32"/>
      <x:c r="I178" s="74"/>
      <x:c r="J178" s="74"/>
      <x:c r="K178" s="74"/>
      <x:c r="L178" s="74"/>
      <x:c r="M178" s="85"/>
      <x:c r="O178" s="86"/>
      <x:c r="P178" s="32"/>
    </x:row>
    <x:row r="179">
      <x:c r="A179" s="87"/>
      <x:c r="D179" s="32"/>
      <x:c r="I179" s="74"/>
      <x:c r="J179" s="74"/>
      <x:c r="K179" s="74"/>
      <x:c r="L179" s="74"/>
      <x:c r="M179" s="85"/>
      <x:c r="O179" s="86"/>
      <x:c r="P179" s="32"/>
    </x:row>
    <x:row r="180">
      <x:c r="A180" s="87"/>
      <x:c r="D180" s="32"/>
      <x:c r="I180" s="74"/>
      <x:c r="J180" s="74"/>
      <x:c r="K180" s="74"/>
      <x:c r="L180" s="74"/>
      <x:c r="M180" s="85"/>
      <x:c r="O180" s="86"/>
      <x:c r="P180" s="32"/>
    </x:row>
    <x:row r="181">
      <x:c r="A181" s="87"/>
      <x:c r="D181" s="32"/>
      <x:c r="I181" s="74"/>
      <x:c r="J181" s="74"/>
      <x:c r="K181" s="74"/>
      <x:c r="L181" s="74"/>
      <x:c r="M181" s="85"/>
      <x:c r="O181" s="86"/>
      <x:c r="P181" s="32"/>
    </x:row>
    <x:row r="182">
      <x:c r="A182" s="87"/>
      <x:c r="D182" s="32"/>
      <x:c r="I182" s="74"/>
      <x:c r="J182" s="74"/>
      <x:c r="K182" s="74"/>
      <x:c r="L182" s="74"/>
      <x:c r="M182" s="85"/>
      <x:c r="O182" s="86"/>
      <x:c r="P182" s="32"/>
    </x:row>
    <x:row r="183">
      <x:c r="A183" s="87"/>
      <x:c r="D183" s="32"/>
      <x:c r="I183" s="74"/>
      <x:c r="J183" s="74"/>
      <x:c r="K183" s="74"/>
      <x:c r="L183" s="74"/>
      <x:c r="M183" s="85"/>
      <x:c r="O183" s="86"/>
      <x:c r="P183" s="32"/>
    </x:row>
    <x:row r="184">
      <x:c r="A184" s="87"/>
      <x:c r="D184" s="32"/>
      <x:c r="I184" s="74"/>
      <x:c r="J184" s="74"/>
      <x:c r="K184" s="74"/>
      <x:c r="L184" s="74"/>
      <x:c r="M184" s="85"/>
      <x:c r="O184" s="86"/>
      <x:c r="P184" s="32"/>
    </x:row>
    <x:row r="185">
      <x:c r="A185" s="87"/>
      <x:c r="D185" s="32"/>
      <x:c r="I185" s="74"/>
      <x:c r="J185" s="74"/>
      <x:c r="K185" s="74"/>
      <x:c r="L185" s="74"/>
      <x:c r="M185" s="85"/>
      <x:c r="O185" s="86"/>
      <x:c r="P185" s="32"/>
    </x:row>
    <x:row r="186">
      <x:c r="A186" s="87"/>
      <x:c r="D186" s="32"/>
      <x:c r="I186" s="74"/>
      <x:c r="J186" s="74"/>
      <x:c r="K186" s="74"/>
      <x:c r="L186" s="74"/>
      <x:c r="M186" s="85"/>
      <x:c r="O186" s="86"/>
      <x:c r="P186" s="32"/>
    </x:row>
    <x:row r="187">
      <x:c r="A187" s="87"/>
      <x:c r="D187" s="32"/>
      <x:c r="I187" s="74"/>
      <x:c r="J187" s="74"/>
      <x:c r="K187" s="74"/>
      <x:c r="L187" s="74"/>
      <x:c r="M187" s="85"/>
      <x:c r="O187" s="86"/>
      <x:c r="P187" s="32"/>
    </x:row>
    <x:row r="188">
      <x:c r="A188" s="87"/>
      <x:c r="D188" s="32"/>
      <x:c r="I188" s="74"/>
      <x:c r="J188" s="74"/>
      <x:c r="K188" s="74"/>
      <x:c r="L188" s="74"/>
      <x:c r="M188" s="85"/>
      <x:c r="O188" s="86"/>
      <x:c r="P188" s="32"/>
    </x:row>
    <x:row r="189">
      <x:c r="A189" s="87"/>
      <x:c r="D189" s="32"/>
      <x:c r="I189" s="74"/>
      <x:c r="J189" s="74"/>
      <x:c r="K189" s="74"/>
      <x:c r="L189" s="74"/>
      <x:c r="M189" s="85"/>
      <x:c r="O189" s="86"/>
      <x:c r="P189" s="32"/>
    </x:row>
    <x:row r="190">
      <x:c r="A190" s="87"/>
      <x:c r="D190" s="32"/>
      <x:c r="I190" s="74"/>
      <x:c r="J190" s="74"/>
      <x:c r="K190" s="74"/>
      <x:c r="L190" s="74"/>
      <x:c r="M190" s="85"/>
      <x:c r="O190" s="86"/>
      <x:c r="P190" s="32"/>
    </x:row>
    <x:row r="191">
      <x:c r="A191" s="87"/>
      <x:c r="D191" s="32"/>
      <x:c r="I191" s="74"/>
      <x:c r="J191" s="74"/>
      <x:c r="K191" s="74"/>
      <x:c r="L191" s="74"/>
      <x:c r="M191" s="85"/>
      <x:c r="O191" s="86"/>
      <x:c r="P191" s="32"/>
    </x:row>
    <x:row r="192">
      <x:c r="A192" s="87"/>
      <x:c r="D192" s="32"/>
      <x:c r="I192" s="74"/>
      <x:c r="J192" s="74"/>
      <x:c r="K192" s="74"/>
      <x:c r="L192" s="74"/>
      <x:c r="M192" s="85"/>
      <x:c r="O192" s="86"/>
      <x:c r="P192" s="32"/>
    </x:row>
    <x:row r="193">
      <x:c r="A193" s="87"/>
      <x:c r="D193" s="32"/>
      <x:c r="I193" s="74"/>
      <x:c r="J193" s="74"/>
      <x:c r="K193" s="74"/>
      <x:c r="L193" s="74"/>
      <x:c r="M193" s="85"/>
      <x:c r="O193" s="86"/>
      <x:c r="P193" s="32"/>
    </x:row>
    <x:row r="194">
      <x:c r="A194" s="87"/>
      <x:c r="D194" s="32"/>
      <x:c r="I194" s="74"/>
      <x:c r="J194" s="74"/>
      <x:c r="K194" s="74"/>
      <x:c r="L194" s="74"/>
      <x:c r="M194" s="85"/>
      <x:c r="O194" s="86"/>
      <x:c r="P194" s="32"/>
    </x:row>
    <x:row r="195">
      <x:c r="A195" s="87"/>
      <x:c r="D195" s="32"/>
      <x:c r="I195" s="74"/>
      <x:c r="J195" s="74"/>
      <x:c r="K195" s="74"/>
      <x:c r="L195" s="74"/>
      <x:c r="M195" s="85"/>
      <x:c r="O195" s="86"/>
      <x:c r="P195" s="32"/>
    </x:row>
    <x:row r="196">
      <x:c r="A196" s="87"/>
      <x:c r="D196" s="32"/>
      <x:c r="I196" s="74"/>
      <x:c r="J196" s="74"/>
      <x:c r="K196" s="74"/>
      <x:c r="L196" s="74"/>
      <x:c r="M196" s="85"/>
      <x:c r="O196" s="86"/>
      <x:c r="P196" s="32"/>
    </x:row>
    <x:row r="197">
      <x:c r="A197" s="87"/>
      <x:c r="D197" s="32"/>
      <x:c r="I197" s="74"/>
      <x:c r="J197" s="74"/>
      <x:c r="K197" s="74"/>
      <x:c r="L197" s="74"/>
      <x:c r="M197" s="85"/>
      <x:c r="O197" s="86"/>
      <x:c r="P197" s="32"/>
    </x:row>
    <x:row r="198">
      <x:c r="A198" s="87"/>
      <x:c r="D198" s="32"/>
      <x:c r="I198" s="74"/>
      <x:c r="J198" s="74"/>
      <x:c r="K198" s="74"/>
      <x:c r="L198" s="74"/>
      <x:c r="M198" s="85"/>
      <x:c r="O198" s="86"/>
      <x:c r="P198" s="32"/>
    </x:row>
    <x:row r="199">
      <x:c r="A199" s="87"/>
      <x:c r="D199" s="32"/>
      <x:c r="I199" s="74"/>
      <x:c r="J199" s="74"/>
      <x:c r="K199" s="74"/>
      <x:c r="L199" s="74"/>
      <x:c r="M199" s="85"/>
      <x:c r="O199" s="86"/>
      <x:c r="P199" s="32"/>
    </x:row>
    <x:row r="200">
      <x:c r="A200" s="87"/>
      <x:c r="D200" s="32"/>
      <x:c r="I200" s="74"/>
      <x:c r="J200" s="74"/>
      <x:c r="K200" s="74"/>
      <x:c r="L200" s="74"/>
      <x:c r="M200" s="85"/>
      <x:c r="O200" s="86"/>
      <x:c r="P200" s="32"/>
    </x:row>
    <x:row r="201">
      <x:c r="A201" s="87"/>
      <x:c r="D201" s="32"/>
      <x:c r="I201" s="74"/>
      <x:c r="J201" s="74"/>
      <x:c r="K201" s="74"/>
      <x:c r="L201" s="74"/>
      <x:c r="M201" s="85"/>
      <x:c r="O201" s="86"/>
      <x:c r="P201" s="32"/>
    </x:row>
    <x:row r="202">
      <x:c r="A202" s="87"/>
      <x:c r="D202" s="32"/>
      <x:c r="I202" s="74"/>
      <x:c r="J202" s="74"/>
      <x:c r="K202" s="74"/>
      <x:c r="L202" s="74"/>
      <x:c r="M202" s="85"/>
      <x:c r="O202" s="86"/>
      <x:c r="P202" s="32"/>
    </x:row>
    <x:row r="203">
      <x:c r="A203" s="87"/>
      <x:c r="D203" s="32"/>
      <x:c r="I203" s="74"/>
      <x:c r="J203" s="74"/>
      <x:c r="K203" s="74"/>
      <x:c r="L203" s="74"/>
      <x:c r="M203" s="85"/>
      <x:c r="O203" s="86"/>
      <x:c r="P203" s="32"/>
    </x:row>
    <x:row r="204">
      <x:c r="A204" s="87"/>
      <x:c r="D204" s="32"/>
      <x:c r="I204" s="74"/>
      <x:c r="J204" s="74"/>
      <x:c r="K204" s="74"/>
      <x:c r="L204" s="74"/>
      <x:c r="M204" s="85"/>
      <x:c r="O204" s="86"/>
      <x:c r="P204" s="32"/>
    </x:row>
    <x:row r="205">
      <x:c r="A205" s="87"/>
      <x:c r="D205" s="32"/>
      <x:c r="I205" s="74"/>
      <x:c r="J205" s="74"/>
      <x:c r="K205" s="74"/>
      <x:c r="L205" s="74"/>
      <x:c r="M205" s="85"/>
      <x:c r="O205" s="86"/>
      <x:c r="P205" s="32"/>
    </x:row>
    <x:row r="206">
      <x:c r="A206" s="87"/>
      <x:c r="D206" s="32"/>
      <x:c r="I206" s="74"/>
      <x:c r="J206" s="74"/>
      <x:c r="K206" s="74"/>
      <x:c r="L206" s="74"/>
      <x:c r="M206" s="85"/>
      <x:c r="O206" s="86"/>
      <x:c r="P206" s="32"/>
    </x:row>
    <x:row r="207">
      <x:c r="A207" s="87"/>
      <x:c r="D207" s="32"/>
      <x:c r="I207" s="74"/>
      <x:c r="J207" s="74"/>
      <x:c r="K207" s="74"/>
      <x:c r="L207" s="74"/>
      <x:c r="M207" s="85"/>
      <x:c r="O207" s="86"/>
      <x:c r="P207" s="32"/>
    </x:row>
    <x:row r="208">
      <x:c r="A208" s="87"/>
      <x:c r="D208" s="32"/>
      <x:c r="I208" s="74"/>
      <x:c r="J208" s="74"/>
      <x:c r="K208" s="74"/>
      <x:c r="L208" s="74"/>
      <x:c r="M208" s="85"/>
      <x:c r="O208" s="86"/>
      <x:c r="P208" s="32"/>
    </x:row>
    <x:row r="209">
      <x:c r="A209" s="87"/>
      <x:c r="D209" s="32"/>
      <x:c r="I209" s="74"/>
      <x:c r="J209" s="74"/>
      <x:c r="K209" s="74"/>
      <x:c r="L209" s="74"/>
      <x:c r="M209" s="85"/>
      <x:c r="O209" s="86"/>
      <x:c r="P209" s="32"/>
    </x:row>
    <x:row r="210">
      <x:c r="A210" s="87"/>
      <x:c r="D210" s="32"/>
      <x:c r="I210" s="74"/>
      <x:c r="J210" s="74"/>
      <x:c r="K210" s="74"/>
      <x:c r="L210" s="74"/>
      <x:c r="M210" s="85"/>
      <x:c r="O210" s="86"/>
      <x:c r="P210" s="32"/>
    </x:row>
    <x:row r="211">
      <x:c r="A211" s="87"/>
      <x:c r="D211" s="32"/>
      <x:c r="I211" s="74"/>
      <x:c r="J211" s="74"/>
      <x:c r="K211" s="74"/>
      <x:c r="L211" s="74"/>
      <x:c r="M211" s="85"/>
      <x:c r="O211" s="86"/>
      <x:c r="P211" s="32"/>
    </x:row>
    <x:row r="212">
      <x:c r="A212" s="87"/>
      <x:c r="D212" s="32"/>
      <x:c r="I212" s="74"/>
      <x:c r="J212" s="74"/>
      <x:c r="K212" s="74"/>
      <x:c r="L212" s="74"/>
      <x:c r="M212" s="85"/>
      <x:c r="O212" s="86"/>
      <x:c r="P212" s="32"/>
    </x:row>
    <x:row r="213">
      <x:c r="A213" s="87"/>
      <x:c r="D213" s="32"/>
      <x:c r="I213" s="74"/>
      <x:c r="J213" s="74"/>
      <x:c r="K213" s="74"/>
      <x:c r="L213" s="74"/>
      <x:c r="M213" s="85"/>
      <x:c r="O213" s="86"/>
      <x:c r="P213" s="32"/>
    </x:row>
    <x:row r="214">
      <x:c r="A214" s="87"/>
      <x:c r="D214" s="32"/>
      <x:c r="I214" s="74"/>
      <x:c r="J214" s="74"/>
      <x:c r="K214" s="74"/>
      <x:c r="L214" s="74"/>
      <x:c r="M214" s="85"/>
      <x:c r="O214" s="86"/>
      <x:c r="P214" s="32"/>
    </x:row>
    <x:row r="215">
      <x:c r="A215" s="87"/>
      <x:c r="D215" s="32"/>
      <x:c r="I215" s="74"/>
      <x:c r="J215" s="74"/>
      <x:c r="K215" s="74"/>
      <x:c r="L215" s="74"/>
      <x:c r="M215" s="85"/>
      <x:c r="O215" s="86"/>
      <x:c r="P215" s="32"/>
    </x:row>
    <x:row r="216">
      <x:c r="A216" s="87"/>
      <x:c r="D216" s="32"/>
      <x:c r="I216" s="74"/>
      <x:c r="J216" s="74"/>
      <x:c r="K216" s="74"/>
      <x:c r="L216" s="74"/>
      <x:c r="M216" s="85"/>
      <x:c r="O216" s="86"/>
      <x:c r="P216" s="32"/>
    </x:row>
    <x:row r="217">
      <x:c r="A217" s="87"/>
      <x:c r="D217" s="32"/>
      <x:c r="I217" s="74"/>
      <x:c r="J217" s="74"/>
      <x:c r="K217" s="74"/>
      <x:c r="L217" s="74"/>
      <x:c r="M217" s="85"/>
      <x:c r="O217" s="86"/>
      <x:c r="P217" s="32"/>
    </x:row>
    <x:row r="218">
      <x:c r="A218" s="87"/>
      <x:c r="D218" s="32"/>
      <x:c r="I218" s="74"/>
      <x:c r="J218" s="74"/>
      <x:c r="K218" s="74"/>
      <x:c r="L218" s="74"/>
      <x:c r="M218" s="85"/>
      <x:c r="O218" s="86"/>
      <x:c r="P218" s="32"/>
    </x:row>
    <x:row r="219">
      <x:c r="A219" s="87"/>
      <x:c r="D219" s="32"/>
      <x:c r="I219" s="74"/>
      <x:c r="J219" s="74"/>
      <x:c r="K219" s="74"/>
      <x:c r="L219" s="74"/>
      <x:c r="M219" s="85"/>
      <x:c r="O219" s="86"/>
      <x:c r="P219" s="32"/>
    </x:row>
    <x:row r="220">
      <x:c r="A220" s="87"/>
      <x:c r="D220" s="32"/>
      <x:c r="I220" s="74"/>
      <x:c r="J220" s="74"/>
      <x:c r="K220" s="74"/>
      <x:c r="L220" s="74"/>
      <x:c r="M220" s="85"/>
      <x:c r="O220" s="86"/>
      <x:c r="P220" s="32"/>
    </x:row>
    <x:row r="221">
      <x:c r="A221" s="87"/>
      <x:c r="D221" s="32"/>
      <x:c r="I221" s="74"/>
      <x:c r="J221" s="74"/>
      <x:c r="K221" s="74"/>
      <x:c r="L221" s="74"/>
      <x:c r="M221" s="85"/>
      <x:c r="O221" s="86"/>
      <x:c r="P221" s="32"/>
    </x:row>
    <x:row r="222">
      <x:c r="A222" s="87"/>
      <x:c r="D222" s="32"/>
      <x:c r="I222" s="74"/>
      <x:c r="J222" s="74"/>
      <x:c r="K222" s="74"/>
      <x:c r="L222" s="74"/>
      <x:c r="M222" s="85"/>
      <x:c r="O222" s="86"/>
      <x:c r="P222" s="32"/>
    </x:row>
    <x:row r="223">
      <x:c r="A223" s="87"/>
      <x:c r="D223" s="32"/>
      <x:c r="I223" s="74"/>
      <x:c r="J223" s="74"/>
      <x:c r="K223" s="74"/>
      <x:c r="L223" s="74"/>
      <x:c r="M223" s="85"/>
      <x:c r="O223" s="86"/>
      <x:c r="P223" s="32"/>
    </x:row>
    <x:row r="224">
      <x:c r="A224" s="87"/>
      <x:c r="D224" s="32"/>
      <x:c r="I224" s="74"/>
      <x:c r="J224" s="74"/>
      <x:c r="K224" s="74"/>
      <x:c r="L224" s="74"/>
      <x:c r="M224" s="85"/>
      <x:c r="O224" s="86"/>
      <x:c r="P224" s="32"/>
    </x:row>
    <x:row r="225">
      <x:c r="A225" s="87"/>
      <x:c r="D225" s="32"/>
      <x:c r="I225" s="74"/>
      <x:c r="J225" s="74"/>
      <x:c r="K225" s="74"/>
      <x:c r="L225" s="74"/>
      <x:c r="M225" s="85"/>
      <x:c r="O225" s="86"/>
      <x:c r="P225" s="32"/>
    </x:row>
    <x:row r="226">
      <x:c r="A226" s="87"/>
      <x:c r="D226" s="32"/>
      <x:c r="I226" s="74"/>
      <x:c r="J226" s="74"/>
      <x:c r="K226" s="74"/>
      <x:c r="L226" s="74"/>
      <x:c r="M226" s="85"/>
      <x:c r="O226" s="86"/>
      <x:c r="P226" s="32"/>
    </x:row>
    <x:row r="227">
      <x:c r="A227" s="87"/>
      <x:c r="D227" s="32"/>
      <x:c r="I227" s="74"/>
      <x:c r="J227" s="74"/>
      <x:c r="K227" s="74"/>
      <x:c r="L227" s="74"/>
      <x:c r="M227" s="85"/>
      <x:c r="O227" s="86"/>
      <x:c r="P227" s="32"/>
    </x:row>
    <x:row r="228">
      <x:c r="A228" s="87"/>
      <x:c r="D228" s="32"/>
      <x:c r="I228" s="74"/>
      <x:c r="J228" s="74"/>
      <x:c r="K228" s="74"/>
      <x:c r="L228" s="74"/>
      <x:c r="M228" s="85"/>
      <x:c r="O228" s="86"/>
      <x:c r="P228" s="32"/>
    </x:row>
    <x:row r="229">
      <x:c r="A229" s="87"/>
      <x:c r="D229" s="32"/>
      <x:c r="I229" s="74"/>
      <x:c r="J229" s="74"/>
      <x:c r="K229" s="74"/>
      <x:c r="L229" s="74"/>
      <x:c r="M229" s="85"/>
      <x:c r="O229" s="86"/>
      <x:c r="P229" s="32"/>
    </x:row>
    <x:row r="230">
      <x:c r="A230" s="87"/>
      <x:c r="D230" s="32"/>
      <x:c r="I230" s="74"/>
      <x:c r="J230" s="74"/>
      <x:c r="K230" s="74"/>
      <x:c r="L230" s="74"/>
      <x:c r="M230" s="85"/>
      <x:c r="O230" s="86"/>
      <x:c r="P230" s="32"/>
    </x:row>
    <x:row r="231">
      <x:c r="A231" s="87"/>
      <x:c r="D231" s="32"/>
      <x:c r="I231" s="74"/>
      <x:c r="J231" s="74"/>
      <x:c r="K231" s="74"/>
      <x:c r="L231" s="74"/>
      <x:c r="M231" s="85"/>
      <x:c r="O231" s="86"/>
      <x:c r="P231" s="32"/>
    </x:row>
    <x:row r="232">
      <x:c r="A232" s="87"/>
      <x:c r="D232" s="32"/>
      <x:c r="I232" s="74"/>
      <x:c r="J232" s="74"/>
      <x:c r="K232" s="74"/>
      <x:c r="L232" s="74"/>
      <x:c r="M232" s="85"/>
      <x:c r="O232" s="86"/>
      <x:c r="P232" s="32"/>
    </x:row>
    <x:row r="233">
      <x:c r="A233" s="87"/>
      <x:c r="D233" s="32"/>
      <x:c r="I233" s="74"/>
      <x:c r="J233" s="74"/>
      <x:c r="K233" s="74"/>
      <x:c r="L233" s="74"/>
      <x:c r="M233" s="85"/>
      <x:c r="O233" s="86"/>
      <x:c r="P233" s="32"/>
    </x:row>
    <x:row r="234">
      <x:c r="A234" s="87"/>
      <x:c r="D234" s="32"/>
      <x:c r="I234" s="74"/>
      <x:c r="J234" s="74"/>
      <x:c r="K234" s="74"/>
      <x:c r="L234" s="74"/>
      <x:c r="M234" s="85"/>
      <x:c r="O234" s="86"/>
      <x:c r="P234" s="32"/>
    </x:row>
    <x:row r="235">
      <x:c r="A235" s="87"/>
      <x:c r="D235" s="32"/>
      <x:c r="I235" s="74"/>
      <x:c r="J235" s="74"/>
      <x:c r="K235" s="74"/>
      <x:c r="L235" s="74"/>
      <x:c r="M235" s="85"/>
      <x:c r="O235" s="86"/>
      <x:c r="P235" s="32"/>
    </x:row>
    <x:row r="236">
      <x:c r="A236" s="87"/>
      <x:c r="D236" s="32"/>
      <x:c r="I236" s="74"/>
      <x:c r="J236" s="74"/>
      <x:c r="K236" s="74"/>
      <x:c r="L236" s="74"/>
      <x:c r="M236" s="85"/>
      <x:c r="O236" s="86"/>
      <x:c r="P236" s="32"/>
    </x:row>
    <x:row r="237">
      <x:c r="A237" s="87"/>
      <x:c r="D237" s="32"/>
      <x:c r="I237" s="74"/>
      <x:c r="J237" s="74"/>
      <x:c r="K237" s="74"/>
      <x:c r="L237" s="74"/>
      <x:c r="M237" s="85"/>
      <x:c r="O237" s="86"/>
      <x:c r="P237" s="32"/>
    </x:row>
    <x:row r="238">
      <x:c r="A238" s="87"/>
      <x:c r="D238" s="32"/>
      <x:c r="I238" s="74"/>
      <x:c r="J238" s="74"/>
      <x:c r="K238" s="74"/>
      <x:c r="L238" s="74"/>
      <x:c r="M238" s="85"/>
      <x:c r="O238" s="86"/>
      <x:c r="P238" s="32"/>
    </x:row>
    <x:row r="239">
      <x:c r="A239" s="87"/>
      <x:c r="D239" s="32"/>
      <x:c r="I239" s="74"/>
      <x:c r="J239" s="74"/>
      <x:c r="K239" s="74"/>
      <x:c r="L239" s="74"/>
      <x:c r="M239" s="85"/>
      <x:c r="O239" s="86"/>
      <x:c r="P239" s="32"/>
    </x:row>
    <x:row r="240">
      <x:c r="A240" s="87"/>
      <x:c r="D240" s="32"/>
      <x:c r="I240" s="74"/>
      <x:c r="J240" s="74"/>
      <x:c r="K240" s="74"/>
      <x:c r="L240" s="74"/>
      <x:c r="M240" s="85"/>
      <x:c r="O240" s="86"/>
      <x:c r="P240" s="32"/>
    </x:row>
    <x:row r="241">
      <x:c r="A241" s="87"/>
      <x:c r="D241" s="32"/>
      <x:c r="I241" s="74"/>
      <x:c r="J241" s="74"/>
      <x:c r="K241" s="74"/>
      <x:c r="L241" s="74"/>
      <x:c r="M241" s="85"/>
      <x:c r="O241" s="86"/>
      <x:c r="P241" s="32"/>
    </x:row>
    <x:row r="242">
      <x:c r="A242" s="87"/>
      <x:c r="D242" s="32"/>
      <x:c r="I242" s="74"/>
      <x:c r="J242" s="74"/>
      <x:c r="K242" s="74"/>
      <x:c r="L242" s="74"/>
      <x:c r="M242" s="85"/>
      <x:c r="O242" s="86"/>
      <x:c r="P242" s="32"/>
    </x:row>
    <x:row r="243">
      <x:c r="A243" s="87"/>
      <x:c r="D243" s="32"/>
      <x:c r="I243" s="74"/>
      <x:c r="J243" s="74"/>
      <x:c r="K243" s="74"/>
      <x:c r="L243" s="74"/>
      <x:c r="M243" s="85"/>
      <x:c r="O243" s="86"/>
      <x:c r="P243" s="32"/>
    </x:row>
    <x:row r="244">
      <x:c r="A244" s="87"/>
      <x:c r="D244" s="32"/>
      <x:c r="I244" s="74"/>
      <x:c r="J244" s="74"/>
      <x:c r="K244" s="74"/>
      <x:c r="L244" s="74"/>
      <x:c r="M244" s="85"/>
      <x:c r="O244" s="86"/>
      <x:c r="P244" s="32"/>
    </x:row>
    <x:row r="245">
      <x:c r="A245" s="87"/>
      <x:c r="D245" s="32"/>
      <x:c r="I245" s="74"/>
      <x:c r="J245" s="74"/>
      <x:c r="K245" s="74"/>
      <x:c r="L245" s="74"/>
      <x:c r="M245" s="85"/>
      <x:c r="O245" s="86"/>
      <x:c r="P245" s="32"/>
    </x:row>
    <x:row r="246">
      <x:c r="A246" s="87"/>
      <x:c r="D246" s="32"/>
      <x:c r="I246" s="74"/>
      <x:c r="J246" s="74"/>
      <x:c r="K246" s="74"/>
      <x:c r="L246" s="74"/>
      <x:c r="M246" s="85"/>
      <x:c r="O246" s="86"/>
      <x:c r="P246" s="32"/>
    </x:row>
    <x:row r="247">
      <x:c r="A247" s="87"/>
      <x:c r="D247" s="32"/>
      <x:c r="I247" s="74"/>
      <x:c r="J247" s="74"/>
      <x:c r="K247" s="74"/>
      <x:c r="L247" s="74"/>
      <x:c r="M247" s="85"/>
      <x:c r="O247" s="86"/>
      <x:c r="P247" s="32"/>
    </x:row>
    <x:row r="248">
      <x:c r="A248" s="87"/>
      <x:c r="D248" s="32"/>
      <x:c r="I248" s="74"/>
      <x:c r="J248" s="74"/>
      <x:c r="K248" s="74"/>
      <x:c r="L248" s="74"/>
      <x:c r="M248" s="85"/>
      <x:c r="O248" s="86"/>
      <x:c r="P248" s="32"/>
    </x:row>
    <x:row r="249">
      <x:c r="A249" s="87"/>
      <x:c r="D249" s="32"/>
      <x:c r="I249" s="74"/>
      <x:c r="J249" s="74"/>
      <x:c r="K249" s="74"/>
      <x:c r="L249" s="74"/>
      <x:c r="M249" s="85"/>
      <x:c r="O249" s="86"/>
      <x:c r="P249" s="32"/>
    </x:row>
    <x:row r="250">
      <x:c r="A250" s="87"/>
      <x:c r="D250" s="32"/>
      <x:c r="I250" s="74"/>
      <x:c r="J250" s="74"/>
      <x:c r="K250" s="74"/>
      <x:c r="L250" s="74"/>
      <x:c r="M250" s="85"/>
      <x:c r="O250" s="86"/>
      <x:c r="P250" s="32"/>
    </x:row>
    <x:row r="251">
      <x:c r="A251" s="87"/>
      <x:c r="D251" s="32"/>
      <x:c r="I251" s="74"/>
      <x:c r="J251" s="74"/>
      <x:c r="K251" s="74"/>
      <x:c r="L251" s="74"/>
      <x:c r="M251" s="85"/>
      <x:c r="O251" s="86"/>
      <x:c r="P251" s="32"/>
    </x:row>
    <x:row r="252">
      <x:c r="A252" s="87"/>
      <x:c r="D252" s="32"/>
      <x:c r="I252" s="74"/>
      <x:c r="J252" s="74"/>
      <x:c r="K252" s="74"/>
      <x:c r="L252" s="74"/>
      <x:c r="M252" s="85"/>
      <x:c r="O252" s="86"/>
      <x:c r="P252" s="32"/>
    </x:row>
    <x:row r="253">
      <x:c r="A253" s="87"/>
      <x:c r="D253" s="32"/>
      <x:c r="I253" s="74"/>
      <x:c r="J253" s="74"/>
      <x:c r="K253" s="74"/>
      <x:c r="L253" s="74"/>
      <x:c r="M253" s="85"/>
      <x:c r="O253" s="86"/>
      <x:c r="P253" s="32"/>
    </x:row>
    <x:row r="254">
      <x:c r="A254" s="87"/>
      <x:c r="D254" s="32"/>
      <x:c r="I254" s="74"/>
      <x:c r="J254" s="74"/>
      <x:c r="K254" s="74"/>
      <x:c r="L254" s="74"/>
      <x:c r="M254" s="85"/>
      <x:c r="O254" s="86"/>
      <x:c r="P254" s="32"/>
    </x:row>
    <x:row r="255">
      <x:c r="A255" s="87"/>
      <x:c r="D255" s="32"/>
      <x:c r="I255" s="74"/>
      <x:c r="J255" s="74"/>
      <x:c r="K255" s="74"/>
      <x:c r="L255" s="74"/>
      <x:c r="M255" s="85"/>
      <x:c r="O255" s="86"/>
      <x:c r="P255" s="32"/>
    </x:row>
    <x:row r="256">
      <x:c r="A256" s="87"/>
      <x:c r="D256" s="32"/>
      <x:c r="I256" s="74"/>
      <x:c r="J256" s="74"/>
      <x:c r="K256" s="74"/>
      <x:c r="L256" s="74"/>
      <x:c r="M256" s="85"/>
      <x:c r="O256" s="86"/>
      <x:c r="P256" s="32"/>
    </x:row>
    <x:row r="257">
      <x:c r="A257" s="87"/>
      <x:c r="D257" s="32"/>
      <x:c r="I257" s="74"/>
      <x:c r="J257" s="74"/>
      <x:c r="K257" s="74"/>
      <x:c r="L257" s="74"/>
      <x:c r="M257" s="85"/>
      <x:c r="O257" s="86"/>
      <x:c r="P257" s="32"/>
    </x:row>
    <x:row r="258">
      <x:c r="A258" s="87"/>
      <x:c r="D258" s="32"/>
      <x:c r="I258" s="74"/>
      <x:c r="J258" s="74"/>
      <x:c r="K258" s="74"/>
      <x:c r="L258" s="74"/>
      <x:c r="M258" s="85"/>
      <x:c r="O258" s="86"/>
      <x:c r="P258" s="32"/>
    </x:row>
    <x:row r="259">
      <x:c r="A259" s="87"/>
      <x:c r="D259" s="32"/>
      <x:c r="I259" s="74"/>
      <x:c r="J259" s="74"/>
      <x:c r="K259" s="74"/>
      <x:c r="L259" s="74"/>
      <x:c r="M259" s="85"/>
      <x:c r="O259" s="86"/>
      <x:c r="P259" s="32"/>
    </x:row>
    <x:row r="260">
      <x:c r="A260" s="87"/>
      <x:c r="D260" s="32"/>
      <x:c r="I260" s="74"/>
      <x:c r="J260" s="74"/>
      <x:c r="K260" s="74"/>
      <x:c r="L260" s="74"/>
      <x:c r="M260" s="85"/>
      <x:c r="O260" s="86"/>
      <x:c r="P260" s="32"/>
    </x:row>
    <x:row r="261">
      <x:c r="A261" s="87"/>
      <x:c r="D261" s="32"/>
      <x:c r="I261" s="74"/>
      <x:c r="J261" s="74"/>
      <x:c r="K261" s="74"/>
      <x:c r="L261" s="74"/>
      <x:c r="M261" s="85"/>
      <x:c r="O261" s="86"/>
      <x:c r="P261" s="32"/>
    </x:row>
    <x:row r="262">
      <x:c r="A262" s="87"/>
      <x:c r="D262" s="32"/>
      <x:c r="I262" s="74"/>
      <x:c r="J262" s="74"/>
      <x:c r="K262" s="74"/>
      <x:c r="L262" s="74"/>
      <x:c r="M262" s="85"/>
      <x:c r="O262" s="86"/>
      <x:c r="P262" s="32"/>
    </x:row>
    <x:row r="263">
      <x:c r="A263" s="87"/>
      <x:c r="D263" s="32"/>
      <x:c r="I263" s="74"/>
      <x:c r="J263" s="74"/>
      <x:c r="K263" s="74"/>
      <x:c r="L263" s="74"/>
      <x:c r="M263" s="85"/>
      <x:c r="O263" s="86"/>
      <x:c r="P263" s="32"/>
    </x:row>
    <x:row r="264">
      <x:c r="A264" s="87"/>
      <x:c r="D264" s="32"/>
      <x:c r="I264" s="74"/>
      <x:c r="J264" s="74"/>
      <x:c r="K264" s="74"/>
      <x:c r="L264" s="74"/>
      <x:c r="M264" s="85"/>
      <x:c r="O264" s="86"/>
      <x:c r="P264" s="32"/>
    </x:row>
    <x:row r="265">
      <x:c r="A265" s="87"/>
      <x:c r="D265" s="32"/>
      <x:c r="I265" s="74"/>
      <x:c r="J265" s="74"/>
      <x:c r="K265" s="74"/>
      <x:c r="L265" s="74"/>
      <x:c r="M265" s="85"/>
      <x:c r="O265" s="86"/>
      <x:c r="P265" s="32"/>
    </x:row>
    <x:row r="266">
      <x:c r="A266" s="87"/>
      <x:c r="D266" s="32"/>
      <x:c r="I266" s="74"/>
      <x:c r="J266" s="74"/>
      <x:c r="K266" s="74"/>
      <x:c r="L266" s="74"/>
      <x:c r="M266" s="85"/>
      <x:c r="O266" s="86"/>
      <x:c r="P266" s="32"/>
    </x:row>
    <x:row r="267">
      <x:c r="A267" s="87"/>
      <x:c r="D267" s="32"/>
      <x:c r="I267" s="74"/>
      <x:c r="J267" s="74"/>
      <x:c r="K267" s="74"/>
      <x:c r="L267" s="74"/>
      <x:c r="M267" s="85"/>
      <x:c r="O267" s="86"/>
      <x:c r="P267" s="32"/>
    </x:row>
    <x:row r="268">
      <x:c r="A268" s="87"/>
      <x:c r="D268" s="32"/>
      <x:c r="I268" s="74"/>
      <x:c r="J268" s="74"/>
      <x:c r="K268" s="74"/>
      <x:c r="L268" s="74"/>
      <x:c r="M268" s="85"/>
      <x:c r="O268" s="86"/>
      <x:c r="P268" s="32"/>
    </x:row>
    <x:row r="269">
      <x:c r="A269" s="87"/>
      <x:c r="D269" s="32"/>
      <x:c r="I269" s="74"/>
      <x:c r="J269" s="74"/>
      <x:c r="K269" s="74"/>
      <x:c r="L269" s="74"/>
      <x:c r="M269" s="85"/>
      <x:c r="O269" s="86"/>
      <x:c r="P269" s="32"/>
    </x:row>
    <x:row r="270">
      <x:c r="A270" s="87"/>
      <x:c r="D270" s="32"/>
      <x:c r="I270" s="74"/>
      <x:c r="J270" s="74"/>
      <x:c r="K270" s="74"/>
      <x:c r="L270" s="74"/>
      <x:c r="M270" s="85"/>
      <x:c r="O270" s="86"/>
      <x:c r="P270" s="32"/>
    </x:row>
    <x:row r="271">
      <x:c r="A271" s="87"/>
      <x:c r="D271" s="32"/>
      <x:c r="I271" s="74"/>
      <x:c r="J271" s="74"/>
      <x:c r="K271" s="74"/>
      <x:c r="L271" s="74"/>
      <x:c r="M271" s="85"/>
      <x:c r="O271" s="86"/>
      <x:c r="P271" s="32"/>
    </x:row>
    <x:row r="272">
      <x:c r="A272" s="87"/>
      <x:c r="D272" s="32"/>
      <x:c r="I272" s="74"/>
      <x:c r="J272" s="74"/>
      <x:c r="K272" s="74"/>
      <x:c r="L272" s="74"/>
      <x:c r="M272" s="85"/>
      <x:c r="O272" s="86"/>
      <x:c r="P272" s="32"/>
    </x:row>
    <x:row r="273">
      <x:c r="A273" s="87"/>
      <x:c r="D273" s="32"/>
      <x:c r="I273" s="74"/>
      <x:c r="J273" s="74"/>
      <x:c r="K273" s="74"/>
      <x:c r="L273" s="74"/>
      <x:c r="M273" s="85"/>
      <x:c r="O273" s="86"/>
      <x:c r="P273" s="32"/>
    </x:row>
    <x:row r="274">
      <x:c r="A274" s="87"/>
      <x:c r="D274" s="32"/>
      <x:c r="I274" s="74"/>
      <x:c r="J274" s="74"/>
      <x:c r="K274" s="74"/>
      <x:c r="L274" s="74"/>
      <x:c r="M274" s="85"/>
      <x:c r="O274" s="86"/>
      <x:c r="P274" s="32"/>
    </x:row>
    <x:row r="275">
      <x:c r="A275" s="87"/>
      <x:c r="D275" s="32"/>
      <x:c r="I275" s="74"/>
      <x:c r="J275" s="74"/>
      <x:c r="K275" s="74"/>
      <x:c r="L275" s="74"/>
      <x:c r="M275" s="85"/>
      <x:c r="O275" s="86"/>
      <x:c r="P275" s="32"/>
    </x:row>
    <x:row r="276">
      <x:c r="A276" s="87"/>
      <x:c r="D276" s="32"/>
      <x:c r="I276" s="74"/>
      <x:c r="J276" s="74"/>
      <x:c r="K276" s="74"/>
      <x:c r="L276" s="74"/>
      <x:c r="M276" s="85"/>
      <x:c r="O276" s="86"/>
      <x:c r="P276" s="32"/>
    </x:row>
    <x:row r="277">
      <x:c r="A277" s="87"/>
      <x:c r="D277" s="32"/>
      <x:c r="I277" s="74"/>
      <x:c r="J277" s="74"/>
      <x:c r="K277" s="74"/>
      <x:c r="L277" s="74"/>
      <x:c r="M277" s="85"/>
      <x:c r="O277" s="86"/>
      <x:c r="P277" s="32"/>
    </x:row>
    <x:row r="278">
      <x:c r="A278" s="87"/>
      <x:c r="D278" s="32"/>
      <x:c r="I278" s="74"/>
      <x:c r="J278" s="74"/>
      <x:c r="K278" s="74"/>
      <x:c r="L278" s="74"/>
      <x:c r="M278" s="85"/>
      <x:c r="O278" s="86"/>
      <x:c r="P278" s="32"/>
    </x:row>
    <x:row r="279">
      <x:c r="A279" s="87"/>
      <x:c r="D279" s="32"/>
      <x:c r="I279" s="74"/>
      <x:c r="J279" s="74"/>
      <x:c r="K279" s="74"/>
      <x:c r="L279" s="74"/>
      <x:c r="M279" s="85"/>
      <x:c r="O279" s="86"/>
      <x:c r="P279" s="32"/>
    </x:row>
    <x:row r="280">
      <x:c r="A280" s="87"/>
      <x:c r="D280" s="32"/>
      <x:c r="I280" s="74"/>
      <x:c r="J280" s="74"/>
      <x:c r="K280" s="74"/>
      <x:c r="L280" s="74"/>
      <x:c r="M280" s="85"/>
      <x:c r="O280" s="86"/>
      <x:c r="P280" s="32"/>
    </x:row>
    <x:row r="281">
      <x:c r="A281" s="87"/>
      <x:c r="D281" s="32"/>
      <x:c r="I281" s="74"/>
      <x:c r="J281" s="74"/>
      <x:c r="K281" s="74"/>
      <x:c r="L281" s="74"/>
      <x:c r="M281" s="85"/>
      <x:c r="O281" s="86"/>
      <x:c r="P281" s="32"/>
    </x:row>
    <x:row r="282">
      <x:c r="A282" s="87"/>
      <x:c r="D282" s="32"/>
      <x:c r="I282" s="74"/>
      <x:c r="J282" s="74"/>
      <x:c r="K282" s="74"/>
      <x:c r="L282" s="74"/>
      <x:c r="M282" s="85"/>
      <x:c r="O282" s="86"/>
      <x:c r="P282" s="32"/>
    </x:row>
    <x:row r="283">
      <x:c r="A283" s="87"/>
      <x:c r="D283" s="32"/>
      <x:c r="I283" s="74"/>
      <x:c r="J283" s="74"/>
      <x:c r="K283" s="74"/>
      <x:c r="L283" s="74"/>
      <x:c r="M283" s="85"/>
      <x:c r="O283" s="86"/>
      <x:c r="P283" s="32"/>
    </x:row>
    <x:row r="284">
      <x:c r="A284" s="87"/>
      <x:c r="D284" s="32"/>
      <x:c r="I284" s="74"/>
      <x:c r="J284" s="74"/>
      <x:c r="K284" s="74"/>
      <x:c r="L284" s="74"/>
      <x:c r="M284" s="85"/>
      <x:c r="O284" s="86"/>
      <x:c r="P284" s="32"/>
    </x:row>
    <x:row r="285">
      <x:c r="A285" s="87"/>
      <x:c r="D285" s="32"/>
      <x:c r="I285" s="74"/>
      <x:c r="J285" s="74"/>
      <x:c r="K285" s="74"/>
      <x:c r="L285" s="74"/>
      <x:c r="M285" s="85"/>
      <x:c r="O285" s="86"/>
      <x:c r="P285" s="32"/>
    </x:row>
    <x:row r="286">
      <x:c r="A286" s="87"/>
      <x:c r="D286" s="32"/>
      <x:c r="I286" s="74"/>
      <x:c r="J286" s="74"/>
      <x:c r="K286" s="74"/>
      <x:c r="L286" s="74"/>
      <x:c r="M286" s="85"/>
      <x:c r="O286" s="86"/>
      <x:c r="P286" s="32"/>
    </x:row>
    <x:row r="287">
      <x:c r="A287" s="87"/>
      <x:c r="D287" s="32"/>
      <x:c r="I287" s="74"/>
      <x:c r="J287" s="74"/>
      <x:c r="K287" s="74"/>
      <x:c r="L287" s="74"/>
      <x:c r="M287" s="85"/>
      <x:c r="O287" s="86"/>
      <x:c r="P287" s="32"/>
    </x:row>
    <x:row r="288">
      <x:c r="A288" s="87"/>
      <x:c r="D288" s="32"/>
      <x:c r="I288" s="74"/>
      <x:c r="J288" s="74"/>
      <x:c r="K288" s="74"/>
      <x:c r="L288" s="74"/>
      <x:c r="M288" s="85"/>
      <x:c r="O288" s="86"/>
      <x:c r="P288" s="32"/>
    </x:row>
    <x:row r="289">
      <x:c r="A289" s="87"/>
      <x:c r="D289" s="32"/>
      <x:c r="I289" s="74"/>
      <x:c r="J289" s="74"/>
      <x:c r="K289" s="74"/>
      <x:c r="L289" s="74"/>
      <x:c r="M289" s="85"/>
      <x:c r="O289" s="86"/>
      <x:c r="P289" s="32"/>
    </x:row>
    <x:row r="290">
      <x:c r="A290" s="87"/>
      <x:c r="D290" s="32"/>
      <x:c r="I290" s="74"/>
      <x:c r="J290" s="74"/>
      <x:c r="K290" s="74"/>
      <x:c r="L290" s="74"/>
      <x:c r="M290" s="85"/>
      <x:c r="O290" s="86"/>
      <x:c r="P290" s="32"/>
    </x:row>
    <x:row r="291">
      <x:c r="A291" s="87"/>
      <x:c r="D291" s="32"/>
      <x:c r="I291" s="74"/>
      <x:c r="J291" s="74"/>
      <x:c r="K291" s="74"/>
      <x:c r="L291" s="74"/>
      <x:c r="M291" s="85"/>
      <x:c r="O291" s="86"/>
      <x:c r="P291" s="32"/>
    </x:row>
    <x:row r="292">
      <x:c r="A292" s="87"/>
      <x:c r="D292" s="32"/>
      <x:c r="I292" s="74"/>
      <x:c r="J292" s="74"/>
      <x:c r="K292" s="74"/>
      <x:c r="L292" s="74"/>
      <x:c r="M292" s="85"/>
      <x:c r="O292" s="86"/>
      <x:c r="P292" s="32"/>
    </x:row>
    <x:row r="293">
      <x:c r="A293" s="87"/>
      <x:c r="D293" s="32"/>
      <x:c r="I293" s="74"/>
      <x:c r="J293" s="74"/>
      <x:c r="K293" s="74"/>
      <x:c r="L293" s="74"/>
      <x:c r="M293" s="85"/>
      <x:c r="O293" s="86"/>
      <x:c r="P293" s="32"/>
    </x:row>
    <x:row r="294">
      <x:c r="A294" s="87"/>
      <x:c r="D294" s="32"/>
      <x:c r="I294" s="74"/>
      <x:c r="J294" s="74"/>
      <x:c r="K294" s="74"/>
      <x:c r="L294" s="74"/>
      <x:c r="M294" s="85"/>
      <x:c r="O294" s="86"/>
      <x:c r="P294" s="32"/>
    </x:row>
    <x:row r="295">
      <x:c r="A295" s="87"/>
      <x:c r="D295" s="32"/>
      <x:c r="I295" s="74"/>
      <x:c r="J295" s="74"/>
      <x:c r="K295" s="74"/>
      <x:c r="L295" s="74"/>
      <x:c r="M295" s="85"/>
      <x:c r="O295" s="86"/>
      <x:c r="P295" s="32"/>
    </x:row>
    <x:row r="296">
      <x:c r="A296" s="87"/>
      <x:c r="D296" s="32"/>
      <x:c r="I296" s="74"/>
      <x:c r="J296" s="74"/>
      <x:c r="K296" s="74"/>
      <x:c r="L296" s="74"/>
      <x:c r="M296" s="85"/>
      <x:c r="O296" s="86"/>
      <x:c r="P296" s="32"/>
    </x:row>
    <x:row r="297">
      <x:c r="A297" s="87"/>
      <x:c r="D297" s="32"/>
      <x:c r="I297" s="74"/>
      <x:c r="J297" s="74"/>
      <x:c r="K297" s="74"/>
      <x:c r="L297" s="74"/>
      <x:c r="M297" s="85"/>
      <x:c r="O297" s="86"/>
      <x:c r="P297" s="32"/>
    </x:row>
    <x:row r="298">
      <x:c r="A298" s="87"/>
      <x:c r="D298" s="32"/>
      <x:c r="I298" s="74"/>
      <x:c r="J298" s="74"/>
      <x:c r="K298" s="74"/>
      <x:c r="L298" s="74"/>
      <x:c r="M298" s="85"/>
      <x:c r="O298" s="86"/>
      <x:c r="P298" s="32"/>
    </x:row>
    <x:row r="299">
      <x:c r="A299" s="87"/>
      <x:c r="D299" s="32"/>
      <x:c r="I299" s="74"/>
      <x:c r="J299" s="74"/>
      <x:c r="K299" s="74"/>
      <x:c r="L299" s="74"/>
      <x:c r="M299" s="85"/>
      <x:c r="O299" s="86"/>
      <x:c r="P299" s="32"/>
    </x:row>
    <x:row r="300">
      <x:c r="A300" s="87"/>
      <x:c r="D300" s="32"/>
      <x:c r="I300" s="74"/>
      <x:c r="J300" s="74"/>
      <x:c r="K300" s="74"/>
      <x:c r="L300" s="74"/>
      <x:c r="M300" s="85"/>
      <x:c r="O300" s="86"/>
      <x:c r="P300" s="32"/>
    </x:row>
    <x:row r="301">
      <x:c r="A301" s="87"/>
      <x:c r="D301" s="32"/>
      <x:c r="I301" s="74"/>
      <x:c r="J301" s="74"/>
      <x:c r="K301" s="74"/>
      <x:c r="L301" s="74"/>
      <x:c r="M301" s="85"/>
      <x:c r="O301" s="86"/>
      <x:c r="P301" s="32"/>
    </x:row>
    <x:row r="302">
      <x:c r="A302" s="87"/>
      <x:c r="D302" s="32"/>
      <x:c r="I302" s="74"/>
      <x:c r="J302" s="74"/>
      <x:c r="K302" s="74"/>
      <x:c r="L302" s="74"/>
      <x:c r="M302" s="85"/>
      <x:c r="O302" s="86"/>
      <x:c r="P302" s="32"/>
    </x:row>
    <x:row r="303">
      <x:c r="A303" s="87"/>
      <x:c r="D303" s="32"/>
      <x:c r="I303" s="74"/>
      <x:c r="J303" s="74"/>
      <x:c r="K303" s="74"/>
      <x:c r="L303" s="74"/>
      <x:c r="M303" s="85"/>
      <x:c r="O303" s="86"/>
      <x:c r="P303" s="32"/>
    </x:row>
    <x:row r="304">
      <x:c r="A304" s="87"/>
      <x:c r="D304" s="32"/>
      <x:c r="I304" s="74"/>
      <x:c r="J304" s="74"/>
      <x:c r="K304" s="74"/>
      <x:c r="L304" s="74"/>
      <x:c r="M304" s="85"/>
      <x:c r="O304" s="86"/>
      <x:c r="P304" s="32"/>
    </x:row>
    <x:row r="305">
      <x:c r="A305" s="87"/>
      <x:c r="D305" s="32"/>
      <x:c r="I305" s="74"/>
      <x:c r="J305" s="74"/>
      <x:c r="K305" s="74"/>
      <x:c r="L305" s="74"/>
      <x:c r="M305" s="85"/>
      <x:c r="O305" s="86"/>
      <x:c r="P305" s="32"/>
    </x:row>
    <x:row r="306">
      <x:c r="A306" s="87"/>
      <x:c r="D306" s="32"/>
      <x:c r="I306" s="74"/>
      <x:c r="J306" s="74"/>
      <x:c r="K306" s="74"/>
      <x:c r="L306" s="74"/>
      <x:c r="M306" s="85"/>
      <x:c r="O306" s="86"/>
      <x:c r="P306" s="32"/>
    </x:row>
    <x:row r="307">
      <x:c r="A307" s="87"/>
      <x:c r="D307" s="32"/>
      <x:c r="I307" s="74"/>
      <x:c r="J307" s="74"/>
      <x:c r="K307" s="74"/>
      <x:c r="L307" s="74"/>
      <x:c r="M307" s="85"/>
      <x:c r="O307" s="86"/>
      <x:c r="P307" s="32"/>
    </x:row>
    <x:row r="308">
      <x:c r="A308" s="87"/>
      <x:c r="D308" s="32"/>
      <x:c r="I308" s="74"/>
      <x:c r="J308" s="74"/>
      <x:c r="K308" s="74"/>
      <x:c r="L308" s="74"/>
      <x:c r="M308" s="85"/>
      <x:c r="O308" s="86"/>
      <x:c r="P308" s="32"/>
    </x:row>
    <x:row r="309">
      <x:c r="A309" s="87"/>
      <x:c r="D309" s="32"/>
      <x:c r="I309" s="74"/>
      <x:c r="J309" s="74"/>
      <x:c r="K309" s="74"/>
      <x:c r="L309" s="74"/>
      <x:c r="M309" s="85"/>
      <x:c r="O309" s="86"/>
      <x:c r="P309" s="32"/>
    </x:row>
    <x:row r="310">
      <x:c r="A310" s="87"/>
      <x:c r="D310" s="32"/>
      <x:c r="I310" s="74"/>
      <x:c r="J310" s="74"/>
      <x:c r="K310" s="74"/>
      <x:c r="L310" s="74"/>
      <x:c r="M310" s="85"/>
      <x:c r="O310" s="86"/>
      <x:c r="P310" s="32"/>
    </x:row>
    <x:row r="311">
      <x:c r="A311" s="87"/>
      <x:c r="D311" s="32"/>
      <x:c r="I311" s="74"/>
      <x:c r="J311" s="74"/>
      <x:c r="K311" s="74"/>
      <x:c r="L311" s="74"/>
      <x:c r="M311" s="85"/>
      <x:c r="O311" s="86"/>
      <x:c r="P311" s="32"/>
    </x:row>
    <x:row r="312">
      <x:c r="A312" s="87"/>
      <x:c r="D312" s="32"/>
      <x:c r="I312" s="74"/>
      <x:c r="J312" s="74"/>
      <x:c r="K312" s="74"/>
      <x:c r="L312" s="74"/>
      <x:c r="M312" s="85"/>
      <x:c r="O312" s="86"/>
      <x:c r="P312" s="32"/>
    </x:row>
    <x:row r="313">
      <x:c r="A313" s="87"/>
      <x:c r="D313" s="32"/>
      <x:c r="I313" s="74"/>
      <x:c r="J313" s="74"/>
      <x:c r="K313" s="74"/>
      <x:c r="L313" s="74"/>
      <x:c r="M313" s="85"/>
      <x:c r="O313" s="86"/>
      <x:c r="P313" s="32"/>
    </x:row>
    <x:row r="314">
      <x:c r="A314" s="87"/>
      <x:c r="D314" s="32"/>
      <x:c r="I314" s="74"/>
      <x:c r="J314" s="74"/>
      <x:c r="K314" s="74"/>
      <x:c r="L314" s="74"/>
      <x:c r="M314" s="85"/>
      <x:c r="O314" s="86"/>
      <x:c r="P314" s="32"/>
    </x:row>
    <x:row r="315">
      <x:c r="A315" s="87"/>
      <x:c r="D315" s="32"/>
      <x:c r="I315" s="74"/>
      <x:c r="J315" s="74"/>
      <x:c r="K315" s="74"/>
      <x:c r="L315" s="74"/>
      <x:c r="M315" s="85"/>
      <x:c r="O315" s="86"/>
      <x:c r="P315" s="32"/>
    </x:row>
    <x:row r="316">
      <x:c r="A316" s="87"/>
      <x:c r="D316" s="32"/>
      <x:c r="I316" s="74"/>
      <x:c r="J316" s="74"/>
      <x:c r="K316" s="74"/>
      <x:c r="L316" s="74"/>
      <x:c r="M316" s="85"/>
      <x:c r="O316" s="86"/>
      <x:c r="P316" s="32"/>
    </x:row>
    <x:row r="317">
      <x:c r="A317" s="87"/>
      <x:c r="D317" s="32"/>
      <x:c r="I317" s="74"/>
      <x:c r="J317" s="74"/>
      <x:c r="K317" s="74"/>
      <x:c r="L317" s="74"/>
      <x:c r="M317" s="85"/>
      <x:c r="O317" s="86"/>
      <x:c r="P317" s="32"/>
    </x:row>
    <x:row r="318">
      <x:c r="A318" s="87"/>
      <x:c r="D318" s="32"/>
      <x:c r="I318" s="74"/>
      <x:c r="J318" s="74"/>
      <x:c r="K318" s="74"/>
      <x:c r="L318" s="74"/>
      <x:c r="M318" s="85"/>
      <x:c r="O318" s="86"/>
      <x:c r="P318" s="32"/>
    </x:row>
    <x:row r="319">
      <x:c r="A319" s="87"/>
      <x:c r="D319" s="32"/>
      <x:c r="I319" s="74"/>
      <x:c r="J319" s="74"/>
      <x:c r="K319" s="74"/>
      <x:c r="L319" s="74"/>
      <x:c r="M319" s="85"/>
      <x:c r="O319" s="86"/>
      <x:c r="P319" s="32"/>
    </x:row>
    <x:row r="320">
      <x:c r="A320" s="87"/>
      <x:c r="D320" s="32"/>
      <x:c r="I320" s="74"/>
      <x:c r="J320" s="74"/>
      <x:c r="K320" s="74"/>
      <x:c r="L320" s="74"/>
      <x:c r="M320" s="85"/>
      <x:c r="O320" s="86"/>
      <x:c r="P320" s="32"/>
    </x:row>
    <x:row r="321">
      <x:c r="A321" s="87"/>
      <x:c r="D321" s="32"/>
      <x:c r="I321" s="74"/>
      <x:c r="J321" s="74"/>
      <x:c r="K321" s="74"/>
      <x:c r="L321" s="74"/>
      <x:c r="M321" s="85"/>
      <x:c r="O321" s="86"/>
      <x:c r="P321" s="32"/>
    </x:row>
    <x:row r="322">
      <x:c r="A322" s="87"/>
      <x:c r="D322" s="32"/>
      <x:c r="I322" s="74"/>
      <x:c r="J322" s="74"/>
      <x:c r="K322" s="74"/>
      <x:c r="L322" s="74"/>
      <x:c r="M322" s="85"/>
      <x:c r="O322" s="86"/>
      <x:c r="P322" s="32"/>
    </x:row>
    <x:row r="323">
      <x:c r="A323" s="87"/>
      <x:c r="D323" s="32"/>
      <x:c r="I323" s="74"/>
      <x:c r="J323" s="74"/>
      <x:c r="K323" s="74"/>
      <x:c r="L323" s="74"/>
      <x:c r="M323" s="85"/>
      <x:c r="O323" s="86"/>
      <x:c r="P323" s="32"/>
    </x:row>
    <x:row r="324">
      <x:c r="A324" s="87"/>
      <x:c r="D324" s="32"/>
      <x:c r="I324" s="74"/>
      <x:c r="J324" s="74"/>
      <x:c r="K324" s="74"/>
      <x:c r="L324" s="74"/>
      <x:c r="M324" s="85"/>
      <x:c r="O324" s="86"/>
      <x:c r="P324" s="32"/>
    </x:row>
    <x:row r="325">
      <x:c r="A325" s="87"/>
      <x:c r="D325" s="32"/>
      <x:c r="I325" s="74"/>
      <x:c r="J325" s="74"/>
      <x:c r="K325" s="74"/>
      <x:c r="L325" s="74"/>
      <x:c r="M325" s="85"/>
      <x:c r="O325" s="86"/>
      <x:c r="P325" s="32"/>
    </x:row>
    <x:row r="326">
      <x:c r="A326" s="87"/>
      <x:c r="D326" s="32"/>
      <x:c r="I326" s="74"/>
      <x:c r="J326" s="74"/>
      <x:c r="K326" s="74"/>
      <x:c r="L326" s="74"/>
      <x:c r="M326" s="85"/>
      <x:c r="O326" s="86"/>
      <x:c r="P326" s="32"/>
    </x:row>
    <x:row r="327">
      <x:c r="A327" s="87"/>
      <x:c r="D327" s="32"/>
      <x:c r="I327" s="74"/>
      <x:c r="J327" s="74"/>
      <x:c r="K327" s="74"/>
      <x:c r="L327" s="74"/>
      <x:c r="M327" s="85"/>
      <x:c r="O327" s="86"/>
      <x:c r="P327" s="32"/>
    </x:row>
    <x:row r="328">
      <x:c r="A328" s="87"/>
      <x:c r="D328" s="32"/>
      <x:c r="I328" s="74"/>
      <x:c r="J328" s="74"/>
      <x:c r="K328" s="74"/>
      <x:c r="L328" s="74"/>
      <x:c r="M328" s="85"/>
      <x:c r="O328" s="86"/>
      <x:c r="P328" s="32"/>
    </x:row>
    <x:row r="329">
      <x:c r="A329" s="87"/>
      <x:c r="D329" s="32"/>
      <x:c r="I329" s="74"/>
      <x:c r="J329" s="74"/>
      <x:c r="K329" s="74"/>
      <x:c r="L329" s="74"/>
      <x:c r="M329" s="85"/>
      <x:c r="O329" s="86"/>
      <x:c r="P329" s="32"/>
    </x:row>
    <x:row r="330">
      <x:c r="A330" s="87"/>
      <x:c r="D330" s="32"/>
      <x:c r="I330" s="74"/>
      <x:c r="J330" s="74"/>
      <x:c r="K330" s="74"/>
      <x:c r="L330" s="74"/>
      <x:c r="M330" s="85"/>
      <x:c r="O330" s="86"/>
      <x:c r="P330" s="32"/>
    </x:row>
    <x:row r="331">
      <x:c r="A331" s="87"/>
      <x:c r="D331" s="32"/>
      <x:c r="I331" s="74"/>
      <x:c r="J331" s="74"/>
      <x:c r="K331" s="74"/>
      <x:c r="L331" s="74"/>
      <x:c r="M331" s="85"/>
      <x:c r="O331" s="86"/>
      <x:c r="P331" s="32"/>
    </x:row>
    <x:row r="332">
      <x:c r="A332" s="87"/>
      <x:c r="D332" s="32"/>
      <x:c r="I332" s="74"/>
      <x:c r="J332" s="74"/>
      <x:c r="K332" s="74"/>
      <x:c r="L332" s="74"/>
      <x:c r="M332" s="85"/>
      <x:c r="O332" s="86"/>
      <x:c r="P332" s="32"/>
    </x:row>
    <x:row r="333">
      <x:c r="A333" s="87"/>
      <x:c r="D333" s="32"/>
      <x:c r="I333" s="74"/>
      <x:c r="J333" s="74"/>
      <x:c r="K333" s="74"/>
      <x:c r="L333" s="74"/>
      <x:c r="M333" s="85"/>
      <x:c r="O333" s="86"/>
      <x:c r="P333" s="32"/>
    </x:row>
    <x:row r="334">
      <x:c r="A334" s="87"/>
      <x:c r="D334" s="32"/>
      <x:c r="I334" s="74"/>
      <x:c r="J334" s="74"/>
      <x:c r="K334" s="74"/>
      <x:c r="L334" s="74"/>
      <x:c r="M334" s="85"/>
      <x:c r="O334" s="86"/>
      <x:c r="P334" s="32"/>
    </x:row>
    <x:row r="335">
      <x:c r="A335" s="87"/>
      <x:c r="D335" s="32"/>
      <x:c r="I335" s="74"/>
      <x:c r="J335" s="74"/>
      <x:c r="K335" s="74"/>
      <x:c r="L335" s="74"/>
      <x:c r="M335" s="85"/>
      <x:c r="O335" s="86"/>
      <x:c r="P335" s="32"/>
    </x:row>
    <x:row r="336">
      <x:c r="A336" s="87"/>
      <x:c r="D336" s="32"/>
      <x:c r="I336" s="74"/>
      <x:c r="J336" s="74"/>
      <x:c r="K336" s="74"/>
      <x:c r="L336" s="74"/>
      <x:c r="M336" s="85"/>
      <x:c r="O336" s="86"/>
      <x:c r="P336" s="32"/>
    </x:row>
    <x:row r="337">
      <x:c r="A337" s="87"/>
      <x:c r="D337" s="32"/>
      <x:c r="I337" s="74"/>
      <x:c r="J337" s="74"/>
      <x:c r="K337" s="74"/>
      <x:c r="L337" s="74"/>
      <x:c r="M337" s="85"/>
      <x:c r="O337" s="86"/>
      <x:c r="P337" s="32"/>
    </x:row>
    <x:row r="338">
      <x:c r="A338" s="87"/>
      <x:c r="D338" s="32"/>
      <x:c r="I338" s="74"/>
      <x:c r="J338" s="74"/>
      <x:c r="K338" s="74"/>
      <x:c r="L338" s="74"/>
      <x:c r="M338" s="85"/>
      <x:c r="O338" s="86"/>
      <x:c r="P338" s="32"/>
    </x:row>
    <x:row r="339">
      <x:c r="A339" s="87"/>
      <x:c r="D339" s="32"/>
      <x:c r="I339" s="74"/>
      <x:c r="J339" s="74"/>
      <x:c r="K339" s="74"/>
      <x:c r="L339" s="74"/>
      <x:c r="M339" s="85"/>
      <x:c r="O339" s="86"/>
      <x:c r="P339" s="32"/>
    </x:row>
    <x:row r="340">
      <x:c r="A340" s="87"/>
      <x:c r="D340" s="32"/>
      <x:c r="I340" s="74"/>
      <x:c r="J340" s="74"/>
      <x:c r="K340" s="74"/>
      <x:c r="L340" s="74"/>
      <x:c r="M340" s="85"/>
      <x:c r="O340" s="86"/>
      <x:c r="P340" s="32"/>
    </x:row>
    <x:row r="341">
      <x:c r="A341" s="87"/>
      <x:c r="D341" s="32"/>
      <x:c r="I341" s="74"/>
      <x:c r="J341" s="74"/>
      <x:c r="K341" s="74"/>
      <x:c r="L341" s="74"/>
      <x:c r="M341" s="85"/>
      <x:c r="O341" s="86"/>
      <x:c r="P341" s="32"/>
    </x:row>
    <x:row r="342">
      <x:c r="A342" s="87"/>
      <x:c r="D342" s="32"/>
      <x:c r="I342" s="74"/>
      <x:c r="J342" s="74"/>
      <x:c r="K342" s="74"/>
      <x:c r="L342" s="74"/>
      <x:c r="M342" s="85"/>
      <x:c r="O342" s="86"/>
      <x:c r="P342" s="32"/>
    </x:row>
    <x:row r="343">
      <x:c r="A343" s="87"/>
      <x:c r="D343" s="32"/>
      <x:c r="I343" s="74"/>
      <x:c r="J343" s="74"/>
      <x:c r="K343" s="74"/>
      <x:c r="L343" s="74"/>
      <x:c r="M343" s="85"/>
      <x:c r="O343" s="86"/>
      <x:c r="P343" s="32"/>
    </x:row>
    <x:row r="344">
      <x:c r="A344" s="87"/>
      <x:c r="D344" s="32"/>
      <x:c r="I344" s="74"/>
      <x:c r="J344" s="74"/>
      <x:c r="K344" s="74"/>
      <x:c r="L344" s="74"/>
      <x:c r="M344" s="85"/>
      <x:c r="O344" s="86"/>
      <x:c r="P344" s="32"/>
    </x:row>
    <x:row r="345">
      <x:c r="A345" s="87"/>
      <x:c r="D345" s="32"/>
      <x:c r="I345" s="74"/>
      <x:c r="J345" s="74"/>
      <x:c r="K345" s="74"/>
      <x:c r="L345" s="74"/>
      <x:c r="M345" s="85"/>
      <x:c r="O345" s="86"/>
      <x:c r="P345" s="32"/>
    </x:row>
    <x:row r="346">
      <x:c r="A346" s="87"/>
      <x:c r="D346" s="32"/>
      <x:c r="I346" s="74"/>
      <x:c r="J346" s="74"/>
      <x:c r="K346" s="74"/>
      <x:c r="L346" s="74"/>
      <x:c r="M346" s="85"/>
      <x:c r="O346" s="86"/>
      <x:c r="P346" s="32"/>
    </x:row>
    <x:row r="347">
      <x:c r="A347" s="87"/>
      <x:c r="D347" s="32"/>
      <x:c r="I347" s="74"/>
      <x:c r="J347" s="74"/>
      <x:c r="K347" s="74"/>
      <x:c r="L347" s="74"/>
      <x:c r="M347" s="85"/>
      <x:c r="O347" s="86"/>
      <x:c r="P347" s="32"/>
    </x:row>
    <x:row r="348">
      <x:c r="A348" s="87"/>
      <x:c r="D348" s="32"/>
      <x:c r="I348" s="74"/>
      <x:c r="J348" s="74"/>
      <x:c r="K348" s="74"/>
      <x:c r="L348" s="74"/>
      <x:c r="M348" s="85"/>
      <x:c r="O348" s="86"/>
      <x:c r="P348" s="32"/>
    </x:row>
    <x:row r="349">
      <x:c r="A349" s="87"/>
      <x:c r="D349" s="32"/>
      <x:c r="I349" s="74"/>
      <x:c r="J349" s="74"/>
      <x:c r="K349" s="74"/>
      <x:c r="L349" s="74"/>
      <x:c r="M349" s="85"/>
      <x:c r="O349" s="86"/>
      <x:c r="P349" s="32"/>
    </x:row>
    <x:row r="350">
      <x:c r="A350" s="87"/>
      <x:c r="D350" s="32"/>
      <x:c r="I350" s="74"/>
      <x:c r="J350" s="74"/>
      <x:c r="K350" s="74"/>
      <x:c r="L350" s="74"/>
      <x:c r="M350" s="85"/>
      <x:c r="O350" s="86"/>
      <x:c r="P350" s="32"/>
    </x:row>
    <x:row r="351">
      <x:c r="A351" s="87"/>
      <x:c r="D351" s="32"/>
      <x:c r="I351" s="74"/>
      <x:c r="J351" s="74"/>
      <x:c r="K351" s="74"/>
      <x:c r="L351" s="74"/>
      <x:c r="M351" s="85"/>
      <x:c r="O351" s="86"/>
      <x:c r="P351" s="32"/>
    </x:row>
    <x:row r="352">
      <x:c r="A352" s="87"/>
      <x:c r="D352" s="32"/>
      <x:c r="I352" s="74"/>
      <x:c r="J352" s="74"/>
      <x:c r="K352" s="74"/>
      <x:c r="L352" s="74"/>
      <x:c r="M352" s="85"/>
      <x:c r="O352" s="86"/>
      <x:c r="P352" s="32"/>
    </x:row>
    <x:row r="353">
      <x:c r="A353" s="87"/>
      <x:c r="D353" s="32"/>
      <x:c r="I353" s="74"/>
      <x:c r="J353" s="74"/>
      <x:c r="K353" s="74"/>
      <x:c r="L353" s="74"/>
      <x:c r="M353" s="85"/>
      <x:c r="O353" s="86"/>
      <x:c r="P353" s="32"/>
    </x:row>
    <x:row r="354">
      <x:c r="A354" s="87"/>
      <x:c r="D354" s="32"/>
      <x:c r="I354" s="74"/>
      <x:c r="J354" s="74"/>
      <x:c r="K354" s="74"/>
      <x:c r="L354" s="74"/>
      <x:c r="M354" s="85"/>
      <x:c r="O354" s="86"/>
      <x:c r="P354" s="32"/>
    </x:row>
    <x:row r="355">
      <x:c r="A355" s="87"/>
      <x:c r="D355" s="32"/>
      <x:c r="I355" s="74"/>
      <x:c r="J355" s="74"/>
      <x:c r="K355" s="74"/>
      <x:c r="L355" s="74"/>
      <x:c r="M355" s="85"/>
      <x:c r="O355" s="86"/>
      <x:c r="P355" s="32"/>
    </x:row>
    <x:row r="356">
      <x:c r="A356" s="87"/>
      <x:c r="D356" s="32"/>
      <x:c r="I356" s="74"/>
      <x:c r="J356" s="74"/>
      <x:c r="K356" s="74"/>
      <x:c r="L356" s="74"/>
      <x:c r="M356" s="85"/>
      <x:c r="O356" s="86"/>
      <x:c r="P356" s="32"/>
    </x:row>
    <x:row r="357">
      <x:c r="A357" s="87"/>
      <x:c r="D357" s="32"/>
      <x:c r="I357" s="74"/>
      <x:c r="J357" s="74"/>
      <x:c r="K357" s="74"/>
      <x:c r="L357" s="74"/>
      <x:c r="M357" s="85"/>
      <x:c r="O357" s="86"/>
      <x:c r="P357" s="32"/>
    </x:row>
    <x:row r="358">
      <x:c r="A358" s="87"/>
      <x:c r="D358" s="32"/>
      <x:c r="I358" s="74"/>
      <x:c r="J358" s="74"/>
      <x:c r="K358" s="74"/>
      <x:c r="L358" s="74"/>
      <x:c r="M358" s="85"/>
      <x:c r="O358" s="86"/>
      <x:c r="P358" s="32"/>
    </x:row>
    <x:row r="359">
      <x:c r="A359" s="87"/>
      <x:c r="D359" s="32"/>
      <x:c r="I359" s="74"/>
      <x:c r="J359" s="74"/>
      <x:c r="K359" s="74"/>
      <x:c r="L359" s="74"/>
      <x:c r="M359" s="85"/>
      <x:c r="O359" s="86"/>
      <x:c r="P359" s="32"/>
    </x:row>
    <x:row r="360">
      <x:c r="A360" s="87"/>
      <x:c r="D360" s="32"/>
      <x:c r="I360" s="74"/>
      <x:c r="J360" s="74"/>
      <x:c r="K360" s="74"/>
      <x:c r="L360" s="74"/>
      <x:c r="M360" s="85"/>
      <x:c r="O360" s="86"/>
      <x:c r="P360" s="32"/>
    </x:row>
    <x:row r="361">
      <x:c r="A361" s="87"/>
      <x:c r="D361" s="32"/>
      <x:c r="I361" s="74"/>
      <x:c r="J361" s="74"/>
      <x:c r="K361" s="74"/>
      <x:c r="L361" s="74"/>
      <x:c r="M361" s="85"/>
      <x:c r="O361" s="86"/>
      <x:c r="P361" s="32"/>
    </x:row>
    <x:row r="362">
      <x:c r="A362" s="87"/>
      <x:c r="D362" s="32"/>
      <x:c r="I362" s="74"/>
      <x:c r="J362" s="74"/>
      <x:c r="K362" s="74"/>
      <x:c r="L362" s="74"/>
      <x:c r="M362" s="85"/>
      <x:c r="O362" s="86"/>
      <x:c r="P362" s="32"/>
    </x:row>
    <x:row r="363">
      <x:c r="A363" s="87"/>
      <x:c r="D363" s="32"/>
      <x:c r="I363" s="74"/>
      <x:c r="J363" s="74"/>
      <x:c r="K363" s="74"/>
      <x:c r="L363" s="74"/>
      <x:c r="M363" s="85"/>
      <x:c r="O363" s="86"/>
      <x:c r="P363" s="32"/>
    </x:row>
    <x:row r="364">
      <x:c r="A364" s="87"/>
      <x:c r="D364" s="32"/>
      <x:c r="I364" s="74"/>
      <x:c r="J364" s="74"/>
      <x:c r="K364" s="74"/>
      <x:c r="L364" s="74"/>
      <x:c r="M364" s="85"/>
      <x:c r="O364" s="86"/>
      <x:c r="P364" s="32"/>
    </x:row>
    <x:row r="365">
      <x:c r="A365" s="87"/>
      <x:c r="D365" s="32"/>
      <x:c r="I365" s="74"/>
      <x:c r="J365" s="74"/>
      <x:c r="K365" s="74"/>
      <x:c r="L365" s="74"/>
      <x:c r="M365" s="85"/>
      <x:c r="O365" s="86"/>
      <x:c r="P365" s="32"/>
    </x:row>
    <x:row r="366">
      <x:c r="A366" s="87"/>
      <x:c r="D366" s="32"/>
      <x:c r="I366" s="74"/>
      <x:c r="J366" s="74"/>
      <x:c r="K366" s="74"/>
      <x:c r="L366" s="74"/>
      <x:c r="M366" s="85"/>
      <x:c r="O366" s="86"/>
      <x:c r="P366" s="32"/>
    </x:row>
    <x:row r="367">
      <x:c r="A367" s="87"/>
      <x:c r="D367" s="32"/>
      <x:c r="I367" s="74"/>
      <x:c r="J367" s="74"/>
      <x:c r="K367" s="74"/>
      <x:c r="L367" s="74"/>
      <x:c r="M367" s="85"/>
      <x:c r="O367" s="86"/>
      <x:c r="P367" s="32"/>
    </x:row>
    <x:row r="368">
      <x:c r="A368" s="87"/>
      <x:c r="D368" s="32"/>
      <x:c r="I368" s="74"/>
      <x:c r="J368" s="74"/>
      <x:c r="K368" s="74"/>
      <x:c r="L368" s="74"/>
      <x:c r="M368" s="85"/>
      <x:c r="O368" s="86"/>
      <x:c r="P368" s="32"/>
    </x:row>
    <x:row r="369">
      <x:c r="A369" s="87"/>
      <x:c r="D369" s="32"/>
      <x:c r="I369" s="74"/>
      <x:c r="J369" s="74"/>
      <x:c r="K369" s="74"/>
      <x:c r="L369" s="74"/>
      <x:c r="M369" s="85"/>
      <x:c r="O369" s="86"/>
      <x:c r="P369" s="32"/>
    </x:row>
    <x:row r="370">
      <x:c r="A370" s="87"/>
      <x:c r="D370" s="32"/>
      <x:c r="I370" s="74"/>
      <x:c r="J370" s="74"/>
      <x:c r="K370" s="74"/>
      <x:c r="L370" s="74"/>
      <x:c r="M370" s="85"/>
      <x:c r="O370" s="86"/>
      <x:c r="P370" s="32"/>
    </x:row>
    <x:row r="371">
      <x:c r="A371" s="87"/>
      <x:c r="D371" s="32"/>
      <x:c r="I371" s="74"/>
      <x:c r="J371" s="74"/>
      <x:c r="K371" s="74"/>
      <x:c r="L371" s="74"/>
      <x:c r="M371" s="85"/>
      <x:c r="O371" s="86"/>
      <x:c r="P371" s="32"/>
    </x:row>
    <x:row r="372">
      <x:c r="A372" s="87"/>
      <x:c r="D372" s="32"/>
      <x:c r="I372" s="74"/>
      <x:c r="J372" s="74"/>
      <x:c r="K372" s="74"/>
      <x:c r="L372" s="74"/>
      <x:c r="M372" s="85"/>
      <x:c r="O372" s="86"/>
      <x:c r="P372" s="32"/>
    </x:row>
    <x:row r="373">
      <x:c r="A373" s="87"/>
      <x:c r="D373" s="32"/>
      <x:c r="I373" s="74"/>
      <x:c r="J373" s="74"/>
      <x:c r="K373" s="74"/>
      <x:c r="L373" s="74"/>
      <x:c r="M373" s="85"/>
      <x:c r="O373" s="86"/>
      <x:c r="P373" s="32"/>
    </x:row>
    <x:row r="374">
      <x:c r="A374" s="87"/>
      <x:c r="D374" s="32"/>
      <x:c r="I374" s="74"/>
      <x:c r="J374" s="74"/>
      <x:c r="K374" s="74"/>
      <x:c r="L374" s="74"/>
      <x:c r="M374" s="85"/>
      <x:c r="O374" s="86"/>
      <x:c r="P374" s="32"/>
    </x:row>
    <x:row r="375">
      <x:c r="A375" s="87"/>
      <x:c r="D375" s="32"/>
      <x:c r="I375" s="74"/>
      <x:c r="J375" s="74"/>
      <x:c r="K375" s="74"/>
      <x:c r="L375" s="74"/>
      <x:c r="M375" s="85"/>
      <x:c r="O375" s="86"/>
      <x:c r="P375" s="32"/>
    </x:row>
    <x:row r="376">
      <x:c r="A376" s="87"/>
      <x:c r="D376" s="32"/>
      <x:c r="I376" s="74"/>
      <x:c r="J376" s="74"/>
      <x:c r="K376" s="74"/>
      <x:c r="L376" s="74"/>
      <x:c r="M376" s="85"/>
      <x:c r="O376" s="86"/>
      <x:c r="P376" s="32"/>
    </x:row>
    <x:row r="377">
      <x:c r="A377" s="87"/>
      <x:c r="D377" s="32"/>
      <x:c r="I377" s="74"/>
      <x:c r="J377" s="74"/>
      <x:c r="K377" s="74"/>
      <x:c r="L377" s="74"/>
      <x:c r="M377" s="85"/>
      <x:c r="O377" s="86"/>
      <x:c r="P377" s="32"/>
    </x:row>
    <x:row r="378">
      <x:c r="A378" s="87"/>
      <x:c r="D378" s="32"/>
      <x:c r="I378" s="74"/>
      <x:c r="J378" s="74"/>
      <x:c r="K378" s="74"/>
      <x:c r="L378" s="74"/>
      <x:c r="M378" s="85"/>
      <x:c r="O378" s="86"/>
      <x:c r="P378" s="32"/>
    </x:row>
    <x:row r="379">
      <x:c r="A379" s="87"/>
      <x:c r="D379" s="32"/>
      <x:c r="I379" s="74"/>
      <x:c r="J379" s="74"/>
      <x:c r="K379" s="74"/>
      <x:c r="L379" s="74"/>
      <x:c r="M379" s="85"/>
      <x:c r="O379" s="86"/>
      <x:c r="P379" s="32"/>
    </x:row>
    <x:row r="380">
      <x:c r="A380" s="87"/>
      <x:c r="D380" s="32"/>
      <x:c r="I380" s="74"/>
      <x:c r="J380" s="74"/>
      <x:c r="K380" s="74"/>
      <x:c r="L380" s="74"/>
      <x:c r="M380" s="85"/>
      <x:c r="O380" s="86"/>
      <x:c r="P380" s="32"/>
    </x:row>
    <x:row r="381">
      <x:c r="A381" s="87"/>
      <x:c r="D381" s="32"/>
      <x:c r="I381" s="74"/>
      <x:c r="J381" s="74"/>
      <x:c r="K381" s="74"/>
      <x:c r="L381" s="74"/>
      <x:c r="M381" s="85"/>
      <x:c r="O381" s="86"/>
      <x:c r="P381" s="32"/>
    </x:row>
    <x:row r="382">
      <x:c r="A382" s="87"/>
      <x:c r="D382" s="32"/>
      <x:c r="I382" s="74"/>
      <x:c r="J382" s="74"/>
      <x:c r="K382" s="74"/>
      <x:c r="L382" s="74"/>
      <x:c r="M382" s="85"/>
      <x:c r="O382" s="86"/>
      <x:c r="P382" s="32"/>
    </x:row>
    <x:row r="383">
      <x:c r="A383" s="87"/>
      <x:c r="D383" s="32"/>
      <x:c r="I383" s="74"/>
      <x:c r="J383" s="74"/>
      <x:c r="K383" s="74"/>
      <x:c r="L383" s="74"/>
      <x:c r="M383" s="85"/>
      <x:c r="O383" s="86"/>
      <x:c r="P383" s="32"/>
    </x:row>
    <x:row r="384">
      <x:c r="A384" s="87"/>
      <x:c r="D384" s="32"/>
      <x:c r="I384" s="74"/>
      <x:c r="J384" s="74"/>
      <x:c r="K384" s="74"/>
      <x:c r="L384" s="74"/>
      <x:c r="M384" s="85"/>
      <x:c r="O384" s="86"/>
      <x:c r="P384" s="32"/>
    </x:row>
    <x:row r="385">
      <x:c r="A385" s="87"/>
      <x:c r="D385" s="32"/>
      <x:c r="I385" s="74"/>
      <x:c r="J385" s="74"/>
      <x:c r="K385" s="74"/>
      <x:c r="L385" s="74"/>
      <x:c r="M385" s="85"/>
      <x:c r="O385" s="86"/>
      <x:c r="P385" s="32"/>
    </x:row>
    <x:row r="386">
      <x:c r="A386" s="87"/>
      <x:c r="D386" s="32"/>
      <x:c r="I386" s="74"/>
      <x:c r="J386" s="74"/>
      <x:c r="K386" s="74"/>
      <x:c r="L386" s="74"/>
      <x:c r="M386" s="85"/>
      <x:c r="O386" s="86"/>
      <x:c r="P386" s="32"/>
    </x:row>
    <x:row r="387">
      <x:c r="A387" s="87"/>
      <x:c r="D387" s="32"/>
      <x:c r="I387" s="74"/>
      <x:c r="J387" s="74"/>
      <x:c r="K387" s="74"/>
      <x:c r="L387" s="74"/>
      <x:c r="M387" s="85"/>
      <x:c r="O387" s="86"/>
      <x:c r="P387" s="32"/>
    </x:row>
    <x:row r="388">
      <x:c r="A388" s="87"/>
      <x:c r="D388" s="32"/>
      <x:c r="I388" s="74"/>
      <x:c r="J388" s="74"/>
      <x:c r="K388" s="74"/>
      <x:c r="L388" s="74"/>
      <x:c r="M388" s="85"/>
      <x:c r="O388" s="86"/>
      <x:c r="P388" s="32"/>
    </x:row>
    <x:row r="389">
      <x:c r="A389" s="87"/>
      <x:c r="D389" s="32"/>
      <x:c r="I389" s="74"/>
      <x:c r="J389" s="74"/>
      <x:c r="K389" s="74"/>
      <x:c r="L389" s="74"/>
      <x:c r="M389" s="85"/>
      <x:c r="O389" s="86"/>
      <x:c r="P389" s="32"/>
    </x:row>
    <x:row r="390">
      <x:c r="A390" s="87"/>
      <x:c r="D390" s="32"/>
      <x:c r="I390" s="74"/>
      <x:c r="J390" s="74"/>
      <x:c r="K390" s="74"/>
      <x:c r="L390" s="74"/>
      <x:c r="M390" s="85"/>
      <x:c r="O390" s="86"/>
      <x:c r="P390" s="32"/>
    </x:row>
    <x:row r="391">
      <x:c r="A391" s="87"/>
      <x:c r="D391" s="32"/>
      <x:c r="I391" s="74"/>
      <x:c r="J391" s="74"/>
      <x:c r="K391" s="74"/>
      <x:c r="L391" s="74"/>
      <x:c r="M391" s="85"/>
      <x:c r="O391" s="86"/>
      <x:c r="P391" s="32"/>
    </x:row>
    <x:row r="392">
      <x:c r="A392" s="87"/>
      <x:c r="D392" s="32"/>
      <x:c r="I392" s="74"/>
      <x:c r="J392" s="74"/>
      <x:c r="K392" s="74"/>
      <x:c r="L392" s="74"/>
      <x:c r="M392" s="85"/>
      <x:c r="O392" s="86"/>
      <x:c r="P392" s="32"/>
    </x:row>
    <x:row r="393">
      <x:c r="A393" s="87"/>
      <x:c r="D393" s="32"/>
      <x:c r="I393" s="74"/>
      <x:c r="J393" s="74"/>
      <x:c r="K393" s="74"/>
      <x:c r="L393" s="74"/>
      <x:c r="M393" s="85"/>
      <x:c r="O393" s="86"/>
      <x:c r="P393" s="32"/>
    </x:row>
    <x:row r="394">
      <x:c r="A394" s="87"/>
      <x:c r="D394" s="32"/>
      <x:c r="I394" s="74"/>
      <x:c r="J394" s="74"/>
      <x:c r="K394" s="74"/>
      <x:c r="L394" s="74"/>
      <x:c r="M394" s="85"/>
      <x:c r="O394" s="86"/>
      <x:c r="P394" s="32"/>
    </x:row>
    <x:row r="395">
      <x:c r="A395" s="87"/>
      <x:c r="D395" s="32"/>
      <x:c r="I395" s="74"/>
      <x:c r="J395" s="74"/>
      <x:c r="K395" s="74"/>
      <x:c r="L395" s="74"/>
      <x:c r="M395" s="85"/>
      <x:c r="O395" s="86"/>
      <x:c r="P395" s="32"/>
    </x:row>
    <x:row r="396">
      <x:c r="A396" s="87"/>
      <x:c r="D396" s="32"/>
      <x:c r="I396" s="74"/>
      <x:c r="J396" s="74"/>
      <x:c r="K396" s="74"/>
      <x:c r="L396" s="74"/>
      <x:c r="M396" s="85"/>
      <x:c r="O396" s="86"/>
      <x:c r="P396" s="32"/>
    </x:row>
    <x:row r="397">
      <x:c r="A397" s="87"/>
      <x:c r="D397" s="32"/>
      <x:c r="I397" s="74"/>
      <x:c r="J397" s="74"/>
      <x:c r="K397" s="74"/>
      <x:c r="L397" s="74"/>
      <x:c r="M397" s="85"/>
      <x:c r="O397" s="86"/>
      <x:c r="P397" s="32"/>
    </x:row>
    <x:row r="398">
      <x:c r="A398" s="87"/>
      <x:c r="D398" s="32"/>
      <x:c r="I398" s="74"/>
      <x:c r="J398" s="74"/>
      <x:c r="K398" s="74"/>
      <x:c r="L398" s="74"/>
      <x:c r="M398" s="85"/>
      <x:c r="O398" s="86"/>
      <x:c r="P398" s="32"/>
    </x:row>
    <x:row r="399">
      <x:c r="A399" s="87"/>
      <x:c r="D399" s="32"/>
      <x:c r="I399" s="74"/>
      <x:c r="J399" s="74"/>
      <x:c r="K399" s="74"/>
      <x:c r="L399" s="74"/>
      <x:c r="M399" s="85"/>
      <x:c r="O399" s="86"/>
      <x:c r="P399" s="32"/>
    </x:row>
    <x:row r="400">
      <x:c r="A400" s="87"/>
      <x:c r="D400" s="32"/>
      <x:c r="I400" s="74"/>
      <x:c r="J400" s="74"/>
      <x:c r="K400" s="74"/>
      <x:c r="L400" s="74"/>
      <x:c r="M400" s="85"/>
      <x:c r="O400" s="86"/>
      <x:c r="P400" s="32"/>
    </x:row>
    <x:row r="401">
      <x:c r="A401" s="87"/>
      <x:c r="D401" s="32"/>
      <x:c r="I401" s="74"/>
      <x:c r="J401" s="74"/>
      <x:c r="K401" s="74"/>
      <x:c r="L401" s="74"/>
      <x:c r="M401" s="85"/>
      <x:c r="O401" s="86"/>
      <x:c r="P401" s="32"/>
    </x:row>
    <x:row r="402">
      <x:c r="A402" s="87"/>
      <x:c r="D402" s="32"/>
      <x:c r="I402" s="74"/>
      <x:c r="J402" s="74"/>
      <x:c r="K402" s="74"/>
      <x:c r="L402" s="74"/>
      <x:c r="M402" s="85"/>
      <x:c r="O402" s="86"/>
      <x:c r="P402" s="32"/>
    </x:row>
    <x:row r="403">
      <x:c r="A403" s="87"/>
      <x:c r="D403" s="32"/>
      <x:c r="I403" s="74"/>
      <x:c r="J403" s="74"/>
      <x:c r="K403" s="74"/>
      <x:c r="L403" s="74"/>
      <x:c r="M403" s="85"/>
      <x:c r="O403" s="86"/>
      <x:c r="P403" s="32"/>
    </x:row>
    <x:row r="404">
      <x:c r="A404" s="87"/>
      <x:c r="D404" s="32"/>
      <x:c r="I404" s="74"/>
      <x:c r="J404" s="74"/>
      <x:c r="K404" s="74"/>
      <x:c r="L404" s="74"/>
      <x:c r="M404" s="85"/>
      <x:c r="O404" s="86"/>
      <x:c r="P404" s="32"/>
    </x:row>
    <x:row r="405">
      <x:c r="A405" s="87"/>
      <x:c r="D405" s="32"/>
      <x:c r="I405" s="74"/>
      <x:c r="J405" s="74"/>
      <x:c r="K405" s="74"/>
      <x:c r="L405" s="74"/>
      <x:c r="M405" s="85"/>
      <x:c r="O405" s="86"/>
      <x:c r="P405" s="32"/>
    </x:row>
    <x:row r="406">
      <x:c r="A406" s="87"/>
      <x:c r="D406" s="32"/>
      <x:c r="I406" s="74"/>
      <x:c r="J406" s="74"/>
      <x:c r="K406" s="74"/>
      <x:c r="L406" s="74"/>
      <x:c r="M406" s="85"/>
      <x:c r="O406" s="86"/>
      <x:c r="P406" s="32"/>
    </x:row>
    <x:row r="407">
      <x:c r="A407" s="87"/>
      <x:c r="D407" s="32"/>
      <x:c r="I407" s="74"/>
      <x:c r="J407" s="74"/>
      <x:c r="K407" s="74"/>
      <x:c r="L407" s="74"/>
      <x:c r="M407" s="85"/>
      <x:c r="O407" s="86"/>
      <x:c r="P407" s="32"/>
    </x:row>
    <x:row r="408">
      <x:c r="A408" s="87"/>
      <x:c r="D408" s="32"/>
      <x:c r="I408" s="74"/>
      <x:c r="J408" s="74"/>
      <x:c r="K408" s="74"/>
      <x:c r="L408" s="74"/>
      <x:c r="M408" s="85"/>
      <x:c r="O408" s="86"/>
      <x:c r="P408" s="32"/>
    </x:row>
    <x:row r="409">
      <x:c r="A409" s="87"/>
      <x:c r="D409" s="32"/>
      <x:c r="I409" s="74"/>
      <x:c r="J409" s="74"/>
      <x:c r="K409" s="74"/>
      <x:c r="L409" s="74"/>
      <x:c r="M409" s="85"/>
      <x:c r="O409" s="86"/>
      <x:c r="P409" s="32"/>
    </x:row>
    <x:row r="410">
      <x:c r="A410" s="87"/>
      <x:c r="D410" s="32"/>
      <x:c r="I410" s="74"/>
      <x:c r="J410" s="74"/>
      <x:c r="K410" s="74"/>
      <x:c r="L410" s="74"/>
      <x:c r="M410" s="85"/>
      <x:c r="O410" s="86"/>
      <x:c r="P410" s="32"/>
    </x:row>
    <x:row r="411">
      <x:c r="A411" s="87"/>
      <x:c r="D411" s="32"/>
      <x:c r="I411" s="74"/>
      <x:c r="J411" s="74"/>
      <x:c r="K411" s="74"/>
      <x:c r="L411" s="74"/>
      <x:c r="M411" s="85"/>
      <x:c r="O411" s="86"/>
      <x:c r="P411" s="32"/>
    </x:row>
    <x:row r="412">
      <x:c r="A412" s="87"/>
      <x:c r="D412" s="32"/>
      <x:c r="I412" s="74"/>
      <x:c r="J412" s="74"/>
      <x:c r="K412" s="74"/>
      <x:c r="L412" s="74"/>
      <x:c r="M412" s="85"/>
      <x:c r="O412" s="86"/>
      <x:c r="P412" s="32"/>
    </x:row>
    <x:row r="413">
      <x:c r="A413" s="87"/>
      <x:c r="D413" s="32"/>
      <x:c r="I413" s="74"/>
      <x:c r="J413" s="74"/>
      <x:c r="K413" s="74"/>
      <x:c r="L413" s="74"/>
      <x:c r="M413" s="85"/>
      <x:c r="O413" s="86"/>
      <x:c r="P413" s="32"/>
    </x:row>
    <x:row r="414">
      <x:c r="A414" s="87"/>
      <x:c r="D414" s="32"/>
      <x:c r="I414" s="74"/>
      <x:c r="J414" s="74"/>
      <x:c r="K414" s="74"/>
      <x:c r="L414" s="74"/>
      <x:c r="M414" s="85"/>
      <x:c r="O414" s="86"/>
      <x:c r="P414" s="32"/>
    </x:row>
    <x:row r="415">
      <x:c r="A415" s="87"/>
      <x:c r="D415" s="32"/>
      <x:c r="I415" s="74"/>
      <x:c r="J415" s="74"/>
      <x:c r="K415" s="74"/>
      <x:c r="L415" s="74"/>
      <x:c r="M415" s="85"/>
      <x:c r="O415" s="86"/>
      <x:c r="P415" s="32"/>
    </x:row>
    <x:row r="416">
      <x:c r="A416" s="87"/>
      <x:c r="D416" s="32"/>
      <x:c r="I416" s="74"/>
      <x:c r="J416" s="74"/>
      <x:c r="K416" s="74"/>
      <x:c r="L416" s="74"/>
      <x:c r="M416" s="85"/>
      <x:c r="O416" s="86"/>
      <x:c r="P416" s="32"/>
    </x:row>
    <x:row r="417">
      <x:c r="A417" s="87"/>
      <x:c r="D417" s="32"/>
      <x:c r="I417" s="74"/>
      <x:c r="J417" s="74"/>
      <x:c r="K417" s="74"/>
      <x:c r="L417" s="74"/>
      <x:c r="M417" s="85"/>
      <x:c r="O417" s="86"/>
      <x:c r="P417" s="32"/>
    </x:row>
    <x:row r="418">
      <x:c r="A418" s="87"/>
      <x:c r="D418" s="32"/>
      <x:c r="I418" s="74"/>
      <x:c r="J418" s="74"/>
      <x:c r="K418" s="74"/>
      <x:c r="L418" s="74"/>
      <x:c r="M418" s="85"/>
      <x:c r="O418" s="86"/>
      <x:c r="P418" s="32"/>
    </x:row>
    <x:row r="419">
      <x:c r="A419" s="87"/>
      <x:c r="D419" s="32"/>
      <x:c r="I419" s="74"/>
      <x:c r="J419" s="74"/>
      <x:c r="K419" s="74"/>
      <x:c r="L419" s="74"/>
      <x:c r="M419" s="85"/>
      <x:c r="O419" s="86"/>
      <x:c r="P419" s="32"/>
    </x:row>
    <x:row r="420">
      <x:c r="A420" s="87"/>
      <x:c r="D420" s="32"/>
      <x:c r="I420" s="74"/>
      <x:c r="J420" s="74"/>
      <x:c r="K420" s="74"/>
      <x:c r="L420" s="74"/>
      <x:c r="M420" s="85"/>
      <x:c r="O420" s="86"/>
      <x:c r="P420" s="32"/>
    </x:row>
    <x:row r="421">
      <x:c r="A421" s="87"/>
      <x:c r="D421" s="32"/>
      <x:c r="I421" s="74"/>
      <x:c r="J421" s="74"/>
      <x:c r="K421" s="74"/>
      <x:c r="L421" s="74"/>
      <x:c r="M421" s="85"/>
      <x:c r="O421" s="86"/>
      <x:c r="P421" s="32"/>
    </x:row>
    <x:row r="422">
      <x:c r="A422" s="87"/>
      <x:c r="D422" s="32"/>
      <x:c r="I422" s="74"/>
      <x:c r="J422" s="74"/>
      <x:c r="K422" s="74"/>
      <x:c r="L422" s="74"/>
      <x:c r="M422" s="85"/>
      <x:c r="O422" s="86"/>
      <x:c r="P422" s="32"/>
    </x:row>
    <x:row r="423">
      <x:c r="A423" s="87"/>
      <x:c r="D423" s="32"/>
      <x:c r="I423" s="74"/>
      <x:c r="J423" s="74"/>
      <x:c r="K423" s="74"/>
      <x:c r="L423" s="74"/>
      <x:c r="M423" s="85"/>
      <x:c r="O423" s="86"/>
      <x:c r="P423" s="32"/>
    </x:row>
    <x:row r="424">
      <x:c r="A424" s="87"/>
      <x:c r="D424" s="32"/>
      <x:c r="I424" s="74"/>
      <x:c r="J424" s="74"/>
      <x:c r="K424" s="74"/>
      <x:c r="L424" s="74"/>
      <x:c r="M424" s="85"/>
      <x:c r="O424" s="86"/>
      <x:c r="P424" s="32"/>
    </x:row>
    <x:row r="425">
      <x:c r="A425" s="87"/>
      <x:c r="D425" s="32"/>
      <x:c r="I425" s="74"/>
      <x:c r="J425" s="74"/>
      <x:c r="K425" s="74"/>
      <x:c r="L425" s="74"/>
      <x:c r="M425" s="85"/>
      <x:c r="O425" s="86"/>
      <x:c r="P425" s="32"/>
    </x:row>
    <x:row r="426">
      <x:c r="A426" s="87"/>
      <x:c r="D426" s="32"/>
      <x:c r="I426" s="74"/>
      <x:c r="J426" s="74"/>
      <x:c r="K426" s="74"/>
      <x:c r="L426" s="74"/>
      <x:c r="M426" s="85"/>
      <x:c r="O426" s="86"/>
      <x:c r="P426" s="32"/>
    </x:row>
    <x:row r="427">
      <x:c r="A427" s="87"/>
      <x:c r="D427" s="32"/>
      <x:c r="I427" s="74"/>
      <x:c r="J427" s="74"/>
      <x:c r="K427" s="74"/>
      <x:c r="L427" s="74"/>
      <x:c r="M427" s="85"/>
      <x:c r="O427" s="86"/>
      <x:c r="P427" s="32"/>
    </x:row>
    <x:row r="428">
      <x:c r="A428" s="87"/>
      <x:c r="D428" s="32"/>
      <x:c r="I428" s="74"/>
      <x:c r="J428" s="74"/>
      <x:c r="K428" s="74"/>
      <x:c r="L428" s="74"/>
      <x:c r="M428" s="85"/>
      <x:c r="O428" s="86"/>
      <x:c r="P428" s="32"/>
    </x:row>
    <x:row r="429">
      <x:c r="A429" s="87"/>
      <x:c r="D429" s="32"/>
      <x:c r="I429" s="74"/>
      <x:c r="J429" s="74"/>
      <x:c r="K429" s="74"/>
      <x:c r="L429" s="74"/>
      <x:c r="M429" s="85"/>
      <x:c r="O429" s="86"/>
      <x:c r="P429" s="32"/>
    </x:row>
    <x:row r="430">
      <x:c r="A430" s="87"/>
      <x:c r="D430" s="32"/>
      <x:c r="I430" s="74"/>
      <x:c r="J430" s="74"/>
      <x:c r="K430" s="74"/>
      <x:c r="L430" s="74"/>
      <x:c r="M430" s="85"/>
      <x:c r="O430" s="86"/>
      <x:c r="P430" s="32"/>
    </x:row>
    <x:row r="431">
      <x:c r="A431" s="87"/>
      <x:c r="D431" s="32"/>
      <x:c r="I431" s="74"/>
      <x:c r="J431" s="74"/>
      <x:c r="K431" s="74"/>
      <x:c r="L431" s="74"/>
      <x:c r="M431" s="85"/>
      <x:c r="O431" s="86"/>
      <x:c r="P431" s="32"/>
    </x:row>
    <x:row r="432">
      <x:c r="A432" s="87"/>
      <x:c r="D432" s="32"/>
      <x:c r="I432" s="74"/>
      <x:c r="J432" s="74"/>
      <x:c r="K432" s="74"/>
      <x:c r="L432" s="74"/>
      <x:c r="M432" s="85"/>
      <x:c r="O432" s="86"/>
      <x:c r="P432" s="32"/>
    </x:row>
    <x:row r="433">
      <x:c r="A433" s="87"/>
      <x:c r="D433" s="32"/>
      <x:c r="I433" s="74"/>
      <x:c r="J433" s="74"/>
      <x:c r="K433" s="74"/>
      <x:c r="L433" s="74"/>
      <x:c r="M433" s="85"/>
      <x:c r="O433" s="86"/>
      <x:c r="P433" s="32"/>
    </x:row>
    <x:row r="434">
      <x:c r="A434" s="87"/>
      <x:c r="D434" s="32"/>
      <x:c r="I434" s="74"/>
      <x:c r="J434" s="74"/>
      <x:c r="K434" s="74"/>
      <x:c r="L434" s="74"/>
      <x:c r="M434" s="85"/>
      <x:c r="O434" s="86"/>
      <x:c r="P434" s="32"/>
    </x:row>
    <x:row r="435">
      <x:c r="A435" s="87"/>
      <x:c r="D435" s="32"/>
      <x:c r="I435" s="74"/>
      <x:c r="J435" s="74"/>
      <x:c r="K435" s="74"/>
      <x:c r="L435" s="74"/>
      <x:c r="M435" s="85"/>
      <x:c r="O435" s="86"/>
      <x:c r="P435" s="32"/>
    </x:row>
    <x:row r="436">
      <x:c r="A436" s="87"/>
      <x:c r="D436" s="32"/>
      <x:c r="I436" s="74"/>
      <x:c r="J436" s="74"/>
      <x:c r="K436" s="74"/>
      <x:c r="L436" s="74"/>
      <x:c r="M436" s="85"/>
      <x:c r="O436" s="86"/>
      <x:c r="P436" s="32"/>
    </x:row>
    <x:row r="437">
      <x:c r="A437" s="87"/>
      <x:c r="D437" s="32"/>
      <x:c r="I437" s="74"/>
      <x:c r="J437" s="74"/>
      <x:c r="K437" s="74"/>
      <x:c r="L437" s="74"/>
      <x:c r="M437" s="85"/>
      <x:c r="O437" s="86"/>
      <x:c r="P437" s="32"/>
    </x:row>
    <x:row r="438">
      <x:c r="A438" s="87"/>
      <x:c r="D438" s="32"/>
      <x:c r="I438" s="74"/>
      <x:c r="J438" s="74"/>
      <x:c r="K438" s="74"/>
      <x:c r="L438" s="74"/>
      <x:c r="M438" s="85"/>
      <x:c r="O438" s="86"/>
      <x:c r="P438" s="32"/>
    </x:row>
    <x:row r="439">
      <x:c r="A439" s="87"/>
      <x:c r="D439" s="32"/>
      <x:c r="I439" s="74"/>
      <x:c r="J439" s="74"/>
      <x:c r="K439" s="74"/>
      <x:c r="L439" s="74"/>
      <x:c r="M439" s="85"/>
      <x:c r="O439" s="86"/>
      <x:c r="P439" s="32"/>
    </x:row>
    <x:row r="440">
      <x:c r="A440" s="87"/>
      <x:c r="D440" s="32"/>
      <x:c r="I440" s="74"/>
      <x:c r="J440" s="74"/>
      <x:c r="K440" s="74"/>
      <x:c r="L440" s="74"/>
      <x:c r="M440" s="85"/>
      <x:c r="O440" s="86"/>
      <x:c r="P440" s="32"/>
    </x:row>
    <x:row r="441">
      <x:c r="A441" s="87"/>
      <x:c r="D441" s="32"/>
      <x:c r="I441" s="74"/>
      <x:c r="J441" s="74"/>
      <x:c r="K441" s="74"/>
      <x:c r="L441" s="74"/>
      <x:c r="M441" s="85"/>
      <x:c r="O441" s="86"/>
      <x:c r="P441" s="32"/>
    </x:row>
    <x:row r="442">
      <x:c r="A442" s="87"/>
      <x:c r="D442" s="32"/>
      <x:c r="I442" s="74"/>
      <x:c r="J442" s="74"/>
      <x:c r="K442" s="74"/>
      <x:c r="L442" s="74"/>
      <x:c r="M442" s="85"/>
      <x:c r="O442" s="86"/>
      <x:c r="P442" s="32"/>
    </x:row>
    <x:row r="443">
      <x:c r="A443" s="87"/>
      <x:c r="D443" s="32"/>
      <x:c r="I443" s="74"/>
      <x:c r="J443" s="74"/>
      <x:c r="K443" s="74"/>
      <x:c r="L443" s="74"/>
      <x:c r="M443" s="85"/>
      <x:c r="O443" s="86"/>
      <x:c r="P443" s="32"/>
    </x:row>
    <x:row r="444">
      <x:c r="A444" s="87"/>
      <x:c r="D444" s="32"/>
      <x:c r="I444" s="74"/>
      <x:c r="J444" s="74"/>
      <x:c r="K444" s="74"/>
      <x:c r="L444" s="74"/>
      <x:c r="M444" s="85"/>
      <x:c r="O444" s="86"/>
      <x:c r="P444" s="32"/>
    </x:row>
    <x:row r="445">
      <x:c r="A445" s="87"/>
      <x:c r="D445" s="32"/>
      <x:c r="I445" s="74"/>
      <x:c r="J445" s="74"/>
      <x:c r="K445" s="74"/>
      <x:c r="L445" s="74"/>
      <x:c r="M445" s="85"/>
      <x:c r="O445" s="86"/>
      <x:c r="P445" s="32"/>
    </x:row>
    <x:row r="446">
      <x:c r="A446" s="87"/>
      <x:c r="D446" s="32"/>
      <x:c r="I446" s="74"/>
      <x:c r="J446" s="74"/>
      <x:c r="K446" s="74"/>
      <x:c r="L446" s="74"/>
      <x:c r="M446" s="85"/>
      <x:c r="O446" s="86"/>
      <x:c r="P446" s="32"/>
    </x:row>
    <x:row r="447">
      <x:c r="A447" s="87"/>
      <x:c r="D447" s="32"/>
      <x:c r="I447" s="74"/>
      <x:c r="J447" s="74"/>
      <x:c r="K447" s="74"/>
      <x:c r="L447" s="74"/>
      <x:c r="M447" s="85"/>
      <x:c r="O447" s="86"/>
      <x:c r="P447" s="32"/>
    </x:row>
    <x:row r="448">
      <x:c r="A448" s="87"/>
      <x:c r="D448" s="32"/>
      <x:c r="I448" s="74"/>
      <x:c r="J448" s="74"/>
      <x:c r="K448" s="74"/>
      <x:c r="L448" s="74"/>
      <x:c r="M448" s="85"/>
      <x:c r="O448" s="86"/>
      <x:c r="P448" s="32"/>
    </x:row>
    <x:row r="449">
      <x:c r="A449" s="87"/>
      <x:c r="D449" s="32"/>
      <x:c r="I449" s="74"/>
      <x:c r="J449" s="74"/>
      <x:c r="K449" s="74"/>
      <x:c r="L449" s="74"/>
      <x:c r="M449" s="85"/>
      <x:c r="O449" s="86"/>
      <x:c r="P449" s="32"/>
    </x:row>
    <x:row r="450">
      <x:c r="A450" s="87"/>
      <x:c r="D450" s="32"/>
      <x:c r="I450" s="74"/>
      <x:c r="J450" s="74"/>
      <x:c r="K450" s="74"/>
      <x:c r="L450" s="74"/>
      <x:c r="M450" s="85"/>
      <x:c r="O450" s="86"/>
      <x:c r="P450" s="32"/>
    </x:row>
    <x:row r="451">
      <x:c r="A451" s="87"/>
      <x:c r="D451" s="32"/>
      <x:c r="I451" s="74"/>
      <x:c r="J451" s="74"/>
      <x:c r="K451" s="74"/>
      <x:c r="L451" s="74"/>
      <x:c r="M451" s="85"/>
      <x:c r="O451" s="86"/>
      <x:c r="P451" s="32"/>
    </x:row>
    <x:row r="452">
      <x:c r="A452" s="87"/>
      <x:c r="D452" s="32"/>
      <x:c r="I452" s="74"/>
      <x:c r="J452" s="74"/>
      <x:c r="K452" s="74"/>
      <x:c r="L452" s="74"/>
      <x:c r="M452" s="85"/>
      <x:c r="O452" s="86"/>
      <x:c r="P452" s="32"/>
    </x:row>
    <x:row r="453">
      <x:c r="A453" s="87"/>
      <x:c r="D453" s="32"/>
      <x:c r="I453" s="74"/>
      <x:c r="J453" s="74"/>
      <x:c r="K453" s="74"/>
      <x:c r="L453" s="74"/>
      <x:c r="M453" s="85"/>
      <x:c r="O453" s="86"/>
      <x:c r="P453" s="32"/>
    </x:row>
    <x:row r="454">
      <x:c r="A454" s="87"/>
      <x:c r="D454" s="32"/>
      <x:c r="I454" s="74"/>
      <x:c r="J454" s="74"/>
      <x:c r="K454" s="74"/>
      <x:c r="L454" s="74"/>
      <x:c r="M454" s="85"/>
      <x:c r="O454" s="86"/>
      <x:c r="P454" s="32"/>
    </x:row>
    <x:row r="455">
      <x:c r="A455" s="87"/>
      <x:c r="D455" s="32"/>
      <x:c r="I455" s="74"/>
      <x:c r="J455" s="74"/>
      <x:c r="K455" s="74"/>
      <x:c r="L455" s="74"/>
      <x:c r="M455" s="85"/>
      <x:c r="O455" s="86"/>
      <x:c r="P455" s="32"/>
    </x:row>
    <x:row r="456">
      <x:c r="A456" s="87"/>
      <x:c r="D456" s="32"/>
      <x:c r="I456" s="74"/>
      <x:c r="J456" s="74"/>
      <x:c r="K456" s="74"/>
      <x:c r="L456" s="74"/>
      <x:c r="M456" s="85"/>
      <x:c r="O456" s="86"/>
      <x:c r="P456" s="32"/>
    </x:row>
    <x:row r="457">
      <x:c r="A457" s="87"/>
      <x:c r="D457" s="32"/>
      <x:c r="I457" s="74"/>
      <x:c r="J457" s="74"/>
      <x:c r="K457" s="74"/>
      <x:c r="L457" s="74"/>
      <x:c r="M457" s="85"/>
      <x:c r="O457" s="86"/>
      <x:c r="P457" s="32"/>
    </x:row>
    <x:row r="458">
      <x:c r="A458" s="87"/>
      <x:c r="D458" s="32"/>
      <x:c r="I458" s="74"/>
      <x:c r="J458" s="74"/>
      <x:c r="K458" s="74"/>
      <x:c r="L458" s="74"/>
      <x:c r="M458" s="85"/>
      <x:c r="O458" s="86"/>
      <x:c r="P458" s="32"/>
    </x:row>
    <x:row r="459">
      <x:c r="A459" s="87"/>
      <x:c r="D459" s="32"/>
      <x:c r="I459" s="74"/>
      <x:c r="J459" s="74"/>
      <x:c r="K459" s="74"/>
      <x:c r="L459" s="74"/>
      <x:c r="M459" s="85"/>
      <x:c r="O459" s="86"/>
      <x:c r="P459" s="32"/>
    </x:row>
    <x:row r="460">
      <x:c r="A460" s="87"/>
      <x:c r="D460" s="32"/>
      <x:c r="I460" s="74"/>
      <x:c r="J460" s="74"/>
      <x:c r="K460" s="74"/>
      <x:c r="L460" s="74"/>
      <x:c r="M460" s="85"/>
      <x:c r="O460" s="86"/>
      <x:c r="P460" s="32"/>
    </x:row>
    <x:row r="461">
      <x:c r="A461" s="87"/>
      <x:c r="D461" s="32"/>
      <x:c r="I461" s="74"/>
      <x:c r="J461" s="74"/>
      <x:c r="K461" s="74"/>
      <x:c r="L461" s="74"/>
      <x:c r="M461" s="85"/>
      <x:c r="O461" s="86"/>
      <x:c r="P461" s="32"/>
    </x:row>
    <x:row r="462">
      <x:c r="A462" s="87"/>
      <x:c r="D462" s="32"/>
      <x:c r="I462" s="74"/>
      <x:c r="J462" s="74"/>
      <x:c r="K462" s="74"/>
      <x:c r="L462" s="74"/>
      <x:c r="M462" s="85"/>
      <x:c r="O462" s="86"/>
      <x:c r="P462" s="32"/>
    </x:row>
    <x:row r="463">
      <x:c r="A463" s="87"/>
      <x:c r="D463" s="32"/>
      <x:c r="I463" s="74"/>
      <x:c r="J463" s="74"/>
      <x:c r="K463" s="74"/>
      <x:c r="L463" s="74"/>
      <x:c r="M463" s="85"/>
      <x:c r="O463" s="86"/>
      <x:c r="P463" s="32"/>
    </x:row>
    <x:row r="464">
      <x:c r="A464" s="87"/>
      <x:c r="D464" s="32"/>
      <x:c r="I464" s="74"/>
      <x:c r="J464" s="74"/>
      <x:c r="K464" s="74"/>
      <x:c r="L464" s="74"/>
      <x:c r="M464" s="85"/>
      <x:c r="O464" s="86"/>
      <x:c r="P464" s="32"/>
    </x:row>
    <x:row r="465">
      <x:c r="A465" s="87"/>
      <x:c r="D465" s="32"/>
      <x:c r="I465" s="74"/>
      <x:c r="J465" s="74"/>
      <x:c r="K465" s="74"/>
      <x:c r="L465" s="74"/>
      <x:c r="M465" s="85"/>
      <x:c r="O465" s="86"/>
      <x:c r="P465" s="32"/>
    </x:row>
    <x:row r="466">
      <x:c r="A466" s="87"/>
      <x:c r="D466" s="32"/>
      <x:c r="I466" s="74"/>
      <x:c r="J466" s="74"/>
      <x:c r="K466" s="74"/>
      <x:c r="L466" s="74"/>
      <x:c r="M466" s="85"/>
      <x:c r="O466" s="86"/>
      <x:c r="P466" s="32"/>
    </x:row>
    <x:row r="467">
      <x:c r="A467" s="87"/>
      <x:c r="D467" s="32"/>
      <x:c r="I467" s="74"/>
      <x:c r="J467" s="74"/>
      <x:c r="K467" s="74"/>
      <x:c r="L467" s="74"/>
      <x:c r="M467" s="85"/>
      <x:c r="O467" s="86"/>
      <x:c r="P467" s="32"/>
    </x:row>
    <x:row r="468">
      <x:c r="A468" s="87"/>
      <x:c r="D468" s="32"/>
      <x:c r="I468" s="74"/>
      <x:c r="J468" s="74"/>
      <x:c r="K468" s="74"/>
      <x:c r="L468" s="74"/>
      <x:c r="M468" s="85"/>
      <x:c r="O468" s="86"/>
      <x:c r="P468" s="32"/>
    </x:row>
    <x:row r="469">
      <x:c r="A469" s="87"/>
      <x:c r="D469" s="32"/>
      <x:c r="I469" s="74"/>
      <x:c r="J469" s="74"/>
      <x:c r="K469" s="74"/>
      <x:c r="L469" s="74"/>
      <x:c r="M469" s="85"/>
      <x:c r="O469" s="86"/>
      <x:c r="P469" s="32"/>
    </x:row>
    <x:row r="470">
      <x:c r="A470" s="87"/>
      <x:c r="D470" s="32"/>
      <x:c r="I470" s="74"/>
      <x:c r="J470" s="74"/>
      <x:c r="K470" s="74"/>
      <x:c r="L470" s="74"/>
      <x:c r="M470" s="85"/>
      <x:c r="O470" s="86"/>
      <x:c r="P470" s="32"/>
    </x:row>
    <x:row r="471">
      <x:c r="A471" s="87"/>
      <x:c r="D471" s="32"/>
      <x:c r="I471" s="74"/>
      <x:c r="J471" s="74"/>
      <x:c r="K471" s="74"/>
      <x:c r="L471" s="74"/>
      <x:c r="M471" s="85"/>
      <x:c r="O471" s="86"/>
      <x:c r="P471" s="32"/>
    </x:row>
    <x:row r="472">
      <x:c r="A472" s="87"/>
      <x:c r="D472" s="32"/>
      <x:c r="I472" s="74"/>
      <x:c r="J472" s="74"/>
      <x:c r="K472" s="74"/>
      <x:c r="L472" s="74"/>
      <x:c r="M472" s="85"/>
      <x:c r="O472" s="86"/>
      <x:c r="P472" s="32"/>
    </x:row>
    <x:row r="473">
      <x:c r="A473" s="87"/>
      <x:c r="D473" s="32"/>
      <x:c r="I473" s="74"/>
      <x:c r="J473" s="74"/>
      <x:c r="K473" s="74"/>
      <x:c r="L473" s="74"/>
      <x:c r="M473" s="85"/>
      <x:c r="O473" s="86"/>
      <x:c r="P473" s="32"/>
    </x:row>
    <x:row r="474">
      <x:c r="A474" s="87"/>
      <x:c r="D474" s="32"/>
      <x:c r="I474" s="74"/>
      <x:c r="J474" s="74"/>
      <x:c r="K474" s="74"/>
      <x:c r="L474" s="74"/>
      <x:c r="M474" s="85"/>
      <x:c r="O474" s="86"/>
      <x:c r="P474" s="32"/>
    </x:row>
    <x:row r="475">
      <x:c r="A475" s="87"/>
      <x:c r="D475" s="32"/>
      <x:c r="I475" s="74"/>
      <x:c r="J475" s="74"/>
      <x:c r="K475" s="74"/>
      <x:c r="L475" s="74"/>
      <x:c r="M475" s="85"/>
      <x:c r="O475" s="86"/>
      <x:c r="P475" s="32"/>
    </x:row>
    <x:row r="476">
      <x:c r="A476" s="87"/>
      <x:c r="D476" s="32"/>
      <x:c r="I476" s="74"/>
      <x:c r="J476" s="74"/>
      <x:c r="K476" s="74"/>
      <x:c r="L476" s="74"/>
      <x:c r="M476" s="85"/>
      <x:c r="O476" s="86"/>
      <x:c r="P476" s="32"/>
    </x:row>
    <x:row r="477">
      <x:c r="A477" s="87"/>
      <x:c r="D477" s="32"/>
      <x:c r="I477" s="74"/>
      <x:c r="J477" s="74"/>
      <x:c r="K477" s="74"/>
      <x:c r="L477" s="74"/>
      <x:c r="M477" s="85"/>
      <x:c r="O477" s="86"/>
      <x:c r="P477" s="32"/>
    </x:row>
    <x:row r="478">
      <x:c r="A478" s="87"/>
      <x:c r="D478" s="32"/>
      <x:c r="I478" s="74"/>
      <x:c r="J478" s="74"/>
      <x:c r="K478" s="74"/>
      <x:c r="L478" s="74"/>
      <x:c r="M478" s="85"/>
      <x:c r="O478" s="86"/>
      <x:c r="P478" s="32"/>
    </x:row>
    <x:row r="479">
      <x:c r="A479" s="87"/>
      <x:c r="D479" s="32"/>
      <x:c r="I479" s="74"/>
      <x:c r="J479" s="74"/>
      <x:c r="K479" s="74"/>
      <x:c r="L479" s="74"/>
      <x:c r="M479" s="85"/>
      <x:c r="O479" s="86"/>
      <x:c r="P479" s="32"/>
    </x:row>
    <x:row r="480">
      <x:c r="A480" s="87"/>
      <x:c r="D480" s="32"/>
      <x:c r="I480" s="74"/>
      <x:c r="J480" s="74"/>
      <x:c r="K480" s="74"/>
      <x:c r="L480" s="74"/>
      <x:c r="M480" s="85"/>
      <x:c r="O480" s="86"/>
      <x:c r="P480" s="32"/>
    </x:row>
    <x:row r="481">
      <x:c r="A481" s="87"/>
      <x:c r="D481" s="32"/>
      <x:c r="I481" s="74"/>
      <x:c r="J481" s="74"/>
      <x:c r="K481" s="74"/>
      <x:c r="L481" s="74"/>
      <x:c r="M481" s="85"/>
      <x:c r="O481" s="86"/>
      <x:c r="P481" s="32"/>
    </x:row>
    <x:row r="482">
      <x:c r="A482" s="87"/>
      <x:c r="D482" s="32"/>
      <x:c r="I482" s="74"/>
      <x:c r="J482" s="74"/>
      <x:c r="K482" s="74"/>
      <x:c r="L482" s="74"/>
      <x:c r="M482" s="85"/>
      <x:c r="O482" s="86"/>
      <x:c r="P482" s="32"/>
    </x:row>
    <x:row r="483">
      <x:c r="A483" s="87"/>
      <x:c r="D483" s="32"/>
      <x:c r="I483" s="74"/>
      <x:c r="J483" s="74"/>
      <x:c r="K483" s="74"/>
      <x:c r="L483" s="74"/>
      <x:c r="M483" s="85"/>
      <x:c r="O483" s="86"/>
      <x:c r="P483" s="32"/>
    </x:row>
    <x:row r="484">
      <x:c r="A484" s="87"/>
      <x:c r="D484" s="32"/>
      <x:c r="I484" s="74"/>
      <x:c r="J484" s="74"/>
      <x:c r="K484" s="74"/>
      <x:c r="L484" s="74"/>
      <x:c r="M484" s="85"/>
      <x:c r="O484" s="86"/>
      <x:c r="P484" s="32"/>
    </x:row>
    <x:row r="485">
      <x:c r="A485" s="87"/>
      <x:c r="D485" s="32"/>
      <x:c r="I485" s="74"/>
      <x:c r="J485" s="74"/>
      <x:c r="K485" s="74"/>
      <x:c r="L485" s="74"/>
      <x:c r="M485" s="85"/>
      <x:c r="O485" s="86"/>
      <x:c r="P485" s="32"/>
    </x:row>
    <x:row r="486">
      <x:c r="A486" s="87"/>
      <x:c r="D486" s="32"/>
      <x:c r="I486" s="74"/>
      <x:c r="J486" s="74"/>
      <x:c r="K486" s="74"/>
      <x:c r="L486" s="74"/>
      <x:c r="M486" s="85"/>
      <x:c r="O486" s="86"/>
      <x:c r="P486" s="32"/>
    </x:row>
    <x:row r="487">
      <x:c r="A487" s="87"/>
      <x:c r="D487" s="32"/>
      <x:c r="I487" s="74"/>
      <x:c r="J487" s="74"/>
      <x:c r="K487" s="74"/>
      <x:c r="L487" s="74"/>
      <x:c r="M487" s="85"/>
      <x:c r="O487" s="86"/>
      <x:c r="P487" s="32"/>
    </x:row>
    <x:row r="488">
      <x:c r="A488" s="87"/>
      <x:c r="D488" s="32"/>
      <x:c r="I488" s="74"/>
      <x:c r="J488" s="74"/>
      <x:c r="K488" s="74"/>
      <x:c r="L488" s="74"/>
      <x:c r="M488" s="85"/>
      <x:c r="O488" s="86"/>
      <x:c r="P488" s="32"/>
    </x:row>
    <x:row r="489">
      <x:c r="A489" s="87"/>
      <x:c r="D489" s="32"/>
      <x:c r="I489" s="74"/>
      <x:c r="J489" s="74"/>
      <x:c r="K489" s="74"/>
      <x:c r="L489" s="74"/>
      <x:c r="M489" s="85"/>
      <x:c r="O489" s="86"/>
      <x:c r="P489" s="32"/>
    </x:row>
    <x:row r="490">
      <x:c r="A490" s="87"/>
      <x:c r="D490" s="32"/>
      <x:c r="I490" s="74"/>
      <x:c r="J490" s="74"/>
      <x:c r="K490" s="74"/>
      <x:c r="L490" s="74"/>
      <x:c r="M490" s="85"/>
      <x:c r="O490" s="86"/>
      <x:c r="P490" s="32"/>
    </x:row>
    <x:row r="491">
      <x:c r="A491" s="87"/>
      <x:c r="D491" s="32"/>
      <x:c r="I491" s="74"/>
      <x:c r="J491" s="74"/>
      <x:c r="K491" s="74"/>
      <x:c r="L491" s="74"/>
      <x:c r="M491" s="85"/>
      <x:c r="O491" s="86"/>
      <x:c r="P491" s="32"/>
    </x:row>
    <x:row r="492">
      <x:c r="A492" s="87"/>
      <x:c r="D492" s="32"/>
      <x:c r="I492" s="74"/>
      <x:c r="J492" s="74"/>
      <x:c r="K492" s="74"/>
      <x:c r="L492" s="74"/>
      <x:c r="M492" s="85"/>
      <x:c r="O492" s="86"/>
      <x:c r="P492" s="32"/>
    </x:row>
    <x:row r="493">
      <x:c r="A493" s="87"/>
      <x:c r="D493" s="32"/>
      <x:c r="I493" s="74"/>
      <x:c r="J493" s="74"/>
      <x:c r="K493" s="74"/>
      <x:c r="L493" s="74"/>
      <x:c r="M493" s="85"/>
      <x:c r="O493" s="86"/>
      <x:c r="P493" s="32"/>
    </x:row>
    <x:row r="494">
      <x:c r="A494" s="87"/>
      <x:c r="D494" s="32"/>
      <x:c r="I494" s="74"/>
      <x:c r="J494" s="74"/>
      <x:c r="K494" s="74"/>
      <x:c r="L494" s="74"/>
      <x:c r="M494" s="85"/>
      <x:c r="O494" s="86"/>
      <x:c r="P494" s="32"/>
    </x:row>
    <x:row r="495">
      <x:c r="A495" s="87"/>
      <x:c r="D495" s="32"/>
      <x:c r="I495" s="74"/>
      <x:c r="J495" s="74"/>
      <x:c r="K495" s="74"/>
      <x:c r="L495" s="74"/>
      <x:c r="M495" s="85"/>
      <x:c r="O495" s="86"/>
      <x:c r="P495" s="32"/>
    </x:row>
    <x:row r="496">
      <x:c r="A496" s="87"/>
      <x:c r="D496" s="32"/>
      <x:c r="I496" s="74"/>
      <x:c r="J496" s="74"/>
      <x:c r="K496" s="74"/>
      <x:c r="L496" s="74"/>
      <x:c r="M496" s="85"/>
      <x:c r="O496" s="86"/>
      <x:c r="P496" s="32"/>
    </x:row>
    <x:row r="497">
      <x:c r="A497" s="87"/>
      <x:c r="D497" s="32"/>
      <x:c r="I497" s="74"/>
      <x:c r="J497" s="74"/>
      <x:c r="K497" s="74"/>
      <x:c r="L497" s="74"/>
      <x:c r="M497" s="85"/>
      <x:c r="O497" s="86"/>
      <x:c r="P497" s="32"/>
    </x:row>
    <x:row r="498">
      <x:c r="A498" s="87"/>
      <x:c r="D498" s="32"/>
      <x:c r="I498" s="74"/>
      <x:c r="J498" s="74"/>
      <x:c r="K498" s="74"/>
      <x:c r="L498" s="74"/>
      <x:c r="M498" s="85"/>
      <x:c r="O498" s="86"/>
      <x:c r="P498" s="32"/>
    </x:row>
    <x:row r="499">
      <x:c r="A499" s="87"/>
      <x:c r="D499" s="32"/>
      <x:c r="I499" s="74"/>
      <x:c r="J499" s="74"/>
      <x:c r="K499" s="74"/>
      <x:c r="L499" s="74"/>
      <x:c r="M499" s="85"/>
      <x:c r="O499" s="86"/>
      <x:c r="P499" s="32"/>
    </x:row>
    <x:row r="500">
      <x:c r="A500" s="87"/>
      <x:c r="D500" s="32"/>
      <x:c r="I500" s="74"/>
      <x:c r="J500" s="74"/>
      <x:c r="K500" s="74"/>
      <x:c r="L500" s="74"/>
      <x:c r="M500" s="85"/>
      <x:c r="O500" s="86"/>
      <x:c r="P500" s="32"/>
    </x:row>
    <x:row r="501">
      <x:c r="A501" s="87"/>
      <x:c r="D501" s="32"/>
      <x:c r="I501" s="74"/>
      <x:c r="J501" s="74"/>
      <x:c r="K501" s="74"/>
      <x:c r="L501" s="74"/>
      <x:c r="M501" s="85"/>
      <x:c r="O501" s="86"/>
      <x:c r="P501" s="32"/>
    </x:row>
    <x:row r="502">
      <x:c r="A502" s="87"/>
      <x:c r="D502" s="32"/>
      <x:c r="I502" s="74"/>
      <x:c r="J502" s="74"/>
      <x:c r="K502" s="74"/>
      <x:c r="L502" s="74"/>
      <x:c r="M502" s="85"/>
      <x:c r="O502" s="86"/>
      <x:c r="P502" s="32"/>
    </x:row>
    <x:row r="503">
      <x:c r="A503" s="87"/>
      <x:c r="D503" s="32"/>
      <x:c r="I503" s="74"/>
      <x:c r="J503" s="74"/>
      <x:c r="K503" s="74"/>
      <x:c r="L503" s="74"/>
      <x:c r="M503" s="85"/>
      <x:c r="O503" s="86"/>
      <x:c r="P503" s="32"/>
    </x:row>
    <x:row r="504">
      <x:c r="A504" s="87"/>
      <x:c r="D504" s="32"/>
      <x:c r="I504" s="74"/>
      <x:c r="J504" s="74"/>
      <x:c r="K504" s="74"/>
      <x:c r="L504" s="74"/>
      <x:c r="M504" s="85"/>
      <x:c r="O504" s="86"/>
      <x:c r="P504" s="32"/>
    </x:row>
    <x:row r="505">
      <x:c r="A505" s="87"/>
      <x:c r="D505" s="32"/>
      <x:c r="I505" s="74"/>
      <x:c r="J505" s="74"/>
      <x:c r="K505" s="74"/>
      <x:c r="L505" s="74"/>
      <x:c r="M505" s="85"/>
      <x:c r="O505" s="86"/>
      <x:c r="P505" s="32"/>
    </x:row>
    <x:row r="506">
      <x:c r="A506" s="87"/>
      <x:c r="D506" s="32"/>
      <x:c r="I506" s="74"/>
      <x:c r="J506" s="74"/>
      <x:c r="K506" s="74"/>
      <x:c r="L506" s="74"/>
      <x:c r="M506" s="85"/>
      <x:c r="O506" s="86"/>
      <x:c r="P506" s="32"/>
    </x:row>
    <x:row r="507">
      <x:c r="A507" s="87"/>
      <x:c r="D507" s="32"/>
      <x:c r="I507" s="74"/>
      <x:c r="J507" s="74"/>
      <x:c r="K507" s="74"/>
      <x:c r="L507" s="74"/>
      <x:c r="M507" s="85"/>
      <x:c r="O507" s="86"/>
      <x:c r="P507" s="32"/>
    </x:row>
    <x:row r="508">
      <x:c r="A508" s="87"/>
      <x:c r="D508" s="32"/>
      <x:c r="I508" s="74"/>
      <x:c r="J508" s="74"/>
      <x:c r="K508" s="74"/>
      <x:c r="L508" s="74"/>
      <x:c r="M508" s="85"/>
      <x:c r="O508" s="86"/>
      <x:c r="P508" s="32"/>
    </x:row>
    <x:row r="509">
      <x:c r="A509" s="87"/>
      <x:c r="D509" s="32"/>
      <x:c r="I509" s="74"/>
      <x:c r="J509" s="74"/>
      <x:c r="K509" s="74"/>
      <x:c r="L509" s="74"/>
      <x:c r="M509" s="85"/>
      <x:c r="O509" s="86"/>
      <x:c r="P509" s="32"/>
    </x:row>
    <x:row r="510">
      <x:c r="A510" s="87"/>
      <x:c r="D510" s="32"/>
      <x:c r="I510" s="74"/>
      <x:c r="J510" s="74"/>
      <x:c r="K510" s="74"/>
      <x:c r="L510" s="74"/>
      <x:c r="M510" s="85"/>
      <x:c r="O510" s="86"/>
      <x:c r="P510" s="32"/>
    </x:row>
    <x:row r="511">
      <x:c r="A511" s="87"/>
      <x:c r="D511" s="32"/>
      <x:c r="I511" s="74"/>
      <x:c r="J511" s="74"/>
      <x:c r="K511" s="74"/>
      <x:c r="L511" s="74"/>
      <x:c r="M511" s="85"/>
      <x:c r="O511" s="86"/>
      <x:c r="P511" s="32"/>
    </x:row>
    <x:row r="512">
      <x:c r="A512" s="87"/>
      <x:c r="D512" s="32"/>
      <x:c r="I512" s="74"/>
      <x:c r="J512" s="74"/>
      <x:c r="K512" s="74"/>
      <x:c r="L512" s="74"/>
      <x:c r="M512" s="85"/>
      <x:c r="O512" s="86"/>
      <x:c r="P512" s="32"/>
    </x:row>
    <x:row r="513">
      <x:c r="A513" s="87"/>
      <x:c r="D513" s="32"/>
      <x:c r="I513" s="74"/>
      <x:c r="J513" s="74"/>
      <x:c r="K513" s="74"/>
      <x:c r="L513" s="74"/>
      <x:c r="M513" s="85"/>
      <x:c r="O513" s="86"/>
      <x:c r="P513" s="32"/>
    </x:row>
    <x:row r="514">
      <x:c r="A514" s="87"/>
      <x:c r="D514" s="32"/>
      <x:c r="I514" s="74"/>
      <x:c r="J514" s="74"/>
      <x:c r="K514" s="74"/>
      <x:c r="L514" s="74"/>
      <x:c r="M514" s="85"/>
      <x:c r="O514" s="86"/>
      <x:c r="P514" s="32"/>
    </x:row>
    <x:row r="515">
      <x:c r="A515" s="87"/>
      <x:c r="D515" s="32"/>
      <x:c r="I515" s="74"/>
      <x:c r="J515" s="74"/>
      <x:c r="K515" s="74"/>
      <x:c r="L515" s="74"/>
      <x:c r="M515" s="85"/>
      <x:c r="O515" s="86"/>
      <x:c r="P515" s="32"/>
    </x:row>
    <x:row r="516">
      <x:c r="A516" s="87"/>
      <x:c r="D516" s="32"/>
      <x:c r="I516" s="74"/>
      <x:c r="J516" s="74"/>
      <x:c r="K516" s="74"/>
      <x:c r="L516" s="74"/>
      <x:c r="M516" s="85"/>
      <x:c r="O516" s="86"/>
      <x:c r="P516" s="32"/>
    </x:row>
    <x:row r="517">
      <x:c r="A517" s="87"/>
      <x:c r="D517" s="32"/>
      <x:c r="I517" s="74"/>
      <x:c r="J517" s="74"/>
      <x:c r="K517" s="74"/>
      <x:c r="L517" s="74"/>
      <x:c r="M517" s="85"/>
      <x:c r="O517" s="86"/>
      <x:c r="P517" s="32"/>
    </x:row>
    <x:row r="518">
      <x:c r="A518" s="87"/>
      <x:c r="D518" s="32"/>
      <x:c r="I518" s="74"/>
      <x:c r="J518" s="74"/>
      <x:c r="K518" s="74"/>
      <x:c r="L518" s="74"/>
      <x:c r="M518" s="85"/>
      <x:c r="O518" s="86"/>
      <x:c r="P518" s="32"/>
    </x:row>
    <x:row r="519">
      <x:c r="A519" s="87"/>
      <x:c r="D519" s="32"/>
      <x:c r="I519" s="74"/>
      <x:c r="J519" s="74"/>
      <x:c r="K519" s="74"/>
      <x:c r="L519" s="74"/>
      <x:c r="M519" s="85"/>
      <x:c r="O519" s="86"/>
      <x:c r="P519" s="32"/>
    </x:row>
    <x:row r="520">
      <x:c r="A520" s="87"/>
      <x:c r="D520" s="32"/>
      <x:c r="I520" s="74"/>
      <x:c r="J520" s="74"/>
      <x:c r="K520" s="74"/>
      <x:c r="L520" s="74"/>
      <x:c r="M520" s="85"/>
      <x:c r="O520" s="86"/>
      <x:c r="P520" s="32"/>
    </x:row>
    <x:row r="521">
      <x:c r="A521" s="87"/>
      <x:c r="D521" s="32"/>
      <x:c r="I521" s="74"/>
      <x:c r="J521" s="74"/>
      <x:c r="K521" s="74"/>
      <x:c r="L521" s="74"/>
      <x:c r="M521" s="85"/>
      <x:c r="O521" s="86"/>
      <x:c r="P521" s="32"/>
    </x:row>
    <x:row r="522">
      <x:c r="A522" s="87"/>
      <x:c r="D522" s="32"/>
      <x:c r="I522" s="74"/>
      <x:c r="J522" s="74"/>
      <x:c r="K522" s="74"/>
      <x:c r="L522" s="74"/>
      <x:c r="M522" s="85"/>
      <x:c r="O522" s="86"/>
      <x:c r="P522" s="32"/>
    </x:row>
    <x:row r="523">
      <x:c r="A523" s="87"/>
      <x:c r="D523" s="32"/>
      <x:c r="I523" s="74"/>
      <x:c r="J523" s="74"/>
      <x:c r="K523" s="74"/>
      <x:c r="L523" s="74"/>
      <x:c r="M523" s="85"/>
      <x:c r="O523" s="86"/>
      <x:c r="P523" s="32"/>
    </x:row>
    <x:row r="524">
      <x:c r="A524" s="87"/>
      <x:c r="D524" s="32"/>
      <x:c r="I524" s="74"/>
      <x:c r="J524" s="74"/>
      <x:c r="K524" s="74"/>
      <x:c r="L524" s="74"/>
      <x:c r="M524" s="85"/>
      <x:c r="O524" s="86"/>
      <x:c r="P524" s="32"/>
    </x:row>
    <x:row r="525">
      <x:c r="A525" s="87"/>
      <x:c r="D525" s="32"/>
      <x:c r="I525" s="74"/>
      <x:c r="J525" s="74"/>
      <x:c r="K525" s="74"/>
      <x:c r="L525" s="74"/>
      <x:c r="M525" s="85"/>
      <x:c r="O525" s="86"/>
      <x:c r="P525" s="32"/>
    </x:row>
    <x:row r="526">
      <x:c r="A526" s="87"/>
      <x:c r="D526" s="32"/>
      <x:c r="I526" s="74"/>
      <x:c r="J526" s="74"/>
      <x:c r="K526" s="74"/>
      <x:c r="L526" s="74"/>
      <x:c r="M526" s="85"/>
      <x:c r="O526" s="86"/>
      <x:c r="P526" s="32"/>
    </x:row>
    <x:row r="527">
      <x:c r="A527" s="87"/>
      <x:c r="D527" s="32"/>
      <x:c r="I527" s="74"/>
      <x:c r="J527" s="74"/>
      <x:c r="K527" s="74"/>
      <x:c r="L527" s="74"/>
      <x:c r="M527" s="85"/>
      <x:c r="O527" s="86"/>
      <x:c r="P527" s="32"/>
    </x:row>
    <x:row r="528">
      <x:c r="A528" s="87"/>
      <x:c r="D528" s="32"/>
      <x:c r="I528" s="74"/>
      <x:c r="J528" s="74"/>
      <x:c r="K528" s="74"/>
      <x:c r="L528" s="74"/>
      <x:c r="M528" s="85"/>
      <x:c r="O528" s="86"/>
      <x:c r="P528" s="32"/>
    </x:row>
    <x:row r="529">
      <x:c r="A529" s="87"/>
      <x:c r="D529" s="32"/>
      <x:c r="I529" s="74"/>
      <x:c r="J529" s="74"/>
      <x:c r="K529" s="74"/>
      <x:c r="L529" s="74"/>
      <x:c r="M529" s="85"/>
      <x:c r="O529" s="86"/>
      <x:c r="P529" s="32"/>
    </x:row>
    <x:row r="530">
      <x:c r="A530" s="87"/>
      <x:c r="D530" s="32"/>
      <x:c r="I530" s="74"/>
      <x:c r="J530" s="74"/>
      <x:c r="K530" s="74"/>
      <x:c r="L530" s="74"/>
      <x:c r="M530" s="85"/>
      <x:c r="O530" s="86"/>
      <x:c r="P530" s="32"/>
    </x:row>
    <x:row r="531">
      <x:c r="A531" s="87"/>
      <x:c r="D531" s="32"/>
      <x:c r="I531" s="74"/>
      <x:c r="J531" s="74"/>
      <x:c r="K531" s="74"/>
      <x:c r="L531" s="74"/>
      <x:c r="M531" s="85"/>
      <x:c r="O531" s="86"/>
      <x:c r="P531" s="32"/>
    </x:row>
    <x:row r="532">
      <x:c r="A532" s="87"/>
      <x:c r="D532" s="32"/>
      <x:c r="I532" s="74"/>
      <x:c r="J532" s="74"/>
      <x:c r="K532" s="74"/>
      <x:c r="L532" s="74"/>
      <x:c r="M532" s="85"/>
      <x:c r="O532" s="86"/>
      <x:c r="P532" s="32"/>
    </x:row>
    <x:row r="533">
      <x:c r="A533" s="87"/>
      <x:c r="D533" s="32"/>
      <x:c r="I533" s="74"/>
      <x:c r="J533" s="74"/>
      <x:c r="K533" s="74"/>
      <x:c r="L533" s="74"/>
      <x:c r="M533" s="85"/>
      <x:c r="O533" s="86"/>
      <x:c r="P533" s="32"/>
    </x:row>
    <x:row r="534">
      <x:c r="A534" s="87"/>
      <x:c r="D534" s="32"/>
      <x:c r="I534" s="74"/>
      <x:c r="J534" s="74"/>
      <x:c r="K534" s="74"/>
      <x:c r="L534" s="74"/>
      <x:c r="M534" s="85"/>
      <x:c r="O534" s="86"/>
      <x:c r="P534" s="32"/>
    </x:row>
    <x:row r="535">
      <x:c r="A535" s="87"/>
      <x:c r="D535" s="32"/>
      <x:c r="I535" s="74"/>
      <x:c r="J535" s="74"/>
      <x:c r="K535" s="74"/>
      <x:c r="L535" s="74"/>
      <x:c r="M535" s="85"/>
      <x:c r="O535" s="86"/>
      <x:c r="P535" s="32"/>
    </x:row>
    <x:row r="536">
      <x:c r="A536" s="87"/>
      <x:c r="D536" s="32"/>
      <x:c r="I536" s="74"/>
      <x:c r="J536" s="74"/>
      <x:c r="K536" s="74"/>
      <x:c r="L536" s="74"/>
      <x:c r="M536" s="85"/>
      <x:c r="O536" s="86"/>
      <x:c r="P536" s="32"/>
    </x:row>
    <x:row r="537">
      <x:c r="A537" s="87"/>
      <x:c r="D537" s="32"/>
      <x:c r="I537" s="74"/>
      <x:c r="J537" s="74"/>
      <x:c r="K537" s="74"/>
      <x:c r="L537" s="74"/>
      <x:c r="M537" s="85"/>
      <x:c r="O537" s="86"/>
      <x:c r="P537" s="32"/>
    </x:row>
    <x:row r="538">
      <x:c r="A538" s="87"/>
      <x:c r="D538" s="32"/>
      <x:c r="I538" s="74"/>
      <x:c r="J538" s="74"/>
      <x:c r="K538" s="74"/>
      <x:c r="L538" s="74"/>
      <x:c r="M538" s="85"/>
      <x:c r="O538" s="86"/>
      <x:c r="P538" s="32"/>
    </x:row>
    <x:row r="539">
      <x:c r="A539" s="87"/>
      <x:c r="D539" s="32"/>
      <x:c r="I539" s="74"/>
      <x:c r="J539" s="74"/>
      <x:c r="K539" s="74"/>
      <x:c r="L539" s="74"/>
      <x:c r="M539" s="85"/>
      <x:c r="O539" s="86"/>
      <x:c r="P539" s="32"/>
    </x:row>
    <x:row r="540">
      <x:c r="A540" s="87"/>
      <x:c r="D540" s="32"/>
      <x:c r="I540" s="74"/>
      <x:c r="J540" s="74"/>
      <x:c r="K540" s="74"/>
      <x:c r="L540" s="74"/>
      <x:c r="M540" s="85"/>
      <x:c r="O540" s="86"/>
      <x:c r="P540" s="32"/>
    </x:row>
    <x:row r="541">
      <x:c r="A541" s="87"/>
      <x:c r="D541" s="32"/>
      <x:c r="I541" s="74"/>
      <x:c r="J541" s="74"/>
      <x:c r="K541" s="74"/>
      <x:c r="L541" s="74"/>
      <x:c r="M541" s="85"/>
      <x:c r="O541" s="86"/>
      <x:c r="P541" s="32"/>
    </x:row>
    <x:row r="542">
      <x:c r="A542" s="87"/>
      <x:c r="D542" s="32"/>
      <x:c r="I542" s="74"/>
      <x:c r="J542" s="74"/>
      <x:c r="K542" s="74"/>
      <x:c r="L542" s="74"/>
      <x:c r="M542" s="85"/>
      <x:c r="O542" s="86"/>
      <x:c r="P542" s="32"/>
    </x:row>
    <x:row r="543">
      <x:c r="A543" s="87"/>
      <x:c r="D543" s="32"/>
      <x:c r="I543" s="74"/>
      <x:c r="J543" s="74"/>
      <x:c r="K543" s="74"/>
      <x:c r="L543" s="74"/>
      <x:c r="M543" s="85"/>
      <x:c r="O543" s="86"/>
      <x:c r="P543" s="32"/>
    </x:row>
    <x:row r="544">
      <x:c r="A544" s="87"/>
      <x:c r="D544" s="32"/>
      <x:c r="I544" s="74"/>
      <x:c r="J544" s="74"/>
      <x:c r="K544" s="74"/>
      <x:c r="L544" s="74"/>
      <x:c r="M544" s="85"/>
      <x:c r="O544" s="86"/>
      <x:c r="P544" s="32"/>
    </x:row>
    <x:row r="545">
      <x:c r="A545" s="87"/>
      <x:c r="D545" s="32"/>
      <x:c r="I545" s="74"/>
      <x:c r="J545" s="74"/>
      <x:c r="K545" s="74"/>
      <x:c r="L545" s="74"/>
      <x:c r="M545" s="85"/>
      <x:c r="O545" s="86"/>
      <x:c r="P545" s="32"/>
    </x:row>
    <x:row r="546">
      <x:c r="A546" s="87"/>
      <x:c r="D546" s="32"/>
      <x:c r="I546" s="74"/>
      <x:c r="J546" s="74"/>
      <x:c r="K546" s="74"/>
      <x:c r="L546" s="74"/>
      <x:c r="M546" s="85"/>
      <x:c r="O546" s="86"/>
      <x:c r="P546" s="32"/>
    </x:row>
    <x:row r="547">
      <x:c r="A547" s="87"/>
      <x:c r="D547" s="32"/>
      <x:c r="I547" s="74"/>
      <x:c r="J547" s="74"/>
      <x:c r="K547" s="74"/>
      <x:c r="L547" s="74"/>
      <x:c r="M547" s="85"/>
      <x:c r="O547" s="86"/>
      <x:c r="P547" s="32"/>
    </x:row>
    <x:row r="548">
      <x:c r="A548" s="87"/>
      <x:c r="D548" s="32"/>
      <x:c r="I548" s="74"/>
      <x:c r="J548" s="74"/>
      <x:c r="K548" s="74"/>
      <x:c r="L548" s="74"/>
      <x:c r="M548" s="85"/>
      <x:c r="O548" s="86"/>
      <x:c r="P548" s="32"/>
    </x:row>
    <x:row r="549">
      <x:c r="A549" s="87"/>
      <x:c r="D549" s="32"/>
      <x:c r="I549" s="74"/>
      <x:c r="J549" s="74"/>
      <x:c r="K549" s="74"/>
      <x:c r="L549" s="74"/>
      <x:c r="M549" s="85"/>
      <x:c r="O549" s="86"/>
      <x:c r="P549" s="32"/>
    </x:row>
    <x:row r="550">
      <x:c r="A550" s="87"/>
      <x:c r="D550" s="32"/>
      <x:c r="I550" s="74"/>
      <x:c r="J550" s="74"/>
      <x:c r="K550" s="74"/>
      <x:c r="L550" s="74"/>
      <x:c r="M550" s="85"/>
      <x:c r="O550" s="86"/>
      <x:c r="P550" s="32"/>
    </x:row>
    <x:row r="551">
      <x:c r="A551" s="87"/>
      <x:c r="D551" s="32"/>
      <x:c r="I551" s="74"/>
      <x:c r="J551" s="74"/>
      <x:c r="K551" s="74"/>
      <x:c r="L551" s="74"/>
      <x:c r="M551" s="85"/>
      <x:c r="O551" s="86"/>
      <x:c r="P551" s="32"/>
    </x:row>
    <x:row r="552">
      <x:c r="A552" s="87"/>
      <x:c r="D552" s="32"/>
      <x:c r="I552" s="74"/>
      <x:c r="J552" s="74"/>
      <x:c r="K552" s="74"/>
      <x:c r="L552" s="74"/>
      <x:c r="M552" s="85"/>
      <x:c r="O552" s="86"/>
      <x:c r="P552" s="32"/>
    </x:row>
    <x:row r="553">
      <x:c r="A553" s="87"/>
      <x:c r="D553" s="32"/>
      <x:c r="I553" s="74"/>
      <x:c r="J553" s="74"/>
      <x:c r="K553" s="74"/>
      <x:c r="L553" s="74"/>
      <x:c r="M553" s="85"/>
      <x:c r="O553" s="86"/>
      <x:c r="P553" s="32"/>
    </x:row>
    <x:row r="554">
      <x:c r="A554" s="87"/>
      <x:c r="D554" s="32"/>
      <x:c r="I554" s="74"/>
      <x:c r="J554" s="74"/>
      <x:c r="K554" s="74"/>
      <x:c r="L554" s="74"/>
      <x:c r="M554" s="85"/>
      <x:c r="O554" s="86"/>
      <x:c r="P554" s="32"/>
    </x:row>
    <x:row r="555">
      <x:c r="A555" s="87"/>
      <x:c r="D555" s="32"/>
      <x:c r="I555" s="74"/>
      <x:c r="J555" s="74"/>
      <x:c r="K555" s="74"/>
      <x:c r="L555" s="74"/>
      <x:c r="M555" s="85"/>
      <x:c r="O555" s="86"/>
      <x:c r="P555" s="32"/>
    </x:row>
    <x:row r="556">
      <x:c r="A556" s="87"/>
      <x:c r="D556" s="32"/>
      <x:c r="I556" s="74"/>
      <x:c r="J556" s="74"/>
      <x:c r="K556" s="74"/>
      <x:c r="L556" s="74"/>
      <x:c r="M556" s="85"/>
      <x:c r="O556" s="86"/>
      <x:c r="P556" s="32"/>
    </x:row>
    <x:row r="557">
      <x:c r="A557" s="87"/>
      <x:c r="D557" s="32"/>
      <x:c r="I557" s="74"/>
      <x:c r="J557" s="74"/>
      <x:c r="K557" s="74"/>
      <x:c r="L557" s="74"/>
      <x:c r="M557" s="85"/>
      <x:c r="O557" s="86"/>
      <x:c r="P557" s="32"/>
    </x:row>
    <x:row r="558">
      <x:c r="A558" s="87"/>
      <x:c r="D558" s="32"/>
      <x:c r="I558" s="74"/>
      <x:c r="J558" s="74"/>
      <x:c r="K558" s="74"/>
      <x:c r="L558" s="74"/>
      <x:c r="M558" s="85"/>
      <x:c r="O558" s="86"/>
      <x:c r="P558" s="32"/>
    </x:row>
    <x:row r="559">
      <x:c r="A559" s="87"/>
      <x:c r="D559" s="32"/>
      <x:c r="I559" s="74"/>
      <x:c r="J559" s="74"/>
      <x:c r="K559" s="74"/>
      <x:c r="L559" s="74"/>
      <x:c r="M559" s="85"/>
      <x:c r="O559" s="86"/>
      <x:c r="P559" s="32"/>
    </x:row>
    <x:row r="560">
      <x:c r="A560" s="87"/>
      <x:c r="D560" s="32"/>
      <x:c r="I560" s="74"/>
      <x:c r="J560" s="74"/>
      <x:c r="K560" s="74"/>
      <x:c r="L560" s="74"/>
      <x:c r="M560" s="85"/>
      <x:c r="O560" s="86"/>
      <x:c r="P560" s="32"/>
    </x:row>
    <x:row r="561">
      <x:c r="A561" s="87"/>
      <x:c r="D561" s="32"/>
      <x:c r="I561" s="74"/>
      <x:c r="J561" s="74"/>
      <x:c r="K561" s="74"/>
      <x:c r="L561" s="74"/>
      <x:c r="M561" s="85"/>
      <x:c r="O561" s="86"/>
      <x:c r="P561" s="32"/>
    </x:row>
    <x:row r="562">
      <x:c r="A562" s="87"/>
      <x:c r="D562" s="32"/>
      <x:c r="I562" s="74"/>
      <x:c r="J562" s="74"/>
      <x:c r="K562" s="74"/>
      <x:c r="L562" s="74"/>
      <x:c r="M562" s="85"/>
      <x:c r="O562" s="86"/>
      <x:c r="P562" s="32"/>
    </x:row>
    <x:row r="563">
      <x:c r="A563" s="87"/>
      <x:c r="D563" s="32"/>
      <x:c r="I563" s="74"/>
      <x:c r="J563" s="74"/>
      <x:c r="K563" s="74"/>
      <x:c r="L563" s="74"/>
      <x:c r="M563" s="85"/>
      <x:c r="O563" s="86"/>
      <x:c r="P563" s="32"/>
    </x:row>
    <x:row r="564">
      <x:c r="A564" s="87"/>
      <x:c r="D564" s="32"/>
      <x:c r="I564" s="74"/>
      <x:c r="J564" s="74"/>
      <x:c r="K564" s="74"/>
      <x:c r="L564" s="74"/>
      <x:c r="M564" s="85"/>
      <x:c r="O564" s="86"/>
      <x:c r="P564" s="32"/>
    </x:row>
    <x:row r="565">
      <x:c r="A565" s="87"/>
      <x:c r="D565" s="32"/>
      <x:c r="I565" s="74"/>
      <x:c r="J565" s="74"/>
      <x:c r="K565" s="74"/>
      <x:c r="L565" s="74"/>
      <x:c r="M565" s="85"/>
      <x:c r="O565" s="86"/>
      <x:c r="P565" s="32"/>
    </x:row>
    <x:row r="566">
      <x:c r="A566" s="87"/>
      <x:c r="D566" s="32"/>
      <x:c r="I566" s="74"/>
      <x:c r="J566" s="74"/>
      <x:c r="K566" s="74"/>
      <x:c r="L566" s="74"/>
      <x:c r="M566" s="85"/>
      <x:c r="O566" s="86"/>
      <x:c r="P566" s="32"/>
    </x:row>
    <x:row r="567">
      <x:c r="A567" s="87"/>
      <x:c r="D567" s="32"/>
      <x:c r="I567" s="74"/>
      <x:c r="J567" s="74"/>
      <x:c r="K567" s="74"/>
      <x:c r="L567" s="74"/>
      <x:c r="M567" s="85"/>
      <x:c r="O567" s="86"/>
      <x:c r="P567" s="32"/>
    </x:row>
    <x:row r="568">
      <x:c r="A568" s="87"/>
      <x:c r="D568" s="32"/>
      <x:c r="I568" s="74"/>
      <x:c r="J568" s="74"/>
      <x:c r="K568" s="74"/>
      <x:c r="L568" s="74"/>
      <x:c r="M568" s="85"/>
      <x:c r="O568" s="86"/>
      <x:c r="P568" s="32"/>
    </x:row>
    <x:row r="569">
      <x:c r="A569" s="87"/>
      <x:c r="D569" s="32"/>
      <x:c r="I569" s="74"/>
      <x:c r="J569" s="74"/>
      <x:c r="K569" s="74"/>
      <x:c r="L569" s="74"/>
      <x:c r="M569" s="85"/>
      <x:c r="O569" s="86"/>
      <x:c r="P569" s="32"/>
    </x:row>
    <x:row r="570">
      <x:c r="A570" s="87"/>
      <x:c r="D570" s="32"/>
      <x:c r="I570" s="74"/>
      <x:c r="J570" s="74"/>
      <x:c r="K570" s="74"/>
      <x:c r="L570" s="74"/>
      <x:c r="M570" s="85"/>
      <x:c r="O570" s="86"/>
      <x:c r="P570" s="32"/>
    </x:row>
    <x:row r="571">
      <x:c r="A571" s="87"/>
      <x:c r="D571" s="32"/>
      <x:c r="I571" s="74"/>
      <x:c r="J571" s="74"/>
      <x:c r="K571" s="74"/>
      <x:c r="L571" s="74"/>
      <x:c r="M571" s="85"/>
      <x:c r="O571" s="86"/>
      <x:c r="P571" s="32"/>
    </x:row>
    <x:row r="572">
      <x:c r="A572" s="87"/>
      <x:c r="D572" s="32"/>
      <x:c r="I572" s="74"/>
      <x:c r="J572" s="74"/>
      <x:c r="K572" s="74"/>
      <x:c r="L572" s="74"/>
      <x:c r="M572" s="85"/>
      <x:c r="O572" s="86"/>
      <x:c r="P572" s="32"/>
    </x:row>
    <x:row r="573">
      <x:c r="A573" s="87"/>
      <x:c r="D573" s="32"/>
      <x:c r="I573" s="74"/>
      <x:c r="J573" s="74"/>
      <x:c r="K573" s="74"/>
      <x:c r="L573" s="74"/>
      <x:c r="M573" s="85"/>
      <x:c r="O573" s="86"/>
      <x:c r="P573" s="32"/>
    </x:row>
    <x:row r="574">
      <x:c r="A574" s="87"/>
      <x:c r="D574" s="32"/>
      <x:c r="I574" s="74"/>
      <x:c r="J574" s="74"/>
      <x:c r="K574" s="74"/>
      <x:c r="L574" s="74"/>
      <x:c r="M574" s="85"/>
      <x:c r="O574" s="86"/>
      <x:c r="P574" s="32"/>
    </x:row>
    <x:row r="575">
      <x:c r="A575" s="87"/>
      <x:c r="D575" s="32"/>
      <x:c r="I575" s="74"/>
      <x:c r="J575" s="74"/>
      <x:c r="K575" s="74"/>
      <x:c r="L575" s="74"/>
      <x:c r="M575" s="85"/>
      <x:c r="O575" s="86"/>
      <x:c r="P575" s="32"/>
    </x:row>
    <x:row r="576">
      <x:c r="A576" s="87"/>
      <x:c r="D576" s="32"/>
      <x:c r="I576" s="74"/>
      <x:c r="J576" s="74"/>
      <x:c r="K576" s="74"/>
      <x:c r="L576" s="74"/>
      <x:c r="M576" s="85"/>
      <x:c r="O576" s="86"/>
      <x:c r="P576" s="32"/>
    </x:row>
    <x:row r="577">
      <x:c r="A577" s="87"/>
      <x:c r="D577" s="32"/>
      <x:c r="I577" s="74"/>
      <x:c r="J577" s="74"/>
      <x:c r="K577" s="74"/>
      <x:c r="L577" s="74"/>
      <x:c r="M577" s="85"/>
      <x:c r="O577" s="86"/>
      <x:c r="P577" s="32"/>
    </x:row>
    <x:row r="578">
      <x:c r="A578" s="87"/>
      <x:c r="D578" s="32"/>
      <x:c r="I578" s="74"/>
      <x:c r="J578" s="74"/>
      <x:c r="K578" s="74"/>
      <x:c r="L578" s="74"/>
      <x:c r="M578" s="85"/>
      <x:c r="O578" s="86"/>
      <x:c r="P578" s="32"/>
    </x:row>
    <x:row r="579">
      <x:c r="A579" s="87"/>
      <x:c r="D579" s="32"/>
      <x:c r="I579" s="74"/>
      <x:c r="J579" s="74"/>
      <x:c r="K579" s="74"/>
      <x:c r="L579" s="74"/>
      <x:c r="M579" s="85"/>
      <x:c r="O579" s="86"/>
      <x:c r="P579" s="32"/>
    </x:row>
    <x:row r="580">
      <x:c r="A580" s="87"/>
      <x:c r="D580" s="32"/>
      <x:c r="I580" s="74"/>
      <x:c r="J580" s="74"/>
      <x:c r="K580" s="74"/>
      <x:c r="L580" s="74"/>
      <x:c r="M580" s="85"/>
      <x:c r="O580" s="86"/>
      <x:c r="P580" s="32"/>
    </x:row>
    <x:row r="581">
      <x:c r="A581" s="87"/>
      <x:c r="D581" s="32"/>
      <x:c r="I581" s="74"/>
      <x:c r="J581" s="74"/>
      <x:c r="K581" s="74"/>
      <x:c r="L581" s="74"/>
      <x:c r="M581" s="85"/>
      <x:c r="O581" s="86"/>
      <x:c r="P581" s="32"/>
    </x:row>
    <x:row r="582">
      <x:c r="A582" s="87"/>
      <x:c r="D582" s="32"/>
      <x:c r="I582" s="74"/>
      <x:c r="J582" s="74"/>
      <x:c r="K582" s="74"/>
      <x:c r="L582" s="74"/>
      <x:c r="M582" s="85"/>
      <x:c r="O582" s="86"/>
      <x:c r="P582" s="32"/>
    </x:row>
    <x:row r="583">
      <x:c r="A583" s="87"/>
      <x:c r="D583" s="32"/>
      <x:c r="I583" s="74"/>
      <x:c r="J583" s="74"/>
      <x:c r="K583" s="74"/>
      <x:c r="L583" s="74"/>
      <x:c r="M583" s="85"/>
      <x:c r="O583" s="86"/>
      <x:c r="P583" s="32"/>
    </x:row>
    <x:row r="584">
      <x:c r="A584" s="87"/>
      <x:c r="D584" s="32"/>
      <x:c r="I584" s="74"/>
      <x:c r="J584" s="74"/>
      <x:c r="K584" s="74"/>
      <x:c r="L584" s="74"/>
      <x:c r="M584" s="85"/>
      <x:c r="O584" s="86"/>
      <x:c r="P584" s="32"/>
    </x:row>
    <x:row r="585">
      <x:c r="A585" s="87"/>
      <x:c r="D585" s="32"/>
      <x:c r="I585" s="74"/>
      <x:c r="J585" s="74"/>
      <x:c r="K585" s="74"/>
      <x:c r="L585" s="74"/>
      <x:c r="M585" s="85"/>
      <x:c r="O585" s="86"/>
      <x:c r="P585" s="32"/>
    </x:row>
    <x:row r="586">
      <x:c r="A586" s="87"/>
      <x:c r="D586" s="32"/>
      <x:c r="I586" s="74"/>
      <x:c r="J586" s="74"/>
      <x:c r="K586" s="74"/>
      <x:c r="L586" s="74"/>
      <x:c r="M586" s="85"/>
      <x:c r="O586" s="86"/>
      <x:c r="P586" s="32"/>
    </x:row>
    <x:row r="587">
      <x:c r="A587" s="87"/>
      <x:c r="D587" s="32"/>
      <x:c r="I587" s="74"/>
      <x:c r="J587" s="74"/>
      <x:c r="K587" s="74"/>
      <x:c r="L587" s="74"/>
      <x:c r="M587" s="85"/>
      <x:c r="O587" s="86"/>
      <x:c r="P587" s="32"/>
    </x:row>
    <x:row r="588">
      <x:c r="A588" s="87"/>
      <x:c r="D588" s="32"/>
      <x:c r="I588" s="74"/>
      <x:c r="J588" s="74"/>
      <x:c r="K588" s="74"/>
      <x:c r="L588" s="74"/>
      <x:c r="M588" s="85"/>
      <x:c r="O588" s="86"/>
      <x:c r="P588" s="32"/>
    </x:row>
    <x:row r="589">
      <x:c r="A589" s="87"/>
      <x:c r="D589" s="32"/>
      <x:c r="I589" s="74"/>
      <x:c r="J589" s="74"/>
      <x:c r="K589" s="74"/>
      <x:c r="L589" s="74"/>
      <x:c r="M589" s="85"/>
      <x:c r="O589" s="86"/>
      <x:c r="P589" s="32"/>
    </x:row>
    <x:row r="590">
      <x:c r="A590" s="87"/>
      <x:c r="D590" s="32"/>
      <x:c r="I590" s="74"/>
      <x:c r="J590" s="74"/>
      <x:c r="K590" s="74"/>
      <x:c r="L590" s="74"/>
      <x:c r="M590" s="85"/>
      <x:c r="O590" s="86"/>
      <x:c r="P590" s="32"/>
    </x:row>
    <x:row r="591">
      <x:c r="A591" s="87"/>
      <x:c r="D591" s="32"/>
      <x:c r="I591" s="74"/>
      <x:c r="J591" s="74"/>
      <x:c r="K591" s="74"/>
      <x:c r="L591" s="74"/>
      <x:c r="M591" s="85"/>
      <x:c r="O591" s="86"/>
      <x:c r="P591" s="32"/>
    </x:row>
    <x:row r="592">
      <x:c r="A592" s="87"/>
      <x:c r="D592" s="32"/>
      <x:c r="I592" s="74"/>
      <x:c r="J592" s="74"/>
      <x:c r="K592" s="74"/>
      <x:c r="L592" s="74"/>
      <x:c r="M592" s="85"/>
      <x:c r="O592" s="86"/>
      <x:c r="P592" s="32"/>
    </x:row>
    <x:row r="593">
      <x:c r="A593" s="87"/>
      <x:c r="D593" s="32"/>
      <x:c r="I593" s="74"/>
      <x:c r="J593" s="74"/>
      <x:c r="K593" s="74"/>
      <x:c r="L593" s="74"/>
      <x:c r="M593" s="85"/>
      <x:c r="O593" s="86"/>
      <x:c r="P593" s="32"/>
    </x:row>
    <x:row r="594">
      <x:c r="A594" s="87"/>
      <x:c r="D594" s="32"/>
      <x:c r="I594" s="74"/>
      <x:c r="J594" s="74"/>
      <x:c r="K594" s="74"/>
      <x:c r="L594" s="74"/>
      <x:c r="M594" s="85"/>
      <x:c r="O594" s="86"/>
      <x:c r="P594" s="32"/>
    </x:row>
    <x:row r="595">
      <x:c r="A595" s="87"/>
      <x:c r="D595" s="32"/>
      <x:c r="I595" s="74"/>
      <x:c r="J595" s="74"/>
      <x:c r="K595" s="74"/>
      <x:c r="L595" s="74"/>
      <x:c r="M595" s="85"/>
      <x:c r="O595" s="86"/>
      <x:c r="P595" s="32"/>
    </x:row>
    <x:row r="596">
      <x:c r="A596" s="87"/>
      <x:c r="D596" s="32"/>
      <x:c r="I596" s="74"/>
      <x:c r="J596" s="74"/>
      <x:c r="K596" s="74"/>
      <x:c r="L596" s="74"/>
      <x:c r="M596" s="85"/>
      <x:c r="O596" s="86"/>
      <x:c r="P596" s="32"/>
    </x:row>
    <x:row r="597">
      <x:c r="A597" s="87"/>
      <x:c r="D597" s="32"/>
      <x:c r="I597" s="74"/>
      <x:c r="J597" s="74"/>
      <x:c r="K597" s="74"/>
      <x:c r="L597" s="74"/>
      <x:c r="M597" s="85"/>
      <x:c r="O597" s="86"/>
      <x:c r="P597" s="32"/>
    </x:row>
    <x:row r="598">
      <x:c r="A598" s="87"/>
      <x:c r="D598" s="32"/>
      <x:c r="I598" s="74"/>
      <x:c r="J598" s="74"/>
      <x:c r="K598" s="74"/>
      <x:c r="L598" s="74"/>
      <x:c r="M598" s="85"/>
      <x:c r="O598" s="86"/>
      <x:c r="P598" s="32"/>
    </x:row>
    <x:row r="599">
      <x:c r="A599" s="87"/>
      <x:c r="D599" s="32"/>
      <x:c r="I599" s="74"/>
      <x:c r="J599" s="74"/>
      <x:c r="K599" s="74"/>
      <x:c r="L599" s="74"/>
      <x:c r="M599" s="85"/>
      <x:c r="O599" s="86"/>
      <x:c r="P599" s="32"/>
    </x:row>
    <x:row r="600">
      <x:c r="A600" s="87"/>
      <x:c r="D600" s="32"/>
      <x:c r="I600" s="74"/>
      <x:c r="J600" s="74"/>
      <x:c r="K600" s="74"/>
      <x:c r="L600" s="74"/>
      <x:c r="M600" s="85"/>
      <x:c r="O600" s="86"/>
      <x:c r="P600" s="32"/>
    </x:row>
    <x:row r="601">
      <x:c r="A601" s="87"/>
      <x:c r="D601" s="32"/>
      <x:c r="I601" s="74"/>
      <x:c r="J601" s="74"/>
      <x:c r="K601" s="74"/>
      <x:c r="L601" s="74"/>
      <x:c r="M601" s="85"/>
      <x:c r="O601" s="86"/>
      <x:c r="P601" s="32"/>
    </x:row>
    <x:row r="602">
      <x:c r="A602" s="87"/>
      <x:c r="D602" s="32"/>
      <x:c r="I602" s="74"/>
      <x:c r="J602" s="74"/>
      <x:c r="K602" s="74"/>
      <x:c r="L602" s="74"/>
      <x:c r="M602" s="85"/>
      <x:c r="O602" s="86"/>
      <x:c r="P602" s="32"/>
    </x:row>
    <x:row r="603">
      <x:c r="A603" s="87"/>
      <x:c r="D603" s="32"/>
      <x:c r="I603" s="74"/>
      <x:c r="J603" s="74"/>
      <x:c r="K603" s="74"/>
      <x:c r="L603" s="74"/>
      <x:c r="M603" s="85"/>
      <x:c r="O603" s="86"/>
      <x:c r="P603" s="32"/>
    </x:row>
    <x:row r="604">
      <x:c r="A604" s="87"/>
      <x:c r="D604" s="32"/>
      <x:c r="I604" s="74"/>
      <x:c r="J604" s="74"/>
      <x:c r="K604" s="74"/>
      <x:c r="L604" s="74"/>
      <x:c r="M604" s="85"/>
      <x:c r="O604" s="86"/>
      <x:c r="P604" s="32"/>
    </x:row>
    <x:row r="605">
      <x:c r="A605" s="87"/>
      <x:c r="D605" s="32"/>
      <x:c r="I605" s="74"/>
      <x:c r="J605" s="74"/>
      <x:c r="K605" s="74"/>
      <x:c r="L605" s="74"/>
      <x:c r="M605" s="85"/>
      <x:c r="O605" s="86"/>
      <x:c r="P605" s="32"/>
    </x:row>
    <x:row r="606">
      <x:c r="A606" s="87"/>
      <x:c r="D606" s="32"/>
      <x:c r="I606" s="74"/>
      <x:c r="J606" s="74"/>
      <x:c r="K606" s="74"/>
      <x:c r="L606" s="74"/>
      <x:c r="M606" s="85"/>
      <x:c r="O606" s="86"/>
      <x:c r="P606" s="32"/>
    </x:row>
    <x:row r="607">
      <x:c r="A607" s="87"/>
      <x:c r="D607" s="32"/>
      <x:c r="I607" s="74"/>
      <x:c r="J607" s="74"/>
      <x:c r="K607" s="74"/>
      <x:c r="L607" s="74"/>
      <x:c r="M607" s="85"/>
      <x:c r="O607" s="86"/>
      <x:c r="P607" s="32"/>
    </x:row>
    <x:row r="608">
      <x:c r="A608" s="87"/>
      <x:c r="D608" s="32"/>
      <x:c r="I608" s="74"/>
      <x:c r="J608" s="74"/>
      <x:c r="K608" s="74"/>
      <x:c r="L608" s="74"/>
      <x:c r="M608" s="85"/>
      <x:c r="O608" s="86"/>
      <x:c r="P608" s="32"/>
    </x:row>
    <x:row r="609">
      <x:c r="A609" s="87"/>
      <x:c r="D609" s="32"/>
      <x:c r="I609" s="74"/>
      <x:c r="J609" s="74"/>
      <x:c r="K609" s="74"/>
      <x:c r="L609" s="74"/>
      <x:c r="M609" s="85"/>
      <x:c r="O609" s="86"/>
      <x:c r="P609" s="32"/>
    </x:row>
    <x:row r="610">
      <x:c r="A610" s="87"/>
      <x:c r="D610" s="32"/>
      <x:c r="I610" s="74"/>
      <x:c r="J610" s="74"/>
      <x:c r="K610" s="74"/>
      <x:c r="L610" s="74"/>
      <x:c r="M610" s="85"/>
      <x:c r="O610" s="86"/>
      <x:c r="P610" s="32"/>
    </x:row>
    <x:row r="611">
      <x:c r="A611" s="87"/>
      <x:c r="D611" s="32"/>
      <x:c r="I611" s="74"/>
      <x:c r="J611" s="74"/>
      <x:c r="K611" s="74"/>
      <x:c r="L611" s="74"/>
      <x:c r="M611" s="85"/>
      <x:c r="O611" s="86"/>
      <x:c r="P611" s="32"/>
    </x:row>
    <x:row r="612">
      <x:c r="A612" s="87"/>
      <x:c r="D612" s="32"/>
      <x:c r="I612" s="74"/>
      <x:c r="J612" s="74"/>
      <x:c r="K612" s="74"/>
      <x:c r="L612" s="74"/>
      <x:c r="M612" s="85"/>
      <x:c r="O612" s="86"/>
      <x:c r="P612" s="32"/>
    </x:row>
    <x:row r="613">
      <x:c r="A613" s="87"/>
      <x:c r="D613" s="32"/>
      <x:c r="I613" s="74"/>
      <x:c r="J613" s="74"/>
      <x:c r="K613" s="74"/>
      <x:c r="L613" s="74"/>
      <x:c r="M613" s="85"/>
      <x:c r="O613" s="86"/>
      <x:c r="P613" s="32"/>
    </x:row>
    <x:row r="614">
      <x:c r="A614" s="87"/>
      <x:c r="D614" s="32"/>
      <x:c r="I614" s="74"/>
      <x:c r="J614" s="74"/>
      <x:c r="K614" s="74"/>
      <x:c r="L614" s="74"/>
      <x:c r="M614" s="85"/>
      <x:c r="O614" s="86"/>
      <x:c r="P614" s="32"/>
    </x:row>
    <x:row r="615">
      <x:c r="A615" s="87"/>
      <x:c r="D615" s="32"/>
      <x:c r="I615" s="74"/>
      <x:c r="J615" s="74"/>
      <x:c r="K615" s="74"/>
      <x:c r="L615" s="74"/>
      <x:c r="M615" s="85"/>
      <x:c r="O615" s="86"/>
      <x:c r="P615" s="32"/>
    </x:row>
    <x:row r="616">
      <x:c r="A616" s="87"/>
      <x:c r="D616" s="32"/>
      <x:c r="I616" s="74"/>
      <x:c r="J616" s="74"/>
      <x:c r="K616" s="74"/>
      <x:c r="L616" s="74"/>
      <x:c r="M616" s="85"/>
      <x:c r="O616" s="86"/>
      <x:c r="P616" s="32"/>
    </x:row>
    <x:row r="617">
      <x:c r="A617" s="87"/>
      <x:c r="D617" s="32"/>
      <x:c r="I617" s="74"/>
      <x:c r="J617" s="74"/>
      <x:c r="K617" s="74"/>
      <x:c r="L617" s="74"/>
      <x:c r="M617" s="85"/>
      <x:c r="O617" s="86"/>
      <x:c r="P617" s="32"/>
    </x:row>
    <x:row r="618">
      <x:c r="A618" s="87"/>
      <x:c r="D618" s="32"/>
      <x:c r="I618" s="74"/>
      <x:c r="J618" s="74"/>
      <x:c r="K618" s="74"/>
      <x:c r="L618" s="74"/>
      <x:c r="M618" s="85"/>
      <x:c r="O618" s="86"/>
      <x:c r="P618" s="32"/>
    </x:row>
    <x:row r="619">
      <x:c r="A619" s="87"/>
      <x:c r="D619" s="32"/>
      <x:c r="I619" s="74"/>
      <x:c r="J619" s="74"/>
      <x:c r="K619" s="74"/>
      <x:c r="L619" s="74"/>
      <x:c r="M619" s="85"/>
      <x:c r="O619" s="86"/>
      <x:c r="P619" s="32"/>
    </x:row>
    <x:row r="620">
      <x:c r="A620" s="87"/>
      <x:c r="D620" s="32"/>
      <x:c r="I620" s="74"/>
      <x:c r="J620" s="74"/>
      <x:c r="K620" s="74"/>
      <x:c r="L620" s="74"/>
      <x:c r="M620" s="85"/>
      <x:c r="O620" s="86"/>
      <x:c r="P620" s="32"/>
    </x:row>
    <x:row r="621">
      <x:c r="A621" s="87"/>
      <x:c r="D621" s="32"/>
      <x:c r="I621" s="74"/>
      <x:c r="J621" s="74"/>
      <x:c r="K621" s="74"/>
      <x:c r="L621" s="74"/>
      <x:c r="M621" s="85"/>
      <x:c r="O621" s="86"/>
      <x:c r="P621" s="32"/>
    </x:row>
    <x:row r="622">
      <x:c r="A622" s="87"/>
      <x:c r="D622" s="32"/>
      <x:c r="I622" s="74"/>
      <x:c r="J622" s="74"/>
      <x:c r="K622" s="74"/>
      <x:c r="L622" s="74"/>
      <x:c r="M622" s="85"/>
      <x:c r="O622" s="86"/>
      <x:c r="P622" s="32"/>
    </x:row>
    <x:row r="623">
      <x:c r="A623" s="87"/>
      <x:c r="D623" s="32"/>
      <x:c r="I623" s="74"/>
      <x:c r="J623" s="74"/>
      <x:c r="K623" s="74"/>
      <x:c r="L623" s="74"/>
      <x:c r="M623" s="85"/>
      <x:c r="O623" s="86"/>
      <x:c r="P623" s="32"/>
    </x:row>
    <x:row r="624">
      <x:c r="A624" s="87"/>
      <x:c r="D624" s="32"/>
      <x:c r="I624" s="74"/>
      <x:c r="J624" s="74"/>
      <x:c r="K624" s="74"/>
      <x:c r="L624" s="74"/>
      <x:c r="M624" s="85"/>
      <x:c r="O624" s="86"/>
      <x:c r="P624" s="32"/>
    </x:row>
    <x:row r="625">
      <x:c r="A625" s="87"/>
      <x:c r="D625" s="32"/>
      <x:c r="I625" s="74"/>
      <x:c r="J625" s="74"/>
      <x:c r="K625" s="74"/>
      <x:c r="L625" s="74"/>
      <x:c r="M625" s="85"/>
      <x:c r="O625" s="86"/>
      <x:c r="P625" s="32"/>
    </x:row>
    <x:row r="626">
      <x:c r="A626" s="87"/>
      <x:c r="D626" s="32"/>
      <x:c r="I626" s="74"/>
      <x:c r="J626" s="74"/>
      <x:c r="K626" s="74"/>
      <x:c r="L626" s="74"/>
      <x:c r="M626" s="85"/>
      <x:c r="O626" s="86"/>
      <x:c r="P626" s="32"/>
    </x:row>
    <x:row r="627">
      <x:c r="A627" s="87"/>
      <x:c r="D627" s="32"/>
      <x:c r="I627" s="74"/>
      <x:c r="J627" s="74"/>
      <x:c r="K627" s="74"/>
      <x:c r="L627" s="74"/>
      <x:c r="M627" s="85"/>
      <x:c r="O627" s="86"/>
      <x:c r="P627" s="32"/>
    </x:row>
    <x:row r="628">
      <x:c r="A628" s="87"/>
      <x:c r="D628" s="32"/>
      <x:c r="I628" s="74"/>
      <x:c r="J628" s="74"/>
      <x:c r="K628" s="74"/>
      <x:c r="L628" s="74"/>
      <x:c r="M628" s="85"/>
      <x:c r="O628" s="86"/>
      <x:c r="P628" s="32"/>
    </x:row>
    <x:row r="629">
      <x:c r="A629" s="87"/>
      <x:c r="D629" s="32"/>
      <x:c r="I629" s="74"/>
      <x:c r="J629" s="74"/>
      <x:c r="K629" s="74"/>
      <x:c r="L629" s="74"/>
      <x:c r="M629" s="85"/>
      <x:c r="O629" s="86"/>
      <x:c r="P629" s="32"/>
    </x:row>
    <x:row r="630">
      <x:c r="A630" s="87"/>
      <x:c r="D630" s="32"/>
      <x:c r="I630" s="74"/>
      <x:c r="J630" s="74"/>
      <x:c r="K630" s="74"/>
      <x:c r="L630" s="74"/>
      <x:c r="M630" s="85"/>
      <x:c r="O630" s="86"/>
      <x:c r="P630" s="32"/>
    </x:row>
    <x:row r="631">
      <x:c r="A631" s="87"/>
      <x:c r="D631" s="32"/>
      <x:c r="I631" s="74"/>
      <x:c r="J631" s="74"/>
      <x:c r="K631" s="74"/>
      <x:c r="L631" s="74"/>
      <x:c r="M631" s="85"/>
      <x:c r="O631" s="86"/>
      <x:c r="P631" s="32"/>
    </x:row>
    <x:row r="632">
      <x:c r="A632" s="87"/>
      <x:c r="D632" s="32"/>
      <x:c r="I632" s="74"/>
      <x:c r="J632" s="74"/>
      <x:c r="K632" s="74"/>
      <x:c r="L632" s="74"/>
      <x:c r="M632" s="85"/>
      <x:c r="O632" s="86"/>
      <x:c r="P632" s="32"/>
    </x:row>
    <x:row r="633">
      <x:c r="A633" s="87"/>
      <x:c r="D633" s="32"/>
      <x:c r="I633" s="74"/>
      <x:c r="J633" s="74"/>
      <x:c r="K633" s="74"/>
      <x:c r="L633" s="74"/>
      <x:c r="M633" s="85"/>
      <x:c r="O633" s="86"/>
      <x:c r="P633" s="32"/>
    </x:row>
    <x:row r="634">
      <x:c r="A634" s="87"/>
      <x:c r="D634" s="32"/>
      <x:c r="I634" s="74"/>
      <x:c r="J634" s="74"/>
      <x:c r="K634" s="74"/>
      <x:c r="L634" s="74"/>
      <x:c r="M634" s="85"/>
      <x:c r="O634" s="86"/>
      <x:c r="P634" s="32"/>
    </x:row>
    <x:row r="635">
      <x:c r="A635" s="87"/>
      <x:c r="D635" s="32"/>
      <x:c r="I635" s="74"/>
      <x:c r="J635" s="74"/>
      <x:c r="K635" s="74"/>
      <x:c r="L635" s="74"/>
      <x:c r="M635" s="85"/>
      <x:c r="O635" s="86"/>
      <x:c r="P635" s="32"/>
    </x:row>
    <x:row r="636">
      <x:c r="A636" s="87"/>
      <x:c r="D636" s="32"/>
      <x:c r="I636" s="74"/>
      <x:c r="J636" s="74"/>
      <x:c r="K636" s="74"/>
      <x:c r="L636" s="74"/>
      <x:c r="M636" s="85"/>
      <x:c r="O636" s="86"/>
      <x:c r="P636" s="32"/>
    </x:row>
    <x:row r="637">
      <x:c r="A637" s="87"/>
      <x:c r="D637" s="32"/>
      <x:c r="I637" s="74"/>
      <x:c r="J637" s="74"/>
      <x:c r="K637" s="74"/>
      <x:c r="L637" s="74"/>
      <x:c r="M637" s="85"/>
      <x:c r="O637" s="86"/>
      <x:c r="P637" s="32"/>
    </x:row>
    <x:row r="638">
      <x:c r="A638" s="87"/>
      <x:c r="D638" s="32"/>
      <x:c r="I638" s="74"/>
      <x:c r="J638" s="74"/>
      <x:c r="K638" s="74"/>
      <x:c r="L638" s="74"/>
      <x:c r="M638" s="85"/>
      <x:c r="O638" s="86"/>
      <x:c r="P638" s="32"/>
    </x:row>
    <x:row r="639">
      <x:c r="A639" s="87"/>
      <x:c r="D639" s="32"/>
      <x:c r="I639" s="74"/>
      <x:c r="J639" s="74"/>
      <x:c r="K639" s="74"/>
      <x:c r="L639" s="74"/>
      <x:c r="M639" s="85"/>
      <x:c r="O639" s="86"/>
      <x:c r="P639" s="32"/>
    </x:row>
    <x:row r="640">
      <x:c r="A640" s="87"/>
      <x:c r="D640" s="32"/>
      <x:c r="I640" s="74"/>
      <x:c r="J640" s="74"/>
      <x:c r="K640" s="74"/>
      <x:c r="L640" s="74"/>
      <x:c r="M640" s="85"/>
      <x:c r="O640" s="86"/>
      <x:c r="P640" s="32"/>
    </x:row>
    <x:row r="641">
      <x:c r="A641" s="87"/>
      <x:c r="D641" s="32"/>
      <x:c r="I641" s="74"/>
      <x:c r="J641" s="74"/>
      <x:c r="K641" s="74"/>
      <x:c r="L641" s="74"/>
      <x:c r="M641" s="85"/>
      <x:c r="O641" s="86"/>
      <x:c r="P641" s="32"/>
    </x:row>
    <x:row r="642">
      <x:c r="A642" s="87"/>
      <x:c r="D642" s="32"/>
      <x:c r="I642" s="74"/>
      <x:c r="J642" s="74"/>
      <x:c r="K642" s="74"/>
      <x:c r="L642" s="74"/>
      <x:c r="M642" s="85"/>
      <x:c r="O642" s="86"/>
      <x:c r="P642" s="32"/>
    </x:row>
    <x:row r="643">
      <x:c r="A643" s="87"/>
      <x:c r="D643" s="32"/>
      <x:c r="I643" s="74"/>
      <x:c r="J643" s="74"/>
      <x:c r="K643" s="74"/>
      <x:c r="L643" s="74"/>
      <x:c r="M643" s="85"/>
      <x:c r="O643" s="86"/>
      <x:c r="P643" s="32"/>
    </x:row>
    <x:row r="644">
      <x:c r="A644" s="87"/>
      <x:c r="D644" s="32"/>
      <x:c r="I644" s="74"/>
      <x:c r="J644" s="74"/>
      <x:c r="K644" s="74"/>
      <x:c r="L644" s="74"/>
      <x:c r="M644" s="85"/>
      <x:c r="O644" s="86"/>
      <x:c r="P644" s="32"/>
    </x:row>
    <x:row r="645">
      <x:c r="A645" s="87"/>
      <x:c r="D645" s="32"/>
      <x:c r="I645" s="74"/>
      <x:c r="J645" s="74"/>
      <x:c r="K645" s="74"/>
      <x:c r="L645" s="74"/>
      <x:c r="M645" s="85"/>
      <x:c r="O645" s="86"/>
      <x:c r="P645" s="32"/>
    </x:row>
    <x:row r="646">
      <x:c r="A646" s="87"/>
      <x:c r="D646" s="32"/>
      <x:c r="I646" s="74"/>
      <x:c r="J646" s="74"/>
      <x:c r="K646" s="74"/>
      <x:c r="L646" s="74"/>
      <x:c r="M646" s="85"/>
      <x:c r="O646" s="86"/>
      <x:c r="P646" s="32"/>
    </x:row>
    <x:row r="647">
      <x:c r="A647" s="87"/>
      <x:c r="D647" s="32"/>
      <x:c r="I647" s="74"/>
      <x:c r="J647" s="74"/>
      <x:c r="K647" s="74"/>
      <x:c r="L647" s="74"/>
      <x:c r="M647" s="85"/>
      <x:c r="O647" s="86"/>
      <x:c r="P647" s="32"/>
    </x:row>
    <x:row r="648">
      <x:c r="A648" s="87"/>
      <x:c r="D648" s="32"/>
      <x:c r="I648" s="74"/>
      <x:c r="J648" s="74"/>
      <x:c r="K648" s="74"/>
      <x:c r="L648" s="74"/>
      <x:c r="M648" s="85"/>
      <x:c r="O648" s="86"/>
      <x:c r="P648" s="32"/>
    </x:row>
    <x:row r="649">
      <x:c r="A649" s="87"/>
      <x:c r="D649" s="32"/>
      <x:c r="I649" s="74"/>
      <x:c r="J649" s="74"/>
      <x:c r="K649" s="74"/>
      <x:c r="L649" s="74"/>
      <x:c r="M649" s="85"/>
      <x:c r="O649" s="86"/>
      <x:c r="P649" s="32"/>
    </x:row>
    <x:row r="650">
      <x:c r="A650" s="87"/>
      <x:c r="D650" s="32"/>
      <x:c r="I650" s="74"/>
      <x:c r="J650" s="74"/>
      <x:c r="K650" s="74"/>
      <x:c r="L650" s="74"/>
      <x:c r="M650" s="85"/>
      <x:c r="O650" s="86"/>
      <x:c r="P650" s="32"/>
    </x:row>
    <x:row r="651">
      <x:c r="A651" s="87"/>
      <x:c r="D651" s="32"/>
      <x:c r="I651" s="74"/>
      <x:c r="J651" s="74"/>
      <x:c r="K651" s="74"/>
      <x:c r="L651" s="74"/>
      <x:c r="M651" s="85"/>
      <x:c r="O651" s="86"/>
      <x:c r="P651" s="32"/>
    </x:row>
    <x:row r="652">
      <x:c r="A652" s="87"/>
      <x:c r="D652" s="32"/>
      <x:c r="I652" s="74"/>
      <x:c r="J652" s="74"/>
      <x:c r="K652" s="74"/>
      <x:c r="L652" s="74"/>
      <x:c r="M652" s="85"/>
      <x:c r="O652" s="86"/>
      <x:c r="P652" s="32"/>
    </x:row>
    <x:row r="653">
      <x:c r="A653" s="87"/>
      <x:c r="D653" s="32"/>
      <x:c r="I653" s="74"/>
      <x:c r="J653" s="74"/>
      <x:c r="K653" s="74"/>
      <x:c r="L653" s="74"/>
      <x:c r="M653" s="85"/>
      <x:c r="O653" s="86"/>
      <x:c r="P653" s="32"/>
    </x:row>
    <x:row r="654">
      <x:c r="A654" s="87"/>
      <x:c r="D654" s="32"/>
      <x:c r="I654" s="74"/>
      <x:c r="J654" s="74"/>
      <x:c r="K654" s="74"/>
      <x:c r="L654" s="74"/>
      <x:c r="M654" s="85"/>
      <x:c r="O654" s="86"/>
      <x:c r="P654" s="32"/>
    </x:row>
    <x:row r="655">
      <x:c r="A655" s="87"/>
      <x:c r="D655" s="32"/>
      <x:c r="I655" s="74"/>
      <x:c r="J655" s="74"/>
      <x:c r="K655" s="74"/>
      <x:c r="L655" s="74"/>
      <x:c r="M655" s="85"/>
      <x:c r="O655" s="86"/>
      <x:c r="P655" s="32"/>
    </x:row>
    <x:row r="656">
      <x:c r="A656" s="87"/>
      <x:c r="D656" s="32"/>
      <x:c r="I656" s="74"/>
      <x:c r="J656" s="74"/>
      <x:c r="K656" s="74"/>
      <x:c r="L656" s="74"/>
      <x:c r="M656" s="85"/>
      <x:c r="O656" s="86"/>
      <x:c r="P656" s="32"/>
    </x:row>
    <x:row r="657">
      <x:c r="A657" s="87"/>
      <x:c r="D657" s="32"/>
      <x:c r="I657" s="74"/>
      <x:c r="J657" s="74"/>
      <x:c r="K657" s="74"/>
      <x:c r="L657" s="74"/>
      <x:c r="M657" s="85"/>
      <x:c r="O657" s="86"/>
      <x:c r="P657" s="32"/>
    </x:row>
    <x:row r="658">
      <x:c r="A658" s="87"/>
      <x:c r="D658" s="32"/>
      <x:c r="I658" s="74"/>
      <x:c r="J658" s="74"/>
      <x:c r="K658" s="74"/>
      <x:c r="L658" s="74"/>
      <x:c r="M658" s="85"/>
      <x:c r="O658" s="86"/>
      <x:c r="P658" s="32"/>
    </x:row>
    <x:row r="659">
      <x:c r="A659" s="87"/>
      <x:c r="D659" s="32"/>
      <x:c r="I659" s="74"/>
      <x:c r="J659" s="74"/>
      <x:c r="K659" s="74"/>
      <x:c r="L659" s="74"/>
      <x:c r="M659" s="85"/>
      <x:c r="O659" s="86"/>
      <x:c r="P659" s="32"/>
    </x:row>
    <x:row r="660">
      <x:c r="A660" s="87"/>
      <x:c r="D660" s="32"/>
      <x:c r="I660" s="74"/>
      <x:c r="J660" s="74"/>
      <x:c r="K660" s="74"/>
      <x:c r="L660" s="74"/>
      <x:c r="M660" s="85"/>
      <x:c r="O660" s="86"/>
      <x:c r="P660" s="32"/>
    </x:row>
    <x:row r="661">
      <x:c r="A661" s="87"/>
      <x:c r="D661" s="32"/>
      <x:c r="I661" s="74"/>
      <x:c r="J661" s="74"/>
      <x:c r="K661" s="74"/>
      <x:c r="L661" s="74"/>
      <x:c r="M661" s="85"/>
      <x:c r="O661" s="86"/>
      <x:c r="P661" s="32"/>
    </x:row>
    <x:row r="662">
      <x:c r="A662" s="87"/>
      <x:c r="D662" s="32"/>
      <x:c r="I662" s="74"/>
      <x:c r="J662" s="74"/>
      <x:c r="K662" s="74"/>
      <x:c r="L662" s="74"/>
      <x:c r="M662" s="85"/>
      <x:c r="O662" s="86"/>
      <x:c r="P662" s="32"/>
    </x:row>
    <x:row r="663">
      <x:c r="A663" s="87"/>
      <x:c r="D663" s="32"/>
      <x:c r="I663" s="74"/>
      <x:c r="J663" s="74"/>
      <x:c r="K663" s="74"/>
      <x:c r="L663" s="74"/>
      <x:c r="M663" s="85"/>
      <x:c r="O663" s="86"/>
      <x:c r="P663" s="32"/>
    </x:row>
    <x:row r="664">
      <x:c r="A664" s="87"/>
      <x:c r="D664" s="32"/>
      <x:c r="I664" s="74"/>
      <x:c r="J664" s="74"/>
      <x:c r="K664" s="74"/>
      <x:c r="L664" s="74"/>
      <x:c r="M664" s="85"/>
      <x:c r="O664" s="86"/>
      <x:c r="P664" s="32"/>
    </x:row>
    <x:row r="665">
      <x:c r="A665" s="87"/>
      <x:c r="D665" s="32"/>
      <x:c r="I665" s="74"/>
      <x:c r="J665" s="74"/>
      <x:c r="K665" s="74"/>
      <x:c r="L665" s="74"/>
      <x:c r="M665" s="85"/>
      <x:c r="O665" s="86"/>
      <x:c r="P665" s="32"/>
    </x:row>
    <x:row r="666">
      <x:c r="A666" s="87"/>
      <x:c r="D666" s="32"/>
      <x:c r="I666" s="74"/>
      <x:c r="J666" s="74"/>
      <x:c r="K666" s="74"/>
      <x:c r="L666" s="74"/>
      <x:c r="M666" s="85"/>
      <x:c r="O666" s="86"/>
      <x:c r="P666" s="32"/>
    </x:row>
    <x:row r="667">
      <x:c r="A667" s="87"/>
      <x:c r="D667" s="32"/>
      <x:c r="I667" s="74"/>
      <x:c r="J667" s="74"/>
      <x:c r="K667" s="74"/>
      <x:c r="L667" s="74"/>
      <x:c r="M667" s="85"/>
      <x:c r="O667" s="86"/>
      <x:c r="P667" s="32"/>
    </x:row>
    <x:row r="668">
      <x:c r="A668" s="87"/>
      <x:c r="D668" s="32"/>
      <x:c r="I668" s="74"/>
      <x:c r="J668" s="74"/>
      <x:c r="K668" s="74"/>
      <x:c r="L668" s="74"/>
      <x:c r="M668" s="85"/>
      <x:c r="O668" s="86"/>
      <x:c r="P668" s="32"/>
    </x:row>
    <x:row r="669">
      <x:c r="A669" s="87"/>
      <x:c r="D669" s="32"/>
      <x:c r="I669" s="74"/>
      <x:c r="J669" s="74"/>
      <x:c r="K669" s="74"/>
      <x:c r="L669" s="74"/>
      <x:c r="M669" s="85"/>
      <x:c r="O669" s="86"/>
      <x:c r="P669" s="32"/>
    </x:row>
    <x:row r="670">
      <x:c r="A670" s="87"/>
      <x:c r="D670" s="32"/>
      <x:c r="I670" s="74"/>
      <x:c r="J670" s="74"/>
      <x:c r="K670" s="74"/>
      <x:c r="L670" s="74"/>
      <x:c r="M670" s="85"/>
      <x:c r="O670" s="86"/>
      <x:c r="P670" s="32"/>
    </x:row>
    <x:row r="671">
      <x:c r="A671" s="87"/>
      <x:c r="D671" s="32"/>
      <x:c r="I671" s="74"/>
      <x:c r="J671" s="74"/>
      <x:c r="K671" s="74"/>
      <x:c r="L671" s="74"/>
      <x:c r="M671" s="85"/>
      <x:c r="O671" s="86"/>
      <x:c r="P671" s="32"/>
    </x:row>
    <x:row r="672">
      <x:c r="A672" s="87"/>
      <x:c r="D672" s="32"/>
      <x:c r="I672" s="74"/>
      <x:c r="J672" s="74"/>
      <x:c r="K672" s="74"/>
      <x:c r="L672" s="74"/>
      <x:c r="M672" s="85"/>
      <x:c r="O672" s="86"/>
      <x:c r="P672" s="32"/>
    </x:row>
    <x:row r="673">
      <x:c r="A673" s="87"/>
      <x:c r="D673" s="32"/>
      <x:c r="I673" s="74"/>
      <x:c r="J673" s="74"/>
      <x:c r="K673" s="74"/>
      <x:c r="L673" s="74"/>
      <x:c r="M673" s="85"/>
      <x:c r="O673" s="86"/>
      <x:c r="P673" s="32"/>
    </x:row>
    <x:row r="674">
      <x:c r="A674" s="87"/>
      <x:c r="D674" s="32"/>
      <x:c r="I674" s="74"/>
      <x:c r="J674" s="74"/>
      <x:c r="K674" s="74"/>
      <x:c r="L674" s="74"/>
      <x:c r="M674" s="85"/>
      <x:c r="O674" s="86"/>
      <x:c r="P674" s="32"/>
    </x:row>
    <x:row r="675">
      <x:c r="A675" s="87"/>
      <x:c r="D675" s="32"/>
      <x:c r="I675" s="74"/>
      <x:c r="J675" s="74"/>
      <x:c r="K675" s="74"/>
      <x:c r="L675" s="74"/>
      <x:c r="M675" s="85"/>
      <x:c r="O675" s="86"/>
      <x:c r="P675" s="32"/>
    </x:row>
    <x:row r="676">
      <x:c r="A676" s="87"/>
      <x:c r="D676" s="32"/>
      <x:c r="I676" s="74"/>
      <x:c r="J676" s="74"/>
      <x:c r="K676" s="74"/>
      <x:c r="L676" s="74"/>
      <x:c r="M676" s="85"/>
      <x:c r="O676" s="86"/>
      <x:c r="P676" s="32"/>
    </x:row>
    <x:row r="677">
      <x:c r="A677" s="87"/>
      <x:c r="D677" s="32"/>
      <x:c r="I677" s="74"/>
      <x:c r="J677" s="74"/>
      <x:c r="K677" s="74"/>
      <x:c r="L677" s="74"/>
      <x:c r="M677" s="85"/>
      <x:c r="O677" s="86"/>
      <x:c r="P677" s="32"/>
    </x:row>
    <x:row r="678">
      <x:c r="A678" s="87"/>
      <x:c r="D678" s="32"/>
      <x:c r="I678" s="74"/>
      <x:c r="J678" s="74"/>
      <x:c r="K678" s="74"/>
      <x:c r="L678" s="74"/>
      <x:c r="M678" s="85"/>
      <x:c r="O678" s="86"/>
      <x:c r="P678" s="32"/>
    </x:row>
    <x:row r="679">
      <x:c r="A679" s="87"/>
      <x:c r="D679" s="32"/>
      <x:c r="I679" s="74"/>
      <x:c r="J679" s="74"/>
      <x:c r="K679" s="74"/>
      <x:c r="L679" s="74"/>
      <x:c r="M679" s="85"/>
      <x:c r="O679" s="86"/>
      <x:c r="P679" s="32"/>
    </x:row>
    <x:row r="680">
      <x:c r="A680" s="87"/>
      <x:c r="D680" s="32"/>
      <x:c r="I680" s="74"/>
      <x:c r="J680" s="74"/>
      <x:c r="K680" s="74"/>
      <x:c r="L680" s="74"/>
      <x:c r="M680" s="85"/>
      <x:c r="O680" s="86"/>
      <x:c r="P680" s="32"/>
    </x:row>
    <x:row r="681">
      <x:c r="A681" s="87"/>
      <x:c r="D681" s="32"/>
      <x:c r="I681" s="74"/>
      <x:c r="J681" s="74"/>
      <x:c r="K681" s="74"/>
      <x:c r="L681" s="74"/>
      <x:c r="M681" s="85"/>
      <x:c r="O681" s="86"/>
      <x:c r="P681" s="32"/>
    </x:row>
    <x:row r="682">
      <x:c r="A682" s="87"/>
      <x:c r="D682" s="32"/>
      <x:c r="I682" s="74"/>
      <x:c r="J682" s="74"/>
      <x:c r="K682" s="74"/>
      <x:c r="L682" s="74"/>
      <x:c r="M682" s="85"/>
      <x:c r="O682" s="86"/>
      <x:c r="P682" s="32"/>
    </x:row>
    <x:row r="683">
      <x:c r="A683" s="87"/>
      <x:c r="D683" s="32"/>
      <x:c r="I683" s="74"/>
      <x:c r="J683" s="74"/>
      <x:c r="K683" s="74"/>
      <x:c r="L683" s="74"/>
      <x:c r="M683" s="85"/>
      <x:c r="O683" s="86"/>
      <x:c r="P683" s="32"/>
    </x:row>
    <x:row r="684">
      <x:c r="A684" s="87"/>
      <x:c r="D684" s="32"/>
      <x:c r="I684" s="74"/>
      <x:c r="J684" s="74"/>
      <x:c r="K684" s="74"/>
      <x:c r="L684" s="74"/>
      <x:c r="M684" s="85"/>
      <x:c r="O684" s="86"/>
      <x:c r="P684" s="32"/>
    </x:row>
    <x:row r="685">
      <x:c r="A685" s="87"/>
      <x:c r="D685" s="32"/>
      <x:c r="I685" s="74"/>
      <x:c r="J685" s="74"/>
      <x:c r="K685" s="74"/>
      <x:c r="L685" s="74"/>
      <x:c r="M685" s="85"/>
      <x:c r="O685" s="86"/>
      <x:c r="P685" s="32"/>
    </x:row>
    <x:row r="686">
      <x:c r="A686" s="87"/>
      <x:c r="D686" s="32"/>
      <x:c r="I686" s="74"/>
      <x:c r="J686" s="74"/>
      <x:c r="K686" s="74"/>
      <x:c r="L686" s="74"/>
      <x:c r="M686" s="85"/>
      <x:c r="O686" s="86"/>
      <x:c r="P686" s="32"/>
    </x:row>
    <x:row r="687">
      <x:c r="A687" s="87"/>
      <x:c r="D687" s="32"/>
      <x:c r="I687" s="74"/>
      <x:c r="J687" s="74"/>
      <x:c r="K687" s="74"/>
      <x:c r="L687" s="74"/>
      <x:c r="M687" s="85"/>
      <x:c r="O687" s="86"/>
      <x:c r="P687" s="32"/>
    </x:row>
    <x:row r="688">
      <x:c r="A688" s="87"/>
      <x:c r="D688" s="32"/>
      <x:c r="I688" s="74"/>
      <x:c r="J688" s="74"/>
      <x:c r="K688" s="74"/>
      <x:c r="L688" s="74"/>
      <x:c r="M688" s="85"/>
      <x:c r="O688" s="86"/>
      <x:c r="P688" s="32"/>
    </x:row>
    <x:row r="689">
      <x:c r="A689" s="87"/>
      <x:c r="D689" s="32"/>
      <x:c r="I689" s="74"/>
      <x:c r="J689" s="74"/>
      <x:c r="K689" s="74"/>
      <x:c r="L689" s="74"/>
      <x:c r="M689" s="85"/>
      <x:c r="O689" s="86"/>
      <x:c r="P689" s="32"/>
    </x:row>
    <x:row r="690">
      <x:c r="A690" s="87"/>
      <x:c r="D690" s="32"/>
      <x:c r="I690" s="74"/>
      <x:c r="J690" s="74"/>
      <x:c r="K690" s="74"/>
      <x:c r="L690" s="74"/>
      <x:c r="M690" s="85"/>
      <x:c r="O690" s="86"/>
      <x:c r="P690" s="32"/>
    </x:row>
    <x:row r="691">
      <x:c r="A691" s="87"/>
      <x:c r="D691" s="32"/>
      <x:c r="I691" s="74"/>
      <x:c r="J691" s="74"/>
      <x:c r="K691" s="74"/>
      <x:c r="L691" s="74"/>
      <x:c r="M691" s="85"/>
      <x:c r="O691" s="86"/>
      <x:c r="P691" s="32"/>
    </x:row>
    <x:row r="692">
      <x:c r="A692" s="87"/>
      <x:c r="D692" s="32"/>
      <x:c r="I692" s="74"/>
      <x:c r="J692" s="74"/>
      <x:c r="K692" s="74"/>
      <x:c r="L692" s="74"/>
      <x:c r="M692" s="85"/>
      <x:c r="O692" s="86"/>
      <x:c r="P692" s="32"/>
    </x:row>
    <x:row r="693">
      <x:c r="A693" s="87"/>
      <x:c r="D693" s="32"/>
      <x:c r="I693" s="74"/>
      <x:c r="J693" s="74"/>
      <x:c r="K693" s="74"/>
      <x:c r="L693" s="74"/>
      <x:c r="M693" s="85"/>
      <x:c r="O693" s="86"/>
      <x:c r="P693" s="32"/>
    </x:row>
    <x:row r="694">
      <x:c r="A694" s="87"/>
      <x:c r="D694" s="32"/>
      <x:c r="I694" s="74"/>
      <x:c r="J694" s="74"/>
      <x:c r="K694" s="74"/>
      <x:c r="L694" s="74"/>
      <x:c r="M694" s="85"/>
      <x:c r="O694" s="86"/>
      <x:c r="P694" s="32"/>
    </x:row>
    <x:row r="695">
      <x:c r="A695" s="87"/>
      <x:c r="D695" s="32"/>
      <x:c r="I695" s="74"/>
      <x:c r="J695" s="74"/>
      <x:c r="K695" s="74"/>
      <x:c r="L695" s="74"/>
      <x:c r="M695" s="85"/>
      <x:c r="O695" s="86"/>
      <x:c r="P695" s="32"/>
    </x:row>
    <x:row r="696">
      <x:c r="A696" s="87"/>
      <x:c r="D696" s="32"/>
      <x:c r="I696" s="74"/>
      <x:c r="J696" s="74"/>
      <x:c r="K696" s="74"/>
      <x:c r="L696" s="74"/>
      <x:c r="M696" s="85"/>
      <x:c r="O696" s="86"/>
      <x:c r="P696" s="32"/>
    </x:row>
    <x:row r="697">
      <x:c r="A697" s="87"/>
      <x:c r="D697" s="32"/>
      <x:c r="I697" s="74"/>
      <x:c r="J697" s="74"/>
      <x:c r="K697" s="74"/>
      <x:c r="L697" s="74"/>
      <x:c r="M697" s="85"/>
      <x:c r="O697" s="86"/>
      <x:c r="P697" s="32"/>
    </x:row>
    <x:row r="698">
      <x:c r="A698" s="87"/>
      <x:c r="D698" s="32"/>
      <x:c r="I698" s="74"/>
      <x:c r="J698" s="74"/>
      <x:c r="K698" s="74"/>
      <x:c r="L698" s="74"/>
      <x:c r="M698" s="85"/>
      <x:c r="O698" s="86"/>
      <x:c r="P698" s="32"/>
    </x:row>
    <x:row r="699">
      <x:c r="A699" s="87"/>
      <x:c r="D699" s="32"/>
      <x:c r="I699" s="74"/>
      <x:c r="J699" s="74"/>
      <x:c r="K699" s="74"/>
      <x:c r="L699" s="74"/>
      <x:c r="M699" s="85"/>
      <x:c r="O699" s="86"/>
      <x:c r="P699" s="32"/>
    </x:row>
    <x:row r="700">
      <x:c r="A700" s="87"/>
      <x:c r="D700" s="32"/>
      <x:c r="I700" s="74"/>
      <x:c r="J700" s="74"/>
      <x:c r="K700" s="74"/>
      <x:c r="L700" s="74"/>
      <x:c r="M700" s="85"/>
      <x:c r="O700" s="86"/>
      <x:c r="P700" s="32"/>
    </x:row>
    <x:row r="701">
      <x:c r="A701" s="87"/>
      <x:c r="D701" s="32"/>
      <x:c r="I701" s="74"/>
      <x:c r="J701" s="74"/>
      <x:c r="K701" s="74"/>
      <x:c r="L701" s="74"/>
      <x:c r="M701" s="85"/>
      <x:c r="O701" s="86"/>
      <x:c r="P701" s="32"/>
    </x:row>
    <x:row r="702">
      <x:c r="A702" s="87"/>
      <x:c r="D702" s="32"/>
      <x:c r="I702" s="74"/>
      <x:c r="J702" s="74"/>
      <x:c r="K702" s="74"/>
      <x:c r="L702" s="74"/>
      <x:c r="M702" s="85"/>
      <x:c r="O702" s="86"/>
      <x:c r="P702" s="32"/>
    </x:row>
    <x:row r="703">
      <x:c r="A703" s="87"/>
      <x:c r="D703" s="32"/>
      <x:c r="I703" s="74"/>
      <x:c r="J703" s="74"/>
      <x:c r="K703" s="74"/>
      <x:c r="L703" s="74"/>
      <x:c r="M703" s="85"/>
      <x:c r="O703" s="86"/>
      <x:c r="P703" s="32"/>
    </x:row>
    <x:row r="704">
      <x:c r="A704" s="87"/>
      <x:c r="D704" s="32"/>
      <x:c r="I704" s="74"/>
      <x:c r="J704" s="74"/>
      <x:c r="K704" s="74"/>
      <x:c r="L704" s="74"/>
      <x:c r="M704" s="85"/>
      <x:c r="O704" s="86"/>
      <x:c r="P704" s="32"/>
    </x:row>
    <x:row r="705">
      <x:c r="A705" s="87"/>
      <x:c r="D705" s="32"/>
      <x:c r="I705" s="74"/>
      <x:c r="J705" s="74"/>
      <x:c r="K705" s="74"/>
      <x:c r="L705" s="74"/>
      <x:c r="M705" s="85"/>
      <x:c r="O705" s="86"/>
      <x:c r="P705" s="32"/>
    </x:row>
    <x:row r="706">
      <x:c r="A706" s="87"/>
      <x:c r="D706" s="32"/>
      <x:c r="I706" s="74"/>
      <x:c r="J706" s="74"/>
      <x:c r="K706" s="74"/>
      <x:c r="L706" s="74"/>
      <x:c r="M706" s="85"/>
      <x:c r="O706" s="86"/>
      <x:c r="P706" s="32"/>
    </x:row>
    <x:row r="707">
      <x:c r="A707" s="87"/>
      <x:c r="D707" s="32"/>
      <x:c r="I707" s="74"/>
      <x:c r="J707" s="74"/>
      <x:c r="K707" s="74"/>
      <x:c r="L707" s="74"/>
      <x:c r="M707" s="85"/>
      <x:c r="O707" s="86"/>
      <x:c r="P707" s="32"/>
    </x:row>
    <x:row r="708">
      <x:c r="A708" s="87"/>
      <x:c r="D708" s="32"/>
      <x:c r="I708" s="74"/>
      <x:c r="J708" s="74"/>
      <x:c r="K708" s="74"/>
      <x:c r="L708" s="74"/>
      <x:c r="M708" s="85"/>
      <x:c r="O708" s="86"/>
      <x:c r="P708" s="32"/>
    </x:row>
    <x:row r="709">
      <x:c r="A709" s="87"/>
      <x:c r="D709" s="32"/>
      <x:c r="I709" s="74"/>
      <x:c r="J709" s="74"/>
      <x:c r="K709" s="74"/>
      <x:c r="L709" s="74"/>
      <x:c r="M709" s="85"/>
      <x:c r="O709" s="86"/>
      <x:c r="P709" s="32"/>
    </x:row>
    <x:row r="710">
      <x:c r="A710" s="87"/>
      <x:c r="D710" s="32"/>
      <x:c r="I710" s="74"/>
      <x:c r="J710" s="74"/>
      <x:c r="K710" s="74"/>
      <x:c r="L710" s="74"/>
      <x:c r="M710" s="85"/>
      <x:c r="O710" s="86"/>
      <x:c r="P710" s="32"/>
    </x:row>
    <x:row r="711">
      <x:c r="A711" s="87"/>
      <x:c r="D711" s="32"/>
      <x:c r="I711" s="74"/>
      <x:c r="J711" s="74"/>
      <x:c r="K711" s="74"/>
      <x:c r="L711" s="74"/>
      <x:c r="M711" s="85"/>
      <x:c r="O711" s="86"/>
      <x:c r="P711" s="32"/>
    </x:row>
    <x:row r="712">
      <x:c r="A712" s="87"/>
      <x:c r="D712" s="32"/>
      <x:c r="I712" s="74"/>
      <x:c r="J712" s="74"/>
      <x:c r="K712" s="74"/>
      <x:c r="L712" s="74"/>
      <x:c r="M712" s="85"/>
      <x:c r="O712" s="86"/>
      <x:c r="P712" s="32"/>
    </x:row>
    <x:row r="713">
      <x:c r="A713" s="87"/>
      <x:c r="D713" s="32"/>
      <x:c r="I713" s="74"/>
      <x:c r="J713" s="74"/>
      <x:c r="K713" s="74"/>
      <x:c r="L713" s="74"/>
      <x:c r="M713" s="85"/>
      <x:c r="O713" s="86"/>
      <x:c r="P713" s="32"/>
    </x:row>
    <x:row r="714">
      <x:c r="A714" s="87"/>
      <x:c r="D714" s="32"/>
      <x:c r="I714" s="74"/>
      <x:c r="J714" s="74"/>
      <x:c r="K714" s="74"/>
      <x:c r="L714" s="74"/>
      <x:c r="M714" s="85"/>
      <x:c r="O714" s="86"/>
      <x:c r="P714" s="32"/>
    </x:row>
    <x:row r="715">
      <x:c r="A715" s="87"/>
      <x:c r="D715" s="32"/>
      <x:c r="I715" s="74"/>
      <x:c r="J715" s="74"/>
      <x:c r="K715" s="74"/>
      <x:c r="L715" s="74"/>
      <x:c r="M715" s="85"/>
      <x:c r="O715" s="86"/>
      <x:c r="P715" s="32"/>
    </x:row>
    <x:row r="716">
      <x:c r="A716" s="87"/>
      <x:c r="D716" s="32"/>
      <x:c r="I716" s="74"/>
      <x:c r="J716" s="74"/>
      <x:c r="K716" s="74"/>
      <x:c r="L716" s="74"/>
      <x:c r="M716" s="85"/>
      <x:c r="O716" s="86"/>
      <x:c r="P716" s="32"/>
    </x:row>
    <x:row r="717">
      <x:c r="A717" s="87"/>
      <x:c r="D717" s="32"/>
      <x:c r="I717" s="74"/>
      <x:c r="J717" s="74"/>
      <x:c r="K717" s="74"/>
      <x:c r="L717" s="74"/>
      <x:c r="M717" s="85"/>
      <x:c r="O717" s="86"/>
      <x:c r="P717" s="32"/>
    </x:row>
    <x:row r="718">
      <x:c r="A718" s="87"/>
      <x:c r="D718" s="32"/>
      <x:c r="I718" s="74"/>
      <x:c r="J718" s="74"/>
      <x:c r="K718" s="74"/>
      <x:c r="L718" s="74"/>
      <x:c r="M718" s="85"/>
      <x:c r="O718" s="86"/>
      <x:c r="P718" s="32"/>
    </x:row>
    <x:row r="719">
      <x:c r="A719" s="87"/>
      <x:c r="D719" s="32"/>
      <x:c r="I719" s="74"/>
      <x:c r="J719" s="74"/>
      <x:c r="K719" s="74"/>
      <x:c r="L719" s="74"/>
      <x:c r="M719" s="85"/>
      <x:c r="O719" s="86"/>
      <x:c r="P719" s="32"/>
    </x:row>
    <x:row r="720">
      <x:c r="A720" s="87"/>
      <x:c r="D720" s="32"/>
      <x:c r="I720" s="74"/>
      <x:c r="J720" s="74"/>
      <x:c r="K720" s="74"/>
      <x:c r="L720" s="74"/>
      <x:c r="M720" s="85"/>
      <x:c r="O720" s="86"/>
      <x:c r="P720" s="32"/>
    </x:row>
    <x:row r="721">
      <x:c r="A721" s="87"/>
      <x:c r="D721" s="32"/>
      <x:c r="I721" s="74"/>
      <x:c r="J721" s="74"/>
      <x:c r="K721" s="74"/>
      <x:c r="L721" s="74"/>
      <x:c r="M721" s="85"/>
      <x:c r="O721" s="86"/>
      <x:c r="P721" s="32"/>
    </x:row>
    <x:row r="722">
      <x:c r="A722" s="87"/>
      <x:c r="D722" s="32"/>
      <x:c r="I722" s="74"/>
      <x:c r="J722" s="74"/>
      <x:c r="K722" s="74"/>
      <x:c r="L722" s="74"/>
      <x:c r="M722" s="85"/>
      <x:c r="O722" s="86"/>
      <x:c r="P722" s="32"/>
    </x:row>
    <x:row r="723">
      <x:c r="A723" s="87"/>
      <x:c r="D723" s="32"/>
      <x:c r="I723" s="74"/>
      <x:c r="J723" s="74"/>
      <x:c r="K723" s="74"/>
      <x:c r="L723" s="74"/>
      <x:c r="M723" s="85"/>
      <x:c r="O723" s="86"/>
      <x:c r="P723" s="32"/>
    </x:row>
    <x:row r="724">
      <x:c r="A724" s="87"/>
      <x:c r="D724" s="32"/>
      <x:c r="I724" s="74"/>
      <x:c r="J724" s="74"/>
      <x:c r="K724" s="74"/>
      <x:c r="L724" s="74"/>
      <x:c r="M724" s="85"/>
      <x:c r="O724" s="86"/>
      <x:c r="P724" s="32"/>
    </x:row>
    <x:row r="725">
      <x:c r="A725" s="87"/>
      <x:c r="D725" s="32"/>
      <x:c r="I725" s="74"/>
      <x:c r="J725" s="74"/>
      <x:c r="K725" s="74"/>
      <x:c r="L725" s="74"/>
      <x:c r="M725" s="85"/>
      <x:c r="O725" s="86"/>
      <x:c r="P725" s="32"/>
    </x:row>
    <x:row r="726">
      <x:c r="A726" s="87"/>
      <x:c r="D726" s="32"/>
      <x:c r="I726" s="74"/>
      <x:c r="J726" s="74"/>
      <x:c r="K726" s="74"/>
      <x:c r="L726" s="74"/>
      <x:c r="M726" s="85"/>
      <x:c r="O726" s="86"/>
      <x:c r="P726" s="32"/>
    </x:row>
    <x:row r="727">
      <x:c r="A727" s="87"/>
      <x:c r="D727" s="32"/>
      <x:c r="I727" s="74"/>
      <x:c r="J727" s="74"/>
      <x:c r="K727" s="74"/>
      <x:c r="L727" s="74"/>
      <x:c r="M727" s="85"/>
      <x:c r="O727" s="86"/>
      <x:c r="P727" s="32"/>
    </x:row>
    <x:row r="728">
      <x:c r="A728" s="87"/>
      <x:c r="D728" s="32"/>
      <x:c r="I728" s="74"/>
      <x:c r="J728" s="74"/>
      <x:c r="K728" s="74"/>
      <x:c r="L728" s="74"/>
      <x:c r="M728" s="85"/>
      <x:c r="O728" s="86"/>
      <x:c r="P728" s="32"/>
    </x:row>
    <x:row r="729">
      <x:c r="A729" s="87"/>
      <x:c r="D729" s="32"/>
      <x:c r="I729" s="74"/>
      <x:c r="J729" s="74"/>
      <x:c r="K729" s="74"/>
      <x:c r="L729" s="74"/>
      <x:c r="M729" s="85"/>
      <x:c r="O729" s="86"/>
      <x:c r="P729" s="32"/>
    </x:row>
    <x:row r="730">
      <x:c r="A730" s="87"/>
      <x:c r="D730" s="32"/>
      <x:c r="I730" s="74"/>
      <x:c r="J730" s="74"/>
      <x:c r="K730" s="74"/>
      <x:c r="L730" s="74"/>
      <x:c r="M730" s="85"/>
      <x:c r="O730" s="86"/>
      <x:c r="P730" s="32"/>
    </x:row>
    <x:row r="731">
      <x:c r="A731" s="87"/>
      <x:c r="D731" s="32"/>
      <x:c r="I731" s="74"/>
      <x:c r="J731" s="74"/>
      <x:c r="K731" s="74"/>
      <x:c r="L731" s="74"/>
      <x:c r="M731" s="85"/>
      <x:c r="O731" s="86"/>
      <x:c r="P731" s="32"/>
    </x:row>
    <x:row r="732">
      <x:c r="A732" s="87"/>
      <x:c r="D732" s="32"/>
      <x:c r="I732" s="74"/>
      <x:c r="J732" s="74"/>
      <x:c r="K732" s="74"/>
      <x:c r="L732" s="74"/>
      <x:c r="M732" s="85"/>
      <x:c r="O732" s="86"/>
      <x:c r="P732" s="32"/>
    </x:row>
    <x:row r="733">
      <x:c r="A733" s="87"/>
      <x:c r="D733" s="32"/>
      <x:c r="I733" s="74"/>
      <x:c r="J733" s="74"/>
      <x:c r="K733" s="74"/>
      <x:c r="L733" s="74"/>
      <x:c r="M733" s="85"/>
      <x:c r="O733" s="86"/>
      <x:c r="P733" s="32"/>
    </x:row>
    <x:row r="734">
      <x:c r="A734" s="87"/>
      <x:c r="D734" s="32"/>
      <x:c r="I734" s="74"/>
      <x:c r="J734" s="74"/>
      <x:c r="K734" s="74"/>
      <x:c r="L734" s="74"/>
      <x:c r="M734" s="85"/>
      <x:c r="O734" s="86"/>
      <x:c r="P734" s="32"/>
    </x:row>
    <x:row r="735">
      <x:c r="A735" s="87"/>
      <x:c r="D735" s="32"/>
      <x:c r="I735" s="74"/>
      <x:c r="J735" s="74"/>
      <x:c r="K735" s="74"/>
      <x:c r="L735" s="74"/>
      <x:c r="M735" s="85"/>
      <x:c r="O735" s="86"/>
      <x:c r="P735" s="32"/>
    </x:row>
    <x:row r="736">
      <x:c r="A736" s="87"/>
      <x:c r="D736" s="32"/>
      <x:c r="I736" s="74"/>
      <x:c r="J736" s="74"/>
      <x:c r="K736" s="74"/>
      <x:c r="L736" s="74"/>
      <x:c r="M736" s="85"/>
      <x:c r="O736" s="86"/>
      <x:c r="P736" s="32"/>
    </x:row>
    <x:row r="737">
      <x:c r="A737" s="87"/>
      <x:c r="D737" s="32"/>
      <x:c r="I737" s="74"/>
      <x:c r="J737" s="74"/>
      <x:c r="K737" s="74"/>
      <x:c r="L737" s="74"/>
      <x:c r="M737" s="85"/>
      <x:c r="O737" s="86"/>
      <x:c r="P737" s="32"/>
    </x:row>
    <x:row r="738">
      <x:c r="A738" s="87"/>
      <x:c r="D738" s="32"/>
      <x:c r="I738" s="74"/>
      <x:c r="J738" s="74"/>
      <x:c r="K738" s="74"/>
      <x:c r="L738" s="74"/>
      <x:c r="M738" s="85"/>
      <x:c r="O738" s="86"/>
      <x:c r="P738" s="32"/>
    </x:row>
    <x:row r="739">
      <x:c r="A739" s="87"/>
      <x:c r="D739" s="32"/>
      <x:c r="I739" s="74"/>
      <x:c r="J739" s="74"/>
      <x:c r="K739" s="74"/>
      <x:c r="L739" s="74"/>
      <x:c r="M739" s="85"/>
      <x:c r="O739" s="86"/>
      <x:c r="P739" s="32"/>
    </x:row>
    <x:row r="740">
      <x:c r="A740" s="87"/>
      <x:c r="D740" s="32"/>
      <x:c r="I740" s="74"/>
      <x:c r="J740" s="74"/>
      <x:c r="K740" s="74"/>
      <x:c r="L740" s="74"/>
      <x:c r="M740" s="85"/>
      <x:c r="O740" s="86"/>
      <x:c r="P740" s="32"/>
    </x:row>
    <x:row r="741">
      <x:c r="A741" s="87"/>
      <x:c r="D741" s="32"/>
      <x:c r="I741" s="74"/>
      <x:c r="J741" s="74"/>
      <x:c r="K741" s="74"/>
      <x:c r="L741" s="74"/>
      <x:c r="M741" s="85"/>
      <x:c r="O741" s="86"/>
      <x:c r="P741" s="32"/>
    </x:row>
    <x:row r="742">
      <x:c r="A742" s="87"/>
      <x:c r="D742" s="32"/>
      <x:c r="I742" s="74"/>
      <x:c r="J742" s="74"/>
      <x:c r="K742" s="74"/>
      <x:c r="L742" s="74"/>
      <x:c r="M742" s="85"/>
      <x:c r="O742" s="86"/>
      <x:c r="P742" s="32"/>
    </x:row>
    <x:row r="743">
      <x:c r="A743" s="87"/>
      <x:c r="D743" s="32"/>
      <x:c r="I743" s="74"/>
      <x:c r="J743" s="74"/>
      <x:c r="K743" s="74"/>
      <x:c r="L743" s="74"/>
      <x:c r="M743" s="85"/>
      <x:c r="O743" s="86"/>
      <x:c r="P743" s="32"/>
    </x:row>
    <x:row r="744">
      <x:c r="A744" s="87"/>
      <x:c r="D744" s="32"/>
      <x:c r="I744" s="74"/>
      <x:c r="J744" s="74"/>
      <x:c r="K744" s="74"/>
      <x:c r="L744" s="74"/>
      <x:c r="M744" s="85"/>
      <x:c r="O744" s="86"/>
      <x:c r="P744" s="32"/>
    </x:row>
    <x:row r="745">
      <x:c r="A745" s="87"/>
      <x:c r="D745" s="32"/>
      <x:c r="I745" s="74"/>
      <x:c r="J745" s="74"/>
      <x:c r="K745" s="74"/>
      <x:c r="L745" s="74"/>
      <x:c r="M745" s="85"/>
      <x:c r="O745" s="86"/>
      <x:c r="P745" s="32"/>
    </x:row>
    <x:row r="746">
      <x:c r="A746" s="87"/>
      <x:c r="D746" s="32"/>
      <x:c r="I746" s="74"/>
      <x:c r="J746" s="74"/>
      <x:c r="K746" s="74"/>
      <x:c r="L746" s="74"/>
      <x:c r="M746" s="85"/>
      <x:c r="O746" s="86"/>
      <x:c r="P746" s="32"/>
    </x:row>
    <x:row r="747">
      <x:c r="A747" s="87"/>
      <x:c r="D747" s="32"/>
      <x:c r="I747" s="74"/>
      <x:c r="J747" s="74"/>
      <x:c r="K747" s="74"/>
      <x:c r="L747" s="74"/>
      <x:c r="M747" s="85"/>
      <x:c r="O747" s="86"/>
      <x:c r="P747" s="32"/>
    </x:row>
    <x:row r="748">
      <x:c r="A748" s="87"/>
      <x:c r="D748" s="32"/>
      <x:c r="I748" s="74"/>
      <x:c r="J748" s="74"/>
      <x:c r="K748" s="74"/>
      <x:c r="L748" s="74"/>
      <x:c r="M748" s="85"/>
      <x:c r="O748" s="86"/>
      <x:c r="P748" s="32"/>
    </x:row>
    <x:row r="749">
      <x:c r="A749" s="87"/>
      <x:c r="D749" s="32"/>
      <x:c r="I749" s="74"/>
      <x:c r="J749" s="74"/>
      <x:c r="K749" s="74"/>
      <x:c r="L749" s="74"/>
      <x:c r="M749" s="85"/>
      <x:c r="O749" s="86"/>
      <x:c r="P749" s="32"/>
    </x:row>
    <x:row r="750">
      <x:c r="A750" s="87"/>
      <x:c r="D750" s="32"/>
      <x:c r="I750" s="74"/>
      <x:c r="J750" s="74"/>
      <x:c r="K750" s="74"/>
      <x:c r="L750" s="74"/>
      <x:c r="M750" s="85"/>
      <x:c r="O750" s="86"/>
      <x:c r="P750" s="32"/>
    </x:row>
    <x:row r="751">
      <x:c r="A751" s="87"/>
      <x:c r="D751" s="32"/>
      <x:c r="I751" s="74"/>
      <x:c r="J751" s="74"/>
      <x:c r="K751" s="74"/>
      <x:c r="L751" s="74"/>
      <x:c r="M751" s="85"/>
      <x:c r="O751" s="86"/>
      <x:c r="P751" s="32"/>
    </x:row>
    <x:row r="752">
      <x:c r="A752" s="87"/>
      <x:c r="D752" s="32"/>
      <x:c r="I752" s="74"/>
      <x:c r="J752" s="74"/>
      <x:c r="K752" s="74"/>
      <x:c r="L752" s="74"/>
      <x:c r="M752" s="85"/>
      <x:c r="O752" s="86"/>
      <x:c r="P752" s="32"/>
    </x:row>
    <x:row r="753">
      <x:c r="A753" s="87"/>
      <x:c r="D753" s="32"/>
      <x:c r="I753" s="74"/>
      <x:c r="J753" s="74"/>
      <x:c r="K753" s="74"/>
      <x:c r="L753" s="74"/>
      <x:c r="M753" s="85"/>
      <x:c r="O753" s="86"/>
      <x:c r="P753" s="32"/>
    </x:row>
    <x:row r="754">
      <x:c r="A754" s="87"/>
      <x:c r="D754" s="32"/>
      <x:c r="I754" s="74"/>
      <x:c r="J754" s="74"/>
      <x:c r="K754" s="74"/>
      <x:c r="L754" s="74"/>
      <x:c r="M754" s="85"/>
      <x:c r="O754" s="86"/>
      <x:c r="P754" s="32"/>
    </x:row>
    <x:row r="755">
      <x:c r="A755" s="87"/>
      <x:c r="D755" s="32"/>
      <x:c r="I755" s="74"/>
      <x:c r="J755" s="74"/>
      <x:c r="K755" s="74"/>
      <x:c r="L755" s="74"/>
      <x:c r="M755" s="85"/>
      <x:c r="O755" s="86"/>
      <x:c r="P755" s="32"/>
    </x:row>
    <x:row r="756">
      <x:c r="A756" s="87"/>
      <x:c r="D756" s="32"/>
      <x:c r="I756" s="74"/>
      <x:c r="J756" s="74"/>
      <x:c r="K756" s="74"/>
      <x:c r="L756" s="74"/>
      <x:c r="M756" s="85"/>
      <x:c r="O756" s="86"/>
      <x:c r="P756" s="32"/>
    </x:row>
    <x:row r="757">
      <x:c r="A757" s="87"/>
      <x:c r="D757" s="32"/>
      <x:c r="I757" s="74"/>
      <x:c r="J757" s="74"/>
      <x:c r="K757" s="74"/>
      <x:c r="L757" s="74"/>
      <x:c r="M757" s="85"/>
      <x:c r="O757" s="86"/>
      <x:c r="P757" s="32"/>
    </x:row>
    <x:row r="758">
      <x:c r="A758" s="87"/>
      <x:c r="D758" s="32"/>
      <x:c r="I758" s="74"/>
      <x:c r="J758" s="74"/>
      <x:c r="K758" s="74"/>
      <x:c r="L758" s="74"/>
      <x:c r="M758" s="85"/>
      <x:c r="O758" s="86"/>
      <x:c r="P758" s="32"/>
    </x:row>
    <x:row r="759">
      <x:c r="A759" s="87"/>
      <x:c r="D759" s="32"/>
      <x:c r="I759" s="74"/>
      <x:c r="J759" s="74"/>
      <x:c r="K759" s="74"/>
      <x:c r="L759" s="74"/>
      <x:c r="M759" s="85"/>
      <x:c r="O759" s="86"/>
      <x:c r="P759" s="32"/>
    </x:row>
    <x:row r="760">
      <x:c r="A760" s="87"/>
      <x:c r="D760" s="32"/>
      <x:c r="I760" s="74"/>
      <x:c r="J760" s="74"/>
      <x:c r="K760" s="74"/>
      <x:c r="L760" s="74"/>
      <x:c r="M760" s="85"/>
      <x:c r="O760" s="86"/>
      <x:c r="P760" s="32"/>
    </x:row>
    <x:row r="761">
      <x:c r="A761" s="87"/>
      <x:c r="D761" s="32"/>
      <x:c r="I761" s="74"/>
      <x:c r="J761" s="74"/>
      <x:c r="K761" s="74"/>
      <x:c r="L761" s="74"/>
      <x:c r="M761" s="85"/>
      <x:c r="O761" s="86"/>
      <x:c r="P761" s="32"/>
    </x:row>
    <x:row r="762">
      <x:c r="A762" s="87"/>
      <x:c r="D762" s="32"/>
      <x:c r="I762" s="74"/>
      <x:c r="J762" s="74"/>
      <x:c r="K762" s="74"/>
      <x:c r="L762" s="74"/>
      <x:c r="M762" s="85"/>
      <x:c r="O762" s="86"/>
      <x:c r="P762" s="32"/>
    </x:row>
    <x:row r="763">
      <x:c r="A763" s="87"/>
      <x:c r="D763" s="32"/>
      <x:c r="I763" s="74"/>
      <x:c r="J763" s="74"/>
      <x:c r="K763" s="74"/>
      <x:c r="L763" s="74"/>
      <x:c r="M763" s="85"/>
      <x:c r="O763" s="86"/>
      <x:c r="P763" s="32"/>
    </x:row>
    <x:row r="764">
      <x:c r="A764" s="87"/>
      <x:c r="D764" s="32"/>
      <x:c r="I764" s="74"/>
      <x:c r="J764" s="74"/>
      <x:c r="K764" s="74"/>
      <x:c r="L764" s="74"/>
      <x:c r="M764" s="85"/>
      <x:c r="O764" s="86"/>
      <x:c r="P764" s="32"/>
    </x:row>
    <x:row r="765">
      <x:c r="A765" s="87"/>
      <x:c r="D765" s="32"/>
      <x:c r="I765" s="74"/>
      <x:c r="J765" s="74"/>
      <x:c r="K765" s="74"/>
      <x:c r="L765" s="74"/>
      <x:c r="M765" s="85"/>
      <x:c r="O765" s="86"/>
      <x:c r="P765" s="32"/>
    </x:row>
    <x:row r="766">
      <x:c r="A766" s="87"/>
      <x:c r="D766" s="32"/>
      <x:c r="I766" s="74"/>
      <x:c r="J766" s="74"/>
      <x:c r="K766" s="74"/>
      <x:c r="L766" s="74"/>
      <x:c r="M766" s="85"/>
      <x:c r="O766" s="86"/>
      <x:c r="P766" s="32"/>
    </x:row>
    <x:row r="767">
      <x:c r="A767" s="87"/>
      <x:c r="D767" s="32"/>
      <x:c r="I767" s="74"/>
      <x:c r="J767" s="74"/>
      <x:c r="K767" s="74"/>
      <x:c r="L767" s="74"/>
      <x:c r="M767" s="85"/>
      <x:c r="O767" s="86"/>
      <x:c r="P767" s="32"/>
    </x:row>
    <x:row r="768">
      <x:c r="A768" s="87"/>
      <x:c r="D768" s="32"/>
      <x:c r="I768" s="74"/>
      <x:c r="J768" s="74"/>
      <x:c r="K768" s="74"/>
      <x:c r="L768" s="74"/>
      <x:c r="M768" s="85"/>
      <x:c r="O768" s="86"/>
      <x:c r="P768" s="32"/>
    </x:row>
    <x:row r="769">
      <x:c r="A769" s="87"/>
      <x:c r="D769" s="32"/>
      <x:c r="I769" s="74"/>
      <x:c r="J769" s="74"/>
      <x:c r="K769" s="74"/>
      <x:c r="L769" s="74"/>
      <x:c r="M769" s="85"/>
      <x:c r="O769" s="86"/>
      <x:c r="P769" s="32"/>
    </x:row>
    <x:row r="770">
      <x:c r="A770" s="87"/>
      <x:c r="D770" s="32"/>
      <x:c r="I770" s="74"/>
      <x:c r="J770" s="74"/>
      <x:c r="K770" s="74"/>
      <x:c r="L770" s="74"/>
      <x:c r="M770" s="85"/>
      <x:c r="O770" s="86"/>
      <x:c r="P770" s="32"/>
    </x:row>
    <x:row r="771">
      <x:c r="A771" s="87"/>
      <x:c r="D771" s="32"/>
      <x:c r="I771" s="74"/>
      <x:c r="J771" s="74"/>
      <x:c r="K771" s="74"/>
      <x:c r="L771" s="74"/>
      <x:c r="M771" s="85"/>
      <x:c r="O771" s="86"/>
      <x:c r="P771" s="32"/>
    </x:row>
    <x:row r="772">
      <x:c r="A772" s="87"/>
      <x:c r="D772" s="32"/>
      <x:c r="I772" s="74"/>
      <x:c r="J772" s="74"/>
      <x:c r="K772" s="74"/>
      <x:c r="L772" s="74"/>
      <x:c r="M772" s="85"/>
      <x:c r="O772" s="86"/>
      <x:c r="P772" s="32"/>
    </x:row>
    <x:row r="773">
      <x:c r="A773" s="87"/>
      <x:c r="D773" s="32"/>
      <x:c r="I773" s="74"/>
      <x:c r="J773" s="74"/>
      <x:c r="K773" s="74"/>
      <x:c r="L773" s="74"/>
      <x:c r="M773" s="85"/>
      <x:c r="O773" s="86"/>
      <x:c r="P773" s="32"/>
    </x:row>
    <x:row r="774">
      <x:c r="A774" s="87"/>
      <x:c r="D774" s="32"/>
      <x:c r="I774" s="74"/>
      <x:c r="J774" s="74"/>
      <x:c r="K774" s="74"/>
      <x:c r="L774" s="74"/>
      <x:c r="M774" s="85"/>
      <x:c r="O774" s="86"/>
      <x:c r="P774" s="32"/>
    </x:row>
    <x:row r="775">
      <x:c r="A775" s="87"/>
      <x:c r="D775" s="32"/>
      <x:c r="I775" s="74"/>
      <x:c r="J775" s="74"/>
      <x:c r="K775" s="74"/>
      <x:c r="L775" s="74"/>
      <x:c r="M775" s="85"/>
      <x:c r="O775" s="86"/>
      <x:c r="P775" s="32"/>
    </x:row>
    <x:row r="776">
      <x:c r="A776" s="87"/>
      <x:c r="D776" s="32"/>
      <x:c r="I776" s="74"/>
      <x:c r="J776" s="74"/>
      <x:c r="K776" s="74"/>
      <x:c r="L776" s="74"/>
      <x:c r="M776" s="85"/>
      <x:c r="O776" s="86"/>
      <x:c r="P776" s="32"/>
    </x:row>
    <x:row r="777">
      <x:c r="A777" s="87"/>
      <x:c r="D777" s="32"/>
      <x:c r="I777" s="74"/>
      <x:c r="J777" s="74"/>
      <x:c r="K777" s="74"/>
      <x:c r="L777" s="74"/>
      <x:c r="M777" s="85"/>
      <x:c r="O777" s="86"/>
      <x:c r="P777" s="32"/>
    </x:row>
    <x:row r="778">
      <x:c r="A778" s="87"/>
      <x:c r="D778" s="32"/>
      <x:c r="I778" s="74"/>
      <x:c r="J778" s="74"/>
      <x:c r="K778" s="74"/>
      <x:c r="L778" s="74"/>
      <x:c r="M778" s="85"/>
      <x:c r="O778" s="86"/>
      <x:c r="P778" s="32"/>
    </x:row>
    <x:row r="779">
      <x:c r="A779" s="87"/>
      <x:c r="D779" s="32"/>
      <x:c r="I779" s="74"/>
      <x:c r="J779" s="74"/>
      <x:c r="K779" s="74"/>
      <x:c r="L779" s="74"/>
      <x:c r="M779" s="85"/>
      <x:c r="O779" s="86"/>
      <x:c r="P779" s="32"/>
    </x:row>
    <x:row r="780">
      <x:c r="A780" s="87"/>
      <x:c r="D780" s="32"/>
      <x:c r="I780" s="74"/>
      <x:c r="J780" s="74"/>
      <x:c r="K780" s="74"/>
      <x:c r="L780" s="74"/>
      <x:c r="M780" s="85"/>
      <x:c r="O780" s="86"/>
      <x:c r="P780" s="32"/>
    </x:row>
    <x:row r="781">
      <x:c r="A781" s="87"/>
      <x:c r="D781" s="32"/>
      <x:c r="I781" s="74"/>
      <x:c r="J781" s="74"/>
      <x:c r="K781" s="74"/>
      <x:c r="L781" s="74"/>
      <x:c r="M781" s="85"/>
      <x:c r="O781" s="86"/>
      <x:c r="P781" s="32"/>
    </x:row>
    <x:row r="782">
      <x:c r="A782" s="87"/>
      <x:c r="D782" s="32"/>
      <x:c r="I782" s="74"/>
      <x:c r="J782" s="74"/>
      <x:c r="K782" s="74"/>
      <x:c r="L782" s="74"/>
      <x:c r="M782" s="85"/>
      <x:c r="O782" s="86"/>
      <x:c r="P782" s="32"/>
    </x:row>
    <x:row r="783">
      <x:c r="A783" s="87"/>
      <x:c r="D783" s="32"/>
      <x:c r="I783" s="74"/>
      <x:c r="J783" s="74"/>
      <x:c r="K783" s="74"/>
      <x:c r="L783" s="74"/>
      <x:c r="M783" s="85"/>
      <x:c r="O783" s="86"/>
      <x:c r="P783" s="32"/>
    </x:row>
    <x:row r="784">
      <x:c r="A784" s="87"/>
      <x:c r="D784" s="32"/>
      <x:c r="I784" s="74"/>
      <x:c r="J784" s="74"/>
      <x:c r="K784" s="74"/>
      <x:c r="L784" s="74"/>
      <x:c r="M784" s="85"/>
      <x:c r="O784" s="86"/>
      <x:c r="P784" s="32"/>
    </x:row>
    <x:row r="785">
      <x:c r="A785" s="87"/>
      <x:c r="D785" s="32"/>
      <x:c r="I785" s="74"/>
      <x:c r="J785" s="74"/>
      <x:c r="K785" s="74"/>
      <x:c r="L785" s="74"/>
      <x:c r="M785" s="85"/>
      <x:c r="O785" s="86"/>
      <x:c r="P785" s="32"/>
    </x:row>
    <x:row r="786">
      <x:c r="A786" s="87"/>
      <x:c r="D786" s="32"/>
      <x:c r="I786" s="74"/>
      <x:c r="J786" s="74"/>
      <x:c r="K786" s="74"/>
      <x:c r="L786" s="74"/>
      <x:c r="M786" s="85"/>
      <x:c r="O786" s="86"/>
      <x:c r="P786" s="32"/>
    </x:row>
    <x:row r="787">
      <x:c r="A787" s="87"/>
      <x:c r="D787" s="32"/>
      <x:c r="I787" s="74"/>
      <x:c r="J787" s="74"/>
      <x:c r="K787" s="74"/>
      <x:c r="L787" s="74"/>
      <x:c r="M787" s="85"/>
      <x:c r="O787" s="86"/>
      <x:c r="P787" s="32"/>
    </x:row>
    <x:row r="788">
      <x:c r="A788" s="87"/>
      <x:c r="D788" s="32"/>
      <x:c r="I788" s="74"/>
      <x:c r="J788" s="74"/>
      <x:c r="K788" s="74"/>
      <x:c r="L788" s="74"/>
      <x:c r="M788" s="85"/>
      <x:c r="O788" s="86"/>
      <x:c r="P788" s="32"/>
    </x:row>
    <x:row r="789">
      <x:c r="A789" s="87"/>
      <x:c r="D789" s="32"/>
      <x:c r="I789" s="74"/>
      <x:c r="J789" s="74"/>
      <x:c r="K789" s="74"/>
      <x:c r="L789" s="74"/>
      <x:c r="M789" s="85"/>
      <x:c r="O789" s="86"/>
      <x:c r="P789" s="32"/>
    </x:row>
    <x:row r="790">
      <x:c r="A790" s="87"/>
      <x:c r="D790" s="32"/>
      <x:c r="I790" s="74"/>
      <x:c r="J790" s="74"/>
      <x:c r="K790" s="74"/>
      <x:c r="L790" s="74"/>
      <x:c r="M790" s="85"/>
      <x:c r="O790" s="86"/>
      <x:c r="P790" s="32"/>
    </x:row>
    <x:row r="791">
      <x:c r="A791" s="87"/>
      <x:c r="D791" s="32"/>
      <x:c r="I791" s="74"/>
      <x:c r="J791" s="74"/>
      <x:c r="K791" s="74"/>
      <x:c r="L791" s="74"/>
      <x:c r="M791" s="85"/>
      <x:c r="O791" s="86"/>
      <x:c r="P791" s="32"/>
    </x:row>
    <x:row r="792">
      <x:c r="A792" s="87"/>
      <x:c r="D792" s="32"/>
      <x:c r="I792" s="74"/>
      <x:c r="J792" s="74"/>
      <x:c r="K792" s="74"/>
      <x:c r="L792" s="74"/>
      <x:c r="M792" s="85"/>
      <x:c r="O792" s="86"/>
      <x:c r="P792" s="32"/>
    </x:row>
    <x:row r="793">
      <x:c r="A793" s="87"/>
      <x:c r="D793" s="32"/>
      <x:c r="I793" s="74"/>
      <x:c r="J793" s="74"/>
      <x:c r="K793" s="74"/>
      <x:c r="L793" s="74"/>
      <x:c r="M793" s="85"/>
      <x:c r="O793" s="86"/>
      <x:c r="P793" s="32"/>
    </x:row>
    <x:row r="794">
      <x:c r="A794" s="87"/>
      <x:c r="D794" s="32"/>
      <x:c r="I794" s="74"/>
      <x:c r="J794" s="74"/>
      <x:c r="K794" s="74"/>
      <x:c r="L794" s="74"/>
      <x:c r="M794" s="85"/>
      <x:c r="O794" s="86"/>
      <x:c r="P794" s="32"/>
    </x:row>
    <x:row r="795">
      <x:c r="A795" s="87"/>
      <x:c r="D795" s="32"/>
      <x:c r="I795" s="74"/>
      <x:c r="J795" s="74"/>
      <x:c r="K795" s="74"/>
      <x:c r="L795" s="74"/>
      <x:c r="M795" s="85"/>
      <x:c r="O795" s="86"/>
      <x:c r="P795" s="32"/>
    </x:row>
    <x:row r="796">
      <x:c r="A796" s="87"/>
      <x:c r="D796" s="32"/>
      <x:c r="I796" s="74"/>
      <x:c r="J796" s="74"/>
      <x:c r="K796" s="74"/>
      <x:c r="L796" s="74"/>
      <x:c r="M796" s="85"/>
      <x:c r="O796" s="86"/>
      <x:c r="P796" s="32"/>
    </x:row>
    <x:row r="797">
      <x:c r="A797" s="87"/>
      <x:c r="D797" s="32"/>
      <x:c r="I797" s="74"/>
      <x:c r="J797" s="74"/>
      <x:c r="K797" s="74"/>
      <x:c r="L797" s="74"/>
      <x:c r="M797" s="85"/>
      <x:c r="O797" s="86"/>
      <x:c r="P797" s="32"/>
    </x:row>
    <x:row r="798">
      <x:c r="A798" s="87"/>
      <x:c r="D798" s="32"/>
      <x:c r="I798" s="74"/>
      <x:c r="J798" s="74"/>
      <x:c r="K798" s="74"/>
      <x:c r="L798" s="74"/>
      <x:c r="M798" s="85"/>
      <x:c r="O798" s="86"/>
      <x:c r="P798" s="32"/>
    </x:row>
    <x:row r="799">
      <x:c r="A799" s="87"/>
      <x:c r="D799" s="32"/>
      <x:c r="I799" s="74"/>
      <x:c r="J799" s="74"/>
      <x:c r="K799" s="74"/>
      <x:c r="L799" s="74"/>
      <x:c r="M799" s="85"/>
      <x:c r="O799" s="86"/>
      <x:c r="P799" s="32"/>
    </x:row>
    <x:row r="800">
      <x:c r="A800" s="87"/>
      <x:c r="D800" s="32"/>
      <x:c r="I800" s="74"/>
      <x:c r="J800" s="74"/>
      <x:c r="K800" s="74"/>
      <x:c r="L800" s="74"/>
      <x:c r="M800" s="85"/>
      <x:c r="O800" s="86"/>
      <x:c r="P800" s="32"/>
    </x:row>
    <x:row r="801">
      <x:c r="A801" s="87"/>
      <x:c r="D801" s="32"/>
      <x:c r="I801" s="74"/>
      <x:c r="J801" s="74"/>
      <x:c r="K801" s="74"/>
      <x:c r="L801" s="74"/>
      <x:c r="M801" s="85"/>
      <x:c r="O801" s="86"/>
      <x:c r="P801" s="32"/>
    </x:row>
    <x:row r="802">
      <x:c r="A802" s="87"/>
      <x:c r="D802" s="32"/>
      <x:c r="I802" s="74"/>
      <x:c r="J802" s="74"/>
      <x:c r="K802" s="74"/>
      <x:c r="L802" s="74"/>
      <x:c r="M802" s="85"/>
      <x:c r="O802" s="86"/>
      <x:c r="P802" s="32"/>
    </x:row>
    <x:row r="803">
      <x:c r="A803" s="87"/>
      <x:c r="D803" s="32"/>
      <x:c r="I803" s="74"/>
      <x:c r="J803" s="74"/>
      <x:c r="K803" s="74"/>
      <x:c r="L803" s="74"/>
      <x:c r="M803" s="85"/>
      <x:c r="O803" s="86"/>
      <x:c r="P803" s="32"/>
    </x:row>
    <x:row r="804">
      <x:c r="A804" s="87"/>
      <x:c r="D804" s="32"/>
      <x:c r="I804" s="74"/>
      <x:c r="J804" s="74"/>
      <x:c r="K804" s="74"/>
      <x:c r="L804" s="74"/>
      <x:c r="M804" s="85"/>
      <x:c r="O804" s="86"/>
      <x:c r="P804" s="32"/>
    </x:row>
    <x:row r="805">
      <x:c r="A805" s="87"/>
      <x:c r="D805" s="32"/>
      <x:c r="I805" s="74"/>
      <x:c r="J805" s="74"/>
      <x:c r="K805" s="74"/>
      <x:c r="L805" s="74"/>
      <x:c r="M805" s="85"/>
      <x:c r="O805" s="86"/>
      <x:c r="P805" s="32"/>
    </x:row>
    <x:row r="806">
      <x:c r="A806" s="87"/>
      <x:c r="D806" s="32"/>
      <x:c r="I806" s="74"/>
      <x:c r="J806" s="74"/>
      <x:c r="K806" s="74"/>
      <x:c r="L806" s="74"/>
      <x:c r="M806" s="85"/>
      <x:c r="O806" s="86"/>
      <x:c r="P806" s="32"/>
    </x:row>
    <x:row r="807">
      <x:c r="A807" s="87"/>
      <x:c r="D807" s="32"/>
      <x:c r="I807" s="74"/>
      <x:c r="J807" s="74"/>
      <x:c r="K807" s="74"/>
      <x:c r="L807" s="74"/>
      <x:c r="M807" s="85"/>
      <x:c r="O807" s="86"/>
      <x:c r="P807" s="32"/>
    </x:row>
    <x:row r="808">
      <x:c r="A808" s="87"/>
      <x:c r="D808" s="32"/>
      <x:c r="I808" s="74"/>
      <x:c r="J808" s="74"/>
      <x:c r="K808" s="74"/>
      <x:c r="L808" s="74"/>
      <x:c r="M808" s="85"/>
      <x:c r="O808" s="86"/>
      <x:c r="P808" s="32"/>
    </x:row>
    <x:row r="809">
      <x:c r="A809" s="87"/>
      <x:c r="D809" s="32"/>
      <x:c r="I809" s="74"/>
      <x:c r="J809" s="74"/>
      <x:c r="K809" s="74"/>
      <x:c r="L809" s="74"/>
      <x:c r="M809" s="85"/>
      <x:c r="O809" s="86"/>
      <x:c r="P809" s="32"/>
    </x:row>
    <x:row r="810">
      <x:c r="A810" s="87"/>
      <x:c r="D810" s="32"/>
      <x:c r="I810" s="74"/>
      <x:c r="J810" s="74"/>
      <x:c r="K810" s="74"/>
      <x:c r="L810" s="74"/>
      <x:c r="M810" s="85"/>
      <x:c r="O810" s="86"/>
      <x:c r="P810" s="32"/>
    </x:row>
    <x:row r="811">
      <x:c r="A811" s="87"/>
      <x:c r="D811" s="32"/>
      <x:c r="I811" s="74"/>
      <x:c r="J811" s="74"/>
      <x:c r="K811" s="74"/>
      <x:c r="L811" s="74"/>
      <x:c r="M811" s="85"/>
      <x:c r="O811" s="86"/>
      <x:c r="P811" s="32"/>
    </x:row>
    <x:row r="812">
      <x:c r="A812" s="87"/>
      <x:c r="D812" s="32"/>
      <x:c r="I812" s="74"/>
      <x:c r="J812" s="74"/>
      <x:c r="K812" s="74"/>
      <x:c r="L812" s="74"/>
      <x:c r="M812" s="85"/>
      <x:c r="O812" s="86"/>
      <x:c r="P812" s="32"/>
    </x:row>
    <x:row r="813">
      <x:c r="A813" s="87"/>
      <x:c r="D813" s="32"/>
      <x:c r="I813" s="74"/>
      <x:c r="J813" s="74"/>
      <x:c r="K813" s="74"/>
      <x:c r="L813" s="74"/>
      <x:c r="M813" s="85"/>
      <x:c r="O813" s="86"/>
      <x:c r="P813" s="32"/>
    </x:row>
    <x:row r="814">
      <x:c r="A814" s="87"/>
      <x:c r="D814" s="32"/>
      <x:c r="I814" s="74"/>
      <x:c r="J814" s="74"/>
      <x:c r="K814" s="74"/>
      <x:c r="L814" s="74"/>
      <x:c r="M814" s="85"/>
      <x:c r="O814" s="86"/>
      <x:c r="P814" s="32"/>
    </x:row>
    <x:row r="815">
      <x:c r="A815" s="87"/>
      <x:c r="D815" s="32"/>
      <x:c r="I815" s="74"/>
      <x:c r="J815" s="74"/>
      <x:c r="K815" s="74"/>
      <x:c r="L815" s="74"/>
      <x:c r="M815" s="85"/>
      <x:c r="O815" s="86"/>
      <x:c r="P815" s="32"/>
    </x:row>
    <x:row r="816">
      <x:c r="A816" s="87"/>
      <x:c r="D816" s="32"/>
      <x:c r="I816" s="74"/>
      <x:c r="J816" s="74"/>
      <x:c r="K816" s="74"/>
      <x:c r="L816" s="74"/>
      <x:c r="M816" s="85"/>
      <x:c r="O816" s="86"/>
      <x:c r="P816" s="32"/>
    </x:row>
    <x:row r="817">
      <x:c r="A817" s="87"/>
      <x:c r="D817" s="32"/>
      <x:c r="I817" s="74"/>
      <x:c r="J817" s="74"/>
      <x:c r="K817" s="74"/>
      <x:c r="L817" s="74"/>
      <x:c r="M817" s="85"/>
      <x:c r="O817" s="86"/>
      <x:c r="P817" s="32"/>
    </x:row>
    <x:row r="818">
      <x:c r="A818" s="87"/>
      <x:c r="D818" s="32"/>
      <x:c r="I818" s="74"/>
      <x:c r="J818" s="74"/>
      <x:c r="K818" s="74"/>
      <x:c r="L818" s="74"/>
      <x:c r="M818" s="85"/>
      <x:c r="O818" s="86"/>
      <x:c r="P818" s="32"/>
    </x:row>
    <x:row r="819">
      <x:c r="A819" s="87"/>
      <x:c r="D819" s="32"/>
      <x:c r="I819" s="74"/>
      <x:c r="J819" s="74"/>
      <x:c r="K819" s="74"/>
      <x:c r="L819" s="74"/>
      <x:c r="M819" s="85"/>
      <x:c r="O819" s="86"/>
      <x:c r="P819" s="32"/>
    </x:row>
    <x:row r="820">
      <x:c r="A820" s="87"/>
      <x:c r="D820" s="32"/>
      <x:c r="I820" s="74"/>
      <x:c r="J820" s="74"/>
      <x:c r="K820" s="74"/>
      <x:c r="L820" s="74"/>
      <x:c r="M820" s="85"/>
      <x:c r="O820" s="86"/>
      <x:c r="P820" s="32"/>
    </x:row>
    <x:row r="821">
      <x:c r="A821" s="87"/>
      <x:c r="D821" s="32"/>
      <x:c r="I821" s="74"/>
      <x:c r="J821" s="74"/>
      <x:c r="K821" s="74"/>
      <x:c r="L821" s="74"/>
      <x:c r="M821" s="85"/>
      <x:c r="O821" s="86"/>
      <x:c r="P821" s="32"/>
    </x:row>
    <x:row r="822">
      <x:c r="A822" s="87"/>
      <x:c r="D822" s="32"/>
      <x:c r="I822" s="74"/>
      <x:c r="J822" s="74"/>
      <x:c r="K822" s="74"/>
      <x:c r="L822" s="74"/>
      <x:c r="M822" s="85"/>
      <x:c r="O822" s="86"/>
      <x:c r="P822" s="32"/>
    </x:row>
    <x:row r="823">
      <x:c r="A823" s="87"/>
      <x:c r="D823" s="32"/>
      <x:c r="I823" s="74"/>
      <x:c r="J823" s="74"/>
      <x:c r="K823" s="74"/>
      <x:c r="L823" s="74"/>
      <x:c r="M823" s="85"/>
      <x:c r="O823" s="86"/>
      <x:c r="P823" s="32"/>
    </x:row>
    <x:row r="824">
      <x:c r="A824" s="87"/>
      <x:c r="D824" s="32"/>
      <x:c r="I824" s="74"/>
      <x:c r="J824" s="74"/>
      <x:c r="K824" s="74"/>
      <x:c r="L824" s="74"/>
      <x:c r="M824" s="85"/>
      <x:c r="O824" s="86"/>
      <x:c r="P824" s="32"/>
    </x:row>
    <x:row r="825">
      <x:c r="A825" s="87"/>
      <x:c r="D825" s="32"/>
      <x:c r="I825" s="74"/>
      <x:c r="J825" s="74"/>
      <x:c r="K825" s="74"/>
      <x:c r="L825" s="74"/>
      <x:c r="M825" s="85"/>
      <x:c r="O825" s="86"/>
      <x:c r="P825" s="32"/>
    </x:row>
    <x:row r="826">
      <x:c r="A826" s="87"/>
      <x:c r="D826" s="32"/>
      <x:c r="I826" s="74"/>
      <x:c r="J826" s="74"/>
      <x:c r="K826" s="74"/>
      <x:c r="L826" s="74"/>
      <x:c r="M826" s="85"/>
      <x:c r="O826" s="86"/>
      <x:c r="P826" s="32"/>
    </x:row>
    <x:row r="827">
      <x:c r="A827" s="87"/>
      <x:c r="D827" s="32"/>
      <x:c r="I827" s="74"/>
      <x:c r="J827" s="74"/>
      <x:c r="K827" s="74"/>
      <x:c r="L827" s="74"/>
      <x:c r="M827" s="85"/>
      <x:c r="O827" s="86"/>
      <x:c r="P827" s="32"/>
    </x:row>
    <x:row r="828">
      <x:c r="A828" s="87"/>
      <x:c r="D828" s="32"/>
      <x:c r="I828" s="74"/>
      <x:c r="J828" s="74"/>
      <x:c r="K828" s="74"/>
      <x:c r="L828" s="74"/>
      <x:c r="M828" s="85"/>
      <x:c r="O828" s="86"/>
      <x:c r="P828" s="32"/>
    </x:row>
    <x:row r="829">
      <x:c r="A829" s="87"/>
      <x:c r="D829" s="32"/>
      <x:c r="I829" s="74"/>
      <x:c r="J829" s="74"/>
      <x:c r="K829" s="74"/>
      <x:c r="L829" s="74"/>
      <x:c r="M829" s="85"/>
      <x:c r="O829" s="86"/>
      <x:c r="P829" s="32"/>
    </x:row>
    <x:row r="830">
      <x:c r="A830" s="87"/>
      <x:c r="D830" s="32"/>
      <x:c r="I830" s="74"/>
      <x:c r="J830" s="74"/>
      <x:c r="K830" s="74"/>
      <x:c r="L830" s="74"/>
      <x:c r="M830" s="85"/>
      <x:c r="O830" s="86"/>
      <x:c r="P830" s="32"/>
    </x:row>
    <x:row r="831">
      <x:c r="A831" s="87"/>
      <x:c r="D831" s="32"/>
      <x:c r="I831" s="74"/>
      <x:c r="J831" s="74"/>
      <x:c r="K831" s="74"/>
      <x:c r="L831" s="74"/>
      <x:c r="M831" s="85"/>
      <x:c r="O831" s="86"/>
      <x:c r="P831" s="32"/>
    </x:row>
    <x:row r="832">
      <x:c r="A832" s="87"/>
      <x:c r="D832" s="32"/>
      <x:c r="I832" s="74"/>
      <x:c r="J832" s="74"/>
      <x:c r="K832" s="74"/>
      <x:c r="L832" s="74"/>
      <x:c r="M832" s="85"/>
      <x:c r="O832" s="86"/>
      <x:c r="P832" s="32"/>
    </x:row>
    <x:row r="833">
      <x:c r="A833" s="87"/>
      <x:c r="D833" s="32"/>
      <x:c r="I833" s="74"/>
      <x:c r="J833" s="74"/>
      <x:c r="K833" s="74"/>
      <x:c r="L833" s="74"/>
      <x:c r="M833" s="85"/>
      <x:c r="O833" s="86"/>
      <x:c r="P833" s="32"/>
    </x:row>
    <x:row r="834">
      <x:c r="A834" s="87"/>
      <x:c r="D834" s="32"/>
      <x:c r="I834" s="74"/>
      <x:c r="J834" s="74"/>
      <x:c r="K834" s="74"/>
      <x:c r="L834" s="74"/>
      <x:c r="M834" s="85"/>
      <x:c r="O834" s="86"/>
      <x:c r="P834" s="32"/>
    </x:row>
    <x:row r="835">
      <x:c r="A835" s="87"/>
      <x:c r="D835" s="32"/>
      <x:c r="I835" s="74"/>
      <x:c r="J835" s="74"/>
      <x:c r="K835" s="74"/>
      <x:c r="L835" s="74"/>
      <x:c r="M835" s="85"/>
      <x:c r="O835" s="86"/>
      <x:c r="P835" s="32"/>
    </x:row>
    <x:row r="836">
      <x:c r="A836" s="87"/>
      <x:c r="D836" s="32"/>
      <x:c r="I836" s="74"/>
      <x:c r="J836" s="74"/>
      <x:c r="K836" s="74"/>
      <x:c r="L836" s="74"/>
      <x:c r="M836" s="85"/>
      <x:c r="O836" s="86"/>
      <x:c r="P836" s="32"/>
    </x:row>
    <x:row r="837">
      <x:c r="A837" s="87"/>
      <x:c r="D837" s="32"/>
      <x:c r="I837" s="74"/>
      <x:c r="J837" s="74"/>
      <x:c r="K837" s="74"/>
      <x:c r="L837" s="74"/>
      <x:c r="M837" s="85"/>
      <x:c r="O837" s="86"/>
      <x:c r="P837" s="32"/>
    </x:row>
    <x:row r="838">
      <x:c r="A838" s="87"/>
      <x:c r="D838" s="32"/>
      <x:c r="I838" s="74"/>
      <x:c r="J838" s="74"/>
      <x:c r="K838" s="74"/>
      <x:c r="L838" s="74"/>
      <x:c r="M838" s="85"/>
      <x:c r="O838" s="86"/>
      <x:c r="P838" s="32"/>
    </x:row>
    <x:row r="839">
      <x:c r="A839" s="87"/>
      <x:c r="D839" s="32"/>
      <x:c r="I839" s="74"/>
      <x:c r="J839" s="74"/>
      <x:c r="K839" s="74"/>
      <x:c r="L839" s="74"/>
      <x:c r="M839" s="85"/>
      <x:c r="O839" s="86"/>
      <x:c r="P839" s="32"/>
    </x:row>
    <x:row r="840">
      <x:c r="A840" s="87"/>
      <x:c r="D840" s="32"/>
      <x:c r="I840" s="74"/>
      <x:c r="J840" s="74"/>
      <x:c r="K840" s="74"/>
      <x:c r="L840" s="74"/>
      <x:c r="M840" s="85"/>
      <x:c r="O840" s="86"/>
      <x:c r="P840" s="32"/>
    </x:row>
    <x:row r="841">
      <x:c r="A841" s="87"/>
      <x:c r="D841" s="32"/>
      <x:c r="I841" s="74"/>
      <x:c r="J841" s="74"/>
      <x:c r="K841" s="74"/>
      <x:c r="L841" s="74"/>
      <x:c r="M841" s="85"/>
      <x:c r="O841" s="86"/>
      <x:c r="P841" s="32"/>
    </x:row>
    <x:row r="842">
      <x:c r="A842" s="87"/>
      <x:c r="D842" s="32"/>
      <x:c r="I842" s="74"/>
      <x:c r="J842" s="74"/>
      <x:c r="K842" s="74"/>
      <x:c r="L842" s="74"/>
      <x:c r="M842" s="85"/>
      <x:c r="O842" s="86"/>
      <x:c r="P842" s="32"/>
    </x:row>
    <x:row r="843">
      <x:c r="A843" s="87"/>
      <x:c r="D843" s="32"/>
      <x:c r="I843" s="74"/>
      <x:c r="J843" s="74"/>
      <x:c r="K843" s="74"/>
      <x:c r="L843" s="74"/>
      <x:c r="M843" s="85"/>
      <x:c r="O843" s="86"/>
      <x:c r="P843" s="32"/>
    </x:row>
    <x:row r="844">
      <x:c r="A844" s="87"/>
      <x:c r="D844" s="32"/>
      <x:c r="I844" s="74"/>
      <x:c r="J844" s="74"/>
      <x:c r="K844" s="74"/>
      <x:c r="L844" s="74"/>
      <x:c r="M844" s="85"/>
      <x:c r="O844" s="86"/>
      <x:c r="P844" s="32"/>
    </x:row>
    <x:row r="845">
      <x:c r="A845" s="87"/>
      <x:c r="D845" s="32"/>
      <x:c r="I845" s="74"/>
      <x:c r="J845" s="74"/>
      <x:c r="K845" s="74"/>
      <x:c r="L845" s="74"/>
      <x:c r="M845" s="85"/>
      <x:c r="O845" s="86"/>
      <x:c r="P845" s="32"/>
    </x:row>
    <x:row r="846">
      <x:c r="A846" s="87"/>
      <x:c r="D846" s="32"/>
      <x:c r="I846" s="74"/>
      <x:c r="J846" s="74"/>
      <x:c r="K846" s="74"/>
      <x:c r="L846" s="74"/>
      <x:c r="M846" s="85"/>
      <x:c r="O846" s="86"/>
      <x:c r="P846" s="32"/>
    </x:row>
    <x:row r="847">
      <x:c r="A847" s="87"/>
      <x:c r="D847" s="32"/>
      <x:c r="I847" s="74"/>
      <x:c r="J847" s="74"/>
      <x:c r="K847" s="74"/>
      <x:c r="L847" s="74"/>
      <x:c r="M847" s="85"/>
      <x:c r="O847" s="86"/>
      <x:c r="P847" s="32"/>
    </x:row>
    <x:row r="848">
      <x:c r="A848" s="87"/>
      <x:c r="D848" s="32"/>
      <x:c r="I848" s="74"/>
      <x:c r="J848" s="74"/>
      <x:c r="K848" s="74"/>
      <x:c r="L848" s="74"/>
      <x:c r="M848" s="85"/>
      <x:c r="O848" s="86"/>
      <x:c r="P848" s="32"/>
    </x:row>
    <x:row r="849">
      <x:c r="A849" s="87"/>
      <x:c r="D849" s="32"/>
      <x:c r="I849" s="74"/>
      <x:c r="J849" s="74"/>
      <x:c r="K849" s="74"/>
      <x:c r="L849" s="74"/>
      <x:c r="M849" s="85"/>
      <x:c r="O849" s="86"/>
      <x:c r="P849" s="32"/>
    </x:row>
    <x:row r="850">
      <x:c r="A850" s="87"/>
      <x:c r="D850" s="32"/>
      <x:c r="I850" s="74"/>
      <x:c r="J850" s="74"/>
      <x:c r="K850" s="74"/>
      <x:c r="L850" s="74"/>
      <x:c r="M850" s="85"/>
      <x:c r="O850" s="86"/>
      <x:c r="P850" s="32"/>
    </x:row>
    <x:row r="851">
      <x:c r="A851" s="87"/>
      <x:c r="D851" s="32"/>
      <x:c r="I851" s="74"/>
      <x:c r="J851" s="74"/>
      <x:c r="K851" s="74"/>
      <x:c r="L851" s="74"/>
      <x:c r="M851" s="85"/>
      <x:c r="O851" s="86"/>
      <x:c r="P851" s="32"/>
    </x:row>
    <x:row r="852">
      <x:c r="A852" s="87"/>
      <x:c r="D852" s="32"/>
      <x:c r="I852" s="74"/>
      <x:c r="J852" s="74"/>
      <x:c r="K852" s="74"/>
      <x:c r="L852" s="74"/>
      <x:c r="M852" s="85"/>
      <x:c r="O852" s="86"/>
      <x:c r="P852" s="32"/>
    </x:row>
    <x:row r="853">
      <x:c r="A853" s="87"/>
      <x:c r="D853" s="32"/>
      <x:c r="I853" s="74"/>
      <x:c r="J853" s="74"/>
      <x:c r="K853" s="74"/>
      <x:c r="L853" s="74"/>
      <x:c r="M853" s="85"/>
      <x:c r="O853" s="86"/>
      <x:c r="P853" s="32"/>
    </x:row>
    <x:row r="854">
      <x:c r="A854" s="87"/>
      <x:c r="D854" s="32"/>
      <x:c r="I854" s="74"/>
      <x:c r="J854" s="74"/>
      <x:c r="K854" s="74"/>
      <x:c r="L854" s="74"/>
      <x:c r="M854" s="85"/>
      <x:c r="O854" s="86"/>
      <x:c r="P854" s="32"/>
    </x:row>
    <x:row r="855">
      <x:c r="A855" s="87"/>
      <x:c r="D855" s="32"/>
      <x:c r="I855" s="74"/>
      <x:c r="J855" s="74"/>
      <x:c r="K855" s="74"/>
      <x:c r="L855" s="74"/>
      <x:c r="M855" s="85"/>
      <x:c r="O855" s="86"/>
      <x:c r="P855" s="32"/>
    </x:row>
    <x:row r="856">
      <x:c r="A856" s="87"/>
      <x:c r="D856" s="32"/>
      <x:c r="I856" s="74"/>
      <x:c r="J856" s="74"/>
      <x:c r="K856" s="74"/>
      <x:c r="L856" s="74"/>
      <x:c r="M856" s="85"/>
      <x:c r="O856" s="86"/>
      <x:c r="P856" s="32"/>
    </x:row>
    <x:row r="857">
      <x:c r="A857" s="87"/>
      <x:c r="D857" s="32"/>
      <x:c r="I857" s="74"/>
      <x:c r="J857" s="74"/>
      <x:c r="K857" s="74"/>
      <x:c r="L857" s="74"/>
      <x:c r="M857" s="85"/>
      <x:c r="O857" s="86"/>
      <x:c r="P857" s="32"/>
    </x:row>
    <x:row r="858">
      <x:c r="A858" s="87"/>
      <x:c r="D858" s="32"/>
      <x:c r="I858" s="74"/>
      <x:c r="J858" s="74"/>
      <x:c r="K858" s="74"/>
      <x:c r="L858" s="74"/>
      <x:c r="M858" s="85"/>
      <x:c r="O858" s="86"/>
      <x:c r="P858" s="32"/>
    </x:row>
    <x:row r="859">
      <x:c r="A859" s="87"/>
      <x:c r="D859" s="32"/>
      <x:c r="I859" s="74"/>
      <x:c r="J859" s="74"/>
      <x:c r="K859" s="74"/>
      <x:c r="L859" s="74"/>
      <x:c r="M859" s="85"/>
      <x:c r="O859" s="86"/>
      <x:c r="P859" s="32"/>
    </x:row>
    <x:row r="860">
      <x:c r="A860" s="87"/>
      <x:c r="D860" s="32"/>
      <x:c r="I860" s="74"/>
      <x:c r="J860" s="74"/>
      <x:c r="K860" s="74"/>
      <x:c r="L860" s="74"/>
      <x:c r="M860" s="85"/>
      <x:c r="O860" s="86"/>
      <x:c r="P860" s="32"/>
    </x:row>
    <x:row r="861">
      <x:c r="A861" s="87"/>
      <x:c r="D861" s="32"/>
      <x:c r="I861" s="74"/>
      <x:c r="J861" s="74"/>
      <x:c r="K861" s="74"/>
      <x:c r="L861" s="74"/>
      <x:c r="M861" s="85"/>
      <x:c r="O861" s="86"/>
      <x:c r="P861" s="32"/>
    </x:row>
    <x:row r="862">
      <x:c r="A862" s="87"/>
      <x:c r="D862" s="32"/>
      <x:c r="I862" s="74"/>
      <x:c r="J862" s="74"/>
      <x:c r="K862" s="74"/>
      <x:c r="L862" s="74"/>
      <x:c r="M862" s="85"/>
      <x:c r="O862" s="86"/>
      <x:c r="P862" s="32"/>
    </x:row>
    <x:row r="863">
      <x:c r="A863" s="87"/>
      <x:c r="D863" s="32"/>
      <x:c r="I863" s="74"/>
      <x:c r="J863" s="74"/>
      <x:c r="K863" s="74"/>
      <x:c r="L863" s="74"/>
      <x:c r="M863" s="85"/>
      <x:c r="O863" s="86"/>
      <x:c r="P863" s="32"/>
    </x:row>
    <x:row r="864">
      <x:c r="A864" s="87"/>
      <x:c r="D864" s="32"/>
      <x:c r="I864" s="74"/>
      <x:c r="J864" s="74"/>
      <x:c r="K864" s="74"/>
      <x:c r="L864" s="74"/>
      <x:c r="M864" s="85"/>
      <x:c r="O864" s="86"/>
      <x:c r="P864" s="32"/>
    </x:row>
    <x:row r="865">
      <x:c r="A865" s="87"/>
      <x:c r="D865" s="32"/>
      <x:c r="I865" s="74"/>
      <x:c r="J865" s="74"/>
      <x:c r="K865" s="74"/>
      <x:c r="L865" s="74"/>
      <x:c r="M865" s="85"/>
      <x:c r="O865" s="86"/>
      <x:c r="P865" s="32"/>
    </x:row>
    <x:row r="866">
      <x:c r="A866" s="87"/>
      <x:c r="D866" s="32"/>
      <x:c r="I866" s="74"/>
      <x:c r="J866" s="74"/>
      <x:c r="K866" s="74"/>
      <x:c r="L866" s="74"/>
      <x:c r="M866" s="85"/>
      <x:c r="O866" s="86"/>
      <x:c r="P866" s="32"/>
    </x:row>
    <x:row r="867">
      <x:c r="A867" s="87"/>
      <x:c r="D867" s="32"/>
      <x:c r="I867" s="74"/>
      <x:c r="J867" s="74"/>
      <x:c r="K867" s="74"/>
      <x:c r="L867" s="74"/>
      <x:c r="M867" s="85"/>
      <x:c r="O867" s="86"/>
      <x:c r="P867" s="32"/>
    </x:row>
    <x:row r="868">
      <x:c r="A868" s="87"/>
      <x:c r="D868" s="32"/>
      <x:c r="I868" s="74"/>
      <x:c r="J868" s="74"/>
      <x:c r="K868" s="74"/>
      <x:c r="L868" s="74"/>
      <x:c r="M868" s="85"/>
      <x:c r="O868" s="86"/>
      <x:c r="P868" s="32"/>
    </x:row>
    <x:row r="869">
      <x:c r="A869" s="87"/>
      <x:c r="D869" s="32"/>
      <x:c r="I869" s="74"/>
      <x:c r="J869" s="74"/>
      <x:c r="K869" s="74"/>
      <x:c r="L869" s="74"/>
      <x:c r="M869" s="85"/>
      <x:c r="O869" s="86"/>
      <x:c r="P869" s="32"/>
    </x:row>
    <x:row r="870">
      <x:c r="A870" s="87"/>
      <x:c r="D870" s="32"/>
      <x:c r="I870" s="74"/>
      <x:c r="J870" s="74"/>
      <x:c r="K870" s="74"/>
      <x:c r="L870" s="74"/>
      <x:c r="M870" s="85"/>
      <x:c r="O870" s="86"/>
      <x:c r="P870" s="32"/>
    </x:row>
    <x:row r="871">
      <x:c r="A871" s="87"/>
      <x:c r="D871" s="32"/>
      <x:c r="I871" s="74"/>
      <x:c r="J871" s="74"/>
      <x:c r="K871" s="74"/>
      <x:c r="L871" s="74"/>
      <x:c r="M871" s="85"/>
      <x:c r="O871" s="86"/>
      <x:c r="P871" s="32"/>
    </x:row>
    <x:row r="872">
      <x:c r="A872" s="87"/>
      <x:c r="D872" s="32"/>
      <x:c r="I872" s="74"/>
      <x:c r="J872" s="74"/>
      <x:c r="K872" s="74"/>
      <x:c r="L872" s="74"/>
      <x:c r="M872" s="85"/>
      <x:c r="O872" s="86"/>
      <x:c r="P872" s="32"/>
    </x:row>
    <x:row r="873">
      <x:c r="A873" s="87"/>
      <x:c r="D873" s="32"/>
      <x:c r="I873" s="74"/>
      <x:c r="J873" s="74"/>
      <x:c r="K873" s="74"/>
      <x:c r="L873" s="74"/>
      <x:c r="M873" s="85"/>
      <x:c r="O873" s="86"/>
      <x:c r="P873" s="32"/>
    </x:row>
    <x:row r="874">
      <x:c r="A874" s="87"/>
      <x:c r="D874" s="32"/>
      <x:c r="I874" s="74"/>
      <x:c r="J874" s="74"/>
      <x:c r="K874" s="74"/>
      <x:c r="L874" s="74"/>
      <x:c r="M874" s="85"/>
      <x:c r="O874" s="86"/>
      <x:c r="P874" s="32"/>
    </x:row>
    <x:row r="875">
      <x:c r="A875" s="87"/>
      <x:c r="D875" s="32"/>
      <x:c r="I875" s="74"/>
      <x:c r="J875" s="74"/>
      <x:c r="K875" s="74"/>
      <x:c r="L875" s="74"/>
      <x:c r="M875" s="85"/>
      <x:c r="O875" s="86"/>
      <x:c r="P875" s="32"/>
    </x:row>
    <x:row r="876">
      <x:c r="A876" s="87"/>
      <x:c r="D876" s="32"/>
      <x:c r="I876" s="74"/>
      <x:c r="J876" s="74"/>
      <x:c r="K876" s="74"/>
      <x:c r="L876" s="74"/>
      <x:c r="M876" s="85"/>
      <x:c r="O876" s="86"/>
      <x:c r="P876" s="32"/>
    </x:row>
    <x:row r="877">
      <x:c r="A877" s="87"/>
      <x:c r="D877" s="32"/>
      <x:c r="I877" s="74"/>
      <x:c r="J877" s="74"/>
      <x:c r="K877" s="74"/>
      <x:c r="L877" s="74"/>
      <x:c r="M877" s="85"/>
      <x:c r="O877" s="86"/>
      <x:c r="P877" s="32"/>
    </x:row>
    <x:row r="878">
      <x:c r="A878" s="87"/>
      <x:c r="D878" s="32"/>
      <x:c r="I878" s="74"/>
      <x:c r="J878" s="74"/>
      <x:c r="K878" s="74"/>
      <x:c r="L878" s="74"/>
      <x:c r="M878" s="85"/>
      <x:c r="O878" s="86"/>
      <x:c r="P878" s="32"/>
    </x:row>
    <x:row r="879">
      <x:c r="A879" s="87"/>
      <x:c r="D879" s="32"/>
      <x:c r="I879" s="74"/>
      <x:c r="J879" s="74"/>
      <x:c r="K879" s="74"/>
      <x:c r="L879" s="74"/>
      <x:c r="M879" s="85"/>
      <x:c r="O879" s="86"/>
      <x:c r="P879" s="32"/>
    </x:row>
    <x:row r="880">
      <x:c r="A880" s="87"/>
      <x:c r="D880" s="32"/>
      <x:c r="I880" s="74"/>
      <x:c r="J880" s="74"/>
      <x:c r="K880" s="74"/>
      <x:c r="L880" s="74"/>
      <x:c r="M880" s="85"/>
      <x:c r="O880" s="86"/>
      <x:c r="P880" s="32"/>
    </x:row>
    <x:row r="881">
      <x:c r="A881" s="87"/>
      <x:c r="D881" s="32"/>
      <x:c r="I881" s="74"/>
      <x:c r="J881" s="74"/>
      <x:c r="K881" s="74"/>
      <x:c r="L881" s="74"/>
      <x:c r="M881" s="85"/>
      <x:c r="O881" s="86"/>
      <x:c r="P881" s="32"/>
    </x:row>
    <x:row r="882">
      <x:c r="A882" s="87"/>
      <x:c r="D882" s="32"/>
      <x:c r="I882" s="74"/>
      <x:c r="J882" s="74"/>
      <x:c r="K882" s="74"/>
      <x:c r="L882" s="74"/>
      <x:c r="M882" s="85"/>
      <x:c r="O882" s="86"/>
      <x:c r="P882" s="32"/>
    </x:row>
    <x:row r="883">
      <x:c r="A883" s="87"/>
      <x:c r="D883" s="32"/>
      <x:c r="I883" s="74"/>
      <x:c r="J883" s="74"/>
      <x:c r="K883" s="74"/>
      <x:c r="L883" s="74"/>
      <x:c r="M883" s="85"/>
      <x:c r="O883" s="86"/>
      <x:c r="P883" s="32"/>
    </x:row>
    <x:row r="884">
      <x:c r="A884" s="87"/>
      <x:c r="D884" s="32"/>
      <x:c r="I884" s="74"/>
      <x:c r="J884" s="74"/>
      <x:c r="K884" s="74"/>
      <x:c r="L884" s="74"/>
      <x:c r="M884" s="85"/>
      <x:c r="O884" s="86"/>
      <x:c r="P884" s="32"/>
    </x:row>
    <x:row r="885">
      <x:c r="A885" s="87"/>
      <x:c r="D885" s="32"/>
      <x:c r="I885" s="74"/>
      <x:c r="J885" s="74"/>
      <x:c r="K885" s="74"/>
      <x:c r="L885" s="74"/>
      <x:c r="M885" s="85"/>
      <x:c r="O885" s="86"/>
      <x:c r="P885" s="32"/>
    </x:row>
    <x:row r="886">
      <x:c r="A886" s="87"/>
      <x:c r="D886" s="32"/>
      <x:c r="I886" s="74"/>
      <x:c r="J886" s="74"/>
      <x:c r="K886" s="74"/>
      <x:c r="L886" s="74"/>
      <x:c r="M886" s="85"/>
      <x:c r="O886" s="86"/>
      <x:c r="P886" s="32"/>
    </x:row>
    <x:row r="887">
      <x:c r="A887" s="87"/>
      <x:c r="D887" s="32"/>
      <x:c r="I887" s="74"/>
      <x:c r="J887" s="74"/>
      <x:c r="K887" s="74"/>
      <x:c r="L887" s="74"/>
      <x:c r="M887" s="85"/>
      <x:c r="O887" s="86"/>
      <x:c r="P887" s="32"/>
    </x:row>
    <x:row r="888">
      <x:c r="A888" s="87"/>
      <x:c r="D888" s="32"/>
      <x:c r="I888" s="74"/>
      <x:c r="J888" s="74"/>
      <x:c r="K888" s="74"/>
      <x:c r="L888" s="74"/>
      <x:c r="M888" s="85"/>
      <x:c r="O888" s="86"/>
      <x:c r="P888" s="32"/>
    </x:row>
    <x:row r="889">
      <x:c r="A889" s="87"/>
      <x:c r="D889" s="32"/>
      <x:c r="I889" s="74"/>
      <x:c r="J889" s="74"/>
      <x:c r="K889" s="74"/>
      <x:c r="L889" s="74"/>
      <x:c r="M889" s="85"/>
      <x:c r="O889" s="86"/>
      <x:c r="P889" s="32"/>
    </x:row>
    <x:row r="890">
      <x:c r="A890" s="87"/>
      <x:c r="D890" s="32"/>
      <x:c r="I890" s="74"/>
      <x:c r="J890" s="74"/>
      <x:c r="K890" s="74"/>
      <x:c r="L890" s="74"/>
      <x:c r="M890" s="85"/>
      <x:c r="O890" s="86"/>
      <x:c r="P890" s="32"/>
    </x:row>
    <x:row r="891">
      <x:c r="A891" s="87"/>
      <x:c r="D891" s="32"/>
      <x:c r="I891" s="74"/>
      <x:c r="J891" s="74"/>
      <x:c r="K891" s="74"/>
      <x:c r="L891" s="74"/>
      <x:c r="M891" s="85"/>
      <x:c r="O891" s="86"/>
      <x:c r="P891" s="32"/>
    </x:row>
    <x:row r="892">
      <x:c r="A892" s="87"/>
      <x:c r="D892" s="32"/>
      <x:c r="I892" s="74"/>
      <x:c r="J892" s="74"/>
      <x:c r="K892" s="74"/>
      <x:c r="L892" s="74"/>
      <x:c r="M892" s="85"/>
      <x:c r="O892" s="86"/>
      <x:c r="P892" s="32"/>
    </x:row>
    <x:row r="893">
      <x:c r="A893" s="87"/>
      <x:c r="D893" s="32"/>
      <x:c r="I893" s="74"/>
      <x:c r="J893" s="74"/>
      <x:c r="K893" s="74"/>
      <x:c r="L893" s="74"/>
      <x:c r="M893" s="85"/>
      <x:c r="O893" s="86"/>
      <x:c r="P893" s="32"/>
    </x:row>
    <x:row r="894">
      <x:c r="A894" s="87"/>
      <x:c r="D894" s="32"/>
      <x:c r="I894" s="74"/>
      <x:c r="J894" s="74"/>
      <x:c r="K894" s="74"/>
      <x:c r="L894" s="74"/>
      <x:c r="M894" s="85"/>
      <x:c r="O894" s="86"/>
      <x:c r="P894" s="32"/>
    </x:row>
    <x:row r="895">
      <x:c r="A895" s="87"/>
      <x:c r="D895" s="32"/>
      <x:c r="I895" s="74"/>
      <x:c r="J895" s="74"/>
      <x:c r="K895" s="74"/>
      <x:c r="L895" s="74"/>
      <x:c r="M895" s="85"/>
      <x:c r="O895" s="86"/>
      <x:c r="P895" s="32"/>
    </x:row>
    <x:row r="896">
      <x:c r="A896" s="87"/>
      <x:c r="D896" s="32"/>
      <x:c r="I896" s="74"/>
      <x:c r="J896" s="74"/>
      <x:c r="K896" s="74"/>
      <x:c r="L896" s="74"/>
      <x:c r="M896" s="85"/>
      <x:c r="O896" s="86"/>
      <x:c r="P896" s="32"/>
    </x:row>
    <x:row r="897">
      <x:c r="A897" s="87"/>
      <x:c r="D897" s="32"/>
      <x:c r="I897" s="74"/>
      <x:c r="J897" s="74"/>
      <x:c r="K897" s="74"/>
      <x:c r="L897" s="74"/>
      <x:c r="M897" s="85"/>
      <x:c r="O897" s="86"/>
      <x:c r="P897" s="32"/>
    </x:row>
    <x:row r="898">
      <x:c r="A898" s="87"/>
      <x:c r="D898" s="32"/>
      <x:c r="I898" s="74"/>
      <x:c r="J898" s="74"/>
      <x:c r="K898" s="74"/>
      <x:c r="L898" s="74"/>
      <x:c r="M898" s="85"/>
      <x:c r="O898" s="86"/>
      <x:c r="P898" s="32"/>
    </x:row>
    <x:row r="899">
      <x:c r="A899" s="87"/>
      <x:c r="D899" s="32"/>
      <x:c r="I899" s="74"/>
      <x:c r="J899" s="74"/>
      <x:c r="K899" s="74"/>
      <x:c r="L899" s="74"/>
      <x:c r="M899" s="85"/>
      <x:c r="O899" s="86"/>
      <x:c r="P899" s="32"/>
    </x:row>
    <x:row r="900">
      <x:c r="A900" s="87"/>
      <x:c r="D900" s="32"/>
      <x:c r="I900" s="74"/>
      <x:c r="J900" s="74"/>
      <x:c r="K900" s="74"/>
      <x:c r="L900" s="74"/>
      <x:c r="M900" s="85"/>
      <x:c r="O900" s="86"/>
      <x:c r="P900" s="32"/>
    </x:row>
    <x:row r="901">
      <x:c r="A901" s="87"/>
      <x:c r="D901" s="32"/>
      <x:c r="I901" s="74"/>
      <x:c r="J901" s="74"/>
      <x:c r="K901" s="74"/>
      <x:c r="L901" s="74"/>
      <x:c r="M901" s="85"/>
      <x:c r="O901" s="86"/>
      <x:c r="P901" s="32"/>
    </x:row>
    <x:row r="902">
      <x:c r="A902" s="87"/>
      <x:c r="D902" s="32"/>
      <x:c r="I902" s="74"/>
      <x:c r="J902" s="74"/>
      <x:c r="K902" s="74"/>
      <x:c r="L902" s="74"/>
      <x:c r="M902" s="85"/>
      <x:c r="O902" s="86"/>
      <x:c r="P902" s="32"/>
    </x:row>
    <x:row r="903">
      <x:c r="A903" s="87"/>
      <x:c r="D903" s="32"/>
      <x:c r="I903" s="74"/>
      <x:c r="J903" s="74"/>
      <x:c r="K903" s="74"/>
      <x:c r="L903" s="74"/>
      <x:c r="M903" s="85"/>
      <x:c r="O903" s="86"/>
      <x:c r="P903" s="32"/>
    </x:row>
    <x:row r="904">
      <x:c r="A904" s="87"/>
      <x:c r="D904" s="32"/>
      <x:c r="I904" s="74"/>
      <x:c r="J904" s="74"/>
      <x:c r="K904" s="74"/>
      <x:c r="L904" s="74"/>
      <x:c r="M904" s="85"/>
      <x:c r="O904" s="86"/>
      <x:c r="P904" s="32"/>
    </x:row>
    <x:row r="905">
      <x:c r="A905" s="87"/>
      <x:c r="D905" s="32"/>
      <x:c r="I905" s="74"/>
      <x:c r="J905" s="74"/>
      <x:c r="K905" s="74"/>
      <x:c r="L905" s="74"/>
      <x:c r="M905" s="85"/>
      <x:c r="O905" s="86"/>
      <x:c r="P905" s="32"/>
    </x:row>
    <x:row r="906">
      <x:c r="A906" s="87"/>
      <x:c r="D906" s="32"/>
      <x:c r="I906" s="74"/>
      <x:c r="J906" s="74"/>
      <x:c r="K906" s="74"/>
      <x:c r="L906" s="74"/>
      <x:c r="M906" s="85"/>
      <x:c r="O906" s="86"/>
      <x:c r="P906" s="32"/>
    </x:row>
    <x:row r="907">
      <x:c r="A907" s="87"/>
      <x:c r="D907" s="32"/>
      <x:c r="I907" s="74"/>
      <x:c r="J907" s="74"/>
      <x:c r="K907" s="74"/>
      <x:c r="L907" s="74"/>
      <x:c r="M907" s="85"/>
      <x:c r="O907" s="86"/>
      <x:c r="P907" s="32"/>
    </x:row>
    <x:row r="908">
      <x:c r="A908" s="87"/>
      <x:c r="D908" s="32"/>
      <x:c r="I908" s="74"/>
      <x:c r="J908" s="74"/>
      <x:c r="K908" s="74"/>
      <x:c r="L908" s="74"/>
      <x:c r="M908" s="85"/>
      <x:c r="O908" s="86"/>
      <x:c r="P908" s="32"/>
    </x:row>
    <x:row r="909">
      <x:c r="A909" s="87"/>
      <x:c r="D909" s="32"/>
      <x:c r="I909" s="74"/>
      <x:c r="J909" s="74"/>
      <x:c r="K909" s="74"/>
      <x:c r="L909" s="74"/>
      <x:c r="M909" s="85"/>
      <x:c r="O909" s="86"/>
      <x:c r="P909" s="32"/>
    </x:row>
    <x:row r="910">
      <x:c r="A910" s="87"/>
      <x:c r="D910" s="32"/>
      <x:c r="I910" s="74"/>
      <x:c r="J910" s="74"/>
      <x:c r="K910" s="74"/>
      <x:c r="L910" s="74"/>
      <x:c r="M910" s="85"/>
      <x:c r="O910" s="86"/>
      <x:c r="P910" s="32"/>
    </x:row>
    <x:row r="911">
      <x:c r="A911" s="87"/>
      <x:c r="D911" s="32"/>
      <x:c r="I911" s="74"/>
      <x:c r="J911" s="74"/>
      <x:c r="K911" s="74"/>
      <x:c r="L911" s="74"/>
      <x:c r="M911" s="85"/>
      <x:c r="O911" s="86"/>
      <x:c r="P911" s="32"/>
    </x:row>
    <x:row r="912">
      <x:c r="A912" s="87"/>
      <x:c r="D912" s="32"/>
      <x:c r="I912" s="74"/>
      <x:c r="J912" s="74"/>
      <x:c r="K912" s="74"/>
      <x:c r="L912" s="74"/>
      <x:c r="M912" s="85"/>
      <x:c r="O912" s="86"/>
      <x:c r="P912" s="32"/>
    </x:row>
    <x:row r="913">
      <x:c r="A913" s="87"/>
      <x:c r="D913" s="32"/>
      <x:c r="I913" s="74"/>
      <x:c r="J913" s="74"/>
      <x:c r="K913" s="74"/>
      <x:c r="L913" s="74"/>
      <x:c r="M913" s="85"/>
      <x:c r="O913" s="86"/>
      <x:c r="P913" s="32"/>
    </x:row>
    <x:row r="914">
      <x:c r="A914" s="87"/>
      <x:c r="D914" s="32"/>
      <x:c r="I914" s="74"/>
      <x:c r="J914" s="74"/>
      <x:c r="K914" s="74"/>
      <x:c r="L914" s="74"/>
      <x:c r="M914" s="85"/>
      <x:c r="O914" s="86"/>
      <x:c r="P914" s="32"/>
    </x:row>
    <x:row r="915">
      <x:c r="A915" s="87"/>
      <x:c r="D915" s="32"/>
      <x:c r="I915" s="74"/>
      <x:c r="J915" s="74"/>
      <x:c r="K915" s="74"/>
      <x:c r="L915" s="74"/>
      <x:c r="M915" s="85"/>
      <x:c r="O915" s="86"/>
      <x:c r="P915" s="32"/>
    </x:row>
    <x:row r="916">
      <x:c r="A916" s="87"/>
      <x:c r="D916" s="32"/>
      <x:c r="I916" s="74"/>
      <x:c r="J916" s="74"/>
      <x:c r="K916" s="74"/>
      <x:c r="L916" s="74"/>
      <x:c r="M916" s="85"/>
      <x:c r="O916" s="86"/>
      <x:c r="P916" s="32"/>
    </x:row>
    <x:row r="917">
      <x:c r="A917" s="87"/>
      <x:c r="D917" s="32"/>
      <x:c r="I917" s="74"/>
      <x:c r="J917" s="74"/>
      <x:c r="K917" s="74"/>
      <x:c r="L917" s="74"/>
      <x:c r="M917" s="85"/>
      <x:c r="O917" s="86"/>
      <x:c r="P917" s="32"/>
    </x:row>
    <x:row r="918">
      <x:c r="A918" s="87"/>
      <x:c r="D918" s="32"/>
      <x:c r="I918" s="74"/>
      <x:c r="J918" s="74"/>
      <x:c r="K918" s="74"/>
      <x:c r="L918" s="74"/>
      <x:c r="M918" s="85"/>
      <x:c r="O918" s="86"/>
      <x:c r="P918" s="32"/>
    </x:row>
    <x:row r="919">
      <x:c r="A919" s="87"/>
      <x:c r="D919" s="32"/>
      <x:c r="I919" s="74"/>
      <x:c r="J919" s="74"/>
      <x:c r="K919" s="74"/>
      <x:c r="L919" s="74"/>
      <x:c r="M919" s="85"/>
      <x:c r="O919" s="86"/>
      <x:c r="P919" s="32"/>
    </x:row>
    <x:row r="920">
      <x:c r="A920" s="87"/>
      <x:c r="D920" s="32"/>
      <x:c r="I920" s="74"/>
      <x:c r="J920" s="74"/>
      <x:c r="K920" s="74"/>
      <x:c r="L920" s="74"/>
      <x:c r="M920" s="85"/>
      <x:c r="O920" s="86"/>
      <x:c r="P920" s="32"/>
    </x:row>
    <x:row r="921">
      <x:c r="A921" s="87"/>
      <x:c r="D921" s="32"/>
      <x:c r="I921" s="74"/>
      <x:c r="J921" s="74"/>
      <x:c r="K921" s="74"/>
      <x:c r="L921" s="74"/>
      <x:c r="M921" s="85"/>
      <x:c r="O921" s="86"/>
      <x:c r="P921" s="32"/>
    </x:row>
    <x:row r="922">
      <x:c r="A922" s="87"/>
      <x:c r="D922" s="32"/>
      <x:c r="I922" s="74"/>
      <x:c r="J922" s="74"/>
      <x:c r="K922" s="74"/>
      <x:c r="L922" s="74"/>
      <x:c r="M922" s="85"/>
      <x:c r="O922" s="86"/>
      <x:c r="P922" s="32"/>
    </x:row>
    <x:row r="923">
      <x:c r="A923" s="87"/>
      <x:c r="D923" s="32"/>
      <x:c r="I923" s="74"/>
      <x:c r="J923" s="74"/>
      <x:c r="K923" s="74"/>
      <x:c r="L923" s="74"/>
      <x:c r="M923" s="85"/>
      <x:c r="O923" s="86"/>
      <x:c r="P923" s="32"/>
    </x:row>
    <x:row r="924">
      <x:c r="A924" s="87"/>
      <x:c r="D924" s="32"/>
      <x:c r="I924" s="74"/>
      <x:c r="J924" s="74"/>
      <x:c r="K924" s="74"/>
      <x:c r="L924" s="74"/>
      <x:c r="M924" s="85"/>
      <x:c r="O924" s="86"/>
      <x:c r="P924" s="32"/>
    </x:row>
    <x:row r="925">
      <x:c r="A925" s="87"/>
      <x:c r="D925" s="32"/>
      <x:c r="I925" s="74"/>
      <x:c r="J925" s="74"/>
      <x:c r="K925" s="74"/>
      <x:c r="L925" s="74"/>
      <x:c r="M925" s="85"/>
      <x:c r="O925" s="86"/>
      <x:c r="P925" s="32"/>
    </x:row>
    <x:row r="926">
      <x:c r="A926" s="87"/>
      <x:c r="D926" s="32"/>
      <x:c r="I926" s="74"/>
      <x:c r="J926" s="74"/>
      <x:c r="K926" s="74"/>
      <x:c r="L926" s="74"/>
      <x:c r="M926" s="85"/>
      <x:c r="O926" s="86"/>
      <x:c r="P926" s="32"/>
    </x:row>
    <x:row r="927">
      <x:c r="A927" s="87"/>
      <x:c r="D927" s="32"/>
      <x:c r="I927" s="74"/>
      <x:c r="J927" s="74"/>
      <x:c r="K927" s="74"/>
      <x:c r="L927" s="74"/>
      <x:c r="M927" s="85"/>
      <x:c r="O927" s="86"/>
      <x:c r="P927" s="32"/>
    </x:row>
    <x:row r="928">
      <x:c r="A928" s="87"/>
      <x:c r="D928" s="32"/>
      <x:c r="I928" s="74"/>
      <x:c r="J928" s="74"/>
      <x:c r="K928" s="74"/>
      <x:c r="L928" s="74"/>
      <x:c r="M928" s="85"/>
      <x:c r="O928" s="86"/>
      <x:c r="P928" s="32"/>
    </x:row>
    <x:row r="929">
      <x:c r="A929" s="87"/>
      <x:c r="D929" s="32"/>
      <x:c r="I929" s="74"/>
      <x:c r="J929" s="74"/>
      <x:c r="K929" s="74"/>
      <x:c r="L929" s="74"/>
      <x:c r="M929" s="85"/>
      <x:c r="O929" s="86"/>
      <x:c r="P929" s="32"/>
    </x:row>
    <x:row r="930">
      <x:c r="A930" s="87"/>
      <x:c r="D930" s="32"/>
      <x:c r="I930" s="74"/>
      <x:c r="J930" s="74"/>
      <x:c r="K930" s="74"/>
      <x:c r="L930" s="74"/>
      <x:c r="M930" s="85"/>
      <x:c r="O930" s="86"/>
      <x:c r="P930" s="32"/>
    </x:row>
    <x:row r="931">
      <x:c r="A931" s="87"/>
      <x:c r="D931" s="32"/>
      <x:c r="I931" s="74"/>
      <x:c r="J931" s="74"/>
      <x:c r="K931" s="74"/>
      <x:c r="L931" s="74"/>
      <x:c r="M931" s="85"/>
      <x:c r="O931" s="86"/>
      <x:c r="P931" s="32"/>
    </x:row>
    <x:row r="932">
      <x:c r="A932" s="87"/>
      <x:c r="D932" s="32"/>
      <x:c r="I932" s="74"/>
      <x:c r="J932" s="74"/>
      <x:c r="K932" s="74"/>
      <x:c r="L932" s="74"/>
      <x:c r="M932" s="85"/>
      <x:c r="O932" s="86"/>
      <x:c r="P932" s="32"/>
    </x:row>
    <x:row r="933">
      <x:c r="A933" s="87"/>
      <x:c r="D933" s="32"/>
      <x:c r="I933" s="74"/>
      <x:c r="J933" s="74"/>
      <x:c r="K933" s="74"/>
      <x:c r="L933" s="74"/>
      <x:c r="M933" s="85"/>
      <x:c r="O933" s="86"/>
      <x:c r="P933" s="32"/>
    </x:row>
    <x:row r="934">
      <x:c r="A934" s="87"/>
      <x:c r="D934" s="32"/>
      <x:c r="I934" s="74"/>
      <x:c r="J934" s="74"/>
      <x:c r="K934" s="74"/>
      <x:c r="L934" s="74"/>
      <x:c r="M934" s="85"/>
      <x:c r="O934" s="86"/>
      <x:c r="P934" s="32"/>
    </x:row>
    <x:row r="935">
      <x:c r="A935" s="87"/>
      <x:c r="D935" s="32"/>
      <x:c r="I935" s="74"/>
      <x:c r="J935" s="74"/>
      <x:c r="K935" s="74"/>
      <x:c r="L935" s="74"/>
      <x:c r="M935" s="85"/>
      <x:c r="O935" s="86"/>
      <x:c r="P935" s="32"/>
    </x:row>
    <x:row r="936">
      <x:c r="A936" s="87"/>
      <x:c r="D936" s="32"/>
      <x:c r="I936" s="74"/>
      <x:c r="J936" s="74"/>
      <x:c r="K936" s="74"/>
      <x:c r="L936" s="74"/>
      <x:c r="M936" s="85"/>
      <x:c r="O936" s="86"/>
      <x:c r="P936" s="32"/>
    </x:row>
    <x:row r="937">
      <x:c r="A937" s="87"/>
      <x:c r="D937" s="32"/>
      <x:c r="I937" s="74"/>
      <x:c r="J937" s="74"/>
      <x:c r="K937" s="74"/>
      <x:c r="L937" s="74"/>
      <x:c r="M937" s="85"/>
      <x:c r="O937" s="86"/>
      <x:c r="P937" s="32"/>
    </x:row>
    <x:row r="938">
      <x:c r="A938" s="87"/>
      <x:c r="D938" s="32"/>
      <x:c r="I938" s="74"/>
      <x:c r="J938" s="74"/>
      <x:c r="K938" s="74"/>
      <x:c r="L938" s="74"/>
      <x:c r="M938" s="85"/>
      <x:c r="O938" s="86"/>
      <x:c r="P938" s="32"/>
    </x:row>
    <x:row r="939">
      <x:c r="A939" s="87"/>
      <x:c r="D939" s="32"/>
      <x:c r="I939" s="74"/>
      <x:c r="J939" s="74"/>
      <x:c r="K939" s="74"/>
      <x:c r="L939" s="74"/>
      <x:c r="M939" s="85"/>
      <x:c r="O939" s="86"/>
      <x:c r="P939" s="32"/>
    </x:row>
    <x:row r="940">
      <x:c r="A940" s="87"/>
      <x:c r="D940" s="32"/>
      <x:c r="I940" s="74"/>
      <x:c r="J940" s="74"/>
      <x:c r="K940" s="74"/>
      <x:c r="L940" s="74"/>
      <x:c r="M940" s="85"/>
      <x:c r="O940" s="86"/>
      <x:c r="P940" s="32"/>
    </x:row>
    <x:row r="941">
      <x:c r="A941" s="87"/>
      <x:c r="D941" s="32"/>
      <x:c r="I941" s="74"/>
      <x:c r="J941" s="74"/>
      <x:c r="K941" s="74"/>
      <x:c r="L941" s="74"/>
      <x:c r="M941" s="85"/>
      <x:c r="O941" s="86"/>
      <x:c r="P941" s="32"/>
    </x:row>
    <x:row r="942">
      <x:c r="A942" s="87"/>
      <x:c r="D942" s="32"/>
      <x:c r="I942" s="74"/>
      <x:c r="J942" s="74"/>
      <x:c r="K942" s="74"/>
      <x:c r="L942" s="74"/>
      <x:c r="M942" s="85"/>
      <x:c r="O942" s="86"/>
      <x:c r="P942" s="32"/>
    </x:row>
    <x:row r="943">
      <x:c r="A943" s="87"/>
      <x:c r="D943" s="32"/>
      <x:c r="I943" s="74"/>
      <x:c r="J943" s="74"/>
      <x:c r="K943" s="74"/>
      <x:c r="L943" s="74"/>
      <x:c r="M943" s="85"/>
      <x:c r="O943" s="86"/>
      <x:c r="P943" s="32"/>
    </x:row>
    <x:row r="944">
      <x:c r="A944" s="87"/>
      <x:c r="D944" s="32"/>
      <x:c r="I944" s="74"/>
      <x:c r="J944" s="74"/>
      <x:c r="K944" s="74"/>
      <x:c r="L944" s="74"/>
      <x:c r="M944" s="85"/>
      <x:c r="O944" s="86"/>
      <x:c r="P944" s="32"/>
    </x:row>
    <x:row r="945">
      <x:c r="A945" s="87"/>
      <x:c r="D945" s="32"/>
      <x:c r="I945" s="74"/>
      <x:c r="J945" s="74"/>
      <x:c r="K945" s="74"/>
      <x:c r="L945" s="74"/>
      <x:c r="M945" s="85"/>
      <x:c r="O945" s="86"/>
      <x:c r="P945" s="32"/>
    </x:row>
    <x:row r="946">
      <x:c r="A946" s="87"/>
      <x:c r="D946" s="32"/>
      <x:c r="I946" s="74"/>
      <x:c r="J946" s="74"/>
      <x:c r="K946" s="74"/>
      <x:c r="L946" s="74"/>
      <x:c r="M946" s="85"/>
      <x:c r="O946" s="86"/>
      <x:c r="P946" s="32"/>
    </x:row>
    <x:row r="947">
      <x:c r="A947" s="87"/>
      <x:c r="D947" s="32"/>
      <x:c r="I947" s="74"/>
      <x:c r="J947" s="74"/>
      <x:c r="K947" s="74"/>
      <x:c r="L947" s="74"/>
      <x:c r="M947" s="85"/>
      <x:c r="O947" s="86"/>
      <x:c r="P947" s="32"/>
    </x:row>
    <x:row r="948">
      <x:c r="A948" s="87"/>
      <x:c r="D948" s="32"/>
      <x:c r="I948" s="74"/>
      <x:c r="J948" s="74"/>
      <x:c r="K948" s="74"/>
      <x:c r="L948" s="74"/>
      <x:c r="M948" s="85"/>
      <x:c r="O948" s="86"/>
      <x:c r="P948" s="32"/>
    </x:row>
    <x:row r="949">
      <x:c r="A949" s="87"/>
      <x:c r="D949" s="32"/>
      <x:c r="I949" s="74"/>
      <x:c r="J949" s="74"/>
      <x:c r="K949" s="74"/>
      <x:c r="L949" s="74"/>
      <x:c r="M949" s="85"/>
      <x:c r="O949" s="86"/>
      <x:c r="P949" s="32"/>
    </x:row>
    <x:row r="950">
      <x:c r="A950" s="87"/>
      <x:c r="D950" s="32"/>
      <x:c r="I950" s="74"/>
      <x:c r="J950" s="74"/>
      <x:c r="K950" s="74"/>
      <x:c r="L950" s="74"/>
      <x:c r="M950" s="85"/>
      <x:c r="O950" s="86"/>
      <x:c r="P950" s="32"/>
    </x:row>
    <x:row r="951">
      <x:c r="A951" s="87"/>
      <x:c r="D951" s="32"/>
      <x:c r="I951" s="74"/>
      <x:c r="J951" s="74"/>
      <x:c r="K951" s="74"/>
      <x:c r="L951" s="74"/>
      <x:c r="M951" s="85"/>
      <x:c r="O951" s="86"/>
      <x:c r="P951" s="32"/>
    </x:row>
    <x:row r="952">
      <x:c r="A952" s="87"/>
      <x:c r="D952" s="32"/>
      <x:c r="I952" s="74"/>
      <x:c r="J952" s="74"/>
      <x:c r="K952" s="74"/>
      <x:c r="L952" s="74"/>
      <x:c r="M952" s="85"/>
      <x:c r="O952" s="86"/>
      <x:c r="P952" s="32"/>
    </x:row>
    <x:row r="953">
      <x:c r="A953" s="87"/>
      <x:c r="D953" s="32"/>
      <x:c r="I953" s="74"/>
      <x:c r="J953" s="74"/>
      <x:c r="K953" s="74"/>
      <x:c r="L953" s="74"/>
      <x:c r="M953" s="85"/>
      <x:c r="O953" s="86"/>
      <x:c r="P953" s="32"/>
    </x:row>
    <x:row r="954">
      <x:c r="A954" s="87"/>
      <x:c r="D954" s="32"/>
      <x:c r="I954" s="74"/>
      <x:c r="J954" s="74"/>
      <x:c r="K954" s="74"/>
      <x:c r="L954" s="74"/>
      <x:c r="M954" s="85"/>
      <x:c r="O954" s="86"/>
      <x:c r="P954" s="32"/>
    </x:row>
    <x:row r="955">
      <x:c r="A955" s="87"/>
      <x:c r="D955" s="32"/>
      <x:c r="I955" s="74"/>
      <x:c r="J955" s="74"/>
      <x:c r="K955" s="74"/>
      <x:c r="L955" s="74"/>
      <x:c r="M955" s="85"/>
      <x:c r="O955" s="86"/>
      <x:c r="P955" s="32"/>
    </x:row>
    <x:row r="956">
      <x:c r="A956" s="87"/>
      <x:c r="D956" s="32"/>
      <x:c r="I956" s="74"/>
      <x:c r="J956" s="74"/>
      <x:c r="K956" s="74"/>
      <x:c r="L956" s="74"/>
      <x:c r="M956" s="85"/>
      <x:c r="O956" s="86"/>
      <x:c r="P956" s="32"/>
    </x:row>
    <x:row r="957">
      <x:c r="A957" s="87"/>
      <x:c r="D957" s="32"/>
      <x:c r="I957" s="74"/>
      <x:c r="J957" s="74"/>
      <x:c r="K957" s="74"/>
      <x:c r="L957" s="74"/>
      <x:c r="M957" s="85"/>
      <x:c r="O957" s="86"/>
      <x:c r="P957" s="32"/>
    </x:row>
    <x:row r="958">
      <x:c r="A958" s="87"/>
      <x:c r="D958" s="32"/>
      <x:c r="I958" s="74"/>
      <x:c r="J958" s="74"/>
      <x:c r="K958" s="74"/>
      <x:c r="L958" s="74"/>
      <x:c r="M958" s="85"/>
      <x:c r="O958" s="86"/>
      <x:c r="P958" s="32"/>
    </x:row>
    <x:row r="959">
      <x:c r="A959" s="87"/>
      <x:c r="D959" s="32"/>
      <x:c r="I959" s="74"/>
      <x:c r="J959" s="74"/>
      <x:c r="K959" s="74"/>
      <x:c r="L959" s="74"/>
      <x:c r="M959" s="85"/>
      <x:c r="O959" s="86"/>
      <x:c r="P959" s="32"/>
    </x:row>
    <x:row r="960">
      <x:c r="A960" s="87"/>
      <x:c r="D960" s="32"/>
      <x:c r="I960" s="74"/>
      <x:c r="J960" s="74"/>
      <x:c r="K960" s="74"/>
      <x:c r="L960" s="74"/>
      <x:c r="M960" s="85"/>
      <x:c r="O960" s="86"/>
      <x:c r="P960" s="32"/>
    </x:row>
    <x:row r="961">
      <x:c r="A961" s="87"/>
      <x:c r="D961" s="32"/>
      <x:c r="I961" s="74"/>
      <x:c r="J961" s="74"/>
      <x:c r="K961" s="74"/>
      <x:c r="L961" s="74"/>
      <x:c r="M961" s="85"/>
      <x:c r="O961" s="86"/>
      <x:c r="P961" s="32"/>
    </x:row>
    <x:row r="962">
      <x:c r="A962" s="87"/>
      <x:c r="D962" s="32"/>
      <x:c r="I962" s="74"/>
      <x:c r="J962" s="74"/>
      <x:c r="K962" s="74"/>
      <x:c r="L962" s="74"/>
      <x:c r="M962" s="85"/>
      <x:c r="O962" s="86"/>
      <x:c r="P962" s="32"/>
    </x:row>
    <x:row r="963">
      <x:c r="A963" s="87"/>
      <x:c r="D963" s="32"/>
      <x:c r="I963" s="74"/>
      <x:c r="J963" s="74"/>
      <x:c r="K963" s="74"/>
      <x:c r="L963" s="74"/>
      <x:c r="M963" s="85"/>
      <x:c r="O963" s="86"/>
      <x:c r="P963" s="32"/>
    </x:row>
    <x:row r="964">
      <x:c r="A964" s="87"/>
      <x:c r="D964" s="32"/>
      <x:c r="I964" s="74"/>
      <x:c r="J964" s="74"/>
      <x:c r="K964" s="74"/>
      <x:c r="L964" s="74"/>
      <x:c r="M964" s="85"/>
      <x:c r="O964" s="86"/>
      <x:c r="P964" s="32"/>
    </x:row>
    <x:row r="965">
      <x:c r="A965" s="87"/>
      <x:c r="D965" s="32"/>
      <x:c r="I965" s="74"/>
      <x:c r="J965" s="74"/>
      <x:c r="K965" s="74"/>
      <x:c r="L965" s="74"/>
      <x:c r="M965" s="85"/>
      <x:c r="O965" s="86"/>
      <x:c r="P965" s="32"/>
    </x:row>
    <x:row r="966">
      <x:c r="A966" s="87"/>
      <x:c r="D966" s="32"/>
      <x:c r="I966" s="74"/>
      <x:c r="J966" s="74"/>
      <x:c r="K966" s="74"/>
      <x:c r="L966" s="74"/>
      <x:c r="M966" s="85"/>
      <x:c r="O966" s="86"/>
      <x:c r="P966" s="32"/>
    </x:row>
    <x:row r="967">
      <x:c r="A967" s="87"/>
      <x:c r="D967" s="32"/>
      <x:c r="I967" s="74"/>
      <x:c r="J967" s="74"/>
      <x:c r="K967" s="74"/>
      <x:c r="L967" s="74"/>
      <x:c r="M967" s="85"/>
      <x:c r="O967" s="86"/>
      <x:c r="P967" s="32"/>
    </x:row>
    <x:row r="968">
      <x:c r="A968" s="87"/>
      <x:c r="D968" s="32"/>
      <x:c r="I968" s="74"/>
      <x:c r="J968" s="74"/>
      <x:c r="K968" s="74"/>
      <x:c r="L968" s="74"/>
      <x:c r="M968" s="85"/>
      <x:c r="O968" s="86"/>
      <x:c r="P968" s="32"/>
    </x:row>
    <x:row r="969">
      <x:c r="A969" s="87"/>
      <x:c r="D969" s="32"/>
      <x:c r="I969" s="74"/>
      <x:c r="J969" s="74"/>
      <x:c r="K969" s="74"/>
      <x:c r="L969" s="74"/>
      <x:c r="M969" s="85"/>
      <x:c r="O969" s="86"/>
      <x:c r="P969" s="32"/>
    </x:row>
    <x:row r="970">
      <x:c r="A970" s="87"/>
      <x:c r="D970" s="32"/>
      <x:c r="I970" s="74"/>
      <x:c r="J970" s="74"/>
      <x:c r="K970" s="74"/>
      <x:c r="L970" s="74"/>
      <x:c r="M970" s="85"/>
      <x:c r="O970" s="86"/>
      <x:c r="P970" s="32"/>
    </x:row>
    <x:row r="971">
      <x:c r="A971" s="87"/>
      <x:c r="D971" s="32"/>
      <x:c r="I971" s="74"/>
      <x:c r="J971" s="74"/>
      <x:c r="K971" s="74"/>
      <x:c r="L971" s="74"/>
      <x:c r="M971" s="85"/>
      <x:c r="O971" s="86"/>
      <x:c r="P971" s="32"/>
    </x:row>
    <x:row r="972">
      <x:c r="A972" s="87"/>
      <x:c r="D972" s="32"/>
      <x:c r="I972" s="74"/>
      <x:c r="J972" s="74"/>
      <x:c r="K972" s="74"/>
      <x:c r="L972" s="74"/>
      <x:c r="M972" s="85"/>
      <x:c r="O972" s="86"/>
      <x:c r="P972" s="32"/>
    </x:row>
    <x:row r="973">
      <x:c r="A973" s="87"/>
      <x:c r="D973" s="32"/>
      <x:c r="I973" s="74"/>
      <x:c r="J973" s="74"/>
      <x:c r="K973" s="74"/>
      <x:c r="L973" s="74"/>
      <x:c r="M973" s="85"/>
      <x:c r="O973" s="86"/>
      <x:c r="P973" s="32"/>
    </x:row>
    <x:row r="974">
      <x:c r="A974" s="87"/>
      <x:c r="D974" s="32"/>
      <x:c r="I974" s="74"/>
      <x:c r="J974" s="74"/>
      <x:c r="K974" s="74"/>
      <x:c r="L974" s="74"/>
      <x:c r="M974" s="85"/>
      <x:c r="O974" s="86"/>
      <x:c r="P974" s="32"/>
    </x:row>
    <x:row r="975">
      <x:c r="A975" s="87"/>
      <x:c r="D975" s="32"/>
      <x:c r="I975" s="74"/>
      <x:c r="J975" s="74"/>
      <x:c r="K975" s="74"/>
      <x:c r="L975" s="74"/>
      <x:c r="M975" s="85"/>
      <x:c r="O975" s="86"/>
      <x:c r="P975" s="32"/>
    </x:row>
    <x:row r="976">
      <x:c r="A976" s="87"/>
      <x:c r="D976" s="32"/>
      <x:c r="I976" s="74"/>
      <x:c r="J976" s="74"/>
      <x:c r="K976" s="74"/>
      <x:c r="L976" s="74"/>
      <x:c r="M976" s="85"/>
      <x:c r="O976" s="86"/>
      <x:c r="P976" s="32"/>
    </x:row>
    <x:row r="977">
      <x:c r="A977" s="87"/>
      <x:c r="D977" s="32"/>
      <x:c r="I977" s="74"/>
      <x:c r="J977" s="74"/>
      <x:c r="K977" s="74"/>
      <x:c r="L977" s="74"/>
      <x:c r="M977" s="85"/>
      <x:c r="O977" s="86"/>
      <x:c r="P977" s="32"/>
    </x:row>
    <x:row r="978">
      <x:c r="A978" s="87"/>
      <x:c r="D978" s="32"/>
      <x:c r="I978" s="74"/>
      <x:c r="J978" s="74"/>
      <x:c r="K978" s="74"/>
      <x:c r="L978" s="74"/>
      <x:c r="M978" s="85"/>
      <x:c r="O978" s="86"/>
      <x:c r="P978" s="32"/>
    </x:row>
    <x:row r="979">
      <x:c r="A979" s="87"/>
      <x:c r="D979" s="32"/>
      <x:c r="I979" s="74"/>
      <x:c r="J979" s="74"/>
      <x:c r="K979" s="74"/>
      <x:c r="L979" s="74"/>
      <x:c r="M979" s="85"/>
      <x:c r="O979" s="86"/>
      <x:c r="P979" s="32"/>
    </x:row>
    <x:row r="980">
      <x:c r="A980" s="87"/>
      <x:c r="D980" s="32"/>
      <x:c r="I980" s="74"/>
      <x:c r="J980" s="74"/>
      <x:c r="K980" s="74"/>
      <x:c r="L980" s="74"/>
      <x:c r="M980" s="85"/>
      <x:c r="O980" s="86"/>
      <x:c r="P980" s="32"/>
    </x:row>
    <x:row r="981">
      <x:c r="A981" s="87"/>
      <x:c r="D981" s="32"/>
      <x:c r="I981" s="74"/>
      <x:c r="J981" s="74"/>
      <x:c r="K981" s="74"/>
      <x:c r="L981" s="74"/>
      <x:c r="M981" s="85"/>
      <x:c r="O981" s="86"/>
      <x:c r="P981" s="32"/>
    </x:row>
    <x:row r="982">
      <x:c r="A982" s="87"/>
      <x:c r="D982" s="32"/>
      <x:c r="I982" s="74"/>
      <x:c r="J982" s="74"/>
      <x:c r="K982" s="74"/>
      <x:c r="L982" s="74"/>
      <x:c r="M982" s="85"/>
      <x:c r="O982" s="86"/>
      <x:c r="P982" s="32"/>
    </x:row>
    <x:row r="983">
      <x:c r="A983" s="87"/>
      <x:c r="D983" s="32"/>
      <x:c r="I983" s="74"/>
      <x:c r="J983" s="74"/>
      <x:c r="K983" s="74"/>
      <x:c r="L983" s="74"/>
      <x:c r="M983" s="85"/>
      <x:c r="O983" s="86"/>
      <x:c r="P983" s="32"/>
    </x:row>
    <x:row r="984">
      <x:c r="A984" s="87"/>
      <x:c r="D984" s="32"/>
      <x:c r="I984" s="74"/>
      <x:c r="J984" s="74"/>
      <x:c r="K984" s="74"/>
      <x:c r="L984" s="74"/>
      <x:c r="M984" s="85"/>
      <x:c r="O984" s="86"/>
      <x:c r="P984" s="32"/>
    </x:row>
    <x:row r="985">
      <x:c r="A985" s="87"/>
      <x:c r="D985" s="32"/>
      <x:c r="I985" s="74"/>
      <x:c r="J985" s="74"/>
      <x:c r="K985" s="74"/>
      <x:c r="L985" s="74"/>
      <x:c r="M985" s="85"/>
      <x:c r="O985" s="86"/>
      <x:c r="P985" s="32"/>
    </x:row>
    <x:row r="986">
      <x:c r="A986" s="87"/>
      <x:c r="D986" s="32"/>
      <x:c r="I986" s="74"/>
      <x:c r="J986" s="74"/>
      <x:c r="K986" s="74"/>
      <x:c r="L986" s="74"/>
      <x:c r="M986" s="85"/>
      <x:c r="O986" s="86"/>
      <x:c r="P986" s="32"/>
    </x:row>
    <x:row r="987">
      <x:c r="A987" s="87"/>
      <x:c r="D987" s="32"/>
      <x:c r="I987" s="74"/>
      <x:c r="J987" s="74"/>
      <x:c r="K987" s="74"/>
      <x:c r="L987" s="74"/>
      <x:c r="M987" s="85"/>
      <x:c r="O987" s="86"/>
      <x:c r="P987" s="32"/>
    </x:row>
    <x:row r="988">
      <x:c r="A988" s="87"/>
      <x:c r="D988" s="32"/>
      <x:c r="I988" s="74"/>
      <x:c r="J988" s="74"/>
      <x:c r="K988" s="74"/>
      <x:c r="L988" s="74"/>
      <x:c r="M988" s="85"/>
      <x:c r="O988" s="86"/>
      <x:c r="P988" s="32"/>
    </x:row>
    <x:row r="989">
      <x:c r="A989" s="87"/>
      <x:c r="D989" s="32"/>
      <x:c r="I989" s="74"/>
      <x:c r="J989" s="74"/>
      <x:c r="K989" s="74"/>
      <x:c r="L989" s="74"/>
      <x:c r="M989" s="85"/>
      <x:c r="O989" s="86"/>
      <x:c r="P989" s="32"/>
    </x:row>
    <x:row r="990">
      <x:c r="A990" s="87"/>
      <x:c r="D990" s="32"/>
      <x:c r="I990" s="74"/>
      <x:c r="J990" s="74"/>
      <x:c r="K990" s="74"/>
      <x:c r="L990" s="74"/>
      <x:c r="M990" s="85"/>
      <x:c r="O990" s="86"/>
      <x:c r="P990" s="32"/>
    </x:row>
    <x:row r="991">
      <x:c r="A991" s="87"/>
      <x:c r="D991" s="32"/>
      <x:c r="I991" s="74"/>
      <x:c r="J991" s="74"/>
      <x:c r="K991" s="74"/>
      <x:c r="L991" s="74"/>
      <x:c r="M991" s="85"/>
      <x:c r="O991" s="86"/>
      <x:c r="P991" s="32"/>
    </x:row>
    <x:row r="992">
      <x:c r="A992" s="87"/>
      <x:c r="D992" s="32"/>
      <x:c r="I992" s="74"/>
      <x:c r="J992" s="74"/>
      <x:c r="K992" s="74"/>
      <x:c r="L992" s="74"/>
      <x:c r="M992" s="85"/>
      <x:c r="O992" s="86"/>
      <x:c r="P992" s="32"/>
    </x:row>
    <x:row r="993">
      <x:c r="A993" s="87"/>
      <x:c r="D993" s="32"/>
      <x:c r="I993" s="74"/>
      <x:c r="J993" s="74"/>
      <x:c r="K993" s="74"/>
      <x:c r="L993" s="74"/>
      <x:c r="M993" s="85"/>
      <x:c r="O993" s="86"/>
      <x:c r="P993" s="32"/>
    </x:row>
    <x:row r="994">
      <x:c r="A994" s="87"/>
      <x:c r="D994" s="32"/>
      <x:c r="I994" s="74"/>
      <x:c r="J994" s="74"/>
      <x:c r="K994" s="74"/>
      <x:c r="L994" s="74"/>
      <x:c r="M994" s="85"/>
      <x:c r="O994" s="86"/>
      <x:c r="P994" s="32"/>
    </x:row>
    <x:row r="995">
      <x:c r="A995" s="87"/>
      <x:c r="D995" s="32"/>
      <x:c r="I995" s="74"/>
      <x:c r="J995" s="74"/>
      <x:c r="K995" s="74"/>
      <x:c r="L995" s="74"/>
      <x:c r="M995" s="85"/>
      <x:c r="O995" s="86"/>
      <x:c r="P995" s="32"/>
    </x:row>
    <x:row r="996">
      <x:c r="A996" s="87"/>
      <x:c r="D996" s="32"/>
      <x:c r="I996" s="74"/>
      <x:c r="J996" s="74"/>
      <x:c r="K996" s="74"/>
      <x:c r="L996" s="74"/>
      <x:c r="M996" s="85"/>
      <x:c r="O996" s="86"/>
      <x:c r="P996" s="32"/>
    </x:row>
    <x:row r="997">
      <x:c r="A997" s="87"/>
      <x:c r="D997" s="32"/>
      <x:c r="I997" s="74"/>
      <x:c r="J997" s="74"/>
      <x:c r="K997" s="74"/>
      <x:c r="L997" s="74"/>
      <x:c r="M997" s="85"/>
      <x:c r="O997" s="86"/>
      <x:c r="P997" s="32"/>
    </x:row>
    <x:row r="998">
      <x:c r="A998" s="87"/>
      <x:c r="D998" s="32"/>
      <x:c r="I998" s="74"/>
      <x:c r="J998" s="74"/>
      <x:c r="K998" s="74"/>
      <x:c r="L998" s="74"/>
      <x:c r="M998" s="85"/>
      <x:c r="O998" s="86"/>
      <x:c r="P998" s="32"/>
    </x:row>
    <x:row r="999">
      <x:c r="A999" s="87"/>
      <x:c r="D999" s="32"/>
      <x:c r="I999" s="74"/>
      <x:c r="J999" s="74"/>
      <x:c r="K999" s="74"/>
      <x:c r="L999" s="74"/>
      <x:c r="M999" s="85"/>
      <x:c r="O999" s="86"/>
      <x:c r="P999" s="32"/>
    </x:row>
    <x:row r="1000">
      <x:c r="A1000" s="87"/>
      <x:c r="D1000" s="32"/>
      <x:c r="I1000" s="74"/>
      <x:c r="J1000" s="74"/>
      <x:c r="K1000" s="74"/>
      <x:c r="L1000" s="74"/>
      <x:c r="M1000" s="85"/>
      <x:c r="O1000" s="86"/>
      <x:c r="P1000" s="32"/>
    </x:row>
    <x:row r="1001">
      <x:c r="A1001" s="87"/>
      <x:c r="D1001" s="32"/>
      <x:c r="I1001" s="74"/>
      <x:c r="J1001" s="74"/>
      <x:c r="K1001" s="74"/>
      <x:c r="L1001" s="74"/>
      <x:c r="M1001" s="85"/>
      <x:c r="O1001" s="86"/>
      <x:c r="P1001" s="32"/>
    </x:row>
    <x:row r="1002">
      <x:c r="A1002" s="87"/>
      <x:c r="D1002" s="32"/>
      <x:c r="I1002" s="74"/>
      <x:c r="J1002" s="74"/>
      <x:c r="K1002" s="74"/>
      <x:c r="L1002" s="74"/>
      <x:c r="M1002" s="85"/>
      <x:c r="O1002" s="86"/>
      <x:c r="P1002" s="32"/>
    </x:row>
    <x:row r="1003">
      <x:c r="A1003" s="87"/>
      <x:c r="D1003" s="32"/>
      <x:c r="I1003" s="74"/>
      <x:c r="J1003" s="74"/>
      <x:c r="K1003" s="74"/>
      <x:c r="L1003" s="74"/>
      <x:c r="M1003" s="85"/>
      <x:c r="O1003" s="86"/>
      <x:c r="P1003" s="32"/>
    </x:row>
    <x:row r="1004">
      <x:c r="A1004" s="87"/>
      <x:c r="D1004" s="32"/>
      <x:c r="I1004" s="74"/>
      <x:c r="J1004" s="74"/>
      <x:c r="K1004" s="74"/>
      <x:c r="L1004" s="74"/>
      <x:c r="M1004" s="85"/>
      <x:c r="O1004" s="86"/>
      <x:c r="P1004" s="32"/>
    </x:row>
    <x:row r="1005">
      <x:c r="A1005" s="87"/>
      <x:c r="D1005" s="32"/>
      <x:c r="I1005" s="74"/>
      <x:c r="J1005" s="74"/>
      <x:c r="K1005" s="74"/>
      <x:c r="L1005" s="74"/>
      <x:c r="M1005" s="85"/>
      <x:c r="O1005" s="86"/>
      <x:c r="P1005" s="32"/>
    </x:row>
    <x:row r="1006">
      <x:c r="A1006" s="87"/>
      <x:c r="D1006" s="32"/>
      <x:c r="I1006" s="74"/>
      <x:c r="J1006" s="74"/>
      <x:c r="K1006" s="74"/>
      <x:c r="L1006" s="74"/>
      <x:c r="M1006" s="85"/>
      <x:c r="O1006" s="86"/>
      <x:c r="P1006" s="32"/>
    </x:row>
    <x:row r="1007">
      <x:c r="A1007" s="87"/>
      <x:c r="D1007" s="32"/>
      <x:c r="I1007" s="74"/>
      <x:c r="J1007" s="74"/>
      <x:c r="K1007" s="74"/>
      <x:c r="L1007" s="74"/>
      <x:c r="M1007" s="85"/>
      <x:c r="O1007" s="86"/>
      <x:c r="P1007" s="32"/>
    </x:row>
    <x:row r="1008">
      <x:c r="A1008" s="87"/>
      <x:c r="D1008" s="32"/>
      <x:c r="I1008" s="74"/>
      <x:c r="J1008" s="74"/>
      <x:c r="K1008" s="74"/>
      <x:c r="L1008" s="74"/>
      <x:c r="M1008" s="85"/>
      <x:c r="O1008" s="86"/>
      <x:c r="P1008" s="32"/>
    </x:row>
    <x:row r="1009">
      <x:c r="A1009" s="87"/>
      <x:c r="D1009" s="32"/>
      <x:c r="I1009" s="74"/>
      <x:c r="J1009" s="74"/>
      <x:c r="K1009" s="74"/>
      <x:c r="L1009" s="74"/>
      <x:c r="M1009" s="85"/>
      <x:c r="O1009" s="86"/>
      <x:c r="P1009" s="32"/>
    </x:row>
    <x:row r="1010">
      <x:c r="A1010" s="87"/>
      <x:c r="D1010" s="32"/>
      <x:c r="I1010" s="74"/>
      <x:c r="J1010" s="74"/>
      <x:c r="K1010" s="74"/>
      <x:c r="L1010" s="74"/>
      <x:c r="M1010" s="85"/>
      <x:c r="O1010" s="86"/>
      <x:c r="P1010" s="32"/>
    </x:row>
    <x:row r="1011">
      <x:c r="A1011" s="87"/>
      <x:c r="D1011" s="32"/>
      <x:c r="I1011" s="74"/>
      <x:c r="J1011" s="74"/>
      <x:c r="K1011" s="74"/>
      <x:c r="L1011" s="74"/>
      <x:c r="M1011" s="85"/>
      <x:c r="O1011" s="86"/>
      <x:c r="P1011" s="32"/>
    </x:row>
    <x:row r="1012">
      <x:c r="A1012" s="87"/>
      <x:c r="D1012" s="32"/>
      <x:c r="I1012" s="74"/>
      <x:c r="J1012" s="74"/>
      <x:c r="K1012" s="74"/>
      <x:c r="L1012" s="74"/>
      <x:c r="M1012" s="85"/>
      <x:c r="O1012" s="86"/>
      <x:c r="P1012" s="32"/>
    </x:row>
    <x:row r="1013">
      <x:c r="A1013" s="87"/>
      <x:c r="D1013" s="32"/>
      <x:c r="I1013" s="74"/>
      <x:c r="J1013" s="74"/>
      <x:c r="K1013" s="74"/>
      <x:c r="L1013" s="74"/>
      <x:c r="M1013" s="85"/>
      <x:c r="O1013" s="86"/>
      <x:c r="P1013" s="32"/>
    </x:row>
    <x:row r="1014">
      <x:c r="A1014" s="87"/>
      <x:c r="D1014" s="32"/>
      <x:c r="I1014" s="74"/>
      <x:c r="J1014" s="74"/>
      <x:c r="K1014" s="74"/>
      <x:c r="L1014" s="74"/>
      <x:c r="M1014" s="85"/>
      <x:c r="O1014" s="86"/>
      <x:c r="P1014" s="32"/>
    </x:row>
    <x:row r="1015">
      <x:c r="A1015" s="87"/>
      <x:c r="D1015" s="32"/>
      <x:c r="I1015" s="74"/>
      <x:c r="J1015" s="74"/>
      <x:c r="K1015" s="74"/>
      <x:c r="L1015" s="74"/>
      <x:c r="M1015" s="85"/>
      <x:c r="O1015" s="86"/>
      <x:c r="P1015" s="32"/>
    </x:row>
    <x:row r="1016">
      <x:c r="A1016" s="87"/>
      <x:c r="D1016" s="32"/>
      <x:c r="I1016" s="74"/>
      <x:c r="J1016" s="74"/>
      <x:c r="K1016" s="74"/>
      <x:c r="L1016" s="74"/>
      <x:c r="M1016" s="85"/>
      <x:c r="O1016" s="86"/>
      <x:c r="P1016" s="32"/>
    </x:row>
    <x:row r="1017">
      <x:c r="A1017" s="87"/>
      <x:c r="D1017" s="32"/>
      <x:c r="I1017" s="74"/>
      <x:c r="J1017" s="74"/>
      <x:c r="K1017" s="74"/>
      <x:c r="L1017" s="74"/>
      <x:c r="M1017" s="85"/>
      <x:c r="O1017" s="86"/>
      <x:c r="P1017" s="32"/>
    </x:row>
    <x:row r="1018">
      <x:c r="A1018" s="87"/>
      <x:c r="D1018" s="32"/>
      <x:c r="I1018" s="74"/>
      <x:c r="J1018" s="74"/>
      <x:c r="K1018" s="74"/>
      <x:c r="L1018" s="74"/>
      <x:c r="M1018" s="85"/>
      <x:c r="O1018" s="86"/>
      <x:c r="P1018" s="32"/>
    </x:row>
    <x:row r="1019">
      <x:c r="A1019" s="87"/>
      <x:c r="D1019" s="32"/>
      <x:c r="I1019" s="74"/>
      <x:c r="J1019" s="74"/>
      <x:c r="K1019" s="74"/>
      <x:c r="L1019" s="74"/>
      <x:c r="M1019" s="85"/>
      <x:c r="O1019" s="86"/>
      <x:c r="P1019" s="32"/>
    </x:row>
    <x:row r="1020">
      <x:c r="A1020" s="87"/>
      <x:c r="D1020" s="32"/>
      <x:c r="I1020" s="74"/>
      <x:c r="J1020" s="74"/>
      <x:c r="K1020" s="74"/>
      <x:c r="L1020" s="74"/>
      <x:c r="M1020" s="85"/>
      <x:c r="O1020" s="86"/>
      <x:c r="P1020" s="32"/>
    </x:row>
    <x:row r="1021">
      <x:c r="A1021" s="87"/>
      <x:c r="D1021" s="32"/>
      <x:c r="I1021" s="74"/>
      <x:c r="J1021" s="74"/>
      <x:c r="K1021" s="74"/>
      <x:c r="L1021" s="74"/>
      <x:c r="M1021" s="85"/>
      <x:c r="O1021" s="86"/>
      <x:c r="P1021" s="32"/>
    </x:row>
    <x:row r="1022">
      <x:c r="A1022" s="87"/>
      <x:c r="D1022" s="32"/>
      <x:c r="I1022" s="74"/>
      <x:c r="J1022" s="74"/>
      <x:c r="K1022" s="74"/>
      <x:c r="L1022" s="74"/>
      <x:c r="M1022" s="85"/>
      <x:c r="O1022" s="86"/>
      <x:c r="P1022" s="32"/>
    </x:row>
    <x:row r="1023">
      <x:c r="A1023" s="87"/>
      <x:c r="D1023" s="32"/>
      <x:c r="I1023" s="74"/>
      <x:c r="J1023" s="74"/>
      <x:c r="K1023" s="74"/>
      <x:c r="L1023" s="74"/>
      <x:c r="M1023" s="85"/>
      <x:c r="O1023" s="86"/>
      <x:c r="P1023" s="32"/>
    </x:row>
    <x:row r="1024">
      <x:c r="A1024" s="87"/>
      <x:c r="D1024" s="32"/>
      <x:c r="I1024" s="74"/>
      <x:c r="J1024" s="74"/>
      <x:c r="K1024" s="74"/>
      <x:c r="L1024" s="74"/>
      <x:c r="M1024" s="85"/>
      <x:c r="O1024" s="86"/>
      <x:c r="P1024" s="32"/>
    </x:row>
    <x:row r="1025">
      <x:c r="A1025" s="87"/>
      <x:c r="D1025" s="32"/>
      <x:c r="I1025" s="74"/>
      <x:c r="J1025" s="74"/>
      <x:c r="K1025" s="74"/>
      <x:c r="L1025" s="74"/>
      <x:c r="M1025" s="85"/>
      <x:c r="O1025" s="86"/>
      <x:c r="P1025" s="32"/>
    </x:row>
    <x:row r="1026">
      <x:c r="A1026" s="87"/>
      <x:c r="D1026" s="32"/>
      <x:c r="I1026" s="74"/>
      <x:c r="J1026" s="74"/>
      <x:c r="K1026" s="74"/>
      <x:c r="L1026" s="74"/>
      <x:c r="M1026" s="85"/>
      <x:c r="O1026" s="86"/>
      <x:c r="P1026" s="32"/>
    </x:row>
    <x:row r="1027">
      <x:c r="A1027" s="87"/>
      <x:c r="D1027" s="32"/>
      <x:c r="I1027" s="74"/>
      <x:c r="J1027" s="74"/>
      <x:c r="K1027" s="74"/>
      <x:c r="L1027" s="74"/>
      <x:c r="M1027" s="85"/>
      <x:c r="O1027" s="86"/>
      <x:c r="P1027" s="32"/>
    </x:row>
    <x:row r="1028">
      <x:c r="A1028" s="87"/>
      <x:c r="D1028" s="32"/>
      <x:c r="I1028" s="74"/>
      <x:c r="J1028" s="74"/>
      <x:c r="K1028" s="74"/>
      <x:c r="L1028" s="74"/>
      <x:c r="M1028" s="85"/>
      <x:c r="O1028" s="86"/>
      <x:c r="P1028" s="32"/>
    </x:row>
    <x:row r="1029">
      <x:c r="A1029" s="87"/>
      <x:c r="D1029" s="32"/>
      <x:c r="I1029" s="74"/>
      <x:c r="J1029" s="74"/>
      <x:c r="K1029" s="74"/>
      <x:c r="L1029" s="74"/>
      <x:c r="M1029" s="85"/>
      <x:c r="O1029" s="86"/>
      <x:c r="P1029" s="32"/>
    </x:row>
    <x:row r="1030">
      <x:c r="A1030" s="87"/>
      <x:c r="D1030" s="32"/>
      <x:c r="I1030" s="74"/>
      <x:c r="J1030" s="74"/>
      <x:c r="K1030" s="74"/>
      <x:c r="L1030" s="74"/>
      <x:c r="M1030" s="85"/>
      <x:c r="O1030" s="86"/>
      <x:c r="P1030" s="32"/>
    </x:row>
    <x:row r="1031">
      <x:c r="A1031" s="87"/>
      <x:c r="D1031" s="32"/>
      <x:c r="I1031" s="74"/>
      <x:c r="J1031" s="74"/>
      <x:c r="K1031" s="74"/>
      <x:c r="L1031" s="74"/>
      <x:c r="M1031" s="85"/>
      <x:c r="O1031" s="86"/>
      <x:c r="P1031" s="32"/>
    </x:row>
    <x:row r="1032">
      <x:c r="A1032" s="87"/>
      <x:c r="D1032" s="32"/>
      <x:c r="I1032" s="74"/>
      <x:c r="J1032" s="74"/>
      <x:c r="K1032" s="74"/>
      <x:c r="L1032" s="74"/>
      <x:c r="M1032" s="85"/>
      <x:c r="O1032" s="86"/>
      <x:c r="P1032" s="32"/>
    </x:row>
    <x:row r="1033">
      <x:c r="A1033" s="87"/>
      <x:c r="D1033" s="32"/>
      <x:c r="I1033" s="74"/>
      <x:c r="J1033" s="74"/>
      <x:c r="K1033" s="74"/>
      <x:c r="L1033" s="74"/>
      <x:c r="M1033" s="85"/>
      <x:c r="O1033" s="86"/>
      <x:c r="P1033" s="32"/>
    </x:row>
    <x:row r="1034">
      <x:c r="A1034" s="87"/>
      <x:c r="D1034" s="32"/>
      <x:c r="I1034" s="74"/>
      <x:c r="J1034" s="74"/>
      <x:c r="K1034" s="74"/>
      <x:c r="L1034" s="74"/>
      <x:c r="M1034" s="85"/>
      <x:c r="O1034" s="86"/>
      <x:c r="P1034" s="32"/>
    </x:row>
    <x:row r="1035">
      <x:c r="A1035" s="87"/>
      <x:c r="D1035" s="32"/>
      <x:c r="I1035" s="74"/>
      <x:c r="J1035" s="74"/>
      <x:c r="K1035" s="74"/>
      <x:c r="L1035" s="74"/>
      <x:c r="M1035" s="85"/>
      <x:c r="O1035" s="86"/>
      <x:c r="P1035" s="32"/>
    </x:row>
    <x:row r="1036">
      <x:c r="A1036" s="87"/>
      <x:c r="D1036" s="32"/>
      <x:c r="I1036" s="74"/>
      <x:c r="J1036" s="74"/>
      <x:c r="K1036" s="74"/>
      <x:c r="L1036" s="74"/>
      <x:c r="M1036" s="85"/>
      <x:c r="O1036" s="86"/>
      <x:c r="P1036" s="32"/>
    </x:row>
    <x:row r="1037">
      <x:c r="A1037" s="87"/>
      <x:c r="D1037" s="32"/>
      <x:c r="I1037" s="74"/>
      <x:c r="J1037" s="74"/>
      <x:c r="K1037" s="74"/>
      <x:c r="L1037" s="74"/>
      <x:c r="M1037" s="85"/>
      <x:c r="O1037" s="86"/>
      <x:c r="P1037" s="32"/>
    </x:row>
    <x:row r="1038">
      <x:c r="A1038" s="87"/>
      <x:c r="D1038" s="32"/>
      <x:c r="I1038" s="74"/>
      <x:c r="J1038" s="74"/>
      <x:c r="K1038" s="74"/>
      <x:c r="L1038" s="74"/>
      <x:c r="M1038" s="85"/>
      <x:c r="O1038" s="86"/>
      <x:c r="P1038" s="32"/>
    </x:row>
    <x:row r="1039">
      <x:c r="A1039" s="87"/>
      <x:c r="D1039" s="32"/>
      <x:c r="I1039" s="74"/>
      <x:c r="J1039" s="74"/>
      <x:c r="K1039" s="74"/>
      <x:c r="L1039" s="74"/>
      <x:c r="M1039" s="85"/>
      <x:c r="O1039" s="86"/>
      <x:c r="P1039" s="32"/>
    </x:row>
    <x:row r="1040">
      <x:c r="A1040" s="87"/>
      <x:c r="D1040" s="32"/>
      <x:c r="I1040" s="74"/>
      <x:c r="J1040" s="74"/>
      <x:c r="K1040" s="74"/>
      <x:c r="L1040" s="74"/>
      <x:c r="M1040" s="85"/>
      <x:c r="O1040" s="86"/>
      <x:c r="P1040" s="32"/>
    </x:row>
    <x:row r="1041">
      <x:c r="A1041" s="87"/>
      <x:c r="D1041" s="32"/>
      <x:c r="I1041" s="74"/>
      <x:c r="J1041" s="74"/>
      <x:c r="K1041" s="74"/>
      <x:c r="L1041" s="74"/>
      <x:c r="M1041" s="85"/>
      <x:c r="O1041" s="86"/>
      <x:c r="P1041" s="32"/>
    </x:row>
    <x:row r="1042">
      <x:c r="A1042" s="87"/>
      <x:c r="D1042" s="32"/>
      <x:c r="I1042" s="74"/>
      <x:c r="J1042" s="74"/>
      <x:c r="K1042" s="74"/>
      <x:c r="L1042" s="74"/>
      <x:c r="M1042" s="85"/>
      <x:c r="O1042" s="86"/>
      <x:c r="P1042" s="32"/>
    </x:row>
    <x:row r="1043">
      <x:c r="A1043" s="87"/>
      <x:c r="D1043" s="32"/>
      <x:c r="I1043" s="74"/>
      <x:c r="J1043" s="74"/>
      <x:c r="K1043" s="74"/>
      <x:c r="L1043" s="74"/>
      <x:c r="M1043" s="85"/>
      <x:c r="O1043" s="86"/>
      <x:c r="P1043" s="32"/>
    </x:row>
    <x:row r="1044">
      <x:c r="A1044" s="87"/>
      <x:c r="D1044" s="32"/>
      <x:c r="I1044" s="74"/>
      <x:c r="J1044" s="74"/>
      <x:c r="K1044" s="74"/>
      <x:c r="L1044" s="74"/>
      <x:c r="M1044" s="85"/>
      <x:c r="O1044" s="86"/>
      <x:c r="P1044" s="32"/>
    </x:row>
    <x:row r="1045">
      <x:c r="A1045" s="87"/>
      <x:c r="D1045" s="32"/>
      <x:c r="I1045" s="74"/>
      <x:c r="J1045" s="74"/>
      <x:c r="K1045" s="74"/>
      <x:c r="L1045" s="74"/>
      <x:c r="M1045" s="85"/>
      <x:c r="O1045" s="86"/>
      <x:c r="P1045" s="32"/>
    </x:row>
    <x:row r="1046">
      <x:c r="A1046" s="87"/>
      <x:c r="D1046" s="32"/>
      <x:c r="I1046" s="74"/>
      <x:c r="J1046" s="74"/>
      <x:c r="K1046" s="74"/>
      <x:c r="L1046" s="74"/>
      <x:c r="M1046" s="85"/>
      <x:c r="O1046" s="86"/>
      <x:c r="P1046" s="32"/>
    </x:row>
    <x:row r="1047">
      <x:c r="A1047" s="87"/>
      <x:c r="D1047" s="32"/>
      <x:c r="I1047" s="74"/>
      <x:c r="J1047" s="74"/>
      <x:c r="K1047" s="74"/>
      <x:c r="L1047" s="74"/>
      <x:c r="M1047" s="85"/>
      <x:c r="O1047" s="86"/>
      <x:c r="P1047" s="32"/>
    </x:row>
    <x:row r="1048">
      <x:c r="A1048" s="87"/>
      <x:c r="D1048" s="32"/>
      <x:c r="I1048" s="74"/>
      <x:c r="J1048" s="74"/>
      <x:c r="K1048" s="74"/>
      <x:c r="L1048" s="74"/>
      <x:c r="M1048" s="85"/>
      <x:c r="O1048" s="86"/>
      <x:c r="P1048" s="32"/>
    </x:row>
    <x:row r="1049">
      <x:c r="A1049" s="87"/>
      <x:c r="D1049" s="32"/>
      <x:c r="I1049" s="74"/>
      <x:c r="J1049" s="74"/>
      <x:c r="K1049" s="74"/>
      <x:c r="L1049" s="74"/>
      <x:c r="M1049" s="85"/>
      <x:c r="O1049" s="86"/>
      <x:c r="P1049" s="32"/>
    </x:row>
    <x:row r="1050">
      <x:c r="A1050" s="87"/>
      <x:c r="D1050" s="32"/>
      <x:c r="I1050" s="74"/>
      <x:c r="J1050" s="74"/>
      <x:c r="K1050" s="74"/>
      <x:c r="L1050" s="74"/>
      <x:c r="M1050" s="85"/>
      <x:c r="O1050" s="86"/>
      <x:c r="P1050" s="32"/>
    </x:row>
    <x:row r="1051">
      <x:c r="A1051" s="87"/>
      <x:c r="D1051" s="32"/>
      <x:c r="I1051" s="74"/>
      <x:c r="J1051" s="74"/>
      <x:c r="K1051" s="74"/>
      <x:c r="L1051" s="74"/>
      <x:c r="M1051" s="85"/>
      <x:c r="O1051" s="86"/>
      <x:c r="P1051" s="32"/>
    </x:row>
    <x:row r="1052">
      <x:c r="A1052" s="87"/>
      <x:c r="D1052" s="32"/>
      <x:c r="I1052" s="74"/>
      <x:c r="J1052" s="74"/>
      <x:c r="K1052" s="74"/>
      <x:c r="L1052" s="74"/>
      <x:c r="M1052" s="85"/>
      <x:c r="O1052" s="86"/>
      <x:c r="P1052" s="32"/>
    </x:row>
    <x:row r="1053">
      <x:c r="A1053" s="87"/>
      <x:c r="D1053" s="32"/>
      <x:c r="I1053" s="74"/>
      <x:c r="J1053" s="74"/>
      <x:c r="K1053" s="74"/>
      <x:c r="L1053" s="74"/>
      <x:c r="M1053" s="85"/>
      <x:c r="O1053" s="86"/>
      <x:c r="P1053" s="32"/>
    </x:row>
    <x:row r="1054">
      <x:c r="A1054" s="87"/>
      <x:c r="D1054" s="32"/>
      <x:c r="I1054" s="74"/>
      <x:c r="J1054" s="74"/>
      <x:c r="K1054" s="74"/>
      <x:c r="L1054" s="74"/>
      <x:c r="M1054" s="85"/>
      <x:c r="O1054" s="86"/>
      <x:c r="P1054" s="32"/>
    </x:row>
    <x:row r="1055">
      <x:c r="A1055" s="87"/>
      <x:c r="D1055" s="32"/>
      <x:c r="I1055" s="74"/>
      <x:c r="J1055" s="74"/>
      <x:c r="K1055" s="74"/>
      <x:c r="L1055" s="74"/>
      <x:c r="M1055" s="85"/>
      <x:c r="O1055" s="86"/>
      <x:c r="P1055" s="32"/>
    </x:row>
    <x:row r="1056">
      <x:c r="A1056" s="87"/>
      <x:c r="D1056" s="32"/>
      <x:c r="I1056" s="74"/>
      <x:c r="J1056" s="74"/>
      <x:c r="K1056" s="74"/>
      <x:c r="L1056" s="74"/>
      <x:c r="M1056" s="85"/>
      <x:c r="O1056" s="86"/>
      <x:c r="P1056" s="32"/>
    </x:row>
    <x:row r="1057">
      <x:c r="A1057" s="87"/>
      <x:c r="D1057" s="32"/>
      <x:c r="I1057" s="74"/>
      <x:c r="J1057" s="74"/>
      <x:c r="K1057" s="74"/>
      <x:c r="L1057" s="74"/>
      <x:c r="M1057" s="85"/>
      <x:c r="O1057" s="86"/>
      <x:c r="P1057" s="32"/>
    </x:row>
    <x:row r="1058">
      <x:c r="A1058" s="87"/>
      <x:c r="D1058" s="32"/>
      <x:c r="I1058" s="74"/>
      <x:c r="J1058" s="74"/>
      <x:c r="K1058" s="74"/>
      <x:c r="L1058" s="74"/>
      <x:c r="M1058" s="85"/>
      <x:c r="O1058" s="86"/>
      <x:c r="P1058" s="32"/>
    </x:row>
    <x:row r="1059">
      <x:c r="A1059" s="87"/>
      <x:c r="D1059" s="32"/>
      <x:c r="I1059" s="74"/>
      <x:c r="J1059" s="74"/>
      <x:c r="K1059" s="74"/>
      <x:c r="L1059" s="74"/>
      <x:c r="M1059" s="85"/>
      <x:c r="O1059" s="86"/>
      <x:c r="P1059" s="32"/>
    </x:row>
    <x:row r="1060">
      <x:c r="A1060" s="87"/>
      <x:c r="D1060" s="32"/>
      <x:c r="I1060" s="74"/>
      <x:c r="J1060" s="74"/>
      <x:c r="K1060" s="74"/>
      <x:c r="L1060" s="74"/>
      <x:c r="M1060" s="85"/>
      <x:c r="O1060" s="86"/>
      <x:c r="P1060" s="32"/>
    </x:row>
    <x:row r="1061">
      <x:c r="A1061" s="87"/>
      <x:c r="D1061" s="32"/>
      <x:c r="I1061" s="74"/>
      <x:c r="J1061" s="74"/>
      <x:c r="K1061" s="74"/>
      <x:c r="L1061" s="74"/>
      <x:c r="M1061" s="85"/>
      <x:c r="O1061" s="86"/>
      <x:c r="P1061" s="32"/>
    </x:row>
    <x:row r="1062">
      <x:c r="A1062" s="87"/>
      <x:c r="D1062" s="32"/>
      <x:c r="I1062" s="74"/>
      <x:c r="J1062" s="74"/>
      <x:c r="K1062" s="74"/>
      <x:c r="L1062" s="74"/>
      <x:c r="M1062" s="85"/>
      <x:c r="O1062" s="86"/>
      <x:c r="P1062" s="32"/>
    </x:row>
    <x:row r="1063">
      <x:c r="A1063" s="87"/>
      <x:c r="D1063" s="32"/>
      <x:c r="I1063" s="74"/>
      <x:c r="J1063" s="74"/>
      <x:c r="K1063" s="74"/>
      <x:c r="L1063" s="74"/>
      <x:c r="M1063" s="85"/>
      <x:c r="O1063" s="86"/>
      <x:c r="P1063" s="32"/>
    </x:row>
    <x:row r="1064">
      <x:c r="A1064" s="87"/>
      <x:c r="D1064" s="32"/>
      <x:c r="I1064" s="74"/>
      <x:c r="J1064" s="74"/>
      <x:c r="K1064" s="74"/>
      <x:c r="L1064" s="74"/>
      <x:c r="M1064" s="85"/>
      <x:c r="O1064" s="86"/>
      <x:c r="P1064" s="32"/>
    </x:row>
    <x:row r="1065">
      <x:c r="A1065" s="87"/>
      <x:c r="D1065" s="32"/>
      <x:c r="I1065" s="74"/>
      <x:c r="J1065" s="74"/>
      <x:c r="K1065" s="74"/>
      <x:c r="L1065" s="74"/>
      <x:c r="M1065" s="85"/>
      <x:c r="O1065" s="86"/>
      <x:c r="P1065" s="32"/>
    </x:row>
    <x:row r="1066">
      <x:c r="A1066" s="87"/>
      <x:c r="D1066" s="32"/>
      <x:c r="I1066" s="74"/>
      <x:c r="J1066" s="74"/>
      <x:c r="K1066" s="74"/>
      <x:c r="L1066" s="74"/>
      <x:c r="M1066" s="85"/>
      <x:c r="O1066" s="86"/>
      <x:c r="P1066" s="32"/>
    </x:row>
    <x:row r="1067">
      <x:c r="A1067" s="87"/>
      <x:c r="D1067" s="32"/>
      <x:c r="I1067" s="74"/>
      <x:c r="J1067" s="74"/>
      <x:c r="K1067" s="74"/>
      <x:c r="L1067" s="74"/>
      <x:c r="M1067" s="85"/>
      <x:c r="O1067" s="86"/>
      <x:c r="P1067" s="32"/>
    </x:row>
    <x:row r="1068">
      <x:c r="A1068" s="87"/>
      <x:c r="D1068" s="32"/>
      <x:c r="I1068" s="74"/>
      <x:c r="J1068" s="74"/>
      <x:c r="K1068" s="74"/>
      <x:c r="L1068" s="74"/>
      <x:c r="M1068" s="85"/>
      <x:c r="O1068" s="86"/>
      <x:c r="P1068" s="32"/>
    </x:row>
    <x:row r="1069">
      <x:c r="A1069" s="87"/>
      <x:c r="D1069" s="32"/>
      <x:c r="I1069" s="74"/>
      <x:c r="J1069" s="74"/>
      <x:c r="K1069" s="74"/>
      <x:c r="L1069" s="74"/>
      <x:c r="M1069" s="85"/>
      <x:c r="O1069" s="86"/>
      <x:c r="P1069" s="32"/>
    </x:row>
    <x:row r="1070">
      <x:c r="A1070" s="87"/>
      <x:c r="D1070" s="32"/>
      <x:c r="I1070" s="74"/>
      <x:c r="J1070" s="74"/>
      <x:c r="K1070" s="74"/>
      <x:c r="L1070" s="74"/>
      <x:c r="M1070" s="85"/>
      <x:c r="O1070" s="86"/>
      <x:c r="P1070" s="32"/>
    </x:row>
    <x:row r="1071">
      <x:c r="A1071" s="87"/>
      <x:c r="D1071" s="32"/>
      <x:c r="I1071" s="74"/>
      <x:c r="J1071" s="74"/>
      <x:c r="K1071" s="74"/>
      <x:c r="L1071" s="74"/>
      <x:c r="M1071" s="85"/>
      <x:c r="O1071" s="86"/>
      <x:c r="P1071" s="32"/>
    </x:row>
    <x:row r="1072">
      <x:c r="A1072" s="87"/>
      <x:c r="D1072" s="32"/>
      <x:c r="I1072" s="74"/>
      <x:c r="J1072" s="74"/>
      <x:c r="K1072" s="74"/>
      <x:c r="L1072" s="74"/>
      <x:c r="M1072" s="85"/>
      <x:c r="O1072" s="86"/>
      <x:c r="P1072" s="32"/>
    </x:row>
    <x:row r="1073">
      <x:c r="A1073" s="87"/>
      <x:c r="D1073" s="32"/>
      <x:c r="I1073" s="74"/>
      <x:c r="J1073" s="74"/>
      <x:c r="K1073" s="74"/>
      <x:c r="L1073" s="74"/>
      <x:c r="M1073" s="85"/>
      <x:c r="O1073" s="86"/>
      <x:c r="P1073" s="32"/>
    </x:row>
    <x:row r="1074">
      <x:c r="A1074" s="87"/>
      <x:c r="D1074" s="32"/>
      <x:c r="I1074" s="74"/>
      <x:c r="J1074" s="74"/>
      <x:c r="K1074" s="74"/>
      <x:c r="L1074" s="74"/>
      <x:c r="M1074" s="85"/>
      <x:c r="O1074" s="86"/>
      <x:c r="P1074" s="32"/>
    </x:row>
    <x:row r="1075">
      <x:c r="A1075" s="87"/>
      <x:c r="D1075" s="32"/>
      <x:c r="I1075" s="74"/>
      <x:c r="J1075" s="74"/>
      <x:c r="K1075" s="74"/>
      <x:c r="L1075" s="74"/>
      <x:c r="M1075" s="85"/>
      <x:c r="O1075" s="86"/>
      <x:c r="P1075" s="32"/>
    </x:row>
    <x:row r="1076">
      <x:c r="A1076" s="87"/>
      <x:c r="D1076" s="32"/>
      <x:c r="I1076" s="74"/>
      <x:c r="J1076" s="74"/>
      <x:c r="K1076" s="74"/>
      <x:c r="L1076" s="74"/>
      <x:c r="M1076" s="85"/>
      <x:c r="O1076" s="86"/>
      <x:c r="P1076" s="32"/>
    </x:row>
    <x:row r="1077">
      <x:c r="A1077" s="87"/>
      <x:c r="D1077" s="32"/>
      <x:c r="I1077" s="74"/>
      <x:c r="J1077" s="74"/>
      <x:c r="K1077" s="74"/>
      <x:c r="L1077" s="74"/>
      <x:c r="M1077" s="85"/>
      <x:c r="O1077" s="86"/>
      <x:c r="P1077" s="32"/>
    </x:row>
    <x:row r="1078">
      <x:c r="A1078" s="87"/>
      <x:c r="D1078" s="32"/>
      <x:c r="I1078" s="74"/>
      <x:c r="J1078" s="74"/>
      <x:c r="K1078" s="74"/>
      <x:c r="L1078" s="74"/>
      <x:c r="M1078" s="85"/>
      <x:c r="O1078" s="86"/>
      <x:c r="P1078" s="32"/>
    </x:row>
    <x:row r="1079">
      <x:c r="A1079" s="87"/>
      <x:c r="D1079" s="32"/>
      <x:c r="I1079" s="74"/>
      <x:c r="J1079" s="74"/>
      <x:c r="K1079" s="74"/>
      <x:c r="L1079" s="74"/>
      <x:c r="M1079" s="85"/>
      <x:c r="O1079" s="86"/>
      <x:c r="P1079" s="32"/>
    </x:row>
    <x:row r="1080">
      <x:c r="A1080" s="87"/>
      <x:c r="D1080" s="32"/>
      <x:c r="I1080" s="74"/>
      <x:c r="J1080" s="74"/>
      <x:c r="K1080" s="74"/>
      <x:c r="L1080" s="74"/>
      <x:c r="M1080" s="85"/>
      <x:c r="O1080" s="86"/>
      <x:c r="P1080" s="32"/>
    </x:row>
    <x:row r="1081">
      <x:c r="A1081" s="87"/>
      <x:c r="D1081" s="32"/>
      <x:c r="I1081" s="74"/>
      <x:c r="J1081" s="74"/>
      <x:c r="K1081" s="74"/>
      <x:c r="L1081" s="74"/>
      <x:c r="M1081" s="85"/>
      <x:c r="O1081" s="86"/>
      <x:c r="P1081" s="32"/>
    </x:row>
    <x:row r="1082">
      <x:c r="A1082" s="87"/>
      <x:c r="D1082" s="32"/>
      <x:c r="I1082" s="74"/>
      <x:c r="J1082" s="74"/>
      <x:c r="K1082" s="74"/>
      <x:c r="L1082" s="74"/>
      <x:c r="M1082" s="85"/>
      <x:c r="O1082" s="86"/>
      <x:c r="P1082" s="32"/>
    </x:row>
    <x:row r="1083">
      <x:c r="A1083" s="87"/>
      <x:c r="D1083" s="32"/>
      <x:c r="I1083" s="74"/>
      <x:c r="J1083" s="74"/>
      <x:c r="K1083" s="74"/>
      <x:c r="L1083" s="74"/>
      <x:c r="M1083" s="85"/>
      <x:c r="O1083" s="86"/>
      <x:c r="P1083" s="32"/>
    </x:row>
    <x:row r="1084">
      <x:c r="A1084" s="87"/>
      <x:c r="D1084" s="32"/>
      <x:c r="I1084" s="74"/>
      <x:c r="J1084" s="74"/>
      <x:c r="K1084" s="74"/>
      <x:c r="L1084" s="74"/>
      <x:c r="M1084" s="85"/>
      <x:c r="O1084" s="86"/>
      <x:c r="P1084" s="32"/>
    </x:row>
    <x:row r="1085">
      <x:c r="A1085" s="87"/>
      <x:c r="D1085" s="32"/>
      <x:c r="I1085" s="74"/>
      <x:c r="J1085" s="74"/>
      <x:c r="K1085" s="74"/>
      <x:c r="L1085" s="74"/>
      <x:c r="M1085" s="85"/>
      <x:c r="O1085" s="86"/>
      <x:c r="P1085" s="32"/>
    </x:row>
    <x:row r="1086">
      <x:c r="A1086" s="87"/>
      <x:c r="D1086" s="32"/>
      <x:c r="I1086" s="74"/>
      <x:c r="J1086" s="74"/>
      <x:c r="K1086" s="74"/>
      <x:c r="L1086" s="74"/>
      <x:c r="M1086" s="85"/>
      <x:c r="O1086" s="86"/>
      <x:c r="P1086" s="32"/>
    </x:row>
    <x:row r="1087">
      <x:c r="A1087" s="87"/>
      <x:c r="D1087" s="32"/>
      <x:c r="I1087" s="74"/>
      <x:c r="J1087" s="74"/>
      <x:c r="K1087" s="74"/>
      <x:c r="L1087" s="74"/>
      <x:c r="M1087" s="85"/>
      <x:c r="O1087" s="86"/>
      <x:c r="P1087" s="32"/>
    </x:row>
    <x:row r="1088">
      <x:c r="A1088" s="87"/>
      <x:c r="D1088" s="32"/>
      <x:c r="I1088" s="74"/>
      <x:c r="J1088" s="74"/>
      <x:c r="K1088" s="74"/>
      <x:c r="L1088" s="74"/>
      <x:c r="M1088" s="85"/>
      <x:c r="O1088" s="86"/>
      <x:c r="P1088" s="32"/>
    </x:row>
    <x:row r="1089">
      <x:c r="A1089" s="87"/>
      <x:c r="D1089" s="32"/>
      <x:c r="I1089" s="74"/>
      <x:c r="J1089" s="74"/>
      <x:c r="K1089" s="74"/>
      <x:c r="L1089" s="74"/>
      <x:c r="M1089" s="85"/>
      <x:c r="O1089" s="86"/>
      <x:c r="P1089" s="32"/>
    </x:row>
    <x:row r="1090">
      <x:c r="A1090" s="87"/>
      <x:c r="D1090" s="32"/>
      <x:c r="I1090" s="74"/>
      <x:c r="J1090" s="74"/>
      <x:c r="K1090" s="74"/>
      <x:c r="L1090" s="74"/>
      <x:c r="M1090" s="85"/>
      <x:c r="O1090" s="86"/>
      <x:c r="P1090" s="32"/>
    </x:row>
    <x:row r="1091">
      <x:c r="A1091" s="87"/>
      <x:c r="D1091" s="32"/>
      <x:c r="I1091" s="74"/>
      <x:c r="J1091" s="74"/>
      <x:c r="K1091" s="74"/>
      <x:c r="L1091" s="74"/>
      <x:c r="M1091" s="85"/>
      <x:c r="O1091" s="86"/>
      <x:c r="P1091" s="32"/>
    </x:row>
    <x:row r="1092">
      <x:c r="A1092" s="87"/>
      <x:c r="D1092" s="32"/>
      <x:c r="I1092" s="74"/>
      <x:c r="J1092" s="74"/>
      <x:c r="K1092" s="74"/>
      <x:c r="L1092" s="74"/>
      <x:c r="M1092" s="85"/>
      <x:c r="O1092" s="86"/>
      <x:c r="P1092" s="32"/>
    </x:row>
    <x:row r="1093">
      <x:c r="A1093" s="87"/>
      <x:c r="D1093" s="32"/>
      <x:c r="I1093" s="74"/>
      <x:c r="J1093" s="74"/>
      <x:c r="K1093" s="74"/>
      <x:c r="L1093" s="74"/>
      <x:c r="M1093" s="85"/>
      <x:c r="O1093" s="86"/>
      <x:c r="P1093" s="32"/>
    </x:row>
    <x:row r="1094">
      <x:c r="A1094" s="87"/>
      <x:c r="D1094" s="32"/>
      <x:c r="I1094" s="74"/>
      <x:c r="J1094" s="74"/>
      <x:c r="K1094" s="74"/>
      <x:c r="L1094" s="74"/>
      <x:c r="M1094" s="85"/>
      <x:c r="O1094" s="86"/>
      <x:c r="P1094" s="32"/>
    </x:row>
    <x:row r="1095">
      <x:c r="A1095" s="87"/>
      <x:c r="D1095" s="32"/>
      <x:c r="I1095" s="74"/>
      <x:c r="J1095" s="74"/>
      <x:c r="K1095" s="74"/>
      <x:c r="L1095" s="74"/>
      <x:c r="M1095" s="85"/>
      <x:c r="O1095" s="86"/>
      <x:c r="P1095" s="32"/>
    </x:row>
  </x:sheetData>
  <x:conditionalFormatting sqref="M2:M115">
    <x:cfRule type="expression" dxfId="0" priority="1">
      <x:formula>$O2="Done"</x:formula>
    </x:cfRule>
  </x:conditionalFormatting>
  <x:conditionalFormatting sqref="M2:M115">
    <x:cfRule type="expression" dxfId="1" priority="2">
      <x:formula>AND(NOT($O2="Done"), OR($P2="Đã CK Anh", $P2="Đã CK Em"))</x:formula>
    </x:cfRule>
  </x:conditionalFormatting>
  <x:conditionalFormatting sqref="A79:N79 A81:A81 A84:A84 A86:A86 A88:A115">
    <x:cfRule type="expression" dxfId="1" priority="3">
      <x:formula>AND(NOT($N79="Done"), OR($O79="Đã CK Anh", $O79="Đã CK Em"))</x:formula>
    </x:cfRule>
  </x:conditionalFormatting>
  <x:conditionalFormatting sqref="A79:N79 A81:A81 A84:A84 A86:A86 A88:A115">
    <x:cfRule type="expression" dxfId="0" priority="4">
      <x:formula>$N79="Done"</x:formula>
    </x:cfRule>
  </x:conditionalFormatting>
  <x:conditionalFormatting sqref="A116:B117">
    <x:cfRule type="expression" dxfId="0" priority="5">
      <x:formula>$K116="Done"</x:formula>
    </x:cfRule>
  </x:conditionalFormatting>
  <x:conditionalFormatting sqref="A116:B117">
    <x:cfRule type="expression" dxfId="1" priority="6">
      <x:formula>AND(NOT($K116="Done"), OR($L116="Đã CK Anh", $L116="Đã CK Em"))</x:formula>
    </x:cfRule>
  </x:conditionalFormatting>
  <x:conditionalFormatting sqref="A2:A1095 B2:L78 M2:M1095 N2:N78 B80:L1095 N80:N1095">
    <x:cfRule type="expression" dxfId="0" priority="7">
      <x:formula>$N2="Done"</x:formula>
    </x:cfRule>
  </x:conditionalFormatting>
  <x:conditionalFormatting sqref="A2:A1095 B2:L78 M2:M1095 N2:N78 B80:L1095 N80:N1095">
    <x:cfRule type="expression" dxfId="1" priority="8">
      <x:formula>AND(NOT($N2="Done"), OR($O2="Đã CK Anh", $O2="Đã CK Em"))</x:formula>
    </x:cfRule>
  </x:conditionalFormatting>
  <x:dataValidations count="1">
    <x:dataValidation type="list" allowBlank="1" showErrorMessage="1" sqref="O2:O1095">
      <x:formula1>"Chưa CK,Đã CK Anh,Đã CK Em"</x:formula1>
    </x:dataValidation>
  </x:dataValidations>
  <x:hyperlinks>
    <x:hyperlink xmlns:r="http://schemas.openxmlformats.org/officeDocument/2006/relationships" ref="D2" r:id="Rbba16dd4d3ac4cdc"/>
    <x:hyperlink xmlns:r="http://schemas.openxmlformats.org/officeDocument/2006/relationships" ref="D3" r:id="Ref961ae0be124a28"/>
    <x:hyperlink xmlns:r="http://schemas.openxmlformats.org/officeDocument/2006/relationships" ref="D4" r:id="Rf321cd333e9a4ed4"/>
    <x:hyperlink xmlns:r="http://schemas.openxmlformats.org/officeDocument/2006/relationships" ref="D5" r:id="R55548badd7724ef7"/>
    <x:hyperlink xmlns:r="http://schemas.openxmlformats.org/officeDocument/2006/relationships" ref="D6" r:id="Rc2cb4d8253784449"/>
    <x:hyperlink xmlns:r="http://schemas.openxmlformats.org/officeDocument/2006/relationships" ref="D7" r:id="Rfa75b74ec5aa4339"/>
    <x:hyperlink xmlns:r="http://schemas.openxmlformats.org/officeDocument/2006/relationships" ref="D8" r:id="Re7921759a85f42cf"/>
    <x:hyperlink xmlns:r="http://schemas.openxmlformats.org/officeDocument/2006/relationships" ref="D9" r:id="Rcd5d4e349fe7417b"/>
    <x:hyperlink xmlns:r="http://schemas.openxmlformats.org/officeDocument/2006/relationships" ref="D10" r:id="Rdafc0303ad9b4578"/>
    <x:hyperlink xmlns:r="http://schemas.openxmlformats.org/officeDocument/2006/relationships" ref="D11" r:id="Re38cf37108a84cc6"/>
    <x:hyperlink xmlns:r="http://schemas.openxmlformats.org/officeDocument/2006/relationships" ref="D12" r:id="R69852d47ba87485a"/>
    <x:hyperlink xmlns:r="http://schemas.openxmlformats.org/officeDocument/2006/relationships" ref="D13" r:id="Rf2fd7759d58d4117"/>
    <x:hyperlink xmlns:r="http://schemas.openxmlformats.org/officeDocument/2006/relationships" ref="D14" r:id="R190f4e985d744b59"/>
    <x:hyperlink xmlns:r="http://schemas.openxmlformats.org/officeDocument/2006/relationships" ref="D15" r:id="R501316cc4bad4d39"/>
    <x:hyperlink xmlns:r="http://schemas.openxmlformats.org/officeDocument/2006/relationships" ref="D16" r:id="Rd5c65d99d47040b5"/>
    <x:hyperlink xmlns:r="http://schemas.openxmlformats.org/officeDocument/2006/relationships" ref="D17" r:id="R1100733cf55c4cc4"/>
    <x:hyperlink xmlns:r="http://schemas.openxmlformats.org/officeDocument/2006/relationships" ref="D18" r:id="R85bfd8a04c464036"/>
    <x:hyperlink xmlns:r="http://schemas.openxmlformats.org/officeDocument/2006/relationships" ref="D19" r:id="R7077562a0d174c28"/>
    <x:hyperlink xmlns:r="http://schemas.openxmlformats.org/officeDocument/2006/relationships" ref="D20" r:id="R400239affde94520"/>
    <x:hyperlink xmlns:r="http://schemas.openxmlformats.org/officeDocument/2006/relationships" ref="D21" r:id="R7ca22d1fc2384b6c"/>
    <x:hyperlink xmlns:r="http://schemas.openxmlformats.org/officeDocument/2006/relationships" ref="D22" r:id="Re3c37ec069e44124"/>
    <x:hyperlink xmlns:r="http://schemas.openxmlformats.org/officeDocument/2006/relationships" ref="D23" r:id="R2ca656dd49654a39"/>
    <x:hyperlink xmlns:r="http://schemas.openxmlformats.org/officeDocument/2006/relationships" ref="D24" r:id="Red77e7c0c0114ace"/>
    <x:hyperlink xmlns:r="http://schemas.openxmlformats.org/officeDocument/2006/relationships" ref="D25" r:id="Rceb45bc2ff8e43a4"/>
    <x:hyperlink xmlns:r="http://schemas.openxmlformats.org/officeDocument/2006/relationships" ref="D26" r:id="Ra8304f8756d24afd"/>
    <x:hyperlink xmlns:r="http://schemas.openxmlformats.org/officeDocument/2006/relationships" ref="D27" r:id="Ra2ebf046c1c34f94"/>
    <x:hyperlink xmlns:r="http://schemas.openxmlformats.org/officeDocument/2006/relationships" ref="D28" r:id="Re80394c8254f4728"/>
    <x:hyperlink xmlns:r="http://schemas.openxmlformats.org/officeDocument/2006/relationships" ref="D29" r:id="R313c86ebee574e42"/>
    <x:hyperlink xmlns:r="http://schemas.openxmlformats.org/officeDocument/2006/relationships" ref="D30" r:id="R0673783199464bb7"/>
    <x:hyperlink xmlns:r="http://schemas.openxmlformats.org/officeDocument/2006/relationships" ref="D31" r:id="R36e6974f42b641a3"/>
    <x:hyperlink xmlns:r="http://schemas.openxmlformats.org/officeDocument/2006/relationships" ref="D32" r:id="R699c17b592de4aa8"/>
    <x:hyperlink xmlns:r="http://schemas.openxmlformats.org/officeDocument/2006/relationships" ref="D33" r:id="R9a42f24d18cc4c77"/>
    <x:hyperlink xmlns:r="http://schemas.openxmlformats.org/officeDocument/2006/relationships" ref="D34" r:id="Rf270af1f2c1c4487"/>
    <x:hyperlink xmlns:r="http://schemas.openxmlformats.org/officeDocument/2006/relationships" ref="D35" r:id="R60d6582afe3546e1"/>
    <x:hyperlink xmlns:r="http://schemas.openxmlformats.org/officeDocument/2006/relationships" ref="D37" r:id="Ra5e83d219d864519"/>
    <x:hyperlink xmlns:r="http://schemas.openxmlformats.org/officeDocument/2006/relationships" ref="D38" r:id="R6b0ee901a21e4b57"/>
    <x:hyperlink xmlns:r="http://schemas.openxmlformats.org/officeDocument/2006/relationships" ref="D39" r:id="Ra2c55c91f0bb48ec"/>
    <x:hyperlink xmlns:r="http://schemas.openxmlformats.org/officeDocument/2006/relationships" ref="D40" r:id="R0398b630fa9c4273"/>
    <x:hyperlink xmlns:r="http://schemas.openxmlformats.org/officeDocument/2006/relationships" ref="D41" r:id="R49599b96e65f4daf"/>
    <x:hyperlink xmlns:r="http://schemas.openxmlformats.org/officeDocument/2006/relationships" ref="D43" r:id="R7d5386339ff940bf"/>
    <x:hyperlink xmlns:r="http://schemas.openxmlformats.org/officeDocument/2006/relationships" ref="D44" r:id="R0c8862407da94282"/>
    <x:hyperlink xmlns:r="http://schemas.openxmlformats.org/officeDocument/2006/relationships" ref="D45" r:id="R9f320d7fddc04c31"/>
    <x:hyperlink xmlns:r="http://schemas.openxmlformats.org/officeDocument/2006/relationships" ref="D46" r:id="Ra20ba4c6d75f4647"/>
    <x:hyperlink xmlns:r="http://schemas.openxmlformats.org/officeDocument/2006/relationships" ref="D47" r:id="R4b668ef2bff04cfc"/>
    <x:hyperlink xmlns:r="http://schemas.openxmlformats.org/officeDocument/2006/relationships" ref="D48" r:id="R304da8fb17804883"/>
    <x:hyperlink xmlns:r="http://schemas.openxmlformats.org/officeDocument/2006/relationships" ref="D49" r:id="R408acd775f8946e3"/>
    <x:hyperlink xmlns:r="http://schemas.openxmlformats.org/officeDocument/2006/relationships" ref="D51" r:id="R81b681272c004b54"/>
    <x:hyperlink xmlns:r="http://schemas.openxmlformats.org/officeDocument/2006/relationships" ref="D52" r:id="R84f7283236954b2f"/>
    <x:hyperlink xmlns:r="http://schemas.openxmlformats.org/officeDocument/2006/relationships" ref="D53" r:id="R3e856c711142451b"/>
    <x:hyperlink xmlns:r="http://schemas.openxmlformats.org/officeDocument/2006/relationships" ref="D54" r:id="Rd3dd6539b7c5489c"/>
    <x:hyperlink xmlns:r="http://schemas.openxmlformats.org/officeDocument/2006/relationships" ref="D55" r:id="R251f4e8886394e9a"/>
    <x:hyperlink xmlns:r="http://schemas.openxmlformats.org/officeDocument/2006/relationships" ref="D56" r:id="Rc286bfaa2b6f4ccb"/>
    <x:hyperlink xmlns:r="http://schemas.openxmlformats.org/officeDocument/2006/relationships" ref="D57" r:id="Rf966e18fd8eb4dfc"/>
    <x:hyperlink xmlns:r="http://schemas.openxmlformats.org/officeDocument/2006/relationships" ref="D58" r:id="R980121a152094b00"/>
    <x:hyperlink xmlns:r="http://schemas.openxmlformats.org/officeDocument/2006/relationships" ref="D59" r:id="Rd51bb5d7d10f4c09"/>
    <x:hyperlink xmlns:r="http://schemas.openxmlformats.org/officeDocument/2006/relationships" ref="D60" r:id="R793730102e484344"/>
    <x:hyperlink xmlns:r="http://schemas.openxmlformats.org/officeDocument/2006/relationships" ref="D61" r:id="Rc514f6d7769e4899"/>
    <x:hyperlink xmlns:r="http://schemas.openxmlformats.org/officeDocument/2006/relationships" ref="D62" r:id="Re1841820c4144b42"/>
    <x:hyperlink xmlns:r="http://schemas.openxmlformats.org/officeDocument/2006/relationships" ref="D64" r:id="R2e59ebb0bc5a4c32"/>
    <x:hyperlink xmlns:r="http://schemas.openxmlformats.org/officeDocument/2006/relationships" ref="D65" r:id="R36c86b357f384036"/>
    <x:hyperlink xmlns:r="http://schemas.openxmlformats.org/officeDocument/2006/relationships" ref="D66" r:id="R718fd97cd91644f7"/>
    <x:hyperlink xmlns:r="http://schemas.openxmlformats.org/officeDocument/2006/relationships" ref="D67" r:id="Rafbe376ccaf5453c"/>
    <x:hyperlink xmlns:r="http://schemas.openxmlformats.org/officeDocument/2006/relationships" ref="D68" r:id="R237505233eb34e0f"/>
    <x:hyperlink xmlns:r="http://schemas.openxmlformats.org/officeDocument/2006/relationships" ref="D69" r:id="R5ebf37d623b34ff9"/>
    <x:hyperlink xmlns:r="http://schemas.openxmlformats.org/officeDocument/2006/relationships" ref="D70" r:id="R47d0e635e4324c76"/>
    <x:hyperlink xmlns:r="http://schemas.openxmlformats.org/officeDocument/2006/relationships" ref="D71" r:id="Rfc1834a95da141ee"/>
    <x:hyperlink xmlns:r="http://schemas.openxmlformats.org/officeDocument/2006/relationships" ref="D72" r:id="R082cfa61969b4e62"/>
    <x:hyperlink xmlns:r="http://schemas.openxmlformats.org/officeDocument/2006/relationships" ref="D73" r:id="R4b7e1ffb8e984520"/>
    <x:hyperlink xmlns:r="http://schemas.openxmlformats.org/officeDocument/2006/relationships" ref="D74" r:id="Rb4cc794189cc4535"/>
    <x:hyperlink xmlns:r="http://schemas.openxmlformats.org/officeDocument/2006/relationships" ref="D75" r:id="Rd9e3dcbb45ec4a6a"/>
    <x:hyperlink xmlns:r="http://schemas.openxmlformats.org/officeDocument/2006/relationships" ref="D76" r:id="R2ff9534f089a409e"/>
    <x:hyperlink xmlns:r="http://schemas.openxmlformats.org/officeDocument/2006/relationships" ref="D77" r:id="R0cfcfce1ade54e70"/>
    <x:hyperlink xmlns:r="http://schemas.openxmlformats.org/officeDocument/2006/relationships" ref="D78" r:id="R13e07bdc53864363"/>
    <x:hyperlink xmlns:r="http://schemas.openxmlformats.org/officeDocument/2006/relationships" ref="D79" r:id="R58e7325e8a904284"/>
    <x:hyperlink xmlns:r="http://schemas.openxmlformats.org/officeDocument/2006/relationships" ref="D82" r:id="R203ca924bf674f9f"/>
    <x:hyperlink xmlns:r="http://schemas.openxmlformats.org/officeDocument/2006/relationships" ref="D83" r:id="R3776221db53e4af4"/>
    <x:hyperlink xmlns:r="http://schemas.openxmlformats.org/officeDocument/2006/relationships" ref="D84" r:id="Rb219981079ee4ec4"/>
    <x:hyperlink xmlns:r="http://schemas.openxmlformats.org/officeDocument/2006/relationships" ref="D85" r:id="Raa1c30dea9194672"/>
    <x:hyperlink xmlns:r="http://schemas.openxmlformats.org/officeDocument/2006/relationships" ref="D87" r:id="Rdf39fa563db54441"/>
    <x:hyperlink xmlns:r="http://schemas.openxmlformats.org/officeDocument/2006/relationships" ref="D88" r:id="Ra8f9d4db4381412e"/>
    <x:hyperlink xmlns:r="http://schemas.openxmlformats.org/officeDocument/2006/relationships" ref="D89" r:id="Rbdeb5c8a0d6d47b8"/>
    <x:hyperlink xmlns:r="http://schemas.openxmlformats.org/officeDocument/2006/relationships" ref="D90" r:id="R2c56f2ce71ff4546"/>
    <x:hyperlink xmlns:r="http://schemas.openxmlformats.org/officeDocument/2006/relationships" ref="D91" r:id="R68b1e6be11584c4f"/>
    <x:hyperlink xmlns:r="http://schemas.openxmlformats.org/officeDocument/2006/relationships" ref="D92" r:id="R184dfbf9debb4a74"/>
    <x:hyperlink xmlns:r="http://schemas.openxmlformats.org/officeDocument/2006/relationships" ref="D93" r:id="Rff9bdd834cba4e8d"/>
    <x:hyperlink xmlns:r="http://schemas.openxmlformats.org/officeDocument/2006/relationships" ref="D94" r:id="Rf71ebc5b42d441f8"/>
    <x:hyperlink xmlns:r="http://schemas.openxmlformats.org/officeDocument/2006/relationships" ref="D95" r:id="R2692236172ac4bf8"/>
    <x:hyperlink xmlns:r="http://schemas.openxmlformats.org/officeDocument/2006/relationships" ref="D96" r:id="Rc0d1490ba25843cc"/>
    <x:hyperlink xmlns:r="http://schemas.openxmlformats.org/officeDocument/2006/relationships" ref="D97" r:id="Rd96f4e3d872e47b1"/>
    <x:hyperlink xmlns:r="http://schemas.openxmlformats.org/officeDocument/2006/relationships" ref="D100" r:id="R00c9d2bc51ec447b"/>
    <x:hyperlink xmlns:r="http://schemas.openxmlformats.org/officeDocument/2006/relationships" ref="D101" r:id="R5d13b3119e8a4877"/>
    <x:hyperlink xmlns:r="http://schemas.openxmlformats.org/officeDocument/2006/relationships" ref="D103" r:id="Rf616b09d76f54a2a"/>
    <x:hyperlink xmlns:r="http://schemas.openxmlformats.org/officeDocument/2006/relationships" ref="D106" r:id="Rad551c8540b14dbb"/>
    <x:hyperlink xmlns:r="http://schemas.openxmlformats.org/officeDocument/2006/relationships" ref="D108" r:id="R95af40ef809e4889"/>
    <x:hyperlink xmlns:r="http://schemas.openxmlformats.org/officeDocument/2006/relationships" ref="D109" r:id="R7ce2aca5856d496f"/>
    <x:hyperlink xmlns:r="http://schemas.openxmlformats.org/officeDocument/2006/relationships" ref="D111" r:id="Rebfbc1fb60f944c3"/>
    <x:hyperlink xmlns:r="http://schemas.openxmlformats.org/officeDocument/2006/relationships" ref="D112" r:id="R249258694d984652"/>
    <x:hyperlink xmlns:r="http://schemas.openxmlformats.org/officeDocument/2006/relationships" ref="D113" r:id="Rc77d4280448c40e3"/>
    <x:hyperlink xmlns:r="http://schemas.openxmlformats.org/officeDocument/2006/relationships" ref="D114" r:id="Re621c6a0dcec4110"/>
  </x:hyperlink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5" width="11.130000114440918" customWidth="1"/>
    <x:col min="6" max="6" width="10.630000114440918" customWidth="1"/>
    <x:col min="7" max="8" width="11.630000114440918" customWidth="1"/>
    <x:col min="9" max="13" width="12.380000114440918" customWidth="1"/>
    <x:col min="15" max="15" width="21.5" customWidth="1"/>
    <x:col min="16" max="16" width="18.5" customWidth="1"/>
  </x:cols>
  <x:sheetData>
    <x:row r="1" ht="21" customHeight="1">
      <x:c r="A1" s="1" t="s">
        <x:v>0</x:v>
      </x:c>
      <x:c r="B1" s="1" t="s">
        <x:v>1</x:v>
      </x:c>
      <x:c r="C1" s="1" t="s">
        <x:v>2</x:v>
      </x:c>
      <x:c r="D1" s="3" t="s">
        <x:v>3</x:v>
      </x:c>
      <x:c r="E1" s="1" t="s">
        <x:v>6</x:v>
      </x:c>
      <x:c r="F1" s="1" t="s">
        <x:v>445</x:v>
      </x:c>
      <x:c r="G1" s="1" t="s">
        <x:v>443</x:v>
      </x:c>
      <x:c r="H1" s="1" t="s">
        <x:v>9</x:v>
      </x:c>
      <x:c r="I1" s="4" t="s">
        <x:v>12</x:v>
      </x:c>
      <x:c r="J1" s="4" t="s">
        <x:v>321</x:v>
      </x:c>
      <x:c r="K1" s="4" t="s">
        <x:v>13</x:v>
      </x:c>
      <x:c r="L1" s="4" t="s">
        <x:v>1025</x:v>
      </x:c>
      <x:c r="M1" s="4" t="s">
        <x:v>1213</x:v>
      </x:c>
      <x:c r="N1" s="5" t="s">
        <x:v>21</x:v>
      </x:c>
      <x:c r="O1" s="1" t="s">
        <x:v>22</x:v>
      </x:c>
      <x:c r="P1" s="1" t="s">
        <x:v>24</x:v>
      </x:c>
      <x:c r="Q1" s="6" t="s">
        <x:v>25</x:v>
      </x:c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</x:row>
    <x:row r="2" ht="18.75" customHeight="1">
      <x:c r="A2" s="19">
        <x:v>1.0</x:v>
      </x:c>
      <x:c r="B2" s="23" t="s">
        <x:v>1214</x:v>
      </x:c>
      <x:c r="C2" s="21">
        <x:v>45627.0</x:v>
      </x:c>
      <x:c r="D2" s="22" t="s">
        <x:v>1215</x:v>
      </x:c>
      <x:c r="E2" s="23"/>
      <x:c r="F2" s="23">
        <x:v>1.0</x:v>
      </x:c>
      <x:c r="G2" s="56"/>
      <x:c r="H2" s="23"/>
      <x:c r="I2" s="25"/>
      <x:c r="J2" s="25"/>
      <x:c r="K2" s="25"/>
      <x:c r="L2" s="25"/>
      <x:c r="M2" s="25"/>
      <x:c r="N2" s="26" t="n">
        <x:f t="shared" ref="N2:N18" si="1">(E2*240+F2*240+G2*350+H2*390)*1000</x:f>
        <x:v>240000</x:v>
      </x:c>
      <x:c r="O2" s="23" t="s">
        <x:v>74</x:v>
      </x:c>
      <x:c r="P2" s="23" t="s">
        <x:v>31</x:v>
      </x:c>
      <x:c r="R2" s="28" t="s">
        <x:v>34</x:v>
      </x:c>
      <x:c r="S2" s="28" t="s">
        <x:v>31</x:v>
      </x:c>
      <x:c r="T2" s="28" t="s">
        <x:v>54</x:v>
      </x:c>
      <x:c r="U2" s="28" t="s">
        <x:v>55</x:v>
      </x:c>
    </x:row>
    <x:row r="3" ht="18.75" customHeight="1">
      <x:c r="A3" s="19">
        <x:v>2.0</x:v>
      </x:c>
      <x:c r="B3" s="23" t="s">
        <x:v>1216</x:v>
      </x:c>
      <x:c r="C3" s="21">
        <x:v>45627.0</x:v>
      </x:c>
      <x:c r="D3" s="58" t="s">
        <x:v>1217</x:v>
      </x:c>
      <x:c r="E3" s="23">
        <x:v>1.0</x:v>
      </x:c>
      <x:c r="F3" s="23"/>
      <x:c r="G3" s="56"/>
      <x:c r="H3" s="23"/>
      <x:c r="I3" s="25"/>
      <x:c r="J3" s="25"/>
      <x:c r="K3" s="25"/>
      <x:c r="L3" s="25"/>
      <x:c r="M3" s="25"/>
      <x:c r="N3" s="26">
        <x:f t="shared" si="1"/>
        <x:v>240000</x:v>
      </x:c>
      <x:c r="O3" s="23" t="s">
        <x:v>74</x:v>
      </x:c>
      <x:c r="P3" s="23" t="s">
        <x:v>31</x:v>
      </x:c>
      <x:c r="R3" s="31" t="n">
        <x:f>SUMIF(P2:P1052, "Đã CK Anh", N2:N1052)</x:f>
        <x:v>16568500</x:v>
      </x:c>
      <x:c r="S3" s="31" t="n">
        <x:f>SUMIF(P2:P1052, "Đã CK Em", N2:N1052)</x:f>
        <x:v>44143000</x:v>
      </x:c>
      <x:c r="T3" s="31" t="n">
        <x:f>R3+S3</x:f>
        <x:v>60711500</x:v>
      </x:c>
      <x:c r="U3" s="31" t="n">
        <x:f>SUMIF(P2:P1052, "Chưa CK", N2:N1052)</x:f>
        <x:v>0</x:v>
      </x:c>
    </x:row>
    <x:row r="4" ht="18.75" customHeight="1">
      <x:c r="A4" s="19">
        <x:v>3.0</x:v>
      </x:c>
      <x:c r="B4" s="23" t="s">
        <x:v>1218</x:v>
      </x:c>
      <x:c r="C4" s="21">
        <x:v>45627.0</x:v>
      </x:c>
      <x:c r="D4" s="22" t="s">
        <x:v>1219</x:v>
      </x:c>
      <x:c r="E4" s="23">
        <x:v>1.0</x:v>
      </x:c>
      <x:c r="F4" s="23"/>
      <x:c r="G4" s="56"/>
      <x:c r="H4" s="23"/>
      <x:c r="I4" s="25"/>
      <x:c r="J4" s="25"/>
      <x:c r="K4" s="25"/>
      <x:c r="L4" s="25"/>
      <x:c r="M4" s="25"/>
      <x:c r="N4" s="26">
        <x:f t="shared" si="1"/>
        <x:v>240000</x:v>
      </x:c>
      <x:c r="O4" s="23" t="s">
        <x:v>74</x:v>
      </x:c>
      <x:c r="P4" s="23" t="s">
        <x:v>31</x:v>
      </x:c>
    </x:row>
    <x:row r="5" ht="18.75" customHeight="1">
      <x:c r="A5" s="19">
        <x:v>4.0</x:v>
      </x:c>
      <x:c r="B5" s="23" t="s">
        <x:v>1220</x:v>
      </x:c>
      <x:c r="C5" s="21">
        <x:v>45627.0</x:v>
      </x:c>
      <x:c r="D5" s="22" t="s">
        <x:v>1221</x:v>
      </x:c>
      <x:c r="E5" s="23"/>
      <x:c r="F5" s="23">
        <x:v>1.0</x:v>
      </x:c>
      <x:c r="G5" s="56"/>
      <x:c r="H5" s="23"/>
      <x:c r="I5" s="25"/>
      <x:c r="J5" s="25"/>
      <x:c r="K5" s="25"/>
      <x:c r="L5" s="25"/>
      <x:c r="M5" s="25"/>
      <x:c r="N5" s="26">
        <x:f t="shared" si="1"/>
        <x:v>240000</x:v>
      </x:c>
      <x:c r="O5" s="23" t="s">
        <x:v>74</x:v>
      </x:c>
      <x:c r="P5" s="23" t="s">
        <x:v>34</x:v>
      </x:c>
    </x:row>
    <x:row r="6" ht="18.75" customHeight="1">
      <x:c r="A6" s="19">
        <x:v>5.0</x:v>
      </x:c>
      <x:c r="B6" s="23" t="s">
        <x:v>1222</x:v>
      </x:c>
      <x:c r="C6" s="21">
        <x:v>45627.0</x:v>
      </x:c>
      <x:c r="D6" s="22" t="s">
        <x:v>1223</x:v>
      </x:c>
      <x:c r="E6" s="23"/>
      <x:c r="F6" s="23">
        <x:v>1.0</x:v>
      </x:c>
      <x:c r="G6" s="56"/>
      <x:c r="H6" s="23"/>
      <x:c r="I6" s="25"/>
      <x:c r="J6" s="25"/>
      <x:c r="K6" s="25"/>
      <x:c r="L6" s="25"/>
      <x:c r="M6" s="25"/>
      <x:c r="N6" s="26">
        <x:f t="shared" si="1"/>
        <x:v>240000</x:v>
      </x:c>
      <x:c r="O6" s="23" t="s">
        <x:v>74</x:v>
      </x:c>
      <x:c r="P6" s="23" t="s">
        <x:v>31</x:v>
      </x:c>
      <x:c r="R6" s="28" t="s">
        <x:v>2</x:v>
      </x:c>
      <x:c r="S6" s="28" t="s">
        <x:v>368</x:v>
      </x:c>
      <x:c r="T6" s="28" t="s">
        <x:v>1224</x:v>
      </x:c>
      <x:c r="U6" s="28" t="s">
        <x:v>369</x:v>
      </x:c>
    </x:row>
    <x:row r="7" ht="18.75" customHeight="1">
      <x:c r="A7" s="19">
        <x:v>6.0</x:v>
      </x:c>
      <x:c r="B7" s="23" t="s">
        <x:v>603</x:v>
      </x:c>
      <x:c r="C7" s="21">
        <x:v>45627.0</x:v>
      </x:c>
      <x:c r="D7" s="22" t="s">
        <x:v>1225</x:v>
      </x:c>
      <x:c r="E7" s="23">
        <x:v>1.0</x:v>
      </x:c>
      <x:c r="F7" s="23"/>
      <x:c r="G7" s="56"/>
      <x:c r="H7" s="23"/>
      <x:c r="I7" s="25"/>
      <x:c r="J7" s="25"/>
      <x:c r="K7" s="25"/>
      <x:c r="L7" s="25"/>
      <x:c r="M7" s="25"/>
      <x:c r="N7" s="26">
        <x:f t="shared" si="1"/>
        <x:v>240000</x:v>
      </x:c>
      <x:c r="O7" s="23" t="s">
        <x:v>74</x:v>
      </x:c>
      <x:c r="P7" s="23" t="s">
        <x:v>31</x:v>
      </x:c>
      <x:c r="R7" s="33" t="n" cm="1">
        <x:f t="array" ref="R7:R21">_xlfn._xlws.SORT(_xlfn.UNIQUE(C2:C1050))</x:f>
        <x:v>45627</x:v>
      </x:c>
      <x:c r="S7" s="34" t="e">
        <x:f>IFERROR(__xludf.DUMMYFUNCTION("SUM(FILTER($E$2:$M$1052, $C2:$C1052 = R7))"),8.0)</x:f>
        <x:v>#NAME?</x:v>
      </x:c>
      <x:c r="T7" s="34" t="e">
        <x:f>IFERROR(__xludf.DUMMYFUNCTION("COUNT(FILTER($C$2:$C$1052, $C2:$C1052 = R7))"),7.0)</x:f>
        <x:v>#NAME?</x:v>
      </x:c>
      <x:c r="U7" s="31" t="n">
        <x:f t="shared" ref="U7:U20" si="2">SUMIF($C$2:$C$1052, $R7 , $N$2:$N$1052)</x:f>
        <x:v>1920000</x:v>
      </x:c>
    </x:row>
    <x:row r="8" ht="18.75" customHeight="1">
      <x:c r="A8" s="19">
        <x:v>7.0</x:v>
      </x:c>
      <x:c r="B8" s="23" t="s">
        <x:v>1226</x:v>
      </x:c>
      <x:c r="C8" s="21">
        <x:v>45627.0</x:v>
      </x:c>
      <x:c r="D8" s="22" t="s">
        <x:v>1227</x:v>
      </x:c>
      <x:c r="E8" s="23">
        <x:v>1.0</x:v>
      </x:c>
      <x:c r="F8" s="23">
        <x:v>1.0</x:v>
      </x:c>
      <x:c r="G8" s="56"/>
      <x:c r="H8" s="23"/>
      <x:c r="I8" s="25"/>
      <x:c r="J8" s="25"/>
      <x:c r="K8" s="25"/>
      <x:c r="L8" s="25"/>
      <x:c r="M8" s="25"/>
      <x:c r="N8" s="26">
        <x:f t="shared" si="1"/>
        <x:v>480000</x:v>
      </x:c>
      <x:c r="O8" s="23" t="s">
        <x:v>74</x:v>
      </x:c>
      <x:c r="P8" s="23" t="s">
        <x:v>31</x:v>
      </x:c>
      <x:c r="R8" s="33" t="n">
        <x:v>45628</x:v>
      </x:c>
      <x:c r="S8" s="34" t="e">
        <x:f>IFERROR(__xludf.DUMMYFUNCTION("SUM(FILTER($E$2:$M$1052, $C2:$C1052 = R8))"),1.0)</x:f>
        <x:v>#NAME?</x:v>
      </x:c>
      <x:c r="T8" s="34" t="e">
        <x:f>IFERROR(__xludf.DUMMYFUNCTION("COUNT(FILTER($C$2:$C$1052, $C3:$C1053 = R8))"),1.0)</x:f>
        <x:v>#NAME?</x:v>
      </x:c>
      <x:c r="U8" s="31">
        <x:f t="shared" si="2"/>
        <x:v>240000</x:v>
      </x:c>
    </x:row>
    <x:row r="9" ht="18.75" customHeight="1">
      <x:c r="A9" s="19">
        <x:v>8.0</x:v>
      </x:c>
      <x:c r="B9" s="23" t="s">
        <x:v>972</x:v>
      </x:c>
      <x:c r="C9" s="21">
        <x:v>45628.0</x:v>
      </x:c>
      <x:c r="D9" s="58" t="s">
        <x:v>1228</x:v>
      </x:c>
      <x:c r="E9" s="23">
        <x:v>1.0</x:v>
      </x:c>
      <x:c r="F9" s="23"/>
      <x:c r="G9" s="56"/>
      <x:c r="H9" s="23"/>
      <x:c r="I9" s="25"/>
      <x:c r="J9" s="25"/>
      <x:c r="K9" s="25"/>
      <x:c r="L9" s="25"/>
      <x:c r="M9" s="25"/>
      <x:c r="N9" s="26">
        <x:f t="shared" si="1"/>
        <x:v>240000</x:v>
      </x:c>
      <x:c r="O9" s="23" t="s">
        <x:v>74</x:v>
      </x:c>
      <x:c r="P9" s="23" t="s">
        <x:v>34</x:v>
      </x:c>
      <x:c r="R9" s="33" t="n">
        <x:v>45629</x:v>
      </x:c>
      <x:c r="S9" s="34" t="e">
        <x:f>IFERROR(__xludf.DUMMYFUNCTION("SUM(FILTER($E$2:$M$1052, $C2:$C1052 = R9))"),13.0)</x:f>
        <x:v>#NAME?</x:v>
      </x:c>
      <x:c r="T9" s="34" t="e">
        <x:f>IFERROR(__xludf.DUMMYFUNCTION("COUNT(FILTER($C$2:$C$1052, $C4:$C1054 = R9))"),8.0)</x:f>
        <x:v>#NAME?</x:v>
      </x:c>
      <x:c r="U9" s="31">
        <x:f t="shared" si="2"/>
        <x:v>3450000</x:v>
      </x:c>
    </x:row>
    <x:row r="10" ht="18.75" customHeight="1">
      <x:c r="A10" s="19">
        <x:v>9.0</x:v>
      </x:c>
      <x:c r="B10" s="23" t="s">
        <x:v>1229</x:v>
      </x:c>
      <x:c r="C10" s="21">
        <x:v>45629.0</x:v>
      </x:c>
      <x:c r="D10" s="22" t="s">
        <x:v>1230</x:v>
      </x:c>
      <x:c r="E10" s="23">
        <x:v>1.0</x:v>
      </x:c>
      <x:c r="F10" s="23"/>
      <x:c r="G10" s="56"/>
      <x:c r="H10" s="56"/>
      <x:c r="I10" s="25"/>
      <x:c r="J10" s="25"/>
      <x:c r="K10" s="25"/>
      <x:c r="L10" s="25"/>
      <x:c r="M10" s="25"/>
      <x:c r="N10" s="26">
        <x:f t="shared" si="1"/>
        <x:v>240000</x:v>
      </x:c>
      <x:c r="O10" s="23" t="s">
        <x:v>74</x:v>
      </x:c>
      <x:c r="P10" s="23" t="s">
        <x:v>31</x:v>
      </x:c>
      <x:c r="Q10" s="32"/>
      <x:c r="R10" s="33" t="n">
        <x:v>45631</x:v>
      </x:c>
      <x:c r="S10" s="34" t="e">
        <x:f>IFERROR(__xludf.DUMMYFUNCTION("SUM(FILTER($E$2:$M$1052, $C2:$C1052 = R10))"),2.0)</x:f>
        <x:v>#NAME?</x:v>
      </x:c>
      <x:c r="T10" s="34" t="e">
        <x:f>IFERROR(__xludf.DUMMYFUNCTION("COUNT(FILTER($C$2:$C$1052, $C5:$C1055 = R10))"),1.0)</x:f>
        <x:v>#NAME?</x:v>
      </x:c>
      <x:c r="U10" s="31">
        <x:f t="shared" si="2"/>
        <x:v>480000</x:v>
      </x:c>
    </x:row>
    <x:row r="11" ht="18.75" customHeight="1">
      <x:c r="A11" s="19">
        <x:v>10.0</x:v>
      </x:c>
      <x:c r="B11" s="23" t="s">
        <x:v>1231</x:v>
      </x:c>
      <x:c r="C11" s="21">
        <x:v>45629.0</x:v>
      </x:c>
      <x:c r="D11" s="22" t="s">
        <x:v>1232</x:v>
      </x:c>
      <x:c r="E11" s="56"/>
      <x:c r="F11" s="23">
        <x:v>1.0</x:v>
      </x:c>
      <x:c r="G11" s="23"/>
      <x:c r="H11" s="23"/>
      <x:c r="I11" s="25"/>
      <x:c r="J11" s="25"/>
      <x:c r="K11" s="25"/>
      <x:c r="L11" s="25"/>
      <x:c r="M11" s="25"/>
      <x:c r="N11" s="26">
        <x:f t="shared" si="1"/>
        <x:v>240000</x:v>
      </x:c>
      <x:c r="O11" s="23" t="s">
        <x:v>74</x:v>
      </x:c>
      <x:c r="P11" s="23" t="s">
        <x:v>34</x:v>
      </x:c>
      <x:c r="Q11" s="32"/>
      <x:c r="R11" s="33" t="n">
        <x:v>45636</x:v>
      </x:c>
      <x:c r="S11" s="34" t="e">
        <x:f>IFERROR(__xludf.DUMMYFUNCTION("SUM(FILTER($E$2:$M$1052, $C2:$C1052 = R11))"),4.0)</x:f>
        <x:v>#NAME?</x:v>
      </x:c>
      <x:c r="T11" s="34" t="e">
        <x:f>IFERROR(__xludf.DUMMYFUNCTION("COUNT(FILTER($C$2:$C$1052, $C6:$C1056 = R11))"),1.0)</x:f>
        <x:v>#NAME?</x:v>
      </x:c>
      <x:c r="U11" s="31">
        <x:f t="shared" si="2"/>
        <x:v>600000</x:v>
      </x:c>
    </x:row>
    <x:row r="12" ht="18.75" customHeight="1">
      <x:c r="A12" s="19">
        <x:v>11.0</x:v>
      </x:c>
      <x:c r="B12" s="23" t="s">
        <x:v>1233</x:v>
      </x:c>
      <x:c r="C12" s="21">
        <x:v>45629.0</x:v>
      </x:c>
      <x:c r="D12" s="58" t="s">
        <x:v>1234</x:v>
      </x:c>
      <x:c r="E12" s="56"/>
      <x:c r="F12" s="56"/>
      <x:c r="G12" s="23">
        <x:v>1.0</x:v>
      </x:c>
      <x:c r="H12" s="56"/>
      <x:c r="I12" s="25"/>
      <x:c r="J12" s="25"/>
      <x:c r="K12" s="25"/>
      <x:c r="L12" s="25"/>
      <x:c r="M12" s="25"/>
      <x:c r="N12" s="26">
        <x:f t="shared" si="1"/>
        <x:v>350000</x:v>
      </x:c>
      <x:c r="O12" s="23" t="s">
        <x:v>74</x:v>
      </x:c>
      <x:c r="P12" s="23" t="s">
        <x:v>31</x:v>
      </x:c>
      <x:c r="Q12" s="32"/>
      <x:c r="R12" s="33" t="n">
        <x:v>45647</x:v>
      </x:c>
      <x:c r="S12" s="34" t="e">
        <x:f>IFERROR(__xludf.DUMMYFUNCTION("SUM(FILTER($E$2:$M$1052, $C2:$C1052 = R12))"),3.0)</x:f>
        <x:v>#NAME?</x:v>
      </x:c>
      <x:c r="T12" s="34" t="e">
        <x:f>IFERROR(__xludf.DUMMYFUNCTION("COUNT(FILTER($C$2:$C$1052, $C7:$C1057 = R12))"),2.0)</x:f>
        <x:v>#NAME?</x:v>
      </x:c>
      <x:c r="U12" s="31">
        <x:f t="shared" si="2"/>
        <x:v>576000</x:v>
      </x:c>
    </x:row>
    <x:row r="13" ht="18.75" customHeight="1">
      <x:c r="A13" s="19">
        <x:v>12.0</x:v>
      </x:c>
      <x:c r="B13" s="23" t="s">
        <x:v>1235</x:v>
      </x:c>
      <x:c r="C13" s="21">
        <x:v>45629.0</x:v>
      </x:c>
      <x:c r="D13" s="58" t="s">
        <x:v>1236</x:v>
      </x:c>
      <x:c r="E13" s="23">
        <x:v>1.0</x:v>
      </x:c>
      <x:c r="F13" s="23">
        <x:v>1.0</x:v>
      </x:c>
      <x:c r="G13" s="56"/>
      <x:c r="H13" s="56"/>
      <x:c r="I13" s="25"/>
      <x:c r="J13" s="25"/>
      <x:c r="K13" s="25"/>
      <x:c r="L13" s="25"/>
      <x:c r="M13" s="25"/>
      <x:c r="N13" s="26">
        <x:f t="shared" si="1"/>
        <x:v>480000</x:v>
      </x:c>
      <x:c r="O13" s="23" t="s">
        <x:v>74</x:v>
      </x:c>
      <x:c r="P13" s="23" t="s">
        <x:v>34</x:v>
      </x:c>
      <x:c r="Q13" s="32"/>
      <x:c r="R13" s="33" t="n">
        <x:v>45650</x:v>
      </x:c>
      <x:c r="S13" s="34" t="e">
        <x:f>IFERROR(__xludf.DUMMYFUNCTION("SUM(FILTER($E$2:$M$1052, $C2:$C1052 = R13))"),1.0)</x:f>
        <x:v>#NAME?</x:v>
      </x:c>
      <x:c r="T13" s="34" t="e">
        <x:f>IFERROR(__xludf.DUMMYFUNCTION("COUNT(FILTER($C$2:$C$1052, $C8:$C1058 = R13))"),1.0)</x:f>
        <x:v>#NAME?</x:v>
      </x:c>
      <x:c r="U13" s="31">
        <x:f t="shared" si="2"/>
        <x:v>361000</x:v>
      </x:c>
    </x:row>
    <x:row r="14" ht="18.75" customHeight="1">
      <x:c r="A14" s="19">
        <x:v>13.0</x:v>
      </x:c>
      <x:c r="B14" s="23" t="s">
        <x:v>1237</x:v>
      </x:c>
      <x:c r="C14" s="21">
        <x:v>45629.0</x:v>
      </x:c>
      <x:c r="D14" s="22" t="s">
        <x:v>1238</x:v>
      </x:c>
      <x:c r="E14" s="23">
        <x:v>1.0</x:v>
      </x:c>
      <x:c r="F14" s="23"/>
      <x:c r="G14" s="56"/>
      <x:c r="H14" s="56"/>
      <x:c r="I14" s="25"/>
      <x:c r="J14" s="25"/>
      <x:c r="K14" s="25"/>
      <x:c r="L14" s="25"/>
      <x:c r="M14" s="25"/>
      <x:c r="N14" s="26">
        <x:f t="shared" si="1"/>
        <x:v>240000</x:v>
      </x:c>
      <x:c r="O14" s="23" t="s">
        <x:v>74</x:v>
      </x:c>
      <x:c r="P14" s="23" t="s">
        <x:v>34</x:v>
      </x:c>
      <x:c r="Q14" s="32"/>
      <x:c r="R14" s="33" t="n">
        <x:v>45651</x:v>
      </x:c>
      <x:c r="S14" s="34" t="e">
        <x:f>IFERROR(__xludf.DUMMYFUNCTION("SUM(FILTER($E$2:$M$1052, $C2:$C1052 = R14))"),22.0)</x:f>
        <x:v>#NAME?</x:v>
      </x:c>
      <x:c r="T14" s="34" t="e">
        <x:f>IFERROR(__xludf.DUMMYFUNCTION("COUNT(FILTER($C$2:$C$1052, $C9:$C1059 = R14))"),6.0)</x:f>
        <x:v>#NAME?</x:v>
      </x:c>
      <x:c r="U14" s="31">
        <x:f t="shared" si="2"/>
        <x:v>8159000</x:v>
      </x:c>
    </x:row>
    <x:row r="15" ht="18.75" customHeight="1">
      <x:c r="A15" s="19">
        <x:v>14.0</x:v>
      </x:c>
      <x:c r="B15" s="23" t="s">
        <x:v>434</x:v>
      </x:c>
      <x:c r="C15" s="21">
        <x:v>45629.0</x:v>
      </x:c>
      <x:c r="D15" s="35"/>
      <x:c r="E15" s="23">
        <x:v>1.0</x:v>
      </x:c>
      <x:c r="F15" s="23"/>
      <x:c r="G15" s="23">
        <x:v>1.0</x:v>
      </x:c>
      <x:c r="H15" s="56"/>
      <x:c r="I15" s="25"/>
      <x:c r="J15" s="25"/>
      <x:c r="K15" s="25"/>
      <x:c r="L15" s="25"/>
      <x:c r="M15" s="25"/>
      <x:c r="N15" s="26">
        <x:f t="shared" si="1"/>
        <x:v>590000</x:v>
      </x:c>
      <x:c r="O15" s="23" t="s">
        <x:v>74</x:v>
      </x:c>
      <x:c r="P15" s="23" t="s">
        <x:v>31</x:v>
      </x:c>
      <x:c r="Q15" s="57"/>
      <x:c r="R15" s="33" t="n">
        <x:v>45652</x:v>
      </x:c>
      <x:c r="S15" s="34" t="e">
        <x:f>IFERROR(__xludf.DUMMYFUNCTION("SUM(FILTER($E$2:$M$1052, $C$2:$C$1052 = R15))"),39.0)</x:f>
        <x:v>#NAME?</x:v>
      </x:c>
      <x:c r="T15" s="34" t="e">
        <x:f>IFERROR(__xludf.DUMMYFUNCTION("COUNT(FILTER($C$2:$C$1052, $C10:$C1060 = R15))"),10.0)</x:f>
        <x:v>#NAME?</x:v>
      </x:c>
      <x:c r="U15" s="31">
        <x:f t="shared" si="2"/>
        <x:v>12699500</x:v>
      </x:c>
    </x:row>
    <x:row r="16" ht="18.75" customHeight="1">
      <x:c r="A16" s="19">
        <x:v>15.0</x:v>
      </x:c>
      <x:c r="B16" s="23" t="s">
        <x:v>176</x:v>
      </x:c>
      <x:c r="C16" s="21">
        <x:v>45629.0</x:v>
      </x:c>
      <x:c r="D16" s="58" t="s">
        <x:v>1239</x:v>
      </x:c>
      <x:c r="E16" s="23">
        <x:v>4.0</x:v>
      </x:c>
      <x:c r="F16" s="23"/>
      <x:c r="G16" s="56"/>
      <x:c r="H16" s="56"/>
      <x:c r="I16" s="25"/>
      <x:c r="J16" s="25"/>
      <x:c r="K16" s="25"/>
      <x:c r="L16" s="25"/>
      <x:c r="M16" s="25"/>
      <x:c r="N16" s="26">
        <x:f t="shared" si="1"/>
        <x:v>960000</x:v>
      </x:c>
      <x:c r="O16" s="23" t="s">
        <x:v>74</x:v>
      </x:c>
      <x:c r="P16" s="23" t="s">
        <x:v>34</x:v>
      </x:c>
      <x:c r="Q16" s="32"/>
      <x:c r="R16" s="33" t="n">
        <x:v>45653</x:v>
      </x:c>
      <x:c r="S16" s="34" t="e">
        <x:f>IFERROR(__xludf.DUMMYFUNCTION("SUM(FILTER($E$2:$M$1052, $C$2:$C$1052 = R16))"),13.0)</x:f>
        <x:v>#NAME?</x:v>
      </x:c>
      <x:c r="T16" s="34" t="e">
        <x:f>IFERROR(__xludf.DUMMYFUNCTION("COUNT(FILTER($C$2:$C$1052, $C11:$C1061 = R16))"),8.0)</x:f>
        <x:v>#NAME?</x:v>
      </x:c>
      <x:c r="U16" s="31">
        <x:f t="shared" si="2"/>
        <x:v>3960000</x:v>
      </x:c>
    </x:row>
    <x:row r="17" ht="18.75" customHeight="1">
      <x:c r="A17" s="19">
        <x:v>16.0</x:v>
      </x:c>
      <x:c r="B17" s="23" t="s">
        <x:v>1240</x:v>
      </x:c>
      <x:c r="C17" s="21">
        <x:v>45629.0</x:v>
      </x:c>
      <x:c r="D17" s="22" t="s">
        <x:v>1241</x:v>
      </x:c>
      <x:c r="E17" s="56"/>
      <x:c r="F17" s="23"/>
      <x:c r="G17" s="23">
        <x:v>1.0</x:v>
      </x:c>
      <x:c r="H17" s="56"/>
      <x:c r="I17" s="25"/>
      <x:c r="J17" s="25"/>
      <x:c r="K17" s="25"/>
      <x:c r="L17" s="25"/>
      <x:c r="M17" s="25"/>
      <x:c r="N17" s="26">
        <x:f t="shared" si="1"/>
        <x:v>350000</x:v>
      </x:c>
      <x:c r="O17" s="23" t="s">
        <x:v>74</x:v>
      </x:c>
      <x:c r="P17" s="23" t="s">
        <x:v>31</x:v>
      </x:c>
      <x:c r="Q17" s="32"/>
      <x:c r="R17" s="33" t="n">
        <x:v>45654</x:v>
      </x:c>
      <x:c r="S17" s="34" t="e">
        <x:f>IFERROR(__xludf.DUMMYFUNCTION("SUM(FILTER($E$2:$M$1052, $C$2:$C$1052 = R17))"),28.0)</x:f>
        <x:v>#NAME?</x:v>
      </x:c>
      <x:c r="T17" s="34" t="e">
        <x:f>IFERROR(__xludf.DUMMYFUNCTION("COUNT(FILTER($C$2:$C$1052, $C12:$C1062 = R17))"),12.0)</x:f>
        <x:v>#NAME?</x:v>
      </x:c>
      <x:c r="U17" s="31">
        <x:f t="shared" si="2"/>
        <x:v>7103000</x:v>
      </x:c>
    </x:row>
    <x:row r="18" ht="18.75" customHeight="1">
      <x:c r="A18" s="19">
        <x:v>17.0</x:v>
      </x:c>
      <x:c r="B18" s="23" t="s">
        <x:v>1229</x:v>
      </x:c>
      <x:c r="C18" s="21">
        <x:v>45631.0</x:v>
      </x:c>
      <x:c r="D18" s="22" t="s">
        <x:v>1230</x:v>
      </x:c>
      <x:c r="E18" s="23">
        <x:v>2.0</x:v>
      </x:c>
      <x:c r="F18" s="56"/>
      <x:c r="G18" s="56"/>
      <x:c r="H18" s="56"/>
      <x:c r="I18" s="25"/>
      <x:c r="J18" s="25"/>
      <x:c r="K18" s="25"/>
      <x:c r="L18" s="25"/>
      <x:c r="M18" s="25"/>
      <x:c r="N18" s="26">
        <x:f t="shared" si="1"/>
        <x:v>480000</x:v>
      </x:c>
      <x:c r="O18" s="23" t="s">
        <x:v>74</x:v>
      </x:c>
      <x:c r="P18" s="23" t="s">
        <x:v>31</x:v>
      </x:c>
      <x:c r="Q18" s="32"/>
      <x:c r="R18" s="33" t="n">
        <x:v>45655</x:v>
      </x:c>
      <x:c r="S18" s="34" t="e">
        <x:f>IFERROR(__xludf.DUMMYFUNCTION("SUM(FILTER($E$2:$M$1052, $C$2:$C$1052 = R18))"),21.0)</x:f>
        <x:v>#NAME?</x:v>
      </x:c>
      <x:c r="T18" s="34" t="e">
        <x:f>IFERROR(__xludf.DUMMYFUNCTION("COUNT(FILTER($C$2:$C$1052, $C13:$C1063 = R18))"),16.0)</x:f>
        <x:v>#NAME?</x:v>
      </x:c>
      <x:c r="U18" s="31">
        <x:f t="shared" si="2"/>
        <x:v>5215000</x:v>
      </x:c>
    </x:row>
    <x:row r="19" ht="18.75" customHeight="1">
      <x:c r="A19" s="19">
        <x:v>18.0</x:v>
      </x:c>
      <x:c r="B19" s="23" t="s">
        <x:v>1194</x:v>
      </x:c>
      <x:c r="C19" s="21">
        <x:v>45636.0</x:v>
      </x:c>
      <x:c r="D19" s="55"/>
      <x:c r="E19" s="23">
        <x:v>1.0</x:v>
      </x:c>
      <x:c r="F19" s="23">
        <x:v>1.0</x:v>
      </x:c>
      <x:c r="G19" s="56"/>
      <x:c r="H19" s="56"/>
      <x:c r="I19" s="24"/>
      <x:c r="J19" s="24"/>
      <x:c r="K19" s="24"/>
      <x:c r="L19" s="24"/>
      <x:c r="M19" s="24">
        <x:v>2.0</x:v>
      </x:c>
      <x:c r="N19" s="26" t="n">
        <x:f t="shared" ref="N19:N20" si="3">(E19*225+F19*175+G19*350+H19*390+M19*100)*1000</x:f>
        <x:v>600000</x:v>
      </x:c>
      <x:c r="O19" s="23" t="s">
        <x:v>74</x:v>
      </x:c>
      <x:c r="P19" s="23" t="s">
        <x:v>34</x:v>
      </x:c>
      <x:c r="Q19" s="32"/>
      <x:c r="R19" s="33" t="n">
        <x:v>45656</x:v>
      </x:c>
      <x:c r="S19" s="34" t="e">
        <x:f>IFERROR(__xludf.DUMMYFUNCTION("SUM(FILTER($E$2:$M$1052, $C$2:$C$1052 = R19))"),18.0)</x:f>
        <x:v>#NAME?</x:v>
      </x:c>
      <x:c r="T19" s="34" t="e">
        <x:f>IFERROR(__xludf.DUMMYFUNCTION("COUNT(FILTER($C$2:$C$1052, $C14:$C1064 = R19))"),13.0)</x:f>
        <x:v>#NAME?</x:v>
      </x:c>
      <x:c r="U19" s="31">
        <x:f t="shared" si="2"/>
        <x:v>4220000</x:v>
      </x:c>
    </x:row>
    <x:row r="20" ht="18.75" customHeight="1">
      <x:c r="A20" s="19">
        <x:v>19.0</x:v>
      </x:c>
      <x:c r="B20" s="23" t="s">
        <x:v>76</x:v>
      </x:c>
      <x:c r="C20" s="21">
        <x:v>45647.0</x:v>
      </x:c>
      <x:c r="D20" s="55"/>
      <x:c r="E20" s="23">
        <x:v>1.0</x:v>
      </x:c>
      <x:c r="F20" s="23"/>
      <x:c r="G20" s="56"/>
      <x:c r="H20" s="56"/>
      <x:c r="I20" s="24"/>
      <x:c r="J20" s="24"/>
      <x:c r="K20" s="24"/>
      <x:c r="L20" s="24"/>
      <x:c r="M20" s="24">
        <x:v>1.0</x:v>
      </x:c>
      <x:c r="N20" s="26">
        <x:f t="shared" si="3"/>
        <x:v>325000</x:v>
      </x:c>
      <x:c r="O20" s="23" t="s">
        <x:v>74</x:v>
      </x:c>
      <x:c r="P20" s="23" t="s">
        <x:v>34</x:v>
      </x:c>
      <x:c r="Q20" s="32"/>
      <x:c r="R20" s="33" t="n">
        <x:v>45657</x:v>
      </x:c>
      <x:c r="S20" s="34" t="e">
        <x:f>IFERROR(__xludf.DUMMYFUNCTION("SUM(FILTER($E$2:$M$1052, $C$2:$C$1052 = R20))"),48.0)</x:f>
        <x:v>#NAME?</x:v>
      </x:c>
      <x:c r="T20" s="34" t="e">
        <x:f>IFERROR(__xludf.DUMMYFUNCTION("COUNT(FILTER($C$2:$C$1052, $C15:$C1065 = R20))"),12.0)</x:f>
        <x:v>#NAME?</x:v>
      </x:c>
      <x:c r="U20" s="31">
        <x:f t="shared" si="2"/>
        <x:v>11728000</x:v>
      </x:c>
    </x:row>
    <x:row r="21" ht="18.75" customHeight="1">
      <x:c r="A21" s="19">
        <x:v>20.0</x:v>
      </x:c>
      <x:c r="B21" s="23" t="s">
        <x:v>227</x:v>
      </x:c>
      <x:c r="C21" s="21">
        <x:v>45647.0</x:v>
      </x:c>
      <x:c r="D21" s="58" t="s">
        <x:v>1242</x:v>
      </x:c>
      <x:c r="E21" s="23">
        <x:v>1.0</x:v>
      </x:c>
      <x:c r="F21" s="56"/>
      <x:c r="G21" s="56"/>
      <x:c r="H21" s="56"/>
      <x:c r="I21" s="25"/>
      <x:c r="J21" s="25"/>
      <x:c r="K21" s="25"/>
      <x:c r="L21" s="25"/>
      <x:c r="M21" s="25"/>
      <x:c r="N21" s="26" t="n">
        <x:f>(E21*240+F21*240+G21*350+H21*390)*1000+11000</x:f>
        <x:v>251000</x:v>
      </x:c>
      <x:c r="O21" s="23" t="s">
        <x:v>74</x:v>
      </x:c>
      <x:c r="P21" s="23" t="s">
        <x:v>31</x:v>
      </x:c>
      <x:c r="Q21" s="32"/>
      <x:c r="R21" s="86" t="n">
        <x:v>0</x:v>
      </x:c>
      <x:c r="S21" s="34" t="e">
        <x:f t="shared" ref="S21:U21" si="4">SUM(S7:S20)</x:f>
        <x:v>#NAME?</x:v>
      </x:c>
      <x:c r="T21" s="34">
        <x:f t="shared" si="4"/>
        <x:v>98</x:v>
      </x:c>
      <x:c r="U21" s="31">
        <x:f t="shared" si="4"/>
        <x:v>60711500</x:v>
      </x:c>
    </x:row>
    <x:row r="22" ht="18.75" customHeight="1">
      <x:c r="A22" s="19">
        <x:v>21.0</x:v>
      </x:c>
      <x:c r="B22" s="23" t="s">
        <x:v>1243</x:v>
      </x:c>
      <x:c r="C22" s="21">
        <x:v>45650.0</x:v>
      </x:c>
      <x:c r="D22" s="35"/>
      <x:c r="E22" s="56"/>
      <x:c r="F22" s="23"/>
      <x:c r="G22" s="23">
        <x:v>1.0</x:v>
      </x:c>
      <x:c r="H22" s="56"/>
      <x:c r="I22" s="25"/>
      <x:c r="J22" s="25"/>
      <x:c r="K22" s="25"/>
      <x:c r="L22" s="25"/>
      <x:c r="M22" s="25"/>
      <x:c r="N22" s="26" t="n">
        <x:f>(E22*240+F22*240+G22*350+H22*390)*1000+11000</x:f>
        <x:v>361000</x:v>
      </x:c>
      <x:c r="O22" s="23" t="s">
        <x:v>74</x:v>
      </x:c>
      <x:c r="P22" s="23" t="s">
        <x:v>31</x:v>
      </x:c>
      <x:c r="Q22" s="32"/>
    </x:row>
    <x:row r="23">
      <x:c r="A23" s="19">
        <x:v>22.0</x:v>
      </x:c>
      <x:c r="B23" s="23" t="s">
        <x:v>1244</x:v>
      </x:c>
      <x:c r="C23" s="21">
        <x:v>45651.0</x:v>
      </x:c>
      <x:c r="D23" s="22" t="s">
        <x:v>1245</x:v>
      </x:c>
      <x:c r="E23" s="23"/>
      <x:c r="F23" s="23"/>
      <x:c r="G23" s="23">
        <x:v>1.0</x:v>
      </x:c>
      <x:c r="H23" s="56"/>
      <x:c r="I23" s="25"/>
      <x:c r="J23" s="25"/>
      <x:c r="K23" s="25"/>
      <x:c r="L23" s="25"/>
      <x:c r="M23" s="25"/>
      <x:c r="N23" s="26" t="n">
        <x:f>(E23*240+F23*240+G23*350+H23*390)*1000</x:f>
        <x:v>350000</x:v>
      </x:c>
      <x:c r="O23" s="23" t="s">
        <x:v>74</x:v>
      </x:c>
      <x:c r="P23" s="23" t="s">
        <x:v>31</x:v>
      </x:c>
      <x:c r="Q23" s="57"/>
    </x:row>
    <x:row r="24" ht="18.75" customHeight="1">
      <x:c r="A24" s="19">
        <x:v>23.0</x:v>
      </x:c>
      <x:c r="B24" s="23" t="s">
        <x:v>1246</x:v>
      </x:c>
      <x:c r="C24" s="21">
        <x:v>45651.0</x:v>
      </x:c>
      <x:c r="D24" s="58" t="s">
        <x:v>1247</x:v>
      </x:c>
      <x:c r="E24" s="56"/>
      <x:c r="F24" s="23"/>
      <x:c r="G24" s="56"/>
      <x:c r="H24" s="23">
        <x:v>15.0</x:v>
      </x:c>
      <x:c r="I24" s="25"/>
      <x:c r="J24" s="25"/>
      <x:c r="K24" s="25"/>
      <x:c r="L24" s="25"/>
      <x:c r="M24" s="25"/>
      <x:c r="N24" s="26" t="n">
        <x:f>(E24*240+F24*240+G24*350+H24*385)*1000-16000</x:f>
        <x:v>5759000</x:v>
      </x:c>
      <x:c r="O24" s="23" t="s">
        <x:v>74</x:v>
      </x:c>
      <x:c r="P24" s="23" t="s">
        <x:v>31</x:v>
      </x:c>
      <x:c r="Q24" s="32"/>
    </x:row>
    <x:row r="25" ht="18.75" customHeight="1">
      <x:c r="A25" s="19">
        <x:v>24.0</x:v>
      </x:c>
      <x:c r="B25" s="23" t="s">
        <x:v>1248</x:v>
      </x:c>
      <x:c r="C25" s="21">
        <x:v>45651.0</x:v>
      </x:c>
      <x:c r="D25" s="58" t="s">
        <x:v>1249</x:v>
      </x:c>
      <x:c r="E25" s="56"/>
      <x:c r="F25" s="23">
        <x:v>1.0</x:v>
      </x:c>
      <x:c r="G25" s="56"/>
      <x:c r="H25" s="56"/>
      <x:c r="I25" s="25"/>
      <x:c r="J25" s="25"/>
      <x:c r="K25" s="25"/>
      <x:c r="L25" s="25"/>
      <x:c r="M25" s="25"/>
      <x:c r="N25" s="26" t="n">
        <x:f t="shared" ref="N25:N26" si="5">(E25*240+F25*240+G25*350+H25*390)*1000</x:f>
        <x:v>240000</x:v>
      </x:c>
      <x:c r="O25" s="23" t="s">
        <x:v>74</x:v>
      </x:c>
      <x:c r="P25" s="23" t="s">
        <x:v>31</x:v>
      </x:c>
      <x:c r="Q25" s="32"/>
    </x:row>
    <x:row r="26" ht="18.75" customHeight="1">
      <x:c r="A26" s="19">
        <x:v>25.0</x:v>
      </x:c>
      <x:c r="B26" s="23" t="s">
        <x:v>1250</x:v>
      </x:c>
      <x:c r="C26" s="21">
        <x:v>45651.0</x:v>
      </x:c>
      <x:c r="D26" s="22" t="s">
        <x:v>1251</x:v>
      </x:c>
      <x:c r="E26" s="56"/>
      <x:c r="F26" s="23">
        <x:v>1.0</x:v>
      </x:c>
      <x:c r="G26" s="56"/>
      <x:c r="H26" s="56"/>
      <x:c r="I26" s="25"/>
      <x:c r="J26" s="25"/>
      <x:c r="K26" s="25"/>
      <x:c r="L26" s="25"/>
      <x:c r="M26" s="25"/>
      <x:c r="N26" s="26">
        <x:f t="shared" si="5"/>
        <x:v>240000</x:v>
      </x:c>
      <x:c r="O26" s="23" t="s">
        <x:v>74</x:v>
      </x:c>
      <x:c r="P26" s="23" t="s">
        <x:v>31</x:v>
      </x:c>
      <x:c r="Q26" s="32"/>
    </x:row>
    <x:row r="27">
      <x:c r="A27" s="19">
        <x:v>26.0</x:v>
      </x:c>
      <x:c r="B27" s="23" t="s">
        <x:v>1252</x:v>
      </x:c>
      <x:c r="C27" s="21">
        <x:v>45651.0</x:v>
      </x:c>
      <x:c r="D27" s="58" t="s">
        <x:v>1253</x:v>
      </x:c>
      <x:c r="E27" s="23"/>
      <x:c r="F27" s="23"/>
      <x:c r="G27" s="23"/>
      <x:c r="H27" s="23">
        <x:v>1.0</x:v>
      </x:c>
      <x:c r="I27" s="25"/>
      <x:c r="J27" s="25"/>
      <x:c r="K27" s="25"/>
      <x:c r="L27" s="25"/>
      <x:c r="M27" s="25"/>
      <x:c r="N27" s="26" t="n">
        <x:f>(E27*240+F27*240+G27*350+H27*390)*1000+10000</x:f>
        <x:v>400000</x:v>
      </x:c>
      <x:c r="O27" s="23" t="s">
        <x:v>74</x:v>
      </x:c>
      <x:c r="P27" s="23" t="s">
        <x:v>34</x:v>
      </x:c>
      <x:c r="Q27" s="57"/>
    </x:row>
    <x:row r="28" ht="18.75" customHeight="1">
      <x:c r="A28" s="19">
        <x:v>27.0</x:v>
      </x:c>
      <x:c r="B28" s="23" t="s">
        <x:v>1254</x:v>
      </x:c>
      <x:c r="C28" s="21">
        <x:v>45651.0</x:v>
      </x:c>
      <x:c r="D28" s="58" t="s">
        <x:v>1255</x:v>
      </x:c>
      <x:c r="E28" s="23"/>
      <x:c r="F28" s="23"/>
      <x:c r="G28" s="56"/>
      <x:c r="H28" s="23">
        <x:v>3.0</x:v>
      </x:c>
      <x:c r="I28" s="25"/>
      <x:c r="J28" s="25"/>
      <x:c r="K28" s="25"/>
      <x:c r="L28" s="25"/>
      <x:c r="M28" s="25"/>
      <x:c r="N28" s="26" t="n">
        <x:f>(E28*240+F28*240+G28*350+H28*390)*1000</x:f>
        <x:v>1170000</x:v>
      </x:c>
      <x:c r="O28" s="23" t="s">
        <x:v>74</x:v>
      </x:c>
      <x:c r="P28" s="23" t="s">
        <x:v>31</x:v>
      </x:c>
      <x:c r="Q28" s="57"/>
    </x:row>
    <x:row r="29">
      <x:c r="A29" s="19">
        <x:v>28.0</x:v>
      </x:c>
      <x:c r="B29" s="23" t="s">
        <x:v>1256</x:v>
      </x:c>
      <x:c r="C29" s="21">
        <x:v>45652.0</x:v>
      </x:c>
      <x:c r="D29" s="22" t="s">
        <x:v>1257</x:v>
      </x:c>
      <x:c r="E29" s="56"/>
      <x:c r="F29" s="23"/>
      <x:c r="G29" s="56"/>
      <x:c r="H29" s="23">
        <x:v>10.0</x:v>
      </x:c>
      <x:c r="I29" s="25"/>
      <x:c r="J29" s="25"/>
      <x:c r="K29" s="24"/>
      <x:c r="L29" s="24">
        <x:v>10.0</x:v>
      </x:c>
      <x:c r="M29" s="25"/>
      <x:c r="N29" s="26" t="n">
        <x:f>(E29*240+F29*240+G29*350+H29*380+I29*230+L29*380)*1000-26000</x:f>
        <x:v>7574000</x:v>
      </x:c>
      <x:c r="O29" s="23" t="s">
        <x:v>74</x:v>
      </x:c>
      <x:c r="P29" s="23" t="s">
        <x:v>31</x:v>
      </x:c>
      <x:c r="Q29" s="57"/>
    </x:row>
    <x:row r="30" ht="18.75" customHeight="1">
      <x:c r="A30" s="19">
        <x:v>29.0</x:v>
      </x:c>
      <x:c r="B30" s="23" t="s">
        <x:v>1258</x:v>
      </x:c>
      <x:c r="C30" s="21">
        <x:v>45652.0</x:v>
      </x:c>
      <x:c r="D30" s="58" t="s">
        <x:v>1259</x:v>
      </x:c>
      <x:c r="E30" s="56"/>
      <x:c r="F30" s="23">
        <x:v>1.0</x:v>
      </x:c>
      <x:c r="G30" s="56"/>
      <x:c r="H30" s="56"/>
      <x:c r="I30" s="24">
        <x:v>1.0</x:v>
      </x:c>
      <x:c r="J30" s="24"/>
      <x:c r="K30" s="25"/>
      <x:c r="L30" s="25"/>
      <x:c r="M30" s="25"/>
      <x:c r="N30" s="26" t="n">
        <x:f>(E30*240+F30*240+G30*350+H30*390+I30*230+L30*390)*1000+5000</x:f>
        <x:v>475000</x:v>
      </x:c>
      <x:c r="O30" s="23" t="s">
        <x:v>74</x:v>
      </x:c>
      <x:c r="P30" s="23" t="s">
        <x:v>31</x:v>
      </x:c>
      <x:c r="Q30" s="32"/>
    </x:row>
    <x:row r="31" ht="18.75" customHeight="1">
      <x:c r="A31" s="19">
        <x:v>30.0</x:v>
      </x:c>
      <x:c r="B31" s="23" t="s">
        <x:v>1260</x:v>
      </x:c>
      <x:c r="C31" s="21">
        <x:v>45652.0</x:v>
      </x:c>
      <x:c r="D31" s="22" t="s">
        <x:v>1261</x:v>
      </x:c>
      <x:c r="E31" s="56"/>
      <x:c r="F31" s="23"/>
      <x:c r="G31" s="56"/>
      <x:c r="H31" s="23">
        <x:v>1.0</x:v>
      </x:c>
      <x:c r="I31" s="24"/>
      <x:c r="J31" s="24"/>
      <x:c r="K31" s="24"/>
      <x:c r="L31" s="24">
        <x:v>1.0</x:v>
      </x:c>
      <x:c r="M31" s="24"/>
      <x:c r="N31" s="26" t="n">
        <x:f>(E31*240+F31*240+G31*350+H31*390+I31*230+L31*390)*1000+7000</x:f>
        <x:v>787000</x:v>
      </x:c>
      <x:c r="O31" s="23" t="s">
        <x:v>74</x:v>
      </x:c>
      <x:c r="P31" s="23" t="s">
        <x:v>31</x:v>
      </x:c>
      <x:c r="Q31" s="32"/>
    </x:row>
    <x:row r="32" ht="18.75" customHeight="1">
      <x:c r="A32" s="19">
        <x:v>31.0</x:v>
      </x:c>
      <x:c r="B32" s="23" t="s">
        <x:v>1262</x:v>
      </x:c>
      <x:c r="C32" s="21">
        <x:v>45652.0</x:v>
      </x:c>
      <x:c r="D32" s="58" t="s">
        <x:v>1263</x:v>
      </x:c>
      <x:c r="E32" s="56"/>
      <x:c r="F32" s="23"/>
      <x:c r="G32" s="56"/>
      <x:c r="H32" s="23"/>
      <x:c r="I32" s="24">
        <x:v>1.0</x:v>
      </x:c>
      <x:c r="J32" s="24"/>
      <x:c r="K32" s="24"/>
      <x:c r="L32" s="24"/>
      <x:c r="M32" s="25"/>
      <x:c r="N32" s="26" t="n">
        <x:f t="shared" ref="N32:N33" si="6">(E32*240+F32*240+G32*350+H32*390+I32*230+L32*390)*1000</x:f>
        <x:v>230000</x:v>
      </x:c>
      <x:c r="O32" s="23" t="s">
        <x:v>74</x:v>
      </x:c>
      <x:c r="P32" s="23" t="s">
        <x:v>31</x:v>
      </x:c>
      <x:c r="Q32" s="32"/>
    </x:row>
    <x:row r="33" ht="18.75" customHeight="1">
      <x:c r="A33" s="19">
        <x:v>32.0</x:v>
      </x:c>
      <x:c r="B33" s="23" t="s">
        <x:v>1264</x:v>
      </x:c>
      <x:c r="C33" s="21">
        <x:v>45652.0</x:v>
      </x:c>
      <x:c r="D33" s="22" t="s">
        <x:v>1265</x:v>
      </x:c>
      <x:c r="E33" s="56"/>
      <x:c r="F33" s="23">
        <x:v>1.0</x:v>
      </x:c>
      <x:c r="G33" s="56"/>
      <x:c r="H33" s="56"/>
      <x:c r="I33" s="24">
        <x:v>1.0</x:v>
      </x:c>
      <x:c r="J33" s="24"/>
      <x:c r="K33" s="24"/>
      <x:c r="L33" s="24"/>
      <x:c r="M33" s="24"/>
      <x:c r="N33" s="26">
        <x:f t="shared" si="6"/>
        <x:v>470000</x:v>
      </x:c>
      <x:c r="O33" s="23" t="s">
        <x:v>74</x:v>
      </x:c>
      <x:c r="P33" s="23" t="s">
        <x:v>31</x:v>
      </x:c>
      <x:c r="Q33" s="32"/>
    </x:row>
    <x:row r="34" ht="18.75" customHeight="1">
      <x:c r="A34" s="19">
        <x:v>33.0</x:v>
      </x:c>
      <x:c r="B34" s="23" t="s">
        <x:v>1266</x:v>
      </x:c>
      <x:c r="C34" s="21">
        <x:v>45652.0</x:v>
      </x:c>
      <x:c r="D34" s="58" t="s">
        <x:v>1267</x:v>
      </x:c>
      <x:c r="E34" s="23"/>
      <x:c r="F34" s="23">
        <x:v>5.0</x:v>
      </x:c>
      <x:c r="G34" s="56"/>
      <x:c r="H34" s="23">
        <x:v>1.0</x:v>
      </x:c>
      <x:c r="I34" s="24"/>
      <x:c r="J34" s="24"/>
      <x:c r="K34" s="24"/>
      <x:c r="L34" s="24"/>
      <x:c r="M34" s="24"/>
      <x:c r="N34" s="26" t="n">
        <x:f>(E34*240+F34*240+G34*350+H34*390+I34*230+L34*390)*1000-16500</x:f>
        <x:v>1573500</x:v>
      </x:c>
      <x:c r="O34" s="23" t="s">
        <x:v>74</x:v>
      </x:c>
      <x:c r="P34" s="23" t="s">
        <x:v>34</x:v>
      </x:c>
      <x:c r="Q34" s="32"/>
    </x:row>
    <x:row r="35" ht="18.75" customHeight="1">
      <x:c r="A35" s="19">
        <x:v>34.0</x:v>
      </x:c>
      <x:c r="B35" s="23" t="s">
        <x:v>1268</x:v>
      </x:c>
      <x:c r="C35" s="21">
        <x:v>45652.0</x:v>
      </x:c>
      <x:c r="D35" s="22" t="s">
        <x:v>1269</x:v>
      </x:c>
      <x:c r="E35" s="56"/>
      <x:c r="F35" s="23">
        <x:v>1.0</x:v>
      </x:c>
      <x:c r="G35" s="23"/>
      <x:c r="H35" s="56"/>
      <x:c r="I35" s="25"/>
      <x:c r="J35" s="25"/>
      <x:c r="K35" s="25"/>
      <x:c r="L35" s="25"/>
      <x:c r="M35" s="25"/>
      <x:c r="N35" s="26" t="n">
        <x:f t="shared" ref="N35:N47" si="7">(E35*240+F35*240+G35*350+H35*390+I35*230+L35*390)*1000</x:f>
        <x:v>240000</x:v>
      </x:c>
      <x:c r="O35" s="23" t="s">
        <x:v>74</x:v>
      </x:c>
      <x:c r="P35" s="23" t="s">
        <x:v>34</x:v>
      </x:c>
      <x:c r="Q35" s="32"/>
    </x:row>
    <x:row r="36" ht="18.75" customHeight="1">
      <x:c r="A36" s="19">
        <x:v>35.0</x:v>
      </x:c>
      <x:c r="B36" s="23" t="s">
        <x:v>629</x:v>
      </x:c>
      <x:c r="C36" s="21">
        <x:v>45652.0</x:v>
      </x:c>
      <x:c r="D36" s="58" t="s">
        <x:v>1270</x:v>
      </x:c>
      <x:c r="E36" s="56"/>
      <x:c r="F36" s="23">
        <x:v>1.0</x:v>
      </x:c>
      <x:c r="G36" s="56"/>
      <x:c r="H36" s="23"/>
      <x:c r="I36" s="25"/>
      <x:c r="J36" s="25"/>
      <x:c r="K36" s="25"/>
      <x:c r="L36" s="25"/>
      <x:c r="M36" s="25"/>
      <x:c r="N36" s="26">
        <x:f t="shared" si="7"/>
        <x:v>240000</x:v>
      </x:c>
      <x:c r="O36" s="23" t="s">
        <x:v>74</x:v>
      </x:c>
      <x:c r="P36" s="23" t="s">
        <x:v>34</x:v>
      </x:c>
      <x:c r="Q36" s="57"/>
    </x:row>
    <x:row r="37">
      <x:c r="A37" s="19">
        <x:v>36.0</x:v>
      </x:c>
      <x:c r="B37" s="23" t="s">
        <x:v>1271</x:v>
      </x:c>
      <x:c r="C37" s="21">
        <x:v>45652.0</x:v>
      </x:c>
      <x:c r="D37" s="55"/>
      <x:c r="E37" s="56"/>
      <x:c r="F37" s="23">
        <x:v>1.0</x:v>
      </x:c>
      <x:c r="G37" s="56"/>
      <x:c r="H37" s="23"/>
      <x:c r="I37" s="25"/>
      <x:c r="J37" s="25"/>
      <x:c r="K37" s="25"/>
      <x:c r="L37" s="25"/>
      <x:c r="M37" s="25"/>
      <x:c r="N37" s="26">
        <x:f t="shared" si="7"/>
        <x:v>240000</x:v>
      </x:c>
      <x:c r="O37" s="23" t="s">
        <x:v>74</x:v>
      </x:c>
      <x:c r="P37" s="23" t="s">
        <x:v>31</x:v>
      </x:c>
      <x:c r="Q37" s="32"/>
    </x:row>
    <x:row r="38" ht="18.75" customHeight="1">
      <x:c r="A38" s="19">
        <x:v>37.0</x:v>
      </x:c>
      <x:c r="B38" s="23" t="s">
        <x:v>1272</x:v>
      </x:c>
      <x:c r="C38" s="21">
        <x:v>45652.0</x:v>
      </x:c>
      <x:c r="D38" s="22" t="s">
        <x:v>1273</x:v>
      </x:c>
      <x:c r="E38" s="56"/>
      <x:c r="F38" s="23">
        <x:v>2.0</x:v>
      </x:c>
      <x:c r="G38" s="56"/>
      <x:c r="H38" s="23">
        <x:v>1.0</x:v>
      </x:c>
      <x:c r="I38" s="25"/>
      <x:c r="J38" s="25"/>
      <x:c r="K38" s="25"/>
      <x:c r="L38" s="25"/>
      <x:c r="M38" s="25"/>
      <x:c r="N38" s="26">
        <x:f t="shared" si="7"/>
        <x:v>870000</x:v>
      </x:c>
      <x:c r="O38" s="23" t="s">
        <x:v>74</x:v>
      </x:c>
      <x:c r="P38" s="23" t="s">
        <x:v>34</x:v>
      </x:c>
    </x:row>
    <x:row r="39" ht="18.75" customHeight="1">
      <x:c r="A39" s="19">
        <x:v>38.0</x:v>
      </x:c>
      <x:c r="B39" s="23" t="s">
        <x:v>79</x:v>
      </x:c>
      <x:c r="C39" s="21">
        <x:v>45653.0</x:v>
      </x:c>
      <x:c r="D39" s="58" t="s">
        <x:v>874</x:v>
      </x:c>
      <x:c r="E39" s="56"/>
      <x:c r="F39" s="23"/>
      <x:c r="G39" s="23"/>
      <x:c r="H39" s="23">
        <x:v>5.0</x:v>
      </x:c>
      <x:c r="I39" s="25"/>
      <x:c r="J39" s="25"/>
      <x:c r="K39" s="25"/>
      <x:c r="L39" s="25"/>
      <x:c r="M39" s="25"/>
      <x:c r="N39" s="26">
        <x:f t="shared" si="7"/>
        <x:v>1950000</x:v>
      </x:c>
      <x:c r="O39" s="23" t="s">
        <x:v>74</x:v>
      </x:c>
      <x:c r="P39" s="23" t="s">
        <x:v>31</x:v>
      </x:c>
    </x:row>
    <x:row r="40" ht="18.75" customHeight="1">
      <x:c r="A40" s="19">
        <x:v>39.0</x:v>
      </x:c>
      <x:c r="B40" s="23" t="s">
        <x:v>1274</x:v>
      </x:c>
      <x:c r="C40" s="21">
        <x:v>45653.0</x:v>
      </x:c>
      <x:c r="D40" s="22" t="s">
        <x:v>1275</x:v>
      </x:c>
      <x:c r="E40" s="23"/>
      <x:c r="F40" s="23">
        <x:v>1.0</x:v>
      </x:c>
      <x:c r="G40" s="56"/>
      <x:c r="H40" s="23"/>
      <x:c r="I40" s="25"/>
      <x:c r="J40" s="25"/>
      <x:c r="K40" s="25"/>
      <x:c r="L40" s="25"/>
      <x:c r="M40" s="25"/>
      <x:c r="N40" s="26">
        <x:f t="shared" si="7"/>
        <x:v>240000</x:v>
      </x:c>
      <x:c r="O40" s="23" t="s">
        <x:v>74</x:v>
      </x:c>
      <x:c r="P40" s="23" t="s">
        <x:v>31</x:v>
      </x:c>
    </x:row>
    <x:row r="41" ht="18.75" customHeight="1">
      <x:c r="A41" s="19">
        <x:v>40.0</x:v>
      </x:c>
      <x:c r="B41" s="23" t="s">
        <x:v>706</x:v>
      </x:c>
      <x:c r="C41" s="21">
        <x:v>45653.0</x:v>
      </x:c>
      <x:c r="D41" s="22" t="s">
        <x:v>1276</x:v>
      </x:c>
      <x:c r="E41" s="23"/>
      <x:c r="F41" s="23">
        <x:v>2.0</x:v>
      </x:c>
      <x:c r="G41" s="56"/>
      <x:c r="H41" s="23"/>
      <x:c r="I41" s="25"/>
      <x:c r="J41" s="25"/>
      <x:c r="K41" s="25"/>
      <x:c r="L41" s="25"/>
      <x:c r="M41" s="25"/>
      <x:c r="N41" s="26">
        <x:f t="shared" si="7"/>
        <x:v>480000</x:v>
      </x:c>
      <x:c r="O41" s="23" t="s">
        <x:v>74</x:v>
      </x:c>
      <x:c r="P41" s="23" t="s">
        <x:v>34</x:v>
      </x:c>
    </x:row>
    <x:row r="42" ht="18.75" customHeight="1">
      <x:c r="A42" s="19">
        <x:v>41.0</x:v>
      </x:c>
      <x:c r="B42" s="23" t="s">
        <x:v>1277</x:v>
      </x:c>
      <x:c r="C42" s="21">
        <x:v>45653.0</x:v>
      </x:c>
      <x:c r="D42" s="58" t="s">
        <x:v>1278</x:v>
      </x:c>
      <x:c r="E42" s="23"/>
      <x:c r="F42" s="23"/>
      <x:c r="G42" s="23">
        <x:v>1.0</x:v>
      </x:c>
      <x:c r="H42" s="23"/>
      <x:c r="I42" s="25"/>
      <x:c r="J42" s="25"/>
      <x:c r="K42" s="25"/>
      <x:c r="L42" s="25"/>
      <x:c r="M42" s="25"/>
      <x:c r="N42" s="26">
        <x:f t="shared" si="7"/>
        <x:v>350000</x:v>
      </x:c>
      <x:c r="O42" s="23" t="s">
        <x:v>74</x:v>
      </x:c>
      <x:c r="P42" s="23" t="s">
        <x:v>31</x:v>
      </x:c>
    </x:row>
    <x:row r="43" ht="18.75" customHeight="1">
      <x:c r="A43" s="19">
        <x:v>42.0</x:v>
      </x:c>
      <x:c r="B43" s="23" t="s">
        <x:v>1279</x:v>
      </x:c>
      <x:c r="C43" s="21">
        <x:v>45653.0</x:v>
      </x:c>
      <x:c r="D43" s="58" t="s">
        <x:v>967</x:v>
      </x:c>
      <x:c r="E43" s="23"/>
      <x:c r="F43" s="23"/>
      <x:c r="G43" s="23"/>
      <x:c r="H43" s="23"/>
      <x:c r="I43" s="24">
        <x:v>1.0</x:v>
      </x:c>
      <x:c r="J43" s="25"/>
      <x:c r="K43" s="25"/>
      <x:c r="L43" s="25"/>
      <x:c r="M43" s="25"/>
      <x:c r="N43" s="26">
        <x:f t="shared" si="7"/>
        <x:v>230000</x:v>
      </x:c>
      <x:c r="O43" s="23" t="s">
        <x:v>74</x:v>
      </x:c>
      <x:c r="P43" s="23" t="s">
        <x:v>34</x:v>
      </x:c>
    </x:row>
    <x:row r="44" ht="18.75" customHeight="1">
      <x:c r="A44" s="19">
        <x:v>43.0</x:v>
      </x:c>
      <x:c r="B44" s="23" t="s">
        <x:v>1280</x:v>
      </x:c>
      <x:c r="C44" s="21">
        <x:v>45653.0</x:v>
      </x:c>
      <x:c r="D44" s="58" t="s">
        <x:v>1281</x:v>
      </x:c>
      <x:c r="E44" s="23"/>
      <x:c r="F44" s="23"/>
      <x:c r="G44" s="23"/>
      <x:c r="H44" s="23"/>
      <x:c r="I44" s="24">
        <x:v>1.0</x:v>
      </x:c>
      <x:c r="J44" s="25"/>
      <x:c r="K44" s="25"/>
      <x:c r="L44" s="25"/>
      <x:c r="M44" s="25"/>
      <x:c r="N44" s="26">
        <x:f t="shared" si="7"/>
        <x:v>230000</x:v>
      </x:c>
      <x:c r="O44" s="23" t="s">
        <x:v>74</x:v>
      </x:c>
      <x:c r="P44" s="23" t="s">
        <x:v>31</x:v>
      </x:c>
    </x:row>
    <x:row r="45" ht="18.75" customHeight="1">
      <x:c r="A45" s="19">
        <x:v>44.0</x:v>
      </x:c>
      <x:c r="B45" s="23" t="s">
        <x:v>1282</x:v>
      </x:c>
      <x:c r="C45" s="21">
        <x:v>45653.0</x:v>
      </x:c>
      <x:c r="D45" s="22" t="s">
        <x:v>1283</x:v>
      </x:c>
      <x:c r="E45" s="56"/>
      <x:c r="F45" s="23">
        <x:v>1.0</x:v>
      </x:c>
      <x:c r="G45" s="56"/>
      <x:c r="H45" s="23"/>
      <x:c r="I45" s="25"/>
      <x:c r="J45" s="25"/>
      <x:c r="K45" s="25"/>
      <x:c r="L45" s="25"/>
      <x:c r="M45" s="25"/>
      <x:c r="N45" s="26">
        <x:f t="shared" si="7"/>
        <x:v>240000</x:v>
      </x:c>
      <x:c r="O45" s="23" t="s">
        <x:v>74</x:v>
      </x:c>
      <x:c r="P45" s="23" t="s">
        <x:v>31</x:v>
      </x:c>
    </x:row>
    <x:row r="46" ht="18.75" customHeight="1">
      <x:c r="A46" s="19">
        <x:v>45.0</x:v>
      </x:c>
      <x:c r="B46" s="23" t="s">
        <x:v>797</x:v>
      </x:c>
      <x:c r="C46" s="21">
        <x:v>45653.0</x:v>
      </x:c>
      <x:c r="D46" s="58" t="s">
        <x:v>798</x:v>
      </x:c>
      <x:c r="E46" s="56"/>
      <x:c r="F46" s="23">
        <x:v>1.0</x:v>
      </x:c>
      <x:c r="G46" s="56"/>
      <x:c r="H46" s="23"/>
      <x:c r="I46" s="25"/>
      <x:c r="J46" s="25"/>
      <x:c r="K46" s="25"/>
      <x:c r="L46" s="25"/>
      <x:c r="M46" s="25"/>
      <x:c r="N46" s="26">
        <x:f t="shared" si="7"/>
        <x:v>240000</x:v>
      </x:c>
      <x:c r="O46" s="23" t="s">
        <x:v>74</x:v>
      </x:c>
      <x:c r="P46" s="23" t="s">
        <x:v>34</x:v>
      </x:c>
    </x:row>
    <x:row r="47" ht="18.75" customHeight="1">
      <x:c r="A47" s="19">
        <x:v>46.0</x:v>
      </x:c>
      <x:c r="B47" s="23" t="s">
        <x:v>1284</x:v>
      </x:c>
      <x:c r="C47" s="21">
        <x:v>45654.0</x:v>
      </x:c>
      <x:c r="D47" s="58" t="s">
        <x:v>1285</x:v>
      </x:c>
      <x:c r="E47" s="23"/>
      <x:c r="F47" s="23"/>
      <x:c r="G47" s="23">
        <x:v>1.0</x:v>
      </x:c>
      <x:c r="H47" s="23"/>
      <x:c r="I47" s="25"/>
      <x:c r="J47" s="25"/>
      <x:c r="K47" s="25"/>
      <x:c r="L47" s="25"/>
      <x:c r="M47" s="25"/>
      <x:c r="N47" s="26">
        <x:f t="shared" si="7"/>
        <x:v>350000</x:v>
      </x:c>
      <x:c r="O47" s="23" t="s">
        <x:v>74</x:v>
      </x:c>
      <x:c r="P47" s="23" t="s">
        <x:v>34</x:v>
      </x:c>
    </x:row>
    <x:row r="48" ht="18.75" customHeight="1">
      <x:c r="A48" s="19">
        <x:v>47.0</x:v>
      </x:c>
      <x:c r="B48" s="23" t="s">
        <x:v>493</x:v>
      </x:c>
      <x:c r="C48" s="21">
        <x:v>45654.0</x:v>
      </x:c>
      <x:c r="D48" s="58" t="s">
        <x:v>1286</x:v>
      </x:c>
      <x:c r="E48" s="56"/>
      <x:c r="F48" s="23"/>
      <x:c r="G48" s="56"/>
      <x:c r="H48" s="23"/>
      <x:c r="I48" s="24"/>
      <x:c r="J48" s="24"/>
      <x:c r="K48" s="24">
        <x:v>6.0</x:v>
      </x:c>
      <x:c r="L48" s="24"/>
      <x:c r="M48" s="24"/>
      <x:c r="N48" s="26" t="n">
        <x:f>(E48*240+F48*240+G48*350+H48*390+I48*230+J48*190+K48*230+L48*390)*1000+3000</x:f>
        <x:v>1383000</x:v>
      </x:c>
      <x:c r="O48" s="23" t="s">
        <x:v>74</x:v>
      </x:c>
      <x:c r="P48" s="23" t="s">
        <x:v>31</x:v>
      </x:c>
    </x:row>
    <x:row r="49" ht="18.75" customHeight="1">
      <x:c r="A49" s="19">
        <x:v>48.0</x:v>
      </x:c>
      <x:c r="B49" s="23" t="s">
        <x:v>806</x:v>
      </x:c>
      <x:c r="C49" s="21">
        <x:v>45654.0</x:v>
      </x:c>
      <x:c r="D49" s="58" t="s">
        <x:v>1287</x:v>
      </x:c>
      <x:c r="E49" s="23">
        <x:v>2.0</x:v>
      </x:c>
      <x:c r="F49" s="23">
        <x:v>4.0</x:v>
      </x:c>
      <x:c r="G49" s="23">
        <x:v>2.0</x:v>
      </x:c>
      <x:c r="H49" s="23"/>
      <x:c r="I49" s="24">
        <x:v>2.0</x:v>
      </x:c>
      <x:c r="J49" s="24"/>
      <x:c r="K49" s="24"/>
      <x:c r="L49" s="24"/>
      <x:c r="M49" s="24"/>
      <x:c r="N49" s="26" t="n">
        <x:f t="shared" ref="N49:N50" si="8">(E49*240+F49*240+G49*350+H49*390+I49*230+L49*390)*1000</x:f>
        <x:v>2600000</x:v>
      </x:c>
      <x:c r="O49" s="23" t="s">
        <x:v>74</x:v>
      </x:c>
      <x:c r="P49" s="23" t="s">
        <x:v>34</x:v>
      </x:c>
    </x:row>
    <x:row r="50" ht="18.75" customHeight="1">
      <x:c r="A50" s="19">
        <x:v>49.0</x:v>
      </x:c>
      <x:c r="B50" s="23" t="s">
        <x:v>1288</x:v>
      </x:c>
      <x:c r="C50" s="21">
        <x:v>45654.0</x:v>
      </x:c>
      <x:c r="D50" s="22" t="s">
        <x:v>1289</x:v>
      </x:c>
      <x:c r="E50" s="56"/>
      <x:c r="F50" s="23">
        <x:v>1.0</x:v>
      </x:c>
      <x:c r="G50" s="56"/>
      <x:c r="H50" s="23"/>
      <x:c r="I50" s="24"/>
      <x:c r="J50" s="24"/>
      <x:c r="K50" s="24"/>
      <x:c r="L50" s="24"/>
      <x:c r="M50" s="24"/>
      <x:c r="N50" s="26">
        <x:f t="shared" si="8"/>
        <x:v>240000</x:v>
      </x:c>
      <x:c r="O50" s="23" t="s">
        <x:v>74</x:v>
      </x:c>
      <x:c r="P50" s="23" t="s">
        <x:v>34</x:v>
      </x:c>
    </x:row>
    <x:row r="51" ht="18.75" customHeight="1">
      <x:c r="A51" s="19">
        <x:v>50.0</x:v>
      </x:c>
      <x:c r="B51" s="23" t="s">
        <x:v>1290</x:v>
      </x:c>
      <x:c r="C51" s="21">
        <x:v>45654.0</x:v>
      </x:c>
      <x:c r="D51" s="58" t="s">
        <x:v>1291</x:v>
      </x:c>
      <x:c r="E51" s="56"/>
      <x:c r="F51" s="23">
        <x:v>1.0</x:v>
      </x:c>
      <x:c r="G51" s="56"/>
      <x:c r="H51" s="23"/>
      <x:c r="I51" s="24">
        <x:v>2.0</x:v>
      </x:c>
      <x:c r="J51" s="24"/>
      <x:c r="K51" s="24"/>
      <x:c r="L51" s="24"/>
      <x:c r="M51" s="24"/>
      <x:c r="N51" s="26" t="n">
        <x:f>(E51*240+F51*240+G51*350+H51*390+I51*230+L51*390)*1000+25000</x:f>
        <x:v>725000</x:v>
      </x:c>
      <x:c r="O51" s="23" t="s">
        <x:v>74</x:v>
      </x:c>
      <x:c r="P51" s="23" t="s">
        <x:v>34</x:v>
      </x:c>
      <x:c r="Q51" s="39"/>
    </x:row>
    <x:row r="52" ht="18.75" customHeight="1">
      <x:c r="A52" s="19">
        <x:v>51.0</x:v>
      </x:c>
      <x:c r="B52" s="23" t="s">
        <x:v>1292</x:v>
      </x:c>
      <x:c r="C52" s="21">
        <x:v>45654.0</x:v>
      </x:c>
      <x:c r="D52" s="58" t="s">
        <x:v>1293</x:v>
      </x:c>
      <x:c r="E52" s="56"/>
      <x:c r="F52" s="23"/>
      <x:c r="G52" s="23">
        <x:v>1.0</x:v>
      </x:c>
      <x:c r="H52" s="23"/>
      <x:c r="I52" s="25"/>
      <x:c r="J52" s="25"/>
      <x:c r="K52" s="25"/>
      <x:c r="L52" s="25"/>
      <x:c r="M52" s="25"/>
      <x:c r="N52" s="26" t="n">
        <x:f>(E52*240+F52*240+G52*350+H52*390+I52*230+L52*390)*1000</x:f>
        <x:v>350000</x:v>
      </x:c>
      <x:c r="O52" s="23" t="s">
        <x:v>74</x:v>
      </x:c>
      <x:c r="P52" s="23" t="s">
        <x:v>34</x:v>
      </x:c>
    </x:row>
    <x:row r="53" ht="18.75" customHeight="1">
      <x:c r="A53" s="19">
        <x:v>52.0</x:v>
      </x:c>
      <x:c r="B53" s="23" t="s">
        <x:v>1294</x:v>
      </x:c>
      <x:c r="C53" s="21">
        <x:v>45654.0</x:v>
      </x:c>
      <x:c r="D53" s="22" t="s">
        <x:v>1295</x:v>
      </x:c>
      <x:c r="E53" s="56"/>
      <x:c r="F53" s="23"/>
      <x:c r="G53" s="56"/>
      <x:c r="H53" s="23"/>
      <x:c r="I53" s="25"/>
      <x:c r="J53" s="25"/>
      <x:c r="K53" s="24">
        <x:v>1.0</x:v>
      </x:c>
      <x:c r="L53" s="25"/>
      <x:c r="M53" s="25"/>
      <x:c r="N53" s="26" t="n">
        <x:f t="shared" ref="N53:N55" si="9">(E53*240+F53*240+G53*350+H53*390+I53*230+K53*230+L53*390)*1000</x:f>
        <x:v>230000</x:v>
      </x:c>
      <x:c r="O53" s="23" t="s">
        <x:v>74</x:v>
      </x:c>
      <x:c r="P53" s="23" t="s">
        <x:v>31</x:v>
      </x:c>
    </x:row>
    <x:row r="54" ht="18.75" customHeight="1">
      <x:c r="A54" s="19">
        <x:v>53.0</x:v>
      </x:c>
      <x:c r="B54" s="23" t="s">
        <x:v>1296</x:v>
      </x:c>
      <x:c r="C54" s="21">
        <x:v>45654.0</x:v>
      </x:c>
      <x:c r="D54" s="22" t="s">
        <x:v>1297</x:v>
      </x:c>
      <x:c r="E54" s="56"/>
      <x:c r="F54" s="23">
        <x:v>1.0</x:v>
      </x:c>
      <x:c r="G54" s="56"/>
      <x:c r="H54" s="23"/>
      <x:c r="I54" s="25"/>
      <x:c r="J54" s="25"/>
      <x:c r="K54" s="25"/>
      <x:c r="L54" s="25"/>
      <x:c r="M54" s="25"/>
      <x:c r="N54" s="26">
        <x:f t="shared" si="9"/>
        <x:v>240000</x:v>
      </x:c>
      <x:c r="O54" s="23" t="s">
        <x:v>74</x:v>
      </x:c>
      <x:c r="P54" s="23" t="s">
        <x:v>31</x:v>
      </x:c>
    </x:row>
    <x:row r="55" ht="18.75" customHeight="1">
      <x:c r="A55" s="19">
        <x:v>54.0</x:v>
      </x:c>
      <x:c r="B55" s="23" t="s">
        <x:v>1298</x:v>
      </x:c>
      <x:c r="C55" s="21">
        <x:v>45654.0</x:v>
      </x:c>
      <x:c r="D55" s="58" t="s">
        <x:v>1299</x:v>
      </x:c>
      <x:c r="E55" s="56"/>
      <x:c r="F55" s="23"/>
      <x:c r="G55" s="23"/>
      <x:c r="H55" s="23">
        <x:v>1.0</x:v>
      </x:c>
      <x:c r="I55" s="25"/>
      <x:c r="J55" s="25"/>
      <x:c r="K55" s="25"/>
      <x:c r="L55" s="25"/>
      <x:c r="M55" s="25"/>
      <x:c r="N55" s="26">
        <x:f t="shared" si="9"/>
        <x:v>390000</x:v>
      </x:c>
      <x:c r="O55" s="23" t="s">
        <x:v>74</x:v>
      </x:c>
      <x:c r="P55" s="23" t="s">
        <x:v>31</x:v>
      </x:c>
    </x:row>
    <x:row r="56" ht="18.75" customHeight="1">
      <x:c r="A56" s="19">
        <x:v>55.0</x:v>
      </x:c>
      <x:c r="B56" s="23" t="s">
        <x:v>1300</x:v>
      </x:c>
      <x:c r="C56" s="21">
        <x:v>45654.0</x:v>
      </x:c>
      <x:c r="D56" s="58" t="s">
        <x:v>1301</x:v>
      </x:c>
      <x:c r="E56" s="23"/>
      <x:c r="F56" s="23"/>
      <x:c r="G56" s="56"/>
      <x:c r="H56" s="23"/>
      <x:c r="I56" s="25"/>
      <x:c r="J56" s="24">
        <x:v>1.0</x:v>
      </x:c>
      <x:c r="K56" s="25"/>
      <x:c r="L56" s="25"/>
      <x:c r="M56" s="25"/>
      <x:c r="N56" s="26" t="n">
        <x:f>(E56*240+F56*240+G56*350+H56*390+I56*230+J56*190+K56*230+L56*390)*1000+25000</x:f>
        <x:v>215000</x:v>
      </x:c>
      <x:c r="O56" s="23" t="s">
        <x:v>74</x:v>
      </x:c>
      <x:c r="P56" s="23" t="s">
        <x:v>34</x:v>
      </x:c>
    </x:row>
    <x:row r="57" ht="18.75" customHeight="1">
      <x:c r="A57" s="19">
        <x:v>56.0</x:v>
      </x:c>
      <x:c r="B57" s="23" t="s">
        <x:v>1197</x:v>
      </x:c>
      <x:c r="C57" s="21">
        <x:v>45654.0</x:v>
      </x:c>
      <x:c r="D57" s="58" t="s">
        <x:v>1302</x:v>
      </x:c>
      <x:c r="E57" s="56"/>
      <x:c r="F57" s="23"/>
      <x:c r="G57" s="56"/>
      <x:c r="H57" s="23"/>
      <x:c r="I57" s="25"/>
      <x:c r="J57" s="24">
        <x:v>1.0</x:v>
      </x:c>
      <x:c r="K57" s="25"/>
      <x:c r="L57" s="25"/>
      <x:c r="M57" s="25"/>
      <x:c r="N57" s="26" t="n">
        <x:f t="shared" ref="N57:N62" si="10">(E57*240+F57*240+G57*350+H57*390+I57*230+J57*190+K57*230+L57*390)*1000</x:f>
        <x:v>190000</x:v>
      </x:c>
      <x:c r="O57" s="23" t="s">
        <x:v>74</x:v>
      </x:c>
      <x:c r="P57" s="23" t="s">
        <x:v>31</x:v>
      </x:c>
    </x:row>
    <x:row r="58" ht="18.75" customHeight="1">
      <x:c r="A58" s="19">
        <x:v>57.0</x:v>
      </x:c>
      <x:c r="B58" s="23" t="s">
        <x:v>1303</x:v>
      </x:c>
      <x:c r="C58" s="21">
        <x:v>45654.0</x:v>
      </x:c>
      <x:c r="D58" s="58" t="s">
        <x:v>1304</x:v>
      </x:c>
      <x:c r="E58" s="56"/>
      <x:c r="F58" s="23"/>
      <x:c r="G58" s="56"/>
      <x:c r="H58" s="23"/>
      <x:c r="I58" s="24"/>
      <x:c r="J58" s="24">
        <x:v>1.0</x:v>
      </x:c>
      <x:c r="K58" s="25"/>
      <x:c r="L58" s="25"/>
      <x:c r="M58" s="25"/>
      <x:c r="N58" s="26">
        <x:f t="shared" si="10"/>
        <x:v>190000</x:v>
      </x:c>
      <x:c r="O58" s="23" t="s">
        <x:v>74</x:v>
      </x:c>
      <x:c r="P58" s="23" t="s">
        <x:v>34</x:v>
      </x:c>
    </x:row>
    <x:row r="59" ht="18.75" customHeight="1">
      <x:c r="A59" s="19">
        <x:v>58.0</x:v>
      </x:c>
      <x:c r="B59" s="23" t="s">
        <x:v>1305</x:v>
      </x:c>
      <x:c r="C59" s="21">
        <x:v>45655.0</x:v>
      </x:c>
      <x:c r="D59" s="58" t="s">
        <x:v>1306</x:v>
      </x:c>
      <x:c r="E59" s="23">
        <x:v>1.0</x:v>
      </x:c>
      <x:c r="F59" s="23">
        <x:v>1.0</x:v>
      </x:c>
      <x:c r="G59" s="56"/>
      <x:c r="H59" s="23"/>
      <x:c r="I59" s="24"/>
      <x:c r="J59" s="24"/>
      <x:c r="K59" s="24"/>
      <x:c r="L59" s="24"/>
      <x:c r="M59" s="24"/>
      <x:c r="N59" s="26">
        <x:f t="shared" si="10"/>
        <x:v>480000</x:v>
      </x:c>
      <x:c r="O59" s="23" t="s">
        <x:v>74</x:v>
      </x:c>
      <x:c r="P59" s="23" t="s">
        <x:v>34</x:v>
      </x:c>
    </x:row>
    <x:row r="60" ht="18.75" customHeight="1">
      <x:c r="A60" s="19">
        <x:v>59.0</x:v>
      </x:c>
      <x:c r="B60" s="23" t="s">
        <x:v>1307</x:v>
      </x:c>
      <x:c r="C60" s="21">
        <x:v>45655.0</x:v>
      </x:c>
      <x:c r="D60" s="58" t="s">
        <x:v>1308</x:v>
      </x:c>
      <x:c r="E60" s="56"/>
      <x:c r="F60" s="23">
        <x:v>1.0</x:v>
      </x:c>
      <x:c r="G60" s="56"/>
      <x:c r="H60" s="23"/>
      <x:c r="I60" s="24"/>
      <x:c r="J60" s="24"/>
      <x:c r="K60" s="24"/>
      <x:c r="L60" s="24"/>
      <x:c r="M60" s="24"/>
      <x:c r="N60" s="26">
        <x:f t="shared" si="10"/>
        <x:v>240000</x:v>
      </x:c>
      <x:c r="O60" s="23" t="s">
        <x:v>74</x:v>
      </x:c>
      <x:c r="P60" s="23" t="s">
        <x:v>31</x:v>
      </x:c>
    </x:row>
    <x:row r="61" ht="18.75" customHeight="1">
      <x:c r="A61" s="19">
        <x:v>60.0</x:v>
      </x:c>
      <x:c r="B61" s="23" t="s">
        <x:v>1309</x:v>
      </x:c>
      <x:c r="C61" s="21">
        <x:v>45655.0</x:v>
      </x:c>
      <x:c r="D61" s="55"/>
      <x:c r="E61" s="56"/>
      <x:c r="F61" s="23"/>
      <x:c r="G61" s="56"/>
      <x:c r="H61" s="23"/>
      <x:c r="I61" s="24"/>
      <x:c r="J61" s="24">
        <x:v>1.0</x:v>
      </x:c>
      <x:c r="K61" s="24"/>
      <x:c r="L61" s="24"/>
      <x:c r="M61" s="24"/>
      <x:c r="N61" s="26">
        <x:f t="shared" si="10"/>
        <x:v>190000</x:v>
      </x:c>
      <x:c r="O61" s="23" t="s">
        <x:v>74</x:v>
      </x:c>
      <x:c r="P61" s="23" t="s">
        <x:v>34</x:v>
      </x:c>
    </x:row>
    <x:row r="62" ht="18.75" customHeight="1">
      <x:c r="A62" s="19">
        <x:v>61.0</x:v>
      </x:c>
      <x:c r="B62" s="23" t="s">
        <x:v>1310</x:v>
      </x:c>
      <x:c r="C62" s="21">
        <x:v>45655.0</x:v>
      </x:c>
      <x:c r="D62" s="58" t="s">
        <x:v>1311</x:v>
      </x:c>
      <x:c r="E62" s="23">
        <x:v>1.0</x:v>
      </x:c>
      <x:c r="F62" s="23"/>
      <x:c r="G62" s="56"/>
      <x:c r="H62" s="23"/>
      <x:c r="I62" s="24"/>
      <x:c r="J62" s="24"/>
      <x:c r="K62" s="24"/>
      <x:c r="L62" s="24"/>
      <x:c r="M62" s="24"/>
      <x:c r="N62" s="26">
        <x:f t="shared" si="10"/>
        <x:v>240000</x:v>
      </x:c>
      <x:c r="O62" s="23" t="s">
        <x:v>74</x:v>
      </x:c>
      <x:c r="P62" s="23" t="s">
        <x:v>34</x:v>
      </x:c>
    </x:row>
    <x:row r="63" ht="18.75" customHeight="1">
      <x:c r="A63" s="19">
        <x:v>62.0</x:v>
      </x:c>
      <x:c r="B63" s="23" t="s">
        <x:v>434</x:v>
      </x:c>
      <x:c r="C63" s="21">
        <x:v>45655.0</x:v>
      </x:c>
      <x:c r="D63" s="55"/>
      <x:c r="E63" s="23"/>
      <x:c r="F63" s="23">
        <x:v>1.0</x:v>
      </x:c>
      <x:c r="G63" s="56"/>
      <x:c r="H63" s="23"/>
      <x:c r="I63" s="25"/>
      <x:c r="J63" s="25"/>
      <x:c r="K63" s="25"/>
      <x:c r="L63" s="25"/>
      <x:c r="M63" s="25"/>
      <x:c r="N63" s="26" t="n">
        <x:f>(E63*240+F63*240+G63*350+H63*390+I63*230+J63*190+K63*230+L63*390)*1000-30000</x:f>
        <x:v>210000</x:v>
      </x:c>
      <x:c r="O63" s="23" t="s">
        <x:v>74</x:v>
      </x:c>
      <x:c r="P63" s="23" t="s">
        <x:v>31</x:v>
      </x:c>
    </x:row>
    <x:row r="64" ht="18.75" customHeight="1">
      <x:c r="A64" s="19">
        <x:v>63.0</x:v>
      </x:c>
      <x:c r="B64" s="23" t="s">
        <x:v>1312</x:v>
      </x:c>
      <x:c r="C64" s="21">
        <x:v>45655.0</x:v>
      </x:c>
      <x:c r="D64" s="58" t="s">
        <x:v>1313</x:v>
      </x:c>
      <x:c r="E64" s="23"/>
      <x:c r="F64" s="23">
        <x:v>1.0</x:v>
      </x:c>
      <x:c r="G64" s="56"/>
      <x:c r="H64" s="23"/>
      <x:c r="I64" s="25"/>
      <x:c r="J64" s="25"/>
      <x:c r="K64" s="25"/>
      <x:c r="L64" s="25"/>
      <x:c r="M64" s="25"/>
      <x:c r="N64" s="26" t="n">
        <x:f t="shared" ref="N64:N69" si="11">(E64*240+F64*240+G64*350+H64*390+I64*230+J64*190+K64*230+L64*390)*1000</x:f>
        <x:v>240000</x:v>
      </x:c>
      <x:c r="O64" s="23" t="s">
        <x:v>74</x:v>
      </x:c>
      <x:c r="P64" s="23" t="s">
        <x:v>31</x:v>
      </x:c>
    </x:row>
    <x:row r="65" ht="18.75" customHeight="1">
      <x:c r="A65" s="19">
        <x:v>64.0</x:v>
      </x:c>
      <x:c r="B65" s="23" t="s">
        <x:v>1282</x:v>
      </x:c>
      <x:c r="C65" s="21">
        <x:v>45655.0</x:v>
      </x:c>
      <x:c r="D65" s="58" t="s">
        <x:v>1314</x:v>
      </x:c>
      <x:c r="E65" s="23">
        <x:v>1.0</x:v>
      </x:c>
      <x:c r="F65" s="23"/>
      <x:c r="G65" s="23">
        <x:v>1.0</x:v>
      </x:c>
      <x:c r="H65" s="23"/>
      <x:c r="I65" s="25"/>
      <x:c r="J65" s="25"/>
      <x:c r="K65" s="25"/>
      <x:c r="L65" s="24">
        <x:v>1.0</x:v>
      </x:c>
      <x:c r="M65" s="25"/>
      <x:c r="N65" s="26">
        <x:f t="shared" si="11"/>
        <x:v>980000</x:v>
      </x:c>
      <x:c r="O65" s="23" t="s">
        <x:v>74</x:v>
      </x:c>
      <x:c r="P65" s="23" t="s">
        <x:v>31</x:v>
      </x:c>
    </x:row>
    <x:row r="66" ht="18.75" customHeight="1">
      <x:c r="A66" s="19">
        <x:v>65.0</x:v>
      </x:c>
      <x:c r="B66" s="23" t="s">
        <x:v>1315</x:v>
      </x:c>
      <x:c r="C66" s="21">
        <x:v>45655.0</x:v>
      </x:c>
      <x:c r="D66" s="58" t="s">
        <x:v>1316</x:v>
      </x:c>
      <x:c r="E66" s="23"/>
      <x:c r="F66" s="23"/>
      <x:c r="G66" s="23"/>
      <x:c r="H66" s="23"/>
      <x:c r="I66" s="24">
        <x:v>1.0</x:v>
      </x:c>
      <x:c r="J66" s="25"/>
      <x:c r="K66" s="25"/>
      <x:c r="L66" s="25"/>
      <x:c r="M66" s="25"/>
      <x:c r="N66" s="26">
        <x:f t="shared" si="11"/>
        <x:v>230000</x:v>
      </x:c>
      <x:c r="O66" s="23" t="s">
        <x:v>74</x:v>
      </x:c>
      <x:c r="P66" s="23" t="s">
        <x:v>31</x:v>
      </x:c>
    </x:row>
    <x:row r="67" ht="18.75" customHeight="1">
      <x:c r="A67" s="19">
        <x:v>66.0</x:v>
      </x:c>
      <x:c r="B67" s="23" t="s">
        <x:v>1317</x:v>
      </x:c>
      <x:c r="C67" s="21">
        <x:v>45655.0</x:v>
      </x:c>
      <x:c r="D67" s="58" t="s">
        <x:v>1318</x:v>
      </x:c>
      <x:c r="E67" s="23"/>
      <x:c r="F67" s="23"/>
      <x:c r="G67" s="56"/>
      <x:c r="H67" s="23"/>
      <x:c r="I67" s="25"/>
      <x:c r="J67" s="24">
        <x:v>1.0</x:v>
      </x:c>
      <x:c r="K67" s="25"/>
      <x:c r="L67" s="25"/>
      <x:c r="M67" s="25"/>
      <x:c r="N67" s="26">
        <x:f t="shared" si="11"/>
        <x:v>190000</x:v>
      </x:c>
      <x:c r="O67" s="23" t="s">
        <x:v>74</x:v>
      </x:c>
      <x:c r="P67" s="23" t="s">
        <x:v>34</x:v>
      </x:c>
    </x:row>
    <x:row r="68" ht="18.75" customHeight="1">
      <x:c r="A68" s="19">
        <x:v>67.0</x:v>
      </x:c>
      <x:c r="B68" s="23" t="s">
        <x:v>1058</x:v>
      </x:c>
      <x:c r="C68" s="21">
        <x:v>45655.0</x:v>
      </x:c>
      <x:c r="D68" s="58" t="s">
        <x:v>1319</x:v>
      </x:c>
      <x:c r="E68" s="23"/>
      <x:c r="F68" s="23">
        <x:v>1.0</x:v>
      </x:c>
      <x:c r="G68" s="56"/>
      <x:c r="H68" s="23"/>
      <x:c r="I68" s="24">
        <x:v>1.0</x:v>
      </x:c>
      <x:c r="J68" s="24"/>
      <x:c r="K68" s="24"/>
      <x:c r="L68" s="24"/>
      <x:c r="M68" s="24"/>
      <x:c r="N68" s="26">
        <x:f t="shared" si="11"/>
        <x:v>470000</x:v>
      </x:c>
      <x:c r="O68" s="23" t="s">
        <x:v>74</x:v>
      </x:c>
      <x:c r="P68" s="23" t="s">
        <x:v>31</x:v>
      </x:c>
    </x:row>
    <x:row r="69" ht="18.75" customHeight="1">
      <x:c r="A69" s="19">
        <x:v>68.0</x:v>
      </x:c>
      <x:c r="B69" s="23" t="s">
        <x:v>1320</x:v>
      </x:c>
      <x:c r="C69" s="21">
        <x:v>45655.0</x:v>
      </x:c>
      <x:c r="D69" s="58" t="s">
        <x:v>1321</x:v>
      </x:c>
      <x:c r="E69" s="23"/>
      <x:c r="F69" s="23">
        <x:v>1.0</x:v>
      </x:c>
      <x:c r="G69" s="56"/>
      <x:c r="H69" s="23"/>
      <x:c r="I69" s="25"/>
      <x:c r="J69" s="25"/>
      <x:c r="K69" s="24">
        <x:v>1.0</x:v>
      </x:c>
      <x:c r="L69" s="25"/>
      <x:c r="M69" s="25"/>
      <x:c r="N69" s="26">
        <x:f t="shared" si="11"/>
        <x:v>470000</x:v>
      </x:c>
      <x:c r="O69" s="23" t="s">
        <x:v>74</x:v>
      </x:c>
      <x:c r="P69" s="23" t="s">
        <x:v>31</x:v>
      </x:c>
    </x:row>
    <x:row r="70" ht="18.75" customHeight="1">
      <x:c r="A70" s="19">
        <x:v>69.0</x:v>
      </x:c>
      <x:c r="B70" s="23" t="s">
        <x:v>1322</x:v>
      </x:c>
      <x:c r="C70" s="21">
        <x:v>45655.0</x:v>
      </x:c>
      <x:c r="D70" s="22" t="s">
        <x:v>1323</x:v>
      </x:c>
      <x:c r="E70" s="23"/>
      <x:c r="F70" s="23">
        <x:v>1.0</x:v>
      </x:c>
      <x:c r="G70" s="56"/>
      <x:c r="H70" s="23"/>
      <x:c r="I70" s="25"/>
      <x:c r="J70" s="25"/>
      <x:c r="K70" s="25"/>
      <x:c r="L70" s="25"/>
      <x:c r="M70" s="25"/>
      <x:c r="N70" s="26" t="n">
        <x:f>(E70*240+F70*240+G70*350+H70*390+I70*230+J70*190+K70*230+L70*390)*1000+25000</x:f>
        <x:v>265000</x:v>
      </x:c>
      <x:c r="O70" s="23" t="s">
        <x:v>74</x:v>
      </x:c>
      <x:c r="P70" s="23" t="s">
        <x:v>31</x:v>
      </x:c>
    </x:row>
    <x:row r="71" ht="18.75" customHeight="1">
      <x:c r="A71" s="19">
        <x:v>70.0</x:v>
      </x:c>
      <x:c r="B71" s="23" t="s">
        <x:v>1324</x:v>
      </x:c>
      <x:c r="C71" s="21">
        <x:v>45655.0</x:v>
      </x:c>
      <x:c r="D71" s="58" t="s">
        <x:v>1325</x:v>
      </x:c>
      <x:c r="E71" s="23"/>
      <x:c r="F71" s="23"/>
      <x:c r="G71" s="23">
        <x:v>1.0</x:v>
      </x:c>
      <x:c r="H71" s="23"/>
      <x:c r="I71" s="25"/>
      <x:c r="J71" s="25"/>
      <x:c r="K71" s="25"/>
      <x:c r="L71" s="25"/>
      <x:c r="M71" s="25"/>
      <x:c r="N71" s="26" t="n">
        <x:f t="shared" ref="N71:N95" si="12">(E71*240+F71*240+G71*350+H71*390+I71*230+J71*190+K71*230+L71*390)*1000</x:f>
        <x:v>350000</x:v>
      </x:c>
      <x:c r="O71" s="23" t="s">
        <x:v>74</x:v>
      </x:c>
      <x:c r="P71" s="23" t="s">
        <x:v>31</x:v>
      </x:c>
    </x:row>
    <x:row r="72" ht="18.75" customHeight="1">
      <x:c r="A72" s="19">
        <x:v>71.0</x:v>
      </x:c>
      <x:c r="B72" s="23" t="s">
        <x:v>1326</x:v>
      </x:c>
      <x:c r="C72" s="21">
        <x:v>45655.0</x:v>
      </x:c>
      <x:c r="D72" s="58" t="s">
        <x:v>1327</x:v>
      </x:c>
      <x:c r="E72" s="23"/>
      <x:c r="F72" s="23">
        <x:v>1.0</x:v>
      </x:c>
      <x:c r="G72" s="56"/>
      <x:c r="H72" s="23"/>
      <x:c r="I72" s="25"/>
      <x:c r="J72" s="25"/>
      <x:c r="K72" s="25"/>
      <x:c r="L72" s="25"/>
      <x:c r="M72" s="25"/>
      <x:c r="N72" s="26">
        <x:f t="shared" si="12"/>
        <x:v>240000</x:v>
      </x:c>
      <x:c r="O72" s="23" t="s">
        <x:v>74</x:v>
      </x:c>
      <x:c r="P72" s="23" t="s">
        <x:v>34</x:v>
      </x:c>
    </x:row>
    <x:row r="73" ht="18.75" customHeight="1">
      <x:c r="A73" s="19">
        <x:v>72.0</x:v>
      </x:c>
      <x:c r="B73" s="119" t="s">
        <x:v>1328</x:v>
      </x:c>
      <x:c r="C73" s="21">
        <x:v>45655.0</x:v>
      </x:c>
      <x:c r="D73" s="55"/>
      <x:c r="E73" s="23"/>
      <x:c r="F73" s="23"/>
      <x:c r="G73" s="56"/>
      <x:c r="H73" s="23"/>
      <x:c r="I73" s="25"/>
      <x:c r="J73" s="25"/>
      <x:c r="K73" s="24">
        <x:v>1.0</x:v>
      </x:c>
      <x:c r="L73" s="25"/>
      <x:c r="M73" s="25"/>
      <x:c r="N73" s="26">
        <x:f t="shared" si="12"/>
        <x:v>230000</x:v>
      </x:c>
      <x:c r="O73" s="23" t="s">
        <x:v>74</x:v>
      </x:c>
      <x:c r="P73" s="23" t="s">
        <x:v>31</x:v>
      </x:c>
    </x:row>
    <x:row r="74" ht="18.75" customHeight="1">
      <x:c r="A74" s="19">
        <x:v>73.0</x:v>
      </x:c>
      <x:c r="B74" s="119" t="s">
        <x:v>1329</x:v>
      </x:c>
      <x:c r="C74" s="21">
        <x:v>45655.0</x:v>
      </x:c>
      <x:c r="D74" s="58" t="s">
        <x:v>1330</x:v>
      </x:c>
      <x:c r="E74" s="23"/>
      <x:c r="F74" s="23"/>
      <x:c r="G74" s="56"/>
      <x:c r="H74" s="23"/>
      <x:c r="I74" s="25"/>
      <x:c r="J74" s="24">
        <x:v>1.0</x:v>
      </x:c>
      <x:c r="K74" s="25"/>
      <x:c r="L74" s="25"/>
      <x:c r="M74" s="25"/>
      <x:c r="N74" s="26">
        <x:f t="shared" si="12"/>
        <x:v>190000</x:v>
      </x:c>
      <x:c r="O74" s="23" t="s">
        <x:v>74</x:v>
      </x:c>
      <x:c r="P74" s="23" t="s">
        <x:v>31</x:v>
      </x:c>
    </x:row>
    <x:row r="75" ht="18.75" customHeight="1">
      <x:c r="A75" s="19">
        <x:v>74.0</x:v>
      </x:c>
      <x:c r="B75" s="98" t="s">
        <x:v>1331</x:v>
      </x:c>
      <x:c r="C75" s="21">
        <x:v>45656.0</x:v>
      </x:c>
      <x:c r="D75" s="58" t="s">
        <x:v>1332</x:v>
      </x:c>
      <x:c r="E75" s="23">
        <x:v>1.0</x:v>
      </x:c>
      <x:c r="F75" s="23"/>
      <x:c r="G75" s="56"/>
      <x:c r="H75" s="23"/>
      <x:c r="I75" s="25"/>
      <x:c r="J75" s="24"/>
      <x:c r="K75" s="25"/>
      <x:c r="L75" s="25"/>
      <x:c r="M75" s="25"/>
      <x:c r="N75" s="26">
        <x:f t="shared" si="12"/>
        <x:v>240000</x:v>
      </x:c>
      <x:c r="O75" s="23" t="s">
        <x:v>74</x:v>
      </x:c>
      <x:c r="P75" s="23" t="s">
        <x:v>34</x:v>
      </x:c>
    </x:row>
    <x:row r="76" ht="18.75" customHeight="1">
      <x:c r="A76" s="19">
        <x:v>75.0</x:v>
      </x:c>
      <x:c r="B76" s="98" t="s">
        <x:v>1333</x:v>
      </x:c>
      <x:c r="C76" s="21">
        <x:v>45656.0</x:v>
      </x:c>
      <x:c r="D76" s="58" t="s">
        <x:v>1334</x:v>
      </x:c>
      <x:c r="E76" s="23"/>
      <x:c r="F76" s="23">
        <x:v>1.0</x:v>
      </x:c>
      <x:c r="G76" s="56"/>
      <x:c r="H76" s="23"/>
      <x:c r="I76" s="25"/>
      <x:c r="J76" s="24"/>
      <x:c r="K76" s="25"/>
      <x:c r="L76" s="25"/>
      <x:c r="M76" s="25"/>
      <x:c r="N76" s="26">
        <x:f t="shared" si="12"/>
        <x:v>240000</x:v>
      </x:c>
      <x:c r="O76" s="23" t="s">
        <x:v>74</x:v>
      </x:c>
      <x:c r="P76" s="23" t="s">
        <x:v>31</x:v>
      </x:c>
    </x:row>
    <x:row r="77" ht="18.75" customHeight="1">
      <x:c r="A77" s="19">
        <x:v>76.0</x:v>
      </x:c>
      <x:c r="B77" s="98" t="s">
        <x:v>1335</x:v>
      </x:c>
      <x:c r="C77" s="21">
        <x:v>45656.0</x:v>
      </x:c>
      <x:c r="D77" s="58" t="s">
        <x:v>1336</x:v>
      </x:c>
      <x:c r="E77" s="23"/>
      <x:c r="F77" s="23">
        <x:v>1.0</x:v>
      </x:c>
      <x:c r="G77" s="56"/>
      <x:c r="H77" s="23"/>
      <x:c r="I77" s="25"/>
      <x:c r="J77" s="24"/>
      <x:c r="K77" s="25"/>
      <x:c r="L77" s="25"/>
      <x:c r="M77" s="25"/>
      <x:c r="N77" s="26">
        <x:f t="shared" si="12"/>
        <x:v>240000</x:v>
      </x:c>
      <x:c r="O77" s="23" t="s">
        <x:v>74</x:v>
      </x:c>
      <x:c r="P77" s="23" t="s">
        <x:v>34</x:v>
      </x:c>
    </x:row>
    <x:row r="78" ht="18.75" customHeight="1">
      <x:c r="A78" s="19">
        <x:v>77.0</x:v>
      </x:c>
      <x:c r="B78" s="98" t="s">
        <x:v>1337</x:v>
      </x:c>
      <x:c r="C78" s="21">
        <x:v>45656.0</x:v>
      </x:c>
      <x:c r="D78" s="58" t="s">
        <x:v>1338</x:v>
      </x:c>
      <x:c r="E78" s="23"/>
      <x:c r="F78" s="23"/>
      <x:c r="G78" s="56"/>
      <x:c r="H78" s="23"/>
      <x:c r="I78" s="24">
        <x:v>1.0</x:v>
      </x:c>
      <x:c r="J78" s="24"/>
      <x:c r="K78" s="25"/>
      <x:c r="L78" s="25"/>
      <x:c r="M78" s="25"/>
      <x:c r="N78" s="26">
        <x:f t="shared" si="12"/>
        <x:v>230000</x:v>
      </x:c>
      <x:c r="O78" s="23" t="s">
        <x:v>74</x:v>
      </x:c>
      <x:c r="P78" s="23" t="s">
        <x:v>34</x:v>
      </x:c>
    </x:row>
    <x:row r="79" ht="18.75" customHeight="1">
      <x:c r="A79" s="19">
        <x:v>78.0</x:v>
      </x:c>
      <x:c r="B79" s="98" t="s">
        <x:v>1080</x:v>
      </x:c>
      <x:c r="C79" s="21">
        <x:v>45656.0</x:v>
      </x:c>
      <x:c r="D79" s="58" t="s">
        <x:v>1081</x:v>
      </x:c>
      <x:c r="E79" s="23"/>
      <x:c r="F79" s="23">
        <x:v>1.0</x:v>
      </x:c>
      <x:c r="G79" s="56"/>
      <x:c r="H79" s="23"/>
      <x:c r="I79" s="25"/>
      <x:c r="J79" s="24"/>
      <x:c r="K79" s="24">
        <x:v>1.0</x:v>
      </x:c>
      <x:c r="L79" s="25"/>
      <x:c r="M79" s="25"/>
      <x:c r="N79" s="26">
        <x:f t="shared" si="12"/>
        <x:v>470000</x:v>
      </x:c>
      <x:c r="O79" s="23" t="s">
        <x:v>74</x:v>
      </x:c>
      <x:c r="P79" s="23" t="s">
        <x:v>31</x:v>
      </x:c>
    </x:row>
    <x:row r="80" ht="18.75" customHeight="1">
      <x:c r="A80" s="19">
        <x:v>79.0</x:v>
      </x:c>
      <x:c r="B80" s="98" t="s">
        <x:v>1339</x:v>
      </x:c>
      <x:c r="C80" s="21">
        <x:v>45656.0</x:v>
      </x:c>
      <x:c r="D80" s="58" t="s">
        <x:v>1340</x:v>
      </x:c>
      <x:c r="E80" s="23"/>
      <x:c r="F80" s="23">
        <x:v>1.0</x:v>
      </x:c>
      <x:c r="G80" s="56"/>
      <x:c r="H80" s="23"/>
      <x:c r="I80" s="25"/>
      <x:c r="J80" s="24"/>
      <x:c r="K80" s="25"/>
      <x:c r="L80" s="25"/>
      <x:c r="M80" s="25"/>
      <x:c r="N80" s="26">
        <x:f t="shared" si="12"/>
        <x:v>240000</x:v>
      </x:c>
      <x:c r="O80" s="23" t="s">
        <x:v>74</x:v>
      </x:c>
      <x:c r="P80" s="23" t="s">
        <x:v>34</x:v>
      </x:c>
    </x:row>
    <x:row r="81" ht="18.75" customHeight="1">
      <x:c r="A81" s="19">
        <x:v>80.0</x:v>
      </x:c>
      <x:c r="B81" s="98" t="s">
        <x:v>1341</x:v>
      </x:c>
      <x:c r="C81" s="21">
        <x:v>45656.0</x:v>
      </x:c>
      <x:c r="D81" s="58" t="s">
        <x:v>1342</x:v>
      </x:c>
      <x:c r="E81" s="23"/>
      <x:c r="F81" s="23">
        <x:v>1.0</x:v>
      </x:c>
      <x:c r="G81" s="56"/>
      <x:c r="H81" s="23"/>
      <x:c r="I81" s="24">
        <x:v>1.0</x:v>
      </x:c>
      <x:c r="J81" s="24"/>
      <x:c r="K81" s="25"/>
      <x:c r="L81" s="25"/>
      <x:c r="M81" s="25"/>
      <x:c r="N81" s="26">
        <x:f t="shared" si="12"/>
        <x:v>470000</x:v>
      </x:c>
      <x:c r="O81" s="23" t="s">
        <x:v>74</x:v>
      </x:c>
      <x:c r="P81" s="23" t="s">
        <x:v>31</x:v>
      </x:c>
    </x:row>
    <x:row r="82" ht="18.75" customHeight="1">
      <x:c r="A82" s="19">
        <x:v>81.0</x:v>
      </x:c>
      <x:c r="B82" s="98" t="s">
        <x:v>1343</x:v>
      </x:c>
      <x:c r="C82" s="21">
        <x:v>45656.0</x:v>
      </x:c>
      <x:c r="D82" s="58" t="s">
        <x:v>1344</x:v>
      </x:c>
      <x:c r="E82" s="23">
        <x:v>1.0</x:v>
      </x:c>
      <x:c r="F82" s="23">
        <x:v>1.0</x:v>
      </x:c>
      <x:c r="G82" s="56"/>
      <x:c r="H82" s="23"/>
      <x:c r="I82" s="25"/>
      <x:c r="J82" s="24"/>
      <x:c r="K82" s="24">
        <x:v>1.0</x:v>
      </x:c>
      <x:c r="L82" s="25"/>
      <x:c r="M82" s="25"/>
      <x:c r="N82" s="26">
        <x:f t="shared" si="12"/>
        <x:v>710000</x:v>
      </x:c>
      <x:c r="O82" s="23" t="s">
        <x:v>74</x:v>
      </x:c>
      <x:c r="P82" s="23" t="s">
        <x:v>31</x:v>
      </x:c>
    </x:row>
    <x:row r="83" ht="18.75" customHeight="1">
      <x:c r="A83" s="19">
        <x:v>82.0</x:v>
      </x:c>
      <x:c r="B83" s="98" t="s">
        <x:v>1345</x:v>
      </x:c>
      <x:c r="C83" s="21">
        <x:v>45656.0</x:v>
      </x:c>
      <x:c r="D83" s="58" t="s">
        <x:v>1346</x:v>
      </x:c>
      <x:c r="E83" s="23"/>
      <x:c r="F83" s="23">
        <x:v>1.0</x:v>
      </x:c>
      <x:c r="G83" s="56"/>
      <x:c r="H83" s="23"/>
      <x:c r="I83" s="25"/>
      <x:c r="J83" s="24"/>
      <x:c r="K83" s="25"/>
      <x:c r="L83" s="25"/>
      <x:c r="M83" s="25"/>
      <x:c r="N83" s="26">
        <x:f t="shared" si="12"/>
        <x:v>240000</x:v>
      </x:c>
      <x:c r="O83" s="23" t="s">
        <x:v>1347</x:v>
      </x:c>
      <x:c r="P83" s="23" t="s">
        <x:v>34</x:v>
      </x:c>
    </x:row>
    <x:row r="84" ht="18.75" customHeight="1">
      <x:c r="A84" s="19">
        <x:v>83.0</x:v>
      </x:c>
      <x:c r="B84" s="98" t="s">
        <x:v>1348</x:v>
      </x:c>
      <x:c r="C84" s="21">
        <x:v>45656.0</x:v>
      </x:c>
      <x:c r="D84" s="22" t="s">
        <x:v>1349</x:v>
      </x:c>
      <x:c r="E84" s="23">
        <x:v>1.0</x:v>
      </x:c>
      <x:c r="F84" s="23"/>
      <x:c r="G84" s="56"/>
      <x:c r="H84" s="23"/>
      <x:c r="I84" s="25"/>
      <x:c r="J84" s="24"/>
      <x:c r="K84" s="25"/>
      <x:c r="L84" s="25"/>
      <x:c r="M84" s="25"/>
      <x:c r="N84" s="26">
        <x:f t="shared" si="12"/>
        <x:v>240000</x:v>
      </x:c>
      <x:c r="O84" s="23" t="s">
        <x:v>74</x:v>
      </x:c>
      <x:c r="P84" s="23" t="s">
        <x:v>31</x:v>
      </x:c>
    </x:row>
    <x:row r="85" ht="18.75" customHeight="1">
      <x:c r="A85" s="19">
        <x:v>84.0</x:v>
      </x:c>
      <x:c r="B85" s="98" t="s">
        <x:v>1126</x:v>
      </x:c>
      <x:c r="C85" s="21">
        <x:v>45656.0</x:v>
      </x:c>
      <x:c r="D85" s="58" t="s">
        <x:v>1350</x:v>
      </x:c>
      <x:c r="E85" s="23"/>
      <x:c r="F85" s="23"/>
      <x:c r="G85" s="56"/>
      <x:c r="H85" s="23"/>
      <x:c r="I85" s="24">
        <x:v>1.0</x:v>
      </x:c>
      <x:c r="J85" s="24"/>
      <x:c r="K85" s="25"/>
      <x:c r="L85" s="25"/>
      <x:c r="M85" s="25"/>
      <x:c r="N85" s="26">
        <x:f t="shared" si="12"/>
        <x:v>230000</x:v>
      </x:c>
      <x:c r="O85" s="23" t="s">
        <x:v>74</x:v>
      </x:c>
      <x:c r="P85" s="23" t="s">
        <x:v>31</x:v>
      </x:c>
    </x:row>
    <x:row r="86" ht="18.75" customHeight="1">
      <x:c r="A86" s="19">
        <x:v>85.0</x:v>
      </x:c>
      <x:c r="B86" s="98" t="s">
        <x:v>1292</x:v>
      </x:c>
      <x:c r="C86" s="21">
        <x:v>45656.0</x:v>
      </x:c>
      <x:c r="D86" s="22" t="s">
        <x:v>1351</x:v>
      </x:c>
      <x:c r="E86" s="23"/>
      <x:c r="F86" s="23">
        <x:v>2.0</x:v>
      </x:c>
      <x:c r="G86" s="56"/>
      <x:c r="H86" s="23"/>
      <x:c r="I86" s="25"/>
      <x:c r="J86" s="24"/>
      <x:c r="K86" s="25"/>
      <x:c r="L86" s="25"/>
      <x:c r="M86" s="25"/>
      <x:c r="N86" s="26">
        <x:f t="shared" si="12"/>
        <x:v>480000</x:v>
      </x:c>
      <x:c r="O86" s="23" t="s">
        <x:v>74</x:v>
      </x:c>
      <x:c r="P86" s="23" t="s">
        <x:v>31</x:v>
      </x:c>
    </x:row>
    <x:row r="87" ht="18.75" customHeight="1">
      <x:c r="A87" s="19">
        <x:v>86.0</x:v>
      </x:c>
      <x:c r="B87" s="23" t="s">
        <x:v>1352</x:v>
      </x:c>
      <x:c r="C87" s="21">
        <x:v>45656.0</x:v>
      </x:c>
      <x:c r="D87" s="58" t="s">
        <x:v>1353</x:v>
      </x:c>
      <x:c r="E87" s="56"/>
      <x:c r="F87" s="23"/>
      <x:c r="G87" s="56"/>
      <x:c r="H87" s="23"/>
      <x:c r="I87" s="25"/>
      <x:c r="J87" s="24">
        <x:v>1.0</x:v>
      </x:c>
      <x:c r="K87" s="25"/>
      <x:c r="L87" s="25"/>
      <x:c r="M87" s="25"/>
      <x:c r="N87" s="26">
        <x:f t="shared" si="12"/>
        <x:v>190000</x:v>
      </x:c>
      <x:c r="O87" s="23" t="s">
        <x:v>74</x:v>
      </x:c>
      <x:c r="P87" s="23" t="s">
        <x:v>31</x:v>
      </x:c>
    </x:row>
    <x:row r="88" ht="18.75" customHeight="1">
      <x:c r="A88" s="19">
        <x:v>87.0</x:v>
      </x:c>
      <x:c r="B88" s="23" t="s">
        <x:v>1354</x:v>
      </x:c>
      <x:c r="C88" s="21">
        <x:v>45657.0</x:v>
      </x:c>
      <x:c r="D88" s="58" t="s">
        <x:v>1355</x:v>
      </x:c>
      <x:c r="E88" s="56"/>
      <x:c r="F88" s="23"/>
      <x:c r="G88" s="56"/>
      <x:c r="H88" s="23"/>
      <x:c r="I88" s="24">
        <x:v>1.0</x:v>
      </x:c>
      <x:c r="J88" s="24"/>
      <x:c r="K88" s="25"/>
      <x:c r="L88" s="25"/>
      <x:c r="M88" s="25"/>
      <x:c r="N88" s="26">
        <x:f t="shared" si="12"/>
        <x:v>230000</x:v>
      </x:c>
      <x:c r="O88" s="23" t="s">
        <x:v>74</x:v>
      </x:c>
      <x:c r="P88" s="23" t="s">
        <x:v>34</x:v>
      </x:c>
    </x:row>
    <x:row r="89" ht="18.75" customHeight="1">
      <x:c r="A89" s="19">
        <x:v>88.0</x:v>
      </x:c>
      <x:c r="B89" s="23" t="s">
        <x:v>1084</x:v>
      </x:c>
      <x:c r="C89" s="21">
        <x:v>45657.0</x:v>
      </x:c>
      <x:c r="D89" s="58" t="s">
        <x:v>1085</x:v>
      </x:c>
      <x:c r="E89" s="56"/>
      <x:c r="F89" s="23"/>
      <x:c r="G89" s="23">
        <x:v>1.0</x:v>
      </x:c>
      <x:c r="H89" s="23"/>
      <x:c r="I89" s="25"/>
      <x:c r="J89" s="24"/>
      <x:c r="K89" s="25"/>
      <x:c r="L89" s="25"/>
      <x:c r="M89" s="25"/>
      <x:c r="N89" s="26">
        <x:f t="shared" si="12"/>
        <x:v>350000</x:v>
      </x:c>
      <x:c r="O89" s="23" t="s">
        <x:v>74</x:v>
      </x:c>
      <x:c r="P89" s="23" t="s">
        <x:v>31</x:v>
      </x:c>
    </x:row>
    <x:row r="90" ht="18.75" customHeight="1">
      <x:c r="A90" s="19">
        <x:v>89.0</x:v>
      </x:c>
      <x:c r="B90" s="23" t="s">
        <x:v>1356</x:v>
      </x:c>
      <x:c r="C90" s="21">
        <x:v>45657.0</x:v>
      </x:c>
      <x:c r="D90" s="58" t="s">
        <x:v>1357</x:v>
      </x:c>
      <x:c r="E90" s="56"/>
      <x:c r="F90" s="23"/>
      <x:c r="G90" s="56"/>
      <x:c r="H90" s="23"/>
      <x:c r="I90" s="25"/>
      <x:c r="J90" s="24">
        <x:v>1.0</x:v>
      </x:c>
      <x:c r="K90" s="25"/>
      <x:c r="L90" s="25"/>
      <x:c r="M90" s="25"/>
      <x:c r="N90" s="26">
        <x:f t="shared" si="12"/>
        <x:v>190000</x:v>
      </x:c>
      <x:c r="O90" s="23" t="s">
        <x:v>74</x:v>
      </x:c>
      <x:c r="P90" s="23" t="s">
        <x:v>34</x:v>
      </x:c>
    </x:row>
    <x:row r="91" ht="18.75" customHeight="1">
      <x:c r="A91" s="19">
        <x:v>90.0</x:v>
      </x:c>
      <x:c r="B91" s="23" t="s">
        <x:v>1358</x:v>
      </x:c>
      <x:c r="C91" s="21">
        <x:v>45657.0</x:v>
      </x:c>
      <x:c r="D91" s="58" t="s">
        <x:v>1359</x:v>
      </x:c>
      <x:c r="E91" s="56"/>
      <x:c r="F91" s="23"/>
      <x:c r="G91" s="56"/>
      <x:c r="H91" s="23"/>
      <x:c r="I91" s="25"/>
      <x:c r="J91" s="24">
        <x:v>1.0</x:v>
      </x:c>
      <x:c r="K91" s="25"/>
      <x:c r="L91" s="25"/>
      <x:c r="M91" s="25"/>
      <x:c r="N91" s="26">
        <x:f t="shared" si="12"/>
        <x:v>190000</x:v>
      </x:c>
      <x:c r="O91" s="23" t="s">
        <x:v>74</x:v>
      </x:c>
      <x:c r="P91" s="23" t="s">
        <x:v>31</x:v>
      </x:c>
    </x:row>
    <x:row r="92" ht="18.75" customHeight="1">
      <x:c r="A92" s="19">
        <x:v>91.0</x:v>
      </x:c>
      <x:c r="B92" s="23" t="s">
        <x:v>1360</x:v>
      </x:c>
      <x:c r="C92" s="21">
        <x:v>45657.0</x:v>
      </x:c>
      <x:c r="D92" s="58" t="s">
        <x:v>1361</x:v>
      </x:c>
      <x:c r="E92" s="56"/>
      <x:c r="F92" s="23"/>
      <x:c r="G92" s="56"/>
      <x:c r="H92" s="23"/>
      <x:c r="I92" s="24">
        <x:v>1.0</x:v>
      </x:c>
      <x:c r="J92" s="24"/>
      <x:c r="K92" s="25"/>
      <x:c r="L92" s="25"/>
      <x:c r="M92" s="25"/>
      <x:c r="N92" s="26">
        <x:f t="shared" si="12"/>
        <x:v>230000</x:v>
      </x:c>
      <x:c r="O92" s="23" t="s">
        <x:v>74</x:v>
      </x:c>
      <x:c r="P92" s="23" t="s">
        <x:v>31</x:v>
      </x:c>
    </x:row>
    <x:row r="93" ht="18.75" customHeight="1">
      <x:c r="A93" s="19">
        <x:v>92.0</x:v>
      </x:c>
      <x:c r="B93" s="23" t="s">
        <x:v>1362</x:v>
      </x:c>
      <x:c r="C93" s="21">
        <x:v>45657.0</x:v>
      </x:c>
      <x:c r="D93" s="58" t="s">
        <x:v>1363</x:v>
      </x:c>
      <x:c r="E93" s="23">
        <x:v>1.0</x:v>
      </x:c>
      <x:c r="F93" s="23">
        <x:v>1.0</x:v>
      </x:c>
      <x:c r="G93" s="56"/>
      <x:c r="H93" s="23"/>
      <x:c r="I93" s="25"/>
      <x:c r="J93" s="24"/>
      <x:c r="K93" s="25"/>
      <x:c r="L93" s="25"/>
      <x:c r="M93" s="25"/>
      <x:c r="N93" s="26">
        <x:f t="shared" si="12"/>
        <x:v>480000</x:v>
      </x:c>
      <x:c r="O93" s="23" t="s">
        <x:v>74</x:v>
      </x:c>
      <x:c r="P93" s="23" t="s">
        <x:v>34</x:v>
      </x:c>
    </x:row>
    <x:row r="94" ht="18.75" customHeight="1">
      <x:c r="A94" s="19">
        <x:v>93.0</x:v>
      </x:c>
      <x:c r="B94" s="23" t="s">
        <x:v>1364</x:v>
      </x:c>
      <x:c r="C94" s="21">
        <x:v>45657.0</x:v>
      </x:c>
      <x:c r="D94" s="58" t="s">
        <x:v>1365</x:v>
      </x:c>
      <x:c r="E94" s="56"/>
      <x:c r="F94" s="23"/>
      <x:c r="G94" s="56"/>
      <x:c r="H94" s="23">
        <x:v>1.0</x:v>
      </x:c>
      <x:c r="I94" s="25"/>
      <x:c r="J94" s="24"/>
      <x:c r="K94" s="25"/>
      <x:c r="L94" s="25"/>
      <x:c r="M94" s="25"/>
      <x:c r="N94" s="26">
        <x:f t="shared" si="12"/>
        <x:v>390000</x:v>
      </x:c>
      <x:c r="O94" s="23" t="s">
        <x:v>74</x:v>
      </x:c>
      <x:c r="P94" s="23" t="s">
        <x:v>34</x:v>
      </x:c>
    </x:row>
    <x:row r="95" ht="18.75" customHeight="1">
      <x:c r="A95" s="19">
        <x:v>94.0</x:v>
      </x:c>
      <x:c r="B95" s="23" t="s">
        <x:v>1366</x:v>
      </x:c>
      <x:c r="C95" s="21">
        <x:v>45657.0</x:v>
      </x:c>
      <x:c r="D95" s="58" t="s">
        <x:v>1367</x:v>
      </x:c>
      <x:c r="E95" s="23">
        <x:v>1.0</x:v>
      </x:c>
      <x:c r="F95" s="23">
        <x:v>1.0</x:v>
      </x:c>
      <x:c r="G95" s="56"/>
      <x:c r="H95" s="23"/>
      <x:c r="I95" s="25"/>
      <x:c r="J95" s="24"/>
      <x:c r="K95" s="25"/>
      <x:c r="L95" s="25"/>
      <x:c r="M95" s="25"/>
      <x:c r="N95" s="26">
        <x:f t="shared" si="12"/>
        <x:v>480000</x:v>
      </x:c>
      <x:c r="O95" s="23" t="s">
        <x:v>74</x:v>
      </x:c>
      <x:c r="P95" s="23" t="s">
        <x:v>31</x:v>
      </x:c>
    </x:row>
    <x:row r="96" ht="18.75" customHeight="1">
      <x:c r="A96" s="19">
        <x:v>95.0</x:v>
      </x:c>
      <x:c r="B96" s="23" t="s">
        <x:v>1368</x:v>
      </x:c>
      <x:c r="C96" s="21">
        <x:v>45657.0</x:v>
      </x:c>
      <x:c r="D96" s="58" t="s">
        <x:v>1369</x:v>
      </x:c>
      <x:c r="E96" s="56"/>
      <x:c r="F96" s="23">
        <x:v>15.0</x:v>
      </x:c>
      <x:c r="G96" s="23">
        <x:v>5.0</x:v>
      </x:c>
      <x:c r="H96" s="23"/>
      <x:c r="I96" s="24">
        <x:v>15.0</x:v>
      </x:c>
      <x:c r="J96" s="24"/>
      <x:c r="K96" s="25"/>
      <x:c r="L96" s="25"/>
      <x:c r="M96" s="25"/>
      <x:c r="N96" s="26" t="n">
        <x:f>(E96*240+F96*235+G96*330+H96*390+I96*225+J96*190+K96*230+L96*390)*1000-32000</x:f>
        <x:v>8518000</x:v>
      </x:c>
      <x:c r="O96" s="23" t="s">
        <x:v>74</x:v>
      </x:c>
      <x:c r="P96" s="23" t="s">
        <x:v>31</x:v>
      </x:c>
    </x:row>
    <x:row r="97" ht="18.75" customHeight="1">
      <x:c r="A97" s="19">
        <x:v>96.0</x:v>
      </x:c>
      <x:c r="B97" s="23" t="s">
        <x:v>1370</x:v>
      </x:c>
      <x:c r="C97" s="21">
        <x:v>45657.0</x:v>
      </x:c>
      <x:c r="D97" s="58" t="s">
        <x:v>1371</x:v>
      </x:c>
      <x:c r="E97" s="23">
        <x:v>1.0</x:v>
      </x:c>
      <x:c r="F97" s="23"/>
      <x:c r="G97" s="56"/>
      <x:c r="H97" s="23"/>
      <x:c r="I97" s="25"/>
      <x:c r="J97" s="24"/>
      <x:c r="K97" s="25"/>
      <x:c r="L97" s="25"/>
      <x:c r="M97" s="25"/>
      <x:c r="N97" s="26" t="n">
        <x:f t="shared" ref="N97:N99" si="13">(E97*240+F97*240+G97*350+H97*390+I97*230+J97*190+K97*230+L97*390)*1000</x:f>
        <x:v>240000</x:v>
      </x:c>
      <x:c r="O97" s="23" t="s">
        <x:v>74</x:v>
      </x:c>
      <x:c r="P97" s="23" t="s">
        <x:v>34</x:v>
      </x:c>
    </x:row>
    <x:row r="98" ht="18.75" customHeight="1">
      <x:c r="A98" s="19">
        <x:v>97.0</x:v>
      </x:c>
      <x:c r="B98" s="23" t="s">
        <x:v>1372</x:v>
      </x:c>
      <x:c r="C98" s="21">
        <x:v>45657.0</x:v>
      </x:c>
      <x:c r="D98" s="58" t="s">
        <x:v>1373</x:v>
      </x:c>
      <x:c r="E98" s="23">
        <x:v>1.0</x:v>
      </x:c>
      <x:c r="F98" s="23"/>
      <x:c r="G98" s="56"/>
      <x:c r="H98" s="23"/>
      <x:c r="I98" s="25"/>
      <x:c r="J98" s="24"/>
      <x:c r="K98" s="25"/>
      <x:c r="L98" s="25"/>
      <x:c r="M98" s="25"/>
      <x:c r="N98" s="26">
        <x:f t="shared" si="13"/>
        <x:v>240000</x:v>
      </x:c>
      <x:c r="O98" s="23" t="s">
        <x:v>74</x:v>
      </x:c>
      <x:c r="P98" s="23" t="s">
        <x:v>34</x:v>
      </x:c>
    </x:row>
    <x:row r="99" ht="18.75" customHeight="1">
      <x:c r="A99" s="19">
        <x:v>98.0</x:v>
      </x:c>
      <x:c r="B99" s="23" t="s">
        <x:v>1374</x:v>
      </x:c>
      <x:c r="C99" s="21">
        <x:v>45657.0</x:v>
      </x:c>
      <x:c r="D99" s="58" t="s">
        <x:v>1375</x:v>
      </x:c>
      <x:c r="E99" s="56"/>
      <x:c r="F99" s="23"/>
      <x:c r="G99" s="56"/>
      <x:c r="H99" s="23"/>
      <x:c r="I99" s="25"/>
      <x:c r="J99" s="24">
        <x:v>1.0</x:v>
      </x:c>
      <x:c r="K99" s="25"/>
      <x:c r="L99" s="25"/>
      <x:c r="M99" s="25"/>
      <x:c r="N99" s="26">
        <x:f t="shared" si="13"/>
        <x:v>190000</x:v>
      </x:c>
      <x:c r="O99" s="23" t="s">
        <x:v>74</x:v>
      </x:c>
      <x:c r="P99" s="23" t="s">
        <x:v>31</x:v>
      </x:c>
    </x:row>
    <x:row r="100">
      <x:c r="A100" s="75"/>
      <x:c r="B100" s="75" t="s">
        <x:v>27</x:v>
      </x:c>
      <x:c r="C100" s="77"/>
      <x:c r="D100" s="78"/>
      <x:c r="E100" s="77" t="n">
        <x:f t="shared" ref="E100:N100" si="14">SUM(E2:E99)</x:f>
        <x:v>30</x:v>
      </x:c>
      <x:c r="F100" s="77">
        <x:f t="shared" si="14"/>
        <x:v>67</x:v>
      </x:c>
      <x:c r="G100" s="77">
        <x:f t="shared" si="14"/>
        <x:v>18</x:v>
      </x:c>
      <x:c r="H100" s="77">
        <x:f t="shared" si="14"/>
        <x:v>39</x:v>
      </x:c>
      <x:c r="I100" s="79">
        <x:f t="shared" si="14"/>
        <x:v>31</x:v>
      </x:c>
      <x:c r="J100" s="79">
        <x:f t="shared" si="14"/>
        <x:v>10</x:v>
      </x:c>
      <x:c r="K100" s="79">
        <x:f t="shared" si="14"/>
        <x:v>11</x:v>
      </x:c>
      <x:c r="L100" s="79">
        <x:f t="shared" si="14"/>
        <x:v>12</x:v>
      </x:c>
      <x:c r="M100" s="79">
        <x:f t="shared" si="14"/>
        <x:v>3</x:v>
      </x:c>
      <x:c r="N100" s="80">
        <x:f t="shared" si="14"/>
        <x:v>60711500</x:v>
      </x:c>
      <x:c r="O100" s="77"/>
      <x:c r="P100" s="77"/>
    </x:row>
    <x:row r="101">
      <x:c r="A101" s="75"/>
      <x:c r="B101" s="75" t="s">
        <x:v>51</x:v>
      </x:c>
      <x:c r="C101" s="81"/>
      <x:c r="D101" s="96"/>
      <x:c r="E101" s="83" t="n">
        <x:f>18*Inventory_batches!F30+(E100-18)*Inventory_batches!I42</x:f>
        <x:v>4114067.4418604653</x:v>
      </x:c>
      <x:c r="F101" s="83" t="n">
        <x:f>F100*Inventory_batches!F37</x:f>
        <x:v>8248080.681818183</x:v>
      </x:c>
      <x:c r="G101" s="83" t="n">
        <x:f>G100*Inventory_batches!F24</x:f>
        <x:v>2352750</x:v>
      </x:c>
      <x:c r="H101" s="83" t="n">
        <x:f>H100*Inventory_batches!F37</x:f>
        <x:v>4801121.590909091</x:v>
      </x:c>
      <x:c r="I101" s="84" t="n">
        <x:f>I100*Inventory_batches!F37</x:f>
        <x:v>3816276.1363636367</x:v>
      </x:c>
      <x:c r="J101" s="84" t="n">
        <x:f>J100*Inventory_batches!I39</x:f>
        <x:v>822139.5348837209</x:v>
      </x:c>
      <x:c r="K101" s="84" t="n">
        <x:f>K100*Inventory_batches!I43</x:f>
        <x:v>1454353.488372093</x:v>
      </x:c>
      <x:c r="L101" s="84" t="n">
        <x:f>L100*Inventory_batches!F24</x:f>
        <x:v>1568500</x:v>
      </x:c>
      <x:c r="M101" s="84" t="n">
        <x:f>M100*Inventory_batches!F6</x:f>
        <x:v>198197.8021978022</x:v>
      </x:c>
      <x:c r="N101" s="83" t="n">
        <x:f>SUM(E101:M101)</x:f>
        <x:v>27375486.676404994</x:v>
      </x:c>
      <x:c r="O101" s="85" t="n">
        <x:f>N101-R3</x:f>
        <x:v>10806986.676404994</x:v>
      </x:c>
      <x:c r="P101" s="86"/>
      <x:c r="Q101" s="32"/>
    </x:row>
    <x:row r="102">
      <x:c r="A102" s="87"/>
      <x:c r="D102" s="32"/>
      <x:c r="I102" s="74"/>
      <x:c r="J102" s="74"/>
      <x:c r="K102" s="74"/>
      <x:c r="L102" s="74"/>
      <x:c r="M102" s="74"/>
      <x:c r="N102" s="90" t="n">
        <x:f>N100-N101</x:f>
        <x:v>33336013.323595006</x:v>
      </x:c>
      <x:c r="P102" s="86"/>
      <x:c r="Q102" s="32"/>
    </x:row>
    <x:row r="103">
      <x:c r="A103" s="87"/>
      <x:c r="D103" s="32"/>
      <x:c r="I103" s="74"/>
      <x:c r="J103" s="74"/>
      <x:c r="K103" s="74"/>
      <x:c r="L103" s="74"/>
      <x:c r="M103" s="74"/>
      <x:c r="N103" s="85"/>
      <x:c r="P103" s="86"/>
      <x:c r="Q103" s="32"/>
    </x:row>
    <x:row r="104">
      <x:c r="A104" s="87"/>
      <x:c r="D104" s="32"/>
      <x:c r="I104" s="74"/>
      <x:c r="J104" s="74"/>
      <x:c r="K104" s="74"/>
      <x:c r="L104" s="74"/>
      <x:c r="M104" s="74"/>
      <x:c r="N104" s="85"/>
      <x:c r="P104" s="86"/>
      <x:c r="Q104" s="32"/>
    </x:row>
    <x:row r="105">
      <x:c r="A105" s="87"/>
      <x:c r="D105" s="32"/>
      <x:c r="I105" s="74"/>
      <x:c r="J105" s="74"/>
      <x:c r="K105" s="74"/>
      <x:c r="L105" s="74"/>
      <x:c r="M105" s="74"/>
      <x:c r="N105" s="85"/>
      <x:c r="P105" s="86"/>
      <x:c r="Q105" s="32"/>
    </x:row>
    <x:row r="106">
      <x:c r="A106" s="19"/>
      <x:c r="B106" s="23"/>
      <x:c r="C106" s="21"/>
      <x:c r="D106" s="55"/>
      <x:c r="E106" s="23"/>
      <x:c r="F106" s="23"/>
      <x:c r="G106" s="56"/>
      <x:c r="H106" s="23"/>
      <x:c r="I106" s="25"/>
      <x:c r="J106" s="25"/>
      <x:c r="K106" s="25"/>
      <x:c r="L106" s="25"/>
      <x:c r="M106" s="25"/>
      <x:c r="N106" s="26"/>
      <x:c r="O106" s="23"/>
      <x:c r="P106" s="23"/>
    </x:row>
    <x:row r="107" ht="18.75" customHeight="1">
      <x:c r="A107" s="19"/>
      <x:c r="B107" s="23"/>
      <x:c r="C107" s="21"/>
      <x:c r="D107" s="55"/>
      <x:c r="E107" s="23"/>
      <x:c r="F107" s="23"/>
      <x:c r="G107" s="56"/>
      <x:c r="H107" s="23"/>
      <x:c r="I107" s="25"/>
      <x:c r="J107" s="25"/>
      <x:c r="K107" s="25"/>
      <x:c r="L107" s="25"/>
      <x:c r="M107" s="25"/>
      <x:c r="N107" s="26"/>
      <x:c r="O107" s="23"/>
      <x:c r="P107" s="23"/>
    </x:row>
    <x:row r="108" ht="18.75" customHeight="1">
      <x:c r="A108" s="19"/>
      <x:c r="B108" s="23"/>
      <x:c r="C108" s="21"/>
      <x:c r="D108" s="55"/>
      <x:c r="E108" s="23"/>
      <x:c r="F108" s="23"/>
      <x:c r="G108" s="56"/>
      <x:c r="H108" s="23"/>
      <x:c r="I108" s="25"/>
      <x:c r="J108" s="25"/>
      <x:c r="K108" s="25"/>
      <x:c r="L108" s="25"/>
      <x:c r="M108" s="25"/>
      <x:c r="N108" s="26"/>
      <x:c r="O108" s="23"/>
      <x:c r="P108" s="23"/>
    </x:row>
    <x:row r="109" ht="18.75" customHeight="1">
      <x:c r="A109" s="19"/>
      <x:c r="B109" s="23"/>
      <x:c r="C109" s="21"/>
      <x:c r="D109" s="35"/>
      <x:c r="E109" s="23"/>
      <x:c r="F109" s="23"/>
      <x:c r="G109" s="56"/>
      <x:c r="H109" s="23"/>
      <x:c r="I109" s="25"/>
      <x:c r="J109" s="25"/>
      <x:c r="K109" s="25"/>
      <x:c r="L109" s="25"/>
      <x:c r="M109" s="25"/>
      <x:c r="N109" s="26"/>
      <x:c r="O109" s="23"/>
      <x:c r="P109" s="23"/>
    </x:row>
    <x:row r="110">
      <x:c r="A110" s="87"/>
      <x:c r="D110" s="32"/>
      <x:c r="I110" s="74"/>
      <x:c r="J110" s="74"/>
      <x:c r="K110" s="74"/>
      <x:c r="L110" s="74"/>
      <x:c r="M110" s="74"/>
      <x:c r="N110" s="85"/>
      <x:c r="P110" s="86"/>
      <x:c r="Q110" s="32"/>
    </x:row>
    <x:row r="111">
      <x:c r="A111" s="87"/>
      <x:c r="D111" s="32"/>
      <x:c r="I111" s="74"/>
      <x:c r="J111" s="74"/>
      <x:c r="K111" s="74"/>
      <x:c r="L111" s="74"/>
      <x:c r="M111" s="74"/>
      <x:c r="N111" s="85"/>
      <x:c r="P111" s="86"/>
      <x:c r="Q111" s="32"/>
    </x:row>
    <x:row r="112">
      <x:c r="A112" s="87"/>
      <x:c r="D112" s="32"/>
      <x:c r="I112" s="74"/>
      <x:c r="J112" s="74"/>
      <x:c r="K112" s="74"/>
      <x:c r="L112" s="74"/>
      <x:c r="M112" s="74"/>
      <x:c r="N112" s="85"/>
      <x:c r="P112" s="86"/>
      <x:c r="Q112" s="32"/>
    </x:row>
    <x:row r="113">
      <x:c r="A113" s="87"/>
      <x:c r="D113" s="32"/>
      <x:c r="I113" s="74"/>
      <x:c r="J113" s="74"/>
      <x:c r="K113" s="74"/>
      <x:c r="L113" s="74"/>
      <x:c r="M113" s="74"/>
      <x:c r="N113" s="85"/>
      <x:c r="P113" s="86"/>
      <x:c r="Q113" s="32"/>
    </x:row>
    <x:row r="114">
      <x:c r="A114" s="87"/>
      <x:c r="D114" s="32"/>
      <x:c r="I114" s="74"/>
      <x:c r="J114" s="74"/>
      <x:c r="K114" s="74"/>
      <x:c r="L114" s="74"/>
      <x:c r="M114" s="74"/>
      <x:c r="N114" s="85"/>
      <x:c r="P114" s="86"/>
      <x:c r="Q114" s="32"/>
    </x:row>
    <x:row r="115">
      <x:c r="A115" s="87"/>
      <x:c r="D115" s="32"/>
      <x:c r="I115" s="74"/>
      <x:c r="J115" s="74"/>
      <x:c r="K115" s="74"/>
      <x:c r="L115" s="74"/>
      <x:c r="M115" s="74"/>
      <x:c r="N115" s="85"/>
      <x:c r="P115" s="86"/>
      <x:c r="Q115" s="32"/>
    </x:row>
    <x:row r="116">
      <x:c r="A116" s="87"/>
      <x:c r="D116" s="32"/>
      <x:c r="I116" s="74"/>
      <x:c r="J116" s="74"/>
      <x:c r="K116" s="74"/>
      <x:c r="L116" s="74"/>
      <x:c r="M116" s="74"/>
      <x:c r="N116" s="85"/>
      <x:c r="P116" s="86"/>
      <x:c r="Q116" s="32"/>
    </x:row>
    <x:row r="117">
      <x:c r="A117" s="87"/>
      <x:c r="D117" s="32"/>
      <x:c r="I117" s="74"/>
      <x:c r="J117" s="74"/>
      <x:c r="K117" s="74"/>
      <x:c r="L117" s="74"/>
      <x:c r="M117" s="74"/>
      <x:c r="N117" s="85"/>
      <x:c r="P117" s="86"/>
      <x:c r="Q117" s="32"/>
    </x:row>
    <x:row r="118">
      <x:c r="A118" s="87"/>
      <x:c r="D118" s="32"/>
      <x:c r="I118" s="74"/>
      <x:c r="J118" s="74"/>
      <x:c r="K118" s="74"/>
      <x:c r="L118" s="74"/>
      <x:c r="M118" s="74"/>
      <x:c r="N118" s="85"/>
      <x:c r="P118" s="86"/>
      <x:c r="Q118" s="32"/>
    </x:row>
    <x:row r="119">
      <x:c r="A119" s="87"/>
      <x:c r="D119" s="32"/>
      <x:c r="I119" s="74"/>
      <x:c r="J119" s="74"/>
      <x:c r="K119" s="74"/>
      <x:c r="L119" s="74"/>
      <x:c r="M119" s="74"/>
      <x:c r="N119" s="85"/>
      <x:c r="P119" s="86"/>
      <x:c r="Q119" s="32"/>
    </x:row>
    <x:row r="120">
      <x:c r="A120" s="87"/>
      <x:c r="D120" s="32"/>
      <x:c r="I120" s="74"/>
      <x:c r="J120" s="74"/>
      <x:c r="K120" s="74"/>
      <x:c r="L120" s="74"/>
      <x:c r="M120" s="74"/>
      <x:c r="N120" s="85"/>
      <x:c r="P120" s="86"/>
      <x:c r="Q120" s="32"/>
    </x:row>
    <x:row r="121">
      <x:c r="A121" s="87"/>
      <x:c r="D121" s="32"/>
      <x:c r="I121" s="74"/>
      <x:c r="J121" s="74"/>
      <x:c r="K121" s="74"/>
      <x:c r="L121" s="74"/>
      <x:c r="M121" s="74"/>
      <x:c r="N121" s="85"/>
      <x:c r="P121" s="86"/>
      <x:c r="Q121" s="32"/>
    </x:row>
    <x:row r="122">
      <x:c r="A122" s="87"/>
      <x:c r="D122" s="32"/>
      <x:c r="I122" s="74"/>
      <x:c r="J122" s="74"/>
      <x:c r="K122" s="74"/>
      <x:c r="L122" s="74"/>
      <x:c r="M122" s="74"/>
      <x:c r="N122" s="85"/>
      <x:c r="P122" s="86"/>
      <x:c r="Q122" s="32"/>
    </x:row>
    <x:row r="123">
      <x:c r="A123" s="87"/>
      <x:c r="D123" s="32"/>
      <x:c r="I123" s="74"/>
      <x:c r="J123" s="74"/>
      <x:c r="K123" s="74"/>
      <x:c r="L123" s="74"/>
      <x:c r="M123" s="74"/>
      <x:c r="N123" s="85"/>
      <x:c r="P123" s="86"/>
      <x:c r="Q123" s="32"/>
    </x:row>
    <x:row r="124">
      <x:c r="A124" s="87"/>
      <x:c r="D124" s="32"/>
      <x:c r="I124" s="74"/>
      <x:c r="J124" s="74"/>
      <x:c r="K124" s="74"/>
      <x:c r="L124" s="74"/>
      <x:c r="M124" s="74"/>
      <x:c r="N124" s="85"/>
      <x:c r="P124" s="86"/>
      <x:c r="Q124" s="32"/>
    </x:row>
    <x:row r="125">
      <x:c r="A125" s="87"/>
      <x:c r="D125" s="32"/>
      <x:c r="I125" s="74"/>
      <x:c r="J125" s="74"/>
      <x:c r="K125" s="74"/>
      <x:c r="L125" s="74"/>
      <x:c r="M125" s="74"/>
      <x:c r="N125" s="85"/>
      <x:c r="P125" s="86"/>
      <x:c r="Q125" s="32"/>
    </x:row>
    <x:row r="126">
      <x:c r="A126" s="87"/>
      <x:c r="D126" s="32"/>
      <x:c r="I126" s="74"/>
      <x:c r="J126" s="74"/>
      <x:c r="K126" s="74"/>
      <x:c r="L126" s="74"/>
      <x:c r="M126" s="74"/>
      <x:c r="N126" s="85"/>
      <x:c r="P126" s="86"/>
      <x:c r="Q126" s="32"/>
    </x:row>
    <x:row r="127">
      <x:c r="A127" s="87"/>
      <x:c r="D127" s="32"/>
      <x:c r="I127" s="74"/>
      <x:c r="J127" s="74"/>
      <x:c r="K127" s="74"/>
      <x:c r="L127" s="74"/>
      <x:c r="M127" s="74"/>
      <x:c r="N127" s="85"/>
      <x:c r="P127" s="86"/>
      <x:c r="Q127" s="32"/>
    </x:row>
    <x:row r="128">
      <x:c r="A128" s="87"/>
      <x:c r="D128" s="32"/>
      <x:c r="I128" s="74"/>
      <x:c r="J128" s="74"/>
      <x:c r="K128" s="74"/>
      <x:c r="L128" s="74"/>
      <x:c r="M128" s="74"/>
      <x:c r="N128" s="85"/>
      <x:c r="P128" s="86"/>
      <x:c r="Q128" s="32"/>
    </x:row>
    <x:row r="129">
      <x:c r="A129" s="87"/>
      <x:c r="D129" s="32"/>
      <x:c r="I129" s="74"/>
      <x:c r="J129" s="74"/>
      <x:c r="K129" s="74"/>
      <x:c r="L129" s="74"/>
      <x:c r="M129" s="74"/>
      <x:c r="N129" s="85"/>
      <x:c r="P129" s="86"/>
      <x:c r="Q129" s="32"/>
    </x:row>
    <x:row r="130">
      <x:c r="A130" s="87"/>
      <x:c r="D130" s="32"/>
      <x:c r="I130" s="74"/>
      <x:c r="J130" s="74"/>
      <x:c r="K130" s="74"/>
      <x:c r="L130" s="74"/>
      <x:c r="M130" s="74"/>
      <x:c r="N130" s="85"/>
      <x:c r="P130" s="86"/>
      <x:c r="Q130" s="32"/>
    </x:row>
    <x:row r="131">
      <x:c r="A131" s="87"/>
      <x:c r="D131" s="32"/>
      <x:c r="I131" s="74"/>
      <x:c r="J131" s="74"/>
      <x:c r="K131" s="74"/>
      <x:c r="L131" s="74"/>
      <x:c r="M131" s="74"/>
      <x:c r="N131" s="85"/>
      <x:c r="P131" s="86"/>
      <x:c r="Q131" s="32"/>
    </x:row>
    <x:row r="132">
      <x:c r="A132" s="87"/>
      <x:c r="D132" s="32"/>
      <x:c r="I132" s="74"/>
      <x:c r="J132" s="74"/>
      <x:c r="K132" s="74"/>
      <x:c r="L132" s="74"/>
      <x:c r="M132" s="74"/>
      <x:c r="N132" s="85"/>
      <x:c r="P132" s="86"/>
      <x:c r="Q132" s="32"/>
    </x:row>
    <x:row r="133">
      <x:c r="A133" s="87"/>
      <x:c r="D133" s="32"/>
      <x:c r="I133" s="74"/>
      <x:c r="J133" s="74"/>
      <x:c r="K133" s="74"/>
      <x:c r="L133" s="74"/>
      <x:c r="M133" s="74"/>
      <x:c r="N133" s="85"/>
      <x:c r="P133" s="86"/>
      <x:c r="Q133" s="32"/>
    </x:row>
    <x:row r="134">
      <x:c r="A134" s="87"/>
      <x:c r="D134" s="32"/>
      <x:c r="I134" s="74"/>
      <x:c r="J134" s="74"/>
      <x:c r="K134" s="74"/>
      <x:c r="L134" s="74"/>
      <x:c r="M134" s="74"/>
      <x:c r="N134" s="85"/>
      <x:c r="P134" s="86"/>
      <x:c r="Q134" s="32"/>
    </x:row>
    <x:row r="135">
      <x:c r="A135" s="87"/>
      <x:c r="D135" s="32"/>
      <x:c r="I135" s="74"/>
      <x:c r="J135" s="74"/>
      <x:c r="K135" s="74"/>
      <x:c r="L135" s="74"/>
      <x:c r="M135" s="74"/>
      <x:c r="N135" s="85"/>
      <x:c r="P135" s="86"/>
      <x:c r="Q135" s="32"/>
    </x:row>
    <x:row r="136">
      <x:c r="A136" s="87"/>
      <x:c r="D136" s="32"/>
      <x:c r="I136" s="74"/>
      <x:c r="J136" s="74"/>
      <x:c r="K136" s="74"/>
      <x:c r="L136" s="74"/>
      <x:c r="M136" s="74"/>
      <x:c r="N136" s="85"/>
      <x:c r="P136" s="86"/>
      <x:c r="Q136" s="32"/>
    </x:row>
    <x:row r="137">
      <x:c r="A137" s="87"/>
      <x:c r="D137" s="32"/>
      <x:c r="I137" s="74"/>
      <x:c r="J137" s="74"/>
      <x:c r="K137" s="74"/>
      <x:c r="L137" s="74"/>
      <x:c r="M137" s="74"/>
      <x:c r="N137" s="85"/>
      <x:c r="P137" s="86"/>
      <x:c r="Q137" s="32"/>
    </x:row>
    <x:row r="138">
      <x:c r="A138" s="87"/>
      <x:c r="D138" s="32"/>
      <x:c r="I138" s="74"/>
      <x:c r="J138" s="74"/>
      <x:c r="K138" s="74"/>
      <x:c r="L138" s="74"/>
      <x:c r="M138" s="74"/>
      <x:c r="N138" s="85"/>
      <x:c r="P138" s="86"/>
      <x:c r="Q138" s="32"/>
    </x:row>
    <x:row r="139">
      <x:c r="A139" s="87"/>
      <x:c r="D139" s="32"/>
      <x:c r="I139" s="74"/>
      <x:c r="J139" s="74"/>
      <x:c r="K139" s="74"/>
      <x:c r="L139" s="74"/>
      <x:c r="M139" s="74"/>
      <x:c r="N139" s="85"/>
      <x:c r="P139" s="86"/>
      <x:c r="Q139" s="32"/>
    </x:row>
    <x:row r="140">
      <x:c r="A140" s="87"/>
      <x:c r="D140" s="32"/>
      <x:c r="I140" s="74"/>
      <x:c r="J140" s="74"/>
      <x:c r="K140" s="74"/>
      <x:c r="L140" s="74"/>
      <x:c r="M140" s="74"/>
      <x:c r="N140" s="85"/>
      <x:c r="P140" s="86"/>
      <x:c r="Q140" s="32"/>
    </x:row>
    <x:row r="141">
      <x:c r="A141" s="87"/>
      <x:c r="D141" s="32"/>
      <x:c r="I141" s="74"/>
      <x:c r="J141" s="74"/>
      <x:c r="K141" s="74"/>
      <x:c r="L141" s="74"/>
      <x:c r="M141" s="74"/>
      <x:c r="N141" s="85"/>
      <x:c r="P141" s="86"/>
      <x:c r="Q141" s="32"/>
    </x:row>
    <x:row r="142">
      <x:c r="A142" s="87"/>
      <x:c r="D142" s="32"/>
      <x:c r="I142" s="74"/>
      <x:c r="J142" s="74"/>
      <x:c r="K142" s="74"/>
      <x:c r="L142" s="74"/>
      <x:c r="M142" s="74"/>
      <x:c r="N142" s="85"/>
      <x:c r="P142" s="86"/>
      <x:c r="Q142" s="32"/>
    </x:row>
    <x:row r="143">
      <x:c r="A143" s="87"/>
      <x:c r="D143" s="32"/>
      <x:c r="I143" s="74"/>
      <x:c r="J143" s="74"/>
      <x:c r="K143" s="74"/>
      <x:c r="L143" s="74"/>
      <x:c r="M143" s="74"/>
      <x:c r="N143" s="85"/>
      <x:c r="P143" s="86"/>
      <x:c r="Q143" s="32"/>
    </x:row>
    <x:row r="144">
      <x:c r="A144" s="87"/>
      <x:c r="D144" s="32"/>
      <x:c r="I144" s="74"/>
      <x:c r="J144" s="74"/>
      <x:c r="K144" s="74"/>
      <x:c r="L144" s="74"/>
      <x:c r="M144" s="74"/>
      <x:c r="N144" s="85"/>
      <x:c r="P144" s="86"/>
      <x:c r="Q144" s="32"/>
    </x:row>
    <x:row r="145">
      <x:c r="A145" s="87"/>
      <x:c r="D145" s="32"/>
      <x:c r="I145" s="74"/>
      <x:c r="J145" s="74"/>
      <x:c r="K145" s="74"/>
      <x:c r="L145" s="74"/>
      <x:c r="M145" s="74"/>
      <x:c r="N145" s="85"/>
      <x:c r="P145" s="86"/>
      <x:c r="Q145" s="32"/>
    </x:row>
    <x:row r="146">
      <x:c r="A146" s="87"/>
      <x:c r="D146" s="32"/>
      <x:c r="I146" s="74"/>
      <x:c r="J146" s="74"/>
      <x:c r="K146" s="74"/>
      <x:c r="L146" s="74"/>
      <x:c r="M146" s="74"/>
      <x:c r="N146" s="85"/>
      <x:c r="P146" s="86"/>
      <x:c r="Q146" s="32"/>
    </x:row>
    <x:row r="147">
      <x:c r="A147" s="87"/>
      <x:c r="D147" s="32"/>
      <x:c r="I147" s="74"/>
      <x:c r="J147" s="74"/>
      <x:c r="K147" s="74"/>
      <x:c r="L147" s="74"/>
      <x:c r="M147" s="74"/>
      <x:c r="N147" s="85"/>
      <x:c r="P147" s="86"/>
      <x:c r="Q147" s="32"/>
    </x:row>
    <x:row r="148">
      <x:c r="A148" s="87"/>
      <x:c r="D148" s="32"/>
      <x:c r="I148" s="74"/>
      <x:c r="J148" s="74"/>
      <x:c r="K148" s="74"/>
      <x:c r="L148" s="74"/>
      <x:c r="M148" s="74"/>
      <x:c r="N148" s="85"/>
      <x:c r="P148" s="86"/>
      <x:c r="Q148" s="32"/>
    </x:row>
    <x:row r="149">
      <x:c r="A149" s="87"/>
      <x:c r="D149" s="32"/>
      <x:c r="I149" s="74"/>
      <x:c r="J149" s="74"/>
      <x:c r="K149" s="74"/>
      <x:c r="L149" s="74"/>
      <x:c r="M149" s="74"/>
      <x:c r="N149" s="85"/>
      <x:c r="P149" s="86"/>
      <x:c r="Q149" s="32"/>
    </x:row>
    <x:row r="150">
      <x:c r="A150" s="87"/>
      <x:c r="D150" s="32"/>
      <x:c r="I150" s="74"/>
      <x:c r="J150" s="74"/>
      <x:c r="K150" s="74"/>
      <x:c r="L150" s="74"/>
      <x:c r="M150" s="74"/>
      <x:c r="N150" s="85"/>
      <x:c r="P150" s="86"/>
      <x:c r="Q150" s="32"/>
    </x:row>
    <x:row r="151">
      <x:c r="A151" s="87"/>
      <x:c r="D151" s="32"/>
      <x:c r="I151" s="74"/>
      <x:c r="J151" s="74"/>
      <x:c r="K151" s="74"/>
      <x:c r="L151" s="74"/>
      <x:c r="M151" s="74"/>
      <x:c r="N151" s="85"/>
      <x:c r="P151" s="86"/>
      <x:c r="Q151" s="32"/>
    </x:row>
    <x:row r="152">
      <x:c r="A152" s="87"/>
      <x:c r="D152" s="32"/>
      <x:c r="I152" s="74"/>
      <x:c r="J152" s="74"/>
      <x:c r="K152" s="74"/>
      <x:c r="L152" s="74"/>
      <x:c r="M152" s="74"/>
      <x:c r="N152" s="85"/>
      <x:c r="P152" s="86"/>
      <x:c r="Q152" s="32"/>
    </x:row>
    <x:row r="153">
      <x:c r="A153" s="87"/>
      <x:c r="D153" s="32"/>
      <x:c r="I153" s="74"/>
      <x:c r="J153" s="74"/>
      <x:c r="K153" s="74"/>
      <x:c r="L153" s="74"/>
      <x:c r="M153" s="74"/>
      <x:c r="N153" s="85"/>
      <x:c r="P153" s="86"/>
      <x:c r="Q153" s="32"/>
    </x:row>
    <x:row r="154">
      <x:c r="A154" s="87"/>
      <x:c r="D154" s="32"/>
      <x:c r="I154" s="74"/>
      <x:c r="J154" s="74"/>
      <x:c r="K154" s="74"/>
      <x:c r="L154" s="74"/>
      <x:c r="M154" s="74"/>
      <x:c r="N154" s="85"/>
      <x:c r="P154" s="86"/>
      <x:c r="Q154" s="32"/>
    </x:row>
    <x:row r="155">
      <x:c r="A155" s="87"/>
      <x:c r="D155" s="32"/>
      <x:c r="I155" s="74"/>
      <x:c r="J155" s="74"/>
      <x:c r="K155" s="74"/>
      <x:c r="L155" s="74"/>
      <x:c r="M155" s="74"/>
      <x:c r="N155" s="85"/>
      <x:c r="P155" s="86"/>
      <x:c r="Q155" s="32"/>
    </x:row>
    <x:row r="156">
      <x:c r="A156" s="87"/>
      <x:c r="D156" s="32"/>
      <x:c r="I156" s="74"/>
      <x:c r="J156" s="74"/>
      <x:c r="K156" s="74"/>
      <x:c r="L156" s="74"/>
      <x:c r="M156" s="74"/>
      <x:c r="N156" s="85"/>
      <x:c r="P156" s="86"/>
      <x:c r="Q156" s="32"/>
    </x:row>
    <x:row r="157">
      <x:c r="A157" s="87"/>
      <x:c r="D157" s="32"/>
      <x:c r="I157" s="74"/>
      <x:c r="J157" s="74"/>
      <x:c r="K157" s="74"/>
      <x:c r="L157" s="74"/>
      <x:c r="M157" s="74"/>
      <x:c r="N157" s="85"/>
      <x:c r="P157" s="86"/>
      <x:c r="Q157" s="32"/>
    </x:row>
    <x:row r="158">
      <x:c r="A158" s="87"/>
      <x:c r="D158" s="32"/>
      <x:c r="I158" s="74"/>
      <x:c r="J158" s="74"/>
      <x:c r="K158" s="74"/>
      <x:c r="L158" s="74"/>
      <x:c r="M158" s="74"/>
      <x:c r="N158" s="85"/>
      <x:c r="P158" s="86"/>
      <x:c r="Q158" s="32"/>
    </x:row>
    <x:row r="159">
      <x:c r="A159" s="87"/>
      <x:c r="D159" s="32"/>
      <x:c r="I159" s="74"/>
      <x:c r="J159" s="74"/>
      <x:c r="K159" s="74"/>
      <x:c r="L159" s="74"/>
      <x:c r="M159" s="74"/>
      <x:c r="N159" s="85"/>
      <x:c r="P159" s="86"/>
      <x:c r="Q159" s="32"/>
    </x:row>
    <x:row r="160">
      <x:c r="A160" s="87"/>
      <x:c r="D160" s="32"/>
      <x:c r="I160" s="74"/>
      <x:c r="J160" s="74"/>
      <x:c r="K160" s="74"/>
      <x:c r="L160" s="74"/>
      <x:c r="M160" s="74"/>
      <x:c r="N160" s="85"/>
      <x:c r="P160" s="86"/>
      <x:c r="Q160" s="32"/>
    </x:row>
    <x:row r="161">
      <x:c r="A161" s="87"/>
      <x:c r="D161" s="32"/>
      <x:c r="I161" s="74"/>
      <x:c r="J161" s="74"/>
      <x:c r="K161" s="74"/>
      <x:c r="L161" s="74"/>
      <x:c r="M161" s="74"/>
      <x:c r="N161" s="85"/>
      <x:c r="P161" s="86"/>
      <x:c r="Q161" s="32"/>
    </x:row>
    <x:row r="162">
      <x:c r="A162" s="87"/>
      <x:c r="D162" s="32"/>
      <x:c r="I162" s="74"/>
      <x:c r="J162" s="74"/>
      <x:c r="K162" s="74"/>
      <x:c r="L162" s="74"/>
      <x:c r="M162" s="74"/>
      <x:c r="N162" s="85"/>
      <x:c r="P162" s="86"/>
      <x:c r="Q162" s="32"/>
    </x:row>
    <x:row r="163">
      <x:c r="A163" s="87"/>
      <x:c r="D163" s="32"/>
      <x:c r="I163" s="74"/>
      <x:c r="J163" s="74"/>
      <x:c r="K163" s="74"/>
      <x:c r="L163" s="74"/>
      <x:c r="M163" s="74"/>
      <x:c r="N163" s="85"/>
      <x:c r="P163" s="86"/>
      <x:c r="Q163" s="32"/>
    </x:row>
    <x:row r="164">
      <x:c r="A164" s="87"/>
      <x:c r="D164" s="32"/>
      <x:c r="I164" s="74"/>
      <x:c r="J164" s="74"/>
      <x:c r="K164" s="74"/>
      <x:c r="L164" s="74"/>
      <x:c r="M164" s="74"/>
      <x:c r="N164" s="85"/>
      <x:c r="P164" s="86"/>
      <x:c r="Q164" s="32"/>
    </x:row>
    <x:row r="165">
      <x:c r="A165" s="87"/>
      <x:c r="D165" s="32"/>
      <x:c r="I165" s="74"/>
      <x:c r="J165" s="74"/>
      <x:c r="K165" s="74"/>
      <x:c r="L165" s="74"/>
      <x:c r="M165" s="74"/>
      <x:c r="N165" s="85"/>
      <x:c r="P165" s="86"/>
      <x:c r="Q165" s="32"/>
    </x:row>
    <x:row r="166">
      <x:c r="A166" s="87"/>
      <x:c r="D166" s="32"/>
      <x:c r="I166" s="74"/>
      <x:c r="J166" s="74"/>
      <x:c r="K166" s="74"/>
      <x:c r="L166" s="74"/>
      <x:c r="M166" s="74"/>
      <x:c r="N166" s="85"/>
      <x:c r="P166" s="86"/>
      <x:c r="Q166" s="32"/>
    </x:row>
    <x:row r="167">
      <x:c r="A167" s="87"/>
      <x:c r="D167" s="32"/>
      <x:c r="I167" s="74"/>
      <x:c r="J167" s="74"/>
      <x:c r="K167" s="74"/>
      <x:c r="L167" s="74"/>
      <x:c r="M167" s="74"/>
      <x:c r="N167" s="85"/>
      <x:c r="P167" s="86"/>
      <x:c r="Q167" s="32"/>
    </x:row>
    <x:row r="168">
      <x:c r="A168" s="87"/>
      <x:c r="D168" s="32"/>
      <x:c r="I168" s="74"/>
      <x:c r="J168" s="74"/>
      <x:c r="K168" s="74"/>
      <x:c r="L168" s="74"/>
      <x:c r="M168" s="74"/>
      <x:c r="N168" s="85"/>
      <x:c r="P168" s="86"/>
      <x:c r="Q168" s="32"/>
    </x:row>
    <x:row r="169">
      <x:c r="A169" s="87"/>
      <x:c r="D169" s="32"/>
      <x:c r="I169" s="74"/>
      <x:c r="J169" s="74"/>
      <x:c r="K169" s="74"/>
      <x:c r="L169" s="74"/>
      <x:c r="M169" s="74"/>
      <x:c r="N169" s="85"/>
      <x:c r="P169" s="86"/>
      <x:c r="Q169" s="32"/>
    </x:row>
    <x:row r="170">
      <x:c r="A170" s="87"/>
      <x:c r="D170" s="32"/>
      <x:c r="I170" s="74"/>
      <x:c r="J170" s="74"/>
      <x:c r="K170" s="74"/>
      <x:c r="L170" s="74"/>
      <x:c r="M170" s="74"/>
      <x:c r="N170" s="85"/>
      <x:c r="P170" s="86"/>
      <x:c r="Q170" s="32"/>
    </x:row>
    <x:row r="171">
      <x:c r="A171" s="87"/>
      <x:c r="D171" s="32"/>
      <x:c r="I171" s="74"/>
      <x:c r="J171" s="74"/>
      <x:c r="K171" s="74"/>
      <x:c r="L171" s="74"/>
      <x:c r="M171" s="74"/>
      <x:c r="N171" s="85"/>
      <x:c r="P171" s="86"/>
      <x:c r="Q171" s="32"/>
    </x:row>
    <x:row r="172">
      <x:c r="A172" s="87"/>
      <x:c r="D172" s="32"/>
      <x:c r="I172" s="74"/>
      <x:c r="J172" s="74"/>
      <x:c r="K172" s="74"/>
      <x:c r="L172" s="74"/>
      <x:c r="M172" s="74"/>
      <x:c r="N172" s="85"/>
      <x:c r="P172" s="86"/>
      <x:c r="Q172" s="32"/>
    </x:row>
    <x:row r="173">
      <x:c r="A173" s="87"/>
      <x:c r="D173" s="32"/>
      <x:c r="I173" s="74"/>
      <x:c r="J173" s="74"/>
      <x:c r="K173" s="74"/>
      <x:c r="L173" s="74"/>
      <x:c r="M173" s="74"/>
      <x:c r="N173" s="85"/>
      <x:c r="P173" s="86"/>
      <x:c r="Q173" s="32"/>
    </x:row>
    <x:row r="174">
      <x:c r="A174" s="87"/>
      <x:c r="D174" s="32"/>
      <x:c r="I174" s="74"/>
      <x:c r="J174" s="74"/>
      <x:c r="K174" s="74"/>
      <x:c r="L174" s="74"/>
      <x:c r="M174" s="74"/>
      <x:c r="N174" s="85"/>
      <x:c r="P174" s="86"/>
      <x:c r="Q174" s="32"/>
    </x:row>
    <x:row r="175">
      <x:c r="A175" s="87"/>
      <x:c r="D175" s="32"/>
      <x:c r="I175" s="74"/>
      <x:c r="J175" s="74"/>
      <x:c r="K175" s="74"/>
      <x:c r="L175" s="74"/>
      <x:c r="M175" s="74"/>
      <x:c r="N175" s="85"/>
      <x:c r="P175" s="86"/>
      <x:c r="Q175" s="32"/>
    </x:row>
    <x:row r="176">
      <x:c r="A176" s="87"/>
      <x:c r="D176" s="32"/>
      <x:c r="I176" s="74"/>
      <x:c r="J176" s="74"/>
      <x:c r="K176" s="74"/>
      <x:c r="L176" s="74"/>
      <x:c r="M176" s="74"/>
      <x:c r="N176" s="85"/>
      <x:c r="P176" s="86"/>
      <x:c r="Q176" s="32"/>
    </x:row>
    <x:row r="177">
      <x:c r="A177" s="87"/>
      <x:c r="D177" s="32"/>
      <x:c r="I177" s="74"/>
      <x:c r="J177" s="74"/>
      <x:c r="K177" s="74"/>
      <x:c r="L177" s="74"/>
      <x:c r="M177" s="74"/>
      <x:c r="N177" s="85"/>
      <x:c r="P177" s="86"/>
      <x:c r="Q177" s="32"/>
    </x:row>
    <x:row r="178">
      <x:c r="A178" s="87"/>
      <x:c r="D178" s="32"/>
      <x:c r="I178" s="74"/>
      <x:c r="J178" s="74"/>
      <x:c r="K178" s="74"/>
      <x:c r="L178" s="74"/>
      <x:c r="M178" s="74"/>
      <x:c r="N178" s="85"/>
      <x:c r="P178" s="86"/>
      <x:c r="Q178" s="32"/>
    </x:row>
    <x:row r="179">
      <x:c r="A179" s="87"/>
      <x:c r="D179" s="32"/>
      <x:c r="I179" s="74"/>
      <x:c r="J179" s="74"/>
      <x:c r="K179" s="74"/>
      <x:c r="L179" s="74"/>
      <x:c r="M179" s="74"/>
      <x:c r="N179" s="85"/>
      <x:c r="P179" s="86"/>
      <x:c r="Q179" s="32"/>
    </x:row>
    <x:row r="180">
      <x:c r="A180" s="87"/>
      <x:c r="D180" s="32"/>
      <x:c r="I180" s="74"/>
      <x:c r="J180" s="74"/>
      <x:c r="K180" s="74"/>
      <x:c r="L180" s="74"/>
      <x:c r="M180" s="74"/>
      <x:c r="N180" s="85"/>
      <x:c r="P180" s="86"/>
      <x:c r="Q180" s="32"/>
    </x:row>
    <x:row r="181">
      <x:c r="A181" s="87"/>
      <x:c r="D181" s="32"/>
      <x:c r="I181" s="74"/>
      <x:c r="J181" s="74"/>
      <x:c r="K181" s="74"/>
      <x:c r="L181" s="74"/>
      <x:c r="M181" s="74"/>
      <x:c r="N181" s="85"/>
      <x:c r="P181" s="86"/>
      <x:c r="Q181" s="32"/>
    </x:row>
    <x:row r="182">
      <x:c r="A182" s="87"/>
      <x:c r="D182" s="32"/>
      <x:c r="I182" s="74"/>
      <x:c r="J182" s="74"/>
      <x:c r="K182" s="74"/>
      <x:c r="L182" s="74"/>
      <x:c r="M182" s="74"/>
      <x:c r="N182" s="85"/>
      <x:c r="P182" s="86"/>
      <x:c r="Q182" s="32"/>
    </x:row>
    <x:row r="183">
      <x:c r="A183" s="87"/>
      <x:c r="D183" s="32"/>
      <x:c r="I183" s="74"/>
      <x:c r="J183" s="74"/>
      <x:c r="K183" s="74"/>
      <x:c r="L183" s="74"/>
      <x:c r="M183" s="74"/>
      <x:c r="N183" s="85"/>
      <x:c r="P183" s="86"/>
      <x:c r="Q183" s="32"/>
    </x:row>
    <x:row r="184">
      <x:c r="A184" s="87"/>
      <x:c r="D184" s="32"/>
      <x:c r="I184" s="74"/>
      <x:c r="J184" s="74"/>
      <x:c r="K184" s="74"/>
      <x:c r="L184" s="74"/>
      <x:c r="M184" s="74"/>
      <x:c r="N184" s="85"/>
      <x:c r="P184" s="86"/>
      <x:c r="Q184" s="32"/>
    </x:row>
    <x:row r="185">
      <x:c r="A185" s="87"/>
      <x:c r="D185" s="32"/>
      <x:c r="I185" s="74"/>
      <x:c r="J185" s="74"/>
      <x:c r="K185" s="74"/>
      <x:c r="L185" s="74"/>
      <x:c r="M185" s="74"/>
      <x:c r="N185" s="85"/>
      <x:c r="P185" s="86"/>
      <x:c r="Q185" s="32"/>
    </x:row>
    <x:row r="186">
      <x:c r="A186" s="87"/>
      <x:c r="D186" s="32"/>
      <x:c r="I186" s="74"/>
      <x:c r="J186" s="74"/>
      <x:c r="K186" s="74"/>
      <x:c r="L186" s="74"/>
      <x:c r="M186" s="74"/>
      <x:c r="N186" s="85"/>
      <x:c r="P186" s="86"/>
      <x:c r="Q186" s="32"/>
    </x:row>
    <x:row r="187">
      <x:c r="A187" s="87"/>
      <x:c r="D187" s="32"/>
      <x:c r="I187" s="74"/>
      <x:c r="J187" s="74"/>
      <x:c r="K187" s="74"/>
      <x:c r="L187" s="74"/>
      <x:c r="M187" s="74"/>
      <x:c r="N187" s="85"/>
      <x:c r="P187" s="86"/>
      <x:c r="Q187" s="32"/>
    </x:row>
    <x:row r="188">
      <x:c r="A188" s="87"/>
      <x:c r="D188" s="32"/>
      <x:c r="I188" s="74"/>
      <x:c r="J188" s="74"/>
      <x:c r="K188" s="74"/>
      <x:c r="L188" s="74"/>
      <x:c r="M188" s="74"/>
      <x:c r="N188" s="85"/>
      <x:c r="P188" s="86"/>
      <x:c r="Q188" s="32"/>
    </x:row>
    <x:row r="189">
      <x:c r="A189" s="87"/>
      <x:c r="D189" s="32"/>
      <x:c r="I189" s="74"/>
      <x:c r="J189" s="74"/>
      <x:c r="K189" s="74"/>
      <x:c r="L189" s="74"/>
      <x:c r="M189" s="74"/>
      <x:c r="N189" s="85"/>
      <x:c r="P189" s="86"/>
      <x:c r="Q189" s="32"/>
    </x:row>
    <x:row r="190">
      <x:c r="A190" s="87"/>
      <x:c r="D190" s="32"/>
      <x:c r="I190" s="74"/>
      <x:c r="J190" s="74"/>
      <x:c r="K190" s="74"/>
      <x:c r="L190" s="74"/>
      <x:c r="M190" s="74"/>
      <x:c r="N190" s="85"/>
      <x:c r="P190" s="86"/>
      <x:c r="Q190" s="32"/>
    </x:row>
    <x:row r="191">
      <x:c r="A191" s="87"/>
      <x:c r="D191" s="32"/>
      <x:c r="I191" s="74"/>
      <x:c r="J191" s="74"/>
      <x:c r="K191" s="74"/>
      <x:c r="L191" s="74"/>
      <x:c r="M191" s="74"/>
      <x:c r="N191" s="85"/>
      <x:c r="P191" s="86"/>
      <x:c r="Q191" s="32"/>
    </x:row>
    <x:row r="192">
      <x:c r="A192" s="87"/>
      <x:c r="D192" s="32"/>
      <x:c r="I192" s="74"/>
      <x:c r="J192" s="74"/>
      <x:c r="K192" s="74"/>
      <x:c r="L192" s="74"/>
      <x:c r="M192" s="74"/>
      <x:c r="N192" s="85"/>
      <x:c r="P192" s="86"/>
      <x:c r="Q192" s="32"/>
    </x:row>
    <x:row r="193">
      <x:c r="A193" s="87"/>
      <x:c r="D193" s="32"/>
      <x:c r="I193" s="74"/>
      <x:c r="J193" s="74"/>
      <x:c r="K193" s="74"/>
      <x:c r="L193" s="74"/>
      <x:c r="M193" s="74"/>
      <x:c r="N193" s="85"/>
      <x:c r="P193" s="86"/>
      <x:c r="Q193" s="32"/>
    </x:row>
    <x:row r="194">
      <x:c r="A194" s="87"/>
      <x:c r="D194" s="32"/>
      <x:c r="I194" s="74"/>
      <x:c r="J194" s="74"/>
      <x:c r="K194" s="74"/>
      <x:c r="L194" s="74"/>
      <x:c r="M194" s="74"/>
      <x:c r="N194" s="85"/>
      <x:c r="P194" s="86"/>
      <x:c r="Q194" s="32"/>
    </x:row>
    <x:row r="195">
      <x:c r="A195" s="87"/>
      <x:c r="D195" s="32"/>
      <x:c r="I195" s="74"/>
      <x:c r="J195" s="74"/>
      <x:c r="K195" s="74"/>
      <x:c r="L195" s="74"/>
      <x:c r="M195" s="74"/>
      <x:c r="N195" s="85"/>
      <x:c r="P195" s="86"/>
      <x:c r="Q195" s="32"/>
    </x:row>
    <x:row r="196">
      <x:c r="A196" s="87"/>
      <x:c r="D196" s="32"/>
      <x:c r="I196" s="74"/>
      <x:c r="J196" s="74"/>
      <x:c r="K196" s="74"/>
      <x:c r="L196" s="74"/>
      <x:c r="M196" s="74"/>
      <x:c r="N196" s="85"/>
      <x:c r="P196" s="86"/>
      <x:c r="Q196" s="32"/>
    </x:row>
    <x:row r="197">
      <x:c r="A197" s="87"/>
      <x:c r="D197" s="32"/>
      <x:c r="I197" s="74"/>
      <x:c r="J197" s="74"/>
      <x:c r="K197" s="74"/>
      <x:c r="L197" s="74"/>
      <x:c r="M197" s="74"/>
      <x:c r="N197" s="85"/>
      <x:c r="P197" s="86"/>
      <x:c r="Q197" s="32"/>
    </x:row>
    <x:row r="198">
      <x:c r="A198" s="87"/>
      <x:c r="D198" s="32"/>
      <x:c r="I198" s="74"/>
      <x:c r="J198" s="74"/>
      <x:c r="K198" s="74"/>
      <x:c r="L198" s="74"/>
      <x:c r="M198" s="74"/>
      <x:c r="N198" s="85"/>
      <x:c r="P198" s="86"/>
      <x:c r="Q198" s="32"/>
    </x:row>
    <x:row r="199">
      <x:c r="A199" s="87"/>
      <x:c r="D199" s="32"/>
      <x:c r="I199" s="74"/>
      <x:c r="J199" s="74"/>
      <x:c r="K199" s="74"/>
      <x:c r="L199" s="74"/>
      <x:c r="M199" s="74"/>
      <x:c r="N199" s="85"/>
      <x:c r="P199" s="86"/>
      <x:c r="Q199" s="32"/>
    </x:row>
    <x:row r="200">
      <x:c r="A200" s="87"/>
      <x:c r="D200" s="32"/>
      <x:c r="I200" s="74"/>
      <x:c r="J200" s="74"/>
      <x:c r="K200" s="74"/>
      <x:c r="L200" s="74"/>
      <x:c r="M200" s="74"/>
      <x:c r="N200" s="85"/>
      <x:c r="P200" s="86"/>
      <x:c r="Q200" s="32"/>
    </x:row>
    <x:row r="201">
      <x:c r="A201" s="87"/>
      <x:c r="D201" s="32"/>
      <x:c r="I201" s="74"/>
      <x:c r="J201" s="74"/>
      <x:c r="K201" s="74"/>
      <x:c r="L201" s="74"/>
      <x:c r="M201" s="74"/>
      <x:c r="N201" s="85"/>
      <x:c r="P201" s="86"/>
      <x:c r="Q201" s="32"/>
    </x:row>
    <x:row r="202">
      <x:c r="A202" s="87"/>
      <x:c r="D202" s="32"/>
      <x:c r="I202" s="74"/>
      <x:c r="J202" s="74"/>
      <x:c r="K202" s="74"/>
      <x:c r="L202" s="74"/>
      <x:c r="M202" s="74"/>
      <x:c r="N202" s="85"/>
      <x:c r="P202" s="86"/>
      <x:c r="Q202" s="32"/>
    </x:row>
    <x:row r="203">
      <x:c r="A203" s="87"/>
      <x:c r="D203" s="32"/>
      <x:c r="I203" s="74"/>
      <x:c r="J203" s="74"/>
      <x:c r="K203" s="74"/>
      <x:c r="L203" s="74"/>
      <x:c r="M203" s="74"/>
      <x:c r="N203" s="85"/>
      <x:c r="P203" s="86"/>
      <x:c r="Q203" s="32"/>
    </x:row>
    <x:row r="204">
      <x:c r="A204" s="87"/>
      <x:c r="D204" s="32"/>
      <x:c r="I204" s="74"/>
      <x:c r="J204" s="74"/>
      <x:c r="K204" s="74"/>
      <x:c r="L204" s="74"/>
      <x:c r="M204" s="74"/>
      <x:c r="N204" s="85"/>
      <x:c r="P204" s="86"/>
      <x:c r="Q204" s="32"/>
    </x:row>
    <x:row r="205">
      <x:c r="A205" s="87"/>
      <x:c r="D205" s="32"/>
      <x:c r="I205" s="74"/>
      <x:c r="J205" s="74"/>
      <x:c r="K205" s="74"/>
      <x:c r="L205" s="74"/>
      <x:c r="M205" s="74"/>
      <x:c r="N205" s="85"/>
      <x:c r="P205" s="86"/>
      <x:c r="Q205" s="32"/>
    </x:row>
    <x:row r="206">
      <x:c r="A206" s="87"/>
      <x:c r="D206" s="32"/>
      <x:c r="I206" s="74"/>
      <x:c r="J206" s="74"/>
      <x:c r="K206" s="74"/>
      <x:c r="L206" s="74"/>
      <x:c r="M206" s="74"/>
      <x:c r="N206" s="85"/>
      <x:c r="P206" s="86"/>
      <x:c r="Q206" s="32"/>
    </x:row>
    <x:row r="207">
      <x:c r="A207" s="87"/>
      <x:c r="D207" s="32"/>
      <x:c r="I207" s="74"/>
      <x:c r="J207" s="74"/>
      <x:c r="K207" s="74"/>
      <x:c r="L207" s="74"/>
      <x:c r="M207" s="74"/>
      <x:c r="N207" s="85"/>
      <x:c r="P207" s="86"/>
      <x:c r="Q207" s="32"/>
    </x:row>
    <x:row r="208">
      <x:c r="A208" s="87"/>
      <x:c r="D208" s="32"/>
      <x:c r="I208" s="74"/>
      <x:c r="J208" s="74"/>
      <x:c r="K208" s="74"/>
      <x:c r="L208" s="74"/>
      <x:c r="M208" s="74"/>
      <x:c r="N208" s="85"/>
      <x:c r="P208" s="86"/>
      <x:c r="Q208" s="32"/>
    </x:row>
    <x:row r="209">
      <x:c r="A209" s="87"/>
      <x:c r="D209" s="32"/>
      <x:c r="I209" s="74"/>
      <x:c r="J209" s="74"/>
      <x:c r="K209" s="74"/>
      <x:c r="L209" s="74"/>
      <x:c r="M209" s="74"/>
      <x:c r="N209" s="85"/>
      <x:c r="P209" s="86"/>
      <x:c r="Q209" s="32"/>
    </x:row>
    <x:row r="210">
      <x:c r="A210" s="87"/>
      <x:c r="D210" s="32"/>
      <x:c r="I210" s="74"/>
      <x:c r="J210" s="74"/>
      <x:c r="K210" s="74"/>
      <x:c r="L210" s="74"/>
      <x:c r="M210" s="74"/>
      <x:c r="N210" s="85"/>
      <x:c r="P210" s="86"/>
      <x:c r="Q210" s="32"/>
    </x:row>
    <x:row r="211">
      <x:c r="A211" s="87"/>
      <x:c r="D211" s="32"/>
      <x:c r="I211" s="74"/>
      <x:c r="J211" s="74"/>
      <x:c r="K211" s="74"/>
      <x:c r="L211" s="74"/>
      <x:c r="M211" s="74"/>
      <x:c r="N211" s="85"/>
      <x:c r="P211" s="86"/>
      <x:c r="Q211" s="32"/>
    </x:row>
    <x:row r="212">
      <x:c r="A212" s="87"/>
      <x:c r="D212" s="32"/>
      <x:c r="I212" s="74"/>
      <x:c r="J212" s="74"/>
      <x:c r="K212" s="74"/>
      <x:c r="L212" s="74"/>
      <x:c r="M212" s="74"/>
      <x:c r="N212" s="85"/>
      <x:c r="P212" s="86"/>
      <x:c r="Q212" s="32"/>
    </x:row>
    <x:row r="213">
      <x:c r="A213" s="87"/>
      <x:c r="D213" s="32"/>
      <x:c r="I213" s="74"/>
      <x:c r="J213" s="74"/>
      <x:c r="K213" s="74"/>
      <x:c r="L213" s="74"/>
      <x:c r="M213" s="74"/>
      <x:c r="N213" s="85"/>
      <x:c r="P213" s="86"/>
      <x:c r="Q213" s="32"/>
    </x:row>
    <x:row r="214">
      <x:c r="A214" s="87"/>
      <x:c r="D214" s="32"/>
      <x:c r="I214" s="74"/>
      <x:c r="J214" s="74"/>
      <x:c r="K214" s="74"/>
      <x:c r="L214" s="74"/>
      <x:c r="M214" s="74"/>
      <x:c r="N214" s="85"/>
      <x:c r="P214" s="86"/>
      <x:c r="Q214" s="32"/>
    </x:row>
    <x:row r="215">
      <x:c r="A215" s="87"/>
      <x:c r="D215" s="32"/>
      <x:c r="I215" s="74"/>
      <x:c r="J215" s="74"/>
      <x:c r="K215" s="74"/>
      <x:c r="L215" s="74"/>
      <x:c r="M215" s="74"/>
      <x:c r="N215" s="85"/>
      <x:c r="P215" s="86"/>
      <x:c r="Q215" s="32"/>
    </x:row>
    <x:row r="216">
      <x:c r="A216" s="87"/>
      <x:c r="D216" s="32"/>
      <x:c r="I216" s="74"/>
      <x:c r="J216" s="74"/>
      <x:c r="K216" s="74"/>
      <x:c r="L216" s="74"/>
      <x:c r="M216" s="74"/>
      <x:c r="N216" s="85"/>
      <x:c r="P216" s="86"/>
      <x:c r="Q216" s="32"/>
    </x:row>
    <x:row r="217">
      <x:c r="A217" s="87"/>
      <x:c r="D217" s="32"/>
      <x:c r="I217" s="74"/>
      <x:c r="J217" s="74"/>
      <x:c r="K217" s="74"/>
      <x:c r="L217" s="74"/>
      <x:c r="M217" s="74"/>
      <x:c r="N217" s="85"/>
      <x:c r="P217" s="86"/>
      <x:c r="Q217" s="32"/>
    </x:row>
    <x:row r="218">
      <x:c r="A218" s="87"/>
      <x:c r="D218" s="32"/>
      <x:c r="I218" s="74"/>
      <x:c r="J218" s="74"/>
      <x:c r="K218" s="74"/>
      <x:c r="L218" s="74"/>
      <x:c r="M218" s="74"/>
      <x:c r="N218" s="85"/>
      <x:c r="P218" s="86"/>
      <x:c r="Q218" s="32"/>
    </x:row>
    <x:row r="219">
      <x:c r="A219" s="87"/>
      <x:c r="D219" s="32"/>
      <x:c r="I219" s="74"/>
      <x:c r="J219" s="74"/>
      <x:c r="K219" s="74"/>
      <x:c r="L219" s="74"/>
      <x:c r="M219" s="74"/>
      <x:c r="N219" s="85"/>
      <x:c r="P219" s="86"/>
      <x:c r="Q219" s="32"/>
    </x:row>
    <x:row r="220">
      <x:c r="A220" s="87"/>
      <x:c r="D220" s="32"/>
      <x:c r="I220" s="74"/>
      <x:c r="J220" s="74"/>
      <x:c r="K220" s="74"/>
      <x:c r="L220" s="74"/>
      <x:c r="M220" s="74"/>
      <x:c r="N220" s="85"/>
      <x:c r="P220" s="86"/>
      <x:c r="Q220" s="32"/>
    </x:row>
    <x:row r="221">
      <x:c r="A221" s="87"/>
      <x:c r="D221" s="32"/>
      <x:c r="I221" s="74"/>
      <x:c r="J221" s="74"/>
      <x:c r="K221" s="74"/>
      <x:c r="L221" s="74"/>
      <x:c r="M221" s="74"/>
      <x:c r="N221" s="85"/>
      <x:c r="P221" s="86"/>
      <x:c r="Q221" s="32"/>
    </x:row>
    <x:row r="222">
      <x:c r="A222" s="87"/>
      <x:c r="D222" s="32"/>
      <x:c r="I222" s="74"/>
      <x:c r="J222" s="74"/>
      <x:c r="K222" s="74"/>
      <x:c r="L222" s="74"/>
      <x:c r="M222" s="74"/>
      <x:c r="N222" s="85"/>
      <x:c r="P222" s="86"/>
      <x:c r="Q222" s="32"/>
    </x:row>
    <x:row r="223">
      <x:c r="A223" s="87"/>
      <x:c r="D223" s="32"/>
      <x:c r="I223" s="74"/>
      <x:c r="J223" s="74"/>
      <x:c r="K223" s="74"/>
      <x:c r="L223" s="74"/>
      <x:c r="M223" s="74"/>
      <x:c r="N223" s="85"/>
      <x:c r="P223" s="86"/>
      <x:c r="Q223" s="32"/>
    </x:row>
    <x:row r="224">
      <x:c r="A224" s="87"/>
      <x:c r="D224" s="32"/>
      <x:c r="I224" s="74"/>
      <x:c r="J224" s="74"/>
      <x:c r="K224" s="74"/>
      <x:c r="L224" s="74"/>
      <x:c r="M224" s="74"/>
      <x:c r="N224" s="85"/>
      <x:c r="P224" s="86"/>
      <x:c r="Q224" s="32"/>
    </x:row>
    <x:row r="225">
      <x:c r="A225" s="87"/>
      <x:c r="D225" s="32"/>
      <x:c r="I225" s="74"/>
      <x:c r="J225" s="74"/>
      <x:c r="K225" s="74"/>
      <x:c r="L225" s="74"/>
      <x:c r="M225" s="74"/>
      <x:c r="N225" s="85"/>
      <x:c r="P225" s="86"/>
      <x:c r="Q225" s="32"/>
    </x:row>
    <x:row r="226">
      <x:c r="A226" s="87"/>
      <x:c r="D226" s="32"/>
      <x:c r="I226" s="74"/>
      <x:c r="J226" s="74"/>
      <x:c r="K226" s="74"/>
      <x:c r="L226" s="74"/>
      <x:c r="M226" s="74"/>
      <x:c r="N226" s="85"/>
      <x:c r="P226" s="86"/>
      <x:c r="Q226" s="32"/>
    </x:row>
    <x:row r="227">
      <x:c r="A227" s="87"/>
      <x:c r="D227" s="32"/>
      <x:c r="I227" s="74"/>
      <x:c r="J227" s="74"/>
      <x:c r="K227" s="74"/>
      <x:c r="L227" s="74"/>
      <x:c r="M227" s="74"/>
      <x:c r="N227" s="85"/>
      <x:c r="P227" s="86"/>
      <x:c r="Q227" s="32"/>
    </x:row>
    <x:row r="228">
      <x:c r="A228" s="87"/>
      <x:c r="D228" s="32"/>
      <x:c r="I228" s="74"/>
      <x:c r="J228" s="74"/>
      <x:c r="K228" s="74"/>
      <x:c r="L228" s="74"/>
      <x:c r="M228" s="74"/>
      <x:c r="N228" s="85"/>
      <x:c r="P228" s="86"/>
      <x:c r="Q228" s="32"/>
    </x:row>
    <x:row r="229">
      <x:c r="A229" s="87"/>
      <x:c r="D229" s="32"/>
      <x:c r="I229" s="74"/>
      <x:c r="J229" s="74"/>
      <x:c r="K229" s="74"/>
      <x:c r="L229" s="74"/>
      <x:c r="M229" s="74"/>
      <x:c r="N229" s="85"/>
      <x:c r="P229" s="86"/>
      <x:c r="Q229" s="32"/>
    </x:row>
    <x:row r="230">
      <x:c r="A230" s="87"/>
      <x:c r="D230" s="32"/>
      <x:c r="I230" s="74"/>
      <x:c r="J230" s="74"/>
      <x:c r="K230" s="74"/>
      <x:c r="L230" s="74"/>
      <x:c r="M230" s="74"/>
      <x:c r="N230" s="85"/>
      <x:c r="P230" s="86"/>
      <x:c r="Q230" s="32"/>
    </x:row>
    <x:row r="231">
      <x:c r="A231" s="87"/>
      <x:c r="D231" s="32"/>
      <x:c r="I231" s="74"/>
      <x:c r="J231" s="74"/>
      <x:c r="K231" s="74"/>
      <x:c r="L231" s="74"/>
      <x:c r="M231" s="74"/>
      <x:c r="N231" s="85"/>
      <x:c r="P231" s="86"/>
      <x:c r="Q231" s="32"/>
    </x:row>
    <x:row r="232">
      <x:c r="A232" s="87"/>
      <x:c r="D232" s="32"/>
      <x:c r="I232" s="74"/>
      <x:c r="J232" s="74"/>
      <x:c r="K232" s="74"/>
      <x:c r="L232" s="74"/>
      <x:c r="M232" s="74"/>
      <x:c r="N232" s="85"/>
      <x:c r="P232" s="86"/>
      <x:c r="Q232" s="32"/>
    </x:row>
    <x:row r="233">
      <x:c r="A233" s="87"/>
      <x:c r="D233" s="32"/>
      <x:c r="I233" s="74"/>
      <x:c r="J233" s="74"/>
      <x:c r="K233" s="74"/>
      <x:c r="L233" s="74"/>
      <x:c r="M233" s="74"/>
      <x:c r="N233" s="85"/>
      <x:c r="P233" s="86"/>
      <x:c r="Q233" s="32"/>
    </x:row>
    <x:row r="234">
      <x:c r="A234" s="87"/>
      <x:c r="D234" s="32"/>
      <x:c r="I234" s="74"/>
      <x:c r="J234" s="74"/>
      <x:c r="K234" s="74"/>
      <x:c r="L234" s="74"/>
      <x:c r="M234" s="74"/>
      <x:c r="N234" s="85"/>
      <x:c r="P234" s="86"/>
      <x:c r="Q234" s="32"/>
    </x:row>
    <x:row r="235">
      <x:c r="A235" s="87"/>
      <x:c r="D235" s="32"/>
      <x:c r="I235" s="74"/>
      <x:c r="J235" s="74"/>
      <x:c r="K235" s="74"/>
      <x:c r="L235" s="74"/>
      <x:c r="M235" s="74"/>
      <x:c r="N235" s="85"/>
      <x:c r="P235" s="86"/>
      <x:c r="Q235" s="32"/>
    </x:row>
    <x:row r="236">
      <x:c r="A236" s="87"/>
      <x:c r="D236" s="32"/>
      <x:c r="I236" s="74"/>
      <x:c r="J236" s="74"/>
      <x:c r="K236" s="74"/>
      <x:c r="L236" s="74"/>
      <x:c r="M236" s="74"/>
      <x:c r="N236" s="85"/>
      <x:c r="P236" s="86"/>
      <x:c r="Q236" s="32"/>
    </x:row>
    <x:row r="237">
      <x:c r="A237" s="87"/>
      <x:c r="D237" s="32"/>
      <x:c r="I237" s="74"/>
      <x:c r="J237" s="74"/>
      <x:c r="K237" s="74"/>
      <x:c r="L237" s="74"/>
      <x:c r="M237" s="74"/>
      <x:c r="N237" s="85"/>
      <x:c r="P237" s="86"/>
      <x:c r="Q237" s="32"/>
    </x:row>
    <x:row r="238">
      <x:c r="A238" s="87"/>
      <x:c r="D238" s="32"/>
      <x:c r="I238" s="74"/>
      <x:c r="J238" s="74"/>
      <x:c r="K238" s="74"/>
      <x:c r="L238" s="74"/>
      <x:c r="M238" s="74"/>
      <x:c r="N238" s="85"/>
      <x:c r="P238" s="86"/>
      <x:c r="Q238" s="32"/>
    </x:row>
    <x:row r="239">
      <x:c r="A239" s="87"/>
      <x:c r="D239" s="32"/>
      <x:c r="I239" s="74"/>
      <x:c r="J239" s="74"/>
      <x:c r="K239" s="74"/>
      <x:c r="L239" s="74"/>
      <x:c r="M239" s="74"/>
      <x:c r="N239" s="85"/>
      <x:c r="P239" s="86"/>
      <x:c r="Q239" s="32"/>
    </x:row>
    <x:row r="240">
      <x:c r="A240" s="87"/>
      <x:c r="D240" s="32"/>
      <x:c r="I240" s="74"/>
      <x:c r="J240" s="74"/>
      <x:c r="K240" s="74"/>
      <x:c r="L240" s="74"/>
      <x:c r="M240" s="74"/>
      <x:c r="N240" s="85"/>
      <x:c r="P240" s="86"/>
      <x:c r="Q240" s="32"/>
    </x:row>
    <x:row r="241">
      <x:c r="A241" s="87"/>
      <x:c r="D241" s="32"/>
      <x:c r="I241" s="74"/>
      <x:c r="J241" s="74"/>
      <x:c r="K241" s="74"/>
      <x:c r="L241" s="74"/>
      <x:c r="M241" s="74"/>
      <x:c r="N241" s="85"/>
      <x:c r="P241" s="86"/>
      <x:c r="Q241" s="32"/>
    </x:row>
    <x:row r="242">
      <x:c r="A242" s="87"/>
      <x:c r="D242" s="32"/>
      <x:c r="I242" s="74"/>
      <x:c r="J242" s="74"/>
      <x:c r="K242" s="74"/>
      <x:c r="L242" s="74"/>
      <x:c r="M242" s="74"/>
      <x:c r="N242" s="85"/>
      <x:c r="P242" s="86"/>
      <x:c r="Q242" s="32"/>
    </x:row>
    <x:row r="243">
      <x:c r="A243" s="87"/>
      <x:c r="D243" s="32"/>
      <x:c r="I243" s="74"/>
      <x:c r="J243" s="74"/>
      <x:c r="K243" s="74"/>
      <x:c r="L243" s="74"/>
      <x:c r="M243" s="74"/>
      <x:c r="N243" s="85"/>
      <x:c r="P243" s="86"/>
      <x:c r="Q243" s="32"/>
    </x:row>
    <x:row r="244">
      <x:c r="A244" s="87"/>
      <x:c r="D244" s="32"/>
      <x:c r="I244" s="74"/>
      <x:c r="J244" s="74"/>
      <x:c r="K244" s="74"/>
      <x:c r="L244" s="74"/>
      <x:c r="M244" s="74"/>
      <x:c r="N244" s="85"/>
      <x:c r="P244" s="86"/>
      <x:c r="Q244" s="32"/>
    </x:row>
    <x:row r="245">
      <x:c r="A245" s="87"/>
      <x:c r="D245" s="32"/>
      <x:c r="I245" s="74"/>
      <x:c r="J245" s="74"/>
      <x:c r="K245" s="74"/>
      <x:c r="L245" s="74"/>
      <x:c r="M245" s="74"/>
      <x:c r="N245" s="85"/>
      <x:c r="P245" s="86"/>
      <x:c r="Q245" s="32"/>
    </x:row>
    <x:row r="246">
      <x:c r="A246" s="87"/>
      <x:c r="D246" s="32"/>
      <x:c r="I246" s="74"/>
      <x:c r="J246" s="74"/>
      <x:c r="K246" s="74"/>
      <x:c r="L246" s="74"/>
      <x:c r="M246" s="74"/>
      <x:c r="N246" s="85"/>
      <x:c r="P246" s="86"/>
      <x:c r="Q246" s="32"/>
    </x:row>
    <x:row r="247">
      <x:c r="A247" s="87"/>
      <x:c r="D247" s="32"/>
      <x:c r="I247" s="74"/>
      <x:c r="J247" s="74"/>
      <x:c r="K247" s="74"/>
      <x:c r="L247" s="74"/>
      <x:c r="M247" s="74"/>
      <x:c r="N247" s="85"/>
      <x:c r="P247" s="86"/>
      <x:c r="Q247" s="32"/>
    </x:row>
    <x:row r="248">
      <x:c r="A248" s="87"/>
      <x:c r="D248" s="32"/>
      <x:c r="I248" s="74"/>
      <x:c r="J248" s="74"/>
      <x:c r="K248" s="74"/>
      <x:c r="L248" s="74"/>
      <x:c r="M248" s="74"/>
      <x:c r="N248" s="85"/>
      <x:c r="P248" s="86"/>
      <x:c r="Q248" s="32"/>
    </x:row>
    <x:row r="249">
      <x:c r="A249" s="87"/>
      <x:c r="D249" s="32"/>
      <x:c r="I249" s="74"/>
      <x:c r="J249" s="74"/>
      <x:c r="K249" s="74"/>
      <x:c r="L249" s="74"/>
      <x:c r="M249" s="74"/>
      <x:c r="N249" s="85"/>
      <x:c r="P249" s="86"/>
      <x:c r="Q249" s="32"/>
    </x:row>
    <x:row r="250">
      <x:c r="A250" s="87"/>
      <x:c r="D250" s="32"/>
      <x:c r="I250" s="74"/>
      <x:c r="J250" s="74"/>
      <x:c r="K250" s="74"/>
      <x:c r="L250" s="74"/>
      <x:c r="M250" s="74"/>
      <x:c r="N250" s="85"/>
      <x:c r="P250" s="86"/>
      <x:c r="Q250" s="32"/>
    </x:row>
    <x:row r="251">
      <x:c r="A251" s="87"/>
      <x:c r="D251" s="32"/>
      <x:c r="I251" s="74"/>
      <x:c r="J251" s="74"/>
      <x:c r="K251" s="74"/>
      <x:c r="L251" s="74"/>
      <x:c r="M251" s="74"/>
      <x:c r="N251" s="85"/>
      <x:c r="P251" s="86"/>
      <x:c r="Q251" s="32"/>
    </x:row>
    <x:row r="252">
      <x:c r="A252" s="87"/>
      <x:c r="D252" s="32"/>
      <x:c r="I252" s="74"/>
      <x:c r="J252" s="74"/>
      <x:c r="K252" s="74"/>
      <x:c r="L252" s="74"/>
      <x:c r="M252" s="74"/>
      <x:c r="N252" s="85"/>
      <x:c r="P252" s="86"/>
      <x:c r="Q252" s="32"/>
    </x:row>
    <x:row r="253">
      <x:c r="A253" s="87"/>
      <x:c r="D253" s="32"/>
      <x:c r="I253" s="74"/>
      <x:c r="J253" s="74"/>
      <x:c r="K253" s="74"/>
      <x:c r="L253" s="74"/>
      <x:c r="M253" s="74"/>
      <x:c r="N253" s="85"/>
      <x:c r="P253" s="86"/>
      <x:c r="Q253" s="32"/>
    </x:row>
    <x:row r="254">
      <x:c r="A254" s="87"/>
      <x:c r="D254" s="32"/>
      <x:c r="I254" s="74"/>
      <x:c r="J254" s="74"/>
      <x:c r="K254" s="74"/>
      <x:c r="L254" s="74"/>
      <x:c r="M254" s="74"/>
      <x:c r="N254" s="85"/>
      <x:c r="P254" s="86"/>
      <x:c r="Q254" s="32"/>
    </x:row>
    <x:row r="255">
      <x:c r="A255" s="87"/>
      <x:c r="D255" s="32"/>
      <x:c r="I255" s="74"/>
      <x:c r="J255" s="74"/>
      <x:c r="K255" s="74"/>
      <x:c r="L255" s="74"/>
      <x:c r="M255" s="74"/>
      <x:c r="N255" s="85"/>
      <x:c r="P255" s="86"/>
      <x:c r="Q255" s="32"/>
    </x:row>
    <x:row r="256">
      <x:c r="A256" s="87"/>
      <x:c r="D256" s="32"/>
      <x:c r="I256" s="74"/>
      <x:c r="J256" s="74"/>
      <x:c r="K256" s="74"/>
      <x:c r="L256" s="74"/>
      <x:c r="M256" s="74"/>
      <x:c r="N256" s="85"/>
      <x:c r="P256" s="86"/>
      <x:c r="Q256" s="32"/>
    </x:row>
    <x:row r="257">
      <x:c r="A257" s="87"/>
      <x:c r="D257" s="32"/>
      <x:c r="I257" s="74"/>
      <x:c r="J257" s="74"/>
      <x:c r="K257" s="74"/>
      <x:c r="L257" s="74"/>
      <x:c r="M257" s="74"/>
      <x:c r="N257" s="85"/>
      <x:c r="P257" s="86"/>
      <x:c r="Q257" s="32"/>
    </x:row>
    <x:row r="258">
      <x:c r="A258" s="87"/>
      <x:c r="D258" s="32"/>
      <x:c r="I258" s="74"/>
      <x:c r="J258" s="74"/>
      <x:c r="K258" s="74"/>
      <x:c r="L258" s="74"/>
      <x:c r="M258" s="74"/>
      <x:c r="N258" s="85"/>
      <x:c r="P258" s="86"/>
      <x:c r="Q258" s="32"/>
    </x:row>
    <x:row r="259">
      <x:c r="A259" s="87"/>
      <x:c r="D259" s="32"/>
      <x:c r="I259" s="74"/>
      <x:c r="J259" s="74"/>
      <x:c r="K259" s="74"/>
      <x:c r="L259" s="74"/>
      <x:c r="M259" s="74"/>
      <x:c r="N259" s="85"/>
      <x:c r="P259" s="86"/>
      <x:c r="Q259" s="32"/>
    </x:row>
    <x:row r="260">
      <x:c r="A260" s="87"/>
      <x:c r="D260" s="32"/>
      <x:c r="I260" s="74"/>
      <x:c r="J260" s="74"/>
      <x:c r="K260" s="74"/>
      <x:c r="L260" s="74"/>
      <x:c r="M260" s="74"/>
      <x:c r="N260" s="85"/>
      <x:c r="P260" s="86"/>
      <x:c r="Q260" s="32"/>
    </x:row>
    <x:row r="261">
      <x:c r="A261" s="87"/>
      <x:c r="D261" s="32"/>
      <x:c r="I261" s="74"/>
      <x:c r="J261" s="74"/>
      <x:c r="K261" s="74"/>
      <x:c r="L261" s="74"/>
      <x:c r="M261" s="74"/>
      <x:c r="N261" s="85"/>
      <x:c r="P261" s="86"/>
      <x:c r="Q261" s="32"/>
    </x:row>
    <x:row r="262">
      <x:c r="A262" s="87"/>
      <x:c r="D262" s="32"/>
      <x:c r="I262" s="74"/>
      <x:c r="J262" s="74"/>
      <x:c r="K262" s="74"/>
      <x:c r="L262" s="74"/>
      <x:c r="M262" s="74"/>
      <x:c r="N262" s="85"/>
      <x:c r="P262" s="86"/>
      <x:c r="Q262" s="32"/>
    </x:row>
    <x:row r="263">
      <x:c r="A263" s="87"/>
      <x:c r="D263" s="32"/>
      <x:c r="I263" s="74"/>
      <x:c r="J263" s="74"/>
      <x:c r="K263" s="74"/>
      <x:c r="L263" s="74"/>
      <x:c r="M263" s="74"/>
      <x:c r="N263" s="85"/>
      <x:c r="P263" s="86"/>
      <x:c r="Q263" s="32"/>
    </x:row>
    <x:row r="264">
      <x:c r="A264" s="87"/>
      <x:c r="D264" s="32"/>
      <x:c r="I264" s="74"/>
      <x:c r="J264" s="74"/>
      <x:c r="K264" s="74"/>
      <x:c r="L264" s="74"/>
      <x:c r="M264" s="74"/>
      <x:c r="N264" s="85"/>
      <x:c r="P264" s="86"/>
      <x:c r="Q264" s="32"/>
    </x:row>
    <x:row r="265">
      <x:c r="A265" s="87"/>
      <x:c r="D265" s="32"/>
      <x:c r="I265" s="74"/>
      <x:c r="J265" s="74"/>
      <x:c r="K265" s="74"/>
      <x:c r="L265" s="74"/>
      <x:c r="M265" s="74"/>
      <x:c r="N265" s="85"/>
      <x:c r="P265" s="86"/>
      <x:c r="Q265" s="32"/>
    </x:row>
    <x:row r="266">
      <x:c r="A266" s="87"/>
      <x:c r="D266" s="32"/>
      <x:c r="I266" s="74"/>
      <x:c r="J266" s="74"/>
      <x:c r="K266" s="74"/>
      <x:c r="L266" s="74"/>
      <x:c r="M266" s="74"/>
      <x:c r="N266" s="85"/>
      <x:c r="P266" s="86"/>
      <x:c r="Q266" s="32"/>
    </x:row>
    <x:row r="267">
      <x:c r="A267" s="87"/>
      <x:c r="D267" s="32"/>
      <x:c r="I267" s="74"/>
      <x:c r="J267" s="74"/>
      <x:c r="K267" s="74"/>
      <x:c r="L267" s="74"/>
      <x:c r="M267" s="74"/>
      <x:c r="N267" s="85"/>
      <x:c r="P267" s="86"/>
      <x:c r="Q267" s="32"/>
    </x:row>
    <x:row r="268">
      <x:c r="A268" s="87"/>
      <x:c r="D268" s="32"/>
      <x:c r="I268" s="74"/>
      <x:c r="J268" s="74"/>
      <x:c r="K268" s="74"/>
      <x:c r="L268" s="74"/>
      <x:c r="M268" s="74"/>
      <x:c r="N268" s="85"/>
      <x:c r="P268" s="86"/>
      <x:c r="Q268" s="32"/>
    </x:row>
    <x:row r="269">
      <x:c r="A269" s="87"/>
      <x:c r="D269" s="32"/>
      <x:c r="I269" s="74"/>
      <x:c r="J269" s="74"/>
      <x:c r="K269" s="74"/>
      <x:c r="L269" s="74"/>
      <x:c r="M269" s="74"/>
      <x:c r="N269" s="85"/>
      <x:c r="P269" s="86"/>
      <x:c r="Q269" s="32"/>
    </x:row>
    <x:row r="270">
      <x:c r="A270" s="87"/>
      <x:c r="D270" s="32"/>
      <x:c r="I270" s="74"/>
      <x:c r="J270" s="74"/>
      <x:c r="K270" s="74"/>
      <x:c r="L270" s="74"/>
      <x:c r="M270" s="74"/>
      <x:c r="N270" s="85"/>
      <x:c r="P270" s="86"/>
      <x:c r="Q270" s="32"/>
    </x:row>
    <x:row r="271">
      <x:c r="A271" s="87"/>
      <x:c r="D271" s="32"/>
      <x:c r="I271" s="74"/>
      <x:c r="J271" s="74"/>
      <x:c r="K271" s="74"/>
      <x:c r="L271" s="74"/>
      <x:c r="M271" s="74"/>
      <x:c r="N271" s="85"/>
      <x:c r="P271" s="86"/>
      <x:c r="Q271" s="32"/>
    </x:row>
    <x:row r="272">
      <x:c r="A272" s="87"/>
      <x:c r="D272" s="32"/>
      <x:c r="I272" s="74"/>
      <x:c r="J272" s="74"/>
      <x:c r="K272" s="74"/>
      <x:c r="L272" s="74"/>
      <x:c r="M272" s="74"/>
      <x:c r="N272" s="85"/>
      <x:c r="P272" s="86"/>
      <x:c r="Q272" s="32"/>
    </x:row>
    <x:row r="273">
      <x:c r="A273" s="87"/>
      <x:c r="D273" s="32"/>
      <x:c r="I273" s="74"/>
      <x:c r="J273" s="74"/>
      <x:c r="K273" s="74"/>
      <x:c r="L273" s="74"/>
      <x:c r="M273" s="74"/>
      <x:c r="N273" s="85"/>
      <x:c r="P273" s="86"/>
      <x:c r="Q273" s="32"/>
    </x:row>
    <x:row r="274">
      <x:c r="A274" s="87"/>
      <x:c r="D274" s="32"/>
      <x:c r="I274" s="74"/>
      <x:c r="J274" s="74"/>
      <x:c r="K274" s="74"/>
      <x:c r="L274" s="74"/>
      <x:c r="M274" s="74"/>
      <x:c r="N274" s="85"/>
      <x:c r="P274" s="86"/>
      <x:c r="Q274" s="32"/>
    </x:row>
    <x:row r="275">
      <x:c r="A275" s="87"/>
      <x:c r="D275" s="32"/>
      <x:c r="I275" s="74"/>
      <x:c r="J275" s="74"/>
      <x:c r="K275" s="74"/>
      <x:c r="L275" s="74"/>
      <x:c r="M275" s="74"/>
      <x:c r="N275" s="85"/>
      <x:c r="P275" s="86"/>
      <x:c r="Q275" s="32"/>
    </x:row>
    <x:row r="276">
      <x:c r="A276" s="87"/>
      <x:c r="D276" s="32"/>
      <x:c r="I276" s="74"/>
      <x:c r="J276" s="74"/>
      <x:c r="K276" s="74"/>
      <x:c r="L276" s="74"/>
      <x:c r="M276" s="74"/>
      <x:c r="N276" s="85"/>
      <x:c r="P276" s="86"/>
      <x:c r="Q276" s="32"/>
    </x:row>
    <x:row r="277">
      <x:c r="A277" s="87"/>
      <x:c r="D277" s="32"/>
      <x:c r="I277" s="74"/>
      <x:c r="J277" s="74"/>
      <x:c r="K277" s="74"/>
      <x:c r="L277" s="74"/>
      <x:c r="M277" s="74"/>
      <x:c r="N277" s="85"/>
      <x:c r="P277" s="86"/>
      <x:c r="Q277" s="32"/>
    </x:row>
    <x:row r="278">
      <x:c r="A278" s="87"/>
      <x:c r="D278" s="32"/>
      <x:c r="I278" s="74"/>
      <x:c r="J278" s="74"/>
      <x:c r="K278" s="74"/>
      <x:c r="L278" s="74"/>
      <x:c r="M278" s="74"/>
      <x:c r="N278" s="85"/>
      <x:c r="P278" s="86"/>
      <x:c r="Q278" s="32"/>
    </x:row>
    <x:row r="279">
      <x:c r="A279" s="87"/>
      <x:c r="D279" s="32"/>
      <x:c r="I279" s="74"/>
      <x:c r="J279" s="74"/>
      <x:c r="K279" s="74"/>
      <x:c r="L279" s="74"/>
      <x:c r="M279" s="74"/>
      <x:c r="N279" s="85"/>
      <x:c r="P279" s="86"/>
      <x:c r="Q279" s="32"/>
    </x:row>
    <x:row r="280">
      <x:c r="A280" s="87"/>
      <x:c r="D280" s="32"/>
      <x:c r="I280" s="74"/>
      <x:c r="J280" s="74"/>
      <x:c r="K280" s="74"/>
      <x:c r="L280" s="74"/>
      <x:c r="M280" s="74"/>
      <x:c r="N280" s="85"/>
      <x:c r="P280" s="86"/>
      <x:c r="Q280" s="32"/>
    </x:row>
    <x:row r="281">
      <x:c r="A281" s="87"/>
      <x:c r="D281" s="32"/>
      <x:c r="I281" s="74"/>
      <x:c r="J281" s="74"/>
      <x:c r="K281" s="74"/>
      <x:c r="L281" s="74"/>
      <x:c r="M281" s="74"/>
      <x:c r="N281" s="85"/>
      <x:c r="P281" s="86"/>
      <x:c r="Q281" s="32"/>
    </x:row>
    <x:row r="282">
      <x:c r="A282" s="87"/>
      <x:c r="D282" s="32"/>
      <x:c r="I282" s="74"/>
      <x:c r="J282" s="74"/>
      <x:c r="K282" s="74"/>
      <x:c r="L282" s="74"/>
      <x:c r="M282" s="74"/>
      <x:c r="N282" s="85"/>
      <x:c r="P282" s="86"/>
      <x:c r="Q282" s="32"/>
    </x:row>
    <x:row r="283">
      <x:c r="A283" s="87"/>
      <x:c r="D283" s="32"/>
      <x:c r="I283" s="74"/>
      <x:c r="J283" s="74"/>
      <x:c r="K283" s="74"/>
      <x:c r="L283" s="74"/>
      <x:c r="M283" s="74"/>
      <x:c r="N283" s="85"/>
      <x:c r="P283" s="86"/>
      <x:c r="Q283" s="32"/>
    </x:row>
    <x:row r="284">
      <x:c r="A284" s="87"/>
      <x:c r="D284" s="32"/>
      <x:c r="I284" s="74"/>
      <x:c r="J284" s="74"/>
      <x:c r="K284" s="74"/>
      <x:c r="L284" s="74"/>
      <x:c r="M284" s="74"/>
      <x:c r="N284" s="85"/>
      <x:c r="P284" s="86"/>
      <x:c r="Q284" s="32"/>
    </x:row>
    <x:row r="285">
      <x:c r="A285" s="87"/>
      <x:c r="D285" s="32"/>
      <x:c r="I285" s="74"/>
      <x:c r="J285" s="74"/>
      <x:c r="K285" s="74"/>
      <x:c r="L285" s="74"/>
      <x:c r="M285" s="74"/>
      <x:c r="N285" s="85"/>
      <x:c r="P285" s="86"/>
      <x:c r="Q285" s="32"/>
    </x:row>
    <x:row r="286">
      <x:c r="A286" s="87"/>
      <x:c r="D286" s="32"/>
      <x:c r="I286" s="74"/>
      <x:c r="J286" s="74"/>
      <x:c r="K286" s="74"/>
      <x:c r="L286" s="74"/>
      <x:c r="M286" s="74"/>
      <x:c r="N286" s="85"/>
      <x:c r="P286" s="86"/>
      <x:c r="Q286" s="32"/>
    </x:row>
    <x:row r="287">
      <x:c r="A287" s="87"/>
      <x:c r="D287" s="32"/>
      <x:c r="I287" s="74"/>
      <x:c r="J287" s="74"/>
      <x:c r="K287" s="74"/>
      <x:c r="L287" s="74"/>
      <x:c r="M287" s="74"/>
      <x:c r="N287" s="85"/>
      <x:c r="P287" s="86"/>
      <x:c r="Q287" s="32"/>
    </x:row>
    <x:row r="288">
      <x:c r="A288" s="87"/>
      <x:c r="D288" s="32"/>
      <x:c r="I288" s="74"/>
      <x:c r="J288" s="74"/>
      <x:c r="K288" s="74"/>
      <x:c r="L288" s="74"/>
      <x:c r="M288" s="74"/>
      <x:c r="N288" s="85"/>
      <x:c r="P288" s="86"/>
      <x:c r="Q288" s="32"/>
    </x:row>
    <x:row r="289">
      <x:c r="A289" s="87"/>
      <x:c r="D289" s="32"/>
      <x:c r="I289" s="74"/>
      <x:c r="J289" s="74"/>
      <x:c r="K289" s="74"/>
      <x:c r="L289" s="74"/>
      <x:c r="M289" s="74"/>
      <x:c r="N289" s="85"/>
      <x:c r="P289" s="86"/>
      <x:c r="Q289" s="32"/>
    </x:row>
    <x:row r="290">
      <x:c r="A290" s="87"/>
      <x:c r="D290" s="32"/>
      <x:c r="I290" s="74"/>
      <x:c r="J290" s="74"/>
      <x:c r="K290" s="74"/>
      <x:c r="L290" s="74"/>
      <x:c r="M290" s="74"/>
      <x:c r="N290" s="85"/>
      <x:c r="P290" s="86"/>
      <x:c r="Q290" s="32"/>
    </x:row>
    <x:row r="291">
      <x:c r="A291" s="87"/>
      <x:c r="D291" s="32"/>
      <x:c r="I291" s="74"/>
      <x:c r="J291" s="74"/>
      <x:c r="K291" s="74"/>
      <x:c r="L291" s="74"/>
      <x:c r="M291" s="74"/>
      <x:c r="N291" s="85"/>
      <x:c r="P291" s="86"/>
      <x:c r="Q291" s="32"/>
    </x:row>
    <x:row r="292">
      <x:c r="A292" s="87"/>
      <x:c r="D292" s="32"/>
      <x:c r="I292" s="74"/>
      <x:c r="J292" s="74"/>
      <x:c r="K292" s="74"/>
      <x:c r="L292" s="74"/>
      <x:c r="M292" s="74"/>
      <x:c r="N292" s="85"/>
      <x:c r="P292" s="86"/>
      <x:c r="Q292" s="32"/>
    </x:row>
    <x:row r="293">
      <x:c r="A293" s="87"/>
      <x:c r="D293" s="32"/>
      <x:c r="I293" s="74"/>
      <x:c r="J293" s="74"/>
      <x:c r="K293" s="74"/>
      <x:c r="L293" s="74"/>
      <x:c r="M293" s="74"/>
      <x:c r="N293" s="85"/>
      <x:c r="P293" s="86"/>
      <x:c r="Q293" s="32"/>
    </x:row>
    <x:row r="294">
      <x:c r="A294" s="87"/>
      <x:c r="D294" s="32"/>
      <x:c r="I294" s="74"/>
      <x:c r="J294" s="74"/>
      <x:c r="K294" s="74"/>
      <x:c r="L294" s="74"/>
      <x:c r="M294" s="74"/>
      <x:c r="N294" s="85"/>
      <x:c r="P294" s="86"/>
      <x:c r="Q294" s="32"/>
    </x:row>
    <x:row r="295">
      <x:c r="A295" s="87"/>
      <x:c r="D295" s="32"/>
      <x:c r="I295" s="74"/>
      <x:c r="J295" s="74"/>
      <x:c r="K295" s="74"/>
      <x:c r="L295" s="74"/>
      <x:c r="M295" s="74"/>
      <x:c r="N295" s="85"/>
      <x:c r="P295" s="86"/>
      <x:c r="Q295" s="32"/>
    </x:row>
    <x:row r="296">
      <x:c r="A296" s="87"/>
      <x:c r="D296" s="32"/>
      <x:c r="I296" s="74"/>
      <x:c r="J296" s="74"/>
      <x:c r="K296" s="74"/>
      <x:c r="L296" s="74"/>
      <x:c r="M296" s="74"/>
      <x:c r="N296" s="85"/>
      <x:c r="P296" s="86"/>
      <x:c r="Q296" s="32"/>
    </x:row>
    <x:row r="297">
      <x:c r="A297" s="87"/>
      <x:c r="D297" s="32"/>
      <x:c r="I297" s="74"/>
      <x:c r="J297" s="74"/>
      <x:c r="K297" s="74"/>
      <x:c r="L297" s="74"/>
      <x:c r="M297" s="74"/>
      <x:c r="N297" s="85"/>
      <x:c r="P297" s="86"/>
      <x:c r="Q297" s="32"/>
    </x:row>
    <x:row r="298">
      <x:c r="A298" s="87"/>
      <x:c r="D298" s="32"/>
      <x:c r="I298" s="74"/>
      <x:c r="J298" s="74"/>
      <x:c r="K298" s="74"/>
      <x:c r="L298" s="74"/>
      <x:c r="M298" s="74"/>
      <x:c r="N298" s="85"/>
      <x:c r="P298" s="86"/>
      <x:c r="Q298" s="32"/>
    </x:row>
    <x:row r="299">
      <x:c r="A299" s="87"/>
      <x:c r="D299" s="32"/>
      <x:c r="I299" s="74"/>
      <x:c r="J299" s="74"/>
      <x:c r="K299" s="74"/>
      <x:c r="L299" s="74"/>
      <x:c r="M299" s="74"/>
      <x:c r="N299" s="85"/>
      <x:c r="P299" s="86"/>
      <x:c r="Q299" s="32"/>
    </x:row>
    <x:row r="300">
      <x:c r="A300" s="87"/>
      <x:c r="D300" s="32"/>
      <x:c r="I300" s="74"/>
      <x:c r="J300" s="74"/>
      <x:c r="K300" s="74"/>
      <x:c r="L300" s="74"/>
      <x:c r="M300" s="74"/>
      <x:c r="N300" s="85"/>
      <x:c r="P300" s="86"/>
      <x:c r="Q300" s="32"/>
    </x:row>
    <x:row r="301">
      <x:c r="A301" s="87"/>
      <x:c r="D301" s="32"/>
      <x:c r="I301" s="74"/>
      <x:c r="J301" s="74"/>
      <x:c r="K301" s="74"/>
      <x:c r="L301" s="74"/>
      <x:c r="M301" s="74"/>
      <x:c r="N301" s="85"/>
      <x:c r="P301" s="86"/>
      <x:c r="Q301" s="32"/>
    </x:row>
    <x:row r="302">
      <x:c r="A302" s="87"/>
      <x:c r="D302" s="32"/>
      <x:c r="I302" s="74"/>
      <x:c r="J302" s="74"/>
      <x:c r="K302" s="74"/>
      <x:c r="L302" s="74"/>
      <x:c r="M302" s="74"/>
      <x:c r="N302" s="85"/>
      <x:c r="P302" s="86"/>
      <x:c r="Q302" s="32"/>
    </x:row>
    <x:row r="303">
      <x:c r="A303" s="87"/>
      <x:c r="D303" s="32"/>
      <x:c r="I303" s="74"/>
      <x:c r="J303" s="74"/>
      <x:c r="K303" s="74"/>
      <x:c r="L303" s="74"/>
      <x:c r="M303" s="74"/>
      <x:c r="N303" s="85"/>
      <x:c r="P303" s="86"/>
      <x:c r="Q303" s="32"/>
    </x:row>
    <x:row r="304">
      <x:c r="A304" s="87"/>
      <x:c r="D304" s="32"/>
      <x:c r="I304" s="74"/>
      <x:c r="J304" s="74"/>
      <x:c r="K304" s="74"/>
      <x:c r="L304" s="74"/>
      <x:c r="M304" s="74"/>
      <x:c r="N304" s="85"/>
      <x:c r="P304" s="86"/>
      <x:c r="Q304" s="32"/>
    </x:row>
    <x:row r="305">
      <x:c r="A305" s="87"/>
      <x:c r="D305" s="32"/>
      <x:c r="I305" s="74"/>
      <x:c r="J305" s="74"/>
      <x:c r="K305" s="74"/>
      <x:c r="L305" s="74"/>
      <x:c r="M305" s="74"/>
      <x:c r="N305" s="85"/>
      <x:c r="P305" s="86"/>
      <x:c r="Q305" s="32"/>
    </x:row>
    <x:row r="306">
      <x:c r="A306" s="87"/>
      <x:c r="D306" s="32"/>
      <x:c r="I306" s="74"/>
      <x:c r="J306" s="74"/>
      <x:c r="K306" s="74"/>
      <x:c r="L306" s="74"/>
      <x:c r="M306" s="74"/>
      <x:c r="N306" s="85"/>
      <x:c r="P306" s="86"/>
      <x:c r="Q306" s="32"/>
    </x:row>
    <x:row r="307">
      <x:c r="A307" s="87"/>
      <x:c r="D307" s="32"/>
      <x:c r="I307" s="74"/>
      <x:c r="J307" s="74"/>
      <x:c r="K307" s="74"/>
      <x:c r="L307" s="74"/>
      <x:c r="M307" s="74"/>
      <x:c r="N307" s="85"/>
      <x:c r="P307" s="86"/>
      <x:c r="Q307" s="32"/>
    </x:row>
    <x:row r="308">
      <x:c r="A308" s="87"/>
      <x:c r="D308" s="32"/>
      <x:c r="I308" s="74"/>
      <x:c r="J308" s="74"/>
      <x:c r="K308" s="74"/>
      <x:c r="L308" s="74"/>
      <x:c r="M308" s="74"/>
      <x:c r="N308" s="85"/>
      <x:c r="P308" s="86"/>
      <x:c r="Q308" s="32"/>
    </x:row>
    <x:row r="309">
      <x:c r="A309" s="87"/>
      <x:c r="D309" s="32"/>
      <x:c r="I309" s="74"/>
      <x:c r="J309" s="74"/>
      <x:c r="K309" s="74"/>
      <x:c r="L309" s="74"/>
      <x:c r="M309" s="74"/>
      <x:c r="N309" s="85"/>
      <x:c r="P309" s="86"/>
      <x:c r="Q309" s="32"/>
    </x:row>
    <x:row r="310">
      <x:c r="A310" s="87"/>
      <x:c r="D310" s="32"/>
      <x:c r="I310" s="74"/>
      <x:c r="J310" s="74"/>
      <x:c r="K310" s="74"/>
      <x:c r="L310" s="74"/>
      <x:c r="M310" s="74"/>
      <x:c r="N310" s="85"/>
      <x:c r="P310" s="86"/>
      <x:c r="Q310" s="32"/>
    </x:row>
    <x:row r="311">
      <x:c r="A311" s="87"/>
      <x:c r="D311" s="32"/>
      <x:c r="I311" s="74"/>
      <x:c r="J311" s="74"/>
      <x:c r="K311" s="74"/>
      <x:c r="L311" s="74"/>
      <x:c r="M311" s="74"/>
      <x:c r="N311" s="85"/>
      <x:c r="P311" s="86"/>
      <x:c r="Q311" s="32"/>
    </x:row>
    <x:row r="312">
      <x:c r="A312" s="87"/>
      <x:c r="D312" s="32"/>
      <x:c r="I312" s="74"/>
      <x:c r="J312" s="74"/>
      <x:c r="K312" s="74"/>
      <x:c r="L312" s="74"/>
      <x:c r="M312" s="74"/>
      <x:c r="N312" s="85"/>
      <x:c r="P312" s="86"/>
      <x:c r="Q312" s="32"/>
    </x:row>
    <x:row r="313">
      <x:c r="A313" s="87"/>
      <x:c r="D313" s="32"/>
      <x:c r="I313" s="74"/>
      <x:c r="J313" s="74"/>
      <x:c r="K313" s="74"/>
      <x:c r="L313" s="74"/>
      <x:c r="M313" s="74"/>
      <x:c r="N313" s="85"/>
      <x:c r="P313" s="86"/>
      <x:c r="Q313" s="32"/>
    </x:row>
    <x:row r="314">
      <x:c r="A314" s="87"/>
      <x:c r="D314" s="32"/>
      <x:c r="I314" s="74"/>
      <x:c r="J314" s="74"/>
      <x:c r="K314" s="74"/>
      <x:c r="L314" s="74"/>
      <x:c r="M314" s="74"/>
      <x:c r="N314" s="85"/>
      <x:c r="P314" s="86"/>
      <x:c r="Q314" s="32"/>
    </x:row>
    <x:row r="315">
      <x:c r="A315" s="87"/>
      <x:c r="D315" s="32"/>
      <x:c r="I315" s="74"/>
      <x:c r="J315" s="74"/>
      <x:c r="K315" s="74"/>
      <x:c r="L315" s="74"/>
      <x:c r="M315" s="74"/>
      <x:c r="N315" s="85"/>
      <x:c r="P315" s="86"/>
      <x:c r="Q315" s="32"/>
    </x:row>
    <x:row r="316">
      <x:c r="A316" s="87"/>
      <x:c r="D316" s="32"/>
      <x:c r="I316" s="74"/>
      <x:c r="J316" s="74"/>
      <x:c r="K316" s="74"/>
      <x:c r="L316" s="74"/>
      <x:c r="M316" s="74"/>
      <x:c r="N316" s="85"/>
      <x:c r="P316" s="86"/>
      <x:c r="Q316" s="32"/>
    </x:row>
    <x:row r="317">
      <x:c r="A317" s="87"/>
      <x:c r="D317" s="32"/>
      <x:c r="I317" s="74"/>
      <x:c r="J317" s="74"/>
      <x:c r="K317" s="74"/>
      <x:c r="L317" s="74"/>
      <x:c r="M317" s="74"/>
      <x:c r="N317" s="85"/>
      <x:c r="P317" s="86"/>
      <x:c r="Q317" s="32"/>
    </x:row>
    <x:row r="318">
      <x:c r="A318" s="87"/>
      <x:c r="D318" s="32"/>
      <x:c r="I318" s="74"/>
      <x:c r="J318" s="74"/>
      <x:c r="K318" s="74"/>
      <x:c r="L318" s="74"/>
      <x:c r="M318" s="74"/>
      <x:c r="N318" s="85"/>
      <x:c r="P318" s="86"/>
      <x:c r="Q318" s="32"/>
    </x:row>
    <x:row r="319">
      <x:c r="A319" s="87"/>
      <x:c r="D319" s="32"/>
      <x:c r="I319" s="74"/>
      <x:c r="J319" s="74"/>
      <x:c r="K319" s="74"/>
      <x:c r="L319" s="74"/>
      <x:c r="M319" s="74"/>
      <x:c r="N319" s="85"/>
      <x:c r="P319" s="86"/>
      <x:c r="Q319" s="32"/>
    </x:row>
    <x:row r="320">
      <x:c r="A320" s="87"/>
      <x:c r="D320" s="32"/>
      <x:c r="I320" s="74"/>
      <x:c r="J320" s="74"/>
      <x:c r="K320" s="74"/>
      <x:c r="L320" s="74"/>
      <x:c r="M320" s="74"/>
      <x:c r="N320" s="85"/>
      <x:c r="P320" s="86"/>
      <x:c r="Q320" s="32"/>
    </x:row>
    <x:row r="321">
      <x:c r="A321" s="87"/>
      <x:c r="D321" s="32"/>
      <x:c r="I321" s="74"/>
      <x:c r="J321" s="74"/>
      <x:c r="K321" s="74"/>
      <x:c r="L321" s="74"/>
      <x:c r="M321" s="74"/>
      <x:c r="N321" s="85"/>
      <x:c r="P321" s="86"/>
      <x:c r="Q321" s="32"/>
    </x:row>
    <x:row r="322">
      <x:c r="A322" s="87"/>
      <x:c r="D322" s="32"/>
      <x:c r="I322" s="74"/>
      <x:c r="J322" s="74"/>
      <x:c r="K322" s="74"/>
      <x:c r="L322" s="74"/>
      <x:c r="M322" s="74"/>
      <x:c r="N322" s="85"/>
      <x:c r="P322" s="86"/>
      <x:c r="Q322" s="32"/>
    </x:row>
    <x:row r="323">
      <x:c r="A323" s="87"/>
      <x:c r="D323" s="32"/>
      <x:c r="I323" s="74"/>
      <x:c r="J323" s="74"/>
      <x:c r="K323" s="74"/>
      <x:c r="L323" s="74"/>
      <x:c r="M323" s="74"/>
      <x:c r="N323" s="85"/>
      <x:c r="P323" s="86"/>
      <x:c r="Q323" s="32"/>
    </x:row>
    <x:row r="324">
      <x:c r="A324" s="87"/>
      <x:c r="D324" s="32"/>
      <x:c r="I324" s="74"/>
      <x:c r="J324" s="74"/>
      <x:c r="K324" s="74"/>
      <x:c r="L324" s="74"/>
      <x:c r="M324" s="74"/>
      <x:c r="N324" s="85"/>
      <x:c r="P324" s="86"/>
      <x:c r="Q324" s="32"/>
    </x:row>
    <x:row r="325">
      <x:c r="A325" s="87"/>
      <x:c r="D325" s="32"/>
      <x:c r="I325" s="74"/>
      <x:c r="J325" s="74"/>
      <x:c r="K325" s="74"/>
      <x:c r="L325" s="74"/>
      <x:c r="M325" s="74"/>
      <x:c r="N325" s="85"/>
      <x:c r="P325" s="86"/>
      <x:c r="Q325" s="32"/>
    </x:row>
    <x:row r="326">
      <x:c r="A326" s="87"/>
      <x:c r="D326" s="32"/>
      <x:c r="I326" s="74"/>
      <x:c r="J326" s="74"/>
      <x:c r="K326" s="74"/>
      <x:c r="L326" s="74"/>
      <x:c r="M326" s="74"/>
      <x:c r="N326" s="85"/>
      <x:c r="P326" s="86"/>
      <x:c r="Q326" s="32"/>
    </x:row>
    <x:row r="327">
      <x:c r="A327" s="87"/>
      <x:c r="D327" s="32"/>
      <x:c r="I327" s="74"/>
      <x:c r="J327" s="74"/>
      <x:c r="K327" s="74"/>
      <x:c r="L327" s="74"/>
      <x:c r="M327" s="74"/>
      <x:c r="N327" s="85"/>
      <x:c r="P327" s="86"/>
      <x:c r="Q327" s="32"/>
    </x:row>
    <x:row r="328">
      <x:c r="A328" s="87"/>
      <x:c r="D328" s="32"/>
      <x:c r="I328" s="74"/>
      <x:c r="J328" s="74"/>
      <x:c r="K328" s="74"/>
      <x:c r="L328" s="74"/>
      <x:c r="M328" s="74"/>
      <x:c r="N328" s="85"/>
      <x:c r="P328" s="86"/>
      <x:c r="Q328" s="32"/>
    </x:row>
    <x:row r="329">
      <x:c r="A329" s="87"/>
      <x:c r="D329" s="32"/>
      <x:c r="I329" s="74"/>
      <x:c r="J329" s="74"/>
      <x:c r="K329" s="74"/>
      <x:c r="L329" s="74"/>
      <x:c r="M329" s="74"/>
      <x:c r="N329" s="85"/>
      <x:c r="P329" s="86"/>
      <x:c r="Q329" s="32"/>
    </x:row>
    <x:row r="330">
      <x:c r="A330" s="87"/>
      <x:c r="D330" s="32"/>
      <x:c r="I330" s="74"/>
      <x:c r="J330" s="74"/>
      <x:c r="K330" s="74"/>
      <x:c r="L330" s="74"/>
      <x:c r="M330" s="74"/>
      <x:c r="N330" s="85"/>
      <x:c r="P330" s="86"/>
      <x:c r="Q330" s="32"/>
    </x:row>
    <x:row r="331">
      <x:c r="A331" s="87"/>
      <x:c r="D331" s="32"/>
      <x:c r="I331" s="74"/>
      <x:c r="J331" s="74"/>
      <x:c r="K331" s="74"/>
      <x:c r="L331" s="74"/>
      <x:c r="M331" s="74"/>
      <x:c r="N331" s="85"/>
      <x:c r="P331" s="86"/>
      <x:c r="Q331" s="32"/>
    </x:row>
    <x:row r="332">
      <x:c r="A332" s="87"/>
      <x:c r="D332" s="32"/>
      <x:c r="I332" s="74"/>
      <x:c r="J332" s="74"/>
      <x:c r="K332" s="74"/>
      <x:c r="L332" s="74"/>
      <x:c r="M332" s="74"/>
      <x:c r="N332" s="85"/>
      <x:c r="P332" s="86"/>
      <x:c r="Q332" s="32"/>
    </x:row>
    <x:row r="333">
      <x:c r="A333" s="87"/>
      <x:c r="D333" s="32"/>
      <x:c r="I333" s="74"/>
      <x:c r="J333" s="74"/>
      <x:c r="K333" s="74"/>
      <x:c r="L333" s="74"/>
      <x:c r="M333" s="74"/>
      <x:c r="N333" s="85"/>
      <x:c r="P333" s="86"/>
      <x:c r="Q333" s="32"/>
    </x:row>
    <x:row r="334">
      <x:c r="A334" s="87"/>
      <x:c r="D334" s="32"/>
      <x:c r="I334" s="74"/>
      <x:c r="J334" s="74"/>
      <x:c r="K334" s="74"/>
      <x:c r="L334" s="74"/>
      <x:c r="M334" s="74"/>
      <x:c r="N334" s="85"/>
      <x:c r="P334" s="86"/>
      <x:c r="Q334" s="32"/>
    </x:row>
    <x:row r="335">
      <x:c r="A335" s="87"/>
      <x:c r="D335" s="32"/>
      <x:c r="I335" s="74"/>
      <x:c r="J335" s="74"/>
      <x:c r="K335" s="74"/>
      <x:c r="L335" s="74"/>
      <x:c r="M335" s="74"/>
      <x:c r="N335" s="85"/>
      <x:c r="P335" s="86"/>
      <x:c r="Q335" s="32"/>
    </x:row>
    <x:row r="336">
      <x:c r="A336" s="87"/>
      <x:c r="D336" s="32"/>
      <x:c r="I336" s="74"/>
      <x:c r="J336" s="74"/>
      <x:c r="K336" s="74"/>
      <x:c r="L336" s="74"/>
      <x:c r="M336" s="74"/>
      <x:c r="N336" s="85"/>
      <x:c r="P336" s="86"/>
      <x:c r="Q336" s="32"/>
    </x:row>
    <x:row r="337">
      <x:c r="A337" s="87"/>
      <x:c r="D337" s="32"/>
      <x:c r="I337" s="74"/>
      <x:c r="J337" s="74"/>
      <x:c r="K337" s="74"/>
      <x:c r="L337" s="74"/>
      <x:c r="M337" s="74"/>
      <x:c r="N337" s="85"/>
      <x:c r="P337" s="86"/>
      <x:c r="Q337" s="32"/>
    </x:row>
    <x:row r="338">
      <x:c r="A338" s="87"/>
      <x:c r="D338" s="32"/>
      <x:c r="I338" s="74"/>
      <x:c r="J338" s="74"/>
      <x:c r="K338" s="74"/>
      <x:c r="L338" s="74"/>
      <x:c r="M338" s="74"/>
      <x:c r="N338" s="85"/>
      <x:c r="P338" s="86"/>
      <x:c r="Q338" s="32"/>
    </x:row>
    <x:row r="339">
      <x:c r="A339" s="87"/>
      <x:c r="D339" s="32"/>
      <x:c r="I339" s="74"/>
      <x:c r="J339" s="74"/>
      <x:c r="K339" s="74"/>
      <x:c r="L339" s="74"/>
      <x:c r="M339" s="74"/>
      <x:c r="N339" s="85"/>
      <x:c r="P339" s="86"/>
      <x:c r="Q339" s="32"/>
    </x:row>
    <x:row r="340">
      <x:c r="A340" s="87"/>
      <x:c r="D340" s="32"/>
      <x:c r="I340" s="74"/>
      <x:c r="J340" s="74"/>
      <x:c r="K340" s="74"/>
      <x:c r="L340" s="74"/>
      <x:c r="M340" s="74"/>
      <x:c r="N340" s="85"/>
      <x:c r="P340" s="86"/>
      <x:c r="Q340" s="32"/>
    </x:row>
    <x:row r="341">
      <x:c r="A341" s="87"/>
      <x:c r="D341" s="32"/>
      <x:c r="I341" s="74"/>
      <x:c r="J341" s="74"/>
      <x:c r="K341" s="74"/>
      <x:c r="L341" s="74"/>
      <x:c r="M341" s="74"/>
      <x:c r="N341" s="85"/>
      <x:c r="P341" s="86"/>
      <x:c r="Q341" s="32"/>
    </x:row>
    <x:row r="342">
      <x:c r="A342" s="87"/>
      <x:c r="D342" s="32"/>
      <x:c r="I342" s="74"/>
      <x:c r="J342" s="74"/>
      <x:c r="K342" s="74"/>
      <x:c r="L342" s="74"/>
      <x:c r="M342" s="74"/>
      <x:c r="N342" s="85"/>
      <x:c r="P342" s="86"/>
      <x:c r="Q342" s="32"/>
    </x:row>
    <x:row r="343">
      <x:c r="A343" s="87"/>
      <x:c r="D343" s="32"/>
      <x:c r="I343" s="74"/>
      <x:c r="J343" s="74"/>
      <x:c r="K343" s="74"/>
      <x:c r="L343" s="74"/>
      <x:c r="M343" s="74"/>
      <x:c r="N343" s="85"/>
      <x:c r="P343" s="86"/>
      <x:c r="Q343" s="32"/>
    </x:row>
    <x:row r="344">
      <x:c r="A344" s="87"/>
      <x:c r="D344" s="32"/>
      <x:c r="I344" s="74"/>
      <x:c r="J344" s="74"/>
      <x:c r="K344" s="74"/>
      <x:c r="L344" s="74"/>
      <x:c r="M344" s="74"/>
      <x:c r="N344" s="85"/>
      <x:c r="P344" s="86"/>
      <x:c r="Q344" s="32"/>
    </x:row>
    <x:row r="345">
      <x:c r="A345" s="87"/>
      <x:c r="D345" s="32"/>
      <x:c r="I345" s="74"/>
      <x:c r="J345" s="74"/>
      <x:c r="K345" s="74"/>
      <x:c r="L345" s="74"/>
      <x:c r="M345" s="74"/>
      <x:c r="N345" s="85"/>
      <x:c r="P345" s="86"/>
      <x:c r="Q345" s="32"/>
    </x:row>
    <x:row r="346">
      <x:c r="A346" s="87"/>
      <x:c r="D346" s="32"/>
      <x:c r="I346" s="74"/>
      <x:c r="J346" s="74"/>
      <x:c r="K346" s="74"/>
      <x:c r="L346" s="74"/>
      <x:c r="M346" s="74"/>
      <x:c r="N346" s="85"/>
      <x:c r="P346" s="86"/>
      <x:c r="Q346" s="32"/>
    </x:row>
    <x:row r="347">
      <x:c r="A347" s="87"/>
      <x:c r="D347" s="32"/>
      <x:c r="I347" s="74"/>
      <x:c r="J347" s="74"/>
      <x:c r="K347" s="74"/>
      <x:c r="L347" s="74"/>
      <x:c r="M347" s="74"/>
      <x:c r="N347" s="85"/>
      <x:c r="P347" s="86"/>
      <x:c r="Q347" s="32"/>
    </x:row>
    <x:row r="348">
      <x:c r="A348" s="87"/>
      <x:c r="D348" s="32"/>
      <x:c r="I348" s="74"/>
      <x:c r="J348" s="74"/>
      <x:c r="K348" s="74"/>
      <x:c r="L348" s="74"/>
      <x:c r="M348" s="74"/>
      <x:c r="N348" s="85"/>
      <x:c r="P348" s="86"/>
      <x:c r="Q348" s="32"/>
    </x:row>
    <x:row r="349">
      <x:c r="A349" s="87"/>
      <x:c r="D349" s="32"/>
      <x:c r="I349" s="74"/>
      <x:c r="J349" s="74"/>
      <x:c r="K349" s="74"/>
      <x:c r="L349" s="74"/>
      <x:c r="M349" s="74"/>
      <x:c r="N349" s="85"/>
      <x:c r="P349" s="86"/>
      <x:c r="Q349" s="32"/>
    </x:row>
    <x:row r="350">
      <x:c r="A350" s="87"/>
      <x:c r="D350" s="32"/>
      <x:c r="I350" s="74"/>
      <x:c r="J350" s="74"/>
      <x:c r="K350" s="74"/>
      <x:c r="L350" s="74"/>
      <x:c r="M350" s="74"/>
      <x:c r="N350" s="85"/>
      <x:c r="P350" s="86"/>
      <x:c r="Q350" s="32"/>
    </x:row>
    <x:row r="351">
      <x:c r="A351" s="87"/>
      <x:c r="D351" s="32"/>
      <x:c r="I351" s="74"/>
      <x:c r="J351" s="74"/>
      <x:c r="K351" s="74"/>
      <x:c r="L351" s="74"/>
      <x:c r="M351" s="74"/>
      <x:c r="N351" s="85"/>
      <x:c r="P351" s="86"/>
      <x:c r="Q351" s="32"/>
    </x:row>
    <x:row r="352">
      <x:c r="A352" s="87"/>
      <x:c r="D352" s="32"/>
      <x:c r="I352" s="74"/>
      <x:c r="J352" s="74"/>
      <x:c r="K352" s="74"/>
      <x:c r="L352" s="74"/>
      <x:c r="M352" s="74"/>
      <x:c r="N352" s="85"/>
      <x:c r="P352" s="86"/>
      <x:c r="Q352" s="32"/>
    </x:row>
    <x:row r="353">
      <x:c r="A353" s="87"/>
      <x:c r="D353" s="32"/>
      <x:c r="I353" s="74"/>
      <x:c r="J353" s="74"/>
      <x:c r="K353" s="74"/>
      <x:c r="L353" s="74"/>
      <x:c r="M353" s="74"/>
      <x:c r="N353" s="85"/>
      <x:c r="P353" s="86"/>
      <x:c r="Q353" s="32"/>
    </x:row>
    <x:row r="354">
      <x:c r="A354" s="87"/>
      <x:c r="D354" s="32"/>
      <x:c r="I354" s="74"/>
      <x:c r="J354" s="74"/>
      <x:c r="K354" s="74"/>
      <x:c r="L354" s="74"/>
      <x:c r="M354" s="74"/>
      <x:c r="N354" s="85"/>
      <x:c r="P354" s="86"/>
      <x:c r="Q354" s="32"/>
    </x:row>
    <x:row r="355">
      <x:c r="A355" s="87"/>
      <x:c r="D355" s="32"/>
      <x:c r="I355" s="74"/>
      <x:c r="J355" s="74"/>
      <x:c r="K355" s="74"/>
      <x:c r="L355" s="74"/>
      <x:c r="M355" s="74"/>
      <x:c r="N355" s="85"/>
      <x:c r="P355" s="86"/>
      <x:c r="Q355" s="32"/>
    </x:row>
    <x:row r="356">
      <x:c r="A356" s="87"/>
      <x:c r="D356" s="32"/>
      <x:c r="I356" s="74"/>
      <x:c r="J356" s="74"/>
      <x:c r="K356" s="74"/>
      <x:c r="L356" s="74"/>
      <x:c r="M356" s="74"/>
      <x:c r="N356" s="85"/>
      <x:c r="P356" s="86"/>
      <x:c r="Q356" s="32"/>
    </x:row>
    <x:row r="357">
      <x:c r="A357" s="87"/>
      <x:c r="D357" s="32"/>
      <x:c r="I357" s="74"/>
      <x:c r="J357" s="74"/>
      <x:c r="K357" s="74"/>
      <x:c r="L357" s="74"/>
      <x:c r="M357" s="74"/>
      <x:c r="N357" s="85"/>
      <x:c r="P357" s="86"/>
      <x:c r="Q357" s="32"/>
    </x:row>
    <x:row r="358">
      <x:c r="A358" s="87"/>
      <x:c r="D358" s="32"/>
      <x:c r="I358" s="74"/>
      <x:c r="J358" s="74"/>
      <x:c r="K358" s="74"/>
      <x:c r="L358" s="74"/>
      <x:c r="M358" s="74"/>
      <x:c r="N358" s="85"/>
      <x:c r="P358" s="86"/>
      <x:c r="Q358" s="32"/>
    </x:row>
    <x:row r="359">
      <x:c r="A359" s="87"/>
      <x:c r="D359" s="32"/>
      <x:c r="I359" s="74"/>
      <x:c r="J359" s="74"/>
      <x:c r="K359" s="74"/>
      <x:c r="L359" s="74"/>
      <x:c r="M359" s="74"/>
      <x:c r="N359" s="85"/>
      <x:c r="P359" s="86"/>
      <x:c r="Q359" s="32"/>
    </x:row>
    <x:row r="360">
      <x:c r="A360" s="87"/>
      <x:c r="D360" s="32"/>
      <x:c r="I360" s="74"/>
      <x:c r="J360" s="74"/>
      <x:c r="K360" s="74"/>
      <x:c r="L360" s="74"/>
      <x:c r="M360" s="74"/>
      <x:c r="N360" s="85"/>
      <x:c r="P360" s="86"/>
      <x:c r="Q360" s="32"/>
    </x:row>
    <x:row r="361">
      <x:c r="A361" s="87"/>
      <x:c r="D361" s="32"/>
      <x:c r="I361" s="74"/>
      <x:c r="J361" s="74"/>
      <x:c r="K361" s="74"/>
      <x:c r="L361" s="74"/>
      <x:c r="M361" s="74"/>
      <x:c r="N361" s="85"/>
      <x:c r="P361" s="86"/>
      <x:c r="Q361" s="32"/>
    </x:row>
    <x:row r="362">
      <x:c r="A362" s="87"/>
      <x:c r="D362" s="32"/>
      <x:c r="I362" s="74"/>
      <x:c r="J362" s="74"/>
      <x:c r="K362" s="74"/>
      <x:c r="L362" s="74"/>
      <x:c r="M362" s="74"/>
      <x:c r="N362" s="85"/>
      <x:c r="P362" s="86"/>
      <x:c r="Q362" s="32"/>
    </x:row>
    <x:row r="363">
      <x:c r="A363" s="87"/>
      <x:c r="D363" s="32"/>
      <x:c r="I363" s="74"/>
      <x:c r="J363" s="74"/>
      <x:c r="K363" s="74"/>
      <x:c r="L363" s="74"/>
      <x:c r="M363" s="74"/>
      <x:c r="N363" s="85"/>
      <x:c r="P363" s="86"/>
      <x:c r="Q363" s="32"/>
    </x:row>
    <x:row r="364">
      <x:c r="A364" s="87"/>
      <x:c r="D364" s="32"/>
      <x:c r="I364" s="74"/>
      <x:c r="J364" s="74"/>
      <x:c r="K364" s="74"/>
      <x:c r="L364" s="74"/>
      <x:c r="M364" s="74"/>
      <x:c r="N364" s="85"/>
      <x:c r="P364" s="86"/>
      <x:c r="Q364" s="32"/>
    </x:row>
    <x:row r="365">
      <x:c r="A365" s="87"/>
      <x:c r="D365" s="32"/>
      <x:c r="I365" s="74"/>
      <x:c r="J365" s="74"/>
      <x:c r="K365" s="74"/>
      <x:c r="L365" s="74"/>
      <x:c r="M365" s="74"/>
      <x:c r="N365" s="85"/>
      <x:c r="P365" s="86"/>
      <x:c r="Q365" s="32"/>
    </x:row>
    <x:row r="366">
      <x:c r="A366" s="87"/>
      <x:c r="D366" s="32"/>
      <x:c r="I366" s="74"/>
      <x:c r="J366" s="74"/>
      <x:c r="K366" s="74"/>
      <x:c r="L366" s="74"/>
      <x:c r="M366" s="74"/>
      <x:c r="N366" s="85"/>
      <x:c r="P366" s="86"/>
      <x:c r="Q366" s="32"/>
    </x:row>
    <x:row r="367">
      <x:c r="A367" s="87"/>
      <x:c r="D367" s="32"/>
      <x:c r="I367" s="74"/>
      <x:c r="J367" s="74"/>
      <x:c r="K367" s="74"/>
      <x:c r="L367" s="74"/>
      <x:c r="M367" s="74"/>
      <x:c r="N367" s="85"/>
      <x:c r="P367" s="86"/>
      <x:c r="Q367" s="32"/>
    </x:row>
    <x:row r="368">
      <x:c r="A368" s="87"/>
      <x:c r="D368" s="32"/>
      <x:c r="I368" s="74"/>
      <x:c r="J368" s="74"/>
      <x:c r="K368" s="74"/>
      <x:c r="L368" s="74"/>
      <x:c r="M368" s="74"/>
      <x:c r="N368" s="85"/>
      <x:c r="P368" s="86"/>
      <x:c r="Q368" s="32"/>
    </x:row>
    <x:row r="369">
      <x:c r="A369" s="87"/>
      <x:c r="D369" s="32"/>
      <x:c r="I369" s="74"/>
      <x:c r="J369" s="74"/>
      <x:c r="K369" s="74"/>
      <x:c r="L369" s="74"/>
      <x:c r="M369" s="74"/>
      <x:c r="N369" s="85"/>
      <x:c r="P369" s="86"/>
      <x:c r="Q369" s="32"/>
    </x:row>
    <x:row r="370">
      <x:c r="A370" s="87"/>
      <x:c r="D370" s="32"/>
      <x:c r="I370" s="74"/>
      <x:c r="J370" s="74"/>
      <x:c r="K370" s="74"/>
      <x:c r="L370" s="74"/>
      <x:c r="M370" s="74"/>
      <x:c r="N370" s="85"/>
      <x:c r="P370" s="86"/>
      <x:c r="Q370" s="32"/>
    </x:row>
    <x:row r="371">
      <x:c r="A371" s="87"/>
      <x:c r="D371" s="32"/>
      <x:c r="I371" s="74"/>
      <x:c r="J371" s="74"/>
      <x:c r="K371" s="74"/>
      <x:c r="L371" s="74"/>
      <x:c r="M371" s="74"/>
      <x:c r="N371" s="85"/>
      <x:c r="P371" s="86"/>
      <x:c r="Q371" s="32"/>
    </x:row>
    <x:row r="372">
      <x:c r="A372" s="87"/>
      <x:c r="D372" s="32"/>
      <x:c r="I372" s="74"/>
      <x:c r="J372" s="74"/>
      <x:c r="K372" s="74"/>
      <x:c r="L372" s="74"/>
      <x:c r="M372" s="74"/>
      <x:c r="N372" s="85"/>
      <x:c r="P372" s="86"/>
      <x:c r="Q372" s="32"/>
    </x:row>
    <x:row r="373">
      <x:c r="A373" s="87"/>
      <x:c r="D373" s="32"/>
      <x:c r="I373" s="74"/>
      <x:c r="J373" s="74"/>
      <x:c r="K373" s="74"/>
      <x:c r="L373" s="74"/>
      <x:c r="M373" s="74"/>
      <x:c r="N373" s="85"/>
      <x:c r="P373" s="86"/>
      <x:c r="Q373" s="32"/>
    </x:row>
    <x:row r="374">
      <x:c r="A374" s="87"/>
      <x:c r="D374" s="32"/>
      <x:c r="I374" s="74"/>
      <x:c r="J374" s="74"/>
      <x:c r="K374" s="74"/>
      <x:c r="L374" s="74"/>
      <x:c r="M374" s="74"/>
      <x:c r="N374" s="85"/>
      <x:c r="P374" s="86"/>
      <x:c r="Q374" s="32"/>
    </x:row>
    <x:row r="375">
      <x:c r="A375" s="87"/>
      <x:c r="D375" s="32"/>
      <x:c r="I375" s="74"/>
      <x:c r="J375" s="74"/>
      <x:c r="K375" s="74"/>
      <x:c r="L375" s="74"/>
      <x:c r="M375" s="74"/>
      <x:c r="N375" s="85"/>
      <x:c r="P375" s="86"/>
      <x:c r="Q375" s="32"/>
    </x:row>
    <x:row r="376">
      <x:c r="A376" s="87"/>
      <x:c r="D376" s="32"/>
      <x:c r="I376" s="74"/>
      <x:c r="J376" s="74"/>
      <x:c r="K376" s="74"/>
      <x:c r="L376" s="74"/>
      <x:c r="M376" s="74"/>
      <x:c r="N376" s="85"/>
      <x:c r="P376" s="86"/>
      <x:c r="Q376" s="32"/>
    </x:row>
    <x:row r="377">
      <x:c r="A377" s="87"/>
      <x:c r="D377" s="32"/>
      <x:c r="I377" s="74"/>
      <x:c r="J377" s="74"/>
      <x:c r="K377" s="74"/>
      <x:c r="L377" s="74"/>
      <x:c r="M377" s="74"/>
      <x:c r="N377" s="85"/>
      <x:c r="P377" s="86"/>
      <x:c r="Q377" s="32"/>
    </x:row>
    <x:row r="378">
      <x:c r="A378" s="87"/>
      <x:c r="D378" s="32"/>
      <x:c r="I378" s="74"/>
      <x:c r="J378" s="74"/>
      <x:c r="K378" s="74"/>
      <x:c r="L378" s="74"/>
      <x:c r="M378" s="74"/>
      <x:c r="N378" s="85"/>
      <x:c r="P378" s="86"/>
      <x:c r="Q378" s="32"/>
    </x:row>
    <x:row r="379">
      <x:c r="A379" s="87"/>
      <x:c r="D379" s="32"/>
      <x:c r="I379" s="74"/>
      <x:c r="J379" s="74"/>
      <x:c r="K379" s="74"/>
      <x:c r="L379" s="74"/>
      <x:c r="M379" s="74"/>
      <x:c r="N379" s="85"/>
      <x:c r="P379" s="86"/>
      <x:c r="Q379" s="32"/>
    </x:row>
    <x:row r="380">
      <x:c r="A380" s="87"/>
      <x:c r="D380" s="32"/>
      <x:c r="I380" s="74"/>
      <x:c r="J380" s="74"/>
      <x:c r="K380" s="74"/>
      <x:c r="L380" s="74"/>
      <x:c r="M380" s="74"/>
      <x:c r="N380" s="85"/>
      <x:c r="P380" s="86"/>
      <x:c r="Q380" s="32"/>
    </x:row>
    <x:row r="381">
      <x:c r="A381" s="87"/>
      <x:c r="D381" s="32"/>
      <x:c r="I381" s="74"/>
      <x:c r="J381" s="74"/>
      <x:c r="K381" s="74"/>
      <x:c r="L381" s="74"/>
      <x:c r="M381" s="74"/>
      <x:c r="N381" s="85"/>
      <x:c r="P381" s="86"/>
      <x:c r="Q381" s="32"/>
    </x:row>
    <x:row r="382">
      <x:c r="A382" s="87"/>
      <x:c r="D382" s="32"/>
      <x:c r="I382" s="74"/>
      <x:c r="J382" s="74"/>
      <x:c r="K382" s="74"/>
      <x:c r="L382" s="74"/>
      <x:c r="M382" s="74"/>
      <x:c r="N382" s="85"/>
      <x:c r="P382" s="86"/>
      <x:c r="Q382" s="32"/>
    </x:row>
    <x:row r="383">
      <x:c r="A383" s="87"/>
      <x:c r="D383" s="32"/>
      <x:c r="I383" s="74"/>
      <x:c r="J383" s="74"/>
      <x:c r="K383" s="74"/>
      <x:c r="L383" s="74"/>
      <x:c r="M383" s="74"/>
      <x:c r="N383" s="85"/>
      <x:c r="P383" s="86"/>
      <x:c r="Q383" s="32"/>
    </x:row>
    <x:row r="384">
      <x:c r="A384" s="87"/>
      <x:c r="D384" s="32"/>
      <x:c r="I384" s="74"/>
      <x:c r="J384" s="74"/>
      <x:c r="K384" s="74"/>
      <x:c r="L384" s="74"/>
      <x:c r="M384" s="74"/>
      <x:c r="N384" s="85"/>
      <x:c r="P384" s="86"/>
      <x:c r="Q384" s="32"/>
    </x:row>
    <x:row r="385">
      <x:c r="A385" s="87"/>
      <x:c r="D385" s="32"/>
      <x:c r="I385" s="74"/>
      <x:c r="J385" s="74"/>
      <x:c r="K385" s="74"/>
      <x:c r="L385" s="74"/>
      <x:c r="M385" s="74"/>
      <x:c r="N385" s="85"/>
      <x:c r="P385" s="86"/>
      <x:c r="Q385" s="32"/>
    </x:row>
    <x:row r="386">
      <x:c r="A386" s="87"/>
      <x:c r="D386" s="32"/>
      <x:c r="I386" s="74"/>
      <x:c r="J386" s="74"/>
      <x:c r="K386" s="74"/>
      <x:c r="L386" s="74"/>
      <x:c r="M386" s="74"/>
      <x:c r="N386" s="85"/>
      <x:c r="P386" s="86"/>
      <x:c r="Q386" s="32"/>
    </x:row>
    <x:row r="387">
      <x:c r="A387" s="87"/>
      <x:c r="D387" s="32"/>
      <x:c r="I387" s="74"/>
      <x:c r="J387" s="74"/>
      <x:c r="K387" s="74"/>
      <x:c r="L387" s="74"/>
      <x:c r="M387" s="74"/>
      <x:c r="N387" s="85"/>
      <x:c r="P387" s="86"/>
      <x:c r="Q387" s="32"/>
    </x:row>
    <x:row r="388">
      <x:c r="A388" s="87"/>
      <x:c r="D388" s="32"/>
      <x:c r="I388" s="74"/>
      <x:c r="J388" s="74"/>
      <x:c r="K388" s="74"/>
      <x:c r="L388" s="74"/>
      <x:c r="M388" s="74"/>
      <x:c r="N388" s="85"/>
      <x:c r="P388" s="86"/>
      <x:c r="Q388" s="32"/>
    </x:row>
    <x:row r="389">
      <x:c r="A389" s="87"/>
      <x:c r="D389" s="32"/>
      <x:c r="I389" s="74"/>
      <x:c r="J389" s="74"/>
      <x:c r="K389" s="74"/>
      <x:c r="L389" s="74"/>
      <x:c r="M389" s="74"/>
      <x:c r="N389" s="85"/>
      <x:c r="P389" s="86"/>
      <x:c r="Q389" s="32"/>
    </x:row>
    <x:row r="390">
      <x:c r="A390" s="87"/>
      <x:c r="D390" s="32"/>
      <x:c r="I390" s="74"/>
      <x:c r="J390" s="74"/>
      <x:c r="K390" s="74"/>
      <x:c r="L390" s="74"/>
      <x:c r="M390" s="74"/>
      <x:c r="N390" s="85"/>
      <x:c r="P390" s="86"/>
      <x:c r="Q390" s="32"/>
    </x:row>
    <x:row r="391">
      <x:c r="A391" s="87"/>
      <x:c r="D391" s="32"/>
      <x:c r="I391" s="74"/>
      <x:c r="J391" s="74"/>
      <x:c r="K391" s="74"/>
      <x:c r="L391" s="74"/>
      <x:c r="M391" s="74"/>
      <x:c r="N391" s="85"/>
      <x:c r="P391" s="86"/>
      <x:c r="Q391" s="32"/>
    </x:row>
    <x:row r="392">
      <x:c r="A392" s="87"/>
      <x:c r="D392" s="32"/>
      <x:c r="I392" s="74"/>
      <x:c r="J392" s="74"/>
      <x:c r="K392" s="74"/>
      <x:c r="L392" s="74"/>
      <x:c r="M392" s="74"/>
      <x:c r="N392" s="85"/>
      <x:c r="P392" s="86"/>
      <x:c r="Q392" s="32"/>
    </x:row>
    <x:row r="393">
      <x:c r="A393" s="87"/>
      <x:c r="D393" s="32"/>
      <x:c r="I393" s="74"/>
      <x:c r="J393" s="74"/>
      <x:c r="K393" s="74"/>
      <x:c r="L393" s="74"/>
      <x:c r="M393" s="74"/>
      <x:c r="N393" s="85"/>
      <x:c r="P393" s="86"/>
      <x:c r="Q393" s="32"/>
    </x:row>
    <x:row r="394">
      <x:c r="A394" s="87"/>
      <x:c r="D394" s="32"/>
      <x:c r="I394" s="74"/>
      <x:c r="J394" s="74"/>
      <x:c r="K394" s="74"/>
      <x:c r="L394" s="74"/>
      <x:c r="M394" s="74"/>
      <x:c r="N394" s="85"/>
      <x:c r="P394" s="86"/>
      <x:c r="Q394" s="32"/>
    </x:row>
    <x:row r="395">
      <x:c r="A395" s="87"/>
      <x:c r="D395" s="32"/>
      <x:c r="I395" s="74"/>
      <x:c r="J395" s="74"/>
      <x:c r="K395" s="74"/>
      <x:c r="L395" s="74"/>
      <x:c r="M395" s="74"/>
      <x:c r="N395" s="85"/>
      <x:c r="P395" s="86"/>
      <x:c r="Q395" s="32"/>
    </x:row>
    <x:row r="396">
      <x:c r="A396" s="87"/>
      <x:c r="D396" s="32"/>
      <x:c r="I396" s="74"/>
      <x:c r="J396" s="74"/>
      <x:c r="K396" s="74"/>
      <x:c r="L396" s="74"/>
      <x:c r="M396" s="74"/>
      <x:c r="N396" s="85"/>
      <x:c r="P396" s="86"/>
      <x:c r="Q396" s="32"/>
    </x:row>
    <x:row r="397">
      <x:c r="A397" s="87"/>
      <x:c r="D397" s="32"/>
      <x:c r="I397" s="74"/>
      <x:c r="J397" s="74"/>
      <x:c r="K397" s="74"/>
      <x:c r="L397" s="74"/>
      <x:c r="M397" s="74"/>
      <x:c r="N397" s="85"/>
      <x:c r="P397" s="86"/>
      <x:c r="Q397" s="32"/>
    </x:row>
    <x:row r="398">
      <x:c r="A398" s="87"/>
      <x:c r="D398" s="32"/>
      <x:c r="I398" s="74"/>
      <x:c r="J398" s="74"/>
      <x:c r="K398" s="74"/>
      <x:c r="L398" s="74"/>
      <x:c r="M398" s="74"/>
      <x:c r="N398" s="85"/>
      <x:c r="P398" s="86"/>
      <x:c r="Q398" s="32"/>
    </x:row>
    <x:row r="399">
      <x:c r="A399" s="87"/>
      <x:c r="D399" s="32"/>
      <x:c r="I399" s="74"/>
      <x:c r="J399" s="74"/>
      <x:c r="K399" s="74"/>
      <x:c r="L399" s="74"/>
      <x:c r="M399" s="74"/>
      <x:c r="N399" s="85"/>
      <x:c r="P399" s="86"/>
      <x:c r="Q399" s="32"/>
    </x:row>
    <x:row r="400">
      <x:c r="A400" s="87"/>
      <x:c r="D400" s="32"/>
      <x:c r="I400" s="74"/>
      <x:c r="J400" s="74"/>
      <x:c r="K400" s="74"/>
      <x:c r="L400" s="74"/>
      <x:c r="M400" s="74"/>
      <x:c r="N400" s="85"/>
      <x:c r="P400" s="86"/>
      <x:c r="Q400" s="32"/>
    </x:row>
    <x:row r="401">
      <x:c r="A401" s="87"/>
      <x:c r="D401" s="32"/>
      <x:c r="I401" s="74"/>
      <x:c r="J401" s="74"/>
      <x:c r="K401" s="74"/>
      <x:c r="L401" s="74"/>
      <x:c r="M401" s="74"/>
      <x:c r="N401" s="85"/>
      <x:c r="P401" s="86"/>
      <x:c r="Q401" s="32"/>
    </x:row>
    <x:row r="402">
      <x:c r="A402" s="87"/>
      <x:c r="D402" s="32"/>
      <x:c r="I402" s="74"/>
      <x:c r="J402" s="74"/>
      <x:c r="K402" s="74"/>
      <x:c r="L402" s="74"/>
      <x:c r="M402" s="74"/>
      <x:c r="N402" s="85"/>
      <x:c r="P402" s="86"/>
      <x:c r="Q402" s="32"/>
    </x:row>
    <x:row r="403">
      <x:c r="A403" s="87"/>
      <x:c r="D403" s="32"/>
      <x:c r="I403" s="74"/>
      <x:c r="J403" s="74"/>
      <x:c r="K403" s="74"/>
      <x:c r="L403" s="74"/>
      <x:c r="M403" s="74"/>
      <x:c r="N403" s="85"/>
      <x:c r="P403" s="86"/>
      <x:c r="Q403" s="32"/>
    </x:row>
    <x:row r="404">
      <x:c r="A404" s="87"/>
      <x:c r="D404" s="32"/>
      <x:c r="I404" s="74"/>
      <x:c r="J404" s="74"/>
      <x:c r="K404" s="74"/>
      <x:c r="L404" s="74"/>
      <x:c r="M404" s="74"/>
      <x:c r="N404" s="85"/>
      <x:c r="P404" s="86"/>
      <x:c r="Q404" s="32"/>
    </x:row>
    <x:row r="405">
      <x:c r="A405" s="87"/>
      <x:c r="D405" s="32"/>
      <x:c r="I405" s="74"/>
      <x:c r="J405" s="74"/>
      <x:c r="K405" s="74"/>
      <x:c r="L405" s="74"/>
      <x:c r="M405" s="74"/>
      <x:c r="N405" s="85"/>
      <x:c r="P405" s="86"/>
      <x:c r="Q405" s="32"/>
    </x:row>
    <x:row r="406">
      <x:c r="A406" s="87"/>
      <x:c r="D406" s="32"/>
      <x:c r="I406" s="74"/>
      <x:c r="J406" s="74"/>
      <x:c r="K406" s="74"/>
      <x:c r="L406" s="74"/>
      <x:c r="M406" s="74"/>
      <x:c r="N406" s="85"/>
      <x:c r="P406" s="86"/>
      <x:c r="Q406" s="32"/>
    </x:row>
    <x:row r="407">
      <x:c r="A407" s="87"/>
      <x:c r="D407" s="32"/>
      <x:c r="I407" s="74"/>
      <x:c r="J407" s="74"/>
      <x:c r="K407" s="74"/>
      <x:c r="L407" s="74"/>
      <x:c r="M407" s="74"/>
      <x:c r="N407" s="85"/>
      <x:c r="P407" s="86"/>
      <x:c r="Q407" s="32"/>
    </x:row>
    <x:row r="408">
      <x:c r="A408" s="87"/>
      <x:c r="D408" s="32"/>
      <x:c r="I408" s="74"/>
      <x:c r="J408" s="74"/>
      <x:c r="K408" s="74"/>
      <x:c r="L408" s="74"/>
      <x:c r="M408" s="74"/>
      <x:c r="N408" s="85"/>
      <x:c r="P408" s="86"/>
      <x:c r="Q408" s="32"/>
    </x:row>
    <x:row r="409">
      <x:c r="A409" s="87"/>
      <x:c r="D409" s="32"/>
      <x:c r="I409" s="74"/>
      <x:c r="J409" s="74"/>
      <x:c r="K409" s="74"/>
      <x:c r="L409" s="74"/>
      <x:c r="M409" s="74"/>
      <x:c r="N409" s="85"/>
      <x:c r="P409" s="86"/>
      <x:c r="Q409" s="32"/>
    </x:row>
    <x:row r="410">
      <x:c r="A410" s="87"/>
      <x:c r="D410" s="32"/>
      <x:c r="I410" s="74"/>
      <x:c r="J410" s="74"/>
      <x:c r="K410" s="74"/>
      <x:c r="L410" s="74"/>
      <x:c r="M410" s="74"/>
      <x:c r="N410" s="85"/>
      <x:c r="P410" s="86"/>
      <x:c r="Q410" s="32"/>
    </x:row>
    <x:row r="411">
      <x:c r="A411" s="87"/>
      <x:c r="D411" s="32"/>
      <x:c r="I411" s="74"/>
      <x:c r="J411" s="74"/>
      <x:c r="K411" s="74"/>
      <x:c r="L411" s="74"/>
      <x:c r="M411" s="74"/>
      <x:c r="N411" s="85"/>
      <x:c r="P411" s="86"/>
      <x:c r="Q411" s="32"/>
    </x:row>
    <x:row r="412">
      <x:c r="A412" s="87"/>
      <x:c r="D412" s="32"/>
      <x:c r="I412" s="74"/>
      <x:c r="J412" s="74"/>
      <x:c r="K412" s="74"/>
      <x:c r="L412" s="74"/>
      <x:c r="M412" s="74"/>
      <x:c r="N412" s="85"/>
      <x:c r="P412" s="86"/>
      <x:c r="Q412" s="32"/>
    </x:row>
    <x:row r="413">
      <x:c r="A413" s="87"/>
      <x:c r="D413" s="32"/>
      <x:c r="I413" s="74"/>
      <x:c r="J413" s="74"/>
      <x:c r="K413" s="74"/>
      <x:c r="L413" s="74"/>
      <x:c r="M413" s="74"/>
      <x:c r="N413" s="85"/>
      <x:c r="P413" s="86"/>
      <x:c r="Q413" s="32"/>
    </x:row>
    <x:row r="414">
      <x:c r="A414" s="87"/>
      <x:c r="D414" s="32"/>
      <x:c r="I414" s="74"/>
      <x:c r="J414" s="74"/>
      <x:c r="K414" s="74"/>
      <x:c r="L414" s="74"/>
      <x:c r="M414" s="74"/>
      <x:c r="N414" s="85"/>
      <x:c r="P414" s="86"/>
      <x:c r="Q414" s="32"/>
    </x:row>
    <x:row r="415">
      <x:c r="A415" s="87"/>
      <x:c r="D415" s="32"/>
      <x:c r="I415" s="74"/>
      <x:c r="J415" s="74"/>
      <x:c r="K415" s="74"/>
      <x:c r="L415" s="74"/>
      <x:c r="M415" s="74"/>
      <x:c r="N415" s="85"/>
      <x:c r="P415" s="86"/>
      <x:c r="Q415" s="32"/>
    </x:row>
    <x:row r="416">
      <x:c r="A416" s="87"/>
      <x:c r="D416" s="32"/>
      <x:c r="I416" s="74"/>
      <x:c r="J416" s="74"/>
      <x:c r="K416" s="74"/>
      <x:c r="L416" s="74"/>
      <x:c r="M416" s="74"/>
      <x:c r="N416" s="85"/>
      <x:c r="P416" s="86"/>
      <x:c r="Q416" s="32"/>
    </x:row>
    <x:row r="417">
      <x:c r="A417" s="87"/>
      <x:c r="D417" s="32"/>
      <x:c r="I417" s="74"/>
      <x:c r="J417" s="74"/>
      <x:c r="K417" s="74"/>
      <x:c r="L417" s="74"/>
      <x:c r="M417" s="74"/>
      <x:c r="N417" s="85"/>
      <x:c r="P417" s="86"/>
      <x:c r="Q417" s="32"/>
    </x:row>
    <x:row r="418">
      <x:c r="A418" s="87"/>
      <x:c r="D418" s="32"/>
      <x:c r="I418" s="74"/>
      <x:c r="J418" s="74"/>
      <x:c r="K418" s="74"/>
      <x:c r="L418" s="74"/>
      <x:c r="M418" s="74"/>
      <x:c r="N418" s="85"/>
      <x:c r="P418" s="86"/>
      <x:c r="Q418" s="32"/>
    </x:row>
    <x:row r="419">
      <x:c r="A419" s="87"/>
      <x:c r="D419" s="32"/>
      <x:c r="I419" s="74"/>
      <x:c r="J419" s="74"/>
      <x:c r="K419" s="74"/>
      <x:c r="L419" s="74"/>
      <x:c r="M419" s="74"/>
      <x:c r="N419" s="85"/>
      <x:c r="P419" s="86"/>
      <x:c r="Q419" s="32"/>
    </x:row>
    <x:row r="420">
      <x:c r="A420" s="87"/>
      <x:c r="D420" s="32"/>
      <x:c r="I420" s="74"/>
      <x:c r="J420" s="74"/>
      <x:c r="K420" s="74"/>
      <x:c r="L420" s="74"/>
      <x:c r="M420" s="74"/>
      <x:c r="N420" s="85"/>
      <x:c r="P420" s="86"/>
      <x:c r="Q420" s="32"/>
    </x:row>
    <x:row r="421">
      <x:c r="A421" s="87"/>
      <x:c r="D421" s="32"/>
      <x:c r="I421" s="74"/>
      <x:c r="J421" s="74"/>
      <x:c r="K421" s="74"/>
      <x:c r="L421" s="74"/>
      <x:c r="M421" s="74"/>
      <x:c r="N421" s="85"/>
      <x:c r="P421" s="86"/>
      <x:c r="Q421" s="32"/>
    </x:row>
    <x:row r="422">
      <x:c r="A422" s="87"/>
      <x:c r="D422" s="32"/>
      <x:c r="I422" s="74"/>
      <x:c r="J422" s="74"/>
      <x:c r="K422" s="74"/>
      <x:c r="L422" s="74"/>
      <x:c r="M422" s="74"/>
      <x:c r="N422" s="85"/>
      <x:c r="P422" s="86"/>
      <x:c r="Q422" s="32"/>
    </x:row>
    <x:row r="423">
      <x:c r="A423" s="87"/>
      <x:c r="D423" s="32"/>
      <x:c r="I423" s="74"/>
      <x:c r="J423" s="74"/>
      <x:c r="K423" s="74"/>
      <x:c r="L423" s="74"/>
      <x:c r="M423" s="74"/>
      <x:c r="N423" s="85"/>
      <x:c r="P423" s="86"/>
      <x:c r="Q423" s="32"/>
    </x:row>
    <x:row r="424">
      <x:c r="A424" s="87"/>
      <x:c r="D424" s="32"/>
      <x:c r="I424" s="74"/>
      <x:c r="J424" s="74"/>
      <x:c r="K424" s="74"/>
      <x:c r="L424" s="74"/>
      <x:c r="M424" s="74"/>
      <x:c r="N424" s="85"/>
      <x:c r="P424" s="86"/>
      <x:c r="Q424" s="32"/>
    </x:row>
    <x:row r="425">
      <x:c r="A425" s="87"/>
      <x:c r="D425" s="32"/>
      <x:c r="I425" s="74"/>
      <x:c r="J425" s="74"/>
      <x:c r="K425" s="74"/>
      <x:c r="L425" s="74"/>
      <x:c r="M425" s="74"/>
      <x:c r="N425" s="85"/>
      <x:c r="P425" s="86"/>
      <x:c r="Q425" s="32"/>
    </x:row>
    <x:row r="426">
      <x:c r="A426" s="87"/>
      <x:c r="D426" s="32"/>
      <x:c r="I426" s="74"/>
      <x:c r="J426" s="74"/>
      <x:c r="K426" s="74"/>
      <x:c r="L426" s="74"/>
      <x:c r="M426" s="74"/>
      <x:c r="N426" s="85"/>
      <x:c r="P426" s="86"/>
      <x:c r="Q426" s="32"/>
    </x:row>
    <x:row r="427">
      <x:c r="A427" s="87"/>
      <x:c r="D427" s="32"/>
      <x:c r="I427" s="74"/>
      <x:c r="J427" s="74"/>
      <x:c r="K427" s="74"/>
      <x:c r="L427" s="74"/>
      <x:c r="M427" s="74"/>
      <x:c r="N427" s="85"/>
      <x:c r="P427" s="86"/>
      <x:c r="Q427" s="32"/>
    </x:row>
    <x:row r="428">
      <x:c r="A428" s="87"/>
      <x:c r="D428" s="32"/>
      <x:c r="I428" s="74"/>
      <x:c r="J428" s="74"/>
      <x:c r="K428" s="74"/>
      <x:c r="L428" s="74"/>
      <x:c r="M428" s="74"/>
      <x:c r="N428" s="85"/>
      <x:c r="P428" s="86"/>
      <x:c r="Q428" s="32"/>
    </x:row>
    <x:row r="429">
      <x:c r="A429" s="87"/>
      <x:c r="D429" s="32"/>
      <x:c r="I429" s="74"/>
      <x:c r="J429" s="74"/>
      <x:c r="K429" s="74"/>
      <x:c r="L429" s="74"/>
      <x:c r="M429" s="74"/>
      <x:c r="N429" s="85"/>
      <x:c r="P429" s="86"/>
      <x:c r="Q429" s="32"/>
    </x:row>
    <x:row r="430">
      <x:c r="A430" s="87"/>
      <x:c r="D430" s="32"/>
      <x:c r="I430" s="74"/>
      <x:c r="J430" s="74"/>
      <x:c r="K430" s="74"/>
      <x:c r="L430" s="74"/>
      <x:c r="M430" s="74"/>
      <x:c r="N430" s="85"/>
      <x:c r="P430" s="86"/>
      <x:c r="Q430" s="32"/>
    </x:row>
    <x:row r="431">
      <x:c r="A431" s="87"/>
      <x:c r="D431" s="32"/>
      <x:c r="I431" s="74"/>
      <x:c r="J431" s="74"/>
      <x:c r="K431" s="74"/>
      <x:c r="L431" s="74"/>
      <x:c r="M431" s="74"/>
      <x:c r="N431" s="85"/>
      <x:c r="P431" s="86"/>
      <x:c r="Q431" s="32"/>
    </x:row>
    <x:row r="432">
      <x:c r="A432" s="87"/>
      <x:c r="D432" s="32"/>
      <x:c r="I432" s="74"/>
      <x:c r="J432" s="74"/>
      <x:c r="K432" s="74"/>
      <x:c r="L432" s="74"/>
      <x:c r="M432" s="74"/>
      <x:c r="N432" s="85"/>
      <x:c r="P432" s="86"/>
      <x:c r="Q432" s="32"/>
    </x:row>
    <x:row r="433">
      <x:c r="A433" s="87"/>
      <x:c r="D433" s="32"/>
      <x:c r="I433" s="74"/>
      <x:c r="J433" s="74"/>
      <x:c r="K433" s="74"/>
      <x:c r="L433" s="74"/>
      <x:c r="M433" s="74"/>
      <x:c r="N433" s="85"/>
      <x:c r="P433" s="86"/>
      <x:c r="Q433" s="32"/>
    </x:row>
    <x:row r="434">
      <x:c r="A434" s="87"/>
      <x:c r="D434" s="32"/>
      <x:c r="I434" s="74"/>
      <x:c r="J434" s="74"/>
      <x:c r="K434" s="74"/>
      <x:c r="L434" s="74"/>
      <x:c r="M434" s="74"/>
      <x:c r="N434" s="85"/>
      <x:c r="P434" s="86"/>
      <x:c r="Q434" s="32"/>
    </x:row>
    <x:row r="435">
      <x:c r="A435" s="87"/>
      <x:c r="D435" s="32"/>
      <x:c r="I435" s="74"/>
      <x:c r="J435" s="74"/>
      <x:c r="K435" s="74"/>
      <x:c r="L435" s="74"/>
      <x:c r="M435" s="74"/>
      <x:c r="N435" s="85"/>
      <x:c r="P435" s="86"/>
      <x:c r="Q435" s="32"/>
    </x:row>
    <x:row r="436">
      <x:c r="A436" s="87"/>
      <x:c r="D436" s="32"/>
      <x:c r="I436" s="74"/>
      <x:c r="J436" s="74"/>
      <x:c r="K436" s="74"/>
      <x:c r="L436" s="74"/>
      <x:c r="M436" s="74"/>
      <x:c r="N436" s="85"/>
      <x:c r="P436" s="86"/>
      <x:c r="Q436" s="32"/>
    </x:row>
    <x:row r="437">
      <x:c r="A437" s="87"/>
      <x:c r="D437" s="32"/>
      <x:c r="I437" s="74"/>
      <x:c r="J437" s="74"/>
      <x:c r="K437" s="74"/>
      <x:c r="L437" s="74"/>
      <x:c r="M437" s="74"/>
      <x:c r="N437" s="85"/>
      <x:c r="P437" s="86"/>
      <x:c r="Q437" s="32"/>
    </x:row>
    <x:row r="438">
      <x:c r="A438" s="87"/>
      <x:c r="D438" s="32"/>
      <x:c r="I438" s="74"/>
      <x:c r="J438" s="74"/>
      <x:c r="K438" s="74"/>
      <x:c r="L438" s="74"/>
      <x:c r="M438" s="74"/>
      <x:c r="N438" s="85"/>
      <x:c r="P438" s="86"/>
      <x:c r="Q438" s="32"/>
    </x:row>
    <x:row r="439">
      <x:c r="A439" s="87"/>
      <x:c r="D439" s="32"/>
      <x:c r="I439" s="74"/>
      <x:c r="J439" s="74"/>
      <x:c r="K439" s="74"/>
      <x:c r="L439" s="74"/>
      <x:c r="M439" s="74"/>
      <x:c r="N439" s="85"/>
      <x:c r="P439" s="86"/>
      <x:c r="Q439" s="32"/>
    </x:row>
    <x:row r="440">
      <x:c r="A440" s="87"/>
      <x:c r="D440" s="32"/>
      <x:c r="I440" s="74"/>
      <x:c r="J440" s="74"/>
      <x:c r="K440" s="74"/>
      <x:c r="L440" s="74"/>
      <x:c r="M440" s="74"/>
      <x:c r="N440" s="85"/>
      <x:c r="P440" s="86"/>
      <x:c r="Q440" s="32"/>
    </x:row>
    <x:row r="441">
      <x:c r="A441" s="87"/>
      <x:c r="D441" s="32"/>
      <x:c r="I441" s="74"/>
      <x:c r="J441" s="74"/>
      <x:c r="K441" s="74"/>
      <x:c r="L441" s="74"/>
      <x:c r="M441" s="74"/>
      <x:c r="N441" s="85"/>
      <x:c r="P441" s="86"/>
      <x:c r="Q441" s="32"/>
    </x:row>
    <x:row r="442">
      <x:c r="A442" s="87"/>
      <x:c r="D442" s="32"/>
      <x:c r="I442" s="74"/>
      <x:c r="J442" s="74"/>
      <x:c r="K442" s="74"/>
      <x:c r="L442" s="74"/>
      <x:c r="M442" s="74"/>
      <x:c r="N442" s="85"/>
      <x:c r="P442" s="86"/>
      <x:c r="Q442" s="32"/>
    </x:row>
    <x:row r="443">
      <x:c r="A443" s="87"/>
      <x:c r="D443" s="32"/>
      <x:c r="I443" s="74"/>
      <x:c r="J443" s="74"/>
      <x:c r="K443" s="74"/>
      <x:c r="L443" s="74"/>
      <x:c r="M443" s="74"/>
      <x:c r="N443" s="85"/>
      <x:c r="P443" s="86"/>
      <x:c r="Q443" s="32"/>
    </x:row>
    <x:row r="444">
      <x:c r="A444" s="87"/>
      <x:c r="D444" s="32"/>
      <x:c r="I444" s="74"/>
      <x:c r="J444" s="74"/>
      <x:c r="K444" s="74"/>
      <x:c r="L444" s="74"/>
      <x:c r="M444" s="74"/>
      <x:c r="N444" s="85"/>
      <x:c r="P444" s="86"/>
      <x:c r="Q444" s="32"/>
    </x:row>
    <x:row r="445">
      <x:c r="A445" s="87"/>
      <x:c r="D445" s="32"/>
      <x:c r="I445" s="74"/>
      <x:c r="J445" s="74"/>
      <x:c r="K445" s="74"/>
      <x:c r="L445" s="74"/>
      <x:c r="M445" s="74"/>
      <x:c r="N445" s="85"/>
      <x:c r="P445" s="86"/>
      <x:c r="Q445" s="32"/>
    </x:row>
    <x:row r="446">
      <x:c r="A446" s="87"/>
      <x:c r="D446" s="32"/>
      <x:c r="I446" s="74"/>
      <x:c r="J446" s="74"/>
      <x:c r="K446" s="74"/>
      <x:c r="L446" s="74"/>
      <x:c r="M446" s="74"/>
      <x:c r="N446" s="85"/>
      <x:c r="P446" s="86"/>
      <x:c r="Q446" s="32"/>
    </x:row>
    <x:row r="447">
      <x:c r="A447" s="87"/>
      <x:c r="D447" s="32"/>
      <x:c r="I447" s="74"/>
      <x:c r="J447" s="74"/>
      <x:c r="K447" s="74"/>
      <x:c r="L447" s="74"/>
      <x:c r="M447" s="74"/>
      <x:c r="N447" s="85"/>
      <x:c r="P447" s="86"/>
      <x:c r="Q447" s="32"/>
    </x:row>
    <x:row r="448">
      <x:c r="A448" s="87"/>
      <x:c r="D448" s="32"/>
      <x:c r="I448" s="74"/>
      <x:c r="J448" s="74"/>
      <x:c r="K448" s="74"/>
      <x:c r="L448" s="74"/>
      <x:c r="M448" s="74"/>
      <x:c r="N448" s="85"/>
      <x:c r="P448" s="86"/>
      <x:c r="Q448" s="32"/>
    </x:row>
    <x:row r="449">
      <x:c r="A449" s="87"/>
      <x:c r="D449" s="32"/>
      <x:c r="I449" s="74"/>
      <x:c r="J449" s="74"/>
      <x:c r="K449" s="74"/>
      <x:c r="L449" s="74"/>
      <x:c r="M449" s="74"/>
      <x:c r="N449" s="85"/>
      <x:c r="P449" s="86"/>
      <x:c r="Q449" s="32"/>
    </x:row>
    <x:row r="450">
      <x:c r="A450" s="87"/>
      <x:c r="D450" s="32"/>
      <x:c r="I450" s="74"/>
      <x:c r="J450" s="74"/>
      <x:c r="K450" s="74"/>
      <x:c r="L450" s="74"/>
      <x:c r="M450" s="74"/>
      <x:c r="N450" s="85"/>
      <x:c r="P450" s="86"/>
      <x:c r="Q450" s="32"/>
    </x:row>
    <x:row r="451">
      <x:c r="A451" s="87"/>
      <x:c r="D451" s="32"/>
      <x:c r="I451" s="74"/>
      <x:c r="J451" s="74"/>
      <x:c r="K451" s="74"/>
      <x:c r="L451" s="74"/>
      <x:c r="M451" s="74"/>
      <x:c r="N451" s="85"/>
      <x:c r="P451" s="86"/>
      <x:c r="Q451" s="32"/>
    </x:row>
    <x:row r="452">
      <x:c r="A452" s="87"/>
      <x:c r="D452" s="32"/>
      <x:c r="I452" s="74"/>
      <x:c r="J452" s="74"/>
      <x:c r="K452" s="74"/>
      <x:c r="L452" s="74"/>
      <x:c r="M452" s="74"/>
      <x:c r="N452" s="85"/>
      <x:c r="P452" s="86"/>
      <x:c r="Q452" s="32"/>
    </x:row>
    <x:row r="453">
      <x:c r="A453" s="87"/>
      <x:c r="D453" s="32"/>
      <x:c r="I453" s="74"/>
      <x:c r="J453" s="74"/>
      <x:c r="K453" s="74"/>
      <x:c r="L453" s="74"/>
      <x:c r="M453" s="74"/>
      <x:c r="N453" s="85"/>
      <x:c r="P453" s="86"/>
      <x:c r="Q453" s="32"/>
    </x:row>
    <x:row r="454">
      <x:c r="A454" s="87"/>
      <x:c r="D454" s="32"/>
      <x:c r="I454" s="74"/>
      <x:c r="J454" s="74"/>
      <x:c r="K454" s="74"/>
      <x:c r="L454" s="74"/>
      <x:c r="M454" s="74"/>
      <x:c r="N454" s="85"/>
      <x:c r="P454" s="86"/>
      <x:c r="Q454" s="32"/>
    </x:row>
    <x:row r="455">
      <x:c r="A455" s="87"/>
      <x:c r="D455" s="32"/>
      <x:c r="I455" s="74"/>
      <x:c r="J455" s="74"/>
      <x:c r="K455" s="74"/>
      <x:c r="L455" s="74"/>
      <x:c r="M455" s="74"/>
      <x:c r="N455" s="85"/>
      <x:c r="P455" s="86"/>
      <x:c r="Q455" s="32"/>
    </x:row>
    <x:row r="456">
      <x:c r="A456" s="87"/>
      <x:c r="D456" s="32"/>
      <x:c r="I456" s="74"/>
      <x:c r="J456" s="74"/>
      <x:c r="K456" s="74"/>
      <x:c r="L456" s="74"/>
      <x:c r="M456" s="74"/>
      <x:c r="N456" s="85"/>
      <x:c r="P456" s="86"/>
      <x:c r="Q456" s="32"/>
    </x:row>
    <x:row r="457">
      <x:c r="A457" s="87"/>
      <x:c r="D457" s="32"/>
      <x:c r="I457" s="74"/>
      <x:c r="J457" s="74"/>
      <x:c r="K457" s="74"/>
      <x:c r="L457" s="74"/>
      <x:c r="M457" s="74"/>
      <x:c r="N457" s="85"/>
      <x:c r="P457" s="86"/>
      <x:c r="Q457" s="32"/>
    </x:row>
    <x:row r="458">
      <x:c r="A458" s="87"/>
      <x:c r="D458" s="32"/>
      <x:c r="I458" s="74"/>
      <x:c r="J458" s="74"/>
      <x:c r="K458" s="74"/>
      <x:c r="L458" s="74"/>
      <x:c r="M458" s="74"/>
      <x:c r="N458" s="85"/>
      <x:c r="P458" s="86"/>
      <x:c r="Q458" s="32"/>
    </x:row>
    <x:row r="459">
      <x:c r="A459" s="87"/>
      <x:c r="D459" s="32"/>
      <x:c r="I459" s="74"/>
      <x:c r="J459" s="74"/>
      <x:c r="K459" s="74"/>
      <x:c r="L459" s="74"/>
      <x:c r="M459" s="74"/>
      <x:c r="N459" s="85"/>
      <x:c r="P459" s="86"/>
      <x:c r="Q459" s="32"/>
    </x:row>
    <x:row r="460">
      <x:c r="A460" s="87"/>
      <x:c r="D460" s="32"/>
      <x:c r="I460" s="74"/>
      <x:c r="J460" s="74"/>
      <x:c r="K460" s="74"/>
      <x:c r="L460" s="74"/>
      <x:c r="M460" s="74"/>
      <x:c r="N460" s="85"/>
      <x:c r="P460" s="86"/>
      <x:c r="Q460" s="32"/>
    </x:row>
    <x:row r="461">
      <x:c r="A461" s="87"/>
      <x:c r="D461" s="32"/>
      <x:c r="I461" s="74"/>
      <x:c r="J461" s="74"/>
      <x:c r="K461" s="74"/>
      <x:c r="L461" s="74"/>
      <x:c r="M461" s="74"/>
      <x:c r="N461" s="85"/>
      <x:c r="P461" s="86"/>
      <x:c r="Q461" s="32"/>
    </x:row>
    <x:row r="462">
      <x:c r="A462" s="87"/>
      <x:c r="D462" s="32"/>
      <x:c r="I462" s="74"/>
      <x:c r="J462" s="74"/>
      <x:c r="K462" s="74"/>
      <x:c r="L462" s="74"/>
      <x:c r="M462" s="74"/>
      <x:c r="N462" s="85"/>
      <x:c r="P462" s="86"/>
      <x:c r="Q462" s="32"/>
    </x:row>
    <x:row r="463">
      <x:c r="A463" s="87"/>
      <x:c r="D463" s="32"/>
      <x:c r="I463" s="74"/>
      <x:c r="J463" s="74"/>
      <x:c r="K463" s="74"/>
      <x:c r="L463" s="74"/>
      <x:c r="M463" s="74"/>
      <x:c r="N463" s="85"/>
      <x:c r="P463" s="86"/>
      <x:c r="Q463" s="32"/>
    </x:row>
    <x:row r="464">
      <x:c r="A464" s="87"/>
      <x:c r="D464" s="32"/>
      <x:c r="I464" s="74"/>
      <x:c r="J464" s="74"/>
      <x:c r="K464" s="74"/>
      <x:c r="L464" s="74"/>
      <x:c r="M464" s="74"/>
      <x:c r="N464" s="85"/>
      <x:c r="P464" s="86"/>
      <x:c r="Q464" s="32"/>
    </x:row>
    <x:row r="465">
      <x:c r="A465" s="87"/>
      <x:c r="D465" s="32"/>
      <x:c r="I465" s="74"/>
      <x:c r="J465" s="74"/>
      <x:c r="K465" s="74"/>
      <x:c r="L465" s="74"/>
      <x:c r="M465" s="74"/>
      <x:c r="N465" s="85"/>
      <x:c r="P465" s="86"/>
      <x:c r="Q465" s="32"/>
    </x:row>
    <x:row r="466">
      <x:c r="A466" s="87"/>
      <x:c r="D466" s="32"/>
      <x:c r="I466" s="74"/>
      <x:c r="J466" s="74"/>
      <x:c r="K466" s="74"/>
      <x:c r="L466" s="74"/>
      <x:c r="M466" s="74"/>
      <x:c r="N466" s="85"/>
      <x:c r="P466" s="86"/>
      <x:c r="Q466" s="32"/>
    </x:row>
    <x:row r="467">
      <x:c r="A467" s="87"/>
      <x:c r="D467" s="32"/>
      <x:c r="I467" s="74"/>
      <x:c r="J467" s="74"/>
      <x:c r="K467" s="74"/>
      <x:c r="L467" s="74"/>
      <x:c r="M467" s="74"/>
      <x:c r="N467" s="85"/>
      <x:c r="P467" s="86"/>
      <x:c r="Q467" s="32"/>
    </x:row>
    <x:row r="468">
      <x:c r="A468" s="87"/>
      <x:c r="D468" s="32"/>
      <x:c r="I468" s="74"/>
      <x:c r="J468" s="74"/>
      <x:c r="K468" s="74"/>
      <x:c r="L468" s="74"/>
      <x:c r="M468" s="74"/>
      <x:c r="N468" s="85"/>
      <x:c r="P468" s="86"/>
      <x:c r="Q468" s="32"/>
    </x:row>
    <x:row r="469">
      <x:c r="A469" s="87"/>
      <x:c r="D469" s="32"/>
      <x:c r="I469" s="74"/>
      <x:c r="J469" s="74"/>
      <x:c r="K469" s="74"/>
      <x:c r="L469" s="74"/>
      <x:c r="M469" s="74"/>
      <x:c r="N469" s="85"/>
      <x:c r="P469" s="86"/>
      <x:c r="Q469" s="32"/>
    </x:row>
    <x:row r="470">
      <x:c r="A470" s="87"/>
      <x:c r="D470" s="32"/>
      <x:c r="I470" s="74"/>
      <x:c r="J470" s="74"/>
      <x:c r="K470" s="74"/>
      <x:c r="L470" s="74"/>
      <x:c r="M470" s="74"/>
      <x:c r="N470" s="85"/>
      <x:c r="P470" s="86"/>
      <x:c r="Q470" s="32"/>
    </x:row>
    <x:row r="471">
      <x:c r="A471" s="87"/>
      <x:c r="D471" s="32"/>
      <x:c r="I471" s="74"/>
      <x:c r="J471" s="74"/>
      <x:c r="K471" s="74"/>
      <x:c r="L471" s="74"/>
      <x:c r="M471" s="74"/>
      <x:c r="N471" s="85"/>
      <x:c r="P471" s="86"/>
      <x:c r="Q471" s="32"/>
    </x:row>
    <x:row r="472">
      <x:c r="A472" s="87"/>
      <x:c r="D472" s="32"/>
      <x:c r="I472" s="74"/>
      <x:c r="J472" s="74"/>
      <x:c r="K472" s="74"/>
      <x:c r="L472" s="74"/>
      <x:c r="M472" s="74"/>
      <x:c r="N472" s="85"/>
      <x:c r="P472" s="86"/>
      <x:c r="Q472" s="32"/>
    </x:row>
    <x:row r="473">
      <x:c r="A473" s="87"/>
      <x:c r="D473" s="32"/>
      <x:c r="I473" s="74"/>
      <x:c r="J473" s="74"/>
      <x:c r="K473" s="74"/>
      <x:c r="L473" s="74"/>
      <x:c r="M473" s="74"/>
      <x:c r="N473" s="85"/>
      <x:c r="P473" s="86"/>
      <x:c r="Q473" s="32"/>
    </x:row>
    <x:row r="474">
      <x:c r="A474" s="87"/>
      <x:c r="D474" s="32"/>
      <x:c r="I474" s="74"/>
      <x:c r="J474" s="74"/>
      <x:c r="K474" s="74"/>
      <x:c r="L474" s="74"/>
      <x:c r="M474" s="74"/>
      <x:c r="N474" s="85"/>
      <x:c r="P474" s="86"/>
      <x:c r="Q474" s="32"/>
    </x:row>
    <x:row r="475">
      <x:c r="A475" s="87"/>
      <x:c r="D475" s="32"/>
      <x:c r="I475" s="74"/>
      <x:c r="J475" s="74"/>
      <x:c r="K475" s="74"/>
      <x:c r="L475" s="74"/>
      <x:c r="M475" s="74"/>
      <x:c r="N475" s="85"/>
      <x:c r="P475" s="86"/>
      <x:c r="Q475" s="32"/>
    </x:row>
    <x:row r="476">
      <x:c r="A476" s="87"/>
      <x:c r="D476" s="32"/>
      <x:c r="I476" s="74"/>
      <x:c r="J476" s="74"/>
      <x:c r="K476" s="74"/>
      <x:c r="L476" s="74"/>
      <x:c r="M476" s="74"/>
      <x:c r="N476" s="85"/>
      <x:c r="P476" s="86"/>
      <x:c r="Q476" s="32"/>
    </x:row>
    <x:row r="477">
      <x:c r="A477" s="87"/>
      <x:c r="D477" s="32"/>
      <x:c r="I477" s="74"/>
      <x:c r="J477" s="74"/>
      <x:c r="K477" s="74"/>
      <x:c r="L477" s="74"/>
      <x:c r="M477" s="74"/>
      <x:c r="N477" s="85"/>
      <x:c r="P477" s="86"/>
      <x:c r="Q477" s="32"/>
    </x:row>
    <x:row r="478">
      <x:c r="A478" s="87"/>
      <x:c r="D478" s="32"/>
      <x:c r="I478" s="74"/>
      <x:c r="J478" s="74"/>
      <x:c r="K478" s="74"/>
      <x:c r="L478" s="74"/>
      <x:c r="M478" s="74"/>
      <x:c r="N478" s="85"/>
      <x:c r="P478" s="86"/>
      <x:c r="Q478" s="32"/>
    </x:row>
    <x:row r="479">
      <x:c r="A479" s="87"/>
      <x:c r="D479" s="32"/>
      <x:c r="I479" s="74"/>
      <x:c r="J479" s="74"/>
      <x:c r="K479" s="74"/>
      <x:c r="L479" s="74"/>
      <x:c r="M479" s="74"/>
      <x:c r="N479" s="85"/>
      <x:c r="P479" s="86"/>
      <x:c r="Q479" s="32"/>
    </x:row>
    <x:row r="480">
      <x:c r="A480" s="87"/>
      <x:c r="D480" s="32"/>
      <x:c r="I480" s="74"/>
      <x:c r="J480" s="74"/>
      <x:c r="K480" s="74"/>
      <x:c r="L480" s="74"/>
      <x:c r="M480" s="74"/>
      <x:c r="N480" s="85"/>
      <x:c r="P480" s="86"/>
      <x:c r="Q480" s="32"/>
    </x:row>
    <x:row r="481">
      <x:c r="A481" s="87"/>
      <x:c r="D481" s="32"/>
      <x:c r="I481" s="74"/>
      <x:c r="J481" s="74"/>
      <x:c r="K481" s="74"/>
      <x:c r="L481" s="74"/>
      <x:c r="M481" s="74"/>
      <x:c r="N481" s="85"/>
      <x:c r="P481" s="86"/>
      <x:c r="Q481" s="32"/>
    </x:row>
    <x:row r="482">
      <x:c r="A482" s="87"/>
      <x:c r="D482" s="32"/>
      <x:c r="I482" s="74"/>
      <x:c r="J482" s="74"/>
      <x:c r="K482" s="74"/>
      <x:c r="L482" s="74"/>
      <x:c r="M482" s="74"/>
      <x:c r="N482" s="85"/>
      <x:c r="P482" s="86"/>
      <x:c r="Q482" s="32"/>
    </x:row>
    <x:row r="483">
      <x:c r="A483" s="87"/>
      <x:c r="D483" s="32"/>
      <x:c r="I483" s="74"/>
      <x:c r="J483" s="74"/>
      <x:c r="K483" s="74"/>
      <x:c r="L483" s="74"/>
      <x:c r="M483" s="74"/>
      <x:c r="N483" s="85"/>
      <x:c r="P483" s="86"/>
      <x:c r="Q483" s="32"/>
    </x:row>
    <x:row r="484">
      <x:c r="A484" s="87"/>
      <x:c r="D484" s="32"/>
      <x:c r="I484" s="74"/>
      <x:c r="J484" s="74"/>
      <x:c r="K484" s="74"/>
      <x:c r="L484" s="74"/>
      <x:c r="M484" s="74"/>
      <x:c r="N484" s="85"/>
      <x:c r="P484" s="86"/>
      <x:c r="Q484" s="32"/>
    </x:row>
    <x:row r="485">
      <x:c r="A485" s="87"/>
      <x:c r="D485" s="32"/>
      <x:c r="I485" s="74"/>
      <x:c r="J485" s="74"/>
      <x:c r="K485" s="74"/>
      <x:c r="L485" s="74"/>
      <x:c r="M485" s="74"/>
      <x:c r="N485" s="85"/>
      <x:c r="P485" s="86"/>
      <x:c r="Q485" s="32"/>
    </x:row>
    <x:row r="486">
      <x:c r="A486" s="87"/>
      <x:c r="D486" s="32"/>
      <x:c r="I486" s="74"/>
      <x:c r="J486" s="74"/>
      <x:c r="K486" s="74"/>
      <x:c r="L486" s="74"/>
      <x:c r="M486" s="74"/>
      <x:c r="N486" s="85"/>
      <x:c r="P486" s="86"/>
      <x:c r="Q486" s="32"/>
    </x:row>
    <x:row r="487">
      <x:c r="A487" s="87"/>
      <x:c r="D487" s="32"/>
      <x:c r="I487" s="74"/>
      <x:c r="J487" s="74"/>
      <x:c r="K487" s="74"/>
      <x:c r="L487" s="74"/>
      <x:c r="M487" s="74"/>
      <x:c r="N487" s="85"/>
      <x:c r="P487" s="86"/>
      <x:c r="Q487" s="32"/>
    </x:row>
    <x:row r="488">
      <x:c r="A488" s="87"/>
      <x:c r="D488" s="32"/>
      <x:c r="I488" s="74"/>
      <x:c r="J488" s="74"/>
      <x:c r="K488" s="74"/>
      <x:c r="L488" s="74"/>
      <x:c r="M488" s="74"/>
      <x:c r="N488" s="85"/>
      <x:c r="P488" s="86"/>
      <x:c r="Q488" s="32"/>
    </x:row>
    <x:row r="489">
      <x:c r="A489" s="87"/>
      <x:c r="D489" s="32"/>
      <x:c r="I489" s="74"/>
      <x:c r="J489" s="74"/>
      <x:c r="K489" s="74"/>
      <x:c r="L489" s="74"/>
      <x:c r="M489" s="74"/>
      <x:c r="N489" s="85"/>
      <x:c r="P489" s="86"/>
      <x:c r="Q489" s="32"/>
    </x:row>
    <x:row r="490">
      <x:c r="A490" s="87"/>
      <x:c r="D490" s="32"/>
      <x:c r="I490" s="74"/>
      <x:c r="J490" s="74"/>
      <x:c r="K490" s="74"/>
      <x:c r="L490" s="74"/>
      <x:c r="M490" s="74"/>
      <x:c r="N490" s="85"/>
      <x:c r="P490" s="86"/>
      <x:c r="Q490" s="32"/>
    </x:row>
    <x:row r="491">
      <x:c r="A491" s="87"/>
      <x:c r="D491" s="32"/>
      <x:c r="I491" s="74"/>
      <x:c r="J491" s="74"/>
      <x:c r="K491" s="74"/>
      <x:c r="L491" s="74"/>
      <x:c r="M491" s="74"/>
      <x:c r="N491" s="85"/>
      <x:c r="P491" s="86"/>
      <x:c r="Q491" s="32"/>
    </x:row>
    <x:row r="492">
      <x:c r="A492" s="87"/>
      <x:c r="D492" s="32"/>
      <x:c r="I492" s="74"/>
      <x:c r="J492" s="74"/>
      <x:c r="K492" s="74"/>
      <x:c r="L492" s="74"/>
      <x:c r="M492" s="74"/>
      <x:c r="N492" s="85"/>
      <x:c r="P492" s="86"/>
      <x:c r="Q492" s="32"/>
    </x:row>
    <x:row r="493">
      <x:c r="A493" s="87"/>
      <x:c r="D493" s="32"/>
      <x:c r="I493" s="74"/>
      <x:c r="J493" s="74"/>
      <x:c r="K493" s="74"/>
      <x:c r="L493" s="74"/>
      <x:c r="M493" s="74"/>
      <x:c r="N493" s="85"/>
      <x:c r="P493" s="86"/>
      <x:c r="Q493" s="32"/>
    </x:row>
    <x:row r="494">
      <x:c r="A494" s="87"/>
      <x:c r="D494" s="32"/>
      <x:c r="I494" s="74"/>
      <x:c r="J494" s="74"/>
      <x:c r="K494" s="74"/>
      <x:c r="L494" s="74"/>
      <x:c r="M494" s="74"/>
      <x:c r="N494" s="85"/>
      <x:c r="P494" s="86"/>
      <x:c r="Q494" s="32"/>
    </x:row>
    <x:row r="495">
      <x:c r="A495" s="87"/>
      <x:c r="D495" s="32"/>
      <x:c r="I495" s="74"/>
      <x:c r="J495" s="74"/>
      <x:c r="K495" s="74"/>
      <x:c r="L495" s="74"/>
      <x:c r="M495" s="74"/>
      <x:c r="N495" s="85"/>
      <x:c r="P495" s="86"/>
      <x:c r="Q495" s="32"/>
    </x:row>
    <x:row r="496">
      <x:c r="A496" s="87"/>
      <x:c r="D496" s="32"/>
      <x:c r="I496" s="74"/>
      <x:c r="J496" s="74"/>
      <x:c r="K496" s="74"/>
      <x:c r="L496" s="74"/>
      <x:c r="M496" s="74"/>
      <x:c r="N496" s="85"/>
      <x:c r="P496" s="86"/>
      <x:c r="Q496" s="32"/>
    </x:row>
    <x:row r="497">
      <x:c r="A497" s="87"/>
      <x:c r="D497" s="32"/>
      <x:c r="I497" s="74"/>
      <x:c r="J497" s="74"/>
      <x:c r="K497" s="74"/>
      <x:c r="L497" s="74"/>
      <x:c r="M497" s="74"/>
      <x:c r="N497" s="85"/>
      <x:c r="P497" s="86"/>
      <x:c r="Q497" s="32"/>
    </x:row>
    <x:row r="498">
      <x:c r="A498" s="87"/>
      <x:c r="D498" s="32"/>
      <x:c r="I498" s="74"/>
      <x:c r="J498" s="74"/>
      <x:c r="K498" s="74"/>
      <x:c r="L498" s="74"/>
      <x:c r="M498" s="74"/>
      <x:c r="N498" s="85"/>
      <x:c r="P498" s="86"/>
      <x:c r="Q498" s="32"/>
    </x:row>
    <x:row r="499">
      <x:c r="A499" s="87"/>
      <x:c r="D499" s="32"/>
      <x:c r="I499" s="74"/>
      <x:c r="J499" s="74"/>
      <x:c r="K499" s="74"/>
      <x:c r="L499" s="74"/>
      <x:c r="M499" s="74"/>
      <x:c r="N499" s="85"/>
      <x:c r="P499" s="86"/>
      <x:c r="Q499" s="32"/>
    </x:row>
    <x:row r="500">
      <x:c r="A500" s="87"/>
      <x:c r="D500" s="32"/>
      <x:c r="I500" s="74"/>
      <x:c r="J500" s="74"/>
      <x:c r="K500" s="74"/>
      <x:c r="L500" s="74"/>
      <x:c r="M500" s="74"/>
      <x:c r="N500" s="85"/>
      <x:c r="P500" s="86"/>
      <x:c r="Q500" s="32"/>
    </x:row>
    <x:row r="501">
      <x:c r="A501" s="87"/>
      <x:c r="D501" s="32"/>
      <x:c r="I501" s="74"/>
      <x:c r="J501" s="74"/>
      <x:c r="K501" s="74"/>
      <x:c r="L501" s="74"/>
      <x:c r="M501" s="74"/>
      <x:c r="N501" s="85"/>
      <x:c r="P501" s="86"/>
      <x:c r="Q501" s="32"/>
    </x:row>
    <x:row r="502">
      <x:c r="A502" s="87"/>
      <x:c r="D502" s="32"/>
      <x:c r="I502" s="74"/>
      <x:c r="J502" s="74"/>
      <x:c r="K502" s="74"/>
      <x:c r="L502" s="74"/>
      <x:c r="M502" s="74"/>
      <x:c r="N502" s="85"/>
      <x:c r="P502" s="86"/>
      <x:c r="Q502" s="32"/>
    </x:row>
    <x:row r="503">
      <x:c r="A503" s="87"/>
      <x:c r="D503" s="32"/>
      <x:c r="I503" s="74"/>
      <x:c r="J503" s="74"/>
      <x:c r="K503" s="74"/>
      <x:c r="L503" s="74"/>
      <x:c r="M503" s="74"/>
      <x:c r="N503" s="85"/>
      <x:c r="P503" s="86"/>
      <x:c r="Q503" s="32"/>
    </x:row>
    <x:row r="504">
      <x:c r="A504" s="87"/>
      <x:c r="D504" s="32"/>
      <x:c r="I504" s="74"/>
      <x:c r="J504" s="74"/>
      <x:c r="K504" s="74"/>
      <x:c r="L504" s="74"/>
      <x:c r="M504" s="74"/>
      <x:c r="N504" s="85"/>
      <x:c r="P504" s="86"/>
      <x:c r="Q504" s="32"/>
    </x:row>
    <x:row r="505">
      <x:c r="A505" s="87"/>
      <x:c r="D505" s="32"/>
      <x:c r="I505" s="74"/>
      <x:c r="J505" s="74"/>
      <x:c r="K505" s="74"/>
      <x:c r="L505" s="74"/>
      <x:c r="M505" s="74"/>
      <x:c r="N505" s="85"/>
      <x:c r="P505" s="86"/>
      <x:c r="Q505" s="32"/>
    </x:row>
    <x:row r="506">
      <x:c r="A506" s="87"/>
      <x:c r="D506" s="32"/>
      <x:c r="I506" s="74"/>
      <x:c r="J506" s="74"/>
      <x:c r="K506" s="74"/>
      <x:c r="L506" s="74"/>
      <x:c r="M506" s="74"/>
      <x:c r="N506" s="85"/>
      <x:c r="P506" s="86"/>
      <x:c r="Q506" s="32"/>
    </x:row>
    <x:row r="507">
      <x:c r="A507" s="87"/>
      <x:c r="D507" s="32"/>
      <x:c r="I507" s="74"/>
      <x:c r="J507" s="74"/>
      <x:c r="K507" s="74"/>
      <x:c r="L507" s="74"/>
      <x:c r="M507" s="74"/>
      <x:c r="N507" s="85"/>
      <x:c r="P507" s="86"/>
      <x:c r="Q507" s="32"/>
    </x:row>
    <x:row r="508">
      <x:c r="A508" s="87"/>
      <x:c r="D508" s="32"/>
      <x:c r="I508" s="74"/>
      <x:c r="J508" s="74"/>
      <x:c r="K508" s="74"/>
      <x:c r="L508" s="74"/>
      <x:c r="M508" s="74"/>
      <x:c r="N508" s="85"/>
      <x:c r="P508" s="86"/>
      <x:c r="Q508" s="32"/>
    </x:row>
    <x:row r="509">
      <x:c r="A509" s="87"/>
      <x:c r="D509" s="32"/>
      <x:c r="I509" s="74"/>
      <x:c r="J509" s="74"/>
      <x:c r="K509" s="74"/>
      <x:c r="L509" s="74"/>
      <x:c r="M509" s="74"/>
      <x:c r="N509" s="85"/>
      <x:c r="P509" s="86"/>
      <x:c r="Q509" s="32"/>
    </x:row>
    <x:row r="510">
      <x:c r="A510" s="87"/>
      <x:c r="D510" s="32"/>
      <x:c r="I510" s="74"/>
      <x:c r="J510" s="74"/>
      <x:c r="K510" s="74"/>
      <x:c r="L510" s="74"/>
      <x:c r="M510" s="74"/>
      <x:c r="N510" s="85"/>
      <x:c r="P510" s="86"/>
      <x:c r="Q510" s="32"/>
    </x:row>
    <x:row r="511">
      <x:c r="A511" s="87"/>
      <x:c r="D511" s="32"/>
      <x:c r="I511" s="74"/>
      <x:c r="J511" s="74"/>
      <x:c r="K511" s="74"/>
      <x:c r="L511" s="74"/>
      <x:c r="M511" s="74"/>
      <x:c r="N511" s="85"/>
      <x:c r="P511" s="86"/>
      <x:c r="Q511" s="32"/>
    </x:row>
    <x:row r="512">
      <x:c r="A512" s="87"/>
      <x:c r="D512" s="32"/>
      <x:c r="I512" s="74"/>
      <x:c r="J512" s="74"/>
      <x:c r="K512" s="74"/>
      <x:c r="L512" s="74"/>
      <x:c r="M512" s="74"/>
      <x:c r="N512" s="85"/>
      <x:c r="P512" s="86"/>
      <x:c r="Q512" s="32"/>
    </x:row>
    <x:row r="513">
      <x:c r="A513" s="87"/>
      <x:c r="D513" s="32"/>
      <x:c r="I513" s="74"/>
      <x:c r="J513" s="74"/>
      <x:c r="K513" s="74"/>
      <x:c r="L513" s="74"/>
      <x:c r="M513" s="74"/>
      <x:c r="N513" s="85"/>
      <x:c r="P513" s="86"/>
      <x:c r="Q513" s="32"/>
    </x:row>
    <x:row r="514">
      <x:c r="A514" s="87"/>
      <x:c r="D514" s="32"/>
      <x:c r="I514" s="74"/>
      <x:c r="J514" s="74"/>
      <x:c r="K514" s="74"/>
      <x:c r="L514" s="74"/>
      <x:c r="M514" s="74"/>
      <x:c r="N514" s="85"/>
      <x:c r="P514" s="86"/>
      <x:c r="Q514" s="32"/>
    </x:row>
    <x:row r="515">
      <x:c r="A515" s="87"/>
      <x:c r="D515" s="32"/>
      <x:c r="I515" s="74"/>
      <x:c r="J515" s="74"/>
      <x:c r="K515" s="74"/>
      <x:c r="L515" s="74"/>
      <x:c r="M515" s="74"/>
      <x:c r="N515" s="85"/>
      <x:c r="P515" s="86"/>
      <x:c r="Q515" s="32"/>
    </x:row>
    <x:row r="516">
      <x:c r="A516" s="87"/>
      <x:c r="D516" s="32"/>
      <x:c r="I516" s="74"/>
      <x:c r="J516" s="74"/>
      <x:c r="K516" s="74"/>
      <x:c r="L516" s="74"/>
      <x:c r="M516" s="74"/>
      <x:c r="N516" s="85"/>
      <x:c r="P516" s="86"/>
      <x:c r="Q516" s="32"/>
    </x:row>
    <x:row r="517">
      <x:c r="A517" s="87"/>
      <x:c r="D517" s="32"/>
      <x:c r="I517" s="74"/>
      <x:c r="J517" s="74"/>
      <x:c r="K517" s="74"/>
      <x:c r="L517" s="74"/>
      <x:c r="M517" s="74"/>
      <x:c r="N517" s="85"/>
      <x:c r="P517" s="86"/>
      <x:c r="Q517" s="32"/>
    </x:row>
    <x:row r="518">
      <x:c r="A518" s="87"/>
      <x:c r="D518" s="32"/>
      <x:c r="I518" s="74"/>
      <x:c r="J518" s="74"/>
      <x:c r="K518" s="74"/>
      <x:c r="L518" s="74"/>
      <x:c r="M518" s="74"/>
      <x:c r="N518" s="85"/>
      <x:c r="P518" s="86"/>
      <x:c r="Q518" s="32"/>
    </x:row>
    <x:row r="519">
      <x:c r="A519" s="87"/>
      <x:c r="D519" s="32"/>
      <x:c r="I519" s="74"/>
      <x:c r="J519" s="74"/>
      <x:c r="K519" s="74"/>
      <x:c r="L519" s="74"/>
      <x:c r="M519" s="74"/>
      <x:c r="N519" s="85"/>
      <x:c r="P519" s="86"/>
      <x:c r="Q519" s="32"/>
    </x:row>
    <x:row r="520">
      <x:c r="A520" s="87"/>
      <x:c r="D520" s="32"/>
      <x:c r="I520" s="74"/>
      <x:c r="J520" s="74"/>
      <x:c r="K520" s="74"/>
      <x:c r="L520" s="74"/>
      <x:c r="M520" s="74"/>
      <x:c r="N520" s="85"/>
      <x:c r="P520" s="86"/>
      <x:c r="Q520" s="32"/>
    </x:row>
    <x:row r="521">
      <x:c r="A521" s="87"/>
      <x:c r="D521" s="32"/>
      <x:c r="I521" s="74"/>
      <x:c r="J521" s="74"/>
      <x:c r="K521" s="74"/>
      <x:c r="L521" s="74"/>
      <x:c r="M521" s="74"/>
      <x:c r="N521" s="85"/>
      <x:c r="P521" s="86"/>
      <x:c r="Q521" s="32"/>
    </x:row>
    <x:row r="522">
      <x:c r="A522" s="87"/>
      <x:c r="D522" s="32"/>
      <x:c r="I522" s="74"/>
      <x:c r="J522" s="74"/>
      <x:c r="K522" s="74"/>
      <x:c r="L522" s="74"/>
      <x:c r="M522" s="74"/>
      <x:c r="N522" s="85"/>
      <x:c r="P522" s="86"/>
      <x:c r="Q522" s="32"/>
    </x:row>
    <x:row r="523">
      <x:c r="A523" s="87"/>
      <x:c r="D523" s="32"/>
      <x:c r="I523" s="74"/>
      <x:c r="J523" s="74"/>
      <x:c r="K523" s="74"/>
      <x:c r="L523" s="74"/>
      <x:c r="M523" s="74"/>
      <x:c r="N523" s="85"/>
      <x:c r="P523" s="86"/>
      <x:c r="Q523" s="32"/>
    </x:row>
    <x:row r="524">
      <x:c r="A524" s="87"/>
      <x:c r="D524" s="32"/>
      <x:c r="I524" s="74"/>
      <x:c r="J524" s="74"/>
      <x:c r="K524" s="74"/>
      <x:c r="L524" s="74"/>
      <x:c r="M524" s="74"/>
      <x:c r="N524" s="85"/>
      <x:c r="P524" s="86"/>
      <x:c r="Q524" s="32"/>
    </x:row>
    <x:row r="525">
      <x:c r="A525" s="87"/>
      <x:c r="D525" s="32"/>
      <x:c r="I525" s="74"/>
      <x:c r="J525" s="74"/>
      <x:c r="K525" s="74"/>
      <x:c r="L525" s="74"/>
      <x:c r="M525" s="74"/>
      <x:c r="N525" s="85"/>
      <x:c r="P525" s="86"/>
      <x:c r="Q525" s="32"/>
    </x:row>
    <x:row r="526">
      <x:c r="A526" s="87"/>
      <x:c r="D526" s="32"/>
      <x:c r="I526" s="74"/>
      <x:c r="J526" s="74"/>
      <x:c r="K526" s="74"/>
      <x:c r="L526" s="74"/>
      <x:c r="M526" s="74"/>
      <x:c r="N526" s="85"/>
      <x:c r="P526" s="86"/>
      <x:c r="Q526" s="32"/>
    </x:row>
    <x:row r="527">
      <x:c r="A527" s="87"/>
      <x:c r="D527" s="32"/>
      <x:c r="I527" s="74"/>
      <x:c r="J527" s="74"/>
      <x:c r="K527" s="74"/>
      <x:c r="L527" s="74"/>
      <x:c r="M527" s="74"/>
      <x:c r="N527" s="85"/>
      <x:c r="P527" s="86"/>
      <x:c r="Q527" s="32"/>
    </x:row>
    <x:row r="528">
      <x:c r="A528" s="87"/>
      <x:c r="D528" s="32"/>
      <x:c r="I528" s="74"/>
      <x:c r="J528" s="74"/>
      <x:c r="K528" s="74"/>
      <x:c r="L528" s="74"/>
      <x:c r="M528" s="74"/>
      <x:c r="N528" s="85"/>
      <x:c r="P528" s="86"/>
      <x:c r="Q528" s="32"/>
    </x:row>
    <x:row r="529">
      <x:c r="A529" s="87"/>
      <x:c r="D529" s="32"/>
      <x:c r="I529" s="74"/>
      <x:c r="J529" s="74"/>
      <x:c r="K529" s="74"/>
      <x:c r="L529" s="74"/>
      <x:c r="M529" s="74"/>
      <x:c r="N529" s="85"/>
      <x:c r="P529" s="86"/>
      <x:c r="Q529" s="32"/>
    </x:row>
    <x:row r="530">
      <x:c r="A530" s="87"/>
      <x:c r="D530" s="32"/>
      <x:c r="I530" s="74"/>
      <x:c r="J530" s="74"/>
      <x:c r="K530" s="74"/>
      <x:c r="L530" s="74"/>
      <x:c r="M530" s="74"/>
      <x:c r="N530" s="85"/>
      <x:c r="P530" s="86"/>
      <x:c r="Q530" s="32"/>
    </x:row>
    <x:row r="531">
      <x:c r="A531" s="87"/>
      <x:c r="D531" s="32"/>
      <x:c r="I531" s="74"/>
      <x:c r="J531" s="74"/>
      <x:c r="K531" s="74"/>
      <x:c r="L531" s="74"/>
      <x:c r="M531" s="74"/>
      <x:c r="N531" s="85"/>
      <x:c r="P531" s="86"/>
      <x:c r="Q531" s="32"/>
    </x:row>
    <x:row r="532">
      <x:c r="A532" s="87"/>
      <x:c r="D532" s="32"/>
      <x:c r="I532" s="74"/>
      <x:c r="J532" s="74"/>
      <x:c r="K532" s="74"/>
      <x:c r="L532" s="74"/>
      <x:c r="M532" s="74"/>
      <x:c r="N532" s="85"/>
      <x:c r="P532" s="86"/>
      <x:c r="Q532" s="32"/>
    </x:row>
    <x:row r="533">
      <x:c r="A533" s="87"/>
      <x:c r="D533" s="32"/>
      <x:c r="I533" s="74"/>
      <x:c r="J533" s="74"/>
      <x:c r="K533" s="74"/>
      <x:c r="L533" s="74"/>
      <x:c r="M533" s="74"/>
      <x:c r="N533" s="85"/>
      <x:c r="P533" s="86"/>
      <x:c r="Q533" s="32"/>
    </x:row>
    <x:row r="534">
      <x:c r="A534" s="87"/>
      <x:c r="D534" s="32"/>
      <x:c r="I534" s="74"/>
      <x:c r="J534" s="74"/>
      <x:c r="K534" s="74"/>
      <x:c r="L534" s="74"/>
      <x:c r="M534" s="74"/>
      <x:c r="N534" s="85"/>
      <x:c r="P534" s="86"/>
      <x:c r="Q534" s="32"/>
    </x:row>
    <x:row r="535">
      <x:c r="A535" s="87"/>
      <x:c r="D535" s="32"/>
      <x:c r="I535" s="74"/>
      <x:c r="J535" s="74"/>
      <x:c r="K535" s="74"/>
      <x:c r="L535" s="74"/>
      <x:c r="M535" s="74"/>
      <x:c r="N535" s="85"/>
      <x:c r="P535" s="86"/>
      <x:c r="Q535" s="32"/>
    </x:row>
    <x:row r="536">
      <x:c r="A536" s="87"/>
      <x:c r="D536" s="32"/>
      <x:c r="I536" s="74"/>
      <x:c r="J536" s="74"/>
      <x:c r="K536" s="74"/>
      <x:c r="L536" s="74"/>
      <x:c r="M536" s="74"/>
      <x:c r="N536" s="85"/>
      <x:c r="P536" s="86"/>
      <x:c r="Q536" s="32"/>
    </x:row>
    <x:row r="537">
      <x:c r="A537" s="87"/>
      <x:c r="D537" s="32"/>
      <x:c r="I537" s="74"/>
      <x:c r="J537" s="74"/>
      <x:c r="K537" s="74"/>
      <x:c r="L537" s="74"/>
      <x:c r="M537" s="74"/>
      <x:c r="N537" s="85"/>
      <x:c r="P537" s="86"/>
      <x:c r="Q537" s="32"/>
    </x:row>
    <x:row r="538">
      <x:c r="A538" s="87"/>
      <x:c r="D538" s="32"/>
      <x:c r="I538" s="74"/>
      <x:c r="J538" s="74"/>
      <x:c r="K538" s="74"/>
      <x:c r="L538" s="74"/>
      <x:c r="M538" s="74"/>
      <x:c r="N538" s="85"/>
      <x:c r="P538" s="86"/>
      <x:c r="Q538" s="32"/>
    </x:row>
    <x:row r="539">
      <x:c r="A539" s="87"/>
      <x:c r="D539" s="32"/>
      <x:c r="I539" s="74"/>
      <x:c r="J539" s="74"/>
      <x:c r="K539" s="74"/>
      <x:c r="L539" s="74"/>
      <x:c r="M539" s="74"/>
      <x:c r="N539" s="85"/>
      <x:c r="P539" s="86"/>
      <x:c r="Q539" s="32"/>
    </x:row>
    <x:row r="540">
      <x:c r="A540" s="87"/>
      <x:c r="D540" s="32"/>
      <x:c r="I540" s="74"/>
      <x:c r="J540" s="74"/>
      <x:c r="K540" s="74"/>
      <x:c r="L540" s="74"/>
      <x:c r="M540" s="74"/>
      <x:c r="N540" s="85"/>
      <x:c r="P540" s="86"/>
      <x:c r="Q540" s="32"/>
    </x:row>
    <x:row r="541">
      <x:c r="A541" s="87"/>
      <x:c r="D541" s="32"/>
      <x:c r="I541" s="74"/>
      <x:c r="J541" s="74"/>
      <x:c r="K541" s="74"/>
      <x:c r="L541" s="74"/>
      <x:c r="M541" s="74"/>
      <x:c r="N541" s="85"/>
      <x:c r="P541" s="86"/>
      <x:c r="Q541" s="32"/>
    </x:row>
    <x:row r="542">
      <x:c r="A542" s="87"/>
      <x:c r="D542" s="32"/>
      <x:c r="I542" s="74"/>
      <x:c r="J542" s="74"/>
      <x:c r="K542" s="74"/>
      <x:c r="L542" s="74"/>
      <x:c r="M542" s="74"/>
      <x:c r="N542" s="85"/>
      <x:c r="P542" s="86"/>
      <x:c r="Q542" s="32"/>
    </x:row>
    <x:row r="543">
      <x:c r="A543" s="87"/>
      <x:c r="D543" s="32"/>
      <x:c r="I543" s="74"/>
      <x:c r="J543" s="74"/>
      <x:c r="K543" s="74"/>
      <x:c r="L543" s="74"/>
      <x:c r="M543" s="74"/>
      <x:c r="N543" s="85"/>
      <x:c r="P543" s="86"/>
      <x:c r="Q543" s="32"/>
    </x:row>
    <x:row r="544">
      <x:c r="A544" s="87"/>
      <x:c r="D544" s="32"/>
      <x:c r="I544" s="74"/>
      <x:c r="J544" s="74"/>
      <x:c r="K544" s="74"/>
      <x:c r="L544" s="74"/>
      <x:c r="M544" s="74"/>
      <x:c r="N544" s="85"/>
      <x:c r="P544" s="86"/>
      <x:c r="Q544" s="32"/>
    </x:row>
    <x:row r="545">
      <x:c r="A545" s="87"/>
      <x:c r="D545" s="32"/>
      <x:c r="I545" s="74"/>
      <x:c r="J545" s="74"/>
      <x:c r="K545" s="74"/>
      <x:c r="L545" s="74"/>
      <x:c r="M545" s="74"/>
      <x:c r="N545" s="85"/>
      <x:c r="P545" s="86"/>
      <x:c r="Q545" s="32"/>
    </x:row>
    <x:row r="546">
      <x:c r="A546" s="87"/>
      <x:c r="D546" s="32"/>
      <x:c r="I546" s="74"/>
      <x:c r="J546" s="74"/>
      <x:c r="K546" s="74"/>
      <x:c r="L546" s="74"/>
      <x:c r="M546" s="74"/>
      <x:c r="N546" s="85"/>
      <x:c r="P546" s="86"/>
      <x:c r="Q546" s="32"/>
    </x:row>
    <x:row r="547">
      <x:c r="A547" s="87"/>
      <x:c r="D547" s="32"/>
      <x:c r="I547" s="74"/>
      <x:c r="J547" s="74"/>
      <x:c r="K547" s="74"/>
      <x:c r="L547" s="74"/>
      <x:c r="M547" s="74"/>
      <x:c r="N547" s="85"/>
      <x:c r="P547" s="86"/>
      <x:c r="Q547" s="32"/>
    </x:row>
    <x:row r="548">
      <x:c r="A548" s="87"/>
      <x:c r="D548" s="32"/>
      <x:c r="I548" s="74"/>
      <x:c r="J548" s="74"/>
      <x:c r="K548" s="74"/>
      <x:c r="L548" s="74"/>
      <x:c r="M548" s="74"/>
      <x:c r="N548" s="85"/>
      <x:c r="P548" s="86"/>
      <x:c r="Q548" s="32"/>
    </x:row>
    <x:row r="549">
      <x:c r="A549" s="87"/>
      <x:c r="D549" s="32"/>
      <x:c r="I549" s="74"/>
      <x:c r="J549" s="74"/>
      <x:c r="K549" s="74"/>
      <x:c r="L549" s="74"/>
      <x:c r="M549" s="74"/>
      <x:c r="N549" s="85"/>
      <x:c r="P549" s="86"/>
      <x:c r="Q549" s="32"/>
    </x:row>
    <x:row r="550">
      <x:c r="A550" s="87"/>
      <x:c r="D550" s="32"/>
      <x:c r="I550" s="74"/>
      <x:c r="J550" s="74"/>
      <x:c r="K550" s="74"/>
      <x:c r="L550" s="74"/>
      <x:c r="M550" s="74"/>
      <x:c r="N550" s="85"/>
      <x:c r="P550" s="86"/>
      <x:c r="Q550" s="32"/>
    </x:row>
    <x:row r="551">
      <x:c r="A551" s="87"/>
      <x:c r="D551" s="32"/>
      <x:c r="I551" s="74"/>
      <x:c r="J551" s="74"/>
      <x:c r="K551" s="74"/>
      <x:c r="L551" s="74"/>
      <x:c r="M551" s="74"/>
      <x:c r="N551" s="85"/>
      <x:c r="P551" s="86"/>
      <x:c r="Q551" s="32"/>
    </x:row>
    <x:row r="552">
      <x:c r="A552" s="87"/>
      <x:c r="D552" s="32"/>
      <x:c r="I552" s="74"/>
      <x:c r="J552" s="74"/>
      <x:c r="K552" s="74"/>
      <x:c r="L552" s="74"/>
      <x:c r="M552" s="74"/>
      <x:c r="N552" s="85"/>
      <x:c r="P552" s="86"/>
      <x:c r="Q552" s="32"/>
    </x:row>
    <x:row r="553">
      <x:c r="A553" s="87"/>
      <x:c r="D553" s="32"/>
      <x:c r="I553" s="74"/>
      <x:c r="J553" s="74"/>
      <x:c r="K553" s="74"/>
      <x:c r="L553" s="74"/>
      <x:c r="M553" s="74"/>
      <x:c r="N553" s="85"/>
      <x:c r="P553" s="86"/>
      <x:c r="Q553" s="32"/>
    </x:row>
    <x:row r="554">
      <x:c r="A554" s="87"/>
      <x:c r="D554" s="32"/>
      <x:c r="I554" s="74"/>
      <x:c r="J554" s="74"/>
      <x:c r="K554" s="74"/>
      <x:c r="L554" s="74"/>
      <x:c r="M554" s="74"/>
      <x:c r="N554" s="85"/>
      <x:c r="P554" s="86"/>
      <x:c r="Q554" s="32"/>
    </x:row>
    <x:row r="555">
      <x:c r="A555" s="87"/>
      <x:c r="D555" s="32"/>
      <x:c r="I555" s="74"/>
      <x:c r="J555" s="74"/>
      <x:c r="K555" s="74"/>
      <x:c r="L555" s="74"/>
      <x:c r="M555" s="74"/>
      <x:c r="N555" s="85"/>
      <x:c r="P555" s="86"/>
      <x:c r="Q555" s="32"/>
    </x:row>
    <x:row r="556">
      <x:c r="A556" s="87"/>
      <x:c r="D556" s="32"/>
      <x:c r="I556" s="74"/>
      <x:c r="J556" s="74"/>
      <x:c r="K556" s="74"/>
      <x:c r="L556" s="74"/>
      <x:c r="M556" s="74"/>
      <x:c r="N556" s="85"/>
      <x:c r="P556" s="86"/>
      <x:c r="Q556" s="32"/>
    </x:row>
    <x:row r="557">
      <x:c r="A557" s="87"/>
      <x:c r="D557" s="32"/>
      <x:c r="I557" s="74"/>
      <x:c r="J557" s="74"/>
      <x:c r="K557" s="74"/>
      <x:c r="L557" s="74"/>
      <x:c r="M557" s="74"/>
      <x:c r="N557" s="85"/>
      <x:c r="P557" s="86"/>
      <x:c r="Q557" s="32"/>
    </x:row>
    <x:row r="558">
      <x:c r="A558" s="87"/>
      <x:c r="D558" s="32"/>
      <x:c r="I558" s="74"/>
      <x:c r="J558" s="74"/>
      <x:c r="K558" s="74"/>
      <x:c r="L558" s="74"/>
      <x:c r="M558" s="74"/>
      <x:c r="N558" s="85"/>
      <x:c r="P558" s="86"/>
      <x:c r="Q558" s="32"/>
    </x:row>
    <x:row r="559">
      <x:c r="A559" s="87"/>
      <x:c r="D559" s="32"/>
      <x:c r="I559" s="74"/>
      <x:c r="J559" s="74"/>
      <x:c r="K559" s="74"/>
      <x:c r="L559" s="74"/>
      <x:c r="M559" s="74"/>
      <x:c r="N559" s="85"/>
      <x:c r="P559" s="86"/>
      <x:c r="Q559" s="32"/>
    </x:row>
    <x:row r="560">
      <x:c r="A560" s="87"/>
      <x:c r="D560" s="32"/>
      <x:c r="I560" s="74"/>
      <x:c r="J560" s="74"/>
      <x:c r="K560" s="74"/>
      <x:c r="L560" s="74"/>
      <x:c r="M560" s="74"/>
      <x:c r="N560" s="85"/>
      <x:c r="P560" s="86"/>
      <x:c r="Q560" s="32"/>
    </x:row>
    <x:row r="561">
      <x:c r="A561" s="87"/>
      <x:c r="D561" s="32"/>
      <x:c r="I561" s="74"/>
      <x:c r="J561" s="74"/>
      <x:c r="K561" s="74"/>
      <x:c r="L561" s="74"/>
      <x:c r="M561" s="74"/>
      <x:c r="N561" s="85"/>
      <x:c r="P561" s="86"/>
      <x:c r="Q561" s="32"/>
    </x:row>
    <x:row r="562">
      <x:c r="A562" s="87"/>
      <x:c r="D562" s="32"/>
      <x:c r="I562" s="74"/>
      <x:c r="J562" s="74"/>
      <x:c r="K562" s="74"/>
      <x:c r="L562" s="74"/>
      <x:c r="M562" s="74"/>
      <x:c r="N562" s="85"/>
      <x:c r="P562" s="86"/>
      <x:c r="Q562" s="32"/>
    </x:row>
    <x:row r="563">
      <x:c r="A563" s="87"/>
      <x:c r="D563" s="32"/>
      <x:c r="I563" s="74"/>
      <x:c r="J563" s="74"/>
      <x:c r="K563" s="74"/>
      <x:c r="L563" s="74"/>
      <x:c r="M563" s="74"/>
      <x:c r="N563" s="85"/>
      <x:c r="P563" s="86"/>
      <x:c r="Q563" s="32"/>
    </x:row>
    <x:row r="564">
      <x:c r="A564" s="87"/>
      <x:c r="D564" s="32"/>
      <x:c r="I564" s="74"/>
      <x:c r="J564" s="74"/>
      <x:c r="K564" s="74"/>
      <x:c r="L564" s="74"/>
      <x:c r="M564" s="74"/>
      <x:c r="N564" s="85"/>
      <x:c r="P564" s="86"/>
      <x:c r="Q564" s="32"/>
    </x:row>
    <x:row r="565">
      <x:c r="A565" s="87"/>
      <x:c r="D565" s="32"/>
      <x:c r="I565" s="74"/>
      <x:c r="J565" s="74"/>
      <x:c r="K565" s="74"/>
      <x:c r="L565" s="74"/>
      <x:c r="M565" s="74"/>
      <x:c r="N565" s="85"/>
      <x:c r="P565" s="86"/>
      <x:c r="Q565" s="32"/>
    </x:row>
    <x:row r="566">
      <x:c r="A566" s="87"/>
      <x:c r="D566" s="32"/>
      <x:c r="I566" s="74"/>
      <x:c r="J566" s="74"/>
      <x:c r="K566" s="74"/>
      <x:c r="L566" s="74"/>
      <x:c r="M566" s="74"/>
      <x:c r="N566" s="85"/>
      <x:c r="P566" s="86"/>
      <x:c r="Q566" s="32"/>
    </x:row>
    <x:row r="567">
      <x:c r="A567" s="87"/>
      <x:c r="D567" s="32"/>
      <x:c r="I567" s="74"/>
      <x:c r="J567" s="74"/>
      <x:c r="K567" s="74"/>
      <x:c r="L567" s="74"/>
      <x:c r="M567" s="74"/>
      <x:c r="N567" s="85"/>
      <x:c r="P567" s="86"/>
      <x:c r="Q567" s="32"/>
    </x:row>
    <x:row r="568">
      <x:c r="A568" s="87"/>
      <x:c r="D568" s="32"/>
      <x:c r="I568" s="74"/>
      <x:c r="J568" s="74"/>
      <x:c r="K568" s="74"/>
      <x:c r="L568" s="74"/>
      <x:c r="M568" s="74"/>
      <x:c r="N568" s="85"/>
      <x:c r="P568" s="86"/>
      <x:c r="Q568" s="32"/>
    </x:row>
    <x:row r="569">
      <x:c r="A569" s="87"/>
      <x:c r="D569" s="32"/>
      <x:c r="I569" s="74"/>
      <x:c r="J569" s="74"/>
      <x:c r="K569" s="74"/>
      <x:c r="L569" s="74"/>
      <x:c r="M569" s="74"/>
      <x:c r="N569" s="85"/>
      <x:c r="P569" s="86"/>
      <x:c r="Q569" s="32"/>
    </x:row>
    <x:row r="570">
      <x:c r="A570" s="87"/>
      <x:c r="D570" s="32"/>
      <x:c r="I570" s="74"/>
      <x:c r="J570" s="74"/>
      <x:c r="K570" s="74"/>
      <x:c r="L570" s="74"/>
      <x:c r="M570" s="74"/>
      <x:c r="N570" s="85"/>
      <x:c r="P570" s="86"/>
      <x:c r="Q570" s="32"/>
    </x:row>
    <x:row r="571">
      <x:c r="A571" s="87"/>
      <x:c r="D571" s="32"/>
      <x:c r="I571" s="74"/>
      <x:c r="J571" s="74"/>
      <x:c r="K571" s="74"/>
      <x:c r="L571" s="74"/>
      <x:c r="M571" s="74"/>
      <x:c r="N571" s="85"/>
      <x:c r="P571" s="86"/>
      <x:c r="Q571" s="32"/>
    </x:row>
    <x:row r="572">
      <x:c r="A572" s="87"/>
      <x:c r="D572" s="32"/>
      <x:c r="I572" s="74"/>
      <x:c r="J572" s="74"/>
      <x:c r="K572" s="74"/>
      <x:c r="L572" s="74"/>
      <x:c r="M572" s="74"/>
      <x:c r="N572" s="85"/>
      <x:c r="P572" s="86"/>
      <x:c r="Q572" s="32"/>
    </x:row>
    <x:row r="573">
      <x:c r="A573" s="87"/>
      <x:c r="D573" s="32"/>
      <x:c r="I573" s="74"/>
      <x:c r="J573" s="74"/>
      <x:c r="K573" s="74"/>
      <x:c r="L573" s="74"/>
      <x:c r="M573" s="74"/>
      <x:c r="N573" s="85"/>
      <x:c r="P573" s="86"/>
      <x:c r="Q573" s="32"/>
    </x:row>
    <x:row r="574">
      <x:c r="A574" s="87"/>
      <x:c r="D574" s="32"/>
      <x:c r="I574" s="74"/>
      <x:c r="J574" s="74"/>
      <x:c r="K574" s="74"/>
      <x:c r="L574" s="74"/>
      <x:c r="M574" s="74"/>
      <x:c r="N574" s="85"/>
      <x:c r="P574" s="86"/>
      <x:c r="Q574" s="32"/>
    </x:row>
    <x:row r="575">
      <x:c r="A575" s="87"/>
      <x:c r="D575" s="32"/>
      <x:c r="I575" s="74"/>
      <x:c r="J575" s="74"/>
      <x:c r="K575" s="74"/>
      <x:c r="L575" s="74"/>
      <x:c r="M575" s="74"/>
      <x:c r="N575" s="85"/>
      <x:c r="P575" s="86"/>
      <x:c r="Q575" s="32"/>
    </x:row>
    <x:row r="576">
      <x:c r="A576" s="87"/>
      <x:c r="D576" s="32"/>
      <x:c r="I576" s="74"/>
      <x:c r="J576" s="74"/>
      <x:c r="K576" s="74"/>
      <x:c r="L576" s="74"/>
      <x:c r="M576" s="74"/>
      <x:c r="N576" s="85"/>
      <x:c r="P576" s="86"/>
      <x:c r="Q576" s="32"/>
    </x:row>
    <x:row r="577">
      <x:c r="A577" s="87"/>
      <x:c r="D577" s="32"/>
      <x:c r="I577" s="74"/>
      <x:c r="J577" s="74"/>
      <x:c r="K577" s="74"/>
      <x:c r="L577" s="74"/>
      <x:c r="M577" s="74"/>
      <x:c r="N577" s="85"/>
      <x:c r="P577" s="86"/>
      <x:c r="Q577" s="32"/>
    </x:row>
    <x:row r="578">
      <x:c r="A578" s="87"/>
      <x:c r="D578" s="32"/>
      <x:c r="I578" s="74"/>
      <x:c r="J578" s="74"/>
      <x:c r="K578" s="74"/>
      <x:c r="L578" s="74"/>
      <x:c r="M578" s="74"/>
      <x:c r="N578" s="85"/>
      <x:c r="P578" s="86"/>
      <x:c r="Q578" s="32"/>
    </x:row>
    <x:row r="579">
      <x:c r="A579" s="87"/>
      <x:c r="D579" s="32"/>
      <x:c r="I579" s="74"/>
      <x:c r="J579" s="74"/>
      <x:c r="K579" s="74"/>
      <x:c r="L579" s="74"/>
      <x:c r="M579" s="74"/>
      <x:c r="N579" s="85"/>
      <x:c r="P579" s="86"/>
      <x:c r="Q579" s="32"/>
    </x:row>
    <x:row r="580">
      <x:c r="A580" s="87"/>
      <x:c r="D580" s="32"/>
      <x:c r="I580" s="74"/>
      <x:c r="J580" s="74"/>
      <x:c r="K580" s="74"/>
      <x:c r="L580" s="74"/>
      <x:c r="M580" s="74"/>
      <x:c r="N580" s="85"/>
      <x:c r="P580" s="86"/>
      <x:c r="Q580" s="32"/>
    </x:row>
    <x:row r="581">
      <x:c r="A581" s="87"/>
      <x:c r="D581" s="32"/>
      <x:c r="I581" s="74"/>
      <x:c r="J581" s="74"/>
      <x:c r="K581" s="74"/>
      <x:c r="L581" s="74"/>
      <x:c r="M581" s="74"/>
      <x:c r="N581" s="85"/>
      <x:c r="P581" s="86"/>
      <x:c r="Q581" s="32"/>
    </x:row>
    <x:row r="582">
      <x:c r="A582" s="87"/>
      <x:c r="D582" s="32"/>
      <x:c r="I582" s="74"/>
      <x:c r="J582" s="74"/>
      <x:c r="K582" s="74"/>
      <x:c r="L582" s="74"/>
      <x:c r="M582" s="74"/>
      <x:c r="N582" s="85"/>
      <x:c r="P582" s="86"/>
      <x:c r="Q582" s="32"/>
    </x:row>
    <x:row r="583">
      <x:c r="A583" s="87"/>
      <x:c r="D583" s="32"/>
      <x:c r="I583" s="74"/>
      <x:c r="J583" s="74"/>
      <x:c r="K583" s="74"/>
      <x:c r="L583" s="74"/>
      <x:c r="M583" s="74"/>
      <x:c r="N583" s="85"/>
      <x:c r="P583" s="86"/>
      <x:c r="Q583" s="32"/>
    </x:row>
    <x:row r="584">
      <x:c r="A584" s="87"/>
      <x:c r="D584" s="32"/>
      <x:c r="I584" s="74"/>
      <x:c r="J584" s="74"/>
      <x:c r="K584" s="74"/>
      <x:c r="L584" s="74"/>
      <x:c r="M584" s="74"/>
      <x:c r="N584" s="85"/>
      <x:c r="P584" s="86"/>
      <x:c r="Q584" s="32"/>
    </x:row>
    <x:row r="585">
      <x:c r="A585" s="87"/>
      <x:c r="D585" s="32"/>
      <x:c r="I585" s="74"/>
      <x:c r="J585" s="74"/>
      <x:c r="K585" s="74"/>
      <x:c r="L585" s="74"/>
      <x:c r="M585" s="74"/>
      <x:c r="N585" s="85"/>
      <x:c r="P585" s="86"/>
      <x:c r="Q585" s="32"/>
    </x:row>
    <x:row r="586">
      <x:c r="A586" s="87"/>
      <x:c r="D586" s="32"/>
      <x:c r="I586" s="74"/>
      <x:c r="J586" s="74"/>
      <x:c r="K586" s="74"/>
      <x:c r="L586" s="74"/>
      <x:c r="M586" s="74"/>
      <x:c r="N586" s="85"/>
      <x:c r="P586" s="86"/>
      <x:c r="Q586" s="32"/>
    </x:row>
    <x:row r="587">
      <x:c r="A587" s="87"/>
      <x:c r="D587" s="32"/>
      <x:c r="I587" s="74"/>
      <x:c r="J587" s="74"/>
      <x:c r="K587" s="74"/>
      <x:c r="L587" s="74"/>
      <x:c r="M587" s="74"/>
      <x:c r="N587" s="85"/>
      <x:c r="P587" s="86"/>
      <x:c r="Q587" s="32"/>
    </x:row>
    <x:row r="588">
      <x:c r="A588" s="87"/>
      <x:c r="D588" s="32"/>
      <x:c r="I588" s="74"/>
      <x:c r="J588" s="74"/>
      <x:c r="K588" s="74"/>
      <x:c r="L588" s="74"/>
      <x:c r="M588" s="74"/>
      <x:c r="N588" s="85"/>
      <x:c r="P588" s="86"/>
      <x:c r="Q588" s="32"/>
    </x:row>
    <x:row r="589">
      <x:c r="A589" s="87"/>
      <x:c r="D589" s="32"/>
      <x:c r="I589" s="74"/>
      <x:c r="J589" s="74"/>
      <x:c r="K589" s="74"/>
      <x:c r="L589" s="74"/>
      <x:c r="M589" s="74"/>
      <x:c r="N589" s="85"/>
      <x:c r="P589" s="86"/>
      <x:c r="Q589" s="32"/>
    </x:row>
    <x:row r="590">
      <x:c r="A590" s="87"/>
      <x:c r="D590" s="32"/>
      <x:c r="I590" s="74"/>
      <x:c r="J590" s="74"/>
      <x:c r="K590" s="74"/>
      <x:c r="L590" s="74"/>
      <x:c r="M590" s="74"/>
      <x:c r="N590" s="85"/>
      <x:c r="P590" s="86"/>
      <x:c r="Q590" s="32"/>
    </x:row>
    <x:row r="591">
      <x:c r="A591" s="87"/>
      <x:c r="D591" s="32"/>
      <x:c r="I591" s="74"/>
      <x:c r="J591" s="74"/>
      <x:c r="K591" s="74"/>
      <x:c r="L591" s="74"/>
      <x:c r="M591" s="74"/>
      <x:c r="N591" s="85"/>
      <x:c r="P591" s="86"/>
      <x:c r="Q591" s="32"/>
    </x:row>
    <x:row r="592">
      <x:c r="A592" s="87"/>
      <x:c r="D592" s="32"/>
      <x:c r="I592" s="74"/>
      <x:c r="J592" s="74"/>
      <x:c r="K592" s="74"/>
      <x:c r="L592" s="74"/>
      <x:c r="M592" s="74"/>
      <x:c r="N592" s="85"/>
      <x:c r="P592" s="86"/>
      <x:c r="Q592" s="32"/>
    </x:row>
    <x:row r="593">
      <x:c r="A593" s="87"/>
      <x:c r="D593" s="32"/>
      <x:c r="I593" s="74"/>
      <x:c r="J593" s="74"/>
      <x:c r="K593" s="74"/>
      <x:c r="L593" s="74"/>
      <x:c r="M593" s="74"/>
      <x:c r="N593" s="85"/>
      <x:c r="P593" s="86"/>
      <x:c r="Q593" s="32"/>
    </x:row>
    <x:row r="594">
      <x:c r="A594" s="87"/>
      <x:c r="D594" s="32"/>
      <x:c r="I594" s="74"/>
      <x:c r="J594" s="74"/>
      <x:c r="K594" s="74"/>
      <x:c r="L594" s="74"/>
      <x:c r="M594" s="74"/>
      <x:c r="N594" s="85"/>
      <x:c r="P594" s="86"/>
      <x:c r="Q594" s="32"/>
    </x:row>
    <x:row r="595">
      <x:c r="A595" s="87"/>
      <x:c r="D595" s="32"/>
      <x:c r="I595" s="74"/>
      <x:c r="J595" s="74"/>
      <x:c r="K595" s="74"/>
      <x:c r="L595" s="74"/>
      <x:c r="M595" s="74"/>
      <x:c r="N595" s="85"/>
      <x:c r="P595" s="86"/>
      <x:c r="Q595" s="32"/>
    </x:row>
    <x:row r="596">
      <x:c r="A596" s="87"/>
      <x:c r="D596" s="32"/>
      <x:c r="I596" s="74"/>
      <x:c r="J596" s="74"/>
      <x:c r="K596" s="74"/>
      <x:c r="L596" s="74"/>
      <x:c r="M596" s="74"/>
      <x:c r="N596" s="85"/>
      <x:c r="P596" s="86"/>
      <x:c r="Q596" s="32"/>
    </x:row>
    <x:row r="597">
      <x:c r="A597" s="87"/>
      <x:c r="D597" s="32"/>
      <x:c r="I597" s="74"/>
      <x:c r="J597" s="74"/>
      <x:c r="K597" s="74"/>
      <x:c r="L597" s="74"/>
      <x:c r="M597" s="74"/>
      <x:c r="N597" s="85"/>
      <x:c r="P597" s="86"/>
      <x:c r="Q597" s="32"/>
    </x:row>
    <x:row r="598">
      <x:c r="A598" s="87"/>
      <x:c r="D598" s="32"/>
      <x:c r="I598" s="74"/>
      <x:c r="J598" s="74"/>
      <x:c r="K598" s="74"/>
      <x:c r="L598" s="74"/>
      <x:c r="M598" s="74"/>
      <x:c r="N598" s="85"/>
      <x:c r="P598" s="86"/>
      <x:c r="Q598" s="32"/>
    </x:row>
    <x:row r="599">
      <x:c r="A599" s="87"/>
      <x:c r="D599" s="32"/>
      <x:c r="I599" s="74"/>
      <x:c r="J599" s="74"/>
      <x:c r="K599" s="74"/>
      <x:c r="L599" s="74"/>
      <x:c r="M599" s="74"/>
      <x:c r="N599" s="85"/>
      <x:c r="P599" s="86"/>
      <x:c r="Q599" s="32"/>
    </x:row>
    <x:row r="600">
      <x:c r="A600" s="87"/>
      <x:c r="D600" s="32"/>
      <x:c r="I600" s="74"/>
      <x:c r="J600" s="74"/>
      <x:c r="K600" s="74"/>
      <x:c r="L600" s="74"/>
      <x:c r="M600" s="74"/>
      <x:c r="N600" s="85"/>
      <x:c r="P600" s="86"/>
      <x:c r="Q600" s="32"/>
    </x:row>
    <x:row r="601">
      <x:c r="A601" s="87"/>
      <x:c r="D601" s="32"/>
      <x:c r="I601" s="74"/>
      <x:c r="J601" s="74"/>
      <x:c r="K601" s="74"/>
      <x:c r="L601" s="74"/>
      <x:c r="M601" s="74"/>
      <x:c r="N601" s="85"/>
      <x:c r="P601" s="86"/>
      <x:c r="Q601" s="32"/>
    </x:row>
    <x:row r="602">
      <x:c r="A602" s="87"/>
      <x:c r="D602" s="32"/>
      <x:c r="I602" s="74"/>
      <x:c r="J602" s="74"/>
      <x:c r="K602" s="74"/>
      <x:c r="L602" s="74"/>
      <x:c r="M602" s="74"/>
      <x:c r="N602" s="85"/>
      <x:c r="P602" s="86"/>
      <x:c r="Q602" s="32"/>
    </x:row>
    <x:row r="603">
      <x:c r="A603" s="87"/>
      <x:c r="D603" s="32"/>
      <x:c r="I603" s="74"/>
      <x:c r="J603" s="74"/>
      <x:c r="K603" s="74"/>
      <x:c r="L603" s="74"/>
      <x:c r="M603" s="74"/>
      <x:c r="N603" s="85"/>
      <x:c r="P603" s="86"/>
      <x:c r="Q603" s="32"/>
    </x:row>
    <x:row r="604">
      <x:c r="A604" s="87"/>
      <x:c r="D604" s="32"/>
      <x:c r="I604" s="74"/>
      <x:c r="J604" s="74"/>
      <x:c r="K604" s="74"/>
      <x:c r="L604" s="74"/>
      <x:c r="M604" s="74"/>
      <x:c r="N604" s="85"/>
      <x:c r="P604" s="86"/>
      <x:c r="Q604" s="32"/>
    </x:row>
    <x:row r="605">
      <x:c r="A605" s="87"/>
      <x:c r="D605" s="32"/>
      <x:c r="I605" s="74"/>
      <x:c r="J605" s="74"/>
      <x:c r="K605" s="74"/>
      <x:c r="L605" s="74"/>
      <x:c r="M605" s="74"/>
      <x:c r="N605" s="85"/>
      <x:c r="P605" s="86"/>
      <x:c r="Q605" s="32"/>
    </x:row>
    <x:row r="606">
      <x:c r="A606" s="87"/>
      <x:c r="D606" s="32"/>
      <x:c r="I606" s="74"/>
      <x:c r="J606" s="74"/>
      <x:c r="K606" s="74"/>
      <x:c r="L606" s="74"/>
      <x:c r="M606" s="74"/>
      <x:c r="N606" s="85"/>
      <x:c r="P606" s="86"/>
      <x:c r="Q606" s="32"/>
    </x:row>
    <x:row r="607">
      <x:c r="A607" s="87"/>
      <x:c r="D607" s="32"/>
      <x:c r="I607" s="74"/>
      <x:c r="J607" s="74"/>
      <x:c r="K607" s="74"/>
      <x:c r="L607" s="74"/>
      <x:c r="M607" s="74"/>
      <x:c r="N607" s="85"/>
      <x:c r="P607" s="86"/>
      <x:c r="Q607" s="32"/>
    </x:row>
    <x:row r="608">
      <x:c r="A608" s="87"/>
      <x:c r="D608" s="32"/>
      <x:c r="I608" s="74"/>
      <x:c r="J608" s="74"/>
      <x:c r="K608" s="74"/>
      <x:c r="L608" s="74"/>
      <x:c r="M608" s="74"/>
      <x:c r="N608" s="85"/>
      <x:c r="P608" s="86"/>
      <x:c r="Q608" s="32"/>
    </x:row>
    <x:row r="609">
      <x:c r="A609" s="87"/>
      <x:c r="D609" s="32"/>
      <x:c r="I609" s="74"/>
      <x:c r="J609" s="74"/>
      <x:c r="K609" s="74"/>
      <x:c r="L609" s="74"/>
      <x:c r="M609" s="74"/>
      <x:c r="N609" s="85"/>
      <x:c r="P609" s="86"/>
      <x:c r="Q609" s="32"/>
    </x:row>
    <x:row r="610">
      <x:c r="A610" s="87"/>
      <x:c r="D610" s="32"/>
      <x:c r="I610" s="74"/>
      <x:c r="J610" s="74"/>
      <x:c r="K610" s="74"/>
      <x:c r="L610" s="74"/>
      <x:c r="M610" s="74"/>
      <x:c r="N610" s="85"/>
      <x:c r="P610" s="86"/>
      <x:c r="Q610" s="32"/>
    </x:row>
    <x:row r="611">
      <x:c r="A611" s="87"/>
      <x:c r="D611" s="32"/>
      <x:c r="I611" s="74"/>
      <x:c r="J611" s="74"/>
      <x:c r="K611" s="74"/>
      <x:c r="L611" s="74"/>
      <x:c r="M611" s="74"/>
      <x:c r="N611" s="85"/>
      <x:c r="P611" s="86"/>
      <x:c r="Q611" s="32"/>
    </x:row>
    <x:row r="612">
      <x:c r="A612" s="87"/>
      <x:c r="D612" s="32"/>
      <x:c r="I612" s="74"/>
      <x:c r="J612" s="74"/>
      <x:c r="K612" s="74"/>
      <x:c r="L612" s="74"/>
      <x:c r="M612" s="74"/>
      <x:c r="N612" s="85"/>
      <x:c r="P612" s="86"/>
      <x:c r="Q612" s="32"/>
    </x:row>
    <x:row r="613">
      <x:c r="A613" s="87"/>
      <x:c r="D613" s="32"/>
      <x:c r="I613" s="74"/>
      <x:c r="J613" s="74"/>
      <x:c r="K613" s="74"/>
      <x:c r="L613" s="74"/>
      <x:c r="M613" s="74"/>
      <x:c r="N613" s="85"/>
      <x:c r="P613" s="86"/>
      <x:c r="Q613" s="32"/>
    </x:row>
    <x:row r="614">
      <x:c r="A614" s="87"/>
      <x:c r="D614" s="32"/>
      <x:c r="I614" s="74"/>
      <x:c r="J614" s="74"/>
      <x:c r="K614" s="74"/>
      <x:c r="L614" s="74"/>
      <x:c r="M614" s="74"/>
      <x:c r="N614" s="85"/>
      <x:c r="P614" s="86"/>
      <x:c r="Q614" s="32"/>
    </x:row>
    <x:row r="615">
      <x:c r="A615" s="87"/>
      <x:c r="D615" s="32"/>
      <x:c r="I615" s="74"/>
      <x:c r="J615" s="74"/>
      <x:c r="K615" s="74"/>
      <x:c r="L615" s="74"/>
      <x:c r="M615" s="74"/>
      <x:c r="N615" s="85"/>
      <x:c r="P615" s="86"/>
      <x:c r="Q615" s="32"/>
    </x:row>
    <x:row r="616">
      <x:c r="A616" s="87"/>
      <x:c r="D616" s="32"/>
      <x:c r="I616" s="74"/>
      <x:c r="J616" s="74"/>
      <x:c r="K616" s="74"/>
      <x:c r="L616" s="74"/>
      <x:c r="M616" s="74"/>
      <x:c r="N616" s="85"/>
      <x:c r="P616" s="86"/>
      <x:c r="Q616" s="32"/>
    </x:row>
    <x:row r="617">
      <x:c r="A617" s="87"/>
      <x:c r="D617" s="32"/>
      <x:c r="I617" s="74"/>
      <x:c r="J617" s="74"/>
      <x:c r="K617" s="74"/>
      <x:c r="L617" s="74"/>
      <x:c r="M617" s="74"/>
      <x:c r="N617" s="85"/>
      <x:c r="P617" s="86"/>
      <x:c r="Q617" s="32"/>
    </x:row>
    <x:row r="618">
      <x:c r="A618" s="87"/>
      <x:c r="D618" s="32"/>
      <x:c r="I618" s="74"/>
      <x:c r="J618" s="74"/>
      <x:c r="K618" s="74"/>
      <x:c r="L618" s="74"/>
      <x:c r="M618" s="74"/>
      <x:c r="N618" s="85"/>
      <x:c r="P618" s="86"/>
      <x:c r="Q618" s="32"/>
    </x:row>
    <x:row r="619">
      <x:c r="A619" s="87"/>
      <x:c r="D619" s="32"/>
      <x:c r="I619" s="74"/>
      <x:c r="J619" s="74"/>
      <x:c r="K619" s="74"/>
      <x:c r="L619" s="74"/>
      <x:c r="M619" s="74"/>
      <x:c r="N619" s="85"/>
      <x:c r="P619" s="86"/>
      <x:c r="Q619" s="32"/>
    </x:row>
    <x:row r="620">
      <x:c r="A620" s="87"/>
      <x:c r="D620" s="32"/>
      <x:c r="I620" s="74"/>
      <x:c r="J620" s="74"/>
      <x:c r="K620" s="74"/>
      <x:c r="L620" s="74"/>
      <x:c r="M620" s="74"/>
      <x:c r="N620" s="85"/>
      <x:c r="P620" s="86"/>
      <x:c r="Q620" s="32"/>
    </x:row>
    <x:row r="621">
      <x:c r="A621" s="87"/>
      <x:c r="D621" s="32"/>
      <x:c r="I621" s="74"/>
      <x:c r="J621" s="74"/>
      <x:c r="K621" s="74"/>
      <x:c r="L621" s="74"/>
      <x:c r="M621" s="74"/>
      <x:c r="N621" s="85"/>
      <x:c r="P621" s="86"/>
      <x:c r="Q621" s="32"/>
    </x:row>
    <x:row r="622">
      <x:c r="A622" s="87"/>
      <x:c r="D622" s="32"/>
      <x:c r="I622" s="74"/>
      <x:c r="J622" s="74"/>
      <x:c r="K622" s="74"/>
      <x:c r="L622" s="74"/>
      <x:c r="M622" s="74"/>
      <x:c r="N622" s="85"/>
      <x:c r="P622" s="86"/>
      <x:c r="Q622" s="32"/>
    </x:row>
    <x:row r="623">
      <x:c r="A623" s="87"/>
      <x:c r="D623" s="32"/>
      <x:c r="I623" s="74"/>
      <x:c r="J623" s="74"/>
      <x:c r="K623" s="74"/>
      <x:c r="L623" s="74"/>
      <x:c r="M623" s="74"/>
      <x:c r="N623" s="85"/>
      <x:c r="P623" s="86"/>
      <x:c r="Q623" s="32"/>
    </x:row>
    <x:row r="624">
      <x:c r="A624" s="87"/>
      <x:c r="D624" s="32"/>
      <x:c r="I624" s="74"/>
      <x:c r="J624" s="74"/>
      <x:c r="K624" s="74"/>
      <x:c r="L624" s="74"/>
      <x:c r="M624" s="74"/>
      <x:c r="N624" s="85"/>
      <x:c r="P624" s="86"/>
      <x:c r="Q624" s="32"/>
    </x:row>
    <x:row r="625">
      <x:c r="A625" s="87"/>
      <x:c r="D625" s="32"/>
      <x:c r="I625" s="74"/>
      <x:c r="J625" s="74"/>
      <x:c r="K625" s="74"/>
      <x:c r="L625" s="74"/>
      <x:c r="M625" s="74"/>
      <x:c r="N625" s="85"/>
      <x:c r="P625" s="86"/>
      <x:c r="Q625" s="32"/>
    </x:row>
    <x:row r="626">
      <x:c r="A626" s="87"/>
      <x:c r="D626" s="32"/>
      <x:c r="I626" s="74"/>
      <x:c r="J626" s="74"/>
      <x:c r="K626" s="74"/>
      <x:c r="L626" s="74"/>
      <x:c r="M626" s="74"/>
      <x:c r="N626" s="85"/>
      <x:c r="P626" s="86"/>
      <x:c r="Q626" s="32"/>
    </x:row>
    <x:row r="627">
      <x:c r="A627" s="87"/>
      <x:c r="D627" s="32"/>
      <x:c r="I627" s="74"/>
      <x:c r="J627" s="74"/>
      <x:c r="K627" s="74"/>
      <x:c r="L627" s="74"/>
      <x:c r="M627" s="74"/>
      <x:c r="N627" s="85"/>
      <x:c r="P627" s="86"/>
      <x:c r="Q627" s="32"/>
    </x:row>
    <x:row r="628">
      <x:c r="A628" s="87"/>
      <x:c r="D628" s="32"/>
      <x:c r="I628" s="74"/>
      <x:c r="J628" s="74"/>
      <x:c r="K628" s="74"/>
      <x:c r="L628" s="74"/>
      <x:c r="M628" s="74"/>
      <x:c r="N628" s="85"/>
      <x:c r="P628" s="86"/>
      <x:c r="Q628" s="32"/>
    </x:row>
    <x:row r="629">
      <x:c r="A629" s="87"/>
      <x:c r="D629" s="32"/>
      <x:c r="I629" s="74"/>
      <x:c r="J629" s="74"/>
      <x:c r="K629" s="74"/>
      <x:c r="L629" s="74"/>
      <x:c r="M629" s="74"/>
      <x:c r="N629" s="85"/>
      <x:c r="P629" s="86"/>
      <x:c r="Q629" s="32"/>
    </x:row>
    <x:row r="630">
      <x:c r="A630" s="87"/>
      <x:c r="D630" s="32"/>
      <x:c r="I630" s="74"/>
      <x:c r="J630" s="74"/>
      <x:c r="K630" s="74"/>
      <x:c r="L630" s="74"/>
      <x:c r="M630" s="74"/>
      <x:c r="N630" s="85"/>
      <x:c r="P630" s="86"/>
      <x:c r="Q630" s="32"/>
    </x:row>
    <x:row r="631">
      <x:c r="A631" s="87"/>
      <x:c r="D631" s="32"/>
      <x:c r="I631" s="74"/>
      <x:c r="J631" s="74"/>
      <x:c r="K631" s="74"/>
      <x:c r="L631" s="74"/>
      <x:c r="M631" s="74"/>
      <x:c r="N631" s="85"/>
      <x:c r="P631" s="86"/>
      <x:c r="Q631" s="32"/>
    </x:row>
    <x:row r="632">
      <x:c r="A632" s="87"/>
      <x:c r="D632" s="32"/>
      <x:c r="I632" s="74"/>
      <x:c r="J632" s="74"/>
      <x:c r="K632" s="74"/>
      <x:c r="L632" s="74"/>
      <x:c r="M632" s="74"/>
      <x:c r="N632" s="85"/>
      <x:c r="P632" s="86"/>
      <x:c r="Q632" s="32"/>
    </x:row>
    <x:row r="633">
      <x:c r="A633" s="87"/>
      <x:c r="D633" s="32"/>
      <x:c r="I633" s="74"/>
      <x:c r="J633" s="74"/>
      <x:c r="K633" s="74"/>
      <x:c r="L633" s="74"/>
      <x:c r="M633" s="74"/>
      <x:c r="N633" s="85"/>
      <x:c r="P633" s="86"/>
      <x:c r="Q633" s="32"/>
    </x:row>
    <x:row r="634">
      <x:c r="A634" s="87"/>
      <x:c r="D634" s="32"/>
      <x:c r="I634" s="74"/>
      <x:c r="J634" s="74"/>
      <x:c r="K634" s="74"/>
      <x:c r="L634" s="74"/>
      <x:c r="M634" s="74"/>
      <x:c r="N634" s="85"/>
      <x:c r="P634" s="86"/>
      <x:c r="Q634" s="32"/>
    </x:row>
    <x:row r="635">
      <x:c r="A635" s="87"/>
      <x:c r="D635" s="32"/>
      <x:c r="I635" s="74"/>
      <x:c r="J635" s="74"/>
      <x:c r="K635" s="74"/>
      <x:c r="L635" s="74"/>
      <x:c r="M635" s="74"/>
      <x:c r="N635" s="85"/>
      <x:c r="P635" s="86"/>
      <x:c r="Q635" s="32"/>
    </x:row>
    <x:row r="636">
      <x:c r="A636" s="87"/>
      <x:c r="D636" s="32"/>
      <x:c r="I636" s="74"/>
      <x:c r="J636" s="74"/>
      <x:c r="K636" s="74"/>
      <x:c r="L636" s="74"/>
      <x:c r="M636" s="74"/>
      <x:c r="N636" s="85"/>
      <x:c r="P636" s="86"/>
      <x:c r="Q636" s="32"/>
    </x:row>
    <x:row r="637">
      <x:c r="A637" s="87"/>
      <x:c r="D637" s="32"/>
      <x:c r="I637" s="74"/>
      <x:c r="J637" s="74"/>
      <x:c r="K637" s="74"/>
      <x:c r="L637" s="74"/>
      <x:c r="M637" s="74"/>
      <x:c r="N637" s="85"/>
      <x:c r="P637" s="86"/>
      <x:c r="Q637" s="32"/>
    </x:row>
    <x:row r="638">
      <x:c r="A638" s="87"/>
      <x:c r="D638" s="32"/>
      <x:c r="I638" s="74"/>
      <x:c r="J638" s="74"/>
      <x:c r="K638" s="74"/>
      <x:c r="L638" s="74"/>
      <x:c r="M638" s="74"/>
      <x:c r="N638" s="85"/>
      <x:c r="P638" s="86"/>
      <x:c r="Q638" s="32"/>
    </x:row>
    <x:row r="639">
      <x:c r="A639" s="87"/>
      <x:c r="D639" s="32"/>
      <x:c r="I639" s="74"/>
      <x:c r="J639" s="74"/>
      <x:c r="K639" s="74"/>
      <x:c r="L639" s="74"/>
      <x:c r="M639" s="74"/>
      <x:c r="N639" s="85"/>
      <x:c r="P639" s="86"/>
      <x:c r="Q639" s="32"/>
    </x:row>
    <x:row r="640">
      <x:c r="A640" s="87"/>
      <x:c r="D640" s="32"/>
      <x:c r="I640" s="74"/>
      <x:c r="J640" s="74"/>
      <x:c r="K640" s="74"/>
      <x:c r="L640" s="74"/>
      <x:c r="M640" s="74"/>
      <x:c r="N640" s="85"/>
      <x:c r="P640" s="86"/>
      <x:c r="Q640" s="32"/>
    </x:row>
    <x:row r="641">
      <x:c r="A641" s="87"/>
      <x:c r="D641" s="32"/>
      <x:c r="I641" s="74"/>
      <x:c r="J641" s="74"/>
      <x:c r="K641" s="74"/>
      <x:c r="L641" s="74"/>
      <x:c r="M641" s="74"/>
      <x:c r="N641" s="85"/>
      <x:c r="P641" s="86"/>
      <x:c r="Q641" s="32"/>
    </x:row>
    <x:row r="642">
      <x:c r="A642" s="87"/>
      <x:c r="D642" s="32"/>
      <x:c r="I642" s="74"/>
      <x:c r="J642" s="74"/>
      <x:c r="K642" s="74"/>
      <x:c r="L642" s="74"/>
      <x:c r="M642" s="74"/>
      <x:c r="N642" s="85"/>
      <x:c r="P642" s="86"/>
      <x:c r="Q642" s="32"/>
    </x:row>
    <x:row r="643">
      <x:c r="A643" s="87"/>
      <x:c r="D643" s="32"/>
      <x:c r="I643" s="74"/>
      <x:c r="J643" s="74"/>
      <x:c r="K643" s="74"/>
      <x:c r="L643" s="74"/>
      <x:c r="M643" s="74"/>
      <x:c r="N643" s="85"/>
      <x:c r="P643" s="86"/>
      <x:c r="Q643" s="32"/>
    </x:row>
    <x:row r="644">
      <x:c r="A644" s="87"/>
      <x:c r="D644" s="32"/>
      <x:c r="I644" s="74"/>
      <x:c r="J644" s="74"/>
      <x:c r="K644" s="74"/>
      <x:c r="L644" s="74"/>
      <x:c r="M644" s="74"/>
      <x:c r="N644" s="85"/>
      <x:c r="P644" s="86"/>
      <x:c r="Q644" s="32"/>
    </x:row>
    <x:row r="645">
      <x:c r="A645" s="87"/>
      <x:c r="D645" s="32"/>
      <x:c r="I645" s="74"/>
      <x:c r="J645" s="74"/>
      <x:c r="K645" s="74"/>
      <x:c r="L645" s="74"/>
      <x:c r="M645" s="74"/>
      <x:c r="N645" s="85"/>
      <x:c r="P645" s="86"/>
      <x:c r="Q645" s="32"/>
    </x:row>
    <x:row r="646">
      <x:c r="A646" s="87"/>
      <x:c r="D646" s="32"/>
      <x:c r="I646" s="74"/>
      <x:c r="J646" s="74"/>
      <x:c r="K646" s="74"/>
      <x:c r="L646" s="74"/>
      <x:c r="M646" s="74"/>
      <x:c r="N646" s="85"/>
      <x:c r="P646" s="86"/>
      <x:c r="Q646" s="32"/>
    </x:row>
    <x:row r="647">
      <x:c r="A647" s="87"/>
      <x:c r="D647" s="32"/>
      <x:c r="I647" s="74"/>
      <x:c r="J647" s="74"/>
      <x:c r="K647" s="74"/>
      <x:c r="L647" s="74"/>
      <x:c r="M647" s="74"/>
      <x:c r="N647" s="85"/>
      <x:c r="P647" s="86"/>
      <x:c r="Q647" s="32"/>
    </x:row>
    <x:row r="648">
      <x:c r="A648" s="87"/>
      <x:c r="D648" s="32"/>
      <x:c r="I648" s="74"/>
      <x:c r="J648" s="74"/>
      <x:c r="K648" s="74"/>
      <x:c r="L648" s="74"/>
      <x:c r="M648" s="74"/>
      <x:c r="N648" s="85"/>
      <x:c r="P648" s="86"/>
      <x:c r="Q648" s="32"/>
    </x:row>
    <x:row r="649">
      <x:c r="A649" s="87"/>
      <x:c r="D649" s="32"/>
      <x:c r="I649" s="74"/>
      <x:c r="J649" s="74"/>
      <x:c r="K649" s="74"/>
      <x:c r="L649" s="74"/>
      <x:c r="M649" s="74"/>
      <x:c r="N649" s="85"/>
      <x:c r="P649" s="86"/>
      <x:c r="Q649" s="32"/>
    </x:row>
    <x:row r="650">
      <x:c r="A650" s="87"/>
      <x:c r="D650" s="32"/>
      <x:c r="I650" s="74"/>
      <x:c r="J650" s="74"/>
      <x:c r="K650" s="74"/>
      <x:c r="L650" s="74"/>
      <x:c r="M650" s="74"/>
      <x:c r="N650" s="85"/>
      <x:c r="P650" s="86"/>
      <x:c r="Q650" s="32"/>
    </x:row>
    <x:row r="651">
      <x:c r="A651" s="87"/>
      <x:c r="D651" s="32"/>
      <x:c r="I651" s="74"/>
      <x:c r="J651" s="74"/>
      <x:c r="K651" s="74"/>
      <x:c r="L651" s="74"/>
      <x:c r="M651" s="74"/>
      <x:c r="N651" s="85"/>
      <x:c r="P651" s="86"/>
      <x:c r="Q651" s="32"/>
    </x:row>
    <x:row r="652">
      <x:c r="A652" s="87"/>
      <x:c r="D652" s="32"/>
      <x:c r="I652" s="74"/>
      <x:c r="J652" s="74"/>
      <x:c r="K652" s="74"/>
      <x:c r="L652" s="74"/>
      <x:c r="M652" s="74"/>
      <x:c r="N652" s="85"/>
      <x:c r="P652" s="86"/>
      <x:c r="Q652" s="32"/>
    </x:row>
    <x:row r="653">
      <x:c r="A653" s="87"/>
      <x:c r="D653" s="32"/>
      <x:c r="I653" s="74"/>
      <x:c r="J653" s="74"/>
      <x:c r="K653" s="74"/>
      <x:c r="L653" s="74"/>
      <x:c r="M653" s="74"/>
      <x:c r="N653" s="85"/>
      <x:c r="P653" s="86"/>
      <x:c r="Q653" s="32"/>
    </x:row>
    <x:row r="654">
      <x:c r="A654" s="87"/>
      <x:c r="D654" s="32"/>
      <x:c r="I654" s="74"/>
      <x:c r="J654" s="74"/>
      <x:c r="K654" s="74"/>
      <x:c r="L654" s="74"/>
      <x:c r="M654" s="74"/>
      <x:c r="N654" s="85"/>
      <x:c r="P654" s="86"/>
      <x:c r="Q654" s="32"/>
    </x:row>
    <x:row r="655">
      <x:c r="A655" s="87"/>
      <x:c r="D655" s="32"/>
      <x:c r="I655" s="74"/>
      <x:c r="J655" s="74"/>
      <x:c r="K655" s="74"/>
      <x:c r="L655" s="74"/>
      <x:c r="M655" s="74"/>
      <x:c r="N655" s="85"/>
      <x:c r="P655" s="86"/>
      <x:c r="Q655" s="32"/>
    </x:row>
    <x:row r="656">
      <x:c r="A656" s="87"/>
      <x:c r="D656" s="32"/>
      <x:c r="I656" s="74"/>
      <x:c r="J656" s="74"/>
      <x:c r="K656" s="74"/>
      <x:c r="L656" s="74"/>
      <x:c r="M656" s="74"/>
      <x:c r="N656" s="85"/>
      <x:c r="P656" s="86"/>
      <x:c r="Q656" s="32"/>
    </x:row>
    <x:row r="657">
      <x:c r="A657" s="87"/>
      <x:c r="D657" s="32"/>
      <x:c r="I657" s="74"/>
      <x:c r="J657" s="74"/>
      <x:c r="K657" s="74"/>
      <x:c r="L657" s="74"/>
      <x:c r="M657" s="74"/>
      <x:c r="N657" s="85"/>
      <x:c r="P657" s="86"/>
      <x:c r="Q657" s="32"/>
    </x:row>
    <x:row r="658">
      <x:c r="A658" s="87"/>
      <x:c r="D658" s="32"/>
      <x:c r="I658" s="74"/>
      <x:c r="J658" s="74"/>
      <x:c r="K658" s="74"/>
      <x:c r="L658" s="74"/>
      <x:c r="M658" s="74"/>
      <x:c r="N658" s="85"/>
      <x:c r="P658" s="86"/>
      <x:c r="Q658" s="32"/>
    </x:row>
    <x:row r="659">
      <x:c r="A659" s="87"/>
      <x:c r="D659" s="32"/>
      <x:c r="I659" s="74"/>
      <x:c r="J659" s="74"/>
      <x:c r="K659" s="74"/>
      <x:c r="L659" s="74"/>
      <x:c r="M659" s="74"/>
      <x:c r="N659" s="85"/>
      <x:c r="P659" s="86"/>
      <x:c r="Q659" s="32"/>
    </x:row>
    <x:row r="660">
      <x:c r="A660" s="87"/>
      <x:c r="D660" s="32"/>
      <x:c r="I660" s="74"/>
      <x:c r="J660" s="74"/>
      <x:c r="K660" s="74"/>
      <x:c r="L660" s="74"/>
      <x:c r="M660" s="74"/>
      <x:c r="N660" s="85"/>
      <x:c r="P660" s="86"/>
      <x:c r="Q660" s="32"/>
    </x:row>
    <x:row r="661">
      <x:c r="A661" s="87"/>
      <x:c r="D661" s="32"/>
      <x:c r="I661" s="74"/>
      <x:c r="J661" s="74"/>
      <x:c r="K661" s="74"/>
      <x:c r="L661" s="74"/>
      <x:c r="M661" s="74"/>
      <x:c r="N661" s="85"/>
      <x:c r="P661" s="86"/>
      <x:c r="Q661" s="32"/>
    </x:row>
    <x:row r="662">
      <x:c r="A662" s="87"/>
      <x:c r="D662" s="32"/>
      <x:c r="I662" s="74"/>
      <x:c r="J662" s="74"/>
      <x:c r="K662" s="74"/>
      <x:c r="L662" s="74"/>
      <x:c r="M662" s="74"/>
      <x:c r="N662" s="85"/>
      <x:c r="P662" s="86"/>
      <x:c r="Q662" s="32"/>
    </x:row>
    <x:row r="663">
      <x:c r="A663" s="87"/>
      <x:c r="D663" s="32"/>
      <x:c r="I663" s="74"/>
      <x:c r="J663" s="74"/>
      <x:c r="K663" s="74"/>
      <x:c r="L663" s="74"/>
      <x:c r="M663" s="74"/>
      <x:c r="N663" s="85"/>
      <x:c r="P663" s="86"/>
      <x:c r="Q663" s="32"/>
    </x:row>
    <x:row r="664">
      <x:c r="A664" s="87"/>
      <x:c r="D664" s="32"/>
      <x:c r="I664" s="74"/>
      <x:c r="J664" s="74"/>
      <x:c r="K664" s="74"/>
      <x:c r="L664" s="74"/>
      <x:c r="M664" s="74"/>
      <x:c r="N664" s="85"/>
      <x:c r="P664" s="86"/>
      <x:c r="Q664" s="32"/>
    </x:row>
    <x:row r="665">
      <x:c r="A665" s="87"/>
      <x:c r="D665" s="32"/>
      <x:c r="I665" s="74"/>
      <x:c r="J665" s="74"/>
      <x:c r="K665" s="74"/>
      <x:c r="L665" s="74"/>
      <x:c r="M665" s="74"/>
      <x:c r="N665" s="85"/>
      <x:c r="P665" s="86"/>
      <x:c r="Q665" s="32"/>
    </x:row>
    <x:row r="666">
      <x:c r="A666" s="87"/>
      <x:c r="D666" s="32"/>
      <x:c r="I666" s="74"/>
      <x:c r="J666" s="74"/>
      <x:c r="K666" s="74"/>
      <x:c r="L666" s="74"/>
      <x:c r="M666" s="74"/>
      <x:c r="N666" s="85"/>
      <x:c r="P666" s="86"/>
      <x:c r="Q666" s="32"/>
    </x:row>
    <x:row r="667">
      <x:c r="A667" s="87"/>
      <x:c r="D667" s="32"/>
      <x:c r="I667" s="74"/>
      <x:c r="J667" s="74"/>
      <x:c r="K667" s="74"/>
      <x:c r="L667" s="74"/>
      <x:c r="M667" s="74"/>
      <x:c r="N667" s="85"/>
      <x:c r="P667" s="86"/>
      <x:c r="Q667" s="32"/>
    </x:row>
    <x:row r="668">
      <x:c r="A668" s="87"/>
      <x:c r="D668" s="32"/>
      <x:c r="I668" s="74"/>
      <x:c r="J668" s="74"/>
      <x:c r="K668" s="74"/>
      <x:c r="L668" s="74"/>
      <x:c r="M668" s="74"/>
      <x:c r="N668" s="85"/>
      <x:c r="P668" s="86"/>
      <x:c r="Q668" s="32"/>
    </x:row>
    <x:row r="669">
      <x:c r="A669" s="87"/>
      <x:c r="D669" s="32"/>
      <x:c r="I669" s="74"/>
      <x:c r="J669" s="74"/>
      <x:c r="K669" s="74"/>
      <x:c r="L669" s="74"/>
      <x:c r="M669" s="74"/>
      <x:c r="N669" s="85"/>
      <x:c r="P669" s="86"/>
      <x:c r="Q669" s="32"/>
    </x:row>
    <x:row r="670">
      <x:c r="A670" s="87"/>
      <x:c r="D670" s="32"/>
      <x:c r="I670" s="74"/>
      <x:c r="J670" s="74"/>
      <x:c r="K670" s="74"/>
      <x:c r="L670" s="74"/>
      <x:c r="M670" s="74"/>
      <x:c r="N670" s="85"/>
      <x:c r="P670" s="86"/>
      <x:c r="Q670" s="32"/>
    </x:row>
    <x:row r="671">
      <x:c r="A671" s="87"/>
      <x:c r="D671" s="32"/>
      <x:c r="I671" s="74"/>
      <x:c r="J671" s="74"/>
      <x:c r="K671" s="74"/>
      <x:c r="L671" s="74"/>
      <x:c r="M671" s="74"/>
      <x:c r="N671" s="85"/>
      <x:c r="P671" s="86"/>
      <x:c r="Q671" s="32"/>
    </x:row>
    <x:row r="672">
      <x:c r="A672" s="87"/>
      <x:c r="D672" s="32"/>
      <x:c r="I672" s="74"/>
      <x:c r="J672" s="74"/>
      <x:c r="K672" s="74"/>
      <x:c r="L672" s="74"/>
      <x:c r="M672" s="74"/>
      <x:c r="N672" s="85"/>
      <x:c r="P672" s="86"/>
      <x:c r="Q672" s="32"/>
    </x:row>
    <x:row r="673">
      <x:c r="A673" s="87"/>
      <x:c r="D673" s="32"/>
      <x:c r="I673" s="74"/>
      <x:c r="J673" s="74"/>
      <x:c r="K673" s="74"/>
      <x:c r="L673" s="74"/>
      <x:c r="M673" s="74"/>
      <x:c r="N673" s="85"/>
      <x:c r="P673" s="86"/>
      <x:c r="Q673" s="32"/>
    </x:row>
    <x:row r="674">
      <x:c r="A674" s="87"/>
      <x:c r="D674" s="32"/>
      <x:c r="I674" s="74"/>
      <x:c r="J674" s="74"/>
      <x:c r="K674" s="74"/>
      <x:c r="L674" s="74"/>
      <x:c r="M674" s="74"/>
      <x:c r="N674" s="85"/>
      <x:c r="P674" s="86"/>
      <x:c r="Q674" s="32"/>
    </x:row>
    <x:row r="675">
      <x:c r="A675" s="87"/>
      <x:c r="D675" s="32"/>
      <x:c r="I675" s="74"/>
      <x:c r="J675" s="74"/>
      <x:c r="K675" s="74"/>
      <x:c r="L675" s="74"/>
      <x:c r="M675" s="74"/>
      <x:c r="N675" s="85"/>
      <x:c r="P675" s="86"/>
      <x:c r="Q675" s="32"/>
    </x:row>
    <x:row r="676">
      <x:c r="A676" s="87"/>
      <x:c r="D676" s="32"/>
      <x:c r="I676" s="74"/>
      <x:c r="J676" s="74"/>
      <x:c r="K676" s="74"/>
      <x:c r="L676" s="74"/>
      <x:c r="M676" s="74"/>
      <x:c r="N676" s="85"/>
      <x:c r="P676" s="86"/>
      <x:c r="Q676" s="32"/>
    </x:row>
    <x:row r="677">
      <x:c r="A677" s="87"/>
      <x:c r="D677" s="32"/>
      <x:c r="I677" s="74"/>
      <x:c r="J677" s="74"/>
      <x:c r="K677" s="74"/>
      <x:c r="L677" s="74"/>
      <x:c r="M677" s="74"/>
      <x:c r="N677" s="85"/>
      <x:c r="P677" s="86"/>
      <x:c r="Q677" s="32"/>
    </x:row>
    <x:row r="678">
      <x:c r="A678" s="87"/>
      <x:c r="D678" s="32"/>
      <x:c r="I678" s="74"/>
      <x:c r="J678" s="74"/>
      <x:c r="K678" s="74"/>
      <x:c r="L678" s="74"/>
      <x:c r="M678" s="74"/>
      <x:c r="N678" s="85"/>
      <x:c r="P678" s="86"/>
      <x:c r="Q678" s="32"/>
    </x:row>
    <x:row r="679">
      <x:c r="A679" s="87"/>
      <x:c r="D679" s="32"/>
      <x:c r="I679" s="74"/>
      <x:c r="J679" s="74"/>
      <x:c r="K679" s="74"/>
      <x:c r="L679" s="74"/>
      <x:c r="M679" s="74"/>
      <x:c r="N679" s="85"/>
      <x:c r="P679" s="86"/>
      <x:c r="Q679" s="32"/>
    </x:row>
    <x:row r="680">
      <x:c r="A680" s="87"/>
      <x:c r="D680" s="32"/>
      <x:c r="I680" s="74"/>
      <x:c r="J680" s="74"/>
      <x:c r="K680" s="74"/>
      <x:c r="L680" s="74"/>
      <x:c r="M680" s="74"/>
      <x:c r="N680" s="85"/>
      <x:c r="P680" s="86"/>
      <x:c r="Q680" s="32"/>
    </x:row>
    <x:row r="681">
      <x:c r="A681" s="87"/>
      <x:c r="D681" s="32"/>
      <x:c r="I681" s="74"/>
      <x:c r="J681" s="74"/>
      <x:c r="K681" s="74"/>
      <x:c r="L681" s="74"/>
      <x:c r="M681" s="74"/>
      <x:c r="N681" s="85"/>
      <x:c r="P681" s="86"/>
      <x:c r="Q681" s="32"/>
    </x:row>
    <x:row r="682">
      <x:c r="A682" s="87"/>
      <x:c r="D682" s="32"/>
      <x:c r="I682" s="74"/>
      <x:c r="J682" s="74"/>
      <x:c r="K682" s="74"/>
      <x:c r="L682" s="74"/>
      <x:c r="M682" s="74"/>
      <x:c r="N682" s="85"/>
      <x:c r="P682" s="86"/>
      <x:c r="Q682" s="32"/>
    </x:row>
    <x:row r="683">
      <x:c r="A683" s="87"/>
      <x:c r="D683" s="32"/>
      <x:c r="I683" s="74"/>
      <x:c r="J683" s="74"/>
      <x:c r="K683" s="74"/>
      <x:c r="L683" s="74"/>
      <x:c r="M683" s="74"/>
      <x:c r="N683" s="85"/>
      <x:c r="P683" s="86"/>
      <x:c r="Q683" s="32"/>
    </x:row>
    <x:row r="684">
      <x:c r="A684" s="87"/>
      <x:c r="D684" s="32"/>
      <x:c r="I684" s="74"/>
      <x:c r="J684" s="74"/>
      <x:c r="K684" s="74"/>
      <x:c r="L684" s="74"/>
      <x:c r="M684" s="74"/>
      <x:c r="N684" s="85"/>
      <x:c r="P684" s="86"/>
      <x:c r="Q684" s="32"/>
    </x:row>
    <x:row r="685">
      <x:c r="A685" s="87"/>
      <x:c r="D685" s="32"/>
      <x:c r="I685" s="74"/>
      <x:c r="J685" s="74"/>
      <x:c r="K685" s="74"/>
      <x:c r="L685" s="74"/>
      <x:c r="M685" s="74"/>
      <x:c r="N685" s="85"/>
      <x:c r="P685" s="86"/>
      <x:c r="Q685" s="32"/>
    </x:row>
    <x:row r="686">
      <x:c r="A686" s="87"/>
      <x:c r="D686" s="32"/>
      <x:c r="I686" s="74"/>
      <x:c r="J686" s="74"/>
      <x:c r="K686" s="74"/>
      <x:c r="L686" s="74"/>
      <x:c r="M686" s="74"/>
      <x:c r="N686" s="85"/>
      <x:c r="P686" s="86"/>
      <x:c r="Q686" s="32"/>
    </x:row>
    <x:row r="687">
      <x:c r="A687" s="87"/>
      <x:c r="D687" s="32"/>
      <x:c r="I687" s="74"/>
      <x:c r="J687" s="74"/>
      <x:c r="K687" s="74"/>
      <x:c r="L687" s="74"/>
      <x:c r="M687" s="74"/>
      <x:c r="N687" s="85"/>
      <x:c r="P687" s="86"/>
      <x:c r="Q687" s="32"/>
    </x:row>
    <x:row r="688">
      <x:c r="A688" s="87"/>
      <x:c r="D688" s="32"/>
      <x:c r="I688" s="74"/>
      <x:c r="J688" s="74"/>
      <x:c r="K688" s="74"/>
      <x:c r="L688" s="74"/>
      <x:c r="M688" s="74"/>
      <x:c r="N688" s="85"/>
      <x:c r="P688" s="86"/>
      <x:c r="Q688" s="32"/>
    </x:row>
    <x:row r="689">
      <x:c r="A689" s="87"/>
      <x:c r="D689" s="32"/>
      <x:c r="I689" s="74"/>
      <x:c r="J689" s="74"/>
      <x:c r="K689" s="74"/>
      <x:c r="L689" s="74"/>
      <x:c r="M689" s="74"/>
      <x:c r="N689" s="85"/>
      <x:c r="P689" s="86"/>
      <x:c r="Q689" s="32"/>
    </x:row>
    <x:row r="690">
      <x:c r="A690" s="87"/>
      <x:c r="D690" s="32"/>
      <x:c r="I690" s="74"/>
      <x:c r="J690" s="74"/>
      <x:c r="K690" s="74"/>
      <x:c r="L690" s="74"/>
      <x:c r="M690" s="74"/>
      <x:c r="N690" s="85"/>
      <x:c r="P690" s="86"/>
      <x:c r="Q690" s="32"/>
    </x:row>
    <x:row r="691">
      <x:c r="A691" s="87"/>
      <x:c r="D691" s="32"/>
      <x:c r="I691" s="74"/>
      <x:c r="J691" s="74"/>
      <x:c r="K691" s="74"/>
      <x:c r="L691" s="74"/>
      <x:c r="M691" s="74"/>
      <x:c r="N691" s="85"/>
      <x:c r="P691" s="86"/>
      <x:c r="Q691" s="32"/>
    </x:row>
    <x:row r="692">
      <x:c r="A692" s="87"/>
      <x:c r="D692" s="32"/>
      <x:c r="I692" s="74"/>
      <x:c r="J692" s="74"/>
      <x:c r="K692" s="74"/>
      <x:c r="L692" s="74"/>
      <x:c r="M692" s="74"/>
      <x:c r="N692" s="85"/>
      <x:c r="P692" s="86"/>
      <x:c r="Q692" s="32"/>
    </x:row>
    <x:row r="693">
      <x:c r="A693" s="87"/>
      <x:c r="D693" s="32"/>
      <x:c r="I693" s="74"/>
      <x:c r="J693" s="74"/>
      <x:c r="K693" s="74"/>
      <x:c r="L693" s="74"/>
      <x:c r="M693" s="74"/>
      <x:c r="N693" s="85"/>
      <x:c r="P693" s="86"/>
      <x:c r="Q693" s="32"/>
    </x:row>
    <x:row r="694">
      <x:c r="A694" s="87"/>
      <x:c r="D694" s="32"/>
      <x:c r="I694" s="74"/>
      <x:c r="J694" s="74"/>
      <x:c r="K694" s="74"/>
      <x:c r="L694" s="74"/>
      <x:c r="M694" s="74"/>
      <x:c r="N694" s="85"/>
      <x:c r="P694" s="86"/>
      <x:c r="Q694" s="32"/>
    </x:row>
    <x:row r="695">
      <x:c r="A695" s="87"/>
      <x:c r="D695" s="32"/>
      <x:c r="I695" s="74"/>
      <x:c r="J695" s="74"/>
      <x:c r="K695" s="74"/>
      <x:c r="L695" s="74"/>
      <x:c r="M695" s="74"/>
      <x:c r="N695" s="85"/>
      <x:c r="P695" s="86"/>
      <x:c r="Q695" s="32"/>
    </x:row>
    <x:row r="696">
      <x:c r="A696" s="87"/>
      <x:c r="D696" s="32"/>
      <x:c r="I696" s="74"/>
      <x:c r="J696" s="74"/>
      <x:c r="K696" s="74"/>
      <x:c r="L696" s="74"/>
      <x:c r="M696" s="74"/>
      <x:c r="N696" s="85"/>
      <x:c r="P696" s="86"/>
      <x:c r="Q696" s="32"/>
    </x:row>
    <x:row r="697">
      <x:c r="A697" s="87"/>
      <x:c r="D697" s="32"/>
      <x:c r="I697" s="74"/>
      <x:c r="J697" s="74"/>
      <x:c r="K697" s="74"/>
      <x:c r="L697" s="74"/>
      <x:c r="M697" s="74"/>
      <x:c r="N697" s="85"/>
      <x:c r="P697" s="86"/>
      <x:c r="Q697" s="32"/>
    </x:row>
    <x:row r="698">
      <x:c r="A698" s="87"/>
      <x:c r="D698" s="32"/>
      <x:c r="I698" s="74"/>
      <x:c r="J698" s="74"/>
      <x:c r="K698" s="74"/>
      <x:c r="L698" s="74"/>
      <x:c r="M698" s="74"/>
      <x:c r="N698" s="85"/>
      <x:c r="P698" s="86"/>
      <x:c r="Q698" s="32"/>
    </x:row>
    <x:row r="699">
      <x:c r="A699" s="87"/>
      <x:c r="D699" s="32"/>
      <x:c r="I699" s="74"/>
      <x:c r="J699" s="74"/>
      <x:c r="K699" s="74"/>
      <x:c r="L699" s="74"/>
      <x:c r="M699" s="74"/>
      <x:c r="N699" s="85"/>
      <x:c r="P699" s="86"/>
      <x:c r="Q699" s="32"/>
    </x:row>
    <x:row r="700">
      <x:c r="A700" s="87"/>
      <x:c r="D700" s="32"/>
      <x:c r="I700" s="74"/>
      <x:c r="J700" s="74"/>
      <x:c r="K700" s="74"/>
      <x:c r="L700" s="74"/>
      <x:c r="M700" s="74"/>
      <x:c r="N700" s="85"/>
      <x:c r="P700" s="86"/>
      <x:c r="Q700" s="32"/>
    </x:row>
    <x:row r="701">
      <x:c r="A701" s="87"/>
      <x:c r="D701" s="32"/>
      <x:c r="I701" s="74"/>
      <x:c r="J701" s="74"/>
      <x:c r="K701" s="74"/>
      <x:c r="L701" s="74"/>
      <x:c r="M701" s="74"/>
      <x:c r="N701" s="85"/>
      <x:c r="P701" s="86"/>
      <x:c r="Q701" s="32"/>
    </x:row>
    <x:row r="702">
      <x:c r="A702" s="87"/>
      <x:c r="D702" s="32"/>
      <x:c r="I702" s="74"/>
      <x:c r="J702" s="74"/>
      <x:c r="K702" s="74"/>
      <x:c r="L702" s="74"/>
      <x:c r="M702" s="74"/>
      <x:c r="N702" s="85"/>
      <x:c r="P702" s="86"/>
      <x:c r="Q702" s="32"/>
    </x:row>
    <x:row r="703">
      <x:c r="A703" s="87"/>
      <x:c r="D703" s="32"/>
      <x:c r="I703" s="74"/>
      <x:c r="J703" s="74"/>
      <x:c r="K703" s="74"/>
      <x:c r="L703" s="74"/>
      <x:c r="M703" s="74"/>
      <x:c r="N703" s="85"/>
      <x:c r="P703" s="86"/>
      <x:c r="Q703" s="32"/>
    </x:row>
    <x:row r="704">
      <x:c r="A704" s="87"/>
      <x:c r="D704" s="32"/>
      <x:c r="I704" s="74"/>
      <x:c r="J704" s="74"/>
      <x:c r="K704" s="74"/>
      <x:c r="L704" s="74"/>
      <x:c r="M704" s="74"/>
      <x:c r="N704" s="85"/>
      <x:c r="P704" s="86"/>
      <x:c r="Q704" s="32"/>
    </x:row>
    <x:row r="705">
      <x:c r="A705" s="87"/>
      <x:c r="D705" s="32"/>
      <x:c r="I705" s="74"/>
      <x:c r="J705" s="74"/>
      <x:c r="K705" s="74"/>
      <x:c r="L705" s="74"/>
      <x:c r="M705" s="74"/>
      <x:c r="N705" s="85"/>
      <x:c r="P705" s="86"/>
      <x:c r="Q705" s="32"/>
    </x:row>
    <x:row r="706">
      <x:c r="A706" s="87"/>
      <x:c r="D706" s="32"/>
      <x:c r="I706" s="74"/>
      <x:c r="J706" s="74"/>
      <x:c r="K706" s="74"/>
      <x:c r="L706" s="74"/>
      <x:c r="M706" s="74"/>
      <x:c r="N706" s="85"/>
      <x:c r="P706" s="86"/>
      <x:c r="Q706" s="32"/>
    </x:row>
    <x:row r="707">
      <x:c r="A707" s="87"/>
      <x:c r="D707" s="32"/>
      <x:c r="I707" s="74"/>
      <x:c r="J707" s="74"/>
      <x:c r="K707" s="74"/>
      <x:c r="L707" s="74"/>
      <x:c r="M707" s="74"/>
      <x:c r="N707" s="85"/>
      <x:c r="P707" s="86"/>
      <x:c r="Q707" s="32"/>
    </x:row>
    <x:row r="708">
      <x:c r="A708" s="87"/>
      <x:c r="D708" s="32"/>
      <x:c r="I708" s="74"/>
      <x:c r="J708" s="74"/>
      <x:c r="K708" s="74"/>
      <x:c r="L708" s="74"/>
      <x:c r="M708" s="74"/>
      <x:c r="N708" s="85"/>
      <x:c r="P708" s="86"/>
      <x:c r="Q708" s="32"/>
    </x:row>
    <x:row r="709">
      <x:c r="A709" s="87"/>
      <x:c r="D709" s="32"/>
      <x:c r="I709" s="74"/>
      <x:c r="J709" s="74"/>
      <x:c r="K709" s="74"/>
      <x:c r="L709" s="74"/>
      <x:c r="M709" s="74"/>
      <x:c r="N709" s="85"/>
      <x:c r="P709" s="86"/>
      <x:c r="Q709" s="32"/>
    </x:row>
    <x:row r="710">
      <x:c r="A710" s="87"/>
      <x:c r="D710" s="32"/>
      <x:c r="I710" s="74"/>
      <x:c r="J710" s="74"/>
      <x:c r="K710" s="74"/>
      <x:c r="L710" s="74"/>
      <x:c r="M710" s="74"/>
      <x:c r="N710" s="85"/>
      <x:c r="P710" s="86"/>
      <x:c r="Q710" s="32"/>
    </x:row>
    <x:row r="711">
      <x:c r="A711" s="87"/>
      <x:c r="D711" s="32"/>
      <x:c r="I711" s="74"/>
      <x:c r="J711" s="74"/>
      <x:c r="K711" s="74"/>
      <x:c r="L711" s="74"/>
      <x:c r="M711" s="74"/>
      <x:c r="N711" s="85"/>
      <x:c r="P711" s="86"/>
      <x:c r="Q711" s="32"/>
    </x:row>
    <x:row r="712">
      <x:c r="A712" s="87"/>
      <x:c r="D712" s="32"/>
      <x:c r="I712" s="74"/>
      <x:c r="J712" s="74"/>
      <x:c r="K712" s="74"/>
      <x:c r="L712" s="74"/>
      <x:c r="M712" s="74"/>
      <x:c r="N712" s="85"/>
      <x:c r="P712" s="86"/>
      <x:c r="Q712" s="32"/>
    </x:row>
    <x:row r="713">
      <x:c r="A713" s="87"/>
      <x:c r="D713" s="32"/>
      <x:c r="I713" s="74"/>
      <x:c r="J713" s="74"/>
      <x:c r="K713" s="74"/>
      <x:c r="L713" s="74"/>
      <x:c r="M713" s="74"/>
      <x:c r="N713" s="85"/>
      <x:c r="P713" s="86"/>
      <x:c r="Q713" s="32"/>
    </x:row>
    <x:row r="714">
      <x:c r="A714" s="87"/>
      <x:c r="D714" s="32"/>
      <x:c r="I714" s="74"/>
      <x:c r="J714" s="74"/>
      <x:c r="K714" s="74"/>
      <x:c r="L714" s="74"/>
      <x:c r="M714" s="74"/>
      <x:c r="N714" s="85"/>
      <x:c r="P714" s="86"/>
      <x:c r="Q714" s="32"/>
    </x:row>
    <x:row r="715">
      <x:c r="A715" s="87"/>
      <x:c r="D715" s="32"/>
      <x:c r="I715" s="74"/>
      <x:c r="J715" s="74"/>
      <x:c r="K715" s="74"/>
      <x:c r="L715" s="74"/>
      <x:c r="M715" s="74"/>
      <x:c r="N715" s="85"/>
      <x:c r="P715" s="86"/>
      <x:c r="Q715" s="32"/>
    </x:row>
    <x:row r="716">
      <x:c r="A716" s="87"/>
      <x:c r="D716" s="32"/>
      <x:c r="I716" s="74"/>
      <x:c r="J716" s="74"/>
      <x:c r="K716" s="74"/>
      <x:c r="L716" s="74"/>
      <x:c r="M716" s="74"/>
      <x:c r="N716" s="85"/>
      <x:c r="P716" s="86"/>
      <x:c r="Q716" s="32"/>
    </x:row>
    <x:row r="717">
      <x:c r="A717" s="87"/>
      <x:c r="D717" s="32"/>
      <x:c r="I717" s="74"/>
      <x:c r="J717" s="74"/>
      <x:c r="K717" s="74"/>
      <x:c r="L717" s="74"/>
      <x:c r="M717" s="74"/>
      <x:c r="N717" s="85"/>
      <x:c r="P717" s="86"/>
      <x:c r="Q717" s="32"/>
    </x:row>
    <x:row r="718">
      <x:c r="A718" s="87"/>
      <x:c r="D718" s="32"/>
      <x:c r="I718" s="74"/>
      <x:c r="J718" s="74"/>
      <x:c r="K718" s="74"/>
      <x:c r="L718" s="74"/>
      <x:c r="M718" s="74"/>
      <x:c r="N718" s="85"/>
      <x:c r="P718" s="86"/>
      <x:c r="Q718" s="32"/>
    </x:row>
    <x:row r="719">
      <x:c r="A719" s="87"/>
      <x:c r="D719" s="32"/>
      <x:c r="I719" s="74"/>
      <x:c r="J719" s="74"/>
      <x:c r="K719" s="74"/>
      <x:c r="L719" s="74"/>
      <x:c r="M719" s="74"/>
      <x:c r="N719" s="85"/>
      <x:c r="P719" s="86"/>
      <x:c r="Q719" s="32"/>
    </x:row>
    <x:row r="720">
      <x:c r="A720" s="87"/>
      <x:c r="D720" s="32"/>
      <x:c r="I720" s="74"/>
      <x:c r="J720" s="74"/>
      <x:c r="K720" s="74"/>
      <x:c r="L720" s="74"/>
      <x:c r="M720" s="74"/>
      <x:c r="N720" s="85"/>
      <x:c r="P720" s="86"/>
      <x:c r="Q720" s="32"/>
    </x:row>
    <x:row r="721">
      <x:c r="A721" s="87"/>
      <x:c r="D721" s="32"/>
      <x:c r="I721" s="74"/>
      <x:c r="J721" s="74"/>
      <x:c r="K721" s="74"/>
      <x:c r="L721" s="74"/>
      <x:c r="M721" s="74"/>
      <x:c r="N721" s="85"/>
      <x:c r="P721" s="86"/>
      <x:c r="Q721" s="32"/>
    </x:row>
    <x:row r="722">
      <x:c r="A722" s="87"/>
      <x:c r="D722" s="32"/>
      <x:c r="I722" s="74"/>
      <x:c r="J722" s="74"/>
      <x:c r="K722" s="74"/>
      <x:c r="L722" s="74"/>
      <x:c r="M722" s="74"/>
      <x:c r="N722" s="85"/>
      <x:c r="P722" s="86"/>
      <x:c r="Q722" s="32"/>
    </x:row>
    <x:row r="723">
      <x:c r="A723" s="87"/>
      <x:c r="D723" s="32"/>
      <x:c r="I723" s="74"/>
      <x:c r="J723" s="74"/>
      <x:c r="K723" s="74"/>
      <x:c r="L723" s="74"/>
      <x:c r="M723" s="74"/>
      <x:c r="N723" s="85"/>
      <x:c r="P723" s="86"/>
      <x:c r="Q723" s="32"/>
    </x:row>
    <x:row r="724">
      <x:c r="A724" s="87"/>
      <x:c r="D724" s="32"/>
      <x:c r="I724" s="74"/>
      <x:c r="J724" s="74"/>
      <x:c r="K724" s="74"/>
      <x:c r="L724" s="74"/>
      <x:c r="M724" s="74"/>
      <x:c r="N724" s="85"/>
      <x:c r="P724" s="86"/>
      <x:c r="Q724" s="32"/>
    </x:row>
    <x:row r="725">
      <x:c r="A725" s="87"/>
      <x:c r="D725" s="32"/>
      <x:c r="I725" s="74"/>
      <x:c r="J725" s="74"/>
      <x:c r="K725" s="74"/>
      <x:c r="L725" s="74"/>
      <x:c r="M725" s="74"/>
      <x:c r="N725" s="85"/>
      <x:c r="P725" s="86"/>
      <x:c r="Q725" s="32"/>
    </x:row>
    <x:row r="726">
      <x:c r="A726" s="87"/>
      <x:c r="D726" s="32"/>
      <x:c r="I726" s="74"/>
      <x:c r="J726" s="74"/>
      <x:c r="K726" s="74"/>
      <x:c r="L726" s="74"/>
      <x:c r="M726" s="74"/>
      <x:c r="N726" s="85"/>
      <x:c r="P726" s="86"/>
      <x:c r="Q726" s="32"/>
    </x:row>
    <x:row r="727">
      <x:c r="A727" s="87"/>
      <x:c r="D727" s="32"/>
      <x:c r="I727" s="74"/>
      <x:c r="J727" s="74"/>
      <x:c r="K727" s="74"/>
      <x:c r="L727" s="74"/>
      <x:c r="M727" s="74"/>
      <x:c r="N727" s="85"/>
      <x:c r="P727" s="86"/>
      <x:c r="Q727" s="32"/>
    </x:row>
    <x:row r="728">
      <x:c r="A728" s="87"/>
      <x:c r="D728" s="32"/>
      <x:c r="I728" s="74"/>
      <x:c r="J728" s="74"/>
      <x:c r="K728" s="74"/>
      <x:c r="L728" s="74"/>
      <x:c r="M728" s="74"/>
      <x:c r="N728" s="85"/>
      <x:c r="P728" s="86"/>
      <x:c r="Q728" s="32"/>
    </x:row>
    <x:row r="729">
      <x:c r="A729" s="87"/>
      <x:c r="D729" s="32"/>
      <x:c r="I729" s="74"/>
      <x:c r="J729" s="74"/>
      <x:c r="K729" s="74"/>
      <x:c r="L729" s="74"/>
      <x:c r="M729" s="74"/>
      <x:c r="N729" s="85"/>
      <x:c r="P729" s="86"/>
      <x:c r="Q729" s="32"/>
    </x:row>
    <x:row r="730">
      <x:c r="A730" s="87"/>
      <x:c r="D730" s="32"/>
      <x:c r="I730" s="74"/>
      <x:c r="J730" s="74"/>
      <x:c r="K730" s="74"/>
      <x:c r="L730" s="74"/>
      <x:c r="M730" s="74"/>
      <x:c r="N730" s="85"/>
      <x:c r="P730" s="86"/>
      <x:c r="Q730" s="32"/>
    </x:row>
    <x:row r="731">
      <x:c r="A731" s="87"/>
      <x:c r="D731" s="32"/>
      <x:c r="I731" s="74"/>
      <x:c r="J731" s="74"/>
      <x:c r="K731" s="74"/>
      <x:c r="L731" s="74"/>
      <x:c r="M731" s="74"/>
      <x:c r="N731" s="85"/>
      <x:c r="P731" s="86"/>
      <x:c r="Q731" s="32"/>
    </x:row>
    <x:row r="732">
      <x:c r="A732" s="87"/>
      <x:c r="D732" s="32"/>
      <x:c r="I732" s="74"/>
      <x:c r="J732" s="74"/>
      <x:c r="K732" s="74"/>
      <x:c r="L732" s="74"/>
      <x:c r="M732" s="74"/>
      <x:c r="N732" s="85"/>
      <x:c r="P732" s="86"/>
      <x:c r="Q732" s="32"/>
    </x:row>
    <x:row r="733">
      <x:c r="A733" s="87"/>
      <x:c r="D733" s="32"/>
      <x:c r="I733" s="74"/>
      <x:c r="J733" s="74"/>
      <x:c r="K733" s="74"/>
      <x:c r="L733" s="74"/>
      <x:c r="M733" s="74"/>
      <x:c r="N733" s="85"/>
      <x:c r="P733" s="86"/>
      <x:c r="Q733" s="32"/>
    </x:row>
    <x:row r="734">
      <x:c r="A734" s="87"/>
      <x:c r="D734" s="32"/>
      <x:c r="I734" s="74"/>
      <x:c r="J734" s="74"/>
      <x:c r="K734" s="74"/>
      <x:c r="L734" s="74"/>
      <x:c r="M734" s="74"/>
      <x:c r="N734" s="85"/>
      <x:c r="P734" s="86"/>
      <x:c r="Q734" s="32"/>
    </x:row>
    <x:row r="735">
      <x:c r="A735" s="87"/>
      <x:c r="D735" s="32"/>
      <x:c r="I735" s="74"/>
      <x:c r="J735" s="74"/>
      <x:c r="K735" s="74"/>
      <x:c r="L735" s="74"/>
      <x:c r="M735" s="74"/>
      <x:c r="N735" s="85"/>
      <x:c r="P735" s="86"/>
      <x:c r="Q735" s="32"/>
    </x:row>
    <x:row r="736">
      <x:c r="A736" s="87"/>
      <x:c r="D736" s="32"/>
      <x:c r="I736" s="74"/>
      <x:c r="J736" s="74"/>
      <x:c r="K736" s="74"/>
      <x:c r="L736" s="74"/>
      <x:c r="M736" s="74"/>
      <x:c r="N736" s="85"/>
      <x:c r="P736" s="86"/>
      <x:c r="Q736" s="32"/>
    </x:row>
    <x:row r="737">
      <x:c r="A737" s="87"/>
      <x:c r="D737" s="32"/>
      <x:c r="I737" s="74"/>
      <x:c r="J737" s="74"/>
      <x:c r="K737" s="74"/>
      <x:c r="L737" s="74"/>
      <x:c r="M737" s="74"/>
      <x:c r="N737" s="85"/>
      <x:c r="P737" s="86"/>
      <x:c r="Q737" s="32"/>
    </x:row>
    <x:row r="738">
      <x:c r="A738" s="87"/>
      <x:c r="D738" s="32"/>
      <x:c r="I738" s="74"/>
      <x:c r="J738" s="74"/>
      <x:c r="K738" s="74"/>
      <x:c r="L738" s="74"/>
      <x:c r="M738" s="74"/>
      <x:c r="N738" s="85"/>
      <x:c r="P738" s="86"/>
      <x:c r="Q738" s="32"/>
    </x:row>
    <x:row r="739">
      <x:c r="A739" s="87"/>
      <x:c r="D739" s="32"/>
      <x:c r="I739" s="74"/>
      <x:c r="J739" s="74"/>
      <x:c r="K739" s="74"/>
      <x:c r="L739" s="74"/>
      <x:c r="M739" s="74"/>
      <x:c r="N739" s="85"/>
      <x:c r="P739" s="86"/>
      <x:c r="Q739" s="32"/>
    </x:row>
    <x:row r="740">
      <x:c r="A740" s="87"/>
      <x:c r="D740" s="32"/>
      <x:c r="I740" s="74"/>
      <x:c r="J740" s="74"/>
      <x:c r="K740" s="74"/>
      <x:c r="L740" s="74"/>
      <x:c r="M740" s="74"/>
      <x:c r="N740" s="85"/>
      <x:c r="P740" s="86"/>
      <x:c r="Q740" s="32"/>
    </x:row>
    <x:row r="741">
      <x:c r="A741" s="87"/>
      <x:c r="D741" s="32"/>
      <x:c r="I741" s="74"/>
      <x:c r="J741" s="74"/>
      <x:c r="K741" s="74"/>
      <x:c r="L741" s="74"/>
      <x:c r="M741" s="74"/>
      <x:c r="N741" s="85"/>
      <x:c r="P741" s="86"/>
      <x:c r="Q741" s="32"/>
    </x:row>
    <x:row r="742">
      <x:c r="A742" s="87"/>
      <x:c r="D742" s="32"/>
      <x:c r="I742" s="74"/>
      <x:c r="J742" s="74"/>
      <x:c r="K742" s="74"/>
      <x:c r="L742" s="74"/>
      <x:c r="M742" s="74"/>
      <x:c r="N742" s="85"/>
      <x:c r="P742" s="86"/>
      <x:c r="Q742" s="32"/>
    </x:row>
    <x:row r="743">
      <x:c r="A743" s="87"/>
      <x:c r="D743" s="32"/>
      <x:c r="I743" s="74"/>
      <x:c r="J743" s="74"/>
      <x:c r="K743" s="74"/>
      <x:c r="L743" s="74"/>
      <x:c r="M743" s="74"/>
      <x:c r="N743" s="85"/>
      <x:c r="P743" s="86"/>
      <x:c r="Q743" s="32"/>
    </x:row>
    <x:row r="744">
      <x:c r="A744" s="87"/>
      <x:c r="D744" s="32"/>
      <x:c r="I744" s="74"/>
      <x:c r="J744" s="74"/>
      <x:c r="K744" s="74"/>
      <x:c r="L744" s="74"/>
      <x:c r="M744" s="74"/>
      <x:c r="N744" s="85"/>
      <x:c r="P744" s="86"/>
      <x:c r="Q744" s="32"/>
    </x:row>
    <x:row r="745">
      <x:c r="A745" s="87"/>
      <x:c r="D745" s="32"/>
      <x:c r="I745" s="74"/>
      <x:c r="J745" s="74"/>
      <x:c r="K745" s="74"/>
      <x:c r="L745" s="74"/>
      <x:c r="M745" s="74"/>
      <x:c r="N745" s="85"/>
      <x:c r="P745" s="86"/>
      <x:c r="Q745" s="32"/>
    </x:row>
    <x:row r="746">
      <x:c r="A746" s="87"/>
      <x:c r="D746" s="32"/>
      <x:c r="I746" s="74"/>
      <x:c r="J746" s="74"/>
      <x:c r="K746" s="74"/>
      <x:c r="L746" s="74"/>
      <x:c r="M746" s="74"/>
      <x:c r="N746" s="85"/>
      <x:c r="P746" s="86"/>
      <x:c r="Q746" s="32"/>
    </x:row>
    <x:row r="747">
      <x:c r="A747" s="87"/>
      <x:c r="D747" s="32"/>
      <x:c r="I747" s="74"/>
      <x:c r="J747" s="74"/>
      <x:c r="K747" s="74"/>
      <x:c r="L747" s="74"/>
      <x:c r="M747" s="74"/>
      <x:c r="N747" s="85"/>
      <x:c r="P747" s="86"/>
      <x:c r="Q747" s="32"/>
    </x:row>
    <x:row r="748">
      <x:c r="A748" s="87"/>
      <x:c r="D748" s="32"/>
      <x:c r="I748" s="74"/>
      <x:c r="J748" s="74"/>
      <x:c r="K748" s="74"/>
      <x:c r="L748" s="74"/>
      <x:c r="M748" s="74"/>
      <x:c r="N748" s="85"/>
      <x:c r="P748" s="86"/>
      <x:c r="Q748" s="32"/>
    </x:row>
    <x:row r="749">
      <x:c r="A749" s="87"/>
      <x:c r="D749" s="32"/>
      <x:c r="I749" s="74"/>
      <x:c r="J749" s="74"/>
      <x:c r="K749" s="74"/>
      <x:c r="L749" s="74"/>
      <x:c r="M749" s="74"/>
      <x:c r="N749" s="85"/>
      <x:c r="P749" s="86"/>
      <x:c r="Q749" s="32"/>
    </x:row>
    <x:row r="750">
      <x:c r="A750" s="87"/>
      <x:c r="D750" s="32"/>
      <x:c r="I750" s="74"/>
      <x:c r="J750" s="74"/>
      <x:c r="K750" s="74"/>
      <x:c r="L750" s="74"/>
      <x:c r="M750" s="74"/>
      <x:c r="N750" s="85"/>
      <x:c r="P750" s="86"/>
      <x:c r="Q750" s="32"/>
    </x:row>
    <x:row r="751">
      <x:c r="A751" s="87"/>
      <x:c r="D751" s="32"/>
      <x:c r="I751" s="74"/>
      <x:c r="J751" s="74"/>
      <x:c r="K751" s="74"/>
      <x:c r="L751" s="74"/>
      <x:c r="M751" s="74"/>
      <x:c r="N751" s="85"/>
      <x:c r="P751" s="86"/>
      <x:c r="Q751" s="32"/>
    </x:row>
    <x:row r="752">
      <x:c r="A752" s="87"/>
      <x:c r="D752" s="32"/>
      <x:c r="I752" s="74"/>
      <x:c r="J752" s="74"/>
      <x:c r="K752" s="74"/>
      <x:c r="L752" s="74"/>
      <x:c r="M752" s="74"/>
      <x:c r="N752" s="85"/>
      <x:c r="P752" s="86"/>
      <x:c r="Q752" s="32"/>
    </x:row>
    <x:row r="753">
      <x:c r="A753" s="87"/>
      <x:c r="D753" s="32"/>
      <x:c r="I753" s="74"/>
      <x:c r="J753" s="74"/>
      <x:c r="K753" s="74"/>
      <x:c r="L753" s="74"/>
      <x:c r="M753" s="74"/>
      <x:c r="N753" s="85"/>
      <x:c r="P753" s="86"/>
      <x:c r="Q753" s="32"/>
    </x:row>
    <x:row r="754">
      <x:c r="A754" s="87"/>
      <x:c r="D754" s="32"/>
      <x:c r="I754" s="74"/>
      <x:c r="J754" s="74"/>
      <x:c r="K754" s="74"/>
      <x:c r="L754" s="74"/>
      <x:c r="M754" s="74"/>
      <x:c r="N754" s="85"/>
      <x:c r="P754" s="86"/>
      <x:c r="Q754" s="32"/>
    </x:row>
    <x:row r="755">
      <x:c r="A755" s="87"/>
      <x:c r="D755" s="32"/>
      <x:c r="I755" s="74"/>
      <x:c r="J755" s="74"/>
      <x:c r="K755" s="74"/>
      <x:c r="L755" s="74"/>
      <x:c r="M755" s="74"/>
      <x:c r="N755" s="85"/>
      <x:c r="P755" s="86"/>
      <x:c r="Q755" s="32"/>
    </x:row>
    <x:row r="756">
      <x:c r="A756" s="87"/>
      <x:c r="D756" s="32"/>
      <x:c r="I756" s="74"/>
      <x:c r="J756" s="74"/>
      <x:c r="K756" s="74"/>
      <x:c r="L756" s="74"/>
      <x:c r="M756" s="74"/>
      <x:c r="N756" s="85"/>
      <x:c r="P756" s="86"/>
      <x:c r="Q756" s="32"/>
    </x:row>
    <x:row r="757">
      <x:c r="A757" s="87"/>
      <x:c r="D757" s="32"/>
      <x:c r="I757" s="74"/>
      <x:c r="J757" s="74"/>
      <x:c r="K757" s="74"/>
      <x:c r="L757" s="74"/>
      <x:c r="M757" s="74"/>
      <x:c r="N757" s="85"/>
      <x:c r="P757" s="86"/>
      <x:c r="Q757" s="32"/>
    </x:row>
    <x:row r="758">
      <x:c r="A758" s="87"/>
      <x:c r="D758" s="32"/>
      <x:c r="I758" s="74"/>
      <x:c r="J758" s="74"/>
      <x:c r="K758" s="74"/>
      <x:c r="L758" s="74"/>
      <x:c r="M758" s="74"/>
      <x:c r="N758" s="85"/>
      <x:c r="P758" s="86"/>
      <x:c r="Q758" s="32"/>
    </x:row>
    <x:row r="759">
      <x:c r="A759" s="87"/>
      <x:c r="D759" s="32"/>
      <x:c r="I759" s="74"/>
      <x:c r="J759" s="74"/>
      <x:c r="K759" s="74"/>
      <x:c r="L759" s="74"/>
      <x:c r="M759" s="74"/>
      <x:c r="N759" s="85"/>
      <x:c r="P759" s="86"/>
      <x:c r="Q759" s="32"/>
    </x:row>
    <x:row r="760">
      <x:c r="A760" s="87"/>
      <x:c r="D760" s="32"/>
      <x:c r="I760" s="74"/>
      <x:c r="J760" s="74"/>
      <x:c r="K760" s="74"/>
      <x:c r="L760" s="74"/>
      <x:c r="M760" s="74"/>
      <x:c r="N760" s="85"/>
      <x:c r="P760" s="86"/>
      <x:c r="Q760" s="32"/>
    </x:row>
    <x:row r="761">
      <x:c r="A761" s="87"/>
      <x:c r="D761" s="32"/>
      <x:c r="I761" s="74"/>
      <x:c r="J761" s="74"/>
      <x:c r="K761" s="74"/>
      <x:c r="L761" s="74"/>
      <x:c r="M761" s="74"/>
      <x:c r="N761" s="85"/>
      <x:c r="P761" s="86"/>
      <x:c r="Q761" s="32"/>
    </x:row>
    <x:row r="762">
      <x:c r="A762" s="87"/>
      <x:c r="D762" s="32"/>
      <x:c r="I762" s="74"/>
      <x:c r="J762" s="74"/>
      <x:c r="K762" s="74"/>
      <x:c r="L762" s="74"/>
      <x:c r="M762" s="74"/>
      <x:c r="N762" s="85"/>
      <x:c r="P762" s="86"/>
      <x:c r="Q762" s="32"/>
    </x:row>
    <x:row r="763">
      <x:c r="A763" s="87"/>
      <x:c r="D763" s="32"/>
      <x:c r="I763" s="74"/>
      <x:c r="J763" s="74"/>
      <x:c r="K763" s="74"/>
      <x:c r="L763" s="74"/>
      <x:c r="M763" s="74"/>
      <x:c r="N763" s="85"/>
      <x:c r="P763" s="86"/>
      <x:c r="Q763" s="32"/>
    </x:row>
    <x:row r="764">
      <x:c r="A764" s="87"/>
      <x:c r="D764" s="32"/>
      <x:c r="I764" s="74"/>
      <x:c r="J764" s="74"/>
      <x:c r="K764" s="74"/>
      <x:c r="L764" s="74"/>
      <x:c r="M764" s="74"/>
      <x:c r="N764" s="85"/>
      <x:c r="P764" s="86"/>
      <x:c r="Q764" s="32"/>
    </x:row>
    <x:row r="765">
      <x:c r="A765" s="87"/>
      <x:c r="D765" s="32"/>
      <x:c r="I765" s="74"/>
      <x:c r="J765" s="74"/>
      <x:c r="K765" s="74"/>
      <x:c r="L765" s="74"/>
      <x:c r="M765" s="74"/>
      <x:c r="N765" s="85"/>
      <x:c r="P765" s="86"/>
      <x:c r="Q765" s="32"/>
    </x:row>
    <x:row r="766">
      <x:c r="A766" s="87"/>
      <x:c r="D766" s="32"/>
      <x:c r="I766" s="74"/>
      <x:c r="J766" s="74"/>
      <x:c r="K766" s="74"/>
      <x:c r="L766" s="74"/>
      <x:c r="M766" s="74"/>
      <x:c r="N766" s="85"/>
      <x:c r="P766" s="86"/>
      <x:c r="Q766" s="32"/>
    </x:row>
    <x:row r="767">
      <x:c r="A767" s="87"/>
      <x:c r="D767" s="32"/>
      <x:c r="I767" s="74"/>
      <x:c r="J767" s="74"/>
      <x:c r="K767" s="74"/>
      <x:c r="L767" s="74"/>
      <x:c r="M767" s="74"/>
      <x:c r="N767" s="85"/>
      <x:c r="P767" s="86"/>
      <x:c r="Q767" s="32"/>
    </x:row>
    <x:row r="768">
      <x:c r="A768" s="87"/>
      <x:c r="D768" s="32"/>
      <x:c r="I768" s="74"/>
      <x:c r="J768" s="74"/>
      <x:c r="K768" s="74"/>
      <x:c r="L768" s="74"/>
      <x:c r="M768" s="74"/>
      <x:c r="N768" s="85"/>
      <x:c r="P768" s="86"/>
      <x:c r="Q768" s="32"/>
    </x:row>
    <x:row r="769">
      <x:c r="A769" s="87"/>
      <x:c r="D769" s="32"/>
      <x:c r="I769" s="74"/>
      <x:c r="J769" s="74"/>
      <x:c r="K769" s="74"/>
      <x:c r="L769" s="74"/>
      <x:c r="M769" s="74"/>
      <x:c r="N769" s="85"/>
      <x:c r="P769" s="86"/>
      <x:c r="Q769" s="32"/>
    </x:row>
    <x:row r="770">
      <x:c r="A770" s="87"/>
      <x:c r="D770" s="32"/>
      <x:c r="I770" s="74"/>
      <x:c r="J770" s="74"/>
      <x:c r="K770" s="74"/>
      <x:c r="L770" s="74"/>
      <x:c r="M770" s="74"/>
      <x:c r="N770" s="85"/>
      <x:c r="P770" s="86"/>
      <x:c r="Q770" s="32"/>
    </x:row>
    <x:row r="771">
      <x:c r="A771" s="87"/>
      <x:c r="D771" s="32"/>
      <x:c r="I771" s="74"/>
      <x:c r="J771" s="74"/>
      <x:c r="K771" s="74"/>
      <x:c r="L771" s="74"/>
      <x:c r="M771" s="74"/>
      <x:c r="N771" s="85"/>
      <x:c r="P771" s="86"/>
      <x:c r="Q771" s="32"/>
    </x:row>
    <x:row r="772">
      <x:c r="A772" s="87"/>
      <x:c r="D772" s="32"/>
      <x:c r="I772" s="74"/>
      <x:c r="J772" s="74"/>
      <x:c r="K772" s="74"/>
      <x:c r="L772" s="74"/>
      <x:c r="M772" s="74"/>
      <x:c r="N772" s="85"/>
      <x:c r="P772" s="86"/>
      <x:c r="Q772" s="32"/>
    </x:row>
    <x:row r="773">
      <x:c r="A773" s="87"/>
      <x:c r="D773" s="32"/>
      <x:c r="I773" s="74"/>
      <x:c r="J773" s="74"/>
      <x:c r="K773" s="74"/>
      <x:c r="L773" s="74"/>
      <x:c r="M773" s="74"/>
      <x:c r="N773" s="85"/>
      <x:c r="P773" s="86"/>
      <x:c r="Q773" s="32"/>
    </x:row>
    <x:row r="774">
      <x:c r="A774" s="87"/>
      <x:c r="D774" s="32"/>
      <x:c r="I774" s="74"/>
      <x:c r="J774" s="74"/>
      <x:c r="K774" s="74"/>
      <x:c r="L774" s="74"/>
      <x:c r="M774" s="74"/>
      <x:c r="N774" s="85"/>
      <x:c r="P774" s="86"/>
      <x:c r="Q774" s="32"/>
    </x:row>
    <x:row r="775">
      <x:c r="A775" s="87"/>
      <x:c r="D775" s="32"/>
      <x:c r="I775" s="74"/>
      <x:c r="J775" s="74"/>
      <x:c r="K775" s="74"/>
      <x:c r="L775" s="74"/>
      <x:c r="M775" s="74"/>
      <x:c r="N775" s="85"/>
      <x:c r="P775" s="86"/>
      <x:c r="Q775" s="32"/>
    </x:row>
    <x:row r="776">
      <x:c r="A776" s="87"/>
      <x:c r="D776" s="32"/>
      <x:c r="I776" s="74"/>
      <x:c r="J776" s="74"/>
      <x:c r="K776" s="74"/>
      <x:c r="L776" s="74"/>
      <x:c r="M776" s="74"/>
      <x:c r="N776" s="85"/>
      <x:c r="P776" s="86"/>
      <x:c r="Q776" s="32"/>
    </x:row>
    <x:row r="777">
      <x:c r="A777" s="87"/>
      <x:c r="D777" s="32"/>
      <x:c r="I777" s="74"/>
      <x:c r="J777" s="74"/>
      <x:c r="K777" s="74"/>
      <x:c r="L777" s="74"/>
      <x:c r="M777" s="74"/>
      <x:c r="N777" s="85"/>
      <x:c r="P777" s="86"/>
      <x:c r="Q777" s="32"/>
    </x:row>
    <x:row r="778">
      <x:c r="A778" s="87"/>
      <x:c r="D778" s="32"/>
      <x:c r="I778" s="74"/>
      <x:c r="J778" s="74"/>
      <x:c r="K778" s="74"/>
      <x:c r="L778" s="74"/>
      <x:c r="M778" s="74"/>
      <x:c r="N778" s="85"/>
      <x:c r="P778" s="86"/>
      <x:c r="Q778" s="32"/>
    </x:row>
    <x:row r="779">
      <x:c r="A779" s="87"/>
      <x:c r="D779" s="32"/>
      <x:c r="I779" s="74"/>
      <x:c r="J779" s="74"/>
      <x:c r="K779" s="74"/>
      <x:c r="L779" s="74"/>
      <x:c r="M779" s="74"/>
      <x:c r="N779" s="85"/>
      <x:c r="P779" s="86"/>
      <x:c r="Q779" s="32"/>
    </x:row>
    <x:row r="780">
      <x:c r="A780" s="87"/>
      <x:c r="D780" s="32"/>
      <x:c r="I780" s="74"/>
      <x:c r="J780" s="74"/>
      <x:c r="K780" s="74"/>
      <x:c r="L780" s="74"/>
      <x:c r="M780" s="74"/>
      <x:c r="N780" s="85"/>
      <x:c r="P780" s="86"/>
      <x:c r="Q780" s="32"/>
    </x:row>
    <x:row r="781">
      <x:c r="A781" s="87"/>
      <x:c r="D781" s="32"/>
      <x:c r="I781" s="74"/>
      <x:c r="J781" s="74"/>
      <x:c r="K781" s="74"/>
      <x:c r="L781" s="74"/>
      <x:c r="M781" s="74"/>
      <x:c r="N781" s="85"/>
      <x:c r="P781" s="86"/>
      <x:c r="Q781" s="32"/>
    </x:row>
    <x:row r="782">
      <x:c r="A782" s="87"/>
      <x:c r="D782" s="32"/>
      <x:c r="I782" s="74"/>
      <x:c r="J782" s="74"/>
      <x:c r="K782" s="74"/>
      <x:c r="L782" s="74"/>
      <x:c r="M782" s="74"/>
      <x:c r="N782" s="85"/>
      <x:c r="P782" s="86"/>
      <x:c r="Q782" s="32"/>
    </x:row>
    <x:row r="783">
      <x:c r="A783" s="87"/>
      <x:c r="D783" s="32"/>
      <x:c r="I783" s="74"/>
      <x:c r="J783" s="74"/>
      <x:c r="K783" s="74"/>
      <x:c r="L783" s="74"/>
      <x:c r="M783" s="74"/>
      <x:c r="N783" s="85"/>
      <x:c r="P783" s="86"/>
      <x:c r="Q783" s="32"/>
    </x:row>
    <x:row r="784">
      <x:c r="A784" s="87"/>
      <x:c r="D784" s="32"/>
      <x:c r="I784" s="74"/>
      <x:c r="J784" s="74"/>
      <x:c r="K784" s="74"/>
      <x:c r="L784" s="74"/>
      <x:c r="M784" s="74"/>
      <x:c r="N784" s="85"/>
      <x:c r="P784" s="86"/>
      <x:c r="Q784" s="32"/>
    </x:row>
    <x:row r="785">
      <x:c r="A785" s="87"/>
      <x:c r="D785" s="32"/>
      <x:c r="I785" s="74"/>
      <x:c r="J785" s="74"/>
      <x:c r="K785" s="74"/>
      <x:c r="L785" s="74"/>
      <x:c r="M785" s="74"/>
      <x:c r="N785" s="85"/>
      <x:c r="P785" s="86"/>
      <x:c r="Q785" s="32"/>
    </x:row>
    <x:row r="786">
      <x:c r="A786" s="87"/>
      <x:c r="D786" s="32"/>
      <x:c r="I786" s="74"/>
      <x:c r="J786" s="74"/>
      <x:c r="K786" s="74"/>
      <x:c r="L786" s="74"/>
      <x:c r="M786" s="74"/>
      <x:c r="N786" s="85"/>
      <x:c r="P786" s="86"/>
      <x:c r="Q786" s="32"/>
    </x:row>
    <x:row r="787">
      <x:c r="A787" s="87"/>
      <x:c r="D787" s="32"/>
      <x:c r="I787" s="74"/>
      <x:c r="J787" s="74"/>
      <x:c r="K787" s="74"/>
      <x:c r="L787" s="74"/>
      <x:c r="M787" s="74"/>
      <x:c r="N787" s="85"/>
      <x:c r="P787" s="86"/>
      <x:c r="Q787" s="32"/>
    </x:row>
    <x:row r="788">
      <x:c r="A788" s="87"/>
      <x:c r="D788" s="32"/>
      <x:c r="I788" s="74"/>
      <x:c r="J788" s="74"/>
      <x:c r="K788" s="74"/>
      <x:c r="L788" s="74"/>
      <x:c r="M788" s="74"/>
      <x:c r="N788" s="85"/>
      <x:c r="P788" s="86"/>
      <x:c r="Q788" s="32"/>
    </x:row>
    <x:row r="789">
      <x:c r="A789" s="87"/>
      <x:c r="D789" s="32"/>
      <x:c r="I789" s="74"/>
      <x:c r="J789" s="74"/>
      <x:c r="K789" s="74"/>
      <x:c r="L789" s="74"/>
      <x:c r="M789" s="74"/>
      <x:c r="N789" s="85"/>
      <x:c r="P789" s="86"/>
      <x:c r="Q789" s="32"/>
    </x:row>
    <x:row r="790">
      <x:c r="A790" s="87"/>
      <x:c r="D790" s="32"/>
      <x:c r="I790" s="74"/>
      <x:c r="J790" s="74"/>
      <x:c r="K790" s="74"/>
      <x:c r="L790" s="74"/>
      <x:c r="M790" s="74"/>
      <x:c r="N790" s="85"/>
      <x:c r="P790" s="86"/>
      <x:c r="Q790" s="32"/>
    </x:row>
    <x:row r="791">
      <x:c r="A791" s="87"/>
      <x:c r="D791" s="32"/>
      <x:c r="I791" s="74"/>
      <x:c r="J791" s="74"/>
      <x:c r="K791" s="74"/>
      <x:c r="L791" s="74"/>
      <x:c r="M791" s="74"/>
      <x:c r="N791" s="85"/>
      <x:c r="P791" s="86"/>
      <x:c r="Q791" s="32"/>
    </x:row>
    <x:row r="792">
      <x:c r="A792" s="87"/>
      <x:c r="D792" s="32"/>
      <x:c r="I792" s="74"/>
      <x:c r="J792" s="74"/>
      <x:c r="K792" s="74"/>
      <x:c r="L792" s="74"/>
      <x:c r="M792" s="74"/>
      <x:c r="N792" s="85"/>
      <x:c r="P792" s="86"/>
      <x:c r="Q792" s="32"/>
    </x:row>
    <x:row r="793">
      <x:c r="A793" s="87"/>
      <x:c r="D793" s="32"/>
      <x:c r="I793" s="74"/>
      <x:c r="J793" s="74"/>
      <x:c r="K793" s="74"/>
      <x:c r="L793" s="74"/>
      <x:c r="M793" s="74"/>
      <x:c r="N793" s="85"/>
      <x:c r="P793" s="86"/>
      <x:c r="Q793" s="32"/>
    </x:row>
    <x:row r="794">
      <x:c r="A794" s="87"/>
      <x:c r="D794" s="32"/>
      <x:c r="I794" s="74"/>
      <x:c r="J794" s="74"/>
      <x:c r="K794" s="74"/>
      <x:c r="L794" s="74"/>
      <x:c r="M794" s="74"/>
      <x:c r="N794" s="85"/>
      <x:c r="P794" s="86"/>
      <x:c r="Q794" s="32"/>
    </x:row>
    <x:row r="795">
      <x:c r="A795" s="87"/>
      <x:c r="D795" s="32"/>
      <x:c r="I795" s="74"/>
      <x:c r="J795" s="74"/>
      <x:c r="K795" s="74"/>
      <x:c r="L795" s="74"/>
      <x:c r="M795" s="74"/>
      <x:c r="N795" s="85"/>
      <x:c r="P795" s="86"/>
      <x:c r="Q795" s="32"/>
    </x:row>
    <x:row r="796">
      <x:c r="A796" s="87"/>
      <x:c r="D796" s="32"/>
      <x:c r="I796" s="74"/>
      <x:c r="J796" s="74"/>
      <x:c r="K796" s="74"/>
      <x:c r="L796" s="74"/>
      <x:c r="M796" s="74"/>
      <x:c r="N796" s="85"/>
      <x:c r="P796" s="86"/>
      <x:c r="Q796" s="32"/>
    </x:row>
    <x:row r="797">
      <x:c r="A797" s="87"/>
      <x:c r="D797" s="32"/>
      <x:c r="I797" s="74"/>
      <x:c r="J797" s="74"/>
      <x:c r="K797" s="74"/>
      <x:c r="L797" s="74"/>
      <x:c r="M797" s="74"/>
      <x:c r="N797" s="85"/>
      <x:c r="P797" s="86"/>
      <x:c r="Q797" s="32"/>
    </x:row>
    <x:row r="798">
      <x:c r="A798" s="87"/>
      <x:c r="D798" s="32"/>
      <x:c r="I798" s="74"/>
      <x:c r="J798" s="74"/>
      <x:c r="K798" s="74"/>
      <x:c r="L798" s="74"/>
      <x:c r="M798" s="74"/>
      <x:c r="N798" s="85"/>
      <x:c r="P798" s="86"/>
      <x:c r="Q798" s="32"/>
    </x:row>
    <x:row r="799">
      <x:c r="A799" s="87"/>
      <x:c r="D799" s="32"/>
      <x:c r="I799" s="74"/>
      <x:c r="J799" s="74"/>
      <x:c r="K799" s="74"/>
      <x:c r="L799" s="74"/>
      <x:c r="M799" s="74"/>
      <x:c r="N799" s="85"/>
      <x:c r="P799" s="86"/>
      <x:c r="Q799" s="32"/>
    </x:row>
    <x:row r="800">
      <x:c r="A800" s="87"/>
      <x:c r="D800" s="32"/>
      <x:c r="I800" s="74"/>
      <x:c r="J800" s="74"/>
      <x:c r="K800" s="74"/>
      <x:c r="L800" s="74"/>
      <x:c r="M800" s="74"/>
      <x:c r="N800" s="85"/>
      <x:c r="P800" s="86"/>
      <x:c r="Q800" s="32"/>
    </x:row>
    <x:row r="801">
      <x:c r="A801" s="87"/>
      <x:c r="D801" s="32"/>
      <x:c r="I801" s="74"/>
      <x:c r="J801" s="74"/>
      <x:c r="K801" s="74"/>
      <x:c r="L801" s="74"/>
      <x:c r="M801" s="74"/>
      <x:c r="N801" s="85"/>
      <x:c r="P801" s="86"/>
      <x:c r="Q801" s="32"/>
    </x:row>
    <x:row r="802">
      <x:c r="A802" s="87"/>
      <x:c r="D802" s="32"/>
      <x:c r="I802" s="74"/>
      <x:c r="J802" s="74"/>
      <x:c r="K802" s="74"/>
      <x:c r="L802" s="74"/>
      <x:c r="M802" s="74"/>
      <x:c r="N802" s="85"/>
      <x:c r="P802" s="86"/>
      <x:c r="Q802" s="32"/>
    </x:row>
    <x:row r="803">
      <x:c r="A803" s="87"/>
      <x:c r="D803" s="32"/>
      <x:c r="I803" s="74"/>
      <x:c r="J803" s="74"/>
      <x:c r="K803" s="74"/>
      <x:c r="L803" s="74"/>
      <x:c r="M803" s="74"/>
      <x:c r="N803" s="85"/>
      <x:c r="P803" s="86"/>
      <x:c r="Q803" s="32"/>
    </x:row>
    <x:row r="804">
      <x:c r="A804" s="87"/>
      <x:c r="D804" s="32"/>
      <x:c r="I804" s="74"/>
      <x:c r="J804" s="74"/>
      <x:c r="K804" s="74"/>
      <x:c r="L804" s="74"/>
      <x:c r="M804" s="74"/>
      <x:c r="N804" s="85"/>
      <x:c r="P804" s="86"/>
      <x:c r="Q804" s="32"/>
    </x:row>
    <x:row r="805">
      <x:c r="A805" s="87"/>
      <x:c r="D805" s="32"/>
      <x:c r="I805" s="74"/>
      <x:c r="J805" s="74"/>
      <x:c r="K805" s="74"/>
      <x:c r="L805" s="74"/>
      <x:c r="M805" s="74"/>
      <x:c r="N805" s="85"/>
      <x:c r="P805" s="86"/>
      <x:c r="Q805" s="32"/>
    </x:row>
    <x:row r="806">
      <x:c r="A806" s="87"/>
      <x:c r="D806" s="32"/>
      <x:c r="I806" s="74"/>
      <x:c r="J806" s="74"/>
      <x:c r="K806" s="74"/>
      <x:c r="L806" s="74"/>
      <x:c r="M806" s="74"/>
      <x:c r="N806" s="85"/>
      <x:c r="P806" s="86"/>
      <x:c r="Q806" s="32"/>
    </x:row>
    <x:row r="807">
      <x:c r="A807" s="87"/>
      <x:c r="D807" s="32"/>
      <x:c r="I807" s="74"/>
      <x:c r="J807" s="74"/>
      <x:c r="K807" s="74"/>
      <x:c r="L807" s="74"/>
      <x:c r="M807" s="74"/>
      <x:c r="N807" s="85"/>
      <x:c r="P807" s="86"/>
      <x:c r="Q807" s="32"/>
    </x:row>
    <x:row r="808">
      <x:c r="A808" s="87"/>
      <x:c r="D808" s="32"/>
      <x:c r="I808" s="74"/>
      <x:c r="J808" s="74"/>
      <x:c r="K808" s="74"/>
      <x:c r="L808" s="74"/>
      <x:c r="M808" s="74"/>
      <x:c r="N808" s="85"/>
      <x:c r="P808" s="86"/>
      <x:c r="Q808" s="32"/>
    </x:row>
    <x:row r="809">
      <x:c r="A809" s="87"/>
      <x:c r="D809" s="32"/>
      <x:c r="I809" s="74"/>
      <x:c r="J809" s="74"/>
      <x:c r="K809" s="74"/>
      <x:c r="L809" s="74"/>
      <x:c r="M809" s="74"/>
      <x:c r="N809" s="85"/>
      <x:c r="P809" s="86"/>
      <x:c r="Q809" s="32"/>
    </x:row>
    <x:row r="810">
      <x:c r="A810" s="87"/>
      <x:c r="D810" s="32"/>
      <x:c r="I810" s="74"/>
      <x:c r="J810" s="74"/>
      <x:c r="K810" s="74"/>
      <x:c r="L810" s="74"/>
      <x:c r="M810" s="74"/>
      <x:c r="N810" s="85"/>
      <x:c r="P810" s="86"/>
      <x:c r="Q810" s="32"/>
    </x:row>
    <x:row r="811">
      <x:c r="A811" s="87"/>
      <x:c r="D811" s="32"/>
      <x:c r="I811" s="74"/>
      <x:c r="J811" s="74"/>
      <x:c r="K811" s="74"/>
      <x:c r="L811" s="74"/>
      <x:c r="M811" s="74"/>
      <x:c r="N811" s="85"/>
      <x:c r="P811" s="86"/>
      <x:c r="Q811" s="32"/>
    </x:row>
    <x:row r="812">
      <x:c r="A812" s="87"/>
      <x:c r="D812" s="32"/>
      <x:c r="I812" s="74"/>
      <x:c r="J812" s="74"/>
      <x:c r="K812" s="74"/>
      <x:c r="L812" s="74"/>
      <x:c r="M812" s="74"/>
      <x:c r="N812" s="85"/>
      <x:c r="P812" s="86"/>
      <x:c r="Q812" s="32"/>
    </x:row>
    <x:row r="813">
      <x:c r="A813" s="87"/>
      <x:c r="D813" s="32"/>
      <x:c r="I813" s="74"/>
      <x:c r="J813" s="74"/>
      <x:c r="K813" s="74"/>
      <x:c r="L813" s="74"/>
      <x:c r="M813" s="74"/>
      <x:c r="N813" s="85"/>
      <x:c r="P813" s="86"/>
      <x:c r="Q813" s="32"/>
    </x:row>
    <x:row r="814">
      <x:c r="A814" s="87"/>
      <x:c r="D814" s="32"/>
      <x:c r="I814" s="74"/>
      <x:c r="J814" s="74"/>
      <x:c r="K814" s="74"/>
      <x:c r="L814" s="74"/>
      <x:c r="M814" s="74"/>
      <x:c r="N814" s="85"/>
      <x:c r="P814" s="86"/>
      <x:c r="Q814" s="32"/>
    </x:row>
    <x:row r="815">
      <x:c r="A815" s="87"/>
      <x:c r="D815" s="32"/>
      <x:c r="I815" s="74"/>
      <x:c r="J815" s="74"/>
      <x:c r="K815" s="74"/>
      <x:c r="L815" s="74"/>
      <x:c r="M815" s="74"/>
      <x:c r="N815" s="85"/>
      <x:c r="P815" s="86"/>
      <x:c r="Q815" s="32"/>
    </x:row>
    <x:row r="816">
      <x:c r="A816" s="87"/>
      <x:c r="D816" s="32"/>
      <x:c r="I816" s="74"/>
      <x:c r="J816" s="74"/>
      <x:c r="K816" s="74"/>
      <x:c r="L816" s="74"/>
      <x:c r="M816" s="74"/>
      <x:c r="N816" s="85"/>
      <x:c r="P816" s="86"/>
      <x:c r="Q816" s="32"/>
    </x:row>
    <x:row r="817">
      <x:c r="A817" s="87"/>
      <x:c r="D817" s="32"/>
      <x:c r="I817" s="74"/>
      <x:c r="J817" s="74"/>
      <x:c r="K817" s="74"/>
      <x:c r="L817" s="74"/>
      <x:c r="M817" s="74"/>
      <x:c r="N817" s="85"/>
      <x:c r="P817" s="86"/>
      <x:c r="Q817" s="32"/>
    </x:row>
    <x:row r="818">
      <x:c r="A818" s="87"/>
      <x:c r="D818" s="32"/>
      <x:c r="I818" s="74"/>
      <x:c r="J818" s="74"/>
      <x:c r="K818" s="74"/>
      <x:c r="L818" s="74"/>
      <x:c r="M818" s="74"/>
      <x:c r="N818" s="85"/>
      <x:c r="P818" s="86"/>
      <x:c r="Q818" s="32"/>
    </x:row>
    <x:row r="819">
      <x:c r="A819" s="87"/>
      <x:c r="D819" s="32"/>
      <x:c r="I819" s="74"/>
      <x:c r="J819" s="74"/>
      <x:c r="K819" s="74"/>
      <x:c r="L819" s="74"/>
      <x:c r="M819" s="74"/>
      <x:c r="N819" s="85"/>
      <x:c r="P819" s="86"/>
      <x:c r="Q819" s="32"/>
    </x:row>
    <x:row r="820">
      <x:c r="A820" s="87"/>
      <x:c r="D820" s="32"/>
      <x:c r="I820" s="74"/>
      <x:c r="J820" s="74"/>
      <x:c r="K820" s="74"/>
      <x:c r="L820" s="74"/>
      <x:c r="M820" s="74"/>
      <x:c r="N820" s="85"/>
      <x:c r="P820" s="86"/>
      <x:c r="Q820" s="32"/>
    </x:row>
    <x:row r="821">
      <x:c r="A821" s="87"/>
      <x:c r="D821" s="32"/>
      <x:c r="I821" s="74"/>
      <x:c r="J821" s="74"/>
      <x:c r="K821" s="74"/>
      <x:c r="L821" s="74"/>
      <x:c r="M821" s="74"/>
      <x:c r="N821" s="85"/>
      <x:c r="P821" s="86"/>
      <x:c r="Q821" s="32"/>
    </x:row>
    <x:row r="822">
      <x:c r="A822" s="87"/>
      <x:c r="D822" s="32"/>
      <x:c r="I822" s="74"/>
      <x:c r="J822" s="74"/>
      <x:c r="K822" s="74"/>
      <x:c r="L822" s="74"/>
      <x:c r="M822" s="74"/>
      <x:c r="N822" s="85"/>
      <x:c r="P822" s="86"/>
      <x:c r="Q822" s="32"/>
    </x:row>
    <x:row r="823">
      <x:c r="A823" s="87"/>
      <x:c r="D823" s="32"/>
      <x:c r="I823" s="74"/>
      <x:c r="J823" s="74"/>
      <x:c r="K823" s="74"/>
      <x:c r="L823" s="74"/>
      <x:c r="M823" s="74"/>
      <x:c r="N823" s="85"/>
      <x:c r="P823" s="86"/>
      <x:c r="Q823" s="32"/>
    </x:row>
    <x:row r="824">
      <x:c r="A824" s="87"/>
      <x:c r="D824" s="32"/>
      <x:c r="I824" s="74"/>
      <x:c r="J824" s="74"/>
      <x:c r="K824" s="74"/>
      <x:c r="L824" s="74"/>
      <x:c r="M824" s="74"/>
      <x:c r="N824" s="85"/>
      <x:c r="P824" s="86"/>
      <x:c r="Q824" s="32"/>
    </x:row>
    <x:row r="825">
      <x:c r="A825" s="87"/>
      <x:c r="D825" s="32"/>
      <x:c r="I825" s="74"/>
      <x:c r="J825" s="74"/>
      <x:c r="K825" s="74"/>
      <x:c r="L825" s="74"/>
      <x:c r="M825" s="74"/>
      <x:c r="N825" s="85"/>
      <x:c r="P825" s="86"/>
      <x:c r="Q825" s="32"/>
    </x:row>
    <x:row r="826">
      <x:c r="A826" s="87"/>
      <x:c r="D826" s="32"/>
      <x:c r="I826" s="74"/>
      <x:c r="J826" s="74"/>
      <x:c r="K826" s="74"/>
      <x:c r="L826" s="74"/>
      <x:c r="M826" s="74"/>
      <x:c r="N826" s="85"/>
      <x:c r="P826" s="86"/>
      <x:c r="Q826" s="32"/>
    </x:row>
    <x:row r="827">
      <x:c r="A827" s="87"/>
      <x:c r="D827" s="32"/>
      <x:c r="I827" s="74"/>
      <x:c r="J827" s="74"/>
      <x:c r="K827" s="74"/>
      <x:c r="L827" s="74"/>
      <x:c r="M827" s="74"/>
      <x:c r="N827" s="85"/>
      <x:c r="P827" s="86"/>
      <x:c r="Q827" s="32"/>
    </x:row>
    <x:row r="828">
      <x:c r="A828" s="87"/>
      <x:c r="D828" s="32"/>
      <x:c r="I828" s="74"/>
      <x:c r="J828" s="74"/>
      <x:c r="K828" s="74"/>
      <x:c r="L828" s="74"/>
      <x:c r="M828" s="74"/>
      <x:c r="N828" s="85"/>
      <x:c r="P828" s="86"/>
      <x:c r="Q828" s="32"/>
    </x:row>
    <x:row r="829">
      <x:c r="A829" s="87"/>
      <x:c r="D829" s="32"/>
      <x:c r="I829" s="74"/>
      <x:c r="J829" s="74"/>
      <x:c r="K829" s="74"/>
      <x:c r="L829" s="74"/>
      <x:c r="M829" s="74"/>
      <x:c r="N829" s="85"/>
      <x:c r="P829" s="86"/>
      <x:c r="Q829" s="32"/>
    </x:row>
    <x:row r="830">
      <x:c r="A830" s="87"/>
      <x:c r="D830" s="32"/>
      <x:c r="I830" s="74"/>
      <x:c r="J830" s="74"/>
      <x:c r="K830" s="74"/>
      <x:c r="L830" s="74"/>
      <x:c r="M830" s="74"/>
      <x:c r="N830" s="85"/>
      <x:c r="P830" s="86"/>
      <x:c r="Q830" s="32"/>
    </x:row>
    <x:row r="831">
      <x:c r="A831" s="87"/>
      <x:c r="D831" s="32"/>
      <x:c r="I831" s="74"/>
      <x:c r="J831" s="74"/>
      <x:c r="K831" s="74"/>
      <x:c r="L831" s="74"/>
      <x:c r="M831" s="74"/>
      <x:c r="N831" s="85"/>
      <x:c r="P831" s="86"/>
      <x:c r="Q831" s="32"/>
    </x:row>
    <x:row r="832">
      <x:c r="A832" s="87"/>
      <x:c r="D832" s="32"/>
      <x:c r="I832" s="74"/>
      <x:c r="J832" s="74"/>
      <x:c r="K832" s="74"/>
      <x:c r="L832" s="74"/>
      <x:c r="M832" s="74"/>
      <x:c r="N832" s="85"/>
      <x:c r="P832" s="86"/>
      <x:c r="Q832" s="32"/>
    </x:row>
    <x:row r="833">
      <x:c r="A833" s="87"/>
      <x:c r="D833" s="32"/>
      <x:c r="I833" s="74"/>
      <x:c r="J833" s="74"/>
      <x:c r="K833" s="74"/>
      <x:c r="L833" s="74"/>
      <x:c r="M833" s="74"/>
      <x:c r="N833" s="85"/>
      <x:c r="P833" s="86"/>
      <x:c r="Q833" s="32"/>
    </x:row>
    <x:row r="834">
      <x:c r="A834" s="87"/>
      <x:c r="D834" s="32"/>
      <x:c r="I834" s="74"/>
      <x:c r="J834" s="74"/>
      <x:c r="K834" s="74"/>
      <x:c r="L834" s="74"/>
      <x:c r="M834" s="74"/>
      <x:c r="N834" s="85"/>
      <x:c r="P834" s="86"/>
      <x:c r="Q834" s="32"/>
    </x:row>
    <x:row r="835">
      <x:c r="A835" s="87"/>
      <x:c r="D835" s="32"/>
      <x:c r="I835" s="74"/>
      <x:c r="J835" s="74"/>
      <x:c r="K835" s="74"/>
      <x:c r="L835" s="74"/>
      <x:c r="M835" s="74"/>
      <x:c r="N835" s="85"/>
      <x:c r="P835" s="86"/>
      <x:c r="Q835" s="32"/>
    </x:row>
    <x:row r="836">
      <x:c r="A836" s="87"/>
      <x:c r="D836" s="32"/>
      <x:c r="I836" s="74"/>
      <x:c r="J836" s="74"/>
      <x:c r="K836" s="74"/>
      <x:c r="L836" s="74"/>
      <x:c r="M836" s="74"/>
      <x:c r="N836" s="85"/>
      <x:c r="P836" s="86"/>
      <x:c r="Q836" s="32"/>
    </x:row>
    <x:row r="837">
      <x:c r="A837" s="87"/>
      <x:c r="D837" s="32"/>
      <x:c r="I837" s="74"/>
      <x:c r="J837" s="74"/>
      <x:c r="K837" s="74"/>
      <x:c r="L837" s="74"/>
      <x:c r="M837" s="74"/>
      <x:c r="N837" s="85"/>
      <x:c r="P837" s="86"/>
      <x:c r="Q837" s="32"/>
    </x:row>
    <x:row r="838">
      <x:c r="A838" s="87"/>
      <x:c r="D838" s="32"/>
      <x:c r="I838" s="74"/>
      <x:c r="J838" s="74"/>
      <x:c r="K838" s="74"/>
      <x:c r="L838" s="74"/>
      <x:c r="M838" s="74"/>
      <x:c r="N838" s="85"/>
      <x:c r="P838" s="86"/>
      <x:c r="Q838" s="32"/>
    </x:row>
    <x:row r="839">
      <x:c r="A839" s="87"/>
      <x:c r="D839" s="32"/>
      <x:c r="I839" s="74"/>
      <x:c r="J839" s="74"/>
      <x:c r="K839" s="74"/>
      <x:c r="L839" s="74"/>
      <x:c r="M839" s="74"/>
      <x:c r="N839" s="85"/>
      <x:c r="P839" s="86"/>
      <x:c r="Q839" s="32"/>
    </x:row>
    <x:row r="840">
      <x:c r="A840" s="87"/>
      <x:c r="D840" s="32"/>
      <x:c r="I840" s="74"/>
      <x:c r="J840" s="74"/>
      <x:c r="K840" s="74"/>
      <x:c r="L840" s="74"/>
      <x:c r="M840" s="74"/>
      <x:c r="N840" s="85"/>
      <x:c r="P840" s="86"/>
      <x:c r="Q840" s="32"/>
    </x:row>
    <x:row r="841">
      <x:c r="A841" s="87"/>
      <x:c r="D841" s="32"/>
      <x:c r="I841" s="74"/>
      <x:c r="J841" s="74"/>
      <x:c r="K841" s="74"/>
      <x:c r="L841" s="74"/>
      <x:c r="M841" s="74"/>
      <x:c r="N841" s="85"/>
      <x:c r="P841" s="86"/>
      <x:c r="Q841" s="32"/>
    </x:row>
    <x:row r="842">
      <x:c r="A842" s="87"/>
      <x:c r="D842" s="32"/>
      <x:c r="I842" s="74"/>
      <x:c r="J842" s="74"/>
      <x:c r="K842" s="74"/>
      <x:c r="L842" s="74"/>
      <x:c r="M842" s="74"/>
      <x:c r="N842" s="85"/>
      <x:c r="P842" s="86"/>
      <x:c r="Q842" s="32"/>
    </x:row>
    <x:row r="843">
      <x:c r="A843" s="87"/>
      <x:c r="D843" s="32"/>
      <x:c r="I843" s="74"/>
      <x:c r="J843" s="74"/>
      <x:c r="K843" s="74"/>
      <x:c r="L843" s="74"/>
      <x:c r="M843" s="74"/>
      <x:c r="N843" s="85"/>
      <x:c r="P843" s="86"/>
      <x:c r="Q843" s="32"/>
    </x:row>
    <x:row r="844">
      <x:c r="A844" s="87"/>
      <x:c r="D844" s="32"/>
      <x:c r="I844" s="74"/>
      <x:c r="J844" s="74"/>
      <x:c r="K844" s="74"/>
      <x:c r="L844" s="74"/>
      <x:c r="M844" s="74"/>
      <x:c r="N844" s="85"/>
      <x:c r="P844" s="86"/>
      <x:c r="Q844" s="32"/>
    </x:row>
    <x:row r="845">
      <x:c r="A845" s="87"/>
      <x:c r="D845" s="32"/>
      <x:c r="I845" s="74"/>
      <x:c r="J845" s="74"/>
      <x:c r="K845" s="74"/>
      <x:c r="L845" s="74"/>
      <x:c r="M845" s="74"/>
      <x:c r="N845" s="85"/>
      <x:c r="P845" s="86"/>
      <x:c r="Q845" s="32"/>
    </x:row>
    <x:row r="846">
      <x:c r="A846" s="87"/>
      <x:c r="D846" s="32"/>
      <x:c r="I846" s="74"/>
      <x:c r="J846" s="74"/>
      <x:c r="K846" s="74"/>
      <x:c r="L846" s="74"/>
      <x:c r="M846" s="74"/>
      <x:c r="N846" s="85"/>
      <x:c r="P846" s="86"/>
      <x:c r="Q846" s="32"/>
    </x:row>
    <x:row r="847">
      <x:c r="A847" s="87"/>
      <x:c r="D847" s="32"/>
      <x:c r="I847" s="74"/>
      <x:c r="J847" s="74"/>
      <x:c r="K847" s="74"/>
      <x:c r="L847" s="74"/>
      <x:c r="M847" s="74"/>
      <x:c r="N847" s="85"/>
      <x:c r="P847" s="86"/>
      <x:c r="Q847" s="32"/>
    </x:row>
    <x:row r="848">
      <x:c r="A848" s="87"/>
      <x:c r="D848" s="32"/>
      <x:c r="I848" s="74"/>
      <x:c r="J848" s="74"/>
      <x:c r="K848" s="74"/>
      <x:c r="L848" s="74"/>
      <x:c r="M848" s="74"/>
      <x:c r="N848" s="85"/>
      <x:c r="P848" s="86"/>
      <x:c r="Q848" s="32"/>
    </x:row>
    <x:row r="849">
      <x:c r="A849" s="87"/>
      <x:c r="D849" s="32"/>
      <x:c r="I849" s="74"/>
      <x:c r="J849" s="74"/>
      <x:c r="K849" s="74"/>
      <x:c r="L849" s="74"/>
      <x:c r="M849" s="74"/>
      <x:c r="N849" s="85"/>
      <x:c r="P849" s="86"/>
      <x:c r="Q849" s="32"/>
    </x:row>
    <x:row r="850">
      <x:c r="A850" s="87"/>
      <x:c r="D850" s="32"/>
      <x:c r="I850" s="74"/>
      <x:c r="J850" s="74"/>
      <x:c r="K850" s="74"/>
      <x:c r="L850" s="74"/>
      <x:c r="M850" s="74"/>
      <x:c r="N850" s="85"/>
      <x:c r="P850" s="86"/>
      <x:c r="Q850" s="32"/>
    </x:row>
    <x:row r="851">
      <x:c r="A851" s="87"/>
      <x:c r="D851" s="32"/>
      <x:c r="I851" s="74"/>
      <x:c r="J851" s="74"/>
      <x:c r="K851" s="74"/>
      <x:c r="L851" s="74"/>
      <x:c r="M851" s="74"/>
      <x:c r="N851" s="85"/>
      <x:c r="P851" s="86"/>
      <x:c r="Q851" s="32"/>
    </x:row>
    <x:row r="852">
      <x:c r="A852" s="87"/>
      <x:c r="D852" s="32"/>
      <x:c r="I852" s="74"/>
      <x:c r="J852" s="74"/>
      <x:c r="K852" s="74"/>
      <x:c r="L852" s="74"/>
      <x:c r="M852" s="74"/>
      <x:c r="N852" s="85"/>
      <x:c r="P852" s="86"/>
      <x:c r="Q852" s="32"/>
    </x:row>
    <x:row r="853">
      <x:c r="A853" s="87"/>
      <x:c r="D853" s="32"/>
      <x:c r="I853" s="74"/>
      <x:c r="J853" s="74"/>
      <x:c r="K853" s="74"/>
      <x:c r="L853" s="74"/>
      <x:c r="M853" s="74"/>
      <x:c r="N853" s="85"/>
      <x:c r="P853" s="86"/>
      <x:c r="Q853" s="32"/>
    </x:row>
    <x:row r="854">
      <x:c r="A854" s="87"/>
      <x:c r="D854" s="32"/>
      <x:c r="I854" s="74"/>
      <x:c r="J854" s="74"/>
      <x:c r="K854" s="74"/>
      <x:c r="L854" s="74"/>
      <x:c r="M854" s="74"/>
      <x:c r="N854" s="85"/>
      <x:c r="P854" s="86"/>
      <x:c r="Q854" s="32"/>
    </x:row>
    <x:row r="855">
      <x:c r="A855" s="87"/>
      <x:c r="D855" s="32"/>
      <x:c r="I855" s="74"/>
      <x:c r="J855" s="74"/>
      <x:c r="K855" s="74"/>
      <x:c r="L855" s="74"/>
      <x:c r="M855" s="74"/>
      <x:c r="N855" s="85"/>
      <x:c r="P855" s="86"/>
      <x:c r="Q855" s="32"/>
    </x:row>
    <x:row r="856">
      <x:c r="A856" s="87"/>
      <x:c r="D856" s="32"/>
      <x:c r="I856" s="74"/>
      <x:c r="J856" s="74"/>
      <x:c r="K856" s="74"/>
      <x:c r="L856" s="74"/>
      <x:c r="M856" s="74"/>
      <x:c r="N856" s="85"/>
      <x:c r="P856" s="86"/>
      <x:c r="Q856" s="32"/>
    </x:row>
    <x:row r="857">
      <x:c r="A857" s="87"/>
      <x:c r="D857" s="32"/>
      <x:c r="I857" s="74"/>
      <x:c r="J857" s="74"/>
      <x:c r="K857" s="74"/>
      <x:c r="L857" s="74"/>
      <x:c r="M857" s="74"/>
      <x:c r="N857" s="85"/>
      <x:c r="P857" s="86"/>
      <x:c r="Q857" s="32"/>
    </x:row>
    <x:row r="858">
      <x:c r="A858" s="87"/>
      <x:c r="D858" s="32"/>
      <x:c r="I858" s="74"/>
      <x:c r="J858" s="74"/>
      <x:c r="K858" s="74"/>
      <x:c r="L858" s="74"/>
      <x:c r="M858" s="74"/>
      <x:c r="N858" s="85"/>
      <x:c r="P858" s="86"/>
      <x:c r="Q858" s="32"/>
    </x:row>
    <x:row r="859">
      <x:c r="A859" s="87"/>
      <x:c r="D859" s="32"/>
      <x:c r="I859" s="74"/>
      <x:c r="J859" s="74"/>
      <x:c r="K859" s="74"/>
      <x:c r="L859" s="74"/>
      <x:c r="M859" s="74"/>
      <x:c r="N859" s="85"/>
      <x:c r="P859" s="86"/>
      <x:c r="Q859" s="32"/>
    </x:row>
    <x:row r="860">
      <x:c r="A860" s="87"/>
      <x:c r="D860" s="32"/>
      <x:c r="I860" s="74"/>
      <x:c r="J860" s="74"/>
      <x:c r="K860" s="74"/>
      <x:c r="L860" s="74"/>
      <x:c r="M860" s="74"/>
      <x:c r="N860" s="85"/>
      <x:c r="P860" s="86"/>
      <x:c r="Q860" s="32"/>
    </x:row>
    <x:row r="861">
      <x:c r="A861" s="87"/>
      <x:c r="D861" s="32"/>
      <x:c r="I861" s="74"/>
      <x:c r="J861" s="74"/>
      <x:c r="K861" s="74"/>
      <x:c r="L861" s="74"/>
      <x:c r="M861" s="74"/>
      <x:c r="N861" s="85"/>
      <x:c r="P861" s="86"/>
      <x:c r="Q861" s="32"/>
    </x:row>
    <x:row r="862">
      <x:c r="A862" s="87"/>
      <x:c r="D862" s="32"/>
      <x:c r="I862" s="74"/>
      <x:c r="J862" s="74"/>
      <x:c r="K862" s="74"/>
      <x:c r="L862" s="74"/>
      <x:c r="M862" s="74"/>
      <x:c r="N862" s="85"/>
      <x:c r="P862" s="86"/>
      <x:c r="Q862" s="32"/>
    </x:row>
    <x:row r="863">
      <x:c r="A863" s="87"/>
      <x:c r="D863" s="32"/>
      <x:c r="I863" s="74"/>
      <x:c r="J863" s="74"/>
      <x:c r="K863" s="74"/>
      <x:c r="L863" s="74"/>
      <x:c r="M863" s="74"/>
      <x:c r="N863" s="85"/>
      <x:c r="P863" s="86"/>
      <x:c r="Q863" s="32"/>
    </x:row>
    <x:row r="864">
      <x:c r="A864" s="87"/>
      <x:c r="D864" s="32"/>
      <x:c r="I864" s="74"/>
      <x:c r="J864" s="74"/>
      <x:c r="K864" s="74"/>
      <x:c r="L864" s="74"/>
      <x:c r="M864" s="74"/>
      <x:c r="N864" s="85"/>
      <x:c r="P864" s="86"/>
      <x:c r="Q864" s="32"/>
    </x:row>
    <x:row r="865">
      <x:c r="A865" s="87"/>
      <x:c r="D865" s="32"/>
      <x:c r="I865" s="74"/>
      <x:c r="J865" s="74"/>
      <x:c r="K865" s="74"/>
      <x:c r="L865" s="74"/>
      <x:c r="M865" s="74"/>
      <x:c r="N865" s="85"/>
      <x:c r="P865" s="86"/>
      <x:c r="Q865" s="32"/>
    </x:row>
    <x:row r="866">
      <x:c r="A866" s="87"/>
      <x:c r="D866" s="32"/>
      <x:c r="I866" s="74"/>
      <x:c r="J866" s="74"/>
      <x:c r="K866" s="74"/>
      <x:c r="L866" s="74"/>
      <x:c r="M866" s="74"/>
      <x:c r="N866" s="85"/>
      <x:c r="P866" s="86"/>
      <x:c r="Q866" s="32"/>
    </x:row>
    <x:row r="867">
      <x:c r="A867" s="87"/>
      <x:c r="D867" s="32"/>
      <x:c r="I867" s="74"/>
      <x:c r="J867" s="74"/>
      <x:c r="K867" s="74"/>
      <x:c r="L867" s="74"/>
      <x:c r="M867" s="74"/>
      <x:c r="N867" s="85"/>
      <x:c r="P867" s="86"/>
      <x:c r="Q867" s="32"/>
    </x:row>
    <x:row r="868">
      <x:c r="A868" s="87"/>
      <x:c r="D868" s="32"/>
      <x:c r="I868" s="74"/>
      <x:c r="J868" s="74"/>
      <x:c r="K868" s="74"/>
      <x:c r="L868" s="74"/>
      <x:c r="M868" s="74"/>
      <x:c r="N868" s="85"/>
      <x:c r="P868" s="86"/>
      <x:c r="Q868" s="32"/>
    </x:row>
    <x:row r="869">
      <x:c r="A869" s="87"/>
      <x:c r="D869" s="32"/>
      <x:c r="I869" s="74"/>
      <x:c r="J869" s="74"/>
      <x:c r="K869" s="74"/>
      <x:c r="L869" s="74"/>
      <x:c r="M869" s="74"/>
      <x:c r="N869" s="85"/>
      <x:c r="P869" s="86"/>
      <x:c r="Q869" s="32"/>
    </x:row>
    <x:row r="870">
      <x:c r="A870" s="87"/>
      <x:c r="D870" s="32"/>
      <x:c r="I870" s="74"/>
      <x:c r="J870" s="74"/>
      <x:c r="K870" s="74"/>
      <x:c r="L870" s="74"/>
      <x:c r="M870" s="74"/>
      <x:c r="N870" s="85"/>
      <x:c r="P870" s="86"/>
      <x:c r="Q870" s="32"/>
    </x:row>
    <x:row r="871">
      <x:c r="A871" s="87"/>
      <x:c r="D871" s="32"/>
      <x:c r="I871" s="74"/>
      <x:c r="J871" s="74"/>
      <x:c r="K871" s="74"/>
      <x:c r="L871" s="74"/>
      <x:c r="M871" s="74"/>
      <x:c r="N871" s="85"/>
      <x:c r="P871" s="86"/>
      <x:c r="Q871" s="32"/>
    </x:row>
    <x:row r="872">
      <x:c r="A872" s="87"/>
      <x:c r="D872" s="32"/>
      <x:c r="I872" s="74"/>
      <x:c r="J872" s="74"/>
      <x:c r="K872" s="74"/>
      <x:c r="L872" s="74"/>
      <x:c r="M872" s="74"/>
      <x:c r="N872" s="85"/>
      <x:c r="P872" s="86"/>
      <x:c r="Q872" s="32"/>
    </x:row>
    <x:row r="873">
      <x:c r="A873" s="87"/>
      <x:c r="D873" s="32"/>
      <x:c r="I873" s="74"/>
      <x:c r="J873" s="74"/>
      <x:c r="K873" s="74"/>
      <x:c r="L873" s="74"/>
      <x:c r="M873" s="74"/>
      <x:c r="N873" s="85"/>
      <x:c r="P873" s="86"/>
      <x:c r="Q873" s="32"/>
    </x:row>
    <x:row r="874">
      <x:c r="A874" s="87"/>
      <x:c r="D874" s="32"/>
      <x:c r="I874" s="74"/>
      <x:c r="J874" s="74"/>
      <x:c r="K874" s="74"/>
      <x:c r="L874" s="74"/>
      <x:c r="M874" s="74"/>
      <x:c r="N874" s="85"/>
      <x:c r="P874" s="86"/>
      <x:c r="Q874" s="32"/>
    </x:row>
    <x:row r="875">
      <x:c r="A875" s="87"/>
      <x:c r="D875" s="32"/>
      <x:c r="I875" s="74"/>
      <x:c r="J875" s="74"/>
      <x:c r="K875" s="74"/>
      <x:c r="L875" s="74"/>
      <x:c r="M875" s="74"/>
      <x:c r="N875" s="85"/>
      <x:c r="P875" s="86"/>
      <x:c r="Q875" s="32"/>
    </x:row>
    <x:row r="876">
      <x:c r="A876" s="87"/>
      <x:c r="D876" s="32"/>
      <x:c r="I876" s="74"/>
      <x:c r="J876" s="74"/>
      <x:c r="K876" s="74"/>
      <x:c r="L876" s="74"/>
      <x:c r="M876" s="74"/>
      <x:c r="N876" s="85"/>
      <x:c r="P876" s="86"/>
      <x:c r="Q876" s="32"/>
    </x:row>
    <x:row r="877">
      <x:c r="A877" s="87"/>
      <x:c r="D877" s="32"/>
      <x:c r="I877" s="74"/>
      <x:c r="J877" s="74"/>
      <x:c r="K877" s="74"/>
      <x:c r="L877" s="74"/>
      <x:c r="M877" s="74"/>
      <x:c r="N877" s="85"/>
      <x:c r="P877" s="86"/>
      <x:c r="Q877" s="32"/>
    </x:row>
    <x:row r="878">
      <x:c r="A878" s="87"/>
      <x:c r="D878" s="32"/>
      <x:c r="I878" s="74"/>
      <x:c r="J878" s="74"/>
      <x:c r="K878" s="74"/>
      <x:c r="L878" s="74"/>
      <x:c r="M878" s="74"/>
      <x:c r="N878" s="85"/>
      <x:c r="P878" s="86"/>
      <x:c r="Q878" s="32"/>
    </x:row>
    <x:row r="879">
      <x:c r="A879" s="87"/>
      <x:c r="D879" s="32"/>
      <x:c r="I879" s="74"/>
      <x:c r="J879" s="74"/>
      <x:c r="K879" s="74"/>
      <x:c r="L879" s="74"/>
      <x:c r="M879" s="74"/>
      <x:c r="N879" s="85"/>
      <x:c r="P879" s="86"/>
      <x:c r="Q879" s="32"/>
    </x:row>
    <x:row r="880">
      <x:c r="A880" s="87"/>
      <x:c r="D880" s="32"/>
      <x:c r="I880" s="74"/>
      <x:c r="J880" s="74"/>
      <x:c r="K880" s="74"/>
      <x:c r="L880" s="74"/>
      <x:c r="M880" s="74"/>
      <x:c r="N880" s="85"/>
      <x:c r="P880" s="86"/>
      <x:c r="Q880" s="32"/>
    </x:row>
    <x:row r="881">
      <x:c r="A881" s="87"/>
      <x:c r="D881" s="32"/>
      <x:c r="I881" s="74"/>
      <x:c r="J881" s="74"/>
      <x:c r="K881" s="74"/>
      <x:c r="L881" s="74"/>
      <x:c r="M881" s="74"/>
      <x:c r="N881" s="85"/>
      <x:c r="P881" s="86"/>
      <x:c r="Q881" s="32"/>
    </x:row>
    <x:row r="882">
      <x:c r="A882" s="87"/>
      <x:c r="D882" s="32"/>
      <x:c r="I882" s="74"/>
      <x:c r="J882" s="74"/>
      <x:c r="K882" s="74"/>
      <x:c r="L882" s="74"/>
      <x:c r="M882" s="74"/>
      <x:c r="N882" s="85"/>
      <x:c r="P882" s="86"/>
      <x:c r="Q882" s="32"/>
    </x:row>
    <x:row r="883">
      <x:c r="A883" s="87"/>
      <x:c r="D883" s="32"/>
      <x:c r="I883" s="74"/>
      <x:c r="J883" s="74"/>
      <x:c r="K883" s="74"/>
      <x:c r="L883" s="74"/>
      <x:c r="M883" s="74"/>
      <x:c r="N883" s="85"/>
      <x:c r="P883" s="86"/>
      <x:c r="Q883" s="32"/>
    </x:row>
    <x:row r="884">
      <x:c r="A884" s="87"/>
      <x:c r="D884" s="32"/>
      <x:c r="I884" s="74"/>
      <x:c r="J884" s="74"/>
      <x:c r="K884" s="74"/>
      <x:c r="L884" s="74"/>
      <x:c r="M884" s="74"/>
      <x:c r="N884" s="85"/>
      <x:c r="P884" s="86"/>
      <x:c r="Q884" s="32"/>
    </x:row>
    <x:row r="885">
      <x:c r="A885" s="87"/>
      <x:c r="D885" s="32"/>
      <x:c r="I885" s="74"/>
      <x:c r="J885" s="74"/>
      <x:c r="K885" s="74"/>
      <x:c r="L885" s="74"/>
      <x:c r="M885" s="74"/>
      <x:c r="N885" s="85"/>
      <x:c r="P885" s="86"/>
      <x:c r="Q885" s="32"/>
    </x:row>
    <x:row r="886">
      <x:c r="A886" s="87"/>
      <x:c r="D886" s="32"/>
      <x:c r="I886" s="74"/>
      <x:c r="J886" s="74"/>
      <x:c r="K886" s="74"/>
      <x:c r="L886" s="74"/>
      <x:c r="M886" s="74"/>
      <x:c r="N886" s="85"/>
      <x:c r="P886" s="86"/>
      <x:c r="Q886" s="32"/>
    </x:row>
    <x:row r="887">
      <x:c r="A887" s="87"/>
      <x:c r="D887" s="32"/>
      <x:c r="I887" s="74"/>
      <x:c r="J887" s="74"/>
      <x:c r="K887" s="74"/>
      <x:c r="L887" s="74"/>
      <x:c r="M887" s="74"/>
      <x:c r="N887" s="85"/>
      <x:c r="P887" s="86"/>
      <x:c r="Q887" s="32"/>
    </x:row>
    <x:row r="888">
      <x:c r="A888" s="87"/>
      <x:c r="D888" s="32"/>
      <x:c r="I888" s="74"/>
      <x:c r="J888" s="74"/>
      <x:c r="K888" s="74"/>
      <x:c r="L888" s="74"/>
      <x:c r="M888" s="74"/>
      <x:c r="N888" s="85"/>
      <x:c r="P888" s="86"/>
      <x:c r="Q888" s="32"/>
    </x:row>
    <x:row r="889">
      <x:c r="A889" s="87"/>
      <x:c r="D889" s="32"/>
      <x:c r="I889" s="74"/>
      <x:c r="J889" s="74"/>
      <x:c r="K889" s="74"/>
      <x:c r="L889" s="74"/>
      <x:c r="M889" s="74"/>
      <x:c r="N889" s="85"/>
      <x:c r="P889" s="86"/>
      <x:c r="Q889" s="32"/>
    </x:row>
    <x:row r="890">
      <x:c r="A890" s="87"/>
      <x:c r="D890" s="32"/>
      <x:c r="I890" s="74"/>
      <x:c r="J890" s="74"/>
      <x:c r="K890" s="74"/>
      <x:c r="L890" s="74"/>
      <x:c r="M890" s="74"/>
      <x:c r="N890" s="85"/>
      <x:c r="P890" s="86"/>
      <x:c r="Q890" s="32"/>
    </x:row>
    <x:row r="891">
      <x:c r="A891" s="87"/>
      <x:c r="D891" s="32"/>
      <x:c r="I891" s="74"/>
      <x:c r="J891" s="74"/>
      <x:c r="K891" s="74"/>
      <x:c r="L891" s="74"/>
      <x:c r="M891" s="74"/>
      <x:c r="N891" s="85"/>
      <x:c r="P891" s="86"/>
      <x:c r="Q891" s="32"/>
    </x:row>
    <x:row r="892">
      <x:c r="A892" s="87"/>
      <x:c r="D892" s="32"/>
      <x:c r="I892" s="74"/>
      <x:c r="J892" s="74"/>
      <x:c r="K892" s="74"/>
      <x:c r="L892" s="74"/>
      <x:c r="M892" s="74"/>
      <x:c r="N892" s="85"/>
      <x:c r="P892" s="86"/>
      <x:c r="Q892" s="32"/>
    </x:row>
    <x:row r="893">
      <x:c r="A893" s="87"/>
      <x:c r="D893" s="32"/>
      <x:c r="I893" s="74"/>
      <x:c r="J893" s="74"/>
      <x:c r="K893" s="74"/>
      <x:c r="L893" s="74"/>
      <x:c r="M893" s="74"/>
      <x:c r="N893" s="85"/>
      <x:c r="P893" s="86"/>
      <x:c r="Q893" s="32"/>
    </x:row>
    <x:row r="894">
      <x:c r="A894" s="87"/>
      <x:c r="D894" s="32"/>
      <x:c r="I894" s="74"/>
      <x:c r="J894" s="74"/>
      <x:c r="K894" s="74"/>
      <x:c r="L894" s="74"/>
      <x:c r="M894" s="74"/>
      <x:c r="N894" s="85"/>
      <x:c r="P894" s="86"/>
      <x:c r="Q894" s="32"/>
    </x:row>
    <x:row r="895">
      <x:c r="A895" s="87"/>
      <x:c r="D895" s="32"/>
      <x:c r="I895" s="74"/>
      <x:c r="J895" s="74"/>
      <x:c r="K895" s="74"/>
      <x:c r="L895" s="74"/>
      <x:c r="M895" s="74"/>
      <x:c r="N895" s="85"/>
      <x:c r="P895" s="86"/>
      <x:c r="Q895" s="32"/>
    </x:row>
    <x:row r="896">
      <x:c r="A896" s="87"/>
      <x:c r="D896" s="32"/>
      <x:c r="I896" s="74"/>
      <x:c r="J896" s="74"/>
      <x:c r="K896" s="74"/>
      <x:c r="L896" s="74"/>
      <x:c r="M896" s="74"/>
      <x:c r="N896" s="85"/>
      <x:c r="P896" s="86"/>
      <x:c r="Q896" s="32"/>
    </x:row>
    <x:row r="897">
      <x:c r="A897" s="87"/>
      <x:c r="D897" s="32"/>
      <x:c r="I897" s="74"/>
      <x:c r="J897" s="74"/>
      <x:c r="K897" s="74"/>
      <x:c r="L897" s="74"/>
      <x:c r="M897" s="74"/>
      <x:c r="N897" s="85"/>
      <x:c r="P897" s="86"/>
      <x:c r="Q897" s="32"/>
    </x:row>
    <x:row r="898">
      <x:c r="A898" s="87"/>
      <x:c r="D898" s="32"/>
      <x:c r="I898" s="74"/>
      <x:c r="J898" s="74"/>
      <x:c r="K898" s="74"/>
      <x:c r="L898" s="74"/>
      <x:c r="M898" s="74"/>
      <x:c r="N898" s="85"/>
      <x:c r="P898" s="86"/>
      <x:c r="Q898" s="32"/>
    </x:row>
    <x:row r="899">
      <x:c r="A899" s="87"/>
      <x:c r="D899" s="32"/>
      <x:c r="I899" s="74"/>
      <x:c r="J899" s="74"/>
      <x:c r="K899" s="74"/>
      <x:c r="L899" s="74"/>
      <x:c r="M899" s="74"/>
      <x:c r="N899" s="85"/>
      <x:c r="P899" s="86"/>
      <x:c r="Q899" s="32"/>
    </x:row>
    <x:row r="900">
      <x:c r="A900" s="87"/>
      <x:c r="D900" s="32"/>
      <x:c r="I900" s="74"/>
      <x:c r="J900" s="74"/>
      <x:c r="K900" s="74"/>
      <x:c r="L900" s="74"/>
      <x:c r="M900" s="74"/>
      <x:c r="N900" s="85"/>
      <x:c r="P900" s="86"/>
      <x:c r="Q900" s="32"/>
    </x:row>
    <x:row r="901">
      <x:c r="A901" s="87"/>
      <x:c r="D901" s="32"/>
      <x:c r="I901" s="74"/>
      <x:c r="J901" s="74"/>
      <x:c r="K901" s="74"/>
      <x:c r="L901" s="74"/>
      <x:c r="M901" s="74"/>
      <x:c r="N901" s="85"/>
      <x:c r="P901" s="86"/>
      <x:c r="Q901" s="32"/>
    </x:row>
    <x:row r="902">
      <x:c r="A902" s="87"/>
      <x:c r="D902" s="32"/>
      <x:c r="I902" s="74"/>
      <x:c r="J902" s="74"/>
      <x:c r="K902" s="74"/>
      <x:c r="L902" s="74"/>
      <x:c r="M902" s="74"/>
      <x:c r="N902" s="85"/>
      <x:c r="P902" s="86"/>
      <x:c r="Q902" s="32"/>
    </x:row>
    <x:row r="903">
      <x:c r="A903" s="87"/>
      <x:c r="D903" s="32"/>
      <x:c r="I903" s="74"/>
      <x:c r="J903" s="74"/>
      <x:c r="K903" s="74"/>
      <x:c r="L903" s="74"/>
      <x:c r="M903" s="74"/>
      <x:c r="N903" s="85"/>
      <x:c r="P903" s="86"/>
      <x:c r="Q903" s="32"/>
    </x:row>
    <x:row r="904">
      <x:c r="A904" s="87"/>
      <x:c r="D904" s="32"/>
      <x:c r="I904" s="74"/>
      <x:c r="J904" s="74"/>
      <x:c r="K904" s="74"/>
      <x:c r="L904" s="74"/>
      <x:c r="M904" s="74"/>
      <x:c r="N904" s="85"/>
      <x:c r="P904" s="86"/>
      <x:c r="Q904" s="32"/>
    </x:row>
    <x:row r="905">
      <x:c r="A905" s="87"/>
      <x:c r="D905" s="32"/>
      <x:c r="I905" s="74"/>
      <x:c r="J905" s="74"/>
      <x:c r="K905" s="74"/>
      <x:c r="L905" s="74"/>
      <x:c r="M905" s="74"/>
      <x:c r="N905" s="85"/>
      <x:c r="P905" s="86"/>
      <x:c r="Q905" s="32"/>
    </x:row>
    <x:row r="906">
      <x:c r="A906" s="87"/>
      <x:c r="D906" s="32"/>
      <x:c r="I906" s="74"/>
      <x:c r="J906" s="74"/>
      <x:c r="K906" s="74"/>
      <x:c r="L906" s="74"/>
      <x:c r="M906" s="74"/>
      <x:c r="N906" s="85"/>
      <x:c r="P906" s="86"/>
      <x:c r="Q906" s="32"/>
    </x:row>
    <x:row r="907">
      <x:c r="A907" s="87"/>
      <x:c r="D907" s="32"/>
      <x:c r="I907" s="74"/>
      <x:c r="J907" s="74"/>
      <x:c r="K907" s="74"/>
      <x:c r="L907" s="74"/>
      <x:c r="M907" s="74"/>
      <x:c r="N907" s="85"/>
      <x:c r="P907" s="86"/>
      <x:c r="Q907" s="32"/>
    </x:row>
    <x:row r="908">
      <x:c r="A908" s="87"/>
      <x:c r="D908" s="32"/>
      <x:c r="I908" s="74"/>
      <x:c r="J908" s="74"/>
      <x:c r="K908" s="74"/>
      <x:c r="L908" s="74"/>
      <x:c r="M908" s="74"/>
      <x:c r="N908" s="85"/>
      <x:c r="P908" s="86"/>
      <x:c r="Q908" s="32"/>
    </x:row>
    <x:row r="909">
      <x:c r="A909" s="87"/>
      <x:c r="D909" s="32"/>
      <x:c r="I909" s="74"/>
      <x:c r="J909" s="74"/>
      <x:c r="K909" s="74"/>
      <x:c r="L909" s="74"/>
      <x:c r="M909" s="74"/>
      <x:c r="N909" s="85"/>
      <x:c r="P909" s="86"/>
      <x:c r="Q909" s="32"/>
    </x:row>
    <x:row r="910">
      <x:c r="A910" s="87"/>
      <x:c r="D910" s="32"/>
      <x:c r="I910" s="74"/>
      <x:c r="J910" s="74"/>
      <x:c r="K910" s="74"/>
      <x:c r="L910" s="74"/>
      <x:c r="M910" s="74"/>
      <x:c r="N910" s="85"/>
      <x:c r="P910" s="86"/>
      <x:c r="Q910" s="32"/>
    </x:row>
    <x:row r="911">
      <x:c r="A911" s="87"/>
      <x:c r="D911" s="32"/>
      <x:c r="I911" s="74"/>
      <x:c r="J911" s="74"/>
      <x:c r="K911" s="74"/>
      <x:c r="L911" s="74"/>
      <x:c r="M911" s="74"/>
      <x:c r="N911" s="85"/>
      <x:c r="P911" s="86"/>
      <x:c r="Q911" s="32"/>
    </x:row>
    <x:row r="912">
      <x:c r="A912" s="87"/>
      <x:c r="D912" s="32"/>
      <x:c r="I912" s="74"/>
      <x:c r="J912" s="74"/>
      <x:c r="K912" s="74"/>
      <x:c r="L912" s="74"/>
      <x:c r="M912" s="74"/>
      <x:c r="N912" s="85"/>
      <x:c r="P912" s="86"/>
      <x:c r="Q912" s="32"/>
    </x:row>
    <x:row r="913">
      <x:c r="A913" s="87"/>
      <x:c r="D913" s="32"/>
      <x:c r="I913" s="74"/>
      <x:c r="J913" s="74"/>
      <x:c r="K913" s="74"/>
      <x:c r="L913" s="74"/>
      <x:c r="M913" s="74"/>
      <x:c r="N913" s="85"/>
      <x:c r="P913" s="86"/>
      <x:c r="Q913" s="32"/>
    </x:row>
    <x:row r="914">
      <x:c r="A914" s="87"/>
      <x:c r="D914" s="32"/>
      <x:c r="I914" s="74"/>
      <x:c r="J914" s="74"/>
      <x:c r="K914" s="74"/>
      <x:c r="L914" s="74"/>
      <x:c r="M914" s="74"/>
      <x:c r="N914" s="85"/>
      <x:c r="P914" s="86"/>
      <x:c r="Q914" s="32"/>
    </x:row>
    <x:row r="915">
      <x:c r="A915" s="87"/>
      <x:c r="D915" s="32"/>
      <x:c r="I915" s="74"/>
      <x:c r="J915" s="74"/>
      <x:c r="K915" s="74"/>
      <x:c r="L915" s="74"/>
      <x:c r="M915" s="74"/>
      <x:c r="N915" s="85"/>
      <x:c r="P915" s="86"/>
      <x:c r="Q915" s="32"/>
    </x:row>
    <x:row r="916">
      <x:c r="A916" s="87"/>
      <x:c r="D916" s="32"/>
      <x:c r="I916" s="74"/>
      <x:c r="J916" s="74"/>
      <x:c r="K916" s="74"/>
      <x:c r="L916" s="74"/>
      <x:c r="M916" s="74"/>
      <x:c r="N916" s="85"/>
      <x:c r="P916" s="86"/>
      <x:c r="Q916" s="32"/>
    </x:row>
    <x:row r="917">
      <x:c r="A917" s="87"/>
      <x:c r="D917" s="32"/>
      <x:c r="I917" s="74"/>
      <x:c r="J917" s="74"/>
      <x:c r="K917" s="74"/>
      <x:c r="L917" s="74"/>
      <x:c r="M917" s="74"/>
      <x:c r="N917" s="85"/>
      <x:c r="P917" s="86"/>
      <x:c r="Q917" s="32"/>
    </x:row>
    <x:row r="918">
      <x:c r="A918" s="87"/>
      <x:c r="D918" s="32"/>
      <x:c r="I918" s="74"/>
      <x:c r="J918" s="74"/>
      <x:c r="K918" s="74"/>
      <x:c r="L918" s="74"/>
      <x:c r="M918" s="74"/>
      <x:c r="N918" s="85"/>
      <x:c r="P918" s="86"/>
      <x:c r="Q918" s="32"/>
    </x:row>
    <x:row r="919">
      <x:c r="A919" s="87"/>
      <x:c r="D919" s="32"/>
      <x:c r="I919" s="74"/>
      <x:c r="J919" s="74"/>
      <x:c r="K919" s="74"/>
      <x:c r="L919" s="74"/>
      <x:c r="M919" s="74"/>
      <x:c r="N919" s="85"/>
      <x:c r="P919" s="86"/>
      <x:c r="Q919" s="32"/>
    </x:row>
    <x:row r="920">
      <x:c r="A920" s="87"/>
      <x:c r="D920" s="32"/>
      <x:c r="I920" s="74"/>
      <x:c r="J920" s="74"/>
      <x:c r="K920" s="74"/>
      <x:c r="L920" s="74"/>
      <x:c r="M920" s="74"/>
      <x:c r="N920" s="85"/>
      <x:c r="P920" s="86"/>
      <x:c r="Q920" s="32"/>
    </x:row>
    <x:row r="921">
      <x:c r="A921" s="87"/>
      <x:c r="D921" s="32"/>
      <x:c r="I921" s="74"/>
      <x:c r="J921" s="74"/>
      <x:c r="K921" s="74"/>
      <x:c r="L921" s="74"/>
      <x:c r="M921" s="74"/>
      <x:c r="N921" s="85"/>
      <x:c r="P921" s="86"/>
      <x:c r="Q921" s="32"/>
    </x:row>
    <x:row r="922">
      <x:c r="A922" s="87"/>
      <x:c r="D922" s="32"/>
      <x:c r="I922" s="74"/>
      <x:c r="J922" s="74"/>
      <x:c r="K922" s="74"/>
      <x:c r="L922" s="74"/>
      <x:c r="M922" s="74"/>
      <x:c r="N922" s="85"/>
      <x:c r="P922" s="86"/>
      <x:c r="Q922" s="32"/>
    </x:row>
    <x:row r="923">
      <x:c r="A923" s="87"/>
      <x:c r="D923" s="32"/>
      <x:c r="I923" s="74"/>
      <x:c r="J923" s="74"/>
      <x:c r="K923" s="74"/>
      <x:c r="L923" s="74"/>
      <x:c r="M923" s="74"/>
      <x:c r="N923" s="85"/>
      <x:c r="P923" s="86"/>
      <x:c r="Q923" s="32"/>
    </x:row>
    <x:row r="924">
      <x:c r="A924" s="87"/>
      <x:c r="D924" s="32"/>
      <x:c r="I924" s="74"/>
      <x:c r="J924" s="74"/>
      <x:c r="K924" s="74"/>
      <x:c r="L924" s="74"/>
      <x:c r="M924" s="74"/>
      <x:c r="N924" s="85"/>
      <x:c r="P924" s="86"/>
      <x:c r="Q924" s="32"/>
    </x:row>
    <x:row r="925">
      <x:c r="A925" s="87"/>
      <x:c r="D925" s="32"/>
      <x:c r="I925" s="74"/>
      <x:c r="J925" s="74"/>
      <x:c r="K925" s="74"/>
      <x:c r="L925" s="74"/>
      <x:c r="M925" s="74"/>
      <x:c r="N925" s="85"/>
      <x:c r="P925" s="86"/>
      <x:c r="Q925" s="32"/>
    </x:row>
    <x:row r="926">
      <x:c r="A926" s="87"/>
      <x:c r="D926" s="32"/>
      <x:c r="I926" s="74"/>
      <x:c r="J926" s="74"/>
      <x:c r="K926" s="74"/>
      <x:c r="L926" s="74"/>
      <x:c r="M926" s="74"/>
      <x:c r="N926" s="85"/>
      <x:c r="P926" s="86"/>
      <x:c r="Q926" s="32"/>
    </x:row>
    <x:row r="927">
      <x:c r="A927" s="87"/>
      <x:c r="D927" s="32"/>
      <x:c r="I927" s="74"/>
      <x:c r="J927" s="74"/>
      <x:c r="K927" s="74"/>
      <x:c r="L927" s="74"/>
      <x:c r="M927" s="74"/>
      <x:c r="N927" s="85"/>
      <x:c r="P927" s="86"/>
      <x:c r="Q927" s="32"/>
    </x:row>
    <x:row r="928">
      <x:c r="A928" s="87"/>
      <x:c r="D928" s="32"/>
      <x:c r="I928" s="74"/>
      <x:c r="J928" s="74"/>
      <x:c r="K928" s="74"/>
      <x:c r="L928" s="74"/>
      <x:c r="M928" s="74"/>
      <x:c r="N928" s="85"/>
      <x:c r="P928" s="86"/>
      <x:c r="Q928" s="32"/>
    </x:row>
    <x:row r="929">
      <x:c r="A929" s="87"/>
      <x:c r="D929" s="32"/>
      <x:c r="I929" s="74"/>
      <x:c r="J929" s="74"/>
      <x:c r="K929" s="74"/>
      <x:c r="L929" s="74"/>
      <x:c r="M929" s="74"/>
      <x:c r="N929" s="85"/>
      <x:c r="P929" s="86"/>
      <x:c r="Q929" s="32"/>
    </x:row>
    <x:row r="930">
      <x:c r="A930" s="87"/>
      <x:c r="D930" s="32"/>
      <x:c r="I930" s="74"/>
      <x:c r="J930" s="74"/>
      <x:c r="K930" s="74"/>
      <x:c r="L930" s="74"/>
      <x:c r="M930" s="74"/>
      <x:c r="N930" s="85"/>
      <x:c r="P930" s="86"/>
      <x:c r="Q930" s="32"/>
    </x:row>
    <x:row r="931">
      <x:c r="A931" s="87"/>
      <x:c r="D931" s="32"/>
      <x:c r="I931" s="74"/>
      <x:c r="J931" s="74"/>
      <x:c r="K931" s="74"/>
      <x:c r="L931" s="74"/>
      <x:c r="M931" s="74"/>
      <x:c r="N931" s="85"/>
      <x:c r="P931" s="86"/>
      <x:c r="Q931" s="32"/>
    </x:row>
    <x:row r="932">
      <x:c r="A932" s="87"/>
      <x:c r="D932" s="32"/>
      <x:c r="I932" s="74"/>
      <x:c r="J932" s="74"/>
      <x:c r="K932" s="74"/>
      <x:c r="L932" s="74"/>
      <x:c r="M932" s="74"/>
      <x:c r="N932" s="85"/>
      <x:c r="P932" s="86"/>
      <x:c r="Q932" s="32"/>
    </x:row>
    <x:row r="933">
      <x:c r="A933" s="87"/>
      <x:c r="D933" s="32"/>
      <x:c r="I933" s="74"/>
      <x:c r="J933" s="74"/>
      <x:c r="K933" s="74"/>
      <x:c r="L933" s="74"/>
      <x:c r="M933" s="74"/>
      <x:c r="N933" s="85"/>
      <x:c r="P933" s="86"/>
      <x:c r="Q933" s="32"/>
    </x:row>
    <x:row r="934">
      <x:c r="A934" s="87"/>
      <x:c r="D934" s="32"/>
      <x:c r="I934" s="74"/>
      <x:c r="J934" s="74"/>
      <x:c r="K934" s="74"/>
      <x:c r="L934" s="74"/>
      <x:c r="M934" s="74"/>
      <x:c r="N934" s="85"/>
      <x:c r="P934" s="86"/>
      <x:c r="Q934" s="32"/>
    </x:row>
    <x:row r="935">
      <x:c r="A935" s="87"/>
      <x:c r="D935" s="32"/>
      <x:c r="I935" s="74"/>
      <x:c r="J935" s="74"/>
      <x:c r="K935" s="74"/>
      <x:c r="L935" s="74"/>
      <x:c r="M935" s="74"/>
      <x:c r="N935" s="85"/>
      <x:c r="P935" s="86"/>
      <x:c r="Q935" s="32"/>
    </x:row>
    <x:row r="936">
      <x:c r="A936" s="87"/>
      <x:c r="D936" s="32"/>
      <x:c r="I936" s="74"/>
      <x:c r="J936" s="74"/>
      <x:c r="K936" s="74"/>
      <x:c r="L936" s="74"/>
      <x:c r="M936" s="74"/>
      <x:c r="N936" s="85"/>
      <x:c r="P936" s="86"/>
      <x:c r="Q936" s="32"/>
    </x:row>
    <x:row r="937">
      <x:c r="A937" s="87"/>
      <x:c r="D937" s="32"/>
      <x:c r="I937" s="74"/>
      <x:c r="J937" s="74"/>
      <x:c r="K937" s="74"/>
      <x:c r="L937" s="74"/>
      <x:c r="M937" s="74"/>
      <x:c r="N937" s="85"/>
      <x:c r="P937" s="86"/>
      <x:c r="Q937" s="32"/>
    </x:row>
    <x:row r="938">
      <x:c r="A938" s="87"/>
      <x:c r="D938" s="32"/>
      <x:c r="I938" s="74"/>
      <x:c r="J938" s="74"/>
      <x:c r="K938" s="74"/>
      <x:c r="L938" s="74"/>
      <x:c r="M938" s="74"/>
      <x:c r="N938" s="85"/>
      <x:c r="P938" s="86"/>
      <x:c r="Q938" s="32"/>
    </x:row>
    <x:row r="939">
      <x:c r="A939" s="87"/>
      <x:c r="D939" s="32"/>
      <x:c r="I939" s="74"/>
      <x:c r="J939" s="74"/>
      <x:c r="K939" s="74"/>
      <x:c r="L939" s="74"/>
      <x:c r="M939" s="74"/>
      <x:c r="N939" s="85"/>
      <x:c r="P939" s="86"/>
      <x:c r="Q939" s="32"/>
    </x:row>
    <x:row r="940">
      <x:c r="A940" s="87"/>
      <x:c r="D940" s="32"/>
      <x:c r="I940" s="74"/>
      <x:c r="J940" s="74"/>
      <x:c r="K940" s="74"/>
      <x:c r="L940" s="74"/>
      <x:c r="M940" s="74"/>
      <x:c r="N940" s="85"/>
      <x:c r="P940" s="86"/>
      <x:c r="Q940" s="32"/>
    </x:row>
    <x:row r="941">
      <x:c r="A941" s="87"/>
      <x:c r="D941" s="32"/>
      <x:c r="I941" s="74"/>
      <x:c r="J941" s="74"/>
      <x:c r="K941" s="74"/>
      <x:c r="L941" s="74"/>
      <x:c r="M941" s="74"/>
      <x:c r="N941" s="85"/>
      <x:c r="P941" s="86"/>
      <x:c r="Q941" s="32"/>
    </x:row>
    <x:row r="942">
      <x:c r="A942" s="87"/>
      <x:c r="D942" s="32"/>
      <x:c r="I942" s="74"/>
      <x:c r="J942" s="74"/>
      <x:c r="K942" s="74"/>
      <x:c r="L942" s="74"/>
      <x:c r="M942" s="74"/>
      <x:c r="N942" s="85"/>
      <x:c r="P942" s="86"/>
      <x:c r="Q942" s="32"/>
    </x:row>
    <x:row r="943">
      <x:c r="A943" s="87"/>
      <x:c r="D943" s="32"/>
      <x:c r="I943" s="74"/>
      <x:c r="J943" s="74"/>
      <x:c r="K943" s="74"/>
      <x:c r="L943" s="74"/>
      <x:c r="M943" s="74"/>
      <x:c r="N943" s="85"/>
      <x:c r="P943" s="86"/>
      <x:c r="Q943" s="32"/>
    </x:row>
    <x:row r="944">
      <x:c r="A944" s="87"/>
      <x:c r="D944" s="32"/>
      <x:c r="I944" s="74"/>
      <x:c r="J944" s="74"/>
      <x:c r="K944" s="74"/>
      <x:c r="L944" s="74"/>
      <x:c r="M944" s="74"/>
      <x:c r="N944" s="85"/>
      <x:c r="P944" s="86"/>
      <x:c r="Q944" s="32"/>
    </x:row>
    <x:row r="945">
      <x:c r="A945" s="87"/>
      <x:c r="D945" s="32"/>
      <x:c r="I945" s="74"/>
      <x:c r="J945" s="74"/>
      <x:c r="K945" s="74"/>
      <x:c r="L945" s="74"/>
      <x:c r="M945" s="74"/>
      <x:c r="N945" s="85"/>
      <x:c r="P945" s="86"/>
      <x:c r="Q945" s="32"/>
    </x:row>
    <x:row r="946">
      <x:c r="A946" s="87"/>
      <x:c r="D946" s="32"/>
      <x:c r="I946" s="74"/>
      <x:c r="J946" s="74"/>
      <x:c r="K946" s="74"/>
      <x:c r="L946" s="74"/>
      <x:c r="M946" s="74"/>
      <x:c r="N946" s="85"/>
      <x:c r="P946" s="86"/>
      <x:c r="Q946" s="32"/>
    </x:row>
    <x:row r="947">
      <x:c r="A947" s="87"/>
      <x:c r="D947" s="32"/>
      <x:c r="I947" s="74"/>
      <x:c r="J947" s="74"/>
      <x:c r="K947" s="74"/>
      <x:c r="L947" s="74"/>
      <x:c r="M947" s="74"/>
      <x:c r="N947" s="85"/>
      <x:c r="P947" s="86"/>
      <x:c r="Q947" s="32"/>
    </x:row>
    <x:row r="948">
      <x:c r="A948" s="87"/>
      <x:c r="D948" s="32"/>
      <x:c r="I948" s="74"/>
      <x:c r="J948" s="74"/>
      <x:c r="K948" s="74"/>
      <x:c r="L948" s="74"/>
      <x:c r="M948" s="74"/>
      <x:c r="N948" s="85"/>
      <x:c r="P948" s="86"/>
      <x:c r="Q948" s="32"/>
    </x:row>
    <x:row r="949">
      <x:c r="A949" s="87"/>
      <x:c r="D949" s="32"/>
      <x:c r="I949" s="74"/>
      <x:c r="J949" s="74"/>
      <x:c r="K949" s="74"/>
      <x:c r="L949" s="74"/>
      <x:c r="M949" s="74"/>
      <x:c r="N949" s="85"/>
      <x:c r="P949" s="86"/>
      <x:c r="Q949" s="32"/>
    </x:row>
    <x:row r="950">
      <x:c r="A950" s="87"/>
      <x:c r="D950" s="32"/>
      <x:c r="I950" s="74"/>
      <x:c r="J950" s="74"/>
      <x:c r="K950" s="74"/>
      <x:c r="L950" s="74"/>
      <x:c r="M950" s="74"/>
      <x:c r="N950" s="85"/>
      <x:c r="P950" s="86"/>
      <x:c r="Q950" s="32"/>
    </x:row>
    <x:row r="951">
      <x:c r="A951" s="87"/>
      <x:c r="D951" s="32"/>
      <x:c r="I951" s="74"/>
      <x:c r="J951" s="74"/>
      <x:c r="K951" s="74"/>
      <x:c r="L951" s="74"/>
      <x:c r="M951" s="74"/>
      <x:c r="N951" s="85"/>
      <x:c r="P951" s="86"/>
      <x:c r="Q951" s="32"/>
    </x:row>
    <x:row r="952">
      <x:c r="A952" s="87"/>
      <x:c r="D952" s="32"/>
      <x:c r="I952" s="74"/>
      <x:c r="J952" s="74"/>
      <x:c r="K952" s="74"/>
      <x:c r="L952" s="74"/>
      <x:c r="M952" s="74"/>
      <x:c r="N952" s="85"/>
      <x:c r="P952" s="86"/>
      <x:c r="Q952" s="32"/>
    </x:row>
    <x:row r="953">
      <x:c r="A953" s="87"/>
      <x:c r="D953" s="32"/>
      <x:c r="I953" s="74"/>
      <x:c r="J953" s="74"/>
      <x:c r="K953" s="74"/>
      <x:c r="L953" s="74"/>
      <x:c r="M953" s="74"/>
      <x:c r="N953" s="85"/>
      <x:c r="P953" s="86"/>
      <x:c r="Q953" s="32"/>
    </x:row>
    <x:row r="954">
      <x:c r="A954" s="87"/>
      <x:c r="D954" s="32"/>
      <x:c r="I954" s="74"/>
      <x:c r="J954" s="74"/>
      <x:c r="K954" s="74"/>
      <x:c r="L954" s="74"/>
      <x:c r="M954" s="74"/>
      <x:c r="N954" s="85"/>
      <x:c r="P954" s="86"/>
      <x:c r="Q954" s="32"/>
    </x:row>
    <x:row r="955">
      <x:c r="A955" s="87"/>
      <x:c r="D955" s="32"/>
      <x:c r="I955" s="74"/>
      <x:c r="J955" s="74"/>
      <x:c r="K955" s="74"/>
      <x:c r="L955" s="74"/>
      <x:c r="M955" s="74"/>
      <x:c r="N955" s="85"/>
      <x:c r="P955" s="86"/>
      <x:c r="Q955" s="32"/>
    </x:row>
    <x:row r="956">
      <x:c r="A956" s="87"/>
      <x:c r="D956" s="32"/>
      <x:c r="I956" s="74"/>
      <x:c r="J956" s="74"/>
      <x:c r="K956" s="74"/>
      <x:c r="L956" s="74"/>
      <x:c r="M956" s="74"/>
      <x:c r="N956" s="85"/>
      <x:c r="P956" s="86"/>
      <x:c r="Q956" s="32"/>
    </x:row>
    <x:row r="957">
      <x:c r="A957" s="87"/>
      <x:c r="D957" s="32"/>
      <x:c r="I957" s="74"/>
      <x:c r="J957" s="74"/>
      <x:c r="K957" s="74"/>
      <x:c r="L957" s="74"/>
      <x:c r="M957" s="74"/>
      <x:c r="N957" s="85"/>
      <x:c r="P957" s="86"/>
      <x:c r="Q957" s="32"/>
    </x:row>
    <x:row r="958">
      <x:c r="A958" s="87"/>
      <x:c r="D958" s="32"/>
      <x:c r="I958" s="74"/>
      <x:c r="J958" s="74"/>
      <x:c r="K958" s="74"/>
      <x:c r="L958" s="74"/>
      <x:c r="M958" s="74"/>
      <x:c r="N958" s="85"/>
      <x:c r="P958" s="86"/>
      <x:c r="Q958" s="32"/>
    </x:row>
    <x:row r="959">
      <x:c r="A959" s="87"/>
      <x:c r="D959" s="32"/>
      <x:c r="I959" s="74"/>
      <x:c r="J959" s="74"/>
      <x:c r="K959" s="74"/>
      <x:c r="L959" s="74"/>
      <x:c r="M959" s="74"/>
      <x:c r="N959" s="85"/>
      <x:c r="P959" s="86"/>
      <x:c r="Q959" s="32"/>
    </x:row>
    <x:row r="960">
      <x:c r="A960" s="87"/>
      <x:c r="D960" s="32"/>
      <x:c r="I960" s="74"/>
      <x:c r="J960" s="74"/>
      <x:c r="K960" s="74"/>
      <x:c r="L960" s="74"/>
      <x:c r="M960" s="74"/>
      <x:c r="N960" s="85"/>
      <x:c r="P960" s="86"/>
      <x:c r="Q960" s="32"/>
    </x:row>
    <x:row r="961">
      <x:c r="A961" s="87"/>
      <x:c r="D961" s="32"/>
      <x:c r="I961" s="74"/>
      <x:c r="J961" s="74"/>
      <x:c r="K961" s="74"/>
      <x:c r="L961" s="74"/>
      <x:c r="M961" s="74"/>
      <x:c r="N961" s="85"/>
      <x:c r="P961" s="86"/>
      <x:c r="Q961" s="32"/>
    </x:row>
    <x:row r="962">
      <x:c r="A962" s="87"/>
      <x:c r="D962" s="32"/>
      <x:c r="I962" s="74"/>
      <x:c r="J962" s="74"/>
      <x:c r="K962" s="74"/>
      <x:c r="L962" s="74"/>
      <x:c r="M962" s="74"/>
      <x:c r="N962" s="85"/>
      <x:c r="P962" s="86"/>
      <x:c r="Q962" s="32"/>
    </x:row>
    <x:row r="963">
      <x:c r="A963" s="87"/>
      <x:c r="D963" s="32"/>
      <x:c r="I963" s="74"/>
      <x:c r="J963" s="74"/>
      <x:c r="K963" s="74"/>
      <x:c r="L963" s="74"/>
      <x:c r="M963" s="74"/>
      <x:c r="N963" s="85"/>
      <x:c r="P963" s="86"/>
      <x:c r="Q963" s="32"/>
    </x:row>
    <x:row r="964">
      <x:c r="A964" s="87"/>
      <x:c r="D964" s="32"/>
      <x:c r="I964" s="74"/>
      <x:c r="J964" s="74"/>
      <x:c r="K964" s="74"/>
      <x:c r="L964" s="74"/>
      <x:c r="M964" s="74"/>
      <x:c r="N964" s="85"/>
      <x:c r="P964" s="86"/>
      <x:c r="Q964" s="32"/>
    </x:row>
    <x:row r="965">
      <x:c r="A965" s="87"/>
      <x:c r="D965" s="32"/>
      <x:c r="I965" s="74"/>
      <x:c r="J965" s="74"/>
      <x:c r="K965" s="74"/>
      <x:c r="L965" s="74"/>
      <x:c r="M965" s="74"/>
      <x:c r="N965" s="85"/>
      <x:c r="P965" s="86"/>
      <x:c r="Q965" s="32"/>
    </x:row>
    <x:row r="966">
      <x:c r="A966" s="87"/>
      <x:c r="D966" s="32"/>
      <x:c r="I966" s="74"/>
      <x:c r="J966" s="74"/>
      <x:c r="K966" s="74"/>
      <x:c r="L966" s="74"/>
      <x:c r="M966" s="74"/>
      <x:c r="N966" s="85"/>
      <x:c r="P966" s="86"/>
      <x:c r="Q966" s="32"/>
    </x:row>
    <x:row r="967">
      <x:c r="A967" s="87"/>
      <x:c r="D967" s="32"/>
      <x:c r="I967" s="74"/>
      <x:c r="J967" s="74"/>
      <x:c r="K967" s="74"/>
      <x:c r="L967" s="74"/>
      <x:c r="M967" s="74"/>
      <x:c r="N967" s="85"/>
      <x:c r="P967" s="86"/>
      <x:c r="Q967" s="32"/>
    </x:row>
    <x:row r="968">
      <x:c r="A968" s="87"/>
      <x:c r="D968" s="32"/>
      <x:c r="I968" s="74"/>
      <x:c r="J968" s="74"/>
      <x:c r="K968" s="74"/>
      <x:c r="L968" s="74"/>
      <x:c r="M968" s="74"/>
      <x:c r="N968" s="85"/>
      <x:c r="P968" s="86"/>
      <x:c r="Q968" s="32"/>
    </x:row>
    <x:row r="969">
      <x:c r="A969" s="87"/>
      <x:c r="D969" s="32"/>
      <x:c r="I969" s="74"/>
      <x:c r="J969" s="74"/>
      <x:c r="K969" s="74"/>
      <x:c r="L969" s="74"/>
      <x:c r="M969" s="74"/>
      <x:c r="N969" s="85"/>
      <x:c r="P969" s="86"/>
      <x:c r="Q969" s="32"/>
    </x:row>
    <x:row r="970">
      <x:c r="A970" s="87"/>
      <x:c r="D970" s="32"/>
      <x:c r="I970" s="74"/>
      <x:c r="J970" s="74"/>
      <x:c r="K970" s="74"/>
      <x:c r="L970" s="74"/>
      <x:c r="M970" s="74"/>
      <x:c r="N970" s="85"/>
      <x:c r="P970" s="86"/>
      <x:c r="Q970" s="32"/>
    </x:row>
    <x:row r="971">
      <x:c r="A971" s="87"/>
      <x:c r="D971" s="32"/>
      <x:c r="I971" s="74"/>
      <x:c r="J971" s="74"/>
      <x:c r="K971" s="74"/>
      <x:c r="L971" s="74"/>
      <x:c r="M971" s="74"/>
      <x:c r="N971" s="85"/>
      <x:c r="P971" s="86"/>
      <x:c r="Q971" s="32"/>
    </x:row>
    <x:row r="972">
      <x:c r="A972" s="87"/>
      <x:c r="D972" s="32"/>
      <x:c r="I972" s="74"/>
      <x:c r="J972" s="74"/>
      <x:c r="K972" s="74"/>
      <x:c r="L972" s="74"/>
      <x:c r="M972" s="74"/>
      <x:c r="N972" s="85"/>
      <x:c r="P972" s="86"/>
      <x:c r="Q972" s="32"/>
    </x:row>
    <x:row r="973">
      <x:c r="A973" s="87"/>
      <x:c r="D973" s="32"/>
      <x:c r="I973" s="74"/>
      <x:c r="J973" s="74"/>
      <x:c r="K973" s="74"/>
      <x:c r="L973" s="74"/>
      <x:c r="M973" s="74"/>
      <x:c r="N973" s="85"/>
      <x:c r="P973" s="86"/>
      <x:c r="Q973" s="32"/>
    </x:row>
    <x:row r="974">
      <x:c r="A974" s="87"/>
      <x:c r="D974" s="32"/>
      <x:c r="I974" s="74"/>
      <x:c r="J974" s="74"/>
      <x:c r="K974" s="74"/>
      <x:c r="L974" s="74"/>
      <x:c r="M974" s="74"/>
      <x:c r="N974" s="85"/>
      <x:c r="P974" s="86"/>
      <x:c r="Q974" s="32"/>
    </x:row>
    <x:row r="975">
      <x:c r="A975" s="87"/>
      <x:c r="D975" s="32"/>
      <x:c r="I975" s="74"/>
      <x:c r="J975" s="74"/>
      <x:c r="K975" s="74"/>
      <x:c r="L975" s="74"/>
      <x:c r="M975" s="74"/>
      <x:c r="N975" s="85"/>
      <x:c r="P975" s="86"/>
      <x:c r="Q975" s="32"/>
    </x:row>
    <x:row r="976">
      <x:c r="A976" s="87"/>
      <x:c r="D976" s="32"/>
      <x:c r="I976" s="74"/>
      <x:c r="J976" s="74"/>
      <x:c r="K976" s="74"/>
      <x:c r="L976" s="74"/>
      <x:c r="M976" s="74"/>
      <x:c r="N976" s="85"/>
      <x:c r="P976" s="86"/>
      <x:c r="Q976" s="32"/>
    </x:row>
    <x:row r="977">
      <x:c r="A977" s="87"/>
      <x:c r="D977" s="32"/>
      <x:c r="I977" s="74"/>
      <x:c r="J977" s="74"/>
      <x:c r="K977" s="74"/>
      <x:c r="L977" s="74"/>
      <x:c r="M977" s="74"/>
      <x:c r="N977" s="85"/>
      <x:c r="P977" s="86"/>
      <x:c r="Q977" s="32"/>
    </x:row>
    <x:row r="978">
      <x:c r="A978" s="87"/>
      <x:c r="D978" s="32"/>
      <x:c r="I978" s="74"/>
      <x:c r="J978" s="74"/>
      <x:c r="K978" s="74"/>
      <x:c r="L978" s="74"/>
      <x:c r="M978" s="74"/>
      <x:c r="N978" s="85"/>
      <x:c r="P978" s="86"/>
      <x:c r="Q978" s="32"/>
    </x:row>
    <x:row r="979">
      <x:c r="A979" s="87"/>
      <x:c r="D979" s="32"/>
      <x:c r="I979" s="74"/>
      <x:c r="J979" s="74"/>
      <x:c r="K979" s="74"/>
      <x:c r="L979" s="74"/>
      <x:c r="M979" s="74"/>
      <x:c r="N979" s="85"/>
      <x:c r="P979" s="86"/>
      <x:c r="Q979" s="32"/>
    </x:row>
    <x:row r="980">
      <x:c r="A980" s="87"/>
      <x:c r="D980" s="32"/>
      <x:c r="I980" s="74"/>
      <x:c r="J980" s="74"/>
      <x:c r="K980" s="74"/>
      <x:c r="L980" s="74"/>
      <x:c r="M980" s="74"/>
      <x:c r="N980" s="85"/>
      <x:c r="P980" s="86"/>
      <x:c r="Q980" s="32"/>
    </x:row>
    <x:row r="981">
      <x:c r="A981" s="87"/>
      <x:c r="D981" s="32"/>
      <x:c r="I981" s="74"/>
      <x:c r="J981" s="74"/>
      <x:c r="K981" s="74"/>
      <x:c r="L981" s="74"/>
      <x:c r="M981" s="74"/>
      <x:c r="N981" s="85"/>
      <x:c r="P981" s="86"/>
      <x:c r="Q981" s="32"/>
    </x:row>
    <x:row r="982">
      <x:c r="A982" s="87"/>
      <x:c r="D982" s="32"/>
      <x:c r="I982" s="74"/>
      <x:c r="J982" s="74"/>
      <x:c r="K982" s="74"/>
      <x:c r="L982" s="74"/>
      <x:c r="M982" s="74"/>
      <x:c r="N982" s="85"/>
      <x:c r="P982" s="86"/>
      <x:c r="Q982" s="32"/>
    </x:row>
    <x:row r="983">
      <x:c r="A983" s="87"/>
      <x:c r="D983" s="32"/>
      <x:c r="I983" s="74"/>
      <x:c r="J983" s="74"/>
      <x:c r="K983" s="74"/>
      <x:c r="L983" s="74"/>
      <x:c r="M983" s="74"/>
      <x:c r="N983" s="85"/>
      <x:c r="P983" s="86"/>
      <x:c r="Q983" s="32"/>
    </x:row>
    <x:row r="984">
      <x:c r="A984" s="87"/>
      <x:c r="D984" s="32"/>
      <x:c r="I984" s="74"/>
      <x:c r="J984" s="74"/>
      <x:c r="K984" s="74"/>
      <x:c r="L984" s="74"/>
      <x:c r="M984" s="74"/>
      <x:c r="N984" s="85"/>
      <x:c r="P984" s="86"/>
      <x:c r="Q984" s="32"/>
    </x:row>
    <x:row r="985">
      <x:c r="A985" s="87"/>
      <x:c r="D985" s="32"/>
      <x:c r="I985" s="74"/>
      <x:c r="J985" s="74"/>
      <x:c r="K985" s="74"/>
      <x:c r="L985" s="74"/>
      <x:c r="M985" s="74"/>
      <x:c r="N985" s="85"/>
      <x:c r="P985" s="86"/>
      <x:c r="Q985" s="32"/>
    </x:row>
    <x:row r="986">
      <x:c r="A986" s="87"/>
      <x:c r="D986" s="32"/>
      <x:c r="I986" s="74"/>
      <x:c r="J986" s="74"/>
      <x:c r="K986" s="74"/>
      <x:c r="L986" s="74"/>
      <x:c r="M986" s="74"/>
      <x:c r="N986" s="85"/>
      <x:c r="P986" s="86"/>
      <x:c r="Q986" s="32"/>
    </x:row>
    <x:row r="987">
      <x:c r="A987" s="87"/>
      <x:c r="D987" s="32"/>
      <x:c r="I987" s="74"/>
      <x:c r="J987" s="74"/>
      <x:c r="K987" s="74"/>
      <x:c r="L987" s="74"/>
      <x:c r="M987" s="74"/>
      <x:c r="N987" s="85"/>
      <x:c r="P987" s="86"/>
      <x:c r="Q987" s="32"/>
    </x:row>
    <x:row r="988">
      <x:c r="A988" s="87"/>
      <x:c r="D988" s="32"/>
      <x:c r="I988" s="74"/>
      <x:c r="J988" s="74"/>
      <x:c r="K988" s="74"/>
      <x:c r="L988" s="74"/>
      <x:c r="M988" s="74"/>
      <x:c r="N988" s="85"/>
      <x:c r="P988" s="86"/>
      <x:c r="Q988" s="32"/>
    </x:row>
    <x:row r="989">
      <x:c r="A989" s="87"/>
      <x:c r="D989" s="32"/>
      <x:c r="I989" s="74"/>
      <x:c r="J989" s="74"/>
      <x:c r="K989" s="74"/>
      <x:c r="L989" s="74"/>
      <x:c r="M989" s="74"/>
      <x:c r="N989" s="85"/>
      <x:c r="P989" s="86"/>
      <x:c r="Q989" s="32"/>
    </x:row>
    <x:row r="990">
      <x:c r="A990" s="87"/>
      <x:c r="D990" s="32"/>
      <x:c r="I990" s="74"/>
      <x:c r="J990" s="74"/>
      <x:c r="K990" s="74"/>
      <x:c r="L990" s="74"/>
      <x:c r="M990" s="74"/>
      <x:c r="N990" s="85"/>
      <x:c r="P990" s="86"/>
      <x:c r="Q990" s="32"/>
    </x:row>
    <x:row r="991">
      <x:c r="A991" s="87"/>
      <x:c r="D991" s="32"/>
      <x:c r="I991" s="74"/>
      <x:c r="J991" s="74"/>
      <x:c r="K991" s="74"/>
      <x:c r="L991" s="74"/>
      <x:c r="M991" s="74"/>
      <x:c r="N991" s="85"/>
      <x:c r="P991" s="86"/>
      <x:c r="Q991" s="32"/>
    </x:row>
    <x:row r="992">
      <x:c r="A992" s="87"/>
      <x:c r="D992" s="32"/>
      <x:c r="I992" s="74"/>
      <x:c r="J992" s="74"/>
      <x:c r="K992" s="74"/>
      <x:c r="L992" s="74"/>
      <x:c r="M992" s="74"/>
      <x:c r="N992" s="85"/>
      <x:c r="P992" s="86"/>
      <x:c r="Q992" s="32"/>
    </x:row>
    <x:row r="993">
      <x:c r="A993" s="87"/>
      <x:c r="D993" s="32"/>
      <x:c r="I993" s="74"/>
      <x:c r="J993" s="74"/>
      <x:c r="K993" s="74"/>
      <x:c r="L993" s="74"/>
      <x:c r="M993" s="74"/>
      <x:c r="N993" s="85"/>
      <x:c r="P993" s="86"/>
      <x:c r="Q993" s="32"/>
    </x:row>
    <x:row r="994">
      <x:c r="A994" s="87"/>
      <x:c r="D994" s="32"/>
      <x:c r="I994" s="74"/>
      <x:c r="J994" s="74"/>
      <x:c r="K994" s="74"/>
      <x:c r="L994" s="74"/>
      <x:c r="M994" s="74"/>
      <x:c r="N994" s="85"/>
      <x:c r="P994" s="86"/>
      <x:c r="Q994" s="32"/>
    </x:row>
    <x:row r="995">
      <x:c r="A995" s="87"/>
      <x:c r="D995" s="32"/>
      <x:c r="I995" s="74"/>
      <x:c r="J995" s="74"/>
      <x:c r="K995" s="74"/>
      <x:c r="L995" s="74"/>
      <x:c r="M995" s="74"/>
      <x:c r="N995" s="85"/>
      <x:c r="P995" s="86"/>
      <x:c r="Q995" s="32"/>
    </x:row>
    <x:row r="996">
      <x:c r="A996" s="87"/>
      <x:c r="D996" s="32"/>
      <x:c r="I996" s="74"/>
      <x:c r="J996" s="74"/>
      <x:c r="K996" s="74"/>
      <x:c r="L996" s="74"/>
      <x:c r="M996" s="74"/>
      <x:c r="N996" s="85"/>
      <x:c r="P996" s="86"/>
      <x:c r="Q996" s="32"/>
    </x:row>
    <x:row r="997">
      <x:c r="A997" s="87"/>
      <x:c r="D997" s="32"/>
      <x:c r="I997" s="74"/>
      <x:c r="J997" s="74"/>
      <x:c r="K997" s="74"/>
      <x:c r="L997" s="74"/>
      <x:c r="M997" s="74"/>
      <x:c r="N997" s="85"/>
      <x:c r="P997" s="86"/>
      <x:c r="Q997" s="32"/>
    </x:row>
    <x:row r="998">
      <x:c r="A998" s="87"/>
      <x:c r="D998" s="32"/>
      <x:c r="I998" s="74"/>
      <x:c r="J998" s="74"/>
      <x:c r="K998" s="74"/>
      <x:c r="L998" s="74"/>
      <x:c r="M998" s="74"/>
      <x:c r="N998" s="85"/>
      <x:c r="P998" s="86"/>
      <x:c r="Q998" s="32"/>
    </x:row>
    <x:row r="999">
      <x:c r="A999" s="87"/>
      <x:c r="D999" s="32"/>
      <x:c r="I999" s="74"/>
      <x:c r="J999" s="74"/>
      <x:c r="K999" s="74"/>
      <x:c r="L999" s="74"/>
      <x:c r="M999" s="74"/>
      <x:c r="N999" s="85"/>
      <x:c r="P999" s="86"/>
      <x:c r="Q999" s="32"/>
    </x:row>
    <x:row r="1000">
      <x:c r="A1000" s="87"/>
      <x:c r="D1000" s="32"/>
      <x:c r="I1000" s="74"/>
      <x:c r="J1000" s="74"/>
      <x:c r="K1000" s="74"/>
      <x:c r="L1000" s="74"/>
      <x:c r="M1000" s="74"/>
      <x:c r="N1000" s="85"/>
      <x:c r="P1000" s="86"/>
      <x:c r="Q1000" s="32"/>
    </x:row>
    <x:row r="1001">
      <x:c r="A1001" s="87"/>
      <x:c r="D1001" s="32"/>
      <x:c r="I1001" s="74"/>
      <x:c r="J1001" s="74"/>
      <x:c r="K1001" s="74"/>
      <x:c r="L1001" s="74"/>
      <x:c r="M1001" s="74"/>
      <x:c r="N1001" s="85"/>
      <x:c r="P1001" s="86"/>
      <x:c r="Q1001" s="32"/>
    </x:row>
    <x:row r="1002">
      <x:c r="A1002" s="87"/>
      <x:c r="D1002" s="32"/>
      <x:c r="I1002" s="74"/>
      <x:c r="J1002" s="74"/>
      <x:c r="K1002" s="74"/>
      <x:c r="L1002" s="74"/>
      <x:c r="M1002" s="74"/>
      <x:c r="N1002" s="85"/>
      <x:c r="P1002" s="86"/>
      <x:c r="Q1002" s="32"/>
    </x:row>
    <x:row r="1003">
      <x:c r="A1003" s="87"/>
      <x:c r="D1003" s="32"/>
      <x:c r="I1003" s="74"/>
      <x:c r="J1003" s="74"/>
      <x:c r="K1003" s="74"/>
      <x:c r="L1003" s="74"/>
      <x:c r="M1003" s="74"/>
      <x:c r="N1003" s="85"/>
      <x:c r="P1003" s="86"/>
      <x:c r="Q1003" s="32"/>
    </x:row>
    <x:row r="1004">
      <x:c r="A1004" s="87"/>
      <x:c r="D1004" s="32"/>
      <x:c r="I1004" s="74"/>
      <x:c r="J1004" s="74"/>
      <x:c r="K1004" s="74"/>
      <x:c r="L1004" s="74"/>
      <x:c r="M1004" s="74"/>
      <x:c r="N1004" s="85"/>
      <x:c r="P1004" s="86"/>
      <x:c r="Q1004" s="32"/>
    </x:row>
    <x:row r="1005">
      <x:c r="A1005" s="87"/>
      <x:c r="D1005" s="32"/>
      <x:c r="I1005" s="74"/>
      <x:c r="J1005" s="74"/>
      <x:c r="K1005" s="74"/>
      <x:c r="L1005" s="74"/>
      <x:c r="M1005" s="74"/>
      <x:c r="N1005" s="85"/>
      <x:c r="P1005" s="86"/>
      <x:c r="Q1005" s="32"/>
    </x:row>
    <x:row r="1006">
      <x:c r="A1006" s="87"/>
      <x:c r="D1006" s="32"/>
      <x:c r="I1006" s="74"/>
      <x:c r="J1006" s="74"/>
      <x:c r="K1006" s="74"/>
      <x:c r="L1006" s="74"/>
      <x:c r="M1006" s="74"/>
      <x:c r="N1006" s="85"/>
      <x:c r="P1006" s="86"/>
      <x:c r="Q1006" s="32"/>
    </x:row>
    <x:row r="1007">
      <x:c r="A1007" s="87"/>
      <x:c r="D1007" s="32"/>
      <x:c r="I1007" s="74"/>
      <x:c r="J1007" s="74"/>
      <x:c r="K1007" s="74"/>
      <x:c r="L1007" s="74"/>
      <x:c r="M1007" s="74"/>
      <x:c r="N1007" s="85"/>
      <x:c r="P1007" s="86"/>
      <x:c r="Q1007" s="32"/>
    </x:row>
    <x:row r="1008">
      <x:c r="A1008" s="87"/>
      <x:c r="D1008" s="32"/>
      <x:c r="I1008" s="74"/>
      <x:c r="J1008" s="74"/>
      <x:c r="K1008" s="74"/>
      <x:c r="L1008" s="74"/>
      <x:c r="M1008" s="74"/>
      <x:c r="N1008" s="85"/>
      <x:c r="P1008" s="86"/>
      <x:c r="Q1008" s="32"/>
    </x:row>
    <x:row r="1009">
      <x:c r="A1009" s="87"/>
      <x:c r="D1009" s="32"/>
      <x:c r="I1009" s="74"/>
      <x:c r="J1009" s="74"/>
      <x:c r="K1009" s="74"/>
      <x:c r="L1009" s="74"/>
      <x:c r="M1009" s="74"/>
      <x:c r="N1009" s="85"/>
      <x:c r="P1009" s="86"/>
      <x:c r="Q1009" s="32"/>
    </x:row>
    <x:row r="1010">
      <x:c r="A1010" s="87"/>
      <x:c r="D1010" s="32"/>
      <x:c r="I1010" s="74"/>
      <x:c r="J1010" s="74"/>
      <x:c r="K1010" s="74"/>
      <x:c r="L1010" s="74"/>
      <x:c r="M1010" s="74"/>
      <x:c r="N1010" s="85"/>
      <x:c r="P1010" s="86"/>
      <x:c r="Q1010" s="32"/>
    </x:row>
    <x:row r="1011">
      <x:c r="A1011" s="87"/>
      <x:c r="D1011" s="32"/>
      <x:c r="I1011" s="74"/>
      <x:c r="J1011" s="74"/>
      <x:c r="K1011" s="74"/>
      <x:c r="L1011" s="74"/>
      <x:c r="M1011" s="74"/>
      <x:c r="N1011" s="85"/>
      <x:c r="P1011" s="86"/>
      <x:c r="Q1011" s="32"/>
    </x:row>
    <x:row r="1012">
      <x:c r="A1012" s="87"/>
      <x:c r="D1012" s="32"/>
      <x:c r="I1012" s="74"/>
      <x:c r="J1012" s="74"/>
      <x:c r="K1012" s="74"/>
      <x:c r="L1012" s="74"/>
      <x:c r="M1012" s="74"/>
      <x:c r="N1012" s="85"/>
      <x:c r="P1012" s="86"/>
      <x:c r="Q1012" s="32"/>
    </x:row>
    <x:row r="1013">
      <x:c r="A1013" s="87"/>
      <x:c r="D1013" s="32"/>
      <x:c r="I1013" s="74"/>
      <x:c r="J1013" s="74"/>
      <x:c r="K1013" s="74"/>
      <x:c r="L1013" s="74"/>
      <x:c r="M1013" s="74"/>
      <x:c r="N1013" s="85"/>
      <x:c r="P1013" s="86"/>
      <x:c r="Q1013" s="32"/>
    </x:row>
    <x:row r="1014">
      <x:c r="A1014" s="87"/>
      <x:c r="D1014" s="32"/>
      <x:c r="I1014" s="74"/>
      <x:c r="J1014" s="74"/>
      <x:c r="K1014" s="74"/>
      <x:c r="L1014" s="74"/>
      <x:c r="M1014" s="74"/>
      <x:c r="N1014" s="85"/>
      <x:c r="P1014" s="86"/>
      <x:c r="Q1014" s="32"/>
    </x:row>
    <x:row r="1015">
      <x:c r="A1015" s="87"/>
      <x:c r="D1015" s="32"/>
      <x:c r="I1015" s="74"/>
      <x:c r="J1015" s="74"/>
      <x:c r="K1015" s="74"/>
      <x:c r="L1015" s="74"/>
      <x:c r="M1015" s="74"/>
      <x:c r="N1015" s="85"/>
      <x:c r="P1015" s="86"/>
      <x:c r="Q1015" s="32"/>
    </x:row>
    <x:row r="1016">
      <x:c r="A1016" s="87"/>
      <x:c r="D1016" s="32"/>
      <x:c r="I1016" s="74"/>
      <x:c r="J1016" s="74"/>
      <x:c r="K1016" s="74"/>
      <x:c r="L1016" s="74"/>
      <x:c r="M1016" s="74"/>
      <x:c r="N1016" s="85"/>
      <x:c r="P1016" s="86"/>
      <x:c r="Q1016" s="32"/>
    </x:row>
    <x:row r="1017">
      <x:c r="A1017" s="87"/>
      <x:c r="D1017" s="32"/>
      <x:c r="I1017" s="74"/>
      <x:c r="J1017" s="74"/>
      <x:c r="K1017" s="74"/>
      <x:c r="L1017" s="74"/>
      <x:c r="M1017" s="74"/>
      <x:c r="N1017" s="85"/>
      <x:c r="P1017" s="86"/>
      <x:c r="Q1017" s="32"/>
    </x:row>
    <x:row r="1018">
      <x:c r="A1018" s="87"/>
      <x:c r="D1018" s="32"/>
      <x:c r="I1018" s="74"/>
      <x:c r="J1018" s="74"/>
      <x:c r="K1018" s="74"/>
      <x:c r="L1018" s="74"/>
      <x:c r="M1018" s="74"/>
      <x:c r="N1018" s="85"/>
      <x:c r="P1018" s="86"/>
      <x:c r="Q1018" s="32"/>
    </x:row>
    <x:row r="1019">
      <x:c r="A1019" s="87"/>
      <x:c r="D1019" s="32"/>
      <x:c r="I1019" s="74"/>
      <x:c r="J1019" s="74"/>
      <x:c r="K1019" s="74"/>
      <x:c r="L1019" s="74"/>
      <x:c r="M1019" s="74"/>
      <x:c r="N1019" s="85"/>
      <x:c r="P1019" s="86"/>
      <x:c r="Q1019" s="32"/>
    </x:row>
    <x:row r="1020">
      <x:c r="A1020" s="87"/>
      <x:c r="D1020" s="32"/>
      <x:c r="I1020" s="74"/>
      <x:c r="J1020" s="74"/>
      <x:c r="K1020" s="74"/>
      <x:c r="L1020" s="74"/>
      <x:c r="M1020" s="74"/>
      <x:c r="N1020" s="85"/>
      <x:c r="P1020" s="86"/>
      <x:c r="Q1020" s="32"/>
    </x:row>
    <x:row r="1021">
      <x:c r="A1021" s="87"/>
      <x:c r="D1021" s="32"/>
      <x:c r="I1021" s="74"/>
      <x:c r="J1021" s="74"/>
      <x:c r="K1021" s="74"/>
      <x:c r="L1021" s="74"/>
      <x:c r="M1021" s="74"/>
      <x:c r="N1021" s="85"/>
      <x:c r="P1021" s="86"/>
      <x:c r="Q1021" s="32"/>
    </x:row>
    <x:row r="1022">
      <x:c r="A1022" s="87"/>
      <x:c r="D1022" s="32"/>
      <x:c r="I1022" s="74"/>
      <x:c r="J1022" s="74"/>
      <x:c r="K1022" s="74"/>
      <x:c r="L1022" s="74"/>
      <x:c r="M1022" s="74"/>
      <x:c r="N1022" s="85"/>
      <x:c r="P1022" s="86"/>
      <x:c r="Q1022" s="32"/>
    </x:row>
    <x:row r="1023">
      <x:c r="A1023" s="87"/>
      <x:c r="D1023" s="32"/>
      <x:c r="I1023" s="74"/>
      <x:c r="J1023" s="74"/>
      <x:c r="K1023" s="74"/>
      <x:c r="L1023" s="74"/>
      <x:c r="M1023" s="74"/>
      <x:c r="N1023" s="85"/>
      <x:c r="P1023" s="86"/>
      <x:c r="Q1023" s="32"/>
    </x:row>
    <x:row r="1024">
      <x:c r="A1024" s="87"/>
      <x:c r="D1024" s="32"/>
      <x:c r="I1024" s="74"/>
      <x:c r="J1024" s="74"/>
      <x:c r="K1024" s="74"/>
      <x:c r="L1024" s="74"/>
      <x:c r="M1024" s="74"/>
      <x:c r="N1024" s="85"/>
      <x:c r="P1024" s="86"/>
      <x:c r="Q1024" s="32"/>
    </x:row>
    <x:row r="1025">
      <x:c r="A1025" s="87"/>
      <x:c r="D1025" s="32"/>
      <x:c r="I1025" s="74"/>
      <x:c r="J1025" s="74"/>
      <x:c r="K1025" s="74"/>
      <x:c r="L1025" s="74"/>
      <x:c r="M1025" s="74"/>
      <x:c r="N1025" s="85"/>
      <x:c r="P1025" s="86"/>
      <x:c r="Q1025" s="32"/>
    </x:row>
    <x:row r="1026">
      <x:c r="A1026" s="87"/>
      <x:c r="D1026" s="32"/>
      <x:c r="I1026" s="74"/>
      <x:c r="J1026" s="74"/>
      <x:c r="K1026" s="74"/>
      <x:c r="L1026" s="74"/>
      <x:c r="M1026" s="74"/>
      <x:c r="N1026" s="85"/>
      <x:c r="P1026" s="86"/>
      <x:c r="Q1026" s="32"/>
    </x:row>
    <x:row r="1027">
      <x:c r="A1027" s="87"/>
      <x:c r="D1027" s="32"/>
      <x:c r="I1027" s="74"/>
      <x:c r="J1027" s="74"/>
      <x:c r="K1027" s="74"/>
      <x:c r="L1027" s="74"/>
      <x:c r="M1027" s="74"/>
      <x:c r="N1027" s="85"/>
      <x:c r="P1027" s="86"/>
      <x:c r="Q1027" s="32"/>
    </x:row>
    <x:row r="1028">
      <x:c r="A1028" s="87"/>
      <x:c r="D1028" s="32"/>
      <x:c r="I1028" s="74"/>
      <x:c r="J1028" s="74"/>
      <x:c r="K1028" s="74"/>
      <x:c r="L1028" s="74"/>
      <x:c r="M1028" s="74"/>
      <x:c r="N1028" s="85"/>
      <x:c r="P1028" s="86"/>
      <x:c r="Q1028" s="32"/>
    </x:row>
    <x:row r="1029">
      <x:c r="A1029" s="87"/>
      <x:c r="D1029" s="32"/>
      <x:c r="I1029" s="74"/>
      <x:c r="J1029" s="74"/>
      <x:c r="K1029" s="74"/>
      <x:c r="L1029" s="74"/>
      <x:c r="M1029" s="74"/>
      <x:c r="N1029" s="85"/>
      <x:c r="P1029" s="86"/>
      <x:c r="Q1029" s="32"/>
    </x:row>
    <x:row r="1030">
      <x:c r="A1030" s="87"/>
      <x:c r="D1030" s="32"/>
      <x:c r="I1030" s="74"/>
      <x:c r="J1030" s="74"/>
      <x:c r="K1030" s="74"/>
      <x:c r="L1030" s="74"/>
      <x:c r="M1030" s="74"/>
      <x:c r="N1030" s="85"/>
      <x:c r="P1030" s="86"/>
      <x:c r="Q1030" s="32"/>
    </x:row>
    <x:row r="1031">
      <x:c r="A1031" s="87"/>
      <x:c r="D1031" s="32"/>
      <x:c r="I1031" s="74"/>
      <x:c r="J1031" s="74"/>
      <x:c r="K1031" s="74"/>
      <x:c r="L1031" s="74"/>
      <x:c r="M1031" s="74"/>
      <x:c r="N1031" s="85"/>
      <x:c r="P1031" s="86"/>
      <x:c r="Q1031" s="32"/>
    </x:row>
    <x:row r="1032">
      <x:c r="A1032" s="87"/>
      <x:c r="D1032" s="32"/>
      <x:c r="I1032" s="74"/>
      <x:c r="J1032" s="74"/>
      <x:c r="K1032" s="74"/>
      <x:c r="L1032" s="74"/>
      <x:c r="M1032" s="74"/>
      <x:c r="N1032" s="85"/>
      <x:c r="P1032" s="86"/>
      <x:c r="Q1032" s="32"/>
    </x:row>
    <x:row r="1033">
      <x:c r="A1033" s="87"/>
      <x:c r="D1033" s="32"/>
      <x:c r="I1033" s="74"/>
      <x:c r="J1033" s="74"/>
      <x:c r="K1033" s="74"/>
      <x:c r="L1033" s="74"/>
      <x:c r="M1033" s="74"/>
      <x:c r="N1033" s="85"/>
      <x:c r="P1033" s="86"/>
      <x:c r="Q1033" s="32"/>
    </x:row>
    <x:row r="1034">
      <x:c r="A1034" s="87"/>
      <x:c r="D1034" s="32"/>
      <x:c r="I1034" s="74"/>
      <x:c r="J1034" s="74"/>
      <x:c r="K1034" s="74"/>
      <x:c r="L1034" s="74"/>
      <x:c r="M1034" s="74"/>
      <x:c r="N1034" s="85"/>
      <x:c r="P1034" s="86"/>
      <x:c r="Q1034" s="32"/>
    </x:row>
    <x:row r="1035">
      <x:c r="A1035" s="87"/>
      <x:c r="D1035" s="32"/>
      <x:c r="I1035" s="74"/>
      <x:c r="J1035" s="74"/>
      <x:c r="K1035" s="74"/>
      <x:c r="L1035" s="74"/>
      <x:c r="M1035" s="74"/>
      <x:c r="N1035" s="85"/>
      <x:c r="P1035" s="86"/>
      <x:c r="Q1035" s="32"/>
    </x:row>
    <x:row r="1036">
      <x:c r="A1036" s="87"/>
      <x:c r="D1036" s="32"/>
      <x:c r="I1036" s="74"/>
      <x:c r="J1036" s="74"/>
      <x:c r="K1036" s="74"/>
      <x:c r="L1036" s="74"/>
      <x:c r="M1036" s="74"/>
      <x:c r="N1036" s="85"/>
      <x:c r="P1036" s="86"/>
      <x:c r="Q1036" s="32"/>
    </x:row>
    <x:row r="1037">
      <x:c r="A1037" s="87"/>
      <x:c r="D1037" s="32"/>
      <x:c r="I1037" s="74"/>
      <x:c r="J1037" s="74"/>
      <x:c r="K1037" s="74"/>
      <x:c r="L1037" s="74"/>
      <x:c r="M1037" s="74"/>
      <x:c r="N1037" s="85"/>
      <x:c r="P1037" s="86"/>
      <x:c r="Q1037" s="32"/>
    </x:row>
    <x:row r="1038">
      <x:c r="A1038" s="87"/>
      <x:c r="D1038" s="32"/>
      <x:c r="I1038" s="74"/>
      <x:c r="J1038" s="74"/>
      <x:c r="K1038" s="74"/>
      <x:c r="L1038" s="74"/>
      <x:c r="M1038" s="74"/>
      <x:c r="N1038" s="85"/>
      <x:c r="P1038" s="86"/>
      <x:c r="Q1038" s="32"/>
    </x:row>
    <x:row r="1039">
      <x:c r="A1039" s="87"/>
      <x:c r="D1039" s="32"/>
      <x:c r="I1039" s="74"/>
      <x:c r="J1039" s="74"/>
      <x:c r="K1039" s="74"/>
      <x:c r="L1039" s="74"/>
      <x:c r="M1039" s="74"/>
      <x:c r="N1039" s="85"/>
      <x:c r="P1039" s="86"/>
      <x:c r="Q1039" s="32"/>
    </x:row>
    <x:row r="1040">
      <x:c r="A1040" s="87"/>
      <x:c r="D1040" s="32"/>
      <x:c r="I1040" s="74"/>
      <x:c r="J1040" s="74"/>
      <x:c r="K1040" s="74"/>
      <x:c r="L1040" s="74"/>
      <x:c r="M1040" s="74"/>
      <x:c r="N1040" s="85"/>
      <x:c r="P1040" s="86"/>
      <x:c r="Q1040" s="32"/>
    </x:row>
    <x:row r="1041">
      <x:c r="A1041" s="87"/>
      <x:c r="D1041" s="32"/>
      <x:c r="I1041" s="74"/>
      <x:c r="J1041" s="74"/>
      <x:c r="K1041" s="74"/>
      <x:c r="L1041" s="74"/>
      <x:c r="M1041" s="74"/>
      <x:c r="N1041" s="85"/>
      <x:c r="P1041" s="86"/>
      <x:c r="Q1041" s="32"/>
    </x:row>
    <x:row r="1042">
      <x:c r="A1042" s="87"/>
      <x:c r="D1042" s="32"/>
      <x:c r="I1042" s="74"/>
      <x:c r="J1042" s="74"/>
      <x:c r="K1042" s="74"/>
      <x:c r="L1042" s="74"/>
      <x:c r="M1042" s="74"/>
      <x:c r="N1042" s="85"/>
      <x:c r="P1042" s="86"/>
      <x:c r="Q1042" s="32"/>
    </x:row>
    <x:row r="1043">
      <x:c r="A1043" s="87"/>
      <x:c r="D1043" s="32"/>
      <x:c r="I1043" s="74"/>
      <x:c r="J1043" s="74"/>
      <x:c r="K1043" s="74"/>
      <x:c r="L1043" s="74"/>
      <x:c r="M1043" s="74"/>
      <x:c r="N1043" s="85"/>
      <x:c r="P1043" s="86"/>
      <x:c r="Q1043" s="32"/>
    </x:row>
    <x:row r="1044">
      <x:c r="A1044" s="87"/>
      <x:c r="D1044" s="32"/>
      <x:c r="I1044" s="74"/>
      <x:c r="J1044" s="74"/>
      <x:c r="K1044" s="74"/>
      <x:c r="L1044" s="74"/>
      <x:c r="M1044" s="74"/>
      <x:c r="N1044" s="85"/>
      <x:c r="P1044" s="86"/>
      <x:c r="Q1044" s="32"/>
    </x:row>
    <x:row r="1045">
      <x:c r="A1045" s="87"/>
      <x:c r="D1045" s="32"/>
      <x:c r="I1045" s="74"/>
      <x:c r="J1045" s="74"/>
      <x:c r="K1045" s="74"/>
      <x:c r="L1045" s="74"/>
      <x:c r="M1045" s="74"/>
      <x:c r="N1045" s="85"/>
      <x:c r="P1045" s="86"/>
      <x:c r="Q1045" s="32"/>
    </x:row>
    <x:row r="1046">
      <x:c r="A1046" s="87"/>
      <x:c r="D1046" s="32"/>
      <x:c r="I1046" s="74"/>
      <x:c r="J1046" s="74"/>
      <x:c r="K1046" s="74"/>
      <x:c r="L1046" s="74"/>
      <x:c r="M1046" s="74"/>
      <x:c r="N1046" s="85"/>
      <x:c r="P1046" s="86"/>
      <x:c r="Q1046" s="32"/>
    </x:row>
    <x:row r="1047">
      <x:c r="A1047" s="87"/>
      <x:c r="D1047" s="32"/>
      <x:c r="I1047" s="74"/>
      <x:c r="J1047" s="74"/>
      <x:c r="K1047" s="74"/>
      <x:c r="L1047" s="74"/>
      <x:c r="M1047" s="74"/>
      <x:c r="N1047" s="85"/>
      <x:c r="P1047" s="86"/>
      <x:c r="Q1047" s="32"/>
    </x:row>
    <x:row r="1048">
      <x:c r="A1048" s="87"/>
      <x:c r="D1048" s="32"/>
      <x:c r="I1048" s="74"/>
      <x:c r="J1048" s="74"/>
      <x:c r="K1048" s="74"/>
      <x:c r="L1048" s="74"/>
      <x:c r="M1048" s="74"/>
      <x:c r="N1048" s="85"/>
      <x:c r="P1048" s="86"/>
      <x:c r="Q1048" s="32"/>
    </x:row>
    <x:row r="1049">
      <x:c r="A1049" s="87"/>
      <x:c r="D1049" s="32"/>
      <x:c r="I1049" s="74"/>
      <x:c r="J1049" s="74"/>
      <x:c r="K1049" s="74"/>
      <x:c r="L1049" s="74"/>
      <x:c r="M1049" s="74"/>
      <x:c r="N1049" s="85"/>
      <x:c r="P1049" s="86"/>
      <x:c r="Q1049" s="32"/>
    </x:row>
    <x:row r="1050">
      <x:c r="A1050" s="87"/>
      <x:c r="D1050" s="32"/>
      <x:c r="I1050" s="74"/>
      <x:c r="J1050" s="74"/>
      <x:c r="K1050" s="74"/>
      <x:c r="L1050" s="74"/>
      <x:c r="M1050" s="74"/>
      <x:c r="N1050" s="85"/>
      <x:c r="P1050" s="86"/>
      <x:c r="Q1050" s="32"/>
    </x:row>
    <x:row r="1051">
      <x:c r="A1051" s="87"/>
      <x:c r="D1051" s="32"/>
      <x:c r="I1051" s="74"/>
      <x:c r="J1051" s="74"/>
      <x:c r="K1051" s="74"/>
      <x:c r="L1051" s="74"/>
      <x:c r="M1051" s="74"/>
      <x:c r="N1051" s="85"/>
      <x:c r="P1051" s="86"/>
      <x:c r="Q1051" s="32"/>
    </x:row>
    <x:row r="1052">
      <x:c r="A1052" s="87"/>
      <x:c r="D1052" s="32"/>
      <x:c r="I1052" s="74"/>
      <x:c r="J1052" s="74"/>
      <x:c r="K1052" s="74"/>
      <x:c r="L1052" s="74"/>
      <x:c r="M1052" s="74"/>
      <x:c r="N1052" s="85"/>
      <x:c r="P1052" s="86"/>
      <x:c r="Q1052" s="32"/>
    </x:row>
    <x:row r="1053">
      <x:c r="A1053" s="87"/>
      <x:c r="D1053" s="32"/>
      <x:c r="I1053" s="74"/>
      <x:c r="J1053" s="74"/>
      <x:c r="K1053" s="74"/>
      <x:c r="L1053" s="74"/>
      <x:c r="M1053" s="74"/>
      <x:c r="N1053" s="85"/>
      <x:c r="P1053" s="86"/>
      <x:c r="Q1053" s="32"/>
    </x:row>
    <x:row r="1054">
      <x:c r="A1054" s="87"/>
      <x:c r="D1054" s="32"/>
      <x:c r="I1054" s="74"/>
      <x:c r="J1054" s="74"/>
      <x:c r="K1054" s="74"/>
      <x:c r="L1054" s="74"/>
      <x:c r="M1054" s="74"/>
      <x:c r="N1054" s="85"/>
      <x:c r="P1054" s="86"/>
      <x:c r="Q1054" s="32"/>
    </x:row>
    <x:row r="1055">
      <x:c r="A1055" s="87"/>
      <x:c r="D1055" s="32"/>
      <x:c r="I1055" s="74"/>
      <x:c r="J1055" s="74"/>
      <x:c r="K1055" s="74"/>
      <x:c r="L1055" s="74"/>
      <x:c r="M1055" s="74"/>
      <x:c r="N1055" s="85"/>
      <x:c r="P1055" s="86"/>
      <x:c r="Q1055" s="32"/>
    </x:row>
    <x:row r="1056">
      <x:c r="A1056" s="87"/>
      <x:c r="D1056" s="32"/>
      <x:c r="I1056" s="74"/>
      <x:c r="J1056" s="74"/>
      <x:c r="K1056" s="74"/>
      <x:c r="L1056" s="74"/>
      <x:c r="M1056" s="74"/>
      <x:c r="N1056" s="85"/>
      <x:c r="P1056" s="86"/>
      <x:c r="Q1056" s="32"/>
    </x:row>
    <x:row r="1057">
      <x:c r="A1057" s="87"/>
      <x:c r="D1057" s="32"/>
      <x:c r="I1057" s="74"/>
      <x:c r="J1057" s="74"/>
      <x:c r="K1057" s="74"/>
      <x:c r="L1057" s="74"/>
      <x:c r="M1057" s="74"/>
      <x:c r="N1057" s="85"/>
      <x:c r="P1057" s="86"/>
      <x:c r="Q1057" s="32"/>
    </x:row>
    <x:row r="1058">
      <x:c r="A1058" s="87"/>
      <x:c r="D1058" s="32"/>
      <x:c r="I1058" s="74"/>
      <x:c r="J1058" s="74"/>
      <x:c r="K1058" s="74"/>
      <x:c r="L1058" s="74"/>
      <x:c r="M1058" s="74"/>
      <x:c r="N1058" s="85"/>
      <x:c r="P1058" s="86"/>
      <x:c r="Q1058" s="32"/>
    </x:row>
    <x:row r="1059">
      <x:c r="A1059" s="87"/>
      <x:c r="D1059" s="32"/>
      <x:c r="I1059" s="74"/>
      <x:c r="J1059" s="74"/>
      <x:c r="K1059" s="74"/>
      <x:c r="L1059" s="74"/>
      <x:c r="M1059" s="74"/>
      <x:c r="N1059" s="85"/>
      <x:c r="P1059" s="86"/>
      <x:c r="Q1059" s="32"/>
    </x:row>
    <x:row r="1060">
      <x:c r="A1060" s="87"/>
      <x:c r="D1060" s="32"/>
      <x:c r="I1060" s="74"/>
      <x:c r="J1060" s="74"/>
      <x:c r="K1060" s="74"/>
      <x:c r="L1060" s="74"/>
      <x:c r="M1060" s="74"/>
      <x:c r="N1060" s="85"/>
      <x:c r="P1060" s="86"/>
      <x:c r="Q1060" s="32"/>
    </x:row>
    <x:row r="1061">
      <x:c r="A1061" s="87"/>
      <x:c r="D1061" s="32"/>
      <x:c r="I1061" s="74"/>
      <x:c r="J1061" s="74"/>
      <x:c r="K1061" s="74"/>
      <x:c r="L1061" s="74"/>
      <x:c r="M1061" s="74"/>
      <x:c r="N1061" s="85"/>
      <x:c r="P1061" s="86"/>
      <x:c r="Q1061" s="32"/>
    </x:row>
    <x:row r="1062">
      <x:c r="A1062" s="87"/>
      <x:c r="D1062" s="32"/>
      <x:c r="I1062" s="74"/>
      <x:c r="J1062" s="74"/>
      <x:c r="K1062" s="74"/>
      <x:c r="L1062" s="74"/>
      <x:c r="M1062" s="74"/>
      <x:c r="N1062" s="85"/>
      <x:c r="P1062" s="86"/>
      <x:c r="Q1062" s="32"/>
    </x:row>
    <x:row r="1063">
      <x:c r="A1063" s="87"/>
      <x:c r="D1063" s="32"/>
      <x:c r="I1063" s="74"/>
      <x:c r="J1063" s="74"/>
      <x:c r="K1063" s="74"/>
      <x:c r="L1063" s="74"/>
      <x:c r="M1063" s="74"/>
      <x:c r="N1063" s="85"/>
      <x:c r="P1063" s="86"/>
      <x:c r="Q1063" s="32"/>
    </x:row>
    <x:row r="1064">
      <x:c r="A1064" s="87"/>
      <x:c r="D1064" s="32"/>
      <x:c r="I1064" s="74"/>
      <x:c r="J1064" s="74"/>
      <x:c r="K1064" s="74"/>
      <x:c r="L1064" s="74"/>
      <x:c r="M1064" s="74"/>
      <x:c r="N1064" s="85"/>
      <x:c r="P1064" s="86"/>
      <x:c r="Q1064" s="32"/>
    </x:row>
    <x:row r="1065">
      <x:c r="A1065" s="87"/>
      <x:c r="D1065" s="32"/>
      <x:c r="I1065" s="74"/>
      <x:c r="J1065" s="74"/>
      <x:c r="K1065" s="74"/>
      <x:c r="L1065" s="74"/>
      <x:c r="M1065" s="74"/>
      <x:c r="N1065" s="85"/>
      <x:c r="P1065" s="86"/>
      <x:c r="Q1065" s="32"/>
    </x:row>
    <x:row r="1066">
      <x:c r="A1066" s="87"/>
      <x:c r="D1066" s="32"/>
      <x:c r="I1066" s="74"/>
      <x:c r="J1066" s="74"/>
      <x:c r="K1066" s="74"/>
      <x:c r="L1066" s="74"/>
      <x:c r="M1066" s="74"/>
      <x:c r="N1066" s="85"/>
      <x:c r="P1066" s="86"/>
      <x:c r="Q1066" s="32"/>
    </x:row>
    <x:row r="1067">
      <x:c r="A1067" s="87"/>
      <x:c r="D1067" s="32"/>
      <x:c r="I1067" s="74"/>
      <x:c r="J1067" s="74"/>
      <x:c r="K1067" s="74"/>
      <x:c r="L1067" s="74"/>
      <x:c r="M1067" s="74"/>
      <x:c r="N1067" s="85"/>
      <x:c r="P1067" s="86"/>
      <x:c r="Q1067" s="32"/>
    </x:row>
    <x:row r="1068">
      <x:c r="A1068" s="87"/>
      <x:c r="D1068" s="32"/>
      <x:c r="I1068" s="74"/>
      <x:c r="J1068" s="74"/>
      <x:c r="K1068" s="74"/>
      <x:c r="L1068" s="74"/>
      <x:c r="M1068" s="74"/>
      <x:c r="N1068" s="85"/>
      <x:c r="P1068" s="86"/>
      <x:c r="Q1068" s="32"/>
    </x:row>
    <x:row r="1069">
      <x:c r="A1069" s="87"/>
      <x:c r="D1069" s="32"/>
      <x:c r="I1069" s="74"/>
      <x:c r="J1069" s="74"/>
      <x:c r="K1069" s="74"/>
      <x:c r="L1069" s="74"/>
      <x:c r="M1069" s="74"/>
      <x:c r="N1069" s="85"/>
      <x:c r="P1069" s="86"/>
      <x:c r="Q1069" s="32"/>
    </x:row>
    <x:row r="1070">
      <x:c r="A1070" s="87"/>
      <x:c r="D1070" s="32"/>
      <x:c r="I1070" s="74"/>
      <x:c r="J1070" s="74"/>
      <x:c r="K1070" s="74"/>
      <x:c r="L1070" s="74"/>
      <x:c r="M1070" s="74"/>
      <x:c r="N1070" s="85"/>
      <x:c r="P1070" s="86"/>
      <x:c r="Q1070" s="32"/>
    </x:row>
    <x:row r="1071">
      <x:c r="A1071" s="87"/>
      <x:c r="D1071" s="32"/>
      <x:c r="I1071" s="74"/>
      <x:c r="J1071" s="74"/>
      <x:c r="K1071" s="74"/>
      <x:c r="L1071" s="74"/>
      <x:c r="M1071" s="74"/>
      <x:c r="N1071" s="85"/>
      <x:c r="P1071" s="86"/>
      <x:c r="Q1071" s="32"/>
    </x:row>
    <x:row r="1072">
      <x:c r="A1072" s="87"/>
      <x:c r="D1072" s="32"/>
      <x:c r="I1072" s="74"/>
      <x:c r="J1072" s="74"/>
      <x:c r="K1072" s="74"/>
      <x:c r="L1072" s="74"/>
      <x:c r="M1072" s="74"/>
      <x:c r="N1072" s="85"/>
      <x:c r="P1072" s="86"/>
      <x:c r="Q1072" s="32"/>
    </x:row>
    <x:row r="1073">
      <x:c r="A1073" s="87"/>
      <x:c r="D1073" s="32"/>
      <x:c r="I1073" s="74"/>
      <x:c r="J1073" s="74"/>
      <x:c r="K1073" s="74"/>
      <x:c r="L1073" s="74"/>
      <x:c r="M1073" s="74"/>
      <x:c r="N1073" s="85"/>
      <x:c r="P1073" s="86"/>
      <x:c r="Q1073" s="32"/>
    </x:row>
    <x:row r="1074">
      <x:c r="A1074" s="87"/>
      <x:c r="D1074" s="32"/>
      <x:c r="I1074" s="74"/>
      <x:c r="J1074" s="74"/>
      <x:c r="K1074" s="74"/>
      <x:c r="L1074" s="74"/>
      <x:c r="M1074" s="74"/>
      <x:c r="N1074" s="85"/>
      <x:c r="P1074" s="86"/>
      <x:c r="Q1074" s="32"/>
    </x:row>
    <x:row r="1075">
      <x:c r="A1075" s="87"/>
      <x:c r="D1075" s="32"/>
      <x:c r="I1075" s="74"/>
      <x:c r="J1075" s="74"/>
      <x:c r="K1075" s="74"/>
      <x:c r="L1075" s="74"/>
      <x:c r="M1075" s="74"/>
      <x:c r="N1075" s="85"/>
      <x:c r="P1075" s="86"/>
      <x:c r="Q1075" s="32"/>
    </x:row>
    <x:row r="1076">
      <x:c r="A1076" s="87"/>
      <x:c r="D1076" s="32"/>
      <x:c r="I1076" s="74"/>
      <x:c r="J1076" s="74"/>
      <x:c r="K1076" s="74"/>
      <x:c r="L1076" s="74"/>
      <x:c r="M1076" s="74"/>
      <x:c r="N1076" s="85"/>
      <x:c r="P1076" s="86"/>
      <x:c r="Q1076" s="32"/>
    </x:row>
    <x:row r="1077">
      <x:c r="A1077" s="87"/>
      <x:c r="D1077" s="32"/>
      <x:c r="I1077" s="74"/>
      <x:c r="J1077" s="74"/>
      <x:c r="K1077" s="74"/>
      <x:c r="L1077" s="74"/>
      <x:c r="M1077" s="74"/>
      <x:c r="N1077" s="85"/>
      <x:c r="P1077" s="86"/>
      <x:c r="Q1077" s="32"/>
    </x:row>
    <x:row r="1078">
      <x:c r="A1078" s="87"/>
      <x:c r="D1078" s="32"/>
      <x:c r="I1078" s="74"/>
      <x:c r="J1078" s="74"/>
      <x:c r="K1078" s="74"/>
      <x:c r="L1078" s="74"/>
      <x:c r="M1078" s="74"/>
      <x:c r="N1078" s="85"/>
      <x:c r="P1078" s="86"/>
      <x:c r="Q1078" s="32"/>
    </x:row>
    <x:row r="1079">
      <x:c r="A1079" s="87"/>
      <x:c r="D1079" s="32"/>
      <x:c r="I1079" s="74"/>
      <x:c r="J1079" s="74"/>
      <x:c r="K1079" s="74"/>
      <x:c r="L1079" s="74"/>
      <x:c r="M1079" s="74"/>
      <x:c r="N1079" s="85"/>
      <x:c r="P1079" s="86"/>
      <x:c r="Q1079" s="32"/>
    </x:row>
    <x:row r="1080">
      <x:c r="A1080" s="87"/>
      <x:c r="D1080" s="32"/>
      <x:c r="I1080" s="74"/>
      <x:c r="J1080" s="74"/>
      <x:c r="K1080" s="74"/>
      <x:c r="L1080" s="74"/>
      <x:c r="M1080" s="74"/>
      <x:c r="N1080" s="85"/>
      <x:c r="P1080" s="86"/>
      <x:c r="Q1080" s="32"/>
    </x:row>
    <x:row r="1081">
      <x:c r="A1081" s="87"/>
      <x:c r="D1081" s="32"/>
      <x:c r="I1081" s="74"/>
      <x:c r="J1081" s="74"/>
      <x:c r="K1081" s="74"/>
      <x:c r="L1081" s="74"/>
      <x:c r="M1081" s="74"/>
      <x:c r="N1081" s="85"/>
      <x:c r="P1081" s="86"/>
      <x:c r="Q1081" s="32"/>
    </x:row>
    <x:row r="1082">
      <x:c r="A1082" s="87"/>
      <x:c r="D1082" s="32"/>
      <x:c r="I1082" s="74"/>
      <x:c r="J1082" s="74"/>
      <x:c r="K1082" s="74"/>
      <x:c r="L1082" s="74"/>
      <x:c r="M1082" s="74"/>
      <x:c r="N1082" s="85"/>
      <x:c r="P1082" s="86"/>
      <x:c r="Q1082" s="32"/>
    </x:row>
    <x:row r="1083">
      <x:c r="A1083" s="87"/>
      <x:c r="D1083" s="32"/>
      <x:c r="I1083" s="74"/>
      <x:c r="J1083" s="74"/>
      <x:c r="K1083" s="74"/>
      <x:c r="L1083" s="74"/>
      <x:c r="M1083" s="74"/>
      <x:c r="N1083" s="85"/>
      <x:c r="P1083" s="86"/>
      <x:c r="Q1083" s="32"/>
    </x:row>
  </x:sheetData>
  <x:conditionalFormatting sqref="A85:O85 A87:A87 A89:A89 A91:A91 A93:A93 A95:A99">
    <x:cfRule type="expression" dxfId="1" priority="1">
      <x:formula>AND(NOT($O85="Done"), OR($P85="Đã CK Anh", $P85="Đã CK Em"))</x:formula>
    </x:cfRule>
  </x:conditionalFormatting>
  <x:conditionalFormatting sqref="A85:O85 A87:A87 A89:A89 A91:A91 A93:A93 A95:A99">
    <x:cfRule type="expression" dxfId="0" priority="2">
      <x:formula>$O85="Done"</x:formula>
    </x:cfRule>
  </x:conditionalFormatting>
  <x:conditionalFormatting sqref="A100:B101">
    <x:cfRule type="expression" dxfId="0" priority="3">
      <x:formula>$K100="Done"</x:formula>
    </x:cfRule>
  </x:conditionalFormatting>
  <x:conditionalFormatting sqref="A100:B101">
    <x:cfRule type="expression" dxfId="1" priority="4">
      <x:formula>AND(NOT($K100="Done"), OR($L100="Đã CK Anh", $L100="Đã CK Em"))</x:formula>
    </x:cfRule>
  </x:conditionalFormatting>
  <x:conditionalFormatting sqref="A2:A1083 B2:O84 B86:O1083">
    <x:cfRule type="expression" dxfId="0" priority="5">
      <x:formula>$O2="Done"</x:formula>
    </x:cfRule>
  </x:conditionalFormatting>
  <x:conditionalFormatting sqref="A2:A1083 B2:O84 B86:O1083">
    <x:cfRule type="expression" dxfId="1" priority="6">
      <x:formula>AND(NOT($O2="Done"), OR($P2="Đã CK Anh", $P2="Đã CK Em"))</x:formula>
    </x:cfRule>
  </x:conditionalFormatting>
  <x:dataValidations count="1">
    <x:dataValidation type="list" allowBlank="1" showErrorMessage="1" sqref="P2:P1083">
      <x:formula1>"Chưa CK,Đã CK Anh,Đã CK Em"</x:formula1>
    </x:dataValidation>
  </x:dataValidations>
  <x:hyperlinks>
    <x:hyperlink xmlns:r="http://schemas.openxmlformats.org/officeDocument/2006/relationships" ref="D2" r:id="R643740725940416a"/>
    <x:hyperlink xmlns:r="http://schemas.openxmlformats.org/officeDocument/2006/relationships" ref="D3" r:id="R83922dcf67b243d3"/>
    <x:hyperlink xmlns:r="http://schemas.openxmlformats.org/officeDocument/2006/relationships" ref="D4" r:id="R70b241205aac43b4"/>
    <x:hyperlink xmlns:r="http://schemas.openxmlformats.org/officeDocument/2006/relationships" ref="D5" r:id="R1716286cc3e343d1"/>
    <x:hyperlink xmlns:r="http://schemas.openxmlformats.org/officeDocument/2006/relationships" ref="D6" r:id="R8fa1d2b014cb44c4"/>
    <x:hyperlink xmlns:r="http://schemas.openxmlformats.org/officeDocument/2006/relationships" ref="D7" r:id="Redbfa9847e3c4d83"/>
    <x:hyperlink xmlns:r="http://schemas.openxmlformats.org/officeDocument/2006/relationships" ref="D8" r:id="R618d6f20b7ac46dc"/>
    <x:hyperlink xmlns:r="http://schemas.openxmlformats.org/officeDocument/2006/relationships" ref="D9" r:id="R4035dff455c24bd7"/>
    <x:hyperlink xmlns:r="http://schemas.openxmlformats.org/officeDocument/2006/relationships" ref="D10" r:id="R4fca7efa51644476"/>
    <x:hyperlink xmlns:r="http://schemas.openxmlformats.org/officeDocument/2006/relationships" ref="D11" r:id="R57056b7fc92045a6"/>
    <x:hyperlink xmlns:r="http://schemas.openxmlformats.org/officeDocument/2006/relationships" ref="D12" r:id="R4d2523fd9d814f48"/>
    <x:hyperlink xmlns:r="http://schemas.openxmlformats.org/officeDocument/2006/relationships" ref="D13" r:id="Rd3c318a4ada44295"/>
    <x:hyperlink xmlns:r="http://schemas.openxmlformats.org/officeDocument/2006/relationships" ref="D14" r:id="Re5473ba84e3b4304"/>
    <x:hyperlink xmlns:r="http://schemas.openxmlformats.org/officeDocument/2006/relationships" ref="D16" r:id="R6064cc5a9a0f4aaf"/>
    <x:hyperlink xmlns:r="http://schemas.openxmlformats.org/officeDocument/2006/relationships" ref="D17" r:id="R635f2816f4804e25"/>
    <x:hyperlink xmlns:r="http://schemas.openxmlformats.org/officeDocument/2006/relationships" ref="D18" r:id="R720d0ea795254c7e"/>
    <x:hyperlink xmlns:r="http://schemas.openxmlformats.org/officeDocument/2006/relationships" ref="D21" r:id="R0493eadb5e2f4e0e"/>
    <x:hyperlink xmlns:r="http://schemas.openxmlformats.org/officeDocument/2006/relationships" ref="D23" r:id="R8a4bc5bca8f34d1c"/>
    <x:hyperlink xmlns:r="http://schemas.openxmlformats.org/officeDocument/2006/relationships" ref="D24" r:id="R5059c58c5b9944d7"/>
    <x:hyperlink xmlns:r="http://schemas.openxmlformats.org/officeDocument/2006/relationships" ref="D25" r:id="Rce88bbd2b3284ad7"/>
    <x:hyperlink xmlns:r="http://schemas.openxmlformats.org/officeDocument/2006/relationships" ref="D26" r:id="R17fc3c0b88fb4f4b"/>
    <x:hyperlink xmlns:r="http://schemas.openxmlformats.org/officeDocument/2006/relationships" ref="D27" r:id="Raf8d5baede4c4b62"/>
    <x:hyperlink xmlns:r="http://schemas.openxmlformats.org/officeDocument/2006/relationships" ref="D28" r:id="R6e9326aa6c074de0"/>
    <x:hyperlink xmlns:r="http://schemas.openxmlformats.org/officeDocument/2006/relationships" ref="D29" r:id="R517e1c6f2c6847be"/>
    <x:hyperlink xmlns:r="http://schemas.openxmlformats.org/officeDocument/2006/relationships" ref="D30" r:id="R14d22e0cc05442f6"/>
    <x:hyperlink xmlns:r="http://schemas.openxmlformats.org/officeDocument/2006/relationships" ref="D31" r:id="R14c3cadc9039428b"/>
    <x:hyperlink xmlns:r="http://schemas.openxmlformats.org/officeDocument/2006/relationships" ref="D32" r:id="R12f1ac77b01243f2"/>
    <x:hyperlink xmlns:r="http://schemas.openxmlformats.org/officeDocument/2006/relationships" ref="D33" r:id="R0646b5e2a3d44cf5"/>
    <x:hyperlink xmlns:r="http://schemas.openxmlformats.org/officeDocument/2006/relationships" ref="D34" r:id="R4aecb9651a4d401c"/>
    <x:hyperlink xmlns:r="http://schemas.openxmlformats.org/officeDocument/2006/relationships" ref="D35" r:id="R97954778c7904c7e"/>
    <x:hyperlink xmlns:r="http://schemas.openxmlformats.org/officeDocument/2006/relationships" ref="D36" r:id="R4ba2d354f2b54818"/>
    <x:hyperlink xmlns:r="http://schemas.openxmlformats.org/officeDocument/2006/relationships" ref="D38" r:id="Re20e55dcef8940f1"/>
    <x:hyperlink xmlns:r="http://schemas.openxmlformats.org/officeDocument/2006/relationships" ref="D39" r:id="R4c14856413894cb8"/>
    <x:hyperlink xmlns:r="http://schemas.openxmlformats.org/officeDocument/2006/relationships" ref="D40" r:id="R2cb1c2b96685472f"/>
    <x:hyperlink xmlns:r="http://schemas.openxmlformats.org/officeDocument/2006/relationships" ref="D41" r:id="R690ee7d8425644a8"/>
    <x:hyperlink xmlns:r="http://schemas.openxmlformats.org/officeDocument/2006/relationships" ref="D42" r:id="R27f51429b55d494d"/>
    <x:hyperlink xmlns:r="http://schemas.openxmlformats.org/officeDocument/2006/relationships" ref="D43" r:id="R5b925031680b46bc"/>
    <x:hyperlink xmlns:r="http://schemas.openxmlformats.org/officeDocument/2006/relationships" ref="D44" r:id="R01bb81835aa14301"/>
    <x:hyperlink xmlns:r="http://schemas.openxmlformats.org/officeDocument/2006/relationships" ref="D45" r:id="R0d00beea70a84d65"/>
    <x:hyperlink xmlns:r="http://schemas.openxmlformats.org/officeDocument/2006/relationships" ref="D46" r:id="Rb636d21ed8d54e10"/>
    <x:hyperlink xmlns:r="http://schemas.openxmlformats.org/officeDocument/2006/relationships" ref="D47" r:id="R5b6e2e011861479b"/>
    <x:hyperlink xmlns:r="http://schemas.openxmlformats.org/officeDocument/2006/relationships" ref="D48" r:id="R7a6384608a1444cd"/>
    <x:hyperlink xmlns:r="http://schemas.openxmlformats.org/officeDocument/2006/relationships" ref="D49" r:id="R093a53f40856454f"/>
    <x:hyperlink xmlns:r="http://schemas.openxmlformats.org/officeDocument/2006/relationships" ref="D50" r:id="R042bccaf8369430e"/>
    <x:hyperlink xmlns:r="http://schemas.openxmlformats.org/officeDocument/2006/relationships" ref="D51" r:id="Re85ba2a966fe4640"/>
    <x:hyperlink xmlns:r="http://schemas.openxmlformats.org/officeDocument/2006/relationships" ref="D52" r:id="R3ffe8ec788af43e6"/>
    <x:hyperlink xmlns:r="http://schemas.openxmlformats.org/officeDocument/2006/relationships" ref="D53" r:id="R6a9dd2e0fec94595"/>
    <x:hyperlink xmlns:r="http://schemas.openxmlformats.org/officeDocument/2006/relationships" ref="D54" r:id="R21c4c2880c9b4a4b"/>
    <x:hyperlink xmlns:r="http://schemas.openxmlformats.org/officeDocument/2006/relationships" ref="D55" r:id="R857a6ce9b4924cfb"/>
    <x:hyperlink xmlns:r="http://schemas.openxmlformats.org/officeDocument/2006/relationships" ref="D56" r:id="Rddea93c84fed4098"/>
    <x:hyperlink xmlns:r="http://schemas.openxmlformats.org/officeDocument/2006/relationships" ref="D57" r:id="Ra66c1ea5eb4c49da"/>
    <x:hyperlink xmlns:r="http://schemas.openxmlformats.org/officeDocument/2006/relationships" ref="D58" r:id="R4b84460f08bd4ae6"/>
    <x:hyperlink xmlns:r="http://schemas.openxmlformats.org/officeDocument/2006/relationships" ref="D59" r:id="R60050d0b646b4baf"/>
    <x:hyperlink xmlns:r="http://schemas.openxmlformats.org/officeDocument/2006/relationships" ref="D60" r:id="Rc586147e99624cfd"/>
    <x:hyperlink xmlns:r="http://schemas.openxmlformats.org/officeDocument/2006/relationships" ref="D62" r:id="Rdefb5d45f0924f98"/>
    <x:hyperlink xmlns:r="http://schemas.openxmlformats.org/officeDocument/2006/relationships" ref="D64" r:id="Rb59cd926a10b4385"/>
    <x:hyperlink xmlns:r="http://schemas.openxmlformats.org/officeDocument/2006/relationships" ref="D65" r:id="Rc74055a106784dee"/>
    <x:hyperlink xmlns:r="http://schemas.openxmlformats.org/officeDocument/2006/relationships" ref="D66" r:id="Rd610fb1a39fc4460"/>
    <x:hyperlink xmlns:r="http://schemas.openxmlformats.org/officeDocument/2006/relationships" ref="D67" r:id="R27ab6703f67c4142"/>
    <x:hyperlink xmlns:r="http://schemas.openxmlformats.org/officeDocument/2006/relationships" ref="D68" r:id="R3b00a7b9c41f4b1c"/>
    <x:hyperlink xmlns:r="http://schemas.openxmlformats.org/officeDocument/2006/relationships" ref="D69" r:id="Rd64d0e5d98114f85"/>
    <x:hyperlink xmlns:r="http://schemas.openxmlformats.org/officeDocument/2006/relationships" ref="D70" r:id="R81ac3917893a414d"/>
    <x:hyperlink xmlns:r="http://schemas.openxmlformats.org/officeDocument/2006/relationships" ref="D71" r:id="Rf2249bc8e9d34bfe"/>
    <x:hyperlink xmlns:r="http://schemas.openxmlformats.org/officeDocument/2006/relationships" ref="D72" r:id="Rd4e2d4993d384095"/>
    <x:hyperlink xmlns:r="http://schemas.openxmlformats.org/officeDocument/2006/relationships" ref="B73" r:id="R3eaa969c41564e2d"/>
    <x:hyperlink xmlns:r="http://schemas.openxmlformats.org/officeDocument/2006/relationships" ref="B74" r:id="Rc46137cb693f40ac"/>
    <x:hyperlink xmlns:r="http://schemas.openxmlformats.org/officeDocument/2006/relationships" ref="D74" r:id="Rc83edccb850f446e"/>
    <x:hyperlink xmlns:r="http://schemas.openxmlformats.org/officeDocument/2006/relationships" ref="D75" r:id="Rb7dfbed7a63c4476"/>
    <x:hyperlink xmlns:r="http://schemas.openxmlformats.org/officeDocument/2006/relationships" ref="D76" r:id="R7d469355de7947e6"/>
    <x:hyperlink xmlns:r="http://schemas.openxmlformats.org/officeDocument/2006/relationships" ref="D77" r:id="R97f7062e3c9a4bad"/>
    <x:hyperlink xmlns:r="http://schemas.openxmlformats.org/officeDocument/2006/relationships" ref="D78" r:id="R2c802072ea514f91"/>
    <x:hyperlink xmlns:r="http://schemas.openxmlformats.org/officeDocument/2006/relationships" ref="D79" r:id="R1130518127f24511"/>
    <x:hyperlink xmlns:r="http://schemas.openxmlformats.org/officeDocument/2006/relationships" ref="D80" r:id="R351c04b8305f4833"/>
    <x:hyperlink xmlns:r="http://schemas.openxmlformats.org/officeDocument/2006/relationships" ref="D81" r:id="R38823e1b096d49a8"/>
    <x:hyperlink xmlns:r="http://schemas.openxmlformats.org/officeDocument/2006/relationships" ref="D82" r:id="R32e6422eee7542f4"/>
    <x:hyperlink xmlns:r="http://schemas.openxmlformats.org/officeDocument/2006/relationships" ref="D83" r:id="R35ecdc4bef724b9a"/>
    <x:hyperlink xmlns:r="http://schemas.openxmlformats.org/officeDocument/2006/relationships" ref="D84" r:id="Rf0078bd27e2f47a9"/>
    <x:hyperlink xmlns:r="http://schemas.openxmlformats.org/officeDocument/2006/relationships" ref="D85" r:id="Rc559f65f19014d7c"/>
    <x:hyperlink xmlns:r="http://schemas.openxmlformats.org/officeDocument/2006/relationships" ref="D86" r:id="R20b036bf3f5945f5"/>
    <x:hyperlink xmlns:r="http://schemas.openxmlformats.org/officeDocument/2006/relationships" ref="D87" r:id="R47a578fd31644ef5"/>
    <x:hyperlink xmlns:r="http://schemas.openxmlformats.org/officeDocument/2006/relationships" ref="D88" r:id="R62a6b679f8b04381"/>
    <x:hyperlink xmlns:r="http://schemas.openxmlformats.org/officeDocument/2006/relationships" ref="D89" r:id="Raf2b3743bc1c4da9"/>
    <x:hyperlink xmlns:r="http://schemas.openxmlformats.org/officeDocument/2006/relationships" ref="D90" r:id="Re1b7c86fcbe046aa"/>
    <x:hyperlink xmlns:r="http://schemas.openxmlformats.org/officeDocument/2006/relationships" ref="D91" r:id="R69f86a331b6b4ba3"/>
    <x:hyperlink xmlns:r="http://schemas.openxmlformats.org/officeDocument/2006/relationships" ref="D92" r:id="R755962f611bd4f7e"/>
    <x:hyperlink xmlns:r="http://schemas.openxmlformats.org/officeDocument/2006/relationships" ref="D93" r:id="Raab314edeb6c4581"/>
    <x:hyperlink xmlns:r="http://schemas.openxmlformats.org/officeDocument/2006/relationships" ref="D94" r:id="Re831faf1688e4361"/>
    <x:hyperlink xmlns:r="http://schemas.openxmlformats.org/officeDocument/2006/relationships" ref="D95" r:id="Rcc7d3a132dd44441"/>
    <x:hyperlink xmlns:r="http://schemas.openxmlformats.org/officeDocument/2006/relationships" ref="D96" r:id="R03f17fc100814b05"/>
    <x:hyperlink xmlns:r="http://schemas.openxmlformats.org/officeDocument/2006/relationships" ref="D97" r:id="R54b3c7b1f9e44a11"/>
    <x:hyperlink xmlns:r="http://schemas.openxmlformats.org/officeDocument/2006/relationships" ref="D98" r:id="R128789878b3c469a"/>
    <x:hyperlink xmlns:r="http://schemas.openxmlformats.org/officeDocument/2006/relationships" ref="D99" r:id="R8d1dad162c204c90"/>
  </x:hyperlink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5.25" customWidth="1"/>
    <x:col min="2" max="2" width="18.6299991607666" customWidth="1"/>
    <x:col min="3" max="3" width="9.25" customWidth="1"/>
    <x:col min="5" max="5" width="11.130000114440918" customWidth="1"/>
    <x:col min="6" max="6" width="10.630000114440918" customWidth="1"/>
    <x:col min="7" max="8" width="11.630000114440918" customWidth="1"/>
    <x:col min="9" max="9" width="13.630000114440918" customWidth="1"/>
    <x:col min="11" max="11" width="21.5" customWidth="1"/>
    <x:col min="12" max="12" width="18.5" customWidth="1"/>
  </x:cols>
  <x:sheetData>
    <x:row r="1" ht="21" customHeight="1">
      <x:c r="A1" s="1" t="s">
        <x:v>0</x:v>
      </x:c>
      <x:c r="B1" s="1" t="s">
        <x:v>1</x:v>
      </x:c>
      <x:c r="C1" s="1" t="s">
        <x:v>2</x:v>
      </x:c>
      <x:c r="D1" s="3" t="s">
        <x:v>3</x:v>
      </x:c>
      <x:c r="E1" s="1" t="s">
        <x:v>6</x:v>
      </x:c>
      <x:c r="F1" s="1" t="s">
        <x:v>445</x:v>
      </x:c>
      <x:c r="G1" s="1" t="s">
        <x:v>443</x:v>
      </x:c>
      <x:c r="H1" s="1" t="s">
        <x:v>9</x:v>
      </x:c>
      <x:c r="I1" s="4" t="s">
        <x:v>1376</x:v>
      </x:c>
      <x:c r="J1" s="5" t="s">
        <x:v>21</x:v>
      </x:c>
      <x:c r="K1" s="1" t="s">
        <x:v>22</x:v>
      </x:c>
      <x:c r="L1" s="1" t="s">
        <x:v>24</x:v>
      </x:c>
      <x:c r="M1" s="6" t="s">
        <x:v>25</x:v>
      </x:c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</x:row>
    <x:row r="2" ht="18.75" customHeight="1">
      <x:c r="A2" s="19">
        <x:v>1.0</x:v>
      </x:c>
      <x:c r="B2" s="23" t="s">
        <x:v>1377</x:v>
      </x:c>
      <x:c r="C2" s="21">
        <x:v>45621.0</x:v>
      </x:c>
      <x:c r="D2" s="58" t="s">
        <x:v>1378</x:v>
      </x:c>
      <x:c r="E2" s="23">
        <x:v>1.0</x:v>
      </x:c>
      <x:c r="F2" s="23">
        <x:v>1.0</x:v>
      </x:c>
      <x:c r="G2" s="56"/>
      <x:c r="H2" s="23">
        <x:v>1.0</x:v>
      </x:c>
      <x:c r="I2" s="25"/>
      <x:c r="J2" s="26" t="n">
        <x:f>(E2*240+F2*240+G2*350+H2*390)*1000-25000</x:f>
        <x:v>845000</x:v>
      </x:c>
      <x:c r="K2" s="23" t="s">
        <x:v>74</x:v>
      </x:c>
      <x:c r="L2" s="23" t="s">
        <x:v>34</x:v>
      </x:c>
      <x:c r="M2" s="32"/>
      <x:c r="N2" s="28" t="s">
        <x:v>34</x:v>
      </x:c>
      <x:c r="O2" s="28" t="s">
        <x:v>31</x:v>
      </x:c>
      <x:c r="P2" s="28" t="s">
        <x:v>54</x:v>
      </x:c>
      <x:c r="Q2" s="28" t="s">
        <x:v>55</x:v>
      </x:c>
    </x:row>
    <x:row r="3" ht="18.75" customHeight="1">
      <x:c r="A3" s="19">
        <x:v>2.0</x:v>
      </x:c>
      <x:c r="B3" s="23" t="s">
        <x:v>1379</x:v>
      </x:c>
      <x:c r="C3" s="21">
        <x:v>45621.0</x:v>
      </x:c>
      <x:c r="D3" s="58" t="s">
        <x:v>1380</x:v>
      </x:c>
      <x:c r="E3" s="56"/>
      <x:c r="F3" s="23">
        <x:v>1.0</x:v>
      </x:c>
      <x:c r="G3" s="56"/>
      <x:c r="H3" s="56"/>
      <x:c r="I3" s="25"/>
      <x:c r="J3" s="26" t="n">
        <x:f t="shared" ref="J3:J6" si="1">(E3*240+F3*240+G3*350+H3*390)*1000</x:f>
        <x:v>240000</x:v>
      </x:c>
      <x:c r="K3" s="23" t="s">
        <x:v>74</x:v>
      </x:c>
      <x:c r="L3" s="23" t="s">
        <x:v>34</x:v>
      </x:c>
      <x:c r="M3" s="32"/>
      <x:c r="N3" s="31" t="n">
        <x:f>SUMIF(L2:L1018, "Đã CK Anh", J2:J1018)</x:f>
        <x:v>23646000</x:v>
      </x:c>
      <x:c r="O3" s="31" t="n">
        <x:f>SUMIF(L2:L1018, "Đã CK Em", J2:J1018)</x:f>
        <x:v>37052000</x:v>
      </x:c>
      <x:c r="P3" s="31" t="n">
        <x:f>N3+O3</x:f>
        <x:v>60698000</x:v>
      </x:c>
      <x:c r="Q3" s="31" t="n">
        <x:f>SUMIF(L2:L1018, "Chưa CK", J2:J1018)</x:f>
        <x:v>0</x:v>
      </x:c>
    </x:row>
    <x:row r="4" ht="18.75" customHeight="1">
      <x:c r="A4" s="19">
        <x:v>3.0</x:v>
      </x:c>
      <x:c r="B4" s="23" t="s">
        <x:v>1381</x:v>
      </x:c>
      <x:c r="C4" s="21">
        <x:v>45621.0</x:v>
      </x:c>
      <x:c r="D4" s="22" t="s">
        <x:v>1382</x:v>
      </x:c>
      <x:c r="E4" s="23"/>
      <x:c r="F4" s="56"/>
      <x:c r="G4" s="23">
        <x:v>2.0</x:v>
      </x:c>
      <x:c r="H4" s="56"/>
      <x:c r="I4" s="25"/>
      <x:c r="J4" s="26">
        <x:f t="shared" si="1"/>
        <x:v>700000</x:v>
      </x:c>
      <x:c r="K4" s="23" t="s">
        <x:v>74</x:v>
      </x:c>
      <x:c r="L4" s="23" t="s">
        <x:v>31</x:v>
      </x:c>
      <x:c r="M4" s="32"/>
    </x:row>
    <x:row r="5" ht="18.75" customHeight="1">
      <x:c r="A5" s="19">
        <x:v>4.0</x:v>
      </x:c>
      <x:c r="B5" s="23" t="s">
        <x:v>1383</x:v>
      </x:c>
      <x:c r="C5" s="21">
        <x:v>45621.0</x:v>
      </x:c>
      <x:c r="D5" s="22" t="s">
        <x:v>1384</x:v>
      </x:c>
      <x:c r="E5" s="56"/>
      <x:c r="F5" s="23">
        <x:v>1.0</x:v>
      </x:c>
      <x:c r="G5" s="56"/>
      <x:c r="H5" s="56"/>
      <x:c r="I5" s="25"/>
      <x:c r="J5" s="26">
        <x:f t="shared" si="1"/>
        <x:v>240000</x:v>
      </x:c>
      <x:c r="K5" s="23" t="s">
        <x:v>74</x:v>
      </x:c>
      <x:c r="L5" s="23" t="s">
        <x:v>34</x:v>
      </x:c>
      <x:c r="M5" s="32"/>
    </x:row>
    <x:row r="6" ht="18.75" customHeight="1">
      <x:c r="A6" s="19">
        <x:v>5.0</x:v>
      </x:c>
      <x:c r="B6" s="23" t="s">
        <x:v>1385</x:v>
      </x:c>
      <x:c r="C6" s="21">
        <x:v>45621.0</x:v>
      </x:c>
      <x:c r="D6" s="58" t="s">
        <x:v>1386</x:v>
      </x:c>
      <x:c r="E6" s="56"/>
      <x:c r="F6" s="23">
        <x:v>1.0</x:v>
      </x:c>
      <x:c r="G6" s="56"/>
      <x:c r="H6" s="56"/>
      <x:c r="I6" s="25"/>
      <x:c r="J6" s="26">
        <x:f t="shared" si="1"/>
        <x:v>240000</x:v>
      </x:c>
      <x:c r="K6" s="23" t="s">
        <x:v>74</x:v>
      </x:c>
      <x:c r="L6" s="23" t="s">
        <x:v>34</x:v>
      </x:c>
      <x:c r="M6" s="32"/>
      <x:c r="N6" s="28" t="s">
        <x:v>2</x:v>
      </x:c>
      <x:c r="O6" s="28" t="s">
        <x:v>368</x:v>
      </x:c>
      <x:c r="P6" s="28" t="s">
        <x:v>1224</x:v>
      </x:c>
      <x:c r="Q6" s="28" t="s">
        <x:v>369</x:v>
      </x:c>
    </x:row>
    <x:row r="7" ht="18.75" customHeight="1">
      <x:c r="A7" s="19">
        <x:v>6.0</x:v>
      </x:c>
      <x:c r="B7" s="23" t="s">
        <x:v>1387</x:v>
      </x:c>
      <x:c r="C7" s="21">
        <x:v>45621.0</x:v>
      </x:c>
      <x:c r="D7" s="58" t="s">
        <x:v>1388</x:v>
      </x:c>
      <x:c r="E7" s="56"/>
      <x:c r="F7" s="56"/>
      <x:c r="G7" s="23">
        <x:v>1.0</x:v>
      </x:c>
      <x:c r="H7" s="56"/>
      <x:c r="I7" s="25"/>
      <x:c r="J7" s="26" t="n">
        <x:f>(E7*240+F7*240+G7*350+H7*390)*1000+5000</x:f>
        <x:v>355000</x:v>
      </x:c>
      <x:c r="K7" s="23" t="s">
        <x:v>74</x:v>
      </x:c>
      <x:c r="L7" s="23" t="s">
        <x:v>31</x:v>
      </x:c>
      <x:c r="M7" s="32"/>
      <x:c r="N7" s="33" t="n" cm="1">
        <x:f t="array" ref="N7:N13">_xlfn._xlws.SORT(_xlfn.UNIQUE(C2:C1016))</x:f>
        <x:v>45621</x:v>
      </x:c>
      <x:c r="O7" s="34" t="e">
        <x:f>IFERROR(__xludf.DUMMYFUNCTION("SUM(FILTER($E$2:$I$1018, $C2:$C1018 = N7))"),10.0)</x:f>
        <x:v>#NAME?</x:v>
      </x:c>
      <x:c r="P7" s="34" t="e">
        <x:f>IFERROR(__xludf.DUMMYFUNCTION("COUNT(FILTER($C$2:$C$1018, $C2:$C1018 = N7))"),7.0)</x:f>
        <x:v>#NAME?</x:v>
      </x:c>
      <x:c r="Q7" s="31" t="n">
        <x:f t="shared" ref="Q7:Q12" si="2">SUMIF($C$2:$C$1018, $N7 , $J$2:$J$1018)</x:f>
        <x:v>2860000</x:v>
      </x:c>
    </x:row>
    <x:row r="8" ht="18.75" customHeight="1">
      <x:c r="A8" s="19">
        <x:v>7.0</x:v>
      </x:c>
      <x:c r="B8" s="23" t="s">
        <x:v>1389</x:v>
      </x:c>
      <x:c r="C8" s="21">
        <x:v>45621.0</x:v>
      </x:c>
      <x:c r="D8" s="58" t="s">
        <x:v>1390</x:v>
      </x:c>
      <x:c r="E8" s="56"/>
      <x:c r="F8" s="23">
        <x:v>1.0</x:v>
      </x:c>
      <x:c r="G8" s="56"/>
      <x:c r="H8" s="56"/>
      <x:c r="I8" s="25"/>
      <x:c r="J8" s="26" t="n">
        <x:f t="shared" ref="J8:J11" si="3">(E8*240+F8*240+G8*350+H8*390)*1000</x:f>
        <x:v>240000</x:v>
      </x:c>
      <x:c r="K8" s="23" t="s">
        <x:v>74</x:v>
      </x:c>
      <x:c r="L8" s="23" t="s">
        <x:v>31</x:v>
      </x:c>
      <x:c r="M8" s="32"/>
      <x:c r="N8" s="33" t="n">
        <x:v>45622</x:v>
      </x:c>
      <x:c r="O8" s="34" t="e">
        <x:f>IFERROR(__xludf.DUMMYFUNCTION("SUM(FILTER($E$2:$I$1018, $C2:$C1018 = N8))"),45.0)</x:f>
        <x:v>#NAME?</x:v>
      </x:c>
      <x:c r="P8" s="34" t="e">
        <x:f>IFERROR(__xludf.DUMMYFUNCTION("COUNT(FILTER($C$2:$C$1018, $C3:$C1019 = N8))"),19.0)</x:f>
        <x:v>#NAME?</x:v>
      </x:c>
      <x:c r="Q8" s="31">
        <x:f t="shared" si="2"/>
        <x:v>12981000</x:v>
      </x:c>
    </x:row>
    <x:row r="9" ht="18.75" customHeight="1">
      <x:c r="A9" s="19">
        <x:v>8.0</x:v>
      </x:c>
      <x:c r="B9" s="23" t="s">
        <x:v>1391</x:v>
      </x:c>
      <x:c r="C9" s="21">
        <x:v>45622.0</x:v>
      </x:c>
      <x:c r="D9" s="58" t="s">
        <x:v>1392</x:v>
      </x:c>
      <x:c r="E9" s="56"/>
      <x:c r="F9" s="23">
        <x:v>1.0</x:v>
      </x:c>
      <x:c r="G9" s="56"/>
      <x:c r="H9" s="23">
        <x:v>1.0</x:v>
      </x:c>
      <x:c r="I9" s="25"/>
      <x:c r="J9" s="26">
        <x:f t="shared" si="3"/>
        <x:v>630000</x:v>
      </x:c>
      <x:c r="K9" s="23" t="s">
        <x:v>74</x:v>
      </x:c>
      <x:c r="L9" s="23" t="s">
        <x:v>34</x:v>
      </x:c>
      <x:c r="M9" s="32"/>
      <x:c r="N9" s="33" t="n">
        <x:v>45623</x:v>
      </x:c>
      <x:c r="O9" s="34" t="e">
        <x:f>IFERROR(__xludf.DUMMYFUNCTION("SUM(FILTER($E$2:$I$1018, $C2:$C1018 = N9))"),23.0)</x:f>
        <x:v>#NAME?</x:v>
      </x:c>
      <x:c r="P9" s="34" t="e">
        <x:f>IFERROR(__xludf.DUMMYFUNCTION("COUNT(FILTER($C$2:$C$1018, $C4:$C1020 = N9))"),16.0)</x:f>
        <x:v>#NAME?</x:v>
      </x:c>
      <x:c r="Q9" s="31">
        <x:f t="shared" si="2"/>
        <x:v>6135000</x:v>
      </x:c>
    </x:row>
    <x:row r="10" ht="18.75" customHeight="1">
      <x:c r="A10" s="19">
        <x:v>9.0</x:v>
      </x:c>
      <x:c r="B10" s="23" t="s">
        <x:v>1393</x:v>
      </x:c>
      <x:c r="C10" s="21">
        <x:v>45622.0</x:v>
      </x:c>
      <x:c r="D10" s="58" t="s">
        <x:v>1394</x:v>
      </x:c>
      <x:c r="E10" s="23">
        <x:v>1.0</x:v>
      </x:c>
      <x:c r="F10" s="56"/>
      <x:c r="G10" s="23">
        <x:v>2.0</x:v>
      </x:c>
      <x:c r="H10" s="56"/>
      <x:c r="I10" s="25"/>
      <x:c r="J10" s="26">
        <x:f t="shared" si="3"/>
        <x:v>940000</x:v>
      </x:c>
      <x:c r="K10" s="23" t="s">
        <x:v>74</x:v>
      </x:c>
      <x:c r="L10" s="23" t="s">
        <x:v>34</x:v>
      </x:c>
      <x:c r="M10" s="32"/>
      <x:c r="N10" s="33" t="n">
        <x:v>45624</x:v>
      </x:c>
      <x:c r="O10" s="34" t="e">
        <x:f>IFERROR(__xludf.DUMMYFUNCTION("SUM(FILTER($E$2:$I$1018, $C2:$C1018 = N10))"),115.0)</x:f>
        <x:v>#NAME?</x:v>
      </x:c>
      <x:c r="P10" s="34" t="e">
        <x:f>IFERROR(__xludf.DUMMYFUNCTION("COUNT(FILTER($C$2:$C$1018, $C5:$C1021 = N10))"),18.0)</x:f>
        <x:v>#NAME?</x:v>
      </x:c>
      <x:c r="Q10" s="31">
        <x:f t="shared" si="2"/>
        <x:v>36057000</x:v>
      </x:c>
    </x:row>
    <x:row r="11" ht="18.75" customHeight="1">
      <x:c r="A11" s="19">
        <x:v>10.0</x:v>
      </x:c>
      <x:c r="B11" s="23" t="s">
        <x:v>1395</x:v>
      </x:c>
      <x:c r="C11" s="21">
        <x:v>45622.0</x:v>
      </x:c>
      <x:c r="D11" s="58" t="s">
        <x:v>1396</x:v>
      </x:c>
      <x:c r="E11" s="56"/>
      <x:c r="F11" s="23">
        <x:v>1.0</x:v>
      </x:c>
      <x:c r="G11" s="56"/>
      <x:c r="H11" s="56"/>
      <x:c r="I11" s="25"/>
      <x:c r="J11" s="26">
        <x:f t="shared" si="3"/>
        <x:v>240000</x:v>
      </x:c>
      <x:c r="K11" s="23" t="s">
        <x:v>74</x:v>
      </x:c>
      <x:c r="L11" s="23" t="s">
        <x:v>34</x:v>
      </x:c>
      <x:c r="M11" s="32"/>
      <x:c r="N11" s="33" t="n">
        <x:v>45625</x:v>
      </x:c>
      <x:c r="O11" s="34" t="e">
        <x:f>IFERROR(__xludf.DUMMYFUNCTION("SUM(FILTER($E$2:$I$1018, $C2:$C1018 = N11))"),6.0)</x:f>
        <x:v>#NAME?</x:v>
      </x:c>
      <x:c r="P11" s="34" t="e">
        <x:f>IFERROR(__xludf.DUMMYFUNCTION("COUNT(FILTER($C$2:$C$1018, $C6:$C1022 = N11))"),5.0)</x:f>
        <x:v>#NAME?</x:v>
      </x:c>
      <x:c r="Q11" s="31">
        <x:f t="shared" si="2"/>
        <x:v>1520000</x:v>
      </x:c>
      <x:c r="S11" s="85" t="n">
        <x:f>O3-J72</x:f>
        <x:v>1674225.2747252733</x:v>
      </x:c>
    </x:row>
    <x:row r="12" ht="18.75" customHeight="1">
      <x:c r="A12" s="19">
        <x:v>11.0</x:v>
      </x:c>
      <x:c r="B12" s="23" t="s">
        <x:v>1397</x:v>
      </x:c>
      <x:c r="C12" s="21">
        <x:v>45622.0</x:v>
      </x:c>
      <x:c r="D12" s="58" t="s">
        <x:v>1398</x:v>
      </x:c>
      <x:c r="E12" s="56"/>
      <x:c r="F12" s="23">
        <x:v>2.0</x:v>
      </x:c>
      <x:c r="G12" s="23">
        <x:v>3.0</x:v>
      </x:c>
      <x:c r="H12" s="23">
        <x:v>2.0</x:v>
      </x:c>
      <x:c r="I12" s="25"/>
      <x:c r="J12" s="26" t="n">
        <x:f>(E12*240+F12*240+G12*350+H12*390)*1000 - 35000</x:f>
        <x:v>2275000</x:v>
      </x:c>
      <x:c r="K12" s="23" t="s">
        <x:v>74</x:v>
      </x:c>
      <x:c r="L12" s="23" t="s">
        <x:v>34</x:v>
      </x:c>
      <x:c r="M12" s="32"/>
      <x:c r="N12" s="33" t="n">
        <x:v>45626</x:v>
      </x:c>
      <x:c r="O12" s="34" t="e">
        <x:f>IFERROR(__xludf.DUMMYFUNCTION("SUM(FILTER($E$2:$I$1018, $C2:$C1018 = N12))"),5.0)</x:f>
        <x:v>#NAME?</x:v>
      </x:c>
      <x:c r="P12" s="34" t="e">
        <x:f>IFERROR(__xludf.DUMMYFUNCTION("COUNT(FILTER($C$2:$C$1018, $C7:$C1023 = N12))"),3.0)</x:f>
        <x:v>#NAME?</x:v>
      </x:c>
      <x:c r="Q12" s="31">
        <x:f t="shared" si="2"/>
        <x:v>1145000</x:v>
      </x:c>
    </x:row>
    <x:row r="13" ht="18.75" customHeight="1">
      <x:c r="A13" s="19">
        <x:v>12.0</x:v>
      </x:c>
      <x:c r="B13" s="23" t="s">
        <x:v>1399</x:v>
      </x:c>
      <x:c r="C13" s="21">
        <x:v>45622.0</x:v>
      </x:c>
      <x:c r="D13" s="58" t="s">
        <x:v>1400</x:v>
      </x:c>
      <x:c r="E13" s="56"/>
      <x:c r="F13" s="56"/>
      <x:c r="G13" s="23">
        <x:v>10.0</x:v>
      </x:c>
      <x:c r="H13" s="56"/>
      <x:c r="I13" s="25"/>
      <x:c r="J13" s="26" t="n">
        <x:f>(E13*240+F13*240+G13*350+H13*390)*1000-50000</x:f>
        <x:v>3450000</x:v>
      </x:c>
      <x:c r="K13" s="23" t="s">
        <x:v>74</x:v>
      </x:c>
      <x:c r="L13" s="23" t="s">
        <x:v>31</x:v>
      </x:c>
      <x:c r="M13" s="32"/>
      <x:c r="N13" s="33" t="n">
        <x:v>0</x:v>
      </x:c>
      <x:c r="O13" s="34" t="e">
        <x:f t="shared" ref="O13:Q13" si="4">SUM(O7:O12)</x:f>
        <x:v>#NAME?</x:v>
      </x:c>
      <x:c r="P13" s="34">
        <x:f t="shared" si="4"/>
        <x:v>68</x:v>
      </x:c>
      <x:c r="Q13" s="31">
        <x:f t="shared" si="4"/>
        <x:v>60698000</x:v>
      </x:c>
    </x:row>
    <x:row r="14" ht="18.75" customHeight="1">
      <x:c r="A14" s="19">
        <x:v>13.0</x:v>
      </x:c>
      <x:c r="B14" s="23" t="s">
        <x:v>1401</x:v>
      </x:c>
      <x:c r="C14" s="21">
        <x:v>45622.0</x:v>
      </x:c>
      <x:c r="D14" s="58" t="s">
        <x:v>1402</x:v>
      </x:c>
      <x:c r="E14" s="56"/>
      <x:c r="F14" s="23">
        <x:v>1.0</x:v>
      </x:c>
      <x:c r="G14" s="56"/>
      <x:c r="H14" s="56"/>
      <x:c r="I14" s="25"/>
      <x:c r="J14" s="26" t="n">
        <x:f>(E14*240+F14*240+G14*350+H14*390)*1000</x:f>
        <x:v>240000</x:v>
      </x:c>
      <x:c r="K14" s="23" t="s">
        <x:v>74</x:v>
      </x:c>
      <x:c r="L14" s="23" t="s">
        <x:v>31</x:v>
      </x:c>
      <x:c r="M14" s="32"/>
      <x:c r="N14" s="33"/>
      <x:c r="O14" s="34"/>
      <x:c r="P14" s="31"/>
      <x:c r="Q14" s="31"/>
    </x:row>
    <x:row r="15" ht="18.75" customHeight="1">
      <x:c r="A15" s="19">
        <x:v>14.0</x:v>
      </x:c>
      <x:c r="B15" s="23" t="s">
        <x:v>1403</x:v>
      </x:c>
      <x:c r="C15" s="21">
        <x:v>45622.0</x:v>
      </x:c>
      <x:c r="D15" s="22" t="s">
        <x:v>1404</x:v>
      </x:c>
      <x:c r="E15" s="56"/>
      <x:c r="F15" s="23">
        <x:v>2.0</x:v>
      </x:c>
      <x:c r="G15" s="56"/>
      <x:c r="H15" s="56"/>
      <x:c r="I15" s="25"/>
      <x:c r="J15" s="26" t="n">
        <x:f>(E15*240+F15*240+G15*350+H15*390)*1000+11000</x:f>
        <x:v>491000</x:v>
      </x:c>
      <x:c r="K15" s="23" t="s">
        <x:v>74</x:v>
      </x:c>
      <x:c r="L15" s="23" t="s">
        <x:v>34</x:v>
      </x:c>
      <x:c r="M15" s="32"/>
    </x:row>
    <x:row r="16" ht="18.75" customHeight="1">
      <x:c r="A16" s="19">
        <x:v>15.0</x:v>
      </x:c>
      <x:c r="B16" s="23" t="s">
        <x:v>1405</x:v>
      </x:c>
      <x:c r="C16" s="21">
        <x:v>45622.0</x:v>
      </x:c>
      <x:c r="D16" s="22" t="s">
        <x:v>1406</x:v>
      </x:c>
      <x:c r="E16" s="23">
        <x:v>1.0</x:v>
      </x:c>
      <x:c r="F16" s="23">
        <x:v>2.0</x:v>
      </x:c>
      <x:c r="G16" s="56"/>
      <x:c r="H16" s="56"/>
      <x:c r="I16" s="25"/>
      <x:c r="J16" s="26" t="n">
        <x:f>(E16*240+F16*240+G16*350+H16*390)*1000</x:f>
        <x:v>720000</x:v>
      </x:c>
      <x:c r="K16" s="23" t="s">
        <x:v>74</x:v>
      </x:c>
      <x:c r="L16" s="23" t="s">
        <x:v>31</x:v>
      </x:c>
      <x:c r="M16" s="57"/>
    </x:row>
    <x:row r="17" ht="18.75" customHeight="1">
      <x:c r="A17" s="19">
        <x:v>16.0</x:v>
      </x:c>
      <x:c r="B17" s="23" t="s">
        <x:v>1407</x:v>
      </x:c>
      <x:c r="C17" s="21">
        <x:v>45622.0</x:v>
      </x:c>
      <x:c r="D17" s="58" t="s">
        <x:v>1408</x:v>
      </x:c>
      <x:c r="E17" s="56"/>
      <x:c r="F17" s="23">
        <x:v>3.0</x:v>
      </x:c>
      <x:c r="G17" s="56"/>
      <x:c r="H17" s="56"/>
      <x:c r="I17" s="25"/>
      <x:c r="J17" s="26" t="n">
        <x:f>(E17*240+F17*240+G17*350+H17*390)*1000-10000</x:f>
        <x:v>710000</x:v>
      </x:c>
      <x:c r="K17" s="23" t="s">
        <x:v>74</x:v>
      </x:c>
      <x:c r="L17" s="23" t="s">
        <x:v>31</x:v>
      </x:c>
      <x:c r="M17" s="32"/>
    </x:row>
    <x:row r="18" ht="18.75" customHeight="1">
      <x:c r="A18" s="19">
        <x:v>17.0</x:v>
      </x:c>
      <x:c r="B18" s="23" t="s">
        <x:v>1409</x:v>
      </x:c>
      <x:c r="C18" s="21">
        <x:v>45622.0</x:v>
      </x:c>
      <x:c r="D18" s="58" t="s">
        <x:v>1410</x:v>
      </x:c>
      <x:c r="E18" s="56"/>
      <x:c r="F18" s="23">
        <x:v>1.0</x:v>
      </x:c>
      <x:c r="G18" s="56"/>
      <x:c r="H18" s="56"/>
      <x:c r="I18" s="25"/>
      <x:c r="J18" s="26" t="n">
        <x:f t="shared" ref="J18:J26" si="5">(E18*240+F18*240+G18*350+H18*390)*1000</x:f>
        <x:v>240000</x:v>
      </x:c>
      <x:c r="K18" s="23" t="s">
        <x:v>74</x:v>
      </x:c>
      <x:c r="L18" s="23" t="s">
        <x:v>34</x:v>
      </x:c>
      <x:c r="M18" s="32"/>
    </x:row>
    <x:row r="19" ht="18.75" customHeight="1">
      <x:c r="A19" s="19">
        <x:v>18.0</x:v>
      </x:c>
      <x:c r="B19" s="23" t="s">
        <x:v>1411</x:v>
      </x:c>
      <x:c r="C19" s="21">
        <x:v>45622.0</x:v>
      </x:c>
      <x:c r="D19" s="58" t="s">
        <x:v>1412</x:v>
      </x:c>
      <x:c r="E19" s="56"/>
      <x:c r="F19" s="56"/>
      <x:c r="G19" s="56"/>
      <x:c r="H19" s="23">
        <x:v>1.0</x:v>
      </x:c>
      <x:c r="I19" s="25"/>
      <x:c r="J19" s="26">
        <x:f t="shared" si="5"/>
        <x:v>390000</x:v>
      </x:c>
      <x:c r="K19" s="23" t="s">
        <x:v>74</x:v>
      </x:c>
      <x:c r="L19" s="23" t="s">
        <x:v>34</x:v>
      </x:c>
      <x:c r="M19" s="32"/>
    </x:row>
    <x:row r="20" ht="18.75" customHeight="1">
      <x:c r="A20" s="19">
        <x:v>19.0</x:v>
      </x:c>
      <x:c r="B20" s="23" t="s">
        <x:v>1413</x:v>
      </x:c>
      <x:c r="C20" s="21">
        <x:v>45622.0</x:v>
      </x:c>
      <x:c r="D20" s="58" t="s">
        <x:v>1414</x:v>
      </x:c>
      <x:c r="E20" s="23">
        <x:v>1.0</x:v>
      </x:c>
      <x:c r="F20" s="56"/>
      <x:c r="G20" s="56"/>
      <x:c r="H20" s="56"/>
      <x:c r="I20" s="25"/>
      <x:c r="J20" s="26">
        <x:f t="shared" si="5"/>
        <x:v>240000</x:v>
      </x:c>
      <x:c r="K20" s="23" t="s">
        <x:v>74</x:v>
      </x:c>
      <x:c r="L20" s="23" t="s">
        <x:v>31</x:v>
      </x:c>
      <x:c r="M20" s="32"/>
    </x:row>
    <x:row r="21" ht="18.75" customHeight="1">
      <x:c r="A21" s="19">
        <x:v>20.0</x:v>
      </x:c>
      <x:c r="B21" s="23" t="s">
        <x:v>1415</x:v>
      </x:c>
      <x:c r="C21" s="21">
        <x:v>45622.0</x:v>
      </x:c>
      <x:c r="D21" s="58" t="s">
        <x:v>1416</x:v>
      </x:c>
      <x:c r="E21" s="56"/>
      <x:c r="F21" s="23">
        <x:v>1.0</x:v>
      </x:c>
      <x:c r="G21" s="56"/>
      <x:c r="H21" s="56"/>
      <x:c r="I21" s="25"/>
      <x:c r="J21" s="26">
        <x:f t="shared" si="5"/>
        <x:v>240000</x:v>
      </x:c>
      <x:c r="K21" s="23" t="s">
        <x:v>74</x:v>
      </x:c>
      <x:c r="L21" s="23" t="s">
        <x:v>34</x:v>
      </x:c>
      <x:c r="M21" s="32"/>
    </x:row>
    <x:row r="22" ht="18.75" customHeight="1">
      <x:c r="A22" s="19">
        <x:v>21.0</x:v>
      </x:c>
      <x:c r="B22" s="23" t="s">
        <x:v>1417</x:v>
      </x:c>
      <x:c r="C22" s="21">
        <x:v>45622.0</x:v>
      </x:c>
      <x:c r="D22" s="58" t="s">
        <x:v>1418</x:v>
      </x:c>
      <x:c r="E22" s="23">
        <x:v>1.0</x:v>
      </x:c>
      <x:c r="F22" s="56"/>
      <x:c r="G22" s="56"/>
      <x:c r="H22" s="56"/>
      <x:c r="I22" s="25"/>
      <x:c r="J22" s="26">
        <x:f t="shared" si="5"/>
        <x:v>240000</x:v>
      </x:c>
      <x:c r="K22" s="23" t="s">
        <x:v>74</x:v>
      </x:c>
      <x:c r="L22" s="23" t="s">
        <x:v>34</x:v>
      </x:c>
      <x:c r="M22" s="32"/>
    </x:row>
    <x:row r="23" ht="18.75" customHeight="1">
      <x:c r="A23" s="19">
        <x:v>22.0</x:v>
      </x:c>
      <x:c r="B23" s="23" t="s">
        <x:v>1419</x:v>
      </x:c>
      <x:c r="C23" s="21">
        <x:v>45622.0</x:v>
      </x:c>
      <x:c r="D23" s="22" t="s">
        <x:v>1420</x:v>
      </x:c>
      <x:c r="E23" s="56"/>
      <x:c r="F23" s="23">
        <x:v>2.0</x:v>
      </x:c>
      <x:c r="G23" s="56"/>
      <x:c r="H23" s="56"/>
      <x:c r="I23" s="25"/>
      <x:c r="J23" s="26">
        <x:f t="shared" si="5"/>
        <x:v>480000</x:v>
      </x:c>
      <x:c r="K23" s="23" t="s">
        <x:v>74</x:v>
      </x:c>
      <x:c r="L23" s="23" t="s">
        <x:v>34</x:v>
      </x:c>
      <x:c r="M23" s="32"/>
    </x:row>
    <x:row r="24">
      <x:c r="A24" s="19">
        <x:v>23.0</x:v>
      </x:c>
      <x:c r="B24" s="23" t="s">
        <x:v>1421</x:v>
      </x:c>
      <x:c r="C24" s="21">
        <x:v>45622.0</x:v>
      </x:c>
      <x:c r="D24" s="58" t="s">
        <x:v>1422</x:v>
      </x:c>
      <x:c r="E24" s="23">
        <x:v>1.0</x:v>
      </x:c>
      <x:c r="F24" s="23">
        <x:v>1.0</x:v>
      </x:c>
      <x:c r="G24" s="56"/>
      <x:c r="H24" s="56"/>
      <x:c r="I24" s="25"/>
      <x:c r="J24" s="26">
        <x:f t="shared" si="5"/>
        <x:v>480000</x:v>
      </x:c>
      <x:c r="K24" s="23" t="s">
        <x:v>74</x:v>
      </x:c>
      <x:c r="L24" s="23" t="s">
        <x:v>31</x:v>
      </x:c>
      <x:c r="M24" s="57"/>
    </x:row>
    <x:row r="25" ht="18.75" customHeight="1">
      <x:c r="A25" s="19">
        <x:v>24.0</x:v>
      </x:c>
      <x:c r="B25" s="23" t="s">
        <x:v>1423</x:v>
      </x:c>
      <x:c r="C25" s="21">
        <x:v>45622.0</x:v>
      </x:c>
      <x:c r="D25" s="58" t="s">
        <x:v>1424</x:v>
      </x:c>
      <x:c r="E25" s="56"/>
      <x:c r="F25" s="23">
        <x:v>2.0</x:v>
      </x:c>
      <x:c r="G25" s="56"/>
      <x:c r="H25" s="56"/>
      <x:c r="I25" s="25"/>
      <x:c r="J25" s="26">
        <x:f t="shared" si="5"/>
        <x:v>480000</x:v>
      </x:c>
      <x:c r="K25" s="23" t="s">
        <x:v>74</x:v>
      </x:c>
      <x:c r="L25" s="23" t="s">
        <x:v>34</x:v>
      </x:c>
      <x:c r="M25" s="32"/>
    </x:row>
    <x:row r="26" ht="18.75" customHeight="1">
      <x:c r="A26" s="19">
        <x:v>25.0</x:v>
      </x:c>
      <x:c r="B26" s="23" t="s">
        <x:v>1189</x:v>
      </x:c>
      <x:c r="C26" s="21">
        <x:v>45622.0</x:v>
      </x:c>
      <x:c r="D26" s="58" t="s">
        <x:v>1425</x:v>
      </x:c>
      <x:c r="E26" s="56"/>
      <x:c r="F26" s="23">
        <x:v>1.0</x:v>
      </x:c>
      <x:c r="G26" s="56"/>
      <x:c r="H26" s="56"/>
      <x:c r="I26" s="25"/>
      <x:c r="J26" s="26">
        <x:f t="shared" si="5"/>
        <x:v>240000</x:v>
      </x:c>
      <x:c r="K26" s="23" t="s">
        <x:v>74</x:v>
      </x:c>
      <x:c r="L26" s="23" t="s">
        <x:v>34</x:v>
      </x:c>
      <x:c r="M26" s="32"/>
    </x:row>
    <x:row r="27" ht="18.75" customHeight="1">
      <x:c r="A27" s="19">
        <x:v>26.0</x:v>
      </x:c>
      <x:c r="B27" s="23" t="s">
        <x:v>1092</x:v>
      </x:c>
      <x:c r="C27" s="21">
        <x:v>45622.0</x:v>
      </x:c>
      <x:c r="D27" s="58" t="s">
        <x:v>1426</x:v>
      </x:c>
      <x:c r="E27" s="56"/>
      <x:c r="F27" s="23">
        <x:v>1.0</x:v>
      </x:c>
      <x:c r="G27" s="56"/>
      <x:c r="H27" s="56"/>
      <x:c r="I27" s="25"/>
      <x:c r="J27" s="26" t="n">
        <x:f>(E27*240+F27*240+G27*350+H27*390)*1000+15000</x:f>
        <x:v>255000</x:v>
      </x:c>
      <x:c r="K27" s="23" t="s">
        <x:v>74</x:v>
      </x:c>
      <x:c r="L27" s="23" t="s">
        <x:v>31</x:v>
      </x:c>
      <x:c r="M27" s="32"/>
    </x:row>
    <x:row r="28">
      <x:c r="A28" s="19">
        <x:v>27.0</x:v>
      </x:c>
      <x:c r="B28" s="23" t="s">
        <x:v>1427</x:v>
      </x:c>
      <x:c r="C28" s="21">
        <x:v>45623.0</x:v>
      </x:c>
      <x:c r="D28" s="58" t="s">
        <x:v>1428</x:v>
      </x:c>
      <x:c r="E28" s="23">
        <x:v>1.0</x:v>
      </x:c>
      <x:c r="F28" s="23"/>
      <x:c r="G28" s="23">
        <x:v>1.0</x:v>
      </x:c>
      <x:c r="H28" s="23">
        <x:v>1.0</x:v>
      </x:c>
      <x:c r="I28" s="25"/>
      <x:c r="J28" s="26" t="n">
        <x:f t="shared" ref="J28:J52" si="6">(E28*240+F28*240+G28*350+H28*390+I28*185)*1000</x:f>
        <x:v>980000</x:v>
      </x:c>
      <x:c r="K28" s="23" t="s">
        <x:v>74</x:v>
      </x:c>
      <x:c r="L28" s="23" t="s">
        <x:v>34</x:v>
      </x:c>
      <x:c r="M28" s="57"/>
    </x:row>
    <x:row r="29" ht="18.75" customHeight="1">
      <x:c r="A29" s="19">
        <x:v>28.0</x:v>
      </x:c>
      <x:c r="B29" s="23" t="s">
        <x:v>1429</x:v>
      </x:c>
      <x:c r="C29" s="21">
        <x:v>45623.0</x:v>
      </x:c>
      <x:c r="D29" s="58" t="s">
        <x:v>1430</x:v>
      </x:c>
      <x:c r="E29" s="23">
        <x:v>1.0</x:v>
      </x:c>
      <x:c r="F29" s="23">
        <x:v>1.0</x:v>
      </x:c>
      <x:c r="G29" s="56"/>
      <x:c r="H29" s="56"/>
      <x:c r="I29" s="25"/>
      <x:c r="J29" s="26">
        <x:f t="shared" si="6"/>
        <x:v>480000</x:v>
      </x:c>
      <x:c r="K29" s="23" t="s">
        <x:v>74</x:v>
      </x:c>
      <x:c r="L29" s="23" t="s">
        <x:v>34</x:v>
      </x:c>
      <x:c r="M29" s="57"/>
    </x:row>
    <x:row r="30">
      <x:c r="A30" s="19">
        <x:v>29.0</x:v>
      </x:c>
      <x:c r="B30" s="23" t="s">
        <x:v>1431</x:v>
      </x:c>
      <x:c r="C30" s="21">
        <x:v>45623.0</x:v>
      </x:c>
      <x:c r="D30" s="22" t="s">
        <x:v>1432</x:v>
      </x:c>
      <x:c r="E30" s="56"/>
      <x:c r="F30" s="23">
        <x:v>1.0</x:v>
      </x:c>
      <x:c r="G30" s="56"/>
      <x:c r="H30" s="56"/>
      <x:c r="I30" s="25"/>
      <x:c r="J30" s="26">
        <x:f t="shared" si="6"/>
        <x:v>240000</x:v>
      </x:c>
      <x:c r="K30" s="23" t="s">
        <x:v>74</x:v>
      </x:c>
      <x:c r="L30" s="23" t="s">
        <x:v>31</x:v>
      </x:c>
      <x:c r="M30" s="57"/>
    </x:row>
    <x:row r="31" ht="18.75" customHeight="1">
      <x:c r="A31" s="19">
        <x:v>30.0</x:v>
      </x:c>
      <x:c r="B31" s="23" t="s">
        <x:v>1109</x:v>
      </x:c>
      <x:c r="C31" s="21">
        <x:v>45623.0</x:v>
      </x:c>
      <x:c r="D31" s="58" t="s">
        <x:v>1433</x:v>
      </x:c>
      <x:c r="E31" s="56"/>
      <x:c r="F31" s="23">
        <x:v>1.0</x:v>
      </x:c>
      <x:c r="G31" s="56"/>
      <x:c r="H31" s="56"/>
      <x:c r="I31" s="25"/>
      <x:c r="J31" s="26">
        <x:f t="shared" si="6"/>
        <x:v>240000</x:v>
      </x:c>
      <x:c r="K31" s="23" t="s">
        <x:v>74</x:v>
      </x:c>
      <x:c r="L31" s="23" t="s">
        <x:v>31</x:v>
      </x:c>
      <x:c r="M31" s="32"/>
    </x:row>
    <x:row r="32" ht="18.75" customHeight="1">
      <x:c r="A32" s="19">
        <x:v>31.0</x:v>
      </x:c>
      <x:c r="B32" s="23" t="s">
        <x:v>1434</x:v>
      </x:c>
      <x:c r="C32" s="21">
        <x:v>45623.0</x:v>
      </x:c>
      <x:c r="D32" s="58" t="s">
        <x:v>1435</x:v>
      </x:c>
      <x:c r="E32" s="56"/>
      <x:c r="F32" s="23">
        <x:v>1.0</x:v>
      </x:c>
      <x:c r="G32" s="56"/>
      <x:c r="H32" s="56"/>
      <x:c r="I32" s="24">
        <x:v>1.0</x:v>
      </x:c>
      <x:c r="J32" s="26">
        <x:f t="shared" si="6"/>
        <x:v>425000</x:v>
      </x:c>
      <x:c r="K32" s="23" t="s">
        <x:v>74</x:v>
      </x:c>
      <x:c r="L32" s="23" t="s">
        <x:v>34</x:v>
      </x:c>
      <x:c r="M32" s="32"/>
    </x:row>
    <x:row r="33" ht="18.75" customHeight="1">
      <x:c r="A33" s="19">
        <x:v>32.0</x:v>
      </x:c>
      <x:c r="B33" s="23" t="s">
        <x:v>1436</x:v>
      </x:c>
      <x:c r="C33" s="21">
        <x:v>45623.0</x:v>
      </x:c>
      <x:c r="D33" s="58" t="s">
        <x:v>1437</x:v>
      </x:c>
      <x:c r="E33" s="56"/>
      <x:c r="F33" s="23"/>
      <x:c r="G33" s="56"/>
      <x:c r="H33" s="23">
        <x:v>1.0</x:v>
      </x:c>
      <x:c r="I33" s="25"/>
      <x:c r="J33" s="26">
        <x:f t="shared" si="6"/>
        <x:v>390000</x:v>
      </x:c>
      <x:c r="K33" s="23" t="s">
        <x:v>74</x:v>
      </x:c>
      <x:c r="L33" s="23" t="s">
        <x:v>31</x:v>
      </x:c>
      <x:c r="M33" s="32"/>
    </x:row>
    <x:row r="34" ht="18.75" customHeight="1">
      <x:c r="A34" s="19">
        <x:v>33.0</x:v>
      </x:c>
      <x:c r="B34" s="23" t="s">
        <x:v>1438</x:v>
      </x:c>
      <x:c r="C34" s="21">
        <x:v>45623.0</x:v>
      </x:c>
      <x:c r="D34" s="58" t="s">
        <x:v>1439</x:v>
      </x:c>
      <x:c r="E34" s="56"/>
      <x:c r="F34" s="23"/>
      <x:c r="G34" s="56"/>
      <x:c r="H34" s="56"/>
      <x:c r="I34" s="24">
        <x:v>1.0</x:v>
      </x:c>
      <x:c r="J34" s="26">
        <x:f t="shared" si="6"/>
        <x:v>185000</x:v>
      </x:c>
      <x:c r="K34" s="23" t="s">
        <x:v>74</x:v>
      </x:c>
      <x:c r="L34" s="23" t="s">
        <x:v>34</x:v>
      </x:c>
      <x:c r="M34" s="32"/>
    </x:row>
    <x:row r="35" ht="18.75" customHeight="1">
      <x:c r="A35" s="19">
        <x:v>34.0</x:v>
      </x:c>
      <x:c r="B35" s="23" t="s">
        <x:v>1440</x:v>
      </x:c>
      <x:c r="C35" s="21">
        <x:v>45623.0</x:v>
      </x:c>
      <x:c r="D35" s="58" t="s">
        <x:v>1441</x:v>
      </x:c>
      <x:c r="E35" s="23">
        <x:v>1.0</x:v>
      </x:c>
      <x:c r="F35" s="23"/>
      <x:c r="G35" s="56"/>
      <x:c r="H35" s="56"/>
      <x:c r="I35" s="24">
        <x:v>1.0</x:v>
      </x:c>
      <x:c r="J35" s="26">
        <x:f t="shared" si="6"/>
        <x:v>425000</x:v>
      </x:c>
      <x:c r="K35" s="23" t="s">
        <x:v>74</x:v>
      </x:c>
      <x:c r="L35" s="23" t="s">
        <x:v>31</x:v>
      </x:c>
      <x:c r="M35" s="32"/>
    </x:row>
    <x:row r="36" ht="18.75" customHeight="1">
      <x:c r="A36" s="19">
        <x:v>35.0</x:v>
      </x:c>
      <x:c r="B36" s="23" t="s">
        <x:v>1442</x:v>
      </x:c>
      <x:c r="C36" s="21">
        <x:v>45623.0</x:v>
      </x:c>
      <x:c r="D36" s="22" t="s">
        <x:v>1443</x:v>
      </x:c>
      <x:c r="E36" s="56"/>
      <x:c r="F36" s="23">
        <x:v>1.0</x:v>
      </x:c>
      <x:c r="G36" s="23">
        <x:v>1.0</x:v>
      </x:c>
      <x:c r="H36" s="56"/>
      <x:c r="I36" s="25"/>
      <x:c r="J36" s="26">
        <x:f t="shared" si="6"/>
        <x:v>590000</x:v>
      </x:c>
      <x:c r="K36" s="23" t="s">
        <x:v>74</x:v>
      </x:c>
      <x:c r="L36" s="23" t="s">
        <x:v>31</x:v>
      </x:c>
      <x:c r="M36" s="32"/>
    </x:row>
    <x:row r="37" ht="18.75" customHeight="1">
      <x:c r="A37" s="19">
        <x:v>36.0</x:v>
      </x:c>
      <x:c r="B37" s="23" t="s">
        <x:v>1444</x:v>
      </x:c>
      <x:c r="C37" s="21">
        <x:v>45623.0</x:v>
      </x:c>
      <x:c r="D37" s="58" t="s">
        <x:v>1445</x:v>
      </x:c>
      <x:c r="E37" s="56"/>
      <x:c r="F37" s="23"/>
      <x:c r="G37" s="56"/>
      <x:c r="H37" s="23">
        <x:v>1.0</x:v>
      </x:c>
      <x:c r="I37" s="25"/>
      <x:c r="J37" s="26">
        <x:f t="shared" si="6"/>
        <x:v>390000</x:v>
      </x:c>
      <x:c r="K37" s="23" t="s">
        <x:v>74</x:v>
      </x:c>
      <x:c r="L37" s="23" t="s">
        <x:v>31</x:v>
      </x:c>
      <x:c r="M37" s="57"/>
    </x:row>
    <x:row r="38">
      <x:c r="A38" s="19">
        <x:v>37.0</x:v>
      </x:c>
      <x:c r="B38" s="23" t="s">
        <x:v>883</x:v>
      </x:c>
      <x:c r="C38" s="21">
        <x:v>45623.0</x:v>
      </x:c>
      <x:c r="D38" s="58" t="s">
        <x:v>1446</x:v>
      </x:c>
      <x:c r="E38" s="56"/>
      <x:c r="F38" s="23">
        <x:v>1.0</x:v>
      </x:c>
      <x:c r="G38" s="56"/>
      <x:c r="H38" s="23"/>
      <x:c r="I38" s="25"/>
      <x:c r="J38" s="26">
        <x:f t="shared" si="6"/>
        <x:v>240000</x:v>
      </x:c>
      <x:c r="K38" s="23" t="s">
        <x:v>74</x:v>
      </x:c>
      <x:c r="L38" s="23" t="s">
        <x:v>34</x:v>
      </x:c>
      <x:c r="M38" s="32"/>
    </x:row>
    <x:row r="39" ht="18.75" customHeight="1">
      <x:c r="A39" s="19">
        <x:v>38.0</x:v>
      </x:c>
      <x:c r="B39" s="23" t="s">
        <x:v>1364</x:v>
      </x:c>
      <x:c r="C39" s="21">
        <x:v>45623.0</x:v>
      </x:c>
      <x:c r="D39" s="22" t="s">
        <x:v>1447</x:v>
      </x:c>
      <x:c r="E39" s="56"/>
      <x:c r="F39" s="23">
        <x:v>1.0</x:v>
      </x:c>
      <x:c r="G39" s="56"/>
      <x:c r="H39" s="23"/>
      <x:c r="I39" s="25"/>
      <x:c r="J39" s="26">
        <x:f t="shared" si="6"/>
        <x:v>240000</x:v>
      </x:c>
      <x:c r="K39" s="23" t="s">
        <x:v>74</x:v>
      </x:c>
      <x:c r="L39" s="23" t="s">
        <x:v>31</x:v>
      </x:c>
    </x:row>
    <x:row r="40" ht="18.75" customHeight="1">
      <x:c r="A40" s="19">
        <x:v>39.0</x:v>
      </x:c>
      <x:c r="B40" s="23" t="s">
        <x:v>1448</x:v>
      </x:c>
      <x:c r="C40" s="21">
        <x:v>45623.0</x:v>
      </x:c>
      <x:c r="D40" s="58" t="s">
        <x:v>1449</x:v>
      </x:c>
      <x:c r="E40" s="56"/>
      <x:c r="F40" s="23"/>
      <x:c r="G40" s="23">
        <x:v>1.0</x:v>
      </x:c>
      <x:c r="H40" s="23"/>
      <x:c r="I40" s="25"/>
      <x:c r="J40" s="26">
        <x:f t="shared" si="6"/>
        <x:v>350000</x:v>
      </x:c>
      <x:c r="K40" s="23" t="s">
        <x:v>74</x:v>
      </x:c>
      <x:c r="L40" s="23" t="s">
        <x:v>31</x:v>
      </x:c>
    </x:row>
    <x:row r="41" ht="18.75" customHeight="1">
      <x:c r="A41" s="19">
        <x:v>40.0</x:v>
      </x:c>
      <x:c r="B41" s="23" t="s">
        <x:v>763</x:v>
      </x:c>
      <x:c r="C41" s="21">
        <x:v>45623.0</x:v>
      </x:c>
      <x:c r="D41" s="58" t="s">
        <x:v>1450</x:v>
      </x:c>
      <x:c r="E41" s="23">
        <x:v>2.0</x:v>
      </x:c>
      <x:c r="F41" s="23"/>
      <x:c r="G41" s="56"/>
      <x:c r="H41" s="23"/>
      <x:c r="I41" s="25"/>
      <x:c r="J41" s="26">
        <x:f t="shared" si="6"/>
        <x:v>480000</x:v>
      </x:c>
      <x:c r="K41" s="23" t="s">
        <x:v>74</x:v>
      </x:c>
      <x:c r="L41" s="23" t="s">
        <x:v>34</x:v>
      </x:c>
    </x:row>
    <x:row r="42" ht="18.75" customHeight="1">
      <x:c r="A42" s="19">
        <x:v>41.0</x:v>
      </x:c>
      <x:c r="B42" s="23" t="s">
        <x:v>1451</x:v>
      </x:c>
      <x:c r="C42" s="21">
        <x:v>45623.0</x:v>
      </x:c>
      <x:c r="D42" s="58" t="s">
        <x:v>784</x:v>
      </x:c>
      <x:c r="E42" s="23">
        <x:v>1.0</x:v>
      </x:c>
      <x:c r="F42" s="23"/>
      <x:c r="G42" s="56"/>
      <x:c r="H42" s="23"/>
      <x:c r="I42" s="25"/>
      <x:c r="J42" s="26">
        <x:f t="shared" si="6"/>
        <x:v>240000</x:v>
      </x:c>
      <x:c r="K42" s="23" t="s">
        <x:v>74</x:v>
      </x:c>
      <x:c r="L42" s="23" t="s">
        <x:v>31</x:v>
      </x:c>
    </x:row>
    <x:row r="43" ht="18.75" customHeight="1">
      <x:c r="A43" s="19">
        <x:v>42.0</x:v>
      </x:c>
      <x:c r="B43" s="23" t="s">
        <x:v>1452</x:v>
      </x:c>
      <x:c r="C43" s="21">
        <x:v>45623.0</x:v>
      </x:c>
      <x:c r="D43" s="58" t="s">
        <x:v>1453</x:v>
      </x:c>
      <x:c r="E43" s="23"/>
      <x:c r="F43" s="23">
        <x:v>1.0</x:v>
      </x:c>
      <x:c r="G43" s="56"/>
      <x:c r="H43" s="23"/>
      <x:c r="I43" s="25"/>
      <x:c r="J43" s="26">
        <x:f t="shared" si="6"/>
        <x:v>240000</x:v>
      </x:c>
      <x:c r="K43" s="23" t="s">
        <x:v>74</x:v>
      </x:c>
      <x:c r="L43" s="23" t="s">
        <x:v>31</x:v>
      </x:c>
    </x:row>
    <x:row r="44" ht="18.75" customHeight="1">
      <x:c r="A44" s="19">
        <x:v>43.0</x:v>
      </x:c>
      <x:c r="B44" s="23" t="s">
        <x:v>1454</x:v>
      </x:c>
      <x:c r="C44" s="21">
        <x:v>45624.0</x:v>
      </x:c>
      <x:c r="D44" s="58" t="s">
        <x:v>1455</x:v>
      </x:c>
      <x:c r="E44" s="56"/>
      <x:c r="F44" s="23"/>
      <x:c r="G44" s="56"/>
      <x:c r="H44" s="23">
        <x:v>1.0</x:v>
      </x:c>
      <x:c r="I44" s="25"/>
      <x:c r="J44" s="26">
        <x:f t="shared" si="6"/>
        <x:v>390000</x:v>
      </x:c>
      <x:c r="K44" s="23" t="s">
        <x:v>74</x:v>
      </x:c>
      <x:c r="L44" s="23" t="s">
        <x:v>31</x:v>
      </x:c>
    </x:row>
    <x:row r="45" ht="18.75" customHeight="1">
      <x:c r="A45" s="19">
        <x:v>44.0</x:v>
      </x:c>
      <x:c r="B45" s="23" t="s">
        <x:v>1456</x:v>
      </x:c>
      <x:c r="C45" s="21">
        <x:v>45624.0</x:v>
      </x:c>
      <x:c r="D45" s="58" t="s">
        <x:v>1457</x:v>
      </x:c>
      <x:c r="E45" s="56"/>
      <x:c r="F45" s="23">
        <x:v>1.0</x:v>
      </x:c>
      <x:c r="G45" s="56"/>
      <x:c r="H45" s="23"/>
      <x:c r="I45" s="25"/>
      <x:c r="J45" s="26">
        <x:f t="shared" si="6"/>
        <x:v>240000</x:v>
      </x:c>
      <x:c r="K45" s="23" t="s">
        <x:v>74</x:v>
      </x:c>
      <x:c r="L45" s="23" t="s">
        <x:v>31</x:v>
      </x:c>
    </x:row>
    <x:row r="46" ht="18.75" customHeight="1">
      <x:c r="A46" s="19">
        <x:v>45.0</x:v>
      </x:c>
      <x:c r="B46" s="23" t="s">
        <x:v>1458</x:v>
      </x:c>
      <x:c r="C46" s="21">
        <x:v>45624.0</x:v>
      </x:c>
      <x:c r="D46" s="58" t="s">
        <x:v>1459</x:v>
      </x:c>
      <x:c r="E46" s="23">
        <x:v>1.0</x:v>
      </x:c>
      <x:c r="F46" s="23">
        <x:v>1.0</x:v>
      </x:c>
      <x:c r="G46" s="56"/>
      <x:c r="H46" s="23"/>
      <x:c r="I46" s="25"/>
      <x:c r="J46" s="26">
        <x:f t="shared" si="6"/>
        <x:v>480000</x:v>
      </x:c>
      <x:c r="K46" s="23" t="s">
        <x:v>74</x:v>
      </x:c>
      <x:c r="L46" s="23" t="s">
        <x:v>31</x:v>
      </x:c>
    </x:row>
    <x:row r="47" ht="18.75" customHeight="1">
      <x:c r="A47" s="19">
        <x:v>46.0</x:v>
      </x:c>
      <x:c r="B47" s="23" t="s">
        <x:v>1460</x:v>
      </x:c>
      <x:c r="C47" s="21">
        <x:v>45624.0</x:v>
      </x:c>
      <x:c r="D47" s="58" t="s">
        <x:v>1461</x:v>
      </x:c>
      <x:c r="E47" s="56"/>
      <x:c r="F47" s="23">
        <x:v>1.0</x:v>
      </x:c>
      <x:c r="G47" s="56"/>
      <x:c r="H47" s="23"/>
      <x:c r="I47" s="24"/>
      <x:c r="J47" s="26">
        <x:f t="shared" si="6"/>
        <x:v>240000</x:v>
      </x:c>
      <x:c r="K47" s="23" t="s">
        <x:v>74</x:v>
      </x:c>
      <x:c r="L47" s="23" t="s">
        <x:v>31</x:v>
      </x:c>
    </x:row>
    <x:row r="48" ht="18.75" customHeight="1">
      <x:c r="A48" s="19">
        <x:v>47.0</x:v>
      </x:c>
      <x:c r="B48" s="23" t="s">
        <x:v>423</x:v>
      </x:c>
      <x:c r="C48" s="21">
        <x:v>45624.0</x:v>
      </x:c>
      <x:c r="D48" s="58" t="s">
        <x:v>1462</x:v>
      </x:c>
      <x:c r="E48" s="56"/>
      <x:c r="F48" s="23">
        <x:v>1.0</x:v>
      </x:c>
      <x:c r="G48" s="56"/>
      <x:c r="H48" s="23"/>
      <x:c r="I48" s="24">
        <x:v>1.0</x:v>
      </x:c>
      <x:c r="J48" s="26">
        <x:f t="shared" si="6"/>
        <x:v>425000</x:v>
      </x:c>
      <x:c r="K48" s="23" t="s">
        <x:v>74</x:v>
      </x:c>
      <x:c r="L48" s="23" t="s">
        <x:v>31</x:v>
      </x:c>
    </x:row>
    <x:row r="49" ht="18.75" customHeight="1">
      <x:c r="A49" s="19">
        <x:v>48.0</x:v>
      </x:c>
      <x:c r="B49" s="23" t="s">
        <x:v>714</x:v>
      </x:c>
      <x:c r="C49" s="21">
        <x:v>45624.0</x:v>
      </x:c>
      <x:c r="D49" s="22" t="s">
        <x:v>1463</x:v>
      </x:c>
      <x:c r="E49" s="56"/>
      <x:c r="F49" s="23"/>
      <x:c r="G49" s="56"/>
      <x:c r="H49" s="23"/>
      <x:c r="I49" s="24">
        <x:v>1.0</x:v>
      </x:c>
      <x:c r="J49" s="26">
        <x:f t="shared" si="6"/>
        <x:v>185000</x:v>
      </x:c>
      <x:c r="K49" s="23" t="s">
        <x:v>74</x:v>
      </x:c>
      <x:c r="L49" s="23" t="s">
        <x:v>34</x:v>
      </x:c>
    </x:row>
    <x:row r="50" ht="18.75" customHeight="1">
      <x:c r="A50" s="19">
        <x:v>49.0</x:v>
      </x:c>
      <x:c r="B50" s="23" t="s">
        <x:v>1464</x:v>
      </x:c>
      <x:c r="C50" s="21">
        <x:v>45624.0</x:v>
      </x:c>
      <x:c r="D50" s="58" t="s">
        <x:v>1465</x:v>
      </x:c>
      <x:c r="E50" s="56"/>
      <x:c r="F50" s="23">
        <x:v>1.0</x:v>
      </x:c>
      <x:c r="G50" s="56"/>
      <x:c r="H50" s="23"/>
      <x:c r="I50" s="24">
        <x:v>1.0</x:v>
      </x:c>
      <x:c r="J50" s="26">
        <x:f t="shared" si="6"/>
        <x:v>425000</x:v>
      </x:c>
      <x:c r="K50" s="23" t="s">
        <x:v>74</x:v>
      </x:c>
      <x:c r="L50" s="23" t="s">
        <x:v>31</x:v>
      </x:c>
    </x:row>
    <x:row r="51" ht="18.75" customHeight="1">
      <x:c r="A51" s="19">
        <x:v>50.0</x:v>
      </x:c>
      <x:c r="B51" s="23" t="s">
        <x:v>1466</x:v>
      </x:c>
      <x:c r="C51" s="21">
        <x:v>45624.0</x:v>
      </x:c>
      <x:c r="D51" s="58" t="s">
        <x:v>1467</x:v>
      </x:c>
      <x:c r="E51" s="56"/>
      <x:c r="F51" s="23">
        <x:v>1.0</x:v>
      </x:c>
      <x:c r="G51" s="56"/>
      <x:c r="H51" s="23"/>
      <x:c r="I51" s="25"/>
      <x:c r="J51" s="26">
        <x:f t="shared" si="6"/>
        <x:v>240000</x:v>
      </x:c>
      <x:c r="K51" s="23" t="s">
        <x:v>74</x:v>
      </x:c>
      <x:c r="L51" s="23" t="s">
        <x:v>31</x:v>
      </x:c>
    </x:row>
    <x:row r="52" ht="18.75" customHeight="1">
      <x:c r="A52" s="19">
        <x:v>51.0</x:v>
      </x:c>
      <x:c r="B52" s="23" t="s">
        <x:v>1126</x:v>
      </x:c>
      <x:c r="C52" s="21">
        <x:v>45624.0</x:v>
      </x:c>
      <x:c r="D52" s="22" t="s">
        <x:v>1468</x:v>
      </x:c>
      <x:c r="E52" s="56"/>
      <x:c r="F52" s="23">
        <x:v>1.0</x:v>
      </x:c>
      <x:c r="G52" s="56"/>
      <x:c r="H52" s="23"/>
      <x:c r="I52" s="25"/>
      <x:c r="J52" s="26">
        <x:f t="shared" si="6"/>
        <x:v>240000</x:v>
      </x:c>
      <x:c r="K52" s="23" t="s">
        <x:v>74</x:v>
      </x:c>
      <x:c r="L52" s="23" t="s">
        <x:v>31</x:v>
      </x:c>
    </x:row>
    <x:row r="53" ht="18.75" customHeight="1">
      <x:c r="A53" s="19">
        <x:v>52.0</x:v>
      </x:c>
      <x:c r="B53" s="23" t="s">
        <x:v>1469</x:v>
      </x:c>
      <x:c r="C53" s="21">
        <x:v>45624.0</x:v>
      </x:c>
      <x:c r="D53" s="58" t="s">
        <x:v>1470</x:v>
      </x:c>
      <x:c r="E53" s="56"/>
      <x:c r="F53" s="23"/>
      <x:c r="G53" s="56"/>
      <x:c r="H53" s="23">
        <x:v>10.0</x:v>
      </x:c>
      <x:c r="I53" s="25"/>
      <x:c r="J53" s="26" t="n">
        <x:f>(E53*240+F53*240+G53*350+H53*390+I53*185)*1000-150000</x:f>
        <x:v>3750000</x:v>
      </x:c>
      <x:c r="K53" s="23" t="s">
        <x:v>74</x:v>
      </x:c>
      <x:c r="L53" s="23" t="s">
        <x:v>31</x:v>
      </x:c>
    </x:row>
    <x:row r="54" ht="18.75" customHeight="1">
      <x:c r="A54" s="19">
        <x:v>53.0</x:v>
      </x:c>
      <x:c r="B54" s="23" t="s">
        <x:v>1471</x:v>
      </x:c>
      <x:c r="C54" s="21">
        <x:v>45624.0</x:v>
      </x:c>
      <x:c r="D54" s="22" t="s">
        <x:v>1472</x:v>
      </x:c>
      <x:c r="E54" s="56"/>
      <x:c r="F54" s="23">
        <x:v>1.0</x:v>
      </x:c>
      <x:c r="G54" s="56"/>
      <x:c r="H54" s="23"/>
      <x:c r="I54" s="25"/>
      <x:c r="J54" s="26" t="n">
        <x:f>(E54*240+F54*240+G54*350+H54*390+I54*185)*1000</x:f>
        <x:v>240000</x:v>
      </x:c>
      <x:c r="K54" s="23" t="s">
        <x:v>74</x:v>
      </x:c>
      <x:c r="L54" s="23" t="s">
        <x:v>34</x:v>
      </x:c>
    </x:row>
    <x:row r="55" ht="18.75" customHeight="1">
      <x:c r="A55" s="19">
        <x:v>54.0</x:v>
      </x:c>
      <x:c r="B55" s="23" t="s">
        <x:v>1473</x:v>
      </x:c>
      <x:c r="C55" s="21">
        <x:v>45624.0</x:v>
      </x:c>
      <x:c r="D55" s="58" t="s">
        <x:v>1474</x:v>
      </x:c>
      <x:c r="E55" s="56"/>
      <x:c r="F55" s="23"/>
      <x:c r="G55" s="23">
        <x:v>15.0</x:v>
      </x:c>
      <x:c r="H55" s="23">
        <x:v>15.0</x:v>
      </x:c>
      <x:c r="I55" s="25"/>
      <x:c r="J55" s="26" t="n">
        <x:f>(E55*240+F55*240+G55*340+H55*370+I55*185)*1000</x:f>
        <x:v>10650000</x:v>
      </x:c>
      <x:c r="K55" s="23" t="s">
        <x:v>74</x:v>
      </x:c>
      <x:c r="L55" s="23" t="s">
        <x:v>34</x:v>
      </x:c>
    </x:row>
    <x:row r="56" ht="18.75" customHeight="1">
      <x:c r="A56" s="19">
        <x:v>55.0</x:v>
      </x:c>
      <x:c r="B56" s="23" t="s">
        <x:v>1475</x:v>
      </x:c>
      <x:c r="C56" s="21">
        <x:v>45624.0</x:v>
      </x:c>
      <x:c r="D56" s="58" t="s">
        <x:v>1476</x:v>
      </x:c>
      <x:c r="E56" s="23">
        <x:v>25.0</x:v>
      </x:c>
      <x:c r="F56" s="23"/>
      <x:c r="G56" s="56"/>
      <x:c r="H56" s="23">
        <x:v>20.0</x:v>
      </x:c>
      <x:c r="I56" s="25"/>
      <x:c r="J56" s="26" t="n">
        <x:f>(E56*225+F56*240+G56*350+H56*370+I56*185)*1000-31000</x:f>
        <x:v>12994000</x:v>
      </x:c>
      <x:c r="K56" s="23" t="s">
        <x:v>74</x:v>
      </x:c>
      <x:c r="L56" s="23" t="s">
        <x:v>31</x:v>
      </x:c>
    </x:row>
    <x:row r="57" ht="18.75" customHeight="1">
      <x:c r="A57" s="19">
        <x:v>56.0</x:v>
      </x:c>
      <x:c r="B57" s="23" t="s">
        <x:v>553</x:v>
      </x:c>
      <x:c r="C57" s="21">
        <x:v>45624.0</x:v>
      </x:c>
      <x:c r="D57" s="58" t="s">
        <x:v>1477</x:v>
      </x:c>
      <x:c r="E57" s="56"/>
      <x:c r="F57" s="23"/>
      <x:c r="G57" s="56"/>
      <x:c r="H57" s="23">
        <x:v>10.0</x:v>
      </x:c>
      <x:c r="I57" s="25"/>
      <x:c r="J57" s="26" t="n">
        <x:f>(E57*240+F57*240+G57*350+H57*390+I57*185)*1000-32000</x:f>
        <x:v>3868000</x:v>
      </x:c>
      <x:c r="K57" s="23" t="s">
        <x:v>74</x:v>
      </x:c>
      <x:c r="L57" s="23" t="s">
        <x:v>31</x:v>
      </x:c>
    </x:row>
    <x:row r="58" ht="18.75" customHeight="1">
      <x:c r="A58" s="19">
        <x:v>57.0</x:v>
      </x:c>
      <x:c r="B58" s="23" t="s">
        <x:v>1478</x:v>
      </x:c>
      <x:c r="C58" s="21">
        <x:v>45624.0</x:v>
      </x:c>
      <x:c r="D58" s="58" t="s">
        <x:v>1479</x:v>
      </x:c>
      <x:c r="E58" s="56"/>
      <x:c r="F58" s="23"/>
      <x:c r="G58" s="56"/>
      <x:c r="H58" s="23">
        <x:v>1.0</x:v>
      </x:c>
      <x:c r="I58" s="25"/>
      <x:c r="J58" s="26" t="n">
        <x:f t="shared" ref="J58:J60" si="7">(E58*240+F58*240+G58*350+H58*390+I58*185)*1000</x:f>
        <x:v>390000</x:v>
      </x:c>
      <x:c r="K58" s="23" t="s">
        <x:v>74</x:v>
      </x:c>
      <x:c r="L58" s="23" t="s">
        <x:v>31</x:v>
      </x:c>
    </x:row>
    <x:row r="59" ht="18.75" customHeight="1">
      <x:c r="A59" s="19">
        <x:v>58.0</x:v>
      </x:c>
      <x:c r="B59" s="23" t="s">
        <x:v>1480</x:v>
      </x:c>
      <x:c r="C59" s="21">
        <x:v>45624.0</x:v>
      </x:c>
      <x:c r="D59" s="58" t="s">
        <x:v>1481</x:v>
      </x:c>
      <x:c r="E59" s="56"/>
      <x:c r="F59" s="23">
        <x:v>1.0</x:v>
      </x:c>
      <x:c r="G59" s="56"/>
      <x:c r="H59" s="23"/>
      <x:c r="I59" s="24">
        <x:v>1.0</x:v>
      </x:c>
      <x:c r="J59" s="26">
        <x:f t="shared" si="7"/>
        <x:v>425000</x:v>
      </x:c>
      <x:c r="K59" s="23" t="s">
        <x:v>74</x:v>
      </x:c>
      <x:c r="L59" s="23" t="s">
        <x:v>31</x:v>
      </x:c>
    </x:row>
    <x:row r="60" ht="18.75" customHeight="1">
      <x:c r="A60" s="19">
        <x:v>59.0</x:v>
      </x:c>
      <x:c r="B60" s="23" t="s">
        <x:v>1482</x:v>
      </x:c>
      <x:c r="C60" s="21">
        <x:v>45624.0</x:v>
      </x:c>
      <x:c r="D60" s="58" t="s">
        <x:v>1483</x:v>
      </x:c>
      <x:c r="E60" s="56"/>
      <x:c r="F60" s="23">
        <x:v>1.0</x:v>
      </x:c>
      <x:c r="G60" s="56"/>
      <x:c r="H60" s="23"/>
      <x:c r="I60" s="24">
        <x:v>1.0</x:v>
      </x:c>
      <x:c r="J60" s="26">
        <x:f t="shared" si="7"/>
        <x:v>425000</x:v>
      </x:c>
      <x:c r="K60" s="23" t="s">
        <x:v>74</x:v>
      </x:c>
      <x:c r="L60" s="23" t="s">
        <x:v>34</x:v>
      </x:c>
    </x:row>
    <x:row r="61" ht="18.75" customHeight="1">
      <x:c r="A61" s="19">
        <x:v>60.0</x:v>
      </x:c>
      <x:c r="B61" s="23" t="s">
        <x:v>1484</x:v>
      </x:c>
      <x:c r="C61" s="21">
        <x:v>45624.0</x:v>
      </x:c>
      <x:c r="D61" s="58" t="s">
        <x:v>1485</x:v>
      </x:c>
      <x:c r="E61" s="56"/>
      <x:c r="F61" s="23">
        <x:v>1.0</x:v>
      </x:c>
      <x:c r="G61" s="56"/>
      <x:c r="H61" s="23"/>
      <x:c r="I61" s="24">
        <x:v>1.0</x:v>
      </x:c>
      <x:c r="J61" s="26" t="n">
        <x:f>(E61*240+F61*240+G61*350+H61*390+I61*185)*1000+25000</x:f>
        <x:v>450000</x:v>
      </x:c>
      <x:c r="K61" s="23" t="s">
        <x:v>74</x:v>
      </x:c>
      <x:c r="L61" s="23" t="s">
        <x:v>31</x:v>
      </x:c>
    </x:row>
    <x:row r="62" ht="18.75" customHeight="1">
      <x:c r="A62" s="19">
        <x:v>61.0</x:v>
      </x:c>
      <x:c r="B62" s="23" t="s">
        <x:v>176</x:v>
      </x:c>
      <x:c r="C62" s="21">
        <x:v>45625.0</x:v>
      </x:c>
      <x:c r="D62" s="58" t="s">
        <x:v>1486</x:v>
      </x:c>
      <x:c r="E62" s="23"/>
      <x:c r="F62" s="23"/>
      <x:c r="G62" s="56"/>
      <x:c r="H62" s="23"/>
      <x:c r="I62" s="24">
        <x:v>1.0</x:v>
      </x:c>
      <x:c r="J62" s="26" t="n">
        <x:f>(E62*240+F62*240+G62*350+H62*390+I62*185)*1000</x:f>
        <x:v>185000</x:v>
      </x:c>
      <x:c r="K62" s="23" t="s">
        <x:v>74</x:v>
      </x:c>
      <x:c r="L62" s="23" t="s">
        <x:v>34</x:v>
      </x:c>
    </x:row>
    <x:row r="63" ht="18.75" customHeight="1">
      <x:c r="A63" s="19">
        <x:v>62.0</x:v>
      </x:c>
      <x:c r="B63" s="23" t="s">
        <x:v>1487</x:v>
      </x:c>
      <x:c r="C63" s="21">
        <x:v>45625.0</x:v>
      </x:c>
      <x:c r="D63" s="58" t="s">
        <x:v>847</x:v>
      </x:c>
      <x:c r="E63" s="23"/>
      <x:c r="F63" s="23">
        <x:v>2.0</x:v>
      </x:c>
      <x:c r="G63" s="56"/>
      <x:c r="H63" s="23"/>
      <x:c r="I63" s="25"/>
      <x:c r="J63" s="26" t="n">
        <x:f>(E63*240+F63*240+G63*350+H63*390+I63*185)*1000+25000</x:f>
        <x:v>505000</x:v>
      </x:c>
      <x:c r="K63" s="23" t="s">
        <x:v>74</x:v>
      </x:c>
      <x:c r="L63" s="23" t="s">
        <x:v>31</x:v>
      </x:c>
    </x:row>
    <x:row r="64" ht="18.75" customHeight="1">
      <x:c r="A64" s="19">
        <x:v>63.0</x:v>
      </x:c>
      <x:c r="B64" s="23" t="s">
        <x:v>1488</x:v>
      </x:c>
      <x:c r="C64" s="21">
        <x:v>45625.0</x:v>
      </x:c>
      <x:c r="D64" s="58" t="s">
        <x:v>1489</x:v>
      </x:c>
      <x:c r="E64" s="23">
        <x:v>1.0</x:v>
      </x:c>
      <x:c r="F64" s="23"/>
      <x:c r="G64" s="56"/>
      <x:c r="H64" s="23"/>
      <x:c r="I64" s="25"/>
      <x:c r="J64" s="26" t="n">
        <x:f t="shared" ref="J64:J69" si="8">(E64*240+F64*240+G64*350+H64*390+I64*185)*1000</x:f>
        <x:v>240000</x:v>
      </x:c>
      <x:c r="K64" s="23" t="s">
        <x:v>74</x:v>
      </x:c>
      <x:c r="L64" s="23" t="s">
        <x:v>31</x:v>
      </x:c>
    </x:row>
    <x:row r="65" ht="18.75" customHeight="1">
      <x:c r="A65" s="19">
        <x:v>64.0</x:v>
      </x:c>
      <x:c r="B65" s="23" t="s">
        <x:v>1490</x:v>
      </x:c>
      <x:c r="C65" s="21">
        <x:v>45625.0</x:v>
      </x:c>
      <x:c r="D65" s="58" t="s">
        <x:v>1491</x:v>
      </x:c>
      <x:c r="E65" s="23"/>
      <x:c r="F65" s="23">
        <x:v>1.0</x:v>
      </x:c>
      <x:c r="G65" s="56"/>
      <x:c r="H65" s="23"/>
      <x:c r="I65" s="25"/>
      <x:c r="J65" s="26">
        <x:f t="shared" si="8"/>
        <x:v>240000</x:v>
      </x:c>
      <x:c r="K65" s="23" t="s">
        <x:v>74</x:v>
      </x:c>
      <x:c r="L65" s="23" t="s">
        <x:v>34</x:v>
      </x:c>
    </x:row>
    <x:row r="66" ht="18.75" customHeight="1">
      <x:c r="A66" s="19">
        <x:v>65.0</x:v>
      </x:c>
      <x:c r="B66" s="23" t="s">
        <x:v>1492</x:v>
      </x:c>
      <x:c r="C66" s="21">
        <x:v>45625.0</x:v>
      </x:c>
      <x:c r="D66" s="58" t="s">
        <x:v>1493</x:v>
      </x:c>
      <x:c r="E66" s="23"/>
      <x:c r="F66" s="23"/>
      <x:c r="G66" s="23">
        <x:v>1.0</x:v>
      </x:c>
      <x:c r="H66" s="23"/>
      <x:c r="I66" s="25"/>
      <x:c r="J66" s="26">
        <x:f t="shared" si="8"/>
        <x:v>350000</x:v>
      </x:c>
      <x:c r="K66" s="23" t="s">
        <x:v>74</x:v>
      </x:c>
      <x:c r="L66" s="23" t="s">
        <x:v>31</x:v>
      </x:c>
    </x:row>
    <x:row r="67" ht="18.75" customHeight="1">
      <x:c r="A67" s="19">
        <x:v>66.0</x:v>
      </x:c>
      <x:c r="B67" s="23" t="s">
        <x:v>1494</x:v>
      </x:c>
      <x:c r="C67" s="21">
        <x:v>45626.0</x:v>
      </x:c>
      <x:c r="D67" s="58" t="s">
        <x:v>1495</x:v>
      </x:c>
      <x:c r="E67" s="23"/>
      <x:c r="F67" s="23">
        <x:v>1.0</x:v>
      </x:c>
      <x:c r="G67" s="56"/>
      <x:c r="H67" s="23"/>
      <x:c r="I67" s="25"/>
      <x:c r="J67" s="26">
        <x:f t="shared" si="8"/>
        <x:v>240000</x:v>
      </x:c>
      <x:c r="K67" s="23" t="s">
        <x:v>74</x:v>
      </x:c>
      <x:c r="L67" s="23" t="s">
        <x:v>34</x:v>
      </x:c>
    </x:row>
    <x:row r="68" ht="18.75" customHeight="1">
      <x:c r="A68" s="19">
        <x:v>67.0</x:v>
      </x:c>
      <x:c r="B68" s="23" t="s">
        <x:v>1496</x:v>
      </x:c>
      <x:c r="C68" s="21">
        <x:v>45626.0</x:v>
      </x:c>
      <x:c r="D68" s="58" t="s">
        <x:v>1497</x:v>
      </x:c>
      <x:c r="E68" s="23"/>
      <x:c r="F68" s="23">
        <x:v>2.0</x:v>
      </x:c>
      <x:c r="G68" s="56"/>
      <x:c r="H68" s="23"/>
      <x:c r="I68" s="24">
        <x:v>1.0</x:v>
      </x:c>
      <x:c r="J68" s="26">
        <x:f t="shared" si="8"/>
        <x:v>665000</x:v>
      </x:c>
      <x:c r="K68" s="23" t="s">
        <x:v>74</x:v>
      </x:c>
      <x:c r="L68" s="23" t="s">
        <x:v>31</x:v>
      </x:c>
    </x:row>
    <x:row r="69" ht="18.75" customHeight="1">
      <x:c r="A69" s="19">
        <x:v>69.0</x:v>
      </x:c>
      <x:c r="B69" s="23" t="s">
        <x:v>1498</x:v>
      </x:c>
      <x:c r="C69" s="21">
        <x:v>45626.0</x:v>
      </x:c>
      <x:c r="D69" s="58" t="s">
        <x:v>1499</x:v>
      </x:c>
      <x:c r="E69" s="23">
        <x:v>1.0</x:v>
      </x:c>
      <x:c r="F69" s="23"/>
      <x:c r="G69" s="56"/>
      <x:c r="H69" s="23"/>
      <x:c r="I69" s="25"/>
      <x:c r="J69" s="26">
        <x:f t="shared" si="8"/>
        <x:v>240000</x:v>
      </x:c>
      <x:c r="K69" s="23" t="s">
        <x:v>74</x:v>
      </x:c>
      <x:c r="L69" s="23" t="s">
        <x:v>34</x:v>
      </x:c>
    </x:row>
    <x:row r="70">
      <x:c r="A70" s="75"/>
      <x:c r="B70" s="75" t="s">
        <x:v>27</x:v>
      </x:c>
      <x:c r="C70" s="77"/>
      <x:c r="D70" s="78"/>
      <x:c r="E70" s="77" t="n">
        <x:f t="shared" ref="E70:J70" si="9">SUM(E2:E69)</x:f>
        <x:v>40</x:v>
      </x:c>
      <x:c r="F70" s="77">
        <x:f t="shared" si="9"/>
        <x:v>51</x:v>
      </x:c>
      <x:c r="G70" s="77">
        <x:f t="shared" si="9"/>
        <x:v>37</x:v>
      </x:c>
      <x:c r="H70" s="77">
        <x:f t="shared" si="9"/>
        <x:v>65</x:v>
      </x:c>
      <x:c r="I70" s="79">
        <x:f t="shared" si="9"/>
        <x:v>11</x:v>
      </x:c>
      <x:c r="J70" s="80">
        <x:f t="shared" si="9"/>
        <x:v>60698000</x:v>
      </x:c>
      <x:c r="K70" s="77"/>
      <x:c r="L70" s="77"/>
    </x:row>
    <x:row r="71">
      <x:c r="A71" s="75"/>
      <x:c r="B71" s="75" t="s">
        <x:v>51</x:v>
      </x:c>
      <x:c r="C71" s="77"/>
      <x:c r="D71" s="78"/>
      <x:c r="E71" s="80" t="n">
        <x:f>E70*Inventory_batches!F30</x:f>
        <x:v>4950000</x:v>
      </x:c>
      <x:c r="F71" s="80" t="n">
        <x:f>F70*Inventory_batches!F30</x:f>
        <x:v>6311250</x:v>
      </x:c>
      <x:c r="G71" s="80" t="n">
        <x:f>G70*Inventory_batches!F24</x:f>
        <x:v>4836208.333333333</x:v>
      </x:c>
      <x:c r="H71" s="80" t="n">
        <x:f>H70*Inventory_batches!F24</x:f>
        <x:v>8496041.666666666</x:v>
      </x:c>
      <x:c r="I71" s="79" t="n">
        <x:f>I70*Inventory_batches!F6</x:f>
        <x:v>726725.2747252748</x:v>
      </x:c>
      <x:c r="J71" s="80" t="n">
        <x:f>SUM(E71:I71)</x:f>
        <x:v>25320225.274725273</x:v>
      </x:c>
      <x:c r="K71" s="77"/>
      <x:c r="L71" s="86"/>
      <x:c r="M71" s="32"/>
    </x:row>
    <x:row r="72">
      <x:c r="A72" s="120"/>
      <x:c r="B72" s="81"/>
      <x:c r="C72" s="81"/>
      <x:c r="D72" s="96"/>
      <x:c r="E72" s="81"/>
      <x:c r="F72" s="81"/>
      <x:c r="G72" s="81"/>
      <x:c r="H72" s="81"/>
      <x:c r="I72" s="121"/>
      <x:c r="J72" s="122" t="n">
        <x:f>J70-J71</x:f>
        <x:v>35377774.72527473</x:v>
      </x:c>
      <x:c r="K72" s="81"/>
      <x:c r="L72" s="86"/>
      <x:c r="M72" s="32"/>
    </x:row>
    <x:row r="73">
      <x:c r="A73" s="87"/>
      <x:c r="D73" s="32"/>
      <x:c r="I73" s="74"/>
      <x:c r="J73" s="85"/>
      <x:c r="L73" s="86"/>
      <x:c r="M73" s="32"/>
    </x:row>
    <x:row r="74">
      <x:c r="A74" s="87"/>
      <x:c r="D74" s="32"/>
      <x:c r="I74" s="74"/>
      <x:c r="J74" s="85"/>
      <x:c r="L74" s="86"/>
      <x:c r="M74" s="32"/>
    </x:row>
    <x:row r="75">
      <x:c r="A75" s="87"/>
      <x:c r="D75" s="32"/>
      <x:c r="I75" s="74"/>
      <x:c r="J75" s="85"/>
      <x:c r="L75" s="86"/>
      <x:c r="M75" s="32"/>
    </x:row>
    <x:row r="76">
      <x:c r="A76" s="87"/>
      <x:c r="D76" s="32"/>
      <x:c r="I76" s="74"/>
      <x:c r="J76" s="85"/>
      <x:c r="L76" s="86"/>
      <x:c r="M76" s="32"/>
    </x:row>
    <x:row r="77">
      <x:c r="A77" s="87"/>
      <x:c r="D77" s="32"/>
      <x:c r="I77" s="74"/>
      <x:c r="J77" s="85"/>
      <x:c r="L77" s="86"/>
      <x:c r="M77" s="32"/>
    </x:row>
    <x:row r="78">
      <x:c r="A78" s="87"/>
      <x:c r="D78" s="32"/>
      <x:c r="I78" s="74"/>
      <x:c r="J78" s="85"/>
      <x:c r="L78" s="86"/>
      <x:c r="M78" s="32"/>
    </x:row>
    <x:row r="79">
      <x:c r="A79" s="87"/>
      <x:c r="D79" s="32"/>
      <x:c r="I79" s="74"/>
      <x:c r="J79" s="85"/>
      <x:c r="L79" s="86"/>
      <x:c r="M79" s="32"/>
    </x:row>
    <x:row r="80">
      <x:c r="A80" s="87"/>
      <x:c r="D80" s="32"/>
      <x:c r="I80" s="74"/>
      <x:c r="J80" s="85"/>
      <x:c r="L80" s="86"/>
      <x:c r="M80" s="32"/>
    </x:row>
    <x:row r="81">
      <x:c r="A81" s="87"/>
      <x:c r="D81" s="32"/>
      <x:c r="I81" s="74"/>
      <x:c r="J81" s="85"/>
      <x:c r="L81" s="86"/>
      <x:c r="M81" s="32"/>
    </x:row>
    <x:row r="82">
      <x:c r="A82" s="87"/>
      <x:c r="D82" s="32"/>
      <x:c r="I82" s="74"/>
      <x:c r="J82" s="85"/>
      <x:c r="L82" s="86"/>
      <x:c r="M82" s="32"/>
    </x:row>
    <x:row r="83">
      <x:c r="A83" s="87"/>
      <x:c r="D83" s="32"/>
      <x:c r="I83" s="74"/>
      <x:c r="J83" s="85"/>
      <x:c r="L83" s="86"/>
      <x:c r="M83" s="32"/>
    </x:row>
    <x:row r="84">
      <x:c r="A84" s="87"/>
      <x:c r="D84" s="32"/>
      <x:c r="I84" s="74"/>
      <x:c r="J84" s="85"/>
      <x:c r="L84" s="86"/>
      <x:c r="M84" s="32"/>
    </x:row>
    <x:row r="85">
      <x:c r="A85" s="87"/>
      <x:c r="D85" s="32"/>
      <x:c r="I85" s="74"/>
      <x:c r="J85" s="85"/>
      <x:c r="L85" s="86"/>
      <x:c r="M85" s="32"/>
    </x:row>
    <x:row r="86">
      <x:c r="A86" s="87"/>
      <x:c r="D86" s="32"/>
      <x:c r="I86" s="74"/>
      <x:c r="J86" s="85"/>
      <x:c r="L86" s="86"/>
      <x:c r="M86" s="32"/>
    </x:row>
    <x:row r="87">
      <x:c r="A87" s="87"/>
      <x:c r="D87" s="32"/>
      <x:c r="I87" s="74"/>
      <x:c r="J87" s="85"/>
      <x:c r="L87" s="86"/>
      <x:c r="M87" s="32"/>
    </x:row>
    <x:row r="88">
      <x:c r="A88" s="87"/>
      <x:c r="D88" s="32"/>
      <x:c r="I88" s="74"/>
      <x:c r="J88" s="85"/>
      <x:c r="L88" s="86"/>
      <x:c r="M88" s="32"/>
    </x:row>
    <x:row r="89">
      <x:c r="A89" s="87"/>
      <x:c r="D89" s="32"/>
      <x:c r="I89" s="74"/>
      <x:c r="J89" s="85"/>
      <x:c r="L89" s="86"/>
      <x:c r="M89" s="32"/>
    </x:row>
    <x:row r="90">
      <x:c r="A90" s="87"/>
      <x:c r="D90" s="32"/>
      <x:c r="I90" s="74"/>
      <x:c r="J90" s="85"/>
      <x:c r="L90" s="86"/>
      <x:c r="M90" s="32"/>
    </x:row>
    <x:row r="91">
      <x:c r="A91" s="87"/>
      <x:c r="D91" s="32"/>
      <x:c r="I91" s="74"/>
      <x:c r="J91" s="85"/>
      <x:c r="L91" s="86"/>
      <x:c r="M91" s="32"/>
    </x:row>
    <x:row r="92">
      <x:c r="A92" s="87"/>
      <x:c r="D92" s="32"/>
      <x:c r="I92" s="74"/>
      <x:c r="J92" s="85"/>
      <x:c r="L92" s="86"/>
      <x:c r="M92" s="32"/>
    </x:row>
    <x:row r="93">
      <x:c r="A93" s="87"/>
      <x:c r="D93" s="32"/>
      <x:c r="I93" s="74"/>
      <x:c r="J93" s="85"/>
      <x:c r="L93" s="86"/>
      <x:c r="M93" s="32"/>
    </x:row>
    <x:row r="94">
      <x:c r="A94" s="87"/>
      <x:c r="D94" s="32"/>
      <x:c r="I94" s="74"/>
      <x:c r="J94" s="85"/>
      <x:c r="L94" s="86"/>
      <x:c r="M94" s="32"/>
    </x:row>
    <x:row r="95">
      <x:c r="A95" s="87"/>
      <x:c r="D95" s="32"/>
      <x:c r="I95" s="74"/>
      <x:c r="J95" s="85"/>
      <x:c r="L95" s="86"/>
      <x:c r="M95" s="32"/>
    </x:row>
    <x:row r="96">
      <x:c r="A96" s="87"/>
      <x:c r="D96" s="32"/>
      <x:c r="I96" s="74"/>
      <x:c r="J96" s="85"/>
      <x:c r="L96" s="86"/>
      <x:c r="M96" s="32"/>
    </x:row>
    <x:row r="97">
      <x:c r="A97" s="87"/>
      <x:c r="D97" s="32"/>
      <x:c r="I97" s="74"/>
      <x:c r="J97" s="85"/>
      <x:c r="L97" s="86"/>
      <x:c r="M97" s="32"/>
    </x:row>
    <x:row r="98">
      <x:c r="A98" s="87"/>
      <x:c r="D98" s="32"/>
      <x:c r="I98" s="74"/>
      <x:c r="J98" s="85"/>
      <x:c r="L98" s="86"/>
      <x:c r="M98" s="32"/>
    </x:row>
    <x:row r="99">
      <x:c r="A99" s="87"/>
      <x:c r="D99" s="32"/>
      <x:c r="I99" s="74"/>
      <x:c r="J99" s="85"/>
      <x:c r="L99" s="86"/>
      <x:c r="M99" s="32"/>
    </x:row>
    <x:row r="100">
      <x:c r="A100" s="87"/>
      <x:c r="D100" s="32"/>
      <x:c r="I100" s="74"/>
      <x:c r="J100" s="85"/>
      <x:c r="L100" s="86"/>
      <x:c r="M100" s="32"/>
    </x:row>
    <x:row r="101">
      <x:c r="A101" s="87"/>
      <x:c r="D101" s="32"/>
      <x:c r="I101" s="74"/>
      <x:c r="J101" s="85"/>
      <x:c r="L101" s="86"/>
      <x:c r="M101" s="32"/>
    </x:row>
    <x:row r="102">
      <x:c r="A102" s="87"/>
      <x:c r="D102" s="32"/>
      <x:c r="I102" s="74"/>
      <x:c r="J102" s="85"/>
      <x:c r="L102" s="86"/>
      <x:c r="M102" s="32"/>
    </x:row>
    <x:row r="103">
      <x:c r="A103" s="87"/>
      <x:c r="D103" s="32"/>
      <x:c r="I103" s="74"/>
      <x:c r="J103" s="85"/>
      <x:c r="L103" s="86"/>
      <x:c r="M103" s="32"/>
    </x:row>
    <x:row r="104">
      <x:c r="A104" s="87"/>
      <x:c r="D104" s="32"/>
      <x:c r="I104" s="74"/>
      <x:c r="J104" s="85"/>
      <x:c r="L104" s="86"/>
      <x:c r="M104" s="32"/>
    </x:row>
    <x:row r="105">
      <x:c r="A105" s="87"/>
      <x:c r="D105" s="32"/>
      <x:c r="I105" s="74"/>
      <x:c r="J105" s="85"/>
      <x:c r="L105" s="86"/>
      <x:c r="M105" s="32"/>
    </x:row>
    <x:row r="106">
      <x:c r="A106" s="87"/>
      <x:c r="D106" s="32"/>
      <x:c r="I106" s="74"/>
      <x:c r="J106" s="85"/>
      <x:c r="L106" s="86"/>
      <x:c r="M106" s="32"/>
    </x:row>
    <x:row r="107">
      <x:c r="A107" s="87"/>
      <x:c r="D107" s="32"/>
      <x:c r="I107" s="74"/>
      <x:c r="J107" s="85"/>
      <x:c r="L107" s="86"/>
      <x:c r="M107" s="32"/>
    </x:row>
    <x:row r="108">
      <x:c r="A108" s="87"/>
      <x:c r="D108" s="32"/>
      <x:c r="I108" s="74"/>
      <x:c r="J108" s="85"/>
      <x:c r="L108" s="86"/>
      <x:c r="M108" s="32"/>
    </x:row>
    <x:row r="109">
      <x:c r="A109" s="87"/>
      <x:c r="D109" s="32"/>
      <x:c r="I109" s="74"/>
      <x:c r="J109" s="85"/>
      <x:c r="L109" s="86"/>
      <x:c r="M109" s="32"/>
    </x:row>
    <x:row r="110">
      <x:c r="A110" s="87"/>
      <x:c r="D110" s="32"/>
      <x:c r="I110" s="74"/>
      <x:c r="J110" s="85"/>
      <x:c r="L110" s="86"/>
      <x:c r="M110" s="32"/>
    </x:row>
    <x:row r="111">
      <x:c r="A111" s="87"/>
      <x:c r="D111" s="32"/>
      <x:c r="I111" s="74"/>
      <x:c r="J111" s="85"/>
      <x:c r="L111" s="86"/>
      <x:c r="M111" s="32"/>
    </x:row>
    <x:row r="112">
      <x:c r="A112" s="87"/>
      <x:c r="D112" s="32"/>
      <x:c r="I112" s="74"/>
      <x:c r="J112" s="85"/>
      <x:c r="L112" s="86"/>
      <x:c r="M112" s="32"/>
    </x:row>
    <x:row r="113">
      <x:c r="A113" s="87"/>
      <x:c r="D113" s="32"/>
      <x:c r="I113" s="74"/>
      <x:c r="J113" s="85"/>
      <x:c r="L113" s="86"/>
      <x:c r="M113" s="32"/>
    </x:row>
    <x:row r="114">
      <x:c r="A114" s="87"/>
      <x:c r="D114" s="32"/>
      <x:c r="I114" s="74"/>
      <x:c r="J114" s="85"/>
      <x:c r="L114" s="86"/>
      <x:c r="M114" s="32"/>
    </x:row>
    <x:row r="115">
      <x:c r="A115" s="87"/>
      <x:c r="D115" s="32"/>
      <x:c r="I115" s="74"/>
      <x:c r="J115" s="85"/>
      <x:c r="L115" s="86"/>
      <x:c r="M115" s="32"/>
    </x:row>
    <x:row r="116">
      <x:c r="A116" s="87"/>
      <x:c r="D116" s="32"/>
      <x:c r="I116" s="74"/>
      <x:c r="J116" s="85"/>
      <x:c r="L116" s="86"/>
      <x:c r="M116" s="32"/>
    </x:row>
    <x:row r="117">
      <x:c r="A117" s="87"/>
      <x:c r="D117" s="32"/>
      <x:c r="I117" s="74"/>
      <x:c r="J117" s="85"/>
      <x:c r="L117" s="86"/>
      <x:c r="M117" s="32"/>
    </x:row>
    <x:row r="118">
      <x:c r="A118" s="87"/>
      <x:c r="D118" s="32"/>
      <x:c r="I118" s="74"/>
      <x:c r="J118" s="85"/>
      <x:c r="L118" s="86"/>
      <x:c r="M118" s="32"/>
    </x:row>
    <x:row r="119">
      <x:c r="A119" s="87"/>
      <x:c r="D119" s="32"/>
      <x:c r="I119" s="74"/>
      <x:c r="J119" s="85"/>
      <x:c r="L119" s="86"/>
      <x:c r="M119" s="32"/>
    </x:row>
    <x:row r="120">
      <x:c r="A120" s="87"/>
      <x:c r="D120" s="32"/>
      <x:c r="I120" s="74"/>
      <x:c r="J120" s="85"/>
      <x:c r="L120" s="86"/>
      <x:c r="M120" s="32"/>
    </x:row>
    <x:row r="121">
      <x:c r="A121" s="87"/>
      <x:c r="D121" s="32"/>
      <x:c r="I121" s="74"/>
      <x:c r="J121" s="85"/>
      <x:c r="L121" s="86"/>
      <x:c r="M121" s="32"/>
    </x:row>
    <x:row r="122">
      <x:c r="A122" s="87"/>
      <x:c r="D122" s="32"/>
      <x:c r="I122" s="74"/>
      <x:c r="J122" s="85"/>
      <x:c r="L122" s="86"/>
      <x:c r="M122" s="32"/>
    </x:row>
    <x:row r="123">
      <x:c r="A123" s="87"/>
      <x:c r="D123" s="32"/>
      <x:c r="I123" s="74"/>
      <x:c r="J123" s="85"/>
      <x:c r="L123" s="86"/>
      <x:c r="M123" s="32"/>
    </x:row>
    <x:row r="124">
      <x:c r="A124" s="87"/>
      <x:c r="D124" s="32"/>
      <x:c r="I124" s="74"/>
      <x:c r="J124" s="85"/>
      <x:c r="L124" s="86"/>
      <x:c r="M124" s="32"/>
    </x:row>
    <x:row r="125">
      <x:c r="A125" s="87"/>
      <x:c r="D125" s="32"/>
      <x:c r="I125" s="74"/>
      <x:c r="J125" s="85"/>
      <x:c r="L125" s="86"/>
      <x:c r="M125" s="32"/>
    </x:row>
    <x:row r="126">
      <x:c r="A126" s="87"/>
      <x:c r="D126" s="32"/>
      <x:c r="I126" s="74"/>
      <x:c r="J126" s="85"/>
      <x:c r="L126" s="86"/>
      <x:c r="M126" s="32"/>
    </x:row>
    <x:row r="127">
      <x:c r="A127" s="87"/>
      <x:c r="D127" s="32"/>
      <x:c r="I127" s="74"/>
      <x:c r="J127" s="85"/>
      <x:c r="L127" s="86"/>
      <x:c r="M127" s="32"/>
    </x:row>
    <x:row r="128">
      <x:c r="A128" s="87"/>
      <x:c r="D128" s="32"/>
      <x:c r="I128" s="74"/>
      <x:c r="J128" s="85"/>
      <x:c r="L128" s="86"/>
      <x:c r="M128" s="32"/>
    </x:row>
    <x:row r="129">
      <x:c r="A129" s="87"/>
      <x:c r="D129" s="32"/>
      <x:c r="I129" s="74"/>
      <x:c r="J129" s="85"/>
      <x:c r="L129" s="86"/>
      <x:c r="M129" s="32"/>
    </x:row>
    <x:row r="130">
      <x:c r="A130" s="87"/>
      <x:c r="D130" s="32"/>
      <x:c r="I130" s="74"/>
      <x:c r="J130" s="85"/>
      <x:c r="L130" s="86"/>
      <x:c r="M130" s="32"/>
    </x:row>
    <x:row r="131">
      <x:c r="A131" s="87"/>
      <x:c r="D131" s="32"/>
      <x:c r="I131" s="74"/>
      <x:c r="J131" s="85"/>
      <x:c r="L131" s="86"/>
      <x:c r="M131" s="32"/>
    </x:row>
    <x:row r="132">
      <x:c r="A132" s="87"/>
      <x:c r="D132" s="32"/>
      <x:c r="I132" s="74"/>
      <x:c r="J132" s="85"/>
      <x:c r="L132" s="86"/>
      <x:c r="M132" s="32"/>
    </x:row>
    <x:row r="133">
      <x:c r="A133" s="87"/>
      <x:c r="D133" s="32"/>
      <x:c r="I133" s="74"/>
      <x:c r="J133" s="85"/>
      <x:c r="L133" s="86"/>
      <x:c r="M133" s="32"/>
    </x:row>
    <x:row r="134">
      <x:c r="A134" s="87"/>
      <x:c r="D134" s="32"/>
      <x:c r="I134" s="74"/>
      <x:c r="J134" s="85"/>
      <x:c r="L134" s="86"/>
      <x:c r="M134" s="32"/>
    </x:row>
    <x:row r="135">
      <x:c r="A135" s="87"/>
      <x:c r="D135" s="32"/>
      <x:c r="I135" s="74"/>
      <x:c r="J135" s="85"/>
      <x:c r="L135" s="86"/>
      <x:c r="M135" s="32"/>
    </x:row>
    <x:row r="136">
      <x:c r="A136" s="87"/>
      <x:c r="D136" s="32"/>
      <x:c r="I136" s="74"/>
      <x:c r="J136" s="85"/>
      <x:c r="L136" s="86"/>
      <x:c r="M136" s="32"/>
    </x:row>
    <x:row r="137">
      <x:c r="A137" s="87"/>
      <x:c r="D137" s="32"/>
      <x:c r="I137" s="74"/>
      <x:c r="J137" s="85"/>
      <x:c r="L137" s="86"/>
      <x:c r="M137" s="32"/>
    </x:row>
    <x:row r="138">
      <x:c r="A138" s="87"/>
      <x:c r="D138" s="32"/>
      <x:c r="I138" s="74"/>
      <x:c r="J138" s="85"/>
      <x:c r="L138" s="86"/>
      <x:c r="M138" s="32"/>
    </x:row>
    <x:row r="139">
      <x:c r="A139" s="87"/>
      <x:c r="D139" s="32"/>
      <x:c r="I139" s="74"/>
      <x:c r="J139" s="85"/>
      <x:c r="L139" s="86"/>
      <x:c r="M139" s="32"/>
    </x:row>
    <x:row r="140">
      <x:c r="A140" s="87"/>
      <x:c r="D140" s="32"/>
      <x:c r="I140" s="74"/>
      <x:c r="J140" s="85"/>
      <x:c r="L140" s="86"/>
      <x:c r="M140" s="32"/>
    </x:row>
    <x:row r="141">
      <x:c r="A141" s="87"/>
      <x:c r="D141" s="32"/>
      <x:c r="I141" s="74"/>
      <x:c r="J141" s="85"/>
      <x:c r="L141" s="86"/>
      <x:c r="M141" s="32"/>
    </x:row>
    <x:row r="142">
      <x:c r="A142" s="87"/>
      <x:c r="D142" s="32"/>
      <x:c r="I142" s="74"/>
      <x:c r="J142" s="85"/>
      <x:c r="L142" s="86"/>
      <x:c r="M142" s="32"/>
    </x:row>
    <x:row r="143">
      <x:c r="A143" s="87"/>
      <x:c r="D143" s="32"/>
      <x:c r="I143" s="74"/>
      <x:c r="J143" s="85"/>
      <x:c r="L143" s="86"/>
      <x:c r="M143" s="32"/>
    </x:row>
    <x:row r="144">
      <x:c r="A144" s="87"/>
      <x:c r="D144" s="32"/>
      <x:c r="I144" s="74"/>
      <x:c r="J144" s="85"/>
      <x:c r="L144" s="86"/>
      <x:c r="M144" s="32"/>
    </x:row>
    <x:row r="145">
      <x:c r="A145" s="87"/>
      <x:c r="D145" s="32"/>
      <x:c r="I145" s="74"/>
      <x:c r="J145" s="85"/>
      <x:c r="L145" s="86"/>
      <x:c r="M145" s="32"/>
    </x:row>
    <x:row r="146">
      <x:c r="A146" s="87"/>
      <x:c r="D146" s="32"/>
      <x:c r="I146" s="74"/>
      <x:c r="J146" s="85"/>
      <x:c r="L146" s="86"/>
      <x:c r="M146" s="32"/>
    </x:row>
    <x:row r="147">
      <x:c r="A147" s="87"/>
      <x:c r="D147" s="32"/>
      <x:c r="I147" s="74"/>
      <x:c r="J147" s="85"/>
      <x:c r="L147" s="86"/>
      <x:c r="M147" s="32"/>
    </x:row>
    <x:row r="148">
      <x:c r="A148" s="87"/>
      <x:c r="D148" s="32"/>
      <x:c r="I148" s="74"/>
      <x:c r="J148" s="85"/>
      <x:c r="L148" s="86"/>
      <x:c r="M148" s="32"/>
    </x:row>
    <x:row r="149">
      <x:c r="A149" s="87"/>
      <x:c r="D149" s="32"/>
      <x:c r="I149" s="74"/>
      <x:c r="J149" s="85"/>
      <x:c r="L149" s="86"/>
      <x:c r="M149" s="32"/>
    </x:row>
    <x:row r="150">
      <x:c r="A150" s="87"/>
      <x:c r="D150" s="32"/>
      <x:c r="I150" s="74"/>
      <x:c r="J150" s="85"/>
      <x:c r="L150" s="86"/>
      <x:c r="M150" s="32"/>
    </x:row>
    <x:row r="151">
      <x:c r="A151" s="87"/>
      <x:c r="D151" s="32"/>
      <x:c r="I151" s="74"/>
      <x:c r="J151" s="85"/>
      <x:c r="L151" s="86"/>
      <x:c r="M151" s="32"/>
    </x:row>
    <x:row r="152">
      <x:c r="A152" s="87"/>
      <x:c r="D152" s="32"/>
      <x:c r="I152" s="74"/>
      <x:c r="J152" s="85"/>
      <x:c r="L152" s="86"/>
      <x:c r="M152" s="32"/>
    </x:row>
    <x:row r="153">
      <x:c r="A153" s="87"/>
      <x:c r="D153" s="32"/>
      <x:c r="I153" s="74"/>
      <x:c r="J153" s="85"/>
      <x:c r="L153" s="86"/>
      <x:c r="M153" s="32"/>
    </x:row>
    <x:row r="154">
      <x:c r="A154" s="87"/>
      <x:c r="D154" s="32"/>
      <x:c r="I154" s="74"/>
      <x:c r="J154" s="85"/>
      <x:c r="L154" s="86"/>
      <x:c r="M154" s="32"/>
    </x:row>
    <x:row r="155">
      <x:c r="A155" s="87"/>
      <x:c r="D155" s="32"/>
      <x:c r="I155" s="74"/>
      <x:c r="J155" s="85"/>
      <x:c r="L155" s="86"/>
      <x:c r="M155" s="32"/>
    </x:row>
    <x:row r="156">
      <x:c r="A156" s="87"/>
      <x:c r="D156" s="32"/>
      <x:c r="I156" s="74"/>
      <x:c r="J156" s="85"/>
      <x:c r="L156" s="86"/>
      <x:c r="M156" s="32"/>
    </x:row>
    <x:row r="157">
      <x:c r="A157" s="87"/>
      <x:c r="D157" s="32"/>
      <x:c r="I157" s="74"/>
      <x:c r="J157" s="85"/>
      <x:c r="L157" s="86"/>
      <x:c r="M157" s="32"/>
    </x:row>
    <x:row r="158">
      <x:c r="A158" s="87"/>
      <x:c r="D158" s="32"/>
      <x:c r="I158" s="74"/>
      <x:c r="J158" s="85"/>
      <x:c r="L158" s="86"/>
      <x:c r="M158" s="32"/>
    </x:row>
    <x:row r="159">
      <x:c r="A159" s="87"/>
      <x:c r="D159" s="32"/>
      <x:c r="I159" s="74"/>
      <x:c r="J159" s="85"/>
      <x:c r="L159" s="86"/>
      <x:c r="M159" s="32"/>
    </x:row>
    <x:row r="160">
      <x:c r="A160" s="87"/>
      <x:c r="D160" s="32"/>
      <x:c r="I160" s="74"/>
      <x:c r="J160" s="85"/>
      <x:c r="L160" s="86"/>
      <x:c r="M160" s="32"/>
    </x:row>
    <x:row r="161">
      <x:c r="A161" s="87"/>
      <x:c r="D161" s="32"/>
      <x:c r="I161" s="74"/>
      <x:c r="J161" s="85"/>
      <x:c r="L161" s="86"/>
      <x:c r="M161" s="32"/>
    </x:row>
    <x:row r="162">
      <x:c r="A162" s="87"/>
      <x:c r="D162" s="32"/>
      <x:c r="I162" s="74"/>
      <x:c r="J162" s="85"/>
      <x:c r="L162" s="86"/>
      <x:c r="M162" s="32"/>
    </x:row>
    <x:row r="163">
      <x:c r="A163" s="87"/>
      <x:c r="D163" s="32"/>
      <x:c r="I163" s="74"/>
      <x:c r="J163" s="85"/>
      <x:c r="L163" s="86"/>
      <x:c r="M163" s="32"/>
    </x:row>
    <x:row r="164">
      <x:c r="A164" s="87"/>
      <x:c r="D164" s="32"/>
      <x:c r="I164" s="74"/>
      <x:c r="J164" s="85"/>
      <x:c r="L164" s="86"/>
      <x:c r="M164" s="32"/>
    </x:row>
    <x:row r="165">
      <x:c r="A165" s="87"/>
      <x:c r="D165" s="32"/>
      <x:c r="I165" s="74"/>
      <x:c r="J165" s="85"/>
      <x:c r="L165" s="86"/>
      <x:c r="M165" s="32"/>
    </x:row>
    <x:row r="166">
      <x:c r="A166" s="87"/>
      <x:c r="D166" s="32"/>
      <x:c r="I166" s="74"/>
      <x:c r="J166" s="85"/>
      <x:c r="L166" s="86"/>
      <x:c r="M166" s="32"/>
    </x:row>
    <x:row r="167">
      <x:c r="A167" s="87"/>
      <x:c r="D167" s="32"/>
      <x:c r="I167" s="74"/>
      <x:c r="J167" s="85"/>
      <x:c r="L167" s="86"/>
      <x:c r="M167" s="32"/>
    </x:row>
    <x:row r="168">
      <x:c r="A168" s="87"/>
      <x:c r="D168" s="32"/>
      <x:c r="I168" s="74"/>
      <x:c r="J168" s="85"/>
      <x:c r="L168" s="86"/>
      <x:c r="M168" s="32"/>
    </x:row>
    <x:row r="169">
      <x:c r="A169" s="87"/>
      <x:c r="D169" s="32"/>
      <x:c r="I169" s="74"/>
      <x:c r="J169" s="85"/>
      <x:c r="L169" s="86"/>
      <x:c r="M169" s="32"/>
    </x:row>
    <x:row r="170">
      <x:c r="A170" s="87"/>
      <x:c r="D170" s="32"/>
      <x:c r="I170" s="74"/>
      <x:c r="J170" s="85"/>
      <x:c r="L170" s="86"/>
      <x:c r="M170" s="32"/>
    </x:row>
    <x:row r="171">
      <x:c r="A171" s="87"/>
      <x:c r="D171" s="32"/>
      <x:c r="I171" s="74"/>
      <x:c r="J171" s="85"/>
      <x:c r="L171" s="86"/>
      <x:c r="M171" s="32"/>
    </x:row>
    <x:row r="172">
      <x:c r="A172" s="87"/>
      <x:c r="D172" s="32"/>
      <x:c r="I172" s="74"/>
      <x:c r="J172" s="85"/>
      <x:c r="L172" s="86"/>
      <x:c r="M172" s="32"/>
    </x:row>
    <x:row r="173">
      <x:c r="A173" s="87"/>
      <x:c r="D173" s="32"/>
      <x:c r="I173" s="74"/>
      <x:c r="J173" s="85"/>
      <x:c r="L173" s="86"/>
      <x:c r="M173" s="32"/>
    </x:row>
    <x:row r="174">
      <x:c r="A174" s="87"/>
      <x:c r="D174" s="32"/>
      <x:c r="I174" s="74"/>
      <x:c r="J174" s="85"/>
      <x:c r="L174" s="86"/>
      <x:c r="M174" s="32"/>
    </x:row>
    <x:row r="175">
      <x:c r="A175" s="87"/>
      <x:c r="D175" s="32"/>
      <x:c r="I175" s="74"/>
      <x:c r="J175" s="85"/>
      <x:c r="L175" s="86"/>
      <x:c r="M175" s="32"/>
    </x:row>
    <x:row r="176">
      <x:c r="A176" s="87"/>
      <x:c r="D176" s="32"/>
      <x:c r="I176" s="74"/>
      <x:c r="J176" s="85"/>
      <x:c r="L176" s="86"/>
      <x:c r="M176" s="32"/>
    </x:row>
    <x:row r="177">
      <x:c r="A177" s="87"/>
      <x:c r="D177" s="32"/>
      <x:c r="I177" s="74"/>
      <x:c r="J177" s="85"/>
      <x:c r="L177" s="86"/>
      <x:c r="M177" s="32"/>
    </x:row>
    <x:row r="178">
      <x:c r="A178" s="87"/>
      <x:c r="D178" s="32"/>
      <x:c r="I178" s="74"/>
      <x:c r="J178" s="85"/>
      <x:c r="L178" s="86"/>
      <x:c r="M178" s="32"/>
    </x:row>
    <x:row r="179">
      <x:c r="A179" s="87"/>
      <x:c r="D179" s="32"/>
      <x:c r="I179" s="74"/>
      <x:c r="J179" s="85"/>
      <x:c r="L179" s="86"/>
      <x:c r="M179" s="32"/>
    </x:row>
    <x:row r="180">
      <x:c r="A180" s="87"/>
      <x:c r="D180" s="32"/>
      <x:c r="I180" s="74"/>
      <x:c r="J180" s="85"/>
      <x:c r="L180" s="86"/>
      <x:c r="M180" s="32"/>
    </x:row>
    <x:row r="181">
      <x:c r="A181" s="87"/>
      <x:c r="D181" s="32"/>
      <x:c r="I181" s="74"/>
      <x:c r="J181" s="85"/>
      <x:c r="L181" s="86"/>
      <x:c r="M181" s="32"/>
    </x:row>
    <x:row r="182">
      <x:c r="A182" s="87"/>
      <x:c r="D182" s="32"/>
      <x:c r="I182" s="74"/>
      <x:c r="J182" s="85"/>
      <x:c r="L182" s="86"/>
      <x:c r="M182" s="32"/>
    </x:row>
    <x:row r="183">
      <x:c r="A183" s="87"/>
      <x:c r="D183" s="32"/>
      <x:c r="I183" s="74"/>
      <x:c r="J183" s="85"/>
      <x:c r="L183" s="86"/>
      <x:c r="M183" s="32"/>
    </x:row>
    <x:row r="184">
      <x:c r="A184" s="87"/>
      <x:c r="D184" s="32"/>
      <x:c r="I184" s="74"/>
      <x:c r="J184" s="85"/>
      <x:c r="L184" s="86"/>
      <x:c r="M184" s="32"/>
    </x:row>
    <x:row r="185">
      <x:c r="A185" s="87"/>
      <x:c r="D185" s="32"/>
      <x:c r="I185" s="74"/>
      <x:c r="J185" s="85"/>
      <x:c r="L185" s="86"/>
      <x:c r="M185" s="32"/>
    </x:row>
    <x:row r="186">
      <x:c r="A186" s="87"/>
      <x:c r="D186" s="32"/>
      <x:c r="I186" s="74"/>
      <x:c r="J186" s="85"/>
      <x:c r="L186" s="86"/>
      <x:c r="M186" s="32"/>
    </x:row>
    <x:row r="187">
      <x:c r="A187" s="87"/>
      <x:c r="D187" s="32"/>
      <x:c r="I187" s="74"/>
      <x:c r="J187" s="85"/>
      <x:c r="L187" s="86"/>
      <x:c r="M187" s="32"/>
    </x:row>
    <x:row r="188">
      <x:c r="A188" s="87"/>
      <x:c r="D188" s="32"/>
      <x:c r="I188" s="74"/>
      <x:c r="J188" s="85"/>
      <x:c r="L188" s="86"/>
      <x:c r="M188" s="32"/>
    </x:row>
    <x:row r="189">
      <x:c r="A189" s="87"/>
      <x:c r="D189" s="32"/>
      <x:c r="I189" s="74"/>
      <x:c r="J189" s="85"/>
      <x:c r="L189" s="86"/>
      <x:c r="M189" s="32"/>
    </x:row>
    <x:row r="190">
      <x:c r="A190" s="87"/>
      <x:c r="D190" s="32"/>
      <x:c r="I190" s="74"/>
      <x:c r="J190" s="85"/>
      <x:c r="L190" s="86"/>
      <x:c r="M190" s="32"/>
    </x:row>
    <x:row r="191">
      <x:c r="A191" s="87"/>
      <x:c r="D191" s="32"/>
      <x:c r="I191" s="74"/>
      <x:c r="J191" s="85"/>
      <x:c r="L191" s="86"/>
      <x:c r="M191" s="32"/>
    </x:row>
    <x:row r="192">
      <x:c r="A192" s="87"/>
      <x:c r="D192" s="32"/>
      <x:c r="I192" s="74"/>
      <x:c r="J192" s="85"/>
      <x:c r="L192" s="86"/>
      <x:c r="M192" s="32"/>
    </x:row>
    <x:row r="193">
      <x:c r="A193" s="87"/>
      <x:c r="D193" s="32"/>
      <x:c r="I193" s="74"/>
      <x:c r="J193" s="85"/>
      <x:c r="L193" s="86"/>
      <x:c r="M193" s="32"/>
    </x:row>
    <x:row r="194">
      <x:c r="A194" s="87"/>
      <x:c r="D194" s="32"/>
      <x:c r="I194" s="74"/>
      <x:c r="J194" s="85"/>
      <x:c r="L194" s="86"/>
      <x:c r="M194" s="32"/>
    </x:row>
    <x:row r="195">
      <x:c r="A195" s="87"/>
      <x:c r="D195" s="32"/>
      <x:c r="I195" s="74"/>
      <x:c r="J195" s="85"/>
      <x:c r="L195" s="86"/>
      <x:c r="M195" s="32"/>
    </x:row>
    <x:row r="196">
      <x:c r="A196" s="87"/>
      <x:c r="D196" s="32"/>
      <x:c r="I196" s="74"/>
      <x:c r="J196" s="85"/>
      <x:c r="L196" s="86"/>
      <x:c r="M196" s="32"/>
    </x:row>
    <x:row r="197">
      <x:c r="A197" s="87"/>
      <x:c r="D197" s="32"/>
      <x:c r="I197" s="74"/>
      <x:c r="J197" s="85"/>
      <x:c r="L197" s="86"/>
      <x:c r="M197" s="32"/>
    </x:row>
    <x:row r="198">
      <x:c r="A198" s="87"/>
      <x:c r="D198" s="32"/>
      <x:c r="I198" s="74"/>
      <x:c r="J198" s="85"/>
      <x:c r="L198" s="86"/>
      <x:c r="M198" s="32"/>
    </x:row>
    <x:row r="199">
      <x:c r="A199" s="87"/>
      <x:c r="D199" s="32"/>
      <x:c r="I199" s="74"/>
      <x:c r="J199" s="85"/>
      <x:c r="L199" s="86"/>
      <x:c r="M199" s="32"/>
    </x:row>
    <x:row r="200">
      <x:c r="A200" s="87"/>
      <x:c r="D200" s="32"/>
      <x:c r="I200" s="74"/>
      <x:c r="J200" s="85"/>
      <x:c r="L200" s="86"/>
      <x:c r="M200" s="32"/>
    </x:row>
    <x:row r="201">
      <x:c r="A201" s="87"/>
      <x:c r="D201" s="32"/>
      <x:c r="I201" s="74"/>
      <x:c r="J201" s="85"/>
      <x:c r="L201" s="86"/>
      <x:c r="M201" s="32"/>
    </x:row>
    <x:row r="202">
      <x:c r="A202" s="87"/>
      <x:c r="D202" s="32"/>
      <x:c r="I202" s="74"/>
      <x:c r="J202" s="85"/>
      <x:c r="L202" s="86"/>
      <x:c r="M202" s="32"/>
    </x:row>
    <x:row r="203">
      <x:c r="A203" s="87"/>
      <x:c r="D203" s="32"/>
      <x:c r="I203" s="74"/>
      <x:c r="J203" s="85"/>
      <x:c r="L203" s="86"/>
      <x:c r="M203" s="32"/>
    </x:row>
    <x:row r="204">
      <x:c r="A204" s="87"/>
      <x:c r="D204" s="32"/>
      <x:c r="I204" s="74"/>
      <x:c r="J204" s="85"/>
      <x:c r="L204" s="86"/>
      <x:c r="M204" s="32"/>
    </x:row>
    <x:row r="205">
      <x:c r="A205" s="87"/>
      <x:c r="D205" s="32"/>
      <x:c r="I205" s="74"/>
      <x:c r="J205" s="85"/>
      <x:c r="L205" s="86"/>
      <x:c r="M205" s="32"/>
    </x:row>
    <x:row r="206">
      <x:c r="A206" s="87"/>
      <x:c r="D206" s="32"/>
      <x:c r="I206" s="74"/>
      <x:c r="J206" s="85"/>
      <x:c r="L206" s="86"/>
      <x:c r="M206" s="32"/>
    </x:row>
    <x:row r="207">
      <x:c r="A207" s="87"/>
      <x:c r="D207" s="32"/>
      <x:c r="I207" s="74"/>
      <x:c r="J207" s="85"/>
      <x:c r="L207" s="86"/>
      <x:c r="M207" s="32"/>
    </x:row>
    <x:row r="208">
      <x:c r="A208" s="87"/>
      <x:c r="D208" s="32"/>
      <x:c r="I208" s="74"/>
      <x:c r="J208" s="85"/>
      <x:c r="L208" s="86"/>
      <x:c r="M208" s="32"/>
    </x:row>
    <x:row r="209">
      <x:c r="A209" s="87"/>
      <x:c r="D209" s="32"/>
      <x:c r="I209" s="74"/>
      <x:c r="J209" s="85"/>
      <x:c r="L209" s="86"/>
      <x:c r="M209" s="32"/>
    </x:row>
    <x:row r="210">
      <x:c r="A210" s="87"/>
      <x:c r="D210" s="32"/>
      <x:c r="I210" s="74"/>
      <x:c r="J210" s="85"/>
      <x:c r="L210" s="86"/>
      <x:c r="M210" s="32"/>
    </x:row>
    <x:row r="211">
      <x:c r="A211" s="87"/>
      <x:c r="D211" s="32"/>
      <x:c r="I211" s="74"/>
      <x:c r="J211" s="85"/>
      <x:c r="L211" s="86"/>
      <x:c r="M211" s="32"/>
    </x:row>
    <x:row r="212">
      <x:c r="A212" s="87"/>
      <x:c r="D212" s="32"/>
      <x:c r="I212" s="74"/>
      <x:c r="J212" s="85"/>
      <x:c r="L212" s="86"/>
      <x:c r="M212" s="32"/>
    </x:row>
    <x:row r="213">
      <x:c r="A213" s="87"/>
      <x:c r="D213" s="32"/>
      <x:c r="I213" s="74"/>
      <x:c r="J213" s="85"/>
      <x:c r="L213" s="86"/>
      <x:c r="M213" s="32"/>
    </x:row>
    <x:row r="214">
      <x:c r="A214" s="87"/>
      <x:c r="D214" s="32"/>
      <x:c r="I214" s="74"/>
      <x:c r="J214" s="85"/>
      <x:c r="L214" s="86"/>
      <x:c r="M214" s="32"/>
    </x:row>
    <x:row r="215">
      <x:c r="A215" s="87"/>
      <x:c r="D215" s="32"/>
      <x:c r="I215" s="74"/>
      <x:c r="J215" s="85"/>
      <x:c r="L215" s="86"/>
      <x:c r="M215" s="32"/>
    </x:row>
    <x:row r="216">
      <x:c r="A216" s="87"/>
      <x:c r="D216" s="32"/>
      <x:c r="I216" s="74"/>
      <x:c r="J216" s="85"/>
      <x:c r="L216" s="86"/>
      <x:c r="M216" s="32"/>
    </x:row>
    <x:row r="217">
      <x:c r="A217" s="87"/>
      <x:c r="D217" s="32"/>
      <x:c r="I217" s="74"/>
      <x:c r="J217" s="85"/>
      <x:c r="L217" s="86"/>
      <x:c r="M217" s="32"/>
    </x:row>
    <x:row r="218">
      <x:c r="A218" s="87"/>
      <x:c r="D218" s="32"/>
      <x:c r="I218" s="74"/>
      <x:c r="J218" s="85"/>
      <x:c r="L218" s="86"/>
      <x:c r="M218" s="32"/>
    </x:row>
    <x:row r="219">
      <x:c r="A219" s="87"/>
      <x:c r="D219" s="32"/>
      <x:c r="I219" s="74"/>
      <x:c r="J219" s="85"/>
      <x:c r="L219" s="86"/>
      <x:c r="M219" s="32"/>
    </x:row>
    <x:row r="220">
      <x:c r="A220" s="87"/>
      <x:c r="D220" s="32"/>
      <x:c r="I220" s="74"/>
      <x:c r="J220" s="85"/>
      <x:c r="L220" s="86"/>
      <x:c r="M220" s="32"/>
    </x:row>
    <x:row r="221">
      <x:c r="A221" s="87"/>
      <x:c r="D221" s="32"/>
      <x:c r="I221" s="74"/>
      <x:c r="J221" s="85"/>
      <x:c r="L221" s="86"/>
      <x:c r="M221" s="32"/>
    </x:row>
    <x:row r="222">
      <x:c r="A222" s="87"/>
      <x:c r="D222" s="32"/>
      <x:c r="I222" s="74"/>
      <x:c r="J222" s="85"/>
      <x:c r="L222" s="86"/>
      <x:c r="M222" s="32"/>
    </x:row>
    <x:row r="223">
      <x:c r="A223" s="87"/>
      <x:c r="D223" s="32"/>
      <x:c r="I223" s="74"/>
      <x:c r="J223" s="85"/>
      <x:c r="L223" s="86"/>
      <x:c r="M223" s="32"/>
    </x:row>
    <x:row r="224">
      <x:c r="A224" s="87"/>
      <x:c r="D224" s="32"/>
      <x:c r="I224" s="74"/>
      <x:c r="J224" s="85"/>
      <x:c r="L224" s="86"/>
      <x:c r="M224" s="32"/>
    </x:row>
    <x:row r="225">
      <x:c r="A225" s="87"/>
      <x:c r="D225" s="32"/>
      <x:c r="I225" s="74"/>
      <x:c r="J225" s="85"/>
      <x:c r="L225" s="86"/>
      <x:c r="M225" s="32"/>
    </x:row>
    <x:row r="226">
      <x:c r="A226" s="87"/>
      <x:c r="D226" s="32"/>
      <x:c r="I226" s="74"/>
      <x:c r="J226" s="85"/>
      <x:c r="L226" s="86"/>
      <x:c r="M226" s="32"/>
    </x:row>
    <x:row r="227">
      <x:c r="A227" s="87"/>
      <x:c r="D227" s="32"/>
      <x:c r="I227" s="74"/>
      <x:c r="J227" s="85"/>
      <x:c r="L227" s="86"/>
      <x:c r="M227" s="32"/>
    </x:row>
    <x:row r="228">
      <x:c r="A228" s="87"/>
      <x:c r="D228" s="32"/>
      <x:c r="I228" s="74"/>
      <x:c r="J228" s="85"/>
      <x:c r="L228" s="86"/>
      <x:c r="M228" s="32"/>
    </x:row>
    <x:row r="229">
      <x:c r="A229" s="87"/>
      <x:c r="D229" s="32"/>
      <x:c r="I229" s="74"/>
      <x:c r="J229" s="85"/>
      <x:c r="L229" s="86"/>
      <x:c r="M229" s="32"/>
    </x:row>
    <x:row r="230">
      <x:c r="A230" s="87"/>
      <x:c r="D230" s="32"/>
      <x:c r="I230" s="74"/>
      <x:c r="J230" s="85"/>
      <x:c r="L230" s="86"/>
      <x:c r="M230" s="32"/>
    </x:row>
    <x:row r="231">
      <x:c r="A231" s="87"/>
      <x:c r="D231" s="32"/>
      <x:c r="I231" s="74"/>
      <x:c r="J231" s="85"/>
      <x:c r="L231" s="86"/>
      <x:c r="M231" s="32"/>
    </x:row>
    <x:row r="232">
      <x:c r="A232" s="87"/>
      <x:c r="D232" s="32"/>
      <x:c r="I232" s="74"/>
      <x:c r="J232" s="85"/>
      <x:c r="L232" s="86"/>
      <x:c r="M232" s="32"/>
    </x:row>
    <x:row r="233">
      <x:c r="A233" s="87"/>
      <x:c r="D233" s="32"/>
      <x:c r="I233" s="74"/>
      <x:c r="J233" s="85"/>
      <x:c r="L233" s="86"/>
      <x:c r="M233" s="32"/>
    </x:row>
    <x:row r="234">
      <x:c r="A234" s="87"/>
      <x:c r="D234" s="32"/>
      <x:c r="I234" s="74"/>
      <x:c r="J234" s="85"/>
      <x:c r="L234" s="86"/>
      <x:c r="M234" s="32"/>
    </x:row>
    <x:row r="235">
      <x:c r="A235" s="87"/>
      <x:c r="D235" s="32"/>
      <x:c r="I235" s="74"/>
      <x:c r="J235" s="85"/>
      <x:c r="L235" s="86"/>
      <x:c r="M235" s="32"/>
    </x:row>
    <x:row r="236">
      <x:c r="A236" s="87"/>
      <x:c r="D236" s="32"/>
      <x:c r="I236" s="74"/>
      <x:c r="J236" s="85"/>
      <x:c r="L236" s="86"/>
      <x:c r="M236" s="32"/>
    </x:row>
    <x:row r="237">
      <x:c r="A237" s="87"/>
      <x:c r="D237" s="32"/>
      <x:c r="I237" s="74"/>
      <x:c r="J237" s="85"/>
      <x:c r="L237" s="86"/>
      <x:c r="M237" s="32"/>
    </x:row>
    <x:row r="238">
      <x:c r="A238" s="87"/>
      <x:c r="D238" s="32"/>
      <x:c r="I238" s="74"/>
      <x:c r="J238" s="85"/>
      <x:c r="L238" s="86"/>
      <x:c r="M238" s="32"/>
    </x:row>
    <x:row r="239">
      <x:c r="A239" s="87"/>
      <x:c r="D239" s="32"/>
      <x:c r="I239" s="74"/>
      <x:c r="J239" s="85"/>
      <x:c r="L239" s="86"/>
      <x:c r="M239" s="32"/>
    </x:row>
    <x:row r="240">
      <x:c r="A240" s="87"/>
      <x:c r="D240" s="32"/>
      <x:c r="I240" s="74"/>
      <x:c r="J240" s="85"/>
      <x:c r="L240" s="86"/>
      <x:c r="M240" s="32"/>
    </x:row>
    <x:row r="241">
      <x:c r="A241" s="87"/>
      <x:c r="D241" s="32"/>
      <x:c r="I241" s="74"/>
      <x:c r="J241" s="85"/>
      <x:c r="L241" s="86"/>
      <x:c r="M241" s="32"/>
    </x:row>
    <x:row r="242">
      <x:c r="A242" s="87"/>
      <x:c r="D242" s="32"/>
      <x:c r="I242" s="74"/>
      <x:c r="J242" s="85"/>
      <x:c r="L242" s="86"/>
      <x:c r="M242" s="32"/>
    </x:row>
    <x:row r="243">
      <x:c r="A243" s="87"/>
      <x:c r="D243" s="32"/>
      <x:c r="I243" s="74"/>
      <x:c r="J243" s="85"/>
      <x:c r="L243" s="86"/>
      <x:c r="M243" s="32"/>
    </x:row>
    <x:row r="244">
      <x:c r="A244" s="87"/>
      <x:c r="D244" s="32"/>
      <x:c r="I244" s="74"/>
      <x:c r="J244" s="85"/>
      <x:c r="L244" s="86"/>
      <x:c r="M244" s="32"/>
    </x:row>
    <x:row r="245">
      <x:c r="A245" s="87"/>
      <x:c r="D245" s="32"/>
      <x:c r="I245" s="74"/>
      <x:c r="J245" s="85"/>
      <x:c r="L245" s="86"/>
      <x:c r="M245" s="32"/>
    </x:row>
    <x:row r="246">
      <x:c r="A246" s="87"/>
      <x:c r="D246" s="32"/>
      <x:c r="I246" s="74"/>
      <x:c r="J246" s="85"/>
      <x:c r="L246" s="86"/>
      <x:c r="M246" s="32"/>
    </x:row>
    <x:row r="247">
      <x:c r="A247" s="87"/>
      <x:c r="D247" s="32"/>
      <x:c r="I247" s="74"/>
      <x:c r="J247" s="85"/>
      <x:c r="L247" s="86"/>
      <x:c r="M247" s="32"/>
    </x:row>
    <x:row r="248">
      <x:c r="A248" s="87"/>
      <x:c r="D248" s="32"/>
      <x:c r="I248" s="74"/>
      <x:c r="J248" s="85"/>
      <x:c r="L248" s="86"/>
      <x:c r="M248" s="32"/>
    </x:row>
    <x:row r="249">
      <x:c r="A249" s="87"/>
      <x:c r="D249" s="32"/>
      <x:c r="I249" s="74"/>
      <x:c r="J249" s="85"/>
      <x:c r="L249" s="86"/>
      <x:c r="M249" s="32"/>
    </x:row>
    <x:row r="250">
      <x:c r="A250" s="87"/>
      <x:c r="D250" s="32"/>
      <x:c r="I250" s="74"/>
      <x:c r="J250" s="85"/>
      <x:c r="L250" s="86"/>
      <x:c r="M250" s="32"/>
    </x:row>
    <x:row r="251">
      <x:c r="A251" s="87"/>
      <x:c r="D251" s="32"/>
      <x:c r="I251" s="74"/>
      <x:c r="J251" s="85"/>
      <x:c r="L251" s="86"/>
      <x:c r="M251" s="32"/>
    </x:row>
    <x:row r="252">
      <x:c r="A252" s="87"/>
      <x:c r="D252" s="32"/>
      <x:c r="I252" s="74"/>
      <x:c r="J252" s="85"/>
      <x:c r="L252" s="86"/>
      <x:c r="M252" s="32"/>
    </x:row>
    <x:row r="253">
      <x:c r="A253" s="87"/>
      <x:c r="D253" s="32"/>
      <x:c r="I253" s="74"/>
      <x:c r="J253" s="85"/>
      <x:c r="L253" s="86"/>
      <x:c r="M253" s="32"/>
    </x:row>
    <x:row r="254">
      <x:c r="A254" s="87"/>
      <x:c r="D254" s="32"/>
      <x:c r="I254" s="74"/>
      <x:c r="J254" s="85"/>
      <x:c r="L254" s="86"/>
      <x:c r="M254" s="32"/>
    </x:row>
    <x:row r="255">
      <x:c r="A255" s="87"/>
      <x:c r="D255" s="32"/>
      <x:c r="I255" s="74"/>
      <x:c r="J255" s="85"/>
      <x:c r="L255" s="86"/>
      <x:c r="M255" s="32"/>
    </x:row>
    <x:row r="256">
      <x:c r="A256" s="87"/>
      <x:c r="D256" s="32"/>
      <x:c r="I256" s="74"/>
      <x:c r="J256" s="85"/>
      <x:c r="L256" s="86"/>
      <x:c r="M256" s="32"/>
    </x:row>
    <x:row r="257">
      <x:c r="A257" s="87"/>
      <x:c r="D257" s="32"/>
      <x:c r="I257" s="74"/>
      <x:c r="J257" s="85"/>
      <x:c r="L257" s="86"/>
      <x:c r="M257" s="32"/>
    </x:row>
    <x:row r="258">
      <x:c r="A258" s="87"/>
      <x:c r="D258" s="32"/>
      <x:c r="I258" s="74"/>
      <x:c r="J258" s="85"/>
      <x:c r="L258" s="86"/>
      <x:c r="M258" s="32"/>
    </x:row>
    <x:row r="259">
      <x:c r="A259" s="87"/>
      <x:c r="D259" s="32"/>
      <x:c r="I259" s="74"/>
      <x:c r="J259" s="85"/>
      <x:c r="L259" s="86"/>
      <x:c r="M259" s="32"/>
    </x:row>
    <x:row r="260">
      <x:c r="A260" s="87"/>
      <x:c r="D260" s="32"/>
      <x:c r="I260" s="74"/>
      <x:c r="J260" s="85"/>
      <x:c r="L260" s="86"/>
      <x:c r="M260" s="32"/>
    </x:row>
    <x:row r="261">
      <x:c r="A261" s="87"/>
      <x:c r="D261" s="32"/>
      <x:c r="I261" s="74"/>
      <x:c r="J261" s="85"/>
      <x:c r="L261" s="86"/>
      <x:c r="M261" s="32"/>
    </x:row>
    <x:row r="262">
      <x:c r="A262" s="87"/>
      <x:c r="D262" s="32"/>
      <x:c r="I262" s="74"/>
      <x:c r="J262" s="85"/>
      <x:c r="L262" s="86"/>
      <x:c r="M262" s="32"/>
    </x:row>
    <x:row r="263">
      <x:c r="A263" s="87"/>
      <x:c r="D263" s="32"/>
      <x:c r="I263" s="74"/>
      <x:c r="J263" s="85"/>
      <x:c r="L263" s="86"/>
      <x:c r="M263" s="32"/>
    </x:row>
    <x:row r="264">
      <x:c r="A264" s="87"/>
      <x:c r="D264" s="32"/>
      <x:c r="I264" s="74"/>
      <x:c r="J264" s="85"/>
      <x:c r="L264" s="86"/>
      <x:c r="M264" s="32"/>
    </x:row>
    <x:row r="265">
      <x:c r="A265" s="87"/>
      <x:c r="D265" s="32"/>
      <x:c r="I265" s="74"/>
      <x:c r="J265" s="85"/>
      <x:c r="L265" s="86"/>
      <x:c r="M265" s="32"/>
    </x:row>
    <x:row r="266">
      <x:c r="A266" s="87"/>
      <x:c r="D266" s="32"/>
      <x:c r="I266" s="74"/>
      <x:c r="J266" s="85"/>
      <x:c r="L266" s="86"/>
      <x:c r="M266" s="32"/>
    </x:row>
    <x:row r="267">
      <x:c r="A267" s="87"/>
      <x:c r="D267" s="32"/>
      <x:c r="I267" s="74"/>
      <x:c r="J267" s="85"/>
      <x:c r="L267" s="86"/>
      <x:c r="M267" s="32"/>
    </x:row>
    <x:row r="268">
      <x:c r="A268" s="87"/>
      <x:c r="D268" s="32"/>
      <x:c r="I268" s="74"/>
      <x:c r="J268" s="85"/>
      <x:c r="L268" s="86"/>
      <x:c r="M268" s="32"/>
    </x:row>
    <x:row r="269">
      <x:c r="A269" s="87"/>
      <x:c r="D269" s="32"/>
      <x:c r="I269" s="74"/>
      <x:c r="J269" s="85"/>
      <x:c r="L269" s="86"/>
      <x:c r="M269" s="32"/>
    </x:row>
    <x:row r="270">
      <x:c r="A270" s="87"/>
      <x:c r="D270" s="32"/>
      <x:c r="I270" s="74"/>
      <x:c r="J270" s="85"/>
      <x:c r="L270" s="86"/>
      <x:c r="M270" s="32"/>
    </x:row>
    <x:row r="271">
      <x:c r="A271" s="87"/>
      <x:c r="D271" s="32"/>
      <x:c r="I271" s="74"/>
      <x:c r="J271" s="85"/>
      <x:c r="L271" s="86"/>
      <x:c r="M271" s="32"/>
    </x:row>
    <x:row r="272">
      <x:c r="A272" s="87"/>
      <x:c r="D272" s="32"/>
      <x:c r="I272" s="74"/>
      <x:c r="J272" s="85"/>
      <x:c r="L272" s="86"/>
      <x:c r="M272" s="32"/>
    </x:row>
    <x:row r="273">
      <x:c r="A273" s="87"/>
      <x:c r="D273" s="32"/>
      <x:c r="I273" s="74"/>
      <x:c r="J273" s="85"/>
      <x:c r="L273" s="86"/>
      <x:c r="M273" s="32"/>
    </x:row>
    <x:row r="274">
      <x:c r="A274" s="87"/>
      <x:c r="D274" s="32"/>
      <x:c r="I274" s="74"/>
      <x:c r="J274" s="85"/>
      <x:c r="L274" s="86"/>
      <x:c r="M274" s="32"/>
    </x:row>
    <x:row r="275">
      <x:c r="A275" s="87"/>
      <x:c r="D275" s="32"/>
      <x:c r="I275" s="74"/>
      <x:c r="J275" s="85"/>
      <x:c r="L275" s="86"/>
      <x:c r="M275" s="32"/>
    </x:row>
    <x:row r="276">
      <x:c r="A276" s="87"/>
      <x:c r="D276" s="32"/>
      <x:c r="I276" s="74"/>
      <x:c r="J276" s="85"/>
      <x:c r="L276" s="86"/>
      <x:c r="M276" s="32"/>
    </x:row>
    <x:row r="277">
      <x:c r="A277" s="87"/>
      <x:c r="D277" s="32"/>
      <x:c r="I277" s="74"/>
      <x:c r="J277" s="85"/>
      <x:c r="L277" s="86"/>
      <x:c r="M277" s="32"/>
    </x:row>
    <x:row r="278">
      <x:c r="A278" s="87"/>
      <x:c r="D278" s="32"/>
      <x:c r="I278" s="74"/>
      <x:c r="J278" s="85"/>
      <x:c r="L278" s="86"/>
      <x:c r="M278" s="32"/>
    </x:row>
    <x:row r="279">
      <x:c r="A279" s="87"/>
      <x:c r="D279" s="32"/>
      <x:c r="I279" s="74"/>
      <x:c r="J279" s="85"/>
      <x:c r="L279" s="86"/>
      <x:c r="M279" s="32"/>
    </x:row>
    <x:row r="280">
      <x:c r="A280" s="87"/>
      <x:c r="D280" s="32"/>
      <x:c r="I280" s="74"/>
      <x:c r="J280" s="85"/>
      <x:c r="L280" s="86"/>
      <x:c r="M280" s="32"/>
    </x:row>
    <x:row r="281">
      <x:c r="A281" s="87"/>
      <x:c r="D281" s="32"/>
      <x:c r="I281" s="74"/>
      <x:c r="J281" s="85"/>
      <x:c r="L281" s="86"/>
      <x:c r="M281" s="32"/>
    </x:row>
    <x:row r="282">
      <x:c r="A282" s="87"/>
      <x:c r="D282" s="32"/>
      <x:c r="I282" s="74"/>
      <x:c r="J282" s="85"/>
      <x:c r="L282" s="86"/>
      <x:c r="M282" s="32"/>
    </x:row>
    <x:row r="283">
      <x:c r="A283" s="87"/>
      <x:c r="D283" s="32"/>
      <x:c r="I283" s="74"/>
      <x:c r="J283" s="85"/>
      <x:c r="L283" s="86"/>
      <x:c r="M283" s="32"/>
    </x:row>
    <x:row r="284">
      <x:c r="A284" s="87"/>
      <x:c r="D284" s="32"/>
      <x:c r="I284" s="74"/>
      <x:c r="J284" s="85"/>
      <x:c r="L284" s="86"/>
      <x:c r="M284" s="32"/>
    </x:row>
    <x:row r="285">
      <x:c r="A285" s="87"/>
      <x:c r="D285" s="32"/>
      <x:c r="I285" s="74"/>
      <x:c r="J285" s="85"/>
      <x:c r="L285" s="86"/>
      <x:c r="M285" s="32"/>
    </x:row>
    <x:row r="286">
      <x:c r="A286" s="87"/>
      <x:c r="D286" s="32"/>
      <x:c r="I286" s="74"/>
      <x:c r="J286" s="85"/>
      <x:c r="L286" s="86"/>
      <x:c r="M286" s="32"/>
    </x:row>
    <x:row r="287">
      <x:c r="A287" s="87"/>
      <x:c r="D287" s="32"/>
      <x:c r="I287" s="74"/>
      <x:c r="J287" s="85"/>
      <x:c r="L287" s="86"/>
      <x:c r="M287" s="32"/>
    </x:row>
    <x:row r="288">
      <x:c r="A288" s="87"/>
      <x:c r="D288" s="32"/>
      <x:c r="I288" s="74"/>
      <x:c r="J288" s="85"/>
      <x:c r="L288" s="86"/>
      <x:c r="M288" s="32"/>
    </x:row>
    <x:row r="289">
      <x:c r="A289" s="87"/>
      <x:c r="D289" s="32"/>
      <x:c r="I289" s="74"/>
      <x:c r="J289" s="85"/>
      <x:c r="L289" s="86"/>
      <x:c r="M289" s="32"/>
    </x:row>
    <x:row r="290">
      <x:c r="A290" s="87"/>
      <x:c r="D290" s="32"/>
      <x:c r="I290" s="74"/>
      <x:c r="J290" s="85"/>
      <x:c r="L290" s="86"/>
      <x:c r="M290" s="32"/>
    </x:row>
    <x:row r="291">
      <x:c r="A291" s="87"/>
      <x:c r="D291" s="32"/>
      <x:c r="I291" s="74"/>
      <x:c r="J291" s="85"/>
      <x:c r="L291" s="86"/>
      <x:c r="M291" s="32"/>
    </x:row>
    <x:row r="292">
      <x:c r="A292" s="87"/>
      <x:c r="D292" s="32"/>
      <x:c r="I292" s="74"/>
      <x:c r="J292" s="85"/>
      <x:c r="L292" s="86"/>
      <x:c r="M292" s="32"/>
    </x:row>
    <x:row r="293">
      <x:c r="A293" s="87"/>
      <x:c r="D293" s="32"/>
      <x:c r="I293" s="74"/>
      <x:c r="J293" s="85"/>
      <x:c r="L293" s="86"/>
      <x:c r="M293" s="32"/>
    </x:row>
    <x:row r="294">
      <x:c r="A294" s="87"/>
      <x:c r="D294" s="32"/>
      <x:c r="I294" s="74"/>
      <x:c r="J294" s="85"/>
      <x:c r="L294" s="86"/>
      <x:c r="M294" s="32"/>
    </x:row>
    <x:row r="295">
      <x:c r="A295" s="87"/>
      <x:c r="D295" s="32"/>
      <x:c r="I295" s="74"/>
      <x:c r="J295" s="85"/>
      <x:c r="L295" s="86"/>
      <x:c r="M295" s="32"/>
    </x:row>
    <x:row r="296">
      <x:c r="A296" s="87"/>
      <x:c r="D296" s="32"/>
      <x:c r="I296" s="74"/>
      <x:c r="J296" s="85"/>
      <x:c r="L296" s="86"/>
      <x:c r="M296" s="32"/>
    </x:row>
    <x:row r="297">
      <x:c r="A297" s="87"/>
      <x:c r="D297" s="32"/>
      <x:c r="I297" s="74"/>
      <x:c r="J297" s="85"/>
      <x:c r="L297" s="86"/>
      <x:c r="M297" s="32"/>
    </x:row>
    <x:row r="298">
      <x:c r="A298" s="87"/>
      <x:c r="D298" s="32"/>
      <x:c r="I298" s="74"/>
      <x:c r="J298" s="85"/>
      <x:c r="L298" s="86"/>
      <x:c r="M298" s="32"/>
    </x:row>
    <x:row r="299">
      <x:c r="A299" s="87"/>
      <x:c r="D299" s="32"/>
      <x:c r="I299" s="74"/>
      <x:c r="J299" s="85"/>
      <x:c r="L299" s="86"/>
      <x:c r="M299" s="32"/>
    </x:row>
    <x:row r="300">
      <x:c r="A300" s="87"/>
      <x:c r="D300" s="32"/>
      <x:c r="I300" s="74"/>
      <x:c r="J300" s="85"/>
      <x:c r="L300" s="86"/>
      <x:c r="M300" s="32"/>
    </x:row>
    <x:row r="301">
      <x:c r="A301" s="87"/>
      <x:c r="D301" s="32"/>
      <x:c r="I301" s="74"/>
      <x:c r="J301" s="85"/>
      <x:c r="L301" s="86"/>
      <x:c r="M301" s="32"/>
    </x:row>
    <x:row r="302">
      <x:c r="A302" s="87"/>
      <x:c r="D302" s="32"/>
      <x:c r="I302" s="74"/>
      <x:c r="J302" s="85"/>
      <x:c r="L302" s="86"/>
      <x:c r="M302" s="32"/>
    </x:row>
    <x:row r="303">
      <x:c r="A303" s="87"/>
      <x:c r="D303" s="32"/>
      <x:c r="I303" s="74"/>
      <x:c r="J303" s="85"/>
      <x:c r="L303" s="86"/>
      <x:c r="M303" s="32"/>
    </x:row>
    <x:row r="304">
      <x:c r="A304" s="87"/>
      <x:c r="D304" s="32"/>
      <x:c r="I304" s="74"/>
      <x:c r="J304" s="85"/>
      <x:c r="L304" s="86"/>
      <x:c r="M304" s="32"/>
    </x:row>
    <x:row r="305">
      <x:c r="A305" s="87"/>
      <x:c r="D305" s="32"/>
      <x:c r="I305" s="74"/>
      <x:c r="J305" s="85"/>
      <x:c r="L305" s="86"/>
      <x:c r="M305" s="32"/>
    </x:row>
    <x:row r="306">
      <x:c r="A306" s="87"/>
      <x:c r="D306" s="32"/>
      <x:c r="I306" s="74"/>
      <x:c r="J306" s="85"/>
      <x:c r="L306" s="86"/>
      <x:c r="M306" s="32"/>
    </x:row>
    <x:row r="307">
      <x:c r="A307" s="87"/>
      <x:c r="D307" s="32"/>
      <x:c r="I307" s="74"/>
      <x:c r="J307" s="85"/>
      <x:c r="L307" s="86"/>
      <x:c r="M307" s="32"/>
    </x:row>
    <x:row r="308">
      <x:c r="A308" s="87"/>
      <x:c r="D308" s="32"/>
      <x:c r="I308" s="74"/>
      <x:c r="J308" s="85"/>
      <x:c r="L308" s="86"/>
      <x:c r="M308" s="32"/>
    </x:row>
    <x:row r="309">
      <x:c r="A309" s="87"/>
      <x:c r="D309" s="32"/>
      <x:c r="I309" s="74"/>
      <x:c r="J309" s="85"/>
      <x:c r="L309" s="86"/>
      <x:c r="M309" s="32"/>
    </x:row>
    <x:row r="310">
      <x:c r="A310" s="87"/>
      <x:c r="D310" s="32"/>
      <x:c r="I310" s="74"/>
      <x:c r="J310" s="85"/>
      <x:c r="L310" s="86"/>
      <x:c r="M310" s="32"/>
    </x:row>
    <x:row r="311">
      <x:c r="A311" s="87"/>
      <x:c r="D311" s="32"/>
      <x:c r="I311" s="74"/>
      <x:c r="J311" s="85"/>
      <x:c r="L311" s="86"/>
      <x:c r="M311" s="32"/>
    </x:row>
    <x:row r="312">
      <x:c r="A312" s="87"/>
      <x:c r="D312" s="32"/>
      <x:c r="I312" s="74"/>
      <x:c r="J312" s="85"/>
      <x:c r="L312" s="86"/>
      <x:c r="M312" s="32"/>
    </x:row>
    <x:row r="313">
      <x:c r="A313" s="87"/>
      <x:c r="D313" s="32"/>
      <x:c r="I313" s="74"/>
      <x:c r="J313" s="85"/>
      <x:c r="L313" s="86"/>
      <x:c r="M313" s="32"/>
    </x:row>
    <x:row r="314">
      <x:c r="A314" s="87"/>
      <x:c r="D314" s="32"/>
      <x:c r="I314" s="74"/>
      <x:c r="J314" s="85"/>
      <x:c r="L314" s="86"/>
      <x:c r="M314" s="32"/>
    </x:row>
    <x:row r="315">
      <x:c r="A315" s="87"/>
      <x:c r="D315" s="32"/>
      <x:c r="I315" s="74"/>
      <x:c r="J315" s="85"/>
      <x:c r="L315" s="86"/>
      <x:c r="M315" s="32"/>
    </x:row>
    <x:row r="316">
      <x:c r="A316" s="87"/>
      <x:c r="D316" s="32"/>
      <x:c r="I316" s="74"/>
      <x:c r="J316" s="85"/>
      <x:c r="L316" s="86"/>
      <x:c r="M316" s="32"/>
    </x:row>
    <x:row r="317">
      <x:c r="A317" s="87"/>
      <x:c r="D317" s="32"/>
      <x:c r="I317" s="74"/>
      <x:c r="J317" s="85"/>
      <x:c r="L317" s="86"/>
      <x:c r="M317" s="32"/>
    </x:row>
    <x:row r="318">
      <x:c r="A318" s="87"/>
      <x:c r="D318" s="32"/>
      <x:c r="I318" s="74"/>
      <x:c r="J318" s="85"/>
      <x:c r="L318" s="86"/>
      <x:c r="M318" s="32"/>
    </x:row>
    <x:row r="319">
      <x:c r="A319" s="87"/>
      <x:c r="D319" s="32"/>
      <x:c r="I319" s="74"/>
      <x:c r="J319" s="85"/>
      <x:c r="L319" s="86"/>
      <x:c r="M319" s="32"/>
    </x:row>
    <x:row r="320">
      <x:c r="A320" s="87"/>
      <x:c r="D320" s="32"/>
      <x:c r="I320" s="74"/>
      <x:c r="J320" s="85"/>
      <x:c r="L320" s="86"/>
      <x:c r="M320" s="32"/>
    </x:row>
    <x:row r="321">
      <x:c r="A321" s="87"/>
      <x:c r="D321" s="32"/>
      <x:c r="I321" s="74"/>
      <x:c r="J321" s="85"/>
      <x:c r="L321" s="86"/>
      <x:c r="M321" s="32"/>
    </x:row>
    <x:row r="322">
      <x:c r="A322" s="87"/>
      <x:c r="D322" s="32"/>
      <x:c r="I322" s="74"/>
      <x:c r="J322" s="85"/>
      <x:c r="L322" s="86"/>
      <x:c r="M322" s="32"/>
    </x:row>
    <x:row r="323">
      <x:c r="A323" s="87"/>
      <x:c r="D323" s="32"/>
      <x:c r="I323" s="74"/>
      <x:c r="J323" s="85"/>
      <x:c r="L323" s="86"/>
      <x:c r="M323" s="32"/>
    </x:row>
    <x:row r="324">
      <x:c r="A324" s="87"/>
      <x:c r="D324" s="32"/>
      <x:c r="I324" s="74"/>
      <x:c r="J324" s="85"/>
      <x:c r="L324" s="86"/>
      <x:c r="M324" s="32"/>
    </x:row>
    <x:row r="325">
      <x:c r="A325" s="87"/>
      <x:c r="D325" s="32"/>
      <x:c r="I325" s="74"/>
      <x:c r="J325" s="85"/>
      <x:c r="L325" s="86"/>
      <x:c r="M325" s="32"/>
    </x:row>
    <x:row r="326">
      <x:c r="A326" s="87"/>
      <x:c r="D326" s="32"/>
      <x:c r="I326" s="74"/>
      <x:c r="J326" s="85"/>
      <x:c r="L326" s="86"/>
      <x:c r="M326" s="32"/>
    </x:row>
    <x:row r="327">
      <x:c r="A327" s="87"/>
      <x:c r="D327" s="32"/>
      <x:c r="I327" s="74"/>
      <x:c r="J327" s="85"/>
      <x:c r="L327" s="86"/>
      <x:c r="M327" s="32"/>
    </x:row>
    <x:row r="328">
      <x:c r="A328" s="87"/>
      <x:c r="D328" s="32"/>
      <x:c r="I328" s="74"/>
      <x:c r="J328" s="85"/>
      <x:c r="L328" s="86"/>
      <x:c r="M328" s="32"/>
    </x:row>
    <x:row r="329">
      <x:c r="A329" s="87"/>
      <x:c r="D329" s="32"/>
      <x:c r="I329" s="74"/>
      <x:c r="J329" s="85"/>
      <x:c r="L329" s="86"/>
      <x:c r="M329" s="32"/>
    </x:row>
    <x:row r="330">
      <x:c r="A330" s="87"/>
      <x:c r="D330" s="32"/>
      <x:c r="I330" s="74"/>
      <x:c r="J330" s="85"/>
      <x:c r="L330" s="86"/>
      <x:c r="M330" s="32"/>
    </x:row>
    <x:row r="331">
      <x:c r="A331" s="87"/>
      <x:c r="D331" s="32"/>
      <x:c r="I331" s="74"/>
      <x:c r="J331" s="85"/>
      <x:c r="L331" s="86"/>
      <x:c r="M331" s="32"/>
    </x:row>
    <x:row r="332">
      <x:c r="A332" s="87"/>
      <x:c r="D332" s="32"/>
      <x:c r="I332" s="74"/>
      <x:c r="J332" s="85"/>
      <x:c r="L332" s="86"/>
      <x:c r="M332" s="32"/>
    </x:row>
    <x:row r="333">
      <x:c r="A333" s="87"/>
      <x:c r="D333" s="32"/>
      <x:c r="I333" s="74"/>
      <x:c r="J333" s="85"/>
      <x:c r="L333" s="86"/>
      <x:c r="M333" s="32"/>
    </x:row>
    <x:row r="334">
      <x:c r="A334" s="87"/>
      <x:c r="D334" s="32"/>
      <x:c r="I334" s="74"/>
      <x:c r="J334" s="85"/>
      <x:c r="L334" s="86"/>
      <x:c r="M334" s="32"/>
    </x:row>
    <x:row r="335">
      <x:c r="A335" s="87"/>
      <x:c r="D335" s="32"/>
      <x:c r="I335" s="74"/>
      <x:c r="J335" s="85"/>
      <x:c r="L335" s="86"/>
      <x:c r="M335" s="32"/>
    </x:row>
    <x:row r="336">
      <x:c r="A336" s="87"/>
      <x:c r="D336" s="32"/>
      <x:c r="I336" s="74"/>
      <x:c r="J336" s="85"/>
      <x:c r="L336" s="86"/>
      <x:c r="M336" s="32"/>
    </x:row>
    <x:row r="337">
      <x:c r="A337" s="87"/>
      <x:c r="D337" s="32"/>
      <x:c r="I337" s="74"/>
      <x:c r="J337" s="85"/>
      <x:c r="L337" s="86"/>
      <x:c r="M337" s="32"/>
    </x:row>
    <x:row r="338">
      <x:c r="A338" s="87"/>
      <x:c r="D338" s="32"/>
      <x:c r="I338" s="74"/>
      <x:c r="J338" s="85"/>
      <x:c r="L338" s="86"/>
      <x:c r="M338" s="32"/>
    </x:row>
    <x:row r="339">
      <x:c r="A339" s="87"/>
      <x:c r="D339" s="32"/>
      <x:c r="I339" s="74"/>
      <x:c r="J339" s="85"/>
      <x:c r="L339" s="86"/>
      <x:c r="M339" s="32"/>
    </x:row>
    <x:row r="340">
      <x:c r="A340" s="87"/>
      <x:c r="D340" s="32"/>
      <x:c r="I340" s="74"/>
      <x:c r="J340" s="85"/>
      <x:c r="L340" s="86"/>
      <x:c r="M340" s="32"/>
    </x:row>
    <x:row r="341">
      <x:c r="A341" s="87"/>
      <x:c r="D341" s="32"/>
      <x:c r="I341" s="74"/>
      <x:c r="J341" s="85"/>
      <x:c r="L341" s="86"/>
      <x:c r="M341" s="32"/>
    </x:row>
    <x:row r="342">
      <x:c r="A342" s="87"/>
      <x:c r="D342" s="32"/>
      <x:c r="I342" s="74"/>
      <x:c r="J342" s="85"/>
      <x:c r="L342" s="86"/>
      <x:c r="M342" s="32"/>
    </x:row>
    <x:row r="343">
      <x:c r="A343" s="87"/>
      <x:c r="D343" s="32"/>
      <x:c r="I343" s="74"/>
      <x:c r="J343" s="85"/>
      <x:c r="L343" s="86"/>
      <x:c r="M343" s="32"/>
    </x:row>
    <x:row r="344">
      <x:c r="A344" s="87"/>
      <x:c r="D344" s="32"/>
      <x:c r="I344" s="74"/>
      <x:c r="J344" s="85"/>
      <x:c r="L344" s="86"/>
      <x:c r="M344" s="32"/>
    </x:row>
    <x:row r="345">
      <x:c r="A345" s="87"/>
      <x:c r="D345" s="32"/>
      <x:c r="I345" s="74"/>
      <x:c r="J345" s="85"/>
      <x:c r="L345" s="86"/>
      <x:c r="M345" s="32"/>
    </x:row>
    <x:row r="346">
      <x:c r="A346" s="87"/>
      <x:c r="D346" s="32"/>
      <x:c r="I346" s="74"/>
      <x:c r="J346" s="85"/>
      <x:c r="L346" s="86"/>
      <x:c r="M346" s="32"/>
    </x:row>
    <x:row r="347">
      <x:c r="A347" s="87"/>
      <x:c r="D347" s="32"/>
      <x:c r="I347" s="74"/>
      <x:c r="J347" s="85"/>
      <x:c r="L347" s="86"/>
      <x:c r="M347" s="32"/>
    </x:row>
    <x:row r="348">
      <x:c r="A348" s="87"/>
      <x:c r="D348" s="32"/>
      <x:c r="I348" s="74"/>
      <x:c r="J348" s="85"/>
      <x:c r="L348" s="86"/>
      <x:c r="M348" s="32"/>
    </x:row>
    <x:row r="349">
      <x:c r="A349" s="87"/>
      <x:c r="D349" s="32"/>
      <x:c r="I349" s="74"/>
      <x:c r="J349" s="85"/>
      <x:c r="L349" s="86"/>
      <x:c r="M349" s="32"/>
    </x:row>
    <x:row r="350">
      <x:c r="A350" s="87"/>
      <x:c r="D350" s="32"/>
      <x:c r="I350" s="74"/>
      <x:c r="J350" s="85"/>
      <x:c r="L350" s="86"/>
      <x:c r="M350" s="32"/>
    </x:row>
    <x:row r="351">
      <x:c r="A351" s="87"/>
      <x:c r="D351" s="32"/>
      <x:c r="I351" s="74"/>
      <x:c r="J351" s="85"/>
      <x:c r="L351" s="86"/>
      <x:c r="M351" s="32"/>
    </x:row>
    <x:row r="352">
      <x:c r="A352" s="87"/>
      <x:c r="D352" s="32"/>
      <x:c r="I352" s="74"/>
      <x:c r="J352" s="85"/>
      <x:c r="L352" s="86"/>
      <x:c r="M352" s="32"/>
    </x:row>
    <x:row r="353">
      <x:c r="A353" s="87"/>
      <x:c r="D353" s="32"/>
      <x:c r="I353" s="74"/>
      <x:c r="J353" s="85"/>
      <x:c r="L353" s="86"/>
      <x:c r="M353" s="32"/>
    </x:row>
    <x:row r="354">
      <x:c r="A354" s="87"/>
      <x:c r="D354" s="32"/>
      <x:c r="I354" s="74"/>
      <x:c r="J354" s="85"/>
      <x:c r="L354" s="86"/>
      <x:c r="M354" s="32"/>
    </x:row>
    <x:row r="355">
      <x:c r="A355" s="87"/>
      <x:c r="D355" s="32"/>
      <x:c r="I355" s="74"/>
      <x:c r="J355" s="85"/>
      <x:c r="L355" s="86"/>
      <x:c r="M355" s="32"/>
    </x:row>
    <x:row r="356">
      <x:c r="A356" s="87"/>
      <x:c r="D356" s="32"/>
      <x:c r="I356" s="74"/>
      <x:c r="J356" s="85"/>
      <x:c r="L356" s="86"/>
      <x:c r="M356" s="32"/>
    </x:row>
    <x:row r="357">
      <x:c r="A357" s="87"/>
      <x:c r="D357" s="32"/>
      <x:c r="I357" s="74"/>
      <x:c r="J357" s="85"/>
      <x:c r="L357" s="86"/>
      <x:c r="M357" s="32"/>
    </x:row>
    <x:row r="358">
      <x:c r="A358" s="87"/>
      <x:c r="D358" s="32"/>
      <x:c r="I358" s="74"/>
      <x:c r="J358" s="85"/>
      <x:c r="L358" s="86"/>
      <x:c r="M358" s="32"/>
    </x:row>
    <x:row r="359">
      <x:c r="A359" s="87"/>
      <x:c r="D359" s="32"/>
      <x:c r="I359" s="74"/>
      <x:c r="J359" s="85"/>
      <x:c r="L359" s="86"/>
      <x:c r="M359" s="32"/>
    </x:row>
    <x:row r="360">
      <x:c r="A360" s="87"/>
      <x:c r="D360" s="32"/>
      <x:c r="I360" s="74"/>
      <x:c r="J360" s="85"/>
      <x:c r="L360" s="86"/>
      <x:c r="M360" s="32"/>
    </x:row>
    <x:row r="361">
      <x:c r="A361" s="87"/>
      <x:c r="D361" s="32"/>
      <x:c r="I361" s="74"/>
      <x:c r="J361" s="85"/>
      <x:c r="L361" s="86"/>
      <x:c r="M361" s="32"/>
    </x:row>
    <x:row r="362">
      <x:c r="A362" s="87"/>
      <x:c r="D362" s="32"/>
      <x:c r="I362" s="74"/>
      <x:c r="J362" s="85"/>
      <x:c r="L362" s="86"/>
      <x:c r="M362" s="32"/>
    </x:row>
    <x:row r="363">
      <x:c r="A363" s="87"/>
      <x:c r="D363" s="32"/>
      <x:c r="I363" s="74"/>
      <x:c r="J363" s="85"/>
      <x:c r="L363" s="86"/>
      <x:c r="M363" s="32"/>
    </x:row>
    <x:row r="364">
      <x:c r="A364" s="87"/>
      <x:c r="D364" s="32"/>
      <x:c r="I364" s="74"/>
      <x:c r="J364" s="85"/>
      <x:c r="L364" s="86"/>
      <x:c r="M364" s="32"/>
    </x:row>
    <x:row r="365">
      <x:c r="A365" s="87"/>
      <x:c r="D365" s="32"/>
      <x:c r="I365" s="74"/>
      <x:c r="J365" s="85"/>
      <x:c r="L365" s="86"/>
      <x:c r="M365" s="32"/>
    </x:row>
    <x:row r="366">
      <x:c r="A366" s="87"/>
      <x:c r="D366" s="32"/>
      <x:c r="I366" s="74"/>
      <x:c r="J366" s="85"/>
      <x:c r="L366" s="86"/>
      <x:c r="M366" s="32"/>
    </x:row>
    <x:row r="367">
      <x:c r="A367" s="87"/>
      <x:c r="D367" s="32"/>
      <x:c r="I367" s="74"/>
      <x:c r="J367" s="85"/>
      <x:c r="L367" s="86"/>
      <x:c r="M367" s="32"/>
    </x:row>
    <x:row r="368">
      <x:c r="A368" s="87"/>
      <x:c r="D368" s="32"/>
      <x:c r="I368" s="74"/>
      <x:c r="J368" s="85"/>
      <x:c r="L368" s="86"/>
      <x:c r="M368" s="32"/>
    </x:row>
    <x:row r="369">
      <x:c r="A369" s="87"/>
      <x:c r="D369" s="32"/>
      <x:c r="I369" s="74"/>
      <x:c r="J369" s="85"/>
      <x:c r="L369" s="86"/>
      <x:c r="M369" s="32"/>
    </x:row>
    <x:row r="370">
      <x:c r="A370" s="87"/>
      <x:c r="D370" s="32"/>
      <x:c r="I370" s="74"/>
      <x:c r="J370" s="85"/>
      <x:c r="L370" s="86"/>
      <x:c r="M370" s="32"/>
    </x:row>
    <x:row r="371">
      <x:c r="A371" s="87"/>
      <x:c r="D371" s="32"/>
      <x:c r="I371" s="74"/>
      <x:c r="J371" s="85"/>
      <x:c r="L371" s="86"/>
      <x:c r="M371" s="32"/>
    </x:row>
    <x:row r="372">
      <x:c r="A372" s="87"/>
      <x:c r="D372" s="32"/>
      <x:c r="I372" s="74"/>
      <x:c r="J372" s="85"/>
      <x:c r="L372" s="86"/>
      <x:c r="M372" s="32"/>
    </x:row>
    <x:row r="373">
      <x:c r="A373" s="87"/>
      <x:c r="D373" s="32"/>
      <x:c r="I373" s="74"/>
      <x:c r="J373" s="85"/>
      <x:c r="L373" s="86"/>
      <x:c r="M373" s="32"/>
    </x:row>
    <x:row r="374">
      <x:c r="A374" s="87"/>
      <x:c r="D374" s="32"/>
      <x:c r="I374" s="74"/>
      <x:c r="J374" s="85"/>
      <x:c r="L374" s="86"/>
      <x:c r="M374" s="32"/>
    </x:row>
    <x:row r="375">
      <x:c r="A375" s="87"/>
      <x:c r="D375" s="32"/>
      <x:c r="I375" s="74"/>
      <x:c r="J375" s="85"/>
      <x:c r="L375" s="86"/>
      <x:c r="M375" s="32"/>
    </x:row>
    <x:row r="376">
      <x:c r="A376" s="87"/>
      <x:c r="D376" s="32"/>
      <x:c r="I376" s="74"/>
      <x:c r="J376" s="85"/>
      <x:c r="L376" s="86"/>
      <x:c r="M376" s="32"/>
    </x:row>
    <x:row r="377">
      <x:c r="A377" s="87"/>
      <x:c r="D377" s="32"/>
      <x:c r="I377" s="74"/>
      <x:c r="J377" s="85"/>
      <x:c r="L377" s="86"/>
      <x:c r="M377" s="32"/>
    </x:row>
    <x:row r="378">
      <x:c r="A378" s="87"/>
      <x:c r="D378" s="32"/>
      <x:c r="I378" s="74"/>
      <x:c r="J378" s="85"/>
      <x:c r="L378" s="86"/>
      <x:c r="M378" s="32"/>
    </x:row>
    <x:row r="379">
      <x:c r="A379" s="87"/>
      <x:c r="D379" s="32"/>
      <x:c r="I379" s="74"/>
      <x:c r="J379" s="85"/>
      <x:c r="L379" s="86"/>
      <x:c r="M379" s="32"/>
    </x:row>
    <x:row r="380">
      <x:c r="A380" s="87"/>
      <x:c r="D380" s="32"/>
      <x:c r="I380" s="74"/>
      <x:c r="J380" s="85"/>
      <x:c r="L380" s="86"/>
      <x:c r="M380" s="32"/>
    </x:row>
    <x:row r="381">
      <x:c r="A381" s="87"/>
      <x:c r="D381" s="32"/>
      <x:c r="I381" s="74"/>
      <x:c r="J381" s="85"/>
      <x:c r="L381" s="86"/>
      <x:c r="M381" s="32"/>
    </x:row>
    <x:row r="382">
      <x:c r="A382" s="87"/>
      <x:c r="D382" s="32"/>
      <x:c r="I382" s="74"/>
      <x:c r="J382" s="85"/>
      <x:c r="L382" s="86"/>
      <x:c r="M382" s="32"/>
    </x:row>
    <x:row r="383">
      <x:c r="A383" s="87"/>
      <x:c r="D383" s="32"/>
      <x:c r="I383" s="74"/>
      <x:c r="J383" s="85"/>
      <x:c r="L383" s="86"/>
      <x:c r="M383" s="32"/>
    </x:row>
    <x:row r="384">
      <x:c r="A384" s="87"/>
      <x:c r="D384" s="32"/>
      <x:c r="I384" s="74"/>
      <x:c r="J384" s="85"/>
      <x:c r="L384" s="86"/>
      <x:c r="M384" s="32"/>
    </x:row>
    <x:row r="385">
      <x:c r="A385" s="87"/>
      <x:c r="D385" s="32"/>
      <x:c r="I385" s="74"/>
      <x:c r="J385" s="85"/>
      <x:c r="L385" s="86"/>
      <x:c r="M385" s="32"/>
    </x:row>
    <x:row r="386">
      <x:c r="A386" s="87"/>
      <x:c r="D386" s="32"/>
      <x:c r="I386" s="74"/>
      <x:c r="J386" s="85"/>
      <x:c r="L386" s="86"/>
      <x:c r="M386" s="32"/>
    </x:row>
    <x:row r="387">
      <x:c r="A387" s="87"/>
      <x:c r="D387" s="32"/>
      <x:c r="I387" s="74"/>
      <x:c r="J387" s="85"/>
      <x:c r="L387" s="86"/>
      <x:c r="M387" s="32"/>
    </x:row>
    <x:row r="388">
      <x:c r="A388" s="87"/>
      <x:c r="D388" s="32"/>
      <x:c r="I388" s="74"/>
      <x:c r="J388" s="85"/>
      <x:c r="L388" s="86"/>
      <x:c r="M388" s="32"/>
    </x:row>
    <x:row r="389">
      <x:c r="A389" s="87"/>
      <x:c r="D389" s="32"/>
      <x:c r="I389" s="74"/>
      <x:c r="J389" s="85"/>
      <x:c r="L389" s="86"/>
      <x:c r="M389" s="32"/>
    </x:row>
    <x:row r="390">
      <x:c r="A390" s="87"/>
      <x:c r="D390" s="32"/>
      <x:c r="I390" s="74"/>
      <x:c r="J390" s="85"/>
      <x:c r="L390" s="86"/>
      <x:c r="M390" s="32"/>
    </x:row>
    <x:row r="391">
      <x:c r="A391" s="87"/>
      <x:c r="D391" s="32"/>
      <x:c r="I391" s="74"/>
      <x:c r="J391" s="85"/>
      <x:c r="L391" s="86"/>
      <x:c r="M391" s="32"/>
    </x:row>
    <x:row r="392">
      <x:c r="A392" s="87"/>
      <x:c r="D392" s="32"/>
      <x:c r="I392" s="74"/>
      <x:c r="J392" s="85"/>
      <x:c r="L392" s="86"/>
      <x:c r="M392" s="32"/>
    </x:row>
    <x:row r="393">
      <x:c r="A393" s="87"/>
      <x:c r="D393" s="32"/>
      <x:c r="I393" s="74"/>
      <x:c r="J393" s="85"/>
      <x:c r="L393" s="86"/>
      <x:c r="M393" s="32"/>
    </x:row>
    <x:row r="394">
      <x:c r="A394" s="87"/>
      <x:c r="D394" s="32"/>
      <x:c r="I394" s="74"/>
      <x:c r="J394" s="85"/>
      <x:c r="L394" s="86"/>
      <x:c r="M394" s="32"/>
    </x:row>
    <x:row r="395">
      <x:c r="A395" s="87"/>
      <x:c r="D395" s="32"/>
      <x:c r="I395" s="74"/>
      <x:c r="J395" s="85"/>
      <x:c r="L395" s="86"/>
      <x:c r="M395" s="32"/>
    </x:row>
    <x:row r="396">
      <x:c r="A396" s="87"/>
      <x:c r="D396" s="32"/>
      <x:c r="I396" s="74"/>
      <x:c r="J396" s="85"/>
      <x:c r="L396" s="86"/>
      <x:c r="M396" s="32"/>
    </x:row>
    <x:row r="397">
      <x:c r="A397" s="87"/>
      <x:c r="D397" s="32"/>
      <x:c r="I397" s="74"/>
      <x:c r="J397" s="85"/>
      <x:c r="L397" s="86"/>
      <x:c r="M397" s="32"/>
    </x:row>
    <x:row r="398">
      <x:c r="A398" s="87"/>
      <x:c r="D398" s="32"/>
      <x:c r="I398" s="74"/>
      <x:c r="J398" s="85"/>
      <x:c r="L398" s="86"/>
      <x:c r="M398" s="32"/>
    </x:row>
    <x:row r="399">
      <x:c r="A399" s="87"/>
      <x:c r="D399" s="32"/>
      <x:c r="I399" s="74"/>
      <x:c r="J399" s="85"/>
      <x:c r="L399" s="86"/>
      <x:c r="M399" s="32"/>
    </x:row>
    <x:row r="400">
      <x:c r="A400" s="87"/>
      <x:c r="D400" s="32"/>
      <x:c r="I400" s="74"/>
      <x:c r="J400" s="85"/>
      <x:c r="L400" s="86"/>
      <x:c r="M400" s="32"/>
    </x:row>
    <x:row r="401">
      <x:c r="A401" s="87"/>
      <x:c r="D401" s="32"/>
      <x:c r="I401" s="74"/>
      <x:c r="J401" s="85"/>
      <x:c r="L401" s="86"/>
      <x:c r="M401" s="32"/>
    </x:row>
    <x:row r="402">
      <x:c r="A402" s="87"/>
      <x:c r="D402" s="32"/>
      <x:c r="I402" s="74"/>
      <x:c r="J402" s="85"/>
      <x:c r="L402" s="86"/>
      <x:c r="M402" s="32"/>
    </x:row>
    <x:row r="403">
      <x:c r="A403" s="87"/>
      <x:c r="D403" s="32"/>
      <x:c r="I403" s="74"/>
      <x:c r="J403" s="85"/>
      <x:c r="L403" s="86"/>
      <x:c r="M403" s="32"/>
    </x:row>
    <x:row r="404">
      <x:c r="A404" s="87"/>
      <x:c r="D404" s="32"/>
      <x:c r="I404" s="74"/>
      <x:c r="J404" s="85"/>
      <x:c r="L404" s="86"/>
      <x:c r="M404" s="32"/>
    </x:row>
    <x:row r="405">
      <x:c r="A405" s="87"/>
      <x:c r="D405" s="32"/>
      <x:c r="I405" s="74"/>
      <x:c r="J405" s="85"/>
      <x:c r="L405" s="86"/>
      <x:c r="M405" s="32"/>
    </x:row>
    <x:row r="406">
      <x:c r="A406" s="87"/>
      <x:c r="D406" s="32"/>
      <x:c r="I406" s="74"/>
      <x:c r="J406" s="85"/>
      <x:c r="L406" s="86"/>
      <x:c r="M406" s="32"/>
    </x:row>
    <x:row r="407">
      <x:c r="A407" s="87"/>
      <x:c r="D407" s="32"/>
      <x:c r="I407" s="74"/>
      <x:c r="J407" s="85"/>
      <x:c r="L407" s="86"/>
      <x:c r="M407" s="32"/>
    </x:row>
    <x:row r="408">
      <x:c r="A408" s="87"/>
      <x:c r="D408" s="32"/>
      <x:c r="I408" s="74"/>
      <x:c r="J408" s="85"/>
      <x:c r="L408" s="86"/>
      <x:c r="M408" s="32"/>
    </x:row>
    <x:row r="409">
      <x:c r="A409" s="87"/>
      <x:c r="D409" s="32"/>
      <x:c r="I409" s="74"/>
      <x:c r="J409" s="85"/>
      <x:c r="L409" s="86"/>
      <x:c r="M409" s="32"/>
    </x:row>
    <x:row r="410">
      <x:c r="A410" s="87"/>
      <x:c r="D410" s="32"/>
      <x:c r="I410" s="74"/>
      <x:c r="J410" s="85"/>
      <x:c r="L410" s="86"/>
      <x:c r="M410" s="32"/>
    </x:row>
    <x:row r="411">
      <x:c r="A411" s="87"/>
      <x:c r="D411" s="32"/>
      <x:c r="I411" s="74"/>
      <x:c r="J411" s="85"/>
      <x:c r="L411" s="86"/>
      <x:c r="M411" s="32"/>
    </x:row>
    <x:row r="412">
      <x:c r="A412" s="87"/>
      <x:c r="D412" s="32"/>
      <x:c r="I412" s="74"/>
      <x:c r="J412" s="85"/>
      <x:c r="L412" s="86"/>
      <x:c r="M412" s="32"/>
    </x:row>
    <x:row r="413">
      <x:c r="A413" s="87"/>
      <x:c r="D413" s="32"/>
      <x:c r="I413" s="74"/>
      <x:c r="J413" s="85"/>
      <x:c r="L413" s="86"/>
      <x:c r="M413" s="32"/>
    </x:row>
    <x:row r="414">
      <x:c r="A414" s="87"/>
      <x:c r="D414" s="32"/>
      <x:c r="I414" s="74"/>
      <x:c r="J414" s="85"/>
      <x:c r="L414" s="86"/>
      <x:c r="M414" s="32"/>
    </x:row>
    <x:row r="415">
      <x:c r="A415" s="87"/>
      <x:c r="D415" s="32"/>
      <x:c r="I415" s="74"/>
      <x:c r="J415" s="85"/>
      <x:c r="L415" s="86"/>
      <x:c r="M415" s="32"/>
    </x:row>
    <x:row r="416">
      <x:c r="A416" s="87"/>
      <x:c r="D416" s="32"/>
      <x:c r="I416" s="74"/>
      <x:c r="J416" s="85"/>
      <x:c r="L416" s="86"/>
      <x:c r="M416" s="32"/>
    </x:row>
    <x:row r="417">
      <x:c r="A417" s="87"/>
      <x:c r="D417" s="32"/>
      <x:c r="I417" s="74"/>
      <x:c r="J417" s="85"/>
      <x:c r="L417" s="86"/>
      <x:c r="M417" s="32"/>
    </x:row>
    <x:row r="418">
      <x:c r="A418" s="87"/>
      <x:c r="D418" s="32"/>
      <x:c r="I418" s="74"/>
      <x:c r="J418" s="85"/>
      <x:c r="L418" s="86"/>
      <x:c r="M418" s="32"/>
    </x:row>
    <x:row r="419">
      <x:c r="A419" s="87"/>
      <x:c r="D419" s="32"/>
      <x:c r="I419" s="74"/>
      <x:c r="J419" s="85"/>
      <x:c r="L419" s="86"/>
      <x:c r="M419" s="32"/>
    </x:row>
    <x:row r="420">
      <x:c r="A420" s="87"/>
      <x:c r="D420" s="32"/>
      <x:c r="I420" s="74"/>
      <x:c r="J420" s="85"/>
      <x:c r="L420" s="86"/>
      <x:c r="M420" s="32"/>
    </x:row>
    <x:row r="421">
      <x:c r="A421" s="87"/>
      <x:c r="D421" s="32"/>
      <x:c r="I421" s="74"/>
      <x:c r="J421" s="85"/>
      <x:c r="L421" s="86"/>
      <x:c r="M421" s="32"/>
    </x:row>
    <x:row r="422">
      <x:c r="A422" s="87"/>
      <x:c r="D422" s="32"/>
      <x:c r="I422" s="74"/>
      <x:c r="J422" s="85"/>
      <x:c r="L422" s="86"/>
      <x:c r="M422" s="32"/>
    </x:row>
    <x:row r="423">
      <x:c r="A423" s="87"/>
      <x:c r="D423" s="32"/>
      <x:c r="I423" s="74"/>
      <x:c r="J423" s="85"/>
      <x:c r="L423" s="86"/>
      <x:c r="M423" s="32"/>
    </x:row>
    <x:row r="424">
      <x:c r="A424" s="87"/>
      <x:c r="D424" s="32"/>
      <x:c r="I424" s="74"/>
      <x:c r="J424" s="85"/>
      <x:c r="L424" s="86"/>
      <x:c r="M424" s="32"/>
    </x:row>
    <x:row r="425">
      <x:c r="A425" s="87"/>
      <x:c r="D425" s="32"/>
      <x:c r="I425" s="74"/>
      <x:c r="J425" s="85"/>
      <x:c r="L425" s="86"/>
      <x:c r="M425" s="32"/>
    </x:row>
    <x:row r="426">
      <x:c r="A426" s="87"/>
      <x:c r="D426" s="32"/>
      <x:c r="I426" s="74"/>
      <x:c r="J426" s="85"/>
      <x:c r="L426" s="86"/>
      <x:c r="M426" s="32"/>
    </x:row>
    <x:row r="427">
      <x:c r="A427" s="87"/>
      <x:c r="D427" s="32"/>
      <x:c r="I427" s="74"/>
      <x:c r="J427" s="85"/>
      <x:c r="L427" s="86"/>
      <x:c r="M427" s="32"/>
    </x:row>
    <x:row r="428">
      <x:c r="A428" s="87"/>
      <x:c r="D428" s="32"/>
      <x:c r="I428" s="74"/>
      <x:c r="J428" s="85"/>
      <x:c r="L428" s="86"/>
      <x:c r="M428" s="32"/>
    </x:row>
    <x:row r="429">
      <x:c r="A429" s="87"/>
      <x:c r="D429" s="32"/>
      <x:c r="I429" s="74"/>
      <x:c r="J429" s="85"/>
      <x:c r="L429" s="86"/>
      <x:c r="M429" s="32"/>
    </x:row>
    <x:row r="430">
      <x:c r="A430" s="87"/>
      <x:c r="D430" s="32"/>
      <x:c r="I430" s="74"/>
      <x:c r="J430" s="85"/>
      <x:c r="L430" s="86"/>
      <x:c r="M430" s="32"/>
    </x:row>
    <x:row r="431">
      <x:c r="A431" s="87"/>
      <x:c r="D431" s="32"/>
      <x:c r="I431" s="74"/>
      <x:c r="J431" s="85"/>
      <x:c r="L431" s="86"/>
      <x:c r="M431" s="32"/>
    </x:row>
    <x:row r="432">
      <x:c r="A432" s="87"/>
      <x:c r="D432" s="32"/>
      <x:c r="I432" s="74"/>
      <x:c r="J432" s="85"/>
      <x:c r="L432" s="86"/>
      <x:c r="M432" s="32"/>
    </x:row>
    <x:row r="433">
      <x:c r="A433" s="87"/>
      <x:c r="D433" s="32"/>
      <x:c r="I433" s="74"/>
      <x:c r="J433" s="85"/>
      <x:c r="L433" s="86"/>
      <x:c r="M433" s="32"/>
    </x:row>
    <x:row r="434">
      <x:c r="A434" s="87"/>
      <x:c r="D434" s="32"/>
      <x:c r="I434" s="74"/>
      <x:c r="J434" s="85"/>
      <x:c r="L434" s="86"/>
      <x:c r="M434" s="32"/>
    </x:row>
    <x:row r="435">
      <x:c r="A435" s="87"/>
      <x:c r="D435" s="32"/>
      <x:c r="I435" s="74"/>
      <x:c r="J435" s="85"/>
      <x:c r="L435" s="86"/>
      <x:c r="M435" s="32"/>
    </x:row>
    <x:row r="436">
      <x:c r="A436" s="87"/>
      <x:c r="D436" s="32"/>
      <x:c r="I436" s="74"/>
      <x:c r="J436" s="85"/>
      <x:c r="L436" s="86"/>
      <x:c r="M436" s="32"/>
    </x:row>
    <x:row r="437">
      <x:c r="A437" s="87"/>
      <x:c r="D437" s="32"/>
      <x:c r="I437" s="74"/>
      <x:c r="J437" s="85"/>
      <x:c r="L437" s="86"/>
      <x:c r="M437" s="32"/>
    </x:row>
    <x:row r="438">
      <x:c r="A438" s="87"/>
      <x:c r="D438" s="32"/>
      <x:c r="I438" s="74"/>
      <x:c r="J438" s="85"/>
      <x:c r="L438" s="86"/>
      <x:c r="M438" s="32"/>
    </x:row>
    <x:row r="439">
      <x:c r="A439" s="87"/>
      <x:c r="D439" s="32"/>
      <x:c r="I439" s="74"/>
      <x:c r="J439" s="85"/>
      <x:c r="L439" s="86"/>
      <x:c r="M439" s="32"/>
    </x:row>
    <x:row r="440">
      <x:c r="A440" s="87"/>
      <x:c r="D440" s="32"/>
      <x:c r="I440" s="74"/>
      <x:c r="J440" s="85"/>
      <x:c r="L440" s="86"/>
      <x:c r="M440" s="32"/>
    </x:row>
    <x:row r="441">
      <x:c r="A441" s="87"/>
      <x:c r="D441" s="32"/>
      <x:c r="I441" s="74"/>
      <x:c r="J441" s="85"/>
      <x:c r="L441" s="86"/>
      <x:c r="M441" s="32"/>
    </x:row>
    <x:row r="442">
      <x:c r="A442" s="87"/>
      <x:c r="D442" s="32"/>
      <x:c r="I442" s="74"/>
      <x:c r="J442" s="85"/>
      <x:c r="L442" s="86"/>
      <x:c r="M442" s="32"/>
    </x:row>
    <x:row r="443">
      <x:c r="A443" s="87"/>
      <x:c r="D443" s="32"/>
      <x:c r="I443" s="74"/>
      <x:c r="J443" s="85"/>
      <x:c r="L443" s="86"/>
      <x:c r="M443" s="32"/>
    </x:row>
    <x:row r="444">
      <x:c r="A444" s="87"/>
      <x:c r="D444" s="32"/>
      <x:c r="I444" s="74"/>
      <x:c r="J444" s="85"/>
      <x:c r="L444" s="86"/>
      <x:c r="M444" s="32"/>
    </x:row>
    <x:row r="445">
      <x:c r="A445" s="87"/>
      <x:c r="D445" s="32"/>
      <x:c r="I445" s="74"/>
      <x:c r="J445" s="85"/>
      <x:c r="L445" s="86"/>
      <x:c r="M445" s="32"/>
    </x:row>
    <x:row r="446">
      <x:c r="A446" s="87"/>
      <x:c r="D446" s="32"/>
      <x:c r="I446" s="74"/>
      <x:c r="J446" s="85"/>
      <x:c r="L446" s="86"/>
      <x:c r="M446" s="32"/>
    </x:row>
    <x:row r="447">
      <x:c r="A447" s="87"/>
      <x:c r="D447" s="32"/>
      <x:c r="I447" s="74"/>
      <x:c r="J447" s="85"/>
      <x:c r="L447" s="86"/>
      <x:c r="M447" s="32"/>
    </x:row>
    <x:row r="448">
      <x:c r="A448" s="87"/>
      <x:c r="D448" s="32"/>
      <x:c r="I448" s="74"/>
      <x:c r="J448" s="85"/>
      <x:c r="L448" s="86"/>
      <x:c r="M448" s="32"/>
    </x:row>
    <x:row r="449">
      <x:c r="A449" s="87"/>
      <x:c r="D449" s="32"/>
      <x:c r="I449" s="74"/>
      <x:c r="J449" s="85"/>
      <x:c r="L449" s="86"/>
      <x:c r="M449" s="32"/>
    </x:row>
    <x:row r="450">
      <x:c r="A450" s="87"/>
      <x:c r="D450" s="32"/>
      <x:c r="I450" s="74"/>
      <x:c r="J450" s="85"/>
      <x:c r="L450" s="86"/>
      <x:c r="M450" s="32"/>
    </x:row>
    <x:row r="451">
      <x:c r="A451" s="87"/>
      <x:c r="D451" s="32"/>
      <x:c r="I451" s="74"/>
      <x:c r="J451" s="85"/>
      <x:c r="L451" s="86"/>
      <x:c r="M451" s="32"/>
    </x:row>
    <x:row r="452">
      <x:c r="A452" s="87"/>
      <x:c r="D452" s="32"/>
      <x:c r="I452" s="74"/>
      <x:c r="J452" s="85"/>
      <x:c r="L452" s="86"/>
      <x:c r="M452" s="32"/>
    </x:row>
    <x:row r="453">
      <x:c r="A453" s="87"/>
      <x:c r="D453" s="32"/>
      <x:c r="I453" s="74"/>
      <x:c r="J453" s="85"/>
      <x:c r="L453" s="86"/>
      <x:c r="M453" s="32"/>
    </x:row>
    <x:row r="454">
      <x:c r="A454" s="87"/>
      <x:c r="D454" s="32"/>
      <x:c r="I454" s="74"/>
      <x:c r="J454" s="85"/>
      <x:c r="L454" s="86"/>
      <x:c r="M454" s="32"/>
    </x:row>
    <x:row r="455">
      <x:c r="A455" s="87"/>
      <x:c r="D455" s="32"/>
      <x:c r="I455" s="74"/>
      <x:c r="J455" s="85"/>
      <x:c r="L455" s="86"/>
      <x:c r="M455" s="32"/>
    </x:row>
    <x:row r="456">
      <x:c r="A456" s="87"/>
      <x:c r="D456" s="32"/>
      <x:c r="I456" s="74"/>
      <x:c r="J456" s="85"/>
      <x:c r="L456" s="86"/>
      <x:c r="M456" s="32"/>
    </x:row>
    <x:row r="457">
      <x:c r="A457" s="87"/>
      <x:c r="D457" s="32"/>
      <x:c r="I457" s="74"/>
      <x:c r="J457" s="85"/>
      <x:c r="L457" s="86"/>
      <x:c r="M457" s="32"/>
    </x:row>
    <x:row r="458">
      <x:c r="A458" s="87"/>
      <x:c r="D458" s="32"/>
      <x:c r="I458" s="74"/>
      <x:c r="J458" s="85"/>
      <x:c r="L458" s="86"/>
      <x:c r="M458" s="32"/>
    </x:row>
    <x:row r="459">
      <x:c r="A459" s="87"/>
      <x:c r="D459" s="32"/>
      <x:c r="I459" s="74"/>
      <x:c r="J459" s="85"/>
      <x:c r="L459" s="86"/>
      <x:c r="M459" s="32"/>
    </x:row>
    <x:row r="460">
      <x:c r="A460" s="87"/>
      <x:c r="D460" s="32"/>
      <x:c r="I460" s="74"/>
      <x:c r="J460" s="85"/>
      <x:c r="L460" s="86"/>
      <x:c r="M460" s="32"/>
    </x:row>
    <x:row r="461">
      <x:c r="A461" s="87"/>
      <x:c r="D461" s="32"/>
      <x:c r="I461" s="74"/>
      <x:c r="J461" s="85"/>
      <x:c r="L461" s="86"/>
      <x:c r="M461" s="32"/>
    </x:row>
    <x:row r="462">
      <x:c r="A462" s="87"/>
      <x:c r="D462" s="32"/>
      <x:c r="I462" s="74"/>
      <x:c r="J462" s="85"/>
      <x:c r="L462" s="86"/>
      <x:c r="M462" s="32"/>
    </x:row>
    <x:row r="463">
      <x:c r="A463" s="87"/>
      <x:c r="D463" s="32"/>
      <x:c r="I463" s="74"/>
      <x:c r="J463" s="85"/>
      <x:c r="L463" s="86"/>
      <x:c r="M463" s="32"/>
    </x:row>
    <x:row r="464">
      <x:c r="A464" s="87"/>
      <x:c r="D464" s="32"/>
      <x:c r="I464" s="74"/>
      <x:c r="J464" s="85"/>
      <x:c r="L464" s="86"/>
      <x:c r="M464" s="32"/>
    </x:row>
    <x:row r="465">
      <x:c r="A465" s="87"/>
      <x:c r="D465" s="32"/>
      <x:c r="I465" s="74"/>
      <x:c r="J465" s="85"/>
      <x:c r="L465" s="86"/>
      <x:c r="M465" s="32"/>
    </x:row>
    <x:row r="466">
      <x:c r="A466" s="87"/>
      <x:c r="D466" s="32"/>
      <x:c r="I466" s="74"/>
      <x:c r="J466" s="85"/>
      <x:c r="L466" s="86"/>
      <x:c r="M466" s="32"/>
    </x:row>
    <x:row r="467">
      <x:c r="A467" s="87"/>
      <x:c r="D467" s="32"/>
      <x:c r="I467" s="74"/>
      <x:c r="J467" s="85"/>
      <x:c r="L467" s="86"/>
      <x:c r="M467" s="32"/>
    </x:row>
    <x:row r="468">
      <x:c r="A468" s="87"/>
      <x:c r="D468" s="32"/>
      <x:c r="I468" s="74"/>
      <x:c r="J468" s="85"/>
      <x:c r="L468" s="86"/>
      <x:c r="M468" s="32"/>
    </x:row>
    <x:row r="469">
      <x:c r="A469" s="87"/>
      <x:c r="D469" s="32"/>
      <x:c r="I469" s="74"/>
      <x:c r="J469" s="85"/>
      <x:c r="L469" s="86"/>
      <x:c r="M469" s="32"/>
    </x:row>
    <x:row r="470">
      <x:c r="A470" s="87"/>
      <x:c r="D470" s="32"/>
      <x:c r="I470" s="74"/>
      <x:c r="J470" s="85"/>
      <x:c r="L470" s="86"/>
      <x:c r="M470" s="32"/>
    </x:row>
    <x:row r="471">
      <x:c r="A471" s="87"/>
      <x:c r="D471" s="32"/>
      <x:c r="I471" s="74"/>
      <x:c r="J471" s="85"/>
      <x:c r="L471" s="86"/>
      <x:c r="M471" s="32"/>
    </x:row>
    <x:row r="472">
      <x:c r="A472" s="87"/>
      <x:c r="D472" s="32"/>
      <x:c r="I472" s="74"/>
      <x:c r="J472" s="85"/>
      <x:c r="L472" s="86"/>
      <x:c r="M472" s="32"/>
    </x:row>
    <x:row r="473">
      <x:c r="A473" s="87"/>
      <x:c r="D473" s="32"/>
      <x:c r="I473" s="74"/>
      <x:c r="J473" s="85"/>
      <x:c r="L473" s="86"/>
      <x:c r="M473" s="32"/>
    </x:row>
    <x:row r="474">
      <x:c r="A474" s="87"/>
      <x:c r="D474" s="32"/>
      <x:c r="I474" s="74"/>
      <x:c r="J474" s="85"/>
      <x:c r="L474" s="86"/>
      <x:c r="M474" s="32"/>
    </x:row>
    <x:row r="475">
      <x:c r="A475" s="87"/>
      <x:c r="D475" s="32"/>
      <x:c r="I475" s="74"/>
      <x:c r="J475" s="85"/>
      <x:c r="L475" s="86"/>
      <x:c r="M475" s="32"/>
    </x:row>
    <x:row r="476">
      <x:c r="A476" s="87"/>
      <x:c r="D476" s="32"/>
      <x:c r="I476" s="74"/>
      <x:c r="J476" s="85"/>
      <x:c r="L476" s="86"/>
      <x:c r="M476" s="32"/>
    </x:row>
    <x:row r="477">
      <x:c r="A477" s="87"/>
      <x:c r="D477" s="32"/>
      <x:c r="I477" s="74"/>
      <x:c r="J477" s="85"/>
      <x:c r="L477" s="86"/>
      <x:c r="M477" s="32"/>
    </x:row>
    <x:row r="478">
      <x:c r="A478" s="87"/>
      <x:c r="D478" s="32"/>
      <x:c r="I478" s="74"/>
      <x:c r="J478" s="85"/>
      <x:c r="L478" s="86"/>
      <x:c r="M478" s="32"/>
    </x:row>
    <x:row r="479">
      <x:c r="A479" s="87"/>
      <x:c r="D479" s="32"/>
      <x:c r="I479" s="74"/>
      <x:c r="J479" s="85"/>
      <x:c r="L479" s="86"/>
      <x:c r="M479" s="32"/>
    </x:row>
    <x:row r="480">
      <x:c r="A480" s="87"/>
      <x:c r="D480" s="32"/>
      <x:c r="I480" s="74"/>
      <x:c r="J480" s="85"/>
      <x:c r="L480" s="86"/>
      <x:c r="M480" s="32"/>
    </x:row>
    <x:row r="481">
      <x:c r="A481" s="87"/>
      <x:c r="D481" s="32"/>
      <x:c r="I481" s="74"/>
      <x:c r="J481" s="85"/>
      <x:c r="L481" s="86"/>
      <x:c r="M481" s="32"/>
    </x:row>
    <x:row r="482">
      <x:c r="A482" s="87"/>
      <x:c r="D482" s="32"/>
      <x:c r="I482" s="74"/>
      <x:c r="J482" s="85"/>
      <x:c r="L482" s="86"/>
      <x:c r="M482" s="32"/>
    </x:row>
    <x:row r="483">
      <x:c r="A483" s="87"/>
      <x:c r="D483" s="32"/>
      <x:c r="I483" s="74"/>
      <x:c r="J483" s="85"/>
      <x:c r="L483" s="86"/>
      <x:c r="M483" s="32"/>
    </x:row>
    <x:row r="484">
      <x:c r="A484" s="87"/>
      <x:c r="D484" s="32"/>
      <x:c r="I484" s="74"/>
      <x:c r="J484" s="85"/>
      <x:c r="L484" s="86"/>
      <x:c r="M484" s="32"/>
    </x:row>
    <x:row r="485">
      <x:c r="A485" s="87"/>
      <x:c r="D485" s="32"/>
      <x:c r="I485" s="74"/>
      <x:c r="J485" s="85"/>
      <x:c r="L485" s="86"/>
      <x:c r="M485" s="32"/>
    </x:row>
    <x:row r="486">
      <x:c r="A486" s="87"/>
      <x:c r="D486" s="32"/>
      <x:c r="I486" s="74"/>
      <x:c r="J486" s="85"/>
      <x:c r="L486" s="86"/>
      <x:c r="M486" s="32"/>
    </x:row>
    <x:row r="487">
      <x:c r="A487" s="87"/>
      <x:c r="D487" s="32"/>
      <x:c r="I487" s="74"/>
      <x:c r="J487" s="85"/>
      <x:c r="L487" s="86"/>
      <x:c r="M487" s="32"/>
    </x:row>
    <x:row r="488">
      <x:c r="A488" s="87"/>
      <x:c r="D488" s="32"/>
      <x:c r="I488" s="74"/>
      <x:c r="J488" s="85"/>
      <x:c r="L488" s="86"/>
      <x:c r="M488" s="32"/>
    </x:row>
    <x:row r="489">
      <x:c r="A489" s="87"/>
      <x:c r="D489" s="32"/>
      <x:c r="I489" s="74"/>
      <x:c r="J489" s="85"/>
      <x:c r="L489" s="86"/>
      <x:c r="M489" s="32"/>
    </x:row>
    <x:row r="490">
      <x:c r="A490" s="87"/>
      <x:c r="D490" s="32"/>
      <x:c r="I490" s="74"/>
      <x:c r="J490" s="85"/>
      <x:c r="L490" s="86"/>
      <x:c r="M490" s="32"/>
    </x:row>
    <x:row r="491">
      <x:c r="A491" s="87"/>
      <x:c r="D491" s="32"/>
      <x:c r="I491" s="74"/>
      <x:c r="J491" s="85"/>
      <x:c r="L491" s="86"/>
      <x:c r="M491" s="32"/>
    </x:row>
    <x:row r="492">
      <x:c r="A492" s="87"/>
      <x:c r="D492" s="32"/>
      <x:c r="I492" s="74"/>
      <x:c r="J492" s="85"/>
      <x:c r="L492" s="86"/>
      <x:c r="M492" s="32"/>
    </x:row>
    <x:row r="493">
      <x:c r="A493" s="87"/>
      <x:c r="D493" s="32"/>
      <x:c r="I493" s="74"/>
      <x:c r="J493" s="85"/>
      <x:c r="L493" s="86"/>
      <x:c r="M493" s="32"/>
    </x:row>
    <x:row r="494">
      <x:c r="A494" s="87"/>
      <x:c r="D494" s="32"/>
      <x:c r="I494" s="74"/>
      <x:c r="J494" s="85"/>
      <x:c r="L494" s="86"/>
      <x:c r="M494" s="32"/>
    </x:row>
    <x:row r="495">
      <x:c r="A495" s="87"/>
      <x:c r="D495" s="32"/>
      <x:c r="I495" s="74"/>
      <x:c r="J495" s="85"/>
      <x:c r="L495" s="86"/>
      <x:c r="M495" s="32"/>
    </x:row>
    <x:row r="496">
      <x:c r="A496" s="87"/>
      <x:c r="D496" s="32"/>
      <x:c r="I496" s="74"/>
      <x:c r="J496" s="85"/>
      <x:c r="L496" s="86"/>
      <x:c r="M496" s="32"/>
    </x:row>
    <x:row r="497">
      <x:c r="A497" s="87"/>
      <x:c r="D497" s="32"/>
      <x:c r="I497" s="74"/>
      <x:c r="J497" s="85"/>
      <x:c r="L497" s="86"/>
      <x:c r="M497" s="32"/>
    </x:row>
    <x:row r="498">
      <x:c r="A498" s="87"/>
      <x:c r="D498" s="32"/>
      <x:c r="I498" s="74"/>
      <x:c r="J498" s="85"/>
      <x:c r="L498" s="86"/>
      <x:c r="M498" s="32"/>
    </x:row>
    <x:row r="499">
      <x:c r="A499" s="87"/>
      <x:c r="D499" s="32"/>
      <x:c r="I499" s="74"/>
      <x:c r="J499" s="85"/>
      <x:c r="L499" s="86"/>
      <x:c r="M499" s="32"/>
    </x:row>
    <x:row r="500">
      <x:c r="A500" s="87"/>
      <x:c r="D500" s="32"/>
      <x:c r="I500" s="74"/>
      <x:c r="J500" s="85"/>
      <x:c r="L500" s="86"/>
      <x:c r="M500" s="32"/>
    </x:row>
    <x:row r="501">
      <x:c r="A501" s="87"/>
      <x:c r="D501" s="32"/>
      <x:c r="I501" s="74"/>
      <x:c r="J501" s="85"/>
      <x:c r="L501" s="86"/>
      <x:c r="M501" s="32"/>
    </x:row>
    <x:row r="502">
      <x:c r="A502" s="87"/>
      <x:c r="D502" s="32"/>
      <x:c r="I502" s="74"/>
      <x:c r="J502" s="85"/>
      <x:c r="L502" s="86"/>
      <x:c r="M502" s="32"/>
    </x:row>
    <x:row r="503">
      <x:c r="A503" s="87"/>
      <x:c r="D503" s="32"/>
      <x:c r="I503" s="74"/>
      <x:c r="J503" s="85"/>
      <x:c r="L503" s="86"/>
      <x:c r="M503" s="32"/>
    </x:row>
    <x:row r="504">
      <x:c r="A504" s="87"/>
      <x:c r="D504" s="32"/>
      <x:c r="I504" s="74"/>
      <x:c r="J504" s="85"/>
      <x:c r="L504" s="86"/>
      <x:c r="M504" s="32"/>
    </x:row>
    <x:row r="505">
      <x:c r="A505" s="87"/>
      <x:c r="D505" s="32"/>
      <x:c r="I505" s="74"/>
      <x:c r="J505" s="85"/>
      <x:c r="L505" s="86"/>
      <x:c r="M505" s="32"/>
    </x:row>
    <x:row r="506">
      <x:c r="A506" s="87"/>
      <x:c r="D506" s="32"/>
      <x:c r="I506" s="74"/>
      <x:c r="J506" s="85"/>
      <x:c r="L506" s="86"/>
      <x:c r="M506" s="32"/>
    </x:row>
    <x:row r="507">
      <x:c r="A507" s="87"/>
      <x:c r="D507" s="32"/>
      <x:c r="I507" s="74"/>
      <x:c r="J507" s="85"/>
      <x:c r="L507" s="86"/>
      <x:c r="M507" s="32"/>
    </x:row>
    <x:row r="508">
      <x:c r="A508" s="87"/>
      <x:c r="D508" s="32"/>
      <x:c r="I508" s="74"/>
      <x:c r="J508" s="85"/>
      <x:c r="L508" s="86"/>
      <x:c r="M508" s="32"/>
    </x:row>
    <x:row r="509">
      <x:c r="A509" s="87"/>
      <x:c r="D509" s="32"/>
      <x:c r="I509" s="74"/>
      <x:c r="J509" s="85"/>
      <x:c r="L509" s="86"/>
      <x:c r="M509" s="32"/>
    </x:row>
    <x:row r="510">
      <x:c r="A510" s="87"/>
      <x:c r="D510" s="32"/>
      <x:c r="I510" s="74"/>
      <x:c r="J510" s="85"/>
      <x:c r="L510" s="86"/>
      <x:c r="M510" s="32"/>
    </x:row>
    <x:row r="511">
      <x:c r="A511" s="87"/>
      <x:c r="D511" s="32"/>
      <x:c r="I511" s="74"/>
      <x:c r="J511" s="85"/>
      <x:c r="L511" s="86"/>
      <x:c r="M511" s="32"/>
    </x:row>
    <x:row r="512">
      <x:c r="A512" s="87"/>
      <x:c r="D512" s="32"/>
      <x:c r="I512" s="74"/>
      <x:c r="J512" s="85"/>
      <x:c r="L512" s="86"/>
      <x:c r="M512" s="32"/>
    </x:row>
    <x:row r="513">
      <x:c r="A513" s="87"/>
      <x:c r="D513" s="32"/>
      <x:c r="I513" s="74"/>
      <x:c r="J513" s="85"/>
      <x:c r="L513" s="86"/>
      <x:c r="M513" s="32"/>
    </x:row>
    <x:row r="514">
      <x:c r="A514" s="87"/>
      <x:c r="D514" s="32"/>
      <x:c r="I514" s="74"/>
      <x:c r="J514" s="85"/>
      <x:c r="L514" s="86"/>
      <x:c r="M514" s="32"/>
    </x:row>
    <x:row r="515">
      <x:c r="A515" s="87"/>
      <x:c r="D515" s="32"/>
      <x:c r="I515" s="74"/>
      <x:c r="J515" s="85"/>
      <x:c r="L515" s="86"/>
      <x:c r="M515" s="32"/>
    </x:row>
    <x:row r="516">
      <x:c r="A516" s="87"/>
      <x:c r="D516" s="32"/>
      <x:c r="I516" s="74"/>
      <x:c r="J516" s="85"/>
      <x:c r="L516" s="86"/>
      <x:c r="M516" s="32"/>
    </x:row>
    <x:row r="517">
      <x:c r="A517" s="87"/>
      <x:c r="D517" s="32"/>
      <x:c r="I517" s="74"/>
      <x:c r="J517" s="85"/>
      <x:c r="L517" s="86"/>
      <x:c r="M517" s="32"/>
    </x:row>
    <x:row r="518">
      <x:c r="A518" s="87"/>
      <x:c r="D518" s="32"/>
      <x:c r="I518" s="74"/>
      <x:c r="J518" s="85"/>
      <x:c r="L518" s="86"/>
      <x:c r="M518" s="32"/>
    </x:row>
    <x:row r="519">
      <x:c r="A519" s="87"/>
      <x:c r="D519" s="32"/>
      <x:c r="I519" s="74"/>
      <x:c r="J519" s="85"/>
      <x:c r="L519" s="86"/>
      <x:c r="M519" s="32"/>
    </x:row>
    <x:row r="520">
      <x:c r="A520" s="87"/>
      <x:c r="D520" s="32"/>
      <x:c r="I520" s="74"/>
      <x:c r="J520" s="85"/>
      <x:c r="L520" s="86"/>
      <x:c r="M520" s="32"/>
    </x:row>
    <x:row r="521">
      <x:c r="A521" s="87"/>
      <x:c r="D521" s="32"/>
      <x:c r="I521" s="74"/>
      <x:c r="J521" s="85"/>
      <x:c r="L521" s="86"/>
      <x:c r="M521" s="32"/>
    </x:row>
    <x:row r="522">
      <x:c r="A522" s="87"/>
      <x:c r="D522" s="32"/>
      <x:c r="I522" s="74"/>
      <x:c r="J522" s="85"/>
      <x:c r="L522" s="86"/>
      <x:c r="M522" s="32"/>
    </x:row>
    <x:row r="523">
      <x:c r="A523" s="87"/>
      <x:c r="D523" s="32"/>
      <x:c r="I523" s="74"/>
      <x:c r="J523" s="85"/>
      <x:c r="L523" s="86"/>
      <x:c r="M523" s="32"/>
    </x:row>
    <x:row r="524">
      <x:c r="A524" s="87"/>
      <x:c r="D524" s="32"/>
      <x:c r="I524" s="74"/>
      <x:c r="J524" s="85"/>
      <x:c r="L524" s="86"/>
      <x:c r="M524" s="32"/>
    </x:row>
    <x:row r="525">
      <x:c r="A525" s="87"/>
      <x:c r="D525" s="32"/>
      <x:c r="I525" s="74"/>
      <x:c r="J525" s="85"/>
      <x:c r="L525" s="86"/>
      <x:c r="M525" s="32"/>
    </x:row>
    <x:row r="526">
      <x:c r="A526" s="87"/>
      <x:c r="D526" s="32"/>
      <x:c r="I526" s="74"/>
      <x:c r="J526" s="85"/>
      <x:c r="L526" s="86"/>
      <x:c r="M526" s="32"/>
    </x:row>
    <x:row r="527">
      <x:c r="A527" s="87"/>
      <x:c r="D527" s="32"/>
      <x:c r="I527" s="74"/>
      <x:c r="J527" s="85"/>
      <x:c r="L527" s="86"/>
      <x:c r="M527" s="32"/>
    </x:row>
    <x:row r="528">
      <x:c r="A528" s="87"/>
      <x:c r="D528" s="32"/>
      <x:c r="I528" s="74"/>
      <x:c r="J528" s="85"/>
      <x:c r="L528" s="86"/>
      <x:c r="M528" s="32"/>
    </x:row>
    <x:row r="529">
      <x:c r="A529" s="87"/>
      <x:c r="D529" s="32"/>
      <x:c r="I529" s="74"/>
      <x:c r="J529" s="85"/>
      <x:c r="L529" s="86"/>
      <x:c r="M529" s="32"/>
    </x:row>
    <x:row r="530">
      <x:c r="A530" s="87"/>
      <x:c r="D530" s="32"/>
      <x:c r="I530" s="74"/>
      <x:c r="J530" s="85"/>
      <x:c r="L530" s="86"/>
      <x:c r="M530" s="32"/>
    </x:row>
    <x:row r="531">
      <x:c r="A531" s="87"/>
      <x:c r="D531" s="32"/>
      <x:c r="I531" s="74"/>
      <x:c r="J531" s="85"/>
      <x:c r="L531" s="86"/>
      <x:c r="M531" s="32"/>
    </x:row>
    <x:row r="532">
      <x:c r="A532" s="87"/>
      <x:c r="D532" s="32"/>
      <x:c r="I532" s="74"/>
      <x:c r="J532" s="85"/>
      <x:c r="L532" s="86"/>
      <x:c r="M532" s="32"/>
    </x:row>
    <x:row r="533">
      <x:c r="A533" s="87"/>
      <x:c r="D533" s="32"/>
      <x:c r="I533" s="74"/>
      <x:c r="J533" s="85"/>
      <x:c r="L533" s="86"/>
      <x:c r="M533" s="32"/>
    </x:row>
    <x:row r="534">
      <x:c r="A534" s="87"/>
      <x:c r="D534" s="32"/>
      <x:c r="I534" s="74"/>
      <x:c r="J534" s="85"/>
      <x:c r="L534" s="86"/>
      <x:c r="M534" s="32"/>
    </x:row>
    <x:row r="535">
      <x:c r="A535" s="87"/>
      <x:c r="D535" s="32"/>
      <x:c r="I535" s="74"/>
      <x:c r="J535" s="85"/>
      <x:c r="L535" s="86"/>
      <x:c r="M535" s="32"/>
    </x:row>
    <x:row r="536">
      <x:c r="A536" s="87"/>
      <x:c r="D536" s="32"/>
      <x:c r="I536" s="74"/>
      <x:c r="J536" s="85"/>
      <x:c r="L536" s="86"/>
      <x:c r="M536" s="32"/>
    </x:row>
    <x:row r="537">
      <x:c r="A537" s="87"/>
      <x:c r="D537" s="32"/>
      <x:c r="I537" s="74"/>
      <x:c r="J537" s="85"/>
      <x:c r="L537" s="86"/>
      <x:c r="M537" s="32"/>
    </x:row>
    <x:row r="538">
      <x:c r="A538" s="87"/>
      <x:c r="D538" s="32"/>
      <x:c r="I538" s="74"/>
      <x:c r="J538" s="85"/>
      <x:c r="L538" s="86"/>
      <x:c r="M538" s="32"/>
    </x:row>
    <x:row r="539">
      <x:c r="A539" s="87"/>
      <x:c r="D539" s="32"/>
      <x:c r="I539" s="74"/>
      <x:c r="J539" s="85"/>
      <x:c r="L539" s="86"/>
      <x:c r="M539" s="32"/>
    </x:row>
    <x:row r="540">
      <x:c r="A540" s="87"/>
      <x:c r="D540" s="32"/>
      <x:c r="I540" s="74"/>
      <x:c r="J540" s="85"/>
      <x:c r="L540" s="86"/>
      <x:c r="M540" s="32"/>
    </x:row>
    <x:row r="541">
      <x:c r="A541" s="87"/>
      <x:c r="D541" s="32"/>
      <x:c r="I541" s="74"/>
      <x:c r="J541" s="85"/>
      <x:c r="L541" s="86"/>
      <x:c r="M541" s="32"/>
    </x:row>
    <x:row r="542">
      <x:c r="A542" s="87"/>
      <x:c r="D542" s="32"/>
      <x:c r="I542" s="74"/>
      <x:c r="J542" s="85"/>
      <x:c r="L542" s="86"/>
      <x:c r="M542" s="32"/>
    </x:row>
    <x:row r="543">
      <x:c r="A543" s="87"/>
      <x:c r="D543" s="32"/>
      <x:c r="I543" s="74"/>
      <x:c r="J543" s="85"/>
      <x:c r="L543" s="86"/>
      <x:c r="M543" s="32"/>
    </x:row>
    <x:row r="544">
      <x:c r="A544" s="87"/>
      <x:c r="D544" s="32"/>
      <x:c r="I544" s="74"/>
      <x:c r="J544" s="85"/>
      <x:c r="L544" s="86"/>
      <x:c r="M544" s="32"/>
    </x:row>
    <x:row r="545">
      <x:c r="A545" s="87"/>
      <x:c r="D545" s="32"/>
      <x:c r="I545" s="74"/>
      <x:c r="J545" s="85"/>
      <x:c r="L545" s="86"/>
      <x:c r="M545" s="32"/>
    </x:row>
    <x:row r="546">
      <x:c r="A546" s="87"/>
      <x:c r="D546" s="32"/>
      <x:c r="I546" s="74"/>
      <x:c r="J546" s="85"/>
      <x:c r="L546" s="86"/>
      <x:c r="M546" s="32"/>
    </x:row>
    <x:row r="547">
      <x:c r="A547" s="87"/>
      <x:c r="D547" s="32"/>
      <x:c r="I547" s="74"/>
      <x:c r="J547" s="85"/>
      <x:c r="L547" s="86"/>
      <x:c r="M547" s="32"/>
    </x:row>
    <x:row r="548">
      <x:c r="A548" s="87"/>
      <x:c r="D548" s="32"/>
      <x:c r="I548" s="74"/>
      <x:c r="J548" s="85"/>
      <x:c r="L548" s="86"/>
      <x:c r="M548" s="32"/>
    </x:row>
    <x:row r="549">
      <x:c r="A549" s="87"/>
      <x:c r="D549" s="32"/>
      <x:c r="I549" s="74"/>
      <x:c r="J549" s="85"/>
      <x:c r="L549" s="86"/>
      <x:c r="M549" s="32"/>
    </x:row>
    <x:row r="550">
      <x:c r="A550" s="87"/>
      <x:c r="D550" s="32"/>
      <x:c r="I550" s="74"/>
      <x:c r="J550" s="85"/>
      <x:c r="L550" s="86"/>
      <x:c r="M550" s="32"/>
    </x:row>
    <x:row r="551">
      <x:c r="A551" s="87"/>
      <x:c r="D551" s="32"/>
      <x:c r="I551" s="74"/>
      <x:c r="J551" s="85"/>
      <x:c r="L551" s="86"/>
      <x:c r="M551" s="32"/>
    </x:row>
    <x:row r="552">
      <x:c r="A552" s="87"/>
      <x:c r="D552" s="32"/>
      <x:c r="I552" s="74"/>
      <x:c r="J552" s="85"/>
      <x:c r="L552" s="86"/>
      <x:c r="M552" s="32"/>
    </x:row>
    <x:row r="553">
      <x:c r="A553" s="87"/>
      <x:c r="D553" s="32"/>
      <x:c r="I553" s="74"/>
      <x:c r="J553" s="85"/>
      <x:c r="L553" s="86"/>
      <x:c r="M553" s="32"/>
    </x:row>
    <x:row r="554">
      <x:c r="A554" s="87"/>
      <x:c r="D554" s="32"/>
      <x:c r="I554" s="74"/>
      <x:c r="J554" s="85"/>
      <x:c r="L554" s="86"/>
      <x:c r="M554" s="32"/>
    </x:row>
    <x:row r="555">
      <x:c r="A555" s="87"/>
      <x:c r="D555" s="32"/>
      <x:c r="I555" s="74"/>
      <x:c r="J555" s="85"/>
      <x:c r="L555" s="86"/>
      <x:c r="M555" s="32"/>
    </x:row>
    <x:row r="556">
      <x:c r="A556" s="87"/>
      <x:c r="D556" s="32"/>
      <x:c r="I556" s="74"/>
      <x:c r="J556" s="85"/>
      <x:c r="L556" s="86"/>
      <x:c r="M556" s="32"/>
    </x:row>
    <x:row r="557">
      <x:c r="A557" s="87"/>
      <x:c r="D557" s="32"/>
      <x:c r="I557" s="74"/>
      <x:c r="J557" s="85"/>
      <x:c r="L557" s="86"/>
      <x:c r="M557" s="32"/>
    </x:row>
    <x:row r="558">
      <x:c r="A558" s="87"/>
      <x:c r="D558" s="32"/>
      <x:c r="I558" s="74"/>
      <x:c r="J558" s="85"/>
      <x:c r="L558" s="86"/>
      <x:c r="M558" s="32"/>
    </x:row>
    <x:row r="559">
      <x:c r="A559" s="87"/>
      <x:c r="D559" s="32"/>
      <x:c r="I559" s="74"/>
      <x:c r="J559" s="85"/>
      <x:c r="L559" s="86"/>
      <x:c r="M559" s="32"/>
    </x:row>
    <x:row r="560">
      <x:c r="A560" s="87"/>
      <x:c r="D560" s="32"/>
      <x:c r="I560" s="74"/>
      <x:c r="J560" s="85"/>
      <x:c r="L560" s="86"/>
      <x:c r="M560" s="32"/>
    </x:row>
    <x:row r="561">
      <x:c r="A561" s="87"/>
      <x:c r="D561" s="32"/>
      <x:c r="I561" s="74"/>
      <x:c r="J561" s="85"/>
      <x:c r="L561" s="86"/>
      <x:c r="M561" s="32"/>
    </x:row>
    <x:row r="562">
      <x:c r="A562" s="87"/>
      <x:c r="D562" s="32"/>
      <x:c r="I562" s="74"/>
      <x:c r="J562" s="85"/>
      <x:c r="L562" s="86"/>
      <x:c r="M562" s="32"/>
    </x:row>
    <x:row r="563">
      <x:c r="A563" s="87"/>
      <x:c r="D563" s="32"/>
      <x:c r="I563" s="74"/>
      <x:c r="J563" s="85"/>
      <x:c r="L563" s="86"/>
      <x:c r="M563" s="32"/>
    </x:row>
    <x:row r="564">
      <x:c r="A564" s="87"/>
      <x:c r="D564" s="32"/>
      <x:c r="I564" s="74"/>
      <x:c r="J564" s="85"/>
      <x:c r="L564" s="86"/>
      <x:c r="M564" s="32"/>
    </x:row>
    <x:row r="565">
      <x:c r="A565" s="87"/>
      <x:c r="D565" s="32"/>
      <x:c r="I565" s="74"/>
      <x:c r="J565" s="85"/>
      <x:c r="L565" s="86"/>
      <x:c r="M565" s="32"/>
    </x:row>
    <x:row r="566">
      <x:c r="A566" s="87"/>
      <x:c r="D566" s="32"/>
      <x:c r="I566" s="74"/>
      <x:c r="J566" s="85"/>
      <x:c r="L566" s="86"/>
      <x:c r="M566" s="32"/>
    </x:row>
    <x:row r="567">
      <x:c r="A567" s="87"/>
      <x:c r="D567" s="32"/>
      <x:c r="I567" s="74"/>
      <x:c r="J567" s="85"/>
      <x:c r="L567" s="86"/>
      <x:c r="M567" s="32"/>
    </x:row>
    <x:row r="568">
      <x:c r="A568" s="87"/>
      <x:c r="D568" s="32"/>
      <x:c r="I568" s="74"/>
      <x:c r="J568" s="85"/>
      <x:c r="L568" s="86"/>
      <x:c r="M568" s="32"/>
    </x:row>
    <x:row r="569">
      <x:c r="A569" s="87"/>
      <x:c r="D569" s="32"/>
      <x:c r="I569" s="74"/>
      <x:c r="J569" s="85"/>
      <x:c r="L569" s="86"/>
      <x:c r="M569" s="32"/>
    </x:row>
    <x:row r="570">
      <x:c r="A570" s="87"/>
      <x:c r="D570" s="32"/>
      <x:c r="I570" s="74"/>
      <x:c r="J570" s="85"/>
      <x:c r="L570" s="86"/>
      <x:c r="M570" s="32"/>
    </x:row>
    <x:row r="571">
      <x:c r="A571" s="87"/>
      <x:c r="D571" s="32"/>
      <x:c r="I571" s="74"/>
      <x:c r="J571" s="85"/>
      <x:c r="L571" s="86"/>
      <x:c r="M571" s="32"/>
    </x:row>
    <x:row r="572">
      <x:c r="A572" s="87"/>
      <x:c r="D572" s="32"/>
      <x:c r="I572" s="74"/>
      <x:c r="J572" s="85"/>
      <x:c r="L572" s="86"/>
      <x:c r="M572" s="32"/>
    </x:row>
    <x:row r="573">
      <x:c r="A573" s="87"/>
      <x:c r="D573" s="32"/>
      <x:c r="I573" s="74"/>
      <x:c r="J573" s="85"/>
      <x:c r="L573" s="86"/>
      <x:c r="M573" s="32"/>
    </x:row>
    <x:row r="574">
      <x:c r="A574" s="87"/>
      <x:c r="D574" s="32"/>
      <x:c r="I574" s="74"/>
      <x:c r="J574" s="85"/>
      <x:c r="L574" s="86"/>
      <x:c r="M574" s="32"/>
    </x:row>
    <x:row r="575">
      <x:c r="A575" s="87"/>
      <x:c r="D575" s="32"/>
      <x:c r="I575" s="74"/>
      <x:c r="J575" s="85"/>
      <x:c r="L575" s="86"/>
      <x:c r="M575" s="32"/>
    </x:row>
    <x:row r="576">
      <x:c r="A576" s="87"/>
      <x:c r="D576" s="32"/>
      <x:c r="I576" s="74"/>
      <x:c r="J576" s="85"/>
      <x:c r="L576" s="86"/>
      <x:c r="M576" s="32"/>
    </x:row>
    <x:row r="577">
      <x:c r="A577" s="87"/>
      <x:c r="D577" s="32"/>
      <x:c r="I577" s="74"/>
      <x:c r="J577" s="85"/>
      <x:c r="L577" s="86"/>
      <x:c r="M577" s="32"/>
    </x:row>
    <x:row r="578">
      <x:c r="A578" s="87"/>
      <x:c r="D578" s="32"/>
      <x:c r="I578" s="74"/>
      <x:c r="J578" s="85"/>
      <x:c r="L578" s="86"/>
      <x:c r="M578" s="32"/>
    </x:row>
    <x:row r="579">
      <x:c r="A579" s="87"/>
      <x:c r="D579" s="32"/>
      <x:c r="I579" s="74"/>
      <x:c r="J579" s="85"/>
      <x:c r="L579" s="86"/>
      <x:c r="M579" s="32"/>
    </x:row>
    <x:row r="580">
      <x:c r="A580" s="87"/>
      <x:c r="D580" s="32"/>
      <x:c r="I580" s="74"/>
      <x:c r="J580" s="85"/>
      <x:c r="L580" s="86"/>
      <x:c r="M580" s="32"/>
    </x:row>
    <x:row r="581">
      <x:c r="A581" s="87"/>
      <x:c r="D581" s="32"/>
      <x:c r="I581" s="74"/>
      <x:c r="J581" s="85"/>
      <x:c r="L581" s="86"/>
      <x:c r="M581" s="32"/>
    </x:row>
    <x:row r="582">
      <x:c r="A582" s="87"/>
      <x:c r="D582" s="32"/>
      <x:c r="I582" s="74"/>
      <x:c r="J582" s="85"/>
      <x:c r="L582" s="86"/>
      <x:c r="M582" s="32"/>
    </x:row>
    <x:row r="583">
      <x:c r="A583" s="87"/>
      <x:c r="D583" s="32"/>
      <x:c r="I583" s="74"/>
      <x:c r="J583" s="85"/>
      <x:c r="L583" s="86"/>
      <x:c r="M583" s="32"/>
    </x:row>
    <x:row r="584">
      <x:c r="A584" s="87"/>
      <x:c r="D584" s="32"/>
      <x:c r="I584" s="74"/>
      <x:c r="J584" s="85"/>
      <x:c r="L584" s="86"/>
      <x:c r="M584" s="32"/>
    </x:row>
    <x:row r="585">
      <x:c r="A585" s="87"/>
      <x:c r="D585" s="32"/>
      <x:c r="I585" s="74"/>
      <x:c r="J585" s="85"/>
      <x:c r="L585" s="86"/>
      <x:c r="M585" s="32"/>
    </x:row>
    <x:row r="586">
      <x:c r="A586" s="87"/>
      <x:c r="D586" s="32"/>
      <x:c r="I586" s="74"/>
      <x:c r="J586" s="85"/>
      <x:c r="L586" s="86"/>
      <x:c r="M586" s="32"/>
    </x:row>
    <x:row r="587">
      <x:c r="A587" s="87"/>
      <x:c r="D587" s="32"/>
      <x:c r="I587" s="74"/>
      <x:c r="J587" s="85"/>
      <x:c r="L587" s="86"/>
      <x:c r="M587" s="32"/>
    </x:row>
    <x:row r="588">
      <x:c r="A588" s="87"/>
      <x:c r="D588" s="32"/>
      <x:c r="I588" s="74"/>
      <x:c r="J588" s="85"/>
      <x:c r="L588" s="86"/>
      <x:c r="M588" s="32"/>
    </x:row>
    <x:row r="589">
      <x:c r="A589" s="87"/>
      <x:c r="D589" s="32"/>
      <x:c r="I589" s="74"/>
      <x:c r="J589" s="85"/>
      <x:c r="L589" s="86"/>
      <x:c r="M589" s="32"/>
    </x:row>
    <x:row r="590">
      <x:c r="A590" s="87"/>
      <x:c r="D590" s="32"/>
      <x:c r="I590" s="74"/>
      <x:c r="J590" s="85"/>
      <x:c r="L590" s="86"/>
      <x:c r="M590" s="32"/>
    </x:row>
    <x:row r="591">
      <x:c r="A591" s="87"/>
      <x:c r="D591" s="32"/>
      <x:c r="I591" s="74"/>
      <x:c r="J591" s="85"/>
      <x:c r="L591" s="86"/>
      <x:c r="M591" s="32"/>
    </x:row>
    <x:row r="592">
      <x:c r="A592" s="87"/>
      <x:c r="D592" s="32"/>
      <x:c r="I592" s="74"/>
      <x:c r="J592" s="85"/>
      <x:c r="L592" s="86"/>
      <x:c r="M592" s="32"/>
    </x:row>
    <x:row r="593">
      <x:c r="A593" s="87"/>
      <x:c r="D593" s="32"/>
      <x:c r="I593" s="74"/>
      <x:c r="J593" s="85"/>
      <x:c r="L593" s="86"/>
      <x:c r="M593" s="32"/>
    </x:row>
    <x:row r="594">
      <x:c r="A594" s="87"/>
      <x:c r="D594" s="32"/>
      <x:c r="I594" s="74"/>
      <x:c r="J594" s="85"/>
      <x:c r="L594" s="86"/>
      <x:c r="M594" s="32"/>
    </x:row>
    <x:row r="595">
      <x:c r="A595" s="87"/>
      <x:c r="D595" s="32"/>
      <x:c r="I595" s="74"/>
      <x:c r="J595" s="85"/>
      <x:c r="L595" s="86"/>
      <x:c r="M595" s="32"/>
    </x:row>
    <x:row r="596">
      <x:c r="A596" s="87"/>
      <x:c r="D596" s="32"/>
      <x:c r="I596" s="74"/>
      <x:c r="J596" s="85"/>
      <x:c r="L596" s="86"/>
      <x:c r="M596" s="32"/>
    </x:row>
    <x:row r="597">
      <x:c r="A597" s="87"/>
      <x:c r="D597" s="32"/>
      <x:c r="I597" s="74"/>
      <x:c r="J597" s="85"/>
      <x:c r="L597" s="86"/>
      <x:c r="M597" s="32"/>
    </x:row>
    <x:row r="598">
      <x:c r="A598" s="87"/>
      <x:c r="D598" s="32"/>
      <x:c r="I598" s="74"/>
      <x:c r="J598" s="85"/>
      <x:c r="L598" s="86"/>
      <x:c r="M598" s="32"/>
    </x:row>
    <x:row r="599">
      <x:c r="A599" s="87"/>
      <x:c r="D599" s="32"/>
      <x:c r="I599" s="74"/>
      <x:c r="J599" s="85"/>
      <x:c r="L599" s="86"/>
      <x:c r="M599" s="32"/>
    </x:row>
    <x:row r="600">
      <x:c r="A600" s="87"/>
      <x:c r="D600" s="32"/>
      <x:c r="I600" s="74"/>
      <x:c r="J600" s="85"/>
      <x:c r="L600" s="86"/>
      <x:c r="M600" s="32"/>
    </x:row>
    <x:row r="601">
      <x:c r="A601" s="87"/>
      <x:c r="D601" s="32"/>
      <x:c r="I601" s="74"/>
      <x:c r="J601" s="85"/>
      <x:c r="L601" s="86"/>
      <x:c r="M601" s="32"/>
    </x:row>
    <x:row r="602">
      <x:c r="A602" s="87"/>
      <x:c r="D602" s="32"/>
      <x:c r="I602" s="74"/>
      <x:c r="J602" s="85"/>
      <x:c r="L602" s="86"/>
      <x:c r="M602" s="32"/>
    </x:row>
    <x:row r="603">
      <x:c r="A603" s="87"/>
      <x:c r="D603" s="32"/>
      <x:c r="I603" s="74"/>
      <x:c r="J603" s="85"/>
      <x:c r="L603" s="86"/>
      <x:c r="M603" s="32"/>
    </x:row>
    <x:row r="604">
      <x:c r="A604" s="87"/>
      <x:c r="D604" s="32"/>
      <x:c r="I604" s="74"/>
      <x:c r="J604" s="85"/>
      <x:c r="L604" s="86"/>
      <x:c r="M604" s="32"/>
    </x:row>
    <x:row r="605">
      <x:c r="A605" s="87"/>
      <x:c r="D605" s="32"/>
      <x:c r="I605" s="74"/>
      <x:c r="J605" s="85"/>
      <x:c r="L605" s="86"/>
      <x:c r="M605" s="32"/>
    </x:row>
    <x:row r="606">
      <x:c r="A606" s="87"/>
      <x:c r="D606" s="32"/>
      <x:c r="I606" s="74"/>
      <x:c r="J606" s="85"/>
      <x:c r="L606" s="86"/>
      <x:c r="M606" s="32"/>
    </x:row>
    <x:row r="607">
      <x:c r="A607" s="87"/>
      <x:c r="D607" s="32"/>
      <x:c r="I607" s="74"/>
      <x:c r="J607" s="85"/>
      <x:c r="L607" s="86"/>
      <x:c r="M607" s="32"/>
    </x:row>
    <x:row r="608">
      <x:c r="A608" s="87"/>
      <x:c r="D608" s="32"/>
      <x:c r="I608" s="74"/>
      <x:c r="J608" s="85"/>
      <x:c r="L608" s="86"/>
      <x:c r="M608" s="32"/>
    </x:row>
    <x:row r="609">
      <x:c r="A609" s="87"/>
      <x:c r="D609" s="32"/>
      <x:c r="I609" s="74"/>
      <x:c r="J609" s="85"/>
      <x:c r="L609" s="86"/>
      <x:c r="M609" s="32"/>
    </x:row>
    <x:row r="610">
      <x:c r="A610" s="87"/>
      <x:c r="D610" s="32"/>
      <x:c r="I610" s="74"/>
      <x:c r="J610" s="85"/>
      <x:c r="L610" s="86"/>
      <x:c r="M610" s="32"/>
    </x:row>
    <x:row r="611">
      <x:c r="A611" s="87"/>
      <x:c r="D611" s="32"/>
      <x:c r="I611" s="74"/>
      <x:c r="J611" s="85"/>
      <x:c r="L611" s="86"/>
      <x:c r="M611" s="32"/>
    </x:row>
    <x:row r="612">
      <x:c r="A612" s="87"/>
      <x:c r="D612" s="32"/>
      <x:c r="I612" s="74"/>
      <x:c r="J612" s="85"/>
      <x:c r="L612" s="86"/>
      <x:c r="M612" s="32"/>
    </x:row>
    <x:row r="613">
      <x:c r="A613" s="87"/>
      <x:c r="D613" s="32"/>
      <x:c r="I613" s="74"/>
      <x:c r="J613" s="85"/>
      <x:c r="L613" s="86"/>
      <x:c r="M613" s="32"/>
    </x:row>
    <x:row r="614">
      <x:c r="A614" s="87"/>
      <x:c r="D614" s="32"/>
      <x:c r="I614" s="74"/>
      <x:c r="J614" s="85"/>
      <x:c r="L614" s="86"/>
      <x:c r="M614" s="32"/>
    </x:row>
    <x:row r="615">
      <x:c r="A615" s="87"/>
      <x:c r="D615" s="32"/>
      <x:c r="I615" s="74"/>
      <x:c r="J615" s="85"/>
      <x:c r="L615" s="86"/>
      <x:c r="M615" s="32"/>
    </x:row>
    <x:row r="616">
      <x:c r="A616" s="87"/>
      <x:c r="D616" s="32"/>
      <x:c r="I616" s="74"/>
      <x:c r="J616" s="85"/>
      <x:c r="L616" s="86"/>
      <x:c r="M616" s="32"/>
    </x:row>
    <x:row r="617">
      <x:c r="A617" s="87"/>
      <x:c r="D617" s="32"/>
      <x:c r="I617" s="74"/>
      <x:c r="J617" s="85"/>
      <x:c r="L617" s="86"/>
      <x:c r="M617" s="32"/>
    </x:row>
    <x:row r="618">
      <x:c r="A618" s="87"/>
      <x:c r="D618" s="32"/>
      <x:c r="I618" s="74"/>
      <x:c r="J618" s="85"/>
      <x:c r="L618" s="86"/>
      <x:c r="M618" s="32"/>
    </x:row>
    <x:row r="619">
      <x:c r="A619" s="87"/>
      <x:c r="D619" s="32"/>
      <x:c r="I619" s="74"/>
      <x:c r="J619" s="85"/>
      <x:c r="L619" s="86"/>
      <x:c r="M619" s="32"/>
    </x:row>
    <x:row r="620">
      <x:c r="A620" s="87"/>
      <x:c r="D620" s="32"/>
      <x:c r="I620" s="74"/>
      <x:c r="J620" s="85"/>
      <x:c r="L620" s="86"/>
      <x:c r="M620" s="32"/>
    </x:row>
    <x:row r="621">
      <x:c r="A621" s="87"/>
      <x:c r="D621" s="32"/>
      <x:c r="I621" s="74"/>
      <x:c r="J621" s="85"/>
      <x:c r="L621" s="86"/>
      <x:c r="M621" s="32"/>
    </x:row>
    <x:row r="622">
      <x:c r="A622" s="87"/>
      <x:c r="D622" s="32"/>
      <x:c r="I622" s="74"/>
      <x:c r="J622" s="85"/>
      <x:c r="L622" s="86"/>
      <x:c r="M622" s="32"/>
    </x:row>
    <x:row r="623">
      <x:c r="A623" s="87"/>
      <x:c r="D623" s="32"/>
      <x:c r="I623" s="74"/>
      <x:c r="J623" s="85"/>
      <x:c r="L623" s="86"/>
      <x:c r="M623" s="32"/>
    </x:row>
    <x:row r="624">
      <x:c r="A624" s="87"/>
      <x:c r="D624" s="32"/>
      <x:c r="I624" s="74"/>
      <x:c r="J624" s="85"/>
      <x:c r="L624" s="86"/>
      <x:c r="M624" s="32"/>
    </x:row>
    <x:row r="625">
      <x:c r="A625" s="87"/>
      <x:c r="D625" s="32"/>
      <x:c r="I625" s="74"/>
      <x:c r="J625" s="85"/>
      <x:c r="L625" s="86"/>
      <x:c r="M625" s="32"/>
    </x:row>
    <x:row r="626">
      <x:c r="A626" s="87"/>
      <x:c r="D626" s="32"/>
      <x:c r="I626" s="74"/>
      <x:c r="J626" s="85"/>
      <x:c r="L626" s="86"/>
      <x:c r="M626" s="32"/>
    </x:row>
    <x:row r="627">
      <x:c r="A627" s="87"/>
      <x:c r="D627" s="32"/>
      <x:c r="I627" s="74"/>
      <x:c r="J627" s="85"/>
      <x:c r="L627" s="86"/>
      <x:c r="M627" s="32"/>
    </x:row>
    <x:row r="628">
      <x:c r="A628" s="87"/>
      <x:c r="D628" s="32"/>
      <x:c r="I628" s="74"/>
      <x:c r="J628" s="85"/>
      <x:c r="L628" s="86"/>
      <x:c r="M628" s="32"/>
    </x:row>
    <x:row r="629">
      <x:c r="A629" s="87"/>
      <x:c r="D629" s="32"/>
      <x:c r="I629" s="74"/>
      <x:c r="J629" s="85"/>
      <x:c r="L629" s="86"/>
      <x:c r="M629" s="32"/>
    </x:row>
    <x:row r="630">
      <x:c r="A630" s="87"/>
      <x:c r="D630" s="32"/>
      <x:c r="I630" s="74"/>
      <x:c r="J630" s="85"/>
      <x:c r="L630" s="86"/>
      <x:c r="M630" s="32"/>
    </x:row>
    <x:row r="631">
      <x:c r="A631" s="87"/>
      <x:c r="D631" s="32"/>
      <x:c r="I631" s="74"/>
      <x:c r="J631" s="85"/>
      <x:c r="L631" s="86"/>
      <x:c r="M631" s="32"/>
    </x:row>
    <x:row r="632">
      <x:c r="A632" s="87"/>
      <x:c r="D632" s="32"/>
      <x:c r="I632" s="74"/>
      <x:c r="J632" s="85"/>
      <x:c r="L632" s="86"/>
      <x:c r="M632" s="32"/>
    </x:row>
    <x:row r="633">
      <x:c r="A633" s="87"/>
      <x:c r="D633" s="32"/>
      <x:c r="I633" s="74"/>
      <x:c r="J633" s="85"/>
      <x:c r="L633" s="86"/>
      <x:c r="M633" s="32"/>
    </x:row>
    <x:row r="634">
      <x:c r="A634" s="87"/>
      <x:c r="D634" s="32"/>
      <x:c r="I634" s="74"/>
      <x:c r="J634" s="85"/>
      <x:c r="L634" s="86"/>
      <x:c r="M634" s="32"/>
    </x:row>
    <x:row r="635">
      <x:c r="A635" s="87"/>
      <x:c r="D635" s="32"/>
      <x:c r="I635" s="74"/>
      <x:c r="J635" s="85"/>
      <x:c r="L635" s="86"/>
      <x:c r="M635" s="32"/>
    </x:row>
    <x:row r="636">
      <x:c r="A636" s="87"/>
      <x:c r="D636" s="32"/>
      <x:c r="I636" s="74"/>
      <x:c r="J636" s="85"/>
      <x:c r="L636" s="86"/>
      <x:c r="M636" s="32"/>
    </x:row>
    <x:row r="637">
      <x:c r="A637" s="87"/>
      <x:c r="D637" s="32"/>
      <x:c r="I637" s="74"/>
      <x:c r="J637" s="85"/>
      <x:c r="L637" s="86"/>
      <x:c r="M637" s="32"/>
    </x:row>
    <x:row r="638">
      <x:c r="A638" s="87"/>
      <x:c r="D638" s="32"/>
      <x:c r="I638" s="74"/>
      <x:c r="J638" s="85"/>
      <x:c r="L638" s="86"/>
      <x:c r="M638" s="32"/>
    </x:row>
    <x:row r="639">
      <x:c r="A639" s="87"/>
      <x:c r="D639" s="32"/>
      <x:c r="I639" s="74"/>
      <x:c r="J639" s="85"/>
      <x:c r="L639" s="86"/>
      <x:c r="M639" s="32"/>
    </x:row>
    <x:row r="640">
      <x:c r="A640" s="87"/>
      <x:c r="D640" s="32"/>
      <x:c r="I640" s="74"/>
      <x:c r="J640" s="85"/>
      <x:c r="L640" s="86"/>
      <x:c r="M640" s="32"/>
    </x:row>
    <x:row r="641">
      <x:c r="A641" s="87"/>
      <x:c r="D641" s="32"/>
      <x:c r="I641" s="74"/>
      <x:c r="J641" s="85"/>
      <x:c r="L641" s="86"/>
      <x:c r="M641" s="32"/>
    </x:row>
    <x:row r="642">
      <x:c r="A642" s="87"/>
      <x:c r="D642" s="32"/>
      <x:c r="I642" s="74"/>
      <x:c r="J642" s="85"/>
      <x:c r="L642" s="86"/>
      <x:c r="M642" s="32"/>
    </x:row>
    <x:row r="643">
      <x:c r="A643" s="87"/>
      <x:c r="D643" s="32"/>
      <x:c r="I643" s="74"/>
      <x:c r="J643" s="85"/>
      <x:c r="L643" s="86"/>
      <x:c r="M643" s="32"/>
    </x:row>
    <x:row r="644">
      <x:c r="A644" s="87"/>
      <x:c r="D644" s="32"/>
      <x:c r="I644" s="74"/>
      <x:c r="J644" s="85"/>
      <x:c r="L644" s="86"/>
      <x:c r="M644" s="32"/>
    </x:row>
    <x:row r="645">
      <x:c r="A645" s="87"/>
      <x:c r="D645" s="32"/>
      <x:c r="I645" s="74"/>
      <x:c r="J645" s="85"/>
      <x:c r="L645" s="86"/>
      <x:c r="M645" s="32"/>
    </x:row>
    <x:row r="646">
      <x:c r="A646" s="87"/>
      <x:c r="D646" s="32"/>
      <x:c r="I646" s="74"/>
      <x:c r="J646" s="85"/>
      <x:c r="L646" s="86"/>
      <x:c r="M646" s="32"/>
    </x:row>
    <x:row r="647">
      <x:c r="A647" s="87"/>
      <x:c r="D647" s="32"/>
      <x:c r="I647" s="74"/>
      <x:c r="J647" s="85"/>
      <x:c r="L647" s="86"/>
      <x:c r="M647" s="32"/>
    </x:row>
    <x:row r="648">
      <x:c r="A648" s="87"/>
      <x:c r="D648" s="32"/>
      <x:c r="I648" s="74"/>
      <x:c r="J648" s="85"/>
      <x:c r="L648" s="86"/>
      <x:c r="M648" s="32"/>
    </x:row>
    <x:row r="649">
      <x:c r="A649" s="87"/>
      <x:c r="D649" s="32"/>
      <x:c r="I649" s="74"/>
      <x:c r="J649" s="85"/>
      <x:c r="L649" s="86"/>
      <x:c r="M649" s="32"/>
    </x:row>
    <x:row r="650">
      <x:c r="A650" s="87"/>
      <x:c r="D650" s="32"/>
      <x:c r="I650" s="74"/>
      <x:c r="J650" s="85"/>
      <x:c r="L650" s="86"/>
      <x:c r="M650" s="32"/>
    </x:row>
    <x:row r="651">
      <x:c r="A651" s="87"/>
      <x:c r="D651" s="32"/>
      <x:c r="I651" s="74"/>
      <x:c r="J651" s="85"/>
      <x:c r="L651" s="86"/>
      <x:c r="M651" s="32"/>
    </x:row>
    <x:row r="652">
      <x:c r="A652" s="87"/>
      <x:c r="D652" s="32"/>
      <x:c r="I652" s="74"/>
      <x:c r="J652" s="85"/>
      <x:c r="L652" s="86"/>
      <x:c r="M652" s="32"/>
    </x:row>
    <x:row r="653">
      <x:c r="A653" s="87"/>
      <x:c r="D653" s="32"/>
      <x:c r="I653" s="74"/>
      <x:c r="J653" s="85"/>
      <x:c r="L653" s="86"/>
      <x:c r="M653" s="32"/>
    </x:row>
    <x:row r="654">
      <x:c r="A654" s="87"/>
      <x:c r="D654" s="32"/>
      <x:c r="I654" s="74"/>
      <x:c r="J654" s="85"/>
      <x:c r="L654" s="86"/>
      <x:c r="M654" s="32"/>
    </x:row>
    <x:row r="655">
      <x:c r="A655" s="87"/>
      <x:c r="D655" s="32"/>
      <x:c r="I655" s="74"/>
      <x:c r="J655" s="85"/>
      <x:c r="L655" s="86"/>
      <x:c r="M655" s="32"/>
    </x:row>
    <x:row r="656">
      <x:c r="A656" s="87"/>
      <x:c r="D656" s="32"/>
      <x:c r="I656" s="74"/>
      <x:c r="J656" s="85"/>
      <x:c r="L656" s="86"/>
      <x:c r="M656" s="32"/>
    </x:row>
    <x:row r="657">
      <x:c r="A657" s="87"/>
      <x:c r="D657" s="32"/>
      <x:c r="I657" s="74"/>
      <x:c r="J657" s="85"/>
      <x:c r="L657" s="86"/>
      <x:c r="M657" s="32"/>
    </x:row>
    <x:row r="658">
      <x:c r="A658" s="87"/>
      <x:c r="D658" s="32"/>
      <x:c r="I658" s="74"/>
      <x:c r="J658" s="85"/>
      <x:c r="L658" s="86"/>
      <x:c r="M658" s="32"/>
    </x:row>
    <x:row r="659">
      <x:c r="A659" s="87"/>
      <x:c r="D659" s="32"/>
      <x:c r="I659" s="74"/>
      <x:c r="J659" s="85"/>
      <x:c r="L659" s="86"/>
      <x:c r="M659" s="32"/>
    </x:row>
    <x:row r="660">
      <x:c r="A660" s="87"/>
      <x:c r="D660" s="32"/>
      <x:c r="I660" s="74"/>
      <x:c r="J660" s="85"/>
      <x:c r="L660" s="86"/>
      <x:c r="M660" s="32"/>
    </x:row>
    <x:row r="661">
      <x:c r="A661" s="87"/>
      <x:c r="D661" s="32"/>
      <x:c r="I661" s="74"/>
      <x:c r="J661" s="85"/>
      <x:c r="L661" s="86"/>
      <x:c r="M661" s="32"/>
    </x:row>
    <x:row r="662">
      <x:c r="A662" s="87"/>
      <x:c r="D662" s="32"/>
      <x:c r="I662" s="74"/>
      <x:c r="J662" s="85"/>
      <x:c r="L662" s="86"/>
      <x:c r="M662" s="32"/>
    </x:row>
    <x:row r="663">
      <x:c r="A663" s="87"/>
      <x:c r="D663" s="32"/>
      <x:c r="I663" s="74"/>
      <x:c r="J663" s="85"/>
      <x:c r="L663" s="86"/>
      <x:c r="M663" s="32"/>
    </x:row>
    <x:row r="664">
      <x:c r="A664" s="87"/>
      <x:c r="D664" s="32"/>
      <x:c r="I664" s="74"/>
      <x:c r="J664" s="85"/>
      <x:c r="L664" s="86"/>
      <x:c r="M664" s="32"/>
    </x:row>
    <x:row r="665">
      <x:c r="A665" s="87"/>
      <x:c r="D665" s="32"/>
      <x:c r="I665" s="74"/>
      <x:c r="J665" s="85"/>
      <x:c r="L665" s="86"/>
      <x:c r="M665" s="32"/>
    </x:row>
    <x:row r="666">
      <x:c r="A666" s="87"/>
      <x:c r="D666" s="32"/>
      <x:c r="I666" s="74"/>
      <x:c r="J666" s="85"/>
      <x:c r="L666" s="86"/>
      <x:c r="M666" s="32"/>
    </x:row>
    <x:row r="667">
      <x:c r="A667" s="87"/>
      <x:c r="D667" s="32"/>
      <x:c r="I667" s="74"/>
      <x:c r="J667" s="85"/>
      <x:c r="L667" s="86"/>
      <x:c r="M667" s="32"/>
    </x:row>
    <x:row r="668">
      <x:c r="A668" s="87"/>
      <x:c r="D668" s="32"/>
      <x:c r="I668" s="74"/>
      <x:c r="J668" s="85"/>
      <x:c r="L668" s="86"/>
      <x:c r="M668" s="32"/>
    </x:row>
    <x:row r="669">
      <x:c r="A669" s="87"/>
      <x:c r="D669" s="32"/>
      <x:c r="I669" s="74"/>
      <x:c r="J669" s="85"/>
      <x:c r="L669" s="86"/>
      <x:c r="M669" s="32"/>
    </x:row>
    <x:row r="670">
      <x:c r="A670" s="87"/>
      <x:c r="D670" s="32"/>
      <x:c r="I670" s="74"/>
      <x:c r="J670" s="85"/>
      <x:c r="L670" s="86"/>
      <x:c r="M670" s="32"/>
    </x:row>
    <x:row r="671">
      <x:c r="A671" s="87"/>
      <x:c r="D671" s="32"/>
      <x:c r="I671" s="74"/>
      <x:c r="J671" s="85"/>
      <x:c r="L671" s="86"/>
      <x:c r="M671" s="32"/>
    </x:row>
    <x:row r="672">
      <x:c r="A672" s="87"/>
      <x:c r="D672" s="32"/>
      <x:c r="I672" s="74"/>
      <x:c r="J672" s="85"/>
      <x:c r="L672" s="86"/>
      <x:c r="M672" s="32"/>
    </x:row>
    <x:row r="673">
      <x:c r="A673" s="87"/>
      <x:c r="D673" s="32"/>
      <x:c r="I673" s="74"/>
      <x:c r="J673" s="85"/>
      <x:c r="L673" s="86"/>
      <x:c r="M673" s="32"/>
    </x:row>
    <x:row r="674">
      <x:c r="A674" s="87"/>
      <x:c r="D674" s="32"/>
      <x:c r="I674" s="74"/>
      <x:c r="J674" s="85"/>
      <x:c r="L674" s="86"/>
      <x:c r="M674" s="32"/>
    </x:row>
    <x:row r="675">
      <x:c r="A675" s="87"/>
      <x:c r="D675" s="32"/>
      <x:c r="I675" s="74"/>
      <x:c r="J675" s="85"/>
      <x:c r="L675" s="86"/>
      <x:c r="M675" s="32"/>
    </x:row>
    <x:row r="676">
      <x:c r="A676" s="87"/>
      <x:c r="D676" s="32"/>
      <x:c r="I676" s="74"/>
      <x:c r="J676" s="85"/>
      <x:c r="L676" s="86"/>
      <x:c r="M676" s="32"/>
    </x:row>
    <x:row r="677">
      <x:c r="A677" s="87"/>
      <x:c r="D677" s="32"/>
      <x:c r="I677" s="74"/>
      <x:c r="J677" s="85"/>
      <x:c r="L677" s="86"/>
      <x:c r="M677" s="32"/>
    </x:row>
    <x:row r="678">
      <x:c r="A678" s="87"/>
      <x:c r="D678" s="32"/>
      <x:c r="I678" s="74"/>
      <x:c r="J678" s="85"/>
      <x:c r="L678" s="86"/>
      <x:c r="M678" s="32"/>
    </x:row>
    <x:row r="679">
      <x:c r="A679" s="87"/>
      <x:c r="D679" s="32"/>
      <x:c r="I679" s="74"/>
      <x:c r="J679" s="85"/>
      <x:c r="L679" s="86"/>
      <x:c r="M679" s="32"/>
    </x:row>
    <x:row r="680">
      <x:c r="A680" s="87"/>
      <x:c r="D680" s="32"/>
      <x:c r="I680" s="74"/>
      <x:c r="J680" s="85"/>
      <x:c r="L680" s="86"/>
      <x:c r="M680" s="32"/>
    </x:row>
    <x:row r="681">
      <x:c r="A681" s="87"/>
      <x:c r="D681" s="32"/>
      <x:c r="I681" s="74"/>
      <x:c r="J681" s="85"/>
      <x:c r="L681" s="86"/>
      <x:c r="M681" s="32"/>
    </x:row>
    <x:row r="682">
      <x:c r="A682" s="87"/>
      <x:c r="D682" s="32"/>
      <x:c r="I682" s="74"/>
      <x:c r="J682" s="85"/>
      <x:c r="L682" s="86"/>
      <x:c r="M682" s="32"/>
    </x:row>
    <x:row r="683">
      <x:c r="A683" s="87"/>
      <x:c r="D683" s="32"/>
      <x:c r="I683" s="74"/>
      <x:c r="J683" s="85"/>
      <x:c r="L683" s="86"/>
      <x:c r="M683" s="32"/>
    </x:row>
    <x:row r="684">
      <x:c r="A684" s="87"/>
      <x:c r="D684" s="32"/>
      <x:c r="I684" s="74"/>
      <x:c r="J684" s="85"/>
      <x:c r="L684" s="86"/>
      <x:c r="M684" s="32"/>
    </x:row>
    <x:row r="685">
      <x:c r="A685" s="87"/>
      <x:c r="D685" s="32"/>
      <x:c r="I685" s="74"/>
      <x:c r="J685" s="85"/>
      <x:c r="L685" s="86"/>
      <x:c r="M685" s="32"/>
    </x:row>
    <x:row r="686">
      <x:c r="A686" s="87"/>
      <x:c r="D686" s="32"/>
      <x:c r="I686" s="74"/>
      <x:c r="J686" s="85"/>
      <x:c r="L686" s="86"/>
      <x:c r="M686" s="32"/>
    </x:row>
    <x:row r="687">
      <x:c r="A687" s="87"/>
      <x:c r="D687" s="32"/>
      <x:c r="I687" s="74"/>
      <x:c r="J687" s="85"/>
      <x:c r="L687" s="86"/>
      <x:c r="M687" s="32"/>
    </x:row>
    <x:row r="688">
      <x:c r="A688" s="87"/>
      <x:c r="D688" s="32"/>
      <x:c r="I688" s="74"/>
      <x:c r="J688" s="85"/>
      <x:c r="L688" s="86"/>
      <x:c r="M688" s="32"/>
    </x:row>
    <x:row r="689">
      <x:c r="A689" s="87"/>
      <x:c r="D689" s="32"/>
      <x:c r="I689" s="74"/>
      <x:c r="J689" s="85"/>
      <x:c r="L689" s="86"/>
      <x:c r="M689" s="32"/>
    </x:row>
    <x:row r="690">
      <x:c r="A690" s="87"/>
      <x:c r="D690" s="32"/>
      <x:c r="I690" s="74"/>
      <x:c r="J690" s="85"/>
      <x:c r="L690" s="86"/>
      <x:c r="M690" s="32"/>
    </x:row>
    <x:row r="691">
      <x:c r="A691" s="87"/>
      <x:c r="D691" s="32"/>
      <x:c r="I691" s="74"/>
      <x:c r="J691" s="85"/>
      <x:c r="L691" s="86"/>
      <x:c r="M691" s="32"/>
    </x:row>
    <x:row r="692">
      <x:c r="A692" s="87"/>
      <x:c r="D692" s="32"/>
      <x:c r="I692" s="74"/>
      <x:c r="J692" s="85"/>
      <x:c r="L692" s="86"/>
      <x:c r="M692" s="32"/>
    </x:row>
    <x:row r="693">
      <x:c r="A693" s="87"/>
      <x:c r="D693" s="32"/>
      <x:c r="I693" s="74"/>
      <x:c r="J693" s="85"/>
      <x:c r="L693" s="86"/>
      <x:c r="M693" s="32"/>
    </x:row>
    <x:row r="694">
      <x:c r="A694" s="87"/>
      <x:c r="D694" s="32"/>
      <x:c r="I694" s="74"/>
      <x:c r="J694" s="85"/>
      <x:c r="L694" s="86"/>
      <x:c r="M694" s="32"/>
    </x:row>
    <x:row r="695">
      <x:c r="A695" s="87"/>
      <x:c r="D695" s="32"/>
      <x:c r="I695" s="74"/>
      <x:c r="J695" s="85"/>
      <x:c r="L695" s="86"/>
      <x:c r="M695" s="32"/>
    </x:row>
    <x:row r="696">
      <x:c r="A696" s="87"/>
      <x:c r="D696" s="32"/>
      <x:c r="I696" s="74"/>
      <x:c r="J696" s="85"/>
      <x:c r="L696" s="86"/>
      <x:c r="M696" s="32"/>
    </x:row>
    <x:row r="697">
      <x:c r="A697" s="87"/>
      <x:c r="D697" s="32"/>
      <x:c r="I697" s="74"/>
      <x:c r="J697" s="85"/>
      <x:c r="L697" s="86"/>
      <x:c r="M697" s="32"/>
    </x:row>
    <x:row r="698">
      <x:c r="A698" s="87"/>
      <x:c r="D698" s="32"/>
      <x:c r="I698" s="74"/>
      <x:c r="J698" s="85"/>
      <x:c r="L698" s="86"/>
      <x:c r="M698" s="32"/>
    </x:row>
    <x:row r="699">
      <x:c r="A699" s="87"/>
      <x:c r="D699" s="32"/>
      <x:c r="I699" s="74"/>
      <x:c r="J699" s="85"/>
      <x:c r="L699" s="86"/>
      <x:c r="M699" s="32"/>
    </x:row>
    <x:row r="700">
      <x:c r="A700" s="87"/>
      <x:c r="D700" s="32"/>
      <x:c r="I700" s="74"/>
      <x:c r="J700" s="85"/>
      <x:c r="L700" s="86"/>
      <x:c r="M700" s="32"/>
    </x:row>
    <x:row r="701">
      <x:c r="A701" s="87"/>
      <x:c r="D701" s="32"/>
      <x:c r="I701" s="74"/>
      <x:c r="J701" s="85"/>
      <x:c r="L701" s="86"/>
      <x:c r="M701" s="32"/>
    </x:row>
    <x:row r="702">
      <x:c r="A702" s="87"/>
      <x:c r="D702" s="32"/>
      <x:c r="I702" s="74"/>
      <x:c r="J702" s="85"/>
      <x:c r="L702" s="86"/>
      <x:c r="M702" s="32"/>
    </x:row>
    <x:row r="703">
      <x:c r="A703" s="87"/>
      <x:c r="D703" s="32"/>
      <x:c r="I703" s="74"/>
      <x:c r="J703" s="85"/>
      <x:c r="L703" s="86"/>
      <x:c r="M703" s="32"/>
    </x:row>
    <x:row r="704">
      <x:c r="A704" s="87"/>
      <x:c r="D704" s="32"/>
      <x:c r="I704" s="74"/>
      <x:c r="J704" s="85"/>
      <x:c r="L704" s="86"/>
      <x:c r="M704" s="32"/>
    </x:row>
    <x:row r="705">
      <x:c r="A705" s="87"/>
      <x:c r="D705" s="32"/>
      <x:c r="I705" s="74"/>
      <x:c r="J705" s="85"/>
      <x:c r="L705" s="86"/>
      <x:c r="M705" s="32"/>
    </x:row>
    <x:row r="706">
      <x:c r="A706" s="87"/>
      <x:c r="D706" s="32"/>
      <x:c r="I706" s="74"/>
      <x:c r="J706" s="85"/>
      <x:c r="L706" s="86"/>
      <x:c r="M706" s="32"/>
    </x:row>
    <x:row r="707">
      <x:c r="A707" s="87"/>
      <x:c r="D707" s="32"/>
      <x:c r="I707" s="74"/>
      <x:c r="J707" s="85"/>
      <x:c r="L707" s="86"/>
      <x:c r="M707" s="32"/>
    </x:row>
    <x:row r="708">
      <x:c r="A708" s="87"/>
      <x:c r="D708" s="32"/>
      <x:c r="I708" s="74"/>
      <x:c r="J708" s="85"/>
      <x:c r="L708" s="86"/>
      <x:c r="M708" s="32"/>
    </x:row>
    <x:row r="709">
      <x:c r="A709" s="87"/>
      <x:c r="D709" s="32"/>
      <x:c r="I709" s="74"/>
      <x:c r="J709" s="85"/>
      <x:c r="L709" s="86"/>
      <x:c r="M709" s="32"/>
    </x:row>
    <x:row r="710">
      <x:c r="A710" s="87"/>
      <x:c r="D710" s="32"/>
      <x:c r="I710" s="74"/>
      <x:c r="J710" s="85"/>
      <x:c r="L710" s="86"/>
      <x:c r="M710" s="32"/>
    </x:row>
    <x:row r="711">
      <x:c r="A711" s="87"/>
      <x:c r="D711" s="32"/>
      <x:c r="I711" s="74"/>
      <x:c r="J711" s="85"/>
      <x:c r="L711" s="86"/>
      <x:c r="M711" s="32"/>
    </x:row>
    <x:row r="712">
      <x:c r="A712" s="87"/>
      <x:c r="D712" s="32"/>
      <x:c r="I712" s="74"/>
      <x:c r="J712" s="85"/>
      <x:c r="L712" s="86"/>
      <x:c r="M712" s="32"/>
    </x:row>
    <x:row r="713">
      <x:c r="A713" s="87"/>
      <x:c r="D713" s="32"/>
      <x:c r="I713" s="74"/>
      <x:c r="J713" s="85"/>
      <x:c r="L713" s="86"/>
      <x:c r="M713" s="32"/>
    </x:row>
    <x:row r="714">
      <x:c r="A714" s="87"/>
      <x:c r="D714" s="32"/>
      <x:c r="I714" s="74"/>
      <x:c r="J714" s="85"/>
      <x:c r="L714" s="86"/>
      <x:c r="M714" s="32"/>
    </x:row>
    <x:row r="715">
      <x:c r="A715" s="87"/>
      <x:c r="D715" s="32"/>
      <x:c r="I715" s="74"/>
      <x:c r="J715" s="85"/>
      <x:c r="L715" s="86"/>
      <x:c r="M715" s="32"/>
    </x:row>
    <x:row r="716">
      <x:c r="A716" s="87"/>
      <x:c r="D716" s="32"/>
      <x:c r="I716" s="74"/>
      <x:c r="J716" s="85"/>
      <x:c r="L716" s="86"/>
      <x:c r="M716" s="32"/>
    </x:row>
    <x:row r="717">
      <x:c r="A717" s="87"/>
      <x:c r="D717" s="32"/>
      <x:c r="I717" s="74"/>
      <x:c r="J717" s="85"/>
      <x:c r="L717" s="86"/>
      <x:c r="M717" s="32"/>
    </x:row>
    <x:row r="718">
      <x:c r="A718" s="87"/>
      <x:c r="D718" s="32"/>
      <x:c r="I718" s="74"/>
      <x:c r="J718" s="85"/>
      <x:c r="L718" s="86"/>
      <x:c r="M718" s="32"/>
    </x:row>
    <x:row r="719">
      <x:c r="A719" s="87"/>
      <x:c r="D719" s="32"/>
      <x:c r="I719" s="74"/>
      <x:c r="J719" s="85"/>
      <x:c r="L719" s="86"/>
      <x:c r="M719" s="32"/>
    </x:row>
    <x:row r="720">
      <x:c r="A720" s="87"/>
      <x:c r="D720" s="32"/>
      <x:c r="I720" s="74"/>
      <x:c r="J720" s="85"/>
      <x:c r="L720" s="86"/>
      <x:c r="M720" s="32"/>
    </x:row>
    <x:row r="721">
      <x:c r="A721" s="87"/>
      <x:c r="D721" s="32"/>
      <x:c r="I721" s="74"/>
      <x:c r="J721" s="85"/>
      <x:c r="L721" s="86"/>
      <x:c r="M721" s="32"/>
    </x:row>
    <x:row r="722">
      <x:c r="A722" s="87"/>
      <x:c r="D722" s="32"/>
      <x:c r="I722" s="74"/>
      <x:c r="J722" s="85"/>
      <x:c r="L722" s="86"/>
      <x:c r="M722" s="32"/>
    </x:row>
    <x:row r="723">
      <x:c r="A723" s="87"/>
      <x:c r="D723" s="32"/>
      <x:c r="I723" s="74"/>
      <x:c r="J723" s="85"/>
      <x:c r="L723" s="86"/>
      <x:c r="M723" s="32"/>
    </x:row>
    <x:row r="724">
      <x:c r="A724" s="87"/>
      <x:c r="D724" s="32"/>
      <x:c r="I724" s="74"/>
      <x:c r="J724" s="85"/>
      <x:c r="L724" s="86"/>
      <x:c r="M724" s="32"/>
    </x:row>
    <x:row r="725">
      <x:c r="A725" s="87"/>
      <x:c r="D725" s="32"/>
      <x:c r="I725" s="74"/>
      <x:c r="J725" s="85"/>
      <x:c r="L725" s="86"/>
      <x:c r="M725" s="32"/>
    </x:row>
    <x:row r="726">
      <x:c r="A726" s="87"/>
      <x:c r="D726" s="32"/>
      <x:c r="I726" s="74"/>
      <x:c r="J726" s="85"/>
      <x:c r="L726" s="86"/>
      <x:c r="M726" s="32"/>
    </x:row>
    <x:row r="727">
      <x:c r="A727" s="87"/>
      <x:c r="D727" s="32"/>
      <x:c r="I727" s="74"/>
      <x:c r="J727" s="85"/>
      <x:c r="L727" s="86"/>
      <x:c r="M727" s="32"/>
    </x:row>
    <x:row r="728">
      <x:c r="A728" s="87"/>
      <x:c r="D728" s="32"/>
      <x:c r="I728" s="74"/>
      <x:c r="J728" s="85"/>
      <x:c r="L728" s="86"/>
      <x:c r="M728" s="32"/>
    </x:row>
    <x:row r="729">
      <x:c r="A729" s="87"/>
      <x:c r="D729" s="32"/>
      <x:c r="I729" s="74"/>
      <x:c r="J729" s="85"/>
      <x:c r="L729" s="86"/>
      <x:c r="M729" s="32"/>
    </x:row>
    <x:row r="730">
      <x:c r="A730" s="87"/>
      <x:c r="D730" s="32"/>
      <x:c r="I730" s="74"/>
      <x:c r="J730" s="85"/>
      <x:c r="L730" s="86"/>
      <x:c r="M730" s="32"/>
    </x:row>
    <x:row r="731">
      <x:c r="A731" s="87"/>
      <x:c r="D731" s="32"/>
      <x:c r="I731" s="74"/>
      <x:c r="J731" s="85"/>
      <x:c r="L731" s="86"/>
      <x:c r="M731" s="32"/>
    </x:row>
    <x:row r="732">
      <x:c r="A732" s="87"/>
      <x:c r="D732" s="32"/>
      <x:c r="I732" s="74"/>
      <x:c r="J732" s="85"/>
      <x:c r="L732" s="86"/>
      <x:c r="M732" s="32"/>
    </x:row>
    <x:row r="733">
      <x:c r="A733" s="87"/>
      <x:c r="D733" s="32"/>
      <x:c r="I733" s="74"/>
      <x:c r="J733" s="85"/>
      <x:c r="L733" s="86"/>
      <x:c r="M733" s="32"/>
    </x:row>
    <x:row r="734">
      <x:c r="A734" s="87"/>
      <x:c r="D734" s="32"/>
      <x:c r="I734" s="74"/>
      <x:c r="J734" s="85"/>
      <x:c r="L734" s="86"/>
      <x:c r="M734" s="32"/>
    </x:row>
    <x:row r="735">
      <x:c r="A735" s="87"/>
      <x:c r="D735" s="32"/>
      <x:c r="I735" s="74"/>
      <x:c r="J735" s="85"/>
      <x:c r="L735" s="86"/>
      <x:c r="M735" s="32"/>
    </x:row>
    <x:row r="736">
      <x:c r="A736" s="87"/>
      <x:c r="D736" s="32"/>
      <x:c r="I736" s="74"/>
      <x:c r="J736" s="85"/>
      <x:c r="L736" s="86"/>
      <x:c r="M736" s="32"/>
    </x:row>
    <x:row r="737">
      <x:c r="A737" s="87"/>
      <x:c r="D737" s="32"/>
      <x:c r="I737" s="74"/>
      <x:c r="J737" s="85"/>
      <x:c r="L737" s="86"/>
      <x:c r="M737" s="32"/>
    </x:row>
    <x:row r="738">
      <x:c r="A738" s="87"/>
      <x:c r="D738" s="32"/>
      <x:c r="I738" s="74"/>
      <x:c r="J738" s="85"/>
      <x:c r="L738" s="86"/>
      <x:c r="M738" s="32"/>
    </x:row>
    <x:row r="739">
      <x:c r="A739" s="87"/>
      <x:c r="D739" s="32"/>
      <x:c r="I739" s="74"/>
      <x:c r="J739" s="85"/>
      <x:c r="L739" s="86"/>
      <x:c r="M739" s="32"/>
    </x:row>
    <x:row r="740">
      <x:c r="A740" s="87"/>
      <x:c r="D740" s="32"/>
      <x:c r="I740" s="74"/>
      <x:c r="J740" s="85"/>
      <x:c r="L740" s="86"/>
      <x:c r="M740" s="32"/>
    </x:row>
    <x:row r="741">
      <x:c r="A741" s="87"/>
      <x:c r="D741" s="32"/>
      <x:c r="I741" s="74"/>
      <x:c r="J741" s="85"/>
      <x:c r="L741" s="86"/>
      <x:c r="M741" s="32"/>
    </x:row>
    <x:row r="742">
      <x:c r="A742" s="87"/>
      <x:c r="D742" s="32"/>
      <x:c r="I742" s="74"/>
      <x:c r="J742" s="85"/>
      <x:c r="L742" s="86"/>
      <x:c r="M742" s="32"/>
    </x:row>
    <x:row r="743">
      <x:c r="A743" s="87"/>
      <x:c r="D743" s="32"/>
      <x:c r="I743" s="74"/>
      <x:c r="J743" s="85"/>
      <x:c r="L743" s="86"/>
      <x:c r="M743" s="32"/>
    </x:row>
    <x:row r="744">
      <x:c r="A744" s="87"/>
      <x:c r="D744" s="32"/>
      <x:c r="I744" s="74"/>
      <x:c r="J744" s="85"/>
      <x:c r="L744" s="86"/>
      <x:c r="M744" s="32"/>
    </x:row>
    <x:row r="745">
      <x:c r="A745" s="87"/>
      <x:c r="D745" s="32"/>
      <x:c r="I745" s="74"/>
      <x:c r="J745" s="85"/>
      <x:c r="L745" s="86"/>
      <x:c r="M745" s="32"/>
    </x:row>
    <x:row r="746">
      <x:c r="A746" s="87"/>
      <x:c r="D746" s="32"/>
      <x:c r="I746" s="74"/>
      <x:c r="J746" s="85"/>
      <x:c r="L746" s="86"/>
      <x:c r="M746" s="32"/>
    </x:row>
    <x:row r="747">
      <x:c r="A747" s="87"/>
      <x:c r="D747" s="32"/>
      <x:c r="I747" s="74"/>
      <x:c r="J747" s="85"/>
      <x:c r="L747" s="86"/>
      <x:c r="M747" s="32"/>
    </x:row>
    <x:row r="748">
      <x:c r="A748" s="87"/>
      <x:c r="D748" s="32"/>
      <x:c r="I748" s="74"/>
      <x:c r="J748" s="85"/>
      <x:c r="L748" s="86"/>
      <x:c r="M748" s="32"/>
    </x:row>
    <x:row r="749">
      <x:c r="A749" s="87"/>
      <x:c r="D749" s="32"/>
      <x:c r="I749" s="74"/>
      <x:c r="J749" s="85"/>
      <x:c r="L749" s="86"/>
      <x:c r="M749" s="32"/>
    </x:row>
    <x:row r="750">
      <x:c r="A750" s="87"/>
      <x:c r="D750" s="32"/>
      <x:c r="I750" s="74"/>
      <x:c r="J750" s="85"/>
      <x:c r="L750" s="86"/>
      <x:c r="M750" s="32"/>
    </x:row>
    <x:row r="751">
      <x:c r="A751" s="87"/>
      <x:c r="D751" s="32"/>
      <x:c r="I751" s="74"/>
      <x:c r="J751" s="85"/>
      <x:c r="L751" s="86"/>
      <x:c r="M751" s="32"/>
    </x:row>
    <x:row r="752">
      <x:c r="A752" s="87"/>
      <x:c r="D752" s="32"/>
      <x:c r="I752" s="74"/>
      <x:c r="J752" s="85"/>
      <x:c r="L752" s="86"/>
      <x:c r="M752" s="32"/>
    </x:row>
    <x:row r="753">
      <x:c r="A753" s="87"/>
      <x:c r="D753" s="32"/>
      <x:c r="I753" s="74"/>
      <x:c r="J753" s="85"/>
      <x:c r="L753" s="86"/>
      <x:c r="M753" s="32"/>
    </x:row>
    <x:row r="754">
      <x:c r="A754" s="87"/>
      <x:c r="D754" s="32"/>
      <x:c r="I754" s="74"/>
      <x:c r="J754" s="85"/>
      <x:c r="L754" s="86"/>
      <x:c r="M754" s="32"/>
    </x:row>
    <x:row r="755">
      <x:c r="A755" s="87"/>
      <x:c r="D755" s="32"/>
      <x:c r="I755" s="74"/>
      <x:c r="J755" s="85"/>
      <x:c r="L755" s="86"/>
      <x:c r="M755" s="32"/>
    </x:row>
    <x:row r="756">
      <x:c r="A756" s="87"/>
      <x:c r="D756" s="32"/>
      <x:c r="I756" s="74"/>
      <x:c r="J756" s="85"/>
      <x:c r="L756" s="86"/>
      <x:c r="M756" s="32"/>
    </x:row>
    <x:row r="757">
      <x:c r="A757" s="87"/>
      <x:c r="D757" s="32"/>
      <x:c r="I757" s="74"/>
      <x:c r="J757" s="85"/>
      <x:c r="L757" s="86"/>
      <x:c r="M757" s="32"/>
    </x:row>
    <x:row r="758">
      <x:c r="A758" s="87"/>
      <x:c r="D758" s="32"/>
      <x:c r="I758" s="74"/>
      <x:c r="J758" s="85"/>
      <x:c r="L758" s="86"/>
      <x:c r="M758" s="32"/>
    </x:row>
    <x:row r="759">
      <x:c r="A759" s="87"/>
      <x:c r="D759" s="32"/>
      <x:c r="I759" s="74"/>
      <x:c r="J759" s="85"/>
      <x:c r="L759" s="86"/>
      <x:c r="M759" s="32"/>
    </x:row>
    <x:row r="760">
      <x:c r="A760" s="87"/>
      <x:c r="D760" s="32"/>
      <x:c r="I760" s="74"/>
      <x:c r="J760" s="85"/>
      <x:c r="L760" s="86"/>
      <x:c r="M760" s="32"/>
    </x:row>
    <x:row r="761">
      <x:c r="A761" s="87"/>
      <x:c r="D761" s="32"/>
      <x:c r="I761" s="74"/>
      <x:c r="J761" s="85"/>
      <x:c r="L761" s="86"/>
      <x:c r="M761" s="32"/>
    </x:row>
    <x:row r="762">
      <x:c r="A762" s="87"/>
      <x:c r="D762" s="32"/>
      <x:c r="I762" s="74"/>
      <x:c r="J762" s="85"/>
      <x:c r="L762" s="86"/>
      <x:c r="M762" s="32"/>
    </x:row>
    <x:row r="763">
      <x:c r="A763" s="87"/>
      <x:c r="D763" s="32"/>
      <x:c r="I763" s="74"/>
      <x:c r="J763" s="85"/>
      <x:c r="L763" s="86"/>
      <x:c r="M763" s="32"/>
    </x:row>
    <x:row r="764">
      <x:c r="A764" s="87"/>
      <x:c r="D764" s="32"/>
      <x:c r="I764" s="74"/>
      <x:c r="J764" s="85"/>
      <x:c r="L764" s="86"/>
      <x:c r="M764" s="32"/>
    </x:row>
    <x:row r="765">
      <x:c r="A765" s="87"/>
      <x:c r="D765" s="32"/>
      <x:c r="I765" s="74"/>
      <x:c r="J765" s="85"/>
      <x:c r="L765" s="86"/>
      <x:c r="M765" s="32"/>
    </x:row>
    <x:row r="766">
      <x:c r="A766" s="87"/>
      <x:c r="D766" s="32"/>
      <x:c r="I766" s="74"/>
      <x:c r="J766" s="85"/>
      <x:c r="L766" s="86"/>
      <x:c r="M766" s="32"/>
    </x:row>
    <x:row r="767">
      <x:c r="A767" s="87"/>
      <x:c r="D767" s="32"/>
      <x:c r="I767" s="74"/>
      <x:c r="J767" s="85"/>
      <x:c r="L767" s="86"/>
      <x:c r="M767" s="32"/>
    </x:row>
    <x:row r="768">
      <x:c r="A768" s="87"/>
      <x:c r="D768" s="32"/>
      <x:c r="I768" s="74"/>
      <x:c r="J768" s="85"/>
      <x:c r="L768" s="86"/>
      <x:c r="M768" s="32"/>
    </x:row>
    <x:row r="769">
      <x:c r="A769" s="87"/>
      <x:c r="D769" s="32"/>
      <x:c r="I769" s="74"/>
      <x:c r="J769" s="85"/>
      <x:c r="L769" s="86"/>
      <x:c r="M769" s="32"/>
    </x:row>
    <x:row r="770">
      <x:c r="A770" s="87"/>
      <x:c r="D770" s="32"/>
      <x:c r="I770" s="74"/>
      <x:c r="J770" s="85"/>
      <x:c r="L770" s="86"/>
      <x:c r="M770" s="32"/>
    </x:row>
    <x:row r="771">
      <x:c r="A771" s="87"/>
      <x:c r="D771" s="32"/>
      <x:c r="I771" s="74"/>
      <x:c r="J771" s="85"/>
      <x:c r="L771" s="86"/>
      <x:c r="M771" s="32"/>
    </x:row>
    <x:row r="772">
      <x:c r="A772" s="87"/>
      <x:c r="D772" s="32"/>
      <x:c r="I772" s="74"/>
      <x:c r="J772" s="85"/>
      <x:c r="L772" s="86"/>
      <x:c r="M772" s="32"/>
    </x:row>
    <x:row r="773">
      <x:c r="A773" s="87"/>
      <x:c r="D773" s="32"/>
      <x:c r="I773" s="74"/>
      <x:c r="J773" s="85"/>
      <x:c r="L773" s="86"/>
      <x:c r="M773" s="32"/>
    </x:row>
    <x:row r="774">
      <x:c r="A774" s="87"/>
      <x:c r="D774" s="32"/>
      <x:c r="I774" s="74"/>
      <x:c r="J774" s="85"/>
      <x:c r="L774" s="86"/>
      <x:c r="M774" s="32"/>
    </x:row>
    <x:row r="775">
      <x:c r="A775" s="87"/>
      <x:c r="D775" s="32"/>
      <x:c r="I775" s="74"/>
      <x:c r="J775" s="85"/>
      <x:c r="L775" s="86"/>
      <x:c r="M775" s="32"/>
    </x:row>
    <x:row r="776">
      <x:c r="A776" s="87"/>
      <x:c r="D776" s="32"/>
      <x:c r="I776" s="74"/>
      <x:c r="J776" s="85"/>
      <x:c r="L776" s="86"/>
      <x:c r="M776" s="32"/>
    </x:row>
    <x:row r="777">
      <x:c r="A777" s="87"/>
      <x:c r="D777" s="32"/>
      <x:c r="I777" s="74"/>
      <x:c r="J777" s="85"/>
      <x:c r="L777" s="86"/>
      <x:c r="M777" s="32"/>
    </x:row>
    <x:row r="778">
      <x:c r="A778" s="87"/>
      <x:c r="D778" s="32"/>
      <x:c r="I778" s="74"/>
      <x:c r="J778" s="85"/>
      <x:c r="L778" s="86"/>
      <x:c r="M778" s="32"/>
    </x:row>
    <x:row r="779">
      <x:c r="A779" s="87"/>
      <x:c r="D779" s="32"/>
      <x:c r="I779" s="74"/>
      <x:c r="J779" s="85"/>
      <x:c r="L779" s="86"/>
      <x:c r="M779" s="32"/>
    </x:row>
    <x:row r="780">
      <x:c r="A780" s="87"/>
      <x:c r="D780" s="32"/>
      <x:c r="I780" s="74"/>
      <x:c r="J780" s="85"/>
      <x:c r="L780" s="86"/>
      <x:c r="M780" s="32"/>
    </x:row>
    <x:row r="781">
      <x:c r="A781" s="87"/>
      <x:c r="D781" s="32"/>
      <x:c r="I781" s="74"/>
      <x:c r="J781" s="85"/>
      <x:c r="L781" s="86"/>
      <x:c r="M781" s="32"/>
    </x:row>
    <x:row r="782">
      <x:c r="A782" s="87"/>
      <x:c r="D782" s="32"/>
      <x:c r="I782" s="74"/>
      <x:c r="J782" s="85"/>
      <x:c r="L782" s="86"/>
      <x:c r="M782" s="32"/>
    </x:row>
    <x:row r="783">
      <x:c r="A783" s="87"/>
      <x:c r="D783" s="32"/>
      <x:c r="I783" s="74"/>
      <x:c r="J783" s="85"/>
      <x:c r="L783" s="86"/>
      <x:c r="M783" s="32"/>
    </x:row>
    <x:row r="784">
      <x:c r="A784" s="87"/>
      <x:c r="D784" s="32"/>
      <x:c r="I784" s="74"/>
      <x:c r="J784" s="85"/>
      <x:c r="L784" s="86"/>
      <x:c r="M784" s="32"/>
    </x:row>
    <x:row r="785">
      <x:c r="A785" s="87"/>
      <x:c r="D785" s="32"/>
      <x:c r="I785" s="74"/>
      <x:c r="J785" s="85"/>
      <x:c r="L785" s="86"/>
      <x:c r="M785" s="32"/>
    </x:row>
    <x:row r="786">
      <x:c r="A786" s="87"/>
      <x:c r="D786" s="32"/>
      <x:c r="I786" s="74"/>
      <x:c r="J786" s="85"/>
      <x:c r="L786" s="86"/>
      <x:c r="M786" s="32"/>
    </x:row>
    <x:row r="787">
      <x:c r="A787" s="87"/>
      <x:c r="D787" s="32"/>
      <x:c r="I787" s="74"/>
      <x:c r="J787" s="85"/>
      <x:c r="L787" s="86"/>
      <x:c r="M787" s="32"/>
    </x:row>
    <x:row r="788">
      <x:c r="A788" s="87"/>
      <x:c r="D788" s="32"/>
      <x:c r="I788" s="74"/>
      <x:c r="J788" s="85"/>
      <x:c r="L788" s="86"/>
      <x:c r="M788" s="32"/>
    </x:row>
    <x:row r="789">
      <x:c r="A789" s="87"/>
      <x:c r="D789" s="32"/>
      <x:c r="I789" s="74"/>
      <x:c r="J789" s="85"/>
      <x:c r="L789" s="86"/>
      <x:c r="M789" s="32"/>
    </x:row>
    <x:row r="790">
      <x:c r="A790" s="87"/>
      <x:c r="D790" s="32"/>
      <x:c r="I790" s="74"/>
      <x:c r="J790" s="85"/>
      <x:c r="L790" s="86"/>
      <x:c r="M790" s="32"/>
    </x:row>
    <x:row r="791">
      <x:c r="A791" s="87"/>
      <x:c r="D791" s="32"/>
      <x:c r="I791" s="74"/>
      <x:c r="J791" s="85"/>
      <x:c r="L791" s="86"/>
      <x:c r="M791" s="32"/>
    </x:row>
    <x:row r="792">
      <x:c r="A792" s="87"/>
      <x:c r="D792" s="32"/>
      <x:c r="I792" s="74"/>
      <x:c r="J792" s="85"/>
      <x:c r="L792" s="86"/>
      <x:c r="M792" s="32"/>
    </x:row>
    <x:row r="793">
      <x:c r="A793" s="87"/>
      <x:c r="D793" s="32"/>
      <x:c r="I793" s="74"/>
      <x:c r="J793" s="85"/>
      <x:c r="L793" s="86"/>
      <x:c r="M793" s="32"/>
    </x:row>
    <x:row r="794">
      <x:c r="A794" s="87"/>
      <x:c r="D794" s="32"/>
      <x:c r="I794" s="74"/>
      <x:c r="J794" s="85"/>
      <x:c r="L794" s="86"/>
      <x:c r="M794" s="32"/>
    </x:row>
    <x:row r="795">
      <x:c r="A795" s="87"/>
      <x:c r="D795" s="32"/>
      <x:c r="I795" s="74"/>
      <x:c r="J795" s="85"/>
      <x:c r="L795" s="86"/>
      <x:c r="M795" s="32"/>
    </x:row>
    <x:row r="796">
      <x:c r="A796" s="87"/>
      <x:c r="D796" s="32"/>
      <x:c r="I796" s="74"/>
      <x:c r="J796" s="85"/>
      <x:c r="L796" s="86"/>
      <x:c r="M796" s="32"/>
    </x:row>
    <x:row r="797">
      <x:c r="A797" s="87"/>
      <x:c r="D797" s="32"/>
      <x:c r="I797" s="74"/>
      <x:c r="J797" s="85"/>
      <x:c r="L797" s="86"/>
      <x:c r="M797" s="32"/>
    </x:row>
    <x:row r="798">
      <x:c r="A798" s="87"/>
      <x:c r="D798" s="32"/>
      <x:c r="I798" s="74"/>
      <x:c r="J798" s="85"/>
      <x:c r="L798" s="86"/>
      <x:c r="M798" s="32"/>
    </x:row>
    <x:row r="799">
      <x:c r="A799" s="87"/>
      <x:c r="D799" s="32"/>
      <x:c r="I799" s="74"/>
      <x:c r="J799" s="85"/>
      <x:c r="L799" s="86"/>
      <x:c r="M799" s="32"/>
    </x:row>
    <x:row r="800">
      <x:c r="A800" s="87"/>
      <x:c r="D800" s="32"/>
      <x:c r="I800" s="74"/>
      <x:c r="J800" s="85"/>
      <x:c r="L800" s="86"/>
      <x:c r="M800" s="32"/>
    </x:row>
    <x:row r="801">
      <x:c r="A801" s="87"/>
      <x:c r="D801" s="32"/>
      <x:c r="I801" s="74"/>
      <x:c r="J801" s="85"/>
      <x:c r="L801" s="86"/>
      <x:c r="M801" s="32"/>
    </x:row>
    <x:row r="802">
      <x:c r="A802" s="87"/>
      <x:c r="D802" s="32"/>
      <x:c r="I802" s="74"/>
      <x:c r="J802" s="85"/>
      <x:c r="L802" s="86"/>
      <x:c r="M802" s="32"/>
    </x:row>
    <x:row r="803">
      <x:c r="A803" s="87"/>
      <x:c r="D803" s="32"/>
      <x:c r="I803" s="74"/>
      <x:c r="J803" s="85"/>
      <x:c r="L803" s="86"/>
      <x:c r="M803" s="32"/>
    </x:row>
    <x:row r="804">
      <x:c r="A804" s="87"/>
      <x:c r="D804" s="32"/>
      <x:c r="I804" s="74"/>
      <x:c r="J804" s="85"/>
      <x:c r="L804" s="86"/>
      <x:c r="M804" s="32"/>
    </x:row>
    <x:row r="805">
      <x:c r="A805" s="87"/>
      <x:c r="D805" s="32"/>
      <x:c r="I805" s="74"/>
      <x:c r="J805" s="85"/>
      <x:c r="L805" s="86"/>
      <x:c r="M805" s="32"/>
    </x:row>
    <x:row r="806">
      <x:c r="A806" s="87"/>
      <x:c r="D806" s="32"/>
      <x:c r="I806" s="74"/>
      <x:c r="J806" s="85"/>
      <x:c r="L806" s="86"/>
      <x:c r="M806" s="32"/>
    </x:row>
    <x:row r="807">
      <x:c r="A807" s="87"/>
      <x:c r="D807" s="32"/>
      <x:c r="I807" s="74"/>
      <x:c r="J807" s="85"/>
      <x:c r="L807" s="86"/>
      <x:c r="M807" s="32"/>
    </x:row>
    <x:row r="808">
      <x:c r="A808" s="87"/>
      <x:c r="D808" s="32"/>
      <x:c r="I808" s="74"/>
      <x:c r="J808" s="85"/>
      <x:c r="L808" s="86"/>
      <x:c r="M808" s="32"/>
    </x:row>
    <x:row r="809">
      <x:c r="A809" s="87"/>
      <x:c r="D809" s="32"/>
      <x:c r="I809" s="74"/>
      <x:c r="J809" s="85"/>
      <x:c r="L809" s="86"/>
      <x:c r="M809" s="32"/>
    </x:row>
    <x:row r="810">
      <x:c r="A810" s="87"/>
      <x:c r="D810" s="32"/>
      <x:c r="I810" s="74"/>
      <x:c r="J810" s="85"/>
      <x:c r="L810" s="86"/>
      <x:c r="M810" s="32"/>
    </x:row>
    <x:row r="811">
      <x:c r="A811" s="87"/>
      <x:c r="D811" s="32"/>
      <x:c r="I811" s="74"/>
      <x:c r="J811" s="85"/>
      <x:c r="L811" s="86"/>
      <x:c r="M811" s="32"/>
    </x:row>
    <x:row r="812">
      <x:c r="A812" s="87"/>
      <x:c r="D812" s="32"/>
      <x:c r="I812" s="74"/>
      <x:c r="J812" s="85"/>
      <x:c r="L812" s="86"/>
      <x:c r="M812" s="32"/>
    </x:row>
    <x:row r="813">
      <x:c r="A813" s="87"/>
      <x:c r="D813" s="32"/>
      <x:c r="I813" s="74"/>
      <x:c r="J813" s="85"/>
      <x:c r="L813" s="86"/>
      <x:c r="M813" s="32"/>
    </x:row>
    <x:row r="814">
      <x:c r="A814" s="87"/>
      <x:c r="D814" s="32"/>
      <x:c r="I814" s="74"/>
      <x:c r="J814" s="85"/>
      <x:c r="L814" s="86"/>
      <x:c r="M814" s="32"/>
    </x:row>
    <x:row r="815">
      <x:c r="A815" s="87"/>
      <x:c r="D815" s="32"/>
      <x:c r="I815" s="74"/>
      <x:c r="J815" s="85"/>
      <x:c r="L815" s="86"/>
      <x:c r="M815" s="32"/>
    </x:row>
    <x:row r="816">
      <x:c r="A816" s="87"/>
      <x:c r="D816" s="32"/>
      <x:c r="I816" s="74"/>
      <x:c r="J816" s="85"/>
      <x:c r="L816" s="86"/>
      <x:c r="M816" s="32"/>
    </x:row>
    <x:row r="817">
      <x:c r="A817" s="87"/>
      <x:c r="D817" s="32"/>
      <x:c r="I817" s="74"/>
      <x:c r="J817" s="85"/>
      <x:c r="L817" s="86"/>
      <x:c r="M817" s="32"/>
    </x:row>
    <x:row r="818">
      <x:c r="A818" s="87"/>
      <x:c r="D818" s="32"/>
      <x:c r="I818" s="74"/>
      <x:c r="J818" s="85"/>
      <x:c r="L818" s="86"/>
      <x:c r="M818" s="32"/>
    </x:row>
    <x:row r="819">
      <x:c r="A819" s="87"/>
      <x:c r="D819" s="32"/>
      <x:c r="I819" s="74"/>
      <x:c r="J819" s="85"/>
      <x:c r="L819" s="86"/>
      <x:c r="M819" s="32"/>
    </x:row>
    <x:row r="820">
      <x:c r="A820" s="87"/>
      <x:c r="D820" s="32"/>
      <x:c r="I820" s="74"/>
      <x:c r="J820" s="85"/>
      <x:c r="L820" s="86"/>
      <x:c r="M820" s="32"/>
    </x:row>
    <x:row r="821">
      <x:c r="A821" s="87"/>
      <x:c r="D821" s="32"/>
      <x:c r="I821" s="74"/>
      <x:c r="J821" s="85"/>
      <x:c r="L821" s="86"/>
      <x:c r="M821" s="32"/>
    </x:row>
    <x:row r="822">
      <x:c r="A822" s="87"/>
      <x:c r="D822" s="32"/>
      <x:c r="I822" s="74"/>
      <x:c r="J822" s="85"/>
      <x:c r="L822" s="86"/>
      <x:c r="M822" s="32"/>
    </x:row>
    <x:row r="823">
      <x:c r="A823" s="87"/>
      <x:c r="D823" s="32"/>
      <x:c r="I823" s="74"/>
      <x:c r="J823" s="85"/>
      <x:c r="L823" s="86"/>
      <x:c r="M823" s="32"/>
    </x:row>
    <x:row r="824">
      <x:c r="A824" s="87"/>
      <x:c r="D824" s="32"/>
      <x:c r="I824" s="74"/>
      <x:c r="J824" s="85"/>
      <x:c r="L824" s="86"/>
      <x:c r="M824" s="32"/>
    </x:row>
    <x:row r="825">
      <x:c r="A825" s="87"/>
      <x:c r="D825" s="32"/>
      <x:c r="I825" s="74"/>
      <x:c r="J825" s="85"/>
      <x:c r="L825" s="86"/>
      <x:c r="M825" s="32"/>
    </x:row>
    <x:row r="826">
      <x:c r="A826" s="87"/>
      <x:c r="D826" s="32"/>
      <x:c r="I826" s="74"/>
      <x:c r="J826" s="85"/>
      <x:c r="L826" s="86"/>
      <x:c r="M826" s="32"/>
    </x:row>
    <x:row r="827">
      <x:c r="A827" s="87"/>
      <x:c r="D827" s="32"/>
      <x:c r="I827" s="74"/>
      <x:c r="J827" s="85"/>
      <x:c r="L827" s="86"/>
      <x:c r="M827" s="32"/>
    </x:row>
    <x:row r="828">
      <x:c r="A828" s="87"/>
      <x:c r="D828" s="32"/>
      <x:c r="I828" s="74"/>
      <x:c r="J828" s="85"/>
      <x:c r="L828" s="86"/>
      <x:c r="M828" s="32"/>
    </x:row>
    <x:row r="829">
      <x:c r="A829" s="87"/>
      <x:c r="D829" s="32"/>
      <x:c r="I829" s="74"/>
      <x:c r="J829" s="85"/>
      <x:c r="L829" s="86"/>
      <x:c r="M829" s="32"/>
    </x:row>
    <x:row r="830">
      <x:c r="A830" s="87"/>
      <x:c r="D830" s="32"/>
      <x:c r="I830" s="74"/>
      <x:c r="J830" s="85"/>
      <x:c r="L830" s="86"/>
      <x:c r="M830" s="32"/>
    </x:row>
    <x:row r="831">
      <x:c r="A831" s="87"/>
      <x:c r="D831" s="32"/>
      <x:c r="I831" s="74"/>
      <x:c r="J831" s="85"/>
      <x:c r="L831" s="86"/>
      <x:c r="M831" s="32"/>
    </x:row>
    <x:row r="832">
      <x:c r="A832" s="87"/>
      <x:c r="D832" s="32"/>
      <x:c r="I832" s="74"/>
      <x:c r="J832" s="85"/>
      <x:c r="L832" s="86"/>
      <x:c r="M832" s="32"/>
    </x:row>
    <x:row r="833">
      <x:c r="A833" s="87"/>
      <x:c r="D833" s="32"/>
      <x:c r="I833" s="74"/>
      <x:c r="J833" s="85"/>
      <x:c r="L833" s="86"/>
      <x:c r="M833" s="32"/>
    </x:row>
    <x:row r="834">
      <x:c r="A834" s="87"/>
      <x:c r="D834" s="32"/>
      <x:c r="I834" s="74"/>
      <x:c r="J834" s="85"/>
      <x:c r="L834" s="86"/>
      <x:c r="M834" s="32"/>
    </x:row>
    <x:row r="835">
      <x:c r="A835" s="87"/>
      <x:c r="D835" s="32"/>
      <x:c r="I835" s="74"/>
      <x:c r="J835" s="85"/>
      <x:c r="L835" s="86"/>
      <x:c r="M835" s="32"/>
    </x:row>
    <x:row r="836">
      <x:c r="A836" s="87"/>
      <x:c r="D836" s="32"/>
      <x:c r="I836" s="74"/>
      <x:c r="J836" s="85"/>
      <x:c r="L836" s="86"/>
      <x:c r="M836" s="32"/>
    </x:row>
    <x:row r="837">
      <x:c r="A837" s="87"/>
      <x:c r="D837" s="32"/>
      <x:c r="I837" s="74"/>
      <x:c r="J837" s="85"/>
      <x:c r="L837" s="86"/>
      <x:c r="M837" s="32"/>
    </x:row>
    <x:row r="838">
      <x:c r="A838" s="87"/>
      <x:c r="D838" s="32"/>
      <x:c r="I838" s="74"/>
      <x:c r="J838" s="85"/>
      <x:c r="L838" s="86"/>
      <x:c r="M838" s="32"/>
    </x:row>
    <x:row r="839">
      <x:c r="A839" s="87"/>
      <x:c r="D839" s="32"/>
      <x:c r="I839" s="74"/>
      <x:c r="J839" s="85"/>
      <x:c r="L839" s="86"/>
      <x:c r="M839" s="32"/>
    </x:row>
    <x:row r="840">
      <x:c r="A840" s="87"/>
      <x:c r="D840" s="32"/>
      <x:c r="I840" s="74"/>
      <x:c r="J840" s="85"/>
      <x:c r="L840" s="86"/>
      <x:c r="M840" s="32"/>
    </x:row>
    <x:row r="841">
      <x:c r="A841" s="87"/>
      <x:c r="D841" s="32"/>
      <x:c r="I841" s="74"/>
      <x:c r="J841" s="85"/>
      <x:c r="L841" s="86"/>
      <x:c r="M841" s="32"/>
    </x:row>
    <x:row r="842">
      <x:c r="A842" s="87"/>
      <x:c r="D842" s="32"/>
      <x:c r="I842" s="74"/>
      <x:c r="J842" s="85"/>
      <x:c r="L842" s="86"/>
      <x:c r="M842" s="32"/>
    </x:row>
    <x:row r="843">
      <x:c r="A843" s="87"/>
      <x:c r="D843" s="32"/>
      <x:c r="I843" s="74"/>
      <x:c r="J843" s="85"/>
      <x:c r="L843" s="86"/>
      <x:c r="M843" s="32"/>
    </x:row>
    <x:row r="844">
      <x:c r="A844" s="87"/>
      <x:c r="D844" s="32"/>
      <x:c r="I844" s="74"/>
      <x:c r="J844" s="85"/>
      <x:c r="L844" s="86"/>
      <x:c r="M844" s="32"/>
    </x:row>
    <x:row r="845">
      <x:c r="A845" s="87"/>
      <x:c r="D845" s="32"/>
      <x:c r="I845" s="74"/>
      <x:c r="J845" s="85"/>
      <x:c r="L845" s="86"/>
      <x:c r="M845" s="32"/>
    </x:row>
    <x:row r="846">
      <x:c r="A846" s="87"/>
      <x:c r="D846" s="32"/>
      <x:c r="I846" s="74"/>
      <x:c r="J846" s="85"/>
      <x:c r="L846" s="86"/>
      <x:c r="M846" s="32"/>
    </x:row>
    <x:row r="847">
      <x:c r="A847" s="87"/>
      <x:c r="D847" s="32"/>
      <x:c r="I847" s="74"/>
      <x:c r="J847" s="85"/>
      <x:c r="L847" s="86"/>
      <x:c r="M847" s="32"/>
    </x:row>
    <x:row r="848">
      <x:c r="A848" s="87"/>
      <x:c r="D848" s="32"/>
      <x:c r="I848" s="74"/>
      <x:c r="J848" s="85"/>
      <x:c r="L848" s="86"/>
      <x:c r="M848" s="32"/>
    </x:row>
    <x:row r="849">
      <x:c r="A849" s="87"/>
      <x:c r="D849" s="32"/>
      <x:c r="I849" s="74"/>
      <x:c r="J849" s="85"/>
      <x:c r="L849" s="86"/>
      <x:c r="M849" s="32"/>
    </x:row>
    <x:row r="850">
      <x:c r="A850" s="87"/>
      <x:c r="D850" s="32"/>
      <x:c r="I850" s="74"/>
      <x:c r="J850" s="85"/>
      <x:c r="L850" s="86"/>
      <x:c r="M850" s="32"/>
    </x:row>
    <x:row r="851">
      <x:c r="A851" s="87"/>
      <x:c r="D851" s="32"/>
      <x:c r="I851" s="74"/>
      <x:c r="J851" s="85"/>
      <x:c r="L851" s="86"/>
      <x:c r="M851" s="32"/>
    </x:row>
    <x:row r="852">
      <x:c r="A852" s="87"/>
      <x:c r="D852" s="32"/>
      <x:c r="I852" s="74"/>
      <x:c r="J852" s="85"/>
      <x:c r="L852" s="86"/>
      <x:c r="M852" s="32"/>
    </x:row>
    <x:row r="853">
      <x:c r="A853" s="87"/>
      <x:c r="D853" s="32"/>
      <x:c r="I853" s="74"/>
      <x:c r="J853" s="85"/>
      <x:c r="L853" s="86"/>
      <x:c r="M853" s="32"/>
    </x:row>
    <x:row r="854">
      <x:c r="A854" s="87"/>
      <x:c r="D854" s="32"/>
      <x:c r="I854" s="74"/>
      <x:c r="J854" s="85"/>
      <x:c r="L854" s="86"/>
      <x:c r="M854" s="32"/>
    </x:row>
    <x:row r="855">
      <x:c r="A855" s="87"/>
      <x:c r="D855" s="32"/>
      <x:c r="I855" s="74"/>
      <x:c r="J855" s="85"/>
      <x:c r="L855" s="86"/>
      <x:c r="M855" s="32"/>
    </x:row>
    <x:row r="856">
      <x:c r="A856" s="87"/>
      <x:c r="D856" s="32"/>
      <x:c r="I856" s="74"/>
      <x:c r="J856" s="85"/>
      <x:c r="L856" s="86"/>
      <x:c r="M856" s="32"/>
    </x:row>
    <x:row r="857">
      <x:c r="A857" s="87"/>
      <x:c r="D857" s="32"/>
      <x:c r="I857" s="74"/>
      <x:c r="J857" s="85"/>
      <x:c r="L857" s="86"/>
      <x:c r="M857" s="32"/>
    </x:row>
    <x:row r="858">
      <x:c r="A858" s="87"/>
      <x:c r="D858" s="32"/>
      <x:c r="I858" s="74"/>
      <x:c r="J858" s="85"/>
      <x:c r="L858" s="86"/>
      <x:c r="M858" s="32"/>
    </x:row>
    <x:row r="859">
      <x:c r="A859" s="87"/>
      <x:c r="D859" s="32"/>
      <x:c r="I859" s="74"/>
      <x:c r="J859" s="85"/>
      <x:c r="L859" s="86"/>
      <x:c r="M859" s="32"/>
    </x:row>
    <x:row r="860">
      <x:c r="A860" s="87"/>
      <x:c r="D860" s="32"/>
      <x:c r="I860" s="74"/>
      <x:c r="J860" s="85"/>
      <x:c r="L860" s="86"/>
      <x:c r="M860" s="32"/>
    </x:row>
    <x:row r="861">
      <x:c r="A861" s="87"/>
      <x:c r="D861" s="32"/>
      <x:c r="I861" s="74"/>
      <x:c r="J861" s="85"/>
      <x:c r="L861" s="86"/>
      <x:c r="M861" s="32"/>
    </x:row>
    <x:row r="862">
      <x:c r="A862" s="87"/>
      <x:c r="D862" s="32"/>
      <x:c r="I862" s="74"/>
      <x:c r="J862" s="85"/>
      <x:c r="L862" s="86"/>
      <x:c r="M862" s="32"/>
    </x:row>
    <x:row r="863">
      <x:c r="A863" s="87"/>
      <x:c r="D863" s="32"/>
      <x:c r="I863" s="74"/>
      <x:c r="J863" s="85"/>
      <x:c r="L863" s="86"/>
      <x:c r="M863" s="32"/>
    </x:row>
    <x:row r="864">
      <x:c r="A864" s="87"/>
      <x:c r="D864" s="32"/>
      <x:c r="I864" s="74"/>
      <x:c r="J864" s="85"/>
      <x:c r="L864" s="86"/>
      <x:c r="M864" s="32"/>
    </x:row>
    <x:row r="865">
      <x:c r="A865" s="87"/>
      <x:c r="D865" s="32"/>
      <x:c r="I865" s="74"/>
      <x:c r="J865" s="85"/>
      <x:c r="L865" s="86"/>
      <x:c r="M865" s="32"/>
    </x:row>
    <x:row r="866">
      <x:c r="A866" s="87"/>
      <x:c r="D866" s="32"/>
      <x:c r="I866" s="74"/>
      <x:c r="J866" s="85"/>
      <x:c r="L866" s="86"/>
      <x:c r="M866" s="32"/>
    </x:row>
    <x:row r="867">
      <x:c r="A867" s="87"/>
      <x:c r="D867" s="32"/>
      <x:c r="I867" s="74"/>
      <x:c r="J867" s="85"/>
      <x:c r="L867" s="86"/>
      <x:c r="M867" s="32"/>
    </x:row>
    <x:row r="868">
      <x:c r="A868" s="87"/>
      <x:c r="D868" s="32"/>
      <x:c r="I868" s="74"/>
      <x:c r="J868" s="85"/>
      <x:c r="L868" s="86"/>
      <x:c r="M868" s="32"/>
    </x:row>
    <x:row r="869">
      <x:c r="A869" s="87"/>
      <x:c r="D869" s="32"/>
      <x:c r="I869" s="74"/>
      <x:c r="J869" s="85"/>
      <x:c r="L869" s="86"/>
      <x:c r="M869" s="32"/>
    </x:row>
    <x:row r="870">
      <x:c r="A870" s="87"/>
      <x:c r="D870" s="32"/>
      <x:c r="I870" s="74"/>
      <x:c r="J870" s="85"/>
      <x:c r="L870" s="86"/>
      <x:c r="M870" s="32"/>
    </x:row>
    <x:row r="871">
      <x:c r="A871" s="87"/>
      <x:c r="D871" s="32"/>
      <x:c r="I871" s="74"/>
      <x:c r="J871" s="85"/>
      <x:c r="L871" s="86"/>
      <x:c r="M871" s="32"/>
    </x:row>
    <x:row r="872">
      <x:c r="A872" s="87"/>
      <x:c r="D872" s="32"/>
      <x:c r="I872" s="74"/>
      <x:c r="J872" s="85"/>
      <x:c r="L872" s="86"/>
      <x:c r="M872" s="32"/>
    </x:row>
    <x:row r="873">
      <x:c r="A873" s="87"/>
      <x:c r="D873" s="32"/>
      <x:c r="I873" s="74"/>
      <x:c r="J873" s="85"/>
      <x:c r="L873" s="86"/>
      <x:c r="M873" s="32"/>
    </x:row>
    <x:row r="874">
      <x:c r="A874" s="87"/>
      <x:c r="D874" s="32"/>
      <x:c r="I874" s="74"/>
      <x:c r="J874" s="85"/>
      <x:c r="L874" s="86"/>
      <x:c r="M874" s="32"/>
    </x:row>
    <x:row r="875">
      <x:c r="A875" s="87"/>
      <x:c r="D875" s="32"/>
      <x:c r="I875" s="74"/>
      <x:c r="J875" s="85"/>
      <x:c r="L875" s="86"/>
      <x:c r="M875" s="32"/>
    </x:row>
    <x:row r="876">
      <x:c r="A876" s="87"/>
      <x:c r="D876" s="32"/>
      <x:c r="I876" s="74"/>
      <x:c r="J876" s="85"/>
      <x:c r="L876" s="86"/>
      <x:c r="M876" s="32"/>
    </x:row>
    <x:row r="877">
      <x:c r="A877" s="87"/>
      <x:c r="D877" s="32"/>
      <x:c r="I877" s="74"/>
      <x:c r="J877" s="85"/>
      <x:c r="L877" s="86"/>
      <x:c r="M877" s="32"/>
    </x:row>
    <x:row r="878">
      <x:c r="A878" s="87"/>
      <x:c r="D878" s="32"/>
      <x:c r="I878" s="74"/>
      <x:c r="J878" s="85"/>
      <x:c r="L878" s="86"/>
      <x:c r="M878" s="32"/>
    </x:row>
    <x:row r="879">
      <x:c r="A879" s="87"/>
      <x:c r="D879" s="32"/>
      <x:c r="I879" s="74"/>
      <x:c r="J879" s="85"/>
      <x:c r="L879" s="86"/>
      <x:c r="M879" s="32"/>
    </x:row>
    <x:row r="880">
      <x:c r="A880" s="87"/>
      <x:c r="D880" s="32"/>
      <x:c r="I880" s="74"/>
      <x:c r="J880" s="85"/>
      <x:c r="L880" s="86"/>
      <x:c r="M880" s="32"/>
    </x:row>
    <x:row r="881">
      <x:c r="A881" s="87"/>
      <x:c r="D881" s="32"/>
      <x:c r="I881" s="74"/>
      <x:c r="J881" s="85"/>
      <x:c r="L881" s="86"/>
      <x:c r="M881" s="32"/>
    </x:row>
    <x:row r="882">
      <x:c r="A882" s="87"/>
      <x:c r="D882" s="32"/>
      <x:c r="I882" s="74"/>
      <x:c r="J882" s="85"/>
      <x:c r="L882" s="86"/>
      <x:c r="M882" s="32"/>
    </x:row>
    <x:row r="883">
      <x:c r="A883" s="87"/>
      <x:c r="D883" s="32"/>
      <x:c r="I883" s="74"/>
      <x:c r="J883" s="85"/>
      <x:c r="L883" s="86"/>
      <x:c r="M883" s="32"/>
    </x:row>
    <x:row r="884">
      <x:c r="A884" s="87"/>
      <x:c r="D884" s="32"/>
      <x:c r="I884" s="74"/>
      <x:c r="J884" s="85"/>
      <x:c r="L884" s="86"/>
      <x:c r="M884" s="32"/>
    </x:row>
    <x:row r="885">
      <x:c r="A885" s="87"/>
      <x:c r="D885" s="32"/>
      <x:c r="I885" s="74"/>
      <x:c r="J885" s="85"/>
      <x:c r="L885" s="86"/>
      <x:c r="M885" s="32"/>
    </x:row>
    <x:row r="886">
      <x:c r="A886" s="87"/>
      <x:c r="D886" s="32"/>
      <x:c r="I886" s="74"/>
      <x:c r="J886" s="85"/>
      <x:c r="L886" s="86"/>
      <x:c r="M886" s="32"/>
    </x:row>
    <x:row r="887">
      <x:c r="A887" s="87"/>
      <x:c r="D887" s="32"/>
      <x:c r="I887" s="74"/>
      <x:c r="J887" s="85"/>
      <x:c r="L887" s="86"/>
      <x:c r="M887" s="32"/>
    </x:row>
    <x:row r="888">
      <x:c r="A888" s="87"/>
      <x:c r="D888" s="32"/>
      <x:c r="I888" s="74"/>
      <x:c r="J888" s="85"/>
      <x:c r="L888" s="86"/>
      <x:c r="M888" s="32"/>
    </x:row>
    <x:row r="889">
      <x:c r="A889" s="87"/>
      <x:c r="D889" s="32"/>
      <x:c r="I889" s="74"/>
      <x:c r="J889" s="85"/>
      <x:c r="L889" s="86"/>
      <x:c r="M889" s="32"/>
    </x:row>
    <x:row r="890">
      <x:c r="A890" s="87"/>
      <x:c r="D890" s="32"/>
      <x:c r="I890" s="74"/>
      <x:c r="J890" s="85"/>
      <x:c r="L890" s="86"/>
      <x:c r="M890" s="32"/>
    </x:row>
    <x:row r="891">
      <x:c r="A891" s="87"/>
      <x:c r="D891" s="32"/>
      <x:c r="I891" s="74"/>
      <x:c r="J891" s="85"/>
      <x:c r="L891" s="86"/>
      <x:c r="M891" s="32"/>
    </x:row>
    <x:row r="892">
      <x:c r="A892" s="87"/>
      <x:c r="D892" s="32"/>
      <x:c r="I892" s="74"/>
      <x:c r="J892" s="85"/>
      <x:c r="L892" s="86"/>
      <x:c r="M892" s="32"/>
    </x:row>
    <x:row r="893">
      <x:c r="A893" s="87"/>
      <x:c r="D893" s="32"/>
      <x:c r="I893" s="74"/>
      <x:c r="J893" s="85"/>
      <x:c r="L893" s="86"/>
      <x:c r="M893" s="32"/>
    </x:row>
    <x:row r="894">
      <x:c r="A894" s="87"/>
      <x:c r="D894" s="32"/>
      <x:c r="I894" s="74"/>
      <x:c r="J894" s="85"/>
      <x:c r="L894" s="86"/>
      <x:c r="M894" s="32"/>
    </x:row>
    <x:row r="895">
      <x:c r="A895" s="87"/>
      <x:c r="D895" s="32"/>
      <x:c r="I895" s="74"/>
      <x:c r="J895" s="85"/>
      <x:c r="L895" s="86"/>
      <x:c r="M895" s="32"/>
    </x:row>
    <x:row r="896">
      <x:c r="A896" s="87"/>
      <x:c r="D896" s="32"/>
      <x:c r="I896" s="74"/>
      <x:c r="J896" s="85"/>
      <x:c r="L896" s="86"/>
      <x:c r="M896" s="32"/>
    </x:row>
    <x:row r="897">
      <x:c r="A897" s="87"/>
      <x:c r="D897" s="32"/>
      <x:c r="I897" s="74"/>
      <x:c r="J897" s="85"/>
      <x:c r="L897" s="86"/>
      <x:c r="M897" s="32"/>
    </x:row>
    <x:row r="898">
      <x:c r="A898" s="87"/>
      <x:c r="D898" s="32"/>
      <x:c r="I898" s="74"/>
      <x:c r="J898" s="85"/>
      <x:c r="L898" s="86"/>
      <x:c r="M898" s="32"/>
    </x:row>
    <x:row r="899">
      <x:c r="A899" s="87"/>
      <x:c r="D899" s="32"/>
      <x:c r="I899" s="74"/>
      <x:c r="J899" s="85"/>
      <x:c r="L899" s="86"/>
      <x:c r="M899" s="32"/>
    </x:row>
    <x:row r="900">
      <x:c r="A900" s="87"/>
      <x:c r="D900" s="32"/>
      <x:c r="I900" s="74"/>
      <x:c r="J900" s="85"/>
      <x:c r="L900" s="86"/>
      <x:c r="M900" s="32"/>
    </x:row>
    <x:row r="901">
      <x:c r="A901" s="87"/>
      <x:c r="D901" s="32"/>
      <x:c r="I901" s="74"/>
      <x:c r="J901" s="85"/>
      <x:c r="L901" s="86"/>
      <x:c r="M901" s="32"/>
    </x:row>
    <x:row r="902">
      <x:c r="A902" s="87"/>
      <x:c r="D902" s="32"/>
      <x:c r="I902" s="74"/>
      <x:c r="J902" s="85"/>
      <x:c r="L902" s="86"/>
      <x:c r="M902" s="32"/>
    </x:row>
    <x:row r="903">
      <x:c r="A903" s="87"/>
      <x:c r="D903" s="32"/>
      <x:c r="I903" s="74"/>
      <x:c r="J903" s="85"/>
      <x:c r="L903" s="86"/>
      <x:c r="M903" s="32"/>
    </x:row>
    <x:row r="904">
      <x:c r="A904" s="87"/>
      <x:c r="D904" s="32"/>
      <x:c r="I904" s="74"/>
      <x:c r="J904" s="85"/>
      <x:c r="L904" s="86"/>
      <x:c r="M904" s="32"/>
    </x:row>
    <x:row r="905">
      <x:c r="A905" s="87"/>
      <x:c r="D905" s="32"/>
      <x:c r="I905" s="74"/>
      <x:c r="J905" s="85"/>
      <x:c r="L905" s="86"/>
      <x:c r="M905" s="32"/>
    </x:row>
    <x:row r="906">
      <x:c r="A906" s="87"/>
      <x:c r="D906" s="32"/>
      <x:c r="I906" s="74"/>
      <x:c r="J906" s="85"/>
      <x:c r="L906" s="86"/>
      <x:c r="M906" s="32"/>
    </x:row>
    <x:row r="907">
      <x:c r="A907" s="87"/>
      <x:c r="D907" s="32"/>
      <x:c r="I907" s="74"/>
      <x:c r="J907" s="85"/>
      <x:c r="L907" s="86"/>
      <x:c r="M907" s="32"/>
    </x:row>
    <x:row r="908">
      <x:c r="A908" s="87"/>
      <x:c r="D908" s="32"/>
      <x:c r="I908" s="74"/>
      <x:c r="J908" s="85"/>
      <x:c r="L908" s="86"/>
      <x:c r="M908" s="32"/>
    </x:row>
    <x:row r="909">
      <x:c r="A909" s="87"/>
      <x:c r="D909" s="32"/>
      <x:c r="I909" s="74"/>
      <x:c r="J909" s="85"/>
      <x:c r="L909" s="86"/>
      <x:c r="M909" s="32"/>
    </x:row>
    <x:row r="910">
      <x:c r="A910" s="87"/>
      <x:c r="D910" s="32"/>
      <x:c r="I910" s="74"/>
      <x:c r="J910" s="85"/>
      <x:c r="L910" s="86"/>
      <x:c r="M910" s="32"/>
    </x:row>
    <x:row r="911">
      <x:c r="A911" s="87"/>
      <x:c r="D911" s="32"/>
      <x:c r="I911" s="74"/>
      <x:c r="J911" s="85"/>
      <x:c r="L911" s="86"/>
      <x:c r="M911" s="32"/>
    </x:row>
    <x:row r="912">
      <x:c r="A912" s="87"/>
      <x:c r="D912" s="32"/>
      <x:c r="I912" s="74"/>
      <x:c r="J912" s="85"/>
      <x:c r="L912" s="86"/>
      <x:c r="M912" s="32"/>
    </x:row>
    <x:row r="913">
      <x:c r="A913" s="87"/>
      <x:c r="D913" s="32"/>
      <x:c r="I913" s="74"/>
      <x:c r="J913" s="85"/>
      <x:c r="L913" s="86"/>
      <x:c r="M913" s="32"/>
    </x:row>
    <x:row r="914">
      <x:c r="A914" s="87"/>
      <x:c r="D914" s="32"/>
      <x:c r="I914" s="74"/>
      <x:c r="J914" s="85"/>
      <x:c r="L914" s="86"/>
      <x:c r="M914" s="32"/>
    </x:row>
    <x:row r="915">
      <x:c r="A915" s="87"/>
      <x:c r="D915" s="32"/>
      <x:c r="I915" s="74"/>
      <x:c r="J915" s="85"/>
      <x:c r="L915" s="86"/>
      <x:c r="M915" s="32"/>
    </x:row>
    <x:row r="916">
      <x:c r="A916" s="87"/>
      <x:c r="D916" s="32"/>
      <x:c r="I916" s="74"/>
      <x:c r="J916" s="85"/>
      <x:c r="L916" s="86"/>
      <x:c r="M916" s="32"/>
    </x:row>
    <x:row r="917">
      <x:c r="A917" s="87"/>
      <x:c r="D917" s="32"/>
      <x:c r="I917" s="74"/>
      <x:c r="J917" s="85"/>
      <x:c r="L917" s="86"/>
      <x:c r="M917" s="32"/>
    </x:row>
    <x:row r="918">
      <x:c r="A918" s="87"/>
      <x:c r="D918" s="32"/>
      <x:c r="I918" s="74"/>
      <x:c r="J918" s="85"/>
      <x:c r="L918" s="86"/>
      <x:c r="M918" s="32"/>
    </x:row>
    <x:row r="919">
      <x:c r="A919" s="87"/>
      <x:c r="D919" s="32"/>
      <x:c r="I919" s="74"/>
      <x:c r="J919" s="85"/>
      <x:c r="L919" s="86"/>
      <x:c r="M919" s="32"/>
    </x:row>
    <x:row r="920">
      <x:c r="A920" s="87"/>
      <x:c r="D920" s="32"/>
      <x:c r="I920" s="74"/>
      <x:c r="J920" s="85"/>
      <x:c r="L920" s="86"/>
      <x:c r="M920" s="32"/>
    </x:row>
    <x:row r="921">
      <x:c r="A921" s="87"/>
      <x:c r="D921" s="32"/>
      <x:c r="I921" s="74"/>
      <x:c r="J921" s="85"/>
      <x:c r="L921" s="86"/>
      <x:c r="M921" s="32"/>
    </x:row>
    <x:row r="922">
      <x:c r="A922" s="87"/>
      <x:c r="D922" s="32"/>
      <x:c r="I922" s="74"/>
      <x:c r="J922" s="85"/>
      <x:c r="L922" s="86"/>
      <x:c r="M922" s="32"/>
    </x:row>
    <x:row r="923">
      <x:c r="A923" s="87"/>
      <x:c r="D923" s="32"/>
      <x:c r="I923" s="74"/>
      <x:c r="J923" s="85"/>
      <x:c r="L923" s="86"/>
      <x:c r="M923" s="32"/>
    </x:row>
    <x:row r="924">
      <x:c r="A924" s="87"/>
      <x:c r="D924" s="32"/>
      <x:c r="I924" s="74"/>
      <x:c r="J924" s="85"/>
      <x:c r="L924" s="86"/>
      <x:c r="M924" s="32"/>
    </x:row>
    <x:row r="925">
      <x:c r="A925" s="87"/>
      <x:c r="D925" s="32"/>
      <x:c r="I925" s="74"/>
      <x:c r="J925" s="85"/>
      <x:c r="L925" s="86"/>
      <x:c r="M925" s="32"/>
    </x:row>
    <x:row r="926">
      <x:c r="A926" s="87"/>
      <x:c r="D926" s="32"/>
      <x:c r="I926" s="74"/>
      <x:c r="J926" s="85"/>
      <x:c r="L926" s="86"/>
      <x:c r="M926" s="32"/>
    </x:row>
    <x:row r="927">
      <x:c r="A927" s="87"/>
      <x:c r="D927" s="32"/>
      <x:c r="I927" s="74"/>
      <x:c r="J927" s="85"/>
      <x:c r="L927" s="86"/>
      <x:c r="M927" s="32"/>
    </x:row>
    <x:row r="928">
      <x:c r="A928" s="87"/>
      <x:c r="D928" s="32"/>
      <x:c r="I928" s="74"/>
      <x:c r="J928" s="85"/>
      <x:c r="L928" s="86"/>
      <x:c r="M928" s="32"/>
    </x:row>
    <x:row r="929">
      <x:c r="A929" s="87"/>
      <x:c r="D929" s="32"/>
      <x:c r="I929" s="74"/>
      <x:c r="J929" s="85"/>
      <x:c r="L929" s="86"/>
      <x:c r="M929" s="32"/>
    </x:row>
    <x:row r="930">
      <x:c r="A930" s="87"/>
      <x:c r="D930" s="32"/>
      <x:c r="I930" s="74"/>
      <x:c r="J930" s="85"/>
      <x:c r="L930" s="86"/>
      <x:c r="M930" s="32"/>
    </x:row>
    <x:row r="931">
      <x:c r="A931" s="87"/>
      <x:c r="D931" s="32"/>
      <x:c r="I931" s="74"/>
      <x:c r="J931" s="85"/>
      <x:c r="L931" s="86"/>
      <x:c r="M931" s="32"/>
    </x:row>
    <x:row r="932">
      <x:c r="A932" s="87"/>
      <x:c r="D932" s="32"/>
      <x:c r="I932" s="74"/>
      <x:c r="J932" s="85"/>
      <x:c r="L932" s="86"/>
      <x:c r="M932" s="32"/>
    </x:row>
    <x:row r="933">
      <x:c r="A933" s="87"/>
      <x:c r="D933" s="32"/>
      <x:c r="I933" s="74"/>
      <x:c r="J933" s="85"/>
      <x:c r="L933" s="86"/>
      <x:c r="M933" s="32"/>
    </x:row>
    <x:row r="934">
      <x:c r="A934" s="87"/>
      <x:c r="D934" s="32"/>
      <x:c r="I934" s="74"/>
      <x:c r="J934" s="85"/>
      <x:c r="L934" s="86"/>
      <x:c r="M934" s="32"/>
    </x:row>
    <x:row r="935">
      <x:c r="A935" s="87"/>
      <x:c r="D935" s="32"/>
      <x:c r="I935" s="74"/>
      <x:c r="J935" s="85"/>
      <x:c r="L935" s="86"/>
      <x:c r="M935" s="32"/>
    </x:row>
    <x:row r="936">
      <x:c r="A936" s="87"/>
      <x:c r="D936" s="32"/>
      <x:c r="I936" s="74"/>
      <x:c r="J936" s="85"/>
      <x:c r="L936" s="86"/>
      <x:c r="M936" s="32"/>
    </x:row>
    <x:row r="937">
      <x:c r="A937" s="87"/>
      <x:c r="D937" s="32"/>
      <x:c r="I937" s="74"/>
      <x:c r="J937" s="85"/>
      <x:c r="L937" s="86"/>
      <x:c r="M937" s="32"/>
    </x:row>
    <x:row r="938">
      <x:c r="A938" s="87"/>
      <x:c r="D938" s="32"/>
      <x:c r="I938" s="74"/>
      <x:c r="J938" s="85"/>
      <x:c r="L938" s="86"/>
      <x:c r="M938" s="32"/>
    </x:row>
    <x:row r="939">
      <x:c r="A939" s="87"/>
      <x:c r="D939" s="32"/>
      <x:c r="I939" s="74"/>
      <x:c r="J939" s="85"/>
      <x:c r="L939" s="86"/>
      <x:c r="M939" s="32"/>
    </x:row>
    <x:row r="940">
      <x:c r="A940" s="87"/>
      <x:c r="D940" s="32"/>
      <x:c r="I940" s="74"/>
      <x:c r="J940" s="85"/>
      <x:c r="L940" s="86"/>
      <x:c r="M940" s="32"/>
    </x:row>
    <x:row r="941">
      <x:c r="A941" s="87"/>
      <x:c r="D941" s="32"/>
      <x:c r="I941" s="74"/>
      <x:c r="J941" s="85"/>
      <x:c r="L941" s="86"/>
      <x:c r="M941" s="32"/>
    </x:row>
    <x:row r="942">
      <x:c r="A942" s="87"/>
      <x:c r="D942" s="32"/>
      <x:c r="I942" s="74"/>
      <x:c r="J942" s="85"/>
      <x:c r="L942" s="86"/>
      <x:c r="M942" s="32"/>
    </x:row>
    <x:row r="943">
      <x:c r="A943" s="87"/>
      <x:c r="D943" s="32"/>
      <x:c r="I943" s="74"/>
      <x:c r="J943" s="85"/>
      <x:c r="L943" s="86"/>
      <x:c r="M943" s="32"/>
    </x:row>
    <x:row r="944">
      <x:c r="A944" s="87"/>
      <x:c r="D944" s="32"/>
      <x:c r="I944" s="74"/>
      <x:c r="J944" s="85"/>
      <x:c r="L944" s="86"/>
      <x:c r="M944" s="32"/>
    </x:row>
    <x:row r="945">
      <x:c r="A945" s="87"/>
      <x:c r="D945" s="32"/>
      <x:c r="I945" s="74"/>
      <x:c r="J945" s="85"/>
      <x:c r="L945" s="86"/>
      <x:c r="M945" s="32"/>
    </x:row>
    <x:row r="946">
      <x:c r="A946" s="87"/>
      <x:c r="D946" s="32"/>
      <x:c r="I946" s="74"/>
      <x:c r="J946" s="85"/>
      <x:c r="L946" s="86"/>
      <x:c r="M946" s="32"/>
    </x:row>
    <x:row r="947">
      <x:c r="A947" s="87"/>
      <x:c r="D947" s="32"/>
      <x:c r="I947" s="74"/>
      <x:c r="J947" s="85"/>
      <x:c r="L947" s="86"/>
      <x:c r="M947" s="32"/>
    </x:row>
    <x:row r="948">
      <x:c r="A948" s="87"/>
      <x:c r="D948" s="32"/>
      <x:c r="I948" s="74"/>
      <x:c r="J948" s="85"/>
      <x:c r="L948" s="86"/>
      <x:c r="M948" s="32"/>
    </x:row>
    <x:row r="949">
      <x:c r="A949" s="87"/>
      <x:c r="D949" s="32"/>
      <x:c r="I949" s="74"/>
      <x:c r="J949" s="85"/>
      <x:c r="L949" s="86"/>
      <x:c r="M949" s="32"/>
    </x:row>
    <x:row r="950">
      <x:c r="A950" s="87"/>
      <x:c r="D950" s="32"/>
      <x:c r="I950" s="74"/>
      <x:c r="J950" s="85"/>
      <x:c r="L950" s="86"/>
      <x:c r="M950" s="32"/>
    </x:row>
    <x:row r="951">
      <x:c r="A951" s="87"/>
      <x:c r="D951" s="32"/>
      <x:c r="I951" s="74"/>
      <x:c r="J951" s="85"/>
      <x:c r="L951" s="86"/>
      <x:c r="M951" s="32"/>
    </x:row>
    <x:row r="952">
      <x:c r="A952" s="87"/>
      <x:c r="D952" s="32"/>
      <x:c r="I952" s="74"/>
      <x:c r="J952" s="85"/>
      <x:c r="L952" s="86"/>
      <x:c r="M952" s="32"/>
    </x:row>
    <x:row r="953">
      <x:c r="A953" s="87"/>
      <x:c r="D953" s="32"/>
      <x:c r="I953" s="74"/>
      <x:c r="J953" s="85"/>
      <x:c r="L953" s="86"/>
      <x:c r="M953" s="32"/>
    </x:row>
    <x:row r="954">
      <x:c r="A954" s="87"/>
      <x:c r="D954" s="32"/>
      <x:c r="I954" s="74"/>
      <x:c r="J954" s="85"/>
      <x:c r="L954" s="86"/>
      <x:c r="M954" s="32"/>
    </x:row>
    <x:row r="955">
      <x:c r="A955" s="87"/>
      <x:c r="D955" s="32"/>
      <x:c r="I955" s="74"/>
      <x:c r="J955" s="85"/>
      <x:c r="L955" s="86"/>
      <x:c r="M955" s="32"/>
    </x:row>
    <x:row r="956">
      <x:c r="A956" s="87"/>
      <x:c r="D956" s="32"/>
      <x:c r="I956" s="74"/>
      <x:c r="J956" s="85"/>
      <x:c r="L956" s="86"/>
      <x:c r="M956" s="32"/>
    </x:row>
    <x:row r="957">
      <x:c r="A957" s="87"/>
      <x:c r="D957" s="32"/>
      <x:c r="I957" s="74"/>
      <x:c r="J957" s="85"/>
      <x:c r="L957" s="86"/>
      <x:c r="M957" s="32"/>
    </x:row>
    <x:row r="958">
      <x:c r="A958" s="87"/>
      <x:c r="D958" s="32"/>
      <x:c r="I958" s="74"/>
      <x:c r="J958" s="85"/>
      <x:c r="L958" s="86"/>
      <x:c r="M958" s="32"/>
    </x:row>
    <x:row r="959">
      <x:c r="A959" s="87"/>
      <x:c r="D959" s="32"/>
      <x:c r="I959" s="74"/>
      <x:c r="J959" s="85"/>
      <x:c r="L959" s="86"/>
      <x:c r="M959" s="32"/>
    </x:row>
    <x:row r="960">
      <x:c r="A960" s="87"/>
      <x:c r="D960" s="32"/>
      <x:c r="I960" s="74"/>
      <x:c r="J960" s="85"/>
      <x:c r="L960" s="86"/>
      <x:c r="M960" s="32"/>
    </x:row>
    <x:row r="961">
      <x:c r="A961" s="87"/>
      <x:c r="D961" s="32"/>
      <x:c r="I961" s="74"/>
      <x:c r="J961" s="85"/>
      <x:c r="L961" s="86"/>
      <x:c r="M961" s="32"/>
    </x:row>
    <x:row r="962">
      <x:c r="A962" s="87"/>
      <x:c r="D962" s="32"/>
      <x:c r="I962" s="74"/>
      <x:c r="J962" s="85"/>
      <x:c r="L962" s="86"/>
      <x:c r="M962" s="32"/>
    </x:row>
    <x:row r="963">
      <x:c r="A963" s="87"/>
      <x:c r="D963" s="32"/>
      <x:c r="I963" s="74"/>
      <x:c r="J963" s="85"/>
      <x:c r="L963" s="86"/>
      <x:c r="M963" s="32"/>
    </x:row>
    <x:row r="964">
      <x:c r="A964" s="87"/>
      <x:c r="D964" s="32"/>
      <x:c r="I964" s="74"/>
      <x:c r="J964" s="85"/>
      <x:c r="L964" s="86"/>
      <x:c r="M964" s="32"/>
    </x:row>
    <x:row r="965">
      <x:c r="A965" s="87"/>
      <x:c r="D965" s="32"/>
      <x:c r="I965" s="74"/>
      <x:c r="J965" s="85"/>
      <x:c r="L965" s="86"/>
      <x:c r="M965" s="32"/>
    </x:row>
    <x:row r="966">
      <x:c r="A966" s="87"/>
      <x:c r="D966" s="32"/>
      <x:c r="I966" s="74"/>
      <x:c r="J966" s="85"/>
      <x:c r="L966" s="86"/>
      <x:c r="M966" s="32"/>
    </x:row>
    <x:row r="967">
      <x:c r="A967" s="87"/>
      <x:c r="D967" s="32"/>
      <x:c r="I967" s="74"/>
      <x:c r="J967" s="85"/>
      <x:c r="L967" s="86"/>
      <x:c r="M967" s="32"/>
    </x:row>
    <x:row r="968">
      <x:c r="A968" s="87"/>
      <x:c r="D968" s="32"/>
      <x:c r="I968" s="74"/>
      <x:c r="J968" s="85"/>
      <x:c r="L968" s="86"/>
      <x:c r="M968" s="32"/>
    </x:row>
    <x:row r="969">
      <x:c r="A969" s="87"/>
      <x:c r="D969" s="32"/>
      <x:c r="I969" s="74"/>
      <x:c r="J969" s="85"/>
      <x:c r="L969" s="86"/>
      <x:c r="M969" s="32"/>
    </x:row>
    <x:row r="970">
      <x:c r="A970" s="87"/>
      <x:c r="D970" s="32"/>
      <x:c r="I970" s="74"/>
      <x:c r="J970" s="85"/>
      <x:c r="L970" s="86"/>
      <x:c r="M970" s="32"/>
    </x:row>
    <x:row r="971">
      <x:c r="A971" s="87"/>
      <x:c r="D971" s="32"/>
      <x:c r="I971" s="74"/>
      <x:c r="J971" s="85"/>
      <x:c r="L971" s="86"/>
      <x:c r="M971" s="32"/>
    </x:row>
    <x:row r="972">
      <x:c r="A972" s="87"/>
      <x:c r="D972" s="32"/>
      <x:c r="I972" s="74"/>
      <x:c r="J972" s="85"/>
      <x:c r="L972" s="86"/>
      <x:c r="M972" s="32"/>
    </x:row>
    <x:row r="973">
      <x:c r="A973" s="87"/>
      <x:c r="D973" s="32"/>
      <x:c r="I973" s="74"/>
      <x:c r="J973" s="85"/>
      <x:c r="L973" s="86"/>
      <x:c r="M973" s="32"/>
    </x:row>
    <x:row r="974">
      <x:c r="A974" s="87"/>
      <x:c r="D974" s="32"/>
      <x:c r="I974" s="74"/>
      <x:c r="J974" s="85"/>
      <x:c r="L974" s="86"/>
      <x:c r="M974" s="32"/>
    </x:row>
    <x:row r="975">
      <x:c r="A975" s="87"/>
      <x:c r="D975" s="32"/>
      <x:c r="I975" s="74"/>
      <x:c r="J975" s="85"/>
      <x:c r="L975" s="86"/>
      <x:c r="M975" s="32"/>
    </x:row>
    <x:row r="976">
      <x:c r="A976" s="87"/>
      <x:c r="D976" s="32"/>
      <x:c r="I976" s="74"/>
      <x:c r="J976" s="85"/>
      <x:c r="L976" s="86"/>
      <x:c r="M976" s="32"/>
    </x:row>
    <x:row r="977">
      <x:c r="A977" s="87"/>
      <x:c r="D977" s="32"/>
      <x:c r="I977" s="74"/>
      <x:c r="J977" s="85"/>
      <x:c r="L977" s="86"/>
      <x:c r="M977" s="32"/>
    </x:row>
    <x:row r="978">
      <x:c r="A978" s="87"/>
      <x:c r="D978" s="32"/>
      <x:c r="I978" s="74"/>
      <x:c r="J978" s="85"/>
      <x:c r="L978" s="86"/>
      <x:c r="M978" s="32"/>
    </x:row>
    <x:row r="979">
      <x:c r="A979" s="87"/>
      <x:c r="D979" s="32"/>
      <x:c r="I979" s="74"/>
      <x:c r="J979" s="85"/>
      <x:c r="L979" s="86"/>
      <x:c r="M979" s="32"/>
    </x:row>
    <x:row r="980">
      <x:c r="A980" s="87"/>
      <x:c r="D980" s="32"/>
      <x:c r="I980" s="74"/>
      <x:c r="J980" s="85"/>
      <x:c r="L980" s="86"/>
      <x:c r="M980" s="32"/>
    </x:row>
    <x:row r="981">
      <x:c r="A981" s="87"/>
      <x:c r="D981" s="32"/>
      <x:c r="I981" s="74"/>
      <x:c r="J981" s="85"/>
      <x:c r="L981" s="86"/>
      <x:c r="M981" s="32"/>
    </x:row>
    <x:row r="982">
      <x:c r="A982" s="87"/>
      <x:c r="D982" s="32"/>
      <x:c r="I982" s="74"/>
      <x:c r="J982" s="85"/>
      <x:c r="L982" s="86"/>
      <x:c r="M982" s="32"/>
    </x:row>
    <x:row r="983">
      <x:c r="A983" s="87"/>
      <x:c r="D983" s="32"/>
      <x:c r="I983" s="74"/>
      <x:c r="J983" s="85"/>
      <x:c r="L983" s="86"/>
      <x:c r="M983" s="32"/>
    </x:row>
    <x:row r="984">
      <x:c r="A984" s="87"/>
      <x:c r="D984" s="32"/>
      <x:c r="I984" s="74"/>
      <x:c r="J984" s="85"/>
      <x:c r="L984" s="86"/>
      <x:c r="M984" s="32"/>
    </x:row>
    <x:row r="985">
      <x:c r="A985" s="87"/>
      <x:c r="D985" s="32"/>
      <x:c r="I985" s="74"/>
      <x:c r="J985" s="85"/>
      <x:c r="L985" s="86"/>
      <x:c r="M985" s="32"/>
    </x:row>
    <x:row r="986">
      <x:c r="A986" s="87"/>
      <x:c r="D986" s="32"/>
      <x:c r="I986" s="74"/>
      <x:c r="J986" s="85"/>
      <x:c r="L986" s="86"/>
      <x:c r="M986" s="32"/>
    </x:row>
    <x:row r="987">
      <x:c r="A987" s="87"/>
      <x:c r="D987" s="32"/>
      <x:c r="I987" s="74"/>
      <x:c r="J987" s="85"/>
      <x:c r="L987" s="86"/>
      <x:c r="M987" s="32"/>
    </x:row>
    <x:row r="988">
      <x:c r="A988" s="87"/>
      <x:c r="D988" s="32"/>
      <x:c r="I988" s="74"/>
      <x:c r="J988" s="85"/>
      <x:c r="L988" s="86"/>
      <x:c r="M988" s="32"/>
    </x:row>
    <x:row r="989">
      <x:c r="A989" s="87"/>
      <x:c r="D989" s="32"/>
      <x:c r="I989" s="74"/>
      <x:c r="J989" s="85"/>
      <x:c r="L989" s="86"/>
      <x:c r="M989" s="32"/>
    </x:row>
    <x:row r="990">
      <x:c r="A990" s="87"/>
      <x:c r="D990" s="32"/>
      <x:c r="I990" s="74"/>
      <x:c r="J990" s="85"/>
      <x:c r="L990" s="86"/>
      <x:c r="M990" s="32"/>
    </x:row>
    <x:row r="991">
      <x:c r="A991" s="87"/>
      <x:c r="D991" s="32"/>
      <x:c r="I991" s="74"/>
      <x:c r="J991" s="85"/>
      <x:c r="L991" s="86"/>
      <x:c r="M991" s="32"/>
    </x:row>
    <x:row r="992">
      <x:c r="A992" s="87"/>
      <x:c r="D992" s="32"/>
      <x:c r="I992" s="74"/>
      <x:c r="J992" s="85"/>
      <x:c r="L992" s="86"/>
      <x:c r="M992" s="32"/>
    </x:row>
    <x:row r="993">
      <x:c r="A993" s="87"/>
      <x:c r="D993" s="32"/>
      <x:c r="I993" s="74"/>
      <x:c r="J993" s="85"/>
      <x:c r="L993" s="86"/>
      <x:c r="M993" s="32"/>
    </x:row>
    <x:row r="994">
      <x:c r="A994" s="87"/>
      <x:c r="D994" s="32"/>
      <x:c r="I994" s="74"/>
      <x:c r="J994" s="85"/>
      <x:c r="L994" s="86"/>
      <x:c r="M994" s="32"/>
    </x:row>
    <x:row r="995">
      <x:c r="A995" s="87"/>
      <x:c r="D995" s="32"/>
      <x:c r="I995" s="74"/>
      <x:c r="J995" s="85"/>
      <x:c r="L995" s="86"/>
      <x:c r="M995" s="32"/>
    </x:row>
    <x:row r="996">
      <x:c r="A996" s="87"/>
      <x:c r="D996" s="32"/>
      <x:c r="I996" s="74"/>
      <x:c r="J996" s="85"/>
      <x:c r="L996" s="86"/>
      <x:c r="M996" s="32"/>
    </x:row>
    <x:row r="997">
      <x:c r="A997" s="87"/>
      <x:c r="D997" s="32"/>
      <x:c r="I997" s="74"/>
      <x:c r="J997" s="85"/>
      <x:c r="L997" s="86"/>
      <x:c r="M997" s="32"/>
    </x:row>
    <x:row r="998">
      <x:c r="A998" s="87"/>
      <x:c r="D998" s="32"/>
      <x:c r="I998" s="74"/>
      <x:c r="J998" s="85"/>
      <x:c r="L998" s="86"/>
      <x:c r="M998" s="32"/>
    </x:row>
    <x:row r="999">
      <x:c r="A999" s="87"/>
      <x:c r="D999" s="32"/>
      <x:c r="I999" s="74"/>
      <x:c r="J999" s="85"/>
      <x:c r="L999" s="86"/>
      <x:c r="M999" s="32"/>
    </x:row>
    <x:row r="1000">
      <x:c r="A1000" s="87"/>
      <x:c r="D1000" s="32"/>
      <x:c r="I1000" s="74"/>
      <x:c r="J1000" s="85"/>
      <x:c r="L1000" s="86"/>
      <x:c r="M1000" s="32"/>
    </x:row>
    <x:row r="1001">
      <x:c r="A1001" s="87"/>
      <x:c r="D1001" s="32"/>
      <x:c r="I1001" s="74"/>
      <x:c r="J1001" s="85"/>
      <x:c r="L1001" s="86"/>
      <x:c r="M1001" s="32"/>
    </x:row>
    <x:row r="1002">
      <x:c r="A1002" s="87"/>
      <x:c r="D1002" s="32"/>
      <x:c r="I1002" s="74"/>
      <x:c r="J1002" s="85"/>
      <x:c r="L1002" s="86"/>
      <x:c r="M1002" s="32"/>
    </x:row>
    <x:row r="1003">
      <x:c r="A1003" s="87"/>
      <x:c r="D1003" s="32"/>
      <x:c r="I1003" s="74"/>
      <x:c r="J1003" s="85"/>
      <x:c r="L1003" s="86"/>
      <x:c r="M1003" s="32"/>
    </x:row>
    <x:row r="1004">
      <x:c r="A1004" s="87"/>
      <x:c r="D1004" s="32"/>
      <x:c r="I1004" s="74"/>
      <x:c r="J1004" s="85"/>
      <x:c r="L1004" s="86"/>
      <x:c r="M1004" s="32"/>
    </x:row>
    <x:row r="1005">
      <x:c r="A1005" s="87"/>
      <x:c r="D1005" s="32"/>
      <x:c r="I1005" s="74"/>
      <x:c r="J1005" s="85"/>
      <x:c r="L1005" s="86"/>
      <x:c r="M1005" s="32"/>
    </x:row>
    <x:row r="1006">
      <x:c r="A1006" s="87"/>
      <x:c r="D1006" s="32"/>
      <x:c r="I1006" s="74"/>
      <x:c r="J1006" s="85"/>
      <x:c r="L1006" s="86"/>
      <x:c r="M1006" s="32"/>
    </x:row>
    <x:row r="1007">
      <x:c r="A1007" s="87"/>
      <x:c r="D1007" s="32"/>
      <x:c r="I1007" s="74"/>
      <x:c r="J1007" s="85"/>
      <x:c r="L1007" s="86"/>
      <x:c r="M1007" s="32"/>
    </x:row>
    <x:row r="1008">
      <x:c r="A1008" s="87"/>
      <x:c r="D1008" s="32"/>
      <x:c r="I1008" s="74"/>
      <x:c r="J1008" s="85"/>
      <x:c r="L1008" s="86"/>
      <x:c r="M1008" s="32"/>
    </x:row>
    <x:row r="1009">
      <x:c r="A1009" s="87"/>
      <x:c r="D1009" s="32"/>
      <x:c r="I1009" s="74"/>
      <x:c r="J1009" s="85"/>
      <x:c r="L1009" s="86"/>
      <x:c r="M1009" s="32"/>
    </x:row>
    <x:row r="1010">
      <x:c r="A1010" s="87"/>
      <x:c r="D1010" s="32"/>
      <x:c r="I1010" s="74"/>
      <x:c r="J1010" s="85"/>
      <x:c r="L1010" s="86"/>
      <x:c r="M1010" s="32"/>
    </x:row>
    <x:row r="1011">
      <x:c r="A1011" s="87"/>
      <x:c r="D1011" s="32"/>
      <x:c r="I1011" s="74"/>
      <x:c r="J1011" s="85"/>
      <x:c r="L1011" s="86"/>
      <x:c r="M1011" s="32"/>
    </x:row>
    <x:row r="1012">
      <x:c r="A1012" s="87"/>
      <x:c r="D1012" s="32"/>
      <x:c r="I1012" s="74"/>
      <x:c r="J1012" s="85"/>
      <x:c r="L1012" s="86"/>
      <x:c r="M1012" s="32"/>
    </x:row>
    <x:row r="1013">
      <x:c r="A1013" s="87"/>
      <x:c r="D1013" s="32"/>
      <x:c r="I1013" s="74"/>
      <x:c r="J1013" s="85"/>
      <x:c r="L1013" s="86"/>
      <x:c r="M1013" s="32"/>
    </x:row>
    <x:row r="1014">
      <x:c r="A1014" s="87"/>
      <x:c r="D1014" s="32"/>
      <x:c r="I1014" s="74"/>
      <x:c r="J1014" s="85"/>
      <x:c r="L1014" s="86"/>
      <x:c r="M1014" s="32"/>
    </x:row>
    <x:row r="1015">
      <x:c r="A1015" s="87"/>
      <x:c r="D1015" s="32"/>
      <x:c r="I1015" s="74"/>
      <x:c r="J1015" s="85"/>
      <x:c r="L1015" s="86"/>
      <x:c r="M1015" s="32"/>
    </x:row>
    <x:row r="1016">
      <x:c r="A1016" s="87"/>
      <x:c r="D1016" s="32"/>
      <x:c r="I1016" s="74"/>
      <x:c r="J1016" s="85"/>
      <x:c r="L1016" s="86"/>
      <x:c r="M1016" s="32"/>
    </x:row>
    <x:row r="1017">
      <x:c r="A1017" s="87"/>
      <x:c r="D1017" s="32"/>
      <x:c r="I1017" s="74"/>
      <x:c r="J1017" s="85"/>
      <x:c r="L1017" s="86"/>
      <x:c r="M1017" s="32"/>
    </x:row>
    <x:row r="1018">
      <x:c r="A1018" s="87"/>
      <x:c r="D1018" s="32"/>
      <x:c r="I1018" s="74"/>
      <x:c r="J1018" s="85"/>
      <x:c r="L1018" s="86"/>
      <x:c r="M1018" s="32"/>
    </x:row>
    <x:row r="1019">
      <x:c r="A1019" s="87"/>
      <x:c r="D1019" s="32"/>
      <x:c r="I1019" s="74"/>
      <x:c r="J1019" s="85"/>
      <x:c r="L1019" s="86"/>
      <x:c r="M1019" s="32"/>
    </x:row>
    <x:row r="1020">
      <x:c r="A1020" s="87"/>
      <x:c r="D1020" s="32"/>
      <x:c r="I1020" s="74"/>
      <x:c r="J1020" s="85"/>
      <x:c r="L1020" s="86"/>
      <x:c r="M1020" s="32"/>
    </x:row>
    <x:row r="1021">
      <x:c r="A1021" s="87"/>
      <x:c r="D1021" s="32"/>
      <x:c r="I1021" s="74"/>
      <x:c r="J1021" s="85"/>
      <x:c r="L1021" s="86"/>
      <x:c r="M1021" s="32"/>
    </x:row>
    <x:row r="1022">
      <x:c r="A1022" s="87"/>
      <x:c r="D1022" s="32"/>
      <x:c r="I1022" s="74"/>
      <x:c r="J1022" s="85"/>
      <x:c r="L1022" s="86"/>
      <x:c r="M1022" s="32"/>
    </x:row>
    <x:row r="1023">
      <x:c r="A1023" s="87"/>
      <x:c r="D1023" s="32"/>
      <x:c r="I1023" s="74"/>
      <x:c r="J1023" s="85"/>
      <x:c r="L1023" s="86"/>
      <x:c r="M1023" s="32"/>
    </x:row>
    <x:row r="1024">
      <x:c r="A1024" s="87"/>
      <x:c r="D1024" s="32"/>
      <x:c r="I1024" s="74"/>
      <x:c r="J1024" s="85"/>
      <x:c r="L1024" s="86"/>
      <x:c r="M1024" s="32"/>
    </x:row>
    <x:row r="1025">
      <x:c r="A1025" s="87"/>
      <x:c r="D1025" s="32"/>
      <x:c r="I1025" s="74"/>
      <x:c r="J1025" s="85"/>
      <x:c r="L1025" s="86"/>
      <x:c r="M1025" s="32"/>
    </x:row>
    <x:row r="1026">
      <x:c r="A1026" s="87"/>
      <x:c r="D1026" s="32"/>
      <x:c r="I1026" s="74"/>
      <x:c r="J1026" s="85"/>
      <x:c r="L1026" s="86"/>
      <x:c r="M1026" s="32"/>
    </x:row>
    <x:row r="1027">
      <x:c r="A1027" s="87"/>
      <x:c r="D1027" s="32"/>
      <x:c r="I1027" s="74"/>
      <x:c r="J1027" s="85"/>
      <x:c r="L1027" s="86"/>
      <x:c r="M1027" s="32"/>
    </x:row>
    <x:row r="1028">
      <x:c r="A1028" s="87"/>
      <x:c r="D1028" s="32"/>
      <x:c r="I1028" s="74"/>
      <x:c r="J1028" s="85"/>
      <x:c r="L1028" s="86"/>
      <x:c r="M1028" s="32"/>
    </x:row>
    <x:row r="1029">
      <x:c r="A1029" s="87"/>
      <x:c r="D1029" s="32"/>
      <x:c r="I1029" s="74"/>
      <x:c r="J1029" s="85"/>
      <x:c r="L1029" s="86"/>
      <x:c r="M1029" s="32"/>
    </x:row>
    <x:row r="1030">
      <x:c r="A1030" s="87"/>
      <x:c r="D1030" s="32"/>
      <x:c r="I1030" s="74"/>
      <x:c r="J1030" s="85"/>
      <x:c r="L1030" s="86"/>
      <x:c r="M1030" s="32"/>
    </x:row>
    <x:row r="1031">
      <x:c r="A1031" s="87"/>
      <x:c r="D1031" s="32"/>
      <x:c r="I1031" s="74"/>
      <x:c r="J1031" s="85"/>
      <x:c r="L1031" s="86"/>
      <x:c r="M1031" s="32"/>
    </x:row>
    <x:row r="1032">
      <x:c r="A1032" s="87"/>
      <x:c r="D1032" s="32"/>
      <x:c r="I1032" s="74"/>
      <x:c r="J1032" s="85"/>
      <x:c r="L1032" s="86"/>
      <x:c r="M1032" s="32"/>
    </x:row>
    <x:row r="1033">
      <x:c r="A1033" s="87"/>
      <x:c r="D1033" s="32"/>
      <x:c r="I1033" s="74"/>
      <x:c r="J1033" s="85"/>
      <x:c r="L1033" s="86"/>
      <x:c r="M1033" s="32"/>
    </x:row>
    <x:row r="1034">
      <x:c r="A1034" s="87"/>
      <x:c r="D1034" s="32"/>
      <x:c r="I1034" s="74"/>
      <x:c r="J1034" s="85"/>
      <x:c r="L1034" s="86"/>
      <x:c r="M1034" s="32"/>
    </x:row>
    <x:row r="1035">
      <x:c r="A1035" s="87"/>
      <x:c r="D1035" s="32"/>
      <x:c r="I1035" s="74"/>
      <x:c r="J1035" s="85"/>
      <x:c r="L1035" s="86"/>
      <x:c r="M1035" s="32"/>
    </x:row>
    <x:row r="1036">
      <x:c r="A1036" s="87"/>
      <x:c r="D1036" s="32"/>
      <x:c r="I1036" s="74"/>
      <x:c r="J1036" s="85"/>
      <x:c r="L1036" s="86"/>
      <x:c r="M1036" s="32"/>
    </x:row>
    <x:row r="1037">
      <x:c r="A1037" s="87"/>
      <x:c r="D1037" s="32"/>
      <x:c r="I1037" s="74"/>
      <x:c r="J1037" s="85"/>
      <x:c r="L1037" s="86"/>
      <x:c r="M1037" s="32"/>
    </x:row>
    <x:row r="1038">
      <x:c r="A1038" s="87"/>
      <x:c r="D1038" s="32"/>
      <x:c r="I1038" s="74"/>
      <x:c r="J1038" s="85"/>
      <x:c r="L1038" s="86"/>
      <x:c r="M1038" s="32"/>
    </x:row>
    <x:row r="1039">
      <x:c r="A1039" s="87"/>
      <x:c r="D1039" s="32"/>
      <x:c r="I1039" s="74"/>
      <x:c r="J1039" s="85"/>
      <x:c r="L1039" s="86"/>
      <x:c r="M1039" s="32"/>
    </x:row>
    <x:row r="1040">
      <x:c r="A1040" s="87"/>
      <x:c r="D1040" s="32"/>
      <x:c r="I1040" s="74"/>
      <x:c r="J1040" s="85"/>
      <x:c r="L1040" s="86"/>
      <x:c r="M1040" s="32"/>
    </x:row>
    <x:row r="1041">
      <x:c r="A1041" s="87"/>
      <x:c r="D1041" s="32"/>
      <x:c r="I1041" s="74"/>
      <x:c r="J1041" s="85"/>
      <x:c r="L1041" s="86"/>
      <x:c r="M1041" s="32"/>
    </x:row>
    <x:row r="1042">
      <x:c r="A1042" s="87"/>
      <x:c r="D1042" s="32"/>
      <x:c r="I1042" s="74"/>
      <x:c r="J1042" s="85"/>
      <x:c r="L1042" s="86"/>
      <x:c r="M1042" s="32"/>
    </x:row>
    <x:row r="1043">
      <x:c r="A1043" s="87"/>
      <x:c r="D1043" s="32"/>
      <x:c r="I1043" s="74"/>
      <x:c r="J1043" s="85"/>
      <x:c r="L1043" s="86"/>
      <x:c r="M1043" s="32"/>
    </x:row>
    <x:row r="1044">
      <x:c r="A1044" s="87"/>
      <x:c r="D1044" s="32"/>
      <x:c r="I1044" s="74"/>
      <x:c r="J1044" s="85"/>
      <x:c r="L1044" s="86"/>
      <x:c r="M1044" s="32"/>
    </x:row>
    <x:row r="1045">
      <x:c r="A1045" s="87"/>
      <x:c r="D1045" s="32"/>
      <x:c r="I1045" s="74"/>
      <x:c r="J1045" s="85"/>
      <x:c r="L1045" s="86"/>
      <x:c r="M1045" s="32"/>
    </x:row>
    <x:row r="1046">
      <x:c r="A1046" s="87"/>
      <x:c r="D1046" s="32"/>
      <x:c r="I1046" s="74"/>
      <x:c r="J1046" s="85"/>
      <x:c r="L1046" s="86"/>
      <x:c r="M1046" s="32"/>
    </x:row>
    <x:row r="1047">
      <x:c r="A1047" s="87"/>
      <x:c r="D1047" s="32"/>
      <x:c r="I1047" s="74"/>
      <x:c r="J1047" s="85"/>
      <x:c r="L1047" s="86"/>
      <x:c r="M1047" s="32"/>
    </x:row>
    <x:row r="1048">
      <x:c r="A1048" s="87"/>
      <x:c r="D1048" s="32"/>
      <x:c r="I1048" s="74"/>
      <x:c r="J1048" s="85"/>
      <x:c r="L1048" s="86"/>
      <x:c r="M1048" s="32"/>
    </x:row>
    <x:row r="1049">
      <x:c r="A1049" s="87"/>
      <x:c r="D1049" s="32"/>
      <x:c r="I1049" s="74"/>
      <x:c r="J1049" s="85"/>
      <x:c r="L1049" s="86"/>
      <x:c r="M1049" s="32"/>
    </x:row>
  </x:sheetData>
  <x:conditionalFormatting sqref="A2:K1049">
    <x:cfRule type="expression" dxfId="0" priority="1">
      <x:formula>$K2="Done"</x:formula>
    </x:cfRule>
  </x:conditionalFormatting>
  <x:conditionalFormatting sqref="A2:K1049">
    <x:cfRule type="expression" dxfId="1" priority="2">
      <x:formula>AND(NOT($K2="Done"), OR($L2="Đã CK Anh", $L2="Đã CK Em"))</x:formula>
    </x:cfRule>
  </x:conditionalFormatting>
  <x:dataValidations count="1">
    <x:dataValidation type="list" allowBlank="1" showErrorMessage="1" sqref="L2:L1049">
      <x:formula1>"Chưa CK,Đã CK Anh,Đã CK Em"</x:formula1>
    </x:dataValidation>
  </x:dataValidations>
  <x:hyperlinks>
    <x:hyperlink xmlns:r="http://schemas.openxmlformats.org/officeDocument/2006/relationships" ref="D2" r:id="Ra23c9417f7d941ea"/>
    <x:hyperlink xmlns:r="http://schemas.openxmlformats.org/officeDocument/2006/relationships" ref="D3" r:id="R3e7cf6e7aeb949b9"/>
    <x:hyperlink xmlns:r="http://schemas.openxmlformats.org/officeDocument/2006/relationships" ref="D4" r:id="R5f8fbec5ea05450f"/>
    <x:hyperlink xmlns:r="http://schemas.openxmlformats.org/officeDocument/2006/relationships" ref="D5" r:id="Re737e4417bda4055"/>
    <x:hyperlink xmlns:r="http://schemas.openxmlformats.org/officeDocument/2006/relationships" ref="D6" r:id="R6931cb0b5ed24837"/>
    <x:hyperlink xmlns:r="http://schemas.openxmlformats.org/officeDocument/2006/relationships" ref="D7" r:id="Re84c61c9c274481f"/>
    <x:hyperlink xmlns:r="http://schemas.openxmlformats.org/officeDocument/2006/relationships" ref="D8" r:id="R93082f2b97094acc"/>
    <x:hyperlink xmlns:r="http://schemas.openxmlformats.org/officeDocument/2006/relationships" ref="D9" r:id="R48e470b94d0e41ca"/>
    <x:hyperlink xmlns:r="http://schemas.openxmlformats.org/officeDocument/2006/relationships" ref="D10" r:id="R694edd05d79a4a19"/>
    <x:hyperlink xmlns:r="http://schemas.openxmlformats.org/officeDocument/2006/relationships" ref="D11" r:id="Rebc6fcac6f034025"/>
    <x:hyperlink xmlns:r="http://schemas.openxmlformats.org/officeDocument/2006/relationships" ref="D12" r:id="R3b8a76dcb919488a"/>
    <x:hyperlink xmlns:r="http://schemas.openxmlformats.org/officeDocument/2006/relationships" ref="D13" r:id="R5629f3c7602345eb"/>
    <x:hyperlink xmlns:r="http://schemas.openxmlformats.org/officeDocument/2006/relationships" ref="D14" r:id="R8237f9eea9b742ac"/>
    <x:hyperlink xmlns:r="http://schemas.openxmlformats.org/officeDocument/2006/relationships" ref="D15" r:id="R778233df11784d48"/>
    <x:hyperlink xmlns:r="http://schemas.openxmlformats.org/officeDocument/2006/relationships" ref="D16" r:id="R72e4ca88b4da44ba"/>
    <x:hyperlink xmlns:r="http://schemas.openxmlformats.org/officeDocument/2006/relationships" ref="D17" r:id="R6ad8390d59f44dcb"/>
    <x:hyperlink xmlns:r="http://schemas.openxmlformats.org/officeDocument/2006/relationships" ref="D18" r:id="Ra41ca47a0c544972"/>
    <x:hyperlink xmlns:r="http://schemas.openxmlformats.org/officeDocument/2006/relationships" ref="D19" r:id="Re311e564d1d249f6"/>
    <x:hyperlink xmlns:r="http://schemas.openxmlformats.org/officeDocument/2006/relationships" ref="D20" r:id="R2ad3b8ab75734b14"/>
    <x:hyperlink xmlns:r="http://schemas.openxmlformats.org/officeDocument/2006/relationships" ref="D21" r:id="R1b77e6fa714643aa"/>
    <x:hyperlink xmlns:r="http://schemas.openxmlformats.org/officeDocument/2006/relationships" ref="D22" r:id="R454222b21f4b4210"/>
    <x:hyperlink xmlns:r="http://schemas.openxmlformats.org/officeDocument/2006/relationships" ref="D23" r:id="R0fb1f6a4eae7498b"/>
    <x:hyperlink xmlns:r="http://schemas.openxmlformats.org/officeDocument/2006/relationships" ref="D24" r:id="Rd732337654804deb"/>
    <x:hyperlink xmlns:r="http://schemas.openxmlformats.org/officeDocument/2006/relationships" ref="D25" r:id="Rd818ed5112564df6"/>
    <x:hyperlink xmlns:r="http://schemas.openxmlformats.org/officeDocument/2006/relationships" ref="D26" r:id="Rba6227bf32b6421c"/>
    <x:hyperlink xmlns:r="http://schemas.openxmlformats.org/officeDocument/2006/relationships" ref="D27" r:id="R2cb17615e441493d"/>
    <x:hyperlink xmlns:r="http://schemas.openxmlformats.org/officeDocument/2006/relationships" ref="D28" r:id="Rd63e34c73a77418f"/>
    <x:hyperlink xmlns:r="http://schemas.openxmlformats.org/officeDocument/2006/relationships" ref="D29" r:id="Racc7f013d2f1410c"/>
    <x:hyperlink xmlns:r="http://schemas.openxmlformats.org/officeDocument/2006/relationships" ref="D30" r:id="R134cc923287140bb"/>
    <x:hyperlink xmlns:r="http://schemas.openxmlformats.org/officeDocument/2006/relationships" ref="D31" r:id="R6c768ce3a82b4aa8"/>
    <x:hyperlink xmlns:r="http://schemas.openxmlformats.org/officeDocument/2006/relationships" ref="D32" r:id="R642e2f373b6e4f9c"/>
    <x:hyperlink xmlns:r="http://schemas.openxmlformats.org/officeDocument/2006/relationships" ref="D33" r:id="Re71a1754c51f4343"/>
    <x:hyperlink xmlns:r="http://schemas.openxmlformats.org/officeDocument/2006/relationships" ref="D34" r:id="R89f1e5695bed46fe"/>
    <x:hyperlink xmlns:r="http://schemas.openxmlformats.org/officeDocument/2006/relationships" ref="D35" r:id="R80e6349157004275"/>
    <x:hyperlink xmlns:r="http://schemas.openxmlformats.org/officeDocument/2006/relationships" ref="D36" r:id="Ra5ec6f3a5ae9497f"/>
    <x:hyperlink xmlns:r="http://schemas.openxmlformats.org/officeDocument/2006/relationships" ref="D37" r:id="R47bcae0cfeb24e8a"/>
    <x:hyperlink xmlns:r="http://schemas.openxmlformats.org/officeDocument/2006/relationships" ref="D38" r:id="Rd718b17ef9c641bb"/>
    <x:hyperlink xmlns:r="http://schemas.openxmlformats.org/officeDocument/2006/relationships" ref="D39" r:id="Rd397b91e56c54b93"/>
    <x:hyperlink xmlns:r="http://schemas.openxmlformats.org/officeDocument/2006/relationships" ref="D40" r:id="R03b99e362841401c"/>
    <x:hyperlink xmlns:r="http://schemas.openxmlformats.org/officeDocument/2006/relationships" ref="D41" r:id="R950682db33c24f93"/>
    <x:hyperlink xmlns:r="http://schemas.openxmlformats.org/officeDocument/2006/relationships" ref="D42" r:id="Rccb72078dfdf463b"/>
    <x:hyperlink xmlns:r="http://schemas.openxmlformats.org/officeDocument/2006/relationships" ref="D43" r:id="R3bec74bf774048a4"/>
    <x:hyperlink xmlns:r="http://schemas.openxmlformats.org/officeDocument/2006/relationships" ref="D44" r:id="Rae0444031cd848fc"/>
    <x:hyperlink xmlns:r="http://schemas.openxmlformats.org/officeDocument/2006/relationships" ref="D45" r:id="Reea10d3adb9b4a9f"/>
    <x:hyperlink xmlns:r="http://schemas.openxmlformats.org/officeDocument/2006/relationships" ref="D46" r:id="Re0401a173fb441d0"/>
    <x:hyperlink xmlns:r="http://schemas.openxmlformats.org/officeDocument/2006/relationships" ref="D47" r:id="Rb6735a54375c403c"/>
    <x:hyperlink xmlns:r="http://schemas.openxmlformats.org/officeDocument/2006/relationships" ref="D48" r:id="R7404c0ad8349491e"/>
    <x:hyperlink xmlns:r="http://schemas.openxmlformats.org/officeDocument/2006/relationships" ref="D49" r:id="R25fb69f888f4458d"/>
    <x:hyperlink xmlns:r="http://schemas.openxmlformats.org/officeDocument/2006/relationships" ref="D50" r:id="Ra15df875a3b1460b"/>
    <x:hyperlink xmlns:r="http://schemas.openxmlformats.org/officeDocument/2006/relationships" ref="D51" r:id="R90fb75a8a1404653"/>
    <x:hyperlink xmlns:r="http://schemas.openxmlformats.org/officeDocument/2006/relationships" ref="D52" r:id="R13f727dbc63b4608"/>
    <x:hyperlink xmlns:r="http://schemas.openxmlformats.org/officeDocument/2006/relationships" ref="D53" r:id="R1b0608ba8a9346dd"/>
    <x:hyperlink xmlns:r="http://schemas.openxmlformats.org/officeDocument/2006/relationships" ref="D54" r:id="R83db91c0bd754430"/>
    <x:hyperlink xmlns:r="http://schemas.openxmlformats.org/officeDocument/2006/relationships" ref="D55" r:id="R3be3ea6eeba2458a"/>
    <x:hyperlink xmlns:r="http://schemas.openxmlformats.org/officeDocument/2006/relationships" ref="D56" r:id="R3a6a171948bd4b93"/>
    <x:hyperlink xmlns:r="http://schemas.openxmlformats.org/officeDocument/2006/relationships" ref="D57" r:id="Rfee13df56eba46f4"/>
    <x:hyperlink xmlns:r="http://schemas.openxmlformats.org/officeDocument/2006/relationships" ref="D58" r:id="R5e33b88ab8cf44c3"/>
    <x:hyperlink xmlns:r="http://schemas.openxmlformats.org/officeDocument/2006/relationships" ref="D59" r:id="R05fd167e91264edf"/>
    <x:hyperlink xmlns:r="http://schemas.openxmlformats.org/officeDocument/2006/relationships" ref="D60" r:id="R43a9e0a8d8d14851"/>
    <x:hyperlink xmlns:r="http://schemas.openxmlformats.org/officeDocument/2006/relationships" ref="D61" r:id="R27ba5d218de04d94"/>
    <x:hyperlink xmlns:r="http://schemas.openxmlformats.org/officeDocument/2006/relationships" ref="D62" r:id="Rd383c6bc4f8a4670"/>
    <x:hyperlink xmlns:r="http://schemas.openxmlformats.org/officeDocument/2006/relationships" ref="D63" r:id="Rdb0a1d33b0e34644"/>
    <x:hyperlink xmlns:r="http://schemas.openxmlformats.org/officeDocument/2006/relationships" ref="D64" r:id="R2348cc17a59d4d0c"/>
    <x:hyperlink xmlns:r="http://schemas.openxmlformats.org/officeDocument/2006/relationships" ref="D65" r:id="R34fc102f48ea455a"/>
    <x:hyperlink xmlns:r="http://schemas.openxmlformats.org/officeDocument/2006/relationships" ref="D66" r:id="R88a14d8fddac4b68"/>
    <x:hyperlink xmlns:r="http://schemas.openxmlformats.org/officeDocument/2006/relationships" ref="D67" r:id="R6e7978d3769c4ec6"/>
    <x:hyperlink xmlns:r="http://schemas.openxmlformats.org/officeDocument/2006/relationships" ref="D68" r:id="Ref9edb3584b14c10"/>
    <x:hyperlink xmlns:r="http://schemas.openxmlformats.org/officeDocument/2006/relationships" ref="D69" r:id="Rd8b95cbf83ad42aa"/>
  </x:hyperlink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ColWidth="12.630000114440918" defaultRowHeight="15.75"/>
  <x:cols>
    <x:col min="2" max="2" width="19.1299991607666" customWidth="1"/>
    <x:col min="5" max="5" width="20.8799991607666" customWidth="1"/>
    <x:col min="8" max="8" width="20.8799991607666" customWidth="1"/>
  </x:cols>
  <x:sheetData>
    <x:row r="1">
      <x:c r="A1" s="104">
        <x:v>45170.0</x:v>
      </x:c>
      <x:c r="B1" s="105" t="s">
        <x:v>324</x:v>
      </x:c>
      <x:c r="C1" s="105">
        <x:v>20.0</x:v>
      </x:c>
      <x:c r="D1" s="106"/>
      <x:c r="E1" s="105" t="s">
        <x:v>1500</x:v>
      </x:c>
      <x:c r="F1" s="107" t="n">
        <x:f>200*25000</x:f>
        <x:v>5000000</x:v>
      </x:c>
    </x:row>
    <x:row r="2">
      <x:c r="B2" s="105" t="s">
        <x:v>1501</x:v>
      </x:c>
      <x:c r="C2" s="105"/>
      <x:c r="D2" s="106"/>
      <x:c r="E2" s="105" t="s">
        <x:v>1502</x:v>
      </x:c>
      <x:c r="F2" s="107" t="n">
        <x:f>15*25000+C6*7000</x:f>
        <x:v>1012000</x:v>
      </x:c>
    </x:row>
    <x:row r="3">
      <x:c r="B3" s="105" t="s">
        <x:v>1503</x:v>
      </x:c>
      <x:c r="C3" s="105"/>
      <x:c r="D3" s="106"/>
      <x:c r="E3" s="105"/>
      <x:c r="F3" s="107"/>
    </x:row>
    <x:row r="4">
      <x:c r="B4" s="105" t="s">
        <x:v>1504</x:v>
      </x:c>
      <x:c r="C4" s="105"/>
      <x:c r="D4" s="106"/>
      <x:c r="E4" s="106"/>
      <x:c r="F4" s="106"/>
    </x:row>
    <x:row r="5">
      <x:c r="B5" s="105"/>
      <x:c r="C5" s="105"/>
      <x:c r="D5" s="106"/>
      <x:c r="E5" s="105" t="s">
        <x:v>1505</x:v>
      </x:c>
      <x:c r="F5" s="107" t="n">
        <x:f>F1/C6</x:f>
        <x:v>54945.054945054944</x:v>
      </x:c>
    </x:row>
    <x:row r="6">
      <x:c r="B6" s="108" t="s">
        <x:v>1506</x:v>
      </x:c>
      <x:c r="C6" s="108">
        <x:v>91.0</x:v>
      </x:c>
      <x:c r="D6" s="106"/>
      <x:c r="E6" s="108" t="s">
        <x:v>1507</x:v>
      </x:c>
      <x:c r="F6" s="109" t="n">
        <x:f>(F1+F2)/C6</x:f>
        <x:v>66065.93406593407</x:v>
      </x:c>
    </x:row>
    <x:row r="7">
      <x:c r="A7" s="110"/>
      <x:c r="B7" s="39"/>
      <x:c r="C7" s="39"/>
    </x:row>
    <x:row r="8">
      <x:c r="A8" s="104">
        <x:v>45223.0</x:v>
      </x:c>
      <x:c r="B8" s="105" t="s">
        <x:v>443</x:v>
      </x:c>
      <x:c r="C8" s="105" t="n">
        <x:f>5*7</x:f>
        <x:v>35</x:v>
      </x:c>
      <x:c r="D8" s="106"/>
      <x:c r="E8" s="105" t="s">
        <x:v>1500</x:v>
      </x:c>
      <x:c r="F8" s="107" t="n">
        <x:f>100*25000</x:f>
        <x:v>2500000</x:v>
      </x:c>
    </x:row>
    <x:row r="9">
      <x:c r="B9" s="105" t="s">
        <x:v>1508</x:v>
      </x:c>
      <x:c r="C9" s="105">
        <x:v>5.0</x:v>
      </x:c>
      <x:c r="D9" s="106"/>
      <x:c r="E9" s="105" t="s">
        <x:v>1502</x:v>
      </x:c>
      <x:c r="F9" s="107" t="n">
        <x:f>7500*C12</x:f>
        <x:v>300000</x:v>
      </x:c>
    </x:row>
    <x:row r="10">
      <x:c r="B10" s="105"/>
      <x:c r="C10" s="105"/>
      <x:c r="D10" s="106"/>
      <x:c r="E10" s="105"/>
      <x:c r="F10" s="107"/>
    </x:row>
    <x:row r="11">
      <x:c r="B11" s="105"/>
      <x:c r="C11" s="105"/>
      <x:c r="D11" s="106"/>
      <x:c r="E11" s="105" t="s">
        <x:v>1505</x:v>
      </x:c>
      <x:c r="F11" s="107" t="n">
        <x:f>F8/C12</x:f>
        <x:v>62500</x:v>
      </x:c>
    </x:row>
    <x:row r="12">
      <x:c r="B12" s="108" t="s">
        <x:v>1506</x:v>
      </x:c>
      <x:c r="C12" s="108" t="n">
        <x:f>C8+C9</x:f>
        <x:v>40</x:v>
      </x:c>
      <x:c r="D12" s="106"/>
      <x:c r="E12" s="108" t="s">
        <x:v>1507</x:v>
      </x:c>
      <x:c r="F12" s="109" t="n">
        <x:f>(F8+F9)/C12</x:f>
        <x:v>70000</x:v>
      </x:c>
    </x:row>
    <x:row r="13">
      <x:c r="A13" s="110"/>
      <x:c r="B13" s="39"/>
      <x:c r="C13" s="39"/>
      <x:c r="E13" s="39"/>
      <x:c r="F13" s="85"/>
    </x:row>
    <x:row r="14">
      <x:c r="A14" s="104">
        <x:v>45357.0</x:v>
      </x:c>
      <x:c r="B14" s="105" t="s">
        <x:v>9</x:v>
      </x:c>
      <x:c r="C14" s="105">
        <x:v>30.0</x:v>
      </x:c>
      <x:c r="D14" s="106"/>
      <x:c r="E14" s="105" t="s">
        <x:v>1500</x:v>
      </x:c>
      <x:c r="F14" s="107" t="n">
        <x:f>240*25000</x:f>
        <x:v>6000000</x:v>
      </x:c>
    </x:row>
    <x:row r="15">
      <x:c r="B15" s="105" t="s">
        <x:v>1508</x:v>
      </x:c>
      <x:c r="C15" s="105">
        <x:v>10.0</x:v>
      </x:c>
      <x:c r="D15" s="106"/>
      <x:c r="E15" s="105" t="s">
        <x:v>1502</x:v>
      </x:c>
      <x:c r="F15" s="107" t="n">
        <x:f>15*25000+7500*C18</x:f>
        <x:v>675000</x:v>
      </x:c>
    </x:row>
    <x:row r="16">
      <x:c r="B16" s="105"/>
      <x:c r="C16" s="105"/>
      <x:c r="D16" s="106"/>
      <x:c r="E16" s="105"/>
      <x:c r="F16" s="107"/>
    </x:row>
    <x:row r="17">
      <x:c r="B17" s="106"/>
      <x:c r="C17" s="106"/>
      <x:c r="D17" s="106"/>
      <x:c r="E17" s="105" t="s">
        <x:v>1505</x:v>
      </x:c>
      <x:c r="F17" s="107" t="n">
        <x:f>F14/C18</x:f>
        <x:v>150000</x:v>
      </x:c>
    </x:row>
    <x:row r="18">
      <x:c r="B18" s="108" t="s">
        <x:v>1506</x:v>
      </x:c>
      <x:c r="C18" s="108" t="n">
        <x:f>C14+C15</x:f>
        <x:v>40</x:v>
      </x:c>
      <x:c r="D18" s="106"/>
      <x:c r="E18" s="108" t="s">
        <x:v>1507</x:v>
      </x:c>
      <x:c r="F18" s="109" t="n">
        <x:f>(F14+F15)/C18</x:f>
        <x:v>166875</x:v>
      </x:c>
    </x:row>
    <x:row r="19">
      <x:c r="A19" s="111"/>
      <x:c r="B19" s="39"/>
      <x:c r="C19" s="39"/>
      <x:c r="E19" s="39"/>
      <x:c r="F19" s="85"/>
    </x:row>
    <x:row r="20">
      <x:c r="A20" s="104">
        <x:v>45387.0</x:v>
      </x:c>
      <x:c r="B20" s="105" t="s">
        <x:v>443</x:v>
      </x:c>
      <x:c r="C20" s="105">
        <x:v>50.0</x:v>
      </x:c>
      <x:c r="D20" s="106"/>
      <x:c r="E20" s="105" t="s">
        <x:v>1500</x:v>
      </x:c>
      <x:c r="F20" s="107" t="n">
        <x:f>550*25000</x:f>
        <x:v>13750000</x:v>
      </x:c>
    </x:row>
    <x:row r="21">
      <x:c r="B21" s="105" t="s">
        <x:v>9</x:v>
      </x:c>
      <x:c r="C21" s="105">
        <x:v>50.0</x:v>
      </x:c>
      <x:c r="D21" s="106"/>
      <x:c r="E21" s="105" t="s">
        <x:v>1502</x:v>
      </x:c>
      <x:c r="F21" s="112" t="n">
        <x:f>(34.75+42.65)*25000</x:f>
        <x:v>1935000.0000000002</x:v>
      </x:c>
    </x:row>
    <x:row r="22">
      <x:c r="B22" s="105" t="s">
        <x:v>1025</x:v>
      </x:c>
      <x:c r="C22" s="105">
        <x:v>20.0</x:v>
      </x:c>
      <x:c r="D22" s="106"/>
      <x:c r="E22" s="106"/>
      <x:c r="F22" s="107"/>
    </x:row>
    <x:row r="23">
      <x:c r="B23" s="105"/>
      <x:c r="C23" s="106"/>
      <x:c r="D23" s="106"/>
      <x:c r="E23" s="105" t="s">
        <x:v>1505</x:v>
      </x:c>
      <x:c r="F23" s="107" t="n">
        <x:f>F20/C24</x:f>
        <x:v>114583.33333333333</x:v>
      </x:c>
    </x:row>
    <x:row r="24">
      <x:c r="B24" s="108" t="s">
        <x:v>1506</x:v>
      </x:c>
      <x:c r="C24" s="113" t="n">
        <x:f>SUM(C20:C22)</x:f>
        <x:v>120</x:v>
      </x:c>
      <x:c r="D24" s="106"/>
      <x:c r="E24" s="108" t="s">
        <x:v>1507</x:v>
      </x:c>
      <x:c r="F24" s="109" t="n">
        <x:f>(F20+F21)/C24</x:f>
        <x:v>130708.33333333333</x:v>
      </x:c>
    </x:row>
    <x:row r="25">
      <x:c r="A25" s="87"/>
      <x:c r="F25" s="85"/>
    </x:row>
    <x:row r="26">
      <x:c r="A26" s="114">
        <x:v>45577.0</x:v>
      </x:c>
      <x:c r="B26" s="105" t="s">
        <x:v>1509</x:v>
      </x:c>
      <x:c r="C26" s="105">
        <x:v>60.0</x:v>
      </x:c>
      <x:c r="D26" s="106"/>
      <x:c r="E26" s="105" t="s">
        <x:v>1500</x:v>
      </x:c>
      <x:c r="F26" s="107" t="n">
        <x:f>500*25000</x:f>
        <x:v>12500000</x:v>
      </x:c>
    </x:row>
    <x:row r="27">
      <x:c r="B27" s="105" t="s">
        <x:v>1508</x:v>
      </x:c>
      <x:c r="C27" s="105">
        <x:v>50.0</x:v>
      </x:c>
      <x:c r="D27" s="106"/>
      <x:c r="E27" s="105" t="s">
        <x:v>1502</x:v>
      </x:c>
      <x:c r="F27" s="107" t="n">
        <x:f>11.86*25000+816000</x:f>
        <x:v>1112500</x:v>
      </x:c>
    </x:row>
    <x:row r="28">
      <x:c r="B28" s="106"/>
      <x:c r="C28" s="106"/>
      <x:c r="D28" s="106"/>
      <x:c r="E28" s="106"/>
      <x:c r="F28" s="107"/>
    </x:row>
    <x:row r="29">
      <x:c r="B29" s="106"/>
      <x:c r="C29" s="106"/>
      <x:c r="D29" s="106"/>
      <x:c r="E29" s="105" t="s">
        <x:v>1505</x:v>
      </x:c>
      <x:c r="F29" s="107" t="n">
        <x:f>F26/C30</x:f>
        <x:v>113636.36363636363</x:v>
      </x:c>
    </x:row>
    <x:row r="30">
      <x:c r="B30" s="108" t="s">
        <x:v>1506</x:v>
      </x:c>
      <x:c r="C30" s="113" t="n">
        <x:f>SUM(C26:C27)</x:f>
        <x:v>110</x:v>
      </x:c>
      <x:c r="D30" s="106"/>
      <x:c r="E30" s="108" t="s">
        <x:v>1507</x:v>
      </x:c>
      <x:c r="F30" s="109" t="n">
        <x:f>(F26+F27)/C30</x:f>
        <x:v>123750</x:v>
      </x:c>
    </x:row>
    <x:row r="31">
      <x:c r="A31" s="87"/>
      <x:c r="F31" s="85"/>
    </x:row>
    <x:row r="32">
      <x:c r="A32" s="114">
        <x:v>45620.0</x:v>
      </x:c>
      <x:c r="B32" s="105" t="s">
        <x:v>9</x:v>
      </x:c>
      <x:c r="C32" s="106" t="n">
        <x:f>9*5</x:f>
        <x:v>45</x:v>
      </x:c>
      <x:c r="D32" s="106"/>
      <x:c r="E32" s="105" t="s">
        <x:v>1500</x:v>
      </x:c>
      <x:c r="F32" s="107" t="n">
        <x:f>1000*25000</x:f>
        <x:v>25000000</x:v>
      </x:c>
    </x:row>
    <x:row r="33">
      <x:c r="B33" s="105" t="s">
        <x:v>443</x:v>
      </x:c>
      <x:c r="C33" s="106" t="n">
        <x:f>11*5</x:f>
        <x:v>55</x:v>
      </x:c>
      <x:c r="D33" s="106"/>
      <x:c r="E33" s="105" t="s">
        <x:v>1502</x:v>
      </x:c>
      <x:c r="F33" s="107" t="n">
        <x:f>18.05*25000+1632000</x:f>
        <x:v>2083250</x:v>
      </x:c>
    </x:row>
    <x:row r="34">
      <x:c r="B34" s="105" t="s">
        <x:v>1510</x:v>
      </x:c>
      <x:c r="C34" s="106" t="n">
        <x:f>20*3</x:f>
        <x:v>60</x:v>
      </x:c>
      <x:c r="D34" s="106"/>
      <x:c r="E34" s="106"/>
      <x:c r="F34" s="107"/>
    </x:row>
    <x:row r="35">
      <x:c r="B35" s="105" t="s">
        <x:v>445</x:v>
      </x:c>
      <x:c r="C35" s="105">
        <x:v>60.0</x:v>
      </x:c>
      <x:c r="D35" s="106"/>
      <x:c r="E35" s="105"/>
      <x:c r="F35" s="107"/>
    </x:row>
    <x:row r="36">
      <x:c r="B36" s="106"/>
      <x:c r="C36" s="106"/>
      <x:c r="D36" s="106"/>
      <x:c r="E36" s="105" t="s">
        <x:v>1505</x:v>
      </x:c>
      <x:c r="F36" s="107" t="n">
        <x:f>F32/C37</x:f>
        <x:v>113636.36363636363</x:v>
      </x:c>
    </x:row>
    <x:row r="37">
      <x:c r="B37" s="108" t="s">
        <x:v>1506</x:v>
      </x:c>
      <x:c r="C37" s="113" t="n">
        <x:f>SUM(C32:C35)</x:f>
        <x:v>220</x:v>
      </x:c>
      <x:c r="D37" s="106"/>
      <x:c r="E37" s="108" t="s">
        <x:v>1507</x:v>
      </x:c>
      <x:c r="F37" s="109" t="n">
        <x:f>(F32+F33)/C37</x:f>
        <x:v>123105.68181818182</x:v>
      </x:c>
    </x:row>
    <x:row r="38">
      <x:c r="A38" s="87"/>
      <x:c r="F38" s="85"/>
    </x:row>
    <x:row r="39">
      <x:c r="A39" s="114">
        <x:v>45629.0</x:v>
      </x:c>
      <x:c r="B39" s="105" t="s">
        <x:v>1511</x:v>
      </x:c>
      <x:c r="C39" s="105">
        <x:v>56.0</x:v>
      </x:c>
      <x:c r="D39" s="106"/>
      <x:c r="E39" s="115" t="s">
        <x:v>1512</x:v>
      </x:c>
      <x:c r="F39" s="107" t="n">
        <x:f>3*25000</x:f>
        <x:v>75000</x:v>
      </x:c>
      <x:c r="G39" s="106"/>
      <x:c r="H39" s="116" t="s">
        <x:v>1507</x:v>
      </x:c>
      <x:c r="I39" s="109" t="n">
        <x:f>F39+F45/C45</x:f>
        <x:v>82213.95348837209</x:v>
      </x:c>
    </x:row>
    <x:row r="40">
      <x:c r="B40" s="105" t="s">
        <x:v>1513</x:v>
      </x:c>
      <x:c r="C40" s="105">
        <x:v>75.0</x:v>
      </x:c>
      <x:c r="D40" s="106"/>
      <x:c r="F40" s="107" t="n">
        <x:f>5*25000</x:f>
        <x:v>125000</x:v>
      </x:c>
      <x:c r="G40" s="106"/>
      <x:c r="I40" s="109" t="n">
        <x:f>F40+F45/C45</x:f>
        <x:v>132213.9534883721</x:v>
      </x:c>
    </x:row>
    <x:row r="41">
      <x:c r="B41" s="105" t="s">
        <x:v>1509</x:v>
      </x:c>
      <x:c r="C41" s="105">
        <x:v>39.0</x:v>
      </x:c>
      <x:c r="D41" s="106"/>
      <x:c r="F41" s="107" t="n">
        <x:f t="shared" ref="F41:F42" si="1">6*25000</x:f>
        <x:v>150000</x:v>
      </x:c>
      <x:c r="G41" s="106"/>
      <x:c r="I41" s="109" t="n">
        <x:f>F41+F45/C45</x:f>
        <x:v>157213.9534883721</x:v>
      </x:c>
    </x:row>
    <x:row r="42">
      <x:c r="B42" s="105" t="s">
        <x:v>1508</x:v>
      </x:c>
      <x:c r="C42" s="105">
        <x:v>25.0</x:v>
      </x:c>
      <x:c r="D42" s="106"/>
      <x:c r="F42" s="107">
        <x:f t="shared" si="1"/>
        <x:v>150000</x:v>
      </x:c>
      <x:c r="G42" s="106"/>
      <x:c r="I42" s="109" t="n">
        <x:f>F42+F45/C45</x:f>
        <x:v>157213.9534883721</x:v>
      </x:c>
    </x:row>
    <x:row r="43">
      <x:c r="B43" s="105" t="s">
        <x:v>1514</x:v>
      </x:c>
      <x:c r="C43" s="105">
        <x:v>20.0</x:v>
      </x:c>
      <x:c r="D43" s="106"/>
      <x:c r="F43" s="107" t="n">
        <x:f>5*25000</x:f>
        <x:v>125000</x:v>
      </x:c>
      <x:c r="G43" s="106"/>
      <x:c r="I43" s="109" t="n">
        <x:f>F43+F45/C45</x:f>
        <x:v>132213.9534883721</x:v>
      </x:c>
    </x:row>
    <x:row r="44">
      <x:c r="B44" s="106"/>
      <x:c r="C44" s="106"/>
      <x:c r="D44" s="106"/>
      <x:c r="E44" s="106"/>
      <x:c r="F44" s="106"/>
      <x:c r="G44" s="106"/>
      <x:c r="H44" s="106"/>
      <x:c r="I44" s="106"/>
    </x:row>
    <x:row r="45">
      <x:c r="B45" s="108" t="s">
        <x:v>1506</x:v>
      </x:c>
      <x:c r="C45" s="113" t="n">
        <x:f>SUM(C39:C43)</x:f>
        <x:v>215</x:v>
      </x:c>
      <x:c r="D45" s="106"/>
      <x:c r="E45" s="105" t="s">
        <x:v>1502</x:v>
      </x:c>
      <x:c r="F45" s="107" t="n">
        <x:f>15*25000+1176000</x:f>
        <x:v>1551000</x:v>
      </x:c>
      <x:c r="G45" s="106"/>
      <x:c r="H45" s="106"/>
      <x:c r="I45" s="106"/>
    </x:row>
    <x:row r="46">
      <x:c r="A46" s="87"/>
      <x:c r="F46" s="85"/>
    </x:row>
    <x:row r="47">
      <x:c r="A47" s="114">
        <x:v>45662.0</x:v>
      </x:c>
      <x:c r="B47" s="105" t="s">
        <x:v>1514</x:v>
      </x:c>
      <x:c r="C47" s="105">
        <x:v>23.0</x:v>
      </x:c>
      <x:c r="D47" s="106"/>
      <x:c r="E47" s="105" t="s">
        <x:v>1512</x:v>
      </x:c>
      <x:c r="F47" s="107" t="n">
        <x:f>5*25000*0.926</x:f>
        <x:v>115750</x:v>
      </x:c>
      <x:c r="G47" s="106"/>
      <x:c r="H47" s="116" t="s">
        <x:v>1507</x:v>
      </x:c>
      <x:c r="I47" s="109" t="n">
        <x:f>F47+F53/C53</x:f>
        <x:v>126537.5</x:v>
      </x:c>
    </x:row>
    <x:row r="48">
      <x:c r="B48" s="105" t="s">
        <x:v>1515</x:v>
      </x:c>
      <x:c r="C48" s="105">
        <x:v>29.0</x:v>
      </x:c>
      <x:c r="D48" s="106"/>
      <x:c r="E48" s="106"/>
      <x:c r="F48" s="107" t="n">
        <x:f>6*25000*0.926</x:f>
        <x:v>138900</x:v>
      </x:c>
      <x:c r="G48" s="106"/>
      <x:c r="I48" s="109" t="n">
        <x:f>F48+F53/C53</x:f>
        <x:v>149687.5</x:v>
      </x:c>
    </x:row>
    <x:row r="49">
      <x:c r="B49" s="105" t="s">
        <x:v>1510</x:v>
      </x:c>
      <x:c r="C49" s="105">
        <x:v>29.0</x:v>
      </x:c>
      <x:c r="D49" s="106"/>
      <x:c r="E49" s="106"/>
      <x:c r="F49" s="107" t="n">
        <x:f>5*25000*0.926</x:f>
        <x:v>115750</x:v>
      </x:c>
      <x:c r="G49" s="106"/>
      <x:c r="I49" s="109" t="n">
        <x:f>F49+F53/C53</x:f>
        <x:v>126537.5</x:v>
      </x:c>
    </x:row>
    <x:row r="50">
      <x:c r="B50" s="105" t="s">
        <x:v>8</x:v>
      </x:c>
      <x:c r="C50" s="105">
        <x:v>19.0</x:v>
      </x:c>
      <x:c r="D50" s="106"/>
      <x:c r="E50" s="106"/>
      <x:c r="F50" s="107" t="n">
        <x:f>8*25000*0.926</x:f>
        <x:v>185200</x:v>
      </x:c>
      <x:c r="G50" s="106"/>
      <x:c r="I50" s="109" t="n">
        <x:f>F50+F53/C53</x:f>
        <x:v>195987.5</x:v>
      </x:c>
    </x:row>
    <x:row r="51">
      <x:c r="B51" s="105" t="s">
        <x:v>1508</x:v>
      </x:c>
      <x:c r="C51" s="105">
        <x:v>20.0</x:v>
      </x:c>
      <x:c r="D51" s="106"/>
      <x:c r="E51" s="106"/>
      <x:c r="F51" s="107" t="n">
        <x:f>6*25000*0.926</x:f>
        <x:v>138900</x:v>
      </x:c>
      <x:c r="G51" s="106"/>
      <x:c r="I51" s="109" t="n">
        <x:f>F51+F53/C53</x:f>
        <x:v>149687.5</x:v>
      </x:c>
    </x:row>
    <x:row r="52">
      <x:c r="B52" s="106"/>
      <x:c r="C52" s="106"/>
      <x:c r="D52" s="106"/>
      <x:c r="E52" s="106"/>
      <x:c r="F52" s="107"/>
      <x:c r="G52" s="106"/>
      <x:c r="H52" s="106"/>
      <x:c r="I52" s="106"/>
    </x:row>
    <x:row r="53">
      <x:c r="B53" s="108" t="s">
        <x:v>1506</x:v>
      </x:c>
      <x:c r="C53" s="113" t="n">
        <x:f>SUM(C47:C51)</x:f>
        <x:v>120</x:v>
      </x:c>
      <x:c r="D53" s="106"/>
      <x:c r="E53" s="105" t="s">
        <x:v>1502</x:v>
      </x:c>
      <x:c r="F53" s="107" t="n">
        <x:f>17.78*25000+850000</x:f>
        <x:v>1294500</x:v>
      </x:c>
      <x:c r="G53" s="106"/>
      <x:c r="H53" s="106"/>
      <x:c r="I53" s="106"/>
    </x:row>
    <x:row r="54">
      <x:c r="A54" s="87"/>
      <x:c r="F54" s="85"/>
    </x:row>
    <x:row r="55">
      <x:c r="A55" s="114">
        <x:v>45686.0</x:v>
      </x:c>
      <x:c r="B55" s="105" t="s">
        <x:v>1514</x:v>
      </x:c>
      <x:c r="C55" s="105">
        <x:v>30.0</x:v>
      </x:c>
      <x:c r="D55" s="106"/>
      <x:c r="E55" s="105" t="s">
        <x:v>1512</x:v>
      </x:c>
      <x:c r="F55" s="107" t="n">
        <x:f>5*25000*0.926</x:f>
        <x:v>115750</x:v>
      </x:c>
      <x:c r="G55" s="106"/>
      <x:c r="H55" s="116" t="s">
        <x:v>1507</x:v>
      </x:c>
      <x:c r="I55" s="109" t="n">
        <x:f>F55+F62/C62</x:f>
        <x:v>127370</x:v>
      </x:c>
    </x:row>
    <x:row r="56">
      <x:c r="B56" s="105" t="s">
        <x:v>1515</x:v>
      </x:c>
      <x:c r="C56" s="105">
        <x:v>20.0</x:v>
      </x:c>
      <x:c r="D56" s="106"/>
      <x:c r="E56" s="106"/>
      <x:c r="F56" s="107" t="n">
        <x:f>6*25000*0.926</x:f>
        <x:v>138900</x:v>
      </x:c>
      <x:c r="G56" s="106"/>
      <x:c r="I56" s="109" t="n">
        <x:f>F56+F62/C62</x:f>
        <x:v>150520</x:v>
      </x:c>
    </x:row>
    <x:row r="57">
      <x:c r="B57" s="105" t="s">
        <x:v>1510</x:v>
      </x:c>
      <x:c r="C57" s="105">
        <x:v>10.0</x:v>
      </x:c>
      <x:c r="D57" s="106"/>
      <x:c r="E57" s="106"/>
      <x:c r="F57" s="107" t="n">
        <x:f>5*25000*0.926</x:f>
        <x:v>115750</x:v>
      </x:c>
      <x:c r="G57" s="106"/>
      <x:c r="I57" s="109" t="n">
        <x:f>F57+F62/C62</x:f>
        <x:v>127370</x:v>
      </x:c>
    </x:row>
    <x:row r="58">
      <x:c r="B58" s="105" t="s">
        <x:v>9</x:v>
      </x:c>
      <x:c r="C58" s="105">
        <x:v>30.0</x:v>
      </x:c>
      <x:c r="D58" s="106"/>
      <x:c r="E58" s="106"/>
      <x:c r="F58" s="107" t="n">
        <x:f t="shared" ref="F58:F59" si="2">8*25000*0.926</x:f>
        <x:v>185200</x:v>
      </x:c>
      <x:c r="G58" s="106"/>
      <x:c r="I58" s="109" t="n">
        <x:f>F58+F62/C62</x:f>
        <x:v>196820</x:v>
      </x:c>
    </x:row>
    <x:row r="59">
      <x:c r="B59" s="105" t="s">
        <x:v>8</x:v>
      </x:c>
      <x:c r="C59" s="105">
        <x:v>20.0</x:v>
      </x:c>
      <x:c r="D59" s="106"/>
      <x:c r="E59" s="106"/>
      <x:c r="F59" s="107">
        <x:f t="shared" si="2"/>
        <x:v>185200</x:v>
      </x:c>
      <x:c r="G59" s="106"/>
      <x:c r="I59" s="109" t="n">
        <x:f>F59+F62/C62</x:f>
        <x:v>196820</x:v>
      </x:c>
    </x:row>
    <x:row r="60">
      <x:c r="B60" s="105" t="s">
        <x:v>1508</x:v>
      </x:c>
      <x:c r="C60" s="105">
        <x:v>15.0</x:v>
      </x:c>
      <x:c r="D60" s="106"/>
      <x:c r="E60" s="106"/>
      <x:c r="F60" s="107" t="n">
        <x:f>6*25000*0.926</x:f>
        <x:v>138900</x:v>
      </x:c>
      <x:c r="G60" s="106"/>
      <x:c r="I60" s="109" t="n">
        <x:f>F60+F62/C62</x:f>
        <x:v>150520</x:v>
      </x:c>
    </x:row>
    <x:row r="61">
      <x:c r="B61" s="106"/>
      <x:c r="C61" s="106"/>
      <x:c r="D61" s="106"/>
      <x:c r="E61" s="106"/>
      <x:c r="F61" s="107"/>
      <x:c r="G61" s="106"/>
      <x:c r="H61" s="106"/>
      <x:c r="I61" s="106"/>
    </x:row>
    <x:row r="62">
      <x:c r="B62" s="108" t="s">
        <x:v>1506</x:v>
      </x:c>
      <x:c r="C62" s="113" t="n">
        <x:f>SUM(C55:C60)</x:f>
        <x:v>125</x:v>
      </x:c>
      <x:c r="D62" s="106"/>
      <x:c r="E62" s="105" t="s">
        <x:v>1502</x:v>
      </x:c>
      <x:c r="F62" s="107" t="n">
        <x:f>17.78*25000+1008000</x:f>
        <x:v>1452500</x:v>
      </x:c>
      <x:c r="G62" s="106"/>
      <x:c r="H62" s="106"/>
      <x:c r="I62" s="106"/>
    </x:row>
    <x:row r="63">
      <x:c r="A63" s="87"/>
      <x:c r="F63" s="85"/>
    </x:row>
    <x:row r="64">
      <x:c r="A64" s="114">
        <x:v>45719.0</x:v>
      </x:c>
      <x:c r="B64" s="105" t="s">
        <x:v>1514</x:v>
      </x:c>
      <x:c r="C64" s="105">
        <x:v>30.0</x:v>
      </x:c>
      <x:c r="D64" s="106"/>
      <x:c r="E64" s="105" t="s">
        <x:v>1512</x:v>
      </x:c>
      <x:c r="F64" s="107" t="n">
        <x:f>5*26000</x:f>
        <x:v>130000</x:v>
      </x:c>
      <x:c r="G64" s="106"/>
      <x:c r="H64" s="116" t="s">
        <x:v>1507</x:v>
      </x:c>
      <x:c r="I64" s="109" t="n">
        <x:f>F64+F72/C72</x:f>
        <x:v>140358.08219178082</x:v>
      </x:c>
    </x:row>
    <x:row r="65">
      <x:c r="B65" s="105" t="s">
        <x:v>1515</x:v>
      </x:c>
      <x:c r="C65" s="105">
        <x:v>20.0</x:v>
      </x:c>
      <x:c r="D65" s="106"/>
      <x:c r="E65" s="106"/>
      <x:c r="F65" s="107" t="n">
        <x:f>6*26000</x:f>
        <x:v>156000</x:v>
      </x:c>
      <x:c r="G65" s="106"/>
      <x:c r="I65" s="109" t="n">
        <x:f>F65+F72/C72</x:f>
        <x:v>166358.08219178082</x:v>
      </x:c>
    </x:row>
    <x:row r="66">
      <x:c r="B66" s="105" t="s">
        <x:v>1510</x:v>
      </x:c>
      <x:c r="C66" s="105">
        <x:v>30.0</x:v>
      </x:c>
      <x:c r="D66" s="106"/>
      <x:c r="E66" s="106"/>
      <x:c r="F66" s="107" t="n">
        <x:f>5*26000</x:f>
        <x:v>130000</x:v>
      </x:c>
      <x:c r="G66" s="106"/>
      <x:c r="I66" s="109" t="n">
        <x:f>F66+F72/C72</x:f>
        <x:v>140358.08219178082</x:v>
      </x:c>
    </x:row>
    <x:row r="67">
      <x:c r="B67" s="105" t="s">
        <x:v>9</x:v>
      </x:c>
      <x:c r="C67" s="105">
        <x:v>30.0</x:v>
      </x:c>
      <x:c r="D67" s="106"/>
      <x:c r="E67" s="106"/>
      <x:c r="F67" s="107" t="n">
        <x:f>8*26000</x:f>
        <x:v>208000</x:v>
      </x:c>
      <x:c r="G67" s="106"/>
      <x:c r="I67" s="109" t="n">
        <x:f>F67+F72/C72</x:f>
        <x:v>218358.08219178082</x:v>
      </x:c>
    </x:row>
    <x:row r="68">
      <x:c r="B68" s="105" t="s">
        <x:v>1516</x:v>
      </x:c>
      <x:c r="C68" s="105">
        <x:v>10.0</x:v>
      </x:c>
      <x:c r="D68" s="106"/>
      <x:c r="E68" s="106"/>
      <x:c r="F68" s="107" t="n">
        <x:f t="shared" ref="F68:F69" si="3">6*26000</x:f>
        <x:v>156000</x:v>
      </x:c>
      <x:c r="G68" s="106"/>
      <x:c r="I68" s="109" t="n">
        <x:f>F68+F72/C72</x:f>
        <x:v>166358.08219178082</x:v>
      </x:c>
    </x:row>
    <x:row r="69">
      <x:c r="B69" s="105" t="s">
        <x:v>1517</x:v>
      </x:c>
      <x:c r="C69" s="105">
        <x:v>16.0</x:v>
      </x:c>
      <x:c r="D69" s="106"/>
      <x:c r="E69" s="106"/>
      <x:c r="F69" s="107">
        <x:f t="shared" si="3"/>
        <x:v>156000</x:v>
      </x:c>
      <x:c r="G69" s="106"/>
      <x:c r="I69" s="109" t="n">
        <x:f>F69+F72/C72</x:f>
        <x:v>166358.08219178082</x:v>
      </x:c>
    </x:row>
    <x:row r="70">
      <x:c r="B70" s="105" t="s">
        <x:v>1518</x:v>
      </x:c>
      <x:c r="C70" s="105">
        <x:v>10.0</x:v>
      </x:c>
      <x:c r="D70" s="106"/>
      <x:c r="E70" s="106"/>
      <x:c r="F70" s="107" t="n">
        <x:f>7*26000</x:f>
        <x:v>182000</x:v>
      </x:c>
      <x:c r="G70" s="106"/>
      <x:c r="H70" s="106"/>
      <x:c r="I70" s="109" t="n">
        <x:f>F70+F72/C72</x:f>
        <x:v>192358.08219178082</x:v>
      </x:c>
    </x:row>
    <x:row r="71">
      <x:c r="B71" s="106"/>
      <x:c r="C71" s="106"/>
      <x:c r="D71" s="106"/>
      <x:c r="E71" s="106"/>
      <x:c r="F71" s="107"/>
      <x:c r="G71" s="106"/>
      <x:c r="H71" s="106"/>
      <x:c r="I71" s="106"/>
    </x:row>
    <x:row r="72">
      <x:c r="B72" s="108" t="s">
        <x:v>1506</x:v>
      </x:c>
      <x:c r="C72" s="113" t="n">
        <x:f>SUM(C64:C70)</x:f>
        <x:v>146</x:v>
      </x:c>
      <x:c r="D72" s="106"/>
      <x:c r="E72" s="105" t="s">
        <x:v>1502</x:v>
      </x:c>
      <x:c r="F72" s="107" t="n">
        <x:f>14.78*26000+1128000</x:f>
        <x:v>1512280</x:v>
      </x:c>
      <x:c r="G72" s="106"/>
      <x:c r="H72" s="106"/>
      <x:c r="I72" s="106"/>
    </x:row>
    <x:row r="73">
      <x:c r="A73" s="87"/>
      <x:c r="F73" s="85"/>
    </x:row>
    <x:row r="74">
      <x:c r="A74" s="114">
        <x:v>45749.0</x:v>
      </x:c>
      <x:c r="B74" s="105" t="s">
        <x:v>1514</x:v>
      </x:c>
      <x:c r="C74" s="105">
        <x:v>30.0</x:v>
      </x:c>
      <x:c r="D74" s="106"/>
      <x:c r="E74" s="105" t="s">
        <x:v>1512</x:v>
      </x:c>
      <x:c r="F74" s="107" t="n">
        <x:f>5*26000</x:f>
        <x:v>130000</x:v>
      </x:c>
      <x:c r="G74" s="106"/>
      <x:c r="H74" s="116" t="s">
        <x:v>1507</x:v>
      </x:c>
      <x:c r="I74" s="109" t="n">
        <x:f>F74+F83/C83</x:f>
        <x:v>141382.8108108108</x:v>
      </x:c>
    </x:row>
    <x:row r="75">
      <x:c r="B75" s="105" t="s">
        <x:v>1515</x:v>
      </x:c>
      <x:c r="C75" s="105">
        <x:v>30.0</x:v>
      </x:c>
      <x:c r="D75" s="106"/>
      <x:c r="E75" s="106"/>
      <x:c r="F75" s="107" t="n">
        <x:f>6*26000</x:f>
        <x:v>156000</x:v>
      </x:c>
      <x:c r="G75" s="106"/>
      <x:c r="I75" s="109" t="n">
        <x:f>F75+F83/C83</x:f>
        <x:v>167382.8108108108</x:v>
      </x:c>
    </x:row>
    <x:row r="76">
      <x:c r="B76" s="105" t="s">
        <x:v>1510</x:v>
      </x:c>
      <x:c r="C76" s="105">
        <x:v>30.0</x:v>
      </x:c>
      <x:c r="D76" s="106"/>
      <x:c r="E76" s="106"/>
      <x:c r="F76" s="107" t="n">
        <x:f>5*26000</x:f>
        <x:v>130000</x:v>
      </x:c>
      <x:c r="G76" s="106"/>
      <x:c r="I76" s="109" t="n">
        <x:f>F76+F83/C83</x:f>
        <x:v>141382.8108108108</x:v>
      </x:c>
    </x:row>
    <x:row r="77">
      <x:c r="B77" s="105" t="s">
        <x:v>9</x:v>
      </x:c>
      <x:c r="C77" s="105">
        <x:v>25.0</x:v>
      </x:c>
      <x:c r="D77" s="106"/>
      <x:c r="E77" s="106"/>
      <x:c r="F77" s="107" t="n">
        <x:f>8*26000</x:f>
        <x:v>208000</x:v>
      </x:c>
      <x:c r="G77" s="106"/>
      <x:c r="I77" s="109" t="n">
        <x:f>F77+F83/C83</x:f>
        <x:v>219382.8108108108</x:v>
      </x:c>
    </x:row>
    <x:row r="78">
      <x:c r="B78" s="105" t="s">
        <x:v>8</x:v>
      </x:c>
      <x:c r="C78" s="105">
        <x:v>20.0</x:v>
      </x:c>
      <x:c r="D78" s="106"/>
      <x:c r="E78" s="106"/>
      <x:c r="F78" s="107" t="n">
        <x:f>9*26000</x:f>
        <x:v>234000</x:v>
      </x:c>
      <x:c r="G78" s="106"/>
      <x:c r="I78" s="109" t="n">
        <x:f>F78+F83/C83</x:f>
        <x:v>245382.8108108108</x:v>
      </x:c>
    </x:row>
    <x:row r="79">
      <x:c r="B79" s="105" t="s">
        <x:v>11</x:v>
      </x:c>
      <x:c r="C79" s="105">
        <x:v>20.0</x:v>
      </x:c>
      <x:c r="D79" s="106"/>
      <x:c r="E79" s="106"/>
      <x:c r="F79" s="107" t="n">
        <x:f>15*26000</x:f>
        <x:v>390000</x:v>
      </x:c>
      <x:c r="G79" s="106"/>
      <x:c r="I79" s="109" t="n">
        <x:f>F79+F83/C83</x:f>
        <x:v>401382.8108108108</x:v>
      </x:c>
    </x:row>
    <x:row r="80">
      <x:c r="B80" s="105" t="s">
        <x:v>323</x:v>
      </x:c>
      <x:c r="C80" s="105">
        <x:v>30.0</x:v>
      </x:c>
      <x:c r="D80" s="106"/>
      <x:c r="E80" s="106"/>
      <x:c r="F80" s="107" t="n">
        <x:f t="shared" ref="F80:F81" si="4">6*26000</x:f>
        <x:v>156000</x:v>
      </x:c>
      <x:c r="G80" s="106"/>
      <x:c r="H80" s="106"/>
      <x:c r="I80" s="109" t="n">
        <x:f>F80+F83/C83</x:f>
        <x:v>167382.8108108108</x:v>
      </x:c>
    </x:row>
    <x:row r="81">
      <x:c r="B81" s="105" t="s">
        <x:v>322</x:v>
      </x:c>
      <x:c r="C81" s="105">
        <x:v>10.0</x:v>
      </x:c>
      <x:c r="D81" s="106"/>
      <x:c r="E81" s="106"/>
      <x:c r="F81" s="112">
        <x:f t="shared" si="4"/>
        <x:v>156000</x:v>
      </x:c>
      <x:c r="G81" s="106"/>
      <x:c r="H81" s="106"/>
      <x:c r="I81" s="109" t="n">
        <x:f>F81+F83/C83</x:f>
        <x:v>167382.8108108108</x:v>
      </x:c>
    </x:row>
    <x:row r="82">
      <x:c r="B82" s="106"/>
      <x:c r="C82" s="106"/>
      <x:c r="D82" s="106"/>
      <x:c r="E82" s="106"/>
      <x:c r="F82" s="107"/>
      <x:c r="G82" s="106"/>
      <x:c r="H82" s="106"/>
      <x:c r="I82" s="106"/>
    </x:row>
    <x:row r="83">
      <x:c r="B83" s="108" t="s">
        <x:v>1506</x:v>
      </x:c>
      <x:c r="C83" s="113" t="n">
        <x:f>SUM(C74:C80)</x:f>
        <x:v>185</x:v>
      </x:c>
      <x:c r="D83" s="106"/>
      <x:c r="E83" s="105" t="s">
        <x:v>1502</x:v>
      </x:c>
      <x:c r="F83" s="107" t="n">
        <x:f>20.07*26000+1584000</x:f>
        <x:v>2105820</x:v>
      </x:c>
      <x:c r="G83" s="106"/>
      <x:c r="H83" s="106"/>
      <x:c r="I83" s="106"/>
    </x:row>
    <x:row r="84">
      <x:c r="A84" s="87"/>
      <x:c r="F84" s="85"/>
    </x:row>
    <x:row r="85">
      <x:c r="A85" s="114">
        <x:v>45772.0</x:v>
      </x:c>
      <x:c r="B85" s="105" t="s">
        <x:v>1515</x:v>
      </x:c>
      <x:c r="C85" s="105">
        <x:v>30.0</x:v>
      </x:c>
      <x:c r="D85" s="106"/>
      <x:c r="E85" s="105" t="s">
        <x:v>1512</x:v>
      </x:c>
      <x:c r="F85" s="107" t="n">
        <x:f>6*26000</x:f>
        <x:v>156000</x:v>
      </x:c>
      <x:c r="G85" s="106"/>
      <x:c r="H85" s="116" t="s">
        <x:v>1507</x:v>
      </x:c>
      <x:c r="I85" s="109" t="n">
        <x:f>F85+F91/C91</x:f>
        <x:v>169273.88235294117</x:v>
      </x:c>
    </x:row>
    <x:row r="86">
      <x:c r="B86" s="105" t="s">
        <x:v>9</x:v>
      </x:c>
      <x:c r="C86" s="105">
        <x:v>15.0</x:v>
      </x:c>
      <x:c r="D86" s="106"/>
      <x:c r="E86" s="106"/>
      <x:c r="F86" s="107" t="n">
        <x:f>8*26000</x:f>
        <x:v>208000</x:v>
      </x:c>
      <x:c r="G86" s="106"/>
      <x:c r="I86" s="109" t="n">
        <x:f>F86+F91/C91</x:f>
        <x:v>221273.88235294117</x:v>
      </x:c>
    </x:row>
    <x:row r="87">
      <x:c r="B87" s="105" t="s">
        <x:v>8</x:v>
      </x:c>
      <x:c r="C87" s="105">
        <x:v>5.0</x:v>
      </x:c>
      <x:c r="D87" s="106"/>
      <x:c r="E87" s="106"/>
      <x:c r="F87" s="107" t="n">
        <x:f>9*26000</x:f>
        <x:v>234000</x:v>
      </x:c>
      <x:c r="G87" s="106"/>
      <x:c r="I87" s="109" t="n">
        <x:f>F87+F91/C91</x:f>
        <x:v>247273.88235294117</x:v>
      </x:c>
    </x:row>
    <x:row r="88">
      <x:c r="B88" s="105" t="s">
        <x:v>11</x:v>
      </x:c>
      <x:c r="C88" s="105">
        <x:v>15.0</x:v>
      </x:c>
      <x:c r="D88" s="106"/>
      <x:c r="E88" s="106"/>
      <x:c r="F88" s="107" t="n">
        <x:f>15*26000</x:f>
        <x:v>390000</x:v>
      </x:c>
      <x:c r="G88" s="106"/>
      <x:c r="I88" s="109" t="n">
        <x:f>F88+F91/C91</x:f>
        <x:v>403273.8823529412</x:v>
      </x:c>
    </x:row>
    <x:row r="89">
      <x:c r="B89" s="105" t="s">
        <x:v>1519</x:v>
      </x:c>
      <x:c r="C89" s="105">
        <x:v>20.0</x:v>
      </x:c>
      <x:c r="D89" s="106"/>
      <x:c r="E89" s="106"/>
      <x:c r="F89" s="107" t="n">
        <x:f>5*26000</x:f>
        <x:v>130000</x:v>
      </x:c>
      <x:c r="G89" s="106"/>
      <x:c r="H89" s="106"/>
      <x:c r="I89" s="109" t="n">
        <x:f>F89+F91/C91</x:f>
        <x:v>143273.88235294117</x:v>
      </x:c>
    </x:row>
    <x:row r="90">
      <x:c r="B90" s="106"/>
      <x:c r="C90" s="106"/>
      <x:c r="D90" s="106"/>
      <x:c r="E90" s="106"/>
      <x:c r="F90" s="107"/>
      <x:c r="G90" s="106"/>
      <x:c r="H90" s="106"/>
      <x:c r="I90" s="106"/>
    </x:row>
    <x:row r="91">
      <x:c r="B91" s="108" t="s">
        <x:v>1506</x:v>
      </x:c>
      <x:c r="C91" s="113" t="n">
        <x:f>SUM(C85:C89)</x:f>
        <x:v>85</x:v>
      </x:c>
      <x:c r="D91" s="106"/>
      <x:c r="E91" s="105" t="s">
        <x:v>1502</x:v>
      </x:c>
      <x:c r="F91" s="107" t="n">
        <x:f>14.78*26000+744000</x:f>
        <x:v>1128280</x:v>
      </x:c>
      <x:c r="G91" s="106"/>
      <x:c r="H91" s="106"/>
      <x:c r="I91" s="106"/>
    </x:row>
    <x:row r="92">
      <x:c r="A92" s="87"/>
      <x:c r="F92" s="85"/>
    </x:row>
    <x:row r="93">
      <x:c r="A93" s="114">
        <x:v>45805.0</x:v>
      </x:c>
      <x:c r="B93" s="105" t="s">
        <x:v>1520</x:v>
      </x:c>
      <x:c r="C93" s="105" t="n">
        <x:v>32</x:v>
      </x:c>
      <x:c r="D93" s="106"/>
      <x:c r="E93" s="105" t="s">
        <x:v>1512</x:v>
      </x:c>
      <x:c r="F93" s="107" t="n">
        <x:f>4*26000</x:f>
        <x:v>104000</x:v>
      </x:c>
      <x:c r="G93" s="106"/>
      <x:c r="H93" s="116" t="s">
        <x:v>1507</x:v>
      </x:c>
      <x:c r="I93" s="109" t="n">
        <x:f>F93+F100/C100</x:f>
        <x:v>114531.63043478261</x:v>
      </x:c>
    </x:row>
    <x:row r="94">
      <x:c r="B94" s="105" t="s">
        <x:v>321</x:v>
      </x:c>
      <x:c r="C94" s="105" t="n">
        <x:v>62</x:v>
      </x:c>
      <x:c r="D94" s="106"/>
      <x:c r="E94" s="106"/>
      <x:c r="F94" s="107" t="n">
        <x:f>3.5*26000</x:f>
        <x:v>91000</x:v>
      </x:c>
      <x:c r="G94" s="106"/>
      <x:c r="I94" s="109" t="n">
        <x:f>F94+F100/C100</x:f>
        <x:v>101531.63043478261</x:v>
      </x:c>
    </x:row>
    <x:row r="95">
      <x:c r="B95" s="105" t="s">
        <x:v>1514</x:v>
      </x:c>
      <x:c r="C95" s="105">
        <x:v>8.0</x:v>
      </x:c>
      <x:c r="D95" s="106"/>
      <x:c r="E95" s="106"/>
      <x:c r="F95" s="107" t="n">
        <x:f>5*26000</x:f>
        <x:v>130000</x:v>
      </x:c>
      <x:c r="G95" s="106"/>
      <x:c r="I95" s="109" t="n">
        <x:f>F95+F100/C100</x:f>
        <x:v>140531.6304347826</x:v>
      </x:c>
    </x:row>
    <x:row r="96">
      <x:c r="B96" s="105" t="s">
        <x:v>8</x:v>
      </x:c>
      <x:c r="C96" s="105">
        <x:v>24.0</x:v>
      </x:c>
      <x:c r="D96" s="106"/>
      <x:c r="E96" s="106"/>
      <x:c r="F96" s="107" t="n">
        <x:f>9*26000</x:f>
        <x:v>234000</x:v>
      </x:c>
      <x:c r="G96" s="106"/>
      <x:c r="I96" s="109" t="n">
        <x:f>F96+F100/C100</x:f>
        <x:v>244531.6304347826</x:v>
      </x:c>
    </x:row>
    <x:row r="97">
      <x:c r="B97" s="105" t="s">
        <x:v>14</x:v>
      </x:c>
      <x:c r="C97" s="105">
        <x:v>10.0</x:v>
      </x:c>
      <x:c r="D97" s="106"/>
      <x:c r="E97" s="106"/>
      <x:c r="F97" s="107" t="n">
        <x:f>8*26000</x:f>
        <x:v>208000</x:v>
      </x:c>
      <x:c r="G97" s="106"/>
      <x:c r="H97" s="106"/>
      <x:c r="I97" s="109" t="n">
        <x:f>F97+F100/C100</x:f>
        <x:v>218531.6304347826</x:v>
      </x:c>
    </x:row>
    <x:row r="98">
      <x:c r="B98" s="105" t="s">
        <x:v>1521</x:v>
      </x:c>
      <x:c r="C98" s="105">
        <x:v>48.0</x:v>
      </x:c>
      <x:c r="D98" s="106"/>
      <x:c r="E98" s="106"/>
      <x:c r="F98" s="107" t="n">
        <x:f>5*26000</x:f>
        <x:v>130000</x:v>
      </x:c>
      <x:c r="G98" s="106"/>
      <x:c r="H98" s="106"/>
      <x:c r="I98" s="109" t="n">
        <x:f>F98+F100/C100</x:f>
        <x:v>140531.6304347826</x:v>
      </x:c>
    </x:row>
    <x:row r="99">
      <x:c r="B99" s="106"/>
      <x:c r="C99" s="106"/>
      <x:c r="D99" s="106"/>
      <x:c r="E99" s="106"/>
      <x:c r="F99" s="107"/>
      <x:c r="G99" s="106"/>
      <x:c r="H99" s="106"/>
      <x:c r="I99" s="106"/>
    </x:row>
    <x:row r="100">
      <x:c r="B100" s="108" t="s">
        <x:v>1506</x:v>
      </x:c>
      <x:c r="C100" s="113" t="n">
        <x:f>SUM(C93:C98)</x:f>
        <x:v>184</x:v>
      </x:c>
      <x:c r="D100" s="106"/>
      <x:c r="E100" s="105" t="s">
        <x:v>1502</x:v>
      </x:c>
      <x:c r="F100" s="107" t="n">
        <x:f>20.07*26000+1416000</x:f>
        <x:v>1937820</x:v>
      </x:c>
      <x:c r="G100" s="106"/>
      <x:c r="H100" s="106"/>
      <x:c r="I100" s="106"/>
    </x:row>
    <x:row r="101">
      <x:c r="A101" s="87"/>
      <x:c r="F101" s="85"/>
    </x:row>
    <x:row r="102">
      <x:c r="A102" s="114">
        <x:v>45847.0</x:v>
      </x:c>
      <x:c r="B102" s="105" t="s">
        <x:v>1514</x:v>
      </x:c>
      <x:c r="C102" s="105">
        <x:v>10.0</x:v>
      </x:c>
      <x:c r="D102" s="106"/>
      <x:c r="E102" s="105" t="s">
        <x:v>1512</x:v>
      </x:c>
      <x:c r="F102" s="107" t="n">
        <x:f>5*26500*0.955</x:f>
        <x:v>126537.5</x:v>
      </x:c>
      <x:c r="G102" s="107" t="n">
        <x:f t="shared" ref="G102:G108" si="5">F102*C102</x:f>
        <x:v>1265375</x:v>
      </x:c>
      <x:c r="H102" s="116" t="s">
        <x:v>1507</x:v>
      </x:c>
      <x:c r="I102" s="109" t="n">
        <x:f>F102+F110/C110</x:f>
        <x:v>138609.85849056602</x:v>
      </x:c>
    </x:row>
    <x:row r="103">
      <x:c r="B103" s="105" t="s">
        <x:v>445</x:v>
      </x:c>
      <x:c r="C103" s="105">
        <x:v>10.0</x:v>
      </x:c>
      <x:c r="D103" s="106"/>
      <x:c r="E103" s="106"/>
      <x:c r="F103" s="107" t="n">
        <x:f>6*26500*0.955</x:f>
        <x:v>151845</x:v>
      </x:c>
      <x:c r="G103" s="107">
        <x:f t="shared" si="5"/>
        <x:v>1518450</x:v>
      </x:c>
      <x:c r="I103" s="109" t="n">
        <x:f>F103+F110/C110</x:f>
        <x:v>163917.35849056602</x:v>
      </x:c>
    </x:row>
    <x:row r="104">
      <x:c r="B104" s="105" t="s">
        <x:v>443</x:v>
      </x:c>
      <x:c r="C104" s="105">
        <x:v>15.0</x:v>
      </x:c>
      <x:c r="D104" s="106"/>
      <x:c r="E104" s="106"/>
      <x:c r="F104" s="107" t="n">
        <x:f>7*26500*0.955</x:f>
        <x:v>177152.5</x:v>
      </x:c>
      <x:c r="G104" s="107">
        <x:f t="shared" si="5"/>
        <x:v>2657287.5</x:v>
      </x:c>
      <x:c r="I104" s="109" t="n">
        <x:f>F104+F110/C110</x:f>
        <x:v>189224.85849056602</x:v>
      </x:c>
    </x:row>
    <x:row r="105">
      <x:c r="B105" s="105" t="s">
        <x:v>9</x:v>
      </x:c>
      <x:c r="C105" s="105">
        <x:v>15.0</x:v>
      </x:c>
      <x:c r="D105" s="106"/>
      <x:c r="E105" s="106"/>
      <x:c r="F105" s="107" t="n">
        <x:f>8*26500*0.955</x:f>
        <x:v>202460</x:v>
      </x:c>
      <x:c r="G105" s="107">
        <x:f t="shared" si="5"/>
        <x:v>3036900</x:v>
      </x:c>
      <x:c r="I105" s="109" t="n">
        <x:f>F105+F110/C110</x:f>
        <x:v>214532.35849056602</x:v>
      </x:c>
    </x:row>
    <x:row r="106">
      <x:c r="B106" s="105" t="s">
        <x:v>8</x:v>
      </x:c>
      <x:c r="C106" s="105">
        <x:v>20.0</x:v>
      </x:c>
      <x:c r="D106" s="106"/>
      <x:c r="E106" s="106"/>
      <x:c r="F106" s="107" t="n">
        <x:f>9*26500*0.955</x:f>
        <x:v>227767.5</x:v>
      </x:c>
      <x:c r="G106" s="107">
        <x:f t="shared" si="5"/>
        <x:v>4555350</x:v>
      </x:c>
      <x:c r="I106" s="109" t="n">
        <x:f>F106+F110/C110</x:f>
        <x:v>239839.85849056602</x:v>
      </x:c>
    </x:row>
    <x:row r="107">
      <x:c r="B107" s="105" t="s">
        <x:v>14</x:v>
      </x:c>
      <x:c r="C107" s="105">
        <x:v>10.0</x:v>
      </x:c>
      <x:c r="D107" s="106"/>
      <x:c r="E107" s="106"/>
      <x:c r="F107" s="107" t="n">
        <x:f>8*26500*0.955</x:f>
        <x:v>202460</x:v>
      </x:c>
      <x:c r="G107" s="107">
        <x:f t="shared" si="5"/>
        <x:v>2024600</x:v>
      </x:c>
      <x:c r="H107" s="106"/>
      <x:c r="I107" s="109" t="n">
        <x:f>F107+F110/C110</x:f>
        <x:v>214532.35849056602</x:v>
      </x:c>
    </x:row>
    <x:row r="108">
      <x:c r="B108" s="105" t="s">
        <x:v>11</x:v>
      </x:c>
      <x:c r="C108" s="105">
        <x:v>26.0</x:v>
      </x:c>
      <x:c r="D108" s="106"/>
      <x:c r="E108" s="106"/>
      <x:c r="F108" s="107" t="n">
        <x:f>15*26500*0.955</x:f>
        <x:v>379612.5</x:v>
      </x:c>
      <x:c r="G108" s="107">
        <x:f t="shared" si="5"/>
        <x:v>9869925</x:v>
      </x:c>
      <x:c r="H108" s="106"/>
      <x:c r="I108" s="109" t="n">
        <x:f>F108+F110/C110</x:f>
        <x:v>391684.858490566</x:v>
      </x:c>
    </x:row>
    <x:row r="109">
      <x:c r="B109" s="106"/>
      <x:c r="C109" s="106"/>
      <x:c r="D109" s="106"/>
      <x:c r="E109" s="106"/>
      <x:c r="F109" s="107"/>
      <x:c r="G109" s="106"/>
      <x:c r="H109" s="106"/>
      <x:c r="I109" s="106"/>
    </x:row>
    <x:row r="110">
      <x:c r="B110" s="108" t="s">
        <x:v>1506</x:v>
      </x:c>
      <x:c r="C110" s="113" t="n">
        <x:f>SUM(C102:C108)</x:f>
        <x:v>106</x:v>
      </x:c>
      <x:c r="D110" s="106"/>
      <x:c r="E110" s="105" t="s">
        <x:v>1502</x:v>
      </x:c>
      <x:c r="F110" s="107" t="n">
        <x:f>14.78*26500+888000</x:f>
        <x:v>1279670</x:v>
      </x:c>
      <x:c r="G110" s="107" t="n">
        <x:f>SUM(G102:G108)/26500</x:f>
        <x:v>940.675</x:v>
      </x:c>
      <x:c r="H110" s="106"/>
      <x:c r="I110" s="106"/>
    </x:row>
    <x:row r="111">
      <x:c r="A111" s="87"/>
      <x:c r="F111" s="85"/>
    </x:row>
    <x:row r="112">
      <x:c r="A112" s="114">
        <x:v>45895.0</x:v>
      </x:c>
      <x:c r="B112" s="105" t="s">
        <x:v>1514</x:v>
      </x:c>
      <x:c r="C112" s="105">
        <x:v>10.0</x:v>
      </x:c>
      <x:c r="D112" s="106"/>
      <x:c r="E112" s="105" t="s">
        <x:v>1512</x:v>
      </x:c>
      <x:c r="F112" s="107" t="n">
        <x:f>5*26500</x:f>
        <x:v>132500</x:v>
      </x:c>
      <x:c r="G112" s="107" t="n">
        <x:f t="shared" ref="G112:G118" si="6">F112*C112</x:f>
        <x:v>1325000</x:v>
      </x:c>
      <x:c r="H112" s="116" t="s">
        <x:v>1507</x:v>
      </x:c>
      <x:c r="I112" s="109" t="n">
        <x:f t="shared" ref="I112:I118" si="7">F112*$G$121+$F$120/$C$120</x:f>
        <x:v>138260.20881239403</x:v>
      </x:c>
    </x:row>
    <x:row r="113">
      <x:c r="B113" s="105" t="s">
        <x:v>445</x:v>
      </x:c>
      <x:c r="C113" s="105">
        <x:v>47.0</x:v>
      </x:c>
      <x:c r="D113" s="106"/>
      <x:c r="E113" s="106"/>
      <x:c r="F113" s="107" t="n">
        <x:f t="shared" ref="F113:F114" si="8">6*26500</x:f>
        <x:v>159000</x:v>
      </x:c>
      <x:c r="G113" s="107">
        <x:f t="shared" si="6"/>
        <x:v>7473000</x:v>
      </x:c>
      <x:c r="I113" s="109">
        <x:f t="shared" si="7"/>
        <x:v>163647.3479</x:v>
      </x:c>
    </x:row>
    <x:row r="114">
      <x:c r="B114" s="105" t="s">
        <x:v>1508</x:v>
      </x:c>
      <x:c r="C114" s="105">
        <x:v>10.0</x:v>
      </x:c>
      <x:c r="D114" s="106"/>
      <x:c r="E114" s="106"/>
      <x:c r="F114" s="107">
        <x:f t="shared" si="8"/>
        <x:v>159000</x:v>
      </x:c>
      <x:c r="G114" s="107">
        <x:f t="shared" si="6"/>
        <x:v>1590000</x:v>
      </x:c>
      <x:c r="I114" s="109">
        <x:f t="shared" si="7"/>
        <x:v>163647.3479</x:v>
      </x:c>
    </x:row>
    <x:row r="115">
      <x:c r="B115" s="105" t="s">
        <x:v>9</x:v>
      </x:c>
      <x:c r="C115" s="105">
        <x:v>10.0</x:v>
      </x:c>
      <x:c r="D115" s="106"/>
      <x:c r="E115" s="106"/>
      <x:c r="F115" s="107" t="n">
        <x:f>8*26500</x:f>
        <x:v>212000</x:v>
      </x:c>
      <x:c r="G115" s="107">
        <x:f t="shared" si="6"/>
        <x:v>2120000</x:v>
      </x:c>
      <x:c r="I115" s="109">
        <x:f t="shared" si="7"/>
        <x:v>214421.6261</x:v>
      </x:c>
    </x:row>
    <x:row r="116">
      <x:c r="B116" s="105" t="s">
        <x:v>8</x:v>
      </x:c>
      <x:c r="C116" s="105">
        <x:v>20.0</x:v>
      </x:c>
      <x:c r="D116" s="106"/>
      <x:c r="E116" s="106"/>
      <x:c r="F116" s="107" t="n">
        <x:f>9*26500</x:f>
        <x:v>238500</x:v>
      </x:c>
      <x:c r="G116" s="107">
        <x:f t="shared" si="6"/>
        <x:v>4770000</x:v>
      </x:c>
      <x:c r="I116" s="109">
        <x:f t="shared" si="7"/>
        <x:v>239808.7652</x:v>
      </x:c>
    </x:row>
    <x:row r="117">
      <x:c r="B117" s="105" t="s">
        <x:v>14</x:v>
      </x:c>
      <x:c r="C117" s="105">
        <x:v>10.0</x:v>
      </x:c>
      <x:c r="D117" s="106"/>
      <x:c r="E117" s="106"/>
      <x:c r="F117" s="107" t="n">
        <x:f>8*26500</x:f>
        <x:v>212000</x:v>
      </x:c>
      <x:c r="G117" s="107">
        <x:f t="shared" si="6"/>
        <x:v>2120000</x:v>
      </x:c>
      <x:c r="I117" s="109">
        <x:f t="shared" si="7"/>
        <x:v>214421.6261</x:v>
      </x:c>
    </x:row>
    <x:row r="118">
      <x:c r="B118" s="105" t="s">
        <x:v>1510</x:v>
      </x:c>
      <x:c r="C118" s="105">
        <x:v>6.0</x:v>
      </x:c>
      <x:c r="D118" s="106"/>
      <x:c r="E118" s="106"/>
      <x:c r="F118" s="107" t="n">
        <x:f>5*26500</x:f>
        <x:v>132500</x:v>
      </x:c>
      <x:c r="G118" s="107">
        <x:f t="shared" si="6"/>
        <x:v>795000</x:v>
      </x:c>
      <x:c r="I118" s="109">
        <x:f t="shared" si="7"/>
        <x:v>138260.2088</x:v>
      </x:c>
    </x:row>
    <x:row r="119">
      <x:c r="B119" s="106"/>
      <x:c r="C119" s="106"/>
      <x:c r="D119" s="106"/>
      <x:c r="E119" s="106"/>
      <x:c r="F119" s="107"/>
      <x:c r="G119" s="106"/>
      <x:c r="H119" s="106"/>
      <x:c r="I119" s="106"/>
    </x:row>
    <x:row r="120">
      <x:c r="B120" s="108" t="s">
        <x:v>1506</x:v>
      </x:c>
      <x:c r="C120" s="113" t="n">
        <x:f>SUM(C112:C118)</x:f>
        <x:v>113</x:v>
      </x:c>
      <x:c r="D120" s="106"/>
      <x:c r="E120" s="105" t="s">
        <x:v>1502</x:v>
      </x:c>
      <x:c r="F120" s="107" t="n">
        <x:f>14.78*26500+888000</x:f>
        <x:v>1279670</x:v>
      </x:c>
      <x:c r="G120" s="107" t="n">
        <x:f>SUM(G112:G118)/26500</x:f>
        <x:v>762</x:v>
      </x:c>
      <x:c r="H120" s="106"/>
      <x:c r="I120" s="106"/>
    </x:row>
    <x:row r="121">
      <x:c r="A121" s="114"/>
      <x:c r="B121" s="108"/>
      <x:c r="C121" s="113"/>
      <x:c r="D121" s="106"/>
      <x:c r="E121" s="105" t="s">
        <x:v>1522</x:v>
      </x:c>
      <x:c r="F121" s="107"/>
      <x:c r="G121" s="117" t="n">
        <x:f>730/G120</x:f>
        <x:v>0.958005249343832</x:v>
      </x:c>
      <x:c r="H121" s="106"/>
      <x:c r="I121" s="106"/>
    </x:row>
    <x:row r="122">
      <x:c r="A122" s="87"/>
      <x:c r="F122" s="85"/>
    </x:row>
    <x:row r="123">
      <x:c r="A123" s="114">
        <x:v>45932.0</x:v>
      </x:c>
      <x:c r="B123" s="105" t="s">
        <x:v>1510</x:v>
      </x:c>
      <x:c r="C123" s="105">
        <x:v>30.0</x:v>
      </x:c>
      <x:c r="D123" s="106"/>
      <x:c r="E123" s="105" t="s">
        <x:v>1512</x:v>
      </x:c>
      <x:c r="F123" s="107" t="n">
        <x:f>5*26500</x:f>
        <x:v>132500</x:v>
      </x:c>
      <x:c r="G123" s="107" t="n">
        <x:f t="shared" ref="G123:G127" si="9">F123*C123</x:f>
        <x:v>3975000</x:v>
      </x:c>
      <x:c r="H123" s="116" t="s">
        <x:v>1507</x:v>
      </x:c>
      <x:c r="I123" s="109" t="n">
        <x:f>F123+F129/C129</x:f>
        <x:v>143163.91666666666</x:v>
      </x:c>
    </x:row>
    <x:row r="124">
      <x:c r="B124" s="105" t="s">
        <x:v>445</x:v>
      </x:c>
      <x:c r="C124" s="105">
        <x:v>60.0</x:v>
      </x:c>
      <x:c r="D124" s="106"/>
      <x:c r="E124" s="106"/>
      <x:c r="F124" s="107" t="n">
        <x:f t="shared" ref="F124:F125" si="10">6*26500</x:f>
        <x:v>159000</x:v>
      </x:c>
      <x:c r="G124" s="107">
        <x:f t="shared" si="9"/>
        <x:v>9540000</x:v>
      </x:c>
      <x:c r="I124" s="109" t="n">
        <x:f>F124+F129/C129</x:f>
        <x:v>169663.91666666666</x:v>
      </x:c>
    </x:row>
    <x:row r="125">
      <x:c r="B125" s="105" t="s">
        <x:v>1508</x:v>
      </x:c>
      <x:c r="C125" s="105">
        <x:v>10.0</x:v>
      </x:c>
      <x:c r="D125" s="106"/>
      <x:c r="E125" s="106"/>
      <x:c r="F125" s="107">
        <x:f t="shared" si="10"/>
        <x:v>159000</x:v>
      </x:c>
      <x:c r="G125" s="107">
        <x:f t="shared" si="9"/>
        <x:v>1590000</x:v>
      </x:c>
      <x:c r="I125" s="109" t="n">
        <x:f>F125+F129/C129</x:f>
        <x:v>169663.91666666666</x:v>
      </x:c>
    </x:row>
    <x:row r="126">
      <x:c r="B126" s="105" t="s">
        <x:v>9</x:v>
      </x:c>
      <x:c r="C126" s="105">
        <x:v>15.0</x:v>
      </x:c>
      <x:c r="D126" s="106"/>
      <x:c r="E126" s="106"/>
      <x:c r="F126" s="107" t="n">
        <x:f t="shared" ref="F126:F127" si="11">8*26500</x:f>
        <x:v>212000</x:v>
      </x:c>
      <x:c r="G126" s="107">
        <x:f t="shared" si="9"/>
        <x:v>3180000</x:v>
      </x:c>
      <x:c r="I126" s="109" t="n">
        <x:f>F126+F129/C129</x:f>
        <x:v>222663.91666666666</x:v>
      </x:c>
    </x:row>
    <x:row r="127">
      <x:c r="B127" s="105" t="s">
        <x:v>14</x:v>
      </x:c>
      <x:c r="C127" s="105">
        <x:v>5.0</x:v>
      </x:c>
      <x:c r="D127" s="106"/>
      <x:c r="E127" s="106"/>
      <x:c r="F127" s="107">
        <x:f t="shared" si="11"/>
        <x:v>212000</x:v>
      </x:c>
      <x:c r="G127" s="107">
        <x:f t="shared" si="9"/>
        <x:v>1060000</x:v>
      </x:c>
      <x:c r="I127" s="109" t="n">
        <x:f>F127+F129/C129</x:f>
        <x:v>222663.91666666666</x:v>
      </x:c>
    </x:row>
    <x:row r="128">
      <x:c r="B128" s="106"/>
      <x:c r="C128" s="106"/>
      <x:c r="D128" s="106"/>
      <x:c r="E128" s="106"/>
      <x:c r="F128" s="107"/>
      <x:c r="G128" s="106"/>
      <x:c r="H128" s="106"/>
      <x:c r="I128" s="106"/>
    </x:row>
    <x:row r="129">
      <x:c r="B129" s="108" t="s">
        <x:v>1506</x:v>
      </x:c>
      <x:c r="C129" s="113" t="n">
        <x:f>SUM(C123:C127)</x:f>
        <x:v>120</x:v>
      </x:c>
      <x:c r="D129" s="106"/>
      <x:c r="E129" s="105" t="s">
        <x:v>1502</x:v>
      </x:c>
      <x:c r="F129" s="107" t="n">
        <x:f>14.78*26500+888000</x:f>
        <x:v>1279670</x:v>
      </x:c>
      <x:c r="G129" s="107" t="n">
        <x:f>SUM(G123:G127)/26500</x:f>
        <x:v>730</x:v>
      </x:c>
      <x:c r="H129" s="106"/>
      <x:c r="I129" s="106"/>
    </x:row>
    <x:row r="130">
      <x:c r="A130" s="87"/>
      <x:c r="F130" s="85"/>
    </x:row>
    <x:row r="131">
      <x:c r="A131" s="114">
        <x:v>46000.0</x:v>
      </x:c>
      <x:c r="B131" s="105" t="s">
        <x:v>1514</x:v>
      </x:c>
      <x:c r="C131" s="105">
        <x:v>6.0</x:v>
      </x:c>
      <x:c r="D131" s="106"/>
      <x:c r="E131" s="105" t="s">
        <x:v>1512</x:v>
      </x:c>
      <x:c r="F131" s="107" t="n">
        <x:f>5*26500</x:f>
        <x:v>132500</x:v>
      </x:c>
      <x:c r="G131" s="107" t="n">
        <x:f t="shared" ref="G131:G142" si="12">F131*C131</x:f>
        <x:v>795000</x:v>
      </x:c>
      <x:c r="H131" s="116" t="s">
        <x:v>1507</x:v>
      </x:c>
      <x:c r="I131" s="109" t="n">
        <x:f t="shared" ref="I131:I142" si="13">F131*$G$145+$F$144/$C$144</x:f>
        <x:v>137246.43271701856</x:v>
      </x:c>
      <x:c r="J131" s="39">
        <x:v>245000.0</x:v>
      </x:c>
      <x:c r="K131" s="85" t="n">
        <x:f t="shared" ref="K131:K142" si="14">(J131-I131)*C131</x:f>
        <x:v>646521.4036978886</x:v>
      </x:c>
    </x:row>
    <x:row r="132">
      <x:c r="B132" s="105" t="s">
        <x:v>445</x:v>
      </x:c>
      <x:c r="C132" s="105">
        <x:v>6.0</x:v>
      </x:c>
      <x:c r="D132" s="106"/>
      <x:c r="E132" s="106"/>
      <x:c r="F132" s="107" t="n">
        <x:f t="shared" ref="F132:F133" si="15">6*26500</x:f>
        <x:v>159000</x:v>
      </x:c>
      <x:c r="G132" s="107">
        <x:f t="shared" si="12"/>
        <x:v>954000</x:v>
      </x:c>
      <x:c r="I132" s="109">
        <x:f t="shared" si="13"/>
        <x:v>162854.4675</x:v>
      </x:c>
      <x:c r="J132" s="39">
        <x:v>265000.0</x:v>
      </x:c>
      <x:c r="K132" s="85">
        <x:f t="shared" si="14"/>
        <x:v>612873.1952</x:v>
      </x:c>
    </x:row>
    <x:row r="133">
      <x:c r="B133" s="105" t="s">
        <x:v>1508</x:v>
      </x:c>
      <x:c r="C133" s="105">
        <x:v>10.0</x:v>
      </x:c>
      <x:c r="D133" s="106"/>
      <x:c r="E133" s="106"/>
      <x:c r="F133" s="107">
        <x:f t="shared" si="15"/>
        <x:v>159000</x:v>
      </x:c>
      <x:c r="G133" s="107">
        <x:f t="shared" si="12"/>
        <x:v>1590000</x:v>
      </x:c>
      <x:c r="I133" s="109">
        <x:f t="shared" si="13"/>
        <x:v>162854.4675</x:v>
      </x:c>
      <x:c r="J133" s="39">
        <x:v>285000.0</x:v>
      </x:c>
      <x:c r="K133" s="85">
        <x:f t="shared" si="14"/>
        <x:v>1221455.325</x:v>
      </x:c>
    </x:row>
    <x:row r="134">
      <x:c r="B134" s="105" t="s">
        <x:v>443</x:v>
      </x:c>
      <x:c r="C134" s="105">
        <x:v>10.0</x:v>
      </x:c>
      <x:c r="D134" s="106"/>
      <x:c r="E134" s="106"/>
      <x:c r="F134" s="107" t="n">
        <x:f>7*26500</x:f>
        <x:v>185500</x:v>
      </x:c>
      <x:c r="G134" s="107">
        <x:f t="shared" si="12"/>
        <x:v>1855000</x:v>
      </x:c>
      <x:c r="I134" s="109">
        <x:f t="shared" si="13"/>
        <x:v>188462.5022</x:v>
      </x:c>
      <x:c r="J134" s="39">
        <x:v>370000.0</x:v>
      </x:c>
      <x:c r="K134" s="85">
        <x:f t="shared" si="14"/>
        <x:v>1815374.978</x:v>
      </x:c>
    </x:row>
    <x:row r="135">
      <x:c r="B135" s="105" t="s">
        <x:v>8</x:v>
      </x:c>
      <x:c r="C135" s="105">
        <x:v>15.0</x:v>
      </x:c>
      <x:c r="D135" s="106"/>
      <x:c r="E135" s="106"/>
      <x:c r="F135" s="107" t="n">
        <x:f>9*26500</x:f>
        <x:v>238500</x:v>
      </x:c>
      <x:c r="G135" s="107">
        <x:f t="shared" si="12"/>
        <x:v>3577500</x:v>
      </x:c>
      <x:c r="I135" s="109">
        <x:f t="shared" si="13"/>
        <x:v>239678.5717</x:v>
      </x:c>
      <x:c r="J135" s="39">
        <x:v>510000.0</x:v>
      </x:c>
      <x:c r="K135" s="85">
        <x:f t="shared" si="14"/>
        <x:v>4054821.425</x:v>
      </x:c>
    </x:row>
    <x:row r="136">
      <x:c r="B136" s="105" t="s">
        <x:v>14</x:v>
      </x:c>
      <x:c r="C136" s="105">
        <x:v>10.0</x:v>
      </x:c>
      <x:c r="D136" s="106"/>
      <x:c r="E136" s="106"/>
      <x:c r="F136" s="107" t="n">
        <x:f>8*26500</x:f>
        <x:v>212000</x:v>
      </x:c>
      <x:c r="G136" s="107">
        <x:f t="shared" si="12"/>
        <x:v>2120000</x:v>
      </x:c>
      <x:c r="I136" s="109">
        <x:f t="shared" si="13"/>
        <x:v>214070.537</x:v>
      </x:c>
      <x:c r="J136" s="39">
        <x:v>390000.0</x:v>
      </x:c>
      <x:c r="K136" s="85">
        <x:f t="shared" si="14"/>
        <x:v>1759294.63</x:v>
      </x:c>
    </x:row>
    <x:row r="137">
      <x:c r="B137" s="105" t="s">
        <x:v>1510</x:v>
      </x:c>
      <x:c r="C137" s="105">
        <x:v>54.0</x:v>
      </x:c>
      <x:c r="D137" s="106"/>
      <x:c r="E137" s="106"/>
      <x:c r="F137" s="107" t="n">
        <x:f>5*26500</x:f>
        <x:v>132500</x:v>
      </x:c>
      <x:c r="G137" s="107">
        <x:f t="shared" si="12"/>
        <x:v>7155000</x:v>
      </x:c>
      <x:c r="I137" s="109">
        <x:f t="shared" si="13"/>
        <x:v>137246.4327</x:v>
      </x:c>
      <x:c r="J137" s="39">
        <x:v>245000.0</x:v>
      </x:c>
      <x:c r="K137" s="85">
        <x:f t="shared" si="14"/>
        <x:v>5818692.633</x:v>
      </x:c>
    </x:row>
    <x:row r="138">
      <x:c r="B138" s="105" t="s">
        <x:v>11</x:v>
      </x:c>
      <x:c r="C138" s="105">
        <x:v>8.0</x:v>
      </x:c>
      <x:c r="D138" s="106"/>
      <x:c r="E138" s="106"/>
      <x:c r="F138" s="107" t="n">
        <x:f>15*26500</x:f>
        <x:v>397500</x:v>
      </x:c>
      <x:c r="G138" s="107">
        <x:f t="shared" si="12"/>
        <x:v>3180000</x:v>
      </x:c>
      <x:c r="I138" s="109">
        <x:f t="shared" si="13"/>
        <x:v>393326.7802</x:v>
      </x:c>
      <x:c r="J138" s="39">
        <x:v>630000.0</x:v>
      </x:c>
      <x:c r="K138" s="85">
        <x:f t="shared" si="14"/>
        <x:v>1893385.759</x:v>
      </x:c>
    </x:row>
    <x:row r="139">
      <x:c r="B139" s="105" t="s">
        <x:v>324</x:v>
      </x:c>
      <x:c r="C139" s="105">
        <x:v>5.0</x:v>
      </x:c>
      <x:c r="D139" s="106"/>
      <x:c r="E139" s="106"/>
      <x:c r="F139" s="107" t="n">
        <x:f>5*26500</x:f>
        <x:v>132500</x:v>
      </x:c>
      <x:c r="G139" s="107">
        <x:f t="shared" si="12"/>
        <x:v>662500</x:v>
      </x:c>
      <x:c r="I139" s="109">
        <x:f t="shared" si="13"/>
        <x:v>137246.4327</x:v>
      </x:c>
      <x:c r="J139" s="39">
        <x:v>250000.0</x:v>
      </x:c>
      <x:c r="K139" s="85">
        <x:f t="shared" si="14"/>
        <x:v>563767.8364</x:v>
      </x:c>
    </x:row>
    <x:row r="140">
      <x:c r="B140" s="105" t="s">
        <x:v>1516</x:v>
      </x:c>
      <x:c r="C140" s="105">
        <x:v>5.0</x:v>
      </x:c>
      <x:c r="D140" s="106"/>
      <x:c r="E140" s="106"/>
      <x:c r="F140" s="107" t="n">
        <x:f t="shared" ref="F140:F141" si="16">6*26500</x:f>
        <x:v>159000</x:v>
      </x:c>
      <x:c r="G140" s="107">
        <x:f t="shared" si="12"/>
        <x:v>795000</x:v>
      </x:c>
      <x:c r="I140" s="109">
        <x:f t="shared" si="13"/>
        <x:v>162854.4675</x:v>
      </x:c>
      <x:c r="J140" s="39">
        <x:v>270000.0</x:v>
      </x:c>
      <x:c r="K140" s="85">
        <x:f t="shared" si="14"/>
        <x:v>535727.6627</x:v>
      </x:c>
    </x:row>
    <x:row r="141">
      <x:c r="B141" s="105" t="s">
        <x:v>1517</x:v>
      </x:c>
      <x:c r="C141" s="105">
        <x:v>5.0</x:v>
      </x:c>
      <x:c r="D141" s="106"/>
      <x:c r="E141" s="106"/>
      <x:c r="F141" s="107">
        <x:f t="shared" si="16"/>
        <x:v>159000</x:v>
      </x:c>
      <x:c r="G141" s="107">
        <x:f t="shared" si="12"/>
        <x:v>795000</x:v>
      </x:c>
      <x:c r="I141" s="109">
        <x:f t="shared" si="13"/>
        <x:v>162854.4675</x:v>
      </x:c>
      <x:c r="J141" s="39">
        <x:v>270000.0</x:v>
      </x:c>
      <x:c r="K141" s="85">
        <x:f t="shared" si="14"/>
        <x:v>535727.6627</x:v>
      </x:c>
    </x:row>
    <x:row r="142">
      <x:c r="B142" s="105" t="s">
        <x:v>1518</x:v>
      </x:c>
      <x:c r="C142" s="105">
        <x:v>5.0</x:v>
      </x:c>
      <x:c r="D142" s="106"/>
      <x:c r="E142" s="106"/>
      <x:c r="F142" s="107" t="n">
        <x:f>7*26500</x:f>
        <x:v>185500</x:v>
      </x:c>
      <x:c r="G142" s="107">
        <x:f t="shared" si="12"/>
        <x:v>927500</x:v>
      </x:c>
      <x:c r="I142" s="109">
        <x:f t="shared" si="13"/>
        <x:v>188462.5022</x:v>
      </x:c>
      <x:c r="J142" s="39">
        <x:v>280000.0</x:v>
      </x:c>
      <x:c r="K142" s="85">
        <x:f t="shared" si="14"/>
        <x:v>457687.489</x:v>
      </x:c>
    </x:row>
    <x:row r="143">
      <x:c r="B143" s="105"/>
      <x:c r="C143" s="105"/>
      <x:c r="D143" s="106"/>
      <x:c r="E143" s="106"/>
      <x:c r="F143" s="107"/>
      <x:c r="G143" s="106"/>
      <x:c r="H143" s="106"/>
      <x:c r="I143" s="106"/>
    </x:row>
    <x:row r="144">
      <x:c r="B144" s="108" t="s">
        <x:v>1506</x:v>
      </x:c>
      <x:c r="C144" s="113" t="n">
        <x:f>SUM(C131:C142)</x:f>
        <x:v>139</x:v>
      </x:c>
      <x:c r="D144" s="106"/>
      <x:c r="E144" s="105" t="s">
        <x:v>1502</x:v>
      </x:c>
      <x:c r="F144" s="107" t="n">
        <x:f>14.78*26500+888000</x:f>
        <x:v>1279670</x:v>
      </x:c>
      <x:c r="G144" s="107" t="n">
        <x:f>SUM(G131:G142)/26500</x:f>
        <x:v>921</x:v>
      </x:c>
      <x:c r="H144" s="106"/>
      <x:c r="I144" s="106"/>
    </x:row>
    <x:row r="145">
      <x:c r="A145" s="114"/>
      <x:c r="B145" s="108"/>
      <x:c r="C145" s="113"/>
      <x:c r="D145" s="106"/>
      <x:c r="E145" s="105" t="s">
        <x:v>1522</x:v>
      </x:c>
      <x:c r="F145" s="107"/>
      <x:c r="G145" s="118" t="n">
        <x:f>890/G144</x:f>
        <x:v>0.9663409337676439</x:v>
      </x:c>
      <x:c r="H145" s="106"/>
      <x:c r="I145" s="106"/>
    </x:row>
    <x:row r="146">
      <x:c r="A146" s="87"/>
      <x:c r="F146" s="85"/>
    </x:row>
    <x:row r="147">
      <x:c r="A147" s="114">
        <x:v>46070.0</x:v>
      </x:c>
      <x:c r="B147" s="105" t="s">
        <x:v>1510</x:v>
      </x:c>
      <x:c r="C147" s="105">
        <x:v>33.0</x:v>
      </x:c>
      <x:c r="D147" s="106"/>
      <x:c r="E147" s="105" t="s">
        <x:v>1512</x:v>
      </x:c>
      <x:c r="F147" s="107" t="n">
        <x:f>5*26500</x:f>
        <x:v>132500</x:v>
      </x:c>
      <x:c r="G147" s="107" t="n">
        <x:f t="shared" ref="G147:G155" si="17">F147*C147</x:f>
        <x:v>4372500</x:v>
      </x:c>
      <x:c r="H147" s="116" t="s">
        <x:v>1507</x:v>
      </x:c>
      <x:c r="I147" s="109" t="n">
        <x:f t="shared" ref="I147:I155" si="18">F147+$F$157/$C$157</x:f>
        <x:v>143531.6379310345</x:v>
      </x:c>
      <x:c r="J147" s="39">
        <x:v>255000.0</x:v>
      </x:c>
      <x:c r="K147" s="85" t="n">
        <x:f>(J147-I147)*11</x:f>
        <x:v>1226151.9827586205</x:v>
      </x:c>
    </x:row>
    <x:row r="148">
      <x:c r="B148" s="105" t="s">
        <x:v>1508</x:v>
      </x:c>
      <x:c r="C148" s="105">
        <x:v>10.0</x:v>
      </x:c>
      <x:c r="D148" s="106"/>
      <x:c r="E148" s="106"/>
      <x:c r="F148" s="107" t="n">
        <x:f>6*26500</x:f>
        <x:v>159000</x:v>
      </x:c>
      <x:c r="G148" s="107">
        <x:f t="shared" si="17"/>
        <x:v>1590000</x:v>
      </x:c>
      <x:c r="I148" s="109">
        <x:f t="shared" si="18"/>
        <x:v>170031.6379</x:v>
      </x:c>
      <x:c r="J148" s="39">
        <x:v>305000.0</x:v>
      </x:c>
      <x:c r="K148" s="85" t="n">
        <x:f t="shared" ref="K148:K155" si="19">(J148-I148)*C148</x:f>
        <x:v>1349683.621</x:v>
      </x:c>
    </x:row>
    <x:row r="149">
      <x:c r="B149" s="105" t="s">
        <x:v>9</x:v>
      </x:c>
      <x:c r="C149" s="105">
        <x:v>20.0</x:v>
      </x:c>
      <x:c r="D149" s="106"/>
      <x:c r="E149" s="106"/>
      <x:c r="F149" s="107" t="n">
        <x:f>8*26500</x:f>
        <x:v>212000</x:v>
      </x:c>
      <x:c r="G149" s="107">
        <x:f t="shared" si="17"/>
        <x:v>4240000</x:v>
      </x:c>
      <x:c r="I149" s="109">
        <x:f t="shared" si="18"/>
        <x:v>223031.6379</x:v>
      </x:c>
      <x:c r="J149" s="39">
        <x:v>495000.0</x:v>
      </x:c>
      <x:c r="K149" s="85">
        <x:f t="shared" si="19"/>
        <x:v>5439367.241</x:v>
      </x:c>
    </x:row>
    <x:row r="150">
      <x:c r="B150" s="105" t="s">
        <x:v>8</x:v>
      </x:c>
      <x:c r="C150" s="105">
        <x:v>15.0</x:v>
      </x:c>
      <x:c r="D150" s="106"/>
      <x:c r="E150" s="106"/>
      <x:c r="F150" s="107" t="n">
        <x:f>9*26500</x:f>
        <x:v>238500</x:v>
      </x:c>
      <x:c r="G150" s="107">
        <x:f t="shared" si="17"/>
        <x:v>3577500</x:v>
      </x:c>
      <x:c r="I150" s="109">
        <x:f t="shared" si="18"/>
        <x:v>249531.6379</x:v>
      </x:c>
      <x:c r="J150" s="39">
        <x:v>522000.0</x:v>
      </x:c>
      <x:c r="K150" s="85">
        <x:f t="shared" si="19"/>
        <x:v>4087025.431</x:v>
      </x:c>
    </x:row>
    <x:row r="151">
      <x:c r="B151" s="105" t="s">
        <x:v>14</x:v>
      </x:c>
      <x:c r="C151" s="105">
        <x:v>12.0</x:v>
      </x:c>
      <x:c r="D151" s="106"/>
      <x:c r="E151" s="106"/>
      <x:c r="F151" s="107" t="n">
        <x:f>8*26500</x:f>
        <x:v>212000</x:v>
      </x:c>
      <x:c r="G151" s="107">
        <x:f t="shared" si="17"/>
        <x:v>2544000</x:v>
      </x:c>
      <x:c r="I151" s="109">
        <x:f t="shared" si="18"/>
        <x:v>223031.6379</x:v>
      </x:c>
      <x:c r="J151" s="39">
        <x:v>430000.0</x:v>
      </x:c>
      <x:c r="K151" s="85">
        <x:f t="shared" si="19"/>
        <x:v>2483620.345</x:v>
      </x:c>
    </x:row>
    <x:row r="152">
      <x:c r="B152" s="105" t="s">
        <x:v>11</x:v>
      </x:c>
      <x:c r="C152" s="105">
        <x:v>11.0</x:v>
      </x:c>
      <x:c r="D152" s="106"/>
      <x:c r="E152" s="106"/>
      <x:c r="F152" s="107" t="n">
        <x:f>15*26500</x:f>
        <x:v>397500</x:v>
      </x:c>
      <x:c r="G152" s="107">
        <x:f t="shared" si="17"/>
        <x:v>4372500</x:v>
      </x:c>
      <x:c r="I152" s="109">
        <x:f t="shared" si="18"/>
        <x:v>408531.6379</x:v>
      </x:c>
      <x:c r="J152" s="39">
        <x:v>620000.0</x:v>
      </x:c>
      <x:c r="K152" s="85">
        <x:f t="shared" si="19"/>
        <x:v>2326151.983</x:v>
      </x:c>
    </x:row>
    <x:row r="153">
      <x:c r="B153" s="105" t="s">
        <x:v>324</x:v>
      </x:c>
      <x:c r="C153" s="105">
        <x:v>5.0</x:v>
      </x:c>
      <x:c r="D153" s="106"/>
      <x:c r="E153" s="106"/>
      <x:c r="F153" s="107" t="n">
        <x:f>5*26500</x:f>
        <x:v>132500</x:v>
      </x:c>
      <x:c r="G153" s="107">
        <x:f t="shared" si="17"/>
        <x:v>662500</x:v>
      </x:c>
      <x:c r="I153" s="109">
        <x:f t="shared" si="18"/>
        <x:v>143531.6379</x:v>
      </x:c>
      <x:c r="J153" s="39">
        <x:v>270000.0</x:v>
      </x:c>
      <x:c r="K153" s="85">
        <x:f t="shared" si="19"/>
        <x:v>632341.8103</x:v>
      </x:c>
    </x:row>
    <x:row r="154">
      <x:c r="B154" s="105" t="s">
        <x:v>1516</x:v>
      </x:c>
      <x:c r="C154" s="105">
        <x:v>5.0</x:v>
      </x:c>
      <x:c r="D154" s="106"/>
      <x:c r="E154" s="106"/>
      <x:c r="F154" s="107" t="n">
        <x:f t="shared" ref="F154:F155" si="20">6*26500</x:f>
        <x:v>159000</x:v>
      </x:c>
      <x:c r="G154" s="107">
        <x:f t="shared" si="17"/>
        <x:v>795000</x:v>
      </x:c>
      <x:c r="I154" s="109">
        <x:f t="shared" si="18"/>
        <x:v>170031.6379</x:v>
      </x:c>
      <x:c r="J154" s="39">
        <x:v>290000.0</x:v>
      </x:c>
      <x:c r="K154" s="85">
        <x:f t="shared" si="19"/>
        <x:v>599841.8103</x:v>
      </x:c>
    </x:row>
    <x:row r="155">
      <x:c r="B155" s="105" t="s">
        <x:v>1517</x:v>
      </x:c>
      <x:c r="C155" s="105">
        <x:v>5.0</x:v>
      </x:c>
      <x:c r="D155" s="106"/>
      <x:c r="E155" s="106"/>
      <x:c r="F155" s="107">
        <x:f t="shared" si="20"/>
        <x:v>159000</x:v>
      </x:c>
      <x:c r="G155" s="107">
        <x:f t="shared" si="17"/>
        <x:v>795000</x:v>
      </x:c>
      <x:c r="I155" s="109">
        <x:f t="shared" si="18"/>
        <x:v>170031.6379</x:v>
      </x:c>
      <x:c r="J155" s="39">
        <x:v>290000.0</x:v>
      </x:c>
      <x:c r="K155" s="85">
        <x:f t="shared" si="19"/>
        <x:v>599841.8103</x:v>
      </x:c>
    </x:row>
    <x:row r="156">
      <x:c r="B156" s="105"/>
      <x:c r="C156" s="105"/>
      <x:c r="D156" s="106"/>
      <x:c r="E156" s="106"/>
      <x:c r="F156" s="107"/>
      <x:c r="G156" s="106"/>
      <x:c r="H156" s="106"/>
      <x:c r="I156" s="106"/>
    </x:row>
    <x:row r="157">
      <x:c r="B157" s="108" t="s">
        <x:v>1506</x:v>
      </x:c>
      <x:c r="C157" s="113" t="n">
        <x:f>SUM(C147:C155)</x:f>
        <x:v>116</x:v>
      </x:c>
      <x:c r="D157" s="106"/>
      <x:c r="E157" s="105" t="s">
        <x:v>1502</x:v>
      </x:c>
      <x:c r="F157" s="107" t="n">
        <x:f>14.78*26500+888000</x:f>
        <x:v>1279670</x:v>
      </x:c>
      <x:c r="G157" s="107" t="n">
        <x:f>SUM(G147:G155)/26500</x:f>
        <x:v>866</x:v>
      </x:c>
      <x:c r="H157" s="106"/>
      <x:c r="I157" s="106"/>
    </x:row>
    <x:row r="158">
      <x:c r="A158" s="87"/>
      <x:c r="F158" s="85"/>
    </x:row>
    <x:row r="159">
      <x:c r="A159" s="114">
        <x:v>46097.0</x:v>
      </x:c>
      <x:c r="B159" s="105" t="s">
        <x:v>9</x:v>
      </x:c>
      <x:c r="C159" s="105">
        <x:v>20.0</x:v>
      </x:c>
      <x:c r="D159" s="106"/>
      <x:c r="E159" s="105" t="s">
        <x:v>1512</x:v>
      </x:c>
      <x:c r="F159" s="107" t="n">
        <x:f t="shared" ref="F159:F161" si="21">G159/C159</x:f>
        <x:v>423735</x:v>
      </x:c>
      <x:c r="G159" s="107" t="n">
        <x:f>(319.8*26500)</x:f>
        <x:v>8474700</x:v>
      </x:c>
      <x:c r="H159" s="116" t="s">
        <x:v>1507</x:v>
      </x:c>
      <x:c r="I159" s="109" t="n">
        <x:f t="shared" ref="I159:I161" si="22">F159+$F$163/$C$163</x:f>
        <x:v>432735</x:v>
      </x:c>
    </x:row>
    <x:row r="160">
      <x:c r="B160" s="105" t="s">
        <x:v>1523</x:v>
      </x:c>
      <x:c r="C160" s="105">
        <x:v>60.0</x:v>
      </x:c>
      <x:c r="D160" s="106"/>
      <x:c r="E160" s="106"/>
      <x:c r="F160" s="107">
        <x:f t="shared" si="21"/>
        <x:v>210145</x:v>
      </x:c>
      <x:c r="G160" s="107" t="n">
        <x:f>475.8*26500</x:f>
        <x:v>12608700</x:v>
      </x:c>
      <x:c r="I160" s="109">
        <x:f t="shared" si="22"/>
        <x:v>219145</x:v>
      </x:c>
    </x:row>
    <x:row r="161">
      <x:c r="B161" s="105" t="s">
        <x:v>1524</x:v>
      </x:c>
      <x:c r="C161" s="105">
        <x:v>20.0</x:v>
      </x:c>
      <x:c r="D161" s="106"/>
      <x:c r="E161" s="106"/>
      <x:c r="F161" s="107">
        <x:f t="shared" si="21"/>
        <x:v>211470</x:v>
      </x:c>
      <x:c r="G161" s="107" t="n">
        <x:f>159.6*26500</x:f>
        <x:v>4229400</x:v>
      </x:c>
      <x:c r="I161" s="109">
        <x:f t="shared" si="22"/>
        <x:v>220470</x:v>
      </x:c>
    </x:row>
    <x:row r="162">
      <x:c r="B162" s="105"/>
      <x:c r="C162" s="105"/>
      <x:c r="D162" s="106"/>
      <x:c r="E162" s="106"/>
      <x:c r="F162" s="107"/>
      <x:c r="G162" s="106"/>
      <x:c r="H162" s="106"/>
      <x:c r="I162" s="106"/>
    </x:row>
    <x:row r="163">
      <x:c r="B163" s="108" t="s">
        <x:v>1506</x:v>
      </x:c>
      <x:c r="C163" s="113" t="n">
        <x:f>SUM(C159:C161)</x:f>
        <x:v>100</x:v>
      </x:c>
      <x:c r="D163" s="106"/>
      <x:c r="E163" s="105" t="s">
        <x:v>1502</x:v>
      </x:c>
      <x:c r="F163" s="107" t="n">
        <x:f>900000</x:f>
        <x:v>900000</x:v>
      </x:c>
      <x:c r="G163" s="107" t="n">
        <x:f>SUM(G159:G161)/26500</x:f>
        <x:v>955.2</x:v>
      </x:c>
      <x:c r="H163" s="106"/>
      <x:c r="I163" s="106"/>
    </x:row>
    <x:row r="164">
      <x:c r="A164" s="87"/>
      <x:c r="F164" s="85"/>
    </x:row>
    <x:row r="165">
      <x:c r="A165" s="114"/>
      <x:c r="B165" s="105" t="s">
        <x:v>9</x:v>
      </x:c>
      <x:c r="C165" s="105">
        <x:v>20.0</x:v>
      </x:c>
      <x:c r="D165" s="106"/>
      <x:c r="E165" s="105" t="s">
        <x:v>1512</x:v>
      </x:c>
      <x:c r="F165" s="107" t="n">
        <x:f>8*26500</x:f>
        <x:v>212000</x:v>
      </x:c>
      <x:c r="G165" s="107" t="n">
        <x:f t="shared" ref="G165:G170" si="23">F165*C165</x:f>
        <x:v>4240000</x:v>
      </x:c>
      <x:c r="H165" s="116" t="s">
        <x:v>1507</x:v>
      </x:c>
      <x:c r="I165" s="109" t="n">
        <x:f t="shared" ref="I165:I170" si="24">F165+$F$172/$C$172</x:f>
        <x:v>225066.59292035399</x:v>
      </x:c>
    </x:row>
    <x:row r="166">
      <x:c r="B166" s="105" t="s">
        <x:v>8</x:v>
      </x:c>
      <x:c r="C166" s="105">
        <x:v>15.0</x:v>
      </x:c>
      <x:c r="D166" s="106"/>
      <x:c r="E166" s="106"/>
      <x:c r="F166" s="107" t="n">
        <x:f>9*26500</x:f>
        <x:v>238500</x:v>
      </x:c>
      <x:c r="G166" s="107">
        <x:f t="shared" si="23"/>
        <x:v>3577500</x:v>
      </x:c>
      <x:c r="I166" s="109">
        <x:f t="shared" si="24"/>
        <x:v>251566.5929</x:v>
      </x:c>
    </x:row>
    <x:row r="167">
      <x:c r="B167" s="105" t="s">
        <x:v>14</x:v>
      </x:c>
      <x:c r="C167" s="105">
        <x:v>18.0</x:v>
      </x:c>
      <x:c r="D167" s="106"/>
      <x:c r="E167" s="106"/>
      <x:c r="F167" s="107" t="n">
        <x:f>8*26500</x:f>
        <x:v>212000</x:v>
      </x:c>
      <x:c r="G167" s="107">
        <x:f t="shared" si="23"/>
        <x:v>3816000</x:v>
      </x:c>
      <x:c r="I167" s="109">
        <x:f t="shared" si="24"/>
        <x:v>225066.5929</x:v>
      </x:c>
    </x:row>
    <x:row r="168">
      <x:c r="B168" s="105" t="s">
        <x:v>324</x:v>
      </x:c>
      <x:c r="C168" s="105">
        <x:v>20.0</x:v>
      </x:c>
      <x:c r="D168" s="106"/>
      <x:c r="E168" s="106"/>
      <x:c r="F168" s="107" t="n">
        <x:f>5*26500</x:f>
        <x:v>132500</x:v>
      </x:c>
      <x:c r="G168" s="107">
        <x:f t="shared" si="23"/>
        <x:v>2650000</x:v>
      </x:c>
      <x:c r="I168" s="109">
        <x:f t="shared" si="24"/>
        <x:v>145566.5929</x:v>
      </x:c>
    </x:row>
    <x:row r="169">
      <x:c r="B169" s="105" t="s">
        <x:v>1516</x:v>
      </x:c>
      <x:c r="C169" s="105">
        <x:v>20.0</x:v>
      </x:c>
      <x:c r="D169" s="106"/>
      <x:c r="E169" s="106"/>
      <x:c r="F169" s="107" t="n">
        <x:f t="shared" ref="F169:F170" si="25">6*26500</x:f>
        <x:v>159000</x:v>
      </x:c>
      <x:c r="G169" s="107">
        <x:f t="shared" si="23"/>
        <x:v>3180000</x:v>
      </x:c>
      <x:c r="I169" s="109">
        <x:f t="shared" si="24"/>
        <x:v>172066.5929</x:v>
      </x:c>
    </x:row>
    <x:row r="170">
      <x:c r="B170" s="105" t="s">
        <x:v>1517</x:v>
      </x:c>
      <x:c r="C170" s="105">
        <x:v>20.0</x:v>
      </x:c>
      <x:c r="D170" s="106"/>
      <x:c r="E170" s="106"/>
      <x:c r="F170" s="107">
        <x:f t="shared" si="25"/>
        <x:v>159000</x:v>
      </x:c>
      <x:c r="G170" s="107">
        <x:f t="shared" si="23"/>
        <x:v>3180000</x:v>
      </x:c>
      <x:c r="I170" s="109">
        <x:f t="shared" si="24"/>
        <x:v>172066.5929</x:v>
      </x:c>
    </x:row>
    <x:row r="171">
      <x:c r="B171" s="105"/>
      <x:c r="C171" s="105"/>
      <x:c r="D171" s="106"/>
      <x:c r="E171" s="106"/>
      <x:c r="F171" s="107"/>
      <x:c r="G171" s="106"/>
      <x:c r="H171" s="106"/>
      <x:c r="I171" s="106"/>
    </x:row>
    <x:row r="172">
      <x:c r="B172" s="108" t="s">
        <x:v>1506</x:v>
      </x:c>
      <x:c r="C172" s="113" t="n">
        <x:f>SUM(C165:C170)</x:f>
        <x:v>113</x:v>
      </x:c>
      <x:c r="D172" s="106"/>
      <x:c r="E172" s="105" t="s">
        <x:v>1502</x:v>
      </x:c>
      <x:c r="F172" s="107" t="n">
        <x:f>16.85*26500+1030000</x:f>
        <x:v>1476525</x:v>
      </x:c>
      <x:c r="G172" s="107" t="n">
        <x:f>SUM(G165:G170)/26500</x:f>
        <x:v>779</x:v>
      </x:c>
      <x:c r="H172" s="106"/>
      <x:c r="I172" s="106"/>
    </x:row>
    <x:row r="173">
      <x:c r="A173" s="87"/>
      <x:c r="F173" s="85"/>
    </x:row>
    <x:row r="174">
      <x:c r="A174" s="87"/>
      <x:c r="F174" s="85"/>
    </x:row>
    <x:row r="175">
      <x:c r="A175" s="87"/>
      <x:c r="F175" s="85"/>
    </x:row>
    <x:row r="176">
      <x:c r="A176" s="87"/>
      <x:c r="F176" s="85"/>
    </x:row>
    <x:row r="177">
      <x:c r="A177" s="87"/>
      <x:c r="F177" s="85"/>
    </x:row>
    <x:row r="178">
      <x:c r="A178" s="87"/>
      <x:c r="F178" s="85"/>
    </x:row>
    <x:row r="179">
      <x:c r="A179" s="87"/>
      <x:c r="F179" s="85"/>
    </x:row>
    <x:row r="180">
      <x:c r="A180" s="87"/>
      <x:c r="F180" s="85"/>
    </x:row>
    <x:row r="181">
      <x:c r="A181" s="87"/>
      <x:c r="F181" s="85"/>
    </x:row>
    <x:row r="182">
      <x:c r="A182" s="87"/>
      <x:c r="F182" s="85"/>
    </x:row>
    <x:row r="183">
      <x:c r="A183" s="87"/>
      <x:c r="F183" s="85"/>
    </x:row>
    <x:row r="184">
      <x:c r="A184" s="87"/>
      <x:c r="F184" s="85"/>
    </x:row>
    <x:row r="185">
      <x:c r="A185" s="87"/>
      <x:c r="F185" s="85"/>
    </x:row>
    <x:row r="186">
      <x:c r="A186" s="87"/>
      <x:c r="F186" s="85"/>
    </x:row>
    <x:row r="187">
      <x:c r="A187" s="87"/>
      <x:c r="F187" s="85"/>
    </x:row>
    <x:row r="188">
      <x:c r="A188" s="87"/>
      <x:c r="F188" s="85"/>
    </x:row>
    <x:row r="189">
      <x:c r="A189" s="87"/>
      <x:c r="F189" s="85"/>
    </x:row>
    <x:row r="190">
      <x:c r="A190" s="87"/>
      <x:c r="F190" s="85"/>
    </x:row>
    <x:row r="191">
      <x:c r="A191" s="87"/>
      <x:c r="F191" s="85"/>
    </x:row>
    <x:row r="192">
      <x:c r="A192" s="87"/>
      <x:c r="F192" s="85"/>
    </x:row>
    <x:row r="193">
      <x:c r="A193" s="87"/>
      <x:c r="F193" s="85"/>
    </x:row>
    <x:row r="194">
      <x:c r="A194" s="87"/>
      <x:c r="F194" s="85"/>
    </x:row>
    <x:row r="195">
      <x:c r="A195" s="87"/>
      <x:c r="F195" s="85"/>
    </x:row>
    <x:row r="196">
      <x:c r="A196" s="87"/>
      <x:c r="F196" s="85"/>
    </x:row>
    <x:row r="197">
      <x:c r="A197" s="87"/>
      <x:c r="F197" s="85"/>
    </x:row>
    <x:row r="198">
      <x:c r="A198" s="87"/>
      <x:c r="F198" s="85"/>
    </x:row>
    <x:row r="199">
      <x:c r="A199" s="87"/>
      <x:c r="F199" s="85"/>
    </x:row>
    <x:row r="200">
      <x:c r="A200" s="87"/>
      <x:c r="F200" s="85"/>
    </x:row>
    <x:row r="201">
      <x:c r="A201" s="87"/>
      <x:c r="F201" s="85"/>
    </x:row>
    <x:row r="202">
      <x:c r="A202" s="87"/>
      <x:c r="F202" s="85"/>
    </x:row>
    <x:row r="203">
      <x:c r="A203" s="87"/>
      <x:c r="F203" s="85"/>
    </x:row>
    <x:row r="204">
      <x:c r="A204" s="87"/>
      <x:c r="F204" s="85"/>
    </x:row>
    <x:row r="205">
      <x:c r="A205" s="87"/>
      <x:c r="F205" s="85"/>
    </x:row>
    <x:row r="206">
      <x:c r="A206" s="87"/>
      <x:c r="F206" s="85"/>
    </x:row>
    <x:row r="207">
      <x:c r="A207" s="87"/>
      <x:c r="F207" s="85"/>
    </x:row>
    <x:row r="208">
      <x:c r="A208" s="87"/>
      <x:c r="F208" s="85"/>
    </x:row>
    <x:row r="209">
      <x:c r="A209" s="87"/>
      <x:c r="F209" s="85"/>
    </x:row>
    <x:row r="210">
      <x:c r="A210" s="87"/>
      <x:c r="F210" s="85"/>
    </x:row>
    <x:row r="211">
      <x:c r="A211" s="87"/>
      <x:c r="F211" s="85"/>
    </x:row>
    <x:row r="212">
      <x:c r="A212" s="87"/>
      <x:c r="F212" s="85"/>
    </x:row>
    <x:row r="213">
      <x:c r="A213" s="87"/>
      <x:c r="F213" s="85"/>
    </x:row>
    <x:row r="214">
      <x:c r="A214" s="87"/>
      <x:c r="F214" s="85"/>
    </x:row>
    <x:row r="215">
      <x:c r="A215" s="87"/>
      <x:c r="F215" s="85"/>
    </x:row>
    <x:row r="216">
      <x:c r="A216" s="87"/>
      <x:c r="F216" s="85"/>
    </x:row>
    <x:row r="217">
      <x:c r="A217" s="87"/>
      <x:c r="F217" s="85"/>
    </x:row>
    <x:row r="218">
      <x:c r="A218" s="87"/>
      <x:c r="F218" s="85"/>
    </x:row>
    <x:row r="219">
      <x:c r="A219" s="87"/>
      <x:c r="F219" s="85"/>
    </x:row>
    <x:row r="220">
      <x:c r="A220" s="87"/>
      <x:c r="F220" s="85"/>
    </x:row>
    <x:row r="221">
      <x:c r="A221" s="87"/>
      <x:c r="F221" s="85"/>
    </x:row>
    <x:row r="222">
      <x:c r="A222" s="87"/>
      <x:c r="F222" s="85"/>
    </x:row>
    <x:row r="223">
      <x:c r="A223" s="87"/>
      <x:c r="F223" s="85"/>
    </x:row>
    <x:row r="224">
      <x:c r="A224" s="87"/>
      <x:c r="F224" s="85"/>
    </x:row>
    <x:row r="225">
      <x:c r="A225" s="87"/>
      <x:c r="F225" s="85"/>
    </x:row>
    <x:row r="226">
      <x:c r="A226" s="87"/>
      <x:c r="F226" s="85"/>
    </x:row>
    <x:row r="227">
      <x:c r="A227" s="87"/>
      <x:c r="F227" s="85"/>
    </x:row>
    <x:row r="228">
      <x:c r="A228" s="87"/>
      <x:c r="F228" s="85"/>
    </x:row>
    <x:row r="229">
      <x:c r="A229" s="87"/>
      <x:c r="F229" s="85"/>
    </x:row>
    <x:row r="230">
      <x:c r="A230" s="87"/>
      <x:c r="F230" s="85"/>
    </x:row>
    <x:row r="231">
      <x:c r="A231" s="87"/>
      <x:c r="F231" s="85"/>
    </x:row>
    <x:row r="232">
      <x:c r="A232" s="87"/>
      <x:c r="F232" s="85"/>
    </x:row>
    <x:row r="233">
      <x:c r="A233" s="87"/>
      <x:c r="F233" s="85"/>
    </x:row>
    <x:row r="234">
      <x:c r="A234" s="87"/>
      <x:c r="F234" s="85"/>
    </x:row>
    <x:row r="235">
      <x:c r="A235" s="87"/>
      <x:c r="F235" s="85"/>
    </x:row>
    <x:row r="236">
      <x:c r="A236" s="87"/>
      <x:c r="F236" s="85"/>
    </x:row>
    <x:row r="237">
      <x:c r="A237" s="87"/>
      <x:c r="F237" s="85"/>
    </x:row>
    <x:row r="238">
      <x:c r="A238" s="87"/>
      <x:c r="F238" s="85"/>
    </x:row>
    <x:row r="239">
      <x:c r="A239" s="87"/>
      <x:c r="F239" s="85"/>
    </x:row>
    <x:row r="240">
      <x:c r="A240" s="87"/>
      <x:c r="F240" s="85"/>
    </x:row>
    <x:row r="241">
      <x:c r="A241" s="87"/>
      <x:c r="F241" s="85"/>
    </x:row>
    <x:row r="242">
      <x:c r="A242" s="87"/>
      <x:c r="F242" s="85"/>
    </x:row>
    <x:row r="243">
      <x:c r="A243" s="87"/>
      <x:c r="F243" s="85"/>
    </x:row>
    <x:row r="244">
      <x:c r="A244" s="87"/>
      <x:c r="F244" s="85"/>
    </x:row>
    <x:row r="245">
      <x:c r="A245" s="87"/>
      <x:c r="F245" s="85"/>
    </x:row>
    <x:row r="246">
      <x:c r="A246" s="87"/>
      <x:c r="F246" s="85"/>
    </x:row>
    <x:row r="247">
      <x:c r="A247" s="87"/>
      <x:c r="F247" s="85"/>
    </x:row>
    <x:row r="248">
      <x:c r="A248" s="87"/>
      <x:c r="F248" s="85"/>
    </x:row>
    <x:row r="249">
      <x:c r="A249" s="87"/>
      <x:c r="F249" s="85"/>
    </x:row>
    <x:row r="250">
      <x:c r="A250" s="87"/>
      <x:c r="F250" s="85"/>
    </x:row>
    <x:row r="251">
      <x:c r="A251" s="87"/>
      <x:c r="F251" s="85"/>
    </x:row>
    <x:row r="252">
      <x:c r="A252" s="87"/>
      <x:c r="F252" s="85"/>
    </x:row>
    <x:row r="253">
      <x:c r="A253" s="87"/>
      <x:c r="F253" s="85"/>
    </x:row>
    <x:row r="254">
      <x:c r="A254" s="87"/>
      <x:c r="F254" s="85"/>
    </x:row>
    <x:row r="255">
      <x:c r="A255" s="87"/>
      <x:c r="F255" s="85"/>
    </x:row>
    <x:row r="256">
      <x:c r="A256" s="87"/>
      <x:c r="F256" s="85"/>
    </x:row>
    <x:row r="257">
      <x:c r="A257" s="87"/>
      <x:c r="F257" s="85"/>
    </x:row>
    <x:row r="258">
      <x:c r="A258" s="87"/>
      <x:c r="F258" s="85"/>
    </x:row>
    <x:row r="259">
      <x:c r="A259" s="87"/>
      <x:c r="F259" s="85"/>
    </x:row>
    <x:row r="260">
      <x:c r="A260" s="87"/>
      <x:c r="F260" s="85"/>
    </x:row>
    <x:row r="261">
      <x:c r="A261" s="87"/>
      <x:c r="F261" s="85"/>
    </x:row>
    <x:row r="262">
      <x:c r="A262" s="87"/>
      <x:c r="F262" s="85"/>
    </x:row>
    <x:row r="263">
      <x:c r="A263" s="87"/>
      <x:c r="F263" s="85"/>
    </x:row>
    <x:row r="264">
      <x:c r="A264" s="87"/>
      <x:c r="F264" s="85"/>
    </x:row>
    <x:row r="265">
      <x:c r="A265" s="87"/>
      <x:c r="F265" s="85"/>
    </x:row>
    <x:row r="266">
      <x:c r="A266" s="87"/>
      <x:c r="F266" s="85"/>
    </x:row>
    <x:row r="267">
      <x:c r="A267" s="87"/>
      <x:c r="F267" s="85"/>
    </x:row>
    <x:row r="268">
      <x:c r="A268" s="87"/>
      <x:c r="F268" s="85"/>
    </x:row>
    <x:row r="269">
      <x:c r="A269" s="87"/>
      <x:c r="F269" s="85"/>
    </x:row>
    <x:row r="270">
      <x:c r="A270" s="87"/>
      <x:c r="F270" s="85"/>
    </x:row>
    <x:row r="271">
      <x:c r="A271" s="87"/>
      <x:c r="F271" s="85"/>
    </x:row>
    <x:row r="272">
      <x:c r="A272" s="87"/>
      <x:c r="F272" s="85"/>
    </x:row>
    <x:row r="273">
      <x:c r="A273" s="87"/>
      <x:c r="F273" s="85"/>
    </x:row>
    <x:row r="274">
      <x:c r="A274" s="87"/>
      <x:c r="F274" s="85"/>
    </x:row>
    <x:row r="275">
      <x:c r="A275" s="87"/>
      <x:c r="F275" s="85"/>
    </x:row>
    <x:row r="276">
      <x:c r="A276" s="87"/>
      <x:c r="F276" s="85"/>
    </x:row>
    <x:row r="277">
      <x:c r="A277" s="87"/>
      <x:c r="F277" s="85"/>
    </x:row>
    <x:row r="278">
      <x:c r="A278" s="87"/>
      <x:c r="F278" s="85"/>
    </x:row>
    <x:row r="279">
      <x:c r="A279" s="87"/>
      <x:c r="F279" s="85"/>
    </x:row>
    <x:row r="280">
      <x:c r="A280" s="87"/>
      <x:c r="F280" s="85"/>
    </x:row>
    <x:row r="281">
      <x:c r="A281" s="87"/>
      <x:c r="F281" s="85"/>
    </x:row>
    <x:row r="282">
      <x:c r="A282" s="87"/>
      <x:c r="F282" s="85"/>
    </x:row>
    <x:row r="283">
      <x:c r="A283" s="87"/>
      <x:c r="F283" s="85"/>
    </x:row>
    <x:row r="284">
      <x:c r="A284" s="87"/>
      <x:c r="F284" s="85"/>
    </x:row>
    <x:row r="285">
      <x:c r="A285" s="87"/>
      <x:c r="F285" s="85"/>
    </x:row>
    <x:row r="286">
      <x:c r="A286" s="87"/>
      <x:c r="F286" s="85"/>
    </x:row>
    <x:row r="287">
      <x:c r="A287" s="87"/>
      <x:c r="F287" s="85"/>
    </x:row>
    <x:row r="288">
      <x:c r="A288" s="87"/>
      <x:c r="F288" s="85"/>
    </x:row>
    <x:row r="289">
      <x:c r="A289" s="87"/>
      <x:c r="F289" s="85"/>
    </x:row>
    <x:row r="290">
      <x:c r="A290" s="87"/>
      <x:c r="F290" s="85"/>
    </x:row>
    <x:row r="291">
      <x:c r="A291" s="87"/>
      <x:c r="F291" s="85"/>
    </x:row>
    <x:row r="292">
      <x:c r="A292" s="87"/>
      <x:c r="F292" s="85"/>
    </x:row>
    <x:row r="293">
      <x:c r="A293" s="87"/>
      <x:c r="F293" s="85"/>
    </x:row>
    <x:row r="294">
      <x:c r="A294" s="87"/>
      <x:c r="F294" s="85"/>
    </x:row>
    <x:row r="295">
      <x:c r="A295" s="87"/>
      <x:c r="F295" s="85"/>
    </x:row>
    <x:row r="296">
      <x:c r="A296" s="87"/>
      <x:c r="F296" s="85"/>
    </x:row>
    <x:row r="297">
      <x:c r="A297" s="87"/>
      <x:c r="F297" s="85"/>
    </x:row>
    <x:row r="298">
      <x:c r="A298" s="87"/>
      <x:c r="F298" s="85"/>
    </x:row>
    <x:row r="299">
      <x:c r="A299" s="87"/>
      <x:c r="F299" s="85"/>
    </x:row>
    <x:row r="300">
      <x:c r="A300" s="87"/>
      <x:c r="F300" s="85"/>
    </x:row>
    <x:row r="301">
      <x:c r="A301" s="87"/>
      <x:c r="F301" s="85"/>
    </x:row>
    <x:row r="302">
      <x:c r="A302" s="87"/>
      <x:c r="F302" s="85"/>
    </x:row>
    <x:row r="303">
      <x:c r="A303" s="87"/>
      <x:c r="F303" s="85"/>
    </x:row>
    <x:row r="304">
      <x:c r="A304" s="87"/>
      <x:c r="F304" s="85"/>
    </x:row>
    <x:row r="305">
      <x:c r="A305" s="87"/>
      <x:c r="F305" s="85"/>
    </x:row>
    <x:row r="306">
      <x:c r="A306" s="87"/>
      <x:c r="F306" s="85"/>
    </x:row>
    <x:row r="307">
      <x:c r="A307" s="87"/>
      <x:c r="F307" s="85"/>
    </x:row>
    <x:row r="308">
      <x:c r="A308" s="87"/>
      <x:c r="F308" s="85"/>
    </x:row>
    <x:row r="309">
      <x:c r="A309" s="87"/>
      <x:c r="F309" s="85"/>
    </x:row>
    <x:row r="310">
      <x:c r="A310" s="87"/>
      <x:c r="F310" s="85"/>
    </x:row>
    <x:row r="311">
      <x:c r="A311" s="87"/>
      <x:c r="F311" s="85"/>
    </x:row>
    <x:row r="312">
      <x:c r="A312" s="87"/>
      <x:c r="F312" s="85"/>
    </x:row>
    <x:row r="313">
      <x:c r="A313" s="87"/>
      <x:c r="F313" s="85"/>
    </x:row>
    <x:row r="314">
      <x:c r="A314" s="87"/>
      <x:c r="F314" s="85"/>
    </x:row>
    <x:row r="315">
      <x:c r="A315" s="87"/>
      <x:c r="F315" s="85"/>
    </x:row>
    <x:row r="316">
      <x:c r="A316" s="87"/>
      <x:c r="F316" s="85"/>
    </x:row>
    <x:row r="317">
      <x:c r="A317" s="87"/>
      <x:c r="F317" s="85"/>
    </x:row>
    <x:row r="318">
      <x:c r="A318" s="87"/>
      <x:c r="F318" s="85"/>
    </x:row>
    <x:row r="319">
      <x:c r="A319" s="87"/>
      <x:c r="F319" s="85"/>
    </x:row>
    <x:row r="320">
      <x:c r="A320" s="87"/>
      <x:c r="F320" s="85"/>
    </x:row>
    <x:row r="321">
      <x:c r="A321" s="87"/>
      <x:c r="F321" s="85"/>
    </x:row>
    <x:row r="322">
      <x:c r="A322" s="87"/>
      <x:c r="F322" s="85"/>
    </x:row>
    <x:row r="323">
      <x:c r="A323" s="87"/>
      <x:c r="F323" s="85"/>
    </x:row>
    <x:row r="324">
      <x:c r="A324" s="87"/>
      <x:c r="F324" s="85"/>
    </x:row>
    <x:row r="325">
      <x:c r="A325" s="87"/>
      <x:c r="F325" s="85"/>
    </x:row>
    <x:row r="326">
      <x:c r="A326" s="87"/>
      <x:c r="F326" s="85"/>
    </x:row>
    <x:row r="327">
      <x:c r="A327" s="87"/>
      <x:c r="F327" s="85"/>
    </x:row>
    <x:row r="328">
      <x:c r="A328" s="87"/>
      <x:c r="F328" s="85"/>
    </x:row>
    <x:row r="329">
      <x:c r="A329" s="87"/>
      <x:c r="F329" s="85"/>
    </x:row>
    <x:row r="330">
      <x:c r="A330" s="87"/>
      <x:c r="F330" s="85"/>
    </x:row>
    <x:row r="331">
      <x:c r="A331" s="87"/>
      <x:c r="F331" s="85"/>
    </x:row>
    <x:row r="332">
      <x:c r="A332" s="87"/>
      <x:c r="F332" s="85"/>
    </x:row>
    <x:row r="333">
      <x:c r="A333" s="87"/>
      <x:c r="F333" s="85"/>
    </x:row>
    <x:row r="334">
      <x:c r="A334" s="87"/>
      <x:c r="F334" s="85"/>
    </x:row>
    <x:row r="335">
      <x:c r="A335" s="87"/>
      <x:c r="F335" s="85"/>
    </x:row>
    <x:row r="336">
      <x:c r="A336" s="87"/>
      <x:c r="F336" s="85"/>
    </x:row>
    <x:row r="337">
      <x:c r="A337" s="87"/>
      <x:c r="F337" s="85"/>
    </x:row>
    <x:row r="338">
      <x:c r="A338" s="87"/>
      <x:c r="F338" s="85"/>
    </x:row>
    <x:row r="339">
      <x:c r="A339" s="87"/>
      <x:c r="F339" s="85"/>
    </x:row>
    <x:row r="340">
      <x:c r="A340" s="87"/>
      <x:c r="F340" s="85"/>
    </x:row>
    <x:row r="341">
      <x:c r="A341" s="87"/>
      <x:c r="F341" s="85"/>
    </x:row>
    <x:row r="342">
      <x:c r="A342" s="87"/>
      <x:c r="F342" s="85"/>
    </x:row>
    <x:row r="343">
      <x:c r="A343" s="87"/>
      <x:c r="F343" s="85"/>
    </x:row>
    <x:row r="344">
      <x:c r="A344" s="87"/>
      <x:c r="F344" s="85"/>
    </x:row>
    <x:row r="345">
      <x:c r="A345" s="87"/>
      <x:c r="F345" s="85"/>
    </x:row>
    <x:row r="346">
      <x:c r="A346" s="87"/>
      <x:c r="F346" s="85"/>
    </x:row>
    <x:row r="347">
      <x:c r="A347" s="87"/>
      <x:c r="F347" s="85"/>
    </x:row>
    <x:row r="348">
      <x:c r="A348" s="87"/>
      <x:c r="F348" s="85"/>
    </x:row>
    <x:row r="349">
      <x:c r="A349" s="87"/>
      <x:c r="F349" s="85"/>
    </x:row>
    <x:row r="350">
      <x:c r="A350" s="87"/>
      <x:c r="F350" s="85"/>
    </x:row>
    <x:row r="351">
      <x:c r="A351" s="87"/>
      <x:c r="F351" s="85"/>
    </x:row>
    <x:row r="352">
      <x:c r="A352" s="87"/>
      <x:c r="F352" s="85"/>
    </x:row>
    <x:row r="353">
      <x:c r="A353" s="87"/>
      <x:c r="F353" s="85"/>
    </x:row>
    <x:row r="354">
      <x:c r="A354" s="87"/>
      <x:c r="F354" s="85"/>
    </x:row>
    <x:row r="355">
      <x:c r="A355" s="87"/>
      <x:c r="F355" s="85"/>
    </x:row>
    <x:row r="356">
      <x:c r="A356" s="87"/>
      <x:c r="F356" s="85"/>
    </x:row>
    <x:row r="357">
      <x:c r="A357" s="87"/>
      <x:c r="F357" s="85"/>
    </x:row>
    <x:row r="358">
      <x:c r="A358" s="87"/>
      <x:c r="F358" s="85"/>
    </x:row>
    <x:row r="359">
      <x:c r="A359" s="87"/>
      <x:c r="F359" s="85"/>
    </x:row>
    <x:row r="360">
      <x:c r="A360" s="87"/>
      <x:c r="F360" s="85"/>
    </x:row>
    <x:row r="361">
      <x:c r="A361" s="87"/>
      <x:c r="F361" s="85"/>
    </x:row>
    <x:row r="362">
      <x:c r="A362" s="87"/>
      <x:c r="F362" s="85"/>
    </x:row>
    <x:row r="363">
      <x:c r="A363" s="87"/>
      <x:c r="F363" s="85"/>
    </x:row>
    <x:row r="364">
      <x:c r="A364" s="87"/>
      <x:c r="F364" s="85"/>
    </x:row>
    <x:row r="365">
      <x:c r="A365" s="87"/>
      <x:c r="F365" s="85"/>
    </x:row>
    <x:row r="366">
      <x:c r="A366" s="87"/>
      <x:c r="F366" s="85"/>
    </x:row>
    <x:row r="367">
      <x:c r="A367" s="87"/>
      <x:c r="F367" s="85"/>
    </x:row>
    <x:row r="368">
      <x:c r="A368" s="87"/>
      <x:c r="F368" s="85"/>
    </x:row>
    <x:row r="369">
      <x:c r="A369" s="87"/>
      <x:c r="F369" s="85"/>
    </x:row>
    <x:row r="370">
      <x:c r="A370" s="87"/>
      <x:c r="F370" s="85"/>
    </x:row>
    <x:row r="371">
      <x:c r="A371" s="87"/>
      <x:c r="F371" s="85"/>
    </x:row>
    <x:row r="372">
      <x:c r="A372" s="87"/>
      <x:c r="F372" s="85"/>
    </x:row>
    <x:row r="373">
      <x:c r="A373" s="87"/>
      <x:c r="F373" s="85"/>
    </x:row>
    <x:row r="374">
      <x:c r="A374" s="87"/>
      <x:c r="F374" s="85"/>
    </x:row>
    <x:row r="375">
      <x:c r="A375" s="87"/>
      <x:c r="F375" s="85"/>
    </x:row>
    <x:row r="376">
      <x:c r="A376" s="87"/>
      <x:c r="F376" s="85"/>
    </x:row>
    <x:row r="377">
      <x:c r="A377" s="87"/>
      <x:c r="F377" s="85"/>
    </x:row>
    <x:row r="378">
      <x:c r="A378" s="87"/>
      <x:c r="F378" s="85"/>
    </x:row>
    <x:row r="379">
      <x:c r="A379" s="87"/>
      <x:c r="F379" s="85"/>
    </x:row>
    <x:row r="380">
      <x:c r="A380" s="87"/>
      <x:c r="F380" s="85"/>
    </x:row>
    <x:row r="381">
      <x:c r="A381" s="87"/>
      <x:c r="F381" s="85"/>
    </x:row>
    <x:row r="382">
      <x:c r="A382" s="87"/>
      <x:c r="F382" s="85"/>
    </x:row>
    <x:row r="383">
      <x:c r="A383" s="87"/>
      <x:c r="F383" s="85"/>
    </x:row>
    <x:row r="384">
      <x:c r="A384" s="87"/>
      <x:c r="F384" s="85"/>
    </x:row>
    <x:row r="385">
      <x:c r="A385" s="87"/>
      <x:c r="F385" s="85"/>
    </x:row>
    <x:row r="386">
      <x:c r="A386" s="87"/>
      <x:c r="F386" s="85"/>
    </x:row>
    <x:row r="387">
      <x:c r="A387" s="87"/>
      <x:c r="F387" s="85"/>
    </x:row>
    <x:row r="388">
      <x:c r="A388" s="87"/>
      <x:c r="F388" s="85"/>
    </x:row>
    <x:row r="389">
      <x:c r="A389" s="87"/>
      <x:c r="F389" s="85"/>
    </x:row>
    <x:row r="390">
      <x:c r="A390" s="87"/>
      <x:c r="F390" s="85"/>
    </x:row>
    <x:row r="391">
      <x:c r="A391" s="87"/>
      <x:c r="F391" s="85"/>
    </x:row>
    <x:row r="392">
      <x:c r="A392" s="87"/>
      <x:c r="F392" s="85"/>
    </x:row>
    <x:row r="393">
      <x:c r="A393" s="87"/>
      <x:c r="F393" s="85"/>
    </x:row>
    <x:row r="394">
      <x:c r="A394" s="87"/>
      <x:c r="F394" s="85"/>
    </x:row>
    <x:row r="395">
      <x:c r="A395" s="87"/>
      <x:c r="F395" s="85"/>
    </x:row>
    <x:row r="396">
      <x:c r="A396" s="87"/>
      <x:c r="F396" s="85"/>
    </x:row>
    <x:row r="397">
      <x:c r="A397" s="87"/>
      <x:c r="F397" s="85"/>
    </x:row>
    <x:row r="398">
      <x:c r="A398" s="87"/>
      <x:c r="F398" s="85"/>
    </x:row>
    <x:row r="399">
      <x:c r="A399" s="87"/>
      <x:c r="F399" s="85"/>
    </x:row>
    <x:row r="400">
      <x:c r="A400" s="87"/>
      <x:c r="F400" s="85"/>
    </x:row>
    <x:row r="401">
      <x:c r="A401" s="87"/>
      <x:c r="F401" s="85"/>
    </x:row>
    <x:row r="402">
      <x:c r="A402" s="87"/>
      <x:c r="F402" s="85"/>
    </x:row>
    <x:row r="403">
      <x:c r="A403" s="87"/>
      <x:c r="F403" s="85"/>
    </x:row>
    <x:row r="404">
      <x:c r="A404" s="87"/>
      <x:c r="F404" s="85"/>
    </x:row>
    <x:row r="405">
      <x:c r="A405" s="87"/>
      <x:c r="F405" s="85"/>
    </x:row>
    <x:row r="406">
      <x:c r="A406" s="87"/>
      <x:c r="F406" s="85"/>
    </x:row>
    <x:row r="407">
      <x:c r="A407" s="87"/>
      <x:c r="F407" s="85"/>
    </x:row>
    <x:row r="408">
      <x:c r="A408" s="87"/>
      <x:c r="F408" s="85"/>
    </x:row>
    <x:row r="409">
      <x:c r="A409" s="87"/>
      <x:c r="F409" s="85"/>
    </x:row>
    <x:row r="410">
      <x:c r="A410" s="87"/>
      <x:c r="F410" s="85"/>
    </x:row>
    <x:row r="411">
      <x:c r="A411" s="87"/>
      <x:c r="F411" s="85"/>
    </x:row>
    <x:row r="412">
      <x:c r="A412" s="87"/>
      <x:c r="F412" s="85"/>
    </x:row>
    <x:row r="413">
      <x:c r="A413" s="87"/>
      <x:c r="F413" s="85"/>
    </x:row>
    <x:row r="414">
      <x:c r="A414" s="87"/>
      <x:c r="F414" s="85"/>
    </x:row>
    <x:row r="415">
      <x:c r="A415" s="87"/>
      <x:c r="F415" s="85"/>
    </x:row>
    <x:row r="416">
      <x:c r="A416" s="87"/>
      <x:c r="F416" s="85"/>
    </x:row>
    <x:row r="417">
      <x:c r="A417" s="87"/>
      <x:c r="F417" s="85"/>
    </x:row>
    <x:row r="418">
      <x:c r="A418" s="87"/>
      <x:c r="F418" s="85"/>
    </x:row>
    <x:row r="419">
      <x:c r="A419" s="87"/>
      <x:c r="F419" s="85"/>
    </x:row>
    <x:row r="420">
      <x:c r="A420" s="87"/>
      <x:c r="F420" s="85"/>
    </x:row>
    <x:row r="421">
      <x:c r="A421" s="87"/>
      <x:c r="F421" s="85"/>
    </x:row>
    <x:row r="422">
      <x:c r="A422" s="87"/>
      <x:c r="F422" s="85"/>
    </x:row>
    <x:row r="423">
      <x:c r="A423" s="87"/>
      <x:c r="F423" s="85"/>
    </x:row>
    <x:row r="424">
      <x:c r="A424" s="87"/>
      <x:c r="F424" s="85"/>
    </x:row>
    <x:row r="425">
      <x:c r="A425" s="87"/>
      <x:c r="F425" s="85"/>
    </x:row>
    <x:row r="426">
      <x:c r="A426" s="87"/>
      <x:c r="F426" s="85"/>
    </x:row>
    <x:row r="427">
      <x:c r="A427" s="87"/>
      <x:c r="F427" s="85"/>
    </x:row>
    <x:row r="428">
      <x:c r="A428" s="87"/>
      <x:c r="F428" s="85"/>
    </x:row>
    <x:row r="429">
      <x:c r="A429" s="87"/>
      <x:c r="F429" s="85"/>
    </x:row>
    <x:row r="430">
      <x:c r="A430" s="87"/>
      <x:c r="F430" s="85"/>
    </x:row>
    <x:row r="431">
      <x:c r="A431" s="87"/>
      <x:c r="F431" s="85"/>
    </x:row>
    <x:row r="432">
      <x:c r="A432" s="87"/>
      <x:c r="F432" s="85"/>
    </x:row>
    <x:row r="433">
      <x:c r="A433" s="87"/>
      <x:c r="F433" s="85"/>
    </x:row>
    <x:row r="434">
      <x:c r="A434" s="87"/>
      <x:c r="F434" s="85"/>
    </x:row>
    <x:row r="435">
      <x:c r="A435" s="87"/>
      <x:c r="F435" s="85"/>
    </x:row>
    <x:row r="436">
      <x:c r="A436" s="87"/>
      <x:c r="F436" s="85"/>
    </x:row>
    <x:row r="437">
      <x:c r="A437" s="87"/>
      <x:c r="F437" s="85"/>
    </x:row>
    <x:row r="438">
      <x:c r="A438" s="87"/>
      <x:c r="F438" s="85"/>
    </x:row>
    <x:row r="439">
      <x:c r="A439" s="87"/>
      <x:c r="F439" s="85"/>
    </x:row>
    <x:row r="440">
      <x:c r="A440" s="87"/>
      <x:c r="F440" s="85"/>
    </x:row>
    <x:row r="441">
      <x:c r="A441" s="87"/>
      <x:c r="F441" s="85"/>
    </x:row>
    <x:row r="442">
      <x:c r="A442" s="87"/>
      <x:c r="F442" s="85"/>
    </x:row>
    <x:row r="443">
      <x:c r="A443" s="87"/>
      <x:c r="F443" s="85"/>
    </x:row>
    <x:row r="444">
      <x:c r="A444" s="87"/>
      <x:c r="F444" s="85"/>
    </x:row>
    <x:row r="445">
      <x:c r="A445" s="87"/>
      <x:c r="F445" s="85"/>
    </x:row>
    <x:row r="446">
      <x:c r="A446" s="87"/>
      <x:c r="F446" s="85"/>
    </x:row>
    <x:row r="447">
      <x:c r="A447" s="87"/>
      <x:c r="F447" s="85"/>
    </x:row>
    <x:row r="448">
      <x:c r="A448" s="87"/>
      <x:c r="F448" s="85"/>
    </x:row>
    <x:row r="449">
      <x:c r="A449" s="87"/>
      <x:c r="F449" s="85"/>
    </x:row>
    <x:row r="450">
      <x:c r="A450" s="87"/>
      <x:c r="F450" s="85"/>
    </x:row>
    <x:row r="451">
      <x:c r="A451" s="87"/>
      <x:c r="F451" s="85"/>
    </x:row>
    <x:row r="452">
      <x:c r="A452" s="87"/>
      <x:c r="F452" s="85"/>
    </x:row>
    <x:row r="453">
      <x:c r="A453" s="87"/>
      <x:c r="F453" s="85"/>
    </x:row>
    <x:row r="454">
      <x:c r="A454" s="87"/>
      <x:c r="F454" s="85"/>
    </x:row>
    <x:row r="455">
      <x:c r="A455" s="87"/>
      <x:c r="F455" s="85"/>
    </x:row>
    <x:row r="456">
      <x:c r="A456" s="87"/>
      <x:c r="F456" s="85"/>
    </x:row>
    <x:row r="457">
      <x:c r="A457" s="87"/>
      <x:c r="F457" s="85"/>
    </x:row>
    <x:row r="458">
      <x:c r="A458" s="87"/>
      <x:c r="F458" s="85"/>
    </x:row>
    <x:row r="459">
      <x:c r="A459" s="87"/>
      <x:c r="F459" s="85"/>
    </x:row>
    <x:row r="460">
      <x:c r="A460" s="87"/>
      <x:c r="F460" s="85"/>
    </x:row>
    <x:row r="461">
      <x:c r="A461" s="87"/>
      <x:c r="F461" s="85"/>
    </x:row>
    <x:row r="462">
      <x:c r="A462" s="87"/>
      <x:c r="F462" s="85"/>
    </x:row>
    <x:row r="463">
      <x:c r="A463" s="87"/>
      <x:c r="F463" s="85"/>
    </x:row>
    <x:row r="464">
      <x:c r="A464" s="87"/>
      <x:c r="F464" s="85"/>
    </x:row>
    <x:row r="465">
      <x:c r="A465" s="87"/>
      <x:c r="F465" s="85"/>
    </x:row>
    <x:row r="466">
      <x:c r="A466" s="87"/>
      <x:c r="F466" s="85"/>
    </x:row>
    <x:row r="467">
      <x:c r="A467" s="87"/>
      <x:c r="F467" s="85"/>
    </x:row>
    <x:row r="468">
      <x:c r="A468" s="87"/>
      <x:c r="F468" s="85"/>
    </x:row>
    <x:row r="469">
      <x:c r="A469" s="87"/>
      <x:c r="F469" s="85"/>
    </x:row>
    <x:row r="470">
      <x:c r="A470" s="87"/>
      <x:c r="F470" s="85"/>
    </x:row>
    <x:row r="471">
      <x:c r="A471" s="87"/>
      <x:c r="F471" s="85"/>
    </x:row>
    <x:row r="472">
      <x:c r="A472" s="87"/>
      <x:c r="F472" s="85"/>
    </x:row>
    <x:row r="473">
      <x:c r="A473" s="87"/>
      <x:c r="F473" s="85"/>
    </x:row>
    <x:row r="474">
      <x:c r="A474" s="87"/>
      <x:c r="F474" s="85"/>
    </x:row>
    <x:row r="475">
      <x:c r="A475" s="87"/>
      <x:c r="F475" s="85"/>
    </x:row>
    <x:row r="476">
      <x:c r="A476" s="87"/>
      <x:c r="F476" s="85"/>
    </x:row>
    <x:row r="477">
      <x:c r="A477" s="87"/>
      <x:c r="F477" s="85"/>
    </x:row>
    <x:row r="478">
      <x:c r="A478" s="87"/>
      <x:c r="F478" s="85"/>
    </x:row>
    <x:row r="479">
      <x:c r="A479" s="87"/>
      <x:c r="F479" s="85"/>
    </x:row>
    <x:row r="480">
      <x:c r="A480" s="87"/>
      <x:c r="F480" s="85"/>
    </x:row>
    <x:row r="481">
      <x:c r="A481" s="87"/>
      <x:c r="F481" s="85"/>
    </x:row>
    <x:row r="482">
      <x:c r="A482" s="87"/>
      <x:c r="F482" s="85"/>
    </x:row>
    <x:row r="483">
      <x:c r="A483" s="87"/>
      <x:c r="F483" s="85"/>
    </x:row>
    <x:row r="484">
      <x:c r="A484" s="87"/>
      <x:c r="F484" s="85"/>
    </x:row>
    <x:row r="485">
      <x:c r="A485" s="87"/>
      <x:c r="F485" s="85"/>
    </x:row>
    <x:row r="486">
      <x:c r="A486" s="87"/>
      <x:c r="F486" s="85"/>
    </x:row>
    <x:row r="487">
      <x:c r="A487" s="87"/>
      <x:c r="F487" s="85"/>
    </x:row>
    <x:row r="488">
      <x:c r="A488" s="87"/>
      <x:c r="F488" s="85"/>
    </x:row>
    <x:row r="489">
      <x:c r="A489" s="87"/>
      <x:c r="F489" s="85"/>
    </x:row>
    <x:row r="490">
      <x:c r="A490" s="87"/>
      <x:c r="F490" s="85"/>
    </x:row>
    <x:row r="491">
      <x:c r="A491" s="87"/>
      <x:c r="F491" s="85"/>
    </x:row>
    <x:row r="492">
      <x:c r="A492" s="87"/>
      <x:c r="F492" s="85"/>
    </x:row>
    <x:row r="493">
      <x:c r="A493" s="87"/>
      <x:c r="F493" s="85"/>
    </x:row>
    <x:row r="494">
      <x:c r="A494" s="87"/>
      <x:c r="F494" s="85"/>
    </x:row>
    <x:row r="495">
      <x:c r="A495" s="87"/>
      <x:c r="F495" s="85"/>
    </x:row>
    <x:row r="496">
      <x:c r="A496" s="87"/>
      <x:c r="F496" s="85"/>
    </x:row>
    <x:row r="497">
      <x:c r="A497" s="87"/>
      <x:c r="F497" s="85"/>
    </x:row>
    <x:row r="498">
      <x:c r="A498" s="87"/>
      <x:c r="F498" s="85"/>
    </x:row>
    <x:row r="499">
      <x:c r="A499" s="87"/>
      <x:c r="F499" s="85"/>
    </x:row>
    <x:row r="500">
      <x:c r="A500" s="87"/>
      <x:c r="F500" s="85"/>
    </x:row>
    <x:row r="501">
      <x:c r="A501" s="87"/>
      <x:c r="F501" s="85"/>
    </x:row>
    <x:row r="502">
      <x:c r="A502" s="87"/>
      <x:c r="F502" s="85"/>
    </x:row>
    <x:row r="503">
      <x:c r="A503" s="87"/>
      <x:c r="F503" s="85"/>
    </x:row>
    <x:row r="504">
      <x:c r="A504" s="87"/>
      <x:c r="F504" s="85"/>
    </x:row>
    <x:row r="505">
      <x:c r="A505" s="87"/>
      <x:c r="F505" s="85"/>
    </x:row>
    <x:row r="506">
      <x:c r="A506" s="87"/>
      <x:c r="F506" s="85"/>
    </x:row>
    <x:row r="507">
      <x:c r="A507" s="87"/>
      <x:c r="F507" s="85"/>
    </x:row>
    <x:row r="508">
      <x:c r="A508" s="87"/>
      <x:c r="F508" s="85"/>
    </x:row>
    <x:row r="509">
      <x:c r="A509" s="87"/>
      <x:c r="F509" s="85"/>
    </x:row>
    <x:row r="510">
      <x:c r="A510" s="87"/>
      <x:c r="F510" s="85"/>
    </x:row>
    <x:row r="511">
      <x:c r="A511" s="87"/>
      <x:c r="F511" s="85"/>
    </x:row>
    <x:row r="512">
      <x:c r="A512" s="87"/>
      <x:c r="F512" s="85"/>
    </x:row>
    <x:row r="513">
      <x:c r="A513" s="87"/>
      <x:c r="F513" s="85"/>
    </x:row>
    <x:row r="514">
      <x:c r="A514" s="87"/>
      <x:c r="F514" s="85"/>
    </x:row>
    <x:row r="515">
      <x:c r="A515" s="87"/>
      <x:c r="F515" s="85"/>
    </x:row>
    <x:row r="516">
      <x:c r="A516" s="87"/>
      <x:c r="F516" s="85"/>
    </x:row>
    <x:row r="517">
      <x:c r="A517" s="87"/>
      <x:c r="F517" s="85"/>
    </x:row>
    <x:row r="518">
      <x:c r="A518" s="87"/>
      <x:c r="F518" s="85"/>
    </x:row>
    <x:row r="519">
      <x:c r="A519" s="87"/>
      <x:c r="F519" s="85"/>
    </x:row>
    <x:row r="520">
      <x:c r="A520" s="87"/>
      <x:c r="F520" s="85"/>
    </x:row>
    <x:row r="521">
      <x:c r="A521" s="87"/>
      <x:c r="F521" s="85"/>
    </x:row>
    <x:row r="522">
      <x:c r="A522" s="87"/>
      <x:c r="F522" s="85"/>
    </x:row>
    <x:row r="523">
      <x:c r="A523" s="87"/>
      <x:c r="F523" s="85"/>
    </x:row>
    <x:row r="524">
      <x:c r="A524" s="87"/>
      <x:c r="F524" s="85"/>
    </x:row>
    <x:row r="525">
      <x:c r="A525" s="87"/>
      <x:c r="F525" s="85"/>
    </x:row>
    <x:row r="526">
      <x:c r="A526" s="87"/>
      <x:c r="F526" s="85"/>
    </x:row>
    <x:row r="527">
      <x:c r="A527" s="87"/>
      <x:c r="F527" s="85"/>
    </x:row>
    <x:row r="528">
      <x:c r="A528" s="87"/>
      <x:c r="F528" s="85"/>
    </x:row>
    <x:row r="529">
      <x:c r="A529" s="87"/>
      <x:c r="F529" s="85"/>
    </x:row>
    <x:row r="530">
      <x:c r="A530" s="87"/>
      <x:c r="F530" s="85"/>
    </x:row>
    <x:row r="531">
      <x:c r="A531" s="87"/>
      <x:c r="F531" s="85"/>
    </x:row>
    <x:row r="532">
      <x:c r="A532" s="87"/>
      <x:c r="F532" s="85"/>
    </x:row>
    <x:row r="533">
      <x:c r="A533" s="87"/>
      <x:c r="F533" s="85"/>
    </x:row>
    <x:row r="534">
      <x:c r="A534" s="87"/>
      <x:c r="F534" s="85"/>
    </x:row>
    <x:row r="535">
      <x:c r="A535" s="87"/>
      <x:c r="F535" s="85"/>
    </x:row>
    <x:row r="536">
      <x:c r="A536" s="87"/>
      <x:c r="F536" s="85"/>
    </x:row>
    <x:row r="537">
      <x:c r="A537" s="87"/>
      <x:c r="F537" s="85"/>
    </x:row>
    <x:row r="538">
      <x:c r="A538" s="87"/>
      <x:c r="F538" s="85"/>
    </x:row>
    <x:row r="539">
      <x:c r="A539" s="87"/>
      <x:c r="F539" s="85"/>
    </x:row>
    <x:row r="540">
      <x:c r="A540" s="87"/>
      <x:c r="F540" s="85"/>
    </x:row>
    <x:row r="541">
      <x:c r="A541" s="87"/>
      <x:c r="F541" s="85"/>
    </x:row>
    <x:row r="542">
      <x:c r="A542" s="87"/>
      <x:c r="F542" s="85"/>
    </x:row>
    <x:row r="543">
      <x:c r="A543" s="87"/>
      <x:c r="F543" s="85"/>
    </x:row>
    <x:row r="544">
      <x:c r="A544" s="87"/>
      <x:c r="F544" s="85"/>
    </x:row>
    <x:row r="545">
      <x:c r="A545" s="87"/>
      <x:c r="F545" s="85"/>
    </x:row>
    <x:row r="546">
      <x:c r="A546" s="87"/>
      <x:c r="F546" s="85"/>
    </x:row>
    <x:row r="547">
      <x:c r="A547" s="87"/>
      <x:c r="F547" s="85"/>
    </x:row>
    <x:row r="548">
      <x:c r="A548" s="87"/>
      <x:c r="F548" s="85"/>
    </x:row>
    <x:row r="549">
      <x:c r="A549" s="87"/>
      <x:c r="F549" s="85"/>
    </x:row>
    <x:row r="550">
      <x:c r="A550" s="87"/>
      <x:c r="F550" s="85"/>
    </x:row>
    <x:row r="551">
      <x:c r="A551" s="87"/>
      <x:c r="F551" s="85"/>
    </x:row>
    <x:row r="552">
      <x:c r="A552" s="87"/>
      <x:c r="F552" s="85"/>
    </x:row>
    <x:row r="553">
      <x:c r="A553" s="87"/>
      <x:c r="F553" s="85"/>
    </x:row>
    <x:row r="554">
      <x:c r="A554" s="87"/>
      <x:c r="F554" s="85"/>
    </x:row>
    <x:row r="555">
      <x:c r="A555" s="87"/>
      <x:c r="F555" s="85"/>
    </x:row>
    <x:row r="556">
      <x:c r="A556" s="87"/>
      <x:c r="F556" s="85"/>
    </x:row>
    <x:row r="557">
      <x:c r="A557" s="87"/>
      <x:c r="F557" s="85"/>
    </x:row>
    <x:row r="558">
      <x:c r="A558" s="87"/>
      <x:c r="F558" s="85"/>
    </x:row>
    <x:row r="559">
      <x:c r="A559" s="87"/>
      <x:c r="F559" s="85"/>
    </x:row>
    <x:row r="560">
      <x:c r="A560" s="87"/>
      <x:c r="F560" s="85"/>
    </x:row>
    <x:row r="561">
      <x:c r="A561" s="87"/>
      <x:c r="F561" s="85"/>
    </x:row>
    <x:row r="562">
      <x:c r="A562" s="87"/>
      <x:c r="F562" s="85"/>
    </x:row>
    <x:row r="563">
      <x:c r="A563" s="87"/>
      <x:c r="F563" s="85"/>
    </x:row>
    <x:row r="564">
      <x:c r="A564" s="87"/>
      <x:c r="F564" s="85"/>
    </x:row>
    <x:row r="565">
      <x:c r="A565" s="87"/>
      <x:c r="F565" s="85"/>
    </x:row>
    <x:row r="566">
      <x:c r="A566" s="87"/>
      <x:c r="F566" s="85"/>
    </x:row>
    <x:row r="567">
      <x:c r="A567" s="87"/>
      <x:c r="F567" s="85"/>
    </x:row>
    <x:row r="568">
      <x:c r="A568" s="87"/>
      <x:c r="F568" s="85"/>
    </x:row>
    <x:row r="569">
      <x:c r="A569" s="87"/>
      <x:c r="F569" s="85"/>
    </x:row>
    <x:row r="570">
      <x:c r="A570" s="87"/>
      <x:c r="F570" s="85"/>
    </x:row>
    <x:row r="571">
      <x:c r="A571" s="87"/>
      <x:c r="F571" s="85"/>
    </x:row>
    <x:row r="572">
      <x:c r="A572" s="87"/>
      <x:c r="F572" s="85"/>
    </x:row>
    <x:row r="573">
      <x:c r="A573" s="87"/>
      <x:c r="F573" s="85"/>
    </x:row>
    <x:row r="574">
      <x:c r="A574" s="87"/>
      <x:c r="F574" s="85"/>
    </x:row>
    <x:row r="575">
      <x:c r="A575" s="87"/>
      <x:c r="F575" s="85"/>
    </x:row>
    <x:row r="576">
      <x:c r="A576" s="87"/>
      <x:c r="F576" s="85"/>
    </x:row>
    <x:row r="577">
      <x:c r="A577" s="87"/>
      <x:c r="F577" s="85"/>
    </x:row>
    <x:row r="578">
      <x:c r="A578" s="87"/>
      <x:c r="F578" s="85"/>
    </x:row>
    <x:row r="579">
      <x:c r="A579" s="87"/>
      <x:c r="F579" s="85"/>
    </x:row>
    <x:row r="580">
      <x:c r="A580" s="87"/>
      <x:c r="F580" s="85"/>
    </x:row>
    <x:row r="581">
      <x:c r="A581" s="87"/>
      <x:c r="F581" s="85"/>
    </x:row>
    <x:row r="582">
      <x:c r="A582" s="87"/>
      <x:c r="F582" s="85"/>
    </x:row>
    <x:row r="583">
      <x:c r="A583" s="87"/>
      <x:c r="F583" s="85"/>
    </x:row>
    <x:row r="584">
      <x:c r="A584" s="87"/>
      <x:c r="F584" s="85"/>
    </x:row>
    <x:row r="585">
      <x:c r="A585" s="87"/>
      <x:c r="F585" s="85"/>
    </x:row>
    <x:row r="586">
      <x:c r="A586" s="87"/>
      <x:c r="F586" s="85"/>
    </x:row>
    <x:row r="587">
      <x:c r="A587" s="87"/>
      <x:c r="F587" s="85"/>
    </x:row>
    <x:row r="588">
      <x:c r="A588" s="87"/>
      <x:c r="F588" s="85"/>
    </x:row>
    <x:row r="589">
      <x:c r="A589" s="87"/>
      <x:c r="F589" s="85"/>
    </x:row>
    <x:row r="590">
      <x:c r="A590" s="87"/>
      <x:c r="F590" s="85"/>
    </x:row>
    <x:row r="591">
      <x:c r="A591" s="87"/>
      <x:c r="F591" s="85"/>
    </x:row>
    <x:row r="592">
      <x:c r="A592" s="87"/>
      <x:c r="F592" s="85"/>
    </x:row>
    <x:row r="593">
      <x:c r="A593" s="87"/>
      <x:c r="F593" s="85"/>
    </x:row>
    <x:row r="594">
      <x:c r="A594" s="87"/>
      <x:c r="F594" s="85"/>
    </x:row>
    <x:row r="595">
      <x:c r="A595" s="87"/>
      <x:c r="F595" s="85"/>
    </x:row>
    <x:row r="596">
      <x:c r="A596" s="87"/>
      <x:c r="F596" s="85"/>
    </x:row>
    <x:row r="597">
      <x:c r="A597" s="87"/>
      <x:c r="F597" s="85"/>
    </x:row>
    <x:row r="598">
      <x:c r="A598" s="87"/>
      <x:c r="F598" s="85"/>
    </x:row>
    <x:row r="599">
      <x:c r="A599" s="87"/>
      <x:c r="F599" s="85"/>
    </x:row>
    <x:row r="600">
      <x:c r="A600" s="87"/>
      <x:c r="F600" s="85"/>
    </x:row>
    <x:row r="601">
      <x:c r="A601" s="87"/>
      <x:c r="F601" s="85"/>
    </x:row>
    <x:row r="602">
      <x:c r="A602" s="87"/>
      <x:c r="F602" s="85"/>
    </x:row>
    <x:row r="603">
      <x:c r="A603" s="87"/>
      <x:c r="F603" s="85"/>
    </x:row>
    <x:row r="604">
      <x:c r="A604" s="87"/>
      <x:c r="F604" s="85"/>
    </x:row>
    <x:row r="605">
      <x:c r="A605" s="87"/>
      <x:c r="F605" s="85"/>
    </x:row>
    <x:row r="606">
      <x:c r="A606" s="87"/>
      <x:c r="F606" s="85"/>
    </x:row>
    <x:row r="607">
      <x:c r="A607" s="87"/>
      <x:c r="F607" s="85"/>
    </x:row>
    <x:row r="608">
      <x:c r="A608" s="87"/>
      <x:c r="F608" s="85"/>
    </x:row>
    <x:row r="609">
      <x:c r="A609" s="87"/>
      <x:c r="F609" s="85"/>
    </x:row>
    <x:row r="610">
      <x:c r="A610" s="87"/>
      <x:c r="F610" s="85"/>
    </x:row>
    <x:row r="611">
      <x:c r="A611" s="87"/>
      <x:c r="F611" s="85"/>
    </x:row>
    <x:row r="612">
      <x:c r="A612" s="87"/>
      <x:c r="F612" s="85"/>
    </x:row>
    <x:row r="613">
      <x:c r="A613" s="87"/>
      <x:c r="F613" s="85"/>
    </x:row>
    <x:row r="614">
      <x:c r="A614" s="87"/>
      <x:c r="F614" s="85"/>
    </x:row>
    <x:row r="615">
      <x:c r="A615" s="87"/>
      <x:c r="F615" s="85"/>
    </x:row>
    <x:row r="616">
      <x:c r="A616" s="87"/>
      <x:c r="F616" s="85"/>
    </x:row>
    <x:row r="617">
      <x:c r="A617" s="87"/>
      <x:c r="F617" s="85"/>
    </x:row>
    <x:row r="618">
      <x:c r="A618" s="87"/>
      <x:c r="F618" s="85"/>
    </x:row>
    <x:row r="619">
      <x:c r="A619" s="87"/>
      <x:c r="F619" s="85"/>
    </x:row>
    <x:row r="620">
      <x:c r="A620" s="87"/>
      <x:c r="F620" s="85"/>
    </x:row>
    <x:row r="621">
      <x:c r="A621" s="87"/>
      <x:c r="F621" s="85"/>
    </x:row>
    <x:row r="622">
      <x:c r="A622" s="87"/>
      <x:c r="F622" s="85"/>
    </x:row>
    <x:row r="623">
      <x:c r="A623" s="87"/>
      <x:c r="F623" s="85"/>
    </x:row>
    <x:row r="624">
      <x:c r="A624" s="87"/>
      <x:c r="F624" s="85"/>
    </x:row>
    <x:row r="625">
      <x:c r="A625" s="87"/>
      <x:c r="F625" s="85"/>
    </x:row>
    <x:row r="626">
      <x:c r="A626" s="87"/>
      <x:c r="F626" s="85"/>
    </x:row>
    <x:row r="627">
      <x:c r="A627" s="87"/>
      <x:c r="F627" s="85"/>
    </x:row>
    <x:row r="628">
      <x:c r="A628" s="87"/>
      <x:c r="F628" s="85"/>
    </x:row>
    <x:row r="629">
      <x:c r="A629" s="87"/>
      <x:c r="F629" s="85"/>
    </x:row>
    <x:row r="630">
      <x:c r="A630" s="87"/>
      <x:c r="F630" s="85"/>
    </x:row>
    <x:row r="631">
      <x:c r="A631" s="87"/>
      <x:c r="F631" s="85"/>
    </x:row>
    <x:row r="632">
      <x:c r="A632" s="87"/>
      <x:c r="F632" s="85"/>
    </x:row>
    <x:row r="633">
      <x:c r="A633" s="87"/>
      <x:c r="F633" s="85"/>
    </x:row>
    <x:row r="634">
      <x:c r="A634" s="87"/>
      <x:c r="F634" s="85"/>
    </x:row>
    <x:row r="635">
      <x:c r="A635" s="87"/>
      <x:c r="F635" s="85"/>
    </x:row>
    <x:row r="636">
      <x:c r="A636" s="87"/>
      <x:c r="F636" s="85"/>
    </x:row>
    <x:row r="637">
      <x:c r="A637" s="87"/>
      <x:c r="F637" s="85"/>
    </x:row>
    <x:row r="638">
      <x:c r="A638" s="87"/>
      <x:c r="F638" s="85"/>
    </x:row>
    <x:row r="639">
      <x:c r="A639" s="87"/>
      <x:c r="F639" s="85"/>
    </x:row>
    <x:row r="640">
      <x:c r="A640" s="87"/>
      <x:c r="F640" s="85"/>
    </x:row>
    <x:row r="641">
      <x:c r="A641" s="87"/>
      <x:c r="F641" s="85"/>
    </x:row>
    <x:row r="642">
      <x:c r="A642" s="87"/>
      <x:c r="F642" s="85"/>
    </x:row>
    <x:row r="643">
      <x:c r="A643" s="87"/>
      <x:c r="F643" s="85"/>
    </x:row>
    <x:row r="644">
      <x:c r="A644" s="87"/>
      <x:c r="F644" s="85"/>
    </x:row>
    <x:row r="645">
      <x:c r="A645" s="87"/>
      <x:c r="F645" s="85"/>
    </x:row>
    <x:row r="646">
      <x:c r="A646" s="87"/>
      <x:c r="F646" s="85"/>
    </x:row>
    <x:row r="647">
      <x:c r="A647" s="87"/>
      <x:c r="F647" s="85"/>
    </x:row>
    <x:row r="648">
      <x:c r="A648" s="87"/>
      <x:c r="F648" s="85"/>
    </x:row>
    <x:row r="649">
      <x:c r="A649" s="87"/>
      <x:c r="F649" s="85"/>
    </x:row>
    <x:row r="650">
      <x:c r="A650" s="87"/>
      <x:c r="F650" s="85"/>
    </x:row>
    <x:row r="651">
      <x:c r="A651" s="87"/>
      <x:c r="F651" s="85"/>
    </x:row>
    <x:row r="652">
      <x:c r="A652" s="87"/>
      <x:c r="F652" s="85"/>
    </x:row>
    <x:row r="653">
      <x:c r="A653" s="87"/>
      <x:c r="F653" s="85"/>
    </x:row>
    <x:row r="654">
      <x:c r="A654" s="87"/>
      <x:c r="F654" s="85"/>
    </x:row>
    <x:row r="655">
      <x:c r="A655" s="87"/>
      <x:c r="F655" s="85"/>
    </x:row>
    <x:row r="656">
      <x:c r="A656" s="87"/>
      <x:c r="F656" s="85"/>
    </x:row>
    <x:row r="657">
      <x:c r="A657" s="87"/>
      <x:c r="F657" s="85"/>
    </x:row>
    <x:row r="658">
      <x:c r="A658" s="87"/>
      <x:c r="F658" s="85"/>
    </x:row>
    <x:row r="659">
      <x:c r="A659" s="87"/>
      <x:c r="F659" s="85"/>
    </x:row>
    <x:row r="660">
      <x:c r="A660" s="87"/>
      <x:c r="F660" s="85"/>
    </x:row>
    <x:row r="661">
      <x:c r="A661" s="87"/>
      <x:c r="F661" s="85"/>
    </x:row>
    <x:row r="662">
      <x:c r="A662" s="87"/>
      <x:c r="F662" s="85"/>
    </x:row>
    <x:row r="663">
      <x:c r="A663" s="87"/>
      <x:c r="F663" s="85"/>
    </x:row>
    <x:row r="664">
      <x:c r="A664" s="87"/>
      <x:c r="F664" s="85"/>
    </x:row>
    <x:row r="665">
      <x:c r="A665" s="87"/>
      <x:c r="F665" s="85"/>
    </x:row>
    <x:row r="666">
      <x:c r="A666" s="87"/>
      <x:c r="F666" s="85"/>
    </x:row>
    <x:row r="667">
      <x:c r="A667" s="87"/>
      <x:c r="F667" s="85"/>
    </x:row>
    <x:row r="668">
      <x:c r="A668" s="87"/>
      <x:c r="F668" s="85"/>
    </x:row>
    <x:row r="669">
      <x:c r="A669" s="87"/>
      <x:c r="F669" s="85"/>
    </x:row>
    <x:row r="670">
      <x:c r="A670" s="87"/>
      <x:c r="F670" s="85"/>
    </x:row>
    <x:row r="671">
      <x:c r="A671" s="87"/>
      <x:c r="F671" s="85"/>
    </x:row>
    <x:row r="672">
      <x:c r="A672" s="87"/>
      <x:c r="F672" s="85"/>
    </x:row>
    <x:row r="673">
      <x:c r="A673" s="87"/>
      <x:c r="F673" s="85"/>
    </x:row>
    <x:row r="674">
      <x:c r="A674" s="87"/>
      <x:c r="F674" s="85"/>
    </x:row>
    <x:row r="675">
      <x:c r="A675" s="87"/>
      <x:c r="F675" s="85"/>
    </x:row>
    <x:row r="676">
      <x:c r="A676" s="87"/>
      <x:c r="F676" s="85"/>
    </x:row>
    <x:row r="677">
      <x:c r="A677" s="87"/>
      <x:c r="F677" s="85"/>
    </x:row>
    <x:row r="678">
      <x:c r="A678" s="87"/>
      <x:c r="F678" s="85"/>
    </x:row>
    <x:row r="679">
      <x:c r="A679" s="87"/>
      <x:c r="F679" s="85"/>
    </x:row>
    <x:row r="680">
      <x:c r="A680" s="87"/>
      <x:c r="F680" s="85"/>
    </x:row>
    <x:row r="681">
      <x:c r="A681" s="87"/>
      <x:c r="F681" s="85"/>
    </x:row>
    <x:row r="682">
      <x:c r="A682" s="87"/>
      <x:c r="F682" s="85"/>
    </x:row>
    <x:row r="683">
      <x:c r="A683" s="87"/>
      <x:c r="F683" s="85"/>
    </x:row>
    <x:row r="684">
      <x:c r="A684" s="87"/>
      <x:c r="F684" s="85"/>
    </x:row>
    <x:row r="685">
      <x:c r="A685" s="87"/>
      <x:c r="F685" s="85"/>
    </x:row>
    <x:row r="686">
      <x:c r="A686" s="87"/>
      <x:c r="F686" s="85"/>
    </x:row>
    <x:row r="687">
      <x:c r="A687" s="87"/>
      <x:c r="F687" s="85"/>
    </x:row>
    <x:row r="688">
      <x:c r="A688" s="87"/>
      <x:c r="F688" s="85"/>
    </x:row>
    <x:row r="689">
      <x:c r="A689" s="87"/>
      <x:c r="F689" s="85"/>
    </x:row>
    <x:row r="690">
      <x:c r="A690" s="87"/>
      <x:c r="F690" s="85"/>
    </x:row>
    <x:row r="691">
      <x:c r="A691" s="87"/>
      <x:c r="F691" s="85"/>
    </x:row>
    <x:row r="692">
      <x:c r="A692" s="87"/>
      <x:c r="F692" s="85"/>
    </x:row>
    <x:row r="693">
      <x:c r="A693" s="87"/>
      <x:c r="F693" s="85"/>
    </x:row>
    <x:row r="694">
      <x:c r="A694" s="87"/>
      <x:c r="F694" s="85"/>
    </x:row>
    <x:row r="695">
      <x:c r="A695" s="87"/>
      <x:c r="F695" s="85"/>
    </x:row>
    <x:row r="696">
      <x:c r="A696" s="87"/>
      <x:c r="F696" s="85"/>
    </x:row>
    <x:row r="697">
      <x:c r="A697" s="87"/>
      <x:c r="F697" s="85"/>
    </x:row>
    <x:row r="698">
      <x:c r="A698" s="87"/>
      <x:c r="F698" s="85"/>
    </x:row>
    <x:row r="699">
      <x:c r="A699" s="87"/>
      <x:c r="F699" s="85"/>
    </x:row>
    <x:row r="700">
      <x:c r="A700" s="87"/>
      <x:c r="F700" s="85"/>
    </x:row>
    <x:row r="701">
      <x:c r="A701" s="87"/>
      <x:c r="F701" s="85"/>
    </x:row>
    <x:row r="702">
      <x:c r="A702" s="87"/>
      <x:c r="F702" s="85"/>
    </x:row>
    <x:row r="703">
      <x:c r="A703" s="87"/>
      <x:c r="F703" s="85"/>
    </x:row>
    <x:row r="704">
      <x:c r="A704" s="87"/>
      <x:c r="F704" s="85"/>
    </x:row>
    <x:row r="705">
      <x:c r="A705" s="87"/>
      <x:c r="F705" s="85"/>
    </x:row>
    <x:row r="706">
      <x:c r="A706" s="87"/>
      <x:c r="F706" s="85"/>
    </x:row>
    <x:row r="707">
      <x:c r="A707" s="87"/>
      <x:c r="F707" s="85"/>
    </x:row>
    <x:row r="708">
      <x:c r="A708" s="87"/>
      <x:c r="F708" s="85"/>
    </x:row>
    <x:row r="709">
      <x:c r="A709" s="87"/>
      <x:c r="F709" s="85"/>
    </x:row>
    <x:row r="710">
      <x:c r="A710" s="87"/>
      <x:c r="F710" s="85"/>
    </x:row>
    <x:row r="711">
      <x:c r="A711" s="87"/>
      <x:c r="F711" s="85"/>
    </x:row>
    <x:row r="712">
      <x:c r="A712" s="87"/>
      <x:c r="F712" s="85"/>
    </x:row>
    <x:row r="713">
      <x:c r="A713" s="87"/>
      <x:c r="F713" s="85"/>
    </x:row>
    <x:row r="714">
      <x:c r="A714" s="87"/>
      <x:c r="F714" s="85"/>
    </x:row>
    <x:row r="715">
      <x:c r="A715" s="87"/>
      <x:c r="F715" s="85"/>
    </x:row>
    <x:row r="716">
      <x:c r="A716" s="87"/>
      <x:c r="F716" s="85"/>
    </x:row>
    <x:row r="717">
      <x:c r="A717" s="87"/>
      <x:c r="F717" s="85"/>
    </x:row>
    <x:row r="718">
      <x:c r="A718" s="87"/>
      <x:c r="F718" s="85"/>
    </x:row>
    <x:row r="719">
      <x:c r="A719" s="87"/>
      <x:c r="F719" s="85"/>
    </x:row>
    <x:row r="720">
      <x:c r="A720" s="87"/>
      <x:c r="F720" s="85"/>
    </x:row>
    <x:row r="721">
      <x:c r="A721" s="87"/>
      <x:c r="F721" s="85"/>
    </x:row>
    <x:row r="722">
      <x:c r="A722" s="87"/>
      <x:c r="F722" s="85"/>
    </x:row>
    <x:row r="723">
      <x:c r="A723" s="87"/>
      <x:c r="F723" s="85"/>
    </x:row>
    <x:row r="724">
      <x:c r="A724" s="87"/>
      <x:c r="F724" s="85"/>
    </x:row>
    <x:row r="725">
      <x:c r="A725" s="87"/>
      <x:c r="F725" s="85"/>
    </x:row>
    <x:row r="726">
      <x:c r="A726" s="87"/>
      <x:c r="F726" s="85"/>
    </x:row>
    <x:row r="727">
      <x:c r="A727" s="87"/>
      <x:c r="F727" s="85"/>
    </x:row>
    <x:row r="728">
      <x:c r="A728" s="87"/>
      <x:c r="F728" s="85"/>
    </x:row>
    <x:row r="729">
      <x:c r="A729" s="87"/>
      <x:c r="F729" s="85"/>
    </x:row>
    <x:row r="730">
      <x:c r="A730" s="87"/>
      <x:c r="F730" s="85"/>
    </x:row>
    <x:row r="731">
      <x:c r="A731" s="87"/>
      <x:c r="F731" s="85"/>
    </x:row>
    <x:row r="732">
      <x:c r="A732" s="87"/>
      <x:c r="F732" s="85"/>
    </x:row>
    <x:row r="733">
      <x:c r="A733" s="87"/>
      <x:c r="F733" s="85"/>
    </x:row>
    <x:row r="734">
      <x:c r="A734" s="87"/>
      <x:c r="F734" s="85"/>
    </x:row>
    <x:row r="735">
      <x:c r="A735" s="87"/>
      <x:c r="F735" s="85"/>
    </x:row>
    <x:row r="736">
      <x:c r="A736" s="87"/>
      <x:c r="F736" s="85"/>
    </x:row>
    <x:row r="737">
      <x:c r="A737" s="87"/>
      <x:c r="F737" s="85"/>
    </x:row>
    <x:row r="738">
      <x:c r="A738" s="87"/>
      <x:c r="F738" s="85"/>
    </x:row>
    <x:row r="739">
      <x:c r="A739" s="87"/>
      <x:c r="F739" s="85"/>
    </x:row>
    <x:row r="740">
      <x:c r="A740" s="87"/>
      <x:c r="F740" s="85"/>
    </x:row>
    <x:row r="741">
      <x:c r="A741" s="87"/>
      <x:c r="F741" s="85"/>
    </x:row>
    <x:row r="742">
      <x:c r="A742" s="87"/>
      <x:c r="F742" s="85"/>
    </x:row>
    <x:row r="743">
      <x:c r="A743" s="87"/>
      <x:c r="F743" s="85"/>
    </x:row>
    <x:row r="744">
      <x:c r="A744" s="87"/>
      <x:c r="F744" s="85"/>
    </x:row>
    <x:row r="745">
      <x:c r="A745" s="87"/>
      <x:c r="F745" s="85"/>
    </x:row>
    <x:row r="746">
      <x:c r="A746" s="87"/>
      <x:c r="F746" s="85"/>
    </x:row>
    <x:row r="747">
      <x:c r="A747" s="87"/>
      <x:c r="F747" s="85"/>
    </x:row>
    <x:row r="748">
      <x:c r="A748" s="87"/>
      <x:c r="F748" s="85"/>
    </x:row>
    <x:row r="749">
      <x:c r="A749" s="87"/>
      <x:c r="F749" s="85"/>
    </x:row>
    <x:row r="750">
      <x:c r="A750" s="87"/>
      <x:c r="F750" s="85"/>
    </x:row>
    <x:row r="751">
      <x:c r="A751" s="87"/>
      <x:c r="F751" s="85"/>
    </x:row>
    <x:row r="752">
      <x:c r="A752" s="87"/>
      <x:c r="F752" s="85"/>
    </x:row>
    <x:row r="753">
      <x:c r="A753" s="87"/>
      <x:c r="F753" s="85"/>
    </x:row>
    <x:row r="754">
      <x:c r="A754" s="87"/>
      <x:c r="F754" s="85"/>
    </x:row>
    <x:row r="755">
      <x:c r="A755" s="87"/>
      <x:c r="F755" s="85"/>
    </x:row>
    <x:row r="756">
      <x:c r="A756" s="87"/>
      <x:c r="F756" s="85"/>
    </x:row>
    <x:row r="757">
      <x:c r="A757" s="87"/>
      <x:c r="F757" s="85"/>
    </x:row>
    <x:row r="758">
      <x:c r="A758" s="87"/>
      <x:c r="F758" s="85"/>
    </x:row>
    <x:row r="759">
      <x:c r="A759" s="87"/>
      <x:c r="F759" s="85"/>
    </x:row>
    <x:row r="760">
      <x:c r="A760" s="87"/>
      <x:c r="F760" s="85"/>
    </x:row>
    <x:row r="761">
      <x:c r="A761" s="87"/>
      <x:c r="F761" s="85"/>
    </x:row>
    <x:row r="762">
      <x:c r="A762" s="87"/>
      <x:c r="F762" s="85"/>
    </x:row>
    <x:row r="763">
      <x:c r="A763" s="87"/>
      <x:c r="F763" s="85"/>
    </x:row>
    <x:row r="764">
      <x:c r="A764" s="87"/>
      <x:c r="F764" s="85"/>
    </x:row>
    <x:row r="765">
      <x:c r="A765" s="87"/>
      <x:c r="F765" s="85"/>
    </x:row>
    <x:row r="766">
      <x:c r="A766" s="87"/>
      <x:c r="F766" s="85"/>
    </x:row>
    <x:row r="767">
      <x:c r="A767" s="87"/>
      <x:c r="F767" s="85"/>
    </x:row>
    <x:row r="768">
      <x:c r="A768" s="87"/>
      <x:c r="F768" s="85"/>
    </x:row>
    <x:row r="769">
      <x:c r="A769" s="87"/>
      <x:c r="F769" s="85"/>
    </x:row>
    <x:row r="770">
      <x:c r="A770" s="87"/>
      <x:c r="F770" s="85"/>
    </x:row>
    <x:row r="771">
      <x:c r="A771" s="87"/>
      <x:c r="F771" s="85"/>
    </x:row>
    <x:row r="772">
      <x:c r="A772" s="87"/>
      <x:c r="F772" s="85"/>
    </x:row>
    <x:row r="773">
      <x:c r="A773" s="87"/>
      <x:c r="F773" s="85"/>
    </x:row>
    <x:row r="774">
      <x:c r="A774" s="87"/>
      <x:c r="F774" s="85"/>
    </x:row>
    <x:row r="775">
      <x:c r="A775" s="87"/>
      <x:c r="F775" s="85"/>
    </x:row>
    <x:row r="776">
      <x:c r="A776" s="87"/>
      <x:c r="F776" s="85"/>
    </x:row>
    <x:row r="777">
      <x:c r="A777" s="87"/>
      <x:c r="F777" s="85"/>
    </x:row>
    <x:row r="778">
      <x:c r="A778" s="87"/>
      <x:c r="F778" s="85"/>
    </x:row>
    <x:row r="779">
      <x:c r="A779" s="87"/>
      <x:c r="F779" s="85"/>
    </x:row>
    <x:row r="780">
      <x:c r="A780" s="87"/>
      <x:c r="F780" s="85"/>
    </x:row>
    <x:row r="781">
      <x:c r="A781" s="87"/>
      <x:c r="F781" s="85"/>
    </x:row>
    <x:row r="782">
      <x:c r="A782" s="87"/>
      <x:c r="F782" s="85"/>
    </x:row>
    <x:row r="783">
      <x:c r="A783" s="87"/>
      <x:c r="F783" s="85"/>
    </x:row>
    <x:row r="784">
      <x:c r="A784" s="87"/>
      <x:c r="F784" s="85"/>
    </x:row>
    <x:row r="785">
      <x:c r="A785" s="87"/>
      <x:c r="F785" s="85"/>
    </x:row>
    <x:row r="786">
      <x:c r="A786" s="87"/>
      <x:c r="F786" s="85"/>
    </x:row>
    <x:row r="787">
      <x:c r="A787" s="87"/>
      <x:c r="F787" s="85"/>
    </x:row>
    <x:row r="788">
      <x:c r="A788" s="87"/>
      <x:c r="F788" s="85"/>
    </x:row>
    <x:row r="789">
      <x:c r="A789" s="87"/>
      <x:c r="F789" s="85"/>
    </x:row>
    <x:row r="790">
      <x:c r="A790" s="87"/>
      <x:c r="F790" s="85"/>
    </x:row>
    <x:row r="791">
      <x:c r="A791" s="87"/>
      <x:c r="F791" s="85"/>
    </x:row>
    <x:row r="792">
      <x:c r="A792" s="87"/>
      <x:c r="F792" s="85"/>
    </x:row>
    <x:row r="793">
      <x:c r="A793" s="87"/>
      <x:c r="F793" s="85"/>
    </x:row>
    <x:row r="794">
      <x:c r="A794" s="87"/>
      <x:c r="F794" s="85"/>
    </x:row>
    <x:row r="795">
      <x:c r="A795" s="87"/>
      <x:c r="F795" s="85"/>
    </x:row>
    <x:row r="796">
      <x:c r="A796" s="87"/>
      <x:c r="F796" s="85"/>
    </x:row>
    <x:row r="797">
      <x:c r="A797" s="87"/>
      <x:c r="F797" s="85"/>
    </x:row>
    <x:row r="798">
      <x:c r="A798" s="87"/>
      <x:c r="F798" s="85"/>
    </x:row>
    <x:row r="799">
      <x:c r="A799" s="87"/>
      <x:c r="F799" s="85"/>
    </x:row>
    <x:row r="800">
      <x:c r="A800" s="87"/>
      <x:c r="F800" s="85"/>
    </x:row>
    <x:row r="801">
      <x:c r="A801" s="87"/>
      <x:c r="F801" s="85"/>
    </x:row>
    <x:row r="802">
      <x:c r="A802" s="87"/>
      <x:c r="F802" s="85"/>
    </x:row>
    <x:row r="803">
      <x:c r="A803" s="87"/>
      <x:c r="F803" s="85"/>
    </x:row>
    <x:row r="804">
      <x:c r="A804" s="87"/>
      <x:c r="F804" s="85"/>
    </x:row>
    <x:row r="805">
      <x:c r="A805" s="87"/>
      <x:c r="F805" s="85"/>
    </x:row>
    <x:row r="806">
      <x:c r="A806" s="87"/>
      <x:c r="F806" s="85"/>
    </x:row>
    <x:row r="807">
      <x:c r="A807" s="87"/>
      <x:c r="F807" s="85"/>
    </x:row>
    <x:row r="808">
      <x:c r="A808" s="87"/>
      <x:c r="F808" s="85"/>
    </x:row>
    <x:row r="809">
      <x:c r="A809" s="87"/>
      <x:c r="F809" s="85"/>
    </x:row>
    <x:row r="810">
      <x:c r="A810" s="87"/>
      <x:c r="F810" s="85"/>
    </x:row>
    <x:row r="811">
      <x:c r="A811" s="87"/>
      <x:c r="F811" s="85"/>
    </x:row>
    <x:row r="812">
      <x:c r="A812" s="87"/>
      <x:c r="F812" s="85"/>
    </x:row>
    <x:row r="813">
      <x:c r="A813" s="87"/>
      <x:c r="F813" s="85"/>
    </x:row>
    <x:row r="814">
      <x:c r="A814" s="87"/>
      <x:c r="F814" s="85"/>
    </x:row>
    <x:row r="815">
      <x:c r="A815" s="87"/>
      <x:c r="F815" s="85"/>
    </x:row>
    <x:row r="816">
      <x:c r="A816" s="87"/>
      <x:c r="F816" s="85"/>
    </x:row>
    <x:row r="817">
      <x:c r="A817" s="87"/>
      <x:c r="F817" s="85"/>
    </x:row>
    <x:row r="818">
      <x:c r="A818" s="87"/>
      <x:c r="F818" s="85"/>
    </x:row>
    <x:row r="819">
      <x:c r="A819" s="87"/>
      <x:c r="F819" s="85"/>
    </x:row>
    <x:row r="820">
      <x:c r="A820" s="87"/>
      <x:c r="F820" s="85"/>
    </x:row>
    <x:row r="821">
      <x:c r="A821" s="87"/>
      <x:c r="F821" s="85"/>
    </x:row>
    <x:row r="822">
      <x:c r="A822" s="87"/>
      <x:c r="F822" s="85"/>
    </x:row>
    <x:row r="823">
      <x:c r="A823" s="87"/>
      <x:c r="F823" s="85"/>
    </x:row>
    <x:row r="824">
      <x:c r="A824" s="87"/>
      <x:c r="F824" s="85"/>
    </x:row>
    <x:row r="825">
      <x:c r="A825" s="87"/>
      <x:c r="F825" s="85"/>
    </x:row>
    <x:row r="826">
      <x:c r="A826" s="87"/>
      <x:c r="F826" s="85"/>
    </x:row>
    <x:row r="827">
      <x:c r="A827" s="87"/>
      <x:c r="F827" s="85"/>
    </x:row>
    <x:row r="828">
      <x:c r="A828" s="87"/>
      <x:c r="F828" s="85"/>
    </x:row>
    <x:row r="829">
      <x:c r="A829" s="87"/>
      <x:c r="F829" s="85"/>
    </x:row>
    <x:row r="830">
      <x:c r="A830" s="87"/>
      <x:c r="F830" s="85"/>
    </x:row>
    <x:row r="831">
      <x:c r="A831" s="87"/>
      <x:c r="F831" s="85"/>
    </x:row>
    <x:row r="832">
      <x:c r="A832" s="87"/>
      <x:c r="F832" s="85"/>
    </x:row>
    <x:row r="833">
      <x:c r="A833" s="87"/>
      <x:c r="F833" s="85"/>
    </x:row>
    <x:row r="834">
      <x:c r="A834" s="87"/>
      <x:c r="F834" s="85"/>
    </x:row>
    <x:row r="835">
      <x:c r="A835" s="87"/>
      <x:c r="F835" s="85"/>
    </x:row>
    <x:row r="836">
      <x:c r="A836" s="87"/>
      <x:c r="F836" s="85"/>
    </x:row>
    <x:row r="837">
      <x:c r="A837" s="87"/>
      <x:c r="F837" s="85"/>
    </x:row>
    <x:row r="838">
      <x:c r="A838" s="87"/>
      <x:c r="F838" s="85"/>
    </x:row>
    <x:row r="839">
      <x:c r="A839" s="87"/>
      <x:c r="F839" s="85"/>
    </x:row>
    <x:row r="840">
      <x:c r="A840" s="87"/>
      <x:c r="F840" s="85"/>
    </x:row>
    <x:row r="841">
      <x:c r="A841" s="87"/>
      <x:c r="F841" s="85"/>
    </x:row>
    <x:row r="842">
      <x:c r="A842" s="87"/>
      <x:c r="F842" s="85"/>
    </x:row>
    <x:row r="843">
      <x:c r="A843" s="87"/>
      <x:c r="F843" s="85"/>
    </x:row>
    <x:row r="844">
      <x:c r="A844" s="87"/>
      <x:c r="F844" s="85"/>
    </x:row>
    <x:row r="845">
      <x:c r="A845" s="87"/>
      <x:c r="F845" s="85"/>
    </x:row>
    <x:row r="846">
      <x:c r="A846" s="87"/>
      <x:c r="F846" s="85"/>
    </x:row>
    <x:row r="847">
      <x:c r="A847" s="87"/>
      <x:c r="F847" s="85"/>
    </x:row>
    <x:row r="848">
      <x:c r="A848" s="87"/>
      <x:c r="F848" s="85"/>
    </x:row>
    <x:row r="849">
      <x:c r="A849" s="87"/>
      <x:c r="F849" s="85"/>
    </x:row>
    <x:row r="850">
      <x:c r="A850" s="87"/>
      <x:c r="F850" s="85"/>
    </x:row>
    <x:row r="851">
      <x:c r="A851" s="87"/>
      <x:c r="F851" s="85"/>
    </x:row>
    <x:row r="852">
      <x:c r="A852" s="87"/>
      <x:c r="F852" s="85"/>
    </x:row>
    <x:row r="853">
      <x:c r="A853" s="87"/>
      <x:c r="F853" s="85"/>
    </x:row>
    <x:row r="854">
      <x:c r="A854" s="87"/>
      <x:c r="F854" s="85"/>
    </x:row>
    <x:row r="855">
      <x:c r="A855" s="87"/>
      <x:c r="F855" s="85"/>
    </x:row>
    <x:row r="856">
      <x:c r="A856" s="87"/>
      <x:c r="F856" s="85"/>
    </x:row>
    <x:row r="857">
      <x:c r="A857" s="87"/>
      <x:c r="F857" s="85"/>
    </x:row>
    <x:row r="858">
      <x:c r="A858" s="87"/>
      <x:c r="F858" s="85"/>
    </x:row>
    <x:row r="859">
      <x:c r="A859" s="87"/>
      <x:c r="F859" s="85"/>
    </x:row>
    <x:row r="860">
      <x:c r="A860" s="87"/>
      <x:c r="F860" s="85"/>
    </x:row>
    <x:row r="861">
      <x:c r="A861" s="87"/>
      <x:c r="F861" s="85"/>
    </x:row>
    <x:row r="862">
      <x:c r="A862" s="87"/>
      <x:c r="F862" s="85"/>
    </x:row>
    <x:row r="863">
      <x:c r="A863" s="87"/>
      <x:c r="F863" s="85"/>
    </x:row>
    <x:row r="864">
      <x:c r="A864" s="87"/>
      <x:c r="F864" s="85"/>
    </x:row>
    <x:row r="865">
      <x:c r="A865" s="87"/>
      <x:c r="F865" s="85"/>
    </x:row>
    <x:row r="866">
      <x:c r="A866" s="87"/>
      <x:c r="F866" s="85"/>
    </x:row>
    <x:row r="867">
      <x:c r="A867" s="87"/>
      <x:c r="F867" s="85"/>
    </x:row>
    <x:row r="868">
      <x:c r="A868" s="87"/>
      <x:c r="F868" s="85"/>
    </x:row>
    <x:row r="869">
      <x:c r="A869" s="87"/>
      <x:c r="F869" s="85"/>
    </x:row>
    <x:row r="870">
      <x:c r="A870" s="87"/>
      <x:c r="F870" s="85"/>
    </x:row>
    <x:row r="871">
      <x:c r="A871" s="87"/>
      <x:c r="F871" s="85"/>
    </x:row>
    <x:row r="872">
      <x:c r="A872" s="87"/>
      <x:c r="F872" s="85"/>
    </x:row>
    <x:row r="873">
      <x:c r="A873" s="87"/>
      <x:c r="F873" s="85"/>
    </x:row>
    <x:row r="874">
      <x:c r="A874" s="87"/>
      <x:c r="F874" s="85"/>
    </x:row>
    <x:row r="875">
      <x:c r="A875" s="87"/>
      <x:c r="F875" s="85"/>
    </x:row>
    <x:row r="876">
      <x:c r="A876" s="87"/>
      <x:c r="F876" s="85"/>
    </x:row>
    <x:row r="877">
      <x:c r="A877" s="87"/>
      <x:c r="F877" s="85"/>
    </x:row>
    <x:row r="878">
      <x:c r="A878" s="87"/>
      <x:c r="F878" s="85"/>
    </x:row>
    <x:row r="879">
      <x:c r="A879" s="87"/>
      <x:c r="F879" s="85"/>
    </x:row>
    <x:row r="880">
      <x:c r="A880" s="87"/>
      <x:c r="F880" s="85"/>
    </x:row>
    <x:row r="881">
      <x:c r="A881" s="87"/>
      <x:c r="F881" s="85"/>
    </x:row>
    <x:row r="882">
      <x:c r="A882" s="87"/>
      <x:c r="F882" s="85"/>
    </x:row>
    <x:row r="883">
      <x:c r="A883" s="87"/>
      <x:c r="F883" s="85"/>
    </x:row>
    <x:row r="884">
      <x:c r="A884" s="87"/>
      <x:c r="F884" s="85"/>
    </x:row>
    <x:row r="885">
      <x:c r="A885" s="87"/>
      <x:c r="F885" s="85"/>
    </x:row>
    <x:row r="886">
      <x:c r="A886" s="87"/>
      <x:c r="F886" s="85"/>
    </x:row>
    <x:row r="887">
      <x:c r="A887" s="87"/>
      <x:c r="F887" s="85"/>
    </x:row>
    <x:row r="888">
      <x:c r="A888" s="87"/>
      <x:c r="F888" s="85"/>
    </x:row>
    <x:row r="889">
      <x:c r="A889" s="87"/>
      <x:c r="F889" s="85"/>
    </x:row>
    <x:row r="890">
      <x:c r="A890" s="87"/>
      <x:c r="F890" s="85"/>
    </x:row>
    <x:row r="891">
      <x:c r="A891" s="87"/>
      <x:c r="F891" s="85"/>
    </x:row>
    <x:row r="892">
      <x:c r="A892" s="87"/>
      <x:c r="F892" s="85"/>
    </x:row>
    <x:row r="893">
      <x:c r="A893" s="87"/>
      <x:c r="F893" s="85"/>
    </x:row>
    <x:row r="894">
      <x:c r="A894" s="87"/>
      <x:c r="F894" s="85"/>
    </x:row>
    <x:row r="895">
      <x:c r="A895" s="87"/>
      <x:c r="F895" s="85"/>
    </x:row>
    <x:row r="896">
      <x:c r="A896" s="87"/>
      <x:c r="F896" s="85"/>
    </x:row>
    <x:row r="897">
      <x:c r="A897" s="87"/>
      <x:c r="F897" s="85"/>
    </x:row>
    <x:row r="898">
      <x:c r="A898" s="87"/>
      <x:c r="F898" s="85"/>
    </x:row>
    <x:row r="899">
      <x:c r="A899" s="87"/>
      <x:c r="F899" s="85"/>
    </x:row>
    <x:row r="900">
      <x:c r="A900" s="87"/>
      <x:c r="F900" s="85"/>
    </x:row>
    <x:row r="901">
      <x:c r="A901" s="87"/>
      <x:c r="F901" s="85"/>
    </x:row>
    <x:row r="902">
      <x:c r="A902" s="87"/>
      <x:c r="F902" s="85"/>
    </x:row>
    <x:row r="903">
      <x:c r="A903" s="87"/>
      <x:c r="F903" s="85"/>
    </x:row>
    <x:row r="904">
      <x:c r="A904" s="87"/>
      <x:c r="F904" s="85"/>
    </x:row>
    <x:row r="905">
      <x:c r="A905" s="87"/>
      <x:c r="F905" s="85"/>
    </x:row>
    <x:row r="906">
      <x:c r="A906" s="87"/>
      <x:c r="F906" s="85"/>
    </x:row>
    <x:row r="907">
      <x:c r="A907" s="87"/>
      <x:c r="F907" s="85"/>
    </x:row>
    <x:row r="908">
      <x:c r="A908" s="87"/>
      <x:c r="F908" s="85"/>
    </x:row>
    <x:row r="909">
      <x:c r="A909" s="87"/>
      <x:c r="F909" s="85"/>
    </x:row>
    <x:row r="910">
      <x:c r="A910" s="87"/>
      <x:c r="F910" s="85"/>
    </x:row>
    <x:row r="911">
      <x:c r="A911" s="87"/>
      <x:c r="F911" s="85"/>
    </x:row>
    <x:row r="912">
      <x:c r="A912" s="87"/>
      <x:c r="F912" s="85"/>
    </x:row>
    <x:row r="913">
      <x:c r="A913" s="87"/>
      <x:c r="F913" s="85"/>
    </x:row>
    <x:row r="914">
      <x:c r="A914" s="87"/>
      <x:c r="F914" s="85"/>
    </x:row>
    <x:row r="915">
      <x:c r="A915" s="87"/>
      <x:c r="F915" s="85"/>
    </x:row>
    <x:row r="916">
      <x:c r="A916" s="87"/>
      <x:c r="F916" s="85"/>
    </x:row>
    <x:row r="917">
      <x:c r="A917" s="87"/>
      <x:c r="F917" s="85"/>
    </x:row>
    <x:row r="918">
      <x:c r="A918" s="87"/>
      <x:c r="F918" s="85"/>
    </x:row>
    <x:row r="919">
      <x:c r="A919" s="87"/>
      <x:c r="F919" s="85"/>
    </x:row>
    <x:row r="920">
      <x:c r="A920" s="87"/>
      <x:c r="F920" s="85"/>
    </x:row>
    <x:row r="921">
      <x:c r="A921" s="87"/>
      <x:c r="F921" s="85"/>
    </x:row>
    <x:row r="922">
      <x:c r="A922" s="87"/>
      <x:c r="F922" s="85"/>
    </x:row>
    <x:row r="923">
      <x:c r="A923" s="87"/>
      <x:c r="F923" s="85"/>
    </x:row>
    <x:row r="924">
      <x:c r="A924" s="87"/>
      <x:c r="F924" s="85"/>
    </x:row>
    <x:row r="925">
      <x:c r="A925" s="87"/>
      <x:c r="F925" s="85"/>
    </x:row>
    <x:row r="926">
      <x:c r="A926" s="87"/>
      <x:c r="F926" s="85"/>
    </x:row>
    <x:row r="927">
      <x:c r="A927" s="87"/>
      <x:c r="F927" s="85"/>
    </x:row>
    <x:row r="928">
      <x:c r="A928" s="87"/>
      <x:c r="F928" s="85"/>
    </x:row>
    <x:row r="929">
      <x:c r="A929" s="87"/>
      <x:c r="F929" s="85"/>
    </x:row>
    <x:row r="930">
      <x:c r="A930" s="87"/>
      <x:c r="F930" s="85"/>
    </x:row>
    <x:row r="931">
      <x:c r="A931" s="87"/>
      <x:c r="F931" s="85"/>
    </x:row>
    <x:row r="932">
      <x:c r="A932" s="87"/>
      <x:c r="F932" s="85"/>
    </x:row>
    <x:row r="933">
      <x:c r="A933" s="87"/>
      <x:c r="F933" s="85"/>
    </x:row>
    <x:row r="934">
      <x:c r="A934" s="87"/>
      <x:c r="F934" s="85"/>
    </x:row>
    <x:row r="935">
      <x:c r="A935" s="87"/>
      <x:c r="F935" s="85"/>
    </x:row>
    <x:row r="936">
      <x:c r="A936" s="87"/>
      <x:c r="F936" s="85"/>
    </x:row>
    <x:row r="937">
      <x:c r="A937" s="87"/>
      <x:c r="F937" s="85"/>
    </x:row>
    <x:row r="938">
      <x:c r="A938" s="87"/>
      <x:c r="F938" s="85"/>
    </x:row>
    <x:row r="939">
      <x:c r="A939" s="87"/>
      <x:c r="F939" s="85"/>
    </x:row>
    <x:row r="940">
      <x:c r="A940" s="87"/>
      <x:c r="F940" s="85"/>
    </x:row>
    <x:row r="941">
      <x:c r="A941" s="87"/>
      <x:c r="F941" s="85"/>
    </x:row>
    <x:row r="942">
      <x:c r="A942" s="87"/>
      <x:c r="F942" s="85"/>
    </x:row>
    <x:row r="943">
      <x:c r="A943" s="87"/>
      <x:c r="F943" s="85"/>
    </x:row>
    <x:row r="944">
      <x:c r="A944" s="87"/>
      <x:c r="F944" s="85"/>
    </x:row>
    <x:row r="945">
      <x:c r="A945" s="87"/>
      <x:c r="F945" s="85"/>
    </x:row>
    <x:row r="946">
      <x:c r="A946" s="87"/>
      <x:c r="F946" s="85"/>
    </x:row>
    <x:row r="947">
      <x:c r="A947" s="87"/>
      <x:c r="F947" s="85"/>
    </x:row>
    <x:row r="948">
      <x:c r="A948" s="87"/>
      <x:c r="F948" s="85"/>
    </x:row>
    <x:row r="949">
      <x:c r="A949" s="87"/>
      <x:c r="F949" s="85"/>
    </x:row>
    <x:row r="950">
      <x:c r="A950" s="87"/>
      <x:c r="F950" s="85"/>
    </x:row>
    <x:row r="951">
      <x:c r="A951" s="87"/>
      <x:c r="F951" s="85"/>
    </x:row>
    <x:row r="952">
      <x:c r="A952" s="87"/>
      <x:c r="F952" s="85"/>
    </x:row>
    <x:row r="953">
      <x:c r="A953" s="87"/>
      <x:c r="F953" s="85"/>
    </x:row>
    <x:row r="954">
      <x:c r="A954" s="87"/>
      <x:c r="F954" s="85"/>
    </x:row>
    <x:row r="955">
      <x:c r="A955" s="87"/>
      <x:c r="F955" s="85"/>
    </x:row>
    <x:row r="956">
      <x:c r="A956" s="87"/>
      <x:c r="F956" s="85"/>
    </x:row>
    <x:row r="957">
      <x:c r="A957" s="87"/>
      <x:c r="F957" s="85"/>
    </x:row>
    <x:row r="958">
      <x:c r="A958" s="87"/>
      <x:c r="F958" s="85"/>
    </x:row>
    <x:row r="959">
      <x:c r="A959" s="87"/>
      <x:c r="F959" s="85"/>
    </x:row>
    <x:row r="960">
      <x:c r="A960" s="87"/>
      <x:c r="F960" s="85"/>
    </x:row>
    <x:row r="961">
      <x:c r="A961" s="87"/>
      <x:c r="F961" s="85"/>
    </x:row>
    <x:row r="962">
      <x:c r="A962" s="87"/>
      <x:c r="F962" s="85"/>
    </x:row>
    <x:row r="963">
      <x:c r="A963" s="87"/>
      <x:c r="F963" s="85"/>
    </x:row>
    <x:row r="964">
      <x:c r="A964" s="87"/>
      <x:c r="F964" s="85"/>
    </x:row>
    <x:row r="965">
      <x:c r="A965" s="87"/>
      <x:c r="F965" s="85"/>
    </x:row>
    <x:row r="966">
      <x:c r="A966" s="87"/>
      <x:c r="F966" s="85"/>
    </x:row>
    <x:row r="967">
      <x:c r="A967" s="87"/>
      <x:c r="F967" s="85"/>
    </x:row>
    <x:row r="968">
      <x:c r="A968" s="87"/>
      <x:c r="F968" s="85"/>
    </x:row>
    <x:row r="969">
      <x:c r="A969" s="87"/>
      <x:c r="F969" s="85"/>
    </x:row>
    <x:row r="970">
      <x:c r="A970" s="87"/>
      <x:c r="F970" s="85"/>
    </x:row>
    <x:row r="971">
      <x:c r="A971" s="87"/>
      <x:c r="F971" s="85"/>
    </x:row>
    <x:row r="972">
      <x:c r="A972" s="87"/>
      <x:c r="F972" s="85"/>
    </x:row>
    <x:row r="973">
      <x:c r="A973" s="87"/>
      <x:c r="F973" s="85"/>
    </x:row>
    <x:row r="974">
      <x:c r="A974" s="87"/>
      <x:c r="F974" s="85"/>
    </x:row>
    <x:row r="975">
      <x:c r="A975" s="87"/>
      <x:c r="F975" s="85"/>
    </x:row>
    <x:row r="976">
      <x:c r="A976" s="87"/>
      <x:c r="F976" s="85"/>
    </x:row>
    <x:row r="977">
      <x:c r="A977" s="87"/>
      <x:c r="F977" s="85"/>
    </x:row>
    <x:row r="978">
      <x:c r="A978" s="87"/>
      <x:c r="F978" s="85"/>
    </x:row>
    <x:row r="979">
      <x:c r="A979" s="87"/>
      <x:c r="F979" s="85"/>
    </x:row>
    <x:row r="980">
      <x:c r="A980" s="87"/>
      <x:c r="F980" s="85"/>
    </x:row>
    <x:row r="981">
      <x:c r="A981" s="87"/>
      <x:c r="F981" s="85"/>
    </x:row>
    <x:row r="982">
      <x:c r="A982" s="87"/>
      <x:c r="F982" s="85"/>
    </x:row>
    <x:row r="983">
      <x:c r="A983" s="87"/>
      <x:c r="F983" s="85"/>
    </x:row>
    <x:row r="984">
      <x:c r="A984" s="87"/>
      <x:c r="F984" s="85"/>
    </x:row>
    <x:row r="985">
      <x:c r="A985" s="87"/>
      <x:c r="F985" s="85"/>
    </x:row>
    <x:row r="986">
      <x:c r="A986" s="87"/>
      <x:c r="F986" s="85"/>
    </x:row>
    <x:row r="987">
      <x:c r="A987" s="87"/>
      <x:c r="F987" s="85"/>
    </x:row>
    <x:row r="988">
      <x:c r="A988" s="87"/>
      <x:c r="F988" s="85"/>
    </x:row>
    <x:row r="989">
      <x:c r="A989" s="87"/>
      <x:c r="F989" s="85"/>
    </x:row>
    <x:row r="990">
      <x:c r="A990" s="87"/>
      <x:c r="F990" s="85"/>
    </x:row>
    <x:row r="991">
      <x:c r="A991" s="87"/>
      <x:c r="F991" s="85"/>
    </x:row>
    <x:row r="992">
      <x:c r="A992" s="87"/>
      <x:c r="F992" s="85"/>
    </x:row>
    <x:row r="993">
      <x:c r="A993" s="87"/>
      <x:c r="F993" s="85"/>
    </x:row>
    <x:row r="994">
      <x:c r="A994" s="87"/>
      <x:c r="F994" s="85"/>
    </x:row>
    <x:row r="995">
      <x:c r="A995" s="87"/>
      <x:c r="F995" s="85"/>
    </x:row>
    <x:row r="996">
      <x:c r="A996" s="87"/>
      <x:c r="F996" s="85"/>
    </x:row>
    <x:row r="997">
      <x:c r="A997" s="87"/>
      <x:c r="F997" s="85"/>
    </x:row>
    <x:row r="998">
      <x:c r="A998" s="87"/>
      <x:c r="F998" s="85"/>
    </x:row>
    <x:row r="999">
      <x:c r="A999" s="87"/>
      <x:c r="F999" s="85"/>
    </x:row>
    <x:row r="1000">
      <x:c r="A1000" s="87"/>
      <x:c r="F1000" s="85"/>
    </x:row>
    <x:row r="1001">
      <x:c r="A1001" s="87"/>
      <x:c r="F1001" s="85"/>
    </x:row>
    <x:row r="1002">
      <x:c r="A1002" s="87"/>
      <x:c r="F1002" s="85"/>
    </x:row>
    <x:row r="1003">
      <x:c r="A1003" s="87"/>
      <x:c r="F1003" s="85"/>
    </x:row>
    <x:row r="1004">
      <x:c r="A1004" s="87"/>
      <x:c r="F1004" s="85"/>
    </x:row>
    <x:row r="1005">
      <x:c r="A1005" s="87"/>
      <x:c r="F1005" s="85"/>
    </x:row>
    <x:row r="1006">
      <x:c r="A1006" s="87"/>
      <x:c r="F1006" s="85"/>
    </x:row>
    <x:row r="1007">
      <x:c r="A1007" s="87"/>
      <x:c r="F1007" s="85"/>
    </x:row>
    <x:row r="1008">
      <x:c r="A1008" s="87"/>
      <x:c r="F1008" s="85"/>
    </x:row>
    <x:row r="1009">
      <x:c r="A1009" s="87"/>
      <x:c r="F1009" s="85"/>
    </x:row>
    <x:row r="1010">
      <x:c r="A1010" s="87"/>
      <x:c r="F1010" s="85"/>
    </x:row>
    <x:row r="1011">
      <x:c r="A1011" s="87"/>
      <x:c r="F1011" s="85"/>
    </x:row>
    <x:row r="1012">
      <x:c r="A1012" s="87"/>
      <x:c r="F1012" s="85"/>
    </x:row>
    <x:row r="1013">
      <x:c r="A1013" s="87"/>
      <x:c r="F1013" s="85"/>
    </x:row>
    <x:row r="1014">
      <x:c r="A1014" s="87"/>
      <x:c r="F1014" s="85"/>
    </x:row>
  </x:sheetData>
  <x:mergeCells>
    <x:mergeCell ref="A1:A6"/>
    <x:mergeCell ref="A8:A12"/>
    <x:mergeCell ref="A14:A18"/>
    <x:mergeCell ref="A20:A24"/>
    <x:mergeCell ref="A26:A30"/>
    <x:mergeCell ref="A32:A37"/>
    <x:mergeCell ref="A39:A45"/>
    <x:mergeCell ref="H93:H96"/>
    <x:mergeCell ref="H102:H106"/>
    <x:mergeCell ref="H112:H118"/>
    <x:mergeCell ref="H123:H127"/>
    <x:mergeCell ref="H131:H142"/>
    <x:mergeCell ref="H147:H155"/>
    <x:mergeCell ref="H159:H161"/>
    <x:mergeCell ref="H165:H170"/>
    <x:mergeCell ref="E39:E43"/>
    <x:mergeCell ref="H39:H43"/>
    <x:mergeCell ref="H47:H51"/>
    <x:mergeCell ref="H55:H60"/>
    <x:mergeCell ref="H64:H69"/>
    <x:mergeCell ref="H74:H79"/>
    <x:mergeCell ref="H85:H88"/>
    <x:mergeCell ref="A112:A120"/>
    <x:mergeCell ref="A123:A129"/>
    <x:mergeCell ref="A131:A144"/>
    <x:mergeCell ref="A147:A157"/>
    <x:mergeCell ref="A159:A163"/>
    <x:mergeCell ref="A165:A172"/>
    <x:mergeCell ref="A47:A53"/>
    <x:mergeCell ref="A55:A62"/>
    <x:mergeCell ref="A64:A72"/>
    <x:mergeCell ref="A74:A83"/>
    <x:mergeCell ref="A85:A91"/>
    <x:mergeCell ref="A93:A100"/>
    <x:mergeCell ref="A102:A110"/>
  </x:mergeCells>
  <x:pageMargins left="0.7" right="0.7" top="0.75" bottom="0.75" header="0.3" footer="0.3"/>
</x:worksheet>
</file>